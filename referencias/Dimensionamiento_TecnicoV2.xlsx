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General" sheetId="1" r:id="rId4"/>
    <sheet state="visible" name="Parametros" sheetId="2" r:id="rId5"/>
    <sheet state="visible" name="Resumen Capacidad" sheetId="3" r:id="rId6"/>
    <sheet state="visible" name="Dotacion Planta" sheetId="4" r:id="rId7"/>
    <sheet state="visible" name="Analisis Recargas" sheetId="5" r:id="rId8"/>
    <sheet state="visible" name="datos_base" sheetId="6" r:id="rId9"/>
    <sheet state="visible" name="Parametros Recargas" sheetId="7" r:id="rId10"/>
    <sheet state="visible" name="Analisis de operaciones" sheetId="8" r:id="rId11"/>
    <sheet state="visible" name="Lotes y Calidad" sheetId="9" r:id="rId12"/>
    <sheet state="visible" name="Sensibilidad Stock" sheetId="10" r:id="rId13"/>
    <sheet state="visible" name="Almacen PT" sheetId="11" r:id="rId14"/>
    <sheet state="visible" name="Servicios y Oficinas" sheetId="12" r:id="rId15"/>
    <sheet state="visible" name="Notas" sheetId="13" r:id="rId16"/>
    <sheet state="hidden" name="2027" sheetId="14" r:id="rId17"/>
    <sheet state="hidden" name="2026" sheetId="15" r:id="rId18"/>
    <sheet state="hidden" name="2028" sheetId="16" r:id="rId19"/>
    <sheet state="hidden" name="2029" sheetId="17" r:id="rId20"/>
    <sheet state="hidden" name="2030" sheetId="18" r:id="rId21"/>
    <sheet state="hidden" name="2031" sheetId="19" r:id="rId22"/>
    <sheet state="hidden" name="2032" sheetId="20" r:id="rId23"/>
    <sheet state="hidden" name="2033" sheetId="21" r:id="rId24"/>
    <sheet state="hidden" name="2034" sheetId="22" r:id="rId25"/>
    <sheet state="hidden" name="2035" sheetId="23" r:id="rId26"/>
  </sheets>
  <definedNames/>
  <calcPr/>
  <extLst>
    <ext uri="GoogleSheetsCustomDataVersion2">
      <go:sheetsCustomData xmlns:go="http://customooxmlschemas.google.com/" r:id="rId27" roundtripDataChecksum="8AZNxV2F8kztS7OzIIcmL1Ijc2ez/GygG3NR0a0Yh4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3">
      <text>
        <t xml:space="preserve">Se utiliza un operario en el segundo turno
======</t>
      </text>
    </comment>
    <comment authorId="0" ref="A16">
      <text>
        <t xml:space="preserve">======
ID#AAACHwNM1f4
Tomas Ezequiel Infantino    (2026-09-19 17:57:05)
Agregar tasa de cuántos M necesitan verdaderamente ser corregidos</t>
      </text>
    </comment>
    <comment authorId="0" ref="H6">
      <text>
        <t xml:space="preserve">EN EL 2032 SE AGREGA TURNO Y SE SACA LA SOLDADORA MANUAL POR LO TANTO EN EL 2032 QUEDA 2 TURNOS Y 2 MAQUINAS SEMI-AUTOMATICAS
======</t>
      </text>
    </comment>
    <comment authorId="0" ref="D18">
      <text>
        <t xml:space="preserve">TERCERIZAMOS LA PINTURA DE LOS MAT MANUALES
======</t>
      </text>
    </comment>
    <comment authorId="0" ref="I20">
      <text>
        <t xml:space="preserve">SE AGREGA TURNO CON 1 OPERARIO EXTRA NOMAS
======</t>
      </text>
    </comment>
    <comment authorId="0" ref="K20">
      <text>
        <t xml:space="preserve">======
ID#AAACHwNM1gA
Franco Martin Heredia    (2026-09-22 00:15:50)
SE AGREGA OPERARIO EN EL SEGUNDO TURNO ( QUEDAN 2 X TURNO)</t>
      </text>
    </comment>
    <comment authorId="0" ref="N16">
      <text>
        <t xml:space="preserve">Esto porque la operación es manual
======</t>
      </text>
    </comment>
    <comment authorId="0" ref="E23">
      <text>
        <t xml:space="preserve">No se modifica porque se utiliza el operario de etiquetado para que dé una mano
======</t>
      </text>
    </comment>
  </commentList>
  <extLst>
    <ext uri="GoogleSheetsCustomDataVersion2">
      <go:sheetsCustomData xmlns:go="http://customooxmlschemas.google.com/" r:id="rId1" roundtripDataSignature="AMtx7mi3iAFxQ2XGrRzcnal/p7AQQS2Aq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47">
      <text>
        <t xml:space="preserve">aumento de cap 2 turnos 2 mq yukon
======</t>
      </text>
    </comment>
    <comment authorId="0" ref="O2880">
      <text>
        <t xml:space="preserve">======
ID#AAACHwNM1gE
Franco Martin Heredia    (2026-09-28 20:35:39)
DISMINUIR EL STOCK DE CARROS</t>
      </text>
    </comment>
    <comment authorId="0" ref="C84">
      <text>
        <t xml:space="preserve">======
ID#AAACHwNM1f8
Unknown Author    (2026-09-18 18:15:00)
[Threaded comment]
 Your version of Excel allows you to read this threaded comment; however, any edits to it will get removed if the file is opened in a newer version of Excel. Learn more: https://go.microsoft.com/fwlink/?linkid=870924
Comment:
	si la soldadora es doble esta bien el numero. si la soldadora suelda una pieza por vez entonces hay que multiplicar este numero por 2. consulten con el goat</t>
      </text>
    </comment>
  </commentList>
  <extLst>
    <ext uri="GoogleSheetsCustomDataVersion2">
      <go:sheetsCustomData xmlns:go="http://customooxmlschemas.google.com/" r:id="rId1" roundtripDataSignature="AMtx7mjNnZlmCYCIkHhijwvfa3U3dI8Jkw=="/>
    </ext>
  </extLst>
</comments>
</file>

<file path=xl/sharedStrings.xml><?xml version="1.0" encoding="utf-8"?>
<sst xmlns="http://schemas.openxmlformats.org/spreadsheetml/2006/main" count="13526" uniqueCount="1671">
  <si>
    <t>PERFILES DE ESTACIONALIDAD</t>
  </si>
  <si>
    <t>RESUMEN DE CAPACIDAD Y DECISIONES DE MÁQUINA (pico mensual por año)</t>
  </si>
  <si>
    <t>Perfil</t>
  </si>
  <si>
    <t>Enero</t>
  </si>
  <si>
    <t>Febrero</t>
  </si>
  <si>
    <t>marzo</t>
  </si>
  <si>
    <t>abril</t>
  </si>
  <si>
    <t>mayo</t>
  </si>
  <si>
    <t>junio</t>
  </si>
  <si>
    <t>julio</t>
  </si>
  <si>
    <t>agosto</t>
  </si>
  <si>
    <t>septiembre</t>
  </si>
  <si>
    <t>octubre</t>
  </si>
  <si>
    <t>noviembre</t>
  </si>
  <si>
    <t>diciembre</t>
  </si>
  <si>
    <t>Total</t>
  </si>
  <si>
    <t>Justificación del ajuste (sept. 2026)</t>
  </si>
  <si>
    <t>Automovilístico (1 kg)</t>
  </si>
  <si>
    <t>Ocupación pico = demanda del mes pico ÷ (cap. real × máquinas × turnos del puesto). Sin color = solo cambió la demanda.</t>
  </si>
  <si>
    <t>Manual comercial (2,5 / 5 / 10 kg)</t>
  </si>
  <si>
    <t>DOTACIÓN DE PLANTA — producción 1–10 kg, recargas y línea de carros</t>
  </si>
  <si>
    <t>Industrial s/ruedas (25 – 100 kg)</t>
  </si>
  <si>
    <t>Puesto</t>
  </si>
  <si>
    <t>Personas = horas-hombre del mes pico ÷ horas por operario. Horas-hombre de un puesto = demanda ÷ cap. real × coef. hombre–máquina. Los carros los hace el plantel de producción (especializado); el de recargas solo hace recargas. Reparto de carros por mes: Parametros fila 70.</t>
  </si>
  <si>
    <t>PARÁMETROS</t>
  </si>
  <si>
    <t>Perfil ORIGINAL (referencia, reemplazado por el ajuste de arriba) →</t>
  </si>
  <si>
    <t>Preparación de cuello</t>
  </si>
  <si>
    <t>Valor</t>
  </si>
  <si>
    <t>Stock oct–nov para diciembre (1 = sí, 0 = no)</t>
  </si>
  <si>
    <t>MATRIZ POR TIPO</t>
  </si>
  <si>
    <t>Rendimiento de un operario de producción en recargas</t>
  </si>
  <si>
    <t>Menos práctica en el puesto.</t>
  </si>
  <si>
    <t>Ocupación objetivo por operario</t>
  </si>
  <si>
    <t>Tipo</t>
  </si>
  <si>
    <t>ABC 1 kg</t>
  </si>
  <si>
    <t>Parametros B67.</t>
  </si>
  <si>
    <t>Horas por operario al mes (1 turno)</t>
  </si>
  <si>
    <t>Parametros F37 (20 días × 7,5 h).</t>
  </si>
  <si>
    <t>Horas efectivas por operario (h/mes)</t>
  </si>
  <si>
    <t>Horas × ocupación × (1 − ausentismo).</t>
  </si>
  <si>
    <t>Horas extra permitidas por operario (h/mes)</t>
  </si>
  <si>
    <t>Dec. 484/00: máx. 30 h/mes.</t>
  </si>
  <si>
    <t>Horas máximas por operario en el mes pico (h/mes)</t>
  </si>
  <si>
    <t>ABC 2,5 kg</t>
  </si>
  <si>
    <t>Efectivas + extra.</t>
  </si>
  <si>
    <t>Tope de horas extra por año (h)</t>
  </si>
  <si>
    <t>Dec. 484/00: máx. 200 h/año.</t>
  </si>
  <si>
    <t>Plantel mínimo de producción (arranque)</t>
  </si>
  <si>
    <t>Parametros B68.</t>
  </si>
  <si>
    <t>Ausentismo (enfermedad, licencias)</t>
  </si>
  <si>
    <t>Se descuenta de las horas de todos los meses.</t>
  </si>
  <si>
    <t>Particulares 1 kg que vienen a la tarde (mostrador)</t>
  </si>
  <si>
    <t>Con 2 turnos el mostrador atiende mañana y tarde: 60 % mañana / 40 % tarde. Con 1 turno, todo a la mañana.</t>
  </si>
  <si>
    <t>ABC 5 kg</t>
  </si>
  <si>
    <t>COEFICIENTE HOMBRE–MÁQUINA (horas de operario por hora de máquina; 0,5 = un operario atiende 2 máquinas)</t>
  </si>
  <si>
    <t>Soldadura circunferencial cuello (rosca)</t>
  </si>
  <si>
    <t>Manual</t>
  </si>
  <si>
    <t>Automática</t>
  </si>
  <si>
    <t>—</t>
  </si>
  <si>
    <t>ABC 10 kg</t>
  </si>
  <si>
    <t>La máquina suelda sola; el operario carga la pieza siguiente.</t>
  </si>
  <si>
    <t>Corte de disco y embutido (cúpula y fondo)</t>
  </si>
  <si>
    <t>Numerado de cuerpo</t>
  </si>
  <si>
    <t>Cilindrado</t>
  </si>
  <si>
    <t>Soldadura longitudinal</t>
  </si>
  <si>
    <t>Ciclo automático; el operario carga el cuerpo siguiente.</t>
  </si>
  <si>
    <t>Encastre de fondo</t>
  </si>
  <si>
    <t>Bordoneado</t>
  </si>
  <si>
    <t>Soldadura circunferencial (cúpula y fondo)</t>
  </si>
  <si>
    <t>Gira y suelda sola; 1 operario atiende 2 cabezales.</t>
  </si>
  <si>
    <t>Prueba hidráulica</t>
  </si>
  <si>
    <t>Sostenimiento automático; el operario atiende el secado.</t>
  </si>
  <si>
    <t>Granallado</t>
  </si>
  <si>
    <t>Ciclo automático; cuelga el lote siguiente.</t>
  </si>
  <si>
    <t>Detección de defectos (CC)</t>
  </si>
  <si>
    <t>ABC 25 kg s/ruedas</t>
  </si>
  <si>
    <t>Corrección de defectos</t>
  </si>
  <si>
    <t>Pintura + Horno</t>
  </si>
  <si>
    <t>Línea continua; compartido con granallado.</t>
  </si>
  <si>
    <t>Carga de polvo</t>
  </si>
  <si>
    <t>Dosifica por peso; atiende la presurización.</t>
  </si>
  <si>
    <t>Ensamblaje</t>
  </si>
  <si>
    <t>Presurización</t>
  </si>
  <si>
    <t>Etiquetado</t>
  </si>
  <si>
    <t>Embalaje y palletizado</t>
  </si>
  <si>
    <t>Cortadora de plasma (1kg)</t>
  </si>
  <si>
    <t>ABC 50 kg s/ruedas</t>
  </si>
  <si>
    <t>CNC; el operario descarga y atiende otro puesto.</t>
  </si>
  <si>
    <t>Carros — cilindrado de chapa</t>
  </si>
  <si>
    <t>Carros — punteo, refuerzo y estructura del carro</t>
  </si>
  <si>
    <t>Carros — soldadura longitudinal</t>
  </si>
  <si>
    <t>Carros — soldadura circunferencial fondo y cúpula</t>
  </si>
  <si>
    <t>preguntar si es por tiempo o por actividad</t>
  </si>
  <si>
    <t>Carros — inspección de costuras int. y ext.</t>
  </si>
  <si>
    <t>Carros — prueba hidráulica (IRAM 3550, 4,0 MPa)</t>
  </si>
  <si>
    <t>ABC 70 kg s/ruedas</t>
  </si>
  <si>
    <t>Carros — marcado del recipiente</t>
  </si>
  <si>
    <t>Carros — probetas de soldadura</t>
  </si>
  <si>
    <t>VACACIONES — LCT art. 150: 14 días corridos hasta 5 años de antigüedad, 21 hasta 10, 28 hasta 20 (antigüedad al 31/12)</t>
  </si>
  <si>
    <t>LCT (art. 154) pide dar las vacaciones entre el 1 de octubre y el 30 de abril, salvo autorización por la característica de la actividad.</t>
  </si>
  <si>
    <t>ABC 100 kg s/ruedas</t>
  </si>
  <si>
    <t>Días hábiles por cada día corrido de vacaciones</t>
  </si>
  <si>
    <t>Cilindros ABC 1 kg</t>
  </si>
  <si>
    <t>5 días hábiles por semana.</t>
  </si>
  <si>
    <t>Pedir autorización para dar parte de las vacaciones fuera de la ventana. El mismo art. 154 permite que la autoridad de aplicación autorice otros períodos cuando lo requiere la característica de la actividad.</t>
  </si>
  <si>
    <t>Horas por día hábil</t>
  </si>
  <si>
    <t>Cilindros ABC 2,5 kg</t>
  </si>
  <si>
    <t>Distribución de las vacaciones en el año (%)</t>
  </si>
  <si>
    <t>Cilindros ABC 5 kg</t>
  </si>
  <si>
    <t>Ene</t>
  </si>
  <si>
    <t>Feb</t>
  </si>
  <si>
    <t>Mar</t>
  </si>
  <si>
    <t>Abr</t>
  </si>
  <si>
    <t>May</t>
  </si>
  <si>
    <t>Jun</t>
  </si>
  <si>
    <t>Jul</t>
  </si>
  <si>
    <t>Ago</t>
  </si>
  <si>
    <t>Sep</t>
  </si>
  <si>
    <t>Oct</t>
  </si>
  <si>
    <t>Nov</t>
  </si>
  <si>
    <t>Dic</t>
  </si>
  <si>
    <t>Producción (turno mañana y tarde)</t>
  </si>
  <si>
    <t>Cilindros ABC 10 kg</t>
  </si>
  <si>
    <t>Recargas</t>
  </si>
  <si>
    <t>Oficinas y encargados</t>
  </si>
  <si>
    <t>Cilindros ABC 25 kg</t>
  </si>
  <si>
    <t>Oct–abr según LCT art. 154; julio con autorización de la autoridad de aplicación (art. 154). Dic–ene no: es el pico. Supuesto: cada uno ingresa el 1/1 del año en que aparece y no hay bajas.</t>
  </si>
  <si>
    <t>Días por persona: año (fila) × año de ingreso (columna)</t>
  </si>
  <si>
    <t>Cilindros ABC 50 kg</t>
  </si>
  <si>
    <t>Cilindros ABC 70 kg</t>
  </si>
  <si>
    <t>Cilindros ABC 100 kg</t>
  </si>
  <si>
    <t>CAPACIDAD REAL POR PUESTO — ÍNDICE MAESTRO (Tiempo Total de Operación PCP + líneas Firesafer)</t>
  </si>
  <si>
    <t>Días hábiles/mes:</t>
  </si>
  <si>
    <t>Horas/día (1 turno):</t>
  </si>
  <si>
    <t>Horas productivas/mes:</t>
  </si>
  <si>
    <t>Refrigerio (min/turno) — CCT 260/75 art. 20:</t>
  </si>
  <si>
    <t>Horas productivas/turno:</t>
  </si>
  <si>
    <t>Proceso</t>
  </si>
  <si>
    <t>Máquina</t>
  </si>
  <si>
    <t>ta — T. operación (seg/u)</t>
  </si>
  <si>
    <t>u/seg</t>
  </si>
  <si>
    <t>u/min</t>
  </si>
  <si>
    <t>Cap. nominal (u/h)</t>
  </si>
  <si>
    <t>tpr — Preparación (seg/unid)</t>
  </si>
  <si>
    <t>tdl — Desalist. (seg/unid)</t>
  </si>
  <si>
    <t>Rendim. (n)</t>
  </si>
  <si>
    <t>Tt operación (seg/u)</t>
  </si>
  <si>
    <t>Tiempo tipo (seg/u)</t>
  </si>
  <si>
    <t>Cap. real (u/h)</t>
  </si>
  <si>
    <t>Cap. real (u/mes)</t>
  </si>
  <si>
    <t>APLICA</t>
  </si>
  <si>
    <t>Cambio de matriz (min/cambio)</t>
  </si>
  <si>
    <t>N° cambios/mes (est.)</t>
  </si>
  <si>
    <t>Pérdida por cambios (h/mes)</t>
  </si>
  <si>
    <t>Disponibilidad (cambios)</t>
  </si>
  <si>
    <t>Observaciones</t>
  </si>
  <si>
    <t>Punzonado del alojamiento de válvula y preparación de la boca en la cúpula</t>
  </si>
  <si>
    <t xml:space="preserve">https://www.pannier.com/es/marking/stamp-marking-machines/benchtop-presses/ </t>
  </si>
  <si>
    <t>1,2.5,5,10</t>
  </si>
  <si>
    <t>Pasa de manual a automática</t>
  </si>
  <si>
    <t>RESUMEN GENERAL</t>
  </si>
  <si>
    <t>Indicador</t>
  </si>
  <si>
    <t>Referencias</t>
  </si>
  <si>
    <t>Soldadura circunferencial cuello</t>
  </si>
  <si>
    <t>Soldadura del asiento de válvula a la cúpula (plato indexado)</t>
  </si>
  <si>
    <t>Soldadura manual</t>
  </si>
  <si>
    <t>Dotación año 10 (personas, con choferes)</t>
  </si>
  <si>
    <t>Manuales</t>
  </si>
  <si>
    <t>Corte de disco y embutido profundo de cúpula y fondo (2 piezas por matafuego)</t>
  </si>
  <si>
    <t xml:space="preserve">https://www.directindustry.es/prod/sangiacomo-presse/product-16556-37404.html </t>
  </si>
  <si>
    <t>Dato</t>
  </si>
  <si>
    <t>Número azul = dato editable</t>
  </si>
  <si>
    <t>Vacaciones por grupo</t>
  </si>
  <si>
    <t>Máquinas de producción año 10</t>
  </si>
  <si>
    <t>Producción 1–10 kg y carros, turno mañana — personas</t>
  </si>
  <si>
    <t>Agrega máquina</t>
  </si>
  <si>
    <t>Máquinas de recargas año 10</t>
  </si>
  <si>
    <t>Producción 1–10 kg y carros, turno mañana — ingresan en el año</t>
  </si>
  <si>
    <t>Año del 2° turno</t>
  </si>
  <si>
    <t>Grabado/rolado del número de serie sobre el cuerpo</t>
  </si>
  <si>
    <t>Agrega turno</t>
  </si>
  <si>
    <t>Producción 1–10 kg y carros, turno mañana — días de vacaciones</t>
  </si>
  <si>
    <t>2.5,5,10</t>
  </si>
  <si>
    <t>Agrega operario</t>
  </si>
  <si>
    <t>Incluye el 1 kg: se graba la cúpula con cabezal numerador automático (IRAM 3523 5.1).</t>
  </si>
  <si>
    <t>Curvado de la chapa a forma cilíndrica (rodillos)</t>
  </si>
  <si>
    <t>Tercerizado</t>
  </si>
  <si>
    <t>FS-RM01</t>
  </si>
  <si>
    <t>Concepto</t>
  </si>
  <si>
    <t>Demanda</t>
  </si>
  <si>
    <t>2,5 a 10</t>
  </si>
  <si>
    <t>Matafuegos terminados (u)</t>
  </si>
  <si>
    <t>Soldadura MAG (ER70S-6) de la costura longitudinal del cuerpo</t>
  </si>
  <si>
    <t>Automática desde el año 1 (IRAM 3523 3.2.4.2).</t>
  </si>
  <si>
    <t>Reducción/encastre del extremo para alojar el fondo</t>
  </si>
  <si>
    <t>Prensa Hidráulica Motorizada</t>
  </si>
  <si>
    <t>Producción 1–10 kg y carros, turno mañana — horas de vacaciones (h)</t>
  </si>
  <si>
    <t>Bordoneado/rebordeado del cuerpo y del aro de base</t>
  </si>
  <si>
    <t>Bordoneadora Pilman</t>
  </si>
  <si>
    <t>Turno tarde — personas</t>
  </si>
  <si>
    <t>Cilindros vendidos (u)</t>
  </si>
  <si>
    <t>Turno tarde — ingresan en el año</t>
  </si>
  <si>
    <t>Agrega operario (puesto manual)</t>
  </si>
  <si>
    <t>Soldadura circunferencial segmentada cúpula–cuerpo–fondo</t>
  </si>
  <si>
    <t>Turno tarde — días de vacaciones</t>
  </si>
  <si>
    <t>Recargas planta industrial (u)</t>
  </si>
  <si>
    <t>Turno tarde — horas de vacaciones (h)</t>
  </si>
  <si>
    <t>Recargas — personas</t>
  </si>
  <si>
    <t>Capacidad</t>
  </si>
  <si>
    <t>Turnos</t>
  </si>
  <si>
    <t>Recargas — ingresan en el año</t>
  </si>
  <si>
    <t>Recargas — días de vacaciones</t>
  </si>
  <si>
    <t>Sin color: solo cambió la demanda</t>
  </si>
  <si>
    <t>Máquinas producción 1–10 kg</t>
  </si>
  <si>
    <t>Pintura + Horno (cil. 1–10 kg; carros tercerizados)</t>
  </si>
  <si>
    <t>Recargas — horas de vacaciones (h)</t>
  </si>
  <si>
    <t>Máquinas línea de carros</t>
  </si>
  <si>
    <t>Recargas turno tarde — personas</t>
  </si>
  <si>
    <t>Recargas turno tarde — ingresan en el año</t>
  </si>
  <si>
    <t>Guillotinas (corte de chapa)</t>
  </si>
  <si>
    <t>Recargas turno tarde — días de vacaciones</t>
  </si>
  <si>
    <t>Máquinas recargas</t>
  </si>
  <si>
    <t>Ensayo hidráulico a presión (tanque multiposición)</t>
  </si>
  <si>
    <t>Yukon M-000200</t>
  </si>
  <si>
    <t>Recargas turno tarde — horas de vacaciones (h)</t>
  </si>
  <si>
    <t>Granallado centrífugo S330/S390 (línea power &amp; free) CyM</t>
  </si>
  <si>
    <t>G-100 (Blastair)</t>
  </si>
  <si>
    <t>Ocupación pico máx. producción</t>
  </si>
  <si>
    <t>Encargados — personas</t>
  </si>
  <si>
    <t>Detección de defectos</t>
  </si>
  <si>
    <t>Amolado/pulido del cordón y retoque de defectos</t>
  </si>
  <si>
    <t>MANUAL</t>
  </si>
  <si>
    <t>Encargados — ingresan en el año</t>
  </si>
  <si>
    <t>Encargados — días de vacaciones</t>
  </si>
  <si>
    <t>Pintura en polvo poliéster termofija + curado en horno (continuo)</t>
  </si>
  <si>
    <t>Firesafer Powder Coating Line</t>
  </si>
  <si>
    <t>Dotación</t>
  </si>
  <si>
    <t>Producción 1–10 kg y carros (mañana)</t>
  </si>
  <si>
    <t>Llenado de polvo químico seco</t>
  </si>
  <si>
    <t>FS-A10</t>
  </si>
  <si>
    <t>Encargados — horas de vacaciones (h)</t>
  </si>
  <si>
    <t>Roscado de válvula + manómetro + tubo sifón</t>
  </si>
  <si>
    <t>Recargas (mañana)</t>
  </si>
  <si>
    <t>Administración — personas</t>
  </si>
  <si>
    <t>Presurización con nitrógeno seco</t>
  </si>
  <si>
    <t>Recargas (tarde: mostrador + recargas)</t>
  </si>
  <si>
    <t>Incluye control de pérdidas con agua y detergente (IRAM 3523 3.11): +15 s.</t>
  </si>
  <si>
    <t>Etiquetado automático del cuerpo</t>
  </si>
  <si>
    <t>Administración — ingresan en el año</t>
  </si>
  <si>
    <t>Turno tarde (pool de producción)</t>
  </si>
  <si>
    <t>Administración — días de vacaciones</t>
  </si>
  <si>
    <t xml:space="preserve">Embalaje y palletizado </t>
  </si>
  <si>
    <t>Encajonado y palletizado</t>
  </si>
  <si>
    <t>Antes 24 s. +10 s de armado de caja individual (IRAM 3523 5.4).</t>
  </si>
  <si>
    <t>Encargados</t>
  </si>
  <si>
    <t>Teoría PCP (Tiempo Total de Operación): ta = tiempo de operación (ciclo) · tpr = preparación · tdl = desalistamiento · Q = lote · n = rendimiento. u/seg=1/ta · u/min=60/ta · Cap. nominal (u/h)=3600/ta (solo operación). Ttopi/lote (min) = (tpr+tdl) + ta·Q/n /60 ·  Tiempo tipo (seg/u) = ta/n + (tpr+tdl)·60/Q = Ttopi·60/Q. Cap. real (u/h) = 3600 / Tiempo tipo · Cap. real total = ×N° máq · Cap. real (u/mes) = ×horas/mes. AZUL/amarillo = editable. Las hojas 2026–2028 toman Cap. nominal, Cap. real y N° máq por INDEX/MATCH.</t>
  </si>
  <si>
    <t>Administración — horas de vacaciones (h)</t>
  </si>
  <si>
    <t>Administración</t>
  </si>
  <si>
    <t>TOTAL personas (planta + administración)</t>
  </si>
  <si>
    <t>TOTAL días de vacaciones en el año</t>
  </si>
  <si>
    <t>Ocupación objetivo por operario (%)</t>
  </si>
  <si>
    <t>Piso mínimo de plantel (arranque)</t>
  </si>
  <si>
    <t>Choferes de reparto</t>
  </si>
  <si>
    <t>Carros: fabricación de cada mes (% de los carros vendidos en el año)</t>
  </si>
  <si>
    <t>Días de vacaciones promedio por persona</t>
  </si>
  <si>
    <t>Distribución elegida = perfil de ventas de carros (fila 5): stock 0</t>
  </si>
  <si>
    <t>MÁQUINAS</t>
  </si>
  <si>
    <t>TOTAL PERSONAS</t>
  </si>
  <si>
    <t>RESUMEN POR AÑO</t>
  </si>
  <si>
    <t>Horas extra por operario (h/año)</t>
  </si>
  <si>
    <t>Turnos de planta</t>
  </si>
  <si>
    <t>Los carros los fabrica el plantel de producción. Ver tabla CARROS y costos en "Sensibilidad Stock" para elegir el reparto.</t>
  </si>
  <si>
    <t>m² por carro en stock (con pasillo)</t>
  </si>
  <si>
    <t>SUPUESTO: carros no se apilan.</t>
  </si>
  <si>
    <t>Factor carros en puestos comunes (carga de polvo, ensamblaje, presurización, etiquetado)</t>
  </si>
  <si>
    <t>Producción 1–10 kg y carros — operarios turno mañana</t>
  </si>
  <si>
    <t>Plantel mínimo de recargas (si hay recargas)</t>
  </si>
  <si>
    <t>Con un solo operario de recargas, en su mes de vacaciones se pasan las 30 h extra por mes (Dec. 484/00).</t>
  </si>
  <si>
    <t xml:space="preserve">VER TEMA DE MAQUINA DE MAYOR VOLUMEN DE Carga de polvo+Enrosque de valvula+Nitrogeno PARA PLANTA COMERCIAL </t>
  </si>
  <si>
    <t xml:space="preserve">maquinas analizadas en reinversión </t>
  </si>
  <si>
    <t>Recargas — operarios propios turno mañana</t>
  </si>
  <si>
    <t>Horas/mes:</t>
  </si>
  <si>
    <t>Horas de vacaciones de operarios (h/año)</t>
  </si>
  <si>
    <t>Shandong Dato</t>
  </si>
  <si>
    <t>Turno tarde — operarios (producción + recargas)</t>
  </si>
  <si>
    <t>Stock</t>
  </si>
  <si>
    <t>Recargas — operarios turno tarde (mostrador + recargas)</t>
  </si>
  <si>
    <t>1 Kg</t>
  </si>
  <si>
    <t>Stock fabricado en oct–nov (u)</t>
  </si>
  <si>
    <t>FS-HFM1 - Firesafer</t>
  </si>
  <si>
    <t>Soldadora de cúpula y fondo al cuerpo</t>
  </si>
  <si>
    <t>SCWELDING</t>
  </si>
  <si>
    <t>Firesafer</t>
  </si>
  <si>
    <t>Stock máximo de carros (u)</t>
  </si>
  <si>
    <t>Prueba Hidraulica</t>
  </si>
  <si>
    <t>FS-JD12A - Firesafer</t>
  </si>
  <si>
    <t>Maquina de Secado</t>
  </si>
  <si>
    <t>Yukon</t>
  </si>
  <si>
    <t>Stock promedio de carros (u)</t>
  </si>
  <si>
    <t>Soldadura Longitudinal</t>
  </si>
  <si>
    <t>GETWELD</t>
  </si>
  <si>
    <t>2,5 a 10 kg</t>
  </si>
  <si>
    <t>Encargados (1 por turno)</t>
  </si>
  <si>
    <t>MITUSA</t>
  </si>
  <si>
    <t>m² para el stock de carros</t>
  </si>
  <si>
    <t>TOTAL DOTACIÓN PLANTA</t>
  </si>
  <si>
    <t>Cortahierro + Masa</t>
  </si>
  <si>
    <t>Granalladora</t>
  </si>
  <si>
    <t>Airblast</t>
  </si>
  <si>
    <t>Horas extra en el año (h)</t>
  </si>
  <si>
    <t>Cortes por cuerpo</t>
  </si>
  <si>
    <t>Corte de chapa (guillotina)</t>
  </si>
  <si>
    <t>Equipos de intercambio (flota, u)</t>
  </si>
  <si>
    <t>Corte de hojas en franjas y desarrollos de cuerpo: 2,5–10 kg y carros (opción D)</t>
  </si>
  <si>
    <t>CENA 8×3200 (opción 1.000 mm)</t>
  </si>
  <si>
    <t>Cuerpos 2,5–10 kg y carros</t>
  </si>
  <si>
    <t>Horas extra por operario en el año (h; tope 200)</t>
  </si>
  <si>
    <t>Pintura + Horno (cil. 1–10 kg)</t>
  </si>
  <si>
    <t>Cap. nominal = 10 golpes/min × 60 ÷ cortes por cuerpo (U90). tpr: carga de la hoja y avance contra el tope; tdl: retiro y apilado en el carro.</t>
  </si>
  <si>
    <t>Vehículos de reparto (milk run)</t>
  </si>
  <si>
    <t>Opción D (Comparacion_corte): 103.957 cortes para ~84.700 cuerpos en 2035 = 1,23 cortes por cuerpo.</t>
  </si>
  <si>
    <t>m² de almacén de PT + recargas de clientes</t>
  </si>
  <si>
    <t>Recepcion y clasificacion</t>
  </si>
  <si>
    <t>Inspeccion visual</t>
  </si>
  <si>
    <t>Ensayo de funcionamiento (descarga ABC) (%)</t>
  </si>
  <si>
    <t>Ensayo de funcionamiento (descarga AFFF) (%)</t>
  </si>
  <si>
    <t>Ensayo de funcionamiento (descarga Halon) (%)</t>
  </si>
  <si>
    <t>Horas de vacaciones de los operarios en el año (h)</t>
  </si>
  <si>
    <t>Desarme de matafuego</t>
  </si>
  <si>
    <t>TODOS</t>
  </si>
  <si>
    <t>Prueba Puffer</t>
  </si>
  <si>
    <t>AÑO 2026</t>
  </si>
  <si>
    <t>TOTAL máquinas / puestos de producción</t>
  </si>
  <si>
    <t>Horas del mes pico de producción 1–10 kg + carros (h) (en dic. solo carros: el resto lo cubre el stock)</t>
  </si>
  <si>
    <t>Despacho</t>
  </si>
  <si>
    <t>Ensayo de peso</t>
  </si>
  <si>
    <t>Ensayo de hermeticidad</t>
  </si>
  <si>
    <t>Umbral: ocupación pico máxima por máquina</t>
  </si>
  <si>
    <t>CAPACIDAD REAL — LÍNEA DE CARROS 25–100 kg (cuerpo propio; fondo y cúpula comprados estampados; pintura tercerizada) — ET's Máquinas "Rodantes"</t>
  </si>
  <si>
    <t>máx(piso; pico ÷ horas máx. por operario), sin pasar los puestos de 1–10 kg y carros</t>
  </si>
  <si>
    <t>Año de inicio del 2° turno (antes: más máquinas)</t>
  </si>
  <si>
    <t>mes pico de horas de tarde ÷ horas máx. por operario</t>
  </si>
  <si>
    <t>Año de pintura propia (antes tercerizada)</t>
  </si>
  <si>
    <t>Rolado de la chapa cortada en la guillotina propia (hojas, opción D) a cilindro de 25–100 kg</t>
  </si>
  <si>
    <t>Roladora de 4 rodillos Getweld (5 m/min)</t>
  </si>
  <si>
    <t>mes pico de recargas propias ÷ horas máx. por operario (mínimo Parametros B73)</t>
  </si>
  <si>
    <t>TECNOLOGÍA — soldaduras y prueba hidráulica (se CAMBIA la manual por la automática, no se ponen en paralelo)</t>
  </si>
  <si>
    <t>con 2 turnos: lo mínimo que cubre los particulares de la tarde (mínimo 1); el resto de su tiempo hace recargas</t>
  </si>
  <si>
    <t>Máx./Total</t>
  </si>
  <si>
    <t>Vacaciones — producción turno mañana (h)</t>
  </si>
  <si>
    <t>25, 50, 70 y 100 kg</t>
  </si>
  <si>
    <t>Punteo del cilindro en dispositivo, soldadura del refuerzo (según modelo) y de la estructura con ruedas</t>
  </si>
  <si>
    <t>Soldadora Pampa 300 (manual, 2,5 p/h)</t>
  </si>
  <si>
    <t>Soldadura circunferencial cuello (rosca) → FS-HFM1 Firesafer</t>
  </si>
  <si>
    <t>Costura longitudinal MAG automática del cuerpo</t>
  </si>
  <si>
    <t>Soldadora longitudinal ZF-1000 Getweld (28,75 p/h)</t>
  </si>
  <si>
    <t>Soldadura longitudinal → Firesafer</t>
  </si>
  <si>
    <t>Unión del fondo y la cúpula comprados estampados al cuerpo (doble cabezal)</t>
  </si>
  <si>
    <t>Soldadora circunferencial ZNC750X2 Getweld (42,5 p/h)</t>
  </si>
  <si>
    <t>Vacaciones — turno tarde (h)</t>
  </si>
  <si>
    <t>ANÁLISIS DE CAPACIDAD — RECARGAS PLANTA INDUSTRIAL</t>
  </si>
  <si>
    <t>Soldadura circunferencial (cúpula y fondo) → Firesafer</t>
  </si>
  <si>
    <t>Horas por mes de 1 turno (Parametros Recargas F4)</t>
  </si>
  <si>
    <t>Inspección visual de costuras internas (lámpara/cámara) y externas en todos los recipientes (IRAM 3550 6.1.2)</t>
  </si>
  <si>
    <t>Lámpara + cámara de inspección (SUPUESTO USD 500)</t>
  </si>
  <si>
    <t>Prueba hidráulica → FS-JD12A Firesafer</t>
  </si>
  <si>
    <t>Carga (u/h) = Σ (demanda de la familia × % que pasa por el puesto) ÷ horas del mes.  N° máq. = máx(año anterior; REDONDEAR.MAS(pico ÷ (cap. × turnos de planta × umbral))).</t>
  </si>
  <si>
    <t>Turnos del puesto = 2 solo si con 1 turno supera el umbral.  h-hombre por u = coef. hombre–máquina ÷ cap. real.</t>
  </si>
  <si>
    <t>Llenado, presurización a 4,0 MPa, sostenimiento y vaciado</t>
  </si>
  <si>
    <t>Banco de prueba hidráulica SAITU (20 p/h)</t>
  </si>
  <si>
    <t>Grabado de fabricante, número de serie, presión de ensayo y año (IRAM 3550 5.1)</t>
  </si>
  <si>
    <t>Lápiz vibratorio eléctrico + cuños (SUPUESTO USD 300)</t>
  </si>
  <si>
    <t>Soldadura circunferencial cuello (rosca): máquinas necesarias si sigue manual</t>
  </si>
  <si>
    <t>Separar la placa testigo, troquelar 2 probetas y ensayar tracción y plegado (IRAM 3550 6.1.5, IRAM 609)</t>
  </si>
  <si>
    <t>Máquina universal de ensayos 100 kN WDW-100 con plegado</t>
  </si>
  <si>
    <t>Vacaciones — recargas (h)</t>
  </si>
  <si>
    <t>Demanda por tipo (u. eq./mes)</t>
  </si>
  <si>
    <t>Familia</t>
  </si>
  <si>
    <t>Carros — pintura</t>
  </si>
  <si>
    <t>Polvo ABC</t>
  </si>
  <si>
    <t>Vacaciones — recargas turno tarde (h)</t>
  </si>
  <si>
    <t>Prueba hidráulica: máquinas necesarias si sigue manual</t>
  </si>
  <si>
    <t>Demanda 1–10 kg (u)</t>
  </si>
  <si>
    <t>Horas-hombre de producción 1–10 kg sin stock (h) (incluye guillotina)</t>
  </si>
  <si>
    <t>TURNOS — desde el año H50 el puesto pasa a 2 turnos solo si con 1 turno supera el umbral (0 = tercerizado)</t>
  </si>
  <si>
    <t>Horas-hombre de carros (h) — los hace producción</t>
  </si>
  <si>
    <t>Horas-hombre de producción 1–10 kg + carros, sin stock (h)</t>
  </si>
  <si>
    <t>Turnos disponibles de planta</t>
  </si>
  <si>
    <t>Horas normales del turno mañana de producción, sin vacaciones (h)</t>
  </si>
  <si>
    <t>Unidades 1–10 kg que se pueden adelantar con las horas libres (u)</t>
  </si>
  <si>
    <t>Stock fabricado (+) / consumido (−) (u)</t>
  </si>
  <si>
    <t>Factor de producción con stock</t>
  </si>
  <si>
    <t>Horas-hombre de producción 1–10 kg con stock + carros (h)</t>
  </si>
  <si>
    <t>Horas de producción para el turno tarde (h)</t>
  </si>
  <si>
    <t>Horas libres de producción en el turno mañana (h)</t>
  </si>
  <si>
    <t>Horas-hombre de recargas (h)</t>
  </si>
  <si>
    <t>Recargas de particulares 1 kg en mostrador (h)</t>
  </si>
  <si>
    <t>Particulares que vienen a la tarde (h)</t>
  </si>
  <si>
    <t>Polvo BC</t>
  </si>
  <si>
    <t>Recargas sin los particulares de la tarde, después de usar las horas libres de producción (h)</t>
  </si>
  <si>
    <t>Horas libres del equipo de recargas de la tarde, después del mostrador (h)</t>
  </si>
  <si>
    <t>Recargas que hace el equipo de recargas de la tarde (h)</t>
  </si>
  <si>
    <t>Polvo Clase D</t>
  </si>
  <si>
    <t>Horas libres del turno tarde (h)</t>
  </si>
  <si>
    <t>Recargas que hace el turno tarde de producción (h)</t>
  </si>
  <si>
    <t>Recargas que hace el plantel propio de recargas (h)</t>
  </si>
  <si>
    <t>Horas extra — producción 1–10 kg y carros, turno mañana (h)</t>
  </si>
  <si>
    <t>Líquidos</t>
  </si>
  <si>
    <t>Horas extra — turno tarde (h)</t>
  </si>
  <si>
    <t>Horas extra — recargas (h)</t>
  </si>
  <si>
    <t>Horas extra — recargas turno tarde (h)</t>
  </si>
  <si>
    <t>Horas extra del mes (h)</t>
  </si>
  <si>
    <t>Horas extra por operario en el mes (h)</t>
  </si>
  <si>
    <t>Aux.: horas-hombre por puesto (h) = demanda ÷ cap. real × coef. | N = horas del turno mañana del puesto | O = coef.</t>
  </si>
  <si>
    <t>Turnos de planta (se usa en recargas y dotación)</t>
  </si>
  <si>
    <t>CÁLCULO DE MÁQUINAS — necesarias = REDONDEAR.MAS(demanda pico ÷ (cap. real × turnos disponibles × umbral))</t>
  </si>
  <si>
    <t>Demanda pico (u/h)</t>
  </si>
  <si>
    <t xml:space="preserve">PRODUCCION DE MATAFUEGOS TERMINADOS </t>
  </si>
  <si>
    <t>CO₂</t>
  </si>
  <si>
    <t>%</t>
  </si>
  <si>
    <t>TOTAL</t>
  </si>
  <si>
    <t>PRODUCCION DE CILINDROS</t>
  </si>
  <si>
    <t>Agente limpio</t>
  </si>
  <si>
    <t>Cilindros Total</t>
  </si>
  <si>
    <t>RECARGAS</t>
  </si>
  <si>
    <t>Agua 10 l</t>
  </si>
  <si>
    <t>Demanda por familia (u. eq./mes)</t>
  </si>
  <si>
    <t>AFFF 10 l</t>
  </si>
  <si>
    <t>AFFF 50 l s/ruedas</t>
  </si>
  <si>
    <t>BC 5 kg</t>
  </si>
  <si>
    <t>Sales K 6 l</t>
  </si>
  <si>
    <t>u/mes</t>
  </si>
  <si>
    <t>CO₂ 2 kg</t>
  </si>
  <si>
    <t>CO₂ 5 kg</t>
  </si>
  <si>
    <t>TOTAL CARROS</t>
  </si>
  <si>
    <t>HCFC/HFC 5 kg</t>
  </si>
  <si>
    <t>Clase D 9 l</t>
  </si>
  <si>
    <t>Recargas Total</t>
  </si>
  <si>
    <t>MERCADO PBA+CABA</t>
  </si>
  <si>
    <t>PLANTA IND</t>
  </si>
  <si>
    <t>TEMA RECARGAS CONTEMPLAR</t>
  </si>
  <si>
    <t>PLANTA COM</t>
  </si>
  <si>
    <t xml:space="preserve">PH </t>
  </si>
  <si>
    <t>PROD CILINDROS</t>
  </si>
  <si>
    <t>SIN PH</t>
  </si>
  <si>
    <t>RECARGAS PLANTA INDUSTRIAL</t>
  </si>
  <si>
    <t>Carga por puesto</t>
  </si>
  <si>
    <t>unidad</t>
  </si>
  <si>
    <t>Pico (u/h)</t>
  </si>
  <si>
    <t>N° máq.</t>
  </si>
  <si>
    <t>% Aprov.</t>
  </si>
  <si>
    <t>ABC</t>
  </si>
  <si>
    <t>BC</t>
  </si>
  <si>
    <t>D</t>
  </si>
  <si>
    <t>Líq.</t>
  </si>
  <si>
    <t>HC</t>
  </si>
  <si>
    <t>h-hombre por u</t>
  </si>
  <si>
    <t>Recepción y clasificación  (común)</t>
  </si>
  <si>
    <t>u/h</t>
  </si>
  <si>
    <t>Inspección visual  (común)</t>
  </si>
  <si>
    <t>Ensayo de funcionamiento — descarga polvo ABC (equipo exclusivo)</t>
  </si>
  <si>
    <t>Ensayo de funcionamiento — descarga polvo BC (equipo exclusivo)</t>
  </si>
  <si>
    <t>RECARGAS PLANTA COMERCIAL</t>
  </si>
  <si>
    <t>Descarga polvo Clase D (manual, recipiente exclusivo)</t>
  </si>
  <si>
    <t>Ensayo de funcionamiento — descarga líquidos</t>
  </si>
  <si>
    <t>Ensayo de funcionamiento — descarga CO₂ (muestreo)</t>
  </si>
  <si>
    <t>Ensayo de funcionamiento — descarga agente limpio (muestreo)</t>
  </si>
  <si>
    <t>Desarme de matafuego  (común)</t>
  </si>
  <si>
    <t>Capacidad real por máquina (u/h)</t>
  </si>
  <si>
    <t>Prueba Puffer (IRAM 3672)</t>
  </si>
  <si>
    <t>Lavado interior de cilindro</t>
  </si>
  <si>
    <t>PARÁMETROS RECARGAS — PLANTA INDUSTRIAL</t>
  </si>
  <si>
    <t>Aux.: horas-hombre de carros por puesto (h) = carros a fabricar ÷ cap. real × coef. | O = coef.</t>
  </si>
  <si>
    <t>Prueba hidráulica  (común)</t>
  </si>
  <si>
    <t>Horas productivas/día (1 turno, sin refrigerio):</t>
  </si>
  <si>
    <t>Horas/mes (1 turno):</t>
  </si>
  <si>
    <t>TURNOS DE PLANTA POR AÑO</t>
  </si>
  <si>
    <t>Año</t>
  </si>
  <si>
    <t>Turnos de 8 h</t>
  </si>
  <si>
    <t>Secado de cilindros  (común)</t>
  </si>
  <si>
    <t>PARÁMETROS NORMATIVOS Y DE PROCESO</t>
  </si>
  <si>
    <t>Parámetro</t>
  </si>
  <si>
    <t>Fundamento</t>
  </si>
  <si>
    <t>% con prueba hidráulica — polvo, CO₂ y agente limpio</t>
  </si>
  <si>
    <t>IRAM 3517-2 (Anexo E, 2020): prueba hidráulica como máximo cada 5 años → en régimen 1/5 = 20 % del parque por año. Se toma 25 % (datos_base B50): +5 puntos por los equipos que la necesitan antes de tiempo (golpes, corrosión, fecha de PH vencida o ilegible, equipos usados o descargados). Criterio conservador.</t>
  </si>
  <si>
    <t>% con prueba hidráulica — agua, AFFF y clase K</t>
  </si>
  <si>
    <t>IRAM 3517-2: en agua, agua con AFFF, agua pulverizada y clase K la PH es como máximo cada 2 años, porque el agua es más agresiva con el recipiente → 1/2 = 50 % de los equipos por año.</t>
  </si>
  <si>
    <t>% CO₂ / agente limpio que ingresan descargados o con pérdida de masa</t>
  </si>
  <si>
    <t>SUPUESTO a validar con una recargadora. En CO₂ y agente limpio el control anual es por pesada y hermeticidad (IRAM 3517-2 Anexo E; IRAM 3504 Anexo C): se estima que 1 de cada 10 llega usado, descargado o con pérdida de masa fuera de tolerancia y hay que recargarlo.</t>
  </si>
  <si>
    <t>% CO₂ / agente limpio que se vacían y recargan</t>
  </si>
  <si>
    <t>Fórmula = B12 + B14 (25 % + 10 %). Se vacían y recargan los que van a PH más los que llegan descargados: son los que pasan por desarme, trasvasador / cargador y ensamblaje. El resto solo se pesa y se controla.</t>
  </si>
  <si>
    <t>% CO₂ / agente limpio con ensayo de descarga</t>
  </si>
  <si>
    <t>Fórmula = B12. El ensayo de descarga ventea el agente, por eso se hace solo sobre los equipos que igual se vacían para la PH; no se descarga agente de equipos que no se abren.</t>
  </si>
  <si>
    <t>% de polvo verificado con Puffer (IRAM 3672)</t>
  </si>
  <si>
    <t>IRAM 3517-2 pto. 3.5.3.7: ensayo de extinción del polvo existente cuando hay dudas sobre su calidad (puffer, IRAM 3672). SUPUESTO 10 %: muestreo por lote de recepción; se sube si aparece polvo apelmazado o húmedo.</t>
  </si>
  <si>
    <t>Factor de equivalencia equipos s/ruedas (u. equivalentes)</t>
  </si>
  <si>
    <t>Un equipo sobre ruedas (ABC 25–100 kg, AFFF 50 l) ocupa el puesto ≈3 veces lo que uno manual de 1–10 kg: traslado en carro, morsa acorde al porte y mucha más masa de agente a descargar y cargar.</t>
  </si>
  <si>
    <t>Ocupación máxima admitida por máquina</t>
  </si>
  <si>
    <t>Mismo umbral que producción (Resumen Capacidad B50): 10 % de holgura para variabilidad de la demanda, averías y mantenimiento. Si el pico supera este % se agrega máquina (antes del año del 2° turno) o se suma la tarde (desde ese año).</t>
  </si>
  <si>
    <t>Ocupación objetivo por operario (polivalente)</t>
  </si>
  <si>
    <t>Carga de polvo ABC (vacío, circuito cerrado, equipo exclusivo)</t>
  </si>
  <si>
    <t>Tomado de Parametros B67. 90 % porque el tiempo tipo de cada puesto ya incluye fatiga y demoras (rendimiento 0,70–0,85): tomar menos descontaría dos veces. Operarios polivalentes: rotan según la cola y se dimensionan por horas-hombre totales, no por puesto.</t>
  </si>
  <si>
    <t>Encargado técnico / control de calidad por turno</t>
  </si>
  <si>
    <t>IRAM 3517-2: el prestador habilitado debe tener responsable técnico; controla la sala (HR ≤ 70 %), libera por lote y lleva la trazabilidad. Personal indirecto: 1 por turno.</t>
  </si>
  <si>
    <t>Equipos que llegan con pintura deteriorada (retoque)</t>
  </si>
  <si>
    <t>IRAM 3517-2:2020 9.10: se repintan los que llegan oxidados, rayados hasta el metal o sin brillo. SUPUESTO 15 % (≈1 de cada 7 equipos), a validar con el registro de ingresos de una recargadora.</t>
  </si>
  <si>
    <t>PERFILES DE ESTACIONALIDAD — RECARGAS</t>
  </si>
  <si>
    <t>Marzo</t>
  </si>
  <si>
    <t>Abril</t>
  </si>
  <si>
    <t>Mayo</t>
  </si>
  <si>
    <t>Junio</t>
  </si>
  <si>
    <t>Julio</t>
  </si>
  <si>
    <t>Agosto</t>
  </si>
  <si>
    <t>Septiembre</t>
  </si>
  <si>
    <t>Octubre</t>
  </si>
  <si>
    <t>Noviembre</t>
  </si>
  <si>
    <t>Diciembre</t>
  </si>
  <si>
    <t>Justificación</t>
  </si>
  <si>
    <t>1. Perfiles de estacionalidad de recargas
Automovilístico (1 kg): enero 10 %, febrero a noviembre 7,8 % cada mes, diciembre 12 %.
El matafuego es obligatorio en el auto (Ley 24.449, art. 40) y la recarga la dispara la VTV.
Se supone que la VTV se asigna por terminación de patente y se reparte de febrero a noviembre. Eso da cerca de 1/10 del parque por mes, o sea una base pareja de 7,8 %.
Diciembre y enero casi no tienen turnos de VTV, pero suben por los viajes de vacaciones y los controles en ruta: 12 % y 10 %.</t>
  </si>
  <si>
    <t>Manual comercial (2,5 / 5 / 10 kg, BC, CO₂, líquidos, agente limpio)</t>
  </si>
  <si>
    <t>Manual comercial (2,5 / 5 / 10 kg, BC, CO₂, líquidos, agente limpio): entre 7 % y 8,5 % por mes, con 11 % en diciembre y 9 % en enero.
Consorcios, comercios e instituciones: la carga vence 12 meses después de la anterior. La demanda se reparte según la fecha en que se dio de alta cada equipo.
Pico en diciembre por el cierre de ejercicio y las inspecciones de fin de año. Enero queda algo alto por arrastre.
Mínimo en junio (7 %). Suben un poco agosto, septiembre y marzo (8,5 %) por mayor conciencia preventiva en la temporada seca de incendios.</t>
  </si>
  <si>
    <t>Industrial s/ruedas (25–100 kg, AFFF 50 l)</t>
  </si>
  <si>
    <t>Carga de polvo BC (equipo exclusivo)</t>
  </si>
  <si>
    <t>Industrial sobre ruedas (25–100 kg, AFFF 50 l): entre 7,5 % y 8,5 % por mes, con 10 % en enero, 9 % en julio y 9 % en diciembre.
Industrias y depósitos auditados por la ART y las aseguradoras recargan todo una vez por año, en forma pareja.
Enero y julio suben porque las plantas aprovechan las paradas de mantenimiento de las vacaciones de verano e invierno. Diciembre sube por el cierre de año.</t>
  </si>
  <si>
    <t>ESTACIONALIDAD Y AGRUPAMIENTO POR TIPO DE RECARGA</t>
  </si>
  <si>
    <t>Tipo (datos_base)</t>
  </si>
  <si>
    <t>Familia de agente (cola)</t>
  </si>
  <si>
    <t>Factor u. eq.</t>
  </si>
  <si>
    <t>Automovilístico (recargas)</t>
  </si>
  <si>
    <t>Carga manual Clase D (embudo)</t>
  </si>
  <si>
    <t>Manual comercial (recargas)</t>
  </si>
  <si>
    <t>Llenado de agente líquido (agua / AFFF / K)</t>
  </si>
  <si>
    <t>Industrial s/ruedas (recargas)</t>
  </si>
  <si>
    <t>Carga de CO₂ (trasvasador)</t>
  </si>
  <si>
    <t>Aux.: horas del puesto que no entran en su turno mañana (h) = máx(0; horas × factor con stock − N)</t>
  </si>
  <si>
    <t>Carga de agente limpio</t>
  </si>
  <si>
    <t>Ensamblaje  (común)</t>
  </si>
  <si>
    <t>Presurización con N₂  (común)</t>
  </si>
  <si>
    <t>MATRIZ DE APLICACIÓN POR FAMILIA</t>
  </si>
  <si>
    <t>Máquinas necesarias</t>
  </si>
  <si>
    <t>Tipo de puesto</t>
  </si>
  <si>
    <t>Máquina / manual</t>
  </si>
  <si>
    <t>Recepción y clasificación</t>
  </si>
  <si>
    <t>Común (tronco)</t>
  </si>
  <si>
    <t>Manual (puesto/operario)</t>
  </si>
  <si>
    <t>100 % de todas las familias: todo equipo que ingresa se registra en una orden de trabajo, se clasifica por agente y capacidad y recibe tarjeta de trazabilidad (IRAM 3517-2 pto. 3.2).</t>
  </si>
  <si>
    <t>Ensayo de peso (control de masa)  (común)</t>
  </si>
  <si>
    <t>Inspección visual</t>
  </si>
  <si>
    <t>100 % de todas las familias: inspección previa de corrosión, golpes, estado de la válvula y fecha de prueba hidráulica en todos los equipos.</t>
  </si>
  <si>
    <t>Ensayo de funcionamiento — descarga polvo ABC</t>
  </si>
  <si>
    <t>Específico</t>
  </si>
  <si>
    <t>100 % del polvo ABC: se vacía y recarga cada año, y el ensayo de descarga del Anexo E (≥8 s y ≥85 % descargado) se hace al vaciarlo. Equipo exclusivo para ABC (3.5.3.4).</t>
  </si>
  <si>
    <t>Ensayo de funcionamiento — descarga polvo BC</t>
  </si>
  <si>
    <t>100 % del polvo BC: mismo ensayo del Anexo E, con equipo propio, porque el BC mezclado con ABC reacciona (3.5.3.4).</t>
  </si>
  <si>
    <t>AÑO 2027</t>
  </si>
  <si>
    <t>100 % de Clase D: no tiene ensayo de descarga normalizado; se vacía a mano en recipiente exclusivo para no contaminar los equipos de ABC y BC.</t>
  </si>
  <si>
    <t>100 % de líquidos: agua, AFFF y clase K se vacían y recargan cada año; ensayo del Anexo E (agua y AFFF 40–65 s; clase K ≥30 s).</t>
  </si>
  <si>
    <t>25 % del CO₂ (igual al % con prueba hidráulica): la descarga libera el agente, por eso se hace solo en los equipos que igual se vacían para la PH.</t>
  </si>
  <si>
    <t>Ensayo de funcionamiento — descarga agente limpio</t>
  </si>
  <si>
    <t>Ensayo de hermeticidad (inmersión)  (común)</t>
  </si>
  <si>
    <t>25 % del agente limpio (igual al % con prueba hidráulica): la descarga libera el agente; se hace con recuperación y solo en los que se vacían para la PH (IRAM 3504 pto. 5.8).</t>
  </si>
  <si>
    <t>100 % de polvo y líquidos, que se abren todos para recargar. 35 % de CO₂ y agente limpio: solo los que van a PH (25 %) más los que llegan descargados o con pérdida (10 %); el resto se controla por peso sin abrir.</t>
  </si>
  <si>
    <t>10 % del polvo ABC y BC: ensayo de extinción del polvo existente cuando hay dudas sobre su calidad (IRAM 3517-2 pto. 3.5.3.7). Supuesto: muestreo por lote de recepción.</t>
  </si>
  <si>
    <t>100 % de líquidos: agua, espuma y clase K llevan lavado interior en cada recarga anual.</t>
  </si>
  <si>
    <t>25 % de polvo, CO₂ y agente limpio: la norma pide PH como máximo cada 5 años (20 % por año) y se toma 25 % por los que llegan golpeados, corroídos o vencidos. 50 % de líquidos: PH como máximo cada 2 años porque el agua ataca más el recipiente.</t>
  </si>
  <si>
    <t>Secado de cilindros</t>
  </si>
  <si>
    <t>Retoque de pintura  (común)</t>
  </si>
  <si>
    <t>25 % de polvo, CO₂ y agente limpio: se seca todo recipiente que pasó por PH y no lleva agente acuoso. Líquidos 0 %: el agente es acuoso.</t>
  </si>
  <si>
    <t>100 % del polvo ABC: recarga anual completa por vacío, en sala con HR ≤70 % (3.7.1); tolerancia del Anexo E (1 y 2,5 kg 0/+100 g; 5 y 10 kg 0/+300 g).</t>
  </si>
  <si>
    <t>100 % del polvo BC: recarga anual completa, nunca en la misma máquina que el ABC (3.5.3.4).</t>
  </si>
  <si>
    <t>100 % de Clase D: se carga a mano con embudo y control de peso para no contaminar la máquina de vacío.</t>
  </si>
  <si>
    <t>100 % de líquidos: recarga anual completa; tolerancia del Anexo E (agua y AFFF ±3 % en volumen; clase K 0/+3 %).</t>
  </si>
  <si>
    <t>35 % del CO₂: solo se cargan los que se vaciaron (PH + descargados); tolerancia 0/−5 % y cambio del conjunto de seguridad en cada vaciado total.</t>
  </si>
  <si>
    <t>35 % del agente limpio: solo se cargan los que se vaciaron (PH + descargados); después se superpresuriza con N₂.</t>
  </si>
  <si>
    <t>Etiquetado (oblea IRAM + marbete)  (común)</t>
  </si>
  <si>
    <t>Igual que el desarme: 100 % de polvo y líquidos y 35 % de CO₂ y agente limpio, porque todo lo que se desarma se vuelve a armar (anillo de verificación, pescante, sellado; pto. 3.8).</t>
  </si>
  <si>
    <t>Presurización con N₂</t>
  </si>
  <si>
    <t>100 % de polvo y líquidos, que son de presión permanente. CO₂ 0 %: se presuriza solo. Agente limpio 35 %: se superpresuriza solo el recargado.</t>
  </si>
  <si>
    <t>Ensayo de peso (control de masa)</t>
  </si>
  <si>
    <t>100 % de CO₂ y agente limpio: el control anual de rutina de estos agentes es por masa (Anexo E; IRAM 3504, Anexo C). El polvo y los líquidos ya se pesan en la carga.</t>
  </si>
  <si>
    <t>Ensayo de hermeticidad (inmersión)</t>
  </si>
  <si>
    <t>100 % de todas las familias: control de pérdidas después de la recarga, inmersión 1 min sin burbujas (IRAM 3517-2 pto. 9.4.10).</t>
  </si>
  <si>
    <t>Retoque de pintura</t>
  </si>
  <si>
    <t>Despacho  (común)</t>
  </si>
  <si>
    <t>15 % de todas las familias: se repintan los que llegan oxidados, rayados hasta el metal o sin brillo (IRAM 3517-2:2020 pto. 9.10). Supuesto: 1 de cada 7 equipos.</t>
  </si>
  <si>
    <t>Etiquetado (oblea IRAM + marbete)</t>
  </si>
  <si>
    <t>100 % de todas las familias: todo equipo recargado lleva oblea con sello IRAM, presión de prueba, fecha de recarga y de PH.</t>
  </si>
  <si>
    <t>100 % de todas las familias: precintos, pasador de seguridad y cierre de la trazabilidad en todos los equipos.</t>
  </si>
  <si>
    <t>CAPACIDAD REAL POR PUESTO — RECARGAS</t>
  </si>
  <si>
    <t>Operarios por máquina (coef. hombre–máquina)</t>
  </si>
  <si>
    <t>Horas-hombre de recargas (h/mes)</t>
  </si>
  <si>
    <t>h</t>
  </si>
  <si>
    <t>Inspección visual exterior preliminar</t>
  </si>
  <si>
    <t>OCUPACIÓN PICO ATRIBUIBLE A LOS CILINDROS VENDIDOS VACÍOS (el resto es de matafuegos terminados)</t>
  </si>
  <si>
    <t>Comparte la FS-ZR01 exclusiva de BC.</t>
  </si>
  <si>
    <t>Manual (recipiente exclusivo + balanza)</t>
  </si>
  <si>
    <t>% cilindros en 1–10 kg</t>
  </si>
  <si>
    <t>Banco de descarga de líquidos con recolección</t>
  </si>
  <si>
    <t>Campana de descarga CO₂ + balanza</t>
  </si>
  <si>
    <t>Recuperadora de agente limpio</t>
  </si>
  <si>
    <t>Manual (morsa neumática FS-PC)</t>
  </si>
  <si>
    <t>Tiempos tomados de Parametros fila 102.</t>
  </si>
  <si>
    <t>Puffer IRAM 3672 + mufla</t>
  </si>
  <si>
    <t>Polvo ABC, Polvo BC</t>
  </si>
  <si>
    <t>Lavado interior y escurrido</t>
  </si>
  <si>
    <t>Puesto de lavado (hidrolavadora + escurridor)</t>
  </si>
  <si>
    <t>% cilindros en 2,5–10 kg</t>
  </si>
  <si>
    <t>FS-D4 Firesafer</t>
  </si>
  <si>
    <t>Tara, carga del polvo BC y ajuste de peso</t>
  </si>
  <si>
    <t>Carga manual con embudo y control de peso</t>
  </si>
  <si>
    <t>Manual (embudo + balanza)</t>
  </si>
  <si>
    <t>Dosificación del agente al volumen correcto</t>
  </si>
  <si>
    <t>FS-SJML01 Firesafer (6 kg/min)</t>
  </si>
  <si>
    <t>% cilindros en 1 kg</t>
  </si>
  <si>
    <t>FS-FM2 Firesafer (1–5 kg/min)</t>
  </si>
  <si>
    <t>Manual (morsa)</t>
  </si>
  <si>
    <t>Tiempos tomados de Parametros fila 104.</t>
  </si>
  <si>
    <t>Pesada y comparación con la masa nominal</t>
  </si>
  <si>
    <t>Balanza digital de precisión</t>
  </si>
  <si>
    <t>CO₂, Agente limpio</t>
  </si>
  <si>
    <t>Inmersión 1 min (pileta de 4 posiciones)</t>
  </si>
  <si>
    <t>Pileta de inmersión multiposición</t>
  </si>
  <si>
    <t>Cabina de pintura con extracción + compresor</t>
  </si>
  <si>
    <t>Colocación de oblea y marbete</t>
  </si>
  <si>
    <t>Precintado, cierre de OT y armado de lote</t>
  </si>
  <si>
    <t>Tiempos tomados de Parametros fila 105.</t>
  </si>
  <si>
    <t>Solo terminados</t>
  </si>
  <si>
    <t>Línea de carros (cilindros de carro vendidos vacíos)</t>
  </si>
  <si>
    <t>% cilindros de carro</t>
  </si>
  <si>
    <t>Puesto : Preparación de cuello</t>
  </si>
  <si>
    <t>tipo matafuego</t>
  </si>
  <si>
    <t>rango</t>
  </si>
  <si>
    <t>CIL+TERM 1-10</t>
  </si>
  <si>
    <t>mes</t>
  </si>
  <si>
    <t>dia</t>
  </si>
  <si>
    <t>hora</t>
  </si>
  <si>
    <t>Demanda (u/h)</t>
  </si>
  <si>
    <t>Cap real (u/h)</t>
  </si>
  <si>
    <t>LÍNEA DE CARROS 25–100 kg</t>
  </si>
  <si>
    <t>Carros a fabricar, mes pico (u/mes)</t>
  </si>
  <si>
    <t>Cant MQ × turnos</t>
  </si>
  <si>
    <t>Carros vendidos en el año (u/año)</t>
  </si>
  <si>
    <t>Cap real total</t>
  </si>
  <si>
    <t>% Aprovechamiento</t>
  </si>
  <si>
    <t>Puesto : Soldadura circunferencial cuello (rosca)</t>
  </si>
  <si>
    <t>Ocupación pico (máx. de "Analisis de operaciones")</t>
  </si>
  <si>
    <t>Puesto : Corte de disco y embutido (cúpula y fondo)</t>
  </si>
  <si>
    <t>CIL+TERM 1-10 × 2 piezas</t>
  </si>
  <si>
    <t>Máquinas necesarias = REDONDEAR.MAS(demanda pico ÷ (cap. real u/mes × umbral))</t>
  </si>
  <si>
    <t>Puesto : Numerado de cuerpo</t>
  </si>
  <si>
    <t>Puesto : Cilindrado</t>
  </si>
  <si>
    <t>CIL+TERM 2,5-10</t>
  </si>
  <si>
    <t>Máquinas</t>
  </si>
  <si>
    <t>TOTAL máquinas línea de carros</t>
  </si>
  <si>
    <t>CORTE DE CHAPA — GUILLOTINA CENA 8×3200 (cuerpos 2,5–10 kg y carros; opción D: hojas + fleje a medida)</t>
  </si>
  <si>
    <t>Cuerpos a cortar, mes pico (u/mes)</t>
  </si>
  <si>
    <t>Puesto : Soldadura longitudinal</t>
  </si>
  <si>
    <t>Ocupación pico</t>
  </si>
  <si>
    <t>Guillotinas necesarias = REDONDEAR.MAS(pico ÷ (cap. real u/mes × umbral))</t>
  </si>
  <si>
    <t>Guillotinas</t>
  </si>
  <si>
    <t>AÑO 2028</t>
  </si>
  <si>
    <t>RECARGAS PLANTA INDUSTRIAL — ocupación pico, máquinas y turnos por puesto (detalle mensual en "Analisis Recargas")</t>
  </si>
  <si>
    <t>OCUPACIÓN PICO (%) = pico ÷ (cap. real × máquinas × turnos del puesto)</t>
  </si>
  <si>
    <t>Puesto : Encastre de fondo</t>
  </si>
  <si>
    <t>Puesto : Bordoneado</t>
  </si>
  <si>
    <t>Puesto : Soldadura circunferencial (cúpula y fondo)</t>
  </si>
  <si>
    <t>Puesto : Prueba hidráulica</t>
  </si>
  <si>
    <t>MÁQUINAS / PUESTOS = máx(año anterior; REDONDEAR.MAS(pico ÷ (cap. real × turnos de planta × umbral)))</t>
  </si>
  <si>
    <t>Morsa neumática FS-PC (Firesafer).</t>
  </si>
  <si>
    <t>FS-HPT1 Firesafer (3 estaciones, apto CO₂).</t>
  </si>
  <si>
    <t>FS-D4 Firesafer (4 cabezales).</t>
  </si>
  <si>
    <t>Puesto : Granallado</t>
  </si>
  <si>
    <t>Morsa FS-MC / FS-PC (Firesafer).</t>
  </si>
  <si>
    <t>FS-N2C Firesafer.</t>
  </si>
  <si>
    <t>Balanza digital de precisión.</t>
  </si>
  <si>
    <t>Pileta de inmersión multiposición.</t>
  </si>
  <si>
    <t>Cabina de pintura con extracción.</t>
  </si>
  <si>
    <t>FS-SDP-1 exclusiva ABC.</t>
  </si>
  <si>
    <t>Puesto : Detección de defectos (CC)</t>
  </si>
  <si>
    <t>FS-ZR01 exclusiva BC.</t>
  </si>
  <si>
    <t>Banco de descarga de líquidos.</t>
  </si>
  <si>
    <t>Campana de descarga de CO₂.</t>
  </si>
  <si>
    <t>Recuperadora de agente limpio.</t>
  </si>
  <si>
    <t>Puffer IRAM 3672 + mufla.</t>
  </si>
  <si>
    <t>Hidrolavadora + escurridor.</t>
  </si>
  <si>
    <t>FS-ZR01 exclusiva ABC / FS-ADS.</t>
  </si>
  <si>
    <t>Puesto : Pintura + Horno</t>
  </si>
  <si>
    <t>FS-SJML01 Firesafer.</t>
  </si>
  <si>
    <t>FS-CO2M Firesafer.</t>
  </si>
  <si>
    <t>FS-FM2 Firesafer.</t>
  </si>
  <si>
    <t>TOTAL máquinas</t>
  </si>
  <si>
    <t>TOTAL puestos manuales (por turno)</t>
  </si>
  <si>
    <t>TURNOS POR PUESTO — desde el año H50 el puesto pasa a 2 turnos solo si con 1 turno supera el umbral</t>
  </si>
  <si>
    <t>Puesto : Carga de polvo</t>
  </si>
  <si>
    <t>TERM 1-10 + carros a fabricar × 3</t>
  </si>
  <si>
    <t>Puesto : Ensamblaje</t>
  </si>
  <si>
    <t>Puesto : Presurización</t>
  </si>
  <si>
    <t>AÑO 2029</t>
  </si>
  <si>
    <t>Puesto : Etiquetado</t>
  </si>
  <si>
    <t>Puesto : Embalaje y palletizado</t>
  </si>
  <si>
    <t>AÑO 2030</t>
  </si>
  <si>
    <t>AÑO 2031</t>
  </si>
  <si>
    <t>LOTES Y CONTROL DE CALIDAD (IRAM 3523 y 3550)</t>
  </si>
  <si>
    <t>Lote = mismo modelo, misma colada de chapa y mismo ajuste de soldadura, hasta el tamaño o el período máximo.</t>
  </si>
  <si>
    <t>Lote desde (u)</t>
  </si>
  <si>
    <t>Muestra (u)</t>
  </si>
  <si>
    <t>Tamaño máx. de lote 1–10 kg (u) — ver fila 122</t>
  </si>
  <si>
    <t>Período máximo de un lote (meses)</t>
  </si>
  <si>
    <t>Ensayo de rotura (h por lote)</t>
  </si>
  <si>
    <t>Descarga + recarga de muestra (h por unidad)</t>
  </si>
  <si>
    <t>Recipientes con medición de expansión</t>
  </si>
  <si>
    <t>Tiempo extra por medir expansión (h/u)</t>
  </si>
  <si>
    <t>Medición automática en la máquina de PH</t>
  </si>
  <si>
    <t>Cuarentena de la muestra de carros (días)</t>
  </si>
  <si>
    <t>Período máximo de un lote de carros (meses)</t>
  </si>
  <si>
    <t>Horas de lab. que cubre el responsable de calidad (h/año)</t>
  </si>
  <si>
    <t>Tamaño máx. de lote de carros (u) — ver fila 122</t>
  </si>
  <si>
    <t>Lotes retenidos y rechazos: lugar mínimo (m²)</t>
  </si>
  <si>
    <t>RECIPIENTES 1–10 kg — 1 ensayo de rotura por lote</t>
  </si>
  <si>
    <t>1 kg — recipientes (u)</t>
  </si>
  <si>
    <t>1 kg — lotes</t>
  </si>
  <si>
    <t>1 kg — tamaño de lote (u)</t>
  </si>
  <si>
    <t>2,5 kg — recipientes (u)</t>
  </si>
  <si>
    <t>2,5 kg — lotes</t>
  </si>
  <si>
    <t>2,5 kg — tamaño de lote (u)</t>
  </si>
  <si>
    <t>5 kg — recipientes (u)</t>
  </si>
  <si>
    <t>5 kg — lotes</t>
  </si>
  <si>
    <t>5 kg — tamaño de lote (u)</t>
  </si>
  <si>
    <t>10 kg — recipientes (u)</t>
  </si>
  <si>
    <t>10 kg — lotes</t>
  </si>
  <si>
    <t>10 kg — tamaño de lote (u)</t>
  </si>
  <si>
    <t>TERMINADOS 1–10 kg</t>
  </si>
  <si>
    <t>1 kg — terminados (u)</t>
  </si>
  <si>
    <t>1 kg — muestra por lote (u)</t>
  </si>
  <si>
    <t>1 kg — unidades de muestra (u)</t>
  </si>
  <si>
    <t>2,5 kg — terminados (u)</t>
  </si>
  <si>
    <t>2,5 kg — muestra por lote (u)</t>
  </si>
  <si>
    <t>2,5 kg — unidades de muestra (u)</t>
  </si>
  <si>
    <t>5 kg — terminados (u)</t>
  </si>
  <si>
    <t>5 kg — muestra por lote (u)</t>
  </si>
  <si>
    <t>5 kg — unidades de muestra (u)</t>
  </si>
  <si>
    <t>10 kg — terminados (u)</t>
  </si>
  <si>
    <t>10 kg — muestra por lote (u)</t>
  </si>
  <si>
    <t>10 kg — unidades de muestra (u)</t>
  </si>
  <si>
    <t>CARROS 25–100 kg</t>
  </si>
  <si>
    <t>25 kg — recipientes (u)</t>
  </si>
  <si>
    <t>25 kg — lotes</t>
  </si>
  <si>
    <t>25 kg — probetas de soldadura (2 por carro)</t>
  </si>
  <si>
    <t>25 kg — terminados (u)</t>
  </si>
  <si>
    <t>25 kg — lotes de terminados</t>
  </si>
  <si>
    <t>25 kg — tamaño de lote de terminados (u)</t>
  </si>
  <si>
    <t>25 kg — muestra por lote (u)</t>
  </si>
  <si>
    <t>25 kg — muestra en cuarentena (u)</t>
  </si>
  <si>
    <t>50 kg — recipientes (u)</t>
  </si>
  <si>
    <t>50 kg — lotes</t>
  </si>
  <si>
    <t>50 kg — probetas de soldadura (2 por carro)</t>
  </si>
  <si>
    <t>50 kg — terminados (u)</t>
  </si>
  <si>
    <t>50 kg — lotes de terminados</t>
  </si>
  <si>
    <t>50 kg — tamaño de lote de terminados (u)</t>
  </si>
  <si>
    <t>50 kg — muestra por lote (u)</t>
  </si>
  <si>
    <t>50 kg — muestra en cuarentena (u)</t>
  </si>
  <si>
    <t>70 kg — recipientes (u)</t>
  </si>
  <si>
    <t>70 kg — lotes</t>
  </si>
  <si>
    <t>70 kg — probetas de soldadura (2 por carro)</t>
  </si>
  <si>
    <t>70 kg — terminados (u)</t>
  </si>
  <si>
    <t>70 kg — lotes de terminados</t>
  </si>
  <si>
    <t>70 kg — tamaño de lote de terminados (u)</t>
  </si>
  <si>
    <t>70 kg — muestra por lote (u)</t>
  </si>
  <si>
    <t>70 kg — muestra en cuarentena (u)</t>
  </si>
  <si>
    <t>100 kg — recipientes (u)</t>
  </si>
  <si>
    <t>100 kg — lotes</t>
  </si>
  <si>
    <t>100 kg — probetas de soldadura (2 por carro)</t>
  </si>
  <si>
    <t>100 kg — terminados (u)</t>
  </si>
  <si>
    <t>100 kg — lotes de terminados</t>
  </si>
  <si>
    <t>100 kg — tamaño de lote de terminados (u)</t>
  </si>
  <si>
    <t>100 kg — muestra por lote (u)</t>
  </si>
  <si>
    <t>100 kg — muestra en cuarentena (u)</t>
  </si>
  <si>
    <t>TOTALES</t>
  </si>
  <si>
    <t>Lotes en el año</t>
  </si>
  <si>
    <t>Recipientes a rotura (1 por lote 1–10 kg)</t>
  </si>
  <si>
    <t>AÑO 2032</t>
  </si>
  <si>
    <t>Unidades de muestra (descarga y recarga)</t>
  </si>
  <si>
    <t>Polvo descargado en las muestras (kg)</t>
  </si>
  <si>
    <t>Probetas de soldadura de carros</t>
  </si>
  <si>
    <t>Horas de laboratorio (h/año)</t>
  </si>
  <si>
    <t>Técnicos de laboratorio adicionales</t>
  </si>
  <si>
    <t>Las probetas de carros se hacen en la línea de carros</t>
  </si>
  <si>
    <t>CUARENTENA DE CARROS (a la vez)</t>
  </si>
  <si>
    <t>Lotes de carros terminados en el año</t>
  </si>
  <si>
    <t>Muestra del lote más grande (carros)</t>
  </si>
  <si>
    <t>Días hábiles que dura la cuarentena</t>
  </si>
  <si>
    <t>Lotes en cuarentena a la vez</t>
  </si>
  <si>
    <t>Carros en cuarentena a la vez (u)</t>
  </si>
  <si>
    <t>m² de cuarentena que hacen falta</t>
  </si>
  <si>
    <t>ESPACIOS QUE PIDEN LAS NORMAS (estimado)</t>
  </si>
  <si>
    <t>m²</t>
  </si>
  <si>
    <t>Norma</t>
  </si>
  <si>
    <t>Laboratorio de calidad</t>
  </si>
  <si>
    <t>IRAM 3523/3550 cap. 6</t>
  </si>
  <si>
    <t>Zona de descarga de muestras de carros</t>
  </si>
  <si>
    <t>IRAM 3550 tabla IV</t>
  </si>
  <si>
    <t>Cuarentena carros + retenidos (compartida)</t>
  </si>
  <si>
    <t>IRAM 3550 7.8 · IRAM 3523/3550 cap. 6</t>
  </si>
  <si>
    <t>Mayor entre la cuarentena de 2035 y el mínimo para lotes retenidos (B15). Cuando no hay carros en cuarentena se usa para lotes retenidos, rechazos y muestras: el lugar nunca queda ocioso.</t>
  </si>
  <si>
    <t>Recargas: recinto de polvo químico</t>
  </si>
  <si>
    <t>IRAM 3517-2 9.4.8</t>
  </si>
  <si>
    <t>Recargas: PH con jaula + secado</t>
  </si>
  <si>
    <t>IRAM 3517-2 4.4.1</t>
  </si>
  <si>
    <t>Recargas: control de pérdidas</t>
  </si>
  <si>
    <t>IRAM 3517-2 9.4.10</t>
  </si>
  <si>
    <t>Recargas: CO₂ y agente limpio</t>
  </si>
  <si>
    <t>Recargas: líquidos</t>
  </si>
  <si>
    <t>IRAM 3517-2 9.4</t>
  </si>
  <si>
    <t>Recargas: retoque de pintura</t>
  </si>
  <si>
    <t>IRAM 3517-2 9.10</t>
  </si>
  <si>
    <t>Recargas: equipos recibidos y para entregar</t>
  </si>
  <si>
    <t>Almacen PT (2035)</t>
  </si>
  <si>
    <t>Recargas: inutilizados y residuos</t>
  </si>
  <si>
    <t>IRAM 3517-2 9.12</t>
  </si>
  <si>
    <t>LOTE MÁXIMO 1–10 kg — por qué 1.200 u</t>
  </si>
  <si>
    <t>auxiliar por modelo (año 2035)</t>
  </si>
  <si>
    <t>Tamaño máximo de lote (u)</t>
  </si>
  <si>
    <t>Muestra por lote lleno (IRAM 15)</t>
  </si>
  <si>
    <t>% que se muestrea de un lote lleno</t>
  </si>
  <si>
    <t>Lotes de terminados en 2035</t>
  </si>
  <si>
    <t>Unidades de muestra en 2035 (u)</t>
  </si>
  <si>
    <t>Lotes de recipientes en 2035 (1 rotura c/u)</t>
  </si>
  <si>
    <t>Horas de laboratorio en 2035 (h)</t>
  </si>
  <si>
    <t>Unidades retenidas si se rechaza un lote (u)</t>
  </si>
  <si>
    <t>Días de producción del 1 kg en un lote</t>
  </si>
  <si>
    <t>Lotes 1 kg</t>
  </si>
  <si>
    <t>Lotes 2,5 kg</t>
  </si>
  <si>
    <t>Lotes 5 kg</t>
  </si>
  <si>
    <t>Lotes 10 kg</t>
  </si>
  <si>
    <t>Muestra 1 kg</t>
  </si>
  <si>
    <t>Muestra 2,5 kg</t>
  </si>
  <si>
    <t>Muestra 5 kg</t>
  </si>
  <si>
    <t>Muestra 10 kg</t>
  </si>
  <si>
    <t>Lotes recip. 1 kg</t>
  </si>
  <si>
    <t>Lotes recip. 2,5 kg</t>
  </si>
  <si>
    <t>Lotes recip. 5 kg</t>
  </si>
  <si>
    <t>Lotes recip. 10 kg</t>
  </si>
  <si>
    <t>Amarillo = tamaño elegido (parámetro de arriba). La muestra sale de la tabla IRAM 15 de D5:E14.</t>
  </si>
  <si>
    <t>1) IRAM 15: entre 501 y 1.200 u la muestra es de 20 u; con 1.201 u salta a 32 u. 1.200 es el lote más grande con muestra de 20: la muestra más chica por unidad (1,7 % de un lote lleno).</t>
  </si>
  <si>
    <t>2) Con lotes de 280 o 500 u hay que descargar y recargar muchas más muestras (más polvo descartado y más horas de laboratorio) para el mismo control.</t>
  </si>
  <si>
    <t>3) Con 3.200 u la muestra baja a 1 %, pero si un lote sale rechazado se retienen casi 4 días de producción del 1 kg y el lote mezcla más bobinas de chapa: se pierde trazabilidad.</t>
  </si>
  <si>
    <t>4) Tope de 1 mes por lote: los modelos chicos (2,5 y 10 kg) igual cierran un lote por mes, así cada lote queda con una sola colada y un mismo ajuste de máquina.</t>
  </si>
  <si>
    <t>LOTE MÁXIMO DE CARROS 25–100 kg — por qué 280 u</t>
  </si>
  <si>
    <t>Carros de muestra en 2035 (u)</t>
  </si>
  <si>
    <t>Carros en cuarentena a la vez (lotes escalonados)</t>
  </si>
  <si>
    <t>m² de cuarentena que ocupan</t>
  </si>
  <si>
    <t>¿Entra en la zona compartida?</t>
  </si>
  <si>
    <t>Carros retenidos si se rechaza un lote (u)</t>
  </si>
  <si>
    <t>Lotes 25 kg</t>
  </si>
  <si>
    <t>Lotes 50 kg</t>
  </si>
  <si>
    <t>Lotes 70 kg</t>
  </si>
  <si>
    <t>Lotes 100 kg</t>
  </si>
  <si>
    <t>Muestra 25 kg</t>
  </si>
  <si>
    <t>Muestra 50 kg</t>
  </si>
  <si>
    <t>Muestra 70 kg</t>
  </si>
  <si>
    <t>Muestra 100 kg</t>
  </si>
  <si>
    <t>1) IRAM 15: entre 151 y 280 u la muestra es de 8 carros; con 281 u salta a 13. 280 es el lote más grande con muestra de 8 (2,9 % de un lote lleno).</t>
  </si>
  <si>
    <t>2) La muestra de carros se descarga (25–100 kg de polvo cada uno) y queda 7 días en cuarentena. Los lotes cierran escalonados (uno cada ~15 días hábiles), así que a la vez hay un solo lote: 8 carros ≈ 4 m². El lugar se comparte con lotes retenidos y rechazos (fila 110). Con lotes de 500 la muestra sube a 13 carros.</t>
  </si>
  <si>
    <t>3) Un lote de carros rechazado retiene equipos grandes y caros: con 280 u el riesgo queda acotado. Por eso el tope es menor que en 1–10 kg.</t>
  </si>
  <si>
    <t>4) Con el período de 3 meses, en 2035 los lotes de carros quedan entre 36 y 249 u: el tope de 280 recién limita si crecen las ventas de 50 kg.</t>
  </si>
  <si>
    <t>SENSIBILIDAD DEL STOCK — cuánto stock hace falta, desde qué mes y hasta dónde conviene</t>
  </si>
  <si>
    <t>Plantel directo polivalente (producción 1–10 kg y carros + recargas + turno tarde). Solo se adelanta producción 1–10 kg: las recargas no se pueden hacer antes y los carros siguen su propio plan (Parametros fila 70, sección C).</t>
  </si>
  <si>
    <t>Año a analizar</t>
  </si>
  <si>
    <t>Plantel directo (operarios)</t>
  </si>
  <si>
    <t>Dotacion Planta (producción 1–10 kg y carros + recargas + turno tarde).</t>
  </si>
  <si>
    <t>Horas extra por operario en el pico (h/mes)</t>
  </si>
  <si>
    <t>Ver en la tabla "¿MÁS HORAS EXTRA…?" (fila 78) cuánto stock queda con cada valor. 0 = solo stock. Tope legal 30.</t>
  </si>
  <si>
    <t>ANALIZAR SI CONVIENE HORAS EXTRAS ADEMAS DE SOLO USAR EL STOCK PORQUE STOCK ES CAPITAL INMOVILIZADO</t>
  </si>
  <si>
    <t>Matafuegos por pallet (promedio de la mezcla)</t>
  </si>
  <si>
    <t>SUPUESTO: 1 kg ≈ 180, 5 kg ≈ 48, 10 kg ≈ 30 por pallet.</t>
  </si>
  <si>
    <t>Pallets apilados por posición</t>
  </si>
  <si>
    <t>m² por posición de pallet (con pasillo)</t>
  </si>
  <si>
    <t>Pallet 1,0 × 1,2 m + 50 % de pasillo.</t>
  </si>
  <si>
    <t>m² de depósito disponibles para stock</t>
  </si>
  <si>
    <t>SUPUESTO: medir en el plano.</t>
  </si>
  <si>
    <t>Fila del año en las tablas de abajo</t>
  </si>
  <si>
    <t>Unidades por hora-hombre de producción</t>
  </si>
  <si>
    <t>Demanda del mes pico (u)</t>
  </si>
  <si>
    <t>Ocupación pico de la máquina más cargada</t>
  </si>
  <si>
    <t>Resumen Capacidad.</t>
  </si>
  <si>
    <t>MES A MES — con el plantel de arriba (el ciclo va de febrero a enero)</t>
  </si>
  <si>
    <t>Mes</t>
  </si>
  <si>
    <t>Total/Máx</t>
  </si>
  <si>
    <t>N° de mes</t>
  </si>
  <si>
    <t>Horas de producción 1–10 kg (h)</t>
  </si>
  <si>
    <t>Horas de recargas (h)</t>
  </si>
  <si>
    <t>Horas de carros (h)</t>
  </si>
  <si>
    <t>Horas necesarias (h)</t>
  </si>
  <si>
    <t>Horas de vacaciones del plantel (h)</t>
  </si>
  <si>
    <t>Horas normales del plantel, sin vacaciones (h)</t>
  </si>
  <si>
    <t>Horas máximas con horas extra (h)</t>
  </si>
  <si>
    <t>Horas que sobran (h)</t>
  </si>
  <si>
    <t>Horas que faltan (h)</t>
  </si>
  <si>
    <t>Faltante que cubre el stock (h)</t>
  </si>
  <si>
    <t>Faltante que el stock no puede cubrir (h)</t>
  </si>
  <si>
    <t>Stock necesario al empezar el mes (h)</t>
  </si>
  <si>
    <t>Stock fabricado en el mes (h)</t>
  </si>
  <si>
    <t>Stock al terminar el mes (u)</t>
  </si>
  <si>
    <t>Stock fabricado en el mes (u)</t>
  </si>
  <si>
    <t>Demanda de producción (u)</t>
  </si>
  <si>
    <t>Producción del mes (u)</t>
  </si>
  <si>
    <t>Ocupación de la máquina más cargada</t>
  </si>
  <si>
    <t>Fabrica stock (1 = sí)</t>
  </si>
  <si>
    <t>RESULTADO</t>
  </si>
  <si>
    <t>Mes en que hay que empezar a fabricar stock</t>
  </si>
  <si>
    <t>Stock máximo (u)</t>
  </si>
  <si>
    <t>Pallets</t>
  </si>
  <si>
    <t>m² para el stock de matafuegos 1–10 kg</t>
  </si>
  <si>
    <t>m² para el stock de carros (Resumen Capacidad)</t>
  </si>
  <si>
    <t>m² de depósito en total</t>
  </si>
  <si>
    <t>¿Entra en el depósito?</t>
  </si>
  <si>
    <t>Ocupación máxima de máquinas</t>
  </si>
  <si>
    <t>¿Alcanzan las máquinas?</t>
  </si>
  <si>
    <t>Horas que no se pueden cubrir (h)</t>
  </si>
  <si>
    <t>¿Alcanza el plantel?</t>
  </si>
  <si>
    <t>Personas necesarias sin stock</t>
  </si>
  <si>
    <t>¿HASTA DÓNDE CONVIENE EL STOCK? — mismo cálculo con otro plantel</t>
  </si>
  <si>
    <t>Diferencia con la dotación (personas)</t>
  </si>
  <si>
    <t>Plantel</t>
  </si>
  <si>
    <t>m² de depósito</t>
  </si>
  <si>
    <t>Mes de inicio</t>
  </si>
  <si>
    <t>Horas sin cubrir (h)</t>
  </si>
  <si>
    <t>Ocupación máx. máquinas</t>
  </si>
  <si>
    <t>Resultado</t>
  </si>
  <si>
    <t>Plantel si OK</t>
  </si>
  <si>
    <t>Plantel mínimo con stock (personas)</t>
  </si>
  <si>
    <t>Personas que ahorra el stock (vs. sin stock)</t>
  </si>
  <si>
    <t>Stock en ese punto (u) — el máximo que tiene sentido</t>
  </si>
  <si>
    <t>Mes de inicio en ese punto</t>
  </si>
  <si>
    <t>Qué impide bajar una persona más</t>
  </si>
  <si>
    <t>¿MÁS HORAS EXTRA Y MENOS STOCK? — mismo plantel (B6), distintas horas extra por operario en los meses que faltan horas</t>
  </si>
  <si>
    <t>Horas extra por operario (h/mes)</t>
  </si>
  <si>
    <t>Horas extra por operario en el año (h)</t>
  </si>
  <si>
    <t>Stock promedio (u)</t>
  </si>
  <si>
    <t>m² de depósito (1–10 kg + carros)</t>
  </si>
  <si>
    <t>Mes de inicio del stock</t>
  </si>
  <si>
    <t>Costo de tener el stock ($/año)</t>
  </si>
  <si>
    <t>Costo de las horas extra ($/año)</t>
  </si>
  <si>
    <t>COSTO TOTAL ($/año)</t>
  </si>
  <si>
    <t>Horas extra para no tener stock 1–10 kg (h/mes)</t>
  </si>
  <si>
    <t>Primera fila de la tabla sin stock de 1–10 kg y sin pasar el tope anual.</t>
  </si>
  <si>
    <t>Tope legal (Dec. 484/00): 30 h por mes y 200 h por año por operario.</t>
  </si>
  <si>
    <t>Stock promedio que se deja de inmovilizar (u)</t>
  </si>
  <si>
    <t>m² de depósito con esas horas extra (solo carros)</t>
  </si>
  <si>
    <t>Opción más barata (h extra por mes)</t>
  </si>
  <si>
    <t>Costos en la tabla de la fila 150 (columnas J a L de arriba).</t>
  </si>
  <si>
    <t>CARROS — ¿CÓMO REPARTIR LA FABRICACIÓN EN EL AÑO? (año de B5; meses de enero a diciembre)</t>
  </si>
  <si>
    <t>Los carros los hace el plantel de producción (especializado), que tiene su pico en enero. En diciembre la producción 1–10 kg la cubre el stock de oct–nov, así que en diciembre producción tiene horas para carros.</t>
  </si>
  <si>
    <t>Horas-hombre por carro (h/u)</t>
  </si>
  <si>
    <t>Operarios de producción 1–10 kg y carros del año (Dotacion Planta)</t>
  </si>
  <si>
    <t>Capacidad de la línea de carros (u/mes)</t>
  </si>
  <si>
    <t>Horas máximas por operario (h/mes, con 30 h extra)</t>
  </si>
  <si>
    <t>Horas normales efectivas por operario (h/mes)</t>
  </si>
  <si>
    <t>Total/Máx.</t>
  </si>
  <si>
    <t>Carros vendidos (u)</t>
  </si>
  <si>
    <t>Horas de producción 1–10 kg, sin stock (h)</t>
  </si>
  <si>
    <t>Diciembre en 0: lo cubre el stock de oct–nov (Dotacion Planta B5).</t>
  </si>
  <si>
    <t>Carros que entran con el plantel de producción (u)</t>
  </si>
  <si>
    <t>(Operarios × horas máx. − horas de 1–10 kg) ÷ horas por carro, sin pasar la capacidad de la línea.</t>
  </si>
  <si>
    <t>1. V5: parejo feb–nov (10 %), nada en dic–ene</t>
  </si>
  <si>
    <t>% de los carros del año</t>
  </si>
  <si>
    <t>Fabricación (u)</t>
  </si>
  <si>
    <t>Acumulado fabricado − vendido (u)</t>
  </si>
  <si>
    <t>Stock al final del mes (u)</t>
  </si>
  <si>
    <t>2. Lo que se vende cada mes (sin stock)</t>
  </si>
  <si>
    <t>3. Enero se fabrica en diciembre, resto como la venta</t>
  </si>
  <si>
    <t>AÑO 2033</t>
  </si>
  <si>
    <t>4. ELEGIDA (Parametros fila 70)</t>
  </si>
  <si>
    <t>Alternativa</t>
  </si>
  <si>
    <t>Pico de stock (u)</t>
  </si>
  <si>
    <t>m² del pico</t>
  </si>
  <si>
    <t>Mes más cargado (u)</t>
  </si>
  <si>
    <t>CORRIDAS DEL MODELO COMPLETO (Dotacion Planta) con cada reparto — valores fijos</t>
  </si>
  <si>
    <t>1. personas de planta</t>
  </si>
  <si>
    <t>1. horas extra en el año (h)</t>
  </si>
  <si>
    <t>1. stock promedio de carros (u)</t>
  </si>
  <si>
    <t>2. personas de planta</t>
  </si>
  <si>
    <t>2. horas extra en el año (h)</t>
  </si>
  <si>
    <t>2. stock promedio de carros (u)</t>
  </si>
  <si>
    <t>3. personas de planta</t>
  </si>
  <si>
    <t>3. horas extra en el año (h)</t>
  </si>
  <si>
    <t>3. stock promedio de carros (u)</t>
  </si>
  <si>
    <t>Se corrió todo el Excel con cada reparto en Parametros fila 70. La ELEGIDA toma sus valores de Dotacion Planta en vivo.</t>
  </si>
  <si>
    <t>Pico de stock: elegida vs. V5 (u)</t>
  </si>
  <si>
    <t>Fabricar lo que se vende: sin stock de carros y, en las corridas, la opción más barata (ver costos abajo).</t>
  </si>
  <si>
    <t>Stock promedio: elegida vs. V5 (u)</t>
  </si>
  <si>
    <t>COSTO: ¿STOCK O HORAS EXTRA? — pesos de septiembre 2026, sin inflación (año de B5)</t>
  </si>
  <si>
    <t>La hora extra se paga aparte. El stock se fabrica con horas normales que ya se pagan (meses con horas libres): su costo es la plata parada, el lugar y el seguro.</t>
  </si>
  <si>
    <t>DATOS DE COSTO</t>
  </si>
  <si>
    <t>Producto</t>
  </si>
  <si>
    <t>Precio terminado</t>
  </si>
  <si>
    <t>Precio cilindro</t>
  </si>
  <si>
    <t>Costo empresa mensual de un operario ($/mes)</t>
  </si>
  <si>
    <t>1 kg</t>
  </si>
  <si>
    <t>P3 especializado, CCT 260/75; con SAC, cargas y ART (V2).</t>
  </si>
  <si>
    <t>Horas pagas por mes</t>
  </si>
  <si>
    <t>2,5 kg</t>
  </si>
  <si>
    <t>Costo hora normal ($/h)</t>
  </si>
  <si>
    <t>5 kg</t>
  </si>
  <si>
    <t>Recargo de la hora extra</t>
  </si>
  <si>
    <t>10 kg</t>
  </si>
  <si>
    <t>LCT art. 201: 50 % en días hábiles.</t>
  </si>
  <si>
    <t>Costo hora extra ($/h)</t>
  </si>
  <si>
    <t>25 kg</t>
  </si>
  <si>
    <t>Tasa real anual de costo de capital</t>
  </si>
  <si>
    <t>50 kg</t>
  </si>
  <si>
    <t>Supuesto de la V2, a validar con la cátedra.</t>
  </si>
  <si>
    <t>Almacenaje y seguro (% del valor por mes)</t>
  </si>
  <si>
    <t>70 kg</t>
  </si>
  <si>
    <t>Supuesto de la V2.</t>
  </si>
  <si>
    <t>Costo de tener stock (% del valor por mes)</t>
  </si>
  <si>
    <t>100 kg</t>
  </si>
  <si>
    <t>Materiales de un equipo terminado (% del precio)</t>
  </si>
  <si>
    <t>Evaluación económica de la V2.</t>
  </si>
  <si>
    <t>Materiales de un cilindro vendido vacío (% del precio)</t>
  </si>
  <si>
    <t>Precio al distribuidor, $ sin IVA (V2).</t>
  </si>
  <si>
    <t>Pintura tercerizada por carro ($/u)</t>
  </si>
  <si>
    <t>VALOR DE UNA UNIDAD Y MESES DE EQUILIBRIO</t>
  </si>
  <si>
    <t>Matafuego 1–10 kg</t>
  </si>
  <si>
    <t>Carro 25–100 kg</t>
  </si>
  <si>
    <t>Materiales promedio de la mezcla del año ($/u)</t>
  </si>
  <si>
    <t>Horas-hombre para fabricar una unidad (h/u)</t>
  </si>
  <si>
    <t>Valor de una unidad en stock ($/u)</t>
  </si>
  <si>
    <t>Costo de tener una unidad un mes en stock ($/u)</t>
  </si>
  <si>
    <t>Horas extra para hacerla en el momento (h/u)</t>
  </si>
  <si>
    <t>Costo de hacerla con horas extra ($/u)</t>
  </si>
  <si>
    <t>Meses de stock en los que empata con la hora extra</t>
  </si>
  <si>
    <t>Si el stock se guarda más meses que esto, sale más caro que hacerlo con horas extra en el momento.</t>
  </si>
  <si>
    <t>Conclusión</t>
  </si>
  <si>
    <t>CARROS — COSTO DE CADA ALTERNATIVA (año de B5 y suma de los 10 años)</t>
  </si>
  <si>
    <t>Personas de planta</t>
  </si>
  <si>
    <t>Personas de más ($/año)</t>
  </si>
  <si>
    <t>Horas extra ($/año)</t>
  </si>
  <si>
    <t>Tener el stock ($/año)</t>
  </si>
  <si>
    <t>COSTO DEL AÑO ($)</t>
  </si>
  <si>
    <t>COSTO 10 AÑOS ($)</t>
  </si>
  <si>
    <t>Plata parada en el pico ($)</t>
  </si>
  <si>
    <t>Alternativa más barata en 10 años</t>
  </si>
  <si>
    <t>Personas de más: contra la alternativa con menos personas en ese año. COSTO 10 AÑOS: todas las personas, horas extra y stock de los 10 años (valor del carro del año de B5).</t>
  </si>
  <si>
    <t>CÁLCULO POR ESCENARIO DE PLANTEL (auxiliar)</t>
  </si>
  <si>
    <t>Escenario 1: plantel de la fila 57</t>
  </si>
  <si>
    <t>Escenario 2: plantel de la fila 58</t>
  </si>
  <si>
    <t>Escenario 3: plantel de la fila 59</t>
  </si>
  <si>
    <t>Escenario 4: plantel de la fila 60</t>
  </si>
  <si>
    <t>Escenario 5: plantel de la fila 61</t>
  </si>
  <si>
    <t>Escenario 6: plantel de la fila 62</t>
  </si>
  <si>
    <t>Escenario 7: plantel de la fila 63</t>
  </si>
  <si>
    <t>Escenario 8: plantel de la fila 64</t>
  </si>
  <si>
    <t>Escenario 9: plantel de la fila 65</t>
  </si>
  <si>
    <t>Escenario 10: plantel de la fila 66</t>
  </si>
  <si>
    <t>Escenario 11: plantel de la fila 67</t>
  </si>
  <si>
    <t>Escenario 12: plantel de la fila 68</t>
  </si>
  <si>
    <t>Escenario 13: plantel de la fila 69</t>
  </si>
  <si>
    <t>Horas extra 0 h/mes por operario: tabla de la fila 80</t>
  </si>
  <si>
    <t>Horas que faltan después de las horas extra (h)</t>
  </si>
  <si>
    <t>Horas extra usadas (h)</t>
  </si>
  <si>
    <t>Horas extra 5 h/mes por operario: tabla de la fila 81</t>
  </si>
  <si>
    <t>Horas extra 10 h/mes por operario: tabla de la fila 82</t>
  </si>
  <si>
    <t>Horas extra 15 h/mes por operario: tabla de la fila 83</t>
  </si>
  <si>
    <t>AÑO 2034</t>
  </si>
  <si>
    <t>Horas extra 20 h/mes por operario: tabla de la fila 84</t>
  </si>
  <si>
    <t>Horas extra 25 h/mes por operario: tabla de la fila 85</t>
  </si>
  <si>
    <t>Horas extra 30 h/mes por operario: tabla de la fila 86</t>
  </si>
  <si>
    <t>DATOS POR AÑO (vienen de Dotacion Planta y Resumen Capacidad)</t>
  </si>
  <si>
    <t>Demanda de producción 1–10 kg (u)</t>
  </si>
  <si>
    <t>Máx.</t>
  </si>
  <si>
    <t>Horas-hombre de producción 1–10 kg sin stock (h)</t>
  </si>
  <si>
    <t>Horas-hombre de carros (h)</t>
  </si>
  <si>
    <t>Horas de vacaciones de los operarios (h)</t>
  </si>
  <si>
    <t>AÑO 2035</t>
  </si>
  <si>
    <t>Plantel directo</t>
  </si>
  <si>
    <t>m² stock de carros</t>
  </si>
  <si>
    <t>Ocupación pico máx.</t>
  </si>
  <si>
    <t>Stock oct–nov de Dotacion Planta (u)</t>
  </si>
  <si>
    <t>Cap. de la línea de carros (u/mes)</t>
  </si>
  <si>
    <t>Operarios de producción 1–10 kg y carros</t>
  </si>
  <si>
    <t>Personas de planta (total)</t>
  </si>
  <si>
    <t>Horas extra — recargas (h) no lo cubre la mañana (17*135=2295hs)</t>
  </si>
  <si>
    <t>c/maq en el año *hs ops*coef atencion</t>
  </si>
  <si>
    <t>ALMACÉN DE PRODUCTO TERMINADO, REPARTO POR ZONAS Y EQUIPOS DE INTERCAMBIO (planta industrial — Avellaneda)</t>
  </si>
  <si>
    <t>Equipos de intercambio = matafuegos propios que se le dejan al cliente mientras su equipo está en recarga (no puede quedar sin protección). Ley de Little: equipos afuera = equipos por día × días que tardan en volver. El 1 kg automotriz no tiene canje: siempre vuelve el mismo equipo.</t>
  </si>
  <si>
    <t>A. DATOS GENERALES</t>
  </si>
  <si>
    <t>Días hábiles por mes</t>
  </si>
  <si>
    <t>Parametros B37.</t>
  </si>
  <si>
    <t>% de recargas con prueba hidráulica (PH)</t>
  </si>
  <si>
    <t>Parametros Recargas B12.</t>
  </si>
  <si>
    <t>Días hábiles que agrega la PH al plazo</t>
  </si>
  <si>
    <t>Prueba, secado y retoque: el equipo sale en la ruta de 2 días después.</t>
  </si>
  <si>
    <t>Margen de seguridad de la flota de intercambio</t>
  </si>
  <si>
    <t>Días con más retiros que el promedio y equipos que vuelven tarde.</t>
  </si>
  <si>
    <t>Recargas de 1 kg que vienen de concesionarias</t>
  </si>
  <si>
    <t>Dato de la empresa: 70 % concesionarias, 30 % particulares en planta.</t>
  </si>
  <si>
    <t>Recargas de 1 kg de particulares en planta</t>
  </si>
  <si>
    <t>Clientes cerca de la planta: se recarga en el momento, en el mostrador.</t>
  </si>
  <si>
    <t>Edificios que son clientes chicos (1 a 5 equipos)</t>
  </si>
  <si>
    <t>SUPUESTO: edificios bajos, PH y oficinas chicas; el resto son consorcios de 6 a 20 equipos (medianos).</t>
  </si>
  <si>
    <t>Duración de una ruta (min): mañana o tarde</t>
  </si>
  <si>
    <t>Medio turno (240 min) menos carga del vehículo y descanso.</t>
  </si>
  <si>
    <t>Minutos fijos por parada</t>
  </si>
  <si>
    <t>Estacionar, entrar, remito y firma.</t>
  </si>
  <si>
    <t>Minutos por equipo en la parada</t>
  </si>
  <si>
    <t>Bajar o subir, controlar marbete y cargar en el remito.</t>
  </si>
  <si>
    <t>Equipos manuales que equivale un carro (lugar en el vehículo)</t>
  </si>
  <si>
    <t>Parametros Recargas B18.</t>
  </si>
  <si>
    <t>Capacidad del vehículo por viaje (equipos manuales)</t>
  </si>
  <si>
    <t>SUPUESTO: utilitario o camión chico con jaulas (≈ 1 t de carga).</t>
  </si>
  <si>
    <t>m² para armar la carga de cada vehículo</t>
  </si>
  <si>
    <t>SUPUESTO: lugar frente al andén donde se prepara la ruta siguiente.</t>
  </si>
  <si>
    <t>m² por jaula de 1 kg (una por concesionaria, con pasillo)</t>
  </si>
  <si>
    <t>SUPUESTO: cada tanda se guarda aparte con su remito para devolver el mismo equipo.</t>
  </si>
  <si>
    <t>Días hábiles entre despachos de producción</t>
  </si>
  <si>
    <t>Despacho semanal por pallet completo; Factibilidad Comercial: entrega de 5 a 10 días hábiles.</t>
  </si>
  <si>
    <t>Matafuegos por pallet (mezcla)</t>
  </si>
  <si>
    <t>Sensibilidad Stock B9.</t>
  </si>
  <si>
    <t>Cilindros vacíos por pallet</t>
  </si>
  <si>
    <t>SUPUESTO: cilindros encastrados en capas con separador.</t>
  </si>
  <si>
    <t>Sensibilidad Stock B10.</t>
  </si>
  <si>
    <t>Sensibilidad Stock B11.</t>
  </si>
  <si>
    <t>m² por carro (con pasillo)</t>
  </si>
  <si>
    <t>Parametros B71.</t>
  </si>
  <si>
    <t>Pallets por viaje de camión (despacho de producción)</t>
  </si>
  <si>
    <t>Entrevista al fabricante visitado: camión propio de 8 pallets.</t>
  </si>
  <si>
    <t>B. ZONAS DEL RECORRIDO — PARQUE POR RUBRO (mapa de mercado, unidades)</t>
  </si>
  <si>
    <t>Zona</t>
  </si>
  <si>
    <t>Unidades de la región (mapa)</t>
  </si>
  <si>
    <t>Automotriz</t>
  </si>
  <si>
    <t>Edificios</t>
  </si>
  <si>
    <t>Hoteles</t>
  </si>
  <si>
    <t>Industria / Almacén</t>
  </si>
  <si>
    <t>Educación</t>
  </si>
  <si>
    <t>Salud</t>
  </si>
  <si>
    <t>Supermercados</t>
  </si>
  <si>
    <t>Suma sin automotriz</t>
  </si>
  <si>
    <t>Tipo de cliente de cada rubro →</t>
  </si>
  <si>
    <t>Chico / Mediano</t>
  </si>
  <si>
    <t>Mediano</t>
  </si>
  <si>
    <t>Grande</t>
  </si>
  <si>
    <t>CABA Sur</t>
  </si>
  <si>
    <t>Buenos Aires Sur — 1er cordón</t>
  </si>
  <si>
    <t>Buenos Aires Sur — 2do cordón</t>
  </si>
  <si>
    <t>Buenos Aires Sur — 3er cordón</t>
  </si>
  <si>
    <t>Total 4 zonas</t>
  </si>
  <si>
    <t>Fuente: matafuegos-argentina-rho.vercel.app, dato real por región (Buenos Aires Sur). La suma de rubros no da el total de la región porque el modelo de Automotriz se actualizó aparte: por eso los % se toman sobre la suma de rubros. Automotriz reparte el 1 kg; el resto reparte las recargas de ruta.</t>
  </si>
  <si>
    <t>% de las recargas de 1 kg (automotriz)</t>
  </si>
  <si>
    <t>% de las recargas de ruta (sin automotriz)</t>
  </si>
  <si>
    <t>% Chico</t>
  </si>
  <si>
    <t>% Mediano</t>
  </si>
  <si>
    <t>% Grande</t>
  </si>
  <si>
    <t>Min de parada por recarga</t>
  </si>
  <si>
    <t>Paradas por recarga</t>
  </si>
  <si>
    <t>Equipos que viajan por recarga</t>
  </si>
  <si>
    <t>Total / promedio ponderado por las recargas de ruta</t>
  </si>
  <si>
    <t>C. TIPO DE CLIENTE Y PLAZO DE ENTREGA</t>
  </si>
  <si>
    <t>Tipo de cliente</t>
  </si>
  <si>
    <t>Equipos por visita (u)</t>
  </si>
  <si>
    <t>Plazo sin PH (días háb.)</t>
  </si>
  <si>
    <t>Plazo sin PH (h)</t>
  </si>
  <si>
    <t>Plazo con PH (días háb.)</t>
  </si>
  <si>
    <t>Plazo con PH (h)</t>
  </si>
  <si>
    <t>Días promedio que el equipo está afuera</t>
  </si>
  <si>
    <t>% con equipo de intercambio</t>
  </si>
  <si>
    <t>Min de parada por equipo (retiro + entrega)</t>
  </si>
  <si>
    <t>Cómo se atiende</t>
  </si>
  <si>
    <t>Particular automotor 1 kg (30 %)</t>
  </si>
  <si>
    <t>En planta, en el momento, sin canje. Con PH deja el equipo y lo retira a los 2 días.</t>
  </si>
  <si>
    <t>Concesionaria 1 kg (70 %)</t>
  </si>
  <si>
    <t>24 h: se retira, se recarga y vuelve en la ruta del día siguiente. Sin canje: la concesionaria le devuelve al cliente su mismo equipo.</t>
  </si>
  <si>
    <t>Chico: 1 a 5 equipos (edificios bajos, oficinas)</t>
  </si>
  <si>
    <t>24 h. Se deja un equipo de intercambio por cada uno que se retira.</t>
  </si>
  <si>
    <t>Mediano: 6 a 20 equipos (consorcios, hoteles, escuelas, salud)</t>
  </si>
  <si>
    <t>48 h. Intercambio completo.</t>
  </si>
  <si>
    <t>Grande: más de 20 equipos y carros (industrias, supermercados)</t>
  </si>
  <si>
    <t>72 h. Intercambio completo; los carros también.</t>
  </si>
  <si>
    <t>Plazos en días hábiles desde el retiro. Días afuera = (1 − %PH) × plazo sin PH + %PH × plazo con PH. Min de parada por equipo = 2 paradas (retiro y entrega) × (min fijos + min por equipo × equipos) ÷ equipos por visita.</t>
  </si>
  <si>
    <t>D. RECORRIDOS TIPO MILK RUN (mañana y tarde)</t>
  </si>
  <si>
    <t>Par de zonas</t>
  </si>
  <si>
    <t>Mañana: entrega en</t>
  </si>
  <si>
    <t>y a la vuelta retira en</t>
  </si>
  <si>
    <t>Tarde: entrega en</t>
  </si>
  <si>
    <t>% de las recargas de ruta</t>
  </si>
  <si>
    <t>Traslado planta–zonas–planta (min)</t>
  </si>
  <si>
    <t>Σ % × min por recarga</t>
  </si>
  <si>
    <t>Σ % × paradas por recarga</t>
  </si>
  <si>
    <t>Σ % × equipos que viajan</t>
  </si>
  <si>
    <t>% del 1 kg (concesionarias)</t>
  </si>
  <si>
    <t>Par 1: CABA Sur + 1er cordón</t>
  </si>
  <si>
    <t>1er cordón</t>
  </si>
  <si>
    <t>Par 2: 2do cordón + 3er cordón Sur</t>
  </si>
  <si>
    <t>2do cordón</t>
  </si>
  <si>
    <t>3er cordón Sur</t>
  </si>
  <si>
    <t>Cada vehículo sale a la mañana, entrega en una zona y a la vuelta retira en la otra; a la tarde hace el recorrido al revés. Así cada zona tiene entrega y retiro todos los días (plazo de 24 h posible) y el vehículo nunca vuelve vacío. Traslado: SUPUESTO desde Avellaneda.</t>
  </si>
  <si>
    <t>E. CÓMO SE TRABAJA (política definida)</t>
  </si>
  <si>
    <t>• Reparto propio en 4 zonas agrupadas en 2 pares (milk run). Todos los días hay ruta a la mañana y a la tarde en cada par: en la misma parada se entregan las recargas listas, se retiran las nuevas y se cambian los equipos de intercambio.</t>
  </si>
  <si>
    <t>• Plazo según el tamaño del cliente: chico 24 h, mediano 48 h, grande 72 h (se retira por tandas y la planta lo procesa en lote). Con prueba hidráulica se suman 2 días hábiles.</t>
  </si>
  <si>
    <t>• Intercambio: todo cliente de ruta recibe un equipo propio por cada uno que se retira, así nunca queda sin protección. No hace falta un equipo por recarga del mes: solo los que están afuera a la vez (día × días afuera + 20 %).</t>
  </si>
  <si>
    <t>• Automotriz 1 kg sin canje: siempre vuelve el mismo equipo. Concesionarias (70 %): se retiran en la ruta y vuelven a las 24 h; mientras tanto ocupan lugar en planta (recibidos + listos esperando el vehículo). Particulares (30 %): clientes cercanos, en el mostrador y en el momento.</t>
  </si>
  <si>
    <t>• Producción: despacho semanal por pallet completo con el camión propio (a distribuidores o al transporte). El stock de oct–nov para diciembre se guarda en el mismo almacén.</t>
  </si>
  <si>
    <t>F. RECARGAS POR DÍA (MES PICO) Y TIPO DE CLIENTE</t>
  </si>
  <si>
    <t>Recargas en el año — automotriz 1 kg (u)</t>
  </si>
  <si>
    <t xml:space="preserve">   por día en el mes pico (u/día)</t>
  </si>
  <si>
    <t>Recargas en el año — manuales comerciales (2,5–10 kg, CO₂…) (u)</t>
  </si>
  <si>
    <t>Recargas en el año — sobre ruedas (u)</t>
  </si>
  <si>
    <t>Particular automotor 1 kg — mostrador</t>
  </si>
  <si>
    <t>Concesionarias 1 kg — ruta, 24 h</t>
  </si>
  <si>
    <t>Chico — ruta, 24 h</t>
  </si>
  <si>
    <t>Mediano — ruta, 48 h</t>
  </si>
  <si>
    <t>Grande manuales — ruta, 72 h</t>
  </si>
  <si>
    <t>Grande carros sobre ruedas — ruta, 72 h</t>
  </si>
  <si>
    <t>G. EQUIPOS DE INTERCAMBIO (flota propia)</t>
  </si>
  <si>
    <t>Flota de intercambio — chico (u)</t>
  </si>
  <si>
    <t>Flota de intercambio — mediano (u)</t>
  </si>
  <si>
    <t>Flota de intercambio — grande manuales (u)</t>
  </si>
  <si>
    <t>Flota de intercambio — carros sobre ruedas (u)</t>
  </si>
  <si>
    <t>Flota de intercambio total (u)</t>
  </si>
  <si>
    <t>Recargas del mes pico (u/mes)</t>
  </si>
  <si>
    <t>Flota ÷ recargas del mes pico</t>
  </si>
  <si>
    <t>Flota guardada en planta en el mes más bajo — manuales (u)</t>
  </si>
  <si>
    <t>Cant Puestos</t>
  </si>
  <si>
    <t>seg-hombre por u</t>
  </si>
  <si>
    <t>Flota guardada en planta en el mes más bajo — carros (u)</t>
  </si>
  <si>
    <t>Equipos de intercambio a fabricar en el año (u)</t>
  </si>
  <si>
    <t xml:space="preserve">   % de los matafuegos 1–10 kg fabricados en el año</t>
  </si>
  <si>
    <t>H. FLOTA DE REPARTO — MILK RUN (mes pico)</t>
  </si>
  <si>
    <t>Par 1: minutos de parada por día</t>
  </si>
  <si>
    <t>Par 1: paradas por día</t>
  </si>
  <si>
    <t>Par 1: equipos que salen de planta por día (equivalentes)</t>
  </si>
  <si>
    <t>Par 1: rutas por día = MAX(2; por tiempo; por carga)</t>
  </si>
  <si>
    <t>Par 2: minutos de parada por día</t>
  </si>
  <si>
    <t>Par 2: paradas por día</t>
  </si>
  <si>
    <t>Par 2: equipos que salen de planta por día (equivalentes)</t>
  </si>
  <si>
    <t>Par 2: rutas por día = MAX(2; por tiempo; por carga)</t>
  </si>
  <si>
    <t>Rutas a la mañana (u)</t>
  </si>
  <si>
    <t>Rutas a la tarde (u)</t>
  </si>
  <si>
    <t>VEHÍCULOS DE REPARTO (los mismos hacen mañana y tarde)</t>
  </si>
  <si>
    <t>Choferes de reparto (1 por vehículo, jornada completa)</t>
  </si>
  <si>
    <t>Ocupación de las rutas por tiempo</t>
  </si>
  <si>
    <t>Rutas por tiempo = min de parada ÷ (duración de la ruta − traslado). Rutas por carga = equipos que salen ÷ capacidad del vehículo. Mínimo 2 por par (mañana y tarde). Los particulares de 1 kg van al mostrador y no usan vehículo.</t>
  </si>
  <si>
    <t>I. ALMACÉN — unidades en el mes pico</t>
  </si>
  <si>
    <t>Equipos de intercambio guardados, manuales (u)</t>
  </si>
  <si>
    <t>Equipos de intercambio guardados, carros (u)</t>
  </si>
  <si>
    <t>Concesionarias 1 kg en planta: recibidos + listos esperando el vehículo (u)</t>
  </si>
  <si>
    <t>Particulares 1 kg que dejan el equipo por PH (u)</t>
  </si>
  <si>
    <t>Recargas de clientes de ruta en planta, manuales (u)</t>
  </si>
  <si>
    <t>Recargas de clientes de ruta en planta, carros (u)</t>
  </si>
  <si>
    <t>Matafuegos 1–10 kg de producción esperando despacho (u)</t>
  </si>
  <si>
    <t>Cilindros 1–10 kg esperando despacho (u)</t>
  </si>
  <si>
    <t>Stock de oct–nov para diciembre (u) (Dotacion Planta)</t>
  </si>
  <si>
    <t>Carros de producción: stock + esperando despacho (u)</t>
  </si>
  <si>
    <t>m² DEL ALMACÉN</t>
  </si>
  <si>
    <t>Pallets ÷ pallets apilados × m² por posición; carros por unidad.</t>
  </si>
  <si>
    <t>Equipos de intercambio guardados (m²)</t>
  </si>
  <si>
    <t>Concesionarias y particulares 1 kg en espera: jaulas por tanda (m²)</t>
  </si>
  <si>
    <t>Recargas de clientes de ruta: recibidas y para entregar (m²)</t>
  </si>
  <si>
    <t>Preparación de la carga de los vehículos (m²)</t>
  </si>
  <si>
    <t>Producto terminado esperando despacho (m²)</t>
  </si>
  <si>
    <t>SERVICIOS AL PERSONAL, ALMUERZO Y OFICINAS</t>
  </si>
  <si>
    <t>Refrigerio por turno (min)</t>
  </si>
  <si>
    <t>Stock de oct–nov para diciembre (m²)</t>
  </si>
  <si>
    <t>Duración de cada tanda de almuerzo (min)</t>
  </si>
  <si>
    <t>Plazas del comedor</t>
  </si>
  <si>
    <t>5 mesas de 6 plazas</t>
  </si>
  <si>
    <t>% de mujeres en la dotación</t>
  </si>
  <si>
    <t>Carros de producción (m²)</t>
  </si>
  <si>
    <t>Puestos de trabajo en oficina (Adm. + producción)</t>
  </si>
  <si>
    <t>Armarios vestuario H</t>
  </si>
  <si>
    <t>Armarios vestuario M</t>
  </si>
  <si>
    <t>Inodoros H disponibles</t>
  </si>
  <si>
    <t>Lavabos H disponibles</t>
  </si>
  <si>
    <t>decreto 351</t>
  </si>
  <si>
    <t>Mingitorios H disponibles</t>
  </si>
  <si>
    <t>Duchas H disponibles</t>
  </si>
  <si>
    <t>Inodoros M disponibles</t>
  </si>
  <si>
    <t>TOTAL ALMACÉN DE PT + RECARGAS DE CLIENTES (m²)</t>
  </si>
  <si>
    <t>Lavabos M disponibles</t>
  </si>
  <si>
    <t>Duchas M disponibles</t>
  </si>
  <si>
    <t>A. ADMINISTRACIÓN Y OFICINA — personas por rol (1 = sí)</t>
  </si>
  <si>
    <t>J. DESPACHO DE PRODUCCIÓN</t>
  </si>
  <si>
    <t>Jefe de planta / producción — turno mañana</t>
  </si>
  <si>
    <t>Viajes de camión por semana (pallets completos)</t>
  </si>
  <si>
    <t>Responsable técnico de calidad — turno mañana</t>
  </si>
  <si>
    <t>Administración, ventas y cobranzas — turno mañana</t>
  </si>
  <si>
    <t>Compras y abastecimiento — turno mañana</t>
  </si>
  <si>
    <t>Atención de recargas — turno mañana</t>
  </si>
  <si>
    <t>Planificación y control de la producción — turno mañana</t>
  </si>
  <si>
    <t>Administrativo turno tarde — turno tarde</t>
  </si>
  <si>
    <t>Técnico de laboratorio de calidad — turno mañana</t>
  </si>
  <si>
    <t>Administración — turno mañana (personas)</t>
  </si>
  <si>
    <t>Administración — turno tarde (personas)</t>
  </si>
  <si>
    <t>Oficina: ¿alcanzan los 6 puestos en el turno mañana?</t>
  </si>
  <si>
    <t>B. PERSONAS PRESENTES POR TURNO</t>
  </si>
  <si>
    <t>Turno mañana — operarios (producción + recargas propio)</t>
  </si>
  <si>
    <t>Turno mañana — encargado de turno</t>
  </si>
  <si>
    <t>Turno mañana — administración</t>
  </si>
  <si>
    <t>TOTAL TURNO MAÑANA</t>
  </si>
  <si>
    <t>Turno tarde — operarios (pool de producción + recargas)</t>
  </si>
  <si>
    <t>Turno tarde — encargado de turno</t>
  </si>
  <si>
    <t>Turno tarde — administración</t>
  </si>
  <si>
    <t>TOTAL TURNO TARDE</t>
  </si>
  <si>
    <t>TOTAL PERSONAS (ambos turnos)</t>
  </si>
  <si>
    <t>C. ALMUERZO / REFRIGERIO — comedor</t>
  </si>
  <si>
    <t>Turno mañana — personas por tanda con 2 tandas</t>
  </si>
  <si>
    <t>Turno mañana — ¿entra en el comedor con 2 tandas?</t>
  </si>
  <si>
    <t>Hoja</t>
  </si>
  <si>
    <t>Turno mañana — tandas necesarias con las plazas actuales</t>
  </si>
  <si>
    <t>Celda</t>
  </si>
  <si>
    <t>Nota</t>
  </si>
  <si>
    <t>Parametros</t>
  </si>
  <si>
    <t>O3</t>
  </si>
  <si>
    <t>Se mantiene el pico de verano (vacaciones y controles viales) pero moderado: ENERO sostenido por los patentamientos 0 km (ene-25: 69.520 = 11,4 % del año; ACARA), DICIEMBRE acotado porque los patentamientos caen (dic-25: 24.079 = 3,9 %) y la reposición por VTV se reparte feb–nov según terminación de patente.</t>
  </si>
  <si>
    <t>O4</t>
  </si>
  <si>
    <t>Consorcios, comercios e instituciones: habilitaciones y obras durante todo el año; leve pico por cierre de ejercicio (dic) e inicio de temporada (ene).</t>
  </si>
  <si>
    <t>O5</t>
  </si>
  <si>
    <t>Industria: compras según presupuesto de inversión, pareja en el año; baja en ene–feb y nov por vacaciones y cierre de presupuestos.</t>
  </si>
  <si>
    <t>C67</t>
  </si>
  <si>
    <t>Antes 80 %. El tiempo tipo ya divide por el rendimiento (0,70–0,85: fatiga y demoras), así que 90 % evita descontar dos veces.</t>
  </si>
  <si>
    <t>C72</t>
  </si>
  <si>
    <t>Un carro ocupa ~3 veces lo que uno de 1–10 kg.</t>
  </si>
  <si>
    <t>Turno mañana — ventana total de almuerzo (min)</t>
  </si>
  <si>
    <t>T49</t>
  </si>
  <si>
    <t>G-100 (Blastair): 200 u/h, tpr 10 s, tdl 15 s (datos de la V5-2). El 1 kg no se granalla: el tubo viene tratado.</t>
  </si>
  <si>
    <t>T102</t>
  </si>
  <si>
    <t>Antes 40 u/h (90 s). Morsa neumática FS-PC + llave de impacto: 60 s.</t>
  </si>
  <si>
    <t>T104</t>
  </si>
  <si>
    <t>Antes 20 u/h (180 s). Atornillador neumático con torque regulado + O-ring nuevo: 90 s (igual criterio que ensamblaje de producción).</t>
  </si>
  <si>
    <t>T105</t>
  </si>
  <si>
    <t>Antes 60 u/h (60 s). Precintado en mesa y cierre de OT por lote/pallet (lector de código de barras): 30 s por equipo.</t>
  </si>
  <si>
    <t>P112</t>
  </si>
  <si>
    <t xml:space="preserve">USD 41,571 (ET's Máquinas). </t>
  </si>
  <si>
    <t>P113</t>
  </si>
  <si>
    <t>USD 1,432 (ET's Máquinas). Visita a planta: el punteo se hace en dispositivo porque ciertos carros llevan refuerzo (planchuela).</t>
  </si>
  <si>
    <t>P114</t>
  </si>
  <si>
    <t xml:space="preserve">USD 44,915 (ET's Máquinas). </t>
  </si>
  <si>
    <t>Turno tarde — personas por tanda con 2 tandas</t>
  </si>
  <si>
    <t>P115</t>
  </si>
  <si>
    <t xml:space="preserve">USD 81,366 (ET's Máquinas). </t>
  </si>
  <si>
    <t>P116</t>
  </si>
  <si>
    <t xml:space="preserve">USD 500 (ET's Máquinas). </t>
  </si>
  <si>
    <t>P117</t>
  </si>
  <si>
    <t xml:space="preserve">USD 7,140 (ET's Máquinas). </t>
  </si>
  <si>
    <t>P118</t>
  </si>
  <si>
    <t xml:space="preserve">USD 300 (ET's Máquinas). </t>
  </si>
  <si>
    <t>P119</t>
  </si>
  <si>
    <t xml:space="preserve">USD 8,700 (ET's Máquinas). </t>
  </si>
  <si>
    <t>B120</t>
  </si>
  <si>
    <t>Tercerizada siempre (carros terminados y cilindros de carro). Carga, armado, presurización y etiquetado de carros: puestos comunes con factor Parametros B72.</t>
  </si>
  <si>
    <t>Parametros Recargas</t>
  </si>
  <si>
    <t>Turno tarde — ¿entra en el comedor?</t>
  </si>
  <si>
    <t>A2</t>
  </si>
  <si>
    <t>Celdas crema con número azul = datos editables. Todo lo demás son fórmulas. Demanda: datos_base › RECARGAS PLANTA INDUSTRIAL (filas 55–72, sin la fila TOTAL CARROS para no duplicar los equipos s/ruedas).</t>
  </si>
  <si>
    <t>C12</t>
  </si>
  <si>
    <t>IRAM 3517-2 Guía de control (Anexo B 2005 / Anexo E 2020): PH máx. cada 5 años (≥20 %/año). Se toma el 25 % definido en datos_base (B50) como criterio conservador.</t>
  </si>
  <si>
    <t>C13</t>
  </si>
  <si>
    <t>IRAM 3517-2: en agua, agua con AFFF, agua pulverizada y clase K la PH es como máximo cada 2 años (el agua es más agresiva con el recipiente).</t>
  </si>
  <si>
    <t>C14</t>
  </si>
  <si>
    <t>Supuesto editable. En CO₂ y agente limpio el control anual de rutina es por masa y hermeticidad (IRAM 3517-2 Anexo E; IRAM 3504 Anexo C); solo se vacían/recargan los que van a PH o llegan descargados.</t>
  </si>
  <si>
    <t>C15</t>
  </si>
  <si>
    <t>PH + ingresados descargados. Son los que pasan por desarme, carga específica (trasvasador / cargador) y ensamblaje.</t>
  </si>
  <si>
    <t>C16</t>
  </si>
  <si>
    <t>El ensayo de descarga ventea el agente, por eso se hace por muestreo: se aprovechan los equipos llenos que igual deben vaciarse para PH.</t>
  </si>
  <si>
    <t>C17</t>
  </si>
  <si>
    <t>IRAM 3517-2 pto. 3.5.3.7: ensayo de extinción del polvo existente ante dudas sobre su calidad. Supuesto: 10 % de los equipos de polvo (muestreo por lote).</t>
  </si>
  <si>
    <t>C18</t>
  </si>
  <si>
    <t>Plazas necesarias para almorzar en 2 tandas (máx. turno)</t>
  </si>
  <si>
    <t>Un equipo sobre ruedas (ABC 25–100 kg, AFFF 50 l) ocupa el puesto ~3 veces lo que uno manual de 1–10 kg (carro, morsa acorde al porte, más masa a cargar).</t>
  </si>
  <si>
    <t>C19</t>
  </si>
  <si>
    <t>Mismo umbral que producción (Resumen Capacidad B50): si el pico supera este % se agrega máquina (antes del año del 2° turno) o se suma la tarde (desde ese año).</t>
  </si>
  <si>
    <t>C20</t>
  </si>
  <si>
    <t>Tomado de Parametros B67 (90 %: el rendimiento de cada puesto ya incluye fatiga y demoras). Operarios polivalentes: rotan entre puestos según la cola; se dimensionan por horas-hombre totales y no por puesto.</t>
  </si>
  <si>
    <t>C21</t>
  </si>
  <si>
    <t>IRAM 3517-2: prestador habilitado con responsable técnico; controla sala (HR ≤70 %), liberación por lote y trazabilidad. Personal indirecto.</t>
  </si>
  <si>
    <t>C22</t>
  </si>
  <si>
    <t>IRAM 3517-2:2020 9.10: se pintan los que llegan oxidados, rayados hasta el metal o sin brillo. SUPUESTO 15 %.</t>
  </si>
  <si>
    <t>R26</t>
  </si>
  <si>
    <t>La recarga del 1 kg la tracciona la VTV, que en PBA y CABA se asigna por terminación de patente: un dígito por mes de febrero (2) a noviembre (1) → ~10 % del parque verificable por mes. Dic y ene no tienen dígito (solo rezagados), pero suben por viajes de vacaciones y controles en ruta. Resultado: base pareja 7,8 % feb–nov y pico moderado dic 12 % / ene 10 %.</t>
  </si>
  <si>
    <t>R27</t>
  </si>
  <si>
    <t>Consorcios, comercios e instituciones: el vencimiento es 12 meses después de la última recarga, así que la demanda se escalona según la fecha de alta de cada equipo. Leve pico a fin de año por cierre de ejercicio de consorcios y comercios, y mayor conciencia preventiva jul–mar (temporada de incendios, SNMF) — docx Dimensionamiento de recargas, cap. 1.</t>
  </si>
  <si>
    <t>D. SANITARIOS Y DUCHAS — Dec. 351/79 art. 49</t>
  </si>
  <si>
    <t>R28</t>
  </si>
  <si>
    <t>Industrias y depósitos sujetos a auditoría: recarga anual completa y pareja. Suben enero y julio porque las plantas aprovechan las paradas de mantenimiento de vacaciones de verano e invierno para el servicio de los equipos rodantes.</t>
  </si>
  <si>
    <t>A29</t>
  </si>
  <si>
    <t>Referencia: perfil original automovilístico (Parametros fila 3)</t>
  </si>
  <si>
    <t>J54</t>
  </si>
  <si>
    <t>Pto. 3.2: clasificación por familia de agente y capacidad, OT y tarjeta de trazabilidad.</t>
  </si>
  <si>
    <t>Hombres en el turno más numeroso</t>
  </si>
  <si>
    <t>J55</t>
  </si>
  <si>
    <t>Inspección preliminar de corrosión, golpes, válvula y fecha de PH.</t>
  </si>
  <si>
    <t>J56</t>
  </si>
  <si>
    <t>Anexo E: polvo manual ≥8 s y ≥85 % descargado. Equipo de descarga y recuperación EXCLUSIVO para ABC: no se mezclan polvos (IRAM 3517-2 3.5.3.4).</t>
  </si>
  <si>
    <t>J57</t>
  </si>
  <si>
    <t>Mismo ensayo del Anexo E, con equipo propio: el polvo BC (bicarbonato) mezclado con ABC reacciona y puede hacer estallar el extintor (3.5.3.4).</t>
  </si>
  <si>
    <t>J58</t>
  </si>
  <si>
    <t>Clase D (metales): sin ensayo de descarga normalizado; se vacía a mano en recipiente propio para no contaminar los equipos de ABC/BC.</t>
  </si>
  <si>
    <t>J59</t>
  </si>
  <si>
    <t>Anexo E: agua 40–65 s y ≥95 %; AFFF 40–65 s y ≥85 %; clase K ≥30 s y ≥85 %.</t>
  </si>
  <si>
    <t>J60</t>
  </si>
  <si>
    <t>Anexo E: CO₂ ≥8 s y ≥80 %. Se ventea el agente → solo equipos que igual se vacían para PH.</t>
  </si>
  <si>
    <t>J61</t>
  </si>
  <si>
    <t>IRAM 3504 pto. 5.8: ≥90 % en ≥8 s. Rutina por masa (Anexo C); descarga por muestreo con recuperación del agente.</t>
  </si>
  <si>
    <t>J62</t>
  </si>
  <si>
    <t>Pto. 3.4 / Anexo F: separar recipiente, agente y mecanismo; mantenimiento de válvula.</t>
  </si>
  <si>
    <t>J63</t>
  </si>
  <si>
    <t>Pto. 3.5.3.7: ensayo de extinción del polvo en laboratorio (≤1,7 g ABC gris). Si aprueba se reutiliza; si no, carga nueva.</t>
  </si>
  <si>
    <t>J64</t>
  </si>
  <si>
    <t>Guía de control: agua, espuma y clase K se recargan cada año con lavado interior previo.</t>
  </si>
  <si>
    <t>J65</t>
  </si>
  <si>
    <t>Pto. 4.3.2.2: baja presión a 2,5× Ps durante 1 min; CO₂ a presión IRAM 2533 en jaula. No aprueba ⇒ 2 orificios ≥10 mm + "NO APTO".</t>
  </si>
  <si>
    <t>J66</t>
  </si>
  <si>
    <t>Tras la PH se seca todo extintor cuyo agente no es agua. Líquidos: no aplica (agente acuoso).</t>
  </si>
  <si>
    <t>J67</t>
  </si>
  <si>
    <t>Anexo E: 1 y 2,5 kg 0/+100 g; 5 y 10 kg 0/+300 g. Sala HR ≤70 % y 8 renov./h (3.7.1). No mezclar ABC con BC (3.5.3.4).</t>
  </si>
  <si>
    <t>J68</t>
  </si>
  <si>
    <t>Anexo E: 5 kg 0/+300 g. Equipo propio de BC: nunca por la misma máquina que el ABC (3.5.3.4).</t>
  </si>
  <si>
    <t>J69</t>
  </si>
  <si>
    <t>Mujeres en el turno más numeroso</t>
  </si>
  <si>
    <t>La clase D se carga a mano con embudo para no contaminar la máquina de vacío; recarga por peso.</t>
  </si>
  <si>
    <t>J70</t>
  </si>
  <si>
    <t>Anexo E: agua y AFFF ±3 % en volumen; clase K 0/+3 %. Agente K según IRAM 3697 (recipiente inoxidable IRAM 3694).</t>
  </si>
  <si>
    <t>J71</t>
  </si>
  <si>
    <t>Anexo E: CO₂ 0/−5 % (nunca por encima del nominal). Reemplazo del conjunto de seguridad (IRAM 2736) en cada vaciado total.</t>
  </si>
  <si>
    <t>J72</t>
  </si>
  <si>
    <t>Tabla 3 (2020): 1–2,5 kg 0/−2 %; 5–10 kg 0/−3 %. Luego superpresurización con N₂.</t>
  </si>
  <si>
    <t>J73</t>
  </si>
  <si>
    <t>Pto. 3.8: anillo de verificación, pescante a 3 mm del fondo, sellado de rosca (teflón / O-ring).</t>
  </si>
  <si>
    <t>J74</t>
  </si>
  <si>
    <t>Hasta la presión de trabajo exacta. El CO₂ se autopresuriza (no pasa por aquí).</t>
  </si>
  <si>
    <t>J75</t>
  </si>
  <si>
    <t>Control anual de masa de CO₂ y agente limpio (Anexo E / IRAM 3504 Anexo C).</t>
  </si>
  <si>
    <t>J76</t>
  </si>
  <si>
    <t>Inmersión en agua limpia 1 min sin burbujas + inspección visual y auditiva.</t>
  </si>
  <si>
    <t>J77</t>
  </si>
  <si>
    <t>IRAM 3517-2:2020 9.10 y 4.4.1 h): quitar óxido y pintura floja, desengrasar y pintar del color de la norma de fabricación.</t>
  </si>
  <si>
    <t>J78</t>
  </si>
  <si>
    <t>Oblea con sello IRAM, presión de prueba, fecha de recarga y de PH.</t>
  </si>
  <si>
    <t>J79</t>
  </si>
  <si>
    <t>Precintos, pasadores de seguridad y cierre de trazabilidad.</t>
  </si>
  <si>
    <t>Inodoros H requeridos (art. 49)</t>
  </si>
  <si>
    <t>B85</t>
  </si>
  <si>
    <t>Apertura de OT, lectura de etiqueta (origen, capacidad, fechas de recarga y PH), filtro de vida útil (20 años; CO₂ ≤10 kg: 30 años)</t>
  </si>
  <si>
    <t>C85</t>
  </si>
  <si>
    <t>Manual (PC + lector de código de barras; OT por lote de cliente)</t>
  </si>
  <si>
    <t>O85</t>
  </si>
  <si>
    <t>Polvo ABC, Polvo BC, Polvo Clase D, Líquidos, CO₂, Agente limpio</t>
  </si>
  <si>
    <t>O86</t>
  </si>
  <si>
    <t>B87</t>
  </si>
  <si>
    <t>Pesada, descarga en gabinete con filtro de cartucho y recuperación del polvo ABC, cronometrado y registro</t>
  </si>
  <si>
    <t>C87</t>
  </si>
  <si>
    <t>Gabinete de descarga + recuperadora FS-SDP-1 exclusiva ABC</t>
  </si>
  <si>
    <t>T87</t>
  </si>
  <si>
    <t>Coef. hombre–máquina: el gabinete descarga y recupera solo; mientras, el operario desarma el equipo anterior (0,5).</t>
  </si>
  <si>
    <t>B88</t>
  </si>
  <si>
    <t>Descarga y recuperación del polvo BC en equipo exclusivo</t>
  </si>
  <si>
    <t>C88</t>
  </si>
  <si>
    <t>FS-ZR01 exclusiva BC (recupera + carga en la misma unidad)</t>
  </si>
  <si>
    <t>B89</t>
  </si>
  <si>
    <t>Vaciado manual en recipiente exclusivo y pesada</t>
  </si>
  <si>
    <t>B90</t>
  </si>
  <si>
    <t>Descarga a chorro/neblina en banco con recolección, cronometrado y pesada</t>
  </si>
  <si>
    <t>B91</t>
  </si>
  <si>
    <t>Descarga en campana de venteo, cronometrado y pesada</t>
  </si>
  <si>
    <t>Inodoros H: disponibles (plano) → estado</t>
  </si>
  <si>
    <t>B92</t>
  </si>
  <si>
    <t>Descarga con recuperación del halocarbonado y pesada</t>
  </si>
  <si>
    <t>B93</t>
  </si>
  <si>
    <t>Desenroscado de válvula y pescante, vaciado del remanente, revisión de válvula</t>
  </si>
  <si>
    <t>O93</t>
  </si>
  <si>
    <t>B94</t>
  </si>
  <si>
    <t>Ensayo de extinción (puffer, IRAM 3672) + ensayo de fusión en mufla (IRAM 3569, 3517-2 9.9.3.3)</t>
  </si>
  <si>
    <t>T94</t>
  </si>
  <si>
    <t>Coef. hombre–máquina: el ensayo de extinción corre por lote; el operario prepara la muestra siguiente (0,5).</t>
  </si>
  <si>
    <t>B96</t>
  </si>
  <si>
    <t>Inspección interna con cámara + ensayo hidrostático con medición de deformación (IRAM 2587)</t>
  </si>
  <si>
    <t>C96</t>
  </si>
  <si>
    <t>FS-HPT1 Firesafer (con jaula) + cámara de inspección</t>
  </si>
  <si>
    <t>O96</t>
  </si>
  <si>
    <t>T96</t>
  </si>
  <si>
    <t>Máquina común a las 4 familias (tronco común). Cambio de rango baja ↔ alta presión (CO₂). Coef. hombre–máquina: 3 cilindros con 1 min de sostenimiento automático; el operario carga el secado mientras (0,5).</t>
  </si>
  <si>
    <t>Lavabos H requeridos (art. 49)</t>
  </si>
  <si>
    <t>B97</t>
  </si>
  <si>
    <t>Secado invertido con aire precalentado (4 cabezales, ciclo ~10 min)</t>
  </si>
  <si>
    <t>T97</t>
  </si>
  <si>
    <t>Ciclo efectivo por unidad: 4 cilindros cada ~10 min. Coef. hombre–máquina: 4 cabezales con ciclo de ~10 min: solo se carga y descarga (0,25).</t>
  </si>
  <si>
    <t>B98</t>
  </si>
  <si>
    <t>Tara en balanza, carga por vacío (reúso + reposición o carga nueva), ajuste de peso</t>
  </si>
  <si>
    <t>C98</t>
  </si>
  <si>
    <t>FS-ZR01 Firesafer exclusiva ABC (5 kg/min) / FS-ADS para s/ruedas</t>
  </si>
  <si>
    <t>T98</t>
  </si>
  <si>
    <t>Máquina exclusiva ABC: no se mezclan polvos (IRAM 3517-2 3.5.3.4). S/ruedas en u. equivalentes. Coef. hombre–máquina: la FS-ZR01 carga por vacío con corte por peso; el operario posiciona el siguiente (0,5).</t>
  </si>
  <si>
    <t>C99</t>
  </si>
  <si>
    <t>FS-ZR01 exclusiva BC (la misma unidad que recupera BC)</t>
  </si>
  <si>
    <t>T99</t>
  </si>
  <si>
    <t>Máquina exclusiva BC. Volumen muy bajo: la misma FS-ZR01 hace recuperación y carga de BC.</t>
  </si>
  <si>
    <t>T101</t>
  </si>
  <si>
    <t>Cambio agua / AFFF / K con enjuague del circuito de dosificación.</t>
  </si>
  <si>
    <t>B102</t>
  </si>
  <si>
    <t>Carga por peso con válvula antisobrecarga + cambio de conjunto de seguridad</t>
  </si>
  <si>
    <t>C102</t>
  </si>
  <si>
    <t>FS-CO2M Firesafer (1–6 kg/min) + morsa alta presión</t>
  </si>
  <si>
    <t>B103</t>
  </si>
  <si>
    <t>Carga por peso del halocarbonado y superpresurización</t>
  </si>
  <si>
    <t>B104</t>
  </si>
  <si>
    <t>Colocación de anillo, ajuste de pescante y sellado</t>
  </si>
  <si>
    <t>O104</t>
  </si>
  <si>
    <t>B105</t>
  </si>
  <si>
    <t>Presurización con nitrógeno y verificación de manómetro</t>
  </si>
  <si>
    <t>C105</t>
  </si>
  <si>
    <t>LEER EL ART 49 PARA VERIFICAR</t>
  </si>
  <si>
    <t>FS-N2C Firesafer (presuriza + verifica manómetro)</t>
  </si>
  <si>
    <t>O107</t>
  </si>
  <si>
    <t>T107</t>
  </si>
  <si>
    <t>Ciclo efectivo por unidad: 1 min de inmersión con 4 equipos simultáneos + manipulación. Coef. hombre–máquina: pileta de 4 posiciones con 1 min de inmersión: solo se sumerge y observa (0,25).</t>
  </si>
  <si>
    <t>B108</t>
  </si>
  <si>
    <t>Lijado, desengrase y pintado a soplete; secado</t>
  </si>
  <si>
    <t>O108</t>
  </si>
  <si>
    <t>Lavabos H: disponibles (plano) → estado</t>
  </si>
  <si>
    <t>O109</t>
  </si>
  <si>
    <t>O110</t>
  </si>
  <si>
    <t>Servicios y Oficinas</t>
  </si>
  <si>
    <t>Refrigerio: CCT 260/75 art. 20 — jornada continua de 8 h ⇒ 30 min para merendar, pago y dentro de la jornada (no se descuenta ni se recupera). Se toma en tandas: la mitad del turno almuerza y después el resto, para no parar la planta. Horas productivas por turno = 8 − 0,5 = 7,5 h (ya aplicado en toda la capacidad del modelo). Servicios sanitarios: Decreto 351/79 (Ley 19.587) Anexo I arts. 46–52.</t>
  </si>
  <si>
    <t>M8</t>
  </si>
  <si>
    <t>Supuesto (metalúrgica). Define sanitarios y armarios por sexo.</t>
  </si>
  <si>
    <t>M9</t>
  </si>
  <si>
    <t>Plano: 46 m² · 6 puestos. Reuniones 19 m², Hall 20 m², EPP.</t>
  </si>
  <si>
    <t>M12</t>
  </si>
  <si>
    <t>Plano: bloque "sanitarios" H — leído 6 cabinas (3 inodoros + 3 duchas). CONFIRMAR.</t>
  </si>
  <si>
    <t>M14</t>
  </si>
  <si>
    <t>Plano: columna "mingitorios" (confirmar cantidad).</t>
  </si>
  <si>
    <t>M21</t>
  </si>
  <si>
    <t>Conduce producción + recargas; responsable ante la ART y la autoridad.</t>
  </si>
  <si>
    <t>M22</t>
  </si>
  <si>
    <t>Exigido para prestador habilitado de recarga y para el sello de producto; libera lotes y firma trazabilidad.</t>
  </si>
  <si>
    <t>M23</t>
  </si>
  <si>
    <t>Facturación, cuentas corrientes, distribuidores.</t>
  </si>
  <si>
    <t>Mingitorios H requeridos (art. 49)</t>
  </si>
  <si>
    <t>M24</t>
  </si>
  <si>
    <t>Hasta 2029 también programa la producción (PCP).</t>
  </si>
  <si>
    <t>M25</t>
  </si>
  <si>
    <t>Desde 2028 el volumen de recargas justifica un puesto propio de mostrador/OT.</t>
  </si>
  <si>
    <t>M26</t>
  </si>
  <si>
    <t>Desde 2030: stock oct–nov, pool de turno tarde y 2 turnos requieren programación dedicada.</t>
  </si>
  <si>
    <t>M27</t>
  </si>
  <si>
    <t>Automático: 1 cuando la planta tiene 2° turno (Resumen H50). Atiende clientes de recargas a la tarde y cierra OT. Usa un escritorio de la oficina.</t>
  </si>
  <si>
    <t>M29</t>
  </si>
  <si>
    <t>Externos (no suman dotación): servicio de Higiene y Seguridad (Dec. 1338/96, horas-profesional según dotación), medicina laboral y estudio contable.</t>
  </si>
  <si>
    <t>M45</t>
  </si>
  <si>
    <t>Turno mañana 6:00–14:00 → tanda 1 9:30–10:00 · tanda 2 10:00–10:30 (· tanda 3 10:30–11:00 si hace falta).</t>
  </si>
  <si>
    <t>M47</t>
  </si>
  <si>
    <t>Mientras una tanda almuerza, la otra cubre los puestos cuello de botella (polivalencia). El resto de los puestos para 30 min: ya descontado en las 7,5 h productivas.</t>
  </si>
  <si>
    <t>M49</t>
  </si>
  <si>
    <t>Turno tarde 14:00–22:00 → tanda 1 17:30–18:00 · tanda 2 18:00–18:30. Administración de mañana: 12:30–13:00 (no se superpone).</t>
  </si>
  <si>
    <t>M54</t>
  </si>
  <si>
    <t>Art. 49: hasta 5 → 1 inodoro, 1 lavabo, 1 ducha; 6–10 ídem por sexo; 11–20 → H: 1 inodoro, 2 lavabos, 1 orinal, 2 duchas (M: sin orinal); más de 20 → se agrega 1 inodoro c/20, 1 lavabo y 1 orinal c/10 y 1 ducha c/20 (interpretación aditiva).</t>
  </si>
  <si>
    <t>Lotes y Calidad</t>
  </si>
  <si>
    <t>D15</t>
  </si>
  <si>
    <t>IRAM 15 nivel II, 1ª etapa del plan múltiple (verificar con la tabla)</t>
  </si>
  <si>
    <t>A105</t>
  </si>
  <si>
    <t>Mingitorios H: disponibles (plano) → estado</t>
  </si>
  <si>
    <t>Un lote de carros cierra cada ~15 días hábiles y la cuarentena dura 5: casi nunca se juntan 2. El lugar se comparte con lotes retenidos y rechazos.</t>
  </si>
  <si>
    <t>M5</t>
  </si>
  <si>
    <t>CCT 260/75 art. 20.</t>
  </si>
  <si>
    <t>M6</t>
  </si>
  <si>
    <t>Igual al refrigerio.</t>
  </si>
  <si>
    <t>M7</t>
  </si>
  <si>
    <t>Plano: Comedor.</t>
  </si>
  <si>
    <t>M10</t>
  </si>
  <si>
    <t>Plano: 14 + 2×13 + 10 (confirmar).</t>
  </si>
  <si>
    <t>M11</t>
  </si>
  <si>
    <t>Plano: 10 (confirmar).</t>
  </si>
  <si>
    <t>M13</t>
  </si>
  <si>
    <t>No se distinguen en el plano — CONFIRMAR.</t>
  </si>
  <si>
    <t>M15</t>
  </si>
  <si>
    <t>Ver inodoros H. CONFIRMAR.</t>
  </si>
  <si>
    <t>M16</t>
  </si>
  <si>
    <t>Plano: bloque "sanitarios" M. CONFIRMAR.</t>
  </si>
  <si>
    <t>M17</t>
  </si>
  <si>
    <t>CONFIRMAR (tocador).</t>
  </si>
  <si>
    <t>Duchas H requeridos (art. 49)</t>
  </si>
  <si>
    <t>M18</t>
  </si>
  <si>
    <t>CONFIRMAR.</t>
  </si>
  <si>
    <t>Duchas H: disponibles (plano) → estado</t>
  </si>
  <si>
    <t>Inodoros M requeridos (art. 49)</t>
  </si>
  <si>
    <t>Inodoros M: disponibles (plano) → estado</t>
  </si>
  <si>
    <t>Lavabos M requeridos (art. 49)</t>
  </si>
  <si>
    <t>Lavabos M: disponibles (plano) → estado</t>
  </si>
  <si>
    <t>Duchas M requeridos (art. 49)</t>
  </si>
  <si>
    <t>PLAN DE PRODUCCIÓN MENSUAL — Año 2027</t>
  </si>
  <si>
    <t>Duchas M: disponibles (plano) → estado</t>
  </si>
  <si>
    <t>Unidades = demanda anual (datos_base) × % mensual (Parametros). Año editable en la celda amarilla.</t>
  </si>
  <si>
    <t>Año:</t>
  </si>
  <si>
    <t>E. VESTUARIOS — armarios individuales</t>
  </si>
  <si>
    <t>Trabajadores hombres (total ambos turnos)</t>
  </si>
  <si>
    <t>Matafuegos</t>
  </si>
  <si>
    <t>Trabajadoras mujeres (total ambos turnos)</t>
  </si>
  <si>
    <t>Total anual</t>
  </si>
  <si>
    <t>Promedio</t>
  </si>
  <si>
    <t>Armarios H → estado</t>
  </si>
  <si>
    <t>Armarios M → estado</t>
  </si>
  <si>
    <t>PLAN DE PRODUCCIÓN MENSUAL — Año 2026</t>
  </si>
  <si>
    <t xml:space="preserve">Unidades = demanda anual  × % mensual </t>
  </si>
  <si>
    <t>PLAN DE PRODUCCIÓN MENSUAL — Año 2028</t>
  </si>
  <si>
    <t>Cilindros</t>
  </si>
  <si>
    <t>Un x mes</t>
  </si>
  <si>
    <t>Un x día</t>
  </si>
  <si>
    <t>Un x hora</t>
  </si>
  <si>
    <t>Cap teórica (u/hs)</t>
  </si>
  <si>
    <t>Cap real (u/hs)</t>
  </si>
  <si>
    <t>Cantidad de máquinas</t>
  </si>
  <si>
    <t>Carros 25–100 kg (terminados + cilindros)</t>
  </si>
  <si>
    <t>PLAN DE PRODUCCIÓN MENSUAL — Año 2029</t>
  </si>
  <si>
    <t>PLAN DE PRODUCCIÓN MENSUAL — Año 2030</t>
  </si>
  <si>
    <t>PLAN DE PRODUCCIÓN MENSUAL — Año 2031</t>
  </si>
  <si>
    <t>PLAN DE PRODUCCIÓN MENSUAL — Año 2032</t>
  </si>
  <si>
    <t>PLAN DE PRODUCCIÓN MENSUAL — Año 2033</t>
  </si>
  <si>
    <t>PLAN DE PRODUCCIÓN MENSUAL — Año 2034</t>
  </si>
  <si>
    <t>PLAN DE PRODUCCIÓN MENSUAL — Año 2035</t>
  </si>
  <si>
    <t>AÑO 2026 — Puestos agregados</t>
  </si>
  <si>
    <t>Puesto : Corrección de defectos</t>
  </si>
  <si>
    <t>CIL+TERM 1-10 × 5 %</t>
  </si>
  <si>
    <t>Puesto : Cortadora de plasma (1kg)</t>
  </si>
  <si>
    <t>1 kg (TERM + CIL)</t>
  </si>
  <si>
    <t>AÑO 2027 — Puestos agregados</t>
  </si>
  <si>
    <t>AÑO 2028 — Puestos agregados</t>
  </si>
  <si>
    <t>AÑO 2029 — Puestos agregados</t>
  </si>
  <si>
    <t>AÑO 2030 — Puestos agregados</t>
  </si>
  <si>
    <t>AÑO 2031 — Puestos agregados</t>
  </si>
  <si>
    <t>AÑO 2032 — Puestos agregados</t>
  </si>
  <si>
    <t>AÑO 2033 — Puestos agregados</t>
  </si>
  <si>
    <t>AÑO 2034 — Puestos agregados</t>
  </si>
  <si>
    <t>AÑO 2035 — Puestos agregados</t>
  </si>
  <si>
    <t>AÑO 2026 — LÍNEA DE CARROS 25–100 kg (plan de fabricación)</t>
  </si>
  <si>
    <t>Stock = acumulado − el acumulado más bajo del año (el stock nunca queda negativo y termina el año como empezó).</t>
  </si>
  <si>
    <t>Carros terminados vendidos (u/mes)</t>
  </si>
  <si>
    <t>Cilindros de carro vendidos (u/mes)</t>
  </si>
  <si>
    <t>Carros vendidos (u/mes)</t>
  </si>
  <si>
    <t>Carros terminados a fabricar (u/mes)</t>
  </si>
  <si>
    <t>Cilindros de carro a fabricar (u/mes)</t>
  </si>
  <si>
    <t>Carros a fabricar (u/mes)</t>
  </si>
  <si>
    <t>Stock de carros al final del mes (u)</t>
  </si>
  <si>
    <t>Puesto : Carros — cilindrado de chapa</t>
  </si>
  <si>
    <t>Carros a fabricar</t>
  </si>
  <si>
    <t>Puesto : Carros — punteo, refuerzo y estructura del carro</t>
  </si>
  <si>
    <t>Puesto : Carros — soldadura longitudinal</t>
  </si>
  <si>
    <t>Puesto : Carros — soldadura circunferencial fondo y cúpula</t>
  </si>
  <si>
    <t>Puesto : Carros — inspección de costuras int. y ext.</t>
  </si>
  <si>
    <t>Puesto : Carros — prueba hidráulica (IRAM 3550, 4,0 MPa)</t>
  </si>
  <si>
    <t>Puesto : Carros — marcado del recipiente</t>
  </si>
  <si>
    <t>Puesto : Carros — probetas de soldadura</t>
  </si>
  <si>
    <t>AÑO 2027 — LÍNEA DE CARROS 25–100 kg (plan de fabricación)</t>
  </si>
  <si>
    <t>AÑO 2028 — LÍNEA DE CARROS 25–100 kg (plan de fabricación)</t>
  </si>
  <si>
    <t>AÑO 2029 — LÍNEA DE CARROS 25–100 kg (plan de fabricación)</t>
  </si>
  <si>
    <t>AÑO 2030 — LÍNEA DE CARROS 25–100 kg (plan de fabricación)</t>
  </si>
  <si>
    <t>AÑO 2031 — LÍNEA DE CARROS 25–100 kg (plan de fabricación)</t>
  </si>
  <si>
    <t>AÑO 2032 — LÍNEA DE CARROS 25–100 kg (plan de fabricación)</t>
  </si>
  <si>
    <t>AÑO 2033 — LÍNEA DE CARROS 25–100 kg (plan de fabricación)</t>
  </si>
  <si>
    <t>AÑO 2034 — LÍNEA DE CARROS 25–100 kg (plan de fabricación)</t>
  </si>
  <si>
    <t>AÑO 2035 — LÍNEA DE CARROS 25–100 kg (plan de fabricación)</t>
  </si>
  <si>
    <t>Puesto : Corte de chapa en guillotina (cuerpos 2,5–10 kg y carros) — 2026</t>
  </si>
  <si>
    <t>Cuerpos 2,5–10 kg (term. + cil.) + carros a fabricar</t>
  </si>
  <si>
    <t>Puesto : Corte de chapa en guillotina (cuerpos 2,5–10 kg y carros) — 2027</t>
  </si>
  <si>
    <t>Puesto : Corte de chapa en guillotina (cuerpos 2,5–10 kg y carros) — 2028</t>
  </si>
  <si>
    <t>Puesto : Corte de chapa en guillotina (cuerpos 2,5–10 kg y carros) — 2029</t>
  </si>
  <si>
    <t>Puesto : Corte de chapa en guillotina (cuerpos 2,5–10 kg y carros) — 2030</t>
  </si>
  <si>
    <t>Puesto : Corte de chapa en guillotina (cuerpos 2,5–10 kg y carros) — 2031</t>
  </si>
  <si>
    <t>Puesto : Corte de chapa en guillotina (cuerpos 2,5–10 kg y carros) — 2032</t>
  </si>
  <si>
    <t>Puesto : Corte de chapa en guillotina (cuerpos 2,5–10 kg y carros) — 2033</t>
  </si>
  <si>
    <t>Puesto : Corte de chapa en guillotina (cuerpos 2,5–10 kg y carros) — 2034</t>
  </si>
  <si>
    <t>Puesto : Corte de chapa en guillotina (cuerpos 2,5–10 kg y carros) — 2035</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</si>
</sst>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0.0"/>
    <numFmt numFmtId="166" formatCode="0.000"/>
    <numFmt numFmtId="167" formatCode="0.0000"/>
    <numFmt numFmtId="168" formatCode="\+0;\-0;0"/>
    <numFmt numFmtId="169" formatCode="&quot;$ &quot;#,##0"/>
    <numFmt numFmtId="170" formatCode="\+#,##0;\-#,##0;0"/>
    <numFmt numFmtId="171" formatCode="\+0%;\-0%;0%"/>
    <numFmt numFmtId="172" formatCode="0&quot; h&quot;"/>
    <numFmt numFmtId="173" formatCode="#,##0.0"/>
  </numFmts>
  <fonts count="37">
    <font>
      <sz val="10.0"/>
      <color rgb="FF000000"/>
      <name val="Arial"/>
      <scheme val="minor"/>
    </font>
    <font>
      <b/>
      <sz val="11.0"/>
      <color theme="1"/>
      <name val="Arial"/>
    </font>
    <font/>
    <font>
      <sz val="11.0"/>
      <color theme="1"/>
      <name val="Arial"/>
    </font>
    <font>
      <b/>
      <sz val="9.0"/>
      <color rgb="FFFFFFFF"/>
      <name val="Arial"/>
    </font>
    <font>
      <b/>
      <sz val="11.0"/>
      <color rgb="FFFFFFFF"/>
      <name val="Arial"/>
    </font>
    <font>
      <b/>
      <sz val="10.0"/>
      <color theme="1"/>
      <name val="Arial"/>
    </font>
    <font>
      <b/>
      <sz val="11.0"/>
      <color rgb="FF0000FF"/>
      <name val="Arial"/>
    </font>
    <font>
      <sz val="9.0"/>
      <color theme="1"/>
      <name val="Arial"/>
    </font>
    <font>
      <b/>
      <sz val="12.0"/>
      <color theme="1"/>
      <name val="Arial"/>
    </font>
    <font>
      <sz val="9.0"/>
      <color rgb="FF777777"/>
      <name val="Arial"/>
    </font>
    <font>
      <sz val="9.0"/>
      <color rgb="FF0000FF"/>
      <name val="Arial"/>
    </font>
    <font>
      <sz val="10.0"/>
      <color theme="1"/>
      <name val="Arial"/>
    </font>
    <font>
      <b/>
      <sz val="10.0"/>
      <color rgb="FF0000FF"/>
      <name val="Arial"/>
    </font>
    <font>
      <b/>
      <sz val="10.0"/>
      <color rgb="FFFFFFFF"/>
      <name val="Arial"/>
    </font>
    <font>
      <sz val="9.0"/>
      <color rgb="FFCC0000"/>
      <name val="Arial"/>
    </font>
    <font>
      <b/>
      <sz val="11.0"/>
      <color rgb="FF000000"/>
      <name val="Arial"/>
    </font>
    <font>
      <b/>
      <sz val="10.0"/>
      <color rgb="FF000000"/>
      <name val="Arial"/>
    </font>
    <font>
      <sz val="10.0"/>
      <color rgb="FF000000"/>
      <name val="Arial"/>
    </font>
    <font>
      <u/>
      <sz val="10.0"/>
      <color rgb="FF0000FF"/>
      <name val="Arial"/>
    </font>
    <font>
      <sz val="10.0"/>
      <color rgb="FF0000FF"/>
      <name val="Arial"/>
    </font>
    <font>
      <u/>
      <sz val="10.0"/>
      <color theme="1"/>
      <name val="Arial"/>
    </font>
    <font>
      <sz val="8.0"/>
      <color rgb="FF595959"/>
      <name val="Arial"/>
    </font>
    <font>
      <i/>
      <sz val="8.0"/>
      <color rgb="FF595959"/>
      <name val="Arial"/>
    </font>
    <font>
      <sz val="11.0"/>
      <color rgb="FF000000"/>
      <name val="Arial"/>
    </font>
    <font>
      <i/>
      <sz val="9.0"/>
      <color theme="1"/>
      <name val="Arial"/>
    </font>
    <font>
      <sz val="11.0"/>
      <color rgb="FF0000FF"/>
      <name val="Arial"/>
    </font>
    <font>
      <b/>
      <sz val="9.0"/>
      <color theme="1"/>
      <name val="Arial"/>
    </font>
    <font>
      <sz val="9.0"/>
      <color rgb="FF666666"/>
      <name val="Arial"/>
    </font>
    <font>
      <b/>
      <sz val="12.0"/>
      <color rgb="FFFFFFFF"/>
      <name val="Arial"/>
    </font>
    <font>
      <i/>
      <sz val="10.0"/>
      <color theme="1"/>
      <name val="Arial"/>
    </font>
    <font>
      <i/>
      <sz val="10.0"/>
      <color rgb="FF777777"/>
      <name val="Arial"/>
    </font>
    <font>
      <sz val="8.0"/>
      <color rgb="FF666666"/>
      <name val="Arial"/>
    </font>
    <font>
      <b/>
      <sz val="8.0"/>
      <color rgb="FF666666"/>
      <name val="Arial"/>
    </font>
    <font>
      <sz val="9.0"/>
      <color rgb="FF888888"/>
      <name val="Arial"/>
    </font>
    <font>
      <color theme="1"/>
      <name val="Arial"/>
      <scheme val="minor"/>
    </font>
    <font>
      <sz val="8.0"/>
      <color rgb="FFFFFFFF"/>
      <name val="Arial"/>
    </font>
  </fonts>
  <fills count="17">
    <fill>
      <patternFill patternType="none"/>
    </fill>
    <fill>
      <patternFill patternType="lightGray"/>
    </fill>
    <fill>
      <patternFill patternType="solid">
        <fgColor rgb="FFD9D9D9"/>
        <bgColor rgb="FFD9D9D9"/>
      </patternFill>
    </fill>
    <fill>
      <patternFill patternType="solid">
        <fgColor rgb="FF000000"/>
        <bgColor rgb="FF000000"/>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4A86E8"/>
        <bgColor rgb="FF4A86E8"/>
      </patternFill>
    </fill>
    <fill>
      <patternFill patternType="solid">
        <fgColor rgb="FFE06666"/>
        <bgColor rgb="FFE06666"/>
      </patternFill>
    </fill>
    <fill>
      <patternFill patternType="solid">
        <fgColor rgb="FFFF9900"/>
        <bgColor rgb="FFFF9900"/>
      </patternFill>
    </fill>
    <fill>
      <patternFill patternType="solid">
        <fgColor rgb="FFFFE599"/>
        <bgColor rgb="FFFFE599"/>
      </patternFill>
    </fill>
    <fill>
      <patternFill patternType="solid">
        <fgColor rgb="FFFF0000"/>
        <bgColor rgb="FFFF0000"/>
      </patternFill>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rgb="FF595959"/>
        <bgColor rgb="FF595959"/>
      </patternFill>
    </fill>
  </fills>
  <borders count="31">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9DBDD"/>
      </left>
      <right style="thin">
        <color rgb="FFD9DBDD"/>
      </right>
      <top/>
      <bottom/>
    </border>
    <border>
      <left style="thin">
        <color rgb="FFD9DBDD"/>
      </left>
      <top style="thin">
        <color rgb="FFD9DBDD"/>
      </top>
      <bottom/>
    </border>
    <border>
      <top style="thin">
        <color rgb="FFD9DBDD"/>
      </top>
      <bottom/>
    </border>
    <border>
      <right style="thin">
        <color rgb="FFD9DBDD"/>
      </right>
      <top style="thin">
        <color rgb="FFD9DBDD"/>
      </top>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right/>
      <top style="thin">
        <color rgb="FF000000"/>
      </top>
      <bottom style="thin">
        <color rgb="FF000000"/>
      </bottom>
    </border>
    <border>
      <left style="thin">
        <color rgb="FFD9DBDD"/>
      </left>
      <right style="thin">
        <color rgb="FFD9DBDD"/>
      </right>
      <top style="thin">
        <color rgb="FFD9DBDD"/>
      </top>
      <bottom/>
    </border>
    <border>
      <left style="thin">
        <color rgb="FFD9E0E9"/>
      </left>
      <top style="thin">
        <color rgb="FFD9E0E9"/>
      </top>
      <bottom/>
    </border>
    <border>
      <top style="thin">
        <color rgb="FFD9E0E9"/>
      </top>
      <bottom/>
    </border>
    <border>
      <right style="thin">
        <color rgb="FFD9E0E9"/>
      </right>
      <top style="thin">
        <color rgb="FFD9E0E9"/>
      </top>
      <bottom/>
    </border>
    <border>
      <left style="thin">
        <color rgb="FFD9E0E9"/>
      </left>
      <right style="thin">
        <color rgb="FFD9E0E9"/>
      </right>
      <top style="thin">
        <color rgb="FFD9E0E9"/>
      </top>
      <bottom/>
    </border>
    <border>
      <left style="thin">
        <color rgb="FF000000"/>
      </left>
      <right style="thin">
        <color rgb="FF000000"/>
      </right>
      <top style="thin">
        <color rgb="FF000000"/>
      </top>
    </border>
    <border>
      <left style="thin">
        <color rgb="FF000000"/>
      </left>
      <right style="thin">
        <color rgb="FF000000"/>
      </right>
    </border>
    <border>
      <left style="thin">
        <color rgb="FFD9DBDD"/>
      </left>
      <top style="thin">
        <color rgb="FFD9DBDD"/>
      </top>
      <bottom style="thin">
        <color rgb="FFD9DBDD"/>
      </bottom>
    </border>
    <border>
      <top style="thin">
        <color rgb="FFD9DBDD"/>
      </top>
      <bottom style="thin">
        <color rgb="FFD9DBDD"/>
      </bottom>
    </border>
    <border>
      <right style="thin">
        <color rgb="FFD9DBDD"/>
      </right>
      <top style="thin">
        <color rgb="FFD9DBDD"/>
      </top>
      <bottom style="thin">
        <color rgb="FFD9DBDD"/>
      </bottom>
    </border>
    <border>
      <left style="thin">
        <color rgb="FFD9DBDD"/>
      </left>
      <right style="thin">
        <color rgb="FFD9DBDD"/>
      </right>
      <top style="thin">
        <color rgb="FFD9DBDD"/>
      </top>
      <bottom style="thin">
        <color rgb="FFD9DBDD"/>
      </bottom>
    </border>
    <border>
      <left style="thin">
        <color rgb="FFD9DBDD"/>
      </left>
      <right/>
      <top style="thin">
        <color rgb="FFD9DBDD"/>
      </top>
      <bottom style="thin">
        <color rgb="FFD9DBDD"/>
      </bottom>
    </border>
    <border>
      <left style="thin">
        <color rgb="FFD9DBDD"/>
      </left>
      <right style="thin">
        <color rgb="FFD9DBDD"/>
      </right>
      <top/>
      <bottom style="thin">
        <color rgb="FFD9DBDD"/>
      </bottom>
    </border>
  </borders>
  <cellStyleXfs count="1">
    <xf borderId="0" fillId="0" fontId="0" numFmtId="0" applyAlignment="1" applyFont="1"/>
  </cellStyleXfs>
  <cellXfs count="30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2" fontId="1" numFmtId="0" xfId="0" applyAlignment="1" applyBorder="1" applyFill="1" applyFont="1">
      <alignment horizontal="center" shrinkToFit="0" vertical="center" wrapText="0"/>
    </xf>
    <xf borderId="3" fillId="0" fontId="2" numFmtId="0" xfId="0" applyBorder="1" applyFont="1"/>
    <xf borderId="4" fillId="0" fontId="2" numFmtId="0" xfId="0" applyBorder="1" applyFont="1"/>
    <xf borderId="0" fillId="0" fontId="3" numFmtId="0" xfId="0" applyAlignment="1" applyFont="1">
      <alignment shrinkToFit="0" vertical="center" wrapText="0"/>
    </xf>
    <xf borderId="5" fillId="3" fontId="4" numFmtId="0" xfId="0" applyAlignment="1" applyBorder="1" applyFill="1" applyFont="1">
      <alignment horizontal="center" shrinkToFit="0" vertical="center" wrapText="0"/>
    </xf>
    <xf borderId="6" fillId="3" fontId="5" numFmtId="0" xfId="0" applyAlignment="1" applyBorder="1" applyFill="1" applyFont="1">
      <alignment horizontal="center" shrinkToFit="0" vertical="bottom" wrapText="0"/>
    </xf>
    <xf borderId="7" fillId="0" fontId="2" numFmtId="0" xfId="0" applyBorder="1" applyFont="1"/>
    <xf borderId="8" fillId="0" fontId="2" numFmtId="0" xfId="0" applyBorder="1" applyFont="1"/>
    <xf borderId="0" fillId="0" fontId="6" numFmtId="0" xfId="0" applyAlignment="1" applyFont="1">
      <alignment shrinkToFit="0" vertical="center" wrapText="0"/>
    </xf>
    <xf borderId="0" fillId="0" fontId="3" numFmtId="0" xfId="0" applyAlignment="1" applyFont="1">
      <alignment shrinkToFit="0" vertical="bottom" wrapText="0"/>
    </xf>
    <xf borderId="9" fillId="0" fontId="3" numFmtId="0" xfId="0" applyAlignment="1" applyBorder="1" applyFont="1">
      <alignment shrinkToFit="0" vertical="center" wrapText="0"/>
    </xf>
    <xf borderId="0" fillId="0" fontId="5" numFmtId="0" xfId="0" applyAlignment="1" applyFont="1">
      <alignment horizontal="center" shrinkToFit="0" vertical="bottom" wrapText="0"/>
    </xf>
    <xf borderId="9" fillId="0" fontId="7" numFmtId="164" xfId="0" applyAlignment="1" applyBorder="1" applyFont="1" applyNumberFormat="1">
      <alignment horizontal="center" shrinkToFit="0" vertical="center" wrapText="0"/>
    </xf>
    <xf borderId="10" fillId="2" fontId="1" numFmtId="0" xfId="0" applyAlignment="1" applyBorder="1" applyFill="1" applyFont="1">
      <alignment shrinkToFit="0" vertical="bottom" wrapText="0"/>
    </xf>
    <xf borderId="11" fillId="0" fontId="2" numFmtId="0" xfId="0" applyBorder="1" applyFont="1"/>
    <xf borderId="12" fillId="0" fontId="2" numFmtId="0" xfId="0" applyBorder="1" applyFont="1"/>
    <xf borderId="9" fillId="0" fontId="1" numFmtId="9" xfId="0" applyAlignment="1" applyBorder="1" applyFont="1" applyNumberFormat="1">
      <alignment horizontal="center" shrinkToFit="0" vertical="center" wrapText="0"/>
    </xf>
    <xf borderId="0" fillId="0" fontId="8" numFmtId="0" xfId="0" applyAlignment="1" applyFont="1">
      <alignment shrinkToFit="0" vertical="center" wrapText="0"/>
    </xf>
    <xf borderId="0" fillId="0" fontId="9" numFmtId="0" xfId="0" applyAlignment="1" applyFont="1">
      <alignment shrinkToFit="0" vertical="bottom" wrapText="0"/>
    </xf>
    <xf borderId="9" fillId="3" fontId="5" numFmtId="0" xfId="0" applyAlignment="1" applyBorder="1" applyFill="1" applyFont="1">
      <alignment horizontal="center" shrinkToFit="0" vertical="bottom" wrapText="0"/>
    </xf>
    <xf borderId="0" fillId="0" fontId="8" numFmtId="0" xfId="0" applyAlignment="1" applyFont="1">
      <alignment shrinkToFit="0" vertical="bottom" wrapText="0"/>
    </xf>
    <xf borderId="0" fillId="0" fontId="10" numFmtId="0" xfId="0" applyAlignment="1" applyFont="1">
      <alignment shrinkToFit="0" vertical="center" wrapText="0"/>
    </xf>
    <xf borderId="9" fillId="2" fontId="6" numFmtId="0" xfId="0" applyAlignment="1" applyBorder="1" applyFill="1" applyFont="1">
      <alignment shrinkToFit="0" vertical="bottom" wrapText="0"/>
    </xf>
    <xf borderId="0" fillId="0" fontId="11" numFmtId="9" xfId="0" applyAlignment="1" applyFont="1" applyNumberFormat="1">
      <alignment horizontal="center" shrinkToFit="0" vertical="center" wrapText="1"/>
    </xf>
    <xf borderId="9" fillId="0" fontId="3" numFmtId="0" xfId="0" applyAlignment="1" applyBorder="1" applyFont="1">
      <alignment horizontal="left" shrinkToFit="0" vertical="center" wrapText="0"/>
    </xf>
    <xf borderId="0" fillId="0" fontId="10" numFmtId="9" xfId="0" applyAlignment="1" applyFont="1" applyNumberFormat="1">
      <alignment shrinkToFit="0" vertical="center" wrapText="0"/>
    </xf>
    <xf borderId="0" fillId="0" fontId="12" numFmtId="0" xfId="0" applyAlignment="1" applyFont="1">
      <alignment shrinkToFit="0" vertical="center" wrapText="0"/>
    </xf>
    <xf borderId="9" fillId="2" fontId="6" numFmtId="0" xfId="0" applyAlignment="1" applyBorder="1" applyFill="1" applyFont="1">
      <alignment horizontal="center" shrinkToFit="0" vertical="center" wrapText="1"/>
    </xf>
    <xf borderId="9" fillId="0" fontId="12" numFmtId="0" xfId="0" applyAlignment="1" applyBorder="1" applyFont="1">
      <alignment shrinkToFit="0" vertical="bottom" wrapText="0"/>
    </xf>
    <xf borderId="9" fillId="0" fontId="13" numFmtId="1" xfId="0" applyAlignment="1" applyBorder="1" applyFont="1" applyNumberFormat="1">
      <alignment horizontal="center" shrinkToFit="0" vertical="center" wrapText="1"/>
    </xf>
    <xf borderId="9" fillId="0" fontId="13" numFmtId="9" xfId="0" applyAlignment="1" applyBorder="1" applyFont="1" applyNumberFormat="1">
      <alignment horizontal="center" shrinkToFit="0" vertical="center" wrapText="1"/>
    </xf>
    <xf borderId="9" fillId="0" fontId="3" numFmtId="9" xfId="0" applyAlignment="1" applyBorder="1" applyFont="1" applyNumberFormat="1">
      <alignment horizontal="center" shrinkToFit="0" vertical="center" wrapText="1"/>
    </xf>
    <xf borderId="9" fillId="0" fontId="6" numFmtId="9" xfId="0" applyAlignment="1" applyBorder="1" applyFont="1" applyNumberFormat="1">
      <alignment horizontal="center" shrinkToFit="0" vertical="center" wrapText="1"/>
    </xf>
    <xf borderId="9" fillId="0" fontId="3" numFmtId="164" xfId="0" applyAlignment="1" applyBorder="1" applyFont="1" applyNumberFormat="1">
      <alignment horizontal="center" shrinkToFit="0" vertical="center" wrapText="0"/>
    </xf>
    <xf borderId="9" fillId="0" fontId="6" numFmtId="1" xfId="0" applyAlignment="1" applyBorder="1" applyFont="1" applyNumberFormat="1">
      <alignment horizontal="center" shrinkToFit="0" vertical="center" wrapText="1"/>
    </xf>
    <xf borderId="0" fillId="0" fontId="6" numFmtId="0" xfId="0" applyAlignment="1" applyFont="1">
      <alignment shrinkToFit="0" vertical="bottom" wrapText="0"/>
    </xf>
    <xf borderId="0" fillId="0" fontId="3" numFmtId="9" xfId="0" applyAlignment="1" applyFont="1" applyNumberFormat="1">
      <alignment horizontal="center" shrinkToFit="0" vertical="bottom" wrapText="0"/>
    </xf>
    <xf borderId="9" fillId="3" fontId="14" numFmtId="0" xfId="0" applyAlignment="1" applyBorder="1" applyFill="1" applyFont="1">
      <alignment horizontal="center" shrinkToFit="0" vertical="center" wrapText="1"/>
    </xf>
    <xf borderId="9" fillId="0" fontId="6" numFmtId="2" xfId="0" applyAlignment="1" applyBorder="1" applyFont="1" applyNumberFormat="1">
      <alignment horizontal="center" shrinkToFit="0" vertical="center" wrapText="1"/>
    </xf>
    <xf borderId="9" fillId="0" fontId="13" numFmtId="2" xfId="0" applyAlignment="1" applyBorder="1" applyFont="1" applyNumberFormat="1">
      <alignment horizontal="center" shrinkToFit="0" vertical="center" wrapText="1"/>
    </xf>
    <xf borderId="0" fillId="0" fontId="15" numFmtId="0" xfId="0" applyAlignment="1" applyFont="1">
      <alignment shrinkToFit="0" vertical="bottom" wrapText="0"/>
    </xf>
    <xf borderId="10" fillId="4" fontId="1" numFmtId="0" xfId="0" applyAlignment="1" applyBorder="1" applyFill="1" applyFont="1">
      <alignment shrinkToFit="0" vertical="bottom" wrapText="0"/>
    </xf>
    <xf borderId="9" fillId="0" fontId="6" numFmtId="165" xfId="0" applyAlignment="1" applyBorder="1" applyFont="1" applyNumberFormat="1">
      <alignment horizontal="center" shrinkToFit="0" vertical="center" wrapText="1"/>
    </xf>
    <xf borderId="9" fillId="3" fontId="14" numFmtId="0" xfId="0" applyAlignment="1" applyBorder="1" applyFill="1" applyFont="1">
      <alignment shrinkToFit="0" vertical="bottom" wrapText="0"/>
    </xf>
    <xf borderId="9" fillId="0" fontId="12" numFmtId="1" xfId="0" applyAlignment="1" applyBorder="1" applyFont="1" applyNumberFormat="1">
      <alignment horizontal="center" shrinkToFit="0" vertical="center" wrapText="1"/>
    </xf>
    <xf borderId="13" fillId="2" fontId="1" numFmtId="0" xfId="0" applyAlignment="1" applyBorder="1" applyFill="1" applyFont="1">
      <alignment horizontal="center" shrinkToFit="0" vertical="center" wrapText="0"/>
    </xf>
    <xf borderId="14" fillId="2" fontId="1" numFmtId="0" xfId="0" applyAlignment="1" applyBorder="1" applyFill="1" applyFont="1">
      <alignment horizontal="center" shrinkToFit="0" vertical="center" wrapText="0"/>
    </xf>
    <xf borderId="9" fillId="0" fontId="1" numFmtId="0" xfId="0" applyAlignment="1" applyBorder="1" applyFont="1">
      <alignment horizontal="right" shrinkToFit="0" vertical="center" wrapText="0"/>
    </xf>
    <xf borderId="9" fillId="0" fontId="11" numFmtId="0" xfId="0" applyAlignment="1" applyBorder="1" applyFont="1">
      <alignment horizontal="right" shrinkToFit="0" vertical="center" wrapText="0"/>
    </xf>
    <xf borderId="9" fillId="0" fontId="16" numFmtId="0" xfId="0" applyAlignment="1" applyBorder="1" applyFont="1">
      <alignment horizontal="right" shrinkToFit="0" vertical="center" wrapText="0"/>
    </xf>
    <xf borderId="9" fillId="0" fontId="8" numFmtId="0" xfId="0" applyAlignment="1" applyBorder="1" applyFont="1">
      <alignment horizontal="right" shrinkToFit="0" vertical="center" wrapText="0"/>
    </xf>
    <xf borderId="9" fillId="0" fontId="13" numFmtId="0" xfId="0" applyAlignment="1" applyBorder="1" applyFont="1">
      <alignment horizontal="center" shrinkToFit="0" vertical="center" wrapText="1"/>
    </xf>
    <xf borderId="0" fillId="0" fontId="6" numFmtId="165" xfId="0" applyAlignment="1" applyFont="1" applyNumberFormat="1">
      <alignment horizontal="center" shrinkToFit="0" vertical="center" wrapText="1"/>
    </xf>
    <xf borderId="9" fillId="2" fontId="1" numFmtId="0" xfId="0" applyAlignment="1" applyBorder="1" applyFill="1" applyFont="1">
      <alignment horizontal="center" shrinkToFit="0" vertical="center" wrapText="0"/>
    </xf>
    <xf borderId="9" fillId="5" fontId="17" numFmtId="0" xfId="0" applyAlignment="1" applyBorder="1" applyFill="1" applyFont="1">
      <alignment shrinkToFit="0" vertical="center" wrapText="1"/>
    </xf>
    <xf borderId="9" fillId="0" fontId="18" numFmtId="0" xfId="0" applyAlignment="1" applyBorder="1" applyFont="1">
      <alignment shrinkToFit="0" vertical="center" wrapText="1"/>
    </xf>
    <xf borderId="9" fillId="0" fontId="19" numFmtId="0" xfId="0" applyAlignment="1" applyBorder="1" applyFont="1">
      <alignment shrinkToFit="0" vertical="center" wrapText="1"/>
    </xf>
    <xf borderId="9" fillId="0" fontId="20" numFmtId="165" xfId="0" applyAlignment="1" applyBorder="1" applyFont="1" applyNumberFormat="1">
      <alignment horizontal="center" shrinkToFit="0" vertical="center" wrapText="1"/>
    </xf>
    <xf borderId="9" fillId="0" fontId="20" numFmtId="166" xfId="0" applyAlignment="1" applyBorder="1" applyFont="1" applyNumberFormat="1">
      <alignment horizontal="center" shrinkToFit="0" vertical="center" wrapText="1"/>
    </xf>
    <xf borderId="9" fillId="0" fontId="20" numFmtId="1" xfId="0" applyAlignment="1" applyBorder="1" applyFont="1" applyNumberFormat="1">
      <alignment horizontal="center" shrinkToFit="0" vertical="center" wrapText="1"/>
    </xf>
    <xf borderId="9" fillId="0" fontId="20" numFmtId="9" xfId="0" applyAlignment="1" applyBorder="1" applyFont="1" applyNumberFormat="1">
      <alignment horizontal="center" shrinkToFit="0" vertical="center" wrapText="1"/>
    </xf>
    <xf borderId="9" fillId="0" fontId="12" numFmtId="165" xfId="0" applyAlignment="1" applyBorder="1" applyFont="1" applyNumberFormat="1">
      <alignment horizontal="center" shrinkToFit="0" vertical="center" wrapText="1"/>
    </xf>
    <xf borderId="9" fillId="0" fontId="12" numFmtId="3" xfId="0" applyAlignment="1" applyBorder="1" applyFont="1" applyNumberFormat="1">
      <alignment horizontal="center" shrinkToFit="0" vertical="center" wrapText="1"/>
    </xf>
    <xf borderId="15" fillId="6" fontId="6" numFmtId="0" xfId="0" applyAlignment="1" applyBorder="1" applyFill="1" applyFont="1">
      <alignment shrinkToFit="0" vertical="bottom" wrapText="0"/>
    </xf>
    <xf borderId="9" fillId="0" fontId="12" numFmtId="10" xfId="0" applyAlignment="1" applyBorder="1" applyFont="1" applyNumberFormat="1">
      <alignment horizontal="center" shrinkToFit="0" vertical="center" wrapText="1"/>
    </xf>
    <xf borderId="9" fillId="0" fontId="12" numFmtId="0" xfId="0" applyAlignment="1" applyBorder="1" applyFont="1">
      <alignment shrinkToFit="0" vertical="center" wrapText="0"/>
    </xf>
    <xf borderId="0" fillId="0" fontId="12" numFmtId="164" xfId="0" applyAlignment="1" applyFont="1" applyNumberFormat="1">
      <alignment horizontal="center" shrinkToFit="0" vertical="center" wrapText="0"/>
    </xf>
    <xf borderId="9" fillId="3" fontId="12" numFmtId="0" xfId="0" applyAlignment="1" applyBorder="1" applyFill="1" applyFont="1">
      <alignment shrinkToFit="0" vertical="bottom" wrapText="0"/>
    </xf>
    <xf borderId="9" fillId="0" fontId="12" numFmtId="0" xfId="0" applyAlignment="1" applyBorder="1" applyFont="1">
      <alignment shrinkToFit="0" vertical="center" wrapText="1"/>
    </xf>
    <xf borderId="2" fillId="0" fontId="12" numFmtId="0" xfId="0" applyAlignment="1" applyBorder="1" applyFont="1">
      <alignment shrinkToFit="0" vertical="bottom" wrapText="0"/>
    </xf>
    <xf borderId="9" fillId="0" fontId="21" numFmtId="0" xfId="0" applyAlignment="1" applyBorder="1" applyFont="1">
      <alignment shrinkToFit="0" vertical="center" wrapText="1"/>
    </xf>
    <xf borderId="9" fillId="0" fontId="6" numFmtId="0" xfId="0" applyAlignment="1" applyBorder="1" applyFont="1">
      <alignment shrinkToFit="0" vertical="bottom" wrapText="0"/>
    </xf>
    <xf borderId="15" fillId="7" fontId="6" numFmtId="0" xfId="0" applyAlignment="1" applyBorder="1" applyFill="1" applyFont="1">
      <alignment shrinkToFit="0" vertical="bottom" wrapText="0"/>
    </xf>
    <xf borderId="9" fillId="6" fontId="12" numFmtId="0" xfId="0" applyAlignment="1" applyBorder="1" applyFill="1" applyFont="1">
      <alignment horizontal="center" shrinkToFit="0" vertical="center" wrapText="1"/>
    </xf>
    <xf borderId="9" fillId="0" fontId="18" numFmtId="165" xfId="0" applyAlignment="1" applyBorder="1" applyFont="1" applyNumberFormat="1">
      <alignment horizontal="center" shrinkToFit="0" vertical="center" wrapText="1"/>
    </xf>
    <xf borderId="9" fillId="7" fontId="12" numFmtId="0" xfId="0" applyAlignment="1" applyBorder="1" applyFill="1" applyFont="1">
      <alignment horizontal="center" shrinkToFit="0" vertical="center" wrapText="1"/>
    </xf>
    <xf borderId="9" fillId="8" fontId="12" numFmtId="0" xfId="0" applyAlignment="1" applyBorder="1" applyFill="1" applyFont="1">
      <alignment horizontal="center" shrinkToFit="0" vertical="center" wrapText="1"/>
    </xf>
    <xf borderId="9" fillId="9" fontId="12" numFmtId="0" xfId="0" applyAlignment="1" applyBorder="1" applyFill="1" applyFont="1">
      <alignment horizontal="center" shrinkToFit="0" vertical="center" wrapText="1"/>
    </xf>
    <xf borderId="9" fillId="0" fontId="8" numFmtId="0" xfId="0" applyAlignment="1" applyBorder="1" applyFont="1">
      <alignment shrinkToFit="0" vertical="center" wrapText="0"/>
    </xf>
    <xf borderId="9" fillId="10" fontId="12" numFmtId="0" xfId="0" applyAlignment="1" applyBorder="1" applyFill="1" applyFont="1">
      <alignment horizontal="center" shrinkToFit="0" vertical="center" wrapText="1"/>
    </xf>
    <xf borderId="9" fillId="2" fontId="12" numFmtId="0" xfId="0" applyAlignment="1" applyBorder="1" applyFill="1" applyFont="1">
      <alignment shrinkToFit="0" vertical="bottom" wrapText="0"/>
    </xf>
    <xf borderId="15" fillId="8" fontId="6" numFmtId="0" xfId="0" applyAlignment="1" applyBorder="1" applyFill="1" applyFont="1">
      <alignment shrinkToFit="0" vertical="bottom" wrapText="0"/>
    </xf>
    <xf borderId="9" fillId="0" fontId="6" numFmtId="3" xfId="0" applyAlignment="1" applyBorder="1" applyFont="1" applyNumberFormat="1">
      <alignment horizontal="center" shrinkToFit="0" vertical="center" wrapText="1"/>
    </xf>
    <xf borderId="15" fillId="9" fontId="6" numFmtId="0" xfId="0" applyAlignment="1" applyBorder="1" applyFill="1" applyFont="1">
      <alignment shrinkToFit="0" vertical="bottom" wrapText="0"/>
    </xf>
    <xf borderId="15" fillId="10" fontId="6" numFmtId="0" xfId="0" applyAlignment="1" applyBorder="1" applyFill="1" applyFont="1">
      <alignment shrinkToFit="0" vertical="bottom" wrapText="0"/>
    </xf>
    <xf borderId="9" fillId="0" fontId="12" numFmtId="9" xfId="0" applyAlignment="1" applyBorder="1" applyFont="1" applyNumberFormat="1">
      <alignment horizontal="center" shrinkToFit="0" vertical="center" wrapText="1"/>
    </xf>
    <xf borderId="9" fillId="0" fontId="18" numFmtId="1" xfId="0" applyAlignment="1" applyBorder="1" applyFont="1" applyNumberFormat="1">
      <alignment horizontal="center" shrinkToFit="0" vertical="center" wrapText="1"/>
    </xf>
    <xf borderId="9" fillId="0" fontId="17" numFmtId="0" xfId="0" applyAlignment="1" applyBorder="1" applyFont="1">
      <alignment shrinkToFit="0" vertical="center" wrapText="1"/>
    </xf>
    <xf borderId="0" fillId="0" fontId="22" numFmtId="0" xfId="0" applyAlignment="1" applyFont="1">
      <alignment shrinkToFit="0" vertical="center" wrapText="1"/>
    </xf>
    <xf borderId="0" fillId="0" fontId="23" numFmtId="0" xfId="0" applyAlignment="1" applyFont="1">
      <alignment shrinkToFit="0" vertical="center" wrapText="1"/>
    </xf>
    <xf borderId="0" fillId="0" fontId="1" numFmtId="0" xfId="0" applyAlignment="1" applyFont="1">
      <alignment shrinkToFit="0" vertical="center" wrapText="0"/>
    </xf>
    <xf borderId="15" fillId="2" fontId="1" numFmtId="0" xfId="0" applyAlignment="1" applyBorder="1" applyFill="1" applyFont="1">
      <alignment shrinkToFit="0" vertical="center" wrapText="0"/>
    </xf>
    <xf borderId="0" fillId="0" fontId="24" numFmtId="0" xfId="0" applyAlignment="1" applyFont="1">
      <alignment shrinkToFit="0" vertical="center" wrapText="0"/>
    </xf>
    <xf borderId="0" fillId="0" fontId="16" numFmtId="3" xfId="0" applyAlignment="1" applyFont="1" applyNumberFormat="1">
      <alignment horizontal="right" shrinkToFit="0" vertical="center" wrapText="0"/>
    </xf>
    <xf borderId="0" fillId="0" fontId="16" numFmtId="9" xfId="0" applyAlignment="1" applyFont="1" applyNumberFormat="1">
      <alignment horizontal="right" shrinkToFit="0" vertical="center" wrapText="0"/>
    </xf>
    <xf borderId="0" fillId="0" fontId="16" numFmtId="1" xfId="0" applyAlignment="1" applyFont="1" applyNumberFormat="1">
      <alignment horizontal="right" shrinkToFit="0" vertical="center" wrapText="0"/>
    </xf>
    <xf borderId="9" fillId="0" fontId="7" numFmtId="9" xfId="0" applyAlignment="1" applyBorder="1" applyFont="1" applyNumberFormat="1">
      <alignment horizontal="right" shrinkToFit="0" vertical="center" wrapText="0"/>
    </xf>
    <xf borderId="0" fillId="0" fontId="25" numFmtId="0" xfId="0" applyAlignment="1" applyFont="1">
      <alignment shrinkToFit="0" vertical="center" wrapText="0"/>
    </xf>
    <xf borderId="9" fillId="0" fontId="7" numFmtId="1" xfId="0" applyAlignment="1" applyBorder="1" applyFont="1" applyNumberFormat="1">
      <alignment horizontal="right" shrinkToFit="0" vertical="center" wrapText="0"/>
    </xf>
    <xf borderId="9" fillId="2" fontId="6" numFmtId="0" xfId="0" applyAlignment="1" applyBorder="1" applyFill="1" applyFont="1">
      <alignment shrinkToFit="0" vertical="center" wrapText="1"/>
    </xf>
    <xf borderId="9" fillId="2" fontId="6" numFmtId="3" xfId="0" applyAlignment="1" applyBorder="1" applyFill="1" applyFont="1" applyNumberFormat="1">
      <alignment horizontal="center" shrinkToFit="0" vertical="center" wrapText="1"/>
    </xf>
    <xf borderId="9" fillId="11" fontId="6" numFmtId="0" xfId="0" applyAlignment="1" applyBorder="1" applyFill="1" applyFont="1">
      <alignment shrinkToFit="0" vertical="bottom" wrapText="0"/>
    </xf>
    <xf borderId="9" fillId="0" fontId="6" numFmtId="0" xfId="0" applyAlignment="1" applyBorder="1" applyFont="1">
      <alignment shrinkToFit="0" vertical="center" wrapText="1"/>
    </xf>
    <xf borderId="9" fillId="11" fontId="6" numFmtId="165" xfId="0" applyAlignment="1" applyBorder="1" applyFill="1" applyFont="1" applyNumberFormat="1">
      <alignment horizontal="center" shrinkToFit="0" vertical="center" wrapText="1"/>
    </xf>
    <xf borderId="9" fillId="0" fontId="6" numFmtId="164" xfId="0" applyAlignment="1" applyBorder="1" applyFont="1" applyNumberFormat="1">
      <alignment horizontal="center" shrinkToFit="0" vertical="center" wrapText="1"/>
    </xf>
    <xf borderId="10" fillId="2" fontId="1" numFmtId="0" xfId="0" applyAlignment="1" applyBorder="1" applyFill="1" applyFont="1">
      <alignment horizontal="center" shrinkToFit="0" vertical="bottom" wrapText="0"/>
    </xf>
    <xf borderId="9" fillId="0" fontId="3" numFmtId="1" xfId="0" applyAlignment="1" applyBorder="1" applyFont="1" applyNumberFormat="1">
      <alignment horizontal="center" shrinkToFit="0" vertical="center" wrapText="1"/>
    </xf>
    <xf borderId="9" fillId="0" fontId="6" numFmtId="0" xfId="0" applyAlignment="1" applyBorder="1" applyFont="1">
      <alignment shrinkToFit="0" vertical="center" wrapText="0"/>
    </xf>
    <xf borderId="0" fillId="0" fontId="13" numFmtId="0" xfId="0" applyAlignment="1" applyFont="1">
      <alignment horizontal="center" shrinkToFit="0" vertical="center" wrapText="1"/>
    </xf>
    <xf borderId="15" fillId="12" fontId="3" numFmtId="0" xfId="0" applyAlignment="1" applyBorder="1" applyFill="1" applyFont="1">
      <alignment shrinkToFit="0" vertical="center" wrapText="0"/>
    </xf>
    <xf borderId="9" fillId="5" fontId="3" numFmtId="0" xfId="0" applyAlignment="1" applyBorder="1" applyFill="1" applyFont="1">
      <alignment shrinkToFit="0" vertical="center" wrapText="0"/>
    </xf>
    <xf borderId="9" fillId="0" fontId="26" numFmtId="0" xfId="0" applyAlignment="1" applyBorder="1" applyFont="1">
      <alignment horizontal="center" shrinkToFit="0" vertical="center" wrapText="0"/>
    </xf>
    <xf borderId="9" fillId="0" fontId="3" numFmtId="1" xfId="0" applyAlignment="1" applyBorder="1" applyFont="1" applyNumberFormat="1">
      <alignment horizontal="center" shrinkToFit="0" vertical="center" wrapText="0"/>
    </xf>
    <xf borderId="9" fillId="11" fontId="6" numFmtId="1" xfId="0" applyAlignment="1" applyBorder="1" applyFill="1" applyFont="1" applyNumberFormat="1">
      <alignment horizontal="center" shrinkToFit="0" vertical="center" wrapText="1"/>
    </xf>
    <xf borderId="0" fillId="0" fontId="27" numFmtId="0" xfId="0" applyAlignment="1" applyFont="1">
      <alignment horizontal="center" shrinkToFit="0" vertical="center" wrapText="1"/>
    </xf>
    <xf borderId="9" fillId="5" fontId="6" numFmtId="0" xfId="0" applyAlignment="1" applyBorder="1" applyFill="1" applyFont="1">
      <alignment horizontal="center" shrinkToFit="0" vertical="center" wrapText="1"/>
    </xf>
    <xf borderId="9" fillId="0" fontId="12" numFmtId="0" xfId="0" applyAlignment="1" applyBorder="1" applyFont="1">
      <alignment horizontal="center" shrinkToFit="0" vertical="center" wrapText="1"/>
    </xf>
    <xf borderId="9" fillId="0" fontId="20" numFmtId="0" xfId="0" applyAlignment="1" applyBorder="1" applyFont="1">
      <alignment horizontal="center" shrinkToFit="0" vertical="center" wrapText="1"/>
    </xf>
    <xf borderId="0" fillId="0" fontId="8" numFmtId="0" xfId="0" applyAlignment="1" applyFont="1">
      <alignment shrinkToFit="0" vertical="center" wrapText="1"/>
    </xf>
    <xf borderId="0" fillId="0" fontId="20" numFmtId="0" xfId="0" applyAlignment="1" applyFont="1">
      <alignment horizontal="center" shrinkToFit="0" vertical="center" wrapText="1"/>
    </xf>
    <xf borderId="9" fillId="0" fontId="24" numFmtId="0" xfId="0" applyAlignment="1" applyBorder="1" applyFont="1">
      <alignment shrinkToFit="0" vertical="bottom" wrapText="0"/>
    </xf>
    <xf borderId="16" fillId="0" fontId="24" numFmtId="0" xfId="0" applyAlignment="1" applyBorder="1" applyFont="1">
      <alignment shrinkToFit="0" vertical="bottom" wrapText="0"/>
    </xf>
    <xf borderId="0" fillId="0" fontId="26" numFmtId="0" xfId="0" applyAlignment="1" applyFont="1">
      <alignment shrinkToFit="0" vertical="center" wrapText="0"/>
    </xf>
    <xf borderId="9" fillId="0" fontId="1" numFmtId="0" xfId="0" applyAlignment="1" applyBorder="1" applyFont="1">
      <alignment shrinkToFit="0" vertical="bottom" wrapText="0"/>
    </xf>
    <xf borderId="0" fillId="0" fontId="26" numFmtId="0" xfId="0" applyAlignment="1" applyFont="1">
      <alignment shrinkToFit="0" vertical="bottom" wrapText="0"/>
    </xf>
    <xf borderId="9" fillId="0" fontId="1" numFmtId="1" xfId="0" applyAlignment="1" applyBorder="1" applyFont="1" applyNumberFormat="1">
      <alignment horizontal="center" shrinkToFit="0" vertical="bottom" wrapText="0"/>
    </xf>
    <xf borderId="2" fillId="2" fontId="1" numFmtId="0" xfId="0" applyAlignment="1" applyBorder="1" applyFill="1" applyFont="1">
      <alignment horizontal="center" shrinkToFit="0" vertical="center" wrapText="1"/>
    </xf>
    <xf borderId="2" fillId="2" fontId="6" numFmtId="0" xfId="0" applyAlignment="1" applyBorder="1" applyFill="1" applyFont="1">
      <alignment shrinkToFit="0" vertical="bottom" wrapText="0"/>
    </xf>
    <xf borderId="17" fillId="0" fontId="2" numFmtId="0" xfId="0" applyBorder="1" applyFont="1"/>
    <xf borderId="9" fillId="5" fontId="6" numFmtId="0" xfId="0" applyAlignment="1" applyBorder="1" applyFill="1" applyFont="1">
      <alignment shrinkToFit="0" vertical="center" wrapText="1"/>
    </xf>
    <xf borderId="9" fillId="0" fontId="12" numFmtId="166" xfId="0" applyAlignment="1" applyBorder="1" applyFont="1" applyNumberFormat="1">
      <alignment horizontal="center" shrinkToFit="0" vertical="center" wrapText="1"/>
    </xf>
    <xf borderId="9" fillId="0" fontId="12" numFmtId="2" xfId="0" applyAlignment="1" applyBorder="1" applyFont="1" applyNumberFormat="1">
      <alignment horizontal="center" shrinkToFit="0" vertical="center" wrapText="1"/>
    </xf>
    <xf borderId="10" fillId="2" fontId="6" numFmtId="0" xfId="0" applyAlignment="1" applyBorder="1" applyFill="1" applyFont="1">
      <alignment horizontal="center" shrinkToFit="0" vertical="center" wrapText="1"/>
    </xf>
    <xf borderId="9" fillId="3" fontId="5" numFmtId="0" xfId="0" applyAlignment="1" applyBorder="1" applyFill="1" applyFont="1">
      <alignment horizontal="center" shrinkToFit="0" vertical="center" wrapText="1"/>
    </xf>
    <xf borderId="9" fillId="0" fontId="8" numFmtId="0" xfId="0" applyAlignment="1" applyBorder="1" applyFont="1">
      <alignment shrinkToFit="0" vertical="center" wrapText="1"/>
    </xf>
    <xf borderId="15" fillId="3" fontId="12" numFmtId="0" xfId="0" applyAlignment="1" applyBorder="1" applyFill="1" applyFont="1">
      <alignment shrinkToFit="0" vertical="bottom" wrapText="0"/>
    </xf>
    <xf borderId="9" fillId="10" fontId="6" numFmtId="0" xfId="0" applyAlignment="1" applyBorder="1" applyFill="1" applyFont="1">
      <alignment shrinkToFit="0" vertical="center" wrapText="1"/>
    </xf>
    <xf borderId="9" fillId="0" fontId="8" numFmtId="0" xfId="0" applyAlignment="1" applyBorder="1" applyFont="1">
      <alignment horizontal="center" shrinkToFit="0" vertical="center" wrapText="1"/>
    </xf>
    <xf borderId="9" fillId="13" fontId="6" numFmtId="3" xfId="0" applyAlignment="1" applyBorder="1" applyFill="1" applyFont="1" applyNumberFormat="1">
      <alignment horizontal="center" shrinkToFit="0" vertical="center" wrapText="1"/>
    </xf>
    <xf borderId="9" fillId="2" fontId="27" numFmtId="0" xfId="0" applyAlignment="1" applyBorder="1" applyFill="1" applyFont="1">
      <alignment shrinkToFit="0" vertical="bottom" wrapText="0"/>
    </xf>
    <xf borderId="9" fillId="0" fontId="28" numFmtId="0" xfId="0" applyAlignment="1" applyBorder="1" applyFont="1">
      <alignment shrinkToFit="0" vertical="bottom" wrapText="0"/>
    </xf>
    <xf borderId="9" fillId="0" fontId="28" numFmtId="1" xfId="0" applyAlignment="1" applyBorder="1" applyFont="1" applyNumberFormat="1">
      <alignment horizontal="center" shrinkToFit="0" vertical="center" wrapText="1"/>
    </xf>
    <xf borderId="9" fillId="0" fontId="28" numFmtId="2" xfId="0" applyAlignment="1" applyBorder="1" applyFont="1" applyNumberFormat="1">
      <alignment horizontal="center" shrinkToFit="0" vertical="center" wrapText="1"/>
    </xf>
    <xf borderId="18" fillId="3" fontId="4" numFmtId="0" xfId="0" applyAlignment="1" applyBorder="1" applyFill="1" applyFont="1">
      <alignment horizontal="center" shrinkToFit="0" vertical="bottom" wrapText="0"/>
    </xf>
    <xf borderId="9" fillId="0" fontId="8" numFmtId="0" xfId="0" applyAlignment="1" applyBorder="1" applyFont="1">
      <alignment shrinkToFit="0" vertical="bottom" wrapText="0"/>
    </xf>
    <xf borderId="9" fillId="0" fontId="26" numFmtId="3" xfId="0" applyAlignment="1" applyBorder="1" applyFont="1" applyNumberFormat="1">
      <alignment horizontal="right" shrinkToFit="0" vertical="bottom" wrapText="0"/>
    </xf>
    <xf borderId="9" fillId="0" fontId="3" numFmtId="10" xfId="0" applyAlignment="1" applyBorder="1" applyFont="1" applyNumberFormat="1">
      <alignment horizontal="right" shrinkToFit="0" vertical="bottom" wrapText="0"/>
    </xf>
    <xf borderId="9" fillId="0" fontId="26" numFmtId="0" xfId="0" applyAlignment="1" applyBorder="1" applyFont="1">
      <alignment horizontal="right" shrinkToFit="0" vertical="bottom" wrapText="0"/>
    </xf>
    <xf borderId="9" fillId="14" fontId="8" numFmtId="0" xfId="0" applyAlignment="1" applyBorder="1" applyFill="1" applyFont="1">
      <alignment shrinkToFit="0" vertical="bottom" wrapText="0"/>
    </xf>
    <xf borderId="18" fillId="3" fontId="4" numFmtId="10" xfId="0" applyAlignment="1" applyBorder="1" applyFill="1" applyFont="1" applyNumberFormat="1">
      <alignment horizontal="center" shrinkToFit="0" vertical="bottom" wrapText="0"/>
    </xf>
    <xf borderId="9" fillId="0" fontId="3" numFmtId="0" xfId="0" applyAlignment="1" applyBorder="1" applyFont="1">
      <alignment shrinkToFit="0" vertical="bottom" wrapText="0"/>
    </xf>
    <xf borderId="9" fillId="0" fontId="26" numFmtId="3" xfId="0" applyAlignment="1" applyBorder="1" applyFont="1" applyNumberFormat="1">
      <alignment shrinkToFit="0" vertical="bottom" wrapText="0"/>
    </xf>
    <xf borderId="9" fillId="0" fontId="3" numFmtId="10" xfId="0" applyAlignment="1" applyBorder="1" applyFont="1" applyNumberFormat="1">
      <alignment shrinkToFit="0" vertical="bottom" wrapText="0"/>
    </xf>
    <xf borderId="18" fillId="3" fontId="4" numFmtId="3" xfId="0" applyAlignment="1" applyBorder="1" applyFill="1" applyFont="1" applyNumberFormat="1">
      <alignment horizontal="center" shrinkToFit="0" vertical="bottom" wrapText="0"/>
    </xf>
    <xf borderId="9" fillId="0" fontId="26" numFmtId="0" xfId="0" applyAlignment="1" applyBorder="1" applyFont="1">
      <alignment shrinkToFit="0" vertical="bottom" wrapText="0"/>
    </xf>
    <xf borderId="2" fillId="6" fontId="1" numFmtId="0" xfId="0" applyAlignment="1" applyBorder="1" applyFill="1" applyFont="1">
      <alignment shrinkToFit="0" vertical="bottom" wrapText="0"/>
    </xf>
    <xf borderId="9" fillId="0" fontId="26" numFmtId="9" xfId="0" applyAlignment="1" applyBorder="1" applyFont="1" applyNumberFormat="1">
      <alignment shrinkToFit="0" vertical="bottom" wrapText="0"/>
    </xf>
    <xf borderId="9" fillId="0" fontId="3" numFmtId="3" xfId="0" applyAlignment="1" applyBorder="1" applyFont="1" applyNumberFormat="1">
      <alignment shrinkToFit="0" vertical="bottom" wrapText="0"/>
    </xf>
    <xf borderId="15" fillId="2" fontId="6" numFmtId="0" xfId="0" applyAlignment="1" applyBorder="1" applyFill="1" applyFont="1">
      <alignment horizontal="center" shrinkToFit="0" vertical="center" wrapText="1"/>
    </xf>
    <xf borderId="9" fillId="0" fontId="8" numFmtId="9" xfId="0" applyAlignment="1" applyBorder="1" applyFont="1" applyNumberFormat="1">
      <alignment horizontal="center" shrinkToFit="0" vertical="center" wrapText="1"/>
    </xf>
    <xf borderId="9" fillId="0" fontId="8" numFmtId="166" xfId="0" applyAlignment="1" applyBorder="1" applyFont="1" applyNumberFormat="1">
      <alignment horizontal="center" shrinkToFit="0" vertical="center" wrapText="1"/>
    </xf>
    <xf borderId="2" fillId="3" fontId="29" numFmtId="0" xfId="0" applyAlignment="1" applyBorder="1" applyFill="1" applyFont="1">
      <alignment horizontal="center" shrinkToFit="0" vertical="center" wrapText="1"/>
    </xf>
    <xf borderId="0" fillId="0" fontId="30" numFmtId="0" xfId="0" applyAlignment="1" applyFont="1">
      <alignment shrinkToFit="0" vertical="center" wrapText="1"/>
    </xf>
    <xf borderId="9" fillId="0" fontId="6" numFmtId="0" xfId="0" applyAlignment="1" applyBorder="1" applyFont="1">
      <alignment horizontal="right" shrinkToFit="0" vertical="bottom" wrapText="0"/>
    </xf>
    <xf borderId="9" fillId="0" fontId="6" numFmtId="0" xfId="0" applyAlignment="1" applyBorder="1" applyFont="1">
      <alignment horizontal="right" shrinkToFit="0" vertical="bottom" wrapText="1"/>
    </xf>
    <xf borderId="2" fillId="3" fontId="14" numFmtId="0" xfId="0" applyAlignment="1" applyBorder="1" applyFill="1" applyFont="1">
      <alignment horizontal="center" shrinkToFit="0" vertical="center" wrapText="1"/>
    </xf>
    <xf borderId="9" fillId="0" fontId="13" numFmtId="165" xfId="0" applyAlignment="1" applyBorder="1" applyFont="1" applyNumberFormat="1">
      <alignment horizontal="center" shrinkToFit="0" vertical="center" wrapText="1"/>
    </xf>
    <xf borderId="2" fillId="0" fontId="6" numFmtId="0" xfId="0" applyAlignment="1" applyBorder="1" applyFont="1">
      <alignment shrinkToFit="0" vertical="center" wrapText="1"/>
    </xf>
    <xf borderId="9" fillId="0" fontId="20" numFmtId="164" xfId="0" applyAlignment="1" applyBorder="1" applyFont="1" applyNumberFormat="1">
      <alignment horizontal="center" shrinkToFit="0" vertical="center" wrapText="1"/>
    </xf>
    <xf borderId="2" fillId="0" fontId="3" numFmtId="0" xfId="0" applyAlignment="1" applyBorder="1" applyFont="1">
      <alignment shrinkToFit="0" vertical="bottom" wrapText="1"/>
    </xf>
    <xf borderId="9" fillId="0" fontId="31" numFmtId="0" xfId="0" applyAlignment="1" applyBorder="1" applyFont="1">
      <alignment shrinkToFit="0" vertical="bottom" wrapText="0"/>
    </xf>
    <xf borderId="9" fillId="0" fontId="12" numFmtId="164" xfId="0" applyAlignment="1" applyBorder="1" applyFont="1" applyNumberFormat="1">
      <alignment horizontal="center" shrinkToFit="0" vertical="center" wrapText="1"/>
    </xf>
    <xf borderId="2" fillId="0" fontId="8" numFmtId="0" xfId="0" applyAlignment="1" applyBorder="1" applyFont="1">
      <alignment shrinkToFit="0" vertical="center" wrapText="1"/>
    </xf>
    <xf borderId="9" fillId="15" fontId="6" numFmtId="3" xfId="0" applyAlignment="1" applyBorder="1" applyFill="1" applyFont="1" applyNumberFormat="1">
      <alignment horizontal="center" shrinkToFit="0" vertical="center" wrapText="1"/>
    </xf>
    <xf borderId="10" fillId="12" fontId="1" numFmtId="0" xfId="0" applyAlignment="1" applyBorder="1" applyFill="1" applyFont="1">
      <alignment horizontal="center" shrinkToFit="0" vertical="bottom" wrapText="0"/>
    </xf>
    <xf borderId="19" fillId="3" fontId="4" numFmtId="0" xfId="0" applyAlignment="1" applyBorder="1" applyFill="1" applyFont="1">
      <alignment horizontal="center" shrinkToFit="0" vertical="bottom" wrapText="0"/>
    </xf>
    <xf borderId="20" fillId="0" fontId="2" numFmtId="0" xfId="0" applyBorder="1" applyFont="1"/>
    <xf borderId="21" fillId="0" fontId="2" numFmtId="0" xfId="0" applyBorder="1" applyFont="1"/>
    <xf borderId="22" fillId="3" fontId="4" numFmtId="0" xfId="0" applyAlignment="1" applyBorder="1" applyFill="1" applyFont="1">
      <alignment horizontal="center" shrinkToFit="0" vertical="bottom" wrapText="0"/>
    </xf>
    <xf borderId="23" fillId="0" fontId="1" numFmtId="0" xfId="0" applyAlignment="1" applyBorder="1" applyFont="1">
      <alignment shrinkToFit="0" vertical="bottom" wrapText="0"/>
    </xf>
    <xf borderId="9" fillId="0" fontId="3" numFmtId="3" xfId="0" applyAlignment="1" applyBorder="1" applyFont="1" applyNumberFormat="1">
      <alignment horizontal="right" shrinkToFit="0" vertical="bottom" wrapText="0"/>
    </xf>
    <xf borderId="24" fillId="0" fontId="2" numFmtId="0" xfId="0" applyBorder="1" applyFont="1"/>
    <xf borderId="9" fillId="0" fontId="3" numFmtId="1" xfId="0" applyAlignment="1" applyBorder="1" applyFont="1" applyNumberFormat="1">
      <alignment horizontal="right" shrinkToFit="0" vertical="bottom" wrapText="0"/>
    </xf>
    <xf borderId="16" fillId="0" fontId="2" numFmtId="0" xfId="0" applyBorder="1" applyFont="1"/>
    <xf borderId="2" fillId="0" fontId="1" numFmtId="0" xfId="0" applyAlignment="1" applyBorder="1" applyFont="1">
      <alignment horizontal="center" shrinkToFit="0" vertical="bottom" wrapText="0"/>
    </xf>
    <xf borderId="9" fillId="10" fontId="6" numFmtId="0" xfId="0" applyAlignment="1" applyBorder="1" applyFill="1" applyFont="1">
      <alignment horizontal="center" shrinkToFit="0" vertical="center" wrapText="1"/>
    </xf>
    <xf borderId="2" fillId="3" fontId="5" numFmtId="0" xfId="0" applyAlignment="1" applyBorder="1" applyFill="1" applyFont="1">
      <alignment horizontal="center" shrinkToFit="0" vertical="center" wrapText="1"/>
    </xf>
    <xf borderId="9" fillId="0" fontId="3" numFmtId="0" xfId="0" applyAlignment="1" applyBorder="1" applyFont="1">
      <alignment horizontal="right" shrinkToFit="0" vertical="bottom" wrapText="0"/>
    </xf>
    <xf borderId="9" fillId="0" fontId="3" numFmtId="167" xfId="0" applyAlignment="1" applyBorder="1" applyFont="1" applyNumberFormat="1">
      <alignment horizontal="right" shrinkToFit="0" vertical="bottom" wrapText="0"/>
    </xf>
    <xf borderId="10" fillId="12" fontId="1" numFmtId="0" xfId="0" applyAlignment="1" applyBorder="1" applyFill="1" applyFont="1">
      <alignment horizontal="center" shrinkToFit="0" vertical="center" wrapText="0"/>
    </xf>
    <xf borderId="6" fillId="3" fontId="4" numFmtId="0" xfId="0" applyAlignment="1" applyBorder="1" applyFill="1" applyFont="1">
      <alignment horizontal="center" shrinkToFit="0" vertical="center" wrapText="0"/>
    </xf>
    <xf borderId="18" fillId="3" fontId="4" numFmtId="0" xfId="0" applyAlignment="1" applyBorder="1" applyFill="1" applyFont="1">
      <alignment horizontal="center" shrinkToFit="0" vertical="center" wrapText="0"/>
    </xf>
    <xf borderId="23" fillId="0" fontId="1" numFmtId="0" xfId="0" applyAlignment="1" applyBorder="1" applyFont="1">
      <alignment shrinkToFit="0" vertical="center" wrapText="0"/>
    </xf>
    <xf borderId="9" fillId="0" fontId="1" numFmtId="0" xfId="0" applyAlignment="1" applyBorder="1" applyFont="1">
      <alignment shrinkToFit="0" vertical="center" wrapText="0"/>
    </xf>
    <xf borderId="9" fillId="0" fontId="3" numFmtId="3" xfId="0" applyAlignment="1" applyBorder="1" applyFont="1" applyNumberFormat="1">
      <alignment horizontal="right" shrinkToFit="0" vertical="center" wrapText="0"/>
    </xf>
    <xf borderId="9" fillId="0" fontId="3" numFmtId="0" xfId="0" applyAlignment="1" applyBorder="1" applyFont="1">
      <alignment horizontal="right" shrinkToFit="0" vertical="center" wrapText="0"/>
    </xf>
    <xf borderId="2" fillId="0" fontId="1" numFmtId="0" xfId="0" applyAlignment="1" applyBorder="1" applyFont="1">
      <alignment horizontal="center" shrinkToFit="0" vertical="center" wrapText="0"/>
    </xf>
    <xf borderId="9" fillId="0" fontId="3" numFmtId="165" xfId="0" applyAlignment="1" applyBorder="1" applyFont="1" applyNumberFormat="1">
      <alignment horizontal="right" shrinkToFit="0" vertical="center" wrapText="0"/>
    </xf>
    <xf borderId="9" fillId="0" fontId="3" numFmtId="10" xfId="0" applyAlignment="1" applyBorder="1" applyFont="1" applyNumberFormat="1">
      <alignment horizontal="right" shrinkToFit="0" vertical="center" wrapText="0"/>
    </xf>
    <xf borderId="15" fillId="3" fontId="4" numFmtId="0" xfId="0" applyAlignment="1" applyBorder="1" applyFill="1" applyFont="1">
      <alignment shrinkToFit="0" vertical="center" wrapText="0"/>
    </xf>
    <xf borderId="15" fillId="3" fontId="3" numFmtId="0" xfId="0" applyAlignment="1" applyBorder="1" applyFill="1" applyFont="1">
      <alignment shrinkToFit="0" vertical="center" wrapText="0"/>
    </xf>
    <xf borderId="0" fillId="0" fontId="3" numFmtId="3" xfId="0" applyAlignment="1" applyFont="1" applyNumberFormat="1">
      <alignment horizontal="right" shrinkToFit="0" vertical="center" wrapText="0"/>
    </xf>
    <xf borderId="0" fillId="0" fontId="3" numFmtId="0" xfId="0" applyAlignment="1" applyFont="1">
      <alignment horizontal="right" shrinkToFit="0" vertical="center" wrapText="0"/>
    </xf>
    <xf borderId="0" fillId="0" fontId="3" numFmtId="165" xfId="0" applyAlignment="1" applyFont="1" applyNumberFormat="1">
      <alignment horizontal="right" shrinkToFit="0" vertical="center" wrapText="0"/>
    </xf>
    <xf borderId="0" fillId="0" fontId="3" numFmtId="10" xfId="0" applyAlignment="1" applyFont="1" applyNumberFormat="1">
      <alignment horizontal="right" shrinkToFit="0" vertical="center" wrapText="0"/>
    </xf>
    <xf borderId="15" fillId="12" fontId="1" numFmtId="0" xfId="0" applyAlignment="1" applyBorder="1" applyFill="1" applyFont="1">
      <alignment horizontal="right" shrinkToFit="0" vertical="center" wrapText="0"/>
    </xf>
    <xf borderId="9" fillId="0" fontId="13" numFmtId="3" xfId="0" applyAlignment="1" applyBorder="1" applyFont="1" applyNumberFormat="1">
      <alignment horizontal="center" shrinkToFit="0" vertical="center" wrapText="1"/>
    </xf>
    <xf borderId="9" fillId="0" fontId="20" numFmtId="3" xfId="0" applyAlignment="1" applyBorder="1" applyFont="1" applyNumberFormat="1">
      <alignment horizontal="center" shrinkToFit="0" vertical="center" wrapText="1"/>
    </xf>
    <xf borderId="2" fillId="0" fontId="8" numFmtId="0" xfId="0" applyAlignment="1" applyBorder="1" applyFont="1">
      <alignment shrinkToFit="0" vertical="bottom" wrapText="0"/>
    </xf>
    <xf borderId="0" fillId="0" fontId="32" numFmtId="0" xfId="0" applyAlignment="1" applyFont="1">
      <alignment shrinkToFit="0" vertical="bottom" wrapText="0"/>
    </xf>
    <xf borderId="9" fillId="2" fontId="33" numFmtId="0" xfId="0" applyAlignment="1" applyBorder="1" applyFill="1" applyFont="1">
      <alignment horizontal="center" shrinkToFit="0" vertical="center" wrapText="1"/>
    </xf>
    <xf borderId="9" fillId="0" fontId="28" numFmtId="3" xfId="0" applyAlignment="1" applyBorder="1" applyFont="1" applyNumberFormat="1">
      <alignment horizontal="center" shrinkToFit="0" vertical="center" wrapText="1"/>
    </xf>
    <xf borderId="0" fillId="0" fontId="12" numFmtId="0" xfId="0" applyAlignment="1" applyFont="1">
      <alignment shrinkToFit="0" vertical="center" wrapText="1"/>
    </xf>
    <xf borderId="9" fillId="0" fontId="6" numFmtId="0" xfId="0" applyAlignment="1" applyBorder="1" applyFont="1">
      <alignment horizontal="center" shrinkToFit="0" vertical="center" wrapText="1"/>
    </xf>
    <xf borderId="10" fillId="12" fontId="3" numFmtId="0" xfId="0" applyAlignment="1" applyBorder="1" applyFill="1" applyFont="1">
      <alignment shrinkToFit="0" vertical="bottom" wrapText="0"/>
    </xf>
    <xf borderId="9" fillId="0" fontId="34" numFmtId="0" xfId="0" applyAlignment="1" applyBorder="1" applyFont="1">
      <alignment shrinkToFit="0" vertical="bottom" wrapText="0"/>
    </xf>
    <xf borderId="9" fillId="0" fontId="34" numFmtId="1" xfId="0" applyAlignment="1" applyBorder="1" applyFont="1" applyNumberFormat="1">
      <alignment horizontal="center" shrinkToFit="0" vertical="center" wrapText="1"/>
    </xf>
    <xf borderId="9" fillId="11" fontId="6" numFmtId="49" xfId="0" applyAlignment="1" applyBorder="1" applyFill="1" applyFont="1" applyNumberFormat="1">
      <alignment horizontal="center" shrinkToFit="0" vertical="center" wrapText="1"/>
    </xf>
    <xf borderId="9" fillId="11" fontId="6" numFmtId="3" xfId="0" applyAlignment="1" applyBorder="1" applyFill="1" applyFont="1" applyNumberFormat="1">
      <alignment horizontal="center" shrinkToFit="0" vertical="center" wrapText="1"/>
    </xf>
    <xf borderId="9" fillId="0" fontId="6" numFmtId="49" xfId="0" applyAlignment="1" applyBorder="1" applyFont="1" applyNumberFormat="1">
      <alignment horizontal="center" shrinkToFit="0" vertical="center" wrapText="1"/>
    </xf>
    <xf borderId="9" fillId="0" fontId="13" numFmtId="168" xfId="0" applyAlignment="1" applyBorder="1" applyFont="1" applyNumberFormat="1">
      <alignment horizontal="center" shrinkToFit="0" vertical="center" wrapText="1"/>
    </xf>
    <xf borderId="9" fillId="0" fontId="12" numFmtId="169" xfId="0" applyAlignment="1" applyBorder="1" applyFont="1" applyNumberFormat="1">
      <alignment horizontal="center" shrinkToFit="0" vertical="center" wrapText="1"/>
    </xf>
    <xf borderId="9" fillId="0" fontId="6" numFmtId="169" xfId="0" applyAlignment="1" applyBorder="1" applyFont="1" applyNumberFormat="1">
      <alignment horizontal="center" shrinkToFit="0" vertical="center" wrapText="1"/>
    </xf>
    <xf borderId="9" fillId="13" fontId="12" numFmtId="3" xfId="0" applyAlignment="1" applyBorder="1" applyFill="1" applyFont="1" applyNumberFormat="1">
      <alignment horizontal="center" shrinkToFit="0" vertical="center" wrapText="1"/>
    </xf>
    <xf borderId="9" fillId="16" fontId="14" numFmtId="0" xfId="0" applyAlignment="1" applyBorder="1" applyFill="1" applyFont="1">
      <alignment shrinkToFit="0" vertical="bottom" wrapText="0"/>
    </xf>
    <xf borderId="9" fillId="16" fontId="12" numFmtId="0" xfId="0" applyAlignment="1" applyBorder="1" applyFill="1" applyFont="1">
      <alignment shrinkToFit="0" vertical="bottom" wrapText="0"/>
    </xf>
    <xf borderId="9" fillId="11" fontId="6" numFmtId="164" xfId="0" applyAlignment="1" applyBorder="1" applyFill="1" applyFont="1" applyNumberFormat="1">
      <alignment horizontal="center" shrinkToFit="0" vertical="center" wrapText="1"/>
    </xf>
    <xf borderId="9" fillId="11" fontId="12" numFmtId="3" xfId="0" applyAlignment="1" applyBorder="1" applyFill="1" applyFont="1" applyNumberFormat="1">
      <alignment horizontal="center" shrinkToFit="0" vertical="center" wrapText="1"/>
    </xf>
    <xf borderId="9" fillId="11" fontId="12" numFmtId="0" xfId="0" applyAlignment="1" applyBorder="1" applyFill="1" applyFont="1">
      <alignment horizontal="center" shrinkToFit="0" vertical="center" wrapText="1"/>
    </xf>
    <xf borderId="9" fillId="11" fontId="6" numFmtId="170" xfId="0" applyAlignment="1" applyBorder="1" applyFill="1" applyFont="1" applyNumberFormat="1">
      <alignment horizontal="center" shrinkToFit="0" vertical="center" wrapText="1"/>
    </xf>
    <xf borderId="9" fillId="11" fontId="6" numFmtId="171" xfId="0" applyAlignment="1" applyBorder="1" applyFill="1" applyFont="1" applyNumberFormat="1">
      <alignment horizontal="center" shrinkToFit="0" vertical="center" wrapText="1"/>
    </xf>
    <xf borderId="9" fillId="0" fontId="13" numFmtId="169" xfId="0" applyAlignment="1" applyBorder="1" applyFont="1" applyNumberFormat="1">
      <alignment horizontal="center" shrinkToFit="0" vertical="center" wrapText="1"/>
    </xf>
    <xf borderId="9" fillId="0" fontId="13" numFmtId="164" xfId="0" applyAlignment="1" applyBorder="1" applyFont="1" applyNumberFormat="1">
      <alignment horizontal="center" shrinkToFit="0" vertical="center" wrapText="1"/>
    </xf>
    <xf borderId="9" fillId="0" fontId="6" numFmtId="10" xfId="0" applyAlignment="1" applyBorder="1" applyFont="1" applyNumberFormat="1">
      <alignment horizontal="center" shrinkToFit="0" vertical="center" wrapText="1"/>
    </xf>
    <xf borderId="2" fillId="11" fontId="6" numFmtId="0" xfId="0" applyAlignment="1" applyBorder="1" applyFill="1" applyFont="1">
      <alignment shrinkToFit="0" vertical="bottom" wrapText="0"/>
    </xf>
    <xf borderId="9" fillId="0" fontId="28" numFmtId="9" xfId="0" applyAlignment="1" applyBorder="1" applyFont="1" applyNumberFormat="1">
      <alignment horizontal="center" shrinkToFit="0" vertical="center" wrapText="1"/>
    </xf>
    <xf borderId="0" fillId="0" fontId="3" numFmtId="1" xfId="0" applyAlignment="1" applyFont="1" applyNumberFormat="1">
      <alignment shrinkToFit="0" vertical="bottom" wrapText="0"/>
    </xf>
    <xf borderId="9" fillId="5" fontId="6" numFmtId="3" xfId="0" applyAlignment="1" applyBorder="1" applyFill="1" applyFont="1" applyNumberFormat="1">
      <alignment horizontal="center" shrinkToFit="0" vertical="center" wrapText="1"/>
    </xf>
    <xf borderId="9" fillId="5" fontId="12" numFmtId="3" xfId="0" applyAlignment="1" applyBorder="1" applyFill="1" applyFont="1" applyNumberFormat="1">
      <alignment horizontal="center" shrinkToFit="0" vertical="center" wrapText="1"/>
    </xf>
    <xf borderId="9" fillId="5" fontId="12" numFmtId="2" xfId="0" applyAlignment="1" applyBorder="1" applyFill="1" applyFont="1" applyNumberFormat="1">
      <alignment horizontal="center" shrinkToFit="0" vertical="center" wrapText="1"/>
    </xf>
    <xf borderId="2" fillId="3" fontId="14" numFmtId="0" xfId="0" applyAlignment="1" applyBorder="1" applyFill="1" applyFont="1">
      <alignment shrinkToFit="0" vertical="bottom" wrapText="0"/>
    </xf>
    <xf borderId="9" fillId="2" fontId="27" numFmtId="0" xfId="0" applyAlignment="1" applyBorder="1" applyFill="1" applyFont="1">
      <alignment horizontal="center" shrinkToFit="0" vertical="center" wrapText="1"/>
    </xf>
    <xf borderId="9" fillId="0" fontId="27" numFmtId="0" xfId="0" applyAlignment="1" applyBorder="1" applyFont="1">
      <alignment horizontal="center" shrinkToFit="0" vertical="center" wrapText="1"/>
    </xf>
    <xf borderId="9" fillId="15" fontId="20" numFmtId="3" xfId="0" applyAlignment="1" applyBorder="1" applyFill="1" applyFont="1" applyNumberFormat="1">
      <alignment horizontal="center" shrinkToFit="0" vertical="center" wrapText="1"/>
    </xf>
    <xf borderId="9" fillId="0" fontId="12" numFmtId="172" xfId="0" applyAlignment="1" applyBorder="1" applyFont="1" applyNumberFormat="1">
      <alignment horizontal="center" shrinkToFit="0" vertical="center" wrapText="1"/>
    </xf>
    <xf borderId="9" fillId="0" fontId="12" numFmtId="173" xfId="0" applyAlignment="1" applyBorder="1" applyFont="1" applyNumberFormat="1">
      <alignment horizontal="center" shrinkToFit="0" vertical="center" wrapText="1"/>
    </xf>
    <xf borderId="9" fillId="5" fontId="12" numFmtId="0" xfId="0" applyAlignment="1" applyBorder="1" applyFill="1" applyFont="1">
      <alignment horizontal="center" shrinkToFit="0" vertical="center" wrapText="1"/>
    </xf>
    <xf borderId="9" fillId="5" fontId="12" numFmtId="165" xfId="0" applyAlignment="1" applyBorder="1" applyFill="1" applyFont="1" applyNumberFormat="1">
      <alignment horizontal="center" shrinkToFit="0" vertical="center" wrapText="1"/>
    </xf>
    <xf borderId="9" fillId="5" fontId="6" numFmtId="165" xfId="0" applyAlignment="1" applyBorder="1" applyFill="1" applyFont="1" applyNumberFormat="1">
      <alignment horizontal="center" shrinkToFit="0" vertical="center" wrapText="1"/>
    </xf>
    <xf borderId="9" fillId="5" fontId="6" numFmtId="1" xfId="0" applyAlignment="1" applyBorder="1" applyFill="1" applyFont="1" applyNumberFormat="1">
      <alignment horizontal="center" shrinkToFit="0" vertical="center" wrapText="1"/>
    </xf>
    <xf borderId="9" fillId="5" fontId="12" numFmtId="1" xfId="0" applyAlignment="1" applyBorder="1" applyFill="1" applyFont="1" applyNumberFormat="1">
      <alignment horizontal="center" shrinkToFit="0" vertical="center" wrapText="1"/>
    </xf>
    <xf borderId="9" fillId="5" fontId="6" numFmtId="9" xfId="0" applyAlignment="1" applyBorder="1" applyFill="1" applyFont="1" applyNumberFormat="1">
      <alignment horizontal="center" shrinkToFit="0" vertical="center" wrapText="1"/>
    </xf>
    <xf borderId="9" fillId="5" fontId="8" numFmtId="9" xfId="0" applyAlignment="1" applyBorder="1" applyFill="1" applyFont="1" applyNumberFormat="1">
      <alignment horizontal="center" shrinkToFit="0" vertical="center" wrapText="1"/>
    </xf>
    <xf borderId="9" fillId="5" fontId="8" numFmtId="166" xfId="0" applyAlignment="1" applyBorder="1" applyFill="1" applyFont="1" applyNumberFormat="1">
      <alignment horizontal="center" shrinkToFit="0" vertical="center" wrapText="1"/>
    </xf>
    <xf borderId="9" fillId="5" fontId="8" numFmtId="1" xfId="0" applyAlignment="1" applyBorder="1" applyFill="1" applyFont="1" applyNumberFormat="1">
      <alignment horizontal="center" shrinkToFit="0" vertical="center" wrapText="1"/>
    </xf>
    <xf borderId="9" fillId="0" fontId="8" numFmtId="1" xfId="0" applyAlignment="1" applyBorder="1" applyFont="1" applyNumberFormat="1">
      <alignment horizontal="center" shrinkToFit="0" vertical="center" wrapText="1"/>
    </xf>
    <xf borderId="0" fillId="0" fontId="6" numFmtId="0" xfId="0" applyAlignment="1" applyFont="1">
      <alignment horizontal="center" shrinkToFit="0" vertical="center" wrapText="1"/>
    </xf>
    <xf borderId="9" fillId="4" fontId="13" numFmtId="1" xfId="0" applyAlignment="1" applyBorder="1" applyFill="1" applyFont="1" applyNumberFormat="1">
      <alignment horizontal="center" shrinkToFit="0" vertical="center" wrapText="1"/>
    </xf>
    <xf borderId="0" fillId="0" fontId="35" numFmtId="0" xfId="0" applyAlignment="1" applyFont="1">
      <alignment readingOrder="0"/>
    </xf>
    <xf borderId="10" fillId="4" fontId="3" numFmtId="0" xfId="0" applyAlignment="1" applyBorder="1" applyFill="1" applyFont="1">
      <alignment shrinkToFit="0" vertical="bottom" wrapText="0"/>
    </xf>
    <xf borderId="25" fillId="3" fontId="5" numFmtId="0" xfId="0" applyAlignment="1" applyBorder="1" applyFill="1" applyFont="1">
      <alignment shrinkToFit="0" vertical="bottom" wrapText="0"/>
    </xf>
    <xf borderId="26" fillId="0" fontId="2" numFmtId="0" xfId="0" applyBorder="1" applyFont="1"/>
    <xf borderId="27" fillId="0" fontId="2" numFmtId="0" xfId="0" applyBorder="1" applyFont="1"/>
    <xf borderId="25" fillId="3" fontId="36" numFmtId="0" xfId="0" applyAlignment="1" applyBorder="1" applyFill="1" applyFont="1">
      <alignment shrinkToFit="0" vertical="bottom" wrapText="0"/>
    </xf>
    <xf borderId="28" fillId="14" fontId="1" numFmtId="0" xfId="0" applyAlignment="1" applyBorder="1" applyFill="1" applyFont="1">
      <alignment shrinkToFit="0" vertical="bottom" wrapText="0"/>
    </xf>
    <xf borderId="28" fillId="14" fontId="1" numFmtId="1" xfId="0" applyAlignment="1" applyBorder="1" applyFill="1" applyFont="1" applyNumberFormat="1">
      <alignment horizontal="center" shrinkToFit="0" vertical="bottom" wrapText="0"/>
    </xf>
    <xf borderId="28" fillId="3" fontId="4" numFmtId="0" xfId="0" applyAlignment="1" applyBorder="1" applyFill="1" applyFont="1">
      <alignment shrinkToFit="0" vertical="bottom" wrapText="0"/>
    </xf>
    <xf borderId="29" fillId="14" fontId="3" numFmtId="0" xfId="0" applyAlignment="1" applyBorder="1" applyFill="1" applyFont="1">
      <alignment shrinkToFit="0" vertical="bottom" wrapText="0"/>
    </xf>
    <xf borderId="18" fillId="3" fontId="4" numFmtId="0" xfId="0" applyAlignment="1" applyBorder="1" applyFill="1" applyFont="1">
      <alignment shrinkToFit="0" vertical="bottom" wrapText="0"/>
    </xf>
    <xf borderId="9" fillId="0" fontId="1" numFmtId="3" xfId="0" applyAlignment="1" applyBorder="1" applyFont="1" applyNumberFormat="1">
      <alignment horizontal="right" shrinkToFit="0" vertical="bottom" wrapText="0"/>
    </xf>
    <xf borderId="30" fillId="3" fontId="4" numFmtId="0" xfId="0" applyAlignment="1" applyBorder="1" applyFill="1" applyFont="1">
      <alignment shrinkToFit="0" vertical="bottom" wrapText="0"/>
    </xf>
    <xf borderId="30" fillId="3" fontId="4" numFmtId="3" xfId="0" applyAlignment="1" applyBorder="1" applyFill="1" applyFont="1" applyNumberFormat="1">
      <alignment horizontal="center" shrinkToFit="0" vertical="bottom" wrapText="0"/>
    </xf>
    <xf borderId="9" fillId="0" fontId="3" numFmtId="1" xfId="0" applyAlignment="1" applyBorder="1" applyFont="1" applyNumberFormat="1">
      <alignment shrinkToFit="0" vertical="bottom" wrapText="0"/>
    </xf>
    <xf borderId="9" fillId="0" fontId="3" numFmtId="9" xfId="0" applyAlignment="1" applyBorder="1" applyFont="1" applyNumberFormat="1">
      <alignment shrinkToFit="0" vertical="bottom" wrapText="0"/>
    </xf>
    <xf borderId="0" fillId="0" fontId="35" numFmtId="0" xfId="0" applyFont="1"/>
    <xf borderId="0" fillId="0" fontId="35" numFmtId="3" xfId="0" applyFont="1" applyNumberFormat="1"/>
    <xf borderId="0" fillId="0" fontId="18" numFmtId="3" xfId="0" applyAlignment="1" applyFont="1" applyNumberFormat="1">
      <alignment shrinkToFit="0" vertical="bottom" wrapText="0"/>
    </xf>
    <xf borderId="9" fillId="0" fontId="3" numFmtId="165" xfId="0" applyAlignment="1" applyBorder="1" applyFont="1" applyNumberFormat="1">
      <alignment shrinkToFit="0" vertical="bottom" wrapText="0"/>
    </xf>
    <xf borderId="9" fillId="10" fontId="3" numFmtId="0" xfId="0" applyAlignment="1" applyBorder="1" applyFill="1" applyFont="1">
      <alignment shrinkToFit="0" vertical="bottom" wrapText="0"/>
    </xf>
    <xf borderId="9" fillId="10" fontId="3" numFmtId="3" xfId="0" applyAlignment="1" applyBorder="1" applyFill="1" applyFont="1" applyNumberFormat="1">
      <alignment shrinkToFit="0" vertical="bottom" wrapText="0"/>
    </xf>
    <xf borderId="9" fillId="10" fontId="3" numFmtId="165" xfId="0" applyAlignment="1" applyBorder="1" applyFill="1" applyFont="1" applyNumberFormat="1">
      <alignment shrinkToFit="0" vertical="bottom" wrapText="0"/>
    </xf>
    <xf borderId="9" fillId="10" fontId="3" numFmtId="9" xfId="0" applyAlignment="1" applyBorder="1" applyFill="1" applyFont="1" applyNumberFormat="1">
      <alignment shrinkToFit="0" vertical="bottom" wrapText="0"/>
    </xf>
    <xf borderId="0" fillId="0" fontId="1" numFmtId="0" xfId="0" applyAlignment="1" applyFont="1">
      <alignment shrinkToFit="0" vertical="bottom" wrapText="0"/>
    </xf>
    <xf borderId="0" fillId="0" fontId="3" numFmtId="10" xfId="0" applyAlignment="1" applyFont="1" applyNumberFormat="1">
      <alignment shrinkToFit="0" vertical="bottom" wrapText="0"/>
    </xf>
    <xf borderId="22" fillId="3" fontId="4" numFmtId="10" xfId="0" applyAlignment="1" applyBorder="1" applyFill="1" applyFont="1" applyNumberFormat="1">
      <alignment horizontal="center" shrinkToFit="0" vertical="bottom" wrapText="0"/>
    </xf>
    <xf borderId="9" fillId="0" fontId="3" numFmtId="165" xfId="0" applyAlignment="1" applyBorder="1" applyFont="1" applyNumberFormat="1">
      <alignment horizontal="right" shrinkToFit="0" vertical="bottom" wrapText="0"/>
    </xf>
    <xf borderId="15" fillId="3" fontId="14" numFmtId="0" xfId="0" applyAlignment="1" applyBorder="1" applyFill="1" applyFont="1">
      <alignment shrinkToFit="0" vertical="center" wrapText="0"/>
    </xf>
    <xf borderId="15" fillId="3" fontId="3" numFmtId="10" xfId="0" applyAlignment="1" applyBorder="1" applyFill="1" applyFont="1" applyNumberFormat="1">
      <alignment horizontal="right" shrinkToFit="0" vertical="center" wrapText="0"/>
    </xf>
    <xf borderId="15" fillId="2" fontId="6" numFmtId="10" xfId="0" applyAlignment="1" applyBorder="1" applyFill="1" applyFont="1" applyNumberFormat="1">
      <alignment horizontal="center" shrinkToFit="0" vertical="center" wrapText="1"/>
    </xf>
    <xf borderId="0" fillId="0" fontId="12" numFmtId="3" xfId="0" applyAlignment="1" applyFont="1" applyNumberFormat="1">
      <alignment horizontal="center" shrinkToFit="0" vertical="center" wrapText="1"/>
    </xf>
    <xf borderId="0" fillId="0" fontId="6" numFmtId="3" xfId="0" applyAlignment="1" applyFont="1" applyNumberFormat="1">
      <alignment horizontal="center" shrinkToFit="0" vertical="center" wrapText="1"/>
    </xf>
    <xf borderId="0" fillId="0" fontId="3" numFmtId="2" xfId="0" applyAlignment="1" applyFont="1" applyNumberFormat="1">
      <alignment horizontal="right" shrinkToFit="0" vertical="center" wrapText="0"/>
    </xf>
    <xf borderId="0" fillId="0" fontId="3" numFmtId="9" xfId="0" applyAlignment="1" applyFont="1" applyNumberFormat="1">
      <alignment horizontal="right" shrinkToFit="0" vertical="center" wrapText="0"/>
    </xf>
    <xf borderId="0" fillId="0" fontId="18" numFmtId="9" xfId="0" applyAlignment="1" applyFont="1" applyNumberFormat="1">
      <alignment shrinkToFit="0" vertical="bottom" wrapText="0"/>
    </xf>
    <xf borderId="0" fillId="0" fontId="18" numFmtId="0" xfId="0" applyAlignment="1" applyFont="1">
      <alignment shrinkToFit="0" vertical="bottom" wrapText="0"/>
    </xf>
    <xf borderId="0" fillId="0" fontId="18" numFmtId="2" xfId="0" applyAlignment="1" applyFont="1" applyNumberFormat="1">
      <alignment shrinkToFit="0" vertical="bottom" wrapText="0"/>
    </xf>
    <xf borderId="15" fillId="3" fontId="14" numFmtId="0" xfId="0" applyAlignment="1" applyBorder="1" applyFill="1" applyFont="1">
      <alignment shrinkToFit="0" vertical="bottom" wrapText="0"/>
    </xf>
    <xf borderId="15" fillId="3" fontId="18" numFmtId="0" xfId="0" applyAlignment="1" applyBorder="1" applyFill="1" applyFont="1">
      <alignment shrinkToFit="0" vertical="bottom" wrapText="0"/>
    </xf>
    <xf borderId="0" fillId="0" fontId="12" numFmtId="0" xfId="0" applyAlignment="1" applyFont="1">
      <alignment shrinkToFit="0" vertical="bottom" wrapText="0"/>
    </xf>
    <xf borderId="15" fillId="2" fontId="6" numFmtId="0" xfId="0" applyAlignment="1" applyBorder="1" applyFill="1" applyFont="1">
      <alignment shrinkToFit="0" vertical="bottom" wrapText="0"/>
    </xf>
  </cellXfs>
  <cellStyles count="1">
    <cellStyle xfId="0" name="Normal" builtinId="0"/>
  </cellStyles>
  <dxfs count="12">
    <dxf>
      <font>
        <b/>
      </font>
      <fill>
        <patternFill patternType="solid">
          <fgColor rgb="FFFF00FF"/>
          <bgColor rgb="FFFF00FF"/>
        </patternFill>
      </fill>
      <border/>
    </dxf>
    <dxf>
      <font>
        <b/>
      </font>
      <fill>
        <patternFill patternType="solid">
          <fgColor rgb="FF4A86E8"/>
          <bgColor rgb="FF4A86E8"/>
        </patternFill>
      </fill>
      <border/>
    </dxf>
    <dxf>
      <font>
        <b/>
        <color rgb="FF9C0006"/>
      </font>
      <fill>
        <patternFill patternType="solid">
          <fgColor rgb="FFFFC7CE"/>
          <bgColor rgb="FFFFC7CE"/>
        </patternFill>
      </fill>
      <border/>
    </dxf>
    <dxf>
      <font>
        <b/>
      </font>
      <fill>
        <patternFill patternType="solid">
          <fgColor rgb="FFFFFF00"/>
          <bgColor rgb="FFFFFF00"/>
        </patternFill>
      </fill>
      <border/>
    </dxf>
    <dxf>
      <font>
        <b/>
      </font>
      <fill>
        <patternFill patternType="solid">
          <fgColor rgb="FFE06666"/>
          <bgColor rgb="FFE06666"/>
        </patternFill>
      </fill>
      <border/>
    </dxf>
    <dxf>
      <font>
        <b/>
      </font>
      <fill>
        <patternFill patternType="solid">
          <fgColor rgb="FFFF9900"/>
          <bgColor rgb="FFFF9900"/>
        </patternFill>
      </fill>
      <border/>
    </dxf>
    <dxf>
      <font>
        <b/>
      </font>
      <fill>
        <patternFill patternType="solid">
          <fgColor rgb="FFFFE599"/>
          <bgColor rgb="FFFFE599"/>
        </patternFill>
      </fill>
      <border/>
    </dxf>
    <dxf>
      <font>
        <b/>
        <color rgb="FFCC0000"/>
      </font>
      <fill>
        <patternFill patternType="none"/>
      </fill>
      <border/>
    </dxf>
    <dxf>
      <font/>
      <fill>
        <patternFill patternType="solid">
          <fgColor rgb="FFF4CCCC"/>
          <bgColor rgb="FFF4CCCC"/>
        </patternFill>
      </fill>
      <border/>
    </dxf>
    <dxf>
      <font>
        <b/>
        <color rgb="FF006100"/>
      </font>
      <fill>
        <patternFill patternType="solid">
          <fgColor rgb="FFC6EFCE"/>
          <bgColor rgb="FFC6EFCE"/>
        </patternFill>
      </fill>
      <border/>
    </dxf>
    <dxf>
      <font/>
      <fill>
        <patternFill patternType="solid">
          <fgColor rgb="FFFF9999"/>
          <bgColor rgb="FFFF9999"/>
        </patternFill>
      </fill>
      <border/>
    </dxf>
    <dxf>
      <font>
        <b/>
        <color rgb="FFCC0000"/>
      </font>
      <fill>
        <patternFill patternType="solid">
          <fgColor rgb="FFF4CCCC"/>
          <bgColor rgb="FFF4CC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Dotación por año</a:t>
            </a:r>
          </a:p>
        </c:rich>
      </c:tx>
      <c:overlay val="0"/>
    </c:title>
    <c:plotArea>
      <c:layout/>
      <c:barChart>
        <c:barDir val="col"/>
        <c:grouping val="stacked"/>
        <c:ser>
          <c:idx val="0"/>
          <c:order val="0"/>
          <c:tx>
            <c:v>Producción 1–10 kg y carros (mañana)</c:v>
          </c:tx>
          <c:spPr>
            <a:solidFill>
              <a:srgbClr val="3A76D9"/>
            </a:solidFill>
            <a:ln cmpd="sng">
              <a:noFill/>
            </a:ln>
          </c:spPr>
          <c:invertIfNegative val="0"/>
          <c:cat>
            <c:strRef>
              <c:f>'Resumen General'!$B$11:$K$11</c:f>
            </c:strRef>
          </c:cat>
          <c:val>
            <c:numRef>
              <c:f>'Resumen General'!$B$24:$K$24</c:f>
              <c:numCache/>
            </c:numRef>
          </c:val>
        </c:ser>
        <c:ser>
          <c:idx val="1"/>
          <c:order val="1"/>
          <c:tx>
            <c:v>Recargas (mañana)</c:v>
          </c:tx>
          <c:spPr>
            <a:solidFill>
              <a:srgbClr val="D03B2F"/>
            </a:solidFill>
            <a:ln cmpd="sng">
              <a:noFill/>
            </a:ln>
          </c:spPr>
          <c:invertIfNegative val="0"/>
          <c:cat>
            <c:strRef>
              <c:f>'Resumen General'!$B$11:$K$11</c:f>
            </c:strRef>
          </c:cat>
          <c:val>
            <c:numRef>
              <c:f>'Resumen General'!$B$25:$K$25</c:f>
              <c:numCache/>
            </c:numRef>
          </c:val>
        </c:ser>
        <c:ser>
          <c:idx val="2"/>
          <c:order val="2"/>
          <c:tx>
            <c:v>Recargas (tarde: mostrador + recargas)</c:v>
          </c:tx>
          <c:spPr>
            <a:solidFill>
              <a:srgbClr val="DFA703"/>
            </a:solidFill>
            <a:ln cmpd="sng">
              <a:noFill/>
            </a:ln>
          </c:spPr>
          <c:invertIfNegative val="0"/>
          <c:cat>
            <c:strRef>
              <c:f>'Resumen General'!$B$11:$K$11</c:f>
            </c:strRef>
          </c:cat>
          <c:val>
            <c:numRef>
              <c:f>'Resumen General'!$B$26:$K$26</c:f>
              <c:numCache/>
            </c:numRef>
          </c:val>
        </c:ser>
        <c:ser>
          <c:idx val="3"/>
          <c:order val="3"/>
          <c:tx>
            <c:v>Turno tarde (pool de producción)</c:v>
          </c:tx>
          <c:spPr>
            <a:solidFill>
              <a:srgbClr val="2E9549"/>
            </a:solidFill>
            <a:ln cmpd="sng">
              <a:noFill/>
            </a:ln>
          </c:spPr>
          <c:invertIfNegative val="0"/>
          <c:cat>
            <c:strRef>
              <c:f>'Resumen General'!$B$11:$K$11</c:f>
            </c:strRef>
          </c:cat>
          <c:val>
            <c:numRef>
              <c:f>'Resumen General'!$B$27:$K$27</c:f>
              <c:numCache/>
            </c:numRef>
          </c:val>
        </c:ser>
        <c:ser>
          <c:idx val="4"/>
          <c:order val="4"/>
          <c:tx>
            <c:v>Encargados</c:v>
          </c:tx>
          <c:spPr>
            <a:solidFill>
              <a:srgbClr val="E36100"/>
            </a:solidFill>
            <a:ln cmpd="sng">
              <a:noFill/>
            </a:ln>
          </c:spPr>
          <c:invertIfNegative val="0"/>
          <c:cat>
            <c:strRef>
              <c:f>'Resumen General'!$B$11:$K$11</c:f>
            </c:strRef>
          </c:cat>
          <c:val>
            <c:numRef>
              <c:f>'Resumen General'!$B$28:$K$28</c:f>
              <c:numCache/>
            </c:numRef>
          </c:val>
        </c:ser>
        <c:ser>
          <c:idx val="5"/>
          <c:order val="5"/>
          <c:tx>
            <c:v>Administración</c:v>
          </c:tx>
          <c:spPr>
            <a:solidFill>
              <a:srgbClr val="3EA8B0"/>
            </a:solidFill>
            <a:ln cmpd="sng">
              <a:noFill/>
            </a:ln>
          </c:spPr>
          <c:invertIfNegative val="0"/>
          <c:cat>
            <c:strRef>
              <c:f>'Resumen General'!$B$11:$K$11</c:f>
            </c:strRef>
          </c:cat>
          <c:val>
            <c:numRef>
              <c:f>'Resumen General'!$B$29:$K$29</c:f>
              <c:numCache/>
            </c:numRef>
          </c:val>
        </c:ser>
        <c:ser>
          <c:idx val="6"/>
          <c:order val="6"/>
          <c:tx>
            <c:v>Choferes de reparto</c:v>
          </c:tx>
          <c:spPr>
            <a:solidFill>
              <a:srgbClr val="8FACF6"/>
            </a:solidFill>
            <a:ln cmpd="sng">
              <a:noFill/>
            </a:ln>
          </c:spPr>
          <c:invertIfNegative val="0"/>
          <c:cat>
            <c:strRef>
              <c:f>'Resumen General'!$B$11:$K$11</c:f>
            </c:strRef>
          </c:cat>
          <c:val>
            <c:numRef>
              <c:f>'Resumen General'!$B$30:$K$30</c:f>
              <c:numCache/>
            </c:numRef>
          </c:val>
        </c:ser>
        <c:overlap val="100"/>
        <c:axId val="1535540760"/>
        <c:axId val="1478581400"/>
      </c:barChart>
      <c:catAx>
        <c:axId val="15355407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478581400"/>
      </c:catAx>
      <c:valAx>
        <c:axId val="147858140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personas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535540760"/>
      </c:valAx>
    </c:plotArea>
    <c:legend>
      <c:legendPos val="b"/>
      <c:overlay val="0"/>
      <c:txPr>
        <a:bodyPr/>
        <a:lstStyle/>
        <a:p>
          <a:pPr lvl="0">
            <a:defRPr b="0" i="0" sz="1000">
              <a:solidFill>
                <a:srgbClr val="000000"/>
              </a:solidFill>
              <a:latin typeface="Arial"/>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Máquinas por línea</a:t>
            </a:r>
          </a:p>
        </c:rich>
      </c:tx>
      <c:overlay val="0"/>
    </c:title>
    <c:plotArea>
      <c:layout/>
      <c:barChart>
        <c:barDir val="col"/>
        <c:grouping val="stacked"/>
        <c:ser>
          <c:idx val="0"/>
          <c:order val="0"/>
          <c:tx>
            <c:v>Máquinas producción 1–10 kg</c:v>
          </c:tx>
          <c:spPr>
            <a:solidFill>
              <a:srgbClr val="4285F4"/>
            </a:solidFill>
            <a:ln cmpd="sng">
              <a:noFill/>
            </a:ln>
          </c:spPr>
          <c:invertIfNegative val="0"/>
          <c:cat>
            <c:strRef>
              <c:f>'Resumen General'!$B$11:$K$11</c:f>
            </c:strRef>
          </c:cat>
          <c:val>
            <c:numRef>
              <c:f>'Resumen General'!$B$18:$K$18</c:f>
              <c:numCache/>
            </c:numRef>
          </c:val>
        </c:ser>
        <c:ser>
          <c:idx val="1"/>
          <c:order val="1"/>
          <c:tx>
            <c:v>Máquinas línea de carros</c:v>
          </c:tx>
          <c:spPr>
            <a:solidFill>
              <a:srgbClr val="EA4335"/>
            </a:solidFill>
            <a:ln cmpd="sng">
              <a:noFill/>
            </a:ln>
          </c:spPr>
          <c:invertIfNegative val="0"/>
          <c:cat>
            <c:strRef>
              <c:f>'Resumen General'!$B$11:$K$11</c:f>
            </c:strRef>
          </c:cat>
          <c:val>
            <c:numRef>
              <c:f>'Resumen General'!$B$19:$K$19</c:f>
              <c:numCache/>
            </c:numRef>
          </c:val>
        </c:ser>
        <c:ser>
          <c:idx val="2"/>
          <c:order val="2"/>
          <c:tx>
            <c:v>Guillotinas (corte de chapa)</c:v>
          </c:tx>
          <c:spPr>
            <a:solidFill>
              <a:srgbClr val="FBBC04"/>
            </a:solidFill>
            <a:ln cmpd="sng">
              <a:noFill/>
            </a:ln>
          </c:spPr>
          <c:invertIfNegative val="0"/>
          <c:cat>
            <c:strRef>
              <c:f>'Resumen General'!$B$11:$K$11</c:f>
            </c:strRef>
          </c:cat>
          <c:val>
            <c:numRef>
              <c:f>'Resumen General'!$B$20:$K$20</c:f>
              <c:numCache/>
            </c:numRef>
          </c:val>
        </c:ser>
        <c:ser>
          <c:idx val="3"/>
          <c:order val="3"/>
          <c:tx>
            <c:v>Máquinas recargas</c:v>
          </c:tx>
          <c:spPr>
            <a:solidFill>
              <a:srgbClr val="34A853"/>
            </a:solidFill>
            <a:ln cmpd="sng">
              <a:noFill/>
            </a:ln>
          </c:spPr>
          <c:invertIfNegative val="0"/>
          <c:cat>
            <c:strRef>
              <c:f>'Resumen General'!$B$11:$K$11</c:f>
            </c:strRef>
          </c:cat>
          <c:val>
            <c:numRef>
              <c:f>'Resumen General'!$B$21:$K$21</c:f>
              <c:numCache/>
            </c:numRef>
          </c:val>
        </c:ser>
        <c:overlap val="100"/>
        <c:axId val="1576583521"/>
        <c:axId val="201090462"/>
      </c:barChart>
      <c:catAx>
        <c:axId val="15765835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201090462"/>
      </c:catAx>
      <c:valAx>
        <c:axId val="20109046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máquinas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576583521"/>
      </c:valAx>
    </c:plotArea>
    <c:legend>
      <c:legendPos val="b"/>
      <c:overlay val="0"/>
      <c:txPr>
        <a:bodyPr/>
        <a:lstStyle/>
        <a:p>
          <a:pPr lvl="0">
            <a:defRPr b="0" i="0" sz="1000">
              <a:solidFill>
                <a:srgbClr val="000000"/>
              </a:solidFill>
              <a:latin typeface="Arial"/>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44</xdr:row>
      <xdr:rowOff>0</xdr:rowOff>
    </xdr:from>
    <xdr:ext cx="6200775" cy="3019425"/>
    <xdr:graphicFrame>
      <xdr:nvGraphicFramePr>
        <xdr:cNvPr id="105672659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0</xdr:colOff>
      <xdr:row>44</xdr:row>
      <xdr:rowOff>0</xdr:rowOff>
    </xdr:from>
    <xdr:ext cx="5381625" cy="3019425"/>
    <xdr:graphicFrame>
      <xdr:nvGraphicFramePr>
        <xdr:cNvPr id="1504310618"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26</xdr:row>
      <xdr:rowOff>76200</xdr:rowOff>
    </xdr:from>
    <xdr:ext cx="11782425"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pannier.com/es/marking/stamp-marking-machines/benchtop-presses/" TargetMode="External"/><Relationship Id="rId2" Type="http://schemas.openxmlformats.org/officeDocument/2006/relationships/hyperlink" Target="https://www.directindustry.es/prod/sangiacomo-presse/product-16556-37404.html" TargetMode="External"/><Relationship Id="rId3" Type="http://schemas.openxmlformats.org/officeDocument/2006/relationships/hyperlink" Target="https://www.pannier.com/es/marking/stamp-marking-machines/benchtop-presses/" TargetMode="External"/><Relationship Id="rId4" Type="http://schemas.openxmlformats.org/officeDocument/2006/relationships/hyperlink" Target="https://delfabrohidraulicos.com/producto/prensa-hidraulica-motorizada-30-toneladas/" TargetMode="External"/><Relationship Id="rId5" Type="http://schemas.openxmlformats.org/officeDocument/2006/relationships/hyperlink" Target="https://www.pilmanmaquinaria.com/anuncios/6051082-bordonadora-motorizada-swm-400"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42.0"/>
    <col customWidth="1" min="2" max="11" width="12.0"/>
    <col customWidth="1" min="12" max="26" width="8.63"/>
  </cols>
  <sheetData>
    <row r="1">
      <c r="A1" s="20" t="s">
        <v>160</v>
      </c>
    </row>
    <row r="3">
      <c r="A3" s="39" t="s">
        <v>161</v>
      </c>
      <c r="B3" s="39" t="s">
        <v>27</v>
      </c>
      <c r="D3" s="39" t="s">
        <v>162</v>
      </c>
      <c r="E3" s="69"/>
      <c r="F3" s="69"/>
      <c r="G3" s="69"/>
    </row>
    <row r="4">
      <c r="A4" s="30" t="s">
        <v>166</v>
      </c>
      <c r="B4" s="36">
        <f>'Servicios y Oficinas'!K42+'Almacen PT'!K105</f>
        <v>71</v>
      </c>
      <c r="D4" s="53" t="s">
        <v>170</v>
      </c>
      <c r="E4" s="71" t="s">
        <v>171</v>
      </c>
      <c r="F4" s="3"/>
      <c r="G4" s="4"/>
    </row>
    <row r="5">
      <c r="A5" s="30" t="s">
        <v>173</v>
      </c>
      <c r="B5" s="36">
        <f>'Resumen Capacidad'!K49+'Resumen Capacidad'!K228</f>
        <v>40</v>
      </c>
      <c r="D5" s="75"/>
      <c r="E5" s="71" t="s">
        <v>159</v>
      </c>
      <c r="F5" s="3"/>
      <c r="G5" s="4"/>
    </row>
    <row r="6">
      <c r="A6" s="30" t="s">
        <v>176</v>
      </c>
      <c r="B6" s="36">
        <f>'Resumen Capacidad'!K299</f>
        <v>22</v>
      </c>
      <c r="D6" s="77"/>
      <c r="E6" s="71" t="s">
        <v>175</v>
      </c>
      <c r="F6" s="3"/>
      <c r="G6" s="4"/>
    </row>
    <row r="7">
      <c r="A7" s="30" t="s">
        <v>178</v>
      </c>
      <c r="B7" s="36">
        <f>'Resumen Capacidad'!H50</f>
        <v>2032</v>
      </c>
      <c r="D7" s="78"/>
      <c r="E7" s="71" t="s">
        <v>180</v>
      </c>
      <c r="F7" s="3"/>
      <c r="G7" s="4"/>
    </row>
    <row r="8">
      <c r="D8" s="79"/>
      <c r="E8" s="71" t="s">
        <v>183</v>
      </c>
      <c r="F8" s="3"/>
      <c r="G8" s="4"/>
    </row>
    <row r="9">
      <c r="D9" s="81"/>
      <c r="E9" s="71" t="s">
        <v>186</v>
      </c>
      <c r="F9" s="3"/>
      <c r="G9" s="4"/>
    </row>
    <row r="11">
      <c r="A11" s="39" t="s">
        <v>188</v>
      </c>
      <c r="B11" s="39">
        <v>2026.0</v>
      </c>
      <c r="C11" s="39">
        <v>2027.0</v>
      </c>
      <c r="D11" s="39">
        <v>2028.0</v>
      </c>
      <c r="E11" s="39">
        <v>2029.0</v>
      </c>
      <c r="F11" s="39">
        <v>2030.0</v>
      </c>
      <c r="G11" s="39">
        <v>2031.0</v>
      </c>
      <c r="H11" s="39">
        <v>2032.0</v>
      </c>
      <c r="I11" s="39">
        <v>2033.0</v>
      </c>
      <c r="J11" s="39">
        <v>2034.0</v>
      </c>
      <c r="K11" s="39">
        <v>2035.0</v>
      </c>
    </row>
    <row r="12">
      <c r="A12" s="24" t="s">
        <v>189</v>
      </c>
      <c r="B12" s="82"/>
      <c r="C12" s="82"/>
      <c r="D12" s="82"/>
      <c r="E12" s="82"/>
      <c r="F12" s="82"/>
      <c r="G12" s="82"/>
      <c r="H12" s="82"/>
      <c r="I12" s="82"/>
      <c r="J12" s="82"/>
      <c r="K12" s="82"/>
    </row>
    <row r="13">
      <c r="A13" s="30" t="s">
        <v>191</v>
      </c>
      <c r="B13" s="64">
        <f>SUM(datos_base!B3:B10)</f>
        <v>6958</v>
      </c>
      <c r="C13" s="64">
        <f>SUM(datos_base!C3:C10)</f>
        <v>10963</v>
      </c>
      <c r="D13" s="64">
        <f>SUM(datos_base!D3:D10)</f>
        <v>13488</v>
      </c>
      <c r="E13" s="64">
        <f>SUM(datos_base!E3:E10)</f>
        <v>17551</v>
      </c>
      <c r="F13" s="64">
        <f>SUM(datos_base!F3:F10)</f>
        <v>27038</v>
      </c>
      <c r="G13" s="64">
        <f>SUM(datos_base!G3:G10)</f>
        <v>35196</v>
      </c>
      <c r="H13" s="64">
        <f>SUM(datos_base!H3:H10)</f>
        <v>45531</v>
      </c>
      <c r="I13" s="64">
        <f>SUM(datos_base!I3:I10)</f>
        <v>56352</v>
      </c>
      <c r="J13" s="64">
        <f>SUM(datos_base!J3:J10)</f>
        <v>64922</v>
      </c>
      <c r="K13" s="64">
        <f>SUM(datos_base!K3:K10)</f>
        <v>73903</v>
      </c>
    </row>
    <row r="14">
      <c r="A14" s="30" t="s">
        <v>200</v>
      </c>
      <c r="B14" s="64">
        <f>SUM(datos_base!B15:B22)</f>
        <v>0</v>
      </c>
      <c r="C14" s="64">
        <f>SUM(datos_base!C15:C22)</f>
        <v>0</v>
      </c>
      <c r="D14" s="64">
        <f>SUM(datos_base!D15:D22)</f>
        <v>9589</v>
      </c>
      <c r="E14" s="64">
        <f>SUM(datos_base!E15:E22)</f>
        <v>33407</v>
      </c>
      <c r="F14" s="64">
        <f>SUM(datos_base!F15:F22)</f>
        <v>61865</v>
      </c>
      <c r="G14" s="64">
        <f>SUM(datos_base!G15:G22)</f>
        <v>89704</v>
      </c>
      <c r="H14" s="64">
        <f>SUM(datos_base!H15:H22)</f>
        <v>126822</v>
      </c>
      <c r="I14" s="64">
        <f>SUM(datos_base!I15:I22)</f>
        <v>163940</v>
      </c>
      <c r="J14" s="64">
        <f>SUM(datos_base!J15:J22)</f>
        <v>183736</v>
      </c>
      <c r="K14" s="64">
        <f>SUM(datos_base!K15:K22)</f>
        <v>213430</v>
      </c>
    </row>
    <row r="15">
      <c r="A15" s="30" t="s">
        <v>205</v>
      </c>
      <c r="B15" s="64">
        <f>datos_base!B73-datos_base!B66</f>
        <v>2338.198878</v>
      </c>
      <c r="C15" s="64">
        <f>datos_base!C73-datos_base!C66</f>
        <v>10498.78345</v>
      </c>
      <c r="D15" s="64">
        <f>datos_base!D73-datos_base!D66</f>
        <v>21052.00732</v>
      </c>
      <c r="E15" s="64">
        <f>datos_base!E73-datos_base!E66</f>
        <v>39050.55768</v>
      </c>
      <c r="F15" s="64">
        <f>datos_base!F73-datos_base!F66</f>
        <v>57477.44115</v>
      </c>
      <c r="G15" s="64">
        <f>datos_base!G73-datos_base!G66</f>
        <v>78232.25172</v>
      </c>
      <c r="H15" s="64">
        <f>datos_base!H73-datos_base!H66</f>
        <v>97163.13705</v>
      </c>
      <c r="I15" s="64">
        <f>datos_base!I73-datos_base!I66</f>
        <v>110459.9526</v>
      </c>
      <c r="J15" s="64">
        <f>datos_base!J73-datos_base!J66</f>
        <v>118812.6194</v>
      </c>
      <c r="K15" s="64">
        <f>datos_base!K73-datos_base!K66</f>
        <v>127338.8793</v>
      </c>
    </row>
    <row r="16">
      <c r="A16" s="24" t="s">
        <v>208</v>
      </c>
      <c r="B16" s="82"/>
      <c r="C16" s="82"/>
      <c r="D16" s="82"/>
      <c r="E16" s="82"/>
      <c r="F16" s="82"/>
      <c r="G16" s="82"/>
      <c r="H16" s="82"/>
      <c r="I16" s="82"/>
      <c r="J16" s="82"/>
      <c r="K16" s="82"/>
    </row>
    <row r="17">
      <c r="A17" s="30" t="s">
        <v>209</v>
      </c>
      <c r="B17" s="46">
        <f>'Resumen Capacidad'!B85</f>
        <v>1</v>
      </c>
      <c r="C17" s="46">
        <f>'Resumen Capacidad'!C85</f>
        <v>1</v>
      </c>
      <c r="D17" s="46">
        <f>'Resumen Capacidad'!D85</f>
        <v>1</v>
      </c>
      <c r="E17" s="46">
        <f>'Resumen Capacidad'!E85</f>
        <v>1</v>
      </c>
      <c r="F17" s="46">
        <f>'Resumen Capacidad'!F85</f>
        <v>1</v>
      </c>
      <c r="G17" s="46">
        <f>'Resumen Capacidad'!G85</f>
        <v>1</v>
      </c>
      <c r="H17" s="46">
        <f>'Resumen Capacidad'!H85</f>
        <v>2</v>
      </c>
      <c r="I17" s="46">
        <f>'Resumen Capacidad'!I85</f>
        <v>2</v>
      </c>
      <c r="J17" s="46">
        <f>'Resumen Capacidad'!J85</f>
        <v>2</v>
      </c>
      <c r="K17" s="46">
        <f>'Resumen Capacidad'!K85</f>
        <v>2</v>
      </c>
    </row>
    <row r="18">
      <c r="A18" s="30" t="s">
        <v>213</v>
      </c>
      <c r="B18" s="46">
        <f>'Resumen Capacidad'!B49</f>
        <v>19</v>
      </c>
      <c r="C18" s="46">
        <f>'Resumen Capacidad'!C49</f>
        <v>19</v>
      </c>
      <c r="D18" s="46">
        <f>'Resumen Capacidad'!D49</f>
        <v>19</v>
      </c>
      <c r="E18" s="46">
        <f>'Resumen Capacidad'!E49</f>
        <v>20</v>
      </c>
      <c r="F18" s="46">
        <f>'Resumen Capacidad'!F49</f>
        <v>24</v>
      </c>
      <c r="G18" s="46">
        <f>'Resumen Capacidad'!G49</f>
        <v>30</v>
      </c>
      <c r="H18" s="46">
        <f>'Resumen Capacidad'!H49</f>
        <v>30</v>
      </c>
      <c r="I18" s="46">
        <f>'Resumen Capacidad'!I49</f>
        <v>30</v>
      </c>
      <c r="J18" s="46">
        <f>'Resumen Capacidad'!J49</f>
        <v>30</v>
      </c>
      <c r="K18" s="46">
        <f>'Resumen Capacidad'!K49</f>
        <v>31</v>
      </c>
    </row>
    <row r="19">
      <c r="A19" s="30" t="s">
        <v>216</v>
      </c>
      <c r="B19" s="46">
        <f>'Resumen Capacidad'!B228</f>
        <v>8</v>
      </c>
      <c r="C19" s="46">
        <f>'Resumen Capacidad'!C228</f>
        <v>8</v>
      </c>
      <c r="D19" s="46">
        <f>'Resumen Capacidad'!D228</f>
        <v>8</v>
      </c>
      <c r="E19" s="46">
        <f>'Resumen Capacidad'!E228</f>
        <v>8</v>
      </c>
      <c r="F19" s="46">
        <f>'Resumen Capacidad'!F228</f>
        <v>8</v>
      </c>
      <c r="G19" s="46">
        <f>'Resumen Capacidad'!G228</f>
        <v>8</v>
      </c>
      <c r="H19" s="46">
        <f>'Resumen Capacidad'!H228</f>
        <v>8</v>
      </c>
      <c r="I19" s="46">
        <f>'Resumen Capacidad'!I228</f>
        <v>8</v>
      </c>
      <c r="J19" s="46">
        <f>'Resumen Capacidad'!J228</f>
        <v>8</v>
      </c>
      <c r="K19" s="46">
        <f>'Resumen Capacidad'!K228</f>
        <v>9</v>
      </c>
    </row>
    <row r="20">
      <c r="A20" s="30" t="s">
        <v>219</v>
      </c>
      <c r="B20" s="46">
        <f>'Resumen Capacidad'!B235</f>
        <v>1</v>
      </c>
      <c r="C20" s="46">
        <f>'Resumen Capacidad'!C235</f>
        <v>1</v>
      </c>
      <c r="D20" s="46">
        <f>'Resumen Capacidad'!D235</f>
        <v>1</v>
      </c>
      <c r="E20" s="46">
        <f>'Resumen Capacidad'!E235</f>
        <v>1</v>
      </c>
      <c r="F20" s="46">
        <f>'Resumen Capacidad'!F235</f>
        <v>1</v>
      </c>
      <c r="G20" s="46">
        <f>'Resumen Capacidad'!G235</f>
        <v>1</v>
      </c>
      <c r="H20" s="46">
        <f>'Resumen Capacidad'!H235</f>
        <v>1</v>
      </c>
      <c r="I20" s="46">
        <f>'Resumen Capacidad'!I235</f>
        <v>1</v>
      </c>
      <c r="J20" s="46">
        <f>'Resumen Capacidad'!J235</f>
        <v>1</v>
      </c>
      <c r="K20" s="46">
        <f>'Resumen Capacidad'!K235</f>
        <v>1</v>
      </c>
    </row>
    <row r="21" ht="15.75" customHeight="1">
      <c r="A21" s="30" t="s">
        <v>221</v>
      </c>
      <c r="B21" s="46">
        <f>'Resumen Capacidad'!B299</f>
        <v>17</v>
      </c>
      <c r="C21" s="46">
        <f>'Resumen Capacidad'!C299</f>
        <v>17</v>
      </c>
      <c r="D21" s="46">
        <f>'Resumen Capacidad'!D299</f>
        <v>17</v>
      </c>
      <c r="E21" s="46">
        <f>'Resumen Capacidad'!E299</f>
        <v>18</v>
      </c>
      <c r="F21" s="46">
        <f>'Resumen Capacidad'!F299</f>
        <v>19</v>
      </c>
      <c r="G21" s="46">
        <f>'Resumen Capacidad'!G299</f>
        <v>22</v>
      </c>
      <c r="H21" s="46">
        <f>'Resumen Capacidad'!H299</f>
        <v>22</v>
      </c>
      <c r="I21" s="46">
        <f>'Resumen Capacidad'!I299</f>
        <v>22</v>
      </c>
      <c r="J21" s="46">
        <f>'Resumen Capacidad'!J299</f>
        <v>22</v>
      </c>
      <c r="K21" s="46">
        <f>'Resumen Capacidad'!K299</f>
        <v>22</v>
      </c>
    </row>
    <row r="22" ht="15.75" customHeight="1">
      <c r="A22" s="30" t="s">
        <v>227</v>
      </c>
      <c r="B22" s="87">
        <f>MAX('Resumen Capacidad'!B5:B24)</f>
        <v>0.2350926537</v>
      </c>
      <c r="C22" s="87">
        <f>MAX('Resumen Capacidad'!C5:C24)</f>
        <v>0.3680569111</v>
      </c>
      <c r="D22" s="87">
        <f>MAX('Resumen Capacidad'!D5:D24)</f>
        <v>0.7846244395</v>
      </c>
      <c r="E22" s="87">
        <f>MAX('Resumen Capacidad'!E5:E24)</f>
        <v>0.8045128009</v>
      </c>
      <c r="F22" s="87">
        <f>MAX('Resumen Capacidad'!F5:F24)</f>
        <v>0.8417936508</v>
      </c>
      <c r="G22" s="87">
        <f>MAX('Resumen Capacidad'!G5:G24)</f>
        <v>0.7946138882</v>
      </c>
      <c r="H22" s="87">
        <f>MAX('Resumen Capacidad'!H5:H24)</f>
        <v>0.8591940741</v>
      </c>
      <c r="I22" s="87">
        <f>MAX('Resumen Capacidad'!I5:I24)</f>
        <v>0.8866684028</v>
      </c>
      <c r="J22" s="87">
        <f>MAX('Resumen Capacidad'!J5:J24)</f>
        <v>0.8431564078</v>
      </c>
      <c r="K22" s="87">
        <f>MAX('Resumen Capacidad'!K5:K24)</f>
        <v>0.8717697335</v>
      </c>
    </row>
    <row r="23" ht="15.75" customHeight="1">
      <c r="A23" s="24" t="s">
        <v>236</v>
      </c>
      <c r="B23" s="82"/>
      <c r="C23" s="82"/>
      <c r="D23" s="82"/>
      <c r="E23" s="82"/>
      <c r="F23" s="82"/>
      <c r="G23" s="82"/>
      <c r="H23" s="82"/>
      <c r="I23" s="82"/>
      <c r="J23" s="82"/>
      <c r="K23" s="82"/>
    </row>
    <row r="24" ht="15.75" customHeight="1">
      <c r="A24" s="30" t="s">
        <v>237</v>
      </c>
      <c r="B24" s="46">
        <f>'Dotacion Planta'!B102</f>
        <v>5</v>
      </c>
      <c r="C24" s="46">
        <f>'Dotacion Planta'!C102</f>
        <v>5</v>
      </c>
      <c r="D24" s="46">
        <f>'Dotacion Planta'!D102</f>
        <v>5</v>
      </c>
      <c r="E24" s="46">
        <f>'Dotacion Planta'!E102</f>
        <v>6</v>
      </c>
      <c r="F24" s="46">
        <f>'Dotacion Planta'!F102</f>
        <v>10</v>
      </c>
      <c r="G24" s="46">
        <f>'Dotacion Planta'!G102</f>
        <v>14</v>
      </c>
      <c r="H24" s="46">
        <f>'Dotacion Planta'!H102</f>
        <v>18</v>
      </c>
      <c r="I24" s="46">
        <f>'Dotacion Planta'!I102</f>
        <v>23</v>
      </c>
      <c r="J24" s="46">
        <f>'Dotacion Planta'!J102</f>
        <v>26</v>
      </c>
      <c r="K24" s="46">
        <f>'Dotacion Planta'!K102</f>
        <v>30</v>
      </c>
    </row>
    <row r="25" ht="15.75" customHeight="1">
      <c r="A25" s="30" t="s">
        <v>242</v>
      </c>
      <c r="B25" s="46">
        <f>'Dotacion Planta'!B103</f>
        <v>0</v>
      </c>
      <c r="C25" s="46">
        <f>'Dotacion Planta'!C103</f>
        <v>2</v>
      </c>
      <c r="D25" s="46">
        <f>'Dotacion Planta'!D103</f>
        <v>3</v>
      </c>
      <c r="E25" s="46">
        <f>'Dotacion Planta'!E103</f>
        <v>6</v>
      </c>
      <c r="F25" s="46">
        <f>'Dotacion Planta'!F103</f>
        <v>9</v>
      </c>
      <c r="G25" s="46">
        <f>'Dotacion Planta'!G103</f>
        <v>12</v>
      </c>
      <c r="H25" s="46">
        <f>'Dotacion Planta'!H103</f>
        <v>14</v>
      </c>
      <c r="I25" s="46">
        <f>'Dotacion Planta'!I103</f>
        <v>16</v>
      </c>
      <c r="J25" s="46">
        <f>'Dotacion Planta'!J103</f>
        <v>16</v>
      </c>
      <c r="K25" s="46">
        <f>'Dotacion Planta'!K103</f>
        <v>16</v>
      </c>
    </row>
    <row r="26" ht="15.75" customHeight="1">
      <c r="A26" s="30" t="s">
        <v>245</v>
      </c>
      <c r="B26" s="46">
        <f>'Dotacion Planta'!B105</f>
        <v>0</v>
      </c>
      <c r="C26" s="46">
        <f>'Dotacion Planta'!C105</f>
        <v>0</v>
      </c>
      <c r="D26" s="46">
        <f>'Dotacion Planta'!D105</f>
        <v>0</v>
      </c>
      <c r="E26" s="46">
        <f>'Dotacion Planta'!E105</f>
        <v>0</v>
      </c>
      <c r="F26" s="46">
        <f>'Dotacion Planta'!F105</f>
        <v>0</v>
      </c>
      <c r="G26" s="46">
        <f>'Dotacion Planta'!G105</f>
        <v>0</v>
      </c>
      <c r="H26" s="46">
        <f>'Dotacion Planta'!H105</f>
        <v>2</v>
      </c>
      <c r="I26" s="46">
        <f>'Dotacion Planta'!I105</f>
        <v>2</v>
      </c>
      <c r="J26" s="46">
        <f>'Dotacion Planta'!J105</f>
        <v>2</v>
      </c>
      <c r="K26" s="46">
        <f>'Dotacion Planta'!K105</f>
        <v>2</v>
      </c>
    </row>
    <row r="27" ht="15.75" customHeight="1">
      <c r="A27" s="30" t="s">
        <v>249</v>
      </c>
      <c r="B27" s="46">
        <f>'Dotacion Planta'!B104</f>
        <v>0</v>
      </c>
      <c r="C27" s="46">
        <f>'Dotacion Planta'!C104</f>
        <v>0</v>
      </c>
      <c r="D27" s="46">
        <f>'Dotacion Planta'!D104</f>
        <v>0</v>
      </c>
      <c r="E27" s="46">
        <f>'Dotacion Planta'!E104</f>
        <v>0</v>
      </c>
      <c r="F27" s="46">
        <f>'Dotacion Planta'!F104</f>
        <v>0</v>
      </c>
      <c r="G27" s="46">
        <f>'Dotacion Planta'!G104</f>
        <v>0</v>
      </c>
      <c r="H27" s="46">
        <f>'Dotacion Planta'!H104</f>
        <v>1</v>
      </c>
      <c r="I27" s="46">
        <f>'Dotacion Planta'!I104</f>
        <v>2</v>
      </c>
      <c r="J27" s="46">
        <f>'Dotacion Planta'!J104</f>
        <v>4</v>
      </c>
      <c r="K27" s="46">
        <f>'Dotacion Planta'!K104</f>
        <v>6</v>
      </c>
    </row>
    <row r="28" ht="15.75" customHeight="1">
      <c r="A28" s="30" t="s">
        <v>254</v>
      </c>
      <c r="B28" s="46">
        <f>'Dotacion Planta'!B106</f>
        <v>1</v>
      </c>
      <c r="C28" s="46">
        <f>'Dotacion Planta'!C106</f>
        <v>1</v>
      </c>
      <c r="D28" s="46">
        <f>'Dotacion Planta'!D106</f>
        <v>1</v>
      </c>
      <c r="E28" s="46">
        <f>'Dotacion Planta'!E106</f>
        <v>1</v>
      </c>
      <c r="F28" s="46">
        <f>'Dotacion Planta'!F106</f>
        <v>1</v>
      </c>
      <c r="G28" s="46">
        <f>'Dotacion Planta'!G106</f>
        <v>1</v>
      </c>
      <c r="H28" s="46">
        <f>'Dotacion Planta'!H106</f>
        <v>2</v>
      </c>
      <c r="I28" s="46">
        <f>'Dotacion Planta'!I106</f>
        <v>2</v>
      </c>
      <c r="J28" s="46">
        <f>'Dotacion Planta'!J106</f>
        <v>2</v>
      </c>
      <c r="K28" s="46">
        <f>'Dotacion Planta'!K106</f>
        <v>2</v>
      </c>
    </row>
    <row r="29" ht="15.75" customHeight="1">
      <c r="A29" s="30" t="s">
        <v>257</v>
      </c>
      <c r="B29" s="46">
        <f>'Servicios y Oficinas'!B29+'Servicios y Oficinas'!B30</f>
        <v>4</v>
      </c>
      <c r="C29" s="46">
        <f>'Servicios y Oficinas'!C29+'Servicios y Oficinas'!C30</f>
        <v>4</v>
      </c>
      <c r="D29" s="46">
        <f>'Servicios y Oficinas'!D29+'Servicios y Oficinas'!D30</f>
        <v>5</v>
      </c>
      <c r="E29" s="46">
        <f>'Servicios y Oficinas'!E29+'Servicios y Oficinas'!E30</f>
        <v>5</v>
      </c>
      <c r="F29" s="46">
        <f>'Servicios y Oficinas'!F29+'Servicios y Oficinas'!F30</f>
        <v>6</v>
      </c>
      <c r="G29" s="46">
        <f>'Servicios y Oficinas'!G29+'Servicios y Oficinas'!G30</f>
        <v>6</v>
      </c>
      <c r="H29" s="46">
        <f>'Servicios y Oficinas'!H29+'Servicios y Oficinas'!H30</f>
        <v>7</v>
      </c>
      <c r="I29" s="46">
        <f>'Servicios y Oficinas'!I29+'Servicios y Oficinas'!I30</f>
        <v>7</v>
      </c>
      <c r="J29" s="46">
        <f>'Servicios y Oficinas'!J29+'Servicios y Oficinas'!J30</f>
        <v>7</v>
      </c>
      <c r="K29" s="46">
        <f>'Servicios y Oficinas'!K29+'Servicios y Oficinas'!K30</f>
        <v>7</v>
      </c>
    </row>
    <row r="30" ht="15.75" customHeight="1">
      <c r="A30" s="30" t="s">
        <v>262</v>
      </c>
      <c r="B30" s="46">
        <f>'Almacen PT'!B105</f>
        <v>2</v>
      </c>
      <c r="C30" s="46">
        <f>'Almacen PT'!C105</f>
        <v>2</v>
      </c>
      <c r="D30" s="46">
        <f>'Almacen PT'!D105</f>
        <v>2</v>
      </c>
      <c r="E30" s="46">
        <f>'Almacen PT'!E105</f>
        <v>3</v>
      </c>
      <c r="F30" s="46">
        <f>'Almacen PT'!F105</f>
        <v>4</v>
      </c>
      <c r="G30" s="46">
        <f>'Almacen PT'!G105</f>
        <v>5</v>
      </c>
      <c r="H30" s="46">
        <f>'Almacen PT'!H105</f>
        <v>6</v>
      </c>
      <c r="I30" s="46">
        <f>'Almacen PT'!I105</f>
        <v>7</v>
      </c>
      <c r="J30" s="46">
        <f>'Almacen PT'!J105</f>
        <v>7</v>
      </c>
      <c r="K30" s="46">
        <f>'Almacen PT'!K105</f>
        <v>8</v>
      </c>
    </row>
    <row r="31" ht="15.75" customHeight="1">
      <c r="A31" s="73" t="s">
        <v>267</v>
      </c>
      <c r="B31" s="36">
        <f t="shared" ref="B31:K31" si="1">SUM(B24:B30)</f>
        <v>12</v>
      </c>
      <c r="C31" s="36">
        <f t="shared" si="1"/>
        <v>14</v>
      </c>
      <c r="D31" s="36">
        <f t="shared" si="1"/>
        <v>16</v>
      </c>
      <c r="E31" s="36">
        <f t="shared" si="1"/>
        <v>21</v>
      </c>
      <c r="F31" s="36">
        <f t="shared" si="1"/>
        <v>30</v>
      </c>
      <c r="G31" s="36">
        <f t="shared" si="1"/>
        <v>38</v>
      </c>
      <c r="H31" s="36">
        <f t="shared" si="1"/>
        <v>50</v>
      </c>
      <c r="I31" s="36">
        <f t="shared" si="1"/>
        <v>59</v>
      </c>
      <c r="J31" s="36">
        <f t="shared" si="1"/>
        <v>64</v>
      </c>
      <c r="K31" s="36">
        <f t="shared" si="1"/>
        <v>71</v>
      </c>
    </row>
    <row r="32" ht="15.75" customHeight="1">
      <c r="A32" s="30" t="s">
        <v>269</v>
      </c>
      <c r="B32" s="46">
        <f>'Dotacion Planta'!B109</f>
        <v>0</v>
      </c>
      <c r="C32" s="46">
        <f>'Dotacion Planta'!C109</f>
        <v>0</v>
      </c>
      <c r="D32" s="46">
        <f>'Dotacion Planta'!D109</f>
        <v>13.57332225</v>
      </c>
      <c r="E32" s="46">
        <f>'Dotacion Planta'!E109</f>
        <v>34.68186126</v>
      </c>
      <c r="F32" s="46">
        <f>'Dotacion Planta'!F109</f>
        <v>32.09791124</v>
      </c>
      <c r="G32" s="46">
        <f>'Dotacion Planta'!G109</f>
        <v>38.33005583</v>
      </c>
      <c r="H32" s="46">
        <f>'Dotacion Planta'!H109</f>
        <v>37.30618718</v>
      </c>
      <c r="I32" s="46">
        <f>'Dotacion Planta'!I109</f>
        <v>28.3146229</v>
      </c>
      <c r="J32" s="46">
        <f>'Dotacion Planta'!J109</f>
        <v>25.36454354</v>
      </c>
      <c r="K32" s="46">
        <f>'Dotacion Planta'!K109</f>
        <v>21.86737066</v>
      </c>
    </row>
    <row r="33" ht="15.75" customHeight="1">
      <c r="A33" s="30" t="s">
        <v>264</v>
      </c>
      <c r="B33" s="63">
        <f>'Dotacion Planta'!B112</f>
        <v>14</v>
      </c>
      <c r="C33" s="63">
        <f>'Dotacion Planta'!C112</f>
        <v>14</v>
      </c>
      <c r="D33" s="63">
        <f>'Dotacion Planta'!D112</f>
        <v>14</v>
      </c>
      <c r="E33" s="63">
        <f>'Dotacion Planta'!E112</f>
        <v>14</v>
      </c>
      <c r="F33" s="63">
        <f>'Dotacion Planta'!F112</f>
        <v>14</v>
      </c>
      <c r="G33" s="63">
        <f>'Dotacion Planta'!G112</f>
        <v>16.12121212</v>
      </c>
      <c r="H33" s="63">
        <f>'Dotacion Planta'!H112</f>
        <v>15.90909091</v>
      </c>
      <c r="I33" s="63">
        <f>'Dotacion Planta'!I112</f>
        <v>15.88461538</v>
      </c>
      <c r="J33" s="63">
        <f>'Dotacion Planta'!J112</f>
        <v>16.21052632</v>
      </c>
      <c r="K33" s="63">
        <f>'Dotacion Planta'!K112</f>
        <v>16.88888889</v>
      </c>
    </row>
    <row r="34" ht="15.75" customHeight="1">
      <c r="A34" s="30" t="s">
        <v>282</v>
      </c>
      <c r="B34" s="64">
        <f>'Dotacion Planta'!B111</f>
        <v>375</v>
      </c>
      <c r="C34" s="64">
        <f>'Dotacion Planta'!C111</f>
        <v>525</v>
      </c>
      <c r="D34" s="64">
        <f>'Dotacion Planta'!D111</f>
        <v>600</v>
      </c>
      <c r="E34" s="64">
        <f>'Dotacion Planta'!E111</f>
        <v>900</v>
      </c>
      <c r="F34" s="64">
        <f>'Dotacion Planta'!F111</f>
        <v>1425</v>
      </c>
      <c r="G34" s="64">
        <f>'Dotacion Planta'!G111</f>
        <v>2137.5</v>
      </c>
      <c r="H34" s="64">
        <f>'Dotacion Planta'!H111</f>
        <v>2887.5</v>
      </c>
      <c r="I34" s="64">
        <f>'Dotacion Planta'!I111</f>
        <v>3525</v>
      </c>
      <c r="J34" s="64">
        <f>'Dotacion Planta'!J111</f>
        <v>4050</v>
      </c>
      <c r="K34" s="64">
        <f>'Dotacion Planta'!K111</f>
        <v>4762.5</v>
      </c>
    </row>
    <row r="35" ht="15.75" customHeight="1">
      <c r="A35" s="24" t="s">
        <v>285</v>
      </c>
      <c r="B35" s="82"/>
      <c r="C35" s="82"/>
      <c r="D35" s="82"/>
      <c r="E35" s="82"/>
      <c r="F35" s="82"/>
      <c r="G35" s="82"/>
      <c r="H35" s="82"/>
      <c r="I35" s="82"/>
      <c r="J35" s="82"/>
      <c r="K35" s="82"/>
    </row>
    <row r="36" ht="15.75" customHeight="1">
      <c r="A36" s="30" t="s">
        <v>288</v>
      </c>
      <c r="B36" s="64">
        <f>'Dotacion Planta'!B110</f>
        <v>792.21</v>
      </c>
      <c r="C36" s="64">
        <f>'Dotacion Planta'!C110</f>
        <v>1240.27</v>
      </c>
      <c r="D36" s="64">
        <f>'Dotacion Planta'!D110</f>
        <v>1765.176545</v>
      </c>
      <c r="E36" s="64">
        <f>'Dotacion Planta'!E110</f>
        <v>1771.700827</v>
      </c>
      <c r="F36" s="64">
        <f>'Dotacion Planta'!F110</f>
        <v>2810.603833</v>
      </c>
      <c r="G36" s="64">
        <f>'Dotacion Planta'!G110</f>
        <v>3950.681101</v>
      </c>
      <c r="H36" s="64">
        <f>'Dotacion Planta'!H110</f>
        <v>3738.04053</v>
      </c>
      <c r="I36" s="64">
        <f>'Dotacion Planta'!I110</f>
        <v>5096.584667</v>
      </c>
      <c r="J36" s="64">
        <f>'Dotacion Planta'!J110</f>
        <v>5586.142118</v>
      </c>
      <c r="K36" s="64">
        <f>'Dotacion Planta'!K110</f>
        <v>6343.135143</v>
      </c>
    </row>
    <row r="37" ht="15.75" customHeight="1">
      <c r="A37" s="30" t="s">
        <v>293</v>
      </c>
      <c r="B37" s="64">
        <f>'Resumen Capacidad'!B198</f>
        <v>0</v>
      </c>
      <c r="C37" s="64">
        <f>'Resumen Capacidad'!C198</f>
        <v>0</v>
      </c>
      <c r="D37" s="64">
        <f>'Resumen Capacidad'!D198</f>
        <v>0</v>
      </c>
      <c r="E37" s="64">
        <f>'Resumen Capacidad'!E198</f>
        <v>0</v>
      </c>
      <c r="F37" s="64">
        <f>'Resumen Capacidad'!F198</f>
        <v>0</v>
      </c>
      <c r="G37" s="64">
        <f>'Resumen Capacidad'!G198</f>
        <v>0</v>
      </c>
      <c r="H37" s="64">
        <f>'Resumen Capacidad'!H198</f>
        <v>0</v>
      </c>
      <c r="I37" s="64">
        <f>'Resumen Capacidad'!I198</f>
        <v>0</v>
      </c>
      <c r="J37" s="64">
        <f>'Resumen Capacidad'!J198</f>
        <v>0</v>
      </c>
      <c r="K37" s="64">
        <f>'Resumen Capacidad'!K198</f>
        <v>0</v>
      </c>
    </row>
    <row r="38" ht="15.75" customHeight="1">
      <c r="A38" s="30" t="s">
        <v>298</v>
      </c>
      <c r="B38" s="64">
        <f>'Analisis de operaciones'!P2061</f>
        <v>0</v>
      </c>
      <c r="C38" s="64">
        <f>'Analisis de operaciones'!P2152</f>
        <v>0</v>
      </c>
      <c r="D38" s="64">
        <f>'Analisis de operaciones'!P2243</f>
        <v>0</v>
      </c>
      <c r="E38" s="64">
        <f>'Analisis de operaciones'!P2334</f>
        <v>0</v>
      </c>
      <c r="F38" s="64">
        <f>'Analisis de operaciones'!P2425</f>
        <v>0</v>
      </c>
      <c r="G38" s="64">
        <f>'Analisis de operaciones'!P2516</f>
        <v>0</v>
      </c>
      <c r="H38" s="64">
        <f>'Analisis de operaciones'!P2607</f>
        <v>0</v>
      </c>
      <c r="I38" s="64">
        <f>'Analisis de operaciones'!P2698</f>
        <v>0</v>
      </c>
      <c r="J38" s="64">
        <f>'Analisis de operaciones'!P2789</f>
        <v>0</v>
      </c>
      <c r="K38" s="64">
        <f>'Analisis de operaciones'!P2880</f>
        <v>0</v>
      </c>
    </row>
    <row r="39" ht="15.75" customHeight="1">
      <c r="A39" s="30" t="s">
        <v>304</v>
      </c>
      <c r="B39" s="64">
        <f>'Resumen Capacidad'!B199</f>
        <v>0</v>
      </c>
      <c r="C39" s="64">
        <f>'Resumen Capacidad'!C199</f>
        <v>0</v>
      </c>
      <c r="D39" s="64">
        <f>'Resumen Capacidad'!D199</f>
        <v>0</v>
      </c>
      <c r="E39" s="64">
        <f>'Resumen Capacidad'!E199</f>
        <v>0</v>
      </c>
      <c r="F39" s="64">
        <f>'Resumen Capacidad'!F199</f>
        <v>0</v>
      </c>
      <c r="G39" s="64">
        <f>'Resumen Capacidad'!G199</f>
        <v>0</v>
      </c>
      <c r="H39" s="64">
        <f>'Resumen Capacidad'!H199</f>
        <v>0</v>
      </c>
      <c r="I39" s="64">
        <f>'Resumen Capacidad'!I199</f>
        <v>0</v>
      </c>
      <c r="J39" s="64">
        <f>'Resumen Capacidad'!J199</f>
        <v>0</v>
      </c>
      <c r="K39" s="64">
        <f>'Resumen Capacidad'!K199</f>
        <v>0</v>
      </c>
    </row>
    <row r="40" ht="15.75" customHeight="1">
      <c r="A40" s="30" t="s">
        <v>312</v>
      </c>
      <c r="B40" s="64">
        <f>'Almacen PT'!B85</f>
        <v>20</v>
      </c>
      <c r="C40" s="64">
        <f>'Almacen PT'!C85</f>
        <v>77</v>
      </c>
      <c r="D40" s="64">
        <f>'Almacen PT'!D85</f>
        <v>171</v>
      </c>
      <c r="E40" s="64">
        <f>'Almacen PT'!E85</f>
        <v>318</v>
      </c>
      <c r="F40" s="64">
        <f>'Almacen PT'!F85</f>
        <v>457</v>
      </c>
      <c r="G40" s="64">
        <f>'Almacen PT'!G85</f>
        <v>608</v>
      </c>
      <c r="H40" s="64">
        <f>'Almacen PT'!H85</f>
        <v>744</v>
      </c>
      <c r="I40" s="64">
        <f>'Almacen PT'!I85</f>
        <v>826</v>
      </c>
      <c r="J40" s="64">
        <f>'Almacen PT'!J85</f>
        <v>892</v>
      </c>
      <c r="K40" s="64">
        <f>'Almacen PT'!K85</f>
        <v>958</v>
      </c>
    </row>
    <row r="41" ht="15.75" customHeight="1">
      <c r="A41" s="30" t="s">
        <v>319</v>
      </c>
      <c r="B41" s="46">
        <f>'Almacen PT'!B104</f>
        <v>2</v>
      </c>
      <c r="C41" s="46">
        <f>'Almacen PT'!C104</f>
        <v>2</v>
      </c>
      <c r="D41" s="46">
        <f>'Almacen PT'!D104</f>
        <v>2</v>
      </c>
      <c r="E41" s="46">
        <f>'Almacen PT'!E104</f>
        <v>3</v>
      </c>
      <c r="F41" s="46">
        <f>'Almacen PT'!F104</f>
        <v>4</v>
      </c>
      <c r="G41" s="46">
        <f>'Almacen PT'!G104</f>
        <v>5</v>
      </c>
      <c r="H41" s="46">
        <f>'Almacen PT'!H104</f>
        <v>6</v>
      </c>
      <c r="I41" s="46">
        <f>'Almacen PT'!I104</f>
        <v>7</v>
      </c>
      <c r="J41" s="46">
        <f>'Almacen PT'!J104</f>
        <v>7</v>
      </c>
      <c r="K41" s="46">
        <f>'Almacen PT'!K104</f>
        <v>8</v>
      </c>
    </row>
    <row r="42" ht="15.75" customHeight="1">
      <c r="A42" s="30" t="s">
        <v>321</v>
      </c>
      <c r="B42" s="64">
        <f>'Almacen PT'!B130</f>
        <v>36.87808333</v>
      </c>
      <c r="C42" s="64">
        <f>'Almacen PT'!C130</f>
        <v>45.54764838</v>
      </c>
      <c r="D42" s="64">
        <f>'Almacen PT'!D130</f>
        <v>56.93382217</v>
      </c>
      <c r="E42" s="64">
        <f>'Almacen PT'!E130</f>
        <v>78.89984657</v>
      </c>
      <c r="F42" s="64">
        <f>'Almacen PT'!F130</f>
        <v>120.924626</v>
      </c>
      <c r="G42" s="64">
        <f>'Almacen PT'!G130</f>
        <v>154.4592805</v>
      </c>
      <c r="H42" s="64">
        <f>'Almacen PT'!H130</f>
        <v>182.8578893</v>
      </c>
      <c r="I42" s="64">
        <f>'Almacen PT'!I130</f>
        <v>225.9746586</v>
      </c>
      <c r="J42" s="64">
        <f>'Almacen PT'!J130</f>
        <v>241.3082907</v>
      </c>
      <c r="K42" s="64">
        <f>'Almacen PT'!K130</f>
        <v>273.6403303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4:G4"/>
    <mergeCell ref="E5:G5"/>
    <mergeCell ref="E6:G6"/>
    <mergeCell ref="E7:G7"/>
    <mergeCell ref="E8:G8"/>
    <mergeCell ref="E9:G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outlineLevelRow="1"/>
  <cols>
    <col customWidth="1" min="1" max="1" width="42.63"/>
    <col customWidth="1" min="2" max="2" width="22.63"/>
    <col customWidth="1" min="3" max="3" width="23.13"/>
    <col customWidth="1" min="4" max="4" width="31.25"/>
    <col customWidth="1" min="5" max="6" width="12.63"/>
    <col customWidth="1" min="7" max="7" width="22.0"/>
    <col customWidth="1" min="8" max="8" width="25.88"/>
    <col customWidth="1" min="9" max="9" width="23.88"/>
    <col customWidth="1" min="10" max="10" width="17.88"/>
    <col customWidth="1" min="11" max="11" width="17.38"/>
    <col customWidth="1" min="12" max="12" width="18.75"/>
    <col customWidth="1" min="13" max="13" width="13.25"/>
    <col customWidth="1" min="14" max="14" width="17.63"/>
    <col customWidth="1" min="15" max="15" width="15.75"/>
    <col customWidth="1" min="16" max="16" width="28.0"/>
    <col customWidth="1" min="17" max="17" width="27.88"/>
    <col customWidth="1" min="18" max="18" width="26.13"/>
    <col customWidth="1" min="19" max="19" width="24.75"/>
    <col customWidth="1" min="20" max="20" width="24.38"/>
  </cols>
  <sheetData>
    <row r="1" ht="12.0" customHeight="1">
      <c r="A1" s="1"/>
      <c r="B1" s="2" t="s">
        <v>0</v>
      </c>
      <c r="C1" s="3"/>
      <c r="D1" s="3"/>
      <c r="E1" s="3"/>
      <c r="F1" s="3"/>
      <c r="G1" s="3"/>
      <c r="H1" s="3"/>
      <c r="I1" s="3"/>
      <c r="J1" s="3"/>
      <c r="K1" s="3"/>
      <c r="L1" s="3"/>
      <c r="M1" s="3"/>
      <c r="N1" s="4"/>
      <c r="O1" s="5"/>
      <c r="P1" s="5"/>
      <c r="Q1" s="5"/>
      <c r="R1" s="5"/>
      <c r="S1" s="5"/>
      <c r="T1" s="5"/>
      <c r="U1" s="5"/>
      <c r="V1" s="5"/>
      <c r="W1" s="5"/>
      <c r="X1" s="5"/>
      <c r="Y1" s="5"/>
      <c r="Z1" s="5"/>
    </row>
    <row r="2" ht="12.0" customHeight="1">
      <c r="A2" s="6" t="s">
        <v>2</v>
      </c>
      <c r="B2" s="6" t="s">
        <v>3</v>
      </c>
      <c r="C2" s="6" t="s">
        <v>4</v>
      </c>
      <c r="D2" s="6" t="s">
        <v>5</v>
      </c>
      <c r="E2" s="6" t="s">
        <v>6</v>
      </c>
      <c r="F2" s="6" t="s">
        <v>7</v>
      </c>
      <c r="G2" s="6" t="s">
        <v>8</v>
      </c>
      <c r="H2" s="6" t="s">
        <v>9</v>
      </c>
      <c r="I2" s="6" t="s">
        <v>10</v>
      </c>
      <c r="J2" s="6" t="s">
        <v>11</v>
      </c>
      <c r="K2" s="6" t="s">
        <v>12</v>
      </c>
      <c r="L2" s="6" t="s">
        <v>13</v>
      </c>
      <c r="M2" s="6" t="s">
        <v>14</v>
      </c>
      <c r="N2" s="6" t="s">
        <v>15</v>
      </c>
      <c r="O2" s="10" t="s">
        <v>16</v>
      </c>
      <c r="P2" s="5"/>
      <c r="Q2" s="5"/>
      <c r="R2" s="5"/>
      <c r="S2" s="5"/>
      <c r="T2" s="5"/>
      <c r="U2" s="5"/>
      <c r="V2" s="5"/>
      <c r="W2" s="5"/>
      <c r="X2" s="5"/>
      <c r="Y2" s="5"/>
      <c r="Z2" s="5"/>
    </row>
    <row r="3" ht="12.0" customHeight="1">
      <c r="A3" s="12" t="s">
        <v>17</v>
      </c>
      <c r="B3" s="14">
        <v>0.12</v>
      </c>
      <c r="C3" s="14">
        <v>0.09</v>
      </c>
      <c r="D3" s="14">
        <v>0.08</v>
      </c>
      <c r="E3" s="14">
        <v>0.075</v>
      </c>
      <c r="F3" s="14">
        <v>0.07</v>
      </c>
      <c r="G3" s="14">
        <v>0.07</v>
      </c>
      <c r="H3" s="14">
        <v>0.075</v>
      </c>
      <c r="I3" s="14">
        <v>0.075</v>
      </c>
      <c r="J3" s="14">
        <v>0.075</v>
      </c>
      <c r="K3" s="14">
        <v>0.075</v>
      </c>
      <c r="L3" s="14">
        <v>0.075</v>
      </c>
      <c r="M3" s="14">
        <v>0.12</v>
      </c>
      <c r="N3" s="18">
        <f t="shared" ref="N3:N8" si="1">SUM(B3:M3)</f>
        <v>1</v>
      </c>
      <c r="O3" s="19"/>
      <c r="P3" s="5"/>
      <c r="Q3" s="5"/>
      <c r="R3" s="5"/>
      <c r="S3" s="5"/>
      <c r="T3" s="5"/>
      <c r="U3" s="5"/>
      <c r="V3" s="5"/>
      <c r="W3" s="5"/>
      <c r="X3" s="5"/>
      <c r="Y3" s="5"/>
      <c r="Z3" s="5"/>
    </row>
    <row r="4" ht="12.0" customHeight="1">
      <c r="A4" s="12" t="s">
        <v>19</v>
      </c>
      <c r="B4" s="14">
        <v>0.1</v>
      </c>
      <c r="C4" s="14">
        <v>0.08</v>
      </c>
      <c r="D4" s="14">
        <v>0.085</v>
      </c>
      <c r="E4" s="14">
        <v>0.085</v>
      </c>
      <c r="F4" s="14">
        <v>0.08</v>
      </c>
      <c r="G4" s="14">
        <v>0.075</v>
      </c>
      <c r="H4" s="14">
        <v>0.08</v>
      </c>
      <c r="I4" s="14">
        <v>0.08</v>
      </c>
      <c r="J4" s="14">
        <v>0.08</v>
      </c>
      <c r="K4" s="14">
        <v>0.075</v>
      </c>
      <c r="L4" s="14">
        <v>0.07</v>
      </c>
      <c r="M4" s="14">
        <v>0.11</v>
      </c>
      <c r="N4" s="18">
        <f t="shared" si="1"/>
        <v>1</v>
      </c>
      <c r="O4" s="19"/>
      <c r="P4" s="5"/>
      <c r="Q4" s="5"/>
      <c r="R4" s="5"/>
      <c r="S4" s="5"/>
      <c r="T4" s="5"/>
      <c r="U4" s="5"/>
      <c r="V4" s="5"/>
      <c r="W4" s="5"/>
      <c r="X4" s="5"/>
      <c r="Y4" s="5"/>
      <c r="Z4" s="5"/>
    </row>
    <row r="5" ht="12.0" customHeight="1">
      <c r="A5" s="12" t="s">
        <v>21</v>
      </c>
      <c r="B5" s="14">
        <v>0.085</v>
      </c>
      <c r="C5" s="14">
        <v>0.075</v>
      </c>
      <c r="D5" s="14">
        <v>0.09</v>
      </c>
      <c r="E5" s="14">
        <v>0.09</v>
      </c>
      <c r="F5" s="14">
        <v>0.09</v>
      </c>
      <c r="G5" s="14">
        <v>0.08</v>
      </c>
      <c r="H5" s="14">
        <v>0.09</v>
      </c>
      <c r="I5" s="14">
        <v>0.09</v>
      </c>
      <c r="J5" s="14">
        <v>0.085</v>
      </c>
      <c r="K5" s="14">
        <v>0.075</v>
      </c>
      <c r="L5" s="14">
        <v>0.07</v>
      </c>
      <c r="M5" s="14">
        <v>0.08</v>
      </c>
      <c r="N5" s="18">
        <f t="shared" si="1"/>
        <v>1</v>
      </c>
      <c r="O5" s="19"/>
      <c r="P5" s="5"/>
      <c r="Q5" s="5"/>
      <c r="R5" s="5"/>
      <c r="S5" s="5"/>
      <c r="T5" s="5"/>
      <c r="U5" s="5"/>
      <c r="V5" s="5"/>
      <c r="W5" s="5"/>
      <c r="X5" s="5"/>
      <c r="Y5" s="5"/>
      <c r="Z5" s="5"/>
    </row>
    <row r="6" ht="12.0" customHeight="1">
      <c r="A6" s="23" t="s">
        <v>25</v>
      </c>
      <c r="B6" s="25">
        <v>0.16</v>
      </c>
      <c r="C6" s="25">
        <v>0.12</v>
      </c>
      <c r="D6" s="25">
        <v>0.09</v>
      </c>
      <c r="E6" s="25">
        <v>0.07</v>
      </c>
      <c r="F6" s="25">
        <v>0.05</v>
      </c>
      <c r="G6" s="25">
        <v>0.04</v>
      </c>
      <c r="H6" s="25">
        <v>0.05</v>
      </c>
      <c r="I6" s="25">
        <v>0.05</v>
      </c>
      <c r="J6" s="25">
        <v>0.06</v>
      </c>
      <c r="K6" s="25">
        <v>0.05</v>
      </c>
      <c r="L6" s="25">
        <v>0.04</v>
      </c>
      <c r="M6" s="25">
        <v>0.22</v>
      </c>
      <c r="N6" s="27">
        <f t="shared" si="1"/>
        <v>1</v>
      </c>
      <c r="O6" s="5"/>
      <c r="P6" s="5"/>
      <c r="Q6" s="5"/>
      <c r="R6" s="5"/>
      <c r="S6" s="5"/>
      <c r="T6" s="5"/>
      <c r="U6" s="5"/>
      <c r="V6" s="5"/>
      <c r="W6" s="5"/>
      <c r="X6" s="5"/>
      <c r="Y6" s="5"/>
      <c r="Z6" s="5"/>
    </row>
    <row r="7" ht="12.0" customHeight="1">
      <c r="A7" s="28"/>
      <c r="B7" s="25">
        <v>0.1</v>
      </c>
      <c r="C7" s="25">
        <v>0.08</v>
      </c>
      <c r="D7" s="25">
        <v>0.09</v>
      </c>
      <c r="E7" s="25">
        <v>0.09</v>
      </c>
      <c r="F7" s="25">
        <v>0.08</v>
      </c>
      <c r="G7" s="25">
        <v>0.07</v>
      </c>
      <c r="H7" s="25">
        <v>0.08</v>
      </c>
      <c r="I7" s="25">
        <v>0.08</v>
      </c>
      <c r="J7" s="25">
        <v>0.08</v>
      </c>
      <c r="K7" s="25">
        <v>0.06</v>
      </c>
      <c r="L7" s="25">
        <v>0.05</v>
      </c>
      <c r="M7" s="25">
        <v>0.14</v>
      </c>
      <c r="N7" s="27">
        <f t="shared" si="1"/>
        <v>1</v>
      </c>
      <c r="O7" s="5"/>
      <c r="P7" s="5"/>
      <c r="Q7" s="5"/>
      <c r="R7" s="5"/>
      <c r="S7" s="5"/>
      <c r="T7" s="5"/>
      <c r="U7" s="5"/>
      <c r="V7" s="5"/>
      <c r="W7" s="5"/>
      <c r="X7" s="5"/>
      <c r="Y7" s="5"/>
      <c r="Z7" s="5"/>
    </row>
    <row r="8" ht="12.0" customHeight="1">
      <c r="A8" s="28"/>
      <c r="B8" s="25">
        <v>0.08</v>
      </c>
      <c r="C8" s="25">
        <v>0.07</v>
      </c>
      <c r="D8" s="25">
        <v>0.09</v>
      </c>
      <c r="E8" s="25">
        <v>0.09</v>
      </c>
      <c r="F8" s="25">
        <v>0.09</v>
      </c>
      <c r="G8" s="25">
        <v>0.08</v>
      </c>
      <c r="H8" s="25">
        <v>0.09</v>
      </c>
      <c r="I8" s="25">
        <v>0.09</v>
      </c>
      <c r="J8" s="25">
        <v>0.08</v>
      </c>
      <c r="K8" s="25">
        <v>0.07</v>
      </c>
      <c r="L8" s="25">
        <v>0.06</v>
      </c>
      <c r="M8" s="25">
        <v>0.11</v>
      </c>
      <c r="N8" s="27">
        <f t="shared" si="1"/>
        <v>1</v>
      </c>
      <c r="O8" s="5"/>
      <c r="P8" s="5"/>
      <c r="Q8" s="5"/>
      <c r="R8" s="5"/>
      <c r="S8" s="5"/>
      <c r="T8" s="5"/>
      <c r="U8" s="5"/>
      <c r="V8" s="5"/>
      <c r="W8" s="5"/>
      <c r="X8" s="5"/>
      <c r="Y8" s="5"/>
      <c r="Z8" s="5"/>
    </row>
    <row r="9" ht="12.0" customHeight="1">
      <c r="A9" s="1"/>
      <c r="B9" s="2" t="s">
        <v>29</v>
      </c>
      <c r="C9" s="3"/>
      <c r="D9" s="3"/>
      <c r="E9" s="3"/>
      <c r="F9" s="3"/>
      <c r="G9" s="3"/>
      <c r="H9" s="3"/>
      <c r="I9" s="3"/>
      <c r="J9" s="3"/>
      <c r="K9" s="3"/>
      <c r="L9" s="3"/>
      <c r="M9" s="3"/>
      <c r="N9" s="4"/>
      <c r="O9" s="5"/>
      <c r="P9" s="5"/>
      <c r="Q9" s="5"/>
      <c r="R9" s="5"/>
      <c r="S9" s="5"/>
      <c r="T9" s="5"/>
      <c r="U9" s="5"/>
      <c r="V9" s="5"/>
      <c r="W9" s="5"/>
      <c r="X9" s="5"/>
      <c r="Y9" s="5"/>
      <c r="Z9" s="5"/>
    </row>
    <row r="10" ht="12.0" customHeight="1">
      <c r="A10" s="6" t="s">
        <v>33</v>
      </c>
      <c r="B10" s="6" t="s">
        <v>3</v>
      </c>
      <c r="C10" s="6" t="s">
        <v>4</v>
      </c>
      <c r="D10" s="6" t="s">
        <v>5</v>
      </c>
      <c r="E10" s="6" t="s">
        <v>6</v>
      </c>
      <c r="F10" s="6" t="s">
        <v>7</v>
      </c>
      <c r="G10" s="6" t="s">
        <v>8</v>
      </c>
      <c r="H10" s="6" t="s">
        <v>9</v>
      </c>
      <c r="I10" s="6" t="s">
        <v>10</v>
      </c>
      <c r="J10" s="6" t="s">
        <v>11</v>
      </c>
      <c r="K10" s="6" t="s">
        <v>12</v>
      </c>
      <c r="L10" s="6" t="s">
        <v>13</v>
      </c>
      <c r="M10" s="6" t="s">
        <v>14</v>
      </c>
      <c r="N10" s="6" t="s">
        <v>15</v>
      </c>
      <c r="O10" s="5"/>
      <c r="P10" s="5"/>
      <c r="Q10" s="5"/>
      <c r="R10" s="5"/>
      <c r="S10" s="5"/>
      <c r="T10" s="5"/>
      <c r="U10" s="5"/>
      <c r="V10" s="5"/>
      <c r="W10" s="5"/>
      <c r="X10" s="5"/>
      <c r="Y10" s="5"/>
      <c r="Z10" s="5"/>
    </row>
    <row r="11" ht="12.0" customHeight="1">
      <c r="A11" s="26" t="s">
        <v>34</v>
      </c>
      <c r="B11" s="35">
        <f t="shared" ref="B11:M11" si="2">B3</f>
        <v>0.12</v>
      </c>
      <c r="C11" s="35">
        <f t="shared" si="2"/>
        <v>0.09</v>
      </c>
      <c r="D11" s="35">
        <f t="shared" si="2"/>
        <v>0.08</v>
      </c>
      <c r="E11" s="35">
        <f t="shared" si="2"/>
        <v>0.075</v>
      </c>
      <c r="F11" s="35">
        <f t="shared" si="2"/>
        <v>0.07</v>
      </c>
      <c r="G11" s="35">
        <f t="shared" si="2"/>
        <v>0.07</v>
      </c>
      <c r="H11" s="35">
        <f t="shared" si="2"/>
        <v>0.075</v>
      </c>
      <c r="I11" s="35">
        <f t="shared" si="2"/>
        <v>0.075</v>
      </c>
      <c r="J11" s="35">
        <f t="shared" si="2"/>
        <v>0.075</v>
      </c>
      <c r="K11" s="35">
        <f t="shared" si="2"/>
        <v>0.075</v>
      </c>
      <c r="L11" s="35">
        <f t="shared" si="2"/>
        <v>0.075</v>
      </c>
      <c r="M11" s="35">
        <f t="shared" si="2"/>
        <v>0.12</v>
      </c>
      <c r="N11" s="18">
        <f t="shared" ref="N11:N26" si="4">SUM(B11:M11)</f>
        <v>1</v>
      </c>
      <c r="O11" s="5"/>
      <c r="P11" s="5"/>
      <c r="Q11" s="5"/>
      <c r="R11" s="5"/>
      <c r="S11" s="5"/>
      <c r="T11" s="5"/>
      <c r="U11" s="5"/>
      <c r="V11" s="5"/>
      <c r="W11" s="5"/>
      <c r="X11" s="5"/>
      <c r="Y11" s="5"/>
      <c r="Z11" s="5"/>
    </row>
    <row r="12" ht="12.0" customHeight="1">
      <c r="A12" s="26" t="s">
        <v>43</v>
      </c>
      <c r="B12" s="35">
        <f t="shared" ref="B12:M12" si="3">B4</f>
        <v>0.1</v>
      </c>
      <c r="C12" s="35">
        <f t="shared" si="3"/>
        <v>0.08</v>
      </c>
      <c r="D12" s="35">
        <f t="shared" si="3"/>
        <v>0.085</v>
      </c>
      <c r="E12" s="35">
        <f t="shared" si="3"/>
        <v>0.085</v>
      </c>
      <c r="F12" s="35">
        <f t="shared" si="3"/>
        <v>0.08</v>
      </c>
      <c r="G12" s="35">
        <f t="shared" si="3"/>
        <v>0.075</v>
      </c>
      <c r="H12" s="35">
        <f t="shared" si="3"/>
        <v>0.08</v>
      </c>
      <c r="I12" s="35">
        <f t="shared" si="3"/>
        <v>0.08</v>
      </c>
      <c r="J12" s="35">
        <f t="shared" si="3"/>
        <v>0.08</v>
      </c>
      <c r="K12" s="35">
        <f t="shared" si="3"/>
        <v>0.075</v>
      </c>
      <c r="L12" s="35">
        <f t="shared" si="3"/>
        <v>0.07</v>
      </c>
      <c r="M12" s="35">
        <f t="shared" si="3"/>
        <v>0.11</v>
      </c>
      <c r="N12" s="18">
        <f t="shared" si="4"/>
        <v>1</v>
      </c>
      <c r="O12" s="5"/>
      <c r="P12" s="5"/>
      <c r="Q12" s="5"/>
      <c r="R12" s="5"/>
      <c r="S12" s="5"/>
      <c r="T12" s="5"/>
      <c r="U12" s="5"/>
      <c r="V12" s="5"/>
      <c r="W12" s="5"/>
      <c r="X12" s="5"/>
      <c r="Y12" s="5"/>
      <c r="Z12" s="5"/>
    </row>
    <row r="13" ht="12.0" customHeight="1">
      <c r="A13" s="26" t="s">
        <v>53</v>
      </c>
      <c r="B13" s="35">
        <f t="shared" ref="B13:M13" si="5">B4</f>
        <v>0.1</v>
      </c>
      <c r="C13" s="35">
        <f t="shared" si="5"/>
        <v>0.08</v>
      </c>
      <c r="D13" s="35">
        <f t="shared" si="5"/>
        <v>0.085</v>
      </c>
      <c r="E13" s="35">
        <f t="shared" si="5"/>
        <v>0.085</v>
      </c>
      <c r="F13" s="35">
        <f t="shared" si="5"/>
        <v>0.08</v>
      </c>
      <c r="G13" s="35">
        <f t="shared" si="5"/>
        <v>0.075</v>
      </c>
      <c r="H13" s="35">
        <f t="shared" si="5"/>
        <v>0.08</v>
      </c>
      <c r="I13" s="35">
        <f t="shared" si="5"/>
        <v>0.08</v>
      </c>
      <c r="J13" s="35">
        <f t="shared" si="5"/>
        <v>0.08</v>
      </c>
      <c r="K13" s="35">
        <f t="shared" si="5"/>
        <v>0.075</v>
      </c>
      <c r="L13" s="35">
        <f t="shared" si="5"/>
        <v>0.07</v>
      </c>
      <c r="M13" s="35">
        <f t="shared" si="5"/>
        <v>0.11</v>
      </c>
      <c r="N13" s="18">
        <f t="shared" si="4"/>
        <v>1</v>
      </c>
      <c r="O13" s="5"/>
      <c r="P13" s="5"/>
      <c r="Q13" s="5"/>
      <c r="R13" s="5"/>
      <c r="S13" s="5"/>
      <c r="T13" s="5"/>
      <c r="U13" s="5"/>
      <c r="V13" s="5"/>
      <c r="W13" s="5"/>
      <c r="X13" s="5"/>
      <c r="Y13" s="5"/>
      <c r="Z13" s="5"/>
    </row>
    <row r="14" ht="12.0" customHeight="1">
      <c r="A14" s="26" t="s">
        <v>59</v>
      </c>
      <c r="B14" s="35">
        <f t="shared" ref="B14:M14" si="6">B4</f>
        <v>0.1</v>
      </c>
      <c r="C14" s="35">
        <f t="shared" si="6"/>
        <v>0.08</v>
      </c>
      <c r="D14" s="35">
        <f t="shared" si="6"/>
        <v>0.085</v>
      </c>
      <c r="E14" s="35">
        <f t="shared" si="6"/>
        <v>0.085</v>
      </c>
      <c r="F14" s="35">
        <f t="shared" si="6"/>
        <v>0.08</v>
      </c>
      <c r="G14" s="35">
        <f t="shared" si="6"/>
        <v>0.075</v>
      </c>
      <c r="H14" s="35">
        <f t="shared" si="6"/>
        <v>0.08</v>
      </c>
      <c r="I14" s="35">
        <f t="shared" si="6"/>
        <v>0.08</v>
      </c>
      <c r="J14" s="35">
        <f t="shared" si="6"/>
        <v>0.08</v>
      </c>
      <c r="K14" s="35">
        <f t="shared" si="6"/>
        <v>0.075</v>
      </c>
      <c r="L14" s="35">
        <f t="shared" si="6"/>
        <v>0.07</v>
      </c>
      <c r="M14" s="35">
        <f t="shared" si="6"/>
        <v>0.11</v>
      </c>
      <c r="N14" s="18">
        <f t="shared" si="4"/>
        <v>1</v>
      </c>
      <c r="O14" s="5"/>
      <c r="P14" s="5"/>
      <c r="Q14" s="5"/>
      <c r="R14" s="5"/>
      <c r="S14" s="5"/>
      <c r="T14" s="5"/>
      <c r="U14" s="5"/>
      <c r="V14" s="5"/>
      <c r="W14" s="5"/>
      <c r="X14" s="5"/>
      <c r="Y14" s="5"/>
      <c r="Z14" s="5"/>
    </row>
    <row r="15" ht="12.0" customHeight="1">
      <c r="A15" s="26" t="s">
        <v>75</v>
      </c>
      <c r="B15" s="35">
        <f t="shared" ref="B15:M15" si="7">B5</f>
        <v>0.085</v>
      </c>
      <c r="C15" s="35">
        <f t="shared" si="7"/>
        <v>0.075</v>
      </c>
      <c r="D15" s="35">
        <f t="shared" si="7"/>
        <v>0.09</v>
      </c>
      <c r="E15" s="35">
        <f t="shared" si="7"/>
        <v>0.09</v>
      </c>
      <c r="F15" s="35">
        <f t="shared" si="7"/>
        <v>0.09</v>
      </c>
      <c r="G15" s="35">
        <f t="shared" si="7"/>
        <v>0.08</v>
      </c>
      <c r="H15" s="35">
        <f t="shared" si="7"/>
        <v>0.09</v>
      </c>
      <c r="I15" s="35">
        <f t="shared" si="7"/>
        <v>0.09</v>
      </c>
      <c r="J15" s="35">
        <f t="shared" si="7"/>
        <v>0.085</v>
      </c>
      <c r="K15" s="35">
        <f t="shared" si="7"/>
        <v>0.075</v>
      </c>
      <c r="L15" s="35">
        <f t="shared" si="7"/>
        <v>0.07</v>
      </c>
      <c r="M15" s="35">
        <f t="shared" si="7"/>
        <v>0.08</v>
      </c>
      <c r="N15" s="18">
        <f t="shared" si="4"/>
        <v>1</v>
      </c>
      <c r="O15" s="5"/>
      <c r="P15" s="5"/>
      <c r="Q15" s="5"/>
      <c r="R15" s="5"/>
      <c r="S15" s="5"/>
      <c r="T15" s="5"/>
      <c r="U15" s="5"/>
      <c r="V15" s="5"/>
      <c r="W15" s="5"/>
      <c r="X15" s="5"/>
      <c r="Y15" s="5"/>
      <c r="Z15" s="5"/>
    </row>
    <row r="16" ht="12.0" customHeight="1">
      <c r="A16" s="26" t="s">
        <v>86</v>
      </c>
      <c r="B16" s="35">
        <f t="shared" ref="B16:M16" si="8">B5</f>
        <v>0.085</v>
      </c>
      <c r="C16" s="35">
        <f t="shared" si="8"/>
        <v>0.075</v>
      </c>
      <c r="D16" s="35">
        <f t="shared" si="8"/>
        <v>0.09</v>
      </c>
      <c r="E16" s="35">
        <f t="shared" si="8"/>
        <v>0.09</v>
      </c>
      <c r="F16" s="35">
        <f t="shared" si="8"/>
        <v>0.09</v>
      </c>
      <c r="G16" s="35">
        <f t="shared" si="8"/>
        <v>0.08</v>
      </c>
      <c r="H16" s="35">
        <f t="shared" si="8"/>
        <v>0.09</v>
      </c>
      <c r="I16" s="35">
        <f t="shared" si="8"/>
        <v>0.09</v>
      </c>
      <c r="J16" s="35">
        <f t="shared" si="8"/>
        <v>0.085</v>
      </c>
      <c r="K16" s="35">
        <f t="shared" si="8"/>
        <v>0.075</v>
      </c>
      <c r="L16" s="35">
        <f t="shared" si="8"/>
        <v>0.07</v>
      </c>
      <c r="M16" s="35">
        <f t="shared" si="8"/>
        <v>0.08</v>
      </c>
      <c r="N16" s="18">
        <f t="shared" si="4"/>
        <v>1</v>
      </c>
      <c r="O16" s="5"/>
      <c r="P16" s="5"/>
      <c r="Q16" s="5"/>
      <c r="R16" s="5"/>
      <c r="S16" s="5"/>
      <c r="T16" s="5"/>
      <c r="U16" s="5"/>
      <c r="V16" s="5"/>
      <c r="W16" s="5"/>
      <c r="X16" s="5"/>
      <c r="Y16" s="5"/>
      <c r="Z16" s="5"/>
    </row>
    <row r="17" ht="12.0" customHeight="1">
      <c r="A17" s="26" t="s">
        <v>95</v>
      </c>
      <c r="B17" s="35">
        <f t="shared" ref="B17:M17" si="9">B5</f>
        <v>0.085</v>
      </c>
      <c r="C17" s="35">
        <f t="shared" si="9"/>
        <v>0.075</v>
      </c>
      <c r="D17" s="35">
        <f t="shared" si="9"/>
        <v>0.09</v>
      </c>
      <c r="E17" s="35">
        <f t="shared" si="9"/>
        <v>0.09</v>
      </c>
      <c r="F17" s="35">
        <f t="shared" si="9"/>
        <v>0.09</v>
      </c>
      <c r="G17" s="35">
        <f t="shared" si="9"/>
        <v>0.08</v>
      </c>
      <c r="H17" s="35">
        <f t="shared" si="9"/>
        <v>0.09</v>
      </c>
      <c r="I17" s="35">
        <f t="shared" si="9"/>
        <v>0.09</v>
      </c>
      <c r="J17" s="35">
        <f t="shared" si="9"/>
        <v>0.085</v>
      </c>
      <c r="K17" s="35">
        <f t="shared" si="9"/>
        <v>0.075</v>
      </c>
      <c r="L17" s="35">
        <f t="shared" si="9"/>
        <v>0.07</v>
      </c>
      <c r="M17" s="35">
        <f t="shared" si="9"/>
        <v>0.08</v>
      </c>
      <c r="N17" s="18">
        <f t="shared" si="4"/>
        <v>1</v>
      </c>
      <c r="O17" s="5"/>
      <c r="P17" s="5"/>
      <c r="Q17" s="5"/>
      <c r="R17" s="5"/>
      <c r="S17" s="5"/>
      <c r="T17" s="5"/>
      <c r="U17" s="5"/>
      <c r="V17" s="5"/>
      <c r="W17" s="5"/>
      <c r="X17" s="5"/>
      <c r="Y17" s="5"/>
      <c r="Z17" s="5"/>
    </row>
    <row r="18" ht="12.0" customHeight="1">
      <c r="A18" s="26" t="s">
        <v>100</v>
      </c>
      <c r="B18" s="35">
        <f t="shared" ref="B18:M18" si="10">B5</f>
        <v>0.085</v>
      </c>
      <c r="C18" s="35">
        <f t="shared" si="10"/>
        <v>0.075</v>
      </c>
      <c r="D18" s="35">
        <f t="shared" si="10"/>
        <v>0.09</v>
      </c>
      <c r="E18" s="35">
        <f t="shared" si="10"/>
        <v>0.09</v>
      </c>
      <c r="F18" s="35">
        <f t="shared" si="10"/>
        <v>0.09</v>
      </c>
      <c r="G18" s="35">
        <f t="shared" si="10"/>
        <v>0.08</v>
      </c>
      <c r="H18" s="35">
        <f t="shared" si="10"/>
        <v>0.09</v>
      </c>
      <c r="I18" s="35">
        <f t="shared" si="10"/>
        <v>0.09</v>
      </c>
      <c r="J18" s="35">
        <f t="shared" si="10"/>
        <v>0.085</v>
      </c>
      <c r="K18" s="35">
        <f t="shared" si="10"/>
        <v>0.075</v>
      </c>
      <c r="L18" s="35">
        <f t="shared" si="10"/>
        <v>0.07</v>
      </c>
      <c r="M18" s="35">
        <f t="shared" si="10"/>
        <v>0.08</v>
      </c>
      <c r="N18" s="18">
        <f t="shared" si="4"/>
        <v>1</v>
      </c>
      <c r="O18" s="5"/>
      <c r="P18" s="5"/>
      <c r="Q18" s="5"/>
      <c r="R18" s="5"/>
      <c r="S18" s="5"/>
      <c r="T18" s="5"/>
      <c r="U18" s="5"/>
      <c r="V18" s="5"/>
      <c r="W18" s="5"/>
      <c r="X18" s="5"/>
      <c r="Y18" s="5"/>
      <c r="Z18" s="5"/>
    </row>
    <row r="19" ht="12.0" customHeight="1">
      <c r="A19" s="26" t="s">
        <v>102</v>
      </c>
      <c r="B19" s="35">
        <f t="shared" ref="B19:M19" si="11">B3</f>
        <v>0.12</v>
      </c>
      <c r="C19" s="35">
        <f t="shared" si="11"/>
        <v>0.09</v>
      </c>
      <c r="D19" s="35">
        <f t="shared" si="11"/>
        <v>0.08</v>
      </c>
      <c r="E19" s="35">
        <f t="shared" si="11"/>
        <v>0.075</v>
      </c>
      <c r="F19" s="35">
        <f t="shared" si="11"/>
        <v>0.07</v>
      </c>
      <c r="G19" s="35">
        <f t="shared" si="11"/>
        <v>0.07</v>
      </c>
      <c r="H19" s="35">
        <f t="shared" si="11"/>
        <v>0.075</v>
      </c>
      <c r="I19" s="35">
        <f t="shared" si="11"/>
        <v>0.075</v>
      </c>
      <c r="J19" s="35">
        <f t="shared" si="11"/>
        <v>0.075</v>
      </c>
      <c r="K19" s="35">
        <f t="shared" si="11"/>
        <v>0.075</v>
      </c>
      <c r="L19" s="35">
        <f t="shared" si="11"/>
        <v>0.075</v>
      </c>
      <c r="M19" s="35">
        <f t="shared" si="11"/>
        <v>0.12</v>
      </c>
      <c r="N19" s="18">
        <f t="shared" si="4"/>
        <v>1</v>
      </c>
      <c r="O19" s="5"/>
      <c r="P19" s="5"/>
      <c r="Q19" s="5"/>
      <c r="R19" s="5"/>
      <c r="S19" s="5"/>
      <c r="T19" s="5"/>
      <c r="U19" s="5"/>
      <c r="V19" s="5"/>
      <c r="W19" s="5"/>
      <c r="X19" s="5"/>
      <c r="Y19" s="5"/>
      <c r="Z19" s="5"/>
    </row>
    <row r="20" ht="12.0" customHeight="1">
      <c r="A20" s="26" t="s">
        <v>106</v>
      </c>
      <c r="B20" s="35">
        <f t="shared" ref="B20:M20" si="12">B4</f>
        <v>0.1</v>
      </c>
      <c r="C20" s="35">
        <f t="shared" si="12"/>
        <v>0.08</v>
      </c>
      <c r="D20" s="35">
        <f t="shared" si="12"/>
        <v>0.085</v>
      </c>
      <c r="E20" s="35">
        <f t="shared" si="12"/>
        <v>0.085</v>
      </c>
      <c r="F20" s="35">
        <f t="shared" si="12"/>
        <v>0.08</v>
      </c>
      <c r="G20" s="35">
        <f t="shared" si="12"/>
        <v>0.075</v>
      </c>
      <c r="H20" s="35">
        <f t="shared" si="12"/>
        <v>0.08</v>
      </c>
      <c r="I20" s="35">
        <f t="shared" si="12"/>
        <v>0.08</v>
      </c>
      <c r="J20" s="35">
        <f t="shared" si="12"/>
        <v>0.08</v>
      </c>
      <c r="K20" s="35">
        <f t="shared" si="12"/>
        <v>0.075</v>
      </c>
      <c r="L20" s="35">
        <f t="shared" si="12"/>
        <v>0.07</v>
      </c>
      <c r="M20" s="35">
        <f t="shared" si="12"/>
        <v>0.11</v>
      </c>
      <c r="N20" s="18">
        <f t="shared" si="4"/>
        <v>1</v>
      </c>
      <c r="O20" s="5"/>
      <c r="P20" s="5"/>
      <c r="Q20" s="5"/>
      <c r="R20" s="5"/>
      <c r="S20" s="5"/>
      <c r="T20" s="5"/>
      <c r="U20" s="5"/>
      <c r="V20" s="5"/>
      <c r="W20" s="5"/>
      <c r="X20" s="5"/>
      <c r="Y20" s="5"/>
      <c r="Z20" s="5"/>
    </row>
    <row r="21" ht="12.0" customHeight="1">
      <c r="A21" s="26" t="s">
        <v>108</v>
      </c>
      <c r="B21" s="35">
        <f t="shared" ref="B21:M21" si="13">B4</f>
        <v>0.1</v>
      </c>
      <c r="C21" s="35">
        <f t="shared" si="13"/>
        <v>0.08</v>
      </c>
      <c r="D21" s="35">
        <f t="shared" si="13"/>
        <v>0.085</v>
      </c>
      <c r="E21" s="35">
        <f t="shared" si="13"/>
        <v>0.085</v>
      </c>
      <c r="F21" s="35">
        <f t="shared" si="13"/>
        <v>0.08</v>
      </c>
      <c r="G21" s="35">
        <f t="shared" si="13"/>
        <v>0.075</v>
      </c>
      <c r="H21" s="35">
        <f t="shared" si="13"/>
        <v>0.08</v>
      </c>
      <c r="I21" s="35">
        <f t="shared" si="13"/>
        <v>0.08</v>
      </c>
      <c r="J21" s="35">
        <f t="shared" si="13"/>
        <v>0.08</v>
      </c>
      <c r="K21" s="35">
        <f t="shared" si="13"/>
        <v>0.075</v>
      </c>
      <c r="L21" s="35">
        <f t="shared" si="13"/>
        <v>0.07</v>
      </c>
      <c r="M21" s="35">
        <f t="shared" si="13"/>
        <v>0.11</v>
      </c>
      <c r="N21" s="18">
        <f t="shared" si="4"/>
        <v>1</v>
      </c>
      <c r="O21" s="5"/>
      <c r="P21" s="5"/>
      <c r="Q21" s="5"/>
      <c r="R21" s="5"/>
      <c r="S21" s="5"/>
      <c r="T21" s="5"/>
      <c r="U21" s="5"/>
      <c r="V21" s="5"/>
      <c r="W21" s="5"/>
      <c r="X21" s="5"/>
      <c r="Y21" s="5"/>
      <c r="Z21" s="5"/>
    </row>
    <row r="22" ht="12.0" customHeight="1">
      <c r="A22" s="26" t="s">
        <v>122</v>
      </c>
      <c r="B22" s="35">
        <f t="shared" ref="B22:M22" si="14">B4</f>
        <v>0.1</v>
      </c>
      <c r="C22" s="35">
        <f t="shared" si="14"/>
        <v>0.08</v>
      </c>
      <c r="D22" s="35">
        <f t="shared" si="14"/>
        <v>0.085</v>
      </c>
      <c r="E22" s="35">
        <f t="shared" si="14"/>
        <v>0.085</v>
      </c>
      <c r="F22" s="35">
        <f t="shared" si="14"/>
        <v>0.08</v>
      </c>
      <c r="G22" s="35">
        <f t="shared" si="14"/>
        <v>0.075</v>
      </c>
      <c r="H22" s="35">
        <f t="shared" si="14"/>
        <v>0.08</v>
      </c>
      <c r="I22" s="35">
        <f t="shared" si="14"/>
        <v>0.08</v>
      </c>
      <c r="J22" s="35">
        <f t="shared" si="14"/>
        <v>0.08</v>
      </c>
      <c r="K22" s="35">
        <f t="shared" si="14"/>
        <v>0.075</v>
      </c>
      <c r="L22" s="35">
        <f t="shared" si="14"/>
        <v>0.07</v>
      </c>
      <c r="M22" s="35">
        <f t="shared" si="14"/>
        <v>0.11</v>
      </c>
      <c r="N22" s="18">
        <f t="shared" si="4"/>
        <v>1</v>
      </c>
      <c r="O22" s="5"/>
      <c r="P22" s="5"/>
      <c r="Q22" s="5"/>
      <c r="R22" s="5"/>
      <c r="S22" s="5"/>
      <c r="T22" s="5"/>
      <c r="U22" s="5"/>
      <c r="V22" s="5"/>
      <c r="W22" s="5"/>
      <c r="X22" s="5"/>
      <c r="Y22" s="5"/>
      <c r="Z22" s="5"/>
    </row>
    <row r="23" ht="12.0" customHeight="1">
      <c r="A23" s="26" t="s">
        <v>125</v>
      </c>
      <c r="B23" s="35">
        <f t="shared" ref="B23:M23" si="15">B5</f>
        <v>0.085</v>
      </c>
      <c r="C23" s="35">
        <f t="shared" si="15"/>
        <v>0.075</v>
      </c>
      <c r="D23" s="35">
        <f t="shared" si="15"/>
        <v>0.09</v>
      </c>
      <c r="E23" s="35">
        <f t="shared" si="15"/>
        <v>0.09</v>
      </c>
      <c r="F23" s="35">
        <f t="shared" si="15"/>
        <v>0.09</v>
      </c>
      <c r="G23" s="35">
        <f t="shared" si="15"/>
        <v>0.08</v>
      </c>
      <c r="H23" s="35">
        <f t="shared" si="15"/>
        <v>0.09</v>
      </c>
      <c r="I23" s="35">
        <f t="shared" si="15"/>
        <v>0.09</v>
      </c>
      <c r="J23" s="35">
        <f t="shared" si="15"/>
        <v>0.085</v>
      </c>
      <c r="K23" s="35">
        <f t="shared" si="15"/>
        <v>0.075</v>
      </c>
      <c r="L23" s="35">
        <f t="shared" si="15"/>
        <v>0.07</v>
      </c>
      <c r="M23" s="35">
        <f t="shared" si="15"/>
        <v>0.08</v>
      </c>
      <c r="N23" s="18">
        <f t="shared" si="4"/>
        <v>1</v>
      </c>
      <c r="O23" s="5"/>
      <c r="P23" s="5"/>
      <c r="Q23" s="5"/>
      <c r="R23" s="5"/>
      <c r="S23" s="5"/>
      <c r="T23" s="5"/>
      <c r="U23" s="5"/>
      <c r="V23" s="5"/>
      <c r="W23" s="5"/>
      <c r="X23" s="5"/>
      <c r="Y23" s="5"/>
      <c r="Z23" s="5"/>
    </row>
    <row r="24" ht="12.0" customHeight="1">
      <c r="A24" s="26" t="s">
        <v>128</v>
      </c>
      <c r="B24" s="35">
        <f t="shared" ref="B24:M24" si="16">B5</f>
        <v>0.085</v>
      </c>
      <c r="C24" s="35">
        <f t="shared" si="16"/>
        <v>0.075</v>
      </c>
      <c r="D24" s="35">
        <f t="shared" si="16"/>
        <v>0.09</v>
      </c>
      <c r="E24" s="35">
        <f t="shared" si="16"/>
        <v>0.09</v>
      </c>
      <c r="F24" s="35">
        <f t="shared" si="16"/>
        <v>0.09</v>
      </c>
      <c r="G24" s="35">
        <f t="shared" si="16"/>
        <v>0.08</v>
      </c>
      <c r="H24" s="35">
        <f t="shared" si="16"/>
        <v>0.09</v>
      </c>
      <c r="I24" s="35">
        <f t="shared" si="16"/>
        <v>0.09</v>
      </c>
      <c r="J24" s="35">
        <f t="shared" si="16"/>
        <v>0.085</v>
      </c>
      <c r="K24" s="35">
        <f t="shared" si="16"/>
        <v>0.075</v>
      </c>
      <c r="L24" s="35">
        <f t="shared" si="16"/>
        <v>0.07</v>
      </c>
      <c r="M24" s="35">
        <f t="shared" si="16"/>
        <v>0.08</v>
      </c>
      <c r="N24" s="18">
        <f t="shared" si="4"/>
        <v>1</v>
      </c>
      <c r="O24" s="5"/>
      <c r="P24" s="5"/>
      <c r="Q24" s="5"/>
      <c r="R24" s="5"/>
      <c r="S24" s="5"/>
      <c r="T24" s="5"/>
      <c r="U24" s="5"/>
      <c r="V24" s="5"/>
      <c r="W24" s="5"/>
      <c r="X24" s="5"/>
      <c r="Y24" s="5"/>
      <c r="Z24" s="5"/>
    </row>
    <row r="25" ht="12.0" customHeight="1">
      <c r="A25" s="26" t="s">
        <v>129</v>
      </c>
      <c r="B25" s="35">
        <f t="shared" ref="B25:M25" si="17">B5</f>
        <v>0.085</v>
      </c>
      <c r="C25" s="35">
        <f t="shared" si="17"/>
        <v>0.075</v>
      </c>
      <c r="D25" s="35">
        <f t="shared" si="17"/>
        <v>0.09</v>
      </c>
      <c r="E25" s="35">
        <f t="shared" si="17"/>
        <v>0.09</v>
      </c>
      <c r="F25" s="35">
        <f t="shared" si="17"/>
        <v>0.09</v>
      </c>
      <c r="G25" s="35">
        <f t="shared" si="17"/>
        <v>0.08</v>
      </c>
      <c r="H25" s="35">
        <f t="shared" si="17"/>
        <v>0.09</v>
      </c>
      <c r="I25" s="35">
        <f t="shared" si="17"/>
        <v>0.09</v>
      </c>
      <c r="J25" s="35">
        <f t="shared" si="17"/>
        <v>0.085</v>
      </c>
      <c r="K25" s="35">
        <f t="shared" si="17"/>
        <v>0.075</v>
      </c>
      <c r="L25" s="35">
        <f t="shared" si="17"/>
        <v>0.07</v>
      </c>
      <c r="M25" s="35">
        <f t="shared" si="17"/>
        <v>0.08</v>
      </c>
      <c r="N25" s="18">
        <f t="shared" si="4"/>
        <v>1</v>
      </c>
      <c r="O25" s="5"/>
      <c r="P25" s="5"/>
      <c r="Q25" s="5"/>
      <c r="R25" s="5"/>
      <c r="S25" s="5"/>
      <c r="T25" s="5"/>
      <c r="U25" s="5"/>
      <c r="V25" s="5"/>
      <c r="W25" s="5"/>
      <c r="X25" s="5"/>
      <c r="Y25" s="5"/>
      <c r="Z25" s="5"/>
    </row>
    <row r="26" ht="12.0" customHeight="1">
      <c r="A26" s="26" t="s">
        <v>130</v>
      </c>
      <c r="B26" s="35">
        <f t="shared" ref="B26:M26" si="18">B5</f>
        <v>0.085</v>
      </c>
      <c r="C26" s="35">
        <f t="shared" si="18"/>
        <v>0.075</v>
      </c>
      <c r="D26" s="35">
        <f t="shared" si="18"/>
        <v>0.09</v>
      </c>
      <c r="E26" s="35">
        <f t="shared" si="18"/>
        <v>0.09</v>
      </c>
      <c r="F26" s="35">
        <f t="shared" si="18"/>
        <v>0.09</v>
      </c>
      <c r="G26" s="35">
        <f t="shared" si="18"/>
        <v>0.08</v>
      </c>
      <c r="H26" s="35">
        <f t="shared" si="18"/>
        <v>0.09</v>
      </c>
      <c r="I26" s="35">
        <f t="shared" si="18"/>
        <v>0.09</v>
      </c>
      <c r="J26" s="35">
        <f t="shared" si="18"/>
        <v>0.085</v>
      </c>
      <c r="K26" s="35">
        <f t="shared" si="18"/>
        <v>0.075</v>
      </c>
      <c r="L26" s="35">
        <f t="shared" si="18"/>
        <v>0.07</v>
      </c>
      <c r="M26" s="35">
        <f t="shared" si="18"/>
        <v>0.08</v>
      </c>
      <c r="N26" s="18">
        <f t="shared" si="4"/>
        <v>1</v>
      </c>
      <c r="O26" s="5"/>
      <c r="P26" s="5"/>
      <c r="Q26" s="5"/>
      <c r="R26" s="5"/>
      <c r="S26" s="5"/>
      <c r="T26" s="5"/>
      <c r="U26" s="5"/>
      <c r="V26" s="5"/>
      <c r="W26" s="5"/>
      <c r="X26" s="5"/>
      <c r="Y26" s="5"/>
      <c r="Z26" s="5"/>
    </row>
    <row r="27" ht="12.0"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2.0"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2.0"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2.0"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2.0"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2.0"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2.0"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2.0"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2.0"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2.0" customHeight="1">
      <c r="A36" s="1"/>
      <c r="B36" s="2" t="s">
        <v>131</v>
      </c>
      <c r="C36" s="3"/>
      <c r="D36" s="3"/>
      <c r="E36" s="3"/>
      <c r="F36" s="3"/>
      <c r="G36" s="3"/>
      <c r="H36" s="3"/>
      <c r="I36" s="3"/>
      <c r="J36" s="3"/>
      <c r="K36" s="3"/>
      <c r="L36" s="3"/>
      <c r="M36" s="3"/>
      <c r="N36" s="4"/>
      <c r="O36" s="47"/>
      <c r="P36" s="48"/>
      <c r="Q36" s="5"/>
      <c r="R36" s="5"/>
      <c r="S36" s="5"/>
      <c r="T36" s="5"/>
      <c r="U36" s="5"/>
      <c r="V36" s="5"/>
      <c r="W36" s="5"/>
      <c r="X36" s="5"/>
      <c r="Y36" s="5"/>
      <c r="Z36" s="5"/>
    </row>
    <row r="37" ht="12.0" customHeight="1">
      <c r="A37" s="49" t="s">
        <v>132</v>
      </c>
      <c r="B37" s="50">
        <v>20.0</v>
      </c>
      <c r="C37" s="51" t="s">
        <v>133</v>
      </c>
      <c r="D37" s="50">
        <v>8.0</v>
      </c>
      <c r="E37" s="49" t="s">
        <v>134</v>
      </c>
      <c r="F37" s="52">
        <f>B37*J37</f>
        <v>150</v>
      </c>
      <c r="G37" s="10" t="s">
        <v>135</v>
      </c>
      <c r="H37" s="53">
        <v>30.0</v>
      </c>
      <c r="I37" s="10" t="s">
        <v>136</v>
      </c>
      <c r="J37" s="54">
        <f>D37-H37/60</f>
        <v>7.5</v>
      </c>
      <c r="K37" s="5"/>
      <c r="L37" s="5"/>
      <c r="M37" s="5"/>
      <c r="N37" s="5"/>
      <c r="O37" s="5"/>
      <c r="P37" s="5"/>
      <c r="Q37" s="5"/>
      <c r="R37" s="5"/>
      <c r="S37" s="5"/>
      <c r="T37" s="5"/>
      <c r="U37" s="5"/>
      <c r="V37" s="5"/>
      <c r="W37" s="5"/>
      <c r="X37" s="5"/>
      <c r="Y37" s="5"/>
      <c r="Z37" s="5"/>
    </row>
    <row r="38" ht="12.0" customHeight="1">
      <c r="A38" s="55" t="s">
        <v>22</v>
      </c>
      <c r="B38" s="55" t="s">
        <v>137</v>
      </c>
      <c r="C38" s="55" t="s">
        <v>138</v>
      </c>
      <c r="D38" s="55" t="s">
        <v>139</v>
      </c>
      <c r="E38" s="55" t="s">
        <v>140</v>
      </c>
      <c r="F38" s="55" t="s">
        <v>141</v>
      </c>
      <c r="G38" s="55" t="s">
        <v>142</v>
      </c>
      <c r="H38" s="55" t="s">
        <v>143</v>
      </c>
      <c r="I38" s="55" t="s">
        <v>144</v>
      </c>
      <c r="J38" s="55" t="s">
        <v>145</v>
      </c>
      <c r="K38" s="55" t="s">
        <v>146</v>
      </c>
      <c r="L38" s="55" t="s">
        <v>147</v>
      </c>
      <c r="M38" s="55" t="s">
        <v>148</v>
      </c>
      <c r="N38" s="55" t="s">
        <v>149</v>
      </c>
      <c r="O38" s="55" t="s">
        <v>150</v>
      </c>
      <c r="P38" s="55" t="s">
        <v>151</v>
      </c>
      <c r="Q38" s="55" t="s">
        <v>152</v>
      </c>
      <c r="R38" s="55" t="s">
        <v>153</v>
      </c>
      <c r="S38" s="55" t="s">
        <v>154</v>
      </c>
      <c r="T38" s="55" t="s">
        <v>155</v>
      </c>
      <c r="U38" s="5"/>
      <c r="V38" s="5"/>
      <c r="W38" s="5"/>
      <c r="X38" s="5"/>
      <c r="Y38" s="5"/>
      <c r="Z38" s="5"/>
    </row>
    <row r="39" ht="36.75" customHeight="1">
      <c r="A39" s="56" t="s">
        <v>26</v>
      </c>
      <c r="B39" s="57" t="s">
        <v>156</v>
      </c>
      <c r="C39" s="58" t="s">
        <v>157</v>
      </c>
      <c r="D39" s="59">
        <f t="shared" ref="D39:D47" si="19">1/E39</f>
        <v>60</v>
      </c>
      <c r="E39" s="60">
        <f t="shared" ref="E39:E50" si="20">F39/60</f>
        <v>0.01666666667</v>
      </c>
      <c r="F39" s="59">
        <v>1.0</v>
      </c>
      <c r="G39" s="61">
        <v>240.0</v>
      </c>
      <c r="H39" s="61">
        <v>20.0</v>
      </c>
      <c r="I39" s="61">
        <v>10.0</v>
      </c>
      <c r="J39" s="62">
        <v>0.85</v>
      </c>
      <c r="K39" s="63">
        <f t="shared" ref="K39:K56" si="21">I39+H39+3600/G39</f>
        <v>45</v>
      </c>
      <c r="L39" s="63">
        <f t="shared" ref="L39:L56" si="22">K39/J39</f>
        <v>52.94117647</v>
      </c>
      <c r="M39" s="63">
        <f t="shared" ref="M39:M56" si="23">3600/L39*S39</f>
        <v>68</v>
      </c>
      <c r="N39" s="64">
        <f t="shared" ref="N39:N56" si="24">$F$37*M39</f>
        <v>10200</v>
      </c>
      <c r="O39" s="63" t="s">
        <v>158</v>
      </c>
      <c r="P39" s="59">
        <v>0.0</v>
      </c>
      <c r="Q39" s="59">
        <v>0.0</v>
      </c>
      <c r="R39" s="63">
        <f t="shared" ref="R39:R56" si="25">P39*Q39/60</f>
        <v>0</v>
      </c>
      <c r="S39" s="66">
        <f t="shared" ref="S39:S56" si="26">MAX(0,1-R39/$F$37)</f>
        <v>1</v>
      </c>
      <c r="T39" s="67"/>
      <c r="U39" s="28"/>
      <c r="V39" s="68"/>
      <c r="W39" s="28"/>
      <c r="X39" s="28"/>
      <c r="Y39" s="28"/>
      <c r="Z39" s="28"/>
    </row>
    <row r="40" ht="36.75" customHeight="1">
      <c r="A40" s="56" t="s">
        <v>163</v>
      </c>
      <c r="B40" s="57" t="s">
        <v>164</v>
      </c>
      <c r="C40" s="70" t="s">
        <v>165</v>
      </c>
      <c r="D40" s="59">
        <f t="shared" si="19"/>
        <v>60</v>
      </c>
      <c r="E40" s="60">
        <f t="shared" si="20"/>
        <v>0.01666666667</v>
      </c>
      <c r="F40" s="59">
        <v>1.0</v>
      </c>
      <c r="G40" s="61">
        <v>80.0</v>
      </c>
      <c r="H40" s="61">
        <v>10.0</v>
      </c>
      <c r="I40" s="61">
        <v>5.0</v>
      </c>
      <c r="J40" s="62">
        <v>0.7</v>
      </c>
      <c r="K40" s="63">
        <f t="shared" si="21"/>
        <v>60</v>
      </c>
      <c r="L40" s="63">
        <f t="shared" si="22"/>
        <v>85.71428571</v>
      </c>
      <c r="M40" s="63">
        <f t="shared" si="23"/>
        <v>40.88</v>
      </c>
      <c r="N40" s="64">
        <f t="shared" si="24"/>
        <v>6132</v>
      </c>
      <c r="O40" s="63" t="s">
        <v>167</v>
      </c>
      <c r="P40" s="59">
        <v>15.0</v>
      </c>
      <c r="Q40" s="59">
        <v>16.0</v>
      </c>
      <c r="R40" s="63">
        <f t="shared" si="25"/>
        <v>4</v>
      </c>
      <c r="S40" s="66">
        <f t="shared" si="26"/>
        <v>0.9733333333</v>
      </c>
      <c r="T40" s="67"/>
      <c r="U40" s="28"/>
      <c r="V40" s="68"/>
      <c r="W40" s="28"/>
      <c r="X40" s="28"/>
      <c r="Y40" s="28"/>
      <c r="Z40" s="28"/>
    </row>
    <row r="41" ht="36.75" customHeight="1">
      <c r="A41" s="56" t="s">
        <v>61</v>
      </c>
      <c r="B41" s="57" t="s">
        <v>168</v>
      </c>
      <c r="C41" s="72" t="s">
        <v>169</v>
      </c>
      <c r="D41" s="59">
        <f t="shared" si="19"/>
        <v>10</v>
      </c>
      <c r="E41" s="60">
        <f t="shared" si="20"/>
        <v>0.1</v>
      </c>
      <c r="F41" s="59">
        <f>60/10</f>
        <v>6</v>
      </c>
      <c r="G41" s="61">
        <v>1200.0</v>
      </c>
      <c r="H41" s="76">
        <f>30*60/1000</f>
        <v>1.8</v>
      </c>
      <c r="I41" s="76">
        <f>6*60/1000</f>
        <v>0.36</v>
      </c>
      <c r="J41" s="62">
        <v>0.85</v>
      </c>
      <c r="K41" s="63">
        <f t="shared" si="21"/>
        <v>5.16</v>
      </c>
      <c r="L41" s="63">
        <f t="shared" si="22"/>
        <v>6.070588235</v>
      </c>
      <c r="M41" s="63">
        <f t="shared" si="23"/>
        <v>466.5116279</v>
      </c>
      <c r="N41" s="64">
        <f t="shared" si="24"/>
        <v>69976.74419</v>
      </c>
      <c r="O41" s="63" t="s">
        <v>167</v>
      </c>
      <c r="P41" s="59">
        <v>120.0</v>
      </c>
      <c r="Q41" s="59">
        <v>16.0</v>
      </c>
      <c r="R41" s="63">
        <f t="shared" si="25"/>
        <v>32</v>
      </c>
      <c r="S41" s="66">
        <f t="shared" si="26"/>
        <v>0.7866666667</v>
      </c>
      <c r="T41" s="67"/>
      <c r="U41" s="28"/>
      <c r="V41" s="68"/>
      <c r="W41" s="28"/>
      <c r="X41" s="28"/>
      <c r="Y41" s="28"/>
      <c r="Z41" s="28"/>
    </row>
    <row r="42" ht="36.75" customHeight="1">
      <c r="A42" s="56" t="s">
        <v>62</v>
      </c>
      <c r="B42" s="57" t="s">
        <v>179</v>
      </c>
      <c r="C42" s="58" t="s">
        <v>157</v>
      </c>
      <c r="D42" s="59">
        <f t="shared" si="19"/>
        <v>20</v>
      </c>
      <c r="E42" s="60">
        <f t="shared" si="20"/>
        <v>0.05</v>
      </c>
      <c r="F42" s="59">
        <v>3.0</v>
      </c>
      <c r="G42" s="61">
        <v>240.0</v>
      </c>
      <c r="H42" s="61">
        <v>10.0</v>
      </c>
      <c r="I42" s="61">
        <v>5.0</v>
      </c>
      <c r="J42" s="62">
        <v>0.8</v>
      </c>
      <c r="K42" s="63">
        <f t="shared" si="21"/>
        <v>30</v>
      </c>
      <c r="L42" s="63">
        <f t="shared" si="22"/>
        <v>37.5</v>
      </c>
      <c r="M42" s="63">
        <f t="shared" si="23"/>
        <v>96</v>
      </c>
      <c r="N42" s="64">
        <f t="shared" si="24"/>
        <v>14400</v>
      </c>
      <c r="O42" s="63" t="s">
        <v>182</v>
      </c>
      <c r="P42" s="59">
        <v>0.0</v>
      </c>
      <c r="Q42" s="59">
        <v>0.0</v>
      </c>
      <c r="R42" s="63">
        <f t="shared" si="25"/>
        <v>0</v>
      </c>
      <c r="S42" s="66">
        <f t="shared" si="26"/>
        <v>1</v>
      </c>
      <c r="T42" s="80" t="s">
        <v>184</v>
      </c>
      <c r="U42" s="28"/>
      <c r="V42" s="68"/>
      <c r="W42" s="28"/>
      <c r="X42" s="28"/>
      <c r="Y42" s="28"/>
      <c r="Z42" s="28"/>
    </row>
    <row r="43" ht="36.75" customHeight="1">
      <c r="A43" s="56" t="s">
        <v>63</v>
      </c>
      <c r="B43" s="57" t="s">
        <v>185</v>
      </c>
      <c r="C43" s="70" t="s">
        <v>187</v>
      </c>
      <c r="D43" s="59">
        <f t="shared" si="19"/>
        <v>80</v>
      </c>
      <c r="E43" s="60">
        <f t="shared" si="20"/>
        <v>0.0125</v>
      </c>
      <c r="F43" s="59">
        <f>45/60</f>
        <v>0.75</v>
      </c>
      <c r="G43" s="61">
        <v>130.0</v>
      </c>
      <c r="H43" s="61">
        <v>5.0</v>
      </c>
      <c r="I43" s="61">
        <v>5.0</v>
      </c>
      <c r="J43" s="62">
        <v>0.85</v>
      </c>
      <c r="K43" s="63">
        <f t="shared" si="21"/>
        <v>37.69230769</v>
      </c>
      <c r="L43" s="63">
        <f t="shared" si="22"/>
        <v>44.3438914</v>
      </c>
      <c r="M43" s="63">
        <f t="shared" si="23"/>
        <v>80.10122449</v>
      </c>
      <c r="N43" s="64">
        <f t="shared" si="24"/>
        <v>12015.18367</v>
      </c>
      <c r="O43" s="63" t="s">
        <v>190</v>
      </c>
      <c r="P43" s="59">
        <v>10.0</v>
      </c>
      <c r="Q43" s="59">
        <v>12.0</v>
      </c>
      <c r="R43" s="63">
        <f t="shared" si="25"/>
        <v>2</v>
      </c>
      <c r="S43" s="66">
        <f t="shared" si="26"/>
        <v>0.9866666667</v>
      </c>
      <c r="T43" s="67"/>
      <c r="U43" s="28"/>
      <c r="V43" s="68"/>
      <c r="W43" s="28"/>
      <c r="X43" s="28"/>
      <c r="Y43" s="28"/>
      <c r="Z43" s="28"/>
    </row>
    <row r="44" ht="36.75" customHeight="1">
      <c r="A44" s="56" t="s">
        <v>64</v>
      </c>
      <c r="B44" s="57" t="s">
        <v>192</v>
      </c>
      <c r="C44" s="70" t="s">
        <v>165</v>
      </c>
      <c r="D44" s="59">
        <f t="shared" si="19"/>
        <v>120</v>
      </c>
      <c r="E44" s="60">
        <f t="shared" si="20"/>
        <v>0.008333333333</v>
      </c>
      <c r="F44" s="59">
        <v>0.5</v>
      </c>
      <c r="G44" s="61">
        <v>40.0</v>
      </c>
      <c r="H44" s="61">
        <v>30.0</v>
      </c>
      <c r="I44" s="61">
        <v>15.0</v>
      </c>
      <c r="J44" s="62">
        <v>0.7</v>
      </c>
      <c r="K44" s="63">
        <f t="shared" si="21"/>
        <v>135</v>
      </c>
      <c r="L44" s="63">
        <f t="shared" si="22"/>
        <v>192.8571429</v>
      </c>
      <c r="M44" s="63">
        <f t="shared" si="23"/>
        <v>18.54222222</v>
      </c>
      <c r="N44" s="64">
        <f t="shared" si="24"/>
        <v>2781.333333</v>
      </c>
      <c r="O44" s="63" t="s">
        <v>190</v>
      </c>
      <c r="P44" s="59">
        <v>5.0</v>
      </c>
      <c r="Q44" s="59">
        <v>12.0</v>
      </c>
      <c r="R44" s="63">
        <f t="shared" si="25"/>
        <v>1</v>
      </c>
      <c r="S44" s="66">
        <f t="shared" si="26"/>
        <v>0.9933333333</v>
      </c>
      <c r="T44" s="80" t="s">
        <v>193</v>
      </c>
      <c r="U44" s="28"/>
      <c r="V44" s="68"/>
      <c r="W44" s="28"/>
      <c r="X44" s="28"/>
      <c r="Y44" s="28"/>
      <c r="Z44" s="28"/>
    </row>
    <row r="45" ht="36.75" customHeight="1">
      <c r="A45" s="56" t="s">
        <v>66</v>
      </c>
      <c r="B45" s="57" t="s">
        <v>194</v>
      </c>
      <c r="C45" s="58" t="s">
        <v>195</v>
      </c>
      <c r="D45" s="59">
        <f t="shared" si="19"/>
        <v>30</v>
      </c>
      <c r="E45" s="60">
        <f t="shared" si="20"/>
        <v>0.03333333333</v>
      </c>
      <c r="F45" s="59">
        <v>2.0</v>
      </c>
      <c r="G45" s="61">
        <v>120.0</v>
      </c>
      <c r="H45" s="61">
        <v>15.0</v>
      </c>
      <c r="I45" s="61">
        <v>5.0</v>
      </c>
      <c r="J45" s="62">
        <v>0.85</v>
      </c>
      <c r="K45" s="63">
        <f t="shared" si="21"/>
        <v>50</v>
      </c>
      <c r="L45" s="63">
        <f t="shared" si="22"/>
        <v>58.82352941</v>
      </c>
      <c r="M45" s="63">
        <f t="shared" si="23"/>
        <v>60.656</v>
      </c>
      <c r="N45" s="64">
        <f t="shared" si="24"/>
        <v>9098.4</v>
      </c>
      <c r="O45" s="63" t="s">
        <v>167</v>
      </c>
      <c r="P45" s="59">
        <v>5.0</v>
      </c>
      <c r="Q45" s="59">
        <v>16.0</v>
      </c>
      <c r="R45" s="63">
        <f t="shared" si="25"/>
        <v>1.333333333</v>
      </c>
      <c r="S45" s="66">
        <f t="shared" si="26"/>
        <v>0.9911111111</v>
      </c>
      <c r="T45" s="67"/>
      <c r="U45" s="28"/>
      <c r="V45" s="68"/>
      <c r="W45" s="28"/>
      <c r="X45" s="28"/>
      <c r="Y45" s="28"/>
      <c r="Z45" s="28"/>
    </row>
    <row r="46" ht="36.75" customHeight="1">
      <c r="A46" s="56" t="s">
        <v>67</v>
      </c>
      <c r="B46" s="57" t="s">
        <v>197</v>
      </c>
      <c r="C46" s="58" t="s">
        <v>198</v>
      </c>
      <c r="D46" s="59">
        <f t="shared" si="19"/>
        <v>45</v>
      </c>
      <c r="E46" s="60">
        <f t="shared" si="20"/>
        <v>0.02222222222</v>
      </c>
      <c r="F46" s="59">
        <f>60/45</f>
        <v>1.333333333</v>
      </c>
      <c r="G46" s="61">
        <v>600.0</v>
      </c>
      <c r="H46" s="61">
        <v>5.0</v>
      </c>
      <c r="I46" s="61">
        <v>5.0</v>
      </c>
      <c r="J46" s="62">
        <v>0.85</v>
      </c>
      <c r="K46" s="63">
        <f t="shared" si="21"/>
        <v>16</v>
      </c>
      <c r="L46" s="63">
        <f t="shared" si="22"/>
        <v>18.82352941</v>
      </c>
      <c r="M46" s="63">
        <f t="shared" si="23"/>
        <v>187.425</v>
      </c>
      <c r="N46" s="64">
        <f t="shared" si="24"/>
        <v>28113.75</v>
      </c>
      <c r="O46" s="63" t="s">
        <v>167</v>
      </c>
      <c r="P46" s="59">
        <v>15.0</v>
      </c>
      <c r="Q46" s="59">
        <v>12.0</v>
      </c>
      <c r="R46" s="63">
        <f t="shared" si="25"/>
        <v>3</v>
      </c>
      <c r="S46" s="66">
        <f t="shared" si="26"/>
        <v>0.98</v>
      </c>
      <c r="T46" s="67"/>
      <c r="U46" s="28"/>
      <c r="V46" s="68"/>
      <c r="W46" s="28"/>
      <c r="X46" s="28"/>
      <c r="Y46" s="28"/>
      <c r="Z46" s="28"/>
    </row>
    <row r="47" ht="12.0" customHeight="1">
      <c r="A47" s="56" t="s">
        <v>68</v>
      </c>
      <c r="B47" s="57" t="s">
        <v>203</v>
      </c>
      <c r="C47" s="70" t="s">
        <v>165</v>
      </c>
      <c r="D47" s="59">
        <f t="shared" si="19"/>
        <v>200</v>
      </c>
      <c r="E47" s="60">
        <f t="shared" si="20"/>
        <v>0.005</v>
      </c>
      <c r="F47" s="59">
        <v>0.3</v>
      </c>
      <c r="G47" s="61">
        <v>30.0</v>
      </c>
      <c r="H47" s="61">
        <v>30.0</v>
      </c>
      <c r="I47" s="61">
        <v>5.0</v>
      </c>
      <c r="J47" s="62">
        <v>0.7</v>
      </c>
      <c r="K47" s="63">
        <f t="shared" si="21"/>
        <v>155</v>
      </c>
      <c r="L47" s="63">
        <f t="shared" si="22"/>
        <v>221.4285714</v>
      </c>
      <c r="M47" s="63">
        <f t="shared" si="23"/>
        <v>15.96903226</v>
      </c>
      <c r="N47" s="64">
        <f t="shared" si="24"/>
        <v>2395.354839</v>
      </c>
      <c r="O47" s="63" t="s">
        <v>167</v>
      </c>
      <c r="P47" s="59">
        <v>10.0</v>
      </c>
      <c r="Q47" s="59">
        <v>16.0</v>
      </c>
      <c r="R47" s="63">
        <f t="shared" si="25"/>
        <v>2.666666667</v>
      </c>
      <c r="S47" s="66">
        <f t="shared" si="26"/>
        <v>0.9822222222</v>
      </c>
      <c r="T47" s="80" t="s">
        <v>193</v>
      </c>
      <c r="U47" s="28"/>
      <c r="V47" s="68"/>
      <c r="W47" s="28"/>
      <c r="X47" s="28"/>
      <c r="Y47" s="28"/>
      <c r="Z47" s="28"/>
    </row>
    <row r="48" ht="12.0" customHeight="1">
      <c r="A48" s="56" t="s">
        <v>70</v>
      </c>
      <c r="B48" s="57" t="s">
        <v>222</v>
      </c>
      <c r="C48" s="70" t="s">
        <v>223</v>
      </c>
      <c r="D48" s="59">
        <v>120.0</v>
      </c>
      <c r="E48" s="60">
        <f t="shared" si="20"/>
        <v>0.008333333333</v>
      </c>
      <c r="F48" s="59">
        <v>0.5</v>
      </c>
      <c r="G48" s="61">
        <v>30.0</v>
      </c>
      <c r="H48" s="61">
        <v>10.0</v>
      </c>
      <c r="I48" s="61">
        <v>5.0</v>
      </c>
      <c r="J48" s="62">
        <v>0.85</v>
      </c>
      <c r="K48" s="63">
        <f t="shared" si="21"/>
        <v>135</v>
      </c>
      <c r="L48" s="63">
        <f t="shared" si="22"/>
        <v>158.8235294</v>
      </c>
      <c r="M48" s="63">
        <f t="shared" si="23"/>
        <v>22.46518519</v>
      </c>
      <c r="N48" s="64">
        <f t="shared" si="24"/>
        <v>3369.777778</v>
      </c>
      <c r="O48" s="63" t="s">
        <v>167</v>
      </c>
      <c r="P48" s="59">
        <v>5.0</v>
      </c>
      <c r="Q48" s="59">
        <v>16.0</v>
      </c>
      <c r="R48" s="63">
        <f t="shared" si="25"/>
        <v>1.333333333</v>
      </c>
      <c r="S48" s="66">
        <f t="shared" si="26"/>
        <v>0.9911111111</v>
      </c>
      <c r="T48" s="67"/>
      <c r="U48" s="28"/>
      <c r="V48" s="68"/>
      <c r="W48" s="28"/>
      <c r="X48" s="28"/>
      <c r="Y48" s="28"/>
      <c r="Z48" s="28"/>
    </row>
    <row r="49" ht="12.0" customHeight="1">
      <c r="A49" s="56" t="s">
        <v>72</v>
      </c>
      <c r="B49" s="57" t="s">
        <v>225</v>
      </c>
      <c r="C49" s="70" t="s">
        <v>226</v>
      </c>
      <c r="D49" s="59">
        <f t="shared" ref="D49:D50" si="27">1/E49</f>
        <v>30</v>
      </c>
      <c r="E49" s="60">
        <f t="shared" si="20"/>
        <v>0.03333333333</v>
      </c>
      <c r="F49" s="59">
        <v>2.0</v>
      </c>
      <c r="G49" s="61">
        <v>200.0</v>
      </c>
      <c r="H49" s="61">
        <v>10.0</v>
      </c>
      <c r="I49" s="61">
        <v>15.0</v>
      </c>
      <c r="J49" s="62">
        <v>0.85</v>
      </c>
      <c r="K49" s="63">
        <f t="shared" si="21"/>
        <v>43</v>
      </c>
      <c r="L49" s="63">
        <f t="shared" si="22"/>
        <v>50.58823529</v>
      </c>
      <c r="M49" s="63">
        <f t="shared" si="23"/>
        <v>71.1627907</v>
      </c>
      <c r="N49" s="64">
        <f t="shared" si="24"/>
        <v>10674.4186</v>
      </c>
      <c r="O49" s="63" t="s">
        <v>167</v>
      </c>
      <c r="P49" s="59">
        <v>0.0</v>
      </c>
      <c r="Q49" s="59">
        <v>16.0</v>
      </c>
      <c r="R49" s="63">
        <f t="shared" si="25"/>
        <v>0</v>
      </c>
      <c r="S49" s="66">
        <f t="shared" si="26"/>
        <v>1</v>
      </c>
      <c r="T49" s="80"/>
      <c r="U49" s="28"/>
      <c r="V49" s="68"/>
      <c r="W49" s="28"/>
      <c r="X49" s="28"/>
      <c r="Y49" s="28"/>
      <c r="Z49" s="28"/>
    </row>
    <row r="50" ht="12.0" customHeight="1">
      <c r="A50" s="56" t="s">
        <v>229</v>
      </c>
      <c r="B50" s="57" t="s">
        <v>230</v>
      </c>
      <c r="C50" s="70" t="s">
        <v>231</v>
      </c>
      <c r="D50" s="59">
        <f t="shared" si="27"/>
        <v>5</v>
      </c>
      <c r="E50" s="60">
        <f t="shared" si="20"/>
        <v>0.2</v>
      </c>
      <c r="F50" s="59">
        <f>60/5</f>
        <v>12</v>
      </c>
      <c r="G50" s="61">
        <v>720.0</v>
      </c>
      <c r="H50" s="61">
        <v>5.0</v>
      </c>
      <c r="I50" s="61">
        <v>5.0</v>
      </c>
      <c r="J50" s="62">
        <v>0.8</v>
      </c>
      <c r="K50" s="63">
        <f t="shared" si="21"/>
        <v>15</v>
      </c>
      <c r="L50" s="63">
        <f t="shared" si="22"/>
        <v>18.75</v>
      </c>
      <c r="M50" s="63">
        <f t="shared" si="23"/>
        <v>192</v>
      </c>
      <c r="N50" s="64">
        <f t="shared" si="24"/>
        <v>28800</v>
      </c>
      <c r="O50" s="63" t="s">
        <v>167</v>
      </c>
      <c r="P50" s="59">
        <v>0.0</v>
      </c>
      <c r="Q50" s="59">
        <v>16.0</v>
      </c>
      <c r="R50" s="63">
        <f t="shared" si="25"/>
        <v>0</v>
      </c>
      <c r="S50" s="66">
        <f t="shared" si="26"/>
        <v>1</v>
      </c>
      <c r="T50" s="67"/>
      <c r="U50" s="28"/>
      <c r="V50" s="68"/>
      <c r="W50" s="28"/>
      <c r="X50" s="28"/>
      <c r="Y50" s="28"/>
      <c r="Z50" s="28"/>
    </row>
    <row r="51" ht="12.0" customHeight="1">
      <c r="A51" s="56" t="s">
        <v>77</v>
      </c>
      <c r="B51" s="57" t="s">
        <v>234</v>
      </c>
      <c r="C51" s="57" t="s">
        <v>235</v>
      </c>
      <c r="D51" s="59">
        <v>14.4</v>
      </c>
      <c r="E51" s="60">
        <f>1/D51</f>
        <v>0.06944444444</v>
      </c>
      <c r="F51" s="59">
        <f>60/D51</f>
        <v>4.166666667</v>
      </c>
      <c r="G51" s="61">
        <v>700.0</v>
      </c>
      <c r="H51" s="61">
        <v>10.0</v>
      </c>
      <c r="I51" s="61">
        <v>10.0</v>
      </c>
      <c r="J51" s="62">
        <v>0.95</v>
      </c>
      <c r="K51" s="63">
        <f t="shared" si="21"/>
        <v>25.14285714</v>
      </c>
      <c r="L51" s="63">
        <f t="shared" si="22"/>
        <v>26.46616541</v>
      </c>
      <c r="M51" s="63">
        <f t="shared" si="23"/>
        <v>136.0227273</v>
      </c>
      <c r="N51" s="64">
        <f t="shared" si="24"/>
        <v>20403.40909</v>
      </c>
      <c r="O51" s="63" t="s">
        <v>167</v>
      </c>
      <c r="P51" s="59">
        <v>0.0</v>
      </c>
      <c r="Q51" s="59">
        <v>0.0</v>
      </c>
      <c r="R51" s="63">
        <f t="shared" si="25"/>
        <v>0</v>
      </c>
      <c r="S51" s="66">
        <f t="shared" si="26"/>
        <v>1</v>
      </c>
      <c r="T51" s="67"/>
      <c r="U51" s="28"/>
      <c r="V51" s="68"/>
      <c r="W51" s="28"/>
      <c r="X51" s="28"/>
      <c r="Y51" s="28"/>
      <c r="Z51" s="28"/>
    </row>
    <row r="52" ht="12.0" customHeight="1">
      <c r="A52" s="56" t="s">
        <v>79</v>
      </c>
      <c r="B52" s="57" t="s">
        <v>238</v>
      </c>
      <c r="C52" s="70" t="s">
        <v>239</v>
      </c>
      <c r="D52" s="59">
        <f t="shared" ref="D52:D53" si="28">1/E52</f>
        <v>42.85714286</v>
      </c>
      <c r="E52" s="60">
        <f t="shared" ref="E52:E56" si="29">F52/60</f>
        <v>0.02333333333</v>
      </c>
      <c r="F52" s="59">
        <v>1.4</v>
      </c>
      <c r="G52" s="61">
        <v>110.0</v>
      </c>
      <c r="H52" s="61">
        <v>10.0</v>
      </c>
      <c r="I52" s="61">
        <v>5.0</v>
      </c>
      <c r="J52" s="62">
        <v>0.8</v>
      </c>
      <c r="K52" s="63">
        <f t="shared" si="21"/>
        <v>47.72727273</v>
      </c>
      <c r="L52" s="63">
        <f t="shared" si="22"/>
        <v>59.65909091</v>
      </c>
      <c r="M52" s="63">
        <f t="shared" si="23"/>
        <v>60.34285714</v>
      </c>
      <c r="N52" s="64">
        <f t="shared" si="24"/>
        <v>9051.428571</v>
      </c>
      <c r="O52" s="63" t="s">
        <v>167</v>
      </c>
      <c r="P52" s="59">
        <v>0.0</v>
      </c>
      <c r="Q52" s="59">
        <v>16.0</v>
      </c>
      <c r="R52" s="63">
        <f t="shared" si="25"/>
        <v>0</v>
      </c>
      <c r="S52" s="66">
        <f t="shared" si="26"/>
        <v>1</v>
      </c>
      <c r="T52" s="67"/>
      <c r="U52" s="28"/>
      <c r="V52" s="68"/>
      <c r="W52" s="28"/>
      <c r="X52" s="28"/>
      <c r="Y52" s="28"/>
      <c r="Z52" s="28"/>
    </row>
    <row r="53" ht="12.0" customHeight="1">
      <c r="A53" s="56" t="s">
        <v>81</v>
      </c>
      <c r="B53" s="57" t="s">
        <v>241</v>
      </c>
      <c r="C53" s="70" t="s">
        <v>231</v>
      </c>
      <c r="D53" s="59">
        <f t="shared" si="28"/>
        <v>60</v>
      </c>
      <c r="E53" s="60">
        <f t="shared" si="29"/>
        <v>0.01666666667</v>
      </c>
      <c r="F53" s="59">
        <v>1.0</v>
      </c>
      <c r="G53" s="88">
        <f>3600/90</f>
        <v>40</v>
      </c>
      <c r="H53" s="61">
        <v>5.0</v>
      </c>
      <c r="I53" s="61">
        <v>5.0</v>
      </c>
      <c r="J53" s="62">
        <v>0.7</v>
      </c>
      <c r="K53" s="63">
        <f t="shared" si="21"/>
        <v>100</v>
      </c>
      <c r="L53" s="63">
        <f t="shared" si="22"/>
        <v>142.8571429</v>
      </c>
      <c r="M53" s="63">
        <f t="shared" si="23"/>
        <v>25.2</v>
      </c>
      <c r="N53" s="64">
        <f t="shared" si="24"/>
        <v>3780</v>
      </c>
      <c r="O53" s="63" t="s">
        <v>167</v>
      </c>
      <c r="P53" s="59">
        <v>0.0</v>
      </c>
      <c r="Q53" s="59">
        <v>16.0</v>
      </c>
      <c r="R53" s="63">
        <f t="shared" si="25"/>
        <v>0</v>
      </c>
      <c r="S53" s="66">
        <f t="shared" si="26"/>
        <v>1</v>
      </c>
      <c r="T53" s="67"/>
      <c r="U53" s="28"/>
      <c r="V53" s="68"/>
      <c r="W53" s="28"/>
      <c r="X53" s="28"/>
      <c r="Y53" s="28"/>
      <c r="Z53" s="28"/>
    </row>
    <row r="54" ht="12.0" customHeight="1">
      <c r="A54" s="56" t="s">
        <v>82</v>
      </c>
      <c r="B54" s="57" t="s">
        <v>244</v>
      </c>
      <c r="C54" s="70" t="s">
        <v>231</v>
      </c>
      <c r="D54" s="59">
        <v>55.0</v>
      </c>
      <c r="E54" s="60">
        <f t="shared" si="29"/>
        <v>0.025</v>
      </c>
      <c r="F54" s="59">
        <f t="shared" ref="F54:F55" si="30">60/40</f>
        <v>1.5</v>
      </c>
      <c r="G54" s="88">
        <f>3600/D54</f>
        <v>65.45454545</v>
      </c>
      <c r="H54" s="61">
        <v>5.0</v>
      </c>
      <c r="I54" s="61">
        <v>5.0</v>
      </c>
      <c r="J54" s="62">
        <v>0.75</v>
      </c>
      <c r="K54" s="63">
        <f t="shared" si="21"/>
        <v>65</v>
      </c>
      <c r="L54" s="63">
        <f t="shared" si="22"/>
        <v>86.66666667</v>
      </c>
      <c r="M54" s="63">
        <f t="shared" si="23"/>
        <v>41.53846154</v>
      </c>
      <c r="N54" s="64">
        <f t="shared" si="24"/>
        <v>6230.769231</v>
      </c>
      <c r="O54" s="63" t="s">
        <v>167</v>
      </c>
      <c r="P54" s="59">
        <v>0.0</v>
      </c>
      <c r="Q54" s="59">
        <v>16.0</v>
      </c>
      <c r="R54" s="63">
        <f t="shared" si="25"/>
        <v>0</v>
      </c>
      <c r="S54" s="66">
        <f t="shared" si="26"/>
        <v>1</v>
      </c>
      <c r="T54" s="80" t="s">
        <v>246</v>
      </c>
      <c r="U54" s="28"/>
      <c r="V54" s="68"/>
      <c r="W54" s="28"/>
      <c r="X54" s="28"/>
      <c r="Y54" s="28"/>
      <c r="Z54" s="28"/>
    </row>
    <row r="55" ht="12.0" customHeight="1">
      <c r="A55" s="56" t="s">
        <v>83</v>
      </c>
      <c r="B55" s="57" t="s">
        <v>247</v>
      </c>
      <c r="C55" s="70" t="s">
        <v>231</v>
      </c>
      <c r="D55" s="59">
        <f>1/E55</f>
        <v>40</v>
      </c>
      <c r="E55" s="60">
        <f t="shared" si="29"/>
        <v>0.025</v>
      </c>
      <c r="F55" s="59">
        <f t="shared" si="30"/>
        <v>1.5</v>
      </c>
      <c r="G55" s="88">
        <f>3600/40</f>
        <v>90</v>
      </c>
      <c r="H55" s="61">
        <v>10.0</v>
      </c>
      <c r="I55" s="61">
        <v>5.0</v>
      </c>
      <c r="J55" s="62">
        <v>0.7</v>
      </c>
      <c r="K55" s="63">
        <f t="shared" si="21"/>
        <v>55</v>
      </c>
      <c r="L55" s="63">
        <f t="shared" si="22"/>
        <v>78.57142857</v>
      </c>
      <c r="M55" s="63">
        <f t="shared" si="23"/>
        <v>45.81818182</v>
      </c>
      <c r="N55" s="64">
        <f t="shared" si="24"/>
        <v>6872.727273</v>
      </c>
      <c r="O55" s="63" t="s">
        <v>167</v>
      </c>
      <c r="P55" s="59">
        <v>0.0</v>
      </c>
      <c r="Q55" s="59">
        <v>16.0</v>
      </c>
      <c r="R55" s="63">
        <f t="shared" si="25"/>
        <v>0</v>
      </c>
      <c r="S55" s="66">
        <f t="shared" si="26"/>
        <v>1</v>
      </c>
      <c r="T55" s="67"/>
      <c r="U55" s="28"/>
      <c r="V55" s="68"/>
      <c r="W55" s="28"/>
      <c r="X55" s="28"/>
      <c r="Y55" s="28"/>
      <c r="Z55" s="28"/>
    </row>
    <row r="56" ht="12.0" customHeight="1">
      <c r="A56" s="89" t="s">
        <v>251</v>
      </c>
      <c r="B56" s="57" t="s">
        <v>252</v>
      </c>
      <c r="C56" s="70" t="s">
        <v>231</v>
      </c>
      <c r="D56" s="59">
        <v>34.0</v>
      </c>
      <c r="E56" s="60">
        <f t="shared" si="29"/>
        <v>0.02222222222</v>
      </c>
      <c r="F56" s="59">
        <f>60/45</f>
        <v>1.333333333</v>
      </c>
      <c r="G56" s="88">
        <f>3600/D56</f>
        <v>105.8823529</v>
      </c>
      <c r="H56" s="61">
        <v>20.0</v>
      </c>
      <c r="I56" s="61">
        <v>5.0</v>
      </c>
      <c r="J56" s="62">
        <v>0.8</v>
      </c>
      <c r="K56" s="63">
        <f t="shared" si="21"/>
        <v>59</v>
      </c>
      <c r="L56" s="63">
        <f t="shared" si="22"/>
        <v>73.75</v>
      </c>
      <c r="M56" s="63">
        <f t="shared" si="23"/>
        <v>48.81355932</v>
      </c>
      <c r="N56" s="64">
        <f t="shared" si="24"/>
        <v>7322.033898</v>
      </c>
      <c r="O56" s="63" t="s">
        <v>167</v>
      </c>
      <c r="P56" s="59">
        <v>0.0</v>
      </c>
      <c r="Q56" s="59">
        <v>16.0</v>
      </c>
      <c r="R56" s="63">
        <f t="shared" si="25"/>
        <v>0</v>
      </c>
      <c r="S56" s="66">
        <f t="shared" si="26"/>
        <v>1</v>
      </c>
      <c r="T56" s="80" t="s">
        <v>253</v>
      </c>
      <c r="U56" s="28"/>
      <c r="V56" s="68"/>
      <c r="W56" s="28"/>
      <c r="X56" s="28"/>
      <c r="Y56" s="28"/>
      <c r="Z56" s="28"/>
    </row>
    <row r="57" ht="12.0"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8.75" customHeight="1">
      <c r="A58" s="90" t="s">
        <v>255</v>
      </c>
      <c r="B58" s="91"/>
      <c r="C58" s="91"/>
      <c r="D58" s="91"/>
      <c r="E58" s="91"/>
      <c r="F58" s="91"/>
      <c r="G58" s="91"/>
      <c r="H58" s="91"/>
      <c r="I58" s="91"/>
      <c r="J58" s="91"/>
      <c r="K58" s="91"/>
      <c r="L58" s="91"/>
      <c r="M58" s="91"/>
      <c r="N58" s="91"/>
      <c r="O58" s="91"/>
      <c r="P58" s="91"/>
      <c r="Q58" s="5"/>
      <c r="R58" s="5"/>
      <c r="S58" s="5"/>
      <c r="T58" s="5"/>
      <c r="U58" s="5"/>
      <c r="V58" s="5"/>
      <c r="W58" s="5"/>
      <c r="X58" s="5"/>
      <c r="Y58" s="5"/>
      <c r="Z58" s="5"/>
    </row>
    <row r="59" ht="12.0" customHeight="1">
      <c r="A59" s="92"/>
      <c r="B59" s="92"/>
      <c r="C59" s="92"/>
      <c r="D59" s="92"/>
      <c r="E59" s="93"/>
      <c r="F59" s="93"/>
      <c r="G59" s="93"/>
      <c r="H59" s="93"/>
      <c r="I59" s="93"/>
      <c r="J59" s="93"/>
      <c r="K59" s="5"/>
      <c r="L59" s="5"/>
      <c r="M59" s="5"/>
      <c r="N59" s="5"/>
      <c r="O59" s="5"/>
      <c r="P59" s="5"/>
      <c r="Q59" s="5"/>
      <c r="R59" s="5"/>
      <c r="S59" s="5"/>
      <c r="T59" s="5"/>
      <c r="U59" s="5"/>
      <c r="V59" s="5"/>
      <c r="W59" s="5"/>
      <c r="X59" s="5"/>
      <c r="Y59" s="5"/>
      <c r="Z59" s="5"/>
    </row>
    <row r="60" ht="12.0" customHeight="1">
      <c r="A60" s="92"/>
      <c r="B60" s="92"/>
      <c r="C60" s="5"/>
      <c r="D60" s="5"/>
      <c r="E60" s="5"/>
      <c r="F60" s="5"/>
      <c r="G60" s="5"/>
      <c r="H60" s="5"/>
      <c r="I60" s="5"/>
      <c r="J60" s="5"/>
      <c r="K60" s="5"/>
      <c r="L60" s="5"/>
      <c r="M60" s="5"/>
      <c r="N60" s="5"/>
      <c r="O60" s="5"/>
      <c r="P60" s="5"/>
      <c r="Q60" s="5"/>
      <c r="R60" s="5"/>
      <c r="S60" s="5"/>
      <c r="T60" s="5"/>
      <c r="U60" s="5"/>
      <c r="V60" s="5"/>
      <c r="W60" s="5"/>
      <c r="X60" s="5"/>
      <c r="Y60" s="5"/>
      <c r="Z60" s="5"/>
    </row>
    <row r="61" ht="12.0" customHeight="1">
      <c r="A61" s="94"/>
      <c r="B61" s="95"/>
      <c r="C61" s="5"/>
      <c r="D61" s="5"/>
      <c r="E61" s="5"/>
      <c r="F61" s="5"/>
      <c r="G61" s="5"/>
      <c r="H61" s="5"/>
      <c r="I61" s="5"/>
      <c r="J61" s="5"/>
      <c r="K61" s="5"/>
      <c r="L61" s="5"/>
      <c r="M61" s="5"/>
      <c r="N61" s="5"/>
      <c r="O61" s="5"/>
      <c r="P61" s="5"/>
      <c r="Q61" s="5"/>
      <c r="R61" s="5"/>
      <c r="S61" s="5"/>
      <c r="T61" s="5"/>
      <c r="U61" s="5"/>
      <c r="V61" s="5"/>
      <c r="W61" s="5"/>
      <c r="X61" s="5"/>
      <c r="Y61" s="5"/>
      <c r="Z61" s="5"/>
    </row>
    <row r="62" ht="12.0" customHeight="1">
      <c r="A62" s="94"/>
      <c r="B62" s="95"/>
      <c r="C62" s="5"/>
      <c r="D62" s="5"/>
      <c r="E62" s="5"/>
      <c r="F62" s="5"/>
      <c r="G62" s="5"/>
      <c r="H62" s="5"/>
      <c r="I62" s="5"/>
      <c r="J62" s="5"/>
      <c r="K62" s="5"/>
      <c r="L62" s="5"/>
      <c r="M62" s="5"/>
      <c r="N62" s="5"/>
      <c r="O62" s="5"/>
      <c r="P62" s="5"/>
      <c r="Q62" s="5"/>
      <c r="R62" s="5"/>
      <c r="S62" s="5"/>
      <c r="T62" s="5"/>
      <c r="U62" s="5"/>
      <c r="V62" s="5"/>
      <c r="W62" s="5"/>
      <c r="X62" s="5"/>
      <c r="Y62" s="5"/>
      <c r="Z62" s="5"/>
    </row>
    <row r="63" ht="12.0" customHeight="1">
      <c r="A63" s="94"/>
      <c r="B63" s="95"/>
      <c r="C63" s="5"/>
      <c r="D63" s="5"/>
      <c r="E63" s="5"/>
      <c r="F63" s="5"/>
      <c r="G63" s="5"/>
      <c r="H63" s="5"/>
      <c r="I63" s="5"/>
      <c r="J63" s="5"/>
      <c r="K63" s="5"/>
      <c r="L63" s="5"/>
      <c r="M63" s="5"/>
      <c r="N63" s="5"/>
      <c r="O63" s="5"/>
      <c r="P63" s="5"/>
      <c r="Q63" s="5"/>
      <c r="R63" s="5"/>
      <c r="S63" s="5"/>
      <c r="T63" s="5"/>
      <c r="U63" s="5"/>
      <c r="V63" s="5"/>
      <c r="W63" s="5"/>
      <c r="X63" s="5"/>
      <c r="Y63" s="5"/>
      <c r="Z63" s="5"/>
    </row>
    <row r="64" ht="12.0" customHeight="1">
      <c r="A64" s="94"/>
      <c r="B64" s="96"/>
      <c r="C64" s="5"/>
      <c r="D64" s="5"/>
      <c r="E64" s="5"/>
      <c r="F64" s="5"/>
      <c r="G64" s="5"/>
      <c r="H64" s="5"/>
      <c r="I64" s="5"/>
      <c r="J64" s="5"/>
      <c r="K64" s="5"/>
      <c r="L64" s="5"/>
      <c r="M64" s="5"/>
      <c r="N64" s="5"/>
      <c r="O64" s="5"/>
      <c r="P64" s="5"/>
      <c r="Q64" s="5"/>
      <c r="R64" s="5"/>
      <c r="S64" s="5"/>
      <c r="T64" s="5"/>
      <c r="U64" s="5"/>
      <c r="V64" s="5"/>
      <c r="W64" s="5"/>
      <c r="X64" s="5"/>
      <c r="Y64" s="5"/>
      <c r="Z64" s="5"/>
    </row>
    <row r="65" ht="12.0" customHeight="1">
      <c r="A65" s="94"/>
      <c r="B65" s="97"/>
      <c r="C65" s="5"/>
      <c r="D65" s="5"/>
      <c r="E65" s="5"/>
      <c r="F65" s="5"/>
      <c r="G65" s="5"/>
      <c r="H65" s="5"/>
      <c r="I65" s="5"/>
      <c r="J65" s="5"/>
      <c r="K65" s="5"/>
      <c r="L65" s="5"/>
      <c r="M65" s="5"/>
      <c r="N65" s="5"/>
      <c r="O65" s="5"/>
      <c r="P65" s="5"/>
      <c r="Q65" s="5"/>
      <c r="R65" s="5"/>
      <c r="S65" s="5"/>
      <c r="T65" s="5"/>
      <c r="U65" s="5"/>
      <c r="V65" s="5"/>
      <c r="W65" s="5"/>
      <c r="X65" s="5"/>
      <c r="Y65" s="5"/>
      <c r="Z65" s="5"/>
    </row>
    <row r="66" ht="12.0"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0" customHeight="1">
      <c r="A67" s="12" t="s">
        <v>260</v>
      </c>
      <c r="B67" s="98">
        <v>0.9</v>
      </c>
      <c r="C67" s="99"/>
      <c r="D67" s="5"/>
      <c r="E67" s="5"/>
      <c r="F67" s="5"/>
      <c r="G67" s="5"/>
      <c r="H67" s="5"/>
      <c r="I67" s="5"/>
      <c r="J67" s="5"/>
      <c r="K67" s="5"/>
      <c r="L67" s="5"/>
      <c r="M67" s="5"/>
      <c r="N67" s="5"/>
      <c r="O67" s="5"/>
      <c r="P67" s="5"/>
      <c r="Q67" s="5"/>
      <c r="R67" s="5"/>
      <c r="S67" s="5"/>
      <c r="T67" s="5"/>
      <c r="U67" s="5"/>
      <c r="V67" s="5"/>
      <c r="W67" s="5"/>
      <c r="X67" s="5"/>
      <c r="Y67" s="5"/>
      <c r="Z67" s="5"/>
    </row>
    <row r="68" ht="12.0" customHeight="1">
      <c r="A68" s="12" t="s">
        <v>261</v>
      </c>
      <c r="B68" s="100">
        <v>5.0</v>
      </c>
      <c r="C68" s="5"/>
      <c r="D68" s="5"/>
      <c r="E68" s="5"/>
      <c r="F68" s="5"/>
      <c r="G68" s="5"/>
      <c r="H68" s="5"/>
      <c r="I68" s="5"/>
      <c r="J68" s="5"/>
      <c r="K68" s="5"/>
      <c r="L68" s="5"/>
      <c r="M68" s="5"/>
      <c r="N68" s="5"/>
      <c r="O68" s="5"/>
      <c r="P68" s="5"/>
      <c r="Q68" s="5"/>
      <c r="R68" s="5"/>
      <c r="S68" s="5"/>
      <c r="T68" s="5"/>
      <c r="U68" s="5"/>
      <c r="V68" s="5"/>
      <c r="W68" s="5"/>
      <c r="X68" s="5"/>
      <c r="Y68" s="5"/>
      <c r="Z68" s="5"/>
    </row>
    <row r="69" ht="30.0" customHeight="1">
      <c r="A69" s="101" t="s">
        <v>263</v>
      </c>
      <c r="B69" s="102" t="s">
        <v>109</v>
      </c>
      <c r="C69" s="29" t="s">
        <v>110</v>
      </c>
      <c r="D69" s="29" t="s">
        <v>111</v>
      </c>
      <c r="E69" s="29" t="s">
        <v>112</v>
      </c>
      <c r="F69" s="29" t="s">
        <v>113</v>
      </c>
      <c r="G69" s="29" t="s">
        <v>114</v>
      </c>
      <c r="H69" s="29" t="s">
        <v>115</v>
      </c>
      <c r="I69" s="29" t="s">
        <v>116</v>
      </c>
      <c r="J69" s="29" t="s">
        <v>117</v>
      </c>
      <c r="K69" s="29" t="s">
        <v>118</v>
      </c>
      <c r="L69" s="29" t="s">
        <v>119</v>
      </c>
      <c r="M69" s="29" t="s">
        <v>120</v>
      </c>
      <c r="N69" s="29" t="s">
        <v>15</v>
      </c>
      <c r="O69" s="5"/>
      <c r="P69" s="5"/>
      <c r="Q69" s="5"/>
      <c r="R69" s="5"/>
      <c r="S69" s="5"/>
      <c r="T69" s="5"/>
      <c r="U69" s="5"/>
      <c r="V69" s="5"/>
      <c r="W69" s="5"/>
      <c r="X69" s="5"/>
      <c r="Y69" s="5"/>
      <c r="Z69" s="5"/>
    </row>
    <row r="70" ht="30.0" customHeight="1">
      <c r="A70" s="104" t="s">
        <v>265</v>
      </c>
      <c r="B70" s="106">
        <f t="shared" ref="B70:M70" si="31">B5</f>
        <v>0.085</v>
      </c>
      <c r="C70" s="106">
        <f t="shared" si="31"/>
        <v>0.075</v>
      </c>
      <c r="D70" s="106">
        <f t="shared" si="31"/>
        <v>0.09</v>
      </c>
      <c r="E70" s="106">
        <f t="shared" si="31"/>
        <v>0.09</v>
      </c>
      <c r="F70" s="106">
        <f t="shared" si="31"/>
        <v>0.09</v>
      </c>
      <c r="G70" s="106">
        <f t="shared" si="31"/>
        <v>0.08</v>
      </c>
      <c r="H70" s="106">
        <f t="shared" si="31"/>
        <v>0.09</v>
      </c>
      <c r="I70" s="106">
        <f t="shared" si="31"/>
        <v>0.09</v>
      </c>
      <c r="J70" s="106">
        <f t="shared" si="31"/>
        <v>0.085</v>
      </c>
      <c r="K70" s="106">
        <f t="shared" si="31"/>
        <v>0.075</v>
      </c>
      <c r="L70" s="106">
        <f t="shared" si="31"/>
        <v>0.07</v>
      </c>
      <c r="M70" s="106">
        <f t="shared" si="31"/>
        <v>0.08</v>
      </c>
      <c r="N70" s="34">
        <f>SUM(B70:M70)</f>
        <v>1</v>
      </c>
      <c r="O70" s="10" t="str">
        <f>IF(ROUND(N70,4)=1,"OK","Tiene que sumar 100 %")</f>
        <v>OK</v>
      </c>
      <c r="P70" s="19" t="s">
        <v>271</v>
      </c>
      <c r="Q70" s="5"/>
      <c r="R70" s="5"/>
      <c r="S70" s="5"/>
      <c r="T70" s="5"/>
      <c r="U70" s="5"/>
      <c r="V70" s="5"/>
      <c r="W70" s="5"/>
      <c r="X70" s="5"/>
      <c r="Y70" s="5"/>
      <c r="Z70" s="5"/>
    </row>
    <row r="71" ht="12.0" customHeight="1">
      <c r="A71" s="109" t="s">
        <v>272</v>
      </c>
      <c r="B71" s="41">
        <v>0.5</v>
      </c>
      <c r="C71" s="19" t="s">
        <v>273</v>
      </c>
      <c r="D71" s="5"/>
      <c r="E71" s="5"/>
      <c r="F71" s="5"/>
      <c r="G71" s="5"/>
      <c r="H71" s="5"/>
      <c r="I71" s="5"/>
      <c r="J71" s="5"/>
      <c r="K71" s="5"/>
      <c r="L71" s="5"/>
      <c r="M71" s="5"/>
      <c r="N71" s="5"/>
      <c r="O71" s="5"/>
      <c r="P71" s="5"/>
      <c r="Q71" s="5"/>
      <c r="R71" s="5"/>
      <c r="S71" s="5"/>
      <c r="T71" s="5"/>
      <c r="U71" s="5"/>
      <c r="V71" s="5"/>
      <c r="W71" s="5"/>
      <c r="X71" s="5"/>
      <c r="Y71" s="5"/>
      <c r="Z71" s="5"/>
    </row>
    <row r="72" ht="12.0" customHeight="1">
      <c r="A72" s="10" t="s">
        <v>274</v>
      </c>
      <c r="B72" s="110">
        <v>3.0</v>
      </c>
      <c r="C72" s="19"/>
      <c r="D72" s="5"/>
      <c r="E72" s="5"/>
      <c r="F72" s="5"/>
      <c r="G72" s="5"/>
      <c r="H72" s="5"/>
      <c r="I72" s="5"/>
      <c r="J72" s="5"/>
      <c r="K72" s="5"/>
      <c r="L72" s="5"/>
      <c r="M72" s="5"/>
      <c r="N72" s="5"/>
      <c r="O72" s="5"/>
      <c r="P72" s="5"/>
      <c r="Q72" s="5"/>
      <c r="R72" s="5"/>
      <c r="S72" s="5"/>
      <c r="T72" s="5"/>
      <c r="U72" s="5"/>
      <c r="V72" s="5"/>
      <c r="W72" s="5"/>
      <c r="X72" s="5"/>
      <c r="Y72" s="5"/>
      <c r="Z72" s="5"/>
    </row>
    <row r="73" ht="12.0" customHeight="1">
      <c r="A73" s="109" t="s">
        <v>276</v>
      </c>
      <c r="B73" s="31">
        <v>2.0</v>
      </c>
      <c r="C73" s="19" t="s">
        <v>277</v>
      </c>
      <c r="D73" s="5"/>
      <c r="E73" s="5"/>
      <c r="F73" s="5"/>
      <c r="G73" s="5"/>
      <c r="H73" s="5"/>
      <c r="I73" s="5"/>
      <c r="J73" s="5"/>
      <c r="K73" s="5"/>
      <c r="L73" s="5"/>
      <c r="M73" s="5"/>
      <c r="N73" s="5"/>
      <c r="O73" s="5"/>
      <c r="P73" s="5"/>
      <c r="Q73" s="5"/>
      <c r="R73" s="5"/>
      <c r="S73" s="5"/>
      <c r="T73" s="5"/>
      <c r="U73" s="5"/>
      <c r="V73" s="5"/>
      <c r="W73" s="5"/>
      <c r="X73" s="5"/>
      <c r="Y73" s="5"/>
      <c r="Z73" s="5"/>
    </row>
    <row r="74" ht="12.0" customHeight="1">
      <c r="A74" s="111" t="s">
        <v>278</v>
      </c>
      <c r="B74" s="111"/>
      <c r="C74" s="111"/>
      <c r="D74" s="111"/>
      <c r="E74" s="5"/>
      <c r="F74" s="5"/>
      <c r="G74" s="5"/>
      <c r="H74" s="5"/>
      <c r="I74" s="5"/>
      <c r="J74" s="5"/>
      <c r="K74" s="5"/>
      <c r="L74" s="5"/>
      <c r="M74" s="5"/>
      <c r="N74" s="5"/>
      <c r="O74" s="5"/>
      <c r="P74" s="5"/>
      <c r="Q74" s="5"/>
      <c r="R74" s="5"/>
      <c r="S74" s="5"/>
      <c r="T74" s="5"/>
      <c r="U74" s="5"/>
      <c r="V74" s="5"/>
      <c r="W74" s="5"/>
      <c r="X74" s="5"/>
      <c r="Y74" s="5"/>
      <c r="Z74" s="5"/>
    </row>
    <row r="75" ht="12.0" customHeight="1">
      <c r="A75" s="5" t="s">
        <v>279</v>
      </c>
      <c r="B75" s="5"/>
      <c r="C75" s="5"/>
      <c r="D75" s="5"/>
      <c r="E75" s="5"/>
      <c r="F75" s="5"/>
      <c r="G75" s="5"/>
      <c r="H75" s="5"/>
      <c r="I75" s="5"/>
      <c r="J75" s="5"/>
      <c r="K75" s="5"/>
      <c r="L75" s="5"/>
      <c r="M75" s="5"/>
      <c r="N75" s="5"/>
      <c r="O75" s="5"/>
      <c r="P75" s="5"/>
      <c r="Q75" s="5"/>
      <c r="R75" s="5"/>
      <c r="S75" s="5"/>
      <c r="T75" s="5"/>
      <c r="U75" s="5"/>
      <c r="V75" s="5"/>
      <c r="W75" s="5"/>
      <c r="X75" s="5"/>
      <c r="Y75" s="5"/>
      <c r="Z75" s="5"/>
    </row>
    <row r="76" ht="12.0" customHeight="1">
      <c r="A76" s="1" t="s">
        <v>131</v>
      </c>
      <c r="B76" s="47"/>
      <c r="C76" s="47"/>
      <c r="D76" s="47"/>
      <c r="E76" s="47"/>
      <c r="F76" s="47"/>
      <c r="G76" s="47"/>
      <c r="H76" s="47"/>
      <c r="I76" s="47"/>
      <c r="J76" s="47"/>
      <c r="K76" s="47"/>
      <c r="L76" s="47"/>
      <c r="M76" s="47"/>
      <c r="N76" s="47"/>
      <c r="O76" s="47"/>
      <c r="P76" s="48"/>
      <c r="Q76" s="5"/>
      <c r="R76" s="5"/>
      <c r="S76" s="5"/>
      <c r="T76" s="5"/>
      <c r="U76" s="5"/>
      <c r="V76" s="5"/>
      <c r="W76" s="5"/>
      <c r="X76" s="5"/>
      <c r="Y76" s="5"/>
      <c r="Z76" s="5"/>
    </row>
    <row r="77" ht="12.0" customHeight="1">
      <c r="A77" s="49" t="s">
        <v>132</v>
      </c>
      <c r="B77" s="50">
        <v>20.0</v>
      </c>
      <c r="C77" s="51" t="s">
        <v>133</v>
      </c>
      <c r="D77" s="50">
        <v>8.0</v>
      </c>
      <c r="E77" s="49" t="s">
        <v>281</v>
      </c>
      <c r="F77" s="52">
        <f>B77*D77</f>
        <v>160</v>
      </c>
      <c r="G77" s="5"/>
      <c r="H77" s="12"/>
      <c r="I77" s="5"/>
      <c r="J77" s="5"/>
      <c r="K77" s="5"/>
      <c r="L77" s="5"/>
      <c r="M77" s="5"/>
      <c r="N77" s="5"/>
      <c r="O77" s="5"/>
      <c r="P77" s="5"/>
      <c r="Q77" s="5"/>
      <c r="R77" s="5"/>
      <c r="S77" s="5"/>
      <c r="T77" s="5"/>
      <c r="U77" s="5"/>
      <c r="V77" s="5"/>
      <c r="W77" s="5"/>
      <c r="X77" s="5"/>
      <c r="Y77" s="5"/>
      <c r="Z77" s="5"/>
    </row>
    <row r="78" ht="12.0" customHeight="1">
      <c r="A78" s="55" t="s">
        <v>22</v>
      </c>
      <c r="B78" s="55" t="s">
        <v>137</v>
      </c>
      <c r="C78" s="55" t="s">
        <v>138</v>
      </c>
      <c r="D78" s="55" t="s">
        <v>139</v>
      </c>
      <c r="E78" s="55" t="s">
        <v>140</v>
      </c>
      <c r="F78" s="55" t="s">
        <v>141</v>
      </c>
      <c r="G78" s="55" t="s">
        <v>142</v>
      </c>
      <c r="H78" s="55" t="s">
        <v>143</v>
      </c>
      <c r="I78" s="55" t="s">
        <v>144</v>
      </c>
      <c r="J78" s="55" t="s">
        <v>145</v>
      </c>
      <c r="K78" s="55" t="s">
        <v>146</v>
      </c>
      <c r="L78" s="55" t="s">
        <v>147</v>
      </c>
      <c r="M78" s="55" t="s">
        <v>148</v>
      </c>
      <c r="N78" s="55" t="s">
        <v>149</v>
      </c>
      <c r="O78" s="55" t="s">
        <v>150</v>
      </c>
      <c r="P78" s="55" t="s">
        <v>151</v>
      </c>
      <c r="Q78" s="55" t="s">
        <v>152</v>
      </c>
      <c r="R78" s="55" t="s">
        <v>153</v>
      </c>
      <c r="S78" s="55" t="s">
        <v>154</v>
      </c>
      <c r="T78" s="5"/>
      <c r="U78" s="5"/>
      <c r="V78" s="5"/>
      <c r="W78" s="5"/>
      <c r="X78" s="5"/>
      <c r="Y78" s="5"/>
      <c r="Z78" s="5"/>
    </row>
    <row r="79" ht="12.0" customHeight="1">
      <c r="A79" s="112" t="s">
        <v>85</v>
      </c>
      <c r="B79" s="12"/>
      <c r="C79" s="12" t="s">
        <v>283</v>
      </c>
      <c r="D79" s="12"/>
      <c r="E79" s="12"/>
      <c r="F79" s="12"/>
      <c r="G79" s="113">
        <v>240.0</v>
      </c>
      <c r="H79" s="114">
        <f>60*10/26</f>
        <v>23.07692308</v>
      </c>
      <c r="I79" s="113">
        <v>5.0</v>
      </c>
      <c r="J79" s="62">
        <v>0.9</v>
      </c>
      <c r="K79" s="63">
        <f t="shared" ref="K79:K90" si="32">I79+H79+3600/G79</f>
        <v>43.07692308</v>
      </c>
      <c r="L79" s="63">
        <f t="shared" ref="L79:L90" si="33">K79/J79</f>
        <v>47.86324786</v>
      </c>
      <c r="M79" s="63">
        <f t="shared" ref="M79:M90" si="34">3600/L79*S79</f>
        <v>75.21428571</v>
      </c>
      <c r="N79" s="64">
        <f t="shared" ref="N79:N90" si="35">$F$37*M79</f>
        <v>11282.14286</v>
      </c>
      <c r="O79" s="63" t="s">
        <v>287</v>
      </c>
      <c r="P79" s="59">
        <v>0.0</v>
      </c>
      <c r="Q79" s="59">
        <v>16.0</v>
      </c>
      <c r="R79" s="63">
        <f t="shared" ref="R79:R90" si="36">P79*Q79/60</f>
        <v>0</v>
      </c>
      <c r="S79" s="66">
        <f t="shared" ref="S79:S90" si="37">MAX(0,1-R79/$F$37)</f>
        <v>1</v>
      </c>
      <c r="T79" s="5"/>
      <c r="U79" s="5"/>
      <c r="V79" s="5"/>
      <c r="W79" s="5"/>
      <c r="X79" s="5"/>
      <c r="Y79" s="5"/>
      <c r="Z79" s="5"/>
    </row>
    <row r="80" ht="12.0" customHeight="1">
      <c r="A80" s="112" t="s">
        <v>163</v>
      </c>
      <c r="B80" s="12"/>
      <c r="C80" s="12" t="s">
        <v>289</v>
      </c>
      <c r="D80" s="12"/>
      <c r="E80" s="12"/>
      <c r="F80" s="12"/>
      <c r="G80" s="113">
        <v>220.0</v>
      </c>
      <c r="H80" s="113">
        <v>10.0</v>
      </c>
      <c r="I80" s="113">
        <v>5.0</v>
      </c>
      <c r="J80" s="62">
        <v>0.8</v>
      </c>
      <c r="K80" s="63">
        <f t="shared" si="32"/>
        <v>31.36363636</v>
      </c>
      <c r="L80" s="63">
        <f t="shared" si="33"/>
        <v>39.20454545</v>
      </c>
      <c r="M80" s="63">
        <f t="shared" si="34"/>
        <v>90.19362319</v>
      </c>
      <c r="N80" s="64">
        <f t="shared" si="35"/>
        <v>13529.04348</v>
      </c>
      <c r="O80" s="63" t="s">
        <v>167</v>
      </c>
      <c r="P80" s="59">
        <v>10.0</v>
      </c>
      <c r="Q80" s="59">
        <v>16.0</v>
      </c>
      <c r="R80" s="63">
        <f t="shared" si="36"/>
        <v>2.666666667</v>
      </c>
      <c r="S80" s="66">
        <f t="shared" si="37"/>
        <v>0.9822222222</v>
      </c>
      <c r="T80" s="5"/>
      <c r="U80" s="5"/>
      <c r="V80" s="5"/>
      <c r="W80" s="5"/>
      <c r="X80" s="5"/>
      <c r="Y80" s="5"/>
      <c r="Z80" s="5"/>
    </row>
    <row r="81" ht="12.0" customHeight="1">
      <c r="A81" s="112" t="s">
        <v>290</v>
      </c>
      <c r="B81" s="12"/>
      <c r="C81" s="12" t="s">
        <v>291</v>
      </c>
      <c r="D81" s="12"/>
      <c r="E81" s="12"/>
      <c r="F81" s="12"/>
      <c r="G81" s="113">
        <v>40.0</v>
      </c>
      <c r="H81" s="113">
        <v>30.0</v>
      </c>
      <c r="I81" s="113">
        <v>5.0</v>
      </c>
      <c r="J81" s="62">
        <v>0.8</v>
      </c>
      <c r="K81" s="63">
        <f t="shared" si="32"/>
        <v>125</v>
      </c>
      <c r="L81" s="63">
        <f t="shared" si="33"/>
        <v>156.25</v>
      </c>
      <c r="M81" s="63">
        <f t="shared" si="34"/>
        <v>22.6304</v>
      </c>
      <c r="N81" s="64">
        <f t="shared" si="35"/>
        <v>3394.56</v>
      </c>
      <c r="O81" s="63" t="s">
        <v>167</v>
      </c>
      <c r="P81" s="59">
        <v>10.0</v>
      </c>
      <c r="Q81" s="59">
        <v>16.0</v>
      </c>
      <c r="R81" s="63">
        <f t="shared" si="36"/>
        <v>2.666666667</v>
      </c>
      <c r="S81" s="66">
        <f t="shared" si="37"/>
        <v>0.9822222222</v>
      </c>
      <c r="T81" s="5"/>
      <c r="U81" s="5"/>
      <c r="V81" s="5"/>
      <c r="W81" s="5"/>
      <c r="X81" s="5"/>
      <c r="Y81" s="5"/>
      <c r="Z81" s="5"/>
    </row>
    <row r="82" ht="12.0" customHeight="1">
      <c r="A82" s="112" t="s">
        <v>290</v>
      </c>
      <c r="B82" s="12"/>
      <c r="C82" s="12" t="s">
        <v>292</v>
      </c>
      <c r="D82" s="12"/>
      <c r="E82" s="12"/>
      <c r="F82" s="12"/>
      <c r="G82" s="113">
        <v>120.0</v>
      </c>
      <c r="H82" s="113">
        <v>15.0</v>
      </c>
      <c r="I82" s="113">
        <v>5.0</v>
      </c>
      <c r="J82" s="62">
        <v>0.9</v>
      </c>
      <c r="K82" s="63">
        <f t="shared" si="32"/>
        <v>50</v>
      </c>
      <c r="L82" s="63">
        <f t="shared" si="33"/>
        <v>55.55555556</v>
      </c>
      <c r="M82" s="63">
        <f t="shared" si="34"/>
        <v>63.648</v>
      </c>
      <c r="N82" s="64">
        <f t="shared" si="35"/>
        <v>9547.2</v>
      </c>
      <c r="O82" s="63" t="s">
        <v>167</v>
      </c>
      <c r="P82" s="59">
        <v>10.0</v>
      </c>
      <c r="Q82" s="59">
        <v>16.0</v>
      </c>
      <c r="R82" s="63">
        <f t="shared" si="36"/>
        <v>2.666666667</v>
      </c>
      <c r="S82" s="66">
        <f t="shared" si="37"/>
        <v>0.9822222222</v>
      </c>
      <c r="T82" s="5"/>
      <c r="U82" s="5"/>
      <c r="V82" s="5"/>
      <c r="W82" s="5"/>
      <c r="X82" s="5"/>
      <c r="Y82" s="5"/>
      <c r="Z82" s="5"/>
    </row>
    <row r="83" ht="12.0" customHeight="1">
      <c r="A83" s="112" t="s">
        <v>294</v>
      </c>
      <c r="B83" s="12"/>
      <c r="C83" s="12" t="s">
        <v>295</v>
      </c>
      <c r="D83" s="12"/>
      <c r="E83" s="12"/>
      <c r="F83" s="12"/>
      <c r="G83" s="113">
        <v>180.0</v>
      </c>
      <c r="H83" s="113">
        <v>10.0</v>
      </c>
      <c r="I83" s="113">
        <v>5.0</v>
      </c>
      <c r="J83" s="62">
        <v>0.85</v>
      </c>
      <c r="K83" s="63">
        <f t="shared" si="32"/>
        <v>35</v>
      </c>
      <c r="L83" s="63">
        <f t="shared" si="33"/>
        <v>41.17647059</v>
      </c>
      <c r="M83" s="63">
        <f t="shared" si="34"/>
        <v>86.65142857</v>
      </c>
      <c r="N83" s="64">
        <f t="shared" si="35"/>
        <v>12997.71429</v>
      </c>
      <c r="O83" s="63" t="s">
        <v>167</v>
      </c>
      <c r="P83" s="59">
        <v>5.0</v>
      </c>
      <c r="Q83" s="59">
        <v>16.0</v>
      </c>
      <c r="R83" s="63">
        <f t="shared" si="36"/>
        <v>1.333333333</v>
      </c>
      <c r="S83" s="66">
        <f t="shared" si="37"/>
        <v>0.9911111111</v>
      </c>
      <c r="T83" s="5"/>
      <c r="U83" s="5"/>
      <c r="V83" s="5"/>
      <c r="W83" s="5"/>
      <c r="X83" s="5"/>
      <c r="Y83" s="5"/>
      <c r="Z83" s="5"/>
    </row>
    <row r="84" ht="12.0" customHeight="1">
      <c r="A84" s="112" t="s">
        <v>296</v>
      </c>
      <c r="B84" s="12"/>
      <c r="C84" s="12" t="s">
        <v>297</v>
      </c>
      <c r="D84" s="12"/>
      <c r="E84" s="12"/>
      <c r="F84" s="12"/>
      <c r="G84" s="113">
        <v>24.0</v>
      </c>
      <c r="H84" s="113">
        <v>10.0</v>
      </c>
      <c r="I84" s="113">
        <v>5.0</v>
      </c>
      <c r="J84" s="62">
        <v>0.8</v>
      </c>
      <c r="K84" s="63">
        <f t="shared" si="32"/>
        <v>165</v>
      </c>
      <c r="L84" s="63">
        <f t="shared" si="33"/>
        <v>206.25</v>
      </c>
      <c r="M84" s="63">
        <f t="shared" si="34"/>
        <v>17.45454545</v>
      </c>
      <c r="N84" s="64">
        <f t="shared" si="35"/>
        <v>2618.181818</v>
      </c>
      <c r="O84" s="63" t="s">
        <v>167</v>
      </c>
      <c r="P84" s="59">
        <v>0.0</v>
      </c>
      <c r="Q84" s="59">
        <v>16.0</v>
      </c>
      <c r="R84" s="63">
        <f t="shared" si="36"/>
        <v>0</v>
      </c>
      <c r="S84" s="66">
        <f t="shared" si="37"/>
        <v>1</v>
      </c>
      <c r="T84" s="5"/>
      <c r="U84" s="5"/>
      <c r="V84" s="5"/>
      <c r="W84" s="5"/>
      <c r="X84" s="5"/>
      <c r="Y84" s="5"/>
      <c r="Z84" s="5"/>
    </row>
    <row r="85" ht="12.0" customHeight="1">
      <c r="A85" s="112" t="s">
        <v>299</v>
      </c>
      <c r="B85" s="12"/>
      <c r="C85" s="12" t="s">
        <v>300</v>
      </c>
      <c r="D85" s="12"/>
      <c r="E85" s="12"/>
      <c r="F85" s="12"/>
      <c r="G85" s="113">
        <v>80.0</v>
      </c>
      <c r="H85" s="113">
        <v>30.0</v>
      </c>
      <c r="I85" s="113">
        <v>5.0</v>
      </c>
      <c r="J85" s="62">
        <v>0.8</v>
      </c>
      <c r="K85" s="63">
        <f t="shared" si="32"/>
        <v>80</v>
      </c>
      <c r="L85" s="63">
        <f t="shared" si="33"/>
        <v>100</v>
      </c>
      <c r="M85" s="63">
        <f t="shared" si="34"/>
        <v>35.36</v>
      </c>
      <c r="N85" s="64">
        <f t="shared" si="35"/>
        <v>5304</v>
      </c>
      <c r="O85" s="63" t="s">
        <v>301</v>
      </c>
      <c r="P85" s="59">
        <v>10.0</v>
      </c>
      <c r="Q85" s="59">
        <v>16.0</v>
      </c>
      <c r="R85" s="63">
        <f t="shared" si="36"/>
        <v>2.666666667</v>
      </c>
      <c r="S85" s="66">
        <f t="shared" si="37"/>
        <v>0.9822222222</v>
      </c>
      <c r="T85" s="5"/>
      <c r="U85" s="5"/>
      <c r="V85" s="5"/>
      <c r="W85" s="5"/>
      <c r="X85" s="5"/>
      <c r="Y85" s="5"/>
      <c r="Z85" s="5"/>
    </row>
    <row r="86" ht="12.0" customHeight="1">
      <c r="A86" s="112" t="s">
        <v>299</v>
      </c>
      <c r="B86" s="12"/>
      <c r="C86" s="12" t="s">
        <v>303</v>
      </c>
      <c r="D86" s="12"/>
      <c r="E86" s="12"/>
      <c r="F86" s="12"/>
      <c r="G86" s="113">
        <v>102.9</v>
      </c>
      <c r="H86" s="113">
        <v>30.0</v>
      </c>
      <c r="I86" s="113">
        <v>5.0</v>
      </c>
      <c r="J86" s="62">
        <v>0.8</v>
      </c>
      <c r="K86" s="63">
        <f t="shared" si="32"/>
        <v>69.98542274</v>
      </c>
      <c r="L86" s="63">
        <f t="shared" si="33"/>
        <v>87.48177843</v>
      </c>
      <c r="M86" s="63">
        <f t="shared" si="34"/>
        <v>40.41984587</v>
      </c>
      <c r="N86" s="64">
        <f t="shared" si="35"/>
        <v>6062.97688</v>
      </c>
      <c r="O86" s="63" t="s">
        <v>301</v>
      </c>
      <c r="P86" s="59">
        <v>10.0</v>
      </c>
      <c r="Q86" s="59">
        <v>16.0</v>
      </c>
      <c r="R86" s="63">
        <f t="shared" si="36"/>
        <v>2.666666667</v>
      </c>
      <c r="S86" s="66">
        <f t="shared" si="37"/>
        <v>0.9822222222</v>
      </c>
      <c r="T86" s="5"/>
      <c r="U86" s="5"/>
      <c r="V86" s="5"/>
      <c r="W86" s="5"/>
      <c r="X86" s="5"/>
      <c r="Y86" s="5"/>
      <c r="Z86" s="5"/>
    </row>
    <row r="87" ht="12.0" customHeight="1">
      <c r="A87" s="112" t="s">
        <v>299</v>
      </c>
      <c r="B87" s="12"/>
      <c r="C87" s="12" t="s">
        <v>292</v>
      </c>
      <c r="D87" s="12"/>
      <c r="E87" s="12"/>
      <c r="F87" s="12"/>
      <c r="G87" s="113">
        <v>240.0</v>
      </c>
      <c r="H87" s="113">
        <v>30.0</v>
      </c>
      <c r="I87" s="113">
        <v>5.0</v>
      </c>
      <c r="J87" s="62">
        <v>0.8</v>
      </c>
      <c r="K87" s="63">
        <f t="shared" si="32"/>
        <v>50</v>
      </c>
      <c r="L87" s="63">
        <f t="shared" si="33"/>
        <v>62.5</v>
      </c>
      <c r="M87" s="63">
        <f t="shared" si="34"/>
        <v>56.576</v>
      </c>
      <c r="N87" s="64">
        <f t="shared" si="35"/>
        <v>8486.4</v>
      </c>
      <c r="O87" s="63" t="s">
        <v>301</v>
      </c>
      <c r="P87" s="59">
        <v>10.0</v>
      </c>
      <c r="Q87" s="59">
        <v>16.0</v>
      </c>
      <c r="R87" s="63">
        <f t="shared" si="36"/>
        <v>2.666666667</v>
      </c>
      <c r="S87" s="66">
        <f t="shared" si="37"/>
        <v>0.9822222222</v>
      </c>
      <c r="T87" s="5"/>
      <c r="U87" s="5"/>
      <c r="V87" s="5"/>
      <c r="W87" s="5"/>
      <c r="X87" s="5"/>
      <c r="Y87" s="5"/>
      <c r="Z87" s="5"/>
    </row>
    <row r="88" ht="12.0" customHeight="1">
      <c r="A88" s="112" t="s">
        <v>76</v>
      </c>
      <c r="B88" s="12"/>
      <c r="C88" s="12" t="s">
        <v>306</v>
      </c>
      <c r="D88" s="12"/>
      <c r="E88" s="12"/>
      <c r="F88" s="12"/>
      <c r="G88" s="113">
        <v>35.0</v>
      </c>
      <c r="H88" s="113">
        <v>10.0</v>
      </c>
      <c r="I88" s="113">
        <v>10.0</v>
      </c>
      <c r="J88" s="62">
        <v>0.7</v>
      </c>
      <c r="K88" s="63">
        <f t="shared" si="32"/>
        <v>122.8571429</v>
      </c>
      <c r="L88" s="63">
        <f t="shared" si="33"/>
        <v>175.5102041</v>
      </c>
      <c r="M88" s="63">
        <f t="shared" si="34"/>
        <v>20.51162791</v>
      </c>
      <c r="N88" s="64">
        <f t="shared" si="35"/>
        <v>3076.744186</v>
      </c>
      <c r="O88" s="63" t="s">
        <v>167</v>
      </c>
      <c r="P88" s="59">
        <v>0.0</v>
      </c>
      <c r="Q88" s="59">
        <v>16.0</v>
      </c>
      <c r="R88" s="63">
        <f t="shared" si="36"/>
        <v>0</v>
      </c>
      <c r="S88" s="66">
        <f t="shared" si="37"/>
        <v>1</v>
      </c>
      <c r="T88" s="5"/>
      <c r="U88" s="5"/>
      <c r="V88" s="5"/>
      <c r="W88" s="5"/>
      <c r="X88" s="5"/>
      <c r="Y88" s="5"/>
      <c r="Z88" s="5"/>
    </row>
    <row r="89" ht="12.0" customHeight="1">
      <c r="A89" s="12" t="s">
        <v>307</v>
      </c>
      <c r="B89" s="12"/>
      <c r="C89" s="12" t="s">
        <v>308</v>
      </c>
      <c r="D89" s="12"/>
      <c r="E89" s="12"/>
      <c r="F89" s="12"/>
      <c r="G89" s="113">
        <v>200.0</v>
      </c>
      <c r="H89" s="113">
        <v>10.0</v>
      </c>
      <c r="I89" s="113">
        <v>15.0</v>
      </c>
      <c r="J89" s="62">
        <v>0.85</v>
      </c>
      <c r="K89" s="63">
        <f t="shared" si="32"/>
        <v>43</v>
      </c>
      <c r="L89" s="63">
        <f t="shared" si="33"/>
        <v>50.58823529</v>
      </c>
      <c r="M89" s="63">
        <f t="shared" si="34"/>
        <v>71.1627907</v>
      </c>
      <c r="N89" s="64">
        <f t="shared" si="35"/>
        <v>10674.4186</v>
      </c>
      <c r="O89" s="63" t="s">
        <v>167</v>
      </c>
      <c r="P89" s="59">
        <v>0.0</v>
      </c>
      <c r="Q89" s="59">
        <v>16.0</v>
      </c>
      <c r="R89" s="63">
        <f t="shared" si="36"/>
        <v>0</v>
      </c>
      <c r="S89" s="66">
        <f t="shared" si="37"/>
        <v>1</v>
      </c>
      <c r="T89" s="5"/>
      <c r="U89" s="116" t="s">
        <v>310</v>
      </c>
      <c r="V89" s="5"/>
      <c r="W89" s="5"/>
      <c r="X89" s="5"/>
      <c r="Y89" s="5"/>
      <c r="Z89" s="5"/>
    </row>
    <row r="90" ht="45.0" customHeight="1">
      <c r="A90" s="117" t="s">
        <v>311</v>
      </c>
      <c r="B90" s="70" t="s">
        <v>313</v>
      </c>
      <c r="C90" s="118" t="s">
        <v>314</v>
      </c>
      <c r="D90" s="12"/>
      <c r="E90" s="12"/>
      <c r="F90" s="12"/>
      <c r="G90" s="118">
        <f>60*10/U90</f>
        <v>487.804878</v>
      </c>
      <c r="H90" s="119">
        <v>10.0</v>
      </c>
      <c r="I90" s="119">
        <v>7.0</v>
      </c>
      <c r="J90" s="62">
        <v>0.85</v>
      </c>
      <c r="K90" s="63">
        <f t="shared" si="32"/>
        <v>24.38</v>
      </c>
      <c r="L90" s="63">
        <f t="shared" si="33"/>
        <v>28.68235294</v>
      </c>
      <c r="M90" s="63">
        <f t="shared" si="34"/>
        <v>124.3970468</v>
      </c>
      <c r="N90" s="64">
        <f t="shared" si="35"/>
        <v>18659.55701</v>
      </c>
      <c r="O90" s="63" t="s">
        <v>315</v>
      </c>
      <c r="P90" s="59">
        <v>5.0</v>
      </c>
      <c r="Q90" s="59">
        <v>16.0</v>
      </c>
      <c r="R90" s="63">
        <f t="shared" si="36"/>
        <v>1.333333333</v>
      </c>
      <c r="S90" s="66">
        <f t="shared" si="37"/>
        <v>0.9911111111</v>
      </c>
      <c r="T90" s="120" t="s">
        <v>318</v>
      </c>
      <c r="U90" s="121">
        <v>1.23</v>
      </c>
      <c r="V90" s="19" t="s">
        <v>320</v>
      </c>
      <c r="W90" s="5"/>
      <c r="X90" s="5"/>
      <c r="Y90" s="5"/>
      <c r="Z90" s="5"/>
    </row>
    <row r="91" ht="12.0" customHeight="1">
      <c r="A91" s="12"/>
      <c r="B91" s="12"/>
      <c r="C91" s="12"/>
      <c r="D91" s="12"/>
      <c r="E91" s="12"/>
      <c r="F91" s="12"/>
      <c r="G91" s="12"/>
      <c r="H91" s="12"/>
      <c r="I91" s="12"/>
      <c r="J91" s="87"/>
      <c r="K91" s="63"/>
      <c r="L91" s="63"/>
      <c r="M91" s="63"/>
      <c r="N91" s="64"/>
      <c r="O91" s="63"/>
      <c r="P91" s="63"/>
      <c r="Q91" s="63"/>
      <c r="R91" s="63"/>
      <c r="S91" s="66"/>
      <c r="T91" s="5"/>
      <c r="U91" s="5"/>
      <c r="V91" s="5"/>
      <c r="W91" s="5"/>
      <c r="X91" s="5"/>
      <c r="Y91" s="5"/>
      <c r="Z91" s="5"/>
    </row>
    <row r="92" ht="12.0" customHeight="1">
      <c r="A92" s="12"/>
      <c r="B92" s="12"/>
      <c r="C92" s="12"/>
      <c r="D92" s="12"/>
      <c r="E92" s="12"/>
      <c r="F92" s="12"/>
      <c r="G92" s="12"/>
      <c r="H92" s="12"/>
      <c r="I92" s="12"/>
      <c r="J92" s="87"/>
      <c r="K92" s="63"/>
      <c r="L92" s="63"/>
      <c r="M92" s="63"/>
      <c r="N92" s="64"/>
      <c r="O92" s="63"/>
      <c r="P92" s="63"/>
      <c r="Q92" s="63"/>
      <c r="R92" s="63"/>
      <c r="S92" s="66"/>
      <c r="T92" s="5"/>
      <c r="U92" s="5"/>
      <c r="V92" s="5"/>
      <c r="W92" s="5"/>
      <c r="X92" s="5"/>
      <c r="Y92" s="5"/>
      <c r="Z92" s="5"/>
    </row>
    <row r="93" ht="12.0" customHeight="1">
      <c r="A93" s="12"/>
      <c r="B93" s="12"/>
      <c r="C93" s="12"/>
      <c r="D93" s="12"/>
      <c r="E93" s="12"/>
      <c r="F93" s="12"/>
      <c r="G93" s="12"/>
      <c r="H93" s="12"/>
      <c r="I93" s="12"/>
      <c r="J93" s="87"/>
      <c r="K93" s="63"/>
      <c r="L93" s="63"/>
      <c r="M93" s="63"/>
      <c r="N93" s="64"/>
      <c r="O93" s="63"/>
      <c r="P93" s="63"/>
      <c r="Q93" s="63"/>
      <c r="R93" s="63"/>
      <c r="S93" s="66"/>
      <c r="T93" s="5"/>
      <c r="U93" s="5"/>
      <c r="V93" s="5"/>
      <c r="W93" s="5"/>
      <c r="X93" s="5"/>
      <c r="Y93" s="5"/>
      <c r="Z93" s="5"/>
    </row>
    <row r="94" ht="12.0"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0"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0" customHeight="1">
      <c r="A96" s="55" t="s">
        <v>22</v>
      </c>
      <c r="B96" s="55" t="s">
        <v>137</v>
      </c>
      <c r="C96" s="55" t="s">
        <v>138</v>
      </c>
      <c r="D96" s="55" t="s">
        <v>139</v>
      </c>
      <c r="E96" s="55" t="s">
        <v>140</v>
      </c>
      <c r="F96" s="55" t="s">
        <v>141</v>
      </c>
      <c r="G96" s="55" t="s">
        <v>142</v>
      </c>
      <c r="H96" s="55" t="s">
        <v>143</v>
      </c>
      <c r="I96" s="55" t="s">
        <v>144</v>
      </c>
      <c r="J96" s="55" t="s">
        <v>145</v>
      </c>
      <c r="K96" s="55" t="s">
        <v>146</v>
      </c>
      <c r="L96" s="55" t="s">
        <v>147</v>
      </c>
      <c r="M96" s="55" t="s">
        <v>148</v>
      </c>
      <c r="N96" s="55" t="s">
        <v>149</v>
      </c>
      <c r="O96" s="55" t="s">
        <v>150</v>
      </c>
      <c r="P96" s="55" t="s">
        <v>151</v>
      </c>
      <c r="Q96" s="55" t="s">
        <v>152</v>
      </c>
      <c r="R96" s="55" t="s">
        <v>153</v>
      </c>
      <c r="S96" s="55" t="s">
        <v>154</v>
      </c>
      <c r="T96" s="5"/>
      <c r="U96" s="5"/>
      <c r="V96" s="5"/>
      <c r="W96" s="5"/>
      <c r="X96" s="5"/>
      <c r="Y96" s="5"/>
      <c r="Z96" s="5"/>
    </row>
    <row r="97" ht="12.0" customHeight="1">
      <c r="A97" s="122" t="s">
        <v>322</v>
      </c>
      <c r="B97" s="5"/>
      <c r="C97" s="5" t="s">
        <v>56</v>
      </c>
      <c r="D97" s="5"/>
      <c r="E97" s="5"/>
      <c r="F97" s="5"/>
      <c r="G97" s="5"/>
      <c r="H97" s="5"/>
      <c r="I97" s="5"/>
      <c r="J97" s="5"/>
      <c r="K97" s="5"/>
      <c r="L97" s="5"/>
      <c r="M97" s="5"/>
      <c r="N97" s="5"/>
      <c r="O97" s="5"/>
      <c r="P97" s="5"/>
      <c r="Q97" s="5"/>
      <c r="R97" s="5"/>
      <c r="S97" s="5"/>
      <c r="T97" s="5"/>
      <c r="U97" s="5"/>
      <c r="V97" s="5"/>
      <c r="W97" s="5"/>
      <c r="X97" s="5"/>
      <c r="Y97" s="5"/>
      <c r="Z97" s="5"/>
    </row>
    <row r="98" ht="12.0" customHeight="1">
      <c r="A98" s="123" t="s">
        <v>323</v>
      </c>
      <c r="B98" s="5"/>
      <c r="C98" s="5" t="s">
        <v>56</v>
      </c>
      <c r="D98" s="5"/>
      <c r="E98" s="5"/>
      <c r="F98" s="5"/>
      <c r="G98" s="5"/>
      <c r="H98" s="5"/>
      <c r="I98" s="5"/>
      <c r="J98" s="5"/>
      <c r="K98" s="5"/>
      <c r="L98" s="5"/>
      <c r="M98" s="5"/>
      <c r="N98" s="5"/>
      <c r="O98" s="5"/>
      <c r="P98" s="5"/>
      <c r="Q98" s="5"/>
      <c r="R98" s="5"/>
      <c r="S98" s="5"/>
      <c r="T98" s="5"/>
      <c r="U98" s="5"/>
      <c r="V98" s="5"/>
      <c r="W98" s="5"/>
      <c r="X98" s="5"/>
      <c r="Y98" s="5"/>
      <c r="Z98" s="5"/>
    </row>
    <row r="99" ht="12.0" customHeight="1">
      <c r="A99" s="123" t="s">
        <v>324</v>
      </c>
      <c r="B99" s="5"/>
      <c r="C99" s="5"/>
      <c r="D99" s="5"/>
      <c r="E99" s="5"/>
      <c r="F99" s="5"/>
      <c r="G99" s="5"/>
      <c r="H99" s="5"/>
      <c r="I99" s="5"/>
      <c r="J99" s="5"/>
      <c r="K99" s="5"/>
      <c r="L99" s="5"/>
      <c r="M99" s="5"/>
      <c r="N99" s="5"/>
      <c r="O99" s="5"/>
      <c r="P99" s="5"/>
      <c r="Q99" s="5"/>
      <c r="R99" s="5"/>
      <c r="S99" s="5"/>
      <c r="T99" s="5"/>
      <c r="U99" s="5"/>
      <c r="V99" s="5"/>
      <c r="W99" s="5"/>
      <c r="X99" s="5"/>
      <c r="Y99" s="5"/>
      <c r="Z99" s="5"/>
    </row>
    <row r="100" ht="12.0" customHeight="1">
      <c r="A100" s="123" t="s">
        <v>325</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0" customHeight="1">
      <c r="A101" s="123" t="s">
        <v>326</v>
      </c>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0" customHeight="1">
      <c r="A102" s="123" t="s">
        <v>328</v>
      </c>
      <c r="B102" s="5"/>
      <c r="C102" s="5" t="s">
        <v>56</v>
      </c>
      <c r="D102" s="5"/>
      <c r="E102" s="5"/>
      <c r="F102" s="5"/>
      <c r="G102" s="124">
        <v>60.0</v>
      </c>
      <c r="H102" s="124">
        <v>15.0</v>
      </c>
      <c r="I102" s="124">
        <v>15.0</v>
      </c>
      <c r="J102" s="62">
        <v>0.8</v>
      </c>
      <c r="K102" s="63">
        <f>I102+H102+3600/G102</f>
        <v>90</v>
      </c>
      <c r="L102" s="63">
        <f>K102/J102</f>
        <v>112.5</v>
      </c>
      <c r="M102" s="63">
        <f>3600/L102*S102</f>
        <v>32</v>
      </c>
      <c r="N102" s="64">
        <f>$F$37*M102</f>
        <v>4800</v>
      </c>
      <c r="O102" s="63" t="s">
        <v>329</v>
      </c>
      <c r="P102" s="59">
        <v>0.0</v>
      </c>
      <c r="Q102" s="59">
        <v>16.0</v>
      </c>
      <c r="R102" s="63">
        <f>P102*Q102/60</f>
        <v>0</v>
      </c>
      <c r="S102" s="66">
        <f>MAX(0,1-R102/$F$37)</f>
        <v>1</v>
      </c>
      <c r="T102" s="99"/>
      <c r="U102" s="5"/>
      <c r="V102" s="5"/>
      <c r="W102" s="5"/>
      <c r="X102" s="5"/>
      <c r="Y102" s="5"/>
      <c r="Z102" s="5"/>
    </row>
    <row r="103" ht="12.0" customHeight="1">
      <c r="A103" s="123" t="s">
        <v>330</v>
      </c>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0" customHeight="1">
      <c r="A104" s="123" t="s">
        <v>81</v>
      </c>
      <c r="B104" s="5"/>
      <c r="C104" s="5" t="s">
        <v>56</v>
      </c>
      <c r="D104" s="5"/>
      <c r="E104" s="5"/>
      <c r="F104" s="5"/>
      <c r="G104" s="124">
        <v>40.0</v>
      </c>
      <c r="H104" s="124">
        <v>15.0</v>
      </c>
      <c r="I104" s="124">
        <v>10.0</v>
      </c>
      <c r="J104" s="62">
        <v>0.8</v>
      </c>
      <c r="K104" s="63">
        <f t="shared" ref="K104:K105" si="38">I104+H104+3600/G104</f>
        <v>115</v>
      </c>
      <c r="L104" s="63">
        <f t="shared" ref="L104:L105" si="39">K104/J104</f>
        <v>143.75</v>
      </c>
      <c r="M104" s="63">
        <f t="shared" ref="M104:M105" si="40">3600/L104*S104</f>
        <v>25.04347826</v>
      </c>
      <c r="N104" s="64">
        <f t="shared" ref="N104:N105" si="41">$F$37*M104</f>
        <v>3756.521739</v>
      </c>
      <c r="O104" s="63" t="s">
        <v>329</v>
      </c>
      <c r="P104" s="59">
        <v>0.0</v>
      </c>
      <c r="Q104" s="59">
        <v>16.0</v>
      </c>
      <c r="R104" s="63">
        <f t="shared" ref="R104:R105" si="42">P104*Q104/60</f>
        <v>0</v>
      </c>
      <c r="S104" s="66">
        <f t="shared" ref="S104:S105" si="43">MAX(0,1-R104/$F$37)</f>
        <v>1</v>
      </c>
      <c r="T104" s="99"/>
      <c r="U104" s="5"/>
      <c r="V104" s="5"/>
      <c r="W104" s="5"/>
      <c r="X104" s="5"/>
      <c r="Y104" s="5"/>
      <c r="Z104" s="5"/>
    </row>
    <row r="105" ht="12.0" customHeight="1">
      <c r="A105" s="123" t="s">
        <v>334</v>
      </c>
      <c r="B105" s="5"/>
      <c r="C105" s="5" t="s">
        <v>56</v>
      </c>
      <c r="D105" s="5"/>
      <c r="E105" s="5"/>
      <c r="F105" s="5"/>
      <c r="G105" s="126">
        <v>120.0</v>
      </c>
      <c r="H105" s="124">
        <v>10.0</v>
      </c>
      <c r="I105" s="124">
        <v>10.0</v>
      </c>
      <c r="J105" s="62">
        <v>0.8</v>
      </c>
      <c r="K105" s="63">
        <f t="shared" si="38"/>
        <v>50</v>
      </c>
      <c r="L105" s="63">
        <f t="shared" si="39"/>
        <v>62.5</v>
      </c>
      <c r="M105" s="63">
        <f t="shared" si="40"/>
        <v>57.6</v>
      </c>
      <c r="N105" s="64">
        <f t="shared" si="41"/>
        <v>8640</v>
      </c>
      <c r="O105" s="63" t="s">
        <v>329</v>
      </c>
      <c r="P105" s="59">
        <v>0.0</v>
      </c>
      <c r="Q105" s="59">
        <v>16.0</v>
      </c>
      <c r="R105" s="63">
        <f t="shared" si="42"/>
        <v>0</v>
      </c>
      <c r="S105" s="66">
        <f t="shared" si="43"/>
        <v>1</v>
      </c>
      <c r="T105" s="99"/>
      <c r="U105" s="5"/>
      <c r="V105" s="5"/>
      <c r="W105" s="5"/>
      <c r="X105" s="5"/>
      <c r="Y105" s="5"/>
      <c r="Z105" s="5"/>
    </row>
    <row r="106" ht="12.0" customHeight="1">
      <c r="A106" s="123" t="s">
        <v>335</v>
      </c>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0" customHeight="1">
      <c r="A107" s="123" t="s">
        <v>336</v>
      </c>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0"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0"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0" customHeight="1">
      <c r="A110" s="128" t="s">
        <v>338</v>
      </c>
      <c r="B110" s="3"/>
      <c r="C110" s="3"/>
      <c r="D110" s="3"/>
      <c r="E110" s="3"/>
      <c r="F110" s="3"/>
      <c r="G110" s="3"/>
      <c r="H110" s="3"/>
      <c r="I110" s="3"/>
      <c r="J110" s="3"/>
      <c r="K110" s="3"/>
      <c r="L110" s="3"/>
      <c r="M110" s="3"/>
      <c r="N110" s="3"/>
      <c r="O110" s="3"/>
      <c r="P110" s="3"/>
      <c r="Q110" s="3"/>
      <c r="R110" s="3"/>
      <c r="S110" s="3"/>
      <c r="T110" s="130"/>
      <c r="U110" s="5"/>
      <c r="V110" s="5"/>
      <c r="W110" s="5"/>
      <c r="X110" s="5"/>
      <c r="Y110" s="5"/>
      <c r="Z110" s="5"/>
    </row>
    <row r="111" ht="12.0" customHeight="1">
      <c r="A111" s="29" t="s">
        <v>22</v>
      </c>
      <c r="B111" s="29" t="s">
        <v>137</v>
      </c>
      <c r="C111" s="29" t="s">
        <v>138</v>
      </c>
      <c r="D111" s="29" t="s">
        <v>139</v>
      </c>
      <c r="E111" s="29" t="s">
        <v>140</v>
      </c>
      <c r="F111" s="29" t="s">
        <v>141</v>
      </c>
      <c r="G111" s="29" t="s">
        <v>142</v>
      </c>
      <c r="H111" s="29" t="s">
        <v>143</v>
      </c>
      <c r="I111" s="29" t="s">
        <v>144</v>
      </c>
      <c r="J111" s="29" t="s">
        <v>145</v>
      </c>
      <c r="K111" s="29" t="s">
        <v>146</v>
      </c>
      <c r="L111" s="29" t="s">
        <v>147</v>
      </c>
      <c r="M111" s="29" t="s">
        <v>148</v>
      </c>
      <c r="N111" s="29" t="s">
        <v>149</v>
      </c>
      <c r="O111" s="29" t="s">
        <v>150</v>
      </c>
      <c r="P111" s="5"/>
      <c r="Q111" s="5"/>
      <c r="R111" s="5"/>
      <c r="S111" s="5"/>
      <c r="T111" s="29" t="s">
        <v>155</v>
      </c>
      <c r="U111" s="5"/>
      <c r="V111" s="5"/>
      <c r="W111" s="5"/>
      <c r="X111" s="5"/>
      <c r="Y111" s="5"/>
      <c r="Z111" s="5"/>
    </row>
    <row r="112" ht="31.5" customHeight="1">
      <c r="A112" s="131" t="s">
        <v>88</v>
      </c>
      <c r="B112" s="70" t="s">
        <v>343</v>
      </c>
      <c r="C112" s="70" t="s">
        <v>344</v>
      </c>
      <c r="D112" s="59">
        <v>150.0</v>
      </c>
      <c r="E112" s="132">
        <f t="shared" ref="E112:E119" si="44">1/D112</f>
        <v>0.006666666667</v>
      </c>
      <c r="F112" s="133">
        <f t="shared" ref="F112:F119" si="45">60/D112</f>
        <v>0.4</v>
      </c>
      <c r="G112" s="63">
        <f t="shared" ref="G112:G119" si="46">3600/D112</f>
        <v>24</v>
      </c>
      <c r="H112" s="61">
        <v>30.0</v>
      </c>
      <c r="I112" s="61">
        <v>15.0</v>
      </c>
      <c r="J112" s="62">
        <v>0.85</v>
      </c>
      <c r="K112" s="63">
        <f t="shared" ref="K112:K119" si="47">D112+H112+I112</f>
        <v>195</v>
      </c>
      <c r="L112" s="63">
        <f t="shared" ref="L112:L119" si="48">K112/J112</f>
        <v>229.4117647</v>
      </c>
      <c r="M112" s="133">
        <f t="shared" ref="M112:M119" si="49">3600/L112</f>
        <v>15.69230769</v>
      </c>
      <c r="N112" s="64">
        <f t="shared" ref="N112:N119" si="50">M112*$F$37</f>
        <v>2353.846154</v>
      </c>
      <c r="O112" s="118" t="s">
        <v>350</v>
      </c>
      <c r="P112" s="136"/>
      <c r="U112" s="5"/>
      <c r="V112" s="5"/>
      <c r="W112" s="5"/>
      <c r="X112" s="5"/>
      <c r="Y112" s="5"/>
      <c r="Z112" s="5"/>
    </row>
    <row r="113" ht="31.5" customHeight="1">
      <c r="A113" s="131" t="s">
        <v>89</v>
      </c>
      <c r="B113" s="70" t="s">
        <v>351</v>
      </c>
      <c r="C113" s="70" t="s">
        <v>352</v>
      </c>
      <c r="D113" s="59">
        <v>1440.0</v>
      </c>
      <c r="E113" s="132">
        <f t="shared" si="44"/>
        <v>0.0006944444444</v>
      </c>
      <c r="F113" s="133">
        <f t="shared" si="45"/>
        <v>0.04166666667</v>
      </c>
      <c r="G113" s="63">
        <f t="shared" si="46"/>
        <v>2.5</v>
      </c>
      <c r="H113" s="61">
        <v>60.0</v>
      </c>
      <c r="I113" s="61">
        <v>30.0</v>
      </c>
      <c r="J113" s="62">
        <v>0.8</v>
      </c>
      <c r="K113" s="63">
        <f t="shared" si="47"/>
        <v>1530</v>
      </c>
      <c r="L113" s="63">
        <f t="shared" si="48"/>
        <v>1912.5</v>
      </c>
      <c r="M113" s="133">
        <f t="shared" si="49"/>
        <v>1.882352941</v>
      </c>
      <c r="N113" s="64">
        <f t="shared" si="50"/>
        <v>282.3529412</v>
      </c>
      <c r="O113" s="118" t="s">
        <v>350</v>
      </c>
      <c r="P113" s="136"/>
      <c r="U113" s="5"/>
      <c r="V113" s="5"/>
      <c r="W113" s="5"/>
      <c r="X113" s="5"/>
      <c r="Y113" s="5"/>
      <c r="Z113" s="5"/>
    </row>
    <row r="114" ht="31.5" customHeight="1">
      <c r="A114" s="131" t="s">
        <v>90</v>
      </c>
      <c r="B114" s="70" t="s">
        <v>354</v>
      </c>
      <c r="C114" s="70" t="s">
        <v>355</v>
      </c>
      <c r="D114" s="59">
        <v>125.0</v>
      </c>
      <c r="E114" s="132">
        <f t="shared" si="44"/>
        <v>0.008</v>
      </c>
      <c r="F114" s="133">
        <f t="shared" si="45"/>
        <v>0.48</v>
      </c>
      <c r="G114" s="63">
        <f t="shared" si="46"/>
        <v>28.8</v>
      </c>
      <c r="H114" s="61">
        <v>20.0</v>
      </c>
      <c r="I114" s="61">
        <v>10.0</v>
      </c>
      <c r="J114" s="62">
        <v>0.85</v>
      </c>
      <c r="K114" s="63">
        <f t="shared" si="47"/>
        <v>155</v>
      </c>
      <c r="L114" s="63">
        <f t="shared" si="48"/>
        <v>182.3529412</v>
      </c>
      <c r="M114" s="133">
        <f t="shared" si="49"/>
        <v>19.74193548</v>
      </c>
      <c r="N114" s="64">
        <f t="shared" si="50"/>
        <v>2961.290323</v>
      </c>
      <c r="O114" s="118" t="s">
        <v>350</v>
      </c>
      <c r="P114" s="136"/>
      <c r="U114" s="5"/>
      <c r="V114" s="5"/>
      <c r="W114" s="5"/>
      <c r="X114" s="5"/>
      <c r="Y114" s="5"/>
      <c r="Z114" s="5"/>
    </row>
    <row r="115" ht="31.5" customHeight="1">
      <c r="A115" s="131" t="s">
        <v>91</v>
      </c>
      <c r="B115" s="70" t="s">
        <v>357</v>
      </c>
      <c r="C115" s="70" t="s">
        <v>358</v>
      </c>
      <c r="D115" s="59">
        <v>85.0</v>
      </c>
      <c r="E115" s="132">
        <f t="shared" si="44"/>
        <v>0.01176470588</v>
      </c>
      <c r="F115" s="133">
        <f t="shared" si="45"/>
        <v>0.7058823529</v>
      </c>
      <c r="G115" s="63">
        <f t="shared" si="46"/>
        <v>42.35294118</v>
      </c>
      <c r="H115" s="61">
        <v>20.0</v>
      </c>
      <c r="I115" s="61">
        <v>10.0</v>
      </c>
      <c r="J115" s="62">
        <v>0.85</v>
      </c>
      <c r="K115" s="63">
        <f t="shared" si="47"/>
        <v>115</v>
      </c>
      <c r="L115" s="63">
        <f t="shared" si="48"/>
        <v>135.2941176</v>
      </c>
      <c r="M115" s="133">
        <f t="shared" si="49"/>
        <v>26.60869565</v>
      </c>
      <c r="N115" s="64">
        <f t="shared" si="50"/>
        <v>3991.304348</v>
      </c>
      <c r="O115" s="118" t="s">
        <v>350</v>
      </c>
      <c r="P115" s="136"/>
      <c r="U115" s="5"/>
      <c r="V115" s="5"/>
      <c r="W115" s="5"/>
      <c r="X115" s="5"/>
      <c r="Y115" s="5"/>
      <c r="Z115" s="5"/>
    </row>
    <row r="116" ht="31.5" customHeight="1">
      <c r="A116" s="131" t="s">
        <v>93</v>
      </c>
      <c r="B116" s="70" t="s">
        <v>363</v>
      </c>
      <c r="C116" s="70" t="s">
        <v>364</v>
      </c>
      <c r="D116" s="59">
        <v>60.0</v>
      </c>
      <c r="E116" s="132">
        <f t="shared" si="44"/>
        <v>0.01666666667</v>
      </c>
      <c r="F116" s="133">
        <f t="shared" si="45"/>
        <v>1</v>
      </c>
      <c r="G116" s="63">
        <f t="shared" si="46"/>
        <v>60</v>
      </c>
      <c r="H116" s="61">
        <v>10.0</v>
      </c>
      <c r="I116" s="61">
        <v>10.0</v>
      </c>
      <c r="J116" s="62">
        <v>0.85</v>
      </c>
      <c r="K116" s="63">
        <f t="shared" si="47"/>
        <v>80</v>
      </c>
      <c r="L116" s="63">
        <f t="shared" si="48"/>
        <v>94.11764706</v>
      </c>
      <c r="M116" s="133">
        <f t="shared" si="49"/>
        <v>38.25</v>
      </c>
      <c r="N116" s="64">
        <f t="shared" si="50"/>
        <v>5737.5</v>
      </c>
      <c r="O116" s="118" t="s">
        <v>350</v>
      </c>
      <c r="P116" s="136"/>
      <c r="U116" s="5"/>
      <c r="V116" s="5"/>
      <c r="W116" s="5"/>
      <c r="X116" s="5"/>
      <c r="Y116" s="5"/>
      <c r="Z116" s="5"/>
    </row>
    <row r="117" ht="31.5" customHeight="1">
      <c r="A117" s="131" t="s">
        <v>94</v>
      </c>
      <c r="B117" s="70" t="s">
        <v>368</v>
      </c>
      <c r="C117" s="70" t="s">
        <v>369</v>
      </c>
      <c r="D117" s="59">
        <v>180.0</v>
      </c>
      <c r="E117" s="132">
        <f t="shared" si="44"/>
        <v>0.005555555556</v>
      </c>
      <c r="F117" s="133">
        <f t="shared" si="45"/>
        <v>0.3333333333</v>
      </c>
      <c r="G117" s="63">
        <f t="shared" si="46"/>
        <v>20</v>
      </c>
      <c r="H117" s="61">
        <v>15.0</v>
      </c>
      <c r="I117" s="61">
        <v>10.0</v>
      </c>
      <c r="J117" s="62">
        <v>0.85</v>
      </c>
      <c r="K117" s="63">
        <f t="shared" si="47"/>
        <v>205</v>
      </c>
      <c r="L117" s="63">
        <f t="shared" si="48"/>
        <v>241.1764706</v>
      </c>
      <c r="M117" s="133">
        <f t="shared" si="49"/>
        <v>14.92682927</v>
      </c>
      <c r="N117" s="64">
        <f t="shared" si="50"/>
        <v>2239.02439</v>
      </c>
      <c r="O117" s="118" t="s">
        <v>350</v>
      </c>
      <c r="P117" s="136"/>
      <c r="U117" s="5"/>
      <c r="V117" s="5"/>
      <c r="W117" s="5"/>
      <c r="X117" s="5"/>
      <c r="Y117" s="5"/>
      <c r="Z117" s="5"/>
    </row>
    <row r="118" ht="31.5" customHeight="1">
      <c r="A118" s="131" t="s">
        <v>96</v>
      </c>
      <c r="B118" s="70" t="s">
        <v>370</v>
      </c>
      <c r="C118" s="70" t="s">
        <v>371</v>
      </c>
      <c r="D118" s="59">
        <v>60.0</v>
      </c>
      <c r="E118" s="132">
        <f t="shared" si="44"/>
        <v>0.01666666667</v>
      </c>
      <c r="F118" s="133">
        <f t="shared" si="45"/>
        <v>1</v>
      </c>
      <c r="G118" s="63">
        <f t="shared" si="46"/>
        <v>60</v>
      </c>
      <c r="H118" s="61">
        <v>10.0</v>
      </c>
      <c r="I118" s="61">
        <v>10.0</v>
      </c>
      <c r="J118" s="62">
        <v>0.85</v>
      </c>
      <c r="K118" s="63">
        <f t="shared" si="47"/>
        <v>80</v>
      </c>
      <c r="L118" s="63">
        <f t="shared" si="48"/>
        <v>94.11764706</v>
      </c>
      <c r="M118" s="133">
        <f t="shared" si="49"/>
        <v>38.25</v>
      </c>
      <c r="N118" s="64">
        <f t="shared" si="50"/>
        <v>5737.5</v>
      </c>
      <c r="O118" s="118" t="s">
        <v>350</v>
      </c>
      <c r="P118" s="136"/>
      <c r="U118" s="5"/>
      <c r="V118" s="5"/>
      <c r="W118" s="5"/>
      <c r="X118" s="5"/>
      <c r="Y118" s="5"/>
      <c r="Z118" s="5"/>
    </row>
    <row r="119" ht="31.5" customHeight="1">
      <c r="A119" s="131" t="s">
        <v>97</v>
      </c>
      <c r="B119" s="70" t="s">
        <v>373</v>
      </c>
      <c r="C119" s="70" t="s">
        <v>374</v>
      </c>
      <c r="D119" s="59">
        <v>480.0</v>
      </c>
      <c r="E119" s="132">
        <f t="shared" si="44"/>
        <v>0.002083333333</v>
      </c>
      <c r="F119" s="133">
        <f t="shared" si="45"/>
        <v>0.125</v>
      </c>
      <c r="G119" s="63">
        <f t="shared" si="46"/>
        <v>7.5</v>
      </c>
      <c r="H119" s="61">
        <v>30.0</v>
      </c>
      <c r="I119" s="61">
        <v>30.0</v>
      </c>
      <c r="J119" s="62">
        <v>0.85</v>
      </c>
      <c r="K119" s="63">
        <f t="shared" si="47"/>
        <v>540</v>
      </c>
      <c r="L119" s="63">
        <f t="shared" si="48"/>
        <v>635.2941176</v>
      </c>
      <c r="M119" s="133">
        <f t="shared" si="49"/>
        <v>5.666666667</v>
      </c>
      <c r="N119" s="64">
        <f t="shared" si="50"/>
        <v>850</v>
      </c>
      <c r="O119" s="118" t="s">
        <v>350</v>
      </c>
      <c r="P119" s="136"/>
      <c r="U119" s="5"/>
      <c r="V119" s="5"/>
      <c r="W119" s="5"/>
      <c r="X119" s="5"/>
      <c r="Y119" s="5"/>
      <c r="Z119" s="5"/>
    </row>
    <row r="120" ht="30.0" customHeight="1">
      <c r="A120" s="138" t="s">
        <v>378</v>
      </c>
      <c r="B120" s="136"/>
      <c r="U120" s="5"/>
      <c r="V120" s="5"/>
      <c r="W120" s="5"/>
      <c r="X120" s="5"/>
      <c r="Y120" s="5"/>
      <c r="Z120" s="5"/>
    </row>
    <row r="121" ht="12.0"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0"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0"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0"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0"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0"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0"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0"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0"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0"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0"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0"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0"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0"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0"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0"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0"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0"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0"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0"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0"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0"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0"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0"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0"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0"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0"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0"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0"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0"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0"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0"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0"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0"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0"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0"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0"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0"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0"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0"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0"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0"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0"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0"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0"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0"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0"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0"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0"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0"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0"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0"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0"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0"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0"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0"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0"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0"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0"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0"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0"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0"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0"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0"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0"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0"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0"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0"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0"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0"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0"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0"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0"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0"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0"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0"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0"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0"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0"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0"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0"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0"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0"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0"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0"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0"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0"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0"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0"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0"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0"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0"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0"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0"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0"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0"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0"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0"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0"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0"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0"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0"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0"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0"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0"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0"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0"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0"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0"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0"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0"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0"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0"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0"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0"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0"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0"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0"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0"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0"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0"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0"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0"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0"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0"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0"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0"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0"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0"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0"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0"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0"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0"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0"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0"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0"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0"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0"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0"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0"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0"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0"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0"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0"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0"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0"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0"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0"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0"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0"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0"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0"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0"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0"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0"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0"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0"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0"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0"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0"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0"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0"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0"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0"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0"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0"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0"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0"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0"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0"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0"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0"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0"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0"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0"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0"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0"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0"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0"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0"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0"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0"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0"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0"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0"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0"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0"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0"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0"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0"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0"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0"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0"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0"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0"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0"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0"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0"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0"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0"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N1"/>
    <mergeCell ref="B9:N9"/>
    <mergeCell ref="B36:N36"/>
    <mergeCell ref="A110:T110"/>
  </mergeCells>
  <hyperlinks>
    <hyperlink r:id="rId1" ref="C39"/>
    <hyperlink r:id="rId2" ref="C41"/>
    <hyperlink r:id="rId3" ref="C42"/>
    <hyperlink r:id="rId4" ref="C45"/>
    <hyperlink r:id="rId5" ref="C46"/>
  </hyperlinks>
  <printOptions/>
  <pageMargins bottom="1.0" footer="0.0" header="0.0" left="0.75" right="0.75" top="1.0"/>
  <pageSetup paperSize="9" orientation="portrait"/>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outlineLevelRow="1"/>
  <cols>
    <col customWidth="1" min="1" max="1" width="46.0"/>
    <col customWidth="1" min="2" max="6" width="12.63"/>
    <col customWidth="1" min="12" max="12" width="17.0"/>
    <col customWidth="1" min="13" max="14" width="34.0"/>
    <col customWidth="1" min="15" max="15" width="2.75"/>
    <col customWidth="1" min="16" max="16" width="28.25"/>
  </cols>
  <sheetData>
    <row r="1" ht="12.0" customHeight="1">
      <c r="A1" s="7" t="s">
        <v>1</v>
      </c>
      <c r="B1" s="8"/>
      <c r="C1" s="8"/>
      <c r="D1" s="8"/>
      <c r="E1" s="8"/>
      <c r="F1" s="8"/>
      <c r="G1" s="8"/>
      <c r="H1" s="8"/>
      <c r="I1" s="8"/>
      <c r="J1" s="8"/>
      <c r="K1" s="9"/>
      <c r="L1" s="11"/>
      <c r="M1" s="11"/>
      <c r="N1" s="11"/>
      <c r="O1" s="11"/>
      <c r="P1" s="13"/>
      <c r="Z1" s="11"/>
    </row>
    <row r="2" ht="12.0" customHeight="1">
      <c r="A2" s="15" t="s">
        <v>18</v>
      </c>
      <c r="B2" s="16"/>
      <c r="C2" s="16"/>
      <c r="D2" s="16"/>
      <c r="E2" s="16"/>
      <c r="F2" s="16"/>
      <c r="G2" s="16"/>
      <c r="H2" s="16"/>
      <c r="I2" s="16"/>
      <c r="J2" s="17"/>
      <c r="K2" s="11"/>
      <c r="L2" s="11"/>
      <c r="M2" s="11"/>
      <c r="N2" s="11"/>
      <c r="O2" s="11"/>
      <c r="P2" s="11"/>
      <c r="Q2" s="11"/>
      <c r="R2" s="11"/>
      <c r="S2" s="11"/>
      <c r="T2" s="11"/>
      <c r="U2" s="11"/>
      <c r="V2" s="11"/>
      <c r="W2" s="11"/>
      <c r="X2" s="11"/>
      <c r="Y2" s="11"/>
      <c r="Z2" s="11"/>
    </row>
    <row r="3" ht="12.0" customHeight="1">
      <c r="A3" s="11"/>
      <c r="B3" s="11"/>
      <c r="C3" s="11"/>
      <c r="D3" s="11"/>
      <c r="E3" s="11"/>
      <c r="F3" s="11"/>
      <c r="G3" s="11"/>
      <c r="H3" s="11"/>
      <c r="I3" s="11"/>
      <c r="J3" s="11"/>
      <c r="K3" s="11"/>
      <c r="L3" s="11"/>
      <c r="M3" s="11"/>
      <c r="N3" s="11"/>
      <c r="O3" s="11"/>
      <c r="P3" s="11"/>
      <c r="Q3" s="11"/>
      <c r="R3" s="11"/>
      <c r="S3" s="11"/>
      <c r="T3" s="11"/>
      <c r="U3" s="11"/>
      <c r="V3" s="11"/>
      <c r="W3" s="11"/>
      <c r="X3" s="11"/>
      <c r="Y3" s="11"/>
      <c r="Z3" s="11"/>
    </row>
    <row r="4" ht="12.0" customHeight="1">
      <c r="A4" s="21" t="s">
        <v>22</v>
      </c>
      <c r="B4" s="21">
        <v>2026.0</v>
      </c>
      <c r="C4" s="21">
        <v>2027.0</v>
      </c>
      <c r="D4" s="21">
        <v>2028.0</v>
      </c>
      <c r="E4" s="21">
        <v>2029.0</v>
      </c>
      <c r="F4" s="21">
        <v>2030.0</v>
      </c>
      <c r="G4" s="21">
        <v>2031.0</v>
      </c>
      <c r="H4" s="21">
        <v>2032.0</v>
      </c>
      <c r="I4" s="21">
        <v>2033.0</v>
      </c>
      <c r="J4" s="21">
        <v>2034.0</v>
      </c>
      <c r="K4" s="21">
        <v>2035.0</v>
      </c>
      <c r="L4" s="11"/>
      <c r="M4" s="11"/>
      <c r="N4" s="11"/>
      <c r="O4" s="11"/>
      <c r="P4" s="13"/>
      <c r="Q4" s="13"/>
      <c r="R4" s="13"/>
      <c r="S4" s="13"/>
      <c r="T4" s="13"/>
      <c r="U4" s="13"/>
      <c r="V4" s="13"/>
      <c r="W4" s="13"/>
      <c r="X4" s="13"/>
      <c r="Y4" s="13"/>
      <c r="Z4" s="11"/>
    </row>
    <row r="5" ht="12.0" customHeight="1">
      <c r="A5" s="26" t="s">
        <v>26</v>
      </c>
      <c r="B5" s="33">
        <f>MAX('Analisis de operaciones'!C11:N11)</f>
        <v>0.07766764706</v>
      </c>
      <c r="C5" s="33">
        <f>MAX('Analisis de operaciones'!C194:N194)</f>
        <v>0.121595098</v>
      </c>
      <c r="D5" s="33">
        <f>MAX('Analisis de operaciones'!C377:N377)</f>
        <v>0.2592166667</v>
      </c>
      <c r="E5" s="33">
        <f>MAX('Analisis de operaciones'!C560:N560)</f>
        <v>0.5775166667</v>
      </c>
      <c r="F5" s="33">
        <f>MAX('Analisis de operaciones'!C743:N743)</f>
        <v>0.5044573529</v>
      </c>
      <c r="G5" s="33">
        <f>MAX('Analisis de operaciones'!C926:N926)</f>
        <v>0.7087955882</v>
      </c>
      <c r="H5" s="33">
        <f>MAX('Analisis de operaciones'!C1109:N1109)</f>
        <v>0.4895007353</v>
      </c>
      <c r="I5" s="33">
        <f>MAX('Analisis de operaciones'!C1292:N1292)</f>
        <v>0.6258835784</v>
      </c>
      <c r="J5" s="33">
        <f>MAX('Analisis de operaciones'!C1475:N1475)</f>
        <v>0.7061590686</v>
      </c>
      <c r="K5" s="33">
        <f>MAX('Analisis de operaciones'!C1658:N1658)</f>
        <v>0.8159764706</v>
      </c>
      <c r="L5" s="11"/>
      <c r="M5" s="11"/>
      <c r="N5" s="11"/>
      <c r="O5" s="11"/>
      <c r="P5" s="11"/>
      <c r="Q5" s="38"/>
      <c r="R5" s="38"/>
      <c r="S5" s="38"/>
      <c r="T5" s="38"/>
      <c r="U5" s="38"/>
      <c r="V5" s="38"/>
      <c r="W5" s="38"/>
      <c r="X5" s="38"/>
      <c r="Y5" s="38"/>
      <c r="Z5" s="11"/>
    </row>
    <row r="6" ht="12.0" customHeight="1">
      <c r="A6" s="26" t="s">
        <v>55</v>
      </c>
      <c r="B6" s="33">
        <f>MAX('Analisis de operaciones'!C21:N21)</f>
        <v>0.1291927593</v>
      </c>
      <c r="C6" s="33">
        <f>MAX('Analisis de operaciones'!C204:N204)</f>
        <v>0.2022619048</v>
      </c>
      <c r="D6" s="33">
        <f>MAX('Analisis de operaciones'!C387:N387)</f>
        <v>0.4311823222</v>
      </c>
      <c r="E6" s="33">
        <f>MAX('Analisis de operaciones'!C570:N570)</f>
        <v>0.4354092002</v>
      </c>
      <c r="F6" s="33">
        <f>MAX('Analisis de operaciones'!C753:N753)</f>
        <v>0.7606546624</v>
      </c>
      <c r="G6" s="33">
        <f>MAX('Analisis de operaciones'!C936:N936)</f>
        <v>0.5343847857</v>
      </c>
      <c r="H6" s="33">
        <f>MAX('Analisis de operaciones'!C1119:N1119)</f>
        <v>0.7381020703</v>
      </c>
      <c r="I6" s="33">
        <f>MAX('Analisis de operaciones'!C1302:N1302)</f>
        <v>0.4718746385</v>
      </c>
      <c r="J6" s="33">
        <f>MAX('Analisis de operaciones'!C1485:N1485)</f>
        <v>0.5323970251</v>
      </c>
      <c r="K6" s="33">
        <f>MAX('Analisis de operaciones'!C1668:N1668)</f>
        <v>0.6151920506</v>
      </c>
      <c r="L6" s="11"/>
      <c r="M6" s="11"/>
      <c r="N6" s="11"/>
      <c r="O6" s="11"/>
      <c r="P6" s="11"/>
      <c r="Q6" s="38"/>
      <c r="R6" s="38"/>
      <c r="S6" s="38"/>
      <c r="T6" s="38"/>
      <c r="U6" s="38"/>
      <c r="V6" s="38"/>
      <c r="W6" s="38"/>
      <c r="X6" s="38"/>
      <c r="Y6" s="38"/>
      <c r="Z6" s="11"/>
    </row>
    <row r="7" ht="12.0" customHeight="1">
      <c r="A7" s="26" t="s">
        <v>61</v>
      </c>
      <c r="B7" s="33">
        <f>MAX('Analisis de operaciones'!C31:N31)</f>
        <v>0.02264209372</v>
      </c>
      <c r="C7" s="33">
        <f>MAX('Analisis de operaciones'!C214:N214)</f>
        <v>0.03544806248</v>
      </c>
      <c r="D7" s="33">
        <f>MAX('Analisis de operaciones'!C397:N397)</f>
        <v>0.07556824859</v>
      </c>
      <c r="E7" s="33">
        <f>MAX('Analisis de operaciones'!C580:N580)</f>
        <v>0.168360791</v>
      </c>
      <c r="F7" s="33">
        <f>MAX('Analisis de operaciones'!C763:N763)</f>
        <v>0.2941242871</v>
      </c>
      <c r="G7" s="33">
        <f>MAX('Analisis de operaciones'!C946:N946)</f>
        <v>0.4132638684</v>
      </c>
      <c r="H7" s="33">
        <f>MAX('Analisis de operaciones'!C1129:N1129)</f>
        <v>0.5708076371</v>
      </c>
      <c r="I7" s="33">
        <f>MAX('Analisis de operaciones'!C1312:N1312)</f>
        <v>0.7298439016</v>
      </c>
      <c r="J7" s="33">
        <f>MAX('Analisis de operaciones'!C1495:N1495)</f>
        <v>0.8234532868</v>
      </c>
      <c r="K7" s="33">
        <f>MAX('Analisis de operaciones'!C1678:N1678)</f>
        <v>0.4757557727</v>
      </c>
      <c r="L7" s="11"/>
      <c r="M7" s="11"/>
      <c r="N7" s="11"/>
      <c r="O7" s="11"/>
      <c r="P7" s="11"/>
      <c r="Q7" s="38"/>
      <c r="R7" s="38"/>
      <c r="S7" s="38"/>
      <c r="T7" s="38"/>
      <c r="U7" s="38"/>
      <c r="V7" s="38"/>
      <c r="W7" s="38"/>
      <c r="X7" s="38"/>
      <c r="Y7" s="38"/>
      <c r="Z7" s="11"/>
    </row>
    <row r="8" ht="12.0" customHeight="1">
      <c r="A8" s="26" t="s">
        <v>62</v>
      </c>
      <c r="B8" s="33">
        <f>MAX('Analisis de operaciones'!C41:N41)</f>
        <v>0.05501458333</v>
      </c>
      <c r="C8" s="33">
        <f>MAX('Analisis de operaciones'!C224:N224)</f>
        <v>0.08612986111</v>
      </c>
      <c r="D8" s="33">
        <f>MAX('Analisis de operaciones'!C407:N407)</f>
        <v>0.1836118056</v>
      </c>
      <c r="E8" s="33">
        <f>MAX('Analisis de operaciones'!C590:N590)</f>
        <v>0.4090743056</v>
      </c>
      <c r="F8" s="33">
        <f>MAX('Analisis de operaciones'!C773:N773)</f>
        <v>0.7146479167</v>
      </c>
      <c r="G8" s="33">
        <f>MAX('Analisis de operaciones'!C956:N956)</f>
        <v>0.5020635417</v>
      </c>
      <c r="H8" s="33">
        <f>MAX('Analisis de operaciones'!C1139:N1139)</f>
        <v>0.693459375</v>
      </c>
      <c r="I8" s="33">
        <f>MAX('Analisis de operaciones'!C1322:N1322)</f>
        <v>0.8866684028</v>
      </c>
      <c r="J8" s="33">
        <f>MAX('Analisis de operaciones'!C1505:N1505)</f>
        <v>0.5001960069</v>
      </c>
      <c r="K8" s="33">
        <f>MAX('Analisis de operaciones'!C1688:N1688)</f>
        <v>0.5779833333</v>
      </c>
      <c r="L8" s="11"/>
      <c r="M8" s="11"/>
      <c r="N8" s="11"/>
      <c r="O8" s="11"/>
      <c r="P8" s="11"/>
      <c r="Q8" s="38"/>
      <c r="R8" s="38"/>
      <c r="S8" s="38"/>
      <c r="T8" s="38"/>
      <c r="U8" s="38"/>
      <c r="V8" s="38"/>
      <c r="W8" s="38"/>
      <c r="X8" s="38"/>
      <c r="Y8" s="38"/>
      <c r="Z8" s="11"/>
    </row>
    <row r="9" ht="12.0" customHeight="1">
      <c r="A9" s="26" t="s">
        <v>63</v>
      </c>
      <c r="B9" s="33">
        <f>MAX('Analisis de operaciones'!C51:N51)</f>
        <v>0.02419688354</v>
      </c>
      <c r="C9" s="33">
        <f>MAX('Analisis de operaciones'!C234:N234)</f>
        <v>0.04333100635</v>
      </c>
      <c r="D9" s="33">
        <f>MAX('Analisis de operaciones'!C417:N417)</f>
        <v>0.07509914326</v>
      </c>
      <c r="E9" s="33">
        <f>MAX('Analisis de operaciones'!C600:N600)</f>
        <v>0.1390931712</v>
      </c>
      <c r="F9" s="33">
        <f>MAX('Analisis de operaciones'!C783:N783)</f>
        <v>0.2361187375</v>
      </c>
      <c r="G9" s="33">
        <f>MAX('Analisis de operaciones'!C966:N966)</f>
        <v>0.3315330093</v>
      </c>
      <c r="H9" s="33">
        <f>MAX('Analisis de operaciones'!C1149:N1149)</f>
        <v>0.4469969121</v>
      </c>
      <c r="I9" s="33">
        <f>MAX('Analisis de operaciones'!C1332:N1332)</f>
        <v>0.5659580565</v>
      </c>
      <c r="J9" s="33">
        <f>MAX('Analisis de operaciones'!C1515:N1515)</f>
        <v>0.6461932011</v>
      </c>
      <c r="K9" s="33">
        <f>MAX('Analisis de operaciones'!C1698:N1698)</f>
        <v>0.747164608</v>
      </c>
      <c r="L9" s="11"/>
      <c r="M9" s="11"/>
      <c r="N9" s="11"/>
      <c r="O9" s="11"/>
      <c r="P9" s="11"/>
      <c r="Q9" s="38"/>
      <c r="R9" s="38"/>
      <c r="S9" s="38"/>
      <c r="T9" s="38"/>
      <c r="U9" s="38"/>
      <c r="V9" s="38"/>
      <c r="W9" s="38"/>
      <c r="X9" s="38"/>
      <c r="Y9" s="38"/>
      <c r="Z9" s="11"/>
    </row>
    <row r="10" ht="12.0" customHeight="1">
      <c r="A10" s="26" t="s">
        <v>64</v>
      </c>
      <c r="B10" s="33">
        <f>MAX('Analisis de operaciones'!C61:N61)</f>
        <v>0.03425834276</v>
      </c>
      <c r="C10" s="33">
        <f>MAX('Analisis de operaciones'!C244:N244)</f>
        <v>0.06134874623</v>
      </c>
      <c r="D10" s="33">
        <f>MAX('Analisis de operaciones'!C427:N427)</f>
        <v>0.1063265931</v>
      </c>
      <c r="E10" s="33">
        <f>MAX('Analisis de operaciones'!C610:N610)</f>
        <v>0.1969303827</v>
      </c>
      <c r="F10" s="33">
        <f>MAX('Analisis de operaciones'!C793:N793)</f>
        <v>0.3343007636</v>
      </c>
      <c r="G10" s="33">
        <f>MAX('Analisis de operaciones'!C976:N976)</f>
        <v>0.4693898473</v>
      </c>
      <c r="H10" s="33">
        <f>MAX('Analisis de operaciones'!C1159:N1159)</f>
        <v>0.632865526</v>
      </c>
      <c r="I10" s="33">
        <f>MAX('Analisis de operaciones'!C1342:N1342)</f>
        <v>0.8012926565</v>
      </c>
      <c r="J10" s="33">
        <f>MAX('Analisis de operaciones'!C1525:N1525)</f>
        <v>0.4574454421</v>
      </c>
      <c r="K10" s="33">
        <f>MAX('Analisis de operaciones'!C1708:N1708)</f>
        <v>0.5289239253</v>
      </c>
      <c r="L10" s="11"/>
      <c r="M10" s="11"/>
      <c r="N10" s="11"/>
      <c r="O10" s="11"/>
      <c r="P10" s="11"/>
      <c r="Q10" s="38"/>
      <c r="R10" s="38"/>
      <c r="S10" s="38"/>
      <c r="T10" s="38"/>
      <c r="U10" s="38"/>
      <c r="V10" s="38"/>
      <c r="W10" s="38"/>
      <c r="X10" s="38"/>
      <c r="Y10" s="38"/>
      <c r="Z10" s="11"/>
    </row>
    <row r="11" ht="12.0" customHeight="1">
      <c r="A11" s="26" t="s">
        <v>66</v>
      </c>
      <c r="B11" s="33">
        <f>MAX('Analisis de operaciones'!C71:N71)</f>
        <v>0.0870713532</v>
      </c>
      <c r="C11" s="33">
        <f>MAX('Analisis de operaciones'!C254:N254)</f>
        <v>0.1363173745</v>
      </c>
      <c r="D11" s="33">
        <f>MAX('Analisis de operaciones'!C437:N437)</f>
        <v>0.2906016442</v>
      </c>
      <c r="E11" s="33">
        <f>MAX('Analisis de operaciones'!C620:N620)</f>
        <v>0.6474402093</v>
      </c>
      <c r="F11" s="33">
        <f>MAX('Analisis de operaciones'!C803:N803)</f>
        <v>0.565535149</v>
      </c>
      <c r="G11" s="33">
        <f>MAX('Analisis de operaciones'!C986:N986)</f>
        <v>0.7946138882</v>
      </c>
      <c r="H11" s="33">
        <f>MAX('Analisis de operaciones'!C1169:N1169)</f>
        <v>0.5487676405</v>
      </c>
      <c r="I11" s="33">
        <f>MAX('Analisis de operaciones'!C1352:N1352)</f>
        <v>0.7016632045</v>
      </c>
      <c r="J11" s="33">
        <f>MAX('Analisis de operaciones'!C1535:N1535)</f>
        <v>0.7916581487</v>
      </c>
      <c r="K11" s="33">
        <f>MAX('Analisis de operaciones'!C1718:N1718)</f>
        <v>0.6098478853</v>
      </c>
      <c r="L11" s="11"/>
      <c r="M11" s="11"/>
      <c r="N11" s="11"/>
      <c r="O11" s="11"/>
      <c r="P11" s="11"/>
      <c r="Q11" s="38"/>
      <c r="R11" s="38"/>
      <c r="S11" s="38"/>
      <c r="T11" s="38"/>
      <c r="U11" s="38"/>
      <c r="V11" s="38"/>
      <c r="W11" s="38"/>
      <c r="X11" s="38"/>
      <c r="Y11" s="38"/>
      <c r="Z11" s="11"/>
    </row>
    <row r="12" ht="12.0" customHeight="1">
      <c r="A12" s="26" t="s">
        <v>67</v>
      </c>
      <c r="B12" s="33">
        <f>MAX('Analisis de operaciones'!C81:N81)</f>
        <v>0.02817873816</v>
      </c>
      <c r="C12" s="33">
        <f>MAX('Analisis de operaciones'!C264:N264)</f>
        <v>0.04411613534</v>
      </c>
      <c r="D12" s="33">
        <f>MAX('Analisis de operaciones'!C447:N447)</f>
        <v>0.09404686319</v>
      </c>
      <c r="E12" s="33">
        <f>MAX('Analisis de operaciones'!C630:N630)</f>
        <v>0.2095298564</v>
      </c>
      <c r="F12" s="33">
        <f>MAX('Analisis de operaciones'!C813:N813)</f>
        <v>0.3660461518</v>
      </c>
      <c r="G12" s="33">
        <f>MAX('Analisis de operaciones'!C996:N996)</f>
        <v>0.5143187942</v>
      </c>
      <c r="H12" s="33">
        <f>MAX('Analisis de operaciones'!C1179:N1179)</f>
        <v>0.7103865546</v>
      </c>
      <c r="I12" s="33">
        <f>MAX('Analisis de operaciones'!C1362:N1362)</f>
        <v>0.4541558846</v>
      </c>
      <c r="J12" s="33">
        <f>MAX('Analisis de operaciones'!C1545:N1545)</f>
        <v>0.5124056734</v>
      </c>
      <c r="K12" s="33">
        <f>MAX('Analisis de operaciones'!C1728:N1728)</f>
        <v>0.59209177</v>
      </c>
      <c r="L12" s="11"/>
      <c r="M12" s="11"/>
      <c r="N12" s="65" t="s">
        <v>159</v>
      </c>
      <c r="O12" s="11"/>
      <c r="P12" s="11"/>
      <c r="Q12" s="38"/>
      <c r="R12" s="38"/>
      <c r="S12" s="38"/>
      <c r="T12" s="38"/>
      <c r="U12" s="38"/>
      <c r="V12" s="38"/>
      <c r="W12" s="38"/>
      <c r="X12" s="38"/>
      <c r="Y12" s="38"/>
      <c r="Z12" s="11"/>
    </row>
    <row r="13" ht="12.0" customHeight="1">
      <c r="A13" s="26" t="s">
        <v>68</v>
      </c>
      <c r="B13" s="33">
        <f>MAX('Analisis de operaciones'!C91:N91)</f>
        <v>0.0829782554</v>
      </c>
      <c r="C13" s="33">
        <f>MAX('Analisis de operaciones'!C274:N274)</f>
        <v>0.1299092928</v>
      </c>
      <c r="D13" s="33">
        <f>MAX('Analisis de operaciones'!C457:N457)</f>
        <v>0.2769408832</v>
      </c>
      <c r="E13" s="33">
        <f>MAX('Analisis de operaciones'!C640:N640)</f>
        <v>0.6170049858</v>
      </c>
      <c r="F13" s="33">
        <f>MAX('Analisis de operaciones'!C823:N823)</f>
        <v>0.5389501634</v>
      </c>
      <c r="G13" s="33">
        <f>MAX('Analisis de operaciones'!C1006:N1006)</f>
        <v>0.7572602438</v>
      </c>
      <c r="H13" s="33">
        <f>MAX('Analisis de operaciones'!C1189:N1189)</f>
        <v>0.522970871</v>
      </c>
      <c r="I13" s="33">
        <f>MAX('Analisis de operaciones'!C1372:N1372)</f>
        <v>0.6686790368</v>
      </c>
      <c r="J13" s="33">
        <f>MAX('Analisis de operaciones'!C1555:N1555)</f>
        <v>0.7544434494</v>
      </c>
      <c r="K13" s="33">
        <f>MAX('Analisis de operaciones'!C1738:N1738)</f>
        <v>0.8717697335</v>
      </c>
      <c r="L13" s="11"/>
      <c r="M13" s="11"/>
      <c r="N13" s="74" t="s">
        <v>175</v>
      </c>
      <c r="O13" s="11"/>
      <c r="P13" s="11"/>
      <c r="Q13" s="38"/>
      <c r="R13" s="38"/>
      <c r="S13" s="38"/>
      <c r="T13" s="38"/>
      <c r="U13" s="38"/>
      <c r="V13" s="38"/>
      <c r="W13" s="38"/>
      <c r="X13" s="38"/>
      <c r="Y13" s="38"/>
      <c r="Z13" s="11"/>
    </row>
    <row r="14" ht="12.0" customHeight="1">
      <c r="A14" s="26" t="s">
        <v>70</v>
      </c>
      <c r="B14" s="33">
        <f>MAX('Analisis de operaciones'!C101:N101)</f>
        <v>0.2350926537</v>
      </c>
      <c r="C14" s="33">
        <f>MAX('Analisis de operaciones'!C284:N284)</f>
        <v>0.3680569111</v>
      </c>
      <c r="D14" s="33">
        <f>MAX('Analisis de operaciones'!C467:N467)</f>
        <v>0.7846244395</v>
      </c>
      <c r="E14" s="33">
        <f>MAX('Analisis de operaciones'!C650:N650)</f>
        <v>0.4532081465</v>
      </c>
      <c r="F14" s="33">
        <f>MAX('Analisis de operaciones'!C833:N833)</f>
        <v>0.7917492087</v>
      </c>
      <c r="G14" s="33">
        <f>MAX('Analisis de operaciones'!C1016:N1016)</f>
        <v>0.5562297217</v>
      </c>
      <c r="H14" s="33">
        <f>MAX('Analisis de operaciones'!C1199:N1199)</f>
        <v>0.7682746966</v>
      </c>
      <c r="I14" s="33">
        <f>MAX('Analisis de operaciones'!C1382:N1382)</f>
        <v>0.4911642432</v>
      </c>
      <c r="J14" s="33">
        <f>MAX('Analisis de operaciones'!C1565:N1565)</f>
        <v>0.5541607041</v>
      </c>
      <c r="K14" s="33">
        <f>MAX('Analisis de operaciones'!C1748:N1748)</f>
        <v>0.6403402796</v>
      </c>
      <c r="L14" s="11"/>
      <c r="M14" s="11"/>
      <c r="N14" s="83" t="s">
        <v>180</v>
      </c>
      <c r="O14" s="11"/>
      <c r="P14" s="11"/>
      <c r="Q14" s="38"/>
      <c r="R14" s="38"/>
      <c r="S14" s="38"/>
      <c r="T14" s="38"/>
      <c r="U14" s="38"/>
      <c r="V14" s="38"/>
      <c r="W14" s="38"/>
      <c r="X14" s="38"/>
      <c r="Y14" s="38"/>
      <c r="Z14" s="11"/>
    </row>
    <row r="15" ht="12.0" customHeight="1">
      <c r="A15" s="26" t="s">
        <v>72</v>
      </c>
      <c r="B15" s="33">
        <f>MAX('Analisis de operaciones'!C111:N111)</f>
        <v>0.02723614379</v>
      </c>
      <c r="C15" s="33">
        <f>MAX('Analisis de operaciones'!C294:N294)</f>
        <v>0.04877361656</v>
      </c>
      <c r="D15" s="33">
        <f>MAX('Analisis de operaciones'!C477:N477)</f>
        <v>0.08453200436</v>
      </c>
      <c r="E15" s="33">
        <f>MAX('Analisis de operaciones'!C660:N660)</f>
        <v>0.1565640305</v>
      </c>
      <c r="F15" s="33">
        <f>MAX('Analisis de operaciones'!C843:N843)</f>
        <v>0.2657765359</v>
      </c>
      <c r="G15" s="33">
        <f>MAX('Analisis de operaciones'!C1026:N1026)</f>
        <v>0.3731753595</v>
      </c>
      <c r="H15" s="33">
        <f>MAX('Analisis de operaciones'!C1209:N1209)</f>
        <v>0.5031421569</v>
      </c>
      <c r="I15" s="33">
        <f>MAX('Analisis de operaciones'!C1392:N1392)</f>
        <v>0.6370454684</v>
      </c>
      <c r="J15" s="33">
        <f>MAX('Analisis de operaciones'!C1575:N1575)</f>
        <v>0.7273585839</v>
      </c>
      <c r="K15" s="33">
        <f>MAX('Analisis de operaciones'!C1758:N1758)</f>
        <v>0.841012549</v>
      </c>
      <c r="L15" s="11"/>
      <c r="M15" s="11"/>
      <c r="N15" s="85" t="s">
        <v>202</v>
      </c>
      <c r="O15" s="11"/>
      <c r="P15" s="11"/>
      <c r="Q15" s="38"/>
      <c r="R15" s="38"/>
      <c r="S15" s="38"/>
      <c r="T15" s="38"/>
      <c r="U15" s="38"/>
      <c r="V15" s="38"/>
      <c r="W15" s="38"/>
      <c r="X15" s="38"/>
      <c r="Y15" s="38"/>
      <c r="Z15" s="11"/>
    </row>
    <row r="16" ht="12.0" customHeight="1">
      <c r="A16" s="26" t="s">
        <v>74</v>
      </c>
      <c r="B16" s="33">
        <f>MAX('Analisis de operaciones'!C121:N121)</f>
        <v>0.02750729167</v>
      </c>
      <c r="C16" s="33">
        <f>MAX('Analisis de operaciones'!C304:N304)</f>
        <v>0.04306493056</v>
      </c>
      <c r="D16" s="33">
        <f>MAX('Analisis de operaciones'!C487:N487)</f>
        <v>0.09180590278</v>
      </c>
      <c r="E16" s="33">
        <f>MAX('Analisis de operaciones'!C670:N670)</f>
        <v>0.2045371528</v>
      </c>
      <c r="F16" s="33">
        <f>MAX('Analisis de operaciones'!C853:N853)</f>
        <v>0.3573239583</v>
      </c>
      <c r="G16" s="33">
        <f>MAX('Analisis de operaciones'!C1036:N1036)</f>
        <v>0.5020635417</v>
      </c>
      <c r="H16" s="33">
        <f>MAX('Analisis de operaciones'!C1219:N1219)</f>
        <v>0.693459375</v>
      </c>
      <c r="I16" s="33">
        <f>MAX('Analisis de operaciones'!C1402:N1402)</f>
        <v>0.8866684028</v>
      </c>
      <c r="J16" s="33">
        <f>MAX('Analisis de operaciones'!C1585:N1585)</f>
        <v>0.5001960069</v>
      </c>
      <c r="K16" s="33">
        <f>MAX('Analisis de operaciones'!C1768:N1768)</f>
        <v>0.5779833333</v>
      </c>
      <c r="L16" s="11"/>
      <c r="M16" s="11"/>
      <c r="N16" s="86" t="s">
        <v>186</v>
      </c>
      <c r="O16" s="11"/>
      <c r="P16" s="11"/>
      <c r="Q16" s="38"/>
      <c r="R16" s="38"/>
      <c r="S16" s="38"/>
      <c r="T16" s="38"/>
      <c r="U16" s="38"/>
      <c r="V16" s="38"/>
      <c r="W16" s="38"/>
      <c r="X16" s="38"/>
      <c r="Y16" s="38"/>
      <c r="Z16" s="11"/>
    </row>
    <row r="17" ht="12.0" customHeight="1">
      <c r="A17" s="26" t="s">
        <v>76</v>
      </c>
      <c r="B17" s="33">
        <f>MAX('Analisis de operaciones'!C1841:N1841)</f>
        <v>0.012874161</v>
      </c>
      <c r="C17" s="33">
        <f>MAX('Analisis de operaciones'!C1863:N1863)</f>
        <v>0.02015555933</v>
      </c>
      <c r="D17" s="33">
        <f>MAX('Analisis de operaciones'!C1885:N1885)</f>
        <v>0.04296766062</v>
      </c>
      <c r="E17" s="33">
        <f>MAX('Analisis de operaciones'!C1907:N1907)</f>
        <v>0.09572895314</v>
      </c>
      <c r="F17" s="33">
        <f>MAX('Analisis de operaciones'!C1929:N1929)</f>
        <v>0.1672373356</v>
      </c>
      <c r="G17" s="33">
        <f>MAX('Analisis de operaciones'!C1951:N1951)</f>
        <v>0.2349793991</v>
      </c>
      <c r="H17" s="33">
        <f>MAX('Analisis de operaciones'!C1973:N1973)</f>
        <v>0.3245578571</v>
      </c>
      <c r="I17" s="33">
        <f>MAX('Analisis de operaciones'!C1995:N1995)</f>
        <v>0.4149849395</v>
      </c>
      <c r="J17" s="33">
        <f>MAX('Analisis de operaciones'!C2017:N2017)</f>
        <v>0.4682106841</v>
      </c>
      <c r="K17" s="33">
        <f>MAX('Analisis de operaciones'!C2039:N2039)</f>
        <v>0.5410238549</v>
      </c>
      <c r="L17" s="11"/>
      <c r="M17" s="11"/>
      <c r="N17" s="37" t="s">
        <v>212</v>
      </c>
      <c r="O17" s="11"/>
      <c r="P17" s="11"/>
      <c r="Q17" s="38"/>
      <c r="R17" s="38"/>
      <c r="S17" s="38"/>
      <c r="T17" s="38"/>
      <c r="U17" s="38"/>
      <c r="V17" s="38"/>
      <c r="W17" s="38"/>
      <c r="X17" s="38"/>
      <c r="Y17" s="38"/>
      <c r="Z17" s="11"/>
    </row>
    <row r="18" ht="12.0" customHeight="1">
      <c r="A18" s="26" t="s">
        <v>214</v>
      </c>
      <c r="B18" s="33" t="str">
        <f>IF(B42=0,"Tercerizado",MAX('Analisis de operaciones'!C131:N131))</f>
        <v>Tercerizado</v>
      </c>
      <c r="C18" s="33" t="str">
        <f>IF(C42=0,"Tercerizado",MAX('Analisis de operaciones'!C314:N314))</f>
        <v>Tercerizado</v>
      </c>
      <c r="D18" s="33" t="str">
        <f>IF(D42=0,"Tercerizado",MAX('Analisis de operaciones'!C497:N497))</f>
        <v>Tercerizado</v>
      </c>
      <c r="E18" s="33">
        <f>IF(E42=0,"Tercerizado",MAX('Analisis de operaciones'!C680:N680))</f>
        <v>0.2887100863</v>
      </c>
      <c r="F18" s="33">
        <f>IF(F42=0,"Tercerizado",MAX('Analisis de operaciones'!C863:N863))</f>
        <v>0.504373066</v>
      </c>
      <c r="G18" s="33">
        <f>IF(G42=0,"Tercerizado",MAX('Analisis de operaciones'!C1046:N1046))</f>
        <v>0.7086771596</v>
      </c>
      <c r="H18" s="33">
        <f>IF(H42=0,"Tercerizado",MAX('Analisis de operaciones'!C1229:N1229))</f>
        <v>0.4894189474</v>
      </c>
      <c r="I18" s="33">
        <f>IF(I42=0,"Tercerizado",MAX('Analisis de operaciones'!C1412:N1412))</f>
        <v>0.6257790031</v>
      </c>
      <c r="J18" s="33">
        <f>IF(J42=0,"Tercerizado",MAX('Analisis de operaciones'!C1595:N1595))</f>
        <v>0.7060410805</v>
      </c>
      <c r="K18" s="33">
        <f>IF(K42=0,"Tercerizado",MAX('Analisis de operaciones'!C1778:N1778))</f>
        <v>0.8158401337</v>
      </c>
      <c r="L18" s="11"/>
      <c r="M18" s="11"/>
      <c r="N18" s="11"/>
      <c r="O18" s="11"/>
      <c r="P18" s="11"/>
      <c r="Q18" s="38"/>
      <c r="R18" s="38"/>
      <c r="S18" s="38"/>
      <c r="T18" s="38"/>
      <c r="U18" s="38"/>
      <c r="V18" s="38"/>
      <c r="W18" s="38"/>
      <c r="X18" s="38"/>
      <c r="Y18" s="38"/>
      <c r="Z18" s="11"/>
    </row>
    <row r="19" ht="12.0" customHeight="1">
      <c r="A19" s="26" t="s">
        <v>79</v>
      </c>
      <c r="B19" s="33">
        <f>MAX('Analisis de operaciones'!C141:N141)</f>
        <v>0.09112926136</v>
      </c>
      <c r="C19" s="33">
        <f>MAX('Analisis de operaciones'!C324:N324)</f>
        <v>0.1432028093</v>
      </c>
      <c r="D19" s="33">
        <f>MAX('Analisis de operaciones'!C507:N507)</f>
        <v>0.1758241793</v>
      </c>
      <c r="E19" s="33">
        <f>MAX('Analisis de operaciones'!C690:N690)</f>
        <v>0.2284214015</v>
      </c>
      <c r="F19" s="33">
        <f>MAX('Analisis de operaciones'!C873:N873)</f>
        <v>0.3515445076</v>
      </c>
      <c r="G19" s="33">
        <f>MAX('Analisis de operaciones'!C1056:N1056)</f>
        <v>0.4571366793</v>
      </c>
      <c r="H19" s="33">
        <f>MAX('Analisis de operaciones'!C1239:N1239)</f>
        <v>0.5914469697</v>
      </c>
      <c r="I19" s="33">
        <f>MAX('Analisis de operaciones'!C1422:N1422)</f>
        <v>0.7320170455</v>
      </c>
      <c r="J19" s="33">
        <f>MAX('Analisis de operaciones'!C1605:N1605)</f>
        <v>0.8431564078</v>
      </c>
      <c r="K19" s="33">
        <f>MAX('Analisis de operaciones'!C1788:N1788)</f>
        <v>0.4797999527</v>
      </c>
      <c r="L19" s="11"/>
      <c r="M19" s="11"/>
      <c r="N19" s="11"/>
      <c r="O19" s="11"/>
      <c r="P19" s="11"/>
      <c r="Q19" s="38"/>
      <c r="R19" s="38"/>
      <c r="S19" s="38"/>
      <c r="T19" s="38"/>
      <c r="U19" s="38"/>
      <c r="V19" s="38"/>
      <c r="W19" s="38"/>
      <c r="X19" s="38"/>
      <c r="Y19" s="38"/>
      <c r="Z19" s="11"/>
    </row>
    <row r="20" ht="12.0" customHeight="1">
      <c r="A20" s="26" t="s">
        <v>81</v>
      </c>
      <c r="B20" s="33">
        <f>MAX('Analisis de operaciones'!C151:N151)</f>
        <v>0.2182142857</v>
      </c>
      <c r="C20" s="33">
        <f>MAX('Analisis de operaciones'!C334:N334)</f>
        <v>0.3429074074</v>
      </c>
      <c r="D20" s="33">
        <f>MAX('Analisis de operaciones'!C517:N517)</f>
        <v>0.421021164</v>
      </c>
      <c r="E20" s="33">
        <f>MAX('Analisis de operaciones'!C700:N700)</f>
        <v>0.546968254</v>
      </c>
      <c r="F20" s="33">
        <f>MAX('Analisis de operaciones'!C883:N883)</f>
        <v>0.8417936508</v>
      </c>
      <c r="G20" s="33">
        <f>MAX('Analisis de operaciones'!C1066:N1066)</f>
        <v>0.5473201058</v>
      </c>
      <c r="H20" s="33">
        <f>MAX('Analisis de operaciones'!C1249:N1249)</f>
        <v>0.7081269841</v>
      </c>
      <c r="I20" s="33">
        <f>MAX('Analisis de operaciones'!C1432:N1432)</f>
        <v>0.8764285714</v>
      </c>
      <c r="J20" s="33">
        <f>MAX('Analisis de operaciones'!C1615:N1615)</f>
        <v>0.5047466931</v>
      </c>
      <c r="K20" s="33">
        <f>MAX('Analisis de operaciones'!C1798:N1798)</f>
        <v>0.5744543651</v>
      </c>
      <c r="L20" s="11"/>
      <c r="M20" s="11"/>
      <c r="N20" s="11"/>
      <c r="O20" s="11"/>
      <c r="P20" s="11"/>
      <c r="Q20" s="38"/>
      <c r="R20" s="38"/>
      <c r="S20" s="38"/>
      <c r="T20" s="38"/>
      <c r="U20" s="38"/>
      <c r="V20" s="38"/>
      <c r="W20" s="38"/>
      <c r="X20" s="38"/>
      <c r="Y20" s="38"/>
      <c r="Z20" s="11"/>
    </row>
    <row r="21" ht="12.0" customHeight="1">
      <c r="A21" s="26" t="s">
        <v>82</v>
      </c>
      <c r="B21" s="33">
        <f>MAX('Analisis de operaciones'!C161:N161)</f>
        <v>0.1323833333</v>
      </c>
      <c r="C21" s="33">
        <f>MAX('Analisis de operaciones'!C344:N344)</f>
        <v>0.2080304938</v>
      </c>
      <c r="D21" s="33">
        <f>MAX('Analisis de operaciones'!C527:N527)</f>
        <v>0.2554195062</v>
      </c>
      <c r="E21" s="33">
        <f>MAX('Analisis de operaciones'!C710:N710)</f>
        <v>0.3318274074</v>
      </c>
      <c r="F21" s="33">
        <f>MAX('Analisis de operaciones'!C893:N893)</f>
        <v>0.5106881481</v>
      </c>
      <c r="G21" s="33">
        <f>MAX('Analisis de operaciones'!C1076:N1076)</f>
        <v>0.6640817284</v>
      </c>
      <c r="H21" s="33">
        <f>MAX('Analisis de operaciones'!C1259:N1259)</f>
        <v>0.8591940741</v>
      </c>
      <c r="I21" s="33">
        <f>MAX('Analisis de operaciones'!C1442:N1442)</f>
        <v>0.5317</v>
      </c>
      <c r="J21" s="33">
        <f>MAX('Analisis de operaciones'!C1625:N1625)</f>
        <v>0.6124259877</v>
      </c>
      <c r="K21" s="33">
        <f>MAX('Analisis de operaciones'!C1808:N1808)</f>
        <v>0.6970046296</v>
      </c>
      <c r="L21" s="11"/>
      <c r="M21" s="11"/>
      <c r="N21" s="11"/>
      <c r="O21" s="11"/>
      <c r="P21" s="11"/>
      <c r="Q21" s="38"/>
      <c r="R21" s="38"/>
      <c r="S21" s="38"/>
      <c r="T21" s="38"/>
      <c r="U21" s="38"/>
      <c r="V21" s="38"/>
      <c r="W21" s="38"/>
      <c r="X21" s="38"/>
      <c r="Y21" s="38"/>
      <c r="Z21" s="11"/>
    </row>
    <row r="22" ht="12.0" customHeight="1">
      <c r="A22" s="26" t="s">
        <v>83</v>
      </c>
      <c r="B22" s="33">
        <f>MAX('Analisis de operaciones'!C171:N171)</f>
        <v>0.1200178571</v>
      </c>
      <c r="C22" s="33">
        <f>MAX('Analisis de operaciones'!C354:N354)</f>
        <v>0.1885990741</v>
      </c>
      <c r="D22" s="33">
        <f>MAX('Analisis de operaciones'!C537:N537)</f>
        <v>0.2315616402</v>
      </c>
      <c r="E22" s="33">
        <f>MAX('Analisis de operaciones'!C720:N720)</f>
        <v>0.3008325397</v>
      </c>
      <c r="F22" s="33">
        <f>MAX('Analisis de operaciones'!C903:N903)</f>
        <v>0.4629865079</v>
      </c>
      <c r="G22" s="33">
        <f>MAX('Analisis de operaciones'!C1086:N1086)</f>
        <v>0.6020521164</v>
      </c>
      <c r="H22" s="33">
        <f>MAX('Analisis de operaciones'!C1269:N1269)</f>
        <v>0.7789396825</v>
      </c>
      <c r="I22" s="33">
        <f>MAX('Analisis de operaciones'!C1452:N1452)</f>
        <v>0.4820357143</v>
      </c>
      <c r="J22" s="33">
        <f>MAX('Analisis de operaciones'!C1635:N1635)</f>
        <v>0.5552213624</v>
      </c>
      <c r="K22" s="33">
        <f>MAX('Analisis de operaciones'!C1818:N1818)</f>
        <v>0.6318998016</v>
      </c>
      <c r="L22" s="11"/>
      <c r="M22" s="11"/>
      <c r="N22" s="11"/>
      <c r="O22" s="11"/>
      <c r="P22" s="11"/>
      <c r="Q22" s="38"/>
      <c r="R22" s="38"/>
      <c r="S22" s="38"/>
      <c r="T22" s="38"/>
      <c r="U22" s="38"/>
      <c r="V22" s="38"/>
      <c r="W22" s="38"/>
      <c r="X22" s="38"/>
      <c r="Y22" s="38"/>
      <c r="Z22" s="11"/>
    </row>
    <row r="23" ht="12.0" customHeight="1">
      <c r="A23" s="26" t="s">
        <v>84</v>
      </c>
      <c r="B23" s="33">
        <f>MAX('Analisis de operaciones'!C181:N181)</f>
        <v>0.1081953472</v>
      </c>
      <c r="C23" s="33">
        <f>MAX('Analisis de operaciones'!C364:N364)</f>
        <v>0.1693887269</v>
      </c>
      <c r="D23" s="33">
        <f>MAX('Analisis de operaciones'!C547:N547)</f>
        <v>0.3611032176</v>
      </c>
      <c r="E23" s="33">
        <f>MAX('Analisis de operaciones'!C730:N730)</f>
        <v>0.8045128009</v>
      </c>
      <c r="F23" s="33">
        <f>MAX('Analisis de operaciones'!C913:N913)</f>
        <v>0.7027371181</v>
      </c>
      <c r="G23" s="33">
        <f>MAX('Analisis de operaciones'!C1096:N1096)</f>
        <v>0.658261088</v>
      </c>
      <c r="H23" s="33">
        <f>MAX('Analisis de operaciones'!C1279:N1279)</f>
        <v>0.4546011458</v>
      </c>
      <c r="I23" s="33">
        <f>MAX('Analisis de operaciones'!C1462:N1462)</f>
        <v>0.5812603974</v>
      </c>
      <c r="J23" s="33">
        <f>MAX('Analisis de operaciones'!C1645:N1645)</f>
        <v>0.6558125424</v>
      </c>
      <c r="K23" s="33">
        <f>MAX('Analisis de operaciones'!C1828:N1828)</f>
        <v>0.7578003704</v>
      </c>
      <c r="L23" s="11"/>
      <c r="M23" s="11"/>
      <c r="N23" s="11"/>
      <c r="O23" s="11"/>
      <c r="P23" s="11"/>
      <c r="Q23" s="38"/>
      <c r="R23" s="38"/>
      <c r="S23" s="38"/>
      <c r="T23" s="38"/>
      <c r="U23" s="38"/>
      <c r="V23" s="38"/>
      <c r="W23" s="38"/>
      <c r="X23" s="38"/>
      <c r="Y23" s="38"/>
      <c r="Z23" s="11"/>
    </row>
    <row r="24" ht="12.0" customHeight="1">
      <c r="A24" s="26" t="s">
        <v>85</v>
      </c>
      <c r="B24" s="33">
        <f>MAX('Analisis de operaciones'!C1851:N1851)</f>
        <v>0.04444900285</v>
      </c>
      <c r="C24" s="33">
        <f>MAX('Analisis de operaciones'!C1873:N1873)</f>
        <v>0.06378575499</v>
      </c>
      <c r="D24" s="33">
        <f>MAX('Analisis de operaciones'!C1895:N1895)</f>
        <v>0.1543749288</v>
      </c>
      <c r="E24" s="33">
        <f>MAX('Analisis de operaciones'!C1917:N1917)</f>
        <v>0.3739927825</v>
      </c>
      <c r="F24" s="33">
        <f>MAX('Analisis de operaciones'!C1939:N1939)</f>
        <v>0.6606830009</v>
      </c>
      <c r="G24" s="33">
        <f>MAX('Analisis de operaciones'!C1961:N1961)</f>
        <v>0.4642735043</v>
      </c>
      <c r="H24" s="33">
        <f>MAX('Analisis de operaciones'!C1983:N1983)</f>
        <v>0.6470792023</v>
      </c>
      <c r="I24" s="33">
        <f>MAX('Analisis de operaciones'!C2005:N2005)</f>
        <v>0.8303369421</v>
      </c>
      <c r="J24" s="33">
        <f>MAX('Analisis de operaciones'!C2027:N2027)</f>
        <v>0.4663821462</v>
      </c>
      <c r="K24" s="33">
        <f>MAX('Analisis de operaciones'!C2049:N2049)</f>
        <v>0.5387832858</v>
      </c>
      <c r="L24" s="11"/>
      <c r="M24" s="11"/>
      <c r="N24" s="11"/>
      <c r="O24" s="11"/>
      <c r="P24" s="11"/>
      <c r="Q24" s="11"/>
      <c r="R24" s="11"/>
      <c r="S24" s="11"/>
      <c r="T24" s="11"/>
      <c r="U24" s="11"/>
      <c r="V24" s="11"/>
      <c r="W24" s="11"/>
      <c r="X24" s="11"/>
      <c r="Y24" s="11"/>
      <c r="Z24" s="11"/>
    </row>
    <row r="25" ht="12.0"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2.0" customHeight="1">
      <c r="A26" s="107" t="s">
        <v>266</v>
      </c>
      <c r="B26" s="16"/>
      <c r="C26" s="16"/>
      <c r="D26" s="16"/>
      <c r="E26" s="16"/>
      <c r="F26" s="16"/>
      <c r="G26" s="16"/>
      <c r="H26" s="16"/>
      <c r="I26" s="16"/>
      <c r="J26" s="16"/>
      <c r="K26" s="17"/>
      <c r="L26" s="11"/>
      <c r="M26" s="11"/>
      <c r="N26" s="11"/>
      <c r="O26" s="11"/>
      <c r="P26" s="11"/>
      <c r="Q26" s="11"/>
      <c r="R26" s="11"/>
      <c r="S26" s="11"/>
      <c r="T26" s="11"/>
      <c r="U26" s="11"/>
      <c r="V26" s="11"/>
      <c r="W26" s="11"/>
      <c r="X26" s="11"/>
      <c r="Y26" s="11"/>
      <c r="Z26" s="11"/>
    </row>
    <row r="27" ht="12.0"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2.0" customHeight="1">
      <c r="A28" s="21" t="s">
        <v>22</v>
      </c>
      <c r="B28" s="21">
        <v>2026.0</v>
      </c>
      <c r="C28" s="21">
        <v>2027.0</v>
      </c>
      <c r="D28" s="21">
        <v>2028.0</v>
      </c>
      <c r="E28" s="21">
        <v>2029.0</v>
      </c>
      <c r="F28" s="21">
        <v>2030.0</v>
      </c>
      <c r="G28" s="21">
        <v>2031.0</v>
      </c>
      <c r="H28" s="21">
        <v>2032.0</v>
      </c>
      <c r="I28" s="21">
        <v>2033.0</v>
      </c>
      <c r="J28" s="21">
        <v>2034.0</v>
      </c>
      <c r="K28" s="21">
        <v>2035.0</v>
      </c>
      <c r="L28" s="11"/>
      <c r="M28" s="11"/>
      <c r="N28" s="11"/>
      <c r="O28" s="11"/>
      <c r="P28" s="11"/>
      <c r="Q28" s="11"/>
      <c r="R28" s="11"/>
      <c r="S28" s="11"/>
      <c r="T28" s="11"/>
      <c r="U28" s="11"/>
      <c r="V28" s="11"/>
      <c r="W28" s="11"/>
      <c r="X28" s="11"/>
      <c r="Y28" s="11"/>
      <c r="Z28" s="11"/>
    </row>
    <row r="29" ht="12.0" customHeight="1">
      <c r="A29" s="26" t="s">
        <v>26</v>
      </c>
      <c r="B29" s="108">
        <f t="shared" ref="B29:B41" si="2">MAX(1,B133)</f>
        <v>1</v>
      </c>
      <c r="C29" s="108">
        <f t="shared" ref="C29:K29" si="1">MAX(B29,C133)</f>
        <v>1</v>
      </c>
      <c r="D29" s="108">
        <f t="shared" si="1"/>
        <v>1</v>
      </c>
      <c r="E29" s="108">
        <f t="shared" si="1"/>
        <v>1</v>
      </c>
      <c r="F29" s="108">
        <f t="shared" si="1"/>
        <v>2</v>
      </c>
      <c r="G29" s="108">
        <f t="shared" si="1"/>
        <v>2</v>
      </c>
      <c r="H29" s="108">
        <f t="shared" si="1"/>
        <v>2</v>
      </c>
      <c r="I29" s="108">
        <f t="shared" si="1"/>
        <v>2</v>
      </c>
      <c r="J29" s="108">
        <f t="shared" si="1"/>
        <v>2</v>
      </c>
      <c r="K29" s="108">
        <f t="shared" si="1"/>
        <v>2</v>
      </c>
      <c r="L29" s="11"/>
      <c r="M29" s="11"/>
      <c r="N29" s="11"/>
      <c r="O29" s="11"/>
      <c r="P29" s="11"/>
      <c r="Q29" s="11"/>
      <c r="R29" s="11"/>
      <c r="S29" s="11"/>
      <c r="T29" s="11"/>
      <c r="U29" s="11"/>
      <c r="V29" s="11"/>
      <c r="W29" s="11"/>
      <c r="X29" s="11"/>
      <c r="Y29" s="11"/>
      <c r="Z29" s="11"/>
    </row>
    <row r="30" ht="12.0" customHeight="1">
      <c r="A30" s="26" t="s">
        <v>55</v>
      </c>
      <c r="B30" s="108">
        <f t="shared" si="2"/>
        <v>1</v>
      </c>
      <c r="C30" s="108">
        <f t="shared" ref="C30:K30" si="3">IF(AND(C55="Automática",B55="Manual"),C134,MAX(B30,C134))</f>
        <v>1</v>
      </c>
      <c r="D30" s="108">
        <f t="shared" si="3"/>
        <v>1</v>
      </c>
      <c r="E30" s="108">
        <f t="shared" si="3"/>
        <v>1</v>
      </c>
      <c r="F30" s="108">
        <f t="shared" si="3"/>
        <v>1</v>
      </c>
      <c r="G30" s="108">
        <f t="shared" si="3"/>
        <v>2</v>
      </c>
      <c r="H30" s="108">
        <f t="shared" si="3"/>
        <v>2</v>
      </c>
      <c r="I30" s="108">
        <f t="shared" si="3"/>
        <v>2</v>
      </c>
      <c r="J30" s="108">
        <f t="shared" si="3"/>
        <v>2</v>
      </c>
      <c r="K30" s="108">
        <f t="shared" si="3"/>
        <v>2</v>
      </c>
      <c r="L30" s="11"/>
      <c r="M30" s="11"/>
      <c r="N30" s="11"/>
      <c r="O30" s="11"/>
      <c r="P30" s="11"/>
      <c r="Q30" s="11"/>
      <c r="R30" s="11"/>
      <c r="S30" s="11"/>
      <c r="T30" s="11"/>
      <c r="U30" s="11"/>
      <c r="V30" s="11"/>
      <c r="W30" s="11"/>
      <c r="X30" s="11"/>
      <c r="Y30" s="11"/>
      <c r="Z30" s="11"/>
    </row>
    <row r="31" ht="12.0" customHeight="1">
      <c r="A31" s="26" t="s">
        <v>61</v>
      </c>
      <c r="B31" s="108">
        <f t="shared" si="2"/>
        <v>1</v>
      </c>
      <c r="C31" s="108">
        <f t="shared" ref="C31:K31" si="4">MAX(B31,C135)</f>
        <v>1</v>
      </c>
      <c r="D31" s="108">
        <f t="shared" si="4"/>
        <v>1</v>
      </c>
      <c r="E31" s="108">
        <f t="shared" si="4"/>
        <v>1</v>
      </c>
      <c r="F31" s="108">
        <f t="shared" si="4"/>
        <v>1</v>
      </c>
      <c r="G31" s="108">
        <f t="shared" si="4"/>
        <v>1</v>
      </c>
      <c r="H31" s="108">
        <f t="shared" si="4"/>
        <v>1</v>
      </c>
      <c r="I31" s="108">
        <f t="shared" si="4"/>
        <v>1</v>
      </c>
      <c r="J31" s="108">
        <f t="shared" si="4"/>
        <v>1</v>
      </c>
      <c r="K31" s="108">
        <f t="shared" si="4"/>
        <v>1</v>
      </c>
      <c r="L31" s="11"/>
      <c r="M31" s="11"/>
      <c r="N31" s="11"/>
      <c r="O31" s="11"/>
      <c r="P31" s="11"/>
      <c r="Q31" s="11"/>
      <c r="R31" s="11"/>
      <c r="S31" s="11"/>
      <c r="T31" s="11"/>
      <c r="U31" s="11"/>
      <c r="V31" s="11"/>
      <c r="W31" s="11"/>
      <c r="X31" s="11"/>
      <c r="Y31" s="11"/>
      <c r="Z31" s="11"/>
    </row>
    <row r="32" ht="12.0" customHeight="1">
      <c r="A32" s="26" t="s">
        <v>62</v>
      </c>
      <c r="B32" s="108">
        <f t="shared" si="2"/>
        <v>1</v>
      </c>
      <c r="C32" s="108">
        <f t="shared" ref="C32:K32" si="5">MAX(B32,C136)</f>
        <v>1</v>
      </c>
      <c r="D32" s="108">
        <f t="shared" si="5"/>
        <v>1</v>
      </c>
      <c r="E32" s="108">
        <f t="shared" si="5"/>
        <v>1</v>
      </c>
      <c r="F32" s="108">
        <f t="shared" si="5"/>
        <v>1</v>
      </c>
      <c r="G32" s="108">
        <f t="shared" si="5"/>
        <v>2</v>
      </c>
      <c r="H32" s="108">
        <f t="shared" si="5"/>
        <v>2</v>
      </c>
      <c r="I32" s="108">
        <f t="shared" si="5"/>
        <v>2</v>
      </c>
      <c r="J32" s="108">
        <f t="shared" si="5"/>
        <v>2</v>
      </c>
      <c r="K32" s="108">
        <f t="shared" si="5"/>
        <v>2</v>
      </c>
      <c r="L32" s="11"/>
      <c r="M32" s="11"/>
      <c r="N32" s="11"/>
      <c r="O32" s="11"/>
      <c r="P32" s="11"/>
      <c r="Q32" s="11"/>
      <c r="R32" s="11"/>
      <c r="S32" s="11"/>
      <c r="T32" s="11"/>
      <c r="U32" s="11"/>
      <c r="V32" s="11"/>
      <c r="W32" s="11"/>
      <c r="X32" s="11"/>
      <c r="Y32" s="11"/>
      <c r="Z32" s="11"/>
    </row>
    <row r="33" ht="12.0" customHeight="1">
      <c r="A33" s="26" t="s">
        <v>63</v>
      </c>
      <c r="B33" s="108">
        <f t="shared" si="2"/>
        <v>1</v>
      </c>
      <c r="C33" s="108">
        <f t="shared" ref="C33:K33" si="6">MAX(B33,C137)</f>
        <v>1</v>
      </c>
      <c r="D33" s="108">
        <f t="shared" si="6"/>
        <v>1</v>
      </c>
      <c r="E33" s="108">
        <f t="shared" si="6"/>
        <v>1</v>
      </c>
      <c r="F33" s="108">
        <f t="shared" si="6"/>
        <v>1</v>
      </c>
      <c r="G33" s="108">
        <f t="shared" si="6"/>
        <v>1</v>
      </c>
      <c r="H33" s="108">
        <f t="shared" si="6"/>
        <v>1</v>
      </c>
      <c r="I33" s="108">
        <f t="shared" si="6"/>
        <v>1</v>
      </c>
      <c r="J33" s="108">
        <f t="shared" si="6"/>
        <v>1</v>
      </c>
      <c r="K33" s="108">
        <f t="shared" si="6"/>
        <v>1</v>
      </c>
      <c r="L33" s="11"/>
      <c r="M33" s="11"/>
      <c r="N33" s="11"/>
      <c r="O33" s="11"/>
      <c r="P33" s="11"/>
      <c r="Q33" s="11"/>
      <c r="R33" s="11"/>
      <c r="S33" s="11"/>
      <c r="T33" s="11"/>
      <c r="U33" s="11"/>
      <c r="V33" s="11"/>
      <c r="W33" s="11"/>
      <c r="X33" s="11"/>
      <c r="Y33" s="11"/>
      <c r="Z33" s="11"/>
    </row>
    <row r="34" ht="12.0" customHeight="1">
      <c r="A34" s="26" t="s">
        <v>64</v>
      </c>
      <c r="B34" s="108">
        <f t="shared" si="2"/>
        <v>1</v>
      </c>
      <c r="C34" s="108">
        <f t="shared" ref="C34:K34" si="7">MAX(B34,C138)</f>
        <v>1</v>
      </c>
      <c r="D34" s="108">
        <f t="shared" si="7"/>
        <v>1</v>
      </c>
      <c r="E34" s="108">
        <f t="shared" si="7"/>
        <v>1</v>
      </c>
      <c r="F34" s="108">
        <f t="shared" si="7"/>
        <v>1</v>
      </c>
      <c r="G34" s="108">
        <f t="shared" si="7"/>
        <v>1</v>
      </c>
      <c r="H34" s="108">
        <f t="shared" si="7"/>
        <v>1</v>
      </c>
      <c r="I34" s="108">
        <f t="shared" si="7"/>
        <v>1</v>
      </c>
      <c r="J34" s="108">
        <f t="shared" si="7"/>
        <v>1</v>
      </c>
      <c r="K34" s="108">
        <f t="shared" si="7"/>
        <v>1</v>
      </c>
      <c r="L34" s="11"/>
      <c r="M34" s="11"/>
      <c r="N34" s="11"/>
      <c r="O34" s="11"/>
      <c r="P34" s="11"/>
      <c r="Q34" s="11"/>
      <c r="R34" s="11"/>
      <c r="S34" s="11"/>
      <c r="T34" s="11"/>
      <c r="U34" s="11"/>
      <c r="V34" s="11"/>
      <c r="W34" s="11"/>
      <c r="X34" s="11"/>
      <c r="Y34" s="11"/>
      <c r="Z34" s="11"/>
    </row>
    <row r="35" ht="12.0" customHeight="1">
      <c r="A35" s="26" t="s">
        <v>66</v>
      </c>
      <c r="B35" s="108">
        <f t="shared" si="2"/>
        <v>1</v>
      </c>
      <c r="C35" s="108">
        <f t="shared" ref="C35:K35" si="8">MAX(B35,C139)</f>
        <v>1</v>
      </c>
      <c r="D35" s="108">
        <f t="shared" si="8"/>
        <v>1</v>
      </c>
      <c r="E35" s="108">
        <f t="shared" si="8"/>
        <v>1</v>
      </c>
      <c r="F35" s="108">
        <f t="shared" si="8"/>
        <v>2</v>
      </c>
      <c r="G35" s="108">
        <f t="shared" si="8"/>
        <v>2</v>
      </c>
      <c r="H35" s="108">
        <f t="shared" si="8"/>
        <v>2</v>
      </c>
      <c r="I35" s="108">
        <f t="shared" si="8"/>
        <v>2</v>
      </c>
      <c r="J35" s="108">
        <f t="shared" si="8"/>
        <v>2</v>
      </c>
      <c r="K35" s="108">
        <f t="shared" si="8"/>
        <v>3</v>
      </c>
      <c r="L35" s="11"/>
      <c r="M35" s="11"/>
      <c r="N35" s="11"/>
      <c r="O35" s="11"/>
      <c r="P35" s="11"/>
      <c r="Q35" s="11"/>
      <c r="R35" s="11"/>
      <c r="S35" s="11"/>
      <c r="T35" s="11"/>
      <c r="U35" s="11"/>
      <c r="V35" s="11"/>
      <c r="W35" s="11"/>
      <c r="X35" s="11"/>
      <c r="Y35" s="11"/>
      <c r="Z35" s="11"/>
    </row>
    <row r="36" ht="12.0" customHeight="1">
      <c r="A36" s="26" t="s">
        <v>67</v>
      </c>
      <c r="B36" s="108">
        <f t="shared" si="2"/>
        <v>1</v>
      </c>
      <c r="C36" s="108">
        <f t="shared" ref="C36:K36" si="9">MAX(B36,C140)</f>
        <v>1</v>
      </c>
      <c r="D36" s="108">
        <f t="shared" si="9"/>
        <v>1</v>
      </c>
      <c r="E36" s="108">
        <f t="shared" si="9"/>
        <v>1</v>
      </c>
      <c r="F36" s="108">
        <f t="shared" si="9"/>
        <v>1</v>
      </c>
      <c r="G36" s="108">
        <f t="shared" si="9"/>
        <v>1</v>
      </c>
      <c r="H36" s="108">
        <f t="shared" si="9"/>
        <v>1</v>
      </c>
      <c r="I36" s="108">
        <f t="shared" si="9"/>
        <v>1</v>
      </c>
      <c r="J36" s="108">
        <f t="shared" si="9"/>
        <v>1</v>
      </c>
      <c r="K36" s="108">
        <f t="shared" si="9"/>
        <v>1</v>
      </c>
      <c r="L36" s="11"/>
      <c r="M36" s="11"/>
      <c r="N36" s="11"/>
      <c r="O36" s="11"/>
      <c r="P36" s="11"/>
      <c r="Q36" s="11"/>
      <c r="R36" s="11"/>
      <c r="S36" s="11"/>
      <c r="T36" s="11"/>
      <c r="U36" s="11"/>
      <c r="V36" s="11"/>
      <c r="W36" s="11"/>
      <c r="X36" s="11"/>
      <c r="Y36" s="11"/>
      <c r="Z36" s="11"/>
    </row>
    <row r="37" ht="12.0" customHeight="1">
      <c r="A37" s="26" t="s">
        <v>68</v>
      </c>
      <c r="B37" s="108">
        <f t="shared" si="2"/>
        <v>1</v>
      </c>
      <c r="C37" s="108">
        <f t="shared" ref="C37:K37" si="10">MAX(B37,C141)</f>
        <v>1</v>
      </c>
      <c r="D37" s="108">
        <f t="shared" si="10"/>
        <v>1</v>
      </c>
      <c r="E37" s="108">
        <f t="shared" si="10"/>
        <v>1</v>
      </c>
      <c r="F37" s="108">
        <f t="shared" si="10"/>
        <v>2</v>
      </c>
      <c r="G37" s="108">
        <f t="shared" si="10"/>
        <v>2</v>
      </c>
      <c r="H37" s="108">
        <f t="shared" si="10"/>
        <v>2</v>
      </c>
      <c r="I37" s="108">
        <f t="shared" si="10"/>
        <v>2</v>
      </c>
      <c r="J37" s="108">
        <f t="shared" si="10"/>
        <v>2</v>
      </c>
      <c r="K37" s="108">
        <f t="shared" si="10"/>
        <v>2</v>
      </c>
      <c r="L37" s="11"/>
      <c r="M37" s="11"/>
      <c r="N37" s="11"/>
      <c r="O37" s="11"/>
      <c r="P37" s="11"/>
      <c r="Q37" s="11"/>
      <c r="R37" s="11"/>
      <c r="S37" s="11"/>
      <c r="T37" s="11"/>
      <c r="U37" s="11"/>
      <c r="V37" s="11"/>
      <c r="W37" s="11"/>
      <c r="X37" s="11"/>
      <c r="Y37" s="11"/>
      <c r="Z37" s="11"/>
    </row>
    <row r="38" ht="12.0" customHeight="1">
      <c r="A38" s="26" t="s">
        <v>70</v>
      </c>
      <c r="B38" s="108">
        <f t="shared" si="2"/>
        <v>1</v>
      </c>
      <c r="C38" s="108">
        <f t="shared" ref="C38:K38" si="11">IF(AND(C58="Automática",B58="Manual"),C142,MAX(B38,C142))</f>
        <v>1</v>
      </c>
      <c r="D38" s="108">
        <f t="shared" si="11"/>
        <v>1</v>
      </c>
      <c r="E38" s="108">
        <f t="shared" si="11"/>
        <v>1</v>
      </c>
      <c r="F38" s="108">
        <f t="shared" si="11"/>
        <v>1</v>
      </c>
      <c r="G38" s="108">
        <f t="shared" si="11"/>
        <v>2</v>
      </c>
      <c r="H38" s="108">
        <f t="shared" si="11"/>
        <v>2</v>
      </c>
      <c r="I38" s="108">
        <f t="shared" si="11"/>
        <v>2</v>
      </c>
      <c r="J38" s="108">
        <f t="shared" si="11"/>
        <v>2</v>
      </c>
      <c r="K38" s="108">
        <f t="shared" si="11"/>
        <v>2</v>
      </c>
      <c r="L38" s="11"/>
      <c r="M38" s="11"/>
      <c r="N38" s="11"/>
      <c r="O38" s="11"/>
      <c r="P38" s="11"/>
      <c r="Q38" s="11"/>
      <c r="R38" s="11"/>
      <c r="S38" s="11"/>
      <c r="T38" s="11"/>
      <c r="U38" s="11"/>
      <c r="V38" s="11"/>
      <c r="W38" s="11"/>
      <c r="X38" s="11"/>
      <c r="Y38" s="11"/>
      <c r="Z38" s="11"/>
    </row>
    <row r="39" ht="12.0" customHeight="1">
      <c r="A39" s="26" t="s">
        <v>72</v>
      </c>
      <c r="B39" s="108">
        <f t="shared" si="2"/>
        <v>1</v>
      </c>
      <c r="C39" s="108">
        <f t="shared" ref="C39:K39" si="12">MAX(B39,C143)</f>
        <v>1</v>
      </c>
      <c r="D39" s="108">
        <f t="shared" si="12"/>
        <v>1</v>
      </c>
      <c r="E39" s="108">
        <f t="shared" si="12"/>
        <v>1</v>
      </c>
      <c r="F39" s="108">
        <f t="shared" si="12"/>
        <v>1</v>
      </c>
      <c r="G39" s="108">
        <f t="shared" si="12"/>
        <v>1</v>
      </c>
      <c r="H39" s="108">
        <f t="shared" si="12"/>
        <v>1</v>
      </c>
      <c r="I39" s="108">
        <f t="shared" si="12"/>
        <v>1</v>
      </c>
      <c r="J39" s="108">
        <f t="shared" si="12"/>
        <v>1</v>
      </c>
      <c r="K39" s="108">
        <f t="shared" si="12"/>
        <v>1</v>
      </c>
      <c r="L39" s="11"/>
      <c r="M39" s="11"/>
      <c r="N39" s="11"/>
      <c r="O39" s="11"/>
      <c r="P39" s="11"/>
      <c r="Q39" s="11"/>
      <c r="R39" s="11"/>
      <c r="S39" s="11"/>
      <c r="T39" s="11"/>
      <c r="U39" s="11"/>
      <c r="V39" s="11"/>
      <c r="W39" s="11"/>
      <c r="X39" s="11"/>
      <c r="Y39" s="11"/>
      <c r="Z39" s="11"/>
    </row>
    <row r="40" ht="12.0" customHeight="1">
      <c r="A40" s="26" t="s">
        <v>74</v>
      </c>
      <c r="B40" s="108">
        <f t="shared" si="2"/>
        <v>1</v>
      </c>
      <c r="C40" s="108">
        <f t="shared" ref="C40:K40" si="13">MAX(B40,C144)</f>
        <v>1</v>
      </c>
      <c r="D40" s="108">
        <f t="shared" si="13"/>
        <v>1</v>
      </c>
      <c r="E40" s="108">
        <f t="shared" si="13"/>
        <v>1</v>
      </c>
      <c r="F40" s="108">
        <f t="shared" si="13"/>
        <v>1</v>
      </c>
      <c r="G40" s="108">
        <f t="shared" si="13"/>
        <v>1</v>
      </c>
      <c r="H40" s="108">
        <f t="shared" si="13"/>
        <v>1</v>
      </c>
      <c r="I40" s="108">
        <f t="shared" si="13"/>
        <v>1</v>
      </c>
      <c r="J40" s="108">
        <f t="shared" si="13"/>
        <v>1</v>
      </c>
      <c r="K40" s="108">
        <f t="shared" si="13"/>
        <v>1</v>
      </c>
      <c r="L40" s="11"/>
      <c r="M40" s="11"/>
      <c r="N40" s="11"/>
      <c r="O40" s="11"/>
      <c r="P40" s="11"/>
      <c r="Q40" s="11"/>
      <c r="R40" s="11"/>
      <c r="S40" s="11"/>
      <c r="T40" s="11"/>
      <c r="U40" s="11"/>
      <c r="V40" s="11"/>
      <c r="W40" s="11"/>
      <c r="X40" s="11"/>
      <c r="Y40" s="11"/>
      <c r="Z40" s="11"/>
    </row>
    <row r="41" ht="12.0" customHeight="1">
      <c r="A41" s="26" t="s">
        <v>76</v>
      </c>
      <c r="B41" s="108">
        <f t="shared" si="2"/>
        <v>1</v>
      </c>
      <c r="C41" s="108">
        <f t="shared" ref="C41:K41" si="14">MAX(B41,C145)</f>
        <v>1</v>
      </c>
      <c r="D41" s="108">
        <f t="shared" si="14"/>
        <v>1</v>
      </c>
      <c r="E41" s="108">
        <f t="shared" si="14"/>
        <v>1</v>
      </c>
      <c r="F41" s="108">
        <f t="shared" si="14"/>
        <v>1</v>
      </c>
      <c r="G41" s="108">
        <f t="shared" si="14"/>
        <v>1</v>
      </c>
      <c r="H41" s="108">
        <f t="shared" si="14"/>
        <v>1</v>
      </c>
      <c r="I41" s="108">
        <f t="shared" si="14"/>
        <v>1</v>
      </c>
      <c r="J41" s="108">
        <f t="shared" si="14"/>
        <v>1</v>
      </c>
      <c r="K41" s="108">
        <f t="shared" si="14"/>
        <v>1</v>
      </c>
      <c r="L41" s="11"/>
      <c r="M41" s="11"/>
      <c r="N41" s="11"/>
      <c r="O41" s="11"/>
      <c r="P41" s="11"/>
      <c r="Q41" s="11"/>
      <c r="R41" s="11"/>
      <c r="S41" s="11"/>
      <c r="T41" s="11"/>
      <c r="U41" s="11"/>
      <c r="V41" s="11"/>
      <c r="W41" s="11"/>
      <c r="X41" s="11"/>
      <c r="Y41" s="11"/>
      <c r="Z41" s="11"/>
    </row>
    <row r="42" ht="12.0" customHeight="1">
      <c r="A42" s="26" t="s">
        <v>317</v>
      </c>
      <c r="B42" s="108">
        <f>IF(B$28&lt;$B$51,0,MAX(1,B146))</f>
        <v>0</v>
      </c>
      <c r="C42" s="108">
        <f t="shared" ref="C42:K42" si="15">IF(C$28&lt;$B$51,0,MAX(1,B42,C146))</f>
        <v>0</v>
      </c>
      <c r="D42" s="108">
        <f t="shared" si="15"/>
        <v>0</v>
      </c>
      <c r="E42" s="108">
        <f t="shared" si="15"/>
        <v>1</v>
      </c>
      <c r="F42" s="108">
        <f t="shared" si="15"/>
        <v>1</v>
      </c>
      <c r="G42" s="108">
        <f t="shared" si="15"/>
        <v>1</v>
      </c>
      <c r="H42" s="108">
        <f t="shared" si="15"/>
        <v>1</v>
      </c>
      <c r="I42" s="108">
        <f t="shared" si="15"/>
        <v>1</v>
      </c>
      <c r="J42" s="108">
        <f t="shared" si="15"/>
        <v>1</v>
      </c>
      <c r="K42" s="108">
        <f t="shared" si="15"/>
        <v>1</v>
      </c>
      <c r="L42" s="11"/>
      <c r="M42" s="11"/>
      <c r="N42" s="11"/>
      <c r="O42" s="11"/>
      <c r="P42" s="11"/>
      <c r="Q42" s="11"/>
      <c r="R42" s="11"/>
      <c r="S42" s="11"/>
      <c r="T42" s="11"/>
      <c r="U42" s="11"/>
      <c r="V42" s="11"/>
      <c r="W42" s="11"/>
      <c r="X42" s="11"/>
      <c r="Y42" s="11"/>
      <c r="Z42" s="11"/>
    </row>
    <row r="43" ht="12.0" customHeight="1">
      <c r="A43" s="26" t="s">
        <v>79</v>
      </c>
      <c r="B43" s="108">
        <f t="shared" ref="B43:B48" si="17">MAX(1,B147)</f>
        <v>1</v>
      </c>
      <c r="C43" s="108">
        <f t="shared" ref="C43:K43" si="16">MAX(B43,C147)</f>
        <v>1</v>
      </c>
      <c r="D43" s="108">
        <f t="shared" si="16"/>
        <v>1</v>
      </c>
      <c r="E43" s="108">
        <f t="shared" si="16"/>
        <v>1</v>
      </c>
      <c r="F43" s="108">
        <f t="shared" si="16"/>
        <v>1</v>
      </c>
      <c r="G43" s="108">
        <f t="shared" si="16"/>
        <v>1</v>
      </c>
      <c r="H43" s="108">
        <f t="shared" si="16"/>
        <v>1</v>
      </c>
      <c r="I43" s="108">
        <f t="shared" si="16"/>
        <v>1</v>
      </c>
      <c r="J43" s="108">
        <f t="shared" si="16"/>
        <v>1</v>
      </c>
      <c r="K43" s="108">
        <f t="shared" si="16"/>
        <v>1</v>
      </c>
      <c r="L43" s="11"/>
      <c r="M43" s="11"/>
      <c r="N43" s="11"/>
      <c r="O43" s="11"/>
      <c r="P43" s="11"/>
      <c r="Q43" s="11"/>
      <c r="R43" s="11"/>
      <c r="S43" s="11"/>
      <c r="T43" s="11"/>
      <c r="U43" s="11"/>
      <c r="V43" s="11"/>
      <c r="W43" s="11"/>
      <c r="X43" s="11"/>
      <c r="Y43" s="11"/>
      <c r="Z43" s="11"/>
    </row>
    <row r="44" ht="12.0" customHeight="1">
      <c r="A44" s="26" t="s">
        <v>81</v>
      </c>
      <c r="B44" s="108">
        <f t="shared" si="17"/>
        <v>1</v>
      </c>
      <c r="C44" s="108">
        <f t="shared" ref="C44:K44" si="18">MAX(B44,C148)</f>
        <v>1</v>
      </c>
      <c r="D44" s="108">
        <f t="shared" si="18"/>
        <v>1</v>
      </c>
      <c r="E44" s="108">
        <f t="shared" si="18"/>
        <v>1</v>
      </c>
      <c r="F44" s="108">
        <f t="shared" si="18"/>
        <v>1</v>
      </c>
      <c r="G44" s="108">
        <f t="shared" si="18"/>
        <v>2</v>
      </c>
      <c r="H44" s="108">
        <f t="shared" si="18"/>
        <v>2</v>
      </c>
      <c r="I44" s="108">
        <f t="shared" si="18"/>
        <v>2</v>
      </c>
      <c r="J44" s="108">
        <f t="shared" si="18"/>
        <v>2</v>
      </c>
      <c r="K44" s="108">
        <f t="shared" si="18"/>
        <v>2</v>
      </c>
      <c r="L44" s="11"/>
      <c r="M44" s="11"/>
      <c r="N44" s="11"/>
      <c r="O44" s="11"/>
      <c r="P44" s="11"/>
      <c r="Q44" s="11"/>
      <c r="R44" s="11"/>
      <c r="S44" s="11"/>
      <c r="T44" s="11"/>
      <c r="U44" s="11"/>
      <c r="V44" s="11"/>
      <c r="W44" s="11"/>
      <c r="X44" s="11"/>
      <c r="Y44" s="11"/>
      <c r="Z44" s="11"/>
    </row>
    <row r="45" ht="12.0" customHeight="1">
      <c r="A45" s="26" t="s">
        <v>82</v>
      </c>
      <c r="B45" s="108">
        <f t="shared" si="17"/>
        <v>1</v>
      </c>
      <c r="C45" s="108">
        <f t="shared" ref="C45:K45" si="19">MAX(B45,C149)</f>
        <v>1</v>
      </c>
      <c r="D45" s="108">
        <f t="shared" si="19"/>
        <v>1</v>
      </c>
      <c r="E45" s="108">
        <f t="shared" si="19"/>
        <v>1</v>
      </c>
      <c r="F45" s="108">
        <f t="shared" si="19"/>
        <v>1</v>
      </c>
      <c r="G45" s="108">
        <f t="shared" si="19"/>
        <v>1</v>
      </c>
      <c r="H45" s="108">
        <f t="shared" si="19"/>
        <v>1</v>
      </c>
      <c r="I45" s="108">
        <f t="shared" si="19"/>
        <v>1</v>
      </c>
      <c r="J45" s="108">
        <f t="shared" si="19"/>
        <v>1</v>
      </c>
      <c r="K45" s="108">
        <f t="shared" si="19"/>
        <v>1</v>
      </c>
      <c r="L45" s="11"/>
      <c r="M45" s="11"/>
      <c r="N45" s="11"/>
      <c r="O45" s="11"/>
      <c r="P45" s="11"/>
      <c r="Q45" s="11"/>
      <c r="R45" s="11"/>
      <c r="S45" s="11"/>
      <c r="T45" s="11"/>
      <c r="U45" s="11"/>
      <c r="V45" s="11"/>
      <c r="W45" s="11"/>
      <c r="X45" s="11"/>
      <c r="Y45" s="11"/>
      <c r="Z45" s="11"/>
    </row>
    <row r="46" ht="12.0" customHeight="1">
      <c r="A46" s="26" t="s">
        <v>83</v>
      </c>
      <c r="B46" s="108">
        <f t="shared" si="17"/>
        <v>1</v>
      </c>
      <c r="C46" s="108">
        <f t="shared" ref="C46:K46" si="20">MAX(B46,C150)</f>
        <v>1</v>
      </c>
      <c r="D46" s="108">
        <f t="shared" si="20"/>
        <v>1</v>
      </c>
      <c r="E46" s="108">
        <f t="shared" si="20"/>
        <v>1</v>
      </c>
      <c r="F46" s="108">
        <f t="shared" si="20"/>
        <v>1</v>
      </c>
      <c r="G46" s="108">
        <f t="shared" si="20"/>
        <v>1</v>
      </c>
      <c r="H46" s="108">
        <f t="shared" si="20"/>
        <v>1</v>
      </c>
      <c r="I46" s="108">
        <f t="shared" si="20"/>
        <v>1</v>
      </c>
      <c r="J46" s="108">
        <f t="shared" si="20"/>
        <v>1</v>
      </c>
      <c r="K46" s="108">
        <f t="shared" si="20"/>
        <v>1</v>
      </c>
      <c r="L46" s="11"/>
      <c r="M46" s="11"/>
      <c r="N46" s="11"/>
      <c r="O46" s="11"/>
      <c r="P46" s="11"/>
      <c r="Q46" s="11"/>
      <c r="R46" s="11"/>
      <c r="S46" s="11"/>
      <c r="T46" s="11"/>
      <c r="U46" s="11"/>
      <c r="V46" s="11"/>
      <c r="W46" s="11"/>
      <c r="X46" s="11"/>
      <c r="Y46" s="11"/>
      <c r="Z46" s="11"/>
    </row>
    <row r="47" ht="12.0" customHeight="1">
      <c r="A47" s="26" t="s">
        <v>84</v>
      </c>
      <c r="B47" s="108">
        <f t="shared" si="17"/>
        <v>1</v>
      </c>
      <c r="C47" s="108">
        <f t="shared" ref="C47:K47" si="21">MAX(B47,C151)</f>
        <v>1</v>
      </c>
      <c r="D47" s="108">
        <f t="shared" si="21"/>
        <v>1</v>
      </c>
      <c r="E47" s="108">
        <f t="shared" si="21"/>
        <v>1</v>
      </c>
      <c r="F47" s="108">
        <f t="shared" si="21"/>
        <v>2</v>
      </c>
      <c r="G47" s="108">
        <f t="shared" si="21"/>
        <v>3</v>
      </c>
      <c r="H47" s="108">
        <f t="shared" si="21"/>
        <v>3</v>
      </c>
      <c r="I47" s="108">
        <f t="shared" si="21"/>
        <v>3</v>
      </c>
      <c r="J47" s="108">
        <f t="shared" si="21"/>
        <v>3</v>
      </c>
      <c r="K47" s="108">
        <f t="shared" si="21"/>
        <v>3</v>
      </c>
      <c r="L47" s="11"/>
      <c r="M47" s="11"/>
      <c r="N47" s="11"/>
      <c r="O47" s="11"/>
      <c r="P47" s="11"/>
      <c r="Q47" s="11"/>
      <c r="R47" s="11"/>
      <c r="S47" s="11"/>
      <c r="T47" s="11"/>
      <c r="U47" s="11"/>
      <c r="V47" s="11"/>
      <c r="W47" s="11"/>
      <c r="X47" s="11"/>
      <c r="Y47" s="11"/>
      <c r="Z47" s="11"/>
    </row>
    <row r="48" ht="12.0" customHeight="1">
      <c r="A48" s="26" t="s">
        <v>85</v>
      </c>
      <c r="B48" s="108">
        <f t="shared" si="17"/>
        <v>1</v>
      </c>
      <c r="C48" s="108">
        <f t="shared" ref="C48:K48" si="22">MAX(B48,C152)</f>
        <v>1</v>
      </c>
      <c r="D48" s="108">
        <f t="shared" si="22"/>
        <v>1</v>
      </c>
      <c r="E48" s="108">
        <f t="shared" si="22"/>
        <v>1</v>
      </c>
      <c r="F48" s="108">
        <f t="shared" si="22"/>
        <v>1</v>
      </c>
      <c r="G48" s="108">
        <f t="shared" si="22"/>
        <v>2</v>
      </c>
      <c r="H48" s="108">
        <f t="shared" si="22"/>
        <v>2</v>
      </c>
      <c r="I48" s="108">
        <f t="shared" si="22"/>
        <v>2</v>
      </c>
      <c r="J48" s="108">
        <f t="shared" si="22"/>
        <v>2</v>
      </c>
      <c r="K48" s="108">
        <f t="shared" si="22"/>
        <v>2</v>
      </c>
      <c r="L48" s="11"/>
      <c r="M48" s="11"/>
      <c r="N48" s="11"/>
      <c r="O48" s="11"/>
      <c r="P48" s="11"/>
      <c r="Q48" s="11"/>
      <c r="R48" s="11"/>
      <c r="S48" s="11"/>
      <c r="T48" s="11"/>
      <c r="U48" s="11"/>
      <c r="V48" s="11"/>
      <c r="W48" s="11"/>
      <c r="X48" s="11"/>
      <c r="Y48" s="11"/>
      <c r="Z48" s="11"/>
    </row>
    <row r="49" ht="12.0" customHeight="1">
      <c r="A49" s="125" t="s">
        <v>332</v>
      </c>
      <c r="B49" s="127">
        <f t="shared" ref="B49:K49" si="23">SUM(B29:B48)</f>
        <v>19</v>
      </c>
      <c r="C49" s="127">
        <f t="shared" si="23"/>
        <v>19</v>
      </c>
      <c r="D49" s="127">
        <f t="shared" si="23"/>
        <v>19</v>
      </c>
      <c r="E49" s="127">
        <f t="shared" si="23"/>
        <v>20</v>
      </c>
      <c r="F49" s="127">
        <f t="shared" si="23"/>
        <v>24</v>
      </c>
      <c r="G49" s="127">
        <f t="shared" si="23"/>
        <v>30</v>
      </c>
      <c r="H49" s="127">
        <f t="shared" si="23"/>
        <v>30</v>
      </c>
      <c r="I49" s="127">
        <f t="shared" si="23"/>
        <v>30</v>
      </c>
      <c r="J49" s="127">
        <f t="shared" si="23"/>
        <v>30</v>
      </c>
      <c r="K49" s="127">
        <f t="shared" si="23"/>
        <v>31</v>
      </c>
      <c r="L49" s="11"/>
      <c r="M49" s="11"/>
      <c r="N49" s="11"/>
      <c r="O49" s="11"/>
      <c r="P49" s="11"/>
      <c r="Q49" s="11"/>
      <c r="R49" s="11"/>
      <c r="S49" s="11"/>
      <c r="T49" s="11"/>
      <c r="U49" s="11"/>
      <c r="V49" s="11"/>
      <c r="W49" s="11"/>
      <c r="X49" s="11"/>
      <c r="Y49" s="11"/>
      <c r="Z49" s="11"/>
    </row>
    <row r="50" ht="12.0" customHeight="1">
      <c r="A50" s="24" t="s">
        <v>337</v>
      </c>
      <c r="B50" s="32">
        <v>0.9</v>
      </c>
      <c r="C50" s="11"/>
      <c r="D50" s="129" t="s">
        <v>340</v>
      </c>
      <c r="E50" s="3"/>
      <c r="F50" s="3"/>
      <c r="G50" s="130"/>
      <c r="H50" s="31">
        <v>2032.0</v>
      </c>
      <c r="I50" s="11"/>
      <c r="J50" s="11"/>
      <c r="K50" s="11"/>
      <c r="L50" s="11"/>
      <c r="M50" s="11"/>
      <c r="N50" s="11"/>
      <c r="O50" s="11"/>
      <c r="P50" s="11"/>
      <c r="Q50" s="11"/>
      <c r="R50" s="11"/>
      <c r="S50" s="11"/>
      <c r="T50" s="11"/>
      <c r="U50" s="11"/>
      <c r="V50" s="11"/>
      <c r="W50" s="11"/>
      <c r="X50" s="11"/>
      <c r="Y50" s="11"/>
      <c r="Z50" s="11"/>
      <c r="AA50" s="11"/>
      <c r="AB50" s="11"/>
      <c r="AC50" s="11"/>
      <c r="AD50" s="11"/>
    </row>
    <row r="51" ht="12.0" customHeight="1">
      <c r="A51" s="24" t="s">
        <v>342</v>
      </c>
      <c r="B51" s="31">
        <v>2029.0</v>
      </c>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2.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2.0" customHeight="1">
      <c r="A53" s="134" t="s">
        <v>346</v>
      </c>
      <c r="B53" s="16"/>
      <c r="C53" s="16"/>
      <c r="D53" s="16"/>
      <c r="E53" s="16"/>
      <c r="F53" s="16"/>
      <c r="G53" s="16"/>
      <c r="H53" s="16"/>
      <c r="I53" s="16"/>
      <c r="J53" s="16"/>
      <c r="K53" s="17"/>
      <c r="L53" s="11"/>
      <c r="M53" s="11"/>
      <c r="N53" s="11"/>
      <c r="O53" s="11"/>
      <c r="P53" s="11"/>
      <c r="Q53" s="11"/>
      <c r="R53" s="11"/>
      <c r="S53" s="11"/>
      <c r="T53" s="11"/>
      <c r="U53" s="11"/>
      <c r="V53" s="11"/>
      <c r="W53" s="11"/>
      <c r="X53" s="11"/>
      <c r="Y53" s="11"/>
      <c r="Z53" s="11"/>
      <c r="AA53" s="11"/>
      <c r="AB53" s="11"/>
      <c r="AC53" s="11"/>
      <c r="AD53" s="11"/>
    </row>
    <row r="54" ht="12.0" customHeight="1">
      <c r="A54" s="135" t="s">
        <v>22</v>
      </c>
      <c r="B54" s="135">
        <v>2026.0</v>
      </c>
      <c r="C54" s="135">
        <v>2027.0</v>
      </c>
      <c r="D54" s="135">
        <v>2028.0</v>
      </c>
      <c r="E54" s="135">
        <v>2029.0</v>
      </c>
      <c r="F54" s="135">
        <v>2030.0</v>
      </c>
      <c r="G54" s="135">
        <v>2031.0</v>
      </c>
      <c r="H54" s="135">
        <v>2032.0</v>
      </c>
      <c r="I54" s="135">
        <v>2033.0</v>
      </c>
      <c r="J54" s="135">
        <v>2034.0</v>
      </c>
      <c r="K54" s="135">
        <v>2035.0</v>
      </c>
      <c r="L54" s="11"/>
      <c r="M54" s="11"/>
      <c r="N54" s="11"/>
      <c r="O54" s="11"/>
      <c r="P54" s="11"/>
      <c r="Q54" s="11"/>
      <c r="R54" s="11"/>
      <c r="S54" s="11"/>
      <c r="T54" s="11"/>
      <c r="U54" s="11"/>
      <c r="V54" s="11"/>
      <c r="W54" s="11"/>
      <c r="X54" s="11"/>
      <c r="Y54" s="11"/>
      <c r="Z54" s="11"/>
      <c r="AA54" s="11"/>
      <c r="AB54" s="11"/>
      <c r="AC54" s="11"/>
      <c r="AD54" s="11"/>
    </row>
    <row r="55" ht="12.0" customHeight="1">
      <c r="A55" s="30" t="s">
        <v>353</v>
      </c>
      <c r="B55" s="118" t="str">
        <f>IF(B59&gt;1,"Automática","Manual")</f>
        <v>Manual</v>
      </c>
      <c r="C55" s="118" t="str">
        <f t="shared" ref="C55:K55" si="24">IF(OR(B55="Automática",C59&gt;B30),"Automática","Manual")</f>
        <v>Manual</v>
      </c>
      <c r="D55" s="118" t="str">
        <f t="shared" si="24"/>
        <v>Manual</v>
      </c>
      <c r="E55" s="118" t="str">
        <f t="shared" si="24"/>
        <v>Automática</v>
      </c>
      <c r="F55" s="118" t="str">
        <f t="shared" si="24"/>
        <v>Automática</v>
      </c>
      <c r="G55" s="118" t="str">
        <f t="shared" si="24"/>
        <v>Automática</v>
      </c>
      <c r="H55" s="118" t="str">
        <f t="shared" si="24"/>
        <v>Automática</v>
      </c>
      <c r="I55" s="118" t="str">
        <f t="shared" si="24"/>
        <v>Automática</v>
      </c>
      <c r="J55" s="118" t="str">
        <f t="shared" si="24"/>
        <v>Automática</v>
      </c>
      <c r="K55" s="118" t="str">
        <f t="shared" si="24"/>
        <v>Automática</v>
      </c>
      <c r="L55" s="11"/>
      <c r="M55" s="11"/>
      <c r="N55" s="11"/>
      <c r="O55" s="11"/>
      <c r="P55" s="11"/>
      <c r="Q55" s="11"/>
      <c r="R55" s="11"/>
      <c r="S55" s="11"/>
      <c r="T55" s="11"/>
      <c r="U55" s="11"/>
      <c r="V55" s="11"/>
      <c r="W55" s="11"/>
      <c r="X55" s="11"/>
      <c r="Y55" s="11"/>
      <c r="Z55" s="11"/>
      <c r="AA55" s="11"/>
      <c r="AB55" s="11"/>
      <c r="AC55" s="11"/>
      <c r="AD55" s="11"/>
    </row>
    <row r="56" ht="12.0" customHeight="1">
      <c r="A56" s="30" t="s">
        <v>356</v>
      </c>
      <c r="B56" s="118" t="s">
        <v>57</v>
      </c>
      <c r="C56" s="118" t="s">
        <v>57</v>
      </c>
      <c r="D56" s="118" t="s">
        <v>57</v>
      </c>
      <c r="E56" s="118" t="s">
        <v>57</v>
      </c>
      <c r="F56" s="118" t="s">
        <v>57</v>
      </c>
      <c r="G56" s="118" t="s">
        <v>57</v>
      </c>
      <c r="H56" s="118" t="s">
        <v>57</v>
      </c>
      <c r="I56" s="118" t="s">
        <v>57</v>
      </c>
      <c r="J56" s="118" t="s">
        <v>57</v>
      </c>
      <c r="K56" s="118" t="s">
        <v>57</v>
      </c>
      <c r="L56" s="11"/>
      <c r="M56" s="11"/>
      <c r="N56" s="11"/>
      <c r="O56" s="11"/>
      <c r="P56" s="11"/>
      <c r="Q56" s="11"/>
      <c r="R56" s="11"/>
      <c r="S56" s="11"/>
      <c r="T56" s="11"/>
      <c r="U56" s="11"/>
      <c r="V56" s="11"/>
      <c r="W56" s="11"/>
      <c r="X56" s="11"/>
      <c r="Y56" s="11"/>
      <c r="Z56" s="11"/>
      <c r="AA56" s="11"/>
      <c r="AB56" s="11"/>
      <c r="AC56" s="11"/>
      <c r="AD56" s="11"/>
    </row>
    <row r="57" ht="12.0" customHeight="1">
      <c r="A57" s="30" t="s">
        <v>361</v>
      </c>
      <c r="B57" s="118" t="s">
        <v>57</v>
      </c>
      <c r="C57" s="118" t="s">
        <v>57</v>
      </c>
      <c r="D57" s="118" t="s">
        <v>57</v>
      </c>
      <c r="E57" s="118" t="s">
        <v>57</v>
      </c>
      <c r="F57" s="118" t="s">
        <v>57</v>
      </c>
      <c r="G57" s="118" t="s">
        <v>57</v>
      </c>
      <c r="H57" s="118" t="s">
        <v>57</v>
      </c>
      <c r="I57" s="118" t="s">
        <v>57</v>
      </c>
      <c r="J57" s="118" t="s">
        <v>57</v>
      </c>
      <c r="K57" s="118" t="s">
        <v>57</v>
      </c>
      <c r="L57" s="11"/>
      <c r="M57" s="11"/>
      <c r="N57" s="11"/>
      <c r="O57" s="11"/>
      <c r="P57" s="11"/>
      <c r="Q57" s="11"/>
      <c r="R57" s="11"/>
      <c r="S57" s="11"/>
      <c r="T57" s="11"/>
      <c r="U57" s="11"/>
      <c r="V57" s="11"/>
      <c r="W57" s="11"/>
      <c r="X57" s="11"/>
      <c r="Y57" s="11"/>
      <c r="Z57" s="11"/>
      <c r="AA57" s="11"/>
      <c r="AB57" s="11"/>
      <c r="AC57" s="11"/>
      <c r="AD57" s="11"/>
    </row>
    <row r="58" ht="12.0" customHeight="1">
      <c r="A58" s="30" t="s">
        <v>365</v>
      </c>
      <c r="B58" s="118" t="str">
        <f>IF(B60&gt;1,"Automática","Manual")</f>
        <v>Manual</v>
      </c>
      <c r="C58" s="118" t="str">
        <f t="shared" ref="C58:K58" si="25">IF(OR(B58="Automática",C60&gt;B38),"Automática","Manual")</f>
        <v>Manual</v>
      </c>
      <c r="D58" s="118" t="str">
        <f t="shared" si="25"/>
        <v>Manual</v>
      </c>
      <c r="E58" s="118" t="str">
        <f t="shared" si="25"/>
        <v>Automática</v>
      </c>
      <c r="F58" s="118" t="str">
        <f t="shared" si="25"/>
        <v>Automática</v>
      </c>
      <c r="G58" s="118" t="str">
        <f t="shared" si="25"/>
        <v>Automática</v>
      </c>
      <c r="H58" s="118" t="str">
        <f t="shared" si="25"/>
        <v>Automática</v>
      </c>
      <c r="I58" s="118" t="str">
        <f t="shared" si="25"/>
        <v>Automática</v>
      </c>
      <c r="J58" s="118" t="str">
        <f t="shared" si="25"/>
        <v>Automática</v>
      </c>
      <c r="K58" s="118" t="str">
        <f t="shared" si="25"/>
        <v>Automática</v>
      </c>
      <c r="L58" s="11"/>
      <c r="M58" s="11"/>
      <c r="N58" s="11"/>
      <c r="O58" s="11"/>
      <c r="P58" s="11"/>
      <c r="Q58" s="11"/>
      <c r="R58" s="11"/>
      <c r="S58" s="11"/>
      <c r="T58" s="11"/>
      <c r="U58" s="11"/>
      <c r="V58" s="11"/>
      <c r="W58" s="11"/>
      <c r="X58" s="11"/>
      <c r="Y58" s="11"/>
      <c r="Z58" s="11"/>
      <c r="AA58" s="11"/>
      <c r="AB58" s="11"/>
      <c r="AC58" s="11"/>
      <c r="AD58" s="11"/>
    </row>
    <row r="59" ht="12.0" customHeight="1">
      <c r="A59" s="30" t="s">
        <v>372</v>
      </c>
      <c r="B59" s="46">
        <f>ROUNDUP(B90/(Parametros!$M$40*B$64*$B$50),0)</f>
        <v>1</v>
      </c>
      <c r="C59" s="46">
        <f>ROUNDUP(C90/(Parametros!$M$40*C$64*$B$50),0)</f>
        <v>1</v>
      </c>
      <c r="D59" s="46">
        <f>ROUNDUP(D90/(Parametros!$M$40*D$64*$B$50),0)</f>
        <v>1</v>
      </c>
      <c r="E59" s="46">
        <f>ROUNDUP(E90/(Parametros!$M$40*E$64*$B$50),0)</f>
        <v>2</v>
      </c>
      <c r="F59" s="46">
        <f>ROUNDUP(F90/(Parametros!$M$40*F$64*$B$50),0)</f>
        <v>2</v>
      </c>
      <c r="G59" s="46">
        <f>ROUNDUP(G90/(Parametros!$M$40*G$64*$B$50),0)</f>
        <v>3</v>
      </c>
      <c r="H59" s="46">
        <f>ROUNDUP(H90/(Parametros!$M$40*H$64*$B$50),0)</f>
        <v>2</v>
      </c>
      <c r="I59" s="46">
        <f>ROUNDUP(I90/(Parametros!$M$40*I$64*$B$50),0)</f>
        <v>3</v>
      </c>
      <c r="J59" s="46">
        <f>ROUNDUP(J90/(Parametros!$M$40*J$64*$B$50),0)</f>
        <v>3</v>
      </c>
      <c r="K59" s="46">
        <f>ROUNDUP(K90/(Parametros!$M$40*K$64*$B$50),0)</f>
        <v>4</v>
      </c>
      <c r="L59" s="11"/>
      <c r="M59" s="11"/>
      <c r="N59" s="11"/>
      <c r="O59" s="11"/>
      <c r="P59" s="11"/>
      <c r="Q59" s="11"/>
      <c r="R59" s="11"/>
      <c r="S59" s="11"/>
      <c r="T59" s="11"/>
      <c r="U59" s="11"/>
      <c r="V59" s="11"/>
      <c r="W59" s="11"/>
      <c r="X59" s="11"/>
      <c r="Y59" s="11"/>
      <c r="Z59" s="11"/>
      <c r="AA59" s="11"/>
      <c r="AB59" s="11"/>
      <c r="AC59" s="11"/>
      <c r="AD59" s="11"/>
    </row>
    <row r="60" ht="12.0" customHeight="1">
      <c r="A60" s="30" t="s">
        <v>381</v>
      </c>
      <c r="B60" s="46">
        <f>ROUNDUP(B98/(Parametros!$M$48*B$64*$B$50),0)</f>
        <v>1</v>
      </c>
      <c r="C60" s="46">
        <f>ROUNDUP(C98/(Parametros!$M$48*C$64*$B$50),0)</f>
        <v>1</v>
      </c>
      <c r="D60" s="46">
        <f>ROUNDUP(D98/(Parametros!$M$48*D$64*$B$50),0)</f>
        <v>1</v>
      </c>
      <c r="E60" s="46">
        <f>ROUNDUP(E98/(Parametros!$M$48*E$64*$B$50),0)</f>
        <v>2</v>
      </c>
      <c r="F60" s="46">
        <f>ROUNDUP(F98/(Parametros!$M$48*F$64*$B$50),0)</f>
        <v>4</v>
      </c>
      <c r="G60" s="46">
        <f>ROUNDUP(G98/(Parametros!$M$48*G$64*$B$50),0)</f>
        <v>5</v>
      </c>
      <c r="H60" s="46">
        <f>ROUNDUP(H98/(Parametros!$M$48*H$64*$B$50),0)</f>
        <v>4</v>
      </c>
      <c r="I60" s="46">
        <f>ROUNDUP(I98/(Parametros!$M$48*I$64*$B$50),0)</f>
        <v>5</v>
      </c>
      <c r="J60" s="46">
        <f>ROUNDUP(J98/(Parametros!$M$48*J$64*$B$50),0)</f>
        <v>5</v>
      </c>
      <c r="K60" s="46">
        <f>ROUNDUP(K98/(Parametros!$M$48*K$64*$B$50),0)</f>
        <v>6</v>
      </c>
      <c r="L60" s="11"/>
      <c r="M60" s="11"/>
      <c r="N60" s="11"/>
      <c r="O60" s="11"/>
      <c r="P60" s="11"/>
      <c r="Q60" s="11"/>
      <c r="R60" s="11"/>
      <c r="S60" s="11"/>
      <c r="T60" s="11"/>
      <c r="U60" s="11"/>
      <c r="V60" s="11"/>
      <c r="W60" s="11"/>
      <c r="X60" s="11"/>
      <c r="Y60" s="11"/>
      <c r="Z60" s="11"/>
      <c r="AA60" s="11"/>
      <c r="AB60" s="11"/>
      <c r="AC60" s="11"/>
      <c r="AD60" s="11"/>
    </row>
    <row r="61" ht="12.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2.0" customHeight="1">
      <c r="A62" s="134" t="s">
        <v>384</v>
      </c>
      <c r="B62" s="16"/>
      <c r="C62" s="16"/>
      <c r="D62" s="16"/>
      <c r="E62" s="16"/>
      <c r="F62" s="16"/>
      <c r="G62" s="16"/>
      <c r="H62" s="16"/>
      <c r="I62" s="16"/>
      <c r="J62" s="16"/>
      <c r="K62" s="17"/>
      <c r="L62" s="11"/>
      <c r="M62" s="11"/>
      <c r="N62" s="11"/>
      <c r="O62" s="11"/>
      <c r="P62" s="11"/>
      <c r="Q62" s="11"/>
      <c r="R62" s="11"/>
      <c r="S62" s="11"/>
      <c r="T62" s="11"/>
      <c r="U62" s="11"/>
      <c r="V62" s="11"/>
      <c r="W62" s="11"/>
      <c r="X62" s="11"/>
      <c r="Y62" s="11"/>
      <c r="Z62" s="11"/>
      <c r="AA62" s="11"/>
      <c r="AB62" s="11"/>
      <c r="AC62" s="11"/>
      <c r="AD62" s="11"/>
    </row>
    <row r="63" ht="12.0" customHeight="1">
      <c r="A63" s="135" t="s">
        <v>22</v>
      </c>
      <c r="B63" s="135">
        <v>2026.0</v>
      </c>
      <c r="C63" s="135">
        <v>2027.0</v>
      </c>
      <c r="D63" s="135">
        <v>2028.0</v>
      </c>
      <c r="E63" s="135">
        <v>2029.0</v>
      </c>
      <c r="F63" s="135">
        <v>2030.0</v>
      </c>
      <c r="G63" s="135">
        <v>2031.0</v>
      </c>
      <c r="H63" s="135">
        <v>2032.0</v>
      </c>
      <c r="I63" s="135">
        <v>2033.0</v>
      </c>
      <c r="J63" s="135">
        <v>2034.0</v>
      </c>
      <c r="K63" s="135">
        <v>2035.0</v>
      </c>
      <c r="L63" s="11"/>
      <c r="M63" s="11"/>
      <c r="N63" s="11"/>
      <c r="O63" s="11"/>
      <c r="P63" s="11"/>
      <c r="Q63" s="11"/>
      <c r="R63" s="11"/>
      <c r="S63" s="11"/>
      <c r="T63" s="11"/>
      <c r="U63" s="11"/>
      <c r="V63" s="11"/>
      <c r="W63" s="11"/>
      <c r="X63" s="11"/>
      <c r="Y63" s="11"/>
      <c r="Z63" s="11"/>
      <c r="AA63" s="11"/>
      <c r="AB63" s="11"/>
      <c r="AC63" s="11"/>
      <c r="AD63" s="11"/>
    </row>
    <row r="64" ht="12.0" customHeight="1">
      <c r="A64" s="73" t="s">
        <v>387</v>
      </c>
      <c r="B64" s="36">
        <f t="shared" ref="B64:K64" si="26">IF(B$28&gt;=$H$50,2,1)</f>
        <v>1</v>
      </c>
      <c r="C64" s="36">
        <f t="shared" si="26"/>
        <v>1</v>
      </c>
      <c r="D64" s="36">
        <f t="shared" si="26"/>
        <v>1</v>
      </c>
      <c r="E64" s="36">
        <f t="shared" si="26"/>
        <v>1</v>
      </c>
      <c r="F64" s="36">
        <f t="shared" si="26"/>
        <v>1</v>
      </c>
      <c r="G64" s="36">
        <f t="shared" si="26"/>
        <v>1</v>
      </c>
      <c r="H64" s="36">
        <f t="shared" si="26"/>
        <v>2</v>
      </c>
      <c r="I64" s="36">
        <f t="shared" si="26"/>
        <v>2</v>
      </c>
      <c r="J64" s="36">
        <f t="shared" si="26"/>
        <v>2</v>
      </c>
      <c r="K64" s="36">
        <f t="shared" si="26"/>
        <v>2</v>
      </c>
      <c r="L64" s="11"/>
      <c r="M64" s="11"/>
      <c r="N64" s="11"/>
      <c r="O64" s="11"/>
      <c r="P64" s="11"/>
      <c r="Q64" s="11"/>
      <c r="R64" s="11"/>
      <c r="S64" s="11"/>
      <c r="T64" s="11"/>
      <c r="U64" s="11"/>
      <c r="V64" s="11"/>
      <c r="W64" s="11"/>
      <c r="X64" s="11"/>
      <c r="Y64" s="11"/>
      <c r="Z64" s="11"/>
      <c r="AA64" s="11"/>
      <c r="AB64" s="11"/>
      <c r="AC64" s="11"/>
      <c r="AD64" s="11"/>
    </row>
    <row r="65" ht="12.0" customHeight="1">
      <c r="A65" s="30" t="s">
        <v>26</v>
      </c>
      <c r="B65" s="46">
        <f t="shared" ref="B65:K65" si="27">IF(B29=0,0,IF(B$64=1,1,IF(B89/(B111*B29*$B$50)&gt;1,2,1)))</f>
        <v>1</v>
      </c>
      <c r="C65" s="46">
        <f t="shared" si="27"/>
        <v>1</v>
      </c>
      <c r="D65" s="46">
        <f t="shared" si="27"/>
        <v>1</v>
      </c>
      <c r="E65" s="46">
        <f t="shared" si="27"/>
        <v>1</v>
      </c>
      <c r="F65" s="46">
        <f t="shared" si="27"/>
        <v>1</v>
      </c>
      <c r="G65" s="46">
        <f t="shared" si="27"/>
        <v>1</v>
      </c>
      <c r="H65" s="46">
        <f t="shared" si="27"/>
        <v>2</v>
      </c>
      <c r="I65" s="46">
        <f t="shared" si="27"/>
        <v>2</v>
      </c>
      <c r="J65" s="46">
        <f t="shared" si="27"/>
        <v>2</v>
      </c>
      <c r="K65" s="46">
        <f t="shared" si="27"/>
        <v>2</v>
      </c>
      <c r="L65" s="11"/>
      <c r="M65" s="11"/>
      <c r="N65" s="11"/>
      <c r="O65" s="11"/>
      <c r="P65" s="11"/>
      <c r="Q65" s="11"/>
      <c r="R65" s="11"/>
      <c r="S65" s="11"/>
      <c r="T65" s="11"/>
      <c r="U65" s="11"/>
      <c r="V65" s="11"/>
      <c r="W65" s="11"/>
      <c r="X65" s="11"/>
      <c r="Y65" s="11"/>
      <c r="Z65" s="11"/>
      <c r="AA65" s="11"/>
      <c r="AB65" s="11"/>
      <c r="AC65" s="11"/>
      <c r="AD65" s="11"/>
    </row>
    <row r="66" ht="12.0" customHeight="1">
      <c r="A66" s="30" t="s">
        <v>55</v>
      </c>
      <c r="B66" s="46">
        <f t="shared" ref="B66:K66" si="28">IF(B30=0,0,IF(B$64=1,1,IF(B90/(B112*B30*$B$50)&gt;1,2,1)))</f>
        <v>1</v>
      </c>
      <c r="C66" s="46">
        <f t="shared" si="28"/>
        <v>1</v>
      </c>
      <c r="D66" s="46">
        <f t="shared" si="28"/>
        <v>1</v>
      </c>
      <c r="E66" s="46">
        <f t="shared" si="28"/>
        <v>1</v>
      </c>
      <c r="F66" s="46">
        <f t="shared" si="28"/>
        <v>1</v>
      </c>
      <c r="G66" s="46">
        <f t="shared" si="28"/>
        <v>1</v>
      </c>
      <c r="H66" s="46">
        <f t="shared" si="28"/>
        <v>1</v>
      </c>
      <c r="I66" s="46">
        <f t="shared" si="28"/>
        <v>2</v>
      </c>
      <c r="J66" s="46">
        <f t="shared" si="28"/>
        <v>2</v>
      </c>
      <c r="K66" s="46">
        <f t="shared" si="28"/>
        <v>2</v>
      </c>
      <c r="L66" s="11"/>
      <c r="M66" s="11"/>
      <c r="N66" s="11"/>
      <c r="O66" s="11"/>
      <c r="P66" s="11"/>
      <c r="Q66" s="11"/>
      <c r="R66" s="11"/>
      <c r="S66" s="11"/>
      <c r="T66" s="11"/>
      <c r="U66" s="11"/>
      <c r="V66" s="11"/>
      <c r="W66" s="11"/>
      <c r="X66" s="11"/>
      <c r="Y66" s="11"/>
      <c r="Z66" s="11"/>
      <c r="AA66" s="11"/>
      <c r="AB66" s="11"/>
      <c r="AC66" s="11"/>
      <c r="AD66" s="11"/>
    </row>
    <row r="67" ht="12.0" customHeight="1">
      <c r="A67" s="30" t="s">
        <v>61</v>
      </c>
      <c r="B67" s="46">
        <f t="shared" ref="B67:K67" si="29">IF(B31=0,0,IF(B$64=1,1,IF(B91/(B113*B31*$B$50)&gt;1,2,1)))</f>
        <v>1</v>
      </c>
      <c r="C67" s="46">
        <f t="shared" si="29"/>
        <v>1</v>
      </c>
      <c r="D67" s="46">
        <f t="shared" si="29"/>
        <v>1</v>
      </c>
      <c r="E67" s="46">
        <f t="shared" si="29"/>
        <v>1</v>
      </c>
      <c r="F67" s="46">
        <f t="shared" si="29"/>
        <v>1</v>
      </c>
      <c r="G67" s="46">
        <f t="shared" si="29"/>
        <v>1</v>
      </c>
      <c r="H67" s="46">
        <f t="shared" si="29"/>
        <v>1</v>
      </c>
      <c r="I67" s="46">
        <f t="shared" si="29"/>
        <v>1</v>
      </c>
      <c r="J67" s="46">
        <f t="shared" si="29"/>
        <v>1</v>
      </c>
      <c r="K67" s="46">
        <f t="shared" si="29"/>
        <v>2</v>
      </c>
      <c r="L67" s="11"/>
      <c r="M67" s="11"/>
      <c r="N67" s="11"/>
      <c r="O67" s="11"/>
      <c r="P67" s="11"/>
      <c r="Q67" s="11"/>
      <c r="R67" s="11"/>
      <c r="S67" s="11"/>
      <c r="T67" s="11"/>
      <c r="U67" s="11"/>
      <c r="V67" s="11"/>
      <c r="W67" s="11"/>
      <c r="X67" s="11"/>
      <c r="Y67" s="11"/>
      <c r="Z67" s="11"/>
      <c r="AA67" s="11"/>
      <c r="AB67" s="11"/>
      <c r="AC67" s="11"/>
      <c r="AD67" s="11"/>
    </row>
    <row r="68" ht="12.0" customHeight="1">
      <c r="A68" s="30" t="s">
        <v>62</v>
      </c>
      <c r="B68" s="46">
        <f t="shared" ref="B68:K68" si="30">IF(B32=0,0,IF(B$64=1,1,IF(B92/(B114*B32*$B$50)&gt;1,2,1)))</f>
        <v>1</v>
      </c>
      <c r="C68" s="46">
        <f t="shared" si="30"/>
        <v>1</v>
      </c>
      <c r="D68" s="46">
        <f t="shared" si="30"/>
        <v>1</v>
      </c>
      <c r="E68" s="46">
        <f t="shared" si="30"/>
        <v>1</v>
      </c>
      <c r="F68" s="46">
        <f t="shared" si="30"/>
        <v>1</v>
      </c>
      <c r="G68" s="46">
        <f t="shared" si="30"/>
        <v>1</v>
      </c>
      <c r="H68" s="46">
        <f t="shared" si="30"/>
        <v>1</v>
      </c>
      <c r="I68" s="46">
        <f t="shared" si="30"/>
        <v>1</v>
      </c>
      <c r="J68" s="46">
        <f t="shared" si="30"/>
        <v>2</v>
      </c>
      <c r="K68" s="46">
        <f t="shared" si="30"/>
        <v>2</v>
      </c>
      <c r="L68" s="11"/>
      <c r="M68" s="11"/>
      <c r="N68" s="11"/>
      <c r="O68" s="11"/>
      <c r="P68" s="11"/>
      <c r="Q68" s="11"/>
      <c r="R68" s="11"/>
      <c r="S68" s="11"/>
      <c r="T68" s="11"/>
      <c r="U68" s="11"/>
      <c r="V68" s="11"/>
      <c r="W68" s="11"/>
      <c r="X68" s="11"/>
      <c r="Y68" s="11"/>
      <c r="Z68" s="11"/>
      <c r="AA68" s="11"/>
      <c r="AB68" s="11"/>
      <c r="AC68" s="11"/>
      <c r="AD68" s="11"/>
    </row>
    <row r="69" ht="12.0" customHeight="1">
      <c r="A69" s="30" t="s">
        <v>63</v>
      </c>
      <c r="B69" s="46">
        <f t="shared" ref="B69:K69" si="31">IF(B33=0,0,IF(B$64=1,1,IF(B93/(B115*B33*$B$50)&gt;1,2,1)))</f>
        <v>1</v>
      </c>
      <c r="C69" s="46">
        <f t="shared" si="31"/>
        <v>1</v>
      </c>
      <c r="D69" s="46">
        <f t="shared" si="31"/>
        <v>1</v>
      </c>
      <c r="E69" s="46">
        <f t="shared" si="31"/>
        <v>1</v>
      </c>
      <c r="F69" s="46">
        <f t="shared" si="31"/>
        <v>1</v>
      </c>
      <c r="G69" s="46">
        <f t="shared" si="31"/>
        <v>1</v>
      </c>
      <c r="H69" s="46">
        <f t="shared" si="31"/>
        <v>1</v>
      </c>
      <c r="I69" s="46">
        <f t="shared" si="31"/>
        <v>1</v>
      </c>
      <c r="J69" s="46">
        <f t="shared" si="31"/>
        <v>1</v>
      </c>
      <c r="K69" s="46">
        <f t="shared" si="31"/>
        <v>1</v>
      </c>
      <c r="L69" s="11"/>
      <c r="M69" s="11"/>
      <c r="N69" s="11"/>
      <c r="O69" s="11"/>
      <c r="P69" s="11"/>
      <c r="Q69" s="11"/>
      <c r="R69" s="11"/>
      <c r="S69" s="11"/>
      <c r="T69" s="11"/>
      <c r="U69" s="11"/>
      <c r="V69" s="11"/>
      <c r="W69" s="11"/>
      <c r="X69" s="11"/>
      <c r="Y69" s="11"/>
      <c r="Z69" s="11"/>
      <c r="AA69" s="11"/>
      <c r="AB69" s="11"/>
      <c r="AC69" s="11"/>
      <c r="AD69" s="11"/>
    </row>
    <row r="70" ht="12.0" customHeight="1">
      <c r="A70" s="30" t="s">
        <v>64</v>
      </c>
      <c r="B70" s="46">
        <f t="shared" ref="B70:K70" si="32">IF(B34=0,0,IF(B$64=1,1,IF(B94/(B116*B34*$B$50)&gt;1,2,1)))</f>
        <v>1</v>
      </c>
      <c r="C70" s="46">
        <f t="shared" si="32"/>
        <v>1</v>
      </c>
      <c r="D70" s="46">
        <f t="shared" si="32"/>
        <v>1</v>
      </c>
      <c r="E70" s="46">
        <f t="shared" si="32"/>
        <v>1</v>
      </c>
      <c r="F70" s="46">
        <f t="shared" si="32"/>
        <v>1</v>
      </c>
      <c r="G70" s="46">
        <f t="shared" si="32"/>
        <v>1</v>
      </c>
      <c r="H70" s="46">
        <f t="shared" si="32"/>
        <v>1</v>
      </c>
      <c r="I70" s="46">
        <f t="shared" si="32"/>
        <v>1</v>
      </c>
      <c r="J70" s="46">
        <f t="shared" si="32"/>
        <v>2</v>
      </c>
      <c r="K70" s="46">
        <f t="shared" si="32"/>
        <v>2</v>
      </c>
      <c r="L70" s="11"/>
      <c r="M70" s="11"/>
      <c r="N70" s="11"/>
      <c r="O70" s="11"/>
      <c r="P70" s="11"/>
      <c r="Q70" s="11"/>
      <c r="R70" s="11"/>
      <c r="S70" s="11"/>
      <c r="T70" s="11"/>
      <c r="U70" s="11"/>
      <c r="V70" s="11"/>
      <c r="W70" s="11"/>
      <c r="X70" s="11"/>
      <c r="Y70" s="11"/>
      <c r="Z70" s="11"/>
      <c r="AA70" s="11"/>
      <c r="AB70" s="11"/>
      <c r="AC70" s="11"/>
      <c r="AD70" s="11"/>
    </row>
    <row r="71" ht="12.0" customHeight="1">
      <c r="A71" s="30" t="s">
        <v>66</v>
      </c>
      <c r="B71" s="46">
        <f t="shared" ref="B71:K71" si="33">IF(B35=0,0,IF(B$64=1,1,IF(B95/(B117*B35*$B$50)&gt;1,2,1)))</f>
        <v>1</v>
      </c>
      <c r="C71" s="46">
        <f t="shared" si="33"/>
        <v>1</v>
      </c>
      <c r="D71" s="46">
        <f t="shared" si="33"/>
        <v>1</v>
      </c>
      <c r="E71" s="46">
        <f t="shared" si="33"/>
        <v>1</v>
      </c>
      <c r="F71" s="46">
        <f t="shared" si="33"/>
        <v>1</v>
      </c>
      <c r="G71" s="46">
        <f t="shared" si="33"/>
        <v>1</v>
      </c>
      <c r="H71" s="46">
        <f t="shared" si="33"/>
        <v>2</v>
      </c>
      <c r="I71" s="46">
        <f t="shared" si="33"/>
        <v>2</v>
      </c>
      <c r="J71" s="46">
        <f t="shared" si="33"/>
        <v>2</v>
      </c>
      <c r="K71" s="46">
        <f t="shared" si="33"/>
        <v>2</v>
      </c>
      <c r="L71" s="11"/>
      <c r="M71" s="11"/>
      <c r="N71" s="11"/>
      <c r="O71" s="11"/>
      <c r="P71" s="11"/>
      <c r="Q71" s="11"/>
      <c r="R71" s="11"/>
      <c r="S71" s="11"/>
      <c r="T71" s="11"/>
      <c r="U71" s="11"/>
      <c r="V71" s="11"/>
      <c r="W71" s="11"/>
      <c r="X71" s="11"/>
      <c r="Y71" s="11"/>
      <c r="Z71" s="11"/>
      <c r="AA71" s="11"/>
      <c r="AB71" s="11"/>
      <c r="AC71" s="11"/>
      <c r="AD71" s="11"/>
    </row>
    <row r="72" ht="12.0" customHeight="1">
      <c r="A72" s="30" t="s">
        <v>67</v>
      </c>
      <c r="B72" s="46">
        <f t="shared" ref="B72:K72" si="34">IF(B36=0,0,IF(B$64=1,1,IF(B96/(B118*B36*$B$50)&gt;1,2,1)))</f>
        <v>1</v>
      </c>
      <c r="C72" s="46">
        <f t="shared" si="34"/>
        <v>1</v>
      </c>
      <c r="D72" s="46">
        <f t="shared" si="34"/>
        <v>1</v>
      </c>
      <c r="E72" s="46">
        <f t="shared" si="34"/>
        <v>1</v>
      </c>
      <c r="F72" s="46">
        <f t="shared" si="34"/>
        <v>1</v>
      </c>
      <c r="G72" s="46">
        <f t="shared" si="34"/>
        <v>1</v>
      </c>
      <c r="H72" s="46">
        <f t="shared" si="34"/>
        <v>1</v>
      </c>
      <c r="I72" s="46">
        <f t="shared" si="34"/>
        <v>2</v>
      </c>
      <c r="J72" s="46">
        <f t="shared" si="34"/>
        <v>2</v>
      </c>
      <c r="K72" s="46">
        <f t="shared" si="34"/>
        <v>2</v>
      </c>
      <c r="L72" s="11"/>
      <c r="M72" s="11"/>
      <c r="N72" s="11"/>
      <c r="O72" s="11"/>
      <c r="P72" s="11"/>
      <c r="Q72" s="11"/>
      <c r="R72" s="11"/>
      <c r="S72" s="11"/>
      <c r="T72" s="11"/>
      <c r="U72" s="11"/>
      <c r="V72" s="11"/>
      <c r="W72" s="11"/>
      <c r="X72" s="11"/>
      <c r="Y72" s="11"/>
      <c r="Z72" s="11"/>
      <c r="AA72" s="11"/>
      <c r="AB72" s="11"/>
      <c r="AC72" s="11"/>
      <c r="AD72" s="11"/>
    </row>
    <row r="73" ht="12.0" customHeight="1">
      <c r="A73" s="30" t="s">
        <v>68</v>
      </c>
      <c r="B73" s="46">
        <f t="shared" ref="B73:K73" si="35">IF(B37=0,0,IF(B$64=1,1,IF(B97/(B119*B37*$B$50)&gt;1,2,1)))</f>
        <v>1</v>
      </c>
      <c r="C73" s="46">
        <f t="shared" si="35"/>
        <v>1</v>
      </c>
      <c r="D73" s="46">
        <f t="shared" si="35"/>
        <v>1</v>
      </c>
      <c r="E73" s="46">
        <f t="shared" si="35"/>
        <v>1</v>
      </c>
      <c r="F73" s="46">
        <f t="shared" si="35"/>
        <v>1</v>
      </c>
      <c r="G73" s="46">
        <f t="shared" si="35"/>
        <v>1</v>
      </c>
      <c r="H73" s="46">
        <f t="shared" si="35"/>
        <v>2</v>
      </c>
      <c r="I73" s="46">
        <f t="shared" si="35"/>
        <v>2</v>
      </c>
      <c r="J73" s="46">
        <f t="shared" si="35"/>
        <v>2</v>
      </c>
      <c r="K73" s="46">
        <f t="shared" si="35"/>
        <v>2</v>
      </c>
      <c r="L73" s="11"/>
      <c r="M73" s="11"/>
      <c r="N73" s="11"/>
      <c r="O73" s="11"/>
      <c r="P73" s="11"/>
      <c r="Q73" s="11"/>
      <c r="R73" s="11"/>
      <c r="S73" s="11"/>
      <c r="T73" s="11"/>
      <c r="U73" s="11"/>
      <c r="V73" s="11"/>
      <c r="W73" s="11"/>
      <c r="X73" s="11"/>
      <c r="Y73" s="11"/>
      <c r="Z73" s="11"/>
      <c r="AA73" s="11"/>
      <c r="AB73" s="11"/>
      <c r="AC73" s="11"/>
      <c r="AD73" s="11"/>
    </row>
    <row r="74" ht="12.0" customHeight="1">
      <c r="A74" s="30" t="s">
        <v>70</v>
      </c>
      <c r="B74" s="46">
        <f t="shared" ref="B74:K74" si="36">IF(B38=0,0,IF(B$64=1,1,IF(B98/(B120*B38*$B$50)&gt;1,2,1)))</f>
        <v>1</v>
      </c>
      <c r="C74" s="46">
        <f t="shared" si="36"/>
        <v>1</v>
      </c>
      <c r="D74" s="46">
        <f t="shared" si="36"/>
        <v>1</v>
      </c>
      <c r="E74" s="46">
        <f t="shared" si="36"/>
        <v>1</v>
      </c>
      <c r="F74" s="46">
        <f t="shared" si="36"/>
        <v>1</v>
      </c>
      <c r="G74" s="46">
        <f t="shared" si="36"/>
        <v>1</v>
      </c>
      <c r="H74" s="46">
        <f t="shared" si="36"/>
        <v>1</v>
      </c>
      <c r="I74" s="46">
        <f t="shared" si="36"/>
        <v>2</v>
      </c>
      <c r="J74" s="46">
        <f t="shared" si="36"/>
        <v>2</v>
      </c>
      <c r="K74" s="46">
        <f t="shared" si="36"/>
        <v>2</v>
      </c>
      <c r="L74" s="11"/>
      <c r="M74" s="11"/>
      <c r="N74" s="11"/>
      <c r="O74" s="11"/>
      <c r="P74" s="11"/>
      <c r="Q74" s="11"/>
      <c r="R74" s="11"/>
      <c r="S74" s="11"/>
      <c r="T74" s="11"/>
      <c r="U74" s="11"/>
      <c r="V74" s="11"/>
      <c r="W74" s="11"/>
      <c r="X74" s="11"/>
      <c r="Y74" s="11"/>
      <c r="Z74" s="11"/>
      <c r="AA74" s="11"/>
      <c r="AB74" s="11"/>
      <c r="AC74" s="11"/>
      <c r="AD74" s="11"/>
    </row>
    <row r="75" ht="12.0" customHeight="1">
      <c r="A75" s="30" t="s">
        <v>72</v>
      </c>
      <c r="B75" s="46">
        <f t="shared" ref="B75:K75" si="37">IF(B39=0,0,IF(B$64=1,1,IF(B99/(B121*B39*$B$50)&gt;1,2,1)))</f>
        <v>1</v>
      </c>
      <c r="C75" s="46">
        <f t="shared" si="37"/>
        <v>1</v>
      </c>
      <c r="D75" s="46">
        <f t="shared" si="37"/>
        <v>1</v>
      </c>
      <c r="E75" s="46">
        <f t="shared" si="37"/>
        <v>1</v>
      </c>
      <c r="F75" s="46">
        <f t="shared" si="37"/>
        <v>1</v>
      </c>
      <c r="G75" s="46">
        <f t="shared" si="37"/>
        <v>1</v>
      </c>
      <c r="H75" s="46">
        <f t="shared" si="37"/>
        <v>1</v>
      </c>
      <c r="I75" s="46">
        <f t="shared" si="37"/>
        <v>1</v>
      </c>
      <c r="J75" s="46">
        <f t="shared" si="37"/>
        <v>1</v>
      </c>
      <c r="K75" s="46">
        <f t="shared" si="37"/>
        <v>1</v>
      </c>
      <c r="L75" s="11"/>
      <c r="M75" s="11"/>
      <c r="N75" s="11"/>
      <c r="O75" s="11"/>
      <c r="P75" s="11"/>
      <c r="Q75" s="11"/>
      <c r="R75" s="11"/>
      <c r="S75" s="11"/>
      <c r="T75" s="11"/>
      <c r="U75" s="11"/>
      <c r="V75" s="11"/>
      <c r="W75" s="11"/>
      <c r="X75" s="11"/>
      <c r="Y75" s="11"/>
      <c r="Z75" s="11"/>
      <c r="AA75" s="11"/>
      <c r="AB75" s="11"/>
      <c r="AC75" s="11"/>
      <c r="AD75" s="11"/>
    </row>
    <row r="76" ht="12.0" customHeight="1">
      <c r="A76" s="30" t="s">
        <v>74</v>
      </c>
      <c r="B76" s="46">
        <f t="shared" ref="B76:K76" si="38">IF(B40=0,0,IF(B$64=1,1,IF(B100/(B122*B40*$B$50)&gt;1,2,1)))</f>
        <v>1</v>
      </c>
      <c r="C76" s="46">
        <f t="shared" si="38"/>
        <v>1</v>
      </c>
      <c r="D76" s="46">
        <f t="shared" si="38"/>
        <v>1</v>
      </c>
      <c r="E76" s="46">
        <f t="shared" si="38"/>
        <v>1</v>
      </c>
      <c r="F76" s="46">
        <f t="shared" si="38"/>
        <v>1</v>
      </c>
      <c r="G76" s="46">
        <f t="shared" si="38"/>
        <v>1</v>
      </c>
      <c r="H76" s="46">
        <f t="shared" si="38"/>
        <v>1</v>
      </c>
      <c r="I76" s="46">
        <f t="shared" si="38"/>
        <v>1</v>
      </c>
      <c r="J76" s="46">
        <f t="shared" si="38"/>
        <v>2</v>
      </c>
      <c r="K76" s="46">
        <f t="shared" si="38"/>
        <v>2</v>
      </c>
      <c r="L76" s="11"/>
      <c r="M76" s="11"/>
      <c r="N76" s="11"/>
      <c r="O76" s="11"/>
      <c r="P76" s="11"/>
      <c r="Q76" s="11"/>
      <c r="R76" s="11"/>
      <c r="S76" s="11"/>
      <c r="T76" s="11"/>
      <c r="U76" s="11"/>
      <c r="V76" s="11"/>
      <c r="W76" s="11"/>
      <c r="X76" s="11"/>
      <c r="Y76" s="11"/>
      <c r="Z76" s="11"/>
      <c r="AA76" s="11"/>
      <c r="AB76" s="11"/>
      <c r="AC76" s="11"/>
      <c r="AD76" s="11"/>
    </row>
    <row r="77" ht="12.0" customHeight="1">
      <c r="A77" s="30" t="s">
        <v>76</v>
      </c>
      <c r="B77" s="46">
        <f t="shared" ref="B77:K77" si="39">IF(B41=0,0,IF(B$64=1,1,IF(B101/(B123*B41*$B$50)&gt;1,2,1)))</f>
        <v>1</v>
      </c>
      <c r="C77" s="46">
        <f t="shared" si="39"/>
        <v>1</v>
      </c>
      <c r="D77" s="46">
        <f t="shared" si="39"/>
        <v>1</v>
      </c>
      <c r="E77" s="46">
        <f t="shared" si="39"/>
        <v>1</v>
      </c>
      <c r="F77" s="46">
        <f t="shared" si="39"/>
        <v>1</v>
      </c>
      <c r="G77" s="46">
        <f t="shared" si="39"/>
        <v>1</v>
      </c>
      <c r="H77" s="46">
        <f t="shared" si="39"/>
        <v>1</v>
      </c>
      <c r="I77" s="46">
        <f t="shared" si="39"/>
        <v>1</v>
      </c>
      <c r="J77" s="46">
        <f t="shared" si="39"/>
        <v>1</v>
      </c>
      <c r="K77" s="46">
        <f t="shared" si="39"/>
        <v>1</v>
      </c>
      <c r="L77" s="11"/>
      <c r="M77" s="11"/>
      <c r="N77" s="11"/>
      <c r="O77" s="11"/>
      <c r="P77" s="11"/>
      <c r="Q77" s="11"/>
      <c r="R77" s="11"/>
      <c r="S77" s="11"/>
      <c r="T77" s="11"/>
      <c r="U77" s="11"/>
      <c r="V77" s="11"/>
      <c r="W77" s="11"/>
      <c r="X77" s="11"/>
      <c r="Y77" s="11"/>
      <c r="Z77" s="11"/>
      <c r="AA77" s="11"/>
      <c r="AB77" s="11"/>
      <c r="AC77" s="11"/>
      <c r="AD77" s="11"/>
    </row>
    <row r="78" ht="12.0" customHeight="1">
      <c r="A78" s="30" t="s">
        <v>77</v>
      </c>
      <c r="B78" s="46">
        <f t="shared" ref="B78:K78" si="40">IF(B42=0,0,IF(B$64=1,1,IF(B102/(B124*B42*$B$50)&gt;1,2,1)))</f>
        <v>0</v>
      </c>
      <c r="C78" s="46">
        <f t="shared" si="40"/>
        <v>0</v>
      </c>
      <c r="D78" s="46">
        <f t="shared" si="40"/>
        <v>0</v>
      </c>
      <c r="E78" s="46">
        <f t="shared" si="40"/>
        <v>1</v>
      </c>
      <c r="F78" s="46">
        <f t="shared" si="40"/>
        <v>1</v>
      </c>
      <c r="G78" s="46">
        <f t="shared" si="40"/>
        <v>1</v>
      </c>
      <c r="H78" s="46">
        <f t="shared" si="40"/>
        <v>2</v>
      </c>
      <c r="I78" s="46">
        <f t="shared" si="40"/>
        <v>2</v>
      </c>
      <c r="J78" s="46">
        <f t="shared" si="40"/>
        <v>2</v>
      </c>
      <c r="K78" s="46">
        <f t="shared" si="40"/>
        <v>2</v>
      </c>
      <c r="L78" s="11"/>
      <c r="M78" s="11"/>
      <c r="N78" s="11"/>
      <c r="O78" s="11"/>
      <c r="P78" s="11"/>
      <c r="Q78" s="11"/>
      <c r="R78" s="11"/>
      <c r="S78" s="11"/>
      <c r="T78" s="11"/>
      <c r="U78" s="11"/>
      <c r="V78" s="11"/>
      <c r="W78" s="11"/>
      <c r="X78" s="11"/>
      <c r="Y78" s="11"/>
      <c r="Z78" s="11"/>
      <c r="AA78" s="11"/>
      <c r="AB78" s="11"/>
      <c r="AC78" s="11"/>
      <c r="AD78" s="11"/>
    </row>
    <row r="79" ht="12.0" customHeight="1">
      <c r="A79" s="30" t="s">
        <v>79</v>
      </c>
      <c r="B79" s="46">
        <f t="shared" ref="B79:K79" si="41">IF(B43=0,0,IF(B$64=1,1,IF(B103/(B125*B43*$B$50)&gt;1,2,1)))</f>
        <v>1</v>
      </c>
      <c r="C79" s="46">
        <f t="shared" si="41"/>
        <v>1</v>
      </c>
      <c r="D79" s="46">
        <f t="shared" si="41"/>
        <v>1</v>
      </c>
      <c r="E79" s="46">
        <f t="shared" si="41"/>
        <v>1</v>
      </c>
      <c r="F79" s="46">
        <f t="shared" si="41"/>
        <v>1</v>
      </c>
      <c r="G79" s="46">
        <f t="shared" si="41"/>
        <v>1</v>
      </c>
      <c r="H79" s="46">
        <f t="shared" si="41"/>
        <v>1</v>
      </c>
      <c r="I79" s="46">
        <f t="shared" si="41"/>
        <v>1</v>
      </c>
      <c r="J79" s="46">
        <f t="shared" si="41"/>
        <v>1</v>
      </c>
      <c r="K79" s="46">
        <f t="shared" si="41"/>
        <v>2</v>
      </c>
      <c r="L79" s="11"/>
      <c r="M79" s="11"/>
      <c r="N79" s="11"/>
      <c r="O79" s="11"/>
      <c r="P79" s="11"/>
      <c r="Q79" s="11"/>
      <c r="R79" s="11"/>
      <c r="S79" s="11"/>
      <c r="T79" s="11"/>
      <c r="U79" s="11"/>
      <c r="V79" s="11"/>
      <c r="W79" s="11"/>
      <c r="X79" s="11"/>
      <c r="Y79" s="11"/>
      <c r="Z79" s="11"/>
      <c r="AA79" s="11"/>
      <c r="AB79" s="11"/>
      <c r="AC79" s="11"/>
      <c r="AD79" s="11"/>
    </row>
    <row r="80" ht="12.0" customHeight="1">
      <c r="A80" s="30" t="s">
        <v>81</v>
      </c>
      <c r="B80" s="46">
        <f t="shared" ref="B80:K80" si="42">IF(B44=0,0,IF(B$64=1,1,IF(B104/(B126*B44*$B$50)&gt;1,2,1)))</f>
        <v>1</v>
      </c>
      <c r="C80" s="46">
        <f t="shared" si="42"/>
        <v>1</v>
      </c>
      <c r="D80" s="46">
        <f t="shared" si="42"/>
        <v>1</v>
      </c>
      <c r="E80" s="46">
        <f t="shared" si="42"/>
        <v>1</v>
      </c>
      <c r="F80" s="46">
        <f t="shared" si="42"/>
        <v>1</v>
      </c>
      <c r="G80" s="46">
        <f t="shared" si="42"/>
        <v>1</v>
      </c>
      <c r="H80" s="46">
        <f t="shared" si="42"/>
        <v>1</v>
      </c>
      <c r="I80" s="46">
        <f t="shared" si="42"/>
        <v>1</v>
      </c>
      <c r="J80" s="46">
        <f t="shared" si="42"/>
        <v>2</v>
      </c>
      <c r="K80" s="46">
        <f t="shared" si="42"/>
        <v>2</v>
      </c>
      <c r="L80" s="11"/>
      <c r="M80" s="11"/>
      <c r="N80" s="11"/>
      <c r="O80" s="11"/>
      <c r="P80" s="11"/>
      <c r="Q80" s="11"/>
      <c r="R80" s="11"/>
      <c r="S80" s="11"/>
      <c r="T80" s="11"/>
      <c r="U80" s="11"/>
      <c r="V80" s="11"/>
      <c r="W80" s="11"/>
      <c r="X80" s="11"/>
      <c r="Y80" s="11"/>
      <c r="Z80" s="11"/>
      <c r="AA80" s="11"/>
      <c r="AB80" s="11"/>
      <c r="AC80" s="11"/>
      <c r="AD80" s="11"/>
    </row>
    <row r="81" ht="12.0" customHeight="1">
      <c r="A81" s="30" t="s">
        <v>82</v>
      </c>
      <c r="B81" s="46">
        <f t="shared" ref="B81:K81" si="43">IF(B45=0,0,IF(B$64=1,1,IF(B105/(B127*B45*$B$50)&gt;1,2,1)))</f>
        <v>1</v>
      </c>
      <c r="C81" s="46">
        <f t="shared" si="43"/>
        <v>1</v>
      </c>
      <c r="D81" s="46">
        <f t="shared" si="43"/>
        <v>1</v>
      </c>
      <c r="E81" s="46">
        <f t="shared" si="43"/>
        <v>1</v>
      </c>
      <c r="F81" s="46">
        <f t="shared" si="43"/>
        <v>1</v>
      </c>
      <c r="G81" s="46">
        <f t="shared" si="43"/>
        <v>1</v>
      </c>
      <c r="H81" s="46">
        <f t="shared" si="43"/>
        <v>1</v>
      </c>
      <c r="I81" s="46">
        <f t="shared" si="43"/>
        <v>2</v>
      </c>
      <c r="J81" s="46">
        <f t="shared" si="43"/>
        <v>2</v>
      </c>
      <c r="K81" s="46">
        <f t="shared" si="43"/>
        <v>2</v>
      </c>
      <c r="L81" s="11"/>
      <c r="M81" s="11"/>
      <c r="N81" s="11"/>
      <c r="O81" s="11"/>
      <c r="P81" s="11"/>
      <c r="Q81" s="11"/>
      <c r="R81" s="11"/>
      <c r="S81" s="11"/>
      <c r="T81" s="11"/>
      <c r="U81" s="11"/>
      <c r="V81" s="11"/>
      <c r="W81" s="11"/>
      <c r="X81" s="11"/>
      <c r="Y81" s="11"/>
      <c r="Z81" s="11"/>
      <c r="AA81" s="11"/>
      <c r="AB81" s="11"/>
      <c r="AC81" s="11"/>
      <c r="AD81" s="11"/>
    </row>
    <row r="82" ht="12.0" customHeight="1">
      <c r="A82" s="30" t="s">
        <v>83</v>
      </c>
      <c r="B82" s="46">
        <f t="shared" ref="B82:K82" si="44">IF(B46=0,0,IF(B$64=1,1,IF(B106/(B128*B46*$B$50)&gt;1,2,1)))</f>
        <v>1</v>
      </c>
      <c r="C82" s="46">
        <f t="shared" si="44"/>
        <v>1</v>
      </c>
      <c r="D82" s="46">
        <f t="shared" si="44"/>
        <v>1</v>
      </c>
      <c r="E82" s="46">
        <f t="shared" si="44"/>
        <v>1</v>
      </c>
      <c r="F82" s="46">
        <f t="shared" si="44"/>
        <v>1</v>
      </c>
      <c r="G82" s="46">
        <f t="shared" si="44"/>
        <v>1</v>
      </c>
      <c r="H82" s="46">
        <f t="shared" si="44"/>
        <v>1</v>
      </c>
      <c r="I82" s="46">
        <f t="shared" si="44"/>
        <v>2</v>
      </c>
      <c r="J82" s="46">
        <f t="shared" si="44"/>
        <v>2</v>
      </c>
      <c r="K82" s="46">
        <f t="shared" si="44"/>
        <v>2</v>
      </c>
      <c r="L82" s="11"/>
      <c r="M82" s="11"/>
      <c r="N82" s="11"/>
      <c r="O82" s="11"/>
      <c r="P82" s="11"/>
      <c r="Q82" s="11"/>
      <c r="R82" s="11"/>
      <c r="S82" s="11"/>
      <c r="T82" s="11"/>
      <c r="U82" s="11"/>
      <c r="V82" s="11"/>
      <c r="W82" s="11"/>
      <c r="X82" s="11"/>
      <c r="Y82" s="11"/>
      <c r="Z82" s="11"/>
      <c r="AA82" s="11"/>
      <c r="AB82" s="11"/>
      <c r="AC82" s="11"/>
      <c r="AD82" s="11"/>
    </row>
    <row r="83" ht="12.0" customHeight="1">
      <c r="A83" s="30" t="s">
        <v>84</v>
      </c>
      <c r="B83" s="46">
        <f t="shared" ref="B83:K83" si="45">IF(B47=0,0,IF(B$64=1,1,IF(B107/(B129*B47*$B$50)&gt;1,2,1)))</f>
        <v>1</v>
      </c>
      <c r="C83" s="46">
        <f t="shared" si="45"/>
        <v>1</v>
      </c>
      <c r="D83" s="46">
        <f t="shared" si="45"/>
        <v>1</v>
      </c>
      <c r="E83" s="46">
        <f t="shared" si="45"/>
        <v>1</v>
      </c>
      <c r="F83" s="46">
        <f t="shared" si="45"/>
        <v>1</v>
      </c>
      <c r="G83" s="46">
        <f t="shared" si="45"/>
        <v>1</v>
      </c>
      <c r="H83" s="46">
        <f t="shared" si="45"/>
        <v>2</v>
      </c>
      <c r="I83" s="46">
        <f t="shared" si="45"/>
        <v>2</v>
      </c>
      <c r="J83" s="46">
        <f t="shared" si="45"/>
        <v>2</v>
      </c>
      <c r="K83" s="46">
        <f t="shared" si="45"/>
        <v>2</v>
      </c>
      <c r="L83" s="11"/>
      <c r="M83" s="11"/>
      <c r="N83" s="11"/>
      <c r="O83" s="11"/>
      <c r="P83" s="11"/>
      <c r="Q83" s="11"/>
      <c r="R83" s="11"/>
      <c r="S83" s="11"/>
      <c r="T83" s="11"/>
      <c r="U83" s="11"/>
      <c r="V83" s="11"/>
      <c r="W83" s="11"/>
      <c r="X83" s="11"/>
      <c r="Y83" s="11"/>
      <c r="Z83" s="11"/>
      <c r="AA83" s="11"/>
      <c r="AB83" s="11"/>
      <c r="AC83" s="11"/>
      <c r="AD83" s="11"/>
    </row>
    <row r="84" ht="12.0" customHeight="1">
      <c r="A84" s="30" t="s">
        <v>85</v>
      </c>
      <c r="B84" s="46">
        <f t="shared" ref="B84:K84" si="46">IF(B48=0,0,IF(B$64=1,1,IF(B108/(B130*B48*$B$50)&gt;1,2,1)))</f>
        <v>1</v>
      </c>
      <c r="C84" s="46">
        <f t="shared" si="46"/>
        <v>1</v>
      </c>
      <c r="D84" s="46">
        <f t="shared" si="46"/>
        <v>1</v>
      </c>
      <c r="E84" s="46">
        <f t="shared" si="46"/>
        <v>1</v>
      </c>
      <c r="F84" s="46">
        <f t="shared" si="46"/>
        <v>1</v>
      </c>
      <c r="G84" s="46">
        <f t="shared" si="46"/>
        <v>1</v>
      </c>
      <c r="H84" s="46">
        <f t="shared" si="46"/>
        <v>1</v>
      </c>
      <c r="I84" s="46">
        <f t="shared" si="46"/>
        <v>1</v>
      </c>
      <c r="J84" s="46">
        <f t="shared" si="46"/>
        <v>2</v>
      </c>
      <c r="K84" s="46">
        <f t="shared" si="46"/>
        <v>2</v>
      </c>
      <c r="L84" s="11"/>
      <c r="M84" s="11"/>
      <c r="N84" s="11"/>
      <c r="O84" s="11"/>
      <c r="P84" s="11"/>
      <c r="Q84" s="11"/>
      <c r="R84" s="11"/>
      <c r="S84" s="11"/>
      <c r="T84" s="11"/>
      <c r="U84" s="11"/>
      <c r="V84" s="11"/>
      <c r="W84" s="11"/>
      <c r="X84" s="11"/>
      <c r="Y84" s="11"/>
      <c r="Z84" s="11"/>
      <c r="AA84" s="11"/>
      <c r="AB84" s="11"/>
      <c r="AC84" s="11"/>
      <c r="AD84" s="11"/>
    </row>
    <row r="85" ht="12.0" customHeight="1">
      <c r="A85" s="73" t="s">
        <v>414</v>
      </c>
      <c r="B85" s="36">
        <f t="shared" ref="B85:K85" si="47">MAX(B65:B84)</f>
        <v>1</v>
      </c>
      <c r="C85" s="36">
        <f t="shared" si="47"/>
        <v>1</v>
      </c>
      <c r="D85" s="36">
        <f t="shared" si="47"/>
        <v>1</v>
      </c>
      <c r="E85" s="36">
        <f t="shared" si="47"/>
        <v>1</v>
      </c>
      <c r="F85" s="36">
        <f t="shared" si="47"/>
        <v>1</v>
      </c>
      <c r="G85" s="36">
        <f t="shared" si="47"/>
        <v>1</v>
      </c>
      <c r="H85" s="36">
        <f t="shared" si="47"/>
        <v>2</v>
      </c>
      <c r="I85" s="36">
        <f t="shared" si="47"/>
        <v>2</v>
      </c>
      <c r="J85" s="36">
        <f t="shared" si="47"/>
        <v>2</v>
      </c>
      <c r="K85" s="36">
        <f t="shared" si="47"/>
        <v>2</v>
      </c>
      <c r="L85" s="11"/>
      <c r="M85" s="11"/>
      <c r="N85" s="11"/>
      <c r="O85" s="11"/>
      <c r="P85" s="11"/>
      <c r="Q85" s="11"/>
      <c r="R85" s="11"/>
      <c r="S85" s="11"/>
      <c r="T85" s="11"/>
      <c r="U85" s="11"/>
      <c r="V85" s="11"/>
      <c r="W85" s="11"/>
      <c r="X85" s="11"/>
      <c r="Y85" s="11"/>
      <c r="Z85" s="11"/>
      <c r="AA85" s="11"/>
      <c r="AB85" s="11"/>
      <c r="AC85" s="11"/>
      <c r="AD85" s="11"/>
    </row>
    <row r="86" ht="12.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2.0" customHeight="1">
      <c r="A87" s="134" t="s">
        <v>415</v>
      </c>
      <c r="B87" s="16"/>
      <c r="C87" s="16"/>
      <c r="D87" s="16"/>
      <c r="E87" s="16"/>
      <c r="F87" s="16"/>
      <c r="G87" s="16"/>
      <c r="H87" s="16"/>
      <c r="I87" s="16"/>
      <c r="J87" s="16"/>
      <c r="K87" s="17"/>
      <c r="L87" s="11"/>
      <c r="M87" s="11"/>
      <c r="N87" s="11"/>
      <c r="O87" s="11"/>
      <c r="P87" s="11"/>
      <c r="Q87" s="11"/>
      <c r="R87" s="11"/>
      <c r="S87" s="11"/>
      <c r="T87" s="11"/>
      <c r="U87" s="11"/>
      <c r="V87" s="11"/>
      <c r="W87" s="11"/>
      <c r="X87" s="11"/>
      <c r="Y87" s="11"/>
      <c r="Z87" s="11"/>
      <c r="AA87" s="11"/>
      <c r="AB87" s="11"/>
      <c r="AC87" s="11"/>
      <c r="AD87" s="11"/>
    </row>
    <row r="88" ht="12.0" customHeight="1">
      <c r="A88" s="135" t="s">
        <v>416</v>
      </c>
      <c r="B88" s="135">
        <v>2026.0</v>
      </c>
      <c r="C88" s="135">
        <v>2027.0</v>
      </c>
      <c r="D88" s="135">
        <v>2028.0</v>
      </c>
      <c r="E88" s="135">
        <v>2029.0</v>
      </c>
      <c r="F88" s="135">
        <v>2030.0</v>
      </c>
      <c r="G88" s="135">
        <v>2031.0</v>
      </c>
      <c r="H88" s="135">
        <v>2032.0</v>
      </c>
      <c r="I88" s="135">
        <v>2033.0</v>
      </c>
      <c r="J88" s="135">
        <v>2034.0</v>
      </c>
      <c r="K88" s="135">
        <v>2035.0</v>
      </c>
      <c r="L88" s="11"/>
      <c r="M88" s="11"/>
      <c r="N88" s="11"/>
      <c r="O88" s="11"/>
      <c r="P88" s="11"/>
      <c r="Q88" s="11"/>
      <c r="R88" s="11"/>
      <c r="S88" s="11"/>
      <c r="T88" s="11"/>
      <c r="U88" s="11"/>
      <c r="V88" s="11"/>
      <c r="W88" s="11"/>
      <c r="X88" s="11"/>
      <c r="Y88" s="11"/>
      <c r="Z88" s="11"/>
      <c r="AA88" s="11"/>
      <c r="AB88" s="11"/>
      <c r="AC88" s="11"/>
      <c r="AD88" s="11"/>
    </row>
    <row r="89" ht="12.0" customHeight="1">
      <c r="A89" s="30" t="s">
        <v>26</v>
      </c>
      <c r="B89" s="63">
        <f>MAX('Analisis de operaciones'!C7:N7)</f>
        <v>5.2814</v>
      </c>
      <c r="C89" s="63">
        <f>MAX('Analisis de operaciones'!C190:N190)</f>
        <v>8.268466667</v>
      </c>
      <c r="D89" s="63">
        <f>MAX('Analisis de operaciones'!C373:N373)</f>
        <v>17.62673333</v>
      </c>
      <c r="E89" s="63">
        <f>MAX('Analisis de operaciones'!C556:N556)</f>
        <v>39.27113333</v>
      </c>
      <c r="F89" s="63">
        <f>MAX('Analisis de operaciones'!C739:N739)</f>
        <v>68.6062</v>
      </c>
      <c r="G89" s="63">
        <f>MAX('Analisis de operaciones'!C922:N922)</f>
        <v>96.3962</v>
      </c>
      <c r="H89" s="63">
        <f>MAX('Analisis de operaciones'!C1105:N1105)</f>
        <v>133.1442</v>
      </c>
      <c r="I89" s="63">
        <f>MAX('Analisis de operaciones'!C1288:N1288)</f>
        <v>170.2403333</v>
      </c>
      <c r="J89" s="63">
        <f>MAX('Analisis de operaciones'!C1471:N1471)</f>
        <v>192.0752667</v>
      </c>
      <c r="K89" s="63">
        <f>MAX('Analisis de operaciones'!C1654:N1654)</f>
        <v>221.9456</v>
      </c>
      <c r="L89" s="11"/>
      <c r="M89" s="11"/>
      <c r="N89" s="11"/>
      <c r="O89" s="11"/>
      <c r="P89" s="11"/>
      <c r="Q89" s="11"/>
      <c r="R89" s="11"/>
      <c r="S89" s="11"/>
      <c r="T89" s="11"/>
      <c r="U89" s="11"/>
      <c r="V89" s="11"/>
      <c r="W89" s="11"/>
      <c r="X89" s="11"/>
      <c r="Y89" s="11"/>
      <c r="Z89" s="11"/>
      <c r="AA89" s="11"/>
      <c r="AB89" s="11"/>
      <c r="AC89" s="11"/>
      <c r="AD89" s="11"/>
    </row>
    <row r="90" ht="12.0" customHeight="1">
      <c r="A90" s="30" t="s">
        <v>55</v>
      </c>
      <c r="B90" s="63">
        <f>MAX('Analisis de operaciones'!C17:N17)</f>
        <v>5.2814</v>
      </c>
      <c r="C90" s="63">
        <f>MAX('Analisis de operaciones'!C200:N200)</f>
        <v>8.268466667</v>
      </c>
      <c r="D90" s="63">
        <f>MAX('Analisis de operaciones'!C383:N383)</f>
        <v>17.62673333</v>
      </c>
      <c r="E90" s="63">
        <f>MAX('Analisis de operaciones'!C566:N566)</f>
        <v>39.27113333</v>
      </c>
      <c r="F90" s="63">
        <f>MAX('Analisis de operaciones'!C749:N749)</f>
        <v>68.6062</v>
      </c>
      <c r="G90" s="63">
        <f>MAX('Analisis de operaciones'!C932:N932)</f>
        <v>96.3962</v>
      </c>
      <c r="H90" s="63">
        <f>MAX('Analisis de operaciones'!C1115:N1115)</f>
        <v>133.1442</v>
      </c>
      <c r="I90" s="63">
        <f>MAX('Analisis de operaciones'!C1298:N1298)</f>
        <v>170.2403333</v>
      </c>
      <c r="J90" s="63">
        <f>MAX('Analisis de operaciones'!C1481:N1481)</f>
        <v>192.0752667</v>
      </c>
      <c r="K90" s="63">
        <f>MAX('Analisis de operaciones'!C1664:N1664)</f>
        <v>221.9456</v>
      </c>
      <c r="L90" s="11"/>
      <c r="M90" s="11"/>
      <c r="N90" s="11"/>
      <c r="O90" s="11"/>
      <c r="P90" s="11"/>
      <c r="Q90" s="11"/>
      <c r="R90" s="11"/>
      <c r="S90" s="11"/>
      <c r="T90" s="11"/>
      <c r="U90" s="11"/>
      <c r="V90" s="11"/>
      <c r="W90" s="11"/>
      <c r="X90" s="11"/>
      <c r="Y90" s="11"/>
      <c r="Z90" s="11"/>
      <c r="AA90" s="11"/>
      <c r="AB90" s="11"/>
      <c r="AC90" s="11"/>
      <c r="AD90" s="11"/>
    </row>
    <row r="91" ht="12.0" customHeight="1">
      <c r="A91" s="30" t="s">
        <v>61</v>
      </c>
      <c r="B91" s="63">
        <f>MAX('Analisis de operaciones'!C27:N27)</f>
        <v>10.5628</v>
      </c>
      <c r="C91" s="63">
        <f>MAX('Analisis de operaciones'!C210:N210)</f>
        <v>16.53693333</v>
      </c>
      <c r="D91" s="63">
        <f>MAX('Analisis de operaciones'!C393:N393)</f>
        <v>35.25346667</v>
      </c>
      <c r="E91" s="63">
        <f>MAX('Analisis de operaciones'!C576:N576)</f>
        <v>78.54226667</v>
      </c>
      <c r="F91" s="63">
        <f>MAX('Analisis de operaciones'!C759:N759)</f>
        <v>137.2124</v>
      </c>
      <c r="G91" s="63">
        <f>MAX('Analisis de operaciones'!C942:N942)</f>
        <v>192.7924</v>
      </c>
      <c r="H91" s="63">
        <f>MAX('Analisis de operaciones'!C1125:N1125)</f>
        <v>266.2884</v>
      </c>
      <c r="I91" s="63">
        <f>MAX('Analisis de operaciones'!C1308:N1308)</f>
        <v>340.4806667</v>
      </c>
      <c r="J91" s="63">
        <f>MAX('Analisis de operaciones'!C1491:N1491)</f>
        <v>384.1505333</v>
      </c>
      <c r="K91" s="63">
        <f>MAX('Analisis de operaciones'!C1674:N1674)</f>
        <v>443.8912</v>
      </c>
      <c r="L91" s="11"/>
      <c r="M91" s="11"/>
      <c r="N91" s="11"/>
      <c r="O91" s="11"/>
      <c r="P91" s="11"/>
      <c r="Q91" s="11"/>
      <c r="R91" s="11"/>
      <c r="S91" s="11"/>
      <c r="T91" s="11"/>
      <c r="U91" s="11"/>
      <c r="V91" s="11"/>
      <c r="W91" s="11"/>
      <c r="X91" s="11"/>
      <c r="Y91" s="11"/>
      <c r="Z91" s="11"/>
      <c r="AA91" s="11"/>
      <c r="AB91" s="11"/>
      <c r="AC91" s="11"/>
      <c r="AD91" s="11"/>
    </row>
    <row r="92" ht="12.0" customHeight="1">
      <c r="A92" s="30" t="s">
        <v>62</v>
      </c>
      <c r="B92" s="63">
        <f>MAX('Analisis de operaciones'!C37:N37)</f>
        <v>5.2814</v>
      </c>
      <c r="C92" s="63">
        <f>MAX('Analisis de operaciones'!C220:N220)</f>
        <v>8.268466667</v>
      </c>
      <c r="D92" s="63">
        <f>MAX('Analisis de operaciones'!C403:N403)</f>
        <v>17.62673333</v>
      </c>
      <c r="E92" s="63">
        <f>MAX('Analisis de operaciones'!C586:N586)</f>
        <v>39.27113333</v>
      </c>
      <c r="F92" s="63">
        <f>MAX('Analisis de operaciones'!C769:N769)</f>
        <v>68.6062</v>
      </c>
      <c r="G92" s="63">
        <f>MAX('Analisis de operaciones'!C952:N952)</f>
        <v>96.3962</v>
      </c>
      <c r="H92" s="63">
        <f>MAX('Analisis de operaciones'!C1135:N1135)</f>
        <v>133.1442</v>
      </c>
      <c r="I92" s="63">
        <f>MAX('Analisis de operaciones'!C1318:N1318)</f>
        <v>170.2403333</v>
      </c>
      <c r="J92" s="63">
        <f>MAX('Analisis de operaciones'!C1501:N1501)</f>
        <v>192.0752667</v>
      </c>
      <c r="K92" s="63">
        <f>MAX('Analisis de operaciones'!C1684:N1684)</f>
        <v>221.9456</v>
      </c>
      <c r="L92" s="11"/>
      <c r="M92" s="11"/>
      <c r="N92" s="11"/>
      <c r="O92" s="11"/>
      <c r="P92" s="11"/>
      <c r="Q92" s="11"/>
      <c r="R92" s="11"/>
      <c r="S92" s="11"/>
      <c r="T92" s="11"/>
      <c r="U92" s="11"/>
      <c r="V92" s="11"/>
      <c r="W92" s="11"/>
      <c r="X92" s="11"/>
      <c r="Y92" s="11"/>
      <c r="Z92" s="11"/>
      <c r="AA92" s="11"/>
      <c r="AB92" s="11"/>
      <c r="AC92" s="11"/>
      <c r="AD92" s="11"/>
    </row>
    <row r="93" ht="12.0" customHeight="1">
      <c r="A93" s="30" t="s">
        <v>63</v>
      </c>
      <c r="B93" s="63">
        <f>MAX('Analisis de operaciones'!C47:N47)</f>
        <v>1.9382</v>
      </c>
      <c r="C93" s="63">
        <f>MAX('Analisis de operaciones'!C230:N230)</f>
        <v>3.470866667</v>
      </c>
      <c r="D93" s="63">
        <f>MAX('Analisis de operaciones'!C413:N413)</f>
        <v>6.015533333</v>
      </c>
      <c r="E93" s="63">
        <f>MAX('Analisis de operaciones'!C596:N596)</f>
        <v>11.14153333</v>
      </c>
      <c r="F93" s="63">
        <f>MAX('Analisis de operaciones'!C779:N779)</f>
        <v>18.9134</v>
      </c>
      <c r="G93" s="63">
        <f>MAX('Analisis de operaciones'!C962:N962)</f>
        <v>26.5562</v>
      </c>
      <c r="H93" s="63">
        <f>MAX('Analisis de operaciones'!C1145:N1145)</f>
        <v>35.805</v>
      </c>
      <c r="I93" s="63">
        <f>MAX('Analisis de operaciones'!C1328:N1328)</f>
        <v>45.33393333</v>
      </c>
      <c r="J93" s="63">
        <f>MAX('Analisis de operaciones'!C1511:N1511)</f>
        <v>51.76086667</v>
      </c>
      <c r="K93" s="63">
        <f>MAX('Analisis de operaciones'!C1694:N1694)</f>
        <v>59.8488</v>
      </c>
      <c r="L93" s="11"/>
      <c r="M93" s="11"/>
      <c r="N93" s="11"/>
      <c r="O93" s="11"/>
      <c r="P93" s="11"/>
      <c r="Q93" s="11"/>
      <c r="R93" s="11"/>
      <c r="S93" s="11"/>
      <c r="T93" s="11"/>
      <c r="U93" s="11"/>
      <c r="V93" s="11"/>
      <c r="W93" s="11"/>
      <c r="X93" s="11"/>
      <c r="Y93" s="11"/>
      <c r="Z93" s="11"/>
      <c r="AA93" s="11"/>
      <c r="AB93" s="11"/>
      <c r="AC93" s="11"/>
      <c r="AD93" s="11"/>
    </row>
    <row r="94" ht="12.0" customHeight="1">
      <c r="A94" s="30" t="s">
        <v>64</v>
      </c>
      <c r="B94" s="63">
        <f>MAX('Analisis de operaciones'!C57:N57)</f>
        <v>1.9382</v>
      </c>
      <c r="C94" s="63">
        <f>MAX('Analisis de operaciones'!C240:N240)</f>
        <v>3.470866667</v>
      </c>
      <c r="D94" s="63">
        <f>MAX('Analisis de operaciones'!C423:N423)</f>
        <v>6.015533333</v>
      </c>
      <c r="E94" s="63">
        <f>MAX('Analisis de operaciones'!C606:N606)</f>
        <v>11.14153333</v>
      </c>
      <c r="F94" s="63">
        <f>MAX('Analisis de operaciones'!C789:N789)</f>
        <v>18.9134</v>
      </c>
      <c r="G94" s="63">
        <f>MAX('Analisis de operaciones'!C972:N972)</f>
        <v>26.5562</v>
      </c>
      <c r="H94" s="63">
        <f>MAX('Analisis de operaciones'!C1155:N1155)</f>
        <v>35.805</v>
      </c>
      <c r="I94" s="63">
        <f>MAX('Analisis de operaciones'!C1338:N1338)</f>
        <v>45.33393333</v>
      </c>
      <c r="J94" s="63">
        <f>MAX('Analisis de operaciones'!C1521:N1521)</f>
        <v>51.76086667</v>
      </c>
      <c r="K94" s="63">
        <f>MAX('Analisis de operaciones'!C1704:N1704)</f>
        <v>59.8488</v>
      </c>
      <c r="L94" s="11"/>
      <c r="M94" s="11"/>
      <c r="N94" s="11"/>
      <c r="O94" s="11"/>
      <c r="P94" s="11"/>
      <c r="Q94" s="11"/>
      <c r="R94" s="11"/>
      <c r="S94" s="11"/>
      <c r="T94" s="11"/>
      <c r="U94" s="11"/>
      <c r="V94" s="11"/>
      <c r="W94" s="11"/>
      <c r="X94" s="11"/>
      <c r="Y94" s="11"/>
      <c r="Z94" s="11"/>
      <c r="AA94" s="11"/>
      <c r="AB94" s="11"/>
      <c r="AC94" s="11"/>
      <c r="AD94" s="11"/>
    </row>
    <row r="95" ht="12.0" customHeight="1">
      <c r="A95" s="30" t="s">
        <v>66</v>
      </c>
      <c r="B95" s="63">
        <f>MAX('Analisis de operaciones'!C67:N67)</f>
        <v>5.2814</v>
      </c>
      <c r="C95" s="63">
        <f>MAX('Analisis de operaciones'!C250:N250)</f>
        <v>8.268466667</v>
      </c>
      <c r="D95" s="63">
        <f>MAX('Analisis de operaciones'!C433:N433)</f>
        <v>17.62673333</v>
      </c>
      <c r="E95" s="63">
        <f>MAX('Analisis de operaciones'!C616:N616)</f>
        <v>39.27113333</v>
      </c>
      <c r="F95" s="63">
        <f>MAX('Analisis de operaciones'!C799:N799)</f>
        <v>68.6062</v>
      </c>
      <c r="G95" s="63">
        <f>MAX('Analisis de operaciones'!C982:N982)</f>
        <v>96.3962</v>
      </c>
      <c r="H95" s="63">
        <f>MAX('Analisis de operaciones'!C1165:N1165)</f>
        <v>133.1442</v>
      </c>
      <c r="I95" s="63">
        <f>MAX('Analisis de operaciones'!C1348:N1348)</f>
        <v>170.2403333</v>
      </c>
      <c r="J95" s="63">
        <f>MAX('Analisis de operaciones'!C1531:N1531)</f>
        <v>192.0752667</v>
      </c>
      <c r="K95" s="63">
        <f>MAX('Analisis de operaciones'!C1714:N1714)</f>
        <v>221.9456</v>
      </c>
      <c r="L95" s="11"/>
      <c r="M95" s="11"/>
      <c r="N95" s="11"/>
      <c r="O95" s="11"/>
      <c r="P95" s="11"/>
      <c r="Q95" s="11"/>
      <c r="R95" s="11"/>
      <c r="S95" s="11"/>
      <c r="T95" s="11"/>
      <c r="U95" s="11"/>
      <c r="V95" s="11"/>
      <c r="W95" s="11"/>
      <c r="X95" s="11"/>
      <c r="Y95" s="11"/>
      <c r="Z95" s="11"/>
      <c r="AA95" s="11"/>
      <c r="AB95" s="11"/>
      <c r="AC95" s="11"/>
      <c r="AD95" s="11"/>
    </row>
    <row r="96" ht="12.0" customHeight="1">
      <c r="A96" s="30" t="s">
        <v>67</v>
      </c>
      <c r="B96" s="63">
        <f>MAX('Analisis de operaciones'!C77:N77)</f>
        <v>5.2814</v>
      </c>
      <c r="C96" s="63">
        <f>MAX('Analisis de operaciones'!C260:N260)</f>
        <v>8.268466667</v>
      </c>
      <c r="D96" s="63">
        <f>MAX('Analisis de operaciones'!C443:N443)</f>
        <v>17.62673333</v>
      </c>
      <c r="E96" s="63">
        <f>MAX('Analisis de operaciones'!C626:N626)</f>
        <v>39.27113333</v>
      </c>
      <c r="F96" s="63">
        <f>MAX('Analisis de operaciones'!C809:N809)</f>
        <v>68.6062</v>
      </c>
      <c r="G96" s="63">
        <f>MAX('Analisis de operaciones'!C992:N992)</f>
        <v>96.3962</v>
      </c>
      <c r="H96" s="63">
        <f>MAX('Analisis de operaciones'!C1175:N1175)</f>
        <v>133.1442</v>
      </c>
      <c r="I96" s="63">
        <f>MAX('Analisis de operaciones'!C1358:N1358)</f>
        <v>170.2403333</v>
      </c>
      <c r="J96" s="63">
        <f>MAX('Analisis de operaciones'!C1541:N1541)</f>
        <v>192.0752667</v>
      </c>
      <c r="K96" s="63">
        <f>MAX('Analisis de operaciones'!C1724:N1724)</f>
        <v>221.9456</v>
      </c>
      <c r="L96" s="11"/>
      <c r="M96" s="11"/>
      <c r="N96" s="11"/>
      <c r="O96" s="11"/>
      <c r="P96" s="11"/>
      <c r="Q96" s="11"/>
      <c r="R96" s="11"/>
      <c r="S96" s="11"/>
      <c r="T96" s="11"/>
      <c r="U96" s="11"/>
      <c r="V96" s="11"/>
      <c r="W96" s="11"/>
      <c r="X96" s="11"/>
      <c r="Y96" s="11"/>
      <c r="Z96" s="11"/>
      <c r="AA96" s="11"/>
      <c r="AB96" s="11"/>
      <c r="AC96" s="11"/>
      <c r="AD96" s="11"/>
    </row>
    <row r="97" ht="12.0" customHeight="1">
      <c r="A97" s="30" t="s">
        <v>68</v>
      </c>
      <c r="B97" s="63">
        <f>MAX('Analisis de operaciones'!C87:N87)</f>
        <v>5.2814</v>
      </c>
      <c r="C97" s="63">
        <f>MAX('Analisis de operaciones'!C270:N270)</f>
        <v>8.268466667</v>
      </c>
      <c r="D97" s="63">
        <f>MAX('Analisis de operaciones'!C453:N453)</f>
        <v>17.62673333</v>
      </c>
      <c r="E97" s="63">
        <f>MAX('Analisis de operaciones'!C636:N636)</f>
        <v>39.27113333</v>
      </c>
      <c r="F97" s="63">
        <f>MAX('Analisis de operaciones'!C819:N819)</f>
        <v>68.6062</v>
      </c>
      <c r="G97" s="63">
        <f>MAX('Analisis de operaciones'!C1002:N1002)</f>
        <v>96.3962</v>
      </c>
      <c r="H97" s="63">
        <f>MAX('Analisis de operaciones'!C1185:N1185)</f>
        <v>133.1442</v>
      </c>
      <c r="I97" s="63">
        <f>MAX('Analisis de operaciones'!C1368:N1368)</f>
        <v>170.2403333</v>
      </c>
      <c r="J97" s="63">
        <f>MAX('Analisis de operaciones'!C1551:N1551)</f>
        <v>192.0752667</v>
      </c>
      <c r="K97" s="63">
        <f>MAX('Analisis de operaciones'!C1734:N1734)</f>
        <v>221.9456</v>
      </c>
      <c r="L97" s="11"/>
      <c r="M97" s="11"/>
      <c r="N97" s="11"/>
      <c r="O97" s="11"/>
      <c r="P97" s="11"/>
      <c r="Q97" s="11"/>
      <c r="R97" s="11"/>
      <c r="S97" s="11"/>
      <c r="T97" s="11"/>
      <c r="U97" s="11"/>
      <c r="V97" s="11"/>
      <c r="W97" s="11"/>
      <c r="X97" s="11"/>
      <c r="Y97" s="11"/>
      <c r="Z97" s="11"/>
      <c r="AA97" s="11"/>
      <c r="AB97" s="11"/>
      <c r="AC97" s="11"/>
      <c r="AD97" s="11"/>
    </row>
    <row r="98" ht="12.0" customHeight="1">
      <c r="A98" s="30" t="s">
        <v>70</v>
      </c>
      <c r="B98" s="63">
        <f>MAX('Analisis de operaciones'!C97:N97)</f>
        <v>5.2814</v>
      </c>
      <c r="C98" s="63">
        <f>MAX('Analisis de operaciones'!C280:N280)</f>
        <v>8.268466667</v>
      </c>
      <c r="D98" s="63">
        <f>MAX('Analisis de operaciones'!C463:N463)</f>
        <v>17.62673333</v>
      </c>
      <c r="E98" s="63">
        <f>MAX('Analisis de operaciones'!C646:N646)</f>
        <v>39.27113333</v>
      </c>
      <c r="F98" s="63">
        <f>MAX('Analisis de operaciones'!C829:N829)</f>
        <v>68.6062</v>
      </c>
      <c r="G98" s="63">
        <f>MAX('Analisis de operaciones'!C1012:N1012)</f>
        <v>96.3962</v>
      </c>
      <c r="H98" s="63">
        <f>MAX('Analisis de operaciones'!C1195:N1195)</f>
        <v>133.1442</v>
      </c>
      <c r="I98" s="63">
        <f>MAX('Analisis de operaciones'!C1378:N1378)</f>
        <v>170.2403333</v>
      </c>
      <c r="J98" s="63">
        <f>MAX('Analisis de operaciones'!C1561:N1561)</f>
        <v>192.0752667</v>
      </c>
      <c r="K98" s="63">
        <f>MAX('Analisis de operaciones'!C1744:N1744)</f>
        <v>221.9456</v>
      </c>
      <c r="L98" s="11"/>
      <c r="M98" s="11"/>
      <c r="N98" s="11"/>
      <c r="O98" s="11"/>
      <c r="P98" s="11"/>
      <c r="Q98" s="11"/>
      <c r="R98" s="11"/>
      <c r="S98" s="11"/>
      <c r="T98" s="11"/>
      <c r="U98" s="11"/>
      <c r="V98" s="11"/>
      <c r="W98" s="11"/>
      <c r="X98" s="11"/>
      <c r="Y98" s="11"/>
      <c r="Z98" s="11"/>
      <c r="AA98" s="11"/>
      <c r="AB98" s="11"/>
      <c r="AC98" s="11"/>
      <c r="AD98" s="11"/>
    </row>
    <row r="99" ht="12.0" customHeight="1">
      <c r="A99" s="30" t="s">
        <v>72</v>
      </c>
      <c r="B99" s="63">
        <f>MAX('Analisis de operaciones'!C107:N107)</f>
        <v>1.9382</v>
      </c>
      <c r="C99" s="63">
        <f>MAX('Analisis de operaciones'!C290:N290)</f>
        <v>3.470866667</v>
      </c>
      <c r="D99" s="63">
        <f>MAX('Analisis de operaciones'!C473:N473)</f>
        <v>6.015533333</v>
      </c>
      <c r="E99" s="63">
        <f>MAX('Analisis de operaciones'!C656:N656)</f>
        <v>11.14153333</v>
      </c>
      <c r="F99" s="63">
        <f>MAX('Analisis de operaciones'!C839:N839)</f>
        <v>18.9134</v>
      </c>
      <c r="G99" s="63">
        <f>MAX('Analisis de operaciones'!C1022:N1022)</f>
        <v>26.5562</v>
      </c>
      <c r="H99" s="63">
        <f>MAX('Analisis de operaciones'!C1205:N1205)</f>
        <v>35.805</v>
      </c>
      <c r="I99" s="63">
        <f>MAX('Analisis de operaciones'!C1388:N1388)</f>
        <v>45.33393333</v>
      </c>
      <c r="J99" s="63">
        <f>MAX('Analisis de operaciones'!C1571:N1571)</f>
        <v>51.76086667</v>
      </c>
      <c r="K99" s="63">
        <f>MAX('Analisis de operaciones'!C1754:N1754)</f>
        <v>59.8488</v>
      </c>
      <c r="L99" s="11"/>
      <c r="M99" s="11"/>
      <c r="N99" s="11"/>
      <c r="O99" s="11"/>
      <c r="P99" s="11"/>
      <c r="Q99" s="11"/>
      <c r="R99" s="11"/>
      <c r="S99" s="11"/>
      <c r="T99" s="11"/>
      <c r="U99" s="11"/>
      <c r="V99" s="11"/>
      <c r="W99" s="11"/>
      <c r="X99" s="11"/>
      <c r="Y99" s="11"/>
      <c r="Z99" s="11"/>
      <c r="AA99" s="11"/>
      <c r="AB99" s="11"/>
      <c r="AC99" s="11"/>
      <c r="AD99" s="11"/>
    </row>
    <row r="100" ht="12.0" customHeight="1">
      <c r="A100" s="30" t="s">
        <v>74</v>
      </c>
      <c r="B100" s="63">
        <f>MAX('Analisis de operaciones'!C117:N117)</f>
        <v>5.2814</v>
      </c>
      <c r="C100" s="63">
        <f>MAX('Analisis de operaciones'!C300:N300)</f>
        <v>8.268466667</v>
      </c>
      <c r="D100" s="63">
        <f>MAX('Analisis de operaciones'!C483:N483)</f>
        <v>17.62673333</v>
      </c>
      <c r="E100" s="63">
        <f>MAX('Analisis de operaciones'!C666:N666)</f>
        <v>39.27113333</v>
      </c>
      <c r="F100" s="63">
        <f>MAX('Analisis de operaciones'!C849:N849)</f>
        <v>68.6062</v>
      </c>
      <c r="G100" s="63">
        <f>MAX('Analisis de operaciones'!C1032:N1032)</f>
        <v>96.3962</v>
      </c>
      <c r="H100" s="63">
        <f>MAX('Analisis de operaciones'!C1215:N1215)</f>
        <v>133.1442</v>
      </c>
      <c r="I100" s="63">
        <f>MAX('Analisis de operaciones'!C1398:N1398)</f>
        <v>170.2403333</v>
      </c>
      <c r="J100" s="63">
        <f>MAX('Analisis de operaciones'!C1581:N1581)</f>
        <v>192.0752667</v>
      </c>
      <c r="K100" s="63">
        <f>MAX('Analisis de operaciones'!C1764:N1764)</f>
        <v>221.9456</v>
      </c>
      <c r="L100" s="11"/>
      <c r="M100" s="11"/>
      <c r="N100" s="11"/>
      <c r="O100" s="11"/>
      <c r="P100" s="11"/>
      <c r="Q100" s="11"/>
      <c r="R100" s="11"/>
      <c r="S100" s="11"/>
      <c r="T100" s="11"/>
      <c r="U100" s="11"/>
      <c r="V100" s="11"/>
      <c r="W100" s="11"/>
      <c r="X100" s="11"/>
      <c r="Y100" s="11"/>
      <c r="Z100" s="11"/>
      <c r="AA100" s="11"/>
      <c r="AB100" s="11"/>
      <c r="AC100" s="11"/>
      <c r="AD100" s="11"/>
    </row>
    <row r="101" ht="12.0" customHeight="1">
      <c r="A101" s="30" t="s">
        <v>76</v>
      </c>
      <c r="B101" s="63">
        <f>MAX('Analisis de operaciones'!C1837:N1837)</f>
        <v>0.26407</v>
      </c>
      <c r="C101" s="63">
        <f>MAX('Analisis de operaciones'!C1859:N1859)</f>
        <v>0.4134233333</v>
      </c>
      <c r="D101" s="63">
        <f>MAX('Analisis de operaciones'!C1881:N1881)</f>
        <v>0.8813366667</v>
      </c>
      <c r="E101" s="63">
        <f>MAX('Analisis de operaciones'!C1903:N1903)</f>
        <v>1.963556667</v>
      </c>
      <c r="F101" s="63">
        <f>MAX('Analisis de operaciones'!C1925:N1925)</f>
        <v>3.43031</v>
      </c>
      <c r="G101" s="63">
        <f>MAX('Analisis de operaciones'!C1947:N1947)</f>
        <v>4.81981</v>
      </c>
      <c r="H101" s="63">
        <f>MAX('Analisis de operaciones'!C1969:N1969)</f>
        <v>6.65721</v>
      </c>
      <c r="I101" s="63">
        <f>MAX('Analisis de operaciones'!C1991:N1991)</f>
        <v>8.512016667</v>
      </c>
      <c r="J101" s="63">
        <f>MAX('Analisis de operaciones'!C2013:N2013)</f>
        <v>9.603763333</v>
      </c>
      <c r="K101" s="63">
        <f>MAX('Analisis de operaciones'!C2035:N2035)</f>
        <v>11.09728</v>
      </c>
      <c r="L101" s="11"/>
      <c r="M101" s="11"/>
      <c r="N101" s="11"/>
      <c r="O101" s="11"/>
      <c r="P101" s="11"/>
      <c r="Q101" s="11"/>
      <c r="R101" s="11"/>
      <c r="S101" s="11"/>
      <c r="T101" s="11"/>
      <c r="U101" s="11"/>
      <c r="V101" s="11"/>
      <c r="W101" s="11"/>
      <c r="X101" s="11"/>
      <c r="Y101" s="11"/>
      <c r="Z101" s="11"/>
      <c r="AA101" s="11"/>
      <c r="AB101" s="11"/>
      <c r="AC101" s="11"/>
      <c r="AD101" s="11"/>
    </row>
    <row r="102" ht="12.0" customHeight="1">
      <c r="A102" s="30" t="s">
        <v>77</v>
      </c>
      <c r="B102" s="63">
        <f>MAX('Analisis de operaciones'!C127:N127)</f>
        <v>5.2814</v>
      </c>
      <c r="C102" s="63">
        <f>MAX('Analisis de operaciones'!C310:N310)</f>
        <v>8.268466667</v>
      </c>
      <c r="D102" s="63">
        <f>MAX('Analisis de operaciones'!C493:N493)</f>
        <v>17.62673333</v>
      </c>
      <c r="E102" s="63">
        <f>MAX('Analisis de operaciones'!C676:N676)</f>
        <v>39.27113333</v>
      </c>
      <c r="F102" s="63">
        <f>MAX('Analisis de operaciones'!C859:N859)</f>
        <v>68.6062</v>
      </c>
      <c r="G102" s="63">
        <f>MAX('Analisis de operaciones'!C1042:N1042)</f>
        <v>96.3962</v>
      </c>
      <c r="H102" s="63">
        <f>MAX('Analisis de operaciones'!C1225:N1225)</f>
        <v>133.1442</v>
      </c>
      <c r="I102" s="63">
        <f>MAX('Analisis de operaciones'!C1408:N1408)</f>
        <v>170.2403333</v>
      </c>
      <c r="J102" s="63">
        <f>MAX('Analisis de operaciones'!C1591:N1591)</f>
        <v>192.0752667</v>
      </c>
      <c r="K102" s="63">
        <f>MAX('Analisis de operaciones'!C1774:N1774)</f>
        <v>221.9456</v>
      </c>
      <c r="L102" s="11"/>
      <c r="M102" s="11"/>
      <c r="N102" s="11"/>
      <c r="O102" s="11"/>
      <c r="P102" s="11"/>
      <c r="Q102" s="11"/>
      <c r="R102" s="11"/>
      <c r="S102" s="11"/>
      <c r="T102" s="11"/>
      <c r="U102" s="11"/>
      <c r="V102" s="11"/>
      <c r="W102" s="11"/>
      <c r="X102" s="11"/>
      <c r="Y102" s="11"/>
      <c r="Z102" s="11"/>
      <c r="AA102" s="11"/>
      <c r="AB102" s="11"/>
      <c r="AC102" s="11"/>
      <c r="AD102" s="11"/>
    </row>
    <row r="103" ht="12.0" customHeight="1">
      <c r="A103" s="30" t="s">
        <v>79</v>
      </c>
      <c r="B103" s="63">
        <f>MAX('Analisis de operaciones'!C137:N137)</f>
        <v>5.499</v>
      </c>
      <c r="C103" s="63">
        <f>MAX('Analisis de operaciones'!C320:N320)</f>
        <v>8.641266667</v>
      </c>
      <c r="D103" s="63">
        <f>MAX('Analisis de operaciones'!C503:N503)</f>
        <v>10.60973333</v>
      </c>
      <c r="E103" s="63">
        <f>MAX('Analisis de operaciones'!C686:N686)</f>
        <v>13.7836</v>
      </c>
      <c r="F103" s="63">
        <f>MAX('Analisis de operaciones'!C869:N869)</f>
        <v>21.2132</v>
      </c>
      <c r="G103" s="63">
        <f>MAX('Analisis de operaciones'!C1052:N1052)</f>
        <v>27.58493333</v>
      </c>
      <c r="H103" s="63">
        <f>MAX('Analisis de operaciones'!C1235:N1235)</f>
        <v>35.6896</v>
      </c>
      <c r="I103" s="63">
        <f>MAX('Analisis de operaciones'!C1418:N1418)</f>
        <v>44.172</v>
      </c>
      <c r="J103" s="63">
        <f>MAX('Analisis de operaciones'!C1601:N1601)</f>
        <v>50.87846667</v>
      </c>
      <c r="K103" s="63">
        <f>MAX('Analisis de operaciones'!C1784:N1784)</f>
        <v>57.905</v>
      </c>
      <c r="L103" s="11"/>
      <c r="M103" s="11"/>
      <c r="N103" s="11"/>
      <c r="O103" s="11"/>
      <c r="P103" s="11"/>
      <c r="Q103" s="11"/>
      <c r="R103" s="11"/>
      <c r="S103" s="11"/>
      <c r="T103" s="11"/>
      <c r="U103" s="11"/>
      <c r="V103" s="11"/>
      <c r="W103" s="11"/>
      <c r="X103" s="11"/>
      <c r="Y103" s="11"/>
      <c r="Z103" s="11"/>
      <c r="AA103" s="11"/>
      <c r="AB103" s="11"/>
      <c r="AC103" s="11"/>
      <c r="AD103" s="11"/>
    </row>
    <row r="104" ht="12.0" customHeight="1">
      <c r="A104" s="30" t="s">
        <v>81</v>
      </c>
      <c r="B104" s="63">
        <f>MAX('Analisis de operaciones'!C147:N147)</f>
        <v>5.499</v>
      </c>
      <c r="C104" s="63">
        <f>MAX('Analisis de operaciones'!C330:N330)</f>
        <v>8.641266667</v>
      </c>
      <c r="D104" s="63">
        <f>MAX('Analisis de operaciones'!C513:N513)</f>
        <v>10.60973333</v>
      </c>
      <c r="E104" s="63">
        <f>MAX('Analisis de operaciones'!C696:N696)</f>
        <v>13.7836</v>
      </c>
      <c r="F104" s="63">
        <f>MAX('Analisis de operaciones'!C879:N879)</f>
        <v>21.2132</v>
      </c>
      <c r="G104" s="63">
        <f>MAX('Analisis de operaciones'!C1062:N1062)</f>
        <v>27.58493333</v>
      </c>
      <c r="H104" s="63">
        <f>MAX('Analisis de operaciones'!C1245:N1245)</f>
        <v>35.6896</v>
      </c>
      <c r="I104" s="63">
        <f>MAX('Analisis de operaciones'!C1428:N1428)</f>
        <v>44.172</v>
      </c>
      <c r="J104" s="63">
        <f>MAX('Analisis de operaciones'!C1611:N1611)</f>
        <v>50.87846667</v>
      </c>
      <c r="K104" s="63">
        <f>MAX('Analisis de operaciones'!C1794:N1794)</f>
        <v>57.905</v>
      </c>
      <c r="L104" s="11"/>
      <c r="M104" s="11"/>
      <c r="N104" s="11"/>
      <c r="O104" s="11"/>
      <c r="P104" s="11"/>
      <c r="Q104" s="11"/>
      <c r="R104" s="11"/>
      <c r="S104" s="11"/>
      <c r="T104" s="11"/>
      <c r="U104" s="11"/>
      <c r="V104" s="11"/>
      <c r="W104" s="11"/>
      <c r="X104" s="11"/>
      <c r="Y104" s="11"/>
      <c r="Z104" s="11"/>
      <c r="AA104" s="11"/>
      <c r="AB104" s="11"/>
      <c r="AC104" s="11"/>
      <c r="AD104" s="11"/>
    </row>
    <row r="105" ht="12.0" customHeight="1">
      <c r="A105" s="30" t="s">
        <v>82</v>
      </c>
      <c r="B105" s="63">
        <f>MAX('Analisis de operaciones'!C157:N157)</f>
        <v>5.499</v>
      </c>
      <c r="C105" s="63">
        <f>MAX('Analisis de operaciones'!C340:N340)</f>
        <v>8.641266667</v>
      </c>
      <c r="D105" s="63">
        <f>MAX('Analisis de operaciones'!C523:N523)</f>
        <v>10.60973333</v>
      </c>
      <c r="E105" s="63">
        <f>MAX('Analisis de operaciones'!C706:N706)</f>
        <v>13.7836</v>
      </c>
      <c r="F105" s="63">
        <f>MAX('Analisis de operaciones'!C889:N889)</f>
        <v>21.2132</v>
      </c>
      <c r="G105" s="63">
        <f>MAX('Analisis de operaciones'!C1072:N1072)</f>
        <v>27.58493333</v>
      </c>
      <c r="H105" s="63">
        <f>MAX('Analisis de operaciones'!C1255:N1255)</f>
        <v>35.6896</v>
      </c>
      <c r="I105" s="63">
        <f>MAX('Analisis de operaciones'!C1438:N1438)</f>
        <v>44.172</v>
      </c>
      <c r="J105" s="63">
        <f>MAX('Analisis de operaciones'!C1621:N1621)</f>
        <v>50.87846667</v>
      </c>
      <c r="K105" s="63">
        <f>MAX('Analisis de operaciones'!C1804:N1804)</f>
        <v>57.905</v>
      </c>
      <c r="L105" s="11"/>
      <c r="M105" s="11"/>
      <c r="N105" s="11"/>
      <c r="O105" s="11"/>
      <c r="P105" s="11"/>
      <c r="Q105" s="11"/>
      <c r="R105" s="11"/>
      <c r="S105" s="11"/>
      <c r="T105" s="11"/>
      <c r="U105" s="11"/>
      <c r="V105" s="11"/>
      <c r="W105" s="11"/>
      <c r="X105" s="11"/>
      <c r="Y105" s="11"/>
      <c r="Z105" s="11"/>
      <c r="AA105" s="11"/>
      <c r="AB105" s="11"/>
      <c r="AC105" s="11"/>
      <c r="AD105" s="11"/>
    </row>
    <row r="106" ht="12.0" customHeight="1">
      <c r="A106" s="30" t="s">
        <v>83</v>
      </c>
      <c r="B106" s="63">
        <f>MAX('Analisis de operaciones'!C167:N167)</f>
        <v>5.499</v>
      </c>
      <c r="C106" s="63">
        <f>MAX('Analisis de operaciones'!C350:N350)</f>
        <v>8.641266667</v>
      </c>
      <c r="D106" s="63">
        <f>MAX('Analisis de operaciones'!C533:N533)</f>
        <v>10.60973333</v>
      </c>
      <c r="E106" s="63">
        <f>MAX('Analisis de operaciones'!C716:N716)</f>
        <v>13.7836</v>
      </c>
      <c r="F106" s="63">
        <f>MAX('Analisis de operaciones'!C899:N899)</f>
        <v>21.2132</v>
      </c>
      <c r="G106" s="63">
        <f>MAX('Analisis de operaciones'!C1082:N1082)</f>
        <v>27.58493333</v>
      </c>
      <c r="H106" s="63">
        <f>MAX('Analisis de operaciones'!C1265:N1265)</f>
        <v>35.6896</v>
      </c>
      <c r="I106" s="63">
        <f>MAX('Analisis de operaciones'!C1448:N1448)</f>
        <v>44.172</v>
      </c>
      <c r="J106" s="63">
        <f>MAX('Analisis de operaciones'!C1631:N1631)</f>
        <v>50.87846667</v>
      </c>
      <c r="K106" s="63">
        <f>MAX('Analisis de operaciones'!C1814:N1814)</f>
        <v>57.905</v>
      </c>
      <c r="L106" s="11"/>
      <c r="M106" s="11"/>
      <c r="N106" s="11"/>
      <c r="O106" s="11"/>
      <c r="P106" s="11"/>
      <c r="Q106" s="11"/>
      <c r="R106" s="11"/>
      <c r="S106" s="11"/>
      <c r="T106" s="11"/>
      <c r="U106" s="11"/>
      <c r="V106" s="11"/>
      <c r="W106" s="11"/>
      <c r="X106" s="11"/>
      <c r="Y106" s="11"/>
      <c r="Z106" s="11"/>
      <c r="AA106" s="11"/>
      <c r="AB106" s="11"/>
      <c r="AC106" s="11"/>
      <c r="AD106" s="11"/>
    </row>
    <row r="107" ht="12.0" customHeight="1">
      <c r="A107" s="30" t="s">
        <v>84</v>
      </c>
      <c r="B107" s="63">
        <f>MAX('Analisis de operaciones'!C177:N177)</f>
        <v>5.2814</v>
      </c>
      <c r="C107" s="63">
        <f>MAX('Analisis de operaciones'!C360:N360)</f>
        <v>8.268466667</v>
      </c>
      <c r="D107" s="63">
        <f>MAX('Analisis de operaciones'!C543:N543)</f>
        <v>17.62673333</v>
      </c>
      <c r="E107" s="63">
        <f>MAX('Analisis de operaciones'!C726:N726)</f>
        <v>39.27113333</v>
      </c>
      <c r="F107" s="63">
        <f>MAX('Analisis de operaciones'!C909:N909)</f>
        <v>68.6062</v>
      </c>
      <c r="G107" s="63">
        <f>MAX('Analisis de operaciones'!C1092:N1092)</f>
        <v>96.3962</v>
      </c>
      <c r="H107" s="63">
        <f>MAX('Analisis de operaciones'!C1275:N1275)</f>
        <v>133.1442</v>
      </c>
      <c r="I107" s="63">
        <f>MAX('Analisis de operaciones'!C1458:N1458)</f>
        <v>170.2403333</v>
      </c>
      <c r="J107" s="63">
        <f>MAX('Analisis de operaciones'!C1641:N1641)</f>
        <v>192.0752667</v>
      </c>
      <c r="K107" s="63">
        <f>MAX('Analisis de operaciones'!C1824:N1824)</f>
        <v>221.9456</v>
      </c>
      <c r="L107" s="11"/>
      <c r="M107" s="11"/>
      <c r="N107" s="11"/>
      <c r="O107" s="11"/>
      <c r="P107" s="11"/>
      <c r="Q107" s="11"/>
      <c r="R107" s="11"/>
      <c r="S107" s="11"/>
      <c r="T107" s="11"/>
      <c r="U107" s="11"/>
      <c r="V107" s="11"/>
      <c r="W107" s="11"/>
      <c r="X107" s="11"/>
      <c r="Y107" s="11"/>
      <c r="Z107" s="11"/>
      <c r="AA107" s="11"/>
      <c r="AB107" s="11"/>
      <c r="AC107" s="11"/>
      <c r="AD107" s="11"/>
    </row>
    <row r="108" ht="12.0" customHeight="1">
      <c r="A108" s="30" t="s">
        <v>85</v>
      </c>
      <c r="B108" s="63">
        <f>MAX('Analisis de operaciones'!C1847:N1847)</f>
        <v>3.3432</v>
      </c>
      <c r="C108" s="63">
        <f>MAX('Analisis de operaciones'!C1869:N1869)</f>
        <v>4.7976</v>
      </c>
      <c r="D108" s="63">
        <f>MAX('Analisis de operaciones'!C1891:N1891)</f>
        <v>11.6112</v>
      </c>
      <c r="E108" s="63">
        <f>MAX('Analisis de operaciones'!C1913:N1913)</f>
        <v>28.1296</v>
      </c>
      <c r="F108" s="63">
        <f>MAX('Analisis de operaciones'!C1935:N1935)</f>
        <v>49.6928</v>
      </c>
      <c r="G108" s="63">
        <f>MAX('Analisis de operaciones'!C1957:N1957)</f>
        <v>69.84</v>
      </c>
      <c r="H108" s="63">
        <f>MAX('Analisis de operaciones'!C1979:N1979)</f>
        <v>97.3392</v>
      </c>
      <c r="I108" s="63">
        <f>MAX('Analisis de operaciones'!C2001:N2001)</f>
        <v>124.9064</v>
      </c>
      <c r="J108" s="63">
        <f>MAX('Analisis de operaciones'!C2023:N2023)</f>
        <v>140.3144</v>
      </c>
      <c r="K108" s="63">
        <f>MAX('Analisis de operaciones'!C2045:N2045)</f>
        <v>162.0968</v>
      </c>
      <c r="L108" s="11"/>
      <c r="M108" s="11"/>
      <c r="N108" s="11"/>
      <c r="O108" s="11"/>
      <c r="P108" s="11"/>
      <c r="Q108" s="11"/>
      <c r="R108" s="11"/>
      <c r="S108" s="11"/>
      <c r="T108" s="11"/>
      <c r="U108" s="11"/>
      <c r="V108" s="11"/>
      <c r="W108" s="11"/>
      <c r="X108" s="11"/>
      <c r="Y108" s="11"/>
      <c r="Z108" s="11"/>
      <c r="AA108" s="11"/>
      <c r="AB108" s="11"/>
      <c r="AC108" s="11"/>
      <c r="AD108" s="11"/>
    </row>
    <row r="109" ht="12.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2.0" customHeight="1">
      <c r="A110" s="135" t="s">
        <v>468</v>
      </c>
      <c r="B110" s="135">
        <v>2026.0</v>
      </c>
      <c r="C110" s="135">
        <v>2027.0</v>
      </c>
      <c r="D110" s="135">
        <v>2028.0</v>
      </c>
      <c r="E110" s="135">
        <v>2029.0</v>
      </c>
      <c r="F110" s="135">
        <v>2030.0</v>
      </c>
      <c r="G110" s="135">
        <v>2031.0</v>
      </c>
      <c r="H110" s="135">
        <v>2032.0</v>
      </c>
      <c r="I110" s="135">
        <v>2033.0</v>
      </c>
      <c r="J110" s="135">
        <v>2034.0</v>
      </c>
      <c r="K110" s="135">
        <v>2035.0</v>
      </c>
      <c r="L110" s="11"/>
      <c r="M110" s="11"/>
      <c r="N110" s="11"/>
      <c r="O110" s="11"/>
      <c r="P110" s="11"/>
      <c r="Q110" s="11"/>
      <c r="R110" s="11"/>
      <c r="S110" s="11"/>
      <c r="T110" s="11"/>
      <c r="U110" s="11"/>
      <c r="V110" s="11"/>
      <c r="W110" s="11"/>
      <c r="X110" s="11"/>
      <c r="Y110" s="11"/>
      <c r="Z110" s="11"/>
      <c r="AA110" s="11"/>
      <c r="AB110" s="11"/>
      <c r="AC110" s="11"/>
      <c r="AD110" s="11"/>
    </row>
    <row r="111" ht="12.0" customHeight="1">
      <c r="A111" s="30" t="s">
        <v>26</v>
      </c>
      <c r="B111" s="63">
        <f>Parametros!$M$39</f>
        <v>68</v>
      </c>
      <c r="C111" s="63">
        <f>Parametros!$M$39</f>
        <v>68</v>
      </c>
      <c r="D111" s="63">
        <f>Parametros!$M$39</f>
        <v>68</v>
      </c>
      <c r="E111" s="63">
        <f>Parametros!$M$39</f>
        <v>68</v>
      </c>
      <c r="F111" s="63">
        <f>Parametros!$M$39</f>
        <v>68</v>
      </c>
      <c r="G111" s="63">
        <f>Parametros!$M$39</f>
        <v>68</v>
      </c>
      <c r="H111" s="63">
        <f>Parametros!$M$39</f>
        <v>68</v>
      </c>
      <c r="I111" s="63">
        <f>Parametros!$M$39</f>
        <v>68</v>
      </c>
      <c r="J111" s="63">
        <f>Parametros!$M$39</f>
        <v>68</v>
      </c>
      <c r="K111" s="63">
        <f>Parametros!$M$39</f>
        <v>68</v>
      </c>
      <c r="L111" s="11"/>
      <c r="M111" s="11"/>
      <c r="N111" s="11"/>
      <c r="O111" s="11"/>
      <c r="P111" s="11"/>
      <c r="Q111" s="11"/>
      <c r="R111" s="11"/>
      <c r="S111" s="11"/>
      <c r="T111" s="11"/>
      <c r="U111" s="11"/>
      <c r="V111" s="11"/>
      <c r="W111" s="11"/>
      <c r="X111" s="11"/>
      <c r="Y111" s="11"/>
      <c r="Z111" s="11"/>
      <c r="AA111" s="11"/>
      <c r="AB111" s="11"/>
      <c r="AC111" s="11"/>
      <c r="AD111" s="11"/>
    </row>
    <row r="112" ht="12.0" customHeight="1">
      <c r="A112" s="30" t="s">
        <v>55</v>
      </c>
      <c r="B112" s="63">
        <f>IF(B55="Automática",Parametros!$M$80,Parametros!$M$40)</f>
        <v>40.88</v>
      </c>
      <c r="C112" s="63">
        <f>IF(C55="Automática",Parametros!$M$80,Parametros!$M$40)</f>
        <v>40.88</v>
      </c>
      <c r="D112" s="63">
        <f>IF(D55="Automática",Parametros!$M$80,Parametros!$M$40)</f>
        <v>40.88</v>
      </c>
      <c r="E112" s="63">
        <f>IF(E55="Automática",Parametros!$M$80,Parametros!$M$40)</f>
        <v>90.19362319</v>
      </c>
      <c r="F112" s="63">
        <f>IF(F55="Automática",Parametros!$M$80,Parametros!$M$40)</f>
        <v>90.19362319</v>
      </c>
      <c r="G112" s="63">
        <f>IF(G55="Automática",Parametros!$M$80,Parametros!$M$40)</f>
        <v>90.19362319</v>
      </c>
      <c r="H112" s="63">
        <f>IF(H55="Automática",Parametros!$M$80,Parametros!$M$40)</f>
        <v>90.19362319</v>
      </c>
      <c r="I112" s="63">
        <f>IF(I55="Automática",Parametros!$M$80,Parametros!$M$40)</f>
        <v>90.19362319</v>
      </c>
      <c r="J112" s="63">
        <f>IF(J55="Automática",Parametros!$M$80,Parametros!$M$40)</f>
        <v>90.19362319</v>
      </c>
      <c r="K112" s="63">
        <f>IF(K55="Automática",Parametros!$M$80,Parametros!$M$40)</f>
        <v>90.19362319</v>
      </c>
      <c r="L112" s="11"/>
      <c r="M112" s="11"/>
      <c r="N112" s="11"/>
      <c r="O112" s="11"/>
      <c r="P112" s="11"/>
      <c r="Q112" s="11"/>
      <c r="R112" s="11"/>
      <c r="S112" s="11"/>
      <c r="T112" s="11"/>
      <c r="U112" s="11"/>
      <c r="V112" s="11"/>
      <c r="W112" s="11"/>
      <c r="X112" s="11"/>
      <c r="Y112" s="11"/>
      <c r="Z112" s="11"/>
      <c r="AA112" s="11"/>
      <c r="AB112" s="11"/>
      <c r="AC112" s="11"/>
      <c r="AD112" s="11"/>
    </row>
    <row r="113" ht="12.0" customHeight="1">
      <c r="A113" s="30" t="s">
        <v>61</v>
      </c>
      <c r="B113" s="63">
        <f>Parametros!$M$41</f>
        <v>466.5116279</v>
      </c>
      <c r="C113" s="63">
        <f>Parametros!$M$41</f>
        <v>466.5116279</v>
      </c>
      <c r="D113" s="63">
        <f>Parametros!$M$41</f>
        <v>466.5116279</v>
      </c>
      <c r="E113" s="63">
        <f>Parametros!$M$41</f>
        <v>466.5116279</v>
      </c>
      <c r="F113" s="63">
        <f>Parametros!$M$41</f>
        <v>466.5116279</v>
      </c>
      <c r="G113" s="63">
        <f>Parametros!$M$41</f>
        <v>466.5116279</v>
      </c>
      <c r="H113" s="63">
        <f>Parametros!$M$41</f>
        <v>466.5116279</v>
      </c>
      <c r="I113" s="63">
        <f>Parametros!$M$41</f>
        <v>466.5116279</v>
      </c>
      <c r="J113" s="63">
        <f>Parametros!$M$41</f>
        <v>466.5116279</v>
      </c>
      <c r="K113" s="63">
        <f>Parametros!$M$41</f>
        <v>466.5116279</v>
      </c>
      <c r="L113" s="11"/>
      <c r="M113" s="11"/>
      <c r="N113" s="11"/>
      <c r="O113" s="11"/>
      <c r="P113" s="11"/>
      <c r="Q113" s="11"/>
      <c r="R113" s="11"/>
      <c r="S113" s="11"/>
      <c r="T113" s="11"/>
      <c r="U113" s="11"/>
      <c r="V113" s="11"/>
      <c r="W113" s="11"/>
      <c r="X113" s="11"/>
      <c r="Y113" s="11"/>
      <c r="Z113" s="11"/>
      <c r="AA113" s="11"/>
      <c r="AB113" s="11"/>
      <c r="AC113" s="11"/>
      <c r="AD113" s="11"/>
    </row>
    <row r="114" ht="12.0" customHeight="1">
      <c r="A114" s="30" t="s">
        <v>62</v>
      </c>
      <c r="B114" s="63">
        <f>Parametros!$M$42</f>
        <v>96</v>
      </c>
      <c r="C114" s="63">
        <f>Parametros!$M$42</f>
        <v>96</v>
      </c>
      <c r="D114" s="63">
        <f>Parametros!$M$42</f>
        <v>96</v>
      </c>
      <c r="E114" s="63">
        <f>Parametros!$M$42</f>
        <v>96</v>
      </c>
      <c r="F114" s="63">
        <f>Parametros!$M$42</f>
        <v>96</v>
      </c>
      <c r="G114" s="63">
        <f>Parametros!$M$42</f>
        <v>96</v>
      </c>
      <c r="H114" s="63">
        <f>Parametros!$M$42</f>
        <v>96</v>
      </c>
      <c r="I114" s="63">
        <f>Parametros!$M$42</f>
        <v>96</v>
      </c>
      <c r="J114" s="63">
        <f>Parametros!$M$42</f>
        <v>96</v>
      </c>
      <c r="K114" s="63">
        <f>Parametros!$M$42</f>
        <v>96</v>
      </c>
      <c r="L114" s="11"/>
      <c r="M114" s="11"/>
      <c r="N114" s="11"/>
      <c r="O114" s="11"/>
      <c r="P114" s="11"/>
      <c r="Q114" s="11"/>
      <c r="R114" s="11"/>
      <c r="S114" s="11"/>
      <c r="T114" s="11"/>
      <c r="U114" s="11"/>
      <c r="V114" s="11"/>
      <c r="W114" s="11"/>
      <c r="X114" s="11"/>
      <c r="Y114" s="11"/>
      <c r="Z114" s="11"/>
      <c r="AA114" s="11"/>
      <c r="AB114" s="11"/>
      <c r="AC114" s="11"/>
      <c r="AD114" s="11"/>
    </row>
    <row r="115" ht="12.0" customHeight="1">
      <c r="A115" s="30" t="s">
        <v>63</v>
      </c>
      <c r="B115" s="63">
        <f>Parametros!$M$43</f>
        <v>80.10122449</v>
      </c>
      <c r="C115" s="63">
        <f>Parametros!$M$43</f>
        <v>80.10122449</v>
      </c>
      <c r="D115" s="63">
        <f>Parametros!$M$43</f>
        <v>80.10122449</v>
      </c>
      <c r="E115" s="63">
        <f>Parametros!$M$43</f>
        <v>80.10122449</v>
      </c>
      <c r="F115" s="63">
        <f>Parametros!$M$43</f>
        <v>80.10122449</v>
      </c>
      <c r="G115" s="63">
        <f>Parametros!$M$43</f>
        <v>80.10122449</v>
      </c>
      <c r="H115" s="63">
        <f>Parametros!$M$43</f>
        <v>80.10122449</v>
      </c>
      <c r="I115" s="63">
        <f>Parametros!$M$43</f>
        <v>80.10122449</v>
      </c>
      <c r="J115" s="63">
        <f>Parametros!$M$43</f>
        <v>80.10122449</v>
      </c>
      <c r="K115" s="63">
        <f>Parametros!$M$43</f>
        <v>80.10122449</v>
      </c>
      <c r="L115" s="11"/>
      <c r="M115" s="11"/>
      <c r="N115" s="11"/>
      <c r="O115" s="11"/>
      <c r="P115" s="11"/>
      <c r="Q115" s="11"/>
      <c r="R115" s="11"/>
      <c r="S115" s="11"/>
      <c r="T115" s="11"/>
      <c r="U115" s="11"/>
      <c r="V115" s="11"/>
      <c r="W115" s="11"/>
      <c r="X115" s="11"/>
      <c r="Y115" s="11"/>
      <c r="Z115" s="11"/>
      <c r="AA115" s="11"/>
      <c r="AB115" s="11"/>
      <c r="AC115" s="11"/>
      <c r="AD115" s="11"/>
    </row>
    <row r="116" ht="12.0" customHeight="1">
      <c r="A116" s="30" t="s">
        <v>64</v>
      </c>
      <c r="B116" s="63">
        <f>Parametros!$M$87</f>
        <v>56.576</v>
      </c>
      <c r="C116" s="63">
        <f>Parametros!$M$87</f>
        <v>56.576</v>
      </c>
      <c r="D116" s="63">
        <f>Parametros!$M$87</f>
        <v>56.576</v>
      </c>
      <c r="E116" s="63">
        <f>Parametros!$M$87</f>
        <v>56.576</v>
      </c>
      <c r="F116" s="63">
        <f>Parametros!$M$87</f>
        <v>56.576</v>
      </c>
      <c r="G116" s="63">
        <f>Parametros!$M$87</f>
        <v>56.576</v>
      </c>
      <c r="H116" s="63">
        <f>Parametros!$M$87</f>
        <v>56.576</v>
      </c>
      <c r="I116" s="63">
        <f>Parametros!$M$87</f>
        <v>56.576</v>
      </c>
      <c r="J116" s="63">
        <f>Parametros!$M$87</f>
        <v>56.576</v>
      </c>
      <c r="K116" s="63">
        <f>Parametros!$M$87</f>
        <v>56.576</v>
      </c>
      <c r="L116" s="11"/>
      <c r="M116" s="11"/>
      <c r="N116" s="11"/>
      <c r="O116" s="11"/>
      <c r="P116" s="11"/>
      <c r="Q116" s="11"/>
      <c r="R116" s="11"/>
      <c r="S116" s="11"/>
      <c r="T116" s="11"/>
      <c r="U116" s="11"/>
      <c r="V116" s="11"/>
      <c r="W116" s="11"/>
      <c r="X116" s="11"/>
      <c r="Y116" s="11"/>
      <c r="Z116" s="11"/>
      <c r="AA116" s="11"/>
      <c r="AB116" s="11"/>
      <c r="AC116" s="11"/>
      <c r="AD116" s="11"/>
    </row>
    <row r="117" ht="12.0" customHeight="1">
      <c r="A117" s="30" t="s">
        <v>66</v>
      </c>
      <c r="B117" s="63">
        <f>Parametros!$M$45</f>
        <v>60.656</v>
      </c>
      <c r="C117" s="63">
        <f>Parametros!$M$45</f>
        <v>60.656</v>
      </c>
      <c r="D117" s="63">
        <f>Parametros!$M$45</f>
        <v>60.656</v>
      </c>
      <c r="E117" s="63">
        <f>Parametros!$M$45</f>
        <v>60.656</v>
      </c>
      <c r="F117" s="63">
        <f>Parametros!$M$45</f>
        <v>60.656</v>
      </c>
      <c r="G117" s="63">
        <f>Parametros!$M$45</f>
        <v>60.656</v>
      </c>
      <c r="H117" s="63">
        <f>Parametros!$M$45</f>
        <v>60.656</v>
      </c>
      <c r="I117" s="63">
        <f>Parametros!$M$45</f>
        <v>60.656</v>
      </c>
      <c r="J117" s="63">
        <f>Parametros!$M$45</f>
        <v>60.656</v>
      </c>
      <c r="K117" s="63">
        <f>Parametros!$M$45</f>
        <v>60.656</v>
      </c>
      <c r="L117" s="11"/>
      <c r="M117" s="11"/>
      <c r="N117" s="11"/>
      <c r="O117" s="11"/>
      <c r="P117" s="11"/>
      <c r="Q117" s="11"/>
      <c r="R117" s="11"/>
      <c r="S117" s="11"/>
      <c r="T117" s="11"/>
      <c r="U117" s="11"/>
      <c r="V117" s="11"/>
      <c r="W117" s="11"/>
      <c r="X117" s="11"/>
      <c r="Y117" s="11"/>
      <c r="Z117" s="11"/>
      <c r="AA117" s="11"/>
      <c r="AB117" s="11"/>
      <c r="AC117" s="11"/>
      <c r="AD117" s="11"/>
    </row>
    <row r="118" ht="12.0" customHeight="1">
      <c r="A118" s="30" t="s">
        <v>67</v>
      </c>
      <c r="B118" s="63">
        <f>Parametros!$M$46</f>
        <v>187.425</v>
      </c>
      <c r="C118" s="63">
        <f>Parametros!$M$46</f>
        <v>187.425</v>
      </c>
      <c r="D118" s="63">
        <f>Parametros!$M$46</f>
        <v>187.425</v>
      </c>
      <c r="E118" s="63">
        <f>Parametros!$M$46</f>
        <v>187.425</v>
      </c>
      <c r="F118" s="63">
        <f>Parametros!$M$46</f>
        <v>187.425</v>
      </c>
      <c r="G118" s="63">
        <f>Parametros!$M$46</f>
        <v>187.425</v>
      </c>
      <c r="H118" s="63">
        <f>Parametros!$M$46</f>
        <v>187.425</v>
      </c>
      <c r="I118" s="63">
        <f>Parametros!$M$46</f>
        <v>187.425</v>
      </c>
      <c r="J118" s="63">
        <f>Parametros!$M$46</f>
        <v>187.425</v>
      </c>
      <c r="K118" s="63">
        <f>Parametros!$M$46</f>
        <v>187.425</v>
      </c>
      <c r="L118" s="11"/>
      <c r="M118" s="11"/>
      <c r="N118" s="11"/>
      <c r="O118" s="11"/>
      <c r="P118" s="11"/>
      <c r="Q118" s="11"/>
      <c r="R118" s="11"/>
      <c r="S118" s="11"/>
      <c r="T118" s="11"/>
      <c r="U118" s="11"/>
      <c r="V118" s="11"/>
      <c r="W118" s="11"/>
      <c r="X118" s="11"/>
      <c r="Y118" s="11"/>
      <c r="Z118" s="11"/>
      <c r="AA118" s="11"/>
      <c r="AB118" s="11"/>
      <c r="AC118" s="11"/>
      <c r="AD118" s="11"/>
    </row>
    <row r="119" ht="12.0" customHeight="1">
      <c r="A119" s="30" t="s">
        <v>68</v>
      </c>
      <c r="B119" s="63">
        <f>Parametros!$M$82</f>
        <v>63.648</v>
      </c>
      <c r="C119" s="63">
        <f>Parametros!$M$82</f>
        <v>63.648</v>
      </c>
      <c r="D119" s="63">
        <f>Parametros!$M$82</f>
        <v>63.648</v>
      </c>
      <c r="E119" s="63">
        <f>Parametros!$M$82</f>
        <v>63.648</v>
      </c>
      <c r="F119" s="63">
        <f>Parametros!$M$82</f>
        <v>63.648</v>
      </c>
      <c r="G119" s="63">
        <f>Parametros!$M$82</f>
        <v>63.648</v>
      </c>
      <c r="H119" s="63">
        <f>Parametros!$M$82</f>
        <v>63.648</v>
      </c>
      <c r="I119" s="63">
        <f>Parametros!$M$82</f>
        <v>63.648</v>
      </c>
      <c r="J119" s="63">
        <f>Parametros!$M$82</f>
        <v>63.648</v>
      </c>
      <c r="K119" s="63">
        <f>Parametros!$M$82</f>
        <v>63.648</v>
      </c>
      <c r="L119" s="11"/>
      <c r="M119" s="11"/>
      <c r="N119" s="11"/>
      <c r="O119" s="11"/>
      <c r="P119" s="11"/>
      <c r="Q119" s="11"/>
      <c r="R119" s="11"/>
      <c r="S119" s="11"/>
      <c r="T119" s="11"/>
      <c r="U119" s="11"/>
      <c r="V119" s="11"/>
      <c r="W119" s="11"/>
      <c r="X119" s="11"/>
      <c r="Y119" s="11"/>
      <c r="Z119" s="11"/>
      <c r="AA119" s="11"/>
      <c r="AB119" s="11"/>
      <c r="AC119" s="11"/>
      <c r="AD119" s="11"/>
    </row>
    <row r="120" ht="12.0" customHeight="1">
      <c r="A120" s="30" t="s">
        <v>70</v>
      </c>
      <c r="B120" s="63">
        <f>IF(B58="Automática",Parametros!$M$83,Parametros!$M$48)</f>
        <v>22.46518519</v>
      </c>
      <c r="C120" s="63">
        <f>IF(C58="Automática",Parametros!$M$83,Parametros!$M$48)</f>
        <v>22.46518519</v>
      </c>
      <c r="D120" s="63">
        <f>IF(D58="Automática",Parametros!$M$83,Parametros!$M$48)</f>
        <v>22.46518519</v>
      </c>
      <c r="E120" s="63">
        <f>IF(E58="Automática",Parametros!$M$83,Parametros!$M$48)</f>
        <v>86.65142857</v>
      </c>
      <c r="F120" s="63">
        <f>IF(F58="Automática",Parametros!$M$83,Parametros!$M$48)</f>
        <v>86.65142857</v>
      </c>
      <c r="G120" s="63">
        <f>IF(G58="Automática",Parametros!$M$83,Parametros!$M$48)</f>
        <v>86.65142857</v>
      </c>
      <c r="H120" s="63">
        <f>IF(H58="Automática",Parametros!$M$83,Parametros!$M$48)</f>
        <v>86.65142857</v>
      </c>
      <c r="I120" s="63">
        <f>IF(I58="Automática",Parametros!$M$83,Parametros!$M$48)</f>
        <v>86.65142857</v>
      </c>
      <c r="J120" s="63">
        <f>IF(J58="Automática",Parametros!$M$83,Parametros!$M$48)</f>
        <v>86.65142857</v>
      </c>
      <c r="K120" s="63">
        <f>IF(K58="Automática",Parametros!$M$83,Parametros!$M$48)</f>
        <v>86.65142857</v>
      </c>
      <c r="L120" s="11"/>
      <c r="M120" s="11"/>
      <c r="N120" s="11"/>
      <c r="O120" s="11"/>
      <c r="P120" s="11"/>
      <c r="Q120" s="11"/>
      <c r="R120" s="11"/>
      <c r="S120" s="11"/>
      <c r="T120" s="11"/>
      <c r="U120" s="11"/>
      <c r="V120" s="11"/>
      <c r="W120" s="11"/>
      <c r="X120" s="11"/>
      <c r="Y120" s="11"/>
      <c r="Z120" s="11"/>
      <c r="AA120" s="11"/>
      <c r="AB120" s="11"/>
      <c r="AC120" s="11"/>
      <c r="AD120" s="11"/>
    </row>
    <row r="121" ht="12.0" customHeight="1">
      <c r="A121" s="30" t="s">
        <v>72</v>
      </c>
      <c r="B121" s="63">
        <f>Parametros!$M$49</f>
        <v>71.1627907</v>
      </c>
      <c r="C121" s="63">
        <f>Parametros!$M$49</f>
        <v>71.1627907</v>
      </c>
      <c r="D121" s="63">
        <f>Parametros!$M$49</f>
        <v>71.1627907</v>
      </c>
      <c r="E121" s="63">
        <f>Parametros!$M$49</f>
        <v>71.1627907</v>
      </c>
      <c r="F121" s="63">
        <f>Parametros!$M$49</f>
        <v>71.1627907</v>
      </c>
      <c r="G121" s="63">
        <f>Parametros!$M$49</f>
        <v>71.1627907</v>
      </c>
      <c r="H121" s="63">
        <f>Parametros!$M$49</f>
        <v>71.1627907</v>
      </c>
      <c r="I121" s="63">
        <f>Parametros!$M$49</f>
        <v>71.1627907</v>
      </c>
      <c r="J121" s="63">
        <f>Parametros!$M$49</f>
        <v>71.1627907</v>
      </c>
      <c r="K121" s="63">
        <f>Parametros!$M$49</f>
        <v>71.1627907</v>
      </c>
      <c r="L121" s="11"/>
      <c r="M121" s="11"/>
      <c r="N121" s="11"/>
      <c r="O121" s="11"/>
      <c r="P121" s="11"/>
      <c r="Q121" s="11"/>
      <c r="R121" s="11"/>
      <c r="S121" s="11"/>
      <c r="T121" s="11"/>
      <c r="U121" s="11"/>
      <c r="V121" s="11"/>
      <c r="W121" s="11"/>
      <c r="X121" s="11"/>
      <c r="Y121" s="11"/>
      <c r="Z121" s="11"/>
      <c r="AA121" s="11"/>
      <c r="AB121" s="11"/>
      <c r="AC121" s="11"/>
      <c r="AD121" s="11"/>
    </row>
    <row r="122" ht="12.0" customHeight="1">
      <c r="A122" s="30" t="s">
        <v>74</v>
      </c>
      <c r="B122" s="63">
        <f>Parametros!$M$50</f>
        <v>192</v>
      </c>
      <c r="C122" s="63">
        <f>Parametros!$M$50</f>
        <v>192</v>
      </c>
      <c r="D122" s="63">
        <f>Parametros!$M$50</f>
        <v>192</v>
      </c>
      <c r="E122" s="63">
        <f>Parametros!$M$50</f>
        <v>192</v>
      </c>
      <c r="F122" s="63">
        <f>Parametros!$M$50</f>
        <v>192</v>
      </c>
      <c r="G122" s="63">
        <f>Parametros!$M$50</f>
        <v>192</v>
      </c>
      <c r="H122" s="63">
        <f>Parametros!$M$50</f>
        <v>192</v>
      </c>
      <c r="I122" s="63">
        <f>Parametros!$M$50</f>
        <v>192</v>
      </c>
      <c r="J122" s="63">
        <f>Parametros!$M$50</f>
        <v>192</v>
      </c>
      <c r="K122" s="63">
        <f>Parametros!$M$50</f>
        <v>192</v>
      </c>
      <c r="L122" s="11"/>
      <c r="M122" s="11"/>
      <c r="N122" s="11"/>
      <c r="O122" s="11"/>
      <c r="P122" s="11"/>
      <c r="Q122" s="11"/>
      <c r="R122" s="11"/>
      <c r="S122" s="11"/>
      <c r="T122" s="11"/>
      <c r="U122" s="11"/>
      <c r="V122" s="11"/>
      <c r="W122" s="11"/>
      <c r="X122" s="11"/>
      <c r="Y122" s="11"/>
      <c r="Z122" s="11"/>
      <c r="AA122" s="11"/>
      <c r="AB122" s="11"/>
      <c r="AC122" s="11"/>
      <c r="AD122" s="11"/>
    </row>
    <row r="123" ht="12.0" customHeight="1">
      <c r="A123" s="30" t="s">
        <v>76</v>
      </c>
      <c r="B123" s="63">
        <f>Parametros!$M$88</f>
        <v>20.51162791</v>
      </c>
      <c r="C123" s="63">
        <f>Parametros!$M$88</f>
        <v>20.51162791</v>
      </c>
      <c r="D123" s="63">
        <f>Parametros!$M$88</f>
        <v>20.51162791</v>
      </c>
      <c r="E123" s="63">
        <f>Parametros!$M$88</f>
        <v>20.51162791</v>
      </c>
      <c r="F123" s="63">
        <f>Parametros!$M$88</f>
        <v>20.51162791</v>
      </c>
      <c r="G123" s="63">
        <f>Parametros!$M$88</f>
        <v>20.51162791</v>
      </c>
      <c r="H123" s="63">
        <f>Parametros!$M$88</f>
        <v>20.51162791</v>
      </c>
      <c r="I123" s="63">
        <f>Parametros!$M$88</f>
        <v>20.51162791</v>
      </c>
      <c r="J123" s="63">
        <f>Parametros!$M$88</f>
        <v>20.51162791</v>
      </c>
      <c r="K123" s="63">
        <f>Parametros!$M$88</f>
        <v>20.51162791</v>
      </c>
      <c r="L123" s="11"/>
      <c r="M123" s="11"/>
      <c r="N123" s="11"/>
      <c r="O123" s="11"/>
      <c r="P123" s="11"/>
      <c r="Q123" s="11"/>
      <c r="R123" s="11"/>
      <c r="S123" s="11"/>
      <c r="T123" s="11"/>
      <c r="U123" s="11"/>
      <c r="V123" s="11"/>
      <c r="W123" s="11"/>
      <c r="X123" s="11"/>
      <c r="Y123" s="11"/>
      <c r="Z123" s="11"/>
      <c r="AA123" s="11"/>
      <c r="AB123" s="11"/>
      <c r="AC123" s="11"/>
      <c r="AD123" s="11"/>
    </row>
    <row r="124" ht="12.0" customHeight="1">
      <c r="A124" s="30" t="s">
        <v>77</v>
      </c>
      <c r="B124" s="63">
        <f>Parametros!$M$51</f>
        <v>136.0227273</v>
      </c>
      <c r="C124" s="63">
        <f>Parametros!$M$51</f>
        <v>136.0227273</v>
      </c>
      <c r="D124" s="63">
        <f>Parametros!$M$51</f>
        <v>136.0227273</v>
      </c>
      <c r="E124" s="63">
        <f>Parametros!$M$51</f>
        <v>136.0227273</v>
      </c>
      <c r="F124" s="63">
        <f>Parametros!$M$51</f>
        <v>136.0227273</v>
      </c>
      <c r="G124" s="63">
        <f>Parametros!$M$51</f>
        <v>136.0227273</v>
      </c>
      <c r="H124" s="63">
        <f>Parametros!$M$51</f>
        <v>136.0227273</v>
      </c>
      <c r="I124" s="63">
        <f>Parametros!$M$51</f>
        <v>136.0227273</v>
      </c>
      <c r="J124" s="63">
        <f>Parametros!$M$51</f>
        <v>136.0227273</v>
      </c>
      <c r="K124" s="63">
        <f>Parametros!$M$51</f>
        <v>136.0227273</v>
      </c>
      <c r="L124" s="11"/>
      <c r="M124" s="11"/>
      <c r="N124" s="11"/>
      <c r="O124" s="11"/>
      <c r="P124" s="11"/>
      <c r="Q124" s="11"/>
      <c r="R124" s="11"/>
      <c r="S124" s="11"/>
      <c r="T124" s="11"/>
      <c r="U124" s="11"/>
      <c r="V124" s="11"/>
      <c r="W124" s="11"/>
      <c r="X124" s="11"/>
      <c r="Y124" s="11"/>
      <c r="Z124" s="11"/>
      <c r="AA124" s="11"/>
      <c r="AB124" s="11"/>
      <c r="AC124" s="11"/>
      <c r="AD124" s="11"/>
    </row>
    <row r="125" ht="12.0" customHeight="1">
      <c r="A125" s="30" t="s">
        <v>79</v>
      </c>
      <c r="B125" s="63">
        <f>Parametros!$M$52</f>
        <v>60.34285714</v>
      </c>
      <c r="C125" s="63">
        <f>Parametros!$M$52</f>
        <v>60.34285714</v>
      </c>
      <c r="D125" s="63">
        <f>Parametros!$M$52</f>
        <v>60.34285714</v>
      </c>
      <c r="E125" s="63">
        <f>Parametros!$M$52</f>
        <v>60.34285714</v>
      </c>
      <c r="F125" s="63">
        <f>Parametros!$M$52</f>
        <v>60.34285714</v>
      </c>
      <c r="G125" s="63">
        <f>Parametros!$M$52</f>
        <v>60.34285714</v>
      </c>
      <c r="H125" s="63">
        <f>Parametros!$M$52</f>
        <v>60.34285714</v>
      </c>
      <c r="I125" s="63">
        <f>Parametros!$M$52</f>
        <v>60.34285714</v>
      </c>
      <c r="J125" s="63">
        <f>Parametros!$M$52</f>
        <v>60.34285714</v>
      </c>
      <c r="K125" s="63">
        <f>Parametros!$M$52</f>
        <v>60.34285714</v>
      </c>
      <c r="L125" s="11"/>
      <c r="M125" s="11"/>
      <c r="N125" s="11"/>
      <c r="O125" s="11"/>
      <c r="P125" s="11"/>
      <c r="Q125" s="11"/>
      <c r="R125" s="11"/>
      <c r="S125" s="11"/>
      <c r="T125" s="11"/>
      <c r="U125" s="11"/>
      <c r="V125" s="11"/>
      <c r="W125" s="11"/>
      <c r="X125" s="11"/>
      <c r="Y125" s="11"/>
      <c r="Z125" s="11"/>
      <c r="AA125" s="11"/>
      <c r="AB125" s="11"/>
      <c r="AC125" s="11"/>
      <c r="AD125" s="11"/>
    </row>
    <row r="126" ht="12.0" customHeight="1">
      <c r="A126" s="30" t="s">
        <v>81</v>
      </c>
      <c r="B126" s="63">
        <f>Parametros!$M$53</f>
        <v>25.2</v>
      </c>
      <c r="C126" s="63">
        <f>Parametros!$M$53</f>
        <v>25.2</v>
      </c>
      <c r="D126" s="63">
        <f>Parametros!$M$53</f>
        <v>25.2</v>
      </c>
      <c r="E126" s="63">
        <f>Parametros!$M$53</f>
        <v>25.2</v>
      </c>
      <c r="F126" s="63">
        <f>Parametros!$M$53</f>
        <v>25.2</v>
      </c>
      <c r="G126" s="63">
        <f>Parametros!$M$53</f>
        <v>25.2</v>
      </c>
      <c r="H126" s="63">
        <f>Parametros!$M$53</f>
        <v>25.2</v>
      </c>
      <c r="I126" s="63">
        <f>Parametros!$M$53</f>
        <v>25.2</v>
      </c>
      <c r="J126" s="63">
        <f>Parametros!$M$53</f>
        <v>25.2</v>
      </c>
      <c r="K126" s="63">
        <f>Parametros!$M$53</f>
        <v>25.2</v>
      </c>
      <c r="L126" s="11"/>
      <c r="M126" s="11"/>
      <c r="N126" s="11"/>
      <c r="O126" s="11"/>
      <c r="P126" s="11"/>
      <c r="Q126" s="11"/>
      <c r="R126" s="11"/>
      <c r="S126" s="11"/>
      <c r="T126" s="11"/>
      <c r="U126" s="11"/>
      <c r="V126" s="11"/>
      <c r="W126" s="11"/>
      <c r="X126" s="11"/>
      <c r="Y126" s="11"/>
      <c r="Z126" s="11"/>
      <c r="AA126" s="11"/>
      <c r="AB126" s="11"/>
      <c r="AC126" s="11"/>
      <c r="AD126" s="11"/>
    </row>
    <row r="127" ht="12.0" customHeight="1">
      <c r="A127" s="30" t="s">
        <v>82</v>
      </c>
      <c r="B127" s="63">
        <f>Parametros!$M$54</f>
        <v>41.53846154</v>
      </c>
      <c r="C127" s="63">
        <f>Parametros!$M$54</f>
        <v>41.53846154</v>
      </c>
      <c r="D127" s="63">
        <f>Parametros!$M$54</f>
        <v>41.53846154</v>
      </c>
      <c r="E127" s="63">
        <f>Parametros!$M$54</f>
        <v>41.53846154</v>
      </c>
      <c r="F127" s="63">
        <f>Parametros!$M$54</f>
        <v>41.53846154</v>
      </c>
      <c r="G127" s="63">
        <f>Parametros!$M$54</f>
        <v>41.53846154</v>
      </c>
      <c r="H127" s="63">
        <f>Parametros!$M$54</f>
        <v>41.53846154</v>
      </c>
      <c r="I127" s="63">
        <f>Parametros!$M$54</f>
        <v>41.53846154</v>
      </c>
      <c r="J127" s="63">
        <f>Parametros!$M$54</f>
        <v>41.53846154</v>
      </c>
      <c r="K127" s="63">
        <f>Parametros!$M$54</f>
        <v>41.53846154</v>
      </c>
      <c r="L127" s="11"/>
      <c r="M127" s="11"/>
      <c r="N127" s="11"/>
      <c r="O127" s="11"/>
      <c r="P127" s="11"/>
      <c r="Q127" s="11"/>
      <c r="R127" s="11"/>
      <c r="S127" s="11"/>
      <c r="T127" s="11"/>
      <c r="U127" s="11"/>
      <c r="V127" s="11"/>
      <c r="W127" s="11"/>
      <c r="X127" s="11"/>
      <c r="Y127" s="11"/>
      <c r="Z127" s="11"/>
      <c r="AA127" s="11"/>
      <c r="AB127" s="11"/>
      <c r="AC127" s="11"/>
      <c r="AD127" s="11"/>
    </row>
    <row r="128" ht="12.0" customHeight="1">
      <c r="A128" s="30" t="s">
        <v>83</v>
      </c>
      <c r="B128" s="63">
        <f>Parametros!$M$55</f>
        <v>45.81818182</v>
      </c>
      <c r="C128" s="63">
        <f>Parametros!$M$55</f>
        <v>45.81818182</v>
      </c>
      <c r="D128" s="63">
        <f>Parametros!$M$55</f>
        <v>45.81818182</v>
      </c>
      <c r="E128" s="63">
        <f>Parametros!$M$55</f>
        <v>45.81818182</v>
      </c>
      <c r="F128" s="63">
        <f>Parametros!$M$55</f>
        <v>45.81818182</v>
      </c>
      <c r="G128" s="63">
        <f>Parametros!$M$55</f>
        <v>45.81818182</v>
      </c>
      <c r="H128" s="63">
        <f>Parametros!$M$55</f>
        <v>45.81818182</v>
      </c>
      <c r="I128" s="63">
        <f>Parametros!$M$55</f>
        <v>45.81818182</v>
      </c>
      <c r="J128" s="63">
        <f>Parametros!$M$55</f>
        <v>45.81818182</v>
      </c>
      <c r="K128" s="63">
        <f>Parametros!$M$55</f>
        <v>45.81818182</v>
      </c>
      <c r="L128" s="11"/>
      <c r="M128" s="11"/>
      <c r="N128" s="11"/>
      <c r="O128" s="11"/>
      <c r="P128" s="11"/>
      <c r="Q128" s="11"/>
      <c r="R128" s="11"/>
      <c r="S128" s="11"/>
      <c r="T128" s="11"/>
      <c r="U128" s="11"/>
      <c r="V128" s="11"/>
      <c r="W128" s="11"/>
      <c r="X128" s="11"/>
      <c r="Y128" s="11"/>
      <c r="Z128" s="11"/>
      <c r="AA128" s="11"/>
      <c r="AB128" s="11"/>
      <c r="AC128" s="11"/>
      <c r="AD128" s="11"/>
    </row>
    <row r="129" ht="12.0" customHeight="1">
      <c r="A129" s="30" t="s">
        <v>84</v>
      </c>
      <c r="B129" s="63">
        <f>Parametros!$M$56</f>
        <v>48.81355932</v>
      </c>
      <c r="C129" s="63">
        <f>Parametros!$M$56</f>
        <v>48.81355932</v>
      </c>
      <c r="D129" s="63">
        <f>Parametros!$M$56</f>
        <v>48.81355932</v>
      </c>
      <c r="E129" s="63">
        <f>Parametros!$M$56</f>
        <v>48.81355932</v>
      </c>
      <c r="F129" s="63">
        <f>Parametros!$M$56</f>
        <v>48.81355932</v>
      </c>
      <c r="G129" s="63">
        <f>Parametros!$M$56</f>
        <v>48.81355932</v>
      </c>
      <c r="H129" s="63">
        <f>Parametros!$M$56</f>
        <v>48.81355932</v>
      </c>
      <c r="I129" s="63">
        <f>Parametros!$M$56</f>
        <v>48.81355932</v>
      </c>
      <c r="J129" s="63">
        <f>Parametros!$M$56</f>
        <v>48.81355932</v>
      </c>
      <c r="K129" s="63">
        <f>Parametros!$M$56</f>
        <v>48.81355932</v>
      </c>
      <c r="L129" s="11"/>
      <c r="M129" s="11"/>
      <c r="N129" s="11"/>
      <c r="O129" s="11"/>
      <c r="P129" s="11"/>
      <c r="Q129" s="11"/>
      <c r="R129" s="11"/>
      <c r="S129" s="11"/>
      <c r="T129" s="11"/>
      <c r="U129" s="11"/>
      <c r="V129" s="11"/>
      <c r="W129" s="11"/>
      <c r="X129" s="11"/>
      <c r="Y129" s="11"/>
      <c r="Z129" s="11"/>
      <c r="AA129" s="11"/>
      <c r="AB129" s="11"/>
      <c r="AC129" s="11"/>
      <c r="AD129" s="11"/>
    </row>
    <row r="130" ht="12.0" customHeight="1">
      <c r="A130" s="30" t="s">
        <v>85</v>
      </c>
      <c r="B130" s="63">
        <f>Parametros!$M$79</f>
        <v>75.21428571</v>
      </c>
      <c r="C130" s="63">
        <f>Parametros!$M$79</f>
        <v>75.21428571</v>
      </c>
      <c r="D130" s="63">
        <f>Parametros!$M$79</f>
        <v>75.21428571</v>
      </c>
      <c r="E130" s="63">
        <f>Parametros!$M$79</f>
        <v>75.21428571</v>
      </c>
      <c r="F130" s="63">
        <f>Parametros!$M$79</f>
        <v>75.21428571</v>
      </c>
      <c r="G130" s="63">
        <f>Parametros!$M$79</f>
        <v>75.21428571</v>
      </c>
      <c r="H130" s="63">
        <f>Parametros!$M$79</f>
        <v>75.21428571</v>
      </c>
      <c r="I130" s="63">
        <f>Parametros!$M$79</f>
        <v>75.21428571</v>
      </c>
      <c r="J130" s="63">
        <f>Parametros!$M$79</f>
        <v>75.21428571</v>
      </c>
      <c r="K130" s="63">
        <f>Parametros!$M$79</f>
        <v>75.21428571</v>
      </c>
      <c r="L130" s="11"/>
      <c r="M130" s="11"/>
      <c r="N130" s="11"/>
      <c r="O130" s="11"/>
      <c r="P130" s="11"/>
      <c r="Q130" s="11"/>
      <c r="R130" s="11"/>
      <c r="S130" s="11"/>
      <c r="T130" s="11"/>
      <c r="U130" s="11"/>
      <c r="V130" s="11"/>
      <c r="W130" s="11"/>
      <c r="X130" s="11"/>
      <c r="Y130" s="11"/>
      <c r="Z130" s="11"/>
      <c r="AA130" s="11"/>
      <c r="AB130" s="11"/>
      <c r="AC130" s="11"/>
      <c r="AD130" s="11"/>
    </row>
    <row r="131" ht="12.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2.0" customHeight="1">
      <c r="A132" s="135" t="s">
        <v>539</v>
      </c>
      <c r="B132" s="135">
        <v>2026.0</v>
      </c>
      <c r="C132" s="135">
        <v>2027.0</v>
      </c>
      <c r="D132" s="135">
        <v>2028.0</v>
      </c>
      <c r="E132" s="135">
        <v>2029.0</v>
      </c>
      <c r="F132" s="135">
        <v>2030.0</v>
      </c>
      <c r="G132" s="135">
        <v>2031.0</v>
      </c>
      <c r="H132" s="135">
        <v>2032.0</v>
      </c>
      <c r="I132" s="135">
        <v>2033.0</v>
      </c>
      <c r="J132" s="135">
        <v>2034.0</v>
      </c>
      <c r="K132" s="135">
        <v>2035.0</v>
      </c>
      <c r="L132" s="11"/>
      <c r="M132" s="11"/>
      <c r="N132" s="11"/>
      <c r="O132" s="11"/>
      <c r="P132" s="11"/>
      <c r="Q132" s="11"/>
      <c r="R132" s="11"/>
      <c r="S132" s="11"/>
      <c r="T132" s="11"/>
      <c r="U132" s="11"/>
      <c r="V132" s="11"/>
      <c r="W132" s="11"/>
      <c r="X132" s="11"/>
      <c r="Y132" s="11"/>
      <c r="Z132" s="11"/>
      <c r="AA132" s="11"/>
      <c r="AB132" s="11"/>
      <c r="AC132" s="11"/>
      <c r="AD132" s="11"/>
    </row>
    <row r="133" ht="12.0" customHeight="1">
      <c r="A133" s="30" t="s">
        <v>26</v>
      </c>
      <c r="B133" s="46">
        <f t="shared" ref="B133:K133" si="48">ROUNDUP(B89/(B111*B$64*$B$50),0)</f>
        <v>1</v>
      </c>
      <c r="C133" s="46">
        <f t="shared" si="48"/>
        <v>1</v>
      </c>
      <c r="D133" s="46">
        <f t="shared" si="48"/>
        <v>1</v>
      </c>
      <c r="E133" s="46">
        <f t="shared" si="48"/>
        <v>1</v>
      </c>
      <c r="F133" s="46">
        <f t="shared" si="48"/>
        <v>2</v>
      </c>
      <c r="G133" s="46">
        <f t="shared" si="48"/>
        <v>2</v>
      </c>
      <c r="H133" s="46">
        <f t="shared" si="48"/>
        <v>2</v>
      </c>
      <c r="I133" s="46">
        <f t="shared" si="48"/>
        <v>2</v>
      </c>
      <c r="J133" s="46">
        <f t="shared" si="48"/>
        <v>2</v>
      </c>
      <c r="K133" s="46">
        <f t="shared" si="48"/>
        <v>2</v>
      </c>
      <c r="L133" s="11"/>
      <c r="M133" s="11"/>
      <c r="N133" s="11"/>
      <c r="O133" s="11"/>
      <c r="P133" s="11"/>
      <c r="Q133" s="11"/>
      <c r="R133" s="11"/>
      <c r="S133" s="11"/>
      <c r="T133" s="11"/>
      <c r="U133" s="11"/>
      <c r="V133" s="11"/>
      <c r="W133" s="11"/>
      <c r="X133" s="11"/>
      <c r="Y133" s="11"/>
      <c r="Z133" s="11"/>
      <c r="AA133" s="11"/>
      <c r="AB133" s="11"/>
      <c r="AC133" s="11"/>
      <c r="AD133" s="11"/>
    </row>
    <row r="134" ht="12.0" customHeight="1">
      <c r="A134" s="30" t="s">
        <v>55</v>
      </c>
      <c r="B134" s="46">
        <f t="shared" ref="B134:K134" si="49">ROUNDUP(B90/(B112*B$64*$B$50),0)</f>
        <v>1</v>
      </c>
      <c r="C134" s="46">
        <f t="shared" si="49"/>
        <v>1</v>
      </c>
      <c r="D134" s="46">
        <f t="shared" si="49"/>
        <v>1</v>
      </c>
      <c r="E134" s="46">
        <f t="shared" si="49"/>
        <v>1</v>
      </c>
      <c r="F134" s="46">
        <f t="shared" si="49"/>
        <v>1</v>
      </c>
      <c r="G134" s="46">
        <f t="shared" si="49"/>
        <v>2</v>
      </c>
      <c r="H134" s="46">
        <f t="shared" si="49"/>
        <v>1</v>
      </c>
      <c r="I134" s="46">
        <f t="shared" si="49"/>
        <v>2</v>
      </c>
      <c r="J134" s="46">
        <f t="shared" si="49"/>
        <v>2</v>
      </c>
      <c r="K134" s="46">
        <f t="shared" si="49"/>
        <v>2</v>
      </c>
      <c r="L134" s="11"/>
      <c r="M134" s="11"/>
      <c r="N134" s="11"/>
      <c r="O134" s="11"/>
      <c r="P134" s="11"/>
      <c r="Q134" s="11"/>
      <c r="R134" s="11"/>
      <c r="S134" s="11"/>
      <c r="T134" s="11"/>
      <c r="U134" s="11"/>
      <c r="V134" s="11"/>
      <c r="W134" s="11"/>
      <c r="X134" s="11"/>
      <c r="Y134" s="11"/>
      <c r="Z134" s="11"/>
      <c r="AA134" s="11"/>
      <c r="AB134" s="11"/>
      <c r="AC134" s="11"/>
      <c r="AD134" s="11"/>
    </row>
    <row r="135" ht="12.0" customHeight="1">
      <c r="A135" s="30" t="s">
        <v>61</v>
      </c>
      <c r="B135" s="46">
        <f t="shared" ref="B135:K135" si="50">ROUNDUP(B91/(B113*B$64*$B$50),0)</f>
        <v>1</v>
      </c>
      <c r="C135" s="46">
        <f t="shared" si="50"/>
        <v>1</v>
      </c>
      <c r="D135" s="46">
        <f t="shared" si="50"/>
        <v>1</v>
      </c>
      <c r="E135" s="46">
        <f t="shared" si="50"/>
        <v>1</v>
      </c>
      <c r="F135" s="46">
        <f t="shared" si="50"/>
        <v>1</v>
      </c>
      <c r="G135" s="46">
        <f t="shared" si="50"/>
        <v>1</v>
      </c>
      <c r="H135" s="46">
        <f t="shared" si="50"/>
        <v>1</v>
      </c>
      <c r="I135" s="46">
        <f t="shared" si="50"/>
        <v>1</v>
      </c>
      <c r="J135" s="46">
        <f t="shared" si="50"/>
        <v>1</v>
      </c>
      <c r="K135" s="46">
        <f t="shared" si="50"/>
        <v>1</v>
      </c>
      <c r="L135" s="11"/>
      <c r="M135" s="11"/>
      <c r="N135" s="11"/>
      <c r="O135" s="11"/>
      <c r="P135" s="11"/>
      <c r="Q135" s="11"/>
      <c r="R135" s="11"/>
      <c r="S135" s="11"/>
      <c r="T135" s="11"/>
      <c r="U135" s="11"/>
      <c r="V135" s="11"/>
      <c r="W135" s="11"/>
      <c r="X135" s="11"/>
      <c r="Y135" s="11"/>
      <c r="Z135" s="11"/>
      <c r="AA135" s="11"/>
      <c r="AB135" s="11"/>
      <c r="AC135" s="11"/>
      <c r="AD135" s="11"/>
    </row>
    <row r="136" ht="12.0" customHeight="1">
      <c r="A136" s="30" t="s">
        <v>62</v>
      </c>
      <c r="B136" s="46">
        <f t="shared" ref="B136:K136" si="51">ROUNDUP(B92/(B114*B$64*$B$50),0)</f>
        <v>1</v>
      </c>
      <c r="C136" s="46">
        <f t="shared" si="51"/>
        <v>1</v>
      </c>
      <c r="D136" s="46">
        <f t="shared" si="51"/>
        <v>1</v>
      </c>
      <c r="E136" s="46">
        <f t="shared" si="51"/>
        <v>1</v>
      </c>
      <c r="F136" s="46">
        <f t="shared" si="51"/>
        <v>1</v>
      </c>
      <c r="G136" s="46">
        <f t="shared" si="51"/>
        <v>2</v>
      </c>
      <c r="H136" s="46">
        <f t="shared" si="51"/>
        <v>1</v>
      </c>
      <c r="I136" s="46">
        <f t="shared" si="51"/>
        <v>1</v>
      </c>
      <c r="J136" s="46">
        <f t="shared" si="51"/>
        <v>2</v>
      </c>
      <c r="K136" s="46">
        <f t="shared" si="51"/>
        <v>2</v>
      </c>
      <c r="L136" s="11"/>
      <c r="M136" s="11"/>
      <c r="N136" s="11"/>
      <c r="O136" s="11"/>
      <c r="P136" s="11"/>
      <c r="Q136" s="11"/>
      <c r="R136" s="11"/>
      <c r="S136" s="11"/>
      <c r="T136" s="11"/>
      <c r="U136" s="11"/>
      <c r="V136" s="11"/>
      <c r="W136" s="11"/>
      <c r="X136" s="11"/>
      <c r="Y136" s="11"/>
      <c r="Z136" s="11"/>
      <c r="AA136" s="11"/>
      <c r="AB136" s="11"/>
      <c r="AC136" s="11"/>
      <c r="AD136" s="11"/>
    </row>
    <row r="137" ht="12.0" customHeight="1">
      <c r="A137" s="30" t="s">
        <v>63</v>
      </c>
      <c r="B137" s="46">
        <f t="shared" ref="B137:K137" si="52">ROUNDUP(B93/(B115*B$64*$B$50),0)</f>
        <v>1</v>
      </c>
      <c r="C137" s="46">
        <f t="shared" si="52"/>
        <v>1</v>
      </c>
      <c r="D137" s="46">
        <f t="shared" si="52"/>
        <v>1</v>
      </c>
      <c r="E137" s="46">
        <f t="shared" si="52"/>
        <v>1</v>
      </c>
      <c r="F137" s="46">
        <f t="shared" si="52"/>
        <v>1</v>
      </c>
      <c r="G137" s="46">
        <f t="shared" si="52"/>
        <v>1</v>
      </c>
      <c r="H137" s="46">
        <f t="shared" si="52"/>
        <v>1</v>
      </c>
      <c r="I137" s="46">
        <f t="shared" si="52"/>
        <v>1</v>
      </c>
      <c r="J137" s="46">
        <f t="shared" si="52"/>
        <v>1</v>
      </c>
      <c r="K137" s="46">
        <f t="shared" si="52"/>
        <v>1</v>
      </c>
      <c r="L137" s="11"/>
      <c r="M137" s="11"/>
      <c r="N137" s="11"/>
      <c r="O137" s="11"/>
      <c r="P137" s="11"/>
      <c r="Q137" s="11"/>
      <c r="R137" s="11"/>
      <c r="S137" s="11"/>
      <c r="T137" s="11"/>
      <c r="U137" s="11"/>
      <c r="V137" s="11"/>
      <c r="W137" s="11"/>
      <c r="X137" s="11"/>
      <c r="Y137" s="11"/>
      <c r="Z137" s="11"/>
      <c r="AA137" s="11"/>
      <c r="AB137" s="11"/>
      <c r="AC137" s="11"/>
      <c r="AD137" s="11"/>
    </row>
    <row r="138" ht="12.0" customHeight="1">
      <c r="A138" s="30" t="s">
        <v>64</v>
      </c>
      <c r="B138" s="46">
        <f t="shared" ref="B138:K138" si="53">ROUNDUP(B94/(B116*B$64*$B$50),0)</f>
        <v>1</v>
      </c>
      <c r="C138" s="46">
        <f t="shared" si="53"/>
        <v>1</v>
      </c>
      <c r="D138" s="46">
        <f t="shared" si="53"/>
        <v>1</v>
      </c>
      <c r="E138" s="46">
        <f t="shared" si="53"/>
        <v>1</v>
      </c>
      <c r="F138" s="46">
        <f t="shared" si="53"/>
        <v>1</v>
      </c>
      <c r="G138" s="46">
        <f t="shared" si="53"/>
        <v>1</v>
      </c>
      <c r="H138" s="46">
        <f t="shared" si="53"/>
        <v>1</v>
      </c>
      <c r="I138" s="46">
        <f t="shared" si="53"/>
        <v>1</v>
      </c>
      <c r="J138" s="46">
        <f t="shared" si="53"/>
        <v>1</v>
      </c>
      <c r="K138" s="46">
        <f t="shared" si="53"/>
        <v>1</v>
      </c>
      <c r="L138" s="11"/>
      <c r="M138" s="11"/>
      <c r="N138" s="11"/>
      <c r="O138" s="11"/>
      <c r="P138" s="11"/>
      <c r="Q138" s="11"/>
      <c r="R138" s="11"/>
      <c r="S138" s="11"/>
      <c r="T138" s="11"/>
      <c r="U138" s="11"/>
      <c r="V138" s="11"/>
      <c r="W138" s="11"/>
      <c r="X138" s="11"/>
      <c r="Y138" s="11"/>
      <c r="Z138" s="11"/>
      <c r="AA138" s="11"/>
      <c r="AB138" s="11"/>
      <c r="AC138" s="11"/>
      <c r="AD138" s="11"/>
    </row>
    <row r="139" ht="12.0" customHeight="1">
      <c r="A139" s="30" t="s">
        <v>66</v>
      </c>
      <c r="B139" s="46">
        <f t="shared" ref="B139:K139" si="54">ROUNDUP(B95/(B117*B$64*$B$50),0)</f>
        <v>1</v>
      </c>
      <c r="C139" s="46">
        <f t="shared" si="54"/>
        <v>1</v>
      </c>
      <c r="D139" s="46">
        <f t="shared" si="54"/>
        <v>1</v>
      </c>
      <c r="E139" s="46">
        <f t="shared" si="54"/>
        <v>1</v>
      </c>
      <c r="F139" s="46">
        <f t="shared" si="54"/>
        <v>2</v>
      </c>
      <c r="G139" s="46">
        <f t="shared" si="54"/>
        <v>2</v>
      </c>
      <c r="H139" s="46">
        <f t="shared" si="54"/>
        <v>2</v>
      </c>
      <c r="I139" s="46">
        <f t="shared" si="54"/>
        <v>2</v>
      </c>
      <c r="J139" s="46">
        <f t="shared" si="54"/>
        <v>2</v>
      </c>
      <c r="K139" s="46">
        <f t="shared" si="54"/>
        <v>3</v>
      </c>
      <c r="L139" s="11"/>
      <c r="M139" s="11"/>
      <c r="N139" s="11"/>
      <c r="O139" s="11"/>
      <c r="P139" s="11"/>
      <c r="Q139" s="11"/>
      <c r="R139" s="11"/>
      <c r="S139" s="11"/>
      <c r="T139" s="11"/>
      <c r="U139" s="11"/>
      <c r="V139" s="11"/>
      <c r="W139" s="11"/>
      <c r="X139" s="11"/>
      <c r="Y139" s="11"/>
      <c r="Z139" s="11"/>
      <c r="AA139" s="11"/>
      <c r="AB139" s="11"/>
      <c r="AC139" s="11"/>
      <c r="AD139" s="11"/>
    </row>
    <row r="140" ht="12.0" customHeight="1">
      <c r="A140" s="30" t="s">
        <v>67</v>
      </c>
      <c r="B140" s="46">
        <f t="shared" ref="B140:K140" si="55">ROUNDUP(B96/(B118*B$64*$B$50),0)</f>
        <v>1</v>
      </c>
      <c r="C140" s="46">
        <f t="shared" si="55"/>
        <v>1</v>
      </c>
      <c r="D140" s="46">
        <f t="shared" si="55"/>
        <v>1</v>
      </c>
      <c r="E140" s="46">
        <f t="shared" si="55"/>
        <v>1</v>
      </c>
      <c r="F140" s="46">
        <f t="shared" si="55"/>
        <v>1</v>
      </c>
      <c r="G140" s="46">
        <f t="shared" si="55"/>
        <v>1</v>
      </c>
      <c r="H140" s="46">
        <f t="shared" si="55"/>
        <v>1</v>
      </c>
      <c r="I140" s="46">
        <f t="shared" si="55"/>
        <v>1</v>
      </c>
      <c r="J140" s="46">
        <f t="shared" si="55"/>
        <v>1</v>
      </c>
      <c r="K140" s="46">
        <f t="shared" si="55"/>
        <v>1</v>
      </c>
      <c r="L140" s="11"/>
      <c r="M140" s="11"/>
      <c r="N140" s="11"/>
      <c r="O140" s="11"/>
      <c r="P140" s="11"/>
      <c r="Q140" s="11"/>
      <c r="R140" s="11"/>
      <c r="S140" s="11"/>
      <c r="T140" s="11"/>
      <c r="U140" s="11"/>
      <c r="V140" s="11"/>
      <c r="W140" s="11"/>
      <c r="X140" s="11"/>
      <c r="Y140" s="11"/>
      <c r="Z140" s="11"/>
      <c r="AA140" s="11"/>
      <c r="AB140" s="11"/>
      <c r="AC140" s="11"/>
      <c r="AD140" s="11"/>
    </row>
    <row r="141" ht="12.0" customHeight="1">
      <c r="A141" s="30" t="s">
        <v>68</v>
      </c>
      <c r="B141" s="46">
        <f t="shared" ref="B141:K141" si="56">ROUNDUP(B97/(B119*B$64*$B$50),0)</f>
        <v>1</v>
      </c>
      <c r="C141" s="46">
        <f t="shared" si="56"/>
        <v>1</v>
      </c>
      <c r="D141" s="46">
        <f t="shared" si="56"/>
        <v>1</v>
      </c>
      <c r="E141" s="46">
        <f t="shared" si="56"/>
        <v>1</v>
      </c>
      <c r="F141" s="46">
        <f t="shared" si="56"/>
        <v>2</v>
      </c>
      <c r="G141" s="46">
        <f t="shared" si="56"/>
        <v>2</v>
      </c>
      <c r="H141" s="46">
        <f t="shared" si="56"/>
        <v>2</v>
      </c>
      <c r="I141" s="46">
        <f t="shared" si="56"/>
        <v>2</v>
      </c>
      <c r="J141" s="46">
        <f t="shared" si="56"/>
        <v>2</v>
      </c>
      <c r="K141" s="46">
        <f t="shared" si="56"/>
        <v>2</v>
      </c>
      <c r="L141" s="11"/>
      <c r="M141" s="11"/>
      <c r="N141" s="11"/>
      <c r="O141" s="11"/>
      <c r="P141" s="11"/>
      <c r="Q141" s="11"/>
      <c r="R141" s="11"/>
      <c r="S141" s="11"/>
      <c r="T141" s="11"/>
      <c r="U141" s="11"/>
      <c r="V141" s="11"/>
      <c r="W141" s="11"/>
      <c r="X141" s="11"/>
      <c r="Y141" s="11"/>
      <c r="Z141" s="11"/>
      <c r="AA141" s="11"/>
      <c r="AB141" s="11"/>
      <c r="AC141" s="11"/>
      <c r="AD141" s="11"/>
    </row>
    <row r="142" ht="12.0" customHeight="1">
      <c r="A142" s="30" t="s">
        <v>70</v>
      </c>
      <c r="B142" s="46">
        <f t="shared" ref="B142:K142" si="57">ROUNDUP(B98/(B120*B$64*$B$50),0)</f>
        <v>1</v>
      </c>
      <c r="C142" s="46">
        <f t="shared" si="57"/>
        <v>1</v>
      </c>
      <c r="D142" s="46">
        <f t="shared" si="57"/>
        <v>1</v>
      </c>
      <c r="E142" s="46">
        <f t="shared" si="57"/>
        <v>1</v>
      </c>
      <c r="F142" s="46">
        <f t="shared" si="57"/>
        <v>1</v>
      </c>
      <c r="G142" s="46">
        <f t="shared" si="57"/>
        <v>2</v>
      </c>
      <c r="H142" s="46">
        <f t="shared" si="57"/>
        <v>1</v>
      </c>
      <c r="I142" s="46">
        <f t="shared" si="57"/>
        <v>2</v>
      </c>
      <c r="J142" s="46">
        <f t="shared" si="57"/>
        <v>2</v>
      </c>
      <c r="K142" s="46">
        <f t="shared" si="57"/>
        <v>2</v>
      </c>
      <c r="L142" s="11"/>
      <c r="M142" s="11"/>
      <c r="N142" s="11"/>
      <c r="O142" s="11"/>
      <c r="P142" s="11"/>
      <c r="Q142" s="11"/>
      <c r="R142" s="11"/>
      <c r="S142" s="11"/>
      <c r="T142" s="11"/>
      <c r="U142" s="11"/>
      <c r="V142" s="11"/>
      <c r="W142" s="11"/>
      <c r="X142" s="11"/>
      <c r="Y142" s="11"/>
      <c r="Z142" s="11"/>
      <c r="AA142" s="11"/>
      <c r="AB142" s="11"/>
      <c r="AC142" s="11"/>
      <c r="AD142" s="11"/>
    </row>
    <row r="143" ht="12.0" customHeight="1">
      <c r="A143" s="30" t="s">
        <v>72</v>
      </c>
      <c r="B143" s="46">
        <f t="shared" ref="B143:K143" si="58">ROUNDUP(B99/(B121*B$64*$B$50),0)</f>
        <v>1</v>
      </c>
      <c r="C143" s="46">
        <f t="shared" si="58"/>
        <v>1</v>
      </c>
      <c r="D143" s="46">
        <f t="shared" si="58"/>
        <v>1</v>
      </c>
      <c r="E143" s="46">
        <f t="shared" si="58"/>
        <v>1</v>
      </c>
      <c r="F143" s="46">
        <f t="shared" si="58"/>
        <v>1</v>
      </c>
      <c r="G143" s="46">
        <f t="shared" si="58"/>
        <v>1</v>
      </c>
      <c r="H143" s="46">
        <f t="shared" si="58"/>
        <v>1</v>
      </c>
      <c r="I143" s="46">
        <f t="shared" si="58"/>
        <v>1</v>
      </c>
      <c r="J143" s="46">
        <f t="shared" si="58"/>
        <v>1</v>
      </c>
      <c r="K143" s="46">
        <f t="shared" si="58"/>
        <v>1</v>
      </c>
      <c r="L143" s="11"/>
      <c r="M143" s="11"/>
      <c r="N143" s="11"/>
      <c r="O143" s="11"/>
      <c r="P143" s="11"/>
      <c r="Q143" s="11"/>
      <c r="R143" s="11"/>
      <c r="S143" s="11"/>
      <c r="T143" s="11"/>
      <c r="U143" s="11"/>
      <c r="V143" s="11"/>
      <c r="W143" s="11"/>
      <c r="X143" s="11"/>
      <c r="Y143" s="11"/>
      <c r="Z143" s="11"/>
      <c r="AA143" s="11"/>
      <c r="AB143" s="11"/>
      <c r="AC143" s="11"/>
      <c r="AD143" s="11"/>
    </row>
    <row r="144" ht="12.0" customHeight="1">
      <c r="A144" s="30" t="s">
        <v>74</v>
      </c>
      <c r="B144" s="46">
        <f t="shared" ref="B144:K144" si="59">ROUNDUP(B100/(B122*B$64*$B$50),0)</f>
        <v>1</v>
      </c>
      <c r="C144" s="46">
        <f t="shared" si="59"/>
        <v>1</v>
      </c>
      <c r="D144" s="46">
        <f t="shared" si="59"/>
        <v>1</v>
      </c>
      <c r="E144" s="46">
        <f t="shared" si="59"/>
        <v>1</v>
      </c>
      <c r="F144" s="46">
        <f t="shared" si="59"/>
        <v>1</v>
      </c>
      <c r="G144" s="46">
        <f t="shared" si="59"/>
        <v>1</v>
      </c>
      <c r="H144" s="46">
        <f t="shared" si="59"/>
        <v>1</v>
      </c>
      <c r="I144" s="46">
        <f t="shared" si="59"/>
        <v>1</v>
      </c>
      <c r="J144" s="46">
        <f t="shared" si="59"/>
        <v>1</v>
      </c>
      <c r="K144" s="46">
        <f t="shared" si="59"/>
        <v>1</v>
      </c>
      <c r="L144" s="11"/>
      <c r="M144" s="11"/>
      <c r="N144" s="11"/>
      <c r="O144" s="11"/>
      <c r="P144" s="11"/>
      <c r="Q144" s="11"/>
      <c r="R144" s="11"/>
      <c r="S144" s="11"/>
      <c r="T144" s="11"/>
      <c r="U144" s="11"/>
      <c r="V144" s="11"/>
      <c r="W144" s="11"/>
      <c r="X144" s="11"/>
      <c r="Y144" s="11"/>
      <c r="Z144" s="11"/>
      <c r="AA144" s="11"/>
      <c r="AB144" s="11"/>
      <c r="AC144" s="11"/>
      <c r="AD144" s="11"/>
    </row>
    <row r="145" ht="12.0" customHeight="1">
      <c r="A145" s="30" t="s">
        <v>76</v>
      </c>
      <c r="B145" s="46">
        <f t="shared" ref="B145:K145" si="60">ROUNDUP(B101/(B123*B$64*$B$50),0)</f>
        <v>1</v>
      </c>
      <c r="C145" s="46">
        <f t="shared" si="60"/>
        <v>1</v>
      </c>
      <c r="D145" s="46">
        <f t="shared" si="60"/>
        <v>1</v>
      </c>
      <c r="E145" s="46">
        <f t="shared" si="60"/>
        <v>1</v>
      </c>
      <c r="F145" s="46">
        <f t="shared" si="60"/>
        <v>1</v>
      </c>
      <c r="G145" s="46">
        <f t="shared" si="60"/>
        <v>1</v>
      </c>
      <c r="H145" s="46">
        <f t="shared" si="60"/>
        <v>1</v>
      </c>
      <c r="I145" s="46">
        <f t="shared" si="60"/>
        <v>1</v>
      </c>
      <c r="J145" s="46">
        <f t="shared" si="60"/>
        <v>1</v>
      </c>
      <c r="K145" s="46">
        <f t="shared" si="60"/>
        <v>1</v>
      </c>
      <c r="L145" s="11"/>
      <c r="M145" s="11"/>
      <c r="N145" s="11"/>
      <c r="O145" s="11"/>
      <c r="P145" s="11"/>
      <c r="Q145" s="11"/>
      <c r="R145" s="11"/>
      <c r="S145" s="11"/>
      <c r="T145" s="11"/>
      <c r="U145" s="11"/>
      <c r="V145" s="11"/>
      <c r="W145" s="11"/>
      <c r="X145" s="11"/>
      <c r="Y145" s="11"/>
      <c r="Z145" s="11"/>
      <c r="AA145" s="11"/>
      <c r="AB145" s="11"/>
      <c r="AC145" s="11"/>
      <c r="AD145" s="11"/>
    </row>
    <row r="146" ht="12.0" customHeight="1">
      <c r="A146" s="30" t="s">
        <v>77</v>
      </c>
      <c r="B146" s="46">
        <f t="shared" ref="B146:K146" si="61">ROUNDUP(B102/(B124*B$64*$B$50),0)</f>
        <v>1</v>
      </c>
      <c r="C146" s="46">
        <f t="shared" si="61"/>
        <v>1</v>
      </c>
      <c r="D146" s="46">
        <f t="shared" si="61"/>
        <v>1</v>
      </c>
      <c r="E146" s="46">
        <f t="shared" si="61"/>
        <v>1</v>
      </c>
      <c r="F146" s="46">
        <f t="shared" si="61"/>
        <v>1</v>
      </c>
      <c r="G146" s="46">
        <f t="shared" si="61"/>
        <v>1</v>
      </c>
      <c r="H146" s="46">
        <f t="shared" si="61"/>
        <v>1</v>
      </c>
      <c r="I146" s="46">
        <f t="shared" si="61"/>
        <v>1</v>
      </c>
      <c r="J146" s="46">
        <f t="shared" si="61"/>
        <v>1</v>
      </c>
      <c r="K146" s="46">
        <f t="shared" si="61"/>
        <v>1</v>
      </c>
      <c r="L146" s="11"/>
      <c r="M146" s="11"/>
      <c r="N146" s="11"/>
      <c r="O146" s="11"/>
      <c r="P146" s="11"/>
      <c r="Q146" s="11"/>
      <c r="R146" s="11"/>
      <c r="S146" s="11"/>
      <c r="T146" s="11"/>
      <c r="U146" s="11"/>
      <c r="V146" s="11"/>
      <c r="W146" s="11"/>
      <c r="X146" s="11"/>
      <c r="Y146" s="11"/>
      <c r="Z146" s="11"/>
      <c r="AA146" s="11"/>
      <c r="AB146" s="11"/>
      <c r="AC146" s="11"/>
      <c r="AD146" s="11"/>
    </row>
    <row r="147" ht="12.0" customHeight="1">
      <c r="A147" s="30" t="s">
        <v>79</v>
      </c>
      <c r="B147" s="46">
        <f t="shared" ref="B147:K147" si="62">ROUNDUP(B103/(B125*B$64*$B$50),0)</f>
        <v>1</v>
      </c>
      <c r="C147" s="46">
        <f t="shared" si="62"/>
        <v>1</v>
      </c>
      <c r="D147" s="46">
        <f t="shared" si="62"/>
        <v>1</v>
      </c>
      <c r="E147" s="46">
        <f t="shared" si="62"/>
        <v>1</v>
      </c>
      <c r="F147" s="46">
        <f t="shared" si="62"/>
        <v>1</v>
      </c>
      <c r="G147" s="46">
        <f t="shared" si="62"/>
        <v>1</v>
      </c>
      <c r="H147" s="46">
        <f t="shared" si="62"/>
        <v>1</v>
      </c>
      <c r="I147" s="46">
        <f t="shared" si="62"/>
        <v>1</v>
      </c>
      <c r="J147" s="46">
        <f t="shared" si="62"/>
        <v>1</v>
      </c>
      <c r="K147" s="46">
        <f t="shared" si="62"/>
        <v>1</v>
      </c>
      <c r="L147" s="11"/>
      <c r="M147" s="11"/>
      <c r="N147" s="11"/>
      <c r="O147" s="11"/>
      <c r="P147" s="11"/>
      <c r="Q147" s="11"/>
      <c r="R147" s="11"/>
      <c r="S147" s="11"/>
      <c r="T147" s="11"/>
      <c r="U147" s="11"/>
      <c r="V147" s="11"/>
      <c r="W147" s="11"/>
      <c r="X147" s="11"/>
      <c r="Y147" s="11"/>
      <c r="Z147" s="11"/>
      <c r="AA147" s="11"/>
      <c r="AB147" s="11"/>
      <c r="AC147" s="11"/>
      <c r="AD147" s="11"/>
    </row>
    <row r="148" ht="12.0" customHeight="1">
      <c r="A148" s="30" t="s">
        <v>81</v>
      </c>
      <c r="B148" s="46">
        <f t="shared" ref="B148:K148" si="63">ROUNDUP(B104/(B126*B$64*$B$50),0)</f>
        <v>1</v>
      </c>
      <c r="C148" s="46">
        <f t="shared" si="63"/>
        <v>1</v>
      </c>
      <c r="D148" s="46">
        <f t="shared" si="63"/>
        <v>1</v>
      </c>
      <c r="E148" s="46">
        <f t="shared" si="63"/>
        <v>1</v>
      </c>
      <c r="F148" s="46">
        <f t="shared" si="63"/>
        <v>1</v>
      </c>
      <c r="G148" s="46">
        <f t="shared" si="63"/>
        <v>2</v>
      </c>
      <c r="H148" s="46">
        <f t="shared" si="63"/>
        <v>1</v>
      </c>
      <c r="I148" s="46">
        <f t="shared" si="63"/>
        <v>1</v>
      </c>
      <c r="J148" s="46">
        <f t="shared" si="63"/>
        <v>2</v>
      </c>
      <c r="K148" s="46">
        <f t="shared" si="63"/>
        <v>2</v>
      </c>
      <c r="L148" s="11"/>
      <c r="M148" s="11"/>
      <c r="N148" s="11"/>
      <c r="O148" s="11"/>
      <c r="P148" s="11"/>
      <c r="Q148" s="11"/>
      <c r="R148" s="11"/>
      <c r="S148" s="11"/>
      <c r="T148" s="11"/>
      <c r="U148" s="11"/>
      <c r="V148" s="11"/>
      <c r="W148" s="11"/>
      <c r="X148" s="11"/>
      <c r="Y148" s="11"/>
      <c r="Z148" s="11"/>
      <c r="AA148" s="11"/>
      <c r="AB148" s="11"/>
      <c r="AC148" s="11"/>
      <c r="AD148" s="11"/>
    </row>
    <row r="149" ht="12.0" customHeight="1">
      <c r="A149" s="30" t="s">
        <v>82</v>
      </c>
      <c r="B149" s="46">
        <f t="shared" ref="B149:K149" si="64">ROUNDUP(B105/(B127*B$64*$B$50),0)</f>
        <v>1</v>
      </c>
      <c r="C149" s="46">
        <f t="shared" si="64"/>
        <v>1</v>
      </c>
      <c r="D149" s="46">
        <f t="shared" si="64"/>
        <v>1</v>
      </c>
      <c r="E149" s="46">
        <f t="shared" si="64"/>
        <v>1</v>
      </c>
      <c r="F149" s="46">
        <f t="shared" si="64"/>
        <v>1</v>
      </c>
      <c r="G149" s="46">
        <f t="shared" si="64"/>
        <v>1</v>
      </c>
      <c r="H149" s="46">
        <f t="shared" si="64"/>
        <v>1</v>
      </c>
      <c r="I149" s="46">
        <f t="shared" si="64"/>
        <v>1</v>
      </c>
      <c r="J149" s="46">
        <f t="shared" si="64"/>
        <v>1</v>
      </c>
      <c r="K149" s="46">
        <f t="shared" si="64"/>
        <v>1</v>
      </c>
      <c r="L149" s="11"/>
      <c r="M149" s="11"/>
      <c r="N149" s="11"/>
      <c r="O149" s="11"/>
      <c r="P149" s="11"/>
      <c r="Q149" s="11"/>
      <c r="R149" s="11"/>
      <c r="S149" s="11"/>
      <c r="T149" s="11"/>
      <c r="U149" s="11"/>
      <c r="V149" s="11"/>
      <c r="W149" s="11"/>
      <c r="X149" s="11"/>
      <c r="Y149" s="11"/>
      <c r="Z149" s="11"/>
      <c r="AA149" s="11"/>
      <c r="AB149" s="11"/>
      <c r="AC149" s="11"/>
      <c r="AD149" s="11"/>
    </row>
    <row r="150" ht="12.0" customHeight="1">
      <c r="A150" s="30" t="s">
        <v>83</v>
      </c>
      <c r="B150" s="46">
        <f t="shared" ref="B150:K150" si="65">ROUNDUP(B106/(B128*B$64*$B$50),0)</f>
        <v>1</v>
      </c>
      <c r="C150" s="46">
        <f t="shared" si="65"/>
        <v>1</v>
      </c>
      <c r="D150" s="46">
        <f t="shared" si="65"/>
        <v>1</v>
      </c>
      <c r="E150" s="46">
        <f t="shared" si="65"/>
        <v>1</v>
      </c>
      <c r="F150" s="46">
        <f t="shared" si="65"/>
        <v>1</v>
      </c>
      <c r="G150" s="46">
        <f t="shared" si="65"/>
        <v>1</v>
      </c>
      <c r="H150" s="46">
        <f t="shared" si="65"/>
        <v>1</v>
      </c>
      <c r="I150" s="46">
        <f t="shared" si="65"/>
        <v>1</v>
      </c>
      <c r="J150" s="46">
        <f t="shared" si="65"/>
        <v>1</v>
      </c>
      <c r="K150" s="46">
        <f t="shared" si="65"/>
        <v>1</v>
      </c>
      <c r="L150" s="11"/>
      <c r="M150" s="11"/>
      <c r="N150" s="11"/>
      <c r="O150" s="11"/>
      <c r="P150" s="11"/>
      <c r="Q150" s="11"/>
      <c r="R150" s="11"/>
      <c r="S150" s="11"/>
      <c r="T150" s="11"/>
      <c r="U150" s="11"/>
      <c r="V150" s="11"/>
      <c r="W150" s="11"/>
      <c r="X150" s="11"/>
      <c r="Y150" s="11"/>
      <c r="Z150" s="11"/>
      <c r="AA150" s="11"/>
      <c r="AB150" s="11"/>
      <c r="AC150" s="11"/>
      <c r="AD150" s="11"/>
    </row>
    <row r="151" ht="12.0" customHeight="1">
      <c r="A151" s="30" t="s">
        <v>84</v>
      </c>
      <c r="B151" s="46">
        <f t="shared" ref="B151:K151" si="66">ROUNDUP(B107/(B129*B$64*$B$50),0)</f>
        <v>1</v>
      </c>
      <c r="C151" s="46">
        <f t="shared" si="66"/>
        <v>1</v>
      </c>
      <c r="D151" s="46">
        <f t="shared" si="66"/>
        <v>1</v>
      </c>
      <c r="E151" s="46">
        <f t="shared" si="66"/>
        <v>1</v>
      </c>
      <c r="F151" s="46">
        <f t="shared" si="66"/>
        <v>2</v>
      </c>
      <c r="G151" s="46">
        <f t="shared" si="66"/>
        <v>3</v>
      </c>
      <c r="H151" s="46">
        <f t="shared" si="66"/>
        <v>2</v>
      </c>
      <c r="I151" s="46">
        <f t="shared" si="66"/>
        <v>2</v>
      </c>
      <c r="J151" s="46">
        <f t="shared" si="66"/>
        <v>3</v>
      </c>
      <c r="K151" s="46">
        <f t="shared" si="66"/>
        <v>3</v>
      </c>
      <c r="L151" s="11"/>
      <c r="M151" s="11"/>
      <c r="N151" s="11"/>
      <c r="O151" s="11"/>
      <c r="P151" s="11"/>
      <c r="Q151" s="11"/>
      <c r="R151" s="11"/>
      <c r="S151" s="11"/>
      <c r="T151" s="11"/>
      <c r="U151" s="11"/>
      <c r="V151" s="11"/>
      <c r="W151" s="11"/>
      <c r="X151" s="11"/>
      <c r="Y151" s="11"/>
      <c r="Z151" s="11"/>
      <c r="AA151" s="11"/>
      <c r="AB151" s="11"/>
      <c r="AC151" s="11"/>
      <c r="AD151" s="11"/>
    </row>
    <row r="152" ht="12.0" customHeight="1">
      <c r="A152" s="30" t="s">
        <v>85</v>
      </c>
      <c r="B152" s="46">
        <f t="shared" ref="B152:K152" si="67">ROUNDUP(B108/(B130*B$64*$B$50),0)</f>
        <v>1</v>
      </c>
      <c r="C152" s="46">
        <f t="shared" si="67"/>
        <v>1</v>
      </c>
      <c r="D152" s="46">
        <f t="shared" si="67"/>
        <v>1</v>
      </c>
      <c r="E152" s="46">
        <f t="shared" si="67"/>
        <v>1</v>
      </c>
      <c r="F152" s="46">
        <f t="shared" si="67"/>
        <v>1</v>
      </c>
      <c r="G152" s="46">
        <f t="shared" si="67"/>
        <v>2</v>
      </c>
      <c r="H152" s="46">
        <f t="shared" si="67"/>
        <v>1</v>
      </c>
      <c r="I152" s="46">
        <f t="shared" si="67"/>
        <v>1</v>
      </c>
      <c r="J152" s="46">
        <f t="shared" si="67"/>
        <v>2</v>
      </c>
      <c r="K152" s="46">
        <f t="shared" si="67"/>
        <v>2</v>
      </c>
      <c r="L152" s="11"/>
      <c r="M152" s="11"/>
      <c r="N152" s="11"/>
      <c r="O152" s="11"/>
      <c r="P152" s="11"/>
      <c r="Q152" s="11"/>
      <c r="R152" s="11"/>
      <c r="S152" s="11"/>
      <c r="T152" s="11"/>
      <c r="U152" s="11"/>
      <c r="V152" s="11"/>
      <c r="W152" s="11"/>
      <c r="X152" s="11"/>
      <c r="Y152" s="11"/>
      <c r="Z152" s="11"/>
      <c r="AA152" s="11"/>
      <c r="AB152" s="11"/>
      <c r="AC152" s="11"/>
      <c r="AD152" s="11"/>
    </row>
    <row r="153" ht="12.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2.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2.0" customHeight="1">
      <c r="A155" s="134" t="s">
        <v>593</v>
      </c>
      <c r="B155" s="16"/>
      <c r="C155" s="16"/>
      <c r="D155" s="16"/>
      <c r="E155" s="16"/>
      <c r="F155" s="16"/>
      <c r="G155" s="16"/>
      <c r="H155" s="16"/>
      <c r="I155" s="16"/>
      <c r="J155" s="16"/>
      <c r="K155" s="17"/>
      <c r="L155" s="11"/>
      <c r="M155" s="11"/>
      <c r="N155" s="11"/>
      <c r="O155" s="11"/>
      <c r="P155" s="11"/>
      <c r="Q155" s="11"/>
      <c r="R155" s="11"/>
      <c r="S155" s="11"/>
      <c r="T155" s="11"/>
      <c r="U155" s="11"/>
      <c r="V155" s="11"/>
      <c r="W155" s="11"/>
      <c r="X155" s="11"/>
      <c r="Y155" s="11"/>
      <c r="Z155" s="11"/>
      <c r="AA155" s="11"/>
      <c r="AB155" s="11"/>
      <c r="AC155" s="11"/>
      <c r="AD155" s="11"/>
    </row>
    <row r="156" ht="12.0" customHeight="1">
      <c r="A156" s="135" t="s">
        <v>22</v>
      </c>
      <c r="B156" s="135">
        <v>2026.0</v>
      </c>
      <c r="C156" s="135">
        <v>2027.0</v>
      </c>
      <c r="D156" s="135">
        <v>2028.0</v>
      </c>
      <c r="E156" s="135">
        <v>2029.0</v>
      </c>
      <c r="F156" s="135">
        <v>2030.0</v>
      </c>
      <c r="G156" s="135">
        <v>2031.0</v>
      </c>
      <c r="H156" s="135">
        <v>2032.0</v>
      </c>
      <c r="I156" s="135">
        <v>2033.0</v>
      </c>
      <c r="J156" s="135">
        <v>2034.0</v>
      </c>
      <c r="K156" s="135">
        <v>2035.0</v>
      </c>
      <c r="L156" s="11"/>
      <c r="M156" s="11"/>
      <c r="N156" s="11"/>
      <c r="O156" s="11"/>
      <c r="P156" s="11"/>
      <c r="Q156" s="11"/>
      <c r="R156" s="11"/>
      <c r="S156" s="11"/>
      <c r="T156" s="11"/>
      <c r="U156" s="11"/>
      <c r="V156" s="11"/>
      <c r="W156" s="11"/>
      <c r="X156" s="11"/>
      <c r="Y156" s="11"/>
      <c r="Z156" s="11"/>
      <c r="AA156" s="11"/>
      <c r="AB156" s="11"/>
      <c r="AC156" s="11"/>
      <c r="AD156" s="11"/>
    </row>
    <row r="157" ht="12.0" customHeight="1">
      <c r="A157" s="30" t="s">
        <v>596</v>
      </c>
      <c r="B157" s="87">
        <f>IFERROR(SUM(datos_base!B15:B18)/(SUM(datos_base!B15:B18)+SUM(datos_base!B3:B6)),0)</f>
        <v>0</v>
      </c>
      <c r="C157" s="87">
        <f>IFERROR(SUM(datos_base!C15:C18)/(SUM(datos_base!C15:C18)+SUM(datos_base!C3:C6)),0)</f>
        <v>0</v>
      </c>
      <c r="D157" s="87">
        <f>IFERROR(SUM(datos_base!D15:D18)/(SUM(datos_base!D15:D18)+SUM(datos_base!D3:D6)),0)</f>
        <v>0.4195536382</v>
      </c>
      <c r="E157" s="87">
        <f>IFERROR(SUM(datos_base!E15:E18)/(SUM(datos_base!E15:E18)+SUM(datos_base!E3:E6)),0)</f>
        <v>0.6594379903</v>
      </c>
      <c r="F157" s="87">
        <f>IFERROR(SUM(datos_base!F15:F18)/(SUM(datos_base!F15:F18)+SUM(datos_base!F3:F6)),0)</f>
        <v>0.6995119843</v>
      </c>
      <c r="G157" s="87">
        <f>IFERROR(SUM(datos_base!G15:G18)/(SUM(datos_base!G15:G18)+SUM(datos_base!G3:G6)),0)</f>
        <v>0.7218916227</v>
      </c>
      <c r="H157" s="87">
        <f>IFERROR(SUM(datos_base!H15:H18)/(SUM(datos_base!H15:H18)+SUM(datos_base!H3:H6)),0)</f>
        <v>0.7393474449</v>
      </c>
      <c r="I157" s="87">
        <f>IFERROR(SUM(datos_base!I15:I18)/(SUM(datos_base!I15:I18)+SUM(datos_base!I3:I6)),0)</f>
        <v>0.7476508589</v>
      </c>
      <c r="J157" s="87">
        <f>IFERROR(SUM(datos_base!J15:J18)/(SUM(datos_base!J15:J18)+SUM(datos_base!J3:J6)),0)</f>
        <v>0.7424626793</v>
      </c>
      <c r="K157" s="87">
        <f>IFERROR(SUM(datos_base!K15:K18)/(SUM(datos_base!K15:K18)+SUM(datos_base!K3:K6)),0)</f>
        <v>0.7463700556</v>
      </c>
      <c r="L157" s="11"/>
      <c r="M157" s="11"/>
      <c r="N157" s="11"/>
      <c r="O157" s="11"/>
      <c r="P157" s="11"/>
      <c r="Q157" s="11"/>
      <c r="R157" s="11"/>
      <c r="S157" s="11"/>
      <c r="T157" s="11"/>
      <c r="U157" s="11"/>
      <c r="V157" s="11"/>
      <c r="W157" s="11"/>
      <c r="X157" s="11"/>
      <c r="Y157" s="11"/>
      <c r="Z157" s="11"/>
      <c r="AA157" s="11"/>
      <c r="AB157" s="11"/>
      <c r="AC157" s="11"/>
      <c r="AD157" s="11"/>
    </row>
    <row r="158" ht="12.0" customHeight="1">
      <c r="A158" s="30" t="s">
        <v>606</v>
      </c>
      <c r="B158" s="87">
        <f>IFERROR(SUM(datos_base!B16:B18)/(SUM(datos_base!B16:B18)+SUM(datos_base!B4:B6)),0)</f>
        <v>0</v>
      </c>
      <c r="C158" s="87">
        <f>IFERROR(SUM(datos_base!C16:C18)/(SUM(datos_base!C16:C18)+SUM(datos_base!C4:C6)),0)</f>
        <v>0</v>
      </c>
      <c r="D158" s="87">
        <f>IFERROR(SUM(datos_base!D16:D18)/(SUM(datos_base!D16:D18)+SUM(datos_base!D4:D6)),0)</f>
        <v>0.2278434719</v>
      </c>
      <c r="E158" s="87">
        <f>IFERROR(SUM(datos_base!E16:E18)/(SUM(datos_base!E16:E18)+SUM(datos_base!E4:E6)),0)</f>
        <v>0.4285526229</v>
      </c>
      <c r="F158" s="87">
        <f>IFERROR(SUM(datos_base!F16:F18)/(SUM(datos_base!F16:F18)+SUM(datos_base!F4:F6)),0)</f>
        <v>0.4674886588</v>
      </c>
      <c r="G158" s="87">
        <f>IFERROR(SUM(datos_base!G16:G18)/(SUM(datos_base!G16:G18)+SUM(datos_base!G4:G6)),0)</f>
        <v>0.4827824262</v>
      </c>
      <c r="H158" s="87">
        <f>IFERROR(SUM(datos_base!H16:H18)/(SUM(datos_base!H16:H18)+SUM(datos_base!H4:H6)),0)</f>
        <v>0.5062365591</v>
      </c>
      <c r="I158" s="87">
        <f>IFERROR(SUM(datos_base!I16:I18)/(SUM(datos_base!I16:I18)+SUM(datos_base!I4:I6)),0)</f>
        <v>0.5168475711</v>
      </c>
      <c r="J158" s="87">
        <f>IFERROR(SUM(datos_base!J16:J18)/(SUM(datos_base!J16:J18)+SUM(datos_base!J4:J6)),0)</f>
        <v>0.5073176261</v>
      </c>
      <c r="K158" s="87">
        <f>IFERROR(SUM(datos_base!K16:K18)/(SUM(datos_base!K16:K18)+SUM(datos_base!K4:K6)),0)</f>
        <v>0.5096676959</v>
      </c>
      <c r="L158" s="11"/>
      <c r="M158" s="11"/>
      <c r="N158" s="11"/>
      <c r="O158" s="11"/>
      <c r="P158" s="11"/>
      <c r="Q158" s="11"/>
      <c r="R158" s="11"/>
      <c r="S158" s="11"/>
      <c r="T158" s="11"/>
      <c r="U158" s="11"/>
      <c r="V158" s="11"/>
      <c r="W158" s="11"/>
      <c r="X158" s="11"/>
      <c r="Y158" s="11"/>
      <c r="Z158" s="11"/>
      <c r="AA158" s="11"/>
      <c r="AB158" s="11"/>
      <c r="AC158" s="11"/>
      <c r="AD158" s="11"/>
    </row>
    <row r="159" ht="12.0" customHeight="1">
      <c r="A159" s="30" t="s">
        <v>613</v>
      </c>
      <c r="B159" s="87">
        <f>IFERROR(datos_base!B15/(datos_base!B15+datos_base!B3),0)</f>
        <v>0</v>
      </c>
      <c r="C159" s="87">
        <f>IFERROR(datos_base!C15/(datos_base!C15+datos_base!C3),0)</f>
        <v>0</v>
      </c>
      <c r="D159" s="87">
        <f>IFERROR(datos_base!D15/(datos_base!D15+datos_base!D3),0)</f>
        <v>0.5279040926</v>
      </c>
      <c r="E159" s="87">
        <f>IFERROR(datos_base!E15/(datos_base!E15+datos_base!E3),0)</f>
        <v>0.759200273</v>
      </c>
      <c r="F159" s="87">
        <f>IFERROR(datos_base!F15/(datos_base!F15+datos_base!F3),0)</f>
        <v>0.7958497006</v>
      </c>
      <c r="G159" s="87">
        <f>IFERROR(datos_base!G15/(datos_base!G15+datos_base!G3),0)</f>
        <v>0.8210767468</v>
      </c>
      <c r="H159" s="87">
        <f>IFERROR(datos_base!H15/(datos_base!H15+datos_base!H3),0)</f>
        <v>0.8328895245</v>
      </c>
      <c r="I159" s="87">
        <f>IFERROR(datos_base!I15/(datos_base!I15+datos_base!I3),0)</f>
        <v>0.8390346692</v>
      </c>
      <c r="J159" s="87">
        <f>IFERROR(datos_base!J15/(datos_base!J15+datos_base!J3),0)</f>
        <v>0.8370915601</v>
      </c>
      <c r="K159" s="87">
        <f>IFERROR(datos_base!K15/(datos_base!K15+datos_base!K3),0)</f>
        <v>0.8417093983</v>
      </c>
      <c r="L159" s="11"/>
      <c r="M159" s="11"/>
      <c r="N159" s="11"/>
      <c r="O159" s="11"/>
      <c r="P159" s="11"/>
      <c r="Q159" s="11"/>
      <c r="R159" s="11"/>
      <c r="S159" s="11"/>
      <c r="T159" s="11"/>
      <c r="U159" s="11"/>
      <c r="V159" s="11"/>
      <c r="W159" s="11"/>
      <c r="X159" s="11"/>
      <c r="Y159" s="11"/>
      <c r="Z159" s="11"/>
      <c r="AA159" s="11"/>
      <c r="AB159" s="11"/>
      <c r="AC159" s="11"/>
      <c r="AD159" s="11"/>
    </row>
    <row r="160" ht="12.0" customHeight="1">
      <c r="A160" s="30" t="s">
        <v>26</v>
      </c>
      <c r="B160" s="87">
        <f t="shared" ref="B160:K160" si="68">IF(ISNUMBER(B5),B5*B$157,B5)</f>
        <v>0</v>
      </c>
      <c r="C160" s="87">
        <f t="shared" si="68"/>
        <v>0</v>
      </c>
      <c r="D160" s="87">
        <f t="shared" si="68"/>
        <v>0.1087552956</v>
      </c>
      <c r="E160" s="87">
        <f t="shared" si="68"/>
        <v>0.38083643</v>
      </c>
      <c r="F160" s="87">
        <f t="shared" si="68"/>
        <v>0.3528739639</v>
      </c>
      <c r="G160" s="87">
        <f t="shared" si="68"/>
        <v>0.5116735974</v>
      </c>
      <c r="H160" s="87">
        <f t="shared" si="68"/>
        <v>0.3619111179</v>
      </c>
      <c r="I160" s="87">
        <f t="shared" si="68"/>
        <v>0.467942395</v>
      </c>
      <c r="J160" s="87">
        <f t="shared" si="68"/>
        <v>0.5242967541</v>
      </c>
      <c r="K160" s="87">
        <f t="shared" si="68"/>
        <v>0.6090204037</v>
      </c>
      <c r="L160" s="11"/>
      <c r="M160" s="11"/>
      <c r="N160" s="11"/>
      <c r="O160" s="11"/>
      <c r="P160" s="11"/>
      <c r="Q160" s="11"/>
      <c r="R160" s="11"/>
      <c r="S160" s="11"/>
      <c r="T160" s="11"/>
      <c r="U160" s="11"/>
      <c r="V160" s="11"/>
      <c r="W160" s="11"/>
      <c r="X160" s="11"/>
      <c r="Y160" s="11"/>
      <c r="Z160" s="11"/>
      <c r="AA160" s="11"/>
      <c r="AB160" s="11"/>
      <c r="AC160" s="11"/>
      <c r="AD160" s="11"/>
    </row>
    <row r="161" ht="12.0" customHeight="1">
      <c r="A161" s="30" t="s">
        <v>55</v>
      </c>
      <c r="B161" s="87">
        <f t="shared" ref="B161:K161" si="69">IF(ISNUMBER(B6),B6*B$157,B6)</f>
        <v>0</v>
      </c>
      <c r="C161" s="87">
        <f t="shared" si="69"/>
        <v>0</v>
      </c>
      <c r="D161" s="87">
        <f t="shared" si="69"/>
        <v>0.180904112</v>
      </c>
      <c r="E161" s="87">
        <f t="shared" si="69"/>
        <v>0.2871253679</v>
      </c>
      <c r="F161" s="87">
        <f t="shared" si="69"/>
        <v>0.5320870523</v>
      </c>
      <c r="G161" s="87">
        <f t="shared" si="69"/>
        <v>0.3857679001</v>
      </c>
      <c r="H161" s="87">
        <f t="shared" si="69"/>
        <v>0.5457138797</v>
      </c>
      <c r="I161" s="87">
        <f t="shared" si="69"/>
        <v>0.3527974787</v>
      </c>
      <c r="J161" s="87">
        <f t="shared" si="69"/>
        <v>0.3952849217</v>
      </c>
      <c r="K161" s="87">
        <f t="shared" si="69"/>
        <v>0.459160925</v>
      </c>
      <c r="L161" s="11"/>
      <c r="M161" s="11"/>
      <c r="N161" s="11"/>
      <c r="O161" s="11"/>
      <c r="P161" s="11"/>
      <c r="Q161" s="11"/>
      <c r="R161" s="11"/>
      <c r="S161" s="11"/>
      <c r="T161" s="11"/>
      <c r="U161" s="11"/>
      <c r="V161" s="11"/>
      <c r="W161" s="11"/>
      <c r="X161" s="11"/>
      <c r="Y161" s="11"/>
      <c r="Z161" s="11"/>
      <c r="AA161" s="11"/>
      <c r="AB161" s="11"/>
      <c r="AC161" s="11"/>
      <c r="AD161" s="11"/>
    </row>
    <row r="162" ht="12.0" customHeight="1">
      <c r="A162" s="30" t="s">
        <v>61</v>
      </c>
      <c r="B162" s="87">
        <f t="shared" ref="B162:K162" si="70">IF(ISNUMBER(B7),B7*B$157,B7)</f>
        <v>0</v>
      </c>
      <c r="C162" s="87">
        <f t="shared" si="70"/>
        <v>0</v>
      </c>
      <c r="D162" s="87">
        <f t="shared" si="70"/>
        <v>0.03170493363</v>
      </c>
      <c r="E162" s="87">
        <f t="shared" si="70"/>
        <v>0.1110235016</v>
      </c>
      <c r="F162" s="87">
        <f t="shared" si="70"/>
        <v>0.2057434637</v>
      </c>
      <c r="G162" s="87">
        <f t="shared" si="70"/>
        <v>0.2983317246</v>
      </c>
      <c r="H162" s="87">
        <f t="shared" si="70"/>
        <v>0.422025168</v>
      </c>
      <c r="I162" s="87">
        <f t="shared" si="70"/>
        <v>0.5456684199</v>
      </c>
      <c r="J162" s="87">
        <f t="shared" si="70"/>
        <v>0.6113833336</v>
      </c>
      <c r="K162" s="87">
        <f t="shared" si="70"/>
        <v>0.3550898625</v>
      </c>
      <c r="L162" s="11"/>
      <c r="M162" s="11"/>
      <c r="N162" s="11"/>
      <c r="O162" s="11"/>
      <c r="P162" s="11"/>
      <c r="Q162" s="11"/>
      <c r="R162" s="11"/>
      <c r="S162" s="11"/>
      <c r="T162" s="11"/>
      <c r="U162" s="11"/>
      <c r="V162" s="11"/>
      <c r="W162" s="11"/>
      <c r="X162" s="11"/>
      <c r="Y162" s="11"/>
      <c r="Z162" s="11"/>
      <c r="AA162" s="11"/>
      <c r="AB162" s="11"/>
      <c r="AC162" s="11"/>
      <c r="AD162" s="11"/>
    </row>
    <row r="163" ht="12.0" customHeight="1">
      <c r="A163" s="30" t="s">
        <v>62</v>
      </c>
      <c r="B163" s="87">
        <f t="shared" ref="B163:K163" si="71">IF(ISNUMBER(B8),B8*B$157,B8)</f>
        <v>0</v>
      </c>
      <c r="C163" s="87">
        <f t="shared" si="71"/>
        <v>0</v>
      </c>
      <c r="D163" s="87">
        <f t="shared" si="71"/>
        <v>0.07703500105</v>
      </c>
      <c r="E163" s="87">
        <f t="shared" si="71"/>
        <v>0.2697591379</v>
      </c>
      <c r="F163" s="87">
        <f t="shared" si="71"/>
        <v>0.4999047822</v>
      </c>
      <c r="G163" s="87">
        <f t="shared" si="71"/>
        <v>0.3624354648</v>
      </c>
      <c r="H163" s="87">
        <f t="shared" si="71"/>
        <v>0.512707417</v>
      </c>
      <c r="I163" s="87">
        <f t="shared" si="71"/>
        <v>0.6629183929</v>
      </c>
      <c r="J163" s="87">
        <f t="shared" si="71"/>
        <v>0.3713768675</v>
      </c>
      <c r="K163" s="87">
        <f t="shared" si="71"/>
        <v>0.4313894526</v>
      </c>
      <c r="L163" s="11"/>
      <c r="M163" s="11"/>
      <c r="N163" s="11"/>
      <c r="O163" s="11"/>
      <c r="P163" s="11"/>
      <c r="Q163" s="11"/>
      <c r="R163" s="11"/>
      <c r="S163" s="11"/>
      <c r="T163" s="11"/>
      <c r="U163" s="11"/>
      <c r="V163" s="11"/>
      <c r="W163" s="11"/>
      <c r="X163" s="11"/>
      <c r="Y163" s="11"/>
      <c r="Z163" s="11"/>
      <c r="AA163" s="11"/>
      <c r="AB163" s="11"/>
      <c r="AC163" s="11"/>
      <c r="AD163" s="11"/>
    </row>
    <row r="164" ht="12.0" customHeight="1">
      <c r="A164" s="30" t="s">
        <v>63</v>
      </c>
      <c r="B164" s="87">
        <f t="shared" ref="B164:K164" si="72">IF(ISNUMBER(B9),B9*B$158,B9)</f>
        <v>0</v>
      </c>
      <c r="C164" s="87">
        <f t="shared" si="72"/>
        <v>0</v>
      </c>
      <c r="D164" s="87">
        <f t="shared" si="72"/>
        <v>0.01711084954</v>
      </c>
      <c r="E164" s="87">
        <f t="shared" si="72"/>
        <v>0.05960874336</v>
      </c>
      <c r="F164" s="87">
        <f t="shared" si="72"/>
        <v>0.1103828319</v>
      </c>
      <c r="G164" s="87">
        <f t="shared" si="72"/>
        <v>0.1600583106</v>
      </c>
      <c r="H164" s="87">
        <f t="shared" si="72"/>
        <v>0.2262861787</v>
      </c>
      <c r="I164" s="87">
        <f t="shared" si="72"/>
        <v>0.2925140469</v>
      </c>
      <c r="J164" s="87">
        <f t="shared" si="72"/>
        <v>0.3278252008</v>
      </c>
      <c r="K164" s="87">
        <f t="shared" si="72"/>
        <v>0.3808056643</v>
      </c>
      <c r="L164" s="11"/>
      <c r="M164" s="11"/>
      <c r="N164" s="11"/>
      <c r="O164" s="11"/>
      <c r="P164" s="11"/>
      <c r="Q164" s="11"/>
      <c r="R164" s="11"/>
      <c r="S164" s="11"/>
      <c r="T164" s="11"/>
      <c r="U164" s="11"/>
      <c r="V164" s="11"/>
      <c r="W164" s="11"/>
      <c r="X164" s="11"/>
      <c r="Y164" s="11"/>
      <c r="Z164" s="11"/>
      <c r="AA164" s="11"/>
      <c r="AB164" s="11"/>
      <c r="AC164" s="11"/>
      <c r="AD164" s="11"/>
    </row>
    <row r="165" ht="12.0" customHeight="1">
      <c r="A165" s="30" t="s">
        <v>64</v>
      </c>
      <c r="B165" s="87">
        <f t="shared" ref="B165:K165" si="73">IF(ISNUMBER(B10),B10*B$158,B10)</f>
        <v>0</v>
      </c>
      <c r="C165" s="87">
        <f t="shared" si="73"/>
        <v>0</v>
      </c>
      <c r="D165" s="87">
        <f t="shared" si="73"/>
        <v>0.02422582014</v>
      </c>
      <c r="E165" s="87">
        <f t="shared" si="73"/>
        <v>0.08439503205</v>
      </c>
      <c r="F165" s="87">
        <f t="shared" si="73"/>
        <v>0.1562818156</v>
      </c>
      <c r="G165" s="87">
        <f t="shared" si="73"/>
        <v>0.2266131693</v>
      </c>
      <c r="H165" s="87">
        <f t="shared" si="73"/>
        <v>0.3203796663</v>
      </c>
      <c r="I165" s="87">
        <f t="shared" si="73"/>
        <v>0.4141461633</v>
      </c>
      <c r="J165" s="87">
        <f t="shared" si="73"/>
        <v>0.2320701357</v>
      </c>
      <c r="K165" s="87">
        <f t="shared" si="73"/>
        <v>0.2695754383</v>
      </c>
      <c r="L165" s="11"/>
      <c r="M165" s="11"/>
      <c r="N165" s="11"/>
      <c r="O165" s="11"/>
      <c r="P165" s="11"/>
      <c r="Q165" s="11"/>
      <c r="R165" s="11"/>
      <c r="S165" s="11"/>
      <c r="T165" s="11"/>
      <c r="U165" s="11"/>
      <c r="V165" s="11"/>
      <c r="W165" s="11"/>
      <c r="X165" s="11"/>
      <c r="Y165" s="11"/>
      <c r="Z165" s="11"/>
      <c r="AA165" s="11"/>
      <c r="AB165" s="11"/>
      <c r="AC165" s="11"/>
      <c r="AD165" s="11"/>
    </row>
    <row r="166" ht="12.0" customHeight="1">
      <c r="A166" s="30" t="s">
        <v>66</v>
      </c>
      <c r="B166" s="87">
        <f t="shared" ref="B166:K166" si="74">IF(ISNUMBER(B11),B11*B$157,B11)</f>
        <v>0</v>
      </c>
      <c r="C166" s="87">
        <f t="shared" si="74"/>
        <v>0</v>
      </c>
      <c r="D166" s="87">
        <f t="shared" si="74"/>
        <v>0.1219229771</v>
      </c>
      <c r="E166" s="87">
        <f t="shared" si="74"/>
        <v>0.4269466704</v>
      </c>
      <c r="F166" s="87">
        <f t="shared" si="74"/>
        <v>0.3955986143</v>
      </c>
      <c r="G166" s="87">
        <f t="shared" si="74"/>
        <v>0.5736251092</v>
      </c>
      <c r="H166" s="87">
        <f t="shared" si="74"/>
        <v>0.4057299528</v>
      </c>
      <c r="I166" s="87">
        <f t="shared" si="74"/>
        <v>0.5245990975</v>
      </c>
      <c r="J166" s="87">
        <f t="shared" si="74"/>
        <v>0.5877766302</v>
      </c>
      <c r="K166" s="87">
        <f t="shared" si="74"/>
        <v>0.4551722001</v>
      </c>
      <c r="L166" s="11"/>
      <c r="M166" s="11"/>
      <c r="N166" s="11"/>
      <c r="O166" s="11"/>
      <c r="P166" s="11"/>
      <c r="Q166" s="11"/>
      <c r="R166" s="11"/>
      <c r="S166" s="11"/>
      <c r="T166" s="11"/>
      <c r="U166" s="11"/>
      <c r="V166" s="11"/>
      <c r="W166" s="11"/>
      <c r="X166" s="11"/>
      <c r="Y166" s="11"/>
      <c r="Z166" s="11"/>
      <c r="AA166" s="11"/>
      <c r="AB166" s="11"/>
      <c r="AC166" s="11"/>
      <c r="AD166" s="11"/>
    </row>
    <row r="167" ht="12.0" customHeight="1">
      <c r="A167" s="30" t="s">
        <v>67</v>
      </c>
      <c r="B167" s="87">
        <f t="shared" ref="B167:K167" si="75">IF(ISNUMBER(B12),B12*B$157,B12)</f>
        <v>0</v>
      </c>
      <c r="C167" s="87">
        <f t="shared" si="75"/>
        <v>0</v>
      </c>
      <c r="D167" s="87">
        <f t="shared" si="75"/>
        <v>0.03945770362</v>
      </c>
      <c r="E167" s="87">
        <f t="shared" si="75"/>
        <v>0.1381719474</v>
      </c>
      <c r="F167" s="87">
        <f t="shared" si="75"/>
        <v>0.25605367</v>
      </c>
      <c r="G167" s="87">
        <f t="shared" si="75"/>
        <v>0.3712824289</v>
      </c>
      <c r="H167" s="87">
        <f t="shared" si="75"/>
        <v>0.525222484</v>
      </c>
      <c r="I167" s="87">
        <f t="shared" si="75"/>
        <v>0.3395500372</v>
      </c>
      <c r="J167" s="87">
        <f t="shared" si="75"/>
        <v>0.3804420891</v>
      </c>
      <c r="K167" s="87">
        <f t="shared" si="75"/>
        <v>0.4419195673</v>
      </c>
      <c r="L167" s="11"/>
      <c r="M167" s="11"/>
      <c r="N167" s="11"/>
      <c r="O167" s="11"/>
      <c r="P167" s="11"/>
      <c r="Q167" s="11"/>
      <c r="R167" s="11"/>
      <c r="S167" s="11"/>
      <c r="T167" s="11"/>
      <c r="U167" s="11"/>
      <c r="V167" s="11"/>
      <c r="W167" s="11"/>
      <c r="X167" s="11"/>
      <c r="Y167" s="11"/>
      <c r="Z167" s="11"/>
      <c r="AA167" s="11"/>
      <c r="AB167" s="11"/>
      <c r="AC167" s="11"/>
      <c r="AD167" s="11"/>
    </row>
    <row r="168" ht="12.0" customHeight="1">
      <c r="A168" s="30" t="s">
        <v>68</v>
      </c>
      <c r="B168" s="87">
        <f t="shared" ref="B168:K168" si="76">IF(ISNUMBER(B13),B13*B$157,B13)</f>
        <v>0</v>
      </c>
      <c r="C168" s="87">
        <f t="shared" si="76"/>
        <v>0</v>
      </c>
      <c r="D168" s="87">
        <f t="shared" si="76"/>
        <v>0.1161915551</v>
      </c>
      <c r="E168" s="87">
        <f t="shared" si="76"/>
        <v>0.4068765278</v>
      </c>
      <c r="F168" s="87">
        <f t="shared" si="76"/>
        <v>0.3770020982</v>
      </c>
      <c r="G168" s="87">
        <f t="shared" si="76"/>
        <v>0.5466598263</v>
      </c>
      <c r="H168" s="87">
        <f t="shared" si="76"/>
        <v>0.3866571772</v>
      </c>
      <c r="I168" s="87">
        <f t="shared" si="76"/>
        <v>0.4999384562</v>
      </c>
      <c r="J168" s="87">
        <f t="shared" si="76"/>
        <v>0.5601461048</v>
      </c>
      <c r="K168" s="87">
        <f t="shared" si="76"/>
        <v>0.6506628244</v>
      </c>
      <c r="L168" s="11"/>
      <c r="M168" s="11"/>
      <c r="N168" s="11"/>
      <c r="O168" s="11"/>
      <c r="P168" s="11"/>
      <c r="Q168" s="11"/>
      <c r="R168" s="11"/>
      <c r="S168" s="11"/>
      <c r="T168" s="11"/>
      <c r="U168" s="11"/>
      <c r="V168" s="11"/>
      <c r="W168" s="11"/>
      <c r="X168" s="11"/>
      <c r="Y168" s="11"/>
      <c r="Z168" s="11"/>
      <c r="AA168" s="11"/>
      <c r="AB168" s="11"/>
      <c r="AC168" s="11"/>
      <c r="AD168" s="11"/>
    </row>
    <row r="169" ht="12.0" customHeight="1">
      <c r="A169" s="30" t="s">
        <v>70</v>
      </c>
      <c r="B169" s="87">
        <f t="shared" ref="B169:K169" si="77">IF(ISNUMBER(B14),B14*B$157,B14)</f>
        <v>0</v>
      </c>
      <c r="C169" s="87">
        <f t="shared" si="77"/>
        <v>0</v>
      </c>
      <c r="D169" s="87">
        <f t="shared" si="77"/>
        <v>0.3291920382</v>
      </c>
      <c r="E169" s="87">
        <f t="shared" si="77"/>
        <v>0.2988626693</v>
      </c>
      <c r="F169" s="87">
        <f t="shared" si="77"/>
        <v>0.55383806</v>
      </c>
      <c r="G169" s="87">
        <f t="shared" si="77"/>
        <v>0.4015375764</v>
      </c>
      <c r="H169" s="87">
        <f t="shared" si="77"/>
        <v>0.5680219339</v>
      </c>
      <c r="I169" s="87">
        <f t="shared" si="77"/>
        <v>0.3672193683</v>
      </c>
      <c r="J169" s="87">
        <f t="shared" si="77"/>
        <v>0.4114436411</v>
      </c>
      <c r="K169" s="87">
        <f t="shared" si="77"/>
        <v>0.4779308101</v>
      </c>
      <c r="L169" s="11"/>
      <c r="M169" s="11"/>
      <c r="N169" s="11"/>
      <c r="O169" s="11"/>
      <c r="P169" s="11"/>
      <c r="Q169" s="11"/>
      <c r="R169" s="11"/>
      <c r="S169" s="11"/>
      <c r="T169" s="11"/>
      <c r="U169" s="11"/>
      <c r="V169" s="11"/>
      <c r="W169" s="11"/>
      <c r="X169" s="11"/>
      <c r="Y169" s="11"/>
      <c r="Z169" s="11"/>
      <c r="AA169" s="11"/>
      <c r="AB169" s="11"/>
      <c r="AC169" s="11"/>
      <c r="AD169" s="11"/>
    </row>
    <row r="170" ht="12.0" customHeight="1">
      <c r="A170" s="30" t="s">
        <v>72</v>
      </c>
      <c r="B170" s="87">
        <f t="shared" ref="B170:K170" si="78">IF(ISNUMBER(B15),B15*B$158,B15)</f>
        <v>0</v>
      </c>
      <c r="C170" s="87">
        <f t="shared" si="78"/>
        <v>0</v>
      </c>
      <c r="D170" s="87">
        <f t="shared" si="78"/>
        <v>0.01926006536</v>
      </c>
      <c r="E170" s="87">
        <f t="shared" si="78"/>
        <v>0.06709592593</v>
      </c>
      <c r="F170" s="87">
        <f t="shared" si="78"/>
        <v>0.1242475163</v>
      </c>
      <c r="G170" s="87">
        <f t="shared" si="78"/>
        <v>0.1801625054</v>
      </c>
      <c r="H170" s="87">
        <f t="shared" si="78"/>
        <v>0.2547089542</v>
      </c>
      <c r="I170" s="87">
        <f t="shared" si="78"/>
        <v>0.3292554031</v>
      </c>
      <c r="J170" s="87">
        <f t="shared" si="78"/>
        <v>0.3690018301</v>
      </c>
      <c r="K170" s="87">
        <f t="shared" si="78"/>
        <v>0.4286369281</v>
      </c>
      <c r="L170" s="11"/>
      <c r="M170" s="11"/>
      <c r="N170" s="11"/>
      <c r="O170" s="11"/>
      <c r="P170" s="11"/>
      <c r="Q170" s="11"/>
      <c r="R170" s="11"/>
      <c r="S170" s="11"/>
      <c r="T170" s="11"/>
      <c r="U170" s="11"/>
      <c r="V170" s="11"/>
      <c r="W170" s="11"/>
      <c r="X170" s="11"/>
      <c r="Y170" s="11"/>
      <c r="Z170" s="11"/>
      <c r="AA170" s="11"/>
      <c r="AB170" s="11"/>
      <c r="AC170" s="11"/>
      <c r="AD170" s="11"/>
    </row>
    <row r="171" ht="12.0" customHeight="1">
      <c r="A171" s="30" t="s">
        <v>74</v>
      </c>
      <c r="B171" s="87">
        <f t="shared" ref="B171:K171" si="79">IF(ISNUMBER(B16),B16*B$157,B16)</f>
        <v>0</v>
      </c>
      <c r="C171" s="87">
        <f t="shared" si="79"/>
        <v>0</v>
      </c>
      <c r="D171" s="87">
        <f t="shared" si="79"/>
        <v>0.03851750052</v>
      </c>
      <c r="E171" s="87">
        <f t="shared" si="79"/>
        <v>0.134879569</v>
      </c>
      <c r="F171" s="87">
        <f t="shared" si="79"/>
        <v>0.2499523911</v>
      </c>
      <c r="G171" s="87">
        <f t="shared" si="79"/>
        <v>0.3624354648</v>
      </c>
      <c r="H171" s="87">
        <f t="shared" si="79"/>
        <v>0.512707417</v>
      </c>
      <c r="I171" s="87">
        <f t="shared" si="79"/>
        <v>0.6629183929</v>
      </c>
      <c r="J171" s="87">
        <f t="shared" si="79"/>
        <v>0.3713768675</v>
      </c>
      <c r="K171" s="87">
        <f t="shared" si="79"/>
        <v>0.4313894526</v>
      </c>
      <c r="L171" s="11"/>
      <c r="M171" s="11"/>
      <c r="N171" s="11"/>
      <c r="O171" s="11"/>
      <c r="P171" s="11"/>
      <c r="Q171" s="11"/>
      <c r="R171" s="11"/>
      <c r="S171" s="11"/>
      <c r="T171" s="11"/>
      <c r="U171" s="11"/>
      <c r="V171" s="11"/>
      <c r="W171" s="11"/>
      <c r="X171" s="11"/>
      <c r="Y171" s="11"/>
      <c r="Z171" s="11"/>
      <c r="AA171" s="11"/>
      <c r="AB171" s="11"/>
      <c r="AC171" s="11"/>
      <c r="AD171" s="11"/>
    </row>
    <row r="172" ht="12.0" customHeight="1">
      <c r="A172" s="30" t="s">
        <v>76</v>
      </c>
      <c r="B172" s="87">
        <f t="shared" ref="B172:K172" si="80">IF(ISNUMBER(B17),B17*B$157,B17)</f>
        <v>0</v>
      </c>
      <c r="C172" s="87">
        <f t="shared" si="80"/>
        <v>0</v>
      </c>
      <c r="D172" s="87">
        <f t="shared" si="80"/>
        <v>0.01802723834</v>
      </c>
      <c r="E172" s="87">
        <f t="shared" si="80"/>
        <v>0.06312730847</v>
      </c>
      <c r="F172" s="87">
        <f t="shared" si="80"/>
        <v>0.1169845205</v>
      </c>
      <c r="G172" s="87">
        <f t="shared" si="80"/>
        <v>0.1696296597</v>
      </c>
      <c r="H172" s="87">
        <f t="shared" si="80"/>
        <v>0.2399610224</v>
      </c>
      <c r="I172" s="87">
        <f t="shared" si="80"/>
        <v>0.3102638465</v>
      </c>
      <c r="J172" s="87">
        <f t="shared" si="80"/>
        <v>0.347628959</v>
      </c>
      <c r="K172" s="87">
        <f t="shared" si="80"/>
        <v>0.4038040046</v>
      </c>
      <c r="L172" s="11"/>
      <c r="M172" s="11"/>
      <c r="N172" s="11"/>
      <c r="O172" s="11"/>
      <c r="P172" s="11"/>
      <c r="Q172" s="11"/>
      <c r="R172" s="11"/>
      <c r="S172" s="11"/>
      <c r="T172" s="11"/>
      <c r="U172" s="11"/>
      <c r="V172" s="11"/>
      <c r="W172" s="11"/>
      <c r="X172" s="11"/>
      <c r="Y172" s="11"/>
      <c r="Z172" s="11"/>
      <c r="AA172" s="11"/>
      <c r="AB172" s="11"/>
      <c r="AC172" s="11"/>
      <c r="AD172" s="11"/>
    </row>
    <row r="173" ht="12.0" customHeight="1">
      <c r="A173" s="30" t="s">
        <v>77</v>
      </c>
      <c r="B173" s="87" t="str">
        <f t="shared" ref="B173:K173" si="81">IF(ISNUMBER(B18),B18*B$157,B18)</f>
        <v>Tercerizado</v>
      </c>
      <c r="C173" s="87" t="str">
        <f t="shared" si="81"/>
        <v>Tercerizado</v>
      </c>
      <c r="D173" s="87" t="str">
        <f t="shared" si="81"/>
        <v>Tercerizado</v>
      </c>
      <c r="E173" s="87">
        <f t="shared" si="81"/>
        <v>0.1903863991</v>
      </c>
      <c r="F173" s="87">
        <f t="shared" si="81"/>
        <v>0.3528150042</v>
      </c>
      <c r="G173" s="87">
        <f t="shared" si="81"/>
        <v>0.5115881047</v>
      </c>
      <c r="H173" s="87">
        <f t="shared" si="81"/>
        <v>0.3618506482</v>
      </c>
      <c r="I173" s="87">
        <f t="shared" si="81"/>
        <v>0.4678642091</v>
      </c>
      <c r="J173" s="87">
        <f t="shared" si="81"/>
        <v>0.5242091523</v>
      </c>
      <c r="K173" s="87">
        <f t="shared" si="81"/>
        <v>0.6089186459</v>
      </c>
      <c r="L173" s="11"/>
      <c r="M173" s="11"/>
      <c r="N173" s="11"/>
      <c r="O173" s="11"/>
      <c r="P173" s="11"/>
      <c r="Q173" s="11"/>
      <c r="R173" s="11"/>
      <c r="S173" s="11"/>
      <c r="T173" s="11"/>
      <c r="U173" s="11"/>
      <c r="V173" s="11"/>
      <c r="W173" s="11"/>
      <c r="X173" s="11"/>
      <c r="Y173" s="11"/>
      <c r="Z173" s="11"/>
      <c r="AA173" s="11"/>
      <c r="AB173" s="11"/>
      <c r="AC173" s="11"/>
      <c r="AD173" s="11"/>
    </row>
    <row r="174" ht="12.0" customHeight="1">
      <c r="A174" s="30" t="s">
        <v>79</v>
      </c>
      <c r="B174" s="87">
        <f t="shared" ref="B174:K174" si="82">0</f>
        <v>0</v>
      </c>
      <c r="C174" s="87">
        <f t="shared" si="82"/>
        <v>0</v>
      </c>
      <c r="D174" s="87">
        <f t="shared" si="82"/>
        <v>0</v>
      </c>
      <c r="E174" s="87">
        <f t="shared" si="82"/>
        <v>0</v>
      </c>
      <c r="F174" s="87">
        <f t="shared" si="82"/>
        <v>0</v>
      </c>
      <c r="G174" s="87">
        <f t="shared" si="82"/>
        <v>0</v>
      </c>
      <c r="H174" s="87">
        <f t="shared" si="82"/>
        <v>0</v>
      </c>
      <c r="I174" s="87">
        <f t="shared" si="82"/>
        <v>0</v>
      </c>
      <c r="J174" s="87">
        <f t="shared" si="82"/>
        <v>0</v>
      </c>
      <c r="K174" s="87">
        <f t="shared" si="82"/>
        <v>0</v>
      </c>
      <c r="L174" s="139" t="s">
        <v>626</v>
      </c>
      <c r="M174" s="11"/>
      <c r="N174" s="11"/>
      <c r="O174" s="11"/>
      <c r="P174" s="11"/>
      <c r="Q174" s="11"/>
      <c r="R174" s="11"/>
      <c r="S174" s="11"/>
      <c r="T174" s="11"/>
      <c r="U174" s="11"/>
      <c r="V174" s="11"/>
      <c r="W174" s="11"/>
      <c r="X174" s="11"/>
      <c r="Y174" s="11"/>
      <c r="Z174" s="11"/>
      <c r="AA174" s="11"/>
      <c r="AB174" s="11"/>
      <c r="AC174" s="11"/>
      <c r="AD174" s="11"/>
    </row>
    <row r="175" ht="12.0" customHeight="1">
      <c r="A175" s="30" t="s">
        <v>81</v>
      </c>
      <c r="B175" s="87">
        <f t="shared" ref="B175:K175" si="83">0</f>
        <v>0</v>
      </c>
      <c r="C175" s="87">
        <f t="shared" si="83"/>
        <v>0</v>
      </c>
      <c r="D175" s="87">
        <f t="shared" si="83"/>
        <v>0</v>
      </c>
      <c r="E175" s="87">
        <f t="shared" si="83"/>
        <v>0</v>
      </c>
      <c r="F175" s="87">
        <f t="shared" si="83"/>
        <v>0</v>
      </c>
      <c r="G175" s="87">
        <f t="shared" si="83"/>
        <v>0</v>
      </c>
      <c r="H175" s="87">
        <f t="shared" si="83"/>
        <v>0</v>
      </c>
      <c r="I175" s="87">
        <f t="shared" si="83"/>
        <v>0</v>
      </c>
      <c r="J175" s="87">
        <f t="shared" si="83"/>
        <v>0</v>
      </c>
      <c r="K175" s="87">
        <f t="shared" si="83"/>
        <v>0</v>
      </c>
      <c r="L175" s="139" t="s">
        <v>626</v>
      </c>
      <c r="M175" s="11"/>
      <c r="N175" s="11"/>
      <c r="O175" s="11"/>
      <c r="P175" s="11"/>
      <c r="Q175" s="11"/>
      <c r="R175" s="11"/>
      <c r="S175" s="11"/>
      <c r="T175" s="11"/>
      <c r="U175" s="11"/>
      <c r="V175" s="11"/>
      <c r="W175" s="11"/>
      <c r="X175" s="11"/>
      <c r="Y175" s="11"/>
      <c r="Z175" s="11"/>
      <c r="AA175" s="11"/>
      <c r="AB175" s="11"/>
      <c r="AC175" s="11"/>
      <c r="AD175" s="11"/>
    </row>
    <row r="176" ht="12.0" customHeight="1">
      <c r="A176" s="30" t="s">
        <v>82</v>
      </c>
      <c r="B176" s="87">
        <f t="shared" ref="B176:K176" si="84">0</f>
        <v>0</v>
      </c>
      <c r="C176" s="87">
        <f t="shared" si="84"/>
        <v>0</v>
      </c>
      <c r="D176" s="87">
        <f t="shared" si="84"/>
        <v>0</v>
      </c>
      <c r="E176" s="87">
        <f t="shared" si="84"/>
        <v>0</v>
      </c>
      <c r="F176" s="87">
        <f t="shared" si="84"/>
        <v>0</v>
      </c>
      <c r="G176" s="87">
        <f t="shared" si="84"/>
        <v>0</v>
      </c>
      <c r="H176" s="87">
        <f t="shared" si="84"/>
        <v>0</v>
      </c>
      <c r="I176" s="87">
        <f t="shared" si="84"/>
        <v>0</v>
      </c>
      <c r="J176" s="87">
        <f t="shared" si="84"/>
        <v>0</v>
      </c>
      <c r="K176" s="87">
        <f t="shared" si="84"/>
        <v>0</v>
      </c>
      <c r="L176" s="139" t="s">
        <v>626</v>
      </c>
      <c r="M176" s="11"/>
      <c r="N176" s="11"/>
      <c r="O176" s="11"/>
      <c r="P176" s="11"/>
      <c r="Q176" s="11"/>
      <c r="R176" s="11"/>
      <c r="S176" s="11"/>
      <c r="T176" s="11"/>
      <c r="U176" s="11"/>
      <c r="V176" s="11"/>
      <c r="W176" s="11"/>
      <c r="X176" s="11"/>
      <c r="Y176" s="11"/>
      <c r="Z176" s="11"/>
      <c r="AA176" s="11"/>
      <c r="AB176" s="11"/>
      <c r="AC176" s="11"/>
      <c r="AD176" s="11"/>
    </row>
    <row r="177" ht="12.0" customHeight="1">
      <c r="A177" s="30" t="s">
        <v>83</v>
      </c>
      <c r="B177" s="87">
        <f t="shared" ref="B177:K177" si="85">0</f>
        <v>0</v>
      </c>
      <c r="C177" s="87">
        <f t="shared" si="85"/>
        <v>0</v>
      </c>
      <c r="D177" s="87">
        <f t="shared" si="85"/>
        <v>0</v>
      </c>
      <c r="E177" s="87">
        <f t="shared" si="85"/>
        <v>0</v>
      </c>
      <c r="F177" s="87">
        <f t="shared" si="85"/>
        <v>0</v>
      </c>
      <c r="G177" s="87">
        <f t="shared" si="85"/>
        <v>0</v>
      </c>
      <c r="H177" s="87">
        <f t="shared" si="85"/>
        <v>0</v>
      </c>
      <c r="I177" s="87">
        <f t="shared" si="85"/>
        <v>0</v>
      </c>
      <c r="J177" s="87">
        <f t="shared" si="85"/>
        <v>0</v>
      </c>
      <c r="K177" s="87">
        <f t="shared" si="85"/>
        <v>0</v>
      </c>
      <c r="L177" s="139" t="s">
        <v>626</v>
      </c>
      <c r="M177" s="11"/>
      <c r="N177" s="11"/>
      <c r="O177" s="11"/>
      <c r="P177" s="11"/>
      <c r="Q177" s="11"/>
      <c r="R177" s="11"/>
      <c r="S177" s="11"/>
      <c r="T177" s="11"/>
      <c r="U177" s="11"/>
      <c r="V177" s="11"/>
      <c r="W177" s="11"/>
      <c r="X177" s="11"/>
      <c r="Y177" s="11"/>
      <c r="Z177" s="11"/>
      <c r="AA177" s="11"/>
      <c r="AB177" s="11"/>
      <c r="AC177" s="11"/>
      <c r="AD177" s="11"/>
    </row>
    <row r="178" ht="12.0" customHeight="1">
      <c r="A178" s="30" t="s">
        <v>84</v>
      </c>
      <c r="B178" s="87">
        <f t="shared" ref="B178:K178" si="86">IF(ISNUMBER(B23),B23*B$157,B23)</f>
        <v>0</v>
      </c>
      <c r="C178" s="87">
        <f t="shared" si="86"/>
        <v>0</v>
      </c>
      <c r="D178" s="87">
        <f t="shared" si="86"/>
        <v>0.1515021687</v>
      </c>
      <c r="E178" s="87">
        <f t="shared" si="86"/>
        <v>0.5305263046</v>
      </c>
      <c r="F178" s="87">
        <f t="shared" si="86"/>
        <v>0.4915730359</v>
      </c>
      <c r="G178" s="87">
        <f t="shared" si="86"/>
        <v>0.475193165</v>
      </c>
      <c r="H178" s="87">
        <f t="shared" si="86"/>
        <v>0.3361081956</v>
      </c>
      <c r="I178" s="87">
        <f t="shared" si="86"/>
        <v>0.4345798353</v>
      </c>
      <c r="J178" s="87">
        <f t="shared" si="86"/>
        <v>0.4869163374</v>
      </c>
      <c r="K178" s="87">
        <f t="shared" si="86"/>
        <v>0.5655995045</v>
      </c>
      <c r="L178" s="11"/>
      <c r="M178" s="11"/>
      <c r="N178" s="11"/>
      <c r="O178" s="11"/>
      <c r="P178" s="11"/>
      <c r="Q178" s="11"/>
      <c r="R178" s="11"/>
      <c r="S178" s="11"/>
      <c r="T178" s="11"/>
      <c r="U178" s="11"/>
      <c r="V178" s="11"/>
      <c r="W178" s="11"/>
      <c r="X178" s="11"/>
      <c r="Y178" s="11"/>
      <c r="Z178" s="11"/>
      <c r="AA178" s="11"/>
      <c r="AB178" s="11"/>
      <c r="AC178" s="11"/>
      <c r="AD178" s="11"/>
    </row>
    <row r="179" ht="12.0" customHeight="1">
      <c r="A179" s="30" t="s">
        <v>85</v>
      </c>
      <c r="B179" s="87">
        <f t="shared" ref="B179:K179" si="87">IF(ISNUMBER(B24),B24*B$159,B24)</f>
        <v>0</v>
      </c>
      <c r="C179" s="87">
        <f t="shared" si="87"/>
        <v>0</v>
      </c>
      <c r="D179" s="87">
        <f t="shared" si="87"/>
        <v>0.0814951567</v>
      </c>
      <c r="E179" s="87">
        <f t="shared" si="87"/>
        <v>0.2839354226</v>
      </c>
      <c r="F179" s="87">
        <f t="shared" si="87"/>
        <v>0.5258043685</v>
      </c>
      <c r="G179" s="87">
        <f t="shared" si="87"/>
        <v>0.3812041785</v>
      </c>
      <c r="H179" s="87">
        <f t="shared" si="87"/>
        <v>0.5389454891</v>
      </c>
      <c r="I179" s="87">
        <f t="shared" si="87"/>
        <v>0.6966814815</v>
      </c>
      <c r="J179" s="87">
        <f t="shared" si="87"/>
        <v>0.3904045584</v>
      </c>
      <c r="K179" s="87">
        <f t="shared" si="87"/>
        <v>0.4534989554</v>
      </c>
      <c r="L179" s="11"/>
      <c r="M179" s="11"/>
      <c r="N179" s="11"/>
      <c r="O179" s="11"/>
      <c r="P179" s="11"/>
      <c r="Q179" s="11"/>
      <c r="R179" s="11"/>
      <c r="S179" s="11"/>
      <c r="T179" s="11"/>
      <c r="U179" s="11"/>
      <c r="V179" s="11"/>
      <c r="W179" s="11"/>
      <c r="X179" s="11"/>
      <c r="Y179" s="11"/>
      <c r="Z179" s="11"/>
      <c r="AA179" s="11"/>
      <c r="AB179" s="11"/>
      <c r="AC179" s="11"/>
      <c r="AD179" s="11"/>
    </row>
    <row r="180" ht="12.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2.0" customHeight="1">
      <c r="A181" s="24" t="s">
        <v>627</v>
      </c>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2.0" customHeight="1">
      <c r="A182" s="30" t="s">
        <v>628</v>
      </c>
      <c r="B182" s="87">
        <f>IFERROR(SUM(datos_base!B19:B22)/(SUM(datos_base!B19:B22)+SUM(datos_base!B7:B10)),0)</f>
        <v>0</v>
      </c>
      <c r="C182" s="87">
        <f>IFERROR(SUM(datos_base!C19:C22)/(SUM(datos_base!C19:C22)+SUM(datos_base!C7:C10)),0)</f>
        <v>0</v>
      </c>
      <c r="D182" s="87">
        <f>IFERROR(SUM(datos_base!D19:D22)/(SUM(datos_base!D19:D22)+SUM(datos_base!D7:D10)),0)</f>
        <v>0.1611111111</v>
      </c>
      <c r="E182" s="87">
        <f>IFERROR(SUM(datos_base!E19:E22)/(SUM(datos_base!E19:E22)+SUM(datos_base!E7:E10)),0)</f>
        <v>0.3333333333</v>
      </c>
      <c r="F182" s="87">
        <f>IFERROR(SUM(datos_base!F19:F22)/(SUM(datos_base!F19:F22)+SUM(datos_base!F7:F10)),0)</f>
        <v>0.374497992</v>
      </c>
      <c r="G182" s="87">
        <f>IFERROR(SUM(datos_base!G19:G22)/(SUM(datos_base!G19:G22)+SUM(datos_base!G7:G10)),0)</f>
        <v>0.3900504686</v>
      </c>
      <c r="H182" s="87">
        <f>IFERROR(SUM(datos_base!H19:H22)/(SUM(datos_base!H19:H22)+SUM(datos_base!H7:H10)),0)</f>
        <v>0.4120819849</v>
      </c>
      <c r="I182" s="87">
        <f>IFERROR(SUM(datos_base!I19:I22)/(SUM(datos_base!I19:I22)+SUM(datos_base!I7:I10)),0)</f>
        <v>0.4222222222</v>
      </c>
      <c r="J182" s="87">
        <f>IFERROR(SUM(datos_base!J19:J22)/(SUM(datos_base!J19:J22)+SUM(datos_base!J7:J10)),0)</f>
        <v>0.4131245339</v>
      </c>
      <c r="K182" s="87">
        <f>IFERROR(SUM(datos_base!K19:K22)/(SUM(datos_base!K19:K22)+SUM(datos_base!K7:K10)),0)</f>
        <v>0.4151612903</v>
      </c>
      <c r="L182" s="11"/>
      <c r="M182" s="11"/>
      <c r="N182" s="11"/>
      <c r="O182" s="11"/>
      <c r="P182" s="11"/>
      <c r="Q182" s="11"/>
      <c r="R182" s="11"/>
      <c r="S182" s="11"/>
      <c r="T182" s="11"/>
      <c r="U182" s="11"/>
      <c r="V182" s="11"/>
      <c r="W182" s="11"/>
      <c r="X182" s="11"/>
      <c r="Y182" s="11"/>
      <c r="Z182" s="11"/>
      <c r="AA182" s="11"/>
      <c r="AB182" s="11"/>
      <c r="AC182" s="11"/>
      <c r="AD182" s="11"/>
    </row>
    <row r="183" ht="12.0" customHeight="1">
      <c r="A183" s="30" t="s">
        <v>88</v>
      </c>
      <c r="B183" s="87">
        <f t="shared" ref="B183:K183" si="88">B201*B$182</f>
        <v>0</v>
      </c>
      <c r="C183" s="87">
        <f t="shared" si="88"/>
        <v>0</v>
      </c>
      <c r="D183" s="87">
        <f t="shared" si="88"/>
        <v>0.002217647059</v>
      </c>
      <c r="E183" s="87">
        <f t="shared" si="88"/>
        <v>0.007685294118</v>
      </c>
      <c r="F183" s="87">
        <f t="shared" si="88"/>
        <v>0.01426176471</v>
      </c>
      <c r="G183" s="87">
        <f t="shared" si="88"/>
        <v>0.02068529412</v>
      </c>
      <c r="H183" s="87">
        <f t="shared" si="88"/>
        <v>0.02921176471</v>
      </c>
      <c r="I183" s="87">
        <f t="shared" si="88"/>
        <v>0.03777647059</v>
      </c>
      <c r="J183" s="87">
        <f t="shared" si="88"/>
        <v>0.04236470588</v>
      </c>
      <c r="K183" s="87">
        <f t="shared" si="88"/>
        <v>0.04920882353</v>
      </c>
      <c r="L183" s="11"/>
      <c r="M183" s="11"/>
      <c r="N183" s="11"/>
      <c r="O183" s="11"/>
      <c r="P183" s="11"/>
      <c r="Q183" s="11"/>
      <c r="R183" s="11"/>
      <c r="S183" s="11"/>
      <c r="T183" s="11"/>
      <c r="U183" s="11"/>
      <c r="V183" s="11"/>
      <c r="W183" s="11"/>
      <c r="X183" s="11"/>
      <c r="Y183" s="11"/>
      <c r="Z183" s="11"/>
      <c r="AA183" s="11"/>
      <c r="AB183" s="11"/>
      <c r="AC183" s="11"/>
      <c r="AD183" s="11"/>
    </row>
    <row r="184" ht="12.0" customHeight="1">
      <c r="A184" s="30" t="s">
        <v>89</v>
      </c>
      <c r="B184" s="87">
        <f t="shared" ref="B184:K184" si="89">B202*B$182</f>
        <v>0</v>
      </c>
      <c r="C184" s="87">
        <f t="shared" si="89"/>
        <v>0</v>
      </c>
      <c r="D184" s="87">
        <f t="shared" si="89"/>
        <v>0.0184875</v>
      </c>
      <c r="E184" s="87">
        <f t="shared" si="89"/>
        <v>0.06406875</v>
      </c>
      <c r="F184" s="87">
        <f t="shared" si="89"/>
        <v>0.11889375</v>
      </c>
      <c r="G184" s="87">
        <f t="shared" si="89"/>
        <v>0.17244375</v>
      </c>
      <c r="H184" s="87">
        <f t="shared" si="89"/>
        <v>0.243525</v>
      </c>
      <c r="I184" s="87">
        <f t="shared" si="89"/>
        <v>0.314925</v>
      </c>
      <c r="J184" s="87">
        <f t="shared" si="89"/>
        <v>0.353175</v>
      </c>
      <c r="K184" s="87">
        <f t="shared" si="89"/>
        <v>0.205115625</v>
      </c>
      <c r="L184" s="11"/>
      <c r="M184" s="11"/>
      <c r="N184" s="11"/>
      <c r="O184" s="11"/>
      <c r="P184" s="11"/>
      <c r="Q184" s="11"/>
      <c r="R184" s="11"/>
      <c r="S184" s="11"/>
      <c r="T184" s="11"/>
      <c r="U184" s="11"/>
      <c r="V184" s="11"/>
      <c r="W184" s="11"/>
      <c r="X184" s="11"/>
      <c r="Y184" s="11"/>
      <c r="Z184" s="11"/>
      <c r="AA184" s="11"/>
      <c r="AB184" s="11"/>
      <c r="AC184" s="11"/>
      <c r="AD184" s="11"/>
    </row>
    <row r="185" ht="12.0" customHeight="1">
      <c r="A185" s="30" t="s">
        <v>90</v>
      </c>
      <c r="B185" s="87">
        <f t="shared" ref="B185:K185" si="90">B203*B$182</f>
        <v>0</v>
      </c>
      <c r="C185" s="87">
        <f t="shared" si="90"/>
        <v>0</v>
      </c>
      <c r="D185" s="87">
        <f t="shared" si="90"/>
        <v>0.001762745098</v>
      </c>
      <c r="E185" s="87">
        <f t="shared" si="90"/>
        <v>0.006108823529</v>
      </c>
      <c r="F185" s="87">
        <f t="shared" si="90"/>
        <v>0.01133627451</v>
      </c>
      <c r="G185" s="87">
        <f t="shared" si="90"/>
        <v>0.01644215686</v>
      </c>
      <c r="H185" s="87">
        <f t="shared" si="90"/>
        <v>0.02321960784</v>
      </c>
      <c r="I185" s="87">
        <f t="shared" si="90"/>
        <v>0.03002745098</v>
      </c>
      <c r="J185" s="87">
        <f t="shared" si="90"/>
        <v>0.0336745098</v>
      </c>
      <c r="K185" s="87">
        <f t="shared" si="90"/>
        <v>0.03911470588</v>
      </c>
      <c r="L185" s="11"/>
      <c r="M185" s="11"/>
      <c r="N185" s="11"/>
      <c r="O185" s="11"/>
      <c r="P185" s="11"/>
      <c r="Q185" s="11"/>
      <c r="R185" s="11"/>
      <c r="S185" s="11"/>
      <c r="T185" s="11"/>
      <c r="U185" s="11"/>
      <c r="V185" s="11"/>
      <c r="W185" s="11"/>
      <c r="X185" s="11"/>
      <c r="Y185" s="11"/>
      <c r="Z185" s="11"/>
      <c r="AA185" s="11"/>
      <c r="AB185" s="11"/>
      <c r="AC185" s="11"/>
      <c r="AD185" s="11"/>
    </row>
    <row r="186" ht="12.0" customHeight="1">
      <c r="A186" s="30" t="s">
        <v>91</v>
      </c>
      <c r="B186" s="87">
        <f t="shared" ref="B186:K186" si="91">B204*B$182</f>
        <v>0</v>
      </c>
      <c r="C186" s="87">
        <f t="shared" si="91"/>
        <v>0</v>
      </c>
      <c r="D186" s="87">
        <f t="shared" si="91"/>
        <v>0.001307843137</v>
      </c>
      <c r="E186" s="87">
        <f t="shared" si="91"/>
        <v>0.004532352941</v>
      </c>
      <c r="F186" s="87">
        <f t="shared" si="91"/>
        <v>0.008410784314</v>
      </c>
      <c r="G186" s="87">
        <f t="shared" si="91"/>
        <v>0.01219901961</v>
      </c>
      <c r="H186" s="87">
        <f t="shared" si="91"/>
        <v>0.01722745098</v>
      </c>
      <c r="I186" s="87">
        <f t="shared" si="91"/>
        <v>0.02227843137</v>
      </c>
      <c r="J186" s="87">
        <f t="shared" si="91"/>
        <v>0.02498431373</v>
      </c>
      <c r="K186" s="87">
        <f t="shared" si="91"/>
        <v>0.02902058824</v>
      </c>
      <c r="L186" s="11"/>
      <c r="M186" s="11"/>
      <c r="N186" s="11"/>
      <c r="O186" s="11"/>
      <c r="P186" s="11"/>
      <c r="Q186" s="11"/>
      <c r="R186" s="11"/>
      <c r="S186" s="11"/>
      <c r="T186" s="11"/>
      <c r="U186" s="11"/>
      <c r="V186" s="11"/>
      <c r="W186" s="11"/>
      <c r="X186" s="11"/>
      <c r="Y186" s="11"/>
      <c r="Z186" s="11"/>
      <c r="AA186" s="11"/>
      <c r="AB186" s="11"/>
      <c r="AC186" s="11"/>
      <c r="AD186" s="11"/>
    </row>
    <row r="187" ht="12.0" customHeight="1">
      <c r="A187" s="30" t="s">
        <v>93</v>
      </c>
      <c r="B187" s="87">
        <f t="shared" ref="B187:K187" si="92">B205*B$182</f>
        <v>0</v>
      </c>
      <c r="C187" s="87">
        <f t="shared" si="92"/>
        <v>0</v>
      </c>
      <c r="D187" s="87">
        <f t="shared" si="92"/>
        <v>0.0009098039216</v>
      </c>
      <c r="E187" s="87">
        <f t="shared" si="92"/>
        <v>0.003152941176</v>
      </c>
      <c r="F187" s="87">
        <f t="shared" si="92"/>
        <v>0.005850980392</v>
      </c>
      <c r="G187" s="87">
        <f t="shared" si="92"/>
        <v>0.00848627451</v>
      </c>
      <c r="H187" s="87">
        <f t="shared" si="92"/>
        <v>0.01198431373</v>
      </c>
      <c r="I187" s="87">
        <f t="shared" si="92"/>
        <v>0.01549803922</v>
      </c>
      <c r="J187" s="87">
        <f t="shared" si="92"/>
        <v>0.01738039216</v>
      </c>
      <c r="K187" s="87">
        <f t="shared" si="92"/>
        <v>0.02018823529</v>
      </c>
      <c r="L187" s="11"/>
      <c r="M187" s="11"/>
      <c r="N187" s="11"/>
      <c r="O187" s="11"/>
      <c r="P187" s="11"/>
      <c r="Q187" s="11"/>
      <c r="R187" s="11"/>
      <c r="S187" s="11"/>
      <c r="T187" s="11"/>
      <c r="U187" s="11"/>
      <c r="V187" s="11"/>
      <c r="W187" s="11"/>
      <c r="X187" s="11"/>
      <c r="Y187" s="11"/>
      <c r="Z187" s="11"/>
      <c r="AA187" s="11"/>
      <c r="AB187" s="11"/>
      <c r="AC187" s="11"/>
      <c r="AD187" s="11"/>
    </row>
    <row r="188" ht="12.0" customHeight="1">
      <c r="A188" s="30" t="s">
        <v>94</v>
      </c>
      <c r="B188" s="87">
        <f t="shared" ref="B188:K188" si="93">B206*B$182</f>
        <v>0</v>
      </c>
      <c r="C188" s="87">
        <f t="shared" si="93"/>
        <v>0</v>
      </c>
      <c r="D188" s="87">
        <f t="shared" si="93"/>
        <v>0.002331372549</v>
      </c>
      <c r="E188" s="87">
        <f t="shared" si="93"/>
        <v>0.008079411765</v>
      </c>
      <c r="F188" s="87">
        <f t="shared" si="93"/>
        <v>0.01499313725</v>
      </c>
      <c r="G188" s="87">
        <f t="shared" si="93"/>
        <v>0.02174607843</v>
      </c>
      <c r="H188" s="87">
        <f t="shared" si="93"/>
        <v>0.03070980392</v>
      </c>
      <c r="I188" s="87">
        <f t="shared" si="93"/>
        <v>0.03971372549</v>
      </c>
      <c r="J188" s="87">
        <f t="shared" si="93"/>
        <v>0.0445372549</v>
      </c>
      <c r="K188" s="87">
        <f t="shared" si="93"/>
        <v>0.05173235294</v>
      </c>
      <c r="L188" s="11"/>
      <c r="M188" s="11"/>
      <c r="N188" s="11"/>
      <c r="O188" s="11"/>
      <c r="P188" s="11"/>
      <c r="Q188" s="11"/>
      <c r="R188" s="11"/>
      <c r="S188" s="11"/>
      <c r="T188" s="11"/>
      <c r="U188" s="11"/>
      <c r="V188" s="11"/>
      <c r="W188" s="11"/>
      <c r="X188" s="11"/>
      <c r="Y188" s="11"/>
      <c r="Z188" s="11"/>
      <c r="AA188" s="11"/>
      <c r="AB188" s="11"/>
      <c r="AC188" s="11"/>
      <c r="AD188" s="11"/>
    </row>
    <row r="189" ht="12.0" customHeight="1">
      <c r="A189" s="30" t="s">
        <v>96</v>
      </c>
      <c r="B189" s="87">
        <f t="shared" ref="B189:K189" si="94">B207*B$182</f>
        <v>0</v>
      </c>
      <c r="C189" s="87">
        <f t="shared" si="94"/>
        <v>0</v>
      </c>
      <c r="D189" s="87">
        <f t="shared" si="94"/>
        <v>0.0009098039216</v>
      </c>
      <c r="E189" s="87">
        <f t="shared" si="94"/>
        <v>0.003152941176</v>
      </c>
      <c r="F189" s="87">
        <f t="shared" si="94"/>
        <v>0.005850980392</v>
      </c>
      <c r="G189" s="87">
        <f t="shared" si="94"/>
        <v>0.00848627451</v>
      </c>
      <c r="H189" s="87">
        <f t="shared" si="94"/>
        <v>0.01198431373</v>
      </c>
      <c r="I189" s="87">
        <f t="shared" si="94"/>
        <v>0.01549803922</v>
      </c>
      <c r="J189" s="87">
        <f t="shared" si="94"/>
        <v>0.01738039216</v>
      </c>
      <c r="K189" s="87">
        <f t="shared" si="94"/>
        <v>0.02018823529</v>
      </c>
      <c r="L189" s="11"/>
      <c r="M189" s="11"/>
      <c r="N189" s="11"/>
      <c r="O189" s="11"/>
      <c r="P189" s="11"/>
      <c r="Q189" s="11"/>
      <c r="R189" s="11"/>
      <c r="S189" s="11"/>
      <c r="T189" s="11"/>
      <c r="U189" s="11"/>
      <c r="V189" s="11"/>
      <c r="W189" s="11"/>
      <c r="X189" s="11"/>
      <c r="Y189" s="11"/>
      <c r="Z189" s="11"/>
      <c r="AA189" s="11"/>
      <c r="AB189" s="11"/>
      <c r="AC189" s="11"/>
      <c r="AD189" s="11"/>
    </row>
    <row r="190" ht="12.0" customHeight="1">
      <c r="A190" s="30" t="s">
        <v>97</v>
      </c>
      <c r="B190" s="87">
        <f t="shared" ref="B190:K190" si="95">B208*B$182</f>
        <v>0</v>
      </c>
      <c r="C190" s="87">
        <f t="shared" si="95"/>
        <v>0</v>
      </c>
      <c r="D190" s="87">
        <f t="shared" si="95"/>
        <v>0.006141176471</v>
      </c>
      <c r="E190" s="87">
        <f t="shared" si="95"/>
        <v>0.02128235294</v>
      </c>
      <c r="F190" s="87">
        <f t="shared" si="95"/>
        <v>0.03949411765</v>
      </c>
      <c r="G190" s="87">
        <f t="shared" si="95"/>
        <v>0.05728235294</v>
      </c>
      <c r="H190" s="87">
        <f t="shared" si="95"/>
        <v>0.08089411765</v>
      </c>
      <c r="I190" s="87">
        <f t="shared" si="95"/>
        <v>0.1046117647</v>
      </c>
      <c r="J190" s="87">
        <f t="shared" si="95"/>
        <v>0.1173176471</v>
      </c>
      <c r="K190" s="87">
        <f t="shared" si="95"/>
        <v>0.1362705882</v>
      </c>
      <c r="L190" s="11"/>
      <c r="M190" s="11"/>
      <c r="N190" s="11"/>
      <c r="O190" s="11"/>
      <c r="P190" s="11"/>
      <c r="Q190" s="11"/>
      <c r="R190" s="11"/>
      <c r="S190" s="11"/>
      <c r="T190" s="11"/>
      <c r="U190" s="11"/>
      <c r="V190" s="11"/>
      <c r="W190" s="11"/>
      <c r="X190" s="11"/>
      <c r="Y190" s="11"/>
      <c r="Z190" s="11"/>
      <c r="AA190" s="11"/>
      <c r="AB190" s="11"/>
      <c r="AC190" s="11"/>
      <c r="AD190" s="11"/>
    </row>
    <row r="191" ht="12.0" customHeight="1">
      <c r="A191" s="30" t="s">
        <v>378</v>
      </c>
      <c r="B191" s="187" t="s">
        <v>186</v>
      </c>
      <c r="C191" s="187" t="s">
        <v>186</v>
      </c>
      <c r="D191" s="187" t="s">
        <v>186</v>
      </c>
      <c r="E191" s="187" t="s">
        <v>186</v>
      </c>
      <c r="F191" s="187" t="s">
        <v>186</v>
      </c>
      <c r="G191" s="187" t="s">
        <v>186</v>
      </c>
      <c r="H191" s="187" t="s">
        <v>186</v>
      </c>
      <c r="I191" s="187" t="s">
        <v>186</v>
      </c>
      <c r="J191" s="187" t="s">
        <v>186</v>
      </c>
      <c r="K191" s="187" t="s">
        <v>186</v>
      </c>
      <c r="L191" s="11"/>
      <c r="M191" s="11"/>
      <c r="N191" s="11"/>
      <c r="O191" s="11"/>
      <c r="P191" s="11"/>
      <c r="Q191" s="11"/>
      <c r="R191" s="11"/>
      <c r="S191" s="11"/>
      <c r="T191" s="11"/>
      <c r="U191" s="11"/>
      <c r="V191" s="11"/>
      <c r="W191" s="11"/>
      <c r="X191" s="11"/>
      <c r="Y191" s="11"/>
      <c r="Z191" s="11"/>
      <c r="AA191" s="11"/>
      <c r="AB191" s="11"/>
      <c r="AC191" s="11"/>
      <c r="AD191" s="11"/>
    </row>
    <row r="192" ht="12.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2.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2.0" customHeight="1">
      <c r="A194" s="188" t="s">
        <v>638</v>
      </c>
      <c r="B194" s="3"/>
      <c r="C194" s="3"/>
      <c r="D194" s="3"/>
      <c r="E194" s="3"/>
      <c r="F194" s="3"/>
      <c r="G194" s="3"/>
      <c r="H194" s="3"/>
      <c r="I194" s="3"/>
      <c r="J194" s="3"/>
      <c r="K194" s="130"/>
      <c r="L194" s="11"/>
      <c r="M194" s="11"/>
      <c r="N194" s="11"/>
      <c r="O194" s="11"/>
      <c r="P194" s="11"/>
      <c r="Q194" s="11"/>
      <c r="R194" s="11"/>
      <c r="S194" s="11"/>
      <c r="T194" s="11"/>
      <c r="U194" s="11"/>
      <c r="V194" s="11"/>
      <c r="W194" s="11"/>
      <c r="X194" s="11"/>
      <c r="Y194" s="11"/>
      <c r="Z194" s="11"/>
      <c r="AA194" s="11"/>
      <c r="AB194" s="11"/>
      <c r="AC194" s="11"/>
      <c r="AD194" s="11"/>
    </row>
    <row r="195" ht="12.0" customHeight="1">
      <c r="A195" s="135" t="s">
        <v>22</v>
      </c>
      <c r="B195" s="135">
        <v>2026.0</v>
      </c>
      <c r="C195" s="135">
        <v>2027.0</v>
      </c>
      <c r="D195" s="135">
        <v>2028.0</v>
      </c>
      <c r="E195" s="135">
        <v>2029.0</v>
      </c>
      <c r="F195" s="135">
        <v>2030.0</v>
      </c>
      <c r="G195" s="135">
        <v>2031.0</v>
      </c>
      <c r="H195" s="135">
        <v>2032.0</v>
      </c>
      <c r="I195" s="135">
        <v>2033.0</v>
      </c>
      <c r="J195" s="135">
        <v>2034.0</v>
      </c>
      <c r="K195" s="135">
        <v>2035.0</v>
      </c>
      <c r="L195" s="11"/>
      <c r="M195" s="11"/>
      <c r="N195" s="11"/>
      <c r="O195" s="11"/>
      <c r="P195" s="11"/>
      <c r="Q195" s="11"/>
      <c r="R195" s="11"/>
      <c r="S195" s="11"/>
      <c r="T195" s="11"/>
      <c r="U195" s="11"/>
      <c r="V195" s="11"/>
      <c r="W195" s="11"/>
      <c r="X195" s="11"/>
      <c r="Y195" s="11"/>
      <c r="Z195" s="11"/>
      <c r="AA195" s="11"/>
      <c r="AB195" s="11"/>
      <c r="AC195" s="11"/>
      <c r="AD195" s="11"/>
    </row>
    <row r="196" ht="12.0" customHeight="1">
      <c r="A196" s="73" t="s">
        <v>639</v>
      </c>
      <c r="B196" s="84">
        <f>MAX('Analisis de operaciones'!C2059:N2059)</f>
        <v>12.24</v>
      </c>
      <c r="C196" s="84">
        <f>MAX('Analisis de operaciones'!C2150:N2150)</f>
        <v>20.97</v>
      </c>
      <c r="D196" s="84">
        <f>MAX('Analisis de operaciones'!C2241:N2241)</f>
        <v>32.4</v>
      </c>
      <c r="E196" s="84">
        <f>MAX('Analisis de operaciones'!C2332:N2332)</f>
        <v>54.27</v>
      </c>
      <c r="F196" s="84">
        <f>MAX('Analisis de operaciones'!C2423:N2423)</f>
        <v>89.64</v>
      </c>
      <c r="G196" s="84">
        <f>MAX('Analisis de operaciones'!C2514:N2514)</f>
        <v>124.83</v>
      </c>
      <c r="H196" s="84">
        <f>MAX('Analisis de operaciones'!C2605:N2605)</f>
        <v>166.86</v>
      </c>
      <c r="I196" s="84">
        <f>MAX('Analisis de operaciones'!C2696:N2696)</f>
        <v>210.6</v>
      </c>
      <c r="J196" s="84">
        <f>MAX('Analisis de operaciones'!C2787:N2787)</f>
        <v>241.38</v>
      </c>
      <c r="K196" s="84">
        <f>MAX('Analisis de operaciones'!C2878:N2878)</f>
        <v>279</v>
      </c>
      <c r="L196" s="11"/>
      <c r="M196" s="11"/>
      <c r="N196" s="11"/>
      <c r="O196" s="11"/>
      <c r="P196" s="11"/>
      <c r="Q196" s="11"/>
      <c r="R196" s="11"/>
      <c r="S196" s="11"/>
      <c r="T196" s="11"/>
      <c r="U196" s="11"/>
      <c r="V196" s="11"/>
      <c r="W196" s="11"/>
      <c r="X196" s="11"/>
      <c r="Y196" s="11"/>
      <c r="Z196" s="11"/>
      <c r="AA196" s="11"/>
      <c r="AB196" s="11"/>
      <c r="AC196" s="11"/>
      <c r="AD196" s="11"/>
    </row>
    <row r="197" ht="12.0" customHeight="1">
      <c r="A197" s="30" t="s">
        <v>641</v>
      </c>
      <c r="B197" s="64">
        <f>SUM(datos_base!B7:B10)+SUM(datos_base!B19:B22)</f>
        <v>136</v>
      </c>
      <c r="C197" s="64">
        <f>SUM(datos_base!C7:C10)+SUM(datos_base!C19:C22)</f>
        <v>233</v>
      </c>
      <c r="D197" s="64">
        <f>SUM(datos_base!D7:D10)+SUM(datos_base!D19:D22)</f>
        <v>360</v>
      </c>
      <c r="E197" s="64">
        <f>SUM(datos_base!E7:E10)+SUM(datos_base!E19:E22)</f>
        <v>603</v>
      </c>
      <c r="F197" s="64">
        <f>SUM(datos_base!F7:F10)+SUM(datos_base!F19:F22)</f>
        <v>996</v>
      </c>
      <c r="G197" s="64">
        <f>SUM(datos_base!G7:G10)+SUM(datos_base!G19:G22)</f>
        <v>1387</v>
      </c>
      <c r="H197" s="64">
        <f>SUM(datos_base!H7:H10)+SUM(datos_base!H19:H22)</f>
        <v>1854</v>
      </c>
      <c r="I197" s="64">
        <f>SUM(datos_base!I7:I10)+SUM(datos_base!I19:I22)</f>
        <v>2340</v>
      </c>
      <c r="J197" s="64">
        <f>SUM(datos_base!J7:J10)+SUM(datos_base!J19:J22)</f>
        <v>2682</v>
      </c>
      <c r="K197" s="64">
        <f>SUM(datos_base!K7:K10)+SUM(datos_base!K19:K22)</f>
        <v>3100</v>
      </c>
      <c r="L197" s="11"/>
      <c r="M197" s="11"/>
      <c r="N197" s="11"/>
      <c r="O197" s="11"/>
      <c r="P197" s="11"/>
      <c r="Q197" s="11"/>
      <c r="R197" s="11"/>
      <c r="S197" s="11"/>
      <c r="T197" s="11"/>
      <c r="U197" s="11"/>
      <c r="V197" s="11"/>
      <c r="W197" s="11"/>
      <c r="X197" s="11"/>
      <c r="Y197" s="11"/>
      <c r="Z197" s="11"/>
      <c r="AA197" s="11"/>
      <c r="AB197" s="11"/>
      <c r="AC197" s="11"/>
      <c r="AD197" s="11"/>
    </row>
    <row r="198" ht="12.0" customHeight="1">
      <c r="A198" s="30" t="s">
        <v>293</v>
      </c>
      <c r="B198" s="64">
        <f>'Analisis de operaciones'!O2061</f>
        <v>0</v>
      </c>
      <c r="C198" s="64">
        <f>'Analisis de operaciones'!O2152</f>
        <v>0</v>
      </c>
      <c r="D198" s="64">
        <f>'Analisis de operaciones'!O2243</f>
        <v>0</v>
      </c>
      <c r="E198" s="64">
        <f>'Analisis de operaciones'!O2334</f>
        <v>0</v>
      </c>
      <c r="F198" s="64">
        <f>'Analisis de operaciones'!O2425</f>
        <v>0</v>
      </c>
      <c r="G198" s="64">
        <f>'Analisis de operaciones'!O2516</f>
        <v>0</v>
      </c>
      <c r="H198" s="64">
        <f>'Analisis de operaciones'!O2607</f>
        <v>0</v>
      </c>
      <c r="I198" s="64">
        <f>'Analisis de operaciones'!O2698</f>
        <v>0</v>
      </c>
      <c r="J198" s="64">
        <f>'Analisis de operaciones'!O2789</f>
        <v>0</v>
      </c>
      <c r="K198" s="64">
        <f>'Analisis de operaciones'!O2880</f>
        <v>0</v>
      </c>
      <c r="L198" s="11"/>
      <c r="M198" s="11"/>
      <c r="N198" s="11"/>
      <c r="O198" s="11"/>
      <c r="P198" s="11"/>
      <c r="Q198" s="11"/>
      <c r="R198" s="11"/>
      <c r="S198" s="11"/>
      <c r="T198" s="11"/>
      <c r="U198" s="11"/>
      <c r="V198" s="11"/>
      <c r="W198" s="11"/>
      <c r="X198" s="11"/>
      <c r="Y198" s="11"/>
      <c r="Z198" s="11"/>
      <c r="AA198" s="11"/>
      <c r="AB198" s="11"/>
      <c r="AC198" s="11"/>
      <c r="AD198" s="11"/>
    </row>
    <row r="199" ht="12.0" customHeight="1">
      <c r="A199" s="30" t="s">
        <v>304</v>
      </c>
      <c r="B199" s="64">
        <f>B198*Parametros!$B$71</f>
        <v>0</v>
      </c>
      <c r="C199" s="64">
        <f>C198*Parametros!$B$71</f>
        <v>0</v>
      </c>
      <c r="D199" s="64">
        <f>D198*Parametros!$B$71</f>
        <v>0</v>
      </c>
      <c r="E199" s="64">
        <f>E198*Parametros!$B$71</f>
        <v>0</v>
      </c>
      <c r="F199" s="64">
        <f>F198*Parametros!$B$71</f>
        <v>0</v>
      </c>
      <c r="G199" s="64">
        <f>G198*Parametros!$B$71</f>
        <v>0</v>
      </c>
      <c r="H199" s="64">
        <f>H198*Parametros!$B$71</f>
        <v>0</v>
      </c>
      <c r="I199" s="64">
        <f>I198*Parametros!$B$71</f>
        <v>0</v>
      </c>
      <c r="J199" s="64">
        <f>J198*Parametros!$B$71</f>
        <v>0</v>
      </c>
      <c r="K199" s="64">
        <f>K198*Parametros!$B$71</f>
        <v>0</v>
      </c>
      <c r="L199" s="11"/>
      <c r="M199" s="11"/>
      <c r="N199" s="11"/>
      <c r="O199" s="11"/>
      <c r="P199" s="11"/>
      <c r="Q199" s="11"/>
      <c r="R199" s="11"/>
      <c r="S199" s="11"/>
      <c r="T199" s="11"/>
      <c r="U199" s="11"/>
      <c r="V199" s="11"/>
      <c r="W199" s="11"/>
      <c r="X199" s="11"/>
      <c r="Y199" s="11"/>
      <c r="Z199" s="11"/>
      <c r="AA199" s="11"/>
      <c r="AB199" s="11"/>
      <c r="AC199" s="11"/>
      <c r="AD199" s="11"/>
    </row>
    <row r="200" ht="12.0" customHeight="1">
      <c r="A200" s="24" t="s">
        <v>645</v>
      </c>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2.0" customHeight="1">
      <c r="A201" s="30" t="s">
        <v>88</v>
      </c>
      <c r="B201" s="33">
        <f>MAX('Analisis de operaciones'!C2071:N2071)</f>
        <v>0.0052</v>
      </c>
      <c r="C201" s="33">
        <f>MAX('Analisis de operaciones'!C2162:N2162)</f>
        <v>0.008908823529</v>
      </c>
      <c r="D201" s="33">
        <f>MAX('Analisis de operaciones'!C2253:N2253)</f>
        <v>0.01376470588</v>
      </c>
      <c r="E201" s="33">
        <f>MAX('Analisis de operaciones'!C2344:N2344)</f>
        <v>0.02305588235</v>
      </c>
      <c r="F201" s="33">
        <f>MAX('Analisis de operaciones'!C2435:N2435)</f>
        <v>0.03808235294</v>
      </c>
      <c r="G201" s="33">
        <f>MAX('Analisis de operaciones'!C2526:N2526)</f>
        <v>0.05303235294</v>
      </c>
      <c r="H201" s="33">
        <f>MAX('Analisis de operaciones'!C2617:N2617)</f>
        <v>0.07088823529</v>
      </c>
      <c r="I201" s="33">
        <f>MAX('Analisis de operaciones'!C2708:N2708)</f>
        <v>0.08947058824</v>
      </c>
      <c r="J201" s="33">
        <f>MAX('Analisis de operaciones'!C2799:N2799)</f>
        <v>0.1025470588</v>
      </c>
      <c r="K201" s="33">
        <f>MAX('Analisis de operaciones'!C2890:N2890)</f>
        <v>0.1185294118</v>
      </c>
      <c r="L201" s="11"/>
      <c r="M201" s="11"/>
      <c r="N201" s="11"/>
      <c r="O201" s="11"/>
      <c r="P201" s="11"/>
      <c r="Q201" s="11"/>
      <c r="R201" s="11"/>
      <c r="S201" s="11"/>
      <c r="T201" s="11"/>
      <c r="U201" s="11"/>
      <c r="V201" s="11"/>
      <c r="W201" s="11"/>
      <c r="X201" s="11"/>
      <c r="Y201" s="11"/>
      <c r="Z201" s="11"/>
      <c r="AA201" s="11"/>
      <c r="AB201" s="11"/>
      <c r="AC201" s="11"/>
      <c r="AD201" s="11"/>
    </row>
    <row r="202" ht="12.0" customHeight="1">
      <c r="A202" s="30" t="s">
        <v>89</v>
      </c>
      <c r="B202" s="33">
        <f>MAX('Analisis de operaciones'!C2081:N2081)</f>
        <v>0.04335</v>
      </c>
      <c r="C202" s="33">
        <f>MAX('Analisis de operaciones'!C2172:N2172)</f>
        <v>0.07426875</v>
      </c>
      <c r="D202" s="33">
        <f>MAX('Analisis de operaciones'!C2263:N2263)</f>
        <v>0.11475</v>
      </c>
      <c r="E202" s="33">
        <f>MAX('Analisis de operaciones'!C2354:N2354)</f>
        <v>0.19220625</v>
      </c>
      <c r="F202" s="33">
        <f>MAX('Analisis de operaciones'!C2445:N2445)</f>
        <v>0.317475</v>
      </c>
      <c r="G202" s="33">
        <f>MAX('Analisis de operaciones'!C2536:N2536)</f>
        <v>0.44210625</v>
      </c>
      <c r="H202" s="33">
        <f>MAX('Analisis de operaciones'!C2627:N2627)</f>
        <v>0.5909625</v>
      </c>
      <c r="I202" s="33">
        <f>MAX('Analisis de operaciones'!C2718:N2718)</f>
        <v>0.745875</v>
      </c>
      <c r="J202" s="33">
        <f>MAX('Analisis de operaciones'!C2809:N2809)</f>
        <v>0.8548875</v>
      </c>
      <c r="K202" s="33">
        <f>MAX('Analisis de operaciones'!C2900:N2900)</f>
        <v>0.4940625</v>
      </c>
      <c r="L202" s="11"/>
      <c r="M202" s="11"/>
      <c r="N202" s="11"/>
      <c r="O202" s="11"/>
      <c r="P202" s="11"/>
      <c r="Q202" s="11"/>
      <c r="R202" s="11"/>
      <c r="S202" s="11"/>
      <c r="T202" s="11"/>
      <c r="U202" s="11"/>
      <c r="V202" s="11"/>
      <c r="W202" s="11"/>
      <c r="X202" s="11"/>
      <c r="Y202" s="11"/>
      <c r="Z202" s="11"/>
      <c r="AA202" s="11"/>
      <c r="AB202" s="11"/>
      <c r="AC202" s="11"/>
      <c r="AD202" s="11"/>
    </row>
    <row r="203" ht="12.0" customHeight="1">
      <c r="A203" s="30" t="s">
        <v>90</v>
      </c>
      <c r="B203" s="33">
        <f>MAX('Analisis de operaciones'!C2091:N2091)</f>
        <v>0.004133333333</v>
      </c>
      <c r="C203" s="33">
        <f>MAX('Analisis de operaciones'!C2182:N2182)</f>
        <v>0.007081372549</v>
      </c>
      <c r="D203" s="33">
        <f>MAX('Analisis de operaciones'!C2273:N2273)</f>
        <v>0.01094117647</v>
      </c>
      <c r="E203" s="33">
        <f>MAX('Analisis de operaciones'!C2364:N2364)</f>
        <v>0.01832647059</v>
      </c>
      <c r="F203" s="33">
        <f>MAX('Analisis de operaciones'!C2455:N2455)</f>
        <v>0.03027058824</v>
      </c>
      <c r="G203" s="33">
        <f>MAX('Analisis de operaciones'!C2546:N2546)</f>
        <v>0.04215392157</v>
      </c>
      <c r="H203" s="33">
        <f>MAX('Analisis de operaciones'!C2637:N2637)</f>
        <v>0.05634705882</v>
      </c>
      <c r="I203" s="33">
        <f>MAX('Analisis de operaciones'!C2728:N2728)</f>
        <v>0.07111764706</v>
      </c>
      <c r="J203" s="33">
        <f>MAX('Analisis de operaciones'!C2819:N2819)</f>
        <v>0.08151176471</v>
      </c>
      <c r="K203" s="33">
        <f>MAX('Analisis de operaciones'!C2910:N2910)</f>
        <v>0.09421568627</v>
      </c>
      <c r="L203" s="11"/>
      <c r="M203" s="11"/>
      <c r="N203" s="11"/>
      <c r="O203" s="11"/>
      <c r="P203" s="11"/>
      <c r="Q203" s="11"/>
      <c r="R203" s="11"/>
      <c r="S203" s="11"/>
      <c r="T203" s="11"/>
      <c r="U203" s="11"/>
      <c r="V203" s="11"/>
      <c r="W203" s="11"/>
      <c r="X203" s="11"/>
      <c r="Y203" s="11"/>
      <c r="Z203" s="11"/>
      <c r="AA203" s="11"/>
      <c r="AB203" s="11"/>
      <c r="AC203" s="11"/>
      <c r="AD203" s="11"/>
    </row>
    <row r="204" ht="12.0" customHeight="1">
      <c r="A204" s="30" t="s">
        <v>91</v>
      </c>
      <c r="B204" s="33">
        <f>MAX('Analisis de operaciones'!C2101:N2101)</f>
        <v>0.003066666667</v>
      </c>
      <c r="C204" s="33">
        <f>MAX('Analisis de operaciones'!C2192:N2192)</f>
        <v>0.005253921569</v>
      </c>
      <c r="D204" s="33">
        <f>MAX('Analisis de operaciones'!C2283:N2283)</f>
        <v>0.008117647059</v>
      </c>
      <c r="E204" s="33">
        <f>MAX('Analisis de operaciones'!C2374:N2374)</f>
        <v>0.01359705882</v>
      </c>
      <c r="F204" s="33">
        <f>MAX('Analisis de operaciones'!C2465:N2465)</f>
        <v>0.02245882353</v>
      </c>
      <c r="G204" s="33">
        <f>MAX('Analisis de operaciones'!C2556:N2556)</f>
        <v>0.0312754902</v>
      </c>
      <c r="H204" s="33">
        <f>MAX('Analisis de operaciones'!C2647:N2647)</f>
        <v>0.04180588235</v>
      </c>
      <c r="I204" s="33">
        <f>MAX('Analisis de operaciones'!C2738:N2738)</f>
        <v>0.05276470588</v>
      </c>
      <c r="J204" s="33">
        <f>MAX('Analisis de operaciones'!C2829:N2829)</f>
        <v>0.06047647059</v>
      </c>
      <c r="K204" s="33">
        <f>MAX('Analisis de operaciones'!C2920:N2920)</f>
        <v>0.06990196078</v>
      </c>
      <c r="L204" s="11"/>
      <c r="M204" s="11"/>
      <c r="N204" s="11"/>
      <c r="O204" s="11"/>
      <c r="P204" s="11"/>
      <c r="Q204" s="11"/>
      <c r="R204" s="11"/>
      <c r="S204" s="11"/>
      <c r="T204" s="11"/>
      <c r="U204" s="11"/>
      <c r="V204" s="11"/>
      <c r="W204" s="11"/>
      <c r="X204" s="11"/>
      <c r="Y204" s="11"/>
      <c r="Z204" s="11"/>
      <c r="AA204" s="11"/>
      <c r="AB204" s="11"/>
      <c r="AC204" s="11"/>
      <c r="AD204" s="11"/>
    </row>
    <row r="205" ht="12.0" customHeight="1">
      <c r="A205" s="30" t="s">
        <v>93</v>
      </c>
      <c r="B205" s="33">
        <f>MAX('Analisis de operaciones'!C2111:N2111)</f>
        <v>0.002133333333</v>
      </c>
      <c r="C205" s="33">
        <f>MAX('Analisis de operaciones'!C2202:N2202)</f>
        <v>0.003654901961</v>
      </c>
      <c r="D205" s="33">
        <f>MAX('Analisis de operaciones'!C2293:N2293)</f>
        <v>0.005647058824</v>
      </c>
      <c r="E205" s="33">
        <f>MAX('Analisis de operaciones'!C2384:N2384)</f>
        <v>0.009458823529</v>
      </c>
      <c r="F205" s="33">
        <f>MAX('Analisis de operaciones'!C2475:N2475)</f>
        <v>0.01562352941</v>
      </c>
      <c r="G205" s="33">
        <f>MAX('Analisis de operaciones'!C2566:N2566)</f>
        <v>0.02175686275</v>
      </c>
      <c r="H205" s="33">
        <f>MAX('Analisis de operaciones'!C2657:N2657)</f>
        <v>0.02908235294</v>
      </c>
      <c r="I205" s="33">
        <f>MAX('Analisis de operaciones'!C2748:N2748)</f>
        <v>0.03670588235</v>
      </c>
      <c r="J205" s="33">
        <f>MAX('Analisis de operaciones'!C2839:N2839)</f>
        <v>0.04207058824</v>
      </c>
      <c r="K205" s="33">
        <f>MAX('Analisis de operaciones'!C2930:N2930)</f>
        <v>0.04862745098</v>
      </c>
      <c r="L205" s="11"/>
      <c r="M205" s="11"/>
      <c r="N205" s="11"/>
      <c r="O205" s="11"/>
      <c r="P205" s="11"/>
      <c r="Q205" s="11"/>
      <c r="R205" s="11"/>
      <c r="S205" s="11"/>
      <c r="T205" s="11"/>
      <c r="U205" s="11"/>
      <c r="V205" s="11"/>
      <c r="W205" s="11"/>
      <c r="X205" s="11"/>
      <c r="Y205" s="11"/>
      <c r="Z205" s="11"/>
      <c r="AA205" s="11"/>
      <c r="AB205" s="11"/>
      <c r="AC205" s="11"/>
      <c r="AD205" s="11"/>
    </row>
    <row r="206" ht="12.0" customHeight="1">
      <c r="A206" s="30" t="s">
        <v>94</v>
      </c>
      <c r="B206" s="33">
        <f>MAX('Analisis de operaciones'!C2121:N2121)</f>
        <v>0.005466666667</v>
      </c>
      <c r="C206" s="33">
        <f>MAX('Analisis de operaciones'!C2212:N2212)</f>
        <v>0.009365686275</v>
      </c>
      <c r="D206" s="33">
        <f>MAX('Analisis de operaciones'!C2303:N2303)</f>
        <v>0.01447058824</v>
      </c>
      <c r="E206" s="33">
        <f>MAX('Analisis de operaciones'!C2394:N2394)</f>
        <v>0.02423823529</v>
      </c>
      <c r="F206" s="33">
        <f>MAX('Analisis de operaciones'!C2485:N2485)</f>
        <v>0.04003529412</v>
      </c>
      <c r="G206" s="33">
        <f>MAX('Analisis de operaciones'!C2576:N2576)</f>
        <v>0.05575196078</v>
      </c>
      <c r="H206" s="33">
        <f>MAX('Analisis de operaciones'!C2667:N2667)</f>
        <v>0.07452352941</v>
      </c>
      <c r="I206" s="33">
        <f>MAX('Analisis de operaciones'!C2758:N2758)</f>
        <v>0.09405882353</v>
      </c>
      <c r="J206" s="33">
        <f>MAX('Analisis de operaciones'!C2849:N2849)</f>
        <v>0.1078058824</v>
      </c>
      <c r="K206" s="33">
        <f>MAX('Analisis de operaciones'!C2940:N2940)</f>
        <v>0.1246078431</v>
      </c>
      <c r="L206" s="11"/>
      <c r="M206" s="11"/>
      <c r="N206" s="11"/>
      <c r="O206" s="11"/>
      <c r="P206" s="11"/>
      <c r="Q206" s="11"/>
      <c r="R206" s="11"/>
      <c r="S206" s="11"/>
      <c r="T206" s="11"/>
      <c r="U206" s="11"/>
      <c r="V206" s="11"/>
      <c r="W206" s="11"/>
      <c r="X206" s="11"/>
      <c r="Y206" s="11"/>
      <c r="Z206" s="11"/>
      <c r="AA206" s="11"/>
      <c r="AB206" s="11"/>
      <c r="AC206" s="11"/>
      <c r="AD206" s="11"/>
    </row>
    <row r="207" ht="12.0" customHeight="1">
      <c r="A207" s="30" t="s">
        <v>96</v>
      </c>
      <c r="B207" s="33">
        <f>MAX('Analisis de operaciones'!C2131:N2131)</f>
        <v>0.002133333333</v>
      </c>
      <c r="C207" s="33">
        <f>MAX('Analisis de operaciones'!C2222:N2222)</f>
        <v>0.003654901961</v>
      </c>
      <c r="D207" s="33">
        <f>MAX('Analisis de operaciones'!C2313:N2313)</f>
        <v>0.005647058824</v>
      </c>
      <c r="E207" s="33">
        <f>MAX('Analisis de operaciones'!C2404:N2404)</f>
        <v>0.009458823529</v>
      </c>
      <c r="F207" s="33">
        <f>MAX('Analisis de operaciones'!C2495:N2495)</f>
        <v>0.01562352941</v>
      </c>
      <c r="G207" s="33">
        <f>MAX('Analisis de operaciones'!C2586:N2586)</f>
        <v>0.02175686275</v>
      </c>
      <c r="H207" s="33">
        <f>MAX('Analisis de operaciones'!C2677:N2677)</f>
        <v>0.02908235294</v>
      </c>
      <c r="I207" s="33">
        <f>MAX('Analisis de operaciones'!C2768:N2768)</f>
        <v>0.03670588235</v>
      </c>
      <c r="J207" s="33">
        <f>MAX('Analisis de operaciones'!C2859:N2859)</f>
        <v>0.04207058824</v>
      </c>
      <c r="K207" s="33">
        <f>MAX('Analisis de operaciones'!C2950:N2950)</f>
        <v>0.04862745098</v>
      </c>
      <c r="L207" s="11"/>
      <c r="M207" s="11"/>
      <c r="N207" s="11"/>
      <c r="O207" s="11"/>
      <c r="P207" s="11"/>
      <c r="Q207" s="11"/>
      <c r="R207" s="11"/>
      <c r="S207" s="11"/>
      <c r="T207" s="11"/>
      <c r="U207" s="11"/>
      <c r="V207" s="11"/>
      <c r="W207" s="11"/>
      <c r="X207" s="11"/>
      <c r="Y207" s="11"/>
      <c r="Z207" s="11"/>
      <c r="AA207" s="11"/>
      <c r="AB207" s="11"/>
      <c r="AC207" s="11"/>
      <c r="AD207" s="11"/>
    </row>
    <row r="208" ht="12.0" customHeight="1">
      <c r="A208" s="30" t="s">
        <v>97</v>
      </c>
      <c r="B208" s="33">
        <f>MAX('Analisis de operaciones'!C2141:N2141)</f>
        <v>0.0144</v>
      </c>
      <c r="C208" s="33">
        <f>MAX('Analisis de operaciones'!C2232:N2232)</f>
        <v>0.02467058824</v>
      </c>
      <c r="D208" s="33">
        <f>MAX('Analisis de operaciones'!C2323:N2323)</f>
        <v>0.03811764706</v>
      </c>
      <c r="E208" s="33">
        <f>MAX('Analisis de operaciones'!C2414:N2414)</f>
        <v>0.06384705882</v>
      </c>
      <c r="F208" s="33">
        <f>MAX('Analisis de operaciones'!C2505:N2505)</f>
        <v>0.1054588235</v>
      </c>
      <c r="G208" s="33">
        <f>MAX('Analisis de operaciones'!C2596:N2596)</f>
        <v>0.1468588235</v>
      </c>
      <c r="H208" s="33">
        <f>MAX('Analisis de operaciones'!C2687:N2687)</f>
        <v>0.1963058824</v>
      </c>
      <c r="I208" s="33">
        <f>MAX('Analisis de operaciones'!C2778:N2778)</f>
        <v>0.2477647059</v>
      </c>
      <c r="J208" s="33">
        <f>MAX('Analisis de operaciones'!C2869:N2869)</f>
        <v>0.2839764706</v>
      </c>
      <c r="K208" s="33">
        <f>MAX('Analisis de operaciones'!C2960:N2960)</f>
        <v>0.3282352941</v>
      </c>
      <c r="L208" s="11"/>
      <c r="M208" s="11"/>
      <c r="N208" s="11"/>
      <c r="O208" s="11"/>
      <c r="P208" s="11"/>
      <c r="Q208" s="11"/>
      <c r="R208" s="11"/>
      <c r="S208" s="11"/>
      <c r="T208" s="11"/>
      <c r="U208" s="11"/>
      <c r="V208" s="11"/>
      <c r="W208" s="11"/>
      <c r="X208" s="11"/>
      <c r="Y208" s="11"/>
      <c r="Z208" s="11"/>
      <c r="AA208" s="11"/>
      <c r="AB208" s="11"/>
      <c r="AC208" s="11"/>
      <c r="AD208" s="11"/>
    </row>
    <row r="209" ht="12.0" customHeight="1">
      <c r="A209" s="30" t="s">
        <v>378</v>
      </c>
      <c r="B209" s="187" t="s">
        <v>186</v>
      </c>
      <c r="C209" s="187" t="s">
        <v>186</v>
      </c>
      <c r="D209" s="187" t="s">
        <v>186</v>
      </c>
      <c r="E209" s="187" t="s">
        <v>186</v>
      </c>
      <c r="F209" s="187" t="s">
        <v>186</v>
      </c>
      <c r="G209" s="187" t="s">
        <v>186</v>
      </c>
      <c r="H209" s="187" t="s">
        <v>186</v>
      </c>
      <c r="I209" s="187" t="s">
        <v>186</v>
      </c>
      <c r="J209" s="187" t="s">
        <v>186</v>
      </c>
      <c r="K209" s="187" t="s">
        <v>186</v>
      </c>
      <c r="L209" s="11"/>
      <c r="M209" s="11"/>
      <c r="N209" s="11"/>
      <c r="O209" s="11"/>
      <c r="P209" s="11"/>
      <c r="Q209" s="11"/>
      <c r="R209" s="11"/>
      <c r="S209" s="11"/>
      <c r="T209" s="11"/>
      <c r="U209" s="11"/>
      <c r="V209" s="11"/>
      <c r="W209" s="11"/>
      <c r="X209" s="11"/>
      <c r="Y209" s="11"/>
      <c r="Z209" s="11"/>
      <c r="AA209" s="11"/>
      <c r="AB209" s="11"/>
      <c r="AC209" s="11"/>
      <c r="AD209" s="11"/>
    </row>
    <row r="210" ht="12.0" customHeight="1">
      <c r="A210" s="24" t="s">
        <v>648</v>
      </c>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2.0" customHeight="1">
      <c r="A211" s="30" t="s">
        <v>88</v>
      </c>
      <c r="B211" s="108">
        <f>ROUNDUP(B196/(Parametros!$N$112*$B$50),0)</f>
        <v>1</v>
      </c>
      <c r="C211" s="108">
        <f>ROUNDUP(C196/(Parametros!$N$112*$B$50),0)</f>
        <v>1</v>
      </c>
      <c r="D211" s="108">
        <f>ROUNDUP(D196/(Parametros!$N$112*$B$50),0)</f>
        <v>1</v>
      </c>
      <c r="E211" s="108">
        <f>ROUNDUP(E196/(Parametros!$N$112*$B$50),0)</f>
        <v>1</v>
      </c>
      <c r="F211" s="108">
        <f>ROUNDUP(F196/(Parametros!$N$112*$B$50),0)</f>
        <v>1</v>
      </c>
      <c r="G211" s="108">
        <f>ROUNDUP(G196/(Parametros!$N$112*$B$50),0)</f>
        <v>1</v>
      </c>
      <c r="H211" s="108">
        <f>ROUNDUP(H196/(Parametros!$N$112*$B$50),0)</f>
        <v>1</v>
      </c>
      <c r="I211" s="108">
        <f>ROUNDUP(I196/(Parametros!$N$112*$B$50),0)</f>
        <v>1</v>
      </c>
      <c r="J211" s="108">
        <f>ROUNDUP(J196/(Parametros!$N$112*$B$50),0)</f>
        <v>1</v>
      </c>
      <c r="K211" s="108">
        <f>ROUNDUP(K196/(Parametros!$N$112*$B$50),0)</f>
        <v>1</v>
      </c>
      <c r="L211" s="11"/>
      <c r="M211" s="11"/>
      <c r="N211" s="11"/>
      <c r="O211" s="11"/>
      <c r="P211" s="11"/>
      <c r="Q211" s="11"/>
      <c r="R211" s="11"/>
      <c r="S211" s="11"/>
      <c r="T211" s="11"/>
      <c r="U211" s="11"/>
      <c r="V211" s="11"/>
      <c r="W211" s="11"/>
      <c r="X211" s="11"/>
      <c r="Y211" s="11"/>
      <c r="Z211" s="11"/>
      <c r="AA211" s="11"/>
      <c r="AB211" s="11"/>
      <c r="AC211" s="11"/>
      <c r="AD211" s="11"/>
    </row>
    <row r="212" ht="12.0" customHeight="1">
      <c r="A212" s="30" t="s">
        <v>89</v>
      </c>
      <c r="B212" s="108">
        <f>ROUNDUP(B196/(Parametros!$N$113*$B$50),0)</f>
        <v>1</v>
      </c>
      <c r="C212" s="108">
        <f>ROUNDUP(C196/(Parametros!$N$113*$B$50),0)</f>
        <v>1</v>
      </c>
      <c r="D212" s="108">
        <f>ROUNDUP(D196/(Parametros!$N$113*$B$50),0)</f>
        <v>1</v>
      </c>
      <c r="E212" s="108">
        <f>ROUNDUP(E196/(Parametros!$N$113*$B$50),0)</f>
        <v>1</v>
      </c>
      <c r="F212" s="108">
        <f>ROUNDUP(F196/(Parametros!$N$113*$B$50),0)</f>
        <v>1</v>
      </c>
      <c r="G212" s="108">
        <f>ROUNDUP(G196/(Parametros!$N$113*$B$50),0)</f>
        <v>1</v>
      </c>
      <c r="H212" s="108">
        <f>ROUNDUP(H196/(Parametros!$N$113*$B$50),0)</f>
        <v>1</v>
      </c>
      <c r="I212" s="108">
        <f>ROUNDUP(I196/(Parametros!$N$113*$B$50),0)</f>
        <v>1</v>
      </c>
      <c r="J212" s="108">
        <f>ROUNDUP(J196/(Parametros!$N$113*$B$50),0)</f>
        <v>1</v>
      </c>
      <c r="K212" s="108">
        <f>ROUNDUP(K196/(Parametros!$N$113*$B$50),0)</f>
        <v>2</v>
      </c>
      <c r="L212" s="11"/>
      <c r="M212" s="11"/>
      <c r="N212" s="11"/>
      <c r="O212" s="11"/>
      <c r="P212" s="11"/>
      <c r="Q212" s="11"/>
      <c r="R212" s="11"/>
      <c r="S212" s="11"/>
      <c r="T212" s="11"/>
      <c r="U212" s="11"/>
      <c r="V212" s="11"/>
      <c r="W212" s="11"/>
      <c r="X212" s="11"/>
      <c r="Y212" s="11"/>
      <c r="Z212" s="11"/>
      <c r="AA212" s="11"/>
      <c r="AB212" s="11"/>
      <c r="AC212" s="11"/>
      <c r="AD212" s="11"/>
    </row>
    <row r="213" ht="12.0" customHeight="1">
      <c r="A213" s="30" t="s">
        <v>90</v>
      </c>
      <c r="B213" s="108">
        <f>ROUNDUP(B196/(Parametros!$N$114*$B$50),0)</f>
        <v>1</v>
      </c>
      <c r="C213" s="108">
        <f>ROUNDUP(C196/(Parametros!$N$114*$B$50),0)</f>
        <v>1</v>
      </c>
      <c r="D213" s="108">
        <f>ROUNDUP(D196/(Parametros!$N$114*$B$50),0)</f>
        <v>1</v>
      </c>
      <c r="E213" s="108">
        <f>ROUNDUP(E196/(Parametros!$N$114*$B$50),0)</f>
        <v>1</v>
      </c>
      <c r="F213" s="108">
        <f>ROUNDUP(F196/(Parametros!$N$114*$B$50),0)</f>
        <v>1</v>
      </c>
      <c r="G213" s="108">
        <f>ROUNDUP(G196/(Parametros!$N$114*$B$50),0)</f>
        <v>1</v>
      </c>
      <c r="H213" s="108">
        <f>ROUNDUP(H196/(Parametros!$N$114*$B$50),0)</f>
        <v>1</v>
      </c>
      <c r="I213" s="108">
        <f>ROUNDUP(I196/(Parametros!$N$114*$B$50),0)</f>
        <v>1</v>
      </c>
      <c r="J213" s="108">
        <f>ROUNDUP(J196/(Parametros!$N$114*$B$50),0)</f>
        <v>1</v>
      </c>
      <c r="K213" s="108">
        <f>ROUNDUP(K196/(Parametros!$N$114*$B$50),0)</f>
        <v>1</v>
      </c>
      <c r="L213" s="11"/>
      <c r="M213" s="11"/>
      <c r="N213" s="11"/>
      <c r="O213" s="11"/>
      <c r="P213" s="11"/>
      <c r="Q213" s="11"/>
      <c r="R213" s="11"/>
      <c r="S213" s="11"/>
      <c r="T213" s="11"/>
      <c r="U213" s="11"/>
      <c r="V213" s="11"/>
      <c r="W213" s="11"/>
      <c r="X213" s="11"/>
      <c r="Y213" s="11"/>
      <c r="Z213" s="11"/>
      <c r="AA213" s="11"/>
      <c r="AB213" s="11"/>
      <c r="AC213" s="11"/>
      <c r="AD213" s="11"/>
    </row>
    <row r="214" ht="12.0" customHeight="1">
      <c r="A214" s="30" t="s">
        <v>91</v>
      </c>
      <c r="B214" s="108">
        <f>ROUNDUP(B196/(Parametros!$N$115*$B$50),0)</f>
        <v>1</v>
      </c>
      <c r="C214" s="108">
        <f>ROUNDUP(C196/(Parametros!$N$115*$B$50),0)</f>
        <v>1</v>
      </c>
      <c r="D214" s="108">
        <f>ROUNDUP(D196/(Parametros!$N$115*$B$50),0)</f>
        <v>1</v>
      </c>
      <c r="E214" s="108">
        <f>ROUNDUP(E196/(Parametros!$N$115*$B$50),0)</f>
        <v>1</v>
      </c>
      <c r="F214" s="108">
        <f>ROUNDUP(F196/(Parametros!$N$115*$B$50),0)</f>
        <v>1</v>
      </c>
      <c r="G214" s="108">
        <f>ROUNDUP(G196/(Parametros!$N$115*$B$50),0)</f>
        <v>1</v>
      </c>
      <c r="H214" s="108">
        <f>ROUNDUP(H196/(Parametros!$N$115*$B$50),0)</f>
        <v>1</v>
      </c>
      <c r="I214" s="108">
        <f>ROUNDUP(I196/(Parametros!$N$115*$B$50),0)</f>
        <v>1</v>
      </c>
      <c r="J214" s="108">
        <f>ROUNDUP(J196/(Parametros!$N$115*$B$50),0)</f>
        <v>1</v>
      </c>
      <c r="K214" s="108">
        <f>ROUNDUP(K196/(Parametros!$N$115*$B$50),0)</f>
        <v>1</v>
      </c>
      <c r="L214" s="11"/>
      <c r="M214" s="11"/>
      <c r="N214" s="11"/>
      <c r="O214" s="11"/>
      <c r="P214" s="11"/>
      <c r="Q214" s="11"/>
      <c r="R214" s="11"/>
      <c r="S214" s="11"/>
      <c r="T214" s="11"/>
      <c r="U214" s="11"/>
      <c r="V214" s="11"/>
      <c r="W214" s="11"/>
      <c r="X214" s="11"/>
      <c r="Y214" s="11"/>
      <c r="Z214" s="11"/>
      <c r="AA214" s="11"/>
      <c r="AB214" s="11"/>
      <c r="AC214" s="11"/>
      <c r="AD214" s="11"/>
    </row>
    <row r="215" ht="12.0" customHeight="1">
      <c r="A215" s="30" t="s">
        <v>93</v>
      </c>
      <c r="B215" s="108">
        <f>ROUNDUP(B196/(Parametros!$N$116*$B$50),0)</f>
        <v>1</v>
      </c>
      <c r="C215" s="108">
        <f>ROUNDUP(C196/(Parametros!$N$116*$B$50),0)</f>
        <v>1</v>
      </c>
      <c r="D215" s="108">
        <f>ROUNDUP(D196/(Parametros!$N$116*$B$50),0)</f>
        <v>1</v>
      </c>
      <c r="E215" s="108">
        <f>ROUNDUP(E196/(Parametros!$N$116*$B$50),0)</f>
        <v>1</v>
      </c>
      <c r="F215" s="108">
        <f>ROUNDUP(F196/(Parametros!$N$116*$B$50),0)</f>
        <v>1</v>
      </c>
      <c r="G215" s="108">
        <f>ROUNDUP(G196/(Parametros!$N$116*$B$50),0)</f>
        <v>1</v>
      </c>
      <c r="H215" s="108">
        <f>ROUNDUP(H196/(Parametros!$N$116*$B$50),0)</f>
        <v>1</v>
      </c>
      <c r="I215" s="108">
        <f>ROUNDUP(I196/(Parametros!$N$116*$B$50),0)</f>
        <v>1</v>
      </c>
      <c r="J215" s="108">
        <f>ROUNDUP(J196/(Parametros!$N$116*$B$50),0)</f>
        <v>1</v>
      </c>
      <c r="K215" s="108">
        <f>ROUNDUP(K196/(Parametros!$N$116*$B$50),0)</f>
        <v>1</v>
      </c>
      <c r="L215" s="11"/>
      <c r="M215" s="11"/>
      <c r="N215" s="11"/>
      <c r="O215" s="11"/>
      <c r="P215" s="11"/>
      <c r="Q215" s="11"/>
      <c r="R215" s="11"/>
      <c r="S215" s="11"/>
      <c r="T215" s="11"/>
      <c r="U215" s="11"/>
      <c r="V215" s="11"/>
      <c r="W215" s="11"/>
      <c r="X215" s="11"/>
      <c r="Y215" s="11"/>
      <c r="Z215" s="11"/>
      <c r="AA215" s="11"/>
      <c r="AB215" s="11"/>
      <c r="AC215" s="11"/>
      <c r="AD215" s="11"/>
    </row>
    <row r="216" ht="12.0" customHeight="1">
      <c r="A216" s="30" t="s">
        <v>94</v>
      </c>
      <c r="B216" s="108">
        <f>ROUNDUP(B196/(Parametros!$N$117*$B$50),0)</f>
        <v>1</v>
      </c>
      <c r="C216" s="108">
        <f>ROUNDUP(C196/(Parametros!$N$117*$B$50),0)</f>
        <v>1</v>
      </c>
      <c r="D216" s="108">
        <f>ROUNDUP(D196/(Parametros!$N$117*$B$50),0)</f>
        <v>1</v>
      </c>
      <c r="E216" s="108">
        <f>ROUNDUP(E196/(Parametros!$N$117*$B$50),0)</f>
        <v>1</v>
      </c>
      <c r="F216" s="108">
        <f>ROUNDUP(F196/(Parametros!$N$117*$B$50),0)</f>
        <v>1</v>
      </c>
      <c r="G216" s="108">
        <f>ROUNDUP(G196/(Parametros!$N$117*$B$50),0)</f>
        <v>1</v>
      </c>
      <c r="H216" s="108">
        <f>ROUNDUP(H196/(Parametros!$N$117*$B$50),0)</f>
        <v>1</v>
      </c>
      <c r="I216" s="108">
        <f>ROUNDUP(I196/(Parametros!$N$117*$B$50),0)</f>
        <v>1</v>
      </c>
      <c r="J216" s="108">
        <f>ROUNDUP(J196/(Parametros!$N$117*$B$50),0)</f>
        <v>1</v>
      </c>
      <c r="K216" s="108">
        <f>ROUNDUP(K196/(Parametros!$N$117*$B$50),0)</f>
        <v>1</v>
      </c>
      <c r="L216" s="11"/>
      <c r="M216" s="11"/>
      <c r="N216" s="11"/>
      <c r="O216" s="11"/>
      <c r="P216" s="11"/>
      <c r="Q216" s="11"/>
      <c r="R216" s="11"/>
      <c r="S216" s="11"/>
      <c r="T216" s="11"/>
      <c r="U216" s="11"/>
      <c r="V216" s="11"/>
      <c r="W216" s="11"/>
      <c r="X216" s="11"/>
      <c r="Y216" s="11"/>
      <c r="Z216" s="11"/>
      <c r="AA216" s="11"/>
      <c r="AB216" s="11"/>
      <c r="AC216" s="11"/>
      <c r="AD216" s="11"/>
    </row>
    <row r="217" ht="12.0" customHeight="1">
      <c r="A217" s="30" t="s">
        <v>96</v>
      </c>
      <c r="B217" s="108">
        <f>ROUNDUP(B196/(Parametros!$N$118*$B$50),0)</f>
        <v>1</v>
      </c>
      <c r="C217" s="108">
        <f>ROUNDUP(C196/(Parametros!$N$118*$B$50),0)</f>
        <v>1</v>
      </c>
      <c r="D217" s="108">
        <f>ROUNDUP(D196/(Parametros!$N$118*$B$50),0)</f>
        <v>1</v>
      </c>
      <c r="E217" s="108">
        <f>ROUNDUP(E196/(Parametros!$N$118*$B$50),0)</f>
        <v>1</v>
      </c>
      <c r="F217" s="108">
        <f>ROUNDUP(F196/(Parametros!$N$118*$B$50),0)</f>
        <v>1</v>
      </c>
      <c r="G217" s="108">
        <f>ROUNDUP(G196/(Parametros!$N$118*$B$50),0)</f>
        <v>1</v>
      </c>
      <c r="H217" s="108">
        <f>ROUNDUP(H196/(Parametros!$N$118*$B$50),0)</f>
        <v>1</v>
      </c>
      <c r="I217" s="108">
        <f>ROUNDUP(I196/(Parametros!$N$118*$B$50),0)</f>
        <v>1</v>
      </c>
      <c r="J217" s="108">
        <f>ROUNDUP(J196/(Parametros!$N$118*$B$50),0)</f>
        <v>1</v>
      </c>
      <c r="K217" s="108">
        <f>ROUNDUP(K196/(Parametros!$N$118*$B$50),0)</f>
        <v>1</v>
      </c>
      <c r="L217" s="11"/>
      <c r="M217" s="11"/>
      <c r="N217" s="11"/>
      <c r="O217" s="11"/>
      <c r="P217" s="11"/>
      <c r="Q217" s="11"/>
      <c r="R217" s="11"/>
      <c r="S217" s="11"/>
      <c r="T217" s="11"/>
      <c r="U217" s="11"/>
      <c r="V217" s="11"/>
      <c r="W217" s="11"/>
      <c r="X217" s="11"/>
      <c r="Y217" s="11"/>
      <c r="Z217" s="11"/>
      <c r="AA217" s="11"/>
      <c r="AB217" s="11"/>
      <c r="AC217" s="11"/>
      <c r="AD217" s="11"/>
    </row>
    <row r="218" ht="12.0" customHeight="1">
      <c r="A218" s="30" t="s">
        <v>97</v>
      </c>
      <c r="B218" s="108">
        <f>ROUNDUP(B196/(Parametros!$N$119*$B$50),0)</f>
        <v>1</v>
      </c>
      <c r="C218" s="108">
        <f>ROUNDUP(C196/(Parametros!$N$119*$B$50),0)</f>
        <v>1</v>
      </c>
      <c r="D218" s="108">
        <f>ROUNDUP(D196/(Parametros!$N$119*$B$50),0)</f>
        <v>1</v>
      </c>
      <c r="E218" s="108">
        <f>ROUNDUP(E196/(Parametros!$N$119*$B$50),0)</f>
        <v>1</v>
      </c>
      <c r="F218" s="108">
        <f>ROUNDUP(F196/(Parametros!$N$119*$B$50),0)</f>
        <v>1</v>
      </c>
      <c r="G218" s="108">
        <f>ROUNDUP(G196/(Parametros!$N$119*$B$50),0)</f>
        <v>1</v>
      </c>
      <c r="H218" s="108">
        <f>ROUNDUP(H196/(Parametros!$N$119*$B$50),0)</f>
        <v>1</v>
      </c>
      <c r="I218" s="108">
        <f>ROUNDUP(I196/(Parametros!$N$119*$B$50),0)</f>
        <v>1</v>
      </c>
      <c r="J218" s="108">
        <f>ROUNDUP(J196/(Parametros!$N$119*$B$50),0)</f>
        <v>1</v>
      </c>
      <c r="K218" s="108">
        <f>ROUNDUP(K196/(Parametros!$N$119*$B$50),0)</f>
        <v>1</v>
      </c>
      <c r="L218" s="11"/>
      <c r="M218" s="11"/>
      <c r="N218" s="11"/>
      <c r="O218" s="11"/>
      <c r="P218" s="11"/>
      <c r="Q218" s="11"/>
      <c r="R218" s="11"/>
      <c r="S218" s="11"/>
      <c r="T218" s="11"/>
      <c r="U218" s="11"/>
      <c r="V218" s="11"/>
      <c r="W218" s="11"/>
      <c r="X218" s="11"/>
      <c r="Y218" s="11"/>
      <c r="Z218" s="11"/>
      <c r="AA218" s="11"/>
      <c r="AB218" s="11"/>
      <c r="AC218" s="11"/>
      <c r="AD218" s="11"/>
    </row>
    <row r="219" ht="12.0" customHeight="1">
      <c r="A219" s="24" t="s">
        <v>652</v>
      </c>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2.0" customHeight="1">
      <c r="A220" s="30" t="s">
        <v>88</v>
      </c>
      <c r="B220" s="108">
        <f t="shared" ref="B220:B227" si="97">MAX(1,B211)</f>
        <v>1</v>
      </c>
      <c r="C220" s="108">
        <f t="shared" ref="C220:K220" si="96">MAX(B220,C211)</f>
        <v>1</v>
      </c>
      <c r="D220" s="108">
        <f t="shared" si="96"/>
        <v>1</v>
      </c>
      <c r="E220" s="108">
        <f t="shared" si="96"/>
        <v>1</v>
      </c>
      <c r="F220" s="108">
        <f t="shared" si="96"/>
        <v>1</v>
      </c>
      <c r="G220" s="108">
        <f t="shared" si="96"/>
        <v>1</v>
      </c>
      <c r="H220" s="108">
        <f t="shared" si="96"/>
        <v>1</v>
      </c>
      <c r="I220" s="108">
        <f t="shared" si="96"/>
        <v>1</v>
      </c>
      <c r="J220" s="108">
        <f t="shared" si="96"/>
        <v>1</v>
      </c>
      <c r="K220" s="108">
        <f t="shared" si="96"/>
        <v>1</v>
      </c>
      <c r="L220" s="11"/>
      <c r="M220" s="11"/>
      <c r="N220" s="11"/>
      <c r="O220" s="11"/>
      <c r="P220" s="11"/>
      <c r="Q220" s="11"/>
      <c r="R220" s="11"/>
      <c r="S220" s="11"/>
      <c r="T220" s="11"/>
      <c r="U220" s="11"/>
      <c r="V220" s="11"/>
      <c r="W220" s="11"/>
      <c r="X220" s="11"/>
      <c r="Y220" s="11"/>
      <c r="Z220" s="11"/>
      <c r="AA220" s="11"/>
      <c r="AB220" s="11"/>
      <c r="AC220" s="11"/>
      <c r="AD220" s="11"/>
    </row>
    <row r="221" ht="12.0" customHeight="1">
      <c r="A221" s="30" t="s">
        <v>89</v>
      </c>
      <c r="B221" s="108">
        <f t="shared" si="97"/>
        <v>1</v>
      </c>
      <c r="C221" s="108">
        <f t="shared" ref="C221:K221" si="98">MAX(B221,C212)</f>
        <v>1</v>
      </c>
      <c r="D221" s="108">
        <f t="shared" si="98"/>
        <v>1</v>
      </c>
      <c r="E221" s="108">
        <f t="shared" si="98"/>
        <v>1</v>
      </c>
      <c r="F221" s="108">
        <f t="shared" si="98"/>
        <v>1</v>
      </c>
      <c r="G221" s="108">
        <f t="shared" si="98"/>
        <v>1</v>
      </c>
      <c r="H221" s="108">
        <f t="shared" si="98"/>
        <v>1</v>
      </c>
      <c r="I221" s="108">
        <f t="shared" si="98"/>
        <v>1</v>
      </c>
      <c r="J221" s="108">
        <f t="shared" si="98"/>
        <v>1</v>
      </c>
      <c r="K221" s="108">
        <f t="shared" si="98"/>
        <v>2</v>
      </c>
      <c r="L221" s="11"/>
      <c r="M221" s="11"/>
      <c r="N221" s="11"/>
      <c r="O221" s="11"/>
      <c r="P221" s="11"/>
      <c r="Q221" s="11"/>
      <c r="R221" s="11"/>
      <c r="S221" s="11"/>
      <c r="T221" s="11"/>
      <c r="U221" s="11"/>
      <c r="V221" s="11"/>
      <c r="W221" s="11"/>
      <c r="X221" s="11"/>
      <c r="Y221" s="11"/>
      <c r="Z221" s="11"/>
      <c r="AA221" s="11"/>
      <c r="AB221" s="11"/>
      <c r="AC221" s="11"/>
      <c r="AD221" s="11"/>
    </row>
    <row r="222" ht="12.0" customHeight="1">
      <c r="A222" s="30" t="s">
        <v>90</v>
      </c>
      <c r="B222" s="108">
        <f t="shared" si="97"/>
        <v>1</v>
      </c>
      <c r="C222" s="108">
        <f t="shared" ref="C222:K222" si="99">MAX(B222,C213)</f>
        <v>1</v>
      </c>
      <c r="D222" s="108">
        <f t="shared" si="99"/>
        <v>1</v>
      </c>
      <c r="E222" s="108">
        <f t="shared" si="99"/>
        <v>1</v>
      </c>
      <c r="F222" s="108">
        <f t="shared" si="99"/>
        <v>1</v>
      </c>
      <c r="G222" s="108">
        <f t="shared" si="99"/>
        <v>1</v>
      </c>
      <c r="H222" s="108">
        <f t="shared" si="99"/>
        <v>1</v>
      </c>
      <c r="I222" s="108">
        <f t="shared" si="99"/>
        <v>1</v>
      </c>
      <c r="J222" s="108">
        <f t="shared" si="99"/>
        <v>1</v>
      </c>
      <c r="K222" s="108">
        <f t="shared" si="99"/>
        <v>1</v>
      </c>
      <c r="L222" s="11"/>
      <c r="M222" s="11"/>
      <c r="N222" s="11"/>
      <c r="O222" s="11"/>
      <c r="P222" s="11"/>
      <c r="Q222" s="11"/>
      <c r="R222" s="11"/>
      <c r="S222" s="11"/>
      <c r="T222" s="11"/>
      <c r="U222" s="11"/>
      <c r="V222" s="11"/>
      <c r="W222" s="11"/>
      <c r="X222" s="11"/>
      <c r="Y222" s="11"/>
      <c r="Z222" s="11"/>
      <c r="AA222" s="11"/>
      <c r="AB222" s="11"/>
      <c r="AC222" s="11"/>
      <c r="AD222" s="11"/>
    </row>
    <row r="223" ht="12.0" customHeight="1">
      <c r="A223" s="30" t="s">
        <v>91</v>
      </c>
      <c r="B223" s="108">
        <f t="shared" si="97"/>
        <v>1</v>
      </c>
      <c r="C223" s="108">
        <f t="shared" ref="C223:K223" si="100">MAX(B223,C214)</f>
        <v>1</v>
      </c>
      <c r="D223" s="108">
        <f t="shared" si="100"/>
        <v>1</v>
      </c>
      <c r="E223" s="108">
        <f t="shared" si="100"/>
        <v>1</v>
      </c>
      <c r="F223" s="108">
        <f t="shared" si="100"/>
        <v>1</v>
      </c>
      <c r="G223" s="108">
        <f t="shared" si="100"/>
        <v>1</v>
      </c>
      <c r="H223" s="108">
        <f t="shared" si="100"/>
        <v>1</v>
      </c>
      <c r="I223" s="108">
        <f t="shared" si="100"/>
        <v>1</v>
      </c>
      <c r="J223" s="108">
        <f t="shared" si="100"/>
        <v>1</v>
      </c>
      <c r="K223" s="108">
        <f t="shared" si="100"/>
        <v>1</v>
      </c>
      <c r="L223" s="11"/>
      <c r="M223" s="11"/>
      <c r="N223" s="11"/>
      <c r="O223" s="11"/>
      <c r="P223" s="11"/>
      <c r="Q223" s="11"/>
      <c r="R223" s="11"/>
      <c r="S223" s="11"/>
      <c r="T223" s="11"/>
      <c r="U223" s="11"/>
      <c r="V223" s="11"/>
      <c r="W223" s="11"/>
      <c r="X223" s="11"/>
      <c r="Y223" s="11"/>
      <c r="Z223" s="11"/>
      <c r="AA223" s="11"/>
      <c r="AB223" s="11"/>
      <c r="AC223" s="11"/>
      <c r="AD223" s="11"/>
    </row>
    <row r="224" ht="12.0" customHeight="1">
      <c r="A224" s="30" t="s">
        <v>93</v>
      </c>
      <c r="B224" s="108">
        <f t="shared" si="97"/>
        <v>1</v>
      </c>
      <c r="C224" s="108">
        <f t="shared" ref="C224:K224" si="101">MAX(B224,C215)</f>
        <v>1</v>
      </c>
      <c r="D224" s="108">
        <f t="shared" si="101"/>
        <v>1</v>
      </c>
      <c r="E224" s="108">
        <f t="shared" si="101"/>
        <v>1</v>
      </c>
      <c r="F224" s="108">
        <f t="shared" si="101"/>
        <v>1</v>
      </c>
      <c r="G224" s="108">
        <f t="shared" si="101"/>
        <v>1</v>
      </c>
      <c r="H224" s="108">
        <f t="shared" si="101"/>
        <v>1</v>
      </c>
      <c r="I224" s="108">
        <f t="shared" si="101"/>
        <v>1</v>
      </c>
      <c r="J224" s="108">
        <f t="shared" si="101"/>
        <v>1</v>
      </c>
      <c r="K224" s="108">
        <f t="shared" si="101"/>
        <v>1</v>
      </c>
      <c r="L224" s="11"/>
      <c r="M224" s="11"/>
      <c r="N224" s="11"/>
      <c r="O224" s="11"/>
      <c r="P224" s="11"/>
      <c r="Q224" s="11"/>
      <c r="R224" s="11"/>
      <c r="S224" s="11"/>
      <c r="T224" s="11"/>
      <c r="U224" s="11"/>
      <c r="V224" s="11"/>
      <c r="W224" s="11"/>
      <c r="X224" s="11"/>
      <c r="Y224" s="11"/>
      <c r="Z224" s="11"/>
      <c r="AA224" s="11"/>
      <c r="AB224" s="11"/>
      <c r="AC224" s="11"/>
      <c r="AD224" s="11"/>
    </row>
    <row r="225" ht="12.0" customHeight="1">
      <c r="A225" s="30" t="s">
        <v>94</v>
      </c>
      <c r="B225" s="108">
        <f t="shared" si="97"/>
        <v>1</v>
      </c>
      <c r="C225" s="108">
        <f t="shared" ref="C225:K225" si="102">MAX(B225,C216)</f>
        <v>1</v>
      </c>
      <c r="D225" s="108">
        <f t="shared" si="102"/>
        <v>1</v>
      </c>
      <c r="E225" s="108">
        <f t="shared" si="102"/>
        <v>1</v>
      </c>
      <c r="F225" s="108">
        <f t="shared" si="102"/>
        <v>1</v>
      </c>
      <c r="G225" s="108">
        <f t="shared" si="102"/>
        <v>1</v>
      </c>
      <c r="H225" s="108">
        <f t="shared" si="102"/>
        <v>1</v>
      </c>
      <c r="I225" s="108">
        <f t="shared" si="102"/>
        <v>1</v>
      </c>
      <c r="J225" s="108">
        <f t="shared" si="102"/>
        <v>1</v>
      </c>
      <c r="K225" s="108">
        <f t="shared" si="102"/>
        <v>1</v>
      </c>
      <c r="L225" s="11"/>
      <c r="M225" s="11"/>
      <c r="N225" s="11"/>
      <c r="O225" s="11"/>
      <c r="P225" s="11"/>
      <c r="Q225" s="11"/>
      <c r="R225" s="11"/>
      <c r="S225" s="11"/>
      <c r="T225" s="11"/>
      <c r="U225" s="11"/>
      <c r="V225" s="11"/>
      <c r="W225" s="11"/>
      <c r="X225" s="11"/>
      <c r="Y225" s="11"/>
      <c r="Z225" s="11"/>
      <c r="AA225" s="11"/>
      <c r="AB225" s="11"/>
      <c r="AC225" s="11"/>
      <c r="AD225" s="11"/>
    </row>
    <row r="226" ht="12.0" customHeight="1">
      <c r="A226" s="30" t="s">
        <v>96</v>
      </c>
      <c r="B226" s="108">
        <f t="shared" si="97"/>
        <v>1</v>
      </c>
      <c r="C226" s="108">
        <f t="shared" ref="C226:K226" si="103">MAX(B226,C217)</f>
        <v>1</v>
      </c>
      <c r="D226" s="108">
        <f t="shared" si="103"/>
        <v>1</v>
      </c>
      <c r="E226" s="108">
        <f t="shared" si="103"/>
        <v>1</v>
      </c>
      <c r="F226" s="108">
        <f t="shared" si="103"/>
        <v>1</v>
      </c>
      <c r="G226" s="108">
        <f t="shared" si="103"/>
        <v>1</v>
      </c>
      <c r="H226" s="108">
        <f t="shared" si="103"/>
        <v>1</v>
      </c>
      <c r="I226" s="108">
        <f t="shared" si="103"/>
        <v>1</v>
      </c>
      <c r="J226" s="108">
        <f t="shared" si="103"/>
        <v>1</v>
      </c>
      <c r="K226" s="108">
        <f t="shared" si="103"/>
        <v>1</v>
      </c>
      <c r="L226" s="11"/>
      <c r="M226" s="11"/>
      <c r="N226" s="11"/>
      <c r="O226" s="11"/>
      <c r="P226" s="11"/>
      <c r="Q226" s="11"/>
      <c r="R226" s="11"/>
      <c r="S226" s="11"/>
      <c r="T226" s="11"/>
      <c r="U226" s="11"/>
      <c r="V226" s="11"/>
      <c r="W226" s="11"/>
      <c r="X226" s="11"/>
      <c r="Y226" s="11"/>
      <c r="Z226" s="11"/>
      <c r="AA226" s="11"/>
      <c r="AB226" s="11"/>
      <c r="AC226" s="11"/>
      <c r="AD226" s="11"/>
    </row>
    <row r="227" ht="12.0" customHeight="1">
      <c r="A227" s="30" t="s">
        <v>97</v>
      </c>
      <c r="B227" s="108">
        <f t="shared" si="97"/>
        <v>1</v>
      </c>
      <c r="C227" s="108">
        <f t="shared" ref="C227:K227" si="104">MAX(B227,C218)</f>
        <v>1</v>
      </c>
      <c r="D227" s="108">
        <f t="shared" si="104"/>
        <v>1</v>
      </c>
      <c r="E227" s="108">
        <f t="shared" si="104"/>
        <v>1</v>
      </c>
      <c r="F227" s="108">
        <f t="shared" si="104"/>
        <v>1</v>
      </c>
      <c r="G227" s="108">
        <f t="shared" si="104"/>
        <v>1</v>
      </c>
      <c r="H227" s="108">
        <f t="shared" si="104"/>
        <v>1</v>
      </c>
      <c r="I227" s="108">
        <f t="shared" si="104"/>
        <v>1</v>
      </c>
      <c r="J227" s="108">
        <f t="shared" si="104"/>
        <v>1</v>
      </c>
      <c r="K227" s="108">
        <f t="shared" si="104"/>
        <v>1</v>
      </c>
      <c r="L227" s="11"/>
      <c r="M227" s="11"/>
      <c r="N227" s="11"/>
      <c r="O227" s="11"/>
      <c r="P227" s="11"/>
      <c r="Q227" s="11"/>
      <c r="R227" s="11"/>
      <c r="S227" s="11"/>
      <c r="T227" s="11"/>
      <c r="U227" s="11"/>
      <c r="V227" s="11"/>
      <c r="W227" s="11"/>
      <c r="X227" s="11"/>
      <c r="Y227" s="11"/>
      <c r="Z227" s="11"/>
      <c r="AA227" s="11"/>
      <c r="AB227" s="11"/>
      <c r="AC227" s="11"/>
      <c r="AD227" s="11"/>
    </row>
    <row r="228" ht="12.0" customHeight="1">
      <c r="A228" s="73" t="s">
        <v>653</v>
      </c>
      <c r="B228" s="36">
        <f t="shared" ref="B228:K228" si="105">SUM(B220:B227)</f>
        <v>8</v>
      </c>
      <c r="C228" s="36">
        <f t="shared" si="105"/>
        <v>8</v>
      </c>
      <c r="D228" s="36">
        <f t="shared" si="105"/>
        <v>8</v>
      </c>
      <c r="E228" s="36">
        <f t="shared" si="105"/>
        <v>8</v>
      </c>
      <c r="F228" s="36">
        <f t="shared" si="105"/>
        <v>8</v>
      </c>
      <c r="G228" s="36">
        <f t="shared" si="105"/>
        <v>8</v>
      </c>
      <c r="H228" s="36">
        <f t="shared" si="105"/>
        <v>8</v>
      </c>
      <c r="I228" s="36">
        <f t="shared" si="105"/>
        <v>8</v>
      </c>
      <c r="J228" s="36">
        <f t="shared" si="105"/>
        <v>8</v>
      </c>
      <c r="K228" s="36">
        <f t="shared" si="105"/>
        <v>9</v>
      </c>
      <c r="L228" s="11"/>
      <c r="M228" s="11"/>
      <c r="N228" s="11"/>
      <c r="O228" s="11"/>
      <c r="P228" s="11"/>
      <c r="Q228" s="11"/>
      <c r="R228" s="11"/>
      <c r="S228" s="11"/>
      <c r="T228" s="11"/>
      <c r="U228" s="11"/>
      <c r="V228" s="11"/>
      <c r="W228" s="11"/>
      <c r="X228" s="11"/>
      <c r="Y228" s="11"/>
      <c r="Z228" s="11"/>
      <c r="AA228" s="11"/>
      <c r="AB228" s="11"/>
      <c r="AC228" s="11"/>
      <c r="AD228" s="11"/>
    </row>
    <row r="229" ht="12.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2.0" customHeight="1">
      <c r="A230" s="188" t="s">
        <v>654</v>
      </c>
      <c r="B230" s="3"/>
      <c r="C230" s="3"/>
      <c r="D230" s="3"/>
      <c r="E230" s="3"/>
      <c r="F230" s="3"/>
      <c r="G230" s="3"/>
      <c r="H230" s="3"/>
      <c r="I230" s="3"/>
      <c r="J230" s="3"/>
      <c r="K230" s="130"/>
      <c r="L230" s="11"/>
      <c r="M230" s="11"/>
      <c r="N230" s="11"/>
      <c r="O230" s="11"/>
      <c r="P230" s="11"/>
      <c r="Q230" s="11"/>
      <c r="R230" s="11"/>
      <c r="S230" s="11"/>
      <c r="T230" s="11"/>
      <c r="U230" s="11"/>
      <c r="V230" s="11"/>
      <c r="W230" s="11"/>
      <c r="X230" s="11"/>
      <c r="Y230" s="11"/>
      <c r="Z230" s="11"/>
      <c r="AA230" s="11"/>
      <c r="AB230" s="11"/>
      <c r="AC230" s="11"/>
      <c r="AD230" s="11"/>
    </row>
    <row r="231" ht="12.0" customHeight="1">
      <c r="A231" s="135" t="s">
        <v>22</v>
      </c>
      <c r="B231" s="135">
        <v>2026.0</v>
      </c>
      <c r="C231" s="135">
        <v>2027.0</v>
      </c>
      <c r="D231" s="135">
        <v>2028.0</v>
      </c>
      <c r="E231" s="135">
        <v>2029.0</v>
      </c>
      <c r="F231" s="135">
        <v>2030.0</v>
      </c>
      <c r="G231" s="135">
        <v>2031.0</v>
      </c>
      <c r="H231" s="135">
        <v>2032.0</v>
      </c>
      <c r="I231" s="135">
        <v>2033.0</v>
      </c>
      <c r="J231" s="135">
        <v>2034.0</v>
      </c>
      <c r="K231" s="135">
        <v>2035.0</v>
      </c>
      <c r="L231" s="11"/>
      <c r="M231" s="11"/>
      <c r="N231" s="11"/>
      <c r="O231" s="11"/>
      <c r="P231" s="11"/>
      <c r="Q231" s="11"/>
      <c r="R231" s="11"/>
      <c r="S231" s="11"/>
      <c r="T231" s="11"/>
      <c r="U231" s="11"/>
      <c r="V231" s="11"/>
      <c r="W231" s="11"/>
      <c r="X231" s="11"/>
      <c r="Y231" s="11"/>
      <c r="Z231" s="11"/>
      <c r="AA231" s="11"/>
      <c r="AB231" s="11"/>
      <c r="AC231" s="11"/>
      <c r="AD231" s="11"/>
    </row>
    <row r="232" ht="12.0" customHeight="1">
      <c r="A232" s="73" t="s">
        <v>655</v>
      </c>
      <c r="B232" s="84">
        <f>MAX('Analisis de operaciones'!C2965:N2965)</f>
        <v>301.61</v>
      </c>
      <c r="C232" s="84">
        <f>MAX('Analisis de operaciones'!C2976:N2976)</f>
        <v>539.27</v>
      </c>
      <c r="D232" s="84">
        <f>MAX('Analisis de operaciones'!C2987:N2987)</f>
        <v>931.13</v>
      </c>
      <c r="E232" s="84">
        <f>MAX('Analisis de operaciones'!C2998:N2998)</f>
        <v>1719.47</v>
      </c>
      <c r="F232" s="84">
        <f>MAX('Analisis de operaciones'!C3009:N3009)</f>
        <v>2916.69</v>
      </c>
      <c r="G232" s="84">
        <f>MAX('Analisis de operaciones'!C3020:N3020)</f>
        <v>4094.39</v>
      </c>
      <c r="H232" s="84">
        <f>MAX('Analisis de operaciones'!C3031:N3031)</f>
        <v>5519.07</v>
      </c>
      <c r="I232" s="84">
        <f>MAX('Analisis de operaciones'!C3042:N3042)</f>
        <v>6987.29</v>
      </c>
      <c r="J232" s="84">
        <f>MAX('Analisis de operaciones'!C3053:N3053)</f>
        <v>7978.69</v>
      </c>
      <c r="K232" s="84">
        <f>MAX('Analisis de operaciones'!C3064:N3064)</f>
        <v>9225.32</v>
      </c>
      <c r="L232" s="11"/>
      <c r="M232" s="11"/>
      <c r="N232" s="11"/>
      <c r="O232" s="11"/>
      <c r="P232" s="11"/>
      <c r="Q232" s="11"/>
      <c r="R232" s="11"/>
      <c r="S232" s="11"/>
      <c r="T232" s="11"/>
      <c r="U232" s="11"/>
      <c r="V232" s="11"/>
      <c r="W232" s="11"/>
      <c r="X232" s="11"/>
      <c r="Y232" s="11"/>
      <c r="Z232" s="11"/>
      <c r="AA232" s="11"/>
      <c r="AB232" s="11"/>
      <c r="AC232" s="11"/>
      <c r="AD232" s="11"/>
    </row>
    <row r="233" ht="12.0" customHeight="1">
      <c r="A233" s="30" t="s">
        <v>657</v>
      </c>
      <c r="B233" s="87">
        <f>MAX('Analisis de operaciones'!C2972:N2972)</f>
        <v>0.01616383496</v>
      </c>
      <c r="C233" s="87">
        <f>MAX('Analisis de operaciones'!C2983:N2983)</f>
        <v>0.02890047173</v>
      </c>
      <c r="D233" s="87">
        <f>MAX('Analisis de operaciones'!C2994:N2994)</f>
        <v>0.04990097028</v>
      </c>
      <c r="E233" s="87">
        <f>MAX('Analisis de operaciones'!C3005:N3005)</f>
        <v>0.09214956168</v>
      </c>
      <c r="F233" s="87">
        <f>MAX('Analisis de operaciones'!C3016:N3016)</f>
        <v>0.1563107848</v>
      </c>
      <c r="G233" s="87">
        <f>MAX('Analisis de operaciones'!C3027:N3027)</f>
        <v>0.2194258951</v>
      </c>
      <c r="H233" s="87">
        <f>MAX('Analisis de operaciones'!C3038:N3038)</f>
        <v>0.2957771182</v>
      </c>
      <c r="I233" s="87">
        <f>MAX('Analisis de operaciones'!C3049:N3049)</f>
        <v>0.37446173</v>
      </c>
      <c r="J233" s="87">
        <f>MAX('Analisis de operaciones'!C3060:N3060)</f>
        <v>0.4275926805</v>
      </c>
      <c r="K233" s="87">
        <f>MAX('Analisis de operaciones'!C3071:N3071)</f>
        <v>0.4944018764</v>
      </c>
      <c r="L233" s="11"/>
      <c r="M233" s="11"/>
      <c r="N233" s="11"/>
      <c r="O233" s="11"/>
      <c r="P233" s="11"/>
      <c r="Q233" s="11"/>
      <c r="R233" s="11"/>
      <c r="S233" s="11"/>
      <c r="T233" s="11"/>
      <c r="U233" s="11"/>
      <c r="V233" s="11"/>
      <c r="W233" s="11"/>
      <c r="X233" s="11"/>
      <c r="Y233" s="11"/>
      <c r="Z233" s="11"/>
      <c r="AA233" s="11"/>
      <c r="AB233" s="11"/>
      <c r="AC233" s="11"/>
      <c r="AD233" s="11"/>
    </row>
    <row r="234" ht="12.0" customHeight="1">
      <c r="A234" s="30" t="s">
        <v>658</v>
      </c>
      <c r="B234" s="46">
        <f>ROUNDUP(B232/(Parametros!$N$90*$B$50),0)</f>
        <v>1</v>
      </c>
      <c r="C234" s="46">
        <f>ROUNDUP(C232/(Parametros!$N$90*$B$50),0)</f>
        <v>1</v>
      </c>
      <c r="D234" s="46">
        <f>ROUNDUP(D232/(Parametros!$N$90*$B$50),0)</f>
        <v>1</v>
      </c>
      <c r="E234" s="46">
        <f>ROUNDUP(E232/(Parametros!$N$90*$B$50),0)</f>
        <v>1</v>
      </c>
      <c r="F234" s="46">
        <f>ROUNDUP(F232/(Parametros!$N$90*$B$50),0)</f>
        <v>1</v>
      </c>
      <c r="G234" s="46">
        <f>ROUNDUP(G232/(Parametros!$N$90*$B$50),0)</f>
        <v>1</v>
      </c>
      <c r="H234" s="46">
        <f>ROUNDUP(H232/(Parametros!$N$90*$B$50),0)</f>
        <v>1</v>
      </c>
      <c r="I234" s="46">
        <f>ROUNDUP(I232/(Parametros!$N$90*$B$50),0)</f>
        <v>1</v>
      </c>
      <c r="J234" s="46">
        <f>ROUNDUP(J232/(Parametros!$N$90*$B$50),0)</f>
        <v>1</v>
      </c>
      <c r="K234" s="46">
        <f>ROUNDUP(K232/(Parametros!$N$90*$B$50),0)</f>
        <v>1</v>
      </c>
      <c r="L234" s="11"/>
      <c r="M234" s="11"/>
      <c r="N234" s="11"/>
      <c r="O234" s="11"/>
      <c r="P234" s="11"/>
      <c r="Q234" s="11"/>
      <c r="R234" s="11"/>
      <c r="S234" s="11"/>
      <c r="T234" s="11"/>
      <c r="U234" s="11"/>
      <c r="V234" s="11"/>
      <c r="W234" s="11"/>
      <c r="X234" s="11"/>
      <c r="Y234" s="11"/>
      <c r="Z234" s="11"/>
      <c r="AA234" s="11"/>
      <c r="AB234" s="11"/>
      <c r="AC234" s="11"/>
      <c r="AD234" s="11"/>
    </row>
    <row r="235" ht="12.0" customHeight="1">
      <c r="A235" s="73" t="s">
        <v>659</v>
      </c>
      <c r="B235" s="36">
        <f>MAX(1,B234)</f>
        <v>1</v>
      </c>
      <c r="C235" s="36">
        <f t="shared" ref="C235:K235" si="106">MAX(B235,C234)</f>
        <v>1</v>
      </c>
      <c r="D235" s="36">
        <f t="shared" si="106"/>
        <v>1</v>
      </c>
      <c r="E235" s="36">
        <f t="shared" si="106"/>
        <v>1</v>
      </c>
      <c r="F235" s="36">
        <f t="shared" si="106"/>
        <v>1</v>
      </c>
      <c r="G235" s="36">
        <f t="shared" si="106"/>
        <v>1</v>
      </c>
      <c r="H235" s="36">
        <f t="shared" si="106"/>
        <v>1</v>
      </c>
      <c r="I235" s="36">
        <f t="shared" si="106"/>
        <v>1</v>
      </c>
      <c r="J235" s="36">
        <f t="shared" si="106"/>
        <v>1</v>
      </c>
      <c r="K235" s="36">
        <f t="shared" si="106"/>
        <v>1</v>
      </c>
      <c r="L235" s="11"/>
      <c r="M235" s="11"/>
      <c r="N235" s="11"/>
      <c r="O235" s="11"/>
      <c r="P235" s="11"/>
      <c r="Q235" s="11"/>
      <c r="R235" s="11"/>
      <c r="S235" s="11"/>
      <c r="T235" s="11"/>
      <c r="U235" s="11"/>
      <c r="V235" s="11"/>
      <c r="W235" s="11"/>
      <c r="X235" s="11"/>
      <c r="Y235" s="11"/>
      <c r="Z235" s="11"/>
      <c r="AA235" s="11"/>
      <c r="AB235" s="11"/>
      <c r="AC235" s="11"/>
      <c r="AD235" s="11"/>
    </row>
    <row r="236" ht="12.0"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2.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2.0"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2.0" customHeight="1">
      <c r="A239" s="188" t="s">
        <v>661</v>
      </c>
      <c r="B239" s="3"/>
      <c r="C239" s="3"/>
      <c r="D239" s="3"/>
      <c r="E239" s="3"/>
      <c r="F239" s="3"/>
      <c r="G239" s="3"/>
      <c r="H239" s="3"/>
      <c r="I239" s="3"/>
      <c r="J239" s="3"/>
      <c r="K239" s="130"/>
      <c r="L239" s="11"/>
      <c r="M239" s="11"/>
      <c r="N239" s="11"/>
      <c r="O239" s="11"/>
      <c r="P239" s="11"/>
      <c r="Q239" s="11"/>
      <c r="R239" s="11"/>
      <c r="S239" s="11"/>
      <c r="T239" s="11"/>
      <c r="U239" s="11"/>
      <c r="V239" s="11"/>
      <c r="W239" s="11"/>
      <c r="X239" s="11"/>
      <c r="Y239" s="11"/>
      <c r="Z239" s="11"/>
      <c r="AA239" s="11"/>
      <c r="AB239" s="11"/>
      <c r="AC239" s="11"/>
      <c r="AD239" s="11"/>
    </row>
    <row r="240" ht="12.0"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2.0" customHeight="1">
      <c r="A241" s="134" t="s">
        <v>662</v>
      </c>
      <c r="B241" s="16"/>
      <c r="C241" s="16"/>
      <c r="D241" s="16"/>
      <c r="E241" s="16"/>
      <c r="F241" s="16"/>
      <c r="G241" s="16"/>
      <c r="H241" s="16"/>
      <c r="I241" s="16"/>
      <c r="J241" s="16"/>
      <c r="K241" s="16"/>
      <c r="L241" s="17"/>
      <c r="M241" s="11"/>
      <c r="N241" s="11"/>
      <c r="O241" s="11"/>
      <c r="P241" s="11"/>
      <c r="Q241" s="11"/>
      <c r="R241" s="11"/>
      <c r="S241" s="11"/>
      <c r="T241" s="11"/>
      <c r="U241" s="11"/>
      <c r="V241" s="11"/>
      <c r="W241" s="11"/>
      <c r="X241" s="11"/>
      <c r="Y241" s="11"/>
      <c r="Z241" s="11"/>
      <c r="AA241" s="11"/>
      <c r="AB241" s="11"/>
      <c r="AC241" s="11"/>
      <c r="AD241" s="11"/>
    </row>
    <row r="242" ht="12.0" customHeight="1">
      <c r="A242" s="135" t="s">
        <v>22</v>
      </c>
      <c r="B242" s="135">
        <v>2026.0</v>
      </c>
      <c r="C242" s="135">
        <v>2027.0</v>
      </c>
      <c r="D242" s="135">
        <v>2028.0</v>
      </c>
      <c r="E242" s="135">
        <v>2029.0</v>
      </c>
      <c r="F242" s="135">
        <v>2030.0</v>
      </c>
      <c r="G242" s="135">
        <v>2031.0</v>
      </c>
      <c r="H242" s="135">
        <v>2032.0</v>
      </c>
      <c r="I242" s="135">
        <v>2033.0</v>
      </c>
      <c r="J242" s="135">
        <v>2034.0</v>
      </c>
      <c r="K242" s="135">
        <v>2035.0</v>
      </c>
      <c r="L242" s="135" t="s">
        <v>33</v>
      </c>
      <c r="M242" s="11"/>
      <c r="N242" s="11"/>
      <c r="O242" s="11"/>
      <c r="P242" s="11"/>
      <c r="Q242" s="11"/>
      <c r="R242" s="11"/>
      <c r="S242" s="11"/>
      <c r="T242" s="11"/>
      <c r="U242" s="11"/>
      <c r="V242" s="11"/>
      <c r="W242" s="11"/>
      <c r="X242" s="11"/>
      <c r="Y242" s="11"/>
      <c r="Z242" s="11"/>
      <c r="AA242" s="11"/>
      <c r="AB242" s="11"/>
      <c r="AC242" s="11"/>
      <c r="AD242" s="11"/>
    </row>
    <row r="243" ht="12.0" customHeight="1">
      <c r="A243" s="30" t="s">
        <v>457</v>
      </c>
      <c r="B243" s="87">
        <f>'Analisis Recargas'!S31</f>
        <v>0.025333246</v>
      </c>
      <c r="C243" s="87">
        <f>'Analisis Recargas'!S86</f>
        <v>0.114483395</v>
      </c>
      <c r="D243" s="87">
        <f>'Analisis Recargas'!S141</f>
        <v>0.2287337729</v>
      </c>
      <c r="E243" s="87">
        <f>'Analisis Recargas'!S196</f>
        <v>0.4237589971</v>
      </c>
      <c r="F243" s="87">
        <f>'Analisis Recargas'!S251</f>
        <v>0.6239838329</v>
      </c>
      <c r="G243" s="87">
        <f>'Analisis Recargas'!S306</f>
        <v>0.8496852123</v>
      </c>
      <c r="H243" s="87">
        <f>'Analisis Recargas'!S361</f>
        <v>0.5278458636</v>
      </c>
      <c r="I243" s="87">
        <f>'Analisis Recargas'!S416</f>
        <v>0.6005324779</v>
      </c>
      <c r="J243" s="87">
        <f>'Analisis Recargas'!S471</f>
        <v>0.6459350011</v>
      </c>
      <c r="K243" s="87">
        <f>'Analisis Recargas'!S526</f>
        <v>0.6922927362</v>
      </c>
      <c r="L243" s="118" t="s">
        <v>56</v>
      </c>
      <c r="M243" s="11"/>
      <c r="N243" s="11"/>
      <c r="O243" s="11"/>
      <c r="P243" s="11"/>
      <c r="Q243" s="11"/>
      <c r="R243" s="11"/>
      <c r="S243" s="11"/>
      <c r="T243" s="11"/>
      <c r="U243" s="11"/>
      <c r="V243" s="11"/>
      <c r="W243" s="11"/>
      <c r="X243" s="11"/>
      <c r="Y243" s="11"/>
      <c r="Z243" s="11"/>
      <c r="AA243" s="11"/>
      <c r="AB243" s="11"/>
      <c r="AC243" s="11"/>
      <c r="AD243" s="11"/>
    </row>
    <row r="244" ht="12.0" customHeight="1">
      <c r="A244" s="30" t="s">
        <v>459</v>
      </c>
      <c r="B244" s="87">
        <f>'Analisis Recargas'!S32</f>
        <v>0.03483321326</v>
      </c>
      <c r="C244" s="87">
        <f>'Analisis Recargas'!S87</f>
        <v>0.1574146682</v>
      </c>
      <c r="D244" s="87">
        <f>'Analisis Recargas'!S142</f>
        <v>0.3145089378</v>
      </c>
      <c r="E244" s="87">
        <f>'Analisis Recargas'!S197</f>
        <v>0.582668621</v>
      </c>
      <c r="F244" s="87">
        <f>'Analisis Recargas'!S252</f>
        <v>0.8579777702</v>
      </c>
      <c r="G244" s="87">
        <f>'Analisis Recargas'!S307</f>
        <v>0.5841585835</v>
      </c>
      <c r="H244" s="87">
        <f>'Analisis Recargas'!S362</f>
        <v>0.7257880624</v>
      </c>
      <c r="I244" s="87">
        <f>'Analisis Recargas'!S417</f>
        <v>0.8257321571</v>
      </c>
      <c r="J244" s="87">
        <f>'Analisis Recargas'!S472</f>
        <v>0.8881606266</v>
      </c>
      <c r="K244" s="87">
        <f>'Analisis Recargas'!S527</f>
        <v>0.4759512562</v>
      </c>
      <c r="L244" s="118" t="s">
        <v>56</v>
      </c>
      <c r="M244" s="11"/>
      <c r="N244" s="11"/>
      <c r="O244" s="11"/>
      <c r="P244" s="11"/>
      <c r="Q244" s="11"/>
      <c r="R244" s="11"/>
      <c r="S244" s="11"/>
      <c r="T244" s="11"/>
      <c r="U244" s="11"/>
      <c r="V244" s="11"/>
      <c r="W244" s="11"/>
      <c r="X244" s="11"/>
      <c r="Y244" s="11"/>
      <c r="Z244" s="11"/>
      <c r="AA244" s="11"/>
      <c r="AB244" s="11"/>
      <c r="AC244" s="11"/>
      <c r="AD244" s="11"/>
    </row>
    <row r="245" ht="12.0" customHeight="1">
      <c r="A245" s="30" t="s">
        <v>467</v>
      </c>
      <c r="B245" s="87">
        <f>'Analisis Recargas'!S39</f>
        <v>0.05397027123</v>
      </c>
      <c r="C245" s="87">
        <f>'Analisis Recargas'!S94</f>
        <v>0.2450767926</v>
      </c>
      <c r="D245" s="87">
        <f>'Analisis Recargas'!S149</f>
        <v>0.4862886507</v>
      </c>
      <c r="E245" s="87">
        <f>'Analisis Recargas'!S204</f>
        <v>0.4501516112</v>
      </c>
      <c r="F245" s="87">
        <f>'Analisis Recargas'!S259</f>
        <v>0.6636281373</v>
      </c>
      <c r="G245" s="87">
        <f>'Analisis Recargas'!S314</f>
        <v>0.6032743251</v>
      </c>
      <c r="H245" s="87">
        <f>'Analisis Recargas'!S369</f>
        <v>0.7500404733</v>
      </c>
      <c r="I245" s="87">
        <f>'Analisis Recargas'!S424</f>
        <v>0.8543917906</v>
      </c>
      <c r="J245" s="87">
        <f>'Analisis Recargas'!S479</f>
        <v>0.4593581552</v>
      </c>
      <c r="K245" s="87">
        <f>'Analisis Recargas'!S534</f>
        <v>0.4922087728</v>
      </c>
      <c r="L245" s="118" t="s">
        <v>56</v>
      </c>
      <c r="M245" s="11"/>
      <c r="N245" s="11"/>
      <c r="O245" s="11"/>
      <c r="P245" s="11"/>
      <c r="Q245" s="11"/>
      <c r="R245" s="11"/>
      <c r="S245" s="11"/>
      <c r="T245" s="11"/>
      <c r="U245" s="11"/>
      <c r="V245" s="11"/>
      <c r="W245" s="11"/>
      <c r="X245" s="11"/>
      <c r="Y245" s="11"/>
      <c r="Z245" s="11"/>
      <c r="AA245" s="11"/>
      <c r="AB245" s="11"/>
      <c r="AC245" s="11"/>
      <c r="AD245" s="11"/>
    </row>
    <row r="246" ht="12.0" customHeight="1">
      <c r="A246" s="30" t="s">
        <v>473</v>
      </c>
      <c r="B246" s="87">
        <f>'Analisis Recargas'!S42</f>
        <v>0.01641975486</v>
      </c>
      <c r="C246" s="87">
        <f>'Analisis Recargas'!S97</f>
        <v>0.07427010609</v>
      </c>
      <c r="D246" s="87">
        <f>'Analisis Recargas'!S152</f>
        <v>0.1489418698</v>
      </c>
      <c r="E246" s="87">
        <f>'Analisis Recargas'!S207</f>
        <v>0.2756920089</v>
      </c>
      <c r="F246" s="87">
        <f>'Analisis Recargas'!S262</f>
        <v>0.4055388432</v>
      </c>
      <c r="G246" s="87">
        <f>'Analisis Recargas'!S317</f>
        <v>0.551589687</v>
      </c>
      <c r="H246" s="87">
        <f>'Analisis Recargas'!S372</f>
        <v>0.6850061964</v>
      </c>
      <c r="I246" s="87">
        <f>'Analisis Recargas'!S427</f>
        <v>0.7787970991</v>
      </c>
      <c r="J246" s="87">
        <f>'Analisis Recargas'!S482</f>
        <v>0.8378972712</v>
      </c>
      <c r="K246" s="87">
        <f>'Analisis Recargas'!S537</f>
        <v>0.8982300759</v>
      </c>
      <c r="L246" s="118" t="s">
        <v>138</v>
      </c>
      <c r="M246" s="11"/>
      <c r="N246" s="11"/>
      <c r="O246" s="11"/>
      <c r="P246" s="11"/>
      <c r="Q246" s="11"/>
      <c r="R246" s="11"/>
      <c r="S246" s="11"/>
      <c r="T246" s="11"/>
      <c r="U246" s="11"/>
      <c r="V246" s="11"/>
      <c r="W246" s="11"/>
      <c r="X246" s="11"/>
      <c r="Y246" s="11"/>
      <c r="Z246" s="11"/>
      <c r="AA246" s="11"/>
      <c r="AB246" s="11"/>
      <c r="AC246" s="11"/>
      <c r="AD246" s="11"/>
    </row>
    <row r="247" ht="12.0" customHeight="1">
      <c r="A247" s="30" t="s">
        <v>479</v>
      </c>
      <c r="B247" s="87">
        <f>'Analisis Recargas'!S43</f>
        <v>0.02360318445</v>
      </c>
      <c r="C247" s="87">
        <f>'Analisis Recargas'!S98</f>
        <v>0.1065597297</v>
      </c>
      <c r="D247" s="87">
        <f>'Analisis Recargas'!S153</f>
        <v>0.2120415662</v>
      </c>
      <c r="E247" s="87">
        <f>'Analisis Recargas'!S208</f>
        <v>0.3932116306</v>
      </c>
      <c r="F247" s="87">
        <f>'Analisis Recargas'!S263</f>
        <v>0.579652079</v>
      </c>
      <c r="G247" s="87">
        <f>'Analisis Recargas'!S318</f>
        <v>0.7903098925</v>
      </c>
      <c r="H247" s="87">
        <f>'Analisis Recargas'!S373</f>
        <v>0.4912069864</v>
      </c>
      <c r="I247" s="87">
        <f>'Analisis Recargas'!S428</f>
        <v>0.5592667274</v>
      </c>
      <c r="J247" s="87">
        <f>'Analisis Recargas'!S483</f>
        <v>0.6013779507</v>
      </c>
      <c r="K247" s="87">
        <f>'Analisis Recargas'!S538</f>
        <v>0.6443835208</v>
      </c>
      <c r="L247" s="118" t="s">
        <v>138</v>
      </c>
      <c r="M247" s="11"/>
      <c r="N247" s="11"/>
      <c r="O247" s="11"/>
      <c r="P247" s="11"/>
      <c r="Q247" s="11"/>
      <c r="R247" s="11"/>
      <c r="S247" s="11"/>
      <c r="T247" s="11"/>
      <c r="U247" s="11"/>
      <c r="V247" s="11"/>
      <c r="W247" s="11"/>
      <c r="X247" s="11"/>
      <c r="Y247" s="11"/>
      <c r="Z247" s="11"/>
      <c r="AA247" s="11"/>
      <c r="AB247" s="11"/>
      <c r="AC247" s="11"/>
      <c r="AD247" s="11"/>
    </row>
    <row r="248" ht="12.0" customHeight="1">
      <c r="A248" s="30" t="s">
        <v>536</v>
      </c>
      <c r="B248" s="87">
        <f>'Analisis Recargas'!S50</f>
        <v>0.06896201324</v>
      </c>
      <c r="C248" s="87">
        <f>'Analisis Recargas'!S105</f>
        <v>0.3131536794</v>
      </c>
      <c r="D248" s="87">
        <f>'Analisis Recargas'!S160</f>
        <v>0.6213688314</v>
      </c>
      <c r="E248" s="87">
        <f>'Analisis Recargas'!S215</f>
        <v>0.5751937255</v>
      </c>
      <c r="F248" s="87">
        <f>'Analisis Recargas'!S270</f>
        <v>0.8479692866</v>
      </c>
      <c r="G248" s="87">
        <f>'Analisis Recargas'!S325</f>
        <v>0.7708505266</v>
      </c>
      <c r="H248" s="87">
        <f>'Analisis Recargas'!S380</f>
        <v>0.4791925246</v>
      </c>
      <c r="I248" s="87">
        <f>'Analisis Recargas'!S435</f>
        <v>0.5458614217</v>
      </c>
      <c r="J248" s="87">
        <f>'Analisis Recargas'!S490</f>
        <v>0.5869576428</v>
      </c>
      <c r="K248" s="87">
        <f>'Analisis Recargas'!S545</f>
        <v>0.6289334319</v>
      </c>
      <c r="L248" s="118" t="s">
        <v>56</v>
      </c>
      <c r="M248" s="11"/>
      <c r="N248" s="11"/>
      <c r="O248" s="11"/>
      <c r="P248" s="11"/>
      <c r="Q248" s="11"/>
      <c r="R248" s="11"/>
      <c r="S248" s="11"/>
      <c r="T248" s="11"/>
      <c r="U248" s="11"/>
      <c r="V248" s="11"/>
      <c r="W248" s="11"/>
      <c r="X248" s="11"/>
      <c r="Y248" s="11"/>
      <c r="Z248" s="11"/>
      <c r="AA248" s="11"/>
      <c r="AB248" s="11"/>
      <c r="AC248" s="11"/>
      <c r="AD248" s="11"/>
    </row>
    <row r="249" ht="12.0" customHeight="1">
      <c r="A249" s="30" t="s">
        <v>537</v>
      </c>
      <c r="B249" s="87">
        <f>'Analisis Recargas'!S51</f>
        <v>0.03201514405</v>
      </c>
      <c r="C249" s="87">
        <f>'Analisis Recargas'!S106</f>
        <v>0.1458403013</v>
      </c>
      <c r="D249" s="87">
        <f>'Analisis Recargas'!S161</f>
        <v>0.2882311737</v>
      </c>
      <c r="E249" s="87">
        <f>'Analisis Recargas'!S216</f>
        <v>0.5333672747</v>
      </c>
      <c r="F249" s="87">
        <f>'Analisis Recargas'!S271</f>
        <v>0.7868247596</v>
      </c>
      <c r="G249" s="87">
        <f>'Analisis Recargas'!S326</f>
        <v>0.5368581047</v>
      </c>
      <c r="H249" s="87">
        <f>'Analisis Recargas'!S381</f>
        <v>0.6677334154</v>
      </c>
      <c r="I249" s="87">
        <f>'Analisis Recargas'!S436</f>
        <v>0.761186049</v>
      </c>
      <c r="J249" s="87">
        <f>'Analisis Recargas'!S491</f>
        <v>0.8183686997</v>
      </c>
      <c r="K249" s="87">
        <f>'Analisis Recargas'!S546</f>
        <v>0.8767856478</v>
      </c>
      <c r="L249" s="118" t="s">
        <v>138</v>
      </c>
      <c r="M249" s="11"/>
      <c r="N249" s="11"/>
      <c r="O249" s="11"/>
      <c r="P249" s="11"/>
      <c r="Q249" s="11"/>
      <c r="R249" s="11"/>
      <c r="S249" s="11"/>
      <c r="T249" s="11"/>
      <c r="U249" s="11"/>
      <c r="V249" s="11"/>
      <c r="W249" s="11"/>
      <c r="X249" s="11"/>
      <c r="Y249" s="11"/>
      <c r="Z249" s="11"/>
      <c r="AA249" s="11"/>
      <c r="AB249" s="11"/>
      <c r="AC249" s="11"/>
      <c r="AD249" s="11"/>
    </row>
    <row r="250" ht="12.0" customHeight="1">
      <c r="A250" s="30" t="s">
        <v>546</v>
      </c>
      <c r="B250" s="87">
        <f>'Analisis Recargas'!S52</f>
        <v>0.002680732435</v>
      </c>
      <c r="C250" s="87">
        <f>'Analisis Recargas'!S107</f>
        <v>0.01107043209</v>
      </c>
      <c r="D250" s="87">
        <f>'Analisis Recargas'!S162</f>
        <v>0.0250968907</v>
      </c>
      <c r="E250" s="87">
        <f>'Analisis Recargas'!S217</f>
        <v>0.04703466909</v>
      </c>
      <c r="F250" s="87">
        <f>'Analisis Recargas'!S272</f>
        <v>0.06787578422</v>
      </c>
      <c r="G250" s="87">
        <f>'Analisis Recargas'!S327</f>
        <v>0.09022876024</v>
      </c>
      <c r="H250" s="87">
        <f>'Analisis Recargas'!S382</f>
        <v>0.1107720162</v>
      </c>
      <c r="I250" s="87">
        <f>'Analisis Recargas'!S437</f>
        <v>0.1231918406</v>
      </c>
      <c r="J250" s="87">
        <f>'Analisis Recargas'!S492</f>
        <v>0.1332242786</v>
      </c>
      <c r="K250" s="87">
        <f>'Analisis Recargas'!S547</f>
        <v>0.1434056462</v>
      </c>
      <c r="L250" s="118" t="s">
        <v>138</v>
      </c>
      <c r="M250" s="11"/>
      <c r="N250" s="11"/>
      <c r="O250" s="11"/>
      <c r="P250" s="11"/>
      <c r="Q250" s="11"/>
      <c r="R250" s="11"/>
      <c r="S250" s="11"/>
      <c r="T250" s="11"/>
      <c r="U250" s="11"/>
      <c r="V250" s="11"/>
      <c r="W250" s="11"/>
      <c r="X250" s="11"/>
      <c r="Y250" s="11"/>
      <c r="Z250" s="11"/>
      <c r="AA250" s="11"/>
      <c r="AB250" s="11"/>
      <c r="AC250" s="11"/>
      <c r="AD250" s="11"/>
    </row>
    <row r="251" ht="12.0" customHeight="1">
      <c r="A251" s="30" t="s">
        <v>559</v>
      </c>
      <c r="B251" s="87">
        <f>'Analisis Recargas'!S53</f>
        <v>0.02384305506</v>
      </c>
      <c r="C251" s="87">
        <f>'Analisis Recargas'!S108</f>
        <v>0.1077490777</v>
      </c>
      <c r="D251" s="87">
        <f>'Analisis Recargas'!S163</f>
        <v>0.2152788451</v>
      </c>
      <c r="E251" s="87">
        <f>'Analisis Recargas'!S218</f>
        <v>0.3988319972</v>
      </c>
      <c r="F251" s="87">
        <f>'Analisis Recargas'!S273</f>
        <v>0.5872789015</v>
      </c>
      <c r="G251" s="87">
        <f>'Analisis Recargas'!S328</f>
        <v>0.7997037292</v>
      </c>
      <c r="H251" s="87">
        <f>'Analisis Recargas'!S383</f>
        <v>0.4967961069</v>
      </c>
      <c r="I251" s="87">
        <f>'Analisis Recargas'!S438</f>
        <v>0.565207038</v>
      </c>
      <c r="J251" s="87">
        <f>'Analisis Recargas'!S493</f>
        <v>0.6079388246</v>
      </c>
      <c r="K251" s="87">
        <f>'Analisis Recargas'!S548</f>
        <v>0.6515696341</v>
      </c>
      <c r="L251" s="118" t="s">
        <v>138</v>
      </c>
      <c r="M251" s="11"/>
      <c r="N251" s="11"/>
      <c r="O251" s="11"/>
      <c r="P251" s="11"/>
      <c r="Q251" s="11"/>
      <c r="R251" s="11"/>
      <c r="S251" s="11"/>
      <c r="T251" s="11"/>
      <c r="U251" s="11"/>
      <c r="V251" s="11"/>
      <c r="W251" s="11"/>
      <c r="X251" s="11"/>
      <c r="Y251" s="11"/>
      <c r="Z251" s="11"/>
      <c r="AA251" s="11"/>
      <c r="AB251" s="11"/>
      <c r="AC251" s="11"/>
      <c r="AD251" s="11"/>
    </row>
    <row r="252" ht="12.0" customHeight="1">
      <c r="A252" s="30" t="s">
        <v>566</v>
      </c>
      <c r="B252" s="87">
        <f>'Analisis Recargas'!S54</f>
        <v>0.03419988211</v>
      </c>
      <c r="C252" s="87">
        <f>'Analisis Recargas'!S109</f>
        <v>0.1545525833</v>
      </c>
      <c r="D252" s="87">
        <f>'Analisis Recargas'!S164</f>
        <v>0.3087905934</v>
      </c>
      <c r="E252" s="87">
        <f>'Analisis Recargas'!S219</f>
        <v>0.5720746461</v>
      </c>
      <c r="F252" s="87">
        <f>'Analisis Recargas'!S274</f>
        <v>0.8423781744</v>
      </c>
      <c r="G252" s="87">
        <f>'Analisis Recargas'!S329</f>
        <v>0.5735375183</v>
      </c>
      <c r="H252" s="87">
        <f>'Analisis Recargas'!S384</f>
        <v>0.7125919158</v>
      </c>
      <c r="I252" s="87">
        <f>'Analisis Recargas'!S439</f>
        <v>0.8107188452</v>
      </c>
      <c r="J252" s="87">
        <f>'Analisis Recargas'!S494</f>
        <v>0.8720122515</v>
      </c>
      <c r="K252" s="87">
        <f>'Analisis Recargas'!S549</f>
        <v>0.467297597</v>
      </c>
      <c r="L252" s="118" t="s">
        <v>138</v>
      </c>
      <c r="M252" s="11"/>
      <c r="N252" s="11"/>
      <c r="O252" s="11"/>
      <c r="P252" s="11"/>
      <c r="Q252" s="11"/>
      <c r="R252" s="11"/>
      <c r="S252" s="11"/>
      <c r="T252" s="11"/>
      <c r="U252" s="11"/>
      <c r="V252" s="11"/>
      <c r="W252" s="11"/>
      <c r="X252" s="11"/>
      <c r="Y252" s="11"/>
      <c r="Z252" s="11"/>
      <c r="AA252" s="11"/>
      <c r="AB252" s="11"/>
      <c r="AC252" s="11"/>
      <c r="AD252" s="11"/>
    </row>
    <row r="253" ht="12.0" customHeight="1">
      <c r="A253" s="30" t="s">
        <v>574</v>
      </c>
      <c r="B253" s="87">
        <f>'Analisis Recargas'!S55</f>
        <v>0.03483321326</v>
      </c>
      <c r="C253" s="87">
        <f>'Analisis Recargas'!S110</f>
        <v>0.1574146682</v>
      </c>
      <c r="D253" s="87">
        <f>'Analisis Recargas'!S165</f>
        <v>0.3145089378</v>
      </c>
      <c r="E253" s="87">
        <f>'Analisis Recargas'!S220</f>
        <v>0.582668621</v>
      </c>
      <c r="F253" s="87">
        <f>'Analisis Recargas'!S275</f>
        <v>0.8579777702</v>
      </c>
      <c r="G253" s="87">
        <f>'Analisis Recargas'!S330</f>
        <v>0.5841585835</v>
      </c>
      <c r="H253" s="87">
        <f>'Analisis Recargas'!S385</f>
        <v>0.7257880624</v>
      </c>
      <c r="I253" s="87">
        <f>'Analisis Recargas'!S440</f>
        <v>0.8257321571</v>
      </c>
      <c r="J253" s="87">
        <f>'Analisis Recargas'!S495</f>
        <v>0.8881606266</v>
      </c>
      <c r="K253" s="87">
        <f>'Analisis Recargas'!S550</f>
        <v>0.4759512562</v>
      </c>
      <c r="L253" s="118" t="s">
        <v>56</v>
      </c>
      <c r="M253" s="11"/>
      <c r="N253" s="11"/>
      <c r="O253" s="11"/>
      <c r="P253" s="11"/>
      <c r="Q253" s="11"/>
      <c r="R253" s="11"/>
      <c r="S253" s="11"/>
      <c r="T253" s="11"/>
      <c r="U253" s="11"/>
      <c r="V253" s="11"/>
      <c r="W253" s="11"/>
      <c r="X253" s="11"/>
      <c r="Y253" s="11"/>
      <c r="Z253" s="11"/>
      <c r="AA253" s="11"/>
      <c r="AB253" s="11"/>
      <c r="AC253" s="11"/>
      <c r="AD253" s="11"/>
    </row>
    <row r="254" ht="12.0" customHeight="1">
      <c r="A254" s="30" t="s">
        <v>583</v>
      </c>
      <c r="B254" s="87">
        <f>'Analisis Recargas'!S56</f>
        <v>0.03166655751</v>
      </c>
      <c r="C254" s="87">
        <f>'Analisis Recargas'!S111</f>
        <v>0.1431042438</v>
      </c>
      <c r="D254" s="87">
        <f>'Analisis Recargas'!S166</f>
        <v>0.2859172161</v>
      </c>
      <c r="E254" s="87">
        <f>'Analisis Recargas'!S221</f>
        <v>0.5296987463</v>
      </c>
      <c r="F254" s="87">
        <f>'Analisis Recargas'!S276</f>
        <v>0.7799797911</v>
      </c>
      <c r="G254" s="87">
        <f>'Analisis Recargas'!S331</f>
        <v>0.5310532577</v>
      </c>
      <c r="H254" s="87">
        <f>'Analisis Recargas'!S386</f>
        <v>0.6598073295</v>
      </c>
      <c r="I254" s="87">
        <f>'Analisis Recargas'!S441</f>
        <v>0.7506655974</v>
      </c>
      <c r="J254" s="87">
        <f>'Analisis Recargas'!S496</f>
        <v>0.8074187514</v>
      </c>
      <c r="K254" s="87">
        <f>'Analisis Recargas'!S551</f>
        <v>0.8653659203</v>
      </c>
      <c r="L254" s="118" t="s">
        <v>56</v>
      </c>
      <c r="M254" s="11"/>
      <c r="N254" s="11"/>
      <c r="O254" s="11"/>
      <c r="P254" s="11"/>
      <c r="Q254" s="11"/>
      <c r="R254" s="11"/>
      <c r="S254" s="11"/>
      <c r="T254" s="11"/>
      <c r="U254" s="11"/>
      <c r="V254" s="11"/>
      <c r="W254" s="11"/>
      <c r="X254" s="11"/>
      <c r="Y254" s="11"/>
      <c r="Z254" s="11"/>
      <c r="AA254" s="11"/>
      <c r="AB254" s="11"/>
      <c r="AC254" s="11"/>
      <c r="AD254" s="11"/>
    </row>
    <row r="255" ht="12.0" customHeight="1">
      <c r="A255" s="30" t="s">
        <v>460</v>
      </c>
      <c r="B255" s="87">
        <f>'Analisis Recargas'!S33</f>
        <v>0.05484245057</v>
      </c>
      <c r="C255" s="87">
        <f>'Analisis Recargas'!S88</f>
        <v>0.2492986056</v>
      </c>
      <c r="D255" s="87">
        <f>'Analisis Recargas'!S143</f>
        <v>0.4902963173</v>
      </c>
      <c r="E255" s="87">
        <f>'Analisis Recargas'!S198</f>
        <v>0.4542233016</v>
      </c>
      <c r="F255" s="87">
        <f>'Analisis Recargas'!S253</f>
        <v>0.6711176392</v>
      </c>
      <c r="G255" s="87">
        <f>'Analisis Recargas'!S308</f>
        <v>0.611576727</v>
      </c>
      <c r="H255" s="87">
        <f>'Analisis Recargas'!S363</f>
        <v>0.7610703594</v>
      </c>
      <c r="I255" s="87">
        <f>'Analisis Recargas'!S418</f>
        <v>0.868438143</v>
      </c>
      <c r="J255" s="87">
        <f>'Analisis Recargas'!S473</f>
        <v>0.466652842</v>
      </c>
      <c r="K255" s="87">
        <f>'Analisis Recargas'!S528</f>
        <v>0.4997995014</v>
      </c>
      <c r="L255" s="118" t="s">
        <v>138</v>
      </c>
      <c r="M255" s="11"/>
      <c r="N255" s="11"/>
      <c r="O255" s="11"/>
      <c r="P255" s="11"/>
      <c r="Q255" s="11"/>
      <c r="R255" s="11"/>
      <c r="S255" s="11"/>
      <c r="T255" s="11"/>
      <c r="U255" s="11"/>
      <c r="V255" s="11"/>
      <c r="W255" s="11"/>
      <c r="X255" s="11"/>
      <c r="Y255" s="11"/>
      <c r="Z255" s="11"/>
      <c r="AA255" s="11"/>
      <c r="AB255" s="11"/>
      <c r="AC255" s="11"/>
      <c r="AD255" s="11"/>
    </row>
    <row r="256" ht="12.0" customHeight="1">
      <c r="A256" s="30" t="s">
        <v>461</v>
      </c>
      <c r="B256" s="87">
        <f>'Analisis Recargas'!S34</f>
        <v>0.00006031032568</v>
      </c>
      <c r="C256" s="87">
        <f>'Analisis Recargas'!S89</f>
        <v>0.0004049407582</v>
      </c>
      <c r="D256" s="87">
        <f>'Analisis Recargas'!S144</f>
        <v>0.0007668027122</v>
      </c>
      <c r="E256" s="87">
        <f>'Analisis Recargas'!S199</f>
        <v>0.00137852173</v>
      </c>
      <c r="F256" s="87">
        <f>'Analisis Recargas'!S254</f>
        <v>0.001895467379</v>
      </c>
      <c r="G256" s="87">
        <f>'Analisis Recargas'!S309</f>
        <v>0.002515802157</v>
      </c>
      <c r="H256" s="87">
        <f>'Analisis Recargas'!S364</f>
        <v>0.00317921574</v>
      </c>
      <c r="I256" s="87">
        <f>'Analisis Recargas'!S419</f>
        <v>0.003515230411</v>
      </c>
      <c r="J256" s="87">
        <f>'Analisis Recargas'!S474</f>
        <v>0.003842629322</v>
      </c>
      <c r="K256" s="87">
        <f>'Analisis Recargas'!S529</f>
        <v>0.004161412472</v>
      </c>
      <c r="L256" s="118" t="s">
        <v>138</v>
      </c>
      <c r="M256" s="11"/>
      <c r="N256" s="11"/>
      <c r="O256" s="11"/>
      <c r="P256" s="11"/>
      <c r="Q256" s="11"/>
      <c r="R256" s="11"/>
      <c r="S256" s="11"/>
      <c r="T256" s="11"/>
      <c r="U256" s="11"/>
      <c r="V256" s="11"/>
      <c r="W256" s="11"/>
      <c r="X256" s="11"/>
      <c r="Y256" s="11"/>
      <c r="Z256" s="11"/>
      <c r="AA256" s="11"/>
      <c r="AB256" s="11"/>
      <c r="AC256" s="11"/>
      <c r="AD256" s="11"/>
    </row>
    <row r="257" ht="12.0" customHeight="1">
      <c r="A257" s="30" t="s">
        <v>463</v>
      </c>
      <c r="B257" s="87">
        <f>'Analisis Recargas'!S35</f>
        <v>0.0001301937189</v>
      </c>
      <c r="C257" s="87">
        <f>'Analisis Recargas'!S90</f>
        <v>0.0008741578271</v>
      </c>
      <c r="D257" s="87">
        <f>'Analisis Recargas'!S145</f>
        <v>0.001655320141</v>
      </c>
      <c r="E257" s="87">
        <f>'Analisis Recargas'!S200</f>
        <v>0.002771266303</v>
      </c>
      <c r="F257" s="87">
        <f>'Analisis Recargas'!S255</f>
        <v>0.003812816054</v>
      </c>
      <c r="G257" s="87">
        <f>'Analisis Recargas'!S310</f>
        <v>0.00474277119</v>
      </c>
      <c r="H257" s="87">
        <f>'Analisis Recargas'!S365</f>
        <v>0.006100505687</v>
      </c>
      <c r="I257" s="87">
        <f>'Analisis Recargas'!S420</f>
        <v>0.006825870693</v>
      </c>
      <c r="J257" s="87">
        <f>'Analisis Recargas'!S475</f>
        <v>0.007476839287</v>
      </c>
      <c r="K257" s="87">
        <f>'Analisis Recargas'!S530</f>
        <v>0.008127807882</v>
      </c>
      <c r="L257" s="118" t="s">
        <v>56</v>
      </c>
      <c r="M257" s="11"/>
      <c r="N257" s="11"/>
      <c r="O257" s="11"/>
      <c r="P257" s="11"/>
      <c r="Q257" s="11"/>
      <c r="R257" s="11"/>
      <c r="S257" s="11"/>
      <c r="T257" s="11"/>
      <c r="U257" s="11"/>
      <c r="V257" s="11"/>
      <c r="W257" s="11"/>
      <c r="X257" s="11"/>
      <c r="Y257" s="11"/>
      <c r="Z257" s="11"/>
      <c r="AA257" s="11"/>
      <c r="AB257" s="11"/>
      <c r="AC257" s="11"/>
      <c r="AD257" s="11"/>
    </row>
    <row r="258" ht="12.0" customHeight="1">
      <c r="A258" s="30" t="s">
        <v>464</v>
      </c>
      <c r="B258" s="87">
        <f>'Analisis Recargas'!S36</f>
        <v>0.003223525367</v>
      </c>
      <c r="C258" s="87">
        <f>'Analisis Recargas'!S91</f>
        <v>0.01491220357</v>
      </c>
      <c r="D258" s="87">
        <f>'Analisis Recargas'!S146</f>
        <v>0.0326118855</v>
      </c>
      <c r="E258" s="87">
        <f>'Analisis Recargas'!S201</f>
        <v>0.0591835632</v>
      </c>
      <c r="F258" s="87">
        <f>'Analisis Recargas'!S256</f>
        <v>0.08502312501</v>
      </c>
      <c r="G258" s="87">
        <f>'Analisis Recargas'!S311</f>
        <v>0.1125313471</v>
      </c>
      <c r="H258" s="87">
        <f>'Analisis Recargas'!S366</f>
        <v>0.1382007197</v>
      </c>
      <c r="I258" s="87">
        <f>'Analisis Recargas'!S421</f>
        <v>0.1544925639</v>
      </c>
      <c r="J258" s="87">
        <f>'Analisis Recargas'!S476</f>
        <v>0.167295025</v>
      </c>
      <c r="K258" s="87">
        <f>'Analisis Recargas'!S531</f>
        <v>0.180311985</v>
      </c>
      <c r="L258" s="118" t="s">
        <v>138</v>
      </c>
      <c r="M258" s="11"/>
      <c r="N258" s="11"/>
      <c r="O258" s="11"/>
      <c r="P258" s="11"/>
      <c r="Q258" s="11"/>
      <c r="R258" s="11"/>
      <c r="S258" s="11"/>
      <c r="T258" s="11"/>
      <c r="U258" s="11"/>
      <c r="V258" s="11"/>
      <c r="W258" s="11"/>
      <c r="X258" s="11"/>
      <c r="Y258" s="11"/>
      <c r="Z258" s="11"/>
      <c r="AA258" s="11"/>
      <c r="AB258" s="11"/>
      <c r="AC258" s="11"/>
      <c r="AD258" s="11"/>
    </row>
    <row r="259" ht="12.0" customHeight="1">
      <c r="A259" s="30" t="s">
        <v>465</v>
      </c>
      <c r="B259" s="87">
        <f>'Analisis Recargas'!S37</f>
        <v>0.001240669557</v>
      </c>
      <c r="C259" s="87">
        <f>'Analisis Recargas'!S92</f>
        <v>0.005042374015</v>
      </c>
      <c r="D259" s="87">
        <f>'Analisis Recargas'!S147</f>
        <v>0.01148050128</v>
      </c>
      <c r="E259" s="87">
        <f>'Analisis Recargas'!S202</f>
        <v>0.02158463477</v>
      </c>
      <c r="F259" s="87">
        <f>'Analisis Recargas'!S257</f>
        <v>0.03115674504</v>
      </c>
      <c r="G259" s="87">
        <f>'Analisis Recargas'!S312</f>
        <v>0.04143750162</v>
      </c>
      <c r="H259" s="87">
        <f>'Analisis Recargas'!S367</f>
        <v>0.05083298879</v>
      </c>
      <c r="I259" s="87">
        <f>'Analisis Recargas'!S422</f>
        <v>0.05648708182</v>
      </c>
      <c r="J259" s="87">
        <f>'Analisis Recargas'!S477</f>
        <v>0.06105989687</v>
      </c>
      <c r="K259" s="87">
        <f>'Analisis Recargas'!S532</f>
        <v>0.06570379195</v>
      </c>
      <c r="L259" s="118" t="s">
        <v>138</v>
      </c>
      <c r="M259" s="11"/>
      <c r="N259" s="11"/>
      <c r="O259" s="11"/>
      <c r="P259" s="11"/>
      <c r="Q259" s="11"/>
      <c r="R259" s="11"/>
      <c r="S259" s="11"/>
      <c r="T259" s="11"/>
      <c r="U259" s="11"/>
      <c r="V259" s="11"/>
      <c r="W259" s="11"/>
      <c r="X259" s="11"/>
      <c r="Y259" s="11"/>
      <c r="Z259" s="11"/>
      <c r="AA259" s="11"/>
      <c r="AB259" s="11"/>
      <c r="AC259" s="11"/>
      <c r="AD259" s="11"/>
    </row>
    <row r="260" ht="12.0" customHeight="1">
      <c r="A260" s="30" t="s">
        <v>466</v>
      </c>
      <c r="B260" s="87">
        <f>'Analisis Recargas'!S38</f>
        <v>0.00006092573717</v>
      </c>
      <c r="C260" s="87">
        <f>'Analisis Recargas'!S93</f>
        <v>0.0003790934757</v>
      </c>
      <c r="D260" s="87">
        <f>'Analisis Recargas'!S148</f>
        <v>0.0007818802937</v>
      </c>
      <c r="E260" s="87">
        <f>'Analisis Recargas'!S203</f>
        <v>0.001357290034</v>
      </c>
      <c r="F260" s="87">
        <f>'Analisis Recargas'!S258</f>
        <v>0.001946238826</v>
      </c>
      <c r="G260" s="87">
        <f>'Analisis Recargas'!S313</f>
        <v>0.002555496198</v>
      </c>
      <c r="H260" s="87">
        <f>'Analisis Recargas'!S368</f>
        <v>0.003198601201</v>
      </c>
      <c r="I260" s="87">
        <f>'Analisis Recargas'!S423</f>
        <v>0.003628466125</v>
      </c>
      <c r="J260" s="87">
        <f>'Analisis Recargas'!S478</f>
        <v>0.003966942442</v>
      </c>
      <c r="K260" s="87">
        <f>'Analisis Recargas'!S533</f>
        <v>0.00430541876</v>
      </c>
      <c r="L260" s="118" t="s">
        <v>138</v>
      </c>
      <c r="M260" s="11"/>
      <c r="N260" s="11"/>
      <c r="O260" s="11"/>
      <c r="P260" s="11"/>
      <c r="Q260" s="11"/>
      <c r="R260" s="11"/>
      <c r="S260" s="11"/>
      <c r="T260" s="11"/>
      <c r="U260" s="11"/>
      <c r="V260" s="11"/>
      <c r="W260" s="11"/>
      <c r="X260" s="11"/>
      <c r="Y260" s="11"/>
      <c r="Z260" s="11"/>
      <c r="AA260" s="11"/>
      <c r="AB260" s="11"/>
      <c r="AC260" s="11"/>
      <c r="AD260" s="11"/>
    </row>
    <row r="261" ht="12.0" customHeight="1">
      <c r="A261" s="30" t="s">
        <v>469</v>
      </c>
      <c r="B261" s="87">
        <f>'Analisis Recargas'!S40</f>
        <v>0.02509840498</v>
      </c>
      <c r="C261" s="87">
        <f>'Analisis Recargas'!S95</f>
        <v>0.1141501926</v>
      </c>
      <c r="D261" s="87">
        <f>'Analisis Recargas'!S150</f>
        <v>0.2244859977</v>
      </c>
      <c r="E261" s="87">
        <f>'Analisis Recargas'!S205</f>
        <v>0.4159200571</v>
      </c>
      <c r="F261" s="87">
        <f>'Analisis Recargas'!S260</f>
        <v>0.6144597695</v>
      </c>
      <c r="G261" s="87">
        <f>'Analisis Recargas'!S315</f>
        <v>0.8398838781</v>
      </c>
      <c r="H261" s="87">
        <f>'Analisis Recargas'!S370</f>
        <v>0.5226034957</v>
      </c>
      <c r="I261" s="87">
        <f>'Analisis Recargas'!S425</f>
        <v>0.5963039222</v>
      </c>
      <c r="J261" s="87">
        <f>'Analisis Recargas'!S480</f>
        <v>0.6408593557</v>
      </c>
      <c r="K261" s="87">
        <f>'Analisis Recargas'!S535</f>
        <v>0.6863904962</v>
      </c>
      <c r="L261" s="118" t="s">
        <v>138</v>
      </c>
      <c r="M261" s="11"/>
      <c r="N261" s="11"/>
      <c r="O261" s="11"/>
      <c r="P261" s="11"/>
      <c r="Q261" s="11"/>
      <c r="R261" s="11"/>
      <c r="S261" s="11"/>
      <c r="T261" s="11"/>
      <c r="U261" s="11"/>
      <c r="V261" s="11"/>
      <c r="W261" s="11"/>
      <c r="X261" s="11"/>
      <c r="Y261" s="11"/>
      <c r="Z261" s="11"/>
      <c r="AA261" s="11"/>
      <c r="AB261" s="11"/>
      <c r="AC261" s="11"/>
      <c r="AD261" s="11"/>
    </row>
    <row r="262" ht="12.0" customHeight="1">
      <c r="A262" s="30" t="s">
        <v>470</v>
      </c>
      <c r="B262" s="87">
        <f>'Analisis Recargas'!S41</f>
        <v>0.002537033853</v>
      </c>
      <c r="C262" s="87">
        <f>'Analisis Recargas'!S96</f>
        <v>0.01173645651</v>
      </c>
      <c r="D262" s="87">
        <f>'Analisis Recargas'!S151</f>
        <v>0.02566676173</v>
      </c>
      <c r="E262" s="87">
        <f>'Analisis Recargas'!S206</f>
        <v>0.04657965622</v>
      </c>
      <c r="F262" s="87">
        <f>'Analisis Recargas'!S261</f>
        <v>0.06691634839</v>
      </c>
      <c r="G262" s="87">
        <f>'Analisis Recargas'!S316</f>
        <v>0.088566338</v>
      </c>
      <c r="H262" s="87">
        <f>'Analisis Recargas'!S371</f>
        <v>0.1087690849</v>
      </c>
      <c r="I262" s="87">
        <f>'Analisis Recargas'!S426</f>
        <v>0.1215913697</v>
      </c>
      <c r="J262" s="87">
        <f>'Analisis Recargas'!S481</f>
        <v>0.1316673808</v>
      </c>
      <c r="K262" s="87">
        <f>'Analisis Recargas'!S536</f>
        <v>0.1419122104</v>
      </c>
      <c r="L262" s="118" t="s">
        <v>56</v>
      </c>
      <c r="M262" s="11"/>
      <c r="N262" s="11"/>
      <c r="O262" s="11"/>
      <c r="P262" s="11"/>
      <c r="Q262" s="11"/>
      <c r="R262" s="11"/>
      <c r="S262" s="11"/>
      <c r="T262" s="11"/>
      <c r="U262" s="11"/>
      <c r="V262" s="11"/>
      <c r="W262" s="11"/>
      <c r="X262" s="11"/>
      <c r="Y262" s="11"/>
      <c r="Z262" s="11"/>
      <c r="AA262" s="11"/>
      <c r="AB262" s="11"/>
      <c r="AC262" s="11"/>
      <c r="AD262" s="11"/>
    </row>
    <row r="263" ht="12.0" customHeight="1">
      <c r="A263" s="30" t="s">
        <v>500</v>
      </c>
      <c r="B263" s="87">
        <f>'Analisis Recargas'!S44</f>
        <v>0.04700781477</v>
      </c>
      <c r="C263" s="87">
        <f>'Analisis Recargas'!S99</f>
        <v>0.2136845191</v>
      </c>
      <c r="D263" s="87">
        <f>'Analisis Recargas'!S154</f>
        <v>0.4202539862</v>
      </c>
      <c r="E263" s="87">
        <f>'Analisis Recargas'!S209</f>
        <v>0.7786685171</v>
      </c>
      <c r="F263" s="87">
        <f>'Analisis Recargas'!S264</f>
        <v>0.5752436907</v>
      </c>
      <c r="G263" s="87">
        <f>'Analisis Recargas'!S319</f>
        <v>0.7863129348</v>
      </c>
      <c r="H263" s="87">
        <f>'Analisis Recargas'!S374</f>
        <v>0.4892595167</v>
      </c>
      <c r="I263" s="87">
        <f>'Analisis Recargas'!S429</f>
        <v>0.5582816634</v>
      </c>
      <c r="J263" s="87">
        <f>'Analisis Recargas'!S484</f>
        <v>0.5999822254</v>
      </c>
      <c r="K263" s="87">
        <f>'Analisis Recargas'!S539</f>
        <v>0.642599359</v>
      </c>
      <c r="L263" s="118" t="s">
        <v>138</v>
      </c>
      <c r="M263" s="11"/>
      <c r="N263" s="11"/>
      <c r="O263" s="11"/>
      <c r="P263" s="11"/>
      <c r="Q263" s="11"/>
      <c r="R263" s="11"/>
      <c r="S263" s="11"/>
      <c r="T263" s="11"/>
      <c r="U263" s="11"/>
      <c r="V263" s="11"/>
      <c r="W263" s="11"/>
      <c r="X263" s="11"/>
      <c r="Y263" s="11"/>
      <c r="Z263" s="11"/>
      <c r="AA263" s="11"/>
      <c r="AB263" s="11"/>
      <c r="AC263" s="11"/>
      <c r="AD263" s="11"/>
    </row>
    <row r="264" ht="12.0" customHeight="1">
      <c r="A264" s="30" t="s">
        <v>522</v>
      </c>
      <c r="B264" s="87">
        <f>'Analisis Recargas'!S45</f>
        <v>0.00005169456487</v>
      </c>
      <c r="C264" s="87">
        <f>'Analisis Recargas'!S100</f>
        <v>0.0003470920784</v>
      </c>
      <c r="D264" s="87">
        <f>'Analisis Recargas'!S155</f>
        <v>0.0006572594676</v>
      </c>
      <c r="E264" s="87">
        <f>'Analisis Recargas'!S210</f>
        <v>0.001181590054</v>
      </c>
      <c r="F264" s="87">
        <f>'Analisis Recargas'!S265</f>
        <v>0.001624686324</v>
      </c>
      <c r="G264" s="87">
        <f>'Analisis Recargas'!S320</f>
        <v>0.002156401849</v>
      </c>
      <c r="H264" s="87">
        <f>'Analisis Recargas'!S375</f>
        <v>0.002725042062</v>
      </c>
      <c r="I264" s="87">
        <f>'Analisis Recargas'!S430</f>
        <v>0.003013054638</v>
      </c>
      <c r="J264" s="87">
        <f>'Analisis Recargas'!S485</f>
        <v>0.003293682276</v>
      </c>
      <c r="K264" s="87">
        <f>'Analisis Recargas'!S540</f>
        <v>0.003566924976</v>
      </c>
      <c r="L264" s="118" t="s">
        <v>138</v>
      </c>
      <c r="M264" s="11"/>
      <c r="N264" s="11"/>
      <c r="O264" s="11"/>
      <c r="P264" s="11"/>
      <c r="Q264" s="11"/>
      <c r="R264" s="11"/>
      <c r="S264" s="11"/>
      <c r="T264" s="11"/>
      <c r="U264" s="11"/>
      <c r="V264" s="11"/>
      <c r="W264" s="11"/>
      <c r="X264" s="11"/>
      <c r="Y264" s="11"/>
      <c r="Z264" s="11"/>
      <c r="AA264" s="11"/>
      <c r="AB264" s="11"/>
      <c r="AC264" s="11"/>
      <c r="AD264" s="11"/>
    </row>
    <row r="265" ht="12.0" customHeight="1">
      <c r="A265" s="30" t="s">
        <v>529</v>
      </c>
      <c r="B265" s="87">
        <f>'Analisis Recargas'!S46</f>
        <v>0.0002083099503</v>
      </c>
      <c r="C265" s="87">
        <f>'Analisis Recargas'!S101</f>
        <v>0.001398652523</v>
      </c>
      <c r="D265" s="87">
        <f>'Analisis Recargas'!S156</f>
        <v>0.002648512225</v>
      </c>
      <c r="E265" s="87">
        <f>'Analisis Recargas'!S211</f>
        <v>0.004434026085</v>
      </c>
      <c r="F265" s="87">
        <f>'Analisis Recargas'!S266</f>
        <v>0.006100505687</v>
      </c>
      <c r="G265" s="87">
        <f>'Analisis Recargas'!S321</f>
        <v>0.007588433904</v>
      </c>
      <c r="H265" s="87">
        <f>'Analisis Recargas'!S376</f>
        <v>0.009760809099</v>
      </c>
      <c r="I265" s="87">
        <f>'Analisis Recargas'!S431</f>
        <v>0.01092139311</v>
      </c>
      <c r="J265" s="87">
        <f>'Analisis Recargas'!S486</f>
        <v>0.01196294286</v>
      </c>
      <c r="K265" s="87">
        <f>'Analisis Recargas'!S541</f>
        <v>0.01300449261</v>
      </c>
      <c r="L265" s="118" t="s">
        <v>56</v>
      </c>
      <c r="M265" s="11"/>
      <c r="N265" s="11"/>
      <c r="O265" s="11"/>
      <c r="P265" s="11"/>
      <c r="Q265" s="11"/>
      <c r="R265" s="11"/>
      <c r="S265" s="11"/>
      <c r="T265" s="11"/>
      <c r="U265" s="11"/>
      <c r="V265" s="11"/>
      <c r="W265" s="11"/>
      <c r="X265" s="11"/>
      <c r="Y265" s="11"/>
      <c r="Z265" s="11"/>
      <c r="AA265" s="11"/>
      <c r="AB265" s="11"/>
      <c r="AC265" s="11"/>
      <c r="AD265" s="11"/>
    </row>
    <row r="266" ht="12.0" customHeight="1">
      <c r="A266" s="30" t="s">
        <v>531</v>
      </c>
      <c r="B266" s="87">
        <f>'Analisis Recargas'!S47</f>
        <v>0.003993105747</v>
      </c>
      <c r="C266" s="87">
        <f>'Analisis Recargas'!S102</f>
        <v>0.01847232424</v>
      </c>
      <c r="D266" s="87">
        <f>'Analisis Recargas'!S157</f>
        <v>0.04039760591</v>
      </c>
      <c r="E266" s="87">
        <f>'Analisis Recargas'!S212</f>
        <v>0.07331297243</v>
      </c>
      <c r="F266" s="87">
        <f>'Analisis Recargas'!S267</f>
        <v>0.1053214386</v>
      </c>
      <c r="G266" s="87">
        <f>'Analisis Recargas'!S322</f>
        <v>0.139396939</v>
      </c>
      <c r="H266" s="87">
        <f>'Analisis Recargas'!S377</f>
        <v>0.1711945852</v>
      </c>
      <c r="I266" s="87">
        <f>'Analisis Recargas'!S432</f>
        <v>0.1913759238</v>
      </c>
      <c r="J266" s="87">
        <f>'Analisis Recargas'!S487</f>
        <v>0.2072348283</v>
      </c>
      <c r="K266" s="87">
        <f>'Analisis Recargas'!S542</f>
        <v>0.2233594409</v>
      </c>
      <c r="L266" s="118" t="s">
        <v>138</v>
      </c>
      <c r="M266" s="11"/>
      <c r="N266" s="11"/>
      <c r="O266" s="11"/>
      <c r="P266" s="11"/>
      <c r="Q266" s="11"/>
      <c r="R266" s="11"/>
      <c r="S266" s="11"/>
      <c r="T266" s="11"/>
      <c r="U266" s="11"/>
      <c r="V266" s="11"/>
      <c r="W266" s="11"/>
      <c r="X266" s="11"/>
      <c r="Y266" s="11"/>
      <c r="Z266" s="11"/>
      <c r="AA266" s="11"/>
      <c r="AB266" s="11"/>
      <c r="AC266" s="11"/>
      <c r="AD266" s="11"/>
    </row>
    <row r="267" ht="12.0" customHeight="1">
      <c r="A267" s="30" t="s">
        <v>533</v>
      </c>
      <c r="B267" s="87">
        <f>'Analisis Recargas'!S48</f>
        <v>0.003225740848</v>
      </c>
      <c r="C267" s="87">
        <f>'Analisis Recargas'!S103</f>
        <v>0.01311017244</v>
      </c>
      <c r="D267" s="87">
        <f>'Analisis Recargas'!S158</f>
        <v>0.02984930333</v>
      </c>
      <c r="E267" s="87">
        <f>'Analisis Recargas'!S213</f>
        <v>0.05612005041</v>
      </c>
      <c r="F267" s="87">
        <f>'Analisis Recargas'!S268</f>
        <v>0.08100753709</v>
      </c>
      <c r="G267" s="87">
        <f>'Analisis Recargas'!S323</f>
        <v>0.1077375042</v>
      </c>
      <c r="H267" s="87">
        <f>'Analisis Recargas'!S378</f>
        <v>0.1321657709</v>
      </c>
      <c r="I267" s="87">
        <f>'Analisis Recargas'!S433</f>
        <v>0.1468664127</v>
      </c>
      <c r="J267" s="87">
        <f>'Analisis Recargas'!S488</f>
        <v>0.1587557319</v>
      </c>
      <c r="K267" s="87">
        <f>'Analisis Recargas'!S543</f>
        <v>0.1708298591</v>
      </c>
      <c r="L267" s="118" t="s">
        <v>138</v>
      </c>
      <c r="M267" s="11"/>
      <c r="N267" s="11"/>
      <c r="O267" s="11"/>
      <c r="P267" s="11"/>
      <c r="Q267" s="11"/>
      <c r="R267" s="11"/>
      <c r="S267" s="11"/>
      <c r="T267" s="11"/>
      <c r="U267" s="11"/>
      <c r="V267" s="11"/>
      <c r="W267" s="11"/>
      <c r="X267" s="11"/>
      <c r="Y267" s="11"/>
      <c r="Z267" s="11"/>
      <c r="AA267" s="11"/>
      <c r="AB267" s="11"/>
      <c r="AC267" s="11"/>
      <c r="AD267" s="11"/>
    </row>
    <row r="268" ht="12.0" customHeight="1">
      <c r="A268" s="30" t="s">
        <v>535</v>
      </c>
      <c r="B268" s="87">
        <f>'Analisis Recargas'!S49</f>
        <v>0.0001318211404</v>
      </c>
      <c r="C268" s="87">
        <f>'Analisis Recargas'!S104</f>
        <v>0.0008202204293</v>
      </c>
      <c r="D268" s="87">
        <f>'Analisis Recargas'!S159</f>
        <v>0.001691704635</v>
      </c>
      <c r="E268" s="87">
        <f>'Analisis Recargas'!S214</f>
        <v>0.002936682073</v>
      </c>
      <c r="F268" s="87">
        <f>'Analisis Recargas'!S269</f>
        <v>0.004210953097</v>
      </c>
      <c r="G268" s="87">
        <f>'Analisis Recargas'!S324</f>
        <v>0.005529164501</v>
      </c>
      <c r="H268" s="87">
        <f>'Analisis Recargas'!S379</f>
        <v>0.006920609872</v>
      </c>
      <c r="I268" s="87">
        <f>'Analisis Recargas'!S434</f>
        <v>0.007850681252</v>
      </c>
      <c r="J268" s="87">
        <f>'Analisis Recargas'!S489</f>
        <v>0.008583020921</v>
      </c>
      <c r="K268" s="87">
        <f>'Analisis Recargas'!S544</f>
        <v>0.00931536059</v>
      </c>
      <c r="L268" s="118" t="s">
        <v>138</v>
      </c>
      <c r="M268" s="11"/>
      <c r="N268" s="11"/>
      <c r="O268" s="11"/>
      <c r="P268" s="11"/>
      <c r="Q268" s="11"/>
      <c r="R268" s="11"/>
      <c r="S268" s="11"/>
      <c r="T268" s="11"/>
      <c r="U268" s="11"/>
      <c r="V268" s="11"/>
      <c r="W268" s="11"/>
      <c r="X268" s="11"/>
      <c r="Y268" s="11"/>
      <c r="Z268" s="11"/>
      <c r="AA268" s="11"/>
      <c r="AB268" s="11"/>
      <c r="AC268" s="11"/>
      <c r="AD268" s="11"/>
    </row>
    <row r="269" ht="12.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2.0" customHeight="1">
      <c r="A270" s="134" t="s">
        <v>667</v>
      </c>
      <c r="B270" s="16"/>
      <c r="C270" s="16"/>
      <c r="D270" s="16"/>
      <c r="E270" s="16"/>
      <c r="F270" s="16"/>
      <c r="G270" s="16"/>
      <c r="H270" s="16"/>
      <c r="I270" s="16"/>
      <c r="J270" s="16"/>
      <c r="K270" s="16"/>
      <c r="L270" s="17"/>
      <c r="M270" s="11"/>
      <c r="N270" s="11"/>
      <c r="O270" s="11"/>
      <c r="P270" s="11"/>
      <c r="Q270" s="11"/>
      <c r="R270" s="11"/>
      <c r="S270" s="11"/>
      <c r="T270" s="11"/>
      <c r="U270" s="11"/>
      <c r="V270" s="11"/>
      <c r="W270" s="11"/>
      <c r="X270" s="11"/>
      <c r="Y270" s="11"/>
      <c r="Z270" s="11"/>
      <c r="AA270" s="11"/>
      <c r="AB270" s="11"/>
      <c r="AC270" s="11"/>
      <c r="AD270" s="11"/>
    </row>
    <row r="271" ht="12.0" customHeight="1">
      <c r="A271" s="135" t="s">
        <v>22</v>
      </c>
      <c r="B271" s="135">
        <v>2026.0</v>
      </c>
      <c r="C271" s="135">
        <v>2027.0</v>
      </c>
      <c r="D271" s="135">
        <v>2028.0</v>
      </c>
      <c r="E271" s="135">
        <v>2029.0</v>
      </c>
      <c r="F271" s="135">
        <v>2030.0</v>
      </c>
      <c r="G271" s="135">
        <v>2031.0</v>
      </c>
      <c r="H271" s="135">
        <v>2032.0</v>
      </c>
      <c r="I271" s="135">
        <v>2033.0</v>
      </c>
      <c r="J271" s="135">
        <v>2034.0</v>
      </c>
      <c r="K271" s="135">
        <v>2035.0</v>
      </c>
      <c r="L271" s="135" t="s">
        <v>541</v>
      </c>
      <c r="M271" s="11"/>
      <c r="N271" s="11"/>
      <c r="O271" s="11"/>
      <c r="P271" s="11"/>
      <c r="Q271" s="11"/>
      <c r="R271" s="11"/>
      <c r="S271" s="11"/>
      <c r="T271" s="11"/>
      <c r="U271" s="11"/>
      <c r="V271" s="11"/>
      <c r="W271" s="11"/>
      <c r="X271" s="11"/>
      <c r="Y271" s="11"/>
      <c r="Z271" s="11"/>
      <c r="AA271" s="11"/>
      <c r="AB271" s="11"/>
      <c r="AC271" s="11"/>
      <c r="AD271" s="11"/>
    </row>
    <row r="272" ht="12.0" customHeight="1">
      <c r="A272" s="73" t="s">
        <v>270</v>
      </c>
      <c r="B272" s="36">
        <f>'Parametros Recargas'!B8</f>
        <v>1</v>
      </c>
      <c r="C272" s="36">
        <f>'Parametros Recargas'!C8</f>
        <v>1</v>
      </c>
      <c r="D272" s="36">
        <f>'Parametros Recargas'!D8</f>
        <v>1</v>
      </c>
      <c r="E272" s="36">
        <f>'Parametros Recargas'!E8</f>
        <v>1</v>
      </c>
      <c r="F272" s="36">
        <f>'Parametros Recargas'!F8</f>
        <v>1</v>
      </c>
      <c r="G272" s="36">
        <f>'Parametros Recargas'!G8</f>
        <v>1</v>
      </c>
      <c r="H272" s="36">
        <f>'Parametros Recargas'!H8</f>
        <v>2</v>
      </c>
      <c r="I272" s="36">
        <f>'Parametros Recargas'!I8</f>
        <v>2</v>
      </c>
      <c r="J272" s="36">
        <f>'Parametros Recargas'!J8</f>
        <v>2</v>
      </c>
      <c r="K272" s="36">
        <f>'Parametros Recargas'!K8</f>
        <v>2</v>
      </c>
      <c r="L272" s="11"/>
      <c r="M272" s="11"/>
      <c r="N272" s="11"/>
      <c r="O272" s="11"/>
      <c r="P272" s="11"/>
      <c r="Q272" s="11"/>
      <c r="R272" s="11"/>
      <c r="S272" s="11"/>
      <c r="T272" s="11"/>
      <c r="U272" s="11"/>
      <c r="V272" s="11"/>
      <c r="W272" s="11"/>
      <c r="X272" s="11"/>
      <c r="Y272" s="11"/>
      <c r="Z272" s="11"/>
      <c r="AA272" s="11"/>
      <c r="AB272" s="11"/>
      <c r="AC272" s="11"/>
      <c r="AD272" s="11"/>
    </row>
    <row r="273" ht="12.0" customHeight="1">
      <c r="A273" s="30" t="s">
        <v>457</v>
      </c>
      <c r="B273" s="46">
        <f>'Analisis Recargas'!Q31</f>
        <v>1</v>
      </c>
      <c r="C273" s="46">
        <f>'Analisis Recargas'!Q86</f>
        <v>1</v>
      </c>
      <c r="D273" s="46">
        <f>'Analisis Recargas'!Q141</f>
        <v>1</v>
      </c>
      <c r="E273" s="46">
        <f>'Analisis Recargas'!Q196</f>
        <v>1</v>
      </c>
      <c r="F273" s="46">
        <f>'Analisis Recargas'!Q251</f>
        <v>1</v>
      </c>
      <c r="G273" s="46">
        <f>'Analisis Recargas'!Q306</f>
        <v>1</v>
      </c>
      <c r="H273" s="46">
        <f>'Analisis Recargas'!Q361</f>
        <v>1</v>
      </c>
      <c r="I273" s="46">
        <f>'Analisis Recargas'!Q416</f>
        <v>1</v>
      </c>
      <c r="J273" s="46">
        <f>'Analisis Recargas'!Q471</f>
        <v>1</v>
      </c>
      <c r="K273" s="46">
        <f>'Analisis Recargas'!Q526</f>
        <v>1</v>
      </c>
      <c r="L273" s="118" t="s">
        <v>56</v>
      </c>
      <c r="M273" s="22"/>
      <c r="N273" s="11"/>
      <c r="O273" s="11"/>
      <c r="P273" s="11"/>
      <c r="Q273" s="11"/>
      <c r="R273" s="11"/>
      <c r="S273" s="11"/>
      <c r="T273" s="11"/>
      <c r="U273" s="11"/>
      <c r="V273" s="11"/>
      <c r="W273" s="11"/>
      <c r="X273" s="11"/>
      <c r="Y273" s="11"/>
      <c r="Z273" s="11"/>
      <c r="AA273" s="11"/>
      <c r="AB273" s="11"/>
      <c r="AC273" s="11"/>
      <c r="AD273" s="11"/>
    </row>
    <row r="274" ht="12.0" customHeight="1">
      <c r="A274" s="30" t="s">
        <v>459</v>
      </c>
      <c r="B274" s="46">
        <f>'Analisis Recargas'!Q32</f>
        <v>1</v>
      </c>
      <c r="C274" s="46">
        <f>'Analisis Recargas'!Q87</f>
        <v>1</v>
      </c>
      <c r="D274" s="46">
        <f>'Analisis Recargas'!Q142</f>
        <v>1</v>
      </c>
      <c r="E274" s="46">
        <f>'Analisis Recargas'!Q197</f>
        <v>1</v>
      </c>
      <c r="F274" s="46">
        <f>'Analisis Recargas'!Q252</f>
        <v>1</v>
      </c>
      <c r="G274" s="46">
        <f>'Analisis Recargas'!Q307</f>
        <v>2</v>
      </c>
      <c r="H274" s="46">
        <f>'Analisis Recargas'!Q362</f>
        <v>2</v>
      </c>
      <c r="I274" s="46">
        <f>'Analisis Recargas'!Q417</f>
        <v>2</v>
      </c>
      <c r="J274" s="46">
        <f>'Analisis Recargas'!Q472</f>
        <v>2</v>
      </c>
      <c r="K274" s="46">
        <f>'Analisis Recargas'!Q527</f>
        <v>2</v>
      </c>
      <c r="L274" s="118" t="s">
        <v>56</v>
      </c>
      <c r="M274" s="22"/>
      <c r="N274" s="11"/>
      <c r="O274" s="11"/>
      <c r="P274" s="11"/>
      <c r="Q274" s="11"/>
      <c r="R274" s="11"/>
      <c r="S274" s="11"/>
      <c r="T274" s="11"/>
      <c r="U274" s="11"/>
      <c r="V274" s="11"/>
      <c r="W274" s="11"/>
      <c r="X274" s="11"/>
      <c r="Y274" s="11"/>
      <c r="Z274" s="11"/>
      <c r="AA274" s="11"/>
      <c r="AB274" s="11"/>
      <c r="AC274" s="11"/>
      <c r="AD274" s="11"/>
    </row>
    <row r="275" ht="12.0" customHeight="1">
      <c r="A275" s="30" t="s">
        <v>467</v>
      </c>
      <c r="B275" s="46">
        <f>'Analisis Recargas'!Q39</f>
        <v>1</v>
      </c>
      <c r="C275" s="46">
        <f>'Analisis Recargas'!Q94</f>
        <v>1</v>
      </c>
      <c r="D275" s="46">
        <f>'Analisis Recargas'!Q149</f>
        <v>1</v>
      </c>
      <c r="E275" s="46">
        <f>'Analisis Recargas'!Q204</f>
        <v>2</v>
      </c>
      <c r="F275" s="46">
        <f>'Analisis Recargas'!Q259</f>
        <v>2</v>
      </c>
      <c r="G275" s="46">
        <f>'Analisis Recargas'!Q314</f>
        <v>3</v>
      </c>
      <c r="H275" s="46">
        <f>'Analisis Recargas'!Q369</f>
        <v>3</v>
      </c>
      <c r="I275" s="46">
        <f>'Analisis Recargas'!Q424</f>
        <v>3</v>
      </c>
      <c r="J275" s="46">
        <f>'Analisis Recargas'!Q479</f>
        <v>3</v>
      </c>
      <c r="K275" s="46">
        <f>'Analisis Recargas'!Q534</f>
        <v>3</v>
      </c>
      <c r="L275" s="118" t="s">
        <v>56</v>
      </c>
      <c r="M275" s="22" t="s">
        <v>668</v>
      </c>
      <c r="N275" s="11"/>
      <c r="O275" s="11"/>
      <c r="P275" s="11"/>
      <c r="Q275" s="11"/>
      <c r="R275" s="11"/>
      <c r="S275" s="11"/>
      <c r="T275" s="11"/>
      <c r="U275" s="11"/>
      <c r="V275" s="11"/>
      <c r="W275" s="11"/>
      <c r="X275" s="11"/>
      <c r="Y275" s="11"/>
      <c r="Z275" s="11"/>
      <c r="AA275" s="11"/>
      <c r="AB275" s="11"/>
      <c r="AC275" s="11"/>
      <c r="AD275" s="11"/>
    </row>
    <row r="276" ht="12.0" customHeight="1">
      <c r="A276" s="30" t="s">
        <v>473</v>
      </c>
      <c r="B276" s="46">
        <f>'Analisis Recargas'!Q42</f>
        <v>1</v>
      </c>
      <c r="C276" s="46">
        <f>'Analisis Recargas'!Q97</f>
        <v>1</v>
      </c>
      <c r="D276" s="46">
        <f>'Analisis Recargas'!Q152</f>
        <v>1</v>
      </c>
      <c r="E276" s="46">
        <f>'Analisis Recargas'!Q207</f>
        <v>1</v>
      </c>
      <c r="F276" s="46">
        <f>'Analisis Recargas'!Q262</f>
        <v>1</v>
      </c>
      <c r="G276" s="46">
        <f>'Analisis Recargas'!Q317</f>
        <v>1</v>
      </c>
      <c r="H276" s="46">
        <f>'Analisis Recargas'!Q372</f>
        <v>1</v>
      </c>
      <c r="I276" s="46">
        <f>'Analisis Recargas'!Q427</f>
        <v>1</v>
      </c>
      <c r="J276" s="46">
        <f>'Analisis Recargas'!Q482</f>
        <v>1</v>
      </c>
      <c r="K276" s="46">
        <f>'Analisis Recargas'!Q537</f>
        <v>1</v>
      </c>
      <c r="L276" s="118" t="s">
        <v>138</v>
      </c>
      <c r="M276" s="22" t="s">
        <v>669</v>
      </c>
      <c r="N276" s="11"/>
      <c r="O276" s="11"/>
      <c r="P276" s="11"/>
      <c r="Q276" s="11"/>
      <c r="R276" s="11"/>
      <c r="S276" s="11"/>
      <c r="T276" s="11"/>
      <c r="U276" s="11"/>
      <c r="V276" s="11"/>
      <c r="W276" s="11"/>
      <c r="X276" s="11"/>
      <c r="Y276" s="11"/>
      <c r="Z276" s="11"/>
      <c r="AA276" s="11"/>
      <c r="AB276" s="11"/>
      <c r="AC276" s="11"/>
      <c r="AD276" s="11"/>
    </row>
    <row r="277" ht="12.0" customHeight="1">
      <c r="A277" s="30" t="s">
        <v>479</v>
      </c>
      <c r="B277" s="46">
        <f>'Analisis Recargas'!Q43</f>
        <v>1</v>
      </c>
      <c r="C277" s="46">
        <f>'Analisis Recargas'!Q98</f>
        <v>1</v>
      </c>
      <c r="D277" s="46">
        <f>'Analisis Recargas'!Q153</f>
        <v>1</v>
      </c>
      <c r="E277" s="46">
        <f>'Analisis Recargas'!Q208</f>
        <v>1</v>
      </c>
      <c r="F277" s="46">
        <f>'Analisis Recargas'!Q263</f>
        <v>1</v>
      </c>
      <c r="G277" s="46">
        <f>'Analisis Recargas'!Q318</f>
        <v>1</v>
      </c>
      <c r="H277" s="46">
        <f>'Analisis Recargas'!Q373</f>
        <v>1</v>
      </c>
      <c r="I277" s="46">
        <f>'Analisis Recargas'!Q428</f>
        <v>1</v>
      </c>
      <c r="J277" s="46">
        <f>'Analisis Recargas'!Q483</f>
        <v>1</v>
      </c>
      <c r="K277" s="46">
        <f>'Analisis Recargas'!Q538</f>
        <v>1</v>
      </c>
      <c r="L277" s="118" t="s">
        <v>138</v>
      </c>
      <c r="M277" s="22" t="s">
        <v>670</v>
      </c>
      <c r="N277" s="11"/>
      <c r="O277" s="11"/>
      <c r="P277" s="11"/>
      <c r="Q277" s="11"/>
      <c r="R277" s="11"/>
      <c r="S277" s="11"/>
      <c r="T277" s="11"/>
      <c r="U277" s="11"/>
      <c r="V277" s="11"/>
      <c r="W277" s="11"/>
      <c r="X277" s="11"/>
      <c r="Y277" s="11"/>
      <c r="Z277" s="11"/>
      <c r="AA277" s="11"/>
      <c r="AB277" s="11"/>
      <c r="AC277" s="11"/>
      <c r="AD277" s="11"/>
    </row>
    <row r="278" ht="12.0" customHeight="1">
      <c r="A278" s="30" t="s">
        <v>536</v>
      </c>
      <c r="B278" s="46">
        <f>'Analisis Recargas'!Q50</f>
        <v>1</v>
      </c>
      <c r="C278" s="46">
        <f>'Analisis Recargas'!Q105</f>
        <v>1</v>
      </c>
      <c r="D278" s="46">
        <f>'Analisis Recargas'!Q160</f>
        <v>1</v>
      </c>
      <c r="E278" s="46">
        <f>'Analisis Recargas'!Q215</f>
        <v>2</v>
      </c>
      <c r="F278" s="46">
        <f>'Analisis Recargas'!Q270</f>
        <v>2</v>
      </c>
      <c r="G278" s="46">
        <f>'Analisis Recargas'!Q325</f>
        <v>3</v>
      </c>
      <c r="H278" s="46">
        <f>'Analisis Recargas'!Q380</f>
        <v>3</v>
      </c>
      <c r="I278" s="46">
        <f>'Analisis Recargas'!Q435</f>
        <v>3</v>
      </c>
      <c r="J278" s="46">
        <f>'Analisis Recargas'!Q490</f>
        <v>3</v>
      </c>
      <c r="K278" s="46">
        <f>'Analisis Recargas'!Q545</f>
        <v>3</v>
      </c>
      <c r="L278" s="118" t="s">
        <v>56</v>
      </c>
      <c r="M278" s="22" t="s">
        <v>672</v>
      </c>
      <c r="N278" s="11"/>
      <c r="O278" s="11"/>
      <c r="P278" s="11"/>
      <c r="Q278" s="11"/>
      <c r="R278" s="11"/>
      <c r="S278" s="11"/>
      <c r="T278" s="11"/>
      <c r="U278" s="11"/>
      <c r="V278" s="11"/>
      <c r="W278" s="11"/>
      <c r="X278" s="11"/>
      <c r="Y278" s="11"/>
      <c r="Z278" s="11"/>
      <c r="AA278" s="11"/>
      <c r="AB278" s="11"/>
      <c r="AC278" s="11"/>
      <c r="AD278" s="11"/>
    </row>
    <row r="279" ht="12.0" customHeight="1">
      <c r="A279" s="30" t="s">
        <v>537</v>
      </c>
      <c r="B279" s="46">
        <f>'Analisis Recargas'!Q51</f>
        <v>1</v>
      </c>
      <c r="C279" s="46">
        <f>'Analisis Recargas'!Q106</f>
        <v>1</v>
      </c>
      <c r="D279" s="46">
        <f>'Analisis Recargas'!Q161</f>
        <v>1</v>
      </c>
      <c r="E279" s="46">
        <f>'Analisis Recargas'!Q216</f>
        <v>1</v>
      </c>
      <c r="F279" s="46">
        <f>'Analisis Recargas'!Q271</f>
        <v>1</v>
      </c>
      <c r="G279" s="46">
        <f>'Analisis Recargas'!Q326</f>
        <v>2</v>
      </c>
      <c r="H279" s="46">
        <f>'Analisis Recargas'!Q381</f>
        <v>2</v>
      </c>
      <c r="I279" s="46">
        <f>'Analisis Recargas'!Q436</f>
        <v>2</v>
      </c>
      <c r="J279" s="46">
        <f>'Analisis Recargas'!Q491</f>
        <v>2</v>
      </c>
      <c r="K279" s="46">
        <f>'Analisis Recargas'!Q546</f>
        <v>2</v>
      </c>
      <c r="L279" s="118" t="s">
        <v>138</v>
      </c>
      <c r="M279" s="22" t="s">
        <v>673</v>
      </c>
      <c r="N279" s="11"/>
      <c r="O279" s="11"/>
      <c r="P279" s="11"/>
      <c r="Q279" s="11"/>
      <c r="R279" s="11"/>
      <c r="S279" s="11"/>
      <c r="T279" s="11"/>
      <c r="U279" s="11"/>
      <c r="V279" s="11"/>
      <c r="W279" s="11"/>
      <c r="X279" s="11"/>
      <c r="Y279" s="11"/>
      <c r="Z279" s="11"/>
      <c r="AA279" s="11"/>
      <c r="AB279" s="11"/>
      <c r="AC279" s="11"/>
      <c r="AD279" s="11"/>
    </row>
    <row r="280" ht="12.0" customHeight="1">
      <c r="A280" s="30" t="s">
        <v>546</v>
      </c>
      <c r="B280" s="46">
        <f>'Analisis Recargas'!Q52</f>
        <v>1</v>
      </c>
      <c r="C280" s="46">
        <f>'Analisis Recargas'!Q107</f>
        <v>1</v>
      </c>
      <c r="D280" s="46">
        <f>'Analisis Recargas'!Q162</f>
        <v>1</v>
      </c>
      <c r="E280" s="46">
        <f>'Analisis Recargas'!Q217</f>
        <v>1</v>
      </c>
      <c r="F280" s="46">
        <f>'Analisis Recargas'!Q272</f>
        <v>1</v>
      </c>
      <c r="G280" s="46">
        <f>'Analisis Recargas'!Q327</f>
        <v>1</v>
      </c>
      <c r="H280" s="46">
        <f>'Analisis Recargas'!Q382</f>
        <v>1</v>
      </c>
      <c r="I280" s="46">
        <f>'Analisis Recargas'!Q437</f>
        <v>1</v>
      </c>
      <c r="J280" s="46">
        <f>'Analisis Recargas'!Q492</f>
        <v>1</v>
      </c>
      <c r="K280" s="46">
        <f>'Analisis Recargas'!Q547</f>
        <v>1</v>
      </c>
      <c r="L280" s="118" t="s">
        <v>138</v>
      </c>
      <c r="M280" s="22" t="s">
        <v>674</v>
      </c>
      <c r="N280" s="11"/>
      <c r="O280" s="11"/>
      <c r="P280" s="11"/>
      <c r="Q280" s="11"/>
      <c r="R280" s="11"/>
      <c r="S280" s="11"/>
      <c r="T280" s="11"/>
      <c r="U280" s="11"/>
      <c r="V280" s="11"/>
      <c r="W280" s="11"/>
      <c r="X280" s="11"/>
      <c r="Y280" s="11"/>
      <c r="Z280" s="11"/>
      <c r="AA280" s="11"/>
      <c r="AB280" s="11"/>
      <c r="AC280" s="11"/>
      <c r="AD280" s="11"/>
    </row>
    <row r="281" ht="12.0" customHeight="1">
      <c r="A281" s="30" t="s">
        <v>559</v>
      </c>
      <c r="B281" s="46">
        <f>'Analisis Recargas'!Q53</f>
        <v>1</v>
      </c>
      <c r="C281" s="46">
        <f>'Analisis Recargas'!Q108</f>
        <v>1</v>
      </c>
      <c r="D281" s="46">
        <f>'Analisis Recargas'!Q163</f>
        <v>1</v>
      </c>
      <c r="E281" s="46">
        <f>'Analisis Recargas'!Q218</f>
        <v>1</v>
      </c>
      <c r="F281" s="46">
        <f>'Analisis Recargas'!Q273</f>
        <v>1</v>
      </c>
      <c r="G281" s="46">
        <f>'Analisis Recargas'!Q328</f>
        <v>1</v>
      </c>
      <c r="H281" s="46">
        <f>'Analisis Recargas'!Q383</f>
        <v>1</v>
      </c>
      <c r="I281" s="46">
        <f>'Analisis Recargas'!Q438</f>
        <v>1</v>
      </c>
      <c r="J281" s="46">
        <f>'Analisis Recargas'!Q493</f>
        <v>1</v>
      </c>
      <c r="K281" s="46">
        <f>'Analisis Recargas'!Q548</f>
        <v>1</v>
      </c>
      <c r="L281" s="118" t="s">
        <v>138</v>
      </c>
      <c r="M281" s="22" t="s">
        <v>675</v>
      </c>
      <c r="N281" s="11"/>
      <c r="O281" s="11"/>
      <c r="P281" s="11"/>
      <c r="Q281" s="11"/>
      <c r="R281" s="11"/>
      <c r="S281" s="11"/>
      <c r="T281" s="11"/>
      <c r="U281" s="11"/>
      <c r="V281" s="11"/>
      <c r="W281" s="11"/>
      <c r="X281" s="11"/>
      <c r="Y281" s="11"/>
      <c r="Z281" s="11"/>
      <c r="AA281" s="11"/>
      <c r="AB281" s="11"/>
      <c r="AC281" s="11"/>
      <c r="AD281" s="11"/>
    </row>
    <row r="282" ht="12.0" customHeight="1">
      <c r="A282" s="30" t="s">
        <v>566</v>
      </c>
      <c r="B282" s="46">
        <f>'Analisis Recargas'!Q54</f>
        <v>1</v>
      </c>
      <c r="C282" s="46">
        <f>'Analisis Recargas'!Q109</f>
        <v>1</v>
      </c>
      <c r="D282" s="46">
        <f>'Analisis Recargas'!Q164</f>
        <v>1</v>
      </c>
      <c r="E282" s="46">
        <f>'Analisis Recargas'!Q219</f>
        <v>1</v>
      </c>
      <c r="F282" s="46">
        <f>'Analisis Recargas'!Q274</f>
        <v>1</v>
      </c>
      <c r="G282" s="46">
        <f>'Analisis Recargas'!Q329</f>
        <v>2</v>
      </c>
      <c r="H282" s="46">
        <f>'Analisis Recargas'!Q384</f>
        <v>2</v>
      </c>
      <c r="I282" s="46">
        <f>'Analisis Recargas'!Q439</f>
        <v>2</v>
      </c>
      <c r="J282" s="46">
        <f>'Analisis Recargas'!Q494</f>
        <v>2</v>
      </c>
      <c r="K282" s="46">
        <f>'Analisis Recargas'!Q549</f>
        <v>2</v>
      </c>
      <c r="L282" s="118" t="s">
        <v>138</v>
      </c>
      <c r="M282" s="22" t="s">
        <v>676</v>
      </c>
      <c r="N282" s="11"/>
      <c r="O282" s="11"/>
      <c r="P282" s="11"/>
      <c r="Q282" s="11"/>
      <c r="R282" s="11"/>
      <c r="S282" s="11"/>
      <c r="T282" s="11"/>
      <c r="U282" s="11"/>
      <c r="V282" s="11"/>
      <c r="W282" s="11"/>
      <c r="X282" s="11"/>
      <c r="Y282" s="11"/>
      <c r="Z282" s="11"/>
      <c r="AA282" s="11"/>
      <c r="AB282" s="11"/>
      <c r="AC282" s="11"/>
      <c r="AD282" s="11"/>
    </row>
    <row r="283" ht="12.0" customHeight="1">
      <c r="A283" s="30" t="s">
        <v>574</v>
      </c>
      <c r="B283" s="46">
        <f>'Analisis Recargas'!Q55</f>
        <v>1</v>
      </c>
      <c r="C283" s="46">
        <f>'Analisis Recargas'!Q110</f>
        <v>1</v>
      </c>
      <c r="D283" s="46">
        <f>'Analisis Recargas'!Q165</f>
        <v>1</v>
      </c>
      <c r="E283" s="46">
        <f>'Analisis Recargas'!Q220</f>
        <v>1</v>
      </c>
      <c r="F283" s="46">
        <f>'Analisis Recargas'!Q275</f>
        <v>1</v>
      </c>
      <c r="G283" s="46">
        <f>'Analisis Recargas'!Q330</f>
        <v>2</v>
      </c>
      <c r="H283" s="46">
        <f>'Analisis Recargas'!Q385</f>
        <v>2</v>
      </c>
      <c r="I283" s="46">
        <f>'Analisis Recargas'!Q440</f>
        <v>2</v>
      </c>
      <c r="J283" s="46">
        <f>'Analisis Recargas'!Q495</f>
        <v>2</v>
      </c>
      <c r="K283" s="46">
        <f>'Analisis Recargas'!Q550</f>
        <v>2</v>
      </c>
      <c r="L283" s="118" t="s">
        <v>56</v>
      </c>
      <c r="M283" s="22"/>
      <c r="N283" s="11"/>
      <c r="O283" s="11"/>
      <c r="P283" s="11"/>
      <c r="Q283" s="11"/>
      <c r="R283" s="11"/>
      <c r="S283" s="11"/>
      <c r="T283" s="11"/>
      <c r="U283" s="11"/>
      <c r="V283" s="11"/>
      <c r="W283" s="11"/>
      <c r="X283" s="11"/>
      <c r="Y283" s="11"/>
      <c r="Z283" s="11"/>
      <c r="AA283" s="11"/>
      <c r="AB283" s="11"/>
      <c r="AC283" s="11"/>
      <c r="AD283" s="11"/>
    </row>
    <row r="284" ht="12.0" customHeight="1">
      <c r="A284" s="30" t="s">
        <v>583</v>
      </c>
      <c r="B284" s="46">
        <f>'Analisis Recargas'!Q56</f>
        <v>1</v>
      </c>
      <c r="C284" s="46">
        <f>'Analisis Recargas'!Q111</f>
        <v>1</v>
      </c>
      <c r="D284" s="46">
        <f>'Analisis Recargas'!Q166</f>
        <v>1</v>
      </c>
      <c r="E284" s="46">
        <f>'Analisis Recargas'!Q221</f>
        <v>1</v>
      </c>
      <c r="F284" s="46">
        <f>'Analisis Recargas'!Q276</f>
        <v>1</v>
      </c>
      <c r="G284" s="46">
        <f>'Analisis Recargas'!Q331</f>
        <v>2</v>
      </c>
      <c r="H284" s="46">
        <f>'Analisis Recargas'!Q386</f>
        <v>2</v>
      </c>
      <c r="I284" s="46">
        <f>'Analisis Recargas'!Q441</f>
        <v>2</v>
      </c>
      <c r="J284" s="46">
        <f>'Analisis Recargas'!Q496</f>
        <v>2</v>
      </c>
      <c r="K284" s="46">
        <f>'Analisis Recargas'!Q551</f>
        <v>2</v>
      </c>
      <c r="L284" s="118" t="s">
        <v>56</v>
      </c>
      <c r="M284" s="22"/>
      <c r="N284" s="11"/>
      <c r="O284" s="11"/>
      <c r="P284" s="11"/>
      <c r="Q284" s="11"/>
      <c r="R284" s="11"/>
      <c r="S284" s="11"/>
      <c r="T284" s="11"/>
      <c r="U284" s="11"/>
      <c r="V284" s="11"/>
      <c r="W284" s="11"/>
      <c r="X284" s="11"/>
      <c r="Y284" s="11"/>
      <c r="Z284" s="11"/>
      <c r="AA284" s="11"/>
      <c r="AB284" s="11"/>
      <c r="AC284" s="11"/>
      <c r="AD284" s="11"/>
    </row>
    <row r="285" ht="12.0" customHeight="1">
      <c r="A285" s="30" t="s">
        <v>460</v>
      </c>
      <c r="B285" s="46">
        <f>'Analisis Recargas'!Q33</f>
        <v>1</v>
      </c>
      <c r="C285" s="46">
        <f>'Analisis Recargas'!Q88</f>
        <v>1</v>
      </c>
      <c r="D285" s="46">
        <f>'Analisis Recargas'!Q143</f>
        <v>1</v>
      </c>
      <c r="E285" s="46">
        <f>'Analisis Recargas'!Q198</f>
        <v>2</v>
      </c>
      <c r="F285" s="46">
        <f>'Analisis Recargas'!Q253</f>
        <v>2</v>
      </c>
      <c r="G285" s="46">
        <f>'Analisis Recargas'!Q308</f>
        <v>3</v>
      </c>
      <c r="H285" s="46">
        <f>'Analisis Recargas'!Q363</f>
        <v>3</v>
      </c>
      <c r="I285" s="46">
        <f>'Analisis Recargas'!Q418</f>
        <v>3</v>
      </c>
      <c r="J285" s="46">
        <f>'Analisis Recargas'!Q473</f>
        <v>3</v>
      </c>
      <c r="K285" s="46">
        <f>'Analisis Recargas'!Q528</f>
        <v>3</v>
      </c>
      <c r="L285" s="118" t="s">
        <v>138</v>
      </c>
      <c r="M285" s="22" t="s">
        <v>677</v>
      </c>
      <c r="N285" s="11"/>
      <c r="O285" s="11"/>
      <c r="P285" s="11"/>
      <c r="Q285" s="11"/>
      <c r="R285" s="11"/>
      <c r="S285" s="11"/>
      <c r="T285" s="11"/>
      <c r="U285" s="11"/>
      <c r="V285" s="11"/>
      <c r="W285" s="11"/>
      <c r="X285" s="11"/>
      <c r="Y285" s="11"/>
      <c r="Z285" s="11"/>
      <c r="AA285" s="11"/>
      <c r="AB285" s="11"/>
      <c r="AC285" s="11"/>
      <c r="AD285" s="11"/>
    </row>
    <row r="286" ht="12.0" customHeight="1">
      <c r="A286" s="30" t="s">
        <v>461</v>
      </c>
      <c r="B286" s="46">
        <f>'Analisis Recargas'!Q34</f>
        <v>1</v>
      </c>
      <c r="C286" s="46">
        <f>'Analisis Recargas'!Q89</f>
        <v>1</v>
      </c>
      <c r="D286" s="46">
        <f>'Analisis Recargas'!Q144</f>
        <v>1</v>
      </c>
      <c r="E286" s="46">
        <f>'Analisis Recargas'!Q199</f>
        <v>1</v>
      </c>
      <c r="F286" s="46">
        <f>'Analisis Recargas'!Q254</f>
        <v>1</v>
      </c>
      <c r="G286" s="46">
        <f>'Analisis Recargas'!Q309</f>
        <v>1</v>
      </c>
      <c r="H286" s="46">
        <f>'Analisis Recargas'!Q364</f>
        <v>1</v>
      </c>
      <c r="I286" s="46">
        <f>'Analisis Recargas'!Q419</f>
        <v>1</v>
      </c>
      <c r="J286" s="46">
        <f>'Analisis Recargas'!Q474</f>
        <v>1</v>
      </c>
      <c r="K286" s="46">
        <f>'Analisis Recargas'!Q529</f>
        <v>1</v>
      </c>
      <c r="L286" s="118" t="s">
        <v>138</v>
      </c>
      <c r="M286" s="22" t="s">
        <v>679</v>
      </c>
      <c r="N286" s="11"/>
      <c r="O286" s="11"/>
      <c r="P286" s="11"/>
      <c r="Q286" s="11"/>
      <c r="R286" s="11"/>
      <c r="S286" s="11"/>
      <c r="T286" s="11"/>
      <c r="U286" s="11"/>
      <c r="V286" s="11"/>
      <c r="W286" s="11"/>
      <c r="X286" s="11"/>
      <c r="Y286" s="11"/>
      <c r="Z286" s="11"/>
      <c r="AA286" s="11"/>
      <c r="AB286" s="11"/>
      <c r="AC286" s="11"/>
      <c r="AD286" s="11"/>
    </row>
    <row r="287" ht="12.0" customHeight="1">
      <c r="A287" s="30" t="s">
        <v>463</v>
      </c>
      <c r="B287" s="46">
        <f>'Analisis Recargas'!Q35</f>
        <v>1</v>
      </c>
      <c r="C287" s="46">
        <f>'Analisis Recargas'!Q90</f>
        <v>1</v>
      </c>
      <c r="D287" s="46">
        <f>'Analisis Recargas'!Q145</f>
        <v>1</v>
      </c>
      <c r="E287" s="46">
        <f>'Analisis Recargas'!Q200</f>
        <v>1</v>
      </c>
      <c r="F287" s="46">
        <f>'Analisis Recargas'!Q255</f>
        <v>1</v>
      </c>
      <c r="G287" s="46">
        <f>'Analisis Recargas'!Q310</f>
        <v>1</v>
      </c>
      <c r="H287" s="46">
        <f>'Analisis Recargas'!Q365</f>
        <v>1</v>
      </c>
      <c r="I287" s="46">
        <f>'Analisis Recargas'!Q420</f>
        <v>1</v>
      </c>
      <c r="J287" s="46">
        <f>'Analisis Recargas'!Q475</f>
        <v>1</v>
      </c>
      <c r="K287" s="46">
        <f>'Analisis Recargas'!Q530</f>
        <v>1</v>
      </c>
      <c r="L287" s="118" t="s">
        <v>56</v>
      </c>
      <c r="M287" s="22"/>
      <c r="N287" s="11"/>
      <c r="O287" s="11"/>
      <c r="P287" s="11"/>
      <c r="Q287" s="11"/>
      <c r="R287" s="11"/>
      <c r="S287" s="11"/>
      <c r="T287" s="11"/>
      <c r="U287" s="11"/>
      <c r="V287" s="11"/>
      <c r="W287" s="11"/>
      <c r="X287" s="11"/>
      <c r="Y287" s="11"/>
      <c r="Z287" s="11"/>
      <c r="AA287" s="11"/>
      <c r="AB287" s="11"/>
      <c r="AC287" s="11"/>
      <c r="AD287" s="11"/>
    </row>
    <row r="288" ht="12.0" customHeight="1">
      <c r="A288" s="30" t="s">
        <v>464</v>
      </c>
      <c r="B288" s="46">
        <f>'Analisis Recargas'!Q36</f>
        <v>1</v>
      </c>
      <c r="C288" s="46">
        <f>'Analisis Recargas'!Q91</f>
        <v>1</v>
      </c>
      <c r="D288" s="46">
        <f>'Analisis Recargas'!Q146</f>
        <v>1</v>
      </c>
      <c r="E288" s="46">
        <f>'Analisis Recargas'!Q201</f>
        <v>1</v>
      </c>
      <c r="F288" s="46">
        <f>'Analisis Recargas'!Q256</f>
        <v>1</v>
      </c>
      <c r="G288" s="46">
        <f>'Analisis Recargas'!Q311</f>
        <v>1</v>
      </c>
      <c r="H288" s="46">
        <f>'Analisis Recargas'!Q366</f>
        <v>1</v>
      </c>
      <c r="I288" s="46">
        <f>'Analisis Recargas'!Q421</f>
        <v>1</v>
      </c>
      <c r="J288" s="46">
        <f>'Analisis Recargas'!Q476</f>
        <v>1</v>
      </c>
      <c r="K288" s="46">
        <f>'Analisis Recargas'!Q531</f>
        <v>1</v>
      </c>
      <c r="L288" s="118" t="s">
        <v>138</v>
      </c>
      <c r="M288" s="22" t="s">
        <v>680</v>
      </c>
      <c r="N288" s="11"/>
      <c r="O288" s="11"/>
      <c r="P288" s="11"/>
      <c r="Q288" s="11"/>
      <c r="R288" s="11"/>
      <c r="S288" s="11"/>
      <c r="T288" s="11"/>
      <c r="U288" s="11"/>
      <c r="V288" s="11"/>
      <c r="W288" s="11"/>
      <c r="X288" s="11"/>
      <c r="Y288" s="11"/>
      <c r="Z288" s="11"/>
      <c r="AA288" s="11"/>
      <c r="AB288" s="11"/>
      <c r="AC288" s="11"/>
      <c r="AD288" s="11"/>
    </row>
    <row r="289" ht="12.0" customHeight="1">
      <c r="A289" s="30" t="s">
        <v>465</v>
      </c>
      <c r="B289" s="46">
        <f>'Analisis Recargas'!Q37</f>
        <v>1</v>
      </c>
      <c r="C289" s="46">
        <f>'Analisis Recargas'!Q92</f>
        <v>1</v>
      </c>
      <c r="D289" s="46">
        <f>'Analisis Recargas'!Q147</f>
        <v>1</v>
      </c>
      <c r="E289" s="46">
        <f>'Analisis Recargas'!Q202</f>
        <v>1</v>
      </c>
      <c r="F289" s="46">
        <f>'Analisis Recargas'!Q257</f>
        <v>1</v>
      </c>
      <c r="G289" s="46">
        <f>'Analisis Recargas'!Q312</f>
        <v>1</v>
      </c>
      <c r="H289" s="46">
        <f>'Analisis Recargas'!Q367</f>
        <v>1</v>
      </c>
      <c r="I289" s="46">
        <f>'Analisis Recargas'!Q422</f>
        <v>1</v>
      </c>
      <c r="J289" s="46">
        <f>'Analisis Recargas'!Q477</f>
        <v>1</v>
      </c>
      <c r="K289" s="46">
        <f>'Analisis Recargas'!Q532</f>
        <v>1</v>
      </c>
      <c r="L289" s="118" t="s">
        <v>138</v>
      </c>
      <c r="M289" s="22" t="s">
        <v>681</v>
      </c>
      <c r="N289" s="11"/>
      <c r="O289" s="11"/>
      <c r="P289" s="11"/>
      <c r="Q289" s="11"/>
      <c r="R289" s="11"/>
      <c r="S289" s="11"/>
      <c r="T289" s="11"/>
      <c r="U289" s="11"/>
      <c r="V289" s="11"/>
      <c r="W289" s="11"/>
      <c r="X289" s="11"/>
      <c r="Y289" s="11"/>
      <c r="Z289" s="11"/>
      <c r="AA289" s="11"/>
      <c r="AB289" s="11"/>
      <c r="AC289" s="11"/>
      <c r="AD289" s="11"/>
    </row>
    <row r="290" ht="12.0" customHeight="1">
      <c r="A290" s="30" t="s">
        <v>466</v>
      </c>
      <c r="B290" s="46">
        <f>'Analisis Recargas'!Q38</f>
        <v>1</v>
      </c>
      <c r="C290" s="46">
        <f>'Analisis Recargas'!Q93</f>
        <v>1</v>
      </c>
      <c r="D290" s="46">
        <f>'Analisis Recargas'!Q148</f>
        <v>1</v>
      </c>
      <c r="E290" s="46">
        <f>'Analisis Recargas'!Q203</f>
        <v>1</v>
      </c>
      <c r="F290" s="46">
        <f>'Analisis Recargas'!Q258</f>
        <v>1</v>
      </c>
      <c r="G290" s="46">
        <f>'Analisis Recargas'!Q313</f>
        <v>1</v>
      </c>
      <c r="H290" s="46">
        <f>'Analisis Recargas'!Q368</f>
        <v>1</v>
      </c>
      <c r="I290" s="46">
        <f>'Analisis Recargas'!Q423</f>
        <v>1</v>
      </c>
      <c r="J290" s="46">
        <f>'Analisis Recargas'!Q478</f>
        <v>1</v>
      </c>
      <c r="K290" s="46">
        <f>'Analisis Recargas'!Q533</f>
        <v>1</v>
      </c>
      <c r="L290" s="118" t="s">
        <v>138</v>
      </c>
      <c r="M290" s="22" t="s">
        <v>682</v>
      </c>
      <c r="N290" s="11"/>
      <c r="O290" s="11"/>
      <c r="P290" s="11"/>
      <c r="Q290" s="11"/>
      <c r="R290" s="11"/>
      <c r="S290" s="11"/>
      <c r="T290" s="11"/>
      <c r="U290" s="11"/>
      <c r="V290" s="11"/>
      <c r="W290" s="11"/>
      <c r="X290" s="11"/>
      <c r="Y290" s="11"/>
      <c r="Z290" s="11"/>
      <c r="AA290" s="11"/>
      <c r="AB290" s="11"/>
      <c r="AC290" s="11"/>
      <c r="AD290" s="11"/>
    </row>
    <row r="291" ht="12.0" customHeight="1">
      <c r="A291" s="30" t="s">
        <v>469</v>
      </c>
      <c r="B291" s="46">
        <f>'Analisis Recargas'!Q40</f>
        <v>1</v>
      </c>
      <c r="C291" s="46">
        <f>'Analisis Recargas'!Q95</f>
        <v>1</v>
      </c>
      <c r="D291" s="46">
        <f>'Analisis Recargas'!Q150</f>
        <v>1</v>
      </c>
      <c r="E291" s="46">
        <f>'Analisis Recargas'!Q205</f>
        <v>1</v>
      </c>
      <c r="F291" s="46">
        <f>'Analisis Recargas'!Q260</f>
        <v>1</v>
      </c>
      <c r="G291" s="46">
        <f>'Analisis Recargas'!Q315</f>
        <v>1</v>
      </c>
      <c r="H291" s="46">
        <f>'Analisis Recargas'!Q370</f>
        <v>1</v>
      </c>
      <c r="I291" s="46">
        <f>'Analisis Recargas'!Q425</f>
        <v>1</v>
      </c>
      <c r="J291" s="46">
        <f>'Analisis Recargas'!Q480</f>
        <v>1</v>
      </c>
      <c r="K291" s="46">
        <f>'Analisis Recargas'!Q535</f>
        <v>1</v>
      </c>
      <c r="L291" s="118" t="s">
        <v>138</v>
      </c>
      <c r="M291" s="22" t="s">
        <v>683</v>
      </c>
      <c r="N291" s="11"/>
      <c r="O291" s="11"/>
      <c r="P291" s="11"/>
      <c r="Q291" s="11"/>
      <c r="R291" s="11"/>
      <c r="S291" s="11"/>
      <c r="T291" s="11"/>
      <c r="U291" s="11"/>
      <c r="V291" s="11"/>
      <c r="W291" s="11"/>
      <c r="X291" s="11"/>
      <c r="Y291" s="11"/>
      <c r="Z291" s="11"/>
      <c r="AA291" s="11"/>
      <c r="AB291" s="11"/>
      <c r="AC291" s="11"/>
      <c r="AD291" s="11"/>
    </row>
    <row r="292" ht="12.0" customHeight="1">
      <c r="A292" s="30" t="s">
        <v>470</v>
      </c>
      <c r="B292" s="46">
        <f>'Analisis Recargas'!Q41</f>
        <v>1</v>
      </c>
      <c r="C292" s="46">
        <f>'Analisis Recargas'!Q96</f>
        <v>1</v>
      </c>
      <c r="D292" s="46">
        <f>'Analisis Recargas'!Q151</f>
        <v>1</v>
      </c>
      <c r="E292" s="46">
        <f>'Analisis Recargas'!Q206</f>
        <v>1</v>
      </c>
      <c r="F292" s="46">
        <f>'Analisis Recargas'!Q261</f>
        <v>1</v>
      </c>
      <c r="G292" s="46">
        <f>'Analisis Recargas'!Q316</f>
        <v>1</v>
      </c>
      <c r="H292" s="46">
        <f>'Analisis Recargas'!Q371</f>
        <v>1</v>
      </c>
      <c r="I292" s="46">
        <f>'Analisis Recargas'!Q426</f>
        <v>1</v>
      </c>
      <c r="J292" s="46">
        <f>'Analisis Recargas'!Q481</f>
        <v>1</v>
      </c>
      <c r="K292" s="46">
        <f>'Analisis Recargas'!Q536</f>
        <v>1</v>
      </c>
      <c r="L292" s="118" t="s">
        <v>56</v>
      </c>
      <c r="M292" s="22" t="s">
        <v>684</v>
      </c>
      <c r="N292" s="11"/>
      <c r="O292" s="11"/>
      <c r="P292" s="11"/>
      <c r="Q292" s="11"/>
      <c r="R292" s="11"/>
      <c r="S292" s="11"/>
      <c r="T292" s="11"/>
      <c r="U292" s="11"/>
      <c r="V292" s="11"/>
      <c r="W292" s="11"/>
      <c r="X292" s="11"/>
      <c r="Y292" s="11"/>
      <c r="Z292" s="11"/>
      <c r="AA292" s="11"/>
      <c r="AB292" s="11"/>
      <c r="AC292" s="11"/>
      <c r="AD292" s="11"/>
    </row>
    <row r="293" ht="12.0" customHeight="1">
      <c r="A293" s="30" t="s">
        <v>500</v>
      </c>
      <c r="B293" s="46">
        <f>'Analisis Recargas'!Q44</f>
        <v>1</v>
      </c>
      <c r="C293" s="46">
        <f>'Analisis Recargas'!Q99</f>
        <v>1</v>
      </c>
      <c r="D293" s="46">
        <f>'Analisis Recargas'!Q154</f>
        <v>1</v>
      </c>
      <c r="E293" s="46">
        <f>'Analisis Recargas'!Q209</f>
        <v>1</v>
      </c>
      <c r="F293" s="46">
        <f>'Analisis Recargas'!Q264</f>
        <v>2</v>
      </c>
      <c r="G293" s="46">
        <f>'Analisis Recargas'!Q319</f>
        <v>2</v>
      </c>
      <c r="H293" s="46">
        <f>'Analisis Recargas'!Q374</f>
        <v>2</v>
      </c>
      <c r="I293" s="46">
        <f>'Analisis Recargas'!Q429</f>
        <v>2</v>
      </c>
      <c r="J293" s="46">
        <f>'Analisis Recargas'!Q484</f>
        <v>2</v>
      </c>
      <c r="K293" s="46">
        <f>'Analisis Recargas'!Q539</f>
        <v>2</v>
      </c>
      <c r="L293" s="118" t="s">
        <v>138</v>
      </c>
      <c r="M293" s="22" t="s">
        <v>685</v>
      </c>
      <c r="N293" s="11"/>
      <c r="O293" s="11"/>
      <c r="P293" s="11"/>
      <c r="Q293" s="11"/>
      <c r="R293" s="11"/>
      <c r="S293" s="11"/>
      <c r="T293" s="11"/>
      <c r="U293" s="11"/>
      <c r="V293" s="11"/>
      <c r="W293" s="11"/>
      <c r="X293" s="11"/>
      <c r="Y293" s="11"/>
      <c r="Z293" s="11"/>
      <c r="AA293" s="11"/>
      <c r="AB293" s="11"/>
      <c r="AC293" s="11"/>
      <c r="AD293" s="11"/>
    </row>
    <row r="294" ht="12.0" customHeight="1">
      <c r="A294" s="30" t="s">
        <v>522</v>
      </c>
      <c r="B294" s="46">
        <f>'Analisis Recargas'!Q45</f>
        <v>1</v>
      </c>
      <c r="C294" s="46">
        <f>'Analisis Recargas'!Q100</f>
        <v>1</v>
      </c>
      <c r="D294" s="46">
        <f>'Analisis Recargas'!Q155</f>
        <v>1</v>
      </c>
      <c r="E294" s="46">
        <f>'Analisis Recargas'!Q210</f>
        <v>1</v>
      </c>
      <c r="F294" s="46">
        <f>'Analisis Recargas'!Q265</f>
        <v>1</v>
      </c>
      <c r="G294" s="46">
        <f>'Analisis Recargas'!Q320</f>
        <v>1</v>
      </c>
      <c r="H294" s="46">
        <f>'Analisis Recargas'!Q375</f>
        <v>1</v>
      </c>
      <c r="I294" s="46">
        <f>'Analisis Recargas'!Q430</f>
        <v>1</v>
      </c>
      <c r="J294" s="46">
        <f>'Analisis Recargas'!Q485</f>
        <v>1</v>
      </c>
      <c r="K294" s="46">
        <f>'Analisis Recargas'!Q540</f>
        <v>1</v>
      </c>
      <c r="L294" s="118" t="s">
        <v>138</v>
      </c>
      <c r="M294" s="22" t="s">
        <v>679</v>
      </c>
      <c r="N294" s="11"/>
      <c r="O294" s="11"/>
      <c r="P294" s="11"/>
      <c r="Q294" s="11"/>
      <c r="R294" s="11"/>
      <c r="S294" s="11"/>
      <c r="T294" s="11"/>
      <c r="U294" s="11"/>
      <c r="V294" s="11"/>
      <c r="W294" s="11"/>
      <c r="X294" s="11"/>
      <c r="Y294" s="11"/>
      <c r="Z294" s="11"/>
      <c r="AA294" s="11"/>
      <c r="AB294" s="11"/>
      <c r="AC294" s="11"/>
      <c r="AD294" s="11"/>
    </row>
    <row r="295" ht="12.0" customHeight="1">
      <c r="A295" s="30" t="s">
        <v>529</v>
      </c>
      <c r="B295" s="46">
        <f>'Analisis Recargas'!Q46</f>
        <v>1</v>
      </c>
      <c r="C295" s="46">
        <f>'Analisis Recargas'!Q101</f>
        <v>1</v>
      </c>
      <c r="D295" s="46">
        <f>'Analisis Recargas'!Q156</f>
        <v>1</v>
      </c>
      <c r="E295" s="46">
        <f>'Analisis Recargas'!Q211</f>
        <v>1</v>
      </c>
      <c r="F295" s="46">
        <f>'Analisis Recargas'!Q266</f>
        <v>1</v>
      </c>
      <c r="G295" s="46">
        <f>'Analisis Recargas'!Q321</f>
        <v>1</v>
      </c>
      <c r="H295" s="46">
        <f>'Analisis Recargas'!Q376</f>
        <v>1</v>
      </c>
      <c r="I295" s="46">
        <f>'Analisis Recargas'!Q431</f>
        <v>1</v>
      </c>
      <c r="J295" s="46">
        <f>'Analisis Recargas'!Q486</f>
        <v>1</v>
      </c>
      <c r="K295" s="46">
        <f>'Analisis Recargas'!Q541</f>
        <v>1</v>
      </c>
      <c r="L295" s="118" t="s">
        <v>56</v>
      </c>
      <c r="M295" s="22"/>
      <c r="N295" s="11"/>
      <c r="O295" s="11"/>
      <c r="P295" s="11"/>
      <c r="Q295" s="11"/>
      <c r="R295" s="11"/>
      <c r="S295" s="11"/>
      <c r="T295" s="11"/>
      <c r="U295" s="11"/>
      <c r="V295" s="11"/>
      <c r="W295" s="11"/>
      <c r="X295" s="11"/>
      <c r="Y295" s="11"/>
      <c r="Z295" s="11"/>
      <c r="AA295" s="11"/>
      <c r="AB295" s="11"/>
      <c r="AC295" s="11"/>
      <c r="AD295" s="11"/>
    </row>
    <row r="296" ht="12.0" customHeight="1">
      <c r="A296" s="30" t="s">
        <v>531</v>
      </c>
      <c r="B296" s="46">
        <f>'Analisis Recargas'!Q47</f>
        <v>1</v>
      </c>
      <c r="C296" s="46">
        <f>'Analisis Recargas'!Q102</f>
        <v>1</v>
      </c>
      <c r="D296" s="46">
        <f>'Analisis Recargas'!Q157</f>
        <v>1</v>
      </c>
      <c r="E296" s="46">
        <f>'Analisis Recargas'!Q212</f>
        <v>1</v>
      </c>
      <c r="F296" s="46">
        <f>'Analisis Recargas'!Q267</f>
        <v>1</v>
      </c>
      <c r="G296" s="46">
        <f>'Analisis Recargas'!Q322</f>
        <v>1</v>
      </c>
      <c r="H296" s="46">
        <f>'Analisis Recargas'!Q377</f>
        <v>1</v>
      </c>
      <c r="I296" s="46">
        <f>'Analisis Recargas'!Q432</f>
        <v>1</v>
      </c>
      <c r="J296" s="46">
        <f>'Analisis Recargas'!Q487</f>
        <v>1</v>
      </c>
      <c r="K296" s="46">
        <f>'Analisis Recargas'!Q542</f>
        <v>1</v>
      </c>
      <c r="L296" s="118" t="s">
        <v>138</v>
      </c>
      <c r="M296" s="22" t="s">
        <v>687</v>
      </c>
      <c r="N296" s="11"/>
      <c r="O296" s="11"/>
      <c r="P296" s="11"/>
      <c r="Q296" s="11"/>
      <c r="R296" s="11"/>
      <c r="S296" s="11"/>
      <c r="T296" s="11"/>
      <c r="U296" s="11"/>
      <c r="V296" s="11"/>
      <c r="W296" s="11"/>
      <c r="X296" s="11"/>
      <c r="Y296" s="11"/>
      <c r="Z296" s="11"/>
      <c r="AA296" s="11"/>
      <c r="AB296" s="11"/>
      <c r="AC296" s="11"/>
      <c r="AD296" s="11"/>
    </row>
    <row r="297" ht="12.0" customHeight="1">
      <c r="A297" s="30" t="s">
        <v>533</v>
      </c>
      <c r="B297" s="46">
        <f>'Analisis Recargas'!Q48</f>
        <v>1</v>
      </c>
      <c r="C297" s="46">
        <f>'Analisis Recargas'!Q103</f>
        <v>1</v>
      </c>
      <c r="D297" s="46">
        <f>'Analisis Recargas'!Q158</f>
        <v>1</v>
      </c>
      <c r="E297" s="46">
        <f>'Analisis Recargas'!Q213</f>
        <v>1</v>
      </c>
      <c r="F297" s="46">
        <f>'Analisis Recargas'!Q268</f>
        <v>1</v>
      </c>
      <c r="G297" s="46">
        <f>'Analisis Recargas'!Q323</f>
        <v>1</v>
      </c>
      <c r="H297" s="46">
        <f>'Analisis Recargas'!Q378</f>
        <v>1</v>
      </c>
      <c r="I297" s="46">
        <f>'Analisis Recargas'!Q433</f>
        <v>1</v>
      </c>
      <c r="J297" s="46">
        <f>'Analisis Recargas'!Q488</f>
        <v>1</v>
      </c>
      <c r="K297" s="46">
        <f>'Analisis Recargas'!Q543</f>
        <v>1</v>
      </c>
      <c r="L297" s="118" t="s">
        <v>138</v>
      </c>
      <c r="M297" s="22" t="s">
        <v>688</v>
      </c>
      <c r="N297" s="11"/>
      <c r="O297" s="11"/>
      <c r="P297" s="11"/>
      <c r="Q297" s="11"/>
      <c r="R297" s="11"/>
      <c r="S297" s="11"/>
      <c r="T297" s="11"/>
      <c r="U297" s="11"/>
      <c r="V297" s="11"/>
      <c r="W297" s="11"/>
      <c r="X297" s="11"/>
      <c r="Y297" s="11"/>
      <c r="Z297" s="11"/>
      <c r="AA297" s="11"/>
      <c r="AB297" s="11"/>
      <c r="AC297" s="11"/>
      <c r="AD297" s="11"/>
    </row>
    <row r="298" ht="12.0" customHeight="1">
      <c r="A298" s="30" t="s">
        <v>535</v>
      </c>
      <c r="B298" s="46">
        <f>'Analisis Recargas'!Q49</f>
        <v>1</v>
      </c>
      <c r="C298" s="46">
        <f>'Analisis Recargas'!Q104</f>
        <v>1</v>
      </c>
      <c r="D298" s="46">
        <f>'Analisis Recargas'!Q159</f>
        <v>1</v>
      </c>
      <c r="E298" s="46">
        <f>'Analisis Recargas'!Q214</f>
        <v>1</v>
      </c>
      <c r="F298" s="46">
        <f>'Analisis Recargas'!Q269</f>
        <v>1</v>
      </c>
      <c r="G298" s="46">
        <f>'Analisis Recargas'!Q324</f>
        <v>1</v>
      </c>
      <c r="H298" s="46">
        <f>'Analisis Recargas'!Q379</f>
        <v>1</v>
      </c>
      <c r="I298" s="46">
        <f>'Analisis Recargas'!Q434</f>
        <v>1</v>
      </c>
      <c r="J298" s="46">
        <f>'Analisis Recargas'!Q489</f>
        <v>1</v>
      </c>
      <c r="K298" s="46">
        <f>'Analisis Recargas'!Q544</f>
        <v>1</v>
      </c>
      <c r="L298" s="118" t="s">
        <v>138</v>
      </c>
      <c r="M298" s="22" t="s">
        <v>689</v>
      </c>
      <c r="N298" s="11"/>
      <c r="O298" s="11"/>
      <c r="P298" s="11"/>
      <c r="Q298" s="11"/>
      <c r="R298" s="11"/>
      <c r="S298" s="11"/>
      <c r="T298" s="11"/>
      <c r="U298" s="11"/>
      <c r="V298" s="11"/>
      <c r="W298" s="11"/>
      <c r="X298" s="11"/>
      <c r="Y298" s="11"/>
      <c r="Z298" s="11"/>
      <c r="AA298" s="11"/>
      <c r="AB298" s="11"/>
      <c r="AC298" s="11"/>
      <c r="AD298" s="11"/>
    </row>
    <row r="299" ht="12.0" customHeight="1">
      <c r="A299" s="73" t="s">
        <v>690</v>
      </c>
      <c r="B299" s="36">
        <f t="shared" ref="B299:K299" si="107">SUMIF($L$273:$L$298,"Máquina",B273:B298)</f>
        <v>17</v>
      </c>
      <c r="C299" s="36">
        <f t="shared" si="107"/>
        <v>17</v>
      </c>
      <c r="D299" s="36">
        <f t="shared" si="107"/>
        <v>17</v>
      </c>
      <c r="E299" s="36">
        <f t="shared" si="107"/>
        <v>18</v>
      </c>
      <c r="F299" s="36">
        <f t="shared" si="107"/>
        <v>19</v>
      </c>
      <c r="G299" s="36">
        <f t="shared" si="107"/>
        <v>22</v>
      </c>
      <c r="H299" s="36">
        <f t="shared" si="107"/>
        <v>22</v>
      </c>
      <c r="I299" s="36">
        <f t="shared" si="107"/>
        <v>22</v>
      </c>
      <c r="J299" s="36">
        <f t="shared" si="107"/>
        <v>22</v>
      </c>
      <c r="K299" s="36">
        <f t="shared" si="107"/>
        <v>22</v>
      </c>
      <c r="L299" s="11"/>
      <c r="M299" s="11"/>
      <c r="N299" s="11"/>
      <c r="O299" s="11"/>
      <c r="P299" s="11"/>
      <c r="Q299" s="11"/>
      <c r="R299" s="11"/>
      <c r="S299" s="11"/>
      <c r="T299" s="11"/>
      <c r="U299" s="11"/>
      <c r="V299" s="11"/>
      <c r="W299" s="11"/>
      <c r="X299" s="11"/>
      <c r="Y299" s="11"/>
      <c r="Z299" s="11"/>
      <c r="AA299" s="11"/>
      <c r="AB299" s="11"/>
      <c r="AC299" s="11"/>
      <c r="AD299" s="11"/>
    </row>
    <row r="300" ht="12.0" customHeight="1">
      <c r="A300" s="73" t="s">
        <v>691</v>
      </c>
      <c r="B300" s="36">
        <f t="shared" ref="B300:K300" si="108">SUMIF($L$273:$L$298,"Manual",B273:B298)</f>
        <v>9</v>
      </c>
      <c r="C300" s="36">
        <f t="shared" si="108"/>
        <v>9</v>
      </c>
      <c r="D300" s="36">
        <f t="shared" si="108"/>
        <v>9</v>
      </c>
      <c r="E300" s="36">
        <f t="shared" si="108"/>
        <v>11</v>
      </c>
      <c r="F300" s="36">
        <f t="shared" si="108"/>
        <v>11</v>
      </c>
      <c r="G300" s="36">
        <f t="shared" si="108"/>
        <v>16</v>
      </c>
      <c r="H300" s="36">
        <f t="shared" si="108"/>
        <v>16</v>
      </c>
      <c r="I300" s="36">
        <f t="shared" si="108"/>
        <v>16</v>
      </c>
      <c r="J300" s="36">
        <f t="shared" si="108"/>
        <v>16</v>
      </c>
      <c r="K300" s="36">
        <f t="shared" si="108"/>
        <v>16</v>
      </c>
      <c r="L300" s="11"/>
      <c r="M300" s="11"/>
      <c r="N300" s="11"/>
      <c r="O300" s="11"/>
      <c r="P300" s="11"/>
      <c r="Q300" s="11"/>
      <c r="R300" s="11"/>
      <c r="S300" s="11"/>
      <c r="T300" s="11"/>
      <c r="U300" s="11"/>
      <c r="V300" s="11"/>
      <c r="W300" s="11"/>
      <c r="X300" s="11"/>
      <c r="Y300" s="11"/>
      <c r="Z300" s="11"/>
      <c r="AA300" s="11"/>
      <c r="AB300" s="11"/>
      <c r="AC300" s="11"/>
      <c r="AD300" s="11"/>
    </row>
    <row r="301" ht="12.0"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2.0" customHeight="1">
      <c r="A302" s="134" t="s">
        <v>692</v>
      </c>
      <c r="B302" s="16"/>
      <c r="C302" s="16"/>
      <c r="D302" s="16"/>
      <c r="E302" s="16"/>
      <c r="F302" s="16"/>
      <c r="G302" s="16"/>
      <c r="H302" s="16"/>
      <c r="I302" s="16"/>
      <c r="J302" s="16"/>
      <c r="K302" s="16"/>
      <c r="L302" s="17"/>
      <c r="M302" s="11"/>
      <c r="N302" s="11"/>
      <c r="O302" s="11"/>
      <c r="P302" s="11"/>
      <c r="Q302" s="11"/>
      <c r="R302" s="11"/>
      <c r="S302" s="11"/>
      <c r="T302" s="11"/>
      <c r="U302" s="11"/>
      <c r="V302" s="11"/>
      <c r="W302" s="11"/>
      <c r="X302" s="11"/>
      <c r="Y302" s="11"/>
      <c r="Z302" s="11"/>
      <c r="AA302" s="11"/>
      <c r="AB302" s="11"/>
      <c r="AC302" s="11"/>
      <c r="AD302" s="11"/>
    </row>
    <row r="303" ht="12.0" customHeight="1">
      <c r="A303" s="135" t="s">
        <v>22</v>
      </c>
      <c r="B303" s="135">
        <v>2026.0</v>
      </c>
      <c r="C303" s="135">
        <v>2027.0</v>
      </c>
      <c r="D303" s="135">
        <v>2028.0</v>
      </c>
      <c r="E303" s="135">
        <v>2029.0</v>
      </c>
      <c r="F303" s="135">
        <v>2030.0</v>
      </c>
      <c r="G303" s="135">
        <v>2031.0</v>
      </c>
      <c r="H303" s="135">
        <v>2032.0</v>
      </c>
      <c r="I303" s="135">
        <v>2033.0</v>
      </c>
      <c r="J303" s="135">
        <v>2034.0</v>
      </c>
      <c r="K303" s="135">
        <v>2035.0</v>
      </c>
      <c r="L303" s="135" t="s">
        <v>541</v>
      </c>
      <c r="M303" s="11"/>
      <c r="N303" s="11"/>
      <c r="O303" s="11"/>
      <c r="P303" s="11"/>
      <c r="Q303" s="11"/>
      <c r="R303" s="11"/>
      <c r="S303" s="11"/>
      <c r="T303" s="11"/>
      <c r="U303" s="11"/>
      <c r="V303" s="11"/>
      <c r="W303" s="11"/>
      <c r="X303" s="11"/>
      <c r="Y303" s="11"/>
      <c r="Z303" s="11"/>
      <c r="AA303" s="11"/>
      <c r="AB303" s="11"/>
      <c r="AC303" s="11"/>
      <c r="AD303" s="11"/>
    </row>
    <row r="304" ht="12.0" customHeight="1">
      <c r="A304" s="30" t="s">
        <v>457</v>
      </c>
      <c r="B304" s="46">
        <f>'Analisis Recargas'!R31</f>
        <v>1</v>
      </c>
      <c r="C304" s="46">
        <f>'Analisis Recargas'!R86</f>
        <v>1</v>
      </c>
      <c r="D304" s="46">
        <f>'Analisis Recargas'!R141</f>
        <v>1</v>
      </c>
      <c r="E304" s="46">
        <f>'Analisis Recargas'!R196</f>
        <v>1</v>
      </c>
      <c r="F304" s="46">
        <f>'Analisis Recargas'!R251</f>
        <v>1</v>
      </c>
      <c r="G304" s="46">
        <f>'Analisis Recargas'!R306</f>
        <v>1</v>
      </c>
      <c r="H304" s="46">
        <f>'Analisis Recargas'!R361</f>
        <v>2</v>
      </c>
      <c r="I304" s="46">
        <f>'Analisis Recargas'!R416</f>
        <v>2</v>
      </c>
      <c r="J304" s="46">
        <f>'Analisis Recargas'!R471</f>
        <v>2</v>
      </c>
      <c r="K304" s="46">
        <f>'Analisis Recargas'!R526</f>
        <v>2</v>
      </c>
      <c r="L304" s="118" t="s">
        <v>56</v>
      </c>
      <c r="M304" s="11"/>
      <c r="N304" s="11"/>
      <c r="O304" s="11"/>
      <c r="P304" s="11"/>
      <c r="Q304" s="11"/>
      <c r="R304" s="11"/>
      <c r="S304" s="11"/>
      <c r="T304" s="11"/>
      <c r="U304" s="11"/>
      <c r="V304" s="11"/>
      <c r="W304" s="11"/>
      <c r="X304" s="11"/>
      <c r="Y304" s="11"/>
      <c r="Z304" s="11"/>
      <c r="AA304" s="11"/>
      <c r="AB304" s="11"/>
      <c r="AC304" s="11"/>
      <c r="AD304" s="11"/>
    </row>
    <row r="305" ht="12.0" customHeight="1">
      <c r="A305" s="30" t="s">
        <v>459</v>
      </c>
      <c r="B305" s="46">
        <f>'Analisis Recargas'!R32</f>
        <v>1</v>
      </c>
      <c r="C305" s="46">
        <f>'Analisis Recargas'!R87</f>
        <v>1</v>
      </c>
      <c r="D305" s="46">
        <f>'Analisis Recargas'!R142</f>
        <v>1</v>
      </c>
      <c r="E305" s="46">
        <f>'Analisis Recargas'!R197</f>
        <v>1</v>
      </c>
      <c r="F305" s="46">
        <f>'Analisis Recargas'!R252</f>
        <v>1</v>
      </c>
      <c r="G305" s="46">
        <f>'Analisis Recargas'!R307</f>
        <v>1</v>
      </c>
      <c r="H305" s="46">
        <f>'Analisis Recargas'!R362</f>
        <v>1</v>
      </c>
      <c r="I305" s="46">
        <f>'Analisis Recargas'!R417</f>
        <v>1</v>
      </c>
      <c r="J305" s="46">
        <f>'Analisis Recargas'!R472</f>
        <v>1</v>
      </c>
      <c r="K305" s="46">
        <f>'Analisis Recargas'!R527</f>
        <v>2</v>
      </c>
      <c r="L305" s="118" t="s">
        <v>56</v>
      </c>
      <c r="M305" s="11"/>
      <c r="N305" s="11"/>
      <c r="O305" s="11"/>
      <c r="P305" s="11"/>
      <c r="Q305" s="11"/>
      <c r="R305" s="11"/>
      <c r="S305" s="11"/>
      <c r="T305" s="11"/>
      <c r="U305" s="11"/>
      <c r="V305" s="11"/>
      <c r="W305" s="11"/>
      <c r="X305" s="11"/>
      <c r="Y305" s="11"/>
      <c r="Z305" s="11"/>
      <c r="AA305" s="11"/>
      <c r="AB305" s="11"/>
      <c r="AC305" s="11"/>
      <c r="AD305" s="11"/>
    </row>
    <row r="306" ht="12.0" customHeight="1">
      <c r="A306" s="30" t="s">
        <v>467</v>
      </c>
      <c r="B306" s="46">
        <f>'Analisis Recargas'!R39</f>
        <v>1</v>
      </c>
      <c r="C306" s="46">
        <f>'Analisis Recargas'!R94</f>
        <v>1</v>
      </c>
      <c r="D306" s="46">
        <f>'Analisis Recargas'!R149</f>
        <v>1</v>
      </c>
      <c r="E306" s="46">
        <f>'Analisis Recargas'!R204</f>
        <v>1</v>
      </c>
      <c r="F306" s="46">
        <f>'Analisis Recargas'!R259</f>
        <v>1</v>
      </c>
      <c r="G306" s="46">
        <f>'Analisis Recargas'!R314</f>
        <v>1</v>
      </c>
      <c r="H306" s="46">
        <f>'Analisis Recargas'!R369</f>
        <v>1</v>
      </c>
      <c r="I306" s="46">
        <f>'Analisis Recargas'!R424</f>
        <v>1</v>
      </c>
      <c r="J306" s="46">
        <f>'Analisis Recargas'!R479</f>
        <v>2</v>
      </c>
      <c r="K306" s="46">
        <f>'Analisis Recargas'!R534</f>
        <v>2</v>
      </c>
      <c r="L306" s="118" t="s">
        <v>56</v>
      </c>
      <c r="M306" s="11"/>
      <c r="N306" s="11"/>
      <c r="O306" s="11"/>
      <c r="P306" s="11"/>
      <c r="Q306" s="11"/>
      <c r="R306" s="11"/>
      <c r="S306" s="11"/>
      <c r="T306" s="11"/>
      <c r="U306" s="11"/>
      <c r="V306" s="11"/>
      <c r="W306" s="11"/>
      <c r="X306" s="11"/>
      <c r="Y306" s="11"/>
      <c r="Z306" s="11"/>
      <c r="AA306" s="11"/>
      <c r="AB306" s="11"/>
      <c r="AC306" s="11"/>
      <c r="AD306" s="11"/>
    </row>
    <row r="307" ht="12.0" customHeight="1">
      <c r="A307" s="30" t="s">
        <v>473</v>
      </c>
      <c r="B307" s="46">
        <f>'Analisis Recargas'!R42</f>
        <v>1</v>
      </c>
      <c r="C307" s="46">
        <f>'Analisis Recargas'!R97</f>
        <v>1</v>
      </c>
      <c r="D307" s="46">
        <f>'Analisis Recargas'!R152</f>
        <v>1</v>
      </c>
      <c r="E307" s="46">
        <f>'Analisis Recargas'!R207</f>
        <v>1</v>
      </c>
      <c r="F307" s="46">
        <f>'Analisis Recargas'!R262</f>
        <v>1</v>
      </c>
      <c r="G307" s="46">
        <f>'Analisis Recargas'!R317</f>
        <v>1</v>
      </c>
      <c r="H307" s="46">
        <f>'Analisis Recargas'!R372</f>
        <v>1</v>
      </c>
      <c r="I307" s="46">
        <f>'Analisis Recargas'!R427</f>
        <v>1</v>
      </c>
      <c r="J307" s="46">
        <f>'Analisis Recargas'!R482</f>
        <v>1</v>
      </c>
      <c r="K307" s="46">
        <f>'Analisis Recargas'!R537</f>
        <v>1</v>
      </c>
      <c r="L307" s="118" t="s">
        <v>138</v>
      </c>
      <c r="M307" s="11"/>
      <c r="N307" s="11"/>
      <c r="O307" s="11"/>
      <c r="P307" s="11"/>
      <c r="Q307" s="11"/>
      <c r="R307" s="11"/>
      <c r="S307" s="11"/>
      <c r="T307" s="11"/>
      <c r="U307" s="11"/>
      <c r="V307" s="11"/>
      <c r="W307" s="11"/>
      <c r="X307" s="11"/>
      <c r="Y307" s="11"/>
      <c r="Z307" s="11"/>
      <c r="AA307" s="11"/>
      <c r="AB307" s="11"/>
      <c r="AC307" s="11"/>
      <c r="AD307" s="11"/>
    </row>
    <row r="308" ht="12.0" customHeight="1">
      <c r="A308" s="30" t="s">
        <v>479</v>
      </c>
      <c r="B308" s="46">
        <f>'Analisis Recargas'!R43</f>
        <v>1</v>
      </c>
      <c r="C308" s="46">
        <f>'Analisis Recargas'!R98</f>
        <v>1</v>
      </c>
      <c r="D308" s="46">
        <f>'Analisis Recargas'!R153</f>
        <v>1</v>
      </c>
      <c r="E308" s="46">
        <f>'Analisis Recargas'!R208</f>
        <v>1</v>
      </c>
      <c r="F308" s="46">
        <f>'Analisis Recargas'!R263</f>
        <v>1</v>
      </c>
      <c r="G308" s="46">
        <f>'Analisis Recargas'!R318</f>
        <v>1</v>
      </c>
      <c r="H308" s="46">
        <f>'Analisis Recargas'!R373</f>
        <v>2</v>
      </c>
      <c r="I308" s="46">
        <f>'Analisis Recargas'!R428</f>
        <v>2</v>
      </c>
      <c r="J308" s="46">
        <f>'Analisis Recargas'!R483</f>
        <v>2</v>
      </c>
      <c r="K308" s="46">
        <f>'Analisis Recargas'!R538</f>
        <v>2</v>
      </c>
      <c r="L308" s="118" t="s">
        <v>138</v>
      </c>
      <c r="M308" s="11"/>
      <c r="N308" s="11"/>
      <c r="O308" s="11"/>
      <c r="P308" s="11"/>
      <c r="Q308" s="11"/>
      <c r="R308" s="11"/>
      <c r="S308" s="11"/>
      <c r="T308" s="11"/>
      <c r="U308" s="11"/>
      <c r="V308" s="11"/>
      <c r="W308" s="11"/>
      <c r="X308" s="11"/>
      <c r="Y308" s="11"/>
      <c r="Z308" s="11"/>
      <c r="AA308" s="11"/>
      <c r="AB308" s="11"/>
      <c r="AC308" s="11"/>
      <c r="AD308" s="11"/>
    </row>
    <row r="309" ht="12.0" customHeight="1">
      <c r="A309" s="30" t="s">
        <v>536</v>
      </c>
      <c r="B309" s="46">
        <f>'Analisis Recargas'!R50</f>
        <v>1</v>
      </c>
      <c r="C309" s="46">
        <f>'Analisis Recargas'!R105</f>
        <v>1</v>
      </c>
      <c r="D309" s="46">
        <f>'Analisis Recargas'!R160</f>
        <v>1</v>
      </c>
      <c r="E309" s="46">
        <f>'Analisis Recargas'!R215</f>
        <v>1</v>
      </c>
      <c r="F309" s="46">
        <f>'Analisis Recargas'!R270</f>
        <v>1</v>
      </c>
      <c r="G309" s="46">
        <f>'Analisis Recargas'!R325</f>
        <v>1</v>
      </c>
      <c r="H309" s="46">
        <f>'Analisis Recargas'!R380</f>
        <v>2</v>
      </c>
      <c r="I309" s="46">
        <f>'Analisis Recargas'!R435</f>
        <v>2</v>
      </c>
      <c r="J309" s="46">
        <f>'Analisis Recargas'!R490</f>
        <v>2</v>
      </c>
      <c r="K309" s="46">
        <f>'Analisis Recargas'!R545</f>
        <v>2</v>
      </c>
      <c r="L309" s="118" t="s">
        <v>56</v>
      </c>
      <c r="M309" s="11"/>
      <c r="N309" s="11"/>
      <c r="O309" s="11"/>
      <c r="P309" s="11"/>
      <c r="Q309" s="11"/>
      <c r="R309" s="11"/>
      <c r="S309" s="11"/>
      <c r="T309" s="11"/>
      <c r="U309" s="11"/>
      <c r="V309" s="11"/>
      <c r="W309" s="11"/>
      <c r="X309" s="11"/>
      <c r="Y309" s="11"/>
      <c r="Z309" s="11"/>
      <c r="AA309" s="11"/>
      <c r="AB309" s="11"/>
      <c r="AC309" s="11"/>
      <c r="AD309" s="11"/>
    </row>
    <row r="310" ht="12.0" customHeight="1">
      <c r="A310" s="30" t="s">
        <v>537</v>
      </c>
      <c r="B310" s="46">
        <f>'Analisis Recargas'!R51</f>
        <v>1</v>
      </c>
      <c r="C310" s="46">
        <f>'Analisis Recargas'!R106</f>
        <v>1</v>
      </c>
      <c r="D310" s="46">
        <f>'Analisis Recargas'!R161</f>
        <v>1</v>
      </c>
      <c r="E310" s="46">
        <f>'Analisis Recargas'!R216</f>
        <v>1</v>
      </c>
      <c r="F310" s="46">
        <f>'Analisis Recargas'!R271</f>
        <v>1</v>
      </c>
      <c r="G310" s="46">
        <f>'Analisis Recargas'!R326</f>
        <v>1</v>
      </c>
      <c r="H310" s="46">
        <f>'Analisis Recargas'!R381</f>
        <v>1</v>
      </c>
      <c r="I310" s="46">
        <f>'Analisis Recargas'!R436</f>
        <v>1</v>
      </c>
      <c r="J310" s="46">
        <f>'Analisis Recargas'!R491</f>
        <v>1</v>
      </c>
      <c r="K310" s="46">
        <f>'Analisis Recargas'!R546</f>
        <v>1</v>
      </c>
      <c r="L310" s="118" t="s">
        <v>138</v>
      </c>
      <c r="M310" s="11"/>
      <c r="N310" s="11"/>
      <c r="O310" s="11"/>
      <c r="P310" s="11"/>
      <c r="Q310" s="11"/>
      <c r="R310" s="11"/>
      <c r="S310" s="11"/>
      <c r="T310" s="11"/>
      <c r="U310" s="11"/>
      <c r="V310" s="11"/>
      <c r="W310" s="11"/>
      <c r="X310" s="11"/>
      <c r="Y310" s="11"/>
      <c r="Z310" s="11"/>
      <c r="AA310" s="11"/>
      <c r="AB310" s="11"/>
      <c r="AC310" s="11"/>
      <c r="AD310" s="11"/>
    </row>
    <row r="311" ht="12.0" customHeight="1">
      <c r="A311" s="30" t="s">
        <v>546</v>
      </c>
      <c r="B311" s="46">
        <f>'Analisis Recargas'!R52</f>
        <v>1</v>
      </c>
      <c r="C311" s="46">
        <f>'Analisis Recargas'!R107</f>
        <v>1</v>
      </c>
      <c r="D311" s="46">
        <f>'Analisis Recargas'!R162</f>
        <v>1</v>
      </c>
      <c r="E311" s="46">
        <f>'Analisis Recargas'!R217</f>
        <v>1</v>
      </c>
      <c r="F311" s="46">
        <f>'Analisis Recargas'!R272</f>
        <v>1</v>
      </c>
      <c r="G311" s="46">
        <f>'Analisis Recargas'!R327</f>
        <v>1</v>
      </c>
      <c r="H311" s="46">
        <f>'Analisis Recargas'!R382</f>
        <v>1</v>
      </c>
      <c r="I311" s="46">
        <f>'Analisis Recargas'!R437</f>
        <v>1</v>
      </c>
      <c r="J311" s="46">
        <f>'Analisis Recargas'!R492</f>
        <v>1</v>
      </c>
      <c r="K311" s="46">
        <f>'Analisis Recargas'!R547</f>
        <v>1</v>
      </c>
      <c r="L311" s="118" t="s">
        <v>138</v>
      </c>
      <c r="M311" s="11"/>
      <c r="N311" s="11"/>
      <c r="O311" s="11"/>
      <c r="P311" s="11"/>
      <c r="Q311" s="11"/>
      <c r="R311" s="11"/>
      <c r="S311" s="11"/>
      <c r="T311" s="11"/>
      <c r="U311" s="11"/>
      <c r="V311" s="11"/>
      <c r="W311" s="11"/>
      <c r="X311" s="11"/>
      <c r="Y311" s="11"/>
      <c r="Z311" s="11"/>
      <c r="AA311" s="11"/>
      <c r="AB311" s="11"/>
      <c r="AC311" s="11"/>
      <c r="AD311" s="11"/>
    </row>
    <row r="312" ht="12.0" customHeight="1">
      <c r="A312" s="30" t="s">
        <v>559</v>
      </c>
      <c r="B312" s="46">
        <f>'Analisis Recargas'!R53</f>
        <v>1</v>
      </c>
      <c r="C312" s="46">
        <f>'Analisis Recargas'!R108</f>
        <v>1</v>
      </c>
      <c r="D312" s="46">
        <f>'Analisis Recargas'!R163</f>
        <v>1</v>
      </c>
      <c r="E312" s="46">
        <f>'Analisis Recargas'!R218</f>
        <v>1</v>
      </c>
      <c r="F312" s="46">
        <f>'Analisis Recargas'!R273</f>
        <v>1</v>
      </c>
      <c r="G312" s="46">
        <f>'Analisis Recargas'!R328</f>
        <v>1</v>
      </c>
      <c r="H312" s="46">
        <f>'Analisis Recargas'!R383</f>
        <v>2</v>
      </c>
      <c r="I312" s="46">
        <f>'Analisis Recargas'!R438</f>
        <v>2</v>
      </c>
      <c r="J312" s="46">
        <f>'Analisis Recargas'!R493</f>
        <v>2</v>
      </c>
      <c r="K312" s="46">
        <f>'Analisis Recargas'!R548</f>
        <v>2</v>
      </c>
      <c r="L312" s="118" t="s">
        <v>138</v>
      </c>
      <c r="M312" s="11"/>
      <c r="N312" s="11"/>
      <c r="O312" s="11"/>
      <c r="P312" s="11"/>
      <c r="Q312" s="11"/>
      <c r="R312" s="11"/>
      <c r="S312" s="11"/>
      <c r="T312" s="11"/>
      <c r="U312" s="11"/>
      <c r="V312" s="11"/>
      <c r="W312" s="11"/>
      <c r="X312" s="11"/>
      <c r="Y312" s="11"/>
      <c r="Z312" s="11"/>
      <c r="AA312" s="11"/>
      <c r="AB312" s="11"/>
      <c r="AC312" s="11"/>
      <c r="AD312" s="11"/>
    </row>
    <row r="313" ht="12.0" customHeight="1">
      <c r="A313" s="30" t="s">
        <v>566</v>
      </c>
      <c r="B313" s="46">
        <f>'Analisis Recargas'!R54</f>
        <v>1</v>
      </c>
      <c r="C313" s="46">
        <f>'Analisis Recargas'!R109</f>
        <v>1</v>
      </c>
      <c r="D313" s="46">
        <f>'Analisis Recargas'!R164</f>
        <v>1</v>
      </c>
      <c r="E313" s="46">
        <f>'Analisis Recargas'!R219</f>
        <v>1</v>
      </c>
      <c r="F313" s="46">
        <f>'Analisis Recargas'!R274</f>
        <v>1</v>
      </c>
      <c r="G313" s="46">
        <f>'Analisis Recargas'!R329</f>
        <v>1</v>
      </c>
      <c r="H313" s="46">
        <f>'Analisis Recargas'!R384</f>
        <v>1</v>
      </c>
      <c r="I313" s="46">
        <f>'Analisis Recargas'!R439</f>
        <v>1</v>
      </c>
      <c r="J313" s="46">
        <f>'Analisis Recargas'!R494</f>
        <v>1</v>
      </c>
      <c r="K313" s="46">
        <f>'Analisis Recargas'!R549</f>
        <v>2</v>
      </c>
      <c r="L313" s="118" t="s">
        <v>138</v>
      </c>
      <c r="M313" s="11"/>
      <c r="N313" s="11"/>
      <c r="O313" s="11"/>
      <c r="P313" s="11"/>
      <c r="Q313" s="11"/>
      <c r="R313" s="11"/>
      <c r="S313" s="11"/>
      <c r="T313" s="11"/>
      <c r="U313" s="11"/>
      <c r="V313" s="11"/>
      <c r="W313" s="11"/>
      <c r="X313" s="11"/>
      <c r="Y313" s="11"/>
      <c r="Z313" s="11"/>
      <c r="AA313" s="11"/>
      <c r="AB313" s="11"/>
      <c r="AC313" s="11"/>
      <c r="AD313" s="11"/>
    </row>
    <row r="314" ht="12.0" customHeight="1">
      <c r="A314" s="30" t="s">
        <v>574</v>
      </c>
      <c r="B314" s="46">
        <f>'Analisis Recargas'!R55</f>
        <v>1</v>
      </c>
      <c r="C314" s="46">
        <f>'Analisis Recargas'!R110</f>
        <v>1</v>
      </c>
      <c r="D314" s="46">
        <f>'Analisis Recargas'!R165</f>
        <v>1</v>
      </c>
      <c r="E314" s="46">
        <f>'Analisis Recargas'!R220</f>
        <v>1</v>
      </c>
      <c r="F314" s="46">
        <f>'Analisis Recargas'!R275</f>
        <v>1</v>
      </c>
      <c r="G314" s="46">
        <f>'Analisis Recargas'!R330</f>
        <v>1</v>
      </c>
      <c r="H314" s="46">
        <f>'Analisis Recargas'!R385</f>
        <v>1</v>
      </c>
      <c r="I314" s="46">
        <f>'Analisis Recargas'!R440</f>
        <v>1</v>
      </c>
      <c r="J314" s="46">
        <f>'Analisis Recargas'!R495</f>
        <v>1</v>
      </c>
      <c r="K314" s="46">
        <f>'Analisis Recargas'!R550</f>
        <v>2</v>
      </c>
      <c r="L314" s="118" t="s">
        <v>56</v>
      </c>
      <c r="M314" s="11"/>
      <c r="N314" s="11"/>
      <c r="O314" s="11"/>
      <c r="P314" s="11"/>
      <c r="Q314" s="11"/>
      <c r="R314" s="11"/>
      <c r="S314" s="11"/>
      <c r="T314" s="11"/>
      <c r="U314" s="11"/>
      <c r="V314" s="11"/>
      <c r="W314" s="11"/>
      <c r="X314" s="11"/>
      <c r="Y314" s="11"/>
      <c r="Z314" s="11"/>
      <c r="AA314" s="11"/>
      <c r="AB314" s="11"/>
      <c r="AC314" s="11"/>
      <c r="AD314" s="11"/>
    </row>
    <row r="315" ht="12.0" customHeight="1">
      <c r="A315" s="30" t="s">
        <v>583</v>
      </c>
      <c r="B315" s="46">
        <f>'Analisis Recargas'!R56</f>
        <v>1</v>
      </c>
      <c r="C315" s="46">
        <f>'Analisis Recargas'!R111</f>
        <v>1</v>
      </c>
      <c r="D315" s="46">
        <f>'Analisis Recargas'!R166</f>
        <v>1</v>
      </c>
      <c r="E315" s="46">
        <f>'Analisis Recargas'!R221</f>
        <v>1</v>
      </c>
      <c r="F315" s="46">
        <f>'Analisis Recargas'!R276</f>
        <v>1</v>
      </c>
      <c r="G315" s="46">
        <f>'Analisis Recargas'!R331</f>
        <v>1</v>
      </c>
      <c r="H315" s="46">
        <f>'Analisis Recargas'!R386</f>
        <v>1</v>
      </c>
      <c r="I315" s="46">
        <f>'Analisis Recargas'!R441</f>
        <v>1</v>
      </c>
      <c r="J315" s="46">
        <f>'Analisis Recargas'!R496</f>
        <v>1</v>
      </c>
      <c r="K315" s="46">
        <f>'Analisis Recargas'!R551</f>
        <v>1</v>
      </c>
      <c r="L315" s="118" t="s">
        <v>56</v>
      </c>
      <c r="M315" s="11"/>
      <c r="N315" s="11"/>
      <c r="O315" s="11"/>
      <c r="P315" s="11"/>
      <c r="Q315" s="11"/>
      <c r="R315" s="11"/>
      <c r="S315" s="11"/>
      <c r="T315" s="11"/>
      <c r="U315" s="11"/>
      <c r="V315" s="11"/>
      <c r="W315" s="11"/>
      <c r="X315" s="11"/>
      <c r="Y315" s="11"/>
      <c r="Z315" s="11"/>
      <c r="AA315" s="11"/>
      <c r="AB315" s="11"/>
      <c r="AC315" s="11"/>
      <c r="AD315" s="11"/>
    </row>
    <row r="316" ht="12.0" customHeight="1">
      <c r="A316" s="30" t="s">
        <v>460</v>
      </c>
      <c r="B316" s="46">
        <f>'Analisis Recargas'!R33</f>
        <v>1</v>
      </c>
      <c r="C316" s="46">
        <f>'Analisis Recargas'!R88</f>
        <v>1</v>
      </c>
      <c r="D316" s="46">
        <f>'Analisis Recargas'!R143</f>
        <v>1</v>
      </c>
      <c r="E316" s="46">
        <f>'Analisis Recargas'!R198</f>
        <v>1</v>
      </c>
      <c r="F316" s="46">
        <f>'Analisis Recargas'!R253</f>
        <v>1</v>
      </c>
      <c r="G316" s="46">
        <f>'Analisis Recargas'!R308</f>
        <v>1</v>
      </c>
      <c r="H316" s="46">
        <f>'Analisis Recargas'!R363</f>
        <v>1</v>
      </c>
      <c r="I316" s="46">
        <f>'Analisis Recargas'!R418</f>
        <v>1</v>
      </c>
      <c r="J316" s="46">
        <f>'Analisis Recargas'!R473</f>
        <v>2</v>
      </c>
      <c r="K316" s="46">
        <f>'Analisis Recargas'!R528</f>
        <v>2</v>
      </c>
      <c r="L316" s="118" t="s">
        <v>138</v>
      </c>
      <c r="M316" s="11"/>
      <c r="N316" s="11"/>
      <c r="O316" s="11"/>
      <c r="P316" s="11"/>
      <c r="Q316" s="11"/>
      <c r="R316" s="11"/>
      <c r="S316" s="11"/>
      <c r="T316" s="11"/>
      <c r="U316" s="11"/>
      <c r="V316" s="11"/>
      <c r="W316" s="11"/>
      <c r="X316" s="11"/>
      <c r="Y316" s="11"/>
      <c r="Z316" s="11"/>
      <c r="AA316" s="11"/>
      <c r="AB316" s="11"/>
      <c r="AC316" s="11"/>
      <c r="AD316" s="11"/>
    </row>
    <row r="317" ht="12.0" customHeight="1">
      <c r="A317" s="30" t="s">
        <v>461</v>
      </c>
      <c r="B317" s="46">
        <f>'Analisis Recargas'!R34</f>
        <v>1</v>
      </c>
      <c r="C317" s="46">
        <f>'Analisis Recargas'!R89</f>
        <v>1</v>
      </c>
      <c r="D317" s="46">
        <f>'Analisis Recargas'!R144</f>
        <v>1</v>
      </c>
      <c r="E317" s="46">
        <f>'Analisis Recargas'!R199</f>
        <v>1</v>
      </c>
      <c r="F317" s="46">
        <f>'Analisis Recargas'!R254</f>
        <v>1</v>
      </c>
      <c r="G317" s="46">
        <f>'Analisis Recargas'!R309</f>
        <v>1</v>
      </c>
      <c r="H317" s="46">
        <f>'Analisis Recargas'!R364</f>
        <v>1</v>
      </c>
      <c r="I317" s="46">
        <f>'Analisis Recargas'!R419</f>
        <v>1</v>
      </c>
      <c r="J317" s="46">
        <f>'Analisis Recargas'!R474</f>
        <v>1</v>
      </c>
      <c r="K317" s="46">
        <f>'Analisis Recargas'!R529</f>
        <v>1</v>
      </c>
      <c r="L317" s="118" t="s">
        <v>138</v>
      </c>
      <c r="M317" s="11"/>
      <c r="N317" s="11"/>
      <c r="O317" s="11"/>
      <c r="P317" s="11"/>
      <c r="Q317" s="11"/>
      <c r="R317" s="11"/>
      <c r="S317" s="11"/>
      <c r="T317" s="11"/>
      <c r="U317" s="11"/>
      <c r="V317" s="11"/>
      <c r="W317" s="11"/>
      <c r="X317" s="11"/>
      <c r="Y317" s="11"/>
      <c r="Z317" s="11"/>
      <c r="AA317" s="11"/>
      <c r="AB317" s="11"/>
      <c r="AC317" s="11"/>
      <c r="AD317" s="11"/>
    </row>
    <row r="318" ht="12.0" customHeight="1">
      <c r="A318" s="30" t="s">
        <v>463</v>
      </c>
      <c r="B318" s="46">
        <f>'Analisis Recargas'!R35</f>
        <v>1</v>
      </c>
      <c r="C318" s="46">
        <f>'Analisis Recargas'!R90</f>
        <v>1</v>
      </c>
      <c r="D318" s="46">
        <f>'Analisis Recargas'!R145</f>
        <v>1</v>
      </c>
      <c r="E318" s="46">
        <f>'Analisis Recargas'!R200</f>
        <v>1</v>
      </c>
      <c r="F318" s="46">
        <f>'Analisis Recargas'!R255</f>
        <v>1</v>
      </c>
      <c r="G318" s="46">
        <f>'Analisis Recargas'!R310</f>
        <v>1</v>
      </c>
      <c r="H318" s="46">
        <f>'Analisis Recargas'!R365</f>
        <v>1</v>
      </c>
      <c r="I318" s="46">
        <f>'Analisis Recargas'!R420</f>
        <v>1</v>
      </c>
      <c r="J318" s="46">
        <f>'Analisis Recargas'!R475</f>
        <v>1</v>
      </c>
      <c r="K318" s="46">
        <f>'Analisis Recargas'!R530</f>
        <v>1</v>
      </c>
      <c r="L318" s="118" t="s">
        <v>56</v>
      </c>
      <c r="M318" s="11"/>
      <c r="N318" s="11"/>
      <c r="O318" s="11"/>
      <c r="P318" s="11"/>
      <c r="Q318" s="11"/>
      <c r="R318" s="11"/>
      <c r="S318" s="11"/>
      <c r="T318" s="11"/>
      <c r="U318" s="11"/>
      <c r="V318" s="11"/>
      <c r="W318" s="11"/>
      <c r="X318" s="11"/>
      <c r="Y318" s="11"/>
      <c r="Z318" s="11"/>
      <c r="AA318" s="11"/>
      <c r="AB318" s="11"/>
      <c r="AC318" s="11"/>
      <c r="AD318" s="11"/>
    </row>
    <row r="319" ht="12.0" customHeight="1">
      <c r="A319" s="30" t="s">
        <v>464</v>
      </c>
      <c r="B319" s="46">
        <f>'Analisis Recargas'!R36</f>
        <v>1</v>
      </c>
      <c r="C319" s="46">
        <f>'Analisis Recargas'!R91</f>
        <v>1</v>
      </c>
      <c r="D319" s="46">
        <f>'Analisis Recargas'!R146</f>
        <v>1</v>
      </c>
      <c r="E319" s="46">
        <f>'Analisis Recargas'!R201</f>
        <v>1</v>
      </c>
      <c r="F319" s="46">
        <f>'Analisis Recargas'!R256</f>
        <v>1</v>
      </c>
      <c r="G319" s="46">
        <f>'Analisis Recargas'!R311</f>
        <v>1</v>
      </c>
      <c r="H319" s="46">
        <f>'Analisis Recargas'!R366</f>
        <v>1</v>
      </c>
      <c r="I319" s="46">
        <f>'Analisis Recargas'!R421</f>
        <v>1</v>
      </c>
      <c r="J319" s="46">
        <f>'Analisis Recargas'!R476</f>
        <v>1</v>
      </c>
      <c r="K319" s="46">
        <f>'Analisis Recargas'!R531</f>
        <v>1</v>
      </c>
      <c r="L319" s="118" t="s">
        <v>138</v>
      </c>
      <c r="M319" s="11"/>
      <c r="N319" s="11"/>
      <c r="O319" s="11"/>
      <c r="P319" s="11"/>
      <c r="Q319" s="11"/>
      <c r="R319" s="11"/>
      <c r="S319" s="11"/>
      <c r="T319" s="11"/>
      <c r="U319" s="11"/>
      <c r="V319" s="11"/>
      <c r="W319" s="11"/>
      <c r="X319" s="11"/>
      <c r="Y319" s="11"/>
      <c r="Z319" s="11"/>
      <c r="AA319" s="11"/>
      <c r="AB319" s="11"/>
      <c r="AC319" s="11"/>
      <c r="AD319" s="11"/>
    </row>
    <row r="320" ht="12.0" customHeight="1">
      <c r="A320" s="30" t="s">
        <v>465</v>
      </c>
      <c r="B320" s="46">
        <f>'Analisis Recargas'!R37</f>
        <v>1</v>
      </c>
      <c r="C320" s="46">
        <f>'Analisis Recargas'!R92</f>
        <v>1</v>
      </c>
      <c r="D320" s="46">
        <f>'Analisis Recargas'!R147</f>
        <v>1</v>
      </c>
      <c r="E320" s="46">
        <f>'Analisis Recargas'!R202</f>
        <v>1</v>
      </c>
      <c r="F320" s="46">
        <f>'Analisis Recargas'!R257</f>
        <v>1</v>
      </c>
      <c r="G320" s="46">
        <f>'Analisis Recargas'!R312</f>
        <v>1</v>
      </c>
      <c r="H320" s="46">
        <f>'Analisis Recargas'!R367</f>
        <v>1</v>
      </c>
      <c r="I320" s="46">
        <f>'Analisis Recargas'!R422</f>
        <v>1</v>
      </c>
      <c r="J320" s="46">
        <f>'Analisis Recargas'!R477</f>
        <v>1</v>
      </c>
      <c r="K320" s="46">
        <f>'Analisis Recargas'!R532</f>
        <v>1</v>
      </c>
      <c r="L320" s="118" t="s">
        <v>138</v>
      </c>
      <c r="M320" s="11"/>
      <c r="N320" s="11"/>
      <c r="O320" s="11"/>
      <c r="P320" s="11"/>
      <c r="Q320" s="11"/>
      <c r="R320" s="11"/>
      <c r="S320" s="11"/>
      <c r="T320" s="11"/>
      <c r="U320" s="11"/>
      <c r="V320" s="11"/>
      <c r="W320" s="11"/>
      <c r="X320" s="11"/>
      <c r="Y320" s="11"/>
      <c r="Z320" s="11"/>
      <c r="AA320" s="11"/>
      <c r="AB320" s="11"/>
      <c r="AC320" s="11"/>
      <c r="AD320" s="11"/>
    </row>
    <row r="321" ht="12.0" customHeight="1">
      <c r="A321" s="30" t="s">
        <v>466</v>
      </c>
      <c r="B321" s="46">
        <f>'Analisis Recargas'!R38</f>
        <v>1</v>
      </c>
      <c r="C321" s="46">
        <f>'Analisis Recargas'!R93</f>
        <v>1</v>
      </c>
      <c r="D321" s="46">
        <f>'Analisis Recargas'!R148</f>
        <v>1</v>
      </c>
      <c r="E321" s="46">
        <f>'Analisis Recargas'!R203</f>
        <v>1</v>
      </c>
      <c r="F321" s="46">
        <f>'Analisis Recargas'!R258</f>
        <v>1</v>
      </c>
      <c r="G321" s="46">
        <f>'Analisis Recargas'!R313</f>
        <v>1</v>
      </c>
      <c r="H321" s="46">
        <f>'Analisis Recargas'!R368</f>
        <v>1</v>
      </c>
      <c r="I321" s="46">
        <f>'Analisis Recargas'!R423</f>
        <v>1</v>
      </c>
      <c r="J321" s="46">
        <f>'Analisis Recargas'!R478</f>
        <v>1</v>
      </c>
      <c r="K321" s="46">
        <f>'Analisis Recargas'!R533</f>
        <v>1</v>
      </c>
      <c r="L321" s="118" t="s">
        <v>138</v>
      </c>
      <c r="M321" s="11"/>
      <c r="N321" s="11"/>
      <c r="O321" s="11"/>
      <c r="P321" s="11"/>
      <c r="Q321" s="11"/>
      <c r="R321" s="11"/>
      <c r="S321" s="11"/>
      <c r="T321" s="11"/>
      <c r="U321" s="11"/>
      <c r="V321" s="11"/>
      <c r="W321" s="11"/>
      <c r="X321" s="11"/>
      <c r="Y321" s="11"/>
      <c r="Z321" s="11"/>
      <c r="AA321" s="11"/>
      <c r="AB321" s="11"/>
      <c r="AC321" s="11"/>
      <c r="AD321" s="11"/>
    </row>
    <row r="322" ht="12.0" customHeight="1">
      <c r="A322" s="30" t="s">
        <v>469</v>
      </c>
      <c r="B322" s="46">
        <f>'Analisis Recargas'!R40</f>
        <v>1</v>
      </c>
      <c r="C322" s="46">
        <f>'Analisis Recargas'!R95</f>
        <v>1</v>
      </c>
      <c r="D322" s="46">
        <f>'Analisis Recargas'!R150</f>
        <v>1</v>
      </c>
      <c r="E322" s="46">
        <f>'Analisis Recargas'!R205</f>
        <v>1</v>
      </c>
      <c r="F322" s="46">
        <f>'Analisis Recargas'!R260</f>
        <v>1</v>
      </c>
      <c r="G322" s="46">
        <f>'Analisis Recargas'!R315</f>
        <v>1</v>
      </c>
      <c r="H322" s="46">
        <f>'Analisis Recargas'!R370</f>
        <v>2</v>
      </c>
      <c r="I322" s="46">
        <f>'Analisis Recargas'!R425</f>
        <v>2</v>
      </c>
      <c r="J322" s="46">
        <f>'Analisis Recargas'!R480</f>
        <v>2</v>
      </c>
      <c r="K322" s="46">
        <f>'Analisis Recargas'!R535</f>
        <v>2</v>
      </c>
      <c r="L322" s="118" t="s">
        <v>138</v>
      </c>
      <c r="M322" s="11"/>
      <c r="N322" s="11"/>
      <c r="O322" s="11"/>
      <c r="P322" s="11"/>
      <c r="Q322" s="11"/>
      <c r="R322" s="11"/>
      <c r="S322" s="11"/>
      <c r="T322" s="11"/>
      <c r="U322" s="11"/>
      <c r="V322" s="11"/>
      <c r="W322" s="11"/>
      <c r="X322" s="11"/>
      <c r="Y322" s="11"/>
      <c r="Z322" s="11"/>
      <c r="AA322" s="11"/>
      <c r="AB322" s="11"/>
      <c r="AC322" s="11"/>
      <c r="AD322" s="11"/>
    </row>
    <row r="323" ht="12.0" customHeight="1">
      <c r="A323" s="30" t="s">
        <v>470</v>
      </c>
      <c r="B323" s="46">
        <f>'Analisis Recargas'!R41</f>
        <v>1</v>
      </c>
      <c r="C323" s="46">
        <f>'Analisis Recargas'!R96</f>
        <v>1</v>
      </c>
      <c r="D323" s="46">
        <f>'Analisis Recargas'!R151</f>
        <v>1</v>
      </c>
      <c r="E323" s="46">
        <f>'Analisis Recargas'!R206</f>
        <v>1</v>
      </c>
      <c r="F323" s="46">
        <f>'Analisis Recargas'!R261</f>
        <v>1</v>
      </c>
      <c r="G323" s="46">
        <f>'Analisis Recargas'!R316</f>
        <v>1</v>
      </c>
      <c r="H323" s="46">
        <f>'Analisis Recargas'!R371</f>
        <v>1</v>
      </c>
      <c r="I323" s="46">
        <f>'Analisis Recargas'!R426</f>
        <v>1</v>
      </c>
      <c r="J323" s="46">
        <f>'Analisis Recargas'!R481</f>
        <v>1</v>
      </c>
      <c r="K323" s="46">
        <f>'Analisis Recargas'!R536</f>
        <v>1</v>
      </c>
      <c r="L323" s="118" t="s">
        <v>56</v>
      </c>
      <c r="M323" s="11"/>
      <c r="N323" s="11"/>
      <c r="O323" s="11"/>
      <c r="P323" s="11"/>
      <c r="Q323" s="11"/>
      <c r="R323" s="11"/>
      <c r="S323" s="11"/>
      <c r="T323" s="11"/>
      <c r="U323" s="11"/>
      <c r="V323" s="11"/>
      <c r="W323" s="11"/>
      <c r="X323" s="11"/>
      <c r="Y323" s="11"/>
      <c r="Z323" s="11"/>
      <c r="AA323" s="11"/>
      <c r="AB323" s="11"/>
      <c r="AC323" s="11"/>
      <c r="AD323" s="11"/>
    </row>
    <row r="324" ht="12.0" customHeight="1">
      <c r="A324" s="30" t="s">
        <v>500</v>
      </c>
      <c r="B324" s="46">
        <f>'Analisis Recargas'!R44</f>
        <v>1</v>
      </c>
      <c r="C324" s="46">
        <f>'Analisis Recargas'!R99</f>
        <v>1</v>
      </c>
      <c r="D324" s="46">
        <f>'Analisis Recargas'!R154</f>
        <v>1</v>
      </c>
      <c r="E324" s="46">
        <f>'Analisis Recargas'!R209</f>
        <v>1</v>
      </c>
      <c r="F324" s="46">
        <f>'Analisis Recargas'!R264</f>
        <v>1</v>
      </c>
      <c r="G324" s="46">
        <f>'Analisis Recargas'!R319</f>
        <v>1</v>
      </c>
      <c r="H324" s="46">
        <f>'Analisis Recargas'!R374</f>
        <v>2</v>
      </c>
      <c r="I324" s="46">
        <f>'Analisis Recargas'!R429</f>
        <v>2</v>
      </c>
      <c r="J324" s="46">
        <f>'Analisis Recargas'!R484</f>
        <v>2</v>
      </c>
      <c r="K324" s="46">
        <f>'Analisis Recargas'!R539</f>
        <v>2</v>
      </c>
      <c r="L324" s="118" t="s">
        <v>138</v>
      </c>
      <c r="M324" s="11"/>
      <c r="N324" s="11"/>
      <c r="O324" s="11"/>
      <c r="P324" s="11"/>
      <c r="Q324" s="11"/>
      <c r="R324" s="11"/>
      <c r="S324" s="11"/>
      <c r="T324" s="11"/>
      <c r="U324" s="11"/>
      <c r="V324" s="11"/>
      <c r="W324" s="11"/>
      <c r="X324" s="11"/>
      <c r="Y324" s="11"/>
      <c r="Z324" s="11"/>
      <c r="AA324" s="11"/>
      <c r="AB324" s="11"/>
      <c r="AC324" s="11"/>
      <c r="AD324" s="11"/>
    </row>
    <row r="325" ht="12.0" customHeight="1">
      <c r="A325" s="30" t="s">
        <v>522</v>
      </c>
      <c r="B325" s="46">
        <f>'Analisis Recargas'!R45</f>
        <v>1</v>
      </c>
      <c r="C325" s="46">
        <f>'Analisis Recargas'!R100</f>
        <v>1</v>
      </c>
      <c r="D325" s="46">
        <f>'Analisis Recargas'!R155</f>
        <v>1</v>
      </c>
      <c r="E325" s="46">
        <f>'Analisis Recargas'!R210</f>
        <v>1</v>
      </c>
      <c r="F325" s="46">
        <f>'Analisis Recargas'!R265</f>
        <v>1</v>
      </c>
      <c r="G325" s="46">
        <f>'Analisis Recargas'!R320</f>
        <v>1</v>
      </c>
      <c r="H325" s="46">
        <f>'Analisis Recargas'!R375</f>
        <v>1</v>
      </c>
      <c r="I325" s="46">
        <f>'Analisis Recargas'!R430</f>
        <v>1</v>
      </c>
      <c r="J325" s="46">
        <f>'Analisis Recargas'!R485</f>
        <v>1</v>
      </c>
      <c r="K325" s="46">
        <f>'Analisis Recargas'!R540</f>
        <v>1</v>
      </c>
      <c r="L325" s="118" t="s">
        <v>138</v>
      </c>
      <c r="M325" s="11"/>
      <c r="N325" s="11"/>
      <c r="O325" s="11"/>
      <c r="P325" s="11"/>
      <c r="Q325" s="11"/>
      <c r="R325" s="11"/>
      <c r="S325" s="11"/>
      <c r="T325" s="11"/>
      <c r="U325" s="11"/>
      <c r="V325" s="11"/>
      <c r="W325" s="11"/>
      <c r="X325" s="11"/>
      <c r="Y325" s="11"/>
      <c r="Z325" s="11"/>
      <c r="AA325" s="11"/>
      <c r="AB325" s="11"/>
      <c r="AC325" s="11"/>
      <c r="AD325" s="11"/>
    </row>
    <row r="326" ht="12.0" customHeight="1">
      <c r="A326" s="30" t="s">
        <v>529</v>
      </c>
      <c r="B326" s="46">
        <f>'Analisis Recargas'!R46</f>
        <v>1</v>
      </c>
      <c r="C326" s="46">
        <f>'Analisis Recargas'!R101</f>
        <v>1</v>
      </c>
      <c r="D326" s="46">
        <f>'Analisis Recargas'!R156</f>
        <v>1</v>
      </c>
      <c r="E326" s="46">
        <f>'Analisis Recargas'!R211</f>
        <v>1</v>
      </c>
      <c r="F326" s="46">
        <f>'Analisis Recargas'!R266</f>
        <v>1</v>
      </c>
      <c r="G326" s="46">
        <f>'Analisis Recargas'!R321</f>
        <v>1</v>
      </c>
      <c r="H326" s="46">
        <f>'Analisis Recargas'!R376</f>
        <v>1</v>
      </c>
      <c r="I326" s="46">
        <f>'Analisis Recargas'!R431</f>
        <v>1</v>
      </c>
      <c r="J326" s="46">
        <f>'Analisis Recargas'!R486</f>
        <v>1</v>
      </c>
      <c r="K326" s="46">
        <f>'Analisis Recargas'!R541</f>
        <v>1</v>
      </c>
      <c r="L326" s="118" t="s">
        <v>56</v>
      </c>
      <c r="M326" s="11"/>
      <c r="N326" s="11"/>
      <c r="O326" s="11"/>
      <c r="P326" s="11"/>
      <c r="Q326" s="11"/>
      <c r="R326" s="11"/>
      <c r="S326" s="11"/>
      <c r="T326" s="11"/>
      <c r="U326" s="11"/>
      <c r="V326" s="11"/>
      <c r="W326" s="11"/>
      <c r="X326" s="11"/>
      <c r="Y326" s="11"/>
      <c r="Z326" s="11"/>
      <c r="AA326" s="11"/>
      <c r="AB326" s="11"/>
      <c r="AC326" s="11"/>
      <c r="AD326" s="11"/>
    </row>
    <row r="327" ht="12.0" customHeight="1">
      <c r="A327" s="30" t="s">
        <v>531</v>
      </c>
      <c r="B327" s="46">
        <f>'Analisis Recargas'!R47</f>
        <v>1</v>
      </c>
      <c r="C327" s="46">
        <f>'Analisis Recargas'!R102</f>
        <v>1</v>
      </c>
      <c r="D327" s="46">
        <f>'Analisis Recargas'!R157</f>
        <v>1</v>
      </c>
      <c r="E327" s="46">
        <f>'Analisis Recargas'!R212</f>
        <v>1</v>
      </c>
      <c r="F327" s="46">
        <f>'Analisis Recargas'!R267</f>
        <v>1</v>
      </c>
      <c r="G327" s="46">
        <f>'Analisis Recargas'!R322</f>
        <v>1</v>
      </c>
      <c r="H327" s="46">
        <f>'Analisis Recargas'!R377</f>
        <v>1</v>
      </c>
      <c r="I327" s="46">
        <f>'Analisis Recargas'!R432</f>
        <v>1</v>
      </c>
      <c r="J327" s="46">
        <f>'Analisis Recargas'!R487</f>
        <v>1</v>
      </c>
      <c r="K327" s="46">
        <f>'Analisis Recargas'!R542</f>
        <v>1</v>
      </c>
      <c r="L327" s="118" t="s">
        <v>138</v>
      </c>
      <c r="M327" s="11"/>
      <c r="N327" s="11"/>
      <c r="O327" s="11"/>
      <c r="P327" s="11"/>
      <c r="Q327" s="11"/>
      <c r="R327" s="11"/>
      <c r="S327" s="11"/>
      <c r="T327" s="11"/>
      <c r="U327" s="11"/>
      <c r="V327" s="11"/>
      <c r="W327" s="11"/>
      <c r="X327" s="11"/>
      <c r="Y327" s="11"/>
      <c r="Z327" s="11"/>
      <c r="AA327" s="11"/>
      <c r="AB327" s="11"/>
      <c r="AC327" s="11"/>
      <c r="AD327" s="11"/>
    </row>
    <row r="328" ht="12.0" customHeight="1">
      <c r="A328" s="30" t="s">
        <v>533</v>
      </c>
      <c r="B328" s="46">
        <f>'Analisis Recargas'!R48</f>
        <v>1</v>
      </c>
      <c r="C328" s="46">
        <f>'Analisis Recargas'!R103</f>
        <v>1</v>
      </c>
      <c r="D328" s="46">
        <f>'Analisis Recargas'!R158</f>
        <v>1</v>
      </c>
      <c r="E328" s="46">
        <f>'Analisis Recargas'!R213</f>
        <v>1</v>
      </c>
      <c r="F328" s="46">
        <f>'Analisis Recargas'!R268</f>
        <v>1</v>
      </c>
      <c r="G328" s="46">
        <f>'Analisis Recargas'!R323</f>
        <v>1</v>
      </c>
      <c r="H328" s="46">
        <f>'Analisis Recargas'!R378</f>
        <v>1</v>
      </c>
      <c r="I328" s="46">
        <f>'Analisis Recargas'!R433</f>
        <v>1</v>
      </c>
      <c r="J328" s="46">
        <f>'Analisis Recargas'!R488</f>
        <v>1</v>
      </c>
      <c r="K328" s="46">
        <f>'Analisis Recargas'!R543</f>
        <v>1</v>
      </c>
      <c r="L328" s="118" t="s">
        <v>138</v>
      </c>
      <c r="M328" s="11"/>
      <c r="N328" s="11"/>
      <c r="O328" s="11"/>
      <c r="P328" s="11"/>
      <c r="Q328" s="11"/>
      <c r="R328" s="11"/>
      <c r="S328" s="11"/>
      <c r="T328" s="11"/>
      <c r="U328" s="11"/>
      <c r="V328" s="11"/>
      <c r="W328" s="11"/>
      <c r="X328" s="11"/>
      <c r="Y328" s="11"/>
      <c r="Z328" s="11"/>
      <c r="AA328" s="11"/>
      <c r="AB328" s="11"/>
      <c r="AC328" s="11"/>
      <c r="AD328" s="11"/>
    </row>
    <row r="329" ht="12.0" customHeight="1">
      <c r="A329" s="30" t="s">
        <v>535</v>
      </c>
      <c r="B329" s="46">
        <f>'Analisis Recargas'!R49</f>
        <v>1</v>
      </c>
      <c r="C329" s="46">
        <f>'Analisis Recargas'!R104</f>
        <v>1</v>
      </c>
      <c r="D329" s="46">
        <f>'Analisis Recargas'!R159</f>
        <v>1</v>
      </c>
      <c r="E329" s="46">
        <f>'Analisis Recargas'!R214</f>
        <v>1</v>
      </c>
      <c r="F329" s="46">
        <f>'Analisis Recargas'!R269</f>
        <v>1</v>
      </c>
      <c r="G329" s="46">
        <f>'Analisis Recargas'!R324</f>
        <v>1</v>
      </c>
      <c r="H329" s="46">
        <f>'Analisis Recargas'!R379</f>
        <v>1</v>
      </c>
      <c r="I329" s="46">
        <f>'Analisis Recargas'!R434</f>
        <v>1</v>
      </c>
      <c r="J329" s="46">
        <f>'Analisis Recargas'!R489</f>
        <v>1</v>
      </c>
      <c r="K329" s="46">
        <f>'Analisis Recargas'!R544</f>
        <v>1</v>
      </c>
      <c r="L329" s="118" t="s">
        <v>138</v>
      </c>
      <c r="M329" s="11"/>
      <c r="N329" s="11"/>
      <c r="O329" s="11"/>
      <c r="P329" s="11"/>
      <c r="Q329" s="11"/>
      <c r="R329" s="11"/>
      <c r="S329" s="11"/>
      <c r="T329" s="11"/>
      <c r="U329" s="11"/>
      <c r="V329" s="11"/>
      <c r="W329" s="11"/>
      <c r="X329" s="11"/>
      <c r="Y329" s="11"/>
      <c r="Z329" s="11"/>
      <c r="AA329" s="11"/>
      <c r="AB329" s="11"/>
      <c r="AC329" s="11"/>
      <c r="AD329" s="11"/>
    </row>
    <row r="330" ht="12.0"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2.0"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2.0"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2.0"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2.0"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2.0"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2.0"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2.0"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2.0"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2.0"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2.0"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2.0"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2.0"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2.0"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2.0"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2.0"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2.0"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2.0"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2.0"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2.0"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2.0"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2.0"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2.0"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2.0"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2.0"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2.0"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2.0"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2.0"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2.0"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2.0"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2.0"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2.0"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2.0"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2.0"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2.0"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2.0"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2.0"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2.0"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2.0"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2.0"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2.0"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2.0"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2.0"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2.0"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2.0"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2.0"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2.0"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2.0"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2.0"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2.0"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2.0"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2.0"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2.0"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2.0"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2.0"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2.0"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2.0"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2.0"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2.0"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2.0"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2.0"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2.0"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2.0"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2.0"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2.0"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2.0"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2.0"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2.0"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2.0"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2.0"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2.0"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2.0"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2.0"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2.0"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2.0"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2.0"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2.0"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2.0"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2.0"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2.0"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2.0"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2.0"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2.0"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2.0"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2.0"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2.0"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2.0"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2.0"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2.0"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2.0"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2.0"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2.0"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2.0"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2.0"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2.0"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2.0"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2.0"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2.0"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2.0"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2.0"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2.0"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2.0"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2.0"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2.0"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2.0"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2.0"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2.0"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2.0"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2.0"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2.0"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2.0"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2.0"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2.0"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2.0"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2.0"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2.0"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2.0"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2.0"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2.0"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2.0"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2.0"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2.0"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2.0"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2.0"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2.0"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2.0"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2.0"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2.0"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2.0"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2.0"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2.0"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2.0"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2.0"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2.0"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2.0"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2.0"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2.0"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2.0"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2.0"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2.0"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2.0"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2.0"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2.0"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2.0"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2.0"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2.0"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2.0"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2.0"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2.0"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2.0"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2.0"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2.0"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2.0"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2.0"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2.0"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2.0"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2.0"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2.0"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2.0"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2.0"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2.0"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2.0"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2.0"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2.0"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2.0"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2.0"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2.0"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2.0"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2.0"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2.0"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2.0"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2.0"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2.0"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2.0"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2.0"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2.0"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2.0"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2.0"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2.0"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2.0"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2.0"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2.0"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2.0"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2.0"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2.0"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2.0"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2.0"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2.0"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2.0"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2.0"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2.0"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2.0"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2.0"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2.0"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2.0"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2.0"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2.0"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2.0"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2.0"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2.0"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55:K155"/>
    <mergeCell ref="A194:K194"/>
    <mergeCell ref="A230:K230"/>
    <mergeCell ref="A239:K239"/>
    <mergeCell ref="A241:L241"/>
    <mergeCell ref="A270:L270"/>
    <mergeCell ref="A302:L302"/>
    <mergeCell ref="A1:K1"/>
    <mergeCell ref="A2:J2"/>
    <mergeCell ref="A26:K26"/>
    <mergeCell ref="D50:G50"/>
    <mergeCell ref="A53:K53"/>
    <mergeCell ref="A62:K62"/>
    <mergeCell ref="A87:K87"/>
  </mergeCells>
  <conditionalFormatting sqref="B5">
    <cfRule type="expression" dxfId="0" priority="1">
      <formula>B29&gt;1</formula>
    </cfRule>
  </conditionalFormatting>
  <conditionalFormatting sqref="B5">
    <cfRule type="expression" dxfId="1" priority="2">
      <formula>AND(B65&gt;1,1&gt;0)</formula>
    </cfRule>
  </conditionalFormatting>
  <conditionalFormatting sqref="B29">
    <cfRule type="expression" dxfId="0" priority="3">
      <formula>B29&gt;1</formula>
    </cfRule>
  </conditionalFormatting>
  <conditionalFormatting sqref="B29">
    <cfRule type="expression" dxfId="1" priority="4">
      <formula>AND(B65&gt;1,1&gt;0)</formula>
    </cfRule>
  </conditionalFormatting>
  <conditionalFormatting sqref="C5">
    <cfRule type="expression" dxfId="0" priority="5">
      <formula>C29&gt;B29</formula>
    </cfRule>
  </conditionalFormatting>
  <conditionalFormatting sqref="C5">
    <cfRule type="expression" dxfId="1" priority="6">
      <formula>AND(C65&gt;B65,B65&gt;0)</formula>
    </cfRule>
  </conditionalFormatting>
  <conditionalFormatting sqref="C29">
    <cfRule type="expression" dxfId="0" priority="7">
      <formula>C29&gt;B29</formula>
    </cfRule>
  </conditionalFormatting>
  <conditionalFormatting sqref="C29">
    <cfRule type="expression" dxfId="1" priority="8">
      <formula>AND(C65&gt;B65,B65&gt;0)</formula>
    </cfRule>
  </conditionalFormatting>
  <conditionalFormatting sqref="C65">
    <cfRule type="expression" dxfId="1" priority="9">
      <formula>AND(C65&gt;B65,B65&gt;0)</formula>
    </cfRule>
  </conditionalFormatting>
  <conditionalFormatting sqref="D5">
    <cfRule type="expression" dxfId="0" priority="10">
      <formula>D29&gt;C29</formula>
    </cfRule>
  </conditionalFormatting>
  <conditionalFormatting sqref="D5">
    <cfRule type="expression" dxfId="1" priority="11">
      <formula>AND(D65&gt;C65,C65&gt;0)</formula>
    </cfRule>
  </conditionalFormatting>
  <conditionalFormatting sqref="D29">
    <cfRule type="expression" dxfId="0" priority="12">
      <formula>D29&gt;C29</formula>
    </cfRule>
  </conditionalFormatting>
  <conditionalFormatting sqref="D29">
    <cfRule type="expression" dxfId="1" priority="13">
      <formula>AND(D65&gt;C65,C65&gt;0)</formula>
    </cfRule>
  </conditionalFormatting>
  <conditionalFormatting sqref="D65">
    <cfRule type="expression" dxfId="1" priority="14">
      <formula>AND(D65&gt;C65,C65&gt;0)</formula>
    </cfRule>
  </conditionalFormatting>
  <conditionalFormatting sqref="E5">
    <cfRule type="expression" dxfId="0" priority="15">
      <formula>E29&gt;D29</formula>
    </cfRule>
  </conditionalFormatting>
  <conditionalFormatting sqref="E5">
    <cfRule type="expression" dxfId="1" priority="16">
      <formula>AND(E65&gt;D65,D65&gt;0)</formula>
    </cfRule>
  </conditionalFormatting>
  <conditionalFormatting sqref="E29">
    <cfRule type="expression" dxfId="0" priority="17">
      <formula>E29&gt;D29</formula>
    </cfRule>
  </conditionalFormatting>
  <conditionalFormatting sqref="E29">
    <cfRule type="expression" dxfId="1" priority="18">
      <formula>AND(E65&gt;D65,D65&gt;0)</formula>
    </cfRule>
  </conditionalFormatting>
  <conditionalFormatting sqref="E65">
    <cfRule type="expression" dxfId="1" priority="19">
      <formula>AND(E65&gt;D65,D65&gt;0)</formula>
    </cfRule>
  </conditionalFormatting>
  <conditionalFormatting sqref="F5">
    <cfRule type="expression" dxfId="0" priority="20">
      <formula>F29&gt;E29</formula>
    </cfRule>
  </conditionalFormatting>
  <conditionalFormatting sqref="F5">
    <cfRule type="expression" dxfId="1" priority="21">
      <formula>AND(F65&gt;E65,E65&gt;0)</formula>
    </cfRule>
  </conditionalFormatting>
  <conditionalFormatting sqref="F29">
    <cfRule type="expression" dxfId="0" priority="22">
      <formula>F29&gt;E29</formula>
    </cfRule>
  </conditionalFormatting>
  <conditionalFormatting sqref="F29">
    <cfRule type="expression" dxfId="1" priority="23">
      <formula>AND(F65&gt;E65,E65&gt;0)</formula>
    </cfRule>
  </conditionalFormatting>
  <conditionalFormatting sqref="F65">
    <cfRule type="expression" dxfId="1" priority="24">
      <formula>AND(F65&gt;E65,E65&gt;0)</formula>
    </cfRule>
  </conditionalFormatting>
  <conditionalFormatting sqref="G5">
    <cfRule type="expression" dxfId="0" priority="25">
      <formula>G29&gt;F29</formula>
    </cfRule>
  </conditionalFormatting>
  <conditionalFormatting sqref="G5">
    <cfRule type="expression" dxfId="1" priority="26">
      <formula>AND(G65&gt;F65,F65&gt;0)</formula>
    </cfRule>
  </conditionalFormatting>
  <conditionalFormatting sqref="G29">
    <cfRule type="expression" dxfId="0" priority="27">
      <formula>G29&gt;F29</formula>
    </cfRule>
  </conditionalFormatting>
  <conditionalFormatting sqref="G29">
    <cfRule type="expression" dxfId="1" priority="28">
      <formula>AND(G65&gt;F65,F65&gt;0)</formula>
    </cfRule>
  </conditionalFormatting>
  <conditionalFormatting sqref="G65">
    <cfRule type="expression" dxfId="1" priority="29">
      <formula>AND(G65&gt;F65,F65&gt;0)</formula>
    </cfRule>
  </conditionalFormatting>
  <conditionalFormatting sqref="H5">
    <cfRule type="expression" dxfId="0" priority="30">
      <formula>H29&gt;G29</formula>
    </cfRule>
  </conditionalFormatting>
  <conditionalFormatting sqref="H5">
    <cfRule type="expression" dxfId="1" priority="31">
      <formula>AND(H65&gt;G65,G65&gt;0)</formula>
    </cfRule>
  </conditionalFormatting>
  <conditionalFormatting sqref="H29">
    <cfRule type="expression" dxfId="0" priority="32">
      <formula>H29&gt;G29</formula>
    </cfRule>
  </conditionalFormatting>
  <conditionalFormatting sqref="H29">
    <cfRule type="expression" dxfId="1" priority="33">
      <formula>AND(H65&gt;G65,G65&gt;0)</formula>
    </cfRule>
  </conditionalFormatting>
  <conditionalFormatting sqref="H65">
    <cfRule type="expression" dxfId="1" priority="34">
      <formula>AND(H65&gt;G65,G65&gt;0)</formula>
    </cfRule>
  </conditionalFormatting>
  <conditionalFormatting sqref="I5">
    <cfRule type="expression" dxfId="0" priority="35">
      <formula>I29&gt;H29</formula>
    </cfRule>
  </conditionalFormatting>
  <conditionalFormatting sqref="I5">
    <cfRule type="expression" dxfId="1" priority="36">
      <formula>AND(I65&gt;H65,H65&gt;0)</formula>
    </cfRule>
  </conditionalFormatting>
  <conditionalFormatting sqref="I29">
    <cfRule type="expression" dxfId="0" priority="37">
      <formula>I29&gt;H29</formula>
    </cfRule>
  </conditionalFormatting>
  <conditionalFormatting sqref="I29">
    <cfRule type="expression" dxfId="1" priority="38">
      <formula>AND(I65&gt;H65,H65&gt;0)</formula>
    </cfRule>
  </conditionalFormatting>
  <conditionalFormatting sqref="I65">
    <cfRule type="expression" dxfId="1" priority="39">
      <formula>AND(I65&gt;H65,H65&gt;0)</formula>
    </cfRule>
  </conditionalFormatting>
  <conditionalFormatting sqref="J5">
    <cfRule type="expression" dxfId="0" priority="40">
      <formula>J29&gt;I29</formula>
    </cfRule>
  </conditionalFormatting>
  <conditionalFormatting sqref="J5">
    <cfRule type="expression" dxfId="1" priority="41">
      <formula>AND(J65&gt;I65,I65&gt;0)</formula>
    </cfRule>
  </conditionalFormatting>
  <conditionalFormatting sqref="J29">
    <cfRule type="expression" dxfId="0" priority="42">
      <formula>J29&gt;I29</formula>
    </cfRule>
  </conditionalFormatting>
  <conditionalFormatting sqref="J29">
    <cfRule type="expression" dxfId="1" priority="43">
      <formula>AND(J65&gt;I65,I65&gt;0)</formula>
    </cfRule>
  </conditionalFormatting>
  <conditionalFormatting sqref="J65">
    <cfRule type="expression" dxfId="1" priority="44">
      <formula>AND(J65&gt;I65,I65&gt;0)</formula>
    </cfRule>
  </conditionalFormatting>
  <conditionalFormatting sqref="K5">
    <cfRule type="expression" dxfId="0" priority="45">
      <formula>K29&gt;J29</formula>
    </cfRule>
  </conditionalFormatting>
  <conditionalFormatting sqref="K5">
    <cfRule type="expression" dxfId="1" priority="46">
      <formula>AND(K65&gt;J65,J65&gt;0)</formula>
    </cfRule>
  </conditionalFormatting>
  <conditionalFormatting sqref="K29">
    <cfRule type="expression" dxfId="0" priority="47">
      <formula>K29&gt;J29</formula>
    </cfRule>
  </conditionalFormatting>
  <conditionalFormatting sqref="K29">
    <cfRule type="expression" dxfId="1" priority="48">
      <formula>AND(K65&gt;J65,J65&gt;0)</formula>
    </cfRule>
  </conditionalFormatting>
  <conditionalFormatting sqref="K65">
    <cfRule type="expression" dxfId="1" priority="49">
      <formula>AND(K65&gt;J65,J65&gt;0)</formula>
    </cfRule>
  </conditionalFormatting>
  <conditionalFormatting sqref="B5:K5">
    <cfRule type="expression" dxfId="2" priority="50">
      <formula>AND(ISNUMBER(B5),B5&gt;$B$50)</formula>
    </cfRule>
  </conditionalFormatting>
  <conditionalFormatting sqref="B6">
    <cfRule type="expression" dxfId="0" priority="51">
      <formula>B30&gt;1</formula>
    </cfRule>
  </conditionalFormatting>
  <conditionalFormatting sqref="B6">
    <cfRule type="expression" dxfId="1" priority="52">
      <formula>AND(B66&gt;1,1&gt;0)</formula>
    </cfRule>
  </conditionalFormatting>
  <conditionalFormatting sqref="B30">
    <cfRule type="expression" dxfId="0" priority="53">
      <formula>B30&gt;1</formula>
    </cfRule>
  </conditionalFormatting>
  <conditionalFormatting sqref="B30">
    <cfRule type="expression" dxfId="1" priority="54">
      <formula>AND(B66&gt;1,1&gt;0)</formula>
    </cfRule>
  </conditionalFormatting>
  <conditionalFormatting sqref="C6">
    <cfRule type="expression" dxfId="3" priority="55">
      <formula>AND(C55="Automática",B55="Manual")</formula>
    </cfRule>
  </conditionalFormatting>
  <conditionalFormatting sqref="C6">
    <cfRule type="expression" dxfId="0" priority="56">
      <formula>C30&gt;B30</formula>
    </cfRule>
  </conditionalFormatting>
  <conditionalFormatting sqref="C6">
    <cfRule type="expression" dxfId="1" priority="57">
      <formula>AND(C66&gt;B66,B66&gt;0)</formula>
    </cfRule>
  </conditionalFormatting>
  <conditionalFormatting sqref="C30">
    <cfRule type="expression" dxfId="3" priority="58">
      <formula>AND(C55="Automática",B55="Manual")</formula>
    </cfRule>
  </conditionalFormatting>
  <conditionalFormatting sqref="C30">
    <cfRule type="expression" dxfId="0" priority="59">
      <formula>C30&gt;B30</formula>
    </cfRule>
  </conditionalFormatting>
  <conditionalFormatting sqref="C30">
    <cfRule type="expression" dxfId="1" priority="60">
      <formula>AND(C66&gt;B66,B66&gt;0)</formula>
    </cfRule>
  </conditionalFormatting>
  <conditionalFormatting sqref="C55">
    <cfRule type="expression" dxfId="3" priority="61">
      <formula>AND(C55="Automática",B55="Manual")</formula>
    </cfRule>
  </conditionalFormatting>
  <conditionalFormatting sqref="C66">
    <cfRule type="expression" dxfId="1" priority="62">
      <formula>AND(C66&gt;B66,B66&gt;0)</formula>
    </cfRule>
  </conditionalFormatting>
  <conditionalFormatting sqref="D6">
    <cfRule type="expression" dxfId="3" priority="63">
      <formula>AND(D55="Automática",C55="Manual")</formula>
    </cfRule>
  </conditionalFormatting>
  <conditionalFormatting sqref="D6">
    <cfRule type="expression" dxfId="0" priority="64">
      <formula>D30&gt;C30</formula>
    </cfRule>
  </conditionalFormatting>
  <conditionalFormatting sqref="D6">
    <cfRule type="expression" dxfId="1" priority="65">
      <formula>AND(D66&gt;C66,C66&gt;0)</formula>
    </cfRule>
  </conditionalFormatting>
  <conditionalFormatting sqref="D30">
    <cfRule type="expression" dxfId="3" priority="66">
      <formula>AND(D55="Automática",C55="Manual")</formula>
    </cfRule>
  </conditionalFormatting>
  <conditionalFormatting sqref="D30">
    <cfRule type="expression" dxfId="0" priority="67">
      <formula>D30&gt;C30</formula>
    </cfRule>
  </conditionalFormatting>
  <conditionalFormatting sqref="D30">
    <cfRule type="expression" dxfId="1" priority="68">
      <formula>AND(D66&gt;C66,C66&gt;0)</formula>
    </cfRule>
  </conditionalFormatting>
  <conditionalFormatting sqref="D55">
    <cfRule type="expression" dxfId="3" priority="69">
      <formula>AND(D55="Automática",C55="Manual")</formula>
    </cfRule>
  </conditionalFormatting>
  <conditionalFormatting sqref="D66">
    <cfRule type="expression" dxfId="1" priority="70">
      <formula>AND(D66&gt;C66,C66&gt;0)</formula>
    </cfRule>
  </conditionalFormatting>
  <conditionalFormatting sqref="E6">
    <cfRule type="expression" dxfId="3" priority="71">
      <formula>AND(E55="Automática",D55="Manual")</formula>
    </cfRule>
  </conditionalFormatting>
  <conditionalFormatting sqref="E6">
    <cfRule type="expression" dxfId="0" priority="72">
      <formula>E30&gt;D30</formula>
    </cfRule>
  </conditionalFormatting>
  <conditionalFormatting sqref="E6">
    <cfRule type="expression" dxfId="1" priority="73">
      <formula>AND(E66&gt;D66,D66&gt;0)</formula>
    </cfRule>
  </conditionalFormatting>
  <conditionalFormatting sqref="E30">
    <cfRule type="expression" dxfId="3" priority="74">
      <formula>AND(E55="Automática",D55="Manual")</formula>
    </cfRule>
  </conditionalFormatting>
  <conditionalFormatting sqref="E30">
    <cfRule type="expression" dxfId="0" priority="75">
      <formula>E30&gt;D30</formula>
    </cfRule>
  </conditionalFormatting>
  <conditionalFormatting sqref="E30">
    <cfRule type="expression" dxfId="1" priority="76">
      <formula>AND(E66&gt;D66,D66&gt;0)</formula>
    </cfRule>
  </conditionalFormatting>
  <conditionalFormatting sqref="E55">
    <cfRule type="expression" dxfId="3" priority="77">
      <formula>AND(E55="Automática",D55="Manual")</formula>
    </cfRule>
  </conditionalFormatting>
  <conditionalFormatting sqref="E66">
    <cfRule type="expression" dxfId="1" priority="78">
      <formula>AND(E66&gt;D66,D66&gt;0)</formula>
    </cfRule>
  </conditionalFormatting>
  <conditionalFormatting sqref="F6">
    <cfRule type="expression" dxfId="3" priority="79">
      <formula>AND(F55="Automática",E55="Manual")</formula>
    </cfRule>
  </conditionalFormatting>
  <conditionalFormatting sqref="F6">
    <cfRule type="expression" dxfId="0" priority="80">
      <formula>F30&gt;E30</formula>
    </cfRule>
  </conditionalFormatting>
  <conditionalFormatting sqref="F6">
    <cfRule type="expression" dxfId="1" priority="81">
      <formula>AND(F66&gt;E66,E66&gt;0)</formula>
    </cfRule>
  </conditionalFormatting>
  <conditionalFormatting sqref="F30">
    <cfRule type="expression" dxfId="3" priority="82">
      <formula>AND(F55="Automática",E55="Manual")</formula>
    </cfRule>
  </conditionalFormatting>
  <conditionalFormatting sqref="F30">
    <cfRule type="expression" dxfId="0" priority="83">
      <formula>F30&gt;E30</formula>
    </cfRule>
  </conditionalFormatting>
  <conditionalFormatting sqref="F30">
    <cfRule type="expression" dxfId="1" priority="84">
      <formula>AND(F66&gt;E66,E66&gt;0)</formula>
    </cfRule>
  </conditionalFormatting>
  <conditionalFormatting sqref="F55">
    <cfRule type="expression" dxfId="3" priority="85">
      <formula>AND(F55="Automática",E55="Manual")</formula>
    </cfRule>
  </conditionalFormatting>
  <conditionalFormatting sqref="F66">
    <cfRule type="expression" dxfId="1" priority="86">
      <formula>AND(F66&gt;E66,E66&gt;0)</formula>
    </cfRule>
  </conditionalFormatting>
  <conditionalFormatting sqref="G6">
    <cfRule type="expression" dxfId="3" priority="87">
      <formula>AND(G55="Automática",F55="Manual")</formula>
    </cfRule>
  </conditionalFormatting>
  <conditionalFormatting sqref="G6">
    <cfRule type="expression" dxfId="0" priority="88">
      <formula>G30&gt;F30</formula>
    </cfRule>
  </conditionalFormatting>
  <conditionalFormatting sqref="G6">
    <cfRule type="expression" dxfId="1" priority="89">
      <formula>AND(G66&gt;F66,F66&gt;0)</formula>
    </cfRule>
  </conditionalFormatting>
  <conditionalFormatting sqref="G30">
    <cfRule type="expression" dxfId="3" priority="90">
      <formula>AND(G55="Automática",F55="Manual")</formula>
    </cfRule>
  </conditionalFormatting>
  <conditionalFormatting sqref="G30">
    <cfRule type="expression" dxfId="0" priority="91">
      <formula>G30&gt;F30</formula>
    </cfRule>
  </conditionalFormatting>
  <conditionalFormatting sqref="G30">
    <cfRule type="expression" dxfId="1" priority="92">
      <formula>AND(G66&gt;F66,F66&gt;0)</formula>
    </cfRule>
  </conditionalFormatting>
  <conditionalFormatting sqref="G55">
    <cfRule type="expression" dxfId="3" priority="93">
      <formula>AND(G55="Automática",F55="Manual")</formula>
    </cfRule>
  </conditionalFormatting>
  <conditionalFormatting sqref="G66">
    <cfRule type="expression" dxfId="1" priority="94">
      <formula>AND(G66&gt;F66,F66&gt;0)</formula>
    </cfRule>
  </conditionalFormatting>
  <conditionalFormatting sqref="H6">
    <cfRule type="expression" dxfId="3" priority="95">
      <formula>AND(H55="Automática",G55="Manual")</formula>
    </cfRule>
  </conditionalFormatting>
  <conditionalFormatting sqref="H6">
    <cfRule type="expression" dxfId="0" priority="96">
      <formula>H30&gt;G30</formula>
    </cfRule>
  </conditionalFormatting>
  <conditionalFormatting sqref="H6">
    <cfRule type="expression" dxfId="1" priority="97">
      <formula>AND(H66&gt;G66,G66&gt;0)</formula>
    </cfRule>
  </conditionalFormatting>
  <conditionalFormatting sqref="H30">
    <cfRule type="expression" dxfId="3" priority="98">
      <formula>AND(H55="Automática",G55="Manual")</formula>
    </cfRule>
  </conditionalFormatting>
  <conditionalFormatting sqref="H30">
    <cfRule type="expression" dxfId="0" priority="99">
      <formula>H30&gt;G30</formula>
    </cfRule>
  </conditionalFormatting>
  <conditionalFormatting sqref="H30">
    <cfRule type="expression" dxfId="1" priority="100">
      <formula>AND(H66&gt;G66,G66&gt;0)</formula>
    </cfRule>
  </conditionalFormatting>
  <conditionalFormatting sqref="H55">
    <cfRule type="expression" dxfId="3" priority="101">
      <formula>AND(H55="Automática",G55="Manual")</formula>
    </cfRule>
  </conditionalFormatting>
  <conditionalFormatting sqref="H66">
    <cfRule type="expression" dxfId="1" priority="102">
      <formula>AND(H66&gt;G66,G66&gt;0)</formula>
    </cfRule>
  </conditionalFormatting>
  <conditionalFormatting sqref="I6">
    <cfRule type="expression" dxfId="3" priority="103">
      <formula>AND(I55="Automática",H55="Manual")</formula>
    </cfRule>
  </conditionalFormatting>
  <conditionalFormatting sqref="I6">
    <cfRule type="expression" dxfId="0" priority="104">
      <formula>I30&gt;H30</formula>
    </cfRule>
  </conditionalFormatting>
  <conditionalFormatting sqref="I6">
    <cfRule type="expression" dxfId="1" priority="105">
      <formula>AND(I66&gt;H66,H66&gt;0)</formula>
    </cfRule>
  </conditionalFormatting>
  <conditionalFormatting sqref="I30">
    <cfRule type="expression" dxfId="3" priority="106">
      <formula>AND(I55="Automática",H55="Manual")</formula>
    </cfRule>
  </conditionalFormatting>
  <conditionalFormatting sqref="I30">
    <cfRule type="expression" dxfId="0" priority="107">
      <formula>I30&gt;H30</formula>
    </cfRule>
  </conditionalFormatting>
  <conditionalFormatting sqref="I30">
    <cfRule type="expression" dxfId="1" priority="108">
      <formula>AND(I66&gt;H66,H66&gt;0)</formula>
    </cfRule>
  </conditionalFormatting>
  <conditionalFormatting sqref="I55">
    <cfRule type="expression" dxfId="3" priority="109">
      <formula>AND(I55="Automática",H55="Manual")</formula>
    </cfRule>
  </conditionalFormatting>
  <conditionalFormatting sqref="I66">
    <cfRule type="expression" dxfId="1" priority="110">
      <formula>AND(I66&gt;H66,H66&gt;0)</formula>
    </cfRule>
  </conditionalFormatting>
  <conditionalFormatting sqref="J6">
    <cfRule type="expression" dxfId="3" priority="111">
      <formula>AND(J55="Automática",I55="Manual")</formula>
    </cfRule>
  </conditionalFormatting>
  <conditionalFormatting sqref="J6">
    <cfRule type="expression" dxfId="0" priority="112">
      <formula>J30&gt;I30</formula>
    </cfRule>
  </conditionalFormatting>
  <conditionalFormatting sqref="J6">
    <cfRule type="expression" dxfId="1" priority="113">
      <formula>AND(J66&gt;I66,I66&gt;0)</formula>
    </cfRule>
  </conditionalFormatting>
  <conditionalFormatting sqref="J30">
    <cfRule type="expression" dxfId="3" priority="114">
      <formula>AND(J55="Automática",I55="Manual")</formula>
    </cfRule>
  </conditionalFormatting>
  <conditionalFormatting sqref="J30">
    <cfRule type="expression" dxfId="0" priority="115">
      <formula>J30&gt;I30</formula>
    </cfRule>
  </conditionalFormatting>
  <conditionalFormatting sqref="J30">
    <cfRule type="expression" dxfId="1" priority="116">
      <formula>AND(J66&gt;I66,I66&gt;0)</formula>
    </cfRule>
  </conditionalFormatting>
  <conditionalFormatting sqref="J55">
    <cfRule type="expression" dxfId="3" priority="117">
      <formula>AND(J55="Automática",I55="Manual")</formula>
    </cfRule>
  </conditionalFormatting>
  <conditionalFormatting sqref="J66">
    <cfRule type="expression" dxfId="1" priority="118">
      <formula>AND(J66&gt;I66,I66&gt;0)</formula>
    </cfRule>
  </conditionalFormatting>
  <conditionalFormatting sqref="K6">
    <cfRule type="expression" dxfId="3" priority="119">
      <formula>AND(K55="Automática",J55="Manual")</formula>
    </cfRule>
  </conditionalFormatting>
  <conditionalFormatting sqref="K6">
    <cfRule type="expression" dxfId="0" priority="120">
      <formula>K30&gt;J30</formula>
    </cfRule>
  </conditionalFormatting>
  <conditionalFormatting sqref="K6">
    <cfRule type="expression" dxfId="1" priority="121">
      <formula>AND(K66&gt;J66,J66&gt;0)</formula>
    </cfRule>
  </conditionalFormatting>
  <conditionalFormatting sqref="K30">
    <cfRule type="expression" dxfId="3" priority="122">
      <formula>AND(K55="Automática",J55="Manual")</formula>
    </cfRule>
  </conditionalFormatting>
  <conditionalFormatting sqref="K30">
    <cfRule type="expression" dxfId="0" priority="123">
      <formula>K30&gt;J30</formula>
    </cfRule>
  </conditionalFormatting>
  <conditionalFormatting sqref="K30">
    <cfRule type="expression" dxfId="1" priority="124">
      <formula>AND(K66&gt;J66,J66&gt;0)</formula>
    </cfRule>
  </conditionalFormatting>
  <conditionalFormatting sqref="K55">
    <cfRule type="expression" dxfId="3" priority="125">
      <formula>AND(K55="Automática",J55="Manual")</formula>
    </cfRule>
  </conditionalFormatting>
  <conditionalFormatting sqref="K66">
    <cfRule type="expression" dxfId="1" priority="126">
      <formula>AND(K66&gt;J66,J66&gt;0)</formula>
    </cfRule>
  </conditionalFormatting>
  <conditionalFormatting sqref="B6:K6">
    <cfRule type="expression" dxfId="2" priority="127">
      <formula>AND(ISNUMBER(B6),B6&gt;$B$50)</formula>
    </cfRule>
  </conditionalFormatting>
  <conditionalFormatting sqref="B7">
    <cfRule type="expression" dxfId="0" priority="128">
      <formula>B31&gt;1</formula>
    </cfRule>
  </conditionalFormatting>
  <conditionalFormatting sqref="B7">
    <cfRule type="expression" dxfId="1" priority="129">
      <formula>AND(B67&gt;1,1&gt;0)</formula>
    </cfRule>
  </conditionalFormatting>
  <conditionalFormatting sqref="B31">
    <cfRule type="expression" dxfId="0" priority="130">
      <formula>B31&gt;1</formula>
    </cfRule>
  </conditionalFormatting>
  <conditionalFormatting sqref="B31">
    <cfRule type="expression" dxfId="1" priority="131">
      <formula>AND(B67&gt;1,1&gt;0)</formula>
    </cfRule>
  </conditionalFormatting>
  <conditionalFormatting sqref="C7">
    <cfRule type="expression" dxfId="0" priority="132">
      <formula>C31&gt;B31</formula>
    </cfRule>
  </conditionalFormatting>
  <conditionalFormatting sqref="C7">
    <cfRule type="expression" dxfId="1" priority="133">
      <formula>AND(C67&gt;B67,B67&gt;0)</formula>
    </cfRule>
  </conditionalFormatting>
  <conditionalFormatting sqref="C31">
    <cfRule type="expression" dxfId="0" priority="134">
      <formula>C31&gt;B31</formula>
    </cfRule>
  </conditionalFormatting>
  <conditionalFormatting sqref="C31">
    <cfRule type="expression" dxfId="1" priority="135">
      <formula>AND(C67&gt;B67,B67&gt;0)</formula>
    </cfRule>
  </conditionalFormatting>
  <conditionalFormatting sqref="C67">
    <cfRule type="expression" dxfId="1" priority="136">
      <formula>AND(C67&gt;B67,B67&gt;0)</formula>
    </cfRule>
  </conditionalFormatting>
  <conditionalFormatting sqref="D7">
    <cfRule type="expression" dxfId="0" priority="137">
      <formula>D31&gt;C31</formula>
    </cfRule>
  </conditionalFormatting>
  <conditionalFormatting sqref="D7">
    <cfRule type="expression" dxfId="1" priority="138">
      <formula>AND(D67&gt;C67,C67&gt;0)</formula>
    </cfRule>
  </conditionalFormatting>
  <conditionalFormatting sqref="D31">
    <cfRule type="expression" dxfId="0" priority="139">
      <formula>D31&gt;C31</formula>
    </cfRule>
  </conditionalFormatting>
  <conditionalFormatting sqref="D31">
    <cfRule type="expression" dxfId="1" priority="140">
      <formula>AND(D67&gt;C67,C67&gt;0)</formula>
    </cfRule>
  </conditionalFormatting>
  <conditionalFormatting sqref="D67">
    <cfRule type="expression" dxfId="1" priority="141">
      <formula>AND(D67&gt;C67,C67&gt;0)</formula>
    </cfRule>
  </conditionalFormatting>
  <conditionalFormatting sqref="E7">
    <cfRule type="expression" dxfId="0" priority="142">
      <formula>E31&gt;D31</formula>
    </cfRule>
  </conditionalFormatting>
  <conditionalFormatting sqref="E7">
    <cfRule type="expression" dxfId="1" priority="143">
      <formula>AND(E67&gt;D67,D67&gt;0)</formula>
    </cfRule>
  </conditionalFormatting>
  <conditionalFormatting sqref="E31">
    <cfRule type="expression" dxfId="0" priority="144">
      <formula>E31&gt;D31</formula>
    </cfRule>
  </conditionalFormatting>
  <conditionalFormatting sqref="E31">
    <cfRule type="expression" dxfId="1" priority="145">
      <formula>AND(E67&gt;D67,D67&gt;0)</formula>
    </cfRule>
  </conditionalFormatting>
  <conditionalFormatting sqref="E67">
    <cfRule type="expression" dxfId="1" priority="146">
      <formula>AND(E67&gt;D67,D67&gt;0)</formula>
    </cfRule>
  </conditionalFormatting>
  <conditionalFormatting sqref="F7">
    <cfRule type="expression" dxfId="0" priority="147">
      <formula>F31&gt;E31</formula>
    </cfRule>
  </conditionalFormatting>
  <conditionalFormatting sqref="F7">
    <cfRule type="expression" dxfId="1" priority="148">
      <formula>AND(F67&gt;E67,E67&gt;0)</formula>
    </cfRule>
  </conditionalFormatting>
  <conditionalFormatting sqref="F31">
    <cfRule type="expression" dxfId="0" priority="149">
      <formula>F31&gt;E31</formula>
    </cfRule>
  </conditionalFormatting>
  <conditionalFormatting sqref="F31">
    <cfRule type="expression" dxfId="1" priority="150">
      <formula>AND(F67&gt;E67,E67&gt;0)</formula>
    </cfRule>
  </conditionalFormatting>
  <conditionalFormatting sqref="F67">
    <cfRule type="expression" dxfId="1" priority="151">
      <formula>AND(F67&gt;E67,E67&gt;0)</formula>
    </cfRule>
  </conditionalFormatting>
  <conditionalFormatting sqref="G7">
    <cfRule type="expression" dxfId="0" priority="152">
      <formula>G31&gt;F31</formula>
    </cfRule>
  </conditionalFormatting>
  <conditionalFormatting sqref="G7">
    <cfRule type="expression" dxfId="1" priority="153">
      <formula>AND(G67&gt;F67,F67&gt;0)</formula>
    </cfRule>
  </conditionalFormatting>
  <conditionalFormatting sqref="G31">
    <cfRule type="expression" dxfId="0" priority="154">
      <formula>G31&gt;F31</formula>
    </cfRule>
  </conditionalFormatting>
  <conditionalFormatting sqref="G31">
    <cfRule type="expression" dxfId="1" priority="155">
      <formula>AND(G67&gt;F67,F67&gt;0)</formula>
    </cfRule>
  </conditionalFormatting>
  <conditionalFormatting sqref="G67">
    <cfRule type="expression" dxfId="1" priority="156">
      <formula>AND(G67&gt;F67,F67&gt;0)</formula>
    </cfRule>
  </conditionalFormatting>
  <conditionalFormatting sqref="H7">
    <cfRule type="expression" dxfId="0" priority="157">
      <formula>H31&gt;G31</formula>
    </cfRule>
  </conditionalFormatting>
  <conditionalFormatting sqref="H7">
    <cfRule type="expression" dxfId="1" priority="158">
      <formula>AND(H67&gt;G67,G67&gt;0)</formula>
    </cfRule>
  </conditionalFormatting>
  <conditionalFormatting sqref="H31">
    <cfRule type="expression" dxfId="0" priority="159">
      <formula>H31&gt;G31</formula>
    </cfRule>
  </conditionalFormatting>
  <conditionalFormatting sqref="H31">
    <cfRule type="expression" dxfId="1" priority="160">
      <formula>AND(H67&gt;G67,G67&gt;0)</formula>
    </cfRule>
  </conditionalFormatting>
  <conditionalFormatting sqref="H67">
    <cfRule type="expression" dxfId="1" priority="161">
      <formula>AND(H67&gt;G67,G67&gt;0)</formula>
    </cfRule>
  </conditionalFormatting>
  <conditionalFormatting sqref="I7">
    <cfRule type="expression" dxfId="0" priority="162">
      <formula>I31&gt;H31</formula>
    </cfRule>
  </conditionalFormatting>
  <conditionalFormatting sqref="I7">
    <cfRule type="expression" dxfId="1" priority="163">
      <formula>AND(I67&gt;H67,H67&gt;0)</formula>
    </cfRule>
  </conditionalFormatting>
  <conditionalFormatting sqref="I31">
    <cfRule type="expression" dxfId="0" priority="164">
      <formula>I31&gt;H31</formula>
    </cfRule>
  </conditionalFormatting>
  <conditionalFormatting sqref="I31">
    <cfRule type="expression" dxfId="1" priority="165">
      <formula>AND(I67&gt;H67,H67&gt;0)</formula>
    </cfRule>
  </conditionalFormatting>
  <conditionalFormatting sqref="I67">
    <cfRule type="expression" dxfId="1" priority="166">
      <formula>AND(I67&gt;H67,H67&gt;0)</formula>
    </cfRule>
  </conditionalFormatting>
  <conditionalFormatting sqref="J7">
    <cfRule type="expression" dxfId="0" priority="167">
      <formula>J31&gt;I31</formula>
    </cfRule>
  </conditionalFormatting>
  <conditionalFormatting sqref="J7">
    <cfRule type="expression" dxfId="1" priority="168">
      <formula>AND(J67&gt;I67,I67&gt;0)</formula>
    </cfRule>
  </conditionalFormatting>
  <conditionalFormatting sqref="J31">
    <cfRule type="expression" dxfId="0" priority="169">
      <formula>J31&gt;I31</formula>
    </cfRule>
  </conditionalFormatting>
  <conditionalFormatting sqref="J31">
    <cfRule type="expression" dxfId="1" priority="170">
      <formula>AND(J67&gt;I67,I67&gt;0)</formula>
    </cfRule>
  </conditionalFormatting>
  <conditionalFormatting sqref="J67">
    <cfRule type="expression" dxfId="1" priority="171">
      <formula>AND(J67&gt;I67,I67&gt;0)</formula>
    </cfRule>
  </conditionalFormatting>
  <conditionalFormatting sqref="K7">
    <cfRule type="expression" dxfId="0" priority="172">
      <formula>K31&gt;J31</formula>
    </cfRule>
  </conditionalFormatting>
  <conditionalFormatting sqref="K7">
    <cfRule type="expression" dxfId="1" priority="173">
      <formula>AND(K67&gt;J67,J67&gt;0)</formula>
    </cfRule>
  </conditionalFormatting>
  <conditionalFormatting sqref="K31">
    <cfRule type="expression" dxfId="0" priority="174">
      <formula>K31&gt;J31</formula>
    </cfRule>
  </conditionalFormatting>
  <conditionalFormatting sqref="K31">
    <cfRule type="expression" dxfId="1" priority="175">
      <formula>AND(K67&gt;J67,J67&gt;0)</formula>
    </cfRule>
  </conditionalFormatting>
  <conditionalFormatting sqref="K67">
    <cfRule type="expression" dxfId="1" priority="176">
      <formula>AND(K67&gt;J67,J67&gt;0)</formula>
    </cfRule>
  </conditionalFormatting>
  <conditionalFormatting sqref="B7:K7">
    <cfRule type="expression" dxfId="2" priority="177">
      <formula>AND(ISNUMBER(B7),B7&gt;$B$50)</formula>
    </cfRule>
  </conditionalFormatting>
  <conditionalFormatting sqref="B8">
    <cfRule type="expression" dxfId="0" priority="178">
      <formula>B32&gt;1</formula>
    </cfRule>
  </conditionalFormatting>
  <conditionalFormatting sqref="B8">
    <cfRule type="expression" dxfId="1" priority="179">
      <formula>AND(B68&gt;1,1&gt;0)</formula>
    </cfRule>
  </conditionalFormatting>
  <conditionalFormatting sqref="B32">
    <cfRule type="expression" dxfId="0" priority="180">
      <formula>B32&gt;1</formula>
    </cfRule>
  </conditionalFormatting>
  <conditionalFormatting sqref="B32">
    <cfRule type="expression" dxfId="1" priority="181">
      <formula>AND(B68&gt;1,1&gt;0)</formula>
    </cfRule>
  </conditionalFormatting>
  <conditionalFormatting sqref="C8">
    <cfRule type="expression" dxfId="0" priority="182">
      <formula>C32&gt;B32</formula>
    </cfRule>
  </conditionalFormatting>
  <conditionalFormatting sqref="C8">
    <cfRule type="expression" dxfId="1" priority="183">
      <formula>AND(C68&gt;B68,B68&gt;0)</formula>
    </cfRule>
  </conditionalFormatting>
  <conditionalFormatting sqref="C32">
    <cfRule type="expression" dxfId="0" priority="184">
      <formula>C32&gt;B32</formula>
    </cfRule>
  </conditionalFormatting>
  <conditionalFormatting sqref="C32">
    <cfRule type="expression" dxfId="1" priority="185">
      <formula>AND(C68&gt;B68,B68&gt;0)</formula>
    </cfRule>
  </conditionalFormatting>
  <conditionalFormatting sqref="C68">
    <cfRule type="expression" dxfId="1" priority="186">
      <formula>AND(C68&gt;B68,B68&gt;0)</formula>
    </cfRule>
  </conditionalFormatting>
  <conditionalFormatting sqref="D8">
    <cfRule type="expression" dxfId="0" priority="187">
      <formula>D32&gt;C32</formula>
    </cfRule>
  </conditionalFormatting>
  <conditionalFormatting sqref="D8">
    <cfRule type="expression" dxfId="1" priority="188">
      <formula>AND(D68&gt;C68,C68&gt;0)</formula>
    </cfRule>
  </conditionalFormatting>
  <conditionalFormatting sqref="D32">
    <cfRule type="expression" dxfId="0" priority="189">
      <formula>D32&gt;C32</formula>
    </cfRule>
  </conditionalFormatting>
  <conditionalFormatting sqref="D32">
    <cfRule type="expression" dxfId="1" priority="190">
      <formula>AND(D68&gt;C68,C68&gt;0)</formula>
    </cfRule>
  </conditionalFormatting>
  <conditionalFormatting sqref="D68">
    <cfRule type="expression" dxfId="1" priority="191">
      <formula>AND(D68&gt;C68,C68&gt;0)</formula>
    </cfRule>
  </conditionalFormatting>
  <conditionalFormatting sqref="E8">
    <cfRule type="expression" dxfId="0" priority="192">
      <formula>E32&gt;D32</formula>
    </cfRule>
  </conditionalFormatting>
  <conditionalFormatting sqref="E8">
    <cfRule type="expression" dxfId="1" priority="193">
      <formula>AND(E68&gt;D68,D68&gt;0)</formula>
    </cfRule>
  </conditionalFormatting>
  <conditionalFormatting sqref="E32">
    <cfRule type="expression" dxfId="0" priority="194">
      <formula>E32&gt;D32</formula>
    </cfRule>
  </conditionalFormatting>
  <conditionalFormatting sqref="E32">
    <cfRule type="expression" dxfId="1" priority="195">
      <formula>AND(E68&gt;D68,D68&gt;0)</formula>
    </cfRule>
  </conditionalFormatting>
  <conditionalFormatting sqref="E68">
    <cfRule type="expression" dxfId="1" priority="196">
      <formula>AND(E68&gt;D68,D68&gt;0)</formula>
    </cfRule>
  </conditionalFormatting>
  <conditionalFormatting sqref="F8">
    <cfRule type="expression" dxfId="0" priority="197">
      <formula>F32&gt;E32</formula>
    </cfRule>
  </conditionalFormatting>
  <conditionalFormatting sqref="F8">
    <cfRule type="expression" dxfId="1" priority="198">
      <formula>AND(F68&gt;E68,E68&gt;0)</formula>
    </cfRule>
  </conditionalFormatting>
  <conditionalFormatting sqref="F32">
    <cfRule type="expression" dxfId="0" priority="199">
      <formula>F32&gt;E32</formula>
    </cfRule>
  </conditionalFormatting>
  <conditionalFormatting sqref="F32">
    <cfRule type="expression" dxfId="1" priority="200">
      <formula>AND(F68&gt;E68,E68&gt;0)</formula>
    </cfRule>
  </conditionalFormatting>
  <conditionalFormatting sqref="F68">
    <cfRule type="expression" dxfId="1" priority="201">
      <formula>AND(F68&gt;E68,E68&gt;0)</formula>
    </cfRule>
  </conditionalFormatting>
  <conditionalFormatting sqref="G8">
    <cfRule type="expression" dxfId="0" priority="202">
      <formula>G32&gt;F32</formula>
    </cfRule>
  </conditionalFormatting>
  <conditionalFormatting sqref="G8">
    <cfRule type="expression" dxfId="1" priority="203">
      <formula>AND(G68&gt;F68,F68&gt;0)</formula>
    </cfRule>
  </conditionalFormatting>
  <conditionalFormatting sqref="G32">
    <cfRule type="expression" dxfId="0" priority="204">
      <formula>G32&gt;F32</formula>
    </cfRule>
  </conditionalFormatting>
  <conditionalFormatting sqref="G32">
    <cfRule type="expression" dxfId="1" priority="205">
      <formula>AND(G68&gt;F68,F68&gt;0)</formula>
    </cfRule>
  </conditionalFormatting>
  <conditionalFormatting sqref="G68">
    <cfRule type="expression" dxfId="1" priority="206">
      <formula>AND(G68&gt;F68,F68&gt;0)</formula>
    </cfRule>
  </conditionalFormatting>
  <conditionalFormatting sqref="H8">
    <cfRule type="expression" dxfId="0" priority="207">
      <formula>H32&gt;G32</formula>
    </cfRule>
  </conditionalFormatting>
  <conditionalFormatting sqref="H8">
    <cfRule type="expression" dxfId="1" priority="208">
      <formula>AND(H68&gt;G68,G68&gt;0)</formula>
    </cfRule>
  </conditionalFormatting>
  <conditionalFormatting sqref="H32">
    <cfRule type="expression" dxfId="0" priority="209">
      <formula>H32&gt;G32</formula>
    </cfRule>
  </conditionalFormatting>
  <conditionalFormatting sqref="H32">
    <cfRule type="expression" dxfId="1" priority="210">
      <formula>AND(H68&gt;G68,G68&gt;0)</formula>
    </cfRule>
  </conditionalFormatting>
  <conditionalFormatting sqref="H68">
    <cfRule type="expression" dxfId="1" priority="211">
      <formula>AND(H68&gt;G68,G68&gt;0)</formula>
    </cfRule>
  </conditionalFormatting>
  <conditionalFormatting sqref="I8">
    <cfRule type="expression" dxfId="0" priority="212">
      <formula>I32&gt;H32</formula>
    </cfRule>
  </conditionalFormatting>
  <conditionalFormatting sqref="I8">
    <cfRule type="expression" dxfId="1" priority="213">
      <formula>AND(I68&gt;H68,H68&gt;0)</formula>
    </cfRule>
  </conditionalFormatting>
  <conditionalFormatting sqref="I32">
    <cfRule type="expression" dxfId="0" priority="214">
      <formula>I32&gt;H32</formula>
    </cfRule>
  </conditionalFormatting>
  <conditionalFormatting sqref="I32">
    <cfRule type="expression" dxfId="1" priority="215">
      <formula>AND(I68&gt;H68,H68&gt;0)</formula>
    </cfRule>
  </conditionalFormatting>
  <conditionalFormatting sqref="I68">
    <cfRule type="expression" dxfId="1" priority="216">
      <formula>AND(I68&gt;H68,H68&gt;0)</formula>
    </cfRule>
  </conditionalFormatting>
  <conditionalFormatting sqref="J8">
    <cfRule type="expression" dxfId="0" priority="217">
      <formula>J32&gt;I32</formula>
    </cfRule>
  </conditionalFormatting>
  <conditionalFormatting sqref="J8">
    <cfRule type="expression" dxfId="1" priority="218">
      <formula>AND(J68&gt;I68,I68&gt;0)</formula>
    </cfRule>
  </conditionalFormatting>
  <conditionalFormatting sqref="J32">
    <cfRule type="expression" dxfId="0" priority="219">
      <formula>J32&gt;I32</formula>
    </cfRule>
  </conditionalFormatting>
  <conditionalFormatting sqref="J32">
    <cfRule type="expression" dxfId="1" priority="220">
      <formula>AND(J68&gt;I68,I68&gt;0)</formula>
    </cfRule>
  </conditionalFormatting>
  <conditionalFormatting sqref="J68">
    <cfRule type="expression" dxfId="1" priority="221">
      <formula>AND(J68&gt;I68,I68&gt;0)</formula>
    </cfRule>
  </conditionalFormatting>
  <conditionalFormatting sqref="K8">
    <cfRule type="expression" dxfId="0" priority="222">
      <formula>K32&gt;J32</formula>
    </cfRule>
  </conditionalFormatting>
  <conditionalFormatting sqref="K8">
    <cfRule type="expression" dxfId="1" priority="223">
      <formula>AND(K68&gt;J68,J68&gt;0)</formula>
    </cfRule>
  </conditionalFormatting>
  <conditionalFormatting sqref="K32">
    <cfRule type="expression" dxfId="0" priority="224">
      <formula>K32&gt;J32</formula>
    </cfRule>
  </conditionalFormatting>
  <conditionalFormatting sqref="K32">
    <cfRule type="expression" dxfId="1" priority="225">
      <formula>AND(K68&gt;J68,J68&gt;0)</formula>
    </cfRule>
  </conditionalFormatting>
  <conditionalFormatting sqref="K68">
    <cfRule type="expression" dxfId="1" priority="226">
      <formula>AND(K68&gt;J68,J68&gt;0)</formula>
    </cfRule>
  </conditionalFormatting>
  <conditionalFormatting sqref="B8:K8">
    <cfRule type="expression" dxfId="2" priority="227">
      <formula>AND(ISNUMBER(B8),B8&gt;$B$50)</formula>
    </cfRule>
  </conditionalFormatting>
  <conditionalFormatting sqref="B9">
    <cfRule type="expression" dxfId="0" priority="228">
      <formula>B33&gt;1</formula>
    </cfRule>
  </conditionalFormatting>
  <conditionalFormatting sqref="B9">
    <cfRule type="expression" dxfId="1" priority="229">
      <formula>AND(B69&gt;1,1&gt;0)</formula>
    </cfRule>
  </conditionalFormatting>
  <conditionalFormatting sqref="B33">
    <cfRule type="expression" dxfId="0" priority="230">
      <formula>B33&gt;1</formula>
    </cfRule>
  </conditionalFormatting>
  <conditionalFormatting sqref="B33">
    <cfRule type="expression" dxfId="1" priority="231">
      <formula>AND(B69&gt;1,1&gt;0)</formula>
    </cfRule>
  </conditionalFormatting>
  <conditionalFormatting sqref="C9">
    <cfRule type="expression" dxfId="0" priority="232">
      <formula>C33&gt;B33</formula>
    </cfRule>
  </conditionalFormatting>
  <conditionalFormatting sqref="C9">
    <cfRule type="expression" dxfId="1" priority="233">
      <formula>AND(C69&gt;B69,B69&gt;0)</formula>
    </cfRule>
  </conditionalFormatting>
  <conditionalFormatting sqref="C33">
    <cfRule type="expression" dxfId="0" priority="234">
      <formula>C33&gt;B33</formula>
    </cfRule>
  </conditionalFormatting>
  <conditionalFormatting sqref="C33">
    <cfRule type="expression" dxfId="1" priority="235">
      <formula>AND(C69&gt;B69,B69&gt;0)</formula>
    </cfRule>
  </conditionalFormatting>
  <conditionalFormatting sqref="C69">
    <cfRule type="expression" dxfId="1" priority="236">
      <formula>AND(C69&gt;B69,B69&gt;0)</formula>
    </cfRule>
  </conditionalFormatting>
  <conditionalFormatting sqref="D9">
    <cfRule type="expression" dxfId="0" priority="237">
      <formula>D33&gt;C33</formula>
    </cfRule>
  </conditionalFormatting>
  <conditionalFormatting sqref="D9">
    <cfRule type="expression" dxfId="1" priority="238">
      <formula>AND(D69&gt;C69,C69&gt;0)</formula>
    </cfRule>
  </conditionalFormatting>
  <conditionalFormatting sqref="D33">
    <cfRule type="expression" dxfId="0" priority="239">
      <formula>D33&gt;C33</formula>
    </cfRule>
  </conditionalFormatting>
  <conditionalFormatting sqref="D33">
    <cfRule type="expression" dxfId="1" priority="240">
      <formula>AND(D69&gt;C69,C69&gt;0)</formula>
    </cfRule>
  </conditionalFormatting>
  <conditionalFormatting sqref="D69">
    <cfRule type="expression" dxfId="1" priority="241">
      <formula>AND(D69&gt;C69,C69&gt;0)</formula>
    </cfRule>
  </conditionalFormatting>
  <conditionalFormatting sqref="E9">
    <cfRule type="expression" dxfId="0" priority="242">
      <formula>E33&gt;D33</formula>
    </cfRule>
  </conditionalFormatting>
  <conditionalFormatting sqref="E9">
    <cfRule type="expression" dxfId="1" priority="243">
      <formula>AND(E69&gt;D69,D69&gt;0)</formula>
    </cfRule>
  </conditionalFormatting>
  <conditionalFormatting sqref="E33">
    <cfRule type="expression" dxfId="0" priority="244">
      <formula>E33&gt;D33</formula>
    </cfRule>
  </conditionalFormatting>
  <conditionalFormatting sqref="E33">
    <cfRule type="expression" dxfId="1" priority="245">
      <formula>AND(E69&gt;D69,D69&gt;0)</formula>
    </cfRule>
  </conditionalFormatting>
  <conditionalFormatting sqref="E69">
    <cfRule type="expression" dxfId="1" priority="246">
      <formula>AND(E69&gt;D69,D69&gt;0)</formula>
    </cfRule>
  </conditionalFormatting>
  <conditionalFormatting sqref="F9">
    <cfRule type="expression" dxfId="0" priority="247">
      <formula>F33&gt;E33</formula>
    </cfRule>
  </conditionalFormatting>
  <conditionalFormatting sqref="F9">
    <cfRule type="expression" dxfId="1" priority="248">
      <formula>AND(F69&gt;E69,E69&gt;0)</formula>
    </cfRule>
  </conditionalFormatting>
  <conditionalFormatting sqref="F33">
    <cfRule type="expression" dxfId="0" priority="249">
      <formula>F33&gt;E33</formula>
    </cfRule>
  </conditionalFormatting>
  <conditionalFormatting sqref="F33">
    <cfRule type="expression" dxfId="1" priority="250">
      <formula>AND(F69&gt;E69,E69&gt;0)</formula>
    </cfRule>
  </conditionalFormatting>
  <conditionalFormatting sqref="F69">
    <cfRule type="expression" dxfId="1" priority="251">
      <formula>AND(F69&gt;E69,E69&gt;0)</formula>
    </cfRule>
  </conditionalFormatting>
  <conditionalFormatting sqref="G9">
    <cfRule type="expression" dxfId="0" priority="252">
      <formula>G33&gt;F33</formula>
    </cfRule>
  </conditionalFormatting>
  <conditionalFormatting sqref="G9">
    <cfRule type="expression" dxfId="1" priority="253">
      <formula>AND(G69&gt;F69,F69&gt;0)</formula>
    </cfRule>
  </conditionalFormatting>
  <conditionalFormatting sqref="G33">
    <cfRule type="expression" dxfId="0" priority="254">
      <formula>G33&gt;F33</formula>
    </cfRule>
  </conditionalFormatting>
  <conditionalFormatting sqref="G33">
    <cfRule type="expression" dxfId="1" priority="255">
      <formula>AND(G69&gt;F69,F69&gt;0)</formula>
    </cfRule>
  </conditionalFormatting>
  <conditionalFormatting sqref="G69">
    <cfRule type="expression" dxfId="1" priority="256">
      <formula>AND(G69&gt;F69,F69&gt;0)</formula>
    </cfRule>
  </conditionalFormatting>
  <conditionalFormatting sqref="H9">
    <cfRule type="expression" dxfId="0" priority="257">
      <formula>H33&gt;G33</formula>
    </cfRule>
  </conditionalFormatting>
  <conditionalFormatting sqref="H9">
    <cfRule type="expression" dxfId="1" priority="258">
      <formula>AND(H69&gt;G69,G69&gt;0)</formula>
    </cfRule>
  </conditionalFormatting>
  <conditionalFormatting sqref="H33">
    <cfRule type="expression" dxfId="0" priority="259">
      <formula>H33&gt;G33</formula>
    </cfRule>
  </conditionalFormatting>
  <conditionalFormatting sqref="H33">
    <cfRule type="expression" dxfId="1" priority="260">
      <formula>AND(H69&gt;G69,G69&gt;0)</formula>
    </cfRule>
  </conditionalFormatting>
  <conditionalFormatting sqref="H69">
    <cfRule type="expression" dxfId="1" priority="261">
      <formula>AND(H69&gt;G69,G69&gt;0)</formula>
    </cfRule>
  </conditionalFormatting>
  <conditionalFormatting sqref="I9">
    <cfRule type="expression" dxfId="0" priority="262">
      <formula>I33&gt;H33</formula>
    </cfRule>
  </conditionalFormatting>
  <conditionalFormatting sqref="I9">
    <cfRule type="expression" dxfId="1" priority="263">
      <formula>AND(I69&gt;H69,H69&gt;0)</formula>
    </cfRule>
  </conditionalFormatting>
  <conditionalFormatting sqref="I33">
    <cfRule type="expression" dxfId="0" priority="264">
      <formula>I33&gt;H33</formula>
    </cfRule>
  </conditionalFormatting>
  <conditionalFormatting sqref="I33">
    <cfRule type="expression" dxfId="1" priority="265">
      <formula>AND(I69&gt;H69,H69&gt;0)</formula>
    </cfRule>
  </conditionalFormatting>
  <conditionalFormatting sqref="I69">
    <cfRule type="expression" dxfId="1" priority="266">
      <formula>AND(I69&gt;H69,H69&gt;0)</formula>
    </cfRule>
  </conditionalFormatting>
  <conditionalFormatting sqref="J9">
    <cfRule type="expression" dxfId="0" priority="267">
      <formula>J33&gt;I33</formula>
    </cfRule>
  </conditionalFormatting>
  <conditionalFormatting sqref="J9">
    <cfRule type="expression" dxfId="1" priority="268">
      <formula>AND(J69&gt;I69,I69&gt;0)</formula>
    </cfRule>
  </conditionalFormatting>
  <conditionalFormatting sqref="J33">
    <cfRule type="expression" dxfId="0" priority="269">
      <formula>J33&gt;I33</formula>
    </cfRule>
  </conditionalFormatting>
  <conditionalFormatting sqref="J33">
    <cfRule type="expression" dxfId="1" priority="270">
      <formula>AND(J69&gt;I69,I69&gt;0)</formula>
    </cfRule>
  </conditionalFormatting>
  <conditionalFormatting sqref="J69">
    <cfRule type="expression" dxfId="1" priority="271">
      <formula>AND(J69&gt;I69,I69&gt;0)</formula>
    </cfRule>
  </conditionalFormatting>
  <conditionalFormatting sqref="K9">
    <cfRule type="expression" dxfId="0" priority="272">
      <formula>K33&gt;J33</formula>
    </cfRule>
  </conditionalFormatting>
  <conditionalFormatting sqref="K9">
    <cfRule type="expression" dxfId="1" priority="273">
      <formula>AND(K69&gt;J69,J69&gt;0)</formula>
    </cfRule>
  </conditionalFormatting>
  <conditionalFormatting sqref="K33">
    <cfRule type="expression" dxfId="0" priority="274">
      <formula>K33&gt;J33</formula>
    </cfRule>
  </conditionalFormatting>
  <conditionalFormatting sqref="K33">
    <cfRule type="expression" dxfId="1" priority="275">
      <formula>AND(K69&gt;J69,J69&gt;0)</formula>
    </cfRule>
  </conditionalFormatting>
  <conditionalFormatting sqref="K69">
    <cfRule type="expression" dxfId="1" priority="276">
      <formula>AND(K69&gt;J69,J69&gt;0)</formula>
    </cfRule>
  </conditionalFormatting>
  <conditionalFormatting sqref="B9:K9">
    <cfRule type="expression" dxfId="2" priority="277">
      <formula>AND(ISNUMBER(B9),B9&gt;$B$50)</formula>
    </cfRule>
  </conditionalFormatting>
  <conditionalFormatting sqref="B10">
    <cfRule type="expression" dxfId="0" priority="278">
      <formula>B34&gt;1</formula>
    </cfRule>
  </conditionalFormatting>
  <conditionalFormatting sqref="B10">
    <cfRule type="expression" dxfId="1" priority="279">
      <formula>AND(B70&gt;1,1&gt;0)</formula>
    </cfRule>
  </conditionalFormatting>
  <conditionalFormatting sqref="B34">
    <cfRule type="expression" dxfId="0" priority="280">
      <formula>B34&gt;1</formula>
    </cfRule>
  </conditionalFormatting>
  <conditionalFormatting sqref="B34">
    <cfRule type="expression" dxfId="1" priority="281">
      <formula>AND(B70&gt;1,1&gt;0)</formula>
    </cfRule>
  </conditionalFormatting>
  <conditionalFormatting sqref="C10">
    <cfRule type="expression" dxfId="0" priority="282">
      <formula>C34&gt;B34</formula>
    </cfRule>
  </conditionalFormatting>
  <conditionalFormatting sqref="C10">
    <cfRule type="expression" dxfId="1" priority="283">
      <formula>AND(C70&gt;B70,B70&gt;0)</formula>
    </cfRule>
  </conditionalFormatting>
  <conditionalFormatting sqref="C34">
    <cfRule type="expression" dxfId="0" priority="284">
      <formula>C34&gt;B34</formula>
    </cfRule>
  </conditionalFormatting>
  <conditionalFormatting sqref="C34">
    <cfRule type="expression" dxfId="1" priority="285">
      <formula>AND(C70&gt;B70,B70&gt;0)</formula>
    </cfRule>
  </conditionalFormatting>
  <conditionalFormatting sqref="C70">
    <cfRule type="expression" dxfId="1" priority="286">
      <formula>AND(C70&gt;B70,B70&gt;0)</formula>
    </cfRule>
  </conditionalFormatting>
  <conditionalFormatting sqref="D10">
    <cfRule type="expression" dxfId="0" priority="287">
      <formula>D34&gt;C34</formula>
    </cfRule>
  </conditionalFormatting>
  <conditionalFormatting sqref="D10">
    <cfRule type="expression" dxfId="1" priority="288">
      <formula>AND(D70&gt;C70,C70&gt;0)</formula>
    </cfRule>
  </conditionalFormatting>
  <conditionalFormatting sqref="D34">
    <cfRule type="expression" dxfId="0" priority="289">
      <formula>D34&gt;C34</formula>
    </cfRule>
  </conditionalFormatting>
  <conditionalFormatting sqref="D34">
    <cfRule type="expression" dxfId="1" priority="290">
      <formula>AND(D70&gt;C70,C70&gt;0)</formula>
    </cfRule>
  </conditionalFormatting>
  <conditionalFormatting sqref="D70">
    <cfRule type="expression" dxfId="1" priority="291">
      <formula>AND(D70&gt;C70,C70&gt;0)</formula>
    </cfRule>
  </conditionalFormatting>
  <conditionalFormatting sqref="E10">
    <cfRule type="expression" dxfId="0" priority="292">
      <formula>E34&gt;D34</formula>
    </cfRule>
  </conditionalFormatting>
  <conditionalFormatting sqref="E10">
    <cfRule type="expression" dxfId="1" priority="293">
      <formula>AND(E70&gt;D70,D70&gt;0)</formula>
    </cfRule>
  </conditionalFormatting>
  <conditionalFormatting sqref="E34">
    <cfRule type="expression" dxfId="0" priority="294">
      <formula>E34&gt;D34</formula>
    </cfRule>
  </conditionalFormatting>
  <conditionalFormatting sqref="E34">
    <cfRule type="expression" dxfId="1" priority="295">
      <formula>AND(E70&gt;D70,D70&gt;0)</formula>
    </cfRule>
  </conditionalFormatting>
  <conditionalFormatting sqref="E70">
    <cfRule type="expression" dxfId="1" priority="296">
      <formula>AND(E70&gt;D70,D70&gt;0)</formula>
    </cfRule>
  </conditionalFormatting>
  <conditionalFormatting sqref="F10">
    <cfRule type="expression" dxfId="0" priority="297">
      <formula>F34&gt;E34</formula>
    </cfRule>
  </conditionalFormatting>
  <conditionalFormatting sqref="F10">
    <cfRule type="expression" dxfId="1" priority="298">
      <formula>AND(F70&gt;E70,E70&gt;0)</formula>
    </cfRule>
  </conditionalFormatting>
  <conditionalFormatting sqref="F34">
    <cfRule type="expression" dxfId="0" priority="299">
      <formula>F34&gt;E34</formula>
    </cfRule>
  </conditionalFormatting>
  <conditionalFormatting sqref="F34">
    <cfRule type="expression" dxfId="1" priority="300">
      <formula>AND(F70&gt;E70,E70&gt;0)</formula>
    </cfRule>
  </conditionalFormatting>
  <conditionalFormatting sqref="F70">
    <cfRule type="expression" dxfId="1" priority="301">
      <formula>AND(F70&gt;E70,E70&gt;0)</formula>
    </cfRule>
  </conditionalFormatting>
  <conditionalFormatting sqref="G10">
    <cfRule type="expression" dxfId="0" priority="302">
      <formula>G34&gt;F34</formula>
    </cfRule>
  </conditionalFormatting>
  <conditionalFormatting sqref="G10">
    <cfRule type="expression" dxfId="1" priority="303">
      <formula>AND(G70&gt;F70,F70&gt;0)</formula>
    </cfRule>
  </conditionalFormatting>
  <conditionalFormatting sqref="G34">
    <cfRule type="expression" dxfId="0" priority="304">
      <formula>G34&gt;F34</formula>
    </cfRule>
  </conditionalFormatting>
  <conditionalFormatting sqref="G34">
    <cfRule type="expression" dxfId="1" priority="305">
      <formula>AND(G70&gt;F70,F70&gt;0)</formula>
    </cfRule>
  </conditionalFormatting>
  <conditionalFormatting sqref="G70">
    <cfRule type="expression" dxfId="1" priority="306">
      <formula>AND(G70&gt;F70,F70&gt;0)</formula>
    </cfRule>
  </conditionalFormatting>
  <conditionalFormatting sqref="H10">
    <cfRule type="expression" dxfId="0" priority="307">
      <formula>H34&gt;G34</formula>
    </cfRule>
  </conditionalFormatting>
  <conditionalFormatting sqref="H10">
    <cfRule type="expression" dxfId="1" priority="308">
      <formula>AND(H70&gt;G70,G70&gt;0)</formula>
    </cfRule>
  </conditionalFormatting>
  <conditionalFormatting sqref="H34">
    <cfRule type="expression" dxfId="0" priority="309">
      <formula>H34&gt;G34</formula>
    </cfRule>
  </conditionalFormatting>
  <conditionalFormatting sqref="H34">
    <cfRule type="expression" dxfId="1" priority="310">
      <formula>AND(H70&gt;G70,G70&gt;0)</formula>
    </cfRule>
  </conditionalFormatting>
  <conditionalFormatting sqref="H70">
    <cfRule type="expression" dxfId="1" priority="311">
      <formula>AND(H70&gt;G70,G70&gt;0)</formula>
    </cfRule>
  </conditionalFormatting>
  <conditionalFormatting sqref="I10">
    <cfRule type="expression" dxfId="0" priority="312">
      <formula>I34&gt;H34</formula>
    </cfRule>
  </conditionalFormatting>
  <conditionalFormatting sqref="I10">
    <cfRule type="expression" dxfId="1" priority="313">
      <formula>AND(I70&gt;H70,H70&gt;0)</formula>
    </cfRule>
  </conditionalFormatting>
  <conditionalFormatting sqref="I34">
    <cfRule type="expression" dxfId="0" priority="314">
      <formula>I34&gt;H34</formula>
    </cfRule>
  </conditionalFormatting>
  <conditionalFormatting sqref="I34">
    <cfRule type="expression" dxfId="1" priority="315">
      <formula>AND(I70&gt;H70,H70&gt;0)</formula>
    </cfRule>
  </conditionalFormatting>
  <conditionalFormatting sqref="I70">
    <cfRule type="expression" dxfId="1" priority="316">
      <formula>AND(I70&gt;H70,H70&gt;0)</formula>
    </cfRule>
  </conditionalFormatting>
  <conditionalFormatting sqref="J10">
    <cfRule type="expression" dxfId="0" priority="317">
      <formula>J34&gt;I34</formula>
    </cfRule>
  </conditionalFormatting>
  <conditionalFormatting sqref="J10">
    <cfRule type="expression" dxfId="1" priority="318">
      <formula>AND(J70&gt;I70,I70&gt;0)</formula>
    </cfRule>
  </conditionalFormatting>
  <conditionalFormatting sqref="J34">
    <cfRule type="expression" dxfId="0" priority="319">
      <formula>J34&gt;I34</formula>
    </cfRule>
  </conditionalFormatting>
  <conditionalFormatting sqref="J34">
    <cfRule type="expression" dxfId="1" priority="320">
      <formula>AND(J70&gt;I70,I70&gt;0)</formula>
    </cfRule>
  </conditionalFormatting>
  <conditionalFormatting sqref="J70">
    <cfRule type="expression" dxfId="1" priority="321">
      <formula>AND(J70&gt;I70,I70&gt;0)</formula>
    </cfRule>
  </conditionalFormatting>
  <conditionalFormatting sqref="K10">
    <cfRule type="expression" dxfId="0" priority="322">
      <formula>K34&gt;J34</formula>
    </cfRule>
  </conditionalFormatting>
  <conditionalFormatting sqref="K10">
    <cfRule type="expression" dxfId="1" priority="323">
      <formula>AND(K70&gt;J70,J70&gt;0)</formula>
    </cfRule>
  </conditionalFormatting>
  <conditionalFormatting sqref="K34">
    <cfRule type="expression" dxfId="0" priority="324">
      <formula>K34&gt;J34</formula>
    </cfRule>
  </conditionalFormatting>
  <conditionalFormatting sqref="K34">
    <cfRule type="expression" dxfId="1" priority="325">
      <formula>AND(K70&gt;J70,J70&gt;0)</formula>
    </cfRule>
  </conditionalFormatting>
  <conditionalFormatting sqref="K70">
    <cfRule type="expression" dxfId="1" priority="326">
      <formula>AND(K70&gt;J70,J70&gt;0)</formula>
    </cfRule>
  </conditionalFormatting>
  <conditionalFormatting sqref="B10:K10">
    <cfRule type="expression" dxfId="2" priority="327">
      <formula>AND(ISNUMBER(B10),B10&gt;$B$50)</formula>
    </cfRule>
  </conditionalFormatting>
  <conditionalFormatting sqref="B11">
    <cfRule type="expression" dxfId="0" priority="328">
      <formula>B35&gt;1</formula>
    </cfRule>
  </conditionalFormatting>
  <conditionalFormatting sqref="B11">
    <cfRule type="expression" dxfId="1" priority="329">
      <formula>AND(B71&gt;1,1&gt;0)</formula>
    </cfRule>
  </conditionalFormatting>
  <conditionalFormatting sqref="B35">
    <cfRule type="expression" dxfId="0" priority="330">
      <formula>B35&gt;1</formula>
    </cfRule>
  </conditionalFormatting>
  <conditionalFormatting sqref="B35">
    <cfRule type="expression" dxfId="1" priority="331">
      <formula>AND(B71&gt;1,1&gt;0)</formula>
    </cfRule>
  </conditionalFormatting>
  <conditionalFormatting sqref="C11">
    <cfRule type="expression" dxfId="0" priority="332">
      <formula>C35&gt;B35</formula>
    </cfRule>
  </conditionalFormatting>
  <conditionalFormatting sqref="C11">
    <cfRule type="expression" dxfId="1" priority="333">
      <formula>AND(C71&gt;B71,B71&gt;0)</formula>
    </cfRule>
  </conditionalFormatting>
  <conditionalFormatting sqref="C35">
    <cfRule type="expression" dxfId="0" priority="334">
      <formula>C35&gt;B35</formula>
    </cfRule>
  </conditionalFormatting>
  <conditionalFormatting sqref="C35">
    <cfRule type="expression" dxfId="1" priority="335">
      <formula>AND(C71&gt;B71,B71&gt;0)</formula>
    </cfRule>
  </conditionalFormatting>
  <conditionalFormatting sqref="C71">
    <cfRule type="expression" dxfId="1" priority="336">
      <formula>AND(C71&gt;B71,B71&gt;0)</formula>
    </cfRule>
  </conditionalFormatting>
  <conditionalFormatting sqref="D11">
    <cfRule type="expression" dxfId="0" priority="337">
      <formula>D35&gt;C35</formula>
    </cfRule>
  </conditionalFormatting>
  <conditionalFormatting sqref="D11">
    <cfRule type="expression" dxfId="1" priority="338">
      <formula>AND(D71&gt;C71,C71&gt;0)</formula>
    </cfRule>
  </conditionalFormatting>
  <conditionalFormatting sqref="D35">
    <cfRule type="expression" dxfId="0" priority="339">
      <formula>D35&gt;C35</formula>
    </cfRule>
  </conditionalFormatting>
  <conditionalFormatting sqref="D35">
    <cfRule type="expression" dxfId="1" priority="340">
      <formula>AND(D71&gt;C71,C71&gt;0)</formula>
    </cfRule>
  </conditionalFormatting>
  <conditionalFormatting sqref="D71">
    <cfRule type="expression" dxfId="1" priority="341">
      <formula>AND(D71&gt;C71,C71&gt;0)</formula>
    </cfRule>
  </conditionalFormatting>
  <conditionalFormatting sqref="E11">
    <cfRule type="expression" dxfId="0" priority="342">
      <formula>E35&gt;D35</formula>
    </cfRule>
  </conditionalFormatting>
  <conditionalFormatting sqref="E11">
    <cfRule type="expression" dxfId="1" priority="343">
      <formula>AND(E71&gt;D71,D71&gt;0)</formula>
    </cfRule>
  </conditionalFormatting>
  <conditionalFormatting sqref="E35">
    <cfRule type="expression" dxfId="0" priority="344">
      <formula>E35&gt;D35</formula>
    </cfRule>
  </conditionalFormatting>
  <conditionalFormatting sqref="E35">
    <cfRule type="expression" dxfId="1" priority="345">
      <formula>AND(E71&gt;D71,D71&gt;0)</formula>
    </cfRule>
  </conditionalFormatting>
  <conditionalFormatting sqref="E71">
    <cfRule type="expression" dxfId="1" priority="346">
      <formula>AND(E71&gt;D71,D71&gt;0)</formula>
    </cfRule>
  </conditionalFormatting>
  <conditionalFormatting sqref="F11">
    <cfRule type="expression" dxfId="0" priority="347">
      <formula>F35&gt;E35</formula>
    </cfRule>
  </conditionalFormatting>
  <conditionalFormatting sqref="F11">
    <cfRule type="expression" dxfId="1" priority="348">
      <formula>AND(F71&gt;E71,E71&gt;0)</formula>
    </cfRule>
  </conditionalFormatting>
  <conditionalFormatting sqref="F35">
    <cfRule type="expression" dxfId="0" priority="349">
      <formula>F35&gt;E35</formula>
    </cfRule>
  </conditionalFormatting>
  <conditionalFormatting sqref="F35">
    <cfRule type="expression" dxfId="1" priority="350">
      <formula>AND(F71&gt;E71,E71&gt;0)</formula>
    </cfRule>
  </conditionalFormatting>
  <conditionalFormatting sqref="F71">
    <cfRule type="expression" dxfId="1" priority="351">
      <formula>AND(F71&gt;E71,E71&gt;0)</formula>
    </cfRule>
  </conditionalFormatting>
  <conditionalFormatting sqref="G11">
    <cfRule type="expression" dxfId="0" priority="352">
      <formula>G35&gt;F35</formula>
    </cfRule>
  </conditionalFormatting>
  <conditionalFormatting sqref="G11">
    <cfRule type="expression" dxfId="1" priority="353">
      <formula>AND(G71&gt;F71,F71&gt;0)</formula>
    </cfRule>
  </conditionalFormatting>
  <conditionalFormatting sqref="G35">
    <cfRule type="expression" dxfId="0" priority="354">
      <formula>G35&gt;F35</formula>
    </cfRule>
  </conditionalFormatting>
  <conditionalFormatting sqref="G35">
    <cfRule type="expression" dxfId="1" priority="355">
      <formula>AND(G71&gt;F71,F71&gt;0)</formula>
    </cfRule>
  </conditionalFormatting>
  <conditionalFormatting sqref="G71">
    <cfRule type="expression" dxfId="1" priority="356">
      <formula>AND(G71&gt;F71,F71&gt;0)</formula>
    </cfRule>
  </conditionalFormatting>
  <conditionalFormatting sqref="H11">
    <cfRule type="expression" dxfId="0" priority="357">
      <formula>H35&gt;G35</formula>
    </cfRule>
  </conditionalFormatting>
  <conditionalFormatting sqref="H11">
    <cfRule type="expression" dxfId="1" priority="358">
      <formula>AND(H71&gt;G71,G71&gt;0)</formula>
    </cfRule>
  </conditionalFormatting>
  <conditionalFormatting sqref="H35">
    <cfRule type="expression" dxfId="0" priority="359">
      <formula>H35&gt;G35</formula>
    </cfRule>
  </conditionalFormatting>
  <conditionalFormatting sqref="H35">
    <cfRule type="expression" dxfId="1" priority="360">
      <formula>AND(H71&gt;G71,G71&gt;0)</formula>
    </cfRule>
  </conditionalFormatting>
  <conditionalFormatting sqref="H71">
    <cfRule type="expression" dxfId="1" priority="361">
      <formula>AND(H71&gt;G71,G71&gt;0)</formula>
    </cfRule>
  </conditionalFormatting>
  <conditionalFormatting sqref="I11">
    <cfRule type="expression" dxfId="0" priority="362">
      <formula>I35&gt;H35</formula>
    </cfRule>
  </conditionalFormatting>
  <conditionalFormatting sqref="I11">
    <cfRule type="expression" dxfId="1" priority="363">
      <formula>AND(I71&gt;H71,H71&gt;0)</formula>
    </cfRule>
  </conditionalFormatting>
  <conditionalFormatting sqref="I35">
    <cfRule type="expression" dxfId="0" priority="364">
      <formula>I35&gt;H35</formula>
    </cfRule>
  </conditionalFormatting>
  <conditionalFormatting sqref="I35">
    <cfRule type="expression" dxfId="1" priority="365">
      <formula>AND(I71&gt;H71,H71&gt;0)</formula>
    </cfRule>
  </conditionalFormatting>
  <conditionalFormatting sqref="I71">
    <cfRule type="expression" dxfId="1" priority="366">
      <formula>AND(I71&gt;H71,H71&gt;0)</formula>
    </cfRule>
  </conditionalFormatting>
  <conditionalFormatting sqref="J11">
    <cfRule type="expression" dxfId="0" priority="367">
      <formula>J35&gt;I35</formula>
    </cfRule>
  </conditionalFormatting>
  <conditionalFormatting sqref="J11">
    <cfRule type="expression" dxfId="1" priority="368">
      <formula>AND(J71&gt;I71,I71&gt;0)</formula>
    </cfRule>
  </conditionalFormatting>
  <conditionalFormatting sqref="J35">
    <cfRule type="expression" dxfId="0" priority="369">
      <formula>J35&gt;I35</formula>
    </cfRule>
  </conditionalFormatting>
  <conditionalFormatting sqref="J35">
    <cfRule type="expression" dxfId="1" priority="370">
      <formula>AND(J71&gt;I71,I71&gt;0)</formula>
    </cfRule>
  </conditionalFormatting>
  <conditionalFormatting sqref="J71">
    <cfRule type="expression" dxfId="1" priority="371">
      <formula>AND(J71&gt;I71,I71&gt;0)</formula>
    </cfRule>
  </conditionalFormatting>
  <conditionalFormatting sqref="K11">
    <cfRule type="expression" dxfId="0" priority="372">
      <formula>K35&gt;J35</formula>
    </cfRule>
  </conditionalFormatting>
  <conditionalFormatting sqref="K11">
    <cfRule type="expression" dxfId="1" priority="373">
      <formula>AND(K71&gt;J71,J71&gt;0)</formula>
    </cfRule>
  </conditionalFormatting>
  <conditionalFormatting sqref="K35">
    <cfRule type="expression" dxfId="0" priority="374">
      <formula>K35&gt;J35</formula>
    </cfRule>
  </conditionalFormatting>
  <conditionalFormatting sqref="K35">
    <cfRule type="expression" dxfId="1" priority="375">
      <formula>AND(K71&gt;J71,J71&gt;0)</formula>
    </cfRule>
  </conditionalFormatting>
  <conditionalFormatting sqref="K71">
    <cfRule type="expression" dxfId="1" priority="376">
      <formula>AND(K71&gt;J71,J71&gt;0)</formula>
    </cfRule>
  </conditionalFormatting>
  <conditionalFormatting sqref="B11:K11">
    <cfRule type="expression" dxfId="2" priority="377">
      <formula>AND(ISNUMBER(B11),B11&gt;$B$50)</formula>
    </cfRule>
  </conditionalFormatting>
  <conditionalFormatting sqref="B12">
    <cfRule type="expression" dxfId="0" priority="378">
      <formula>B36&gt;1</formula>
    </cfRule>
  </conditionalFormatting>
  <conditionalFormatting sqref="B12">
    <cfRule type="expression" dxfId="1" priority="379">
      <formula>AND(B72&gt;1,1&gt;0)</formula>
    </cfRule>
  </conditionalFormatting>
  <conditionalFormatting sqref="B36">
    <cfRule type="expression" dxfId="0" priority="380">
      <formula>B36&gt;1</formula>
    </cfRule>
  </conditionalFormatting>
  <conditionalFormatting sqref="B36">
    <cfRule type="expression" dxfId="1" priority="381">
      <formula>AND(B72&gt;1,1&gt;0)</formula>
    </cfRule>
  </conditionalFormatting>
  <conditionalFormatting sqref="C12">
    <cfRule type="expression" dxfId="0" priority="382">
      <formula>C36&gt;B36</formula>
    </cfRule>
  </conditionalFormatting>
  <conditionalFormatting sqref="C12">
    <cfRule type="expression" dxfId="1" priority="383">
      <formula>AND(C72&gt;B72,B72&gt;0)</formula>
    </cfRule>
  </conditionalFormatting>
  <conditionalFormatting sqref="C36">
    <cfRule type="expression" dxfId="0" priority="384">
      <formula>C36&gt;B36</formula>
    </cfRule>
  </conditionalFormatting>
  <conditionalFormatting sqref="C36">
    <cfRule type="expression" dxfId="1" priority="385">
      <formula>AND(C72&gt;B72,B72&gt;0)</formula>
    </cfRule>
  </conditionalFormatting>
  <conditionalFormatting sqref="C72">
    <cfRule type="expression" dxfId="1" priority="386">
      <formula>AND(C72&gt;B72,B72&gt;0)</formula>
    </cfRule>
  </conditionalFormatting>
  <conditionalFormatting sqref="D12">
    <cfRule type="expression" dxfId="0" priority="387">
      <formula>D36&gt;C36</formula>
    </cfRule>
  </conditionalFormatting>
  <conditionalFormatting sqref="D12">
    <cfRule type="expression" dxfId="1" priority="388">
      <formula>AND(D72&gt;C72,C72&gt;0)</formula>
    </cfRule>
  </conditionalFormatting>
  <conditionalFormatting sqref="D36">
    <cfRule type="expression" dxfId="0" priority="389">
      <formula>D36&gt;C36</formula>
    </cfRule>
  </conditionalFormatting>
  <conditionalFormatting sqref="D36">
    <cfRule type="expression" dxfId="1" priority="390">
      <formula>AND(D72&gt;C72,C72&gt;0)</formula>
    </cfRule>
  </conditionalFormatting>
  <conditionalFormatting sqref="D72">
    <cfRule type="expression" dxfId="1" priority="391">
      <formula>AND(D72&gt;C72,C72&gt;0)</formula>
    </cfRule>
  </conditionalFormatting>
  <conditionalFormatting sqref="E12">
    <cfRule type="expression" dxfId="0" priority="392">
      <formula>E36&gt;D36</formula>
    </cfRule>
  </conditionalFormatting>
  <conditionalFormatting sqref="E12">
    <cfRule type="expression" dxfId="1" priority="393">
      <formula>AND(E72&gt;D72,D72&gt;0)</formula>
    </cfRule>
  </conditionalFormatting>
  <conditionalFormatting sqref="E36">
    <cfRule type="expression" dxfId="0" priority="394">
      <formula>E36&gt;D36</formula>
    </cfRule>
  </conditionalFormatting>
  <conditionalFormatting sqref="E36">
    <cfRule type="expression" dxfId="1" priority="395">
      <formula>AND(E72&gt;D72,D72&gt;0)</formula>
    </cfRule>
  </conditionalFormatting>
  <conditionalFormatting sqref="E72">
    <cfRule type="expression" dxfId="1" priority="396">
      <formula>AND(E72&gt;D72,D72&gt;0)</formula>
    </cfRule>
  </conditionalFormatting>
  <conditionalFormatting sqref="F12">
    <cfRule type="expression" dxfId="0" priority="397">
      <formula>F36&gt;E36</formula>
    </cfRule>
  </conditionalFormatting>
  <conditionalFormatting sqref="F12">
    <cfRule type="expression" dxfId="1" priority="398">
      <formula>AND(F72&gt;E72,E72&gt;0)</formula>
    </cfRule>
  </conditionalFormatting>
  <conditionalFormatting sqref="F36">
    <cfRule type="expression" dxfId="0" priority="399">
      <formula>F36&gt;E36</formula>
    </cfRule>
  </conditionalFormatting>
  <conditionalFormatting sqref="F36">
    <cfRule type="expression" dxfId="1" priority="400">
      <formula>AND(F72&gt;E72,E72&gt;0)</formula>
    </cfRule>
  </conditionalFormatting>
  <conditionalFormatting sqref="F72">
    <cfRule type="expression" dxfId="1" priority="401">
      <formula>AND(F72&gt;E72,E72&gt;0)</formula>
    </cfRule>
  </conditionalFormatting>
  <conditionalFormatting sqref="G12">
    <cfRule type="expression" dxfId="0" priority="402">
      <formula>G36&gt;F36</formula>
    </cfRule>
  </conditionalFormatting>
  <conditionalFormatting sqref="G12">
    <cfRule type="expression" dxfId="1" priority="403">
      <formula>AND(G72&gt;F72,F72&gt;0)</formula>
    </cfRule>
  </conditionalFormatting>
  <conditionalFormatting sqref="G36">
    <cfRule type="expression" dxfId="0" priority="404">
      <formula>G36&gt;F36</formula>
    </cfRule>
  </conditionalFormatting>
  <conditionalFormatting sqref="G36">
    <cfRule type="expression" dxfId="1" priority="405">
      <formula>AND(G72&gt;F72,F72&gt;0)</formula>
    </cfRule>
  </conditionalFormatting>
  <conditionalFormatting sqref="G72">
    <cfRule type="expression" dxfId="1" priority="406">
      <formula>AND(G72&gt;F72,F72&gt;0)</formula>
    </cfRule>
  </conditionalFormatting>
  <conditionalFormatting sqref="H12">
    <cfRule type="expression" dxfId="0" priority="407">
      <formula>H36&gt;G36</formula>
    </cfRule>
  </conditionalFormatting>
  <conditionalFormatting sqref="H12">
    <cfRule type="expression" dxfId="1" priority="408">
      <formula>AND(H72&gt;G72,G72&gt;0)</formula>
    </cfRule>
  </conditionalFormatting>
  <conditionalFormatting sqref="H36">
    <cfRule type="expression" dxfId="0" priority="409">
      <formula>H36&gt;G36</formula>
    </cfRule>
  </conditionalFormatting>
  <conditionalFormatting sqref="H36">
    <cfRule type="expression" dxfId="1" priority="410">
      <formula>AND(H72&gt;G72,G72&gt;0)</formula>
    </cfRule>
  </conditionalFormatting>
  <conditionalFormatting sqref="H72">
    <cfRule type="expression" dxfId="1" priority="411">
      <formula>AND(H72&gt;G72,G72&gt;0)</formula>
    </cfRule>
  </conditionalFormatting>
  <conditionalFormatting sqref="I12">
    <cfRule type="expression" dxfId="0" priority="412">
      <formula>I36&gt;H36</formula>
    </cfRule>
  </conditionalFormatting>
  <conditionalFormatting sqref="I12">
    <cfRule type="expression" dxfId="1" priority="413">
      <formula>AND(I72&gt;H72,H72&gt;0)</formula>
    </cfRule>
  </conditionalFormatting>
  <conditionalFormatting sqref="I36">
    <cfRule type="expression" dxfId="0" priority="414">
      <formula>I36&gt;H36</formula>
    </cfRule>
  </conditionalFormatting>
  <conditionalFormatting sqref="I36">
    <cfRule type="expression" dxfId="1" priority="415">
      <formula>AND(I72&gt;H72,H72&gt;0)</formula>
    </cfRule>
  </conditionalFormatting>
  <conditionalFormatting sqref="I72">
    <cfRule type="expression" dxfId="1" priority="416">
      <formula>AND(I72&gt;H72,H72&gt;0)</formula>
    </cfRule>
  </conditionalFormatting>
  <conditionalFormatting sqref="J12">
    <cfRule type="expression" dxfId="0" priority="417">
      <formula>J36&gt;I36</formula>
    </cfRule>
  </conditionalFormatting>
  <conditionalFormatting sqref="J12">
    <cfRule type="expression" dxfId="1" priority="418">
      <formula>AND(J72&gt;I72,I72&gt;0)</formula>
    </cfRule>
  </conditionalFormatting>
  <conditionalFormatting sqref="J36">
    <cfRule type="expression" dxfId="0" priority="419">
      <formula>J36&gt;I36</formula>
    </cfRule>
  </conditionalFormatting>
  <conditionalFormatting sqref="J36">
    <cfRule type="expression" dxfId="1" priority="420">
      <formula>AND(J72&gt;I72,I72&gt;0)</formula>
    </cfRule>
  </conditionalFormatting>
  <conditionalFormatting sqref="J72">
    <cfRule type="expression" dxfId="1" priority="421">
      <formula>AND(J72&gt;I72,I72&gt;0)</formula>
    </cfRule>
  </conditionalFormatting>
  <conditionalFormatting sqref="K12">
    <cfRule type="expression" dxfId="0" priority="422">
      <formula>K36&gt;J36</formula>
    </cfRule>
  </conditionalFormatting>
  <conditionalFormatting sqref="K12">
    <cfRule type="expression" dxfId="1" priority="423">
      <formula>AND(K72&gt;J72,J72&gt;0)</formula>
    </cfRule>
  </conditionalFormatting>
  <conditionalFormatting sqref="K36">
    <cfRule type="expression" dxfId="0" priority="424">
      <formula>K36&gt;J36</formula>
    </cfRule>
  </conditionalFormatting>
  <conditionalFormatting sqref="K36">
    <cfRule type="expression" dxfId="1" priority="425">
      <formula>AND(K72&gt;J72,J72&gt;0)</formula>
    </cfRule>
  </conditionalFormatting>
  <conditionalFormatting sqref="K72">
    <cfRule type="expression" dxfId="1" priority="426">
      <formula>AND(K72&gt;J72,J72&gt;0)</formula>
    </cfRule>
  </conditionalFormatting>
  <conditionalFormatting sqref="B12:K12">
    <cfRule type="expression" dxfId="2" priority="427">
      <formula>AND(ISNUMBER(B12),B12&gt;$B$50)</formula>
    </cfRule>
  </conditionalFormatting>
  <conditionalFormatting sqref="B13">
    <cfRule type="expression" dxfId="0" priority="428">
      <formula>B37&gt;1</formula>
    </cfRule>
  </conditionalFormatting>
  <conditionalFormatting sqref="B13">
    <cfRule type="expression" dxfId="1" priority="429">
      <formula>AND(B73&gt;1,1&gt;0)</formula>
    </cfRule>
  </conditionalFormatting>
  <conditionalFormatting sqref="B37">
    <cfRule type="expression" dxfId="0" priority="430">
      <formula>B37&gt;1</formula>
    </cfRule>
  </conditionalFormatting>
  <conditionalFormatting sqref="B37">
    <cfRule type="expression" dxfId="1" priority="431">
      <formula>AND(B73&gt;1,1&gt;0)</formula>
    </cfRule>
  </conditionalFormatting>
  <conditionalFormatting sqref="C13">
    <cfRule type="expression" dxfId="0" priority="432">
      <formula>C37&gt;B37</formula>
    </cfRule>
  </conditionalFormatting>
  <conditionalFormatting sqref="C13">
    <cfRule type="expression" dxfId="1" priority="433">
      <formula>AND(C73&gt;B73,B73&gt;0)</formula>
    </cfRule>
  </conditionalFormatting>
  <conditionalFormatting sqref="C37">
    <cfRule type="expression" dxfId="0" priority="434">
      <formula>C37&gt;B37</formula>
    </cfRule>
  </conditionalFormatting>
  <conditionalFormatting sqref="C37">
    <cfRule type="expression" dxfId="1" priority="435">
      <formula>AND(C73&gt;B73,B73&gt;0)</formula>
    </cfRule>
  </conditionalFormatting>
  <conditionalFormatting sqref="C73">
    <cfRule type="expression" dxfId="1" priority="436">
      <formula>AND(C73&gt;B73,B73&gt;0)</formula>
    </cfRule>
  </conditionalFormatting>
  <conditionalFormatting sqref="D13">
    <cfRule type="expression" dxfId="0" priority="437">
      <formula>D37&gt;C37</formula>
    </cfRule>
  </conditionalFormatting>
  <conditionalFormatting sqref="D13">
    <cfRule type="expression" dxfId="1" priority="438">
      <formula>AND(D73&gt;C73,C73&gt;0)</formula>
    </cfRule>
  </conditionalFormatting>
  <conditionalFormatting sqref="D37">
    <cfRule type="expression" dxfId="0" priority="439">
      <formula>D37&gt;C37</formula>
    </cfRule>
  </conditionalFormatting>
  <conditionalFormatting sqref="D37">
    <cfRule type="expression" dxfId="1" priority="440">
      <formula>AND(D73&gt;C73,C73&gt;0)</formula>
    </cfRule>
  </conditionalFormatting>
  <conditionalFormatting sqref="D73">
    <cfRule type="expression" dxfId="1" priority="441">
      <formula>AND(D73&gt;C73,C73&gt;0)</formula>
    </cfRule>
  </conditionalFormatting>
  <conditionalFormatting sqref="E13">
    <cfRule type="expression" dxfId="0" priority="442">
      <formula>E37&gt;D37</formula>
    </cfRule>
  </conditionalFormatting>
  <conditionalFormatting sqref="E13">
    <cfRule type="expression" dxfId="1" priority="443">
      <formula>AND(E73&gt;D73,D73&gt;0)</formula>
    </cfRule>
  </conditionalFormatting>
  <conditionalFormatting sqref="E37">
    <cfRule type="expression" dxfId="0" priority="444">
      <formula>E37&gt;D37</formula>
    </cfRule>
  </conditionalFormatting>
  <conditionalFormatting sqref="E37">
    <cfRule type="expression" dxfId="1" priority="445">
      <formula>AND(E73&gt;D73,D73&gt;0)</formula>
    </cfRule>
  </conditionalFormatting>
  <conditionalFormatting sqref="E73">
    <cfRule type="expression" dxfId="1" priority="446">
      <formula>AND(E73&gt;D73,D73&gt;0)</formula>
    </cfRule>
  </conditionalFormatting>
  <conditionalFormatting sqref="F13">
    <cfRule type="expression" dxfId="0" priority="447">
      <formula>F37&gt;E37</formula>
    </cfRule>
  </conditionalFormatting>
  <conditionalFormatting sqref="F13">
    <cfRule type="expression" dxfId="1" priority="448">
      <formula>AND(F73&gt;E73,E73&gt;0)</formula>
    </cfRule>
  </conditionalFormatting>
  <conditionalFormatting sqref="F37">
    <cfRule type="expression" dxfId="0" priority="449">
      <formula>F37&gt;E37</formula>
    </cfRule>
  </conditionalFormatting>
  <conditionalFormatting sqref="F37">
    <cfRule type="expression" dxfId="1" priority="450">
      <formula>AND(F73&gt;E73,E73&gt;0)</formula>
    </cfRule>
  </conditionalFormatting>
  <conditionalFormatting sqref="F73">
    <cfRule type="expression" dxfId="1" priority="451">
      <formula>AND(F73&gt;E73,E73&gt;0)</formula>
    </cfRule>
  </conditionalFormatting>
  <conditionalFormatting sqref="G13">
    <cfRule type="expression" dxfId="0" priority="452">
      <formula>G37&gt;F37</formula>
    </cfRule>
  </conditionalFormatting>
  <conditionalFormatting sqref="G13">
    <cfRule type="expression" dxfId="1" priority="453">
      <formula>AND(G73&gt;F73,F73&gt;0)</formula>
    </cfRule>
  </conditionalFormatting>
  <conditionalFormatting sqref="G37">
    <cfRule type="expression" dxfId="0" priority="454">
      <formula>G37&gt;F37</formula>
    </cfRule>
  </conditionalFormatting>
  <conditionalFormatting sqref="G37">
    <cfRule type="expression" dxfId="1" priority="455">
      <formula>AND(G73&gt;F73,F73&gt;0)</formula>
    </cfRule>
  </conditionalFormatting>
  <conditionalFormatting sqref="G73">
    <cfRule type="expression" dxfId="1" priority="456">
      <formula>AND(G73&gt;F73,F73&gt;0)</formula>
    </cfRule>
  </conditionalFormatting>
  <conditionalFormatting sqref="H13">
    <cfRule type="expression" dxfId="0" priority="457">
      <formula>H37&gt;G37</formula>
    </cfRule>
  </conditionalFormatting>
  <conditionalFormatting sqref="H13">
    <cfRule type="expression" dxfId="1" priority="458">
      <formula>AND(H73&gt;G73,G73&gt;0)</formula>
    </cfRule>
  </conditionalFormatting>
  <conditionalFormatting sqref="H37">
    <cfRule type="expression" dxfId="0" priority="459">
      <formula>H37&gt;G37</formula>
    </cfRule>
  </conditionalFormatting>
  <conditionalFormatting sqref="H37">
    <cfRule type="expression" dxfId="1" priority="460">
      <formula>AND(H73&gt;G73,G73&gt;0)</formula>
    </cfRule>
  </conditionalFormatting>
  <conditionalFormatting sqref="H73">
    <cfRule type="expression" dxfId="1" priority="461">
      <formula>AND(H73&gt;G73,G73&gt;0)</formula>
    </cfRule>
  </conditionalFormatting>
  <conditionalFormatting sqref="I13">
    <cfRule type="expression" dxfId="0" priority="462">
      <formula>I37&gt;H37</formula>
    </cfRule>
  </conditionalFormatting>
  <conditionalFormatting sqref="I13">
    <cfRule type="expression" dxfId="1" priority="463">
      <formula>AND(I73&gt;H73,H73&gt;0)</formula>
    </cfRule>
  </conditionalFormatting>
  <conditionalFormatting sqref="I37">
    <cfRule type="expression" dxfId="0" priority="464">
      <formula>I37&gt;H37</formula>
    </cfRule>
  </conditionalFormatting>
  <conditionalFormatting sqref="I37">
    <cfRule type="expression" dxfId="1" priority="465">
      <formula>AND(I73&gt;H73,H73&gt;0)</formula>
    </cfRule>
  </conditionalFormatting>
  <conditionalFormatting sqref="I73">
    <cfRule type="expression" dxfId="1" priority="466">
      <formula>AND(I73&gt;H73,H73&gt;0)</formula>
    </cfRule>
  </conditionalFormatting>
  <conditionalFormatting sqref="J13">
    <cfRule type="expression" dxfId="0" priority="467">
      <formula>J37&gt;I37</formula>
    </cfRule>
  </conditionalFormatting>
  <conditionalFormatting sqref="J13">
    <cfRule type="expression" dxfId="1" priority="468">
      <formula>AND(J73&gt;I73,I73&gt;0)</formula>
    </cfRule>
  </conditionalFormatting>
  <conditionalFormatting sqref="J37">
    <cfRule type="expression" dxfId="0" priority="469">
      <formula>J37&gt;I37</formula>
    </cfRule>
  </conditionalFormatting>
  <conditionalFormatting sqref="J37">
    <cfRule type="expression" dxfId="1" priority="470">
      <formula>AND(J73&gt;I73,I73&gt;0)</formula>
    </cfRule>
  </conditionalFormatting>
  <conditionalFormatting sqref="J73">
    <cfRule type="expression" dxfId="1" priority="471">
      <formula>AND(J73&gt;I73,I73&gt;0)</formula>
    </cfRule>
  </conditionalFormatting>
  <conditionalFormatting sqref="K13">
    <cfRule type="expression" dxfId="0" priority="472">
      <formula>K37&gt;J37</formula>
    </cfRule>
  </conditionalFormatting>
  <conditionalFormatting sqref="K13">
    <cfRule type="expression" dxfId="1" priority="473">
      <formula>AND(K73&gt;J73,J73&gt;0)</formula>
    </cfRule>
  </conditionalFormatting>
  <conditionalFormatting sqref="K37">
    <cfRule type="expression" dxfId="0" priority="474">
      <formula>K37&gt;J37</formula>
    </cfRule>
  </conditionalFormatting>
  <conditionalFormatting sqref="K37">
    <cfRule type="expression" dxfId="1" priority="475">
      <formula>AND(K73&gt;J73,J73&gt;0)</formula>
    </cfRule>
  </conditionalFormatting>
  <conditionalFormatting sqref="K73">
    <cfRule type="expression" dxfId="1" priority="476">
      <formula>AND(K73&gt;J73,J73&gt;0)</formula>
    </cfRule>
  </conditionalFormatting>
  <conditionalFormatting sqref="B13:K13">
    <cfRule type="expression" dxfId="2" priority="477">
      <formula>AND(ISNUMBER(B13),B13&gt;$B$50)</formula>
    </cfRule>
  </conditionalFormatting>
  <conditionalFormatting sqref="B14">
    <cfRule type="expression" dxfId="0" priority="478">
      <formula>B38&gt;1</formula>
    </cfRule>
  </conditionalFormatting>
  <conditionalFormatting sqref="B14">
    <cfRule type="expression" dxfId="1" priority="479">
      <formula>AND(B74&gt;1,1&gt;0)</formula>
    </cfRule>
  </conditionalFormatting>
  <conditionalFormatting sqref="B38">
    <cfRule type="expression" dxfId="0" priority="480">
      <formula>B38&gt;1</formula>
    </cfRule>
  </conditionalFormatting>
  <conditionalFormatting sqref="B38">
    <cfRule type="expression" dxfId="1" priority="481">
      <formula>AND(B74&gt;1,1&gt;0)</formula>
    </cfRule>
  </conditionalFormatting>
  <conditionalFormatting sqref="C14">
    <cfRule type="expression" dxfId="3" priority="482">
      <formula>AND(C58="Automática",B58="Manual")</formula>
    </cfRule>
  </conditionalFormatting>
  <conditionalFormatting sqref="C14">
    <cfRule type="expression" dxfId="0" priority="483">
      <formula>C38&gt;B38</formula>
    </cfRule>
  </conditionalFormatting>
  <conditionalFormatting sqref="C14">
    <cfRule type="expression" dxfId="1" priority="484">
      <formula>AND(C74&gt;B74,B74&gt;0)</formula>
    </cfRule>
  </conditionalFormatting>
  <conditionalFormatting sqref="C38">
    <cfRule type="expression" dxfId="3" priority="485">
      <formula>AND(C58="Automática",B58="Manual")</formula>
    </cfRule>
  </conditionalFormatting>
  <conditionalFormatting sqref="C38">
    <cfRule type="expression" dxfId="0" priority="486">
      <formula>C38&gt;B38</formula>
    </cfRule>
  </conditionalFormatting>
  <conditionalFormatting sqref="C38">
    <cfRule type="expression" dxfId="1" priority="487">
      <formula>AND(C74&gt;B74,B74&gt;0)</formula>
    </cfRule>
  </conditionalFormatting>
  <conditionalFormatting sqref="C58">
    <cfRule type="expression" dxfId="3" priority="488">
      <formula>AND(C58="Automática",B58="Manual")</formula>
    </cfRule>
  </conditionalFormatting>
  <conditionalFormatting sqref="C74">
    <cfRule type="expression" dxfId="1" priority="489">
      <formula>AND(C74&gt;B74,B74&gt;0)</formula>
    </cfRule>
  </conditionalFormatting>
  <conditionalFormatting sqref="D14">
    <cfRule type="expression" dxfId="3" priority="490">
      <formula>AND(D58="Automática",C58="Manual")</formula>
    </cfRule>
  </conditionalFormatting>
  <conditionalFormatting sqref="D14">
    <cfRule type="expression" dxfId="0" priority="491">
      <formula>D38&gt;C38</formula>
    </cfRule>
  </conditionalFormatting>
  <conditionalFormatting sqref="D14">
    <cfRule type="expression" dxfId="1" priority="492">
      <formula>AND(D74&gt;C74,C74&gt;0)</formula>
    </cfRule>
  </conditionalFormatting>
  <conditionalFormatting sqref="D38">
    <cfRule type="expression" dxfId="3" priority="493">
      <formula>AND(D58="Automática",C58="Manual")</formula>
    </cfRule>
  </conditionalFormatting>
  <conditionalFormatting sqref="D38">
    <cfRule type="expression" dxfId="0" priority="494">
      <formula>D38&gt;C38</formula>
    </cfRule>
  </conditionalFormatting>
  <conditionalFormatting sqref="D38">
    <cfRule type="expression" dxfId="1" priority="495">
      <formula>AND(D74&gt;C74,C74&gt;0)</formula>
    </cfRule>
  </conditionalFormatting>
  <conditionalFormatting sqref="D58">
    <cfRule type="expression" dxfId="3" priority="496">
      <formula>AND(D58="Automática",C58="Manual")</formula>
    </cfRule>
  </conditionalFormatting>
  <conditionalFormatting sqref="D74">
    <cfRule type="expression" dxfId="1" priority="497">
      <formula>AND(D74&gt;C74,C74&gt;0)</formula>
    </cfRule>
  </conditionalFormatting>
  <conditionalFormatting sqref="E14">
    <cfRule type="expression" dxfId="3" priority="498">
      <formula>AND(E58="Automática",D58="Manual")</formula>
    </cfRule>
  </conditionalFormatting>
  <conditionalFormatting sqref="E14">
    <cfRule type="expression" dxfId="0" priority="499">
      <formula>E38&gt;D38</formula>
    </cfRule>
  </conditionalFormatting>
  <conditionalFormatting sqref="E14">
    <cfRule type="expression" dxfId="1" priority="500">
      <formula>AND(E74&gt;D74,D74&gt;0)</formula>
    </cfRule>
  </conditionalFormatting>
  <conditionalFormatting sqref="E38">
    <cfRule type="expression" dxfId="3" priority="501">
      <formula>AND(E58="Automática",D58="Manual")</formula>
    </cfRule>
  </conditionalFormatting>
  <conditionalFormatting sqref="E38">
    <cfRule type="expression" dxfId="0" priority="502">
      <formula>E38&gt;D38</formula>
    </cfRule>
  </conditionalFormatting>
  <conditionalFormatting sqref="E38">
    <cfRule type="expression" dxfId="1" priority="503">
      <formula>AND(E74&gt;D74,D74&gt;0)</formula>
    </cfRule>
  </conditionalFormatting>
  <conditionalFormatting sqref="E58">
    <cfRule type="expression" dxfId="3" priority="504">
      <formula>AND(E58="Automática",D58="Manual")</formula>
    </cfRule>
  </conditionalFormatting>
  <conditionalFormatting sqref="E74">
    <cfRule type="expression" dxfId="1" priority="505">
      <formula>AND(E74&gt;D74,D74&gt;0)</formula>
    </cfRule>
  </conditionalFormatting>
  <conditionalFormatting sqref="F14">
    <cfRule type="expression" dxfId="3" priority="506">
      <formula>AND(F58="Automática",E58="Manual")</formula>
    </cfRule>
  </conditionalFormatting>
  <conditionalFormatting sqref="F14">
    <cfRule type="expression" dxfId="0" priority="507">
      <formula>F38&gt;E38</formula>
    </cfRule>
  </conditionalFormatting>
  <conditionalFormatting sqref="F14">
    <cfRule type="expression" dxfId="1" priority="508">
      <formula>AND(F74&gt;E74,E74&gt;0)</formula>
    </cfRule>
  </conditionalFormatting>
  <conditionalFormatting sqref="F38">
    <cfRule type="expression" dxfId="3" priority="509">
      <formula>AND(F58="Automática",E58="Manual")</formula>
    </cfRule>
  </conditionalFormatting>
  <conditionalFormatting sqref="F38">
    <cfRule type="expression" dxfId="0" priority="510">
      <formula>F38&gt;E38</formula>
    </cfRule>
  </conditionalFormatting>
  <conditionalFormatting sqref="F38">
    <cfRule type="expression" dxfId="1" priority="511">
      <formula>AND(F74&gt;E74,E74&gt;0)</formula>
    </cfRule>
  </conditionalFormatting>
  <conditionalFormatting sqref="F58">
    <cfRule type="expression" dxfId="3" priority="512">
      <formula>AND(F58="Automática",E58="Manual")</formula>
    </cfRule>
  </conditionalFormatting>
  <conditionalFormatting sqref="F74">
    <cfRule type="expression" dxfId="1" priority="513">
      <formula>AND(F74&gt;E74,E74&gt;0)</formula>
    </cfRule>
  </conditionalFormatting>
  <conditionalFormatting sqref="G14">
    <cfRule type="expression" dxfId="3" priority="514">
      <formula>AND(G58="Automática",F58="Manual")</formula>
    </cfRule>
  </conditionalFormatting>
  <conditionalFormatting sqref="G14">
    <cfRule type="expression" dxfId="0" priority="515">
      <formula>G38&gt;F38</formula>
    </cfRule>
  </conditionalFormatting>
  <conditionalFormatting sqref="G14">
    <cfRule type="expression" dxfId="1" priority="516">
      <formula>AND(G74&gt;F74,F74&gt;0)</formula>
    </cfRule>
  </conditionalFormatting>
  <conditionalFormatting sqref="G38">
    <cfRule type="expression" dxfId="3" priority="517">
      <formula>AND(G58="Automática",F58="Manual")</formula>
    </cfRule>
  </conditionalFormatting>
  <conditionalFormatting sqref="G38">
    <cfRule type="expression" dxfId="0" priority="518">
      <formula>G38&gt;F38</formula>
    </cfRule>
  </conditionalFormatting>
  <conditionalFormatting sqref="G38">
    <cfRule type="expression" dxfId="1" priority="519">
      <formula>AND(G74&gt;F74,F74&gt;0)</formula>
    </cfRule>
  </conditionalFormatting>
  <conditionalFormatting sqref="G58">
    <cfRule type="expression" dxfId="3" priority="520">
      <formula>AND(G58="Automática",F58="Manual")</formula>
    </cfRule>
  </conditionalFormatting>
  <conditionalFormatting sqref="G74">
    <cfRule type="expression" dxfId="1" priority="521">
      <formula>AND(G74&gt;F74,F74&gt;0)</formula>
    </cfRule>
  </conditionalFormatting>
  <conditionalFormatting sqref="H14">
    <cfRule type="expression" dxfId="3" priority="522">
      <formula>AND(H58="Automática",G58="Manual")</formula>
    </cfRule>
  </conditionalFormatting>
  <conditionalFormatting sqref="H14">
    <cfRule type="expression" dxfId="0" priority="523">
      <formula>H38&gt;G38</formula>
    </cfRule>
  </conditionalFormatting>
  <conditionalFormatting sqref="H14">
    <cfRule type="expression" dxfId="1" priority="524">
      <formula>AND(H74&gt;G74,G74&gt;0)</formula>
    </cfRule>
  </conditionalFormatting>
  <conditionalFormatting sqref="H38">
    <cfRule type="expression" dxfId="3" priority="525">
      <formula>AND(H58="Automática",G58="Manual")</formula>
    </cfRule>
  </conditionalFormatting>
  <conditionalFormatting sqref="H38">
    <cfRule type="expression" dxfId="0" priority="526">
      <formula>H38&gt;G38</formula>
    </cfRule>
  </conditionalFormatting>
  <conditionalFormatting sqref="H38">
    <cfRule type="expression" dxfId="1" priority="527">
      <formula>AND(H74&gt;G74,G74&gt;0)</formula>
    </cfRule>
  </conditionalFormatting>
  <conditionalFormatting sqref="H58">
    <cfRule type="expression" dxfId="3" priority="528">
      <formula>AND(H58="Automática",G58="Manual")</formula>
    </cfRule>
  </conditionalFormatting>
  <conditionalFormatting sqref="H74">
    <cfRule type="expression" dxfId="1" priority="529">
      <formula>AND(H74&gt;G74,G74&gt;0)</formula>
    </cfRule>
  </conditionalFormatting>
  <conditionalFormatting sqref="I14">
    <cfRule type="expression" dxfId="3" priority="530">
      <formula>AND(I58="Automática",H58="Manual")</formula>
    </cfRule>
  </conditionalFormatting>
  <conditionalFormatting sqref="I14">
    <cfRule type="expression" dxfId="0" priority="531">
      <formula>I38&gt;H38</formula>
    </cfRule>
  </conditionalFormatting>
  <conditionalFormatting sqref="I14">
    <cfRule type="expression" dxfId="1" priority="532">
      <formula>AND(I74&gt;H74,H74&gt;0)</formula>
    </cfRule>
  </conditionalFormatting>
  <conditionalFormatting sqref="I38">
    <cfRule type="expression" dxfId="3" priority="533">
      <formula>AND(I58="Automática",H58="Manual")</formula>
    </cfRule>
  </conditionalFormatting>
  <conditionalFormatting sqref="I38">
    <cfRule type="expression" dxfId="0" priority="534">
      <formula>I38&gt;H38</formula>
    </cfRule>
  </conditionalFormatting>
  <conditionalFormatting sqref="I38">
    <cfRule type="expression" dxfId="1" priority="535">
      <formula>AND(I74&gt;H74,H74&gt;0)</formula>
    </cfRule>
  </conditionalFormatting>
  <conditionalFormatting sqref="I58">
    <cfRule type="expression" dxfId="3" priority="536">
      <formula>AND(I58="Automática",H58="Manual")</formula>
    </cfRule>
  </conditionalFormatting>
  <conditionalFormatting sqref="I74">
    <cfRule type="expression" dxfId="1" priority="537">
      <formula>AND(I74&gt;H74,H74&gt;0)</formula>
    </cfRule>
  </conditionalFormatting>
  <conditionalFormatting sqref="J14">
    <cfRule type="expression" dxfId="3" priority="538">
      <formula>AND(J58="Automática",I58="Manual")</formula>
    </cfRule>
  </conditionalFormatting>
  <conditionalFormatting sqref="J14">
    <cfRule type="expression" dxfId="0" priority="539">
      <formula>J38&gt;I38</formula>
    </cfRule>
  </conditionalFormatting>
  <conditionalFormatting sqref="J14">
    <cfRule type="expression" dxfId="1" priority="540">
      <formula>AND(J74&gt;I74,I74&gt;0)</formula>
    </cfRule>
  </conditionalFormatting>
  <conditionalFormatting sqref="J38">
    <cfRule type="expression" dxfId="3" priority="541">
      <formula>AND(J58="Automática",I58="Manual")</formula>
    </cfRule>
  </conditionalFormatting>
  <conditionalFormatting sqref="J38">
    <cfRule type="expression" dxfId="0" priority="542">
      <formula>J38&gt;I38</formula>
    </cfRule>
  </conditionalFormatting>
  <conditionalFormatting sqref="J38">
    <cfRule type="expression" dxfId="1" priority="543">
      <formula>AND(J74&gt;I74,I74&gt;0)</formula>
    </cfRule>
  </conditionalFormatting>
  <conditionalFormatting sqref="J58">
    <cfRule type="expression" dxfId="3" priority="544">
      <formula>AND(J58="Automática",I58="Manual")</formula>
    </cfRule>
  </conditionalFormatting>
  <conditionalFormatting sqref="J74">
    <cfRule type="expression" dxfId="1" priority="545">
      <formula>AND(J74&gt;I74,I74&gt;0)</formula>
    </cfRule>
  </conditionalFormatting>
  <conditionalFormatting sqref="K14">
    <cfRule type="expression" dxfId="3" priority="546">
      <formula>AND(K58="Automática",J58="Manual")</formula>
    </cfRule>
  </conditionalFormatting>
  <conditionalFormatting sqref="K14">
    <cfRule type="expression" dxfId="0" priority="547">
      <formula>K38&gt;J38</formula>
    </cfRule>
  </conditionalFormatting>
  <conditionalFormatting sqref="K14">
    <cfRule type="expression" dxfId="1" priority="548">
      <formula>AND(K74&gt;J74,J74&gt;0)</formula>
    </cfRule>
  </conditionalFormatting>
  <conditionalFormatting sqref="K38">
    <cfRule type="expression" dxfId="3" priority="549">
      <formula>AND(K58="Automática",J58="Manual")</formula>
    </cfRule>
  </conditionalFormatting>
  <conditionalFormatting sqref="K38">
    <cfRule type="expression" dxfId="0" priority="550">
      <formula>K38&gt;J38</formula>
    </cfRule>
  </conditionalFormatting>
  <conditionalFormatting sqref="K38">
    <cfRule type="expression" dxfId="1" priority="551">
      <formula>AND(K74&gt;J74,J74&gt;0)</formula>
    </cfRule>
  </conditionalFormatting>
  <conditionalFormatting sqref="K58">
    <cfRule type="expression" dxfId="3" priority="552">
      <formula>AND(K58="Automática",J58="Manual")</formula>
    </cfRule>
  </conditionalFormatting>
  <conditionalFormatting sqref="K74">
    <cfRule type="expression" dxfId="1" priority="553">
      <formula>AND(K74&gt;J74,J74&gt;0)</formula>
    </cfRule>
  </conditionalFormatting>
  <conditionalFormatting sqref="B14:K14">
    <cfRule type="expression" dxfId="2" priority="554">
      <formula>AND(ISNUMBER(B14),B14&gt;$B$50)</formula>
    </cfRule>
  </conditionalFormatting>
  <conditionalFormatting sqref="B15">
    <cfRule type="expression" dxfId="0" priority="555">
      <formula>B39&gt;1</formula>
    </cfRule>
  </conditionalFormatting>
  <conditionalFormatting sqref="B15">
    <cfRule type="expression" dxfId="1" priority="556">
      <formula>AND(B75&gt;1,1&gt;0)</formula>
    </cfRule>
  </conditionalFormatting>
  <conditionalFormatting sqref="B39">
    <cfRule type="expression" dxfId="0" priority="557">
      <formula>B39&gt;1</formula>
    </cfRule>
  </conditionalFormatting>
  <conditionalFormatting sqref="B39">
    <cfRule type="expression" dxfId="1" priority="558">
      <formula>AND(B75&gt;1,1&gt;0)</formula>
    </cfRule>
  </conditionalFormatting>
  <conditionalFormatting sqref="C15">
    <cfRule type="expression" dxfId="0" priority="559">
      <formula>C39&gt;B39</formula>
    </cfRule>
  </conditionalFormatting>
  <conditionalFormatting sqref="C15">
    <cfRule type="expression" dxfId="1" priority="560">
      <formula>AND(C75&gt;B75,B75&gt;0)</formula>
    </cfRule>
  </conditionalFormatting>
  <conditionalFormatting sqref="C39">
    <cfRule type="expression" dxfId="0" priority="561">
      <formula>C39&gt;B39</formula>
    </cfRule>
  </conditionalFormatting>
  <conditionalFormatting sqref="C39">
    <cfRule type="expression" dxfId="1" priority="562">
      <formula>AND(C75&gt;B75,B75&gt;0)</formula>
    </cfRule>
  </conditionalFormatting>
  <conditionalFormatting sqref="C75">
    <cfRule type="expression" dxfId="1" priority="563">
      <formula>AND(C75&gt;B75,B75&gt;0)</formula>
    </cfRule>
  </conditionalFormatting>
  <conditionalFormatting sqref="D15">
    <cfRule type="expression" dxfId="0" priority="564">
      <formula>D39&gt;C39</formula>
    </cfRule>
  </conditionalFormatting>
  <conditionalFormatting sqref="D15">
    <cfRule type="expression" dxfId="1" priority="565">
      <formula>AND(D75&gt;C75,C75&gt;0)</formula>
    </cfRule>
  </conditionalFormatting>
  <conditionalFormatting sqref="D39">
    <cfRule type="expression" dxfId="0" priority="566">
      <formula>D39&gt;C39</formula>
    </cfRule>
  </conditionalFormatting>
  <conditionalFormatting sqref="D39">
    <cfRule type="expression" dxfId="1" priority="567">
      <formula>AND(D75&gt;C75,C75&gt;0)</formula>
    </cfRule>
  </conditionalFormatting>
  <conditionalFormatting sqref="D75">
    <cfRule type="expression" dxfId="1" priority="568">
      <formula>AND(D75&gt;C75,C75&gt;0)</formula>
    </cfRule>
  </conditionalFormatting>
  <conditionalFormatting sqref="E15">
    <cfRule type="expression" dxfId="0" priority="569">
      <formula>E39&gt;D39</formula>
    </cfRule>
  </conditionalFormatting>
  <conditionalFormatting sqref="E15">
    <cfRule type="expression" dxfId="1" priority="570">
      <formula>AND(E75&gt;D75,D75&gt;0)</formula>
    </cfRule>
  </conditionalFormatting>
  <conditionalFormatting sqref="E39">
    <cfRule type="expression" dxfId="0" priority="571">
      <formula>E39&gt;D39</formula>
    </cfRule>
  </conditionalFormatting>
  <conditionalFormatting sqref="E39">
    <cfRule type="expression" dxfId="1" priority="572">
      <formula>AND(E75&gt;D75,D75&gt;0)</formula>
    </cfRule>
  </conditionalFormatting>
  <conditionalFormatting sqref="E75">
    <cfRule type="expression" dxfId="1" priority="573">
      <formula>AND(E75&gt;D75,D75&gt;0)</formula>
    </cfRule>
  </conditionalFormatting>
  <conditionalFormatting sqref="F15">
    <cfRule type="expression" dxfId="0" priority="574">
      <formula>F39&gt;E39</formula>
    </cfRule>
  </conditionalFormatting>
  <conditionalFormatting sqref="F15">
    <cfRule type="expression" dxfId="1" priority="575">
      <formula>AND(F75&gt;E75,E75&gt;0)</formula>
    </cfRule>
  </conditionalFormatting>
  <conditionalFormatting sqref="F39">
    <cfRule type="expression" dxfId="0" priority="576">
      <formula>F39&gt;E39</formula>
    </cfRule>
  </conditionalFormatting>
  <conditionalFormatting sqref="F39">
    <cfRule type="expression" dxfId="1" priority="577">
      <formula>AND(F75&gt;E75,E75&gt;0)</formula>
    </cfRule>
  </conditionalFormatting>
  <conditionalFormatting sqref="F75">
    <cfRule type="expression" dxfId="1" priority="578">
      <formula>AND(F75&gt;E75,E75&gt;0)</formula>
    </cfRule>
  </conditionalFormatting>
  <conditionalFormatting sqref="G15">
    <cfRule type="expression" dxfId="0" priority="579">
      <formula>G39&gt;F39</formula>
    </cfRule>
  </conditionalFormatting>
  <conditionalFormatting sqref="G15">
    <cfRule type="expression" dxfId="1" priority="580">
      <formula>AND(G75&gt;F75,F75&gt;0)</formula>
    </cfRule>
  </conditionalFormatting>
  <conditionalFormatting sqref="G39">
    <cfRule type="expression" dxfId="0" priority="581">
      <formula>G39&gt;F39</formula>
    </cfRule>
  </conditionalFormatting>
  <conditionalFormatting sqref="G39">
    <cfRule type="expression" dxfId="1" priority="582">
      <formula>AND(G75&gt;F75,F75&gt;0)</formula>
    </cfRule>
  </conditionalFormatting>
  <conditionalFormatting sqref="G75">
    <cfRule type="expression" dxfId="1" priority="583">
      <formula>AND(G75&gt;F75,F75&gt;0)</formula>
    </cfRule>
  </conditionalFormatting>
  <conditionalFormatting sqref="H15">
    <cfRule type="expression" dxfId="0" priority="584">
      <formula>H39&gt;G39</formula>
    </cfRule>
  </conditionalFormatting>
  <conditionalFormatting sqref="H15">
    <cfRule type="expression" dxfId="1" priority="585">
      <formula>AND(H75&gt;G75,G75&gt;0)</formula>
    </cfRule>
  </conditionalFormatting>
  <conditionalFormatting sqref="H39">
    <cfRule type="expression" dxfId="0" priority="586">
      <formula>H39&gt;G39</formula>
    </cfRule>
  </conditionalFormatting>
  <conditionalFormatting sqref="H39">
    <cfRule type="expression" dxfId="1" priority="587">
      <formula>AND(H75&gt;G75,G75&gt;0)</formula>
    </cfRule>
  </conditionalFormatting>
  <conditionalFormatting sqref="H75">
    <cfRule type="expression" dxfId="1" priority="588">
      <formula>AND(H75&gt;G75,G75&gt;0)</formula>
    </cfRule>
  </conditionalFormatting>
  <conditionalFormatting sqref="I15">
    <cfRule type="expression" dxfId="0" priority="589">
      <formula>I39&gt;H39</formula>
    </cfRule>
  </conditionalFormatting>
  <conditionalFormatting sqref="I15">
    <cfRule type="expression" dxfId="1" priority="590">
      <formula>AND(I75&gt;H75,H75&gt;0)</formula>
    </cfRule>
  </conditionalFormatting>
  <conditionalFormatting sqref="I39">
    <cfRule type="expression" dxfId="0" priority="591">
      <formula>I39&gt;H39</formula>
    </cfRule>
  </conditionalFormatting>
  <conditionalFormatting sqref="I39">
    <cfRule type="expression" dxfId="1" priority="592">
      <formula>AND(I75&gt;H75,H75&gt;0)</formula>
    </cfRule>
  </conditionalFormatting>
  <conditionalFormatting sqref="I75">
    <cfRule type="expression" dxfId="1" priority="593">
      <formula>AND(I75&gt;H75,H75&gt;0)</formula>
    </cfRule>
  </conditionalFormatting>
  <conditionalFormatting sqref="J15">
    <cfRule type="expression" dxfId="0" priority="594">
      <formula>J39&gt;I39</formula>
    </cfRule>
  </conditionalFormatting>
  <conditionalFormatting sqref="J15">
    <cfRule type="expression" dxfId="1" priority="595">
      <formula>AND(J75&gt;I75,I75&gt;0)</formula>
    </cfRule>
  </conditionalFormatting>
  <conditionalFormatting sqref="J39">
    <cfRule type="expression" dxfId="0" priority="596">
      <formula>J39&gt;I39</formula>
    </cfRule>
  </conditionalFormatting>
  <conditionalFormatting sqref="J39">
    <cfRule type="expression" dxfId="1" priority="597">
      <formula>AND(J75&gt;I75,I75&gt;0)</formula>
    </cfRule>
  </conditionalFormatting>
  <conditionalFormatting sqref="J75">
    <cfRule type="expression" dxfId="1" priority="598">
      <formula>AND(J75&gt;I75,I75&gt;0)</formula>
    </cfRule>
  </conditionalFormatting>
  <conditionalFormatting sqref="K15">
    <cfRule type="expression" dxfId="0" priority="599">
      <formula>K39&gt;J39</formula>
    </cfRule>
  </conditionalFormatting>
  <conditionalFormatting sqref="K15">
    <cfRule type="expression" dxfId="1" priority="600">
      <formula>AND(K75&gt;J75,J75&gt;0)</formula>
    </cfRule>
  </conditionalFormatting>
  <conditionalFormatting sqref="K39">
    <cfRule type="expression" dxfId="0" priority="601">
      <formula>K39&gt;J39</formula>
    </cfRule>
  </conditionalFormatting>
  <conditionalFormatting sqref="K39">
    <cfRule type="expression" dxfId="1" priority="602">
      <formula>AND(K75&gt;J75,J75&gt;0)</formula>
    </cfRule>
  </conditionalFormatting>
  <conditionalFormatting sqref="K75">
    <cfRule type="expression" dxfId="1" priority="603">
      <formula>AND(K75&gt;J75,J75&gt;0)</formula>
    </cfRule>
  </conditionalFormatting>
  <conditionalFormatting sqref="B15:K15">
    <cfRule type="expression" dxfId="2" priority="604">
      <formula>AND(ISNUMBER(B15),B15&gt;$B$50)</formula>
    </cfRule>
  </conditionalFormatting>
  <conditionalFormatting sqref="B16">
    <cfRule type="expression" dxfId="4" priority="605">
      <formula>B40&gt;1</formula>
    </cfRule>
  </conditionalFormatting>
  <conditionalFormatting sqref="B16">
    <cfRule type="expression" dxfId="1" priority="606">
      <formula>AND(B76&gt;1,1&gt;0)</formula>
    </cfRule>
  </conditionalFormatting>
  <conditionalFormatting sqref="B40">
    <cfRule type="expression" dxfId="4" priority="607">
      <formula>B40&gt;1</formula>
    </cfRule>
  </conditionalFormatting>
  <conditionalFormatting sqref="B40">
    <cfRule type="expression" dxfId="1" priority="608">
      <formula>AND(B76&gt;1,1&gt;0)</formula>
    </cfRule>
  </conditionalFormatting>
  <conditionalFormatting sqref="C16">
    <cfRule type="expression" dxfId="4" priority="609">
      <formula>C40&gt;B40</formula>
    </cfRule>
  </conditionalFormatting>
  <conditionalFormatting sqref="C16">
    <cfRule type="expression" dxfId="1" priority="610">
      <formula>AND(C76&gt;B76,B76&gt;0)</formula>
    </cfRule>
  </conditionalFormatting>
  <conditionalFormatting sqref="C40">
    <cfRule type="expression" dxfId="4" priority="611">
      <formula>C40&gt;B40</formula>
    </cfRule>
  </conditionalFormatting>
  <conditionalFormatting sqref="C40">
    <cfRule type="expression" dxfId="1" priority="612">
      <formula>AND(C76&gt;B76,B76&gt;0)</formula>
    </cfRule>
  </conditionalFormatting>
  <conditionalFormatting sqref="C76">
    <cfRule type="expression" dxfId="1" priority="613">
      <formula>AND(C76&gt;B76,B76&gt;0)</formula>
    </cfRule>
  </conditionalFormatting>
  <conditionalFormatting sqref="D16">
    <cfRule type="expression" dxfId="4" priority="614">
      <formula>D40&gt;C40</formula>
    </cfRule>
  </conditionalFormatting>
  <conditionalFormatting sqref="D16">
    <cfRule type="expression" dxfId="1" priority="615">
      <formula>AND(D76&gt;C76,C76&gt;0)</formula>
    </cfRule>
  </conditionalFormatting>
  <conditionalFormatting sqref="D40">
    <cfRule type="expression" dxfId="4" priority="616">
      <formula>D40&gt;C40</formula>
    </cfRule>
  </conditionalFormatting>
  <conditionalFormatting sqref="D40">
    <cfRule type="expression" dxfId="1" priority="617">
      <formula>AND(D76&gt;C76,C76&gt;0)</formula>
    </cfRule>
  </conditionalFormatting>
  <conditionalFormatting sqref="D76">
    <cfRule type="expression" dxfId="1" priority="618">
      <formula>AND(D76&gt;C76,C76&gt;0)</formula>
    </cfRule>
  </conditionalFormatting>
  <conditionalFormatting sqref="E16">
    <cfRule type="expression" dxfId="4" priority="619">
      <formula>E40&gt;D40</formula>
    </cfRule>
  </conditionalFormatting>
  <conditionalFormatting sqref="E16">
    <cfRule type="expression" dxfId="1" priority="620">
      <formula>AND(E76&gt;D76,D76&gt;0)</formula>
    </cfRule>
  </conditionalFormatting>
  <conditionalFormatting sqref="E40">
    <cfRule type="expression" dxfId="4" priority="621">
      <formula>E40&gt;D40</formula>
    </cfRule>
  </conditionalFormatting>
  <conditionalFormatting sqref="E40">
    <cfRule type="expression" dxfId="1" priority="622">
      <formula>AND(E76&gt;D76,D76&gt;0)</formula>
    </cfRule>
  </conditionalFormatting>
  <conditionalFormatting sqref="E76">
    <cfRule type="expression" dxfId="1" priority="623">
      <formula>AND(E76&gt;D76,D76&gt;0)</formula>
    </cfRule>
  </conditionalFormatting>
  <conditionalFormatting sqref="F16">
    <cfRule type="expression" dxfId="4" priority="624">
      <formula>F40&gt;E40</formula>
    </cfRule>
  </conditionalFormatting>
  <conditionalFormatting sqref="F16">
    <cfRule type="expression" dxfId="1" priority="625">
      <formula>AND(F76&gt;E76,E76&gt;0)</formula>
    </cfRule>
  </conditionalFormatting>
  <conditionalFormatting sqref="F40">
    <cfRule type="expression" dxfId="4" priority="626">
      <formula>F40&gt;E40</formula>
    </cfRule>
  </conditionalFormatting>
  <conditionalFormatting sqref="F40">
    <cfRule type="expression" dxfId="1" priority="627">
      <formula>AND(F76&gt;E76,E76&gt;0)</formula>
    </cfRule>
  </conditionalFormatting>
  <conditionalFormatting sqref="F76">
    <cfRule type="expression" dxfId="1" priority="628">
      <formula>AND(F76&gt;E76,E76&gt;0)</formula>
    </cfRule>
  </conditionalFormatting>
  <conditionalFormatting sqref="G16">
    <cfRule type="expression" dxfId="4" priority="629">
      <formula>G40&gt;F40</formula>
    </cfRule>
  </conditionalFormatting>
  <conditionalFormatting sqref="G16">
    <cfRule type="expression" dxfId="1" priority="630">
      <formula>AND(G76&gt;F76,F76&gt;0)</formula>
    </cfRule>
  </conditionalFormatting>
  <conditionalFormatting sqref="G40">
    <cfRule type="expression" dxfId="4" priority="631">
      <formula>G40&gt;F40</formula>
    </cfRule>
  </conditionalFormatting>
  <conditionalFormatting sqref="G40">
    <cfRule type="expression" dxfId="1" priority="632">
      <formula>AND(G76&gt;F76,F76&gt;0)</formula>
    </cfRule>
  </conditionalFormatting>
  <conditionalFormatting sqref="G76">
    <cfRule type="expression" dxfId="1" priority="633">
      <formula>AND(G76&gt;F76,F76&gt;0)</formula>
    </cfRule>
  </conditionalFormatting>
  <conditionalFormatting sqref="H16">
    <cfRule type="expression" dxfId="4" priority="634">
      <formula>H40&gt;G40</formula>
    </cfRule>
  </conditionalFormatting>
  <conditionalFormatting sqref="H16">
    <cfRule type="expression" dxfId="1" priority="635">
      <formula>AND(H76&gt;G76,G76&gt;0)</formula>
    </cfRule>
  </conditionalFormatting>
  <conditionalFormatting sqref="H40">
    <cfRule type="expression" dxfId="4" priority="636">
      <formula>H40&gt;G40</formula>
    </cfRule>
  </conditionalFormatting>
  <conditionalFormatting sqref="H40">
    <cfRule type="expression" dxfId="1" priority="637">
      <formula>AND(H76&gt;G76,G76&gt;0)</formula>
    </cfRule>
  </conditionalFormatting>
  <conditionalFormatting sqref="H76">
    <cfRule type="expression" dxfId="1" priority="638">
      <formula>AND(H76&gt;G76,G76&gt;0)</formula>
    </cfRule>
  </conditionalFormatting>
  <conditionalFormatting sqref="I16">
    <cfRule type="expression" dxfId="4" priority="639">
      <formula>I40&gt;H40</formula>
    </cfRule>
  </conditionalFormatting>
  <conditionalFormatting sqref="I16">
    <cfRule type="expression" dxfId="1" priority="640">
      <formula>AND(I76&gt;H76,H76&gt;0)</formula>
    </cfRule>
  </conditionalFormatting>
  <conditionalFormatting sqref="I40">
    <cfRule type="expression" dxfId="4" priority="641">
      <formula>I40&gt;H40</formula>
    </cfRule>
  </conditionalFormatting>
  <conditionalFormatting sqref="I40">
    <cfRule type="expression" dxfId="1" priority="642">
      <formula>AND(I76&gt;H76,H76&gt;0)</formula>
    </cfRule>
  </conditionalFormatting>
  <conditionalFormatting sqref="I76">
    <cfRule type="expression" dxfId="1" priority="643">
      <formula>AND(I76&gt;H76,H76&gt;0)</formula>
    </cfRule>
  </conditionalFormatting>
  <conditionalFormatting sqref="J16">
    <cfRule type="expression" dxfId="4" priority="644">
      <formula>J40&gt;I40</formula>
    </cfRule>
  </conditionalFormatting>
  <conditionalFormatting sqref="J16">
    <cfRule type="expression" dxfId="1" priority="645">
      <formula>AND(J76&gt;I76,I76&gt;0)</formula>
    </cfRule>
  </conditionalFormatting>
  <conditionalFormatting sqref="J40">
    <cfRule type="expression" dxfId="4" priority="646">
      <formula>J40&gt;I40</formula>
    </cfRule>
  </conditionalFormatting>
  <conditionalFormatting sqref="J40">
    <cfRule type="expression" dxfId="1" priority="647">
      <formula>AND(J76&gt;I76,I76&gt;0)</formula>
    </cfRule>
  </conditionalFormatting>
  <conditionalFormatting sqref="J76">
    <cfRule type="expression" dxfId="1" priority="648">
      <formula>AND(J76&gt;I76,I76&gt;0)</formula>
    </cfRule>
  </conditionalFormatting>
  <conditionalFormatting sqref="K16">
    <cfRule type="expression" dxfId="4" priority="649">
      <formula>K40&gt;J40</formula>
    </cfRule>
  </conditionalFormatting>
  <conditionalFormatting sqref="K16">
    <cfRule type="expression" dxfId="1" priority="650">
      <formula>AND(K76&gt;J76,J76&gt;0)</formula>
    </cfRule>
  </conditionalFormatting>
  <conditionalFormatting sqref="K40">
    <cfRule type="expression" dxfId="4" priority="651">
      <formula>K40&gt;J40</formula>
    </cfRule>
  </conditionalFormatting>
  <conditionalFormatting sqref="K40">
    <cfRule type="expression" dxfId="1" priority="652">
      <formula>AND(K76&gt;J76,J76&gt;0)</formula>
    </cfRule>
  </conditionalFormatting>
  <conditionalFormatting sqref="K76">
    <cfRule type="expression" dxfId="1" priority="653">
      <formula>AND(K76&gt;J76,J76&gt;0)</formula>
    </cfRule>
  </conditionalFormatting>
  <conditionalFormatting sqref="B16:K16">
    <cfRule type="expression" dxfId="2" priority="654">
      <formula>AND(ISNUMBER(B16),B16&gt;$B$50)</formula>
    </cfRule>
  </conditionalFormatting>
  <conditionalFormatting sqref="B17">
    <cfRule type="expression" dxfId="4" priority="655">
      <formula>B41&gt;1</formula>
    </cfRule>
  </conditionalFormatting>
  <conditionalFormatting sqref="B17">
    <cfRule type="expression" dxfId="1" priority="656">
      <formula>AND(B77&gt;1,1&gt;0)</formula>
    </cfRule>
  </conditionalFormatting>
  <conditionalFormatting sqref="B41">
    <cfRule type="expression" dxfId="4" priority="657">
      <formula>B41&gt;1</formula>
    </cfRule>
  </conditionalFormatting>
  <conditionalFormatting sqref="B41">
    <cfRule type="expression" dxfId="1" priority="658">
      <formula>AND(B77&gt;1,1&gt;0)</formula>
    </cfRule>
  </conditionalFormatting>
  <conditionalFormatting sqref="C17">
    <cfRule type="expression" dxfId="4" priority="659">
      <formula>C41&gt;B41</formula>
    </cfRule>
  </conditionalFormatting>
  <conditionalFormatting sqref="C17">
    <cfRule type="expression" dxfId="1" priority="660">
      <formula>AND(C77&gt;B77,B77&gt;0)</formula>
    </cfRule>
  </conditionalFormatting>
  <conditionalFormatting sqref="C41">
    <cfRule type="expression" dxfId="4" priority="661">
      <formula>C41&gt;B41</formula>
    </cfRule>
  </conditionalFormatting>
  <conditionalFormatting sqref="C41">
    <cfRule type="expression" dxfId="1" priority="662">
      <formula>AND(C77&gt;B77,B77&gt;0)</formula>
    </cfRule>
  </conditionalFormatting>
  <conditionalFormatting sqref="C77">
    <cfRule type="expression" dxfId="1" priority="663">
      <formula>AND(C77&gt;B77,B77&gt;0)</formula>
    </cfRule>
  </conditionalFormatting>
  <conditionalFormatting sqref="D17">
    <cfRule type="expression" dxfId="4" priority="664">
      <formula>D41&gt;C41</formula>
    </cfRule>
  </conditionalFormatting>
  <conditionalFormatting sqref="D17">
    <cfRule type="expression" dxfId="1" priority="665">
      <formula>AND(D77&gt;C77,C77&gt;0)</formula>
    </cfRule>
  </conditionalFormatting>
  <conditionalFormatting sqref="D41">
    <cfRule type="expression" dxfId="4" priority="666">
      <formula>D41&gt;C41</formula>
    </cfRule>
  </conditionalFormatting>
  <conditionalFormatting sqref="D41">
    <cfRule type="expression" dxfId="1" priority="667">
      <formula>AND(D77&gt;C77,C77&gt;0)</formula>
    </cfRule>
  </conditionalFormatting>
  <conditionalFormatting sqref="D77">
    <cfRule type="expression" dxfId="1" priority="668">
      <formula>AND(D77&gt;C77,C77&gt;0)</formula>
    </cfRule>
  </conditionalFormatting>
  <conditionalFormatting sqref="E17">
    <cfRule type="expression" dxfId="4" priority="669">
      <formula>E41&gt;D41</formula>
    </cfRule>
  </conditionalFormatting>
  <conditionalFormatting sqref="E17">
    <cfRule type="expression" dxfId="1" priority="670">
      <formula>AND(E77&gt;D77,D77&gt;0)</formula>
    </cfRule>
  </conditionalFormatting>
  <conditionalFormatting sqref="E41">
    <cfRule type="expression" dxfId="4" priority="671">
      <formula>E41&gt;D41</formula>
    </cfRule>
  </conditionalFormatting>
  <conditionalFormatting sqref="E41">
    <cfRule type="expression" dxfId="1" priority="672">
      <formula>AND(E77&gt;D77,D77&gt;0)</formula>
    </cfRule>
  </conditionalFormatting>
  <conditionalFormatting sqref="E77">
    <cfRule type="expression" dxfId="1" priority="673">
      <formula>AND(E77&gt;D77,D77&gt;0)</formula>
    </cfRule>
  </conditionalFormatting>
  <conditionalFormatting sqref="F17">
    <cfRule type="expression" dxfId="4" priority="674">
      <formula>F41&gt;E41</formula>
    </cfRule>
  </conditionalFormatting>
  <conditionalFormatting sqref="F17">
    <cfRule type="expression" dxfId="1" priority="675">
      <formula>AND(F77&gt;E77,E77&gt;0)</formula>
    </cfRule>
  </conditionalFormatting>
  <conditionalFormatting sqref="F41">
    <cfRule type="expression" dxfId="4" priority="676">
      <formula>F41&gt;E41</formula>
    </cfRule>
  </conditionalFormatting>
  <conditionalFormatting sqref="F41">
    <cfRule type="expression" dxfId="1" priority="677">
      <formula>AND(F77&gt;E77,E77&gt;0)</formula>
    </cfRule>
  </conditionalFormatting>
  <conditionalFormatting sqref="F77">
    <cfRule type="expression" dxfId="1" priority="678">
      <formula>AND(F77&gt;E77,E77&gt;0)</formula>
    </cfRule>
  </conditionalFormatting>
  <conditionalFormatting sqref="G17">
    <cfRule type="expression" dxfId="4" priority="679">
      <formula>G41&gt;F41</formula>
    </cfRule>
  </conditionalFormatting>
  <conditionalFormatting sqref="G17">
    <cfRule type="expression" dxfId="1" priority="680">
      <formula>AND(G77&gt;F77,F77&gt;0)</formula>
    </cfRule>
  </conditionalFormatting>
  <conditionalFormatting sqref="G41">
    <cfRule type="expression" dxfId="4" priority="681">
      <formula>G41&gt;F41</formula>
    </cfRule>
  </conditionalFormatting>
  <conditionalFormatting sqref="G41">
    <cfRule type="expression" dxfId="1" priority="682">
      <formula>AND(G77&gt;F77,F77&gt;0)</formula>
    </cfRule>
  </conditionalFormatting>
  <conditionalFormatting sqref="G77">
    <cfRule type="expression" dxfId="1" priority="683">
      <formula>AND(G77&gt;F77,F77&gt;0)</formula>
    </cfRule>
  </conditionalFormatting>
  <conditionalFormatting sqref="H17">
    <cfRule type="expression" dxfId="4" priority="684">
      <formula>H41&gt;G41</formula>
    </cfRule>
  </conditionalFormatting>
  <conditionalFormatting sqref="H17">
    <cfRule type="expression" dxfId="1" priority="685">
      <formula>AND(H77&gt;G77,G77&gt;0)</formula>
    </cfRule>
  </conditionalFormatting>
  <conditionalFormatting sqref="H41">
    <cfRule type="expression" dxfId="4" priority="686">
      <formula>H41&gt;G41</formula>
    </cfRule>
  </conditionalFormatting>
  <conditionalFormatting sqref="H41">
    <cfRule type="expression" dxfId="1" priority="687">
      <formula>AND(H77&gt;G77,G77&gt;0)</formula>
    </cfRule>
  </conditionalFormatting>
  <conditionalFormatting sqref="H77">
    <cfRule type="expression" dxfId="1" priority="688">
      <formula>AND(H77&gt;G77,G77&gt;0)</formula>
    </cfRule>
  </conditionalFormatting>
  <conditionalFormatting sqref="I17">
    <cfRule type="expression" dxfId="4" priority="689">
      <formula>I41&gt;H41</formula>
    </cfRule>
  </conditionalFormatting>
  <conditionalFormatting sqref="I17">
    <cfRule type="expression" dxfId="1" priority="690">
      <formula>AND(I77&gt;H77,H77&gt;0)</formula>
    </cfRule>
  </conditionalFormatting>
  <conditionalFormatting sqref="I41">
    <cfRule type="expression" dxfId="4" priority="691">
      <formula>I41&gt;H41</formula>
    </cfRule>
  </conditionalFormatting>
  <conditionalFormatting sqref="I41">
    <cfRule type="expression" dxfId="1" priority="692">
      <formula>AND(I77&gt;H77,H77&gt;0)</formula>
    </cfRule>
  </conditionalFormatting>
  <conditionalFormatting sqref="I77">
    <cfRule type="expression" dxfId="1" priority="693">
      <formula>AND(I77&gt;H77,H77&gt;0)</formula>
    </cfRule>
  </conditionalFormatting>
  <conditionalFormatting sqref="J17">
    <cfRule type="expression" dxfId="4" priority="694">
      <formula>J41&gt;I41</formula>
    </cfRule>
  </conditionalFormatting>
  <conditionalFormatting sqref="J17">
    <cfRule type="expression" dxfId="1" priority="695">
      <formula>AND(J77&gt;I77,I77&gt;0)</formula>
    </cfRule>
  </conditionalFormatting>
  <conditionalFormatting sqref="J41">
    <cfRule type="expression" dxfId="4" priority="696">
      <formula>J41&gt;I41</formula>
    </cfRule>
  </conditionalFormatting>
  <conditionalFormatting sqref="J41">
    <cfRule type="expression" dxfId="1" priority="697">
      <formula>AND(J77&gt;I77,I77&gt;0)</formula>
    </cfRule>
  </conditionalFormatting>
  <conditionalFormatting sqref="J77">
    <cfRule type="expression" dxfId="1" priority="698">
      <formula>AND(J77&gt;I77,I77&gt;0)</formula>
    </cfRule>
  </conditionalFormatting>
  <conditionalFormatting sqref="K17">
    <cfRule type="expression" dxfId="4" priority="699">
      <formula>K41&gt;J41</formula>
    </cfRule>
  </conditionalFormatting>
  <conditionalFormatting sqref="K17">
    <cfRule type="expression" dxfId="1" priority="700">
      <formula>AND(K77&gt;J77,J77&gt;0)</formula>
    </cfRule>
  </conditionalFormatting>
  <conditionalFormatting sqref="K41">
    <cfRule type="expression" dxfId="4" priority="701">
      <formula>K41&gt;J41</formula>
    </cfRule>
  </conditionalFormatting>
  <conditionalFormatting sqref="K41">
    <cfRule type="expression" dxfId="1" priority="702">
      <formula>AND(K77&gt;J77,J77&gt;0)</formula>
    </cfRule>
  </conditionalFormatting>
  <conditionalFormatting sqref="K77">
    <cfRule type="expression" dxfId="1" priority="703">
      <formula>AND(K77&gt;J77,J77&gt;0)</formula>
    </cfRule>
  </conditionalFormatting>
  <conditionalFormatting sqref="B17:K17">
    <cfRule type="expression" dxfId="2" priority="704">
      <formula>AND(ISNUMBER(B17),B17&gt;$B$50)</formula>
    </cfRule>
  </conditionalFormatting>
  <conditionalFormatting sqref="B18">
    <cfRule type="expression" dxfId="5" priority="705">
      <formula>B42=0</formula>
    </cfRule>
  </conditionalFormatting>
  <conditionalFormatting sqref="B18">
    <cfRule type="expression" dxfId="0" priority="706">
      <formula>B42&gt;1</formula>
    </cfRule>
  </conditionalFormatting>
  <conditionalFormatting sqref="B18">
    <cfRule type="expression" dxfId="1" priority="707">
      <formula>AND(B78&gt;1,1&gt;0)</formula>
    </cfRule>
  </conditionalFormatting>
  <conditionalFormatting sqref="B42">
    <cfRule type="expression" dxfId="5" priority="708">
      <formula>B42=0</formula>
    </cfRule>
  </conditionalFormatting>
  <conditionalFormatting sqref="B42">
    <cfRule type="expression" dxfId="0" priority="709">
      <formula>B42&gt;1</formula>
    </cfRule>
  </conditionalFormatting>
  <conditionalFormatting sqref="B42">
    <cfRule type="expression" dxfId="1" priority="710">
      <formula>AND(B78&gt;1,1&gt;0)</formula>
    </cfRule>
  </conditionalFormatting>
  <conditionalFormatting sqref="C18">
    <cfRule type="expression" dxfId="5" priority="711">
      <formula>C42=0</formula>
    </cfRule>
  </conditionalFormatting>
  <conditionalFormatting sqref="C18">
    <cfRule type="expression" dxfId="0" priority="712">
      <formula>C42&gt;B42</formula>
    </cfRule>
  </conditionalFormatting>
  <conditionalFormatting sqref="C18">
    <cfRule type="expression" dxfId="1" priority="713">
      <formula>AND(C78&gt;B78,B78&gt;0)</formula>
    </cfRule>
  </conditionalFormatting>
  <conditionalFormatting sqref="C42">
    <cfRule type="expression" dxfId="5" priority="714">
      <formula>C42=0</formula>
    </cfRule>
  </conditionalFormatting>
  <conditionalFormatting sqref="C42">
    <cfRule type="expression" dxfId="0" priority="715">
      <formula>C42&gt;B42</formula>
    </cfRule>
  </conditionalFormatting>
  <conditionalFormatting sqref="C42">
    <cfRule type="expression" dxfId="1" priority="716">
      <formula>AND(C78&gt;B78,B78&gt;0)</formula>
    </cfRule>
  </conditionalFormatting>
  <conditionalFormatting sqref="C78">
    <cfRule type="expression" dxfId="1" priority="717">
      <formula>AND(C78&gt;B78,B78&gt;0)</formula>
    </cfRule>
  </conditionalFormatting>
  <conditionalFormatting sqref="D18">
    <cfRule type="expression" dxfId="5" priority="718">
      <formula>D42=0</formula>
    </cfRule>
  </conditionalFormatting>
  <conditionalFormatting sqref="D18">
    <cfRule type="expression" dxfId="0" priority="719">
      <formula>D42&gt;C42</formula>
    </cfRule>
  </conditionalFormatting>
  <conditionalFormatting sqref="D18">
    <cfRule type="expression" dxfId="1" priority="720">
      <formula>AND(D78&gt;C78,C78&gt;0)</formula>
    </cfRule>
  </conditionalFormatting>
  <conditionalFormatting sqref="D42">
    <cfRule type="expression" dxfId="5" priority="721">
      <formula>D42=0</formula>
    </cfRule>
  </conditionalFormatting>
  <conditionalFormatting sqref="D42">
    <cfRule type="expression" dxfId="0" priority="722">
      <formula>D42&gt;C42</formula>
    </cfRule>
  </conditionalFormatting>
  <conditionalFormatting sqref="D42">
    <cfRule type="expression" dxfId="1" priority="723">
      <formula>AND(D78&gt;C78,C78&gt;0)</formula>
    </cfRule>
  </conditionalFormatting>
  <conditionalFormatting sqref="D78">
    <cfRule type="expression" dxfId="1" priority="724">
      <formula>AND(D78&gt;C78,C78&gt;0)</formula>
    </cfRule>
  </conditionalFormatting>
  <conditionalFormatting sqref="E18">
    <cfRule type="expression" dxfId="5" priority="725">
      <formula>E42=0</formula>
    </cfRule>
  </conditionalFormatting>
  <conditionalFormatting sqref="E18">
    <cfRule type="expression" dxfId="0" priority="726">
      <formula>E42&gt;D42</formula>
    </cfRule>
  </conditionalFormatting>
  <conditionalFormatting sqref="E18">
    <cfRule type="expression" dxfId="1" priority="727">
      <formula>AND(E78&gt;D78,D78&gt;0)</formula>
    </cfRule>
  </conditionalFormatting>
  <conditionalFormatting sqref="E42">
    <cfRule type="expression" dxfId="5" priority="728">
      <formula>E42=0</formula>
    </cfRule>
  </conditionalFormatting>
  <conditionalFormatting sqref="E42">
    <cfRule type="expression" dxfId="0" priority="729">
      <formula>E42&gt;D42</formula>
    </cfRule>
  </conditionalFormatting>
  <conditionalFormatting sqref="E42">
    <cfRule type="expression" dxfId="1" priority="730">
      <formula>AND(E78&gt;D78,D78&gt;0)</formula>
    </cfRule>
  </conditionalFormatting>
  <conditionalFormatting sqref="E78">
    <cfRule type="expression" dxfId="1" priority="731">
      <formula>AND(E78&gt;D78,D78&gt;0)</formula>
    </cfRule>
  </conditionalFormatting>
  <conditionalFormatting sqref="F18">
    <cfRule type="expression" dxfId="5" priority="732">
      <formula>F42=0</formula>
    </cfRule>
  </conditionalFormatting>
  <conditionalFormatting sqref="F18">
    <cfRule type="expression" dxfId="0" priority="733">
      <formula>F42&gt;E42</formula>
    </cfRule>
  </conditionalFormatting>
  <conditionalFormatting sqref="F18">
    <cfRule type="expression" dxfId="1" priority="734">
      <formula>AND(F78&gt;E78,E78&gt;0)</formula>
    </cfRule>
  </conditionalFormatting>
  <conditionalFormatting sqref="F42">
    <cfRule type="expression" dxfId="5" priority="735">
      <formula>F42=0</formula>
    </cfRule>
  </conditionalFormatting>
  <conditionalFormatting sqref="F42">
    <cfRule type="expression" dxfId="0" priority="736">
      <formula>F42&gt;E42</formula>
    </cfRule>
  </conditionalFormatting>
  <conditionalFormatting sqref="F42">
    <cfRule type="expression" dxfId="1" priority="737">
      <formula>AND(F78&gt;E78,E78&gt;0)</formula>
    </cfRule>
  </conditionalFormatting>
  <conditionalFormatting sqref="F78">
    <cfRule type="expression" dxfId="1" priority="738">
      <formula>AND(F78&gt;E78,E78&gt;0)</formula>
    </cfRule>
  </conditionalFormatting>
  <conditionalFormatting sqref="G18">
    <cfRule type="expression" dxfId="5" priority="739">
      <formula>G42=0</formula>
    </cfRule>
  </conditionalFormatting>
  <conditionalFormatting sqref="G18">
    <cfRule type="expression" dxfId="0" priority="740">
      <formula>G42&gt;F42</formula>
    </cfRule>
  </conditionalFormatting>
  <conditionalFormatting sqref="G18">
    <cfRule type="expression" dxfId="1" priority="741">
      <formula>AND(G78&gt;F78,F78&gt;0)</formula>
    </cfRule>
  </conditionalFormatting>
  <conditionalFormatting sqref="G42">
    <cfRule type="expression" dxfId="5" priority="742">
      <formula>G42=0</formula>
    </cfRule>
  </conditionalFormatting>
  <conditionalFormatting sqref="G42">
    <cfRule type="expression" dxfId="0" priority="743">
      <formula>G42&gt;F42</formula>
    </cfRule>
  </conditionalFormatting>
  <conditionalFormatting sqref="G42">
    <cfRule type="expression" dxfId="1" priority="744">
      <formula>AND(G78&gt;F78,F78&gt;0)</formula>
    </cfRule>
  </conditionalFormatting>
  <conditionalFormatting sqref="G78">
    <cfRule type="expression" dxfId="1" priority="745">
      <formula>AND(G78&gt;F78,F78&gt;0)</formula>
    </cfRule>
  </conditionalFormatting>
  <conditionalFormatting sqref="H18">
    <cfRule type="expression" dxfId="5" priority="746">
      <formula>H42=0</formula>
    </cfRule>
  </conditionalFormatting>
  <conditionalFormatting sqref="H18">
    <cfRule type="expression" dxfId="0" priority="747">
      <formula>H42&gt;G42</formula>
    </cfRule>
  </conditionalFormatting>
  <conditionalFormatting sqref="H18">
    <cfRule type="expression" dxfId="1" priority="748">
      <formula>AND(H78&gt;G78,G78&gt;0)</formula>
    </cfRule>
  </conditionalFormatting>
  <conditionalFormatting sqref="H42">
    <cfRule type="expression" dxfId="5" priority="749">
      <formula>H42=0</formula>
    </cfRule>
  </conditionalFormatting>
  <conditionalFormatting sqref="H42">
    <cfRule type="expression" dxfId="0" priority="750">
      <formula>H42&gt;G42</formula>
    </cfRule>
  </conditionalFormatting>
  <conditionalFormatting sqref="H42">
    <cfRule type="expression" dxfId="1" priority="751">
      <formula>AND(H78&gt;G78,G78&gt;0)</formula>
    </cfRule>
  </conditionalFormatting>
  <conditionalFormatting sqref="H78">
    <cfRule type="expression" dxfId="1" priority="752">
      <formula>AND(H78&gt;G78,G78&gt;0)</formula>
    </cfRule>
  </conditionalFormatting>
  <conditionalFormatting sqref="I18">
    <cfRule type="expression" dxfId="5" priority="753">
      <formula>I42=0</formula>
    </cfRule>
  </conditionalFormatting>
  <conditionalFormatting sqref="I18">
    <cfRule type="expression" dxfId="0" priority="754">
      <formula>I42&gt;H42</formula>
    </cfRule>
  </conditionalFormatting>
  <conditionalFormatting sqref="I18">
    <cfRule type="expression" dxfId="1" priority="755">
      <formula>AND(I78&gt;H78,H78&gt;0)</formula>
    </cfRule>
  </conditionalFormatting>
  <conditionalFormatting sqref="I42">
    <cfRule type="expression" dxfId="5" priority="756">
      <formula>I42=0</formula>
    </cfRule>
  </conditionalFormatting>
  <conditionalFormatting sqref="I42">
    <cfRule type="expression" dxfId="0" priority="757">
      <formula>I42&gt;H42</formula>
    </cfRule>
  </conditionalFormatting>
  <conditionalFormatting sqref="I42">
    <cfRule type="expression" dxfId="1" priority="758">
      <formula>AND(I78&gt;H78,H78&gt;0)</formula>
    </cfRule>
  </conditionalFormatting>
  <conditionalFormatting sqref="I78">
    <cfRule type="expression" dxfId="1" priority="759">
      <formula>AND(I78&gt;H78,H78&gt;0)</formula>
    </cfRule>
  </conditionalFormatting>
  <conditionalFormatting sqref="J18">
    <cfRule type="expression" dxfId="5" priority="760">
      <formula>J42=0</formula>
    </cfRule>
  </conditionalFormatting>
  <conditionalFormatting sqref="J18">
    <cfRule type="expression" dxfId="0" priority="761">
      <formula>J42&gt;I42</formula>
    </cfRule>
  </conditionalFormatting>
  <conditionalFormatting sqref="J18">
    <cfRule type="expression" dxfId="1" priority="762">
      <formula>AND(J78&gt;I78,I78&gt;0)</formula>
    </cfRule>
  </conditionalFormatting>
  <conditionalFormatting sqref="J42">
    <cfRule type="expression" dxfId="5" priority="763">
      <formula>J42=0</formula>
    </cfRule>
  </conditionalFormatting>
  <conditionalFormatting sqref="J42">
    <cfRule type="expression" dxfId="0" priority="764">
      <formula>J42&gt;I42</formula>
    </cfRule>
  </conditionalFormatting>
  <conditionalFormatting sqref="J42">
    <cfRule type="expression" dxfId="1" priority="765">
      <formula>AND(J78&gt;I78,I78&gt;0)</formula>
    </cfRule>
  </conditionalFormatting>
  <conditionalFormatting sqref="J78">
    <cfRule type="expression" dxfId="1" priority="766">
      <formula>AND(J78&gt;I78,I78&gt;0)</formula>
    </cfRule>
  </conditionalFormatting>
  <conditionalFormatting sqref="K18">
    <cfRule type="expression" dxfId="5" priority="767">
      <formula>K42=0</formula>
    </cfRule>
  </conditionalFormatting>
  <conditionalFormatting sqref="K18">
    <cfRule type="expression" dxfId="0" priority="768">
      <formula>K42&gt;J42</formula>
    </cfRule>
  </conditionalFormatting>
  <conditionalFormatting sqref="K18">
    <cfRule type="expression" dxfId="1" priority="769">
      <formula>AND(K78&gt;J78,J78&gt;0)</formula>
    </cfRule>
  </conditionalFormatting>
  <conditionalFormatting sqref="K42">
    <cfRule type="expression" dxfId="5" priority="770">
      <formula>K42=0</formula>
    </cfRule>
  </conditionalFormatting>
  <conditionalFormatting sqref="K42">
    <cfRule type="expression" dxfId="0" priority="771">
      <formula>K42&gt;J42</formula>
    </cfRule>
  </conditionalFormatting>
  <conditionalFormatting sqref="K42">
    <cfRule type="expression" dxfId="1" priority="772">
      <formula>AND(K78&gt;J78,J78&gt;0)</formula>
    </cfRule>
  </conditionalFormatting>
  <conditionalFormatting sqref="K78">
    <cfRule type="expression" dxfId="1" priority="773">
      <formula>AND(K78&gt;J78,J78&gt;0)</formula>
    </cfRule>
  </conditionalFormatting>
  <conditionalFormatting sqref="B18:K18">
    <cfRule type="expression" dxfId="2" priority="774">
      <formula>AND(ISNUMBER(B18),B18&gt;$B$50)</formula>
    </cfRule>
  </conditionalFormatting>
  <conditionalFormatting sqref="B19">
    <cfRule type="expression" dxfId="0" priority="775">
      <formula>B43&gt;1</formula>
    </cfRule>
  </conditionalFormatting>
  <conditionalFormatting sqref="B19">
    <cfRule type="expression" dxfId="1" priority="776">
      <formula>AND(B79&gt;1,1&gt;0)</formula>
    </cfRule>
  </conditionalFormatting>
  <conditionalFormatting sqref="B43">
    <cfRule type="expression" dxfId="0" priority="777">
      <formula>B43&gt;1</formula>
    </cfRule>
  </conditionalFormatting>
  <conditionalFormatting sqref="B43">
    <cfRule type="expression" dxfId="1" priority="778">
      <formula>AND(B79&gt;1,1&gt;0)</formula>
    </cfRule>
  </conditionalFormatting>
  <conditionalFormatting sqref="C19">
    <cfRule type="expression" dxfId="0" priority="779">
      <formula>C43&gt;B43</formula>
    </cfRule>
  </conditionalFormatting>
  <conditionalFormatting sqref="C19">
    <cfRule type="expression" dxfId="1" priority="780">
      <formula>AND(C79&gt;B79,B79&gt;0)</formula>
    </cfRule>
  </conditionalFormatting>
  <conditionalFormatting sqref="C43">
    <cfRule type="expression" dxfId="0" priority="781">
      <formula>C43&gt;B43</formula>
    </cfRule>
  </conditionalFormatting>
  <conditionalFormatting sqref="C43">
    <cfRule type="expression" dxfId="1" priority="782">
      <formula>AND(C79&gt;B79,B79&gt;0)</formula>
    </cfRule>
  </conditionalFormatting>
  <conditionalFormatting sqref="C79">
    <cfRule type="expression" dxfId="1" priority="783">
      <formula>AND(C79&gt;B79,B79&gt;0)</formula>
    </cfRule>
  </conditionalFormatting>
  <conditionalFormatting sqref="D19">
    <cfRule type="expression" dxfId="0" priority="784">
      <formula>D43&gt;C43</formula>
    </cfRule>
  </conditionalFormatting>
  <conditionalFormatting sqref="D19">
    <cfRule type="expression" dxfId="1" priority="785">
      <formula>AND(D79&gt;C79,C79&gt;0)</formula>
    </cfRule>
  </conditionalFormatting>
  <conditionalFormatting sqref="D43">
    <cfRule type="expression" dxfId="0" priority="786">
      <formula>D43&gt;C43</formula>
    </cfRule>
  </conditionalFormatting>
  <conditionalFormatting sqref="D43">
    <cfRule type="expression" dxfId="1" priority="787">
      <formula>AND(D79&gt;C79,C79&gt;0)</formula>
    </cfRule>
  </conditionalFormatting>
  <conditionalFormatting sqref="D79">
    <cfRule type="expression" dxfId="1" priority="788">
      <formula>AND(D79&gt;C79,C79&gt;0)</formula>
    </cfRule>
  </conditionalFormatting>
  <conditionalFormatting sqref="E19">
    <cfRule type="expression" dxfId="0" priority="789">
      <formula>E43&gt;D43</formula>
    </cfRule>
  </conditionalFormatting>
  <conditionalFormatting sqref="E19">
    <cfRule type="expression" dxfId="1" priority="790">
      <formula>AND(E79&gt;D79,D79&gt;0)</formula>
    </cfRule>
  </conditionalFormatting>
  <conditionalFormatting sqref="E43">
    <cfRule type="expression" dxfId="0" priority="791">
      <formula>E43&gt;D43</formula>
    </cfRule>
  </conditionalFormatting>
  <conditionalFormatting sqref="E43">
    <cfRule type="expression" dxfId="1" priority="792">
      <formula>AND(E79&gt;D79,D79&gt;0)</formula>
    </cfRule>
  </conditionalFormatting>
  <conditionalFormatting sqref="E79">
    <cfRule type="expression" dxfId="1" priority="793">
      <formula>AND(E79&gt;D79,D79&gt;0)</formula>
    </cfRule>
  </conditionalFormatting>
  <conditionalFormatting sqref="F19">
    <cfRule type="expression" dxfId="0" priority="794">
      <formula>F43&gt;E43</formula>
    </cfRule>
  </conditionalFormatting>
  <conditionalFormatting sqref="F19">
    <cfRule type="expression" dxfId="1" priority="795">
      <formula>AND(F79&gt;E79,E79&gt;0)</formula>
    </cfRule>
  </conditionalFormatting>
  <conditionalFormatting sqref="F43">
    <cfRule type="expression" dxfId="0" priority="796">
      <formula>F43&gt;E43</formula>
    </cfRule>
  </conditionalFormatting>
  <conditionalFormatting sqref="F43">
    <cfRule type="expression" dxfId="1" priority="797">
      <formula>AND(F79&gt;E79,E79&gt;0)</formula>
    </cfRule>
  </conditionalFormatting>
  <conditionalFormatting sqref="F79">
    <cfRule type="expression" dxfId="1" priority="798">
      <formula>AND(F79&gt;E79,E79&gt;0)</formula>
    </cfRule>
  </conditionalFormatting>
  <conditionalFormatting sqref="G19">
    <cfRule type="expression" dxfId="0" priority="799">
      <formula>G43&gt;F43</formula>
    </cfRule>
  </conditionalFormatting>
  <conditionalFormatting sqref="G19">
    <cfRule type="expression" dxfId="1" priority="800">
      <formula>AND(G79&gt;F79,F79&gt;0)</formula>
    </cfRule>
  </conditionalFormatting>
  <conditionalFormatting sqref="G43">
    <cfRule type="expression" dxfId="0" priority="801">
      <formula>G43&gt;F43</formula>
    </cfRule>
  </conditionalFormatting>
  <conditionalFormatting sqref="G43">
    <cfRule type="expression" dxfId="1" priority="802">
      <formula>AND(G79&gt;F79,F79&gt;0)</formula>
    </cfRule>
  </conditionalFormatting>
  <conditionalFormatting sqref="G79">
    <cfRule type="expression" dxfId="1" priority="803">
      <formula>AND(G79&gt;F79,F79&gt;0)</formula>
    </cfRule>
  </conditionalFormatting>
  <conditionalFormatting sqref="H19">
    <cfRule type="expression" dxfId="0" priority="804">
      <formula>H43&gt;G43</formula>
    </cfRule>
  </conditionalFormatting>
  <conditionalFormatting sqref="H19">
    <cfRule type="expression" dxfId="1" priority="805">
      <formula>AND(H79&gt;G79,G79&gt;0)</formula>
    </cfRule>
  </conditionalFormatting>
  <conditionalFormatting sqref="H43">
    <cfRule type="expression" dxfId="0" priority="806">
      <formula>H43&gt;G43</formula>
    </cfRule>
  </conditionalFormatting>
  <conditionalFormatting sqref="H43">
    <cfRule type="expression" dxfId="1" priority="807">
      <formula>AND(H79&gt;G79,G79&gt;0)</formula>
    </cfRule>
  </conditionalFormatting>
  <conditionalFormatting sqref="H79">
    <cfRule type="expression" dxfId="1" priority="808">
      <formula>AND(H79&gt;G79,G79&gt;0)</formula>
    </cfRule>
  </conditionalFormatting>
  <conditionalFormatting sqref="I19">
    <cfRule type="expression" dxfId="0" priority="809">
      <formula>I43&gt;H43</formula>
    </cfRule>
  </conditionalFormatting>
  <conditionalFormatting sqref="I19">
    <cfRule type="expression" dxfId="1" priority="810">
      <formula>AND(I79&gt;H79,H79&gt;0)</formula>
    </cfRule>
  </conditionalFormatting>
  <conditionalFormatting sqref="I43">
    <cfRule type="expression" dxfId="0" priority="811">
      <formula>I43&gt;H43</formula>
    </cfRule>
  </conditionalFormatting>
  <conditionalFormatting sqref="I43">
    <cfRule type="expression" dxfId="1" priority="812">
      <formula>AND(I79&gt;H79,H79&gt;0)</formula>
    </cfRule>
  </conditionalFormatting>
  <conditionalFormatting sqref="I79">
    <cfRule type="expression" dxfId="1" priority="813">
      <formula>AND(I79&gt;H79,H79&gt;0)</formula>
    </cfRule>
  </conditionalFormatting>
  <conditionalFormatting sqref="J19">
    <cfRule type="expression" dxfId="0" priority="814">
      <formula>J43&gt;I43</formula>
    </cfRule>
  </conditionalFormatting>
  <conditionalFormatting sqref="J19">
    <cfRule type="expression" dxfId="1" priority="815">
      <formula>AND(J79&gt;I79,I79&gt;0)</formula>
    </cfRule>
  </conditionalFormatting>
  <conditionalFormatting sqref="J43">
    <cfRule type="expression" dxfId="0" priority="816">
      <formula>J43&gt;I43</formula>
    </cfRule>
  </conditionalFormatting>
  <conditionalFormatting sqref="J43">
    <cfRule type="expression" dxfId="1" priority="817">
      <formula>AND(J79&gt;I79,I79&gt;0)</formula>
    </cfRule>
  </conditionalFormatting>
  <conditionalFormatting sqref="J79">
    <cfRule type="expression" dxfId="1" priority="818">
      <formula>AND(J79&gt;I79,I79&gt;0)</formula>
    </cfRule>
  </conditionalFormatting>
  <conditionalFormatting sqref="K19">
    <cfRule type="expression" dxfId="0" priority="819">
      <formula>K43&gt;J43</formula>
    </cfRule>
  </conditionalFormatting>
  <conditionalFormatting sqref="K19">
    <cfRule type="expression" dxfId="1" priority="820">
      <formula>AND(K79&gt;J79,J79&gt;0)</formula>
    </cfRule>
  </conditionalFormatting>
  <conditionalFormatting sqref="K43">
    <cfRule type="expression" dxfId="0" priority="821">
      <formula>K43&gt;J43</formula>
    </cfRule>
  </conditionalFormatting>
  <conditionalFormatting sqref="K43">
    <cfRule type="expression" dxfId="1" priority="822">
      <formula>AND(K79&gt;J79,J79&gt;0)</formula>
    </cfRule>
  </conditionalFormatting>
  <conditionalFormatting sqref="K79">
    <cfRule type="expression" dxfId="1" priority="823">
      <formula>AND(K79&gt;J79,J79&gt;0)</formula>
    </cfRule>
  </conditionalFormatting>
  <conditionalFormatting sqref="B19:K19">
    <cfRule type="expression" dxfId="2" priority="824">
      <formula>AND(ISNUMBER(B19),B19&gt;$B$50)</formula>
    </cfRule>
  </conditionalFormatting>
  <conditionalFormatting sqref="B20">
    <cfRule type="expression" dxfId="4" priority="825">
      <formula>B44&gt;1</formula>
    </cfRule>
  </conditionalFormatting>
  <conditionalFormatting sqref="B20">
    <cfRule type="expression" dxfId="1" priority="826">
      <formula>AND(B80&gt;1,1&gt;0)</formula>
    </cfRule>
  </conditionalFormatting>
  <conditionalFormatting sqref="B44">
    <cfRule type="expression" dxfId="4" priority="827">
      <formula>B44&gt;1</formula>
    </cfRule>
  </conditionalFormatting>
  <conditionalFormatting sqref="B44">
    <cfRule type="expression" dxfId="1" priority="828">
      <formula>AND(B80&gt;1,1&gt;0)</formula>
    </cfRule>
  </conditionalFormatting>
  <conditionalFormatting sqref="C20">
    <cfRule type="expression" dxfId="4" priority="829">
      <formula>C44&gt;B44</formula>
    </cfRule>
  </conditionalFormatting>
  <conditionalFormatting sqref="C20">
    <cfRule type="expression" dxfId="1" priority="830">
      <formula>AND(C80&gt;B80,B80&gt;0)</formula>
    </cfRule>
  </conditionalFormatting>
  <conditionalFormatting sqref="C44">
    <cfRule type="expression" dxfId="4" priority="831">
      <formula>C44&gt;B44</formula>
    </cfRule>
  </conditionalFormatting>
  <conditionalFormatting sqref="C44">
    <cfRule type="expression" dxfId="1" priority="832">
      <formula>AND(C80&gt;B80,B80&gt;0)</formula>
    </cfRule>
  </conditionalFormatting>
  <conditionalFormatting sqref="C80">
    <cfRule type="expression" dxfId="1" priority="833">
      <formula>AND(C80&gt;B80,B80&gt;0)</formula>
    </cfRule>
  </conditionalFormatting>
  <conditionalFormatting sqref="D20">
    <cfRule type="expression" dxfId="4" priority="834">
      <formula>D44&gt;C44</formula>
    </cfRule>
  </conditionalFormatting>
  <conditionalFormatting sqref="D20">
    <cfRule type="expression" dxfId="1" priority="835">
      <formula>AND(D80&gt;C80,C80&gt;0)</formula>
    </cfRule>
  </conditionalFormatting>
  <conditionalFormatting sqref="D44">
    <cfRule type="expression" dxfId="4" priority="836">
      <formula>D44&gt;C44</formula>
    </cfRule>
  </conditionalFormatting>
  <conditionalFormatting sqref="D44">
    <cfRule type="expression" dxfId="1" priority="837">
      <formula>AND(D80&gt;C80,C80&gt;0)</formula>
    </cfRule>
  </conditionalFormatting>
  <conditionalFormatting sqref="D80">
    <cfRule type="expression" dxfId="1" priority="838">
      <formula>AND(D80&gt;C80,C80&gt;0)</formula>
    </cfRule>
  </conditionalFormatting>
  <conditionalFormatting sqref="E20">
    <cfRule type="expression" dxfId="4" priority="839">
      <formula>E44&gt;D44</formula>
    </cfRule>
  </conditionalFormatting>
  <conditionalFormatting sqref="E20">
    <cfRule type="expression" dxfId="1" priority="840">
      <formula>AND(E80&gt;D80,D80&gt;0)</formula>
    </cfRule>
  </conditionalFormatting>
  <conditionalFormatting sqref="E44">
    <cfRule type="expression" dxfId="4" priority="841">
      <formula>E44&gt;D44</formula>
    </cfRule>
  </conditionalFormatting>
  <conditionalFormatting sqref="E44">
    <cfRule type="expression" dxfId="1" priority="842">
      <formula>AND(E80&gt;D80,D80&gt;0)</formula>
    </cfRule>
  </conditionalFormatting>
  <conditionalFormatting sqref="E80">
    <cfRule type="expression" dxfId="1" priority="843">
      <formula>AND(E80&gt;D80,D80&gt;0)</formula>
    </cfRule>
  </conditionalFormatting>
  <conditionalFormatting sqref="F20">
    <cfRule type="expression" dxfId="4" priority="844">
      <formula>F44&gt;E44</formula>
    </cfRule>
  </conditionalFormatting>
  <conditionalFormatting sqref="F20">
    <cfRule type="expression" dxfId="1" priority="845">
      <formula>AND(F80&gt;E80,E80&gt;0)</formula>
    </cfRule>
  </conditionalFormatting>
  <conditionalFormatting sqref="F44">
    <cfRule type="expression" dxfId="4" priority="846">
      <formula>F44&gt;E44</formula>
    </cfRule>
  </conditionalFormatting>
  <conditionalFormatting sqref="F44">
    <cfRule type="expression" dxfId="1" priority="847">
      <formula>AND(F80&gt;E80,E80&gt;0)</formula>
    </cfRule>
  </conditionalFormatting>
  <conditionalFormatting sqref="F80">
    <cfRule type="expression" dxfId="1" priority="848">
      <formula>AND(F80&gt;E80,E80&gt;0)</formula>
    </cfRule>
  </conditionalFormatting>
  <conditionalFormatting sqref="G20">
    <cfRule type="expression" dxfId="4" priority="849">
      <formula>G44&gt;F44</formula>
    </cfRule>
  </conditionalFormatting>
  <conditionalFormatting sqref="G20">
    <cfRule type="expression" dxfId="1" priority="850">
      <formula>AND(G80&gt;F80,F80&gt;0)</formula>
    </cfRule>
  </conditionalFormatting>
  <conditionalFormatting sqref="G44">
    <cfRule type="expression" dxfId="4" priority="851">
      <formula>G44&gt;F44</formula>
    </cfRule>
  </conditionalFormatting>
  <conditionalFormatting sqref="G44">
    <cfRule type="expression" dxfId="1" priority="852">
      <formula>AND(G80&gt;F80,F80&gt;0)</formula>
    </cfRule>
  </conditionalFormatting>
  <conditionalFormatting sqref="G80">
    <cfRule type="expression" dxfId="1" priority="853">
      <formula>AND(G80&gt;F80,F80&gt;0)</formula>
    </cfRule>
  </conditionalFormatting>
  <conditionalFormatting sqref="H20">
    <cfRule type="expression" dxfId="4" priority="854">
      <formula>H44&gt;G44</formula>
    </cfRule>
  </conditionalFormatting>
  <conditionalFormatting sqref="H20">
    <cfRule type="expression" dxfId="1" priority="855">
      <formula>AND(H80&gt;G80,G80&gt;0)</formula>
    </cfRule>
  </conditionalFormatting>
  <conditionalFormatting sqref="H44">
    <cfRule type="expression" dxfId="4" priority="856">
      <formula>H44&gt;G44</formula>
    </cfRule>
  </conditionalFormatting>
  <conditionalFormatting sqref="H44">
    <cfRule type="expression" dxfId="1" priority="857">
      <formula>AND(H80&gt;G80,G80&gt;0)</formula>
    </cfRule>
  </conditionalFormatting>
  <conditionalFormatting sqref="H80">
    <cfRule type="expression" dxfId="1" priority="858">
      <formula>AND(H80&gt;G80,G80&gt;0)</formula>
    </cfRule>
  </conditionalFormatting>
  <conditionalFormatting sqref="I20">
    <cfRule type="expression" dxfId="4" priority="859">
      <formula>I44&gt;H44</formula>
    </cfRule>
  </conditionalFormatting>
  <conditionalFormatting sqref="I20">
    <cfRule type="expression" dxfId="1" priority="860">
      <formula>AND(I80&gt;H80,H80&gt;0)</formula>
    </cfRule>
  </conditionalFormatting>
  <conditionalFormatting sqref="I44">
    <cfRule type="expression" dxfId="4" priority="861">
      <formula>I44&gt;H44</formula>
    </cfRule>
  </conditionalFormatting>
  <conditionalFormatting sqref="I44">
    <cfRule type="expression" dxfId="1" priority="862">
      <formula>AND(I80&gt;H80,H80&gt;0)</formula>
    </cfRule>
  </conditionalFormatting>
  <conditionalFormatting sqref="I80">
    <cfRule type="expression" dxfId="1" priority="863">
      <formula>AND(I80&gt;H80,H80&gt;0)</formula>
    </cfRule>
  </conditionalFormatting>
  <conditionalFormatting sqref="J20">
    <cfRule type="expression" dxfId="4" priority="864">
      <formula>J44&gt;I44</formula>
    </cfRule>
  </conditionalFormatting>
  <conditionalFormatting sqref="J20">
    <cfRule type="expression" dxfId="1" priority="865">
      <formula>AND(J80&gt;I80,I80&gt;0)</formula>
    </cfRule>
  </conditionalFormatting>
  <conditionalFormatting sqref="J44">
    <cfRule type="expression" dxfId="4" priority="866">
      <formula>J44&gt;I44</formula>
    </cfRule>
  </conditionalFormatting>
  <conditionalFormatting sqref="J44">
    <cfRule type="expression" dxfId="1" priority="867">
      <formula>AND(J80&gt;I80,I80&gt;0)</formula>
    </cfRule>
  </conditionalFormatting>
  <conditionalFormatting sqref="J80">
    <cfRule type="expression" dxfId="1" priority="868">
      <formula>AND(J80&gt;I80,I80&gt;0)</formula>
    </cfRule>
  </conditionalFormatting>
  <conditionalFormatting sqref="K20">
    <cfRule type="expression" dxfId="4" priority="869">
      <formula>K44&gt;J44</formula>
    </cfRule>
  </conditionalFormatting>
  <conditionalFormatting sqref="K20">
    <cfRule type="expression" dxfId="1" priority="870">
      <formula>AND(K80&gt;J80,J80&gt;0)</formula>
    </cfRule>
  </conditionalFormatting>
  <conditionalFormatting sqref="K44">
    <cfRule type="expression" dxfId="4" priority="871">
      <formula>K44&gt;J44</formula>
    </cfRule>
  </conditionalFormatting>
  <conditionalFormatting sqref="K44">
    <cfRule type="expression" dxfId="1" priority="872">
      <formula>AND(K80&gt;J80,J80&gt;0)</formula>
    </cfRule>
  </conditionalFormatting>
  <conditionalFormatting sqref="K80">
    <cfRule type="expression" dxfId="1" priority="873">
      <formula>AND(K80&gt;J80,J80&gt;0)</formula>
    </cfRule>
  </conditionalFormatting>
  <conditionalFormatting sqref="B20:K20">
    <cfRule type="expression" dxfId="2" priority="874">
      <formula>AND(ISNUMBER(B20),B20&gt;$B$50)</formula>
    </cfRule>
  </conditionalFormatting>
  <conditionalFormatting sqref="B21">
    <cfRule type="expression" dxfId="0" priority="875">
      <formula>B45&gt;1</formula>
    </cfRule>
  </conditionalFormatting>
  <conditionalFormatting sqref="B21">
    <cfRule type="expression" dxfId="1" priority="876">
      <formula>AND(B81&gt;1,1&gt;0)</formula>
    </cfRule>
  </conditionalFormatting>
  <conditionalFormatting sqref="B45">
    <cfRule type="expression" dxfId="0" priority="877">
      <formula>B45&gt;1</formula>
    </cfRule>
  </conditionalFormatting>
  <conditionalFormatting sqref="B45">
    <cfRule type="expression" dxfId="1" priority="878">
      <formula>AND(B81&gt;1,1&gt;0)</formula>
    </cfRule>
  </conditionalFormatting>
  <conditionalFormatting sqref="C21">
    <cfRule type="expression" dxfId="0" priority="879">
      <formula>C45&gt;B45</formula>
    </cfRule>
  </conditionalFormatting>
  <conditionalFormatting sqref="C21">
    <cfRule type="expression" dxfId="1" priority="880">
      <formula>AND(C81&gt;B81,B81&gt;0)</formula>
    </cfRule>
  </conditionalFormatting>
  <conditionalFormatting sqref="C45">
    <cfRule type="expression" dxfId="0" priority="881">
      <formula>C45&gt;B45</formula>
    </cfRule>
  </conditionalFormatting>
  <conditionalFormatting sqref="C45">
    <cfRule type="expression" dxfId="1" priority="882">
      <formula>AND(C81&gt;B81,B81&gt;0)</formula>
    </cfRule>
  </conditionalFormatting>
  <conditionalFormatting sqref="C81">
    <cfRule type="expression" dxfId="1" priority="883">
      <formula>AND(C81&gt;B81,B81&gt;0)</formula>
    </cfRule>
  </conditionalFormatting>
  <conditionalFormatting sqref="D21">
    <cfRule type="expression" dxfId="0" priority="884">
      <formula>D45&gt;C45</formula>
    </cfRule>
  </conditionalFormatting>
  <conditionalFormatting sqref="D21">
    <cfRule type="expression" dxfId="1" priority="885">
      <formula>AND(D81&gt;C81,C81&gt;0)</formula>
    </cfRule>
  </conditionalFormatting>
  <conditionalFormatting sqref="D45">
    <cfRule type="expression" dxfId="0" priority="886">
      <formula>D45&gt;C45</formula>
    </cfRule>
  </conditionalFormatting>
  <conditionalFormatting sqref="D45">
    <cfRule type="expression" dxfId="1" priority="887">
      <formula>AND(D81&gt;C81,C81&gt;0)</formula>
    </cfRule>
  </conditionalFormatting>
  <conditionalFormatting sqref="D81">
    <cfRule type="expression" dxfId="1" priority="888">
      <formula>AND(D81&gt;C81,C81&gt;0)</formula>
    </cfRule>
  </conditionalFormatting>
  <conditionalFormatting sqref="E21">
    <cfRule type="expression" dxfId="0" priority="889">
      <formula>E45&gt;D45</formula>
    </cfRule>
  </conditionalFormatting>
  <conditionalFormatting sqref="E21">
    <cfRule type="expression" dxfId="1" priority="890">
      <formula>AND(E81&gt;D81,D81&gt;0)</formula>
    </cfRule>
  </conditionalFormatting>
  <conditionalFormatting sqref="E45">
    <cfRule type="expression" dxfId="0" priority="891">
      <formula>E45&gt;D45</formula>
    </cfRule>
  </conditionalFormatting>
  <conditionalFormatting sqref="E45">
    <cfRule type="expression" dxfId="1" priority="892">
      <formula>AND(E81&gt;D81,D81&gt;0)</formula>
    </cfRule>
  </conditionalFormatting>
  <conditionalFormatting sqref="E81">
    <cfRule type="expression" dxfId="1" priority="893">
      <formula>AND(E81&gt;D81,D81&gt;0)</formula>
    </cfRule>
  </conditionalFormatting>
  <conditionalFormatting sqref="F21">
    <cfRule type="expression" dxfId="0" priority="894">
      <formula>F45&gt;E45</formula>
    </cfRule>
  </conditionalFormatting>
  <conditionalFormatting sqref="F21">
    <cfRule type="expression" dxfId="1" priority="895">
      <formula>AND(F81&gt;E81,E81&gt;0)</formula>
    </cfRule>
  </conditionalFormatting>
  <conditionalFormatting sqref="F45">
    <cfRule type="expression" dxfId="0" priority="896">
      <formula>F45&gt;E45</formula>
    </cfRule>
  </conditionalFormatting>
  <conditionalFormatting sqref="F45">
    <cfRule type="expression" dxfId="1" priority="897">
      <formula>AND(F81&gt;E81,E81&gt;0)</formula>
    </cfRule>
  </conditionalFormatting>
  <conditionalFormatting sqref="F81">
    <cfRule type="expression" dxfId="1" priority="898">
      <formula>AND(F81&gt;E81,E81&gt;0)</formula>
    </cfRule>
  </conditionalFormatting>
  <conditionalFormatting sqref="G21">
    <cfRule type="expression" dxfId="0" priority="899">
      <formula>G45&gt;F45</formula>
    </cfRule>
  </conditionalFormatting>
  <conditionalFormatting sqref="G21">
    <cfRule type="expression" dxfId="1" priority="900">
      <formula>AND(G81&gt;F81,F81&gt;0)</formula>
    </cfRule>
  </conditionalFormatting>
  <conditionalFormatting sqref="G45">
    <cfRule type="expression" dxfId="0" priority="901">
      <formula>G45&gt;F45</formula>
    </cfRule>
  </conditionalFormatting>
  <conditionalFormatting sqref="G45">
    <cfRule type="expression" dxfId="1" priority="902">
      <formula>AND(G81&gt;F81,F81&gt;0)</formula>
    </cfRule>
  </conditionalFormatting>
  <conditionalFormatting sqref="G81">
    <cfRule type="expression" dxfId="1" priority="903">
      <formula>AND(G81&gt;F81,F81&gt;0)</formula>
    </cfRule>
  </conditionalFormatting>
  <conditionalFormatting sqref="H21">
    <cfRule type="expression" dxfId="0" priority="904">
      <formula>H45&gt;G45</formula>
    </cfRule>
  </conditionalFormatting>
  <conditionalFormatting sqref="H21">
    <cfRule type="expression" dxfId="1" priority="905">
      <formula>AND(H81&gt;G81,G81&gt;0)</formula>
    </cfRule>
  </conditionalFormatting>
  <conditionalFormatting sqref="H45">
    <cfRule type="expression" dxfId="0" priority="906">
      <formula>H45&gt;G45</formula>
    </cfRule>
  </conditionalFormatting>
  <conditionalFormatting sqref="H45">
    <cfRule type="expression" dxfId="1" priority="907">
      <formula>AND(H81&gt;G81,G81&gt;0)</formula>
    </cfRule>
  </conditionalFormatting>
  <conditionalFormatting sqref="H81">
    <cfRule type="expression" dxfId="1" priority="908">
      <formula>AND(H81&gt;G81,G81&gt;0)</formula>
    </cfRule>
  </conditionalFormatting>
  <conditionalFormatting sqref="I21">
    <cfRule type="expression" dxfId="0" priority="909">
      <formula>I45&gt;H45</formula>
    </cfRule>
  </conditionalFormatting>
  <conditionalFormatting sqref="I21">
    <cfRule type="expression" dxfId="1" priority="910">
      <formula>AND(I81&gt;H81,H81&gt;0)</formula>
    </cfRule>
  </conditionalFormatting>
  <conditionalFormatting sqref="I45">
    <cfRule type="expression" dxfId="0" priority="911">
      <formula>I45&gt;H45</formula>
    </cfRule>
  </conditionalFormatting>
  <conditionalFormatting sqref="I45">
    <cfRule type="expression" dxfId="1" priority="912">
      <formula>AND(I81&gt;H81,H81&gt;0)</formula>
    </cfRule>
  </conditionalFormatting>
  <conditionalFormatting sqref="I81">
    <cfRule type="expression" dxfId="1" priority="913">
      <formula>AND(I81&gt;H81,H81&gt;0)</formula>
    </cfRule>
  </conditionalFormatting>
  <conditionalFormatting sqref="J21">
    <cfRule type="expression" dxfId="0" priority="914">
      <formula>J45&gt;I45</formula>
    </cfRule>
  </conditionalFormatting>
  <conditionalFormatting sqref="J21">
    <cfRule type="expression" dxfId="1" priority="915">
      <formula>AND(J81&gt;I81,I81&gt;0)</formula>
    </cfRule>
  </conditionalFormatting>
  <conditionalFormatting sqref="J45">
    <cfRule type="expression" dxfId="0" priority="916">
      <formula>J45&gt;I45</formula>
    </cfRule>
  </conditionalFormatting>
  <conditionalFormatting sqref="J45">
    <cfRule type="expression" dxfId="1" priority="917">
      <formula>AND(J81&gt;I81,I81&gt;0)</formula>
    </cfRule>
  </conditionalFormatting>
  <conditionalFormatting sqref="J81">
    <cfRule type="expression" dxfId="1" priority="918">
      <formula>AND(J81&gt;I81,I81&gt;0)</formula>
    </cfRule>
  </conditionalFormatting>
  <conditionalFormatting sqref="K21">
    <cfRule type="expression" dxfId="0" priority="919">
      <formula>K45&gt;J45</formula>
    </cfRule>
  </conditionalFormatting>
  <conditionalFormatting sqref="K21">
    <cfRule type="expression" dxfId="1" priority="920">
      <formula>AND(K81&gt;J81,J81&gt;0)</formula>
    </cfRule>
  </conditionalFormatting>
  <conditionalFormatting sqref="K45">
    <cfRule type="expression" dxfId="0" priority="921">
      <formula>K45&gt;J45</formula>
    </cfRule>
  </conditionalFormatting>
  <conditionalFormatting sqref="K45">
    <cfRule type="expression" dxfId="1" priority="922">
      <formula>AND(K81&gt;J81,J81&gt;0)</formula>
    </cfRule>
  </conditionalFormatting>
  <conditionalFormatting sqref="K81">
    <cfRule type="expression" dxfId="1" priority="923">
      <formula>AND(K81&gt;J81,J81&gt;0)</formula>
    </cfRule>
  </conditionalFormatting>
  <conditionalFormatting sqref="B21:K21">
    <cfRule type="expression" dxfId="2" priority="924">
      <formula>AND(ISNUMBER(B21),B21&gt;$B$50)</formula>
    </cfRule>
  </conditionalFormatting>
  <conditionalFormatting sqref="B22">
    <cfRule type="expression" dxfId="4" priority="925">
      <formula>B46&gt;1</formula>
    </cfRule>
  </conditionalFormatting>
  <conditionalFormatting sqref="B22">
    <cfRule type="expression" dxfId="1" priority="926">
      <formula>AND(B82&gt;1,1&gt;0)</formula>
    </cfRule>
  </conditionalFormatting>
  <conditionalFormatting sqref="B46">
    <cfRule type="expression" dxfId="4" priority="927">
      <formula>B46&gt;1</formula>
    </cfRule>
  </conditionalFormatting>
  <conditionalFormatting sqref="B46">
    <cfRule type="expression" dxfId="1" priority="928">
      <formula>AND(B82&gt;1,1&gt;0)</formula>
    </cfRule>
  </conditionalFormatting>
  <conditionalFormatting sqref="C22">
    <cfRule type="expression" dxfId="4" priority="929">
      <formula>C46&gt;B46</formula>
    </cfRule>
  </conditionalFormatting>
  <conditionalFormatting sqref="C22">
    <cfRule type="expression" dxfId="1" priority="930">
      <formula>AND(C82&gt;B82,B82&gt;0)</formula>
    </cfRule>
  </conditionalFormatting>
  <conditionalFormatting sqref="C46">
    <cfRule type="expression" dxfId="4" priority="931">
      <formula>C46&gt;B46</formula>
    </cfRule>
  </conditionalFormatting>
  <conditionalFormatting sqref="C46">
    <cfRule type="expression" dxfId="1" priority="932">
      <formula>AND(C82&gt;B82,B82&gt;0)</formula>
    </cfRule>
  </conditionalFormatting>
  <conditionalFormatting sqref="C82">
    <cfRule type="expression" dxfId="1" priority="933">
      <formula>AND(C82&gt;B82,B82&gt;0)</formula>
    </cfRule>
  </conditionalFormatting>
  <conditionalFormatting sqref="D22">
    <cfRule type="expression" dxfId="4" priority="934">
      <formula>D46&gt;C46</formula>
    </cfRule>
  </conditionalFormatting>
  <conditionalFormatting sqref="D22">
    <cfRule type="expression" dxfId="1" priority="935">
      <formula>AND(D82&gt;C82,C82&gt;0)</formula>
    </cfRule>
  </conditionalFormatting>
  <conditionalFormatting sqref="D46">
    <cfRule type="expression" dxfId="4" priority="936">
      <formula>D46&gt;C46</formula>
    </cfRule>
  </conditionalFormatting>
  <conditionalFormatting sqref="D46">
    <cfRule type="expression" dxfId="1" priority="937">
      <formula>AND(D82&gt;C82,C82&gt;0)</formula>
    </cfRule>
  </conditionalFormatting>
  <conditionalFormatting sqref="D82">
    <cfRule type="expression" dxfId="1" priority="938">
      <formula>AND(D82&gt;C82,C82&gt;0)</formula>
    </cfRule>
  </conditionalFormatting>
  <conditionalFormatting sqref="E22">
    <cfRule type="expression" dxfId="4" priority="939">
      <formula>E46&gt;D46</formula>
    </cfRule>
  </conditionalFormatting>
  <conditionalFormatting sqref="E22">
    <cfRule type="expression" dxfId="1" priority="940">
      <formula>AND(E82&gt;D82,D82&gt;0)</formula>
    </cfRule>
  </conditionalFormatting>
  <conditionalFormatting sqref="E46">
    <cfRule type="expression" dxfId="4" priority="941">
      <formula>E46&gt;D46</formula>
    </cfRule>
  </conditionalFormatting>
  <conditionalFormatting sqref="E46">
    <cfRule type="expression" dxfId="1" priority="942">
      <formula>AND(E82&gt;D82,D82&gt;0)</formula>
    </cfRule>
  </conditionalFormatting>
  <conditionalFormatting sqref="E82">
    <cfRule type="expression" dxfId="1" priority="943">
      <formula>AND(E82&gt;D82,D82&gt;0)</formula>
    </cfRule>
  </conditionalFormatting>
  <conditionalFormatting sqref="F22">
    <cfRule type="expression" dxfId="4" priority="944">
      <formula>F46&gt;E46</formula>
    </cfRule>
  </conditionalFormatting>
  <conditionalFormatting sqref="F22">
    <cfRule type="expression" dxfId="1" priority="945">
      <formula>AND(F82&gt;E82,E82&gt;0)</formula>
    </cfRule>
  </conditionalFormatting>
  <conditionalFormatting sqref="F46">
    <cfRule type="expression" dxfId="4" priority="946">
      <formula>F46&gt;E46</formula>
    </cfRule>
  </conditionalFormatting>
  <conditionalFormatting sqref="F46">
    <cfRule type="expression" dxfId="1" priority="947">
      <formula>AND(F82&gt;E82,E82&gt;0)</formula>
    </cfRule>
  </conditionalFormatting>
  <conditionalFormatting sqref="F82">
    <cfRule type="expression" dxfId="1" priority="948">
      <formula>AND(F82&gt;E82,E82&gt;0)</formula>
    </cfRule>
  </conditionalFormatting>
  <conditionalFormatting sqref="G22">
    <cfRule type="expression" dxfId="4" priority="949">
      <formula>G46&gt;F46</formula>
    </cfRule>
  </conditionalFormatting>
  <conditionalFormatting sqref="G22">
    <cfRule type="expression" dxfId="1" priority="950">
      <formula>AND(G82&gt;F82,F82&gt;0)</formula>
    </cfRule>
  </conditionalFormatting>
  <conditionalFormatting sqref="G46">
    <cfRule type="expression" dxfId="4" priority="951">
      <formula>G46&gt;F46</formula>
    </cfRule>
  </conditionalFormatting>
  <conditionalFormatting sqref="G46">
    <cfRule type="expression" dxfId="1" priority="952">
      <formula>AND(G82&gt;F82,F82&gt;0)</formula>
    </cfRule>
  </conditionalFormatting>
  <conditionalFormatting sqref="G82">
    <cfRule type="expression" dxfId="1" priority="953">
      <formula>AND(G82&gt;F82,F82&gt;0)</formula>
    </cfRule>
  </conditionalFormatting>
  <conditionalFormatting sqref="H22">
    <cfRule type="expression" dxfId="4" priority="954">
      <formula>H46&gt;G46</formula>
    </cfRule>
  </conditionalFormatting>
  <conditionalFormatting sqref="H22">
    <cfRule type="expression" dxfId="1" priority="955">
      <formula>AND(H82&gt;G82,G82&gt;0)</formula>
    </cfRule>
  </conditionalFormatting>
  <conditionalFormatting sqref="H46">
    <cfRule type="expression" dxfId="4" priority="956">
      <formula>H46&gt;G46</formula>
    </cfRule>
  </conditionalFormatting>
  <conditionalFormatting sqref="H46">
    <cfRule type="expression" dxfId="1" priority="957">
      <formula>AND(H82&gt;G82,G82&gt;0)</formula>
    </cfRule>
  </conditionalFormatting>
  <conditionalFormatting sqref="H82">
    <cfRule type="expression" dxfId="1" priority="958">
      <formula>AND(H82&gt;G82,G82&gt;0)</formula>
    </cfRule>
  </conditionalFormatting>
  <conditionalFormatting sqref="I22">
    <cfRule type="expression" dxfId="4" priority="959">
      <formula>I46&gt;H46</formula>
    </cfRule>
  </conditionalFormatting>
  <conditionalFormatting sqref="I22">
    <cfRule type="expression" dxfId="1" priority="960">
      <formula>AND(I82&gt;H82,H82&gt;0)</formula>
    </cfRule>
  </conditionalFormatting>
  <conditionalFormatting sqref="I46">
    <cfRule type="expression" dxfId="4" priority="961">
      <formula>I46&gt;H46</formula>
    </cfRule>
  </conditionalFormatting>
  <conditionalFormatting sqref="I46">
    <cfRule type="expression" dxfId="1" priority="962">
      <formula>AND(I82&gt;H82,H82&gt;0)</formula>
    </cfRule>
  </conditionalFormatting>
  <conditionalFormatting sqref="I82">
    <cfRule type="expression" dxfId="1" priority="963">
      <formula>AND(I82&gt;H82,H82&gt;0)</formula>
    </cfRule>
  </conditionalFormatting>
  <conditionalFormatting sqref="J22">
    <cfRule type="expression" dxfId="4" priority="964">
      <formula>J46&gt;I46</formula>
    </cfRule>
  </conditionalFormatting>
  <conditionalFormatting sqref="J22">
    <cfRule type="expression" dxfId="1" priority="965">
      <formula>AND(J82&gt;I82,I82&gt;0)</formula>
    </cfRule>
  </conditionalFormatting>
  <conditionalFormatting sqref="J46">
    <cfRule type="expression" dxfId="4" priority="966">
      <formula>J46&gt;I46</formula>
    </cfRule>
  </conditionalFormatting>
  <conditionalFormatting sqref="J46">
    <cfRule type="expression" dxfId="1" priority="967">
      <formula>AND(J82&gt;I82,I82&gt;0)</formula>
    </cfRule>
  </conditionalFormatting>
  <conditionalFormatting sqref="J82">
    <cfRule type="expression" dxfId="1" priority="968">
      <formula>AND(J82&gt;I82,I82&gt;0)</formula>
    </cfRule>
  </conditionalFormatting>
  <conditionalFormatting sqref="K22">
    <cfRule type="expression" dxfId="4" priority="969">
      <formula>K46&gt;J46</formula>
    </cfRule>
  </conditionalFormatting>
  <conditionalFormatting sqref="K22">
    <cfRule type="expression" dxfId="1" priority="970">
      <formula>AND(K82&gt;J82,J82&gt;0)</formula>
    </cfRule>
  </conditionalFormatting>
  <conditionalFormatting sqref="K46">
    <cfRule type="expression" dxfId="4" priority="971">
      <formula>K46&gt;J46</formula>
    </cfRule>
  </conditionalFormatting>
  <conditionalFormatting sqref="K46">
    <cfRule type="expression" dxfId="1" priority="972">
      <formula>AND(K82&gt;J82,J82&gt;0)</formula>
    </cfRule>
  </conditionalFormatting>
  <conditionalFormatting sqref="K82">
    <cfRule type="expression" dxfId="1" priority="973">
      <formula>AND(K82&gt;J82,J82&gt;0)</formula>
    </cfRule>
  </conditionalFormatting>
  <conditionalFormatting sqref="B22:K22">
    <cfRule type="expression" dxfId="2" priority="974">
      <formula>AND(ISNUMBER(B22),B22&gt;$B$50)</formula>
    </cfRule>
  </conditionalFormatting>
  <conditionalFormatting sqref="B23">
    <cfRule type="expression" dxfId="4" priority="975">
      <formula>B47&gt;1</formula>
    </cfRule>
  </conditionalFormatting>
  <conditionalFormatting sqref="B23">
    <cfRule type="expression" dxfId="1" priority="976">
      <formula>AND(B83&gt;1,1&gt;0)</formula>
    </cfRule>
  </conditionalFormatting>
  <conditionalFormatting sqref="B47">
    <cfRule type="expression" dxfId="4" priority="977">
      <formula>B47&gt;1</formula>
    </cfRule>
  </conditionalFormatting>
  <conditionalFormatting sqref="B47">
    <cfRule type="expression" dxfId="1" priority="978">
      <formula>AND(B83&gt;1,1&gt;0)</formula>
    </cfRule>
  </conditionalFormatting>
  <conditionalFormatting sqref="C23">
    <cfRule type="expression" dxfId="4" priority="979">
      <formula>C47&gt;B47</formula>
    </cfRule>
  </conditionalFormatting>
  <conditionalFormatting sqref="C23">
    <cfRule type="expression" dxfId="1" priority="980">
      <formula>AND(C83&gt;B83,B83&gt;0)</formula>
    </cfRule>
  </conditionalFormatting>
  <conditionalFormatting sqref="C47">
    <cfRule type="expression" dxfId="4" priority="981">
      <formula>C47&gt;B47</formula>
    </cfRule>
  </conditionalFormatting>
  <conditionalFormatting sqref="C47">
    <cfRule type="expression" dxfId="1" priority="982">
      <formula>AND(C83&gt;B83,B83&gt;0)</formula>
    </cfRule>
  </conditionalFormatting>
  <conditionalFormatting sqref="C83">
    <cfRule type="expression" dxfId="1" priority="983">
      <formula>AND(C83&gt;B83,B83&gt;0)</formula>
    </cfRule>
  </conditionalFormatting>
  <conditionalFormatting sqref="D23">
    <cfRule type="expression" dxfId="4" priority="984">
      <formula>D47&gt;C47</formula>
    </cfRule>
  </conditionalFormatting>
  <conditionalFormatting sqref="D23">
    <cfRule type="expression" dxfId="1" priority="985">
      <formula>AND(D83&gt;C83,C83&gt;0)</formula>
    </cfRule>
  </conditionalFormatting>
  <conditionalFormatting sqref="D47">
    <cfRule type="expression" dxfId="4" priority="986">
      <formula>D47&gt;C47</formula>
    </cfRule>
  </conditionalFormatting>
  <conditionalFormatting sqref="D47">
    <cfRule type="expression" dxfId="1" priority="987">
      <formula>AND(D83&gt;C83,C83&gt;0)</formula>
    </cfRule>
  </conditionalFormatting>
  <conditionalFormatting sqref="D83">
    <cfRule type="expression" dxfId="1" priority="988">
      <formula>AND(D83&gt;C83,C83&gt;0)</formula>
    </cfRule>
  </conditionalFormatting>
  <conditionalFormatting sqref="E23">
    <cfRule type="expression" dxfId="4" priority="989">
      <formula>E47&gt;D47</formula>
    </cfRule>
  </conditionalFormatting>
  <conditionalFormatting sqref="E23">
    <cfRule type="expression" dxfId="1" priority="990">
      <formula>AND(E83&gt;D83,D83&gt;0)</formula>
    </cfRule>
  </conditionalFormatting>
  <conditionalFormatting sqref="E47">
    <cfRule type="expression" dxfId="4" priority="991">
      <formula>E47&gt;D47</formula>
    </cfRule>
  </conditionalFormatting>
  <conditionalFormatting sqref="E47">
    <cfRule type="expression" dxfId="1" priority="992">
      <formula>AND(E83&gt;D83,D83&gt;0)</formula>
    </cfRule>
  </conditionalFormatting>
  <conditionalFormatting sqref="E83">
    <cfRule type="expression" dxfId="1" priority="993">
      <formula>AND(E83&gt;D83,D83&gt;0)</formula>
    </cfRule>
  </conditionalFormatting>
  <conditionalFormatting sqref="F23">
    <cfRule type="expression" dxfId="4" priority="994">
      <formula>F47&gt;E47</formula>
    </cfRule>
  </conditionalFormatting>
  <conditionalFormatting sqref="F23">
    <cfRule type="expression" dxfId="1" priority="995">
      <formula>AND(F83&gt;E83,E83&gt;0)</formula>
    </cfRule>
  </conditionalFormatting>
  <conditionalFormatting sqref="F47">
    <cfRule type="expression" dxfId="4" priority="996">
      <formula>F47&gt;E47</formula>
    </cfRule>
  </conditionalFormatting>
  <conditionalFormatting sqref="F47">
    <cfRule type="expression" dxfId="1" priority="997">
      <formula>AND(F83&gt;E83,E83&gt;0)</formula>
    </cfRule>
  </conditionalFormatting>
  <conditionalFormatting sqref="F83">
    <cfRule type="expression" dxfId="1" priority="998">
      <formula>AND(F83&gt;E83,E83&gt;0)</formula>
    </cfRule>
  </conditionalFormatting>
  <conditionalFormatting sqref="G23">
    <cfRule type="expression" dxfId="4" priority="999">
      <formula>G47&gt;F47</formula>
    </cfRule>
  </conditionalFormatting>
  <conditionalFormatting sqref="G23">
    <cfRule type="expression" dxfId="1" priority="1000">
      <formula>AND(G83&gt;F83,F83&gt;0)</formula>
    </cfRule>
  </conditionalFormatting>
  <conditionalFormatting sqref="G47">
    <cfRule type="expression" dxfId="4" priority="1001">
      <formula>G47&gt;F47</formula>
    </cfRule>
  </conditionalFormatting>
  <conditionalFormatting sqref="G47">
    <cfRule type="expression" dxfId="1" priority="1002">
      <formula>AND(G83&gt;F83,F83&gt;0)</formula>
    </cfRule>
  </conditionalFormatting>
  <conditionalFormatting sqref="G83">
    <cfRule type="expression" dxfId="1" priority="1003">
      <formula>AND(G83&gt;F83,F83&gt;0)</formula>
    </cfRule>
  </conditionalFormatting>
  <conditionalFormatting sqref="H23">
    <cfRule type="expression" dxfId="4" priority="1004">
      <formula>H47&gt;G47</formula>
    </cfRule>
  </conditionalFormatting>
  <conditionalFormatting sqref="H23">
    <cfRule type="expression" dxfId="1" priority="1005">
      <formula>AND(H83&gt;G83,G83&gt;0)</formula>
    </cfRule>
  </conditionalFormatting>
  <conditionalFormatting sqref="H47">
    <cfRule type="expression" dxfId="4" priority="1006">
      <formula>H47&gt;G47</formula>
    </cfRule>
  </conditionalFormatting>
  <conditionalFormatting sqref="H47">
    <cfRule type="expression" dxfId="1" priority="1007">
      <formula>AND(H83&gt;G83,G83&gt;0)</formula>
    </cfRule>
  </conditionalFormatting>
  <conditionalFormatting sqref="H83">
    <cfRule type="expression" dxfId="1" priority="1008">
      <formula>AND(H83&gt;G83,G83&gt;0)</formula>
    </cfRule>
  </conditionalFormatting>
  <conditionalFormatting sqref="I23">
    <cfRule type="expression" dxfId="4" priority="1009">
      <formula>I47&gt;H47</formula>
    </cfRule>
  </conditionalFormatting>
  <conditionalFormatting sqref="I23">
    <cfRule type="expression" dxfId="1" priority="1010">
      <formula>AND(I83&gt;H83,H83&gt;0)</formula>
    </cfRule>
  </conditionalFormatting>
  <conditionalFormatting sqref="I47">
    <cfRule type="expression" dxfId="4" priority="1011">
      <formula>I47&gt;H47</formula>
    </cfRule>
  </conditionalFormatting>
  <conditionalFormatting sqref="I47">
    <cfRule type="expression" dxfId="1" priority="1012">
      <formula>AND(I83&gt;H83,H83&gt;0)</formula>
    </cfRule>
  </conditionalFormatting>
  <conditionalFormatting sqref="I83">
    <cfRule type="expression" dxfId="1" priority="1013">
      <formula>AND(I83&gt;H83,H83&gt;0)</formula>
    </cfRule>
  </conditionalFormatting>
  <conditionalFormatting sqref="J23">
    <cfRule type="expression" dxfId="4" priority="1014">
      <formula>J47&gt;I47</formula>
    </cfRule>
  </conditionalFormatting>
  <conditionalFormatting sqref="J23">
    <cfRule type="expression" dxfId="1" priority="1015">
      <formula>AND(J83&gt;I83,I83&gt;0)</formula>
    </cfRule>
  </conditionalFormatting>
  <conditionalFormatting sqref="J47">
    <cfRule type="expression" dxfId="4" priority="1016">
      <formula>J47&gt;I47</formula>
    </cfRule>
  </conditionalFormatting>
  <conditionalFormatting sqref="J47">
    <cfRule type="expression" dxfId="1" priority="1017">
      <formula>AND(J83&gt;I83,I83&gt;0)</formula>
    </cfRule>
  </conditionalFormatting>
  <conditionalFormatting sqref="J83">
    <cfRule type="expression" dxfId="1" priority="1018">
      <formula>AND(J83&gt;I83,I83&gt;0)</formula>
    </cfRule>
  </conditionalFormatting>
  <conditionalFormatting sqref="K23">
    <cfRule type="expression" dxfId="4" priority="1019">
      <formula>K47&gt;J47</formula>
    </cfRule>
  </conditionalFormatting>
  <conditionalFormatting sqref="K23">
    <cfRule type="expression" dxfId="1" priority="1020">
      <formula>AND(K83&gt;J83,J83&gt;0)</formula>
    </cfRule>
  </conditionalFormatting>
  <conditionalFormatting sqref="K47">
    <cfRule type="expression" dxfId="4" priority="1021">
      <formula>K47&gt;J47</formula>
    </cfRule>
  </conditionalFormatting>
  <conditionalFormatting sqref="K47">
    <cfRule type="expression" dxfId="1" priority="1022">
      <formula>AND(K83&gt;J83,J83&gt;0)</formula>
    </cfRule>
  </conditionalFormatting>
  <conditionalFormatting sqref="K83">
    <cfRule type="expression" dxfId="1" priority="1023">
      <formula>AND(K83&gt;J83,J83&gt;0)</formula>
    </cfRule>
  </conditionalFormatting>
  <conditionalFormatting sqref="B23:K23">
    <cfRule type="expression" dxfId="2" priority="1024">
      <formula>AND(ISNUMBER(B23),B23&gt;$B$50)</formula>
    </cfRule>
  </conditionalFormatting>
  <conditionalFormatting sqref="B24">
    <cfRule type="expression" dxfId="0" priority="1025">
      <formula>B48&gt;1</formula>
    </cfRule>
  </conditionalFormatting>
  <conditionalFormatting sqref="B24">
    <cfRule type="expression" dxfId="1" priority="1026">
      <formula>AND(B84&gt;1,1&gt;0)</formula>
    </cfRule>
  </conditionalFormatting>
  <conditionalFormatting sqref="B48">
    <cfRule type="expression" dxfId="0" priority="1027">
      <formula>B48&gt;1</formula>
    </cfRule>
  </conditionalFormatting>
  <conditionalFormatting sqref="B48">
    <cfRule type="expression" dxfId="1" priority="1028">
      <formula>AND(B84&gt;1,1&gt;0)</formula>
    </cfRule>
  </conditionalFormatting>
  <conditionalFormatting sqref="C24">
    <cfRule type="expression" dxfId="0" priority="1029">
      <formula>C48&gt;B48</formula>
    </cfRule>
  </conditionalFormatting>
  <conditionalFormatting sqref="C24">
    <cfRule type="expression" dxfId="1" priority="1030">
      <formula>AND(C84&gt;B84,B84&gt;0)</formula>
    </cfRule>
  </conditionalFormatting>
  <conditionalFormatting sqref="C48">
    <cfRule type="expression" dxfId="0" priority="1031">
      <formula>C48&gt;B48</formula>
    </cfRule>
  </conditionalFormatting>
  <conditionalFormatting sqref="C48">
    <cfRule type="expression" dxfId="1" priority="1032">
      <formula>AND(C84&gt;B84,B84&gt;0)</formula>
    </cfRule>
  </conditionalFormatting>
  <conditionalFormatting sqref="C84">
    <cfRule type="expression" dxfId="1" priority="1033">
      <formula>AND(C84&gt;B84,B84&gt;0)</formula>
    </cfRule>
  </conditionalFormatting>
  <conditionalFormatting sqref="D24">
    <cfRule type="expression" dxfId="0" priority="1034">
      <formula>D48&gt;C48</formula>
    </cfRule>
  </conditionalFormatting>
  <conditionalFormatting sqref="D24">
    <cfRule type="expression" dxfId="1" priority="1035">
      <formula>AND(D84&gt;C84,C84&gt;0)</formula>
    </cfRule>
  </conditionalFormatting>
  <conditionalFormatting sqref="D48">
    <cfRule type="expression" dxfId="0" priority="1036">
      <formula>D48&gt;C48</formula>
    </cfRule>
  </conditionalFormatting>
  <conditionalFormatting sqref="D48">
    <cfRule type="expression" dxfId="1" priority="1037">
      <formula>AND(D84&gt;C84,C84&gt;0)</formula>
    </cfRule>
  </conditionalFormatting>
  <conditionalFormatting sqref="D84">
    <cfRule type="expression" dxfId="1" priority="1038">
      <formula>AND(D84&gt;C84,C84&gt;0)</formula>
    </cfRule>
  </conditionalFormatting>
  <conditionalFormatting sqref="E24">
    <cfRule type="expression" dxfId="0" priority="1039">
      <formula>E48&gt;D48</formula>
    </cfRule>
  </conditionalFormatting>
  <conditionalFormatting sqref="E24">
    <cfRule type="expression" dxfId="1" priority="1040">
      <formula>AND(E84&gt;D84,D84&gt;0)</formula>
    </cfRule>
  </conditionalFormatting>
  <conditionalFormatting sqref="E48">
    <cfRule type="expression" dxfId="0" priority="1041">
      <formula>E48&gt;D48</formula>
    </cfRule>
  </conditionalFormatting>
  <conditionalFormatting sqref="E48">
    <cfRule type="expression" dxfId="1" priority="1042">
      <formula>AND(E84&gt;D84,D84&gt;0)</formula>
    </cfRule>
  </conditionalFormatting>
  <conditionalFormatting sqref="E84">
    <cfRule type="expression" dxfId="1" priority="1043">
      <formula>AND(E84&gt;D84,D84&gt;0)</formula>
    </cfRule>
  </conditionalFormatting>
  <conditionalFormatting sqref="F24">
    <cfRule type="expression" dxfId="0" priority="1044">
      <formula>F48&gt;E48</formula>
    </cfRule>
  </conditionalFormatting>
  <conditionalFormatting sqref="F24">
    <cfRule type="expression" dxfId="1" priority="1045">
      <formula>AND(F84&gt;E84,E84&gt;0)</formula>
    </cfRule>
  </conditionalFormatting>
  <conditionalFormatting sqref="F48">
    <cfRule type="expression" dxfId="0" priority="1046">
      <formula>F48&gt;E48</formula>
    </cfRule>
  </conditionalFormatting>
  <conditionalFormatting sqref="F48">
    <cfRule type="expression" dxfId="1" priority="1047">
      <formula>AND(F84&gt;E84,E84&gt;0)</formula>
    </cfRule>
  </conditionalFormatting>
  <conditionalFormatting sqref="F84">
    <cfRule type="expression" dxfId="1" priority="1048">
      <formula>AND(F84&gt;E84,E84&gt;0)</formula>
    </cfRule>
  </conditionalFormatting>
  <conditionalFormatting sqref="G24">
    <cfRule type="expression" dxfId="0" priority="1049">
      <formula>G48&gt;F48</formula>
    </cfRule>
  </conditionalFormatting>
  <conditionalFormatting sqref="G24">
    <cfRule type="expression" dxfId="1" priority="1050">
      <formula>AND(G84&gt;F84,F84&gt;0)</formula>
    </cfRule>
  </conditionalFormatting>
  <conditionalFormatting sqref="G48">
    <cfRule type="expression" dxfId="0" priority="1051">
      <formula>G48&gt;F48</formula>
    </cfRule>
  </conditionalFormatting>
  <conditionalFormatting sqref="G48">
    <cfRule type="expression" dxfId="1" priority="1052">
      <formula>AND(G84&gt;F84,F84&gt;0)</formula>
    </cfRule>
  </conditionalFormatting>
  <conditionalFormatting sqref="G84">
    <cfRule type="expression" dxfId="1" priority="1053">
      <formula>AND(G84&gt;F84,F84&gt;0)</formula>
    </cfRule>
  </conditionalFormatting>
  <conditionalFormatting sqref="H24">
    <cfRule type="expression" dxfId="0" priority="1054">
      <formula>H48&gt;G48</formula>
    </cfRule>
  </conditionalFormatting>
  <conditionalFormatting sqref="H24">
    <cfRule type="expression" dxfId="1" priority="1055">
      <formula>AND(H84&gt;G84,G84&gt;0)</formula>
    </cfRule>
  </conditionalFormatting>
  <conditionalFormatting sqref="H48">
    <cfRule type="expression" dxfId="0" priority="1056">
      <formula>H48&gt;G48</formula>
    </cfRule>
  </conditionalFormatting>
  <conditionalFormatting sqref="H48">
    <cfRule type="expression" dxfId="1" priority="1057">
      <formula>AND(H84&gt;G84,G84&gt;0)</formula>
    </cfRule>
  </conditionalFormatting>
  <conditionalFormatting sqref="H84">
    <cfRule type="expression" dxfId="1" priority="1058">
      <formula>AND(H84&gt;G84,G84&gt;0)</formula>
    </cfRule>
  </conditionalFormatting>
  <conditionalFormatting sqref="I24">
    <cfRule type="expression" dxfId="0" priority="1059">
      <formula>I48&gt;H48</formula>
    </cfRule>
  </conditionalFormatting>
  <conditionalFormatting sqref="I24">
    <cfRule type="expression" dxfId="1" priority="1060">
      <formula>AND(I84&gt;H84,H84&gt;0)</formula>
    </cfRule>
  </conditionalFormatting>
  <conditionalFormatting sqref="I48">
    <cfRule type="expression" dxfId="0" priority="1061">
      <formula>I48&gt;H48</formula>
    </cfRule>
  </conditionalFormatting>
  <conditionalFormatting sqref="I48">
    <cfRule type="expression" dxfId="1" priority="1062">
      <formula>AND(I84&gt;H84,H84&gt;0)</formula>
    </cfRule>
  </conditionalFormatting>
  <conditionalFormatting sqref="I84">
    <cfRule type="expression" dxfId="1" priority="1063">
      <formula>AND(I84&gt;H84,H84&gt;0)</formula>
    </cfRule>
  </conditionalFormatting>
  <conditionalFormatting sqref="J24">
    <cfRule type="expression" dxfId="0" priority="1064">
      <formula>J48&gt;I48</formula>
    </cfRule>
  </conditionalFormatting>
  <conditionalFormatting sqref="J24">
    <cfRule type="expression" dxfId="1" priority="1065">
      <formula>AND(J84&gt;I84,I84&gt;0)</formula>
    </cfRule>
  </conditionalFormatting>
  <conditionalFormatting sqref="J48">
    <cfRule type="expression" dxfId="0" priority="1066">
      <formula>J48&gt;I48</formula>
    </cfRule>
  </conditionalFormatting>
  <conditionalFormatting sqref="J48">
    <cfRule type="expression" dxfId="1" priority="1067">
      <formula>AND(J84&gt;I84,I84&gt;0)</formula>
    </cfRule>
  </conditionalFormatting>
  <conditionalFormatting sqref="J84">
    <cfRule type="expression" dxfId="1" priority="1068">
      <formula>AND(J84&gt;I84,I84&gt;0)</formula>
    </cfRule>
  </conditionalFormatting>
  <conditionalFormatting sqref="K24">
    <cfRule type="expression" dxfId="0" priority="1069">
      <formula>K48&gt;J48</formula>
    </cfRule>
  </conditionalFormatting>
  <conditionalFormatting sqref="K24">
    <cfRule type="expression" dxfId="1" priority="1070">
      <formula>AND(K84&gt;J84,J84&gt;0)</formula>
    </cfRule>
  </conditionalFormatting>
  <conditionalFormatting sqref="K48">
    <cfRule type="expression" dxfId="0" priority="1071">
      <formula>K48&gt;J48</formula>
    </cfRule>
  </conditionalFormatting>
  <conditionalFormatting sqref="K48">
    <cfRule type="expression" dxfId="1" priority="1072">
      <formula>AND(K84&gt;J84,J84&gt;0)</formula>
    </cfRule>
  </conditionalFormatting>
  <conditionalFormatting sqref="K84">
    <cfRule type="expression" dxfId="1" priority="1073">
      <formula>AND(K84&gt;J84,J84&gt;0)</formula>
    </cfRule>
  </conditionalFormatting>
  <conditionalFormatting sqref="B24:K24">
    <cfRule type="expression" dxfId="2" priority="1074">
      <formula>AND(ISNUMBER(B24),B24&gt;$B$50)</formula>
    </cfRule>
  </conditionalFormatting>
  <conditionalFormatting sqref="C85">
    <cfRule type="expression" dxfId="1" priority="1075">
      <formula>C85&gt;B85</formula>
    </cfRule>
  </conditionalFormatting>
  <conditionalFormatting sqref="C64">
    <cfRule type="expression" dxfId="1" priority="1076">
      <formula>C64&gt;B64</formula>
    </cfRule>
  </conditionalFormatting>
  <conditionalFormatting sqref="D85">
    <cfRule type="expression" dxfId="1" priority="1077">
      <formula>D85&gt;C85</formula>
    </cfRule>
  </conditionalFormatting>
  <conditionalFormatting sqref="D64">
    <cfRule type="expression" dxfId="1" priority="1078">
      <formula>D64&gt;C64</formula>
    </cfRule>
  </conditionalFormatting>
  <conditionalFormatting sqref="E85">
    <cfRule type="expression" dxfId="1" priority="1079">
      <formula>E85&gt;D85</formula>
    </cfRule>
  </conditionalFormatting>
  <conditionalFormatting sqref="E64">
    <cfRule type="expression" dxfId="1" priority="1080">
      <formula>E64&gt;D64</formula>
    </cfRule>
  </conditionalFormatting>
  <conditionalFormatting sqref="F85">
    <cfRule type="expression" dxfId="1" priority="1081">
      <formula>F85&gt;E85</formula>
    </cfRule>
  </conditionalFormatting>
  <conditionalFormatting sqref="F64">
    <cfRule type="expression" dxfId="1" priority="1082">
      <formula>F64&gt;E64</formula>
    </cfRule>
  </conditionalFormatting>
  <conditionalFormatting sqref="G85">
    <cfRule type="expression" dxfId="1" priority="1083">
      <formula>G85&gt;F85</formula>
    </cfRule>
  </conditionalFormatting>
  <conditionalFormatting sqref="G64">
    <cfRule type="expression" dxfId="1" priority="1084">
      <formula>G64&gt;F64</formula>
    </cfRule>
  </conditionalFormatting>
  <conditionalFormatting sqref="H85">
    <cfRule type="expression" dxfId="1" priority="1085">
      <formula>H85&gt;G85</formula>
    </cfRule>
  </conditionalFormatting>
  <conditionalFormatting sqref="H64">
    <cfRule type="expression" dxfId="1" priority="1086">
      <formula>H64&gt;G64</formula>
    </cfRule>
  </conditionalFormatting>
  <conditionalFormatting sqref="I85">
    <cfRule type="expression" dxfId="1" priority="1087">
      <formula>I85&gt;H85</formula>
    </cfRule>
  </conditionalFormatting>
  <conditionalFormatting sqref="I64">
    <cfRule type="expression" dxfId="1" priority="1088">
      <formula>I64&gt;H64</formula>
    </cfRule>
  </conditionalFormatting>
  <conditionalFormatting sqref="J85">
    <cfRule type="expression" dxfId="1" priority="1089">
      <formula>J85&gt;I85</formula>
    </cfRule>
  </conditionalFormatting>
  <conditionalFormatting sqref="J64">
    <cfRule type="expression" dxfId="1" priority="1090">
      <formula>J64&gt;I64</formula>
    </cfRule>
  </conditionalFormatting>
  <conditionalFormatting sqref="K85">
    <cfRule type="expression" dxfId="1" priority="1091">
      <formula>K85&gt;J85</formula>
    </cfRule>
  </conditionalFormatting>
  <conditionalFormatting sqref="K64">
    <cfRule type="expression" dxfId="1" priority="1092">
      <formula>K64&gt;J64</formula>
    </cfRule>
  </conditionalFormatting>
  <conditionalFormatting sqref="C220">
    <cfRule type="expression" dxfId="0" priority="1093">
      <formula>C220&gt;B220</formula>
    </cfRule>
  </conditionalFormatting>
  <conditionalFormatting sqref="C201">
    <cfRule type="expression" dxfId="0" priority="1094">
      <formula>C220&gt;B220</formula>
    </cfRule>
  </conditionalFormatting>
  <conditionalFormatting sqref="D220">
    <cfRule type="expression" dxfId="0" priority="1095">
      <formula>D220&gt;C220</formula>
    </cfRule>
  </conditionalFormatting>
  <conditionalFormatting sqref="D201">
    <cfRule type="expression" dxfId="0" priority="1096">
      <formula>D220&gt;C220</formula>
    </cfRule>
  </conditionalFormatting>
  <conditionalFormatting sqref="E220">
    <cfRule type="expression" dxfId="0" priority="1097">
      <formula>E220&gt;D220</formula>
    </cfRule>
  </conditionalFormatting>
  <conditionalFormatting sqref="E201">
    <cfRule type="expression" dxfId="0" priority="1098">
      <formula>E220&gt;D220</formula>
    </cfRule>
  </conditionalFormatting>
  <conditionalFormatting sqref="F220">
    <cfRule type="expression" dxfId="0" priority="1099">
      <formula>F220&gt;E220</formula>
    </cfRule>
  </conditionalFormatting>
  <conditionalFormatting sqref="F201">
    <cfRule type="expression" dxfId="0" priority="1100">
      <formula>F220&gt;E220</formula>
    </cfRule>
  </conditionalFormatting>
  <conditionalFormatting sqref="G220">
    <cfRule type="expression" dxfId="0" priority="1101">
      <formula>G220&gt;F220</formula>
    </cfRule>
  </conditionalFormatting>
  <conditionalFormatting sqref="G201">
    <cfRule type="expression" dxfId="0" priority="1102">
      <formula>G220&gt;F220</formula>
    </cfRule>
  </conditionalFormatting>
  <conditionalFormatting sqref="H220">
    <cfRule type="expression" dxfId="0" priority="1103">
      <formula>H220&gt;G220</formula>
    </cfRule>
  </conditionalFormatting>
  <conditionalFormatting sqref="H201">
    <cfRule type="expression" dxfId="0" priority="1104">
      <formula>H220&gt;G220</formula>
    </cfRule>
  </conditionalFormatting>
  <conditionalFormatting sqref="I220">
    <cfRule type="expression" dxfId="0" priority="1105">
      <formula>I220&gt;H220</formula>
    </cfRule>
  </conditionalFormatting>
  <conditionalFormatting sqref="I201">
    <cfRule type="expression" dxfId="0" priority="1106">
      <formula>I220&gt;H220</formula>
    </cfRule>
  </conditionalFormatting>
  <conditionalFormatting sqref="J220">
    <cfRule type="expression" dxfId="0" priority="1107">
      <formula>J220&gt;I220</formula>
    </cfRule>
  </conditionalFormatting>
  <conditionalFormatting sqref="J201">
    <cfRule type="expression" dxfId="0" priority="1108">
      <formula>J220&gt;I220</formula>
    </cfRule>
  </conditionalFormatting>
  <conditionalFormatting sqref="K220">
    <cfRule type="expression" dxfId="0" priority="1109">
      <formula>K220&gt;J220</formula>
    </cfRule>
  </conditionalFormatting>
  <conditionalFormatting sqref="K201">
    <cfRule type="expression" dxfId="0" priority="1110">
      <formula>K220&gt;J220</formula>
    </cfRule>
  </conditionalFormatting>
  <conditionalFormatting sqref="C221">
    <cfRule type="expression" dxfId="0" priority="1111">
      <formula>C221&gt;B221</formula>
    </cfRule>
  </conditionalFormatting>
  <conditionalFormatting sqref="C202">
    <cfRule type="expression" dxfId="0" priority="1112">
      <formula>C221&gt;B221</formula>
    </cfRule>
  </conditionalFormatting>
  <conditionalFormatting sqref="D221">
    <cfRule type="expression" dxfId="0" priority="1113">
      <formula>D221&gt;C221</formula>
    </cfRule>
  </conditionalFormatting>
  <conditionalFormatting sqref="D202">
    <cfRule type="expression" dxfId="0" priority="1114">
      <formula>D221&gt;C221</formula>
    </cfRule>
  </conditionalFormatting>
  <conditionalFormatting sqref="E221">
    <cfRule type="expression" dxfId="0" priority="1115">
      <formula>E221&gt;D221</formula>
    </cfRule>
  </conditionalFormatting>
  <conditionalFormatting sqref="E202">
    <cfRule type="expression" dxfId="0" priority="1116">
      <formula>E221&gt;D221</formula>
    </cfRule>
  </conditionalFormatting>
  <conditionalFormatting sqref="F221">
    <cfRule type="expression" dxfId="0" priority="1117">
      <formula>F221&gt;E221</formula>
    </cfRule>
  </conditionalFormatting>
  <conditionalFormatting sqref="F202">
    <cfRule type="expression" dxfId="0" priority="1118">
      <formula>F221&gt;E221</formula>
    </cfRule>
  </conditionalFormatting>
  <conditionalFormatting sqref="G221">
    <cfRule type="expression" dxfId="0" priority="1119">
      <formula>G221&gt;F221</formula>
    </cfRule>
  </conditionalFormatting>
  <conditionalFormatting sqref="G202">
    <cfRule type="expression" dxfId="0" priority="1120">
      <formula>G221&gt;F221</formula>
    </cfRule>
  </conditionalFormatting>
  <conditionalFormatting sqref="H221">
    <cfRule type="expression" dxfId="0" priority="1121">
      <formula>H221&gt;G221</formula>
    </cfRule>
  </conditionalFormatting>
  <conditionalFormatting sqref="H202">
    <cfRule type="expression" dxfId="0" priority="1122">
      <formula>H221&gt;G221</formula>
    </cfRule>
  </conditionalFormatting>
  <conditionalFormatting sqref="I221">
    <cfRule type="expression" dxfId="0" priority="1123">
      <formula>I221&gt;H221</formula>
    </cfRule>
  </conditionalFormatting>
  <conditionalFormatting sqref="I202">
    <cfRule type="expression" dxfId="0" priority="1124">
      <formula>I221&gt;H221</formula>
    </cfRule>
  </conditionalFormatting>
  <conditionalFormatting sqref="J221">
    <cfRule type="expression" dxfId="0" priority="1125">
      <formula>J221&gt;I221</formula>
    </cfRule>
  </conditionalFormatting>
  <conditionalFormatting sqref="J202">
    <cfRule type="expression" dxfId="0" priority="1126">
      <formula>J221&gt;I221</formula>
    </cfRule>
  </conditionalFormatting>
  <conditionalFormatting sqref="K221">
    <cfRule type="expression" dxfId="0" priority="1127">
      <formula>K221&gt;J221</formula>
    </cfRule>
  </conditionalFormatting>
  <conditionalFormatting sqref="K202">
    <cfRule type="expression" dxfId="0" priority="1128">
      <formula>K221&gt;J221</formula>
    </cfRule>
  </conditionalFormatting>
  <conditionalFormatting sqref="C222">
    <cfRule type="expression" dxfId="0" priority="1129">
      <formula>C222&gt;B222</formula>
    </cfRule>
  </conditionalFormatting>
  <conditionalFormatting sqref="C203">
    <cfRule type="expression" dxfId="0" priority="1130">
      <formula>C222&gt;B222</formula>
    </cfRule>
  </conditionalFormatting>
  <conditionalFormatting sqref="D222">
    <cfRule type="expression" dxfId="0" priority="1131">
      <formula>D222&gt;C222</formula>
    </cfRule>
  </conditionalFormatting>
  <conditionalFormatting sqref="D203">
    <cfRule type="expression" dxfId="0" priority="1132">
      <formula>D222&gt;C222</formula>
    </cfRule>
  </conditionalFormatting>
  <conditionalFormatting sqref="E222">
    <cfRule type="expression" dxfId="0" priority="1133">
      <formula>E222&gt;D222</formula>
    </cfRule>
  </conditionalFormatting>
  <conditionalFormatting sqref="E203">
    <cfRule type="expression" dxfId="0" priority="1134">
      <formula>E222&gt;D222</formula>
    </cfRule>
  </conditionalFormatting>
  <conditionalFormatting sqref="F222">
    <cfRule type="expression" dxfId="0" priority="1135">
      <formula>F222&gt;E222</formula>
    </cfRule>
  </conditionalFormatting>
  <conditionalFormatting sqref="F203">
    <cfRule type="expression" dxfId="0" priority="1136">
      <formula>F222&gt;E222</formula>
    </cfRule>
  </conditionalFormatting>
  <conditionalFormatting sqref="G222">
    <cfRule type="expression" dxfId="0" priority="1137">
      <formula>G222&gt;F222</formula>
    </cfRule>
  </conditionalFormatting>
  <conditionalFormatting sqref="G203">
    <cfRule type="expression" dxfId="0" priority="1138">
      <formula>G222&gt;F222</formula>
    </cfRule>
  </conditionalFormatting>
  <conditionalFormatting sqref="H222">
    <cfRule type="expression" dxfId="0" priority="1139">
      <formula>H222&gt;G222</formula>
    </cfRule>
  </conditionalFormatting>
  <conditionalFormatting sqref="H203">
    <cfRule type="expression" dxfId="0" priority="1140">
      <formula>H222&gt;G222</formula>
    </cfRule>
  </conditionalFormatting>
  <conditionalFormatting sqref="I222">
    <cfRule type="expression" dxfId="0" priority="1141">
      <formula>I222&gt;H222</formula>
    </cfRule>
  </conditionalFormatting>
  <conditionalFormatting sqref="I203">
    <cfRule type="expression" dxfId="0" priority="1142">
      <formula>I222&gt;H222</formula>
    </cfRule>
  </conditionalFormatting>
  <conditionalFormatting sqref="J222">
    <cfRule type="expression" dxfId="0" priority="1143">
      <formula>J222&gt;I222</formula>
    </cfRule>
  </conditionalFormatting>
  <conditionalFormatting sqref="J203">
    <cfRule type="expression" dxfId="0" priority="1144">
      <formula>J222&gt;I222</formula>
    </cfRule>
  </conditionalFormatting>
  <conditionalFormatting sqref="K222">
    <cfRule type="expression" dxfId="0" priority="1145">
      <formula>K222&gt;J222</formula>
    </cfRule>
  </conditionalFormatting>
  <conditionalFormatting sqref="K203">
    <cfRule type="expression" dxfId="0" priority="1146">
      <formula>K222&gt;J222</formula>
    </cfRule>
  </conditionalFormatting>
  <conditionalFormatting sqref="C223">
    <cfRule type="expression" dxfId="0" priority="1147">
      <formula>C223&gt;B223</formula>
    </cfRule>
  </conditionalFormatting>
  <conditionalFormatting sqref="C204">
    <cfRule type="expression" dxfId="0" priority="1148">
      <formula>C223&gt;B223</formula>
    </cfRule>
  </conditionalFormatting>
  <conditionalFormatting sqref="D223">
    <cfRule type="expression" dxfId="0" priority="1149">
      <formula>D223&gt;C223</formula>
    </cfRule>
  </conditionalFormatting>
  <conditionalFormatting sqref="D204">
    <cfRule type="expression" dxfId="0" priority="1150">
      <formula>D223&gt;C223</formula>
    </cfRule>
  </conditionalFormatting>
  <conditionalFormatting sqref="E223">
    <cfRule type="expression" dxfId="0" priority="1151">
      <formula>E223&gt;D223</formula>
    </cfRule>
  </conditionalFormatting>
  <conditionalFormatting sqref="E204">
    <cfRule type="expression" dxfId="0" priority="1152">
      <formula>E223&gt;D223</formula>
    </cfRule>
  </conditionalFormatting>
  <conditionalFormatting sqref="F223">
    <cfRule type="expression" dxfId="0" priority="1153">
      <formula>F223&gt;E223</formula>
    </cfRule>
  </conditionalFormatting>
  <conditionalFormatting sqref="F204">
    <cfRule type="expression" dxfId="0" priority="1154">
      <formula>F223&gt;E223</formula>
    </cfRule>
  </conditionalFormatting>
  <conditionalFormatting sqref="G223">
    <cfRule type="expression" dxfId="0" priority="1155">
      <formula>G223&gt;F223</formula>
    </cfRule>
  </conditionalFormatting>
  <conditionalFormatting sqref="G204">
    <cfRule type="expression" dxfId="0" priority="1156">
      <formula>G223&gt;F223</formula>
    </cfRule>
  </conditionalFormatting>
  <conditionalFormatting sqref="H223">
    <cfRule type="expression" dxfId="0" priority="1157">
      <formula>H223&gt;G223</formula>
    </cfRule>
  </conditionalFormatting>
  <conditionalFormatting sqref="H204">
    <cfRule type="expression" dxfId="0" priority="1158">
      <formula>H223&gt;G223</formula>
    </cfRule>
  </conditionalFormatting>
  <conditionalFormatting sqref="I223">
    <cfRule type="expression" dxfId="0" priority="1159">
      <formula>I223&gt;H223</formula>
    </cfRule>
  </conditionalFormatting>
  <conditionalFormatting sqref="I204">
    <cfRule type="expression" dxfId="0" priority="1160">
      <formula>I223&gt;H223</formula>
    </cfRule>
  </conditionalFormatting>
  <conditionalFormatting sqref="J223">
    <cfRule type="expression" dxfId="0" priority="1161">
      <formula>J223&gt;I223</formula>
    </cfRule>
  </conditionalFormatting>
  <conditionalFormatting sqref="J204">
    <cfRule type="expression" dxfId="0" priority="1162">
      <formula>J223&gt;I223</formula>
    </cfRule>
  </conditionalFormatting>
  <conditionalFormatting sqref="K223">
    <cfRule type="expression" dxfId="0" priority="1163">
      <formula>K223&gt;J223</formula>
    </cfRule>
  </conditionalFormatting>
  <conditionalFormatting sqref="K204">
    <cfRule type="expression" dxfId="0" priority="1164">
      <formula>K223&gt;J223</formula>
    </cfRule>
  </conditionalFormatting>
  <conditionalFormatting sqref="C224">
    <cfRule type="expression" dxfId="0" priority="1165">
      <formula>C224&gt;B224</formula>
    </cfRule>
  </conditionalFormatting>
  <conditionalFormatting sqref="C205">
    <cfRule type="expression" dxfId="0" priority="1166">
      <formula>C224&gt;B224</formula>
    </cfRule>
  </conditionalFormatting>
  <conditionalFormatting sqref="D224">
    <cfRule type="expression" dxfId="0" priority="1167">
      <formula>D224&gt;C224</formula>
    </cfRule>
  </conditionalFormatting>
  <conditionalFormatting sqref="D205">
    <cfRule type="expression" dxfId="0" priority="1168">
      <formula>D224&gt;C224</formula>
    </cfRule>
  </conditionalFormatting>
  <conditionalFormatting sqref="E224">
    <cfRule type="expression" dxfId="0" priority="1169">
      <formula>E224&gt;D224</formula>
    </cfRule>
  </conditionalFormatting>
  <conditionalFormatting sqref="E205">
    <cfRule type="expression" dxfId="0" priority="1170">
      <formula>E224&gt;D224</formula>
    </cfRule>
  </conditionalFormatting>
  <conditionalFormatting sqref="F224">
    <cfRule type="expression" dxfId="0" priority="1171">
      <formula>F224&gt;E224</formula>
    </cfRule>
  </conditionalFormatting>
  <conditionalFormatting sqref="F205">
    <cfRule type="expression" dxfId="0" priority="1172">
      <formula>F224&gt;E224</formula>
    </cfRule>
  </conditionalFormatting>
  <conditionalFormatting sqref="G224">
    <cfRule type="expression" dxfId="0" priority="1173">
      <formula>G224&gt;F224</formula>
    </cfRule>
  </conditionalFormatting>
  <conditionalFormatting sqref="G205">
    <cfRule type="expression" dxfId="0" priority="1174">
      <formula>G224&gt;F224</formula>
    </cfRule>
  </conditionalFormatting>
  <conditionalFormatting sqref="H224">
    <cfRule type="expression" dxfId="0" priority="1175">
      <formula>H224&gt;G224</formula>
    </cfRule>
  </conditionalFormatting>
  <conditionalFormatting sqref="H205">
    <cfRule type="expression" dxfId="0" priority="1176">
      <formula>H224&gt;G224</formula>
    </cfRule>
  </conditionalFormatting>
  <conditionalFormatting sqref="I224">
    <cfRule type="expression" dxfId="0" priority="1177">
      <formula>I224&gt;H224</formula>
    </cfRule>
  </conditionalFormatting>
  <conditionalFormatting sqref="I205">
    <cfRule type="expression" dxfId="0" priority="1178">
      <formula>I224&gt;H224</formula>
    </cfRule>
  </conditionalFormatting>
  <conditionalFormatting sqref="J224">
    <cfRule type="expression" dxfId="0" priority="1179">
      <formula>J224&gt;I224</formula>
    </cfRule>
  </conditionalFormatting>
  <conditionalFormatting sqref="J205">
    <cfRule type="expression" dxfId="0" priority="1180">
      <formula>J224&gt;I224</formula>
    </cfRule>
  </conditionalFormatting>
  <conditionalFormatting sqref="K224">
    <cfRule type="expression" dxfId="0" priority="1181">
      <formula>K224&gt;J224</formula>
    </cfRule>
  </conditionalFormatting>
  <conditionalFormatting sqref="K205">
    <cfRule type="expression" dxfId="0" priority="1182">
      <formula>K224&gt;J224</formula>
    </cfRule>
  </conditionalFormatting>
  <conditionalFormatting sqref="C225">
    <cfRule type="expression" dxfId="0" priority="1183">
      <formula>C225&gt;B225</formula>
    </cfRule>
  </conditionalFormatting>
  <conditionalFormatting sqref="C206">
    <cfRule type="expression" dxfId="0" priority="1184">
      <formula>C225&gt;B225</formula>
    </cfRule>
  </conditionalFormatting>
  <conditionalFormatting sqref="D225">
    <cfRule type="expression" dxfId="0" priority="1185">
      <formula>D225&gt;C225</formula>
    </cfRule>
  </conditionalFormatting>
  <conditionalFormatting sqref="D206">
    <cfRule type="expression" dxfId="0" priority="1186">
      <formula>D225&gt;C225</formula>
    </cfRule>
  </conditionalFormatting>
  <conditionalFormatting sqref="E225">
    <cfRule type="expression" dxfId="0" priority="1187">
      <formula>E225&gt;D225</formula>
    </cfRule>
  </conditionalFormatting>
  <conditionalFormatting sqref="E206">
    <cfRule type="expression" dxfId="0" priority="1188">
      <formula>E225&gt;D225</formula>
    </cfRule>
  </conditionalFormatting>
  <conditionalFormatting sqref="F225">
    <cfRule type="expression" dxfId="0" priority="1189">
      <formula>F225&gt;E225</formula>
    </cfRule>
  </conditionalFormatting>
  <conditionalFormatting sqref="F206">
    <cfRule type="expression" dxfId="0" priority="1190">
      <formula>F225&gt;E225</formula>
    </cfRule>
  </conditionalFormatting>
  <conditionalFormatting sqref="G225">
    <cfRule type="expression" dxfId="0" priority="1191">
      <formula>G225&gt;F225</formula>
    </cfRule>
  </conditionalFormatting>
  <conditionalFormatting sqref="G206">
    <cfRule type="expression" dxfId="0" priority="1192">
      <formula>G225&gt;F225</formula>
    </cfRule>
  </conditionalFormatting>
  <conditionalFormatting sqref="H225">
    <cfRule type="expression" dxfId="0" priority="1193">
      <formula>H225&gt;G225</formula>
    </cfRule>
  </conditionalFormatting>
  <conditionalFormatting sqref="H206">
    <cfRule type="expression" dxfId="0" priority="1194">
      <formula>H225&gt;G225</formula>
    </cfRule>
  </conditionalFormatting>
  <conditionalFormatting sqref="I225">
    <cfRule type="expression" dxfId="0" priority="1195">
      <formula>I225&gt;H225</formula>
    </cfRule>
  </conditionalFormatting>
  <conditionalFormatting sqref="I206">
    <cfRule type="expression" dxfId="0" priority="1196">
      <formula>I225&gt;H225</formula>
    </cfRule>
  </conditionalFormatting>
  <conditionalFormatting sqref="J225">
    <cfRule type="expression" dxfId="0" priority="1197">
      <formula>J225&gt;I225</formula>
    </cfRule>
  </conditionalFormatting>
  <conditionalFormatting sqref="J206">
    <cfRule type="expression" dxfId="0" priority="1198">
      <formula>J225&gt;I225</formula>
    </cfRule>
  </conditionalFormatting>
  <conditionalFormatting sqref="K225">
    <cfRule type="expression" dxfId="0" priority="1199">
      <formula>K225&gt;J225</formula>
    </cfRule>
  </conditionalFormatting>
  <conditionalFormatting sqref="K206">
    <cfRule type="expression" dxfId="0" priority="1200">
      <formula>K225&gt;J225</formula>
    </cfRule>
  </conditionalFormatting>
  <conditionalFormatting sqref="C226">
    <cfRule type="expression" dxfId="0" priority="1201">
      <formula>C226&gt;B226</formula>
    </cfRule>
  </conditionalFormatting>
  <conditionalFormatting sqref="C207">
    <cfRule type="expression" dxfId="0" priority="1202">
      <formula>C226&gt;B226</formula>
    </cfRule>
  </conditionalFormatting>
  <conditionalFormatting sqref="D226">
    <cfRule type="expression" dxfId="0" priority="1203">
      <formula>D226&gt;C226</formula>
    </cfRule>
  </conditionalFormatting>
  <conditionalFormatting sqref="D207">
    <cfRule type="expression" dxfId="0" priority="1204">
      <formula>D226&gt;C226</formula>
    </cfRule>
  </conditionalFormatting>
  <conditionalFormatting sqref="E226">
    <cfRule type="expression" dxfId="0" priority="1205">
      <formula>E226&gt;D226</formula>
    </cfRule>
  </conditionalFormatting>
  <conditionalFormatting sqref="E207">
    <cfRule type="expression" dxfId="0" priority="1206">
      <formula>E226&gt;D226</formula>
    </cfRule>
  </conditionalFormatting>
  <conditionalFormatting sqref="F226">
    <cfRule type="expression" dxfId="0" priority="1207">
      <formula>F226&gt;E226</formula>
    </cfRule>
  </conditionalFormatting>
  <conditionalFormatting sqref="F207">
    <cfRule type="expression" dxfId="0" priority="1208">
      <formula>F226&gt;E226</formula>
    </cfRule>
  </conditionalFormatting>
  <conditionalFormatting sqref="G226">
    <cfRule type="expression" dxfId="0" priority="1209">
      <formula>G226&gt;F226</formula>
    </cfRule>
  </conditionalFormatting>
  <conditionalFormatting sqref="G207">
    <cfRule type="expression" dxfId="0" priority="1210">
      <formula>G226&gt;F226</formula>
    </cfRule>
  </conditionalFormatting>
  <conditionalFormatting sqref="H226">
    <cfRule type="expression" dxfId="0" priority="1211">
      <formula>H226&gt;G226</formula>
    </cfRule>
  </conditionalFormatting>
  <conditionalFormatting sqref="H207">
    <cfRule type="expression" dxfId="0" priority="1212">
      <formula>H226&gt;G226</formula>
    </cfRule>
  </conditionalFormatting>
  <conditionalFormatting sqref="I226">
    <cfRule type="expression" dxfId="0" priority="1213">
      <formula>I226&gt;H226</formula>
    </cfRule>
  </conditionalFormatting>
  <conditionalFormatting sqref="I207">
    <cfRule type="expression" dxfId="0" priority="1214">
      <formula>I226&gt;H226</formula>
    </cfRule>
  </conditionalFormatting>
  <conditionalFormatting sqref="J226">
    <cfRule type="expression" dxfId="0" priority="1215">
      <formula>J226&gt;I226</formula>
    </cfRule>
  </conditionalFormatting>
  <conditionalFormatting sqref="J207">
    <cfRule type="expression" dxfId="0" priority="1216">
      <formula>J226&gt;I226</formula>
    </cfRule>
  </conditionalFormatting>
  <conditionalFormatting sqref="K226">
    <cfRule type="expression" dxfId="0" priority="1217">
      <formula>K226&gt;J226</formula>
    </cfRule>
  </conditionalFormatting>
  <conditionalFormatting sqref="K207">
    <cfRule type="expression" dxfId="0" priority="1218">
      <formula>K226&gt;J226</formula>
    </cfRule>
  </conditionalFormatting>
  <conditionalFormatting sqref="C227">
    <cfRule type="expression" dxfId="0" priority="1219">
      <formula>C227&gt;B227</formula>
    </cfRule>
  </conditionalFormatting>
  <conditionalFormatting sqref="C208">
    <cfRule type="expression" dxfId="0" priority="1220">
      <formula>C227&gt;B227</formula>
    </cfRule>
  </conditionalFormatting>
  <conditionalFormatting sqref="D227">
    <cfRule type="expression" dxfId="0" priority="1221">
      <formula>D227&gt;C227</formula>
    </cfRule>
  </conditionalFormatting>
  <conditionalFormatting sqref="D208">
    <cfRule type="expression" dxfId="0" priority="1222">
      <formula>D227&gt;C227</formula>
    </cfRule>
  </conditionalFormatting>
  <conditionalFormatting sqref="E227">
    <cfRule type="expression" dxfId="0" priority="1223">
      <formula>E227&gt;D227</formula>
    </cfRule>
  </conditionalFormatting>
  <conditionalFormatting sqref="E208">
    <cfRule type="expression" dxfId="0" priority="1224">
      <formula>E227&gt;D227</formula>
    </cfRule>
  </conditionalFormatting>
  <conditionalFormatting sqref="F227">
    <cfRule type="expression" dxfId="0" priority="1225">
      <formula>F227&gt;E227</formula>
    </cfRule>
  </conditionalFormatting>
  <conditionalFormatting sqref="F208">
    <cfRule type="expression" dxfId="0" priority="1226">
      <formula>F227&gt;E227</formula>
    </cfRule>
  </conditionalFormatting>
  <conditionalFormatting sqref="G227">
    <cfRule type="expression" dxfId="0" priority="1227">
      <formula>G227&gt;F227</formula>
    </cfRule>
  </conditionalFormatting>
  <conditionalFormatting sqref="G208">
    <cfRule type="expression" dxfId="0" priority="1228">
      <formula>G227&gt;F227</formula>
    </cfRule>
  </conditionalFormatting>
  <conditionalFormatting sqref="H227">
    <cfRule type="expression" dxfId="0" priority="1229">
      <formula>H227&gt;G227</formula>
    </cfRule>
  </conditionalFormatting>
  <conditionalFormatting sqref="H208">
    <cfRule type="expression" dxfId="0" priority="1230">
      <formula>H227&gt;G227</formula>
    </cfRule>
  </conditionalFormatting>
  <conditionalFormatting sqref="I227">
    <cfRule type="expression" dxfId="0" priority="1231">
      <formula>I227&gt;H227</formula>
    </cfRule>
  </conditionalFormatting>
  <conditionalFormatting sqref="I208">
    <cfRule type="expression" dxfId="0" priority="1232">
      <formula>I227&gt;H227</formula>
    </cfRule>
  </conditionalFormatting>
  <conditionalFormatting sqref="J227">
    <cfRule type="expression" dxfId="0" priority="1233">
      <formula>J227&gt;I227</formula>
    </cfRule>
  </conditionalFormatting>
  <conditionalFormatting sqref="J208">
    <cfRule type="expression" dxfId="0" priority="1234">
      <formula>J227&gt;I227</formula>
    </cfRule>
  </conditionalFormatting>
  <conditionalFormatting sqref="K227">
    <cfRule type="expression" dxfId="0" priority="1235">
      <formula>K227&gt;J227</formula>
    </cfRule>
  </conditionalFormatting>
  <conditionalFormatting sqref="K208">
    <cfRule type="expression" dxfId="0" priority="1236">
      <formula>K227&gt;J227</formula>
    </cfRule>
  </conditionalFormatting>
  <conditionalFormatting sqref="C235">
    <cfRule type="expression" dxfId="0" priority="1237">
      <formula>C235&gt;B235</formula>
    </cfRule>
  </conditionalFormatting>
  <conditionalFormatting sqref="C233">
    <cfRule type="expression" dxfId="0" priority="1238">
      <formula>C235&gt;B235</formula>
    </cfRule>
  </conditionalFormatting>
  <conditionalFormatting sqref="D235">
    <cfRule type="expression" dxfId="0" priority="1239">
      <formula>D235&gt;C235</formula>
    </cfRule>
  </conditionalFormatting>
  <conditionalFormatting sqref="D233">
    <cfRule type="expression" dxfId="0" priority="1240">
      <formula>D235&gt;C235</formula>
    </cfRule>
  </conditionalFormatting>
  <conditionalFormatting sqref="E235">
    <cfRule type="expression" dxfId="0" priority="1241">
      <formula>E235&gt;D235</formula>
    </cfRule>
  </conditionalFormatting>
  <conditionalFormatting sqref="E233">
    <cfRule type="expression" dxfId="0" priority="1242">
      <formula>E235&gt;D235</formula>
    </cfRule>
  </conditionalFormatting>
  <conditionalFormatting sqref="F235">
    <cfRule type="expression" dxfId="0" priority="1243">
      <formula>F235&gt;E235</formula>
    </cfRule>
  </conditionalFormatting>
  <conditionalFormatting sqref="F233">
    <cfRule type="expression" dxfId="0" priority="1244">
      <formula>F235&gt;E235</formula>
    </cfRule>
  </conditionalFormatting>
  <conditionalFormatting sqref="G235">
    <cfRule type="expression" dxfId="0" priority="1245">
      <formula>G235&gt;F235</formula>
    </cfRule>
  </conditionalFormatting>
  <conditionalFormatting sqref="G233">
    <cfRule type="expression" dxfId="0" priority="1246">
      <formula>G235&gt;F235</formula>
    </cfRule>
  </conditionalFormatting>
  <conditionalFormatting sqref="H235">
    <cfRule type="expression" dxfId="0" priority="1247">
      <formula>H235&gt;G235</formula>
    </cfRule>
  </conditionalFormatting>
  <conditionalFormatting sqref="H233">
    <cfRule type="expression" dxfId="0" priority="1248">
      <formula>H235&gt;G235</formula>
    </cfRule>
  </conditionalFormatting>
  <conditionalFormatting sqref="I235">
    <cfRule type="expression" dxfId="0" priority="1249">
      <formula>I235&gt;H235</formula>
    </cfRule>
  </conditionalFormatting>
  <conditionalFormatting sqref="I233">
    <cfRule type="expression" dxfId="0" priority="1250">
      <formula>I235&gt;H235</formula>
    </cfRule>
  </conditionalFormatting>
  <conditionalFormatting sqref="J235">
    <cfRule type="expression" dxfId="0" priority="1251">
      <formula>J235&gt;I235</formula>
    </cfRule>
  </conditionalFormatting>
  <conditionalFormatting sqref="J233">
    <cfRule type="expression" dxfId="0" priority="1252">
      <formula>J235&gt;I235</formula>
    </cfRule>
  </conditionalFormatting>
  <conditionalFormatting sqref="K235">
    <cfRule type="expression" dxfId="0" priority="1253">
      <formula>K235&gt;J235</formula>
    </cfRule>
  </conditionalFormatting>
  <conditionalFormatting sqref="K233">
    <cfRule type="expression" dxfId="0" priority="1254">
      <formula>K235&gt;J235</formula>
    </cfRule>
  </conditionalFormatting>
  <conditionalFormatting sqref="C272">
    <cfRule type="expression" dxfId="1" priority="1255">
      <formula>C272&gt;B272</formula>
    </cfRule>
  </conditionalFormatting>
  <conditionalFormatting sqref="D272">
    <cfRule type="expression" dxfId="1" priority="1256">
      <formula>D272&gt;C272</formula>
    </cfRule>
  </conditionalFormatting>
  <conditionalFormatting sqref="E272">
    <cfRule type="expression" dxfId="1" priority="1257">
      <formula>E272&gt;D272</formula>
    </cfRule>
  </conditionalFormatting>
  <conditionalFormatting sqref="F272">
    <cfRule type="expression" dxfId="1" priority="1258">
      <formula>F272&gt;E272</formula>
    </cfRule>
  </conditionalFormatting>
  <conditionalFormatting sqref="G272">
    <cfRule type="expression" dxfId="1" priority="1259">
      <formula>G272&gt;F272</formula>
    </cfRule>
  </conditionalFormatting>
  <conditionalFormatting sqref="H272">
    <cfRule type="expression" dxfId="1" priority="1260">
      <formula>H272&gt;G272</formula>
    </cfRule>
  </conditionalFormatting>
  <conditionalFormatting sqref="I272">
    <cfRule type="expression" dxfId="1" priority="1261">
      <formula>I272&gt;H272</formula>
    </cfRule>
  </conditionalFormatting>
  <conditionalFormatting sqref="J272">
    <cfRule type="expression" dxfId="1" priority="1262">
      <formula>J272&gt;I272</formula>
    </cfRule>
  </conditionalFormatting>
  <conditionalFormatting sqref="K272">
    <cfRule type="expression" dxfId="1" priority="1263">
      <formula>K272&gt;J272</formula>
    </cfRule>
  </conditionalFormatting>
  <conditionalFormatting sqref="C243">
    <cfRule type="expression" dxfId="4" priority="1264">
      <formula>C273&gt;B273</formula>
    </cfRule>
  </conditionalFormatting>
  <conditionalFormatting sqref="C243">
    <cfRule type="expression" dxfId="1" priority="1265">
      <formula>C304&gt;B304</formula>
    </cfRule>
  </conditionalFormatting>
  <conditionalFormatting sqref="C273">
    <cfRule type="expression" dxfId="4" priority="1266">
      <formula>C273&gt;B273</formula>
    </cfRule>
  </conditionalFormatting>
  <conditionalFormatting sqref="C273">
    <cfRule type="expression" dxfId="1" priority="1267">
      <formula>C304&gt;B304</formula>
    </cfRule>
  </conditionalFormatting>
  <conditionalFormatting sqref="C304">
    <cfRule type="expression" dxfId="1" priority="1268">
      <formula>C304&gt;B304</formula>
    </cfRule>
  </conditionalFormatting>
  <conditionalFormatting sqref="D243">
    <cfRule type="expression" dxfId="4" priority="1269">
      <formula>D273&gt;C273</formula>
    </cfRule>
  </conditionalFormatting>
  <conditionalFormatting sqref="D243">
    <cfRule type="expression" dxfId="1" priority="1270">
      <formula>D304&gt;C304</formula>
    </cfRule>
  </conditionalFormatting>
  <conditionalFormatting sqref="D273">
    <cfRule type="expression" dxfId="4" priority="1271">
      <formula>D273&gt;C273</formula>
    </cfRule>
  </conditionalFormatting>
  <conditionalFormatting sqref="D273">
    <cfRule type="expression" dxfId="1" priority="1272">
      <formula>D304&gt;C304</formula>
    </cfRule>
  </conditionalFormatting>
  <conditionalFormatting sqref="D304">
    <cfRule type="expression" dxfId="1" priority="1273">
      <formula>D304&gt;C304</formula>
    </cfRule>
  </conditionalFormatting>
  <conditionalFormatting sqref="E243">
    <cfRule type="expression" dxfId="4" priority="1274">
      <formula>E273&gt;D273</formula>
    </cfRule>
  </conditionalFormatting>
  <conditionalFormatting sqref="E243">
    <cfRule type="expression" dxfId="1" priority="1275">
      <formula>E304&gt;D304</formula>
    </cfRule>
  </conditionalFormatting>
  <conditionalFormatting sqref="E273">
    <cfRule type="expression" dxfId="4" priority="1276">
      <formula>E273&gt;D273</formula>
    </cfRule>
  </conditionalFormatting>
  <conditionalFormatting sqref="E273">
    <cfRule type="expression" dxfId="1" priority="1277">
      <formula>E304&gt;D304</formula>
    </cfRule>
  </conditionalFormatting>
  <conditionalFormatting sqref="E304">
    <cfRule type="expression" dxfId="1" priority="1278">
      <formula>E304&gt;D304</formula>
    </cfRule>
  </conditionalFormatting>
  <conditionalFormatting sqref="F243">
    <cfRule type="expression" dxfId="4" priority="1279">
      <formula>F273&gt;E273</formula>
    </cfRule>
  </conditionalFormatting>
  <conditionalFormatting sqref="F243">
    <cfRule type="expression" dxfId="1" priority="1280">
      <formula>F304&gt;E304</formula>
    </cfRule>
  </conditionalFormatting>
  <conditionalFormatting sqref="F273">
    <cfRule type="expression" dxfId="4" priority="1281">
      <formula>F273&gt;E273</formula>
    </cfRule>
  </conditionalFormatting>
  <conditionalFormatting sqref="F273">
    <cfRule type="expression" dxfId="1" priority="1282">
      <formula>F304&gt;E304</formula>
    </cfRule>
  </conditionalFormatting>
  <conditionalFormatting sqref="F304">
    <cfRule type="expression" dxfId="1" priority="1283">
      <formula>F304&gt;E304</formula>
    </cfRule>
  </conditionalFormatting>
  <conditionalFormatting sqref="G243">
    <cfRule type="expression" dxfId="4" priority="1284">
      <formula>G273&gt;F273</formula>
    </cfRule>
  </conditionalFormatting>
  <conditionalFormatting sqref="G243">
    <cfRule type="expression" dxfId="1" priority="1285">
      <formula>G304&gt;F304</formula>
    </cfRule>
  </conditionalFormatting>
  <conditionalFormatting sqref="G273">
    <cfRule type="expression" dxfId="4" priority="1286">
      <formula>G273&gt;F273</formula>
    </cfRule>
  </conditionalFormatting>
  <conditionalFormatting sqref="G273">
    <cfRule type="expression" dxfId="1" priority="1287">
      <formula>G304&gt;F304</formula>
    </cfRule>
  </conditionalFormatting>
  <conditionalFormatting sqref="G304">
    <cfRule type="expression" dxfId="1" priority="1288">
      <formula>G304&gt;F304</formula>
    </cfRule>
  </conditionalFormatting>
  <conditionalFormatting sqref="H243">
    <cfRule type="expression" dxfId="4" priority="1289">
      <formula>H273&gt;G273</formula>
    </cfRule>
  </conditionalFormatting>
  <conditionalFormatting sqref="H243">
    <cfRule type="expression" dxfId="1" priority="1290">
      <formula>H304&gt;G304</formula>
    </cfRule>
  </conditionalFormatting>
  <conditionalFormatting sqref="H273">
    <cfRule type="expression" dxfId="4" priority="1291">
      <formula>H273&gt;G273</formula>
    </cfRule>
  </conditionalFormatting>
  <conditionalFormatting sqref="H273">
    <cfRule type="expression" dxfId="1" priority="1292">
      <formula>H304&gt;G304</formula>
    </cfRule>
  </conditionalFormatting>
  <conditionalFormatting sqref="H304">
    <cfRule type="expression" dxfId="1" priority="1293">
      <formula>H304&gt;G304</formula>
    </cfRule>
  </conditionalFormatting>
  <conditionalFormatting sqref="I243">
    <cfRule type="expression" dxfId="4" priority="1294">
      <formula>I273&gt;H273</formula>
    </cfRule>
  </conditionalFormatting>
  <conditionalFormatting sqref="I243">
    <cfRule type="expression" dxfId="1" priority="1295">
      <formula>I304&gt;H304</formula>
    </cfRule>
  </conditionalFormatting>
  <conditionalFormatting sqref="I273">
    <cfRule type="expression" dxfId="4" priority="1296">
      <formula>I273&gt;H273</formula>
    </cfRule>
  </conditionalFormatting>
  <conditionalFormatting sqref="I273">
    <cfRule type="expression" dxfId="1" priority="1297">
      <formula>I304&gt;H304</formula>
    </cfRule>
  </conditionalFormatting>
  <conditionalFormatting sqref="I304">
    <cfRule type="expression" dxfId="1" priority="1298">
      <formula>I304&gt;H304</formula>
    </cfRule>
  </conditionalFormatting>
  <conditionalFormatting sqref="J243">
    <cfRule type="expression" dxfId="4" priority="1299">
      <formula>J273&gt;I273</formula>
    </cfRule>
  </conditionalFormatting>
  <conditionalFormatting sqref="J243">
    <cfRule type="expression" dxfId="1" priority="1300">
      <formula>J304&gt;I304</formula>
    </cfRule>
  </conditionalFormatting>
  <conditionalFormatting sqref="J273">
    <cfRule type="expression" dxfId="4" priority="1301">
      <formula>J273&gt;I273</formula>
    </cfRule>
  </conditionalFormatting>
  <conditionalFormatting sqref="J273">
    <cfRule type="expression" dxfId="1" priority="1302">
      <formula>J304&gt;I304</formula>
    </cfRule>
  </conditionalFormatting>
  <conditionalFormatting sqref="J304">
    <cfRule type="expression" dxfId="1" priority="1303">
      <formula>J304&gt;I304</formula>
    </cfRule>
  </conditionalFormatting>
  <conditionalFormatting sqref="K243">
    <cfRule type="expression" dxfId="4" priority="1304">
      <formula>K273&gt;J273</formula>
    </cfRule>
  </conditionalFormatting>
  <conditionalFormatting sqref="K243">
    <cfRule type="expression" dxfId="1" priority="1305">
      <formula>K304&gt;J304</formula>
    </cfRule>
  </conditionalFormatting>
  <conditionalFormatting sqref="K273">
    <cfRule type="expression" dxfId="4" priority="1306">
      <formula>K273&gt;J273</formula>
    </cfRule>
  </conditionalFormatting>
  <conditionalFormatting sqref="K273">
    <cfRule type="expression" dxfId="1" priority="1307">
      <formula>K304&gt;J304</formula>
    </cfRule>
  </conditionalFormatting>
  <conditionalFormatting sqref="K304">
    <cfRule type="expression" dxfId="1" priority="1308">
      <formula>K304&gt;J304</formula>
    </cfRule>
  </conditionalFormatting>
  <conditionalFormatting sqref="B243:K243">
    <cfRule type="expression" dxfId="2" priority="1309">
      <formula>B243&gt;$B$50</formula>
    </cfRule>
  </conditionalFormatting>
  <conditionalFormatting sqref="C244">
    <cfRule type="expression" dxfId="4" priority="1310">
      <formula>C274&gt;B274</formula>
    </cfRule>
  </conditionalFormatting>
  <conditionalFormatting sqref="C244">
    <cfRule type="expression" dxfId="1" priority="1311">
      <formula>C305&gt;B305</formula>
    </cfRule>
  </conditionalFormatting>
  <conditionalFormatting sqref="C274">
    <cfRule type="expression" dxfId="4" priority="1312">
      <formula>C274&gt;B274</formula>
    </cfRule>
  </conditionalFormatting>
  <conditionalFormatting sqref="C274">
    <cfRule type="expression" dxfId="1" priority="1313">
      <formula>C305&gt;B305</formula>
    </cfRule>
  </conditionalFormatting>
  <conditionalFormatting sqref="C305">
    <cfRule type="expression" dxfId="1" priority="1314">
      <formula>C305&gt;B305</formula>
    </cfRule>
  </conditionalFormatting>
  <conditionalFormatting sqref="D244">
    <cfRule type="expression" dxfId="4" priority="1315">
      <formula>D274&gt;C274</formula>
    </cfRule>
  </conditionalFormatting>
  <conditionalFormatting sqref="D244">
    <cfRule type="expression" dxfId="1" priority="1316">
      <formula>D305&gt;C305</formula>
    </cfRule>
  </conditionalFormatting>
  <conditionalFormatting sqref="D274">
    <cfRule type="expression" dxfId="4" priority="1317">
      <formula>D274&gt;C274</formula>
    </cfRule>
  </conditionalFormatting>
  <conditionalFormatting sqref="D274">
    <cfRule type="expression" dxfId="1" priority="1318">
      <formula>D305&gt;C305</formula>
    </cfRule>
  </conditionalFormatting>
  <conditionalFormatting sqref="D305">
    <cfRule type="expression" dxfId="1" priority="1319">
      <formula>D305&gt;C305</formula>
    </cfRule>
  </conditionalFormatting>
  <conditionalFormatting sqref="E244">
    <cfRule type="expression" dxfId="4" priority="1320">
      <formula>E274&gt;D274</formula>
    </cfRule>
  </conditionalFormatting>
  <conditionalFormatting sqref="E244">
    <cfRule type="expression" dxfId="1" priority="1321">
      <formula>E305&gt;D305</formula>
    </cfRule>
  </conditionalFormatting>
  <conditionalFormatting sqref="E274">
    <cfRule type="expression" dxfId="4" priority="1322">
      <formula>E274&gt;D274</formula>
    </cfRule>
  </conditionalFormatting>
  <conditionalFormatting sqref="E274">
    <cfRule type="expression" dxfId="1" priority="1323">
      <formula>E305&gt;D305</formula>
    </cfRule>
  </conditionalFormatting>
  <conditionalFormatting sqref="E305">
    <cfRule type="expression" dxfId="1" priority="1324">
      <formula>E305&gt;D305</formula>
    </cfRule>
  </conditionalFormatting>
  <conditionalFormatting sqref="F244">
    <cfRule type="expression" dxfId="4" priority="1325">
      <formula>F274&gt;E274</formula>
    </cfRule>
  </conditionalFormatting>
  <conditionalFormatting sqref="F244">
    <cfRule type="expression" dxfId="1" priority="1326">
      <formula>F305&gt;E305</formula>
    </cfRule>
  </conditionalFormatting>
  <conditionalFormatting sqref="F274">
    <cfRule type="expression" dxfId="4" priority="1327">
      <formula>F274&gt;E274</formula>
    </cfRule>
  </conditionalFormatting>
  <conditionalFormatting sqref="F274">
    <cfRule type="expression" dxfId="1" priority="1328">
      <formula>F305&gt;E305</formula>
    </cfRule>
  </conditionalFormatting>
  <conditionalFormatting sqref="F305">
    <cfRule type="expression" dxfId="1" priority="1329">
      <formula>F305&gt;E305</formula>
    </cfRule>
  </conditionalFormatting>
  <conditionalFormatting sqref="G244">
    <cfRule type="expression" dxfId="4" priority="1330">
      <formula>G274&gt;F274</formula>
    </cfRule>
  </conditionalFormatting>
  <conditionalFormatting sqref="G244">
    <cfRule type="expression" dxfId="1" priority="1331">
      <formula>G305&gt;F305</formula>
    </cfRule>
  </conditionalFormatting>
  <conditionalFormatting sqref="G274">
    <cfRule type="expression" dxfId="4" priority="1332">
      <formula>G274&gt;F274</formula>
    </cfRule>
  </conditionalFormatting>
  <conditionalFormatting sqref="G274">
    <cfRule type="expression" dxfId="1" priority="1333">
      <formula>G305&gt;F305</formula>
    </cfRule>
  </conditionalFormatting>
  <conditionalFormatting sqref="G305">
    <cfRule type="expression" dxfId="1" priority="1334">
      <formula>G305&gt;F305</formula>
    </cfRule>
  </conditionalFormatting>
  <conditionalFormatting sqref="H244">
    <cfRule type="expression" dxfId="4" priority="1335">
      <formula>H274&gt;G274</formula>
    </cfRule>
  </conditionalFormatting>
  <conditionalFormatting sqref="H244">
    <cfRule type="expression" dxfId="1" priority="1336">
      <formula>H305&gt;G305</formula>
    </cfRule>
  </conditionalFormatting>
  <conditionalFormatting sqref="H274">
    <cfRule type="expression" dxfId="4" priority="1337">
      <formula>H274&gt;G274</formula>
    </cfRule>
  </conditionalFormatting>
  <conditionalFormatting sqref="H274">
    <cfRule type="expression" dxfId="1" priority="1338">
      <formula>H305&gt;G305</formula>
    </cfRule>
  </conditionalFormatting>
  <conditionalFormatting sqref="H305">
    <cfRule type="expression" dxfId="1" priority="1339">
      <formula>H305&gt;G305</formula>
    </cfRule>
  </conditionalFormatting>
  <conditionalFormatting sqref="I244">
    <cfRule type="expression" dxfId="4" priority="1340">
      <formula>I274&gt;H274</formula>
    </cfRule>
  </conditionalFormatting>
  <conditionalFormatting sqref="I244">
    <cfRule type="expression" dxfId="1" priority="1341">
      <formula>I305&gt;H305</formula>
    </cfRule>
  </conditionalFormatting>
  <conditionalFormatting sqref="I274">
    <cfRule type="expression" dxfId="4" priority="1342">
      <formula>I274&gt;H274</formula>
    </cfRule>
  </conditionalFormatting>
  <conditionalFormatting sqref="I274">
    <cfRule type="expression" dxfId="1" priority="1343">
      <formula>I305&gt;H305</formula>
    </cfRule>
  </conditionalFormatting>
  <conditionalFormatting sqref="I305">
    <cfRule type="expression" dxfId="1" priority="1344">
      <formula>I305&gt;H305</formula>
    </cfRule>
  </conditionalFormatting>
  <conditionalFormatting sqref="J244">
    <cfRule type="expression" dxfId="4" priority="1345">
      <formula>J274&gt;I274</formula>
    </cfRule>
  </conditionalFormatting>
  <conditionalFormatting sqref="J244">
    <cfRule type="expression" dxfId="1" priority="1346">
      <formula>J305&gt;I305</formula>
    </cfRule>
  </conditionalFormatting>
  <conditionalFormatting sqref="J274">
    <cfRule type="expression" dxfId="4" priority="1347">
      <formula>J274&gt;I274</formula>
    </cfRule>
  </conditionalFormatting>
  <conditionalFormatting sqref="J274">
    <cfRule type="expression" dxfId="1" priority="1348">
      <formula>J305&gt;I305</formula>
    </cfRule>
  </conditionalFormatting>
  <conditionalFormatting sqref="J305">
    <cfRule type="expression" dxfId="1" priority="1349">
      <formula>J305&gt;I305</formula>
    </cfRule>
  </conditionalFormatting>
  <conditionalFormatting sqref="K244">
    <cfRule type="expression" dxfId="4" priority="1350">
      <formula>K274&gt;J274</formula>
    </cfRule>
  </conditionalFormatting>
  <conditionalFormatting sqref="K244">
    <cfRule type="expression" dxfId="1" priority="1351">
      <formula>K305&gt;J305</formula>
    </cfRule>
  </conditionalFormatting>
  <conditionalFormatting sqref="K274">
    <cfRule type="expression" dxfId="4" priority="1352">
      <formula>K274&gt;J274</formula>
    </cfRule>
  </conditionalFormatting>
  <conditionalFormatting sqref="K274">
    <cfRule type="expression" dxfId="1" priority="1353">
      <formula>K305&gt;J305</formula>
    </cfRule>
  </conditionalFormatting>
  <conditionalFormatting sqref="K305">
    <cfRule type="expression" dxfId="1" priority="1354">
      <formula>K305&gt;J305</formula>
    </cfRule>
  </conditionalFormatting>
  <conditionalFormatting sqref="B244:K244">
    <cfRule type="expression" dxfId="2" priority="1355">
      <formula>B244&gt;$B$50</formula>
    </cfRule>
  </conditionalFormatting>
  <conditionalFormatting sqref="C245">
    <cfRule type="expression" dxfId="4" priority="1356">
      <formula>C275&gt;B275</formula>
    </cfRule>
  </conditionalFormatting>
  <conditionalFormatting sqref="C245">
    <cfRule type="expression" dxfId="1" priority="1357">
      <formula>C306&gt;B306</formula>
    </cfRule>
  </conditionalFormatting>
  <conditionalFormatting sqref="C275">
    <cfRule type="expression" dxfId="4" priority="1358">
      <formula>C275&gt;B275</formula>
    </cfRule>
  </conditionalFormatting>
  <conditionalFormatting sqref="C275">
    <cfRule type="expression" dxfId="1" priority="1359">
      <formula>C306&gt;B306</formula>
    </cfRule>
  </conditionalFormatting>
  <conditionalFormatting sqref="C306">
    <cfRule type="expression" dxfId="1" priority="1360">
      <formula>C306&gt;B306</formula>
    </cfRule>
  </conditionalFormatting>
  <conditionalFormatting sqref="D245">
    <cfRule type="expression" dxfId="4" priority="1361">
      <formula>D275&gt;C275</formula>
    </cfRule>
  </conditionalFormatting>
  <conditionalFormatting sqref="D245">
    <cfRule type="expression" dxfId="1" priority="1362">
      <formula>D306&gt;C306</formula>
    </cfRule>
  </conditionalFormatting>
  <conditionalFormatting sqref="D275">
    <cfRule type="expression" dxfId="4" priority="1363">
      <formula>D275&gt;C275</formula>
    </cfRule>
  </conditionalFormatting>
  <conditionalFormatting sqref="D275">
    <cfRule type="expression" dxfId="1" priority="1364">
      <formula>D306&gt;C306</formula>
    </cfRule>
  </conditionalFormatting>
  <conditionalFormatting sqref="D306">
    <cfRule type="expression" dxfId="1" priority="1365">
      <formula>D306&gt;C306</formula>
    </cfRule>
  </conditionalFormatting>
  <conditionalFormatting sqref="E245">
    <cfRule type="expression" dxfId="4" priority="1366">
      <formula>E275&gt;D275</formula>
    </cfRule>
  </conditionalFormatting>
  <conditionalFormatting sqref="E245">
    <cfRule type="expression" dxfId="1" priority="1367">
      <formula>E306&gt;D306</formula>
    </cfRule>
  </conditionalFormatting>
  <conditionalFormatting sqref="E275">
    <cfRule type="expression" dxfId="4" priority="1368">
      <formula>E275&gt;D275</formula>
    </cfRule>
  </conditionalFormatting>
  <conditionalFormatting sqref="E275">
    <cfRule type="expression" dxfId="1" priority="1369">
      <formula>E306&gt;D306</formula>
    </cfRule>
  </conditionalFormatting>
  <conditionalFormatting sqref="E306">
    <cfRule type="expression" dxfId="1" priority="1370">
      <formula>E306&gt;D306</formula>
    </cfRule>
  </conditionalFormatting>
  <conditionalFormatting sqref="F245">
    <cfRule type="expression" dxfId="4" priority="1371">
      <formula>F275&gt;E275</formula>
    </cfRule>
  </conditionalFormatting>
  <conditionalFormatting sqref="F245">
    <cfRule type="expression" dxfId="1" priority="1372">
      <formula>F306&gt;E306</formula>
    </cfRule>
  </conditionalFormatting>
  <conditionalFormatting sqref="F275">
    <cfRule type="expression" dxfId="4" priority="1373">
      <formula>F275&gt;E275</formula>
    </cfRule>
  </conditionalFormatting>
  <conditionalFormatting sqref="F275">
    <cfRule type="expression" dxfId="1" priority="1374">
      <formula>F306&gt;E306</formula>
    </cfRule>
  </conditionalFormatting>
  <conditionalFormatting sqref="F306">
    <cfRule type="expression" dxfId="1" priority="1375">
      <formula>F306&gt;E306</formula>
    </cfRule>
  </conditionalFormatting>
  <conditionalFormatting sqref="G245">
    <cfRule type="expression" dxfId="4" priority="1376">
      <formula>G275&gt;F275</formula>
    </cfRule>
  </conditionalFormatting>
  <conditionalFormatting sqref="G245">
    <cfRule type="expression" dxfId="1" priority="1377">
      <formula>G306&gt;F306</formula>
    </cfRule>
  </conditionalFormatting>
  <conditionalFormatting sqref="G275">
    <cfRule type="expression" dxfId="4" priority="1378">
      <formula>G275&gt;F275</formula>
    </cfRule>
  </conditionalFormatting>
  <conditionalFormatting sqref="G275">
    <cfRule type="expression" dxfId="1" priority="1379">
      <formula>G306&gt;F306</formula>
    </cfRule>
  </conditionalFormatting>
  <conditionalFormatting sqref="G306">
    <cfRule type="expression" dxfId="1" priority="1380">
      <formula>G306&gt;F306</formula>
    </cfRule>
  </conditionalFormatting>
  <conditionalFormatting sqref="H245">
    <cfRule type="expression" dxfId="4" priority="1381">
      <formula>H275&gt;G275</formula>
    </cfRule>
  </conditionalFormatting>
  <conditionalFormatting sqref="H245">
    <cfRule type="expression" dxfId="1" priority="1382">
      <formula>H306&gt;G306</formula>
    </cfRule>
  </conditionalFormatting>
  <conditionalFormatting sqref="H275">
    <cfRule type="expression" dxfId="4" priority="1383">
      <formula>H275&gt;G275</formula>
    </cfRule>
  </conditionalFormatting>
  <conditionalFormatting sqref="H275">
    <cfRule type="expression" dxfId="1" priority="1384">
      <formula>H306&gt;G306</formula>
    </cfRule>
  </conditionalFormatting>
  <conditionalFormatting sqref="H306">
    <cfRule type="expression" dxfId="1" priority="1385">
      <formula>H306&gt;G306</formula>
    </cfRule>
  </conditionalFormatting>
  <conditionalFormatting sqref="I245">
    <cfRule type="expression" dxfId="4" priority="1386">
      <formula>I275&gt;H275</formula>
    </cfRule>
  </conditionalFormatting>
  <conditionalFormatting sqref="I245">
    <cfRule type="expression" dxfId="1" priority="1387">
      <formula>I306&gt;H306</formula>
    </cfRule>
  </conditionalFormatting>
  <conditionalFormatting sqref="I275">
    <cfRule type="expression" dxfId="4" priority="1388">
      <formula>I275&gt;H275</formula>
    </cfRule>
  </conditionalFormatting>
  <conditionalFormatting sqref="I275">
    <cfRule type="expression" dxfId="1" priority="1389">
      <formula>I306&gt;H306</formula>
    </cfRule>
  </conditionalFormatting>
  <conditionalFormatting sqref="I306">
    <cfRule type="expression" dxfId="1" priority="1390">
      <formula>I306&gt;H306</formula>
    </cfRule>
  </conditionalFormatting>
  <conditionalFormatting sqref="J245">
    <cfRule type="expression" dxfId="4" priority="1391">
      <formula>J275&gt;I275</formula>
    </cfRule>
  </conditionalFormatting>
  <conditionalFormatting sqref="J245">
    <cfRule type="expression" dxfId="1" priority="1392">
      <formula>J306&gt;I306</formula>
    </cfRule>
  </conditionalFormatting>
  <conditionalFormatting sqref="J275">
    <cfRule type="expression" dxfId="4" priority="1393">
      <formula>J275&gt;I275</formula>
    </cfRule>
  </conditionalFormatting>
  <conditionalFormatting sqref="J275">
    <cfRule type="expression" dxfId="1" priority="1394">
      <formula>J306&gt;I306</formula>
    </cfRule>
  </conditionalFormatting>
  <conditionalFormatting sqref="J306">
    <cfRule type="expression" dxfId="1" priority="1395">
      <formula>J306&gt;I306</formula>
    </cfRule>
  </conditionalFormatting>
  <conditionalFormatting sqref="K245">
    <cfRule type="expression" dxfId="4" priority="1396">
      <formula>K275&gt;J275</formula>
    </cfRule>
  </conditionalFormatting>
  <conditionalFormatting sqref="K245">
    <cfRule type="expression" dxfId="1" priority="1397">
      <formula>K306&gt;J306</formula>
    </cfRule>
  </conditionalFormatting>
  <conditionalFormatting sqref="K275">
    <cfRule type="expression" dxfId="4" priority="1398">
      <formula>K275&gt;J275</formula>
    </cfRule>
  </conditionalFormatting>
  <conditionalFormatting sqref="K275">
    <cfRule type="expression" dxfId="1" priority="1399">
      <formula>K306&gt;J306</formula>
    </cfRule>
  </conditionalFormatting>
  <conditionalFormatting sqref="K306">
    <cfRule type="expression" dxfId="1" priority="1400">
      <formula>K306&gt;J306</formula>
    </cfRule>
  </conditionalFormatting>
  <conditionalFormatting sqref="B245:K245">
    <cfRule type="expression" dxfId="2" priority="1401">
      <formula>B245&gt;$B$50</formula>
    </cfRule>
  </conditionalFormatting>
  <conditionalFormatting sqref="C246">
    <cfRule type="expression" dxfId="0" priority="1402">
      <formula>C276&gt;B276</formula>
    </cfRule>
  </conditionalFormatting>
  <conditionalFormatting sqref="C246">
    <cfRule type="expression" dxfId="1" priority="1403">
      <formula>C307&gt;B307</formula>
    </cfRule>
  </conditionalFormatting>
  <conditionalFormatting sqref="C276">
    <cfRule type="expression" dxfId="0" priority="1404">
      <formula>C276&gt;B276</formula>
    </cfRule>
  </conditionalFormatting>
  <conditionalFormatting sqref="C276">
    <cfRule type="expression" dxfId="1" priority="1405">
      <formula>C307&gt;B307</formula>
    </cfRule>
  </conditionalFormatting>
  <conditionalFormatting sqref="C307">
    <cfRule type="expression" dxfId="1" priority="1406">
      <formula>C307&gt;B307</formula>
    </cfRule>
  </conditionalFormatting>
  <conditionalFormatting sqref="D246">
    <cfRule type="expression" dxfId="0" priority="1407">
      <formula>D276&gt;C276</formula>
    </cfRule>
  </conditionalFormatting>
  <conditionalFormatting sqref="D246">
    <cfRule type="expression" dxfId="1" priority="1408">
      <formula>D307&gt;C307</formula>
    </cfRule>
  </conditionalFormatting>
  <conditionalFormatting sqref="D276">
    <cfRule type="expression" dxfId="0" priority="1409">
      <formula>D276&gt;C276</formula>
    </cfRule>
  </conditionalFormatting>
  <conditionalFormatting sqref="D276">
    <cfRule type="expression" dxfId="1" priority="1410">
      <formula>D307&gt;C307</formula>
    </cfRule>
  </conditionalFormatting>
  <conditionalFormatting sqref="D307">
    <cfRule type="expression" dxfId="1" priority="1411">
      <formula>D307&gt;C307</formula>
    </cfRule>
  </conditionalFormatting>
  <conditionalFormatting sqref="E246">
    <cfRule type="expression" dxfId="0" priority="1412">
      <formula>E276&gt;D276</formula>
    </cfRule>
  </conditionalFormatting>
  <conditionalFormatting sqref="E246">
    <cfRule type="expression" dxfId="1" priority="1413">
      <formula>E307&gt;D307</formula>
    </cfRule>
  </conditionalFormatting>
  <conditionalFormatting sqref="E276">
    <cfRule type="expression" dxfId="0" priority="1414">
      <formula>E276&gt;D276</formula>
    </cfRule>
  </conditionalFormatting>
  <conditionalFormatting sqref="E276">
    <cfRule type="expression" dxfId="1" priority="1415">
      <formula>E307&gt;D307</formula>
    </cfRule>
  </conditionalFormatting>
  <conditionalFormatting sqref="E307">
    <cfRule type="expression" dxfId="1" priority="1416">
      <formula>E307&gt;D307</formula>
    </cfRule>
  </conditionalFormatting>
  <conditionalFormatting sqref="F246">
    <cfRule type="expression" dxfId="0" priority="1417">
      <formula>F276&gt;E276</formula>
    </cfRule>
  </conditionalFormatting>
  <conditionalFormatting sqref="F246">
    <cfRule type="expression" dxfId="1" priority="1418">
      <formula>F307&gt;E307</formula>
    </cfRule>
  </conditionalFormatting>
  <conditionalFormatting sqref="F276">
    <cfRule type="expression" dxfId="0" priority="1419">
      <formula>F276&gt;E276</formula>
    </cfRule>
  </conditionalFormatting>
  <conditionalFormatting sqref="F276">
    <cfRule type="expression" dxfId="1" priority="1420">
      <formula>F307&gt;E307</formula>
    </cfRule>
  </conditionalFormatting>
  <conditionalFormatting sqref="F307">
    <cfRule type="expression" dxfId="1" priority="1421">
      <formula>F307&gt;E307</formula>
    </cfRule>
  </conditionalFormatting>
  <conditionalFormatting sqref="G246">
    <cfRule type="expression" dxfId="0" priority="1422">
      <formula>G276&gt;F276</formula>
    </cfRule>
  </conditionalFormatting>
  <conditionalFormatting sqref="G246">
    <cfRule type="expression" dxfId="1" priority="1423">
      <formula>G307&gt;F307</formula>
    </cfRule>
  </conditionalFormatting>
  <conditionalFormatting sqref="G276">
    <cfRule type="expression" dxfId="0" priority="1424">
      <formula>G276&gt;F276</formula>
    </cfRule>
  </conditionalFormatting>
  <conditionalFormatting sqref="G276">
    <cfRule type="expression" dxfId="1" priority="1425">
      <formula>G307&gt;F307</formula>
    </cfRule>
  </conditionalFormatting>
  <conditionalFormatting sqref="G307">
    <cfRule type="expression" dxfId="1" priority="1426">
      <formula>G307&gt;F307</formula>
    </cfRule>
  </conditionalFormatting>
  <conditionalFormatting sqref="H246">
    <cfRule type="expression" dxfId="0" priority="1427">
      <formula>H276&gt;G276</formula>
    </cfRule>
  </conditionalFormatting>
  <conditionalFormatting sqref="H246">
    <cfRule type="expression" dxfId="1" priority="1428">
      <formula>H307&gt;G307</formula>
    </cfRule>
  </conditionalFormatting>
  <conditionalFormatting sqref="H276">
    <cfRule type="expression" dxfId="0" priority="1429">
      <formula>H276&gt;G276</formula>
    </cfRule>
  </conditionalFormatting>
  <conditionalFormatting sqref="H276">
    <cfRule type="expression" dxfId="1" priority="1430">
      <formula>H307&gt;G307</formula>
    </cfRule>
  </conditionalFormatting>
  <conditionalFormatting sqref="H307">
    <cfRule type="expression" dxfId="1" priority="1431">
      <formula>H307&gt;G307</formula>
    </cfRule>
  </conditionalFormatting>
  <conditionalFormatting sqref="I246">
    <cfRule type="expression" dxfId="0" priority="1432">
      <formula>I276&gt;H276</formula>
    </cfRule>
  </conditionalFormatting>
  <conditionalFormatting sqref="I246">
    <cfRule type="expression" dxfId="1" priority="1433">
      <formula>I307&gt;H307</formula>
    </cfRule>
  </conditionalFormatting>
  <conditionalFormatting sqref="I276">
    <cfRule type="expression" dxfId="0" priority="1434">
      <formula>I276&gt;H276</formula>
    </cfRule>
  </conditionalFormatting>
  <conditionalFormatting sqref="I276">
    <cfRule type="expression" dxfId="1" priority="1435">
      <formula>I307&gt;H307</formula>
    </cfRule>
  </conditionalFormatting>
  <conditionalFormatting sqref="I307">
    <cfRule type="expression" dxfId="1" priority="1436">
      <formula>I307&gt;H307</formula>
    </cfRule>
  </conditionalFormatting>
  <conditionalFormatting sqref="J246">
    <cfRule type="expression" dxfId="0" priority="1437">
      <formula>J276&gt;I276</formula>
    </cfRule>
  </conditionalFormatting>
  <conditionalFormatting sqref="J246">
    <cfRule type="expression" dxfId="1" priority="1438">
      <formula>J307&gt;I307</formula>
    </cfRule>
  </conditionalFormatting>
  <conditionalFormatting sqref="J276">
    <cfRule type="expression" dxfId="0" priority="1439">
      <formula>J276&gt;I276</formula>
    </cfRule>
  </conditionalFormatting>
  <conditionalFormatting sqref="J276">
    <cfRule type="expression" dxfId="1" priority="1440">
      <formula>J307&gt;I307</formula>
    </cfRule>
  </conditionalFormatting>
  <conditionalFormatting sqref="J307">
    <cfRule type="expression" dxfId="1" priority="1441">
      <formula>J307&gt;I307</formula>
    </cfRule>
  </conditionalFormatting>
  <conditionalFormatting sqref="K246">
    <cfRule type="expression" dxfId="0" priority="1442">
      <formula>K276&gt;J276</formula>
    </cfRule>
  </conditionalFormatting>
  <conditionalFormatting sqref="K246">
    <cfRule type="expression" dxfId="1" priority="1443">
      <formula>K307&gt;J307</formula>
    </cfRule>
  </conditionalFormatting>
  <conditionalFormatting sqref="K276">
    <cfRule type="expression" dxfId="0" priority="1444">
      <formula>K276&gt;J276</formula>
    </cfRule>
  </conditionalFormatting>
  <conditionalFormatting sqref="K276">
    <cfRule type="expression" dxfId="1" priority="1445">
      <formula>K307&gt;J307</formula>
    </cfRule>
  </conditionalFormatting>
  <conditionalFormatting sqref="K307">
    <cfRule type="expression" dxfId="1" priority="1446">
      <formula>K307&gt;J307</formula>
    </cfRule>
  </conditionalFormatting>
  <conditionalFormatting sqref="B246:K246">
    <cfRule type="expression" dxfId="2" priority="1447">
      <formula>B246&gt;$B$50</formula>
    </cfRule>
  </conditionalFormatting>
  <conditionalFormatting sqref="C247">
    <cfRule type="expression" dxfId="0" priority="1448">
      <formula>C277&gt;B277</formula>
    </cfRule>
  </conditionalFormatting>
  <conditionalFormatting sqref="C247">
    <cfRule type="expression" dxfId="1" priority="1449">
      <formula>C308&gt;B308</formula>
    </cfRule>
  </conditionalFormatting>
  <conditionalFormatting sqref="C277">
    <cfRule type="expression" dxfId="0" priority="1450">
      <formula>C277&gt;B277</formula>
    </cfRule>
  </conditionalFormatting>
  <conditionalFormatting sqref="C277">
    <cfRule type="expression" dxfId="1" priority="1451">
      <formula>C308&gt;B308</formula>
    </cfRule>
  </conditionalFormatting>
  <conditionalFormatting sqref="C308">
    <cfRule type="expression" dxfId="1" priority="1452">
      <formula>C308&gt;B308</formula>
    </cfRule>
  </conditionalFormatting>
  <conditionalFormatting sqref="D247">
    <cfRule type="expression" dxfId="0" priority="1453">
      <formula>D277&gt;C277</formula>
    </cfRule>
  </conditionalFormatting>
  <conditionalFormatting sqref="D247">
    <cfRule type="expression" dxfId="1" priority="1454">
      <formula>D308&gt;C308</formula>
    </cfRule>
  </conditionalFormatting>
  <conditionalFormatting sqref="D277">
    <cfRule type="expression" dxfId="0" priority="1455">
      <formula>D277&gt;C277</formula>
    </cfRule>
  </conditionalFormatting>
  <conditionalFormatting sqref="D277">
    <cfRule type="expression" dxfId="1" priority="1456">
      <formula>D308&gt;C308</formula>
    </cfRule>
  </conditionalFormatting>
  <conditionalFormatting sqref="D308">
    <cfRule type="expression" dxfId="1" priority="1457">
      <formula>D308&gt;C308</formula>
    </cfRule>
  </conditionalFormatting>
  <conditionalFormatting sqref="E247">
    <cfRule type="expression" dxfId="0" priority="1458">
      <formula>E277&gt;D277</formula>
    </cfRule>
  </conditionalFormatting>
  <conditionalFormatting sqref="E247">
    <cfRule type="expression" dxfId="1" priority="1459">
      <formula>E308&gt;D308</formula>
    </cfRule>
  </conditionalFormatting>
  <conditionalFormatting sqref="E277">
    <cfRule type="expression" dxfId="0" priority="1460">
      <formula>E277&gt;D277</formula>
    </cfRule>
  </conditionalFormatting>
  <conditionalFormatting sqref="E277">
    <cfRule type="expression" dxfId="1" priority="1461">
      <formula>E308&gt;D308</formula>
    </cfRule>
  </conditionalFormatting>
  <conditionalFormatting sqref="E308">
    <cfRule type="expression" dxfId="1" priority="1462">
      <formula>E308&gt;D308</formula>
    </cfRule>
  </conditionalFormatting>
  <conditionalFormatting sqref="F247">
    <cfRule type="expression" dxfId="0" priority="1463">
      <formula>F277&gt;E277</formula>
    </cfRule>
  </conditionalFormatting>
  <conditionalFormatting sqref="F247">
    <cfRule type="expression" dxfId="1" priority="1464">
      <formula>F308&gt;E308</formula>
    </cfRule>
  </conditionalFormatting>
  <conditionalFormatting sqref="F277">
    <cfRule type="expression" dxfId="0" priority="1465">
      <formula>F277&gt;E277</formula>
    </cfRule>
  </conditionalFormatting>
  <conditionalFormatting sqref="F277">
    <cfRule type="expression" dxfId="1" priority="1466">
      <formula>F308&gt;E308</formula>
    </cfRule>
  </conditionalFormatting>
  <conditionalFormatting sqref="F308">
    <cfRule type="expression" dxfId="1" priority="1467">
      <formula>F308&gt;E308</formula>
    </cfRule>
  </conditionalFormatting>
  <conditionalFormatting sqref="G247">
    <cfRule type="expression" dxfId="0" priority="1468">
      <formula>G277&gt;F277</formula>
    </cfRule>
  </conditionalFormatting>
  <conditionalFormatting sqref="G247">
    <cfRule type="expression" dxfId="1" priority="1469">
      <formula>G308&gt;F308</formula>
    </cfRule>
  </conditionalFormatting>
  <conditionalFormatting sqref="G277">
    <cfRule type="expression" dxfId="0" priority="1470">
      <formula>G277&gt;F277</formula>
    </cfRule>
  </conditionalFormatting>
  <conditionalFormatting sqref="G277">
    <cfRule type="expression" dxfId="1" priority="1471">
      <formula>G308&gt;F308</formula>
    </cfRule>
  </conditionalFormatting>
  <conditionalFormatting sqref="G308">
    <cfRule type="expression" dxfId="1" priority="1472">
      <formula>G308&gt;F308</formula>
    </cfRule>
  </conditionalFormatting>
  <conditionalFormatting sqref="H247">
    <cfRule type="expression" dxfId="0" priority="1473">
      <formula>H277&gt;G277</formula>
    </cfRule>
  </conditionalFormatting>
  <conditionalFormatting sqref="H247">
    <cfRule type="expression" dxfId="1" priority="1474">
      <formula>H308&gt;G308</formula>
    </cfRule>
  </conditionalFormatting>
  <conditionalFormatting sqref="H277">
    <cfRule type="expression" dxfId="0" priority="1475">
      <formula>H277&gt;G277</formula>
    </cfRule>
  </conditionalFormatting>
  <conditionalFormatting sqref="H277">
    <cfRule type="expression" dxfId="1" priority="1476">
      <formula>H308&gt;G308</formula>
    </cfRule>
  </conditionalFormatting>
  <conditionalFormatting sqref="H308">
    <cfRule type="expression" dxfId="1" priority="1477">
      <formula>H308&gt;G308</formula>
    </cfRule>
  </conditionalFormatting>
  <conditionalFormatting sqref="I247">
    <cfRule type="expression" dxfId="0" priority="1478">
      <formula>I277&gt;H277</formula>
    </cfRule>
  </conditionalFormatting>
  <conditionalFormatting sqref="I247">
    <cfRule type="expression" dxfId="1" priority="1479">
      <formula>I308&gt;H308</formula>
    </cfRule>
  </conditionalFormatting>
  <conditionalFormatting sqref="I277">
    <cfRule type="expression" dxfId="0" priority="1480">
      <formula>I277&gt;H277</formula>
    </cfRule>
  </conditionalFormatting>
  <conditionalFormatting sqref="I277">
    <cfRule type="expression" dxfId="1" priority="1481">
      <formula>I308&gt;H308</formula>
    </cfRule>
  </conditionalFormatting>
  <conditionalFormatting sqref="I308">
    <cfRule type="expression" dxfId="1" priority="1482">
      <formula>I308&gt;H308</formula>
    </cfRule>
  </conditionalFormatting>
  <conditionalFormatting sqref="J247">
    <cfRule type="expression" dxfId="0" priority="1483">
      <formula>J277&gt;I277</formula>
    </cfRule>
  </conditionalFormatting>
  <conditionalFormatting sqref="J247">
    <cfRule type="expression" dxfId="1" priority="1484">
      <formula>J308&gt;I308</formula>
    </cfRule>
  </conditionalFormatting>
  <conditionalFormatting sqref="J277">
    <cfRule type="expression" dxfId="0" priority="1485">
      <formula>J277&gt;I277</formula>
    </cfRule>
  </conditionalFormatting>
  <conditionalFormatting sqref="J277">
    <cfRule type="expression" dxfId="1" priority="1486">
      <formula>J308&gt;I308</formula>
    </cfRule>
  </conditionalFormatting>
  <conditionalFormatting sqref="J308">
    <cfRule type="expression" dxfId="1" priority="1487">
      <formula>J308&gt;I308</formula>
    </cfRule>
  </conditionalFormatting>
  <conditionalFormatting sqref="K247">
    <cfRule type="expression" dxfId="0" priority="1488">
      <formula>K277&gt;J277</formula>
    </cfRule>
  </conditionalFormatting>
  <conditionalFormatting sqref="K247">
    <cfRule type="expression" dxfId="1" priority="1489">
      <formula>K308&gt;J308</formula>
    </cfRule>
  </conditionalFormatting>
  <conditionalFormatting sqref="K277">
    <cfRule type="expression" dxfId="0" priority="1490">
      <formula>K277&gt;J277</formula>
    </cfRule>
  </conditionalFormatting>
  <conditionalFormatting sqref="K277">
    <cfRule type="expression" dxfId="1" priority="1491">
      <formula>K308&gt;J308</formula>
    </cfRule>
  </conditionalFormatting>
  <conditionalFormatting sqref="K308">
    <cfRule type="expression" dxfId="1" priority="1492">
      <formula>K308&gt;J308</formula>
    </cfRule>
  </conditionalFormatting>
  <conditionalFormatting sqref="B247:K247">
    <cfRule type="expression" dxfId="2" priority="1493">
      <formula>B247&gt;$B$50</formula>
    </cfRule>
  </conditionalFormatting>
  <conditionalFormatting sqref="C248">
    <cfRule type="expression" dxfId="4" priority="1494">
      <formula>C278&gt;B278</formula>
    </cfRule>
  </conditionalFormatting>
  <conditionalFormatting sqref="C248">
    <cfRule type="expression" dxfId="1" priority="1495">
      <formula>C309&gt;B309</formula>
    </cfRule>
  </conditionalFormatting>
  <conditionalFormatting sqref="C278">
    <cfRule type="expression" dxfId="4" priority="1496">
      <formula>C278&gt;B278</formula>
    </cfRule>
  </conditionalFormatting>
  <conditionalFormatting sqref="C278">
    <cfRule type="expression" dxfId="1" priority="1497">
      <formula>C309&gt;B309</formula>
    </cfRule>
  </conditionalFormatting>
  <conditionalFormatting sqref="C309">
    <cfRule type="expression" dxfId="1" priority="1498">
      <formula>C309&gt;B309</formula>
    </cfRule>
  </conditionalFormatting>
  <conditionalFormatting sqref="D248">
    <cfRule type="expression" dxfId="4" priority="1499">
      <formula>D278&gt;C278</formula>
    </cfRule>
  </conditionalFormatting>
  <conditionalFormatting sqref="D248">
    <cfRule type="expression" dxfId="1" priority="1500">
      <formula>D309&gt;C309</formula>
    </cfRule>
  </conditionalFormatting>
  <conditionalFormatting sqref="D278">
    <cfRule type="expression" dxfId="4" priority="1501">
      <formula>D278&gt;C278</formula>
    </cfRule>
  </conditionalFormatting>
  <conditionalFormatting sqref="D278">
    <cfRule type="expression" dxfId="1" priority="1502">
      <formula>D309&gt;C309</formula>
    </cfRule>
  </conditionalFormatting>
  <conditionalFormatting sqref="D309">
    <cfRule type="expression" dxfId="1" priority="1503">
      <formula>D309&gt;C309</formula>
    </cfRule>
  </conditionalFormatting>
  <conditionalFormatting sqref="E248">
    <cfRule type="expression" dxfId="4" priority="1504">
      <formula>E278&gt;D278</formula>
    </cfRule>
  </conditionalFormatting>
  <conditionalFormatting sqref="E248">
    <cfRule type="expression" dxfId="1" priority="1505">
      <formula>E309&gt;D309</formula>
    </cfRule>
  </conditionalFormatting>
  <conditionalFormatting sqref="E278">
    <cfRule type="expression" dxfId="4" priority="1506">
      <formula>E278&gt;D278</formula>
    </cfRule>
  </conditionalFormatting>
  <conditionalFormatting sqref="E278">
    <cfRule type="expression" dxfId="1" priority="1507">
      <formula>E309&gt;D309</formula>
    </cfRule>
  </conditionalFormatting>
  <conditionalFormatting sqref="E309">
    <cfRule type="expression" dxfId="1" priority="1508">
      <formula>E309&gt;D309</formula>
    </cfRule>
  </conditionalFormatting>
  <conditionalFormatting sqref="F248">
    <cfRule type="expression" dxfId="4" priority="1509">
      <formula>F278&gt;E278</formula>
    </cfRule>
  </conditionalFormatting>
  <conditionalFormatting sqref="F248">
    <cfRule type="expression" dxfId="1" priority="1510">
      <formula>F309&gt;E309</formula>
    </cfRule>
  </conditionalFormatting>
  <conditionalFormatting sqref="F278">
    <cfRule type="expression" dxfId="4" priority="1511">
      <formula>F278&gt;E278</formula>
    </cfRule>
  </conditionalFormatting>
  <conditionalFormatting sqref="F278">
    <cfRule type="expression" dxfId="1" priority="1512">
      <formula>F309&gt;E309</formula>
    </cfRule>
  </conditionalFormatting>
  <conditionalFormatting sqref="F309">
    <cfRule type="expression" dxfId="1" priority="1513">
      <formula>F309&gt;E309</formula>
    </cfRule>
  </conditionalFormatting>
  <conditionalFormatting sqref="G248">
    <cfRule type="expression" dxfId="4" priority="1514">
      <formula>G278&gt;F278</formula>
    </cfRule>
  </conditionalFormatting>
  <conditionalFormatting sqref="G248">
    <cfRule type="expression" dxfId="1" priority="1515">
      <formula>G309&gt;F309</formula>
    </cfRule>
  </conditionalFormatting>
  <conditionalFormatting sqref="G278">
    <cfRule type="expression" dxfId="4" priority="1516">
      <formula>G278&gt;F278</formula>
    </cfRule>
  </conditionalFormatting>
  <conditionalFormatting sqref="G278">
    <cfRule type="expression" dxfId="1" priority="1517">
      <formula>G309&gt;F309</formula>
    </cfRule>
  </conditionalFormatting>
  <conditionalFormatting sqref="G309">
    <cfRule type="expression" dxfId="1" priority="1518">
      <formula>G309&gt;F309</formula>
    </cfRule>
  </conditionalFormatting>
  <conditionalFormatting sqref="H248">
    <cfRule type="expression" dxfId="4" priority="1519">
      <formula>H278&gt;G278</formula>
    </cfRule>
  </conditionalFormatting>
  <conditionalFormatting sqref="H248">
    <cfRule type="expression" dxfId="1" priority="1520">
      <formula>H309&gt;G309</formula>
    </cfRule>
  </conditionalFormatting>
  <conditionalFormatting sqref="H278">
    <cfRule type="expression" dxfId="4" priority="1521">
      <formula>H278&gt;G278</formula>
    </cfRule>
  </conditionalFormatting>
  <conditionalFormatting sqref="H278">
    <cfRule type="expression" dxfId="1" priority="1522">
      <formula>H309&gt;G309</formula>
    </cfRule>
  </conditionalFormatting>
  <conditionalFormatting sqref="H309">
    <cfRule type="expression" dxfId="1" priority="1523">
      <formula>H309&gt;G309</formula>
    </cfRule>
  </conditionalFormatting>
  <conditionalFormatting sqref="I248">
    <cfRule type="expression" dxfId="4" priority="1524">
      <formula>I278&gt;H278</formula>
    </cfRule>
  </conditionalFormatting>
  <conditionalFormatting sqref="I248">
    <cfRule type="expression" dxfId="1" priority="1525">
      <formula>I309&gt;H309</formula>
    </cfRule>
  </conditionalFormatting>
  <conditionalFormatting sqref="I278">
    <cfRule type="expression" dxfId="4" priority="1526">
      <formula>I278&gt;H278</formula>
    </cfRule>
  </conditionalFormatting>
  <conditionalFormatting sqref="I278">
    <cfRule type="expression" dxfId="1" priority="1527">
      <formula>I309&gt;H309</formula>
    </cfRule>
  </conditionalFormatting>
  <conditionalFormatting sqref="I309">
    <cfRule type="expression" dxfId="1" priority="1528">
      <formula>I309&gt;H309</formula>
    </cfRule>
  </conditionalFormatting>
  <conditionalFormatting sqref="J248">
    <cfRule type="expression" dxfId="4" priority="1529">
      <formula>J278&gt;I278</formula>
    </cfRule>
  </conditionalFormatting>
  <conditionalFormatting sqref="J248">
    <cfRule type="expression" dxfId="1" priority="1530">
      <formula>J309&gt;I309</formula>
    </cfRule>
  </conditionalFormatting>
  <conditionalFormatting sqref="J278">
    <cfRule type="expression" dxfId="4" priority="1531">
      <formula>J278&gt;I278</formula>
    </cfRule>
  </conditionalFormatting>
  <conditionalFormatting sqref="J278">
    <cfRule type="expression" dxfId="1" priority="1532">
      <formula>J309&gt;I309</formula>
    </cfRule>
  </conditionalFormatting>
  <conditionalFormatting sqref="J309">
    <cfRule type="expression" dxfId="1" priority="1533">
      <formula>J309&gt;I309</formula>
    </cfRule>
  </conditionalFormatting>
  <conditionalFormatting sqref="K248">
    <cfRule type="expression" dxfId="4" priority="1534">
      <formula>K278&gt;J278</formula>
    </cfRule>
  </conditionalFormatting>
  <conditionalFormatting sqref="K248">
    <cfRule type="expression" dxfId="1" priority="1535">
      <formula>K309&gt;J309</formula>
    </cfRule>
  </conditionalFormatting>
  <conditionalFormatting sqref="K278">
    <cfRule type="expression" dxfId="4" priority="1536">
      <formula>K278&gt;J278</formula>
    </cfRule>
  </conditionalFormatting>
  <conditionalFormatting sqref="K278">
    <cfRule type="expression" dxfId="1" priority="1537">
      <formula>K309&gt;J309</formula>
    </cfRule>
  </conditionalFormatting>
  <conditionalFormatting sqref="K309">
    <cfRule type="expression" dxfId="1" priority="1538">
      <formula>K309&gt;J309</formula>
    </cfRule>
  </conditionalFormatting>
  <conditionalFormatting sqref="B248:K248">
    <cfRule type="expression" dxfId="2" priority="1539">
      <formula>B248&gt;$B$50</formula>
    </cfRule>
  </conditionalFormatting>
  <conditionalFormatting sqref="C249">
    <cfRule type="expression" dxfId="0" priority="1540">
      <formula>C279&gt;B279</formula>
    </cfRule>
  </conditionalFormatting>
  <conditionalFormatting sqref="C249">
    <cfRule type="expression" dxfId="1" priority="1541">
      <formula>C310&gt;B310</formula>
    </cfRule>
  </conditionalFormatting>
  <conditionalFormatting sqref="C279">
    <cfRule type="expression" dxfId="0" priority="1542">
      <formula>C279&gt;B279</formula>
    </cfRule>
  </conditionalFormatting>
  <conditionalFormatting sqref="C279">
    <cfRule type="expression" dxfId="1" priority="1543">
      <formula>C310&gt;B310</formula>
    </cfRule>
  </conditionalFormatting>
  <conditionalFormatting sqref="C310">
    <cfRule type="expression" dxfId="1" priority="1544">
      <formula>C310&gt;B310</formula>
    </cfRule>
  </conditionalFormatting>
  <conditionalFormatting sqref="D249">
    <cfRule type="expression" dxfId="0" priority="1545">
      <formula>D279&gt;C279</formula>
    </cfRule>
  </conditionalFormatting>
  <conditionalFormatting sqref="D249">
    <cfRule type="expression" dxfId="1" priority="1546">
      <formula>D310&gt;C310</formula>
    </cfRule>
  </conditionalFormatting>
  <conditionalFormatting sqref="D279">
    <cfRule type="expression" dxfId="0" priority="1547">
      <formula>D279&gt;C279</formula>
    </cfRule>
  </conditionalFormatting>
  <conditionalFormatting sqref="D279">
    <cfRule type="expression" dxfId="1" priority="1548">
      <formula>D310&gt;C310</formula>
    </cfRule>
  </conditionalFormatting>
  <conditionalFormatting sqref="D310">
    <cfRule type="expression" dxfId="1" priority="1549">
      <formula>D310&gt;C310</formula>
    </cfRule>
  </conditionalFormatting>
  <conditionalFormatting sqref="E249">
    <cfRule type="expression" dxfId="0" priority="1550">
      <formula>E279&gt;D279</formula>
    </cfRule>
  </conditionalFormatting>
  <conditionalFormatting sqref="E249">
    <cfRule type="expression" dxfId="1" priority="1551">
      <formula>E310&gt;D310</formula>
    </cfRule>
  </conditionalFormatting>
  <conditionalFormatting sqref="E279">
    <cfRule type="expression" dxfId="0" priority="1552">
      <formula>E279&gt;D279</formula>
    </cfRule>
  </conditionalFormatting>
  <conditionalFormatting sqref="E279">
    <cfRule type="expression" dxfId="1" priority="1553">
      <formula>E310&gt;D310</formula>
    </cfRule>
  </conditionalFormatting>
  <conditionalFormatting sqref="E310">
    <cfRule type="expression" dxfId="1" priority="1554">
      <formula>E310&gt;D310</formula>
    </cfRule>
  </conditionalFormatting>
  <conditionalFormatting sqref="F249">
    <cfRule type="expression" dxfId="0" priority="1555">
      <formula>F279&gt;E279</formula>
    </cfRule>
  </conditionalFormatting>
  <conditionalFormatting sqref="F249">
    <cfRule type="expression" dxfId="1" priority="1556">
      <formula>F310&gt;E310</formula>
    </cfRule>
  </conditionalFormatting>
  <conditionalFormatting sqref="F279">
    <cfRule type="expression" dxfId="0" priority="1557">
      <formula>F279&gt;E279</formula>
    </cfRule>
  </conditionalFormatting>
  <conditionalFormatting sqref="F279">
    <cfRule type="expression" dxfId="1" priority="1558">
      <formula>F310&gt;E310</formula>
    </cfRule>
  </conditionalFormatting>
  <conditionalFormatting sqref="F310">
    <cfRule type="expression" dxfId="1" priority="1559">
      <formula>F310&gt;E310</formula>
    </cfRule>
  </conditionalFormatting>
  <conditionalFormatting sqref="G249">
    <cfRule type="expression" dxfId="0" priority="1560">
      <formula>G279&gt;F279</formula>
    </cfRule>
  </conditionalFormatting>
  <conditionalFormatting sqref="G249">
    <cfRule type="expression" dxfId="1" priority="1561">
      <formula>G310&gt;F310</formula>
    </cfRule>
  </conditionalFormatting>
  <conditionalFormatting sqref="G279">
    <cfRule type="expression" dxfId="0" priority="1562">
      <formula>G279&gt;F279</formula>
    </cfRule>
  </conditionalFormatting>
  <conditionalFormatting sqref="G279">
    <cfRule type="expression" dxfId="1" priority="1563">
      <formula>G310&gt;F310</formula>
    </cfRule>
  </conditionalFormatting>
  <conditionalFormatting sqref="G310">
    <cfRule type="expression" dxfId="1" priority="1564">
      <formula>G310&gt;F310</formula>
    </cfRule>
  </conditionalFormatting>
  <conditionalFormatting sqref="H249">
    <cfRule type="expression" dxfId="0" priority="1565">
      <formula>H279&gt;G279</formula>
    </cfRule>
  </conditionalFormatting>
  <conditionalFormatting sqref="H249">
    <cfRule type="expression" dxfId="1" priority="1566">
      <formula>H310&gt;G310</formula>
    </cfRule>
  </conditionalFormatting>
  <conditionalFormatting sqref="H279">
    <cfRule type="expression" dxfId="0" priority="1567">
      <formula>H279&gt;G279</formula>
    </cfRule>
  </conditionalFormatting>
  <conditionalFormatting sqref="H279">
    <cfRule type="expression" dxfId="1" priority="1568">
      <formula>H310&gt;G310</formula>
    </cfRule>
  </conditionalFormatting>
  <conditionalFormatting sqref="H310">
    <cfRule type="expression" dxfId="1" priority="1569">
      <formula>H310&gt;G310</formula>
    </cfRule>
  </conditionalFormatting>
  <conditionalFormatting sqref="I249">
    <cfRule type="expression" dxfId="0" priority="1570">
      <formula>I279&gt;H279</formula>
    </cfRule>
  </conditionalFormatting>
  <conditionalFormatting sqref="I249">
    <cfRule type="expression" dxfId="1" priority="1571">
      <formula>I310&gt;H310</formula>
    </cfRule>
  </conditionalFormatting>
  <conditionalFormatting sqref="I279">
    <cfRule type="expression" dxfId="0" priority="1572">
      <formula>I279&gt;H279</formula>
    </cfRule>
  </conditionalFormatting>
  <conditionalFormatting sqref="I279">
    <cfRule type="expression" dxfId="1" priority="1573">
      <formula>I310&gt;H310</formula>
    </cfRule>
  </conditionalFormatting>
  <conditionalFormatting sqref="I310">
    <cfRule type="expression" dxfId="1" priority="1574">
      <formula>I310&gt;H310</formula>
    </cfRule>
  </conditionalFormatting>
  <conditionalFormatting sqref="J249">
    <cfRule type="expression" dxfId="0" priority="1575">
      <formula>J279&gt;I279</formula>
    </cfRule>
  </conditionalFormatting>
  <conditionalFormatting sqref="J249">
    <cfRule type="expression" dxfId="1" priority="1576">
      <formula>J310&gt;I310</formula>
    </cfRule>
  </conditionalFormatting>
  <conditionalFormatting sqref="J279">
    <cfRule type="expression" dxfId="0" priority="1577">
      <formula>J279&gt;I279</formula>
    </cfRule>
  </conditionalFormatting>
  <conditionalFormatting sqref="J279">
    <cfRule type="expression" dxfId="1" priority="1578">
      <formula>J310&gt;I310</formula>
    </cfRule>
  </conditionalFormatting>
  <conditionalFormatting sqref="J310">
    <cfRule type="expression" dxfId="1" priority="1579">
      <formula>J310&gt;I310</formula>
    </cfRule>
  </conditionalFormatting>
  <conditionalFormatting sqref="K249">
    <cfRule type="expression" dxfId="0" priority="1580">
      <formula>K279&gt;J279</formula>
    </cfRule>
  </conditionalFormatting>
  <conditionalFormatting sqref="K249">
    <cfRule type="expression" dxfId="1" priority="1581">
      <formula>K310&gt;J310</formula>
    </cfRule>
  </conditionalFormatting>
  <conditionalFormatting sqref="K279">
    <cfRule type="expression" dxfId="0" priority="1582">
      <formula>K279&gt;J279</formula>
    </cfRule>
  </conditionalFormatting>
  <conditionalFormatting sqref="K279">
    <cfRule type="expression" dxfId="1" priority="1583">
      <formula>K310&gt;J310</formula>
    </cfRule>
  </conditionalFormatting>
  <conditionalFormatting sqref="K310">
    <cfRule type="expression" dxfId="1" priority="1584">
      <formula>K310&gt;J310</formula>
    </cfRule>
  </conditionalFormatting>
  <conditionalFormatting sqref="B249:K249">
    <cfRule type="expression" dxfId="2" priority="1585">
      <formula>B249&gt;$B$50</formula>
    </cfRule>
  </conditionalFormatting>
  <conditionalFormatting sqref="C250">
    <cfRule type="expression" dxfId="0" priority="1586">
      <formula>C280&gt;B280</formula>
    </cfRule>
  </conditionalFormatting>
  <conditionalFormatting sqref="C250">
    <cfRule type="expression" dxfId="1" priority="1587">
      <formula>C311&gt;B311</formula>
    </cfRule>
  </conditionalFormatting>
  <conditionalFormatting sqref="C280">
    <cfRule type="expression" dxfId="0" priority="1588">
      <formula>C280&gt;B280</formula>
    </cfRule>
  </conditionalFormatting>
  <conditionalFormatting sqref="C280">
    <cfRule type="expression" dxfId="1" priority="1589">
      <formula>C311&gt;B311</formula>
    </cfRule>
  </conditionalFormatting>
  <conditionalFormatting sqref="C311">
    <cfRule type="expression" dxfId="1" priority="1590">
      <formula>C311&gt;B311</formula>
    </cfRule>
  </conditionalFormatting>
  <conditionalFormatting sqref="D250">
    <cfRule type="expression" dxfId="0" priority="1591">
      <formula>D280&gt;C280</formula>
    </cfRule>
  </conditionalFormatting>
  <conditionalFormatting sqref="D250">
    <cfRule type="expression" dxfId="1" priority="1592">
      <formula>D311&gt;C311</formula>
    </cfRule>
  </conditionalFormatting>
  <conditionalFormatting sqref="D280">
    <cfRule type="expression" dxfId="0" priority="1593">
      <formula>D280&gt;C280</formula>
    </cfRule>
  </conditionalFormatting>
  <conditionalFormatting sqref="D280">
    <cfRule type="expression" dxfId="1" priority="1594">
      <formula>D311&gt;C311</formula>
    </cfRule>
  </conditionalFormatting>
  <conditionalFormatting sqref="D311">
    <cfRule type="expression" dxfId="1" priority="1595">
      <formula>D311&gt;C311</formula>
    </cfRule>
  </conditionalFormatting>
  <conditionalFormatting sqref="E250">
    <cfRule type="expression" dxfId="0" priority="1596">
      <formula>E280&gt;D280</formula>
    </cfRule>
  </conditionalFormatting>
  <conditionalFormatting sqref="E250">
    <cfRule type="expression" dxfId="1" priority="1597">
      <formula>E311&gt;D311</formula>
    </cfRule>
  </conditionalFormatting>
  <conditionalFormatting sqref="E280">
    <cfRule type="expression" dxfId="0" priority="1598">
      <formula>E280&gt;D280</formula>
    </cfRule>
  </conditionalFormatting>
  <conditionalFormatting sqref="E280">
    <cfRule type="expression" dxfId="1" priority="1599">
      <formula>E311&gt;D311</formula>
    </cfRule>
  </conditionalFormatting>
  <conditionalFormatting sqref="E311">
    <cfRule type="expression" dxfId="1" priority="1600">
      <formula>E311&gt;D311</formula>
    </cfRule>
  </conditionalFormatting>
  <conditionalFormatting sqref="F250">
    <cfRule type="expression" dxfId="0" priority="1601">
      <formula>F280&gt;E280</formula>
    </cfRule>
  </conditionalFormatting>
  <conditionalFormatting sqref="F250">
    <cfRule type="expression" dxfId="1" priority="1602">
      <formula>F311&gt;E311</formula>
    </cfRule>
  </conditionalFormatting>
  <conditionalFormatting sqref="F280">
    <cfRule type="expression" dxfId="0" priority="1603">
      <formula>F280&gt;E280</formula>
    </cfRule>
  </conditionalFormatting>
  <conditionalFormatting sqref="F280">
    <cfRule type="expression" dxfId="1" priority="1604">
      <formula>F311&gt;E311</formula>
    </cfRule>
  </conditionalFormatting>
  <conditionalFormatting sqref="F311">
    <cfRule type="expression" dxfId="1" priority="1605">
      <formula>F311&gt;E311</formula>
    </cfRule>
  </conditionalFormatting>
  <conditionalFormatting sqref="G250">
    <cfRule type="expression" dxfId="0" priority="1606">
      <formula>G280&gt;F280</formula>
    </cfRule>
  </conditionalFormatting>
  <conditionalFormatting sqref="G250">
    <cfRule type="expression" dxfId="1" priority="1607">
      <formula>G311&gt;F311</formula>
    </cfRule>
  </conditionalFormatting>
  <conditionalFormatting sqref="G280">
    <cfRule type="expression" dxfId="0" priority="1608">
      <formula>G280&gt;F280</formula>
    </cfRule>
  </conditionalFormatting>
  <conditionalFormatting sqref="G280">
    <cfRule type="expression" dxfId="1" priority="1609">
      <formula>G311&gt;F311</formula>
    </cfRule>
  </conditionalFormatting>
  <conditionalFormatting sqref="G311">
    <cfRule type="expression" dxfId="1" priority="1610">
      <formula>G311&gt;F311</formula>
    </cfRule>
  </conditionalFormatting>
  <conditionalFormatting sqref="H250">
    <cfRule type="expression" dxfId="0" priority="1611">
      <formula>H280&gt;G280</formula>
    </cfRule>
  </conditionalFormatting>
  <conditionalFormatting sqref="H250">
    <cfRule type="expression" dxfId="1" priority="1612">
      <formula>H311&gt;G311</formula>
    </cfRule>
  </conditionalFormatting>
  <conditionalFormatting sqref="H280">
    <cfRule type="expression" dxfId="0" priority="1613">
      <formula>H280&gt;G280</formula>
    </cfRule>
  </conditionalFormatting>
  <conditionalFormatting sqref="H280">
    <cfRule type="expression" dxfId="1" priority="1614">
      <formula>H311&gt;G311</formula>
    </cfRule>
  </conditionalFormatting>
  <conditionalFormatting sqref="H311">
    <cfRule type="expression" dxfId="1" priority="1615">
      <formula>H311&gt;G311</formula>
    </cfRule>
  </conditionalFormatting>
  <conditionalFormatting sqref="I250">
    <cfRule type="expression" dxfId="0" priority="1616">
      <formula>I280&gt;H280</formula>
    </cfRule>
  </conditionalFormatting>
  <conditionalFormatting sqref="I250">
    <cfRule type="expression" dxfId="1" priority="1617">
      <formula>I311&gt;H311</formula>
    </cfRule>
  </conditionalFormatting>
  <conditionalFormatting sqref="I280">
    <cfRule type="expression" dxfId="0" priority="1618">
      <formula>I280&gt;H280</formula>
    </cfRule>
  </conditionalFormatting>
  <conditionalFormatting sqref="I280">
    <cfRule type="expression" dxfId="1" priority="1619">
      <formula>I311&gt;H311</formula>
    </cfRule>
  </conditionalFormatting>
  <conditionalFormatting sqref="I311">
    <cfRule type="expression" dxfId="1" priority="1620">
      <formula>I311&gt;H311</formula>
    </cfRule>
  </conditionalFormatting>
  <conditionalFormatting sqref="J250">
    <cfRule type="expression" dxfId="0" priority="1621">
      <formula>J280&gt;I280</formula>
    </cfRule>
  </conditionalFormatting>
  <conditionalFormatting sqref="J250">
    <cfRule type="expression" dxfId="1" priority="1622">
      <formula>J311&gt;I311</formula>
    </cfRule>
  </conditionalFormatting>
  <conditionalFormatting sqref="J280">
    <cfRule type="expression" dxfId="0" priority="1623">
      <formula>J280&gt;I280</formula>
    </cfRule>
  </conditionalFormatting>
  <conditionalFormatting sqref="J280">
    <cfRule type="expression" dxfId="1" priority="1624">
      <formula>J311&gt;I311</formula>
    </cfRule>
  </conditionalFormatting>
  <conditionalFormatting sqref="J311">
    <cfRule type="expression" dxfId="1" priority="1625">
      <formula>J311&gt;I311</formula>
    </cfRule>
  </conditionalFormatting>
  <conditionalFormatting sqref="K250">
    <cfRule type="expression" dxfId="0" priority="1626">
      <formula>K280&gt;J280</formula>
    </cfRule>
  </conditionalFormatting>
  <conditionalFormatting sqref="K250">
    <cfRule type="expression" dxfId="1" priority="1627">
      <formula>K311&gt;J311</formula>
    </cfRule>
  </conditionalFormatting>
  <conditionalFormatting sqref="K280">
    <cfRule type="expression" dxfId="0" priority="1628">
      <formula>K280&gt;J280</formula>
    </cfRule>
  </conditionalFormatting>
  <conditionalFormatting sqref="K280">
    <cfRule type="expression" dxfId="1" priority="1629">
      <formula>K311&gt;J311</formula>
    </cfRule>
  </conditionalFormatting>
  <conditionalFormatting sqref="K311">
    <cfRule type="expression" dxfId="1" priority="1630">
      <formula>K311&gt;J311</formula>
    </cfRule>
  </conditionalFormatting>
  <conditionalFormatting sqref="B250:K250">
    <cfRule type="expression" dxfId="2" priority="1631">
      <formula>B250&gt;$B$50</formula>
    </cfRule>
  </conditionalFormatting>
  <conditionalFormatting sqref="C251">
    <cfRule type="expression" dxfId="0" priority="1632">
      <formula>C281&gt;B281</formula>
    </cfRule>
  </conditionalFormatting>
  <conditionalFormatting sqref="C251">
    <cfRule type="expression" dxfId="1" priority="1633">
      <formula>C312&gt;B312</formula>
    </cfRule>
  </conditionalFormatting>
  <conditionalFormatting sqref="C281">
    <cfRule type="expression" dxfId="0" priority="1634">
      <formula>C281&gt;B281</formula>
    </cfRule>
  </conditionalFormatting>
  <conditionalFormatting sqref="C281">
    <cfRule type="expression" dxfId="1" priority="1635">
      <formula>C312&gt;B312</formula>
    </cfRule>
  </conditionalFormatting>
  <conditionalFormatting sqref="C312">
    <cfRule type="expression" dxfId="1" priority="1636">
      <formula>C312&gt;B312</formula>
    </cfRule>
  </conditionalFormatting>
  <conditionalFormatting sqref="D251">
    <cfRule type="expression" dxfId="0" priority="1637">
      <formula>D281&gt;C281</formula>
    </cfRule>
  </conditionalFormatting>
  <conditionalFormatting sqref="D251">
    <cfRule type="expression" dxfId="1" priority="1638">
      <formula>D312&gt;C312</formula>
    </cfRule>
  </conditionalFormatting>
  <conditionalFormatting sqref="D281">
    <cfRule type="expression" dxfId="0" priority="1639">
      <formula>D281&gt;C281</formula>
    </cfRule>
  </conditionalFormatting>
  <conditionalFormatting sqref="D281">
    <cfRule type="expression" dxfId="1" priority="1640">
      <formula>D312&gt;C312</formula>
    </cfRule>
  </conditionalFormatting>
  <conditionalFormatting sqref="D312">
    <cfRule type="expression" dxfId="1" priority="1641">
      <formula>D312&gt;C312</formula>
    </cfRule>
  </conditionalFormatting>
  <conditionalFormatting sqref="E251">
    <cfRule type="expression" dxfId="0" priority="1642">
      <formula>E281&gt;D281</formula>
    </cfRule>
  </conditionalFormatting>
  <conditionalFormatting sqref="E251">
    <cfRule type="expression" dxfId="1" priority="1643">
      <formula>E312&gt;D312</formula>
    </cfRule>
  </conditionalFormatting>
  <conditionalFormatting sqref="E281">
    <cfRule type="expression" dxfId="0" priority="1644">
      <formula>E281&gt;D281</formula>
    </cfRule>
  </conditionalFormatting>
  <conditionalFormatting sqref="E281">
    <cfRule type="expression" dxfId="1" priority="1645">
      <formula>E312&gt;D312</formula>
    </cfRule>
  </conditionalFormatting>
  <conditionalFormatting sqref="E312">
    <cfRule type="expression" dxfId="1" priority="1646">
      <formula>E312&gt;D312</formula>
    </cfRule>
  </conditionalFormatting>
  <conditionalFormatting sqref="F251">
    <cfRule type="expression" dxfId="0" priority="1647">
      <formula>F281&gt;E281</formula>
    </cfRule>
  </conditionalFormatting>
  <conditionalFormatting sqref="F251">
    <cfRule type="expression" dxfId="1" priority="1648">
      <formula>F312&gt;E312</formula>
    </cfRule>
  </conditionalFormatting>
  <conditionalFormatting sqref="F281">
    <cfRule type="expression" dxfId="0" priority="1649">
      <formula>F281&gt;E281</formula>
    </cfRule>
  </conditionalFormatting>
  <conditionalFormatting sqref="F281">
    <cfRule type="expression" dxfId="1" priority="1650">
      <formula>F312&gt;E312</formula>
    </cfRule>
  </conditionalFormatting>
  <conditionalFormatting sqref="F312">
    <cfRule type="expression" dxfId="1" priority="1651">
      <formula>F312&gt;E312</formula>
    </cfRule>
  </conditionalFormatting>
  <conditionalFormatting sqref="G251">
    <cfRule type="expression" dxfId="0" priority="1652">
      <formula>G281&gt;F281</formula>
    </cfRule>
  </conditionalFormatting>
  <conditionalFormatting sqref="G251">
    <cfRule type="expression" dxfId="1" priority="1653">
      <formula>G312&gt;F312</formula>
    </cfRule>
  </conditionalFormatting>
  <conditionalFormatting sqref="G281">
    <cfRule type="expression" dxfId="0" priority="1654">
      <formula>G281&gt;F281</formula>
    </cfRule>
  </conditionalFormatting>
  <conditionalFormatting sqref="G281">
    <cfRule type="expression" dxfId="1" priority="1655">
      <formula>G312&gt;F312</formula>
    </cfRule>
  </conditionalFormatting>
  <conditionalFormatting sqref="G312">
    <cfRule type="expression" dxfId="1" priority="1656">
      <formula>G312&gt;F312</formula>
    </cfRule>
  </conditionalFormatting>
  <conditionalFormatting sqref="H251">
    <cfRule type="expression" dxfId="0" priority="1657">
      <formula>H281&gt;G281</formula>
    </cfRule>
  </conditionalFormatting>
  <conditionalFormatting sqref="H251">
    <cfRule type="expression" dxfId="1" priority="1658">
      <formula>H312&gt;G312</formula>
    </cfRule>
  </conditionalFormatting>
  <conditionalFormatting sqref="H281">
    <cfRule type="expression" dxfId="0" priority="1659">
      <formula>H281&gt;G281</formula>
    </cfRule>
  </conditionalFormatting>
  <conditionalFormatting sqref="H281">
    <cfRule type="expression" dxfId="1" priority="1660">
      <formula>H312&gt;G312</formula>
    </cfRule>
  </conditionalFormatting>
  <conditionalFormatting sqref="H312">
    <cfRule type="expression" dxfId="1" priority="1661">
      <formula>H312&gt;G312</formula>
    </cfRule>
  </conditionalFormatting>
  <conditionalFormatting sqref="I251">
    <cfRule type="expression" dxfId="0" priority="1662">
      <formula>I281&gt;H281</formula>
    </cfRule>
  </conditionalFormatting>
  <conditionalFormatting sqref="I251">
    <cfRule type="expression" dxfId="1" priority="1663">
      <formula>I312&gt;H312</formula>
    </cfRule>
  </conditionalFormatting>
  <conditionalFormatting sqref="I281">
    <cfRule type="expression" dxfId="0" priority="1664">
      <formula>I281&gt;H281</formula>
    </cfRule>
  </conditionalFormatting>
  <conditionalFormatting sqref="I281">
    <cfRule type="expression" dxfId="1" priority="1665">
      <formula>I312&gt;H312</formula>
    </cfRule>
  </conditionalFormatting>
  <conditionalFormatting sqref="I312">
    <cfRule type="expression" dxfId="1" priority="1666">
      <formula>I312&gt;H312</formula>
    </cfRule>
  </conditionalFormatting>
  <conditionalFormatting sqref="J251">
    <cfRule type="expression" dxfId="0" priority="1667">
      <formula>J281&gt;I281</formula>
    </cfRule>
  </conditionalFormatting>
  <conditionalFormatting sqref="J251">
    <cfRule type="expression" dxfId="1" priority="1668">
      <formula>J312&gt;I312</formula>
    </cfRule>
  </conditionalFormatting>
  <conditionalFormatting sqref="J281">
    <cfRule type="expression" dxfId="0" priority="1669">
      <formula>J281&gt;I281</formula>
    </cfRule>
  </conditionalFormatting>
  <conditionalFormatting sqref="J281">
    <cfRule type="expression" dxfId="1" priority="1670">
      <formula>J312&gt;I312</formula>
    </cfRule>
  </conditionalFormatting>
  <conditionalFormatting sqref="J312">
    <cfRule type="expression" dxfId="1" priority="1671">
      <formula>J312&gt;I312</formula>
    </cfRule>
  </conditionalFormatting>
  <conditionalFormatting sqref="K251">
    <cfRule type="expression" dxfId="0" priority="1672">
      <formula>K281&gt;J281</formula>
    </cfRule>
  </conditionalFormatting>
  <conditionalFormatting sqref="K251">
    <cfRule type="expression" dxfId="1" priority="1673">
      <formula>K312&gt;J312</formula>
    </cfRule>
  </conditionalFormatting>
  <conditionalFormatting sqref="K281">
    <cfRule type="expression" dxfId="0" priority="1674">
      <formula>K281&gt;J281</formula>
    </cfRule>
  </conditionalFormatting>
  <conditionalFormatting sqref="K281">
    <cfRule type="expression" dxfId="1" priority="1675">
      <formula>K312&gt;J312</formula>
    </cfRule>
  </conditionalFormatting>
  <conditionalFormatting sqref="K312">
    <cfRule type="expression" dxfId="1" priority="1676">
      <formula>K312&gt;J312</formula>
    </cfRule>
  </conditionalFormatting>
  <conditionalFormatting sqref="B251:K251">
    <cfRule type="expression" dxfId="2" priority="1677">
      <formula>B251&gt;$B$50</formula>
    </cfRule>
  </conditionalFormatting>
  <conditionalFormatting sqref="C252">
    <cfRule type="expression" dxfId="0" priority="1678">
      <formula>C282&gt;B282</formula>
    </cfRule>
  </conditionalFormatting>
  <conditionalFormatting sqref="C252">
    <cfRule type="expression" dxfId="1" priority="1679">
      <formula>C313&gt;B313</formula>
    </cfRule>
  </conditionalFormatting>
  <conditionalFormatting sqref="C282">
    <cfRule type="expression" dxfId="0" priority="1680">
      <formula>C282&gt;B282</formula>
    </cfRule>
  </conditionalFormatting>
  <conditionalFormatting sqref="C282">
    <cfRule type="expression" dxfId="1" priority="1681">
      <formula>C313&gt;B313</formula>
    </cfRule>
  </conditionalFormatting>
  <conditionalFormatting sqref="C313">
    <cfRule type="expression" dxfId="1" priority="1682">
      <formula>C313&gt;B313</formula>
    </cfRule>
  </conditionalFormatting>
  <conditionalFormatting sqref="D252">
    <cfRule type="expression" dxfId="0" priority="1683">
      <formula>D282&gt;C282</formula>
    </cfRule>
  </conditionalFormatting>
  <conditionalFormatting sqref="D252">
    <cfRule type="expression" dxfId="1" priority="1684">
      <formula>D313&gt;C313</formula>
    </cfRule>
  </conditionalFormatting>
  <conditionalFormatting sqref="D282">
    <cfRule type="expression" dxfId="0" priority="1685">
      <formula>D282&gt;C282</formula>
    </cfRule>
  </conditionalFormatting>
  <conditionalFormatting sqref="D282">
    <cfRule type="expression" dxfId="1" priority="1686">
      <formula>D313&gt;C313</formula>
    </cfRule>
  </conditionalFormatting>
  <conditionalFormatting sqref="D313">
    <cfRule type="expression" dxfId="1" priority="1687">
      <formula>D313&gt;C313</formula>
    </cfRule>
  </conditionalFormatting>
  <conditionalFormatting sqref="E252">
    <cfRule type="expression" dxfId="0" priority="1688">
      <formula>E282&gt;D282</formula>
    </cfRule>
  </conditionalFormatting>
  <conditionalFormatting sqref="E252">
    <cfRule type="expression" dxfId="1" priority="1689">
      <formula>E313&gt;D313</formula>
    </cfRule>
  </conditionalFormatting>
  <conditionalFormatting sqref="E282">
    <cfRule type="expression" dxfId="0" priority="1690">
      <formula>E282&gt;D282</formula>
    </cfRule>
  </conditionalFormatting>
  <conditionalFormatting sqref="E282">
    <cfRule type="expression" dxfId="1" priority="1691">
      <formula>E313&gt;D313</formula>
    </cfRule>
  </conditionalFormatting>
  <conditionalFormatting sqref="E313">
    <cfRule type="expression" dxfId="1" priority="1692">
      <formula>E313&gt;D313</formula>
    </cfRule>
  </conditionalFormatting>
  <conditionalFormatting sqref="F252">
    <cfRule type="expression" dxfId="0" priority="1693">
      <formula>F282&gt;E282</formula>
    </cfRule>
  </conditionalFormatting>
  <conditionalFormatting sqref="F252">
    <cfRule type="expression" dxfId="1" priority="1694">
      <formula>F313&gt;E313</formula>
    </cfRule>
  </conditionalFormatting>
  <conditionalFormatting sqref="F282">
    <cfRule type="expression" dxfId="0" priority="1695">
      <formula>F282&gt;E282</formula>
    </cfRule>
  </conditionalFormatting>
  <conditionalFormatting sqref="F282">
    <cfRule type="expression" dxfId="1" priority="1696">
      <formula>F313&gt;E313</formula>
    </cfRule>
  </conditionalFormatting>
  <conditionalFormatting sqref="F313">
    <cfRule type="expression" dxfId="1" priority="1697">
      <formula>F313&gt;E313</formula>
    </cfRule>
  </conditionalFormatting>
  <conditionalFormatting sqref="G252">
    <cfRule type="expression" dxfId="0" priority="1698">
      <formula>G282&gt;F282</formula>
    </cfRule>
  </conditionalFormatting>
  <conditionalFormatting sqref="G252">
    <cfRule type="expression" dxfId="1" priority="1699">
      <formula>G313&gt;F313</formula>
    </cfRule>
  </conditionalFormatting>
  <conditionalFormatting sqref="G282">
    <cfRule type="expression" dxfId="0" priority="1700">
      <formula>G282&gt;F282</formula>
    </cfRule>
  </conditionalFormatting>
  <conditionalFormatting sqref="G282">
    <cfRule type="expression" dxfId="1" priority="1701">
      <formula>G313&gt;F313</formula>
    </cfRule>
  </conditionalFormatting>
  <conditionalFormatting sqref="G313">
    <cfRule type="expression" dxfId="1" priority="1702">
      <formula>G313&gt;F313</formula>
    </cfRule>
  </conditionalFormatting>
  <conditionalFormatting sqref="H252">
    <cfRule type="expression" dxfId="0" priority="1703">
      <formula>H282&gt;G282</formula>
    </cfRule>
  </conditionalFormatting>
  <conditionalFormatting sqref="H252">
    <cfRule type="expression" dxfId="1" priority="1704">
      <formula>H313&gt;G313</formula>
    </cfRule>
  </conditionalFormatting>
  <conditionalFormatting sqref="H282">
    <cfRule type="expression" dxfId="0" priority="1705">
      <formula>H282&gt;G282</formula>
    </cfRule>
  </conditionalFormatting>
  <conditionalFormatting sqref="H282">
    <cfRule type="expression" dxfId="1" priority="1706">
      <formula>H313&gt;G313</formula>
    </cfRule>
  </conditionalFormatting>
  <conditionalFormatting sqref="H313">
    <cfRule type="expression" dxfId="1" priority="1707">
      <formula>H313&gt;G313</formula>
    </cfRule>
  </conditionalFormatting>
  <conditionalFormatting sqref="I252">
    <cfRule type="expression" dxfId="0" priority="1708">
      <formula>I282&gt;H282</formula>
    </cfRule>
  </conditionalFormatting>
  <conditionalFormatting sqref="I252">
    <cfRule type="expression" dxfId="1" priority="1709">
      <formula>I313&gt;H313</formula>
    </cfRule>
  </conditionalFormatting>
  <conditionalFormatting sqref="I282">
    <cfRule type="expression" dxfId="0" priority="1710">
      <formula>I282&gt;H282</formula>
    </cfRule>
  </conditionalFormatting>
  <conditionalFormatting sqref="I282">
    <cfRule type="expression" dxfId="1" priority="1711">
      <formula>I313&gt;H313</formula>
    </cfRule>
  </conditionalFormatting>
  <conditionalFormatting sqref="I313">
    <cfRule type="expression" dxfId="1" priority="1712">
      <formula>I313&gt;H313</formula>
    </cfRule>
  </conditionalFormatting>
  <conditionalFormatting sqref="J252">
    <cfRule type="expression" dxfId="0" priority="1713">
      <formula>J282&gt;I282</formula>
    </cfRule>
  </conditionalFormatting>
  <conditionalFormatting sqref="J252">
    <cfRule type="expression" dxfId="1" priority="1714">
      <formula>J313&gt;I313</formula>
    </cfRule>
  </conditionalFormatting>
  <conditionalFormatting sqref="J282">
    <cfRule type="expression" dxfId="0" priority="1715">
      <formula>J282&gt;I282</formula>
    </cfRule>
  </conditionalFormatting>
  <conditionalFormatting sqref="J282">
    <cfRule type="expression" dxfId="1" priority="1716">
      <formula>J313&gt;I313</formula>
    </cfRule>
  </conditionalFormatting>
  <conditionalFormatting sqref="J313">
    <cfRule type="expression" dxfId="1" priority="1717">
      <formula>J313&gt;I313</formula>
    </cfRule>
  </conditionalFormatting>
  <conditionalFormatting sqref="K252">
    <cfRule type="expression" dxfId="0" priority="1718">
      <formula>K282&gt;J282</formula>
    </cfRule>
  </conditionalFormatting>
  <conditionalFormatting sqref="K252">
    <cfRule type="expression" dxfId="1" priority="1719">
      <formula>K313&gt;J313</formula>
    </cfRule>
  </conditionalFormatting>
  <conditionalFormatting sqref="K282">
    <cfRule type="expression" dxfId="0" priority="1720">
      <formula>K282&gt;J282</formula>
    </cfRule>
  </conditionalFormatting>
  <conditionalFormatting sqref="K282">
    <cfRule type="expression" dxfId="1" priority="1721">
      <formula>K313&gt;J313</formula>
    </cfRule>
  </conditionalFormatting>
  <conditionalFormatting sqref="K313">
    <cfRule type="expression" dxfId="1" priority="1722">
      <formula>K313&gt;J313</formula>
    </cfRule>
  </conditionalFormatting>
  <conditionalFormatting sqref="B252:K252">
    <cfRule type="expression" dxfId="2" priority="1723">
      <formula>B252&gt;$B$50</formula>
    </cfRule>
  </conditionalFormatting>
  <conditionalFormatting sqref="C253">
    <cfRule type="expression" dxfId="4" priority="1724">
      <formula>C283&gt;B283</formula>
    </cfRule>
  </conditionalFormatting>
  <conditionalFormatting sqref="C253">
    <cfRule type="expression" dxfId="1" priority="1725">
      <formula>C314&gt;B314</formula>
    </cfRule>
  </conditionalFormatting>
  <conditionalFormatting sqref="C283">
    <cfRule type="expression" dxfId="4" priority="1726">
      <formula>C283&gt;B283</formula>
    </cfRule>
  </conditionalFormatting>
  <conditionalFormatting sqref="C283">
    <cfRule type="expression" dxfId="1" priority="1727">
      <formula>C314&gt;B314</formula>
    </cfRule>
  </conditionalFormatting>
  <conditionalFormatting sqref="C314">
    <cfRule type="expression" dxfId="1" priority="1728">
      <formula>C314&gt;B314</formula>
    </cfRule>
  </conditionalFormatting>
  <conditionalFormatting sqref="D253">
    <cfRule type="expression" dxfId="4" priority="1729">
      <formula>D283&gt;C283</formula>
    </cfRule>
  </conditionalFormatting>
  <conditionalFormatting sqref="D253">
    <cfRule type="expression" dxfId="1" priority="1730">
      <formula>D314&gt;C314</formula>
    </cfRule>
  </conditionalFormatting>
  <conditionalFormatting sqref="D283">
    <cfRule type="expression" dxfId="4" priority="1731">
      <formula>D283&gt;C283</formula>
    </cfRule>
  </conditionalFormatting>
  <conditionalFormatting sqref="D283">
    <cfRule type="expression" dxfId="1" priority="1732">
      <formula>D314&gt;C314</formula>
    </cfRule>
  </conditionalFormatting>
  <conditionalFormatting sqref="D314">
    <cfRule type="expression" dxfId="1" priority="1733">
      <formula>D314&gt;C314</formula>
    </cfRule>
  </conditionalFormatting>
  <conditionalFormatting sqref="E253">
    <cfRule type="expression" dxfId="4" priority="1734">
      <formula>E283&gt;D283</formula>
    </cfRule>
  </conditionalFormatting>
  <conditionalFormatting sqref="E253">
    <cfRule type="expression" dxfId="1" priority="1735">
      <formula>E314&gt;D314</formula>
    </cfRule>
  </conditionalFormatting>
  <conditionalFormatting sqref="E283">
    <cfRule type="expression" dxfId="4" priority="1736">
      <formula>E283&gt;D283</formula>
    </cfRule>
  </conditionalFormatting>
  <conditionalFormatting sqref="E283">
    <cfRule type="expression" dxfId="1" priority="1737">
      <formula>E314&gt;D314</formula>
    </cfRule>
  </conditionalFormatting>
  <conditionalFormatting sqref="E314">
    <cfRule type="expression" dxfId="1" priority="1738">
      <formula>E314&gt;D314</formula>
    </cfRule>
  </conditionalFormatting>
  <conditionalFormatting sqref="F253">
    <cfRule type="expression" dxfId="4" priority="1739">
      <formula>F283&gt;E283</formula>
    </cfRule>
  </conditionalFormatting>
  <conditionalFormatting sqref="F253">
    <cfRule type="expression" dxfId="1" priority="1740">
      <formula>F314&gt;E314</formula>
    </cfRule>
  </conditionalFormatting>
  <conditionalFormatting sqref="F283">
    <cfRule type="expression" dxfId="4" priority="1741">
      <formula>F283&gt;E283</formula>
    </cfRule>
  </conditionalFormatting>
  <conditionalFormatting sqref="F283">
    <cfRule type="expression" dxfId="1" priority="1742">
      <formula>F314&gt;E314</formula>
    </cfRule>
  </conditionalFormatting>
  <conditionalFormatting sqref="F314">
    <cfRule type="expression" dxfId="1" priority="1743">
      <formula>F314&gt;E314</formula>
    </cfRule>
  </conditionalFormatting>
  <conditionalFormatting sqref="G253">
    <cfRule type="expression" dxfId="4" priority="1744">
      <formula>G283&gt;F283</formula>
    </cfRule>
  </conditionalFormatting>
  <conditionalFormatting sqref="G253">
    <cfRule type="expression" dxfId="1" priority="1745">
      <formula>G314&gt;F314</formula>
    </cfRule>
  </conditionalFormatting>
  <conditionalFormatting sqref="G283">
    <cfRule type="expression" dxfId="4" priority="1746">
      <formula>G283&gt;F283</formula>
    </cfRule>
  </conditionalFormatting>
  <conditionalFormatting sqref="G283">
    <cfRule type="expression" dxfId="1" priority="1747">
      <formula>G314&gt;F314</formula>
    </cfRule>
  </conditionalFormatting>
  <conditionalFormatting sqref="G314">
    <cfRule type="expression" dxfId="1" priority="1748">
      <formula>G314&gt;F314</formula>
    </cfRule>
  </conditionalFormatting>
  <conditionalFormatting sqref="H253">
    <cfRule type="expression" dxfId="4" priority="1749">
      <formula>H283&gt;G283</formula>
    </cfRule>
  </conditionalFormatting>
  <conditionalFormatting sqref="H253">
    <cfRule type="expression" dxfId="1" priority="1750">
      <formula>H314&gt;G314</formula>
    </cfRule>
  </conditionalFormatting>
  <conditionalFormatting sqref="H283">
    <cfRule type="expression" dxfId="4" priority="1751">
      <formula>H283&gt;G283</formula>
    </cfRule>
  </conditionalFormatting>
  <conditionalFormatting sqref="H283">
    <cfRule type="expression" dxfId="1" priority="1752">
      <formula>H314&gt;G314</formula>
    </cfRule>
  </conditionalFormatting>
  <conditionalFormatting sqref="H314">
    <cfRule type="expression" dxfId="1" priority="1753">
      <formula>H314&gt;G314</formula>
    </cfRule>
  </conditionalFormatting>
  <conditionalFormatting sqref="I253">
    <cfRule type="expression" dxfId="4" priority="1754">
      <formula>I283&gt;H283</formula>
    </cfRule>
  </conditionalFormatting>
  <conditionalFormatting sqref="I253">
    <cfRule type="expression" dxfId="1" priority="1755">
      <formula>I314&gt;H314</formula>
    </cfRule>
  </conditionalFormatting>
  <conditionalFormatting sqref="I283">
    <cfRule type="expression" dxfId="4" priority="1756">
      <formula>I283&gt;H283</formula>
    </cfRule>
  </conditionalFormatting>
  <conditionalFormatting sqref="I283">
    <cfRule type="expression" dxfId="1" priority="1757">
      <formula>I314&gt;H314</formula>
    </cfRule>
  </conditionalFormatting>
  <conditionalFormatting sqref="I314">
    <cfRule type="expression" dxfId="1" priority="1758">
      <formula>I314&gt;H314</formula>
    </cfRule>
  </conditionalFormatting>
  <conditionalFormatting sqref="J253">
    <cfRule type="expression" dxfId="4" priority="1759">
      <formula>J283&gt;I283</formula>
    </cfRule>
  </conditionalFormatting>
  <conditionalFormatting sqref="J253">
    <cfRule type="expression" dxfId="1" priority="1760">
      <formula>J314&gt;I314</formula>
    </cfRule>
  </conditionalFormatting>
  <conditionalFormatting sqref="J283">
    <cfRule type="expression" dxfId="4" priority="1761">
      <formula>J283&gt;I283</formula>
    </cfRule>
  </conditionalFormatting>
  <conditionalFormatting sqref="J283">
    <cfRule type="expression" dxfId="1" priority="1762">
      <formula>J314&gt;I314</formula>
    </cfRule>
  </conditionalFormatting>
  <conditionalFormatting sqref="J314">
    <cfRule type="expression" dxfId="1" priority="1763">
      <formula>J314&gt;I314</formula>
    </cfRule>
  </conditionalFormatting>
  <conditionalFormatting sqref="K253">
    <cfRule type="expression" dxfId="4" priority="1764">
      <formula>K283&gt;J283</formula>
    </cfRule>
  </conditionalFormatting>
  <conditionalFormatting sqref="K253">
    <cfRule type="expression" dxfId="1" priority="1765">
      <formula>K314&gt;J314</formula>
    </cfRule>
  </conditionalFormatting>
  <conditionalFormatting sqref="K283">
    <cfRule type="expression" dxfId="4" priority="1766">
      <formula>K283&gt;J283</formula>
    </cfRule>
  </conditionalFormatting>
  <conditionalFormatting sqref="K283">
    <cfRule type="expression" dxfId="1" priority="1767">
      <formula>K314&gt;J314</formula>
    </cfRule>
  </conditionalFormatting>
  <conditionalFormatting sqref="K314">
    <cfRule type="expression" dxfId="1" priority="1768">
      <formula>K314&gt;J314</formula>
    </cfRule>
  </conditionalFormatting>
  <conditionalFormatting sqref="B253:K253">
    <cfRule type="expression" dxfId="2" priority="1769">
      <formula>B253&gt;$B$50</formula>
    </cfRule>
  </conditionalFormatting>
  <conditionalFormatting sqref="C254">
    <cfRule type="expression" dxfId="4" priority="1770">
      <formula>C284&gt;B284</formula>
    </cfRule>
  </conditionalFormatting>
  <conditionalFormatting sqref="C254">
    <cfRule type="expression" dxfId="1" priority="1771">
      <formula>C315&gt;B315</formula>
    </cfRule>
  </conditionalFormatting>
  <conditionalFormatting sqref="C284">
    <cfRule type="expression" dxfId="4" priority="1772">
      <formula>C284&gt;B284</formula>
    </cfRule>
  </conditionalFormatting>
  <conditionalFormatting sqref="C284">
    <cfRule type="expression" dxfId="1" priority="1773">
      <formula>C315&gt;B315</formula>
    </cfRule>
  </conditionalFormatting>
  <conditionalFormatting sqref="C315">
    <cfRule type="expression" dxfId="1" priority="1774">
      <formula>C315&gt;B315</formula>
    </cfRule>
  </conditionalFormatting>
  <conditionalFormatting sqref="D254">
    <cfRule type="expression" dxfId="4" priority="1775">
      <formula>D284&gt;C284</formula>
    </cfRule>
  </conditionalFormatting>
  <conditionalFormatting sqref="D254">
    <cfRule type="expression" dxfId="1" priority="1776">
      <formula>D315&gt;C315</formula>
    </cfRule>
  </conditionalFormatting>
  <conditionalFormatting sqref="D284">
    <cfRule type="expression" dxfId="4" priority="1777">
      <formula>D284&gt;C284</formula>
    </cfRule>
  </conditionalFormatting>
  <conditionalFormatting sqref="D284">
    <cfRule type="expression" dxfId="1" priority="1778">
      <formula>D315&gt;C315</formula>
    </cfRule>
  </conditionalFormatting>
  <conditionalFormatting sqref="D315">
    <cfRule type="expression" dxfId="1" priority="1779">
      <formula>D315&gt;C315</formula>
    </cfRule>
  </conditionalFormatting>
  <conditionalFormatting sqref="E254">
    <cfRule type="expression" dxfId="4" priority="1780">
      <formula>E284&gt;D284</formula>
    </cfRule>
  </conditionalFormatting>
  <conditionalFormatting sqref="E254">
    <cfRule type="expression" dxfId="1" priority="1781">
      <formula>E315&gt;D315</formula>
    </cfRule>
  </conditionalFormatting>
  <conditionalFormatting sqref="E284">
    <cfRule type="expression" dxfId="4" priority="1782">
      <formula>E284&gt;D284</formula>
    </cfRule>
  </conditionalFormatting>
  <conditionalFormatting sqref="E284">
    <cfRule type="expression" dxfId="1" priority="1783">
      <formula>E315&gt;D315</formula>
    </cfRule>
  </conditionalFormatting>
  <conditionalFormatting sqref="E315">
    <cfRule type="expression" dxfId="1" priority="1784">
      <formula>E315&gt;D315</formula>
    </cfRule>
  </conditionalFormatting>
  <conditionalFormatting sqref="F254">
    <cfRule type="expression" dxfId="4" priority="1785">
      <formula>F284&gt;E284</formula>
    </cfRule>
  </conditionalFormatting>
  <conditionalFormatting sqref="F254">
    <cfRule type="expression" dxfId="1" priority="1786">
      <formula>F315&gt;E315</formula>
    </cfRule>
  </conditionalFormatting>
  <conditionalFormatting sqref="F284">
    <cfRule type="expression" dxfId="4" priority="1787">
      <formula>F284&gt;E284</formula>
    </cfRule>
  </conditionalFormatting>
  <conditionalFormatting sqref="F284">
    <cfRule type="expression" dxfId="1" priority="1788">
      <formula>F315&gt;E315</formula>
    </cfRule>
  </conditionalFormatting>
  <conditionalFormatting sqref="F315">
    <cfRule type="expression" dxfId="1" priority="1789">
      <formula>F315&gt;E315</formula>
    </cfRule>
  </conditionalFormatting>
  <conditionalFormatting sqref="G254">
    <cfRule type="expression" dxfId="4" priority="1790">
      <formula>G284&gt;F284</formula>
    </cfRule>
  </conditionalFormatting>
  <conditionalFormatting sqref="G254">
    <cfRule type="expression" dxfId="1" priority="1791">
      <formula>G315&gt;F315</formula>
    </cfRule>
  </conditionalFormatting>
  <conditionalFormatting sqref="G284">
    <cfRule type="expression" dxfId="4" priority="1792">
      <formula>G284&gt;F284</formula>
    </cfRule>
  </conditionalFormatting>
  <conditionalFormatting sqref="G284">
    <cfRule type="expression" dxfId="1" priority="1793">
      <formula>G315&gt;F315</formula>
    </cfRule>
  </conditionalFormatting>
  <conditionalFormatting sqref="G315">
    <cfRule type="expression" dxfId="1" priority="1794">
      <formula>G315&gt;F315</formula>
    </cfRule>
  </conditionalFormatting>
  <conditionalFormatting sqref="H254">
    <cfRule type="expression" dxfId="4" priority="1795">
      <formula>H284&gt;G284</formula>
    </cfRule>
  </conditionalFormatting>
  <conditionalFormatting sqref="H254">
    <cfRule type="expression" dxfId="1" priority="1796">
      <formula>H315&gt;G315</formula>
    </cfRule>
  </conditionalFormatting>
  <conditionalFormatting sqref="H284">
    <cfRule type="expression" dxfId="4" priority="1797">
      <formula>H284&gt;G284</formula>
    </cfRule>
  </conditionalFormatting>
  <conditionalFormatting sqref="H284">
    <cfRule type="expression" dxfId="1" priority="1798">
      <formula>H315&gt;G315</formula>
    </cfRule>
  </conditionalFormatting>
  <conditionalFormatting sqref="H315">
    <cfRule type="expression" dxfId="1" priority="1799">
      <formula>H315&gt;G315</formula>
    </cfRule>
  </conditionalFormatting>
  <conditionalFormatting sqref="I254">
    <cfRule type="expression" dxfId="4" priority="1800">
      <formula>I284&gt;H284</formula>
    </cfRule>
  </conditionalFormatting>
  <conditionalFormatting sqref="I254">
    <cfRule type="expression" dxfId="1" priority="1801">
      <formula>I315&gt;H315</formula>
    </cfRule>
  </conditionalFormatting>
  <conditionalFormatting sqref="I284">
    <cfRule type="expression" dxfId="4" priority="1802">
      <formula>I284&gt;H284</formula>
    </cfRule>
  </conditionalFormatting>
  <conditionalFormatting sqref="I284">
    <cfRule type="expression" dxfId="1" priority="1803">
      <formula>I315&gt;H315</formula>
    </cfRule>
  </conditionalFormatting>
  <conditionalFormatting sqref="I315">
    <cfRule type="expression" dxfId="1" priority="1804">
      <formula>I315&gt;H315</formula>
    </cfRule>
  </conditionalFormatting>
  <conditionalFormatting sqref="J254">
    <cfRule type="expression" dxfId="4" priority="1805">
      <formula>J284&gt;I284</formula>
    </cfRule>
  </conditionalFormatting>
  <conditionalFormatting sqref="J254">
    <cfRule type="expression" dxfId="1" priority="1806">
      <formula>J315&gt;I315</formula>
    </cfRule>
  </conditionalFormatting>
  <conditionalFormatting sqref="J284">
    <cfRule type="expression" dxfId="4" priority="1807">
      <formula>J284&gt;I284</formula>
    </cfRule>
  </conditionalFormatting>
  <conditionalFormatting sqref="J284">
    <cfRule type="expression" dxfId="1" priority="1808">
      <formula>J315&gt;I315</formula>
    </cfRule>
  </conditionalFormatting>
  <conditionalFormatting sqref="J315">
    <cfRule type="expression" dxfId="1" priority="1809">
      <formula>J315&gt;I315</formula>
    </cfRule>
  </conditionalFormatting>
  <conditionalFormatting sqref="K254">
    <cfRule type="expression" dxfId="4" priority="1810">
      <formula>K284&gt;J284</formula>
    </cfRule>
  </conditionalFormatting>
  <conditionalFormatting sqref="K254">
    <cfRule type="expression" dxfId="1" priority="1811">
      <formula>K315&gt;J315</formula>
    </cfRule>
  </conditionalFormatting>
  <conditionalFormatting sqref="K284">
    <cfRule type="expression" dxfId="4" priority="1812">
      <formula>K284&gt;J284</formula>
    </cfRule>
  </conditionalFormatting>
  <conditionalFormatting sqref="K284">
    <cfRule type="expression" dxfId="1" priority="1813">
      <formula>K315&gt;J315</formula>
    </cfRule>
  </conditionalFormatting>
  <conditionalFormatting sqref="K315">
    <cfRule type="expression" dxfId="1" priority="1814">
      <formula>K315&gt;J315</formula>
    </cfRule>
  </conditionalFormatting>
  <conditionalFormatting sqref="B254:K254">
    <cfRule type="expression" dxfId="2" priority="1815">
      <formula>B254&gt;$B$50</formula>
    </cfRule>
  </conditionalFormatting>
  <conditionalFormatting sqref="C255">
    <cfRule type="expression" dxfId="0" priority="1816">
      <formula>C285&gt;B285</formula>
    </cfRule>
  </conditionalFormatting>
  <conditionalFormatting sqref="C255">
    <cfRule type="expression" dxfId="1" priority="1817">
      <formula>C316&gt;B316</formula>
    </cfRule>
  </conditionalFormatting>
  <conditionalFormatting sqref="C285">
    <cfRule type="expression" dxfId="0" priority="1818">
      <formula>C285&gt;B285</formula>
    </cfRule>
  </conditionalFormatting>
  <conditionalFormatting sqref="C285">
    <cfRule type="expression" dxfId="1" priority="1819">
      <formula>C316&gt;B316</formula>
    </cfRule>
  </conditionalFormatting>
  <conditionalFormatting sqref="C316">
    <cfRule type="expression" dxfId="1" priority="1820">
      <formula>C316&gt;B316</formula>
    </cfRule>
  </conditionalFormatting>
  <conditionalFormatting sqref="D255">
    <cfRule type="expression" dxfId="0" priority="1821">
      <formula>D285&gt;C285</formula>
    </cfRule>
  </conditionalFormatting>
  <conditionalFormatting sqref="D255">
    <cfRule type="expression" dxfId="1" priority="1822">
      <formula>D316&gt;C316</formula>
    </cfRule>
  </conditionalFormatting>
  <conditionalFormatting sqref="D285">
    <cfRule type="expression" dxfId="0" priority="1823">
      <formula>D285&gt;C285</formula>
    </cfRule>
  </conditionalFormatting>
  <conditionalFormatting sqref="D285">
    <cfRule type="expression" dxfId="1" priority="1824">
      <formula>D316&gt;C316</formula>
    </cfRule>
  </conditionalFormatting>
  <conditionalFormatting sqref="D316">
    <cfRule type="expression" dxfId="1" priority="1825">
      <formula>D316&gt;C316</formula>
    </cfRule>
  </conditionalFormatting>
  <conditionalFormatting sqref="E255">
    <cfRule type="expression" dxfId="0" priority="1826">
      <formula>E285&gt;D285</formula>
    </cfRule>
  </conditionalFormatting>
  <conditionalFormatting sqref="E255">
    <cfRule type="expression" dxfId="1" priority="1827">
      <formula>E316&gt;D316</formula>
    </cfRule>
  </conditionalFormatting>
  <conditionalFormatting sqref="E285">
    <cfRule type="expression" dxfId="0" priority="1828">
      <formula>E285&gt;D285</formula>
    </cfRule>
  </conditionalFormatting>
  <conditionalFormatting sqref="E285">
    <cfRule type="expression" dxfId="1" priority="1829">
      <formula>E316&gt;D316</formula>
    </cfRule>
  </conditionalFormatting>
  <conditionalFormatting sqref="E316">
    <cfRule type="expression" dxfId="1" priority="1830">
      <formula>E316&gt;D316</formula>
    </cfRule>
  </conditionalFormatting>
  <conditionalFormatting sqref="F255">
    <cfRule type="expression" dxfId="0" priority="1831">
      <formula>F285&gt;E285</formula>
    </cfRule>
  </conditionalFormatting>
  <conditionalFormatting sqref="F255">
    <cfRule type="expression" dxfId="1" priority="1832">
      <formula>F316&gt;E316</formula>
    </cfRule>
  </conditionalFormatting>
  <conditionalFormatting sqref="F285">
    <cfRule type="expression" dxfId="0" priority="1833">
      <formula>F285&gt;E285</formula>
    </cfRule>
  </conditionalFormatting>
  <conditionalFormatting sqref="F285">
    <cfRule type="expression" dxfId="1" priority="1834">
      <formula>F316&gt;E316</formula>
    </cfRule>
  </conditionalFormatting>
  <conditionalFormatting sqref="F316">
    <cfRule type="expression" dxfId="1" priority="1835">
      <formula>F316&gt;E316</formula>
    </cfRule>
  </conditionalFormatting>
  <conditionalFormatting sqref="G255">
    <cfRule type="expression" dxfId="0" priority="1836">
      <formula>G285&gt;F285</formula>
    </cfRule>
  </conditionalFormatting>
  <conditionalFormatting sqref="G255">
    <cfRule type="expression" dxfId="1" priority="1837">
      <formula>G316&gt;F316</formula>
    </cfRule>
  </conditionalFormatting>
  <conditionalFormatting sqref="G285">
    <cfRule type="expression" dxfId="0" priority="1838">
      <formula>G285&gt;F285</formula>
    </cfRule>
  </conditionalFormatting>
  <conditionalFormatting sqref="G285">
    <cfRule type="expression" dxfId="1" priority="1839">
      <formula>G316&gt;F316</formula>
    </cfRule>
  </conditionalFormatting>
  <conditionalFormatting sqref="G316">
    <cfRule type="expression" dxfId="1" priority="1840">
      <formula>G316&gt;F316</formula>
    </cfRule>
  </conditionalFormatting>
  <conditionalFormatting sqref="H255">
    <cfRule type="expression" dxfId="0" priority="1841">
      <formula>H285&gt;G285</formula>
    </cfRule>
  </conditionalFormatting>
  <conditionalFormatting sqref="H255">
    <cfRule type="expression" dxfId="1" priority="1842">
      <formula>H316&gt;G316</formula>
    </cfRule>
  </conditionalFormatting>
  <conditionalFormatting sqref="H285">
    <cfRule type="expression" dxfId="0" priority="1843">
      <formula>H285&gt;G285</formula>
    </cfRule>
  </conditionalFormatting>
  <conditionalFormatting sqref="H285">
    <cfRule type="expression" dxfId="1" priority="1844">
      <formula>H316&gt;G316</formula>
    </cfRule>
  </conditionalFormatting>
  <conditionalFormatting sqref="H316">
    <cfRule type="expression" dxfId="1" priority="1845">
      <formula>H316&gt;G316</formula>
    </cfRule>
  </conditionalFormatting>
  <conditionalFormatting sqref="I255">
    <cfRule type="expression" dxfId="0" priority="1846">
      <formula>I285&gt;H285</formula>
    </cfRule>
  </conditionalFormatting>
  <conditionalFormatting sqref="I255">
    <cfRule type="expression" dxfId="1" priority="1847">
      <formula>I316&gt;H316</formula>
    </cfRule>
  </conditionalFormatting>
  <conditionalFormatting sqref="I285">
    <cfRule type="expression" dxfId="0" priority="1848">
      <formula>I285&gt;H285</formula>
    </cfRule>
  </conditionalFormatting>
  <conditionalFormatting sqref="I285">
    <cfRule type="expression" dxfId="1" priority="1849">
      <formula>I316&gt;H316</formula>
    </cfRule>
  </conditionalFormatting>
  <conditionalFormatting sqref="I316">
    <cfRule type="expression" dxfId="1" priority="1850">
      <formula>I316&gt;H316</formula>
    </cfRule>
  </conditionalFormatting>
  <conditionalFormatting sqref="J255">
    <cfRule type="expression" dxfId="0" priority="1851">
      <formula>J285&gt;I285</formula>
    </cfRule>
  </conditionalFormatting>
  <conditionalFormatting sqref="J255">
    <cfRule type="expression" dxfId="1" priority="1852">
      <formula>J316&gt;I316</formula>
    </cfRule>
  </conditionalFormatting>
  <conditionalFormatting sqref="J285">
    <cfRule type="expression" dxfId="0" priority="1853">
      <formula>J285&gt;I285</formula>
    </cfRule>
  </conditionalFormatting>
  <conditionalFormatting sqref="J285">
    <cfRule type="expression" dxfId="1" priority="1854">
      <formula>J316&gt;I316</formula>
    </cfRule>
  </conditionalFormatting>
  <conditionalFormatting sqref="J316">
    <cfRule type="expression" dxfId="1" priority="1855">
      <formula>J316&gt;I316</formula>
    </cfRule>
  </conditionalFormatting>
  <conditionalFormatting sqref="K255">
    <cfRule type="expression" dxfId="0" priority="1856">
      <formula>K285&gt;J285</formula>
    </cfRule>
  </conditionalFormatting>
  <conditionalFormatting sqref="K255">
    <cfRule type="expression" dxfId="1" priority="1857">
      <formula>K316&gt;J316</formula>
    </cfRule>
  </conditionalFormatting>
  <conditionalFormatting sqref="K285">
    <cfRule type="expression" dxfId="0" priority="1858">
      <formula>K285&gt;J285</formula>
    </cfRule>
  </conditionalFormatting>
  <conditionalFormatting sqref="K285">
    <cfRule type="expression" dxfId="1" priority="1859">
      <formula>K316&gt;J316</formula>
    </cfRule>
  </conditionalFormatting>
  <conditionalFormatting sqref="K316">
    <cfRule type="expression" dxfId="1" priority="1860">
      <formula>K316&gt;J316</formula>
    </cfRule>
  </conditionalFormatting>
  <conditionalFormatting sqref="B255:K255">
    <cfRule type="expression" dxfId="2" priority="1861">
      <formula>B255&gt;$B$50</formula>
    </cfRule>
  </conditionalFormatting>
  <conditionalFormatting sqref="C256">
    <cfRule type="expression" dxfId="0" priority="1862">
      <formula>C286&gt;B286</formula>
    </cfRule>
  </conditionalFormatting>
  <conditionalFormatting sqref="C256">
    <cfRule type="expression" dxfId="1" priority="1863">
      <formula>C317&gt;B317</formula>
    </cfRule>
  </conditionalFormatting>
  <conditionalFormatting sqref="C286">
    <cfRule type="expression" dxfId="0" priority="1864">
      <formula>C286&gt;B286</formula>
    </cfRule>
  </conditionalFormatting>
  <conditionalFormatting sqref="C286">
    <cfRule type="expression" dxfId="1" priority="1865">
      <formula>C317&gt;B317</formula>
    </cfRule>
  </conditionalFormatting>
  <conditionalFormatting sqref="C317">
    <cfRule type="expression" dxfId="1" priority="1866">
      <formula>C317&gt;B317</formula>
    </cfRule>
  </conditionalFormatting>
  <conditionalFormatting sqref="D256">
    <cfRule type="expression" dxfId="0" priority="1867">
      <formula>D286&gt;C286</formula>
    </cfRule>
  </conditionalFormatting>
  <conditionalFormatting sqref="D256">
    <cfRule type="expression" dxfId="1" priority="1868">
      <formula>D317&gt;C317</formula>
    </cfRule>
  </conditionalFormatting>
  <conditionalFormatting sqref="D286">
    <cfRule type="expression" dxfId="0" priority="1869">
      <formula>D286&gt;C286</formula>
    </cfRule>
  </conditionalFormatting>
  <conditionalFormatting sqref="D286">
    <cfRule type="expression" dxfId="1" priority="1870">
      <formula>D317&gt;C317</formula>
    </cfRule>
  </conditionalFormatting>
  <conditionalFormatting sqref="D317">
    <cfRule type="expression" dxfId="1" priority="1871">
      <formula>D317&gt;C317</formula>
    </cfRule>
  </conditionalFormatting>
  <conditionalFormatting sqref="E256">
    <cfRule type="expression" dxfId="0" priority="1872">
      <formula>E286&gt;D286</formula>
    </cfRule>
  </conditionalFormatting>
  <conditionalFormatting sqref="E256">
    <cfRule type="expression" dxfId="1" priority="1873">
      <formula>E317&gt;D317</formula>
    </cfRule>
  </conditionalFormatting>
  <conditionalFormatting sqref="E286">
    <cfRule type="expression" dxfId="0" priority="1874">
      <formula>E286&gt;D286</formula>
    </cfRule>
  </conditionalFormatting>
  <conditionalFormatting sqref="E286">
    <cfRule type="expression" dxfId="1" priority="1875">
      <formula>E317&gt;D317</formula>
    </cfRule>
  </conditionalFormatting>
  <conditionalFormatting sqref="E317">
    <cfRule type="expression" dxfId="1" priority="1876">
      <formula>E317&gt;D317</formula>
    </cfRule>
  </conditionalFormatting>
  <conditionalFormatting sqref="F256">
    <cfRule type="expression" dxfId="0" priority="1877">
      <formula>F286&gt;E286</formula>
    </cfRule>
  </conditionalFormatting>
  <conditionalFormatting sqref="F256">
    <cfRule type="expression" dxfId="1" priority="1878">
      <formula>F317&gt;E317</formula>
    </cfRule>
  </conditionalFormatting>
  <conditionalFormatting sqref="F286">
    <cfRule type="expression" dxfId="0" priority="1879">
      <formula>F286&gt;E286</formula>
    </cfRule>
  </conditionalFormatting>
  <conditionalFormatting sqref="F286">
    <cfRule type="expression" dxfId="1" priority="1880">
      <formula>F317&gt;E317</formula>
    </cfRule>
  </conditionalFormatting>
  <conditionalFormatting sqref="F317">
    <cfRule type="expression" dxfId="1" priority="1881">
      <formula>F317&gt;E317</formula>
    </cfRule>
  </conditionalFormatting>
  <conditionalFormatting sqref="G256">
    <cfRule type="expression" dxfId="0" priority="1882">
      <formula>G286&gt;F286</formula>
    </cfRule>
  </conditionalFormatting>
  <conditionalFormatting sqref="G256">
    <cfRule type="expression" dxfId="1" priority="1883">
      <formula>G317&gt;F317</formula>
    </cfRule>
  </conditionalFormatting>
  <conditionalFormatting sqref="G286">
    <cfRule type="expression" dxfId="0" priority="1884">
      <formula>G286&gt;F286</formula>
    </cfRule>
  </conditionalFormatting>
  <conditionalFormatting sqref="G286">
    <cfRule type="expression" dxfId="1" priority="1885">
      <formula>G317&gt;F317</formula>
    </cfRule>
  </conditionalFormatting>
  <conditionalFormatting sqref="G317">
    <cfRule type="expression" dxfId="1" priority="1886">
      <formula>G317&gt;F317</formula>
    </cfRule>
  </conditionalFormatting>
  <conditionalFormatting sqref="H256">
    <cfRule type="expression" dxfId="0" priority="1887">
      <formula>H286&gt;G286</formula>
    </cfRule>
  </conditionalFormatting>
  <conditionalFormatting sqref="H256">
    <cfRule type="expression" dxfId="1" priority="1888">
      <formula>H317&gt;G317</formula>
    </cfRule>
  </conditionalFormatting>
  <conditionalFormatting sqref="H286">
    <cfRule type="expression" dxfId="0" priority="1889">
      <formula>H286&gt;G286</formula>
    </cfRule>
  </conditionalFormatting>
  <conditionalFormatting sqref="H286">
    <cfRule type="expression" dxfId="1" priority="1890">
      <formula>H317&gt;G317</formula>
    </cfRule>
  </conditionalFormatting>
  <conditionalFormatting sqref="H317">
    <cfRule type="expression" dxfId="1" priority="1891">
      <formula>H317&gt;G317</formula>
    </cfRule>
  </conditionalFormatting>
  <conditionalFormatting sqref="I256">
    <cfRule type="expression" dxfId="0" priority="1892">
      <formula>I286&gt;H286</formula>
    </cfRule>
  </conditionalFormatting>
  <conditionalFormatting sqref="I256">
    <cfRule type="expression" dxfId="1" priority="1893">
      <formula>I317&gt;H317</formula>
    </cfRule>
  </conditionalFormatting>
  <conditionalFormatting sqref="I286">
    <cfRule type="expression" dxfId="0" priority="1894">
      <formula>I286&gt;H286</formula>
    </cfRule>
  </conditionalFormatting>
  <conditionalFormatting sqref="I286">
    <cfRule type="expression" dxfId="1" priority="1895">
      <formula>I317&gt;H317</formula>
    </cfRule>
  </conditionalFormatting>
  <conditionalFormatting sqref="I317">
    <cfRule type="expression" dxfId="1" priority="1896">
      <formula>I317&gt;H317</formula>
    </cfRule>
  </conditionalFormatting>
  <conditionalFormatting sqref="J256">
    <cfRule type="expression" dxfId="0" priority="1897">
      <formula>J286&gt;I286</formula>
    </cfRule>
  </conditionalFormatting>
  <conditionalFormatting sqref="J256">
    <cfRule type="expression" dxfId="1" priority="1898">
      <formula>J317&gt;I317</formula>
    </cfRule>
  </conditionalFormatting>
  <conditionalFormatting sqref="J286">
    <cfRule type="expression" dxfId="0" priority="1899">
      <formula>J286&gt;I286</formula>
    </cfRule>
  </conditionalFormatting>
  <conditionalFormatting sqref="J286">
    <cfRule type="expression" dxfId="1" priority="1900">
      <formula>J317&gt;I317</formula>
    </cfRule>
  </conditionalFormatting>
  <conditionalFormatting sqref="J317">
    <cfRule type="expression" dxfId="1" priority="1901">
      <formula>J317&gt;I317</formula>
    </cfRule>
  </conditionalFormatting>
  <conditionalFormatting sqref="K256">
    <cfRule type="expression" dxfId="0" priority="1902">
      <formula>K286&gt;J286</formula>
    </cfRule>
  </conditionalFormatting>
  <conditionalFormatting sqref="K256">
    <cfRule type="expression" dxfId="1" priority="1903">
      <formula>K317&gt;J317</formula>
    </cfRule>
  </conditionalFormatting>
  <conditionalFormatting sqref="K286">
    <cfRule type="expression" dxfId="0" priority="1904">
      <formula>K286&gt;J286</formula>
    </cfRule>
  </conditionalFormatting>
  <conditionalFormatting sqref="K286">
    <cfRule type="expression" dxfId="1" priority="1905">
      <formula>K317&gt;J317</formula>
    </cfRule>
  </conditionalFormatting>
  <conditionalFormatting sqref="K317">
    <cfRule type="expression" dxfId="1" priority="1906">
      <formula>K317&gt;J317</formula>
    </cfRule>
  </conditionalFormatting>
  <conditionalFormatting sqref="B256:K256">
    <cfRule type="expression" dxfId="2" priority="1907">
      <formula>B256&gt;$B$50</formula>
    </cfRule>
  </conditionalFormatting>
  <conditionalFormatting sqref="C257">
    <cfRule type="expression" dxfId="4" priority="1908">
      <formula>C287&gt;B287</formula>
    </cfRule>
  </conditionalFormatting>
  <conditionalFormatting sqref="C257">
    <cfRule type="expression" dxfId="1" priority="1909">
      <formula>C318&gt;B318</formula>
    </cfRule>
  </conditionalFormatting>
  <conditionalFormatting sqref="C287">
    <cfRule type="expression" dxfId="4" priority="1910">
      <formula>C287&gt;B287</formula>
    </cfRule>
  </conditionalFormatting>
  <conditionalFormatting sqref="C287">
    <cfRule type="expression" dxfId="1" priority="1911">
      <formula>C318&gt;B318</formula>
    </cfRule>
  </conditionalFormatting>
  <conditionalFormatting sqref="C318">
    <cfRule type="expression" dxfId="1" priority="1912">
      <formula>C318&gt;B318</formula>
    </cfRule>
  </conditionalFormatting>
  <conditionalFormatting sqref="D257">
    <cfRule type="expression" dxfId="4" priority="1913">
      <formula>D287&gt;C287</formula>
    </cfRule>
  </conditionalFormatting>
  <conditionalFormatting sqref="D257">
    <cfRule type="expression" dxfId="1" priority="1914">
      <formula>D318&gt;C318</formula>
    </cfRule>
  </conditionalFormatting>
  <conditionalFormatting sqref="D287">
    <cfRule type="expression" dxfId="4" priority="1915">
      <formula>D287&gt;C287</formula>
    </cfRule>
  </conditionalFormatting>
  <conditionalFormatting sqref="D287">
    <cfRule type="expression" dxfId="1" priority="1916">
      <formula>D318&gt;C318</formula>
    </cfRule>
  </conditionalFormatting>
  <conditionalFormatting sqref="D318">
    <cfRule type="expression" dxfId="1" priority="1917">
      <formula>D318&gt;C318</formula>
    </cfRule>
  </conditionalFormatting>
  <conditionalFormatting sqref="E257">
    <cfRule type="expression" dxfId="4" priority="1918">
      <formula>E287&gt;D287</formula>
    </cfRule>
  </conditionalFormatting>
  <conditionalFormatting sqref="E257">
    <cfRule type="expression" dxfId="1" priority="1919">
      <formula>E318&gt;D318</formula>
    </cfRule>
  </conditionalFormatting>
  <conditionalFormatting sqref="E287">
    <cfRule type="expression" dxfId="4" priority="1920">
      <formula>E287&gt;D287</formula>
    </cfRule>
  </conditionalFormatting>
  <conditionalFormatting sqref="E287">
    <cfRule type="expression" dxfId="1" priority="1921">
      <formula>E318&gt;D318</formula>
    </cfRule>
  </conditionalFormatting>
  <conditionalFormatting sqref="E318">
    <cfRule type="expression" dxfId="1" priority="1922">
      <formula>E318&gt;D318</formula>
    </cfRule>
  </conditionalFormatting>
  <conditionalFormatting sqref="F257">
    <cfRule type="expression" dxfId="4" priority="1923">
      <formula>F287&gt;E287</formula>
    </cfRule>
  </conditionalFormatting>
  <conditionalFormatting sqref="F257">
    <cfRule type="expression" dxfId="1" priority="1924">
      <formula>F318&gt;E318</formula>
    </cfRule>
  </conditionalFormatting>
  <conditionalFormatting sqref="F287">
    <cfRule type="expression" dxfId="4" priority="1925">
      <formula>F287&gt;E287</formula>
    </cfRule>
  </conditionalFormatting>
  <conditionalFormatting sqref="F287">
    <cfRule type="expression" dxfId="1" priority="1926">
      <formula>F318&gt;E318</formula>
    </cfRule>
  </conditionalFormatting>
  <conditionalFormatting sqref="F318">
    <cfRule type="expression" dxfId="1" priority="1927">
      <formula>F318&gt;E318</formula>
    </cfRule>
  </conditionalFormatting>
  <conditionalFormatting sqref="G257">
    <cfRule type="expression" dxfId="4" priority="1928">
      <formula>G287&gt;F287</formula>
    </cfRule>
  </conditionalFormatting>
  <conditionalFormatting sqref="G257">
    <cfRule type="expression" dxfId="1" priority="1929">
      <formula>G318&gt;F318</formula>
    </cfRule>
  </conditionalFormatting>
  <conditionalFormatting sqref="G287">
    <cfRule type="expression" dxfId="4" priority="1930">
      <formula>G287&gt;F287</formula>
    </cfRule>
  </conditionalFormatting>
  <conditionalFormatting sqref="G287">
    <cfRule type="expression" dxfId="1" priority="1931">
      <formula>G318&gt;F318</formula>
    </cfRule>
  </conditionalFormatting>
  <conditionalFormatting sqref="G318">
    <cfRule type="expression" dxfId="1" priority="1932">
      <formula>G318&gt;F318</formula>
    </cfRule>
  </conditionalFormatting>
  <conditionalFormatting sqref="H257">
    <cfRule type="expression" dxfId="4" priority="1933">
      <formula>H287&gt;G287</formula>
    </cfRule>
  </conditionalFormatting>
  <conditionalFormatting sqref="H257">
    <cfRule type="expression" dxfId="1" priority="1934">
      <formula>H318&gt;G318</formula>
    </cfRule>
  </conditionalFormatting>
  <conditionalFormatting sqref="H287">
    <cfRule type="expression" dxfId="4" priority="1935">
      <formula>H287&gt;G287</formula>
    </cfRule>
  </conditionalFormatting>
  <conditionalFormatting sqref="H287">
    <cfRule type="expression" dxfId="1" priority="1936">
      <formula>H318&gt;G318</formula>
    </cfRule>
  </conditionalFormatting>
  <conditionalFormatting sqref="H318">
    <cfRule type="expression" dxfId="1" priority="1937">
      <formula>H318&gt;G318</formula>
    </cfRule>
  </conditionalFormatting>
  <conditionalFormatting sqref="I257">
    <cfRule type="expression" dxfId="4" priority="1938">
      <formula>I287&gt;H287</formula>
    </cfRule>
  </conditionalFormatting>
  <conditionalFormatting sqref="I257">
    <cfRule type="expression" dxfId="1" priority="1939">
      <formula>I318&gt;H318</formula>
    </cfRule>
  </conditionalFormatting>
  <conditionalFormatting sqref="I287">
    <cfRule type="expression" dxfId="4" priority="1940">
      <formula>I287&gt;H287</formula>
    </cfRule>
  </conditionalFormatting>
  <conditionalFormatting sqref="I287">
    <cfRule type="expression" dxfId="1" priority="1941">
      <formula>I318&gt;H318</formula>
    </cfRule>
  </conditionalFormatting>
  <conditionalFormatting sqref="I318">
    <cfRule type="expression" dxfId="1" priority="1942">
      <formula>I318&gt;H318</formula>
    </cfRule>
  </conditionalFormatting>
  <conditionalFormatting sqref="J257">
    <cfRule type="expression" dxfId="4" priority="1943">
      <formula>J287&gt;I287</formula>
    </cfRule>
  </conditionalFormatting>
  <conditionalFormatting sqref="J257">
    <cfRule type="expression" dxfId="1" priority="1944">
      <formula>J318&gt;I318</formula>
    </cfRule>
  </conditionalFormatting>
  <conditionalFormatting sqref="J287">
    <cfRule type="expression" dxfId="4" priority="1945">
      <formula>J287&gt;I287</formula>
    </cfRule>
  </conditionalFormatting>
  <conditionalFormatting sqref="J287">
    <cfRule type="expression" dxfId="1" priority="1946">
      <formula>J318&gt;I318</formula>
    </cfRule>
  </conditionalFormatting>
  <conditionalFormatting sqref="J318">
    <cfRule type="expression" dxfId="1" priority="1947">
      <formula>J318&gt;I318</formula>
    </cfRule>
  </conditionalFormatting>
  <conditionalFormatting sqref="K257">
    <cfRule type="expression" dxfId="4" priority="1948">
      <formula>K287&gt;J287</formula>
    </cfRule>
  </conditionalFormatting>
  <conditionalFormatting sqref="K257">
    <cfRule type="expression" dxfId="1" priority="1949">
      <formula>K318&gt;J318</formula>
    </cfRule>
  </conditionalFormatting>
  <conditionalFormatting sqref="K287">
    <cfRule type="expression" dxfId="4" priority="1950">
      <formula>K287&gt;J287</formula>
    </cfRule>
  </conditionalFormatting>
  <conditionalFormatting sqref="K287">
    <cfRule type="expression" dxfId="1" priority="1951">
      <formula>K318&gt;J318</formula>
    </cfRule>
  </conditionalFormatting>
  <conditionalFormatting sqref="K318">
    <cfRule type="expression" dxfId="1" priority="1952">
      <formula>K318&gt;J318</formula>
    </cfRule>
  </conditionalFormatting>
  <conditionalFormatting sqref="B257:K257">
    <cfRule type="expression" dxfId="2" priority="1953">
      <formula>B257&gt;$B$50</formula>
    </cfRule>
  </conditionalFormatting>
  <conditionalFormatting sqref="C258">
    <cfRule type="expression" dxfId="0" priority="1954">
      <formula>C288&gt;B288</formula>
    </cfRule>
  </conditionalFormatting>
  <conditionalFormatting sqref="C258">
    <cfRule type="expression" dxfId="1" priority="1955">
      <formula>C319&gt;B319</formula>
    </cfRule>
  </conditionalFormatting>
  <conditionalFormatting sqref="C288">
    <cfRule type="expression" dxfId="0" priority="1956">
      <formula>C288&gt;B288</formula>
    </cfRule>
  </conditionalFormatting>
  <conditionalFormatting sqref="C288">
    <cfRule type="expression" dxfId="1" priority="1957">
      <formula>C319&gt;B319</formula>
    </cfRule>
  </conditionalFormatting>
  <conditionalFormatting sqref="C319">
    <cfRule type="expression" dxfId="1" priority="1958">
      <formula>C319&gt;B319</formula>
    </cfRule>
  </conditionalFormatting>
  <conditionalFormatting sqref="D258">
    <cfRule type="expression" dxfId="0" priority="1959">
      <formula>D288&gt;C288</formula>
    </cfRule>
  </conditionalFormatting>
  <conditionalFormatting sqref="D258">
    <cfRule type="expression" dxfId="1" priority="1960">
      <formula>D319&gt;C319</formula>
    </cfRule>
  </conditionalFormatting>
  <conditionalFormatting sqref="D288">
    <cfRule type="expression" dxfId="0" priority="1961">
      <formula>D288&gt;C288</formula>
    </cfRule>
  </conditionalFormatting>
  <conditionalFormatting sqref="D288">
    <cfRule type="expression" dxfId="1" priority="1962">
      <formula>D319&gt;C319</formula>
    </cfRule>
  </conditionalFormatting>
  <conditionalFormatting sqref="D319">
    <cfRule type="expression" dxfId="1" priority="1963">
      <formula>D319&gt;C319</formula>
    </cfRule>
  </conditionalFormatting>
  <conditionalFormatting sqref="E258">
    <cfRule type="expression" dxfId="0" priority="1964">
      <formula>E288&gt;D288</formula>
    </cfRule>
  </conditionalFormatting>
  <conditionalFormatting sqref="E258">
    <cfRule type="expression" dxfId="1" priority="1965">
      <formula>E319&gt;D319</formula>
    </cfRule>
  </conditionalFormatting>
  <conditionalFormatting sqref="E288">
    <cfRule type="expression" dxfId="0" priority="1966">
      <formula>E288&gt;D288</formula>
    </cfRule>
  </conditionalFormatting>
  <conditionalFormatting sqref="E288">
    <cfRule type="expression" dxfId="1" priority="1967">
      <formula>E319&gt;D319</formula>
    </cfRule>
  </conditionalFormatting>
  <conditionalFormatting sqref="E319">
    <cfRule type="expression" dxfId="1" priority="1968">
      <formula>E319&gt;D319</formula>
    </cfRule>
  </conditionalFormatting>
  <conditionalFormatting sqref="F258">
    <cfRule type="expression" dxfId="0" priority="1969">
      <formula>F288&gt;E288</formula>
    </cfRule>
  </conditionalFormatting>
  <conditionalFormatting sqref="F258">
    <cfRule type="expression" dxfId="1" priority="1970">
      <formula>F319&gt;E319</formula>
    </cfRule>
  </conditionalFormatting>
  <conditionalFormatting sqref="F288">
    <cfRule type="expression" dxfId="0" priority="1971">
      <formula>F288&gt;E288</formula>
    </cfRule>
  </conditionalFormatting>
  <conditionalFormatting sqref="F288">
    <cfRule type="expression" dxfId="1" priority="1972">
      <formula>F319&gt;E319</formula>
    </cfRule>
  </conditionalFormatting>
  <conditionalFormatting sqref="F319">
    <cfRule type="expression" dxfId="1" priority="1973">
      <formula>F319&gt;E319</formula>
    </cfRule>
  </conditionalFormatting>
  <conditionalFormatting sqref="G258">
    <cfRule type="expression" dxfId="0" priority="1974">
      <formula>G288&gt;F288</formula>
    </cfRule>
  </conditionalFormatting>
  <conditionalFormatting sqref="G258">
    <cfRule type="expression" dxfId="1" priority="1975">
      <formula>G319&gt;F319</formula>
    </cfRule>
  </conditionalFormatting>
  <conditionalFormatting sqref="G288">
    <cfRule type="expression" dxfId="0" priority="1976">
      <formula>G288&gt;F288</formula>
    </cfRule>
  </conditionalFormatting>
  <conditionalFormatting sqref="G288">
    <cfRule type="expression" dxfId="1" priority="1977">
      <formula>G319&gt;F319</formula>
    </cfRule>
  </conditionalFormatting>
  <conditionalFormatting sqref="G319">
    <cfRule type="expression" dxfId="1" priority="1978">
      <formula>G319&gt;F319</formula>
    </cfRule>
  </conditionalFormatting>
  <conditionalFormatting sqref="H258">
    <cfRule type="expression" dxfId="0" priority="1979">
      <formula>H288&gt;G288</formula>
    </cfRule>
  </conditionalFormatting>
  <conditionalFormatting sqref="H258">
    <cfRule type="expression" dxfId="1" priority="1980">
      <formula>H319&gt;G319</formula>
    </cfRule>
  </conditionalFormatting>
  <conditionalFormatting sqref="H288">
    <cfRule type="expression" dxfId="0" priority="1981">
      <formula>H288&gt;G288</formula>
    </cfRule>
  </conditionalFormatting>
  <conditionalFormatting sqref="H288">
    <cfRule type="expression" dxfId="1" priority="1982">
      <formula>H319&gt;G319</formula>
    </cfRule>
  </conditionalFormatting>
  <conditionalFormatting sqref="H319">
    <cfRule type="expression" dxfId="1" priority="1983">
      <formula>H319&gt;G319</formula>
    </cfRule>
  </conditionalFormatting>
  <conditionalFormatting sqref="I258">
    <cfRule type="expression" dxfId="0" priority="1984">
      <formula>I288&gt;H288</formula>
    </cfRule>
  </conditionalFormatting>
  <conditionalFormatting sqref="I258">
    <cfRule type="expression" dxfId="1" priority="1985">
      <formula>I319&gt;H319</formula>
    </cfRule>
  </conditionalFormatting>
  <conditionalFormatting sqref="I288">
    <cfRule type="expression" dxfId="0" priority="1986">
      <formula>I288&gt;H288</formula>
    </cfRule>
  </conditionalFormatting>
  <conditionalFormatting sqref="I288">
    <cfRule type="expression" dxfId="1" priority="1987">
      <formula>I319&gt;H319</formula>
    </cfRule>
  </conditionalFormatting>
  <conditionalFormatting sqref="I319">
    <cfRule type="expression" dxfId="1" priority="1988">
      <formula>I319&gt;H319</formula>
    </cfRule>
  </conditionalFormatting>
  <conditionalFormatting sqref="J258">
    <cfRule type="expression" dxfId="0" priority="1989">
      <formula>J288&gt;I288</formula>
    </cfRule>
  </conditionalFormatting>
  <conditionalFormatting sqref="J258">
    <cfRule type="expression" dxfId="1" priority="1990">
      <formula>J319&gt;I319</formula>
    </cfRule>
  </conditionalFormatting>
  <conditionalFormatting sqref="J288">
    <cfRule type="expression" dxfId="0" priority="1991">
      <formula>J288&gt;I288</formula>
    </cfRule>
  </conditionalFormatting>
  <conditionalFormatting sqref="J288">
    <cfRule type="expression" dxfId="1" priority="1992">
      <formula>J319&gt;I319</formula>
    </cfRule>
  </conditionalFormatting>
  <conditionalFormatting sqref="J319">
    <cfRule type="expression" dxfId="1" priority="1993">
      <formula>J319&gt;I319</formula>
    </cfRule>
  </conditionalFormatting>
  <conditionalFormatting sqref="K258">
    <cfRule type="expression" dxfId="0" priority="1994">
      <formula>K288&gt;J288</formula>
    </cfRule>
  </conditionalFormatting>
  <conditionalFormatting sqref="K258">
    <cfRule type="expression" dxfId="1" priority="1995">
      <formula>K319&gt;J319</formula>
    </cfRule>
  </conditionalFormatting>
  <conditionalFormatting sqref="K288">
    <cfRule type="expression" dxfId="0" priority="1996">
      <formula>K288&gt;J288</formula>
    </cfRule>
  </conditionalFormatting>
  <conditionalFormatting sqref="K288">
    <cfRule type="expression" dxfId="1" priority="1997">
      <formula>K319&gt;J319</formula>
    </cfRule>
  </conditionalFormatting>
  <conditionalFormatting sqref="K319">
    <cfRule type="expression" dxfId="1" priority="1998">
      <formula>K319&gt;J319</formula>
    </cfRule>
  </conditionalFormatting>
  <conditionalFormatting sqref="B258:K258">
    <cfRule type="expression" dxfId="2" priority="1999">
      <formula>B258&gt;$B$50</formula>
    </cfRule>
  </conditionalFormatting>
  <conditionalFormatting sqref="C259">
    <cfRule type="expression" dxfId="0" priority="2000">
      <formula>C289&gt;B289</formula>
    </cfRule>
  </conditionalFormatting>
  <conditionalFormatting sqref="C259">
    <cfRule type="expression" dxfId="1" priority="2001">
      <formula>C320&gt;B320</formula>
    </cfRule>
  </conditionalFormatting>
  <conditionalFormatting sqref="C289">
    <cfRule type="expression" dxfId="0" priority="2002">
      <formula>C289&gt;B289</formula>
    </cfRule>
  </conditionalFormatting>
  <conditionalFormatting sqref="C289">
    <cfRule type="expression" dxfId="1" priority="2003">
      <formula>C320&gt;B320</formula>
    </cfRule>
  </conditionalFormatting>
  <conditionalFormatting sqref="C320">
    <cfRule type="expression" dxfId="1" priority="2004">
      <formula>C320&gt;B320</formula>
    </cfRule>
  </conditionalFormatting>
  <conditionalFormatting sqref="D259">
    <cfRule type="expression" dxfId="0" priority="2005">
      <formula>D289&gt;C289</formula>
    </cfRule>
  </conditionalFormatting>
  <conditionalFormatting sqref="D259">
    <cfRule type="expression" dxfId="1" priority="2006">
      <formula>D320&gt;C320</formula>
    </cfRule>
  </conditionalFormatting>
  <conditionalFormatting sqref="D289">
    <cfRule type="expression" dxfId="0" priority="2007">
      <formula>D289&gt;C289</formula>
    </cfRule>
  </conditionalFormatting>
  <conditionalFormatting sqref="D289">
    <cfRule type="expression" dxfId="1" priority="2008">
      <formula>D320&gt;C320</formula>
    </cfRule>
  </conditionalFormatting>
  <conditionalFormatting sqref="D320">
    <cfRule type="expression" dxfId="1" priority="2009">
      <formula>D320&gt;C320</formula>
    </cfRule>
  </conditionalFormatting>
  <conditionalFormatting sqref="E259">
    <cfRule type="expression" dxfId="0" priority="2010">
      <formula>E289&gt;D289</formula>
    </cfRule>
  </conditionalFormatting>
  <conditionalFormatting sqref="E259">
    <cfRule type="expression" dxfId="1" priority="2011">
      <formula>E320&gt;D320</formula>
    </cfRule>
  </conditionalFormatting>
  <conditionalFormatting sqref="E289">
    <cfRule type="expression" dxfId="0" priority="2012">
      <formula>E289&gt;D289</formula>
    </cfRule>
  </conditionalFormatting>
  <conditionalFormatting sqref="E289">
    <cfRule type="expression" dxfId="1" priority="2013">
      <formula>E320&gt;D320</formula>
    </cfRule>
  </conditionalFormatting>
  <conditionalFormatting sqref="E320">
    <cfRule type="expression" dxfId="1" priority="2014">
      <formula>E320&gt;D320</formula>
    </cfRule>
  </conditionalFormatting>
  <conditionalFormatting sqref="F259">
    <cfRule type="expression" dxfId="0" priority="2015">
      <formula>F289&gt;E289</formula>
    </cfRule>
  </conditionalFormatting>
  <conditionalFormatting sqref="F259">
    <cfRule type="expression" dxfId="1" priority="2016">
      <formula>F320&gt;E320</formula>
    </cfRule>
  </conditionalFormatting>
  <conditionalFormatting sqref="F289">
    <cfRule type="expression" dxfId="0" priority="2017">
      <formula>F289&gt;E289</formula>
    </cfRule>
  </conditionalFormatting>
  <conditionalFormatting sqref="F289">
    <cfRule type="expression" dxfId="1" priority="2018">
      <formula>F320&gt;E320</formula>
    </cfRule>
  </conditionalFormatting>
  <conditionalFormatting sqref="F320">
    <cfRule type="expression" dxfId="1" priority="2019">
      <formula>F320&gt;E320</formula>
    </cfRule>
  </conditionalFormatting>
  <conditionalFormatting sqref="G259">
    <cfRule type="expression" dxfId="0" priority="2020">
      <formula>G289&gt;F289</formula>
    </cfRule>
  </conditionalFormatting>
  <conditionalFormatting sqref="G259">
    <cfRule type="expression" dxfId="1" priority="2021">
      <formula>G320&gt;F320</formula>
    </cfRule>
  </conditionalFormatting>
  <conditionalFormatting sqref="G289">
    <cfRule type="expression" dxfId="0" priority="2022">
      <formula>G289&gt;F289</formula>
    </cfRule>
  </conditionalFormatting>
  <conditionalFormatting sqref="G289">
    <cfRule type="expression" dxfId="1" priority="2023">
      <formula>G320&gt;F320</formula>
    </cfRule>
  </conditionalFormatting>
  <conditionalFormatting sqref="G320">
    <cfRule type="expression" dxfId="1" priority="2024">
      <formula>G320&gt;F320</formula>
    </cfRule>
  </conditionalFormatting>
  <conditionalFormatting sqref="H259">
    <cfRule type="expression" dxfId="0" priority="2025">
      <formula>H289&gt;G289</formula>
    </cfRule>
  </conditionalFormatting>
  <conditionalFormatting sqref="H259">
    <cfRule type="expression" dxfId="1" priority="2026">
      <formula>H320&gt;G320</formula>
    </cfRule>
  </conditionalFormatting>
  <conditionalFormatting sqref="H289">
    <cfRule type="expression" dxfId="0" priority="2027">
      <formula>H289&gt;G289</formula>
    </cfRule>
  </conditionalFormatting>
  <conditionalFormatting sqref="H289">
    <cfRule type="expression" dxfId="1" priority="2028">
      <formula>H320&gt;G320</formula>
    </cfRule>
  </conditionalFormatting>
  <conditionalFormatting sqref="H320">
    <cfRule type="expression" dxfId="1" priority="2029">
      <formula>H320&gt;G320</formula>
    </cfRule>
  </conditionalFormatting>
  <conditionalFormatting sqref="I259">
    <cfRule type="expression" dxfId="0" priority="2030">
      <formula>I289&gt;H289</formula>
    </cfRule>
  </conditionalFormatting>
  <conditionalFormatting sqref="I259">
    <cfRule type="expression" dxfId="1" priority="2031">
      <formula>I320&gt;H320</formula>
    </cfRule>
  </conditionalFormatting>
  <conditionalFormatting sqref="I289">
    <cfRule type="expression" dxfId="0" priority="2032">
      <formula>I289&gt;H289</formula>
    </cfRule>
  </conditionalFormatting>
  <conditionalFormatting sqref="I289">
    <cfRule type="expression" dxfId="1" priority="2033">
      <formula>I320&gt;H320</formula>
    </cfRule>
  </conditionalFormatting>
  <conditionalFormatting sqref="I320">
    <cfRule type="expression" dxfId="1" priority="2034">
      <formula>I320&gt;H320</formula>
    </cfRule>
  </conditionalFormatting>
  <conditionalFormatting sqref="J259">
    <cfRule type="expression" dxfId="0" priority="2035">
      <formula>J289&gt;I289</formula>
    </cfRule>
  </conditionalFormatting>
  <conditionalFormatting sqref="J259">
    <cfRule type="expression" dxfId="1" priority="2036">
      <formula>J320&gt;I320</formula>
    </cfRule>
  </conditionalFormatting>
  <conditionalFormatting sqref="J289">
    <cfRule type="expression" dxfId="0" priority="2037">
      <formula>J289&gt;I289</formula>
    </cfRule>
  </conditionalFormatting>
  <conditionalFormatting sqref="J289">
    <cfRule type="expression" dxfId="1" priority="2038">
      <formula>J320&gt;I320</formula>
    </cfRule>
  </conditionalFormatting>
  <conditionalFormatting sqref="J320">
    <cfRule type="expression" dxfId="1" priority="2039">
      <formula>J320&gt;I320</formula>
    </cfRule>
  </conditionalFormatting>
  <conditionalFormatting sqref="K259">
    <cfRule type="expression" dxfId="0" priority="2040">
      <formula>K289&gt;J289</formula>
    </cfRule>
  </conditionalFormatting>
  <conditionalFormatting sqref="K259">
    <cfRule type="expression" dxfId="1" priority="2041">
      <formula>K320&gt;J320</formula>
    </cfRule>
  </conditionalFormatting>
  <conditionalFormatting sqref="K289">
    <cfRule type="expression" dxfId="0" priority="2042">
      <formula>K289&gt;J289</formula>
    </cfRule>
  </conditionalFormatting>
  <conditionalFormatting sqref="K289">
    <cfRule type="expression" dxfId="1" priority="2043">
      <formula>K320&gt;J320</formula>
    </cfRule>
  </conditionalFormatting>
  <conditionalFormatting sqref="K320">
    <cfRule type="expression" dxfId="1" priority="2044">
      <formula>K320&gt;J320</formula>
    </cfRule>
  </conditionalFormatting>
  <conditionalFormatting sqref="B259:K259">
    <cfRule type="expression" dxfId="2" priority="2045">
      <formula>B259&gt;$B$50</formula>
    </cfRule>
  </conditionalFormatting>
  <conditionalFormatting sqref="C260">
    <cfRule type="expression" dxfId="0" priority="2046">
      <formula>C290&gt;B290</formula>
    </cfRule>
  </conditionalFormatting>
  <conditionalFormatting sqref="C260">
    <cfRule type="expression" dxfId="1" priority="2047">
      <formula>C321&gt;B321</formula>
    </cfRule>
  </conditionalFormatting>
  <conditionalFormatting sqref="C290">
    <cfRule type="expression" dxfId="0" priority="2048">
      <formula>C290&gt;B290</formula>
    </cfRule>
  </conditionalFormatting>
  <conditionalFormatting sqref="C290">
    <cfRule type="expression" dxfId="1" priority="2049">
      <formula>C321&gt;B321</formula>
    </cfRule>
  </conditionalFormatting>
  <conditionalFormatting sqref="C321">
    <cfRule type="expression" dxfId="1" priority="2050">
      <formula>C321&gt;B321</formula>
    </cfRule>
  </conditionalFormatting>
  <conditionalFormatting sqref="D260">
    <cfRule type="expression" dxfId="0" priority="2051">
      <formula>D290&gt;C290</formula>
    </cfRule>
  </conditionalFormatting>
  <conditionalFormatting sqref="D260">
    <cfRule type="expression" dxfId="1" priority="2052">
      <formula>D321&gt;C321</formula>
    </cfRule>
  </conditionalFormatting>
  <conditionalFormatting sqref="D290">
    <cfRule type="expression" dxfId="0" priority="2053">
      <formula>D290&gt;C290</formula>
    </cfRule>
  </conditionalFormatting>
  <conditionalFormatting sqref="D290">
    <cfRule type="expression" dxfId="1" priority="2054">
      <formula>D321&gt;C321</formula>
    </cfRule>
  </conditionalFormatting>
  <conditionalFormatting sqref="D321">
    <cfRule type="expression" dxfId="1" priority="2055">
      <formula>D321&gt;C321</formula>
    </cfRule>
  </conditionalFormatting>
  <conditionalFormatting sqref="E260">
    <cfRule type="expression" dxfId="0" priority="2056">
      <formula>E290&gt;D290</formula>
    </cfRule>
  </conditionalFormatting>
  <conditionalFormatting sqref="E260">
    <cfRule type="expression" dxfId="1" priority="2057">
      <formula>E321&gt;D321</formula>
    </cfRule>
  </conditionalFormatting>
  <conditionalFormatting sqref="E290">
    <cfRule type="expression" dxfId="0" priority="2058">
      <formula>E290&gt;D290</formula>
    </cfRule>
  </conditionalFormatting>
  <conditionalFormatting sqref="E290">
    <cfRule type="expression" dxfId="1" priority="2059">
      <formula>E321&gt;D321</formula>
    </cfRule>
  </conditionalFormatting>
  <conditionalFormatting sqref="E321">
    <cfRule type="expression" dxfId="1" priority="2060">
      <formula>E321&gt;D321</formula>
    </cfRule>
  </conditionalFormatting>
  <conditionalFormatting sqref="F260">
    <cfRule type="expression" dxfId="0" priority="2061">
      <formula>F290&gt;E290</formula>
    </cfRule>
  </conditionalFormatting>
  <conditionalFormatting sqref="F260">
    <cfRule type="expression" dxfId="1" priority="2062">
      <formula>F321&gt;E321</formula>
    </cfRule>
  </conditionalFormatting>
  <conditionalFormatting sqref="F290">
    <cfRule type="expression" dxfId="0" priority="2063">
      <formula>F290&gt;E290</formula>
    </cfRule>
  </conditionalFormatting>
  <conditionalFormatting sqref="F290">
    <cfRule type="expression" dxfId="1" priority="2064">
      <formula>F321&gt;E321</formula>
    </cfRule>
  </conditionalFormatting>
  <conditionalFormatting sqref="F321">
    <cfRule type="expression" dxfId="1" priority="2065">
      <formula>F321&gt;E321</formula>
    </cfRule>
  </conditionalFormatting>
  <conditionalFormatting sqref="G260">
    <cfRule type="expression" dxfId="0" priority="2066">
      <formula>G290&gt;F290</formula>
    </cfRule>
  </conditionalFormatting>
  <conditionalFormatting sqref="G260">
    <cfRule type="expression" dxfId="1" priority="2067">
      <formula>G321&gt;F321</formula>
    </cfRule>
  </conditionalFormatting>
  <conditionalFormatting sqref="G290">
    <cfRule type="expression" dxfId="0" priority="2068">
      <formula>G290&gt;F290</formula>
    </cfRule>
  </conditionalFormatting>
  <conditionalFormatting sqref="G290">
    <cfRule type="expression" dxfId="1" priority="2069">
      <formula>G321&gt;F321</formula>
    </cfRule>
  </conditionalFormatting>
  <conditionalFormatting sqref="G321">
    <cfRule type="expression" dxfId="1" priority="2070">
      <formula>G321&gt;F321</formula>
    </cfRule>
  </conditionalFormatting>
  <conditionalFormatting sqref="H260">
    <cfRule type="expression" dxfId="0" priority="2071">
      <formula>H290&gt;G290</formula>
    </cfRule>
  </conditionalFormatting>
  <conditionalFormatting sqref="H260">
    <cfRule type="expression" dxfId="1" priority="2072">
      <formula>H321&gt;G321</formula>
    </cfRule>
  </conditionalFormatting>
  <conditionalFormatting sqref="H290">
    <cfRule type="expression" dxfId="0" priority="2073">
      <formula>H290&gt;G290</formula>
    </cfRule>
  </conditionalFormatting>
  <conditionalFormatting sqref="H290">
    <cfRule type="expression" dxfId="1" priority="2074">
      <formula>H321&gt;G321</formula>
    </cfRule>
  </conditionalFormatting>
  <conditionalFormatting sqref="H321">
    <cfRule type="expression" dxfId="1" priority="2075">
      <formula>H321&gt;G321</formula>
    </cfRule>
  </conditionalFormatting>
  <conditionalFormatting sqref="I260">
    <cfRule type="expression" dxfId="0" priority="2076">
      <formula>I290&gt;H290</formula>
    </cfRule>
  </conditionalFormatting>
  <conditionalFormatting sqref="I260">
    <cfRule type="expression" dxfId="1" priority="2077">
      <formula>I321&gt;H321</formula>
    </cfRule>
  </conditionalFormatting>
  <conditionalFormatting sqref="I290">
    <cfRule type="expression" dxfId="0" priority="2078">
      <formula>I290&gt;H290</formula>
    </cfRule>
  </conditionalFormatting>
  <conditionalFormatting sqref="I290">
    <cfRule type="expression" dxfId="1" priority="2079">
      <formula>I321&gt;H321</formula>
    </cfRule>
  </conditionalFormatting>
  <conditionalFormatting sqref="I321">
    <cfRule type="expression" dxfId="1" priority="2080">
      <formula>I321&gt;H321</formula>
    </cfRule>
  </conditionalFormatting>
  <conditionalFormatting sqref="J260">
    <cfRule type="expression" dxfId="0" priority="2081">
      <formula>J290&gt;I290</formula>
    </cfRule>
  </conditionalFormatting>
  <conditionalFormatting sqref="J260">
    <cfRule type="expression" dxfId="1" priority="2082">
      <formula>J321&gt;I321</formula>
    </cfRule>
  </conditionalFormatting>
  <conditionalFormatting sqref="J290">
    <cfRule type="expression" dxfId="0" priority="2083">
      <formula>J290&gt;I290</formula>
    </cfRule>
  </conditionalFormatting>
  <conditionalFormatting sqref="J290">
    <cfRule type="expression" dxfId="1" priority="2084">
      <formula>J321&gt;I321</formula>
    </cfRule>
  </conditionalFormatting>
  <conditionalFormatting sqref="J321">
    <cfRule type="expression" dxfId="1" priority="2085">
      <formula>J321&gt;I321</formula>
    </cfRule>
  </conditionalFormatting>
  <conditionalFormatting sqref="K260">
    <cfRule type="expression" dxfId="0" priority="2086">
      <formula>K290&gt;J290</formula>
    </cfRule>
  </conditionalFormatting>
  <conditionalFormatting sqref="K260">
    <cfRule type="expression" dxfId="1" priority="2087">
      <formula>K321&gt;J321</formula>
    </cfRule>
  </conditionalFormatting>
  <conditionalFormatting sqref="K290">
    <cfRule type="expression" dxfId="0" priority="2088">
      <formula>K290&gt;J290</formula>
    </cfRule>
  </conditionalFormatting>
  <conditionalFormatting sqref="K290">
    <cfRule type="expression" dxfId="1" priority="2089">
      <formula>K321&gt;J321</formula>
    </cfRule>
  </conditionalFormatting>
  <conditionalFormatting sqref="K321">
    <cfRule type="expression" dxfId="1" priority="2090">
      <formula>K321&gt;J321</formula>
    </cfRule>
  </conditionalFormatting>
  <conditionalFormatting sqref="B260:K260">
    <cfRule type="expression" dxfId="2" priority="2091">
      <formula>B260&gt;$B$50</formula>
    </cfRule>
  </conditionalFormatting>
  <conditionalFormatting sqref="C261">
    <cfRule type="expression" dxfId="0" priority="2092">
      <formula>C291&gt;B291</formula>
    </cfRule>
  </conditionalFormatting>
  <conditionalFormatting sqref="C261">
    <cfRule type="expression" dxfId="1" priority="2093">
      <formula>C322&gt;B322</formula>
    </cfRule>
  </conditionalFormatting>
  <conditionalFormatting sqref="C291">
    <cfRule type="expression" dxfId="0" priority="2094">
      <formula>C291&gt;B291</formula>
    </cfRule>
  </conditionalFormatting>
  <conditionalFormatting sqref="C291">
    <cfRule type="expression" dxfId="1" priority="2095">
      <formula>C322&gt;B322</formula>
    </cfRule>
  </conditionalFormatting>
  <conditionalFormatting sqref="C322">
    <cfRule type="expression" dxfId="1" priority="2096">
      <formula>C322&gt;B322</formula>
    </cfRule>
  </conditionalFormatting>
  <conditionalFormatting sqref="D261">
    <cfRule type="expression" dxfId="0" priority="2097">
      <formula>D291&gt;C291</formula>
    </cfRule>
  </conditionalFormatting>
  <conditionalFormatting sqref="D261">
    <cfRule type="expression" dxfId="1" priority="2098">
      <formula>D322&gt;C322</formula>
    </cfRule>
  </conditionalFormatting>
  <conditionalFormatting sqref="D291">
    <cfRule type="expression" dxfId="0" priority="2099">
      <formula>D291&gt;C291</formula>
    </cfRule>
  </conditionalFormatting>
  <conditionalFormatting sqref="D291">
    <cfRule type="expression" dxfId="1" priority="2100">
      <formula>D322&gt;C322</formula>
    </cfRule>
  </conditionalFormatting>
  <conditionalFormatting sqref="D322">
    <cfRule type="expression" dxfId="1" priority="2101">
      <formula>D322&gt;C322</formula>
    </cfRule>
  </conditionalFormatting>
  <conditionalFormatting sqref="E261">
    <cfRule type="expression" dxfId="0" priority="2102">
      <formula>E291&gt;D291</formula>
    </cfRule>
  </conditionalFormatting>
  <conditionalFormatting sqref="E261">
    <cfRule type="expression" dxfId="1" priority="2103">
      <formula>E322&gt;D322</formula>
    </cfRule>
  </conditionalFormatting>
  <conditionalFormatting sqref="E291">
    <cfRule type="expression" dxfId="0" priority="2104">
      <formula>E291&gt;D291</formula>
    </cfRule>
  </conditionalFormatting>
  <conditionalFormatting sqref="E291">
    <cfRule type="expression" dxfId="1" priority="2105">
      <formula>E322&gt;D322</formula>
    </cfRule>
  </conditionalFormatting>
  <conditionalFormatting sqref="E322">
    <cfRule type="expression" dxfId="1" priority="2106">
      <formula>E322&gt;D322</formula>
    </cfRule>
  </conditionalFormatting>
  <conditionalFormatting sqref="F261">
    <cfRule type="expression" dxfId="0" priority="2107">
      <formula>F291&gt;E291</formula>
    </cfRule>
  </conditionalFormatting>
  <conditionalFormatting sqref="F261">
    <cfRule type="expression" dxfId="1" priority="2108">
      <formula>F322&gt;E322</formula>
    </cfRule>
  </conditionalFormatting>
  <conditionalFormatting sqref="F291">
    <cfRule type="expression" dxfId="0" priority="2109">
      <formula>F291&gt;E291</formula>
    </cfRule>
  </conditionalFormatting>
  <conditionalFormatting sqref="F291">
    <cfRule type="expression" dxfId="1" priority="2110">
      <formula>F322&gt;E322</formula>
    </cfRule>
  </conditionalFormatting>
  <conditionalFormatting sqref="F322">
    <cfRule type="expression" dxfId="1" priority="2111">
      <formula>F322&gt;E322</formula>
    </cfRule>
  </conditionalFormatting>
  <conditionalFormatting sqref="G261">
    <cfRule type="expression" dxfId="0" priority="2112">
      <formula>G291&gt;F291</formula>
    </cfRule>
  </conditionalFormatting>
  <conditionalFormatting sqref="G261">
    <cfRule type="expression" dxfId="1" priority="2113">
      <formula>G322&gt;F322</formula>
    </cfRule>
  </conditionalFormatting>
  <conditionalFormatting sqref="G291">
    <cfRule type="expression" dxfId="0" priority="2114">
      <formula>G291&gt;F291</formula>
    </cfRule>
  </conditionalFormatting>
  <conditionalFormatting sqref="G291">
    <cfRule type="expression" dxfId="1" priority="2115">
      <formula>G322&gt;F322</formula>
    </cfRule>
  </conditionalFormatting>
  <conditionalFormatting sqref="G322">
    <cfRule type="expression" dxfId="1" priority="2116">
      <formula>G322&gt;F322</formula>
    </cfRule>
  </conditionalFormatting>
  <conditionalFormatting sqref="H261">
    <cfRule type="expression" dxfId="0" priority="2117">
      <formula>H291&gt;G291</formula>
    </cfRule>
  </conditionalFormatting>
  <conditionalFormatting sqref="H261">
    <cfRule type="expression" dxfId="1" priority="2118">
      <formula>H322&gt;G322</formula>
    </cfRule>
  </conditionalFormatting>
  <conditionalFormatting sqref="H291">
    <cfRule type="expression" dxfId="0" priority="2119">
      <formula>H291&gt;G291</formula>
    </cfRule>
  </conditionalFormatting>
  <conditionalFormatting sqref="H291">
    <cfRule type="expression" dxfId="1" priority="2120">
      <formula>H322&gt;G322</formula>
    </cfRule>
  </conditionalFormatting>
  <conditionalFormatting sqref="H322">
    <cfRule type="expression" dxfId="1" priority="2121">
      <formula>H322&gt;G322</formula>
    </cfRule>
  </conditionalFormatting>
  <conditionalFormatting sqref="I261">
    <cfRule type="expression" dxfId="0" priority="2122">
      <formula>I291&gt;H291</formula>
    </cfRule>
  </conditionalFormatting>
  <conditionalFormatting sqref="I261">
    <cfRule type="expression" dxfId="1" priority="2123">
      <formula>I322&gt;H322</formula>
    </cfRule>
  </conditionalFormatting>
  <conditionalFormatting sqref="I291">
    <cfRule type="expression" dxfId="0" priority="2124">
      <formula>I291&gt;H291</formula>
    </cfRule>
  </conditionalFormatting>
  <conditionalFormatting sqref="I291">
    <cfRule type="expression" dxfId="1" priority="2125">
      <formula>I322&gt;H322</formula>
    </cfRule>
  </conditionalFormatting>
  <conditionalFormatting sqref="I322">
    <cfRule type="expression" dxfId="1" priority="2126">
      <formula>I322&gt;H322</formula>
    </cfRule>
  </conditionalFormatting>
  <conditionalFormatting sqref="J261">
    <cfRule type="expression" dxfId="0" priority="2127">
      <formula>J291&gt;I291</formula>
    </cfRule>
  </conditionalFormatting>
  <conditionalFormatting sqref="J261">
    <cfRule type="expression" dxfId="1" priority="2128">
      <formula>J322&gt;I322</formula>
    </cfRule>
  </conditionalFormatting>
  <conditionalFormatting sqref="J291">
    <cfRule type="expression" dxfId="0" priority="2129">
      <formula>J291&gt;I291</formula>
    </cfRule>
  </conditionalFormatting>
  <conditionalFormatting sqref="J291">
    <cfRule type="expression" dxfId="1" priority="2130">
      <formula>J322&gt;I322</formula>
    </cfRule>
  </conditionalFormatting>
  <conditionalFormatting sqref="J322">
    <cfRule type="expression" dxfId="1" priority="2131">
      <formula>J322&gt;I322</formula>
    </cfRule>
  </conditionalFormatting>
  <conditionalFormatting sqref="K261">
    <cfRule type="expression" dxfId="0" priority="2132">
      <formula>K291&gt;J291</formula>
    </cfRule>
  </conditionalFormatting>
  <conditionalFormatting sqref="K261">
    <cfRule type="expression" dxfId="1" priority="2133">
      <formula>K322&gt;J322</formula>
    </cfRule>
  </conditionalFormatting>
  <conditionalFormatting sqref="K291">
    <cfRule type="expression" dxfId="0" priority="2134">
      <formula>K291&gt;J291</formula>
    </cfRule>
  </conditionalFormatting>
  <conditionalFormatting sqref="K291">
    <cfRule type="expression" dxfId="1" priority="2135">
      <formula>K322&gt;J322</formula>
    </cfRule>
  </conditionalFormatting>
  <conditionalFormatting sqref="K322">
    <cfRule type="expression" dxfId="1" priority="2136">
      <formula>K322&gt;J322</formula>
    </cfRule>
  </conditionalFormatting>
  <conditionalFormatting sqref="B261:K261">
    <cfRule type="expression" dxfId="2" priority="2137">
      <formula>B261&gt;$B$50</formula>
    </cfRule>
  </conditionalFormatting>
  <conditionalFormatting sqref="C262">
    <cfRule type="expression" dxfId="4" priority="2138">
      <formula>C292&gt;B292</formula>
    </cfRule>
  </conditionalFormatting>
  <conditionalFormatting sqref="C262">
    <cfRule type="expression" dxfId="1" priority="2139">
      <formula>C323&gt;B323</formula>
    </cfRule>
  </conditionalFormatting>
  <conditionalFormatting sqref="C292">
    <cfRule type="expression" dxfId="4" priority="2140">
      <formula>C292&gt;B292</formula>
    </cfRule>
  </conditionalFormatting>
  <conditionalFormatting sqref="C292">
    <cfRule type="expression" dxfId="1" priority="2141">
      <formula>C323&gt;B323</formula>
    </cfRule>
  </conditionalFormatting>
  <conditionalFormatting sqref="C323">
    <cfRule type="expression" dxfId="1" priority="2142">
      <formula>C323&gt;B323</formula>
    </cfRule>
  </conditionalFormatting>
  <conditionalFormatting sqref="D262">
    <cfRule type="expression" dxfId="4" priority="2143">
      <formula>D292&gt;C292</formula>
    </cfRule>
  </conditionalFormatting>
  <conditionalFormatting sqref="D262">
    <cfRule type="expression" dxfId="1" priority="2144">
      <formula>D323&gt;C323</formula>
    </cfRule>
  </conditionalFormatting>
  <conditionalFormatting sqref="D292">
    <cfRule type="expression" dxfId="4" priority="2145">
      <formula>D292&gt;C292</formula>
    </cfRule>
  </conditionalFormatting>
  <conditionalFormatting sqref="D292">
    <cfRule type="expression" dxfId="1" priority="2146">
      <formula>D323&gt;C323</formula>
    </cfRule>
  </conditionalFormatting>
  <conditionalFormatting sqref="D323">
    <cfRule type="expression" dxfId="1" priority="2147">
      <formula>D323&gt;C323</formula>
    </cfRule>
  </conditionalFormatting>
  <conditionalFormatting sqref="E262">
    <cfRule type="expression" dxfId="4" priority="2148">
      <formula>E292&gt;D292</formula>
    </cfRule>
  </conditionalFormatting>
  <conditionalFormatting sqref="E262">
    <cfRule type="expression" dxfId="1" priority="2149">
      <formula>E323&gt;D323</formula>
    </cfRule>
  </conditionalFormatting>
  <conditionalFormatting sqref="E292">
    <cfRule type="expression" dxfId="4" priority="2150">
      <formula>E292&gt;D292</formula>
    </cfRule>
  </conditionalFormatting>
  <conditionalFormatting sqref="E292">
    <cfRule type="expression" dxfId="1" priority="2151">
      <formula>E323&gt;D323</formula>
    </cfRule>
  </conditionalFormatting>
  <conditionalFormatting sqref="E323">
    <cfRule type="expression" dxfId="1" priority="2152">
      <formula>E323&gt;D323</formula>
    </cfRule>
  </conditionalFormatting>
  <conditionalFormatting sqref="F262">
    <cfRule type="expression" dxfId="4" priority="2153">
      <formula>F292&gt;E292</formula>
    </cfRule>
  </conditionalFormatting>
  <conditionalFormatting sqref="F262">
    <cfRule type="expression" dxfId="1" priority="2154">
      <formula>F323&gt;E323</formula>
    </cfRule>
  </conditionalFormatting>
  <conditionalFormatting sqref="F292">
    <cfRule type="expression" dxfId="4" priority="2155">
      <formula>F292&gt;E292</formula>
    </cfRule>
  </conditionalFormatting>
  <conditionalFormatting sqref="F292">
    <cfRule type="expression" dxfId="1" priority="2156">
      <formula>F323&gt;E323</formula>
    </cfRule>
  </conditionalFormatting>
  <conditionalFormatting sqref="F323">
    <cfRule type="expression" dxfId="1" priority="2157">
      <formula>F323&gt;E323</formula>
    </cfRule>
  </conditionalFormatting>
  <conditionalFormatting sqref="G262">
    <cfRule type="expression" dxfId="4" priority="2158">
      <formula>G292&gt;F292</formula>
    </cfRule>
  </conditionalFormatting>
  <conditionalFormatting sqref="G262">
    <cfRule type="expression" dxfId="1" priority="2159">
      <formula>G323&gt;F323</formula>
    </cfRule>
  </conditionalFormatting>
  <conditionalFormatting sqref="G292">
    <cfRule type="expression" dxfId="4" priority="2160">
      <formula>G292&gt;F292</formula>
    </cfRule>
  </conditionalFormatting>
  <conditionalFormatting sqref="G292">
    <cfRule type="expression" dxfId="1" priority="2161">
      <formula>G323&gt;F323</formula>
    </cfRule>
  </conditionalFormatting>
  <conditionalFormatting sqref="G323">
    <cfRule type="expression" dxfId="1" priority="2162">
      <formula>G323&gt;F323</formula>
    </cfRule>
  </conditionalFormatting>
  <conditionalFormatting sqref="H262">
    <cfRule type="expression" dxfId="4" priority="2163">
      <formula>H292&gt;G292</formula>
    </cfRule>
  </conditionalFormatting>
  <conditionalFormatting sqref="H262">
    <cfRule type="expression" dxfId="1" priority="2164">
      <formula>H323&gt;G323</formula>
    </cfRule>
  </conditionalFormatting>
  <conditionalFormatting sqref="H292">
    <cfRule type="expression" dxfId="4" priority="2165">
      <formula>H292&gt;G292</formula>
    </cfRule>
  </conditionalFormatting>
  <conditionalFormatting sqref="H292">
    <cfRule type="expression" dxfId="1" priority="2166">
      <formula>H323&gt;G323</formula>
    </cfRule>
  </conditionalFormatting>
  <conditionalFormatting sqref="H323">
    <cfRule type="expression" dxfId="1" priority="2167">
      <formula>H323&gt;G323</formula>
    </cfRule>
  </conditionalFormatting>
  <conditionalFormatting sqref="I262">
    <cfRule type="expression" dxfId="4" priority="2168">
      <formula>I292&gt;H292</formula>
    </cfRule>
  </conditionalFormatting>
  <conditionalFormatting sqref="I262">
    <cfRule type="expression" dxfId="1" priority="2169">
      <formula>I323&gt;H323</formula>
    </cfRule>
  </conditionalFormatting>
  <conditionalFormatting sqref="I292">
    <cfRule type="expression" dxfId="4" priority="2170">
      <formula>I292&gt;H292</formula>
    </cfRule>
  </conditionalFormatting>
  <conditionalFormatting sqref="I292">
    <cfRule type="expression" dxfId="1" priority="2171">
      <formula>I323&gt;H323</formula>
    </cfRule>
  </conditionalFormatting>
  <conditionalFormatting sqref="I323">
    <cfRule type="expression" dxfId="1" priority="2172">
      <formula>I323&gt;H323</formula>
    </cfRule>
  </conditionalFormatting>
  <conditionalFormatting sqref="J262">
    <cfRule type="expression" dxfId="4" priority="2173">
      <formula>J292&gt;I292</formula>
    </cfRule>
  </conditionalFormatting>
  <conditionalFormatting sqref="J262">
    <cfRule type="expression" dxfId="1" priority="2174">
      <formula>J323&gt;I323</formula>
    </cfRule>
  </conditionalFormatting>
  <conditionalFormatting sqref="J292">
    <cfRule type="expression" dxfId="4" priority="2175">
      <formula>J292&gt;I292</formula>
    </cfRule>
  </conditionalFormatting>
  <conditionalFormatting sqref="J292">
    <cfRule type="expression" dxfId="1" priority="2176">
      <formula>J323&gt;I323</formula>
    </cfRule>
  </conditionalFormatting>
  <conditionalFormatting sqref="J323">
    <cfRule type="expression" dxfId="1" priority="2177">
      <formula>J323&gt;I323</formula>
    </cfRule>
  </conditionalFormatting>
  <conditionalFormatting sqref="K262">
    <cfRule type="expression" dxfId="4" priority="2178">
      <formula>K292&gt;J292</formula>
    </cfRule>
  </conditionalFormatting>
  <conditionalFormatting sqref="K262">
    <cfRule type="expression" dxfId="1" priority="2179">
      <formula>K323&gt;J323</formula>
    </cfRule>
  </conditionalFormatting>
  <conditionalFormatting sqref="K292">
    <cfRule type="expression" dxfId="4" priority="2180">
      <formula>K292&gt;J292</formula>
    </cfRule>
  </conditionalFormatting>
  <conditionalFormatting sqref="K292">
    <cfRule type="expression" dxfId="1" priority="2181">
      <formula>K323&gt;J323</formula>
    </cfRule>
  </conditionalFormatting>
  <conditionalFormatting sqref="K323">
    <cfRule type="expression" dxfId="1" priority="2182">
      <formula>K323&gt;J323</formula>
    </cfRule>
  </conditionalFormatting>
  <conditionalFormatting sqref="B262:K262">
    <cfRule type="expression" dxfId="2" priority="2183">
      <formula>B262&gt;$B$50</formula>
    </cfRule>
  </conditionalFormatting>
  <conditionalFormatting sqref="C263">
    <cfRule type="expression" dxfId="0" priority="2184">
      <formula>C293&gt;B293</formula>
    </cfRule>
  </conditionalFormatting>
  <conditionalFormatting sqref="C263">
    <cfRule type="expression" dxfId="1" priority="2185">
      <formula>C324&gt;B324</formula>
    </cfRule>
  </conditionalFormatting>
  <conditionalFormatting sqref="C293">
    <cfRule type="expression" dxfId="0" priority="2186">
      <formula>C293&gt;B293</formula>
    </cfRule>
  </conditionalFormatting>
  <conditionalFormatting sqref="C293">
    <cfRule type="expression" dxfId="1" priority="2187">
      <formula>C324&gt;B324</formula>
    </cfRule>
  </conditionalFormatting>
  <conditionalFormatting sqref="C324">
    <cfRule type="expression" dxfId="1" priority="2188">
      <formula>C324&gt;B324</formula>
    </cfRule>
  </conditionalFormatting>
  <conditionalFormatting sqref="D263">
    <cfRule type="expression" dxfId="0" priority="2189">
      <formula>D293&gt;C293</formula>
    </cfRule>
  </conditionalFormatting>
  <conditionalFormatting sqref="D263">
    <cfRule type="expression" dxfId="1" priority="2190">
      <formula>D324&gt;C324</formula>
    </cfRule>
  </conditionalFormatting>
  <conditionalFormatting sqref="D293">
    <cfRule type="expression" dxfId="0" priority="2191">
      <formula>D293&gt;C293</formula>
    </cfRule>
  </conditionalFormatting>
  <conditionalFormatting sqref="D293">
    <cfRule type="expression" dxfId="1" priority="2192">
      <formula>D324&gt;C324</formula>
    </cfRule>
  </conditionalFormatting>
  <conditionalFormatting sqref="D324">
    <cfRule type="expression" dxfId="1" priority="2193">
      <formula>D324&gt;C324</formula>
    </cfRule>
  </conditionalFormatting>
  <conditionalFormatting sqref="E263">
    <cfRule type="expression" dxfId="0" priority="2194">
      <formula>E293&gt;D293</formula>
    </cfRule>
  </conditionalFormatting>
  <conditionalFormatting sqref="E263">
    <cfRule type="expression" dxfId="1" priority="2195">
      <formula>E324&gt;D324</formula>
    </cfRule>
  </conditionalFormatting>
  <conditionalFormatting sqref="E293">
    <cfRule type="expression" dxfId="0" priority="2196">
      <formula>E293&gt;D293</formula>
    </cfRule>
  </conditionalFormatting>
  <conditionalFormatting sqref="E293">
    <cfRule type="expression" dxfId="1" priority="2197">
      <formula>E324&gt;D324</formula>
    </cfRule>
  </conditionalFormatting>
  <conditionalFormatting sqref="E324">
    <cfRule type="expression" dxfId="1" priority="2198">
      <formula>E324&gt;D324</formula>
    </cfRule>
  </conditionalFormatting>
  <conditionalFormatting sqref="F263">
    <cfRule type="expression" dxfId="0" priority="2199">
      <formula>F293&gt;E293</formula>
    </cfRule>
  </conditionalFormatting>
  <conditionalFormatting sqref="F263">
    <cfRule type="expression" dxfId="1" priority="2200">
      <formula>F324&gt;E324</formula>
    </cfRule>
  </conditionalFormatting>
  <conditionalFormatting sqref="F293">
    <cfRule type="expression" dxfId="0" priority="2201">
      <formula>F293&gt;E293</formula>
    </cfRule>
  </conditionalFormatting>
  <conditionalFormatting sqref="F293">
    <cfRule type="expression" dxfId="1" priority="2202">
      <formula>F324&gt;E324</formula>
    </cfRule>
  </conditionalFormatting>
  <conditionalFormatting sqref="F324">
    <cfRule type="expression" dxfId="1" priority="2203">
      <formula>F324&gt;E324</formula>
    </cfRule>
  </conditionalFormatting>
  <conditionalFormatting sqref="G263">
    <cfRule type="expression" dxfId="0" priority="2204">
      <formula>G293&gt;F293</formula>
    </cfRule>
  </conditionalFormatting>
  <conditionalFormatting sqref="G263">
    <cfRule type="expression" dxfId="1" priority="2205">
      <formula>G324&gt;F324</formula>
    </cfRule>
  </conditionalFormatting>
  <conditionalFormatting sqref="G293">
    <cfRule type="expression" dxfId="0" priority="2206">
      <formula>G293&gt;F293</formula>
    </cfRule>
  </conditionalFormatting>
  <conditionalFormatting sqref="G293">
    <cfRule type="expression" dxfId="1" priority="2207">
      <formula>G324&gt;F324</formula>
    </cfRule>
  </conditionalFormatting>
  <conditionalFormatting sqref="G324">
    <cfRule type="expression" dxfId="1" priority="2208">
      <formula>G324&gt;F324</formula>
    </cfRule>
  </conditionalFormatting>
  <conditionalFormatting sqref="H263">
    <cfRule type="expression" dxfId="0" priority="2209">
      <formula>H293&gt;G293</formula>
    </cfRule>
  </conditionalFormatting>
  <conditionalFormatting sqref="H263">
    <cfRule type="expression" dxfId="1" priority="2210">
      <formula>H324&gt;G324</formula>
    </cfRule>
  </conditionalFormatting>
  <conditionalFormatting sqref="H293">
    <cfRule type="expression" dxfId="0" priority="2211">
      <formula>H293&gt;G293</formula>
    </cfRule>
  </conditionalFormatting>
  <conditionalFormatting sqref="H293">
    <cfRule type="expression" dxfId="1" priority="2212">
      <formula>H324&gt;G324</formula>
    </cfRule>
  </conditionalFormatting>
  <conditionalFormatting sqref="H324">
    <cfRule type="expression" dxfId="1" priority="2213">
      <formula>H324&gt;G324</formula>
    </cfRule>
  </conditionalFormatting>
  <conditionalFormatting sqref="I263">
    <cfRule type="expression" dxfId="0" priority="2214">
      <formula>I293&gt;H293</formula>
    </cfRule>
  </conditionalFormatting>
  <conditionalFormatting sqref="I263">
    <cfRule type="expression" dxfId="1" priority="2215">
      <formula>I324&gt;H324</formula>
    </cfRule>
  </conditionalFormatting>
  <conditionalFormatting sqref="I293">
    <cfRule type="expression" dxfId="0" priority="2216">
      <formula>I293&gt;H293</formula>
    </cfRule>
  </conditionalFormatting>
  <conditionalFormatting sqref="I293">
    <cfRule type="expression" dxfId="1" priority="2217">
      <formula>I324&gt;H324</formula>
    </cfRule>
  </conditionalFormatting>
  <conditionalFormatting sqref="I324">
    <cfRule type="expression" dxfId="1" priority="2218">
      <formula>I324&gt;H324</formula>
    </cfRule>
  </conditionalFormatting>
  <conditionalFormatting sqref="J263">
    <cfRule type="expression" dxfId="0" priority="2219">
      <formula>J293&gt;I293</formula>
    </cfRule>
  </conditionalFormatting>
  <conditionalFormatting sqref="J263">
    <cfRule type="expression" dxfId="1" priority="2220">
      <formula>J324&gt;I324</formula>
    </cfRule>
  </conditionalFormatting>
  <conditionalFormatting sqref="J293">
    <cfRule type="expression" dxfId="0" priority="2221">
      <formula>J293&gt;I293</formula>
    </cfRule>
  </conditionalFormatting>
  <conditionalFormatting sqref="J293">
    <cfRule type="expression" dxfId="1" priority="2222">
      <formula>J324&gt;I324</formula>
    </cfRule>
  </conditionalFormatting>
  <conditionalFormatting sqref="J324">
    <cfRule type="expression" dxfId="1" priority="2223">
      <formula>J324&gt;I324</formula>
    </cfRule>
  </conditionalFormatting>
  <conditionalFormatting sqref="K263">
    <cfRule type="expression" dxfId="0" priority="2224">
      <formula>K293&gt;J293</formula>
    </cfRule>
  </conditionalFormatting>
  <conditionalFormatting sqref="K263">
    <cfRule type="expression" dxfId="1" priority="2225">
      <formula>K324&gt;J324</formula>
    </cfRule>
  </conditionalFormatting>
  <conditionalFormatting sqref="K293">
    <cfRule type="expression" dxfId="0" priority="2226">
      <formula>K293&gt;J293</formula>
    </cfRule>
  </conditionalFormatting>
  <conditionalFormatting sqref="K293">
    <cfRule type="expression" dxfId="1" priority="2227">
      <formula>K324&gt;J324</formula>
    </cfRule>
  </conditionalFormatting>
  <conditionalFormatting sqref="K324">
    <cfRule type="expression" dxfId="1" priority="2228">
      <formula>K324&gt;J324</formula>
    </cfRule>
  </conditionalFormatting>
  <conditionalFormatting sqref="B263:K263">
    <cfRule type="expression" dxfId="2" priority="2229">
      <formula>B263&gt;$B$50</formula>
    </cfRule>
  </conditionalFormatting>
  <conditionalFormatting sqref="C264">
    <cfRule type="expression" dxfId="0" priority="2230">
      <formula>C294&gt;B294</formula>
    </cfRule>
  </conditionalFormatting>
  <conditionalFormatting sqref="C264">
    <cfRule type="expression" dxfId="1" priority="2231">
      <formula>C325&gt;B325</formula>
    </cfRule>
  </conditionalFormatting>
  <conditionalFormatting sqref="C294">
    <cfRule type="expression" dxfId="0" priority="2232">
      <formula>C294&gt;B294</formula>
    </cfRule>
  </conditionalFormatting>
  <conditionalFormatting sqref="C294">
    <cfRule type="expression" dxfId="1" priority="2233">
      <formula>C325&gt;B325</formula>
    </cfRule>
  </conditionalFormatting>
  <conditionalFormatting sqref="C325">
    <cfRule type="expression" dxfId="1" priority="2234">
      <formula>C325&gt;B325</formula>
    </cfRule>
  </conditionalFormatting>
  <conditionalFormatting sqref="D264">
    <cfRule type="expression" dxfId="0" priority="2235">
      <formula>D294&gt;C294</formula>
    </cfRule>
  </conditionalFormatting>
  <conditionalFormatting sqref="D264">
    <cfRule type="expression" dxfId="1" priority="2236">
      <formula>D325&gt;C325</formula>
    </cfRule>
  </conditionalFormatting>
  <conditionalFormatting sqref="D294">
    <cfRule type="expression" dxfId="0" priority="2237">
      <formula>D294&gt;C294</formula>
    </cfRule>
  </conditionalFormatting>
  <conditionalFormatting sqref="D294">
    <cfRule type="expression" dxfId="1" priority="2238">
      <formula>D325&gt;C325</formula>
    </cfRule>
  </conditionalFormatting>
  <conditionalFormatting sqref="D325">
    <cfRule type="expression" dxfId="1" priority="2239">
      <formula>D325&gt;C325</formula>
    </cfRule>
  </conditionalFormatting>
  <conditionalFormatting sqref="E264">
    <cfRule type="expression" dxfId="0" priority="2240">
      <formula>E294&gt;D294</formula>
    </cfRule>
  </conditionalFormatting>
  <conditionalFormatting sqref="E264">
    <cfRule type="expression" dxfId="1" priority="2241">
      <formula>E325&gt;D325</formula>
    </cfRule>
  </conditionalFormatting>
  <conditionalFormatting sqref="E294">
    <cfRule type="expression" dxfId="0" priority="2242">
      <formula>E294&gt;D294</formula>
    </cfRule>
  </conditionalFormatting>
  <conditionalFormatting sqref="E294">
    <cfRule type="expression" dxfId="1" priority="2243">
      <formula>E325&gt;D325</formula>
    </cfRule>
  </conditionalFormatting>
  <conditionalFormatting sqref="E325">
    <cfRule type="expression" dxfId="1" priority="2244">
      <formula>E325&gt;D325</formula>
    </cfRule>
  </conditionalFormatting>
  <conditionalFormatting sqref="F264">
    <cfRule type="expression" dxfId="0" priority="2245">
      <formula>F294&gt;E294</formula>
    </cfRule>
  </conditionalFormatting>
  <conditionalFormatting sqref="F264">
    <cfRule type="expression" dxfId="1" priority="2246">
      <formula>F325&gt;E325</formula>
    </cfRule>
  </conditionalFormatting>
  <conditionalFormatting sqref="F294">
    <cfRule type="expression" dxfId="0" priority="2247">
      <formula>F294&gt;E294</formula>
    </cfRule>
  </conditionalFormatting>
  <conditionalFormatting sqref="F294">
    <cfRule type="expression" dxfId="1" priority="2248">
      <formula>F325&gt;E325</formula>
    </cfRule>
  </conditionalFormatting>
  <conditionalFormatting sqref="F325">
    <cfRule type="expression" dxfId="1" priority="2249">
      <formula>F325&gt;E325</formula>
    </cfRule>
  </conditionalFormatting>
  <conditionalFormatting sqref="G264">
    <cfRule type="expression" dxfId="0" priority="2250">
      <formula>G294&gt;F294</formula>
    </cfRule>
  </conditionalFormatting>
  <conditionalFormatting sqref="G264">
    <cfRule type="expression" dxfId="1" priority="2251">
      <formula>G325&gt;F325</formula>
    </cfRule>
  </conditionalFormatting>
  <conditionalFormatting sqref="G294">
    <cfRule type="expression" dxfId="0" priority="2252">
      <formula>G294&gt;F294</formula>
    </cfRule>
  </conditionalFormatting>
  <conditionalFormatting sqref="G294">
    <cfRule type="expression" dxfId="1" priority="2253">
      <formula>G325&gt;F325</formula>
    </cfRule>
  </conditionalFormatting>
  <conditionalFormatting sqref="G325">
    <cfRule type="expression" dxfId="1" priority="2254">
      <formula>G325&gt;F325</formula>
    </cfRule>
  </conditionalFormatting>
  <conditionalFormatting sqref="H264">
    <cfRule type="expression" dxfId="0" priority="2255">
      <formula>H294&gt;G294</formula>
    </cfRule>
  </conditionalFormatting>
  <conditionalFormatting sqref="H264">
    <cfRule type="expression" dxfId="1" priority="2256">
      <formula>H325&gt;G325</formula>
    </cfRule>
  </conditionalFormatting>
  <conditionalFormatting sqref="H294">
    <cfRule type="expression" dxfId="0" priority="2257">
      <formula>H294&gt;G294</formula>
    </cfRule>
  </conditionalFormatting>
  <conditionalFormatting sqref="H294">
    <cfRule type="expression" dxfId="1" priority="2258">
      <formula>H325&gt;G325</formula>
    </cfRule>
  </conditionalFormatting>
  <conditionalFormatting sqref="H325">
    <cfRule type="expression" dxfId="1" priority="2259">
      <formula>H325&gt;G325</formula>
    </cfRule>
  </conditionalFormatting>
  <conditionalFormatting sqref="I264">
    <cfRule type="expression" dxfId="0" priority="2260">
      <formula>I294&gt;H294</formula>
    </cfRule>
  </conditionalFormatting>
  <conditionalFormatting sqref="I264">
    <cfRule type="expression" dxfId="1" priority="2261">
      <formula>I325&gt;H325</formula>
    </cfRule>
  </conditionalFormatting>
  <conditionalFormatting sqref="I294">
    <cfRule type="expression" dxfId="0" priority="2262">
      <formula>I294&gt;H294</formula>
    </cfRule>
  </conditionalFormatting>
  <conditionalFormatting sqref="I294">
    <cfRule type="expression" dxfId="1" priority="2263">
      <formula>I325&gt;H325</formula>
    </cfRule>
  </conditionalFormatting>
  <conditionalFormatting sqref="I325">
    <cfRule type="expression" dxfId="1" priority="2264">
      <formula>I325&gt;H325</formula>
    </cfRule>
  </conditionalFormatting>
  <conditionalFormatting sqref="J264">
    <cfRule type="expression" dxfId="0" priority="2265">
      <formula>J294&gt;I294</formula>
    </cfRule>
  </conditionalFormatting>
  <conditionalFormatting sqref="J264">
    <cfRule type="expression" dxfId="1" priority="2266">
      <formula>J325&gt;I325</formula>
    </cfRule>
  </conditionalFormatting>
  <conditionalFormatting sqref="J294">
    <cfRule type="expression" dxfId="0" priority="2267">
      <formula>J294&gt;I294</formula>
    </cfRule>
  </conditionalFormatting>
  <conditionalFormatting sqref="J294">
    <cfRule type="expression" dxfId="1" priority="2268">
      <formula>J325&gt;I325</formula>
    </cfRule>
  </conditionalFormatting>
  <conditionalFormatting sqref="J325">
    <cfRule type="expression" dxfId="1" priority="2269">
      <formula>J325&gt;I325</formula>
    </cfRule>
  </conditionalFormatting>
  <conditionalFormatting sqref="K264">
    <cfRule type="expression" dxfId="0" priority="2270">
      <formula>K294&gt;J294</formula>
    </cfRule>
  </conditionalFormatting>
  <conditionalFormatting sqref="K264">
    <cfRule type="expression" dxfId="1" priority="2271">
      <formula>K325&gt;J325</formula>
    </cfRule>
  </conditionalFormatting>
  <conditionalFormatting sqref="K294">
    <cfRule type="expression" dxfId="0" priority="2272">
      <formula>K294&gt;J294</formula>
    </cfRule>
  </conditionalFormatting>
  <conditionalFormatting sqref="K294">
    <cfRule type="expression" dxfId="1" priority="2273">
      <formula>K325&gt;J325</formula>
    </cfRule>
  </conditionalFormatting>
  <conditionalFormatting sqref="K325">
    <cfRule type="expression" dxfId="1" priority="2274">
      <formula>K325&gt;J325</formula>
    </cfRule>
  </conditionalFormatting>
  <conditionalFormatting sqref="B264:K264">
    <cfRule type="expression" dxfId="2" priority="2275">
      <formula>B264&gt;$B$50</formula>
    </cfRule>
  </conditionalFormatting>
  <conditionalFormatting sqref="C265">
    <cfRule type="expression" dxfId="4" priority="2276">
      <formula>C295&gt;B295</formula>
    </cfRule>
  </conditionalFormatting>
  <conditionalFormatting sqref="C265">
    <cfRule type="expression" dxfId="1" priority="2277">
      <formula>C326&gt;B326</formula>
    </cfRule>
  </conditionalFormatting>
  <conditionalFormatting sqref="C295">
    <cfRule type="expression" dxfId="4" priority="2278">
      <formula>C295&gt;B295</formula>
    </cfRule>
  </conditionalFormatting>
  <conditionalFormatting sqref="C295">
    <cfRule type="expression" dxfId="1" priority="2279">
      <formula>C326&gt;B326</formula>
    </cfRule>
  </conditionalFormatting>
  <conditionalFormatting sqref="C326">
    <cfRule type="expression" dxfId="1" priority="2280">
      <formula>C326&gt;B326</formula>
    </cfRule>
  </conditionalFormatting>
  <conditionalFormatting sqref="D265">
    <cfRule type="expression" dxfId="4" priority="2281">
      <formula>D295&gt;C295</formula>
    </cfRule>
  </conditionalFormatting>
  <conditionalFormatting sqref="D265">
    <cfRule type="expression" dxfId="1" priority="2282">
      <formula>D326&gt;C326</formula>
    </cfRule>
  </conditionalFormatting>
  <conditionalFormatting sqref="D295">
    <cfRule type="expression" dxfId="4" priority="2283">
      <formula>D295&gt;C295</formula>
    </cfRule>
  </conditionalFormatting>
  <conditionalFormatting sqref="D295">
    <cfRule type="expression" dxfId="1" priority="2284">
      <formula>D326&gt;C326</formula>
    </cfRule>
  </conditionalFormatting>
  <conditionalFormatting sqref="D326">
    <cfRule type="expression" dxfId="1" priority="2285">
      <formula>D326&gt;C326</formula>
    </cfRule>
  </conditionalFormatting>
  <conditionalFormatting sqref="E265">
    <cfRule type="expression" dxfId="4" priority="2286">
      <formula>E295&gt;D295</formula>
    </cfRule>
  </conditionalFormatting>
  <conditionalFormatting sqref="E265">
    <cfRule type="expression" dxfId="1" priority="2287">
      <formula>E326&gt;D326</formula>
    </cfRule>
  </conditionalFormatting>
  <conditionalFormatting sqref="E295">
    <cfRule type="expression" dxfId="4" priority="2288">
      <formula>E295&gt;D295</formula>
    </cfRule>
  </conditionalFormatting>
  <conditionalFormatting sqref="E295">
    <cfRule type="expression" dxfId="1" priority="2289">
      <formula>E326&gt;D326</formula>
    </cfRule>
  </conditionalFormatting>
  <conditionalFormatting sqref="E326">
    <cfRule type="expression" dxfId="1" priority="2290">
      <formula>E326&gt;D326</formula>
    </cfRule>
  </conditionalFormatting>
  <conditionalFormatting sqref="F265">
    <cfRule type="expression" dxfId="4" priority="2291">
      <formula>F295&gt;E295</formula>
    </cfRule>
  </conditionalFormatting>
  <conditionalFormatting sqref="F265">
    <cfRule type="expression" dxfId="1" priority="2292">
      <formula>F326&gt;E326</formula>
    </cfRule>
  </conditionalFormatting>
  <conditionalFormatting sqref="F295">
    <cfRule type="expression" dxfId="4" priority="2293">
      <formula>F295&gt;E295</formula>
    </cfRule>
  </conditionalFormatting>
  <conditionalFormatting sqref="F295">
    <cfRule type="expression" dxfId="1" priority="2294">
      <formula>F326&gt;E326</formula>
    </cfRule>
  </conditionalFormatting>
  <conditionalFormatting sqref="F326">
    <cfRule type="expression" dxfId="1" priority="2295">
      <formula>F326&gt;E326</formula>
    </cfRule>
  </conditionalFormatting>
  <conditionalFormatting sqref="G265">
    <cfRule type="expression" dxfId="4" priority="2296">
      <formula>G295&gt;F295</formula>
    </cfRule>
  </conditionalFormatting>
  <conditionalFormatting sqref="G265">
    <cfRule type="expression" dxfId="1" priority="2297">
      <formula>G326&gt;F326</formula>
    </cfRule>
  </conditionalFormatting>
  <conditionalFormatting sqref="G295">
    <cfRule type="expression" dxfId="4" priority="2298">
      <formula>G295&gt;F295</formula>
    </cfRule>
  </conditionalFormatting>
  <conditionalFormatting sqref="G295">
    <cfRule type="expression" dxfId="1" priority="2299">
      <formula>G326&gt;F326</formula>
    </cfRule>
  </conditionalFormatting>
  <conditionalFormatting sqref="G326">
    <cfRule type="expression" dxfId="1" priority="2300">
      <formula>G326&gt;F326</formula>
    </cfRule>
  </conditionalFormatting>
  <conditionalFormatting sqref="H265">
    <cfRule type="expression" dxfId="4" priority="2301">
      <formula>H295&gt;G295</formula>
    </cfRule>
  </conditionalFormatting>
  <conditionalFormatting sqref="H265">
    <cfRule type="expression" dxfId="1" priority="2302">
      <formula>H326&gt;G326</formula>
    </cfRule>
  </conditionalFormatting>
  <conditionalFormatting sqref="H295">
    <cfRule type="expression" dxfId="4" priority="2303">
      <formula>H295&gt;G295</formula>
    </cfRule>
  </conditionalFormatting>
  <conditionalFormatting sqref="H295">
    <cfRule type="expression" dxfId="1" priority="2304">
      <formula>H326&gt;G326</formula>
    </cfRule>
  </conditionalFormatting>
  <conditionalFormatting sqref="H326">
    <cfRule type="expression" dxfId="1" priority="2305">
      <formula>H326&gt;G326</formula>
    </cfRule>
  </conditionalFormatting>
  <conditionalFormatting sqref="I265">
    <cfRule type="expression" dxfId="4" priority="2306">
      <formula>I295&gt;H295</formula>
    </cfRule>
  </conditionalFormatting>
  <conditionalFormatting sqref="I265">
    <cfRule type="expression" dxfId="1" priority="2307">
      <formula>I326&gt;H326</formula>
    </cfRule>
  </conditionalFormatting>
  <conditionalFormatting sqref="I295">
    <cfRule type="expression" dxfId="4" priority="2308">
      <formula>I295&gt;H295</formula>
    </cfRule>
  </conditionalFormatting>
  <conditionalFormatting sqref="I295">
    <cfRule type="expression" dxfId="1" priority="2309">
      <formula>I326&gt;H326</formula>
    </cfRule>
  </conditionalFormatting>
  <conditionalFormatting sqref="I326">
    <cfRule type="expression" dxfId="1" priority="2310">
      <formula>I326&gt;H326</formula>
    </cfRule>
  </conditionalFormatting>
  <conditionalFormatting sqref="J265">
    <cfRule type="expression" dxfId="4" priority="2311">
      <formula>J295&gt;I295</formula>
    </cfRule>
  </conditionalFormatting>
  <conditionalFormatting sqref="J265">
    <cfRule type="expression" dxfId="1" priority="2312">
      <formula>J326&gt;I326</formula>
    </cfRule>
  </conditionalFormatting>
  <conditionalFormatting sqref="J295">
    <cfRule type="expression" dxfId="4" priority="2313">
      <formula>J295&gt;I295</formula>
    </cfRule>
  </conditionalFormatting>
  <conditionalFormatting sqref="J295">
    <cfRule type="expression" dxfId="1" priority="2314">
      <formula>J326&gt;I326</formula>
    </cfRule>
  </conditionalFormatting>
  <conditionalFormatting sqref="J326">
    <cfRule type="expression" dxfId="1" priority="2315">
      <formula>J326&gt;I326</formula>
    </cfRule>
  </conditionalFormatting>
  <conditionalFormatting sqref="K265">
    <cfRule type="expression" dxfId="4" priority="2316">
      <formula>K295&gt;J295</formula>
    </cfRule>
  </conditionalFormatting>
  <conditionalFormatting sqref="K265">
    <cfRule type="expression" dxfId="1" priority="2317">
      <formula>K326&gt;J326</formula>
    </cfRule>
  </conditionalFormatting>
  <conditionalFormatting sqref="K295">
    <cfRule type="expression" dxfId="4" priority="2318">
      <formula>K295&gt;J295</formula>
    </cfRule>
  </conditionalFormatting>
  <conditionalFormatting sqref="K295">
    <cfRule type="expression" dxfId="1" priority="2319">
      <formula>K326&gt;J326</formula>
    </cfRule>
  </conditionalFormatting>
  <conditionalFormatting sqref="K326">
    <cfRule type="expression" dxfId="1" priority="2320">
      <formula>K326&gt;J326</formula>
    </cfRule>
  </conditionalFormatting>
  <conditionalFormatting sqref="B265:K265">
    <cfRule type="expression" dxfId="2" priority="2321">
      <formula>B265&gt;$B$50</formula>
    </cfRule>
  </conditionalFormatting>
  <conditionalFormatting sqref="C266">
    <cfRule type="expression" dxfId="0" priority="2322">
      <formula>C296&gt;B296</formula>
    </cfRule>
  </conditionalFormatting>
  <conditionalFormatting sqref="C266">
    <cfRule type="expression" dxfId="1" priority="2323">
      <formula>C327&gt;B327</formula>
    </cfRule>
  </conditionalFormatting>
  <conditionalFormatting sqref="C296">
    <cfRule type="expression" dxfId="0" priority="2324">
      <formula>C296&gt;B296</formula>
    </cfRule>
  </conditionalFormatting>
  <conditionalFormatting sqref="C296">
    <cfRule type="expression" dxfId="1" priority="2325">
      <formula>C327&gt;B327</formula>
    </cfRule>
  </conditionalFormatting>
  <conditionalFormatting sqref="C327">
    <cfRule type="expression" dxfId="1" priority="2326">
      <formula>C327&gt;B327</formula>
    </cfRule>
  </conditionalFormatting>
  <conditionalFormatting sqref="D266">
    <cfRule type="expression" dxfId="0" priority="2327">
      <formula>D296&gt;C296</formula>
    </cfRule>
  </conditionalFormatting>
  <conditionalFormatting sqref="D266">
    <cfRule type="expression" dxfId="1" priority="2328">
      <formula>D327&gt;C327</formula>
    </cfRule>
  </conditionalFormatting>
  <conditionalFormatting sqref="D296">
    <cfRule type="expression" dxfId="0" priority="2329">
      <formula>D296&gt;C296</formula>
    </cfRule>
  </conditionalFormatting>
  <conditionalFormatting sqref="D296">
    <cfRule type="expression" dxfId="1" priority="2330">
      <formula>D327&gt;C327</formula>
    </cfRule>
  </conditionalFormatting>
  <conditionalFormatting sqref="D327">
    <cfRule type="expression" dxfId="1" priority="2331">
      <formula>D327&gt;C327</formula>
    </cfRule>
  </conditionalFormatting>
  <conditionalFormatting sqref="E266">
    <cfRule type="expression" dxfId="0" priority="2332">
      <formula>E296&gt;D296</formula>
    </cfRule>
  </conditionalFormatting>
  <conditionalFormatting sqref="E266">
    <cfRule type="expression" dxfId="1" priority="2333">
      <formula>E327&gt;D327</formula>
    </cfRule>
  </conditionalFormatting>
  <conditionalFormatting sqref="E296">
    <cfRule type="expression" dxfId="0" priority="2334">
      <formula>E296&gt;D296</formula>
    </cfRule>
  </conditionalFormatting>
  <conditionalFormatting sqref="E296">
    <cfRule type="expression" dxfId="1" priority="2335">
      <formula>E327&gt;D327</formula>
    </cfRule>
  </conditionalFormatting>
  <conditionalFormatting sqref="E327">
    <cfRule type="expression" dxfId="1" priority="2336">
      <formula>E327&gt;D327</formula>
    </cfRule>
  </conditionalFormatting>
  <conditionalFormatting sqref="F266">
    <cfRule type="expression" dxfId="0" priority="2337">
      <formula>F296&gt;E296</formula>
    </cfRule>
  </conditionalFormatting>
  <conditionalFormatting sqref="F266">
    <cfRule type="expression" dxfId="1" priority="2338">
      <formula>F327&gt;E327</formula>
    </cfRule>
  </conditionalFormatting>
  <conditionalFormatting sqref="F296">
    <cfRule type="expression" dxfId="0" priority="2339">
      <formula>F296&gt;E296</formula>
    </cfRule>
  </conditionalFormatting>
  <conditionalFormatting sqref="F296">
    <cfRule type="expression" dxfId="1" priority="2340">
      <formula>F327&gt;E327</formula>
    </cfRule>
  </conditionalFormatting>
  <conditionalFormatting sqref="F327">
    <cfRule type="expression" dxfId="1" priority="2341">
      <formula>F327&gt;E327</formula>
    </cfRule>
  </conditionalFormatting>
  <conditionalFormatting sqref="G266">
    <cfRule type="expression" dxfId="0" priority="2342">
      <formula>G296&gt;F296</formula>
    </cfRule>
  </conditionalFormatting>
  <conditionalFormatting sqref="G266">
    <cfRule type="expression" dxfId="1" priority="2343">
      <formula>G327&gt;F327</formula>
    </cfRule>
  </conditionalFormatting>
  <conditionalFormatting sqref="G296">
    <cfRule type="expression" dxfId="0" priority="2344">
      <formula>G296&gt;F296</formula>
    </cfRule>
  </conditionalFormatting>
  <conditionalFormatting sqref="G296">
    <cfRule type="expression" dxfId="1" priority="2345">
      <formula>G327&gt;F327</formula>
    </cfRule>
  </conditionalFormatting>
  <conditionalFormatting sqref="G327">
    <cfRule type="expression" dxfId="1" priority="2346">
      <formula>G327&gt;F327</formula>
    </cfRule>
  </conditionalFormatting>
  <conditionalFormatting sqref="H266">
    <cfRule type="expression" dxfId="0" priority="2347">
      <formula>H296&gt;G296</formula>
    </cfRule>
  </conditionalFormatting>
  <conditionalFormatting sqref="H266">
    <cfRule type="expression" dxfId="1" priority="2348">
      <formula>H327&gt;G327</formula>
    </cfRule>
  </conditionalFormatting>
  <conditionalFormatting sqref="H296">
    <cfRule type="expression" dxfId="0" priority="2349">
      <formula>H296&gt;G296</formula>
    </cfRule>
  </conditionalFormatting>
  <conditionalFormatting sqref="H296">
    <cfRule type="expression" dxfId="1" priority="2350">
      <formula>H327&gt;G327</formula>
    </cfRule>
  </conditionalFormatting>
  <conditionalFormatting sqref="H327">
    <cfRule type="expression" dxfId="1" priority="2351">
      <formula>H327&gt;G327</formula>
    </cfRule>
  </conditionalFormatting>
  <conditionalFormatting sqref="I266">
    <cfRule type="expression" dxfId="0" priority="2352">
      <formula>I296&gt;H296</formula>
    </cfRule>
  </conditionalFormatting>
  <conditionalFormatting sqref="I266">
    <cfRule type="expression" dxfId="1" priority="2353">
      <formula>I327&gt;H327</formula>
    </cfRule>
  </conditionalFormatting>
  <conditionalFormatting sqref="I296">
    <cfRule type="expression" dxfId="0" priority="2354">
      <formula>I296&gt;H296</formula>
    </cfRule>
  </conditionalFormatting>
  <conditionalFormatting sqref="I296">
    <cfRule type="expression" dxfId="1" priority="2355">
      <formula>I327&gt;H327</formula>
    </cfRule>
  </conditionalFormatting>
  <conditionalFormatting sqref="I327">
    <cfRule type="expression" dxfId="1" priority="2356">
      <formula>I327&gt;H327</formula>
    </cfRule>
  </conditionalFormatting>
  <conditionalFormatting sqref="J266">
    <cfRule type="expression" dxfId="0" priority="2357">
      <formula>J296&gt;I296</formula>
    </cfRule>
  </conditionalFormatting>
  <conditionalFormatting sqref="J266">
    <cfRule type="expression" dxfId="1" priority="2358">
      <formula>J327&gt;I327</formula>
    </cfRule>
  </conditionalFormatting>
  <conditionalFormatting sqref="J296">
    <cfRule type="expression" dxfId="0" priority="2359">
      <formula>J296&gt;I296</formula>
    </cfRule>
  </conditionalFormatting>
  <conditionalFormatting sqref="J296">
    <cfRule type="expression" dxfId="1" priority="2360">
      <formula>J327&gt;I327</formula>
    </cfRule>
  </conditionalFormatting>
  <conditionalFormatting sqref="J327">
    <cfRule type="expression" dxfId="1" priority="2361">
      <formula>J327&gt;I327</formula>
    </cfRule>
  </conditionalFormatting>
  <conditionalFormatting sqref="K266">
    <cfRule type="expression" dxfId="0" priority="2362">
      <formula>K296&gt;J296</formula>
    </cfRule>
  </conditionalFormatting>
  <conditionalFormatting sqref="K266">
    <cfRule type="expression" dxfId="1" priority="2363">
      <formula>K327&gt;J327</formula>
    </cfRule>
  </conditionalFormatting>
  <conditionalFormatting sqref="K296">
    <cfRule type="expression" dxfId="0" priority="2364">
      <formula>K296&gt;J296</formula>
    </cfRule>
  </conditionalFormatting>
  <conditionalFormatting sqref="K296">
    <cfRule type="expression" dxfId="1" priority="2365">
      <formula>K327&gt;J327</formula>
    </cfRule>
  </conditionalFormatting>
  <conditionalFormatting sqref="K327">
    <cfRule type="expression" dxfId="1" priority="2366">
      <formula>K327&gt;J327</formula>
    </cfRule>
  </conditionalFormatting>
  <conditionalFormatting sqref="B266:K266">
    <cfRule type="expression" dxfId="2" priority="2367">
      <formula>B266&gt;$B$50</formula>
    </cfRule>
  </conditionalFormatting>
  <conditionalFormatting sqref="C267">
    <cfRule type="expression" dxfId="0" priority="2368">
      <formula>C297&gt;B297</formula>
    </cfRule>
  </conditionalFormatting>
  <conditionalFormatting sqref="C267">
    <cfRule type="expression" dxfId="1" priority="2369">
      <formula>C328&gt;B328</formula>
    </cfRule>
  </conditionalFormatting>
  <conditionalFormatting sqref="C297">
    <cfRule type="expression" dxfId="0" priority="2370">
      <formula>C297&gt;B297</formula>
    </cfRule>
  </conditionalFormatting>
  <conditionalFormatting sqref="C297">
    <cfRule type="expression" dxfId="1" priority="2371">
      <formula>C328&gt;B328</formula>
    </cfRule>
  </conditionalFormatting>
  <conditionalFormatting sqref="C328">
    <cfRule type="expression" dxfId="1" priority="2372">
      <formula>C328&gt;B328</formula>
    </cfRule>
  </conditionalFormatting>
  <conditionalFormatting sqref="D267">
    <cfRule type="expression" dxfId="0" priority="2373">
      <formula>D297&gt;C297</formula>
    </cfRule>
  </conditionalFormatting>
  <conditionalFormatting sqref="D267">
    <cfRule type="expression" dxfId="1" priority="2374">
      <formula>D328&gt;C328</formula>
    </cfRule>
  </conditionalFormatting>
  <conditionalFormatting sqref="D297">
    <cfRule type="expression" dxfId="0" priority="2375">
      <formula>D297&gt;C297</formula>
    </cfRule>
  </conditionalFormatting>
  <conditionalFormatting sqref="D297">
    <cfRule type="expression" dxfId="1" priority="2376">
      <formula>D328&gt;C328</formula>
    </cfRule>
  </conditionalFormatting>
  <conditionalFormatting sqref="D328">
    <cfRule type="expression" dxfId="1" priority="2377">
      <formula>D328&gt;C328</formula>
    </cfRule>
  </conditionalFormatting>
  <conditionalFormatting sqref="E267">
    <cfRule type="expression" dxfId="0" priority="2378">
      <formula>E297&gt;D297</formula>
    </cfRule>
  </conditionalFormatting>
  <conditionalFormatting sqref="E267">
    <cfRule type="expression" dxfId="1" priority="2379">
      <formula>E328&gt;D328</formula>
    </cfRule>
  </conditionalFormatting>
  <conditionalFormatting sqref="E297">
    <cfRule type="expression" dxfId="0" priority="2380">
      <formula>E297&gt;D297</formula>
    </cfRule>
  </conditionalFormatting>
  <conditionalFormatting sqref="E297">
    <cfRule type="expression" dxfId="1" priority="2381">
      <formula>E328&gt;D328</formula>
    </cfRule>
  </conditionalFormatting>
  <conditionalFormatting sqref="E328">
    <cfRule type="expression" dxfId="1" priority="2382">
      <formula>E328&gt;D328</formula>
    </cfRule>
  </conditionalFormatting>
  <conditionalFormatting sqref="F267">
    <cfRule type="expression" dxfId="0" priority="2383">
      <formula>F297&gt;E297</formula>
    </cfRule>
  </conditionalFormatting>
  <conditionalFormatting sqref="F267">
    <cfRule type="expression" dxfId="1" priority="2384">
      <formula>F328&gt;E328</formula>
    </cfRule>
  </conditionalFormatting>
  <conditionalFormatting sqref="F297">
    <cfRule type="expression" dxfId="0" priority="2385">
      <formula>F297&gt;E297</formula>
    </cfRule>
  </conditionalFormatting>
  <conditionalFormatting sqref="F297">
    <cfRule type="expression" dxfId="1" priority="2386">
      <formula>F328&gt;E328</formula>
    </cfRule>
  </conditionalFormatting>
  <conditionalFormatting sqref="F328">
    <cfRule type="expression" dxfId="1" priority="2387">
      <formula>F328&gt;E328</formula>
    </cfRule>
  </conditionalFormatting>
  <conditionalFormatting sqref="G267">
    <cfRule type="expression" dxfId="0" priority="2388">
      <formula>G297&gt;F297</formula>
    </cfRule>
  </conditionalFormatting>
  <conditionalFormatting sqref="G267">
    <cfRule type="expression" dxfId="1" priority="2389">
      <formula>G328&gt;F328</formula>
    </cfRule>
  </conditionalFormatting>
  <conditionalFormatting sqref="G297">
    <cfRule type="expression" dxfId="0" priority="2390">
      <formula>G297&gt;F297</formula>
    </cfRule>
  </conditionalFormatting>
  <conditionalFormatting sqref="G297">
    <cfRule type="expression" dxfId="1" priority="2391">
      <formula>G328&gt;F328</formula>
    </cfRule>
  </conditionalFormatting>
  <conditionalFormatting sqref="G328">
    <cfRule type="expression" dxfId="1" priority="2392">
      <formula>G328&gt;F328</formula>
    </cfRule>
  </conditionalFormatting>
  <conditionalFormatting sqref="H267">
    <cfRule type="expression" dxfId="0" priority="2393">
      <formula>H297&gt;G297</formula>
    </cfRule>
  </conditionalFormatting>
  <conditionalFormatting sqref="H267">
    <cfRule type="expression" dxfId="1" priority="2394">
      <formula>H328&gt;G328</formula>
    </cfRule>
  </conditionalFormatting>
  <conditionalFormatting sqref="H297">
    <cfRule type="expression" dxfId="0" priority="2395">
      <formula>H297&gt;G297</formula>
    </cfRule>
  </conditionalFormatting>
  <conditionalFormatting sqref="H297">
    <cfRule type="expression" dxfId="1" priority="2396">
      <formula>H328&gt;G328</formula>
    </cfRule>
  </conditionalFormatting>
  <conditionalFormatting sqref="H328">
    <cfRule type="expression" dxfId="1" priority="2397">
      <formula>H328&gt;G328</formula>
    </cfRule>
  </conditionalFormatting>
  <conditionalFormatting sqref="I267">
    <cfRule type="expression" dxfId="0" priority="2398">
      <formula>I297&gt;H297</formula>
    </cfRule>
  </conditionalFormatting>
  <conditionalFormatting sqref="I267">
    <cfRule type="expression" dxfId="1" priority="2399">
      <formula>I328&gt;H328</formula>
    </cfRule>
  </conditionalFormatting>
  <conditionalFormatting sqref="I297">
    <cfRule type="expression" dxfId="0" priority="2400">
      <formula>I297&gt;H297</formula>
    </cfRule>
  </conditionalFormatting>
  <conditionalFormatting sqref="I297">
    <cfRule type="expression" dxfId="1" priority="2401">
      <formula>I328&gt;H328</formula>
    </cfRule>
  </conditionalFormatting>
  <conditionalFormatting sqref="I328">
    <cfRule type="expression" dxfId="1" priority="2402">
      <formula>I328&gt;H328</formula>
    </cfRule>
  </conditionalFormatting>
  <conditionalFormatting sqref="J267">
    <cfRule type="expression" dxfId="0" priority="2403">
      <formula>J297&gt;I297</formula>
    </cfRule>
  </conditionalFormatting>
  <conditionalFormatting sqref="J267">
    <cfRule type="expression" dxfId="1" priority="2404">
      <formula>J328&gt;I328</formula>
    </cfRule>
  </conditionalFormatting>
  <conditionalFormatting sqref="J297">
    <cfRule type="expression" dxfId="0" priority="2405">
      <formula>J297&gt;I297</formula>
    </cfRule>
  </conditionalFormatting>
  <conditionalFormatting sqref="J297">
    <cfRule type="expression" dxfId="1" priority="2406">
      <formula>J328&gt;I328</formula>
    </cfRule>
  </conditionalFormatting>
  <conditionalFormatting sqref="J328">
    <cfRule type="expression" dxfId="1" priority="2407">
      <formula>J328&gt;I328</formula>
    </cfRule>
  </conditionalFormatting>
  <conditionalFormatting sqref="K267">
    <cfRule type="expression" dxfId="0" priority="2408">
      <formula>K297&gt;J297</formula>
    </cfRule>
  </conditionalFormatting>
  <conditionalFormatting sqref="K267">
    <cfRule type="expression" dxfId="1" priority="2409">
      <formula>K328&gt;J328</formula>
    </cfRule>
  </conditionalFormatting>
  <conditionalFormatting sqref="K297">
    <cfRule type="expression" dxfId="0" priority="2410">
      <formula>K297&gt;J297</formula>
    </cfRule>
  </conditionalFormatting>
  <conditionalFormatting sqref="K297">
    <cfRule type="expression" dxfId="1" priority="2411">
      <formula>K328&gt;J328</formula>
    </cfRule>
  </conditionalFormatting>
  <conditionalFormatting sqref="K328">
    <cfRule type="expression" dxfId="1" priority="2412">
      <formula>K328&gt;J328</formula>
    </cfRule>
  </conditionalFormatting>
  <conditionalFormatting sqref="B267:K267">
    <cfRule type="expression" dxfId="2" priority="2413">
      <formula>B267&gt;$B$50</formula>
    </cfRule>
  </conditionalFormatting>
  <conditionalFormatting sqref="C268">
    <cfRule type="expression" dxfId="0" priority="2414">
      <formula>C298&gt;B298</formula>
    </cfRule>
  </conditionalFormatting>
  <conditionalFormatting sqref="C268">
    <cfRule type="expression" dxfId="1" priority="2415">
      <formula>C329&gt;B329</formula>
    </cfRule>
  </conditionalFormatting>
  <conditionalFormatting sqref="C298">
    <cfRule type="expression" dxfId="0" priority="2416">
      <formula>C298&gt;B298</formula>
    </cfRule>
  </conditionalFormatting>
  <conditionalFormatting sqref="C298">
    <cfRule type="expression" dxfId="1" priority="2417">
      <formula>C329&gt;B329</formula>
    </cfRule>
  </conditionalFormatting>
  <conditionalFormatting sqref="C329">
    <cfRule type="expression" dxfId="1" priority="2418">
      <formula>C329&gt;B329</formula>
    </cfRule>
  </conditionalFormatting>
  <conditionalFormatting sqref="D268">
    <cfRule type="expression" dxfId="0" priority="2419">
      <formula>D298&gt;C298</formula>
    </cfRule>
  </conditionalFormatting>
  <conditionalFormatting sqref="D268">
    <cfRule type="expression" dxfId="1" priority="2420">
      <formula>D329&gt;C329</formula>
    </cfRule>
  </conditionalFormatting>
  <conditionalFormatting sqref="D298">
    <cfRule type="expression" dxfId="0" priority="2421">
      <formula>D298&gt;C298</formula>
    </cfRule>
  </conditionalFormatting>
  <conditionalFormatting sqref="D298">
    <cfRule type="expression" dxfId="1" priority="2422">
      <formula>D329&gt;C329</formula>
    </cfRule>
  </conditionalFormatting>
  <conditionalFormatting sqref="D329">
    <cfRule type="expression" dxfId="1" priority="2423">
      <formula>D329&gt;C329</formula>
    </cfRule>
  </conditionalFormatting>
  <conditionalFormatting sqref="E268">
    <cfRule type="expression" dxfId="0" priority="2424">
      <formula>E298&gt;D298</formula>
    </cfRule>
  </conditionalFormatting>
  <conditionalFormatting sqref="E268">
    <cfRule type="expression" dxfId="1" priority="2425">
      <formula>E329&gt;D329</formula>
    </cfRule>
  </conditionalFormatting>
  <conditionalFormatting sqref="E298">
    <cfRule type="expression" dxfId="0" priority="2426">
      <formula>E298&gt;D298</formula>
    </cfRule>
  </conditionalFormatting>
  <conditionalFormatting sqref="E298">
    <cfRule type="expression" dxfId="1" priority="2427">
      <formula>E329&gt;D329</formula>
    </cfRule>
  </conditionalFormatting>
  <conditionalFormatting sqref="E329">
    <cfRule type="expression" dxfId="1" priority="2428">
      <formula>E329&gt;D329</formula>
    </cfRule>
  </conditionalFormatting>
  <conditionalFormatting sqref="F268">
    <cfRule type="expression" dxfId="0" priority="2429">
      <formula>F298&gt;E298</formula>
    </cfRule>
  </conditionalFormatting>
  <conditionalFormatting sqref="F268">
    <cfRule type="expression" dxfId="1" priority="2430">
      <formula>F329&gt;E329</formula>
    </cfRule>
  </conditionalFormatting>
  <conditionalFormatting sqref="F298">
    <cfRule type="expression" dxfId="0" priority="2431">
      <formula>F298&gt;E298</formula>
    </cfRule>
  </conditionalFormatting>
  <conditionalFormatting sqref="F298">
    <cfRule type="expression" dxfId="1" priority="2432">
      <formula>F329&gt;E329</formula>
    </cfRule>
  </conditionalFormatting>
  <conditionalFormatting sqref="F329">
    <cfRule type="expression" dxfId="1" priority="2433">
      <formula>F329&gt;E329</formula>
    </cfRule>
  </conditionalFormatting>
  <conditionalFormatting sqref="G268">
    <cfRule type="expression" dxfId="0" priority="2434">
      <formula>G298&gt;F298</formula>
    </cfRule>
  </conditionalFormatting>
  <conditionalFormatting sqref="G268">
    <cfRule type="expression" dxfId="1" priority="2435">
      <formula>G329&gt;F329</formula>
    </cfRule>
  </conditionalFormatting>
  <conditionalFormatting sqref="G298">
    <cfRule type="expression" dxfId="0" priority="2436">
      <formula>G298&gt;F298</formula>
    </cfRule>
  </conditionalFormatting>
  <conditionalFormatting sqref="G298">
    <cfRule type="expression" dxfId="1" priority="2437">
      <formula>G329&gt;F329</formula>
    </cfRule>
  </conditionalFormatting>
  <conditionalFormatting sqref="G329">
    <cfRule type="expression" dxfId="1" priority="2438">
      <formula>G329&gt;F329</formula>
    </cfRule>
  </conditionalFormatting>
  <conditionalFormatting sqref="H268">
    <cfRule type="expression" dxfId="0" priority="2439">
      <formula>H298&gt;G298</formula>
    </cfRule>
  </conditionalFormatting>
  <conditionalFormatting sqref="H268">
    <cfRule type="expression" dxfId="1" priority="2440">
      <formula>H329&gt;G329</formula>
    </cfRule>
  </conditionalFormatting>
  <conditionalFormatting sqref="H298">
    <cfRule type="expression" dxfId="0" priority="2441">
      <formula>H298&gt;G298</formula>
    </cfRule>
  </conditionalFormatting>
  <conditionalFormatting sqref="H298">
    <cfRule type="expression" dxfId="1" priority="2442">
      <formula>H329&gt;G329</formula>
    </cfRule>
  </conditionalFormatting>
  <conditionalFormatting sqref="H329">
    <cfRule type="expression" dxfId="1" priority="2443">
      <formula>H329&gt;G329</formula>
    </cfRule>
  </conditionalFormatting>
  <conditionalFormatting sqref="I268">
    <cfRule type="expression" dxfId="0" priority="2444">
      <formula>I298&gt;H298</formula>
    </cfRule>
  </conditionalFormatting>
  <conditionalFormatting sqref="I268">
    <cfRule type="expression" dxfId="1" priority="2445">
      <formula>I329&gt;H329</formula>
    </cfRule>
  </conditionalFormatting>
  <conditionalFormatting sqref="I298">
    <cfRule type="expression" dxfId="0" priority="2446">
      <formula>I298&gt;H298</formula>
    </cfRule>
  </conditionalFormatting>
  <conditionalFormatting sqref="I298">
    <cfRule type="expression" dxfId="1" priority="2447">
      <formula>I329&gt;H329</formula>
    </cfRule>
  </conditionalFormatting>
  <conditionalFormatting sqref="I329">
    <cfRule type="expression" dxfId="1" priority="2448">
      <formula>I329&gt;H329</formula>
    </cfRule>
  </conditionalFormatting>
  <conditionalFormatting sqref="J268">
    <cfRule type="expression" dxfId="0" priority="2449">
      <formula>J298&gt;I298</formula>
    </cfRule>
  </conditionalFormatting>
  <conditionalFormatting sqref="J268">
    <cfRule type="expression" dxfId="1" priority="2450">
      <formula>J329&gt;I329</formula>
    </cfRule>
  </conditionalFormatting>
  <conditionalFormatting sqref="J298">
    <cfRule type="expression" dxfId="0" priority="2451">
      <formula>J298&gt;I298</formula>
    </cfRule>
  </conditionalFormatting>
  <conditionalFormatting sqref="J298">
    <cfRule type="expression" dxfId="1" priority="2452">
      <formula>J329&gt;I329</formula>
    </cfRule>
  </conditionalFormatting>
  <conditionalFormatting sqref="J329">
    <cfRule type="expression" dxfId="1" priority="2453">
      <formula>J329&gt;I329</formula>
    </cfRule>
  </conditionalFormatting>
  <conditionalFormatting sqref="K268">
    <cfRule type="expression" dxfId="0" priority="2454">
      <formula>K298&gt;J298</formula>
    </cfRule>
  </conditionalFormatting>
  <conditionalFormatting sqref="K268">
    <cfRule type="expression" dxfId="1" priority="2455">
      <formula>K329&gt;J329</formula>
    </cfRule>
  </conditionalFormatting>
  <conditionalFormatting sqref="K298">
    <cfRule type="expression" dxfId="0" priority="2456">
      <formula>K298&gt;J298</formula>
    </cfRule>
  </conditionalFormatting>
  <conditionalFormatting sqref="K298">
    <cfRule type="expression" dxfId="1" priority="2457">
      <formula>K329&gt;J329</formula>
    </cfRule>
  </conditionalFormatting>
  <conditionalFormatting sqref="K329">
    <cfRule type="expression" dxfId="1" priority="2458">
      <formula>K329&gt;J329</formula>
    </cfRule>
  </conditionalFormatting>
  <conditionalFormatting sqref="B268:K268">
    <cfRule type="expression" dxfId="2" priority="2459">
      <formula>B268&gt;$B$50</formula>
    </cfRule>
  </conditionalFormatting>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outlineLevelRow="1"/>
  <cols>
    <col customWidth="1" min="1" max="1" width="52.0"/>
    <col customWidth="1" min="2" max="3" width="11.0"/>
    <col customWidth="1" min="4" max="15" width="10.0"/>
    <col customWidth="1" min="16" max="27" width="8.63"/>
  </cols>
  <sheetData>
    <row r="1">
      <c r="A1" s="20" t="s">
        <v>20</v>
      </c>
    </row>
    <row r="2">
      <c r="A2" s="22" t="s">
        <v>23</v>
      </c>
    </row>
    <row r="4">
      <c r="A4" s="24" t="s">
        <v>24</v>
      </c>
      <c r="B4" s="29" t="s">
        <v>27</v>
      </c>
    </row>
    <row r="5">
      <c r="A5" s="30" t="s">
        <v>28</v>
      </c>
      <c r="B5" s="31">
        <v>1.0</v>
      </c>
    </row>
    <row r="6">
      <c r="A6" s="30" t="s">
        <v>30</v>
      </c>
      <c r="B6" s="32">
        <v>0.9</v>
      </c>
      <c r="C6" s="22" t="s">
        <v>31</v>
      </c>
    </row>
    <row r="7">
      <c r="A7" s="30" t="s">
        <v>32</v>
      </c>
      <c r="B7" s="34">
        <f>Parametros!$B$67</f>
        <v>0.9</v>
      </c>
      <c r="C7" s="22" t="s">
        <v>35</v>
      </c>
    </row>
    <row r="8">
      <c r="A8" s="30" t="s">
        <v>36</v>
      </c>
      <c r="B8" s="36">
        <f>Parametros!$F$37</f>
        <v>150</v>
      </c>
      <c r="C8" s="22" t="s">
        <v>37</v>
      </c>
    </row>
    <row r="9">
      <c r="A9" s="30" t="s">
        <v>38</v>
      </c>
      <c r="B9" s="36">
        <f>B8*B7*(1-B14)</f>
        <v>130.95</v>
      </c>
      <c r="C9" s="22" t="s">
        <v>39</v>
      </c>
    </row>
    <row r="10">
      <c r="A10" s="30" t="s">
        <v>40</v>
      </c>
      <c r="B10" s="31">
        <v>30.0</v>
      </c>
      <c r="C10" s="22" t="s">
        <v>41</v>
      </c>
    </row>
    <row r="11">
      <c r="A11" s="30" t="s">
        <v>42</v>
      </c>
      <c r="B11" s="36">
        <f>B9+B10</f>
        <v>160.95</v>
      </c>
      <c r="C11" s="22" t="s">
        <v>44</v>
      </c>
    </row>
    <row r="12">
      <c r="A12" s="30" t="s">
        <v>45</v>
      </c>
      <c r="B12" s="31">
        <v>200.0</v>
      </c>
      <c r="C12" s="22" t="s">
        <v>46</v>
      </c>
    </row>
    <row r="13">
      <c r="A13" s="30" t="s">
        <v>47</v>
      </c>
      <c r="B13" s="36">
        <f>Parametros!$B$68</f>
        <v>5</v>
      </c>
      <c r="C13" s="22" t="s">
        <v>48</v>
      </c>
    </row>
    <row r="14">
      <c r="A14" s="30" t="s">
        <v>49</v>
      </c>
      <c r="B14" s="32">
        <v>0.03</v>
      </c>
      <c r="C14" s="22" t="s">
        <v>50</v>
      </c>
    </row>
    <row r="15">
      <c r="A15" s="30" t="s">
        <v>51</v>
      </c>
      <c r="B15" s="32">
        <v>0.4</v>
      </c>
      <c r="C15" s="22" t="s">
        <v>52</v>
      </c>
    </row>
    <row r="16">
      <c r="A16" s="37" t="s">
        <v>54</v>
      </c>
    </row>
    <row r="17">
      <c r="A17" s="39" t="s">
        <v>22</v>
      </c>
      <c r="B17" s="39" t="s">
        <v>56</v>
      </c>
      <c r="C17" s="39" t="s">
        <v>57</v>
      </c>
    </row>
    <row r="18">
      <c r="A18" s="30" t="s">
        <v>26</v>
      </c>
      <c r="B18" s="40">
        <v>1.0</v>
      </c>
      <c r="C18" s="40" t="s">
        <v>58</v>
      </c>
    </row>
    <row r="19">
      <c r="A19" s="30" t="s">
        <v>55</v>
      </c>
      <c r="B19" s="40">
        <v>1.0</v>
      </c>
      <c r="C19" s="41">
        <v>0.5</v>
      </c>
      <c r="D19" s="22" t="s">
        <v>60</v>
      </c>
    </row>
    <row r="20">
      <c r="A20" s="30" t="s">
        <v>61</v>
      </c>
      <c r="B20" s="40">
        <v>1.0</v>
      </c>
      <c r="C20" s="40" t="s">
        <v>58</v>
      </c>
    </row>
    <row r="21" ht="15.75" customHeight="1">
      <c r="A21" s="30" t="s">
        <v>62</v>
      </c>
      <c r="B21" s="40">
        <v>1.0</v>
      </c>
      <c r="C21" s="40" t="s">
        <v>58</v>
      </c>
    </row>
    <row r="22" ht="15.75" customHeight="1">
      <c r="A22" s="30" t="s">
        <v>63</v>
      </c>
      <c r="B22" s="40">
        <v>1.0</v>
      </c>
      <c r="C22" s="40" t="s">
        <v>58</v>
      </c>
    </row>
    <row r="23" ht="15.75" customHeight="1">
      <c r="A23" s="30" t="s">
        <v>64</v>
      </c>
      <c r="B23" s="40">
        <v>1.0</v>
      </c>
      <c r="C23" s="41">
        <v>0.5</v>
      </c>
      <c r="D23" s="22" t="s">
        <v>65</v>
      </c>
    </row>
    <row r="24" ht="15.75" customHeight="1">
      <c r="A24" s="30" t="s">
        <v>66</v>
      </c>
      <c r="B24" s="40">
        <v>1.0</v>
      </c>
      <c r="C24" s="40" t="s">
        <v>58</v>
      </c>
    </row>
    <row r="25" ht="15.75" customHeight="1">
      <c r="A25" s="30" t="s">
        <v>67</v>
      </c>
      <c r="B25" s="40">
        <v>1.0</v>
      </c>
      <c r="C25" s="40" t="s">
        <v>58</v>
      </c>
    </row>
    <row r="26" ht="15.75" customHeight="1">
      <c r="A26" s="30" t="s">
        <v>68</v>
      </c>
      <c r="B26" s="40">
        <v>1.0</v>
      </c>
      <c r="C26" s="41">
        <v>0.5</v>
      </c>
      <c r="D26" s="22" t="s">
        <v>69</v>
      </c>
    </row>
    <row r="27" ht="15.75" customHeight="1">
      <c r="A27" s="30" t="s">
        <v>70</v>
      </c>
      <c r="B27" s="40">
        <v>1.0</v>
      </c>
      <c r="C27" s="41">
        <v>0.5</v>
      </c>
      <c r="D27" s="22" t="s">
        <v>71</v>
      </c>
    </row>
    <row r="28" ht="15.75" customHeight="1">
      <c r="A28" s="30" t="s">
        <v>72</v>
      </c>
      <c r="B28" s="41">
        <v>0.5</v>
      </c>
      <c r="C28" s="40" t="s">
        <v>58</v>
      </c>
      <c r="D28" s="22" t="s">
        <v>73</v>
      </c>
    </row>
    <row r="29" ht="15.75" customHeight="1">
      <c r="A29" s="30" t="s">
        <v>74</v>
      </c>
      <c r="B29" s="40">
        <v>1.0</v>
      </c>
      <c r="C29" s="40" t="s">
        <v>58</v>
      </c>
    </row>
    <row r="30" ht="15.75" customHeight="1">
      <c r="A30" s="30" t="s">
        <v>76</v>
      </c>
      <c r="B30" s="40">
        <v>1.0</v>
      </c>
      <c r="C30" s="40" t="s">
        <v>58</v>
      </c>
    </row>
    <row r="31" ht="15.75" customHeight="1">
      <c r="A31" s="30" t="s">
        <v>77</v>
      </c>
      <c r="B31" s="41">
        <v>0.5</v>
      </c>
      <c r="C31" s="40" t="s">
        <v>58</v>
      </c>
      <c r="D31" s="22" t="s">
        <v>78</v>
      </c>
    </row>
    <row r="32" ht="15.75" customHeight="1">
      <c r="A32" s="30" t="s">
        <v>79</v>
      </c>
      <c r="B32" s="41">
        <v>0.5</v>
      </c>
      <c r="C32" s="40" t="s">
        <v>58</v>
      </c>
      <c r="D32" s="22" t="s">
        <v>80</v>
      </c>
    </row>
    <row r="33" ht="15.75" customHeight="1">
      <c r="A33" s="30" t="s">
        <v>81</v>
      </c>
      <c r="B33" s="40">
        <v>1.0</v>
      </c>
      <c r="C33" s="40" t="s">
        <v>58</v>
      </c>
    </row>
    <row r="34" ht="15.75" customHeight="1">
      <c r="A34" s="30" t="s">
        <v>82</v>
      </c>
      <c r="B34" s="40">
        <v>1.0</v>
      </c>
      <c r="C34" s="40" t="s">
        <v>58</v>
      </c>
    </row>
    <row r="35" ht="15.75" customHeight="1">
      <c r="A35" s="30" t="s">
        <v>83</v>
      </c>
      <c r="B35" s="40">
        <v>1.0</v>
      </c>
      <c r="C35" s="40" t="s">
        <v>58</v>
      </c>
    </row>
    <row r="36" ht="15.75" customHeight="1">
      <c r="A36" s="30" t="s">
        <v>84</v>
      </c>
      <c r="B36" s="40">
        <v>1.0</v>
      </c>
      <c r="C36" s="40" t="s">
        <v>58</v>
      </c>
    </row>
    <row r="37" ht="15.75" customHeight="1">
      <c r="A37" s="30" t="s">
        <v>85</v>
      </c>
      <c r="B37" s="41">
        <v>0.5</v>
      </c>
      <c r="C37" s="40" t="s">
        <v>58</v>
      </c>
      <c r="D37" s="22" t="s">
        <v>87</v>
      </c>
    </row>
    <row r="38" ht="15.75" customHeight="1">
      <c r="A38" s="30" t="s">
        <v>88</v>
      </c>
      <c r="B38" s="40">
        <v>1.0</v>
      </c>
      <c r="C38" s="40" t="s">
        <v>58</v>
      </c>
    </row>
    <row r="39" ht="15.75" customHeight="1">
      <c r="A39" s="30" t="s">
        <v>89</v>
      </c>
      <c r="B39" s="40">
        <v>1.0</v>
      </c>
      <c r="C39" s="40" t="s">
        <v>58</v>
      </c>
    </row>
    <row r="40" ht="15.75" customHeight="1">
      <c r="A40" s="30" t="s">
        <v>90</v>
      </c>
      <c r="B40" s="41">
        <v>0.5</v>
      </c>
      <c r="C40" s="40" t="s">
        <v>58</v>
      </c>
    </row>
    <row r="41" ht="15.75" customHeight="1">
      <c r="A41" s="30" t="s">
        <v>91</v>
      </c>
      <c r="B41" s="41">
        <v>0.5</v>
      </c>
      <c r="C41" s="40" t="s">
        <v>58</v>
      </c>
      <c r="D41" s="42" t="s">
        <v>92</v>
      </c>
    </row>
    <row r="42" ht="15.75" customHeight="1">
      <c r="A42" s="30" t="s">
        <v>93</v>
      </c>
      <c r="B42" s="40">
        <v>1.0</v>
      </c>
      <c r="C42" s="40" t="s">
        <v>58</v>
      </c>
    </row>
    <row r="43" ht="15.75" customHeight="1">
      <c r="A43" s="30" t="s">
        <v>94</v>
      </c>
      <c r="B43" s="41">
        <v>0.5</v>
      </c>
      <c r="C43" s="40" t="s">
        <v>58</v>
      </c>
    </row>
    <row r="44" ht="15.75" customHeight="1">
      <c r="A44" s="30" t="s">
        <v>96</v>
      </c>
      <c r="B44" s="40">
        <v>1.0</v>
      </c>
      <c r="C44" s="40" t="s">
        <v>58</v>
      </c>
    </row>
    <row r="45" ht="15.75" customHeight="1">
      <c r="A45" s="30" t="s">
        <v>97</v>
      </c>
      <c r="B45" s="40">
        <v>1.0</v>
      </c>
      <c r="C45" s="40" t="s">
        <v>58</v>
      </c>
    </row>
    <row r="46" ht="15.75" customHeight="1"/>
    <row r="47" ht="15.75" customHeight="1"/>
    <row r="48" ht="15.75" customHeight="1">
      <c r="A48" s="37" t="s">
        <v>98</v>
      </c>
      <c r="G48" s="43" t="s">
        <v>99</v>
      </c>
      <c r="H48" s="16"/>
      <c r="I48" s="16"/>
      <c r="J48" s="16"/>
      <c r="K48" s="16"/>
      <c r="L48" s="16"/>
      <c r="M48" s="16"/>
      <c r="N48" s="16"/>
      <c r="O48" s="16"/>
      <c r="P48" s="16"/>
      <c r="Q48" s="17"/>
    </row>
    <row r="49" ht="15.75" customHeight="1">
      <c r="A49" s="30" t="s">
        <v>101</v>
      </c>
      <c r="B49" s="40">
        <f>5/7</f>
        <v>0.7142857143</v>
      </c>
      <c r="C49" s="22" t="s">
        <v>103</v>
      </c>
      <c r="G49" s="43" t="s">
        <v>104</v>
      </c>
      <c r="H49" s="16"/>
      <c r="I49" s="16"/>
      <c r="J49" s="16"/>
      <c r="K49" s="16"/>
      <c r="L49" s="16"/>
      <c r="M49" s="16"/>
      <c r="N49" s="16"/>
      <c r="O49" s="16"/>
      <c r="P49" s="16"/>
      <c r="Q49" s="16"/>
      <c r="R49" s="16"/>
      <c r="S49" s="16"/>
      <c r="T49" s="16"/>
      <c r="U49" s="16"/>
      <c r="V49" s="16"/>
      <c r="W49" s="17"/>
    </row>
    <row r="50" ht="15.75" customHeight="1">
      <c r="A50" s="30" t="s">
        <v>105</v>
      </c>
      <c r="B50" s="44">
        <f>Parametros!$J$37</f>
        <v>7.5</v>
      </c>
    </row>
    <row r="51" ht="15.75" customHeight="1"/>
    <row r="52" ht="15.75" customHeight="1">
      <c r="A52" s="45" t="s">
        <v>107</v>
      </c>
      <c r="B52" s="39" t="s">
        <v>109</v>
      </c>
      <c r="C52" s="39" t="s">
        <v>110</v>
      </c>
      <c r="D52" s="39" t="s">
        <v>111</v>
      </c>
      <c r="E52" s="39" t="s">
        <v>112</v>
      </c>
      <c r="F52" s="39" t="s">
        <v>113</v>
      </c>
      <c r="G52" s="39" t="s">
        <v>114</v>
      </c>
      <c r="H52" s="39" t="s">
        <v>115</v>
      </c>
      <c r="I52" s="39" t="s">
        <v>116</v>
      </c>
      <c r="J52" s="39" t="s">
        <v>117</v>
      </c>
      <c r="K52" s="39" t="s">
        <v>118</v>
      </c>
      <c r="L52" s="39" t="s">
        <v>119</v>
      </c>
      <c r="M52" s="39" t="s">
        <v>120</v>
      </c>
      <c r="N52" s="39" t="s">
        <v>15</v>
      </c>
    </row>
    <row r="53" ht="15.75" customHeight="1">
      <c r="A53" s="30" t="s">
        <v>121</v>
      </c>
      <c r="B53" s="32">
        <v>0.0</v>
      </c>
      <c r="C53" s="32">
        <v>0.15</v>
      </c>
      <c r="D53" s="32">
        <v>0.2</v>
      </c>
      <c r="E53" s="32">
        <v>0.2</v>
      </c>
      <c r="F53" s="32">
        <v>0.0</v>
      </c>
      <c r="G53" s="32">
        <v>0.0</v>
      </c>
      <c r="H53" s="32">
        <v>0.25</v>
      </c>
      <c r="I53" s="32">
        <v>0.0</v>
      </c>
      <c r="J53" s="32">
        <v>0.0</v>
      </c>
      <c r="K53" s="32">
        <v>0.1</v>
      </c>
      <c r="L53" s="32">
        <v>0.1</v>
      </c>
      <c r="M53" s="32">
        <v>0.0</v>
      </c>
      <c r="N53" s="34">
        <f t="shared" ref="N53:N55" si="1">SUM(B53:M53)</f>
        <v>1</v>
      </c>
    </row>
    <row r="54" ht="15.75" customHeight="1">
      <c r="A54" s="30" t="s">
        <v>123</v>
      </c>
      <c r="B54" s="32">
        <v>0.0</v>
      </c>
      <c r="C54" s="32">
        <v>0.15</v>
      </c>
      <c r="D54" s="32">
        <v>0.15</v>
      </c>
      <c r="E54" s="32">
        <v>0.15</v>
      </c>
      <c r="F54" s="32">
        <v>0.0</v>
      </c>
      <c r="G54" s="32">
        <v>0.0</v>
      </c>
      <c r="H54" s="32">
        <v>0.25</v>
      </c>
      <c r="I54" s="32">
        <v>0.0</v>
      </c>
      <c r="J54" s="32">
        <v>0.0</v>
      </c>
      <c r="K54" s="32">
        <v>0.15</v>
      </c>
      <c r="L54" s="32">
        <v>0.15</v>
      </c>
      <c r="M54" s="32">
        <v>0.0</v>
      </c>
      <c r="N54" s="34">
        <f t="shared" si="1"/>
        <v>1</v>
      </c>
    </row>
    <row r="55" ht="15.75" customHeight="1">
      <c r="A55" s="30" t="s">
        <v>124</v>
      </c>
      <c r="B55" s="32">
        <v>0.0</v>
      </c>
      <c r="C55" s="32">
        <v>0.25</v>
      </c>
      <c r="D55" s="32">
        <v>0.15</v>
      </c>
      <c r="E55" s="32">
        <v>0.1</v>
      </c>
      <c r="F55" s="32">
        <v>0.0</v>
      </c>
      <c r="G55" s="32">
        <v>0.0</v>
      </c>
      <c r="H55" s="32">
        <v>0.3</v>
      </c>
      <c r="I55" s="32">
        <v>0.0</v>
      </c>
      <c r="J55" s="32">
        <v>0.0</v>
      </c>
      <c r="K55" s="32">
        <v>0.1</v>
      </c>
      <c r="L55" s="32">
        <v>0.1</v>
      </c>
      <c r="M55" s="32">
        <v>0.0</v>
      </c>
      <c r="N55" s="34">
        <f t="shared" si="1"/>
        <v>1</v>
      </c>
    </row>
    <row r="56" ht="15.75" customHeight="1">
      <c r="A56" s="22" t="s">
        <v>126</v>
      </c>
    </row>
    <row r="57" ht="15.75" customHeight="1"/>
    <row r="58" ht="15.75" customHeight="1">
      <c r="A58" s="45" t="s">
        <v>127</v>
      </c>
      <c r="B58" s="39">
        <v>2026.0</v>
      </c>
      <c r="C58" s="39">
        <v>2027.0</v>
      </c>
      <c r="D58" s="39">
        <v>2028.0</v>
      </c>
      <c r="E58" s="39">
        <v>2029.0</v>
      </c>
      <c r="F58" s="39">
        <v>2030.0</v>
      </c>
      <c r="G58" s="39">
        <v>2031.0</v>
      </c>
      <c r="H58" s="39">
        <v>2032.0</v>
      </c>
      <c r="I58" s="39">
        <v>2033.0</v>
      </c>
      <c r="J58" s="39">
        <v>2034.0</v>
      </c>
      <c r="K58" s="39">
        <v>2035.0</v>
      </c>
    </row>
    <row r="59" ht="15.75" customHeight="1">
      <c r="A59" s="36">
        <v>2026.0</v>
      </c>
      <c r="B59" s="46">
        <f t="shared" ref="B59:K59" si="2">IF(B$58&gt;$A59,0,IF($A59-B$58+1&lt;=5,14,IF($A59-B$58+1&lt;=10,21,28)))</f>
        <v>14</v>
      </c>
      <c r="C59" s="46">
        <f t="shared" si="2"/>
        <v>0</v>
      </c>
      <c r="D59" s="46">
        <f t="shared" si="2"/>
        <v>0</v>
      </c>
      <c r="E59" s="46">
        <f t="shared" si="2"/>
        <v>0</v>
      </c>
      <c r="F59" s="46">
        <f t="shared" si="2"/>
        <v>0</v>
      </c>
      <c r="G59" s="46">
        <f t="shared" si="2"/>
        <v>0</v>
      </c>
      <c r="H59" s="46">
        <f t="shared" si="2"/>
        <v>0</v>
      </c>
      <c r="I59" s="46">
        <f t="shared" si="2"/>
        <v>0</v>
      </c>
      <c r="J59" s="46">
        <f t="shared" si="2"/>
        <v>0</v>
      </c>
      <c r="K59" s="46">
        <f t="shared" si="2"/>
        <v>0</v>
      </c>
    </row>
    <row r="60" ht="15.75" customHeight="1">
      <c r="A60" s="36">
        <v>2027.0</v>
      </c>
      <c r="B60" s="46">
        <f t="shared" ref="B60:K60" si="3">IF(B$58&gt;$A60,0,IF($A60-B$58+1&lt;=5,14,IF($A60-B$58+1&lt;=10,21,28)))</f>
        <v>14</v>
      </c>
      <c r="C60" s="46">
        <f t="shared" si="3"/>
        <v>14</v>
      </c>
      <c r="D60" s="46">
        <f t="shared" si="3"/>
        <v>0</v>
      </c>
      <c r="E60" s="46">
        <f t="shared" si="3"/>
        <v>0</v>
      </c>
      <c r="F60" s="46">
        <f t="shared" si="3"/>
        <v>0</v>
      </c>
      <c r="G60" s="46">
        <f t="shared" si="3"/>
        <v>0</v>
      </c>
      <c r="H60" s="46">
        <f t="shared" si="3"/>
        <v>0</v>
      </c>
      <c r="I60" s="46">
        <f t="shared" si="3"/>
        <v>0</v>
      </c>
      <c r="J60" s="46">
        <f t="shared" si="3"/>
        <v>0</v>
      </c>
      <c r="K60" s="46">
        <f t="shared" si="3"/>
        <v>0</v>
      </c>
    </row>
    <row r="61" ht="15.75" customHeight="1">
      <c r="A61" s="36">
        <v>2028.0</v>
      </c>
      <c r="B61" s="46">
        <f t="shared" ref="B61:K61" si="4">IF(B$58&gt;$A61,0,IF($A61-B$58+1&lt;=5,14,IF($A61-B$58+1&lt;=10,21,28)))</f>
        <v>14</v>
      </c>
      <c r="C61" s="46">
        <f t="shared" si="4"/>
        <v>14</v>
      </c>
      <c r="D61" s="46">
        <f t="shared" si="4"/>
        <v>14</v>
      </c>
      <c r="E61" s="46">
        <f t="shared" si="4"/>
        <v>0</v>
      </c>
      <c r="F61" s="46">
        <f t="shared" si="4"/>
        <v>0</v>
      </c>
      <c r="G61" s="46">
        <f t="shared" si="4"/>
        <v>0</v>
      </c>
      <c r="H61" s="46">
        <f t="shared" si="4"/>
        <v>0</v>
      </c>
      <c r="I61" s="46">
        <f t="shared" si="4"/>
        <v>0</v>
      </c>
      <c r="J61" s="46">
        <f t="shared" si="4"/>
        <v>0</v>
      </c>
      <c r="K61" s="46">
        <f t="shared" si="4"/>
        <v>0</v>
      </c>
    </row>
    <row r="62" ht="15.75" customHeight="1">
      <c r="A62" s="36">
        <v>2029.0</v>
      </c>
      <c r="B62" s="46">
        <f t="shared" ref="B62:K62" si="5">IF(B$58&gt;$A62,0,IF($A62-B$58+1&lt;=5,14,IF($A62-B$58+1&lt;=10,21,28)))</f>
        <v>14</v>
      </c>
      <c r="C62" s="46">
        <f t="shared" si="5"/>
        <v>14</v>
      </c>
      <c r="D62" s="46">
        <f t="shared" si="5"/>
        <v>14</v>
      </c>
      <c r="E62" s="46">
        <f t="shared" si="5"/>
        <v>14</v>
      </c>
      <c r="F62" s="46">
        <f t="shared" si="5"/>
        <v>0</v>
      </c>
      <c r="G62" s="46">
        <f t="shared" si="5"/>
        <v>0</v>
      </c>
      <c r="H62" s="46">
        <f t="shared" si="5"/>
        <v>0</v>
      </c>
      <c r="I62" s="46">
        <f t="shared" si="5"/>
        <v>0</v>
      </c>
      <c r="J62" s="46">
        <f t="shared" si="5"/>
        <v>0</v>
      </c>
      <c r="K62" s="46">
        <f t="shared" si="5"/>
        <v>0</v>
      </c>
    </row>
    <row r="63" ht="15.75" customHeight="1">
      <c r="A63" s="36">
        <v>2030.0</v>
      </c>
      <c r="B63" s="46">
        <f t="shared" ref="B63:K63" si="6">IF(B$58&gt;$A63,0,IF($A63-B$58+1&lt;=5,14,IF($A63-B$58+1&lt;=10,21,28)))</f>
        <v>14</v>
      </c>
      <c r="C63" s="46">
        <f t="shared" si="6"/>
        <v>14</v>
      </c>
      <c r="D63" s="46">
        <f t="shared" si="6"/>
        <v>14</v>
      </c>
      <c r="E63" s="46">
        <f t="shared" si="6"/>
        <v>14</v>
      </c>
      <c r="F63" s="46">
        <f t="shared" si="6"/>
        <v>14</v>
      </c>
      <c r="G63" s="46">
        <f t="shared" si="6"/>
        <v>0</v>
      </c>
      <c r="H63" s="46">
        <f t="shared" si="6"/>
        <v>0</v>
      </c>
      <c r="I63" s="46">
        <f t="shared" si="6"/>
        <v>0</v>
      </c>
      <c r="J63" s="46">
        <f t="shared" si="6"/>
        <v>0</v>
      </c>
      <c r="K63" s="46">
        <f t="shared" si="6"/>
        <v>0</v>
      </c>
    </row>
    <row r="64" ht="15.75" customHeight="1">
      <c r="A64" s="36">
        <v>2031.0</v>
      </c>
      <c r="B64" s="46">
        <f t="shared" ref="B64:K64" si="7">IF(B$58&gt;$A64,0,IF($A64-B$58+1&lt;=5,14,IF($A64-B$58+1&lt;=10,21,28)))</f>
        <v>21</v>
      </c>
      <c r="C64" s="46">
        <f t="shared" si="7"/>
        <v>14</v>
      </c>
      <c r="D64" s="46">
        <f t="shared" si="7"/>
        <v>14</v>
      </c>
      <c r="E64" s="46">
        <f t="shared" si="7"/>
        <v>14</v>
      </c>
      <c r="F64" s="46">
        <f t="shared" si="7"/>
        <v>14</v>
      </c>
      <c r="G64" s="46">
        <f t="shared" si="7"/>
        <v>14</v>
      </c>
      <c r="H64" s="46">
        <f t="shared" si="7"/>
        <v>0</v>
      </c>
      <c r="I64" s="46">
        <f t="shared" si="7"/>
        <v>0</v>
      </c>
      <c r="J64" s="46">
        <f t="shared" si="7"/>
        <v>0</v>
      </c>
      <c r="K64" s="46">
        <f t="shared" si="7"/>
        <v>0</v>
      </c>
    </row>
    <row r="65" ht="15.75" customHeight="1">
      <c r="A65" s="36">
        <v>2032.0</v>
      </c>
      <c r="B65" s="46">
        <f t="shared" ref="B65:K65" si="8">IF(B$58&gt;$A65,0,IF($A65-B$58+1&lt;=5,14,IF($A65-B$58+1&lt;=10,21,28)))</f>
        <v>21</v>
      </c>
      <c r="C65" s="46">
        <f t="shared" si="8"/>
        <v>21</v>
      </c>
      <c r="D65" s="46">
        <f t="shared" si="8"/>
        <v>14</v>
      </c>
      <c r="E65" s="46">
        <f t="shared" si="8"/>
        <v>14</v>
      </c>
      <c r="F65" s="46">
        <f t="shared" si="8"/>
        <v>14</v>
      </c>
      <c r="G65" s="46">
        <f t="shared" si="8"/>
        <v>14</v>
      </c>
      <c r="H65" s="46">
        <f t="shared" si="8"/>
        <v>14</v>
      </c>
      <c r="I65" s="46">
        <f t="shared" si="8"/>
        <v>0</v>
      </c>
      <c r="J65" s="46">
        <f t="shared" si="8"/>
        <v>0</v>
      </c>
      <c r="K65" s="46">
        <f t="shared" si="8"/>
        <v>0</v>
      </c>
    </row>
    <row r="66" ht="15.75" customHeight="1">
      <c r="A66" s="36">
        <v>2033.0</v>
      </c>
      <c r="B66" s="46">
        <f t="shared" ref="B66:K66" si="9">IF(B$58&gt;$A66,0,IF($A66-B$58+1&lt;=5,14,IF($A66-B$58+1&lt;=10,21,28)))</f>
        <v>21</v>
      </c>
      <c r="C66" s="46">
        <f t="shared" si="9"/>
        <v>21</v>
      </c>
      <c r="D66" s="46">
        <f t="shared" si="9"/>
        <v>21</v>
      </c>
      <c r="E66" s="46">
        <f t="shared" si="9"/>
        <v>14</v>
      </c>
      <c r="F66" s="46">
        <f t="shared" si="9"/>
        <v>14</v>
      </c>
      <c r="G66" s="46">
        <f t="shared" si="9"/>
        <v>14</v>
      </c>
      <c r="H66" s="46">
        <f t="shared" si="9"/>
        <v>14</v>
      </c>
      <c r="I66" s="46">
        <f t="shared" si="9"/>
        <v>14</v>
      </c>
      <c r="J66" s="46">
        <f t="shared" si="9"/>
        <v>0</v>
      </c>
      <c r="K66" s="46">
        <f t="shared" si="9"/>
        <v>0</v>
      </c>
    </row>
    <row r="67" ht="15.75" customHeight="1">
      <c r="A67" s="36">
        <v>2034.0</v>
      </c>
      <c r="B67" s="46">
        <f t="shared" ref="B67:K67" si="10">IF(B$58&gt;$A67,0,IF($A67-B$58+1&lt;=5,14,IF($A67-B$58+1&lt;=10,21,28)))</f>
        <v>21</v>
      </c>
      <c r="C67" s="46">
        <f t="shared" si="10"/>
        <v>21</v>
      </c>
      <c r="D67" s="46">
        <f t="shared" si="10"/>
        <v>21</v>
      </c>
      <c r="E67" s="46">
        <f t="shared" si="10"/>
        <v>21</v>
      </c>
      <c r="F67" s="46">
        <f t="shared" si="10"/>
        <v>14</v>
      </c>
      <c r="G67" s="46">
        <f t="shared" si="10"/>
        <v>14</v>
      </c>
      <c r="H67" s="46">
        <f t="shared" si="10"/>
        <v>14</v>
      </c>
      <c r="I67" s="46">
        <f t="shared" si="10"/>
        <v>14</v>
      </c>
      <c r="J67" s="46">
        <f t="shared" si="10"/>
        <v>14</v>
      </c>
      <c r="K67" s="46">
        <f t="shared" si="10"/>
        <v>0</v>
      </c>
    </row>
    <row r="68" ht="15.75" customHeight="1">
      <c r="A68" s="36">
        <v>2035.0</v>
      </c>
      <c r="B68" s="46">
        <f t="shared" ref="B68:K68" si="11">IF(B$58&gt;$A68,0,IF($A68-B$58+1&lt;=5,14,IF($A68-B$58+1&lt;=10,21,28)))</f>
        <v>21</v>
      </c>
      <c r="C68" s="46">
        <f t="shared" si="11"/>
        <v>21</v>
      </c>
      <c r="D68" s="46">
        <f t="shared" si="11"/>
        <v>21</v>
      </c>
      <c r="E68" s="46">
        <f t="shared" si="11"/>
        <v>21</v>
      </c>
      <c r="F68" s="46">
        <f t="shared" si="11"/>
        <v>21</v>
      </c>
      <c r="G68" s="46">
        <f t="shared" si="11"/>
        <v>14</v>
      </c>
      <c r="H68" s="46">
        <f t="shared" si="11"/>
        <v>14</v>
      </c>
      <c r="I68" s="46">
        <f t="shared" si="11"/>
        <v>14</v>
      </c>
      <c r="J68" s="46">
        <f t="shared" si="11"/>
        <v>14</v>
      </c>
      <c r="K68" s="46">
        <f t="shared" si="11"/>
        <v>14</v>
      </c>
    </row>
    <row r="69" ht="15.75" customHeight="1"/>
    <row r="70" ht="15.75" customHeight="1">
      <c r="A70" s="45" t="s">
        <v>172</v>
      </c>
      <c r="B70" s="39">
        <v>2026.0</v>
      </c>
      <c r="C70" s="39">
        <v>2027.0</v>
      </c>
      <c r="D70" s="39">
        <v>2028.0</v>
      </c>
      <c r="E70" s="39">
        <v>2029.0</v>
      </c>
      <c r="F70" s="39">
        <v>2030.0</v>
      </c>
      <c r="G70" s="39">
        <v>2031.0</v>
      </c>
      <c r="H70" s="39">
        <v>2032.0</v>
      </c>
      <c r="I70" s="39">
        <v>2033.0</v>
      </c>
      <c r="J70" s="39">
        <v>2034.0</v>
      </c>
      <c r="K70" s="39">
        <v>2035.0</v>
      </c>
    </row>
    <row r="71" ht="15.75" customHeight="1">
      <c r="A71" s="73" t="s">
        <v>174</v>
      </c>
      <c r="B71" s="36">
        <f t="shared" ref="B71:K71" si="12">B102</f>
        <v>5</v>
      </c>
      <c r="C71" s="36">
        <f t="shared" si="12"/>
        <v>5</v>
      </c>
      <c r="D71" s="36">
        <f t="shared" si="12"/>
        <v>5</v>
      </c>
      <c r="E71" s="36">
        <f t="shared" si="12"/>
        <v>6</v>
      </c>
      <c r="F71" s="36">
        <f t="shared" si="12"/>
        <v>10</v>
      </c>
      <c r="G71" s="36">
        <f t="shared" si="12"/>
        <v>14</v>
      </c>
      <c r="H71" s="36">
        <f t="shared" si="12"/>
        <v>18</v>
      </c>
      <c r="I71" s="36">
        <f t="shared" si="12"/>
        <v>23</v>
      </c>
      <c r="J71" s="36">
        <f t="shared" si="12"/>
        <v>26</v>
      </c>
      <c r="K71" s="36">
        <f t="shared" si="12"/>
        <v>30</v>
      </c>
    </row>
    <row r="72" ht="15.75" customHeight="1">
      <c r="A72" s="30" t="s">
        <v>177</v>
      </c>
      <c r="B72" s="46">
        <f>B71</f>
        <v>5</v>
      </c>
      <c r="C72" s="46">
        <f t="shared" ref="C72:K72" si="13">MAX(0,C71-B71)</f>
        <v>0</v>
      </c>
      <c r="D72" s="46">
        <f t="shared" si="13"/>
        <v>0</v>
      </c>
      <c r="E72" s="46">
        <f t="shared" si="13"/>
        <v>1</v>
      </c>
      <c r="F72" s="46">
        <f t="shared" si="13"/>
        <v>4</v>
      </c>
      <c r="G72" s="46">
        <f t="shared" si="13"/>
        <v>4</v>
      </c>
      <c r="H72" s="46">
        <f t="shared" si="13"/>
        <v>4</v>
      </c>
      <c r="I72" s="46">
        <f t="shared" si="13"/>
        <v>5</v>
      </c>
      <c r="J72" s="46">
        <f t="shared" si="13"/>
        <v>3</v>
      </c>
      <c r="K72" s="46">
        <f t="shared" si="13"/>
        <v>4</v>
      </c>
    </row>
    <row r="73" ht="15.75" customHeight="1">
      <c r="A73" s="30" t="s">
        <v>181</v>
      </c>
      <c r="B73" s="46">
        <f>SUMPRODUCT($B72:$K72,$B59:$K59)</f>
        <v>70</v>
      </c>
      <c r="C73" s="46">
        <f>SUMPRODUCT($B72:$K72,$B60:$K60)</f>
        <v>70</v>
      </c>
      <c r="D73" s="46">
        <f>SUMPRODUCT($B72:$K72,$B61:$K61)</f>
        <v>70</v>
      </c>
      <c r="E73" s="46">
        <f>SUMPRODUCT($B72:$K72,$B62:$K62)</f>
        <v>84</v>
      </c>
      <c r="F73" s="46">
        <f>SUMPRODUCT($B72:$K72,$B63:$K63)</f>
        <v>140</v>
      </c>
      <c r="G73" s="46">
        <f>SUMPRODUCT($B72:$K72,$B64:$K64)</f>
        <v>231</v>
      </c>
      <c r="H73" s="46">
        <f>SUMPRODUCT($B72:$K72,$B65:$K65)</f>
        <v>287</v>
      </c>
      <c r="I73" s="46">
        <f>SUMPRODUCT($B72:$K72,$B66:$K66)</f>
        <v>357</v>
      </c>
      <c r="J73" s="46">
        <f>SUMPRODUCT($B72:$K72,$B67:$K67)</f>
        <v>406</v>
      </c>
      <c r="K73" s="46">
        <f>SUMPRODUCT($B72:$K72,$B68:$K68)</f>
        <v>490</v>
      </c>
    </row>
    <row r="74" ht="15.75" customHeight="1">
      <c r="A74" s="73" t="s">
        <v>196</v>
      </c>
      <c r="B74" s="84">
        <f t="shared" ref="B74:K74" si="14">B73*$B$49*$B$50</f>
        <v>375</v>
      </c>
      <c r="C74" s="84">
        <f t="shared" si="14"/>
        <v>375</v>
      </c>
      <c r="D74" s="84">
        <f t="shared" si="14"/>
        <v>375</v>
      </c>
      <c r="E74" s="84">
        <f t="shared" si="14"/>
        <v>450</v>
      </c>
      <c r="F74" s="84">
        <f t="shared" si="14"/>
        <v>750</v>
      </c>
      <c r="G74" s="84">
        <f t="shared" si="14"/>
        <v>1237.5</v>
      </c>
      <c r="H74" s="84">
        <f t="shared" si="14"/>
        <v>1537.5</v>
      </c>
      <c r="I74" s="84">
        <f t="shared" si="14"/>
        <v>1912.5</v>
      </c>
      <c r="J74" s="84">
        <f t="shared" si="14"/>
        <v>2175</v>
      </c>
      <c r="K74" s="84">
        <f t="shared" si="14"/>
        <v>2625</v>
      </c>
    </row>
    <row r="75" ht="15.75" customHeight="1">
      <c r="A75" s="73" t="s">
        <v>199</v>
      </c>
      <c r="B75" s="36">
        <f t="shared" ref="B75:K75" si="15">B104</f>
        <v>0</v>
      </c>
      <c r="C75" s="36">
        <f t="shared" si="15"/>
        <v>0</v>
      </c>
      <c r="D75" s="36">
        <f t="shared" si="15"/>
        <v>0</v>
      </c>
      <c r="E75" s="36">
        <f t="shared" si="15"/>
        <v>0</v>
      </c>
      <c r="F75" s="36">
        <f t="shared" si="15"/>
        <v>0</v>
      </c>
      <c r="G75" s="36">
        <f t="shared" si="15"/>
        <v>0</v>
      </c>
      <c r="H75" s="36">
        <f t="shared" si="15"/>
        <v>1</v>
      </c>
      <c r="I75" s="36">
        <f t="shared" si="15"/>
        <v>2</v>
      </c>
      <c r="J75" s="36">
        <f t="shared" si="15"/>
        <v>4</v>
      </c>
      <c r="K75" s="36">
        <f t="shared" si="15"/>
        <v>6</v>
      </c>
    </row>
    <row r="76" ht="15.75" customHeight="1">
      <c r="A76" s="30" t="s">
        <v>201</v>
      </c>
      <c r="B76" s="46">
        <f>B75</f>
        <v>0</v>
      </c>
      <c r="C76" s="46">
        <f t="shared" ref="C76:K76" si="16">MAX(0,C75-B75)</f>
        <v>0</v>
      </c>
      <c r="D76" s="46">
        <f t="shared" si="16"/>
        <v>0</v>
      </c>
      <c r="E76" s="46">
        <f t="shared" si="16"/>
        <v>0</v>
      </c>
      <c r="F76" s="46">
        <f t="shared" si="16"/>
        <v>0</v>
      </c>
      <c r="G76" s="46">
        <f t="shared" si="16"/>
        <v>0</v>
      </c>
      <c r="H76" s="46">
        <f t="shared" si="16"/>
        <v>1</v>
      </c>
      <c r="I76" s="46">
        <f t="shared" si="16"/>
        <v>1</v>
      </c>
      <c r="J76" s="46">
        <f t="shared" si="16"/>
        <v>2</v>
      </c>
      <c r="K76" s="46">
        <f t="shared" si="16"/>
        <v>2</v>
      </c>
    </row>
    <row r="77" ht="15.75" customHeight="1">
      <c r="A77" s="30" t="s">
        <v>204</v>
      </c>
      <c r="B77" s="46">
        <f>SUMPRODUCT($B76:$K76,$B59:$K59)</f>
        <v>0</v>
      </c>
      <c r="C77" s="46">
        <f>SUMPRODUCT($B76:$K76,$B60:$K60)</f>
        <v>0</v>
      </c>
      <c r="D77" s="46">
        <f>SUMPRODUCT($B76:$K76,$B61:$K61)</f>
        <v>0</v>
      </c>
      <c r="E77" s="46">
        <f>SUMPRODUCT($B76:$K76,$B62:$K62)</f>
        <v>0</v>
      </c>
      <c r="F77" s="46">
        <f>SUMPRODUCT($B76:$K76,$B63:$K63)</f>
        <v>0</v>
      </c>
      <c r="G77" s="46">
        <f>SUMPRODUCT($B76:$K76,$B64:$K64)</f>
        <v>0</v>
      </c>
      <c r="H77" s="46">
        <f>SUMPRODUCT($B76:$K76,$B65:$K65)</f>
        <v>14</v>
      </c>
      <c r="I77" s="46">
        <f>SUMPRODUCT($B76:$K76,$B66:$K66)</f>
        <v>28</v>
      </c>
      <c r="J77" s="46">
        <f>SUMPRODUCT($B76:$K76,$B67:$K67)</f>
        <v>56</v>
      </c>
      <c r="K77" s="46">
        <f>SUMPRODUCT($B76:$K76,$B68:$K68)</f>
        <v>84</v>
      </c>
    </row>
    <row r="78" ht="15.75" customHeight="1">
      <c r="A78" s="73" t="s">
        <v>206</v>
      </c>
      <c r="B78" s="84">
        <f t="shared" ref="B78:K78" si="17">B77*$B$49*$B$50</f>
        <v>0</v>
      </c>
      <c r="C78" s="84">
        <f t="shared" si="17"/>
        <v>0</v>
      </c>
      <c r="D78" s="84">
        <f t="shared" si="17"/>
        <v>0</v>
      </c>
      <c r="E78" s="84">
        <f t="shared" si="17"/>
        <v>0</v>
      </c>
      <c r="F78" s="84">
        <f t="shared" si="17"/>
        <v>0</v>
      </c>
      <c r="G78" s="84">
        <f t="shared" si="17"/>
        <v>0</v>
      </c>
      <c r="H78" s="84">
        <f t="shared" si="17"/>
        <v>75</v>
      </c>
      <c r="I78" s="84">
        <f t="shared" si="17"/>
        <v>150</v>
      </c>
      <c r="J78" s="84">
        <f t="shared" si="17"/>
        <v>300</v>
      </c>
      <c r="K78" s="84">
        <f t="shared" si="17"/>
        <v>450</v>
      </c>
    </row>
    <row r="79" ht="15.75" customHeight="1">
      <c r="A79" s="73" t="s">
        <v>207</v>
      </c>
      <c r="B79" s="36">
        <f t="shared" ref="B79:K79" si="18">B103</f>
        <v>0</v>
      </c>
      <c r="C79" s="36">
        <f t="shared" si="18"/>
        <v>2</v>
      </c>
      <c r="D79" s="36">
        <f t="shared" si="18"/>
        <v>3</v>
      </c>
      <c r="E79" s="36">
        <f t="shared" si="18"/>
        <v>6</v>
      </c>
      <c r="F79" s="36">
        <f t="shared" si="18"/>
        <v>9</v>
      </c>
      <c r="G79" s="36">
        <f t="shared" si="18"/>
        <v>12</v>
      </c>
      <c r="H79" s="36">
        <f t="shared" si="18"/>
        <v>14</v>
      </c>
      <c r="I79" s="36">
        <f t="shared" si="18"/>
        <v>16</v>
      </c>
      <c r="J79" s="36">
        <f t="shared" si="18"/>
        <v>16</v>
      </c>
      <c r="K79" s="36">
        <f t="shared" si="18"/>
        <v>16</v>
      </c>
    </row>
    <row r="80" ht="15.75" customHeight="1">
      <c r="A80" s="30" t="s">
        <v>210</v>
      </c>
      <c r="B80" s="46">
        <f>B79</f>
        <v>0</v>
      </c>
      <c r="C80" s="46">
        <f t="shared" ref="C80:K80" si="19">MAX(0,C79-B79)</f>
        <v>2</v>
      </c>
      <c r="D80" s="46">
        <f t="shared" si="19"/>
        <v>1</v>
      </c>
      <c r="E80" s="46">
        <f t="shared" si="19"/>
        <v>3</v>
      </c>
      <c r="F80" s="46">
        <f t="shared" si="19"/>
        <v>3</v>
      </c>
      <c r="G80" s="46">
        <f t="shared" si="19"/>
        <v>3</v>
      </c>
      <c r="H80" s="46">
        <f t="shared" si="19"/>
        <v>2</v>
      </c>
      <c r="I80" s="46">
        <f t="shared" si="19"/>
        <v>2</v>
      </c>
      <c r="J80" s="46">
        <f t="shared" si="19"/>
        <v>0</v>
      </c>
      <c r="K80" s="46">
        <f t="shared" si="19"/>
        <v>0</v>
      </c>
    </row>
    <row r="81" ht="15.75" customHeight="1">
      <c r="A81" s="30" t="s">
        <v>211</v>
      </c>
      <c r="B81" s="46">
        <f>SUMPRODUCT($B80:$K80,$B59:$K59)</f>
        <v>0</v>
      </c>
      <c r="C81" s="46">
        <f>SUMPRODUCT($B80:$K80,$B60:$K60)</f>
        <v>28</v>
      </c>
      <c r="D81" s="46">
        <f>SUMPRODUCT($B80:$K80,$B61:$K61)</f>
        <v>42</v>
      </c>
      <c r="E81" s="46">
        <f>SUMPRODUCT($B80:$K80,$B62:$K62)</f>
        <v>84</v>
      </c>
      <c r="F81" s="46">
        <f>SUMPRODUCT($B80:$K80,$B63:$K63)</f>
        <v>126</v>
      </c>
      <c r="G81" s="46">
        <f>SUMPRODUCT($B80:$K80,$B64:$K64)</f>
        <v>168</v>
      </c>
      <c r="H81" s="46">
        <f>SUMPRODUCT($B80:$K80,$B65:$K65)</f>
        <v>210</v>
      </c>
      <c r="I81" s="46">
        <f>SUMPRODUCT($B80:$K80,$B66:$K66)</f>
        <v>245</v>
      </c>
      <c r="J81" s="46">
        <f>SUMPRODUCT($B80:$K80,$B67:$K67)</f>
        <v>266</v>
      </c>
      <c r="K81" s="46">
        <f>SUMPRODUCT($B80:$K80,$B68:$K68)</f>
        <v>287</v>
      </c>
    </row>
    <row r="82" ht="15.75" customHeight="1">
      <c r="A82" s="73" t="s">
        <v>215</v>
      </c>
      <c r="B82" s="84">
        <f t="shared" ref="B82:K82" si="20">B81*$B$49*$B$50</f>
        <v>0</v>
      </c>
      <c r="C82" s="84">
        <f t="shared" si="20"/>
        <v>150</v>
      </c>
      <c r="D82" s="84">
        <f t="shared" si="20"/>
        <v>225</v>
      </c>
      <c r="E82" s="84">
        <f t="shared" si="20"/>
        <v>450</v>
      </c>
      <c r="F82" s="84">
        <f t="shared" si="20"/>
        <v>675</v>
      </c>
      <c r="G82" s="84">
        <f t="shared" si="20"/>
        <v>900</v>
      </c>
      <c r="H82" s="84">
        <f t="shared" si="20"/>
        <v>1125</v>
      </c>
      <c r="I82" s="84">
        <f t="shared" si="20"/>
        <v>1312.5</v>
      </c>
      <c r="J82" s="84">
        <f t="shared" si="20"/>
        <v>1425</v>
      </c>
      <c r="K82" s="84">
        <f t="shared" si="20"/>
        <v>1537.5</v>
      </c>
    </row>
    <row r="83" ht="15.75" customHeight="1">
      <c r="A83" s="73" t="s">
        <v>217</v>
      </c>
      <c r="B83" s="36">
        <f t="shared" ref="B83:K83" si="21">B105</f>
        <v>0</v>
      </c>
      <c r="C83" s="36">
        <f t="shared" si="21"/>
        <v>0</v>
      </c>
      <c r="D83" s="36">
        <f t="shared" si="21"/>
        <v>0</v>
      </c>
      <c r="E83" s="36">
        <f t="shared" si="21"/>
        <v>0</v>
      </c>
      <c r="F83" s="36">
        <f t="shared" si="21"/>
        <v>0</v>
      </c>
      <c r="G83" s="36">
        <f t="shared" si="21"/>
        <v>0</v>
      </c>
      <c r="H83" s="36">
        <f t="shared" si="21"/>
        <v>2</v>
      </c>
      <c r="I83" s="36">
        <f t="shared" si="21"/>
        <v>2</v>
      </c>
      <c r="J83" s="36">
        <f t="shared" si="21"/>
        <v>2</v>
      </c>
      <c r="K83" s="36">
        <f t="shared" si="21"/>
        <v>2</v>
      </c>
    </row>
    <row r="84" ht="15.75" customHeight="1">
      <c r="A84" s="30" t="s">
        <v>218</v>
      </c>
      <c r="B84" s="46">
        <f>B83</f>
        <v>0</v>
      </c>
      <c r="C84" s="46">
        <f t="shared" ref="C84:K84" si="22">MAX(0,C83-B83)</f>
        <v>0</v>
      </c>
      <c r="D84" s="46">
        <f t="shared" si="22"/>
        <v>0</v>
      </c>
      <c r="E84" s="46">
        <f t="shared" si="22"/>
        <v>0</v>
      </c>
      <c r="F84" s="46">
        <f t="shared" si="22"/>
        <v>0</v>
      </c>
      <c r="G84" s="46">
        <f t="shared" si="22"/>
        <v>0</v>
      </c>
      <c r="H84" s="46">
        <f t="shared" si="22"/>
        <v>2</v>
      </c>
      <c r="I84" s="46">
        <f t="shared" si="22"/>
        <v>0</v>
      </c>
      <c r="J84" s="46">
        <f t="shared" si="22"/>
        <v>0</v>
      </c>
      <c r="K84" s="46">
        <f t="shared" si="22"/>
        <v>0</v>
      </c>
    </row>
    <row r="85" ht="15.75" customHeight="1">
      <c r="A85" s="30" t="s">
        <v>220</v>
      </c>
      <c r="B85" s="46">
        <f>SUMPRODUCT($B84:$K84,$B59:$K59)</f>
        <v>0</v>
      </c>
      <c r="C85" s="46">
        <f>SUMPRODUCT($B84:$K84,$B60:$K60)</f>
        <v>0</v>
      </c>
      <c r="D85" s="46">
        <f>SUMPRODUCT($B84:$K84,$B61:$K61)</f>
        <v>0</v>
      </c>
      <c r="E85" s="46">
        <f>SUMPRODUCT($B84:$K84,$B62:$K62)</f>
        <v>0</v>
      </c>
      <c r="F85" s="46">
        <f>SUMPRODUCT($B84:$K84,$B63:$K63)</f>
        <v>0</v>
      </c>
      <c r="G85" s="46">
        <f>SUMPRODUCT($B84:$K84,$B64:$K64)</f>
        <v>0</v>
      </c>
      <c r="H85" s="46">
        <f>SUMPRODUCT($B84:$K84,$B65:$K65)</f>
        <v>28</v>
      </c>
      <c r="I85" s="46">
        <f>SUMPRODUCT($B84:$K84,$B66:$K66)</f>
        <v>28</v>
      </c>
      <c r="J85" s="46">
        <f>SUMPRODUCT($B84:$K84,$B67:$K67)</f>
        <v>28</v>
      </c>
      <c r="K85" s="46">
        <f>SUMPRODUCT($B84:$K84,$B68:$K68)</f>
        <v>28</v>
      </c>
    </row>
    <row r="86" ht="15.75" customHeight="1">
      <c r="A86" s="73" t="s">
        <v>224</v>
      </c>
      <c r="B86" s="84">
        <f t="shared" ref="B86:K86" si="23">B85*$B$49*$B$50</f>
        <v>0</v>
      </c>
      <c r="C86" s="84">
        <f t="shared" si="23"/>
        <v>0</v>
      </c>
      <c r="D86" s="84">
        <f t="shared" si="23"/>
        <v>0</v>
      </c>
      <c r="E86" s="84">
        <f t="shared" si="23"/>
        <v>0</v>
      </c>
      <c r="F86" s="84">
        <f t="shared" si="23"/>
        <v>0</v>
      </c>
      <c r="G86" s="84">
        <f t="shared" si="23"/>
        <v>0</v>
      </c>
      <c r="H86" s="84">
        <f t="shared" si="23"/>
        <v>150</v>
      </c>
      <c r="I86" s="84">
        <f t="shared" si="23"/>
        <v>150</v>
      </c>
      <c r="J86" s="84">
        <f t="shared" si="23"/>
        <v>150</v>
      </c>
      <c r="K86" s="84">
        <f t="shared" si="23"/>
        <v>150</v>
      </c>
    </row>
    <row r="87" ht="15.75" customHeight="1">
      <c r="A87" s="73" t="s">
        <v>228</v>
      </c>
      <c r="B87" s="36">
        <f t="shared" ref="B87:K87" si="24">B106</f>
        <v>1</v>
      </c>
      <c r="C87" s="36">
        <f t="shared" si="24"/>
        <v>1</v>
      </c>
      <c r="D87" s="36">
        <f t="shared" si="24"/>
        <v>1</v>
      </c>
      <c r="E87" s="36">
        <f t="shared" si="24"/>
        <v>1</v>
      </c>
      <c r="F87" s="36">
        <f t="shared" si="24"/>
        <v>1</v>
      </c>
      <c r="G87" s="36">
        <f t="shared" si="24"/>
        <v>1</v>
      </c>
      <c r="H87" s="36">
        <f t="shared" si="24"/>
        <v>2</v>
      </c>
      <c r="I87" s="36">
        <f t="shared" si="24"/>
        <v>2</v>
      </c>
      <c r="J87" s="36">
        <f t="shared" si="24"/>
        <v>2</v>
      </c>
      <c r="K87" s="36">
        <f t="shared" si="24"/>
        <v>2</v>
      </c>
    </row>
    <row r="88" ht="15.75" customHeight="1">
      <c r="A88" s="30" t="s">
        <v>232</v>
      </c>
      <c r="B88" s="46">
        <f>B87</f>
        <v>1</v>
      </c>
      <c r="C88" s="46">
        <f t="shared" ref="C88:K88" si="25">MAX(0,C87-B87)</f>
        <v>0</v>
      </c>
      <c r="D88" s="46">
        <f t="shared" si="25"/>
        <v>0</v>
      </c>
      <c r="E88" s="46">
        <f t="shared" si="25"/>
        <v>0</v>
      </c>
      <c r="F88" s="46">
        <f t="shared" si="25"/>
        <v>0</v>
      </c>
      <c r="G88" s="46">
        <f t="shared" si="25"/>
        <v>0</v>
      </c>
      <c r="H88" s="46">
        <f t="shared" si="25"/>
        <v>1</v>
      </c>
      <c r="I88" s="46">
        <f t="shared" si="25"/>
        <v>0</v>
      </c>
      <c r="J88" s="46">
        <f t="shared" si="25"/>
        <v>0</v>
      </c>
      <c r="K88" s="46">
        <f t="shared" si="25"/>
        <v>0</v>
      </c>
    </row>
    <row r="89" ht="15.75" customHeight="1">
      <c r="A89" s="30" t="s">
        <v>233</v>
      </c>
      <c r="B89" s="46">
        <f>SUMPRODUCT($B88:$K88,$B59:$K59)</f>
        <v>14</v>
      </c>
      <c r="C89" s="46">
        <f>SUMPRODUCT($B88:$K88,$B60:$K60)</f>
        <v>14</v>
      </c>
      <c r="D89" s="46">
        <f>SUMPRODUCT($B88:$K88,$B61:$K61)</f>
        <v>14</v>
      </c>
      <c r="E89" s="46">
        <f>SUMPRODUCT($B88:$K88,$B62:$K62)</f>
        <v>14</v>
      </c>
      <c r="F89" s="46">
        <f>SUMPRODUCT($B88:$K88,$B63:$K63)</f>
        <v>14</v>
      </c>
      <c r="G89" s="46">
        <f>SUMPRODUCT($B88:$K88,$B64:$K64)</f>
        <v>21</v>
      </c>
      <c r="H89" s="46">
        <f>SUMPRODUCT($B88:$K88,$B65:$K65)</f>
        <v>35</v>
      </c>
      <c r="I89" s="46">
        <f>SUMPRODUCT($B88:$K88,$B66:$K66)</f>
        <v>35</v>
      </c>
      <c r="J89" s="46">
        <f>SUMPRODUCT($B88:$K88,$B67:$K67)</f>
        <v>35</v>
      </c>
      <c r="K89" s="46">
        <f>SUMPRODUCT($B88:$K88,$B68:$K68)</f>
        <v>35</v>
      </c>
    </row>
    <row r="90" ht="15.75" customHeight="1">
      <c r="A90" s="73" t="s">
        <v>240</v>
      </c>
      <c r="B90" s="84">
        <f t="shared" ref="B90:K90" si="26">B89*$B$49*$B$50</f>
        <v>75</v>
      </c>
      <c r="C90" s="84">
        <f t="shared" si="26"/>
        <v>75</v>
      </c>
      <c r="D90" s="84">
        <f t="shared" si="26"/>
        <v>75</v>
      </c>
      <c r="E90" s="84">
        <f t="shared" si="26"/>
        <v>75</v>
      </c>
      <c r="F90" s="84">
        <f t="shared" si="26"/>
        <v>75</v>
      </c>
      <c r="G90" s="84">
        <f t="shared" si="26"/>
        <v>112.5</v>
      </c>
      <c r="H90" s="84">
        <f t="shared" si="26"/>
        <v>187.5</v>
      </c>
      <c r="I90" s="84">
        <f t="shared" si="26"/>
        <v>187.5</v>
      </c>
      <c r="J90" s="84">
        <f t="shared" si="26"/>
        <v>187.5</v>
      </c>
      <c r="K90" s="84">
        <f t="shared" si="26"/>
        <v>187.5</v>
      </c>
    </row>
    <row r="91" ht="15.75" customHeight="1">
      <c r="A91" s="73" t="s">
        <v>243</v>
      </c>
      <c r="B91" s="36">
        <f>'Servicios y Oficinas'!B29+'Servicios y Oficinas'!B30</f>
        <v>4</v>
      </c>
      <c r="C91" s="36">
        <f>'Servicios y Oficinas'!C29+'Servicios y Oficinas'!C30</f>
        <v>4</v>
      </c>
      <c r="D91" s="36">
        <f>'Servicios y Oficinas'!D29+'Servicios y Oficinas'!D30</f>
        <v>5</v>
      </c>
      <c r="E91" s="36">
        <f>'Servicios y Oficinas'!E29+'Servicios y Oficinas'!E30</f>
        <v>5</v>
      </c>
      <c r="F91" s="36">
        <f>'Servicios y Oficinas'!F29+'Servicios y Oficinas'!F30</f>
        <v>6</v>
      </c>
      <c r="G91" s="36">
        <f>'Servicios y Oficinas'!G29+'Servicios y Oficinas'!G30</f>
        <v>6</v>
      </c>
      <c r="H91" s="36">
        <f>'Servicios y Oficinas'!H29+'Servicios y Oficinas'!H30</f>
        <v>7</v>
      </c>
      <c r="I91" s="36">
        <f>'Servicios y Oficinas'!I29+'Servicios y Oficinas'!I30</f>
        <v>7</v>
      </c>
      <c r="J91" s="36">
        <f>'Servicios y Oficinas'!J29+'Servicios y Oficinas'!J30</f>
        <v>7</v>
      </c>
      <c r="K91" s="36">
        <f>'Servicios y Oficinas'!K29+'Servicios y Oficinas'!K30</f>
        <v>7</v>
      </c>
    </row>
    <row r="92" ht="15.75" customHeight="1">
      <c r="A92" s="30" t="s">
        <v>248</v>
      </c>
      <c r="B92" s="46">
        <f>B91</f>
        <v>4</v>
      </c>
      <c r="C92" s="46">
        <f t="shared" ref="C92:K92" si="27">MAX(0,C91-B91)</f>
        <v>0</v>
      </c>
      <c r="D92" s="46">
        <f t="shared" si="27"/>
        <v>1</v>
      </c>
      <c r="E92" s="46">
        <f t="shared" si="27"/>
        <v>0</v>
      </c>
      <c r="F92" s="46">
        <f t="shared" si="27"/>
        <v>1</v>
      </c>
      <c r="G92" s="46">
        <f t="shared" si="27"/>
        <v>0</v>
      </c>
      <c r="H92" s="46">
        <f t="shared" si="27"/>
        <v>1</v>
      </c>
      <c r="I92" s="46">
        <f t="shared" si="27"/>
        <v>0</v>
      </c>
      <c r="J92" s="46">
        <f t="shared" si="27"/>
        <v>0</v>
      </c>
      <c r="K92" s="46">
        <f t="shared" si="27"/>
        <v>0</v>
      </c>
    </row>
    <row r="93" ht="15.75" customHeight="1">
      <c r="A93" s="30" t="s">
        <v>250</v>
      </c>
      <c r="B93" s="46">
        <f>SUMPRODUCT($B92:$K92,$B59:$K59)</f>
        <v>56</v>
      </c>
      <c r="C93" s="46">
        <f>SUMPRODUCT($B92:$K92,$B60:$K60)</f>
        <v>56</v>
      </c>
      <c r="D93" s="46">
        <f>SUMPRODUCT($B92:$K92,$B61:$K61)</f>
        <v>70</v>
      </c>
      <c r="E93" s="46">
        <f>SUMPRODUCT($B92:$K92,$B62:$K62)</f>
        <v>70</v>
      </c>
      <c r="F93" s="46">
        <f>SUMPRODUCT($B92:$K92,$B63:$K63)</f>
        <v>84</v>
      </c>
      <c r="G93" s="46">
        <f>SUMPRODUCT($B92:$K92,$B64:$K64)</f>
        <v>112</v>
      </c>
      <c r="H93" s="46">
        <f>SUMPRODUCT($B92:$K92,$B65:$K65)</f>
        <v>126</v>
      </c>
      <c r="I93" s="46">
        <f>SUMPRODUCT($B92:$K92,$B66:$K66)</f>
        <v>133</v>
      </c>
      <c r="J93" s="46">
        <f>SUMPRODUCT($B92:$K92,$B67:$K67)</f>
        <v>133</v>
      </c>
      <c r="K93" s="46">
        <f>SUMPRODUCT($B92:$K92,$B68:$K68)</f>
        <v>140</v>
      </c>
    </row>
    <row r="94" ht="15.75" customHeight="1">
      <c r="A94" s="73" t="s">
        <v>256</v>
      </c>
      <c r="B94" s="84">
        <f t="shared" ref="B94:K94" si="28">B93*$B$49*$B$50</f>
        <v>300</v>
      </c>
      <c r="C94" s="84">
        <f t="shared" si="28"/>
        <v>300</v>
      </c>
      <c r="D94" s="84">
        <f t="shared" si="28"/>
        <v>375</v>
      </c>
      <c r="E94" s="84">
        <f t="shared" si="28"/>
        <v>375</v>
      </c>
      <c r="F94" s="84">
        <f t="shared" si="28"/>
        <v>450</v>
      </c>
      <c r="G94" s="84">
        <f t="shared" si="28"/>
        <v>600</v>
      </c>
      <c r="H94" s="84">
        <f t="shared" si="28"/>
        <v>675</v>
      </c>
      <c r="I94" s="84">
        <f t="shared" si="28"/>
        <v>712.5</v>
      </c>
      <c r="J94" s="84">
        <f t="shared" si="28"/>
        <v>712.5</v>
      </c>
      <c r="K94" s="84">
        <f t="shared" si="28"/>
        <v>750</v>
      </c>
    </row>
    <row r="95" ht="15.75" customHeight="1">
      <c r="A95" s="73" t="s">
        <v>258</v>
      </c>
      <c r="B95" s="36">
        <f t="shared" ref="B95:K95" si="29">B71+B75+B79+B83+B87+B91</f>
        <v>10</v>
      </c>
      <c r="C95" s="36">
        <f t="shared" si="29"/>
        <v>12</v>
      </c>
      <c r="D95" s="36">
        <f t="shared" si="29"/>
        <v>14</v>
      </c>
      <c r="E95" s="36">
        <f t="shared" si="29"/>
        <v>18</v>
      </c>
      <c r="F95" s="36">
        <f t="shared" si="29"/>
        <v>26</v>
      </c>
      <c r="G95" s="36">
        <f t="shared" si="29"/>
        <v>33</v>
      </c>
      <c r="H95" s="36">
        <f t="shared" si="29"/>
        <v>44</v>
      </c>
      <c r="I95" s="36">
        <f t="shared" si="29"/>
        <v>52</v>
      </c>
      <c r="J95" s="36">
        <f t="shared" si="29"/>
        <v>57</v>
      </c>
      <c r="K95" s="36">
        <f t="shared" si="29"/>
        <v>63</v>
      </c>
    </row>
    <row r="96" ht="15.75" customHeight="1">
      <c r="A96" s="73" t="s">
        <v>259</v>
      </c>
      <c r="B96" s="84">
        <f t="shared" ref="B96:K96" si="30">B73+B77+B81+B85+B89+B93</f>
        <v>140</v>
      </c>
      <c r="C96" s="84">
        <f t="shared" si="30"/>
        <v>168</v>
      </c>
      <c r="D96" s="84">
        <f t="shared" si="30"/>
        <v>196</v>
      </c>
      <c r="E96" s="84">
        <f t="shared" si="30"/>
        <v>252</v>
      </c>
      <c r="F96" s="84">
        <f t="shared" si="30"/>
        <v>364</v>
      </c>
      <c r="G96" s="84">
        <f t="shared" si="30"/>
        <v>532</v>
      </c>
      <c r="H96" s="84">
        <f t="shared" si="30"/>
        <v>700</v>
      </c>
      <c r="I96" s="84">
        <f t="shared" si="30"/>
        <v>826</v>
      </c>
      <c r="J96" s="84">
        <f t="shared" si="30"/>
        <v>924</v>
      </c>
      <c r="K96" s="84">
        <f t="shared" si="30"/>
        <v>1064</v>
      </c>
    </row>
    <row r="97" ht="15.75" customHeight="1">
      <c r="A97" s="103" t="s">
        <v>264</v>
      </c>
      <c r="B97" s="105">
        <f t="shared" ref="B97:K97" si="31">IFERROR(B96/B95,0)</f>
        <v>14</v>
      </c>
      <c r="C97" s="105">
        <f t="shared" si="31"/>
        <v>14</v>
      </c>
      <c r="D97" s="105">
        <f t="shared" si="31"/>
        <v>14</v>
      </c>
      <c r="E97" s="105">
        <f t="shared" si="31"/>
        <v>14</v>
      </c>
      <c r="F97" s="105">
        <f t="shared" si="31"/>
        <v>14</v>
      </c>
      <c r="G97" s="105">
        <f t="shared" si="31"/>
        <v>16.12121212</v>
      </c>
      <c r="H97" s="105">
        <f t="shared" si="31"/>
        <v>15.90909091</v>
      </c>
      <c r="I97" s="105">
        <f t="shared" si="31"/>
        <v>15.88461538</v>
      </c>
      <c r="J97" s="105">
        <f t="shared" si="31"/>
        <v>16.21052632</v>
      </c>
      <c r="K97" s="105">
        <f t="shared" si="31"/>
        <v>16.88888889</v>
      </c>
    </row>
    <row r="98" ht="15.75" customHeight="1"/>
    <row r="99" ht="15.75" customHeight="1"/>
    <row r="100" ht="15.75" customHeight="1">
      <c r="A100" s="45" t="s">
        <v>268</v>
      </c>
      <c r="B100" s="39">
        <v>2026.0</v>
      </c>
      <c r="C100" s="39">
        <v>2027.0</v>
      </c>
      <c r="D100" s="39">
        <v>2028.0</v>
      </c>
      <c r="E100" s="39">
        <v>2029.0</v>
      </c>
      <c r="F100" s="39">
        <v>2030.0</v>
      </c>
      <c r="G100" s="39">
        <v>2031.0</v>
      </c>
      <c r="H100" s="39">
        <v>2032.0</v>
      </c>
      <c r="I100" s="39">
        <v>2033.0</v>
      </c>
      <c r="J100" s="39">
        <v>2034.0</v>
      </c>
      <c r="K100" s="39">
        <v>2035.0</v>
      </c>
    </row>
    <row r="101" ht="15.75" customHeight="1">
      <c r="A101" s="30" t="s">
        <v>270</v>
      </c>
      <c r="B101" s="46">
        <f>B116</f>
        <v>1</v>
      </c>
      <c r="C101" s="46">
        <f>B209</f>
        <v>1</v>
      </c>
      <c r="D101" s="46">
        <f>B302</f>
        <v>1</v>
      </c>
      <c r="E101" s="46">
        <f>B395</f>
        <v>1</v>
      </c>
      <c r="F101" s="46">
        <f>B488</f>
        <v>1</v>
      </c>
      <c r="G101" s="46">
        <f>B581</f>
        <v>1</v>
      </c>
      <c r="H101" s="46">
        <f>B674</f>
        <v>2</v>
      </c>
      <c r="I101" s="46">
        <f>B767</f>
        <v>2</v>
      </c>
      <c r="J101" s="46">
        <f>B860</f>
        <v>2</v>
      </c>
      <c r="K101" s="46">
        <f>B953</f>
        <v>2</v>
      </c>
    </row>
    <row r="102" ht="15.75" customHeight="1">
      <c r="A102" s="30" t="s">
        <v>275</v>
      </c>
      <c r="B102" s="46">
        <f>B118</f>
        <v>5</v>
      </c>
      <c r="C102" s="46">
        <f>B211</f>
        <v>5</v>
      </c>
      <c r="D102" s="46">
        <f>B304</f>
        <v>5</v>
      </c>
      <c r="E102" s="46">
        <f>B397</f>
        <v>6</v>
      </c>
      <c r="F102" s="46">
        <f>B490</f>
        <v>10</v>
      </c>
      <c r="G102" s="46">
        <f>B583</f>
        <v>14</v>
      </c>
      <c r="H102" s="46">
        <f>B676</f>
        <v>18</v>
      </c>
      <c r="I102" s="46">
        <f>B769</f>
        <v>23</v>
      </c>
      <c r="J102" s="46">
        <f>B862</f>
        <v>26</v>
      </c>
      <c r="K102" s="46">
        <f>B955</f>
        <v>30</v>
      </c>
    </row>
    <row r="103" ht="15.75" customHeight="1">
      <c r="A103" s="30" t="s">
        <v>280</v>
      </c>
      <c r="B103" s="46">
        <f>B120</f>
        <v>0</v>
      </c>
      <c r="C103" s="46">
        <f>B213</f>
        <v>2</v>
      </c>
      <c r="D103" s="46">
        <f>B306</f>
        <v>3</v>
      </c>
      <c r="E103" s="46">
        <f>B399</f>
        <v>6</v>
      </c>
      <c r="F103" s="46">
        <f>B492</f>
        <v>9</v>
      </c>
      <c r="G103" s="46">
        <f>B585</f>
        <v>12</v>
      </c>
      <c r="H103" s="46">
        <f>B678</f>
        <v>14</v>
      </c>
      <c r="I103" s="46">
        <f>B771</f>
        <v>16</v>
      </c>
      <c r="J103" s="46">
        <f>B864</f>
        <v>16</v>
      </c>
      <c r="K103" s="46">
        <f>B957</f>
        <v>16</v>
      </c>
    </row>
    <row r="104" ht="15.75" customHeight="1">
      <c r="A104" s="30" t="s">
        <v>284</v>
      </c>
      <c r="B104" s="46">
        <f>B119</f>
        <v>0</v>
      </c>
      <c r="C104" s="46">
        <f>B212</f>
        <v>0</v>
      </c>
      <c r="D104" s="46">
        <f>B305</f>
        <v>0</v>
      </c>
      <c r="E104" s="46">
        <f>B398</f>
        <v>0</v>
      </c>
      <c r="F104" s="46">
        <f>B491</f>
        <v>0</v>
      </c>
      <c r="G104" s="46">
        <f>B584</f>
        <v>0</v>
      </c>
      <c r="H104" s="46">
        <f>B677</f>
        <v>1</v>
      </c>
      <c r="I104" s="46">
        <f>B770</f>
        <v>2</v>
      </c>
      <c r="J104" s="46">
        <f>B863</f>
        <v>4</v>
      </c>
      <c r="K104" s="46">
        <f>B956</f>
        <v>6</v>
      </c>
    </row>
    <row r="105" ht="15.75" customHeight="1">
      <c r="A105" s="30" t="s">
        <v>286</v>
      </c>
      <c r="B105" s="46">
        <f>B121</f>
        <v>0</v>
      </c>
      <c r="C105" s="46">
        <f>B214</f>
        <v>0</v>
      </c>
      <c r="D105" s="46">
        <f>B307</f>
        <v>0</v>
      </c>
      <c r="E105" s="46">
        <f>B400</f>
        <v>0</v>
      </c>
      <c r="F105" s="46">
        <f>B493</f>
        <v>0</v>
      </c>
      <c r="G105" s="46">
        <f>B586</f>
        <v>0</v>
      </c>
      <c r="H105" s="46">
        <f>B679</f>
        <v>2</v>
      </c>
      <c r="I105" s="46">
        <f>B772</f>
        <v>2</v>
      </c>
      <c r="J105" s="46">
        <f>B865</f>
        <v>2</v>
      </c>
      <c r="K105" s="46">
        <f>B958</f>
        <v>2</v>
      </c>
    </row>
    <row r="106" ht="15.75" customHeight="1">
      <c r="A106" s="30" t="s">
        <v>302</v>
      </c>
      <c r="B106" s="46">
        <f>B116</f>
        <v>1</v>
      </c>
      <c r="C106" s="46">
        <f>B209</f>
        <v>1</v>
      </c>
      <c r="D106" s="46">
        <f>B302</f>
        <v>1</v>
      </c>
      <c r="E106" s="46">
        <f>B395</f>
        <v>1</v>
      </c>
      <c r="F106" s="46">
        <f>B488</f>
        <v>1</v>
      </c>
      <c r="G106" s="46">
        <f>B581</f>
        <v>1</v>
      </c>
      <c r="H106" s="46">
        <f>B674</f>
        <v>2</v>
      </c>
      <c r="I106" s="46">
        <f>B767</f>
        <v>2</v>
      </c>
      <c r="J106" s="46">
        <f>B860</f>
        <v>2</v>
      </c>
      <c r="K106" s="46">
        <f>B953</f>
        <v>2</v>
      </c>
    </row>
    <row r="107" ht="15.75" customHeight="1">
      <c r="A107" s="103" t="s">
        <v>305</v>
      </c>
      <c r="B107" s="115">
        <f t="shared" ref="B107:K107" si="32">SUM(B102:B106)</f>
        <v>6</v>
      </c>
      <c r="C107" s="115">
        <f t="shared" si="32"/>
        <v>8</v>
      </c>
      <c r="D107" s="115">
        <f t="shared" si="32"/>
        <v>9</v>
      </c>
      <c r="E107" s="115">
        <f t="shared" si="32"/>
        <v>13</v>
      </c>
      <c r="F107" s="115">
        <f t="shared" si="32"/>
        <v>20</v>
      </c>
      <c r="G107" s="115">
        <f t="shared" si="32"/>
        <v>27</v>
      </c>
      <c r="H107" s="115">
        <f t="shared" si="32"/>
        <v>37</v>
      </c>
      <c r="I107" s="115">
        <f t="shared" si="32"/>
        <v>45</v>
      </c>
      <c r="J107" s="115">
        <f t="shared" si="32"/>
        <v>50</v>
      </c>
      <c r="K107" s="115">
        <f t="shared" si="32"/>
        <v>56</v>
      </c>
    </row>
    <row r="108" ht="15.75" customHeight="1">
      <c r="A108" s="30" t="s">
        <v>309</v>
      </c>
      <c r="B108" s="64">
        <f>N152</f>
        <v>0</v>
      </c>
      <c r="C108" s="64">
        <f>N245</f>
        <v>0</v>
      </c>
      <c r="D108" s="64">
        <f>N338</f>
        <v>108.586578</v>
      </c>
      <c r="E108" s="64">
        <f>N431</f>
        <v>416.1823351</v>
      </c>
      <c r="F108" s="64">
        <f>N524</f>
        <v>609.8603136</v>
      </c>
      <c r="G108" s="64">
        <f>N617</f>
        <v>996.5814517</v>
      </c>
      <c r="H108" s="64">
        <f>N710</f>
        <v>1305.716551</v>
      </c>
      <c r="I108" s="64">
        <f>N803</f>
        <v>1217.528785</v>
      </c>
      <c r="J108" s="64">
        <f>N896</f>
        <v>1217.49809</v>
      </c>
      <c r="K108" s="64">
        <f>N989</f>
        <v>1180.838016</v>
      </c>
    </row>
    <row r="109" ht="15.75" customHeight="1">
      <c r="A109" s="30" t="s">
        <v>316</v>
      </c>
      <c r="B109" s="36">
        <f t="shared" ref="B109:K109" si="33">IFERROR(B108/(B102+B103+B104+B105),0)</f>
        <v>0</v>
      </c>
      <c r="C109" s="36">
        <f t="shared" si="33"/>
        <v>0</v>
      </c>
      <c r="D109" s="36">
        <f t="shared" si="33"/>
        <v>13.57332225</v>
      </c>
      <c r="E109" s="36">
        <f t="shared" si="33"/>
        <v>34.68186126</v>
      </c>
      <c r="F109" s="36">
        <f t="shared" si="33"/>
        <v>32.09791124</v>
      </c>
      <c r="G109" s="36">
        <f t="shared" si="33"/>
        <v>38.33005583</v>
      </c>
      <c r="H109" s="36">
        <f t="shared" si="33"/>
        <v>37.30618718</v>
      </c>
      <c r="I109" s="36">
        <f t="shared" si="33"/>
        <v>28.3146229</v>
      </c>
      <c r="J109" s="36">
        <f t="shared" si="33"/>
        <v>25.36454354</v>
      </c>
      <c r="K109" s="36">
        <f t="shared" si="33"/>
        <v>21.86737066</v>
      </c>
    </row>
    <row r="110" ht="15.75" customHeight="1">
      <c r="A110" s="30" t="s">
        <v>288</v>
      </c>
      <c r="B110" s="64">
        <f>K134+L134</f>
        <v>792.21</v>
      </c>
      <c r="C110" s="64">
        <f>K227+L227</f>
        <v>1240.27</v>
      </c>
      <c r="D110" s="64">
        <f>K320+L320</f>
        <v>1765.176545</v>
      </c>
      <c r="E110" s="64">
        <f>K413+L413</f>
        <v>1771.700827</v>
      </c>
      <c r="F110" s="64">
        <f>K506+L506</f>
        <v>2810.603833</v>
      </c>
      <c r="G110" s="64">
        <f>K599+L599</f>
        <v>3950.681101</v>
      </c>
      <c r="H110" s="64">
        <f>K692+L692</f>
        <v>3738.04053</v>
      </c>
      <c r="I110" s="64">
        <f>K785+L785</f>
        <v>5096.584667</v>
      </c>
      <c r="J110" s="64">
        <f>K878+L878</f>
        <v>5586.142118</v>
      </c>
      <c r="K110" s="64">
        <f>K971+L971</f>
        <v>6343.135143</v>
      </c>
    </row>
    <row r="111" ht="15.75" customHeight="1">
      <c r="A111" s="30" t="s">
        <v>327</v>
      </c>
      <c r="B111" s="64">
        <f>SUM(B124:M127)</f>
        <v>375</v>
      </c>
      <c r="C111" s="64">
        <f>SUM(B217:M220)</f>
        <v>525</v>
      </c>
      <c r="D111" s="64">
        <f>SUM(B310:M313)</f>
        <v>600</v>
      </c>
      <c r="E111" s="64">
        <f>SUM(B403:M406)</f>
        <v>900</v>
      </c>
      <c r="F111" s="64">
        <f>SUM(B496:M499)</f>
        <v>1425</v>
      </c>
      <c r="G111" s="64">
        <f>SUM(B589:M592)</f>
        <v>2137.5</v>
      </c>
      <c r="H111" s="64">
        <f>SUM(B682:M685)</f>
        <v>2887.5</v>
      </c>
      <c r="I111" s="64">
        <f>SUM(B775:M778)</f>
        <v>3525</v>
      </c>
      <c r="J111" s="64">
        <f>SUM(B868:M871)</f>
        <v>4050</v>
      </c>
      <c r="K111" s="64">
        <f>SUM(B961:M964)</f>
        <v>4762.5</v>
      </c>
    </row>
    <row r="112" ht="15.75" customHeight="1">
      <c r="A112" s="30" t="s">
        <v>264</v>
      </c>
      <c r="B112" s="63">
        <f t="shared" ref="B112:K112" si="34">B97</f>
        <v>14</v>
      </c>
      <c r="C112" s="63">
        <f t="shared" si="34"/>
        <v>14</v>
      </c>
      <c r="D112" s="63">
        <f t="shared" si="34"/>
        <v>14</v>
      </c>
      <c r="E112" s="63">
        <f t="shared" si="34"/>
        <v>14</v>
      </c>
      <c r="F112" s="63">
        <f t="shared" si="34"/>
        <v>14</v>
      </c>
      <c r="G112" s="63">
        <f t="shared" si="34"/>
        <v>16.12121212</v>
      </c>
      <c r="H112" s="63">
        <f t="shared" si="34"/>
        <v>15.90909091</v>
      </c>
      <c r="I112" s="63">
        <f t="shared" si="34"/>
        <v>15.88461538</v>
      </c>
      <c r="J112" s="63">
        <f t="shared" si="34"/>
        <v>16.21052632</v>
      </c>
      <c r="K112" s="63">
        <f t="shared" si="34"/>
        <v>16.88888889</v>
      </c>
    </row>
    <row r="113" ht="15.75" customHeight="1"/>
    <row r="114" ht="15.75" customHeight="1"/>
    <row r="115" ht="15.75" customHeight="1">
      <c r="A115" s="45" t="s">
        <v>331</v>
      </c>
      <c r="B115" s="69"/>
      <c r="C115" s="69"/>
      <c r="D115" s="69"/>
      <c r="E115" s="69"/>
      <c r="F115" s="69"/>
      <c r="G115" s="69"/>
      <c r="H115" s="69"/>
      <c r="I115" s="69"/>
      <c r="J115" s="69"/>
      <c r="K115" s="69"/>
      <c r="L115" s="69"/>
      <c r="M115" s="69"/>
      <c r="N115" s="69"/>
    </row>
    <row r="116" ht="15.75" customHeight="1">
      <c r="A116" s="73" t="s">
        <v>270</v>
      </c>
      <c r="B116" s="36">
        <f>'Resumen Capacidad'!B85</f>
        <v>1</v>
      </c>
    </row>
    <row r="117" ht="15.75" customHeight="1">
      <c r="A117" s="30" t="s">
        <v>333</v>
      </c>
      <c r="B117" s="84">
        <f>IF($B$5=1,MAX(MAX(B131:L131),M130),MAX(B131:M131))</f>
        <v>218.211434</v>
      </c>
    </row>
    <row r="118" ht="15.75" customHeight="1">
      <c r="A118" s="73" t="s">
        <v>275</v>
      </c>
      <c r="B118" s="115">
        <f>MIN('Resumen Capacidad'!B$49+'Resumen Capacidad'!B$228+'Resumen Capacidad'!B$235,MAX($B$13,ROUNDUP(B117/$B$11,0)))</f>
        <v>5</v>
      </c>
      <c r="C118" s="22" t="s">
        <v>339</v>
      </c>
    </row>
    <row r="119" ht="15.75" customHeight="1">
      <c r="A119" s="73" t="s">
        <v>284</v>
      </c>
      <c r="B119" s="115">
        <f>IF(B116=2,ROUNDUP(MAX(B137:M137)/$B$11,0),0)</f>
        <v>0</v>
      </c>
      <c r="C119" s="22" t="s">
        <v>341</v>
      </c>
    </row>
    <row r="120" ht="15.75" customHeight="1">
      <c r="A120" s="73" t="s">
        <v>280</v>
      </c>
      <c r="B120" s="115">
        <f>IF(MAX(B147:M147)=0,0,MAX(Parametros!$B$73,ROUNDUP(MAX(B147:M147)/$B$11,0)))</f>
        <v>0</v>
      </c>
      <c r="C120" s="22" t="s">
        <v>345</v>
      </c>
    </row>
    <row r="121" ht="15.75" customHeight="1">
      <c r="A121" s="73" t="s">
        <v>286</v>
      </c>
      <c r="B121" s="115">
        <f>IF(B116=2,MAX(1,ROUNDUP(MAX(B141:M141)/$B$11,0)),0)</f>
        <v>0</v>
      </c>
      <c r="C121" s="22" t="s">
        <v>347</v>
      </c>
    </row>
    <row r="122" ht="15.75" customHeight="1"/>
    <row r="123" ht="15.75" customHeight="1">
      <c r="A123" s="29" t="s">
        <v>188</v>
      </c>
      <c r="B123" s="29" t="s">
        <v>109</v>
      </c>
      <c r="C123" s="29" t="s">
        <v>110</v>
      </c>
      <c r="D123" s="29" t="s">
        <v>111</v>
      </c>
      <c r="E123" s="29" t="s">
        <v>112</v>
      </c>
      <c r="F123" s="29" t="s">
        <v>113</v>
      </c>
      <c r="G123" s="29" t="s">
        <v>114</v>
      </c>
      <c r="H123" s="29" t="s">
        <v>115</v>
      </c>
      <c r="I123" s="29" t="s">
        <v>116</v>
      </c>
      <c r="J123" s="29" t="s">
        <v>117</v>
      </c>
      <c r="K123" s="29" t="s">
        <v>118</v>
      </c>
      <c r="L123" s="29" t="s">
        <v>119</v>
      </c>
      <c r="M123" s="29" t="s">
        <v>120</v>
      </c>
      <c r="N123" s="29" t="s">
        <v>348</v>
      </c>
    </row>
    <row r="124" ht="15.75" customHeight="1">
      <c r="A124" s="30" t="s">
        <v>349</v>
      </c>
      <c r="B124" s="64">
        <f>B$74*B$53</f>
        <v>0</v>
      </c>
      <c r="C124" s="64">
        <f>B$74*C$53</f>
        <v>56.25</v>
      </c>
      <c r="D124" s="64">
        <f>B$74*D$53</f>
        <v>75</v>
      </c>
      <c r="E124" s="64">
        <f>B$74*E$53</f>
        <v>75</v>
      </c>
      <c r="F124" s="64">
        <f>B$74*F$53</f>
        <v>0</v>
      </c>
      <c r="G124" s="64">
        <f>B$74*G$53</f>
        <v>0</v>
      </c>
      <c r="H124" s="64">
        <f>B$74*H$53</f>
        <v>93.75</v>
      </c>
      <c r="I124" s="64">
        <f>B$74*I$53</f>
        <v>0</v>
      </c>
      <c r="J124" s="64">
        <f>B$74*J$53</f>
        <v>0</v>
      </c>
      <c r="K124" s="64">
        <f>B$74*K$53</f>
        <v>37.5</v>
      </c>
      <c r="L124" s="64">
        <f>B$74*L$53</f>
        <v>37.5</v>
      </c>
      <c r="M124" s="64">
        <f>B$74*M$53</f>
        <v>0</v>
      </c>
      <c r="N124" s="84">
        <f t="shared" ref="N124:N147" si="35">MAX(B124:M124)</f>
        <v>93.75</v>
      </c>
    </row>
    <row r="125" ht="15.75" customHeight="1">
      <c r="A125" s="30" t="s">
        <v>359</v>
      </c>
      <c r="B125" s="64">
        <f>B$78*B$53</f>
        <v>0</v>
      </c>
      <c r="C125" s="64">
        <f>B$78*C$53</f>
        <v>0</v>
      </c>
      <c r="D125" s="64">
        <f>B$78*D$53</f>
        <v>0</v>
      </c>
      <c r="E125" s="64">
        <f>B$78*E$53</f>
        <v>0</v>
      </c>
      <c r="F125" s="64">
        <f>B$78*F$53</f>
        <v>0</v>
      </c>
      <c r="G125" s="64">
        <f>B$78*G$53</f>
        <v>0</v>
      </c>
      <c r="H125" s="64">
        <f>B$78*H$53</f>
        <v>0</v>
      </c>
      <c r="I125" s="64">
        <f>B$78*I$53</f>
        <v>0</v>
      </c>
      <c r="J125" s="64">
        <f>B$78*J$53</f>
        <v>0</v>
      </c>
      <c r="K125" s="64">
        <f>B$78*K$53</f>
        <v>0</v>
      </c>
      <c r="L125" s="64">
        <f>B$78*L$53</f>
        <v>0</v>
      </c>
      <c r="M125" s="64">
        <f>B$78*M$53</f>
        <v>0</v>
      </c>
      <c r="N125" s="84">
        <f t="shared" si="35"/>
        <v>0</v>
      </c>
    </row>
    <row r="126" ht="15.75" customHeight="1">
      <c r="A126" s="30" t="s">
        <v>375</v>
      </c>
      <c r="B126" s="64">
        <f>B$82*B$54</f>
        <v>0</v>
      </c>
      <c r="C126" s="64">
        <f>B$82*C$54</f>
        <v>0</v>
      </c>
      <c r="D126" s="64">
        <f>B$82*D$54</f>
        <v>0</v>
      </c>
      <c r="E126" s="64">
        <f>B$82*E$54</f>
        <v>0</v>
      </c>
      <c r="F126" s="64">
        <f>B$82*F$54</f>
        <v>0</v>
      </c>
      <c r="G126" s="64">
        <f>B$82*G$54</f>
        <v>0</v>
      </c>
      <c r="H126" s="64">
        <f>B$82*H$54</f>
        <v>0</v>
      </c>
      <c r="I126" s="64">
        <f>B$82*I$54</f>
        <v>0</v>
      </c>
      <c r="J126" s="64">
        <f>B$82*J$54</f>
        <v>0</v>
      </c>
      <c r="K126" s="64">
        <f>B$82*K$54</f>
        <v>0</v>
      </c>
      <c r="L126" s="64">
        <f>B$82*L$54</f>
        <v>0</v>
      </c>
      <c r="M126" s="64">
        <f>B$82*M$54</f>
        <v>0</v>
      </c>
      <c r="N126" s="84">
        <f t="shared" si="35"/>
        <v>0</v>
      </c>
    </row>
    <row r="127" ht="15.75" customHeight="1">
      <c r="A127" s="30" t="s">
        <v>380</v>
      </c>
      <c r="B127" s="64">
        <f>B$86*B$54</f>
        <v>0</v>
      </c>
      <c r="C127" s="64">
        <f>B$86*C$54</f>
        <v>0</v>
      </c>
      <c r="D127" s="64">
        <f>B$86*D$54</f>
        <v>0</v>
      </c>
      <c r="E127" s="64">
        <f>B$86*E$54</f>
        <v>0</v>
      </c>
      <c r="F127" s="64">
        <f>B$86*F$54</f>
        <v>0</v>
      </c>
      <c r="G127" s="64">
        <f>B$86*G$54</f>
        <v>0</v>
      </c>
      <c r="H127" s="64">
        <f>B$86*H$54</f>
        <v>0</v>
      </c>
      <c r="I127" s="64">
        <f>B$86*I$54</f>
        <v>0</v>
      </c>
      <c r="J127" s="64">
        <f>B$86*J$54</f>
        <v>0</v>
      </c>
      <c r="K127" s="64">
        <f>B$86*K$54</f>
        <v>0</v>
      </c>
      <c r="L127" s="64">
        <f>B$86*L$54</f>
        <v>0</v>
      </c>
      <c r="M127" s="64">
        <f>B$86*M$54</f>
        <v>0</v>
      </c>
      <c r="N127" s="84">
        <f t="shared" si="35"/>
        <v>0</v>
      </c>
    </row>
    <row r="128" ht="15.75" customHeight="1">
      <c r="A128" s="30" t="s">
        <v>382</v>
      </c>
      <c r="B128" s="64">
        <f>'Analisis de operaciones'!C4</f>
        <v>765.78</v>
      </c>
      <c r="C128" s="64">
        <f>'Analisis de operaciones'!D4</f>
        <v>587.55</v>
      </c>
      <c r="D128" s="64">
        <f>'Analisis de operaciones'!E4</f>
        <v>558.975</v>
      </c>
      <c r="E128" s="64">
        <f>'Analisis de operaciones'!F4</f>
        <v>538.08</v>
      </c>
      <c r="F128" s="64">
        <f>'Analisis de operaciones'!G4</f>
        <v>503.97</v>
      </c>
      <c r="G128" s="64">
        <f>'Analisis de operaciones'!H4</f>
        <v>490.755</v>
      </c>
      <c r="H128" s="64">
        <f>'Analisis de operaciones'!I4</f>
        <v>524.865</v>
      </c>
      <c r="I128" s="64">
        <f>'Analisis de operaciones'!J4</f>
        <v>524.865</v>
      </c>
      <c r="J128" s="64">
        <f>'Analisis de operaciones'!K4</f>
        <v>524.865</v>
      </c>
      <c r="K128" s="64">
        <f>'Analisis de operaciones'!L4</f>
        <v>511.65</v>
      </c>
      <c r="L128" s="64">
        <f>'Analisis de operaciones'!M4</f>
        <v>498.435</v>
      </c>
      <c r="M128" s="64">
        <f>'Analisis de operaciones'!N4</f>
        <v>792.21</v>
      </c>
      <c r="N128" s="84">
        <f t="shared" si="35"/>
        <v>792.21</v>
      </c>
    </row>
    <row r="129" ht="15.75" customHeight="1">
      <c r="A129" s="30" t="s">
        <v>383</v>
      </c>
      <c r="B129" s="64">
        <f t="shared" ref="B129:M129" si="36">SUM(B155:B174)+B184</f>
        <v>207.7918507</v>
      </c>
      <c r="C129" s="64">
        <f t="shared" si="36"/>
        <v>160.0724691</v>
      </c>
      <c r="D129" s="64">
        <f t="shared" si="36"/>
        <v>153.7208491</v>
      </c>
      <c r="E129" s="64">
        <f t="shared" si="36"/>
        <v>148.3568896</v>
      </c>
      <c r="F129" s="64">
        <f t="shared" si="36"/>
        <v>139.2075025</v>
      </c>
      <c r="G129" s="64">
        <f t="shared" si="36"/>
        <v>135.0281606</v>
      </c>
      <c r="H129" s="64">
        <f t="shared" si="36"/>
        <v>144.5714619</v>
      </c>
      <c r="I129" s="64">
        <f t="shared" si="36"/>
        <v>144.5714619</v>
      </c>
      <c r="J129" s="64">
        <f t="shared" si="36"/>
        <v>144.3745049</v>
      </c>
      <c r="K129" s="64">
        <f t="shared" si="36"/>
        <v>140.195163</v>
      </c>
      <c r="L129" s="64">
        <f t="shared" si="36"/>
        <v>136.2127783</v>
      </c>
      <c r="M129" s="64">
        <f t="shared" si="36"/>
        <v>215.1657489</v>
      </c>
      <c r="N129" s="84">
        <f t="shared" si="35"/>
        <v>215.1657489</v>
      </c>
    </row>
    <row r="130" ht="15.75" customHeight="1">
      <c r="A130" s="30" t="s">
        <v>385</v>
      </c>
      <c r="B130" s="64">
        <f t="shared" ref="B130:M130" si="37">SUM(B176:B183)</f>
        <v>10.41958333</v>
      </c>
      <c r="C130" s="64">
        <f t="shared" si="37"/>
        <v>9.19375</v>
      </c>
      <c r="D130" s="64">
        <f t="shared" si="37"/>
        <v>11.0325</v>
      </c>
      <c r="E130" s="64">
        <f t="shared" si="37"/>
        <v>11.0325</v>
      </c>
      <c r="F130" s="64">
        <f t="shared" si="37"/>
        <v>11.0325</v>
      </c>
      <c r="G130" s="64">
        <f t="shared" si="37"/>
        <v>9.806666667</v>
      </c>
      <c r="H130" s="64">
        <f t="shared" si="37"/>
        <v>11.0325</v>
      </c>
      <c r="I130" s="64">
        <f t="shared" si="37"/>
        <v>11.0325</v>
      </c>
      <c r="J130" s="64">
        <f t="shared" si="37"/>
        <v>10.41958333</v>
      </c>
      <c r="K130" s="64">
        <f t="shared" si="37"/>
        <v>9.19375</v>
      </c>
      <c r="L130" s="64">
        <f t="shared" si="37"/>
        <v>8.580833333</v>
      </c>
      <c r="M130" s="64">
        <f t="shared" si="37"/>
        <v>9.806666667</v>
      </c>
      <c r="N130" s="84">
        <f t="shared" si="35"/>
        <v>11.0325</v>
      </c>
    </row>
    <row r="131" ht="15.75" customHeight="1">
      <c r="A131" s="73" t="s">
        <v>386</v>
      </c>
      <c r="B131" s="84">
        <f t="shared" ref="B131:M131" si="38">B129+B130</f>
        <v>218.211434</v>
      </c>
      <c r="C131" s="84">
        <f t="shared" si="38"/>
        <v>169.2662191</v>
      </c>
      <c r="D131" s="84">
        <f t="shared" si="38"/>
        <v>164.7533491</v>
      </c>
      <c r="E131" s="84">
        <f t="shared" si="38"/>
        <v>159.3893896</v>
      </c>
      <c r="F131" s="84">
        <f t="shared" si="38"/>
        <v>150.2400025</v>
      </c>
      <c r="G131" s="84">
        <f t="shared" si="38"/>
        <v>144.8348273</v>
      </c>
      <c r="H131" s="84">
        <f t="shared" si="38"/>
        <v>155.6039619</v>
      </c>
      <c r="I131" s="84">
        <f t="shared" si="38"/>
        <v>155.6039619</v>
      </c>
      <c r="J131" s="84">
        <f t="shared" si="38"/>
        <v>154.7940882</v>
      </c>
      <c r="K131" s="84">
        <f t="shared" si="38"/>
        <v>149.388913</v>
      </c>
      <c r="L131" s="84">
        <f t="shared" si="38"/>
        <v>144.7936116</v>
      </c>
      <c r="M131" s="84">
        <f t="shared" si="38"/>
        <v>224.9724156</v>
      </c>
      <c r="N131" s="84">
        <f t="shared" si="35"/>
        <v>224.9724156</v>
      </c>
    </row>
    <row r="132" ht="15.75" customHeight="1">
      <c r="A132" s="30" t="s">
        <v>388</v>
      </c>
      <c r="B132" s="64">
        <f t="shared" ref="B132:M132" si="39">$B$118*$B$9-B124</f>
        <v>654.75</v>
      </c>
      <c r="C132" s="64">
        <f t="shared" si="39"/>
        <v>598.5</v>
      </c>
      <c r="D132" s="64">
        <f t="shared" si="39"/>
        <v>579.75</v>
      </c>
      <c r="E132" s="64">
        <f t="shared" si="39"/>
        <v>579.75</v>
      </c>
      <c r="F132" s="64">
        <f t="shared" si="39"/>
        <v>654.75</v>
      </c>
      <c r="G132" s="64">
        <f t="shared" si="39"/>
        <v>654.75</v>
      </c>
      <c r="H132" s="64">
        <f t="shared" si="39"/>
        <v>561</v>
      </c>
      <c r="I132" s="64">
        <f t="shared" si="39"/>
        <v>654.75</v>
      </c>
      <c r="J132" s="64">
        <f t="shared" si="39"/>
        <v>654.75</v>
      </c>
      <c r="K132" s="64">
        <f t="shared" si="39"/>
        <v>617.25</v>
      </c>
      <c r="L132" s="64">
        <f t="shared" si="39"/>
        <v>617.25</v>
      </c>
      <c r="M132" s="64">
        <f t="shared" si="39"/>
        <v>654.75</v>
      </c>
      <c r="N132" s="84">
        <f t="shared" si="35"/>
        <v>654.75</v>
      </c>
    </row>
    <row r="133" ht="15.75" customHeight="1">
      <c r="A133" s="30" t="s">
        <v>389</v>
      </c>
      <c r="B133" s="64">
        <f t="shared" ref="B133:M133" si="40">IF(B129=0,0,MAX(0,B132-B131)*B128/B129)</f>
        <v>1608.785436</v>
      </c>
      <c r="C133" s="64">
        <f t="shared" si="40"/>
        <v>1575.513325</v>
      </c>
      <c r="D133" s="64">
        <f t="shared" si="40"/>
        <v>1509.051989</v>
      </c>
      <c r="E133" s="64">
        <f t="shared" si="40"/>
        <v>1524.618357</v>
      </c>
      <c r="F133" s="64">
        <f t="shared" si="40"/>
        <v>1826.466957</v>
      </c>
      <c r="G133" s="64">
        <f t="shared" si="40"/>
        <v>1853.26838</v>
      </c>
      <c r="H133" s="64">
        <f t="shared" si="40"/>
        <v>1471.78557</v>
      </c>
      <c r="I133" s="64">
        <f t="shared" si="40"/>
        <v>1812.143848</v>
      </c>
      <c r="J133" s="64">
        <f t="shared" si="40"/>
        <v>1817.56024</v>
      </c>
      <c r="K133" s="64">
        <f t="shared" si="40"/>
        <v>1707.484909</v>
      </c>
      <c r="L133" s="64">
        <f t="shared" si="40"/>
        <v>1728.830458</v>
      </c>
      <c r="M133" s="64">
        <f t="shared" si="40"/>
        <v>1582.380569</v>
      </c>
      <c r="N133" s="84">
        <f t="shared" si="35"/>
        <v>1853.26838</v>
      </c>
    </row>
    <row r="134" ht="15.75" customHeight="1">
      <c r="A134" s="73" t="s">
        <v>390</v>
      </c>
      <c r="B134" s="84">
        <f t="shared" ref="B134:J134" si="41">0</f>
        <v>0</v>
      </c>
      <c r="C134" s="84">
        <f t="shared" si="41"/>
        <v>0</v>
      </c>
      <c r="D134" s="84">
        <f t="shared" si="41"/>
        <v>0</v>
      </c>
      <c r="E134" s="84">
        <f t="shared" si="41"/>
        <v>0</v>
      </c>
      <c r="F134" s="84">
        <f t="shared" si="41"/>
        <v>0</v>
      </c>
      <c r="G134" s="84">
        <f t="shared" si="41"/>
        <v>0</v>
      </c>
      <c r="H134" s="84">
        <f t="shared" si="41"/>
        <v>0</v>
      </c>
      <c r="I134" s="84">
        <f t="shared" si="41"/>
        <v>0</v>
      </c>
      <c r="J134" s="84">
        <f t="shared" si="41"/>
        <v>0</v>
      </c>
      <c r="K134" s="140">
        <f>$B$5*MIN(K133,M128)</f>
        <v>792.21</v>
      </c>
      <c r="L134" s="140">
        <f>$B$5*MIN(L133,M128-K134)</f>
        <v>0</v>
      </c>
      <c r="M134" s="140">
        <f>-(K134+L134)</f>
        <v>-792.21</v>
      </c>
      <c r="N134" s="84">
        <f t="shared" si="35"/>
        <v>792.21</v>
      </c>
    </row>
    <row r="135" ht="15.75" customHeight="1">
      <c r="A135" s="30" t="s">
        <v>391</v>
      </c>
      <c r="B135" s="133">
        <f t="shared" ref="B135:M135" si="42">IF(B128=0,1,(B128+B134)/B128)</f>
        <v>1</v>
      </c>
      <c r="C135" s="133">
        <f t="shared" si="42"/>
        <v>1</v>
      </c>
      <c r="D135" s="133">
        <f t="shared" si="42"/>
        <v>1</v>
      </c>
      <c r="E135" s="133">
        <f t="shared" si="42"/>
        <v>1</v>
      </c>
      <c r="F135" s="133">
        <f t="shared" si="42"/>
        <v>1</v>
      </c>
      <c r="G135" s="133">
        <f t="shared" si="42"/>
        <v>1</v>
      </c>
      <c r="H135" s="133">
        <f t="shared" si="42"/>
        <v>1</v>
      </c>
      <c r="I135" s="133">
        <f t="shared" si="42"/>
        <v>1</v>
      </c>
      <c r="J135" s="133">
        <f t="shared" si="42"/>
        <v>1</v>
      </c>
      <c r="K135" s="133">
        <f t="shared" si="42"/>
        <v>2.548343594</v>
      </c>
      <c r="L135" s="133">
        <f t="shared" si="42"/>
        <v>1</v>
      </c>
      <c r="M135" s="133">
        <f t="shared" si="42"/>
        <v>0</v>
      </c>
      <c r="N135" s="40">
        <f t="shared" si="35"/>
        <v>2.548343594</v>
      </c>
    </row>
    <row r="136" ht="15.75" customHeight="1">
      <c r="A136" s="73" t="s">
        <v>392</v>
      </c>
      <c r="B136" s="84">
        <f t="shared" ref="B136:M136" si="43">B129*B135+B130</f>
        <v>218.211434</v>
      </c>
      <c r="C136" s="84">
        <f t="shared" si="43"/>
        <v>169.2662191</v>
      </c>
      <c r="D136" s="84">
        <f t="shared" si="43"/>
        <v>164.7533491</v>
      </c>
      <c r="E136" s="84">
        <f t="shared" si="43"/>
        <v>159.3893896</v>
      </c>
      <c r="F136" s="84">
        <f t="shared" si="43"/>
        <v>150.2400025</v>
      </c>
      <c r="G136" s="84">
        <f t="shared" si="43"/>
        <v>144.8348273</v>
      </c>
      <c r="H136" s="84">
        <f t="shared" si="43"/>
        <v>155.6039619</v>
      </c>
      <c r="I136" s="84">
        <f t="shared" si="43"/>
        <v>155.6039619</v>
      </c>
      <c r="J136" s="84">
        <f t="shared" si="43"/>
        <v>154.7940882</v>
      </c>
      <c r="K136" s="84">
        <f t="shared" si="43"/>
        <v>366.4591957</v>
      </c>
      <c r="L136" s="84">
        <f t="shared" si="43"/>
        <v>144.7936116</v>
      </c>
      <c r="M136" s="84">
        <f t="shared" si="43"/>
        <v>9.806666667</v>
      </c>
      <c r="N136" s="84">
        <f t="shared" si="35"/>
        <v>366.4591957</v>
      </c>
    </row>
    <row r="137" ht="15.75" customHeight="1">
      <c r="A137" s="30" t="s">
        <v>393</v>
      </c>
      <c r="B137" s="64">
        <f t="shared" ref="B137:M137" si="44">IF($B$116=2,MAX(SUM(B186:B205),B136-($B$118*$B$11-B124)),0)</f>
        <v>0</v>
      </c>
      <c r="C137" s="64">
        <f t="shared" si="44"/>
        <v>0</v>
      </c>
      <c r="D137" s="64">
        <f t="shared" si="44"/>
        <v>0</v>
      </c>
      <c r="E137" s="64">
        <f t="shared" si="44"/>
        <v>0</v>
      </c>
      <c r="F137" s="64">
        <f t="shared" si="44"/>
        <v>0</v>
      </c>
      <c r="G137" s="64">
        <f t="shared" si="44"/>
        <v>0</v>
      </c>
      <c r="H137" s="64">
        <f t="shared" si="44"/>
        <v>0</v>
      </c>
      <c r="I137" s="64">
        <f t="shared" si="44"/>
        <v>0</v>
      </c>
      <c r="J137" s="64">
        <f t="shared" si="44"/>
        <v>0</v>
      </c>
      <c r="K137" s="64">
        <f t="shared" si="44"/>
        <v>0</v>
      </c>
      <c r="L137" s="64">
        <f t="shared" si="44"/>
        <v>0</v>
      </c>
      <c r="M137" s="64">
        <f t="shared" si="44"/>
        <v>0</v>
      </c>
      <c r="N137" s="84">
        <f t="shared" si="35"/>
        <v>0</v>
      </c>
    </row>
    <row r="138" ht="15.75" customHeight="1">
      <c r="A138" s="30" t="s">
        <v>394</v>
      </c>
      <c r="B138" s="64">
        <f t="shared" ref="B138:M138" si="45">MAX(0,B132-(B136-B137))</f>
        <v>436.538566</v>
      </c>
      <c r="C138" s="64">
        <f t="shared" si="45"/>
        <v>429.2337809</v>
      </c>
      <c r="D138" s="64">
        <f t="shared" si="45"/>
        <v>414.9966509</v>
      </c>
      <c r="E138" s="64">
        <f t="shared" si="45"/>
        <v>420.3606104</v>
      </c>
      <c r="F138" s="64">
        <f t="shared" si="45"/>
        <v>504.5099975</v>
      </c>
      <c r="G138" s="64">
        <f t="shared" si="45"/>
        <v>509.9151727</v>
      </c>
      <c r="H138" s="64">
        <f t="shared" si="45"/>
        <v>405.3960381</v>
      </c>
      <c r="I138" s="64">
        <f t="shared" si="45"/>
        <v>499.1460381</v>
      </c>
      <c r="J138" s="64">
        <f t="shared" si="45"/>
        <v>499.9559118</v>
      </c>
      <c r="K138" s="64">
        <f t="shared" si="45"/>
        <v>250.7908043</v>
      </c>
      <c r="L138" s="64">
        <f t="shared" si="45"/>
        <v>472.4563884</v>
      </c>
      <c r="M138" s="64">
        <f t="shared" si="45"/>
        <v>644.9433333</v>
      </c>
      <c r="N138" s="84">
        <f t="shared" si="35"/>
        <v>644.9433333</v>
      </c>
    </row>
    <row r="139" ht="15.75" customHeight="1">
      <c r="A139" s="73" t="s">
        <v>395</v>
      </c>
      <c r="B139" s="84">
        <f>'Analisis Recargas'!C57</f>
        <v>52.1984584</v>
      </c>
      <c r="C139" s="84">
        <f>'Analisis Recargas'!D57</f>
        <v>43.24711441</v>
      </c>
      <c r="D139" s="84">
        <f>'Analisis Recargas'!E57</f>
        <v>44.62018085</v>
      </c>
      <c r="E139" s="84">
        <f>'Analisis Recargas'!F57</f>
        <v>43.34896913</v>
      </c>
      <c r="F139" s="84">
        <f>'Analisis Recargas'!G57</f>
        <v>41.97590269</v>
      </c>
      <c r="G139" s="84">
        <f>'Analisis Recargas'!H57</f>
        <v>40.60283625</v>
      </c>
      <c r="H139" s="84">
        <f>'Analisis Recargas'!I57</f>
        <v>43.45082385</v>
      </c>
      <c r="I139" s="84">
        <f>'Analisis Recargas'!J57</f>
        <v>44.51832613</v>
      </c>
      <c r="J139" s="84">
        <f>'Analisis Recargas'!K57</f>
        <v>44.51832613</v>
      </c>
      <c r="K139" s="84">
        <f>'Analisis Recargas'!L57</f>
        <v>43.24711441</v>
      </c>
      <c r="L139" s="84">
        <f>'Analisis Recargas'!M57</f>
        <v>43.14525969</v>
      </c>
      <c r="M139" s="84">
        <f>'Analisis Recargas'!N57</f>
        <v>62.53550645</v>
      </c>
      <c r="N139" s="84">
        <f t="shared" si="35"/>
        <v>62.53550645</v>
      </c>
    </row>
    <row r="140" ht="15.75" customHeight="1">
      <c r="A140" s="30" t="s">
        <v>396</v>
      </c>
      <c r="B140" s="64">
        <f>IFERROR(B139*'Analisis Recargas'!C6*'Almacen PT'!$B$10/SUM('Analisis Recargas'!C6:C22),0)</f>
        <v>8.168048599</v>
      </c>
      <c r="C140" s="64">
        <f>IFERROR(C139*'Analisis Recargas'!D6*'Almacen PT'!$B$10/SUM('Analisis Recargas'!D6:D22),0)</f>
        <v>6.368782328</v>
      </c>
      <c r="D140" s="64">
        <f>IFERROR(D139*'Analisis Recargas'!E6*'Almacen PT'!$B$10/SUM('Analisis Recargas'!E6:E22),0)</f>
        <v>6.368347226</v>
      </c>
      <c r="E140" s="64">
        <f>IFERROR(E139*'Analisis Recargas'!F6*'Almacen PT'!$B$10/SUM('Analisis Recargas'!F6:F22),0)</f>
        <v>6.369601305</v>
      </c>
      <c r="F140" s="64">
        <f>IFERROR(F139*'Analisis Recargas'!G6*'Almacen PT'!$B$10/SUM('Analisis Recargas'!G6:G22),0)</f>
        <v>6.370090797</v>
      </c>
      <c r="G140" s="64">
        <f>IFERROR(G139*'Analisis Recargas'!H6*'Almacen PT'!$B$10/SUM('Analisis Recargas'!H6:H22),0)</f>
        <v>6.370613478</v>
      </c>
      <c r="H140" s="64">
        <f>IFERROR(H139*'Analisis Recargas'!I6*'Almacen PT'!$B$10/SUM('Analisis Recargas'!I6:I22),0)</f>
        <v>6.370416652</v>
      </c>
      <c r="I140" s="64">
        <f>IFERROR(I139*'Analisis Recargas'!J6*'Almacen PT'!$B$10/SUM('Analisis Recargas'!J6:J22),0)</f>
        <v>6.367549077</v>
      </c>
      <c r="J140" s="64">
        <f>IFERROR(J139*'Analisis Recargas'!K6*'Almacen PT'!$B$10/SUM('Analisis Recargas'!K6:K22),0)</f>
        <v>6.367549077</v>
      </c>
      <c r="K140" s="64">
        <f>IFERROR(K139*'Analisis Recargas'!L6*'Almacen PT'!$B$10/SUM('Analisis Recargas'!L6:L22),0)</f>
        <v>6.368782328</v>
      </c>
      <c r="L140" s="64">
        <f>IFERROR(L139*'Analisis Recargas'!M6*'Almacen PT'!$B$10/SUM('Analisis Recargas'!M6:M22),0)</f>
        <v>6.367959695</v>
      </c>
      <c r="M140" s="64">
        <f>IFERROR(M139*'Analisis Recargas'!N6*'Almacen PT'!$B$10/SUM('Analisis Recargas'!N6:N22),0)</f>
        <v>9.795883283</v>
      </c>
      <c r="N140" s="84">
        <f t="shared" si="35"/>
        <v>9.795883283</v>
      </c>
    </row>
    <row r="141" ht="15.75" customHeight="1">
      <c r="A141" s="30" t="s">
        <v>397</v>
      </c>
      <c r="B141" s="64">
        <f t="shared" ref="B141:M141" si="46">IF($B$116=2,B140*$B$15,0)</f>
        <v>0</v>
      </c>
      <c r="C141" s="64">
        <f t="shared" si="46"/>
        <v>0</v>
      </c>
      <c r="D141" s="64">
        <f t="shared" si="46"/>
        <v>0</v>
      </c>
      <c r="E141" s="64">
        <f t="shared" si="46"/>
        <v>0</v>
      </c>
      <c r="F141" s="64">
        <f t="shared" si="46"/>
        <v>0</v>
      </c>
      <c r="G141" s="64">
        <f t="shared" si="46"/>
        <v>0</v>
      </c>
      <c r="H141" s="64">
        <f t="shared" si="46"/>
        <v>0</v>
      </c>
      <c r="I141" s="64">
        <f t="shared" si="46"/>
        <v>0</v>
      </c>
      <c r="J141" s="64">
        <f t="shared" si="46"/>
        <v>0</v>
      </c>
      <c r="K141" s="64">
        <f t="shared" si="46"/>
        <v>0</v>
      </c>
      <c r="L141" s="64">
        <f t="shared" si="46"/>
        <v>0</v>
      </c>
      <c r="M141" s="64">
        <f t="shared" si="46"/>
        <v>0</v>
      </c>
      <c r="N141" s="84">
        <f t="shared" si="35"/>
        <v>0</v>
      </c>
    </row>
    <row r="142" ht="15.75" customHeight="1">
      <c r="A142" s="30" t="s">
        <v>399</v>
      </c>
      <c r="B142" s="64">
        <f t="shared" ref="B142:M142" si="47">MAX(0,B139-B141-$B$6*B138)</f>
        <v>0</v>
      </c>
      <c r="C142" s="64">
        <f t="shared" si="47"/>
        <v>0</v>
      </c>
      <c r="D142" s="64">
        <f t="shared" si="47"/>
        <v>0</v>
      </c>
      <c r="E142" s="64">
        <f t="shared" si="47"/>
        <v>0</v>
      </c>
      <c r="F142" s="64">
        <f t="shared" si="47"/>
        <v>0</v>
      </c>
      <c r="G142" s="64">
        <f t="shared" si="47"/>
        <v>0</v>
      </c>
      <c r="H142" s="64">
        <f t="shared" si="47"/>
        <v>0</v>
      </c>
      <c r="I142" s="64">
        <f t="shared" si="47"/>
        <v>0</v>
      </c>
      <c r="J142" s="64">
        <f t="shared" si="47"/>
        <v>0</v>
      </c>
      <c r="K142" s="64">
        <f t="shared" si="47"/>
        <v>0</v>
      </c>
      <c r="L142" s="64">
        <f t="shared" si="47"/>
        <v>0</v>
      </c>
      <c r="M142" s="64">
        <f t="shared" si="47"/>
        <v>0</v>
      </c>
      <c r="N142" s="84">
        <f t="shared" si="35"/>
        <v>0</v>
      </c>
    </row>
    <row r="143" ht="15.75" customHeight="1">
      <c r="A143" s="30" t="s">
        <v>400</v>
      </c>
      <c r="B143" s="64">
        <f t="shared" ref="B143:M143" si="48">MAX(0,$B$121*$B$9-B127-B141)</f>
        <v>0</v>
      </c>
      <c r="C143" s="64">
        <f t="shared" si="48"/>
        <v>0</v>
      </c>
      <c r="D143" s="64">
        <f t="shared" si="48"/>
        <v>0</v>
      </c>
      <c r="E143" s="64">
        <f t="shared" si="48"/>
        <v>0</v>
      </c>
      <c r="F143" s="64">
        <f t="shared" si="48"/>
        <v>0</v>
      </c>
      <c r="G143" s="64">
        <f t="shared" si="48"/>
        <v>0</v>
      </c>
      <c r="H143" s="64">
        <f t="shared" si="48"/>
        <v>0</v>
      </c>
      <c r="I143" s="64">
        <f t="shared" si="48"/>
        <v>0</v>
      </c>
      <c r="J143" s="64">
        <f t="shared" si="48"/>
        <v>0</v>
      </c>
      <c r="K143" s="64">
        <f t="shared" si="48"/>
        <v>0</v>
      </c>
      <c r="L143" s="64">
        <f t="shared" si="48"/>
        <v>0</v>
      </c>
      <c r="M143" s="64">
        <f t="shared" si="48"/>
        <v>0</v>
      </c>
      <c r="N143" s="84">
        <f t="shared" si="35"/>
        <v>0</v>
      </c>
    </row>
    <row r="144" ht="15.75" customHeight="1">
      <c r="A144" s="30" t="s">
        <v>401</v>
      </c>
      <c r="B144" s="64">
        <f t="shared" ref="B144:M144" si="49">MIN(B142,B143)</f>
        <v>0</v>
      </c>
      <c r="C144" s="64">
        <f t="shared" si="49"/>
        <v>0</v>
      </c>
      <c r="D144" s="64">
        <f t="shared" si="49"/>
        <v>0</v>
      </c>
      <c r="E144" s="64">
        <f t="shared" si="49"/>
        <v>0</v>
      </c>
      <c r="F144" s="64">
        <f t="shared" si="49"/>
        <v>0</v>
      </c>
      <c r="G144" s="64">
        <f t="shared" si="49"/>
        <v>0</v>
      </c>
      <c r="H144" s="64">
        <f t="shared" si="49"/>
        <v>0</v>
      </c>
      <c r="I144" s="64">
        <f t="shared" si="49"/>
        <v>0</v>
      </c>
      <c r="J144" s="64">
        <f t="shared" si="49"/>
        <v>0</v>
      </c>
      <c r="K144" s="64">
        <f t="shared" si="49"/>
        <v>0</v>
      </c>
      <c r="L144" s="64">
        <f t="shared" si="49"/>
        <v>0</v>
      </c>
      <c r="M144" s="64">
        <f t="shared" si="49"/>
        <v>0</v>
      </c>
      <c r="N144" s="84">
        <f t="shared" si="35"/>
        <v>0</v>
      </c>
    </row>
    <row r="145" ht="15.75" customHeight="1">
      <c r="A145" s="30" t="s">
        <v>403</v>
      </c>
      <c r="B145" s="64">
        <f t="shared" ref="B145:M145" si="50">MAX(0,$B$119*$B$9-B125-B137)</f>
        <v>0</v>
      </c>
      <c r="C145" s="64">
        <f t="shared" si="50"/>
        <v>0</v>
      </c>
      <c r="D145" s="64">
        <f t="shared" si="50"/>
        <v>0</v>
      </c>
      <c r="E145" s="64">
        <f t="shared" si="50"/>
        <v>0</v>
      </c>
      <c r="F145" s="64">
        <f t="shared" si="50"/>
        <v>0</v>
      </c>
      <c r="G145" s="64">
        <f t="shared" si="50"/>
        <v>0</v>
      </c>
      <c r="H145" s="64">
        <f t="shared" si="50"/>
        <v>0</v>
      </c>
      <c r="I145" s="64">
        <f t="shared" si="50"/>
        <v>0</v>
      </c>
      <c r="J145" s="64">
        <f t="shared" si="50"/>
        <v>0</v>
      </c>
      <c r="K145" s="64">
        <f t="shared" si="50"/>
        <v>0</v>
      </c>
      <c r="L145" s="64">
        <f t="shared" si="50"/>
        <v>0</v>
      </c>
      <c r="M145" s="64">
        <f t="shared" si="50"/>
        <v>0</v>
      </c>
      <c r="N145" s="84">
        <f t="shared" si="35"/>
        <v>0</v>
      </c>
    </row>
    <row r="146" ht="15.75" customHeight="1">
      <c r="A146" s="30" t="s">
        <v>404</v>
      </c>
      <c r="B146" s="64">
        <f t="shared" ref="B146:M146" si="51">MIN(B142-B144,$B$6*B145)</f>
        <v>0</v>
      </c>
      <c r="C146" s="64">
        <f t="shared" si="51"/>
        <v>0</v>
      </c>
      <c r="D146" s="64">
        <f t="shared" si="51"/>
        <v>0</v>
      </c>
      <c r="E146" s="64">
        <f t="shared" si="51"/>
        <v>0</v>
      </c>
      <c r="F146" s="64">
        <f t="shared" si="51"/>
        <v>0</v>
      </c>
      <c r="G146" s="64">
        <f t="shared" si="51"/>
        <v>0</v>
      </c>
      <c r="H146" s="64">
        <f t="shared" si="51"/>
        <v>0</v>
      </c>
      <c r="I146" s="64">
        <f t="shared" si="51"/>
        <v>0</v>
      </c>
      <c r="J146" s="64">
        <f t="shared" si="51"/>
        <v>0</v>
      </c>
      <c r="K146" s="64">
        <f t="shared" si="51"/>
        <v>0</v>
      </c>
      <c r="L146" s="64">
        <f t="shared" si="51"/>
        <v>0</v>
      </c>
      <c r="M146" s="64">
        <f t="shared" si="51"/>
        <v>0</v>
      </c>
      <c r="N146" s="84">
        <f t="shared" si="35"/>
        <v>0</v>
      </c>
    </row>
    <row r="147" ht="15.75" customHeight="1">
      <c r="A147" s="30" t="s">
        <v>405</v>
      </c>
      <c r="B147" s="64">
        <f t="shared" ref="B147:M147" si="52">B142-B144-B146</f>
        <v>0</v>
      </c>
      <c r="C147" s="64">
        <f t="shared" si="52"/>
        <v>0</v>
      </c>
      <c r="D147" s="64">
        <f t="shared" si="52"/>
        <v>0</v>
      </c>
      <c r="E147" s="64">
        <f t="shared" si="52"/>
        <v>0</v>
      </c>
      <c r="F147" s="64">
        <f t="shared" si="52"/>
        <v>0</v>
      </c>
      <c r="G147" s="64">
        <f t="shared" si="52"/>
        <v>0</v>
      </c>
      <c r="H147" s="64">
        <f t="shared" si="52"/>
        <v>0</v>
      </c>
      <c r="I147" s="64">
        <f t="shared" si="52"/>
        <v>0</v>
      </c>
      <c r="J147" s="64">
        <f t="shared" si="52"/>
        <v>0</v>
      </c>
      <c r="K147" s="64">
        <f t="shared" si="52"/>
        <v>0</v>
      </c>
      <c r="L147" s="64">
        <f t="shared" si="52"/>
        <v>0</v>
      </c>
      <c r="M147" s="64">
        <f t="shared" si="52"/>
        <v>0</v>
      </c>
      <c r="N147" s="84">
        <f t="shared" si="35"/>
        <v>0</v>
      </c>
    </row>
    <row r="148" ht="15.75" customHeight="1">
      <c r="A148" s="30" t="s">
        <v>406</v>
      </c>
      <c r="B148" s="64">
        <f t="shared" ref="B148:M148" si="53">MAX(0,B136-B137-B132)</f>
        <v>0</v>
      </c>
      <c r="C148" s="64">
        <f t="shared" si="53"/>
        <v>0</v>
      </c>
      <c r="D148" s="64">
        <f t="shared" si="53"/>
        <v>0</v>
      </c>
      <c r="E148" s="64">
        <f t="shared" si="53"/>
        <v>0</v>
      </c>
      <c r="F148" s="64">
        <f t="shared" si="53"/>
        <v>0</v>
      </c>
      <c r="G148" s="64">
        <f t="shared" si="53"/>
        <v>0</v>
      </c>
      <c r="H148" s="64">
        <f t="shared" si="53"/>
        <v>0</v>
      </c>
      <c r="I148" s="64">
        <f t="shared" si="53"/>
        <v>0</v>
      </c>
      <c r="J148" s="64">
        <f t="shared" si="53"/>
        <v>0</v>
      </c>
      <c r="K148" s="64">
        <f t="shared" si="53"/>
        <v>0</v>
      </c>
      <c r="L148" s="64">
        <f t="shared" si="53"/>
        <v>0</v>
      </c>
      <c r="M148" s="64">
        <f t="shared" si="53"/>
        <v>0</v>
      </c>
      <c r="N148" s="84">
        <f t="shared" ref="N148:N152" si="55">SUM(B148:M148)</f>
        <v>0</v>
      </c>
    </row>
    <row r="149" ht="15.75" customHeight="1">
      <c r="A149" s="30" t="s">
        <v>408</v>
      </c>
      <c r="B149" s="64">
        <f t="shared" ref="B149:M149" si="54">MAX(0,B137-($B$119*$B$9-B125))</f>
        <v>0</v>
      </c>
      <c r="C149" s="64">
        <f t="shared" si="54"/>
        <v>0</v>
      </c>
      <c r="D149" s="64">
        <f t="shared" si="54"/>
        <v>0</v>
      </c>
      <c r="E149" s="64">
        <f t="shared" si="54"/>
        <v>0</v>
      </c>
      <c r="F149" s="64">
        <f t="shared" si="54"/>
        <v>0</v>
      </c>
      <c r="G149" s="64">
        <f t="shared" si="54"/>
        <v>0</v>
      </c>
      <c r="H149" s="64">
        <f t="shared" si="54"/>
        <v>0</v>
      </c>
      <c r="I149" s="64">
        <f t="shared" si="54"/>
        <v>0</v>
      </c>
      <c r="J149" s="64">
        <f t="shared" si="54"/>
        <v>0</v>
      </c>
      <c r="K149" s="64">
        <f t="shared" si="54"/>
        <v>0</v>
      </c>
      <c r="L149" s="64">
        <f t="shared" si="54"/>
        <v>0</v>
      </c>
      <c r="M149" s="64">
        <f t="shared" si="54"/>
        <v>0</v>
      </c>
      <c r="N149" s="84">
        <f t="shared" si="55"/>
        <v>0</v>
      </c>
    </row>
    <row r="150" ht="15.75" customHeight="1">
      <c r="A150" s="30" t="s">
        <v>409</v>
      </c>
      <c r="B150" s="64">
        <f t="shared" ref="B150:M150" si="56">MAX(0,B147-($B$120*$B$9-B126))</f>
        <v>0</v>
      </c>
      <c r="C150" s="64">
        <f t="shared" si="56"/>
        <v>0</v>
      </c>
      <c r="D150" s="64">
        <f t="shared" si="56"/>
        <v>0</v>
      </c>
      <c r="E150" s="64">
        <f t="shared" si="56"/>
        <v>0</v>
      </c>
      <c r="F150" s="64">
        <f t="shared" si="56"/>
        <v>0</v>
      </c>
      <c r="G150" s="64">
        <f t="shared" si="56"/>
        <v>0</v>
      </c>
      <c r="H150" s="64">
        <f t="shared" si="56"/>
        <v>0</v>
      </c>
      <c r="I150" s="64">
        <f t="shared" si="56"/>
        <v>0</v>
      </c>
      <c r="J150" s="64">
        <f t="shared" si="56"/>
        <v>0</v>
      </c>
      <c r="K150" s="64">
        <f t="shared" si="56"/>
        <v>0</v>
      </c>
      <c r="L150" s="64">
        <f t="shared" si="56"/>
        <v>0</v>
      </c>
      <c r="M150" s="64">
        <f t="shared" si="56"/>
        <v>0</v>
      </c>
      <c r="N150" s="84">
        <f t="shared" si="55"/>
        <v>0</v>
      </c>
    </row>
    <row r="151" ht="15.75" customHeight="1">
      <c r="A151" s="30" t="s">
        <v>410</v>
      </c>
      <c r="B151" s="64">
        <f t="shared" ref="B151:M151" si="57">MAX(0,B141-($B$121*$B$9-B127))</f>
        <v>0</v>
      </c>
      <c r="C151" s="64">
        <f t="shared" si="57"/>
        <v>0</v>
      </c>
      <c r="D151" s="64">
        <f t="shared" si="57"/>
        <v>0</v>
      </c>
      <c r="E151" s="64">
        <f t="shared" si="57"/>
        <v>0</v>
      </c>
      <c r="F151" s="64">
        <f t="shared" si="57"/>
        <v>0</v>
      </c>
      <c r="G151" s="64">
        <f t="shared" si="57"/>
        <v>0</v>
      </c>
      <c r="H151" s="64">
        <f t="shared" si="57"/>
        <v>0</v>
      </c>
      <c r="I151" s="64">
        <f t="shared" si="57"/>
        <v>0</v>
      </c>
      <c r="J151" s="64">
        <f t="shared" si="57"/>
        <v>0</v>
      </c>
      <c r="K151" s="64">
        <f t="shared" si="57"/>
        <v>0</v>
      </c>
      <c r="L151" s="64">
        <f t="shared" si="57"/>
        <v>0</v>
      </c>
      <c r="M151" s="64">
        <f t="shared" si="57"/>
        <v>0</v>
      </c>
      <c r="N151" s="84">
        <f t="shared" si="55"/>
        <v>0</v>
      </c>
    </row>
    <row r="152" ht="15.75" customHeight="1">
      <c r="A152" s="73" t="s">
        <v>411</v>
      </c>
      <c r="B152" s="84">
        <f t="shared" ref="B152:M152" si="58">B148+B149+B150+B151</f>
        <v>0</v>
      </c>
      <c r="C152" s="84">
        <f t="shared" si="58"/>
        <v>0</v>
      </c>
      <c r="D152" s="84">
        <f t="shared" si="58"/>
        <v>0</v>
      </c>
      <c r="E152" s="84">
        <f t="shared" si="58"/>
        <v>0</v>
      </c>
      <c r="F152" s="84">
        <f t="shared" si="58"/>
        <v>0</v>
      </c>
      <c r="G152" s="84">
        <f t="shared" si="58"/>
        <v>0</v>
      </c>
      <c r="H152" s="84">
        <f t="shared" si="58"/>
        <v>0</v>
      </c>
      <c r="I152" s="84">
        <f t="shared" si="58"/>
        <v>0</v>
      </c>
      <c r="J152" s="84">
        <f t="shared" si="58"/>
        <v>0</v>
      </c>
      <c r="K152" s="84">
        <f t="shared" si="58"/>
        <v>0</v>
      </c>
      <c r="L152" s="84">
        <f t="shared" si="58"/>
        <v>0</v>
      </c>
      <c r="M152" s="84">
        <f t="shared" si="58"/>
        <v>0</v>
      </c>
      <c r="N152" s="84">
        <f t="shared" si="55"/>
        <v>0</v>
      </c>
    </row>
    <row r="153" ht="15.75" customHeight="1">
      <c r="A153" s="30" t="s">
        <v>412</v>
      </c>
      <c r="B153" s="64">
        <f t="shared" ref="B153:M153" si="59">IFERROR(B152/($B$118+$B$120+$B$119+$B$121),0)</f>
        <v>0</v>
      </c>
      <c r="C153" s="64">
        <f t="shared" si="59"/>
        <v>0</v>
      </c>
      <c r="D153" s="64">
        <f t="shared" si="59"/>
        <v>0</v>
      </c>
      <c r="E153" s="64">
        <f t="shared" si="59"/>
        <v>0</v>
      </c>
      <c r="F153" s="64">
        <f t="shared" si="59"/>
        <v>0</v>
      </c>
      <c r="G153" s="64">
        <f t="shared" si="59"/>
        <v>0</v>
      </c>
      <c r="H153" s="64">
        <f t="shared" si="59"/>
        <v>0</v>
      </c>
      <c r="I153" s="64">
        <f t="shared" si="59"/>
        <v>0</v>
      </c>
      <c r="J153" s="64">
        <f t="shared" si="59"/>
        <v>0</v>
      </c>
      <c r="K153" s="64">
        <f t="shared" si="59"/>
        <v>0</v>
      </c>
      <c r="L153" s="64">
        <f t="shared" si="59"/>
        <v>0</v>
      </c>
      <c r="M153" s="64">
        <f t="shared" si="59"/>
        <v>0</v>
      </c>
      <c r="N153" s="84">
        <f>MAX(B153:M153)</f>
        <v>0</v>
      </c>
    </row>
    <row r="154" ht="15.75" customHeight="1">
      <c r="A154" s="141" t="s">
        <v>413</v>
      </c>
    </row>
    <row r="155" ht="15.75" hidden="1" customHeight="1" outlineLevel="1">
      <c r="A155" s="142" t="s">
        <v>26</v>
      </c>
      <c r="B155" s="143">
        <f>'Analisis de operaciones'!C4/'Analisis de operaciones'!C8*$O155</f>
        <v>11.26147059</v>
      </c>
      <c r="C155" s="143">
        <f>'Analisis de operaciones'!D4/'Analisis de operaciones'!D8*$O155</f>
        <v>8.640441176</v>
      </c>
      <c r="D155" s="143">
        <f>'Analisis de operaciones'!E4/'Analisis de operaciones'!E8*$O155</f>
        <v>8.220220588</v>
      </c>
      <c r="E155" s="143">
        <f>'Analisis de operaciones'!F4/'Analisis de operaciones'!F8*$O155</f>
        <v>7.912941176</v>
      </c>
      <c r="F155" s="143">
        <f>'Analisis de operaciones'!G4/'Analisis de operaciones'!G8*$O155</f>
        <v>7.411323529</v>
      </c>
      <c r="G155" s="143">
        <f>'Analisis de operaciones'!H4/'Analisis de operaciones'!H8*$O155</f>
        <v>7.216985294</v>
      </c>
      <c r="H155" s="143">
        <f>'Analisis de operaciones'!I4/'Analisis de operaciones'!I8*$O155</f>
        <v>7.718602941</v>
      </c>
      <c r="I155" s="143">
        <f>'Analisis de operaciones'!J4/'Analisis de operaciones'!J8*$O155</f>
        <v>7.718602941</v>
      </c>
      <c r="J155" s="143">
        <f>'Analisis de operaciones'!K4/'Analisis de operaciones'!K8*$O155</f>
        <v>7.718602941</v>
      </c>
      <c r="K155" s="143">
        <f>'Analisis de operaciones'!L4/'Analisis de operaciones'!L8*$O155</f>
        <v>7.524264706</v>
      </c>
      <c r="L155" s="143">
        <f>'Analisis de operaciones'!M4/'Analisis de operaciones'!M8*$O155</f>
        <v>7.329926471</v>
      </c>
      <c r="M155" s="143">
        <f>'Analisis de operaciones'!N4/'Analisis de operaciones'!N8*$O155</f>
        <v>11.65014706</v>
      </c>
      <c r="N155" s="143">
        <f>'Resumen Capacidad'!$B$29*$B$8*$O155</f>
        <v>150</v>
      </c>
      <c r="O155" s="144">
        <f>$B$18</f>
        <v>1</v>
      </c>
    </row>
    <row r="156" ht="15.75" hidden="1" customHeight="1" outlineLevel="1">
      <c r="A156" s="142" t="s">
        <v>55</v>
      </c>
      <c r="B156" s="143">
        <f>'Analisis de operaciones'!C14/'Analisis de operaciones'!C18*$O156</f>
        <v>18.73238748</v>
      </c>
      <c r="C156" s="143">
        <f>'Analisis de operaciones'!D14/'Analisis de operaciones'!D18*$O156</f>
        <v>14.37255382</v>
      </c>
      <c r="D156" s="143">
        <f>'Analisis de operaciones'!E14/'Analisis de operaciones'!E18*$O156</f>
        <v>13.67355675</v>
      </c>
      <c r="E156" s="143">
        <f>'Analisis de operaciones'!F14/'Analisis de operaciones'!F18*$O156</f>
        <v>13.16242661</v>
      </c>
      <c r="F156" s="143">
        <f>'Analisis de operaciones'!G14/'Analisis de operaciones'!G18*$O156</f>
        <v>12.32803327</v>
      </c>
      <c r="G156" s="143">
        <f>'Analisis de operaciones'!H14/'Analisis de operaciones'!H18*$O156</f>
        <v>12.00477006</v>
      </c>
      <c r="H156" s="143">
        <f>'Analisis de operaciones'!I14/'Analisis de operaciones'!I18*$O156</f>
        <v>12.83916341</v>
      </c>
      <c r="I156" s="143">
        <f>'Analisis de operaciones'!J14/'Analisis de operaciones'!J18*$O156</f>
        <v>12.83916341</v>
      </c>
      <c r="J156" s="143">
        <f>'Analisis de operaciones'!K14/'Analisis de operaciones'!K18*$O156</f>
        <v>12.83916341</v>
      </c>
      <c r="K156" s="143">
        <f>'Analisis de operaciones'!L14/'Analisis de operaciones'!L18*$O156</f>
        <v>12.5159002</v>
      </c>
      <c r="L156" s="143">
        <f>'Analisis de operaciones'!M14/'Analisis de operaciones'!M18*$O156</f>
        <v>12.19263699</v>
      </c>
      <c r="M156" s="143">
        <f>'Analisis de operaciones'!N14/'Analisis de operaciones'!N18*$O156</f>
        <v>19.37891389</v>
      </c>
      <c r="N156" s="143">
        <f>'Resumen Capacidad'!$B$30*$B$8*$O156</f>
        <v>150</v>
      </c>
      <c r="O156" s="144">
        <f>IF('Resumen Capacidad'!$B$55="Automática",$C$19,$B$19)</f>
        <v>1</v>
      </c>
    </row>
    <row r="157" ht="15.75" hidden="1" customHeight="1" outlineLevel="1">
      <c r="A157" s="142" t="s">
        <v>61</v>
      </c>
      <c r="B157" s="143">
        <f>'Analisis de operaciones'!C24/'Analisis de operaciones'!C28*$O157</f>
        <v>3.283004985</v>
      </c>
      <c r="C157" s="143">
        <f>'Analisis de operaciones'!D24/'Analisis de operaciones'!D28*$O157</f>
        <v>2.518908275</v>
      </c>
      <c r="D157" s="143">
        <f>'Analisis de operaciones'!E24/'Analisis de operaciones'!E28*$O157</f>
        <v>2.39640329</v>
      </c>
      <c r="E157" s="143">
        <f>'Analisis de operaciones'!F24/'Analisis de operaciones'!F28*$O157</f>
        <v>2.306823529</v>
      </c>
      <c r="F157" s="143">
        <f>'Analisis de operaciones'!G24/'Analisis de operaciones'!G28*$O157</f>
        <v>2.160589232</v>
      </c>
      <c r="G157" s="143">
        <f>'Analisis de operaciones'!H24/'Analisis de operaciones'!H28*$O157</f>
        <v>2.103934696</v>
      </c>
      <c r="H157" s="143">
        <f>'Analisis de operaciones'!I24/'Analisis de operaciones'!I28*$O157</f>
        <v>2.250168993</v>
      </c>
      <c r="I157" s="143">
        <f>'Analisis de operaciones'!J24/'Analisis de operaciones'!J28*$O157</f>
        <v>2.250168993</v>
      </c>
      <c r="J157" s="143">
        <f>'Analisis de operaciones'!K24/'Analisis de operaciones'!K28*$O157</f>
        <v>2.250168993</v>
      </c>
      <c r="K157" s="143">
        <f>'Analisis de operaciones'!L24/'Analisis de operaciones'!L28*$O157</f>
        <v>2.193514457</v>
      </c>
      <c r="L157" s="143">
        <f>'Analisis de operaciones'!M24/'Analisis de operaciones'!M28*$O157</f>
        <v>2.13685992</v>
      </c>
      <c r="M157" s="143">
        <f>'Analisis de operaciones'!N24/'Analisis de operaciones'!N28*$O157</f>
        <v>3.396314058</v>
      </c>
      <c r="N157" s="143">
        <f>'Resumen Capacidad'!$B$31*$B$8*$O157</f>
        <v>150</v>
      </c>
      <c r="O157" s="144">
        <f>$B$20</f>
        <v>1</v>
      </c>
    </row>
    <row r="158" ht="15.75" hidden="1" customHeight="1" outlineLevel="1">
      <c r="A158" s="142" t="s">
        <v>62</v>
      </c>
      <c r="B158" s="143">
        <f>'Analisis de operaciones'!C34/'Analisis de operaciones'!C38*$O158</f>
        <v>7.976875</v>
      </c>
      <c r="C158" s="143">
        <f>'Analisis de operaciones'!D34/'Analisis de operaciones'!D38*$O158</f>
        <v>6.1203125</v>
      </c>
      <c r="D158" s="143">
        <f>'Analisis de operaciones'!E34/'Analisis de operaciones'!E38*$O158</f>
        <v>5.82265625</v>
      </c>
      <c r="E158" s="143">
        <f>'Analisis de operaciones'!F34/'Analisis de operaciones'!F38*$O158</f>
        <v>5.605</v>
      </c>
      <c r="F158" s="143">
        <f>'Analisis de operaciones'!G34/'Analisis de operaciones'!G38*$O158</f>
        <v>5.2496875</v>
      </c>
      <c r="G158" s="143">
        <f>'Analisis de operaciones'!H34/'Analisis de operaciones'!H38*$O158</f>
        <v>5.11203125</v>
      </c>
      <c r="H158" s="143">
        <f>'Analisis de operaciones'!I34/'Analisis de operaciones'!I38*$O158</f>
        <v>5.46734375</v>
      </c>
      <c r="I158" s="143">
        <f>'Analisis de operaciones'!J34/'Analisis de operaciones'!J38*$O158</f>
        <v>5.46734375</v>
      </c>
      <c r="J158" s="143">
        <f>'Analisis de operaciones'!K34/'Analisis de operaciones'!K38*$O158</f>
        <v>5.46734375</v>
      </c>
      <c r="K158" s="143">
        <f>'Analisis de operaciones'!L34/'Analisis de operaciones'!L38*$O158</f>
        <v>5.3296875</v>
      </c>
      <c r="L158" s="143">
        <f>'Analisis de operaciones'!M34/'Analisis de operaciones'!M38*$O158</f>
        <v>5.19203125</v>
      </c>
      <c r="M158" s="143">
        <f>'Analisis de operaciones'!N34/'Analisis de operaciones'!N38*$O158</f>
        <v>8.2521875</v>
      </c>
      <c r="N158" s="143">
        <f>'Resumen Capacidad'!$B$32*$B$8*$O158</f>
        <v>150</v>
      </c>
      <c r="O158" s="144">
        <f>$B$21</f>
        <v>1</v>
      </c>
    </row>
    <row r="159" ht="15.75" hidden="1" customHeight="1" outlineLevel="1">
      <c r="A159" s="142" t="s">
        <v>63</v>
      </c>
      <c r="B159" s="143">
        <f>'Analisis de operaciones'!C44/'Analisis de operaciones'!C48*$O159</f>
        <v>3.299575028</v>
      </c>
      <c r="C159" s="143">
        <f>'Analisis de operaciones'!D44/'Analisis de operaciones'!D48*$O159</f>
        <v>2.639660022</v>
      </c>
      <c r="D159" s="143">
        <f>'Analisis de operaciones'!E44/'Analisis de operaciones'!E48*$O159</f>
        <v>2.804638773</v>
      </c>
      <c r="E159" s="143">
        <f>'Analisis de operaciones'!F44/'Analisis de operaciones'!F48*$O159</f>
        <v>2.804638773</v>
      </c>
      <c r="F159" s="143">
        <f>'Analisis de operaciones'!G44/'Analisis de operaciones'!G48*$O159</f>
        <v>2.639660022</v>
      </c>
      <c r="G159" s="143">
        <f>'Analisis de operaciones'!H44/'Analisis de operaciones'!H48*$O159</f>
        <v>2.474681271</v>
      </c>
      <c r="H159" s="143">
        <f>'Analisis de operaciones'!I44/'Analisis de operaciones'!I48*$O159</f>
        <v>2.639660022</v>
      </c>
      <c r="I159" s="143">
        <f>'Analisis de operaciones'!J44/'Analisis de operaciones'!J48*$O159</f>
        <v>2.639660022</v>
      </c>
      <c r="J159" s="143">
        <f>'Analisis de operaciones'!K44/'Analisis de operaciones'!K48*$O159</f>
        <v>2.639660022</v>
      </c>
      <c r="K159" s="143">
        <f>'Analisis de operaciones'!L44/'Analisis de operaciones'!L48*$O159</f>
        <v>2.474681271</v>
      </c>
      <c r="L159" s="143">
        <f>'Analisis de operaciones'!M44/'Analisis de operaciones'!M48*$O159</f>
        <v>2.309702519</v>
      </c>
      <c r="M159" s="143">
        <f>'Analisis de operaciones'!N44/'Analisis de operaciones'!N48*$O159</f>
        <v>3.62953253</v>
      </c>
      <c r="N159" s="143">
        <f>'Resumen Capacidad'!$B$33*$B$8*$O159</f>
        <v>150</v>
      </c>
      <c r="O159" s="144">
        <f>$B$22</f>
        <v>1</v>
      </c>
    </row>
    <row r="160" ht="15.75" hidden="1" customHeight="1" outlineLevel="1">
      <c r="A160" s="142" t="s">
        <v>64</v>
      </c>
      <c r="B160" s="143">
        <f>'Analisis de operaciones'!C54/'Analisis de operaciones'!C58*$O160</f>
        <v>2.335796097</v>
      </c>
      <c r="C160" s="143">
        <f>'Analisis de operaciones'!D54/'Analisis de operaciones'!D58*$O160</f>
        <v>1.868636878</v>
      </c>
      <c r="D160" s="143">
        <f>'Analisis de operaciones'!E54/'Analisis de operaciones'!E58*$O160</f>
        <v>1.985426683</v>
      </c>
      <c r="E160" s="143">
        <f>'Analisis de operaciones'!F54/'Analisis de operaciones'!F58*$O160</f>
        <v>1.985426683</v>
      </c>
      <c r="F160" s="143">
        <f>'Analisis de operaciones'!G54/'Analisis de operaciones'!G58*$O160</f>
        <v>1.868636878</v>
      </c>
      <c r="G160" s="143">
        <f>'Analisis de operaciones'!H54/'Analisis de operaciones'!H58*$O160</f>
        <v>1.751847073</v>
      </c>
      <c r="H160" s="143">
        <f>'Analisis de operaciones'!I54/'Analisis de operaciones'!I58*$O160</f>
        <v>1.868636878</v>
      </c>
      <c r="I160" s="143">
        <f>'Analisis de operaciones'!J54/'Analisis de operaciones'!J58*$O160</f>
        <v>1.868636878</v>
      </c>
      <c r="J160" s="143">
        <f>'Analisis de operaciones'!K54/'Analisis de operaciones'!K58*$O160</f>
        <v>1.868636878</v>
      </c>
      <c r="K160" s="143">
        <f>'Analisis de operaciones'!L54/'Analisis de operaciones'!L58*$O160</f>
        <v>1.751847073</v>
      </c>
      <c r="L160" s="143">
        <f>'Analisis de operaciones'!M54/'Analisis de operaciones'!M58*$O160</f>
        <v>1.635057268</v>
      </c>
      <c r="M160" s="143">
        <f>'Analisis de operaciones'!N54/'Analisis de operaciones'!N58*$O160</f>
        <v>2.569375707</v>
      </c>
      <c r="N160" s="143">
        <f>'Resumen Capacidad'!$B$34*$B$8*$O160</f>
        <v>75</v>
      </c>
      <c r="O160" s="144">
        <f>IF('Resumen Capacidad'!$B$56="Automática",$C$23,$B$23)</f>
        <v>0.5</v>
      </c>
    </row>
    <row r="161" ht="15.75" hidden="1" customHeight="1" outlineLevel="1">
      <c r="A161" s="142" t="s">
        <v>66</v>
      </c>
      <c r="B161" s="143">
        <f>'Analisis de operaciones'!C64/'Analisis de operaciones'!C68*$O161</f>
        <v>12.62496703</v>
      </c>
      <c r="C161" s="143">
        <f>'Analisis de operaciones'!D64/'Analisis de operaciones'!D68*$O161</f>
        <v>9.686593247</v>
      </c>
      <c r="D161" s="143">
        <f>'Analisis de operaciones'!E64/'Analisis de operaciones'!E68*$O161</f>
        <v>9.215493933</v>
      </c>
      <c r="E161" s="143">
        <f>'Analisis de operaciones'!F64/'Analisis de operaciones'!F68*$O161</f>
        <v>8.871010288</v>
      </c>
      <c r="F161" s="143">
        <f>'Analisis de operaciones'!G64/'Analisis de operaciones'!G68*$O161</f>
        <v>8.308658665</v>
      </c>
      <c r="G161" s="143">
        <f>'Analisis de operaciones'!H64/'Analisis de operaciones'!H68*$O161</f>
        <v>8.090790688</v>
      </c>
      <c r="H161" s="143">
        <f>'Analisis de operaciones'!I64/'Analisis de operaciones'!I68*$O161</f>
        <v>8.653142311</v>
      </c>
      <c r="I161" s="143">
        <f>'Analisis de operaciones'!J64/'Analisis de operaciones'!J68*$O161</f>
        <v>8.653142311</v>
      </c>
      <c r="J161" s="143">
        <f>'Analisis de operaciones'!K64/'Analisis de operaciones'!K68*$O161</f>
        <v>8.653142311</v>
      </c>
      <c r="K161" s="143">
        <f>'Analisis de operaciones'!L64/'Analisis de operaciones'!L68*$O161</f>
        <v>8.435274334</v>
      </c>
      <c r="L161" s="143">
        <f>'Analisis de operaciones'!M64/'Analisis de operaciones'!M68*$O161</f>
        <v>8.217406357</v>
      </c>
      <c r="M161" s="143">
        <f>'Analisis de operaciones'!N64/'Analisis de operaciones'!N68*$O161</f>
        <v>13.06070298</v>
      </c>
      <c r="N161" s="143">
        <f>'Resumen Capacidad'!$B$35*$B$8*$O161</f>
        <v>150</v>
      </c>
      <c r="O161" s="144">
        <f>$B$24</f>
        <v>1</v>
      </c>
    </row>
    <row r="162" ht="15.75" hidden="1" customHeight="1" outlineLevel="1">
      <c r="A162" s="142" t="s">
        <v>67</v>
      </c>
      <c r="B162" s="143">
        <f>'Analisis de operaciones'!C74/'Analisis de operaciones'!C78*$O162</f>
        <v>4.085794318</v>
      </c>
      <c r="C162" s="143">
        <f>'Analisis de operaciones'!D74/'Analisis de operaciones'!D78*$O162</f>
        <v>3.134853942</v>
      </c>
      <c r="D162" s="143">
        <f>'Analisis de operaciones'!E74/'Analisis de operaciones'!E78*$O162</f>
        <v>2.982392957</v>
      </c>
      <c r="E162" s="143">
        <f>'Analisis de operaciones'!F74/'Analisis de operaciones'!F78*$O162</f>
        <v>2.870908363</v>
      </c>
      <c r="F162" s="143">
        <f>'Analisis de operaciones'!G74/'Analisis de operaciones'!G78*$O162</f>
        <v>2.688915566</v>
      </c>
      <c r="G162" s="143">
        <f>'Analisis de operaciones'!H74/'Analisis de operaciones'!H78*$O162</f>
        <v>2.618407363</v>
      </c>
      <c r="H162" s="143">
        <f>'Analisis de operaciones'!I74/'Analisis de operaciones'!I78*$O162</f>
        <v>2.80040016</v>
      </c>
      <c r="I162" s="143">
        <f>'Analisis de operaciones'!J74/'Analisis de operaciones'!J78*$O162</f>
        <v>2.80040016</v>
      </c>
      <c r="J162" s="143">
        <f>'Analisis de operaciones'!K74/'Analisis de operaciones'!K78*$O162</f>
        <v>2.80040016</v>
      </c>
      <c r="K162" s="143">
        <f>'Analisis de operaciones'!L74/'Analisis de operaciones'!L78*$O162</f>
        <v>2.729891957</v>
      </c>
      <c r="L162" s="143">
        <f>'Analisis de operaciones'!M74/'Analisis de operaciones'!M78*$O162</f>
        <v>2.659383754</v>
      </c>
      <c r="M162" s="143">
        <f>'Analisis de operaciones'!N74/'Analisis de operaciones'!N78*$O162</f>
        <v>4.226810724</v>
      </c>
      <c r="N162" s="143">
        <f>'Resumen Capacidad'!$B$36*$B$8*$O162</f>
        <v>150</v>
      </c>
      <c r="O162" s="144">
        <f>$B$25</f>
        <v>1</v>
      </c>
    </row>
    <row r="163" ht="15.75" hidden="1" customHeight="1" outlineLevel="1">
      <c r="A163" s="142" t="s">
        <v>68</v>
      </c>
      <c r="B163" s="143">
        <f>'Analisis de operaciones'!C84/'Analisis de operaciones'!C88*$O163</f>
        <v>6.015742836</v>
      </c>
      <c r="C163" s="143">
        <f>'Analisis de operaciones'!D84/'Analisis de operaciones'!D88*$O163</f>
        <v>4.615620287</v>
      </c>
      <c r="D163" s="143">
        <f>'Analisis de operaciones'!E84/'Analisis de operaciones'!E88*$O163</f>
        <v>4.391143477</v>
      </c>
      <c r="E163" s="143">
        <f>'Analisis de operaciones'!F84/'Analisis de operaciones'!F88*$O163</f>
        <v>4.226998492</v>
      </c>
      <c r="F163" s="143">
        <f>'Analisis de operaciones'!G84/'Analisis de operaciones'!G88*$O163</f>
        <v>3.959040347</v>
      </c>
      <c r="G163" s="143">
        <f>'Analisis de operaciones'!H84/'Analisis de operaciones'!H88*$O163</f>
        <v>3.855227187</v>
      </c>
      <c r="H163" s="143">
        <f>'Analisis de operaciones'!I84/'Analisis de operaciones'!I88*$O163</f>
        <v>4.123185332</v>
      </c>
      <c r="I163" s="143">
        <f>'Analisis de operaciones'!J84/'Analisis de operaciones'!J88*$O163</f>
        <v>4.123185332</v>
      </c>
      <c r="J163" s="143">
        <f>'Analisis de operaciones'!K84/'Analisis de operaciones'!K88*$O163</f>
        <v>4.123185332</v>
      </c>
      <c r="K163" s="143">
        <f>'Analisis de operaciones'!L84/'Analisis de operaciones'!L88*$O163</f>
        <v>4.019372172</v>
      </c>
      <c r="L163" s="143">
        <f>'Analisis de operaciones'!M84/'Analisis de operaciones'!M88*$O163</f>
        <v>3.915559012</v>
      </c>
      <c r="M163" s="143">
        <f>'Analisis de operaciones'!N84/'Analisis de operaciones'!N88*$O163</f>
        <v>6.223369155</v>
      </c>
      <c r="N163" s="143">
        <f>'Resumen Capacidad'!$B$37*$B$8*$O163</f>
        <v>75</v>
      </c>
      <c r="O163" s="144">
        <f>IF('Resumen Capacidad'!$B$57="Automática",$C$26,$B$26)</f>
        <v>0.5</v>
      </c>
    </row>
    <row r="164" ht="15.75" hidden="1" customHeight="1" outlineLevel="1">
      <c r="A164" s="142" t="s">
        <v>70</v>
      </c>
      <c r="B164" s="143">
        <f>'Analisis de operaciones'!C94/'Analisis de operaciones'!C98*$O164</f>
        <v>34.08741097</v>
      </c>
      <c r="C164" s="143">
        <f>'Analisis de operaciones'!D94/'Analisis de operaciones'!D98*$O164</f>
        <v>26.15380177</v>
      </c>
      <c r="D164" s="143">
        <f>'Analisis de operaciones'!E94/'Analisis de operaciones'!E98*$O164</f>
        <v>24.88183362</v>
      </c>
      <c r="E164" s="143">
        <f>'Analisis de operaciones'!F94/'Analisis de operaciones'!F98*$O164</f>
        <v>23.95172778</v>
      </c>
      <c r="F164" s="143">
        <f>'Analisis de operaciones'!G94/'Analisis de operaciones'!G98*$O164</f>
        <v>22.4333784</v>
      </c>
      <c r="G164" s="143">
        <f>'Analisis de operaciones'!H94/'Analisis de operaciones'!H98*$O164</f>
        <v>21.84513486</v>
      </c>
      <c r="H164" s="143">
        <f>'Analisis de operaciones'!I94/'Analisis de operaciones'!I98*$O164</f>
        <v>23.36348424</v>
      </c>
      <c r="I164" s="143">
        <f>'Analisis de operaciones'!J94/'Analisis de operaciones'!J98*$O164</f>
        <v>23.36348424</v>
      </c>
      <c r="J164" s="143">
        <f>'Analisis de operaciones'!K94/'Analisis de operaciones'!K98*$O164</f>
        <v>23.36348424</v>
      </c>
      <c r="K164" s="143">
        <f>'Analisis de operaciones'!L94/'Analisis de operaciones'!L98*$O164</f>
        <v>22.7752407</v>
      </c>
      <c r="L164" s="143">
        <f>'Analisis de operaciones'!M94/'Analisis de operaciones'!M98*$O164</f>
        <v>22.18699716</v>
      </c>
      <c r="M164" s="143">
        <f>'Analisis de operaciones'!N94/'Analisis de operaciones'!N98*$O164</f>
        <v>35.26389805</v>
      </c>
      <c r="N164" s="143">
        <f>'Resumen Capacidad'!$B$38*$B$8*$O164</f>
        <v>150</v>
      </c>
      <c r="O164" s="144">
        <f>IF('Resumen Capacidad'!$B$58="Automática",$C$27,$B$27)</f>
        <v>1</v>
      </c>
    </row>
    <row r="165" ht="15.75" hidden="1" customHeight="1" outlineLevel="1">
      <c r="A165" s="142" t="s">
        <v>72</v>
      </c>
      <c r="B165" s="143">
        <f>'Analisis de operaciones'!C104/'Analisis de operaciones'!C108*$O165</f>
        <v>1.857009804</v>
      </c>
      <c r="C165" s="143">
        <f>'Analisis de operaciones'!D104/'Analisis de operaciones'!D108*$O165</f>
        <v>1.485607843</v>
      </c>
      <c r="D165" s="143">
        <f>'Analisis de operaciones'!E104/'Analisis de operaciones'!E108*$O165</f>
        <v>1.578458333</v>
      </c>
      <c r="E165" s="143">
        <f>'Analisis de operaciones'!F104/'Analisis de operaciones'!F108*$O165</f>
        <v>1.578458333</v>
      </c>
      <c r="F165" s="143">
        <f>'Analisis de operaciones'!G104/'Analisis de operaciones'!G108*$O165</f>
        <v>1.485607843</v>
      </c>
      <c r="G165" s="143">
        <f>'Analisis de operaciones'!H104/'Analisis de operaciones'!H108*$O165</f>
        <v>1.392757353</v>
      </c>
      <c r="H165" s="143">
        <f>'Analisis de operaciones'!I104/'Analisis de operaciones'!I108*$O165</f>
        <v>1.485607843</v>
      </c>
      <c r="I165" s="143">
        <f>'Analisis de operaciones'!J104/'Analisis de operaciones'!J108*$O165</f>
        <v>1.485607843</v>
      </c>
      <c r="J165" s="143">
        <f>'Analisis de operaciones'!K104/'Analisis de operaciones'!K108*$O165</f>
        <v>1.485607843</v>
      </c>
      <c r="K165" s="143">
        <f>'Analisis de operaciones'!L104/'Analisis de operaciones'!L108*$O165</f>
        <v>1.392757353</v>
      </c>
      <c r="L165" s="143">
        <f>'Analisis de operaciones'!M104/'Analisis de operaciones'!M108*$O165</f>
        <v>1.299906863</v>
      </c>
      <c r="M165" s="143">
        <f>'Analisis de operaciones'!N104/'Analisis de operaciones'!N108*$O165</f>
        <v>2.042710784</v>
      </c>
      <c r="N165" s="143">
        <f>'Resumen Capacidad'!$B$39*$B$8*$O165</f>
        <v>75</v>
      </c>
      <c r="O165" s="144">
        <f>$B$28</f>
        <v>0.5</v>
      </c>
    </row>
    <row r="166" ht="15.75" hidden="1" customHeight="1" outlineLevel="1">
      <c r="A166" s="142" t="s">
        <v>74</v>
      </c>
      <c r="B166" s="143">
        <f>'Analisis de operaciones'!C114/'Analisis de operaciones'!C118*$O166</f>
        <v>3.9884375</v>
      </c>
      <c r="C166" s="143">
        <f>'Analisis de operaciones'!D114/'Analisis de operaciones'!D118*$O166</f>
        <v>3.06015625</v>
      </c>
      <c r="D166" s="143">
        <f>'Analisis de operaciones'!E114/'Analisis de operaciones'!E118*$O166</f>
        <v>2.911328125</v>
      </c>
      <c r="E166" s="143">
        <f>'Analisis de operaciones'!F114/'Analisis de operaciones'!F118*$O166</f>
        <v>2.8025</v>
      </c>
      <c r="F166" s="143">
        <f>'Analisis de operaciones'!G114/'Analisis de operaciones'!G118*$O166</f>
        <v>2.62484375</v>
      </c>
      <c r="G166" s="143">
        <f>'Analisis de operaciones'!H114/'Analisis de operaciones'!H118*$O166</f>
        <v>2.556015625</v>
      </c>
      <c r="H166" s="143">
        <f>'Analisis de operaciones'!I114/'Analisis de operaciones'!I118*$O166</f>
        <v>2.733671875</v>
      </c>
      <c r="I166" s="143">
        <f>'Analisis de operaciones'!J114/'Analisis de operaciones'!J118*$O166</f>
        <v>2.733671875</v>
      </c>
      <c r="J166" s="143">
        <f>'Analisis de operaciones'!K114/'Analisis de operaciones'!K118*$O166</f>
        <v>2.733671875</v>
      </c>
      <c r="K166" s="143">
        <f>'Analisis de operaciones'!L114/'Analisis de operaciones'!L118*$O166</f>
        <v>2.66484375</v>
      </c>
      <c r="L166" s="143">
        <f>'Analisis de operaciones'!M114/'Analisis de operaciones'!M118*$O166</f>
        <v>2.596015625</v>
      </c>
      <c r="M166" s="143">
        <f>'Analisis de operaciones'!N114/'Analisis de operaciones'!N118*$O166</f>
        <v>4.12609375</v>
      </c>
      <c r="N166" s="143">
        <f>'Resumen Capacidad'!$B$40*$B$8*$O166</f>
        <v>150</v>
      </c>
      <c r="O166" s="144">
        <f>$B$29</f>
        <v>1</v>
      </c>
    </row>
    <row r="167" ht="15.75" hidden="1" customHeight="1" outlineLevel="1">
      <c r="A167" s="142" t="s">
        <v>76</v>
      </c>
      <c r="B167" s="143">
        <f>'Analisis de operaciones'!C1834/'Analisis de operaciones'!C1838*$O167</f>
        <v>1.866697279</v>
      </c>
      <c r="C167" s="143">
        <f>'Analisis de operaciones'!D1834/'Analisis de operaciones'!D1838*$O167</f>
        <v>1.432236395</v>
      </c>
      <c r="D167" s="143">
        <f>'Analisis de operaciones'!E1834/'Analisis de operaciones'!E1838*$O167</f>
        <v>1.362580782</v>
      </c>
      <c r="E167" s="143">
        <f>'Analisis de operaciones'!F1834/'Analisis de operaciones'!F1838*$O167</f>
        <v>1.311646259</v>
      </c>
      <c r="F167" s="143">
        <f>'Analisis de operaciones'!G1834/'Analisis de operaciones'!G1838*$O167</f>
        <v>1.228498299</v>
      </c>
      <c r="G167" s="143">
        <f>'Analisis de operaciones'!H1834/'Analisis de operaciones'!H1838*$O167</f>
        <v>1.196284864</v>
      </c>
      <c r="H167" s="143">
        <f>'Analisis de operaciones'!I1834/'Analisis de operaciones'!I1838*$O167</f>
        <v>1.279432823</v>
      </c>
      <c r="I167" s="143">
        <f>'Analisis de operaciones'!J1834/'Analisis de operaciones'!J1838*$O167</f>
        <v>1.279432823</v>
      </c>
      <c r="J167" s="143">
        <f>'Analisis de operaciones'!K1834/'Analisis de operaciones'!K1838*$O167</f>
        <v>1.279432823</v>
      </c>
      <c r="K167" s="143">
        <f>'Analisis de operaciones'!L1834/'Analisis de operaciones'!L1838*$O167</f>
        <v>1.247219388</v>
      </c>
      <c r="L167" s="143">
        <f>'Analisis de operaciones'!M1834/'Analisis de operaciones'!M1838*$O167</f>
        <v>1.215005952</v>
      </c>
      <c r="M167" s="143">
        <f>'Analisis de operaciones'!N1834/'Analisis de operaciones'!N1838*$O167</f>
        <v>1.93112415</v>
      </c>
      <c r="N167" s="143">
        <f>'Resumen Capacidad'!$B$41*$B$8*$O167</f>
        <v>150</v>
      </c>
      <c r="O167" s="144">
        <f>$B$30</f>
        <v>1</v>
      </c>
    </row>
    <row r="168" ht="15.75" hidden="1" customHeight="1" outlineLevel="1">
      <c r="A168" s="142" t="s">
        <v>77</v>
      </c>
      <c r="B168" s="143">
        <f>IF('Resumen Capacidad'!$B$42=0,0,'Analisis de operaciones'!C124/'Analisis de operaciones'!C128*$O168)</f>
        <v>0</v>
      </c>
      <c r="C168" s="143">
        <f>IF('Resumen Capacidad'!$B$42=0,0,'Analisis de operaciones'!D124/'Analisis de operaciones'!D128*$O168)</f>
        <v>0</v>
      </c>
      <c r="D168" s="143">
        <f>IF('Resumen Capacidad'!$B$42=0,0,'Analisis de operaciones'!E124/'Analisis de operaciones'!E128*$O168)</f>
        <v>0</v>
      </c>
      <c r="E168" s="143">
        <f>IF('Resumen Capacidad'!$B$42=0,0,'Analisis de operaciones'!F124/'Analisis de operaciones'!F128*$O168)</f>
        <v>0</v>
      </c>
      <c r="F168" s="143">
        <f>IF('Resumen Capacidad'!$B$42=0,0,'Analisis de operaciones'!G124/'Analisis de operaciones'!G128*$O168)</f>
        <v>0</v>
      </c>
      <c r="G168" s="143">
        <f>IF('Resumen Capacidad'!$B$42=0,0,'Analisis de operaciones'!H124/'Analisis de operaciones'!H128*$O168)</f>
        <v>0</v>
      </c>
      <c r="H168" s="143">
        <f>IF('Resumen Capacidad'!$B$42=0,0,'Analisis de operaciones'!I124/'Analisis de operaciones'!I128*$O168)</f>
        <v>0</v>
      </c>
      <c r="I168" s="143">
        <f>IF('Resumen Capacidad'!$B$42=0,0,'Analisis de operaciones'!J124/'Analisis de operaciones'!J128*$O168)</f>
        <v>0</v>
      </c>
      <c r="J168" s="143">
        <f>IF('Resumen Capacidad'!$B$42=0,0,'Analisis de operaciones'!K124/'Analisis de operaciones'!K128*$O168)</f>
        <v>0</v>
      </c>
      <c r="K168" s="143">
        <f>IF('Resumen Capacidad'!$B$42=0,0,'Analisis de operaciones'!L124/'Analisis de operaciones'!L128*$O168)</f>
        <v>0</v>
      </c>
      <c r="L168" s="143">
        <f>IF('Resumen Capacidad'!$B$42=0,0,'Analisis de operaciones'!M124/'Analisis de operaciones'!M128*$O168)</f>
        <v>0</v>
      </c>
      <c r="M168" s="143">
        <f>IF('Resumen Capacidad'!$B$42=0,0,'Analisis de operaciones'!N124/'Analisis de operaciones'!N128*$O168)</f>
        <v>0</v>
      </c>
      <c r="N168" s="143">
        <f>'Resumen Capacidad'!$B$42*$B$8*$O168</f>
        <v>0</v>
      </c>
      <c r="O168" s="144">
        <f>$B$31</f>
        <v>0.5</v>
      </c>
    </row>
    <row r="169" ht="15.75" hidden="1" customHeight="1" outlineLevel="1">
      <c r="A169" s="142" t="s">
        <v>79</v>
      </c>
      <c r="B169" s="143">
        <f>'Analisis de operaciones'!C134/'Analisis de operaciones'!C138*$O169</f>
        <v>6.632599432</v>
      </c>
      <c r="C169" s="143">
        <f>'Analisis de operaciones'!D134/'Analisis de operaciones'!D138*$O169</f>
        <v>5.121981534</v>
      </c>
      <c r="D169" s="143">
        <f>'Analisis de operaciones'!E134/'Analisis de operaciones'!E138*$O169</f>
        <v>4.935919744</v>
      </c>
      <c r="E169" s="143">
        <f>'Analisis de operaciones'!F134/'Analisis de operaciones'!F138*$O169</f>
        <v>4.762784091</v>
      </c>
      <c r="F169" s="143">
        <f>'Analisis de operaciones'!G134/'Analisis de operaciones'!G138*$O169</f>
        <v>4.480149148</v>
      </c>
      <c r="G169" s="143">
        <f>'Analisis de operaciones'!H134/'Analisis de operaciones'!H138*$O169</f>
        <v>4.33684304</v>
      </c>
      <c r="H169" s="143">
        <f>'Analisis de operaciones'!I134/'Analisis de operaciones'!I138*$O169</f>
        <v>4.653284801</v>
      </c>
      <c r="I169" s="143">
        <f>'Analisis de operaciones'!J134/'Analisis de operaciones'!J138*$O169</f>
        <v>4.653284801</v>
      </c>
      <c r="J169" s="143">
        <f>'Analisis de operaciones'!K134/'Analisis de operaciones'!K138*$O169</f>
        <v>4.636381392</v>
      </c>
      <c r="K169" s="143">
        <f>'Analisis de operaciones'!L134/'Analisis de operaciones'!L138*$O169</f>
        <v>4.493075284</v>
      </c>
      <c r="L169" s="143">
        <f>'Analisis de operaciones'!M134/'Analisis de operaciones'!M138*$O169</f>
        <v>4.366672585</v>
      </c>
      <c r="M169" s="143">
        <f>'Analisis de operaciones'!N134/'Analisis de operaciones'!N138*$O169</f>
        <v>6.834694602</v>
      </c>
      <c r="N169" s="143">
        <f>'Resumen Capacidad'!$B$43*$B$8*$O169</f>
        <v>75</v>
      </c>
      <c r="O169" s="144">
        <f>$B$32</f>
        <v>0.5</v>
      </c>
    </row>
    <row r="170" ht="15.75" hidden="1" customHeight="1" outlineLevel="1">
      <c r="A170" s="142" t="s">
        <v>81</v>
      </c>
      <c r="B170" s="143">
        <f>'Analisis de operaciones'!C144/'Analisis de operaciones'!C148*$O170</f>
        <v>31.76428571</v>
      </c>
      <c r="C170" s="143">
        <f>'Analisis de operaciones'!D144/'Analisis de operaciones'!D148*$O170</f>
        <v>24.5297619</v>
      </c>
      <c r="D170" s="143">
        <f>'Analisis de operaciones'!E144/'Analisis de operaciones'!E148*$O170</f>
        <v>23.63869048</v>
      </c>
      <c r="E170" s="143">
        <f>'Analisis de operaciones'!F144/'Analisis de operaciones'!F148*$O170</f>
        <v>22.80952381</v>
      </c>
      <c r="F170" s="143">
        <f>'Analisis de operaciones'!G144/'Analisis de operaciones'!G148*$O170</f>
        <v>21.45595238</v>
      </c>
      <c r="G170" s="143">
        <f>'Analisis de operaciones'!H144/'Analisis de operaciones'!H148*$O170</f>
        <v>20.76964286</v>
      </c>
      <c r="H170" s="143">
        <f>'Analisis de operaciones'!I144/'Analisis de operaciones'!I148*$O170</f>
        <v>22.28511905</v>
      </c>
      <c r="I170" s="143">
        <f>'Analisis de operaciones'!J144/'Analisis de operaciones'!J148*$O170</f>
        <v>22.28511905</v>
      </c>
      <c r="J170" s="143">
        <f>'Analisis de operaciones'!K144/'Analisis de operaciones'!K148*$O170</f>
        <v>22.20416667</v>
      </c>
      <c r="K170" s="143">
        <f>'Analisis de operaciones'!L144/'Analisis de operaciones'!L148*$O170</f>
        <v>21.51785714</v>
      </c>
      <c r="L170" s="143">
        <f>'Analisis de operaciones'!M144/'Analisis de operaciones'!M148*$O170</f>
        <v>20.9125</v>
      </c>
      <c r="M170" s="143">
        <f>'Analisis de operaciones'!N144/'Analisis de operaciones'!N148*$O170</f>
        <v>32.73214286</v>
      </c>
      <c r="N170" s="143">
        <f>'Resumen Capacidad'!$B$44*$B$8*$O170</f>
        <v>150</v>
      </c>
      <c r="O170" s="144">
        <f>$B$33</f>
        <v>1</v>
      </c>
    </row>
    <row r="171" ht="15.75" hidden="1" customHeight="1" outlineLevel="1">
      <c r="A171" s="142" t="s">
        <v>82</v>
      </c>
      <c r="B171" s="143">
        <f>'Analisis de operaciones'!C154/'Analisis de operaciones'!C158*$O171</f>
        <v>19.27033333</v>
      </c>
      <c r="C171" s="143">
        <f>'Analisis de operaciones'!D154/'Analisis de operaciones'!D158*$O171</f>
        <v>14.88138889</v>
      </c>
      <c r="D171" s="143">
        <f>'Analisis de operaciones'!E154/'Analisis de operaciones'!E158*$O171</f>
        <v>14.34080556</v>
      </c>
      <c r="E171" s="143">
        <f>'Analisis de operaciones'!F154/'Analisis de operaciones'!F158*$O171</f>
        <v>13.83777778</v>
      </c>
      <c r="F171" s="143">
        <f>'Analisis de operaciones'!G154/'Analisis de operaciones'!G158*$O171</f>
        <v>13.01661111</v>
      </c>
      <c r="G171" s="143">
        <f>'Analisis de operaciones'!H154/'Analisis de operaciones'!H158*$O171</f>
        <v>12.60025</v>
      </c>
      <c r="H171" s="143">
        <f>'Analisis de operaciones'!I154/'Analisis de operaciones'!I158*$O171</f>
        <v>13.51963889</v>
      </c>
      <c r="I171" s="143">
        <f>'Analisis de operaciones'!J154/'Analisis de operaciones'!J158*$O171</f>
        <v>13.51963889</v>
      </c>
      <c r="J171" s="143">
        <f>'Analisis de operaciones'!K154/'Analisis de operaciones'!K158*$O171</f>
        <v>13.47052778</v>
      </c>
      <c r="K171" s="143">
        <f>'Analisis de operaciones'!L154/'Analisis de operaciones'!L158*$O171</f>
        <v>13.05416667</v>
      </c>
      <c r="L171" s="143">
        <f>'Analisis de operaciones'!M154/'Analisis de operaciones'!M158*$O171</f>
        <v>12.68691667</v>
      </c>
      <c r="M171" s="143">
        <f>'Analisis de operaciones'!N154/'Analisis de operaciones'!N158*$O171</f>
        <v>19.8575</v>
      </c>
      <c r="N171" s="143">
        <f>'Resumen Capacidad'!$B$45*$B$8*$O171</f>
        <v>150</v>
      </c>
      <c r="O171" s="144">
        <f>$B$34</f>
        <v>1</v>
      </c>
    </row>
    <row r="172" ht="15.75" hidden="1" customHeight="1" outlineLevel="1">
      <c r="A172" s="142" t="s">
        <v>83</v>
      </c>
      <c r="B172" s="143">
        <f>'Analisis de operaciones'!C164/'Analisis de operaciones'!C168*$O172</f>
        <v>17.47035714</v>
      </c>
      <c r="C172" s="143">
        <f>'Analisis de operaciones'!D164/'Analisis de operaciones'!D168*$O172</f>
        <v>13.49136905</v>
      </c>
      <c r="D172" s="143">
        <f>'Analisis de operaciones'!E164/'Analisis de operaciones'!E168*$O172</f>
        <v>13.00127976</v>
      </c>
      <c r="E172" s="143">
        <f>'Analisis de operaciones'!F164/'Analisis de operaciones'!F168*$O172</f>
        <v>12.5452381</v>
      </c>
      <c r="F172" s="143">
        <f>'Analisis de operaciones'!G164/'Analisis de operaciones'!G168*$O172</f>
        <v>11.80077381</v>
      </c>
      <c r="G172" s="143">
        <f>'Analisis de operaciones'!H164/'Analisis de operaciones'!H168*$O172</f>
        <v>11.42330357</v>
      </c>
      <c r="H172" s="143">
        <f>'Analisis de operaciones'!I164/'Analisis de operaciones'!I168*$O172</f>
        <v>12.25681548</v>
      </c>
      <c r="I172" s="143">
        <f>'Analisis de operaciones'!J164/'Analisis de operaciones'!J168*$O172</f>
        <v>12.25681548</v>
      </c>
      <c r="J172" s="143">
        <f>'Analisis de operaciones'!K164/'Analisis de operaciones'!K168*$O172</f>
        <v>12.21229167</v>
      </c>
      <c r="K172" s="143">
        <f>'Analisis de operaciones'!L164/'Analisis de operaciones'!L168*$O172</f>
        <v>11.83482143</v>
      </c>
      <c r="L172" s="143">
        <f>'Analisis de operaciones'!M164/'Analisis de operaciones'!M168*$O172</f>
        <v>11.501875</v>
      </c>
      <c r="M172" s="143">
        <f>'Analisis de operaciones'!N164/'Analisis de operaciones'!N168*$O172</f>
        <v>18.00267857</v>
      </c>
      <c r="N172" s="143">
        <f>'Resumen Capacidad'!$B$46*$B$8*$O172</f>
        <v>150</v>
      </c>
      <c r="O172" s="144">
        <f>$B$35</f>
        <v>1</v>
      </c>
    </row>
    <row r="173" ht="15.75" hidden="1" customHeight="1" outlineLevel="1">
      <c r="A173" s="142" t="s">
        <v>84</v>
      </c>
      <c r="B173" s="143">
        <f>'Analisis de operaciones'!C174/'Analisis de operaciones'!C178*$O173</f>
        <v>15.68785417</v>
      </c>
      <c r="C173" s="143">
        <f>'Analisis de operaciones'!D174/'Analisis de operaciones'!D178*$O173</f>
        <v>12.03661458</v>
      </c>
      <c r="D173" s="143">
        <f>'Analisis de operaciones'!E174/'Analisis de operaciones'!E178*$O173</f>
        <v>11.45122396</v>
      </c>
      <c r="E173" s="143">
        <f>'Analisis de operaciones'!F174/'Analisis de operaciones'!F178*$O173</f>
        <v>11.02316667</v>
      </c>
      <c r="F173" s="143">
        <f>'Analisis de operaciones'!G174/'Analisis de operaciones'!G178*$O173</f>
        <v>10.32438542</v>
      </c>
      <c r="G173" s="143">
        <f>'Analisis de operaciones'!H174/'Analisis de operaciones'!H178*$O173</f>
        <v>10.05366146</v>
      </c>
      <c r="H173" s="143">
        <f>'Analisis de operaciones'!I174/'Analisis de operaciones'!I178*$O173</f>
        <v>10.75244271</v>
      </c>
      <c r="I173" s="143">
        <f>'Analisis de operaciones'!J174/'Analisis de operaciones'!J178*$O173</f>
        <v>10.75244271</v>
      </c>
      <c r="J173" s="143">
        <f>'Analisis de operaciones'!K174/'Analisis de operaciones'!K178*$O173</f>
        <v>10.75244271</v>
      </c>
      <c r="K173" s="143">
        <f>'Analisis de operaciones'!L174/'Analisis de operaciones'!L178*$O173</f>
        <v>10.48171875</v>
      </c>
      <c r="L173" s="143">
        <f>'Analisis de operaciones'!M174/'Analisis de operaciones'!M178*$O173</f>
        <v>10.21099479</v>
      </c>
      <c r="M173" s="143">
        <f>'Analisis de operaciones'!N174/'Analisis de operaciones'!N178*$O173</f>
        <v>16.22930208</v>
      </c>
      <c r="N173" s="143">
        <f>'Resumen Capacidad'!$B$47*$B$8*$O173</f>
        <v>150</v>
      </c>
      <c r="O173" s="144">
        <f>$B$36</f>
        <v>1</v>
      </c>
    </row>
    <row r="174" ht="15.75" hidden="1" customHeight="1" outlineLevel="1">
      <c r="A174" s="142" t="s">
        <v>85</v>
      </c>
      <c r="B174" s="143">
        <f>'Analisis de operaciones'!C1844/'Analisis de operaciones'!C1848*$O174</f>
        <v>3.333675214</v>
      </c>
      <c r="C174" s="143">
        <f>'Analisis de operaciones'!D1844/'Analisis de operaciones'!D1848*$O174</f>
        <v>2.50025641</v>
      </c>
      <c r="D174" s="143">
        <f>'Analisis de operaciones'!E1844/'Analisis de operaciones'!E1848*$O174</f>
        <v>2.222450142</v>
      </c>
      <c r="E174" s="143">
        <f>'Analisis de operaciones'!F1844/'Analisis de operaciones'!F1848*$O174</f>
        <v>2.083547009</v>
      </c>
      <c r="F174" s="143">
        <f>'Analisis de operaciones'!G1844/'Analisis de operaciones'!G1848*$O174</f>
        <v>1.944643875</v>
      </c>
      <c r="G174" s="143">
        <f>'Analisis de operaciones'!H1844/'Analisis de operaciones'!H1848*$O174</f>
        <v>1.944643875</v>
      </c>
      <c r="H174" s="143">
        <f>'Analisis de operaciones'!I1844/'Analisis de operaciones'!I1848*$O174</f>
        <v>2.083547009</v>
      </c>
      <c r="I174" s="143">
        <f>'Analisis de operaciones'!J1844/'Analisis de operaciones'!J1848*$O174</f>
        <v>2.083547009</v>
      </c>
      <c r="J174" s="143">
        <f>'Analisis de operaciones'!K1844/'Analisis de operaciones'!K1848*$O174</f>
        <v>2.083547009</v>
      </c>
      <c r="K174" s="143">
        <f>'Analisis de operaciones'!L1844/'Analisis de operaciones'!L1848*$O174</f>
        <v>2.083547009</v>
      </c>
      <c r="L174" s="143">
        <f>'Analisis de operaciones'!M1844/'Analisis de operaciones'!M1848*$O174</f>
        <v>2.083547009</v>
      </c>
      <c r="M174" s="143">
        <f>'Analisis de operaciones'!N1844/'Analisis de operaciones'!N1848*$O174</f>
        <v>3.333675214</v>
      </c>
      <c r="N174" s="143">
        <f>'Resumen Capacidad'!$B$48*$B$8*$O174</f>
        <v>75</v>
      </c>
      <c r="O174" s="144">
        <f>$B$37</f>
        <v>0.5</v>
      </c>
    </row>
    <row r="175" ht="15.75" hidden="1" customHeight="1" outlineLevel="1">
      <c r="A175" s="141" t="s">
        <v>472</v>
      </c>
    </row>
    <row r="176" ht="15.75" hidden="1" customHeight="1" outlineLevel="1">
      <c r="A176" s="142" t="s">
        <v>88</v>
      </c>
      <c r="B176" s="143">
        <f>'Analisis de operaciones'!C2064/'Analisis de operaciones'!C2068*$O176</f>
        <v>0.7366666667</v>
      </c>
      <c r="C176" s="143">
        <f>'Analisis de operaciones'!D2064/'Analisis de operaciones'!D2068*$O176</f>
        <v>0.65</v>
      </c>
      <c r="D176" s="143">
        <f>'Analisis de operaciones'!E2064/'Analisis de operaciones'!E2068*$O176</f>
        <v>0.78</v>
      </c>
      <c r="E176" s="143">
        <f>'Analisis de operaciones'!F2064/'Analisis de operaciones'!F2068*$O176</f>
        <v>0.78</v>
      </c>
      <c r="F176" s="143">
        <f>'Analisis de operaciones'!G2064/'Analisis de operaciones'!G2068*$O176</f>
        <v>0.78</v>
      </c>
      <c r="G176" s="143">
        <f>'Analisis de operaciones'!H2064/'Analisis de operaciones'!H2068*$O176</f>
        <v>0.6933333333</v>
      </c>
      <c r="H176" s="143">
        <f>'Analisis de operaciones'!I2064/'Analisis de operaciones'!I2068*$O176</f>
        <v>0.78</v>
      </c>
      <c r="I176" s="143">
        <f>'Analisis de operaciones'!J2064/'Analisis de operaciones'!J2068*$O176</f>
        <v>0.78</v>
      </c>
      <c r="J176" s="143">
        <f>'Analisis de operaciones'!K2064/'Analisis de operaciones'!K2068*$O176</f>
        <v>0.7366666667</v>
      </c>
      <c r="K176" s="143">
        <f>'Analisis de operaciones'!L2064/'Analisis de operaciones'!L2068*$O176</f>
        <v>0.65</v>
      </c>
      <c r="L176" s="143">
        <f>'Analisis de operaciones'!M2064/'Analisis de operaciones'!M2068*$O176</f>
        <v>0.6066666667</v>
      </c>
      <c r="M176" s="143">
        <f>'Analisis de operaciones'!N2064/'Analisis de operaciones'!N2068*$O176</f>
        <v>0.6933333333</v>
      </c>
      <c r="O176" s="144">
        <f>$B$38</f>
        <v>1</v>
      </c>
    </row>
    <row r="177" ht="15.75" hidden="1" customHeight="1" outlineLevel="1">
      <c r="A177" s="142" t="s">
        <v>89</v>
      </c>
      <c r="B177" s="143">
        <f>'Analisis de operaciones'!C2074/'Analisis de operaciones'!C2078*$O177</f>
        <v>6.14125</v>
      </c>
      <c r="C177" s="143">
        <f>'Analisis de operaciones'!D2074/'Analisis de operaciones'!D2078*$O177</f>
        <v>5.41875</v>
      </c>
      <c r="D177" s="143">
        <f>'Analisis de operaciones'!E2074/'Analisis de operaciones'!E2078*$O177</f>
        <v>6.5025</v>
      </c>
      <c r="E177" s="143">
        <f>'Analisis de operaciones'!F2074/'Analisis de operaciones'!F2078*$O177</f>
        <v>6.5025</v>
      </c>
      <c r="F177" s="143">
        <f>'Analisis de operaciones'!G2074/'Analisis de operaciones'!G2078*$O177</f>
        <v>6.5025</v>
      </c>
      <c r="G177" s="143">
        <f>'Analisis de operaciones'!H2074/'Analisis de operaciones'!H2078*$O177</f>
        <v>5.78</v>
      </c>
      <c r="H177" s="143">
        <f>'Analisis de operaciones'!I2074/'Analisis de operaciones'!I2078*$O177</f>
        <v>6.5025</v>
      </c>
      <c r="I177" s="143">
        <f>'Analisis de operaciones'!J2074/'Analisis de operaciones'!J2078*$O177</f>
        <v>6.5025</v>
      </c>
      <c r="J177" s="143">
        <f>'Analisis de operaciones'!K2074/'Analisis de operaciones'!K2078*$O177</f>
        <v>6.14125</v>
      </c>
      <c r="K177" s="143">
        <f>'Analisis de operaciones'!L2074/'Analisis de operaciones'!L2078*$O177</f>
        <v>5.41875</v>
      </c>
      <c r="L177" s="143">
        <f>'Analisis de operaciones'!M2074/'Analisis de operaciones'!M2078*$O177</f>
        <v>5.0575</v>
      </c>
      <c r="M177" s="143">
        <f>'Analisis de operaciones'!N2074/'Analisis de operaciones'!N2078*$O177</f>
        <v>5.78</v>
      </c>
      <c r="O177" s="144">
        <f>$B$39</f>
        <v>1</v>
      </c>
    </row>
    <row r="178" ht="15.75" hidden="1" customHeight="1" outlineLevel="1">
      <c r="A178" s="142" t="s">
        <v>90</v>
      </c>
      <c r="B178" s="143">
        <f>'Analisis de operaciones'!C2084/'Analisis de operaciones'!C2088*$O178</f>
        <v>0.2927777778</v>
      </c>
      <c r="C178" s="143">
        <f>'Analisis de operaciones'!D2084/'Analisis de operaciones'!D2088*$O178</f>
        <v>0.2583333333</v>
      </c>
      <c r="D178" s="143">
        <f>'Analisis de operaciones'!E2084/'Analisis de operaciones'!E2088*$O178</f>
        <v>0.31</v>
      </c>
      <c r="E178" s="143">
        <f>'Analisis de operaciones'!F2084/'Analisis de operaciones'!F2088*$O178</f>
        <v>0.31</v>
      </c>
      <c r="F178" s="143">
        <f>'Analisis de operaciones'!G2084/'Analisis de operaciones'!G2088*$O178</f>
        <v>0.31</v>
      </c>
      <c r="G178" s="143">
        <f>'Analisis de operaciones'!H2084/'Analisis de operaciones'!H2088*$O178</f>
        <v>0.2755555556</v>
      </c>
      <c r="H178" s="143">
        <f>'Analisis de operaciones'!I2084/'Analisis de operaciones'!I2088*$O178</f>
        <v>0.31</v>
      </c>
      <c r="I178" s="143">
        <f>'Analisis de operaciones'!J2084/'Analisis de operaciones'!J2088*$O178</f>
        <v>0.31</v>
      </c>
      <c r="J178" s="143">
        <f>'Analisis de operaciones'!K2084/'Analisis de operaciones'!K2088*$O178</f>
        <v>0.2927777778</v>
      </c>
      <c r="K178" s="143">
        <f>'Analisis de operaciones'!L2084/'Analisis de operaciones'!L2088*$O178</f>
        <v>0.2583333333</v>
      </c>
      <c r="L178" s="143">
        <f>'Analisis de operaciones'!M2084/'Analisis de operaciones'!M2088*$O178</f>
        <v>0.2411111111</v>
      </c>
      <c r="M178" s="143">
        <f>'Analisis de operaciones'!N2084/'Analisis de operaciones'!N2088*$O178</f>
        <v>0.2755555556</v>
      </c>
      <c r="O178" s="144">
        <f>$B$40</f>
        <v>0.5</v>
      </c>
    </row>
    <row r="179" ht="15.75" hidden="1" customHeight="1" outlineLevel="1">
      <c r="A179" s="142" t="s">
        <v>91</v>
      </c>
      <c r="B179" s="143">
        <f>'Analisis de operaciones'!C2094/'Analisis de operaciones'!C2098*$O179</f>
        <v>0.2172222222</v>
      </c>
      <c r="C179" s="143">
        <f>'Analisis de operaciones'!D2094/'Analisis de operaciones'!D2098*$O179</f>
        <v>0.1916666667</v>
      </c>
      <c r="D179" s="143">
        <f>'Analisis de operaciones'!E2094/'Analisis de operaciones'!E2098*$O179</f>
        <v>0.23</v>
      </c>
      <c r="E179" s="143">
        <f>'Analisis de operaciones'!F2094/'Analisis de operaciones'!F2098*$O179</f>
        <v>0.23</v>
      </c>
      <c r="F179" s="143">
        <f>'Analisis de operaciones'!G2094/'Analisis de operaciones'!G2098*$O179</f>
        <v>0.23</v>
      </c>
      <c r="G179" s="143">
        <f>'Analisis de operaciones'!H2094/'Analisis de operaciones'!H2098*$O179</f>
        <v>0.2044444444</v>
      </c>
      <c r="H179" s="143">
        <f>'Analisis de operaciones'!I2094/'Analisis de operaciones'!I2098*$O179</f>
        <v>0.23</v>
      </c>
      <c r="I179" s="143">
        <f>'Analisis de operaciones'!J2094/'Analisis de operaciones'!J2098*$O179</f>
        <v>0.23</v>
      </c>
      <c r="J179" s="143">
        <f>'Analisis de operaciones'!K2094/'Analisis de operaciones'!K2098*$O179</f>
        <v>0.2172222222</v>
      </c>
      <c r="K179" s="143">
        <f>'Analisis de operaciones'!L2094/'Analisis de operaciones'!L2098*$O179</f>
        <v>0.1916666667</v>
      </c>
      <c r="L179" s="143">
        <f>'Analisis de operaciones'!M2094/'Analisis de operaciones'!M2098*$O179</f>
        <v>0.1788888889</v>
      </c>
      <c r="M179" s="143">
        <f>'Analisis de operaciones'!N2094/'Analisis de operaciones'!N2098*$O179</f>
        <v>0.2044444444</v>
      </c>
      <c r="O179" s="144">
        <f>$B$41</f>
        <v>0.5</v>
      </c>
    </row>
    <row r="180" ht="15.75" hidden="1" customHeight="1" outlineLevel="1">
      <c r="A180" s="142" t="s">
        <v>93</v>
      </c>
      <c r="B180" s="143">
        <f>'Analisis de operaciones'!C2104/'Analisis de operaciones'!C2108*$O180</f>
        <v>0.3022222222</v>
      </c>
      <c r="C180" s="143">
        <f>'Analisis de operaciones'!D2104/'Analisis de operaciones'!D2108*$O180</f>
        <v>0.2666666667</v>
      </c>
      <c r="D180" s="143">
        <f>'Analisis de operaciones'!E2104/'Analisis de operaciones'!E2108*$O180</f>
        <v>0.32</v>
      </c>
      <c r="E180" s="143">
        <f>'Analisis de operaciones'!F2104/'Analisis de operaciones'!F2108*$O180</f>
        <v>0.32</v>
      </c>
      <c r="F180" s="143">
        <f>'Analisis de operaciones'!G2104/'Analisis de operaciones'!G2108*$O180</f>
        <v>0.32</v>
      </c>
      <c r="G180" s="143">
        <f>'Analisis de operaciones'!H2104/'Analisis de operaciones'!H2108*$O180</f>
        <v>0.2844444444</v>
      </c>
      <c r="H180" s="143">
        <f>'Analisis de operaciones'!I2104/'Analisis de operaciones'!I2108*$O180</f>
        <v>0.32</v>
      </c>
      <c r="I180" s="143">
        <f>'Analisis de operaciones'!J2104/'Analisis de operaciones'!J2108*$O180</f>
        <v>0.32</v>
      </c>
      <c r="J180" s="143">
        <f>'Analisis de operaciones'!K2104/'Analisis de operaciones'!K2108*$O180</f>
        <v>0.3022222222</v>
      </c>
      <c r="K180" s="143">
        <f>'Analisis de operaciones'!L2104/'Analisis de operaciones'!L2108*$O180</f>
        <v>0.2666666667</v>
      </c>
      <c r="L180" s="143">
        <f>'Analisis de operaciones'!M2104/'Analisis de operaciones'!M2108*$O180</f>
        <v>0.2488888889</v>
      </c>
      <c r="M180" s="143">
        <f>'Analisis de operaciones'!N2104/'Analisis de operaciones'!N2108*$O180</f>
        <v>0.2844444444</v>
      </c>
      <c r="O180" s="144">
        <f>$B$42</f>
        <v>1</v>
      </c>
    </row>
    <row r="181" ht="15.75" hidden="1" customHeight="1" outlineLevel="1">
      <c r="A181" s="142" t="s">
        <v>94</v>
      </c>
      <c r="B181" s="143">
        <f>'Analisis de operaciones'!C2114/'Analisis de operaciones'!C2118*$O181</f>
        <v>0.3872222222</v>
      </c>
      <c r="C181" s="143">
        <f>'Analisis de operaciones'!D2114/'Analisis de operaciones'!D2118*$O181</f>
        <v>0.3416666667</v>
      </c>
      <c r="D181" s="143">
        <f>'Analisis de operaciones'!E2114/'Analisis de operaciones'!E2118*$O181</f>
        <v>0.41</v>
      </c>
      <c r="E181" s="143">
        <f>'Analisis de operaciones'!F2114/'Analisis de operaciones'!F2118*$O181</f>
        <v>0.41</v>
      </c>
      <c r="F181" s="143">
        <f>'Analisis de operaciones'!G2114/'Analisis de operaciones'!G2118*$O181</f>
        <v>0.41</v>
      </c>
      <c r="G181" s="143">
        <f>'Analisis de operaciones'!H2114/'Analisis de operaciones'!H2118*$O181</f>
        <v>0.3644444444</v>
      </c>
      <c r="H181" s="143">
        <f>'Analisis de operaciones'!I2114/'Analisis de operaciones'!I2118*$O181</f>
        <v>0.41</v>
      </c>
      <c r="I181" s="143">
        <f>'Analisis de operaciones'!J2114/'Analisis de operaciones'!J2118*$O181</f>
        <v>0.41</v>
      </c>
      <c r="J181" s="143">
        <f>'Analisis de operaciones'!K2114/'Analisis de operaciones'!K2118*$O181</f>
        <v>0.3872222222</v>
      </c>
      <c r="K181" s="143">
        <f>'Analisis de operaciones'!L2114/'Analisis de operaciones'!L2118*$O181</f>
        <v>0.3416666667</v>
      </c>
      <c r="L181" s="143">
        <f>'Analisis de operaciones'!M2114/'Analisis de operaciones'!M2118*$O181</f>
        <v>0.3188888889</v>
      </c>
      <c r="M181" s="143">
        <f>'Analisis de operaciones'!N2114/'Analisis de operaciones'!N2118*$O181</f>
        <v>0.3644444444</v>
      </c>
      <c r="O181" s="144">
        <f>$B$43</f>
        <v>0.5</v>
      </c>
    </row>
    <row r="182" ht="15.75" hidden="1" customHeight="1" outlineLevel="1">
      <c r="A182" s="142" t="s">
        <v>96</v>
      </c>
      <c r="B182" s="143">
        <f>'Analisis de operaciones'!C2124/'Analisis de operaciones'!C2128*$O182</f>
        <v>0.3022222222</v>
      </c>
      <c r="C182" s="143">
        <f>'Analisis de operaciones'!D2124/'Analisis de operaciones'!D2128*$O182</f>
        <v>0.2666666667</v>
      </c>
      <c r="D182" s="143">
        <f>'Analisis de operaciones'!E2124/'Analisis de operaciones'!E2128*$O182</f>
        <v>0.32</v>
      </c>
      <c r="E182" s="143">
        <f>'Analisis de operaciones'!F2124/'Analisis de operaciones'!F2128*$O182</f>
        <v>0.32</v>
      </c>
      <c r="F182" s="143">
        <f>'Analisis de operaciones'!G2124/'Analisis de operaciones'!G2128*$O182</f>
        <v>0.32</v>
      </c>
      <c r="G182" s="143">
        <f>'Analisis de operaciones'!H2124/'Analisis de operaciones'!H2128*$O182</f>
        <v>0.2844444444</v>
      </c>
      <c r="H182" s="143">
        <f>'Analisis de operaciones'!I2124/'Analisis de operaciones'!I2128*$O182</f>
        <v>0.32</v>
      </c>
      <c r="I182" s="143">
        <f>'Analisis de operaciones'!J2124/'Analisis de operaciones'!J2128*$O182</f>
        <v>0.32</v>
      </c>
      <c r="J182" s="143">
        <f>'Analisis de operaciones'!K2124/'Analisis de operaciones'!K2128*$O182</f>
        <v>0.3022222222</v>
      </c>
      <c r="K182" s="143">
        <f>'Analisis de operaciones'!L2124/'Analisis de operaciones'!L2128*$O182</f>
        <v>0.2666666667</v>
      </c>
      <c r="L182" s="143">
        <f>'Analisis de operaciones'!M2124/'Analisis de operaciones'!M2128*$O182</f>
        <v>0.2488888889</v>
      </c>
      <c r="M182" s="143">
        <f>'Analisis de operaciones'!N2124/'Analisis de operaciones'!N2128*$O182</f>
        <v>0.2844444444</v>
      </c>
      <c r="O182" s="144">
        <f>$B$44</f>
        <v>1</v>
      </c>
    </row>
    <row r="183" ht="15.75" hidden="1" customHeight="1" outlineLevel="1">
      <c r="A183" s="142" t="s">
        <v>97</v>
      </c>
      <c r="B183" s="143">
        <f>'Analisis de operaciones'!C2134/'Analisis de operaciones'!C2138*$O183</f>
        <v>2.04</v>
      </c>
      <c r="C183" s="143">
        <f>'Analisis de operaciones'!D2134/'Analisis de operaciones'!D2138*$O183</f>
        <v>1.8</v>
      </c>
      <c r="D183" s="143">
        <f>'Analisis de operaciones'!E2134/'Analisis de operaciones'!E2138*$O183</f>
        <v>2.16</v>
      </c>
      <c r="E183" s="143">
        <f>'Analisis de operaciones'!F2134/'Analisis de operaciones'!F2138*$O183</f>
        <v>2.16</v>
      </c>
      <c r="F183" s="143">
        <f>'Analisis de operaciones'!G2134/'Analisis de operaciones'!G2138*$O183</f>
        <v>2.16</v>
      </c>
      <c r="G183" s="143">
        <f>'Analisis de operaciones'!H2134/'Analisis de operaciones'!H2138*$O183</f>
        <v>1.92</v>
      </c>
      <c r="H183" s="143">
        <f>'Analisis de operaciones'!I2134/'Analisis de operaciones'!I2138*$O183</f>
        <v>2.16</v>
      </c>
      <c r="I183" s="143">
        <f>'Analisis de operaciones'!J2134/'Analisis de operaciones'!J2138*$O183</f>
        <v>2.16</v>
      </c>
      <c r="J183" s="143">
        <f>'Analisis de operaciones'!K2134/'Analisis de operaciones'!K2138*$O183</f>
        <v>2.04</v>
      </c>
      <c r="K183" s="143">
        <f>'Analisis de operaciones'!L2134/'Analisis de operaciones'!L2138*$O183</f>
        <v>1.8</v>
      </c>
      <c r="L183" s="143">
        <f>'Analisis de operaciones'!M2134/'Analisis de operaciones'!M2138*$O183</f>
        <v>1.68</v>
      </c>
      <c r="M183" s="143">
        <f>'Analisis de operaciones'!N2134/'Analisis de operaciones'!N2138*$O183</f>
        <v>1.92</v>
      </c>
      <c r="O183" s="144">
        <f>$B$45</f>
        <v>1</v>
      </c>
    </row>
    <row r="184" ht="15.75" hidden="1" customHeight="1" outlineLevel="1">
      <c r="A184" s="142" t="s">
        <v>311</v>
      </c>
      <c r="B184" s="143">
        <f>'Analisis de operaciones'!C2965/'Analisis de operaciones'!C2969*$O184</f>
        <v>2.217576761</v>
      </c>
      <c r="C184" s="143">
        <f>'Analisis de operaciones'!D2965/'Analisis de operaciones'!D2969*$O184</f>
        <v>1.781714323</v>
      </c>
      <c r="D184" s="143">
        <f>'Analisis de operaciones'!E2965/'Analisis de operaciones'!E2969*$O184</f>
        <v>1.904345852</v>
      </c>
      <c r="E184" s="143">
        <f>'Analisis de operaciones'!F2965/'Analisis de operaciones'!F2969*$O184</f>
        <v>1.904345852</v>
      </c>
      <c r="F184" s="143">
        <f>'Analisis de operaciones'!G2965/'Analisis de operaciones'!G2969*$O184</f>
        <v>1.798113427</v>
      </c>
      <c r="G184" s="143">
        <f>'Analisis de operaciones'!H2965/'Analisis de operaciones'!H2969*$O184</f>
        <v>1.680948266</v>
      </c>
      <c r="H184" s="143">
        <f>'Analisis de operaciones'!I2965/'Analisis de operaciones'!I2969*$O184</f>
        <v>1.798113427</v>
      </c>
      <c r="I184" s="143">
        <f>'Analisis de operaciones'!J2965/'Analisis de operaciones'!J2969*$O184</f>
        <v>1.798113427</v>
      </c>
      <c r="J184" s="143">
        <f>'Analisis de operaciones'!K2965/'Analisis de operaciones'!K2969*$O184</f>
        <v>1.792647059</v>
      </c>
      <c r="K184" s="143">
        <f>'Analisis de operaciones'!L2965/'Analisis de operaciones'!L2969*$O184</f>
        <v>1.675481898</v>
      </c>
      <c r="L184" s="143">
        <f>'Analisis de operaciones'!M2965/'Analisis de operaciones'!M2969*$O184</f>
        <v>1.563783105</v>
      </c>
      <c r="M184" s="143">
        <f>'Analisis de operaciones'!N2965/'Analisis de operaciones'!N2969*$O184</f>
        <v>2.424575244</v>
      </c>
      <c r="O184" s="144">
        <v>1.0</v>
      </c>
    </row>
    <row r="185" ht="15.75" hidden="1" customHeight="1" outlineLevel="1">
      <c r="A185" s="141" t="s">
        <v>534</v>
      </c>
    </row>
    <row r="186" ht="15.75" hidden="1" customHeight="1" outlineLevel="1">
      <c r="A186" s="142" t="s">
        <v>26</v>
      </c>
      <c r="B186" s="143">
        <f t="shared" ref="B186:M186" si="60">MAX(0,B155*B$135-$N155)</f>
        <v>0</v>
      </c>
      <c r="C186" s="143">
        <f t="shared" si="60"/>
        <v>0</v>
      </c>
      <c r="D186" s="143">
        <f t="shared" si="60"/>
        <v>0</v>
      </c>
      <c r="E186" s="143">
        <f t="shared" si="60"/>
        <v>0</v>
      </c>
      <c r="F186" s="143">
        <f t="shared" si="60"/>
        <v>0</v>
      </c>
      <c r="G186" s="143">
        <f t="shared" si="60"/>
        <v>0</v>
      </c>
      <c r="H186" s="143">
        <f t="shared" si="60"/>
        <v>0</v>
      </c>
      <c r="I186" s="143">
        <f t="shared" si="60"/>
        <v>0</v>
      </c>
      <c r="J186" s="143">
        <f t="shared" si="60"/>
        <v>0</v>
      </c>
      <c r="K186" s="143">
        <f t="shared" si="60"/>
        <v>0</v>
      </c>
      <c r="L186" s="143">
        <f t="shared" si="60"/>
        <v>0</v>
      </c>
      <c r="M186" s="143">
        <f t="shared" si="60"/>
        <v>0</v>
      </c>
    </row>
    <row r="187" ht="15.75" hidden="1" customHeight="1" outlineLevel="1">
      <c r="A187" s="142" t="s">
        <v>55</v>
      </c>
      <c r="B187" s="143">
        <f t="shared" ref="B187:M187" si="61">MAX(0,B156*B$135-$N156)</f>
        <v>0</v>
      </c>
      <c r="C187" s="143">
        <f t="shared" si="61"/>
        <v>0</v>
      </c>
      <c r="D187" s="143">
        <f t="shared" si="61"/>
        <v>0</v>
      </c>
      <c r="E187" s="143">
        <f t="shared" si="61"/>
        <v>0</v>
      </c>
      <c r="F187" s="143">
        <f t="shared" si="61"/>
        <v>0</v>
      </c>
      <c r="G187" s="143">
        <f t="shared" si="61"/>
        <v>0</v>
      </c>
      <c r="H187" s="143">
        <f t="shared" si="61"/>
        <v>0</v>
      </c>
      <c r="I187" s="143">
        <f t="shared" si="61"/>
        <v>0</v>
      </c>
      <c r="J187" s="143">
        <f t="shared" si="61"/>
        <v>0</v>
      </c>
      <c r="K187" s="143">
        <f t="shared" si="61"/>
        <v>0</v>
      </c>
      <c r="L187" s="143">
        <f t="shared" si="61"/>
        <v>0</v>
      </c>
      <c r="M187" s="143">
        <f t="shared" si="61"/>
        <v>0</v>
      </c>
    </row>
    <row r="188" ht="15.75" hidden="1" customHeight="1" outlineLevel="1">
      <c r="A188" s="142" t="s">
        <v>61</v>
      </c>
      <c r="B188" s="143">
        <f t="shared" ref="B188:M188" si="62">MAX(0,B157*B$135-$N157)</f>
        <v>0</v>
      </c>
      <c r="C188" s="143">
        <f t="shared" si="62"/>
        <v>0</v>
      </c>
      <c r="D188" s="143">
        <f t="shared" si="62"/>
        <v>0</v>
      </c>
      <c r="E188" s="143">
        <f t="shared" si="62"/>
        <v>0</v>
      </c>
      <c r="F188" s="143">
        <f t="shared" si="62"/>
        <v>0</v>
      </c>
      <c r="G188" s="143">
        <f t="shared" si="62"/>
        <v>0</v>
      </c>
      <c r="H188" s="143">
        <f t="shared" si="62"/>
        <v>0</v>
      </c>
      <c r="I188" s="143">
        <f t="shared" si="62"/>
        <v>0</v>
      </c>
      <c r="J188" s="143">
        <f t="shared" si="62"/>
        <v>0</v>
      </c>
      <c r="K188" s="143">
        <f t="shared" si="62"/>
        <v>0</v>
      </c>
      <c r="L188" s="143">
        <f t="shared" si="62"/>
        <v>0</v>
      </c>
      <c r="M188" s="143">
        <f t="shared" si="62"/>
        <v>0</v>
      </c>
    </row>
    <row r="189" ht="15.75" hidden="1" customHeight="1" outlineLevel="1">
      <c r="A189" s="142" t="s">
        <v>62</v>
      </c>
      <c r="B189" s="143">
        <f t="shared" ref="B189:M189" si="63">MAX(0,B158*B$135-$N158)</f>
        <v>0</v>
      </c>
      <c r="C189" s="143">
        <f t="shared" si="63"/>
        <v>0</v>
      </c>
      <c r="D189" s="143">
        <f t="shared" si="63"/>
        <v>0</v>
      </c>
      <c r="E189" s="143">
        <f t="shared" si="63"/>
        <v>0</v>
      </c>
      <c r="F189" s="143">
        <f t="shared" si="63"/>
        <v>0</v>
      </c>
      <c r="G189" s="143">
        <f t="shared" si="63"/>
        <v>0</v>
      </c>
      <c r="H189" s="143">
        <f t="shared" si="63"/>
        <v>0</v>
      </c>
      <c r="I189" s="143">
        <f t="shared" si="63"/>
        <v>0</v>
      </c>
      <c r="J189" s="143">
        <f t="shared" si="63"/>
        <v>0</v>
      </c>
      <c r="K189" s="143">
        <f t="shared" si="63"/>
        <v>0</v>
      </c>
      <c r="L189" s="143">
        <f t="shared" si="63"/>
        <v>0</v>
      </c>
      <c r="M189" s="143">
        <f t="shared" si="63"/>
        <v>0</v>
      </c>
    </row>
    <row r="190" ht="15.75" hidden="1" customHeight="1" outlineLevel="1">
      <c r="A190" s="142" t="s">
        <v>63</v>
      </c>
      <c r="B190" s="143">
        <f t="shared" ref="B190:M190" si="64">MAX(0,B159*B$135-$N159)</f>
        <v>0</v>
      </c>
      <c r="C190" s="143">
        <f t="shared" si="64"/>
        <v>0</v>
      </c>
      <c r="D190" s="143">
        <f t="shared" si="64"/>
        <v>0</v>
      </c>
      <c r="E190" s="143">
        <f t="shared" si="64"/>
        <v>0</v>
      </c>
      <c r="F190" s="143">
        <f t="shared" si="64"/>
        <v>0</v>
      </c>
      <c r="G190" s="143">
        <f t="shared" si="64"/>
        <v>0</v>
      </c>
      <c r="H190" s="143">
        <f t="shared" si="64"/>
        <v>0</v>
      </c>
      <c r="I190" s="143">
        <f t="shared" si="64"/>
        <v>0</v>
      </c>
      <c r="J190" s="143">
        <f t="shared" si="64"/>
        <v>0</v>
      </c>
      <c r="K190" s="143">
        <f t="shared" si="64"/>
        <v>0</v>
      </c>
      <c r="L190" s="143">
        <f t="shared" si="64"/>
        <v>0</v>
      </c>
      <c r="M190" s="143">
        <f t="shared" si="64"/>
        <v>0</v>
      </c>
    </row>
    <row r="191" ht="15.75" hidden="1" customHeight="1" outlineLevel="1">
      <c r="A191" s="142" t="s">
        <v>64</v>
      </c>
      <c r="B191" s="143">
        <f t="shared" ref="B191:M191" si="65">MAX(0,B160*B$135-$N160)</f>
        <v>0</v>
      </c>
      <c r="C191" s="143">
        <f t="shared" si="65"/>
        <v>0</v>
      </c>
      <c r="D191" s="143">
        <f t="shared" si="65"/>
        <v>0</v>
      </c>
      <c r="E191" s="143">
        <f t="shared" si="65"/>
        <v>0</v>
      </c>
      <c r="F191" s="143">
        <f t="shared" si="65"/>
        <v>0</v>
      </c>
      <c r="G191" s="143">
        <f t="shared" si="65"/>
        <v>0</v>
      </c>
      <c r="H191" s="143">
        <f t="shared" si="65"/>
        <v>0</v>
      </c>
      <c r="I191" s="143">
        <f t="shared" si="65"/>
        <v>0</v>
      </c>
      <c r="J191" s="143">
        <f t="shared" si="65"/>
        <v>0</v>
      </c>
      <c r="K191" s="143">
        <f t="shared" si="65"/>
        <v>0</v>
      </c>
      <c r="L191" s="143">
        <f t="shared" si="65"/>
        <v>0</v>
      </c>
      <c r="M191" s="143">
        <f t="shared" si="65"/>
        <v>0</v>
      </c>
    </row>
    <row r="192" ht="15.75" hidden="1" customHeight="1" outlineLevel="1">
      <c r="A192" s="142" t="s">
        <v>66</v>
      </c>
      <c r="B192" s="143">
        <f t="shared" ref="B192:M192" si="66">MAX(0,B161*B$135-$N161)</f>
        <v>0</v>
      </c>
      <c r="C192" s="143">
        <f t="shared" si="66"/>
        <v>0</v>
      </c>
      <c r="D192" s="143">
        <f t="shared" si="66"/>
        <v>0</v>
      </c>
      <c r="E192" s="143">
        <f t="shared" si="66"/>
        <v>0</v>
      </c>
      <c r="F192" s="143">
        <f t="shared" si="66"/>
        <v>0</v>
      </c>
      <c r="G192" s="143">
        <f t="shared" si="66"/>
        <v>0</v>
      </c>
      <c r="H192" s="143">
        <f t="shared" si="66"/>
        <v>0</v>
      </c>
      <c r="I192" s="143">
        <f t="shared" si="66"/>
        <v>0</v>
      </c>
      <c r="J192" s="143">
        <f t="shared" si="66"/>
        <v>0</v>
      </c>
      <c r="K192" s="143">
        <f t="shared" si="66"/>
        <v>0</v>
      </c>
      <c r="L192" s="143">
        <f t="shared" si="66"/>
        <v>0</v>
      </c>
      <c r="M192" s="143">
        <f t="shared" si="66"/>
        <v>0</v>
      </c>
    </row>
    <row r="193" ht="15.75" hidden="1" customHeight="1" outlineLevel="1">
      <c r="A193" s="142" t="s">
        <v>67</v>
      </c>
      <c r="B193" s="143">
        <f t="shared" ref="B193:M193" si="67">MAX(0,B162*B$135-$N162)</f>
        <v>0</v>
      </c>
      <c r="C193" s="143">
        <f t="shared" si="67"/>
        <v>0</v>
      </c>
      <c r="D193" s="143">
        <f t="shared" si="67"/>
        <v>0</v>
      </c>
      <c r="E193" s="143">
        <f t="shared" si="67"/>
        <v>0</v>
      </c>
      <c r="F193" s="143">
        <f t="shared" si="67"/>
        <v>0</v>
      </c>
      <c r="G193" s="143">
        <f t="shared" si="67"/>
        <v>0</v>
      </c>
      <c r="H193" s="143">
        <f t="shared" si="67"/>
        <v>0</v>
      </c>
      <c r="I193" s="143">
        <f t="shared" si="67"/>
        <v>0</v>
      </c>
      <c r="J193" s="143">
        <f t="shared" si="67"/>
        <v>0</v>
      </c>
      <c r="K193" s="143">
        <f t="shared" si="67"/>
        <v>0</v>
      </c>
      <c r="L193" s="143">
        <f t="shared" si="67"/>
        <v>0</v>
      </c>
      <c r="M193" s="143">
        <f t="shared" si="67"/>
        <v>0</v>
      </c>
    </row>
    <row r="194" ht="15.75" hidden="1" customHeight="1" outlineLevel="1">
      <c r="A194" s="142" t="s">
        <v>68</v>
      </c>
      <c r="B194" s="143">
        <f t="shared" ref="B194:M194" si="68">MAX(0,B163*B$135-$N163)</f>
        <v>0</v>
      </c>
      <c r="C194" s="143">
        <f t="shared" si="68"/>
        <v>0</v>
      </c>
      <c r="D194" s="143">
        <f t="shared" si="68"/>
        <v>0</v>
      </c>
      <c r="E194" s="143">
        <f t="shared" si="68"/>
        <v>0</v>
      </c>
      <c r="F194" s="143">
        <f t="shared" si="68"/>
        <v>0</v>
      </c>
      <c r="G194" s="143">
        <f t="shared" si="68"/>
        <v>0</v>
      </c>
      <c r="H194" s="143">
        <f t="shared" si="68"/>
        <v>0</v>
      </c>
      <c r="I194" s="143">
        <f t="shared" si="68"/>
        <v>0</v>
      </c>
      <c r="J194" s="143">
        <f t="shared" si="68"/>
        <v>0</v>
      </c>
      <c r="K194" s="143">
        <f t="shared" si="68"/>
        <v>0</v>
      </c>
      <c r="L194" s="143">
        <f t="shared" si="68"/>
        <v>0</v>
      </c>
      <c r="M194" s="143">
        <f t="shared" si="68"/>
        <v>0</v>
      </c>
    </row>
    <row r="195" ht="15.75" hidden="1" customHeight="1" outlineLevel="1">
      <c r="A195" s="142" t="s">
        <v>70</v>
      </c>
      <c r="B195" s="143">
        <f t="shared" ref="B195:M195" si="69">MAX(0,B164*B$135-$N164)</f>
        <v>0</v>
      </c>
      <c r="C195" s="143">
        <f t="shared" si="69"/>
        <v>0</v>
      </c>
      <c r="D195" s="143">
        <f t="shared" si="69"/>
        <v>0</v>
      </c>
      <c r="E195" s="143">
        <f t="shared" si="69"/>
        <v>0</v>
      </c>
      <c r="F195" s="143">
        <f t="shared" si="69"/>
        <v>0</v>
      </c>
      <c r="G195" s="143">
        <f t="shared" si="69"/>
        <v>0</v>
      </c>
      <c r="H195" s="143">
        <f t="shared" si="69"/>
        <v>0</v>
      </c>
      <c r="I195" s="143">
        <f t="shared" si="69"/>
        <v>0</v>
      </c>
      <c r="J195" s="143">
        <f t="shared" si="69"/>
        <v>0</v>
      </c>
      <c r="K195" s="143">
        <f t="shared" si="69"/>
        <v>0</v>
      </c>
      <c r="L195" s="143">
        <f t="shared" si="69"/>
        <v>0</v>
      </c>
      <c r="M195" s="143">
        <f t="shared" si="69"/>
        <v>0</v>
      </c>
    </row>
    <row r="196" ht="15.75" hidden="1" customHeight="1" outlineLevel="1">
      <c r="A196" s="142" t="s">
        <v>72</v>
      </c>
      <c r="B196" s="143">
        <f t="shared" ref="B196:M196" si="70">MAX(0,B165*B$135-$N165)</f>
        <v>0</v>
      </c>
      <c r="C196" s="143">
        <f t="shared" si="70"/>
        <v>0</v>
      </c>
      <c r="D196" s="143">
        <f t="shared" si="70"/>
        <v>0</v>
      </c>
      <c r="E196" s="143">
        <f t="shared" si="70"/>
        <v>0</v>
      </c>
      <c r="F196" s="143">
        <f t="shared" si="70"/>
        <v>0</v>
      </c>
      <c r="G196" s="143">
        <f t="shared" si="70"/>
        <v>0</v>
      </c>
      <c r="H196" s="143">
        <f t="shared" si="70"/>
        <v>0</v>
      </c>
      <c r="I196" s="143">
        <f t="shared" si="70"/>
        <v>0</v>
      </c>
      <c r="J196" s="143">
        <f t="shared" si="70"/>
        <v>0</v>
      </c>
      <c r="K196" s="143">
        <f t="shared" si="70"/>
        <v>0</v>
      </c>
      <c r="L196" s="143">
        <f t="shared" si="70"/>
        <v>0</v>
      </c>
      <c r="M196" s="143">
        <f t="shared" si="70"/>
        <v>0</v>
      </c>
    </row>
    <row r="197" ht="15.75" hidden="1" customHeight="1" outlineLevel="1">
      <c r="A197" s="142" t="s">
        <v>74</v>
      </c>
      <c r="B197" s="143">
        <f t="shared" ref="B197:M197" si="71">MAX(0,B166*B$135-$N166)</f>
        <v>0</v>
      </c>
      <c r="C197" s="143">
        <f t="shared" si="71"/>
        <v>0</v>
      </c>
      <c r="D197" s="143">
        <f t="shared" si="71"/>
        <v>0</v>
      </c>
      <c r="E197" s="143">
        <f t="shared" si="71"/>
        <v>0</v>
      </c>
      <c r="F197" s="143">
        <f t="shared" si="71"/>
        <v>0</v>
      </c>
      <c r="G197" s="143">
        <f t="shared" si="71"/>
        <v>0</v>
      </c>
      <c r="H197" s="143">
        <f t="shared" si="71"/>
        <v>0</v>
      </c>
      <c r="I197" s="143">
        <f t="shared" si="71"/>
        <v>0</v>
      </c>
      <c r="J197" s="143">
        <f t="shared" si="71"/>
        <v>0</v>
      </c>
      <c r="K197" s="143">
        <f t="shared" si="71"/>
        <v>0</v>
      </c>
      <c r="L197" s="143">
        <f t="shared" si="71"/>
        <v>0</v>
      </c>
      <c r="M197" s="143">
        <f t="shared" si="71"/>
        <v>0</v>
      </c>
    </row>
    <row r="198" ht="15.75" hidden="1" customHeight="1" outlineLevel="1">
      <c r="A198" s="142" t="s">
        <v>76</v>
      </c>
      <c r="B198" s="143">
        <f t="shared" ref="B198:M198" si="72">MAX(0,B167*B$135-$N167)</f>
        <v>0</v>
      </c>
      <c r="C198" s="143">
        <f t="shared" si="72"/>
        <v>0</v>
      </c>
      <c r="D198" s="143">
        <f t="shared" si="72"/>
        <v>0</v>
      </c>
      <c r="E198" s="143">
        <f t="shared" si="72"/>
        <v>0</v>
      </c>
      <c r="F198" s="143">
        <f t="shared" si="72"/>
        <v>0</v>
      </c>
      <c r="G198" s="143">
        <f t="shared" si="72"/>
        <v>0</v>
      </c>
      <c r="H198" s="143">
        <f t="shared" si="72"/>
        <v>0</v>
      </c>
      <c r="I198" s="143">
        <f t="shared" si="72"/>
        <v>0</v>
      </c>
      <c r="J198" s="143">
        <f t="shared" si="72"/>
        <v>0</v>
      </c>
      <c r="K198" s="143">
        <f t="shared" si="72"/>
        <v>0</v>
      </c>
      <c r="L198" s="143">
        <f t="shared" si="72"/>
        <v>0</v>
      </c>
      <c r="M198" s="143">
        <f t="shared" si="72"/>
        <v>0</v>
      </c>
    </row>
    <row r="199" ht="15.75" hidden="1" customHeight="1" outlineLevel="1">
      <c r="A199" s="142" t="s">
        <v>77</v>
      </c>
      <c r="B199" s="143">
        <f t="shared" ref="B199:M199" si="73">MAX(0,B168*B$135-$N168)</f>
        <v>0</v>
      </c>
      <c r="C199" s="143">
        <f t="shared" si="73"/>
        <v>0</v>
      </c>
      <c r="D199" s="143">
        <f t="shared" si="73"/>
        <v>0</v>
      </c>
      <c r="E199" s="143">
        <f t="shared" si="73"/>
        <v>0</v>
      </c>
      <c r="F199" s="143">
        <f t="shared" si="73"/>
        <v>0</v>
      </c>
      <c r="G199" s="143">
        <f t="shared" si="73"/>
        <v>0</v>
      </c>
      <c r="H199" s="143">
        <f t="shared" si="73"/>
        <v>0</v>
      </c>
      <c r="I199" s="143">
        <f t="shared" si="73"/>
        <v>0</v>
      </c>
      <c r="J199" s="143">
        <f t="shared" si="73"/>
        <v>0</v>
      </c>
      <c r="K199" s="143">
        <f t="shared" si="73"/>
        <v>0</v>
      </c>
      <c r="L199" s="143">
        <f t="shared" si="73"/>
        <v>0</v>
      </c>
      <c r="M199" s="143">
        <f t="shared" si="73"/>
        <v>0</v>
      </c>
    </row>
    <row r="200" ht="15.75" hidden="1" customHeight="1" outlineLevel="1">
      <c r="A200" s="142" t="s">
        <v>79</v>
      </c>
      <c r="B200" s="143">
        <f t="shared" ref="B200:M200" si="74">MAX(0,B169*B$135-$N169)</f>
        <v>0</v>
      </c>
      <c r="C200" s="143">
        <f t="shared" si="74"/>
        <v>0</v>
      </c>
      <c r="D200" s="143">
        <f t="shared" si="74"/>
        <v>0</v>
      </c>
      <c r="E200" s="143">
        <f t="shared" si="74"/>
        <v>0</v>
      </c>
      <c r="F200" s="143">
        <f t="shared" si="74"/>
        <v>0</v>
      </c>
      <c r="G200" s="143">
        <f t="shared" si="74"/>
        <v>0</v>
      </c>
      <c r="H200" s="143">
        <f t="shared" si="74"/>
        <v>0</v>
      </c>
      <c r="I200" s="143">
        <f t="shared" si="74"/>
        <v>0</v>
      </c>
      <c r="J200" s="143">
        <f t="shared" si="74"/>
        <v>0</v>
      </c>
      <c r="K200" s="143">
        <f t="shared" si="74"/>
        <v>0</v>
      </c>
      <c r="L200" s="143">
        <f t="shared" si="74"/>
        <v>0</v>
      </c>
      <c r="M200" s="143">
        <f t="shared" si="74"/>
        <v>0</v>
      </c>
    </row>
    <row r="201" ht="15.75" hidden="1" customHeight="1" outlineLevel="1">
      <c r="A201" s="142" t="s">
        <v>81</v>
      </c>
      <c r="B201" s="143">
        <f t="shared" ref="B201:M201" si="75">MAX(0,B170*B$135-$N170)</f>
        <v>0</v>
      </c>
      <c r="C201" s="143">
        <f t="shared" si="75"/>
        <v>0</v>
      </c>
      <c r="D201" s="143">
        <f t="shared" si="75"/>
        <v>0</v>
      </c>
      <c r="E201" s="143">
        <f t="shared" si="75"/>
        <v>0</v>
      </c>
      <c r="F201" s="143">
        <f t="shared" si="75"/>
        <v>0</v>
      </c>
      <c r="G201" s="143">
        <f t="shared" si="75"/>
        <v>0</v>
      </c>
      <c r="H201" s="143">
        <f t="shared" si="75"/>
        <v>0</v>
      </c>
      <c r="I201" s="143">
        <f t="shared" si="75"/>
        <v>0</v>
      </c>
      <c r="J201" s="143">
        <f t="shared" si="75"/>
        <v>0</v>
      </c>
      <c r="K201" s="143">
        <f t="shared" si="75"/>
        <v>0</v>
      </c>
      <c r="L201" s="143">
        <f t="shared" si="75"/>
        <v>0</v>
      </c>
      <c r="M201" s="143">
        <f t="shared" si="75"/>
        <v>0</v>
      </c>
    </row>
    <row r="202" ht="15.75" hidden="1" customHeight="1" outlineLevel="1">
      <c r="A202" s="142" t="s">
        <v>82</v>
      </c>
      <c r="B202" s="143">
        <f t="shared" ref="B202:M202" si="76">MAX(0,B171*B$135-$N171)</f>
        <v>0</v>
      </c>
      <c r="C202" s="143">
        <f t="shared" si="76"/>
        <v>0</v>
      </c>
      <c r="D202" s="143">
        <f t="shared" si="76"/>
        <v>0</v>
      </c>
      <c r="E202" s="143">
        <f t="shared" si="76"/>
        <v>0</v>
      </c>
      <c r="F202" s="143">
        <f t="shared" si="76"/>
        <v>0</v>
      </c>
      <c r="G202" s="143">
        <f t="shared" si="76"/>
        <v>0</v>
      </c>
      <c r="H202" s="143">
        <f t="shared" si="76"/>
        <v>0</v>
      </c>
      <c r="I202" s="143">
        <f t="shared" si="76"/>
        <v>0</v>
      </c>
      <c r="J202" s="143">
        <f t="shared" si="76"/>
        <v>0</v>
      </c>
      <c r="K202" s="143">
        <f t="shared" si="76"/>
        <v>0</v>
      </c>
      <c r="L202" s="143">
        <f t="shared" si="76"/>
        <v>0</v>
      </c>
      <c r="M202" s="143">
        <f t="shared" si="76"/>
        <v>0</v>
      </c>
    </row>
    <row r="203" ht="15.75" hidden="1" customHeight="1" outlineLevel="1">
      <c r="A203" s="142" t="s">
        <v>83</v>
      </c>
      <c r="B203" s="143">
        <f t="shared" ref="B203:M203" si="77">MAX(0,B172*B$135-$N172)</f>
        <v>0</v>
      </c>
      <c r="C203" s="143">
        <f t="shared" si="77"/>
        <v>0</v>
      </c>
      <c r="D203" s="143">
        <f t="shared" si="77"/>
        <v>0</v>
      </c>
      <c r="E203" s="143">
        <f t="shared" si="77"/>
        <v>0</v>
      </c>
      <c r="F203" s="143">
        <f t="shared" si="77"/>
        <v>0</v>
      </c>
      <c r="G203" s="143">
        <f t="shared" si="77"/>
        <v>0</v>
      </c>
      <c r="H203" s="143">
        <f t="shared" si="77"/>
        <v>0</v>
      </c>
      <c r="I203" s="143">
        <f t="shared" si="77"/>
        <v>0</v>
      </c>
      <c r="J203" s="143">
        <f t="shared" si="77"/>
        <v>0</v>
      </c>
      <c r="K203" s="143">
        <f t="shared" si="77"/>
        <v>0</v>
      </c>
      <c r="L203" s="143">
        <f t="shared" si="77"/>
        <v>0</v>
      </c>
      <c r="M203" s="143">
        <f t="shared" si="77"/>
        <v>0</v>
      </c>
    </row>
    <row r="204" ht="15.75" hidden="1" customHeight="1" outlineLevel="1">
      <c r="A204" s="142" t="s">
        <v>84</v>
      </c>
      <c r="B204" s="143">
        <f t="shared" ref="B204:M204" si="78">MAX(0,B173*B$135-$N173)</f>
        <v>0</v>
      </c>
      <c r="C204" s="143">
        <f t="shared" si="78"/>
        <v>0</v>
      </c>
      <c r="D204" s="143">
        <f t="shared" si="78"/>
        <v>0</v>
      </c>
      <c r="E204" s="143">
        <f t="shared" si="78"/>
        <v>0</v>
      </c>
      <c r="F204" s="143">
        <f t="shared" si="78"/>
        <v>0</v>
      </c>
      <c r="G204" s="143">
        <f t="shared" si="78"/>
        <v>0</v>
      </c>
      <c r="H204" s="143">
        <f t="shared" si="78"/>
        <v>0</v>
      </c>
      <c r="I204" s="143">
        <f t="shared" si="78"/>
        <v>0</v>
      </c>
      <c r="J204" s="143">
        <f t="shared" si="78"/>
        <v>0</v>
      </c>
      <c r="K204" s="143">
        <f t="shared" si="78"/>
        <v>0</v>
      </c>
      <c r="L204" s="143">
        <f t="shared" si="78"/>
        <v>0</v>
      </c>
      <c r="M204" s="143">
        <f t="shared" si="78"/>
        <v>0</v>
      </c>
    </row>
    <row r="205" ht="15.75" hidden="1" customHeight="1" outlineLevel="1">
      <c r="A205" s="142" t="s">
        <v>85</v>
      </c>
      <c r="B205" s="143">
        <f t="shared" ref="B205:M205" si="79">MAX(0,B174*B$135-$N174)</f>
        <v>0</v>
      </c>
      <c r="C205" s="143">
        <f t="shared" si="79"/>
        <v>0</v>
      </c>
      <c r="D205" s="143">
        <f t="shared" si="79"/>
        <v>0</v>
      </c>
      <c r="E205" s="143">
        <f t="shared" si="79"/>
        <v>0</v>
      </c>
      <c r="F205" s="143">
        <f t="shared" si="79"/>
        <v>0</v>
      </c>
      <c r="G205" s="143">
        <f t="shared" si="79"/>
        <v>0</v>
      </c>
      <c r="H205" s="143">
        <f t="shared" si="79"/>
        <v>0</v>
      </c>
      <c r="I205" s="143">
        <f t="shared" si="79"/>
        <v>0</v>
      </c>
      <c r="J205" s="143">
        <f t="shared" si="79"/>
        <v>0</v>
      </c>
      <c r="K205" s="143">
        <f t="shared" si="79"/>
        <v>0</v>
      </c>
      <c r="L205" s="143">
        <f t="shared" si="79"/>
        <v>0</v>
      </c>
      <c r="M205" s="143">
        <f t="shared" si="79"/>
        <v>0</v>
      </c>
    </row>
    <row r="206" ht="15.75" customHeight="1"/>
    <row r="207" ht="15.75" customHeight="1"/>
    <row r="208" ht="15.75" customHeight="1">
      <c r="A208" s="45" t="s">
        <v>554</v>
      </c>
      <c r="B208" s="69"/>
      <c r="C208" s="69"/>
      <c r="D208" s="69"/>
      <c r="E208" s="69"/>
      <c r="F208" s="69"/>
      <c r="G208" s="69"/>
      <c r="H208" s="69"/>
      <c r="I208" s="69"/>
      <c r="J208" s="69"/>
      <c r="K208" s="69"/>
      <c r="L208" s="69"/>
      <c r="M208" s="69"/>
      <c r="N208" s="69"/>
    </row>
    <row r="209" ht="15.75" customHeight="1">
      <c r="A209" s="73" t="s">
        <v>270</v>
      </c>
      <c r="B209" s="36">
        <f>'Resumen Capacidad'!C85</f>
        <v>1</v>
      </c>
    </row>
    <row r="210" ht="15.75" customHeight="1">
      <c r="A210" s="30" t="s">
        <v>333</v>
      </c>
      <c r="B210" s="84">
        <f>IF($B$5=1,MAX(MAX(B224:L224),M223),MAX(B224:M224))</f>
        <v>343.9029549</v>
      </c>
    </row>
    <row r="211" ht="15.75" customHeight="1">
      <c r="A211" s="73" t="s">
        <v>275</v>
      </c>
      <c r="B211" s="115">
        <f>MIN('Resumen Capacidad'!C$49+'Resumen Capacidad'!C$228+'Resumen Capacidad'!C$235,MAX($B$13,ROUNDUP(B210/$B$11,0)))</f>
        <v>5</v>
      </c>
      <c r="C211" s="22" t="s">
        <v>339</v>
      </c>
    </row>
    <row r="212" ht="15.75" customHeight="1">
      <c r="A212" s="73" t="s">
        <v>284</v>
      </c>
      <c r="B212" s="115">
        <f>IF(B209=2,ROUNDUP(MAX(B230:M230)/$B$11,0),0)</f>
        <v>0</v>
      </c>
      <c r="C212" s="22" t="s">
        <v>341</v>
      </c>
    </row>
    <row r="213" ht="15.75" customHeight="1">
      <c r="A213" s="73" t="s">
        <v>280</v>
      </c>
      <c r="B213" s="115">
        <f>IF(MAX(B240:M240)=0,0,MAX(Parametros!$B$73,ROUNDUP(MAX(B240:M240)/$B$11,0)))</f>
        <v>2</v>
      </c>
      <c r="C213" s="22" t="s">
        <v>345</v>
      </c>
    </row>
    <row r="214" ht="15.75" customHeight="1">
      <c r="A214" s="73" t="s">
        <v>286</v>
      </c>
      <c r="B214" s="115">
        <f>IF(B209=2,MAX(1,ROUNDUP(MAX(B234:M234)/$B$11,0)),0)</f>
        <v>0</v>
      </c>
      <c r="C214" s="22" t="s">
        <v>347</v>
      </c>
    </row>
    <row r="215" ht="15.75" customHeight="1"/>
    <row r="216" ht="15.75" customHeight="1">
      <c r="A216" s="29" t="s">
        <v>188</v>
      </c>
      <c r="B216" s="29" t="s">
        <v>109</v>
      </c>
      <c r="C216" s="29" t="s">
        <v>110</v>
      </c>
      <c r="D216" s="29" t="s">
        <v>111</v>
      </c>
      <c r="E216" s="29" t="s">
        <v>112</v>
      </c>
      <c r="F216" s="29" t="s">
        <v>113</v>
      </c>
      <c r="G216" s="29" t="s">
        <v>114</v>
      </c>
      <c r="H216" s="29" t="s">
        <v>115</v>
      </c>
      <c r="I216" s="29" t="s">
        <v>116</v>
      </c>
      <c r="J216" s="29" t="s">
        <v>117</v>
      </c>
      <c r="K216" s="29" t="s">
        <v>118</v>
      </c>
      <c r="L216" s="29" t="s">
        <v>119</v>
      </c>
      <c r="M216" s="29" t="s">
        <v>120</v>
      </c>
      <c r="N216" s="29" t="s">
        <v>348</v>
      </c>
    </row>
    <row r="217" ht="15.75" customHeight="1">
      <c r="A217" s="30" t="s">
        <v>349</v>
      </c>
      <c r="B217" s="64">
        <f>C$74*B$53</f>
        <v>0</v>
      </c>
      <c r="C217" s="64">
        <f>C$74*C$53</f>
        <v>56.25</v>
      </c>
      <c r="D217" s="64">
        <f>C$74*D$53</f>
        <v>75</v>
      </c>
      <c r="E217" s="64">
        <f>C$74*E$53</f>
        <v>75</v>
      </c>
      <c r="F217" s="64">
        <f>C$74*F$53</f>
        <v>0</v>
      </c>
      <c r="G217" s="64">
        <f>C$74*G$53</f>
        <v>0</v>
      </c>
      <c r="H217" s="64">
        <f>C$74*H$53</f>
        <v>93.75</v>
      </c>
      <c r="I217" s="64">
        <f>C$74*I$53</f>
        <v>0</v>
      </c>
      <c r="J217" s="64">
        <f>C$74*J$53</f>
        <v>0</v>
      </c>
      <c r="K217" s="64">
        <f>C$74*K$53</f>
        <v>37.5</v>
      </c>
      <c r="L217" s="64">
        <f>C$74*L$53</f>
        <v>37.5</v>
      </c>
      <c r="M217" s="64">
        <f>C$74*M$53</f>
        <v>0</v>
      </c>
      <c r="N217" s="84">
        <f t="shared" ref="N217:N240" si="80">MAX(B217:M217)</f>
        <v>93.75</v>
      </c>
    </row>
    <row r="218" ht="15.75" customHeight="1">
      <c r="A218" s="30" t="s">
        <v>359</v>
      </c>
      <c r="B218" s="64">
        <f>C$78*B$53</f>
        <v>0</v>
      </c>
      <c r="C218" s="64">
        <f>C$78*C$53</f>
        <v>0</v>
      </c>
      <c r="D218" s="64">
        <f>C$78*D$53</f>
        <v>0</v>
      </c>
      <c r="E218" s="64">
        <f>C$78*E$53</f>
        <v>0</v>
      </c>
      <c r="F218" s="64">
        <f>C$78*F$53</f>
        <v>0</v>
      </c>
      <c r="G218" s="64">
        <f>C$78*G$53</f>
        <v>0</v>
      </c>
      <c r="H218" s="64">
        <f>C$78*H$53</f>
        <v>0</v>
      </c>
      <c r="I218" s="64">
        <f>C$78*I$53</f>
        <v>0</v>
      </c>
      <c r="J218" s="64">
        <f>C$78*J$53</f>
        <v>0</v>
      </c>
      <c r="K218" s="64">
        <f>C$78*K$53</f>
        <v>0</v>
      </c>
      <c r="L218" s="64">
        <f>C$78*L$53</f>
        <v>0</v>
      </c>
      <c r="M218" s="64">
        <f>C$78*M$53</f>
        <v>0</v>
      </c>
      <c r="N218" s="84">
        <f t="shared" si="80"/>
        <v>0</v>
      </c>
    </row>
    <row r="219" ht="15.75" customHeight="1">
      <c r="A219" s="30" t="s">
        <v>375</v>
      </c>
      <c r="B219" s="64">
        <f>C$82*B$54</f>
        <v>0</v>
      </c>
      <c r="C219" s="64">
        <f>C$82*C$54</f>
        <v>22.5</v>
      </c>
      <c r="D219" s="64">
        <f>C$82*D$54</f>
        <v>22.5</v>
      </c>
      <c r="E219" s="64">
        <f>C$82*E$54</f>
        <v>22.5</v>
      </c>
      <c r="F219" s="64">
        <f>C$82*F$54</f>
        <v>0</v>
      </c>
      <c r="G219" s="64">
        <f>C$82*G$54</f>
        <v>0</v>
      </c>
      <c r="H219" s="64">
        <f>C$82*H$54</f>
        <v>37.5</v>
      </c>
      <c r="I219" s="64">
        <f>C$82*I$54</f>
        <v>0</v>
      </c>
      <c r="J219" s="64">
        <f>C$82*J$54</f>
        <v>0</v>
      </c>
      <c r="K219" s="64">
        <f>C$82*K$54</f>
        <v>22.5</v>
      </c>
      <c r="L219" s="64">
        <f>C$82*L$54</f>
        <v>22.5</v>
      </c>
      <c r="M219" s="64">
        <f>C$82*M$54</f>
        <v>0</v>
      </c>
      <c r="N219" s="84">
        <f t="shared" si="80"/>
        <v>37.5</v>
      </c>
    </row>
    <row r="220" ht="15.75" customHeight="1">
      <c r="A220" s="30" t="s">
        <v>380</v>
      </c>
      <c r="B220" s="64">
        <f>C$86*B$54</f>
        <v>0</v>
      </c>
      <c r="C220" s="64">
        <f>C$86*C$54</f>
        <v>0</v>
      </c>
      <c r="D220" s="64">
        <f>C$86*D$54</f>
        <v>0</v>
      </c>
      <c r="E220" s="64">
        <f>C$86*E$54</f>
        <v>0</v>
      </c>
      <c r="F220" s="64">
        <f>C$86*F$54</f>
        <v>0</v>
      </c>
      <c r="G220" s="64">
        <f>C$86*G$54</f>
        <v>0</v>
      </c>
      <c r="H220" s="64">
        <f>C$86*H$54</f>
        <v>0</v>
      </c>
      <c r="I220" s="64">
        <f>C$86*I$54</f>
        <v>0</v>
      </c>
      <c r="J220" s="64">
        <f>C$86*J$54</f>
        <v>0</v>
      </c>
      <c r="K220" s="64">
        <f>C$86*K$54</f>
        <v>0</v>
      </c>
      <c r="L220" s="64">
        <f>C$86*L$54</f>
        <v>0</v>
      </c>
      <c r="M220" s="64">
        <f>C$86*M$54</f>
        <v>0</v>
      </c>
      <c r="N220" s="84">
        <f t="shared" si="80"/>
        <v>0</v>
      </c>
    </row>
    <row r="221" ht="15.75" customHeight="1">
      <c r="A221" s="30" t="s">
        <v>382</v>
      </c>
      <c r="B221" s="64">
        <f>'Analisis de operaciones'!C187</f>
        <v>1192.94</v>
      </c>
      <c r="C221" s="64">
        <f>'Analisis de operaciones'!D187</f>
        <v>918.37</v>
      </c>
      <c r="D221" s="64">
        <f>'Analisis de operaciones'!E187</f>
        <v>882.065</v>
      </c>
      <c r="E221" s="64">
        <f>'Analisis de operaciones'!F187</f>
        <v>852.08</v>
      </c>
      <c r="F221" s="64">
        <f>'Analisis de operaciones'!G187</f>
        <v>798.43</v>
      </c>
      <c r="G221" s="64">
        <f>'Analisis de operaciones'!H187</f>
        <v>774.765</v>
      </c>
      <c r="H221" s="64">
        <f>'Analisis de operaciones'!I187</f>
        <v>828.415</v>
      </c>
      <c r="I221" s="64">
        <f>'Analisis de operaciones'!J187</f>
        <v>828.415</v>
      </c>
      <c r="J221" s="64">
        <f>'Analisis de operaciones'!K187</f>
        <v>828.415</v>
      </c>
      <c r="K221" s="64">
        <f>'Analisis de operaciones'!L187</f>
        <v>804.75</v>
      </c>
      <c r="L221" s="64">
        <f>'Analisis de operaciones'!M187</f>
        <v>781.085</v>
      </c>
      <c r="M221" s="64">
        <f>'Analisis de operaciones'!N187</f>
        <v>1240.27</v>
      </c>
      <c r="N221" s="84">
        <f t="shared" si="80"/>
        <v>1240.27</v>
      </c>
    </row>
    <row r="222" ht="15.75" customHeight="1">
      <c r="A222" s="30" t="s">
        <v>383</v>
      </c>
      <c r="B222" s="64">
        <f t="shared" ref="B222:M222" si="81">SUM(B248:B267)+B277</f>
        <v>326.051757</v>
      </c>
      <c r="C222" s="64">
        <f t="shared" si="81"/>
        <v>252.0768668</v>
      </c>
      <c r="D222" s="64">
        <f t="shared" si="81"/>
        <v>244.473081</v>
      </c>
      <c r="E222" s="64">
        <f t="shared" si="81"/>
        <v>236.7756259</v>
      </c>
      <c r="F222" s="64">
        <f t="shared" si="81"/>
        <v>222.2993478</v>
      </c>
      <c r="G222" s="64">
        <f t="shared" si="81"/>
        <v>214.8456572</v>
      </c>
      <c r="H222" s="64">
        <f t="shared" si="81"/>
        <v>229.9968029</v>
      </c>
      <c r="I222" s="64">
        <f t="shared" si="81"/>
        <v>229.9968029</v>
      </c>
      <c r="J222" s="64">
        <f t="shared" si="81"/>
        <v>229.6593691</v>
      </c>
      <c r="K222" s="64">
        <f t="shared" si="81"/>
        <v>222.2056785</v>
      </c>
      <c r="L222" s="64">
        <f t="shared" si="81"/>
        <v>215.0894217</v>
      </c>
      <c r="M222" s="64">
        <f t="shared" si="81"/>
        <v>339.2719691</v>
      </c>
      <c r="N222" s="84">
        <f t="shared" si="80"/>
        <v>339.2719691</v>
      </c>
    </row>
    <row r="223" ht="15.75" customHeight="1">
      <c r="A223" s="30" t="s">
        <v>385</v>
      </c>
      <c r="B223" s="64">
        <f t="shared" ref="B223:M223" si="82">SUM(B269:B276)</f>
        <v>17.85119792</v>
      </c>
      <c r="C223" s="64">
        <f t="shared" si="82"/>
        <v>15.75105699</v>
      </c>
      <c r="D223" s="64">
        <f t="shared" si="82"/>
        <v>18.90126838</v>
      </c>
      <c r="E223" s="64">
        <f t="shared" si="82"/>
        <v>18.90126838</v>
      </c>
      <c r="F223" s="64">
        <f t="shared" si="82"/>
        <v>18.90126838</v>
      </c>
      <c r="G223" s="64">
        <f t="shared" si="82"/>
        <v>16.80112745</v>
      </c>
      <c r="H223" s="64">
        <f t="shared" si="82"/>
        <v>18.90126838</v>
      </c>
      <c r="I223" s="64">
        <f t="shared" si="82"/>
        <v>18.90126838</v>
      </c>
      <c r="J223" s="64">
        <f t="shared" si="82"/>
        <v>17.85119792</v>
      </c>
      <c r="K223" s="64">
        <f t="shared" si="82"/>
        <v>15.75105699</v>
      </c>
      <c r="L223" s="64">
        <f t="shared" si="82"/>
        <v>14.70098652</v>
      </c>
      <c r="M223" s="64">
        <f t="shared" si="82"/>
        <v>16.80112745</v>
      </c>
      <c r="N223" s="84">
        <f t="shared" si="80"/>
        <v>18.90126838</v>
      </c>
    </row>
    <row r="224" ht="15.75" customHeight="1">
      <c r="A224" s="73" t="s">
        <v>386</v>
      </c>
      <c r="B224" s="84">
        <f t="shared" ref="B224:M224" si="83">B222+B223</f>
        <v>343.9029549</v>
      </c>
      <c r="C224" s="84">
        <f t="shared" si="83"/>
        <v>267.8279238</v>
      </c>
      <c r="D224" s="84">
        <f t="shared" si="83"/>
        <v>263.3743494</v>
      </c>
      <c r="E224" s="84">
        <f t="shared" si="83"/>
        <v>255.6768943</v>
      </c>
      <c r="F224" s="84">
        <f t="shared" si="83"/>
        <v>241.2006162</v>
      </c>
      <c r="G224" s="84">
        <f t="shared" si="83"/>
        <v>231.6467847</v>
      </c>
      <c r="H224" s="84">
        <f t="shared" si="83"/>
        <v>248.8980713</v>
      </c>
      <c r="I224" s="84">
        <f t="shared" si="83"/>
        <v>248.8980713</v>
      </c>
      <c r="J224" s="84">
        <f t="shared" si="83"/>
        <v>247.510567</v>
      </c>
      <c r="K224" s="84">
        <f t="shared" si="83"/>
        <v>237.9567355</v>
      </c>
      <c r="L224" s="84">
        <f t="shared" si="83"/>
        <v>229.7904082</v>
      </c>
      <c r="M224" s="84">
        <f t="shared" si="83"/>
        <v>356.0730966</v>
      </c>
      <c r="N224" s="84">
        <f t="shared" si="80"/>
        <v>356.0730966</v>
      </c>
    </row>
    <row r="225" ht="15.75" customHeight="1">
      <c r="A225" s="30" t="s">
        <v>388</v>
      </c>
      <c r="B225" s="64">
        <f t="shared" ref="B225:M225" si="84">$B$211*$B$9-B217</f>
        <v>654.75</v>
      </c>
      <c r="C225" s="64">
        <f t="shared" si="84"/>
        <v>598.5</v>
      </c>
      <c r="D225" s="64">
        <f t="shared" si="84"/>
        <v>579.75</v>
      </c>
      <c r="E225" s="64">
        <f t="shared" si="84"/>
        <v>579.75</v>
      </c>
      <c r="F225" s="64">
        <f t="shared" si="84"/>
        <v>654.75</v>
      </c>
      <c r="G225" s="64">
        <f t="shared" si="84"/>
        <v>654.75</v>
      </c>
      <c r="H225" s="64">
        <f t="shared" si="84"/>
        <v>561</v>
      </c>
      <c r="I225" s="64">
        <f t="shared" si="84"/>
        <v>654.75</v>
      </c>
      <c r="J225" s="64">
        <f t="shared" si="84"/>
        <v>654.75</v>
      </c>
      <c r="K225" s="64">
        <f t="shared" si="84"/>
        <v>617.25</v>
      </c>
      <c r="L225" s="64">
        <f t="shared" si="84"/>
        <v>617.25</v>
      </c>
      <c r="M225" s="64">
        <f t="shared" si="84"/>
        <v>654.75</v>
      </c>
      <c r="N225" s="84">
        <f t="shared" si="80"/>
        <v>654.75</v>
      </c>
    </row>
    <row r="226" ht="15.75" customHeight="1">
      <c r="A226" s="30" t="s">
        <v>389</v>
      </c>
      <c r="B226" s="64">
        <f t="shared" ref="B226:M226" si="85">IF(B222=0,0,MAX(0,B225-B224)*B221/B222)</f>
        <v>1137.309847</v>
      </c>
      <c r="C226" s="64">
        <f t="shared" si="85"/>
        <v>1204.709177</v>
      </c>
      <c r="D226" s="64">
        <f t="shared" si="85"/>
        <v>1141.491272</v>
      </c>
      <c r="E226" s="64">
        <f t="shared" si="85"/>
        <v>1166.235802</v>
      </c>
      <c r="F226" s="64">
        <f t="shared" si="85"/>
        <v>1485.340545</v>
      </c>
      <c r="G226" s="64">
        <f t="shared" si="85"/>
        <v>1525.772347</v>
      </c>
      <c r="H226" s="64">
        <f t="shared" si="85"/>
        <v>1124.14571</v>
      </c>
      <c r="I226" s="64">
        <f t="shared" si="85"/>
        <v>1461.819561</v>
      </c>
      <c r="J226" s="64">
        <f t="shared" si="85"/>
        <v>1468.972314</v>
      </c>
      <c r="K226" s="64">
        <f t="shared" si="85"/>
        <v>1373.665411</v>
      </c>
      <c r="L226" s="64">
        <f t="shared" si="85"/>
        <v>1407.037468</v>
      </c>
      <c r="M226" s="64">
        <f t="shared" si="85"/>
        <v>1091.867401</v>
      </c>
      <c r="N226" s="84">
        <f t="shared" si="80"/>
        <v>1525.772347</v>
      </c>
    </row>
    <row r="227" ht="15.75" customHeight="1">
      <c r="A227" s="73" t="s">
        <v>390</v>
      </c>
      <c r="B227" s="84">
        <f t="shared" ref="B227:J227" si="86">0</f>
        <v>0</v>
      </c>
      <c r="C227" s="84">
        <f t="shared" si="86"/>
        <v>0</v>
      </c>
      <c r="D227" s="84">
        <f t="shared" si="86"/>
        <v>0</v>
      </c>
      <c r="E227" s="84">
        <f t="shared" si="86"/>
        <v>0</v>
      </c>
      <c r="F227" s="84">
        <f t="shared" si="86"/>
        <v>0</v>
      </c>
      <c r="G227" s="84">
        <f t="shared" si="86"/>
        <v>0</v>
      </c>
      <c r="H227" s="84">
        <f t="shared" si="86"/>
        <v>0</v>
      </c>
      <c r="I227" s="84">
        <f t="shared" si="86"/>
        <v>0</v>
      </c>
      <c r="J227" s="84">
        <f t="shared" si="86"/>
        <v>0</v>
      </c>
      <c r="K227" s="140">
        <f>$B$5*MIN(K226,M221)</f>
        <v>1240.27</v>
      </c>
      <c r="L227" s="140">
        <f>$B$5*MIN(L226,M221-K227)</f>
        <v>0</v>
      </c>
      <c r="M227" s="140">
        <f>-(K227+L227)</f>
        <v>-1240.27</v>
      </c>
      <c r="N227" s="84">
        <f t="shared" si="80"/>
        <v>1240.27</v>
      </c>
    </row>
    <row r="228" ht="15.75" customHeight="1">
      <c r="A228" s="30" t="s">
        <v>391</v>
      </c>
      <c r="B228" s="133">
        <f t="shared" ref="B228:M228" si="87">IF(B221=0,1,(B221+B227)/B221)</f>
        <v>1</v>
      </c>
      <c r="C228" s="133">
        <f t="shared" si="87"/>
        <v>1</v>
      </c>
      <c r="D228" s="133">
        <f t="shared" si="87"/>
        <v>1</v>
      </c>
      <c r="E228" s="133">
        <f t="shared" si="87"/>
        <v>1</v>
      </c>
      <c r="F228" s="133">
        <f t="shared" si="87"/>
        <v>1</v>
      </c>
      <c r="G228" s="133">
        <f t="shared" si="87"/>
        <v>1</v>
      </c>
      <c r="H228" s="133">
        <f t="shared" si="87"/>
        <v>1</v>
      </c>
      <c r="I228" s="133">
        <f t="shared" si="87"/>
        <v>1</v>
      </c>
      <c r="J228" s="133">
        <f t="shared" si="87"/>
        <v>1</v>
      </c>
      <c r="K228" s="133">
        <f t="shared" si="87"/>
        <v>2.541186704</v>
      </c>
      <c r="L228" s="133">
        <f t="shared" si="87"/>
        <v>1</v>
      </c>
      <c r="M228" s="133">
        <f t="shared" si="87"/>
        <v>0</v>
      </c>
      <c r="N228" s="40">
        <f t="shared" si="80"/>
        <v>2.541186704</v>
      </c>
    </row>
    <row r="229" ht="15.75" customHeight="1">
      <c r="A229" s="73" t="s">
        <v>392</v>
      </c>
      <c r="B229" s="84">
        <f t="shared" ref="B229:M229" si="88">B222*B228+B223</f>
        <v>343.9029549</v>
      </c>
      <c r="C229" s="84">
        <f t="shared" si="88"/>
        <v>267.8279238</v>
      </c>
      <c r="D229" s="84">
        <f t="shared" si="88"/>
        <v>263.3743494</v>
      </c>
      <c r="E229" s="84">
        <f t="shared" si="88"/>
        <v>255.6768943</v>
      </c>
      <c r="F229" s="84">
        <f t="shared" si="88"/>
        <v>241.2006162</v>
      </c>
      <c r="G229" s="84">
        <f t="shared" si="88"/>
        <v>231.6467847</v>
      </c>
      <c r="H229" s="84">
        <f t="shared" si="88"/>
        <v>248.8980713</v>
      </c>
      <c r="I229" s="84">
        <f t="shared" si="88"/>
        <v>248.8980713</v>
      </c>
      <c r="J229" s="84">
        <f t="shared" si="88"/>
        <v>247.510567</v>
      </c>
      <c r="K229" s="84">
        <f t="shared" si="88"/>
        <v>580.4171727</v>
      </c>
      <c r="L229" s="84">
        <f t="shared" si="88"/>
        <v>229.7904082</v>
      </c>
      <c r="M229" s="84">
        <f t="shared" si="88"/>
        <v>16.80112745</v>
      </c>
      <c r="N229" s="84">
        <f t="shared" si="80"/>
        <v>580.4171727</v>
      </c>
    </row>
    <row r="230" ht="15.75" customHeight="1">
      <c r="A230" s="30" t="s">
        <v>393</v>
      </c>
      <c r="B230" s="64">
        <f t="shared" ref="B230:M230" si="89">IF($B$209=2,MAX(SUM(B279:B298),B229-($B$211*$B$11-B217)),0)</f>
        <v>0</v>
      </c>
      <c r="C230" s="64">
        <f t="shared" si="89"/>
        <v>0</v>
      </c>
      <c r="D230" s="64">
        <f t="shared" si="89"/>
        <v>0</v>
      </c>
      <c r="E230" s="64">
        <f t="shared" si="89"/>
        <v>0</v>
      </c>
      <c r="F230" s="64">
        <f t="shared" si="89"/>
        <v>0</v>
      </c>
      <c r="G230" s="64">
        <f t="shared" si="89"/>
        <v>0</v>
      </c>
      <c r="H230" s="64">
        <f t="shared" si="89"/>
        <v>0</v>
      </c>
      <c r="I230" s="64">
        <f t="shared" si="89"/>
        <v>0</v>
      </c>
      <c r="J230" s="64">
        <f t="shared" si="89"/>
        <v>0</v>
      </c>
      <c r="K230" s="64">
        <f t="shared" si="89"/>
        <v>0</v>
      </c>
      <c r="L230" s="64">
        <f t="shared" si="89"/>
        <v>0</v>
      </c>
      <c r="M230" s="64">
        <f t="shared" si="89"/>
        <v>0</v>
      </c>
      <c r="N230" s="84">
        <f t="shared" si="80"/>
        <v>0</v>
      </c>
    </row>
    <row r="231" ht="15.75" customHeight="1">
      <c r="A231" s="30" t="s">
        <v>394</v>
      </c>
      <c r="B231" s="64">
        <f t="shared" ref="B231:M231" si="90">MAX(0,B225-(B229-B230))</f>
        <v>310.8470451</v>
      </c>
      <c r="C231" s="64">
        <f t="shared" si="90"/>
        <v>330.6720762</v>
      </c>
      <c r="D231" s="64">
        <f t="shared" si="90"/>
        <v>316.3756506</v>
      </c>
      <c r="E231" s="64">
        <f t="shared" si="90"/>
        <v>324.0731057</v>
      </c>
      <c r="F231" s="64">
        <f t="shared" si="90"/>
        <v>413.5493838</v>
      </c>
      <c r="G231" s="64">
        <f t="shared" si="90"/>
        <v>423.1032153</v>
      </c>
      <c r="H231" s="64">
        <f t="shared" si="90"/>
        <v>312.1019287</v>
      </c>
      <c r="I231" s="64">
        <f t="shared" si="90"/>
        <v>405.8519287</v>
      </c>
      <c r="J231" s="64">
        <f t="shared" si="90"/>
        <v>407.239433</v>
      </c>
      <c r="K231" s="64">
        <f t="shared" si="90"/>
        <v>36.83282728</v>
      </c>
      <c r="L231" s="64">
        <f t="shared" si="90"/>
        <v>387.4595918</v>
      </c>
      <c r="M231" s="64">
        <f t="shared" si="90"/>
        <v>637.9488725</v>
      </c>
      <c r="N231" s="84">
        <f t="shared" si="80"/>
        <v>637.9488725</v>
      </c>
    </row>
    <row r="232" ht="15.75" customHeight="1">
      <c r="A232" s="73" t="s">
        <v>395</v>
      </c>
      <c r="B232" s="84">
        <f>'Analisis Recargas'!C112</f>
        <v>237.1102556</v>
      </c>
      <c r="C232" s="84">
        <f>'Analisis Recargas'!D112</f>
        <v>195.2980346</v>
      </c>
      <c r="D232" s="84">
        <f>'Analisis Recargas'!E112</f>
        <v>201.0131169</v>
      </c>
      <c r="E232" s="84">
        <f>'Analisis Recargas'!F112</f>
        <v>195.8426025</v>
      </c>
      <c r="F232" s="84">
        <f>'Analisis Recargas'!G112</f>
        <v>190.1275203</v>
      </c>
      <c r="G232" s="84">
        <f>'Analisis Recargas'!H112</f>
        <v>184.412438</v>
      </c>
      <c r="H232" s="84">
        <f>'Analisis Recargas'!I112</f>
        <v>196.3871705</v>
      </c>
      <c r="I232" s="84">
        <f>'Analisis Recargas'!J112</f>
        <v>200.4685489</v>
      </c>
      <c r="J232" s="84">
        <f>'Analisis Recargas'!K112</f>
        <v>200.4685489</v>
      </c>
      <c r="K232" s="84">
        <f>'Analisis Recargas'!L112</f>
        <v>195.2980346</v>
      </c>
      <c r="L232" s="84">
        <f>'Analisis Recargas'!M112</f>
        <v>194.7534667</v>
      </c>
      <c r="M232" s="84">
        <f>'Analisis Recargas'!N112</f>
        <v>283.3331048</v>
      </c>
      <c r="N232" s="84">
        <f t="shared" si="80"/>
        <v>283.3331048</v>
      </c>
    </row>
    <row r="233" ht="15.75" customHeight="1">
      <c r="A233" s="30" t="s">
        <v>396</v>
      </c>
      <c r="B233" s="64">
        <f>IFERROR(B232*'Analisis Recargas'!C61*'Almacen PT'!$B$10/SUM('Analisis Recargas'!C61:C77),0)</f>
        <v>39.98328877</v>
      </c>
      <c r="C233" s="64">
        <f>IFERROR(C232*'Analisis Recargas'!D61*'Almacen PT'!$B$10/SUM('Analisis Recargas'!D61:D77),0)</f>
        <v>31.17772746</v>
      </c>
      <c r="D233" s="64">
        <f>IFERROR(D232*'Analisis Recargas'!E61*'Almacen PT'!$B$10/SUM('Analisis Recargas'!E61:E77),0)</f>
        <v>31.17839674</v>
      </c>
      <c r="E233" s="64">
        <f>IFERROR(E232*'Analisis Recargas'!F61*'Almacen PT'!$B$10/SUM('Analisis Recargas'!F61:F77),0)</f>
        <v>31.18418239</v>
      </c>
      <c r="F233" s="64">
        <f>IFERROR(F232*'Analisis Recargas'!G61*'Almacen PT'!$B$10/SUM('Analisis Recargas'!G61:G77),0)</f>
        <v>31.18366859</v>
      </c>
      <c r="G233" s="64">
        <f>IFERROR(G232*'Analisis Recargas'!H61*'Almacen PT'!$B$10/SUM('Analisis Recargas'!H61:H77),0)</f>
        <v>31.18312296</v>
      </c>
      <c r="H233" s="64">
        <f>IFERROR(H232*'Analisis Recargas'!I61*'Almacen PT'!$B$10/SUM('Analisis Recargas'!I61:I77),0)</f>
        <v>31.19060417</v>
      </c>
      <c r="I233" s="64">
        <f>IFERROR(I232*'Analisis Recargas'!J61*'Almacen PT'!$B$10/SUM('Analisis Recargas'!J61:J77),0)</f>
        <v>31.17209489</v>
      </c>
      <c r="J233" s="64">
        <f>IFERROR(J232*'Analisis Recargas'!K61*'Almacen PT'!$B$10/SUM('Analisis Recargas'!K61:K77),0)</f>
        <v>31.17209489</v>
      </c>
      <c r="K233" s="64">
        <f>IFERROR(K232*'Analisis Recargas'!L61*'Almacen PT'!$B$10/SUM('Analisis Recargas'!L61:L77),0)</f>
        <v>31.17772746</v>
      </c>
      <c r="L233" s="64">
        <f>IFERROR(L232*'Analisis Recargas'!M61*'Almacen PT'!$B$10/SUM('Analisis Recargas'!M61:M77),0)</f>
        <v>31.17123913</v>
      </c>
      <c r="M233" s="64">
        <f>IFERROR(M232*'Analisis Recargas'!N61*'Almacen PT'!$B$10/SUM('Analisis Recargas'!N61:N77),0)</f>
        <v>47.93639103</v>
      </c>
      <c r="N233" s="84">
        <f t="shared" si="80"/>
        <v>47.93639103</v>
      </c>
    </row>
    <row r="234" ht="15.75" customHeight="1">
      <c r="A234" s="30" t="s">
        <v>397</v>
      </c>
      <c r="B234" s="64">
        <f t="shared" ref="B234:M234" si="91">IF($B$209=2,B233*$B$15,0)</f>
        <v>0</v>
      </c>
      <c r="C234" s="64">
        <f t="shared" si="91"/>
        <v>0</v>
      </c>
      <c r="D234" s="64">
        <f t="shared" si="91"/>
        <v>0</v>
      </c>
      <c r="E234" s="64">
        <f t="shared" si="91"/>
        <v>0</v>
      </c>
      <c r="F234" s="64">
        <f t="shared" si="91"/>
        <v>0</v>
      </c>
      <c r="G234" s="64">
        <f t="shared" si="91"/>
        <v>0</v>
      </c>
      <c r="H234" s="64">
        <f t="shared" si="91"/>
        <v>0</v>
      </c>
      <c r="I234" s="64">
        <f t="shared" si="91"/>
        <v>0</v>
      </c>
      <c r="J234" s="64">
        <f t="shared" si="91"/>
        <v>0</v>
      </c>
      <c r="K234" s="64">
        <f t="shared" si="91"/>
        <v>0</v>
      </c>
      <c r="L234" s="64">
        <f t="shared" si="91"/>
        <v>0</v>
      </c>
      <c r="M234" s="64">
        <f t="shared" si="91"/>
        <v>0</v>
      </c>
      <c r="N234" s="84">
        <f t="shared" si="80"/>
        <v>0</v>
      </c>
    </row>
    <row r="235" ht="15.75" customHeight="1">
      <c r="A235" s="30" t="s">
        <v>399</v>
      </c>
      <c r="B235" s="64">
        <f t="shared" ref="B235:M235" si="92">MAX(0,B232-B234-$B$6*B231)</f>
        <v>0</v>
      </c>
      <c r="C235" s="64">
        <f t="shared" si="92"/>
        <v>0</v>
      </c>
      <c r="D235" s="64">
        <f t="shared" si="92"/>
        <v>0</v>
      </c>
      <c r="E235" s="64">
        <f t="shared" si="92"/>
        <v>0</v>
      </c>
      <c r="F235" s="64">
        <f t="shared" si="92"/>
        <v>0</v>
      </c>
      <c r="G235" s="64">
        <f t="shared" si="92"/>
        <v>0</v>
      </c>
      <c r="H235" s="64">
        <f t="shared" si="92"/>
        <v>0</v>
      </c>
      <c r="I235" s="64">
        <f t="shared" si="92"/>
        <v>0</v>
      </c>
      <c r="J235" s="64">
        <f t="shared" si="92"/>
        <v>0</v>
      </c>
      <c r="K235" s="64">
        <f t="shared" si="92"/>
        <v>162.14849</v>
      </c>
      <c r="L235" s="64">
        <f t="shared" si="92"/>
        <v>0</v>
      </c>
      <c r="M235" s="64">
        <f t="shared" si="92"/>
        <v>0</v>
      </c>
      <c r="N235" s="84">
        <f t="shared" si="80"/>
        <v>162.14849</v>
      </c>
    </row>
    <row r="236" ht="15.75" customHeight="1">
      <c r="A236" s="30" t="s">
        <v>400</v>
      </c>
      <c r="B236" s="64">
        <f t="shared" ref="B236:M236" si="93">MAX(0,$B$214*$B$9-B220-B234)</f>
        <v>0</v>
      </c>
      <c r="C236" s="64">
        <f t="shared" si="93"/>
        <v>0</v>
      </c>
      <c r="D236" s="64">
        <f t="shared" si="93"/>
        <v>0</v>
      </c>
      <c r="E236" s="64">
        <f t="shared" si="93"/>
        <v>0</v>
      </c>
      <c r="F236" s="64">
        <f t="shared" si="93"/>
        <v>0</v>
      </c>
      <c r="G236" s="64">
        <f t="shared" si="93"/>
        <v>0</v>
      </c>
      <c r="H236" s="64">
        <f t="shared" si="93"/>
        <v>0</v>
      </c>
      <c r="I236" s="64">
        <f t="shared" si="93"/>
        <v>0</v>
      </c>
      <c r="J236" s="64">
        <f t="shared" si="93"/>
        <v>0</v>
      </c>
      <c r="K236" s="64">
        <f t="shared" si="93"/>
        <v>0</v>
      </c>
      <c r="L236" s="64">
        <f t="shared" si="93"/>
        <v>0</v>
      </c>
      <c r="M236" s="64">
        <f t="shared" si="93"/>
        <v>0</v>
      </c>
      <c r="N236" s="84">
        <f t="shared" si="80"/>
        <v>0</v>
      </c>
    </row>
    <row r="237" ht="15.75" customHeight="1">
      <c r="A237" s="30" t="s">
        <v>401</v>
      </c>
      <c r="B237" s="64">
        <f t="shared" ref="B237:M237" si="94">MIN(B235,B236)</f>
        <v>0</v>
      </c>
      <c r="C237" s="64">
        <f t="shared" si="94"/>
        <v>0</v>
      </c>
      <c r="D237" s="64">
        <f t="shared" si="94"/>
        <v>0</v>
      </c>
      <c r="E237" s="64">
        <f t="shared" si="94"/>
        <v>0</v>
      </c>
      <c r="F237" s="64">
        <f t="shared" si="94"/>
        <v>0</v>
      </c>
      <c r="G237" s="64">
        <f t="shared" si="94"/>
        <v>0</v>
      </c>
      <c r="H237" s="64">
        <f t="shared" si="94"/>
        <v>0</v>
      </c>
      <c r="I237" s="64">
        <f t="shared" si="94"/>
        <v>0</v>
      </c>
      <c r="J237" s="64">
        <f t="shared" si="94"/>
        <v>0</v>
      </c>
      <c r="K237" s="64">
        <f t="shared" si="94"/>
        <v>0</v>
      </c>
      <c r="L237" s="64">
        <f t="shared" si="94"/>
        <v>0</v>
      </c>
      <c r="M237" s="64">
        <f t="shared" si="94"/>
        <v>0</v>
      </c>
      <c r="N237" s="84">
        <f t="shared" si="80"/>
        <v>0</v>
      </c>
    </row>
    <row r="238" ht="15.75" customHeight="1">
      <c r="A238" s="30" t="s">
        <v>403</v>
      </c>
      <c r="B238" s="64">
        <f t="shared" ref="B238:M238" si="95">MAX(0,$B$212*$B$9-B218-B230)</f>
        <v>0</v>
      </c>
      <c r="C238" s="64">
        <f t="shared" si="95"/>
        <v>0</v>
      </c>
      <c r="D238" s="64">
        <f t="shared" si="95"/>
        <v>0</v>
      </c>
      <c r="E238" s="64">
        <f t="shared" si="95"/>
        <v>0</v>
      </c>
      <c r="F238" s="64">
        <f t="shared" si="95"/>
        <v>0</v>
      </c>
      <c r="G238" s="64">
        <f t="shared" si="95"/>
        <v>0</v>
      </c>
      <c r="H238" s="64">
        <f t="shared" si="95"/>
        <v>0</v>
      </c>
      <c r="I238" s="64">
        <f t="shared" si="95"/>
        <v>0</v>
      </c>
      <c r="J238" s="64">
        <f t="shared" si="95"/>
        <v>0</v>
      </c>
      <c r="K238" s="64">
        <f t="shared" si="95"/>
        <v>0</v>
      </c>
      <c r="L238" s="64">
        <f t="shared" si="95"/>
        <v>0</v>
      </c>
      <c r="M238" s="64">
        <f t="shared" si="95"/>
        <v>0</v>
      </c>
      <c r="N238" s="84">
        <f t="shared" si="80"/>
        <v>0</v>
      </c>
    </row>
    <row r="239" ht="15.75" customHeight="1">
      <c r="A239" s="30" t="s">
        <v>404</v>
      </c>
      <c r="B239" s="64">
        <f t="shared" ref="B239:M239" si="96">MIN(B235-B237,$B$6*B238)</f>
        <v>0</v>
      </c>
      <c r="C239" s="64">
        <f t="shared" si="96"/>
        <v>0</v>
      </c>
      <c r="D239" s="64">
        <f t="shared" si="96"/>
        <v>0</v>
      </c>
      <c r="E239" s="64">
        <f t="shared" si="96"/>
        <v>0</v>
      </c>
      <c r="F239" s="64">
        <f t="shared" si="96"/>
        <v>0</v>
      </c>
      <c r="G239" s="64">
        <f t="shared" si="96"/>
        <v>0</v>
      </c>
      <c r="H239" s="64">
        <f t="shared" si="96"/>
        <v>0</v>
      </c>
      <c r="I239" s="64">
        <f t="shared" si="96"/>
        <v>0</v>
      </c>
      <c r="J239" s="64">
        <f t="shared" si="96"/>
        <v>0</v>
      </c>
      <c r="K239" s="64">
        <f t="shared" si="96"/>
        <v>0</v>
      </c>
      <c r="L239" s="64">
        <f t="shared" si="96"/>
        <v>0</v>
      </c>
      <c r="M239" s="64">
        <f t="shared" si="96"/>
        <v>0</v>
      </c>
      <c r="N239" s="84">
        <f t="shared" si="80"/>
        <v>0</v>
      </c>
    </row>
    <row r="240" ht="15.75" customHeight="1">
      <c r="A240" s="30" t="s">
        <v>405</v>
      </c>
      <c r="B240" s="64">
        <f t="shared" ref="B240:M240" si="97">B235-B237-B239</f>
        <v>0</v>
      </c>
      <c r="C240" s="64">
        <f t="shared" si="97"/>
        <v>0</v>
      </c>
      <c r="D240" s="64">
        <f t="shared" si="97"/>
        <v>0</v>
      </c>
      <c r="E240" s="64">
        <f t="shared" si="97"/>
        <v>0</v>
      </c>
      <c r="F240" s="64">
        <f t="shared" si="97"/>
        <v>0</v>
      </c>
      <c r="G240" s="64">
        <f t="shared" si="97"/>
        <v>0</v>
      </c>
      <c r="H240" s="64">
        <f t="shared" si="97"/>
        <v>0</v>
      </c>
      <c r="I240" s="64">
        <f t="shared" si="97"/>
        <v>0</v>
      </c>
      <c r="J240" s="64">
        <f t="shared" si="97"/>
        <v>0</v>
      </c>
      <c r="K240" s="64">
        <f t="shared" si="97"/>
        <v>162.14849</v>
      </c>
      <c r="L240" s="64">
        <f t="shared" si="97"/>
        <v>0</v>
      </c>
      <c r="M240" s="64">
        <f t="shared" si="97"/>
        <v>0</v>
      </c>
      <c r="N240" s="84">
        <f t="shared" si="80"/>
        <v>162.14849</v>
      </c>
    </row>
    <row r="241" ht="15.75" customHeight="1">
      <c r="A241" s="30" t="s">
        <v>406</v>
      </c>
      <c r="B241" s="64">
        <f t="shared" ref="B241:M241" si="98">MAX(0,B229-B230-B225)</f>
        <v>0</v>
      </c>
      <c r="C241" s="64">
        <f t="shared" si="98"/>
        <v>0</v>
      </c>
      <c r="D241" s="64">
        <f t="shared" si="98"/>
        <v>0</v>
      </c>
      <c r="E241" s="64">
        <f t="shared" si="98"/>
        <v>0</v>
      </c>
      <c r="F241" s="64">
        <f t="shared" si="98"/>
        <v>0</v>
      </c>
      <c r="G241" s="64">
        <f t="shared" si="98"/>
        <v>0</v>
      </c>
      <c r="H241" s="64">
        <f t="shared" si="98"/>
        <v>0</v>
      </c>
      <c r="I241" s="64">
        <f t="shared" si="98"/>
        <v>0</v>
      </c>
      <c r="J241" s="64">
        <f t="shared" si="98"/>
        <v>0</v>
      </c>
      <c r="K241" s="64">
        <f t="shared" si="98"/>
        <v>0</v>
      </c>
      <c r="L241" s="64">
        <f t="shared" si="98"/>
        <v>0</v>
      </c>
      <c r="M241" s="64">
        <f t="shared" si="98"/>
        <v>0</v>
      </c>
      <c r="N241" s="84">
        <f t="shared" ref="N241:N245" si="100">SUM(B241:M241)</f>
        <v>0</v>
      </c>
    </row>
    <row r="242" ht="15.75" customHeight="1">
      <c r="A242" s="30" t="s">
        <v>408</v>
      </c>
      <c r="B242" s="64">
        <f t="shared" ref="B242:M242" si="99">MAX(0,B230-($B$212*$B$9-B218))</f>
        <v>0</v>
      </c>
      <c r="C242" s="64">
        <f t="shared" si="99"/>
        <v>0</v>
      </c>
      <c r="D242" s="64">
        <f t="shared" si="99"/>
        <v>0</v>
      </c>
      <c r="E242" s="64">
        <f t="shared" si="99"/>
        <v>0</v>
      </c>
      <c r="F242" s="64">
        <f t="shared" si="99"/>
        <v>0</v>
      </c>
      <c r="G242" s="64">
        <f t="shared" si="99"/>
        <v>0</v>
      </c>
      <c r="H242" s="64">
        <f t="shared" si="99"/>
        <v>0</v>
      </c>
      <c r="I242" s="64">
        <f t="shared" si="99"/>
        <v>0</v>
      </c>
      <c r="J242" s="64">
        <f t="shared" si="99"/>
        <v>0</v>
      </c>
      <c r="K242" s="64">
        <f t="shared" si="99"/>
        <v>0</v>
      </c>
      <c r="L242" s="64">
        <f t="shared" si="99"/>
        <v>0</v>
      </c>
      <c r="M242" s="64">
        <f t="shared" si="99"/>
        <v>0</v>
      </c>
      <c r="N242" s="84">
        <f t="shared" si="100"/>
        <v>0</v>
      </c>
    </row>
    <row r="243" ht="15.75" customHeight="1">
      <c r="A243" s="30" t="s">
        <v>409</v>
      </c>
      <c r="B243" s="64">
        <f t="shared" ref="B243:M243" si="101">MAX(0,B240-($B$213*$B$9-B219))</f>
        <v>0</v>
      </c>
      <c r="C243" s="64">
        <f t="shared" si="101"/>
        <v>0</v>
      </c>
      <c r="D243" s="64">
        <f t="shared" si="101"/>
        <v>0</v>
      </c>
      <c r="E243" s="64">
        <f t="shared" si="101"/>
        <v>0</v>
      </c>
      <c r="F243" s="64">
        <f t="shared" si="101"/>
        <v>0</v>
      </c>
      <c r="G243" s="64">
        <f t="shared" si="101"/>
        <v>0</v>
      </c>
      <c r="H243" s="64">
        <f t="shared" si="101"/>
        <v>0</v>
      </c>
      <c r="I243" s="64">
        <f t="shared" si="101"/>
        <v>0</v>
      </c>
      <c r="J243" s="64">
        <f t="shared" si="101"/>
        <v>0</v>
      </c>
      <c r="K243" s="64">
        <f t="shared" si="101"/>
        <v>0</v>
      </c>
      <c r="L243" s="64">
        <f t="shared" si="101"/>
        <v>0</v>
      </c>
      <c r="M243" s="64">
        <f t="shared" si="101"/>
        <v>0</v>
      </c>
      <c r="N243" s="84">
        <f t="shared" si="100"/>
        <v>0</v>
      </c>
    </row>
    <row r="244" ht="15.75" customHeight="1">
      <c r="A244" s="30" t="s">
        <v>410</v>
      </c>
      <c r="B244" s="64">
        <f t="shared" ref="B244:M244" si="102">MAX(0,B234-($B$214*$B$9-B220))</f>
        <v>0</v>
      </c>
      <c r="C244" s="64">
        <f t="shared" si="102"/>
        <v>0</v>
      </c>
      <c r="D244" s="64">
        <f t="shared" si="102"/>
        <v>0</v>
      </c>
      <c r="E244" s="64">
        <f t="shared" si="102"/>
        <v>0</v>
      </c>
      <c r="F244" s="64">
        <f t="shared" si="102"/>
        <v>0</v>
      </c>
      <c r="G244" s="64">
        <f t="shared" si="102"/>
        <v>0</v>
      </c>
      <c r="H244" s="64">
        <f t="shared" si="102"/>
        <v>0</v>
      </c>
      <c r="I244" s="64">
        <f t="shared" si="102"/>
        <v>0</v>
      </c>
      <c r="J244" s="64">
        <f t="shared" si="102"/>
        <v>0</v>
      </c>
      <c r="K244" s="64">
        <f t="shared" si="102"/>
        <v>0</v>
      </c>
      <c r="L244" s="64">
        <f t="shared" si="102"/>
        <v>0</v>
      </c>
      <c r="M244" s="64">
        <f t="shared" si="102"/>
        <v>0</v>
      </c>
      <c r="N244" s="84">
        <f t="shared" si="100"/>
        <v>0</v>
      </c>
    </row>
    <row r="245" ht="15.75" customHeight="1">
      <c r="A245" s="73" t="s">
        <v>411</v>
      </c>
      <c r="B245" s="84">
        <f t="shared" ref="B245:M245" si="103">B241+B242+B243+B244</f>
        <v>0</v>
      </c>
      <c r="C245" s="84">
        <f t="shared" si="103"/>
        <v>0</v>
      </c>
      <c r="D245" s="84">
        <f t="shared" si="103"/>
        <v>0</v>
      </c>
      <c r="E245" s="84">
        <f t="shared" si="103"/>
        <v>0</v>
      </c>
      <c r="F245" s="84">
        <f t="shared" si="103"/>
        <v>0</v>
      </c>
      <c r="G245" s="84">
        <f t="shared" si="103"/>
        <v>0</v>
      </c>
      <c r="H245" s="84">
        <f t="shared" si="103"/>
        <v>0</v>
      </c>
      <c r="I245" s="84">
        <f t="shared" si="103"/>
        <v>0</v>
      </c>
      <c r="J245" s="84">
        <f t="shared" si="103"/>
        <v>0</v>
      </c>
      <c r="K245" s="84">
        <f t="shared" si="103"/>
        <v>0</v>
      </c>
      <c r="L245" s="84">
        <f t="shared" si="103"/>
        <v>0</v>
      </c>
      <c r="M245" s="84">
        <f t="shared" si="103"/>
        <v>0</v>
      </c>
      <c r="N245" s="84">
        <f t="shared" si="100"/>
        <v>0</v>
      </c>
    </row>
    <row r="246" ht="15.75" customHeight="1">
      <c r="A246" s="30" t="s">
        <v>412</v>
      </c>
      <c r="B246" s="64">
        <f t="shared" ref="B246:M246" si="104">IFERROR(B245/($B$211+$B$213+$B$212+$B$214),0)</f>
        <v>0</v>
      </c>
      <c r="C246" s="64">
        <f t="shared" si="104"/>
        <v>0</v>
      </c>
      <c r="D246" s="64">
        <f t="shared" si="104"/>
        <v>0</v>
      </c>
      <c r="E246" s="64">
        <f t="shared" si="104"/>
        <v>0</v>
      </c>
      <c r="F246" s="64">
        <f t="shared" si="104"/>
        <v>0</v>
      </c>
      <c r="G246" s="64">
        <f t="shared" si="104"/>
        <v>0</v>
      </c>
      <c r="H246" s="64">
        <f t="shared" si="104"/>
        <v>0</v>
      </c>
      <c r="I246" s="64">
        <f t="shared" si="104"/>
        <v>0</v>
      </c>
      <c r="J246" s="64">
        <f t="shared" si="104"/>
        <v>0</v>
      </c>
      <c r="K246" s="64">
        <f t="shared" si="104"/>
        <v>0</v>
      </c>
      <c r="L246" s="64">
        <f t="shared" si="104"/>
        <v>0</v>
      </c>
      <c r="M246" s="64">
        <f t="shared" si="104"/>
        <v>0</v>
      </c>
      <c r="N246" s="84">
        <f>MAX(B246:M246)</f>
        <v>0</v>
      </c>
    </row>
    <row r="247" ht="15.75" customHeight="1">
      <c r="A247" s="141" t="s">
        <v>413</v>
      </c>
    </row>
    <row r="248" ht="15.75" hidden="1" customHeight="1" outlineLevel="1">
      <c r="A248" s="142" t="s">
        <v>26</v>
      </c>
      <c r="B248" s="143">
        <f>'Analisis de operaciones'!C187/'Analisis de operaciones'!C191*$O248</f>
        <v>17.54323529</v>
      </c>
      <c r="C248" s="143">
        <f>'Analisis de operaciones'!D187/'Analisis de operaciones'!D191*$O248</f>
        <v>13.50544118</v>
      </c>
      <c r="D248" s="143">
        <f>'Analisis de operaciones'!E187/'Analisis de operaciones'!E191*$O248</f>
        <v>12.97154412</v>
      </c>
      <c r="E248" s="143">
        <f>'Analisis de operaciones'!F187/'Analisis de operaciones'!F191*$O248</f>
        <v>12.53058824</v>
      </c>
      <c r="F248" s="143">
        <f>'Analisis de operaciones'!G187/'Analisis de operaciones'!G191*$O248</f>
        <v>11.74161765</v>
      </c>
      <c r="G248" s="143">
        <f>'Analisis de operaciones'!H187/'Analisis de operaciones'!H191*$O248</f>
        <v>11.39360294</v>
      </c>
      <c r="H248" s="143">
        <f>'Analisis de operaciones'!I187/'Analisis de operaciones'!I191*$O248</f>
        <v>12.18257353</v>
      </c>
      <c r="I248" s="143">
        <f>'Analisis de operaciones'!J187/'Analisis de operaciones'!J191*$O248</f>
        <v>12.18257353</v>
      </c>
      <c r="J248" s="143">
        <f>'Analisis de operaciones'!K187/'Analisis de operaciones'!K191*$O248</f>
        <v>12.18257353</v>
      </c>
      <c r="K248" s="143">
        <f>'Analisis de operaciones'!L187/'Analisis de operaciones'!L191*$O248</f>
        <v>11.83455882</v>
      </c>
      <c r="L248" s="143">
        <f>'Analisis de operaciones'!M187/'Analisis de operaciones'!M191*$O248</f>
        <v>11.48654412</v>
      </c>
      <c r="M248" s="143">
        <f>'Analisis de operaciones'!N187/'Analisis de operaciones'!N191*$O248</f>
        <v>18.23926471</v>
      </c>
      <c r="N248" s="143">
        <f>'Resumen Capacidad'!$C$29*$B$8*$O248</f>
        <v>150</v>
      </c>
      <c r="O248" s="144">
        <f>$B$18</f>
        <v>1</v>
      </c>
    </row>
    <row r="249" ht="15.75" hidden="1" customHeight="1" outlineLevel="1">
      <c r="A249" s="142" t="s">
        <v>55</v>
      </c>
      <c r="B249" s="143">
        <f>'Analisis de operaciones'!C197/'Analisis de operaciones'!C201*$O249</f>
        <v>29.18150685</v>
      </c>
      <c r="C249" s="143">
        <f>'Analisis de operaciones'!D197/'Analisis de operaciones'!D201*$O249</f>
        <v>22.46501957</v>
      </c>
      <c r="D249" s="143">
        <f>'Analisis de operaciones'!E197/'Analisis de operaciones'!E201*$O249</f>
        <v>21.57693249</v>
      </c>
      <c r="E249" s="143">
        <f>'Analisis de operaciones'!F197/'Analisis de operaciones'!F201*$O249</f>
        <v>20.84344423</v>
      </c>
      <c r="F249" s="143">
        <f>'Analisis de operaciones'!G197/'Analisis de operaciones'!G201*$O249</f>
        <v>19.53106654</v>
      </c>
      <c r="G249" s="143">
        <f>'Analisis de operaciones'!H197/'Analisis de operaciones'!H201*$O249</f>
        <v>18.9521771</v>
      </c>
      <c r="H249" s="143">
        <f>'Analisis de operaciones'!I197/'Analisis de operaciones'!I201*$O249</f>
        <v>20.26455479</v>
      </c>
      <c r="I249" s="143">
        <f>'Analisis de operaciones'!J197/'Analisis de operaciones'!J201*$O249</f>
        <v>20.26455479</v>
      </c>
      <c r="J249" s="143">
        <f>'Analisis de operaciones'!K197/'Analisis de operaciones'!K201*$O249</f>
        <v>20.26455479</v>
      </c>
      <c r="K249" s="143">
        <f>'Analisis de operaciones'!L197/'Analisis de operaciones'!L201*$O249</f>
        <v>19.68566536</v>
      </c>
      <c r="L249" s="143">
        <f>'Analisis de operaciones'!M197/'Analisis de operaciones'!M201*$O249</f>
        <v>19.10677593</v>
      </c>
      <c r="M249" s="143">
        <f>'Analisis de operaciones'!N197/'Analisis de operaciones'!N201*$O249</f>
        <v>30.33928571</v>
      </c>
      <c r="N249" s="143">
        <f>'Resumen Capacidad'!$C$30*$B$8*$O249</f>
        <v>150</v>
      </c>
      <c r="O249" s="144">
        <f>IF('Resumen Capacidad'!$C$55="Automática",$C$19,$B$19)</f>
        <v>1</v>
      </c>
    </row>
    <row r="250" ht="15.75" hidden="1" customHeight="1" outlineLevel="1">
      <c r="A250" s="142" t="s">
        <v>61</v>
      </c>
      <c r="B250" s="143">
        <f>'Analisis de operaciones'!C207/'Analisis de operaciones'!C211*$O250</f>
        <v>5.114299103</v>
      </c>
      <c r="C250" s="143">
        <f>'Analisis de operaciones'!D207/'Analisis de operaciones'!D211*$O250</f>
        <v>3.937179462</v>
      </c>
      <c r="D250" s="143">
        <f>'Analisis de operaciones'!E207/'Analisis de operaciones'!E211*$O250</f>
        <v>3.781534895</v>
      </c>
      <c r="E250" s="143">
        <f>'Analisis de operaciones'!F207/'Analisis de operaciones'!F211*$O250</f>
        <v>3.652985045</v>
      </c>
      <c r="F250" s="143">
        <f>'Analisis de operaciones'!G207/'Analisis de operaciones'!G211*$O250</f>
        <v>3.42298006</v>
      </c>
      <c r="G250" s="143">
        <f>'Analisis de operaciones'!H207/'Analisis de operaciones'!H211*$O250</f>
        <v>3.321524925</v>
      </c>
      <c r="H250" s="143">
        <f>'Analisis de operaciones'!I207/'Analisis de operaciones'!I211*$O250</f>
        <v>3.55152991</v>
      </c>
      <c r="I250" s="143">
        <f>'Analisis de operaciones'!J207/'Analisis de operaciones'!J211*$O250</f>
        <v>3.55152991</v>
      </c>
      <c r="J250" s="143">
        <f>'Analisis de operaciones'!K207/'Analisis de operaciones'!K211*$O250</f>
        <v>3.55152991</v>
      </c>
      <c r="K250" s="143">
        <f>'Analisis de operaciones'!L207/'Analisis de operaciones'!L211*$O250</f>
        <v>3.450074776</v>
      </c>
      <c r="L250" s="143">
        <f>'Analisis de operaciones'!M207/'Analisis de operaciones'!M211*$O250</f>
        <v>3.348619641</v>
      </c>
      <c r="M250" s="143">
        <f>'Analisis de operaciones'!N207/'Analisis de operaciones'!N211*$O250</f>
        <v>5.317209372</v>
      </c>
      <c r="N250" s="143">
        <f>'Resumen Capacidad'!$C$31*$B$8*$O250</f>
        <v>150</v>
      </c>
      <c r="O250" s="144">
        <f>$B$20</f>
        <v>1</v>
      </c>
    </row>
    <row r="251" ht="15.75" hidden="1" customHeight="1" outlineLevel="1">
      <c r="A251" s="142" t="s">
        <v>62</v>
      </c>
      <c r="B251" s="143">
        <f>'Analisis de operaciones'!C217/'Analisis de operaciones'!C221*$O251</f>
        <v>12.42645833</v>
      </c>
      <c r="C251" s="143">
        <f>'Analisis de operaciones'!D217/'Analisis de operaciones'!D221*$O251</f>
        <v>9.566354167</v>
      </c>
      <c r="D251" s="143">
        <f>'Analisis de operaciones'!E217/'Analisis de operaciones'!E221*$O251</f>
        <v>9.188177083</v>
      </c>
      <c r="E251" s="143">
        <f>'Analisis de operaciones'!F217/'Analisis de operaciones'!F221*$O251</f>
        <v>8.875833333</v>
      </c>
      <c r="F251" s="143">
        <f>'Analisis de operaciones'!G217/'Analisis de operaciones'!G221*$O251</f>
        <v>8.316979167</v>
      </c>
      <c r="G251" s="143">
        <f>'Analisis de operaciones'!H217/'Analisis de operaciones'!H221*$O251</f>
        <v>8.07046875</v>
      </c>
      <c r="H251" s="143">
        <f>'Analisis de operaciones'!I217/'Analisis de operaciones'!I221*$O251</f>
        <v>8.629322917</v>
      </c>
      <c r="I251" s="143">
        <f>'Analisis de operaciones'!J217/'Analisis de operaciones'!J221*$O251</f>
        <v>8.629322917</v>
      </c>
      <c r="J251" s="143">
        <f>'Analisis de operaciones'!K217/'Analisis de operaciones'!K221*$O251</f>
        <v>8.629322917</v>
      </c>
      <c r="K251" s="143">
        <f>'Analisis de operaciones'!L217/'Analisis de operaciones'!L221*$O251</f>
        <v>8.3828125</v>
      </c>
      <c r="L251" s="143">
        <f>'Analisis de operaciones'!M217/'Analisis de operaciones'!M221*$O251</f>
        <v>8.136302083</v>
      </c>
      <c r="M251" s="143">
        <f>'Analisis de operaciones'!N217/'Analisis de operaciones'!N221*$O251</f>
        <v>12.91947917</v>
      </c>
      <c r="N251" s="143">
        <f>'Resumen Capacidad'!$C$32*$B$8*$O251</f>
        <v>150</v>
      </c>
      <c r="O251" s="144">
        <f>$B$21</f>
        <v>1</v>
      </c>
    </row>
    <row r="252" ht="15.75" hidden="1" customHeight="1" outlineLevel="1">
      <c r="A252" s="142" t="s">
        <v>63</v>
      </c>
      <c r="B252" s="143">
        <f>'Analisis de operaciones'!C227/'Analisis de operaciones'!C231*$O252</f>
        <v>5.908773593</v>
      </c>
      <c r="C252" s="143">
        <f>'Analisis de operaciones'!D227/'Analisis de operaciones'!D231*$O252</f>
        <v>4.727018874</v>
      </c>
      <c r="D252" s="143">
        <f>'Analisis de operaciones'!E227/'Analisis de operaciones'!E231*$O252</f>
        <v>5.022457554</v>
      </c>
      <c r="E252" s="143">
        <f>'Analisis de operaciones'!F227/'Analisis de operaciones'!F231*$O252</f>
        <v>5.022457554</v>
      </c>
      <c r="F252" s="143">
        <f>'Analisis de operaciones'!G227/'Analisis de operaciones'!G231*$O252</f>
        <v>4.727018874</v>
      </c>
      <c r="G252" s="143">
        <f>'Analisis de operaciones'!H227/'Analisis de operaciones'!H231*$O252</f>
        <v>4.431580194</v>
      </c>
      <c r="H252" s="143">
        <f>'Analisis de operaciones'!I227/'Analisis de operaciones'!I231*$O252</f>
        <v>4.727018874</v>
      </c>
      <c r="I252" s="143">
        <f>'Analisis de operaciones'!J227/'Analisis de operaciones'!J231*$O252</f>
        <v>4.727018874</v>
      </c>
      <c r="J252" s="143">
        <f>'Analisis de operaciones'!K227/'Analisis de operaciones'!K231*$O252</f>
        <v>4.727018874</v>
      </c>
      <c r="K252" s="143">
        <f>'Analisis de operaciones'!L227/'Analisis de operaciones'!L231*$O252</f>
        <v>4.431580194</v>
      </c>
      <c r="L252" s="143">
        <f>'Analisis de operaciones'!M227/'Analisis de operaciones'!M231*$O252</f>
        <v>4.136141515</v>
      </c>
      <c r="M252" s="143">
        <f>'Analisis de operaciones'!N227/'Analisis de operaciones'!N231*$O252</f>
        <v>6.499650952</v>
      </c>
      <c r="N252" s="143">
        <f>'Resumen Capacidad'!$C$33*$B$8*$O252</f>
        <v>150</v>
      </c>
      <c r="O252" s="144">
        <f>$B$22</f>
        <v>1</v>
      </c>
    </row>
    <row r="253" ht="15.75" hidden="1" customHeight="1" outlineLevel="1">
      <c r="A253" s="142" t="s">
        <v>64</v>
      </c>
      <c r="B253" s="143">
        <f>'Analisis de operaciones'!C237/'Analisis de operaciones'!C241*$O253</f>
        <v>4.182869061</v>
      </c>
      <c r="C253" s="143">
        <f>'Analisis de operaciones'!D237/'Analisis de operaciones'!D241*$O253</f>
        <v>3.346295249</v>
      </c>
      <c r="D253" s="143">
        <f>'Analisis de operaciones'!E237/'Analisis de operaciones'!E241*$O253</f>
        <v>3.555438702</v>
      </c>
      <c r="E253" s="143">
        <f>'Analisis de operaciones'!F237/'Analisis de operaciones'!F241*$O253</f>
        <v>3.555438702</v>
      </c>
      <c r="F253" s="143">
        <f>'Analisis de operaciones'!G237/'Analisis de operaciones'!G241*$O253</f>
        <v>3.346295249</v>
      </c>
      <c r="G253" s="143">
        <f>'Analisis de operaciones'!H237/'Analisis de operaciones'!H241*$O253</f>
        <v>3.137151796</v>
      </c>
      <c r="H253" s="143">
        <f>'Analisis de operaciones'!I237/'Analisis de operaciones'!I241*$O253</f>
        <v>3.346295249</v>
      </c>
      <c r="I253" s="143">
        <f>'Analisis de operaciones'!J237/'Analisis de operaciones'!J241*$O253</f>
        <v>3.346295249</v>
      </c>
      <c r="J253" s="143">
        <f>'Analisis de operaciones'!K237/'Analisis de operaciones'!K241*$O253</f>
        <v>3.346295249</v>
      </c>
      <c r="K253" s="143">
        <f>'Analisis de operaciones'!L237/'Analisis de operaciones'!L241*$O253</f>
        <v>3.137151796</v>
      </c>
      <c r="L253" s="143">
        <f>'Analisis de operaciones'!M237/'Analisis de operaciones'!M241*$O253</f>
        <v>2.928008343</v>
      </c>
      <c r="M253" s="143">
        <f>'Analisis de operaciones'!N237/'Analisis de operaciones'!N241*$O253</f>
        <v>4.601155967</v>
      </c>
      <c r="N253" s="143">
        <f>'Resumen Capacidad'!$C$34*$B$8*$O253</f>
        <v>75</v>
      </c>
      <c r="O253" s="144">
        <f>IF('Resumen Capacidad'!$C$56="Automática",$C$23,$B$23)</f>
        <v>0.5</v>
      </c>
    </row>
    <row r="254" ht="15.75" hidden="1" customHeight="1" outlineLevel="1">
      <c r="A254" s="142" t="s">
        <v>66</v>
      </c>
      <c r="B254" s="143">
        <f>'Analisis de operaciones'!C247/'Analisis de operaciones'!C251*$O254</f>
        <v>19.66730414</v>
      </c>
      <c r="C254" s="143">
        <f>'Analisis de operaciones'!D247/'Analisis de operaciones'!D251*$O254</f>
        <v>15.14062912</v>
      </c>
      <c r="D254" s="143">
        <f>'Analisis de operaciones'!E247/'Analisis de operaciones'!E251*$O254</f>
        <v>14.54208982</v>
      </c>
      <c r="E254" s="143">
        <f>'Analisis de operaciones'!F247/'Analisis de operaciones'!F251*$O254</f>
        <v>14.04774466</v>
      </c>
      <c r="F254" s="143">
        <f>'Analisis de operaciones'!G247/'Analisis de operaciones'!G251*$O254</f>
        <v>13.16324848</v>
      </c>
      <c r="G254" s="143">
        <f>'Analisis de operaciones'!H247/'Analisis de operaciones'!H251*$O254</f>
        <v>12.77309747</v>
      </c>
      <c r="H254" s="143">
        <f>'Analisis de operaciones'!I247/'Analisis de operaciones'!I251*$O254</f>
        <v>13.65759364</v>
      </c>
      <c r="I254" s="143">
        <f>'Analisis de operaciones'!J247/'Analisis de operaciones'!J251*$O254</f>
        <v>13.65759364</v>
      </c>
      <c r="J254" s="143">
        <f>'Analisis de operaciones'!K247/'Analisis de operaciones'!K251*$O254</f>
        <v>13.65759364</v>
      </c>
      <c r="K254" s="143">
        <f>'Analisis de operaciones'!L247/'Analisis de operaciones'!L251*$O254</f>
        <v>13.26744263</v>
      </c>
      <c r="L254" s="143">
        <f>'Analisis de operaciones'!M247/'Analisis de operaciones'!M251*$O254</f>
        <v>12.87729161</v>
      </c>
      <c r="M254" s="143">
        <f>'Analisis de operaciones'!N247/'Analisis de operaciones'!N251*$O254</f>
        <v>20.44760617</v>
      </c>
      <c r="N254" s="143">
        <f>'Resumen Capacidad'!$C$35*$B$8*$O254</f>
        <v>150</v>
      </c>
      <c r="O254" s="144">
        <f>$B$24</f>
        <v>1</v>
      </c>
    </row>
    <row r="255" ht="15.75" hidden="1" customHeight="1" outlineLevel="1">
      <c r="A255" s="142" t="s">
        <v>67</v>
      </c>
      <c r="B255" s="143">
        <f>'Analisis de operaciones'!C257/'Analisis de operaciones'!C261*$O255</f>
        <v>6.364892624</v>
      </c>
      <c r="C255" s="143">
        <f>'Analisis de operaciones'!D257/'Analisis de operaciones'!D261*$O255</f>
        <v>4.899933307</v>
      </c>
      <c r="D255" s="143">
        <f>'Analisis de operaciones'!E257/'Analisis de operaciones'!E261*$O255</f>
        <v>4.706229158</v>
      </c>
      <c r="E255" s="143">
        <f>'Analisis de operaciones'!F257/'Analisis de operaciones'!F261*$O255</f>
        <v>4.546245165</v>
      </c>
      <c r="F255" s="143">
        <f>'Analisis de operaciones'!G257/'Analisis de operaciones'!G261*$O255</f>
        <v>4.259997332</v>
      </c>
      <c r="G255" s="143">
        <f>'Analisis de operaciones'!H257/'Analisis de operaciones'!H261*$O255</f>
        <v>4.133733493</v>
      </c>
      <c r="H255" s="143">
        <f>'Analisis de operaciones'!I257/'Analisis de operaciones'!I261*$O255</f>
        <v>4.419981326</v>
      </c>
      <c r="I255" s="143">
        <f>'Analisis de operaciones'!J257/'Analisis de operaciones'!J261*$O255</f>
        <v>4.419981326</v>
      </c>
      <c r="J255" s="143">
        <f>'Analisis de operaciones'!K257/'Analisis de operaciones'!K261*$O255</f>
        <v>4.419981326</v>
      </c>
      <c r="K255" s="143">
        <f>'Analisis de operaciones'!L257/'Analisis de operaciones'!L261*$O255</f>
        <v>4.293717487</v>
      </c>
      <c r="L255" s="143">
        <f>'Analisis de operaciones'!M257/'Analisis de operaciones'!M261*$O255</f>
        <v>4.167453648</v>
      </c>
      <c r="M255" s="143">
        <f>'Analisis de operaciones'!N257/'Analisis de operaciones'!N261*$O255</f>
        <v>6.617420301</v>
      </c>
      <c r="N255" s="143">
        <f>'Resumen Capacidad'!$C$36*$B$8*$O255</f>
        <v>150</v>
      </c>
      <c r="O255" s="144">
        <f>$B$25</f>
        <v>1</v>
      </c>
    </row>
    <row r="256" ht="15.75" hidden="1" customHeight="1" outlineLevel="1">
      <c r="A256" s="142" t="s">
        <v>68</v>
      </c>
      <c r="B256" s="143">
        <f>'Analisis de operaciones'!C267/'Analisis de operaciones'!C271*$O256</f>
        <v>9.371386375</v>
      </c>
      <c r="C256" s="143">
        <f>'Analisis de operaciones'!D267/'Analisis de operaciones'!D271*$O256</f>
        <v>7.214445073</v>
      </c>
      <c r="D256" s="143">
        <f>'Analisis de operaciones'!E267/'Analisis de operaciones'!E271*$O256</f>
        <v>6.929243653</v>
      </c>
      <c r="E256" s="143">
        <f>'Analisis de operaciones'!F267/'Analisis de operaciones'!F271*$O256</f>
        <v>6.693690297</v>
      </c>
      <c r="F256" s="143">
        <f>'Analisis de operaciones'!G267/'Analisis de operaciones'!G271*$O256</f>
        <v>6.272231649</v>
      </c>
      <c r="G256" s="143">
        <f>'Analisis de operaciones'!H267/'Analisis de operaciones'!H271*$O256</f>
        <v>6.086326357</v>
      </c>
      <c r="H256" s="143">
        <f>'Analisis de operaciones'!I267/'Analisis de operaciones'!I271*$O256</f>
        <v>6.507785005</v>
      </c>
      <c r="I256" s="143">
        <f>'Analisis de operaciones'!J267/'Analisis de operaciones'!J271*$O256</f>
        <v>6.507785005</v>
      </c>
      <c r="J256" s="143">
        <f>'Analisis de operaciones'!K267/'Analisis de operaciones'!K271*$O256</f>
        <v>6.507785005</v>
      </c>
      <c r="K256" s="143">
        <f>'Analisis de operaciones'!L267/'Analisis de operaciones'!L271*$O256</f>
        <v>6.321879713</v>
      </c>
      <c r="L256" s="143">
        <f>'Analisis de operaciones'!M267/'Analisis de operaciones'!M271*$O256</f>
        <v>6.135974422</v>
      </c>
      <c r="M256" s="143">
        <f>'Analisis de operaciones'!N267/'Analisis de operaciones'!N271*$O256</f>
        <v>9.743196958</v>
      </c>
      <c r="N256" s="143">
        <f>'Resumen Capacidad'!$C$37*$B$8*$O256</f>
        <v>75</v>
      </c>
      <c r="O256" s="144">
        <f>IF('Resumen Capacidad'!$C$57="Automática",$C$26,$B$26)</f>
        <v>0.5</v>
      </c>
    </row>
    <row r="257" ht="15.75" hidden="1" customHeight="1" outlineLevel="1">
      <c r="A257" s="142" t="s">
        <v>70</v>
      </c>
      <c r="B257" s="143">
        <f>'Analisis de operaciones'!C277/'Analisis de operaciones'!C281*$O257</f>
        <v>53.10172118</v>
      </c>
      <c r="C257" s="143">
        <f>'Analisis de operaciones'!D277/'Analisis de operaciones'!D281*$O257</f>
        <v>40.87969863</v>
      </c>
      <c r="D257" s="143">
        <f>'Analisis de operaciones'!E277/'Analisis de operaciones'!E281*$O257</f>
        <v>39.26364251</v>
      </c>
      <c r="E257" s="143">
        <f>'Analisis de operaciones'!F277/'Analisis de operaciones'!F281*$O257</f>
        <v>37.92891058</v>
      </c>
      <c r="F257" s="143">
        <f>'Analisis de operaciones'!G277/'Analisis de operaciones'!G281*$O257</f>
        <v>35.5407709</v>
      </c>
      <c r="G257" s="143">
        <f>'Analisis de operaciones'!H277/'Analisis de operaciones'!H281*$O257</f>
        <v>34.48736316</v>
      </c>
      <c r="H257" s="143">
        <f>'Analisis de operaciones'!I277/'Analisis de operaciones'!I281*$O257</f>
        <v>36.87550284</v>
      </c>
      <c r="I257" s="143">
        <f>'Analisis de operaciones'!J277/'Analisis de operaciones'!J281*$O257</f>
        <v>36.87550284</v>
      </c>
      <c r="J257" s="143">
        <f>'Analisis de operaciones'!K277/'Analisis de operaciones'!K281*$O257</f>
        <v>36.87550284</v>
      </c>
      <c r="K257" s="143">
        <f>'Analisis de operaciones'!L277/'Analisis de operaciones'!L281*$O257</f>
        <v>35.82209509</v>
      </c>
      <c r="L257" s="143">
        <f>'Analisis de operaciones'!M277/'Analisis de operaciones'!M281*$O257</f>
        <v>34.76868735</v>
      </c>
      <c r="M257" s="143">
        <f>'Analisis de operaciones'!N277/'Analisis de operaciones'!N281*$O257</f>
        <v>55.20853667</v>
      </c>
      <c r="N257" s="143">
        <f>'Resumen Capacidad'!$C$38*$B$8*$O257</f>
        <v>150</v>
      </c>
      <c r="O257" s="144">
        <f>IF('Resumen Capacidad'!$C$58="Automática",$C$27,$B$27)</f>
        <v>1</v>
      </c>
    </row>
    <row r="258" ht="15.75" hidden="1" customHeight="1" outlineLevel="1">
      <c r="A258" s="142" t="s">
        <v>72</v>
      </c>
      <c r="B258" s="143">
        <f>'Analisis de operaciones'!C287/'Analisis de operaciones'!C291*$O258</f>
        <v>3.325473856</v>
      </c>
      <c r="C258" s="143">
        <f>'Analisis de operaciones'!D287/'Analisis de operaciones'!D291*$O258</f>
        <v>2.660379085</v>
      </c>
      <c r="D258" s="143">
        <f>'Analisis de operaciones'!E287/'Analisis de operaciones'!E291*$O258</f>
        <v>2.826652778</v>
      </c>
      <c r="E258" s="143">
        <f>'Analisis de operaciones'!F287/'Analisis de operaciones'!F291*$O258</f>
        <v>2.826652778</v>
      </c>
      <c r="F258" s="143">
        <f>'Analisis de operaciones'!G287/'Analisis de operaciones'!G291*$O258</f>
        <v>2.660379085</v>
      </c>
      <c r="G258" s="143">
        <f>'Analisis de operaciones'!H287/'Analisis de operaciones'!H291*$O258</f>
        <v>2.494105392</v>
      </c>
      <c r="H258" s="143">
        <f>'Analisis de operaciones'!I287/'Analisis de operaciones'!I291*$O258</f>
        <v>2.660379085</v>
      </c>
      <c r="I258" s="143">
        <f>'Analisis de operaciones'!J287/'Analisis de operaciones'!J291*$O258</f>
        <v>2.660379085</v>
      </c>
      <c r="J258" s="143">
        <f>'Analisis de operaciones'!K287/'Analisis de operaciones'!K291*$O258</f>
        <v>2.660379085</v>
      </c>
      <c r="K258" s="143">
        <f>'Analisis de operaciones'!L287/'Analisis de operaciones'!L291*$O258</f>
        <v>2.494105392</v>
      </c>
      <c r="L258" s="143">
        <f>'Analisis de operaciones'!M287/'Analisis de operaciones'!M291*$O258</f>
        <v>2.327831699</v>
      </c>
      <c r="M258" s="143">
        <f>'Analisis de operaciones'!N287/'Analisis de operaciones'!N291*$O258</f>
        <v>3.658021242</v>
      </c>
      <c r="N258" s="143">
        <f>'Resumen Capacidad'!$C$39*$B$8*$O258</f>
        <v>75</v>
      </c>
      <c r="O258" s="144">
        <f>$B$28</f>
        <v>0.5</v>
      </c>
    </row>
    <row r="259" ht="15.75" hidden="1" customHeight="1" outlineLevel="1">
      <c r="A259" s="142" t="s">
        <v>74</v>
      </c>
      <c r="B259" s="143">
        <f>'Analisis de operaciones'!C297/'Analisis de operaciones'!C301*$O259</f>
        <v>6.213229167</v>
      </c>
      <c r="C259" s="143">
        <f>'Analisis de operaciones'!D297/'Analisis de operaciones'!D301*$O259</f>
        <v>4.783177083</v>
      </c>
      <c r="D259" s="143">
        <f>'Analisis de operaciones'!E297/'Analisis de operaciones'!E301*$O259</f>
        <v>4.594088542</v>
      </c>
      <c r="E259" s="143">
        <f>'Analisis de operaciones'!F297/'Analisis de operaciones'!F301*$O259</f>
        <v>4.437916667</v>
      </c>
      <c r="F259" s="143">
        <f>'Analisis de operaciones'!G297/'Analisis de operaciones'!G301*$O259</f>
        <v>4.158489583</v>
      </c>
      <c r="G259" s="143">
        <f>'Analisis de operaciones'!H297/'Analisis de operaciones'!H301*$O259</f>
        <v>4.035234375</v>
      </c>
      <c r="H259" s="143">
        <f>'Analisis de operaciones'!I297/'Analisis de operaciones'!I301*$O259</f>
        <v>4.314661458</v>
      </c>
      <c r="I259" s="143">
        <f>'Analisis de operaciones'!J297/'Analisis de operaciones'!J301*$O259</f>
        <v>4.314661458</v>
      </c>
      <c r="J259" s="143">
        <f>'Analisis de operaciones'!K297/'Analisis de operaciones'!K301*$O259</f>
        <v>4.314661458</v>
      </c>
      <c r="K259" s="143">
        <f>'Analisis de operaciones'!L297/'Analisis de operaciones'!L301*$O259</f>
        <v>4.19140625</v>
      </c>
      <c r="L259" s="143">
        <f>'Analisis de operaciones'!M297/'Analisis de operaciones'!M301*$O259</f>
        <v>4.068151042</v>
      </c>
      <c r="M259" s="143">
        <f>'Analisis de operaciones'!N297/'Analisis de operaciones'!N301*$O259</f>
        <v>6.459739583</v>
      </c>
      <c r="N259" s="143">
        <f>'Resumen Capacidad'!$C$40*$B$8*$O259</f>
        <v>150</v>
      </c>
      <c r="O259" s="144">
        <f>$B$29</f>
        <v>1</v>
      </c>
    </row>
    <row r="260" ht="15.75" hidden="1" customHeight="1" outlineLevel="1">
      <c r="A260" s="142" t="s">
        <v>76</v>
      </c>
      <c r="B260" s="143">
        <f>'Analisis de operaciones'!C1856/'Analisis de operaciones'!C1860*$O260</f>
        <v>2.907960317</v>
      </c>
      <c r="C260" s="143">
        <f>'Analisis de operaciones'!D1856/'Analisis de operaciones'!D1860*$O260</f>
        <v>2.238657029</v>
      </c>
      <c r="D260" s="143">
        <f>'Analisis de operaciones'!E1856/'Analisis de operaciones'!E1860*$O260</f>
        <v>2.150158447</v>
      </c>
      <c r="E260" s="143">
        <f>'Analisis de operaciones'!F1856/'Analisis de operaciones'!F1860*$O260</f>
        <v>2.07706576</v>
      </c>
      <c r="F260" s="143">
        <f>'Analisis de operaciones'!G1856/'Analisis de operaciones'!G1860*$O260</f>
        <v>1.946286281</v>
      </c>
      <c r="G260" s="143">
        <f>'Analisis de operaciones'!H1856/'Analisis de operaciones'!H1860*$O260</f>
        <v>1.88859949</v>
      </c>
      <c r="H260" s="143">
        <f>'Analisis de operaciones'!I1856/'Analisis de operaciones'!I1860*$O260</f>
        <v>2.019378968</v>
      </c>
      <c r="I260" s="143">
        <f>'Analisis de operaciones'!J1856/'Analisis de operaciones'!J1860*$O260</f>
        <v>2.019378968</v>
      </c>
      <c r="J260" s="143">
        <f>'Analisis de operaciones'!K1856/'Analisis de operaciones'!K1860*$O260</f>
        <v>2.019378968</v>
      </c>
      <c r="K260" s="143">
        <f>'Analisis de operaciones'!L1856/'Analisis de operaciones'!L1860*$O260</f>
        <v>1.961692177</v>
      </c>
      <c r="L260" s="143">
        <f>'Analisis de operaciones'!M1856/'Analisis de operaciones'!M1860*$O260</f>
        <v>1.904005385</v>
      </c>
      <c r="M260" s="143">
        <f>'Analisis de operaciones'!N1856/'Analisis de operaciones'!N1860*$O260</f>
        <v>3.0233339</v>
      </c>
      <c r="N260" s="143">
        <f>'Resumen Capacidad'!$C$41*$B$8*$O260</f>
        <v>150</v>
      </c>
      <c r="O260" s="144">
        <f>$B$30</f>
        <v>1</v>
      </c>
    </row>
    <row r="261" ht="15.75" hidden="1" customHeight="1" outlineLevel="1">
      <c r="A261" s="142" t="s">
        <v>77</v>
      </c>
      <c r="B261" s="143">
        <f>IF('Resumen Capacidad'!$C$42=0,0,'Analisis de operaciones'!C307/'Analisis de operaciones'!C311*$O261)</f>
        <v>0</v>
      </c>
      <c r="C261" s="143">
        <f>IF('Resumen Capacidad'!$C$42=0,0,'Analisis de operaciones'!D307/'Analisis de operaciones'!D311*$O261)</f>
        <v>0</v>
      </c>
      <c r="D261" s="143">
        <f>IF('Resumen Capacidad'!$C$42=0,0,'Analisis de operaciones'!E307/'Analisis de operaciones'!E311*$O261)</f>
        <v>0</v>
      </c>
      <c r="E261" s="143">
        <f>IF('Resumen Capacidad'!$C$42=0,0,'Analisis de operaciones'!F307/'Analisis de operaciones'!F311*$O261)</f>
        <v>0</v>
      </c>
      <c r="F261" s="143">
        <f>IF('Resumen Capacidad'!$C$42=0,0,'Analisis de operaciones'!G307/'Analisis de operaciones'!G311*$O261)</f>
        <v>0</v>
      </c>
      <c r="G261" s="143">
        <f>IF('Resumen Capacidad'!$C$42=0,0,'Analisis de operaciones'!H307/'Analisis de operaciones'!H311*$O261)</f>
        <v>0</v>
      </c>
      <c r="H261" s="143">
        <f>IF('Resumen Capacidad'!$C$42=0,0,'Analisis de operaciones'!I307/'Analisis de operaciones'!I311*$O261)</f>
        <v>0</v>
      </c>
      <c r="I261" s="143">
        <f>IF('Resumen Capacidad'!$C$42=0,0,'Analisis de operaciones'!J307/'Analisis de operaciones'!J311*$O261)</f>
        <v>0</v>
      </c>
      <c r="J261" s="143">
        <f>IF('Resumen Capacidad'!$C$42=0,0,'Analisis de operaciones'!K307/'Analisis de operaciones'!K311*$O261)</f>
        <v>0</v>
      </c>
      <c r="K261" s="143">
        <f>IF('Resumen Capacidad'!$C$42=0,0,'Analisis de operaciones'!L307/'Analisis de operaciones'!L311*$O261)</f>
        <v>0</v>
      </c>
      <c r="L261" s="143">
        <f>IF('Resumen Capacidad'!$C$42=0,0,'Analisis de operaciones'!M307/'Analisis de operaciones'!M311*$O261)</f>
        <v>0</v>
      </c>
      <c r="M261" s="143">
        <f>IF('Resumen Capacidad'!$C$42=0,0,'Analisis de operaciones'!N307/'Analisis de operaciones'!N311*$O261)</f>
        <v>0</v>
      </c>
      <c r="N261" s="143">
        <f>'Resumen Capacidad'!$C$42*$B$8*$O261</f>
        <v>0</v>
      </c>
      <c r="O261" s="144">
        <f>$B$31</f>
        <v>0.5</v>
      </c>
    </row>
    <row r="262" ht="15.75" hidden="1" customHeight="1" outlineLevel="1">
      <c r="A262" s="142" t="s">
        <v>79</v>
      </c>
      <c r="B262" s="143">
        <f>'Analisis de operaciones'!C317/'Analisis de operaciones'!C321*$O262</f>
        <v>10.37699455</v>
      </c>
      <c r="C262" s="143">
        <f>'Analisis de operaciones'!D317/'Analisis de operaciones'!D321*$O262</f>
        <v>8.043992661</v>
      </c>
      <c r="D262" s="143">
        <f>'Analisis de operaciones'!E317/'Analisis de operaciones'!E321*$O262</f>
        <v>7.830048532</v>
      </c>
      <c r="E262" s="143">
        <f>'Analisis de operaciones'!F317/'Analisis de operaciones'!F321*$O262</f>
        <v>7.581593277</v>
      </c>
      <c r="F262" s="143">
        <f>'Analisis de operaciones'!G317/'Analisis de operaciones'!G321*$O262</f>
        <v>7.137050189</v>
      </c>
      <c r="G262" s="143">
        <f>'Analisis de operaciones'!H317/'Analisis de operaciones'!H321*$O262</f>
        <v>6.883043324</v>
      </c>
      <c r="H262" s="143">
        <f>'Analisis de operaciones'!I317/'Analisis de operaciones'!I321*$O262</f>
        <v>7.385505445</v>
      </c>
      <c r="I262" s="143">
        <f>'Analisis de operaciones'!J317/'Analisis de operaciones'!J321*$O262</f>
        <v>7.385505445</v>
      </c>
      <c r="J262" s="143">
        <f>'Analisis de operaciones'!K317/'Analisis de operaciones'!K321*$O262</f>
        <v>7.356545928</v>
      </c>
      <c r="K262" s="143">
        <f>'Analisis de operaciones'!L317/'Analisis de operaciones'!L321*$O262</f>
        <v>7.102539063</v>
      </c>
      <c r="L262" s="143">
        <f>'Analisis de operaciones'!M317/'Analisis de operaciones'!M321*$O262</f>
        <v>6.877491714</v>
      </c>
      <c r="M262" s="143">
        <f>'Analisis de operaciones'!N317/'Analisis de operaciones'!N321*$O262</f>
        <v>10.7402107</v>
      </c>
      <c r="N262" s="143">
        <f>'Resumen Capacidad'!$C$43*$B$8*$O262</f>
        <v>75</v>
      </c>
      <c r="O262" s="144">
        <f>$B$32</f>
        <v>0.5</v>
      </c>
    </row>
    <row r="263" ht="15.75" hidden="1" customHeight="1" outlineLevel="1">
      <c r="A263" s="142" t="s">
        <v>81</v>
      </c>
      <c r="B263" s="143">
        <f>'Analisis de operaciones'!C327/'Analisis de operaciones'!C331*$O263</f>
        <v>49.69662698</v>
      </c>
      <c r="C263" s="143">
        <f>'Analisis de operaciones'!D327/'Analisis de operaciones'!D331*$O263</f>
        <v>38.52361111</v>
      </c>
      <c r="D263" s="143">
        <f>'Analisis de operaciones'!E327/'Analisis de operaciones'!E331*$O263</f>
        <v>37.49900794</v>
      </c>
      <c r="E263" s="143">
        <f>'Analisis de operaciones'!F327/'Analisis de operaciones'!F331*$O263</f>
        <v>36.30912698</v>
      </c>
      <c r="F263" s="143">
        <f>'Analisis de operaciones'!G327/'Analisis de operaciones'!G331*$O263</f>
        <v>34.18015873</v>
      </c>
      <c r="G263" s="143">
        <f>'Analisis de operaciones'!H327/'Analisis de operaciones'!H331*$O263</f>
        <v>32.96369048</v>
      </c>
      <c r="H263" s="143">
        <f>'Analisis de operaciones'!I327/'Analisis de operaciones'!I331*$O263</f>
        <v>35.37003968</v>
      </c>
      <c r="I263" s="143">
        <f>'Analisis de operaciones'!J327/'Analisis de operaciones'!J331*$O263</f>
        <v>35.37003968</v>
      </c>
      <c r="J263" s="143">
        <f>'Analisis de operaciones'!K327/'Analisis de operaciones'!K331*$O263</f>
        <v>35.23134921</v>
      </c>
      <c r="K263" s="143">
        <f>'Analisis de operaciones'!L327/'Analisis de operaciones'!L331*$O263</f>
        <v>34.01488095</v>
      </c>
      <c r="L263" s="143">
        <f>'Analisis de operaciones'!M327/'Analisis de operaciones'!M331*$O263</f>
        <v>32.93710317</v>
      </c>
      <c r="M263" s="143">
        <f>'Analisis de operaciones'!N327/'Analisis de operaciones'!N331*$O263</f>
        <v>51.43611111</v>
      </c>
      <c r="N263" s="143">
        <f>'Resumen Capacidad'!$C$44*$B$8*$O263</f>
        <v>150</v>
      </c>
      <c r="O263" s="144">
        <f>$B$33</f>
        <v>1</v>
      </c>
    </row>
    <row r="264" ht="15.75" hidden="1" customHeight="1" outlineLevel="1">
      <c r="A264" s="142" t="s">
        <v>82</v>
      </c>
      <c r="B264" s="143">
        <f>'Analisis de operaciones'!C337/'Analisis de operaciones'!C341*$O264</f>
        <v>30.14928704</v>
      </c>
      <c r="C264" s="143">
        <f>'Analisis de operaciones'!D337/'Analisis de operaciones'!D341*$O264</f>
        <v>23.37099074</v>
      </c>
      <c r="D264" s="143">
        <f>'Analisis de operaciones'!E337/'Analisis de operaciones'!E341*$O264</f>
        <v>22.74939815</v>
      </c>
      <c r="E264" s="143">
        <f>'Analisis de operaciones'!F337/'Analisis de operaciones'!F341*$O264</f>
        <v>22.02753704</v>
      </c>
      <c r="F264" s="143">
        <f>'Analisis de operaciones'!G337/'Analisis de operaciones'!G341*$O264</f>
        <v>20.73596296</v>
      </c>
      <c r="G264" s="143">
        <f>'Analisis de operaciones'!H337/'Analisis de operaciones'!H341*$O264</f>
        <v>19.99797222</v>
      </c>
      <c r="H264" s="143">
        <f>'Analisis de operaciones'!I337/'Analisis de operaciones'!I341*$O264</f>
        <v>21.45782407</v>
      </c>
      <c r="I264" s="143">
        <f>'Analisis de operaciones'!J337/'Analisis de operaciones'!J341*$O264</f>
        <v>21.45782407</v>
      </c>
      <c r="J264" s="143">
        <f>'Analisis de operaciones'!K337/'Analisis de operaciones'!K341*$O264</f>
        <v>21.37368519</v>
      </c>
      <c r="K264" s="143">
        <f>'Analisis de operaciones'!L337/'Analisis de operaciones'!L341*$O264</f>
        <v>20.63569444</v>
      </c>
      <c r="L264" s="143">
        <f>'Analisis de operaciones'!M337/'Analisis de operaciones'!M341*$O264</f>
        <v>19.98184259</v>
      </c>
      <c r="M264" s="143">
        <f>'Analisis de operaciones'!N337/'Analisis de operaciones'!N341*$O264</f>
        <v>31.20457407</v>
      </c>
      <c r="N264" s="143">
        <f>'Resumen Capacidad'!$C$45*$B$8*$O264</f>
        <v>150</v>
      </c>
      <c r="O264" s="144">
        <f>$B$34</f>
        <v>1</v>
      </c>
    </row>
    <row r="265" ht="15.75" hidden="1" customHeight="1" outlineLevel="1">
      <c r="A265" s="142" t="s">
        <v>83</v>
      </c>
      <c r="B265" s="143">
        <f>'Analisis de operaciones'!C347/'Analisis de operaciones'!C351*$O265</f>
        <v>27.33314484</v>
      </c>
      <c r="C265" s="143">
        <f>'Analisis de operaciones'!D347/'Analisis de operaciones'!D351*$O265</f>
        <v>21.18798611</v>
      </c>
      <c r="D265" s="143">
        <f>'Analisis de operaciones'!E347/'Analisis de operaciones'!E351*$O265</f>
        <v>20.62445437</v>
      </c>
      <c r="E265" s="143">
        <f>'Analisis de operaciones'!F347/'Analisis de operaciones'!F351*$O265</f>
        <v>19.97001984</v>
      </c>
      <c r="F265" s="143">
        <f>'Analisis de operaciones'!G347/'Analisis de operaciones'!G351*$O265</f>
        <v>18.7990873</v>
      </c>
      <c r="G265" s="143">
        <f>'Analisis de operaciones'!H347/'Analisis de operaciones'!H351*$O265</f>
        <v>18.13002976</v>
      </c>
      <c r="H265" s="143">
        <f>'Analisis de operaciones'!I347/'Analisis de operaciones'!I351*$O265</f>
        <v>19.45352183</v>
      </c>
      <c r="I265" s="143">
        <f>'Analisis de operaciones'!J347/'Analisis de operaciones'!J351*$O265</f>
        <v>19.45352183</v>
      </c>
      <c r="J265" s="143">
        <f>'Analisis de operaciones'!K347/'Analisis de operaciones'!K351*$O265</f>
        <v>19.37724206</v>
      </c>
      <c r="K265" s="143">
        <f>'Analisis de operaciones'!L347/'Analisis de operaciones'!L351*$O265</f>
        <v>18.70818452</v>
      </c>
      <c r="L265" s="143">
        <f>'Analisis de operaciones'!M347/'Analisis de operaciones'!M351*$O265</f>
        <v>18.11540675</v>
      </c>
      <c r="M265" s="143">
        <f>'Analisis de operaciones'!N347/'Analisis de operaciones'!N351*$O265</f>
        <v>28.28986111</v>
      </c>
      <c r="N265" s="143">
        <f>'Resumen Capacidad'!$C$46*$B$8*$O265</f>
        <v>150</v>
      </c>
      <c r="O265" s="144">
        <f>$B$35</f>
        <v>1</v>
      </c>
    </row>
    <row r="266" ht="15.75" hidden="1" customHeight="1" outlineLevel="1">
      <c r="A266" s="142" t="s">
        <v>84</v>
      </c>
      <c r="B266" s="143">
        <f>'Analisis de operaciones'!C357/'Analisis de operaciones'!C361*$O266</f>
        <v>24.43870139</v>
      </c>
      <c r="C266" s="143">
        <f>'Analisis de operaciones'!D357/'Analisis de operaciones'!D361*$O266</f>
        <v>18.81382986</v>
      </c>
      <c r="D266" s="143">
        <f>'Analisis de operaciones'!E357/'Analisis de operaciones'!E361*$O266</f>
        <v>18.0700816</v>
      </c>
      <c r="E266" s="143">
        <f>'Analisis de operaciones'!F357/'Analisis de operaciones'!F361*$O266</f>
        <v>17.45580556</v>
      </c>
      <c r="F266" s="143">
        <f>'Analisis de operaciones'!G357/'Analisis de operaciones'!G361*$O266</f>
        <v>16.35672569</v>
      </c>
      <c r="G266" s="143">
        <f>'Analisis de operaciones'!H357/'Analisis de operaciones'!H361*$O266</f>
        <v>15.87192188</v>
      </c>
      <c r="H266" s="143">
        <f>'Analisis de operaciones'!I357/'Analisis de operaciones'!I361*$O266</f>
        <v>16.97100174</v>
      </c>
      <c r="I266" s="143">
        <f>'Analisis de operaciones'!J357/'Analisis de operaciones'!J361*$O266</f>
        <v>16.97100174</v>
      </c>
      <c r="J266" s="143">
        <f>'Analisis de operaciones'!K357/'Analisis de operaciones'!K361*$O266</f>
        <v>16.97100174</v>
      </c>
      <c r="K266" s="143">
        <f>'Analisis de operaciones'!L357/'Analisis de operaciones'!L361*$O266</f>
        <v>16.48619792</v>
      </c>
      <c r="L266" s="143">
        <f>'Analisis de operaciones'!M357/'Analisis de operaciones'!M361*$O266</f>
        <v>16.0013941</v>
      </c>
      <c r="M266" s="143">
        <f>'Analisis de operaciones'!N357/'Analisis de operaciones'!N361*$O266</f>
        <v>25.40830903</v>
      </c>
      <c r="N266" s="143">
        <f>'Resumen Capacidad'!$C$47*$B$8*$O266</f>
        <v>150</v>
      </c>
      <c r="O266" s="144">
        <f>$B$36</f>
        <v>1</v>
      </c>
    </row>
    <row r="267" ht="15.75" hidden="1" customHeight="1" outlineLevel="1">
      <c r="A267" s="142" t="s">
        <v>85</v>
      </c>
      <c r="B267" s="143">
        <f>'Analisis de operaciones'!C1866/'Analisis de operaciones'!C1870*$O267</f>
        <v>4.783931624</v>
      </c>
      <c r="C267" s="143">
        <f>'Analisis de operaciones'!D1866/'Analisis de operaciones'!D1870*$O267</f>
        <v>3.587948718</v>
      </c>
      <c r="D267" s="143">
        <f>'Analisis de operaciones'!E1866/'Analisis de operaciones'!E1870*$O267</f>
        <v>3.189287749</v>
      </c>
      <c r="E267" s="143">
        <f>'Analisis de operaciones'!F1866/'Analisis de operaciones'!F1870*$O267</f>
        <v>2.989957265</v>
      </c>
      <c r="F267" s="143">
        <f>'Analisis de operaciones'!G1866/'Analisis de operaciones'!G1870*$O267</f>
        <v>2.790626781</v>
      </c>
      <c r="G267" s="143">
        <f>'Analisis de operaciones'!H1866/'Analisis de operaciones'!H1870*$O267</f>
        <v>2.790626781</v>
      </c>
      <c r="H267" s="143">
        <f>'Analisis de operaciones'!I1866/'Analisis de operaciones'!I1870*$O267</f>
        <v>2.989957265</v>
      </c>
      <c r="I267" s="143">
        <f>'Analisis de operaciones'!J1866/'Analisis de operaciones'!J1870*$O267</f>
        <v>2.989957265</v>
      </c>
      <c r="J267" s="143">
        <f>'Analisis de operaciones'!K1866/'Analisis de operaciones'!K1870*$O267</f>
        <v>2.989957265</v>
      </c>
      <c r="K267" s="143">
        <f>'Analisis de operaciones'!L1866/'Analisis de operaciones'!L1870*$O267</f>
        <v>2.989957265</v>
      </c>
      <c r="L267" s="143">
        <f>'Analisis de operaciones'!M1866/'Analisis de operaciones'!M1870*$O267</f>
        <v>2.989957265</v>
      </c>
      <c r="M267" s="143">
        <f>'Analisis de operaciones'!N1866/'Analisis de operaciones'!N1870*$O267</f>
        <v>4.783931624</v>
      </c>
      <c r="N267" s="143">
        <f>'Resumen Capacidad'!$C$48*$B$8*$O267</f>
        <v>75</v>
      </c>
      <c r="O267" s="144">
        <f>$B$37</f>
        <v>0.5</v>
      </c>
    </row>
    <row r="268" ht="15.75" hidden="1" customHeight="1" outlineLevel="1">
      <c r="A268" s="141" t="s">
        <v>472</v>
      </c>
    </row>
    <row r="269" ht="15.75" hidden="1" customHeight="1" outlineLevel="1">
      <c r="A269" s="142" t="s">
        <v>88</v>
      </c>
      <c r="B269" s="143">
        <f>'Analisis de operaciones'!C2155/'Analisis de operaciones'!C2159*$O269</f>
        <v>1.262083333</v>
      </c>
      <c r="C269" s="143">
        <f>'Analisis de operaciones'!D2155/'Analisis de operaciones'!D2159*$O269</f>
        <v>1.113602941</v>
      </c>
      <c r="D269" s="143">
        <f>'Analisis de operaciones'!E2155/'Analisis de operaciones'!E2159*$O269</f>
        <v>1.336323529</v>
      </c>
      <c r="E269" s="143">
        <f>'Analisis de operaciones'!F2155/'Analisis de operaciones'!F2159*$O269</f>
        <v>1.336323529</v>
      </c>
      <c r="F269" s="143">
        <f>'Analisis de operaciones'!G2155/'Analisis de operaciones'!G2159*$O269</f>
        <v>1.336323529</v>
      </c>
      <c r="G269" s="143">
        <f>'Analisis de operaciones'!H2155/'Analisis de operaciones'!H2159*$O269</f>
        <v>1.187843137</v>
      </c>
      <c r="H269" s="143">
        <f>'Analisis de operaciones'!I2155/'Analisis de operaciones'!I2159*$O269</f>
        <v>1.336323529</v>
      </c>
      <c r="I269" s="143">
        <f>'Analisis de operaciones'!J2155/'Analisis de operaciones'!J2159*$O269</f>
        <v>1.336323529</v>
      </c>
      <c r="J269" s="143">
        <f>'Analisis de operaciones'!K2155/'Analisis de operaciones'!K2159*$O269</f>
        <v>1.262083333</v>
      </c>
      <c r="K269" s="143">
        <f>'Analisis de operaciones'!L2155/'Analisis de operaciones'!L2159*$O269</f>
        <v>1.113602941</v>
      </c>
      <c r="L269" s="143">
        <f>'Analisis de operaciones'!M2155/'Analisis de operaciones'!M2159*$O269</f>
        <v>1.039362745</v>
      </c>
      <c r="M269" s="143">
        <f>'Analisis de operaciones'!N2155/'Analisis de operaciones'!N2159*$O269</f>
        <v>1.187843137</v>
      </c>
      <c r="O269" s="144">
        <f>$B$38</f>
        <v>1</v>
      </c>
    </row>
    <row r="270" ht="15.75" hidden="1" customHeight="1" outlineLevel="1">
      <c r="A270" s="142" t="s">
        <v>89</v>
      </c>
      <c r="B270" s="143">
        <f>'Analisis de operaciones'!C2165/'Analisis de operaciones'!C2169*$O270</f>
        <v>10.52140625</v>
      </c>
      <c r="C270" s="143">
        <f>'Analisis de operaciones'!D2165/'Analisis de operaciones'!D2169*$O270</f>
        <v>9.28359375</v>
      </c>
      <c r="D270" s="143">
        <f>'Analisis de operaciones'!E2165/'Analisis de operaciones'!E2169*$O270</f>
        <v>11.1403125</v>
      </c>
      <c r="E270" s="143">
        <f>'Analisis de operaciones'!F2165/'Analisis de operaciones'!F2169*$O270</f>
        <v>11.1403125</v>
      </c>
      <c r="F270" s="143">
        <f>'Analisis de operaciones'!G2165/'Analisis de operaciones'!G2169*$O270</f>
        <v>11.1403125</v>
      </c>
      <c r="G270" s="143">
        <f>'Analisis de operaciones'!H2165/'Analisis de operaciones'!H2169*$O270</f>
        <v>9.9025</v>
      </c>
      <c r="H270" s="143">
        <f>'Analisis de operaciones'!I2165/'Analisis de operaciones'!I2169*$O270</f>
        <v>11.1403125</v>
      </c>
      <c r="I270" s="143">
        <f>'Analisis de operaciones'!J2165/'Analisis de operaciones'!J2169*$O270</f>
        <v>11.1403125</v>
      </c>
      <c r="J270" s="143">
        <f>'Analisis de operaciones'!K2165/'Analisis de operaciones'!K2169*$O270</f>
        <v>10.52140625</v>
      </c>
      <c r="K270" s="143">
        <f>'Analisis de operaciones'!L2165/'Analisis de operaciones'!L2169*$O270</f>
        <v>9.28359375</v>
      </c>
      <c r="L270" s="143">
        <f>'Analisis de operaciones'!M2165/'Analisis de operaciones'!M2169*$O270</f>
        <v>8.6646875</v>
      </c>
      <c r="M270" s="143">
        <f>'Analisis de operaciones'!N2165/'Analisis de operaciones'!N2169*$O270</f>
        <v>9.9025</v>
      </c>
      <c r="O270" s="144">
        <f>$B$39</f>
        <v>1</v>
      </c>
    </row>
    <row r="271" ht="15.75" hidden="1" customHeight="1" outlineLevel="1">
      <c r="A271" s="142" t="s">
        <v>90</v>
      </c>
      <c r="B271" s="143">
        <f>'Analisis de operaciones'!C2175/'Analisis de operaciones'!C2179*$O271</f>
        <v>0.5015972222</v>
      </c>
      <c r="C271" s="143">
        <f>'Analisis de operaciones'!D2175/'Analisis de operaciones'!D2179*$O271</f>
        <v>0.4425857843</v>
      </c>
      <c r="D271" s="143">
        <f>'Analisis de operaciones'!E2175/'Analisis de operaciones'!E2179*$O271</f>
        <v>0.5311029412</v>
      </c>
      <c r="E271" s="143">
        <f>'Analisis de operaciones'!F2175/'Analisis de operaciones'!F2179*$O271</f>
        <v>0.5311029412</v>
      </c>
      <c r="F271" s="143">
        <f>'Analisis de operaciones'!G2175/'Analisis de operaciones'!G2179*$O271</f>
        <v>0.5311029412</v>
      </c>
      <c r="G271" s="143">
        <f>'Analisis de operaciones'!H2175/'Analisis de operaciones'!H2179*$O271</f>
        <v>0.4720915033</v>
      </c>
      <c r="H271" s="143">
        <f>'Analisis de operaciones'!I2175/'Analisis de operaciones'!I2179*$O271</f>
        <v>0.5311029412</v>
      </c>
      <c r="I271" s="143">
        <f>'Analisis de operaciones'!J2175/'Analisis de operaciones'!J2179*$O271</f>
        <v>0.5311029412</v>
      </c>
      <c r="J271" s="143">
        <f>'Analisis de operaciones'!K2175/'Analisis de operaciones'!K2179*$O271</f>
        <v>0.5015972222</v>
      </c>
      <c r="K271" s="143">
        <f>'Analisis de operaciones'!L2175/'Analisis de operaciones'!L2179*$O271</f>
        <v>0.4425857843</v>
      </c>
      <c r="L271" s="143">
        <f>'Analisis de operaciones'!M2175/'Analisis de operaciones'!M2179*$O271</f>
        <v>0.4130800654</v>
      </c>
      <c r="M271" s="143">
        <f>'Analisis de operaciones'!N2175/'Analisis de operaciones'!N2179*$O271</f>
        <v>0.4720915033</v>
      </c>
      <c r="O271" s="144">
        <f>$B$40</f>
        <v>0.5</v>
      </c>
    </row>
    <row r="272" ht="15.75" hidden="1" customHeight="1" outlineLevel="1">
      <c r="A272" s="142" t="s">
        <v>91</v>
      </c>
      <c r="B272" s="143">
        <f>'Analisis de operaciones'!C2185/'Analisis de operaciones'!C2189*$O272</f>
        <v>0.3721527778</v>
      </c>
      <c r="C272" s="143">
        <f>'Analisis de operaciones'!D2185/'Analisis de operaciones'!D2189*$O272</f>
        <v>0.328370098</v>
      </c>
      <c r="D272" s="143">
        <f>'Analisis de operaciones'!E2185/'Analisis de operaciones'!E2189*$O272</f>
        <v>0.3940441176</v>
      </c>
      <c r="E272" s="143">
        <f>'Analisis de operaciones'!F2185/'Analisis de operaciones'!F2189*$O272</f>
        <v>0.3940441176</v>
      </c>
      <c r="F272" s="143">
        <f>'Analisis de operaciones'!G2185/'Analisis de operaciones'!G2189*$O272</f>
        <v>0.3940441176</v>
      </c>
      <c r="G272" s="143">
        <f>'Analisis de operaciones'!H2185/'Analisis de operaciones'!H2189*$O272</f>
        <v>0.3502614379</v>
      </c>
      <c r="H272" s="143">
        <f>'Analisis de operaciones'!I2185/'Analisis de operaciones'!I2189*$O272</f>
        <v>0.3940441176</v>
      </c>
      <c r="I272" s="143">
        <f>'Analisis de operaciones'!J2185/'Analisis de operaciones'!J2189*$O272</f>
        <v>0.3940441176</v>
      </c>
      <c r="J272" s="143">
        <f>'Analisis de operaciones'!K2185/'Analisis de operaciones'!K2189*$O272</f>
        <v>0.3721527778</v>
      </c>
      <c r="K272" s="143">
        <f>'Analisis de operaciones'!L2185/'Analisis de operaciones'!L2189*$O272</f>
        <v>0.328370098</v>
      </c>
      <c r="L272" s="143">
        <f>'Analisis de operaciones'!M2185/'Analisis de operaciones'!M2189*$O272</f>
        <v>0.3064787582</v>
      </c>
      <c r="M272" s="143">
        <f>'Analisis de operaciones'!N2185/'Analisis de operaciones'!N2189*$O272</f>
        <v>0.3502614379</v>
      </c>
      <c r="O272" s="144">
        <f>$B$41</f>
        <v>0.5</v>
      </c>
    </row>
    <row r="273" ht="15.75" hidden="1" customHeight="1" outlineLevel="1">
      <c r="A273" s="142" t="s">
        <v>93</v>
      </c>
      <c r="B273" s="143">
        <f>'Analisis de operaciones'!C2195/'Analisis de operaciones'!C2199*$O273</f>
        <v>0.5177777778</v>
      </c>
      <c r="C273" s="143">
        <f>'Analisis de operaciones'!D2195/'Analisis de operaciones'!D2199*$O273</f>
        <v>0.4568627451</v>
      </c>
      <c r="D273" s="143">
        <f>'Analisis de operaciones'!E2195/'Analisis de operaciones'!E2199*$O273</f>
        <v>0.5482352941</v>
      </c>
      <c r="E273" s="143">
        <f>'Analisis de operaciones'!F2195/'Analisis de operaciones'!F2199*$O273</f>
        <v>0.5482352941</v>
      </c>
      <c r="F273" s="143">
        <f>'Analisis de operaciones'!G2195/'Analisis de operaciones'!G2199*$O273</f>
        <v>0.5482352941</v>
      </c>
      <c r="G273" s="143">
        <f>'Analisis de operaciones'!H2195/'Analisis de operaciones'!H2199*$O273</f>
        <v>0.4873202614</v>
      </c>
      <c r="H273" s="143">
        <f>'Analisis de operaciones'!I2195/'Analisis de operaciones'!I2199*$O273</f>
        <v>0.5482352941</v>
      </c>
      <c r="I273" s="143">
        <f>'Analisis de operaciones'!J2195/'Analisis de operaciones'!J2199*$O273</f>
        <v>0.5482352941</v>
      </c>
      <c r="J273" s="143">
        <f>'Analisis de operaciones'!K2195/'Analisis de operaciones'!K2199*$O273</f>
        <v>0.5177777778</v>
      </c>
      <c r="K273" s="143">
        <f>'Analisis de operaciones'!L2195/'Analisis de operaciones'!L2199*$O273</f>
        <v>0.4568627451</v>
      </c>
      <c r="L273" s="143">
        <f>'Analisis de operaciones'!M2195/'Analisis de operaciones'!M2199*$O273</f>
        <v>0.4264052288</v>
      </c>
      <c r="M273" s="143">
        <f>'Analisis de operaciones'!N2195/'Analisis de operaciones'!N2199*$O273</f>
        <v>0.4873202614</v>
      </c>
      <c r="O273" s="144">
        <f>$B$42</f>
        <v>1</v>
      </c>
    </row>
    <row r="274" ht="15.75" hidden="1" customHeight="1" outlineLevel="1">
      <c r="A274" s="142" t="s">
        <v>94</v>
      </c>
      <c r="B274" s="143">
        <f>'Analisis de operaciones'!C2205/'Analisis de operaciones'!C2209*$O274</f>
        <v>0.6634027778</v>
      </c>
      <c r="C274" s="143">
        <f>'Analisis de operaciones'!D2205/'Analisis de operaciones'!D2209*$O274</f>
        <v>0.5853553922</v>
      </c>
      <c r="D274" s="143">
        <f>'Analisis de operaciones'!E2205/'Analisis de operaciones'!E2209*$O274</f>
        <v>0.7024264706</v>
      </c>
      <c r="E274" s="143">
        <f>'Analisis de operaciones'!F2205/'Analisis de operaciones'!F2209*$O274</f>
        <v>0.7024264706</v>
      </c>
      <c r="F274" s="143">
        <f>'Analisis de operaciones'!G2205/'Analisis de operaciones'!G2209*$O274</f>
        <v>0.7024264706</v>
      </c>
      <c r="G274" s="143">
        <f>'Analisis de operaciones'!H2205/'Analisis de operaciones'!H2209*$O274</f>
        <v>0.624379085</v>
      </c>
      <c r="H274" s="143">
        <f>'Analisis de operaciones'!I2205/'Analisis de operaciones'!I2209*$O274</f>
        <v>0.7024264706</v>
      </c>
      <c r="I274" s="143">
        <f>'Analisis de operaciones'!J2205/'Analisis de operaciones'!J2209*$O274</f>
        <v>0.7024264706</v>
      </c>
      <c r="J274" s="143">
        <f>'Analisis de operaciones'!K2205/'Analisis de operaciones'!K2209*$O274</f>
        <v>0.6634027778</v>
      </c>
      <c r="K274" s="143">
        <f>'Analisis de operaciones'!L2205/'Analisis de operaciones'!L2209*$O274</f>
        <v>0.5853553922</v>
      </c>
      <c r="L274" s="143">
        <f>'Analisis de operaciones'!M2205/'Analisis de operaciones'!M2209*$O274</f>
        <v>0.5463316993</v>
      </c>
      <c r="M274" s="143">
        <f>'Analisis de operaciones'!N2205/'Analisis de operaciones'!N2209*$O274</f>
        <v>0.624379085</v>
      </c>
      <c r="O274" s="144">
        <f>$B$43</f>
        <v>0.5</v>
      </c>
    </row>
    <row r="275" ht="15.75" hidden="1" customHeight="1" outlineLevel="1">
      <c r="A275" s="142" t="s">
        <v>96</v>
      </c>
      <c r="B275" s="143">
        <f>'Analisis de operaciones'!C2215/'Analisis de operaciones'!C2219*$O275</f>
        <v>0.5177777778</v>
      </c>
      <c r="C275" s="143">
        <f>'Analisis de operaciones'!D2215/'Analisis de operaciones'!D2219*$O275</f>
        <v>0.4568627451</v>
      </c>
      <c r="D275" s="143">
        <f>'Analisis de operaciones'!E2215/'Analisis de operaciones'!E2219*$O275</f>
        <v>0.5482352941</v>
      </c>
      <c r="E275" s="143">
        <f>'Analisis de operaciones'!F2215/'Analisis de operaciones'!F2219*$O275</f>
        <v>0.5482352941</v>
      </c>
      <c r="F275" s="143">
        <f>'Analisis de operaciones'!G2215/'Analisis de operaciones'!G2219*$O275</f>
        <v>0.5482352941</v>
      </c>
      <c r="G275" s="143">
        <f>'Analisis de operaciones'!H2215/'Analisis de operaciones'!H2219*$O275</f>
        <v>0.4873202614</v>
      </c>
      <c r="H275" s="143">
        <f>'Analisis de operaciones'!I2215/'Analisis de operaciones'!I2219*$O275</f>
        <v>0.5482352941</v>
      </c>
      <c r="I275" s="143">
        <f>'Analisis de operaciones'!J2215/'Analisis de operaciones'!J2219*$O275</f>
        <v>0.5482352941</v>
      </c>
      <c r="J275" s="143">
        <f>'Analisis de operaciones'!K2215/'Analisis de operaciones'!K2219*$O275</f>
        <v>0.5177777778</v>
      </c>
      <c r="K275" s="143">
        <f>'Analisis de operaciones'!L2215/'Analisis de operaciones'!L2219*$O275</f>
        <v>0.4568627451</v>
      </c>
      <c r="L275" s="143">
        <f>'Analisis de operaciones'!M2215/'Analisis de operaciones'!M2219*$O275</f>
        <v>0.4264052288</v>
      </c>
      <c r="M275" s="143">
        <f>'Analisis de operaciones'!N2215/'Analisis de operaciones'!N2219*$O275</f>
        <v>0.4873202614</v>
      </c>
      <c r="O275" s="144">
        <f>$B$44</f>
        <v>1</v>
      </c>
    </row>
    <row r="276" ht="15.75" hidden="1" customHeight="1" outlineLevel="1">
      <c r="A276" s="142" t="s">
        <v>97</v>
      </c>
      <c r="B276" s="143">
        <f>'Analisis de operaciones'!C2225/'Analisis de operaciones'!C2229*$O276</f>
        <v>3.495</v>
      </c>
      <c r="C276" s="143">
        <f>'Analisis de operaciones'!D2225/'Analisis de operaciones'!D2229*$O276</f>
        <v>3.083823529</v>
      </c>
      <c r="D276" s="143">
        <f>'Analisis de operaciones'!E2225/'Analisis de operaciones'!E2229*$O276</f>
        <v>3.700588235</v>
      </c>
      <c r="E276" s="143">
        <f>'Analisis de operaciones'!F2225/'Analisis de operaciones'!F2229*$O276</f>
        <v>3.700588235</v>
      </c>
      <c r="F276" s="143">
        <f>'Analisis de operaciones'!G2225/'Analisis de operaciones'!G2229*$O276</f>
        <v>3.700588235</v>
      </c>
      <c r="G276" s="143">
        <f>'Analisis de operaciones'!H2225/'Analisis de operaciones'!H2229*$O276</f>
        <v>3.289411765</v>
      </c>
      <c r="H276" s="143">
        <f>'Analisis de operaciones'!I2225/'Analisis de operaciones'!I2229*$O276</f>
        <v>3.700588235</v>
      </c>
      <c r="I276" s="143">
        <f>'Analisis de operaciones'!J2225/'Analisis de operaciones'!J2229*$O276</f>
        <v>3.700588235</v>
      </c>
      <c r="J276" s="143">
        <f>'Analisis de operaciones'!K2225/'Analisis de operaciones'!K2229*$O276</f>
        <v>3.495</v>
      </c>
      <c r="K276" s="143">
        <f>'Analisis de operaciones'!L2225/'Analisis de operaciones'!L2229*$O276</f>
        <v>3.083823529</v>
      </c>
      <c r="L276" s="143">
        <f>'Analisis de operaciones'!M2225/'Analisis de operaciones'!M2229*$O276</f>
        <v>2.878235294</v>
      </c>
      <c r="M276" s="143">
        <f>'Analisis de operaciones'!N2225/'Analisis de operaciones'!N2229*$O276</f>
        <v>3.289411765</v>
      </c>
      <c r="O276" s="144">
        <f>$B$45</f>
        <v>1</v>
      </c>
    </row>
    <row r="277" ht="15.75" hidden="1" customHeight="1" outlineLevel="1">
      <c r="A277" s="142" t="s">
        <v>311</v>
      </c>
      <c r="B277" s="143">
        <f>'Analisis de operaciones'!C2976/'Analisis de operaciones'!C2980*$O277</f>
        <v>3.963960663</v>
      </c>
      <c r="C277" s="143">
        <f>'Analisis de operaciones'!D2976/'Analisis de operaciones'!D2980*$O277</f>
        <v>3.184279774</v>
      </c>
      <c r="D277" s="143">
        <f>'Analisis de operaciones'!E2976/'Analisis de operaciones'!E2980*$O277</f>
        <v>3.402612932</v>
      </c>
      <c r="E277" s="143">
        <f>'Analisis de operaciones'!F2976/'Analisis de operaciones'!F2980*$O277</f>
        <v>3.402612932</v>
      </c>
      <c r="F277" s="143">
        <f>'Analisis de operaciones'!G2976/'Analisis de operaciones'!G2980*$O277</f>
        <v>3.212375297</v>
      </c>
      <c r="G277" s="143">
        <f>'Analisis de operaciones'!H2976/'Analisis de operaciones'!H2980*$O277</f>
        <v>3.003407313</v>
      </c>
      <c r="H277" s="143">
        <f>'Analisis de operaciones'!I2976/'Analisis de operaciones'!I2980*$O277</f>
        <v>3.212375297</v>
      </c>
      <c r="I277" s="143">
        <f>'Analisis de operaciones'!J2976/'Analisis de operaciones'!J2980*$O277</f>
        <v>3.212375297</v>
      </c>
      <c r="J277" s="143">
        <f>'Analisis de operaciones'!K2976/'Analisis de operaciones'!K2980*$O277</f>
        <v>3.203010123</v>
      </c>
      <c r="K277" s="143">
        <f>'Analisis de operaciones'!L2976/'Analisis de operaciones'!L2980*$O277</f>
        <v>2.994042139</v>
      </c>
      <c r="L277" s="143">
        <f>'Analisis de operaciones'!M2976/'Analisis de operaciones'!M2980*$O277</f>
        <v>2.79443933</v>
      </c>
      <c r="M277" s="143">
        <f>'Analisis de operaciones'!N2976/'Analisis de operaciones'!N2980*$O277</f>
        <v>4.33507076</v>
      </c>
      <c r="O277" s="144">
        <v>1.0</v>
      </c>
    </row>
    <row r="278" ht="15.75" hidden="1" customHeight="1" outlineLevel="1">
      <c r="A278" s="141" t="s">
        <v>534</v>
      </c>
    </row>
    <row r="279" ht="15.75" hidden="1" customHeight="1" outlineLevel="1">
      <c r="A279" s="142" t="s">
        <v>26</v>
      </c>
      <c r="B279" s="143">
        <f t="shared" ref="B279:M279" si="105">MAX(0,B248*B$228-$N248)</f>
        <v>0</v>
      </c>
      <c r="C279" s="143">
        <f t="shared" si="105"/>
        <v>0</v>
      </c>
      <c r="D279" s="143">
        <f t="shared" si="105"/>
        <v>0</v>
      </c>
      <c r="E279" s="143">
        <f t="shared" si="105"/>
        <v>0</v>
      </c>
      <c r="F279" s="143">
        <f t="shared" si="105"/>
        <v>0</v>
      </c>
      <c r="G279" s="143">
        <f t="shared" si="105"/>
        <v>0</v>
      </c>
      <c r="H279" s="143">
        <f t="shared" si="105"/>
        <v>0</v>
      </c>
      <c r="I279" s="143">
        <f t="shared" si="105"/>
        <v>0</v>
      </c>
      <c r="J279" s="143">
        <f t="shared" si="105"/>
        <v>0</v>
      </c>
      <c r="K279" s="143">
        <f t="shared" si="105"/>
        <v>0</v>
      </c>
      <c r="L279" s="143">
        <f t="shared" si="105"/>
        <v>0</v>
      </c>
      <c r="M279" s="143">
        <f t="shared" si="105"/>
        <v>0</v>
      </c>
    </row>
    <row r="280" ht="15.75" hidden="1" customHeight="1" outlineLevel="1">
      <c r="A280" s="142" t="s">
        <v>55</v>
      </c>
      <c r="B280" s="143">
        <f t="shared" ref="B280:M280" si="106">MAX(0,B249*B$228-$N249)</f>
        <v>0</v>
      </c>
      <c r="C280" s="143">
        <f t="shared" si="106"/>
        <v>0</v>
      </c>
      <c r="D280" s="143">
        <f t="shared" si="106"/>
        <v>0</v>
      </c>
      <c r="E280" s="143">
        <f t="shared" si="106"/>
        <v>0</v>
      </c>
      <c r="F280" s="143">
        <f t="shared" si="106"/>
        <v>0</v>
      </c>
      <c r="G280" s="143">
        <f t="shared" si="106"/>
        <v>0</v>
      </c>
      <c r="H280" s="143">
        <f t="shared" si="106"/>
        <v>0</v>
      </c>
      <c r="I280" s="143">
        <f t="shared" si="106"/>
        <v>0</v>
      </c>
      <c r="J280" s="143">
        <f t="shared" si="106"/>
        <v>0</v>
      </c>
      <c r="K280" s="143">
        <f t="shared" si="106"/>
        <v>0</v>
      </c>
      <c r="L280" s="143">
        <f t="shared" si="106"/>
        <v>0</v>
      </c>
      <c r="M280" s="143">
        <f t="shared" si="106"/>
        <v>0</v>
      </c>
    </row>
    <row r="281" ht="15.75" hidden="1" customHeight="1" outlineLevel="1">
      <c r="A281" s="142" t="s">
        <v>61</v>
      </c>
      <c r="B281" s="143">
        <f t="shared" ref="B281:M281" si="107">MAX(0,B250*B$228-$N250)</f>
        <v>0</v>
      </c>
      <c r="C281" s="143">
        <f t="shared" si="107"/>
        <v>0</v>
      </c>
      <c r="D281" s="143">
        <f t="shared" si="107"/>
        <v>0</v>
      </c>
      <c r="E281" s="143">
        <f t="shared" si="107"/>
        <v>0</v>
      </c>
      <c r="F281" s="143">
        <f t="shared" si="107"/>
        <v>0</v>
      </c>
      <c r="G281" s="143">
        <f t="shared" si="107"/>
        <v>0</v>
      </c>
      <c r="H281" s="143">
        <f t="shared" si="107"/>
        <v>0</v>
      </c>
      <c r="I281" s="143">
        <f t="shared" si="107"/>
        <v>0</v>
      </c>
      <c r="J281" s="143">
        <f t="shared" si="107"/>
        <v>0</v>
      </c>
      <c r="K281" s="143">
        <f t="shared" si="107"/>
        <v>0</v>
      </c>
      <c r="L281" s="143">
        <f t="shared" si="107"/>
        <v>0</v>
      </c>
      <c r="M281" s="143">
        <f t="shared" si="107"/>
        <v>0</v>
      </c>
    </row>
    <row r="282" ht="15.75" hidden="1" customHeight="1" outlineLevel="1">
      <c r="A282" s="142" t="s">
        <v>62</v>
      </c>
      <c r="B282" s="143">
        <f t="shared" ref="B282:M282" si="108">MAX(0,B251*B$228-$N251)</f>
        <v>0</v>
      </c>
      <c r="C282" s="143">
        <f t="shared" si="108"/>
        <v>0</v>
      </c>
      <c r="D282" s="143">
        <f t="shared" si="108"/>
        <v>0</v>
      </c>
      <c r="E282" s="143">
        <f t="shared" si="108"/>
        <v>0</v>
      </c>
      <c r="F282" s="143">
        <f t="shared" si="108"/>
        <v>0</v>
      </c>
      <c r="G282" s="143">
        <f t="shared" si="108"/>
        <v>0</v>
      </c>
      <c r="H282" s="143">
        <f t="shared" si="108"/>
        <v>0</v>
      </c>
      <c r="I282" s="143">
        <f t="shared" si="108"/>
        <v>0</v>
      </c>
      <c r="J282" s="143">
        <f t="shared" si="108"/>
        <v>0</v>
      </c>
      <c r="K282" s="143">
        <f t="shared" si="108"/>
        <v>0</v>
      </c>
      <c r="L282" s="143">
        <f t="shared" si="108"/>
        <v>0</v>
      </c>
      <c r="M282" s="143">
        <f t="shared" si="108"/>
        <v>0</v>
      </c>
    </row>
    <row r="283" ht="15.75" hidden="1" customHeight="1" outlineLevel="1">
      <c r="A283" s="142" t="s">
        <v>63</v>
      </c>
      <c r="B283" s="143">
        <f t="shared" ref="B283:M283" si="109">MAX(0,B252*B$228-$N252)</f>
        <v>0</v>
      </c>
      <c r="C283" s="143">
        <f t="shared" si="109"/>
        <v>0</v>
      </c>
      <c r="D283" s="143">
        <f t="shared" si="109"/>
        <v>0</v>
      </c>
      <c r="E283" s="143">
        <f t="shared" si="109"/>
        <v>0</v>
      </c>
      <c r="F283" s="143">
        <f t="shared" si="109"/>
        <v>0</v>
      </c>
      <c r="G283" s="143">
        <f t="shared" si="109"/>
        <v>0</v>
      </c>
      <c r="H283" s="143">
        <f t="shared" si="109"/>
        <v>0</v>
      </c>
      <c r="I283" s="143">
        <f t="shared" si="109"/>
        <v>0</v>
      </c>
      <c r="J283" s="143">
        <f t="shared" si="109"/>
        <v>0</v>
      </c>
      <c r="K283" s="143">
        <f t="shared" si="109"/>
        <v>0</v>
      </c>
      <c r="L283" s="143">
        <f t="shared" si="109"/>
        <v>0</v>
      </c>
      <c r="M283" s="143">
        <f t="shared" si="109"/>
        <v>0</v>
      </c>
    </row>
    <row r="284" ht="15.75" hidden="1" customHeight="1" outlineLevel="1">
      <c r="A284" s="142" t="s">
        <v>64</v>
      </c>
      <c r="B284" s="143">
        <f t="shared" ref="B284:M284" si="110">MAX(0,B253*B$228-$N253)</f>
        <v>0</v>
      </c>
      <c r="C284" s="143">
        <f t="shared" si="110"/>
        <v>0</v>
      </c>
      <c r="D284" s="143">
        <f t="shared" si="110"/>
        <v>0</v>
      </c>
      <c r="E284" s="143">
        <f t="shared" si="110"/>
        <v>0</v>
      </c>
      <c r="F284" s="143">
        <f t="shared" si="110"/>
        <v>0</v>
      </c>
      <c r="G284" s="143">
        <f t="shared" si="110"/>
        <v>0</v>
      </c>
      <c r="H284" s="143">
        <f t="shared" si="110"/>
        <v>0</v>
      </c>
      <c r="I284" s="143">
        <f t="shared" si="110"/>
        <v>0</v>
      </c>
      <c r="J284" s="143">
        <f t="shared" si="110"/>
        <v>0</v>
      </c>
      <c r="K284" s="143">
        <f t="shared" si="110"/>
        <v>0</v>
      </c>
      <c r="L284" s="143">
        <f t="shared" si="110"/>
        <v>0</v>
      </c>
      <c r="M284" s="143">
        <f t="shared" si="110"/>
        <v>0</v>
      </c>
    </row>
    <row r="285" ht="15.75" hidden="1" customHeight="1" outlineLevel="1">
      <c r="A285" s="142" t="s">
        <v>66</v>
      </c>
      <c r="B285" s="143">
        <f t="shared" ref="B285:M285" si="111">MAX(0,B254*B$228-$N254)</f>
        <v>0</v>
      </c>
      <c r="C285" s="143">
        <f t="shared" si="111"/>
        <v>0</v>
      </c>
      <c r="D285" s="143">
        <f t="shared" si="111"/>
        <v>0</v>
      </c>
      <c r="E285" s="143">
        <f t="shared" si="111"/>
        <v>0</v>
      </c>
      <c r="F285" s="143">
        <f t="shared" si="111"/>
        <v>0</v>
      </c>
      <c r="G285" s="143">
        <f t="shared" si="111"/>
        <v>0</v>
      </c>
      <c r="H285" s="143">
        <f t="shared" si="111"/>
        <v>0</v>
      </c>
      <c r="I285" s="143">
        <f t="shared" si="111"/>
        <v>0</v>
      </c>
      <c r="J285" s="143">
        <f t="shared" si="111"/>
        <v>0</v>
      </c>
      <c r="K285" s="143">
        <f t="shared" si="111"/>
        <v>0</v>
      </c>
      <c r="L285" s="143">
        <f t="shared" si="111"/>
        <v>0</v>
      </c>
      <c r="M285" s="143">
        <f t="shared" si="111"/>
        <v>0</v>
      </c>
    </row>
    <row r="286" ht="15.75" hidden="1" customHeight="1" outlineLevel="1">
      <c r="A286" s="142" t="s">
        <v>67</v>
      </c>
      <c r="B286" s="143">
        <f t="shared" ref="B286:M286" si="112">MAX(0,B255*B$228-$N255)</f>
        <v>0</v>
      </c>
      <c r="C286" s="143">
        <f t="shared" si="112"/>
        <v>0</v>
      </c>
      <c r="D286" s="143">
        <f t="shared" si="112"/>
        <v>0</v>
      </c>
      <c r="E286" s="143">
        <f t="shared" si="112"/>
        <v>0</v>
      </c>
      <c r="F286" s="143">
        <f t="shared" si="112"/>
        <v>0</v>
      </c>
      <c r="G286" s="143">
        <f t="shared" si="112"/>
        <v>0</v>
      </c>
      <c r="H286" s="143">
        <f t="shared" si="112"/>
        <v>0</v>
      </c>
      <c r="I286" s="143">
        <f t="shared" si="112"/>
        <v>0</v>
      </c>
      <c r="J286" s="143">
        <f t="shared" si="112"/>
        <v>0</v>
      </c>
      <c r="K286" s="143">
        <f t="shared" si="112"/>
        <v>0</v>
      </c>
      <c r="L286" s="143">
        <f t="shared" si="112"/>
        <v>0</v>
      </c>
      <c r="M286" s="143">
        <f t="shared" si="112"/>
        <v>0</v>
      </c>
    </row>
    <row r="287" ht="15.75" hidden="1" customHeight="1" outlineLevel="1">
      <c r="A287" s="142" t="s">
        <v>68</v>
      </c>
      <c r="B287" s="143">
        <f t="shared" ref="B287:M287" si="113">MAX(0,B256*B$228-$N256)</f>
        <v>0</v>
      </c>
      <c r="C287" s="143">
        <f t="shared" si="113"/>
        <v>0</v>
      </c>
      <c r="D287" s="143">
        <f t="shared" si="113"/>
        <v>0</v>
      </c>
      <c r="E287" s="143">
        <f t="shared" si="113"/>
        <v>0</v>
      </c>
      <c r="F287" s="143">
        <f t="shared" si="113"/>
        <v>0</v>
      </c>
      <c r="G287" s="143">
        <f t="shared" si="113"/>
        <v>0</v>
      </c>
      <c r="H287" s="143">
        <f t="shared" si="113"/>
        <v>0</v>
      </c>
      <c r="I287" s="143">
        <f t="shared" si="113"/>
        <v>0</v>
      </c>
      <c r="J287" s="143">
        <f t="shared" si="113"/>
        <v>0</v>
      </c>
      <c r="K287" s="143">
        <f t="shared" si="113"/>
        <v>0</v>
      </c>
      <c r="L287" s="143">
        <f t="shared" si="113"/>
        <v>0</v>
      </c>
      <c r="M287" s="143">
        <f t="shared" si="113"/>
        <v>0</v>
      </c>
    </row>
    <row r="288" ht="15.75" hidden="1" customHeight="1" outlineLevel="1">
      <c r="A288" s="142" t="s">
        <v>70</v>
      </c>
      <c r="B288" s="143">
        <f t="shared" ref="B288:M288" si="114">MAX(0,B257*B$228-$N257)</f>
        <v>0</v>
      </c>
      <c r="C288" s="143">
        <f t="shared" si="114"/>
        <v>0</v>
      </c>
      <c r="D288" s="143">
        <f t="shared" si="114"/>
        <v>0</v>
      </c>
      <c r="E288" s="143">
        <f t="shared" si="114"/>
        <v>0</v>
      </c>
      <c r="F288" s="143">
        <f t="shared" si="114"/>
        <v>0</v>
      </c>
      <c r="G288" s="143">
        <f t="shared" si="114"/>
        <v>0</v>
      </c>
      <c r="H288" s="143">
        <f t="shared" si="114"/>
        <v>0</v>
      </c>
      <c r="I288" s="143">
        <f t="shared" si="114"/>
        <v>0</v>
      </c>
      <c r="J288" s="143">
        <f t="shared" si="114"/>
        <v>0</v>
      </c>
      <c r="K288" s="143">
        <f t="shared" si="114"/>
        <v>0</v>
      </c>
      <c r="L288" s="143">
        <f t="shared" si="114"/>
        <v>0</v>
      </c>
      <c r="M288" s="143">
        <f t="shared" si="114"/>
        <v>0</v>
      </c>
    </row>
    <row r="289" ht="15.75" hidden="1" customHeight="1" outlineLevel="1">
      <c r="A289" s="142" t="s">
        <v>72</v>
      </c>
      <c r="B289" s="143">
        <f t="shared" ref="B289:M289" si="115">MAX(0,B258*B$228-$N258)</f>
        <v>0</v>
      </c>
      <c r="C289" s="143">
        <f t="shared" si="115"/>
        <v>0</v>
      </c>
      <c r="D289" s="143">
        <f t="shared" si="115"/>
        <v>0</v>
      </c>
      <c r="E289" s="143">
        <f t="shared" si="115"/>
        <v>0</v>
      </c>
      <c r="F289" s="143">
        <f t="shared" si="115"/>
        <v>0</v>
      </c>
      <c r="G289" s="143">
        <f t="shared" si="115"/>
        <v>0</v>
      </c>
      <c r="H289" s="143">
        <f t="shared" si="115"/>
        <v>0</v>
      </c>
      <c r="I289" s="143">
        <f t="shared" si="115"/>
        <v>0</v>
      </c>
      <c r="J289" s="143">
        <f t="shared" si="115"/>
        <v>0</v>
      </c>
      <c r="K289" s="143">
        <f t="shared" si="115"/>
        <v>0</v>
      </c>
      <c r="L289" s="143">
        <f t="shared" si="115"/>
        <v>0</v>
      </c>
      <c r="M289" s="143">
        <f t="shared" si="115"/>
        <v>0</v>
      </c>
    </row>
    <row r="290" ht="15.75" hidden="1" customHeight="1" outlineLevel="1">
      <c r="A290" s="142" t="s">
        <v>74</v>
      </c>
      <c r="B290" s="143">
        <f t="shared" ref="B290:M290" si="116">MAX(0,B259*B$228-$N259)</f>
        <v>0</v>
      </c>
      <c r="C290" s="143">
        <f t="shared" si="116"/>
        <v>0</v>
      </c>
      <c r="D290" s="143">
        <f t="shared" si="116"/>
        <v>0</v>
      </c>
      <c r="E290" s="143">
        <f t="shared" si="116"/>
        <v>0</v>
      </c>
      <c r="F290" s="143">
        <f t="shared" si="116"/>
        <v>0</v>
      </c>
      <c r="G290" s="143">
        <f t="shared" si="116"/>
        <v>0</v>
      </c>
      <c r="H290" s="143">
        <f t="shared" si="116"/>
        <v>0</v>
      </c>
      <c r="I290" s="143">
        <f t="shared" si="116"/>
        <v>0</v>
      </c>
      <c r="J290" s="143">
        <f t="shared" si="116"/>
        <v>0</v>
      </c>
      <c r="K290" s="143">
        <f t="shared" si="116"/>
        <v>0</v>
      </c>
      <c r="L290" s="143">
        <f t="shared" si="116"/>
        <v>0</v>
      </c>
      <c r="M290" s="143">
        <f t="shared" si="116"/>
        <v>0</v>
      </c>
    </row>
    <row r="291" ht="15.75" hidden="1" customHeight="1" outlineLevel="1">
      <c r="A291" s="142" t="s">
        <v>76</v>
      </c>
      <c r="B291" s="143">
        <f t="shared" ref="B291:M291" si="117">MAX(0,B260*B$228-$N260)</f>
        <v>0</v>
      </c>
      <c r="C291" s="143">
        <f t="shared" si="117"/>
        <v>0</v>
      </c>
      <c r="D291" s="143">
        <f t="shared" si="117"/>
        <v>0</v>
      </c>
      <c r="E291" s="143">
        <f t="shared" si="117"/>
        <v>0</v>
      </c>
      <c r="F291" s="143">
        <f t="shared" si="117"/>
        <v>0</v>
      </c>
      <c r="G291" s="143">
        <f t="shared" si="117"/>
        <v>0</v>
      </c>
      <c r="H291" s="143">
        <f t="shared" si="117"/>
        <v>0</v>
      </c>
      <c r="I291" s="143">
        <f t="shared" si="117"/>
        <v>0</v>
      </c>
      <c r="J291" s="143">
        <f t="shared" si="117"/>
        <v>0</v>
      </c>
      <c r="K291" s="143">
        <f t="shared" si="117"/>
        <v>0</v>
      </c>
      <c r="L291" s="143">
        <f t="shared" si="117"/>
        <v>0</v>
      </c>
      <c r="M291" s="143">
        <f t="shared" si="117"/>
        <v>0</v>
      </c>
    </row>
    <row r="292" ht="15.75" hidden="1" customHeight="1" outlineLevel="1">
      <c r="A292" s="142" t="s">
        <v>77</v>
      </c>
      <c r="B292" s="143">
        <f t="shared" ref="B292:M292" si="118">MAX(0,B261*B$228-$N261)</f>
        <v>0</v>
      </c>
      <c r="C292" s="143">
        <f t="shared" si="118"/>
        <v>0</v>
      </c>
      <c r="D292" s="143">
        <f t="shared" si="118"/>
        <v>0</v>
      </c>
      <c r="E292" s="143">
        <f t="shared" si="118"/>
        <v>0</v>
      </c>
      <c r="F292" s="143">
        <f t="shared" si="118"/>
        <v>0</v>
      </c>
      <c r="G292" s="143">
        <f t="shared" si="118"/>
        <v>0</v>
      </c>
      <c r="H292" s="143">
        <f t="shared" si="118"/>
        <v>0</v>
      </c>
      <c r="I292" s="143">
        <f t="shared" si="118"/>
        <v>0</v>
      </c>
      <c r="J292" s="143">
        <f t="shared" si="118"/>
        <v>0</v>
      </c>
      <c r="K292" s="143">
        <f t="shared" si="118"/>
        <v>0</v>
      </c>
      <c r="L292" s="143">
        <f t="shared" si="118"/>
        <v>0</v>
      </c>
      <c r="M292" s="143">
        <f t="shared" si="118"/>
        <v>0</v>
      </c>
    </row>
    <row r="293" ht="15.75" hidden="1" customHeight="1" outlineLevel="1">
      <c r="A293" s="142" t="s">
        <v>79</v>
      </c>
      <c r="B293" s="143">
        <f t="shared" ref="B293:M293" si="119">MAX(0,B262*B$228-$N262)</f>
        <v>0</v>
      </c>
      <c r="C293" s="143">
        <f t="shared" si="119"/>
        <v>0</v>
      </c>
      <c r="D293" s="143">
        <f t="shared" si="119"/>
        <v>0</v>
      </c>
      <c r="E293" s="143">
        <f t="shared" si="119"/>
        <v>0</v>
      </c>
      <c r="F293" s="143">
        <f t="shared" si="119"/>
        <v>0</v>
      </c>
      <c r="G293" s="143">
        <f t="shared" si="119"/>
        <v>0</v>
      </c>
      <c r="H293" s="143">
        <f t="shared" si="119"/>
        <v>0</v>
      </c>
      <c r="I293" s="143">
        <f t="shared" si="119"/>
        <v>0</v>
      </c>
      <c r="J293" s="143">
        <f t="shared" si="119"/>
        <v>0</v>
      </c>
      <c r="K293" s="143">
        <f t="shared" si="119"/>
        <v>0</v>
      </c>
      <c r="L293" s="143">
        <f t="shared" si="119"/>
        <v>0</v>
      </c>
      <c r="M293" s="143">
        <f t="shared" si="119"/>
        <v>0</v>
      </c>
    </row>
    <row r="294" ht="15.75" hidden="1" customHeight="1" outlineLevel="1">
      <c r="A294" s="142" t="s">
        <v>81</v>
      </c>
      <c r="B294" s="143">
        <f t="shared" ref="B294:M294" si="120">MAX(0,B263*B$228-$N263)</f>
        <v>0</v>
      </c>
      <c r="C294" s="143">
        <f t="shared" si="120"/>
        <v>0</v>
      </c>
      <c r="D294" s="143">
        <f t="shared" si="120"/>
        <v>0</v>
      </c>
      <c r="E294" s="143">
        <f t="shared" si="120"/>
        <v>0</v>
      </c>
      <c r="F294" s="143">
        <f t="shared" si="120"/>
        <v>0</v>
      </c>
      <c r="G294" s="143">
        <f t="shared" si="120"/>
        <v>0</v>
      </c>
      <c r="H294" s="143">
        <f t="shared" si="120"/>
        <v>0</v>
      </c>
      <c r="I294" s="143">
        <f t="shared" si="120"/>
        <v>0</v>
      </c>
      <c r="J294" s="143">
        <f t="shared" si="120"/>
        <v>0</v>
      </c>
      <c r="K294" s="143">
        <f t="shared" si="120"/>
        <v>0</v>
      </c>
      <c r="L294" s="143">
        <f t="shared" si="120"/>
        <v>0</v>
      </c>
      <c r="M294" s="143">
        <f t="shared" si="120"/>
        <v>0</v>
      </c>
    </row>
    <row r="295" ht="15.75" hidden="1" customHeight="1" outlineLevel="1">
      <c r="A295" s="142" t="s">
        <v>82</v>
      </c>
      <c r="B295" s="143">
        <f t="shared" ref="B295:M295" si="121">MAX(0,B264*B$228-$N264)</f>
        <v>0</v>
      </c>
      <c r="C295" s="143">
        <f t="shared" si="121"/>
        <v>0</v>
      </c>
      <c r="D295" s="143">
        <f t="shared" si="121"/>
        <v>0</v>
      </c>
      <c r="E295" s="143">
        <f t="shared" si="121"/>
        <v>0</v>
      </c>
      <c r="F295" s="143">
        <f t="shared" si="121"/>
        <v>0</v>
      </c>
      <c r="G295" s="143">
        <f t="shared" si="121"/>
        <v>0</v>
      </c>
      <c r="H295" s="143">
        <f t="shared" si="121"/>
        <v>0</v>
      </c>
      <c r="I295" s="143">
        <f t="shared" si="121"/>
        <v>0</v>
      </c>
      <c r="J295" s="143">
        <f t="shared" si="121"/>
        <v>0</v>
      </c>
      <c r="K295" s="143">
        <f t="shared" si="121"/>
        <v>0</v>
      </c>
      <c r="L295" s="143">
        <f t="shared" si="121"/>
        <v>0</v>
      </c>
      <c r="M295" s="143">
        <f t="shared" si="121"/>
        <v>0</v>
      </c>
    </row>
    <row r="296" ht="15.75" hidden="1" customHeight="1" outlineLevel="1">
      <c r="A296" s="142" t="s">
        <v>83</v>
      </c>
      <c r="B296" s="143">
        <f t="shared" ref="B296:M296" si="122">MAX(0,B265*B$228-$N265)</f>
        <v>0</v>
      </c>
      <c r="C296" s="143">
        <f t="shared" si="122"/>
        <v>0</v>
      </c>
      <c r="D296" s="143">
        <f t="shared" si="122"/>
        <v>0</v>
      </c>
      <c r="E296" s="143">
        <f t="shared" si="122"/>
        <v>0</v>
      </c>
      <c r="F296" s="143">
        <f t="shared" si="122"/>
        <v>0</v>
      </c>
      <c r="G296" s="143">
        <f t="shared" si="122"/>
        <v>0</v>
      </c>
      <c r="H296" s="143">
        <f t="shared" si="122"/>
        <v>0</v>
      </c>
      <c r="I296" s="143">
        <f t="shared" si="122"/>
        <v>0</v>
      </c>
      <c r="J296" s="143">
        <f t="shared" si="122"/>
        <v>0</v>
      </c>
      <c r="K296" s="143">
        <f t="shared" si="122"/>
        <v>0</v>
      </c>
      <c r="L296" s="143">
        <f t="shared" si="122"/>
        <v>0</v>
      </c>
      <c r="M296" s="143">
        <f t="shared" si="122"/>
        <v>0</v>
      </c>
    </row>
    <row r="297" ht="15.75" hidden="1" customHeight="1" outlineLevel="1">
      <c r="A297" s="142" t="s">
        <v>84</v>
      </c>
      <c r="B297" s="143">
        <f t="shared" ref="B297:M297" si="123">MAX(0,B266*B$228-$N266)</f>
        <v>0</v>
      </c>
      <c r="C297" s="143">
        <f t="shared" si="123"/>
        <v>0</v>
      </c>
      <c r="D297" s="143">
        <f t="shared" si="123"/>
        <v>0</v>
      </c>
      <c r="E297" s="143">
        <f t="shared" si="123"/>
        <v>0</v>
      </c>
      <c r="F297" s="143">
        <f t="shared" si="123"/>
        <v>0</v>
      </c>
      <c r="G297" s="143">
        <f t="shared" si="123"/>
        <v>0</v>
      </c>
      <c r="H297" s="143">
        <f t="shared" si="123"/>
        <v>0</v>
      </c>
      <c r="I297" s="143">
        <f t="shared" si="123"/>
        <v>0</v>
      </c>
      <c r="J297" s="143">
        <f t="shared" si="123"/>
        <v>0</v>
      </c>
      <c r="K297" s="143">
        <f t="shared" si="123"/>
        <v>0</v>
      </c>
      <c r="L297" s="143">
        <f t="shared" si="123"/>
        <v>0</v>
      </c>
      <c r="M297" s="143">
        <f t="shared" si="123"/>
        <v>0</v>
      </c>
    </row>
    <row r="298" ht="15.75" hidden="1" customHeight="1" outlineLevel="1">
      <c r="A298" s="142" t="s">
        <v>85</v>
      </c>
      <c r="B298" s="143">
        <f t="shared" ref="B298:M298" si="124">MAX(0,B267*B$228-$N267)</f>
        <v>0</v>
      </c>
      <c r="C298" s="143">
        <f t="shared" si="124"/>
        <v>0</v>
      </c>
      <c r="D298" s="143">
        <f t="shared" si="124"/>
        <v>0</v>
      </c>
      <c r="E298" s="143">
        <f t="shared" si="124"/>
        <v>0</v>
      </c>
      <c r="F298" s="143">
        <f t="shared" si="124"/>
        <v>0</v>
      </c>
      <c r="G298" s="143">
        <f t="shared" si="124"/>
        <v>0</v>
      </c>
      <c r="H298" s="143">
        <f t="shared" si="124"/>
        <v>0</v>
      </c>
      <c r="I298" s="143">
        <f t="shared" si="124"/>
        <v>0</v>
      </c>
      <c r="J298" s="143">
        <f t="shared" si="124"/>
        <v>0</v>
      </c>
      <c r="K298" s="143">
        <f t="shared" si="124"/>
        <v>0</v>
      </c>
      <c r="L298" s="143">
        <f t="shared" si="124"/>
        <v>0</v>
      </c>
      <c r="M298" s="143">
        <f t="shared" si="124"/>
        <v>0</v>
      </c>
    </row>
    <row r="299" ht="15.75" customHeight="1"/>
    <row r="300" ht="15.75" customHeight="1"/>
    <row r="301" ht="15.75" customHeight="1">
      <c r="A301" s="45" t="s">
        <v>660</v>
      </c>
      <c r="B301" s="69"/>
      <c r="C301" s="69"/>
      <c r="D301" s="69"/>
      <c r="E301" s="69"/>
      <c r="F301" s="69"/>
      <c r="G301" s="69"/>
      <c r="H301" s="69"/>
      <c r="I301" s="69"/>
      <c r="J301" s="69"/>
      <c r="K301" s="69"/>
      <c r="L301" s="69"/>
      <c r="M301" s="69"/>
      <c r="N301" s="69"/>
    </row>
    <row r="302" ht="15.75" customHeight="1">
      <c r="A302" s="73" t="s">
        <v>270</v>
      </c>
      <c r="B302" s="36">
        <f>'Resumen Capacidad'!D85</f>
        <v>1</v>
      </c>
    </row>
    <row r="303" ht="15.75" customHeight="1">
      <c r="A303" s="30" t="s">
        <v>333</v>
      </c>
      <c r="B303" s="84">
        <f>IF($B$5=1,MAX(MAX(B317:L317),M316),MAX(B317:M317))</f>
        <v>613.287471</v>
      </c>
    </row>
    <row r="304" ht="15.75" customHeight="1">
      <c r="A304" s="73" t="s">
        <v>275</v>
      </c>
      <c r="B304" s="115">
        <f>MIN('Resumen Capacidad'!D$49+'Resumen Capacidad'!D$228+'Resumen Capacidad'!D$235,MAX($B$13,ROUNDUP(B303/$B$11,0)))</f>
        <v>5</v>
      </c>
      <c r="C304" s="22" t="s">
        <v>339</v>
      </c>
    </row>
    <row r="305" ht="15.75" customHeight="1">
      <c r="A305" s="73" t="s">
        <v>284</v>
      </c>
      <c r="B305" s="115">
        <f>IF(B302=2,ROUNDUP(MAX(B323:M323)/$B$11,0),0)</f>
        <v>0</v>
      </c>
      <c r="C305" s="22" t="s">
        <v>341</v>
      </c>
    </row>
    <row r="306" ht="15.75" customHeight="1">
      <c r="A306" s="73" t="s">
        <v>280</v>
      </c>
      <c r="B306" s="115">
        <f>IF(MAX(B333:M333)=0,0,MAX(Parametros!$B$73,ROUNDUP(MAX(B333:M333)/$B$11,0)))</f>
        <v>3</v>
      </c>
      <c r="C306" s="22" t="s">
        <v>345</v>
      </c>
    </row>
    <row r="307" ht="15.75" customHeight="1">
      <c r="A307" s="73" t="s">
        <v>286</v>
      </c>
      <c r="B307" s="115">
        <f>IF(B302=2,MAX(1,ROUNDUP(MAX(B327:M327)/$B$11,0)),0)</f>
        <v>0</v>
      </c>
      <c r="C307" s="22" t="s">
        <v>347</v>
      </c>
    </row>
    <row r="308" ht="15.75" customHeight="1"/>
    <row r="309" ht="15.75" customHeight="1">
      <c r="A309" s="29" t="s">
        <v>188</v>
      </c>
      <c r="B309" s="29" t="s">
        <v>109</v>
      </c>
      <c r="C309" s="29" t="s">
        <v>110</v>
      </c>
      <c r="D309" s="29" t="s">
        <v>111</v>
      </c>
      <c r="E309" s="29" t="s">
        <v>112</v>
      </c>
      <c r="F309" s="29" t="s">
        <v>113</v>
      </c>
      <c r="G309" s="29" t="s">
        <v>114</v>
      </c>
      <c r="H309" s="29" t="s">
        <v>115</v>
      </c>
      <c r="I309" s="29" t="s">
        <v>116</v>
      </c>
      <c r="J309" s="29" t="s">
        <v>117</v>
      </c>
      <c r="K309" s="29" t="s">
        <v>118</v>
      </c>
      <c r="L309" s="29" t="s">
        <v>119</v>
      </c>
      <c r="M309" s="29" t="s">
        <v>120</v>
      </c>
      <c r="N309" s="29" t="s">
        <v>348</v>
      </c>
    </row>
    <row r="310" ht="15.75" customHeight="1">
      <c r="A310" s="30" t="s">
        <v>349</v>
      </c>
      <c r="B310" s="64">
        <f>D$74*B$53</f>
        <v>0</v>
      </c>
      <c r="C310" s="64">
        <f>D$74*C$53</f>
        <v>56.25</v>
      </c>
      <c r="D310" s="64">
        <f>D$74*D$53</f>
        <v>75</v>
      </c>
      <c r="E310" s="64">
        <f>D$74*E$53</f>
        <v>75</v>
      </c>
      <c r="F310" s="64">
        <f>D$74*F$53</f>
        <v>0</v>
      </c>
      <c r="G310" s="64">
        <f>D$74*G$53</f>
        <v>0</v>
      </c>
      <c r="H310" s="64">
        <f>D$74*H$53</f>
        <v>93.75</v>
      </c>
      <c r="I310" s="64">
        <f>D$74*I$53</f>
        <v>0</v>
      </c>
      <c r="J310" s="64">
        <f>D$74*J$53</f>
        <v>0</v>
      </c>
      <c r="K310" s="64">
        <f>D$74*K$53</f>
        <v>37.5</v>
      </c>
      <c r="L310" s="64">
        <f>D$74*L$53</f>
        <v>37.5</v>
      </c>
      <c r="M310" s="64">
        <f>D$74*M$53</f>
        <v>0</v>
      </c>
      <c r="N310" s="84">
        <f t="shared" ref="N310:N333" si="125">MAX(B310:M310)</f>
        <v>93.75</v>
      </c>
    </row>
    <row r="311" ht="15.75" customHeight="1">
      <c r="A311" s="30" t="s">
        <v>359</v>
      </c>
      <c r="B311" s="64">
        <f>D$78*B$53</f>
        <v>0</v>
      </c>
      <c r="C311" s="64">
        <f>D$78*C$53</f>
        <v>0</v>
      </c>
      <c r="D311" s="64">
        <f>D$78*D$53</f>
        <v>0</v>
      </c>
      <c r="E311" s="64">
        <f>D$78*E$53</f>
        <v>0</v>
      </c>
      <c r="F311" s="64">
        <f>D$78*F$53</f>
        <v>0</v>
      </c>
      <c r="G311" s="64">
        <f>D$78*G$53</f>
        <v>0</v>
      </c>
      <c r="H311" s="64">
        <f>D$78*H$53</f>
        <v>0</v>
      </c>
      <c r="I311" s="64">
        <f>D$78*I$53</f>
        <v>0</v>
      </c>
      <c r="J311" s="64">
        <f>D$78*J$53</f>
        <v>0</v>
      </c>
      <c r="K311" s="64">
        <f>D$78*K$53</f>
        <v>0</v>
      </c>
      <c r="L311" s="64">
        <f>D$78*L$53</f>
        <v>0</v>
      </c>
      <c r="M311" s="64">
        <f>D$78*M$53</f>
        <v>0</v>
      </c>
      <c r="N311" s="84">
        <f t="shared" si="125"/>
        <v>0</v>
      </c>
    </row>
    <row r="312" ht="15.75" customHeight="1">
      <c r="A312" s="30" t="s">
        <v>375</v>
      </c>
      <c r="B312" s="64">
        <f>D$82*B$54</f>
        <v>0</v>
      </c>
      <c r="C312" s="64">
        <f>D$82*C$54</f>
        <v>33.75</v>
      </c>
      <c r="D312" s="64">
        <f>D$82*D$54</f>
        <v>33.75</v>
      </c>
      <c r="E312" s="64">
        <f>D$82*E$54</f>
        <v>33.75</v>
      </c>
      <c r="F312" s="64">
        <f>D$82*F$54</f>
        <v>0</v>
      </c>
      <c r="G312" s="64">
        <f>D$82*G$54</f>
        <v>0</v>
      </c>
      <c r="H312" s="64">
        <f>D$82*H$54</f>
        <v>56.25</v>
      </c>
      <c r="I312" s="64">
        <f>D$82*I$54</f>
        <v>0</v>
      </c>
      <c r="J312" s="64">
        <f>D$82*J$54</f>
        <v>0</v>
      </c>
      <c r="K312" s="64">
        <f>D$82*K$54</f>
        <v>33.75</v>
      </c>
      <c r="L312" s="64">
        <f>D$82*L$54</f>
        <v>33.75</v>
      </c>
      <c r="M312" s="64">
        <f>D$82*M$54</f>
        <v>0</v>
      </c>
      <c r="N312" s="84">
        <f t="shared" si="125"/>
        <v>56.25</v>
      </c>
    </row>
    <row r="313" ht="15.75" customHeight="1">
      <c r="A313" s="30" t="s">
        <v>380</v>
      </c>
      <c r="B313" s="64">
        <f>D$86*B$54</f>
        <v>0</v>
      </c>
      <c r="C313" s="64">
        <f>D$86*C$54</f>
        <v>0</v>
      </c>
      <c r="D313" s="64">
        <f>D$86*D$54</f>
        <v>0</v>
      </c>
      <c r="E313" s="64">
        <f>D$86*E$54</f>
        <v>0</v>
      </c>
      <c r="F313" s="64">
        <f>D$86*F$54</f>
        <v>0</v>
      </c>
      <c r="G313" s="64">
        <f>D$86*G$54</f>
        <v>0</v>
      </c>
      <c r="H313" s="64">
        <f>D$86*H$54</f>
        <v>0</v>
      </c>
      <c r="I313" s="64">
        <f>D$86*I$54</f>
        <v>0</v>
      </c>
      <c r="J313" s="64">
        <f>D$86*J$54</f>
        <v>0</v>
      </c>
      <c r="K313" s="64">
        <f>D$86*K$54</f>
        <v>0</v>
      </c>
      <c r="L313" s="64">
        <f>D$86*L$54</f>
        <v>0</v>
      </c>
      <c r="M313" s="64">
        <f>D$86*M$54</f>
        <v>0</v>
      </c>
      <c r="N313" s="84">
        <f t="shared" si="125"/>
        <v>0</v>
      </c>
    </row>
    <row r="314" ht="15.75" customHeight="1">
      <c r="A314" s="30" t="s">
        <v>382</v>
      </c>
      <c r="B314" s="64">
        <f>'Analisis de operaciones'!C370</f>
        <v>2561.98</v>
      </c>
      <c r="C314" s="64">
        <f>'Analisis de operaciones'!D370</f>
        <v>1962.5</v>
      </c>
      <c r="D314" s="64">
        <f>'Analisis de operaciones'!E370</f>
        <v>1858.375</v>
      </c>
      <c r="E314" s="64">
        <f>'Analisis de operaciones'!F370</f>
        <v>1785.805</v>
      </c>
      <c r="F314" s="64">
        <f>'Analisis de operaciones'!G370</f>
        <v>1672.22</v>
      </c>
      <c r="G314" s="64">
        <f>'Analisis de operaciones'!H370</f>
        <v>1631.205</v>
      </c>
      <c r="H314" s="64">
        <f>'Analisis de operaciones'!I370</f>
        <v>1744.79</v>
      </c>
      <c r="I314" s="64">
        <f>'Analisis de operaciones'!J370</f>
        <v>1744.79</v>
      </c>
      <c r="J314" s="64">
        <f>'Analisis de operaciones'!K370</f>
        <v>1744.79</v>
      </c>
      <c r="K314" s="64">
        <f>'Analisis de operaciones'!L370</f>
        <v>1703.775</v>
      </c>
      <c r="L314" s="64">
        <f>'Analisis de operaciones'!M370</f>
        <v>1662.76</v>
      </c>
      <c r="M314" s="64">
        <f>'Analisis de operaciones'!N370</f>
        <v>2644.01</v>
      </c>
      <c r="N314" s="84">
        <f t="shared" si="125"/>
        <v>2644.01</v>
      </c>
    </row>
    <row r="315" ht="15.75" customHeight="1">
      <c r="A315" s="30" t="s">
        <v>383</v>
      </c>
      <c r="B315" s="64">
        <f t="shared" ref="B315:M315" si="126">SUM(B341:B360)+B370</f>
        <v>585.706221</v>
      </c>
      <c r="C315" s="64">
        <f t="shared" si="126"/>
        <v>451.1404944</v>
      </c>
      <c r="D315" s="64">
        <f t="shared" si="126"/>
        <v>433.2643405</v>
      </c>
      <c r="E315" s="64">
        <f t="shared" si="126"/>
        <v>418.2309648</v>
      </c>
      <c r="F315" s="64">
        <f t="shared" si="126"/>
        <v>392.3260669</v>
      </c>
      <c r="G315" s="64">
        <f t="shared" si="126"/>
        <v>380.5751612</v>
      </c>
      <c r="H315" s="64">
        <f t="shared" si="126"/>
        <v>407.3594427</v>
      </c>
      <c r="I315" s="64">
        <f t="shared" si="126"/>
        <v>407.3594427</v>
      </c>
      <c r="J315" s="64">
        <f t="shared" si="126"/>
        <v>406.9197508</v>
      </c>
      <c r="K315" s="64">
        <f t="shared" si="126"/>
        <v>395.1688451</v>
      </c>
      <c r="L315" s="64">
        <f t="shared" si="126"/>
        <v>383.8576312</v>
      </c>
      <c r="M315" s="64">
        <f t="shared" si="126"/>
        <v>607.0095734</v>
      </c>
      <c r="N315" s="84">
        <f t="shared" si="125"/>
        <v>607.0095734</v>
      </c>
    </row>
    <row r="316" ht="15.75" customHeight="1">
      <c r="A316" s="30" t="s">
        <v>385</v>
      </c>
      <c r="B316" s="64">
        <f t="shared" ref="B316:M316" si="127">SUM(B362:B369)</f>
        <v>27.58125</v>
      </c>
      <c r="C316" s="64">
        <f t="shared" si="127"/>
        <v>24.33639706</v>
      </c>
      <c r="D316" s="64">
        <f t="shared" si="127"/>
        <v>29.20367647</v>
      </c>
      <c r="E316" s="64">
        <f t="shared" si="127"/>
        <v>29.20367647</v>
      </c>
      <c r="F316" s="64">
        <f t="shared" si="127"/>
        <v>29.20367647</v>
      </c>
      <c r="G316" s="64">
        <f t="shared" si="127"/>
        <v>25.95882353</v>
      </c>
      <c r="H316" s="64">
        <f t="shared" si="127"/>
        <v>29.20367647</v>
      </c>
      <c r="I316" s="64">
        <f t="shared" si="127"/>
        <v>29.20367647</v>
      </c>
      <c r="J316" s="64">
        <f t="shared" si="127"/>
        <v>27.58125</v>
      </c>
      <c r="K316" s="64">
        <f t="shared" si="127"/>
        <v>24.33639706</v>
      </c>
      <c r="L316" s="64">
        <f t="shared" si="127"/>
        <v>22.71397059</v>
      </c>
      <c r="M316" s="64">
        <f t="shared" si="127"/>
        <v>25.95882353</v>
      </c>
      <c r="N316" s="84">
        <f t="shared" si="125"/>
        <v>29.20367647</v>
      </c>
    </row>
    <row r="317" ht="15.75" customHeight="1">
      <c r="A317" s="73" t="s">
        <v>386</v>
      </c>
      <c r="B317" s="84">
        <f t="shared" ref="B317:M317" si="128">B315+B316</f>
        <v>613.287471</v>
      </c>
      <c r="C317" s="84">
        <f t="shared" si="128"/>
        <v>475.4768915</v>
      </c>
      <c r="D317" s="84">
        <f t="shared" si="128"/>
        <v>462.468017</v>
      </c>
      <c r="E317" s="84">
        <f t="shared" si="128"/>
        <v>447.4346412</v>
      </c>
      <c r="F317" s="84">
        <f t="shared" si="128"/>
        <v>421.5297434</v>
      </c>
      <c r="G317" s="84">
        <f t="shared" si="128"/>
        <v>406.5339847</v>
      </c>
      <c r="H317" s="84">
        <f t="shared" si="128"/>
        <v>436.5631191</v>
      </c>
      <c r="I317" s="84">
        <f t="shared" si="128"/>
        <v>436.5631191</v>
      </c>
      <c r="J317" s="84">
        <f t="shared" si="128"/>
        <v>434.5010008</v>
      </c>
      <c r="K317" s="84">
        <f t="shared" si="128"/>
        <v>419.5052422</v>
      </c>
      <c r="L317" s="84">
        <f t="shared" si="128"/>
        <v>406.5716018</v>
      </c>
      <c r="M317" s="84">
        <f t="shared" si="128"/>
        <v>632.9683969</v>
      </c>
      <c r="N317" s="84">
        <f t="shared" si="125"/>
        <v>632.9683969</v>
      </c>
    </row>
    <row r="318" ht="15.75" customHeight="1">
      <c r="A318" s="30" t="s">
        <v>388</v>
      </c>
      <c r="B318" s="64">
        <f t="shared" ref="B318:M318" si="129">$B$304*$B$9-B310</f>
        <v>654.75</v>
      </c>
      <c r="C318" s="64">
        <f t="shared" si="129"/>
        <v>598.5</v>
      </c>
      <c r="D318" s="64">
        <f t="shared" si="129"/>
        <v>579.75</v>
      </c>
      <c r="E318" s="64">
        <f t="shared" si="129"/>
        <v>579.75</v>
      </c>
      <c r="F318" s="64">
        <f t="shared" si="129"/>
        <v>654.75</v>
      </c>
      <c r="G318" s="64">
        <f t="shared" si="129"/>
        <v>654.75</v>
      </c>
      <c r="H318" s="64">
        <f t="shared" si="129"/>
        <v>561</v>
      </c>
      <c r="I318" s="64">
        <f t="shared" si="129"/>
        <v>654.75</v>
      </c>
      <c r="J318" s="64">
        <f t="shared" si="129"/>
        <v>654.75</v>
      </c>
      <c r="K318" s="64">
        <f t="shared" si="129"/>
        <v>617.25</v>
      </c>
      <c r="L318" s="64">
        <f t="shared" si="129"/>
        <v>617.25</v>
      </c>
      <c r="M318" s="64">
        <f t="shared" si="129"/>
        <v>654.75</v>
      </c>
      <c r="N318" s="84">
        <f t="shared" si="125"/>
        <v>654.75</v>
      </c>
    </row>
    <row r="319" ht="15.75" customHeight="1">
      <c r="A319" s="30" t="s">
        <v>389</v>
      </c>
      <c r="B319" s="64">
        <f t="shared" ref="B319:M319" si="130">IF(B315=0,0,MAX(0,B318-B317)*B314/B315)</f>
        <v>181.3642511</v>
      </c>
      <c r="C319" s="64">
        <f t="shared" si="130"/>
        <v>535.1611159</v>
      </c>
      <c r="D319" s="64">
        <f t="shared" si="130"/>
        <v>503.0506432</v>
      </c>
      <c r="E319" s="64">
        <f t="shared" si="130"/>
        <v>564.9735413</v>
      </c>
      <c r="F319" s="64">
        <f t="shared" si="130"/>
        <v>994.059815</v>
      </c>
      <c r="G319" s="64">
        <f t="shared" si="130"/>
        <v>1063.892883</v>
      </c>
      <c r="H319" s="64">
        <f t="shared" si="130"/>
        <v>532.9843932</v>
      </c>
      <c r="I319" s="64">
        <f t="shared" si="130"/>
        <v>934.5316396</v>
      </c>
      <c r="J319" s="64">
        <f t="shared" si="130"/>
        <v>944.3833838</v>
      </c>
      <c r="K319" s="64">
        <f t="shared" si="130"/>
        <v>852.5787875</v>
      </c>
      <c r="L319" s="64">
        <f t="shared" si="130"/>
        <v>912.5977577</v>
      </c>
      <c r="M319" s="64">
        <f t="shared" si="130"/>
        <v>94.87622418</v>
      </c>
      <c r="N319" s="84">
        <f t="shared" si="125"/>
        <v>1063.892883</v>
      </c>
    </row>
    <row r="320" ht="15.75" customHeight="1">
      <c r="A320" s="73" t="s">
        <v>390</v>
      </c>
      <c r="B320" s="84">
        <f t="shared" ref="B320:J320" si="131">0</f>
        <v>0</v>
      </c>
      <c r="C320" s="84">
        <f t="shared" si="131"/>
        <v>0</v>
      </c>
      <c r="D320" s="84">
        <f t="shared" si="131"/>
        <v>0</v>
      </c>
      <c r="E320" s="84">
        <f t="shared" si="131"/>
        <v>0</v>
      </c>
      <c r="F320" s="84">
        <f t="shared" si="131"/>
        <v>0</v>
      </c>
      <c r="G320" s="84">
        <f t="shared" si="131"/>
        <v>0</v>
      </c>
      <c r="H320" s="84">
        <f t="shared" si="131"/>
        <v>0</v>
      </c>
      <c r="I320" s="84">
        <f t="shared" si="131"/>
        <v>0</v>
      </c>
      <c r="J320" s="84">
        <f t="shared" si="131"/>
        <v>0</v>
      </c>
      <c r="K320" s="140">
        <f>$B$5*MIN(K319,M314)</f>
        <v>852.5787875</v>
      </c>
      <c r="L320" s="140">
        <f>$B$5*MIN(L319,M314-K320)</f>
        <v>912.5977577</v>
      </c>
      <c r="M320" s="140">
        <f>-(K320+L320)</f>
        <v>-1765.176545</v>
      </c>
      <c r="N320" s="84">
        <f t="shared" si="125"/>
        <v>912.5977577</v>
      </c>
    </row>
    <row r="321" ht="15.75" customHeight="1">
      <c r="A321" s="30" t="s">
        <v>391</v>
      </c>
      <c r="B321" s="133">
        <f t="shared" ref="B321:M321" si="132">IF(B314=0,1,(B314+B320)/B314)</f>
        <v>1</v>
      </c>
      <c r="C321" s="133">
        <f t="shared" si="132"/>
        <v>1</v>
      </c>
      <c r="D321" s="133">
        <f t="shared" si="132"/>
        <v>1</v>
      </c>
      <c r="E321" s="133">
        <f t="shared" si="132"/>
        <v>1</v>
      </c>
      <c r="F321" s="133">
        <f t="shared" si="132"/>
        <v>1</v>
      </c>
      <c r="G321" s="133">
        <f t="shared" si="132"/>
        <v>1</v>
      </c>
      <c r="H321" s="133">
        <f t="shared" si="132"/>
        <v>1</v>
      </c>
      <c r="I321" s="133">
        <f t="shared" si="132"/>
        <v>1</v>
      </c>
      <c r="J321" s="133">
        <f t="shared" si="132"/>
        <v>1</v>
      </c>
      <c r="K321" s="133">
        <f t="shared" si="132"/>
        <v>1.500405739</v>
      </c>
      <c r="L321" s="133">
        <f t="shared" si="132"/>
        <v>1.548845148</v>
      </c>
      <c r="M321" s="133">
        <f t="shared" si="132"/>
        <v>0.3323865851</v>
      </c>
      <c r="N321" s="40">
        <f t="shared" si="125"/>
        <v>1.548845148</v>
      </c>
    </row>
    <row r="322" ht="15.75" customHeight="1">
      <c r="A322" s="73" t="s">
        <v>392</v>
      </c>
      <c r="B322" s="84">
        <f t="shared" ref="B322:M322" si="133">B315*B321+B316</f>
        <v>613.287471</v>
      </c>
      <c r="C322" s="84">
        <f t="shared" si="133"/>
        <v>475.4768915</v>
      </c>
      <c r="D322" s="84">
        <f t="shared" si="133"/>
        <v>462.468017</v>
      </c>
      <c r="E322" s="84">
        <f t="shared" si="133"/>
        <v>447.4346412</v>
      </c>
      <c r="F322" s="84">
        <f t="shared" si="133"/>
        <v>421.5297434</v>
      </c>
      <c r="G322" s="84">
        <f t="shared" si="133"/>
        <v>406.5339847</v>
      </c>
      <c r="H322" s="84">
        <f t="shared" si="133"/>
        <v>436.5631191</v>
      </c>
      <c r="I322" s="84">
        <f t="shared" si="133"/>
        <v>436.5631191</v>
      </c>
      <c r="J322" s="84">
        <f t="shared" si="133"/>
        <v>434.5010008</v>
      </c>
      <c r="K322" s="84">
        <f t="shared" si="133"/>
        <v>617.25</v>
      </c>
      <c r="L322" s="84">
        <f t="shared" si="133"/>
        <v>617.25</v>
      </c>
      <c r="M322" s="84">
        <f t="shared" si="133"/>
        <v>227.7206627</v>
      </c>
      <c r="N322" s="84">
        <f t="shared" si="125"/>
        <v>617.25</v>
      </c>
    </row>
    <row r="323" ht="15.75" customHeight="1">
      <c r="A323" s="30" t="s">
        <v>393</v>
      </c>
      <c r="B323" s="64">
        <f t="shared" ref="B323:M323" si="134">IF($B$302=2,MAX(SUM(B372:B391),B322-($B$304*$B$11-B310)),0)</f>
        <v>0</v>
      </c>
      <c r="C323" s="64">
        <f t="shared" si="134"/>
        <v>0</v>
      </c>
      <c r="D323" s="64">
        <f t="shared" si="134"/>
        <v>0</v>
      </c>
      <c r="E323" s="64">
        <f t="shared" si="134"/>
        <v>0</v>
      </c>
      <c r="F323" s="64">
        <f t="shared" si="134"/>
        <v>0</v>
      </c>
      <c r="G323" s="64">
        <f t="shared" si="134"/>
        <v>0</v>
      </c>
      <c r="H323" s="64">
        <f t="shared" si="134"/>
        <v>0</v>
      </c>
      <c r="I323" s="64">
        <f t="shared" si="134"/>
        <v>0</v>
      </c>
      <c r="J323" s="64">
        <f t="shared" si="134"/>
        <v>0</v>
      </c>
      <c r="K323" s="64">
        <f t="shared" si="134"/>
        <v>0</v>
      </c>
      <c r="L323" s="64">
        <f t="shared" si="134"/>
        <v>0</v>
      </c>
      <c r="M323" s="64">
        <f t="shared" si="134"/>
        <v>0</v>
      </c>
      <c r="N323" s="84">
        <f t="shared" si="125"/>
        <v>0</v>
      </c>
    </row>
    <row r="324" ht="15.75" customHeight="1">
      <c r="A324" s="30" t="s">
        <v>394</v>
      </c>
      <c r="B324" s="64">
        <f t="shared" ref="B324:M324" si="135">MAX(0,B318-(B322-B323))</f>
        <v>41.46252903</v>
      </c>
      <c r="C324" s="64">
        <f t="shared" si="135"/>
        <v>123.0231085</v>
      </c>
      <c r="D324" s="64">
        <f t="shared" si="135"/>
        <v>117.281983</v>
      </c>
      <c r="E324" s="64">
        <f t="shared" si="135"/>
        <v>132.3153588</v>
      </c>
      <c r="F324" s="64">
        <f t="shared" si="135"/>
        <v>233.2202566</v>
      </c>
      <c r="G324" s="64">
        <f t="shared" si="135"/>
        <v>248.2160153</v>
      </c>
      <c r="H324" s="64">
        <f t="shared" si="135"/>
        <v>124.4368809</v>
      </c>
      <c r="I324" s="64">
        <f t="shared" si="135"/>
        <v>218.1868809</v>
      </c>
      <c r="J324" s="64">
        <f t="shared" si="135"/>
        <v>220.2489992</v>
      </c>
      <c r="K324" s="64">
        <f t="shared" si="135"/>
        <v>0</v>
      </c>
      <c r="L324" s="64">
        <f t="shared" si="135"/>
        <v>0</v>
      </c>
      <c r="M324" s="64">
        <f t="shared" si="135"/>
        <v>427.0293373</v>
      </c>
      <c r="N324" s="84">
        <f t="shared" si="125"/>
        <v>427.0293373</v>
      </c>
    </row>
    <row r="325" ht="15.75" customHeight="1">
      <c r="A325" s="73" t="s">
        <v>395</v>
      </c>
      <c r="B325" s="84">
        <f>'Analisis Recargas'!C167</f>
        <v>473.1857989</v>
      </c>
      <c r="C325" s="84">
        <f>'Analisis Recargas'!D167</f>
        <v>392.4609061</v>
      </c>
      <c r="D325" s="84">
        <f>'Analisis Recargas'!E167</f>
        <v>405.3065204</v>
      </c>
      <c r="E325" s="84">
        <f>'Analisis Recargas'!F167</f>
        <v>393.6156631</v>
      </c>
      <c r="F325" s="84">
        <f>'Analisis Recargas'!G167</f>
        <v>380.7700489</v>
      </c>
      <c r="G325" s="84">
        <f>'Analisis Recargas'!H167</f>
        <v>367.9244346</v>
      </c>
      <c r="H325" s="84">
        <f>'Analisis Recargas'!I167</f>
        <v>394.7704202</v>
      </c>
      <c r="I325" s="84">
        <f>'Analisis Recargas'!J167</f>
        <v>404.1517634</v>
      </c>
      <c r="J325" s="84">
        <f>'Analisis Recargas'!K167</f>
        <v>404.1517634</v>
      </c>
      <c r="K325" s="84">
        <f>'Analisis Recargas'!L167</f>
        <v>392.4609061</v>
      </c>
      <c r="L325" s="84">
        <f>'Analisis Recargas'!M167</f>
        <v>391.3061491</v>
      </c>
      <c r="M325" s="84">
        <f>'Analisis Recargas'!N167</f>
        <v>565.5707595</v>
      </c>
      <c r="N325" s="84">
        <f t="shared" si="125"/>
        <v>565.5707595</v>
      </c>
    </row>
    <row r="326" ht="15.75" customHeight="1">
      <c r="A326" s="30" t="s">
        <v>396</v>
      </c>
      <c r="B326" s="64">
        <f>IFERROR(B325*'Analisis Recargas'!C116*'Almacen PT'!$B$10/SUM('Analisis Recargas'!C116:C132),0)</f>
        <v>71.90010055</v>
      </c>
      <c r="C326" s="64">
        <f>IFERROR(C325*'Analisis Recargas'!D116*'Almacen PT'!$B$10/SUM('Analisis Recargas'!D116:D132),0)</f>
        <v>56.06188624</v>
      </c>
      <c r="D326" s="64">
        <f>IFERROR(D325*'Analisis Recargas'!E116*'Almacen PT'!$B$10/SUM('Analisis Recargas'!E116:E132),0)</f>
        <v>56.06138376</v>
      </c>
      <c r="E326" s="64">
        <f>IFERROR(E325*'Analisis Recargas'!F116*'Almacen PT'!$B$10/SUM('Analisis Recargas'!F116:F132),0)</f>
        <v>56.07337119</v>
      </c>
      <c r="F326" s="64">
        <f>IFERROR(F325*'Analisis Recargas'!G116*'Almacen PT'!$B$10/SUM('Analisis Recargas'!G116:G132),0)</f>
        <v>56.07429382</v>
      </c>
      <c r="G326" s="64">
        <f>IFERROR(G325*'Analisis Recargas'!H116*'Almacen PT'!$B$10/SUM('Analisis Recargas'!H116:H132),0)</f>
        <v>56.0752809</v>
      </c>
      <c r="H326" s="64">
        <f>IFERROR(H325*'Analisis Recargas'!I116*'Almacen PT'!$B$10/SUM('Analisis Recargas'!I116:I132),0)</f>
        <v>56.08479361</v>
      </c>
      <c r="I326" s="64">
        <f>IFERROR(I325*'Analisis Recargas'!J116*'Almacen PT'!$B$10/SUM('Analisis Recargas'!J116:J132),0)</f>
        <v>56.05020151</v>
      </c>
      <c r="J326" s="64">
        <f>IFERROR(J325*'Analisis Recargas'!K116*'Almacen PT'!$B$10/SUM('Analisis Recargas'!K116:K132),0)</f>
        <v>56.05020151</v>
      </c>
      <c r="K326" s="64">
        <f>IFERROR(K325*'Analisis Recargas'!L116*'Almacen PT'!$B$10/SUM('Analisis Recargas'!L116:L132),0)</f>
        <v>56.06188624</v>
      </c>
      <c r="L326" s="64">
        <f>IFERROR(L325*'Analisis Recargas'!M116*'Almacen PT'!$B$10/SUM('Analisis Recargas'!M116:M132),0)</f>
        <v>56.05033825</v>
      </c>
      <c r="M326" s="64">
        <f>IFERROR(M325*'Analisis Recargas'!N116*'Almacen PT'!$B$10/SUM('Analisis Recargas'!N116:N132),0)</f>
        <v>86.20135291</v>
      </c>
      <c r="N326" s="84">
        <f t="shared" si="125"/>
        <v>86.20135291</v>
      </c>
    </row>
    <row r="327" ht="15.75" customHeight="1">
      <c r="A327" s="30" t="s">
        <v>397</v>
      </c>
      <c r="B327" s="64">
        <f t="shared" ref="B327:M327" si="136">IF($B$302=2,B326*$B$15,0)</f>
        <v>0</v>
      </c>
      <c r="C327" s="64">
        <f t="shared" si="136"/>
        <v>0</v>
      </c>
      <c r="D327" s="64">
        <f t="shared" si="136"/>
        <v>0</v>
      </c>
      <c r="E327" s="64">
        <f t="shared" si="136"/>
        <v>0</v>
      </c>
      <c r="F327" s="64">
        <f t="shared" si="136"/>
        <v>0</v>
      </c>
      <c r="G327" s="64">
        <f t="shared" si="136"/>
        <v>0</v>
      </c>
      <c r="H327" s="64">
        <f t="shared" si="136"/>
        <v>0</v>
      </c>
      <c r="I327" s="64">
        <f t="shared" si="136"/>
        <v>0</v>
      </c>
      <c r="J327" s="64">
        <f t="shared" si="136"/>
        <v>0</v>
      </c>
      <c r="K327" s="64">
        <f t="shared" si="136"/>
        <v>0</v>
      </c>
      <c r="L327" s="64">
        <f t="shared" si="136"/>
        <v>0</v>
      </c>
      <c r="M327" s="64">
        <f t="shared" si="136"/>
        <v>0</v>
      </c>
      <c r="N327" s="84">
        <f t="shared" si="125"/>
        <v>0</v>
      </c>
    </row>
    <row r="328" ht="15.75" customHeight="1">
      <c r="A328" s="30" t="s">
        <v>399</v>
      </c>
      <c r="B328" s="64">
        <f t="shared" ref="B328:M328" si="137">MAX(0,B325-B327-$B$6*B324)</f>
        <v>435.8695228</v>
      </c>
      <c r="C328" s="64">
        <f t="shared" si="137"/>
        <v>281.7401085</v>
      </c>
      <c r="D328" s="64">
        <f t="shared" si="137"/>
        <v>299.7527357</v>
      </c>
      <c r="E328" s="64">
        <f t="shared" si="137"/>
        <v>274.5318403</v>
      </c>
      <c r="F328" s="64">
        <f t="shared" si="137"/>
        <v>170.8718179</v>
      </c>
      <c r="G328" s="64">
        <f t="shared" si="137"/>
        <v>144.5300209</v>
      </c>
      <c r="H328" s="64">
        <f t="shared" si="137"/>
        <v>282.7772274</v>
      </c>
      <c r="I328" s="64">
        <f t="shared" si="137"/>
        <v>207.7835706</v>
      </c>
      <c r="J328" s="64">
        <f t="shared" si="137"/>
        <v>205.9276641</v>
      </c>
      <c r="K328" s="64">
        <f t="shared" si="137"/>
        <v>392.4609061</v>
      </c>
      <c r="L328" s="64">
        <f t="shared" si="137"/>
        <v>391.3061491</v>
      </c>
      <c r="M328" s="64">
        <f t="shared" si="137"/>
        <v>181.244356</v>
      </c>
      <c r="N328" s="84">
        <f t="shared" si="125"/>
        <v>435.8695228</v>
      </c>
    </row>
    <row r="329" ht="15.75" customHeight="1">
      <c r="A329" s="30" t="s">
        <v>400</v>
      </c>
      <c r="B329" s="64">
        <f t="shared" ref="B329:M329" si="138">MAX(0,$B$307*$B$9-B313-B327)</f>
        <v>0</v>
      </c>
      <c r="C329" s="64">
        <f t="shared" si="138"/>
        <v>0</v>
      </c>
      <c r="D329" s="64">
        <f t="shared" si="138"/>
        <v>0</v>
      </c>
      <c r="E329" s="64">
        <f t="shared" si="138"/>
        <v>0</v>
      </c>
      <c r="F329" s="64">
        <f t="shared" si="138"/>
        <v>0</v>
      </c>
      <c r="G329" s="64">
        <f t="shared" si="138"/>
        <v>0</v>
      </c>
      <c r="H329" s="64">
        <f t="shared" si="138"/>
        <v>0</v>
      </c>
      <c r="I329" s="64">
        <f t="shared" si="138"/>
        <v>0</v>
      </c>
      <c r="J329" s="64">
        <f t="shared" si="138"/>
        <v>0</v>
      </c>
      <c r="K329" s="64">
        <f t="shared" si="138"/>
        <v>0</v>
      </c>
      <c r="L329" s="64">
        <f t="shared" si="138"/>
        <v>0</v>
      </c>
      <c r="M329" s="64">
        <f t="shared" si="138"/>
        <v>0</v>
      </c>
      <c r="N329" s="84">
        <f t="shared" si="125"/>
        <v>0</v>
      </c>
    </row>
    <row r="330" ht="15.75" customHeight="1">
      <c r="A330" s="30" t="s">
        <v>401</v>
      </c>
      <c r="B330" s="64">
        <f t="shared" ref="B330:M330" si="139">MIN(B328,B329)</f>
        <v>0</v>
      </c>
      <c r="C330" s="64">
        <f t="shared" si="139"/>
        <v>0</v>
      </c>
      <c r="D330" s="64">
        <f t="shared" si="139"/>
        <v>0</v>
      </c>
      <c r="E330" s="64">
        <f t="shared" si="139"/>
        <v>0</v>
      </c>
      <c r="F330" s="64">
        <f t="shared" si="139"/>
        <v>0</v>
      </c>
      <c r="G330" s="64">
        <f t="shared" si="139"/>
        <v>0</v>
      </c>
      <c r="H330" s="64">
        <f t="shared" si="139"/>
        <v>0</v>
      </c>
      <c r="I330" s="64">
        <f t="shared" si="139"/>
        <v>0</v>
      </c>
      <c r="J330" s="64">
        <f t="shared" si="139"/>
        <v>0</v>
      </c>
      <c r="K330" s="64">
        <f t="shared" si="139"/>
        <v>0</v>
      </c>
      <c r="L330" s="64">
        <f t="shared" si="139"/>
        <v>0</v>
      </c>
      <c r="M330" s="64">
        <f t="shared" si="139"/>
        <v>0</v>
      </c>
      <c r="N330" s="84">
        <f t="shared" si="125"/>
        <v>0</v>
      </c>
    </row>
    <row r="331" ht="15.75" customHeight="1">
      <c r="A331" s="30" t="s">
        <v>403</v>
      </c>
      <c r="B331" s="64">
        <f t="shared" ref="B331:M331" si="140">MAX(0,$B$305*$B$9-B311-B323)</f>
        <v>0</v>
      </c>
      <c r="C331" s="64">
        <f t="shared" si="140"/>
        <v>0</v>
      </c>
      <c r="D331" s="64">
        <f t="shared" si="140"/>
        <v>0</v>
      </c>
      <c r="E331" s="64">
        <f t="shared" si="140"/>
        <v>0</v>
      </c>
      <c r="F331" s="64">
        <f t="shared" si="140"/>
        <v>0</v>
      </c>
      <c r="G331" s="64">
        <f t="shared" si="140"/>
        <v>0</v>
      </c>
      <c r="H331" s="64">
        <f t="shared" si="140"/>
        <v>0</v>
      </c>
      <c r="I331" s="64">
        <f t="shared" si="140"/>
        <v>0</v>
      </c>
      <c r="J331" s="64">
        <f t="shared" si="140"/>
        <v>0</v>
      </c>
      <c r="K331" s="64">
        <f t="shared" si="140"/>
        <v>0</v>
      </c>
      <c r="L331" s="64">
        <f t="shared" si="140"/>
        <v>0</v>
      </c>
      <c r="M331" s="64">
        <f t="shared" si="140"/>
        <v>0</v>
      </c>
      <c r="N331" s="84">
        <f t="shared" si="125"/>
        <v>0</v>
      </c>
    </row>
    <row r="332" ht="15.75" customHeight="1">
      <c r="A332" s="30" t="s">
        <v>404</v>
      </c>
      <c r="B332" s="64">
        <f t="shared" ref="B332:M332" si="141">MIN(B328-B330,$B$6*B331)</f>
        <v>0</v>
      </c>
      <c r="C332" s="64">
        <f t="shared" si="141"/>
        <v>0</v>
      </c>
      <c r="D332" s="64">
        <f t="shared" si="141"/>
        <v>0</v>
      </c>
      <c r="E332" s="64">
        <f t="shared" si="141"/>
        <v>0</v>
      </c>
      <c r="F332" s="64">
        <f t="shared" si="141"/>
        <v>0</v>
      </c>
      <c r="G332" s="64">
        <f t="shared" si="141"/>
        <v>0</v>
      </c>
      <c r="H332" s="64">
        <f t="shared" si="141"/>
        <v>0</v>
      </c>
      <c r="I332" s="64">
        <f t="shared" si="141"/>
        <v>0</v>
      </c>
      <c r="J332" s="64">
        <f t="shared" si="141"/>
        <v>0</v>
      </c>
      <c r="K332" s="64">
        <f t="shared" si="141"/>
        <v>0</v>
      </c>
      <c r="L332" s="64">
        <f t="shared" si="141"/>
        <v>0</v>
      </c>
      <c r="M332" s="64">
        <f t="shared" si="141"/>
        <v>0</v>
      </c>
      <c r="N332" s="84">
        <f t="shared" si="125"/>
        <v>0</v>
      </c>
    </row>
    <row r="333" ht="15.75" customHeight="1">
      <c r="A333" s="30" t="s">
        <v>405</v>
      </c>
      <c r="B333" s="64">
        <f t="shared" ref="B333:M333" si="142">B328-B330-B332</f>
        <v>435.8695228</v>
      </c>
      <c r="C333" s="64">
        <f t="shared" si="142"/>
        <v>281.7401085</v>
      </c>
      <c r="D333" s="64">
        <f t="shared" si="142"/>
        <v>299.7527357</v>
      </c>
      <c r="E333" s="64">
        <f t="shared" si="142"/>
        <v>274.5318403</v>
      </c>
      <c r="F333" s="64">
        <f t="shared" si="142"/>
        <v>170.8718179</v>
      </c>
      <c r="G333" s="64">
        <f t="shared" si="142"/>
        <v>144.5300209</v>
      </c>
      <c r="H333" s="64">
        <f t="shared" si="142"/>
        <v>282.7772274</v>
      </c>
      <c r="I333" s="64">
        <f t="shared" si="142"/>
        <v>207.7835706</v>
      </c>
      <c r="J333" s="64">
        <f t="shared" si="142"/>
        <v>205.9276641</v>
      </c>
      <c r="K333" s="64">
        <f t="shared" si="142"/>
        <v>392.4609061</v>
      </c>
      <c r="L333" s="64">
        <f t="shared" si="142"/>
        <v>391.3061491</v>
      </c>
      <c r="M333" s="64">
        <f t="shared" si="142"/>
        <v>181.244356</v>
      </c>
      <c r="N333" s="84">
        <f t="shared" si="125"/>
        <v>435.8695228</v>
      </c>
    </row>
    <row r="334" ht="15.75" customHeight="1">
      <c r="A334" s="30" t="s">
        <v>406</v>
      </c>
      <c r="B334" s="64">
        <f t="shared" ref="B334:M334" si="143">MAX(0,B322-B323-B318)</f>
        <v>0</v>
      </c>
      <c r="C334" s="64">
        <f t="shared" si="143"/>
        <v>0</v>
      </c>
      <c r="D334" s="64">
        <f t="shared" si="143"/>
        <v>0</v>
      </c>
      <c r="E334" s="64">
        <f t="shared" si="143"/>
        <v>0</v>
      </c>
      <c r="F334" s="64">
        <f t="shared" si="143"/>
        <v>0</v>
      </c>
      <c r="G334" s="64">
        <f t="shared" si="143"/>
        <v>0</v>
      </c>
      <c r="H334" s="64">
        <f t="shared" si="143"/>
        <v>0</v>
      </c>
      <c r="I334" s="64">
        <f t="shared" si="143"/>
        <v>0</v>
      </c>
      <c r="J334" s="64">
        <f t="shared" si="143"/>
        <v>0</v>
      </c>
      <c r="K334" s="64">
        <f t="shared" si="143"/>
        <v>0</v>
      </c>
      <c r="L334" s="64">
        <f t="shared" si="143"/>
        <v>0</v>
      </c>
      <c r="M334" s="64">
        <f t="shared" si="143"/>
        <v>0</v>
      </c>
      <c r="N334" s="84">
        <f t="shared" ref="N334:N338" si="145">SUM(B334:M334)</f>
        <v>0</v>
      </c>
    </row>
    <row r="335" ht="15.75" customHeight="1">
      <c r="A335" s="30" t="s">
        <v>408</v>
      </c>
      <c r="B335" s="64">
        <f t="shared" ref="B335:M335" si="144">MAX(0,B323-($B$305*$B$9-B311))</f>
        <v>0</v>
      </c>
      <c r="C335" s="64">
        <f t="shared" si="144"/>
        <v>0</v>
      </c>
      <c r="D335" s="64">
        <f t="shared" si="144"/>
        <v>0</v>
      </c>
      <c r="E335" s="64">
        <f t="shared" si="144"/>
        <v>0</v>
      </c>
      <c r="F335" s="64">
        <f t="shared" si="144"/>
        <v>0</v>
      </c>
      <c r="G335" s="64">
        <f t="shared" si="144"/>
        <v>0</v>
      </c>
      <c r="H335" s="64">
        <f t="shared" si="144"/>
        <v>0</v>
      </c>
      <c r="I335" s="64">
        <f t="shared" si="144"/>
        <v>0</v>
      </c>
      <c r="J335" s="64">
        <f t="shared" si="144"/>
        <v>0</v>
      </c>
      <c r="K335" s="64">
        <f t="shared" si="144"/>
        <v>0</v>
      </c>
      <c r="L335" s="64">
        <f t="shared" si="144"/>
        <v>0</v>
      </c>
      <c r="M335" s="64">
        <f t="shared" si="144"/>
        <v>0</v>
      </c>
      <c r="N335" s="84">
        <f t="shared" si="145"/>
        <v>0</v>
      </c>
    </row>
    <row r="336" ht="15.75" customHeight="1">
      <c r="A336" s="30" t="s">
        <v>409</v>
      </c>
      <c r="B336" s="64">
        <f t="shared" ref="B336:M336" si="146">MAX(0,B333-($B$306*$B$9-B312))</f>
        <v>43.01952276</v>
      </c>
      <c r="C336" s="64">
        <f t="shared" si="146"/>
        <v>0</v>
      </c>
      <c r="D336" s="64">
        <f t="shared" si="146"/>
        <v>0</v>
      </c>
      <c r="E336" s="64">
        <f t="shared" si="146"/>
        <v>0</v>
      </c>
      <c r="F336" s="64">
        <f t="shared" si="146"/>
        <v>0</v>
      </c>
      <c r="G336" s="64">
        <f t="shared" si="146"/>
        <v>0</v>
      </c>
      <c r="H336" s="64">
        <f t="shared" si="146"/>
        <v>0</v>
      </c>
      <c r="I336" s="64">
        <f t="shared" si="146"/>
        <v>0</v>
      </c>
      <c r="J336" s="64">
        <f t="shared" si="146"/>
        <v>0</v>
      </c>
      <c r="K336" s="64">
        <f t="shared" si="146"/>
        <v>33.36090613</v>
      </c>
      <c r="L336" s="64">
        <f t="shared" si="146"/>
        <v>32.20614913</v>
      </c>
      <c r="M336" s="64">
        <f t="shared" si="146"/>
        <v>0</v>
      </c>
      <c r="N336" s="84">
        <f t="shared" si="145"/>
        <v>108.586578</v>
      </c>
    </row>
    <row r="337" ht="15.75" customHeight="1">
      <c r="A337" s="30" t="s">
        <v>410</v>
      </c>
      <c r="B337" s="64">
        <f t="shared" ref="B337:M337" si="147">MAX(0,B327-($B$307*$B$9-B313))</f>
        <v>0</v>
      </c>
      <c r="C337" s="64">
        <f t="shared" si="147"/>
        <v>0</v>
      </c>
      <c r="D337" s="64">
        <f t="shared" si="147"/>
        <v>0</v>
      </c>
      <c r="E337" s="64">
        <f t="shared" si="147"/>
        <v>0</v>
      </c>
      <c r="F337" s="64">
        <f t="shared" si="147"/>
        <v>0</v>
      </c>
      <c r="G337" s="64">
        <f t="shared" si="147"/>
        <v>0</v>
      </c>
      <c r="H337" s="64">
        <f t="shared" si="147"/>
        <v>0</v>
      </c>
      <c r="I337" s="64">
        <f t="shared" si="147"/>
        <v>0</v>
      </c>
      <c r="J337" s="64">
        <f t="shared" si="147"/>
        <v>0</v>
      </c>
      <c r="K337" s="64">
        <f t="shared" si="147"/>
        <v>0</v>
      </c>
      <c r="L337" s="64">
        <f t="shared" si="147"/>
        <v>0</v>
      </c>
      <c r="M337" s="64">
        <f t="shared" si="147"/>
        <v>0</v>
      </c>
      <c r="N337" s="84">
        <f t="shared" si="145"/>
        <v>0</v>
      </c>
    </row>
    <row r="338" ht="15.75" customHeight="1">
      <c r="A338" s="73" t="s">
        <v>411</v>
      </c>
      <c r="B338" s="84">
        <f t="shared" ref="B338:M338" si="148">B334+B335+B336+B337</f>
        <v>43.01952276</v>
      </c>
      <c r="C338" s="84">
        <f t="shared" si="148"/>
        <v>0</v>
      </c>
      <c r="D338" s="84">
        <f t="shared" si="148"/>
        <v>0</v>
      </c>
      <c r="E338" s="84">
        <f t="shared" si="148"/>
        <v>0</v>
      </c>
      <c r="F338" s="84">
        <f t="shared" si="148"/>
        <v>0</v>
      </c>
      <c r="G338" s="84">
        <f t="shared" si="148"/>
        <v>0</v>
      </c>
      <c r="H338" s="84">
        <f t="shared" si="148"/>
        <v>0</v>
      </c>
      <c r="I338" s="84">
        <f t="shared" si="148"/>
        <v>0</v>
      </c>
      <c r="J338" s="84">
        <f t="shared" si="148"/>
        <v>0</v>
      </c>
      <c r="K338" s="84">
        <f t="shared" si="148"/>
        <v>33.36090613</v>
      </c>
      <c r="L338" s="84">
        <f t="shared" si="148"/>
        <v>32.20614913</v>
      </c>
      <c r="M338" s="84">
        <f t="shared" si="148"/>
        <v>0</v>
      </c>
      <c r="N338" s="84">
        <f t="shared" si="145"/>
        <v>108.586578</v>
      </c>
    </row>
    <row r="339" ht="15.75" customHeight="1">
      <c r="A339" s="30" t="s">
        <v>412</v>
      </c>
      <c r="B339" s="64">
        <f t="shared" ref="B339:M339" si="149">IFERROR(B338/($B$304+$B$306+$B$305+$B$307),0)</f>
        <v>5.377440345</v>
      </c>
      <c r="C339" s="64">
        <f t="shared" si="149"/>
        <v>0</v>
      </c>
      <c r="D339" s="64">
        <f t="shared" si="149"/>
        <v>0</v>
      </c>
      <c r="E339" s="64">
        <f t="shared" si="149"/>
        <v>0</v>
      </c>
      <c r="F339" s="64">
        <f t="shared" si="149"/>
        <v>0</v>
      </c>
      <c r="G339" s="64">
        <f t="shared" si="149"/>
        <v>0</v>
      </c>
      <c r="H339" s="64">
        <f t="shared" si="149"/>
        <v>0</v>
      </c>
      <c r="I339" s="64">
        <f t="shared" si="149"/>
        <v>0</v>
      </c>
      <c r="J339" s="64">
        <f t="shared" si="149"/>
        <v>0</v>
      </c>
      <c r="K339" s="64">
        <f t="shared" si="149"/>
        <v>4.170113267</v>
      </c>
      <c r="L339" s="64">
        <f t="shared" si="149"/>
        <v>4.025768641</v>
      </c>
      <c r="M339" s="64">
        <f t="shared" si="149"/>
        <v>0</v>
      </c>
      <c r="N339" s="84">
        <f>MAX(B339:M339)</f>
        <v>5.377440345</v>
      </c>
    </row>
    <row r="340" ht="15.75" customHeight="1">
      <c r="A340" s="141" t="s">
        <v>413</v>
      </c>
    </row>
    <row r="341" ht="15.75" hidden="1" customHeight="1" outlineLevel="1">
      <c r="A341" s="142" t="s">
        <v>26</v>
      </c>
      <c r="B341" s="143">
        <f>'Analisis de operaciones'!C370/'Analisis de operaciones'!C374*$O341</f>
        <v>37.67617647</v>
      </c>
      <c r="C341" s="143">
        <f>'Analisis de operaciones'!D370/'Analisis de operaciones'!D374*$O341</f>
        <v>28.86029412</v>
      </c>
      <c r="D341" s="143">
        <f>'Analisis de operaciones'!E370/'Analisis de operaciones'!E374*$O341</f>
        <v>27.32904412</v>
      </c>
      <c r="E341" s="143">
        <f>'Analisis de operaciones'!F370/'Analisis de operaciones'!F374*$O341</f>
        <v>26.26183824</v>
      </c>
      <c r="F341" s="143">
        <f>'Analisis de operaciones'!G370/'Analisis de operaciones'!G374*$O341</f>
        <v>24.59147059</v>
      </c>
      <c r="G341" s="143">
        <f>'Analisis de operaciones'!H370/'Analisis de operaciones'!H374*$O341</f>
        <v>23.98830882</v>
      </c>
      <c r="H341" s="143">
        <f>'Analisis de operaciones'!I370/'Analisis de operaciones'!I374*$O341</f>
        <v>25.65867647</v>
      </c>
      <c r="I341" s="143">
        <f>'Analisis de operaciones'!J370/'Analisis de operaciones'!J374*$O341</f>
        <v>25.65867647</v>
      </c>
      <c r="J341" s="143">
        <f>'Analisis de operaciones'!K370/'Analisis de operaciones'!K374*$O341</f>
        <v>25.65867647</v>
      </c>
      <c r="K341" s="143">
        <f>'Analisis de operaciones'!L370/'Analisis de operaciones'!L374*$O341</f>
        <v>25.05551471</v>
      </c>
      <c r="L341" s="143">
        <f>'Analisis de operaciones'!M370/'Analisis de operaciones'!M374*$O341</f>
        <v>24.45235294</v>
      </c>
      <c r="M341" s="143">
        <f>'Analisis de operaciones'!N370/'Analisis de operaciones'!N374*$O341</f>
        <v>38.8825</v>
      </c>
      <c r="N341" s="143">
        <f>'Resumen Capacidad'!$D$29*$B$8*$O341</f>
        <v>150</v>
      </c>
      <c r="O341" s="144">
        <f>$B$18</f>
        <v>1</v>
      </c>
    </row>
    <row r="342" ht="15.75" hidden="1" customHeight="1" outlineLevel="1">
      <c r="A342" s="142" t="s">
        <v>55</v>
      </c>
      <c r="B342" s="143">
        <f>'Analisis de operaciones'!C380/'Analisis de operaciones'!C384*$O342</f>
        <v>62.67074364</v>
      </c>
      <c r="C342" s="143">
        <f>'Analisis de operaciones'!D380/'Analisis de operaciones'!D384*$O342</f>
        <v>48.00636008</v>
      </c>
      <c r="D342" s="143">
        <f>'Analisis de operaciones'!E380/'Analisis de operaciones'!E384*$O342</f>
        <v>45.45927104</v>
      </c>
      <c r="E342" s="143">
        <f>'Analisis de operaciones'!F380/'Analisis de operaciones'!F384*$O342</f>
        <v>43.68407534</v>
      </c>
      <c r="F342" s="143">
        <f>'Analisis de operaciones'!G380/'Analisis de operaciones'!G384*$O342</f>
        <v>40.9055773</v>
      </c>
      <c r="G342" s="143">
        <f>'Analisis de operaciones'!H380/'Analisis de operaciones'!H384*$O342</f>
        <v>39.90227495</v>
      </c>
      <c r="H342" s="143">
        <f>'Analisis de operaciones'!I380/'Analisis de operaciones'!I384*$O342</f>
        <v>42.68077299</v>
      </c>
      <c r="I342" s="143">
        <f>'Analisis de operaciones'!J380/'Analisis de operaciones'!J384*$O342</f>
        <v>42.68077299</v>
      </c>
      <c r="J342" s="143">
        <f>'Analisis de operaciones'!K380/'Analisis de operaciones'!K384*$O342</f>
        <v>42.68077299</v>
      </c>
      <c r="K342" s="143">
        <f>'Analisis de operaciones'!L380/'Analisis de operaciones'!L384*$O342</f>
        <v>41.67747065</v>
      </c>
      <c r="L342" s="143">
        <f>'Analisis de operaciones'!M380/'Analisis de operaciones'!M384*$O342</f>
        <v>40.6741683</v>
      </c>
      <c r="M342" s="143">
        <f>'Analisis de operaciones'!N380/'Analisis de operaciones'!N384*$O342</f>
        <v>64.67734834</v>
      </c>
      <c r="N342" s="143">
        <f>'Resumen Capacidad'!$D$30*$B$8*$O342</f>
        <v>150</v>
      </c>
      <c r="O342" s="144">
        <f>IF('Resumen Capacidad'!$D$55="Automática",$C$19,$B$19)</f>
        <v>1</v>
      </c>
    </row>
    <row r="343" ht="15.75" hidden="1" customHeight="1" outlineLevel="1">
      <c r="A343" s="142" t="s">
        <v>61</v>
      </c>
      <c r="B343" s="143">
        <f>'Analisis de operaciones'!C390/'Analisis de operaciones'!C394*$O343</f>
        <v>10.98356331</v>
      </c>
      <c r="C343" s="143">
        <f>'Analisis de operaciones'!D390/'Analisis de operaciones'!D394*$O343</f>
        <v>8.413509472</v>
      </c>
      <c r="D343" s="143">
        <f>'Analisis de operaciones'!E390/'Analisis de operaciones'!E394*$O343</f>
        <v>7.967111167</v>
      </c>
      <c r="E343" s="143">
        <f>'Analisis de operaciones'!F390/'Analisis de operaciones'!F394*$O343</f>
        <v>7.655993519</v>
      </c>
      <c r="F343" s="143">
        <f>'Analisis de operaciones'!G390/'Analisis de operaciones'!G394*$O343</f>
        <v>7.169038883</v>
      </c>
      <c r="G343" s="143">
        <f>'Analisis de operaciones'!H390/'Analisis de operaciones'!H394*$O343</f>
        <v>6.993201894</v>
      </c>
      <c r="H343" s="143">
        <f>'Analisis de operaciones'!I390/'Analisis de operaciones'!I394*$O343</f>
        <v>7.48015653</v>
      </c>
      <c r="I343" s="143">
        <f>'Analisis de operaciones'!J390/'Analisis de operaciones'!J394*$O343</f>
        <v>7.48015653</v>
      </c>
      <c r="J343" s="143">
        <f>'Analisis de operaciones'!K390/'Analisis de operaciones'!K394*$O343</f>
        <v>7.48015653</v>
      </c>
      <c r="K343" s="143">
        <f>'Analisis de operaciones'!L390/'Analisis de operaciones'!L394*$O343</f>
        <v>7.304319541</v>
      </c>
      <c r="L343" s="143">
        <f>'Analisis de operaciones'!M390/'Analisis de operaciones'!M394*$O343</f>
        <v>7.128482552</v>
      </c>
      <c r="M343" s="143">
        <f>'Analisis de operaciones'!N390/'Analisis de operaciones'!N394*$O343</f>
        <v>11.33523729</v>
      </c>
      <c r="N343" s="143">
        <f>'Resumen Capacidad'!$D$31*$B$8*$O343</f>
        <v>150</v>
      </c>
      <c r="O343" s="144">
        <f>$B$20</f>
        <v>1</v>
      </c>
    </row>
    <row r="344" ht="15.75" hidden="1" customHeight="1" outlineLevel="1">
      <c r="A344" s="142" t="s">
        <v>62</v>
      </c>
      <c r="B344" s="143">
        <f>'Analisis de operaciones'!C400/'Analisis de operaciones'!C404*$O344</f>
        <v>26.68729167</v>
      </c>
      <c r="C344" s="143">
        <f>'Analisis de operaciones'!D400/'Analisis de operaciones'!D404*$O344</f>
        <v>20.44270833</v>
      </c>
      <c r="D344" s="143">
        <f>'Analisis de operaciones'!E400/'Analisis de operaciones'!E404*$O344</f>
        <v>19.35807292</v>
      </c>
      <c r="E344" s="143">
        <f>'Analisis de operaciones'!F400/'Analisis de operaciones'!F404*$O344</f>
        <v>18.60213542</v>
      </c>
      <c r="F344" s="143">
        <f>'Analisis de operaciones'!G400/'Analisis de operaciones'!G404*$O344</f>
        <v>17.41895833</v>
      </c>
      <c r="G344" s="143">
        <f>'Analisis de operaciones'!H400/'Analisis de operaciones'!H404*$O344</f>
        <v>16.99171875</v>
      </c>
      <c r="H344" s="143">
        <f>'Analisis de operaciones'!I400/'Analisis de operaciones'!I404*$O344</f>
        <v>18.17489583</v>
      </c>
      <c r="I344" s="143">
        <f>'Analisis de operaciones'!J400/'Analisis de operaciones'!J404*$O344</f>
        <v>18.17489583</v>
      </c>
      <c r="J344" s="143">
        <f>'Analisis de operaciones'!K400/'Analisis de operaciones'!K404*$O344</f>
        <v>18.17489583</v>
      </c>
      <c r="K344" s="143">
        <f>'Analisis de operaciones'!L400/'Analisis de operaciones'!L404*$O344</f>
        <v>17.74765625</v>
      </c>
      <c r="L344" s="143">
        <f>'Analisis de operaciones'!M400/'Analisis de operaciones'!M404*$O344</f>
        <v>17.32041667</v>
      </c>
      <c r="M344" s="143">
        <f>'Analisis de operaciones'!N400/'Analisis de operaciones'!N404*$O344</f>
        <v>27.54177083</v>
      </c>
      <c r="N344" s="143">
        <f>'Resumen Capacidad'!$D$32*$B$8*$O344</f>
        <v>150</v>
      </c>
      <c r="O344" s="144">
        <f>$B$21</f>
        <v>1</v>
      </c>
    </row>
    <row r="345" ht="15.75" hidden="1" customHeight="1" outlineLevel="1">
      <c r="A345" s="142" t="s">
        <v>63</v>
      </c>
      <c r="B345" s="143">
        <f>'Analisis de operaciones'!C410/'Analisis de operaciones'!C414*$O345</f>
        <v>10.24079226</v>
      </c>
      <c r="C345" s="143">
        <f>'Analisis de operaciones'!D410/'Analisis de operaciones'!D414*$O345</f>
        <v>8.19263381</v>
      </c>
      <c r="D345" s="143">
        <f>'Analisis de operaciones'!E410/'Analisis de operaciones'!E414*$O345</f>
        <v>8.704673423</v>
      </c>
      <c r="E345" s="143">
        <f>'Analisis de operaciones'!F410/'Analisis de operaciones'!F414*$O345</f>
        <v>8.704673423</v>
      </c>
      <c r="F345" s="143">
        <f>'Analisis de operaciones'!G410/'Analisis de operaciones'!G414*$O345</f>
        <v>8.19263381</v>
      </c>
      <c r="G345" s="143">
        <f>'Analisis de operaciones'!H410/'Analisis de operaciones'!H414*$O345</f>
        <v>7.680594197</v>
      </c>
      <c r="H345" s="143">
        <f>'Analisis de operaciones'!I410/'Analisis de operaciones'!I414*$O345</f>
        <v>8.19263381</v>
      </c>
      <c r="I345" s="143">
        <f>'Analisis de operaciones'!J410/'Analisis de operaciones'!J414*$O345</f>
        <v>8.19263381</v>
      </c>
      <c r="J345" s="143">
        <f>'Analisis de operaciones'!K410/'Analisis de operaciones'!K414*$O345</f>
        <v>8.19263381</v>
      </c>
      <c r="K345" s="143">
        <f>'Analisis de operaciones'!L410/'Analisis de operaciones'!L414*$O345</f>
        <v>7.680594197</v>
      </c>
      <c r="L345" s="143">
        <f>'Analisis de operaciones'!M410/'Analisis de operaciones'!M414*$O345</f>
        <v>7.168554584</v>
      </c>
      <c r="M345" s="143">
        <f>'Analisis de operaciones'!N410/'Analisis de operaciones'!N414*$O345</f>
        <v>11.26487149</v>
      </c>
      <c r="N345" s="143">
        <f>'Resumen Capacidad'!$D$33*$B$8*$O345</f>
        <v>150</v>
      </c>
      <c r="O345" s="144">
        <f>$B$22</f>
        <v>1</v>
      </c>
    </row>
    <row r="346" ht="15.75" hidden="1" customHeight="1" outlineLevel="1">
      <c r="A346" s="142" t="s">
        <v>64</v>
      </c>
      <c r="B346" s="143">
        <f>'Analisis de operaciones'!C420/'Analisis de operaciones'!C424*$O346</f>
        <v>7.249540441</v>
      </c>
      <c r="C346" s="143">
        <f>'Analisis de operaciones'!D420/'Analisis de operaciones'!D424*$O346</f>
        <v>5.799632353</v>
      </c>
      <c r="D346" s="143">
        <f>'Analisis de operaciones'!E420/'Analisis de operaciones'!E424*$O346</f>
        <v>6.162109375</v>
      </c>
      <c r="E346" s="143">
        <f>'Analisis de operaciones'!F420/'Analisis de operaciones'!F424*$O346</f>
        <v>6.162109375</v>
      </c>
      <c r="F346" s="143">
        <f>'Analisis de operaciones'!G420/'Analisis de operaciones'!G424*$O346</f>
        <v>5.799632353</v>
      </c>
      <c r="G346" s="143">
        <f>'Analisis de operaciones'!H420/'Analisis de operaciones'!H424*$O346</f>
        <v>5.437155331</v>
      </c>
      <c r="H346" s="143">
        <f>'Analisis de operaciones'!I420/'Analisis de operaciones'!I424*$O346</f>
        <v>5.799632353</v>
      </c>
      <c r="I346" s="143">
        <f>'Analisis de operaciones'!J420/'Analisis de operaciones'!J424*$O346</f>
        <v>5.799632353</v>
      </c>
      <c r="J346" s="143">
        <f>'Analisis de operaciones'!K420/'Analisis de operaciones'!K424*$O346</f>
        <v>5.799632353</v>
      </c>
      <c r="K346" s="143">
        <f>'Analisis de operaciones'!L420/'Analisis de operaciones'!L424*$O346</f>
        <v>5.437155331</v>
      </c>
      <c r="L346" s="143">
        <f>'Analisis de operaciones'!M420/'Analisis de operaciones'!M424*$O346</f>
        <v>5.074678309</v>
      </c>
      <c r="M346" s="143">
        <f>'Analisis de operaciones'!N420/'Analisis de operaciones'!N424*$O346</f>
        <v>7.974494485</v>
      </c>
      <c r="N346" s="143">
        <f>'Resumen Capacidad'!$D$34*$B$8*$O346</f>
        <v>75</v>
      </c>
      <c r="O346" s="144">
        <f>IF('Resumen Capacidad'!$D$56="Automática",$C$23,$B$23)</f>
        <v>0.5</v>
      </c>
    </row>
    <row r="347" ht="15.75" hidden="1" customHeight="1" outlineLevel="1">
      <c r="A347" s="142" t="s">
        <v>66</v>
      </c>
      <c r="B347" s="143">
        <f>'Analisis de operaciones'!C430/'Analisis de operaciones'!C434*$O347</f>
        <v>42.237866</v>
      </c>
      <c r="C347" s="143">
        <f>'Analisis de operaciones'!D430/'Analisis de operaciones'!D434*$O347</f>
        <v>32.35458982</v>
      </c>
      <c r="D347" s="143">
        <f>'Analisis de operaciones'!E430/'Analisis de operaciones'!E434*$O347</f>
        <v>30.63794184</v>
      </c>
      <c r="E347" s="143">
        <f>'Analisis de operaciones'!F430/'Analisis de operaciones'!F434*$O347</f>
        <v>29.44152269</v>
      </c>
      <c r="F347" s="143">
        <f>'Analisis de operaciones'!G430/'Analisis de operaciones'!G434*$O347</f>
        <v>27.56891322</v>
      </c>
      <c r="G347" s="143">
        <f>'Analisis de operaciones'!H430/'Analisis de operaciones'!H434*$O347</f>
        <v>26.8927229</v>
      </c>
      <c r="H347" s="143">
        <f>'Analisis de operaciones'!I430/'Analisis de operaciones'!I434*$O347</f>
        <v>28.76533237</v>
      </c>
      <c r="I347" s="143">
        <f>'Analisis de operaciones'!J430/'Analisis de operaciones'!J434*$O347</f>
        <v>28.76533237</v>
      </c>
      <c r="J347" s="143">
        <f>'Analisis de operaciones'!K430/'Analisis de operaciones'!K434*$O347</f>
        <v>28.76533237</v>
      </c>
      <c r="K347" s="143">
        <f>'Analisis de operaciones'!L430/'Analisis de operaciones'!L434*$O347</f>
        <v>28.08914205</v>
      </c>
      <c r="L347" s="143">
        <f>'Analisis de operaciones'!M430/'Analisis de operaciones'!M434*$O347</f>
        <v>27.41295173</v>
      </c>
      <c r="M347" s="143">
        <f>'Analisis de operaciones'!N430/'Analisis de operaciones'!N434*$O347</f>
        <v>43.59024664</v>
      </c>
      <c r="N347" s="143">
        <f>'Resumen Capacidad'!$D$35*$B$8*$O347</f>
        <v>150</v>
      </c>
      <c r="O347" s="144">
        <f>$B$24</f>
        <v>1</v>
      </c>
    </row>
    <row r="348" ht="15.75" hidden="1" customHeight="1" outlineLevel="1">
      <c r="A348" s="142" t="s">
        <v>67</v>
      </c>
      <c r="B348" s="143">
        <f>'Analisis de operaciones'!C440/'Analisis de operaciones'!C444*$O348</f>
        <v>13.66936108</v>
      </c>
      <c r="C348" s="143">
        <f>'Analisis de operaciones'!D440/'Analisis de operaciones'!D444*$O348</f>
        <v>10.47085501</v>
      </c>
      <c r="D348" s="143">
        <f>'Analisis de operaciones'!E440/'Analisis de operaciones'!E444*$O348</f>
        <v>9.915299453</v>
      </c>
      <c r="E348" s="143">
        <f>'Analisis de operaciones'!F440/'Analisis de operaciones'!F444*$O348</f>
        <v>9.528104575</v>
      </c>
      <c r="F348" s="143">
        <f>'Analisis de operaciones'!G440/'Analisis de operaciones'!G444*$O348</f>
        <v>8.922075497</v>
      </c>
      <c r="G348" s="143">
        <f>'Analisis de operaciones'!H440/'Analisis de operaciones'!H444*$O348</f>
        <v>8.703241297</v>
      </c>
      <c r="H348" s="143">
        <f>'Analisis de operaciones'!I440/'Analisis de operaciones'!I444*$O348</f>
        <v>9.309270375</v>
      </c>
      <c r="I348" s="143">
        <f>'Analisis de operaciones'!J440/'Analisis de operaciones'!J444*$O348</f>
        <v>9.309270375</v>
      </c>
      <c r="J348" s="143">
        <f>'Analisis de operaciones'!K440/'Analisis de operaciones'!K444*$O348</f>
        <v>9.309270375</v>
      </c>
      <c r="K348" s="143">
        <f>'Analisis de operaciones'!L440/'Analisis de operaciones'!L444*$O348</f>
        <v>9.090436174</v>
      </c>
      <c r="L348" s="143">
        <f>'Analisis de operaciones'!M440/'Analisis de operaciones'!M444*$O348</f>
        <v>8.871601974</v>
      </c>
      <c r="M348" s="143">
        <f>'Analisis de operaciones'!N440/'Analisis de operaciones'!N444*$O348</f>
        <v>14.10702948</v>
      </c>
      <c r="N348" s="143">
        <f>'Resumen Capacidad'!$D$36*$B$8*$O348</f>
        <v>150</v>
      </c>
      <c r="O348" s="144">
        <f>$B$25</f>
        <v>1</v>
      </c>
    </row>
    <row r="349" ht="15.75" hidden="1" customHeight="1" outlineLevel="1">
      <c r="A349" s="142" t="s">
        <v>68</v>
      </c>
      <c r="B349" s="143">
        <f>'Analisis de operaciones'!C450/'Analisis de operaciones'!C454*$O349</f>
        <v>20.12616264</v>
      </c>
      <c r="C349" s="143">
        <f>'Analisis de operaciones'!D450/'Analisis de operaciones'!D454*$O349</f>
        <v>15.41682378</v>
      </c>
      <c r="D349" s="143">
        <f>'Analisis de operaciones'!E450/'Analisis de operaciones'!E454*$O349</f>
        <v>14.59884835</v>
      </c>
      <c r="E349" s="143">
        <f>'Analisis de operaciones'!F450/'Analisis de operaciones'!F454*$O349</f>
        <v>14.02875974</v>
      </c>
      <c r="F349" s="143">
        <f>'Analisis de operaciones'!G450/'Analisis de operaciones'!G454*$O349</f>
        <v>13.13646933</v>
      </c>
      <c r="G349" s="143">
        <f>'Analisis de operaciones'!H450/'Analisis de operaciones'!H454*$O349</f>
        <v>12.81426753</v>
      </c>
      <c r="H349" s="143">
        <f>'Analisis de operaciones'!I450/'Analisis de operaciones'!I454*$O349</f>
        <v>13.70655794</v>
      </c>
      <c r="I349" s="143">
        <f>'Analisis de operaciones'!J450/'Analisis de operaciones'!J454*$O349</f>
        <v>13.70655794</v>
      </c>
      <c r="J349" s="143">
        <f>'Analisis de operaciones'!K450/'Analisis de operaciones'!K454*$O349</f>
        <v>13.70655794</v>
      </c>
      <c r="K349" s="143">
        <f>'Analisis de operaciones'!L450/'Analisis de operaciones'!L454*$O349</f>
        <v>13.38435615</v>
      </c>
      <c r="L349" s="143">
        <f>'Analisis de operaciones'!M450/'Analisis de operaciones'!M454*$O349</f>
        <v>13.06215435</v>
      </c>
      <c r="M349" s="143">
        <f>'Analisis de operaciones'!N450/'Analisis de operaciones'!N454*$O349</f>
        <v>20.77056624</v>
      </c>
      <c r="N349" s="143">
        <f>'Resumen Capacidad'!$D$37*$B$8*$O349</f>
        <v>75</v>
      </c>
      <c r="O349" s="144">
        <f>IF('Resumen Capacidad'!$D$57="Automática",$C$26,$B$26)</f>
        <v>0.5</v>
      </c>
    </row>
    <row r="350" ht="15.75" hidden="1" customHeight="1" outlineLevel="1">
      <c r="A350" s="142" t="s">
        <v>70</v>
      </c>
      <c r="B350" s="143">
        <f>'Analisis de operaciones'!C460/'Analisis de operaciones'!C464*$O350</f>
        <v>114.0422382</v>
      </c>
      <c r="C350" s="143">
        <f>'Analisis de operaciones'!D460/'Analisis de operaciones'!D464*$O350</f>
        <v>87.35739251</v>
      </c>
      <c r="D350" s="143">
        <f>'Analisis de operaciones'!E460/'Analisis de operaciones'!E464*$O350</f>
        <v>82.72244296</v>
      </c>
      <c r="E350" s="143">
        <f>'Analisis de operaciones'!F460/'Analisis de operaciones'!F464*$O350</f>
        <v>79.49211125</v>
      </c>
      <c r="F350" s="143">
        <f>'Analisis de operaciones'!G460/'Analisis de operaciones'!G464*$O350</f>
        <v>74.43606568</v>
      </c>
      <c r="G350" s="143">
        <f>'Analisis de operaciones'!H460/'Analisis de operaciones'!H464*$O350</f>
        <v>72.61035182</v>
      </c>
      <c r="H350" s="143">
        <f>'Analisis de operaciones'!I460/'Analisis de operaciones'!I464*$O350</f>
        <v>77.66639739</v>
      </c>
      <c r="I350" s="143">
        <f>'Analisis de operaciones'!J460/'Analisis de operaciones'!J464*$O350</f>
        <v>77.66639739</v>
      </c>
      <c r="J350" s="143">
        <f>'Analisis de operaciones'!K460/'Analisis de operaciones'!K464*$O350</f>
        <v>77.66639739</v>
      </c>
      <c r="K350" s="143">
        <f>'Analisis de operaciones'!L460/'Analisis de operaciones'!L464*$O350</f>
        <v>75.84068353</v>
      </c>
      <c r="L350" s="143">
        <f>'Analisis de operaciones'!M460/'Analisis de operaciones'!M464*$O350</f>
        <v>74.01496966</v>
      </c>
      <c r="M350" s="143">
        <f>'Analisis de operaciones'!N460/'Analisis de operaciones'!N464*$O350</f>
        <v>117.6936659</v>
      </c>
      <c r="N350" s="143">
        <f>'Resumen Capacidad'!$D$38*$B$8*$O350</f>
        <v>150</v>
      </c>
      <c r="O350" s="144">
        <f>IF('Resumen Capacidad'!$D$58="Automática",$C$27,$B$27)</f>
        <v>1</v>
      </c>
    </row>
    <row r="351" ht="15.75" hidden="1" customHeight="1" outlineLevel="1">
      <c r="A351" s="142" t="s">
        <v>72</v>
      </c>
      <c r="B351" s="143">
        <f>'Analisis de operaciones'!C470/'Analisis de operaciones'!C474*$O351</f>
        <v>5.763545752</v>
      </c>
      <c r="C351" s="143">
        <f>'Analisis de operaciones'!D470/'Analisis de operaciones'!D474*$O351</f>
        <v>4.610836601</v>
      </c>
      <c r="D351" s="143">
        <f>'Analisis de operaciones'!E470/'Analisis de operaciones'!E474*$O351</f>
        <v>4.899013889</v>
      </c>
      <c r="E351" s="143">
        <f>'Analisis de operaciones'!F470/'Analisis de operaciones'!F474*$O351</f>
        <v>4.899013889</v>
      </c>
      <c r="F351" s="143">
        <f>'Analisis de operaciones'!G470/'Analisis de operaciones'!G474*$O351</f>
        <v>4.610836601</v>
      </c>
      <c r="G351" s="143">
        <f>'Analisis de operaciones'!H470/'Analisis de operaciones'!H474*$O351</f>
        <v>4.322659314</v>
      </c>
      <c r="H351" s="143">
        <f>'Analisis de operaciones'!I470/'Analisis de operaciones'!I474*$O351</f>
        <v>4.610836601</v>
      </c>
      <c r="I351" s="143">
        <f>'Analisis de operaciones'!J470/'Analisis de operaciones'!J474*$O351</f>
        <v>4.610836601</v>
      </c>
      <c r="J351" s="143">
        <f>'Analisis de operaciones'!K470/'Analisis de operaciones'!K474*$O351</f>
        <v>4.610836601</v>
      </c>
      <c r="K351" s="143">
        <f>'Analisis de operaciones'!L470/'Analisis de operaciones'!L474*$O351</f>
        <v>4.322659314</v>
      </c>
      <c r="L351" s="143">
        <f>'Analisis de operaciones'!M470/'Analisis de operaciones'!M474*$O351</f>
        <v>4.034482026</v>
      </c>
      <c r="M351" s="143">
        <f>'Analisis de operaciones'!N470/'Analisis de operaciones'!N474*$O351</f>
        <v>6.339900327</v>
      </c>
      <c r="N351" s="143">
        <f>'Resumen Capacidad'!$D$39*$B$8*$O351</f>
        <v>75</v>
      </c>
      <c r="O351" s="144">
        <f>$B$28</f>
        <v>0.5</v>
      </c>
    </row>
    <row r="352" ht="15.75" hidden="1" customHeight="1" outlineLevel="1">
      <c r="A352" s="142" t="s">
        <v>74</v>
      </c>
      <c r="B352" s="143">
        <f>'Analisis de operaciones'!C480/'Analisis de operaciones'!C484*$O352</f>
        <v>13.34364583</v>
      </c>
      <c r="C352" s="143">
        <f>'Analisis de operaciones'!D480/'Analisis de operaciones'!D484*$O352</f>
        <v>10.22135417</v>
      </c>
      <c r="D352" s="143">
        <f>'Analisis de operaciones'!E480/'Analisis de operaciones'!E484*$O352</f>
        <v>9.679036458</v>
      </c>
      <c r="E352" s="143">
        <f>'Analisis de operaciones'!F480/'Analisis de operaciones'!F484*$O352</f>
        <v>9.301067708</v>
      </c>
      <c r="F352" s="143">
        <f>'Analisis de operaciones'!G480/'Analisis de operaciones'!G484*$O352</f>
        <v>8.709479167</v>
      </c>
      <c r="G352" s="143">
        <f>'Analisis de operaciones'!H480/'Analisis de operaciones'!H484*$O352</f>
        <v>8.495859375</v>
      </c>
      <c r="H352" s="143">
        <f>'Analisis de operaciones'!I480/'Analisis de operaciones'!I484*$O352</f>
        <v>9.087447917</v>
      </c>
      <c r="I352" s="143">
        <f>'Analisis de operaciones'!J480/'Analisis de operaciones'!J484*$O352</f>
        <v>9.087447917</v>
      </c>
      <c r="J352" s="143">
        <f>'Analisis de operaciones'!K480/'Analisis de operaciones'!K484*$O352</f>
        <v>9.087447917</v>
      </c>
      <c r="K352" s="143">
        <f>'Analisis de operaciones'!L480/'Analisis de operaciones'!L484*$O352</f>
        <v>8.873828125</v>
      </c>
      <c r="L352" s="143">
        <f>'Analisis de operaciones'!M480/'Analisis de operaciones'!M484*$O352</f>
        <v>8.660208333</v>
      </c>
      <c r="M352" s="143">
        <f>'Analisis de operaciones'!N480/'Analisis de operaciones'!N484*$O352</f>
        <v>13.77088542</v>
      </c>
      <c r="N352" s="143">
        <f>'Resumen Capacidad'!$D$40*$B$8*$O352</f>
        <v>150</v>
      </c>
      <c r="O352" s="144">
        <f>$B$29</f>
        <v>1</v>
      </c>
    </row>
    <row r="353" ht="15.75" hidden="1" customHeight="1" outlineLevel="1">
      <c r="A353" s="142" t="s">
        <v>76</v>
      </c>
      <c r="B353" s="143">
        <f>'Analisis de operaciones'!C1878/'Analisis de operaciones'!C1882*$O353</f>
        <v>6.245189342</v>
      </c>
      <c r="C353" s="143">
        <f>'Analisis de operaciones'!D1878/'Analisis de operaciones'!D1882*$O353</f>
        <v>4.783871882</v>
      </c>
      <c r="D353" s="143">
        <f>'Analisis de operaciones'!E1878/'Analisis de operaciones'!E1882*$O353</f>
        <v>4.530052438</v>
      </c>
      <c r="E353" s="143">
        <f>'Analisis de operaciones'!F1878/'Analisis de operaciones'!F1882*$O353</f>
        <v>4.353152778</v>
      </c>
      <c r="F353" s="143">
        <f>'Analisis de operaciones'!G1878/'Analisis de operaciones'!G1882*$O353</f>
        <v>4.076273243</v>
      </c>
      <c r="G353" s="143">
        <f>'Analisis de operaciones'!H1878/'Analisis de operaciones'!H1882*$O353</f>
        <v>3.976293367</v>
      </c>
      <c r="H353" s="143">
        <f>'Analisis de operaciones'!I1878/'Analisis de operaciones'!I1882*$O353</f>
        <v>4.253172902</v>
      </c>
      <c r="I353" s="143">
        <f>'Analisis de operaciones'!J1878/'Analisis de operaciones'!J1882*$O353</f>
        <v>4.253172902</v>
      </c>
      <c r="J353" s="143">
        <f>'Analisis de operaciones'!K1878/'Analisis de operaciones'!K1882*$O353</f>
        <v>4.253172902</v>
      </c>
      <c r="K353" s="143">
        <f>'Analisis de operaciones'!L1878/'Analisis de operaciones'!L1882*$O353</f>
        <v>4.153193027</v>
      </c>
      <c r="L353" s="143">
        <f>'Analisis de operaciones'!M1878/'Analisis de operaciones'!M1882*$O353</f>
        <v>4.053213152</v>
      </c>
      <c r="M353" s="143">
        <f>'Analisis de operaciones'!N1878/'Analisis de operaciones'!N1882*$O353</f>
        <v>6.445149093</v>
      </c>
      <c r="N353" s="143">
        <f>'Resumen Capacidad'!$D$41*$B$8*$O353</f>
        <v>150</v>
      </c>
      <c r="O353" s="144">
        <f>$B$30</f>
        <v>1</v>
      </c>
    </row>
    <row r="354" ht="15.75" hidden="1" customHeight="1" outlineLevel="1">
      <c r="A354" s="142" t="s">
        <v>77</v>
      </c>
      <c r="B354" s="143">
        <f>IF('Resumen Capacidad'!$D$42=0,0,'Analisis de operaciones'!C490/'Analisis de operaciones'!C494*$O354)</f>
        <v>0</v>
      </c>
      <c r="C354" s="143">
        <f>IF('Resumen Capacidad'!$D$42=0,0,'Analisis de operaciones'!D490/'Analisis de operaciones'!D494*$O354)</f>
        <v>0</v>
      </c>
      <c r="D354" s="143">
        <f>IF('Resumen Capacidad'!$D$42=0,0,'Analisis de operaciones'!E490/'Analisis de operaciones'!E494*$O354)</f>
        <v>0</v>
      </c>
      <c r="E354" s="143">
        <f>IF('Resumen Capacidad'!$D$42=0,0,'Analisis de operaciones'!F490/'Analisis de operaciones'!F494*$O354)</f>
        <v>0</v>
      </c>
      <c r="F354" s="143">
        <f>IF('Resumen Capacidad'!$D$42=0,0,'Analisis de operaciones'!G490/'Analisis de operaciones'!G494*$O354)</f>
        <v>0</v>
      </c>
      <c r="G354" s="143">
        <f>IF('Resumen Capacidad'!$D$42=0,0,'Analisis de operaciones'!H490/'Analisis de operaciones'!H494*$O354)</f>
        <v>0</v>
      </c>
      <c r="H354" s="143">
        <f>IF('Resumen Capacidad'!$D$42=0,0,'Analisis de operaciones'!I490/'Analisis de operaciones'!I494*$O354)</f>
        <v>0</v>
      </c>
      <c r="I354" s="143">
        <f>IF('Resumen Capacidad'!$D$42=0,0,'Analisis de operaciones'!J490/'Analisis de operaciones'!J494*$O354)</f>
        <v>0</v>
      </c>
      <c r="J354" s="143">
        <f>IF('Resumen Capacidad'!$D$42=0,0,'Analisis de operaciones'!K490/'Analisis de operaciones'!K494*$O354)</f>
        <v>0</v>
      </c>
      <c r="K354" s="143">
        <f>IF('Resumen Capacidad'!$D$42=0,0,'Analisis de operaciones'!L490/'Analisis de operaciones'!L494*$O354)</f>
        <v>0</v>
      </c>
      <c r="L354" s="143">
        <f>IF('Resumen Capacidad'!$D$42=0,0,'Analisis de operaciones'!M490/'Analisis de operaciones'!M494*$O354)</f>
        <v>0</v>
      </c>
      <c r="M354" s="143">
        <f>IF('Resumen Capacidad'!$D$42=0,0,'Analisis de operaciones'!N490/'Analisis de operaciones'!N494*$O354)</f>
        <v>0</v>
      </c>
      <c r="N354" s="143">
        <f>'Resumen Capacidad'!$D$42*$B$8*$O354</f>
        <v>0</v>
      </c>
      <c r="O354" s="144">
        <f>$B$31</f>
        <v>0.5</v>
      </c>
    </row>
    <row r="355" ht="15.75" hidden="1" customHeight="1" outlineLevel="1">
      <c r="A355" s="142" t="s">
        <v>79</v>
      </c>
      <c r="B355" s="143">
        <f>'Analisis de operaciones'!C500/'Analisis de operaciones'!C504*$O355</f>
        <v>12.69951468</v>
      </c>
      <c r="C355" s="143">
        <f>'Analisis de operaciones'!D500/'Analisis de operaciones'!D504*$O355</f>
        <v>9.871508049</v>
      </c>
      <c r="D355" s="143">
        <f>'Analisis de operaciones'!E500/'Analisis de operaciones'!E504*$O355</f>
        <v>9.678776042</v>
      </c>
      <c r="E355" s="143">
        <f>'Analisis de operaciones'!F500/'Analisis de operaciones'!F504*$O355</f>
        <v>9.394898201</v>
      </c>
      <c r="F355" s="143">
        <f>'Analisis de operaciones'!G500/'Analisis de operaciones'!G504*$O355</f>
        <v>8.84860322</v>
      </c>
      <c r="G355" s="143">
        <f>'Analisis de operaciones'!H500/'Analisis de operaciones'!H504*$O355</f>
        <v>8.511115057</v>
      </c>
      <c r="H355" s="143">
        <f>'Analisis de operaciones'!I500/'Analisis de operaciones'!I504*$O355</f>
        <v>9.132481061</v>
      </c>
      <c r="I355" s="143">
        <f>'Analisis de operaciones'!J500/'Analisis de operaciones'!J504*$O355</f>
        <v>9.132481061</v>
      </c>
      <c r="J355" s="143">
        <f>'Analisis de operaciones'!K500/'Analisis de operaciones'!K504*$O355</f>
        <v>9.094945549</v>
      </c>
      <c r="K355" s="143">
        <f>'Analisis de operaciones'!L500/'Analisis de operaciones'!L504*$O355</f>
        <v>8.757457386</v>
      </c>
      <c r="L355" s="143">
        <f>'Analisis de operaciones'!M500/'Analisis de operaciones'!M504*$O355</f>
        <v>8.457504735</v>
      </c>
      <c r="M355" s="143">
        <f>'Analisis de operaciones'!N500/'Analisis de operaciones'!N504*$O355</f>
        <v>13.18681345</v>
      </c>
      <c r="N355" s="143">
        <f>'Resumen Capacidad'!$D$43*$B$8*$O355</f>
        <v>75</v>
      </c>
      <c r="O355" s="144">
        <f>$B$32</f>
        <v>0.5</v>
      </c>
    </row>
    <row r="356" ht="15.75" hidden="1" customHeight="1" outlineLevel="1">
      <c r="A356" s="142" t="s">
        <v>81</v>
      </c>
      <c r="B356" s="143">
        <f>'Analisis de operaciones'!C510/'Analisis de operaciones'!C514*$O356</f>
        <v>60.81944444</v>
      </c>
      <c r="C356" s="143">
        <f>'Analisis de operaciones'!D510/'Analisis de operaciones'!D514*$O356</f>
        <v>47.27579365</v>
      </c>
      <c r="D356" s="143">
        <f>'Analisis de operaciones'!E510/'Analisis de operaciones'!E514*$O356</f>
        <v>46.35277778</v>
      </c>
      <c r="E356" s="143">
        <f>'Analisis de operaciones'!F510/'Analisis de operaciones'!F514*$O356</f>
        <v>44.99325397</v>
      </c>
      <c r="F356" s="143">
        <f>'Analisis de operaciones'!G510/'Analisis de operaciones'!G514*$O356</f>
        <v>42.37698413</v>
      </c>
      <c r="G356" s="143">
        <f>'Analisis de operaciones'!H510/'Analisis de operaciones'!H514*$O356</f>
        <v>40.76071429</v>
      </c>
      <c r="H356" s="143">
        <f>'Analisis de operaciones'!I510/'Analisis de operaciones'!I514*$O356</f>
        <v>43.73650794</v>
      </c>
      <c r="I356" s="143">
        <f>'Analisis de operaciones'!J510/'Analisis de operaciones'!J514*$O356</f>
        <v>43.73650794</v>
      </c>
      <c r="J356" s="143">
        <f>'Analisis de operaciones'!K510/'Analisis de operaciones'!K514*$O356</f>
        <v>43.55674603</v>
      </c>
      <c r="K356" s="143">
        <f>'Analisis de operaciones'!L510/'Analisis de operaciones'!L514*$O356</f>
        <v>41.94047619</v>
      </c>
      <c r="L356" s="143">
        <f>'Analisis de operaciones'!M510/'Analisis de operaciones'!M514*$O356</f>
        <v>40.50396825</v>
      </c>
      <c r="M356" s="143">
        <f>'Analisis de operaciones'!N510/'Analisis de operaciones'!N514*$O356</f>
        <v>63.1531746</v>
      </c>
      <c r="N356" s="143">
        <f>'Resumen Capacidad'!$D$44*$B$8*$O356</f>
        <v>150</v>
      </c>
      <c r="O356" s="144">
        <f>$B$33</f>
        <v>1</v>
      </c>
    </row>
    <row r="357" ht="15.75" hidden="1" customHeight="1" outlineLevel="1">
      <c r="A357" s="142" t="s">
        <v>82</v>
      </c>
      <c r="B357" s="143">
        <f>'Analisis de operaciones'!C520/'Analisis de operaciones'!C524*$O357</f>
        <v>36.89712963</v>
      </c>
      <c r="C357" s="143">
        <f>'Analisis de operaciones'!D520/'Analisis de operaciones'!D524*$O357</f>
        <v>28.68064815</v>
      </c>
      <c r="D357" s="143">
        <f>'Analisis de operaciones'!E520/'Analisis de operaciones'!E524*$O357</f>
        <v>28.12068519</v>
      </c>
      <c r="E357" s="143">
        <f>'Analisis de operaciones'!F520/'Analisis de operaciones'!F524*$O357</f>
        <v>27.29590741</v>
      </c>
      <c r="F357" s="143">
        <f>'Analisis de operaciones'!G520/'Analisis de operaciones'!G524*$O357</f>
        <v>25.7087037</v>
      </c>
      <c r="G357" s="143">
        <f>'Analisis de operaciones'!H520/'Analisis de operaciones'!H524*$O357</f>
        <v>24.72816667</v>
      </c>
      <c r="H357" s="143">
        <f>'Analisis de operaciones'!I520/'Analisis de operaciones'!I524*$O357</f>
        <v>26.53348148</v>
      </c>
      <c r="I357" s="143">
        <f>'Analisis de operaciones'!J520/'Analisis de operaciones'!J524*$O357</f>
        <v>26.53348148</v>
      </c>
      <c r="J357" s="143">
        <f>'Analisis de operaciones'!K520/'Analisis de operaciones'!K524*$O357</f>
        <v>26.42442593</v>
      </c>
      <c r="K357" s="143">
        <f>'Analisis de operaciones'!L520/'Analisis de operaciones'!L524*$O357</f>
        <v>25.44388889</v>
      </c>
      <c r="L357" s="143">
        <f>'Analisis de operaciones'!M520/'Analisis de operaciones'!M524*$O357</f>
        <v>24.57240741</v>
      </c>
      <c r="M357" s="143">
        <f>'Analisis de operaciones'!N520/'Analisis de operaciones'!N524*$O357</f>
        <v>38.31292593</v>
      </c>
      <c r="N357" s="143">
        <f>'Resumen Capacidad'!$D$45*$B$8*$O357</f>
        <v>150</v>
      </c>
      <c r="O357" s="144">
        <f>$B$34</f>
        <v>1</v>
      </c>
    </row>
    <row r="358" ht="15.75" hidden="1" customHeight="1" outlineLevel="1">
      <c r="A358" s="142" t="s">
        <v>83</v>
      </c>
      <c r="B358" s="143">
        <f>'Analisis de operaciones'!C530/'Analisis de operaciones'!C534*$O358</f>
        <v>33.45069444</v>
      </c>
      <c r="C358" s="143">
        <f>'Analisis de operaciones'!D530/'Analisis de operaciones'!D534*$O358</f>
        <v>26.00168651</v>
      </c>
      <c r="D358" s="143">
        <f>'Analisis de operaciones'!E530/'Analisis de operaciones'!E534*$O358</f>
        <v>25.49402778</v>
      </c>
      <c r="E358" s="143">
        <f>'Analisis de operaciones'!F530/'Analisis de operaciones'!F534*$O358</f>
        <v>24.74628968</v>
      </c>
      <c r="F358" s="143">
        <f>'Analisis de operaciones'!G530/'Analisis de operaciones'!G534*$O358</f>
        <v>23.30734127</v>
      </c>
      <c r="G358" s="143">
        <f>'Analisis de operaciones'!H530/'Analisis de operaciones'!H534*$O358</f>
        <v>22.41839286</v>
      </c>
      <c r="H358" s="143">
        <f>'Analisis de operaciones'!I530/'Analisis de operaciones'!I534*$O358</f>
        <v>24.05507937</v>
      </c>
      <c r="I358" s="143">
        <f>'Analisis de operaciones'!J530/'Analisis de operaciones'!J534*$O358</f>
        <v>24.05507937</v>
      </c>
      <c r="J358" s="143">
        <f>'Analisis de operaciones'!K530/'Analisis de operaciones'!K534*$O358</f>
        <v>23.95621032</v>
      </c>
      <c r="K358" s="143">
        <f>'Analisis de operaciones'!L530/'Analisis de operaciones'!L534*$O358</f>
        <v>23.0672619</v>
      </c>
      <c r="L358" s="143">
        <f>'Analisis de operaciones'!M530/'Analisis de operaciones'!M534*$O358</f>
        <v>22.27718254</v>
      </c>
      <c r="M358" s="143">
        <f>'Analisis de operaciones'!N530/'Analisis de operaciones'!N534*$O358</f>
        <v>34.73424603</v>
      </c>
      <c r="N358" s="143">
        <f>'Resumen Capacidad'!$D$46*$B$8*$O358</f>
        <v>150</v>
      </c>
      <c r="O358" s="144">
        <f>$B$35</f>
        <v>1</v>
      </c>
    </row>
    <row r="359" ht="15.75" hidden="1" customHeight="1" outlineLevel="1">
      <c r="A359" s="142" t="s">
        <v>84</v>
      </c>
      <c r="B359" s="143">
        <f>'Analisis de operaciones'!C540/'Analisis de operaciones'!C544*$O359</f>
        <v>52.48500694</v>
      </c>
      <c r="C359" s="143">
        <f>'Analisis de operaciones'!D540/'Analisis de operaciones'!D544*$O359</f>
        <v>40.20399306</v>
      </c>
      <c r="D359" s="143">
        <f>'Analisis de operaciones'!E540/'Analisis de operaciones'!E544*$O359</f>
        <v>38.07087674</v>
      </c>
      <c r="E359" s="143">
        <f>'Analisis de operaciones'!F540/'Analisis de operaciones'!F544*$O359</f>
        <v>36.58419965</v>
      </c>
      <c r="F359" s="143">
        <f>'Analisis de operaciones'!G540/'Analisis de operaciones'!G544*$O359</f>
        <v>34.25728472</v>
      </c>
      <c r="G359" s="143">
        <f>'Analisis de operaciones'!H540/'Analisis de operaciones'!H544*$O359</f>
        <v>33.41704688</v>
      </c>
      <c r="H359" s="143">
        <f>'Analisis de operaciones'!I540/'Analisis de operaciones'!I544*$O359</f>
        <v>35.74396181</v>
      </c>
      <c r="I359" s="143">
        <f>'Analisis de operaciones'!J540/'Analisis de operaciones'!J544*$O359</f>
        <v>35.74396181</v>
      </c>
      <c r="J359" s="143">
        <f>'Analisis de operaciones'!K540/'Analisis de operaciones'!K544*$O359</f>
        <v>35.74396181</v>
      </c>
      <c r="K359" s="143">
        <f>'Analisis de operaciones'!L540/'Analisis de operaciones'!L544*$O359</f>
        <v>34.90372396</v>
      </c>
      <c r="L359" s="143">
        <f>'Analisis de operaciones'!M540/'Analisis de operaciones'!M544*$O359</f>
        <v>34.06348611</v>
      </c>
      <c r="M359" s="143">
        <f>'Analisis de operaciones'!N540/'Analisis de operaciones'!N544*$O359</f>
        <v>54.16548264</v>
      </c>
      <c r="N359" s="143">
        <f>'Resumen Capacidad'!$D$47*$B$8*$O359</f>
        <v>150</v>
      </c>
      <c r="O359" s="144">
        <f>$B$36</f>
        <v>1</v>
      </c>
    </row>
    <row r="360" ht="15.75" hidden="1" customHeight="1" outlineLevel="1">
      <c r="A360" s="142" t="s">
        <v>85</v>
      </c>
      <c r="B360" s="143">
        <f>'Analisis de operaciones'!C1888/'Analisis de operaciones'!C1892*$O360</f>
        <v>11.57811966</v>
      </c>
      <c r="C360" s="143">
        <f>'Analisis de operaciones'!D1888/'Analisis de operaciones'!D1892*$O360</f>
        <v>8.683589744</v>
      </c>
      <c r="D360" s="143">
        <f>'Analisis de operaciones'!E1888/'Analisis de operaciones'!E1892*$O360</f>
        <v>7.718746439</v>
      </c>
      <c r="E360" s="143">
        <f>'Analisis de operaciones'!F1888/'Analisis de operaciones'!F1892*$O360</f>
        <v>7.236324786</v>
      </c>
      <c r="F360" s="143">
        <f>'Analisis de operaciones'!G1888/'Analisis de operaciones'!G1892*$O360</f>
        <v>6.753903134</v>
      </c>
      <c r="G360" s="143">
        <f>'Analisis de operaciones'!H1888/'Analisis de operaciones'!H1892*$O360</f>
        <v>6.753903134</v>
      </c>
      <c r="H360" s="143">
        <f>'Analisis de operaciones'!I1888/'Analisis de operaciones'!I1892*$O360</f>
        <v>7.236324786</v>
      </c>
      <c r="I360" s="143">
        <f>'Analisis de operaciones'!J1888/'Analisis de operaciones'!J1892*$O360</f>
        <v>7.236324786</v>
      </c>
      <c r="J360" s="143">
        <f>'Analisis de operaciones'!K1888/'Analisis de operaciones'!K1892*$O360</f>
        <v>7.236324786</v>
      </c>
      <c r="K360" s="143">
        <f>'Analisis de operaciones'!L1888/'Analisis de operaciones'!L1892*$O360</f>
        <v>7.236324786</v>
      </c>
      <c r="L360" s="143">
        <f>'Analisis de operaciones'!M1888/'Analisis de operaciones'!M1892*$O360</f>
        <v>7.236324786</v>
      </c>
      <c r="M360" s="143">
        <f>'Analisis de operaciones'!N1888/'Analisis de operaciones'!N1892*$O360</f>
        <v>11.57811966</v>
      </c>
      <c r="N360" s="143">
        <f>'Resumen Capacidad'!$D$48*$B$8*$O360</f>
        <v>75</v>
      </c>
      <c r="O360" s="144">
        <f>$B$37</f>
        <v>0.5</v>
      </c>
    </row>
    <row r="361" ht="15.75" hidden="1" customHeight="1" outlineLevel="1">
      <c r="A361" s="141" t="s">
        <v>472</v>
      </c>
    </row>
    <row r="362" ht="15.75" hidden="1" customHeight="1" outlineLevel="1">
      <c r="A362" s="142" t="s">
        <v>88</v>
      </c>
      <c r="B362" s="143">
        <f>'Analisis de operaciones'!C2246/'Analisis de operaciones'!C2250*$O362</f>
        <v>1.95</v>
      </c>
      <c r="C362" s="143">
        <f>'Analisis de operaciones'!D2246/'Analisis de operaciones'!D2250*$O362</f>
        <v>1.720588235</v>
      </c>
      <c r="D362" s="143">
        <f>'Analisis de operaciones'!E2246/'Analisis de operaciones'!E2250*$O362</f>
        <v>2.064705882</v>
      </c>
      <c r="E362" s="143">
        <f>'Analisis de operaciones'!F2246/'Analisis de operaciones'!F2250*$O362</f>
        <v>2.064705882</v>
      </c>
      <c r="F362" s="143">
        <f>'Analisis de operaciones'!G2246/'Analisis de operaciones'!G2250*$O362</f>
        <v>2.064705882</v>
      </c>
      <c r="G362" s="143">
        <f>'Analisis de operaciones'!H2246/'Analisis de operaciones'!H2250*$O362</f>
        <v>1.835294118</v>
      </c>
      <c r="H362" s="143">
        <f>'Analisis de operaciones'!I2246/'Analisis de operaciones'!I2250*$O362</f>
        <v>2.064705882</v>
      </c>
      <c r="I362" s="143">
        <f>'Analisis de operaciones'!J2246/'Analisis de operaciones'!J2250*$O362</f>
        <v>2.064705882</v>
      </c>
      <c r="J362" s="143">
        <f>'Analisis de operaciones'!K2246/'Analisis de operaciones'!K2250*$O362</f>
        <v>1.95</v>
      </c>
      <c r="K362" s="143">
        <f>'Analisis de operaciones'!L2246/'Analisis de operaciones'!L2250*$O362</f>
        <v>1.720588235</v>
      </c>
      <c r="L362" s="143">
        <f>'Analisis de operaciones'!M2246/'Analisis de operaciones'!M2250*$O362</f>
        <v>1.605882353</v>
      </c>
      <c r="M362" s="143">
        <f>'Analisis de operaciones'!N2246/'Analisis de operaciones'!N2250*$O362</f>
        <v>1.835294118</v>
      </c>
      <c r="O362" s="144">
        <f>$B$38</f>
        <v>1</v>
      </c>
    </row>
    <row r="363" ht="15.75" hidden="1" customHeight="1" outlineLevel="1">
      <c r="A363" s="142" t="s">
        <v>89</v>
      </c>
      <c r="B363" s="143">
        <f>'Analisis de operaciones'!C2256/'Analisis de operaciones'!C2260*$O363</f>
        <v>16.25625</v>
      </c>
      <c r="C363" s="143">
        <f>'Analisis de operaciones'!D2256/'Analisis de operaciones'!D2260*$O363</f>
        <v>14.34375</v>
      </c>
      <c r="D363" s="143">
        <f>'Analisis de operaciones'!E2256/'Analisis de operaciones'!E2260*$O363</f>
        <v>17.2125</v>
      </c>
      <c r="E363" s="143">
        <f>'Analisis de operaciones'!F2256/'Analisis de operaciones'!F2260*$O363</f>
        <v>17.2125</v>
      </c>
      <c r="F363" s="143">
        <f>'Analisis de operaciones'!G2256/'Analisis de operaciones'!G2260*$O363</f>
        <v>17.2125</v>
      </c>
      <c r="G363" s="143">
        <f>'Analisis de operaciones'!H2256/'Analisis de operaciones'!H2260*$O363</f>
        <v>15.3</v>
      </c>
      <c r="H363" s="143">
        <f>'Analisis de operaciones'!I2256/'Analisis de operaciones'!I2260*$O363</f>
        <v>17.2125</v>
      </c>
      <c r="I363" s="143">
        <f>'Analisis de operaciones'!J2256/'Analisis de operaciones'!J2260*$O363</f>
        <v>17.2125</v>
      </c>
      <c r="J363" s="143">
        <f>'Analisis de operaciones'!K2256/'Analisis de operaciones'!K2260*$O363</f>
        <v>16.25625</v>
      </c>
      <c r="K363" s="143">
        <f>'Analisis de operaciones'!L2256/'Analisis de operaciones'!L2260*$O363</f>
        <v>14.34375</v>
      </c>
      <c r="L363" s="143">
        <f>'Analisis de operaciones'!M2256/'Analisis de operaciones'!M2260*$O363</f>
        <v>13.3875</v>
      </c>
      <c r="M363" s="143">
        <f>'Analisis de operaciones'!N2256/'Analisis de operaciones'!N2260*$O363</f>
        <v>15.3</v>
      </c>
      <c r="O363" s="144">
        <f>$B$39</f>
        <v>1</v>
      </c>
    </row>
    <row r="364" ht="15.75" hidden="1" customHeight="1" outlineLevel="1">
      <c r="A364" s="142" t="s">
        <v>90</v>
      </c>
      <c r="B364" s="143">
        <f>'Analisis de operaciones'!C2266/'Analisis de operaciones'!C2270*$O364</f>
        <v>0.775</v>
      </c>
      <c r="C364" s="143">
        <f>'Analisis de operaciones'!D2266/'Analisis de operaciones'!D2270*$O364</f>
        <v>0.6838235294</v>
      </c>
      <c r="D364" s="143">
        <f>'Analisis de operaciones'!E2266/'Analisis de operaciones'!E2270*$O364</f>
        <v>0.8205882353</v>
      </c>
      <c r="E364" s="143">
        <f>'Analisis de operaciones'!F2266/'Analisis de operaciones'!F2270*$O364</f>
        <v>0.8205882353</v>
      </c>
      <c r="F364" s="143">
        <f>'Analisis de operaciones'!G2266/'Analisis de operaciones'!G2270*$O364</f>
        <v>0.8205882353</v>
      </c>
      <c r="G364" s="143">
        <f>'Analisis de operaciones'!H2266/'Analisis de operaciones'!H2270*$O364</f>
        <v>0.7294117647</v>
      </c>
      <c r="H364" s="143">
        <f>'Analisis de operaciones'!I2266/'Analisis de operaciones'!I2270*$O364</f>
        <v>0.8205882353</v>
      </c>
      <c r="I364" s="143">
        <f>'Analisis de operaciones'!J2266/'Analisis de operaciones'!J2270*$O364</f>
        <v>0.8205882353</v>
      </c>
      <c r="J364" s="143">
        <f>'Analisis de operaciones'!K2266/'Analisis de operaciones'!K2270*$O364</f>
        <v>0.775</v>
      </c>
      <c r="K364" s="143">
        <f>'Analisis de operaciones'!L2266/'Analisis de operaciones'!L2270*$O364</f>
        <v>0.6838235294</v>
      </c>
      <c r="L364" s="143">
        <f>'Analisis de operaciones'!M2266/'Analisis de operaciones'!M2270*$O364</f>
        <v>0.6382352941</v>
      </c>
      <c r="M364" s="143">
        <f>'Analisis de operaciones'!N2266/'Analisis de operaciones'!N2270*$O364</f>
        <v>0.7294117647</v>
      </c>
      <c r="O364" s="144">
        <f>$B$40</f>
        <v>0.5</v>
      </c>
    </row>
    <row r="365" ht="15.75" hidden="1" customHeight="1" outlineLevel="1">
      <c r="A365" s="142" t="s">
        <v>91</v>
      </c>
      <c r="B365" s="143">
        <f>'Analisis de operaciones'!C2276/'Analisis de operaciones'!C2280*$O365</f>
        <v>0.575</v>
      </c>
      <c r="C365" s="143">
        <f>'Analisis de operaciones'!D2276/'Analisis de operaciones'!D2280*$O365</f>
        <v>0.5073529412</v>
      </c>
      <c r="D365" s="143">
        <f>'Analisis de operaciones'!E2276/'Analisis de operaciones'!E2280*$O365</f>
        <v>0.6088235294</v>
      </c>
      <c r="E365" s="143">
        <f>'Analisis de operaciones'!F2276/'Analisis de operaciones'!F2280*$O365</f>
        <v>0.6088235294</v>
      </c>
      <c r="F365" s="143">
        <f>'Analisis de operaciones'!G2276/'Analisis de operaciones'!G2280*$O365</f>
        <v>0.6088235294</v>
      </c>
      <c r="G365" s="143">
        <f>'Analisis de operaciones'!H2276/'Analisis de operaciones'!H2280*$O365</f>
        <v>0.5411764706</v>
      </c>
      <c r="H365" s="143">
        <f>'Analisis de operaciones'!I2276/'Analisis de operaciones'!I2280*$O365</f>
        <v>0.6088235294</v>
      </c>
      <c r="I365" s="143">
        <f>'Analisis de operaciones'!J2276/'Analisis de operaciones'!J2280*$O365</f>
        <v>0.6088235294</v>
      </c>
      <c r="J365" s="143">
        <f>'Analisis de operaciones'!K2276/'Analisis de operaciones'!K2280*$O365</f>
        <v>0.575</v>
      </c>
      <c r="K365" s="143">
        <f>'Analisis de operaciones'!L2276/'Analisis de operaciones'!L2280*$O365</f>
        <v>0.5073529412</v>
      </c>
      <c r="L365" s="143">
        <f>'Analisis de operaciones'!M2276/'Analisis de operaciones'!M2280*$O365</f>
        <v>0.4735294118</v>
      </c>
      <c r="M365" s="143">
        <f>'Analisis de operaciones'!N2276/'Analisis de operaciones'!N2280*$O365</f>
        <v>0.5411764706</v>
      </c>
      <c r="O365" s="144">
        <f>$B$41</f>
        <v>0.5</v>
      </c>
    </row>
    <row r="366" ht="15.75" hidden="1" customHeight="1" outlineLevel="1">
      <c r="A366" s="142" t="s">
        <v>93</v>
      </c>
      <c r="B366" s="143">
        <f>'Analisis de operaciones'!C2286/'Analisis de operaciones'!C2290*$O366</f>
        <v>0.8</v>
      </c>
      <c r="C366" s="143">
        <f>'Analisis de operaciones'!D2286/'Analisis de operaciones'!D2290*$O366</f>
        <v>0.7058823529</v>
      </c>
      <c r="D366" s="143">
        <f>'Analisis de operaciones'!E2286/'Analisis de operaciones'!E2290*$O366</f>
        <v>0.8470588235</v>
      </c>
      <c r="E366" s="143">
        <f>'Analisis de operaciones'!F2286/'Analisis de operaciones'!F2290*$O366</f>
        <v>0.8470588235</v>
      </c>
      <c r="F366" s="143">
        <f>'Analisis de operaciones'!G2286/'Analisis de operaciones'!G2290*$O366</f>
        <v>0.8470588235</v>
      </c>
      <c r="G366" s="143">
        <f>'Analisis de operaciones'!H2286/'Analisis de operaciones'!H2290*$O366</f>
        <v>0.7529411765</v>
      </c>
      <c r="H366" s="143">
        <f>'Analisis de operaciones'!I2286/'Analisis de operaciones'!I2290*$O366</f>
        <v>0.8470588235</v>
      </c>
      <c r="I366" s="143">
        <f>'Analisis de operaciones'!J2286/'Analisis de operaciones'!J2290*$O366</f>
        <v>0.8470588235</v>
      </c>
      <c r="J366" s="143">
        <f>'Analisis de operaciones'!K2286/'Analisis de operaciones'!K2290*$O366</f>
        <v>0.8</v>
      </c>
      <c r="K366" s="143">
        <f>'Analisis de operaciones'!L2286/'Analisis de operaciones'!L2290*$O366</f>
        <v>0.7058823529</v>
      </c>
      <c r="L366" s="143">
        <f>'Analisis de operaciones'!M2286/'Analisis de operaciones'!M2290*$O366</f>
        <v>0.6588235294</v>
      </c>
      <c r="M366" s="143">
        <f>'Analisis de operaciones'!N2286/'Analisis de operaciones'!N2290*$O366</f>
        <v>0.7529411765</v>
      </c>
      <c r="O366" s="144">
        <f>$B$42</f>
        <v>1</v>
      </c>
    </row>
    <row r="367" ht="15.75" hidden="1" customHeight="1" outlineLevel="1">
      <c r="A367" s="142" t="s">
        <v>94</v>
      </c>
      <c r="B367" s="143">
        <f>'Analisis de operaciones'!C2296/'Analisis de operaciones'!C2300*$O367</f>
        <v>1.025</v>
      </c>
      <c r="C367" s="143">
        <f>'Analisis de operaciones'!D2296/'Analisis de operaciones'!D2300*$O367</f>
        <v>0.9044117647</v>
      </c>
      <c r="D367" s="143">
        <f>'Analisis de operaciones'!E2296/'Analisis de operaciones'!E2300*$O367</f>
        <v>1.085294118</v>
      </c>
      <c r="E367" s="143">
        <f>'Analisis de operaciones'!F2296/'Analisis de operaciones'!F2300*$O367</f>
        <v>1.085294118</v>
      </c>
      <c r="F367" s="143">
        <f>'Analisis de operaciones'!G2296/'Analisis de operaciones'!G2300*$O367</f>
        <v>1.085294118</v>
      </c>
      <c r="G367" s="143">
        <f>'Analisis de operaciones'!H2296/'Analisis de operaciones'!H2300*$O367</f>
        <v>0.9647058824</v>
      </c>
      <c r="H367" s="143">
        <f>'Analisis de operaciones'!I2296/'Analisis de operaciones'!I2300*$O367</f>
        <v>1.085294118</v>
      </c>
      <c r="I367" s="143">
        <f>'Analisis de operaciones'!J2296/'Analisis de operaciones'!J2300*$O367</f>
        <v>1.085294118</v>
      </c>
      <c r="J367" s="143">
        <f>'Analisis de operaciones'!K2296/'Analisis de operaciones'!K2300*$O367</f>
        <v>1.025</v>
      </c>
      <c r="K367" s="143">
        <f>'Analisis de operaciones'!L2296/'Analisis de operaciones'!L2300*$O367</f>
        <v>0.9044117647</v>
      </c>
      <c r="L367" s="143">
        <f>'Analisis de operaciones'!M2296/'Analisis de operaciones'!M2300*$O367</f>
        <v>0.8441176471</v>
      </c>
      <c r="M367" s="143">
        <f>'Analisis de operaciones'!N2296/'Analisis de operaciones'!N2300*$O367</f>
        <v>0.9647058824</v>
      </c>
      <c r="O367" s="144">
        <f>$B$43</f>
        <v>0.5</v>
      </c>
    </row>
    <row r="368" ht="15.75" hidden="1" customHeight="1" outlineLevel="1">
      <c r="A368" s="142" t="s">
        <v>96</v>
      </c>
      <c r="B368" s="143">
        <f>'Analisis de operaciones'!C2306/'Analisis de operaciones'!C2310*$O368</f>
        <v>0.8</v>
      </c>
      <c r="C368" s="143">
        <f>'Analisis de operaciones'!D2306/'Analisis de operaciones'!D2310*$O368</f>
        <v>0.7058823529</v>
      </c>
      <c r="D368" s="143">
        <f>'Analisis de operaciones'!E2306/'Analisis de operaciones'!E2310*$O368</f>
        <v>0.8470588235</v>
      </c>
      <c r="E368" s="143">
        <f>'Analisis de operaciones'!F2306/'Analisis de operaciones'!F2310*$O368</f>
        <v>0.8470588235</v>
      </c>
      <c r="F368" s="143">
        <f>'Analisis de operaciones'!G2306/'Analisis de operaciones'!G2310*$O368</f>
        <v>0.8470588235</v>
      </c>
      <c r="G368" s="143">
        <f>'Analisis de operaciones'!H2306/'Analisis de operaciones'!H2310*$O368</f>
        <v>0.7529411765</v>
      </c>
      <c r="H368" s="143">
        <f>'Analisis de operaciones'!I2306/'Analisis de operaciones'!I2310*$O368</f>
        <v>0.8470588235</v>
      </c>
      <c r="I368" s="143">
        <f>'Analisis de operaciones'!J2306/'Analisis de operaciones'!J2310*$O368</f>
        <v>0.8470588235</v>
      </c>
      <c r="J368" s="143">
        <f>'Analisis de operaciones'!K2306/'Analisis de operaciones'!K2310*$O368</f>
        <v>0.8</v>
      </c>
      <c r="K368" s="143">
        <f>'Analisis de operaciones'!L2306/'Analisis de operaciones'!L2310*$O368</f>
        <v>0.7058823529</v>
      </c>
      <c r="L368" s="143">
        <f>'Analisis de operaciones'!M2306/'Analisis de operaciones'!M2310*$O368</f>
        <v>0.6588235294</v>
      </c>
      <c r="M368" s="143">
        <f>'Analisis de operaciones'!N2306/'Analisis de operaciones'!N2310*$O368</f>
        <v>0.7529411765</v>
      </c>
      <c r="O368" s="144">
        <f>$B$44</f>
        <v>1</v>
      </c>
    </row>
    <row r="369" ht="15.75" hidden="1" customHeight="1" outlineLevel="1">
      <c r="A369" s="142" t="s">
        <v>97</v>
      </c>
      <c r="B369" s="143">
        <f>'Analisis de operaciones'!C2316/'Analisis de operaciones'!C2320*$O369</f>
        <v>5.4</v>
      </c>
      <c r="C369" s="143">
        <f>'Analisis de operaciones'!D2316/'Analisis de operaciones'!D2320*$O369</f>
        <v>4.764705882</v>
      </c>
      <c r="D369" s="143">
        <f>'Analisis de operaciones'!E2316/'Analisis de operaciones'!E2320*$O369</f>
        <v>5.717647059</v>
      </c>
      <c r="E369" s="143">
        <f>'Analisis de operaciones'!F2316/'Analisis de operaciones'!F2320*$O369</f>
        <v>5.717647059</v>
      </c>
      <c r="F369" s="143">
        <f>'Analisis de operaciones'!G2316/'Analisis de operaciones'!G2320*$O369</f>
        <v>5.717647059</v>
      </c>
      <c r="G369" s="143">
        <f>'Analisis de operaciones'!H2316/'Analisis de operaciones'!H2320*$O369</f>
        <v>5.082352941</v>
      </c>
      <c r="H369" s="143">
        <f>'Analisis de operaciones'!I2316/'Analisis de operaciones'!I2320*$O369</f>
        <v>5.717647059</v>
      </c>
      <c r="I369" s="143">
        <f>'Analisis de operaciones'!J2316/'Analisis de operaciones'!J2320*$O369</f>
        <v>5.717647059</v>
      </c>
      <c r="J369" s="143">
        <f>'Analisis de operaciones'!K2316/'Analisis de operaciones'!K2320*$O369</f>
        <v>5.4</v>
      </c>
      <c r="K369" s="143">
        <f>'Analisis de operaciones'!L2316/'Analisis de operaciones'!L2320*$O369</f>
        <v>4.764705882</v>
      </c>
      <c r="L369" s="143">
        <f>'Analisis de operaciones'!M2316/'Analisis de operaciones'!M2320*$O369</f>
        <v>4.447058824</v>
      </c>
      <c r="M369" s="143">
        <f>'Analisis de operaciones'!N2316/'Analisis de operaciones'!N2320*$O369</f>
        <v>5.082352941</v>
      </c>
      <c r="O369" s="144">
        <f>$B$45</f>
        <v>1</v>
      </c>
    </row>
    <row r="370" ht="15.75" hidden="1" customHeight="1" outlineLevel="1">
      <c r="A370" s="142" t="s">
        <v>311</v>
      </c>
      <c r="B370" s="143">
        <f>'Analisis de operaciones'!C2987/'Analisis de operaciones'!C2991*$O370</f>
        <v>6.84019454</v>
      </c>
      <c r="C370" s="143">
        <f>'Analisis de operaciones'!D2987/'Analisis de operaciones'!D2991*$O370</f>
        <v>5.492413347</v>
      </c>
      <c r="D370" s="143">
        <f>'Analisis de operaciones'!E2987/'Analisis de operaciones'!E2991*$O370</f>
        <v>5.865533138</v>
      </c>
      <c r="E370" s="143">
        <f>'Analisis de operaciones'!F2987/'Analisis de operaciones'!F2991*$O370</f>
        <v>5.865533138</v>
      </c>
      <c r="F370" s="143">
        <f>'Analisis de operaciones'!G2987/'Analisis de operaciones'!G2991*$O370</f>
        <v>5.535822738</v>
      </c>
      <c r="G370" s="143">
        <f>'Analisis de operaciones'!H2987/'Analisis de operaciones'!H2991*$O370</f>
        <v>5.177172745</v>
      </c>
      <c r="H370" s="143">
        <f>'Analisis de operaciones'!I2987/'Analisis de operaciones'!I2991*$O370</f>
        <v>5.535822738</v>
      </c>
      <c r="I370" s="143">
        <f>'Analisis de operaciones'!J2987/'Analisis de operaciones'!J2991*$O370</f>
        <v>5.535822738</v>
      </c>
      <c r="J370" s="143">
        <f>'Analisis de operaciones'!K2987/'Analisis de operaciones'!K2991*$O370</f>
        <v>5.521352941</v>
      </c>
      <c r="K370" s="143">
        <f>'Analisis de operaciones'!L2987/'Analisis de operaciones'!L2991*$O370</f>
        <v>5.162702948</v>
      </c>
      <c r="L370" s="143">
        <f>'Analisis de operaciones'!M2987/'Analisis de operaciones'!M2991*$O370</f>
        <v>4.818522751</v>
      </c>
      <c r="M370" s="143">
        <f>'Analisis de operaciones'!N2987/'Analisis de operaciones'!N2991*$O370</f>
        <v>7.485145542</v>
      </c>
      <c r="O370" s="144">
        <v>1.0</v>
      </c>
    </row>
    <row r="371" ht="15.75" hidden="1" customHeight="1" outlineLevel="1">
      <c r="A371" s="141" t="s">
        <v>534</v>
      </c>
    </row>
    <row r="372" ht="15.75" hidden="1" customHeight="1" outlineLevel="1">
      <c r="A372" s="142" t="s">
        <v>26</v>
      </c>
      <c r="B372" s="143">
        <f t="shared" ref="B372:M372" si="150">MAX(0,B341*B$321-$N341)</f>
        <v>0</v>
      </c>
      <c r="C372" s="143">
        <f t="shared" si="150"/>
        <v>0</v>
      </c>
      <c r="D372" s="143">
        <f t="shared" si="150"/>
        <v>0</v>
      </c>
      <c r="E372" s="143">
        <f t="shared" si="150"/>
        <v>0</v>
      </c>
      <c r="F372" s="143">
        <f t="shared" si="150"/>
        <v>0</v>
      </c>
      <c r="G372" s="143">
        <f t="shared" si="150"/>
        <v>0</v>
      </c>
      <c r="H372" s="143">
        <f t="shared" si="150"/>
        <v>0</v>
      </c>
      <c r="I372" s="143">
        <f t="shared" si="150"/>
        <v>0</v>
      </c>
      <c r="J372" s="143">
        <f t="shared" si="150"/>
        <v>0</v>
      </c>
      <c r="K372" s="143">
        <f t="shared" si="150"/>
        <v>0</v>
      </c>
      <c r="L372" s="143">
        <f t="shared" si="150"/>
        <v>0</v>
      </c>
      <c r="M372" s="143">
        <f t="shared" si="150"/>
        <v>0</v>
      </c>
    </row>
    <row r="373" ht="15.75" hidden="1" customHeight="1" outlineLevel="1">
      <c r="A373" s="142" t="s">
        <v>55</v>
      </c>
      <c r="B373" s="143">
        <f t="shared" ref="B373:M373" si="151">MAX(0,B342*B$321-$N342)</f>
        <v>0</v>
      </c>
      <c r="C373" s="143">
        <f t="shared" si="151"/>
        <v>0</v>
      </c>
      <c r="D373" s="143">
        <f t="shared" si="151"/>
        <v>0</v>
      </c>
      <c r="E373" s="143">
        <f t="shared" si="151"/>
        <v>0</v>
      </c>
      <c r="F373" s="143">
        <f t="shared" si="151"/>
        <v>0</v>
      </c>
      <c r="G373" s="143">
        <f t="shared" si="151"/>
        <v>0</v>
      </c>
      <c r="H373" s="143">
        <f t="shared" si="151"/>
        <v>0</v>
      </c>
      <c r="I373" s="143">
        <f t="shared" si="151"/>
        <v>0</v>
      </c>
      <c r="J373" s="143">
        <f t="shared" si="151"/>
        <v>0</v>
      </c>
      <c r="K373" s="143">
        <f t="shared" si="151"/>
        <v>0</v>
      </c>
      <c r="L373" s="143">
        <f t="shared" si="151"/>
        <v>0</v>
      </c>
      <c r="M373" s="143">
        <f t="shared" si="151"/>
        <v>0</v>
      </c>
    </row>
    <row r="374" ht="15.75" hidden="1" customHeight="1" outlineLevel="1">
      <c r="A374" s="142" t="s">
        <v>61</v>
      </c>
      <c r="B374" s="143">
        <f t="shared" ref="B374:M374" si="152">MAX(0,B343*B$321-$N343)</f>
        <v>0</v>
      </c>
      <c r="C374" s="143">
        <f t="shared" si="152"/>
        <v>0</v>
      </c>
      <c r="D374" s="143">
        <f t="shared" si="152"/>
        <v>0</v>
      </c>
      <c r="E374" s="143">
        <f t="shared" si="152"/>
        <v>0</v>
      </c>
      <c r="F374" s="143">
        <f t="shared" si="152"/>
        <v>0</v>
      </c>
      <c r="G374" s="143">
        <f t="shared" si="152"/>
        <v>0</v>
      </c>
      <c r="H374" s="143">
        <f t="shared" si="152"/>
        <v>0</v>
      </c>
      <c r="I374" s="143">
        <f t="shared" si="152"/>
        <v>0</v>
      </c>
      <c r="J374" s="143">
        <f t="shared" si="152"/>
        <v>0</v>
      </c>
      <c r="K374" s="143">
        <f t="shared" si="152"/>
        <v>0</v>
      </c>
      <c r="L374" s="143">
        <f t="shared" si="152"/>
        <v>0</v>
      </c>
      <c r="M374" s="143">
        <f t="shared" si="152"/>
        <v>0</v>
      </c>
    </row>
    <row r="375" ht="15.75" hidden="1" customHeight="1" outlineLevel="1">
      <c r="A375" s="142" t="s">
        <v>62</v>
      </c>
      <c r="B375" s="143">
        <f t="shared" ref="B375:M375" si="153">MAX(0,B344*B$321-$N344)</f>
        <v>0</v>
      </c>
      <c r="C375" s="143">
        <f t="shared" si="153"/>
        <v>0</v>
      </c>
      <c r="D375" s="143">
        <f t="shared" si="153"/>
        <v>0</v>
      </c>
      <c r="E375" s="143">
        <f t="shared" si="153"/>
        <v>0</v>
      </c>
      <c r="F375" s="143">
        <f t="shared" si="153"/>
        <v>0</v>
      </c>
      <c r="G375" s="143">
        <f t="shared" si="153"/>
        <v>0</v>
      </c>
      <c r="H375" s="143">
        <f t="shared" si="153"/>
        <v>0</v>
      </c>
      <c r="I375" s="143">
        <f t="shared" si="153"/>
        <v>0</v>
      </c>
      <c r="J375" s="143">
        <f t="shared" si="153"/>
        <v>0</v>
      </c>
      <c r="K375" s="143">
        <f t="shared" si="153"/>
        <v>0</v>
      </c>
      <c r="L375" s="143">
        <f t="shared" si="153"/>
        <v>0</v>
      </c>
      <c r="M375" s="143">
        <f t="shared" si="153"/>
        <v>0</v>
      </c>
    </row>
    <row r="376" ht="15.75" hidden="1" customHeight="1" outlineLevel="1">
      <c r="A376" s="142" t="s">
        <v>63</v>
      </c>
      <c r="B376" s="143">
        <f t="shared" ref="B376:M376" si="154">MAX(0,B345*B$321-$N345)</f>
        <v>0</v>
      </c>
      <c r="C376" s="143">
        <f t="shared" si="154"/>
        <v>0</v>
      </c>
      <c r="D376" s="143">
        <f t="shared" si="154"/>
        <v>0</v>
      </c>
      <c r="E376" s="143">
        <f t="shared" si="154"/>
        <v>0</v>
      </c>
      <c r="F376" s="143">
        <f t="shared" si="154"/>
        <v>0</v>
      </c>
      <c r="G376" s="143">
        <f t="shared" si="154"/>
        <v>0</v>
      </c>
      <c r="H376" s="143">
        <f t="shared" si="154"/>
        <v>0</v>
      </c>
      <c r="I376" s="143">
        <f t="shared" si="154"/>
        <v>0</v>
      </c>
      <c r="J376" s="143">
        <f t="shared" si="154"/>
        <v>0</v>
      </c>
      <c r="K376" s="143">
        <f t="shared" si="154"/>
        <v>0</v>
      </c>
      <c r="L376" s="143">
        <f t="shared" si="154"/>
        <v>0</v>
      </c>
      <c r="M376" s="143">
        <f t="shared" si="154"/>
        <v>0</v>
      </c>
    </row>
    <row r="377" ht="15.75" hidden="1" customHeight="1" outlineLevel="1">
      <c r="A377" s="142" t="s">
        <v>64</v>
      </c>
      <c r="B377" s="143">
        <f t="shared" ref="B377:M377" si="155">MAX(0,B346*B$321-$N346)</f>
        <v>0</v>
      </c>
      <c r="C377" s="143">
        <f t="shared" si="155"/>
        <v>0</v>
      </c>
      <c r="D377" s="143">
        <f t="shared" si="155"/>
        <v>0</v>
      </c>
      <c r="E377" s="143">
        <f t="shared" si="155"/>
        <v>0</v>
      </c>
      <c r="F377" s="143">
        <f t="shared" si="155"/>
        <v>0</v>
      </c>
      <c r="G377" s="143">
        <f t="shared" si="155"/>
        <v>0</v>
      </c>
      <c r="H377" s="143">
        <f t="shared" si="155"/>
        <v>0</v>
      </c>
      <c r="I377" s="143">
        <f t="shared" si="155"/>
        <v>0</v>
      </c>
      <c r="J377" s="143">
        <f t="shared" si="155"/>
        <v>0</v>
      </c>
      <c r="K377" s="143">
        <f t="shared" si="155"/>
        <v>0</v>
      </c>
      <c r="L377" s="143">
        <f t="shared" si="155"/>
        <v>0</v>
      </c>
      <c r="M377" s="143">
        <f t="shared" si="155"/>
        <v>0</v>
      </c>
    </row>
    <row r="378" ht="15.75" hidden="1" customHeight="1" outlineLevel="1">
      <c r="A378" s="142" t="s">
        <v>66</v>
      </c>
      <c r="B378" s="143">
        <f t="shared" ref="B378:M378" si="156">MAX(0,B347*B$321-$N347)</f>
        <v>0</v>
      </c>
      <c r="C378" s="143">
        <f t="shared" si="156"/>
        <v>0</v>
      </c>
      <c r="D378" s="143">
        <f t="shared" si="156"/>
        <v>0</v>
      </c>
      <c r="E378" s="143">
        <f t="shared" si="156"/>
        <v>0</v>
      </c>
      <c r="F378" s="143">
        <f t="shared" si="156"/>
        <v>0</v>
      </c>
      <c r="G378" s="143">
        <f t="shared" si="156"/>
        <v>0</v>
      </c>
      <c r="H378" s="143">
        <f t="shared" si="156"/>
        <v>0</v>
      </c>
      <c r="I378" s="143">
        <f t="shared" si="156"/>
        <v>0</v>
      </c>
      <c r="J378" s="143">
        <f t="shared" si="156"/>
        <v>0</v>
      </c>
      <c r="K378" s="143">
        <f t="shared" si="156"/>
        <v>0</v>
      </c>
      <c r="L378" s="143">
        <f t="shared" si="156"/>
        <v>0</v>
      </c>
      <c r="M378" s="143">
        <f t="shared" si="156"/>
        <v>0</v>
      </c>
    </row>
    <row r="379" ht="15.75" hidden="1" customHeight="1" outlineLevel="1">
      <c r="A379" s="142" t="s">
        <v>67</v>
      </c>
      <c r="B379" s="143">
        <f t="shared" ref="B379:M379" si="157">MAX(0,B348*B$321-$N348)</f>
        <v>0</v>
      </c>
      <c r="C379" s="143">
        <f t="shared" si="157"/>
        <v>0</v>
      </c>
      <c r="D379" s="143">
        <f t="shared" si="157"/>
        <v>0</v>
      </c>
      <c r="E379" s="143">
        <f t="shared" si="157"/>
        <v>0</v>
      </c>
      <c r="F379" s="143">
        <f t="shared" si="157"/>
        <v>0</v>
      </c>
      <c r="G379" s="143">
        <f t="shared" si="157"/>
        <v>0</v>
      </c>
      <c r="H379" s="143">
        <f t="shared" si="157"/>
        <v>0</v>
      </c>
      <c r="I379" s="143">
        <f t="shared" si="157"/>
        <v>0</v>
      </c>
      <c r="J379" s="143">
        <f t="shared" si="157"/>
        <v>0</v>
      </c>
      <c r="K379" s="143">
        <f t="shared" si="157"/>
        <v>0</v>
      </c>
      <c r="L379" s="143">
        <f t="shared" si="157"/>
        <v>0</v>
      </c>
      <c r="M379" s="143">
        <f t="shared" si="157"/>
        <v>0</v>
      </c>
    </row>
    <row r="380" ht="15.75" hidden="1" customHeight="1" outlineLevel="1">
      <c r="A380" s="142" t="s">
        <v>68</v>
      </c>
      <c r="B380" s="143">
        <f t="shared" ref="B380:M380" si="158">MAX(0,B349*B$321-$N349)</f>
        <v>0</v>
      </c>
      <c r="C380" s="143">
        <f t="shared" si="158"/>
        <v>0</v>
      </c>
      <c r="D380" s="143">
        <f t="shared" si="158"/>
        <v>0</v>
      </c>
      <c r="E380" s="143">
        <f t="shared" si="158"/>
        <v>0</v>
      </c>
      <c r="F380" s="143">
        <f t="shared" si="158"/>
        <v>0</v>
      </c>
      <c r="G380" s="143">
        <f t="shared" si="158"/>
        <v>0</v>
      </c>
      <c r="H380" s="143">
        <f t="shared" si="158"/>
        <v>0</v>
      </c>
      <c r="I380" s="143">
        <f t="shared" si="158"/>
        <v>0</v>
      </c>
      <c r="J380" s="143">
        <f t="shared" si="158"/>
        <v>0</v>
      </c>
      <c r="K380" s="143">
        <f t="shared" si="158"/>
        <v>0</v>
      </c>
      <c r="L380" s="143">
        <f t="shared" si="158"/>
        <v>0</v>
      </c>
      <c r="M380" s="143">
        <f t="shared" si="158"/>
        <v>0</v>
      </c>
    </row>
    <row r="381" ht="15.75" hidden="1" customHeight="1" outlineLevel="1">
      <c r="A381" s="142" t="s">
        <v>70</v>
      </c>
      <c r="B381" s="143">
        <f t="shared" ref="B381:M381" si="159">MAX(0,B350*B$321-$N350)</f>
        <v>0</v>
      </c>
      <c r="C381" s="143">
        <f t="shared" si="159"/>
        <v>0</v>
      </c>
      <c r="D381" s="143">
        <f t="shared" si="159"/>
        <v>0</v>
      </c>
      <c r="E381" s="143">
        <f t="shared" si="159"/>
        <v>0</v>
      </c>
      <c r="F381" s="143">
        <f t="shared" si="159"/>
        <v>0</v>
      </c>
      <c r="G381" s="143">
        <f t="shared" si="159"/>
        <v>0</v>
      </c>
      <c r="H381" s="143">
        <f t="shared" si="159"/>
        <v>0</v>
      </c>
      <c r="I381" s="143">
        <f t="shared" si="159"/>
        <v>0</v>
      </c>
      <c r="J381" s="143">
        <f t="shared" si="159"/>
        <v>0</v>
      </c>
      <c r="K381" s="143">
        <f t="shared" si="159"/>
        <v>0</v>
      </c>
      <c r="L381" s="143">
        <f t="shared" si="159"/>
        <v>0</v>
      </c>
      <c r="M381" s="143">
        <f t="shared" si="159"/>
        <v>0</v>
      </c>
    </row>
    <row r="382" ht="15.75" hidden="1" customHeight="1" outlineLevel="1">
      <c r="A382" s="142" t="s">
        <v>72</v>
      </c>
      <c r="B382" s="143">
        <f t="shared" ref="B382:M382" si="160">MAX(0,B351*B$321-$N351)</f>
        <v>0</v>
      </c>
      <c r="C382" s="143">
        <f t="shared" si="160"/>
        <v>0</v>
      </c>
      <c r="D382" s="143">
        <f t="shared" si="160"/>
        <v>0</v>
      </c>
      <c r="E382" s="143">
        <f t="shared" si="160"/>
        <v>0</v>
      </c>
      <c r="F382" s="143">
        <f t="shared" si="160"/>
        <v>0</v>
      </c>
      <c r="G382" s="143">
        <f t="shared" si="160"/>
        <v>0</v>
      </c>
      <c r="H382" s="143">
        <f t="shared" si="160"/>
        <v>0</v>
      </c>
      <c r="I382" s="143">
        <f t="shared" si="160"/>
        <v>0</v>
      </c>
      <c r="J382" s="143">
        <f t="shared" si="160"/>
        <v>0</v>
      </c>
      <c r="K382" s="143">
        <f t="shared" si="160"/>
        <v>0</v>
      </c>
      <c r="L382" s="143">
        <f t="shared" si="160"/>
        <v>0</v>
      </c>
      <c r="M382" s="143">
        <f t="shared" si="160"/>
        <v>0</v>
      </c>
    </row>
    <row r="383" ht="15.75" hidden="1" customHeight="1" outlineLevel="1">
      <c r="A383" s="142" t="s">
        <v>74</v>
      </c>
      <c r="B383" s="143">
        <f t="shared" ref="B383:M383" si="161">MAX(0,B352*B$321-$N352)</f>
        <v>0</v>
      </c>
      <c r="C383" s="143">
        <f t="shared" si="161"/>
        <v>0</v>
      </c>
      <c r="D383" s="143">
        <f t="shared" si="161"/>
        <v>0</v>
      </c>
      <c r="E383" s="143">
        <f t="shared" si="161"/>
        <v>0</v>
      </c>
      <c r="F383" s="143">
        <f t="shared" si="161"/>
        <v>0</v>
      </c>
      <c r="G383" s="143">
        <f t="shared" si="161"/>
        <v>0</v>
      </c>
      <c r="H383" s="143">
        <f t="shared" si="161"/>
        <v>0</v>
      </c>
      <c r="I383" s="143">
        <f t="shared" si="161"/>
        <v>0</v>
      </c>
      <c r="J383" s="143">
        <f t="shared" si="161"/>
        <v>0</v>
      </c>
      <c r="K383" s="143">
        <f t="shared" si="161"/>
        <v>0</v>
      </c>
      <c r="L383" s="143">
        <f t="shared" si="161"/>
        <v>0</v>
      </c>
      <c r="M383" s="143">
        <f t="shared" si="161"/>
        <v>0</v>
      </c>
    </row>
    <row r="384" ht="15.75" hidden="1" customHeight="1" outlineLevel="1">
      <c r="A384" s="142" t="s">
        <v>76</v>
      </c>
      <c r="B384" s="143">
        <f t="shared" ref="B384:M384" si="162">MAX(0,B353*B$321-$N353)</f>
        <v>0</v>
      </c>
      <c r="C384" s="143">
        <f t="shared" si="162"/>
        <v>0</v>
      </c>
      <c r="D384" s="143">
        <f t="shared" si="162"/>
        <v>0</v>
      </c>
      <c r="E384" s="143">
        <f t="shared" si="162"/>
        <v>0</v>
      </c>
      <c r="F384" s="143">
        <f t="shared" si="162"/>
        <v>0</v>
      </c>
      <c r="G384" s="143">
        <f t="shared" si="162"/>
        <v>0</v>
      </c>
      <c r="H384" s="143">
        <f t="shared" si="162"/>
        <v>0</v>
      </c>
      <c r="I384" s="143">
        <f t="shared" si="162"/>
        <v>0</v>
      </c>
      <c r="J384" s="143">
        <f t="shared" si="162"/>
        <v>0</v>
      </c>
      <c r="K384" s="143">
        <f t="shared" si="162"/>
        <v>0</v>
      </c>
      <c r="L384" s="143">
        <f t="shared" si="162"/>
        <v>0</v>
      </c>
      <c r="M384" s="143">
        <f t="shared" si="162"/>
        <v>0</v>
      </c>
    </row>
    <row r="385" ht="15.75" hidden="1" customHeight="1" outlineLevel="1">
      <c r="A385" s="142" t="s">
        <v>77</v>
      </c>
      <c r="B385" s="143">
        <f t="shared" ref="B385:M385" si="163">MAX(0,B354*B$321-$N354)</f>
        <v>0</v>
      </c>
      <c r="C385" s="143">
        <f t="shared" si="163"/>
        <v>0</v>
      </c>
      <c r="D385" s="143">
        <f t="shared" si="163"/>
        <v>0</v>
      </c>
      <c r="E385" s="143">
        <f t="shared" si="163"/>
        <v>0</v>
      </c>
      <c r="F385" s="143">
        <f t="shared" si="163"/>
        <v>0</v>
      </c>
      <c r="G385" s="143">
        <f t="shared" si="163"/>
        <v>0</v>
      </c>
      <c r="H385" s="143">
        <f t="shared" si="163"/>
        <v>0</v>
      </c>
      <c r="I385" s="143">
        <f t="shared" si="163"/>
        <v>0</v>
      </c>
      <c r="J385" s="143">
        <f t="shared" si="163"/>
        <v>0</v>
      </c>
      <c r="K385" s="143">
        <f t="shared" si="163"/>
        <v>0</v>
      </c>
      <c r="L385" s="143">
        <f t="shared" si="163"/>
        <v>0</v>
      </c>
      <c r="M385" s="143">
        <f t="shared" si="163"/>
        <v>0</v>
      </c>
    </row>
    <row r="386" ht="15.75" hidden="1" customHeight="1" outlineLevel="1">
      <c r="A386" s="142" t="s">
        <v>79</v>
      </c>
      <c r="B386" s="143">
        <f t="shared" ref="B386:M386" si="164">MAX(0,B355*B$321-$N355)</f>
        <v>0</v>
      </c>
      <c r="C386" s="143">
        <f t="shared" si="164"/>
        <v>0</v>
      </c>
      <c r="D386" s="143">
        <f t="shared" si="164"/>
        <v>0</v>
      </c>
      <c r="E386" s="143">
        <f t="shared" si="164"/>
        <v>0</v>
      </c>
      <c r="F386" s="143">
        <f t="shared" si="164"/>
        <v>0</v>
      </c>
      <c r="G386" s="143">
        <f t="shared" si="164"/>
        <v>0</v>
      </c>
      <c r="H386" s="143">
        <f t="shared" si="164"/>
        <v>0</v>
      </c>
      <c r="I386" s="143">
        <f t="shared" si="164"/>
        <v>0</v>
      </c>
      <c r="J386" s="143">
        <f t="shared" si="164"/>
        <v>0</v>
      </c>
      <c r="K386" s="143">
        <f t="shared" si="164"/>
        <v>0</v>
      </c>
      <c r="L386" s="143">
        <f t="shared" si="164"/>
        <v>0</v>
      </c>
      <c r="M386" s="143">
        <f t="shared" si="164"/>
        <v>0</v>
      </c>
    </row>
    <row r="387" ht="15.75" hidden="1" customHeight="1" outlineLevel="1">
      <c r="A387" s="142" t="s">
        <v>81</v>
      </c>
      <c r="B387" s="143">
        <f t="shared" ref="B387:M387" si="165">MAX(0,B356*B$321-$N356)</f>
        <v>0</v>
      </c>
      <c r="C387" s="143">
        <f t="shared" si="165"/>
        <v>0</v>
      </c>
      <c r="D387" s="143">
        <f t="shared" si="165"/>
        <v>0</v>
      </c>
      <c r="E387" s="143">
        <f t="shared" si="165"/>
        <v>0</v>
      </c>
      <c r="F387" s="143">
        <f t="shared" si="165"/>
        <v>0</v>
      </c>
      <c r="G387" s="143">
        <f t="shared" si="165"/>
        <v>0</v>
      </c>
      <c r="H387" s="143">
        <f t="shared" si="165"/>
        <v>0</v>
      </c>
      <c r="I387" s="143">
        <f t="shared" si="165"/>
        <v>0</v>
      </c>
      <c r="J387" s="143">
        <f t="shared" si="165"/>
        <v>0</v>
      </c>
      <c r="K387" s="143">
        <f t="shared" si="165"/>
        <v>0</v>
      </c>
      <c r="L387" s="143">
        <f t="shared" si="165"/>
        <v>0</v>
      </c>
      <c r="M387" s="143">
        <f t="shared" si="165"/>
        <v>0</v>
      </c>
    </row>
    <row r="388" ht="15.75" hidden="1" customHeight="1" outlineLevel="1">
      <c r="A388" s="142" t="s">
        <v>82</v>
      </c>
      <c r="B388" s="143">
        <f t="shared" ref="B388:M388" si="166">MAX(0,B357*B$321-$N357)</f>
        <v>0</v>
      </c>
      <c r="C388" s="143">
        <f t="shared" si="166"/>
        <v>0</v>
      </c>
      <c r="D388" s="143">
        <f t="shared" si="166"/>
        <v>0</v>
      </c>
      <c r="E388" s="143">
        <f t="shared" si="166"/>
        <v>0</v>
      </c>
      <c r="F388" s="143">
        <f t="shared" si="166"/>
        <v>0</v>
      </c>
      <c r="G388" s="143">
        <f t="shared" si="166"/>
        <v>0</v>
      </c>
      <c r="H388" s="143">
        <f t="shared" si="166"/>
        <v>0</v>
      </c>
      <c r="I388" s="143">
        <f t="shared" si="166"/>
        <v>0</v>
      </c>
      <c r="J388" s="143">
        <f t="shared" si="166"/>
        <v>0</v>
      </c>
      <c r="K388" s="143">
        <f t="shared" si="166"/>
        <v>0</v>
      </c>
      <c r="L388" s="143">
        <f t="shared" si="166"/>
        <v>0</v>
      </c>
      <c r="M388" s="143">
        <f t="shared" si="166"/>
        <v>0</v>
      </c>
    </row>
    <row r="389" ht="15.75" hidden="1" customHeight="1" outlineLevel="1">
      <c r="A389" s="142" t="s">
        <v>83</v>
      </c>
      <c r="B389" s="143">
        <f t="shared" ref="B389:M389" si="167">MAX(0,B358*B$321-$N358)</f>
        <v>0</v>
      </c>
      <c r="C389" s="143">
        <f t="shared" si="167"/>
        <v>0</v>
      </c>
      <c r="D389" s="143">
        <f t="shared" si="167"/>
        <v>0</v>
      </c>
      <c r="E389" s="143">
        <f t="shared" si="167"/>
        <v>0</v>
      </c>
      <c r="F389" s="143">
        <f t="shared" si="167"/>
        <v>0</v>
      </c>
      <c r="G389" s="143">
        <f t="shared" si="167"/>
        <v>0</v>
      </c>
      <c r="H389" s="143">
        <f t="shared" si="167"/>
        <v>0</v>
      </c>
      <c r="I389" s="143">
        <f t="shared" si="167"/>
        <v>0</v>
      </c>
      <c r="J389" s="143">
        <f t="shared" si="167"/>
        <v>0</v>
      </c>
      <c r="K389" s="143">
        <f t="shared" si="167"/>
        <v>0</v>
      </c>
      <c r="L389" s="143">
        <f t="shared" si="167"/>
        <v>0</v>
      </c>
      <c r="M389" s="143">
        <f t="shared" si="167"/>
        <v>0</v>
      </c>
    </row>
    <row r="390" ht="15.75" hidden="1" customHeight="1" outlineLevel="1">
      <c r="A390" s="142" t="s">
        <v>84</v>
      </c>
      <c r="B390" s="143">
        <f t="shared" ref="B390:M390" si="168">MAX(0,B359*B$321-$N359)</f>
        <v>0</v>
      </c>
      <c r="C390" s="143">
        <f t="shared" si="168"/>
        <v>0</v>
      </c>
      <c r="D390" s="143">
        <f t="shared" si="168"/>
        <v>0</v>
      </c>
      <c r="E390" s="143">
        <f t="shared" si="168"/>
        <v>0</v>
      </c>
      <c r="F390" s="143">
        <f t="shared" si="168"/>
        <v>0</v>
      </c>
      <c r="G390" s="143">
        <f t="shared" si="168"/>
        <v>0</v>
      </c>
      <c r="H390" s="143">
        <f t="shared" si="168"/>
        <v>0</v>
      </c>
      <c r="I390" s="143">
        <f t="shared" si="168"/>
        <v>0</v>
      </c>
      <c r="J390" s="143">
        <f t="shared" si="168"/>
        <v>0</v>
      </c>
      <c r="K390" s="143">
        <f t="shared" si="168"/>
        <v>0</v>
      </c>
      <c r="L390" s="143">
        <f t="shared" si="168"/>
        <v>0</v>
      </c>
      <c r="M390" s="143">
        <f t="shared" si="168"/>
        <v>0</v>
      </c>
    </row>
    <row r="391" ht="15.75" hidden="1" customHeight="1" outlineLevel="1">
      <c r="A391" s="142" t="s">
        <v>85</v>
      </c>
      <c r="B391" s="143">
        <f t="shared" ref="B391:M391" si="169">MAX(0,B360*B$321-$N360)</f>
        <v>0</v>
      </c>
      <c r="C391" s="143">
        <f t="shared" si="169"/>
        <v>0</v>
      </c>
      <c r="D391" s="143">
        <f t="shared" si="169"/>
        <v>0</v>
      </c>
      <c r="E391" s="143">
        <f t="shared" si="169"/>
        <v>0</v>
      </c>
      <c r="F391" s="143">
        <f t="shared" si="169"/>
        <v>0</v>
      </c>
      <c r="G391" s="143">
        <f t="shared" si="169"/>
        <v>0</v>
      </c>
      <c r="H391" s="143">
        <f t="shared" si="169"/>
        <v>0</v>
      </c>
      <c r="I391" s="143">
        <f t="shared" si="169"/>
        <v>0</v>
      </c>
      <c r="J391" s="143">
        <f t="shared" si="169"/>
        <v>0</v>
      </c>
      <c r="K391" s="143">
        <f t="shared" si="169"/>
        <v>0</v>
      </c>
      <c r="L391" s="143">
        <f t="shared" si="169"/>
        <v>0</v>
      </c>
      <c r="M391" s="143">
        <f t="shared" si="169"/>
        <v>0</v>
      </c>
    </row>
    <row r="392" ht="15.75" customHeight="1"/>
    <row r="393" ht="15.75" customHeight="1"/>
    <row r="394" ht="15.75" customHeight="1">
      <c r="A394" s="45" t="s">
        <v>697</v>
      </c>
      <c r="B394" s="69"/>
      <c r="C394" s="69"/>
      <c r="D394" s="69"/>
      <c r="E394" s="69"/>
      <c r="F394" s="69"/>
      <c r="G394" s="69"/>
      <c r="H394" s="69"/>
      <c r="I394" s="69"/>
      <c r="J394" s="69"/>
      <c r="K394" s="69"/>
      <c r="L394" s="69"/>
      <c r="M394" s="69"/>
      <c r="N394" s="69"/>
    </row>
    <row r="395" ht="15.75" customHeight="1">
      <c r="A395" s="73" t="s">
        <v>270</v>
      </c>
      <c r="B395" s="36">
        <f>'Resumen Capacidad'!E85</f>
        <v>1</v>
      </c>
    </row>
    <row r="396" ht="15.75" customHeight="1">
      <c r="A396" s="30" t="s">
        <v>333</v>
      </c>
      <c r="B396" s="84">
        <f>IF($B$5=1,MAX(MAX(B410:L410),M409),MAX(B410:M410))</f>
        <v>902.9861889</v>
      </c>
    </row>
    <row r="397" ht="15.75" customHeight="1">
      <c r="A397" s="73" t="s">
        <v>275</v>
      </c>
      <c r="B397" s="115">
        <f>MIN('Resumen Capacidad'!E$49+'Resumen Capacidad'!E$228+'Resumen Capacidad'!E$235,MAX($B$13,ROUNDUP(B396/$B$11,0)))</f>
        <v>6</v>
      </c>
      <c r="C397" s="22" t="s">
        <v>339</v>
      </c>
    </row>
    <row r="398" ht="15.75" customHeight="1">
      <c r="A398" s="73" t="s">
        <v>284</v>
      </c>
      <c r="B398" s="115">
        <f>IF(B395=2,ROUNDUP(MAX(B416:M416)/$B$11,0),0)</f>
        <v>0</v>
      </c>
      <c r="C398" s="22" t="s">
        <v>341</v>
      </c>
    </row>
    <row r="399" ht="15.75" customHeight="1">
      <c r="A399" s="73" t="s">
        <v>280</v>
      </c>
      <c r="B399" s="115">
        <f>IF(MAX(B426:M426)=0,0,MAX(Parametros!$B$73,ROUNDUP(MAX(B426:M426)/$B$11,0)))</f>
        <v>6</v>
      </c>
      <c r="C399" s="22" t="s">
        <v>345</v>
      </c>
    </row>
    <row r="400" ht="15.75" customHeight="1">
      <c r="A400" s="73" t="s">
        <v>286</v>
      </c>
      <c r="B400" s="115">
        <f>IF(B395=2,MAX(1,ROUNDUP(MAX(B420:M420)/$B$11,0)),0)</f>
        <v>0</v>
      </c>
      <c r="C400" s="22" t="s">
        <v>347</v>
      </c>
    </row>
    <row r="401" ht="15.75" customHeight="1"/>
    <row r="402" ht="15.75" customHeight="1">
      <c r="A402" s="29" t="s">
        <v>188</v>
      </c>
      <c r="B402" s="29" t="s">
        <v>109</v>
      </c>
      <c r="C402" s="29" t="s">
        <v>110</v>
      </c>
      <c r="D402" s="29" t="s">
        <v>111</v>
      </c>
      <c r="E402" s="29" t="s">
        <v>112</v>
      </c>
      <c r="F402" s="29" t="s">
        <v>113</v>
      </c>
      <c r="G402" s="29" t="s">
        <v>114</v>
      </c>
      <c r="H402" s="29" t="s">
        <v>115</v>
      </c>
      <c r="I402" s="29" t="s">
        <v>116</v>
      </c>
      <c r="J402" s="29" t="s">
        <v>117</v>
      </c>
      <c r="K402" s="29" t="s">
        <v>118</v>
      </c>
      <c r="L402" s="29" t="s">
        <v>119</v>
      </c>
      <c r="M402" s="29" t="s">
        <v>120</v>
      </c>
      <c r="N402" s="29" t="s">
        <v>348</v>
      </c>
    </row>
    <row r="403" ht="15.75" customHeight="1">
      <c r="A403" s="30" t="s">
        <v>349</v>
      </c>
      <c r="B403" s="64">
        <f>E$74*B$53</f>
        <v>0</v>
      </c>
      <c r="C403" s="64">
        <f>E$74*C$53</f>
        <v>67.5</v>
      </c>
      <c r="D403" s="64">
        <f>E$74*D$53</f>
        <v>90</v>
      </c>
      <c r="E403" s="64">
        <f>E$74*E$53</f>
        <v>90</v>
      </c>
      <c r="F403" s="64">
        <f>E$74*F$53</f>
        <v>0</v>
      </c>
      <c r="G403" s="64">
        <f>E$74*G$53</f>
        <v>0</v>
      </c>
      <c r="H403" s="64">
        <f>E$74*H$53</f>
        <v>112.5</v>
      </c>
      <c r="I403" s="64">
        <f>E$74*I$53</f>
        <v>0</v>
      </c>
      <c r="J403" s="64">
        <f>E$74*J$53</f>
        <v>0</v>
      </c>
      <c r="K403" s="64">
        <f>E$74*K$53</f>
        <v>45</v>
      </c>
      <c r="L403" s="64">
        <f>E$74*L$53</f>
        <v>45</v>
      </c>
      <c r="M403" s="64">
        <f>E$74*M$53</f>
        <v>0</v>
      </c>
      <c r="N403" s="84">
        <f t="shared" ref="N403:N426" si="170">MAX(B403:M403)</f>
        <v>112.5</v>
      </c>
    </row>
    <row r="404" ht="15.75" customHeight="1">
      <c r="A404" s="30" t="s">
        <v>359</v>
      </c>
      <c r="B404" s="64">
        <f>E$78*B$53</f>
        <v>0</v>
      </c>
      <c r="C404" s="64">
        <f>E$78*C$53</f>
        <v>0</v>
      </c>
      <c r="D404" s="64">
        <f>E$78*D$53</f>
        <v>0</v>
      </c>
      <c r="E404" s="64">
        <f>E$78*E$53</f>
        <v>0</v>
      </c>
      <c r="F404" s="64">
        <f>E$78*F$53</f>
        <v>0</v>
      </c>
      <c r="G404" s="64">
        <f>E$78*G$53</f>
        <v>0</v>
      </c>
      <c r="H404" s="64">
        <f>E$78*H$53</f>
        <v>0</v>
      </c>
      <c r="I404" s="64">
        <f>E$78*I$53</f>
        <v>0</v>
      </c>
      <c r="J404" s="64">
        <f>E$78*J$53</f>
        <v>0</v>
      </c>
      <c r="K404" s="64">
        <f>E$78*K$53</f>
        <v>0</v>
      </c>
      <c r="L404" s="64">
        <f>E$78*L$53</f>
        <v>0</v>
      </c>
      <c r="M404" s="64">
        <f>E$78*M$53</f>
        <v>0</v>
      </c>
      <c r="N404" s="84">
        <f t="shared" si="170"/>
        <v>0</v>
      </c>
    </row>
    <row r="405" ht="15.75" customHeight="1">
      <c r="A405" s="30" t="s">
        <v>375</v>
      </c>
      <c r="B405" s="64">
        <f>E$82*B$54</f>
        <v>0</v>
      </c>
      <c r="C405" s="64">
        <f>E$82*C$54</f>
        <v>67.5</v>
      </c>
      <c r="D405" s="64">
        <f>E$82*D$54</f>
        <v>67.5</v>
      </c>
      <c r="E405" s="64">
        <f>E$82*E$54</f>
        <v>67.5</v>
      </c>
      <c r="F405" s="64">
        <f>E$82*F$54</f>
        <v>0</v>
      </c>
      <c r="G405" s="64">
        <f>E$82*G$54</f>
        <v>0</v>
      </c>
      <c r="H405" s="64">
        <f>E$82*H$54</f>
        <v>112.5</v>
      </c>
      <c r="I405" s="64">
        <f>E$82*I$54</f>
        <v>0</v>
      </c>
      <c r="J405" s="64">
        <f>E$82*J$54</f>
        <v>0</v>
      </c>
      <c r="K405" s="64">
        <f>E$82*K$54</f>
        <v>67.5</v>
      </c>
      <c r="L405" s="64">
        <f>E$82*L$54</f>
        <v>67.5</v>
      </c>
      <c r="M405" s="64">
        <f>E$82*M$54</f>
        <v>0</v>
      </c>
      <c r="N405" s="84">
        <f t="shared" si="170"/>
        <v>112.5</v>
      </c>
    </row>
    <row r="406" ht="15.75" customHeight="1">
      <c r="A406" s="30" t="s">
        <v>380</v>
      </c>
      <c r="B406" s="64">
        <f>E$86*B$54</f>
        <v>0</v>
      </c>
      <c r="C406" s="64">
        <f>E$86*C$54</f>
        <v>0</v>
      </c>
      <c r="D406" s="64">
        <f>E$86*D$54</f>
        <v>0</v>
      </c>
      <c r="E406" s="64">
        <f>E$86*E$54</f>
        <v>0</v>
      </c>
      <c r="F406" s="64">
        <f>E$86*F$54</f>
        <v>0</v>
      </c>
      <c r="G406" s="64">
        <f>E$86*G$54</f>
        <v>0</v>
      </c>
      <c r="H406" s="64">
        <f>E$86*H$54</f>
        <v>0</v>
      </c>
      <c r="I406" s="64">
        <f>E$86*I$54</f>
        <v>0</v>
      </c>
      <c r="J406" s="64">
        <f>E$86*J$54</f>
        <v>0</v>
      </c>
      <c r="K406" s="64">
        <f>E$86*K$54</f>
        <v>0</v>
      </c>
      <c r="L406" s="64">
        <f>E$86*L$54</f>
        <v>0</v>
      </c>
      <c r="M406" s="64">
        <f>E$86*M$54</f>
        <v>0</v>
      </c>
      <c r="N406" s="84">
        <f t="shared" si="170"/>
        <v>0</v>
      </c>
    </row>
    <row r="407" ht="15.75" customHeight="1">
      <c r="A407" s="30" t="s">
        <v>382</v>
      </c>
      <c r="B407" s="64">
        <f>'Analisis de operaciones'!C553</f>
        <v>5738.74</v>
      </c>
      <c r="C407" s="64">
        <f>'Analisis de operaciones'!D553</f>
        <v>4380.02</v>
      </c>
      <c r="D407" s="64">
        <f>'Analisis de operaciones'!E553</f>
        <v>4104.365</v>
      </c>
      <c r="E407" s="64">
        <f>'Analisis de operaciones'!F553</f>
        <v>3928.555</v>
      </c>
      <c r="F407" s="64">
        <f>'Analisis de operaciones'!G553</f>
        <v>3676.78</v>
      </c>
      <c r="G407" s="64">
        <f>'Analisis de operaciones'!H553</f>
        <v>3600.815</v>
      </c>
      <c r="H407" s="64">
        <f>'Analisis de operaciones'!I553</f>
        <v>3852.59</v>
      </c>
      <c r="I407" s="64">
        <f>'Analisis de operaciones'!J553</f>
        <v>3852.59</v>
      </c>
      <c r="J407" s="64">
        <f>'Analisis de operaciones'!K553</f>
        <v>3852.59</v>
      </c>
      <c r="K407" s="64">
        <f>'Analisis de operaciones'!L553</f>
        <v>3776.625</v>
      </c>
      <c r="L407" s="64">
        <f>'Analisis de operaciones'!M553</f>
        <v>3700.66</v>
      </c>
      <c r="M407" s="64">
        <f>'Analisis de operaciones'!N553</f>
        <v>5890.67</v>
      </c>
      <c r="N407" s="84">
        <f t="shared" si="170"/>
        <v>5890.67</v>
      </c>
    </row>
    <row r="408" ht="15.75" customHeight="1">
      <c r="A408" s="30" t="s">
        <v>383</v>
      </c>
      <c r="B408" s="64">
        <f t="shared" ref="B408:M408" si="171">SUM(B434:B453)+B463</f>
        <v>856.7875951</v>
      </c>
      <c r="C408" s="64">
        <f t="shared" si="171"/>
        <v>658.5220296</v>
      </c>
      <c r="D408" s="64">
        <f t="shared" si="171"/>
        <v>628.6720391</v>
      </c>
      <c r="E408" s="64">
        <f t="shared" si="171"/>
        <v>605.5600293</v>
      </c>
      <c r="F408" s="64">
        <f t="shared" si="171"/>
        <v>567.8447733</v>
      </c>
      <c r="G408" s="64">
        <f t="shared" si="171"/>
        <v>552.0610052</v>
      </c>
      <c r="H408" s="64">
        <f t="shared" si="171"/>
        <v>590.956783</v>
      </c>
      <c r="I408" s="64">
        <f t="shared" si="171"/>
        <v>590.956783</v>
      </c>
      <c r="J408" s="64">
        <f t="shared" si="171"/>
        <v>590.3665221</v>
      </c>
      <c r="K408" s="64">
        <f t="shared" si="171"/>
        <v>574.582754</v>
      </c>
      <c r="L408" s="64">
        <f t="shared" si="171"/>
        <v>559.3892469</v>
      </c>
      <c r="M408" s="64">
        <f t="shared" si="171"/>
        <v>885.4038266</v>
      </c>
      <c r="N408" s="84">
        <f t="shared" si="170"/>
        <v>885.4038266</v>
      </c>
    </row>
    <row r="409" ht="15.75" customHeight="1">
      <c r="A409" s="30" t="s">
        <v>385</v>
      </c>
      <c r="B409" s="64">
        <f t="shared" ref="B409:M409" si="172">SUM(B455:B462)</f>
        <v>46.19859375</v>
      </c>
      <c r="C409" s="64">
        <f t="shared" si="172"/>
        <v>40.76346507</v>
      </c>
      <c r="D409" s="64">
        <f t="shared" si="172"/>
        <v>48.91615809</v>
      </c>
      <c r="E409" s="64">
        <f t="shared" si="172"/>
        <v>48.91615809</v>
      </c>
      <c r="F409" s="64">
        <f t="shared" si="172"/>
        <v>48.91615809</v>
      </c>
      <c r="G409" s="64">
        <f t="shared" si="172"/>
        <v>43.48102941</v>
      </c>
      <c r="H409" s="64">
        <f t="shared" si="172"/>
        <v>48.91615809</v>
      </c>
      <c r="I409" s="64">
        <f t="shared" si="172"/>
        <v>48.91615809</v>
      </c>
      <c r="J409" s="64">
        <f t="shared" si="172"/>
        <v>46.19859375</v>
      </c>
      <c r="K409" s="64">
        <f t="shared" si="172"/>
        <v>40.76346507</v>
      </c>
      <c r="L409" s="64">
        <f t="shared" si="172"/>
        <v>38.04590074</v>
      </c>
      <c r="M409" s="64">
        <f t="shared" si="172"/>
        <v>43.48102941</v>
      </c>
      <c r="N409" s="84">
        <f t="shared" si="170"/>
        <v>48.91615809</v>
      </c>
    </row>
    <row r="410" ht="15.75" customHeight="1">
      <c r="A410" s="73" t="s">
        <v>386</v>
      </c>
      <c r="B410" s="84">
        <f t="shared" ref="B410:M410" si="173">B408+B409</f>
        <v>902.9861889</v>
      </c>
      <c r="C410" s="84">
        <f t="shared" si="173"/>
        <v>699.2854947</v>
      </c>
      <c r="D410" s="84">
        <f t="shared" si="173"/>
        <v>677.5881971</v>
      </c>
      <c r="E410" s="84">
        <f t="shared" si="173"/>
        <v>654.4761874</v>
      </c>
      <c r="F410" s="84">
        <f t="shared" si="173"/>
        <v>616.7609313</v>
      </c>
      <c r="G410" s="84">
        <f t="shared" si="173"/>
        <v>595.5420346</v>
      </c>
      <c r="H410" s="84">
        <f t="shared" si="173"/>
        <v>639.8729411</v>
      </c>
      <c r="I410" s="84">
        <f t="shared" si="173"/>
        <v>639.8729411</v>
      </c>
      <c r="J410" s="84">
        <f t="shared" si="173"/>
        <v>636.5651159</v>
      </c>
      <c r="K410" s="84">
        <f t="shared" si="173"/>
        <v>615.3462191</v>
      </c>
      <c r="L410" s="84">
        <f t="shared" si="173"/>
        <v>597.4351476</v>
      </c>
      <c r="M410" s="84">
        <f t="shared" si="173"/>
        <v>928.8848561</v>
      </c>
      <c r="N410" s="84">
        <f t="shared" si="170"/>
        <v>928.8848561</v>
      </c>
    </row>
    <row r="411" ht="15.75" customHeight="1">
      <c r="A411" s="30" t="s">
        <v>388</v>
      </c>
      <c r="B411" s="64">
        <f t="shared" ref="B411:M411" si="174">$B$397*$B$9-B403</f>
        <v>785.7</v>
      </c>
      <c r="C411" s="64">
        <f t="shared" si="174"/>
        <v>718.2</v>
      </c>
      <c r="D411" s="64">
        <f t="shared" si="174"/>
        <v>695.7</v>
      </c>
      <c r="E411" s="64">
        <f t="shared" si="174"/>
        <v>695.7</v>
      </c>
      <c r="F411" s="64">
        <f t="shared" si="174"/>
        <v>785.7</v>
      </c>
      <c r="G411" s="64">
        <f t="shared" si="174"/>
        <v>785.7</v>
      </c>
      <c r="H411" s="64">
        <f t="shared" si="174"/>
        <v>673.2</v>
      </c>
      <c r="I411" s="64">
        <f t="shared" si="174"/>
        <v>785.7</v>
      </c>
      <c r="J411" s="64">
        <f t="shared" si="174"/>
        <v>785.7</v>
      </c>
      <c r="K411" s="64">
        <f t="shared" si="174"/>
        <v>740.7</v>
      </c>
      <c r="L411" s="64">
        <f t="shared" si="174"/>
        <v>740.7</v>
      </c>
      <c r="M411" s="64">
        <f t="shared" si="174"/>
        <v>785.7</v>
      </c>
      <c r="N411" s="84">
        <f t="shared" si="170"/>
        <v>785.7</v>
      </c>
    </row>
    <row r="412" ht="15.75" customHeight="1">
      <c r="A412" s="30" t="s">
        <v>389</v>
      </c>
      <c r="B412" s="64">
        <f t="shared" ref="B412:M412" si="175">IF(B408=0,0,MAX(0,B411-B410)*B407/B408)</f>
        <v>0</v>
      </c>
      <c r="C412" s="64">
        <f t="shared" si="175"/>
        <v>125.8058314</v>
      </c>
      <c r="D412" s="64">
        <f t="shared" si="175"/>
        <v>118.245198</v>
      </c>
      <c r="E412" s="64">
        <f t="shared" si="175"/>
        <v>267.4384164</v>
      </c>
      <c r="F412" s="64">
        <f t="shared" si="175"/>
        <v>1093.876035</v>
      </c>
      <c r="G412" s="64">
        <f t="shared" si="175"/>
        <v>1240.304328</v>
      </c>
      <c r="H412" s="64">
        <f t="shared" si="175"/>
        <v>217.2671461</v>
      </c>
      <c r="I412" s="64">
        <f t="shared" si="175"/>
        <v>950.6818178</v>
      </c>
      <c r="J412" s="64">
        <f t="shared" si="175"/>
        <v>973.218402</v>
      </c>
      <c r="K412" s="64">
        <f t="shared" si="175"/>
        <v>823.9269616</v>
      </c>
      <c r="L412" s="64">
        <f t="shared" si="175"/>
        <v>947.773865</v>
      </c>
      <c r="M412" s="64">
        <f t="shared" si="175"/>
        <v>0</v>
      </c>
      <c r="N412" s="84">
        <f t="shared" si="170"/>
        <v>1240.304328</v>
      </c>
    </row>
    <row r="413" ht="15.75" customHeight="1">
      <c r="A413" s="73" t="s">
        <v>390</v>
      </c>
      <c r="B413" s="84">
        <f t="shared" ref="B413:J413" si="176">0</f>
        <v>0</v>
      </c>
      <c r="C413" s="84">
        <f t="shared" si="176"/>
        <v>0</v>
      </c>
      <c r="D413" s="84">
        <f t="shared" si="176"/>
        <v>0</v>
      </c>
      <c r="E413" s="84">
        <f t="shared" si="176"/>
        <v>0</v>
      </c>
      <c r="F413" s="84">
        <f t="shared" si="176"/>
        <v>0</v>
      </c>
      <c r="G413" s="84">
        <f t="shared" si="176"/>
        <v>0</v>
      </c>
      <c r="H413" s="84">
        <f t="shared" si="176"/>
        <v>0</v>
      </c>
      <c r="I413" s="84">
        <f t="shared" si="176"/>
        <v>0</v>
      </c>
      <c r="J413" s="84">
        <f t="shared" si="176"/>
        <v>0</v>
      </c>
      <c r="K413" s="140">
        <f>$B$5*MIN(K412,M407)</f>
        <v>823.9269616</v>
      </c>
      <c r="L413" s="140">
        <f>$B$5*MIN(L412,M407-K413)</f>
        <v>947.773865</v>
      </c>
      <c r="M413" s="140">
        <f>-(K413+L413)</f>
        <v>-1771.700827</v>
      </c>
      <c r="N413" s="84">
        <f t="shared" si="170"/>
        <v>947.773865</v>
      </c>
    </row>
    <row r="414" ht="15.75" customHeight="1">
      <c r="A414" s="30" t="s">
        <v>391</v>
      </c>
      <c r="B414" s="133">
        <f t="shared" ref="B414:M414" si="177">IF(B407=0,1,(B407+B413)/B407)</f>
        <v>1</v>
      </c>
      <c r="C414" s="133">
        <f t="shared" si="177"/>
        <v>1</v>
      </c>
      <c r="D414" s="133">
        <f t="shared" si="177"/>
        <v>1</v>
      </c>
      <c r="E414" s="133">
        <f t="shared" si="177"/>
        <v>1</v>
      </c>
      <c r="F414" s="133">
        <f t="shared" si="177"/>
        <v>1</v>
      </c>
      <c r="G414" s="133">
        <f t="shared" si="177"/>
        <v>1</v>
      </c>
      <c r="H414" s="133">
        <f t="shared" si="177"/>
        <v>1</v>
      </c>
      <c r="I414" s="133">
        <f t="shared" si="177"/>
        <v>1</v>
      </c>
      <c r="J414" s="133">
        <f t="shared" si="177"/>
        <v>1</v>
      </c>
      <c r="K414" s="133">
        <f t="shared" si="177"/>
        <v>1.218164886</v>
      </c>
      <c r="L414" s="133">
        <f t="shared" si="177"/>
        <v>1.256109414</v>
      </c>
      <c r="M414" s="133">
        <f t="shared" si="177"/>
        <v>0.6992361096</v>
      </c>
      <c r="N414" s="40">
        <f t="shared" si="170"/>
        <v>1.256109414</v>
      </c>
    </row>
    <row r="415" ht="15.75" customHeight="1">
      <c r="A415" s="73" t="s">
        <v>392</v>
      </c>
      <c r="B415" s="84">
        <f t="shared" ref="B415:M415" si="178">B408*B414+B409</f>
        <v>902.9861889</v>
      </c>
      <c r="C415" s="84">
        <f t="shared" si="178"/>
        <v>699.2854947</v>
      </c>
      <c r="D415" s="84">
        <f t="shared" si="178"/>
        <v>677.5881971</v>
      </c>
      <c r="E415" s="84">
        <f t="shared" si="178"/>
        <v>654.4761874</v>
      </c>
      <c r="F415" s="84">
        <f t="shared" si="178"/>
        <v>616.7609313</v>
      </c>
      <c r="G415" s="84">
        <f t="shared" si="178"/>
        <v>595.5420346</v>
      </c>
      <c r="H415" s="84">
        <f t="shared" si="178"/>
        <v>639.8729411</v>
      </c>
      <c r="I415" s="84">
        <f t="shared" si="178"/>
        <v>639.8729411</v>
      </c>
      <c r="J415" s="84">
        <f t="shared" si="178"/>
        <v>636.5651159</v>
      </c>
      <c r="K415" s="84">
        <f t="shared" si="178"/>
        <v>740.7</v>
      </c>
      <c r="L415" s="84">
        <f t="shared" si="178"/>
        <v>740.7</v>
      </c>
      <c r="M415" s="84">
        <f t="shared" si="178"/>
        <v>662.5873565</v>
      </c>
      <c r="N415" s="84">
        <f t="shared" si="170"/>
        <v>902.9861889</v>
      </c>
    </row>
    <row r="416" ht="15.75" customHeight="1">
      <c r="A416" s="30" t="s">
        <v>393</v>
      </c>
      <c r="B416" s="64">
        <f t="shared" ref="B416:M416" si="179">IF($B$395=2,MAX(SUM(B465:B484),B415-($B$397*$B$11-B403)),0)</f>
        <v>0</v>
      </c>
      <c r="C416" s="64">
        <f t="shared" si="179"/>
        <v>0</v>
      </c>
      <c r="D416" s="64">
        <f t="shared" si="179"/>
        <v>0</v>
      </c>
      <c r="E416" s="64">
        <f t="shared" si="179"/>
        <v>0</v>
      </c>
      <c r="F416" s="64">
        <f t="shared" si="179"/>
        <v>0</v>
      </c>
      <c r="G416" s="64">
        <f t="shared" si="179"/>
        <v>0</v>
      </c>
      <c r="H416" s="64">
        <f t="shared" si="179"/>
        <v>0</v>
      </c>
      <c r="I416" s="64">
        <f t="shared" si="179"/>
        <v>0</v>
      </c>
      <c r="J416" s="64">
        <f t="shared" si="179"/>
        <v>0</v>
      </c>
      <c r="K416" s="64">
        <f t="shared" si="179"/>
        <v>0</v>
      </c>
      <c r="L416" s="64">
        <f t="shared" si="179"/>
        <v>0</v>
      </c>
      <c r="M416" s="64">
        <f t="shared" si="179"/>
        <v>0</v>
      </c>
      <c r="N416" s="84">
        <f t="shared" si="170"/>
        <v>0</v>
      </c>
    </row>
    <row r="417" ht="15.75" customHeight="1">
      <c r="A417" s="30" t="s">
        <v>394</v>
      </c>
      <c r="B417" s="64">
        <f t="shared" ref="B417:M417" si="180">MAX(0,B411-(B415-B416))</f>
        <v>0</v>
      </c>
      <c r="C417" s="64">
        <f t="shared" si="180"/>
        <v>18.91450529</v>
      </c>
      <c r="D417" s="64">
        <f t="shared" si="180"/>
        <v>18.11180286</v>
      </c>
      <c r="E417" s="64">
        <f t="shared" si="180"/>
        <v>41.22381265</v>
      </c>
      <c r="F417" s="64">
        <f t="shared" si="180"/>
        <v>168.9390687</v>
      </c>
      <c r="G417" s="64">
        <f t="shared" si="180"/>
        <v>190.1579654</v>
      </c>
      <c r="H417" s="64">
        <f t="shared" si="180"/>
        <v>33.32705887</v>
      </c>
      <c r="I417" s="64">
        <f t="shared" si="180"/>
        <v>145.8270589</v>
      </c>
      <c r="J417" s="64">
        <f t="shared" si="180"/>
        <v>149.1348841</v>
      </c>
      <c r="K417" s="64">
        <f t="shared" si="180"/>
        <v>0</v>
      </c>
      <c r="L417" s="64">
        <f t="shared" si="180"/>
        <v>0</v>
      </c>
      <c r="M417" s="64">
        <f t="shared" si="180"/>
        <v>123.1126435</v>
      </c>
      <c r="N417" s="84">
        <f t="shared" si="170"/>
        <v>190.1579654</v>
      </c>
    </row>
    <row r="418" ht="15.75" customHeight="1">
      <c r="A418" s="73" t="s">
        <v>395</v>
      </c>
      <c r="B418" s="84">
        <f>'Analisis Recargas'!C222</f>
        <v>875.4701765</v>
      </c>
      <c r="C418" s="84">
        <f>'Analisis Recargas'!D222</f>
        <v>726.6662055</v>
      </c>
      <c r="D418" s="84">
        <f>'Analisis Recargas'!E222</f>
        <v>750.6456808</v>
      </c>
      <c r="E418" s="84">
        <f>'Analisis Recargas'!F222</f>
        <v>728.7176823</v>
      </c>
      <c r="F418" s="84">
        <f>'Analisis Recargas'!G222</f>
        <v>704.738207</v>
      </c>
      <c r="G418" s="84">
        <f>'Analisis Recargas'!H222</f>
        <v>680.7587317</v>
      </c>
      <c r="H418" s="84">
        <f>'Analisis Recargas'!I222</f>
        <v>730.7691591</v>
      </c>
      <c r="I418" s="84">
        <f>'Analisis Recargas'!J222</f>
        <v>748.594204</v>
      </c>
      <c r="J418" s="84">
        <f>'Analisis Recargas'!K222</f>
        <v>748.594204</v>
      </c>
      <c r="K418" s="84">
        <f>'Analisis Recargas'!L222</f>
        <v>726.6662055</v>
      </c>
      <c r="L418" s="84">
        <f>'Analisis Recargas'!M222</f>
        <v>724.6147287</v>
      </c>
      <c r="M418" s="84">
        <f>'Analisis Recargas'!N222</f>
        <v>1047.02655</v>
      </c>
      <c r="N418" s="84">
        <f t="shared" si="170"/>
        <v>1047.02655</v>
      </c>
    </row>
    <row r="419" ht="15.75" customHeight="1">
      <c r="A419" s="30" t="s">
        <v>396</v>
      </c>
      <c r="B419" s="64">
        <f>IFERROR(B418*'Analisis Recargas'!C171*'Almacen PT'!$B$10/SUM('Analisis Recargas'!C171:C187),0)</f>
        <v>131.8234963</v>
      </c>
      <c r="C419" s="64">
        <f>IFERROR(C418*'Analisis Recargas'!D171*'Almacen PT'!$B$10/SUM('Analisis Recargas'!D171:D187),0)</f>
        <v>102.782584</v>
      </c>
      <c r="D419" s="64">
        <f>IFERROR(D418*'Analisis Recargas'!E171*'Almacen PT'!$B$10/SUM('Analisis Recargas'!E171:E187),0)</f>
        <v>102.7792809</v>
      </c>
      <c r="E419" s="64">
        <f>IFERROR(E418*'Analisis Recargas'!F171*'Almacen PT'!$B$10/SUM('Analisis Recargas'!F171:F187),0)</f>
        <v>102.8021768</v>
      </c>
      <c r="F419" s="64">
        <f>IFERROR(F418*'Analisis Recargas'!G171*'Almacen PT'!$B$10/SUM('Analisis Recargas'!G171:G187),0)</f>
        <v>102.8063635</v>
      </c>
      <c r="G419" s="64">
        <f>IFERROR(G418*'Analisis Recargas'!H171*'Almacen PT'!$B$10/SUM('Analisis Recargas'!H171:H187),0)</f>
        <v>102.8108455</v>
      </c>
      <c r="H419" s="64">
        <f>IFERROR(H418*'Analisis Recargas'!I171*'Almacen PT'!$B$10/SUM('Analisis Recargas'!I171:I187),0)</f>
        <v>102.8216671</v>
      </c>
      <c r="I419" s="64">
        <f>IFERROR(I418*'Analisis Recargas'!J171*'Almacen PT'!$B$10/SUM('Analisis Recargas'!J171:J187),0)</f>
        <v>102.7602076</v>
      </c>
      <c r="J419" s="64">
        <f>IFERROR(J418*'Analisis Recargas'!K171*'Almacen PT'!$B$10/SUM('Analisis Recargas'!K171:K187),0)</f>
        <v>102.7602076</v>
      </c>
      <c r="K419" s="64">
        <f>IFERROR(K418*'Analisis Recargas'!L171*'Almacen PT'!$B$10/SUM('Analisis Recargas'!L171:L187),0)</f>
        <v>102.782584</v>
      </c>
      <c r="L419" s="64">
        <f>IFERROR(L418*'Analisis Recargas'!M171*'Almacen PT'!$B$10/SUM('Analisis Recargas'!M171:M187),0)</f>
        <v>102.7628877</v>
      </c>
      <c r="M419" s="64">
        <f>IFERROR(M418*'Analisis Recargas'!N171*'Almacen PT'!$B$10/SUM('Analisis Recargas'!N171:N187),0)</f>
        <v>158.0527158</v>
      </c>
      <c r="N419" s="84">
        <f t="shared" si="170"/>
        <v>158.0527158</v>
      </c>
    </row>
    <row r="420" ht="15.75" customHeight="1">
      <c r="A420" s="30" t="s">
        <v>397</v>
      </c>
      <c r="B420" s="64">
        <f t="shared" ref="B420:M420" si="181">IF($B$395=2,B419*$B$15,0)</f>
        <v>0</v>
      </c>
      <c r="C420" s="64">
        <f t="shared" si="181"/>
        <v>0</v>
      </c>
      <c r="D420" s="64">
        <f t="shared" si="181"/>
        <v>0</v>
      </c>
      <c r="E420" s="64">
        <f t="shared" si="181"/>
        <v>0</v>
      </c>
      <c r="F420" s="64">
        <f t="shared" si="181"/>
        <v>0</v>
      </c>
      <c r="G420" s="64">
        <f t="shared" si="181"/>
        <v>0</v>
      </c>
      <c r="H420" s="64">
        <f t="shared" si="181"/>
        <v>0</v>
      </c>
      <c r="I420" s="64">
        <f t="shared" si="181"/>
        <v>0</v>
      </c>
      <c r="J420" s="64">
        <f t="shared" si="181"/>
        <v>0</v>
      </c>
      <c r="K420" s="64">
        <f t="shared" si="181"/>
        <v>0</v>
      </c>
      <c r="L420" s="64">
        <f t="shared" si="181"/>
        <v>0</v>
      </c>
      <c r="M420" s="64">
        <f t="shared" si="181"/>
        <v>0</v>
      </c>
      <c r="N420" s="84">
        <f t="shared" si="170"/>
        <v>0</v>
      </c>
    </row>
    <row r="421" ht="15.75" customHeight="1">
      <c r="A421" s="30" t="s">
        <v>399</v>
      </c>
      <c r="B421" s="64">
        <f t="shared" ref="B421:M421" si="182">MAX(0,B418-B420-$B$6*B417)</f>
        <v>875.4701765</v>
      </c>
      <c r="C421" s="64">
        <f t="shared" si="182"/>
        <v>709.6431507</v>
      </c>
      <c r="D421" s="64">
        <f t="shared" si="182"/>
        <v>734.3450582</v>
      </c>
      <c r="E421" s="64">
        <f t="shared" si="182"/>
        <v>691.6162509</v>
      </c>
      <c r="F421" s="64">
        <f t="shared" si="182"/>
        <v>552.6930452</v>
      </c>
      <c r="G421" s="64">
        <f t="shared" si="182"/>
        <v>509.6165628</v>
      </c>
      <c r="H421" s="64">
        <f t="shared" si="182"/>
        <v>700.7748061</v>
      </c>
      <c r="I421" s="64">
        <f t="shared" si="182"/>
        <v>617.349851</v>
      </c>
      <c r="J421" s="64">
        <f t="shared" si="182"/>
        <v>614.3728083</v>
      </c>
      <c r="K421" s="64">
        <f t="shared" si="182"/>
        <v>726.6662055</v>
      </c>
      <c r="L421" s="64">
        <f t="shared" si="182"/>
        <v>724.6147287</v>
      </c>
      <c r="M421" s="64">
        <f t="shared" si="182"/>
        <v>936.2251712</v>
      </c>
      <c r="N421" s="84">
        <f t="shared" si="170"/>
        <v>936.2251712</v>
      </c>
    </row>
    <row r="422" ht="15.75" customHeight="1">
      <c r="A422" s="30" t="s">
        <v>400</v>
      </c>
      <c r="B422" s="64">
        <f t="shared" ref="B422:M422" si="183">MAX(0,$B$400*$B$9-B406-B420)</f>
        <v>0</v>
      </c>
      <c r="C422" s="64">
        <f t="shared" si="183"/>
        <v>0</v>
      </c>
      <c r="D422" s="64">
        <f t="shared" si="183"/>
        <v>0</v>
      </c>
      <c r="E422" s="64">
        <f t="shared" si="183"/>
        <v>0</v>
      </c>
      <c r="F422" s="64">
        <f t="shared" si="183"/>
        <v>0</v>
      </c>
      <c r="G422" s="64">
        <f t="shared" si="183"/>
        <v>0</v>
      </c>
      <c r="H422" s="64">
        <f t="shared" si="183"/>
        <v>0</v>
      </c>
      <c r="I422" s="64">
        <f t="shared" si="183"/>
        <v>0</v>
      </c>
      <c r="J422" s="64">
        <f t="shared" si="183"/>
        <v>0</v>
      </c>
      <c r="K422" s="64">
        <f t="shared" si="183"/>
        <v>0</v>
      </c>
      <c r="L422" s="64">
        <f t="shared" si="183"/>
        <v>0</v>
      </c>
      <c r="M422" s="64">
        <f t="shared" si="183"/>
        <v>0</v>
      </c>
      <c r="N422" s="84">
        <f t="shared" si="170"/>
        <v>0</v>
      </c>
    </row>
    <row r="423" ht="15.75" customHeight="1">
      <c r="A423" s="30" t="s">
        <v>401</v>
      </c>
      <c r="B423" s="64">
        <f t="shared" ref="B423:M423" si="184">MIN(B421,B422)</f>
        <v>0</v>
      </c>
      <c r="C423" s="64">
        <f t="shared" si="184"/>
        <v>0</v>
      </c>
      <c r="D423" s="64">
        <f t="shared" si="184"/>
        <v>0</v>
      </c>
      <c r="E423" s="64">
        <f t="shared" si="184"/>
        <v>0</v>
      </c>
      <c r="F423" s="64">
        <f t="shared" si="184"/>
        <v>0</v>
      </c>
      <c r="G423" s="64">
        <f t="shared" si="184"/>
        <v>0</v>
      </c>
      <c r="H423" s="64">
        <f t="shared" si="184"/>
        <v>0</v>
      </c>
      <c r="I423" s="64">
        <f t="shared" si="184"/>
        <v>0</v>
      </c>
      <c r="J423" s="64">
        <f t="shared" si="184"/>
        <v>0</v>
      </c>
      <c r="K423" s="64">
        <f t="shared" si="184"/>
        <v>0</v>
      </c>
      <c r="L423" s="64">
        <f t="shared" si="184"/>
        <v>0</v>
      </c>
      <c r="M423" s="64">
        <f t="shared" si="184"/>
        <v>0</v>
      </c>
      <c r="N423" s="84">
        <f t="shared" si="170"/>
        <v>0</v>
      </c>
    </row>
    <row r="424" ht="15.75" customHeight="1">
      <c r="A424" s="30" t="s">
        <v>403</v>
      </c>
      <c r="B424" s="64">
        <f t="shared" ref="B424:M424" si="185">MAX(0,$B$398*$B$9-B404-B416)</f>
        <v>0</v>
      </c>
      <c r="C424" s="64">
        <f t="shared" si="185"/>
        <v>0</v>
      </c>
      <c r="D424" s="64">
        <f t="shared" si="185"/>
        <v>0</v>
      </c>
      <c r="E424" s="64">
        <f t="shared" si="185"/>
        <v>0</v>
      </c>
      <c r="F424" s="64">
        <f t="shared" si="185"/>
        <v>0</v>
      </c>
      <c r="G424" s="64">
        <f t="shared" si="185"/>
        <v>0</v>
      </c>
      <c r="H424" s="64">
        <f t="shared" si="185"/>
        <v>0</v>
      </c>
      <c r="I424" s="64">
        <f t="shared" si="185"/>
        <v>0</v>
      </c>
      <c r="J424" s="64">
        <f t="shared" si="185"/>
        <v>0</v>
      </c>
      <c r="K424" s="64">
        <f t="shared" si="185"/>
        <v>0</v>
      </c>
      <c r="L424" s="64">
        <f t="shared" si="185"/>
        <v>0</v>
      </c>
      <c r="M424" s="64">
        <f t="shared" si="185"/>
        <v>0</v>
      </c>
      <c r="N424" s="84">
        <f t="shared" si="170"/>
        <v>0</v>
      </c>
    </row>
    <row r="425" ht="15.75" customHeight="1">
      <c r="A425" s="30" t="s">
        <v>404</v>
      </c>
      <c r="B425" s="64">
        <f t="shared" ref="B425:M425" si="186">MIN(B421-B423,$B$6*B424)</f>
        <v>0</v>
      </c>
      <c r="C425" s="64">
        <f t="shared" si="186"/>
        <v>0</v>
      </c>
      <c r="D425" s="64">
        <f t="shared" si="186"/>
        <v>0</v>
      </c>
      <c r="E425" s="64">
        <f t="shared" si="186"/>
        <v>0</v>
      </c>
      <c r="F425" s="64">
        <f t="shared" si="186"/>
        <v>0</v>
      </c>
      <c r="G425" s="64">
        <f t="shared" si="186"/>
        <v>0</v>
      </c>
      <c r="H425" s="64">
        <f t="shared" si="186"/>
        <v>0</v>
      </c>
      <c r="I425" s="64">
        <f t="shared" si="186"/>
        <v>0</v>
      </c>
      <c r="J425" s="64">
        <f t="shared" si="186"/>
        <v>0</v>
      </c>
      <c r="K425" s="64">
        <f t="shared" si="186"/>
        <v>0</v>
      </c>
      <c r="L425" s="64">
        <f t="shared" si="186"/>
        <v>0</v>
      </c>
      <c r="M425" s="64">
        <f t="shared" si="186"/>
        <v>0</v>
      </c>
      <c r="N425" s="84">
        <f t="shared" si="170"/>
        <v>0</v>
      </c>
    </row>
    <row r="426" ht="15.75" customHeight="1">
      <c r="A426" s="30" t="s">
        <v>405</v>
      </c>
      <c r="B426" s="64">
        <f t="shared" ref="B426:M426" si="187">B421-B423-B425</f>
        <v>875.4701765</v>
      </c>
      <c r="C426" s="64">
        <f t="shared" si="187"/>
        <v>709.6431507</v>
      </c>
      <c r="D426" s="64">
        <f t="shared" si="187"/>
        <v>734.3450582</v>
      </c>
      <c r="E426" s="64">
        <f t="shared" si="187"/>
        <v>691.6162509</v>
      </c>
      <c r="F426" s="64">
        <f t="shared" si="187"/>
        <v>552.6930452</v>
      </c>
      <c r="G426" s="64">
        <f t="shared" si="187"/>
        <v>509.6165628</v>
      </c>
      <c r="H426" s="64">
        <f t="shared" si="187"/>
        <v>700.7748061</v>
      </c>
      <c r="I426" s="64">
        <f t="shared" si="187"/>
        <v>617.349851</v>
      </c>
      <c r="J426" s="64">
        <f t="shared" si="187"/>
        <v>614.3728083</v>
      </c>
      <c r="K426" s="64">
        <f t="shared" si="187"/>
        <v>726.6662055</v>
      </c>
      <c r="L426" s="64">
        <f t="shared" si="187"/>
        <v>724.6147287</v>
      </c>
      <c r="M426" s="64">
        <f t="shared" si="187"/>
        <v>936.2251712</v>
      </c>
      <c r="N426" s="84">
        <f t="shared" si="170"/>
        <v>936.2251712</v>
      </c>
    </row>
    <row r="427" ht="15.75" customHeight="1">
      <c r="A427" s="30" t="s">
        <v>406</v>
      </c>
      <c r="B427" s="64">
        <f t="shared" ref="B427:M427" si="188">MAX(0,B415-B416-B411)</f>
        <v>117.2861889</v>
      </c>
      <c r="C427" s="64">
        <f t="shared" si="188"/>
        <v>0</v>
      </c>
      <c r="D427" s="64">
        <f t="shared" si="188"/>
        <v>0</v>
      </c>
      <c r="E427" s="64">
        <f t="shared" si="188"/>
        <v>0</v>
      </c>
      <c r="F427" s="64">
        <f t="shared" si="188"/>
        <v>0</v>
      </c>
      <c r="G427" s="64">
        <f t="shared" si="188"/>
        <v>0</v>
      </c>
      <c r="H427" s="64">
        <f t="shared" si="188"/>
        <v>0</v>
      </c>
      <c r="I427" s="64">
        <f t="shared" si="188"/>
        <v>0</v>
      </c>
      <c r="J427" s="64">
        <f t="shared" si="188"/>
        <v>0</v>
      </c>
      <c r="K427" s="64">
        <f t="shared" si="188"/>
        <v>0</v>
      </c>
      <c r="L427" s="64">
        <f t="shared" si="188"/>
        <v>0</v>
      </c>
      <c r="M427" s="64">
        <f t="shared" si="188"/>
        <v>0</v>
      </c>
      <c r="N427" s="84">
        <f t="shared" ref="N427:N431" si="190">SUM(B427:M427)</f>
        <v>117.2861889</v>
      </c>
    </row>
    <row r="428" ht="15.75" customHeight="1">
      <c r="A428" s="30" t="s">
        <v>408</v>
      </c>
      <c r="B428" s="64">
        <f t="shared" ref="B428:M428" si="189">MAX(0,B416-($B$398*$B$9-B404))</f>
        <v>0</v>
      </c>
      <c r="C428" s="64">
        <f t="shared" si="189"/>
        <v>0</v>
      </c>
      <c r="D428" s="64">
        <f t="shared" si="189"/>
        <v>0</v>
      </c>
      <c r="E428" s="64">
        <f t="shared" si="189"/>
        <v>0</v>
      </c>
      <c r="F428" s="64">
        <f t="shared" si="189"/>
        <v>0</v>
      </c>
      <c r="G428" s="64">
        <f t="shared" si="189"/>
        <v>0</v>
      </c>
      <c r="H428" s="64">
        <f t="shared" si="189"/>
        <v>0</v>
      </c>
      <c r="I428" s="64">
        <f t="shared" si="189"/>
        <v>0</v>
      </c>
      <c r="J428" s="64">
        <f t="shared" si="189"/>
        <v>0</v>
      </c>
      <c r="K428" s="64">
        <f t="shared" si="189"/>
        <v>0</v>
      </c>
      <c r="L428" s="64">
        <f t="shared" si="189"/>
        <v>0</v>
      </c>
      <c r="M428" s="64">
        <f t="shared" si="189"/>
        <v>0</v>
      </c>
      <c r="N428" s="84">
        <f t="shared" si="190"/>
        <v>0</v>
      </c>
    </row>
    <row r="429" ht="15.75" customHeight="1">
      <c r="A429" s="30" t="s">
        <v>409</v>
      </c>
      <c r="B429" s="64">
        <f t="shared" ref="B429:M429" si="191">MAX(0,B426-($B$399*$B$9-B405))</f>
        <v>89.77017654</v>
      </c>
      <c r="C429" s="64">
        <f t="shared" si="191"/>
        <v>0</v>
      </c>
      <c r="D429" s="64">
        <f t="shared" si="191"/>
        <v>16.14505823</v>
      </c>
      <c r="E429" s="64">
        <f t="shared" si="191"/>
        <v>0</v>
      </c>
      <c r="F429" s="64">
        <f t="shared" si="191"/>
        <v>0</v>
      </c>
      <c r="G429" s="64">
        <f t="shared" si="191"/>
        <v>0</v>
      </c>
      <c r="H429" s="64">
        <f t="shared" si="191"/>
        <v>27.57480614</v>
      </c>
      <c r="I429" s="64">
        <f t="shared" si="191"/>
        <v>0</v>
      </c>
      <c r="J429" s="64">
        <f t="shared" si="191"/>
        <v>0</v>
      </c>
      <c r="K429" s="64">
        <f t="shared" si="191"/>
        <v>8.466205482</v>
      </c>
      <c r="L429" s="64">
        <f t="shared" si="191"/>
        <v>6.414728662</v>
      </c>
      <c r="M429" s="64">
        <f t="shared" si="191"/>
        <v>150.5251712</v>
      </c>
      <c r="N429" s="84">
        <f t="shared" si="190"/>
        <v>298.8961463</v>
      </c>
    </row>
    <row r="430" ht="15.75" customHeight="1">
      <c r="A430" s="30" t="s">
        <v>410</v>
      </c>
      <c r="B430" s="64">
        <f t="shared" ref="B430:M430" si="192">MAX(0,B420-($B$400*$B$9-B406))</f>
        <v>0</v>
      </c>
      <c r="C430" s="64">
        <f t="shared" si="192"/>
        <v>0</v>
      </c>
      <c r="D430" s="64">
        <f t="shared" si="192"/>
        <v>0</v>
      </c>
      <c r="E430" s="64">
        <f t="shared" si="192"/>
        <v>0</v>
      </c>
      <c r="F430" s="64">
        <f t="shared" si="192"/>
        <v>0</v>
      </c>
      <c r="G430" s="64">
        <f t="shared" si="192"/>
        <v>0</v>
      </c>
      <c r="H430" s="64">
        <f t="shared" si="192"/>
        <v>0</v>
      </c>
      <c r="I430" s="64">
        <f t="shared" si="192"/>
        <v>0</v>
      </c>
      <c r="J430" s="64">
        <f t="shared" si="192"/>
        <v>0</v>
      </c>
      <c r="K430" s="64">
        <f t="shared" si="192"/>
        <v>0</v>
      </c>
      <c r="L430" s="64">
        <f t="shared" si="192"/>
        <v>0</v>
      </c>
      <c r="M430" s="64">
        <f t="shared" si="192"/>
        <v>0</v>
      </c>
      <c r="N430" s="84">
        <f t="shared" si="190"/>
        <v>0</v>
      </c>
    </row>
    <row r="431" ht="15.75" customHeight="1">
      <c r="A431" s="73" t="s">
        <v>411</v>
      </c>
      <c r="B431" s="84">
        <f t="shared" ref="B431:M431" si="193">B427+B428+B429+B430</f>
        <v>207.0563654</v>
      </c>
      <c r="C431" s="84">
        <f t="shared" si="193"/>
        <v>0</v>
      </c>
      <c r="D431" s="84">
        <f t="shared" si="193"/>
        <v>16.14505823</v>
      </c>
      <c r="E431" s="84">
        <f t="shared" si="193"/>
        <v>0</v>
      </c>
      <c r="F431" s="84">
        <f t="shared" si="193"/>
        <v>0</v>
      </c>
      <c r="G431" s="84">
        <f t="shared" si="193"/>
        <v>0</v>
      </c>
      <c r="H431" s="84">
        <f t="shared" si="193"/>
        <v>27.57480614</v>
      </c>
      <c r="I431" s="84">
        <f t="shared" si="193"/>
        <v>0</v>
      </c>
      <c r="J431" s="84">
        <f t="shared" si="193"/>
        <v>0</v>
      </c>
      <c r="K431" s="84">
        <f t="shared" si="193"/>
        <v>8.466205482</v>
      </c>
      <c r="L431" s="84">
        <f t="shared" si="193"/>
        <v>6.414728662</v>
      </c>
      <c r="M431" s="84">
        <f t="shared" si="193"/>
        <v>150.5251712</v>
      </c>
      <c r="N431" s="84">
        <f t="shared" si="190"/>
        <v>416.1823351</v>
      </c>
    </row>
    <row r="432" ht="15.75" customHeight="1">
      <c r="A432" s="30" t="s">
        <v>412</v>
      </c>
      <c r="B432" s="64">
        <f t="shared" ref="B432:M432" si="194">IFERROR(B431/($B$397+$B$399+$B$398+$B$400),0)</f>
        <v>17.25469712</v>
      </c>
      <c r="C432" s="64">
        <f t="shared" si="194"/>
        <v>0</v>
      </c>
      <c r="D432" s="64">
        <f t="shared" si="194"/>
        <v>1.345421519</v>
      </c>
      <c r="E432" s="64">
        <f t="shared" si="194"/>
        <v>0</v>
      </c>
      <c r="F432" s="64">
        <f t="shared" si="194"/>
        <v>0</v>
      </c>
      <c r="G432" s="64">
        <f t="shared" si="194"/>
        <v>0</v>
      </c>
      <c r="H432" s="64">
        <f t="shared" si="194"/>
        <v>2.297900512</v>
      </c>
      <c r="I432" s="64">
        <f t="shared" si="194"/>
        <v>0</v>
      </c>
      <c r="J432" s="64">
        <f t="shared" si="194"/>
        <v>0</v>
      </c>
      <c r="K432" s="64">
        <f t="shared" si="194"/>
        <v>0.7055171235</v>
      </c>
      <c r="L432" s="64">
        <f t="shared" si="194"/>
        <v>0.5345607218</v>
      </c>
      <c r="M432" s="64">
        <f t="shared" si="194"/>
        <v>12.54376427</v>
      </c>
      <c r="N432" s="84">
        <f>MAX(B432:M432)</f>
        <v>17.25469712</v>
      </c>
    </row>
    <row r="433" ht="15.75" customHeight="1">
      <c r="A433" s="141" t="s">
        <v>413</v>
      </c>
    </row>
    <row r="434" ht="15.75" hidden="1" customHeight="1" outlineLevel="1">
      <c r="A434" s="142" t="s">
        <v>26</v>
      </c>
      <c r="B434" s="143">
        <f>'Analisis de operaciones'!C553/'Analisis de operaciones'!C557*$O434</f>
        <v>84.39323529</v>
      </c>
      <c r="C434" s="143">
        <f>'Analisis de operaciones'!D553/'Analisis de operaciones'!D557*$O434</f>
        <v>64.41205882</v>
      </c>
      <c r="D434" s="143">
        <f>'Analisis de operaciones'!E553/'Analisis de operaciones'!E557*$O434</f>
        <v>60.35830882</v>
      </c>
      <c r="E434" s="143">
        <f>'Analisis de operaciones'!F553/'Analisis de operaciones'!F557*$O434</f>
        <v>57.77286765</v>
      </c>
      <c r="F434" s="143">
        <f>'Analisis de operaciones'!G553/'Analisis de operaciones'!G557*$O434</f>
        <v>54.07029412</v>
      </c>
      <c r="G434" s="143">
        <f>'Analisis de operaciones'!H553/'Analisis de operaciones'!H557*$O434</f>
        <v>52.95316176</v>
      </c>
      <c r="H434" s="143">
        <f>'Analisis de operaciones'!I553/'Analisis de operaciones'!I557*$O434</f>
        <v>56.65573529</v>
      </c>
      <c r="I434" s="143">
        <f>'Analisis de operaciones'!J553/'Analisis de operaciones'!J557*$O434</f>
        <v>56.65573529</v>
      </c>
      <c r="J434" s="143">
        <f>'Analisis de operaciones'!K553/'Analisis de operaciones'!K557*$O434</f>
        <v>56.65573529</v>
      </c>
      <c r="K434" s="143">
        <f>'Analisis de operaciones'!L553/'Analisis de operaciones'!L557*$O434</f>
        <v>55.53860294</v>
      </c>
      <c r="L434" s="143">
        <f>'Analisis de operaciones'!M553/'Analisis de operaciones'!M557*$O434</f>
        <v>54.42147059</v>
      </c>
      <c r="M434" s="143">
        <f>'Analisis de operaciones'!N553/'Analisis de operaciones'!N557*$O434</f>
        <v>86.6275</v>
      </c>
      <c r="N434" s="143">
        <f>'Resumen Capacidad'!$E$29*$B$8*$O434</f>
        <v>150</v>
      </c>
      <c r="O434" s="144">
        <f>$B$18</f>
        <v>1</v>
      </c>
    </row>
    <row r="435" ht="15.75" hidden="1" customHeight="1" outlineLevel="1">
      <c r="A435" s="142" t="s">
        <v>55</v>
      </c>
      <c r="B435" s="143">
        <f>'Analisis de operaciones'!C563/'Analisis de operaciones'!C567*$O435</f>
        <v>31.81344643</v>
      </c>
      <c r="C435" s="143">
        <f>'Analisis de operaciones'!D563/'Analisis de operaciones'!D567*$O435</f>
        <v>24.28120662</v>
      </c>
      <c r="D435" s="143">
        <f>'Analisis de operaciones'!E563/'Analisis de operaciones'!E567*$O435</f>
        <v>22.75307752</v>
      </c>
      <c r="E435" s="143">
        <f>'Analisis de operaciones'!F563/'Analisis de operaciones'!F567*$O435</f>
        <v>21.77845207</v>
      </c>
      <c r="F435" s="143">
        <f>'Analisis de operaciones'!G563/'Analisis de operaciones'!G567*$O435</f>
        <v>20.38270484</v>
      </c>
      <c r="G435" s="143">
        <f>'Analisis de operaciones'!H563/'Analisis de operaciones'!H567*$O435</f>
        <v>19.96158305</v>
      </c>
      <c r="H435" s="143">
        <f>'Analisis de operaciones'!I563/'Analisis de operaciones'!I567*$O435</f>
        <v>21.35733028</v>
      </c>
      <c r="I435" s="143">
        <f>'Analisis de operaciones'!J563/'Analisis de operaciones'!J567*$O435</f>
        <v>21.35733028</v>
      </c>
      <c r="J435" s="143">
        <f>'Analisis de operaciones'!K563/'Analisis de operaciones'!K567*$O435</f>
        <v>21.35733028</v>
      </c>
      <c r="K435" s="143">
        <f>'Analisis de operaciones'!L563/'Analisis de operaciones'!L567*$O435</f>
        <v>20.9362085</v>
      </c>
      <c r="L435" s="143">
        <f>'Analisis de operaciones'!M563/'Analisis de operaciones'!M567*$O435</f>
        <v>20.51508671</v>
      </c>
      <c r="M435" s="143">
        <f>'Analisis de operaciones'!N563/'Analisis de operaciones'!N567*$O435</f>
        <v>32.65569001</v>
      </c>
      <c r="N435" s="143">
        <f>'Resumen Capacidad'!$E$30*$B$8*$O435</f>
        <v>75</v>
      </c>
      <c r="O435" s="144">
        <f>IF('Resumen Capacidad'!$E$55="Automática",$C$19,$B$19)</f>
        <v>0.5</v>
      </c>
    </row>
    <row r="436" ht="15.75" hidden="1" customHeight="1" outlineLevel="1">
      <c r="A436" s="142" t="s">
        <v>61</v>
      </c>
      <c r="B436" s="143">
        <f>'Analisis de operaciones'!C573/'Analisis de operaciones'!C577*$O436</f>
        <v>24.60277368</v>
      </c>
      <c r="C436" s="143">
        <f>'Analisis de operaciones'!D573/'Analisis de operaciones'!D577*$O436</f>
        <v>18.77775274</v>
      </c>
      <c r="D436" s="143">
        <f>'Analisis de operaciones'!E573/'Analisis de operaciones'!E577*$O436</f>
        <v>17.59598156</v>
      </c>
      <c r="E436" s="143">
        <f>'Analisis de operaciones'!F573/'Analisis de operaciones'!F577*$O436</f>
        <v>16.84225972</v>
      </c>
      <c r="F436" s="143">
        <f>'Analisis de operaciones'!G573/'Analisis de operaciones'!G577*$O436</f>
        <v>15.7628654</v>
      </c>
      <c r="G436" s="143">
        <f>'Analisis de operaciones'!H573/'Analisis de operaciones'!H577*$O436</f>
        <v>15.43719292</v>
      </c>
      <c r="H436" s="143">
        <f>'Analisis de operaciones'!I573/'Analisis de operaciones'!I577*$O436</f>
        <v>16.51658724</v>
      </c>
      <c r="I436" s="143">
        <f>'Analisis de operaciones'!J573/'Analisis de operaciones'!J577*$O436</f>
        <v>16.51658724</v>
      </c>
      <c r="J436" s="143">
        <f>'Analisis de operaciones'!K573/'Analisis de operaciones'!K577*$O436</f>
        <v>16.51658724</v>
      </c>
      <c r="K436" s="143">
        <f>'Analisis de operaciones'!L573/'Analisis de operaciones'!L577*$O436</f>
        <v>16.19091476</v>
      </c>
      <c r="L436" s="143">
        <f>'Analisis de operaciones'!M573/'Analisis de operaciones'!M577*$O436</f>
        <v>15.86524227</v>
      </c>
      <c r="M436" s="143">
        <f>'Analisis de operaciones'!N573/'Analisis de operaciones'!N577*$O436</f>
        <v>25.25411864</v>
      </c>
      <c r="N436" s="143">
        <f>'Resumen Capacidad'!$E$31*$B$8*$O436</f>
        <v>150</v>
      </c>
      <c r="O436" s="144">
        <f>$B$20</f>
        <v>1</v>
      </c>
    </row>
    <row r="437" ht="15.75" hidden="1" customHeight="1" outlineLevel="1">
      <c r="A437" s="142" t="s">
        <v>62</v>
      </c>
      <c r="B437" s="143">
        <f>'Analisis de operaciones'!C583/'Analisis de operaciones'!C587*$O437</f>
        <v>59.77854167</v>
      </c>
      <c r="C437" s="143">
        <f>'Analisis de operaciones'!D583/'Analisis de operaciones'!D587*$O437</f>
        <v>45.62520833</v>
      </c>
      <c r="D437" s="143">
        <f>'Analisis de operaciones'!E583/'Analisis de operaciones'!E587*$O437</f>
        <v>42.75380208</v>
      </c>
      <c r="E437" s="143">
        <f>'Analisis de operaciones'!F583/'Analisis de operaciones'!F587*$O437</f>
        <v>40.92244792</v>
      </c>
      <c r="F437" s="143">
        <f>'Analisis de operaciones'!G583/'Analisis de operaciones'!G587*$O437</f>
        <v>38.29979167</v>
      </c>
      <c r="G437" s="143">
        <f>'Analisis de operaciones'!H583/'Analisis de operaciones'!H587*$O437</f>
        <v>37.50848958</v>
      </c>
      <c r="H437" s="143">
        <f>'Analisis de operaciones'!I583/'Analisis de operaciones'!I587*$O437</f>
        <v>40.13114583</v>
      </c>
      <c r="I437" s="143">
        <f>'Analisis de operaciones'!J583/'Analisis de operaciones'!J587*$O437</f>
        <v>40.13114583</v>
      </c>
      <c r="J437" s="143">
        <f>'Analisis de operaciones'!K583/'Analisis de operaciones'!K587*$O437</f>
        <v>40.13114583</v>
      </c>
      <c r="K437" s="143">
        <f>'Analisis de operaciones'!L583/'Analisis de operaciones'!L587*$O437</f>
        <v>39.33984375</v>
      </c>
      <c r="L437" s="143">
        <f>'Analisis de operaciones'!M583/'Analisis de operaciones'!M587*$O437</f>
        <v>38.54854167</v>
      </c>
      <c r="M437" s="143">
        <f>'Analisis de operaciones'!N583/'Analisis de operaciones'!N587*$O437</f>
        <v>61.36114583</v>
      </c>
      <c r="N437" s="143">
        <f>'Resumen Capacidad'!$E$32*$B$8*$O437</f>
        <v>150</v>
      </c>
      <c r="O437" s="144">
        <f>$B$21</f>
        <v>1</v>
      </c>
    </row>
    <row r="438" ht="15.75" hidden="1" customHeight="1" outlineLevel="1">
      <c r="A438" s="142" t="s">
        <v>63</v>
      </c>
      <c r="B438" s="143">
        <f>'Analisis de operaciones'!C593/'Analisis de operaciones'!C597*$O438</f>
        <v>18.96725062</v>
      </c>
      <c r="C438" s="143">
        <f>'Analisis de operaciones'!D593/'Analisis de operaciones'!D597*$O438</f>
        <v>15.1738005</v>
      </c>
      <c r="D438" s="143">
        <f>'Analisis de operaciones'!E593/'Analisis de operaciones'!E597*$O438</f>
        <v>16.12216303</v>
      </c>
      <c r="E438" s="143">
        <f>'Analisis de operaciones'!F593/'Analisis de operaciones'!F597*$O438</f>
        <v>16.12216303</v>
      </c>
      <c r="F438" s="143">
        <f>'Analisis de operaciones'!G593/'Analisis de operaciones'!G597*$O438</f>
        <v>15.1738005</v>
      </c>
      <c r="G438" s="143">
        <f>'Analisis de operaciones'!H593/'Analisis de operaciones'!H597*$O438</f>
        <v>14.22543797</v>
      </c>
      <c r="H438" s="143">
        <f>'Analisis de operaciones'!I593/'Analisis de operaciones'!I597*$O438</f>
        <v>15.1738005</v>
      </c>
      <c r="I438" s="143">
        <f>'Analisis de operaciones'!J593/'Analisis de operaciones'!J597*$O438</f>
        <v>15.1738005</v>
      </c>
      <c r="J438" s="143">
        <f>'Analisis de operaciones'!K593/'Analisis de operaciones'!K597*$O438</f>
        <v>15.1738005</v>
      </c>
      <c r="K438" s="143">
        <f>'Analisis de operaciones'!L593/'Analisis de operaciones'!L597*$O438</f>
        <v>14.22543797</v>
      </c>
      <c r="L438" s="143">
        <f>'Analisis de operaciones'!M593/'Analisis de operaciones'!M597*$O438</f>
        <v>13.27707544</v>
      </c>
      <c r="M438" s="143">
        <f>'Analisis de operaciones'!N593/'Analisis de operaciones'!N597*$O438</f>
        <v>20.86397568</v>
      </c>
      <c r="N438" s="143">
        <f>'Resumen Capacidad'!$E$33*$B$8*$O438</f>
        <v>150</v>
      </c>
      <c r="O438" s="144">
        <f>$B$22</f>
        <v>1</v>
      </c>
    </row>
    <row r="439" ht="15.75" hidden="1" customHeight="1" outlineLevel="1">
      <c r="A439" s="142" t="s">
        <v>64</v>
      </c>
      <c r="B439" s="143">
        <f>'Analisis de operaciones'!C603/'Analisis de operaciones'!C607*$O439</f>
        <v>13.42707155</v>
      </c>
      <c r="C439" s="143">
        <f>'Analisis de operaciones'!D603/'Analisis de operaciones'!D607*$O439</f>
        <v>10.74165724</v>
      </c>
      <c r="D439" s="143">
        <f>'Analisis de operaciones'!E603/'Analisis de operaciones'!E607*$O439</f>
        <v>11.41301082</v>
      </c>
      <c r="E439" s="143">
        <f>'Analisis de operaciones'!F603/'Analisis de operaciones'!F607*$O439</f>
        <v>11.41301082</v>
      </c>
      <c r="F439" s="143">
        <f>'Analisis de operaciones'!G603/'Analisis de operaciones'!G607*$O439</f>
        <v>10.74165724</v>
      </c>
      <c r="G439" s="143">
        <f>'Analisis de operaciones'!H603/'Analisis de operaciones'!H607*$O439</f>
        <v>10.07030366</v>
      </c>
      <c r="H439" s="143">
        <f>'Analisis de operaciones'!I603/'Analisis de operaciones'!I607*$O439</f>
        <v>10.74165724</v>
      </c>
      <c r="I439" s="143">
        <f>'Analisis de operaciones'!J603/'Analisis de operaciones'!J607*$O439</f>
        <v>10.74165724</v>
      </c>
      <c r="J439" s="143">
        <f>'Analisis de operaciones'!K603/'Analisis de operaciones'!K607*$O439</f>
        <v>10.74165724</v>
      </c>
      <c r="K439" s="143">
        <f>'Analisis de operaciones'!L603/'Analisis de operaciones'!L607*$O439</f>
        <v>10.07030366</v>
      </c>
      <c r="L439" s="143">
        <f>'Analisis de operaciones'!M603/'Analisis de operaciones'!M607*$O439</f>
        <v>9.398950085</v>
      </c>
      <c r="M439" s="143">
        <f>'Analisis de operaciones'!N603/'Analisis de operaciones'!N607*$O439</f>
        <v>14.7697787</v>
      </c>
      <c r="N439" s="143">
        <f>'Resumen Capacidad'!$E$34*$B$8*$O439</f>
        <v>75</v>
      </c>
      <c r="O439" s="144">
        <f>IF('Resumen Capacidad'!$E$56="Automática",$C$23,$B$23)</f>
        <v>0.5</v>
      </c>
    </row>
    <row r="440" ht="15.75" hidden="1" customHeight="1" outlineLevel="1">
      <c r="A440" s="142" t="s">
        <v>66</v>
      </c>
      <c r="B440" s="143">
        <f>'Analisis de operaciones'!C613/'Analisis de operaciones'!C617*$O440</f>
        <v>94.61125033</v>
      </c>
      <c r="C440" s="143">
        <f>'Analisis de operaciones'!D613/'Analisis de operaciones'!D617*$O440</f>
        <v>72.21082828</v>
      </c>
      <c r="D440" s="143">
        <f>'Analisis de operaciones'!E613/'Analisis de operaciones'!E617*$O440</f>
        <v>67.6662655</v>
      </c>
      <c r="E440" s="143">
        <f>'Analisis de operaciones'!F613/'Analisis de operaciones'!F617*$O440</f>
        <v>64.76778884</v>
      </c>
      <c r="F440" s="143">
        <f>'Analisis de operaciones'!G613/'Analisis de operaciones'!G617*$O440</f>
        <v>60.61692166</v>
      </c>
      <c r="G440" s="143">
        <f>'Analisis de operaciones'!H613/'Analisis de operaciones'!H617*$O440</f>
        <v>59.36453113</v>
      </c>
      <c r="H440" s="143">
        <f>'Analisis de operaciones'!I613/'Analisis de operaciones'!I617*$O440</f>
        <v>63.51539831</v>
      </c>
      <c r="I440" s="143">
        <f>'Analisis de operaciones'!J613/'Analisis de operaciones'!J617*$O440</f>
        <v>63.51539831</v>
      </c>
      <c r="J440" s="143">
        <f>'Analisis de operaciones'!K613/'Analisis de operaciones'!K617*$O440</f>
        <v>63.51539831</v>
      </c>
      <c r="K440" s="143">
        <f>'Analisis de operaciones'!L613/'Analisis de operaciones'!L617*$O440</f>
        <v>62.26300778</v>
      </c>
      <c r="L440" s="143">
        <f>'Analisis de operaciones'!M613/'Analisis de operaciones'!M617*$O440</f>
        <v>61.01061725</v>
      </c>
      <c r="M440" s="143">
        <f>'Analisis de operaciones'!N613/'Analisis de operaciones'!N617*$O440</f>
        <v>97.11603139</v>
      </c>
      <c r="N440" s="143">
        <f>'Resumen Capacidad'!$E$35*$B$8*$O440</f>
        <v>150</v>
      </c>
      <c r="O440" s="144">
        <f>$B$24</f>
        <v>1</v>
      </c>
    </row>
    <row r="441" ht="15.75" hidden="1" customHeight="1" outlineLevel="1">
      <c r="A441" s="142" t="s">
        <v>67</v>
      </c>
      <c r="B441" s="143">
        <f>'Analisis de operaciones'!C623/'Analisis de operaciones'!C627*$O441</f>
        <v>30.61886088</v>
      </c>
      <c r="C441" s="143">
        <f>'Analisis de operaciones'!D623/'Analisis de operaciones'!D627*$O441</f>
        <v>23.36945445</v>
      </c>
      <c r="D441" s="143">
        <f>'Analisis de operaciones'!E623/'Analisis de operaciones'!E627*$O441</f>
        <v>21.89870615</v>
      </c>
      <c r="E441" s="143">
        <f>'Analisis de operaciones'!F623/'Analisis de operaciones'!F627*$O441</f>
        <v>20.9606776</v>
      </c>
      <c r="F441" s="143">
        <f>'Analisis de operaciones'!G623/'Analisis de operaciones'!G627*$O441</f>
        <v>19.61734027</v>
      </c>
      <c r="G441" s="143">
        <f>'Analisis de operaciones'!H623/'Analisis de operaciones'!H627*$O441</f>
        <v>19.21203148</v>
      </c>
      <c r="H441" s="143">
        <f>'Analisis de operaciones'!I623/'Analisis de operaciones'!I627*$O441</f>
        <v>20.55536881</v>
      </c>
      <c r="I441" s="143">
        <f>'Analisis de operaciones'!J623/'Analisis de operaciones'!J627*$O441</f>
        <v>20.55536881</v>
      </c>
      <c r="J441" s="143">
        <f>'Analisis de operaciones'!K623/'Analisis de operaciones'!K627*$O441</f>
        <v>20.55536881</v>
      </c>
      <c r="K441" s="143">
        <f>'Analisis de operaciones'!L623/'Analisis de operaciones'!L627*$O441</f>
        <v>20.15006002</v>
      </c>
      <c r="L441" s="143">
        <f>'Analisis de operaciones'!M623/'Analisis de operaciones'!M627*$O441</f>
        <v>19.74475123</v>
      </c>
      <c r="M441" s="143">
        <f>'Analisis de operaciones'!N623/'Analisis de operaciones'!N627*$O441</f>
        <v>31.42947846</v>
      </c>
      <c r="N441" s="143">
        <f>'Resumen Capacidad'!$E$36*$B$8*$O441</f>
        <v>150</v>
      </c>
      <c r="O441" s="144">
        <f>$B$25</f>
        <v>1</v>
      </c>
    </row>
    <row r="442" ht="15.75" hidden="1" customHeight="1" outlineLevel="1">
      <c r="A442" s="142" t="s">
        <v>68</v>
      </c>
      <c r="B442" s="143">
        <f>'Analisis de operaciones'!C633/'Analisis de operaciones'!C637*$O442</f>
        <v>45.08185646</v>
      </c>
      <c r="C442" s="143">
        <f>'Analisis de operaciones'!D633/'Analisis de operaciones'!D637*$O442</f>
        <v>34.40815108</v>
      </c>
      <c r="D442" s="143">
        <f>'Analisis de operaciones'!E633/'Analisis de operaciones'!E637*$O442</f>
        <v>32.24268634</v>
      </c>
      <c r="E442" s="143">
        <f>'Analisis de operaciones'!F633/'Analisis de operaciones'!F637*$O442</f>
        <v>30.8615746</v>
      </c>
      <c r="F442" s="143">
        <f>'Analisis de operaciones'!G633/'Analisis de operaciones'!G637*$O442</f>
        <v>28.88370412</v>
      </c>
      <c r="G442" s="143">
        <f>'Analisis de operaciones'!H633/'Analisis de operaciones'!H637*$O442</f>
        <v>28.28694539</v>
      </c>
      <c r="H442" s="143">
        <f>'Analisis de operaciones'!I633/'Analisis de operaciones'!I637*$O442</f>
        <v>30.26481586</v>
      </c>
      <c r="I442" s="143">
        <f>'Analisis de operaciones'!J633/'Analisis de operaciones'!J637*$O442</f>
        <v>30.26481586</v>
      </c>
      <c r="J442" s="143">
        <f>'Analisis de operaciones'!K633/'Analisis de operaciones'!K637*$O442</f>
        <v>30.26481586</v>
      </c>
      <c r="K442" s="143">
        <f>'Analisis de operaciones'!L633/'Analisis de operaciones'!L637*$O442</f>
        <v>29.66805713</v>
      </c>
      <c r="L442" s="143">
        <f>'Analisis de operaciones'!M633/'Analisis de operaciones'!M637*$O442</f>
        <v>29.07129839</v>
      </c>
      <c r="M442" s="143">
        <f>'Analisis de operaciones'!N633/'Analisis de operaciones'!N637*$O442</f>
        <v>46.27537393</v>
      </c>
      <c r="N442" s="143">
        <f>'Resumen Capacidad'!$E$37*$B$8*$O442</f>
        <v>75</v>
      </c>
      <c r="O442" s="144">
        <f>IF('Resumen Capacidad'!$E$57="Automática",$C$26,$B$26)</f>
        <v>0.5</v>
      </c>
    </row>
    <row r="443" ht="15.75" hidden="1" customHeight="1" outlineLevel="1">
      <c r="A443" s="142" t="s">
        <v>70</v>
      </c>
      <c r="B443" s="143">
        <f>'Analisis de operaciones'!C643/'Analisis de operaciones'!C647*$O443</f>
        <v>33.11393762</v>
      </c>
      <c r="C443" s="143">
        <f>'Analisis de operaciones'!D643/'Analisis de operaciones'!D647*$O443</f>
        <v>25.2737899</v>
      </c>
      <c r="D443" s="143">
        <f>'Analisis de operaciones'!E643/'Analisis de operaciones'!E647*$O443</f>
        <v>23.68319292</v>
      </c>
      <c r="E443" s="143">
        <f>'Analisis de operaciones'!F643/'Analisis de operaciones'!F647*$O443</f>
        <v>22.66872609</v>
      </c>
      <c r="F443" s="143">
        <f>'Analisis de operaciones'!G643/'Analisis de operaciones'!G647*$O443</f>
        <v>21.21592258</v>
      </c>
      <c r="G443" s="143">
        <f>'Analisis de operaciones'!H643/'Analisis de operaciones'!H647*$O443</f>
        <v>20.77758589</v>
      </c>
      <c r="H443" s="143">
        <f>'Analisis de operaciones'!I643/'Analisis de operaciones'!I647*$O443</f>
        <v>22.23038941</v>
      </c>
      <c r="I443" s="143">
        <f>'Analisis de operaciones'!J643/'Analisis de operaciones'!J647*$O443</f>
        <v>22.23038941</v>
      </c>
      <c r="J443" s="143">
        <f>'Analisis de operaciones'!K643/'Analisis de operaciones'!K647*$O443</f>
        <v>22.23038941</v>
      </c>
      <c r="K443" s="143">
        <f>'Analisis de operaciones'!L643/'Analisis de operaciones'!L647*$O443</f>
        <v>21.79205272</v>
      </c>
      <c r="L443" s="143">
        <f>'Analisis de operaciones'!M643/'Analisis de operaciones'!M647*$O443</f>
        <v>21.35371604</v>
      </c>
      <c r="M443" s="143">
        <f>'Analisis de operaciones'!N643/'Analisis de operaciones'!N647*$O443</f>
        <v>33.99061099</v>
      </c>
      <c r="N443" s="143">
        <f>'Resumen Capacidad'!$E$38*$B$8*$O443</f>
        <v>75</v>
      </c>
      <c r="O443" s="144">
        <f>IF('Resumen Capacidad'!$E$58="Automática",$C$27,$B$27)</f>
        <v>0.5</v>
      </c>
    </row>
    <row r="444" ht="15.75" hidden="1" customHeight="1" outlineLevel="1">
      <c r="A444" s="142" t="s">
        <v>72</v>
      </c>
      <c r="B444" s="143">
        <f>'Analisis de operaciones'!C653/'Analisis de operaciones'!C657*$O444</f>
        <v>10.67482026</v>
      </c>
      <c r="C444" s="143">
        <f>'Analisis de operaciones'!D653/'Analisis de operaciones'!D657*$O444</f>
        <v>8.539856209</v>
      </c>
      <c r="D444" s="143">
        <f>'Analisis de operaciones'!E653/'Analisis de operaciones'!E657*$O444</f>
        <v>9.073597222</v>
      </c>
      <c r="E444" s="143">
        <f>'Analisis de operaciones'!F653/'Analisis de operaciones'!F657*$O444</f>
        <v>9.073597222</v>
      </c>
      <c r="F444" s="143">
        <f>'Analisis de operaciones'!G653/'Analisis de operaciones'!G657*$O444</f>
        <v>8.539856209</v>
      </c>
      <c r="G444" s="143">
        <f>'Analisis de operaciones'!H653/'Analisis de operaciones'!H657*$O444</f>
        <v>8.006115196</v>
      </c>
      <c r="H444" s="143">
        <f>'Analisis de operaciones'!I653/'Analisis de operaciones'!I657*$O444</f>
        <v>8.539856209</v>
      </c>
      <c r="I444" s="143">
        <f>'Analisis de operaciones'!J653/'Analisis de operaciones'!J657*$O444</f>
        <v>8.539856209</v>
      </c>
      <c r="J444" s="143">
        <f>'Analisis de operaciones'!K653/'Analisis de operaciones'!K657*$O444</f>
        <v>8.539856209</v>
      </c>
      <c r="K444" s="143">
        <f>'Analisis de operaciones'!L653/'Analisis de operaciones'!L657*$O444</f>
        <v>8.006115196</v>
      </c>
      <c r="L444" s="143">
        <f>'Analisis de operaciones'!M653/'Analisis de operaciones'!M657*$O444</f>
        <v>7.472374183</v>
      </c>
      <c r="M444" s="143">
        <f>'Analisis de operaciones'!N653/'Analisis de operaciones'!N657*$O444</f>
        <v>11.74230229</v>
      </c>
      <c r="N444" s="143">
        <f>'Resumen Capacidad'!$E$39*$B$8*$O444</f>
        <v>75</v>
      </c>
      <c r="O444" s="144">
        <f>$B$28</f>
        <v>0.5</v>
      </c>
    </row>
    <row r="445" ht="15.75" hidden="1" customHeight="1" outlineLevel="1">
      <c r="A445" s="142" t="s">
        <v>74</v>
      </c>
      <c r="B445" s="143">
        <f>'Analisis de operaciones'!C663/'Analisis de operaciones'!C667*$O445</f>
        <v>29.88927083</v>
      </c>
      <c r="C445" s="143">
        <f>'Analisis de operaciones'!D663/'Analisis de operaciones'!D667*$O445</f>
        <v>22.81260417</v>
      </c>
      <c r="D445" s="143">
        <f>'Analisis de operaciones'!E663/'Analisis de operaciones'!E667*$O445</f>
        <v>21.37690104</v>
      </c>
      <c r="E445" s="143">
        <f>'Analisis de operaciones'!F663/'Analisis de operaciones'!F667*$O445</f>
        <v>20.46122396</v>
      </c>
      <c r="F445" s="143">
        <f>'Analisis de operaciones'!G663/'Analisis de operaciones'!G667*$O445</f>
        <v>19.14989583</v>
      </c>
      <c r="G445" s="143">
        <f>'Analisis de operaciones'!H663/'Analisis de operaciones'!H667*$O445</f>
        <v>18.75424479</v>
      </c>
      <c r="H445" s="143">
        <f>'Analisis de operaciones'!I663/'Analisis de operaciones'!I667*$O445</f>
        <v>20.06557292</v>
      </c>
      <c r="I445" s="143">
        <f>'Analisis de operaciones'!J663/'Analisis de operaciones'!J667*$O445</f>
        <v>20.06557292</v>
      </c>
      <c r="J445" s="143">
        <f>'Analisis de operaciones'!K663/'Analisis de operaciones'!K667*$O445</f>
        <v>20.06557292</v>
      </c>
      <c r="K445" s="143">
        <f>'Analisis de operaciones'!L663/'Analisis de operaciones'!L667*$O445</f>
        <v>19.66992188</v>
      </c>
      <c r="L445" s="143">
        <f>'Analisis de operaciones'!M663/'Analisis de operaciones'!M667*$O445</f>
        <v>19.27427083</v>
      </c>
      <c r="M445" s="143">
        <f>'Analisis de operaciones'!N663/'Analisis de operaciones'!N667*$O445</f>
        <v>30.68057292</v>
      </c>
      <c r="N445" s="143">
        <f>'Resumen Capacidad'!$E$40*$B$8*$O445</f>
        <v>150</v>
      </c>
      <c r="O445" s="144">
        <f>$B$29</f>
        <v>1</v>
      </c>
    </row>
    <row r="446" ht="15.75" hidden="1" customHeight="1" outlineLevel="1">
      <c r="A446" s="142" t="s">
        <v>76</v>
      </c>
      <c r="B446" s="143">
        <f>'Analisis de operaciones'!C1900/'Analisis de operaciones'!C1904*$O446</f>
        <v>13.98899206</v>
      </c>
      <c r="C446" s="143">
        <f>'Analisis de operaciones'!D1900/'Analisis de operaciones'!D1904*$O446</f>
        <v>10.6769195</v>
      </c>
      <c r="D446" s="143">
        <f>'Analisis de operaciones'!E1900/'Analisis de operaciones'!E1904*$O446</f>
        <v>10.00497137</v>
      </c>
      <c r="E446" s="143">
        <f>'Analisis de operaciones'!F1900/'Analisis de operaciones'!F1904*$O446</f>
        <v>9.57640958</v>
      </c>
      <c r="F446" s="143">
        <f>'Analisis de operaciones'!G1900/'Analisis de operaciones'!G1904*$O446</f>
        <v>8.962672336</v>
      </c>
      <c r="G446" s="143">
        <f>'Analisis de operaciones'!H1900/'Analisis de operaciones'!H1904*$O446</f>
        <v>8.777496882</v>
      </c>
      <c r="H446" s="143">
        <f>'Analisis de operaciones'!I1900/'Analisis de operaciones'!I1904*$O446</f>
        <v>9.391234127</v>
      </c>
      <c r="I446" s="143">
        <f>'Analisis de operaciones'!J1900/'Analisis de operaciones'!J1904*$O446</f>
        <v>9.391234127</v>
      </c>
      <c r="J446" s="143">
        <f>'Analisis de operaciones'!K1900/'Analisis de operaciones'!K1904*$O446</f>
        <v>9.391234127</v>
      </c>
      <c r="K446" s="143">
        <f>'Analisis de operaciones'!L1900/'Analisis de operaciones'!L1904*$O446</f>
        <v>9.206058673</v>
      </c>
      <c r="L446" s="143">
        <f>'Analisis de operaciones'!M1900/'Analisis de operaciones'!M1904*$O446</f>
        <v>9.02088322</v>
      </c>
      <c r="M446" s="143">
        <f>'Analisis de operaciones'!N1900/'Analisis de operaciones'!N1904*$O446</f>
        <v>14.35934297</v>
      </c>
      <c r="N446" s="143">
        <f>'Resumen Capacidad'!$E$41*$B$8*$O446</f>
        <v>150</v>
      </c>
      <c r="O446" s="144">
        <f>$B$30</f>
        <v>1</v>
      </c>
    </row>
    <row r="447" ht="15.75" hidden="1" customHeight="1" outlineLevel="1">
      <c r="A447" s="142" t="s">
        <v>77</v>
      </c>
      <c r="B447" s="143">
        <f>IF('Resumen Capacidad'!$E$42=0,0,'Analisis de operaciones'!C673/'Analisis de operaciones'!C677*$O447)</f>
        <v>21.09478363</v>
      </c>
      <c r="C447" s="143">
        <f>IF('Resumen Capacidad'!$E$42=0,0,'Analisis de operaciones'!D673/'Analisis de operaciones'!D677*$O447)</f>
        <v>16.10032414</v>
      </c>
      <c r="D447" s="143">
        <f>IF('Resumen Capacidad'!$E$42=0,0,'Analisis de operaciones'!E673/'Analisis de operaciones'!E677*$O447)</f>
        <v>15.08705597</v>
      </c>
      <c r="E447" s="143">
        <f>IF('Resumen Capacidad'!$E$42=0,0,'Analisis de operaciones'!F673/'Analisis de operaciones'!F677*$O447)</f>
        <v>14.44080368</v>
      </c>
      <c r="F447" s="143">
        <f>IF('Resumen Capacidad'!$E$42=0,0,'Analisis de operaciones'!G673/'Analisis de operaciones'!G677*$O447)</f>
        <v>13.51531495</v>
      </c>
      <c r="G447" s="143">
        <f>IF('Resumen Capacidad'!$E$42=0,0,'Analisis de operaciones'!H673/'Analisis de operaciones'!H677*$O447)</f>
        <v>13.23607853</v>
      </c>
      <c r="H447" s="143">
        <f>IF('Resumen Capacidad'!$E$42=0,0,'Analisis de operaciones'!I673/'Analisis de operaciones'!I677*$O447)</f>
        <v>14.16156725</v>
      </c>
      <c r="I447" s="143">
        <f>IF('Resumen Capacidad'!$E$42=0,0,'Analisis de operaciones'!J673/'Analisis de operaciones'!J677*$O447)</f>
        <v>14.16156725</v>
      </c>
      <c r="J447" s="143">
        <f>IF('Resumen Capacidad'!$E$42=0,0,'Analisis de operaciones'!K673/'Analisis de operaciones'!K677*$O447)</f>
        <v>14.16156725</v>
      </c>
      <c r="K447" s="143">
        <f>IF('Resumen Capacidad'!$E$42=0,0,'Analisis de operaciones'!L673/'Analisis de operaciones'!L677*$O447)</f>
        <v>13.88233083</v>
      </c>
      <c r="L447" s="143">
        <f>IF('Resumen Capacidad'!$E$42=0,0,'Analisis de operaciones'!M673/'Analisis de operaciones'!M677*$O447)</f>
        <v>13.6030944</v>
      </c>
      <c r="M447" s="143">
        <f>IF('Resumen Capacidad'!$E$42=0,0,'Analisis de operaciones'!N673/'Analisis de operaciones'!N677*$O447)</f>
        <v>21.65325647</v>
      </c>
      <c r="N447" s="143">
        <f>'Resumen Capacidad'!$E$42*$B$8*$O447</f>
        <v>75</v>
      </c>
      <c r="O447" s="144">
        <f>$B$31</f>
        <v>0.5</v>
      </c>
    </row>
    <row r="448" ht="15.75" hidden="1" customHeight="1" outlineLevel="1">
      <c r="A448" s="142" t="s">
        <v>79</v>
      </c>
      <c r="B448" s="143">
        <f>'Analisis de operaciones'!C683/'Analisis de operaciones'!C687*$O448</f>
        <v>16.4621804</v>
      </c>
      <c r="C448" s="143">
        <f>'Analisis de operaciones'!D683/'Analisis de operaciones'!D687*$O448</f>
        <v>12.81875</v>
      </c>
      <c r="D448" s="143">
        <f>'Analisis de operaciones'!E683/'Analisis de operaciones'!E687*$O448</f>
        <v>12.62676373</v>
      </c>
      <c r="E448" s="143">
        <f>'Analisis de operaciones'!F683/'Analisis de operaciones'!F687*$O448</f>
        <v>12.27597656</v>
      </c>
      <c r="F448" s="143">
        <f>'Analisis de operaciones'!G683/'Analisis de operaciones'!G687*$O448</f>
        <v>11.56549479</v>
      </c>
      <c r="G448" s="143">
        <f>'Analisis de operaciones'!H683/'Analisis de operaciones'!H687*$O448</f>
        <v>11.10587121</v>
      </c>
      <c r="H448" s="143">
        <f>'Analisis de operaciones'!I683/'Analisis de operaciones'!I687*$O448</f>
        <v>11.91628196</v>
      </c>
      <c r="I448" s="143">
        <f>'Analisis de operaciones'!J683/'Analisis de operaciones'!J687*$O448</f>
        <v>11.91628196</v>
      </c>
      <c r="J448" s="143">
        <f>'Analisis de operaciones'!K683/'Analisis de operaciones'!K687*$O448</f>
        <v>11.86631747</v>
      </c>
      <c r="K448" s="143">
        <f>'Analisis de operaciones'!L683/'Analisis de operaciones'!L687*$O448</f>
        <v>11.40669389</v>
      </c>
      <c r="L448" s="143">
        <f>'Analisis de operaciones'!M683/'Analisis de operaciones'!M687*$O448</f>
        <v>10.9970348</v>
      </c>
      <c r="M448" s="143">
        <f>'Analisis de operaciones'!N683/'Analisis de operaciones'!N687*$O448</f>
        <v>17.13160511</v>
      </c>
      <c r="N448" s="143">
        <f>'Resumen Capacidad'!$E$43*$B$8*$O448</f>
        <v>75</v>
      </c>
      <c r="O448" s="144">
        <f>$B$32</f>
        <v>0.5</v>
      </c>
    </row>
    <row r="449" ht="15.75" hidden="1" customHeight="1" outlineLevel="1">
      <c r="A449" s="142" t="s">
        <v>81</v>
      </c>
      <c r="B449" s="143">
        <f>'Analisis de operaciones'!C693/'Analisis de operaciones'!C697*$O449</f>
        <v>78.83928571</v>
      </c>
      <c r="C449" s="143">
        <f>'Analisis de operaciones'!D693/'Analisis de operaciones'!D697*$O449</f>
        <v>61.39047619</v>
      </c>
      <c r="D449" s="143">
        <f>'Analisis de operaciones'!E693/'Analisis de operaciones'!E697*$O449</f>
        <v>60.47103175</v>
      </c>
      <c r="E449" s="143">
        <f>'Analisis de operaciones'!F693/'Analisis de operaciones'!F697*$O449</f>
        <v>58.79107143</v>
      </c>
      <c r="F449" s="143">
        <f>'Analisis de operaciones'!G693/'Analisis de operaciones'!G697*$O449</f>
        <v>55.38849206</v>
      </c>
      <c r="G449" s="143">
        <f>'Analisis de operaciones'!H693/'Analisis de operaciones'!H697*$O449</f>
        <v>53.18730159</v>
      </c>
      <c r="H449" s="143">
        <f>'Analisis de operaciones'!I693/'Analisis de operaciones'!I697*$O449</f>
        <v>57.06845238</v>
      </c>
      <c r="I449" s="143">
        <f>'Analisis de operaciones'!J693/'Analisis de operaciones'!J697*$O449</f>
        <v>57.06845238</v>
      </c>
      <c r="J449" s="143">
        <f>'Analisis de operaciones'!K693/'Analisis de operaciones'!K697*$O449</f>
        <v>56.82916667</v>
      </c>
      <c r="K449" s="143">
        <f>'Analisis de operaciones'!L693/'Analisis de operaciones'!L697*$O449</f>
        <v>54.62797619</v>
      </c>
      <c r="L449" s="143">
        <f>'Analisis de operaciones'!M693/'Analisis de operaciones'!M697*$O449</f>
        <v>52.66607143</v>
      </c>
      <c r="M449" s="143">
        <f>'Analisis de operaciones'!N693/'Analisis de operaciones'!N697*$O449</f>
        <v>82.0452381</v>
      </c>
      <c r="N449" s="143">
        <f>'Resumen Capacidad'!$E$44*$B$8*$O449</f>
        <v>150</v>
      </c>
      <c r="O449" s="144">
        <f>$B$33</f>
        <v>1</v>
      </c>
    </row>
    <row r="450" ht="15.75" hidden="1" customHeight="1" outlineLevel="1">
      <c r="A450" s="142" t="s">
        <v>82</v>
      </c>
      <c r="B450" s="143">
        <f>'Analisis de operaciones'!C703/'Analisis de operaciones'!C707*$O450</f>
        <v>47.82916667</v>
      </c>
      <c r="C450" s="143">
        <f>'Analisis de operaciones'!D703/'Analisis de operaciones'!D707*$O450</f>
        <v>37.24355556</v>
      </c>
      <c r="D450" s="143">
        <f>'Analisis de operaciones'!E703/'Analisis de operaciones'!E707*$O450</f>
        <v>36.68575926</v>
      </c>
      <c r="E450" s="143">
        <f>'Analisis de operaciones'!F703/'Analisis de operaciones'!F707*$O450</f>
        <v>35.66658333</v>
      </c>
      <c r="F450" s="143">
        <f>'Analisis de operaciones'!G703/'Analisis de operaciones'!G707*$O450</f>
        <v>33.60235185</v>
      </c>
      <c r="G450" s="143">
        <f>'Analisis de operaciones'!H703/'Analisis de operaciones'!H707*$O450</f>
        <v>32.26696296</v>
      </c>
      <c r="H450" s="143">
        <f>'Analisis de operaciones'!I703/'Analisis de operaciones'!I707*$O450</f>
        <v>34.62152778</v>
      </c>
      <c r="I450" s="143">
        <f>'Analisis de operaciones'!J703/'Analisis de operaciones'!J707*$O450</f>
        <v>34.62152778</v>
      </c>
      <c r="J450" s="143">
        <f>'Analisis de operaciones'!K703/'Analisis de operaciones'!K707*$O450</f>
        <v>34.47636111</v>
      </c>
      <c r="K450" s="143">
        <f>'Analisis de operaciones'!L703/'Analisis de operaciones'!L707*$O450</f>
        <v>33.14097222</v>
      </c>
      <c r="L450" s="143">
        <f>'Analisis de operaciones'!M703/'Analisis de operaciones'!M707*$O450</f>
        <v>31.95075</v>
      </c>
      <c r="M450" s="143">
        <f>'Analisis de operaciones'!N703/'Analisis de operaciones'!N707*$O450</f>
        <v>49.77411111</v>
      </c>
      <c r="N450" s="143">
        <f>'Resumen Capacidad'!$E$45*$B$8*$O450</f>
        <v>150</v>
      </c>
      <c r="O450" s="144">
        <f>$B$34</f>
        <v>1</v>
      </c>
    </row>
    <row r="451" ht="15.75" hidden="1" customHeight="1" outlineLevel="1">
      <c r="A451" s="142" t="s">
        <v>83</v>
      </c>
      <c r="B451" s="143">
        <f>'Analisis de operaciones'!C713/'Analisis de operaciones'!C717*$O451</f>
        <v>43.36160714</v>
      </c>
      <c r="C451" s="143">
        <f>'Analisis de operaciones'!D713/'Analisis de operaciones'!D717*$O451</f>
        <v>33.7647619</v>
      </c>
      <c r="D451" s="143">
        <f>'Analisis de operaciones'!E713/'Analisis de operaciones'!E717*$O451</f>
        <v>33.25906746</v>
      </c>
      <c r="E451" s="143">
        <f>'Analisis de operaciones'!F713/'Analisis de operaciones'!F717*$O451</f>
        <v>32.33508929</v>
      </c>
      <c r="F451" s="143">
        <f>'Analisis de operaciones'!G713/'Analisis de operaciones'!G717*$O451</f>
        <v>30.46367063</v>
      </c>
      <c r="G451" s="143">
        <f>'Analisis de operaciones'!H713/'Analisis de operaciones'!H717*$O451</f>
        <v>29.25301587</v>
      </c>
      <c r="H451" s="143">
        <f>'Analisis de operaciones'!I713/'Analisis de operaciones'!I717*$O451</f>
        <v>31.38764881</v>
      </c>
      <c r="I451" s="143">
        <f>'Analisis de operaciones'!J713/'Analisis de operaciones'!J717*$O451</f>
        <v>31.38764881</v>
      </c>
      <c r="J451" s="143">
        <f>'Analisis de operaciones'!K713/'Analisis de operaciones'!K717*$O451</f>
        <v>31.25604167</v>
      </c>
      <c r="K451" s="143">
        <f>'Analisis de operaciones'!L713/'Analisis de operaciones'!L717*$O451</f>
        <v>30.0453869</v>
      </c>
      <c r="L451" s="143">
        <f>'Analisis de operaciones'!M713/'Analisis de operaciones'!M717*$O451</f>
        <v>28.96633929</v>
      </c>
      <c r="M451" s="143">
        <f>'Analisis de operaciones'!N713/'Analisis de operaciones'!N717*$O451</f>
        <v>45.12488095</v>
      </c>
      <c r="N451" s="143">
        <f>'Resumen Capacidad'!$E$46*$B$8*$O451</f>
        <v>150</v>
      </c>
      <c r="O451" s="144">
        <f>$B$35</f>
        <v>1</v>
      </c>
    </row>
    <row r="452" ht="15.75" hidden="1" customHeight="1" outlineLevel="1">
      <c r="A452" s="142" t="s">
        <v>84</v>
      </c>
      <c r="B452" s="143">
        <f>'Analisis de operaciones'!C723/'Analisis de operaciones'!C727*$O452</f>
        <v>117.5644653</v>
      </c>
      <c r="C452" s="143">
        <f>'Analisis de operaciones'!D723/'Analisis de operaciones'!D727*$O452</f>
        <v>89.72957639</v>
      </c>
      <c r="D452" s="143">
        <f>'Analisis de operaciones'!E723/'Analisis de operaciones'!E727*$O452</f>
        <v>84.08247743</v>
      </c>
      <c r="E452" s="143">
        <f>'Analisis de operaciones'!F723/'Analisis de operaciones'!F727*$O452</f>
        <v>80.48081424</v>
      </c>
      <c r="F452" s="143">
        <f>'Analisis de operaciones'!G723/'Analisis de operaciones'!G727*$O452</f>
        <v>75.32292361</v>
      </c>
      <c r="G452" s="143">
        <f>'Analisis de operaciones'!H723/'Analisis de operaciones'!H727*$O452</f>
        <v>73.76669618</v>
      </c>
      <c r="H452" s="143">
        <f>'Analisis de operaciones'!I723/'Analisis de operaciones'!I727*$O452</f>
        <v>78.92458681</v>
      </c>
      <c r="I452" s="143">
        <f>'Analisis de operaciones'!J723/'Analisis de operaciones'!J727*$O452</f>
        <v>78.92458681</v>
      </c>
      <c r="J452" s="143">
        <f>'Analisis de operaciones'!K723/'Analisis de operaciones'!K727*$O452</f>
        <v>78.92458681</v>
      </c>
      <c r="K452" s="143">
        <f>'Analisis de operaciones'!L723/'Analisis de operaciones'!L727*$O452</f>
        <v>77.36835938</v>
      </c>
      <c r="L452" s="143">
        <f>'Analisis de operaciones'!M723/'Analisis de operaciones'!M727*$O452</f>
        <v>75.81213194</v>
      </c>
      <c r="M452" s="143">
        <f>'Analisis de operaciones'!N723/'Analisis de operaciones'!N727*$O452</f>
        <v>120.6769201</v>
      </c>
      <c r="N452" s="143">
        <f>'Resumen Capacidad'!$E$47*$B$8*$O452</f>
        <v>150</v>
      </c>
      <c r="O452" s="144">
        <f>$B$36</f>
        <v>1</v>
      </c>
    </row>
    <row r="453" ht="15.75" hidden="1" customHeight="1" outlineLevel="1">
      <c r="A453" s="142" t="s">
        <v>85</v>
      </c>
      <c r="B453" s="143">
        <f>'Analisis de operaciones'!C1910/'Analisis de operaciones'!C1914*$O453</f>
        <v>28.04945869</v>
      </c>
      <c r="C453" s="143">
        <f>'Analisis de operaciones'!D1910/'Analisis de operaciones'!D1914*$O453</f>
        <v>21.03709402</v>
      </c>
      <c r="D453" s="143">
        <f>'Analisis de operaciones'!E1910/'Analisis de operaciones'!E1914*$O453</f>
        <v>18.69963913</v>
      </c>
      <c r="E453" s="143">
        <f>'Analisis de operaciones'!F1910/'Analisis de operaciones'!F1914*$O453</f>
        <v>17.53091168</v>
      </c>
      <c r="F453" s="143">
        <f>'Analisis de operaciones'!G1910/'Analisis de operaciones'!G1914*$O453</f>
        <v>16.36218424</v>
      </c>
      <c r="G453" s="143">
        <f>'Analisis de operaciones'!H1910/'Analisis de operaciones'!H1914*$O453</f>
        <v>16.36218424</v>
      </c>
      <c r="H453" s="143">
        <f>'Analisis de operaciones'!I1910/'Analisis de operaciones'!I1914*$O453</f>
        <v>17.53091168</v>
      </c>
      <c r="I453" s="143">
        <f>'Analisis de operaciones'!J1910/'Analisis de operaciones'!J1914*$O453</f>
        <v>17.53091168</v>
      </c>
      <c r="J453" s="143">
        <f>'Analisis de operaciones'!K1910/'Analisis de operaciones'!K1914*$O453</f>
        <v>17.53091168</v>
      </c>
      <c r="K453" s="143">
        <f>'Analisis de operaciones'!L1910/'Analisis de operaciones'!L1914*$O453</f>
        <v>17.53091168</v>
      </c>
      <c r="L453" s="143">
        <f>'Analisis de operaciones'!M1910/'Analisis de operaciones'!M1914*$O453</f>
        <v>17.53091168</v>
      </c>
      <c r="M453" s="143">
        <f>'Analisis de operaciones'!N1910/'Analisis de operaciones'!N1914*$O453</f>
        <v>28.04945869</v>
      </c>
      <c r="N453" s="143">
        <f>'Resumen Capacidad'!$E$48*$B$8*$O453</f>
        <v>75</v>
      </c>
      <c r="O453" s="144">
        <f>$B$37</f>
        <v>0.5</v>
      </c>
    </row>
    <row r="454" ht="15.75" hidden="1" customHeight="1" outlineLevel="1">
      <c r="A454" s="141" t="s">
        <v>472</v>
      </c>
    </row>
    <row r="455" ht="15.75" hidden="1" customHeight="1" outlineLevel="1">
      <c r="A455" s="142" t="s">
        <v>88</v>
      </c>
      <c r="B455" s="143">
        <f>'Analisis de operaciones'!C2337/'Analisis de operaciones'!C2341*$O455</f>
        <v>3.26625</v>
      </c>
      <c r="C455" s="143">
        <f>'Analisis de operaciones'!D2337/'Analisis de operaciones'!D2341*$O455</f>
        <v>2.881985294</v>
      </c>
      <c r="D455" s="143">
        <f>'Analisis de operaciones'!E2337/'Analisis de operaciones'!E2341*$O455</f>
        <v>3.458382353</v>
      </c>
      <c r="E455" s="143">
        <f>'Analisis de operaciones'!F2337/'Analisis de operaciones'!F2341*$O455</f>
        <v>3.458382353</v>
      </c>
      <c r="F455" s="143">
        <f>'Analisis de operaciones'!G2337/'Analisis de operaciones'!G2341*$O455</f>
        <v>3.458382353</v>
      </c>
      <c r="G455" s="143">
        <f>'Analisis de operaciones'!H2337/'Analisis de operaciones'!H2341*$O455</f>
        <v>3.074117647</v>
      </c>
      <c r="H455" s="143">
        <f>'Analisis de operaciones'!I2337/'Analisis de operaciones'!I2341*$O455</f>
        <v>3.458382353</v>
      </c>
      <c r="I455" s="143">
        <f>'Analisis de operaciones'!J2337/'Analisis de operaciones'!J2341*$O455</f>
        <v>3.458382353</v>
      </c>
      <c r="J455" s="143">
        <f>'Analisis de operaciones'!K2337/'Analisis de operaciones'!K2341*$O455</f>
        <v>3.26625</v>
      </c>
      <c r="K455" s="143">
        <f>'Analisis de operaciones'!L2337/'Analisis de operaciones'!L2341*$O455</f>
        <v>2.881985294</v>
      </c>
      <c r="L455" s="143">
        <f>'Analisis de operaciones'!M2337/'Analisis de operaciones'!M2341*$O455</f>
        <v>2.689852941</v>
      </c>
      <c r="M455" s="143">
        <f>'Analisis de operaciones'!N2337/'Analisis de operaciones'!N2341*$O455</f>
        <v>3.074117647</v>
      </c>
      <c r="O455" s="144">
        <f>$B$38</f>
        <v>1</v>
      </c>
    </row>
    <row r="456" ht="15.75" hidden="1" customHeight="1" outlineLevel="1">
      <c r="A456" s="142" t="s">
        <v>89</v>
      </c>
      <c r="B456" s="143">
        <f>'Analisis de operaciones'!C2347/'Analisis de operaciones'!C2351*$O456</f>
        <v>27.22921875</v>
      </c>
      <c r="C456" s="143">
        <f>'Analisis de operaciones'!D2347/'Analisis de operaciones'!D2351*$O456</f>
        <v>24.02578125</v>
      </c>
      <c r="D456" s="143">
        <f>'Analisis de operaciones'!E2347/'Analisis de operaciones'!E2351*$O456</f>
        <v>28.8309375</v>
      </c>
      <c r="E456" s="143">
        <f>'Analisis de operaciones'!F2347/'Analisis de operaciones'!F2351*$O456</f>
        <v>28.8309375</v>
      </c>
      <c r="F456" s="143">
        <f>'Analisis de operaciones'!G2347/'Analisis de operaciones'!G2351*$O456</f>
        <v>28.8309375</v>
      </c>
      <c r="G456" s="143">
        <f>'Analisis de operaciones'!H2347/'Analisis de operaciones'!H2351*$O456</f>
        <v>25.6275</v>
      </c>
      <c r="H456" s="143">
        <f>'Analisis de operaciones'!I2347/'Analisis de operaciones'!I2351*$O456</f>
        <v>28.8309375</v>
      </c>
      <c r="I456" s="143">
        <f>'Analisis de operaciones'!J2347/'Analisis de operaciones'!J2351*$O456</f>
        <v>28.8309375</v>
      </c>
      <c r="J456" s="143">
        <f>'Analisis de operaciones'!K2347/'Analisis de operaciones'!K2351*$O456</f>
        <v>27.22921875</v>
      </c>
      <c r="K456" s="143">
        <f>'Analisis de operaciones'!L2347/'Analisis de operaciones'!L2351*$O456</f>
        <v>24.02578125</v>
      </c>
      <c r="L456" s="143">
        <f>'Analisis de operaciones'!M2347/'Analisis de operaciones'!M2351*$O456</f>
        <v>22.4240625</v>
      </c>
      <c r="M456" s="143">
        <f>'Analisis de operaciones'!N2347/'Analisis de operaciones'!N2351*$O456</f>
        <v>25.6275</v>
      </c>
      <c r="O456" s="144">
        <f>$B$39</f>
        <v>1</v>
      </c>
    </row>
    <row r="457" ht="15.75" hidden="1" customHeight="1" outlineLevel="1">
      <c r="A457" s="142" t="s">
        <v>90</v>
      </c>
      <c r="B457" s="143">
        <f>'Analisis de operaciones'!C2357/'Analisis de operaciones'!C2361*$O457</f>
        <v>1.298125</v>
      </c>
      <c r="C457" s="143">
        <f>'Analisis de operaciones'!D2357/'Analisis de operaciones'!D2361*$O457</f>
        <v>1.145404412</v>
      </c>
      <c r="D457" s="143">
        <f>'Analisis de operaciones'!E2357/'Analisis de operaciones'!E2361*$O457</f>
        <v>1.374485294</v>
      </c>
      <c r="E457" s="143">
        <f>'Analisis de operaciones'!F2357/'Analisis de operaciones'!F2361*$O457</f>
        <v>1.374485294</v>
      </c>
      <c r="F457" s="143">
        <f>'Analisis de operaciones'!G2357/'Analisis de operaciones'!G2361*$O457</f>
        <v>1.374485294</v>
      </c>
      <c r="G457" s="143">
        <f>'Analisis de operaciones'!H2357/'Analisis de operaciones'!H2361*$O457</f>
        <v>1.221764706</v>
      </c>
      <c r="H457" s="143">
        <f>'Analisis de operaciones'!I2357/'Analisis de operaciones'!I2361*$O457</f>
        <v>1.374485294</v>
      </c>
      <c r="I457" s="143">
        <f>'Analisis de operaciones'!J2357/'Analisis de operaciones'!J2361*$O457</f>
        <v>1.374485294</v>
      </c>
      <c r="J457" s="143">
        <f>'Analisis de operaciones'!K2357/'Analisis de operaciones'!K2361*$O457</f>
        <v>1.298125</v>
      </c>
      <c r="K457" s="143">
        <f>'Analisis de operaciones'!L2357/'Analisis de operaciones'!L2361*$O457</f>
        <v>1.145404412</v>
      </c>
      <c r="L457" s="143">
        <f>'Analisis de operaciones'!M2357/'Analisis de operaciones'!M2361*$O457</f>
        <v>1.069044118</v>
      </c>
      <c r="M457" s="143">
        <f>'Analisis de operaciones'!N2357/'Analisis de operaciones'!N2361*$O457</f>
        <v>1.221764706</v>
      </c>
      <c r="O457" s="144">
        <f>$B$40</f>
        <v>0.5</v>
      </c>
    </row>
    <row r="458" ht="15.75" hidden="1" customHeight="1" outlineLevel="1">
      <c r="A458" s="142" t="s">
        <v>91</v>
      </c>
      <c r="B458" s="143">
        <f>'Analisis de operaciones'!C2367/'Analisis de operaciones'!C2371*$O458</f>
        <v>0.963125</v>
      </c>
      <c r="C458" s="143">
        <f>'Analisis de operaciones'!D2367/'Analisis de operaciones'!D2371*$O458</f>
        <v>0.8498161765</v>
      </c>
      <c r="D458" s="143">
        <f>'Analisis de operaciones'!E2367/'Analisis de operaciones'!E2371*$O458</f>
        <v>1.019779412</v>
      </c>
      <c r="E458" s="143">
        <f>'Analisis de operaciones'!F2367/'Analisis de operaciones'!F2371*$O458</f>
        <v>1.019779412</v>
      </c>
      <c r="F458" s="143">
        <f>'Analisis de operaciones'!G2367/'Analisis de operaciones'!G2371*$O458</f>
        <v>1.019779412</v>
      </c>
      <c r="G458" s="143">
        <f>'Analisis de operaciones'!H2367/'Analisis de operaciones'!H2371*$O458</f>
        <v>0.9064705882</v>
      </c>
      <c r="H458" s="143">
        <f>'Analisis de operaciones'!I2367/'Analisis de operaciones'!I2371*$O458</f>
        <v>1.019779412</v>
      </c>
      <c r="I458" s="143">
        <f>'Analisis de operaciones'!J2367/'Analisis de operaciones'!J2371*$O458</f>
        <v>1.019779412</v>
      </c>
      <c r="J458" s="143">
        <f>'Analisis de operaciones'!K2367/'Analisis de operaciones'!K2371*$O458</f>
        <v>0.963125</v>
      </c>
      <c r="K458" s="143">
        <f>'Analisis de operaciones'!L2367/'Analisis de operaciones'!L2371*$O458</f>
        <v>0.8498161765</v>
      </c>
      <c r="L458" s="143">
        <f>'Analisis de operaciones'!M2367/'Analisis de operaciones'!M2371*$O458</f>
        <v>0.7931617647</v>
      </c>
      <c r="M458" s="143">
        <f>'Analisis de operaciones'!N2367/'Analisis de operaciones'!N2371*$O458</f>
        <v>0.9064705882</v>
      </c>
      <c r="O458" s="144">
        <f>$B$41</f>
        <v>0.5</v>
      </c>
    </row>
    <row r="459" ht="15.75" hidden="1" customHeight="1" outlineLevel="1">
      <c r="A459" s="142" t="s">
        <v>93</v>
      </c>
      <c r="B459" s="143">
        <f>'Analisis de operaciones'!C2377/'Analisis de operaciones'!C2381*$O459</f>
        <v>1.34</v>
      </c>
      <c r="C459" s="143">
        <f>'Analisis de operaciones'!D2377/'Analisis de operaciones'!D2381*$O459</f>
        <v>1.182352941</v>
      </c>
      <c r="D459" s="143">
        <f>'Analisis de operaciones'!E2377/'Analisis de operaciones'!E2381*$O459</f>
        <v>1.418823529</v>
      </c>
      <c r="E459" s="143">
        <f>'Analisis de operaciones'!F2377/'Analisis de operaciones'!F2381*$O459</f>
        <v>1.418823529</v>
      </c>
      <c r="F459" s="143">
        <f>'Analisis de operaciones'!G2377/'Analisis de operaciones'!G2381*$O459</f>
        <v>1.418823529</v>
      </c>
      <c r="G459" s="143">
        <f>'Analisis de operaciones'!H2377/'Analisis de operaciones'!H2381*$O459</f>
        <v>1.261176471</v>
      </c>
      <c r="H459" s="143">
        <f>'Analisis de operaciones'!I2377/'Analisis de operaciones'!I2381*$O459</f>
        <v>1.418823529</v>
      </c>
      <c r="I459" s="143">
        <f>'Analisis de operaciones'!J2377/'Analisis de operaciones'!J2381*$O459</f>
        <v>1.418823529</v>
      </c>
      <c r="J459" s="143">
        <f>'Analisis de operaciones'!K2377/'Analisis de operaciones'!K2381*$O459</f>
        <v>1.34</v>
      </c>
      <c r="K459" s="143">
        <f>'Analisis de operaciones'!L2377/'Analisis de operaciones'!L2381*$O459</f>
        <v>1.182352941</v>
      </c>
      <c r="L459" s="143">
        <f>'Analisis de operaciones'!M2377/'Analisis de operaciones'!M2381*$O459</f>
        <v>1.103529412</v>
      </c>
      <c r="M459" s="143">
        <f>'Analisis de operaciones'!N2377/'Analisis de operaciones'!N2381*$O459</f>
        <v>1.261176471</v>
      </c>
      <c r="O459" s="144">
        <f>$B$42</f>
        <v>1</v>
      </c>
    </row>
    <row r="460" ht="15.75" hidden="1" customHeight="1" outlineLevel="1">
      <c r="A460" s="142" t="s">
        <v>94</v>
      </c>
      <c r="B460" s="143">
        <f>'Analisis de operaciones'!C2387/'Analisis de operaciones'!C2391*$O460</f>
        <v>1.716875</v>
      </c>
      <c r="C460" s="143">
        <f>'Analisis de operaciones'!D2387/'Analisis de operaciones'!D2391*$O460</f>
        <v>1.514889706</v>
      </c>
      <c r="D460" s="143">
        <f>'Analisis de operaciones'!E2387/'Analisis de operaciones'!E2391*$O460</f>
        <v>1.817867647</v>
      </c>
      <c r="E460" s="143">
        <f>'Analisis de operaciones'!F2387/'Analisis de operaciones'!F2391*$O460</f>
        <v>1.817867647</v>
      </c>
      <c r="F460" s="143">
        <f>'Analisis de operaciones'!G2387/'Analisis de operaciones'!G2391*$O460</f>
        <v>1.817867647</v>
      </c>
      <c r="G460" s="143">
        <f>'Analisis de operaciones'!H2387/'Analisis de operaciones'!H2391*$O460</f>
        <v>1.615882353</v>
      </c>
      <c r="H460" s="143">
        <f>'Analisis de operaciones'!I2387/'Analisis de operaciones'!I2391*$O460</f>
        <v>1.817867647</v>
      </c>
      <c r="I460" s="143">
        <f>'Analisis de operaciones'!J2387/'Analisis de operaciones'!J2391*$O460</f>
        <v>1.817867647</v>
      </c>
      <c r="J460" s="143">
        <f>'Analisis de operaciones'!K2387/'Analisis de operaciones'!K2391*$O460</f>
        <v>1.716875</v>
      </c>
      <c r="K460" s="143">
        <f>'Analisis de operaciones'!L2387/'Analisis de operaciones'!L2391*$O460</f>
        <v>1.514889706</v>
      </c>
      <c r="L460" s="143">
        <f>'Analisis de operaciones'!M2387/'Analisis de operaciones'!M2391*$O460</f>
        <v>1.413897059</v>
      </c>
      <c r="M460" s="143">
        <f>'Analisis de operaciones'!N2387/'Analisis de operaciones'!N2391*$O460</f>
        <v>1.615882353</v>
      </c>
      <c r="O460" s="144">
        <f>$B$43</f>
        <v>0.5</v>
      </c>
    </row>
    <row r="461" ht="15.75" hidden="1" customHeight="1" outlineLevel="1">
      <c r="A461" s="142" t="s">
        <v>96</v>
      </c>
      <c r="B461" s="143">
        <f>'Analisis de operaciones'!C2397/'Analisis de operaciones'!C2401*$O461</f>
        <v>1.34</v>
      </c>
      <c r="C461" s="143">
        <f>'Analisis de operaciones'!D2397/'Analisis de operaciones'!D2401*$O461</f>
        <v>1.182352941</v>
      </c>
      <c r="D461" s="143">
        <f>'Analisis de operaciones'!E2397/'Analisis de operaciones'!E2401*$O461</f>
        <v>1.418823529</v>
      </c>
      <c r="E461" s="143">
        <f>'Analisis de operaciones'!F2397/'Analisis de operaciones'!F2401*$O461</f>
        <v>1.418823529</v>
      </c>
      <c r="F461" s="143">
        <f>'Analisis de operaciones'!G2397/'Analisis de operaciones'!G2401*$O461</f>
        <v>1.418823529</v>
      </c>
      <c r="G461" s="143">
        <f>'Analisis de operaciones'!H2397/'Analisis de operaciones'!H2401*$O461</f>
        <v>1.261176471</v>
      </c>
      <c r="H461" s="143">
        <f>'Analisis de operaciones'!I2397/'Analisis de operaciones'!I2401*$O461</f>
        <v>1.418823529</v>
      </c>
      <c r="I461" s="143">
        <f>'Analisis de operaciones'!J2397/'Analisis de operaciones'!J2401*$O461</f>
        <v>1.418823529</v>
      </c>
      <c r="J461" s="143">
        <f>'Analisis de operaciones'!K2397/'Analisis de operaciones'!K2401*$O461</f>
        <v>1.34</v>
      </c>
      <c r="K461" s="143">
        <f>'Analisis de operaciones'!L2397/'Analisis de operaciones'!L2401*$O461</f>
        <v>1.182352941</v>
      </c>
      <c r="L461" s="143">
        <f>'Analisis de operaciones'!M2397/'Analisis de operaciones'!M2401*$O461</f>
        <v>1.103529412</v>
      </c>
      <c r="M461" s="143">
        <f>'Analisis de operaciones'!N2397/'Analisis de operaciones'!N2401*$O461</f>
        <v>1.261176471</v>
      </c>
      <c r="O461" s="144">
        <f>$B$44</f>
        <v>1</v>
      </c>
    </row>
    <row r="462" ht="15.75" hidden="1" customHeight="1" outlineLevel="1">
      <c r="A462" s="142" t="s">
        <v>97</v>
      </c>
      <c r="B462" s="143">
        <f>'Analisis de operaciones'!C2407/'Analisis de operaciones'!C2411*$O462</f>
        <v>9.045</v>
      </c>
      <c r="C462" s="143">
        <f>'Analisis de operaciones'!D2407/'Analisis de operaciones'!D2411*$O462</f>
        <v>7.980882353</v>
      </c>
      <c r="D462" s="143">
        <f>'Analisis de operaciones'!E2407/'Analisis de operaciones'!E2411*$O462</f>
        <v>9.577058824</v>
      </c>
      <c r="E462" s="143">
        <f>'Analisis de operaciones'!F2407/'Analisis de operaciones'!F2411*$O462</f>
        <v>9.577058824</v>
      </c>
      <c r="F462" s="143">
        <f>'Analisis de operaciones'!G2407/'Analisis de operaciones'!G2411*$O462</f>
        <v>9.577058824</v>
      </c>
      <c r="G462" s="143">
        <f>'Analisis de operaciones'!H2407/'Analisis de operaciones'!H2411*$O462</f>
        <v>8.512941176</v>
      </c>
      <c r="H462" s="143">
        <f>'Analisis de operaciones'!I2407/'Analisis de operaciones'!I2411*$O462</f>
        <v>9.577058824</v>
      </c>
      <c r="I462" s="143">
        <f>'Analisis de operaciones'!J2407/'Analisis de operaciones'!J2411*$O462</f>
        <v>9.577058824</v>
      </c>
      <c r="J462" s="143">
        <f>'Analisis de operaciones'!K2407/'Analisis de operaciones'!K2411*$O462</f>
        <v>9.045</v>
      </c>
      <c r="K462" s="143">
        <f>'Analisis de operaciones'!L2407/'Analisis de operaciones'!L2411*$O462</f>
        <v>7.980882353</v>
      </c>
      <c r="L462" s="143">
        <f>'Analisis de operaciones'!M2407/'Analisis de operaciones'!M2411*$O462</f>
        <v>7.448823529</v>
      </c>
      <c r="M462" s="143">
        <f>'Analisis de operaciones'!N2407/'Analisis de operaciones'!N2411*$O462</f>
        <v>8.512941176</v>
      </c>
      <c r="O462" s="144">
        <f>$B$45</f>
        <v>1</v>
      </c>
    </row>
    <row r="463" ht="15.75" hidden="1" customHeight="1" outlineLevel="1">
      <c r="A463" s="142" t="s">
        <v>311</v>
      </c>
      <c r="B463" s="143">
        <f>'Analisis de operaciones'!C2998/'Analisis de operaciones'!C3002*$O463</f>
        <v>12.62533992</v>
      </c>
      <c r="C463" s="143">
        <f>'Analisis de operaciones'!D2998/'Analisis de operaciones'!D3002*$O463</f>
        <v>10.13420361</v>
      </c>
      <c r="D463" s="143">
        <f>'Analisis de operaciones'!E2998/'Analisis de operaciones'!E3002*$O463</f>
        <v>10.81757996</v>
      </c>
      <c r="E463" s="143">
        <f>'Analisis de operaciones'!F2998/'Analisis de operaciones'!F3002*$O463</f>
        <v>10.81757996</v>
      </c>
      <c r="F463" s="143">
        <f>'Analisis de operaciones'!G2998/'Analisis de operaciones'!G3002*$O463</f>
        <v>10.20691434</v>
      </c>
      <c r="G463" s="143">
        <f>'Analisis de operaciones'!H2998/'Analisis de operaciones'!H3002*$O463</f>
        <v>9.547774894</v>
      </c>
      <c r="H463" s="143">
        <f>'Analisis de operaciones'!I2998/'Analisis de operaciones'!I3002*$O463</f>
        <v>10.20691434</v>
      </c>
      <c r="I463" s="143">
        <f>'Analisis de operaciones'!J2998/'Analisis de operaciones'!J3002*$O463</f>
        <v>10.20691434</v>
      </c>
      <c r="J463" s="143">
        <f>'Analisis de operaciones'!K2998/'Analisis de operaciones'!K3002*$O463</f>
        <v>10.18267743</v>
      </c>
      <c r="K463" s="143">
        <f>'Analisis de operaciones'!L2998/'Analisis de operaciones'!L3002*$O463</f>
        <v>9.523537985</v>
      </c>
      <c r="L463" s="143">
        <f>'Analisis de operaciones'!M2998/'Analisis de operaciones'!M3002*$O463</f>
        <v>8.888635452</v>
      </c>
      <c r="M463" s="143">
        <f>'Analisis de operaciones'!N2998/'Analisis de operaciones'!N3002*$O463</f>
        <v>13.82243425</v>
      </c>
      <c r="O463" s="144">
        <v>1.0</v>
      </c>
    </row>
    <row r="464" ht="15.75" hidden="1" customHeight="1" outlineLevel="1">
      <c r="A464" s="141" t="s">
        <v>534</v>
      </c>
    </row>
    <row r="465" ht="15.75" hidden="1" customHeight="1" outlineLevel="1">
      <c r="A465" s="142" t="s">
        <v>26</v>
      </c>
      <c r="B465" s="143">
        <f t="shared" ref="B465:M465" si="195">MAX(0,B434*B$414-$N434)</f>
        <v>0</v>
      </c>
      <c r="C465" s="143">
        <f t="shared" si="195"/>
        <v>0</v>
      </c>
      <c r="D465" s="143">
        <f t="shared" si="195"/>
        <v>0</v>
      </c>
      <c r="E465" s="143">
        <f t="shared" si="195"/>
        <v>0</v>
      </c>
      <c r="F465" s="143">
        <f t="shared" si="195"/>
        <v>0</v>
      </c>
      <c r="G465" s="143">
        <f t="shared" si="195"/>
        <v>0</v>
      </c>
      <c r="H465" s="143">
        <f t="shared" si="195"/>
        <v>0</v>
      </c>
      <c r="I465" s="143">
        <f t="shared" si="195"/>
        <v>0</v>
      </c>
      <c r="J465" s="143">
        <f t="shared" si="195"/>
        <v>0</v>
      </c>
      <c r="K465" s="143">
        <f t="shared" si="195"/>
        <v>0</v>
      </c>
      <c r="L465" s="143">
        <f t="shared" si="195"/>
        <v>0</v>
      </c>
      <c r="M465" s="143">
        <f t="shared" si="195"/>
        <v>0</v>
      </c>
    </row>
    <row r="466" ht="15.75" hidden="1" customHeight="1" outlineLevel="1">
      <c r="A466" s="142" t="s">
        <v>55</v>
      </c>
      <c r="B466" s="143">
        <f t="shared" ref="B466:M466" si="196">MAX(0,B435*B$414-$N435)</f>
        <v>0</v>
      </c>
      <c r="C466" s="143">
        <f t="shared" si="196"/>
        <v>0</v>
      </c>
      <c r="D466" s="143">
        <f t="shared" si="196"/>
        <v>0</v>
      </c>
      <c r="E466" s="143">
        <f t="shared" si="196"/>
        <v>0</v>
      </c>
      <c r="F466" s="143">
        <f t="shared" si="196"/>
        <v>0</v>
      </c>
      <c r="G466" s="143">
        <f t="shared" si="196"/>
        <v>0</v>
      </c>
      <c r="H466" s="143">
        <f t="shared" si="196"/>
        <v>0</v>
      </c>
      <c r="I466" s="143">
        <f t="shared" si="196"/>
        <v>0</v>
      </c>
      <c r="J466" s="143">
        <f t="shared" si="196"/>
        <v>0</v>
      </c>
      <c r="K466" s="143">
        <f t="shared" si="196"/>
        <v>0</v>
      </c>
      <c r="L466" s="143">
        <f t="shared" si="196"/>
        <v>0</v>
      </c>
      <c r="M466" s="143">
        <f t="shared" si="196"/>
        <v>0</v>
      </c>
    </row>
    <row r="467" ht="15.75" hidden="1" customHeight="1" outlineLevel="1">
      <c r="A467" s="142" t="s">
        <v>61</v>
      </c>
      <c r="B467" s="143">
        <f t="shared" ref="B467:M467" si="197">MAX(0,B436*B$414-$N436)</f>
        <v>0</v>
      </c>
      <c r="C467" s="143">
        <f t="shared" si="197"/>
        <v>0</v>
      </c>
      <c r="D467" s="143">
        <f t="shared" si="197"/>
        <v>0</v>
      </c>
      <c r="E467" s="143">
        <f t="shared" si="197"/>
        <v>0</v>
      </c>
      <c r="F467" s="143">
        <f t="shared" si="197"/>
        <v>0</v>
      </c>
      <c r="G467" s="143">
        <f t="shared" si="197"/>
        <v>0</v>
      </c>
      <c r="H467" s="143">
        <f t="shared" si="197"/>
        <v>0</v>
      </c>
      <c r="I467" s="143">
        <f t="shared" si="197"/>
        <v>0</v>
      </c>
      <c r="J467" s="143">
        <f t="shared" si="197"/>
        <v>0</v>
      </c>
      <c r="K467" s="143">
        <f t="shared" si="197"/>
        <v>0</v>
      </c>
      <c r="L467" s="143">
        <f t="shared" si="197"/>
        <v>0</v>
      </c>
      <c r="M467" s="143">
        <f t="shared" si="197"/>
        <v>0</v>
      </c>
    </row>
    <row r="468" ht="15.75" hidden="1" customHeight="1" outlineLevel="1">
      <c r="A468" s="142" t="s">
        <v>62</v>
      </c>
      <c r="B468" s="143">
        <f t="shared" ref="B468:M468" si="198">MAX(0,B437*B$414-$N437)</f>
        <v>0</v>
      </c>
      <c r="C468" s="143">
        <f t="shared" si="198"/>
        <v>0</v>
      </c>
      <c r="D468" s="143">
        <f t="shared" si="198"/>
        <v>0</v>
      </c>
      <c r="E468" s="143">
        <f t="shared" si="198"/>
        <v>0</v>
      </c>
      <c r="F468" s="143">
        <f t="shared" si="198"/>
        <v>0</v>
      </c>
      <c r="G468" s="143">
        <f t="shared" si="198"/>
        <v>0</v>
      </c>
      <c r="H468" s="143">
        <f t="shared" si="198"/>
        <v>0</v>
      </c>
      <c r="I468" s="143">
        <f t="shared" si="198"/>
        <v>0</v>
      </c>
      <c r="J468" s="143">
        <f t="shared" si="198"/>
        <v>0</v>
      </c>
      <c r="K468" s="143">
        <f t="shared" si="198"/>
        <v>0</v>
      </c>
      <c r="L468" s="143">
        <f t="shared" si="198"/>
        <v>0</v>
      </c>
      <c r="M468" s="143">
        <f t="shared" si="198"/>
        <v>0</v>
      </c>
    </row>
    <row r="469" ht="15.75" hidden="1" customHeight="1" outlineLevel="1">
      <c r="A469" s="142" t="s">
        <v>63</v>
      </c>
      <c r="B469" s="143">
        <f t="shared" ref="B469:M469" si="199">MAX(0,B438*B$414-$N438)</f>
        <v>0</v>
      </c>
      <c r="C469" s="143">
        <f t="shared" si="199"/>
        <v>0</v>
      </c>
      <c r="D469" s="143">
        <f t="shared" si="199"/>
        <v>0</v>
      </c>
      <c r="E469" s="143">
        <f t="shared" si="199"/>
        <v>0</v>
      </c>
      <c r="F469" s="143">
        <f t="shared" si="199"/>
        <v>0</v>
      </c>
      <c r="G469" s="143">
        <f t="shared" si="199"/>
        <v>0</v>
      </c>
      <c r="H469" s="143">
        <f t="shared" si="199"/>
        <v>0</v>
      </c>
      <c r="I469" s="143">
        <f t="shared" si="199"/>
        <v>0</v>
      </c>
      <c r="J469" s="143">
        <f t="shared" si="199"/>
        <v>0</v>
      </c>
      <c r="K469" s="143">
        <f t="shared" si="199"/>
        <v>0</v>
      </c>
      <c r="L469" s="143">
        <f t="shared" si="199"/>
        <v>0</v>
      </c>
      <c r="M469" s="143">
        <f t="shared" si="199"/>
        <v>0</v>
      </c>
    </row>
    <row r="470" ht="15.75" hidden="1" customHeight="1" outlineLevel="1">
      <c r="A470" s="142" t="s">
        <v>64</v>
      </c>
      <c r="B470" s="143">
        <f t="shared" ref="B470:M470" si="200">MAX(0,B439*B$414-$N439)</f>
        <v>0</v>
      </c>
      <c r="C470" s="143">
        <f t="shared" si="200"/>
        <v>0</v>
      </c>
      <c r="D470" s="143">
        <f t="shared" si="200"/>
        <v>0</v>
      </c>
      <c r="E470" s="143">
        <f t="shared" si="200"/>
        <v>0</v>
      </c>
      <c r="F470" s="143">
        <f t="shared" si="200"/>
        <v>0</v>
      </c>
      <c r="G470" s="143">
        <f t="shared" si="200"/>
        <v>0</v>
      </c>
      <c r="H470" s="143">
        <f t="shared" si="200"/>
        <v>0</v>
      </c>
      <c r="I470" s="143">
        <f t="shared" si="200"/>
        <v>0</v>
      </c>
      <c r="J470" s="143">
        <f t="shared" si="200"/>
        <v>0</v>
      </c>
      <c r="K470" s="143">
        <f t="shared" si="200"/>
        <v>0</v>
      </c>
      <c r="L470" s="143">
        <f t="shared" si="200"/>
        <v>0</v>
      </c>
      <c r="M470" s="143">
        <f t="shared" si="200"/>
        <v>0</v>
      </c>
    </row>
    <row r="471" ht="15.75" hidden="1" customHeight="1" outlineLevel="1">
      <c r="A471" s="142" t="s">
        <v>66</v>
      </c>
      <c r="B471" s="143">
        <f t="shared" ref="B471:M471" si="201">MAX(0,B440*B$414-$N440)</f>
        <v>0</v>
      </c>
      <c r="C471" s="143">
        <f t="shared" si="201"/>
        <v>0</v>
      </c>
      <c r="D471" s="143">
        <f t="shared" si="201"/>
        <v>0</v>
      </c>
      <c r="E471" s="143">
        <f t="shared" si="201"/>
        <v>0</v>
      </c>
      <c r="F471" s="143">
        <f t="shared" si="201"/>
        <v>0</v>
      </c>
      <c r="G471" s="143">
        <f t="shared" si="201"/>
        <v>0</v>
      </c>
      <c r="H471" s="143">
        <f t="shared" si="201"/>
        <v>0</v>
      </c>
      <c r="I471" s="143">
        <f t="shared" si="201"/>
        <v>0</v>
      </c>
      <c r="J471" s="143">
        <f t="shared" si="201"/>
        <v>0</v>
      </c>
      <c r="K471" s="143">
        <f t="shared" si="201"/>
        <v>0</v>
      </c>
      <c r="L471" s="143">
        <f t="shared" si="201"/>
        <v>0</v>
      </c>
      <c r="M471" s="143">
        <f t="shared" si="201"/>
        <v>0</v>
      </c>
    </row>
    <row r="472" ht="15.75" hidden="1" customHeight="1" outlineLevel="1">
      <c r="A472" s="142" t="s">
        <v>67</v>
      </c>
      <c r="B472" s="143">
        <f t="shared" ref="B472:M472" si="202">MAX(0,B441*B$414-$N441)</f>
        <v>0</v>
      </c>
      <c r="C472" s="143">
        <f t="shared" si="202"/>
        <v>0</v>
      </c>
      <c r="D472" s="143">
        <f t="shared" si="202"/>
        <v>0</v>
      </c>
      <c r="E472" s="143">
        <f t="shared" si="202"/>
        <v>0</v>
      </c>
      <c r="F472" s="143">
        <f t="shared" si="202"/>
        <v>0</v>
      </c>
      <c r="G472" s="143">
        <f t="shared" si="202"/>
        <v>0</v>
      </c>
      <c r="H472" s="143">
        <f t="shared" si="202"/>
        <v>0</v>
      </c>
      <c r="I472" s="143">
        <f t="shared" si="202"/>
        <v>0</v>
      </c>
      <c r="J472" s="143">
        <f t="shared" si="202"/>
        <v>0</v>
      </c>
      <c r="K472" s="143">
        <f t="shared" si="202"/>
        <v>0</v>
      </c>
      <c r="L472" s="143">
        <f t="shared" si="202"/>
        <v>0</v>
      </c>
      <c r="M472" s="143">
        <f t="shared" si="202"/>
        <v>0</v>
      </c>
    </row>
    <row r="473" ht="15.75" hidden="1" customHeight="1" outlineLevel="1">
      <c r="A473" s="142" t="s">
        <v>68</v>
      </c>
      <c r="B473" s="143">
        <f t="shared" ref="B473:M473" si="203">MAX(0,B442*B$414-$N442)</f>
        <v>0</v>
      </c>
      <c r="C473" s="143">
        <f t="shared" si="203"/>
        <v>0</v>
      </c>
      <c r="D473" s="143">
        <f t="shared" si="203"/>
        <v>0</v>
      </c>
      <c r="E473" s="143">
        <f t="shared" si="203"/>
        <v>0</v>
      </c>
      <c r="F473" s="143">
        <f t="shared" si="203"/>
        <v>0</v>
      </c>
      <c r="G473" s="143">
        <f t="shared" si="203"/>
        <v>0</v>
      </c>
      <c r="H473" s="143">
        <f t="shared" si="203"/>
        <v>0</v>
      </c>
      <c r="I473" s="143">
        <f t="shared" si="203"/>
        <v>0</v>
      </c>
      <c r="J473" s="143">
        <f t="shared" si="203"/>
        <v>0</v>
      </c>
      <c r="K473" s="143">
        <f t="shared" si="203"/>
        <v>0</v>
      </c>
      <c r="L473" s="143">
        <f t="shared" si="203"/>
        <v>0</v>
      </c>
      <c r="M473" s="143">
        <f t="shared" si="203"/>
        <v>0</v>
      </c>
    </row>
    <row r="474" ht="15.75" hidden="1" customHeight="1" outlineLevel="1">
      <c r="A474" s="142" t="s">
        <v>70</v>
      </c>
      <c r="B474" s="143">
        <f t="shared" ref="B474:M474" si="204">MAX(0,B443*B$414-$N443)</f>
        <v>0</v>
      </c>
      <c r="C474" s="143">
        <f t="shared" si="204"/>
        <v>0</v>
      </c>
      <c r="D474" s="143">
        <f t="shared" si="204"/>
        <v>0</v>
      </c>
      <c r="E474" s="143">
        <f t="shared" si="204"/>
        <v>0</v>
      </c>
      <c r="F474" s="143">
        <f t="shared" si="204"/>
        <v>0</v>
      </c>
      <c r="G474" s="143">
        <f t="shared" si="204"/>
        <v>0</v>
      </c>
      <c r="H474" s="143">
        <f t="shared" si="204"/>
        <v>0</v>
      </c>
      <c r="I474" s="143">
        <f t="shared" si="204"/>
        <v>0</v>
      </c>
      <c r="J474" s="143">
        <f t="shared" si="204"/>
        <v>0</v>
      </c>
      <c r="K474" s="143">
        <f t="shared" si="204"/>
        <v>0</v>
      </c>
      <c r="L474" s="143">
        <f t="shared" si="204"/>
        <v>0</v>
      </c>
      <c r="M474" s="143">
        <f t="shared" si="204"/>
        <v>0</v>
      </c>
    </row>
    <row r="475" ht="15.75" hidden="1" customHeight="1" outlineLevel="1">
      <c r="A475" s="142" t="s">
        <v>72</v>
      </c>
      <c r="B475" s="143">
        <f t="shared" ref="B475:M475" si="205">MAX(0,B444*B$414-$N444)</f>
        <v>0</v>
      </c>
      <c r="C475" s="143">
        <f t="shared" si="205"/>
        <v>0</v>
      </c>
      <c r="D475" s="143">
        <f t="shared" si="205"/>
        <v>0</v>
      </c>
      <c r="E475" s="143">
        <f t="shared" si="205"/>
        <v>0</v>
      </c>
      <c r="F475" s="143">
        <f t="shared" si="205"/>
        <v>0</v>
      </c>
      <c r="G475" s="143">
        <f t="shared" si="205"/>
        <v>0</v>
      </c>
      <c r="H475" s="143">
        <f t="shared" si="205"/>
        <v>0</v>
      </c>
      <c r="I475" s="143">
        <f t="shared" si="205"/>
        <v>0</v>
      </c>
      <c r="J475" s="143">
        <f t="shared" si="205"/>
        <v>0</v>
      </c>
      <c r="K475" s="143">
        <f t="shared" si="205"/>
        <v>0</v>
      </c>
      <c r="L475" s="143">
        <f t="shared" si="205"/>
        <v>0</v>
      </c>
      <c r="M475" s="143">
        <f t="shared" si="205"/>
        <v>0</v>
      </c>
    </row>
    <row r="476" ht="15.75" hidden="1" customHeight="1" outlineLevel="1">
      <c r="A476" s="142" t="s">
        <v>74</v>
      </c>
      <c r="B476" s="143">
        <f t="shared" ref="B476:M476" si="206">MAX(0,B445*B$414-$N445)</f>
        <v>0</v>
      </c>
      <c r="C476" s="143">
        <f t="shared" si="206"/>
        <v>0</v>
      </c>
      <c r="D476" s="143">
        <f t="shared" si="206"/>
        <v>0</v>
      </c>
      <c r="E476" s="143">
        <f t="shared" si="206"/>
        <v>0</v>
      </c>
      <c r="F476" s="143">
        <f t="shared" si="206"/>
        <v>0</v>
      </c>
      <c r="G476" s="143">
        <f t="shared" si="206"/>
        <v>0</v>
      </c>
      <c r="H476" s="143">
        <f t="shared" si="206"/>
        <v>0</v>
      </c>
      <c r="I476" s="143">
        <f t="shared" si="206"/>
        <v>0</v>
      </c>
      <c r="J476" s="143">
        <f t="shared" si="206"/>
        <v>0</v>
      </c>
      <c r="K476" s="143">
        <f t="shared" si="206"/>
        <v>0</v>
      </c>
      <c r="L476" s="143">
        <f t="shared" si="206"/>
        <v>0</v>
      </c>
      <c r="M476" s="143">
        <f t="shared" si="206"/>
        <v>0</v>
      </c>
    </row>
    <row r="477" ht="15.75" hidden="1" customHeight="1" outlineLevel="1">
      <c r="A477" s="142" t="s">
        <v>76</v>
      </c>
      <c r="B477" s="143">
        <f t="shared" ref="B477:M477" si="207">MAX(0,B446*B$414-$N446)</f>
        <v>0</v>
      </c>
      <c r="C477" s="143">
        <f t="shared" si="207"/>
        <v>0</v>
      </c>
      <c r="D477" s="143">
        <f t="shared" si="207"/>
        <v>0</v>
      </c>
      <c r="E477" s="143">
        <f t="shared" si="207"/>
        <v>0</v>
      </c>
      <c r="F477" s="143">
        <f t="shared" si="207"/>
        <v>0</v>
      </c>
      <c r="G477" s="143">
        <f t="shared" si="207"/>
        <v>0</v>
      </c>
      <c r="H477" s="143">
        <f t="shared" si="207"/>
        <v>0</v>
      </c>
      <c r="I477" s="143">
        <f t="shared" si="207"/>
        <v>0</v>
      </c>
      <c r="J477" s="143">
        <f t="shared" si="207"/>
        <v>0</v>
      </c>
      <c r="K477" s="143">
        <f t="shared" si="207"/>
        <v>0</v>
      </c>
      <c r="L477" s="143">
        <f t="shared" si="207"/>
        <v>0</v>
      </c>
      <c r="M477" s="143">
        <f t="shared" si="207"/>
        <v>0</v>
      </c>
    </row>
    <row r="478" ht="15.75" hidden="1" customHeight="1" outlineLevel="1">
      <c r="A478" s="142" t="s">
        <v>77</v>
      </c>
      <c r="B478" s="143">
        <f t="shared" ref="B478:M478" si="208">MAX(0,B447*B$414-$N447)</f>
        <v>0</v>
      </c>
      <c r="C478" s="143">
        <f t="shared" si="208"/>
        <v>0</v>
      </c>
      <c r="D478" s="143">
        <f t="shared" si="208"/>
        <v>0</v>
      </c>
      <c r="E478" s="143">
        <f t="shared" si="208"/>
        <v>0</v>
      </c>
      <c r="F478" s="143">
        <f t="shared" si="208"/>
        <v>0</v>
      </c>
      <c r="G478" s="143">
        <f t="shared" si="208"/>
        <v>0</v>
      </c>
      <c r="H478" s="143">
        <f t="shared" si="208"/>
        <v>0</v>
      </c>
      <c r="I478" s="143">
        <f t="shared" si="208"/>
        <v>0</v>
      </c>
      <c r="J478" s="143">
        <f t="shared" si="208"/>
        <v>0</v>
      </c>
      <c r="K478" s="143">
        <f t="shared" si="208"/>
        <v>0</v>
      </c>
      <c r="L478" s="143">
        <f t="shared" si="208"/>
        <v>0</v>
      </c>
      <c r="M478" s="143">
        <f t="shared" si="208"/>
        <v>0</v>
      </c>
    </row>
    <row r="479" ht="15.75" hidden="1" customHeight="1" outlineLevel="1">
      <c r="A479" s="142" t="s">
        <v>79</v>
      </c>
      <c r="B479" s="143">
        <f t="shared" ref="B479:M479" si="209">MAX(0,B448*B$414-$N448)</f>
        <v>0</v>
      </c>
      <c r="C479" s="143">
        <f t="shared" si="209"/>
        <v>0</v>
      </c>
      <c r="D479" s="143">
        <f t="shared" si="209"/>
        <v>0</v>
      </c>
      <c r="E479" s="143">
        <f t="shared" si="209"/>
        <v>0</v>
      </c>
      <c r="F479" s="143">
        <f t="shared" si="209"/>
        <v>0</v>
      </c>
      <c r="G479" s="143">
        <f t="shared" si="209"/>
        <v>0</v>
      </c>
      <c r="H479" s="143">
        <f t="shared" si="209"/>
        <v>0</v>
      </c>
      <c r="I479" s="143">
        <f t="shared" si="209"/>
        <v>0</v>
      </c>
      <c r="J479" s="143">
        <f t="shared" si="209"/>
        <v>0</v>
      </c>
      <c r="K479" s="143">
        <f t="shared" si="209"/>
        <v>0</v>
      </c>
      <c r="L479" s="143">
        <f t="shared" si="209"/>
        <v>0</v>
      </c>
      <c r="M479" s="143">
        <f t="shared" si="209"/>
        <v>0</v>
      </c>
    </row>
    <row r="480" ht="15.75" hidden="1" customHeight="1" outlineLevel="1">
      <c r="A480" s="142" t="s">
        <v>81</v>
      </c>
      <c r="B480" s="143">
        <f t="shared" ref="B480:M480" si="210">MAX(0,B449*B$414-$N449)</f>
        <v>0</v>
      </c>
      <c r="C480" s="143">
        <f t="shared" si="210"/>
        <v>0</v>
      </c>
      <c r="D480" s="143">
        <f t="shared" si="210"/>
        <v>0</v>
      </c>
      <c r="E480" s="143">
        <f t="shared" si="210"/>
        <v>0</v>
      </c>
      <c r="F480" s="143">
        <f t="shared" si="210"/>
        <v>0</v>
      </c>
      <c r="G480" s="143">
        <f t="shared" si="210"/>
        <v>0</v>
      </c>
      <c r="H480" s="143">
        <f t="shared" si="210"/>
        <v>0</v>
      </c>
      <c r="I480" s="143">
        <f t="shared" si="210"/>
        <v>0</v>
      </c>
      <c r="J480" s="143">
        <f t="shared" si="210"/>
        <v>0</v>
      </c>
      <c r="K480" s="143">
        <f t="shared" si="210"/>
        <v>0</v>
      </c>
      <c r="L480" s="143">
        <f t="shared" si="210"/>
        <v>0</v>
      </c>
      <c r="M480" s="143">
        <f t="shared" si="210"/>
        <v>0</v>
      </c>
    </row>
    <row r="481" ht="15.75" hidden="1" customHeight="1" outlineLevel="1">
      <c r="A481" s="142" t="s">
        <v>82</v>
      </c>
      <c r="B481" s="143">
        <f t="shared" ref="B481:M481" si="211">MAX(0,B450*B$414-$N450)</f>
        <v>0</v>
      </c>
      <c r="C481" s="143">
        <f t="shared" si="211"/>
        <v>0</v>
      </c>
      <c r="D481" s="143">
        <f t="shared" si="211"/>
        <v>0</v>
      </c>
      <c r="E481" s="143">
        <f t="shared" si="211"/>
        <v>0</v>
      </c>
      <c r="F481" s="143">
        <f t="shared" si="211"/>
        <v>0</v>
      </c>
      <c r="G481" s="143">
        <f t="shared" si="211"/>
        <v>0</v>
      </c>
      <c r="H481" s="143">
        <f t="shared" si="211"/>
        <v>0</v>
      </c>
      <c r="I481" s="143">
        <f t="shared" si="211"/>
        <v>0</v>
      </c>
      <c r="J481" s="143">
        <f t="shared" si="211"/>
        <v>0</v>
      </c>
      <c r="K481" s="143">
        <f t="shared" si="211"/>
        <v>0</v>
      </c>
      <c r="L481" s="143">
        <f t="shared" si="211"/>
        <v>0</v>
      </c>
      <c r="M481" s="143">
        <f t="shared" si="211"/>
        <v>0</v>
      </c>
    </row>
    <row r="482" ht="15.75" hidden="1" customHeight="1" outlineLevel="1">
      <c r="A482" s="142" t="s">
        <v>83</v>
      </c>
      <c r="B482" s="143">
        <f t="shared" ref="B482:M482" si="212">MAX(0,B451*B$414-$N451)</f>
        <v>0</v>
      </c>
      <c r="C482" s="143">
        <f t="shared" si="212"/>
        <v>0</v>
      </c>
      <c r="D482" s="143">
        <f t="shared" si="212"/>
        <v>0</v>
      </c>
      <c r="E482" s="143">
        <f t="shared" si="212"/>
        <v>0</v>
      </c>
      <c r="F482" s="143">
        <f t="shared" si="212"/>
        <v>0</v>
      </c>
      <c r="G482" s="143">
        <f t="shared" si="212"/>
        <v>0</v>
      </c>
      <c r="H482" s="143">
        <f t="shared" si="212"/>
        <v>0</v>
      </c>
      <c r="I482" s="143">
        <f t="shared" si="212"/>
        <v>0</v>
      </c>
      <c r="J482" s="143">
        <f t="shared" si="212"/>
        <v>0</v>
      </c>
      <c r="K482" s="143">
        <f t="shared" si="212"/>
        <v>0</v>
      </c>
      <c r="L482" s="143">
        <f t="shared" si="212"/>
        <v>0</v>
      </c>
      <c r="M482" s="143">
        <f t="shared" si="212"/>
        <v>0</v>
      </c>
    </row>
    <row r="483" ht="15.75" hidden="1" customHeight="1" outlineLevel="1">
      <c r="A483" s="142" t="s">
        <v>84</v>
      </c>
      <c r="B483" s="143">
        <f t="shared" ref="B483:M483" si="213">MAX(0,B452*B$414-$N452)</f>
        <v>0</v>
      </c>
      <c r="C483" s="143">
        <f t="shared" si="213"/>
        <v>0</v>
      </c>
      <c r="D483" s="143">
        <f t="shared" si="213"/>
        <v>0</v>
      </c>
      <c r="E483" s="143">
        <f t="shared" si="213"/>
        <v>0</v>
      </c>
      <c r="F483" s="143">
        <f t="shared" si="213"/>
        <v>0</v>
      </c>
      <c r="G483" s="143">
        <f t="shared" si="213"/>
        <v>0</v>
      </c>
      <c r="H483" s="143">
        <f t="shared" si="213"/>
        <v>0</v>
      </c>
      <c r="I483" s="143">
        <f t="shared" si="213"/>
        <v>0</v>
      </c>
      <c r="J483" s="143">
        <f t="shared" si="213"/>
        <v>0</v>
      </c>
      <c r="K483" s="143">
        <f t="shared" si="213"/>
        <v>0</v>
      </c>
      <c r="L483" s="143">
        <f t="shared" si="213"/>
        <v>0</v>
      </c>
      <c r="M483" s="143">
        <f t="shared" si="213"/>
        <v>0</v>
      </c>
    </row>
    <row r="484" ht="15.75" hidden="1" customHeight="1" outlineLevel="1">
      <c r="A484" s="142" t="s">
        <v>85</v>
      </c>
      <c r="B484" s="143">
        <f t="shared" ref="B484:M484" si="214">MAX(0,B453*B$414-$N453)</f>
        <v>0</v>
      </c>
      <c r="C484" s="143">
        <f t="shared" si="214"/>
        <v>0</v>
      </c>
      <c r="D484" s="143">
        <f t="shared" si="214"/>
        <v>0</v>
      </c>
      <c r="E484" s="143">
        <f t="shared" si="214"/>
        <v>0</v>
      </c>
      <c r="F484" s="143">
        <f t="shared" si="214"/>
        <v>0</v>
      </c>
      <c r="G484" s="143">
        <f t="shared" si="214"/>
        <v>0</v>
      </c>
      <c r="H484" s="143">
        <f t="shared" si="214"/>
        <v>0</v>
      </c>
      <c r="I484" s="143">
        <f t="shared" si="214"/>
        <v>0</v>
      </c>
      <c r="J484" s="143">
        <f t="shared" si="214"/>
        <v>0</v>
      </c>
      <c r="K484" s="143">
        <f t="shared" si="214"/>
        <v>0</v>
      </c>
      <c r="L484" s="143">
        <f t="shared" si="214"/>
        <v>0</v>
      </c>
      <c r="M484" s="143">
        <f t="shared" si="214"/>
        <v>0</v>
      </c>
    </row>
    <row r="485" ht="15.75" customHeight="1"/>
    <row r="486" ht="15.75" customHeight="1"/>
    <row r="487" ht="15.75" customHeight="1">
      <c r="A487" s="45" t="s">
        <v>700</v>
      </c>
      <c r="B487" s="69"/>
      <c r="C487" s="69"/>
      <c r="D487" s="69"/>
      <c r="E487" s="69"/>
      <c r="F487" s="69"/>
      <c r="G487" s="69"/>
      <c r="H487" s="69"/>
      <c r="I487" s="69"/>
      <c r="J487" s="69"/>
      <c r="K487" s="69"/>
      <c r="L487" s="69"/>
      <c r="M487" s="69"/>
      <c r="N487" s="69"/>
    </row>
    <row r="488" ht="15.75" customHeight="1">
      <c r="A488" s="73" t="s">
        <v>270</v>
      </c>
      <c r="B488" s="36">
        <f>'Resumen Capacidad'!F85</f>
        <v>1</v>
      </c>
    </row>
    <row r="489" ht="15.75" customHeight="1">
      <c r="A489" s="30" t="s">
        <v>333</v>
      </c>
      <c r="B489" s="84">
        <f>IF($B$5=1,MAX(MAX(B503:L503),M502),MAX(B503:M503))</f>
        <v>1532.522422</v>
      </c>
    </row>
    <row r="490" ht="15.75" customHeight="1">
      <c r="A490" s="73" t="s">
        <v>275</v>
      </c>
      <c r="B490" s="115">
        <f>MIN('Resumen Capacidad'!F$49+'Resumen Capacidad'!F$228+'Resumen Capacidad'!F$235,MAX($B$13,ROUNDUP(B489/$B$11,0)))</f>
        <v>10</v>
      </c>
      <c r="C490" s="22" t="s">
        <v>339</v>
      </c>
    </row>
    <row r="491" ht="15.75" customHeight="1">
      <c r="A491" s="73" t="s">
        <v>284</v>
      </c>
      <c r="B491" s="115">
        <f>IF(B488=2,ROUNDUP(MAX(B509:M509)/$B$11,0),0)</f>
        <v>0</v>
      </c>
      <c r="C491" s="22" t="s">
        <v>341</v>
      </c>
    </row>
    <row r="492" ht="15.75" customHeight="1">
      <c r="A492" s="73" t="s">
        <v>280</v>
      </c>
      <c r="B492" s="115">
        <f>IF(MAX(B519:M519)=0,0,MAX(Parametros!$B$73,ROUNDUP(MAX(B519:M519)/$B$11,0)))</f>
        <v>9</v>
      </c>
      <c r="C492" s="22" t="s">
        <v>345</v>
      </c>
    </row>
    <row r="493" ht="15.75" customHeight="1">
      <c r="A493" s="73" t="s">
        <v>286</v>
      </c>
      <c r="B493" s="115">
        <f>IF(B488=2,MAX(1,ROUNDUP(MAX(B513:M513)/$B$11,0)),0)</f>
        <v>0</v>
      </c>
      <c r="C493" s="22" t="s">
        <v>347</v>
      </c>
    </row>
    <row r="494" ht="15.75" customHeight="1"/>
    <row r="495" ht="15.75" customHeight="1">
      <c r="A495" s="29" t="s">
        <v>188</v>
      </c>
      <c r="B495" s="29" t="s">
        <v>109</v>
      </c>
      <c r="C495" s="29" t="s">
        <v>110</v>
      </c>
      <c r="D495" s="29" t="s">
        <v>111</v>
      </c>
      <c r="E495" s="29" t="s">
        <v>112</v>
      </c>
      <c r="F495" s="29" t="s">
        <v>113</v>
      </c>
      <c r="G495" s="29" t="s">
        <v>114</v>
      </c>
      <c r="H495" s="29" t="s">
        <v>115</v>
      </c>
      <c r="I495" s="29" t="s">
        <v>116</v>
      </c>
      <c r="J495" s="29" t="s">
        <v>117</v>
      </c>
      <c r="K495" s="29" t="s">
        <v>118</v>
      </c>
      <c r="L495" s="29" t="s">
        <v>119</v>
      </c>
      <c r="M495" s="29" t="s">
        <v>120</v>
      </c>
      <c r="N495" s="29" t="s">
        <v>348</v>
      </c>
    </row>
    <row r="496" ht="15.75" customHeight="1">
      <c r="A496" s="30" t="s">
        <v>349</v>
      </c>
      <c r="B496" s="64">
        <f>F$74*B$53</f>
        <v>0</v>
      </c>
      <c r="C496" s="64">
        <f>F$74*C$53</f>
        <v>112.5</v>
      </c>
      <c r="D496" s="64">
        <f>F$74*D$53</f>
        <v>150</v>
      </c>
      <c r="E496" s="64">
        <f>F$74*E$53</f>
        <v>150</v>
      </c>
      <c r="F496" s="64">
        <f>F$74*F$53</f>
        <v>0</v>
      </c>
      <c r="G496" s="64">
        <f>F$74*G$53</f>
        <v>0</v>
      </c>
      <c r="H496" s="64">
        <f>F$74*H$53</f>
        <v>187.5</v>
      </c>
      <c r="I496" s="64">
        <f>F$74*I$53</f>
        <v>0</v>
      </c>
      <c r="J496" s="64">
        <f>F$74*J$53</f>
        <v>0</v>
      </c>
      <c r="K496" s="64">
        <f>F$74*K$53</f>
        <v>75</v>
      </c>
      <c r="L496" s="64">
        <f>F$74*L$53</f>
        <v>75</v>
      </c>
      <c r="M496" s="64">
        <f>F$74*M$53</f>
        <v>0</v>
      </c>
      <c r="N496" s="84">
        <f t="shared" ref="N496:N519" si="215">MAX(B496:M496)</f>
        <v>187.5</v>
      </c>
    </row>
    <row r="497" ht="15.75" customHeight="1">
      <c r="A497" s="30" t="s">
        <v>359</v>
      </c>
      <c r="B497" s="64">
        <f>F$78*B$53</f>
        <v>0</v>
      </c>
      <c r="C497" s="64">
        <f>F$78*C$53</f>
        <v>0</v>
      </c>
      <c r="D497" s="64">
        <f>F$78*D$53</f>
        <v>0</v>
      </c>
      <c r="E497" s="64">
        <f>F$78*E$53</f>
        <v>0</v>
      </c>
      <c r="F497" s="64">
        <f>F$78*F$53</f>
        <v>0</v>
      </c>
      <c r="G497" s="64">
        <f>F$78*G$53</f>
        <v>0</v>
      </c>
      <c r="H497" s="64">
        <f>F$78*H$53</f>
        <v>0</v>
      </c>
      <c r="I497" s="64">
        <f>F$78*I$53</f>
        <v>0</v>
      </c>
      <c r="J497" s="64">
        <f>F$78*J$53</f>
        <v>0</v>
      </c>
      <c r="K497" s="64">
        <f>F$78*K$53</f>
        <v>0</v>
      </c>
      <c r="L497" s="64">
        <f>F$78*L$53</f>
        <v>0</v>
      </c>
      <c r="M497" s="64">
        <f>F$78*M$53</f>
        <v>0</v>
      </c>
      <c r="N497" s="84">
        <f t="shared" si="215"/>
        <v>0</v>
      </c>
    </row>
    <row r="498" ht="15.75" customHeight="1">
      <c r="A498" s="30" t="s">
        <v>375</v>
      </c>
      <c r="B498" s="64">
        <f>F$82*B$54</f>
        <v>0</v>
      </c>
      <c r="C498" s="64">
        <f>F$82*C$54</f>
        <v>101.25</v>
      </c>
      <c r="D498" s="64">
        <f>F$82*D$54</f>
        <v>101.25</v>
      </c>
      <c r="E498" s="64">
        <f>F$82*E$54</f>
        <v>101.25</v>
      </c>
      <c r="F498" s="64">
        <f>F$82*F$54</f>
        <v>0</v>
      </c>
      <c r="G498" s="64">
        <f>F$82*G$54</f>
        <v>0</v>
      </c>
      <c r="H498" s="64">
        <f>F$82*H$54</f>
        <v>168.75</v>
      </c>
      <c r="I498" s="64">
        <f>F$82*I$54</f>
        <v>0</v>
      </c>
      <c r="J498" s="64">
        <f>F$82*J$54</f>
        <v>0</v>
      </c>
      <c r="K498" s="64">
        <f>F$82*K$54</f>
        <v>101.25</v>
      </c>
      <c r="L498" s="64">
        <f>F$82*L$54</f>
        <v>101.25</v>
      </c>
      <c r="M498" s="64">
        <f>F$82*M$54</f>
        <v>0</v>
      </c>
      <c r="N498" s="84">
        <f t="shared" si="215"/>
        <v>168.75</v>
      </c>
    </row>
    <row r="499" ht="15.75" customHeight="1">
      <c r="A499" s="30" t="s">
        <v>380</v>
      </c>
      <c r="B499" s="64">
        <f>F$86*B$54</f>
        <v>0</v>
      </c>
      <c r="C499" s="64">
        <f>F$86*C$54</f>
        <v>0</v>
      </c>
      <c r="D499" s="64">
        <f>F$86*D$54</f>
        <v>0</v>
      </c>
      <c r="E499" s="64">
        <f>F$86*E$54</f>
        <v>0</v>
      </c>
      <c r="F499" s="64">
        <f>F$86*F$54</f>
        <v>0</v>
      </c>
      <c r="G499" s="64">
        <f>F$86*G$54</f>
        <v>0</v>
      </c>
      <c r="H499" s="64">
        <f>F$86*H$54</f>
        <v>0</v>
      </c>
      <c r="I499" s="64">
        <f>F$86*I$54</f>
        <v>0</v>
      </c>
      <c r="J499" s="64">
        <f>F$86*J$54</f>
        <v>0</v>
      </c>
      <c r="K499" s="64">
        <f>F$86*K$54</f>
        <v>0</v>
      </c>
      <c r="L499" s="64">
        <f>F$86*L$54</f>
        <v>0</v>
      </c>
      <c r="M499" s="64">
        <f>F$86*M$54</f>
        <v>0</v>
      </c>
      <c r="N499" s="84">
        <f t="shared" si="215"/>
        <v>0</v>
      </c>
    </row>
    <row r="500" ht="15.75" customHeight="1">
      <c r="A500" s="30" t="s">
        <v>382</v>
      </c>
      <c r="B500" s="64">
        <f>'Analisis de operaciones'!C736</f>
        <v>10033.02</v>
      </c>
      <c r="C500" s="64">
        <f>'Analisis de operaciones'!D736</f>
        <v>7653.72</v>
      </c>
      <c r="D500" s="64">
        <f>'Analisis de operaciones'!E736</f>
        <v>7161.515</v>
      </c>
      <c r="E500" s="64">
        <f>'Analisis de operaciones'!F736</f>
        <v>6850.935</v>
      </c>
      <c r="F500" s="64">
        <f>'Analisis de operaciones'!G736</f>
        <v>6411.4</v>
      </c>
      <c r="G500" s="64">
        <f>'Analisis de operaciones'!H736</f>
        <v>6282.445</v>
      </c>
      <c r="H500" s="64">
        <f>'Analisis de operaciones'!I736</f>
        <v>6721.98</v>
      </c>
      <c r="I500" s="64">
        <f>'Analisis de operaciones'!J736</f>
        <v>6721.98</v>
      </c>
      <c r="J500" s="64">
        <f>'Analisis de operaciones'!K736</f>
        <v>6721.98</v>
      </c>
      <c r="K500" s="64">
        <f>'Analisis de operaciones'!L736</f>
        <v>6593.025</v>
      </c>
      <c r="L500" s="64">
        <f>'Analisis de operaciones'!M736</f>
        <v>6464.07</v>
      </c>
      <c r="M500" s="64">
        <f>'Analisis de operaciones'!N736</f>
        <v>10290.93</v>
      </c>
      <c r="N500" s="84">
        <f t="shared" si="215"/>
        <v>10290.93</v>
      </c>
    </row>
    <row r="501" ht="15.75" customHeight="1">
      <c r="A501" s="30" t="s">
        <v>383</v>
      </c>
      <c r="B501" s="64">
        <f t="shared" ref="B501:M501" si="216">SUM(B527:B546)+B556</f>
        <v>1456.214297</v>
      </c>
      <c r="C501" s="64">
        <f t="shared" si="216"/>
        <v>1118.543037</v>
      </c>
      <c r="D501" s="64">
        <f t="shared" si="216"/>
        <v>1066.092404</v>
      </c>
      <c r="E501" s="64">
        <f t="shared" si="216"/>
        <v>1026.331969</v>
      </c>
      <c r="F501" s="64">
        <f t="shared" si="216"/>
        <v>962.2529859</v>
      </c>
      <c r="G501" s="64">
        <f t="shared" si="216"/>
        <v>936.099979</v>
      </c>
      <c r="H501" s="64">
        <f t="shared" si="216"/>
        <v>1002.013421</v>
      </c>
      <c r="I501" s="64">
        <f t="shared" si="216"/>
        <v>1002.013421</v>
      </c>
      <c r="J501" s="64">
        <f t="shared" si="216"/>
        <v>1001.096191</v>
      </c>
      <c r="K501" s="64">
        <f t="shared" si="216"/>
        <v>974.9431844</v>
      </c>
      <c r="L501" s="64">
        <f t="shared" si="216"/>
        <v>949.7074071</v>
      </c>
      <c r="M501" s="64">
        <f t="shared" si="216"/>
        <v>1503.934163</v>
      </c>
      <c r="N501" s="84">
        <f t="shared" si="215"/>
        <v>1503.934163</v>
      </c>
    </row>
    <row r="502" ht="15.75" customHeight="1">
      <c r="A502" s="30" t="s">
        <v>385</v>
      </c>
      <c r="B502" s="64">
        <f t="shared" ref="B502:M502" si="217">SUM(B548:B555)</f>
        <v>76.308125</v>
      </c>
      <c r="C502" s="64">
        <f t="shared" si="217"/>
        <v>67.33069853</v>
      </c>
      <c r="D502" s="64">
        <f t="shared" si="217"/>
        <v>80.79683824</v>
      </c>
      <c r="E502" s="64">
        <f t="shared" si="217"/>
        <v>80.79683824</v>
      </c>
      <c r="F502" s="64">
        <f t="shared" si="217"/>
        <v>80.79683824</v>
      </c>
      <c r="G502" s="64">
        <f t="shared" si="217"/>
        <v>71.81941176</v>
      </c>
      <c r="H502" s="64">
        <f t="shared" si="217"/>
        <v>80.79683824</v>
      </c>
      <c r="I502" s="64">
        <f t="shared" si="217"/>
        <v>80.79683824</v>
      </c>
      <c r="J502" s="64">
        <f t="shared" si="217"/>
        <v>76.308125</v>
      </c>
      <c r="K502" s="64">
        <f t="shared" si="217"/>
        <v>67.33069853</v>
      </c>
      <c r="L502" s="64">
        <f t="shared" si="217"/>
        <v>62.84198529</v>
      </c>
      <c r="M502" s="64">
        <f t="shared" si="217"/>
        <v>71.81941176</v>
      </c>
      <c r="N502" s="84">
        <f t="shared" si="215"/>
        <v>80.79683824</v>
      </c>
    </row>
    <row r="503" ht="15.75" customHeight="1">
      <c r="A503" s="73" t="s">
        <v>386</v>
      </c>
      <c r="B503" s="84">
        <f t="shared" ref="B503:M503" si="218">B501+B502</f>
        <v>1532.522422</v>
      </c>
      <c r="C503" s="84">
        <f t="shared" si="218"/>
        <v>1185.873736</v>
      </c>
      <c r="D503" s="84">
        <f t="shared" si="218"/>
        <v>1146.889242</v>
      </c>
      <c r="E503" s="84">
        <f t="shared" si="218"/>
        <v>1107.128807</v>
      </c>
      <c r="F503" s="84">
        <f t="shared" si="218"/>
        <v>1043.049824</v>
      </c>
      <c r="G503" s="84">
        <f t="shared" si="218"/>
        <v>1007.919391</v>
      </c>
      <c r="H503" s="84">
        <f t="shared" si="218"/>
        <v>1082.810259</v>
      </c>
      <c r="I503" s="84">
        <f t="shared" si="218"/>
        <v>1082.810259</v>
      </c>
      <c r="J503" s="84">
        <f t="shared" si="218"/>
        <v>1077.404316</v>
      </c>
      <c r="K503" s="84">
        <f t="shared" si="218"/>
        <v>1042.273883</v>
      </c>
      <c r="L503" s="84">
        <f t="shared" si="218"/>
        <v>1012.549392</v>
      </c>
      <c r="M503" s="84">
        <f t="shared" si="218"/>
        <v>1575.753575</v>
      </c>
      <c r="N503" s="84">
        <f t="shared" si="215"/>
        <v>1575.753575</v>
      </c>
    </row>
    <row r="504" ht="15.75" customHeight="1">
      <c r="A504" s="30" t="s">
        <v>388</v>
      </c>
      <c r="B504" s="64">
        <f t="shared" ref="B504:M504" si="219">$B$490*$B$9-B496</f>
        <v>1309.5</v>
      </c>
      <c r="C504" s="64">
        <f t="shared" si="219"/>
        <v>1197</v>
      </c>
      <c r="D504" s="64">
        <f t="shared" si="219"/>
        <v>1159.5</v>
      </c>
      <c r="E504" s="64">
        <f t="shared" si="219"/>
        <v>1159.5</v>
      </c>
      <c r="F504" s="64">
        <f t="shared" si="219"/>
        <v>1309.5</v>
      </c>
      <c r="G504" s="64">
        <f t="shared" si="219"/>
        <v>1309.5</v>
      </c>
      <c r="H504" s="64">
        <f t="shared" si="219"/>
        <v>1122</v>
      </c>
      <c r="I504" s="64">
        <f t="shared" si="219"/>
        <v>1309.5</v>
      </c>
      <c r="J504" s="64">
        <f t="shared" si="219"/>
        <v>1309.5</v>
      </c>
      <c r="K504" s="64">
        <f t="shared" si="219"/>
        <v>1234.5</v>
      </c>
      <c r="L504" s="64">
        <f t="shared" si="219"/>
        <v>1234.5</v>
      </c>
      <c r="M504" s="64">
        <f t="shared" si="219"/>
        <v>1309.5</v>
      </c>
      <c r="N504" s="84">
        <f t="shared" si="215"/>
        <v>1309.5</v>
      </c>
    </row>
    <row r="505" ht="15.75" customHeight="1">
      <c r="A505" s="30" t="s">
        <v>389</v>
      </c>
      <c r="B505" s="64">
        <f t="shared" ref="B505:M505" si="220">IF(B501=0,0,MAX(0,B504-B503)*B500/B501)</f>
        <v>0</v>
      </c>
      <c r="C505" s="64">
        <f t="shared" si="220"/>
        <v>76.13235224</v>
      </c>
      <c r="D505" s="64">
        <f t="shared" si="220"/>
        <v>84.71323274</v>
      </c>
      <c r="E505" s="64">
        <f t="shared" si="220"/>
        <v>349.5863433</v>
      </c>
      <c r="F505" s="64">
        <f t="shared" si="220"/>
        <v>1775.332145</v>
      </c>
      <c r="G505" s="64">
        <f t="shared" si="220"/>
        <v>2023.997044</v>
      </c>
      <c r="H505" s="64">
        <f t="shared" si="220"/>
        <v>262.9033199</v>
      </c>
      <c r="I505" s="64">
        <f t="shared" si="220"/>
        <v>1520.742011</v>
      </c>
      <c r="J505" s="64">
        <f t="shared" si="220"/>
        <v>1558.434202</v>
      </c>
      <c r="K505" s="64">
        <f t="shared" si="220"/>
        <v>1299.92354</v>
      </c>
      <c r="L505" s="64">
        <f t="shared" si="220"/>
        <v>1510.680294</v>
      </c>
      <c r="M505" s="64">
        <f t="shared" si="220"/>
        <v>0</v>
      </c>
      <c r="N505" s="84">
        <f t="shared" si="215"/>
        <v>2023.997044</v>
      </c>
    </row>
    <row r="506" ht="15.75" customHeight="1">
      <c r="A506" s="73" t="s">
        <v>390</v>
      </c>
      <c r="B506" s="84">
        <f t="shared" ref="B506:J506" si="221">0</f>
        <v>0</v>
      </c>
      <c r="C506" s="84">
        <f t="shared" si="221"/>
        <v>0</v>
      </c>
      <c r="D506" s="84">
        <f t="shared" si="221"/>
        <v>0</v>
      </c>
      <c r="E506" s="84">
        <f t="shared" si="221"/>
        <v>0</v>
      </c>
      <c r="F506" s="84">
        <f t="shared" si="221"/>
        <v>0</v>
      </c>
      <c r="G506" s="84">
        <f t="shared" si="221"/>
        <v>0</v>
      </c>
      <c r="H506" s="84">
        <f t="shared" si="221"/>
        <v>0</v>
      </c>
      <c r="I506" s="84">
        <f t="shared" si="221"/>
        <v>0</v>
      </c>
      <c r="J506" s="84">
        <f t="shared" si="221"/>
        <v>0</v>
      </c>
      <c r="K506" s="140">
        <f>$B$5*MIN(K505,M500)</f>
        <v>1299.92354</v>
      </c>
      <c r="L506" s="140">
        <f>$B$5*MIN(L505,M500-K506)</f>
        <v>1510.680294</v>
      </c>
      <c r="M506" s="140">
        <f>-(K506+L506)</f>
        <v>-2810.603833</v>
      </c>
      <c r="N506" s="84">
        <f t="shared" si="215"/>
        <v>1510.680294</v>
      </c>
    </row>
    <row r="507" ht="15.75" customHeight="1">
      <c r="A507" s="30" t="s">
        <v>391</v>
      </c>
      <c r="B507" s="133">
        <f t="shared" ref="B507:M507" si="222">IF(B500=0,1,(B500+B506)/B500)</f>
        <v>1</v>
      </c>
      <c r="C507" s="133">
        <f t="shared" si="222"/>
        <v>1</v>
      </c>
      <c r="D507" s="133">
        <f t="shared" si="222"/>
        <v>1</v>
      </c>
      <c r="E507" s="133">
        <f t="shared" si="222"/>
        <v>1</v>
      </c>
      <c r="F507" s="133">
        <f t="shared" si="222"/>
        <v>1</v>
      </c>
      <c r="G507" s="133">
        <f t="shared" si="222"/>
        <v>1</v>
      </c>
      <c r="H507" s="133">
        <f t="shared" si="222"/>
        <v>1</v>
      </c>
      <c r="I507" s="133">
        <f t="shared" si="222"/>
        <v>1</v>
      </c>
      <c r="J507" s="133">
        <f t="shared" si="222"/>
        <v>1</v>
      </c>
      <c r="K507" s="133">
        <f t="shared" si="222"/>
        <v>1.197166481</v>
      </c>
      <c r="L507" s="133">
        <f t="shared" si="222"/>
        <v>1.233704198</v>
      </c>
      <c r="M507" s="133">
        <f t="shared" si="222"/>
        <v>0.7268853414</v>
      </c>
      <c r="N507" s="40">
        <f t="shared" si="215"/>
        <v>1.233704198</v>
      </c>
    </row>
    <row r="508" ht="15.75" customHeight="1">
      <c r="A508" s="73" t="s">
        <v>392</v>
      </c>
      <c r="B508" s="84">
        <f t="shared" ref="B508:M508" si="223">B501*B507+B502</f>
        <v>1532.522422</v>
      </c>
      <c r="C508" s="84">
        <f t="shared" si="223"/>
        <v>1185.873736</v>
      </c>
      <c r="D508" s="84">
        <f t="shared" si="223"/>
        <v>1146.889242</v>
      </c>
      <c r="E508" s="84">
        <f t="shared" si="223"/>
        <v>1107.128807</v>
      </c>
      <c r="F508" s="84">
        <f t="shared" si="223"/>
        <v>1043.049824</v>
      </c>
      <c r="G508" s="84">
        <f t="shared" si="223"/>
        <v>1007.919391</v>
      </c>
      <c r="H508" s="84">
        <f t="shared" si="223"/>
        <v>1082.810259</v>
      </c>
      <c r="I508" s="84">
        <f t="shared" si="223"/>
        <v>1082.810259</v>
      </c>
      <c r="J508" s="84">
        <f t="shared" si="223"/>
        <v>1077.404316</v>
      </c>
      <c r="K508" s="84">
        <f t="shared" si="223"/>
        <v>1234.5</v>
      </c>
      <c r="L508" s="84">
        <f t="shared" si="223"/>
        <v>1234.5</v>
      </c>
      <c r="M508" s="84">
        <f t="shared" si="223"/>
        <v>1165.007109</v>
      </c>
      <c r="N508" s="84">
        <f t="shared" si="215"/>
        <v>1532.522422</v>
      </c>
    </row>
    <row r="509" ht="15.75" customHeight="1">
      <c r="A509" s="30" t="s">
        <v>393</v>
      </c>
      <c r="B509" s="64">
        <f t="shared" ref="B509:M509" si="224">IF($B$488=2,MAX(SUM(B558:B577),B508-($B$490*$B$11-B496)),0)</f>
        <v>0</v>
      </c>
      <c r="C509" s="64">
        <f t="shared" si="224"/>
        <v>0</v>
      </c>
      <c r="D509" s="64">
        <f t="shared" si="224"/>
        <v>0</v>
      </c>
      <c r="E509" s="64">
        <f t="shared" si="224"/>
        <v>0</v>
      </c>
      <c r="F509" s="64">
        <f t="shared" si="224"/>
        <v>0</v>
      </c>
      <c r="G509" s="64">
        <f t="shared" si="224"/>
        <v>0</v>
      </c>
      <c r="H509" s="64">
        <f t="shared" si="224"/>
        <v>0</v>
      </c>
      <c r="I509" s="64">
        <f t="shared" si="224"/>
        <v>0</v>
      </c>
      <c r="J509" s="64">
        <f t="shared" si="224"/>
        <v>0</v>
      </c>
      <c r="K509" s="64">
        <f t="shared" si="224"/>
        <v>0</v>
      </c>
      <c r="L509" s="64">
        <f t="shared" si="224"/>
        <v>0</v>
      </c>
      <c r="M509" s="64">
        <f t="shared" si="224"/>
        <v>0</v>
      </c>
      <c r="N509" s="84">
        <f t="shared" si="215"/>
        <v>0</v>
      </c>
    </row>
    <row r="510" ht="15.75" customHeight="1">
      <c r="A510" s="30" t="s">
        <v>394</v>
      </c>
      <c r="B510" s="64">
        <f t="shared" ref="B510:M510" si="225">MAX(0,B504-(B508-B509))</f>
        <v>0</v>
      </c>
      <c r="C510" s="64">
        <f t="shared" si="225"/>
        <v>11.12626442</v>
      </c>
      <c r="D510" s="64">
        <f t="shared" si="225"/>
        <v>12.61075819</v>
      </c>
      <c r="E510" s="64">
        <f t="shared" si="225"/>
        <v>52.37119312</v>
      </c>
      <c r="F510" s="64">
        <f t="shared" si="225"/>
        <v>266.4501759</v>
      </c>
      <c r="G510" s="64">
        <f t="shared" si="225"/>
        <v>301.5806092</v>
      </c>
      <c r="H510" s="64">
        <f t="shared" si="225"/>
        <v>39.18974096</v>
      </c>
      <c r="I510" s="64">
        <f t="shared" si="225"/>
        <v>226.689741</v>
      </c>
      <c r="J510" s="64">
        <f t="shared" si="225"/>
        <v>232.0956837</v>
      </c>
      <c r="K510" s="64">
        <f t="shared" si="225"/>
        <v>0</v>
      </c>
      <c r="L510" s="64">
        <f t="shared" si="225"/>
        <v>0</v>
      </c>
      <c r="M510" s="64">
        <f t="shared" si="225"/>
        <v>144.4928905</v>
      </c>
      <c r="N510" s="84">
        <f t="shared" si="215"/>
        <v>301.5806092</v>
      </c>
    </row>
    <row r="511" ht="15.75" customHeight="1">
      <c r="A511" s="73" t="s">
        <v>395</v>
      </c>
      <c r="B511" s="84">
        <f>'Analisis Recargas'!C277</f>
        <v>1288.845447</v>
      </c>
      <c r="C511" s="84">
        <f>'Analisis Recargas'!D277</f>
        <v>1068.41508</v>
      </c>
      <c r="D511" s="84">
        <f>'Analisis Recargas'!E277</f>
        <v>1102.959548</v>
      </c>
      <c r="E511" s="84">
        <f>'Analisis Recargas'!F277</f>
        <v>1071.358366</v>
      </c>
      <c r="F511" s="84">
        <f>'Analisis Recargas'!G277</f>
        <v>1036.813898</v>
      </c>
      <c r="G511" s="84">
        <f>'Analisis Recargas'!H277</f>
        <v>1002.26943</v>
      </c>
      <c r="H511" s="84">
        <f>'Analisis Recargas'!I277</f>
        <v>1074.301651</v>
      </c>
      <c r="I511" s="84">
        <f>'Analisis Recargas'!J277</f>
        <v>1100.016263</v>
      </c>
      <c r="J511" s="84">
        <f>'Analisis Recargas'!K277</f>
        <v>1100.016263</v>
      </c>
      <c r="K511" s="84">
        <f>'Analisis Recargas'!L277</f>
        <v>1068.41508</v>
      </c>
      <c r="L511" s="84">
        <f>'Analisis Recargas'!M277</f>
        <v>1065.471795</v>
      </c>
      <c r="M511" s="84">
        <f>'Analisis Recargas'!N277</f>
        <v>1541.595296</v>
      </c>
      <c r="N511" s="84">
        <f t="shared" si="215"/>
        <v>1541.595296</v>
      </c>
    </row>
    <row r="512" ht="15.75" customHeight="1">
      <c r="A512" s="30" t="s">
        <v>396</v>
      </c>
      <c r="B512" s="64">
        <f>IFERROR(B511*'Analisis Recargas'!C226*'Almacen PT'!$B$10/SUM('Analisis Recargas'!C226:C242),0)</f>
        <v>198.176461</v>
      </c>
      <c r="C512" s="64">
        <f>IFERROR(C511*'Analisis Recargas'!D226*'Almacen PT'!$B$10/SUM('Analisis Recargas'!D226:D242),0)</f>
        <v>154.5181329</v>
      </c>
      <c r="D512" s="64">
        <f>IFERROR(D511*'Analisis Recargas'!E226*'Almacen PT'!$B$10/SUM('Analisis Recargas'!E226:E242),0)</f>
        <v>154.5125017</v>
      </c>
      <c r="E512" s="64">
        <f>IFERROR(E511*'Analisis Recargas'!F226*'Almacen PT'!$B$10/SUM('Analisis Recargas'!F226:F242),0)</f>
        <v>154.5466337</v>
      </c>
      <c r="F512" s="64">
        <f>IFERROR(F511*'Analisis Recargas'!G226*'Almacen PT'!$B$10/SUM('Analisis Recargas'!G226:G242),0)</f>
        <v>154.5535766</v>
      </c>
      <c r="G512" s="64">
        <f>IFERROR(G511*'Analisis Recargas'!H226*'Almacen PT'!$B$10/SUM('Analisis Recargas'!H226:H242),0)</f>
        <v>154.5609988</v>
      </c>
      <c r="H512" s="64">
        <f>IFERROR(H511*'Analisis Recargas'!I226*'Almacen PT'!$B$10/SUM('Analisis Recargas'!I226:I242),0)</f>
        <v>154.5749888</v>
      </c>
      <c r="I512" s="64">
        <f>IFERROR(I511*'Analisis Recargas'!J226*'Almacen PT'!$B$10/SUM('Analisis Recargas'!J226:J242),0)</f>
        <v>154.4847405</v>
      </c>
      <c r="J512" s="64">
        <f>IFERROR(J511*'Analisis Recargas'!K226*'Almacen PT'!$B$10/SUM('Analisis Recargas'!K226:K242),0)</f>
        <v>154.4847405</v>
      </c>
      <c r="K512" s="64">
        <f>IFERROR(K511*'Analisis Recargas'!L226*'Almacen PT'!$B$10/SUM('Analisis Recargas'!L226:L242),0)</f>
        <v>154.5181329</v>
      </c>
      <c r="L512" s="64">
        <f>IFERROR(L511*'Analisis Recargas'!M226*'Almacen PT'!$B$10/SUM('Analisis Recargas'!M226:M242),0)</f>
        <v>154.4894852</v>
      </c>
      <c r="M512" s="64">
        <f>IFERROR(M511*'Analisis Recargas'!N226*'Almacen PT'!$B$10/SUM('Analisis Recargas'!N226:N242),0)</f>
        <v>237.6145952</v>
      </c>
      <c r="N512" s="84">
        <f t="shared" si="215"/>
        <v>237.6145952</v>
      </c>
    </row>
    <row r="513" ht="15.75" customHeight="1">
      <c r="A513" s="30" t="s">
        <v>397</v>
      </c>
      <c r="B513" s="64">
        <f t="shared" ref="B513:M513" si="226">IF($B$488=2,B512*$B$15,0)</f>
        <v>0</v>
      </c>
      <c r="C513" s="64">
        <f t="shared" si="226"/>
        <v>0</v>
      </c>
      <c r="D513" s="64">
        <f t="shared" si="226"/>
        <v>0</v>
      </c>
      <c r="E513" s="64">
        <f t="shared" si="226"/>
        <v>0</v>
      </c>
      <c r="F513" s="64">
        <f t="shared" si="226"/>
        <v>0</v>
      </c>
      <c r="G513" s="64">
        <f t="shared" si="226"/>
        <v>0</v>
      </c>
      <c r="H513" s="64">
        <f t="shared" si="226"/>
        <v>0</v>
      </c>
      <c r="I513" s="64">
        <f t="shared" si="226"/>
        <v>0</v>
      </c>
      <c r="J513" s="64">
        <f t="shared" si="226"/>
        <v>0</v>
      </c>
      <c r="K513" s="64">
        <f t="shared" si="226"/>
        <v>0</v>
      </c>
      <c r="L513" s="64">
        <f t="shared" si="226"/>
        <v>0</v>
      </c>
      <c r="M513" s="64">
        <f t="shared" si="226"/>
        <v>0</v>
      </c>
      <c r="N513" s="84">
        <f t="shared" si="215"/>
        <v>0</v>
      </c>
    </row>
    <row r="514" ht="15.75" customHeight="1">
      <c r="A514" s="30" t="s">
        <v>399</v>
      </c>
      <c r="B514" s="64">
        <f t="shared" ref="B514:M514" si="227">MAX(0,B511-B513-$B$6*B510)</f>
        <v>1288.845447</v>
      </c>
      <c r="C514" s="64">
        <f t="shared" si="227"/>
        <v>1058.401442</v>
      </c>
      <c r="D514" s="64">
        <f t="shared" si="227"/>
        <v>1091.609866</v>
      </c>
      <c r="E514" s="64">
        <f t="shared" si="227"/>
        <v>1024.224292</v>
      </c>
      <c r="F514" s="64">
        <f t="shared" si="227"/>
        <v>797.0087395</v>
      </c>
      <c r="G514" s="64">
        <f t="shared" si="227"/>
        <v>730.8468815</v>
      </c>
      <c r="H514" s="64">
        <f t="shared" si="227"/>
        <v>1039.030884</v>
      </c>
      <c r="I514" s="64">
        <f t="shared" si="227"/>
        <v>895.9954958</v>
      </c>
      <c r="J514" s="64">
        <f t="shared" si="227"/>
        <v>891.1301474</v>
      </c>
      <c r="K514" s="64">
        <f t="shared" si="227"/>
        <v>1068.41508</v>
      </c>
      <c r="L514" s="64">
        <f t="shared" si="227"/>
        <v>1065.471795</v>
      </c>
      <c r="M514" s="64">
        <f t="shared" si="227"/>
        <v>1411.551695</v>
      </c>
      <c r="N514" s="84">
        <f t="shared" si="215"/>
        <v>1411.551695</v>
      </c>
    </row>
    <row r="515" ht="15.75" customHeight="1">
      <c r="A515" s="30" t="s">
        <v>400</v>
      </c>
      <c r="B515" s="64">
        <f t="shared" ref="B515:M515" si="228">MAX(0,$B$493*$B$9-B499-B513)</f>
        <v>0</v>
      </c>
      <c r="C515" s="64">
        <f t="shared" si="228"/>
        <v>0</v>
      </c>
      <c r="D515" s="64">
        <f t="shared" si="228"/>
        <v>0</v>
      </c>
      <c r="E515" s="64">
        <f t="shared" si="228"/>
        <v>0</v>
      </c>
      <c r="F515" s="64">
        <f t="shared" si="228"/>
        <v>0</v>
      </c>
      <c r="G515" s="64">
        <f t="shared" si="228"/>
        <v>0</v>
      </c>
      <c r="H515" s="64">
        <f t="shared" si="228"/>
        <v>0</v>
      </c>
      <c r="I515" s="64">
        <f t="shared" si="228"/>
        <v>0</v>
      </c>
      <c r="J515" s="64">
        <f t="shared" si="228"/>
        <v>0</v>
      </c>
      <c r="K515" s="64">
        <f t="shared" si="228"/>
        <v>0</v>
      </c>
      <c r="L515" s="64">
        <f t="shared" si="228"/>
        <v>0</v>
      </c>
      <c r="M515" s="64">
        <f t="shared" si="228"/>
        <v>0</v>
      </c>
      <c r="N515" s="84">
        <f t="shared" si="215"/>
        <v>0</v>
      </c>
    </row>
    <row r="516" ht="15.75" customHeight="1">
      <c r="A516" s="30" t="s">
        <v>401</v>
      </c>
      <c r="B516" s="64">
        <f t="shared" ref="B516:M516" si="229">MIN(B514,B515)</f>
        <v>0</v>
      </c>
      <c r="C516" s="64">
        <f t="shared" si="229"/>
        <v>0</v>
      </c>
      <c r="D516" s="64">
        <f t="shared" si="229"/>
        <v>0</v>
      </c>
      <c r="E516" s="64">
        <f t="shared" si="229"/>
        <v>0</v>
      </c>
      <c r="F516" s="64">
        <f t="shared" si="229"/>
        <v>0</v>
      </c>
      <c r="G516" s="64">
        <f t="shared" si="229"/>
        <v>0</v>
      </c>
      <c r="H516" s="64">
        <f t="shared" si="229"/>
        <v>0</v>
      </c>
      <c r="I516" s="64">
        <f t="shared" si="229"/>
        <v>0</v>
      </c>
      <c r="J516" s="64">
        <f t="shared" si="229"/>
        <v>0</v>
      </c>
      <c r="K516" s="64">
        <f t="shared" si="229"/>
        <v>0</v>
      </c>
      <c r="L516" s="64">
        <f t="shared" si="229"/>
        <v>0</v>
      </c>
      <c r="M516" s="64">
        <f t="shared" si="229"/>
        <v>0</v>
      </c>
      <c r="N516" s="84">
        <f t="shared" si="215"/>
        <v>0</v>
      </c>
    </row>
    <row r="517" ht="15.75" customHeight="1">
      <c r="A517" s="30" t="s">
        <v>403</v>
      </c>
      <c r="B517" s="64">
        <f t="shared" ref="B517:M517" si="230">MAX(0,$B$491*$B$9-B497-B509)</f>
        <v>0</v>
      </c>
      <c r="C517" s="64">
        <f t="shared" si="230"/>
        <v>0</v>
      </c>
      <c r="D517" s="64">
        <f t="shared" si="230"/>
        <v>0</v>
      </c>
      <c r="E517" s="64">
        <f t="shared" si="230"/>
        <v>0</v>
      </c>
      <c r="F517" s="64">
        <f t="shared" si="230"/>
        <v>0</v>
      </c>
      <c r="G517" s="64">
        <f t="shared" si="230"/>
        <v>0</v>
      </c>
      <c r="H517" s="64">
        <f t="shared" si="230"/>
        <v>0</v>
      </c>
      <c r="I517" s="64">
        <f t="shared" si="230"/>
        <v>0</v>
      </c>
      <c r="J517" s="64">
        <f t="shared" si="230"/>
        <v>0</v>
      </c>
      <c r="K517" s="64">
        <f t="shared" si="230"/>
        <v>0</v>
      </c>
      <c r="L517" s="64">
        <f t="shared" si="230"/>
        <v>0</v>
      </c>
      <c r="M517" s="64">
        <f t="shared" si="230"/>
        <v>0</v>
      </c>
      <c r="N517" s="84">
        <f t="shared" si="215"/>
        <v>0</v>
      </c>
    </row>
    <row r="518" ht="15.75" customHeight="1">
      <c r="A518" s="30" t="s">
        <v>404</v>
      </c>
      <c r="B518" s="64">
        <f t="shared" ref="B518:M518" si="231">MIN(B514-B516,$B$6*B517)</f>
        <v>0</v>
      </c>
      <c r="C518" s="64">
        <f t="shared" si="231"/>
        <v>0</v>
      </c>
      <c r="D518" s="64">
        <f t="shared" si="231"/>
        <v>0</v>
      </c>
      <c r="E518" s="64">
        <f t="shared" si="231"/>
        <v>0</v>
      </c>
      <c r="F518" s="64">
        <f t="shared" si="231"/>
        <v>0</v>
      </c>
      <c r="G518" s="64">
        <f t="shared" si="231"/>
        <v>0</v>
      </c>
      <c r="H518" s="64">
        <f t="shared" si="231"/>
        <v>0</v>
      </c>
      <c r="I518" s="64">
        <f t="shared" si="231"/>
        <v>0</v>
      </c>
      <c r="J518" s="64">
        <f t="shared" si="231"/>
        <v>0</v>
      </c>
      <c r="K518" s="64">
        <f t="shared" si="231"/>
        <v>0</v>
      </c>
      <c r="L518" s="64">
        <f t="shared" si="231"/>
        <v>0</v>
      </c>
      <c r="M518" s="64">
        <f t="shared" si="231"/>
        <v>0</v>
      </c>
      <c r="N518" s="84">
        <f t="shared" si="215"/>
        <v>0</v>
      </c>
    </row>
    <row r="519" ht="15.75" customHeight="1">
      <c r="A519" s="30" t="s">
        <v>405</v>
      </c>
      <c r="B519" s="64">
        <f t="shared" ref="B519:M519" si="232">B514-B516-B518</f>
        <v>1288.845447</v>
      </c>
      <c r="C519" s="64">
        <f t="shared" si="232"/>
        <v>1058.401442</v>
      </c>
      <c r="D519" s="64">
        <f t="shared" si="232"/>
        <v>1091.609866</v>
      </c>
      <c r="E519" s="64">
        <f t="shared" si="232"/>
        <v>1024.224292</v>
      </c>
      <c r="F519" s="64">
        <f t="shared" si="232"/>
        <v>797.0087395</v>
      </c>
      <c r="G519" s="64">
        <f t="shared" si="232"/>
        <v>730.8468815</v>
      </c>
      <c r="H519" s="64">
        <f t="shared" si="232"/>
        <v>1039.030884</v>
      </c>
      <c r="I519" s="64">
        <f t="shared" si="232"/>
        <v>895.9954958</v>
      </c>
      <c r="J519" s="64">
        <f t="shared" si="232"/>
        <v>891.1301474</v>
      </c>
      <c r="K519" s="64">
        <f t="shared" si="232"/>
        <v>1068.41508</v>
      </c>
      <c r="L519" s="64">
        <f t="shared" si="232"/>
        <v>1065.471795</v>
      </c>
      <c r="M519" s="64">
        <f t="shared" si="232"/>
        <v>1411.551695</v>
      </c>
      <c r="N519" s="84">
        <f t="shared" si="215"/>
        <v>1411.551695</v>
      </c>
    </row>
    <row r="520" ht="15.75" customHeight="1">
      <c r="A520" s="30" t="s">
        <v>406</v>
      </c>
      <c r="B520" s="64">
        <f t="shared" ref="B520:M520" si="233">MAX(0,B508-B509-B504)</f>
        <v>223.0224221</v>
      </c>
      <c r="C520" s="64">
        <f t="shared" si="233"/>
        <v>0</v>
      </c>
      <c r="D520" s="64">
        <f t="shared" si="233"/>
        <v>0</v>
      </c>
      <c r="E520" s="64">
        <f t="shared" si="233"/>
        <v>0</v>
      </c>
      <c r="F520" s="64">
        <f t="shared" si="233"/>
        <v>0</v>
      </c>
      <c r="G520" s="64">
        <f t="shared" si="233"/>
        <v>0</v>
      </c>
      <c r="H520" s="64">
        <f t="shared" si="233"/>
        <v>0</v>
      </c>
      <c r="I520" s="64">
        <f t="shared" si="233"/>
        <v>0</v>
      </c>
      <c r="J520" s="64">
        <f t="shared" si="233"/>
        <v>0</v>
      </c>
      <c r="K520" s="64">
        <f t="shared" si="233"/>
        <v>0</v>
      </c>
      <c r="L520" s="64">
        <f t="shared" si="233"/>
        <v>0</v>
      </c>
      <c r="M520" s="64">
        <f t="shared" si="233"/>
        <v>0</v>
      </c>
      <c r="N520" s="84">
        <f t="shared" ref="N520:N524" si="235">SUM(B520:M520)</f>
        <v>223.0224221</v>
      </c>
    </row>
    <row r="521" ht="15.75" customHeight="1">
      <c r="A521" s="30" t="s">
        <v>408</v>
      </c>
      <c r="B521" s="64">
        <f t="shared" ref="B521:M521" si="234">MAX(0,B509-($B$491*$B$9-B497))</f>
        <v>0</v>
      </c>
      <c r="C521" s="64">
        <f t="shared" si="234"/>
        <v>0</v>
      </c>
      <c r="D521" s="64">
        <f t="shared" si="234"/>
        <v>0</v>
      </c>
      <c r="E521" s="64">
        <f t="shared" si="234"/>
        <v>0</v>
      </c>
      <c r="F521" s="64">
        <f t="shared" si="234"/>
        <v>0</v>
      </c>
      <c r="G521" s="64">
        <f t="shared" si="234"/>
        <v>0</v>
      </c>
      <c r="H521" s="64">
        <f t="shared" si="234"/>
        <v>0</v>
      </c>
      <c r="I521" s="64">
        <f t="shared" si="234"/>
        <v>0</v>
      </c>
      <c r="J521" s="64">
        <f t="shared" si="234"/>
        <v>0</v>
      </c>
      <c r="K521" s="64">
        <f t="shared" si="234"/>
        <v>0</v>
      </c>
      <c r="L521" s="64">
        <f t="shared" si="234"/>
        <v>0</v>
      </c>
      <c r="M521" s="64">
        <f t="shared" si="234"/>
        <v>0</v>
      </c>
      <c r="N521" s="84">
        <f t="shared" si="235"/>
        <v>0</v>
      </c>
    </row>
    <row r="522" ht="15.75" customHeight="1">
      <c r="A522" s="30" t="s">
        <v>409</v>
      </c>
      <c r="B522" s="64">
        <f t="shared" ref="B522:M522" si="236">MAX(0,B519-($B$492*$B$9-B498))</f>
        <v>110.2954467</v>
      </c>
      <c r="C522" s="64">
        <f t="shared" si="236"/>
        <v>0</v>
      </c>
      <c r="D522" s="64">
        <f t="shared" si="236"/>
        <v>14.30986585</v>
      </c>
      <c r="E522" s="64">
        <f t="shared" si="236"/>
        <v>0</v>
      </c>
      <c r="F522" s="64">
        <f t="shared" si="236"/>
        <v>0</v>
      </c>
      <c r="G522" s="64">
        <f t="shared" si="236"/>
        <v>0</v>
      </c>
      <c r="H522" s="64">
        <f t="shared" si="236"/>
        <v>29.23088442</v>
      </c>
      <c r="I522" s="64">
        <f t="shared" si="236"/>
        <v>0</v>
      </c>
      <c r="J522" s="64">
        <f t="shared" si="236"/>
        <v>0</v>
      </c>
      <c r="K522" s="64">
        <f t="shared" si="236"/>
        <v>0</v>
      </c>
      <c r="L522" s="64">
        <f t="shared" si="236"/>
        <v>0</v>
      </c>
      <c r="M522" s="64">
        <f t="shared" si="236"/>
        <v>233.0016945</v>
      </c>
      <c r="N522" s="84">
        <f t="shared" si="235"/>
        <v>386.8378915</v>
      </c>
    </row>
    <row r="523" ht="15.75" customHeight="1">
      <c r="A523" s="30" t="s">
        <v>410</v>
      </c>
      <c r="B523" s="64">
        <f t="shared" ref="B523:M523" si="237">MAX(0,B513-($B$493*$B$9-B499))</f>
        <v>0</v>
      </c>
      <c r="C523" s="64">
        <f t="shared" si="237"/>
        <v>0</v>
      </c>
      <c r="D523" s="64">
        <f t="shared" si="237"/>
        <v>0</v>
      </c>
      <c r="E523" s="64">
        <f t="shared" si="237"/>
        <v>0</v>
      </c>
      <c r="F523" s="64">
        <f t="shared" si="237"/>
        <v>0</v>
      </c>
      <c r="G523" s="64">
        <f t="shared" si="237"/>
        <v>0</v>
      </c>
      <c r="H523" s="64">
        <f t="shared" si="237"/>
        <v>0</v>
      </c>
      <c r="I523" s="64">
        <f t="shared" si="237"/>
        <v>0</v>
      </c>
      <c r="J523" s="64">
        <f t="shared" si="237"/>
        <v>0</v>
      </c>
      <c r="K523" s="64">
        <f t="shared" si="237"/>
        <v>0</v>
      </c>
      <c r="L523" s="64">
        <f t="shared" si="237"/>
        <v>0</v>
      </c>
      <c r="M523" s="64">
        <f t="shared" si="237"/>
        <v>0</v>
      </c>
      <c r="N523" s="84">
        <f t="shared" si="235"/>
        <v>0</v>
      </c>
    </row>
    <row r="524" ht="15.75" customHeight="1">
      <c r="A524" s="73" t="s">
        <v>411</v>
      </c>
      <c r="B524" s="84">
        <f t="shared" ref="B524:M524" si="238">B520+B521+B522+B523</f>
        <v>333.3178688</v>
      </c>
      <c r="C524" s="84">
        <f t="shared" si="238"/>
        <v>0</v>
      </c>
      <c r="D524" s="84">
        <f t="shared" si="238"/>
        <v>14.30986585</v>
      </c>
      <c r="E524" s="84">
        <f t="shared" si="238"/>
        <v>0</v>
      </c>
      <c r="F524" s="84">
        <f t="shared" si="238"/>
        <v>0</v>
      </c>
      <c r="G524" s="84">
        <f t="shared" si="238"/>
        <v>0</v>
      </c>
      <c r="H524" s="84">
        <f t="shared" si="238"/>
        <v>29.23088442</v>
      </c>
      <c r="I524" s="84">
        <f t="shared" si="238"/>
        <v>0</v>
      </c>
      <c r="J524" s="84">
        <f t="shared" si="238"/>
        <v>0</v>
      </c>
      <c r="K524" s="84">
        <f t="shared" si="238"/>
        <v>0</v>
      </c>
      <c r="L524" s="84">
        <f t="shared" si="238"/>
        <v>0</v>
      </c>
      <c r="M524" s="84">
        <f t="shared" si="238"/>
        <v>233.0016945</v>
      </c>
      <c r="N524" s="84">
        <f t="shared" si="235"/>
        <v>609.8603136</v>
      </c>
    </row>
    <row r="525" ht="15.75" customHeight="1">
      <c r="A525" s="30" t="s">
        <v>412</v>
      </c>
      <c r="B525" s="64">
        <f t="shared" ref="B525:M525" si="239">IFERROR(B524/($B$490+$B$492+$B$491+$B$493),0)</f>
        <v>17.54304573</v>
      </c>
      <c r="C525" s="64">
        <f t="shared" si="239"/>
        <v>0</v>
      </c>
      <c r="D525" s="64">
        <f t="shared" si="239"/>
        <v>0.7531508344</v>
      </c>
      <c r="E525" s="64">
        <f t="shared" si="239"/>
        <v>0</v>
      </c>
      <c r="F525" s="64">
        <f t="shared" si="239"/>
        <v>0</v>
      </c>
      <c r="G525" s="64">
        <f t="shared" si="239"/>
        <v>0</v>
      </c>
      <c r="H525" s="64">
        <f t="shared" si="239"/>
        <v>1.538467601</v>
      </c>
      <c r="I525" s="64">
        <f t="shared" si="239"/>
        <v>0</v>
      </c>
      <c r="J525" s="64">
        <f t="shared" si="239"/>
        <v>0</v>
      </c>
      <c r="K525" s="64">
        <f t="shared" si="239"/>
        <v>0</v>
      </c>
      <c r="L525" s="64">
        <f t="shared" si="239"/>
        <v>0</v>
      </c>
      <c r="M525" s="64">
        <f t="shared" si="239"/>
        <v>12.26324708</v>
      </c>
      <c r="N525" s="84">
        <f>MAX(B525:M525)</f>
        <v>17.54304573</v>
      </c>
    </row>
    <row r="526" ht="15.75" customHeight="1">
      <c r="A526" s="141" t="s">
        <v>413</v>
      </c>
    </row>
    <row r="527" ht="15.75" hidden="1" customHeight="1" outlineLevel="1">
      <c r="A527" s="142" t="s">
        <v>26</v>
      </c>
      <c r="B527" s="143">
        <f>'Analisis de operaciones'!C736/'Analisis de operaciones'!C740*$O527</f>
        <v>147.5444118</v>
      </c>
      <c r="C527" s="143">
        <f>'Analisis de operaciones'!D736/'Analisis de operaciones'!D740*$O527</f>
        <v>112.5547059</v>
      </c>
      <c r="D527" s="143">
        <f>'Analisis de operaciones'!E736/'Analisis de operaciones'!E740*$O527</f>
        <v>105.3163971</v>
      </c>
      <c r="E527" s="143">
        <f>'Analisis de operaciones'!F736/'Analisis de operaciones'!F740*$O527</f>
        <v>100.7490441</v>
      </c>
      <c r="F527" s="143">
        <f>'Analisis de operaciones'!G736/'Analisis de operaciones'!G740*$O527</f>
        <v>94.28529412</v>
      </c>
      <c r="G527" s="143">
        <f>'Analisis de operaciones'!H736/'Analisis de operaciones'!H740*$O527</f>
        <v>92.38889706</v>
      </c>
      <c r="H527" s="143">
        <f>'Analisis de operaciones'!I736/'Analisis de operaciones'!I740*$O527</f>
        <v>98.85264706</v>
      </c>
      <c r="I527" s="143">
        <f>'Analisis de operaciones'!J736/'Analisis de operaciones'!J740*$O527</f>
        <v>98.85264706</v>
      </c>
      <c r="J527" s="143">
        <f>'Analisis de operaciones'!K736/'Analisis de operaciones'!K740*$O527</f>
        <v>98.85264706</v>
      </c>
      <c r="K527" s="143">
        <f>'Analisis de operaciones'!L736/'Analisis de operaciones'!L740*$O527</f>
        <v>96.95625</v>
      </c>
      <c r="L527" s="143">
        <f>'Analisis de operaciones'!M736/'Analisis de operaciones'!M740*$O527</f>
        <v>95.05985294</v>
      </c>
      <c r="M527" s="143">
        <f>'Analisis de operaciones'!N736/'Analisis de operaciones'!N740*$O527</f>
        <v>151.3372059</v>
      </c>
      <c r="N527" s="143">
        <f>'Resumen Capacidad'!$F$29*$B$8*$O527</f>
        <v>300</v>
      </c>
      <c r="O527" s="144">
        <f>$B$18</f>
        <v>1</v>
      </c>
    </row>
    <row r="528" ht="15.75" hidden="1" customHeight="1" outlineLevel="1">
      <c r="A528" s="142" t="s">
        <v>55</v>
      </c>
      <c r="B528" s="143">
        <f>'Analisis de operaciones'!C746/'Analisis de operaciones'!C750*$O528</f>
        <v>55.61934228</v>
      </c>
      <c r="C528" s="143">
        <f>'Analisis de operaciones'!D746/'Analisis de operaciones'!D750*$O528</f>
        <v>42.42938541</v>
      </c>
      <c r="D528" s="143">
        <f>'Analisis de operaciones'!E746/'Analisis de operaciones'!E750*$O528</f>
        <v>39.70078342</v>
      </c>
      <c r="E528" s="143">
        <f>'Analisis de operaciones'!F746/'Analisis de operaciones'!F750*$O528</f>
        <v>37.97904307</v>
      </c>
      <c r="F528" s="143">
        <f>'Analisis de operaciones'!G746/'Analisis de operaciones'!G750*$O528</f>
        <v>35.54242403</v>
      </c>
      <c r="G528" s="143">
        <f>'Analisis de operaciones'!H746/'Analisis de operaciones'!H750*$O528</f>
        <v>34.82754533</v>
      </c>
      <c r="H528" s="143">
        <f>'Analisis de operaciones'!I746/'Analisis de operaciones'!I750*$O528</f>
        <v>37.26416437</v>
      </c>
      <c r="I528" s="143">
        <f>'Analisis de operaciones'!J746/'Analisis de operaciones'!J750*$O528</f>
        <v>37.26416437</v>
      </c>
      <c r="J528" s="143">
        <f>'Analisis de operaciones'!K746/'Analisis de operaciones'!K750*$O528</f>
        <v>37.26416437</v>
      </c>
      <c r="K528" s="143">
        <f>'Analisis de operaciones'!L746/'Analisis de operaciones'!L750*$O528</f>
        <v>36.54928568</v>
      </c>
      <c r="L528" s="143">
        <f>'Analisis de operaciones'!M746/'Analisis de operaciones'!M750*$O528</f>
        <v>35.83440698</v>
      </c>
      <c r="M528" s="143">
        <f>'Analisis de operaciones'!N746/'Analisis de operaciones'!N750*$O528</f>
        <v>57.04909968</v>
      </c>
      <c r="N528" s="143">
        <f>'Resumen Capacidad'!$F$30*$B$8*$O528</f>
        <v>75</v>
      </c>
      <c r="O528" s="144">
        <f>IF('Resumen Capacidad'!$F$55="Automática",$C$19,$B$19)</f>
        <v>0.5</v>
      </c>
    </row>
    <row r="529" ht="15.75" hidden="1" customHeight="1" outlineLevel="1">
      <c r="A529" s="142" t="s">
        <v>61</v>
      </c>
      <c r="B529" s="143">
        <f>'Analisis de operaciones'!C756/'Analisis de operaciones'!C760*$O529</f>
        <v>43.01294716</v>
      </c>
      <c r="C529" s="143">
        <f>'Analisis de operaciones'!D756/'Analisis de operaciones'!D760*$O529</f>
        <v>32.81255833</v>
      </c>
      <c r="D529" s="143">
        <f>'Analisis de operaciones'!E756/'Analisis de operaciones'!E760*$O529</f>
        <v>30.70240728</v>
      </c>
      <c r="E529" s="143">
        <f>'Analisis de operaciones'!F756/'Analisis de operaciones'!F760*$O529</f>
        <v>29.37090778</v>
      </c>
      <c r="F529" s="143">
        <f>'Analisis de operaciones'!G756/'Analisis de operaciones'!G760*$O529</f>
        <v>27.48656032</v>
      </c>
      <c r="G529" s="143">
        <f>'Analisis de operaciones'!H756/'Analisis de operaciones'!H760*$O529</f>
        <v>26.93371236</v>
      </c>
      <c r="H529" s="143">
        <f>'Analisis de operaciones'!I756/'Analisis de operaciones'!I760*$O529</f>
        <v>28.81805982</v>
      </c>
      <c r="I529" s="143">
        <f>'Analisis de operaciones'!J756/'Analisis de operaciones'!J760*$O529</f>
        <v>28.81805982</v>
      </c>
      <c r="J529" s="143">
        <f>'Analisis de operaciones'!K756/'Analisis de operaciones'!K760*$O529</f>
        <v>28.81805982</v>
      </c>
      <c r="K529" s="143">
        <f>'Analisis de operaciones'!L756/'Analisis de operaciones'!L760*$O529</f>
        <v>28.26521186</v>
      </c>
      <c r="L529" s="143">
        <f>'Analisis de operaciones'!M756/'Analisis de operaciones'!M760*$O529</f>
        <v>27.71236391</v>
      </c>
      <c r="M529" s="143">
        <f>'Analisis de operaciones'!N756/'Analisis de operaciones'!N760*$O529</f>
        <v>44.11864307</v>
      </c>
      <c r="N529" s="143">
        <f>'Resumen Capacidad'!$F$31*$B$8*$O529</f>
        <v>150</v>
      </c>
      <c r="O529" s="144">
        <f>$B$20</f>
        <v>1</v>
      </c>
    </row>
    <row r="530" ht="15.75" hidden="1" customHeight="1" outlineLevel="1">
      <c r="A530" s="142" t="s">
        <v>62</v>
      </c>
      <c r="B530" s="143">
        <f>'Analisis de operaciones'!C766/'Analisis de operaciones'!C770*$O530</f>
        <v>104.510625</v>
      </c>
      <c r="C530" s="143">
        <f>'Analisis de operaciones'!D766/'Analisis de operaciones'!D770*$O530</f>
        <v>79.72625</v>
      </c>
      <c r="D530" s="143">
        <f>'Analisis de operaciones'!E766/'Analisis de operaciones'!E770*$O530</f>
        <v>74.59911458</v>
      </c>
      <c r="E530" s="143">
        <f>'Analisis de operaciones'!F766/'Analisis de operaciones'!F770*$O530</f>
        <v>71.36390625</v>
      </c>
      <c r="F530" s="143">
        <f>'Analisis de operaciones'!G766/'Analisis de operaciones'!G770*$O530</f>
        <v>66.78541667</v>
      </c>
      <c r="G530" s="143">
        <f>'Analisis de operaciones'!H766/'Analisis de operaciones'!H770*$O530</f>
        <v>65.44213542</v>
      </c>
      <c r="H530" s="143">
        <f>'Analisis de operaciones'!I766/'Analisis de operaciones'!I770*$O530</f>
        <v>70.020625</v>
      </c>
      <c r="I530" s="143">
        <f>'Analisis de operaciones'!J766/'Analisis de operaciones'!J770*$O530</f>
        <v>70.020625</v>
      </c>
      <c r="J530" s="143">
        <f>'Analisis de operaciones'!K766/'Analisis de operaciones'!K770*$O530</f>
        <v>70.020625</v>
      </c>
      <c r="K530" s="143">
        <f>'Analisis de operaciones'!L766/'Analisis de operaciones'!L770*$O530</f>
        <v>68.67734375</v>
      </c>
      <c r="L530" s="143">
        <f>'Analisis de operaciones'!M766/'Analisis de operaciones'!M770*$O530</f>
        <v>67.3340625</v>
      </c>
      <c r="M530" s="143">
        <f>'Analisis de operaciones'!N766/'Analisis de operaciones'!N770*$O530</f>
        <v>107.1971875</v>
      </c>
      <c r="N530" s="143">
        <f>'Resumen Capacidad'!$F$32*$B$8*$O530</f>
        <v>150</v>
      </c>
      <c r="O530" s="144">
        <f>$B$21</f>
        <v>1</v>
      </c>
    </row>
    <row r="531" ht="15.75" hidden="1" customHeight="1" outlineLevel="1">
      <c r="A531" s="142" t="s">
        <v>63</v>
      </c>
      <c r="B531" s="143">
        <f>'Analisis de operaciones'!C776/'Analisis de operaciones'!C780*$O531</f>
        <v>32.19800966</v>
      </c>
      <c r="C531" s="143">
        <f>'Analisis de operaciones'!D776/'Analisis de operaciones'!D780*$O531</f>
        <v>25.75840773</v>
      </c>
      <c r="D531" s="143">
        <f>'Analisis de operaciones'!E776/'Analisis de operaciones'!E780*$O531</f>
        <v>27.36830821</v>
      </c>
      <c r="E531" s="143">
        <f>'Analisis de operaciones'!F776/'Analisis de operaciones'!F780*$O531</f>
        <v>27.36830821</v>
      </c>
      <c r="F531" s="143">
        <f>'Analisis de operaciones'!G776/'Analisis de operaciones'!G780*$O531</f>
        <v>25.75840773</v>
      </c>
      <c r="G531" s="143">
        <f>'Analisis de operaciones'!H776/'Analisis de operaciones'!H780*$O531</f>
        <v>24.14850725</v>
      </c>
      <c r="H531" s="143">
        <f>'Analisis de operaciones'!I776/'Analisis de operaciones'!I780*$O531</f>
        <v>25.75840773</v>
      </c>
      <c r="I531" s="143">
        <f>'Analisis de operaciones'!J776/'Analisis de operaciones'!J780*$O531</f>
        <v>25.75840773</v>
      </c>
      <c r="J531" s="143">
        <f>'Analisis de operaciones'!K776/'Analisis de operaciones'!K780*$O531</f>
        <v>25.75840773</v>
      </c>
      <c r="K531" s="143">
        <f>'Analisis de operaciones'!L776/'Analisis de operaciones'!L780*$O531</f>
        <v>24.14850725</v>
      </c>
      <c r="L531" s="143">
        <f>'Analisis de operaciones'!M776/'Analisis de operaciones'!M780*$O531</f>
        <v>22.53860676</v>
      </c>
      <c r="M531" s="143">
        <f>'Analisis de operaciones'!N776/'Analisis de operaciones'!N780*$O531</f>
        <v>35.41781063</v>
      </c>
      <c r="N531" s="143">
        <f>'Resumen Capacidad'!$F$33*$B$8*$O531</f>
        <v>150</v>
      </c>
      <c r="O531" s="144">
        <f>$B$22</f>
        <v>1</v>
      </c>
    </row>
    <row r="532" ht="15.75" hidden="1" customHeight="1" outlineLevel="1">
      <c r="A532" s="142" t="s">
        <v>64</v>
      </c>
      <c r="B532" s="143">
        <f>'Analisis de operaciones'!C786/'Analisis de operaciones'!C790*$O532</f>
        <v>22.79323388</v>
      </c>
      <c r="C532" s="143">
        <f>'Analisis de operaciones'!D786/'Analisis de operaciones'!D790*$O532</f>
        <v>18.2345871</v>
      </c>
      <c r="D532" s="143">
        <f>'Analisis de operaciones'!E786/'Analisis de operaciones'!E790*$O532</f>
        <v>19.3742488</v>
      </c>
      <c r="E532" s="143">
        <f>'Analisis de operaciones'!F786/'Analisis de operaciones'!F790*$O532</f>
        <v>19.3742488</v>
      </c>
      <c r="F532" s="143">
        <f>'Analisis de operaciones'!G786/'Analisis de operaciones'!G790*$O532</f>
        <v>18.2345871</v>
      </c>
      <c r="G532" s="143">
        <f>'Analisis de operaciones'!H786/'Analisis de operaciones'!H790*$O532</f>
        <v>17.09492541</v>
      </c>
      <c r="H532" s="143">
        <f>'Analisis de operaciones'!I786/'Analisis de operaciones'!I790*$O532</f>
        <v>18.2345871</v>
      </c>
      <c r="I532" s="143">
        <f>'Analisis de operaciones'!J786/'Analisis de operaciones'!J790*$O532</f>
        <v>18.2345871</v>
      </c>
      <c r="J532" s="143">
        <f>'Analisis de operaciones'!K786/'Analisis de operaciones'!K790*$O532</f>
        <v>18.2345871</v>
      </c>
      <c r="K532" s="143">
        <f>'Analisis de operaciones'!L786/'Analisis de operaciones'!L790*$O532</f>
        <v>17.09492541</v>
      </c>
      <c r="L532" s="143">
        <f>'Analisis de operaciones'!M786/'Analisis de operaciones'!M790*$O532</f>
        <v>15.95526372</v>
      </c>
      <c r="M532" s="143">
        <f>'Analisis de operaciones'!N786/'Analisis de operaciones'!N790*$O532</f>
        <v>25.07255727</v>
      </c>
      <c r="N532" s="143">
        <f>'Resumen Capacidad'!$F$34*$B$8*$O532</f>
        <v>75</v>
      </c>
      <c r="O532" s="144">
        <f>IF('Resumen Capacidad'!$F$56="Automática",$C$23,$B$23)</f>
        <v>0.5</v>
      </c>
    </row>
    <row r="533" ht="15.75" hidden="1" customHeight="1" outlineLevel="1">
      <c r="A533" s="142" t="s">
        <v>66</v>
      </c>
      <c r="B533" s="143">
        <f>'Analisis de operaciones'!C796/'Analisis de operaciones'!C800*$O533</f>
        <v>165.4085334</v>
      </c>
      <c r="C533" s="143">
        <f>'Analisis de operaciones'!D796/'Analisis de operaciones'!D800*$O533</f>
        <v>126.1824057</v>
      </c>
      <c r="D533" s="143">
        <f>'Analisis de operaciones'!E796/'Analisis de operaciones'!E800*$O533</f>
        <v>118.0677097</v>
      </c>
      <c r="E533" s="143">
        <f>'Analisis de operaciones'!F796/'Analisis de operaciones'!F800*$O533</f>
        <v>112.9473589</v>
      </c>
      <c r="F533" s="143">
        <f>'Analisis de operaciones'!G796/'Analisis de operaciones'!G800*$O533</f>
        <v>105.7010024</v>
      </c>
      <c r="G533" s="143">
        <f>'Analisis de operaciones'!H796/'Analisis de operaciones'!H800*$O533</f>
        <v>103.5749967</v>
      </c>
      <c r="H533" s="143">
        <f>'Analisis de operaciones'!I796/'Analisis de operaciones'!I800*$O533</f>
        <v>110.8213532</v>
      </c>
      <c r="I533" s="143">
        <f>'Analisis de operaciones'!J796/'Analisis de operaciones'!J800*$O533</f>
        <v>110.8213532</v>
      </c>
      <c r="J533" s="143">
        <f>'Analisis de operaciones'!K796/'Analisis de operaciones'!K800*$O533</f>
        <v>110.8213532</v>
      </c>
      <c r="K533" s="143">
        <f>'Analisis de operaciones'!L796/'Analisis de operaciones'!L800*$O533</f>
        <v>108.6953475</v>
      </c>
      <c r="L533" s="143">
        <f>'Analisis de operaciones'!M796/'Analisis de operaciones'!M800*$O533</f>
        <v>106.5693419</v>
      </c>
      <c r="M533" s="143">
        <f>'Analisis de operaciones'!N796/'Analisis de operaciones'!N800*$O533</f>
        <v>169.6605447</v>
      </c>
      <c r="N533" s="143">
        <f>'Resumen Capacidad'!$F$35*$B$8*$O533</f>
        <v>300</v>
      </c>
      <c r="O533" s="144">
        <f>$B$24</f>
        <v>1</v>
      </c>
    </row>
    <row r="534" ht="15.75" hidden="1" customHeight="1" outlineLevel="1">
      <c r="A534" s="142" t="s">
        <v>67</v>
      </c>
      <c r="B534" s="143">
        <f>'Analisis de operaciones'!C806/'Analisis de operaciones'!C810*$O534</f>
        <v>53.53085234</v>
      </c>
      <c r="C534" s="143">
        <f>'Analisis de operaciones'!D806/'Analisis de operaciones'!D810*$O534</f>
        <v>40.83617447</v>
      </c>
      <c r="D534" s="143">
        <f>'Analisis de operaciones'!E806/'Analisis de operaciones'!E810*$O534</f>
        <v>38.21003068</v>
      </c>
      <c r="E534" s="143">
        <f>'Analisis de operaciones'!F806/'Analisis de operaciones'!F810*$O534</f>
        <v>36.55294118</v>
      </c>
      <c r="F534" s="143">
        <f>'Analisis de operaciones'!G806/'Analisis de operaciones'!G810*$O534</f>
        <v>34.20781646</v>
      </c>
      <c r="G534" s="143">
        <f>'Analisis de operaciones'!H806/'Analisis de operaciones'!H810*$O534</f>
        <v>33.51978125</v>
      </c>
      <c r="H534" s="143">
        <f>'Analisis de operaciones'!I806/'Analisis de operaciones'!I810*$O534</f>
        <v>35.86490596</v>
      </c>
      <c r="I534" s="143">
        <f>'Analisis de operaciones'!J806/'Analisis de operaciones'!J810*$O534</f>
        <v>35.86490596</v>
      </c>
      <c r="J534" s="143">
        <f>'Analisis de operaciones'!K806/'Analisis de operaciones'!K810*$O534</f>
        <v>35.86490596</v>
      </c>
      <c r="K534" s="143">
        <f>'Analisis de operaciones'!L806/'Analisis de operaciones'!L810*$O534</f>
        <v>35.17687075</v>
      </c>
      <c r="L534" s="143">
        <f>'Analisis de operaciones'!M806/'Analisis de operaciones'!M810*$O534</f>
        <v>34.48883553</v>
      </c>
      <c r="M534" s="143">
        <f>'Analisis de operaciones'!N806/'Analisis de operaciones'!N810*$O534</f>
        <v>54.90692277</v>
      </c>
      <c r="N534" s="143">
        <f>'Resumen Capacidad'!$F$36*$B$8*$O534</f>
        <v>150</v>
      </c>
      <c r="O534" s="144">
        <f>$B$25</f>
        <v>1</v>
      </c>
    </row>
    <row r="535" ht="15.75" hidden="1" customHeight="1" outlineLevel="1">
      <c r="A535" s="142" t="s">
        <v>68</v>
      </c>
      <c r="B535" s="143">
        <f>'Analisis de operaciones'!C816/'Analisis de operaciones'!C820*$O535</f>
        <v>78.81645928</v>
      </c>
      <c r="C535" s="143">
        <f>'Analisis de operaciones'!D816/'Analisis de operaciones'!D820*$O535</f>
        <v>60.12537707</v>
      </c>
      <c r="D535" s="143">
        <f>'Analisis de operaciones'!E816/'Analisis de operaciones'!E820*$O535</f>
        <v>56.25875911</v>
      </c>
      <c r="E535" s="143">
        <f>'Analisis de operaciones'!F816/'Analisis de operaciones'!F820*$O535</f>
        <v>53.81893382</v>
      </c>
      <c r="F535" s="143">
        <f>'Analisis de operaciones'!G816/'Analisis de operaciones'!G820*$O535</f>
        <v>50.36607592</v>
      </c>
      <c r="G535" s="143">
        <f>'Analisis de operaciones'!H816/'Analisis de operaciones'!H820*$O535</f>
        <v>49.3530433</v>
      </c>
      <c r="H535" s="143">
        <f>'Analisis de operaciones'!I816/'Analisis de operaciones'!I820*$O535</f>
        <v>52.80590121</v>
      </c>
      <c r="I535" s="143">
        <f>'Analisis de operaciones'!J816/'Analisis de operaciones'!J820*$O535</f>
        <v>52.80590121</v>
      </c>
      <c r="J535" s="143">
        <f>'Analisis de operaciones'!K816/'Analisis de operaciones'!K820*$O535</f>
        <v>52.80590121</v>
      </c>
      <c r="K535" s="143">
        <f>'Analisis de operaciones'!L816/'Analisis de operaciones'!L820*$O535</f>
        <v>51.79286859</v>
      </c>
      <c r="L535" s="143">
        <f>'Analisis de operaciones'!M816/'Analisis de operaciones'!M820*$O535</f>
        <v>50.77983597</v>
      </c>
      <c r="M535" s="143">
        <f>'Analisis de operaciones'!N816/'Analisis de operaciones'!N820*$O535</f>
        <v>80.84252451</v>
      </c>
      <c r="N535" s="143">
        <f>'Resumen Capacidad'!$F$37*$B$8*$O535</f>
        <v>150</v>
      </c>
      <c r="O535" s="144">
        <f>IF('Resumen Capacidad'!$F$57="Automática",$C$26,$B$26)</f>
        <v>0.5</v>
      </c>
    </row>
    <row r="536" ht="15.75" hidden="1" customHeight="1" outlineLevel="1">
      <c r="A536" s="142" t="s">
        <v>70</v>
      </c>
      <c r="B536" s="143">
        <f>'Analisis de operaciones'!C826/'Analisis de operaciones'!C830*$O536</f>
        <v>57.89298668</v>
      </c>
      <c r="C536" s="143">
        <f>'Analisis de operaciones'!D826/'Analisis de operaciones'!D830*$O536</f>
        <v>44.16384199</v>
      </c>
      <c r="D536" s="143">
        <f>'Analisis de operaciones'!E826/'Analisis de operaciones'!E830*$O536</f>
        <v>41.3236984</v>
      </c>
      <c r="E536" s="143">
        <f>'Analisis de operaciones'!F826/'Analisis de operaciones'!F830*$O536</f>
        <v>39.53157561</v>
      </c>
      <c r="F536" s="143">
        <f>'Analisis de operaciones'!G826/'Analisis de operaciones'!G830*$O536</f>
        <v>36.99535083</v>
      </c>
      <c r="G536" s="143">
        <f>'Analisis de operaciones'!H826/'Analisis de operaciones'!H830*$O536</f>
        <v>36.25124885</v>
      </c>
      <c r="H536" s="143">
        <f>'Analisis de operaciones'!I826/'Analisis de operaciones'!I830*$O536</f>
        <v>38.78747362</v>
      </c>
      <c r="I536" s="143">
        <f>'Analisis de operaciones'!J826/'Analisis de operaciones'!J830*$O536</f>
        <v>38.78747362</v>
      </c>
      <c r="J536" s="143">
        <f>'Analisis de operaciones'!K826/'Analisis de operaciones'!K830*$O536</f>
        <v>38.78747362</v>
      </c>
      <c r="K536" s="143">
        <f>'Analisis de operaciones'!L826/'Analisis de operaciones'!L830*$O536</f>
        <v>38.04337164</v>
      </c>
      <c r="L536" s="143">
        <f>'Analisis de operaciones'!M826/'Analisis de operaciones'!M830*$O536</f>
        <v>37.29926965</v>
      </c>
      <c r="M536" s="143">
        <f>'Analisis de operaciones'!N826/'Analisis de operaciones'!N830*$O536</f>
        <v>59.38119065</v>
      </c>
      <c r="N536" s="143">
        <f>'Resumen Capacidad'!$F$38*$B$8*$O536</f>
        <v>75</v>
      </c>
      <c r="O536" s="144">
        <f>IF('Resumen Capacidad'!$F$58="Automática",$C$27,$B$27)</f>
        <v>0.5</v>
      </c>
    </row>
    <row r="537" ht="15.75" hidden="1" customHeight="1" outlineLevel="1">
      <c r="A537" s="142" t="s">
        <v>72</v>
      </c>
      <c r="B537" s="143">
        <f>'Analisis de operaciones'!C836/'Analisis de operaciones'!C840*$O537</f>
        <v>18.12112745</v>
      </c>
      <c r="C537" s="143">
        <f>'Analisis de operaciones'!D836/'Analisis de operaciones'!D840*$O537</f>
        <v>14.49690196</v>
      </c>
      <c r="D537" s="143">
        <f>'Analisis de operaciones'!E836/'Analisis de operaciones'!E840*$O537</f>
        <v>15.40295833</v>
      </c>
      <c r="E537" s="143">
        <f>'Analisis de operaciones'!F836/'Analisis de operaciones'!F840*$O537</f>
        <v>15.40295833</v>
      </c>
      <c r="F537" s="143">
        <f>'Analisis de operaciones'!G836/'Analisis de operaciones'!G840*$O537</f>
        <v>14.49690196</v>
      </c>
      <c r="G537" s="143">
        <f>'Analisis de operaciones'!H836/'Analisis de operaciones'!H840*$O537</f>
        <v>13.59084559</v>
      </c>
      <c r="H537" s="143">
        <f>'Analisis de operaciones'!I836/'Analisis de operaciones'!I840*$O537</f>
        <v>14.49690196</v>
      </c>
      <c r="I537" s="143">
        <f>'Analisis de operaciones'!J836/'Analisis de operaciones'!J840*$O537</f>
        <v>14.49690196</v>
      </c>
      <c r="J537" s="143">
        <f>'Analisis de operaciones'!K836/'Analisis de operaciones'!K840*$O537</f>
        <v>14.49690196</v>
      </c>
      <c r="K537" s="143">
        <f>'Analisis de operaciones'!L836/'Analisis de operaciones'!L840*$O537</f>
        <v>13.59084559</v>
      </c>
      <c r="L537" s="143">
        <f>'Analisis de operaciones'!M836/'Analisis de operaciones'!M840*$O537</f>
        <v>12.68478922</v>
      </c>
      <c r="M537" s="143">
        <f>'Analisis de operaciones'!N836/'Analisis de operaciones'!N840*$O537</f>
        <v>19.9332402</v>
      </c>
      <c r="N537" s="143">
        <f>'Resumen Capacidad'!$F$39*$B$8*$O537</f>
        <v>75</v>
      </c>
      <c r="O537" s="144">
        <f>$B$28</f>
        <v>0.5</v>
      </c>
    </row>
    <row r="538" ht="15.75" hidden="1" customHeight="1" outlineLevel="1">
      <c r="A538" s="142" t="s">
        <v>74</v>
      </c>
      <c r="B538" s="143">
        <f>'Analisis de operaciones'!C846/'Analisis de operaciones'!C850*$O538</f>
        <v>52.2553125</v>
      </c>
      <c r="C538" s="143">
        <f>'Analisis de operaciones'!D846/'Analisis de operaciones'!D850*$O538</f>
        <v>39.863125</v>
      </c>
      <c r="D538" s="143">
        <f>'Analisis de operaciones'!E846/'Analisis de operaciones'!E850*$O538</f>
        <v>37.29955729</v>
      </c>
      <c r="E538" s="143">
        <f>'Analisis de operaciones'!F846/'Analisis de operaciones'!F850*$O538</f>
        <v>35.68195313</v>
      </c>
      <c r="F538" s="143">
        <f>'Analisis de operaciones'!G846/'Analisis de operaciones'!G850*$O538</f>
        <v>33.39270833</v>
      </c>
      <c r="G538" s="143">
        <f>'Analisis de operaciones'!H846/'Analisis de operaciones'!H850*$O538</f>
        <v>32.72106771</v>
      </c>
      <c r="H538" s="143">
        <f>'Analisis de operaciones'!I846/'Analisis de operaciones'!I850*$O538</f>
        <v>35.0103125</v>
      </c>
      <c r="I538" s="143">
        <f>'Analisis de operaciones'!J846/'Analisis de operaciones'!J850*$O538</f>
        <v>35.0103125</v>
      </c>
      <c r="J538" s="143">
        <f>'Analisis de operaciones'!K846/'Analisis de operaciones'!K850*$O538</f>
        <v>35.0103125</v>
      </c>
      <c r="K538" s="143">
        <f>'Analisis de operaciones'!L846/'Analisis de operaciones'!L850*$O538</f>
        <v>34.33867188</v>
      </c>
      <c r="L538" s="143">
        <f>'Analisis de operaciones'!M846/'Analisis de operaciones'!M850*$O538</f>
        <v>33.66703125</v>
      </c>
      <c r="M538" s="143">
        <f>'Analisis de operaciones'!N846/'Analisis de operaciones'!N850*$O538</f>
        <v>53.59859375</v>
      </c>
      <c r="N538" s="143">
        <f>'Resumen Capacidad'!$F$40*$B$8*$O538</f>
        <v>150</v>
      </c>
      <c r="O538" s="144">
        <f>$B$29</f>
        <v>1</v>
      </c>
    </row>
    <row r="539" ht="15.75" hidden="1" customHeight="1" outlineLevel="1">
      <c r="A539" s="142" t="s">
        <v>76</v>
      </c>
      <c r="B539" s="143">
        <f>'Analisis de operaciones'!C1922/'Analisis de operaciones'!C1926*$O539</f>
        <v>24.45690816</v>
      </c>
      <c r="C539" s="143">
        <f>'Analisis de operaciones'!D1922/'Analisis de operaciones'!D1926*$O539</f>
        <v>18.65702721</v>
      </c>
      <c r="D539" s="143">
        <f>'Analisis de operaciones'!E1922/'Analisis de operaciones'!E1926*$O539</f>
        <v>17.45720777</v>
      </c>
      <c r="E539" s="143">
        <f>'Analisis de operaciones'!F1922/'Analisis de operaciones'!F1926*$O539</f>
        <v>16.700125</v>
      </c>
      <c r="F539" s="143">
        <f>'Analisis de operaciones'!G1922/'Analisis de operaciones'!G1926*$O539</f>
        <v>15.62869615</v>
      </c>
      <c r="G539" s="143">
        <f>'Analisis de operaciones'!H1922/'Analisis de operaciones'!H1926*$O539</f>
        <v>15.31435006</v>
      </c>
      <c r="H539" s="143">
        <f>'Analisis de operaciones'!I1922/'Analisis de operaciones'!I1926*$O539</f>
        <v>16.38577891</v>
      </c>
      <c r="I539" s="143">
        <f>'Analisis de operaciones'!J1922/'Analisis de operaciones'!J1926*$O539</f>
        <v>16.38577891</v>
      </c>
      <c r="J539" s="143">
        <f>'Analisis de operaciones'!K1922/'Analisis de operaciones'!K1926*$O539</f>
        <v>16.38577891</v>
      </c>
      <c r="K539" s="143">
        <f>'Analisis de operaciones'!L1922/'Analisis de operaciones'!L1926*$O539</f>
        <v>16.07143282</v>
      </c>
      <c r="L539" s="143">
        <f>'Analisis de operaciones'!M1922/'Analisis de operaciones'!M1926*$O539</f>
        <v>15.75708673</v>
      </c>
      <c r="M539" s="143">
        <f>'Analisis de operaciones'!N1922/'Analisis de operaciones'!N1926*$O539</f>
        <v>25.08560034</v>
      </c>
      <c r="N539" s="143">
        <f>'Resumen Capacidad'!$F$41*$B$8*$O539</f>
        <v>150</v>
      </c>
      <c r="O539" s="144">
        <f>$B$30</f>
        <v>1</v>
      </c>
    </row>
    <row r="540" ht="15.75" hidden="1" customHeight="1" outlineLevel="1">
      <c r="A540" s="142" t="s">
        <v>77</v>
      </c>
      <c r="B540" s="143">
        <f>IF('Resumen Capacidad'!$F$42=0,0,'Analisis de operaciones'!C856/'Analisis de operaciones'!C860*$O540)</f>
        <v>36.87993985</v>
      </c>
      <c r="C540" s="143">
        <f>IF('Resumen Capacidad'!$F$42=0,0,'Analisis de operaciones'!D856/'Analisis de operaciones'!D860*$O540)</f>
        <v>28.13397494</v>
      </c>
      <c r="D540" s="143">
        <f>IF('Resumen Capacidad'!$F$42=0,0,'Analisis de operaciones'!E856/'Analisis de operaciones'!E860*$O540)</f>
        <v>26.32470008</v>
      </c>
      <c r="E540" s="143">
        <f>IF('Resumen Capacidad'!$F$42=0,0,'Analisis de operaciones'!F856/'Analisis de operaciones'!F860*$O540)</f>
        <v>25.18305263</v>
      </c>
      <c r="F540" s="143">
        <f>IF('Resumen Capacidad'!$F$42=0,0,'Analisis de operaciones'!G856/'Analisis de operaciones'!G860*$O540)</f>
        <v>23.56738513</v>
      </c>
      <c r="G540" s="143">
        <f>IF('Resumen Capacidad'!$F$42=0,0,'Analisis de operaciones'!H856/'Analisis de operaciones'!H860*$O540)</f>
        <v>23.09336508</v>
      </c>
      <c r="H540" s="143">
        <f>IF('Resumen Capacidad'!$F$42=0,0,'Analisis de operaciones'!I856/'Analisis de operaciones'!I860*$O540)</f>
        <v>24.70903258</v>
      </c>
      <c r="I540" s="143">
        <f>IF('Resumen Capacidad'!$F$42=0,0,'Analisis de operaciones'!J856/'Analisis de operaciones'!J860*$O540)</f>
        <v>24.70903258</v>
      </c>
      <c r="J540" s="143">
        <f>IF('Resumen Capacidad'!$F$42=0,0,'Analisis de operaciones'!K856/'Analisis de operaciones'!K860*$O540)</f>
        <v>24.70903258</v>
      </c>
      <c r="K540" s="143">
        <f>IF('Resumen Capacidad'!$F$42=0,0,'Analisis de operaciones'!L856/'Analisis de operaciones'!L860*$O540)</f>
        <v>24.23501253</v>
      </c>
      <c r="L540" s="143">
        <f>IF('Resumen Capacidad'!$F$42=0,0,'Analisis de operaciones'!M856/'Analisis de operaciones'!M860*$O540)</f>
        <v>23.76099248</v>
      </c>
      <c r="M540" s="143">
        <f>IF('Resumen Capacidad'!$F$42=0,0,'Analisis de operaciones'!N856/'Analisis de operaciones'!N860*$O540)</f>
        <v>37.82797995</v>
      </c>
      <c r="N540" s="143">
        <f>'Resumen Capacidad'!$F$42*$B$8*$O540</f>
        <v>75</v>
      </c>
      <c r="O540" s="144">
        <f>$B$31</f>
        <v>0.5</v>
      </c>
    </row>
    <row r="541" ht="15.75" hidden="1" customHeight="1" outlineLevel="1">
      <c r="A541" s="142" t="s">
        <v>79</v>
      </c>
      <c r="B541" s="143">
        <f>'Analisis de operaciones'!C866/'Analisis de operaciones'!C870*$O541</f>
        <v>25.30527344</v>
      </c>
      <c r="C541" s="143">
        <f>'Analisis de operaciones'!D866/'Analisis de operaciones'!D870*$O541</f>
        <v>19.72217685</v>
      </c>
      <c r="D541" s="143">
        <f>'Analisis de operaciones'!E866/'Analisis de operaciones'!E870*$O541</f>
        <v>19.47272727</v>
      </c>
      <c r="E541" s="143">
        <f>'Analisis de operaciones'!F866/'Analisis de operaciones'!F870*$O541</f>
        <v>18.9473544</v>
      </c>
      <c r="F541" s="143">
        <f>'Analisis de operaciones'!G866/'Analisis de operaciones'!G870*$O541</f>
        <v>17.85298295</v>
      </c>
      <c r="G541" s="143">
        <f>'Analisis de operaciones'!H866/'Analisis de operaciones'!H870*$O541</f>
        <v>17.12911932</v>
      </c>
      <c r="H541" s="143">
        <f>'Analisis de operaciones'!I866/'Analisis de operaciones'!I870*$O541</f>
        <v>18.37835582</v>
      </c>
      <c r="I541" s="143">
        <f>'Analisis de operaciones'!J866/'Analisis de operaciones'!J870*$O541</f>
        <v>18.37835582</v>
      </c>
      <c r="J541" s="143">
        <f>'Analisis de operaciones'!K866/'Analisis de operaciones'!K870*$O541</f>
        <v>18.3009233</v>
      </c>
      <c r="K541" s="143">
        <f>'Analisis de operaciones'!L866/'Analisis de operaciones'!L870*$O541</f>
        <v>17.57705966</v>
      </c>
      <c r="L541" s="143">
        <f>'Analisis de operaciones'!M866/'Analisis de operaciones'!M870*$O541</f>
        <v>16.93062855</v>
      </c>
      <c r="M541" s="143">
        <f>'Analisis de operaciones'!N866/'Analisis de operaciones'!N870*$O541</f>
        <v>26.36583807</v>
      </c>
      <c r="N541" s="143">
        <f>'Resumen Capacidad'!$F$43*$B$8*$O541</f>
        <v>75</v>
      </c>
      <c r="O541" s="144">
        <f>$B$32</f>
        <v>0.5</v>
      </c>
    </row>
    <row r="542" ht="15.75" hidden="1" customHeight="1" outlineLevel="1">
      <c r="A542" s="142" t="s">
        <v>81</v>
      </c>
      <c r="B542" s="143">
        <f>'Analisis de operaciones'!C876/'Analisis de operaciones'!C880*$O542</f>
        <v>121.189881</v>
      </c>
      <c r="C542" s="143">
        <f>'Analisis de operaciones'!D876/'Analisis de operaciones'!D880*$O542</f>
        <v>94.45178571</v>
      </c>
      <c r="D542" s="143">
        <f>'Analisis de operaciones'!E876/'Analisis de operaciones'!E880*$O542</f>
        <v>93.25714286</v>
      </c>
      <c r="E542" s="143">
        <f>'Analisis de operaciones'!F876/'Analisis de operaciones'!F880*$O542</f>
        <v>90.74107143</v>
      </c>
      <c r="F542" s="143">
        <f>'Analisis de operaciones'!G876/'Analisis de operaciones'!G880*$O542</f>
        <v>85.5</v>
      </c>
      <c r="G542" s="143">
        <f>'Analisis de operaciones'!H876/'Analisis de operaciones'!H880*$O542</f>
        <v>82.03333333</v>
      </c>
      <c r="H542" s="143">
        <f>'Analisis de operaciones'!I876/'Analisis de operaciones'!I880*$O542</f>
        <v>88.01607143</v>
      </c>
      <c r="I542" s="143">
        <f>'Analisis de operaciones'!J876/'Analisis de operaciones'!J880*$O542</f>
        <v>88.01607143</v>
      </c>
      <c r="J542" s="143">
        <f>'Analisis de operaciones'!K876/'Analisis de operaciones'!K880*$O542</f>
        <v>87.6452381</v>
      </c>
      <c r="K542" s="143">
        <f>'Analisis de operaciones'!L876/'Analisis de operaciones'!L880*$O542</f>
        <v>84.17857143</v>
      </c>
      <c r="L542" s="143">
        <f>'Analisis de operaciones'!M876/'Analisis de operaciones'!M880*$O542</f>
        <v>81.0827381</v>
      </c>
      <c r="M542" s="143">
        <f>'Analisis de operaciones'!N876/'Analisis de operaciones'!N880*$O542</f>
        <v>126.2690476</v>
      </c>
      <c r="N542" s="143">
        <f>'Resumen Capacidad'!$F$44*$B$8*$O542</f>
        <v>150</v>
      </c>
      <c r="O542" s="144">
        <f>$B$33</f>
        <v>1</v>
      </c>
    </row>
    <row r="543" ht="15.75" hidden="1" customHeight="1" outlineLevel="1">
      <c r="A543" s="142" t="s">
        <v>82</v>
      </c>
      <c r="B543" s="143">
        <f>'Analisis de operaciones'!C886/'Analisis de operaciones'!C890*$O543</f>
        <v>73.52186111</v>
      </c>
      <c r="C543" s="143">
        <f>'Analisis de operaciones'!D886/'Analisis de operaciones'!D890*$O543</f>
        <v>57.30075</v>
      </c>
      <c r="D543" s="143">
        <f>'Analisis de operaciones'!E886/'Analisis de operaciones'!E890*$O543</f>
        <v>56.576</v>
      </c>
      <c r="E543" s="143">
        <f>'Analisis de operaciones'!F886/'Analisis de operaciones'!F890*$O543</f>
        <v>55.04958333</v>
      </c>
      <c r="F543" s="143">
        <f>'Analisis de operaciones'!G886/'Analisis de operaciones'!G890*$O543</f>
        <v>51.87</v>
      </c>
      <c r="G543" s="143">
        <f>'Analisis de operaciones'!H886/'Analisis de operaciones'!H890*$O543</f>
        <v>49.76688889</v>
      </c>
      <c r="H543" s="143">
        <f>'Analisis de operaciones'!I886/'Analisis de operaciones'!I890*$O543</f>
        <v>53.39641667</v>
      </c>
      <c r="I543" s="143">
        <f>'Analisis de operaciones'!J886/'Analisis de operaciones'!J890*$O543</f>
        <v>53.39641667</v>
      </c>
      <c r="J543" s="143">
        <f>'Analisis de operaciones'!K886/'Analisis de operaciones'!K890*$O543</f>
        <v>53.17144444</v>
      </c>
      <c r="K543" s="143">
        <f>'Analisis de operaciones'!L886/'Analisis de operaciones'!L890*$O543</f>
        <v>51.06833333</v>
      </c>
      <c r="L543" s="143">
        <f>'Analisis de operaciones'!M886/'Analisis de operaciones'!M890*$O543</f>
        <v>49.19019444</v>
      </c>
      <c r="M543" s="143">
        <f>'Analisis de operaciones'!N886/'Analisis de operaciones'!N890*$O543</f>
        <v>76.60322222</v>
      </c>
      <c r="N543" s="143">
        <f>'Resumen Capacidad'!$F$45*$B$8*$O543</f>
        <v>150</v>
      </c>
      <c r="O543" s="144">
        <f>$B$34</f>
        <v>1</v>
      </c>
    </row>
    <row r="544" ht="15.75" hidden="1" customHeight="1" outlineLevel="1">
      <c r="A544" s="142" t="s">
        <v>83</v>
      </c>
      <c r="B544" s="143">
        <f>'Analisis de operaciones'!C896/'Analisis de operaciones'!C900*$O544</f>
        <v>66.65443452</v>
      </c>
      <c r="C544" s="143">
        <f>'Analisis de operaciones'!D896/'Analisis de operaciones'!D900*$O544</f>
        <v>51.94848214</v>
      </c>
      <c r="D544" s="143">
        <f>'Analisis de operaciones'!E896/'Analisis de operaciones'!E900*$O544</f>
        <v>51.29142857</v>
      </c>
      <c r="E544" s="143">
        <f>'Analisis de operaciones'!F896/'Analisis de operaciones'!F900*$O544</f>
        <v>49.90758929</v>
      </c>
      <c r="F544" s="143">
        <f>'Analisis de operaciones'!G896/'Analisis de operaciones'!G900*$O544</f>
        <v>47.025</v>
      </c>
      <c r="G544" s="143">
        <f>'Analisis de operaciones'!H896/'Analisis de operaciones'!H900*$O544</f>
        <v>45.11833333</v>
      </c>
      <c r="H544" s="143">
        <f>'Analisis de operaciones'!I896/'Analisis de operaciones'!I900*$O544</f>
        <v>48.40883929</v>
      </c>
      <c r="I544" s="143">
        <f>'Analisis de operaciones'!J896/'Analisis de operaciones'!J900*$O544</f>
        <v>48.40883929</v>
      </c>
      <c r="J544" s="143">
        <f>'Analisis de operaciones'!K896/'Analisis de operaciones'!K900*$O544</f>
        <v>48.20488095</v>
      </c>
      <c r="K544" s="143">
        <f>'Analisis de operaciones'!L896/'Analisis de operaciones'!L900*$O544</f>
        <v>46.29821429</v>
      </c>
      <c r="L544" s="143">
        <f>'Analisis de operaciones'!M896/'Analisis de operaciones'!M900*$O544</f>
        <v>44.59550595</v>
      </c>
      <c r="M544" s="143">
        <f>'Analisis de operaciones'!N896/'Analisis de operaciones'!N900*$O544</f>
        <v>69.44797619</v>
      </c>
      <c r="N544" s="143">
        <f>'Resumen Capacidad'!$F$46*$B$8*$O544</f>
        <v>150</v>
      </c>
      <c r="O544" s="144">
        <f>$B$35</f>
        <v>1</v>
      </c>
    </row>
    <row r="545" ht="15.75" hidden="1" customHeight="1" outlineLevel="1">
      <c r="A545" s="142" t="s">
        <v>84</v>
      </c>
      <c r="B545" s="143">
        <f>'Analisis de operaciones'!C906/'Analisis de operaciones'!C910*$O545</f>
        <v>205.5375625</v>
      </c>
      <c r="C545" s="143">
        <f>'Analisis de operaciones'!D906/'Analisis de operaciones'!D910*$O545</f>
        <v>156.7949583</v>
      </c>
      <c r="D545" s="143">
        <f>'Analisis de operaciones'!E906/'Analisis de operaciones'!E910*$O545</f>
        <v>146.711592</v>
      </c>
      <c r="E545" s="143">
        <f>'Analisis de operaciones'!F906/'Analisis de operaciones'!F910*$O545</f>
        <v>140.3490156</v>
      </c>
      <c r="F545" s="143">
        <f>'Analisis de operaciones'!G906/'Analisis de operaciones'!G910*$O545</f>
        <v>131.3446528</v>
      </c>
      <c r="G545" s="143">
        <f>'Analisis de operaciones'!H906/'Analisis de operaciones'!H910*$O545</f>
        <v>128.7028663</v>
      </c>
      <c r="H545" s="143">
        <f>'Analisis de operaciones'!I906/'Analisis de operaciones'!I910*$O545</f>
        <v>137.7072292</v>
      </c>
      <c r="I545" s="143">
        <f>'Analisis de operaciones'!J906/'Analisis de operaciones'!J910*$O545</f>
        <v>137.7072292</v>
      </c>
      <c r="J545" s="143">
        <f>'Analisis de operaciones'!K906/'Analisis de operaciones'!K910*$O545</f>
        <v>137.7072292</v>
      </c>
      <c r="K545" s="143">
        <f>'Analisis de operaciones'!L906/'Analisis de operaciones'!L910*$O545</f>
        <v>135.0654427</v>
      </c>
      <c r="L545" s="143">
        <f>'Analisis de operaciones'!M906/'Analisis de operaciones'!M910*$O545</f>
        <v>132.4236563</v>
      </c>
      <c r="M545" s="143">
        <f>'Analisis de operaciones'!N906/'Analisis de operaciones'!N910*$O545</f>
        <v>210.8211354</v>
      </c>
      <c r="N545" s="143">
        <f>'Resumen Capacidad'!$F$47*$B$8*$O545</f>
        <v>300</v>
      </c>
      <c r="O545" s="144">
        <f>$B$36</f>
        <v>1</v>
      </c>
    </row>
    <row r="546" ht="15.75" hidden="1" customHeight="1" outlineLevel="1">
      <c r="A546" s="142" t="s">
        <v>85</v>
      </c>
      <c r="B546" s="143">
        <f>'Analisis de operaciones'!C1932/'Analisis de operaciones'!C1936*$O546</f>
        <v>49.55122507</v>
      </c>
      <c r="C546" s="143">
        <f>'Analisis de operaciones'!D1932/'Analisis de operaciones'!D1936*$O546</f>
        <v>37.1634188</v>
      </c>
      <c r="D546" s="143">
        <f>'Analisis de operaciones'!E1932/'Analisis de operaciones'!E1936*$O546</f>
        <v>33.03415005</v>
      </c>
      <c r="E546" s="143">
        <f>'Analisis de operaciones'!F1932/'Analisis de operaciones'!F1936*$O546</f>
        <v>30.96951567</v>
      </c>
      <c r="F546" s="143">
        <f>'Analisis de operaciones'!G1932/'Analisis de operaciones'!G1936*$O546</f>
        <v>28.90488129</v>
      </c>
      <c r="G546" s="143">
        <f>'Analisis de operaciones'!H1932/'Analisis de operaciones'!H1936*$O546</f>
        <v>28.90488129</v>
      </c>
      <c r="H546" s="143">
        <f>'Analisis de operaciones'!I1932/'Analisis de operaciones'!I1936*$O546</f>
        <v>30.96951567</v>
      </c>
      <c r="I546" s="143">
        <f>'Analisis de operaciones'!J1932/'Analisis de operaciones'!J1936*$O546</f>
        <v>30.96951567</v>
      </c>
      <c r="J546" s="143">
        <f>'Analisis de operaciones'!K1932/'Analisis de operaciones'!K1936*$O546</f>
        <v>30.96951567</v>
      </c>
      <c r="K546" s="143">
        <f>'Analisis de operaciones'!L1932/'Analisis de operaciones'!L1936*$O546</f>
        <v>30.96951567</v>
      </c>
      <c r="L546" s="143">
        <f>'Analisis de operaciones'!M1932/'Analisis de operaciones'!M1936*$O546</f>
        <v>30.96951567</v>
      </c>
      <c r="M546" s="143">
        <f>'Analisis de operaciones'!N1932/'Analisis de operaciones'!N1936*$O546</f>
        <v>49.55122507</v>
      </c>
      <c r="N546" s="143">
        <f>'Resumen Capacidad'!$F$48*$B$8*$O546</f>
        <v>75</v>
      </c>
      <c r="O546" s="144">
        <f>$B$37</f>
        <v>0.5</v>
      </c>
    </row>
    <row r="547" ht="15.75" hidden="1" customHeight="1" outlineLevel="1">
      <c r="A547" s="141" t="s">
        <v>472</v>
      </c>
    </row>
    <row r="548" ht="15.75" hidden="1" customHeight="1" outlineLevel="1">
      <c r="A548" s="142" t="s">
        <v>88</v>
      </c>
      <c r="B548" s="143">
        <f>'Analisis de operaciones'!C2428/'Analisis de operaciones'!C2432*$O548</f>
        <v>5.395</v>
      </c>
      <c r="C548" s="143">
        <f>'Analisis de operaciones'!D2428/'Analisis de operaciones'!D2432*$O548</f>
        <v>4.760294118</v>
      </c>
      <c r="D548" s="143">
        <f>'Analisis de operaciones'!E2428/'Analisis de operaciones'!E2432*$O548</f>
        <v>5.712352941</v>
      </c>
      <c r="E548" s="143">
        <f>'Analisis de operaciones'!F2428/'Analisis de operaciones'!F2432*$O548</f>
        <v>5.712352941</v>
      </c>
      <c r="F548" s="143">
        <f>'Analisis de operaciones'!G2428/'Analisis de operaciones'!G2432*$O548</f>
        <v>5.712352941</v>
      </c>
      <c r="G548" s="143">
        <f>'Analisis de operaciones'!H2428/'Analisis de operaciones'!H2432*$O548</f>
        <v>5.077647059</v>
      </c>
      <c r="H548" s="143">
        <f>'Analisis de operaciones'!I2428/'Analisis de operaciones'!I2432*$O548</f>
        <v>5.712352941</v>
      </c>
      <c r="I548" s="143">
        <f>'Analisis de operaciones'!J2428/'Analisis de operaciones'!J2432*$O548</f>
        <v>5.712352941</v>
      </c>
      <c r="J548" s="143">
        <f>'Analisis de operaciones'!K2428/'Analisis de operaciones'!K2432*$O548</f>
        <v>5.395</v>
      </c>
      <c r="K548" s="143">
        <f>'Analisis de operaciones'!L2428/'Analisis de operaciones'!L2432*$O548</f>
        <v>4.760294118</v>
      </c>
      <c r="L548" s="143">
        <f>'Analisis de operaciones'!M2428/'Analisis de operaciones'!M2432*$O548</f>
        <v>4.442941176</v>
      </c>
      <c r="M548" s="143">
        <f>'Analisis de operaciones'!N2428/'Analisis de operaciones'!N2432*$O548</f>
        <v>5.077647059</v>
      </c>
      <c r="O548" s="144">
        <f>$B$38</f>
        <v>1</v>
      </c>
    </row>
    <row r="549" ht="15.75" hidden="1" customHeight="1" outlineLevel="1">
      <c r="A549" s="142" t="s">
        <v>89</v>
      </c>
      <c r="B549" s="143">
        <f>'Analisis de operaciones'!C2438/'Analisis de operaciones'!C2442*$O549</f>
        <v>44.975625</v>
      </c>
      <c r="C549" s="143">
        <f>'Analisis de operaciones'!D2438/'Analisis de operaciones'!D2442*$O549</f>
        <v>39.684375</v>
      </c>
      <c r="D549" s="143">
        <f>'Analisis de operaciones'!E2438/'Analisis de operaciones'!E2442*$O549</f>
        <v>47.62125</v>
      </c>
      <c r="E549" s="143">
        <f>'Analisis de operaciones'!F2438/'Analisis de operaciones'!F2442*$O549</f>
        <v>47.62125</v>
      </c>
      <c r="F549" s="143">
        <f>'Analisis de operaciones'!G2438/'Analisis de operaciones'!G2442*$O549</f>
        <v>47.62125</v>
      </c>
      <c r="G549" s="143">
        <f>'Analisis de operaciones'!H2438/'Analisis de operaciones'!H2442*$O549</f>
        <v>42.33</v>
      </c>
      <c r="H549" s="143">
        <f>'Analisis de operaciones'!I2438/'Analisis de operaciones'!I2442*$O549</f>
        <v>47.62125</v>
      </c>
      <c r="I549" s="143">
        <f>'Analisis de operaciones'!J2438/'Analisis de operaciones'!J2442*$O549</f>
        <v>47.62125</v>
      </c>
      <c r="J549" s="143">
        <f>'Analisis de operaciones'!K2438/'Analisis de operaciones'!K2442*$O549</f>
        <v>44.975625</v>
      </c>
      <c r="K549" s="143">
        <f>'Analisis de operaciones'!L2438/'Analisis de operaciones'!L2442*$O549</f>
        <v>39.684375</v>
      </c>
      <c r="L549" s="143">
        <f>'Analisis de operaciones'!M2438/'Analisis de operaciones'!M2442*$O549</f>
        <v>37.03875</v>
      </c>
      <c r="M549" s="143">
        <f>'Analisis de operaciones'!N2438/'Analisis de operaciones'!N2442*$O549</f>
        <v>42.33</v>
      </c>
      <c r="O549" s="144">
        <f>$B$39</f>
        <v>1</v>
      </c>
    </row>
    <row r="550" ht="15.75" hidden="1" customHeight="1" outlineLevel="1">
      <c r="A550" s="142" t="s">
        <v>90</v>
      </c>
      <c r="B550" s="143">
        <f>'Analisis de operaciones'!C2448/'Analisis de operaciones'!C2452*$O550</f>
        <v>2.144166667</v>
      </c>
      <c r="C550" s="143">
        <f>'Analisis de operaciones'!D2448/'Analisis de operaciones'!D2452*$O550</f>
        <v>1.891911765</v>
      </c>
      <c r="D550" s="143">
        <f>'Analisis de operaciones'!E2448/'Analisis de operaciones'!E2452*$O550</f>
        <v>2.270294118</v>
      </c>
      <c r="E550" s="143">
        <f>'Analisis de operaciones'!F2448/'Analisis de operaciones'!F2452*$O550</f>
        <v>2.270294118</v>
      </c>
      <c r="F550" s="143">
        <f>'Analisis de operaciones'!G2448/'Analisis de operaciones'!G2452*$O550</f>
        <v>2.270294118</v>
      </c>
      <c r="G550" s="143">
        <f>'Analisis de operaciones'!H2448/'Analisis de operaciones'!H2452*$O550</f>
        <v>2.018039216</v>
      </c>
      <c r="H550" s="143">
        <f>'Analisis de operaciones'!I2448/'Analisis de operaciones'!I2452*$O550</f>
        <v>2.270294118</v>
      </c>
      <c r="I550" s="143">
        <f>'Analisis de operaciones'!J2448/'Analisis de operaciones'!J2452*$O550</f>
        <v>2.270294118</v>
      </c>
      <c r="J550" s="143">
        <f>'Analisis de operaciones'!K2448/'Analisis de operaciones'!K2452*$O550</f>
        <v>2.144166667</v>
      </c>
      <c r="K550" s="143">
        <f>'Analisis de operaciones'!L2448/'Analisis de operaciones'!L2452*$O550</f>
        <v>1.891911765</v>
      </c>
      <c r="L550" s="143">
        <f>'Analisis de operaciones'!M2448/'Analisis de operaciones'!M2452*$O550</f>
        <v>1.765784314</v>
      </c>
      <c r="M550" s="143">
        <f>'Analisis de operaciones'!N2448/'Analisis de operaciones'!N2452*$O550</f>
        <v>2.018039216</v>
      </c>
      <c r="O550" s="144">
        <f>$B$40</f>
        <v>0.5</v>
      </c>
    </row>
    <row r="551" ht="15.75" hidden="1" customHeight="1" outlineLevel="1">
      <c r="A551" s="142" t="s">
        <v>91</v>
      </c>
      <c r="B551" s="143">
        <f>'Analisis de operaciones'!C2458/'Analisis de operaciones'!C2462*$O551</f>
        <v>1.590833333</v>
      </c>
      <c r="C551" s="143">
        <f>'Analisis de operaciones'!D2458/'Analisis de operaciones'!D2462*$O551</f>
        <v>1.403676471</v>
      </c>
      <c r="D551" s="143">
        <f>'Analisis de operaciones'!E2458/'Analisis de operaciones'!E2462*$O551</f>
        <v>1.684411765</v>
      </c>
      <c r="E551" s="143">
        <f>'Analisis de operaciones'!F2458/'Analisis de operaciones'!F2462*$O551</f>
        <v>1.684411765</v>
      </c>
      <c r="F551" s="143">
        <f>'Analisis de operaciones'!G2458/'Analisis de operaciones'!G2462*$O551</f>
        <v>1.684411765</v>
      </c>
      <c r="G551" s="143">
        <f>'Analisis de operaciones'!H2458/'Analisis de operaciones'!H2462*$O551</f>
        <v>1.497254902</v>
      </c>
      <c r="H551" s="143">
        <f>'Analisis de operaciones'!I2458/'Analisis de operaciones'!I2462*$O551</f>
        <v>1.684411765</v>
      </c>
      <c r="I551" s="143">
        <f>'Analisis de operaciones'!J2458/'Analisis de operaciones'!J2462*$O551</f>
        <v>1.684411765</v>
      </c>
      <c r="J551" s="143">
        <f>'Analisis de operaciones'!K2458/'Analisis de operaciones'!K2462*$O551</f>
        <v>1.590833333</v>
      </c>
      <c r="K551" s="143">
        <f>'Analisis de operaciones'!L2458/'Analisis de operaciones'!L2462*$O551</f>
        <v>1.403676471</v>
      </c>
      <c r="L551" s="143">
        <f>'Analisis de operaciones'!M2458/'Analisis de operaciones'!M2462*$O551</f>
        <v>1.310098039</v>
      </c>
      <c r="M551" s="143">
        <f>'Analisis de operaciones'!N2458/'Analisis de operaciones'!N2462*$O551</f>
        <v>1.497254902</v>
      </c>
      <c r="O551" s="144">
        <f>$B$41</f>
        <v>0.5</v>
      </c>
    </row>
    <row r="552" ht="15.75" hidden="1" customHeight="1" outlineLevel="1">
      <c r="A552" s="142" t="s">
        <v>93</v>
      </c>
      <c r="B552" s="143">
        <f>'Analisis de operaciones'!C2468/'Analisis de operaciones'!C2472*$O552</f>
        <v>2.213333333</v>
      </c>
      <c r="C552" s="143">
        <f>'Analisis de operaciones'!D2468/'Analisis de operaciones'!D2472*$O552</f>
        <v>1.952941176</v>
      </c>
      <c r="D552" s="143">
        <f>'Analisis de operaciones'!E2468/'Analisis de operaciones'!E2472*$O552</f>
        <v>2.343529412</v>
      </c>
      <c r="E552" s="143">
        <f>'Analisis de operaciones'!F2468/'Analisis de operaciones'!F2472*$O552</f>
        <v>2.343529412</v>
      </c>
      <c r="F552" s="143">
        <f>'Analisis de operaciones'!G2468/'Analisis de operaciones'!G2472*$O552</f>
        <v>2.343529412</v>
      </c>
      <c r="G552" s="143">
        <f>'Analisis de operaciones'!H2468/'Analisis de operaciones'!H2472*$O552</f>
        <v>2.083137255</v>
      </c>
      <c r="H552" s="143">
        <f>'Analisis de operaciones'!I2468/'Analisis de operaciones'!I2472*$O552</f>
        <v>2.343529412</v>
      </c>
      <c r="I552" s="143">
        <f>'Analisis de operaciones'!J2468/'Analisis de operaciones'!J2472*$O552</f>
        <v>2.343529412</v>
      </c>
      <c r="J552" s="143">
        <f>'Analisis de operaciones'!K2468/'Analisis de operaciones'!K2472*$O552</f>
        <v>2.213333333</v>
      </c>
      <c r="K552" s="143">
        <f>'Analisis de operaciones'!L2468/'Analisis de operaciones'!L2472*$O552</f>
        <v>1.952941176</v>
      </c>
      <c r="L552" s="143">
        <f>'Analisis de operaciones'!M2468/'Analisis de operaciones'!M2472*$O552</f>
        <v>1.822745098</v>
      </c>
      <c r="M552" s="143">
        <f>'Analisis de operaciones'!N2468/'Analisis de operaciones'!N2472*$O552</f>
        <v>2.083137255</v>
      </c>
      <c r="O552" s="144">
        <f>$B$42</f>
        <v>1</v>
      </c>
    </row>
    <row r="553" ht="15.75" hidden="1" customHeight="1" outlineLevel="1">
      <c r="A553" s="142" t="s">
        <v>94</v>
      </c>
      <c r="B553" s="143">
        <f>'Analisis de operaciones'!C2478/'Analisis de operaciones'!C2482*$O553</f>
        <v>2.835833333</v>
      </c>
      <c r="C553" s="143">
        <f>'Analisis de operaciones'!D2478/'Analisis de operaciones'!D2482*$O553</f>
        <v>2.502205882</v>
      </c>
      <c r="D553" s="143">
        <f>'Analisis de operaciones'!E2478/'Analisis de operaciones'!E2482*$O553</f>
        <v>3.002647059</v>
      </c>
      <c r="E553" s="143">
        <f>'Analisis de operaciones'!F2478/'Analisis de operaciones'!F2482*$O553</f>
        <v>3.002647059</v>
      </c>
      <c r="F553" s="143">
        <f>'Analisis de operaciones'!G2478/'Analisis de operaciones'!G2482*$O553</f>
        <v>3.002647059</v>
      </c>
      <c r="G553" s="143">
        <f>'Analisis de operaciones'!H2478/'Analisis de operaciones'!H2482*$O553</f>
        <v>2.669019608</v>
      </c>
      <c r="H553" s="143">
        <f>'Analisis de operaciones'!I2478/'Analisis de operaciones'!I2482*$O553</f>
        <v>3.002647059</v>
      </c>
      <c r="I553" s="143">
        <f>'Analisis de operaciones'!J2478/'Analisis de operaciones'!J2482*$O553</f>
        <v>3.002647059</v>
      </c>
      <c r="J553" s="143">
        <f>'Analisis de operaciones'!K2478/'Analisis de operaciones'!K2482*$O553</f>
        <v>2.835833333</v>
      </c>
      <c r="K553" s="143">
        <f>'Analisis de operaciones'!L2478/'Analisis de operaciones'!L2482*$O553</f>
        <v>2.502205882</v>
      </c>
      <c r="L553" s="143">
        <f>'Analisis de operaciones'!M2478/'Analisis de operaciones'!M2482*$O553</f>
        <v>2.335392157</v>
      </c>
      <c r="M553" s="143">
        <f>'Analisis de operaciones'!N2478/'Analisis de operaciones'!N2482*$O553</f>
        <v>2.669019608</v>
      </c>
      <c r="O553" s="144">
        <f>$B$43</f>
        <v>0.5</v>
      </c>
    </row>
    <row r="554" ht="15.75" hidden="1" customHeight="1" outlineLevel="1">
      <c r="A554" s="142" t="s">
        <v>96</v>
      </c>
      <c r="B554" s="143">
        <f>'Analisis de operaciones'!C2488/'Analisis de operaciones'!C2492*$O554</f>
        <v>2.213333333</v>
      </c>
      <c r="C554" s="143">
        <f>'Analisis de operaciones'!D2488/'Analisis de operaciones'!D2492*$O554</f>
        <v>1.952941176</v>
      </c>
      <c r="D554" s="143">
        <f>'Analisis de operaciones'!E2488/'Analisis de operaciones'!E2492*$O554</f>
        <v>2.343529412</v>
      </c>
      <c r="E554" s="143">
        <f>'Analisis de operaciones'!F2488/'Analisis de operaciones'!F2492*$O554</f>
        <v>2.343529412</v>
      </c>
      <c r="F554" s="143">
        <f>'Analisis de operaciones'!G2488/'Analisis de operaciones'!G2492*$O554</f>
        <v>2.343529412</v>
      </c>
      <c r="G554" s="143">
        <f>'Analisis de operaciones'!H2488/'Analisis de operaciones'!H2492*$O554</f>
        <v>2.083137255</v>
      </c>
      <c r="H554" s="143">
        <f>'Analisis de operaciones'!I2488/'Analisis de operaciones'!I2492*$O554</f>
        <v>2.343529412</v>
      </c>
      <c r="I554" s="143">
        <f>'Analisis de operaciones'!J2488/'Analisis de operaciones'!J2492*$O554</f>
        <v>2.343529412</v>
      </c>
      <c r="J554" s="143">
        <f>'Analisis de operaciones'!K2488/'Analisis de operaciones'!K2492*$O554</f>
        <v>2.213333333</v>
      </c>
      <c r="K554" s="143">
        <f>'Analisis de operaciones'!L2488/'Analisis de operaciones'!L2492*$O554</f>
        <v>1.952941176</v>
      </c>
      <c r="L554" s="143">
        <f>'Analisis de operaciones'!M2488/'Analisis de operaciones'!M2492*$O554</f>
        <v>1.822745098</v>
      </c>
      <c r="M554" s="143">
        <f>'Analisis de operaciones'!N2488/'Analisis de operaciones'!N2492*$O554</f>
        <v>2.083137255</v>
      </c>
      <c r="O554" s="144">
        <f>$B$44</f>
        <v>1</v>
      </c>
    </row>
    <row r="555" ht="15.75" hidden="1" customHeight="1" outlineLevel="1">
      <c r="A555" s="142" t="s">
        <v>97</v>
      </c>
      <c r="B555" s="143">
        <f>'Analisis de operaciones'!C2498/'Analisis de operaciones'!C2502*$O555</f>
        <v>14.94</v>
      </c>
      <c r="C555" s="143">
        <f>'Analisis de operaciones'!D2498/'Analisis de operaciones'!D2502*$O555</f>
        <v>13.18235294</v>
      </c>
      <c r="D555" s="143">
        <f>'Analisis de operaciones'!E2498/'Analisis de operaciones'!E2502*$O555</f>
        <v>15.81882353</v>
      </c>
      <c r="E555" s="143">
        <f>'Analisis de operaciones'!F2498/'Analisis de operaciones'!F2502*$O555</f>
        <v>15.81882353</v>
      </c>
      <c r="F555" s="143">
        <f>'Analisis de operaciones'!G2498/'Analisis de operaciones'!G2502*$O555</f>
        <v>15.81882353</v>
      </c>
      <c r="G555" s="143">
        <f>'Analisis de operaciones'!H2498/'Analisis de operaciones'!H2502*$O555</f>
        <v>14.06117647</v>
      </c>
      <c r="H555" s="143">
        <f>'Analisis de operaciones'!I2498/'Analisis de operaciones'!I2502*$O555</f>
        <v>15.81882353</v>
      </c>
      <c r="I555" s="143">
        <f>'Analisis de operaciones'!J2498/'Analisis de operaciones'!J2502*$O555</f>
        <v>15.81882353</v>
      </c>
      <c r="J555" s="143">
        <f>'Analisis de operaciones'!K2498/'Analisis de operaciones'!K2502*$O555</f>
        <v>14.94</v>
      </c>
      <c r="K555" s="143">
        <f>'Analisis de operaciones'!L2498/'Analisis de operaciones'!L2502*$O555</f>
        <v>13.18235294</v>
      </c>
      <c r="L555" s="143">
        <f>'Analisis de operaciones'!M2498/'Analisis de operaciones'!M2502*$O555</f>
        <v>12.30352941</v>
      </c>
      <c r="M555" s="143">
        <f>'Analisis de operaciones'!N2498/'Analisis de operaciones'!N2502*$O555</f>
        <v>14.06117647</v>
      </c>
      <c r="O555" s="144">
        <f>$B$45</f>
        <v>1</v>
      </c>
    </row>
    <row r="556" ht="15.75" hidden="1" customHeight="1" outlineLevel="1">
      <c r="A556" s="142" t="s">
        <v>311</v>
      </c>
      <c r="B556" s="143">
        <f>'Analisis de operaciones'!C3009/'Analisis de operaciones'!C3013*$O556</f>
        <v>21.41337009</v>
      </c>
      <c r="C556" s="143">
        <f>'Analisis de operaciones'!D3009/'Analisis de operaciones'!D3013*$O556</f>
        <v>17.18674242</v>
      </c>
      <c r="D556" s="143">
        <f>'Analisis de operaciones'!E3009/'Analisis de operaciones'!E3013*$O556</f>
        <v>18.3434821</v>
      </c>
      <c r="E556" s="143">
        <f>'Analisis de operaciones'!F3009/'Analisis de operaciones'!F3013*$O556</f>
        <v>18.3434821</v>
      </c>
      <c r="F556" s="143">
        <f>'Analisis de operaciones'!G3009/'Analisis de operaciones'!G3013*$O556</f>
        <v>17.30684173</v>
      </c>
      <c r="G556" s="143">
        <f>'Analisis de operaciones'!H3009/'Analisis de operaciones'!H3013*$O556</f>
        <v>16.19013516</v>
      </c>
      <c r="H556" s="143">
        <f>'Analisis de operaciones'!I3009/'Analisis de operaciones'!I3013*$O556</f>
        <v>17.30684173</v>
      </c>
      <c r="I556" s="143">
        <f>'Analisis de operaciones'!J3009/'Analisis de operaciones'!J3013*$O556</f>
        <v>17.30684173</v>
      </c>
      <c r="J556" s="143">
        <f>'Analisis de operaciones'!K3009/'Analisis de operaciones'!K3013*$O556</f>
        <v>17.26680863</v>
      </c>
      <c r="K556" s="143">
        <f>'Analisis de operaciones'!L3009/'Analisis de operaciones'!L3013*$O556</f>
        <v>16.15010205</v>
      </c>
      <c r="L556" s="143">
        <f>'Analisis de operaciones'!M3009/'Analisis de operaciones'!M3013*$O556</f>
        <v>15.07342858</v>
      </c>
      <c r="M556" s="143">
        <f>'Analisis de operaciones'!N3009/'Analisis de operaciones'!N3013*$O556</f>
        <v>23.44661771</v>
      </c>
      <c r="O556" s="144">
        <v>1.0</v>
      </c>
    </row>
    <row r="557" ht="15.75" hidden="1" customHeight="1" outlineLevel="1">
      <c r="A557" s="141" t="s">
        <v>534</v>
      </c>
    </row>
    <row r="558" ht="15.75" hidden="1" customHeight="1" outlineLevel="1">
      <c r="A558" s="142" t="s">
        <v>26</v>
      </c>
      <c r="B558" s="143">
        <f t="shared" ref="B558:M558" si="240">MAX(0,B527*B$507-$N527)</f>
        <v>0</v>
      </c>
      <c r="C558" s="143">
        <f t="shared" si="240"/>
        <v>0</v>
      </c>
      <c r="D558" s="143">
        <f t="shared" si="240"/>
        <v>0</v>
      </c>
      <c r="E558" s="143">
        <f t="shared" si="240"/>
        <v>0</v>
      </c>
      <c r="F558" s="143">
        <f t="shared" si="240"/>
        <v>0</v>
      </c>
      <c r="G558" s="143">
        <f t="shared" si="240"/>
        <v>0</v>
      </c>
      <c r="H558" s="143">
        <f t="shared" si="240"/>
        <v>0</v>
      </c>
      <c r="I558" s="143">
        <f t="shared" si="240"/>
        <v>0</v>
      </c>
      <c r="J558" s="143">
        <f t="shared" si="240"/>
        <v>0</v>
      </c>
      <c r="K558" s="143">
        <f t="shared" si="240"/>
        <v>0</v>
      </c>
      <c r="L558" s="143">
        <f t="shared" si="240"/>
        <v>0</v>
      </c>
      <c r="M558" s="143">
        <f t="shared" si="240"/>
        <v>0</v>
      </c>
    </row>
    <row r="559" ht="15.75" hidden="1" customHeight="1" outlineLevel="1">
      <c r="A559" s="142" t="s">
        <v>55</v>
      </c>
      <c r="B559" s="143">
        <f t="shared" ref="B559:M559" si="241">MAX(0,B528*B$507-$N528)</f>
        <v>0</v>
      </c>
      <c r="C559" s="143">
        <f t="shared" si="241"/>
        <v>0</v>
      </c>
      <c r="D559" s="143">
        <f t="shared" si="241"/>
        <v>0</v>
      </c>
      <c r="E559" s="143">
        <f t="shared" si="241"/>
        <v>0</v>
      </c>
      <c r="F559" s="143">
        <f t="shared" si="241"/>
        <v>0</v>
      </c>
      <c r="G559" s="143">
        <f t="shared" si="241"/>
        <v>0</v>
      </c>
      <c r="H559" s="143">
        <f t="shared" si="241"/>
        <v>0</v>
      </c>
      <c r="I559" s="143">
        <f t="shared" si="241"/>
        <v>0</v>
      </c>
      <c r="J559" s="143">
        <f t="shared" si="241"/>
        <v>0</v>
      </c>
      <c r="K559" s="143">
        <f t="shared" si="241"/>
        <v>0</v>
      </c>
      <c r="L559" s="143">
        <f t="shared" si="241"/>
        <v>0</v>
      </c>
      <c r="M559" s="143">
        <f t="shared" si="241"/>
        <v>0</v>
      </c>
    </row>
    <row r="560" ht="15.75" hidden="1" customHeight="1" outlineLevel="1">
      <c r="A560" s="142" t="s">
        <v>61</v>
      </c>
      <c r="B560" s="143">
        <f t="shared" ref="B560:M560" si="242">MAX(0,B529*B$507-$N529)</f>
        <v>0</v>
      </c>
      <c r="C560" s="143">
        <f t="shared" si="242"/>
        <v>0</v>
      </c>
      <c r="D560" s="143">
        <f t="shared" si="242"/>
        <v>0</v>
      </c>
      <c r="E560" s="143">
        <f t="shared" si="242"/>
        <v>0</v>
      </c>
      <c r="F560" s="143">
        <f t="shared" si="242"/>
        <v>0</v>
      </c>
      <c r="G560" s="143">
        <f t="shared" si="242"/>
        <v>0</v>
      </c>
      <c r="H560" s="143">
        <f t="shared" si="242"/>
        <v>0</v>
      </c>
      <c r="I560" s="143">
        <f t="shared" si="242"/>
        <v>0</v>
      </c>
      <c r="J560" s="143">
        <f t="shared" si="242"/>
        <v>0</v>
      </c>
      <c r="K560" s="143">
        <f t="shared" si="242"/>
        <v>0</v>
      </c>
      <c r="L560" s="143">
        <f t="shared" si="242"/>
        <v>0</v>
      </c>
      <c r="M560" s="143">
        <f t="shared" si="242"/>
        <v>0</v>
      </c>
    </row>
    <row r="561" ht="15.75" hidden="1" customHeight="1" outlineLevel="1">
      <c r="A561" s="142" t="s">
        <v>62</v>
      </c>
      <c r="B561" s="143">
        <f t="shared" ref="B561:M561" si="243">MAX(0,B530*B$507-$N530)</f>
        <v>0</v>
      </c>
      <c r="C561" s="143">
        <f t="shared" si="243"/>
        <v>0</v>
      </c>
      <c r="D561" s="143">
        <f t="shared" si="243"/>
        <v>0</v>
      </c>
      <c r="E561" s="143">
        <f t="shared" si="243"/>
        <v>0</v>
      </c>
      <c r="F561" s="143">
        <f t="shared" si="243"/>
        <v>0</v>
      </c>
      <c r="G561" s="143">
        <f t="shared" si="243"/>
        <v>0</v>
      </c>
      <c r="H561" s="143">
        <f t="shared" si="243"/>
        <v>0</v>
      </c>
      <c r="I561" s="143">
        <f t="shared" si="243"/>
        <v>0</v>
      </c>
      <c r="J561" s="143">
        <f t="shared" si="243"/>
        <v>0</v>
      </c>
      <c r="K561" s="143">
        <f t="shared" si="243"/>
        <v>0</v>
      </c>
      <c r="L561" s="143">
        <f t="shared" si="243"/>
        <v>0</v>
      </c>
      <c r="M561" s="143">
        <f t="shared" si="243"/>
        <v>0</v>
      </c>
    </row>
    <row r="562" ht="15.75" hidden="1" customHeight="1" outlineLevel="1">
      <c r="A562" s="142" t="s">
        <v>63</v>
      </c>
      <c r="B562" s="143">
        <f t="shared" ref="B562:M562" si="244">MAX(0,B531*B$507-$N531)</f>
        <v>0</v>
      </c>
      <c r="C562" s="143">
        <f t="shared" si="244"/>
        <v>0</v>
      </c>
      <c r="D562" s="143">
        <f t="shared" si="244"/>
        <v>0</v>
      </c>
      <c r="E562" s="143">
        <f t="shared" si="244"/>
        <v>0</v>
      </c>
      <c r="F562" s="143">
        <f t="shared" si="244"/>
        <v>0</v>
      </c>
      <c r="G562" s="143">
        <f t="shared" si="244"/>
        <v>0</v>
      </c>
      <c r="H562" s="143">
        <f t="shared" si="244"/>
        <v>0</v>
      </c>
      <c r="I562" s="143">
        <f t="shared" si="244"/>
        <v>0</v>
      </c>
      <c r="J562" s="143">
        <f t="shared" si="244"/>
        <v>0</v>
      </c>
      <c r="K562" s="143">
        <f t="shared" si="244"/>
        <v>0</v>
      </c>
      <c r="L562" s="143">
        <f t="shared" si="244"/>
        <v>0</v>
      </c>
      <c r="M562" s="143">
        <f t="shared" si="244"/>
        <v>0</v>
      </c>
    </row>
    <row r="563" ht="15.75" hidden="1" customHeight="1" outlineLevel="1">
      <c r="A563" s="142" t="s">
        <v>64</v>
      </c>
      <c r="B563" s="143">
        <f t="shared" ref="B563:M563" si="245">MAX(0,B532*B$507-$N532)</f>
        <v>0</v>
      </c>
      <c r="C563" s="143">
        <f t="shared" si="245"/>
        <v>0</v>
      </c>
      <c r="D563" s="143">
        <f t="shared" si="245"/>
        <v>0</v>
      </c>
      <c r="E563" s="143">
        <f t="shared" si="245"/>
        <v>0</v>
      </c>
      <c r="F563" s="143">
        <f t="shared" si="245"/>
        <v>0</v>
      </c>
      <c r="G563" s="143">
        <f t="shared" si="245"/>
        <v>0</v>
      </c>
      <c r="H563" s="143">
        <f t="shared" si="245"/>
        <v>0</v>
      </c>
      <c r="I563" s="143">
        <f t="shared" si="245"/>
        <v>0</v>
      </c>
      <c r="J563" s="143">
        <f t="shared" si="245"/>
        <v>0</v>
      </c>
      <c r="K563" s="143">
        <f t="shared" si="245"/>
        <v>0</v>
      </c>
      <c r="L563" s="143">
        <f t="shared" si="245"/>
        <v>0</v>
      </c>
      <c r="M563" s="143">
        <f t="shared" si="245"/>
        <v>0</v>
      </c>
    </row>
    <row r="564" ht="15.75" hidden="1" customHeight="1" outlineLevel="1">
      <c r="A564" s="142" t="s">
        <v>66</v>
      </c>
      <c r="B564" s="143">
        <f t="shared" ref="B564:M564" si="246">MAX(0,B533*B$507-$N533)</f>
        <v>0</v>
      </c>
      <c r="C564" s="143">
        <f t="shared" si="246"/>
        <v>0</v>
      </c>
      <c r="D564" s="143">
        <f t="shared" si="246"/>
        <v>0</v>
      </c>
      <c r="E564" s="143">
        <f t="shared" si="246"/>
        <v>0</v>
      </c>
      <c r="F564" s="143">
        <f t="shared" si="246"/>
        <v>0</v>
      </c>
      <c r="G564" s="143">
        <f t="shared" si="246"/>
        <v>0</v>
      </c>
      <c r="H564" s="143">
        <f t="shared" si="246"/>
        <v>0</v>
      </c>
      <c r="I564" s="143">
        <f t="shared" si="246"/>
        <v>0</v>
      </c>
      <c r="J564" s="143">
        <f t="shared" si="246"/>
        <v>0</v>
      </c>
      <c r="K564" s="143">
        <f t="shared" si="246"/>
        <v>0</v>
      </c>
      <c r="L564" s="143">
        <f t="shared" si="246"/>
        <v>0</v>
      </c>
      <c r="M564" s="143">
        <f t="shared" si="246"/>
        <v>0</v>
      </c>
    </row>
    <row r="565" ht="15.75" hidden="1" customHeight="1" outlineLevel="1">
      <c r="A565" s="142" t="s">
        <v>67</v>
      </c>
      <c r="B565" s="143">
        <f t="shared" ref="B565:M565" si="247">MAX(0,B534*B$507-$N534)</f>
        <v>0</v>
      </c>
      <c r="C565" s="143">
        <f t="shared" si="247"/>
        <v>0</v>
      </c>
      <c r="D565" s="143">
        <f t="shared" si="247"/>
        <v>0</v>
      </c>
      <c r="E565" s="143">
        <f t="shared" si="247"/>
        <v>0</v>
      </c>
      <c r="F565" s="143">
        <f t="shared" si="247"/>
        <v>0</v>
      </c>
      <c r="G565" s="143">
        <f t="shared" si="247"/>
        <v>0</v>
      </c>
      <c r="H565" s="143">
        <f t="shared" si="247"/>
        <v>0</v>
      </c>
      <c r="I565" s="143">
        <f t="shared" si="247"/>
        <v>0</v>
      </c>
      <c r="J565" s="143">
        <f t="shared" si="247"/>
        <v>0</v>
      </c>
      <c r="K565" s="143">
        <f t="shared" si="247"/>
        <v>0</v>
      </c>
      <c r="L565" s="143">
        <f t="shared" si="247"/>
        <v>0</v>
      </c>
      <c r="M565" s="143">
        <f t="shared" si="247"/>
        <v>0</v>
      </c>
    </row>
    <row r="566" ht="15.75" hidden="1" customHeight="1" outlineLevel="1">
      <c r="A566" s="142" t="s">
        <v>68</v>
      </c>
      <c r="B566" s="143">
        <f t="shared" ref="B566:M566" si="248">MAX(0,B535*B$507-$N535)</f>
        <v>0</v>
      </c>
      <c r="C566" s="143">
        <f t="shared" si="248"/>
        <v>0</v>
      </c>
      <c r="D566" s="143">
        <f t="shared" si="248"/>
        <v>0</v>
      </c>
      <c r="E566" s="143">
        <f t="shared" si="248"/>
        <v>0</v>
      </c>
      <c r="F566" s="143">
        <f t="shared" si="248"/>
        <v>0</v>
      </c>
      <c r="G566" s="143">
        <f t="shared" si="248"/>
        <v>0</v>
      </c>
      <c r="H566" s="143">
        <f t="shared" si="248"/>
        <v>0</v>
      </c>
      <c r="I566" s="143">
        <f t="shared" si="248"/>
        <v>0</v>
      </c>
      <c r="J566" s="143">
        <f t="shared" si="248"/>
        <v>0</v>
      </c>
      <c r="K566" s="143">
        <f t="shared" si="248"/>
        <v>0</v>
      </c>
      <c r="L566" s="143">
        <f t="shared" si="248"/>
        <v>0</v>
      </c>
      <c r="M566" s="143">
        <f t="shared" si="248"/>
        <v>0</v>
      </c>
    </row>
    <row r="567" ht="15.75" hidden="1" customHeight="1" outlineLevel="1">
      <c r="A567" s="142" t="s">
        <v>70</v>
      </c>
      <c r="B567" s="143">
        <f t="shared" ref="B567:M567" si="249">MAX(0,B536*B$507-$N536)</f>
        <v>0</v>
      </c>
      <c r="C567" s="143">
        <f t="shared" si="249"/>
        <v>0</v>
      </c>
      <c r="D567" s="143">
        <f t="shared" si="249"/>
        <v>0</v>
      </c>
      <c r="E567" s="143">
        <f t="shared" si="249"/>
        <v>0</v>
      </c>
      <c r="F567" s="143">
        <f t="shared" si="249"/>
        <v>0</v>
      </c>
      <c r="G567" s="143">
        <f t="shared" si="249"/>
        <v>0</v>
      </c>
      <c r="H567" s="143">
        <f t="shared" si="249"/>
        <v>0</v>
      </c>
      <c r="I567" s="143">
        <f t="shared" si="249"/>
        <v>0</v>
      </c>
      <c r="J567" s="143">
        <f t="shared" si="249"/>
        <v>0</v>
      </c>
      <c r="K567" s="143">
        <f t="shared" si="249"/>
        <v>0</v>
      </c>
      <c r="L567" s="143">
        <f t="shared" si="249"/>
        <v>0</v>
      </c>
      <c r="M567" s="143">
        <f t="shared" si="249"/>
        <v>0</v>
      </c>
    </row>
    <row r="568" ht="15.75" hidden="1" customHeight="1" outlineLevel="1">
      <c r="A568" s="142" t="s">
        <v>72</v>
      </c>
      <c r="B568" s="143">
        <f t="shared" ref="B568:M568" si="250">MAX(0,B537*B$507-$N537)</f>
        <v>0</v>
      </c>
      <c r="C568" s="143">
        <f t="shared" si="250"/>
        <v>0</v>
      </c>
      <c r="D568" s="143">
        <f t="shared" si="250"/>
        <v>0</v>
      </c>
      <c r="E568" s="143">
        <f t="shared" si="250"/>
        <v>0</v>
      </c>
      <c r="F568" s="143">
        <f t="shared" si="250"/>
        <v>0</v>
      </c>
      <c r="G568" s="143">
        <f t="shared" si="250"/>
        <v>0</v>
      </c>
      <c r="H568" s="143">
        <f t="shared" si="250"/>
        <v>0</v>
      </c>
      <c r="I568" s="143">
        <f t="shared" si="250"/>
        <v>0</v>
      </c>
      <c r="J568" s="143">
        <f t="shared" si="250"/>
        <v>0</v>
      </c>
      <c r="K568" s="143">
        <f t="shared" si="250"/>
        <v>0</v>
      </c>
      <c r="L568" s="143">
        <f t="shared" si="250"/>
        <v>0</v>
      </c>
      <c r="M568" s="143">
        <f t="shared" si="250"/>
        <v>0</v>
      </c>
    </row>
    <row r="569" ht="15.75" hidden="1" customHeight="1" outlineLevel="1">
      <c r="A569" s="142" t="s">
        <v>74</v>
      </c>
      <c r="B569" s="143">
        <f t="shared" ref="B569:M569" si="251">MAX(0,B538*B$507-$N538)</f>
        <v>0</v>
      </c>
      <c r="C569" s="143">
        <f t="shared" si="251"/>
        <v>0</v>
      </c>
      <c r="D569" s="143">
        <f t="shared" si="251"/>
        <v>0</v>
      </c>
      <c r="E569" s="143">
        <f t="shared" si="251"/>
        <v>0</v>
      </c>
      <c r="F569" s="143">
        <f t="shared" si="251"/>
        <v>0</v>
      </c>
      <c r="G569" s="143">
        <f t="shared" si="251"/>
        <v>0</v>
      </c>
      <c r="H569" s="143">
        <f t="shared" si="251"/>
        <v>0</v>
      </c>
      <c r="I569" s="143">
        <f t="shared" si="251"/>
        <v>0</v>
      </c>
      <c r="J569" s="143">
        <f t="shared" si="251"/>
        <v>0</v>
      </c>
      <c r="K569" s="143">
        <f t="shared" si="251"/>
        <v>0</v>
      </c>
      <c r="L569" s="143">
        <f t="shared" si="251"/>
        <v>0</v>
      </c>
      <c r="M569" s="143">
        <f t="shared" si="251"/>
        <v>0</v>
      </c>
    </row>
    <row r="570" ht="15.75" hidden="1" customHeight="1" outlineLevel="1">
      <c r="A570" s="142" t="s">
        <v>76</v>
      </c>
      <c r="B570" s="143">
        <f t="shared" ref="B570:M570" si="252">MAX(0,B539*B$507-$N539)</f>
        <v>0</v>
      </c>
      <c r="C570" s="143">
        <f t="shared" si="252"/>
        <v>0</v>
      </c>
      <c r="D570" s="143">
        <f t="shared" si="252"/>
        <v>0</v>
      </c>
      <c r="E570" s="143">
        <f t="shared" si="252"/>
        <v>0</v>
      </c>
      <c r="F570" s="143">
        <f t="shared" si="252"/>
        <v>0</v>
      </c>
      <c r="G570" s="143">
        <f t="shared" si="252"/>
        <v>0</v>
      </c>
      <c r="H570" s="143">
        <f t="shared" si="252"/>
        <v>0</v>
      </c>
      <c r="I570" s="143">
        <f t="shared" si="252"/>
        <v>0</v>
      </c>
      <c r="J570" s="143">
        <f t="shared" si="252"/>
        <v>0</v>
      </c>
      <c r="K570" s="143">
        <f t="shared" si="252"/>
        <v>0</v>
      </c>
      <c r="L570" s="143">
        <f t="shared" si="252"/>
        <v>0</v>
      </c>
      <c r="M570" s="143">
        <f t="shared" si="252"/>
        <v>0</v>
      </c>
    </row>
    <row r="571" ht="15.75" hidden="1" customHeight="1" outlineLevel="1">
      <c r="A571" s="142" t="s">
        <v>77</v>
      </c>
      <c r="B571" s="143">
        <f t="shared" ref="B571:M571" si="253">MAX(0,B540*B$507-$N540)</f>
        <v>0</v>
      </c>
      <c r="C571" s="143">
        <f t="shared" si="253"/>
        <v>0</v>
      </c>
      <c r="D571" s="143">
        <f t="shared" si="253"/>
        <v>0</v>
      </c>
      <c r="E571" s="143">
        <f t="shared" si="253"/>
        <v>0</v>
      </c>
      <c r="F571" s="143">
        <f t="shared" si="253"/>
        <v>0</v>
      </c>
      <c r="G571" s="143">
        <f t="shared" si="253"/>
        <v>0</v>
      </c>
      <c r="H571" s="143">
        <f t="shared" si="253"/>
        <v>0</v>
      </c>
      <c r="I571" s="143">
        <f t="shared" si="253"/>
        <v>0</v>
      </c>
      <c r="J571" s="143">
        <f t="shared" si="253"/>
        <v>0</v>
      </c>
      <c r="K571" s="143">
        <f t="shared" si="253"/>
        <v>0</v>
      </c>
      <c r="L571" s="143">
        <f t="shared" si="253"/>
        <v>0</v>
      </c>
      <c r="M571" s="143">
        <f t="shared" si="253"/>
        <v>0</v>
      </c>
    </row>
    <row r="572" ht="15.75" hidden="1" customHeight="1" outlineLevel="1">
      <c r="A572" s="142" t="s">
        <v>79</v>
      </c>
      <c r="B572" s="143">
        <f t="shared" ref="B572:M572" si="254">MAX(0,B541*B$507-$N541)</f>
        <v>0</v>
      </c>
      <c r="C572" s="143">
        <f t="shared" si="254"/>
        <v>0</v>
      </c>
      <c r="D572" s="143">
        <f t="shared" si="254"/>
        <v>0</v>
      </c>
      <c r="E572" s="143">
        <f t="shared" si="254"/>
        <v>0</v>
      </c>
      <c r="F572" s="143">
        <f t="shared" si="254"/>
        <v>0</v>
      </c>
      <c r="G572" s="143">
        <f t="shared" si="254"/>
        <v>0</v>
      </c>
      <c r="H572" s="143">
        <f t="shared" si="254"/>
        <v>0</v>
      </c>
      <c r="I572" s="143">
        <f t="shared" si="254"/>
        <v>0</v>
      </c>
      <c r="J572" s="143">
        <f t="shared" si="254"/>
        <v>0</v>
      </c>
      <c r="K572" s="143">
        <f t="shared" si="254"/>
        <v>0</v>
      </c>
      <c r="L572" s="143">
        <f t="shared" si="254"/>
        <v>0</v>
      </c>
      <c r="M572" s="143">
        <f t="shared" si="254"/>
        <v>0</v>
      </c>
    </row>
    <row r="573" ht="15.75" hidden="1" customHeight="1" outlineLevel="1">
      <c r="A573" s="142" t="s">
        <v>81</v>
      </c>
      <c r="B573" s="143">
        <f t="shared" ref="B573:M573" si="255">MAX(0,B542*B$507-$N542)</f>
        <v>0</v>
      </c>
      <c r="C573" s="143">
        <f t="shared" si="255"/>
        <v>0</v>
      </c>
      <c r="D573" s="143">
        <f t="shared" si="255"/>
        <v>0</v>
      </c>
      <c r="E573" s="143">
        <f t="shared" si="255"/>
        <v>0</v>
      </c>
      <c r="F573" s="143">
        <f t="shared" si="255"/>
        <v>0</v>
      </c>
      <c r="G573" s="143">
        <f t="shared" si="255"/>
        <v>0</v>
      </c>
      <c r="H573" s="143">
        <f t="shared" si="255"/>
        <v>0</v>
      </c>
      <c r="I573" s="143">
        <f t="shared" si="255"/>
        <v>0</v>
      </c>
      <c r="J573" s="143">
        <f t="shared" si="255"/>
        <v>0</v>
      </c>
      <c r="K573" s="143">
        <f t="shared" si="255"/>
        <v>0</v>
      </c>
      <c r="L573" s="143">
        <f t="shared" si="255"/>
        <v>0</v>
      </c>
      <c r="M573" s="143">
        <f t="shared" si="255"/>
        <v>0</v>
      </c>
    </row>
    <row r="574" ht="15.75" hidden="1" customHeight="1" outlineLevel="1">
      <c r="A574" s="142" t="s">
        <v>82</v>
      </c>
      <c r="B574" s="143">
        <f t="shared" ref="B574:M574" si="256">MAX(0,B543*B$507-$N543)</f>
        <v>0</v>
      </c>
      <c r="C574" s="143">
        <f t="shared" si="256"/>
        <v>0</v>
      </c>
      <c r="D574" s="143">
        <f t="shared" si="256"/>
        <v>0</v>
      </c>
      <c r="E574" s="143">
        <f t="shared" si="256"/>
        <v>0</v>
      </c>
      <c r="F574" s="143">
        <f t="shared" si="256"/>
        <v>0</v>
      </c>
      <c r="G574" s="143">
        <f t="shared" si="256"/>
        <v>0</v>
      </c>
      <c r="H574" s="143">
        <f t="shared" si="256"/>
        <v>0</v>
      </c>
      <c r="I574" s="143">
        <f t="shared" si="256"/>
        <v>0</v>
      </c>
      <c r="J574" s="143">
        <f t="shared" si="256"/>
        <v>0</v>
      </c>
      <c r="K574" s="143">
        <f t="shared" si="256"/>
        <v>0</v>
      </c>
      <c r="L574" s="143">
        <f t="shared" si="256"/>
        <v>0</v>
      </c>
      <c r="M574" s="143">
        <f t="shared" si="256"/>
        <v>0</v>
      </c>
    </row>
    <row r="575" ht="15.75" hidden="1" customHeight="1" outlineLevel="1">
      <c r="A575" s="142" t="s">
        <v>83</v>
      </c>
      <c r="B575" s="143">
        <f t="shared" ref="B575:M575" si="257">MAX(0,B544*B$507-$N544)</f>
        <v>0</v>
      </c>
      <c r="C575" s="143">
        <f t="shared" si="257"/>
        <v>0</v>
      </c>
      <c r="D575" s="143">
        <f t="shared" si="257"/>
        <v>0</v>
      </c>
      <c r="E575" s="143">
        <f t="shared" si="257"/>
        <v>0</v>
      </c>
      <c r="F575" s="143">
        <f t="shared" si="257"/>
        <v>0</v>
      </c>
      <c r="G575" s="143">
        <f t="shared" si="257"/>
        <v>0</v>
      </c>
      <c r="H575" s="143">
        <f t="shared" si="257"/>
        <v>0</v>
      </c>
      <c r="I575" s="143">
        <f t="shared" si="257"/>
        <v>0</v>
      </c>
      <c r="J575" s="143">
        <f t="shared" si="257"/>
        <v>0</v>
      </c>
      <c r="K575" s="143">
        <f t="shared" si="257"/>
        <v>0</v>
      </c>
      <c r="L575" s="143">
        <f t="shared" si="257"/>
        <v>0</v>
      </c>
      <c r="M575" s="143">
        <f t="shared" si="257"/>
        <v>0</v>
      </c>
    </row>
    <row r="576" ht="15.75" hidden="1" customHeight="1" outlineLevel="1">
      <c r="A576" s="142" t="s">
        <v>84</v>
      </c>
      <c r="B576" s="143">
        <f t="shared" ref="B576:M576" si="258">MAX(0,B545*B$507-$N545)</f>
        <v>0</v>
      </c>
      <c r="C576" s="143">
        <f t="shared" si="258"/>
        <v>0</v>
      </c>
      <c r="D576" s="143">
        <f t="shared" si="258"/>
        <v>0</v>
      </c>
      <c r="E576" s="143">
        <f t="shared" si="258"/>
        <v>0</v>
      </c>
      <c r="F576" s="143">
        <f t="shared" si="258"/>
        <v>0</v>
      </c>
      <c r="G576" s="143">
        <f t="shared" si="258"/>
        <v>0</v>
      </c>
      <c r="H576" s="143">
        <f t="shared" si="258"/>
        <v>0</v>
      </c>
      <c r="I576" s="143">
        <f t="shared" si="258"/>
        <v>0</v>
      </c>
      <c r="J576" s="143">
        <f t="shared" si="258"/>
        <v>0</v>
      </c>
      <c r="K576" s="143">
        <f t="shared" si="258"/>
        <v>0</v>
      </c>
      <c r="L576" s="143">
        <f t="shared" si="258"/>
        <v>0</v>
      </c>
      <c r="M576" s="143">
        <f t="shared" si="258"/>
        <v>0</v>
      </c>
    </row>
    <row r="577" ht="15.75" hidden="1" customHeight="1" outlineLevel="1">
      <c r="A577" s="142" t="s">
        <v>85</v>
      </c>
      <c r="B577" s="143">
        <f t="shared" ref="B577:M577" si="259">MAX(0,B546*B$507-$N546)</f>
        <v>0</v>
      </c>
      <c r="C577" s="143">
        <f t="shared" si="259"/>
        <v>0</v>
      </c>
      <c r="D577" s="143">
        <f t="shared" si="259"/>
        <v>0</v>
      </c>
      <c r="E577" s="143">
        <f t="shared" si="259"/>
        <v>0</v>
      </c>
      <c r="F577" s="143">
        <f t="shared" si="259"/>
        <v>0</v>
      </c>
      <c r="G577" s="143">
        <f t="shared" si="259"/>
        <v>0</v>
      </c>
      <c r="H577" s="143">
        <f t="shared" si="259"/>
        <v>0</v>
      </c>
      <c r="I577" s="143">
        <f t="shared" si="259"/>
        <v>0</v>
      </c>
      <c r="J577" s="143">
        <f t="shared" si="259"/>
        <v>0</v>
      </c>
      <c r="K577" s="143">
        <f t="shared" si="259"/>
        <v>0</v>
      </c>
      <c r="L577" s="143">
        <f t="shared" si="259"/>
        <v>0</v>
      </c>
      <c r="M577" s="143">
        <f t="shared" si="259"/>
        <v>0</v>
      </c>
    </row>
    <row r="578" ht="15.75" customHeight="1"/>
    <row r="579" ht="15.75" customHeight="1"/>
    <row r="580" ht="15.75" customHeight="1">
      <c r="A580" s="45" t="s">
        <v>701</v>
      </c>
      <c r="B580" s="69"/>
      <c r="C580" s="69"/>
      <c r="D580" s="69"/>
      <c r="E580" s="69"/>
      <c r="F580" s="69"/>
      <c r="G580" s="69"/>
      <c r="H580" s="69"/>
      <c r="I580" s="69"/>
      <c r="J580" s="69"/>
      <c r="K580" s="69"/>
      <c r="L580" s="69"/>
      <c r="M580" s="69"/>
      <c r="N580" s="69"/>
    </row>
    <row r="581" ht="15.75" customHeight="1">
      <c r="A581" s="73" t="s">
        <v>270</v>
      </c>
      <c r="B581" s="36">
        <f>'Resumen Capacidad'!G85</f>
        <v>1</v>
      </c>
    </row>
    <row r="582" ht="15.75" customHeight="1">
      <c r="A582" s="30" t="s">
        <v>333</v>
      </c>
      <c r="B582" s="84">
        <f>IF($B$5=1,MAX(MAX(B596:L596),M595),MAX(B596:M596))</f>
        <v>2121.504003</v>
      </c>
    </row>
    <row r="583" ht="15.75" customHeight="1">
      <c r="A583" s="73" t="s">
        <v>275</v>
      </c>
      <c r="B583" s="115">
        <f>MIN('Resumen Capacidad'!G$49+'Resumen Capacidad'!G$228+'Resumen Capacidad'!G$235,MAX($B$13,ROUNDUP(B582/$B$11,0)))</f>
        <v>14</v>
      </c>
      <c r="C583" s="22" t="s">
        <v>339</v>
      </c>
    </row>
    <row r="584" ht="15.75" customHeight="1">
      <c r="A584" s="73" t="s">
        <v>284</v>
      </c>
      <c r="B584" s="115">
        <f>IF(B581=2,ROUNDUP(MAX(B602:M602)/$B$11,0),0)</f>
        <v>0</v>
      </c>
      <c r="C584" s="22" t="s">
        <v>341</v>
      </c>
    </row>
    <row r="585" ht="15.75" customHeight="1">
      <c r="A585" s="73" t="s">
        <v>280</v>
      </c>
      <c r="B585" s="115">
        <f>IF(MAX(B612:M612)=0,0,MAX(Parametros!$B$73,ROUNDUP(MAX(B612:M612)/$B$11,0)))</f>
        <v>12</v>
      </c>
      <c r="C585" s="22" t="s">
        <v>345</v>
      </c>
    </row>
    <row r="586" ht="15.75" customHeight="1">
      <c r="A586" s="73" t="s">
        <v>286</v>
      </c>
      <c r="B586" s="115">
        <f>IF(B581=2,MAX(1,ROUNDUP(MAX(B606:M606)/$B$11,0)),0)</f>
        <v>0</v>
      </c>
      <c r="C586" s="22" t="s">
        <v>347</v>
      </c>
    </row>
    <row r="587" ht="15.75" customHeight="1"/>
    <row r="588" ht="15.75" customHeight="1">
      <c r="A588" s="29" t="s">
        <v>188</v>
      </c>
      <c r="B588" s="29" t="s">
        <v>109</v>
      </c>
      <c r="C588" s="29" t="s">
        <v>110</v>
      </c>
      <c r="D588" s="29" t="s">
        <v>111</v>
      </c>
      <c r="E588" s="29" t="s">
        <v>112</v>
      </c>
      <c r="F588" s="29" t="s">
        <v>113</v>
      </c>
      <c r="G588" s="29" t="s">
        <v>114</v>
      </c>
      <c r="H588" s="29" t="s">
        <v>115</v>
      </c>
      <c r="I588" s="29" t="s">
        <v>116</v>
      </c>
      <c r="J588" s="29" t="s">
        <v>117</v>
      </c>
      <c r="K588" s="29" t="s">
        <v>118</v>
      </c>
      <c r="L588" s="29" t="s">
        <v>119</v>
      </c>
      <c r="M588" s="29" t="s">
        <v>120</v>
      </c>
      <c r="N588" s="29" t="s">
        <v>348</v>
      </c>
    </row>
    <row r="589" ht="15.75" customHeight="1">
      <c r="A589" s="30" t="s">
        <v>349</v>
      </c>
      <c r="B589" s="64">
        <f>G$74*B$53</f>
        <v>0</v>
      </c>
      <c r="C589" s="64">
        <f>G$74*C$53</f>
        <v>185.625</v>
      </c>
      <c r="D589" s="64">
        <f>G$74*D$53</f>
        <v>247.5</v>
      </c>
      <c r="E589" s="64">
        <f>G$74*E$53</f>
        <v>247.5</v>
      </c>
      <c r="F589" s="64">
        <f>G$74*F$53</f>
        <v>0</v>
      </c>
      <c r="G589" s="64">
        <f>G$74*G$53</f>
        <v>0</v>
      </c>
      <c r="H589" s="64">
        <f>G$74*H$53</f>
        <v>309.375</v>
      </c>
      <c r="I589" s="64">
        <f>G$74*I$53</f>
        <v>0</v>
      </c>
      <c r="J589" s="64">
        <f>G$74*J$53</f>
        <v>0</v>
      </c>
      <c r="K589" s="64">
        <f>G$74*K$53</f>
        <v>123.75</v>
      </c>
      <c r="L589" s="64">
        <f>G$74*L$53</f>
        <v>123.75</v>
      </c>
      <c r="M589" s="64">
        <f>G$74*M$53</f>
        <v>0</v>
      </c>
      <c r="N589" s="84">
        <f t="shared" ref="N589:N612" si="260">MAX(B589:M589)</f>
        <v>309.375</v>
      </c>
    </row>
    <row r="590" ht="15.75" customHeight="1">
      <c r="A590" s="30" t="s">
        <v>359</v>
      </c>
      <c r="B590" s="64">
        <f>G$78*B$53</f>
        <v>0</v>
      </c>
      <c r="C590" s="64">
        <f>G$78*C$53</f>
        <v>0</v>
      </c>
      <c r="D590" s="64">
        <f>G$78*D$53</f>
        <v>0</v>
      </c>
      <c r="E590" s="64">
        <f>G$78*E$53</f>
        <v>0</v>
      </c>
      <c r="F590" s="64">
        <f>G$78*F$53</f>
        <v>0</v>
      </c>
      <c r="G590" s="64">
        <f>G$78*G$53</f>
        <v>0</v>
      </c>
      <c r="H590" s="64">
        <f>G$78*H$53</f>
        <v>0</v>
      </c>
      <c r="I590" s="64">
        <f>G$78*I$53</f>
        <v>0</v>
      </c>
      <c r="J590" s="64">
        <f>G$78*J$53</f>
        <v>0</v>
      </c>
      <c r="K590" s="64">
        <f>G$78*K$53</f>
        <v>0</v>
      </c>
      <c r="L590" s="64">
        <f>G$78*L$53</f>
        <v>0</v>
      </c>
      <c r="M590" s="64">
        <f>G$78*M$53</f>
        <v>0</v>
      </c>
      <c r="N590" s="84">
        <f t="shared" si="260"/>
        <v>0</v>
      </c>
    </row>
    <row r="591" ht="15.75" customHeight="1">
      <c r="A591" s="30" t="s">
        <v>375</v>
      </c>
      <c r="B591" s="64">
        <f>G$82*B$54</f>
        <v>0</v>
      </c>
      <c r="C591" s="64">
        <f>G$82*C$54</f>
        <v>135</v>
      </c>
      <c r="D591" s="64">
        <f>G$82*D$54</f>
        <v>135</v>
      </c>
      <c r="E591" s="64">
        <f>G$82*E$54</f>
        <v>135</v>
      </c>
      <c r="F591" s="64">
        <f>G$82*F$54</f>
        <v>0</v>
      </c>
      <c r="G591" s="64">
        <f>G$82*G$54</f>
        <v>0</v>
      </c>
      <c r="H591" s="64">
        <f>G$82*H$54</f>
        <v>225</v>
      </c>
      <c r="I591" s="64">
        <f>G$82*I$54</f>
        <v>0</v>
      </c>
      <c r="J591" s="64">
        <f>G$82*J$54</f>
        <v>0</v>
      </c>
      <c r="K591" s="64">
        <f>G$82*K$54</f>
        <v>135</v>
      </c>
      <c r="L591" s="64">
        <f>G$82*L$54</f>
        <v>135</v>
      </c>
      <c r="M591" s="64">
        <f>G$82*M$54</f>
        <v>0</v>
      </c>
      <c r="N591" s="84">
        <f t="shared" si="260"/>
        <v>225</v>
      </c>
    </row>
    <row r="592" ht="15.75" customHeight="1">
      <c r="A592" s="30" t="s">
        <v>380</v>
      </c>
      <c r="B592" s="64">
        <f>G$86*B$54</f>
        <v>0</v>
      </c>
      <c r="C592" s="64">
        <f>G$86*C$54</f>
        <v>0</v>
      </c>
      <c r="D592" s="64">
        <f>G$86*D$54</f>
        <v>0</v>
      </c>
      <c r="E592" s="64">
        <f>G$86*E$54</f>
        <v>0</v>
      </c>
      <c r="F592" s="64">
        <f>G$86*F$54</f>
        <v>0</v>
      </c>
      <c r="G592" s="64">
        <f>G$86*G$54</f>
        <v>0</v>
      </c>
      <c r="H592" s="64">
        <f>G$86*H$54</f>
        <v>0</v>
      </c>
      <c r="I592" s="64">
        <f>G$86*I$54</f>
        <v>0</v>
      </c>
      <c r="J592" s="64">
        <f>G$86*J$54</f>
        <v>0</v>
      </c>
      <c r="K592" s="64">
        <f>G$86*K$54</f>
        <v>0</v>
      </c>
      <c r="L592" s="64">
        <f>G$86*L$54</f>
        <v>0</v>
      </c>
      <c r="M592" s="64">
        <f>G$86*M$54</f>
        <v>0</v>
      </c>
      <c r="N592" s="84">
        <f t="shared" si="260"/>
        <v>0</v>
      </c>
    </row>
    <row r="593" ht="15.75" customHeight="1">
      <c r="A593" s="30" t="s">
        <v>382</v>
      </c>
      <c r="B593" s="64">
        <f>'Analisis de operaciones'!C919</f>
        <v>14097.3</v>
      </c>
      <c r="C593" s="64">
        <f>'Analisis de operaciones'!D919</f>
        <v>10754.04</v>
      </c>
      <c r="D593" s="64">
        <f>'Analisis de operaciones'!E919</f>
        <v>10062.105</v>
      </c>
      <c r="E593" s="64">
        <f>'Analisis de operaciones'!F919</f>
        <v>9625.605</v>
      </c>
      <c r="F593" s="64">
        <f>'Analisis de operaciones'!G919</f>
        <v>9008.04</v>
      </c>
      <c r="G593" s="64">
        <f>'Analisis de operaciones'!H919</f>
        <v>8826.975</v>
      </c>
      <c r="H593" s="64">
        <f>'Analisis de operaciones'!I919</f>
        <v>9444.54</v>
      </c>
      <c r="I593" s="64">
        <f>'Analisis de operaciones'!J919</f>
        <v>9444.54</v>
      </c>
      <c r="J593" s="64">
        <f>'Analisis de operaciones'!K919</f>
        <v>9444.54</v>
      </c>
      <c r="K593" s="64">
        <f>'Analisis de operaciones'!L919</f>
        <v>9263.475</v>
      </c>
      <c r="L593" s="64">
        <f>'Analisis de operaciones'!M919</f>
        <v>9082.41</v>
      </c>
      <c r="M593" s="64">
        <f>'Analisis de operaciones'!N919</f>
        <v>14459.43</v>
      </c>
      <c r="N593" s="84">
        <f t="shared" si="260"/>
        <v>14459.43</v>
      </c>
    </row>
    <row r="594" ht="15.75" customHeight="1">
      <c r="A594" s="30" t="s">
        <v>383</v>
      </c>
      <c r="B594" s="64">
        <f t="shared" ref="B594:M594" si="261">SUM(B620:B639)+B649</f>
        <v>2015.239576</v>
      </c>
      <c r="C594" s="64">
        <f t="shared" si="261"/>
        <v>1548.120885</v>
      </c>
      <c r="D594" s="64">
        <f t="shared" si="261"/>
        <v>1476.05315</v>
      </c>
      <c r="E594" s="64">
        <f t="shared" si="261"/>
        <v>1421.206081</v>
      </c>
      <c r="F594" s="64">
        <f t="shared" si="261"/>
        <v>1332.473409</v>
      </c>
      <c r="G594" s="64">
        <f t="shared" si="261"/>
        <v>1296.09394</v>
      </c>
      <c r="H594" s="64">
        <f t="shared" si="261"/>
        <v>1387.320479</v>
      </c>
      <c r="I594" s="64">
        <f t="shared" si="261"/>
        <v>1387.320479</v>
      </c>
      <c r="J594" s="64">
        <f t="shared" si="261"/>
        <v>1386.073545</v>
      </c>
      <c r="K594" s="64">
        <f t="shared" si="261"/>
        <v>1349.694075</v>
      </c>
      <c r="L594" s="64">
        <f t="shared" si="261"/>
        <v>1314.56154</v>
      </c>
      <c r="M594" s="64">
        <f t="shared" si="261"/>
        <v>2081.763846</v>
      </c>
      <c r="N594" s="84">
        <f t="shared" si="260"/>
        <v>2081.763846</v>
      </c>
    </row>
    <row r="595" ht="15.75" customHeight="1">
      <c r="A595" s="30" t="s">
        <v>385</v>
      </c>
      <c r="B595" s="64">
        <f t="shared" ref="B595:M595" si="262">SUM(B641:B648)</f>
        <v>106.2644271</v>
      </c>
      <c r="C595" s="64">
        <f t="shared" si="262"/>
        <v>93.76272978</v>
      </c>
      <c r="D595" s="64">
        <f t="shared" si="262"/>
        <v>112.5152757</v>
      </c>
      <c r="E595" s="64">
        <f t="shared" si="262"/>
        <v>112.5152757</v>
      </c>
      <c r="F595" s="64">
        <f t="shared" si="262"/>
        <v>112.5152757</v>
      </c>
      <c r="G595" s="64">
        <f t="shared" si="262"/>
        <v>100.0135784</v>
      </c>
      <c r="H595" s="64">
        <f t="shared" si="262"/>
        <v>112.5152757</v>
      </c>
      <c r="I595" s="64">
        <f t="shared" si="262"/>
        <v>112.5152757</v>
      </c>
      <c r="J595" s="64">
        <f t="shared" si="262"/>
        <v>106.2644271</v>
      </c>
      <c r="K595" s="64">
        <f t="shared" si="262"/>
        <v>93.76272978</v>
      </c>
      <c r="L595" s="64">
        <f t="shared" si="262"/>
        <v>87.51188113</v>
      </c>
      <c r="M595" s="64">
        <f t="shared" si="262"/>
        <v>100.0135784</v>
      </c>
      <c r="N595" s="84">
        <f t="shared" si="260"/>
        <v>112.5152757</v>
      </c>
    </row>
    <row r="596" ht="15.75" customHeight="1">
      <c r="A596" s="73" t="s">
        <v>386</v>
      </c>
      <c r="B596" s="84">
        <f t="shared" ref="B596:M596" si="263">B594+B595</f>
        <v>2121.504003</v>
      </c>
      <c r="C596" s="84">
        <f t="shared" si="263"/>
        <v>1641.883615</v>
      </c>
      <c r="D596" s="84">
        <f t="shared" si="263"/>
        <v>1588.568426</v>
      </c>
      <c r="E596" s="84">
        <f t="shared" si="263"/>
        <v>1533.721356</v>
      </c>
      <c r="F596" s="84">
        <f t="shared" si="263"/>
        <v>1444.988685</v>
      </c>
      <c r="G596" s="84">
        <f t="shared" si="263"/>
        <v>1396.107518</v>
      </c>
      <c r="H596" s="84">
        <f t="shared" si="263"/>
        <v>1499.835754</v>
      </c>
      <c r="I596" s="84">
        <f t="shared" si="263"/>
        <v>1499.835754</v>
      </c>
      <c r="J596" s="84">
        <f t="shared" si="263"/>
        <v>1492.337972</v>
      </c>
      <c r="K596" s="84">
        <f t="shared" si="263"/>
        <v>1443.456805</v>
      </c>
      <c r="L596" s="84">
        <f t="shared" si="263"/>
        <v>1402.073421</v>
      </c>
      <c r="M596" s="84">
        <f t="shared" si="263"/>
        <v>2181.777425</v>
      </c>
      <c r="N596" s="84">
        <f t="shared" si="260"/>
        <v>2181.777425</v>
      </c>
    </row>
    <row r="597" ht="15.75" customHeight="1">
      <c r="A597" s="30" t="s">
        <v>388</v>
      </c>
      <c r="B597" s="64">
        <f t="shared" ref="B597:M597" si="264">$B$583*$B$9-B589</f>
        <v>1833.3</v>
      </c>
      <c r="C597" s="64">
        <f t="shared" si="264"/>
        <v>1647.675</v>
      </c>
      <c r="D597" s="64">
        <f t="shared" si="264"/>
        <v>1585.8</v>
      </c>
      <c r="E597" s="64">
        <f t="shared" si="264"/>
        <v>1585.8</v>
      </c>
      <c r="F597" s="64">
        <f t="shared" si="264"/>
        <v>1833.3</v>
      </c>
      <c r="G597" s="64">
        <f t="shared" si="264"/>
        <v>1833.3</v>
      </c>
      <c r="H597" s="64">
        <f t="shared" si="264"/>
        <v>1523.925</v>
      </c>
      <c r="I597" s="64">
        <f t="shared" si="264"/>
        <v>1833.3</v>
      </c>
      <c r="J597" s="64">
        <f t="shared" si="264"/>
        <v>1833.3</v>
      </c>
      <c r="K597" s="64">
        <f t="shared" si="264"/>
        <v>1709.55</v>
      </c>
      <c r="L597" s="64">
        <f t="shared" si="264"/>
        <v>1709.55</v>
      </c>
      <c r="M597" s="64">
        <f t="shared" si="264"/>
        <v>1833.3</v>
      </c>
      <c r="N597" s="84">
        <f t="shared" si="260"/>
        <v>1833.3</v>
      </c>
    </row>
    <row r="598" ht="15.75" customHeight="1">
      <c r="A598" s="30" t="s">
        <v>389</v>
      </c>
      <c r="B598" s="64">
        <f t="shared" ref="B598:M598" si="265">IF(B594=0,0,MAX(0,B597-B596)*B593/B594)</f>
        <v>0</v>
      </c>
      <c r="C598" s="64">
        <f t="shared" si="265"/>
        <v>40.22992517</v>
      </c>
      <c r="D598" s="64">
        <f t="shared" si="265"/>
        <v>0</v>
      </c>
      <c r="E598" s="64">
        <f t="shared" si="265"/>
        <v>352.7204522</v>
      </c>
      <c r="F598" s="64">
        <f t="shared" si="265"/>
        <v>2625.135955</v>
      </c>
      <c r="G598" s="64">
        <f t="shared" si="265"/>
        <v>2977.474847</v>
      </c>
      <c r="H598" s="64">
        <f t="shared" si="265"/>
        <v>163.9937178</v>
      </c>
      <c r="I598" s="64">
        <f t="shared" si="265"/>
        <v>2270.143383</v>
      </c>
      <c r="J598" s="64">
        <f t="shared" si="265"/>
        <v>2323.274637</v>
      </c>
      <c r="K598" s="64">
        <f t="shared" si="265"/>
        <v>1826.301014</v>
      </c>
      <c r="L598" s="64">
        <f t="shared" si="265"/>
        <v>2124.380088</v>
      </c>
      <c r="M598" s="64">
        <f t="shared" si="265"/>
        <v>0</v>
      </c>
      <c r="N598" s="84">
        <f t="shared" si="260"/>
        <v>2977.474847</v>
      </c>
    </row>
    <row r="599" ht="15.75" customHeight="1">
      <c r="A599" s="73" t="s">
        <v>390</v>
      </c>
      <c r="B599" s="84">
        <f t="shared" ref="B599:J599" si="266">0</f>
        <v>0</v>
      </c>
      <c r="C599" s="84">
        <f t="shared" si="266"/>
        <v>0</v>
      </c>
      <c r="D599" s="84">
        <f t="shared" si="266"/>
        <v>0</v>
      </c>
      <c r="E599" s="84">
        <f t="shared" si="266"/>
        <v>0</v>
      </c>
      <c r="F599" s="84">
        <f t="shared" si="266"/>
        <v>0</v>
      </c>
      <c r="G599" s="84">
        <f t="shared" si="266"/>
        <v>0</v>
      </c>
      <c r="H599" s="84">
        <f t="shared" si="266"/>
        <v>0</v>
      </c>
      <c r="I599" s="84">
        <f t="shared" si="266"/>
        <v>0</v>
      </c>
      <c r="J599" s="84">
        <f t="shared" si="266"/>
        <v>0</v>
      </c>
      <c r="K599" s="140">
        <f>$B$5*MIN(K598,M593)</f>
        <v>1826.301014</v>
      </c>
      <c r="L599" s="140">
        <f>$B$5*MIN(L598,M593-K599)</f>
        <v>2124.380088</v>
      </c>
      <c r="M599" s="140">
        <f>-(K599+L599)</f>
        <v>-3950.681101</v>
      </c>
      <c r="N599" s="84">
        <f t="shared" si="260"/>
        <v>2124.380088</v>
      </c>
    </row>
    <row r="600" ht="15.75" customHeight="1">
      <c r="A600" s="30" t="s">
        <v>391</v>
      </c>
      <c r="B600" s="133">
        <f t="shared" ref="B600:M600" si="267">IF(B593=0,1,(B593+B599)/B593)</f>
        <v>1</v>
      </c>
      <c r="C600" s="133">
        <f t="shared" si="267"/>
        <v>1</v>
      </c>
      <c r="D600" s="133">
        <f t="shared" si="267"/>
        <v>1</v>
      </c>
      <c r="E600" s="133">
        <f t="shared" si="267"/>
        <v>1</v>
      </c>
      <c r="F600" s="133">
        <f t="shared" si="267"/>
        <v>1</v>
      </c>
      <c r="G600" s="133">
        <f t="shared" si="267"/>
        <v>1</v>
      </c>
      <c r="H600" s="133">
        <f t="shared" si="267"/>
        <v>1</v>
      </c>
      <c r="I600" s="133">
        <f t="shared" si="267"/>
        <v>1</v>
      </c>
      <c r="J600" s="133">
        <f t="shared" si="267"/>
        <v>1</v>
      </c>
      <c r="K600" s="133">
        <f t="shared" si="267"/>
        <v>1.197150747</v>
      </c>
      <c r="L600" s="133">
        <f t="shared" si="267"/>
        <v>1.233900483</v>
      </c>
      <c r="M600" s="133">
        <f t="shared" si="267"/>
        <v>0.726774769</v>
      </c>
      <c r="N600" s="40">
        <f t="shared" si="260"/>
        <v>1.233900483</v>
      </c>
    </row>
    <row r="601" ht="15.75" customHeight="1">
      <c r="A601" s="73" t="s">
        <v>392</v>
      </c>
      <c r="B601" s="84">
        <f t="shared" ref="B601:M601" si="268">B594*B600+B595</f>
        <v>2121.504003</v>
      </c>
      <c r="C601" s="84">
        <f t="shared" si="268"/>
        <v>1641.883615</v>
      </c>
      <c r="D601" s="84">
        <f t="shared" si="268"/>
        <v>1588.568426</v>
      </c>
      <c r="E601" s="84">
        <f t="shared" si="268"/>
        <v>1533.721356</v>
      </c>
      <c r="F601" s="84">
        <f t="shared" si="268"/>
        <v>1444.988685</v>
      </c>
      <c r="G601" s="84">
        <f t="shared" si="268"/>
        <v>1396.107518</v>
      </c>
      <c r="H601" s="84">
        <f t="shared" si="268"/>
        <v>1499.835754</v>
      </c>
      <c r="I601" s="84">
        <f t="shared" si="268"/>
        <v>1499.835754</v>
      </c>
      <c r="J601" s="84">
        <f t="shared" si="268"/>
        <v>1492.337972</v>
      </c>
      <c r="K601" s="84">
        <f t="shared" si="268"/>
        <v>1709.55</v>
      </c>
      <c r="L601" s="84">
        <f t="shared" si="268"/>
        <v>1709.55</v>
      </c>
      <c r="M601" s="84">
        <f t="shared" si="268"/>
        <v>1612.987017</v>
      </c>
      <c r="N601" s="84">
        <f t="shared" si="260"/>
        <v>2121.504003</v>
      </c>
    </row>
    <row r="602" ht="15.75" customHeight="1">
      <c r="A602" s="30" t="s">
        <v>393</v>
      </c>
      <c r="B602" s="64">
        <f t="shared" ref="B602:M602" si="269">IF($B$581=2,MAX(SUM(B651:B670),B601-($B$583*$B$11-B589)),0)</f>
        <v>0</v>
      </c>
      <c r="C602" s="64">
        <f t="shared" si="269"/>
        <v>0</v>
      </c>
      <c r="D602" s="64">
        <f t="shared" si="269"/>
        <v>0</v>
      </c>
      <c r="E602" s="64">
        <f t="shared" si="269"/>
        <v>0</v>
      </c>
      <c r="F602" s="64">
        <f t="shared" si="269"/>
        <v>0</v>
      </c>
      <c r="G602" s="64">
        <f t="shared" si="269"/>
        <v>0</v>
      </c>
      <c r="H602" s="64">
        <f t="shared" si="269"/>
        <v>0</v>
      </c>
      <c r="I602" s="64">
        <f t="shared" si="269"/>
        <v>0</v>
      </c>
      <c r="J602" s="64">
        <f t="shared" si="269"/>
        <v>0</v>
      </c>
      <c r="K602" s="64">
        <f t="shared" si="269"/>
        <v>0</v>
      </c>
      <c r="L602" s="64">
        <f t="shared" si="269"/>
        <v>0</v>
      </c>
      <c r="M602" s="64">
        <f t="shared" si="269"/>
        <v>0</v>
      </c>
      <c r="N602" s="84">
        <f t="shared" si="260"/>
        <v>0</v>
      </c>
    </row>
    <row r="603" ht="15.75" customHeight="1">
      <c r="A603" s="30" t="s">
        <v>394</v>
      </c>
      <c r="B603" s="64">
        <f t="shared" ref="B603:M603" si="270">MAX(0,B597-(B601-B602))</f>
        <v>0</v>
      </c>
      <c r="C603" s="64">
        <f t="shared" si="270"/>
        <v>5.791385131</v>
      </c>
      <c r="D603" s="64">
        <f t="shared" si="270"/>
        <v>0</v>
      </c>
      <c r="E603" s="64">
        <f t="shared" si="270"/>
        <v>52.07864351</v>
      </c>
      <c r="F603" s="64">
        <f t="shared" si="270"/>
        <v>388.3113148</v>
      </c>
      <c r="G603" s="64">
        <f t="shared" si="270"/>
        <v>437.1924816</v>
      </c>
      <c r="H603" s="64">
        <f t="shared" si="270"/>
        <v>24.08924554</v>
      </c>
      <c r="I603" s="64">
        <f t="shared" si="270"/>
        <v>333.4642455</v>
      </c>
      <c r="J603" s="64">
        <f t="shared" si="270"/>
        <v>340.962028</v>
      </c>
      <c r="K603" s="64">
        <f t="shared" si="270"/>
        <v>0</v>
      </c>
      <c r="L603" s="64">
        <f t="shared" si="270"/>
        <v>0</v>
      </c>
      <c r="M603" s="64">
        <f t="shared" si="270"/>
        <v>220.3129829</v>
      </c>
      <c r="N603" s="84">
        <f t="shared" si="260"/>
        <v>437.1924816</v>
      </c>
    </row>
    <row r="604" ht="15.75" customHeight="1">
      <c r="A604" s="73" t="s">
        <v>395</v>
      </c>
      <c r="B604" s="84">
        <f>'Analisis Recargas'!C332</f>
        <v>1754.599825</v>
      </c>
      <c r="C604" s="84">
        <f>'Analisis Recargas'!D332</f>
        <v>1452.441038</v>
      </c>
      <c r="D604" s="84">
        <f>'Analisis Recargas'!E332</f>
        <v>1498.312933</v>
      </c>
      <c r="E604" s="84">
        <f>'Analisis Recargas'!F332</f>
        <v>1456.322923</v>
      </c>
      <c r="F604" s="84">
        <f>'Analisis Recargas'!G332</f>
        <v>1410.451027</v>
      </c>
      <c r="G604" s="84">
        <f>'Analisis Recargas'!H332</f>
        <v>1364.579132</v>
      </c>
      <c r="H604" s="84">
        <f>'Analisis Recargas'!I332</f>
        <v>1460.204809</v>
      </c>
      <c r="I604" s="84">
        <f>'Analisis Recargas'!J332</f>
        <v>1494.431048</v>
      </c>
      <c r="J604" s="84">
        <f>'Analisis Recargas'!K332</f>
        <v>1494.431048</v>
      </c>
      <c r="K604" s="84">
        <f>'Analisis Recargas'!L332</f>
        <v>1452.441038</v>
      </c>
      <c r="L604" s="84">
        <f>'Analisis Recargas'!M332</f>
        <v>1448.559152</v>
      </c>
      <c r="M604" s="84">
        <f>'Analisis Recargas'!N332</f>
        <v>2099.02448</v>
      </c>
      <c r="N604" s="84">
        <f t="shared" si="260"/>
        <v>2099.02448</v>
      </c>
    </row>
    <row r="605" ht="15.75" customHeight="1">
      <c r="A605" s="30" t="s">
        <v>396</v>
      </c>
      <c r="B605" s="64">
        <f>IFERROR(B604*'Analisis Recargas'!C281*'Almacen PT'!$B$10/SUM('Analisis Recargas'!C281:C297),0)</f>
        <v>276.0689758</v>
      </c>
      <c r="C605" s="64">
        <f>IFERROR(C604*'Analisis Recargas'!D281*'Almacen PT'!$B$10/SUM('Analisis Recargas'!D281:D297),0)</f>
        <v>215.2522421</v>
      </c>
      <c r="D605" s="64">
        <f>IFERROR(D604*'Analisis Recargas'!E281*'Almacen PT'!$B$10/SUM('Analisis Recargas'!E281:E297),0)</f>
        <v>215.2434141</v>
      </c>
      <c r="E605" s="64">
        <f>IFERROR(E604*'Analisis Recargas'!F281*'Almacen PT'!$B$10/SUM('Analisis Recargas'!F281:F297),0)</f>
        <v>215.28995</v>
      </c>
      <c r="F605" s="64">
        <f>IFERROR(F604*'Analisis Recargas'!G281*'Almacen PT'!$B$10/SUM('Analisis Recargas'!G281:G297),0)</f>
        <v>215.3005587</v>
      </c>
      <c r="G605" s="64">
        <f>IFERROR(G604*'Analisis Recargas'!H281*'Almacen PT'!$B$10/SUM('Analisis Recargas'!H281:H297),0)</f>
        <v>215.3118818</v>
      </c>
      <c r="H605" s="64">
        <f>IFERROR(H604*'Analisis Recargas'!I281*'Almacen PT'!$B$10/SUM('Analisis Recargas'!I281:I297),0)</f>
        <v>215.3274705</v>
      </c>
      <c r="I605" s="64">
        <f>IFERROR(I604*'Analisis Recargas'!J281*'Almacen PT'!$B$10/SUM('Analisis Recargas'!J281:J297),0)</f>
        <v>215.2066606</v>
      </c>
      <c r="J605" s="64">
        <f>IFERROR(J604*'Analisis Recargas'!K281*'Almacen PT'!$B$10/SUM('Analisis Recargas'!K281:K297),0)</f>
        <v>215.2066606</v>
      </c>
      <c r="K605" s="64">
        <f>IFERROR(K604*'Analisis Recargas'!L281*'Almacen PT'!$B$10/SUM('Analisis Recargas'!L281:L297),0)</f>
        <v>215.2522421</v>
      </c>
      <c r="L605" s="64">
        <f>IFERROR(L604*'Analisis Recargas'!M281*'Almacen PT'!$B$10/SUM('Analisis Recargas'!M281:M297),0)</f>
        <v>215.2143455</v>
      </c>
      <c r="M605" s="64">
        <f>IFERROR(M604*'Analisis Recargas'!N281*'Almacen PT'!$B$10/SUM('Analisis Recargas'!N281:N297),0)</f>
        <v>331.0217383</v>
      </c>
      <c r="N605" s="84">
        <f t="shared" si="260"/>
        <v>331.0217383</v>
      </c>
    </row>
    <row r="606" ht="15.75" customHeight="1">
      <c r="A606" s="30" t="s">
        <v>397</v>
      </c>
      <c r="B606" s="64">
        <f t="shared" ref="B606:M606" si="271">IF($B$581=2,B605*$B$15,0)</f>
        <v>0</v>
      </c>
      <c r="C606" s="64">
        <f t="shared" si="271"/>
        <v>0</v>
      </c>
      <c r="D606" s="64">
        <f t="shared" si="271"/>
        <v>0</v>
      </c>
      <c r="E606" s="64">
        <f t="shared" si="271"/>
        <v>0</v>
      </c>
      <c r="F606" s="64">
        <f t="shared" si="271"/>
        <v>0</v>
      </c>
      <c r="G606" s="64">
        <f t="shared" si="271"/>
        <v>0</v>
      </c>
      <c r="H606" s="64">
        <f t="shared" si="271"/>
        <v>0</v>
      </c>
      <c r="I606" s="64">
        <f t="shared" si="271"/>
        <v>0</v>
      </c>
      <c r="J606" s="64">
        <f t="shared" si="271"/>
        <v>0</v>
      </c>
      <c r="K606" s="64">
        <f t="shared" si="271"/>
        <v>0</v>
      </c>
      <c r="L606" s="64">
        <f t="shared" si="271"/>
        <v>0</v>
      </c>
      <c r="M606" s="64">
        <f t="shared" si="271"/>
        <v>0</v>
      </c>
      <c r="N606" s="84">
        <f t="shared" si="260"/>
        <v>0</v>
      </c>
    </row>
    <row r="607" ht="15.75" customHeight="1">
      <c r="A607" s="30" t="s">
        <v>399</v>
      </c>
      <c r="B607" s="64">
        <f t="shared" ref="B607:M607" si="272">MAX(0,B604-B606-$B$6*B603)</f>
        <v>1754.599825</v>
      </c>
      <c r="C607" s="64">
        <f t="shared" si="272"/>
        <v>1447.228791</v>
      </c>
      <c r="D607" s="64">
        <f t="shared" si="272"/>
        <v>1498.312933</v>
      </c>
      <c r="E607" s="64">
        <f t="shared" si="272"/>
        <v>1409.452144</v>
      </c>
      <c r="F607" s="64">
        <f t="shared" si="272"/>
        <v>1060.970844</v>
      </c>
      <c r="G607" s="64">
        <f t="shared" si="272"/>
        <v>971.1058982</v>
      </c>
      <c r="H607" s="64">
        <f t="shared" si="272"/>
        <v>1438.524488</v>
      </c>
      <c r="I607" s="64">
        <f t="shared" si="272"/>
        <v>1194.313227</v>
      </c>
      <c r="J607" s="64">
        <f t="shared" si="272"/>
        <v>1187.565223</v>
      </c>
      <c r="K607" s="64">
        <f t="shared" si="272"/>
        <v>1452.441038</v>
      </c>
      <c r="L607" s="64">
        <f t="shared" si="272"/>
        <v>1448.559152</v>
      </c>
      <c r="M607" s="64">
        <f t="shared" si="272"/>
        <v>1900.742796</v>
      </c>
      <c r="N607" s="84">
        <f t="shared" si="260"/>
        <v>1900.742796</v>
      </c>
    </row>
    <row r="608" ht="15.75" customHeight="1">
      <c r="A608" s="30" t="s">
        <v>400</v>
      </c>
      <c r="B608" s="64">
        <f t="shared" ref="B608:M608" si="273">MAX(0,$B$586*$B$9-B592-B606)</f>
        <v>0</v>
      </c>
      <c r="C608" s="64">
        <f t="shared" si="273"/>
        <v>0</v>
      </c>
      <c r="D608" s="64">
        <f t="shared" si="273"/>
        <v>0</v>
      </c>
      <c r="E608" s="64">
        <f t="shared" si="273"/>
        <v>0</v>
      </c>
      <c r="F608" s="64">
        <f t="shared" si="273"/>
        <v>0</v>
      </c>
      <c r="G608" s="64">
        <f t="shared" si="273"/>
        <v>0</v>
      </c>
      <c r="H608" s="64">
        <f t="shared" si="273"/>
        <v>0</v>
      </c>
      <c r="I608" s="64">
        <f t="shared" si="273"/>
        <v>0</v>
      </c>
      <c r="J608" s="64">
        <f t="shared" si="273"/>
        <v>0</v>
      </c>
      <c r="K608" s="64">
        <f t="shared" si="273"/>
        <v>0</v>
      </c>
      <c r="L608" s="64">
        <f t="shared" si="273"/>
        <v>0</v>
      </c>
      <c r="M608" s="64">
        <f t="shared" si="273"/>
        <v>0</v>
      </c>
      <c r="N608" s="84">
        <f t="shared" si="260"/>
        <v>0</v>
      </c>
    </row>
    <row r="609" ht="15.75" customHeight="1">
      <c r="A609" s="30" t="s">
        <v>401</v>
      </c>
      <c r="B609" s="64">
        <f t="shared" ref="B609:M609" si="274">MIN(B607,B608)</f>
        <v>0</v>
      </c>
      <c r="C609" s="64">
        <f t="shared" si="274"/>
        <v>0</v>
      </c>
      <c r="D609" s="64">
        <f t="shared" si="274"/>
        <v>0</v>
      </c>
      <c r="E609" s="64">
        <f t="shared" si="274"/>
        <v>0</v>
      </c>
      <c r="F609" s="64">
        <f t="shared" si="274"/>
        <v>0</v>
      </c>
      <c r="G609" s="64">
        <f t="shared" si="274"/>
        <v>0</v>
      </c>
      <c r="H609" s="64">
        <f t="shared" si="274"/>
        <v>0</v>
      </c>
      <c r="I609" s="64">
        <f t="shared" si="274"/>
        <v>0</v>
      </c>
      <c r="J609" s="64">
        <f t="shared" si="274"/>
        <v>0</v>
      </c>
      <c r="K609" s="64">
        <f t="shared" si="274"/>
        <v>0</v>
      </c>
      <c r="L609" s="64">
        <f t="shared" si="274"/>
        <v>0</v>
      </c>
      <c r="M609" s="64">
        <f t="shared" si="274"/>
        <v>0</v>
      </c>
      <c r="N609" s="84">
        <f t="shared" si="260"/>
        <v>0</v>
      </c>
    </row>
    <row r="610" ht="15.75" customHeight="1">
      <c r="A610" s="30" t="s">
        <v>403</v>
      </c>
      <c r="B610" s="64">
        <f t="shared" ref="B610:M610" si="275">MAX(0,$B$584*$B$9-B590-B602)</f>
        <v>0</v>
      </c>
      <c r="C610" s="64">
        <f t="shared" si="275"/>
        <v>0</v>
      </c>
      <c r="D610" s="64">
        <f t="shared" si="275"/>
        <v>0</v>
      </c>
      <c r="E610" s="64">
        <f t="shared" si="275"/>
        <v>0</v>
      </c>
      <c r="F610" s="64">
        <f t="shared" si="275"/>
        <v>0</v>
      </c>
      <c r="G610" s="64">
        <f t="shared" si="275"/>
        <v>0</v>
      </c>
      <c r="H610" s="64">
        <f t="shared" si="275"/>
        <v>0</v>
      </c>
      <c r="I610" s="64">
        <f t="shared" si="275"/>
        <v>0</v>
      </c>
      <c r="J610" s="64">
        <f t="shared" si="275"/>
        <v>0</v>
      </c>
      <c r="K610" s="64">
        <f t="shared" si="275"/>
        <v>0</v>
      </c>
      <c r="L610" s="64">
        <f t="shared" si="275"/>
        <v>0</v>
      </c>
      <c r="M610" s="64">
        <f t="shared" si="275"/>
        <v>0</v>
      </c>
      <c r="N610" s="84">
        <f t="shared" si="260"/>
        <v>0</v>
      </c>
    </row>
    <row r="611" ht="15.75" customHeight="1">
      <c r="A611" s="30" t="s">
        <v>404</v>
      </c>
      <c r="B611" s="64">
        <f t="shared" ref="B611:M611" si="276">MIN(B607-B609,$B$6*B610)</f>
        <v>0</v>
      </c>
      <c r="C611" s="64">
        <f t="shared" si="276"/>
        <v>0</v>
      </c>
      <c r="D611" s="64">
        <f t="shared" si="276"/>
        <v>0</v>
      </c>
      <c r="E611" s="64">
        <f t="shared" si="276"/>
        <v>0</v>
      </c>
      <c r="F611" s="64">
        <f t="shared" si="276"/>
        <v>0</v>
      </c>
      <c r="G611" s="64">
        <f t="shared" si="276"/>
        <v>0</v>
      </c>
      <c r="H611" s="64">
        <f t="shared" si="276"/>
        <v>0</v>
      </c>
      <c r="I611" s="64">
        <f t="shared" si="276"/>
        <v>0</v>
      </c>
      <c r="J611" s="64">
        <f t="shared" si="276"/>
        <v>0</v>
      </c>
      <c r="K611" s="64">
        <f t="shared" si="276"/>
        <v>0</v>
      </c>
      <c r="L611" s="64">
        <f t="shared" si="276"/>
        <v>0</v>
      </c>
      <c r="M611" s="64">
        <f t="shared" si="276"/>
        <v>0</v>
      </c>
      <c r="N611" s="84">
        <f t="shared" si="260"/>
        <v>0</v>
      </c>
    </row>
    <row r="612" ht="15.75" customHeight="1">
      <c r="A612" s="30" t="s">
        <v>405</v>
      </c>
      <c r="B612" s="64">
        <f t="shared" ref="B612:M612" si="277">B607-B609-B611</f>
        <v>1754.599825</v>
      </c>
      <c r="C612" s="64">
        <f t="shared" si="277"/>
        <v>1447.228791</v>
      </c>
      <c r="D612" s="64">
        <f t="shared" si="277"/>
        <v>1498.312933</v>
      </c>
      <c r="E612" s="64">
        <f t="shared" si="277"/>
        <v>1409.452144</v>
      </c>
      <c r="F612" s="64">
        <f t="shared" si="277"/>
        <v>1060.970844</v>
      </c>
      <c r="G612" s="64">
        <f t="shared" si="277"/>
        <v>971.1058982</v>
      </c>
      <c r="H612" s="64">
        <f t="shared" si="277"/>
        <v>1438.524488</v>
      </c>
      <c r="I612" s="64">
        <f t="shared" si="277"/>
        <v>1194.313227</v>
      </c>
      <c r="J612" s="64">
        <f t="shared" si="277"/>
        <v>1187.565223</v>
      </c>
      <c r="K612" s="64">
        <f t="shared" si="277"/>
        <v>1452.441038</v>
      </c>
      <c r="L612" s="64">
        <f t="shared" si="277"/>
        <v>1448.559152</v>
      </c>
      <c r="M612" s="64">
        <f t="shared" si="277"/>
        <v>1900.742796</v>
      </c>
      <c r="N612" s="84">
        <f t="shared" si="260"/>
        <v>1900.742796</v>
      </c>
    </row>
    <row r="613" ht="15.75" customHeight="1">
      <c r="A613" s="30" t="s">
        <v>406</v>
      </c>
      <c r="B613" s="64">
        <f t="shared" ref="B613:M613" si="278">MAX(0,B601-B602-B597)</f>
        <v>288.2040032</v>
      </c>
      <c r="C613" s="64">
        <f t="shared" si="278"/>
        <v>0</v>
      </c>
      <c r="D613" s="64">
        <f t="shared" si="278"/>
        <v>2.768425714</v>
      </c>
      <c r="E613" s="64">
        <f t="shared" si="278"/>
        <v>0</v>
      </c>
      <c r="F613" s="64">
        <f t="shared" si="278"/>
        <v>0</v>
      </c>
      <c r="G613" s="64">
        <f t="shared" si="278"/>
        <v>0</v>
      </c>
      <c r="H613" s="64">
        <f t="shared" si="278"/>
        <v>0</v>
      </c>
      <c r="I613" s="64">
        <f t="shared" si="278"/>
        <v>0</v>
      </c>
      <c r="J613" s="64">
        <f t="shared" si="278"/>
        <v>0</v>
      </c>
      <c r="K613" s="64">
        <f t="shared" si="278"/>
        <v>0</v>
      </c>
      <c r="L613" s="64">
        <f t="shared" si="278"/>
        <v>0</v>
      </c>
      <c r="M613" s="64">
        <f t="shared" si="278"/>
        <v>0</v>
      </c>
      <c r="N613" s="84">
        <f t="shared" ref="N613:N617" si="280">SUM(B613:M613)</f>
        <v>290.9724289</v>
      </c>
    </row>
    <row r="614" ht="15.75" customHeight="1">
      <c r="A614" s="30" t="s">
        <v>408</v>
      </c>
      <c r="B614" s="64">
        <f t="shared" ref="B614:M614" si="279">MAX(0,B602-($B$584*$B$9-B590))</f>
        <v>0</v>
      </c>
      <c r="C614" s="64">
        <f t="shared" si="279"/>
        <v>0</v>
      </c>
      <c r="D614" s="64">
        <f t="shared" si="279"/>
        <v>0</v>
      </c>
      <c r="E614" s="64">
        <f t="shared" si="279"/>
        <v>0</v>
      </c>
      <c r="F614" s="64">
        <f t="shared" si="279"/>
        <v>0</v>
      </c>
      <c r="G614" s="64">
        <f t="shared" si="279"/>
        <v>0</v>
      </c>
      <c r="H614" s="64">
        <f t="shared" si="279"/>
        <v>0</v>
      </c>
      <c r="I614" s="64">
        <f t="shared" si="279"/>
        <v>0</v>
      </c>
      <c r="J614" s="64">
        <f t="shared" si="279"/>
        <v>0</v>
      </c>
      <c r="K614" s="64">
        <f t="shared" si="279"/>
        <v>0</v>
      </c>
      <c r="L614" s="64">
        <f t="shared" si="279"/>
        <v>0</v>
      </c>
      <c r="M614" s="64">
        <f t="shared" si="279"/>
        <v>0</v>
      </c>
      <c r="N614" s="84">
        <f t="shared" si="280"/>
        <v>0</v>
      </c>
    </row>
    <row r="615" ht="15.75" customHeight="1">
      <c r="A615" s="30" t="s">
        <v>409</v>
      </c>
      <c r="B615" s="64">
        <f t="shared" ref="B615:M615" si="281">MAX(0,B612-($B$585*$B$9-B591))</f>
        <v>183.199825</v>
      </c>
      <c r="C615" s="64">
        <f t="shared" si="281"/>
        <v>10.82879103</v>
      </c>
      <c r="D615" s="64">
        <f t="shared" si="281"/>
        <v>61.91293342</v>
      </c>
      <c r="E615" s="64">
        <f t="shared" si="281"/>
        <v>0</v>
      </c>
      <c r="F615" s="64">
        <f t="shared" si="281"/>
        <v>0</v>
      </c>
      <c r="G615" s="64">
        <f t="shared" si="281"/>
        <v>0</v>
      </c>
      <c r="H615" s="64">
        <f t="shared" si="281"/>
        <v>92.12448788</v>
      </c>
      <c r="I615" s="64">
        <f t="shared" si="281"/>
        <v>0</v>
      </c>
      <c r="J615" s="64">
        <f t="shared" si="281"/>
        <v>0</v>
      </c>
      <c r="K615" s="64">
        <f t="shared" si="281"/>
        <v>16.04103765</v>
      </c>
      <c r="L615" s="64">
        <f t="shared" si="281"/>
        <v>12.15915204</v>
      </c>
      <c r="M615" s="64">
        <f t="shared" si="281"/>
        <v>329.3427958</v>
      </c>
      <c r="N615" s="84">
        <f t="shared" si="280"/>
        <v>705.6090228</v>
      </c>
    </row>
    <row r="616" ht="15.75" customHeight="1">
      <c r="A616" s="30" t="s">
        <v>410</v>
      </c>
      <c r="B616" s="64">
        <f t="shared" ref="B616:M616" si="282">MAX(0,B606-($B$586*$B$9-B592))</f>
        <v>0</v>
      </c>
      <c r="C616" s="64">
        <f t="shared" si="282"/>
        <v>0</v>
      </c>
      <c r="D616" s="64">
        <f t="shared" si="282"/>
        <v>0</v>
      </c>
      <c r="E616" s="64">
        <f t="shared" si="282"/>
        <v>0</v>
      </c>
      <c r="F616" s="64">
        <f t="shared" si="282"/>
        <v>0</v>
      </c>
      <c r="G616" s="64">
        <f t="shared" si="282"/>
        <v>0</v>
      </c>
      <c r="H616" s="64">
        <f t="shared" si="282"/>
        <v>0</v>
      </c>
      <c r="I616" s="64">
        <f t="shared" si="282"/>
        <v>0</v>
      </c>
      <c r="J616" s="64">
        <f t="shared" si="282"/>
        <v>0</v>
      </c>
      <c r="K616" s="64">
        <f t="shared" si="282"/>
        <v>0</v>
      </c>
      <c r="L616" s="64">
        <f t="shared" si="282"/>
        <v>0</v>
      </c>
      <c r="M616" s="64">
        <f t="shared" si="282"/>
        <v>0</v>
      </c>
      <c r="N616" s="84">
        <f t="shared" si="280"/>
        <v>0</v>
      </c>
    </row>
    <row r="617" ht="15.75" customHeight="1">
      <c r="A617" s="73" t="s">
        <v>411</v>
      </c>
      <c r="B617" s="84">
        <f t="shared" ref="B617:M617" si="283">B613+B614+B615+B616</f>
        <v>471.4038281</v>
      </c>
      <c r="C617" s="84">
        <f t="shared" si="283"/>
        <v>10.82879103</v>
      </c>
      <c r="D617" s="84">
        <f t="shared" si="283"/>
        <v>64.68135914</v>
      </c>
      <c r="E617" s="84">
        <f t="shared" si="283"/>
        <v>0</v>
      </c>
      <c r="F617" s="84">
        <f t="shared" si="283"/>
        <v>0</v>
      </c>
      <c r="G617" s="84">
        <f t="shared" si="283"/>
        <v>0</v>
      </c>
      <c r="H617" s="84">
        <f t="shared" si="283"/>
        <v>92.12448788</v>
      </c>
      <c r="I617" s="84">
        <f t="shared" si="283"/>
        <v>0</v>
      </c>
      <c r="J617" s="84">
        <f t="shared" si="283"/>
        <v>0</v>
      </c>
      <c r="K617" s="84">
        <f t="shared" si="283"/>
        <v>16.04103765</v>
      </c>
      <c r="L617" s="84">
        <f t="shared" si="283"/>
        <v>12.15915204</v>
      </c>
      <c r="M617" s="84">
        <f t="shared" si="283"/>
        <v>329.3427958</v>
      </c>
      <c r="N617" s="84">
        <f t="shared" si="280"/>
        <v>996.5814517</v>
      </c>
    </row>
    <row r="618" ht="15.75" customHeight="1">
      <c r="A618" s="30" t="s">
        <v>412</v>
      </c>
      <c r="B618" s="64">
        <f t="shared" ref="B618:M618" si="284">IFERROR(B617/($B$583+$B$585+$B$584+$B$586),0)</f>
        <v>18.13091647</v>
      </c>
      <c r="C618" s="64">
        <f t="shared" si="284"/>
        <v>0.4164919627</v>
      </c>
      <c r="D618" s="64">
        <f t="shared" si="284"/>
        <v>2.487744582</v>
      </c>
      <c r="E618" s="64">
        <f t="shared" si="284"/>
        <v>0</v>
      </c>
      <c r="F618" s="64">
        <f t="shared" si="284"/>
        <v>0</v>
      </c>
      <c r="G618" s="64">
        <f t="shared" si="284"/>
        <v>0</v>
      </c>
      <c r="H618" s="64">
        <f t="shared" si="284"/>
        <v>3.543249534</v>
      </c>
      <c r="I618" s="64">
        <f t="shared" si="284"/>
        <v>0</v>
      </c>
      <c r="J618" s="64">
        <f t="shared" si="284"/>
        <v>0</v>
      </c>
      <c r="K618" s="64">
        <f t="shared" si="284"/>
        <v>0.6169629865</v>
      </c>
      <c r="L618" s="64">
        <f t="shared" si="284"/>
        <v>0.467659694</v>
      </c>
      <c r="M618" s="64">
        <f t="shared" si="284"/>
        <v>12.66703061</v>
      </c>
      <c r="N618" s="84">
        <f>MAX(B618:M618)</f>
        <v>18.13091647</v>
      </c>
    </row>
    <row r="619" ht="15.75" customHeight="1">
      <c r="A619" s="141" t="s">
        <v>413</v>
      </c>
    </row>
    <row r="620" ht="15.75" hidden="1" customHeight="1" outlineLevel="1">
      <c r="A620" s="142" t="s">
        <v>26</v>
      </c>
      <c r="B620" s="143">
        <f>'Analisis de operaciones'!C919/'Analisis de operaciones'!C923*$O620</f>
        <v>207.3132353</v>
      </c>
      <c r="C620" s="143">
        <f>'Analisis de operaciones'!D919/'Analisis de operaciones'!D923*$O620</f>
        <v>158.1476471</v>
      </c>
      <c r="D620" s="143">
        <f>'Analisis de operaciones'!E919/'Analisis de operaciones'!E923*$O620</f>
        <v>147.9721324</v>
      </c>
      <c r="E620" s="143">
        <f>'Analisis de operaciones'!F919/'Analisis de operaciones'!F923*$O620</f>
        <v>141.5530147</v>
      </c>
      <c r="F620" s="143">
        <f>'Analisis de operaciones'!G919/'Analisis de operaciones'!G923*$O620</f>
        <v>132.4711765</v>
      </c>
      <c r="G620" s="143">
        <f>'Analisis de operaciones'!H919/'Analisis de operaciones'!H923*$O620</f>
        <v>129.8084559</v>
      </c>
      <c r="H620" s="143">
        <f>'Analisis de operaciones'!I919/'Analisis de operaciones'!I923*$O620</f>
        <v>138.8902941</v>
      </c>
      <c r="I620" s="143">
        <f>'Analisis de operaciones'!J919/'Analisis de operaciones'!J923*$O620</f>
        <v>138.8902941</v>
      </c>
      <c r="J620" s="143">
        <f>'Analisis de operaciones'!K919/'Analisis de operaciones'!K923*$O620</f>
        <v>138.8902941</v>
      </c>
      <c r="K620" s="143">
        <f>'Analisis de operaciones'!L919/'Analisis de operaciones'!L923*$O620</f>
        <v>136.2275735</v>
      </c>
      <c r="L620" s="143">
        <f>'Analisis de operaciones'!M919/'Analisis de operaciones'!M923*$O620</f>
        <v>133.5648529</v>
      </c>
      <c r="M620" s="143">
        <f>'Analisis de operaciones'!N919/'Analisis de operaciones'!N923*$O620</f>
        <v>212.6386765</v>
      </c>
      <c r="N620" s="143">
        <f>'Resumen Capacidad'!$G$29*$B$8*$O620</f>
        <v>300</v>
      </c>
      <c r="O620" s="144">
        <f>$B$18</f>
        <v>1</v>
      </c>
    </row>
    <row r="621" ht="15.75" hidden="1" customHeight="1" outlineLevel="1">
      <c r="A621" s="142" t="s">
        <v>55</v>
      </c>
      <c r="B621" s="143">
        <f>'Analisis de operaciones'!C929/'Analisis de operaciones'!C933*$O621</f>
        <v>78.15020343</v>
      </c>
      <c r="C621" s="143">
        <f>'Analisis de operaciones'!D929/'Analisis de operaciones'!D933*$O621</f>
        <v>59.61640979</v>
      </c>
      <c r="D621" s="143">
        <f>'Analisis de operaciones'!E929/'Analisis de operaciones'!E933*$O621</f>
        <v>55.78057874</v>
      </c>
      <c r="E621" s="143">
        <f>'Analisis de operaciones'!F929/'Analisis de operaciones'!F933*$O621</f>
        <v>53.36078461</v>
      </c>
      <c r="F621" s="143">
        <f>'Analisis de operaciones'!G929/'Analisis de operaciones'!G933*$O621</f>
        <v>49.93723326</v>
      </c>
      <c r="G621" s="143">
        <f>'Analisis de operaciones'!H929/'Analisis de operaciones'!H933*$O621</f>
        <v>48.93347605</v>
      </c>
      <c r="H621" s="143">
        <f>'Analisis de operaciones'!I929/'Analisis de operaciones'!I933*$O621</f>
        <v>52.35702739</v>
      </c>
      <c r="I621" s="143">
        <f>'Analisis de operaciones'!J929/'Analisis de operaciones'!J933*$O621</f>
        <v>52.35702739</v>
      </c>
      <c r="J621" s="143">
        <f>'Analisis de operaciones'!K929/'Analisis de operaciones'!K933*$O621</f>
        <v>52.35702739</v>
      </c>
      <c r="K621" s="143">
        <f>'Analisis de operaciones'!L929/'Analisis de operaciones'!L933*$O621</f>
        <v>51.35327018</v>
      </c>
      <c r="L621" s="143">
        <f>'Analisis de operaciones'!M929/'Analisis de operaciones'!M933*$O621</f>
        <v>50.34951296</v>
      </c>
      <c r="M621" s="143">
        <f>'Analisis de operaciones'!N929/'Analisis de operaciones'!N933*$O621</f>
        <v>80.15771786</v>
      </c>
      <c r="N621" s="143">
        <f>'Resumen Capacidad'!$G$30*$B$8*$O621</f>
        <v>150</v>
      </c>
      <c r="O621" s="144">
        <f>IF('Resumen Capacidad'!$G$55="Automática",$C$19,$B$19)</f>
        <v>0.5</v>
      </c>
    </row>
    <row r="622" ht="15.75" hidden="1" customHeight="1" outlineLevel="1">
      <c r="A622" s="142" t="s">
        <v>61</v>
      </c>
      <c r="B622" s="143">
        <f>'Analisis de operaciones'!C939/'Analisis de operaciones'!C943*$O622</f>
        <v>60.43707876</v>
      </c>
      <c r="C622" s="143">
        <f>'Analisis de operaciones'!D939/'Analisis de operaciones'!D943*$O622</f>
        <v>46.10405982</v>
      </c>
      <c r="D622" s="143">
        <f>'Analisis de operaciones'!E939/'Analisis de operaciones'!E943*$O622</f>
        <v>43.13763858</v>
      </c>
      <c r="E622" s="143">
        <f>'Analisis de operaciones'!F939/'Analisis de operaciones'!F943*$O622</f>
        <v>41.26630259</v>
      </c>
      <c r="F622" s="143">
        <f>'Analisis de operaciones'!G939/'Analisis de operaciones'!G943*$O622</f>
        <v>38.61871585</v>
      </c>
      <c r="G622" s="143">
        <f>'Analisis de operaciones'!H939/'Analisis de operaciones'!H943*$O622</f>
        <v>37.8424651</v>
      </c>
      <c r="H622" s="143">
        <f>'Analisis de operaciones'!I939/'Analisis de operaciones'!I943*$O622</f>
        <v>40.49005184</v>
      </c>
      <c r="I622" s="143">
        <f>'Analisis de operaciones'!J939/'Analisis de operaciones'!J943*$O622</f>
        <v>40.49005184</v>
      </c>
      <c r="J622" s="143">
        <f>'Analisis de operaciones'!K939/'Analisis de operaciones'!K943*$O622</f>
        <v>40.49005184</v>
      </c>
      <c r="K622" s="143">
        <f>'Analisis de operaciones'!L939/'Analisis de operaciones'!L943*$O622</f>
        <v>39.7138011</v>
      </c>
      <c r="L622" s="143">
        <f>'Analisis de operaciones'!M939/'Analisis de operaciones'!M943*$O622</f>
        <v>38.93755035</v>
      </c>
      <c r="M622" s="143">
        <f>'Analisis de operaciones'!N939/'Analisis de operaciones'!N943*$O622</f>
        <v>61.98958026</v>
      </c>
      <c r="N622" s="143">
        <f>'Resumen Capacidad'!$G$31*$B$8*$O622</f>
        <v>150</v>
      </c>
      <c r="O622" s="144">
        <f>$B$20</f>
        <v>1</v>
      </c>
    </row>
    <row r="623" ht="15.75" hidden="1" customHeight="1" outlineLevel="1">
      <c r="A623" s="142" t="s">
        <v>62</v>
      </c>
      <c r="B623" s="143">
        <f>'Analisis de operaciones'!C949/'Analisis de operaciones'!C953*$O623</f>
        <v>146.846875</v>
      </c>
      <c r="C623" s="143">
        <f>'Analisis de operaciones'!D949/'Analisis de operaciones'!D953*$O623</f>
        <v>112.02125</v>
      </c>
      <c r="D623" s="143">
        <f>'Analisis de operaciones'!E949/'Analisis de operaciones'!E953*$O623</f>
        <v>104.8135938</v>
      </c>
      <c r="E623" s="143">
        <f>'Analisis de operaciones'!F949/'Analisis de operaciones'!F953*$O623</f>
        <v>100.2667188</v>
      </c>
      <c r="F623" s="143">
        <f>'Analisis de operaciones'!G949/'Analisis de operaciones'!G953*$O623</f>
        <v>93.83375</v>
      </c>
      <c r="G623" s="143">
        <f>'Analisis de operaciones'!H949/'Analisis de operaciones'!H953*$O623</f>
        <v>91.94765625</v>
      </c>
      <c r="H623" s="143">
        <f>'Analisis de operaciones'!I949/'Analisis de operaciones'!I953*$O623</f>
        <v>98.380625</v>
      </c>
      <c r="I623" s="143">
        <f>'Analisis de operaciones'!J949/'Analisis de operaciones'!J953*$O623</f>
        <v>98.380625</v>
      </c>
      <c r="J623" s="143">
        <f>'Analisis de operaciones'!K949/'Analisis de operaciones'!K953*$O623</f>
        <v>98.380625</v>
      </c>
      <c r="K623" s="143">
        <f>'Analisis de operaciones'!L949/'Analisis de operaciones'!L953*$O623</f>
        <v>96.49453125</v>
      </c>
      <c r="L623" s="143">
        <f>'Analisis de operaciones'!M949/'Analisis de operaciones'!M953*$O623</f>
        <v>94.6084375</v>
      </c>
      <c r="M623" s="143">
        <f>'Analisis de operaciones'!N949/'Analisis de operaciones'!N953*$O623</f>
        <v>150.6190625</v>
      </c>
      <c r="N623" s="143">
        <f>'Resumen Capacidad'!$G$32*$B$8*$O623</f>
        <v>300</v>
      </c>
      <c r="O623" s="144">
        <f>$B$21</f>
        <v>1</v>
      </c>
    </row>
    <row r="624" ht="15.75" hidden="1" customHeight="1" outlineLevel="1">
      <c r="A624" s="142" t="s">
        <v>63</v>
      </c>
      <c r="B624" s="143">
        <f>'Analisis de operaciones'!C959/'Analisis de operaciones'!C963*$O624</f>
        <v>45.20904672</v>
      </c>
      <c r="C624" s="143">
        <f>'Analisis de operaciones'!D959/'Analisis de operaciones'!D963*$O624</f>
        <v>36.16723737</v>
      </c>
      <c r="D624" s="143">
        <f>'Analisis de operaciones'!E959/'Analisis de operaciones'!E963*$O624</f>
        <v>38.42768971</v>
      </c>
      <c r="E624" s="143">
        <f>'Analisis de operaciones'!F959/'Analisis de operaciones'!F963*$O624</f>
        <v>38.42768971</v>
      </c>
      <c r="F624" s="143">
        <f>'Analisis de operaciones'!G959/'Analisis de operaciones'!G963*$O624</f>
        <v>36.16723737</v>
      </c>
      <c r="G624" s="143">
        <f>'Analisis de operaciones'!H959/'Analisis de operaciones'!H963*$O624</f>
        <v>33.90678504</v>
      </c>
      <c r="H624" s="143">
        <f>'Analisis de operaciones'!I959/'Analisis de operaciones'!I963*$O624</f>
        <v>36.16723737</v>
      </c>
      <c r="I624" s="143">
        <f>'Analisis de operaciones'!J959/'Analisis de operaciones'!J963*$O624</f>
        <v>36.16723737</v>
      </c>
      <c r="J624" s="143">
        <f>'Analisis de operaciones'!K959/'Analisis de operaciones'!K963*$O624</f>
        <v>36.16723737</v>
      </c>
      <c r="K624" s="143">
        <f>'Analisis de operaciones'!L959/'Analisis de operaciones'!L963*$O624</f>
        <v>33.90678504</v>
      </c>
      <c r="L624" s="143">
        <f>'Analisis de operaciones'!M959/'Analisis de operaciones'!M963*$O624</f>
        <v>31.6463327</v>
      </c>
      <c r="M624" s="143">
        <f>'Analisis de operaciones'!N959/'Analisis de operaciones'!N963*$O624</f>
        <v>49.72995139</v>
      </c>
      <c r="N624" s="143">
        <f>'Resumen Capacidad'!$G$33*$B$8*$O624</f>
        <v>150</v>
      </c>
      <c r="O624" s="144">
        <f>$B$22</f>
        <v>1</v>
      </c>
    </row>
    <row r="625" ht="15.75" hidden="1" customHeight="1" outlineLevel="1">
      <c r="A625" s="142" t="s">
        <v>64</v>
      </c>
      <c r="B625" s="143">
        <f>'Analisis de operaciones'!C969/'Analisis de operaciones'!C973*$O625</f>
        <v>32.00385322</v>
      </c>
      <c r="C625" s="143">
        <f>'Analisis de operaciones'!D969/'Analisis de operaciones'!D973*$O625</f>
        <v>25.60308258</v>
      </c>
      <c r="D625" s="143">
        <f>'Analisis de operaciones'!E969/'Analisis de operaciones'!E973*$O625</f>
        <v>27.20327524</v>
      </c>
      <c r="E625" s="143">
        <f>'Analisis de operaciones'!F969/'Analisis de operaciones'!F973*$O625</f>
        <v>27.20327524</v>
      </c>
      <c r="F625" s="143">
        <f>'Analisis de operaciones'!G969/'Analisis de operaciones'!G973*$O625</f>
        <v>25.60308258</v>
      </c>
      <c r="G625" s="143">
        <f>'Analisis de operaciones'!H969/'Analisis de operaciones'!H973*$O625</f>
        <v>24.00288992</v>
      </c>
      <c r="H625" s="143">
        <f>'Analisis de operaciones'!I969/'Analisis de operaciones'!I973*$O625</f>
        <v>25.60308258</v>
      </c>
      <c r="I625" s="143">
        <f>'Analisis de operaciones'!J969/'Analisis de operaciones'!J973*$O625</f>
        <v>25.60308258</v>
      </c>
      <c r="J625" s="143">
        <f>'Analisis de operaciones'!K969/'Analisis de operaciones'!K973*$O625</f>
        <v>25.60308258</v>
      </c>
      <c r="K625" s="143">
        <f>'Analisis de operaciones'!L969/'Analisis de operaciones'!L973*$O625</f>
        <v>24.00288992</v>
      </c>
      <c r="L625" s="143">
        <f>'Analisis de operaciones'!M969/'Analisis de operaciones'!M973*$O625</f>
        <v>22.40269726</v>
      </c>
      <c r="M625" s="143">
        <f>'Analisis de operaciones'!N969/'Analisis de operaciones'!N973*$O625</f>
        <v>35.20423855</v>
      </c>
      <c r="N625" s="143">
        <f>'Resumen Capacidad'!$G$34*$B$8*$O625</f>
        <v>75</v>
      </c>
      <c r="O625" s="144">
        <f>IF('Resumen Capacidad'!$G$56="Automática",$C$23,$B$23)</f>
        <v>0.5</v>
      </c>
    </row>
    <row r="626" ht="15.75" hidden="1" customHeight="1" outlineLevel="1">
      <c r="A626" s="142" t="s">
        <v>66</v>
      </c>
      <c r="B626" s="143">
        <f>'Analisis de operaciones'!C979/'Analisis de operaciones'!C983*$O626</f>
        <v>232.4139409</v>
      </c>
      <c r="C626" s="143">
        <f>'Analisis de operaciones'!D979/'Analisis de operaciones'!D983*$O626</f>
        <v>177.2955685</v>
      </c>
      <c r="D626" s="143">
        <f>'Analisis de operaciones'!E979/'Analisis de operaciones'!E983*$O626</f>
        <v>165.8880408</v>
      </c>
      <c r="E626" s="143">
        <f>'Analisis de operaciones'!F979/'Analisis de operaciones'!F983*$O626</f>
        <v>158.6917205</v>
      </c>
      <c r="F626" s="143">
        <f>'Analisis de operaciones'!G979/'Analisis de operaciones'!G983*$O626</f>
        <v>148.5102875</v>
      </c>
      <c r="G626" s="143">
        <f>'Analisis de operaciones'!H979/'Analisis de operaciones'!H983*$O626</f>
        <v>145.5251748</v>
      </c>
      <c r="H626" s="143">
        <f>'Analisis de operaciones'!I979/'Analisis de operaciones'!I983*$O626</f>
        <v>155.7066078</v>
      </c>
      <c r="I626" s="143">
        <f>'Analisis de operaciones'!J979/'Analisis de operaciones'!J983*$O626</f>
        <v>155.7066078</v>
      </c>
      <c r="J626" s="143">
        <f>'Analisis de operaciones'!K979/'Analisis de operaciones'!K983*$O626</f>
        <v>155.7066078</v>
      </c>
      <c r="K626" s="143">
        <f>'Analisis de operaciones'!L979/'Analisis de operaciones'!L983*$O626</f>
        <v>152.721495</v>
      </c>
      <c r="L626" s="143">
        <f>'Analisis de operaciones'!M979/'Analisis de operaciones'!M983*$O626</f>
        <v>149.7363822</v>
      </c>
      <c r="M626" s="143">
        <f>'Analisis de operaciones'!N979/'Analisis de operaciones'!N983*$O626</f>
        <v>238.3841664</v>
      </c>
      <c r="N626" s="143">
        <f>'Resumen Capacidad'!$G$35*$B$8*$O626</f>
        <v>300</v>
      </c>
      <c r="O626" s="144">
        <f>$B$24</f>
        <v>1</v>
      </c>
    </row>
    <row r="627" ht="15.75" hidden="1" customHeight="1" outlineLevel="1">
      <c r="A627" s="142" t="s">
        <v>67</v>
      </c>
      <c r="B627" s="143">
        <f>'Analisis de operaciones'!C989/'Analisis de operaciones'!C993*$O627</f>
        <v>75.21568627</v>
      </c>
      <c r="C627" s="143">
        <f>'Analisis de operaciones'!D989/'Analisis de operaciones'!D993*$O627</f>
        <v>57.37783113</v>
      </c>
      <c r="D627" s="143">
        <f>'Analisis de operaciones'!E989/'Analisis de operaciones'!E993*$O627</f>
        <v>53.68603441</v>
      </c>
      <c r="E627" s="143">
        <f>'Analisis de operaciones'!F989/'Analisis de operaciones'!F993*$O627</f>
        <v>51.35710284</v>
      </c>
      <c r="F627" s="143">
        <f>'Analisis de operaciones'!G989/'Analisis de operaciones'!G993*$O627</f>
        <v>48.06210484</v>
      </c>
      <c r="G627" s="143">
        <f>'Analisis de operaciones'!H989/'Analisis de operaciones'!H993*$O627</f>
        <v>47.09603842</v>
      </c>
      <c r="H627" s="143">
        <f>'Analisis de operaciones'!I989/'Analisis de operaciones'!I993*$O627</f>
        <v>50.39103641</v>
      </c>
      <c r="I627" s="143">
        <f>'Analisis de operaciones'!J989/'Analisis de operaciones'!J993*$O627</f>
        <v>50.39103641</v>
      </c>
      <c r="J627" s="143">
        <f>'Analisis de operaciones'!K989/'Analisis de operaciones'!K993*$O627</f>
        <v>50.39103641</v>
      </c>
      <c r="K627" s="143">
        <f>'Analisis de operaciones'!L989/'Analisis de operaciones'!L993*$O627</f>
        <v>49.42496999</v>
      </c>
      <c r="L627" s="143">
        <f>'Analisis de operaciones'!M989/'Analisis de operaciones'!M993*$O627</f>
        <v>48.45890356</v>
      </c>
      <c r="M627" s="143">
        <f>'Analisis de operaciones'!N989/'Analisis de operaciones'!N993*$O627</f>
        <v>77.14781913</v>
      </c>
      <c r="N627" s="143">
        <f>'Resumen Capacidad'!$G$36*$B$8*$O627</f>
        <v>150</v>
      </c>
      <c r="O627" s="144">
        <f>$B$25</f>
        <v>1</v>
      </c>
    </row>
    <row r="628" ht="15.75" hidden="1" customHeight="1" outlineLevel="1">
      <c r="A628" s="142" t="s">
        <v>68</v>
      </c>
      <c r="B628" s="143">
        <f>'Analisis de operaciones'!C999/'Analisis de operaciones'!C1003*$O628</f>
        <v>110.7442496</v>
      </c>
      <c r="C628" s="143">
        <f>'Analisis de operaciones'!D999/'Analisis de operaciones'!D1003*$O628</f>
        <v>84.48058069</v>
      </c>
      <c r="D628" s="143">
        <f>'Analisis de operaciones'!E999/'Analisis de operaciones'!E1003*$O628</f>
        <v>79.0449425</v>
      </c>
      <c r="E628" s="143">
        <f>'Analisis de operaciones'!F999/'Analisis de operaciones'!F1003*$O628</f>
        <v>75.61592666</v>
      </c>
      <c r="F628" s="143">
        <f>'Analisis de operaciones'!G999/'Analisis de operaciones'!G1003*$O628</f>
        <v>70.76451735</v>
      </c>
      <c r="G628" s="143">
        <f>'Analisis de operaciones'!H999/'Analisis de operaciones'!H1003*$O628</f>
        <v>69.34212387</v>
      </c>
      <c r="H628" s="143">
        <f>'Analisis de operaciones'!I999/'Analisis de operaciones'!I1003*$O628</f>
        <v>74.19353318</v>
      </c>
      <c r="I628" s="143">
        <f>'Analisis de operaciones'!J999/'Analisis de operaciones'!J1003*$O628</f>
        <v>74.19353318</v>
      </c>
      <c r="J628" s="143">
        <f>'Analisis de operaciones'!K999/'Analisis de operaciones'!K1003*$O628</f>
        <v>74.19353318</v>
      </c>
      <c r="K628" s="143">
        <f>'Analisis de operaciones'!L999/'Analisis de operaciones'!L1003*$O628</f>
        <v>72.77113971</v>
      </c>
      <c r="L628" s="143">
        <f>'Analisis de operaciones'!M999/'Analisis de operaciones'!M1003*$O628</f>
        <v>71.34874623</v>
      </c>
      <c r="M628" s="143">
        <f>'Analisis de operaciones'!N999/'Analisis de operaciones'!N1003*$O628</f>
        <v>113.5890366</v>
      </c>
      <c r="N628" s="143">
        <f>'Resumen Capacidad'!$G$37*$B$8*$O628</f>
        <v>150</v>
      </c>
      <c r="O628" s="144">
        <f>IF('Resumen Capacidad'!$G$57="Automática",$C$26,$B$26)</f>
        <v>0.5</v>
      </c>
    </row>
    <row r="629" ht="15.75" hidden="1" customHeight="1" outlineLevel="1">
      <c r="A629" s="142" t="s">
        <v>70</v>
      </c>
      <c r="B629" s="143">
        <f>'Analisis de operaciones'!C1009/'Analisis de operaciones'!C1013*$O629</f>
        <v>81.34487932</v>
      </c>
      <c r="C629" s="143">
        <f>'Analisis de operaciones'!D1009/'Analisis de operaciones'!D1013*$O629</f>
        <v>62.05344896</v>
      </c>
      <c r="D629" s="143">
        <f>'Analisis de operaciones'!E1009/'Analisis de operaciones'!E1013*$O629</f>
        <v>58.06081426</v>
      </c>
      <c r="E629" s="143">
        <f>'Analisis de operaciones'!F1009/'Analisis de operaciones'!F1013*$O629</f>
        <v>55.54210218</v>
      </c>
      <c r="F629" s="143">
        <f>'Analisis de operaciones'!G1009/'Analisis de operaciones'!G1013*$O629</f>
        <v>51.97860063</v>
      </c>
      <c r="G629" s="143">
        <f>'Analisis de operaciones'!H1009/'Analisis de operaciones'!H1013*$O629</f>
        <v>50.93381116</v>
      </c>
      <c r="H629" s="143">
        <f>'Analisis de operaciones'!I1009/'Analisis de operaciones'!I1013*$O629</f>
        <v>54.49731271</v>
      </c>
      <c r="I629" s="143">
        <f>'Analisis de operaciones'!J1009/'Analisis de operaciones'!J1013*$O629</f>
        <v>54.49731271</v>
      </c>
      <c r="J629" s="143">
        <f>'Analisis de operaciones'!K1009/'Analisis de operaciones'!K1013*$O629</f>
        <v>54.49731271</v>
      </c>
      <c r="K629" s="143">
        <f>'Analisis de operaciones'!L1009/'Analisis de operaciones'!L1013*$O629</f>
        <v>53.45252325</v>
      </c>
      <c r="L629" s="143">
        <f>'Analisis de operaciones'!M1009/'Analisis de operaciones'!M1013*$O629</f>
        <v>52.40773378</v>
      </c>
      <c r="M629" s="143">
        <f>'Analisis de operaciones'!N1009/'Analisis de operaciones'!N1013*$O629</f>
        <v>83.43445826</v>
      </c>
      <c r="N629" s="143">
        <f>'Resumen Capacidad'!$G$38*$B$8*$O629</f>
        <v>150</v>
      </c>
      <c r="O629" s="144">
        <f>IF('Resumen Capacidad'!$G$58="Automática",$C$27,$B$27)</f>
        <v>0.5</v>
      </c>
    </row>
    <row r="630" ht="15.75" hidden="1" customHeight="1" outlineLevel="1">
      <c r="A630" s="142" t="s">
        <v>72</v>
      </c>
      <c r="B630" s="143">
        <f>'Analisis de operaciones'!C1019/'Analisis de operaciones'!C1023*$O630</f>
        <v>25.44377451</v>
      </c>
      <c r="C630" s="143">
        <f>'Analisis de operaciones'!D1019/'Analisis de operaciones'!D1023*$O630</f>
        <v>20.35501961</v>
      </c>
      <c r="D630" s="143">
        <f>'Analisis de operaciones'!E1019/'Analisis de operaciones'!E1023*$O630</f>
        <v>21.62720833</v>
      </c>
      <c r="E630" s="143">
        <f>'Analisis de operaciones'!F1019/'Analisis de operaciones'!F1023*$O630</f>
        <v>21.62720833</v>
      </c>
      <c r="F630" s="143">
        <f>'Analisis de operaciones'!G1019/'Analisis de operaciones'!G1023*$O630</f>
        <v>20.35501961</v>
      </c>
      <c r="G630" s="143">
        <f>'Analisis de operaciones'!H1019/'Analisis de operaciones'!H1023*$O630</f>
        <v>19.08283088</v>
      </c>
      <c r="H630" s="143">
        <f>'Analisis de operaciones'!I1019/'Analisis de operaciones'!I1023*$O630</f>
        <v>20.35501961</v>
      </c>
      <c r="I630" s="143">
        <f>'Analisis de operaciones'!J1019/'Analisis de operaciones'!J1023*$O630</f>
        <v>20.35501961</v>
      </c>
      <c r="J630" s="143">
        <f>'Analisis de operaciones'!K1019/'Analisis de operaciones'!K1023*$O630</f>
        <v>20.35501961</v>
      </c>
      <c r="K630" s="143">
        <f>'Analisis de operaciones'!L1019/'Analisis de operaciones'!L1023*$O630</f>
        <v>19.08283088</v>
      </c>
      <c r="L630" s="143">
        <f>'Analisis de operaciones'!M1019/'Analisis de operaciones'!M1023*$O630</f>
        <v>17.81064216</v>
      </c>
      <c r="M630" s="143">
        <f>'Analisis de operaciones'!N1019/'Analisis de operaciones'!N1023*$O630</f>
        <v>27.98815196</v>
      </c>
      <c r="N630" s="143">
        <f>'Resumen Capacidad'!$G$39*$B$8*$O630</f>
        <v>75</v>
      </c>
      <c r="O630" s="144">
        <f>$B$28</f>
        <v>0.5</v>
      </c>
    </row>
    <row r="631" ht="15.75" hidden="1" customHeight="1" outlineLevel="1">
      <c r="A631" s="142" t="s">
        <v>74</v>
      </c>
      <c r="B631" s="143">
        <f>'Analisis de operaciones'!C1029/'Analisis de operaciones'!C1033*$O631</f>
        <v>73.4234375</v>
      </c>
      <c r="C631" s="143">
        <f>'Analisis de operaciones'!D1029/'Analisis de operaciones'!D1033*$O631</f>
        <v>56.010625</v>
      </c>
      <c r="D631" s="143">
        <f>'Analisis de operaciones'!E1029/'Analisis de operaciones'!E1033*$O631</f>
        <v>52.40679688</v>
      </c>
      <c r="E631" s="143">
        <f>'Analisis de operaciones'!F1029/'Analisis de operaciones'!F1033*$O631</f>
        <v>50.13335938</v>
      </c>
      <c r="F631" s="143">
        <f>'Analisis de operaciones'!G1029/'Analisis de operaciones'!G1033*$O631</f>
        <v>46.916875</v>
      </c>
      <c r="G631" s="143">
        <f>'Analisis de operaciones'!H1029/'Analisis de operaciones'!H1033*$O631</f>
        <v>45.97382813</v>
      </c>
      <c r="H631" s="143">
        <f>'Analisis de operaciones'!I1029/'Analisis de operaciones'!I1033*$O631</f>
        <v>49.1903125</v>
      </c>
      <c r="I631" s="143">
        <f>'Analisis de operaciones'!J1029/'Analisis de operaciones'!J1033*$O631</f>
        <v>49.1903125</v>
      </c>
      <c r="J631" s="143">
        <f>'Analisis de operaciones'!K1029/'Analisis de operaciones'!K1033*$O631</f>
        <v>49.1903125</v>
      </c>
      <c r="K631" s="143">
        <f>'Analisis de operaciones'!L1029/'Analisis de operaciones'!L1033*$O631</f>
        <v>48.24726563</v>
      </c>
      <c r="L631" s="143">
        <f>'Analisis de operaciones'!M1029/'Analisis de operaciones'!M1033*$O631</f>
        <v>47.30421875</v>
      </c>
      <c r="M631" s="143">
        <f>'Analisis de operaciones'!N1029/'Analisis de operaciones'!N1033*$O631</f>
        <v>75.30953125</v>
      </c>
      <c r="N631" s="143">
        <f>'Resumen Capacidad'!$G$40*$B$8*$O631</f>
        <v>150</v>
      </c>
      <c r="O631" s="144">
        <f>$B$29</f>
        <v>1</v>
      </c>
    </row>
    <row r="632" ht="15.75" hidden="1" customHeight="1" outlineLevel="1">
      <c r="A632" s="142" t="s">
        <v>76</v>
      </c>
      <c r="B632" s="143">
        <f>'Analisis de operaciones'!C1944/'Analisis de operaciones'!C1948*$O632</f>
        <v>34.36416667</v>
      </c>
      <c r="C632" s="143">
        <f>'Analisis de operaciones'!D1944/'Analisis de operaciones'!D1948*$O632</f>
        <v>26.2144966</v>
      </c>
      <c r="D632" s="143">
        <f>'Analisis de operaciones'!E1944/'Analisis de operaciones'!E1948*$O632</f>
        <v>24.52780697</v>
      </c>
      <c r="E632" s="143">
        <f>'Analisis de operaciones'!F1944/'Analisis de operaciones'!F1948*$O632</f>
        <v>23.46377636</v>
      </c>
      <c r="F632" s="143">
        <f>'Analisis de operaciones'!G1944/'Analisis de operaciones'!G1948*$O632</f>
        <v>21.95837415</v>
      </c>
      <c r="G632" s="143">
        <f>'Analisis de operaciones'!H1944/'Analisis de operaciones'!H1948*$O632</f>
        <v>21.51700255</v>
      </c>
      <c r="H632" s="143">
        <f>'Analisis de operaciones'!I1944/'Analisis de operaciones'!I1948*$O632</f>
        <v>23.02240476</v>
      </c>
      <c r="I632" s="143">
        <f>'Analisis de operaciones'!J1944/'Analisis de operaciones'!J1948*$O632</f>
        <v>23.02240476</v>
      </c>
      <c r="J632" s="143">
        <f>'Analisis de operaciones'!K1944/'Analisis de operaciones'!K1948*$O632</f>
        <v>23.02240476</v>
      </c>
      <c r="K632" s="143">
        <f>'Analisis de operaciones'!L1944/'Analisis de operaciones'!L1948*$O632</f>
        <v>22.58103316</v>
      </c>
      <c r="L632" s="143">
        <f>'Analisis de operaciones'!M1944/'Analisis de operaciones'!M1948*$O632</f>
        <v>22.13966156</v>
      </c>
      <c r="M632" s="143">
        <f>'Analisis de operaciones'!N1944/'Analisis de operaciones'!N1948*$O632</f>
        <v>35.24690986</v>
      </c>
      <c r="N632" s="143">
        <f>'Resumen Capacidad'!$G$41*$B$8*$O632</f>
        <v>150</v>
      </c>
      <c r="O632" s="144">
        <f>$B$30</f>
        <v>1</v>
      </c>
    </row>
    <row r="633" ht="15.75" hidden="1" customHeight="1" outlineLevel="1">
      <c r="A633" s="142" t="s">
        <v>77</v>
      </c>
      <c r="B633" s="143">
        <f>IF('Resumen Capacidad'!$G$42=0,0,'Analisis de operaciones'!C1039/'Analisis de operaciones'!C1043*$O633)</f>
        <v>51.81964912</v>
      </c>
      <c r="C633" s="143">
        <f>IF('Resumen Capacidad'!$G$42=0,0,'Analisis de operaciones'!D1039/'Analisis de operaciones'!D1043*$O633)</f>
        <v>39.53030576</v>
      </c>
      <c r="D633" s="143">
        <f>IF('Resumen Capacidad'!$G$42=0,0,'Analisis de operaciones'!E1039/'Analisis de operaciones'!E1043*$O633)</f>
        <v>36.98685213</v>
      </c>
      <c r="E633" s="143">
        <f>IF('Resumen Capacidad'!$G$42=0,0,'Analisis de operaciones'!F1039/'Analisis de operaciones'!F1043*$O633)</f>
        <v>35.38234085</v>
      </c>
      <c r="F633" s="143">
        <f>IF('Resumen Capacidad'!$G$42=0,0,'Analisis de operaciones'!G1039/'Analisis de operaciones'!G1043*$O633)</f>
        <v>33.11226065</v>
      </c>
      <c r="G633" s="143">
        <f>IF('Resumen Capacidad'!$G$42=0,0,'Analisis de operaciones'!H1039/'Analisis de operaciones'!H1043*$O633)</f>
        <v>32.44669173</v>
      </c>
      <c r="H633" s="143">
        <f>IF('Resumen Capacidad'!$G$42=0,0,'Analisis de operaciones'!I1039/'Analisis de operaciones'!I1043*$O633)</f>
        <v>34.71677193</v>
      </c>
      <c r="I633" s="143">
        <f>IF('Resumen Capacidad'!$G$42=0,0,'Analisis de operaciones'!J1039/'Analisis de operaciones'!J1043*$O633)</f>
        <v>34.71677193</v>
      </c>
      <c r="J633" s="143">
        <f>IF('Resumen Capacidad'!$G$42=0,0,'Analisis de operaciones'!K1039/'Analisis de operaciones'!K1043*$O633)</f>
        <v>34.71677193</v>
      </c>
      <c r="K633" s="143">
        <f>IF('Resumen Capacidad'!$G$42=0,0,'Analisis de operaciones'!L1039/'Analisis de operaciones'!L1043*$O633)</f>
        <v>34.05120301</v>
      </c>
      <c r="L633" s="143">
        <f>IF('Resumen Capacidad'!$G$42=0,0,'Analisis de operaciones'!M1039/'Analisis de operaciones'!M1043*$O633)</f>
        <v>33.38563409</v>
      </c>
      <c r="M633" s="143">
        <f>IF('Resumen Capacidad'!$G$42=0,0,'Analisis de operaciones'!N1039/'Analisis de operaciones'!N1043*$O633)</f>
        <v>53.15078697</v>
      </c>
      <c r="N633" s="143">
        <f>'Resumen Capacidad'!$G$42*$B$8*$O633</f>
        <v>75</v>
      </c>
      <c r="O633" s="144">
        <f>$B$31</f>
        <v>0.5</v>
      </c>
    </row>
    <row r="634" ht="15.75" hidden="1" customHeight="1" outlineLevel="1">
      <c r="A634" s="142" t="s">
        <v>79</v>
      </c>
      <c r="B634" s="143">
        <f>'Analisis de operaciones'!C1049/'Analisis de operaciones'!C1053*$O634</f>
        <v>32.83843513</v>
      </c>
      <c r="C634" s="143">
        <f>'Analisis de operaciones'!D1049/'Analisis de operaciones'!D1053*$O634</f>
        <v>25.64139441</v>
      </c>
      <c r="D634" s="143">
        <f>'Analisis de operaciones'!E1049/'Analisis de operaciones'!E1053*$O634</f>
        <v>25.4385535</v>
      </c>
      <c r="E634" s="143">
        <f>'Analisis de operaciones'!F1049/'Analisis de operaciones'!F1053*$O634</f>
        <v>24.79141809</v>
      </c>
      <c r="F634" s="143">
        <f>'Analisis de operaciones'!G1049/'Analisis de operaciones'!G1053*$O634</f>
        <v>23.36830019</v>
      </c>
      <c r="G634" s="143">
        <f>'Analisis de operaciones'!H1049/'Analisis de operaciones'!H1053*$O634</f>
        <v>22.38201941</v>
      </c>
      <c r="H634" s="143">
        <f>'Analisis de operaciones'!I1049/'Analisis de operaciones'!I1053*$O634</f>
        <v>24.01543561</v>
      </c>
      <c r="I634" s="143">
        <f>'Analisis de operaciones'!J1049/'Analisis de operaciones'!J1053*$O634</f>
        <v>24.01543561</v>
      </c>
      <c r="J634" s="143">
        <f>'Analisis de operaciones'!K1049/'Analisis de operaciones'!K1053*$O634</f>
        <v>23.91028646</v>
      </c>
      <c r="K634" s="143">
        <f>'Analisis de operaciones'!L1049/'Analisis de operaciones'!L1053*$O634</f>
        <v>22.92400568</v>
      </c>
      <c r="L634" s="143">
        <f>'Analisis de operaciones'!M1049/'Analisis de operaciones'!M1053*$O634</f>
        <v>22.04287405</v>
      </c>
      <c r="M634" s="143">
        <f>'Analisis de operaciones'!N1049/'Analisis de operaciones'!N1053*$O634</f>
        <v>34.28525095</v>
      </c>
      <c r="N634" s="143">
        <f>'Resumen Capacidad'!$G$43*$B$8*$O634</f>
        <v>75</v>
      </c>
      <c r="O634" s="144">
        <f>$B$32</f>
        <v>0.5</v>
      </c>
    </row>
    <row r="635" ht="15.75" hidden="1" customHeight="1" outlineLevel="1">
      <c r="A635" s="142" t="s">
        <v>81</v>
      </c>
      <c r="B635" s="143">
        <f>'Analisis de operaciones'!C1059/'Analisis de operaciones'!C1063*$O635</f>
        <v>157.2670635</v>
      </c>
      <c r="C635" s="143">
        <f>'Analisis de operaciones'!D1059/'Analisis de operaciones'!D1063*$O635</f>
        <v>122.7996032</v>
      </c>
      <c r="D635" s="143">
        <f>'Analisis de operaciones'!E1059/'Analisis de operaciones'!E1063*$O635</f>
        <v>121.8281746</v>
      </c>
      <c r="E635" s="143">
        <f>'Analisis de operaciones'!F1059/'Analisis de operaciones'!F1063*$O635</f>
        <v>118.7289683</v>
      </c>
      <c r="F635" s="143">
        <f>'Analisis de operaciones'!G1059/'Analisis de operaciones'!G1063*$O635</f>
        <v>111.9134921</v>
      </c>
      <c r="G635" s="143">
        <f>'Analisis de operaciones'!H1059/'Analisis de operaciones'!H1063*$O635</f>
        <v>107.1900794</v>
      </c>
      <c r="H635" s="143">
        <f>'Analisis de operaciones'!I1059/'Analisis de operaciones'!I1063*$O635</f>
        <v>115.0126984</v>
      </c>
      <c r="I635" s="143">
        <f>'Analisis de operaciones'!J1059/'Analisis de operaciones'!J1063*$O635</f>
        <v>115.0126984</v>
      </c>
      <c r="J635" s="143">
        <f>'Analisis de operaciones'!K1059/'Analisis de operaciones'!K1063*$O635</f>
        <v>114.509127</v>
      </c>
      <c r="K635" s="143">
        <f>'Analisis de operaciones'!L1059/'Analisis de operaciones'!L1063*$O635</f>
        <v>109.7857143</v>
      </c>
      <c r="L635" s="143">
        <f>'Analisis de operaciones'!M1059/'Analisis de operaciones'!M1063*$O635</f>
        <v>105.565873</v>
      </c>
      <c r="M635" s="143">
        <f>'Analisis de operaciones'!N1059/'Analisis de operaciones'!N1063*$O635</f>
        <v>164.1960317</v>
      </c>
      <c r="N635" s="143">
        <f>'Resumen Capacidad'!$G$44*$B$8*$O635</f>
        <v>300</v>
      </c>
      <c r="O635" s="144">
        <f>$B$33</f>
        <v>1</v>
      </c>
    </row>
    <row r="636" ht="15.75" hidden="1" customHeight="1" outlineLevel="1">
      <c r="A636" s="142" t="s">
        <v>82</v>
      </c>
      <c r="B636" s="143">
        <f>'Analisis de operaciones'!C1069/'Analisis de operaciones'!C1073*$O636</f>
        <v>95.40868519</v>
      </c>
      <c r="C636" s="143">
        <f>'Analisis de operaciones'!D1069/'Analisis de operaciones'!D1073*$O636</f>
        <v>74.49842593</v>
      </c>
      <c r="D636" s="143">
        <f>'Analisis de operaciones'!E1069/'Analisis de operaciones'!E1073*$O636</f>
        <v>73.90909259</v>
      </c>
      <c r="E636" s="143">
        <f>'Analisis de operaciones'!F1069/'Analisis de operaciones'!F1073*$O636</f>
        <v>72.02890741</v>
      </c>
      <c r="F636" s="143">
        <f>'Analisis de operaciones'!G1069/'Analisis de operaciones'!G1073*$O636</f>
        <v>67.89418519</v>
      </c>
      <c r="G636" s="143">
        <f>'Analisis de operaciones'!H1069/'Analisis de operaciones'!H1073*$O636</f>
        <v>65.02864815</v>
      </c>
      <c r="H636" s="143">
        <f>'Analisis de operaciones'!I1069/'Analisis de operaciones'!I1073*$O636</f>
        <v>69.77437037</v>
      </c>
      <c r="I636" s="143">
        <f>'Analisis de operaciones'!J1069/'Analisis de operaciones'!J1073*$O636</f>
        <v>69.77437037</v>
      </c>
      <c r="J636" s="143">
        <f>'Analisis de operaciones'!K1069/'Analisis de operaciones'!K1073*$O636</f>
        <v>69.46887037</v>
      </c>
      <c r="K636" s="143">
        <f>'Analisis de operaciones'!L1069/'Analisis de operaciones'!L1073*$O636</f>
        <v>66.60333333</v>
      </c>
      <c r="L636" s="143">
        <f>'Analisis de operaciones'!M1069/'Analisis de operaciones'!M1073*$O636</f>
        <v>64.0432963</v>
      </c>
      <c r="M636" s="143">
        <f>'Analisis de operaciones'!N1069/'Analisis de operaciones'!N1073*$O636</f>
        <v>99.61225926</v>
      </c>
      <c r="N636" s="143">
        <f>'Resumen Capacidad'!$G$45*$B$8*$O636</f>
        <v>150</v>
      </c>
      <c r="O636" s="144">
        <f>$B$34</f>
        <v>1</v>
      </c>
    </row>
    <row r="637" ht="15.75" hidden="1" customHeight="1" outlineLevel="1">
      <c r="A637" s="142" t="s">
        <v>83</v>
      </c>
      <c r="B637" s="143">
        <f>'Analisis de operaciones'!C1079/'Analisis de operaciones'!C1083*$O637</f>
        <v>86.49688492</v>
      </c>
      <c r="C637" s="143">
        <f>'Analisis de operaciones'!D1079/'Analisis de operaciones'!D1083*$O637</f>
        <v>67.53978175</v>
      </c>
      <c r="D637" s="143">
        <f>'Analisis de operaciones'!E1079/'Analisis de operaciones'!E1083*$O637</f>
        <v>67.00549603</v>
      </c>
      <c r="E637" s="143">
        <f>'Analisis de operaciones'!F1079/'Analisis de operaciones'!F1083*$O637</f>
        <v>65.30093254</v>
      </c>
      <c r="F637" s="143">
        <f>'Analisis de operaciones'!G1079/'Analisis de operaciones'!G1083*$O637</f>
        <v>61.55242063</v>
      </c>
      <c r="G637" s="143">
        <f>'Analisis de operaciones'!H1079/'Analisis de operaciones'!H1083*$O637</f>
        <v>58.95454365</v>
      </c>
      <c r="H637" s="143">
        <f>'Analisis de operaciones'!I1079/'Analisis de operaciones'!I1083*$O637</f>
        <v>63.25698413</v>
      </c>
      <c r="I637" s="143">
        <f>'Analisis de operaciones'!J1079/'Analisis de operaciones'!J1083*$O637</f>
        <v>63.25698413</v>
      </c>
      <c r="J637" s="143">
        <f>'Analisis de operaciones'!K1079/'Analisis de operaciones'!K1083*$O637</f>
        <v>62.98001984</v>
      </c>
      <c r="K637" s="143">
        <f>'Analisis de operaciones'!L1079/'Analisis de operaciones'!L1083*$O637</f>
        <v>60.38214286</v>
      </c>
      <c r="L637" s="143">
        <f>'Analisis de operaciones'!M1079/'Analisis de operaciones'!M1083*$O637</f>
        <v>58.06123016</v>
      </c>
      <c r="M637" s="143">
        <f>'Analisis de operaciones'!N1079/'Analisis de operaciones'!N1083*$O637</f>
        <v>90.30781746</v>
      </c>
      <c r="N637" s="143">
        <f>'Resumen Capacidad'!$G$46*$B$8*$O637</f>
        <v>150</v>
      </c>
      <c r="O637" s="144">
        <f>$B$35</f>
        <v>1</v>
      </c>
    </row>
    <row r="638" ht="15.75" hidden="1" customHeight="1" outlineLevel="1">
      <c r="A638" s="142" t="s">
        <v>84</v>
      </c>
      <c r="B638" s="143">
        <f>'Analisis de operaciones'!C1089/'Analisis de operaciones'!C1093*$O638</f>
        <v>288.7988542</v>
      </c>
      <c r="C638" s="143">
        <f>'Analisis de operaciones'!D1089/'Analisis de operaciones'!D1093*$O638</f>
        <v>220.3084583</v>
      </c>
      <c r="D638" s="143">
        <f>'Analisis de operaciones'!E1089/'Analisis de operaciones'!E1093*$O638</f>
        <v>206.133401</v>
      </c>
      <c r="E638" s="143">
        <f>'Analisis de operaciones'!F1089/'Analisis de operaciones'!F1093*$O638</f>
        <v>197.1912135</v>
      </c>
      <c r="F638" s="143">
        <f>'Analisis de operaciones'!G1089/'Analisis de operaciones'!G1093*$O638</f>
        <v>184.5397083</v>
      </c>
      <c r="G638" s="143">
        <f>'Analisis de operaciones'!H1089/'Analisis de operaciones'!H1093*$O638</f>
        <v>180.8303906</v>
      </c>
      <c r="H638" s="143">
        <f>'Analisis de operaciones'!I1089/'Analisis de operaciones'!I1093*$O638</f>
        <v>193.4818958</v>
      </c>
      <c r="I638" s="143">
        <f>'Analisis de operaciones'!J1089/'Analisis de operaciones'!J1093*$O638</f>
        <v>193.4818958</v>
      </c>
      <c r="J638" s="143">
        <f>'Analisis de operaciones'!K1089/'Analisis de operaciones'!K1093*$O638</f>
        <v>193.4818958</v>
      </c>
      <c r="K638" s="143">
        <f>'Analisis de operaciones'!L1089/'Analisis de operaciones'!L1093*$O638</f>
        <v>189.7725781</v>
      </c>
      <c r="L638" s="143">
        <f>'Analisis de operaciones'!M1089/'Analisis de operaciones'!M1093*$O638</f>
        <v>186.0632604</v>
      </c>
      <c r="M638" s="143">
        <f>'Analisis de operaciones'!N1089/'Analisis de operaciones'!N1093*$O638</f>
        <v>296.2174896</v>
      </c>
      <c r="N638" s="143">
        <f>'Resumen Capacidad'!$G$47*$B$8*$O638</f>
        <v>450</v>
      </c>
      <c r="O638" s="144">
        <f>$B$36</f>
        <v>1</v>
      </c>
    </row>
    <row r="639" ht="15.75" hidden="1" customHeight="1" outlineLevel="1">
      <c r="A639" s="142" t="s">
        <v>85</v>
      </c>
      <c r="B639" s="143">
        <f>'Analisis de operaciones'!C1954/'Analisis de operaciones'!C1958*$O639</f>
        <v>69.64102564</v>
      </c>
      <c r="C639" s="143">
        <f>'Analisis de operaciones'!D1954/'Analisis de operaciones'!D1958*$O639</f>
        <v>52.23076923</v>
      </c>
      <c r="D639" s="143">
        <f>'Analisis de operaciones'!E1954/'Analisis de operaciones'!E1958*$O639</f>
        <v>46.42735043</v>
      </c>
      <c r="E639" s="143">
        <f>'Analisis de operaciones'!F1954/'Analisis de operaciones'!F1958*$O639</f>
        <v>43.52564103</v>
      </c>
      <c r="F639" s="143">
        <f>'Analisis de operaciones'!G1954/'Analisis de operaciones'!G1958*$O639</f>
        <v>40.62393162</v>
      </c>
      <c r="G639" s="143">
        <f>'Analisis de operaciones'!H1954/'Analisis de operaciones'!H1958*$O639</f>
        <v>40.62393162</v>
      </c>
      <c r="H639" s="143">
        <f>'Analisis de operaciones'!I1954/'Analisis de operaciones'!I1958*$O639</f>
        <v>43.52564103</v>
      </c>
      <c r="I639" s="143">
        <f>'Analisis de operaciones'!J1954/'Analisis de operaciones'!J1958*$O639</f>
        <v>43.52564103</v>
      </c>
      <c r="J639" s="143">
        <f>'Analisis de operaciones'!K1954/'Analisis de operaciones'!K1958*$O639</f>
        <v>43.52564103</v>
      </c>
      <c r="K639" s="143">
        <f>'Analisis de operaciones'!L1954/'Analisis de operaciones'!L1958*$O639</f>
        <v>43.52564103</v>
      </c>
      <c r="L639" s="143">
        <f>'Analisis de operaciones'!M1954/'Analisis de operaciones'!M1958*$O639</f>
        <v>43.52564103</v>
      </c>
      <c r="M639" s="143">
        <f>'Analisis de operaciones'!N1954/'Analisis de operaciones'!N1958*$O639</f>
        <v>69.64102564</v>
      </c>
      <c r="N639" s="143">
        <f>'Resumen Capacidad'!$G$48*$B$8*$O639</f>
        <v>150</v>
      </c>
      <c r="O639" s="144">
        <f>$B$37</f>
        <v>0.5</v>
      </c>
    </row>
    <row r="640" ht="15.75" hidden="1" customHeight="1" outlineLevel="1">
      <c r="A640" s="141" t="s">
        <v>472</v>
      </c>
    </row>
    <row r="641" ht="15.75" hidden="1" customHeight="1" outlineLevel="1">
      <c r="A641" s="142" t="s">
        <v>88</v>
      </c>
      <c r="B641" s="143">
        <f>'Analisis de operaciones'!C2519/'Analisis de operaciones'!C2523*$O641</f>
        <v>7.512916667</v>
      </c>
      <c r="C641" s="143">
        <f>'Analisis de operaciones'!D2519/'Analisis de operaciones'!D2523*$O641</f>
        <v>6.629044118</v>
      </c>
      <c r="D641" s="143">
        <f>'Analisis de operaciones'!E2519/'Analisis de operaciones'!E2523*$O641</f>
        <v>7.954852941</v>
      </c>
      <c r="E641" s="143">
        <f>'Analisis de operaciones'!F2519/'Analisis de operaciones'!F2523*$O641</f>
        <v>7.954852941</v>
      </c>
      <c r="F641" s="143">
        <f>'Analisis de operaciones'!G2519/'Analisis de operaciones'!G2523*$O641</f>
        <v>7.954852941</v>
      </c>
      <c r="G641" s="143">
        <f>'Analisis de operaciones'!H2519/'Analisis de operaciones'!H2523*$O641</f>
        <v>7.070980392</v>
      </c>
      <c r="H641" s="143">
        <f>'Analisis de operaciones'!I2519/'Analisis de operaciones'!I2523*$O641</f>
        <v>7.954852941</v>
      </c>
      <c r="I641" s="143">
        <f>'Analisis de operaciones'!J2519/'Analisis de operaciones'!J2523*$O641</f>
        <v>7.954852941</v>
      </c>
      <c r="J641" s="143">
        <f>'Analisis de operaciones'!K2519/'Analisis de operaciones'!K2523*$O641</f>
        <v>7.512916667</v>
      </c>
      <c r="K641" s="143">
        <f>'Analisis de operaciones'!L2519/'Analisis de operaciones'!L2523*$O641</f>
        <v>6.629044118</v>
      </c>
      <c r="L641" s="143">
        <f>'Analisis de operaciones'!M2519/'Analisis de operaciones'!M2523*$O641</f>
        <v>6.187107843</v>
      </c>
      <c r="M641" s="143">
        <f>'Analisis de operaciones'!N2519/'Analisis de operaciones'!N2523*$O641</f>
        <v>7.070980392</v>
      </c>
      <c r="O641" s="144">
        <f>$B$38</f>
        <v>1</v>
      </c>
    </row>
    <row r="642" ht="15.75" hidden="1" customHeight="1" outlineLevel="1">
      <c r="A642" s="142" t="s">
        <v>89</v>
      </c>
      <c r="B642" s="143">
        <f>'Analisis de operaciones'!C2529/'Analisis de operaciones'!C2533*$O642</f>
        <v>62.63171875</v>
      </c>
      <c r="C642" s="143">
        <f>'Analisis de operaciones'!D2529/'Analisis de operaciones'!D2533*$O642</f>
        <v>55.26328125</v>
      </c>
      <c r="D642" s="143">
        <f>'Analisis de operaciones'!E2529/'Analisis de operaciones'!E2533*$O642</f>
        <v>66.3159375</v>
      </c>
      <c r="E642" s="143">
        <f>'Analisis de operaciones'!F2529/'Analisis de operaciones'!F2533*$O642</f>
        <v>66.3159375</v>
      </c>
      <c r="F642" s="143">
        <f>'Analisis de operaciones'!G2529/'Analisis de operaciones'!G2533*$O642</f>
        <v>66.3159375</v>
      </c>
      <c r="G642" s="143">
        <f>'Analisis de operaciones'!H2529/'Analisis de operaciones'!H2533*$O642</f>
        <v>58.9475</v>
      </c>
      <c r="H642" s="143">
        <f>'Analisis de operaciones'!I2529/'Analisis de operaciones'!I2533*$O642</f>
        <v>66.3159375</v>
      </c>
      <c r="I642" s="143">
        <f>'Analisis de operaciones'!J2529/'Analisis de operaciones'!J2533*$O642</f>
        <v>66.3159375</v>
      </c>
      <c r="J642" s="143">
        <f>'Analisis de operaciones'!K2529/'Analisis de operaciones'!K2533*$O642</f>
        <v>62.63171875</v>
      </c>
      <c r="K642" s="143">
        <f>'Analisis de operaciones'!L2529/'Analisis de operaciones'!L2533*$O642</f>
        <v>55.26328125</v>
      </c>
      <c r="L642" s="143">
        <f>'Analisis de operaciones'!M2529/'Analisis de operaciones'!M2533*$O642</f>
        <v>51.5790625</v>
      </c>
      <c r="M642" s="143">
        <f>'Analisis de operaciones'!N2529/'Analisis de operaciones'!N2533*$O642</f>
        <v>58.9475</v>
      </c>
      <c r="O642" s="144">
        <f>$B$39</f>
        <v>1</v>
      </c>
    </row>
    <row r="643" ht="15.75" hidden="1" customHeight="1" outlineLevel="1">
      <c r="A643" s="142" t="s">
        <v>90</v>
      </c>
      <c r="B643" s="143">
        <f>'Analisis de operaciones'!C2539/'Analisis de operaciones'!C2543*$O643</f>
        <v>2.985902778</v>
      </c>
      <c r="C643" s="143">
        <f>'Analisis de operaciones'!D2539/'Analisis de operaciones'!D2543*$O643</f>
        <v>2.634620098</v>
      </c>
      <c r="D643" s="143">
        <f>'Analisis de operaciones'!E2539/'Analisis de operaciones'!E2543*$O643</f>
        <v>3.161544118</v>
      </c>
      <c r="E643" s="143">
        <f>'Analisis de operaciones'!F2539/'Analisis de operaciones'!F2543*$O643</f>
        <v>3.161544118</v>
      </c>
      <c r="F643" s="143">
        <f>'Analisis de operaciones'!G2539/'Analisis de operaciones'!G2543*$O643</f>
        <v>3.161544118</v>
      </c>
      <c r="G643" s="143">
        <f>'Analisis de operaciones'!H2539/'Analisis de operaciones'!H2543*$O643</f>
        <v>2.810261438</v>
      </c>
      <c r="H643" s="143">
        <f>'Analisis de operaciones'!I2539/'Analisis de operaciones'!I2543*$O643</f>
        <v>3.161544118</v>
      </c>
      <c r="I643" s="143">
        <f>'Analisis de operaciones'!J2539/'Analisis de operaciones'!J2543*$O643</f>
        <v>3.161544118</v>
      </c>
      <c r="J643" s="143">
        <f>'Analisis de operaciones'!K2539/'Analisis de operaciones'!K2543*$O643</f>
        <v>2.985902778</v>
      </c>
      <c r="K643" s="143">
        <f>'Analisis de operaciones'!L2539/'Analisis de operaciones'!L2543*$O643</f>
        <v>2.634620098</v>
      </c>
      <c r="L643" s="143">
        <f>'Analisis de operaciones'!M2539/'Analisis de operaciones'!M2543*$O643</f>
        <v>2.458978758</v>
      </c>
      <c r="M643" s="143">
        <f>'Analisis de operaciones'!N2539/'Analisis de operaciones'!N2543*$O643</f>
        <v>2.810261438</v>
      </c>
      <c r="O643" s="144">
        <f>$B$40</f>
        <v>0.5</v>
      </c>
    </row>
    <row r="644" ht="15.75" hidden="1" customHeight="1" outlineLevel="1">
      <c r="A644" s="142" t="s">
        <v>91</v>
      </c>
      <c r="B644" s="143">
        <f>'Analisis de operaciones'!C2549/'Analisis de operaciones'!C2553*$O644</f>
        <v>2.215347222</v>
      </c>
      <c r="C644" s="143">
        <f>'Analisis de operaciones'!D2549/'Analisis de operaciones'!D2553*$O644</f>
        <v>1.954718137</v>
      </c>
      <c r="D644" s="143">
        <f>'Analisis de operaciones'!E2549/'Analisis de operaciones'!E2553*$O644</f>
        <v>2.345661765</v>
      </c>
      <c r="E644" s="143">
        <f>'Analisis de operaciones'!F2549/'Analisis de operaciones'!F2553*$O644</f>
        <v>2.345661765</v>
      </c>
      <c r="F644" s="143">
        <f>'Analisis de operaciones'!G2549/'Analisis de operaciones'!G2553*$O644</f>
        <v>2.345661765</v>
      </c>
      <c r="G644" s="143">
        <f>'Analisis de operaciones'!H2549/'Analisis de operaciones'!H2553*$O644</f>
        <v>2.08503268</v>
      </c>
      <c r="H644" s="143">
        <f>'Analisis de operaciones'!I2549/'Analisis de operaciones'!I2553*$O644</f>
        <v>2.345661765</v>
      </c>
      <c r="I644" s="143">
        <f>'Analisis de operaciones'!J2549/'Analisis de operaciones'!J2553*$O644</f>
        <v>2.345661765</v>
      </c>
      <c r="J644" s="143">
        <f>'Analisis de operaciones'!K2549/'Analisis de operaciones'!K2553*$O644</f>
        <v>2.215347222</v>
      </c>
      <c r="K644" s="143">
        <f>'Analisis de operaciones'!L2549/'Analisis de operaciones'!L2553*$O644</f>
        <v>1.954718137</v>
      </c>
      <c r="L644" s="143">
        <f>'Analisis de operaciones'!M2549/'Analisis de operaciones'!M2553*$O644</f>
        <v>1.824403595</v>
      </c>
      <c r="M644" s="143">
        <f>'Analisis de operaciones'!N2549/'Analisis de operaciones'!N2553*$O644</f>
        <v>2.08503268</v>
      </c>
      <c r="O644" s="144">
        <f>$B$41</f>
        <v>0.5</v>
      </c>
    </row>
    <row r="645" ht="15.75" hidden="1" customHeight="1" outlineLevel="1">
      <c r="A645" s="142" t="s">
        <v>93</v>
      </c>
      <c r="B645" s="143">
        <f>'Analisis de operaciones'!C2559/'Analisis de operaciones'!C2563*$O645</f>
        <v>3.082222222</v>
      </c>
      <c r="C645" s="143">
        <f>'Analisis de operaciones'!D2559/'Analisis de operaciones'!D2563*$O645</f>
        <v>2.719607843</v>
      </c>
      <c r="D645" s="143">
        <f>'Analisis de operaciones'!E2559/'Analisis de operaciones'!E2563*$O645</f>
        <v>3.263529412</v>
      </c>
      <c r="E645" s="143">
        <f>'Analisis de operaciones'!F2559/'Analisis de operaciones'!F2563*$O645</f>
        <v>3.263529412</v>
      </c>
      <c r="F645" s="143">
        <f>'Analisis de operaciones'!G2559/'Analisis de operaciones'!G2563*$O645</f>
        <v>3.263529412</v>
      </c>
      <c r="G645" s="143">
        <f>'Analisis de operaciones'!H2559/'Analisis de operaciones'!H2563*$O645</f>
        <v>2.900915033</v>
      </c>
      <c r="H645" s="143">
        <f>'Analisis de operaciones'!I2559/'Analisis de operaciones'!I2563*$O645</f>
        <v>3.263529412</v>
      </c>
      <c r="I645" s="143">
        <f>'Analisis de operaciones'!J2559/'Analisis de operaciones'!J2563*$O645</f>
        <v>3.263529412</v>
      </c>
      <c r="J645" s="143">
        <f>'Analisis de operaciones'!K2559/'Analisis de operaciones'!K2563*$O645</f>
        <v>3.082222222</v>
      </c>
      <c r="K645" s="143">
        <f>'Analisis de operaciones'!L2559/'Analisis de operaciones'!L2563*$O645</f>
        <v>2.719607843</v>
      </c>
      <c r="L645" s="143">
        <f>'Analisis de operaciones'!M2559/'Analisis de operaciones'!M2563*$O645</f>
        <v>2.538300654</v>
      </c>
      <c r="M645" s="143">
        <f>'Analisis de operaciones'!N2559/'Analisis de operaciones'!N2563*$O645</f>
        <v>2.900915033</v>
      </c>
      <c r="O645" s="144">
        <f>$B$42</f>
        <v>1</v>
      </c>
    </row>
    <row r="646" ht="15.75" hidden="1" customHeight="1" outlineLevel="1">
      <c r="A646" s="142" t="s">
        <v>94</v>
      </c>
      <c r="B646" s="143">
        <f>'Analisis de operaciones'!C2569/'Analisis de operaciones'!C2573*$O646</f>
        <v>3.949097222</v>
      </c>
      <c r="C646" s="143">
        <f>'Analisis de operaciones'!D2569/'Analisis de operaciones'!D2573*$O646</f>
        <v>3.484497549</v>
      </c>
      <c r="D646" s="143">
        <f>'Analisis de operaciones'!E2569/'Analisis de operaciones'!E2573*$O646</f>
        <v>4.181397059</v>
      </c>
      <c r="E646" s="143">
        <f>'Analisis de operaciones'!F2569/'Analisis de operaciones'!F2573*$O646</f>
        <v>4.181397059</v>
      </c>
      <c r="F646" s="143">
        <f>'Analisis de operaciones'!G2569/'Analisis de operaciones'!G2573*$O646</f>
        <v>4.181397059</v>
      </c>
      <c r="G646" s="143">
        <f>'Analisis de operaciones'!H2569/'Analisis de operaciones'!H2573*$O646</f>
        <v>3.716797386</v>
      </c>
      <c r="H646" s="143">
        <f>'Analisis de operaciones'!I2569/'Analisis de operaciones'!I2573*$O646</f>
        <v>4.181397059</v>
      </c>
      <c r="I646" s="143">
        <f>'Analisis de operaciones'!J2569/'Analisis de operaciones'!J2573*$O646</f>
        <v>4.181397059</v>
      </c>
      <c r="J646" s="143">
        <f>'Analisis de operaciones'!K2569/'Analisis de operaciones'!K2573*$O646</f>
        <v>3.949097222</v>
      </c>
      <c r="K646" s="143">
        <f>'Analisis de operaciones'!L2569/'Analisis de operaciones'!L2573*$O646</f>
        <v>3.484497549</v>
      </c>
      <c r="L646" s="143">
        <f>'Analisis de operaciones'!M2569/'Analisis de operaciones'!M2573*$O646</f>
        <v>3.252197712</v>
      </c>
      <c r="M646" s="143">
        <f>'Analisis de operaciones'!N2569/'Analisis de operaciones'!N2573*$O646</f>
        <v>3.716797386</v>
      </c>
      <c r="O646" s="144">
        <f>$B$43</f>
        <v>0.5</v>
      </c>
    </row>
    <row r="647" ht="15.75" hidden="1" customHeight="1" outlineLevel="1">
      <c r="A647" s="142" t="s">
        <v>96</v>
      </c>
      <c r="B647" s="143">
        <f>'Analisis de operaciones'!C2579/'Analisis de operaciones'!C2583*$O647</f>
        <v>3.082222222</v>
      </c>
      <c r="C647" s="143">
        <f>'Analisis de operaciones'!D2579/'Analisis de operaciones'!D2583*$O647</f>
        <v>2.719607843</v>
      </c>
      <c r="D647" s="143">
        <f>'Analisis de operaciones'!E2579/'Analisis de operaciones'!E2583*$O647</f>
        <v>3.263529412</v>
      </c>
      <c r="E647" s="143">
        <f>'Analisis de operaciones'!F2579/'Analisis de operaciones'!F2583*$O647</f>
        <v>3.263529412</v>
      </c>
      <c r="F647" s="143">
        <f>'Analisis de operaciones'!G2579/'Analisis de operaciones'!G2583*$O647</f>
        <v>3.263529412</v>
      </c>
      <c r="G647" s="143">
        <f>'Analisis de operaciones'!H2579/'Analisis de operaciones'!H2583*$O647</f>
        <v>2.900915033</v>
      </c>
      <c r="H647" s="143">
        <f>'Analisis de operaciones'!I2579/'Analisis de operaciones'!I2583*$O647</f>
        <v>3.263529412</v>
      </c>
      <c r="I647" s="143">
        <f>'Analisis de operaciones'!J2579/'Analisis de operaciones'!J2583*$O647</f>
        <v>3.263529412</v>
      </c>
      <c r="J647" s="143">
        <f>'Analisis de operaciones'!K2579/'Analisis de operaciones'!K2583*$O647</f>
        <v>3.082222222</v>
      </c>
      <c r="K647" s="143">
        <f>'Analisis de operaciones'!L2579/'Analisis de operaciones'!L2583*$O647</f>
        <v>2.719607843</v>
      </c>
      <c r="L647" s="143">
        <f>'Analisis de operaciones'!M2579/'Analisis de operaciones'!M2583*$O647</f>
        <v>2.538300654</v>
      </c>
      <c r="M647" s="143">
        <f>'Analisis de operaciones'!N2579/'Analisis de operaciones'!N2583*$O647</f>
        <v>2.900915033</v>
      </c>
      <c r="O647" s="144">
        <f>$B$44</f>
        <v>1</v>
      </c>
    </row>
    <row r="648" ht="15.75" hidden="1" customHeight="1" outlineLevel="1">
      <c r="A648" s="142" t="s">
        <v>97</v>
      </c>
      <c r="B648" s="143">
        <f>'Analisis de operaciones'!C2589/'Analisis de operaciones'!C2593*$O648</f>
        <v>20.805</v>
      </c>
      <c r="C648" s="143">
        <f>'Analisis de operaciones'!D2589/'Analisis de operaciones'!D2593*$O648</f>
        <v>18.35735294</v>
      </c>
      <c r="D648" s="143">
        <f>'Analisis de operaciones'!E2589/'Analisis de operaciones'!E2593*$O648</f>
        <v>22.02882353</v>
      </c>
      <c r="E648" s="143">
        <f>'Analisis de operaciones'!F2589/'Analisis de operaciones'!F2593*$O648</f>
        <v>22.02882353</v>
      </c>
      <c r="F648" s="143">
        <f>'Analisis de operaciones'!G2589/'Analisis de operaciones'!G2593*$O648</f>
        <v>22.02882353</v>
      </c>
      <c r="G648" s="143">
        <f>'Analisis de operaciones'!H2589/'Analisis de operaciones'!H2593*$O648</f>
        <v>19.58117647</v>
      </c>
      <c r="H648" s="143">
        <f>'Analisis de operaciones'!I2589/'Analisis de operaciones'!I2593*$O648</f>
        <v>22.02882353</v>
      </c>
      <c r="I648" s="143">
        <f>'Analisis de operaciones'!J2589/'Analisis de operaciones'!J2593*$O648</f>
        <v>22.02882353</v>
      </c>
      <c r="J648" s="143">
        <f>'Analisis de operaciones'!K2589/'Analisis de operaciones'!K2593*$O648</f>
        <v>20.805</v>
      </c>
      <c r="K648" s="143">
        <f>'Analisis de operaciones'!L2589/'Analisis de operaciones'!L2593*$O648</f>
        <v>18.35735294</v>
      </c>
      <c r="L648" s="143">
        <f>'Analisis de operaciones'!M2589/'Analisis de operaciones'!M2593*$O648</f>
        <v>17.13352941</v>
      </c>
      <c r="M648" s="143">
        <f>'Analisis de operaciones'!N2589/'Analisis de operaciones'!N2593*$O648</f>
        <v>19.58117647</v>
      </c>
      <c r="O648" s="144">
        <f>$B$45</f>
        <v>1</v>
      </c>
    </row>
    <row r="649" ht="15.75" hidden="1" customHeight="1" outlineLevel="1">
      <c r="A649" s="142" t="s">
        <v>311</v>
      </c>
      <c r="B649" s="143">
        <f>'Analisis de operaciones'!C3020/'Analisis de operaciones'!C3024*$O649</f>
        <v>30.05855121</v>
      </c>
      <c r="C649" s="143">
        <f>'Analisis de operaciones'!D3020/'Analisis de operaciones'!D3024*$O649</f>
        <v>24.12488944</v>
      </c>
      <c r="D649" s="143">
        <f>'Analisis de operaciones'!E3020/'Analisis de operaciones'!E3024*$O649</f>
        <v>25.74767716</v>
      </c>
      <c r="E649" s="143">
        <f>'Analisis de operaciones'!F3020/'Analisis de operaciones'!F3024*$O649</f>
        <v>25.74767716</v>
      </c>
      <c r="F649" s="143">
        <f>'Analisis de operaciones'!G3020/'Analisis de operaciones'!G3024*$O649</f>
        <v>24.29213618</v>
      </c>
      <c r="G649" s="143">
        <f>'Analisis de operaciones'!H3020/'Analisis de operaciones'!H3024*$O649</f>
        <v>22.72509737</v>
      </c>
      <c r="H649" s="143">
        <f>'Analisis de operaciones'!I3020/'Analisis de operaciones'!I3024*$O649</f>
        <v>24.29213618</v>
      </c>
      <c r="I649" s="143">
        <f>'Analisis de operaciones'!J3020/'Analisis de operaciones'!J3024*$O649</f>
        <v>24.29213618</v>
      </c>
      <c r="J649" s="143">
        <f>'Analisis de operaciones'!K3020/'Analisis de operaciones'!K3024*$O649</f>
        <v>24.23638727</v>
      </c>
      <c r="K649" s="143">
        <f>'Analisis de operaciones'!L3020/'Analisis de operaciones'!L3024*$O649</f>
        <v>22.66934846</v>
      </c>
      <c r="L649" s="143">
        <f>'Analisis de operaciones'!M3020/'Analisis de operaciones'!M3024*$O649</f>
        <v>21.15805856</v>
      </c>
      <c r="M649" s="143">
        <f>'Analisis de operaciones'!N3020/'Analisis de operaciones'!N3024*$O649</f>
        <v>32.91388427</v>
      </c>
      <c r="O649" s="144">
        <v>1.0</v>
      </c>
    </row>
    <row r="650" ht="15.75" hidden="1" customHeight="1" outlineLevel="1">
      <c r="A650" s="141" t="s">
        <v>534</v>
      </c>
    </row>
    <row r="651" ht="15.75" hidden="1" customHeight="1" outlineLevel="1">
      <c r="A651" s="142" t="s">
        <v>26</v>
      </c>
      <c r="B651" s="143">
        <f t="shared" ref="B651:M651" si="285">MAX(0,B620*B$600-$N620)</f>
        <v>0</v>
      </c>
      <c r="C651" s="143">
        <f t="shared" si="285"/>
        <v>0</v>
      </c>
      <c r="D651" s="143">
        <f t="shared" si="285"/>
        <v>0</v>
      </c>
      <c r="E651" s="143">
        <f t="shared" si="285"/>
        <v>0</v>
      </c>
      <c r="F651" s="143">
        <f t="shared" si="285"/>
        <v>0</v>
      </c>
      <c r="G651" s="143">
        <f t="shared" si="285"/>
        <v>0</v>
      </c>
      <c r="H651" s="143">
        <f t="shared" si="285"/>
        <v>0</v>
      </c>
      <c r="I651" s="143">
        <f t="shared" si="285"/>
        <v>0</v>
      </c>
      <c r="J651" s="143">
        <f t="shared" si="285"/>
        <v>0</v>
      </c>
      <c r="K651" s="143">
        <f t="shared" si="285"/>
        <v>0</v>
      </c>
      <c r="L651" s="143">
        <f t="shared" si="285"/>
        <v>0</v>
      </c>
      <c r="M651" s="143">
        <f t="shared" si="285"/>
        <v>0</v>
      </c>
    </row>
    <row r="652" ht="15.75" hidden="1" customHeight="1" outlineLevel="1">
      <c r="A652" s="142" t="s">
        <v>55</v>
      </c>
      <c r="B652" s="143">
        <f t="shared" ref="B652:M652" si="286">MAX(0,B621*B$600-$N621)</f>
        <v>0</v>
      </c>
      <c r="C652" s="143">
        <f t="shared" si="286"/>
        <v>0</v>
      </c>
      <c r="D652" s="143">
        <f t="shared" si="286"/>
        <v>0</v>
      </c>
      <c r="E652" s="143">
        <f t="shared" si="286"/>
        <v>0</v>
      </c>
      <c r="F652" s="143">
        <f t="shared" si="286"/>
        <v>0</v>
      </c>
      <c r="G652" s="143">
        <f t="shared" si="286"/>
        <v>0</v>
      </c>
      <c r="H652" s="143">
        <f t="shared" si="286"/>
        <v>0</v>
      </c>
      <c r="I652" s="143">
        <f t="shared" si="286"/>
        <v>0</v>
      </c>
      <c r="J652" s="143">
        <f t="shared" si="286"/>
        <v>0</v>
      </c>
      <c r="K652" s="143">
        <f t="shared" si="286"/>
        <v>0</v>
      </c>
      <c r="L652" s="143">
        <f t="shared" si="286"/>
        <v>0</v>
      </c>
      <c r="M652" s="143">
        <f t="shared" si="286"/>
        <v>0</v>
      </c>
    </row>
    <row r="653" ht="15.75" hidden="1" customHeight="1" outlineLevel="1">
      <c r="A653" s="142" t="s">
        <v>61</v>
      </c>
      <c r="B653" s="143">
        <f t="shared" ref="B653:M653" si="287">MAX(0,B622*B$600-$N622)</f>
        <v>0</v>
      </c>
      <c r="C653" s="143">
        <f t="shared" si="287"/>
        <v>0</v>
      </c>
      <c r="D653" s="143">
        <f t="shared" si="287"/>
        <v>0</v>
      </c>
      <c r="E653" s="143">
        <f t="shared" si="287"/>
        <v>0</v>
      </c>
      <c r="F653" s="143">
        <f t="shared" si="287"/>
        <v>0</v>
      </c>
      <c r="G653" s="143">
        <f t="shared" si="287"/>
        <v>0</v>
      </c>
      <c r="H653" s="143">
        <f t="shared" si="287"/>
        <v>0</v>
      </c>
      <c r="I653" s="143">
        <f t="shared" si="287"/>
        <v>0</v>
      </c>
      <c r="J653" s="143">
        <f t="shared" si="287"/>
        <v>0</v>
      </c>
      <c r="K653" s="143">
        <f t="shared" si="287"/>
        <v>0</v>
      </c>
      <c r="L653" s="143">
        <f t="shared" si="287"/>
        <v>0</v>
      </c>
      <c r="M653" s="143">
        <f t="shared" si="287"/>
        <v>0</v>
      </c>
    </row>
    <row r="654" ht="15.75" hidden="1" customHeight="1" outlineLevel="1">
      <c r="A654" s="142" t="s">
        <v>62</v>
      </c>
      <c r="B654" s="143">
        <f t="shared" ref="B654:M654" si="288">MAX(0,B623*B$600-$N623)</f>
        <v>0</v>
      </c>
      <c r="C654" s="143">
        <f t="shared" si="288"/>
        <v>0</v>
      </c>
      <c r="D654" s="143">
        <f t="shared" si="288"/>
        <v>0</v>
      </c>
      <c r="E654" s="143">
        <f t="shared" si="288"/>
        <v>0</v>
      </c>
      <c r="F654" s="143">
        <f t="shared" si="288"/>
        <v>0</v>
      </c>
      <c r="G654" s="143">
        <f t="shared" si="288"/>
        <v>0</v>
      </c>
      <c r="H654" s="143">
        <f t="shared" si="288"/>
        <v>0</v>
      </c>
      <c r="I654" s="143">
        <f t="shared" si="288"/>
        <v>0</v>
      </c>
      <c r="J654" s="143">
        <f t="shared" si="288"/>
        <v>0</v>
      </c>
      <c r="K654" s="143">
        <f t="shared" si="288"/>
        <v>0</v>
      </c>
      <c r="L654" s="143">
        <f t="shared" si="288"/>
        <v>0</v>
      </c>
      <c r="M654" s="143">
        <f t="shared" si="288"/>
        <v>0</v>
      </c>
    </row>
    <row r="655" ht="15.75" hidden="1" customHeight="1" outlineLevel="1">
      <c r="A655" s="142" t="s">
        <v>63</v>
      </c>
      <c r="B655" s="143">
        <f t="shared" ref="B655:M655" si="289">MAX(0,B624*B$600-$N624)</f>
        <v>0</v>
      </c>
      <c r="C655" s="143">
        <f t="shared" si="289"/>
        <v>0</v>
      </c>
      <c r="D655" s="143">
        <f t="shared" si="289"/>
        <v>0</v>
      </c>
      <c r="E655" s="143">
        <f t="shared" si="289"/>
        <v>0</v>
      </c>
      <c r="F655" s="143">
        <f t="shared" si="289"/>
        <v>0</v>
      </c>
      <c r="G655" s="143">
        <f t="shared" si="289"/>
        <v>0</v>
      </c>
      <c r="H655" s="143">
        <f t="shared" si="289"/>
        <v>0</v>
      </c>
      <c r="I655" s="143">
        <f t="shared" si="289"/>
        <v>0</v>
      </c>
      <c r="J655" s="143">
        <f t="shared" si="289"/>
        <v>0</v>
      </c>
      <c r="K655" s="143">
        <f t="shared" si="289"/>
        <v>0</v>
      </c>
      <c r="L655" s="143">
        <f t="shared" si="289"/>
        <v>0</v>
      </c>
      <c r="M655" s="143">
        <f t="shared" si="289"/>
        <v>0</v>
      </c>
    </row>
    <row r="656" ht="15.75" hidden="1" customHeight="1" outlineLevel="1">
      <c r="A656" s="142" t="s">
        <v>64</v>
      </c>
      <c r="B656" s="143">
        <f t="shared" ref="B656:M656" si="290">MAX(0,B625*B$600-$N625)</f>
        <v>0</v>
      </c>
      <c r="C656" s="143">
        <f t="shared" si="290"/>
        <v>0</v>
      </c>
      <c r="D656" s="143">
        <f t="shared" si="290"/>
        <v>0</v>
      </c>
      <c r="E656" s="143">
        <f t="shared" si="290"/>
        <v>0</v>
      </c>
      <c r="F656" s="143">
        <f t="shared" si="290"/>
        <v>0</v>
      </c>
      <c r="G656" s="143">
        <f t="shared" si="290"/>
        <v>0</v>
      </c>
      <c r="H656" s="143">
        <f t="shared" si="290"/>
        <v>0</v>
      </c>
      <c r="I656" s="143">
        <f t="shared" si="290"/>
        <v>0</v>
      </c>
      <c r="J656" s="143">
        <f t="shared" si="290"/>
        <v>0</v>
      </c>
      <c r="K656" s="143">
        <f t="shared" si="290"/>
        <v>0</v>
      </c>
      <c r="L656" s="143">
        <f t="shared" si="290"/>
        <v>0</v>
      </c>
      <c r="M656" s="143">
        <f t="shared" si="290"/>
        <v>0</v>
      </c>
    </row>
    <row r="657" ht="15.75" hidden="1" customHeight="1" outlineLevel="1">
      <c r="A657" s="142" t="s">
        <v>66</v>
      </c>
      <c r="B657" s="143">
        <f t="shared" ref="B657:M657" si="291">MAX(0,B626*B$600-$N626)</f>
        <v>0</v>
      </c>
      <c r="C657" s="143">
        <f t="shared" si="291"/>
        <v>0</v>
      </c>
      <c r="D657" s="143">
        <f t="shared" si="291"/>
        <v>0</v>
      </c>
      <c r="E657" s="143">
        <f t="shared" si="291"/>
        <v>0</v>
      </c>
      <c r="F657" s="143">
        <f t="shared" si="291"/>
        <v>0</v>
      </c>
      <c r="G657" s="143">
        <f t="shared" si="291"/>
        <v>0</v>
      </c>
      <c r="H657" s="143">
        <f t="shared" si="291"/>
        <v>0</v>
      </c>
      <c r="I657" s="143">
        <f t="shared" si="291"/>
        <v>0</v>
      </c>
      <c r="J657" s="143">
        <f t="shared" si="291"/>
        <v>0</v>
      </c>
      <c r="K657" s="143">
        <f t="shared" si="291"/>
        <v>0</v>
      </c>
      <c r="L657" s="143">
        <f t="shared" si="291"/>
        <v>0</v>
      </c>
      <c r="M657" s="143">
        <f t="shared" si="291"/>
        <v>0</v>
      </c>
    </row>
    <row r="658" ht="15.75" hidden="1" customHeight="1" outlineLevel="1">
      <c r="A658" s="142" t="s">
        <v>67</v>
      </c>
      <c r="B658" s="143">
        <f t="shared" ref="B658:M658" si="292">MAX(0,B627*B$600-$N627)</f>
        <v>0</v>
      </c>
      <c r="C658" s="143">
        <f t="shared" si="292"/>
        <v>0</v>
      </c>
      <c r="D658" s="143">
        <f t="shared" si="292"/>
        <v>0</v>
      </c>
      <c r="E658" s="143">
        <f t="shared" si="292"/>
        <v>0</v>
      </c>
      <c r="F658" s="143">
        <f t="shared" si="292"/>
        <v>0</v>
      </c>
      <c r="G658" s="143">
        <f t="shared" si="292"/>
        <v>0</v>
      </c>
      <c r="H658" s="143">
        <f t="shared" si="292"/>
        <v>0</v>
      </c>
      <c r="I658" s="143">
        <f t="shared" si="292"/>
        <v>0</v>
      </c>
      <c r="J658" s="143">
        <f t="shared" si="292"/>
        <v>0</v>
      </c>
      <c r="K658" s="143">
        <f t="shared" si="292"/>
        <v>0</v>
      </c>
      <c r="L658" s="143">
        <f t="shared" si="292"/>
        <v>0</v>
      </c>
      <c r="M658" s="143">
        <f t="shared" si="292"/>
        <v>0</v>
      </c>
    </row>
    <row r="659" ht="15.75" hidden="1" customHeight="1" outlineLevel="1">
      <c r="A659" s="142" t="s">
        <v>68</v>
      </c>
      <c r="B659" s="143">
        <f t="shared" ref="B659:M659" si="293">MAX(0,B628*B$600-$N628)</f>
        <v>0</v>
      </c>
      <c r="C659" s="143">
        <f t="shared" si="293"/>
        <v>0</v>
      </c>
      <c r="D659" s="143">
        <f t="shared" si="293"/>
        <v>0</v>
      </c>
      <c r="E659" s="143">
        <f t="shared" si="293"/>
        <v>0</v>
      </c>
      <c r="F659" s="143">
        <f t="shared" si="293"/>
        <v>0</v>
      </c>
      <c r="G659" s="143">
        <f t="shared" si="293"/>
        <v>0</v>
      </c>
      <c r="H659" s="143">
        <f t="shared" si="293"/>
        <v>0</v>
      </c>
      <c r="I659" s="143">
        <f t="shared" si="293"/>
        <v>0</v>
      </c>
      <c r="J659" s="143">
        <f t="shared" si="293"/>
        <v>0</v>
      </c>
      <c r="K659" s="143">
        <f t="shared" si="293"/>
        <v>0</v>
      </c>
      <c r="L659" s="143">
        <f t="shared" si="293"/>
        <v>0</v>
      </c>
      <c r="M659" s="143">
        <f t="shared" si="293"/>
        <v>0</v>
      </c>
    </row>
    <row r="660" ht="15.75" hidden="1" customHeight="1" outlineLevel="1">
      <c r="A660" s="142" t="s">
        <v>70</v>
      </c>
      <c r="B660" s="143">
        <f t="shared" ref="B660:M660" si="294">MAX(0,B629*B$600-$N629)</f>
        <v>0</v>
      </c>
      <c r="C660" s="143">
        <f t="shared" si="294"/>
        <v>0</v>
      </c>
      <c r="D660" s="143">
        <f t="shared" si="294"/>
        <v>0</v>
      </c>
      <c r="E660" s="143">
        <f t="shared" si="294"/>
        <v>0</v>
      </c>
      <c r="F660" s="143">
        <f t="shared" si="294"/>
        <v>0</v>
      </c>
      <c r="G660" s="143">
        <f t="shared" si="294"/>
        <v>0</v>
      </c>
      <c r="H660" s="143">
        <f t="shared" si="294"/>
        <v>0</v>
      </c>
      <c r="I660" s="143">
        <f t="shared" si="294"/>
        <v>0</v>
      </c>
      <c r="J660" s="143">
        <f t="shared" si="294"/>
        <v>0</v>
      </c>
      <c r="K660" s="143">
        <f t="shared" si="294"/>
        <v>0</v>
      </c>
      <c r="L660" s="143">
        <f t="shared" si="294"/>
        <v>0</v>
      </c>
      <c r="M660" s="143">
        <f t="shared" si="294"/>
        <v>0</v>
      </c>
    </row>
    <row r="661" ht="15.75" hidden="1" customHeight="1" outlineLevel="1">
      <c r="A661" s="142" t="s">
        <v>72</v>
      </c>
      <c r="B661" s="143">
        <f t="shared" ref="B661:M661" si="295">MAX(0,B630*B$600-$N630)</f>
        <v>0</v>
      </c>
      <c r="C661" s="143">
        <f t="shared" si="295"/>
        <v>0</v>
      </c>
      <c r="D661" s="143">
        <f t="shared" si="295"/>
        <v>0</v>
      </c>
      <c r="E661" s="143">
        <f t="shared" si="295"/>
        <v>0</v>
      </c>
      <c r="F661" s="143">
        <f t="shared" si="295"/>
        <v>0</v>
      </c>
      <c r="G661" s="143">
        <f t="shared" si="295"/>
        <v>0</v>
      </c>
      <c r="H661" s="143">
        <f t="shared" si="295"/>
        <v>0</v>
      </c>
      <c r="I661" s="143">
        <f t="shared" si="295"/>
        <v>0</v>
      </c>
      <c r="J661" s="143">
        <f t="shared" si="295"/>
        <v>0</v>
      </c>
      <c r="K661" s="143">
        <f t="shared" si="295"/>
        <v>0</v>
      </c>
      <c r="L661" s="143">
        <f t="shared" si="295"/>
        <v>0</v>
      </c>
      <c r="M661" s="143">
        <f t="shared" si="295"/>
        <v>0</v>
      </c>
    </row>
    <row r="662" ht="15.75" hidden="1" customHeight="1" outlineLevel="1">
      <c r="A662" s="142" t="s">
        <v>74</v>
      </c>
      <c r="B662" s="143">
        <f t="shared" ref="B662:M662" si="296">MAX(0,B631*B$600-$N631)</f>
        <v>0</v>
      </c>
      <c r="C662" s="143">
        <f t="shared" si="296"/>
        <v>0</v>
      </c>
      <c r="D662" s="143">
        <f t="shared" si="296"/>
        <v>0</v>
      </c>
      <c r="E662" s="143">
        <f t="shared" si="296"/>
        <v>0</v>
      </c>
      <c r="F662" s="143">
        <f t="shared" si="296"/>
        <v>0</v>
      </c>
      <c r="G662" s="143">
        <f t="shared" si="296"/>
        <v>0</v>
      </c>
      <c r="H662" s="143">
        <f t="shared" si="296"/>
        <v>0</v>
      </c>
      <c r="I662" s="143">
        <f t="shared" si="296"/>
        <v>0</v>
      </c>
      <c r="J662" s="143">
        <f t="shared" si="296"/>
        <v>0</v>
      </c>
      <c r="K662" s="143">
        <f t="shared" si="296"/>
        <v>0</v>
      </c>
      <c r="L662" s="143">
        <f t="shared" si="296"/>
        <v>0</v>
      </c>
      <c r="M662" s="143">
        <f t="shared" si="296"/>
        <v>0</v>
      </c>
    </row>
    <row r="663" ht="15.75" hidden="1" customHeight="1" outlineLevel="1">
      <c r="A663" s="142" t="s">
        <v>76</v>
      </c>
      <c r="B663" s="143">
        <f t="shared" ref="B663:M663" si="297">MAX(0,B632*B$600-$N632)</f>
        <v>0</v>
      </c>
      <c r="C663" s="143">
        <f t="shared" si="297"/>
        <v>0</v>
      </c>
      <c r="D663" s="143">
        <f t="shared" si="297"/>
        <v>0</v>
      </c>
      <c r="E663" s="143">
        <f t="shared" si="297"/>
        <v>0</v>
      </c>
      <c r="F663" s="143">
        <f t="shared" si="297"/>
        <v>0</v>
      </c>
      <c r="G663" s="143">
        <f t="shared" si="297"/>
        <v>0</v>
      </c>
      <c r="H663" s="143">
        <f t="shared" si="297"/>
        <v>0</v>
      </c>
      <c r="I663" s="143">
        <f t="shared" si="297"/>
        <v>0</v>
      </c>
      <c r="J663" s="143">
        <f t="shared" si="297"/>
        <v>0</v>
      </c>
      <c r="K663" s="143">
        <f t="shared" si="297"/>
        <v>0</v>
      </c>
      <c r="L663" s="143">
        <f t="shared" si="297"/>
        <v>0</v>
      </c>
      <c r="M663" s="143">
        <f t="shared" si="297"/>
        <v>0</v>
      </c>
    </row>
    <row r="664" ht="15.75" hidden="1" customHeight="1" outlineLevel="1">
      <c r="A664" s="142" t="s">
        <v>77</v>
      </c>
      <c r="B664" s="143">
        <f t="shared" ref="B664:M664" si="298">MAX(0,B633*B$600-$N633)</f>
        <v>0</v>
      </c>
      <c r="C664" s="143">
        <f t="shared" si="298"/>
        <v>0</v>
      </c>
      <c r="D664" s="143">
        <f t="shared" si="298"/>
        <v>0</v>
      </c>
      <c r="E664" s="143">
        <f t="shared" si="298"/>
        <v>0</v>
      </c>
      <c r="F664" s="143">
        <f t="shared" si="298"/>
        <v>0</v>
      </c>
      <c r="G664" s="143">
        <f t="shared" si="298"/>
        <v>0</v>
      </c>
      <c r="H664" s="143">
        <f t="shared" si="298"/>
        <v>0</v>
      </c>
      <c r="I664" s="143">
        <f t="shared" si="298"/>
        <v>0</v>
      </c>
      <c r="J664" s="143">
        <f t="shared" si="298"/>
        <v>0</v>
      </c>
      <c r="K664" s="143">
        <f t="shared" si="298"/>
        <v>0</v>
      </c>
      <c r="L664" s="143">
        <f t="shared" si="298"/>
        <v>0</v>
      </c>
      <c r="M664" s="143">
        <f t="shared" si="298"/>
        <v>0</v>
      </c>
    </row>
    <row r="665" ht="15.75" hidden="1" customHeight="1" outlineLevel="1">
      <c r="A665" s="142" t="s">
        <v>79</v>
      </c>
      <c r="B665" s="143">
        <f t="shared" ref="B665:M665" si="299">MAX(0,B634*B$600-$N634)</f>
        <v>0</v>
      </c>
      <c r="C665" s="143">
        <f t="shared" si="299"/>
        <v>0</v>
      </c>
      <c r="D665" s="143">
        <f t="shared" si="299"/>
        <v>0</v>
      </c>
      <c r="E665" s="143">
        <f t="shared" si="299"/>
        <v>0</v>
      </c>
      <c r="F665" s="143">
        <f t="shared" si="299"/>
        <v>0</v>
      </c>
      <c r="G665" s="143">
        <f t="shared" si="299"/>
        <v>0</v>
      </c>
      <c r="H665" s="143">
        <f t="shared" si="299"/>
        <v>0</v>
      </c>
      <c r="I665" s="143">
        <f t="shared" si="299"/>
        <v>0</v>
      </c>
      <c r="J665" s="143">
        <f t="shared" si="299"/>
        <v>0</v>
      </c>
      <c r="K665" s="143">
        <f t="shared" si="299"/>
        <v>0</v>
      </c>
      <c r="L665" s="143">
        <f t="shared" si="299"/>
        <v>0</v>
      </c>
      <c r="M665" s="143">
        <f t="shared" si="299"/>
        <v>0</v>
      </c>
    </row>
    <row r="666" ht="15.75" hidden="1" customHeight="1" outlineLevel="1">
      <c r="A666" s="142" t="s">
        <v>81</v>
      </c>
      <c r="B666" s="143">
        <f t="shared" ref="B666:M666" si="300">MAX(0,B635*B$600-$N635)</f>
        <v>0</v>
      </c>
      <c r="C666" s="143">
        <f t="shared" si="300"/>
        <v>0</v>
      </c>
      <c r="D666" s="143">
        <f t="shared" si="300"/>
        <v>0</v>
      </c>
      <c r="E666" s="143">
        <f t="shared" si="300"/>
        <v>0</v>
      </c>
      <c r="F666" s="143">
        <f t="shared" si="300"/>
        <v>0</v>
      </c>
      <c r="G666" s="143">
        <f t="shared" si="300"/>
        <v>0</v>
      </c>
      <c r="H666" s="143">
        <f t="shared" si="300"/>
        <v>0</v>
      </c>
      <c r="I666" s="143">
        <f t="shared" si="300"/>
        <v>0</v>
      </c>
      <c r="J666" s="143">
        <f t="shared" si="300"/>
        <v>0</v>
      </c>
      <c r="K666" s="143">
        <f t="shared" si="300"/>
        <v>0</v>
      </c>
      <c r="L666" s="143">
        <f t="shared" si="300"/>
        <v>0</v>
      </c>
      <c r="M666" s="143">
        <f t="shared" si="300"/>
        <v>0</v>
      </c>
    </row>
    <row r="667" ht="15.75" hidden="1" customHeight="1" outlineLevel="1">
      <c r="A667" s="142" t="s">
        <v>82</v>
      </c>
      <c r="B667" s="143">
        <f t="shared" ref="B667:M667" si="301">MAX(0,B636*B$600-$N636)</f>
        <v>0</v>
      </c>
      <c r="C667" s="143">
        <f t="shared" si="301"/>
        <v>0</v>
      </c>
      <c r="D667" s="143">
        <f t="shared" si="301"/>
        <v>0</v>
      </c>
      <c r="E667" s="143">
        <f t="shared" si="301"/>
        <v>0</v>
      </c>
      <c r="F667" s="143">
        <f t="shared" si="301"/>
        <v>0</v>
      </c>
      <c r="G667" s="143">
        <f t="shared" si="301"/>
        <v>0</v>
      </c>
      <c r="H667" s="143">
        <f t="shared" si="301"/>
        <v>0</v>
      </c>
      <c r="I667" s="143">
        <f t="shared" si="301"/>
        <v>0</v>
      </c>
      <c r="J667" s="143">
        <f t="shared" si="301"/>
        <v>0</v>
      </c>
      <c r="K667" s="143">
        <f t="shared" si="301"/>
        <v>0</v>
      </c>
      <c r="L667" s="143">
        <f t="shared" si="301"/>
        <v>0</v>
      </c>
      <c r="M667" s="143">
        <f t="shared" si="301"/>
        <v>0</v>
      </c>
    </row>
    <row r="668" ht="15.75" hidden="1" customHeight="1" outlineLevel="1">
      <c r="A668" s="142" t="s">
        <v>83</v>
      </c>
      <c r="B668" s="143">
        <f t="shared" ref="B668:M668" si="302">MAX(0,B637*B$600-$N637)</f>
        <v>0</v>
      </c>
      <c r="C668" s="143">
        <f t="shared" si="302"/>
        <v>0</v>
      </c>
      <c r="D668" s="143">
        <f t="shared" si="302"/>
        <v>0</v>
      </c>
      <c r="E668" s="143">
        <f t="shared" si="302"/>
        <v>0</v>
      </c>
      <c r="F668" s="143">
        <f t="shared" si="302"/>
        <v>0</v>
      </c>
      <c r="G668" s="143">
        <f t="shared" si="302"/>
        <v>0</v>
      </c>
      <c r="H668" s="143">
        <f t="shared" si="302"/>
        <v>0</v>
      </c>
      <c r="I668" s="143">
        <f t="shared" si="302"/>
        <v>0</v>
      </c>
      <c r="J668" s="143">
        <f t="shared" si="302"/>
        <v>0</v>
      </c>
      <c r="K668" s="143">
        <f t="shared" si="302"/>
        <v>0</v>
      </c>
      <c r="L668" s="143">
        <f t="shared" si="302"/>
        <v>0</v>
      </c>
      <c r="M668" s="143">
        <f t="shared" si="302"/>
        <v>0</v>
      </c>
    </row>
    <row r="669" ht="15.75" hidden="1" customHeight="1" outlineLevel="1">
      <c r="A669" s="142" t="s">
        <v>84</v>
      </c>
      <c r="B669" s="143">
        <f t="shared" ref="B669:M669" si="303">MAX(0,B638*B$600-$N638)</f>
        <v>0</v>
      </c>
      <c r="C669" s="143">
        <f t="shared" si="303"/>
        <v>0</v>
      </c>
      <c r="D669" s="143">
        <f t="shared" si="303"/>
        <v>0</v>
      </c>
      <c r="E669" s="143">
        <f t="shared" si="303"/>
        <v>0</v>
      </c>
      <c r="F669" s="143">
        <f t="shared" si="303"/>
        <v>0</v>
      </c>
      <c r="G669" s="143">
        <f t="shared" si="303"/>
        <v>0</v>
      </c>
      <c r="H669" s="143">
        <f t="shared" si="303"/>
        <v>0</v>
      </c>
      <c r="I669" s="143">
        <f t="shared" si="303"/>
        <v>0</v>
      </c>
      <c r="J669" s="143">
        <f t="shared" si="303"/>
        <v>0</v>
      </c>
      <c r="K669" s="143">
        <f t="shared" si="303"/>
        <v>0</v>
      </c>
      <c r="L669" s="143">
        <f t="shared" si="303"/>
        <v>0</v>
      </c>
      <c r="M669" s="143">
        <f t="shared" si="303"/>
        <v>0</v>
      </c>
    </row>
    <row r="670" ht="15.75" hidden="1" customHeight="1" outlineLevel="1">
      <c r="A670" s="142" t="s">
        <v>85</v>
      </c>
      <c r="B670" s="143">
        <f t="shared" ref="B670:M670" si="304">MAX(0,B639*B$600-$N639)</f>
        <v>0</v>
      </c>
      <c r="C670" s="143">
        <f t="shared" si="304"/>
        <v>0</v>
      </c>
      <c r="D670" s="143">
        <f t="shared" si="304"/>
        <v>0</v>
      </c>
      <c r="E670" s="143">
        <f t="shared" si="304"/>
        <v>0</v>
      </c>
      <c r="F670" s="143">
        <f t="shared" si="304"/>
        <v>0</v>
      </c>
      <c r="G670" s="143">
        <f t="shared" si="304"/>
        <v>0</v>
      </c>
      <c r="H670" s="143">
        <f t="shared" si="304"/>
        <v>0</v>
      </c>
      <c r="I670" s="143">
        <f t="shared" si="304"/>
        <v>0</v>
      </c>
      <c r="J670" s="143">
        <f t="shared" si="304"/>
        <v>0</v>
      </c>
      <c r="K670" s="143">
        <f t="shared" si="304"/>
        <v>0</v>
      </c>
      <c r="L670" s="143">
        <f t="shared" si="304"/>
        <v>0</v>
      </c>
      <c r="M670" s="143">
        <f t="shared" si="304"/>
        <v>0</v>
      </c>
    </row>
    <row r="671" ht="15.75" customHeight="1"/>
    <row r="672" ht="15.75" customHeight="1"/>
    <row r="673" ht="15.75" customHeight="1">
      <c r="A673" s="45" t="s">
        <v>780</v>
      </c>
      <c r="B673" s="69"/>
      <c r="C673" s="69"/>
      <c r="D673" s="69"/>
      <c r="E673" s="69"/>
      <c r="F673" s="69"/>
      <c r="G673" s="69"/>
      <c r="H673" s="69"/>
      <c r="I673" s="69"/>
      <c r="J673" s="69"/>
      <c r="K673" s="69"/>
      <c r="L673" s="69"/>
      <c r="M673" s="69"/>
      <c r="N673" s="69"/>
    </row>
    <row r="674" ht="15.75" customHeight="1">
      <c r="A674" s="73" t="s">
        <v>270</v>
      </c>
      <c r="B674" s="36">
        <f>'Resumen Capacidad'!H85</f>
        <v>2</v>
      </c>
    </row>
    <row r="675" ht="15.75" customHeight="1">
      <c r="A675" s="30" t="s">
        <v>333</v>
      </c>
      <c r="B675" s="84">
        <f>IF($B$5=1,MAX(MAX(B689:L689),M688),MAX(B689:M689))</f>
        <v>2890.831004</v>
      </c>
    </row>
    <row r="676" ht="15.75" customHeight="1">
      <c r="A676" s="73" t="s">
        <v>275</v>
      </c>
      <c r="B676" s="115">
        <f>MIN('Resumen Capacidad'!H$49+'Resumen Capacidad'!H$228+'Resumen Capacidad'!H$235,MAX($B$13,ROUNDUP(B675/$B$11,0)))</f>
        <v>18</v>
      </c>
      <c r="C676" s="22" t="s">
        <v>339</v>
      </c>
    </row>
    <row r="677" ht="15.75" customHeight="1">
      <c r="A677" s="73" t="s">
        <v>284</v>
      </c>
      <c r="B677" s="115">
        <f>IF(B674=2,ROUNDUP(MAX(B695:M695)/$B$11,0),0)</f>
        <v>1</v>
      </c>
      <c r="C677" s="22" t="s">
        <v>341</v>
      </c>
    </row>
    <row r="678" ht="15.75" customHeight="1">
      <c r="A678" s="73" t="s">
        <v>280</v>
      </c>
      <c r="B678" s="115">
        <f>IF(MAX(B705:M705)=0,0,MAX(Parametros!$B$73,ROUNDUP(MAX(B705:M705)/$B$11,0)))</f>
        <v>14</v>
      </c>
      <c r="C678" s="22" t="s">
        <v>345</v>
      </c>
    </row>
    <row r="679" ht="15.75" customHeight="1">
      <c r="A679" s="73" t="s">
        <v>286</v>
      </c>
      <c r="B679" s="115">
        <f>IF(B674=2,MAX(1,ROUNDUP(MAX(B699:M699)/$B$11,0)),0)</f>
        <v>2</v>
      </c>
      <c r="C679" s="22" t="s">
        <v>347</v>
      </c>
    </row>
    <row r="680" ht="15.75" customHeight="1"/>
    <row r="681" ht="15.75" customHeight="1">
      <c r="A681" s="29" t="s">
        <v>188</v>
      </c>
      <c r="B681" s="29" t="s">
        <v>109</v>
      </c>
      <c r="C681" s="29" t="s">
        <v>110</v>
      </c>
      <c r="D681" s="29" t="s">
        <v>111</v>
      </c>
      <c r="E681" s="29" t="s">
        <v>112</v>
      </c>
      <c r="F681" s="29" t="s">
        <v>113</v>
      </c>
      <c r="G681" s="29" t="s">
        <v>114</v>
      </c>
      <c r="H681" s="29" t="s">
        <v>115</v>
      </c>
      <c r="I681" s="29" t="s">
        <v>116</v>
      </c>
      <c r="J681" s="29" t="s">
        <v>117</v>
      </c>
      <c r="K681" s="29" t="s">
        <v>118</v>
      </c>
      <c r="L681" s="29" t="s">
        <v>119</v>
      </c>
      <c r="M681" s="29" t="s">
        <v>120</v>
      </c>
      <c r="N681" s="29" t="s">
        <v>348</v>
      </c>
    </row>
    <row r="682" ht="15.75" customHeight="1">
      <c r="A682" s="30" t="s">
        <v>349</v>
      </c>
      <c r="B682" s="64">
        <f>H$74*B$53</f>
        <v>0</v>
      </c>
      <c r="C682" s="64">
        <f>H$74*C$53</f>
        <v>230.625</v>
      </c>
      <c r="D682" s="64">
        <f>H$74*D$53</f>
        <v>307.5</v>
      </c>
      <c r="E682" s="64">
        <f>H$74*E$53</f>
        <v>307.5</v>
      </c>
      <c r="F682" s="64">
        <f>H$74*F$53</f>
        <v>0</v>
      </c>
      <c r="G682" s="64">
        <f>H$74*G$53</f>
        <v>0</v>
      </c>
      <c r="H682" s="64">
        <f>H$74*H$53</f>
        <v>384.375</v>
      </c>
      <c r="I682" s="64">
        <f>H$74*I$53</f>
        <v>0</v>
      </c>
      <c r="J682" s="64">
        <f>H$74*J$53</f>
        <v>0</v>
      </c>
      <c r="K682" s="64">
        <f>H$74*K$53</f>
        <v>153.75</v>
      </c>
      <c r="L682" s="64">
        <f>H$74*L$53</f>
        <v>153.75</v>
      </c>
      <c r="M682" s="64">
        <f>H$74*M$53</f>
        <v>0</v>
      </c>
      <c r="N682" s="84">
        <f t="shared" ref="N682:N705" si="305">MAX(B682:M682)</f>
        <v>384.375</v>
      </c>
    </row>
    <row r="683" ht="15.75" customHeight="1">
      <c r="A683" s="30" t="s">
        <v>359</v>
      </c>
      <c r="B683" s="64">
        <f>H$78*B$53</f>
        <v>0</v>
      </c>
      <c r="C683" s="64">
        <f>H$78*C$53</f>
        <v>11.25</v>
      </c>
      <c r="D683" s="64">
        <f>H$78*D$53</f>
        <v>15</v>
      </c>
      <c r="E683" s="64">
        <f>H$78*E$53</f>
        <v>15</v>
      </c>
      <c r="F683" s="64">
        <f>H$78*F$53</f>
        <v>0</v>
      </c>
      <c r="G683" s="64">
        <f>H$78*G$53</f>
        <v>0</v>
      </c>
      <c r="H683" s="64">
        <f>H$78*H$53</f>
        <v>18.75</v>
      </c>
      <c r="I683" s="64">
        <f>H$78*I$53</f>
        <v>0</v>
      </c>
      <c r="J683" s="64">
        <f>H$78*J$53</f>
        <v>0</v>
      </c>
      <c r="K683" s="64">
        <f>H$78*K$53</f>
        <v>7.5</v>
      </c>
      <c r="L683" s="64">
        <f>H$78*L$53</f>
        <v>7.5</v>
      </c>
      <c r="M683" s="64">
        <f>H$78*M$53</f>
        <v>0</v>
      </c>
      <c r="N683" s="84">
        <f t="shared" si="305"/>
        <v>18.75</v>
      </c>
    </row>
    <row r="684" ht="15.75" customHeight="1">
      <c r="A684" s="30" t="s">
        <v>375</v>
      </c>
      <c r="B684" s="64">
        <f>H$82*B$54</f>
        <v>0</v>
      </c>
      <c r="C684" s="64">
        <f>H$82*C$54</f>
        <v>168.75</v>
      </c>
      <c r="D684" s="64">
        <f>H$82*D$54</f>
        <v>168.75</v>
      </c>
      <c r="E684" s="64">
        <f>H$82*E$54</f>
        <v>168.75</v>
      </c>
      <c r="F684" s="64">
        <f>H$82*F$54</f>
        <v>0</v>
      </c>
      <c r="G684" s="64">
        <f>H$82*G$54</f>
        <v>0</v>
      </c>
      <c r="H684" s="64">
        <f>H$82*H$54</f>
        <v>281.25</v>
      </c>
      <c r="I684" s="64">
        <f>H$82*I$54</f>
        <v>0</v>
      </c>
      <c r="J684" s="64">
        <f>H$82*J$54</f>
        <v>0</v>
      </c>
      <c r="K684" s="64">
        <f>H$82*K$54</f>
        <v>168.75</v>
      </c>
      <c r="L684" s="64">
        <f>H$82*L$54</f>
        <v>168.75</v>
      </c>
      <c r="M684" s="64">
        <f>H$82*M$54</f>
        <v>0</v>
      </c>
      <c r="N684" s="84">
        <f t="shared" si="305"/>
        <v>281.25</v>
      </c>
    </row>
    <row r="685" ht="15.75" customHeight="1">
      <c r="A685" s="30" t="s">
        <v>380</v>
      </c>
      <c r="B685" s="64">
        <f>H$86*B$54</f>
        <v>0</v>
      </c>
      <c r="C685" s="64">
        <f>H$86*C$54</f>
        <v>22.5</v>
      </c>
      <c r="D685" s="64">
        <f>H$86*D$54</f>
        <v>22.5</v>
      </c>
      <c r="E685" s="64">
        <f>H$86*E$54</f>
        <v>22.5</v>
      </c>
      <c r="F685" s="64">
        <f>H$86*F$54</f>
        <v>0</v>
      </c>
      <c r="G685" s="64">
        <f>H$86*G$54</f>
        <v>0</v>
      </c>
      <c r="H685" s="64">
        <f>H$86*H$54</f>
        <v>37.5</v>
      </c>
      <c r="I685" s="64">
        <f>H$86*I$54</f>
        <v>0</v>
      </c>
      <c r="J685" s="64">
        <f>H$86*J$54</f>
        <v>0</v>
      </c>
      <c r="K685" s="64">
        <f>H$86*K$54</f>
        <v>22.5</v>
      </c>
      <c r="L685" s="64">
        <f>H$86*L$54</f>
        <v>22.5</v>
      </c>
      <c r="M685" s="64">
        <f>H$86*M$54</f>
        <v>0</v>
      </c>
      <c r="N685" s="84">
        <f t="shared" si="305"/>
        <v>37.5</v>
      </c>
    </row>
    <row r="686" ht="15.75" customHeight="1">
      <c r="A686" s="30" t="s">
        <v>382</v>
      </c>
      <c r="B686" s="64">
        <f>'Analisis de operaciones'!C1102</f>
        <v>19483.38</v>
      </c>
      <c r="C686" s="64">
        <f>'Analisis de operaciones'!D1102</f>
        <v>14856.66</v>
      </c>
      <c r="D686" s="64">
        <f>'Analisis de operaciones'!E1102</f>
        <v>13884.045</v>
      </c>
      <c r="E686" s="64">
        <f>'Analisis de operaciones'!F1102</f>
        <v>13275.675</v>
      </c>
      <c r="F686" s="64">
        <f>'Analisis de operaciones'!G1102</f>
        <v>12423.18</v>
      </c>
      <c r="G686" s="64">
        <f>'Analisis de operaciones'!H1102</f>
        <v>12179.055</v>
      </c>
      <c r="H686" s="64">
        <f>'Analisis de operaciones'!I1102</f>
        <v>13031.55</v>
      </c>
      <c r="I686" s="64">
        <f>'Analisis de operaciones'!J1102</f>
        <v>13031.55</v>
      </c>
      <c r="J686" s="64">
        <f>'Analisis de operaciones'!K1102</f>
        <v>13031.55</v>
      </c>
      <c r="K686" s="64">
        <f>'Analisis de operaciones'!L1102</f>
        <v>12787.425</v>
      </c>
      <c r="L686" s="64">
        <f>'Analisis de operaciones'!M1102</f>
        <v>12543.3</v>
      </c>
      <c r="M686" s="64">
        <f>'Analisis de operaciones'!N1102</f>
        <v>19971.63</v>
      </c>
      <c r="N686" s="84">
        <f t="shared" si="305"/>
        <v>19971.63</v>
      </c>
    </row>
    <row r="687" ht="15.75" customHeight="1">
      <c r="A687" s="30" t="s">
        <v>383</v>
      </c>
      <c r="B687" s="64">
        <f t="shared" ref="B687:M687" si="306">SUM(B713:B732)+B742</f>
        <v>2748.787567</v>
      </c>
      <c r="C687" s="64">
        <f t="shared" si="306"/>
        <v>2110.361082</v>
      </c>
      <c r="D687" s="64">
        <f t="shared" si="306"/>
        <v>2008.801872</v>
      </c>
      <c r="E687" s="64">
        <f t="shared" si="306"/>
        <v>1933.033591</v>
      </c>
      <c r="F687" s="64">
        <f t="shared" si="306"/>
        <v>1812.115741</v>
      </c>
      <c r="G687" s="64">
        <f t="shared" si="306"/>
        <v>1763.74765</v>
      </c>
      <c r="H687" s="64">
        <f t="shared" si="306"/>
        <v>1887.884022</v>
      </c>
      <c r="I687" s="64">
        <f t="shared" si="306"/>
        <v>1887.884022</v>
      </c>
      <c r="J687" s="64">
        <f t="shared" si="306"/>
        <v>1886.274761</v>
      </c>
      <c r="K687" s="64">
        <f t="shared" si="306"/>
        <v>1837.90667</v>
      </c>
      <c r="L687" s="64">
        <f t="shared" si="306"/>
        <v>1791.147839</v>
      </c>
      <c r="M687" s="64">
        <f t="shared" si="306"/>
        <v>2837.477444</v>
      </c>
      <c r="N687" s="84">
        <f t="shared" si="305"/>
        <v>2837.477444</v>
      </c>
    </row>
    <row r="688" ht="15.75" customHeight="1">
      <c r="A688" s="30" t="s">
        <v>385</v>
      </c>
      <c r="B688" s="64">
        <f t="shared" ref="B688:M688" si="307">SUM(B734:B741)</f>
        <v>142.0434375</v>
      </c>
      <c r="C688" s="64">
        <f t="shared" si="307"/>
        <v>125.3324449</v>
      </c>
      <c r="D688" s="64">
        <f t="shared" si="307"/>
        <v>150.3989338</v>
      </c>
      <c r="E688" s="64">
        <f t="shared" si="307"/>
        <v>150.3989338</v>
      </c>
      <c r="F688" s="64">
        <f t="shared" si="307"/>
        <v>150.3989338</v>
      </c>
      <c r="G688" s="64">
        <f t="shared" si="307"/>
        <v>133.6879412</v>
      </c>
      <c r="H688" s="64">
        <f t="shared" si="307"/>
        <v>150.3989338</v>
      </c>
      <c r="I688" s="64">
        <f t="shared" si="307"/>
        <v>150.3989338</v>
      </c>
      <c r="J688" s="64">
        <f t="shared" si="307"/>
        <v>142.0434375</v>
      </c>
      <c r="K688" s="64">
        <f t="shared" si="307"/>
        <v>125.3324449</v>
      </c>
      <c r="L688" s="64">
        <f t="shared" si="307"/>
        <v>116.9769485</v>
      </c>
      <c r="M688" s="64">
        <f t="shared" si="307"/>
        <v>133.6879412</v>
      </c>
      <c r="N688" s="84">
        <f t="shared" si="305"/>
        <v>150.3989338</v>
      </c>
    </row>
    <row r="689" ht="15.75" customHeight="1">
      <c r="A689" s="73" t="s">
        <v>386</v>
      </c>
      <c r="B689" s="84">
        <f t="shared" ref="B689:M689" si="308">B687+B688</f>
        <v>2890.831004</v>
      </c>
      <c r="C689" s="84">
        <f t="shared" si="308"/>
        <v>2235.693527</v>
      </c>
      <c r="D689" s="84">
        <f t="shared" si="308"/>
        <v>2159.200806</v>
      </c>
      <c r="E689" s="84">
        <f t="shared" si="308"/>
        <v>2083.432525</v>
      </c>
      <c r="F689" s="84">
        <f t="shared" si="308"/>
        <v>1962.514675</v>
      </c>
      <c r="G689" s="84">
        <f t="shared" si="308"/>
        <v>1897.435591</v>
      </c>
      <c r="H689" s="84">
        <f t="shared" si="308"/>
        <v>2038.282956</v>
      </c>
      <c r="I689" s="84">
        <f t="shared" si="308"/>
        <v>2038.282956</v>
      </c>
      <c r="J689" s="84">
        <f t="shared" si="308"/>
        <v>2028.318198</v>
      </c>
      <c r="K689" s="84">
        <f t="shared" si="308"/>
        <v>1963.239114</v>
      </c>
      <c r="L689" s="84">
        <f t="shared" si="308"/>
        <v>1908.124788</v>
      </c>
      <c r="M689" s="84">
        <f t="shared" si="308"/>
        <v>2971.165385</v>
      </c>
      <c r="N689" s="84">
        <f t="shared" si="305"/>
        <v>2971.165385</v>
      </c>
    </row>
    <row r="690" ht="15.75" customHeight="1">
      <c r="A690" s="30" t="s">
        <v>388</v>
      </c>
      <c r="B690" s="64">
        <f t="shared" ref="B690:M690" si="309">$B$676*$B$9-B682</f>
        <v>2357.1</v>
      </c>
      <c r="C690" s="64">
        <f t="shared" si="309"/>
        <v>2126.475</v>
      </c>
      <c r="D690" s="64">
        <f t="shared" si="309"/>
        <v>2049.6</v>
      </c>
      <c r="E690" s="64">
        <f t="shared" si="309"/>
        <v>2049.6</v>
      </c>
      <c r="F690" s="64">
        <f t="shared" si="309"/>
        <v>2357.1</v>
      </c>
      <c r="G690" s="64">
        <f t="shared" si="309"/>
        <v>2357.1</v>
      </c>
      <c r="H690" s="64">
        <f t="shared" si="309"/>
        <v>1972.725</v>
      </c>
      <c r="I690" s="64">
        <f t="shared" si="309"/>
        <v>2357.1</v>
      </c>
      <c r="J690" s="64">
        <f t="shared" si="309"/>
        <v>2357.1</v>
      </c>
      <c r="K690" s="64">
        <f t="shared" si="309"/>
        <v>2203.35</v>
      </c>
      <c r="L690" s="64">
        <f t="shared" si="309"/>
        <v>2203.35</v>
      </c>
      <c r="M690" s="64">
        <f t="shared" si="309"/>
        <v>2357.1</v>
      </c>
      <c r="N690" s="84">
        <f t="shared" si="305"/>
        <v>2357.1</v>
      </c>
    </row>
    <row r="691" ht="15.75" customHeight="1">
      <c r="A691" s="30" t="s">
        <v>389</v>
      </c>
      <c r="B691" s="64">
        <f t="shared" ref="B691:M691" si="310">IF(B687=0,0,MAX(0,B690-B689)*B686/B687)</f>
        <v>0</v>
      </c>
      <c r="C691" s="64">
        <f t="shared" si="310"/>
        <v>0</v>
      </c>
      <c r="D691" s="64">
        <f t="shared" si="310"/>
        <v>0</v>
      </c>
      <c r="E691" s="64">
        <f t="shared" si="310"/>
        <v>0</v>
      </c>
      <c r="F691" s="64">
        <f t="shared" si="310"/>
        <v>2705.127718</v>
      </c>
      <c r="G691" s="64">
        <f t="shared" si="310"/>
        <v>3174.081123</v>
      </c>
      <c r="H691" s="64">
        <f t="shared" si="310"/>
        <v>0</v>
      </c>
      <c r="I691" s="64">
        <f t="shared" si="310"/>
        <v>2200.707353</v>
      </c>
      <c r="J691" s="64">
        <f t="shared" si="310"/>
        <v>2271.427564</v>
      </c>
      <c r="K691" s="64">
        <f t="shared" si="310"/>
        <v>1670.596223</v>
      </c>
      <c r="L691" s="64">
        <f t="shared" si="310"/>
        <v>2067.444307</v>
      </c>
      <c r="M691" s="64">
        <f t="shared" si="310"/>
        <v>0</v>
      </c>
      <c r="N691" s="84">
        <f t="shared" si="305"/>
        <v>3174.081123</v>
      </c>
    </row>
    <row r="692" ht="15.75" customHeight="1">
      <c r="A692" s="73" t="s">
        <v>390</v>
      </c>
      <c r="B692" s="84">
        <f t="shared" ref="B692:J692" si="311">0</f>
        <v>0</v>
      </c>
      <c r="C692" s="84">
        <f t="shared" si="311"/>
        <v>0</v>
      </c>
      <c r="D692" s="84">
        <f t="shared" si="311"/>
        <v>0</v>
      </c>
      <c r="E692" s="84">
        <f t="shared" si="311"/>
        <v>0</v>
      </c>
      <c r="F692" s="84">
        <f t="shared" si="311"/>
        <v>0</v>
      </c>
      <c r="G692" s="84">
        <f t="shared" si="311"/>
        <v>0</v>
      </c>
      <c r="H692" s="84">
        <f t="shared" si="311"/>
        <v>0</v>
      </c>
      <c r="I692" s="84">
        <f t="shared" si="311"/>
        <v>0</v>
      </c>
      <c r="J692" s="84">
        <f t="shared" si="311"/>
        <v>0</v>
      </c>
      <c r="K692" s="140">
        <f>$B$5*MIN(K691,M686)</f>
        <v>1670.596223</v>
      </c>
      <c r="L692" s="140">
        <f>$B$5*MIN(L691,M686-K692)</f>
        <v>2067.444307</v>
      </c>
      <c r="M692" s="140">
        <f>-(K692+L692)</f>
        <v>-3738.04053</v>
      </c>
      <c r="N692" s="84">
        <f t="shared" si="305"/>
        <v>2067.444307</v>
      </c>
    </row>
    <row r="693" ht="15.75" customHeight="1">
      <c r="A693" s="30" t="s">
        <v>391</v>
      </c>
      <c r="B693" s="133">
        <f t="shared" ref="B693:M693" si="312">IF(B686=0,1,(B686+B692)/B686)</f>
        <v>1</v>
      </c>
      <c r="C693" s="133">
        <f t="shared" si="312"/>
        <v>1</v>
      </c>
      <c r="D693" s="133">
        <f t="shared" si="312"/>
        <v>1</v>
      </c>
      <c r="E693" s="133">
        <f t="shared" si="312"/>
        <v>1</v>
      </c>
      <c r="F693" s="133">
        <f t="shared" si="312"/>
        <v>1</v>
      </c>
      <c r="G693" s="133">
        <f t="shared" si="312"/>
        <v>1</v>
      </c>
      <c r="H693" s="133">
        <f t="shared" si="312"/>
        <v>1</v>
      </c>
      <c r="I693" s="133">
        <f t="shared" si="312"/>
        <v>1</v>
      </c>
      <c r="J693" s="133">
        <f t="shared" si="312"/>
        <v>1</v>
      </c>
      <c r="K693" s="133">
        <f t="shared" si="312"/>
        <v>1.130643677</v>
      </c>
      <c r="L693" s="133">
        <f t="shared" si="312"/>
        <v>1.164824592</v>
      </c>
      <c r="M693" s="133">
        <f t="shared" si="312"/>
        <v>0.8128324764</v>
      </c>
      <c r="N693" s="40">
        <f t="shared" si="305"/>
        <v>1.164824592</v>
      </c>
    </row>
    <row r="694" ht="15.75" customHeight="1">
      <c r="A694" s="73" t="s">
        <v>392</v>
      </c>
      <c r="B694" s="84">
        <f t="shared" ref="B694:M694" si="313">B687*B693+B688</f>
        <v>2890.831004</v>
      </c>
      <c r="C694" s="84">
        <f t="shared" si="313"/>
        <v>2235.693527</v>
      </c>
      <c r="D694" s="84">
        <f t="shared" si="313"/>
        <v>2159.200806</v>
      </c>
      <c r="E694" s="84">
        <f t="shared" si="313"/>
        <v>2083.432525</v>
      </c>
      <c r="F694" s="84">
        <f t="shared" si="313"/>
        <v>1962.514675</v>
      </c>
      <c r="G694" s="84">
        <f t="shared" si="313"/>
        <v>1897.435591</v>
      </c>
      <c r="H694" s="84">
        <f t="shared" si="313"/>
        <v>2038.282956</v>
      </c>
      <c r="I694" s="84">
        <f t="shared" si="313"/>
        <v>2038.282956</v>
      </c>
      <c r="J694" s="84">
        <f t="shared" si="313"/>
        <v>2028.318198</v>
      </c>
      <c r="K694" s="84">
        <f t="shared" si="313"/>
        <v>2203.35</v>
      </c>
      <c r="L694" s="84">
        <f t="shared" si="313"/>
        <v>2203.35</v>
      </c>
      <c r="M694" s="84">
        <f t="shared" si="313"/>
        <v>2440.081758</v>
      </c>
      <c r="N694" s="84">
        <f t="shared" si="305"/>
        <v>2890.831004</v>
      </c>
    </row>
    <row r="695" ht="15.75" customHeight="1">
      <c r="A695" s="30" t="s">
        <v>393</v>
      </c>
      <c r="B695" s="64">
        <f t="shared" ref="B695:M695" si="314">IF($B$674=2,MAX(SUM(B744:B763),B694-($B$676*$B$11-B682)),0)</f>
        <v>24.26680473</v>
      </c>
      <c r="C695" s="64">
        <f t="shared" si="314"/>
        <v>0</v>
      </c>
      <c r="D695" s="64">
        <f t="shared" si="314"/>
        <v>0</v>
      </c>
      <c r="E695" s="64">
        <f t="shared" si="314"/>
        <v>0</v>
      </c>
      <c r="F695" s="64">
        <f t="shared" si="314"/>
        <v>0</v>
      </c>
      <c r="G695" s="64">
        <f t="shared" si="314"/>
        <v>0</v>
      </c>
      <c r="H695" s="64">
        <f t="shared" si="314"/>
        <v>0</v>
      </c>
      <c r="I695" s="64">
        <f t="shared" si="314"/>
        <v>0</v>
      </c>
      <c r="J695" s="64">
        <f t="shared" si="314"/>
        <v>0</v>
      </c>
      <c r="K695" s="64">
        <f t="shared" si="314"/>
        <v>0</v>
      </c>
      <c r="L695" s="64">
        <f t="shared" si="314"/>
        <v>0</v>
      </c>
      <c r="M695" s="64">
        <f t="shared" si="314"/>
        <v>0</v>
      </c>
      <c r="N695" s="84">
        <f t="shared" si="305"/>
        <v>24.26680473</v>
      </c>
    </row>
    <row r="696" ht="15.75" customHeight="1">
      <c r="A696" s="30" t="s">
        <v>394</v>
      </c>
      <c r="B696" s="64">
        <f t="shared" ref="B696:M696" si="315">MAX(0,B690-(B694-B695))</f>
        <v>0</v>
      </c>
      <c r="C696" s="64">
        <f t="shared" si="315"/>
        <v>0</v>
      </c>
      <c r="D696" s="64">
        <f t="shared" si="315"/>
        <v>0</v>
      </c>
      <c r="E696" s="64">
        <f t="shared" si="315"/>
        <v>0</v>
      </c>
      <c r="F696" s="64">
        <f t="shared" si="315"/>
        <v>394.5853251</v>
      </c>
      <c r="G696" s="64">
        <f t="shared" si="315"/>
        <v>459.6644092</v>
      </c>
      <c r="H696" s="64">
        <f t="shared" si="315"/>
        <v>0</v>
      </c>
      <c r="I696" s="64">
        <f t="shared" si="315"/>
        <v>318.817044</v>
      </c>
      <c r="J696" s="64">
        <f t="shared" si="315"/>
        <v>328.7818015</v>
      </c>
      <c r="K696" s="64">
        <f t="shared" si="315"/>
        <v>0</v>
      </c>
      <c r="L696" s="64">
        <f t="shared" si="315"/>
        <v>0</v>
      </c>
      <c r="M696" s="64">
        <f t="shared" si="315"/>
        <v>0</v>
      </c>
      <c r="N696" s="84">
        <f t="shared" si="305"/>
        <v>459.6644092</v>
      </c>
    </row>
    <row r="697" ht="15.75" customHeight="1">
      <c r="A697" s="73" t="s">
        <v>395</v>
      </c>
      <c r="B697" s="84">
        <f>'Analisis Recargas'!C387</f>
        <v>2180.156897</v>
      </c>
      <c r="C697" s="84">
        <f>'Analisis Recargas'!D387</f>
        <v>1803.320016</v>
      </c>
      <c r="D697" s="84">
        <f>'Analisis Recargas'!E387</f>
        <v>1859.569846</v>
      </c>
      <c r="E697" s="84">
        <f>'Analisis Recargas'!F387</f>
        <v>1808.096958</v>
      </c>
      <c r="F697" s="84">
        <f>'Analisis Recargas'!G387</f>
        <v>1751.847128</v>
      </c>
      <c r="G697" s="84">
        <f>'Analisis Recargas'!H387</f>
        <v>1695.597299</v>
      </c>
      <c r="H697" s="84">
        <f>'Analisis Recargas'!I387</f>
        <v>1812.8739</v>
      </c>
      <c r="I697" s="84">
        <f>'Analisis Recargas'!J387</f>
        <v>1854.792904</v>
      </c>
      <c r="J697" s="84">
        <f>'Analisis Recargas'!K387</f>
        <v>1854.792904</v>
      </c>
      <c r="K697" s="84">
        <f>'Analisis Recargas'!L387</f>
        <v>1803.320016</v>
      </c>
      <c r="L697" s="84">
        <f>'Analisis Recargas'!M387</f>
        <v>1798.543074</v>
      </c>
      <c r="M697" s="84">
        <f>'Analisis Recargas'!N387</f>
        <v>2608.115779</v>
      </c>
      <c r="N697" s="84">
        <f t="shared" si="305"/>
        <v>2608.115779</v>
      </c>
    </row>
    <row r="698" ht="15.75" customHeight="1">
      <c r="A698" s="30" t="s">
        <v>396</v>
      </c>
      <c r="B698" s="64">
        <f>IFERROR(B697*'Analisis Recargas'!C336*'Almacen PT'!$B$10/SUM('Analisis Recargas'!C336:C352),0)</f>
        <v>347.1076172</v>
      </c>
      <c r="C698" s="64">
        <f>IFERROR(C697*'Analisis Recargas'!D336*'Almacen PT'!$B$10/SUM('Analisis Recargas'!D336:D352),0)</f>
        <v>270.6435074</v>
      </c>
      <c r="D698" s="64">
        <f>IFERROR(D697*'Analisis Recargas'!E336*'Almacen PT'!$B$10/SUM('Analisis Recargas'!E336:E352),0)</f>
        <v>270.632795</v>
      </c>
      <c r="E698" s="64">
        <f>IFERROR(E697*'Analisis Recargas'!F336*'Almacen PT'!$B$10/SUM('Analisis Recargas'!F336:F352),0)</f>
        <v>270.6902005</v>
      </c>
      <c r="F698" s="64">
        <f>IFERROR(F697*'Analisis Recargas'!G336*'Almacen PT'!$B$10/SUM('Analisis Recargas'!G336:G352),0)</f>
        <v>270.7030761</v>
      </c>
      <c r="G698" s="64">
        <f>IFERROR(G697*'Analisis Recargas'!H336*'Almacen PT'!$B$10/SUM('Analisis Recargas'!H336:H352),0)</f>
        <v>270.7168074</v>
      </c>
      <c r="H698" s="64">
        <f>IFERROR(H697*'Analisis Recargas'!I336*'Almacen PT'!$B$10/SUM('Analisis Recargas'!I336:I352),0)</f>
        <v>270.7366634</v>
      </c>
      <c r="I698" s="64">
        <f>IFERROR(I697*'Analisis Recargas'!J336*'Almacen PT'!$B$10/SUM('Analisis Recargas'!J336:J352),0)</f>
        <v>270.587269</v>
      </c>
      <c r="J698" s="64">
        <f>IFERROR(J697*'Analisis Recargas'!K336*'Almacen PT'!$B$10/SUM('Analisis Recargas'!K336:K352),0)</f>
        <v>270.587269</v>
      </c>
      <c r="K698" s="64">
        <f>IFERROR(K697*'Analisis Recargas'!L336*'Almacen PT'!$B$10/SUM('Analisis Recargas'!L336:L352),0)</f>
        <v>270.6435074</v>
      </c>
      <c r="L698" s="64">
        <f>IFERROR(L697*'Analisis Recargas'!M336*'Almacen PT'!$B$10/SUM('Analisis Recargas'!M336:M352),0)</f>
        <v>270.5965826</v>
      </c>
      <c r="M698" s="64">
        <f>IFERROR(M697*'Analisis Recargas'!N336*'Almacen PT'!$B$10/SUM('Analisis Recargas'!N336:N352),0)</f>
        <v>416.2062609</v>
      </c>
      <c r="N698" s="84">
        <f t="shared" si="305"/>
        <v>416.2062609</v>
      </c>
    </row>
    <row r="699" ht="15.75" customHeight="1">
      <c r="A699" s="30" t="s">
        <v>397</v>
      </c>
      <c r="B699" s="64">
        <f t="shared" ref="B699:M699" si="316">IF($B$674=2,B698*$B$15,0)</f>
        <v>138.8430469</v>
      </c>
      <c r="C699" s="64">
        <f t="shared" si="316"/>
        <v>108.257403</v>
      </c>
      <c r="D699" s="64">
        <f t="shared" si="316"/>
        <v>108.253118</v>
      </c>
      <c r="E699" s="64">
        <f t="shared" si="316"/>
        <v>108.2760802</v>
      </c>
      <c r="F699" s="64">
        <f t="shared" si="316"/>
        <v>108.2812304</v>
      </c>
      <c r="G699" s="64">
        <f t="shared" si="316"/>
        <v>108.286723</v>
      </c>
      <c r="H699" s="64">
        <f t="shared" si="316"/>
        <v>108.2946654</v>
      </c>
      <c r="I699" s="64">
        <f t="shared" si="316"/>
        <v>108.2349076</v>
      </c>
      <c r="J699" s="64">
        <f t="shared" si="316"/>
        <v>108.2349076</v>
      </c>
      <c r="K699" s="64">
        <f t="shared" si="316"/>
        <v>108.257403</v>
      </c>
      <c r="L699" s="64">
        <f t="shared" si="316"/>
        <v>108.238633</v>
      </c>
      <c r="M699" s="64">
        <f t="shared" si="316"/>
        <v>166.4825044</v>
      </c>
      <c r="N699" s="84">
        <f t="shared" si="305"/>
        <v>166.4825044</v>
      </c>
    </row>
    <row r="700" ht="15.75" customHeight="1">
      <c r="A700" s="30" t="s">
        <v>399</v>
      </c>
      <c r="B700" s="64">
        <f t="shared" ref="B700:M700" si="317">MAX(0,B697-B699-$B$6*B696)</f>
        <v>2041.31385</v>
      </c>
      <c r="C700" s="64">
        <f t="shared" si="317"/>
        <v>1695.062613</v>
      </c>
      <c r="D700" s="64">
        <f t="shared" si="317"/>
        <v>1751.316728</v>
      </c>
      <c r="E700" s="64">
        <f t="shared" si="317"/>
        <v>1699.820878</v>
      </c>
      <c r="F700" s="64">
        <f t="shared" si="317"/>
        <v>1288.439105</v>
      </c>
      <c r="G700" s="64">
        <f t="shared" si="317"/>
        <v>1173.612608</v>
      </c>
      <c r="H700" s="64">
        <f t="shared" si="317"/>
        <v>1704.579235</v>
      </c>
      <c r="I700" s="64">
        <f t="shared" si="317"/>
        <v>1459.622657</v>
      </c>
      <c r="J700" s="64">
        <f t="shared" si="317"/>
        <v>1450.654375</v>
      </c>
      <c r="K700" s="64">
        <f t="shared" si="317"/>
        <v>1695.062613</v>
      </c>
      <c r="L700" s="64">
        <f t="shared" si="317"/>
        <v>1690.304441</v>
      </c>
      <c r="M700" s="64">
        <f t="shared" si="317"/>
        <v>2441.633275</v>
      </c>
      <c r="N700" s="84">
        <f t="shared" si="305"/>
        <v>2441.633275</v>
      </c>
    </row>
    <row r="701" ht="15.75" customHeight="1">
      <c r="A701" s="30" t="s">
        <v>400</v>
      </c>
      <c r="B701" s="64">
        <f t="shared" ref="B701:M701" si="318">MAX(0,$B$679*$B$9-B685-B699)</f>
        <v>123.0569531</v>
      </c>
      <c r="C701" s="64">
        <f t="shared" si="318"/>
        <v>131.142597</v>
      </c>
      <c r="D701" s="64">
        <f t="shared" si="318"/>
        <v>131.146882</v>
      </c>
      <c r="E701" s="64">
        <f t="shared" si="318"/>
        <v>131.1239198</v>
      </c>
      <c r="F701" s="64">
        <f t="shared" si="318"/>
        <v>153.6187696</v>
      </c>
      <c r="G701" s="64">
        <f t="shared" si="318"/>
        <v>153.613277</v>
      </c>
      <c r="H701" s="64">
        <f t="shared" si="318"/>
        <v>116.1053346</v>
      </c>
      <c r="I701" s="64">
        <f t="shared" si="318"/>
        <v>153.6650924</v>
      </c>
      <c r="J701" s="64">
        <f t="shared" si="318"/>
        <v>153.6650924</v>
      </c>
      <c r="K701" s="64">
        <f t="shared" si="318"/>
        <v>131.142597</v>
      </c>
      <c r="L701" s="64">
        <f t="shared" si="318"/>
        <v>131.161367</v>
      </c>
      <c r="M701" s="64">
        <f t="shared" si="318"/>
        <v>95.41749564</v>
      </c>
      <c r="N701" s="84">
        <f t="shared" si="305"/>
        <v>153.6650924</v>
      </c>
    </row>
    <row r="702" ht="15.75" customHeight="1">
      <c r="A702" s="30" t="s">
        <v>401</v>
      </c>
      <c r="B702" s="64">
        <f t="shared" ref="B702:M702" si="319">MIN(B700,B701)</f>
        <v>123.0569531</v>
      </c>
      <c r="C702" s="64">
        <f t="shared" si="319"/>
        <v>131.142597</v>
      </c>
      <c r="D702" s="64">
        <f t="shared" si="319"/>
        <v>131.146882</v>
      </c>
      <c r="E702" s="64">
        <f t="shared" si="319"/>
        <v>131.1239198</v>
      </c>
      <c r="F702" s="64">
        <f t="shared" si="319"/>
        <v>153.6187696</v>
      </c>
      <c r="G702" s="64">
        <f t="shared" si="319"/>
        <v>153.613277</v>
      </c>
      <c r="H702" s="64">
        <f t="shared" si="319"/>
        <v>116.1053346</v>
      </c>
      <c r="I702" s="64">
        <f t="shared" si="319"/>
        <v>153.6650924</v>
      </c>
      <c r="J702" s="64">
        <f t="shared" si="319"/>
        <v>153.6650924</v>
      </c>
      <c r="K702" s="64">
        <f t="shared" si="319"/>
        <v>131.142597</v>
      </c>
      <c r="L702" s="64">
        <f t="shared" si="319"/>
        <v>131.161367</v>
      </c>
      <c r="M702" s="64">
        <f t="shared" si="319"/>
        <v>95.41749564</v>
      </c>
      <c r="N702" s="84">
        <f t="shared" si="305"/>
        <v>153.6650924</v>
      </c>
    </row>
    <row r="703" ht="15.75" customHeight="1">
      <c r="A703" s="30" t="s">
        <v>403</v>
      </c>
      <c r="B703" s="64">
        <f t="shared" ref="B703:M703" si="320">MAX(0,$B$677*$B$9-B683-B695)</f>
        <v>106.6831953</v>
      </c>
      <c r="C703" s="64">
        <f t="shared" si="320"/>
        <v>119.7</v>
      </c>
      <c r="D703" s="64">
        <f t="shared" si="320"/>
        <v>115.95</v>
      </c>
      <c r="E703" s="64">
        <f t="shared" si="320"/>
        <v>115.95</v>
      </c>
      <c r="F703" s="64">
        <f t="shared" si="320"/>
        <v>130.95</v>
      </c>
      <c r="G703" s="64">
        <f t="shared" si="320"/>
        <v>130.95</v>
      </c>
      <c r="H703" s="64">
        <f t="shared" si="320"/>
        <v>112.2</v>
      </c>
      <c r="I703" s="64">
        <f t="shared" si="320"/>
        <v>130.95</v>
      </c>
      <c r="J703" s="64">
        <f t="shared" si="320"/>
        <v>130.95</v>
      </c>
      <c r="K703" s="64">
        <f t="shared" si="320"/>
        <v>123.45</v>
      </c>
      <c r="L703" s="64">
        <f t="shared" si="320"/>
        <v>123.45</v>
      </c>
      <c r="M703" s="64">
        <f t="shared" si="320"/>
        <v>130.95</v>
      </c>
      <c r="N703" s="84">
        <f t="shared" si="305"/>
        <v>130.95</v>
      </c>
    </row>
    <row r="704" ht="15.75" customHeight="1">
      <c r="A704" s="30" t="s">
        <v>404</v>
      </c>
      <c r="B704" s="64">
        <f t="shared" ref="B704:M704" si="321">MIN(B700-B702,$B$6*B703)</f>
        <v>96.01487574</v>
      </c>
      <c r="C704" s="64">
        <f t="shared" si="321"/>
        <v>107.73</v>
      </c>
      <c r="D704" s="64">
        <f t="shared" si="321"/>
        <v>104.355</v>
      </c>
      <c r="E704" s="64">
        <f t="shared" si="321"/>
        <v>104.355</v>
      </c>
      <c r="F704" s="64">
        <f t="shared" si="321"/>
        <v>117.855</v>
      </c>
      <c r="G704" s="64">
        <f t="shared" si="321"/>
        <v>117.855</v>
      </c>
      <c r="H704" s="64">
        <f t="shared" si="321"/>
        <v>100.98</v>
      </c>
      <c r="I704" s="64">
        <f t="shared" si="321"/>
        <v>117.855</v>
      </c>
      <c r="J704" s="64">
        <f t="shared" si="321"/>
        <v>117.855</v>
      </c>
      <c r="K704" s="64">
        <f t="shared" si="321"/>
        <v>111.105</v>
      </c>
      <c r="L704" s="64">
        <f t="shared" si="321"/>
        <v>111.105</v>
      </c>
      <c r="M704" s="64">
        <f t="shared" si="321"/>
        <v>117.855</v>
      </c>
      <c r="N704" s="84">
        <f t="shared" si="305"/>
        <v>117.855</v>
      </c>
    </row>
    <row r="705" ht="15.75" customHeight="1">
      <c r="A705" s="30" t="s">
        <v>405</v>
      </c>
      <c r="B705" s="64">
        <f t="shared" ref="B705:M705" si="322">B700-B702-B704</f>
        <v>1822.242021</v>
      </c>
      <c r="C705" s="64">
        <f t="shared" si="322"/>
        <v>1456.190016</v>
      </c>
      <c r="D705" s="64">
        <f t="shared" si="322"/>
        <v>1515.814846</v>
      </c>
      <c r="E705" s="64">
        <f t="shared" si="322"/>
        <v>1464.341958</v>
      </c>
      <c r="F705" s="64">
        <f t="shared" si="322"/>
        <v>1016.965336</v>
      </c>
      <c r="G705" s="64">
        <f t="shared" si="322"/>
        <v>902.1443305</v>
      </c>
      <c r="H705" s="64">
        <f t="shared" si="322"/>
        <v>1487.4939</v>
      </c>
      <c r="I705" s="64">
        <f t="shared" si="322"/>
        <v>1188.102564</v>
      </c>
      <c r="J705" s="64">
        <f t="shared" si="322"/>
        <v>1179.134283</v>
      </c>
      <c r="K705" s="64">
        <f t="shared" si="322"/>
        <v>1452.815016</v>
      </c>
      <c r="L705" s="64">
        <f t="shared" si="322"/>
        <v>1448.038074</v>
      </c>
      <c r="M705" s="64">
        <f t="shared" si="322"/>
        <v>2228.360779</v>
      </c>
      <c r="N705" s="84">
        <f t="shared" si="305"/>
        <v>2228.360779</v>
      </c>
    </row>
    <row r="706" ht="15.75" customHeight="1">
      <c r="A706" s="30" t="s">
        <v>406</v>
      </c>
      <c r="B706" s="64">
        <f t="shared" ref="B706:M706" si="323">MAX(0,B694-B695-B690)</f>
        <v>509.4641996</v>
      </c>
      <c r="C706" s="64">
        <f t="shared" si="323"/>
        <v>109.2185267</v>
      </c>
      <c r="D706" s="64">
        <f t="shared" si="323"/>
        <v>109.6008061</v>
      </c>
      <c r="E706" s="64">
        <f t="shared" si="323"/>
        <v>33.83252502</v>
      </c>
      <c r="F706" s="64">
        <f t="shared" si="323"/>
        <v>0</v>
      </c>
      <c r="G706" s="64">
        <f t="shared" si="323"/>
        <v>0</v>
      </c>
      <c r="H706" s="64">
        <f t="shared" si="323"/>
        <v>65.55795598</v>
      </c>
      <c r="I706" s="64">
        <f t="shared" si="323"/>
        <v>0</v>
      </c>
      <c r="J706" s="64">
        <f t="shared" si="323"/>
        <v>0</v>
      </c>
      <c r="K706" s="64">
        <f t="shared" si="323"/>
        <v>0</v>
      </c>
      <c r="L706" s="64">
        <f t="shared" si="323"/>
        <v>0</v>
      </c>
      <c r="M706" s="64">
        <f t="shared" si="323"/>
        <v>82.98175842</v>
      </c>
      <c r="N706" s="84">
        <f t="shared" ref="N706:N710" si="325">SUM(B706:M706)</f>
        <v>910.6557719</v>
      </c>
    </row>
    <row r="707" ht="15.75" customHeight="1">
      <c r="A707" s="30" t="s">
        <v>408</v>
      </c>
      <c r="B707" s="64">
        <f t="shared" ref="B707:M707" si="324">MAX(0,B695-($B$677*$B$9-B683))</f>
        <v>0</v>
      </c>
      <c r="C707" s="64">
        <f t="shared" si="324"/>
        <v>0</v>
      </c>
      <c r="D707" s="64">
        <f t="shared" si="324"/>
        <v>0</v>
      </c>
      <c r="E707" s="64">
        <f t="shared" si="324"/>
        <v>0</v>
      </c>
      <c r="F707" s="64">
        <f t="shared" si="324"/>
        <v>0</v>
      </c>
      <c r="G707" s="64">
        <f t="shared" si="324"/>
        <v>0</v>
      </c>
      <c r="H707" s="64">
        <f t="shared" si="324"/>
        <v>0</v>
      </c>
      <c r="I707" s="64">
        <f t="shared" si="324"/>
        <v>0</v>
      </c>
      <c r="J707" s="64">
        <f t="shared" si="324"/>
        <v>0</v>
      </c>
      <c r="K707" s="64">
        <f t="shared" si="324"/>
        <v>0</v>
      </c>
      <c r="L707" s="64">
        <f t="shared" si="324"/>
        <v>0</v>
      </c>
      <c r="M707" s="64">
        <f t="shared" si="324"/>
        <v>0</v>
      </c>
      <c r="N707" s="84">
        <f t="shared" si="325"/>
        <v>0</v>
      </c>
    </row>
    <row r="708" ht="15.75" customHeight="1">
      <c r="A708" s="30" t="s">
        <v>409</v>
      </c>
      <c r="B708" s="64">
        <f t="shared" ref="B708:M708" si="326">MAX(0,B705-($B$678*$B$9-B684))</f>
        <v>0</v>
      </c>
      <c r="C708" s="64">
        <f t="shared" si="326"/>
        <v>0</v>
      </c>
      <c r="D708" s="64">
        <f t="shared" si="326"/>
        <v>0</v>
      </c>
      <c r="E708" s="64">
        <f t="shared" si="326"/>
        <v>0</v>
      </c>
      <c r="F708" s="64">
        <f t="shared" si="326"/>
        <v>0</v>
      </c>
      <c r="G708" s="64">
        <f t="shared" si="326"/>
        <v>0</v>
      </c>
      <c r="H708" s="64">
        <f t="shared" si="326"/>
        <v>0</v>
      </c>
      <c r="I708" s="64">
        <f t="shared" si="326"/>
        <v>0</v>
      </c>
      <c r="J708" s="64">
        <f t="shared" si="326"/>
        <v>0</v>
      </c>
      <c r="K708" s="64">
        <f t="shared" si="326"/>
        <v>0</v>
      </c>
      <c r="L708" s="64">
        <f t="shared" si="326"/>
        <v>0</v>
      </c>
      <c r="M708" s="64">
        <f t="shared" si="326"/>
        <v>395.0607793</v>
      </c>
      <c r="N708" s="84">
        <f t="shared" si="325"/>
        <v>395.0607793</v>
      </c>
    </row>
    <row r="709" ht="15.75" customHeight="1">
      <c r="A709" s="30" t="s">
        <v>410</v>
      </c>
      <c r="B709" s="64">
        <f t="shared" ref="B709:M709" si="327">MAX(0,B699-($B$679*$B$9-B685))</f>
        <v>0</v>
      </c>
      <c r="C709" s="64">
        <f t="shared" si="327"/>
        <v>0</v>
      </c>
      <c r="D709" s="64">
        <f t="shared" si="327"/>
        <v>0</v>
      </c>
      <c r="E709" s="64">
        <f t="shared" si="327"/>
        <v>0</v>
      </c>
      <c r="F709" s="64">
        <f t="shared" si="327"/>
        <v>0</v>
      </c>
      <c r="G709" s="64">
        <f t="shared" si="327"/>
        <v>0</v>
      </c>
      <c r="H709" s="64">
        <f t="shared" si="327"/>
        <v>0</v>
      </c>
      <c r="I709" s="64">
        <f t="shared" si="327"/>
        <v>0</v>
      </c>
      <c r="J709" s="64">
        <f t="shared" si="327"/>
        <v>0</v>
      </c>
      <c r="K709" s="64">
        <f t="shared" si="327"/>
        <v>0</v>
      </c>
      <c r="L709" s="64">
        <f t="shared" si="327"/>
        <v>0</v>
      </c>
      <c r="M709" s="64">
        <f t="shared" si="327"/>
        <v>0</v>
      </c>
      <c r="N709" s="84">
        <f t="shared" si="325"/>
        <v>0</v>
      </c>
    </row>
    <row r="710" ht="15.75" customHeight="1">
      <c r="A710" s="73" t="s">
        <v>411</v>
      </c>
      <c r="B710" s="84">
        <f t="shared" ref="B710:M710" si="328">B706+B707+B708+B709</f>
        <v>509.4641996</v>
      </c>
      <c r="C710" s="84">
        <f t="shared" si="328"/>
        <v>109.2185267</v>
      </c>
      <c r="D710" s="84">
        <f t="shared" si="328"/>
        <v>109.6008061</v>
      </c>
      <c r="E710" s="84">
        <f t="shared" si="328"/>
        <v>33.83252502</v>
      </c>
      <c r="F710" s="84">
        <f t="shared" si="328"/>
        <v>0</v>
      </c>
      <c r="G710" s="84">
        <f t="shared" si="328"/>
        <v>0</v>
      </c>
      <c r="H710" s="84">
        <f t="shared" si="328"/>
        <v>65.55795598</v>
      </c>
      <c r="I710" s="84">
        <f t="shared" si="328"/>
        <v>0</v>
      </c>
      <c r="J710" s="84">
        <f t="shared" si="328"/>
        <v>0</v>
      </c>
      <c r="K710" s="84">
        <f t="shared" si="328"/>
        <v>0</v>
      </c>
      <c r="L710" s="84">
        <f t="shared" si="328"/>
        <v>0</v>
      </c>
      <c r="M710" s="84">
        <f t="shared" si="328"/>
        <v>478.0425377</v>
      </c>
      <c r="N710" s="84">
        <f t="shared" si="325"/>
        <v>1305.716551</v>
      </c>
    </row>
    <row r="711" ht="15.75" customHeight="1">
      <c r="A711" s="30" t="s">
        <v>412</v>
      </c>
      <c r="B711" s="64">
        <f t="shared" ref="B711:M711" si="329">IFERROR(B710/($B$676+$B$678+$B$677+$B$679),0)</f>
        <v>14.55611999</v>
      </c>
      <c r="C711" s="64">
        <f t="shared" si="329"/>
        <v>3.120529335</v>
      </c>
      <c r="D711" s="64">
        <f t="shared" si="329"/>
        <v>3.131451603</v>
      </c>
      <c r="E711" s="64">
        <f t="shared" si="329"/>
        <v>0.9666435721</v>
      </c>
      <c r="F711" s="64">
        <f t="shared" si="329"/>
        <v>0</v>
      </c>
      <c r="G711" s="64">
        <f t="shared" si="329"/>
        <v>0</v>
      </c>
      <c r="H711" s="64">
        <f t="shared" si="329"/>
        <v>1.873084457</v>
      </c>
      <c r="I711" s="64">
        <f t="shared" si="329"/>
        <v>0</v>
      </c>
      <c r="J711" s="64">
        <f t="shared" si="329"/>
        <v>0</v>
      </c>
      <c r="K711" s="64">
        <f t="shared" si="329"/>
        <v>0</v>
      </c>
      <c r="L711" s="64">
        <f t="shared" si="329"/>
        <v>0</v>
      </c>
      <c r="M711" s="64">
        <f t="shared" si="329"/>
        <v>13.65835822</v>
      </c>
      <c r="N711" s="84">
        <f>MAX(B711:M711)</f>
        <v>14.55611999</v>
      </c>
    </row>
    <row r="712" ht="15.75" customHeight="1">
      <c r="A712" s="141" t="s">
        <v>413</v>
      </c>
    </row>
    <row r="713" ht="15.75" hidden="1" customHeight="1" outlineLevel="1">
      <c r="A713" s="142" t="s">
        <v>26</v>
      </c>
      <c r="B713" s="143">
        <f>'Analisis de operaciones'!C1102/'Analisis de operaciones'!C1106*$O713</f>
        <v>286.5202941</v>
      </c>
      <c r="C713" s="143">
        <f>'Analisis de operaciones'!D1102/'Analisis de operaciones'!D1106*$O713</f>
        <v>218.4802941</v>
      </c>
      <c r="D713" s="143">
        <f>'Analisis de operaciones'!E1102/'Analisis de operaciones'!E1106*$O713</f>
        <v>204.1771324</v>
      </c>
      <c r="E713" s="143">
        <f>'Analisis de operaciones'!F1102/'Analisis de operaciones'!F1106*$O713</f>
        <v>195.2305147</v>
      </c>
      <c r="F713" s="143">
        <f>'Analisis de operaciones'!G1102/'Analisis de operaciones'!G1106*$O713</f>
        <v>182.6938235</v>
      </c>
      <c r="G713" s="143">
        <f>'Analisis de operaciones'!H1102/'Analisis de operaciones'!H1106*$O713</f>
        <v>179.10375</v>
      </c>
      <c r="H713" s="143">
        <f>'Analisis de operaciones'!I1102/'Analisis de operaciones'!I1106*$O713</f>
        <v>191.6404412</v>
      </c>
      <c r="I713" s="143">
        <f>'Analisis de operaciones'!J1102/'Analisis de operaciones'!J1106*$O713</f>
        <v>191.6404412</v>
      </c>
      <c r="J713" s="143">
        <f>'Analisis de operaciones'!K1102/'Analisis de operaciones'!K1106*$O713</f>
        <v>191.6404412</v>
      </c>
      <c r="K713" s="143">
        <f>'Analisis de operaciones'!L1102/'Analisis de operaciones'!L1106*$O713</f>
        <v>188.0503676</v>
      </c>
      <c r="L713" s="143">
        <f>'Analisis de operaciones'!M1102/'Analisis de operaciones'!M1106*$O713</f>
        <v>184.4602941</v>
      </c>
      <c r="M713" s="143">
        <f>'Analisis de operaciones'!N1102/'Analisis de operaciones'!N1106*$O713</f>
        <v>293.7004412</v>
      </c>
      <c r="N713" s="143">
        <f>'Resumen Capacidad'!$H$29*$B$8*$O713</f>
        <v>300</v>
      </c>
      <c r="O713" s="144">
        <f>$B$18</f>
        <v>1</v>
      </c>
    </row>
    <row r="714" ht="15.75" hidden="1" customHeight="1" outlineLevel="1">
      <c r="A714" s="142" t="s">
        <v>55</v>
      </c>
      <c r="B714" s="143">
        <f>'Analisis de operaciones'!C1112/'Analisis de operaciones'!C1116*$O714</f>
        <v>108.0086336</v>
      </c>
      <c r="C714" s="143">
        <f>'Analisis de operaciones'!D1112/'Analisis de operaciones'!D1116*$O714</f>
        <v>82.35981367</v>
      </c>
      <c r="D714" s="143">
        <f>'Analisis de operaciones'!E1112/'Analisis de operaciones'!E1116*$O714</f>
        <v>76.96799679</v>
      </c>
      <c r="E714" s="143">
        <f>'Analisis de operaciones'!F1112/'Analisis de operaciones'!F1116*$O714</f>
        <v>73.59541911</v>
      </c>
      <c r="F714" s="143">
        <f>'Analisis de operaciones'!G1112/'Analisis de operaciones'!G1116*$O714</f>
        <v>68.86950297</v>
      </c>
      <c r="G714" s="143">
        <f>'Analisis de operaciones'!H1112/'Analisis de operaciones'!H1116*$O714</f>
        <v>67.5161645</v>
      </c>
      <c r="H714" s="143">
        <f>'Analisis de operaciones'!I1112/'Analisis de operaciones'!I1116*$O714</f>
        <v>72.24208064</v>
      </c>
      <c r="I714" s="143">
        <f>'Analisis de operaciones'!J1112/'Analisis de operaciones'!J1116*$O714</f>
        <v>72.24208064</v>
      </c>
      <c r="J714" s="143">
        <f>'Analisis de operaciones'!K1112/'Analisis de operaciones'!K1116*$O714</f>
        <v>72.24208064</v>
      </c>
      <c r="K714" s="143">
        <f>'Analisis de operaciones'!L1112/'Analisis de operaciones'!L1116*$O714</f>
        <v>70.88874217</v>
      </c>
      <c r="L714" s="143">
        <f>'Analisis de operaciones'!M1112/'Analisis de operaciones'!M1116*$O714</f>
        <v>69.5354037</v>
      </c>
      <c r="M714" s="143">
        <f>'Analisis de operaciones'!N1112/'Analisis de operaciones'!N1116*$O714</f>
        <v>110.7153105</v>
      </c>
      <c r="N714" s="143">
        <f>'Resumen Capacidad'!$H$30*$B$8*$O714</f>
        <v>150</v>
      </c>
      <c r="O714" s="144">
        <f>IF('Resumen Capacidad'!$H$55="Automática",$C$19,$B$19)</f>
        <v>0.5</v>
      </c>
    </row>
    <row r="715" ht="15.75" hidden="1" customHeight="1" outlineLevel="1">
      <c r="A715" s="142" t="s">
        <v>61</v>
      </c>
      <c r="B715" s="143">
        <f>'Analisis de operaciones'!C1122/'Analisis de operaciones'!C1126*$O715</f>
        <v>83.52795015</v>
      </c>
      <c r="C715" s="143">
        <f>'Analisis de operaciones'!D1122/'Analisis de operaciones'!D1126*$O715</f>
        <v>63.69256032</v>
      </c>
      <c r="D715" s="143">
        <f>'Analisis de operaciones'!E1122/'Analisis de operaciones'!E1126*$O715</f>
        <v>59.52282502</v>
      </c>
      <c r="E715" s="143">
        <f>'Analisis de operaciones'!F1122/'Analisis de operaciones'!F1126*$O715</f>
        <v>56.91465852</v>
      </c>
      <c r="F715" s="143">
        <f>'Analisis de operaciones'!G1122/'Analisis de operaciones'!G1126*$O715</f>
        <v>53.25989432</v>
      </c>
      <c r="G715" s="143">
        <f>'Analisis de operaciones'!H1122/'Analisis de operaciones'!H1126*$O715</f>
        <v>52.21329661</v>
      </c>
      <c r="H715" s="143">
        <f>'Analisis de operaciones'!I1122/'Analisis de operaciones'!I1126*$O715</f>
        <v>55.86806082</v>
      </c>
      <c r="I715" s="143">
        <f>'Analisis de operaciones'!J1122/'Analisis de operaciones'!J1126*$O715</f>
        <v>55.86806082</v>
      </c>
      <c r="J715" s="143">
        <f>'Analisis de operaciones'!K1122/'Analisis de operaciones'!K1126*$O715</f>
        <v>55.86806082</v>
      </c>
      <c r="K715" s="143">
        <f>'Analisis de operaciones'!L1122/'Analisis de operaciones'!L1126*$O715</f>
        <v>54.82146311</v>
      </c>
      <c r="L715" s="143">
        <f>'Analisis de operaciones'!M1122/'Analisis de operaciones'!M1126*$O715</f>
        <v>53.7748654</v>
      </c>
      <c r="M715" s="143">
        <f>'Analisis de operaciones'!N1122/'Analisis de operaciones'!N1126*$O715</f>
        <v>85.62114556</v>
      </c>
      <c r="N715" s="143">
        <f>'Resumen Capacidad'!$H$31*$B$8*$O715</f>
        <v>150</v>
      </c>
      <c r="O715" s="144">
        <f>$B$20</f>
        <v>1</v>
      </c>
    </row>
    <row r="716" ht="15.75" hidden="1" customHeight="1" outlineLevel="1">
      <c r="A716" s="142" t="s">
        <v>62</v>
      </c>
      <c r="B716" s="143">
        <f>'Analisis de operaciones'!C1132/'Analisis de operaciones'!C1136*$O716</f>
        <v>202.951875</v>
      </c>
      <c r="C716" s="143">
        <f>'Analisis de operaciones'!D1132/'Analisis de operaciones'!D1136*$O716</f>
        <v>154.756875</v>
      </c>
      <c r="D716" s="143">
        <f>'Analisis de operaciones'!E1132/'Analisis de operaciones'!E1136*$O716</f>
        <v>144.6254688</v>
      </c>
      <c r="E716" s="143">
        <f>'Analisis de operaciones'!F1132/'Analisis de operaciones'!F1136*$O716</f>
        <v>138.2882813</v>
      </c>
      <c r="F716" s="143">
        <f>'Analisis de operaciones'!G1132/'Analisis de operaciones'!G1136*$O716</f>
        <v>129.408125</v>
      </c>
      <c r="G716" s="143">
        <f>'Analisis de operaciones'!H1132/'Analisis de operaciones'!H1136*$O716</f>
        <v>126.8651563</v>
      </c>
      <c r="H716" s="143">
        <f>'Analisis de operaciones'!I1132/'Analisis de operaciones'!I1136*$O716</f>
        <v>135.7453125</v>
      </c>
      <c r="I716" s="143">
        <f>'Analisis de operaciones'!J1132/'Analisis de operaciones'!J1136*$O716</f>
        <v>135.7453125</v>
      </c>
      <c r="J716" s="143">
        <f>'Analisis de operaciones'!K1132/'Analisis de operaciones'!K1136*$O716</f>
        <v>135.7453125</v>
      </c>
      <c r="K716" s="143">
        <f>'Analisis de operaciones'!L1132/'Analisis de operaciones'!L1136*$O716</f>
        <v>133.2023438</v>
      </c>
      <c r="L716" s="143">
        <f>'Analisis de operaciones'!M1132/'Analisis de operaciones'!M1136*$O716</f>
        <v>130.659375</v>
      </c>
      <c r="M716" s="143">
        <f>'Analisis de operaciones'!N1132/'Analisis de operaciones'!N1136*$O716</f>
        <v>208.0378125</v>
      </c>
      <c r="N716" s="143">
        <f>'Resumen Capacidad'!$H$32*$B$8*$O716</f>
        <v>300</v>
      </c>
      <c r="O716" s="144">
        <f>$B$21</f>
        <v>1</v>
      </c>
    </row>
    <row r="717" ht="15.75" hidden="1" customHeight="1" outlineLevel="1">
      <c r="A717" s="142" t="s">
        <v>63</v>
      </c>
      <c r="B717" s="143">
        <f>'Analisis de operaciones'!C1142/'Analisis de operaciones'!C1146*$O717</f>
        <v>60.95412437</v>
      </c>
      <c r="C717" s="143">
        <f>'Analisis de operaciones'!D1142/'Analisis de operaciones'!D1146*$O717</f>
        <v>48.7632995</v>
      </c>
      <c r="D717" s="143">
        <f>'Analisis de operaciones'!E1142/'Analisis de operaciones'!E1146*$O717</f>
        <v>51.81100572</v>
      </c>
      <c r="E717" s="143">
        <f>'Analisis de operaciones'!F1142/'Analisis de operaciones'!F1146*$O717</f>
        <v>51.81100572</v>
      </c>
      <c r="F717" s="143">
        <f>'Analisis de operaciones'!G1142/'Analisis de operaciones'!G1146*$O717</f>
        <v>48.7632995</v>
      </c>
      <c r="G717" s="143">
        <f>'Analisis de operaciones'!H1142/'Analisis de operaciones'!H1146*$O717</f>
        <v>45.71559328</v>
      </c>
      <c r="H717" s="143">
        <f>'Analisis de operaciones'!I1142/'Analisis de operaciones'!I1146*$O717</f>
        <v>48.7632995</v>
      </c>
      <c r="I717" s="143">
        <f>'Analisis de operaciones'!J1142/'Analisis de operaciones'!J1146*$O717</f>
        <v>48.7632995</v>
      </c>
      <c r="J717" s="143">
        <f>'Analisis de operaciones'!K1142/'Analisis de operaciones'!K1146*$O717</f>
        <v>48.7632995</v>
      </c>
      <c r="K717" s="143">
        <f>'Analisis de operaciones'!L1142/'Analisis de operaciones'!L1146*$O717</f>
        <v>45.71559328</v>
      </c>
      <c r="L717" s="143">
        <f>'Analisis de operaciones'!M1142/'Analisis de operaciones'!M1146*$O717</f>
        <v>42.66788706</v>
      </c>
      <c r="M717" s="143">
        <f>'Analisis de operaciones'!N1142/'Analisis de operaciones'!N1146*$O717</f>
        <v>67.04953681</v>
      </c>
      <c r="N717" s="143">
        <f>'Resumen Capacidad'!$H$33*$B$8*$O717</f>
        <v>150</v>
      </c>
      <c r="O717" s="144">
        <f>$B$22</f>
        <v>1</v>
      </c>
    </row>
    <row r="718" ht="15.75" hidden="1" customHeight="1" outlineLevel="1">
      <c r="A718" s="142" t="s">
        <v>64</v>
      </c>
      <c r="B718" s="143">
        <f>'Analisis de operaciones'!C1152/'Analisis de operaciones'!C1156*$O718</f>
        <v>43.14992223</v>
      </c>
      <c r="C718" s="143">
        <f>'Analisis de operaciones'!D1152/'Analisis de operaciones'!D1156*$O718</f>
        <v>34.51993778</v>
      </c>
      <c r="D718" s="143">
        <f>'Analisis de operaciones'!E1152/'Analisis de operaciones'!E1156*$O718</f>
        <v>36.67743389</v>
      </c>
      <c r="E718" s="143">
        <f>'Analisis de operaciones'!F1152/'Analisis de operaciones'!F1156*$O718</f>
        <v>36.67743389</v>
      </c>
      <c r="F718" s="143">
        <f>'Analisis de operaciones'!G1152/'Analisis de operaciones'!G1156*$O718</f>
        <v>34.51993778</v>
      </c>
      <c r="G718" s="143">
        <f>'Analisis de operaciones'!H1152/'Analisis de operaciones'!H1156*$O718</f>
        <v>32.36244167</v>
      </c>
      <c r="H718" s="143">
        <f>'Analisis de operaciones'!I1152/'Analisis de operaciones'!I1156*$O718</f>
        <v>34.51993778</v>
      </c>
      <c r="I718" s="143">
        <f>'Analisis de operaciones'!J1152/'Analisis de operaciones'!J1156*$O718</f>
        <v>34.51993778</v>
      </c>
      <c r="J718" s="143">
        <f>'Analisis de operaciones'!K1152/'Analisis de operaciones'!K1156*$O718</f>
        <v>34.51993778</v>
      </c>
      <c r="K718" s="143">
        <f>'Analisis de operaciones'!L1152/'Analisis de operaciones'!L1156*$O718</f>
        <v>32.36244167</v>
      </c>
      <c r="L718" s="143">
        <f>'Analisis de operaciones'!M1152/'Analisis de operaciones'!M1156*$O718</f>
        <v>30.20494556</v>
      </c>
      <c r="M718" s="143">
        <f>'Analisis de operaciones'!N1152/'Analisis de operaciones'!N1156*$O718</f>
        <v>47.46491445</v>
      </c>
      <c r="N718" s="143">
        <f>'Resumen Capacidad'!$H$34*$B$8*$O718</f>
        <v>75</v>
      </c>
      <c r="O718" s="144">
        <f>IF('Resumen Capacidad'!$H$56="Automática",$C$23,$B$23)</f>
        <v>0.5</v>
      </c>
    </row>
    <row r="719" ht="15.75" hidden="1" customHeight="1" outlineLevel="1">
      <c r="A719" s="142" t="s">
        <v>66</v>
      </c>
      <c r="B719" s="143">
        <f>'Analisis de operaciones'!C1162/'Analisis de operaciones'!C1166*$O719</f>
        <v>321.2110921</v>
      </c>
      <c r="C719" s="143">
        <f>'Analisis de operaciones'!D1162/'Analisis de operaciones'!D1166*$O719</f>
        <v>244.9330652</v>
      </c>
      <c r="D719" s="143">
        <f>'Analisis de operaciones'!E1162/'Analisis de operaciones'!E1166*$O719</f>
        <v>228.8981304</v>
      </c>
      <c r="E719" s="143">
        <f>'Analisis de operaciones'!F1162/'Analisis de operaciones'!F1166*$O719</f>
        <v>218.86829</v>
      </c>
      <c r="F719" s="143">
        <f>'Analisis de operaciones'!G1162/'Analisis de operaciones'!G1166*$O719</f>
        <v>204.8137035</v>
      </c>
      <c r="G719" s="143">
        <f>'Analisis de operaciones'!H1162/'Analisis de operaciones'!H1166*$O719</f>
        <v>200.7889574</v>
      </c>
      <c r="H719" s="143">
        <f>'Analisis de operaciones'!I1162/'Analisis de operaciones'!I1166*$O719</f>
        <v>214.8435439</v>
      </c>
      <c r="I719" s="143">
        <f>'Analisis de operaciones'!J1162/'Analisis de operaciones'!J1166*$O719</f>
        <v>214.8435439</v>
      </c>
      <c r="J719" s="143">
        <f>'Analisis de operaciones'!K1162/'Analisis de operaciones'!K1166*$O719</f>
        <v>214.8435439</v>
      </c>
      <c r="K719" s="143">
        <f>'Analisis de operaciones'!L1162/'Analisis de operaciones'!L1166*$O719</f>
        <v>210.8187978</v>
      </c>
      <c r="L719" s="143">
        <f>'Analisis de operaciones'!M1162/'Analisis de operaciones'!M1166*$O719</f>
        <v>206.7940517</v>
      </c>
      <c r="M719" s="143">
        <f>'Analisis de operaciones'!N1162/'Analisis de operaciones'!N1166*$O719</f>
        <v>329.2605843</v>
      </c>
      <c r="N719" s="143">
        <f>'Resumen Capacidad'!$H$35*$B$8*$O719</f>
        <v>300</v>
      </c>
      <c r="O719" s="144">
        <f>$B$24</f>
        <v>1</v>
      </c>
    </row>
    <row r="720" ht="15.75" hidden="1" customHeight="1" outlineLevel="1">
      <c r="A720" s="142" t="s">
        <v>67</v>
      </c>
      <c r="B720" s="143">
        <f>'Analisis de operaciones'!C1172/'Analisis de operaciones'!C1176*$O720</f>
        <v>103.9529412</v>
      </c>
      <c r="C720" s="143">
        <f>'Analisis de operaciones'!D1172/'Analisis de operaciones'!D1176*$O720</f>
        <v>79.26722689</v>
      </c>
      <c r="D720" s="143">
        <f>'Analisis de operaciones'!E1172/'Analisis de operaciones'!E1176*$O720</f>
        <v>74.07787115</v>
      </c>
      <c r="E720" s="143">
        <f>'Analisis de operaciones'!F1172/'Analisis de operaciones'!F1176*$O720</f>
        <v>70.83193277</v>
      </c>
      <c r="F720" s="143">
        <f>'Analisis de operaciones'!G1172/'Analisis de operaciones'!G1176*$O720</f>
        <v>66.28347339</v>
      </c>
      <c r="G720" s="143">
        <f>'Analisis de operaciones'!H1172/'Analisis de operaciones'!H1176*$O720</f>
        <v>64.98095238</v>
      </c>
      <c r="H720" s="143">
        <f>'Analisis de operaciones'!I1172/'Analisis de operaciones'!I1176*$O720</f>
        <v>69.52941176</v>
      </c>
      <c r="I720" s="143">
        <f>'Analisis de operaciones'!J1172/'Analisis de operaciones'!J1176*$O720</f>
        <v>69.52941176</v>
      </c>
      <c r="J720" s="143">
        <f>'Analisis de operaciones'!K1172/'Analisis de operaciones'!K1176*$O720</f>
        <v>69.52941176</v>
      </c>
      <c r="K720" s="143">
        <f>'Analisis de operaciones'!L1172/'Analisis de operaciones'!L1176*$O720</f>
        <v>68.22689076</v>
      </c>
      <c r="L720" s="143">
        <f>'Analisis de operaciones'!M1172/'Analisis de operaciones'!M1176*$O720</f>
        <v>66.92436975</v>
      </c>
      <c r="M720" s="143">
        <f>'Analisis de operaciones'!N1172/'Analisis de operaciones'!N1176*$O720</f>
        <v>106.5579832</v>
      </c>
      <c r="N720" s="143">
        <f>'Resumen Capacidad'!$H$36*$B$8*$O720</f>
        <v>150</v>
      </c>
      <c r="O720" s="144">
        <f>$B$25</f>
        <v>1</v>
      </c>
    </row>
    <row r="721" ht="15.75" hidden="1" customHeight="1" outlineLevel="1">
      <c r="A721" s="142" t="s">
        <v>68</v>
      </c>
      <c r="B721" s="143">
        <f>'Analisis de operaciones'!C1182/'Analisis de operaciones'!C1186*$O721</f>
        <v>153.0557127</v>
      </c>
      <c r="C721" s="143">
        <f>'Analisis de operaciones'!D1182/'Analisis de operaciones'!D1186*$O721</f>
        <v>116.7095588</v>
      </c>
      <c r="D721" s="143">
        <f>'Analisis de operaciones'!E1182/'Analisis de operaciones'!E1186*$O721</f>
        <v>109.068981</v>
      </c>
      <c r="E721" s="143">
        <f>'Analisis de operaciones'!F1182/'Analisis de operaciones'!F1186*$O721</f>
        <v>104.2898049</v>
      </c>
      <c r="F721" s="143">
        <f>'Analisis de operaciones'!G1182/'Analisis de operaciones'!G1186*$O721</f>
        <v>97.59285445</v>
      </c>
      <c r="G721" s="143">
        <f>'Analisis de operaciones'!H1182/'Analisis de operaciones'!H1186*$O721</f>
        <v>95.67508013</v>
      </c>
      <c r="H721" s="143">
        <f>'Analisis de operaciones'!I1182/'Analisis de operaciones'!I1186*$O721</f>
        <v>102.3720305</v>
      </c>
      <c r="I721" s="143">
        <f>'Analisis de operaciones'!J1182/'Analisis de operaciones'!J1186*$O721</f>
        <v>102.3720305</v>
      </c>
      <c r="J721" s="143">
        <f>'Analisis de operaciones'!K1182/'Analisis de operaciones'!K1186*$O721</f>
        <v>102.3720305</v>
      </c>
      <c r="K721" s="143">
        <f>'Analisis de operaciones'!L1182/'Analisis de operaciones'!L1186*$O721</f>
        <v>100.4542562</v>
      </c>
      <c r="L721" s="143">
        <f>'Analisis de operaciones'!M1182/'Analisis de operaciones'!M1186*$O721</f>
        <v>98.5364819</v>
      </c>
      <c r="M721" s="143">
        <f>'Analisis de operaciones'!N1182/'Analisis de operaciones'!N1186*$O721</f>
        <v>156.8912613</v>
      </c>
      <c r="N721" s="143">
        <f>'Resumen Capacidad'!$H$37*$B$8*$O721</f>
        <v>150</v>
      </c>
      <c r="O721" s="144">
        <f>IF('Resumen Capacidad'!$H$57="Automática",$C$26,$B$26)</f>
        <v>0.5</v>
      </c>
    </row>
    <row r="722" ht="15.75" hidden="1" customHeight="1" outlineLevel="1">
      <c r="A722" s="142" t="s">
        <v>70</v>
      </c>
      <c r="B722" s="143">
        <f>'Analisis de operaciones'!C1192/'Analisis de operaciones'!C1196*$O722</f>
        <v>112.4238822</v>
      </c>
      <c r="C722" s="143">
        <f>'Analisis de operaciones'!D1192/'Analisis de operaciones'!D1196*$O722</f>
        <v>85.7265728</v>
      </c>
      <c r="D722" s="143">
        <f>'Analisis de operaciones'!E1192/'Analisis de operaciones'!E1196*$O722</f>
        <v>80.11434565</v>
      </c>
      <c r="E722" s="143">
        <f>'Analisis de operaciones'!F1192/'Analisis de operaciones'!F1196*$O722</f>
        <v>76.60390151</v>
      </c>
      <c r="F722" s="143">
        <f>'Analisis de operaciones'!G1192/'Analisis de operaciones'!G1196*$O722</f>
        <v>71.68479623</v>
      </c>
      <c r="G722" s="143">
        <f>'Analisis de operaciones'!H1192/'Analisis de operaciones'!H1196*$O722</f>
        <v>70.27613509</v>
      </c>
      <c r="H722" s="143">
        <f>'Analisis de operaciones'!I1192/'Analisis de operaciones'!I1196*$O722</f>
        <v>75.19524037</v>
      </c>
      <c r="I722" s="143">
        <f>'Analisis de operaciones'!J1192/'Analisis de operaciones'!J1196*$O722</f>
        <v>75.19524037</v>
      </c>
      <c r="J722" s="143">
        <f>'Analisis de operaciones'!K1192/'Analisis de operaciones'!K1196*$O722</f>
        <v>75.19524037</v>
      </c>
      <c r="K722" s="143">
        <f>'Analisis de operaciones'!L1192/'Analisis de operaciones'!L1196*$O722</f>
        <v>73.78657923</v>
      </c>
      <c r="L722" s="143">
        <f>'Analisis de operaciones'!M1192/'Analisis de operaciones'!M1196*$O722</f>
        <v>72.3779181</v>
      </c>
      <c r="M722" s="143">
        <f>'Analisis de operaciones'!N1192/'Analisis de operaciones'!N1196*$O722</f>
        <v>115.2412045</v>
      </c>
      <c r="N722" s="143">
        <f>'Resumen Capacidad'!$H$38*$B$8*$O722</f>
        <v>150</v>
      </c>
      <c r="O722" s="144">
        <f>IF('Resumen Capacidad'!$H$58="Automática",$C$27,$B$27)</f>
        <v>0.5</v>
      </c>
    </row>
    <row r="723" ht="15.75" hidden="1" customHeight="1" outlineLevel="1">
      <c r="A723" s="142" t="s">
        <v>72</v>
      </c>
      <c r="B723" s="143">
        <f>'Analisis de operaciones'!C1202/'Analisis de operaciones'!C1206*$O723</f>
        <v>34.30514706</v>
      </c>
      <c r="C723" s="143">
        <f>'Analisis de operaciones'!D1202/'Analisis de operaciones'!D1206*$O723</f>
        <v>27.44411765</v>
      </c>
      <c r="D723" s="143">
        <f>'Analisis de operaciones'!E1202/'Analisis de operaciones'!E1206*$O723</f>
        <v>29.159375</v>
      </c>
      <c r="E723" s="143">
        <f>'Analisis de operaciones'!F1202/'Analisis de operaciones'!F1206*$O723</f>
        <v>29.159375</v>
      </c>
      <c r="F723" s="143">
        <f>'Analisis de operaciones'!G1202/'Analisis de operaciones'!G1206*$O723</f>
        <v>27.44411765</v>
      </c>
      <c r="G723" s="143">
        <f>'Analisis de operaciones'!H1202/'Analisis de operaciones'!H1206*$O723</f>
        <v>25.72886029</v>
      </c>
      <c r="H723" s="143">
        <f>'Analisis de operaciones'!I1202/'Analisis de operaciones'!I1206*$O723</f>
        <v>27.44411765</v>
      </c>
      <c r="I723" s="143">
        <f>'Analisis de operaciones'!J1202/'Analisis de operaciones'!J1206*$O723</f>
        <v>27.44411765</v>
      </c>
      <c r="J723" s="143">
        <f>'Analisis de operaciones'!K1202/'Analisis de operaciones'!K1206*$O723</f>
        <v>27.44411765</v>
      </c>
      <c r="K723" s="143">
        <f>'Analisis de operaciones'!L1202/'Analisis de operaciones'!L1206*$O723</f>
        <v>25.72886029</v>
      </c>
      <c r="L723" s="143">
        <f>'Analisis de operaciones'!M1202/'Analisis de operaciones'!M1206*$O723</f>
        <v>24.01360294</v>
      </c>
      <c r="M723" s="143">
        <f>'Analisis de operaciones'!N1202/'Analisis de operaciones'!N1206*$O723</f>
        <v>37.73566176</v>
      </c>
      <c r="N723" s="143">
        <f>'Resumen Capacidad'!$H$39*$B$8*$O723</f>
        <v>75</v>
      </c>
      <c r="O723" s="144">
        <f>$B$28</f>
        <v>0.5</v>
      </c>
    </row>
    <row r="724" ht="15.75" hidden="1" customHeight="1" outlineLevel="1">
      <c r="A724" s="142" t="s">
        <v>74</v>
      </c>
      <c r="B724" s="143">
        <f>'Analisis de operaciones'!C1212/'Analisis de operaciones'!C1216*$O724</f>
        <v>101.4759375</v>
      </c>
      <c r="C724" s="143">
        <f>'Analisis de operaciones'!D1212/'Analisis de operaciones'!D1216*$O724</f>
        <v>77.3784375</v>
      </c>
      <c r="D724" s="143">
        <f>'Analisis de operaciones'!E1212/'Analisis de operaciones'!E1216*$O724</f>
        <v>72.31273438</v>
      </c>
      <c r="E724" s="143">
        <f>'Analisis de operaciones'!F1212/'Analisis de operaciones'!F1216*$O724</f>
        <v>69.14414063</v>
      </c>
      <c r="F724" s="143">
        <f>'Analisis de operaciones'!G1212/'Analisis de operaciones'!G1216*$O724</f>
        <v>64.7040625</v>
      </c>
      <c r="G724" s="143">
        <f>'Analisis de operaciones'!H1212/'Analisis de operaciones'!H1216*$O724</f>
        <v>63.43257813</v>
      </c>
      <c r="H724" s="143">
        <f>'Analisis de operaciones'!I1212/'Analisis de operaciones'!I1216*$O724</f>
        <v>67.87265625</v>
      </c>
      <c r="I724" s="143">
        <f>'Analisis de operaciones'!J1212/'Analisis de operaciones'!J1216*$O724</f>
        <v>67.87265625</v>
      </c>
      <c r="J724" s="143">
        <f>'Analisis de operaciones'!K1212/'Analisis de operaciones'!K1216*$O724</f>
        <v>67.87265625</v>
      </c>
      <c r="K724" s="143">
        <f>'Analisis de operaciones'!L1212/'Analisis de operaciones'!L1216*$O724</f>
        <v>66.60117188</v>
      </c>
      <c r="L724" s="143">
        <f>'Analisis de operaciones'!M1212/'Analisis de operaciones'!M1216*$O724</f>
        <v>65.3296875</v>
      </c>
      <c r="M724" s="143">
        <f>'Analisis de operaciones'!N1212/'Analisis de operaciones'!N1216*$O724</f>
        <v>104.0189063</v>
      </c>
      <c r="N724" s="143">
        <f>'Resumen Capacidad'!$H$40*$B$8*$O724</f>
        <v>150</v>
      </c>
      <c r="O724" s="144">
        <f>$B$29</f>
        <v>1</v>
      </c>
    </row>
    <row r="725" ht="15.75" hidden="1" customHeight="1" outlineLevel="1">
      <c r="A725" s="142" t="s">
        <v>76</v>
      </c>
      <c r="B725" s="143">
        <f>'Analisis de operaciones'!C1966/'Analisis de operaciones'!C1970*$O725</f>
        <v>47.4935</v>
      </c>
      <c r="C725" s="143">
        <f>'Analisis de operaciones'!D1966/'Analisis de operaciones'!D1970*$O725</f>
        <v>36.21521429</v>
      </c>
      <c r="D725" s="143">
        <f>'Analisis de operaciones'!E1966/'Analisis de operaciones'!E1970*$O725</f>
        <v>33.84432738</v>
      </c>
      <c r="E725" s="143">
        <f>'Analisis de operaciones'!F1966/'Analisis de operaciones'!F1970*$O725</f>
        <v>32.36133929</v>
      </c>
      <c r="F725" s="143">
        <f>'Analisis de operaciones'!G1966/'Analisis de operaciones'!G1970*$O725</f>
        <v>30.2832619</v>
      </c>
      <c r="G725" s="143">
        <f>'Analisis de operaciones'!H1966/'Analisis de operaciones'!H1970*$O725</f>
        <v>29.68817262</v>
      </c>
      <c r="H725" s="143">
        <f>'Analisis de operaciones'!I1966/'Analisis de operaciones'!I1970*$O725</f>
        <v>31.76625</v>
      </c>
      <c r="I725" s="143">
        <f>'Analisis de operaciones'!J1966/'Analisis de operaciones'!J1970*$O725</f>
        <v>31.76625</v>
      </c>
      <c r="J725" s="143">
        <f>'Analisis de operaciones'!K1966/'Analisis de operaciones'!K1970*$O725</f>
        <v>31.76625</v>
      </c>
      <c r="K725" s="143">
        <f>'Analisis de operaciones'!L1966/'Analisis de operaciones'!L1970*$O725</f>
        <v>31.17116071</v>
      </c>
      <c r="L725" s="143">
        <f>'Analisis de operaciones'!M1966/'Analisis de operaciones'!M1970*$O725</f>
        <v>30.57607143</v>
      </c>
      <c r="M725" s="143">
        <f>'Analisis de operaciones'!N1966/'Analisis de operaciones'!N1970*$O725</f>
        <v>48.68367857</v>
      </c>
      <c r="N725" s="143">
        <f>'Resumen Capacidad'!$H$41*$B$8*$O725</f>
        <v>150</v>
      </c>
      <c r="O725" s="144">
        <f>$B$30</f>
        <v>1</v>
      </c>
    </row>
    <row r="726" ht="15.75" hidden="1" customHeight="1" outlineLevel="1">
      <c r="A726" s="142" t="s">
        <v>77</v>
      </c>
      <c r="B726" s="143">
        <f>IF('Resumen Capacidad'!$H$42=0,0,'Analisis de operaciones'!C1222/'Analisis de operaciones'!C1226*$O726)</f>
        <v>71.61810526</v>
      </c>
      <c r="C726" s="143">
        <f>IF('Resumen Capacidad'!$H$42=0,0,'Analisis de operaciones'!D1222/'Analisis de operaciones'!D1226*$O726)</f>
        <v>54.61094737</v>
      </c>
      <c r="D726" s="143">
        <f>IF('Resumen Capacidad'!$H$42=0,0,'Analisis de operaciones'!E1222/'Analisis de operaciones'!E1226*$O726)</f>
        <v>51.03575439</v>
      </c>
      <c r="E726" s="143">
        <f>IF('Resumen Capacidad'!$H$42=0,0,'Analisis de operaciones'!F1222/'Analisis de operaciones'!F1226*$O726)</f>
        <v>48.79947368</v>
      </c>
      <c r="F726" s="143">
        <f>IF('Resumen Capacidad'!$H$42=0,0,'Analisis de operaciones'!G1222/'Analisis de operaciones'!G1226*$O726)</f>
        <v>45.66582456</v>
      </c>
      <c r="G726" s="143">
        <f>IF('Resumen Capacidad'!$H$42=0,0,'Analisis de operaciones'!H1222/'Analisis de operaciones'!H1226*$O726)</f>
        <v>44.76845614</v>
      </c>
      <c r="H726" s="143">
        <f>IF('Resumen Capacidad'!$H$42=0,0,'Analisis de operaciones'!I1222/'Analisis de operaciones'!I1226*$O726)</f>
        <v>47.90210526</v>
      </c>
      <c r="I726" s="143">
        <f>IF('Resumen Capacidad'!$H$42=0,0,'Analisis de operaciones'!J1222/'Analisis de operaciones'!J1226*$O726)</f>
        <v>47.90210526</v>
      </c>
      <c r="J726" s="143">
        <f>IF('Resumen Capacidad'!$H$42=0,0,'Analisis de operaciones'!K1222/'Analisis de operaciones'!K1226*$O726)</f>
        <v>47.90210526</v>
      </c>
      <c r="K726" s="143">
        <f>IF('Resumen Capacidad'!$H$42=0,0,'Analisis de operaciones'!L1222/'Analisis de operaciones'!L1226*$O726)</f>
        <v>47.00473684</v>
      </c>
      <c r="L726" s="143">
        <f>IF('Resumen Capacidad'!$H$42=0,0,'Analisis de operaciones'!M1222/'Analisis de operaciones'!M1226*$O726)</f>
        <v>46.10736842</v>
      </c>
      <c r="M726" s="143">
        <f>IF('Resumen Capacidad'!$H$42=0,0,'Analisis de operaciones'!N1222/'Analisis de operaciones'!N1226*$O726)</f>
        <v>73.41284211</v>
      </c>
      <c r="N726" s="143">
        <f>'Resumen Capacidad'!$H$42*$B$8*$O726</f>
        <v>75</v>
      </c>
      <c r="O726" s="144">
        <f>$B$31</f>
        <v>0.5</v>
      </c>
    </row>
    <row r="727" ht="15.75" hidden="1" customHeight="1" outlineLevel="1">
      <c r="A727" s="142" t="s">
        <v>79</v>
      </c>
      <c r="B727" s="143">
        <f>'Analisis de operaciones'!C1232/'Analisis de operaciones'!C1236*$O727</f>
        <v>42.49641335</v>
      </c>
      <c r="C727" s="143">
        <f>'Analisis de operaciones'!D1232/'Analisis de operaciones'!D1236*$O727</f>
        <v>33.1759233</v>
      </c>
      <c r="D727" s="143">
        <f>'Analisis de operaciones'!E1232/'Analisis de operaciones'!E1236*$O727</f>
        <v>32.89635417</v>
      </c>
      <c r="E727" s="143">
        <f>'Analisis de operaciones'!F1232/'Analisis de operaciones'!F1236*$O727</f>
        <v>32.05395952</v>
      </c>
      <c r="F727" s="143">
        <f>'Analisis de operaciones'!G1232/'Analisis de operaciones'!G1236*$O727</f>
        <v>30.21277225</v>
      </c>
      <c r="G727" s="143">
        <f>'Analisis de operaciones'!H1232/'Analisis de operaciones'!H1236*$O727</f>
        <v>28.94302794</v>
      </c>
      <c r="H727" s="143">
        <f>'Analisis de operaciones'!I1232/'Analisis de operaciones'!I1236*$O727</f>
        <v>31.0551669</v>
      </c>
      <c r="I727" s="143">
        <f>'Analisis de operaciones'!J1232/'Analisis de operaciones'!J1236*$O727</f>
        <v>31.0551669</v>
      </c>
      <c r="J727" s="143">
        <f>'Analisis de operaciones'!K1232/'Analisis de operaciones'!K1236*$O727</f>
        <v>30.91969105</v>
      </c>
      <c r="K727" s="143">
        <f>'Analisis de operaciones'!L1232/'Analisis de operaciones'!L1236*$O727</f>
        <v>29.64994673</v>
      </c>
      <c r="L727" s="143">
        <f>'Analisis de operaciones'!M1232/'Analisis de operaciones'!M1236*$O727</f>
        <v>28.51567827</v>
      </c>
      <c r="M727" s="143">
        <f>'Analisis de operaciones'!N1232/'Analisis de operaciones'!N1236*$O727</f>
        <v>44.35852273</v>
      </c>
      <c r="N727" s="143">
        <f>'Resumen Capacidad'!$H$43*$B$8*$O727</f>
        <v>75</v>
      </c>
      <c r="O727" s="144">
        <f>$B$32</f>
        <v>0.5</v>
      </c>
    </row>
    <row r="728" ht="15.75" hidden="1" customHeight="1" outlineLevel="1">
      <c r="A728" s="142" t="s">
        <v>81</v>
      </c>
      <c r="B728" s="143">
        <f>'Analisis de operaciones'!C1242/'Analisis de operaciones'!C1246*$O728</f>
        <v>203.5202381</v>
      </c>
      <c r="C728" s="143">
        <f>'Analisis de operaciones'!D1242/'Analisis de operaciones'!D1246*$O728</f>
        <v>158.8833333</v>
      </c>
      <c r="D728" s="143">
        <f>'Analisis de operaciones'!E1242/'Analisis de operaciones'!E1246*$O728</f>
        <v>157.5444444</v>
      </c>
      <c r="E728" s="143">
        <f>'Analisis de operaciones'!F1242/'Analisis de operaciones'!F1246*$O728</f>
        <v>153.510119</v>
      </c>
      <c r="F728" s="143">
        <f>'Analisis de operaciones'!G1242/'Analisis de operaciones'!G1246*$O728</f>
        <v>144.6924603</v>
      </c>
      <c r="G728" s="143">
        <f>'Analisis de operaciones'!H1242/'Analisis de operaciones'!H1246*$O728</f>
        <v>138.6115079</v>
      </c>
      <c r="H728" s="143">
        <f>'Analisis de operaciones'!I1242/'Analisis de operaciones'!I1246*$O728</f>
        <v>148.7267857</v>
      </c>
      <c r="I728" s="143">
        <f>'Analisis de operaciones'!J1242/'Analisis de operaciones'!J1246*$O728</f>
        <v>148.7267857</v>
      </c>
      <c r="J728" s="143">
        <f>'Analisis de operaciones'!K1242/'Analisis de operaciones'!K1246*$O728</f>
        <v>148.0779762</v>
      </c>
      <c r="K728" s="143">
        <f>'Analisis de operaciones'!L1242/'Analisis de operaciones'!L1246*$O728</f>
        <v>141.9970238</v>
      </c>
      <c r="L728" s="143">
        <f>'Analisis de operaciones'!M1242/'Analisis de operaciones'!M1246*$O728</f>
        <v>136.564881</v>
      </c>
      <c r="M728" s="143">
        <f>'Analisis de operaciones'!N1242/'Analisis de operaciones'!N1246*$O728</f>
        <v>212.4380952</v>
      </c>
      <c r="N728" s="143">
        <f>'Resumen Capacidad'!$H$44*$B$8*$O728</f>
        <v>300</v>
      </c>
      <c r="O728" s="144">
        <f>$B$33</f>
        <v>1</v>
      </c>
    </row>
    <row r="729" ht="15.75" hidden="1" customHeight="1" outlineLevel="1">
      <c r="A729" s="142" t="s">
        <v>82</v>
      </c>
      <c r="B729" s="143">
        <f>'Analisis de operaciones'!C1252/'Analisis de operaciones'!C1256*$O729</f>
        <v>123.4689444</v>
      </c>
      <c r="C729" s="143">
        <f>'Analisis de operaciones'!D1252/'Analisis de operaciones'!D1256*$O729</f>
        <v>96.38922222</v>
      </c>
      <c r="D729" s="143">
        <f>'Analisis de operaciones'!E1252/'Analisis de operaciones'!E1256*$O729</f>
        <v>95.57696296</v>
      </c>
      <c r="E729" s="143">
        <f>'Analisis de operaciones'!F1252/'Analisis de operaciones'!F1256*$O729</f>
        <v>93.12947222</v>
      </c>
      <c r="F729" s="143">
        <f>'Analisis de operaciones'!G1252/'Analisis de operaciones'!G1256*$O729</f>
        <v>87.78009259</v>
      </c>
      <c r="G729" s="143">
        <f>'Analisis de operaciones'!H1252/'Analisis de operaciones'!H1256*$O729</f>
        <v>84.09098148</v>
      </c>
      <c r="H729" s="143">
        <f>'Analisis de operaciones'!I1252/'Analisis de operaciones'!I1256*$O729</f>
        <v>90.22758333</v>
      </c>
      <c r="I729" s="143">
        <f>'Analisis de operaciones'!J1252/'Analisis de operaciones'!J1256*$O729</f>
        <v>90.22758333</v>
      </c>
      <c r="J729" s="143">
        <f>'Analisis de operaciones'!K1252/'Analisis de operaciones'!K1256*$O729</f>
        <v>89.83397222</v>
      </c>
      <c r="K729" s="143">
        <f>'Analisis de operaciones'!L1252/'Analisis de operaciones'!L1256*$O729</f>
        <v>86.14486111</v>
      </c>
      <c r="L729" s="143">
        <f>'Analisis de operaciones'!M1252/'Analisis de operaciones'!M1256*$O729</f>
        <v>82.84936111</v>
      </c>
      <c r="M729" s="143">
        <f>'Analisis de operaciones'!N1252/'Analisis de operaciones'!N1256*$O729</f>
        <v>128.8791111</v>
      </c>
      <c r="N729" s="143">
        <f>'Resumen Capacidad'!$H$45*$B$8*$O729</f>
        <v>150</v>
      </c>
      <c r="O729" s="144">
        <f>$B$34</f>
        <v>1</v>
      </c>
    </row>
    <row r="730" ht="15.75" hidden="1" customHeight="1" outlineLevel="1">
      <c r="A730" s="142" t="s">
        <v>83</v>
      </c>
      <c r="B730" s="143">
        <f>'Analisis de operaciones'!C1262/'Analisis de operaciones'!C1266*$O730</f>
        <v>111.936131</v>
      </c>
      <c r="C730" s="143">
        <f>'Analisis de operaciones'!D1262/'Analisis de operaciones'!D1266*$O730</f>
        <v>87.38583333</v>
      </c>
      <c r="D730" s="143">
        <f>'Analisis de operaciones'!E1262/'Analisis de operaciones'!E1266*$O730</f>
        <v>86.64944444</v>
      </c>
      <c r="E730" s="143">
        <f>'Analisis de operaciones'!F1262/'Analisis de operaciones'!F1266*$O730</f>
        <v>84.43056548</v>
      </c>
      <c r="F730" s="143">
        <f>'Analisis de operaciones'!G1262/'Analisis de operaciones'!G1266*$O730</f>
        <v>79.58085317</v>
      </c>
      <c r="G730" s="143">
        <f>'Analisis de operaciones'!H1262/'Analisis de operaciones'!H1266*$O730</f>
        <v>76.23632937</v>
      </c>
      <c r="H730" s="143">
        <f>'Analisis de operaciones'!I1262/'Analisis de operaciones'!I1266*$O730</f>
        <v>81.79973214</v>
      </c>
      <c r="I730" s="143">
        <f>'Analisis de operaciones'!J1262/'Analisis de operaciones'!J1266*$O730</f>
        <v>81.79973214</v>
      </c>
      <c r="J730" s="143">
        <f>'Analisis de operaciones'!K1262/'Analisis de operaciones'!K1266*$O730</f>
        <v>81.4428869</v>
      </c>
      <c r="K730" s="143">
        <f>'Analisis de operaciones'!L1262/'Analisis de operaciones'!L1266*$O730</f>
        <v>78.0983631</v>
      </c>
      <c r="L730" s="143">
        <f>'Analisis de operaciones'!M1262/'Analisis de operaciones'!M1266*$O730</f>
        <v>75.11068452</v>
      </c>
      <c r="M730" s="143">
        <f>'Analisis de operaciones'!N1262/'Analisis de operaciones'!N1266*$O730</f>
        <v>116.8409524</v>
      </c>
      <c r="N730" s="143">
        <f>'Resumen Capacidad'!$H$46*$B$8*$O730</f>
        <v>150</v>
      </c>
      <c r="O730" s="144">
        <f>$B$35</f>
        <v>1</v>
      </c>
    </row>
    <row r="731" ht="15.75" hidden="1" customHeight="1" outlineLevel="1">
      <c r="A731" s="142" t="s">
        <v>84</v>
      </c>
      <c r="B731" s="143">
        <f>'Analisis de operaciones'!C1272/'Analisis de operaciones'!C1276*$O731</f>
        <v>399.1386875</v>
      </c>
      <c r="C731" s="143">
        <f>'Analisis de operaciones'!D1272/'Analisis de operaciones'!D1276*$O731</f>
        <v>304.3551875</v>
      </c>
      <c r="D731" s="143">
        <f>'Analisis de operaciones'!E1272/'Analisis de operaciones'!E1276*$O731</f>
        <v>284.4300885</v>
      </c>
      <c r="E731" s="143">
        <f>'Analisis de operaciones'!F1272/'Analisis de operaciones'!F1276*$O731</f>
        <v>271.9669531</v>
      </c>
      <c r="F731" s="143">
        <f>'Analisis de operaciones'!G1272/'Analisis de operaciones'!G1276*$O731</f>
        <v>254.5026458</v>
      </c>
      <c r="G731" s="143">
        <f>'Analisis de operaciones'!H1272/'Analisis de operaciones'!H1276*$O731</f>
        <v>249.501474</v>
      </c>
      <c r="H731" s="143">
        <f>'Analisis de operaciones'!I1272/'Analisis de operaciones'!I1276*$O731</f>
        <v>266.9657813</v>
      </c>
      <c r="I731" s="143">
        <f>'Analisis de operaciones'!J1272/'Analisis de operaciones'!J1276*$O731</f>
        <v>266.9657813</v>
      </c>
      <c r="J731" s="143">
        <f>'Analisis de operaciones'!K1272/'Analisis de operaciones'!K1276*$O731</f>
        <v>266.9657813</v>
      </c>
      <c r="K731" s="143">
        <f>'Analisis de operaciones'!L1272/'Analisis de operaciones'!L1276*$O731</f>
        <v>261.9646094</v>
      </c>
      <c r="L731" s="143">
        <f>'Analisis de operaciones'!M1272/'Analisis de operaciones'!M1276*$O731</f>
        <v>256.9634375</v>
      </c>
      <c r="M731" s="143">
        <f>'Analisis de operaciones'!N1272/'Analisis de operaciones'!N1276*$O731</f>
        <v>409.1410313</v>
      </c>
      <c r="N731" s="143">
        <f>'Resumen Capacidad'!$H$47*$B$8*$O731</f>
        <v>450</v>
      </c>
      <c r="O731" s="144">
        <f>$B$36</f>
        <v>1</v>
      </c>
    </row>
    <row r="732" ht="15.75" hidden="1" customHeight="1" outlineLevel="1">
      <c r="A732" s="142" t="s">
        <v>85</v>
      </c>
      <c r="B732" s="143">
        <f>'Analisis de operaciones'!C1976/'Analisis de operaciones'!C1980*$O732</f>
        <v>97.06188034</v>
      </c>
      <c r="C732" s="143">
        <f>'Analisis de operaciones'!D1976/'Analisis de operaciones'!D1980*$O732</f>
        <v>72.79641026</v>
      </c>
      <c r="D732" s="143">
        <f>'Analisis de operaciones'!E1976/'Analisis de operaciones'!E1980*$O732</f>
        <v>64.70792023</v>
      </c>
      <c r="E732" s="143">
        <f>'Analisis de operaciones'!F1976/'Analisis de operaciones'!F1980*$O732</f>
        <v>60.66367521</v>
      </c>
      <c r="F732" s="143">
        <f>'Analisis de operaciones'!G1976/'Analisis de operaciones'!G1980*$O732</f>
        <v>56.6194302</v>
      </c>
      <c r="G732" s="143">
        <f>'Analisis de operaciones'!H1976/'Analisis de operaciones'!H1980*$O732</f>
        <v>56.6194302</v>
      </c>
      <c r="H732" s="143">
        <f>'Analisis de operaciones'!I1976/'Analisis de operaciones'!I1980*$O732</f>
        <v>60.66367521</v>
      </c>
      <c r="I732" s="143">
        <f>'Analisis de operaciones'!J1976/'Analisis de operaciones'!J1980*$O732</f>
        <v>60.66367521</v>
      </c>
      <c r="J732" s="143">
        <f>'Analisis de operaciones'!K1976/'Analisis de operaciones'!K1980*$O732</f>
        <v>60.66367521</v>
      </c>
      <c r="K732" s="143">
        <f>'Analisis de operaciones'!L1976/'Analisis de operaciones'!L1980*$O732</f>
        <v>60.66367521</v>
      </c>
      <c r="L732" s="143">
        <f>'Analisis de operaciones'!M1976/'Analisis de operaciones'!M1980*$O732</f>
        <v>60.66367521</v>
      </c>
      <c r="M732" s="143">
        <f>'Analisis de operaciones'!N1976/'Analisis de operaciones'!N1980*$O732</f>
        <v>97.06188034</v>
      </c>
      <c r="N732" s="143">
        <f>'Resumen Capacidad'!$H$48*$B$8*$O732</f>
        <v>150</v>
      </c>
      <c r="O732" s="144">
        <f>$B$37</f>
        <v>0.5</v>
      </c>
    </row>
    <row r="733" ht="15.75" hidden="1" customHeight="1" outlineLevel="1">
      <c r="A733" s="141" t="s">
        <v>472</v>
      </c>
    </row>
    <row r="734" ht="15.75" hidden="1" customHeight="1" outlineLevel="1">
      <c r="A734" s="142" t="s">
        <v>88</v>
      </c>
      <c r="B734" s="143">
        <f>'Analisis de operaciones'!C2610/'Analisis de operaciones'!C2614*$O734</f>
        <v>10.0425</v>
      </c>
      <c r="C734" s="143">
        <f>'Analisis de operaciones'!D2610/'Analisis de operaciones'!D2614*$O734</f>
        <v>8.861029412</v>
      </c>
      <c r="D734" s="143">
        <f>'Analisis de operaciones'!E2610/'Analisis de operaciones'!E2614*$O734</f>
        <v>10.63323529</v>
      </c>
      <c r="E734" s="143">
        <f>'Analisis de operaciones'!F2610/'Analisis de operaciones'!F2614*$O734</f>
        <v>10.63323529</v>
      </c>
      <c r="F734" s="143">
        <f>'Analisis de operaciones'!G2610/'Analisis de operaciones'!G2614*$O734</f>
        <v>10.63323529</v>
      </c>
      <c r="G734" s="143">
        <f>'Analisis de operaciones'!H2610/'Analisis de operaciones'!H2614*$O734</f>
        <v>9.451764706</v>
      </c>
      <c r="H734" s="143">
        <f>'Analisis de operaciones'!I2610/'Analisis de operaciones'!I2614*$O734</f>
        <v>10.63323529</v>
      </c>
      <c r="I734" s="143">
        <f>'Analisis de operaciones'!J2610/'Analisis de operaciones'!J2614*$O734</f>
        <v>10.63323529</v>
      </c>
      <c r="J734" s="143">
        <f>'Analisis de operaciones'!K2610/'Analisis de operaciones'!K2614*$O734</f>
        <v>10.0425</v>
      </c>
      <c r="K734" s="143">
        <f>'Analisis de operaciones'!L2610/'Analisis de operaciones'!L2614*$O734</f>
        <v>8.861029412</v>
      </c>
      <c r="L734" s="143">
        <f>'Analisis de operaciones'!M2610/'Analisis de operaciones'!M2614*$O734</f>
        <v>8.270294118</v>
      </c>
      <c r="M734" s="143">
        <f>'Analisis de operaciones'!N2610/'Analisis de operaciones'!N2614*$O734</f>
        <v>9.451764706</v>
      </c>
      <c r="O734" s="144">
        <f>$B$38</f>
        <v>1</v>
      </c>
    </row>
    <row r="735" ht="15.75" hidden="1" customHeight="1" outlineLevel="1">
      <c r="A735" s="142" t="s">
        <v>89</v>
      </c>
      <c r="B735" s="143">
        <f>'Analisis de operaciones'!C2620/'Analisis de operaciones'!C2624*$O735</f>
        <v>83.7196875</v>
      </c>
      <c r="C735" s="143">
        <f>'Analisis de operaciones'!D2620/'Analisis de operaciones'!D2624*$O735</f>
        <v>73.8703125</v>
      </c>
      <c r="D735" s="143">
        <f>'Analisis de operaciones'!E2620/'Analisis de operaciones'!E2624*$O735</f>
        <v>88.644375</v>
      </c>
      <c r="E735" s="143">
        <f>'Analisis de operaciones'!F2620/'Analisis de operaciones'!F2624*$O735</f>
        <v>88.644375</v>
      </c>
      <c r="F735" s="143">
        <f>'Analisis de operaciones'!G2620/'Analisis de operaciones'!G2624*$O735</f>
        <v>88.644375</v>
      </c>
      <c r="G735" s="143">
        <f>'Analisis de operaciones'!H2620/'Analisis de operaciones'!H2624*$O735</f>
        <v>78.795</v>
      </c>
      <c r="H735" s="143">
        <f>'Analisis de operaciones'!I2620/'Analisis de operaciones'!I2624*$O735</f>
        <v>88.644375</v>
      </c>
      <c r="I735" s="143">
        <f>'Analisis de operaciones'!J2620/'Analisis de operaciones'!J2624*$O735</f>
        <v>88.644375</v>
      </c>
      <c r="J735" s="143">
        <f>'Analisis de operaciones'!K2620/'Analisis de operaciones'!K2624*$O735</f>
        <v>83.7196875</v>
      </c>
      <c r="K735" s="143">
        <f>'Analisis de operaciones'!L2620/'Analisis de operaciones'!L2624*$O735</f>
        <v>73.8703125</v>
      </c>
      <c r="L735" s="143">
        <f>'Analisis de operaciones'!M2620/'Analisis de operaciones'!M2624*$O735</f>
        <v>68.945625</v>
      </c>
      <c r="M735" s="143">
        <f>'Analisis de operaciones'!N2620/'Analisis de operaciones'!N2624*$O735</f>
        <v>78.795</v>
      </c>
      <c r="O735" s="144">
        <f>$B$39</f>
        <v>1</v>
      </c>
    </row>
    <row r="736" ht="15.75" hidden="1" customHeight="1" outlineLevel="1">
      <c r="A736" s="142" t="s">
        <v>90</v>
      </c>
      <c r="B736" s="143">
        <f>'Analisis de operaciones'!C2630/'Analisis de operaciones'!C2634*$O736</f>
        <v>3.99125</v>
      </c>
      <c r="C736" s="143">
        <f>'Analisis de operaciones'!D2630/'Analisis de operaciones'!D2634*$O736</f>
        <v>3.521691176</v>
      </c>
      <c r="D736" s="143">
        <f>'Analisis de operaciones'!E2630/'Analisis de operaciones'!E2634*$O736</f>
        <v>4.226029412</v>
      </c>
      <c r="E736" s="143">
        <f>'Analisis de operaciones'!F2630/'Analisis de operaciones'!F2634*$O736</f>
        <v>4.226029412</v>
      </c>
      <c r="F736" s="143">
        <f>'Analisis de operaciones'!G2630/'Analisis de operaciones'!G2634*$O736</f>
        <v>4.226029412</v>
      </c>
      <c r="G736" s="143">
        <f>'Analisis de operaciones'!H2630/'Analisis de operaciones'!H2634*$O736</f>
        <v>3.756470588</v>
      </c>
      <c r="H736" s="143">
        <f>'Analisis de operaciones'!I2630/'Analisis de operaciones'!I2634*$O736</f>
        <v>4.226029412</v>
      </c>
      <c r="I736" s="143">
        <f>'Analisis de operaciones'!J2630/'Analisis de operaciones'!J2634*$O736</f>
        <v>4.226029412</v>
      </c>
      <c r="J736" s="143">
        <f>'Analisis de operaciones'!K2630/'Analisis de operaciones'!K2634*$O736</f>
        <v>3.99125</v>
      </c>
      <c r="K736" s="143">
        <f>'Analisis de operaciones'!L2630/'Analisis de operaciones'!L2634*$O736</f>
        <v>3.521691176</v>
      </c>
      <c r="L736" s="143">
        <f>'Analisis de operaciones'!M2630/'Analisis de operaciones'!M2634*$O736</f>
        <v>3.286911765</v>
      </c>
      <c r="M736" s="143">
        <f>'Analisis de operaciones'!N2630/'Analisis de operaciones'!N2634*$O736</f>
        <v>3.756470588</v>
      </c>
      <c r="O736" s="144">
        <f>$B$40</f>
        <v>0.5</v>
      </c>
    </row>
    <row r="737" ht="15.75" hidden="1" customHeight="1" outlineLevel="1">
      <c r="A737" s="142" t="s">
        <v>91</v>
      </c>
      <c r="B737" s="143">
        <f>'Analisis de operaciones'!C2640/'Analisis de operaciones'!C2644*$O737</f>
        <v>2.96125</v>
      </c>
      <c r="C737" s="143">
        <f>'Analisis de operaciones'!D2640/'Analisis de operaciones'!D2644*$O737</f>
        <v>2.612867647</v>
      </c>
      <c r="D737" s="143">
        <f>'Analisis de operaciones'!E2640/'Analisis de operaciones'!E2644*$O737</f>
        <v>3.135441176</v>
      </c>
      <c r="E737" s="143">
        <f>'Analisis de operaciones'!F2640/'Analisis de operaciones'!F2644*$O737</f>
        <v>3.135441176</v>
      </c>
      <c r="F737" s="143">
        <f>'Analisis de operaciones'!G2640/'Analisis de operaciones'!G2644*$O737</f>
        <v>3.135441176</v>
      </c>
      <c r="G737" s="143">
        <f>'Analisis de operaciones'!H2640/'Analisis de operaciones'!H2644*$O737</f>
        <v>2.787058824</v>
      </c>
      <c r="H737" s="143">
        <f>'Analisis de operaciones'!I2640/'Analisis de operaciones'!I2644*$O737</f>
        <v>3.135441176</v>
      </c>
      <c r="I737" s="143">
        <f>'Analisis de operaciones'!J2640/'Analisis de operaciones'!J2644*$O737</f>
        <v>3.135441176</v>
      </c>
      <c r="J737" s="143">
        <f>'Analisis de operaciones'!K2640/'Analisis de operaciones'!K2644*$O737</f>
        <v>2.96125</v>
      </c>
      <c r="K737" s="143">
        <f>'Analisis de operaciones'!L2640/'Analisis de operaciones'!L2644*$O737</f>
        <v>2.612867647</v>
      </c>
      <c r="L737" s="143">
        <f>'Analisis de operaciones'!M2640/'Analisis de operaciones'!M2644*$O737</f>
        <v>2.438676471</v>
      </c>
      <c r="M737" s="143">
        <f>'Analisis de operaciones'!N2640/'Analisis de operaciones'!N2644*$O737</f>
        <v>2.787058824</v>
      </c>
      <c r="O737" s="144">
        <f>$B$41</f>
        <v>0.5</v>
      </c>
    </row>
    <row r="738" ht="15.75" hidden="1" customHeight="1" outlineLevel="1">
      <c r="A738" s="142" t="s">
        <v>93</v>
      </c>
      <c r="B738" s="143">
        <f>'Analisis de operaciones'!C2650/'Analisis de operaciones'!C2654*$O738</f>
        <v>4.12</v>
      </c>
      <c r="C738" s="143">
        <f>'Analisis de operaciones'!D2650/'Analisis de operaciones'!D2654*$O738</f>
        <v>3.635294118</v>
      </c>
      <c r="D738" s="143">
        <f>'Analisis de operaciones'!E2650/'Analisis de operaciones'!E2654*$O738</f>
        <v>4.362352941</v>
      </c>
      <c r="E738" s="143">
        <f>'Analisis de operaciones'!F2650/'Analisis de operaciones'!F2654*$O738</f>
        <v>4.362352941</v>
      </c>
      <c r="F738" s="143">
        <f>'Analisis de operaciones'!G2650/'Analisis de operaciones'!G2654*$O738</f>
        <v>4.362352941</v>
      </c>
      <c r="G738" s="143">
        <f>'Analisis de operaciones'!H2650/'Analisis de operaciones'!H2654*$O738</f>
        <v>3.877647059</v>
      </c>
      <c r="H738" s="143">
        <f>'Analisis de operaciones'!I2650/'Analisis de operaciones'!I2654*$O738</f>
        <v>4.362352941</v>
      </c>
      <c r="I738" s="143">
        <f>'Analisis de operaciones'!J2650/'Analisis de operaciones'!J2654*$O738</f>
        <v>4.362352941</v>
      </c>
      <c r="J738" s="143">
        <f>'Analisis de operaciones'!K2650/'Analisis de operaciones'!K2654*$O738</f>
        <v>4.12</v>
      </c>
      <c r="K738" s="143">
        <f>'Analisis de operaciones'!L2650/'Analisis de operaciones'!L2654*$O738</f>
        <v>3.635294118</v>
      </c>
      <c r="L738" s="143">
        <f>'Analisis de operaciones'!M2650/'Analisis de operaciones'!M2654*$O738</f>
        <v>3.392941176</v>
      </c>
      <c r="M738" s="143">
        <f>'Analisis de operaciones'!N2650/'Analisis de operaciones'!N2654*$O738</f>
        <v>3.877647059</v>
      </c>
      <c r="O738" s="144">
        <f>$B$42</f>
        <v>1</v>
      </c>
    </row>
    <row r="739" ht="15.75" hidden="1" customHeight="1" outlineLevel="1">
      <c r="A739" s="142" t="s">
        <v>94</v>
      </c>
      <c r="B739" s="143">
        <f>'Analisis de operaciones'!C2660/'Analisis de operaciones'!C2664*$O739</f>
        <v>5.27875</v>
      </c>
      <c r="C739" s="143">
        <f>'Analisis de operaciones'!D2660/'Analisis de operaciones'!D2664*$O739</f>
        <v>4.657720588</v>
      </c>
      <c r="D739" s="143">
        <f>'Analisis de operaciones'!E2660/'Analisis de operaciones'!E2664*$O739</f>
        <v>5.589264706</v>
      </c>
      <c r="E739" s="143">
        <f>'Analisis de operaciones'!F2660/'Analisis de operaciones'!F2664*$O739</f>
        <v>5.589264706</v>
      </c>
      <c r="F739" s="143">
        <f>'Analisis de operaciones'!G2660/'Analisis de operaciones'!G2664*$O739</f>
        <v>5.589264706</v>
      </c>
      <c r="G739" s="143">
        <f>'Analisis de operaciones'!H2660/'Analisis de operaciones'!H2664*$O739</f>
        <v>4.968235294</v>
      </c>
      <c r="H739" s="143">
        <f>'Analisis de operaciones'!I2660/'Analisis de operaciones'!I2664*$O739</f>
        <v>5.589264706</v>
      </c>
      <c r="I739" s="143">
        <f>'Analisis de operaciones'!J2660/'Analisis de operaciones'!J2664*$O739</f>
        <v>5.589264706</v>
      </c>
      <c r="J739" s="143">
        <f>'Analisis de operaciones'!K2660/'Analisis de operaciones'!K2664*$O739</f>
        <v>5.27875</v>
      </c>
      <c r="K739" s="143">
        <f>'Analisis de operaciones'!L2660/'Analisis de operaciones'!L2664*$O739</f>
        <v>4.657720588</v>
      </c>
      <c r="L739" s="143">
        <f>'Analisis de operaciones'!M2660/'Analisis de operaciones'!M2664*$O739</f>
        <v>4.347205882</v>
      </c>
      <c r="M739" s="143">
        <f>'Analisis de operaciones'!N2660/'Analisis de operaciones'!N2664*$O739</f>
        <v>4.968235294</v>
      </c>
      <c r="O739" s="144">
        <f>$B$43</f>
        <v>0.5</v>
      </c>
    </row>
    <row r="740" ht="15.75" hidden="1" customHeight="1" outlineLevel="1">
      <c r="A740" s="142" t="s">
        <v>96</v>
      </c>
      <c r="B740" s="143">
        <f>'Analisis de operaciones'!C2670/'Analisis de operaciones'!C2674*$O740</f>
        <v>4.12</v>
      </c>
      <c r="C740" s="143">
        <f>'Analisis de operaciones'!D2670/'Analisis de operaciones'!D2674*$O740</f>
        <v>3.635294118</v>
      </c>
      <c r="D740" s="143">
        <f>'Analisis de operaciones'!E2670/'Analisis de operaciones'!E2674*$O740</f>
        <v>4.362352941</v>
      </c>
      <c r="E740" s="143">
        <f>'Analisis de operaciones'!F2670/'Analisis de operaciones'!F2674*$O740</f>
        <v>4.362352941</v>
      </c>
      <c r="F740" s="143">
        <f>'Analisis de operaciones'!G2670/'Analisis de operaciones'!G2674*$O740</f>
        <v>4.362352941</v>
      </c>
      <c r="G740" s="143">
        <f>'Analisis de operaciones'!H2670/'Analisis de operaciones'!H2674*$O740</f>
        <v>3.877647059</v>
      </c>
      <c r="H740" s="143">
        <f>'Analisis de operaciones'!I2670/'Analisis de operaciones'!I2674*$O740</f>
        <v>4.362352941</v>
      </c>
      <c r="I740" s="143">
        <f>'Analisis de operaciones'!J2670/'Analisis de operaciones'!J2674*$O740</f>
        <v>4.362352941</v>
      </c>
      <c r="J740" s="143">
        <f>'Analisis de operaciones'!K2670/'Analisis de operaciones'!K2674*$O740</f>
        <v>4.12</v>
      </c>
      <c r="K740" s="143">
        <f>'Analisis de operaciones'!L2670/'Analisis de operaciones'!L2674*$O740</f>
        <v>3.635294118</v>
      </c>
      <c r="L740" s="143">
        <f>'Analisis de operaciones'!M2670/'Analisis de operaciones'!M2674*$O740</f>
        <v>3.392941176</v>
      </c>
      <c r="M740" s="143">
        <f>'Analisis de operaciones'!N2670/'Analisis de operaciones'!N2674*$O740</f>
        <v>3.877647059</v>
      </c>
      <c r="O740" s="144">
        <f>$B$44</f>
        <v>1</v>
      </c>
    </row>
    <row r="741" ht="15.75" hidden="1" customHeight="1" outlineLevel="1">
      <c r="A741" s="142" t="s">
        <v>97</v>
      </c>
      <c r="B741" s="143">
        <f>'Analisis de operaciones'!C2680/'Analisis de operaciones'!C2684*$O741</f>
        <v>27.81</v>
      </c>
      <c r="C741" s="143">
        <f>'Analisis de operaciones'!D2680/'Analisis de operaciones'!D2684*$O741</f>
        <v>24.53823529</v>
      </c>
      <c r="D741" s="143">
        <f>'Analisis de operaciones'!E2680/'Analisis de operaciones'!E2684*$O741</f>
        <v>29.44588235</v>
      </c>
      <c r="E741" s="143">
        <f>'Analisis de operaciones'!F2680/'Analisis de operaciones'!F2684*$O741</f>
        <v>29.44588235</v>
      </c>
      <c r="F741" s="143">
        <f>'Analisis de operaciones'!G2680/'Analisis de operaciones'!G2684*$O741</f>
        <v>29.44588235</v>
      </c>
      <c r="G741" s="143">
        <f>'Analisis de operaciones'!H2680/'Analisis de operaciones'!H2684*$O741</f>
        <v>26.17411765</v>
      </c>
      <c r="H741" s="143">
        <f>'Analisis de operaciones'!I2680/'Analisis de operaciones'!I2684*$O741</f>
        <v>29.44588235</v>
      </c>
      <c r="I741" s="143">
        <f>'Analisis de operaciones'!J2680/'Analisis de operaciones'!J2684*$O741</f>
        <v>29.44588235</v>
      </c>
      <c r="J741" s="143">
        <f>'Analisis de operaciones'!K2680/'Analisis de operaciones'!K2684*$O741</f>
        <v>27.81</v>
      </c>
      <c r="K741" s="143">
        <f>'Analisis de operaciones'!L2680/'Analisis de operaciones'!L2684*$O741</f>
        <v>24.53823529</v>
      </c>
      <c r="L741" s="143">
        <f>'Analisis de operaciones'!M2680/'Analisis de operaciones'!M2684*$O741</f>
        <v>22.90235294</v>
      </c>
      <c r="M741" s="143">
        <f>'Analisis de operaciones'!N2680/'Analisis de operaciones'!N2684*$O741</f>
        <v>26.17411765</v>
      </c>
      <c r="O741" s="144">
        <f>$B$45</f>
        <v>1</v>
      </c>
    </row>
    <row r="742" ht="15.75" hidden="1" customHeight="1" outlineLevel="1">
      <c r="A742" s="142" t="s">
        <v>311</v>
      </c>
      <c r="B742" s="143">
        <f>'Analisis de operaciones'!C3031/'Analisis de operaciones'!C3035*$O742</f>
        <v>40.51615477</v>
      </c>
      <c r="C742" s="143">
        <f>'Analisis de operaciones'!D3031/'Analisis de operaciones'!D3035*$O742</f>
        <v>32.51725106</v>
      </c>
      <c r="D742" s="143">
        <f>'Analisis de operaciones'!E3031/'Analisis de operaciones'!E3035*$O742</f>
        <v>34.70327562</v>
      </c>
      <c r="E742" s="143">
        <f>'Analisis de operaciones'!F3031/'Analisis de operaciones'!F3035*$O742</f>
        <v>34.70327562</v>
      </c>
      <c r="F742" s="143">
        <f>'Analisis de operaciones'!G3031/'Analisis de operaciones'!G3035*$O742</f>
        <v>32.74080942</v>
      </c>
      <c r="G742" s="143">
        <f>'Analisis de operaciones'!H3031/'Analisis de operaciones'!H3035*$O742</f>
        <v>30.62930431</v>
      </c>
      <c r="H742" s="143">
        <f>'Analisis de operaciones'!I3031/'Analisis de operaciones'!I3035*$O742</f>
        <v>32.74080942</v>
      </c>
      <c r="I742" s="143">
        <f>'Analisis de operaciones'!J3031/'Analisis de operaciones'!J3035*$O742</f>
        <v>32.74080942</v>
      </c>
      <c r="J742" s="143">
        <f>'Analisis de operaciones'!K3031/'Analisis de operaciones'!K3035*$O742</f>
        <v>32.66628996</v>
      </c>
      <c r="K742" s="143">
        <f>'Analisis de operaciones'!L3031/'Analisis de operaciones'!L3035*$O742</f>
        <v>30.55478485</v>
      </c>
      <c r="L742" s="143">
        <f>'Analisis de operaciones'!M3031/'Analisis de operaciones'!M3035*$O742</f>
        <v>28.5177992</v>
      </c>
      <c r="M742" s="143">
        <f>'Analisis de operaciones'!N3031/'Analisis de operaciones'!N3035*$O742</f>
        <v>44.36656773</v>
      </c>
      <c r="O742" s="144">
        <v>1.0</v>
      </c>
    </row>
    <row r="743" ht="15.75" hidden="1" customHeight="1" outlineLevel="1">
      <c r="A743" s="141" t="s">
        <v>534</v>
      </c>
    </row>
    <row r="744" ht="15.75" hidden="1" customHeight="1" outlineLevel="1">
      <c r="A744" s="142" t="s">
        <v>26</v>
      </c>
      <c r="B744" s="143">
        <f t="shared" ref="B744:M744" si="330">MAX(0,B713*B$693-$N713)</f>
        <v>0</v>
      </c>
      <c r="C744" s="143">
        <f t="shared" si="330"/>
        <v>0</v>
      </c>
      <c r="D744" s="143">
        <f t="shared" si="330"/>
        <v>0</v>
      </c>
      <c r="E744" s="143">
        <f t="shared" si="330"/>
        <v>0</v>
      </c>
      <c r="F744" s="143">
        <f t="shared" si="330"/>
        <v>0</v>
      </c>
      <c r="G744" s="143">
        <f t="shared" si="330"/>
        <v>0</v>
      </c>
      <c r="H744" s="143">
        <f t="shared" si="330"/>
        <v>0</v>
      </c>
      <c r="I744" s="143">
        <f t="shared" si="330"/>
        <v>0</v>
      </c>
      <c r="J744" s="143">
        <f t="shared" si="330"/>
        <v>0</v>
      </c>
      <c r="K744" s="143">
        <f t="shared" si="330"/>
        <v>0</v>
      </c>
      <c r="L744" s="143">
        <f t="shared" si="330"/>
        <v>0</v>
      </c>
      <c r="M744" s="143">
        <f t="shared" si="330"/>
        <v>0</v>
      </c>
    </row>
    <row r="745" ht="15.75" hidden="1" customHeight="1" outlineLevel="1">
      <c r="A745" s="142" t="s">
        <v>55</v>
      </c>
      <c r="B745" s="143">
        <f t="shared" ref="B745:M745" si="331">MAX(0,B714*B$693-$N714)</f>
        <v>0</v>
      </c>
      <c r="C745" s="143">
        <f t="shared" si="331"/>
        <v>0</v>
      </c>
      <c r="D745" s="143">
        <f t="shared" si="331"/>
        <v>0</v>
      </c>
      <c r="E745" s="143">
        <f t="shared" si="331"/>
        <v>0</v>
      </c>
      <c r="F745" s="143">
        <f t="shared" si="331"/>
        <v>0</v>
      </c>
      <c r="G745" s="143">
        <f t="shared" si="331"/>
        <v>0</v>
      </c>
      <c r="H745" s="143">
        <f t="shared" si="331"/>
        <v>0</v>
      </c>
      <c r="I745" s="143">
        <f t="shared" si="331"/>
        <v>0</v>
      </c>
      <c r="J745" s="143">
        <f t="shared" si="331"/>
        <v>0</v>
      </c>
      <c r="K745" s="143">
        <f t="shared" si="331"/>
        <v>0</v>
      </c>
      <c r="L745" s="143">
        <f t="shared" si="331"/>
        <v>0</v>
      </c>
      <c r="M745" s="143">
        <f t="shared" si="331"/>
        <v>0</v>
      </c>
    </row>
    <row r="746" ht="15.75" hidden="1" customHeight="1" outlineLevel="1">
      <c r="A746" s="142" t="s">
        <v>61</v>
      </c>
      <c r="B746" s="143">
        <f t="shared" ref="B746:M746" si="332">MAX(0,B715*B$693-$N715)</f>
        <v>0</v>
      </c>
      <c r="C746" s="143">
        <f t="shared" si="332"/>
        <v>0</v>
      </c>
      <c r="D746" s="143">
        <f t="shared" si="332"/>
        <v>0</v>
      </c>
      <c r="E746" s="143">
        <f t="shared" si="332"/>
        <v>0</v>
      </c>
      <c r="F746" s="143">
        <f t="shared" si="332"/>
        <v>0</v>
      </c>
      <c r="G746" s="143">
        <f t="shared" si="332"/>
        <v>0</v>
      </c>
      <c r="H746" s="143">
        <f t="shared" si="332"/>
        <v>0</v>
      </c>
      <c r="I746" s="143">
        <f t="shared" si="332"/>
        <v>0</v>
      </c>
      <c r="J746" s="143">
        <f t="shared" si="332"/>
        <v>0</v>
      </c>
      <c r="K746" s="143">
        <f t="shared" si="332"/>
        <v>0</v>
      </c>
      <c r="L746" s="143">
        <f t="shared" si="332"/>
        <v>0</v>
      </c>
      <c r="M746" s="143">
        <f t="shared" si="332"/>
        <v>0</v>
      </c>
    </row>
    <row r="747" ht="15.75" hidden="1" customHeight="1" outlineLevel="1">
      <c r="A747" s="142" t="s">
        <v>62</v>
      </c>
      <c r="B747" s="143">
        <f t="shared" ref="B747:M747" si="333">MAX(0,B716*B$693-$N716)</f>
        <v>0</v>
      </c>
      <c r="C747" s="143">
        <f t="shared" si="333"/>
        <v>0</v>
      </c>
      <c r="D747" s="143">
        <f t="shared" si="333"/>
        <v>0</v>
      </c>
      <c r="E747" s="143">
        <f t="shared" si="333"/>
        <v>0</v>
      </c>
      <c r="F747" s="143">
        <f t="shared" si="333"/>
        <v>0</v>
      </c>
      <c r="G747" s="143">
        <f t="shared" si="333"/>
        <v>0</v>
      </c>
      <c r="H747" s="143">
        <f t="shared" si="333"/>
        <v>0</v>
      </c>
      <c r="I747" s="143">
        <f t="shared" si="333"/>
        <v>0</v>
      </c>
      <c r="J747" s="143">
        <f t="shared" si="333"/>
        <v>0</v>
      </c>
      <c r="K747" s="143">
        <f t="shared" si="333"/>
        <v>0</v>
      </c>
      <c r="L747" s="143">
        <f t="shared" si="333"/>
        <v>0</v>
      </c>
      <c r="M747" s="143">
        <f t="shared" si="333"/>
        <v>0</v>
      </c>
    </row>
    <row r="748" ht="15.75" hidden="1" customHeight="1" outlineLevel="1">
      <c r="A748" s="142" t="s">
        <v>63</v>
      </c>
      <c r="B748" s="143">
        <f t="shared" ref="B748:M748" si="334">MAX(0,B717*B$693-$N717)</f>
        <v>0</v>
      </c>
      <c r="C748" s="143">
        <f t="shared" si="334"/>
        <v>0</v>
      </c>
      <c r="D748" s="143">
        <f t="shared" si="334"/>
        <v>0</v>
      </c>
      <c r="E748" s="143">
        <f t="shared" si="334"/>
        <v>0</v>
      </c>
      <c r="F748" s="143">
        <f t="shared" si="334"/>
        <v>0</v>
      </c>
      <c r="G748" s="143">
        <f t="shared" si="334"/>
        <v>0</v>
      </c>
      <c r="H748" s="143">
        <f t="shared" si="334"/>
        <v>0</v>
      </c>
      <c r="I748" s="143">
        <f t="shared" si="334"/>
        <v>0</v>
      </c>
      <c r="J748" s="143">
        <f t="shared" si="334"/>
        <v>0</v>
      </c>
      <c r="K748" s="143">
        <f t="shared" si="334"/>
        <v>0</v>
      </c>
      <c r="L748" s="143">
        <f t="shared" si="334"/>
        <v>0</v>
      </c>
      <c r="M748" s="143">
        <f t="shared" si="334"/>
        <v>0</v>
      </c>
    </row>
    <row r="749" ht="15.75" hidden="1" customHeight="1" outlineLevel="1">
      <c r="A749" s="142" t="s">
        <v>64</v>
      </c>
      <c r="B749" s="143">
        <f t="shared" ref="B749:M749" si="335">MAX(0,B718*B$693-$N718)</f>
        <v>0</v>
      </c>
      <c r="C749" s="143">
        <f t="shared" si="335"/>
        <v>0</v>
      </c>
      <c r="D749" s="143">
        <f t="shared" si="335"/>
        <v>0</v>
      </c>
      <c r="E749" s="143">
        <f t="shared" si="335"/>
        <v>0</v>
      </c>
      <c r="F749" s="143">
        <f t="shared" si="335"/>
        <v>0</v>
      </c>
      <c r="G749" s="143">
        <f t="shared" si="335"/>
        <v>0</v>
      </c>
      <c r="H749" s="143">
        <f t="shared" si="335"/>
        <v>0</v>
      </c>
      <c r="I749" s="143">
        <f t="shared" si="335"/>
        <v>0</v>
      </c>
      <c r="J749" s="143">
        <f t="shared" si="335"/>
        <v>0</v>
      </c>
      <c r="K749" s="143">
        <f t="shared" si="335"/>
        <v>0</v>
      </c>
      <c r="L749" s="143">
        <f t="shared" si="335"/>
        <v>0</v>
      </c>
      <c r="M749" s="143">
        <f t="shared" si="335"/>
        <v>0</v>
      </c>
    </row>
    <row r="750" ht="15.75" hidden="1" customHeight="1" outlineLevel="1">
      <c r="A750" s="142" t="s">
        <v>66</v>
      </c>
      <c r="B750" s="143">
        <f t="shared" ref="B750:M750" si="336">MAX(0,B719*B$693-$N719)</f>
        <v>21.21109206</v>
      </c>
      <c r="C750" s="143">
        <f t="shared" si="336"/>
        <v>0</v>
      </c>
      <c r="D750" s="143">
        <f t="shared" si="336"/>
        <v>0</v>
      </c>
      <c r="E750" s="143">
        <f t="shared" si="336"/>
        <v>0</v>
      </c>
      <c r="F750" s="143">
        <f t="shared" si="336"/>
        <v>0</v>
      </c>
      <c r="G750" s="143">
        <f t="shared" si="336"/>
        <v>0</v>
      </c>
      <c r="H750" s="143">
        <f t="shared" si="336"/>
        <v>0</v>
      </c>
      <c r="I750" s="143">
        <f t="shared" si="336"/>
        <v>0</v>
      </c>
      <c r="J750" s="143">
        <f t="shared" si="336"/>
        <v>0</v>
      </c>
      <c r="K750" s="143">
        <f t="shared" si="336"/>
        <v>0</v>
      </c>
      <c r="L750" s="143">
        <f t="shared" si="336"/>
        <v>0</v>
      </c>
      <c r="M750" s="143">
        <f t="shared" si="336"/>
        <v>0</v>
      </c>
    </row>
    <row r="751" ht="15.75" hidden="1" customHeight="1" outlineLevel="1">
      <c r="A751" s="142" t="s">
        <v>67</v>
      </c>
      <c r="B751" s="143">
        <f t="shared" ref="B751:M751" si="337">MAX(0,B720*B$693-$N720)</f>
        <v>0</v>
      </c>
      <c r="C751" s="143">
        <f t="shared" si="337"/>
        <v>0</v>
      </c>
      <c r="D751" s="143">
        <f t="shared" si="337"/>
        <v>0</v>
      </c>
      <c r="E751" s="143">
        <f t="shared" si="337"/>
        <v>0</v>
      </c>
      <c r="F751" s="143">
        <f t="shared" si="337"/>
        <v>0</v>
      </c>
      <c r="G751" s="143">
        <f t="shared" si="337"/>
        <v>0</v>
      </c>
      <c r="H751" s="143">
        <f t="shared" si="337"/>
        <v>0</v>
      </c>
      <c r="I751" s="143">
        <f t="shared" si="337"/>
        <v>0</v>
      </c>
      <c r="J751" s="143">
        <f t="shared" si="337"/>
        <v>0</v>
      </c>
      <c r="K751" s="143">
        <f t="shared" si="337"/>
        <v>0</v>
      </c>
      <c r="L751" s="143">
        <f t="shared" si="337"/>
        <v>0</v>
      </c>
      <c r="M751" s="143">
        <f t="shared" si="337"/>
        <v>0</v>
      </c>
    </row>
    <row r="752" ht="15.75" hidden="1" customHeight="1" outlineLevel="1">
      <c r="A752" s="142" t="s">
        <v>68</v>
      </c>
      <c r="B752" s="143">
        <f t="shared" ref="B752:M752" si="338">MAX(0,B721*B$693-$N721)</f>
        <v>3.05571267</v>
      </c>
      <c r="C752" s="143">
        <f t="shared" si="338"/>
        <v>0</v>
      </c>
      <c r="D752" s="143">
        <f t="shared" si="338"/>
        <v>0</v>
      </c>
      <c r="E752" s="143">
        <f t="shared" si="338"/>
        <v>0</v>
      </c>
      <c r="F752" s="143">
        <f t="shared" si="338"/>
        <v>0</v>
      </c>
      <c r="G752" s="143">
        <f t="shared" si="338"/>
        <v>0</v>
      </c>
      <c r="H752" s="143">
        <f t="shared" si="338"/>
        <v>0</v>
      </c>
      <c r="I752" s="143">
        <f t="shared" si="338"/>
        <v>0</v>
      </c>
      <c r="J752" s="143">
        <f t="shared" si="338"/>
        <v>0</v>
      </c>
      <c r="K752" s="143">
        <f t="shared" si="338"/>
        <v>0</v>
      </c>
      <c r="L752" s="143">
        <f t="shared" si="338"/>
        <v>0</v>
      </c>
      <c r="M752" s="143">
        <f t="shared" si="338"/>
        <v>0</v>
      </c>
    </row>
    <row r="753" ht="15.75" hidden="1" customHeight="1" outlineLevel="1">
      <c r="A753" s="142" t="s">
        <v>70</v>
      </c>
      <c r="B753" s="143">
        <f t="shared" ref="B753:M753" si="339">MAX(0,B722*B$693-$N722)</f>
        <v>0</v>
      </c>
      <c r="C753" s="143">
        <f t="shared" si="339"/>
        <v>0</v>
      </c>
      <c r="D753" s="143">
        <f t="shared" si="339"/>
        <v>0</v>
      </c>
      <c r="E753" s="143">
        <f t="shared" si="339"/>
        <v>0</v>
      </c>
      <c r="F753" s="143">
        <f t="shared" si="339"/>
        <v>0</v>
      </c>
      <c r="G753" s="143">
        <f t="shared" si="339"/>
        <v>0</v>
      </c>
      <c r="H753" s="143">
        <f t="shared" si="339"/>
        <v>0</v>
      </c>
      <c r="I753" s="143">
        <f t="shared" si="339"/>
        <v>0</v>
      </c>
      <c r="J753" s="143">
        <f t="shared" si="339"/>
        <v>0</v>
      </c>
      <c r="K753" s="143">
        <f t="shared" si="339"/>
        <v>0</v>
      </c>
      <c r="L753" s="143">
        <f t="shared" si="339"/>
        <v>0</v>
      </c>
      <c r="M753" s="143">
        <f t="shared" si="339"/>
        <v>0</v>
      </c>
    </row>
    <row r="754" ht="15.75" hidden="1" customHeight="1" outlineLevel="1">
      <c r="A754" s="142" t="s">
        <v>72</v>
      </c>
      <c r="B754" s="143">
        <f t="shared" ref="B754:M754" si="340">MAX(0,B723*B$693-$N723)</f>
        <v>0</v>
      </c>
      <c r="C754" s="143">
        <f t="shared" si="340"/>
        <v>0</v>
      </c>
      <c r="D754" s="143">
        <f t="shared" si="340"/>
        <v>0</v>
      </c>
      <c r="E754" s="143">
        <f t="shared" si="340"/>
        <v>0</v>
      </c>
      <c r="F754" s="143">
        <f t="shared" si="340"/>
        <v>0</v>
      </c>
      <c r="G754" s="143">
        <f t="shared" si="340"/>
        <v>0</v>
      </c>
      <c r="H754" s="143">
        <f t="shared" si="340"/>
        <v>0</v>
      </c>
      <c r="I754" s="143">
        <f t="shared" si="340"/>
        <v>0</v>
      </c>
      <c r="J754" s="143">
        <f t="shared" si="340"/>
        <v>0</v>
      </c>
      <c r="K754" s="143">
        <f t="shared" si="340"/>
        <v>0</v>
      </c>
      <c r="L754" s="143">
        <f t="shared" si="340"/>
        <v>0</v>
      </c>
      <c r="M754" s="143">
        <f t="shared" si="340"/>
        <v>0</v>
      </c>
    </row>
    <row r="755" ht="15.75" hidden="1" customHeight="1" outlineLevel="1">
      <c r="A755" s="142" t="s">
        <v>74</v>
      </c>
      <c r="B755" s="143">
        <f t="shared" ref="B755:M755" si="341">MAX(0,B724*B$693-$N724)</f>
        <v>0</v>
      </c>
      <c r="C755" s="143">
        <f t="shared" si="341"/>
        <v>0</v>
      </c>
      <c r="D755" s="143">
        <f t="shared" si="341"/>
        <v>0</v>
      </c>
      <c r="E755" s="143">
        <f t="shared" si="341"/>
        <v>0</v>
      </c>
      <c r="F755" s="143">
        <f t="shared" si="341"/>
        <v>0</v>
      </c>
      <c r="G755" s="143">
        <f t="shared" si="341"/>
        <v>0</v>
      </c>
      <c r="H755" s="143">
        <f t="shared" si="341"/>
        <v>0</v>
      </c>
      <c r="I755" s="143">
        <f t="shared" si="341"/>
        <v>0</v>
      </c>
      <c r="J755" s="143">
        <f t="shared" si="341"/>
        <v>0</v>
      </c>
      <c r="K755" s="143">
        <f t="shared" si="341"/>
        <v>0</v>
      </c>
      <c r="L755" s="143">
        <f t="shared" si="341"/>
        <v>0</v>
      </c>
      <c r="M755" s="143">
        <f t="shared" si="341"/>
        <v>0</v>
      </c>
    </row>
    <row r="756" ht="15.75" hidden="1" customHeight="1" outlineLevel="1">
      <c r="A756" s="142" t="s">
        <v>76</v>
      </c>
      <c r="B756" s="143">
        <f t="shared" ref="B756:M756" si="342">MAX(0,B725*B$693-$N725)</f>
        <v>0</v>
      </c>
      <c r="C756" s="143">
        <f t="shared" si="342"/>
        <v>0</v>
      </c>
      <c r="D756" s="143">
        <f t="shared" si="342"/>
        <v>0</v>
      </c>
      <c r="E756" s="143">
        <f t="shared" si="342"/>
        <v>0</v>
      </c>
      <c r="F756" s="143">
        <f t="shared" si="342"/>
        <v>0</v>
      </c>
      <c r="G756" s="143">
        <f t="shared" si="342"/>
        <v>0</v>
      </c>
      <c r="H756" s="143">
        <f t="shared" si="342"/>
        <v>0</v>
      </c>
      <c r="I756" s="143">
        <f t="shared" si="342"/>
        <v>0</v>
      </c>
      <c r="J756" s="143">
        <f t="shared" si="342"/>
        <v>0</v>
      </c>
      <c r="K756" s="143">
        <f t="shared" si="342"/>
        <v>0</v>
      </c>
      <c r="L756" s="143">
        <f t="shared" si="342"/>
        <v>0</v>
      </c>
      <c r="M756" s="143">
        <f t="shared" si="342"/>
        <v>0</v>
      </c>
    </row>
    <row r="757" ht="15.75" hidden="1" customHeight="1" outlineLevel="1">
      <c r="A757" s="142" t="s">
        <v>77</v>
      </c>
      <c r="B757" s="143">
        <f t="shared" ref="B757:M757" si="343">MAX(0,B726*B$693-$N726)</f>
        <v>0</v>
      </c>
      <c r="C757" s="143">
        <f t="shared" si="343"/>
        <v>0</v>
      </c>
      <c r="D757" s="143">
        <f t="shared" si="343"/>
        <v>0</v>
      </c>
      <c r="E757" s="143">
        <f t="shared" si="343"/>
        <v>0</v>
      </c>
      <c r="F757" s="143">
        <f t="shared" si="343"/>
        <v>0</v>
      </c>
      <c r="G757" s="143">
        <f t="shared" si="343"/>
        <v>0</v>
      </c>
      <c r="H757" s="143">
        <f t="shared" si="343"/>
        <v>0</v>
      </c>
      <c r="I757" s="143">
        <f t="shared" si="343"/>
        <v>0</v>
      </c>
      <c r="J757" s="143">
        <f t="shared" si="343"/>
        <v>0</v>
      </c>
      <c r="K757" s="143">
        <f t="shared" si="343"/>
        <v>0</v>
      </c>
      <c r="L757" s="143">
        <f t="shared" si="343"/>
        <v>0</v>
      </c>
      <c r="M757" s="143">
        <f t="shared" si="343"/>
        <v>0</v>
      </c>
    </row>
    <row r="758" ht="15.75" hidden="1" customHeight="1" outlineLevel="1">
      <c r="A758" s="142" t="s">
        <v>79</v>
      </c>
      <c r="B758" s="143">
        <f t="shared" ref="B758:M758" si="344">MAX(0,B727*B$693-$N727)</f>
        <v>0</v>
      </c>
      <c r="C758" s="143">
        <f t="shared" si="344"/>
        <v>0</v>
      </c>
      <c r="D758" s="143">
        <f t="shared" si="344"/>
        <v>0</v>
      </c>
      <c r="E758" s="143">
        <f t="shared" si="344"/>
        <v>0</v>
      </c>
      <c r="F758" s="143">
        <f t="shared" si="344"/>
        <v>0</v>
      </c>
      <c r="G758" s="143">
        <f t="shared" si="344"/>
        <v>0</v>
      </c>
      <c r="H758" s="143">
        <f t="shared" si="344"/>
        <v>0</v>
      </c>
      <c r="I758" s="143">
        <f t="shared" si="344"/>
        <v>0</v>
      </c>
      <c r="J758" s="143">
        <f t="shared" si="344"/>
        <v>0</v>
      </c>
      <c r="K758" s="143">
        <f t="shared" si="344"/>
        <v>0</v>
      </c>
      <c r="L758" s="143">
        <f t="shared" si="344"/>
        <v>0</v>
      </c>
      <c r="M758" s="143">
        <f t="shared" si="344"/>
        <v>0</v>
      </c>
    </row>
    <row r="759" ht="15.75" hidden="1" customHeight="1" outlineLevel="1">
      <c r="A759" s="142" t="s">
        <v>81</v>
      </c>
      <c r="B759" s="143">
        <f t="shared" ref="B759:M759" si="345">MAX(0,B728*B$693-$N728)</f>
        <v>0</v>
      </c>
      <c r="C759" s="143">
        <f t="shared" si="345"/>
        <v>0</v>
      </c>
      <c r="D759" s="143">
        <f t="shared" si="345"/>
        <v>0</v>
      </c>
      <c r="E759" s="143">
        <f t="shared" si="345"/>
        <v>0</v>
      </c>
      <c r="F759" s="143">
        <f t="shared" si="345"/>
        <v>0</v>
      </c>
      <c r="G759" s="143">
        <f t="shared" si="345"/>
        <v>0</v>
      </c>
      <c r="H759" s="143">
        <f t="shared" si="345"/>
        <v>0</v>
      </c>
      <c r="I759" s="143">
        <f t="shared" si="345"/>
        <v>0</v>
      </c>
      <c r="J759" s="143">
        <f t="shared" si="345"/>
        <v>0</v>
      </c>
      <c r="K759" s="143">
        <f t="shared" si="345"/>
        <v>0</v>
      </c>
      <c r="L759" s="143">
        <f t="shared" si="345"/>
        <v>0</v>
      </c>
      <c r="M759" s="143">
        <f t="shared" si="345"/>
        <v>0</v>
      </c>
    </row>
    <row r="760" ht="15.75" hidden="1" customHeight="1" outlineLevel="1">
      <c r="A760" s="142" t="s">
        <v>82</v>
      </c>
      <c r="B760" s="143">
        <f t="shared" ref="B760:M760" si="346">MAX(0,B729*B$693-$N729)</f>
        <v>0</v>
      </c>
      <c r="C760" s="143">
        <f t="shared" si="346"/>
        <v>0</v>
      </c>
      <c r="D760" s="143">
        <f t="shared" si="346"/>
        <v>0</v>
      </c>
      <c r="E760" s="143">
        <f t="shared" si="346"/>
        <v>0</v>
      </c>
      <c r="F760" s="143">
        <f t="shared" si="346"/>
        <v>0</v>
      </c>
      <c r="G760" s="143">
        <f t="shared" si="346"/>
        <v>0</v>
      </c>
      <c r="H760" s="143">
        <f t="shared" si="346"/>
        <v>0</v>
      </c>
      <c r="I760" s="143">
        <f t="shared" si="346"/>
        <v>0</v>
      </c>
      <c r="J760" s="143">
        <f t="shared" si="346"/>
        <v>0</v>
      </c>
      <c r="K760" s="143">
        <f t="shared" si="346"/>
        <v>0</v>
      </c>
      <c r="L760" s="143">
        <f t="shared" si="346"/>
        <v>0</v>
      </c>
      <c r="M760" s="143">
        <f t="shared" si="346"/>
        <v>0</v>
      </c>
    </row>
    <row r="761" ht="15.75" hidden="1" customHeight="1" outlineLevel="1">
      <c r="A761" s="142" t="s">
        <v>83</v>
      </c>
      <c r="B761" s="143">
        <f t="shared" ref="B761:M761" si="347">MAX(0,B730*B$693-$N730)</f>
        <v>0</v>
      </c>
      <c r="C761" s="143">
        <f t="shared" si="347"/>
        <v>0</v>
      </c>
      <c r="D761" s="143">
        <f t="shared" si="347"/>
        <v>0</v>
      </c>
      <c r="E761" s="143">
        <f t="shared" si="347"/>
        <v>0</v>
      </c>
      <c r="F761" s="143">
        <f t="shared" si="347"/>
        <v>0</v>
      </c>
      <c r="G761" s="143">
        <f t="shared" si="347"/>
        <v>0</v>
      </c>
      <c r="H761" s="143">
        <f t="shared" si="347"/>
        <v>0</v>
      </c>
      <c r="I761" s="143">
        <f t="shared" si="347"/>
        <v>0</v>
      </c>
      <c r="J761" s="143">
        <f t="shared" si="347"/>
        <v>0</v>
      </c>
      <c r="K761" s="143">
        <f t="shared" si="347"/>
        <v>0</v>
      </c>
      <c r="L761" s="143">
        <f t="shared" si="347"/>
        <v>0</v>
      </c>
      <c r="M761" s="143">
        <f t="shared" si="347"/>
        <v>0</v>
      </c>
    </row>
    <row r="762" ht="15.75" hidden="1" customHeight="1" outlineLevel="1">
      <c r="A762" s="142" t="s">
        <v>84</v>
      </c>
      <c r="B762" s="143">
        <f t="shared" ref="B762:M762" si="348">MAX(0,B731*B$693-$N731)</f>
        <v>0</v>
      </c>
      <c r="C762" s="143">
        <f t="shared" si="348"/>
        <v>0</v>
      </c>
      <c r="D762" s="143">
        <f t="shared" si="348"/>
        <v>0</v>
      </c>
      <c r="E762" s="143">
        <f t="shared" si="348"/>
        <v>0</v>
      </c>
      <c r="F762" s="143">
        <f t="shared" si="348"/>
        <v>0</v>
      </c>
      <c r="G762" s="143">
        <f t="shared" si="348"/>
        <v>0</v>
      </c>
      <c r="H762" s="143">
        <f t="shared" si="348"/>
        <v>0</v>
      </c>
      <c r="I762" s="143">
        <f t="shared" si="348"/>
        <v>0</v>
      </c>
      <c r="J762" s="143">
        <f t="shared" si="348"/>
        <v>0</v>
      </c>
      <c r="K762" s="143">
        <f t="shared" si="348"/>
        <v>0</v>
      </c>
      <c r="L762" s="143">
        <f t="shared" si="348"/>
        <v>0</v>
      </c>
      <c r="M762" s="143">
        <f t="shared" si="348"/>
        <v>0</v>
      </c>
    </row>
    <row r="763" ht="15.75" hidden="1" customHeight="1" outlineLevel="1">
      <c r="A763" s="142" t="s">
        <v>85</v>
      </c>
      <c r="B763" s="143">
        <f t="shared" ref="B763:M763" si="349">MAX(0,B732*B$693-$N732)</f>
        <v>0</v>
      </c>
      <c r="C763" s="143">
        <f t="shared" si="349"/>
        <v>0</v>
      </c>
      <c r="D763" s="143">
        <f t="shared" si="349"/>
        <v>0</v>
      </c>
      <c r="E763" s="143">
        <f t="shared" si="349"/>
        <v>0</v>
      </c>
      <c r="F763" s="143">
        <f t="shared" si="349"/>
        <v>0</v>
      </c>
      <c r="G763" s="143">
        <f t="shared" si="349"/>
        <v>0</v>
      </c>
      <c r="H763" s="143">
        <f t="shared" si="349"/>
        <v>0</v>
      </c>
      <c r="I763" s="143">
        <f t="shared" si="349"/>
        <v>0</v>
      </c>
      <c r="J763" s="143">
        <f t="shared" si="349"/>
        <v>0</v>
      </c>
      <c r="K763" s="143">
        <f t="shared" si="349"/>
        <v>0</v>
      </c>
      <c r="L763" s="143">
        <f t="shared" si="349"/>
        <v>0</v>
      </c>
      <c r="M763" s="143">
        <f t="shared" si="349"/>
        <v>0</v>
      </c>
    </row>
    <row r="764" ht="15.75" customHeight="1"/>
    <row r="765" ht="15.75" customHeight="1"/>
    <row r="766" ht="15.75" customHeight="1">
      <c r="A766" s="45" t="s">
        <v>971</v>
      </c>
      <c r="B766" s="69"/>
      <c r="C766" s="69"/>
      <c r="D766" s="69"/>
      <c r="E766" s="69"/>
      <c r="F766" s="69"/>
      <c r="G766" s="69"/>
      <c r="H766" s="69"/>
      <c r="I766" s="69"/>
      <c r="J766" s="69"/>
      <c r="K766" s="69"/>
      <c r="L766" s="69"/>
      <c r="M766" s="69"/>
      <c r="N766" s="69"/>
    </row>
    <row r="767" ht="15.75" customHeight="1">
      <c r="A767" s="73" t="s">
        <v>270</v>
      </c>
      <c r="B767" s="36">
        <f>'Resumen Capacidad'!I85</f>
        <v>2</v>
      </c>
    </row>
    <row r="768" ht="15.75" customHeight="1">
      <c r="A768" s="30" t="s">
        <v>333</v>
      </c>
      <c r="B768" s="84">
        <f>IF($B$5=1,MAX(MAX(B782:L782),M781),MAX(B782:M782))</f>
        <v>3673.016696</v>
      </c>
    </row>
    <row r="769" ht="15.75" customHeight="1">
      <c r="A769" s="73" t="s">
        <v>275</v>
      </c>
      <c r="B769" s="115">
        <f>MIN('Resumen Capacidad'!I$49+'Resumen Capacidad'!I$228+'Resumen Capacidad'!I$235,MAX($B$13,ROUNDUP(B768/$B$11,0)))</f>
        <v>23</v>
      </c>
      <c r="C769" s="22" t="s">
        <v>339</v>
      </c>
    </row>
    <row r="770" ht="15.75" customHeight="1">
      <c r="A770" s="73" t="s">
        <v>284</v>
      </c>
      <c r="B770" s="115">
        <f>IF(B767=2,ROUNDUP(MAX(B788:M788)/$B$11,0),0)</f>
        <v>2</v>
      </c>
      <c r="C770" s="22" t="s">
        <v>341</v>
      </c>
    </row>
    <row r="771" ht="15.75" customHeight="1">
      <c r="A771" s="73" t="s">
        <v>280</v>
      </c>
      <c r="B771" s="115">
        <f>IF(MAX(B798:M798)=0,0,MAX(Parametros!$B$73,ROUNDUP(MAX(B798:M798)/$B$11,0)))</f>
        <v>16</v>
      </c>
      <c r="C771" s="22" t="s">
        <v>345</v>
      </c>
    </row>
    <row r="772" ht="15.75" customHeight="1">
      <c r="A772" s="73" t="s">
        <v>286</v>
      </c>
      <c r="B772" s="115">
        <f>IF(B767=2,MAX(1,ROUNDUP(MAX(B792:M792)/$B$11,0)),0)</f>
        <v>2</v>
      </c>
      <c r="C772" s="22" t="s">
        <v>347</v>
      </c>
    </row>
    <row r="773" ht="15.75" customHeight="1"/>
    <row r="774" ht="15.75" customHeight="1">
      <c r="A774" s="29" t="s">
        <v>188</v>
      </c>
      <c r="B774" s="29" t="s">
        <v>109</v>
      </c>
      <c r="C774" s="29" t="s">
        <v>110</v>
      </c>
      <c r="D774" s="29" t="s">
        <v>111</v>
      </c>
      <c r="E774" s="29" t="s">
        <v>112</v>
      </c>
      <c r="F774" s="29" t="s">
        <v>113</v>
      </c>
      <c r="G774" s="29" t="s">
        <v>114</v>
      </c>
      <c r="H774" s="29" t="s">
        <v>115</v>
      </c>
      <c r="I774" s="29" t="s">
        <v>116</v>
      </c>
      <c r="J774" s="29" t="s">
        <v>117</v>
      </c>
      <c r="K774" s="29" t="s">
        <v>118</v>
      </c>
      <c r="L774" s="29" t="s">
        <v>119</v>
      </c>
      <c r="M774" s="29" t="s">
        <v>120</v>
      </c>
      <c r="N774" s="29" t="s">
        <v>348</v>
      </c>
    </row>
    <row r="775" ht="15.75" customHeight="1">
      <c r="A775" s="30" t="s">
        <v>349</v>
      </c>
      <c r="B775" s="64">
        <f>I$74*B$53</f>
        <v>0</v>
      </c>
      <c r="C775" s="64">
        <f>I$74*C$53</f>
        <v>286.875</v>
      </c>
      <c r="D775" s="64">
        <f>I$74*D$53</f>
        <v>382.5</v>
      </c>
      <c r="E775" s="64">
        <f>I$74*E$53</f>
        <v>382.5</v>
      </c>
      <c r="F775" s="64">
        <f>I$74*F$53</f>
        <v>0</v>
      </c>
      <c r="G775" s="64">
        <f>I$74*G$53</f>
        <v>0</v>
      </c>
      <c r="H775" s="64">
        <f>I$74*H$53</f>
        <v>478.125</v>
      </c>
      <c r="I775" s="64">
        <f>I$74*I$53</f>
        <v>0</v>
      </c>
      <c r="J775" s="64">
        <f>I$74*J$53</f>
        <v>0</v>
      </c>
      <c r="K775" s="64">
        <f>I$74*K$53</f>
        <v>191.25</v>
      </c>
      <c r="L775" s="64">
        <f>I$74*L$53</f>
        <v>191.25</v>
      </c>
      <c r="M775" s="64">
        <f>I$74*M$53</f>
        <v>0</v>
      </c>
      <c r="N775" s="84">
        <f t="shared" ref="N775:N798" si="350">MAX(B775:M775)</f>
        <v>478.125</v>
      </c>
    </row>
    <row r="776" ht="15.75" customHeight="1">
      <c r="A776" s="30" t="s">
        <v>359</v>
      </c>
      <c r="B776" s="64">
        <f>I$78*B$53</f>
        <v>0</v>
      </c>
      <c r="C776" s="64">
        <f>I$78*C$53</f>
        <v>22.5</v>
      </c>
      <c r="D776" s="64">
        <f>I$78*D$53</f>
        <v>30</v>
      </c>
      <c r="E776" s="64">
        <f>I$78*E$53</f>
        <v>30</v>
      </c>
      <c r="F776" s="64">
        <f>I$78*F$53</f>
        <v>0</v>
      </c>
      <c r="G776" s="64">
        <f>I$78*G$53</f>
        <v>0</v>
      </c>
      <c r="H776" s="64">
        <f>I$78*H$53</f>
        <v>37.5</v>
      </c>
      <c r="I776" s="64">
        <f>I$78*I$53</f>
        <v>0</v>
      </c>
      <c r="J776" s="64">
        <f>I$78*J$53</f>
        <v>0</v>
      </c>
      <c r="K776" s="64">
        <f>I$78*K$53</f>
        <v>15</v>
      </c>
      <c r="L776" s="64">
        <f>I$78*L$53</f>
        <v>15</v>
      </c>
      <c r="M776" s="64">
        <f>I$78*M$53</f>
        <v>0</v>
      </c>
      <c r="N776" s="84">
        <f t="shared" si="350"/>
        <v>37.5</v>
      </c>
    </row>
    <row r="777" ht="15.75" customHeight="1">
      <c r="A777" s="30" t="s">
        <v>375</v>
      </c>
      <c r="B777" s="64">
        <f>I$82*B$54</f>
        <v>0</v>
      </c>
      <c r="C777" s="64">
        <f>I$82*C$54</f>
        <v>196.875</v>
      </c>
      <c r="D777" s="64">
        <f>I$82*D$54</f>
        <v>196.875</v>
      </c>
      <c r="E777" s="64">
        <f>I$82*E$54</f>
        <v>196.875</v>
      </c>
      <c r="F777" s="64">
        <f>I$82*F$54</f>
        <v>0</v>
      </c>
      <c r="G777" s="64">
        <f>I$82*G$54</f>
        <v>0</v>
      </c>
      <c r="H777" s="64">
        <f>I$82*H$54</f>
        <v>328.125</v>
      </c>
      <c r="I777" s="64">
        <f>I$82*I$54</f>
        <v>0</v>
      </c>
      <c r="J777" s="64">
        <f>I$82*J$54</f>
        <v>0</v>
      </c>
      <c r="K777" s="64">
        <f>I$82*K$54</f>
        <v>196.875</v>
      </c>
      <c r="L777" s="64">
        <f>I$82*L$54</f>
        <v>196.875</v>
      </c>
      <c r="M777" s="64">
        <f>I$82*M$54</f>
        <v>0</v>
      </c>
      <c r="N777" s="84">
        <f t="shared" si="350"/>
        <v>328.125</v>
      </c>
    </row>
    <row r="778" ht="15.75" customHeight="1">
      <c r="A778" s="30" t="s">
        <v>380</v>
      </c>
      <c r="B778" s="64">
        <f>I$86*B$54</f>
        <v>0</v>
      </c>
      <c r="C778" s="64">
        <f>I$86*C$54</f>
        <v>22.5</v>
      </c>
      <c r="D778" s="64">
        <f>I$86*D$54</f>
        <v>22.5</v>
      </c>
      <c r="E778" s="64">
        <f>I$86*E$54</f>
        <v>22.5</v>
      </c>
      <c r="F778" s="64">
        <f>I$86*F$54</f>
        <v>0</v>
      </c>
      <c r="G778" s="64">
        <f>I$86*G$54</f>
        <v>0</v>
      </c>
      <c r="H778" s="64">
        <f>I$86*H$54</f>
        <v>37.5</v>
      </c>
      <c r="I778" s="64">
        <f>I$86*I$54</f>
        <v>0</v>
      </c>
      <c r="J778" s="64">
        <f>I$86*J$54</f>
        <v>0</v>
      </c>
      <c r="K778" s="64">
        <f>I$86*K$54</f>
        <v>22.5</v>
      </c>
      <c r="L778" s="64">
        <f>I$86*L$54</f>
        <v>22.5</v>
      </c>
      <c r="M778" s="64">
        <f>I$86*M$54</f>
        <v>0</v>
      </c>
      <c r="N778" s="84">
        <f t="shared" si="350"/>
        <v>37.5</v>
      </c>
    </row>
    <row r="779" ht="15.75" customHeight="1">
      <c r="A779" s="30" t="s">
        <v>382</v>
      </c>
      <c r="B779" s="64">
        <f>'Analisis de operaciones'!C1285</f>
        <v>24917.86</v>
      </c>
      <c r="C779" s="64">
        <f>'Analisis de operaciones'!D1285</f>
        <v>18997.49</v>
      </c>
      <c r="D779" s="64">
        <f>'Analisis de operaciones'!E1285</f>
        <v>17745.255</v>
      </c>
      <c r="E779" s="64">
        <f>'Analisis de operaciones'!F1285</f>
        <v>16964.59</v>
      </c>
      <c r="F779" s="64">
        <f>'Analisis de operaciones'!G1285</f>
        <v>15874.83</v>
      </c>
      <c r="G779" s="64">
        <f>'Analisis de operaciones'!H1285</f>
        <v>15565.735</v>
      </c>
      <c r="H779" s="64">
        <f>'Analisis de operaciones'!I1285</f>
        <v>16655.495</v>
      </c>
      <c r="I779" s="64">
        <f>'Analisis de operaciones'!J1285</f>
        <v>16655.495</v>
      </c>
      <c r="J779" s="64">
        <f>'Analisis de operaciones'!K1285</f>
        <v>16655.495</v>
      </c>
      <c r="K779" s="64">
        <f>'Analisis de operaciones'!L1285</f>
        <v>16346.4</v>
      </c>
      <c r="L779" s="64">
        <f>'Analisis de operaciones'!M1285</f>
        <v>16037.305</v>
      </c>
      <c r="M779" s="64">
        <f>'Analisis de operaciones'!N1285</f>
        <v>25536.05</v>
      </c>
      <c r="N779" s="84">
        <f t="shared" si="350"/>
        <v>25536.05</v>
      </c>
    </row>
    <row r="780" ht="15.75" customHeight="1">
      <c r="A780" s="30" t="s">
        <v>383</v>
      </c>
      <c r="B780" s="64">
        <f t="shared" ref="B780:M780" si="351">SUM(B806:B825)+B835</f>
        <v>3493.738571</v>
      </c>
      <c r="C780" s="64">
        <f t="shared" si="351"/>
        <v>2681.656288</v>
      </c>
      <c r="D780" s="64">
        <f t="shared" si="351"/>
        <v>2550.954679</v>
      </c>
      <c r="E780" s="64">
        <f t="shared" si="351"/>
        <v>2454.178559</v>
      </c>
      <c r="F780" s="64">
        <f t="shared" si="351"/>
        <v>2300.544897</v>
      </c>
      <c r="G780" s="64">
        <f t="shared" si="351"/>
        <v>2239.691961</v>
      </c>
      <c r="H780" s="64">
        <f t="shared" si="351"/>
        <v>2397.321017</v>
      </c>
      <c r="I780" s="64">
        <f t="shared" si="351"/>
        <v>2397.321017</v>
      </c>
      <c r="J780" s="64">
        <f t="shared" si="351"/>
        <v>2395.32332</v>
      </c>
      <c r="K780" s="64">
        <f t="shared" si="351"/>
        <v>2334.470385</v>
      </c>
      <c r="L780" s="64">
        <f t="shared" si="351"/>
        <v>2275.615146</v>
      </c>
      <c r="M780" s="64">
        <f t="shared" si="351"/>
        <v>3605.455959</v>
      </c>
      <c r="N780" s="84">
        <f t="shared" si="350"/>
        <v>3605.455959</v>
      </c>
    </row>
    <row r="781" ht="15.75" customHeight="1">
      <c r="A781" s="30" t="s">
        <v>385</v>
      </c>
      <c r="B781" s="64">
        <f t="shared" ref="B781:M781" si="352">SUM(B827:B834)</f>
        <v>179.278125</v>
      </c>
      <c r="C781" s="64">
        <f t="shared" si="352"/>
        <v>158.1865809</v>
      </c>
      <c r="D781" s="64">
        <f t="shared" si="352"/>
        <v>189.8238971</v>
      </c>
      <c r="E781" s="64">
        <f t="shared" si="352"/>
        <v>189.8238971</v>
      </c>
      <c r="F781" s="64">
        <f t="shared" si="352"/>
        <v>189.8238971</v>
      </c>
      <c r="G781" s="64">
        <f t="shared" si="352"/>
        <v>168.7323529</v>
      </c>
      <c r="H781" s="64">
        <f t="shared" si="352"/>
        <v>189.8238971</v>
      </c>
      <c r="I781" s="64">
        <f t="shared" si="352"/>
        <v>189.8238971</v>
      </c>
      <c r="J781" s="64">
        <f t="shared" si="352"/>
        <v>179.278125</v>
      </c>
      <c r="K781" s="64">
        <f t="shared" si="352"/>
        <v>158.1865809</v>
      </c>
      <c r="L781" s="64">
        <f t="shared" si="352"/>
        <v>147.6408088</v>
      </c>
      <c r="M781" s="64">
        <f t="shared" si="352"/>
        <v>168.7323529</v>
      </c>
      <c r="N781" s="84">
        <f t="shared" si="350"/>
        <v>189.8238971</v>
      </c>
    </row>
    <row r="782" ht="15.75" customHeight="1">
      <c r="A782" s="73" t="s">
        <v>386</v>
      </c>
      <c r="B782" s="84">
        <f t="shared" ref="B782:M782" si="353">B780+B781</f>
        <v>3673.016696</v>
      </c>
      <c r="C782" s="84">
        <f t="shared" si="353"/>
        <v>2839.842869</v>
      </c>
      <c r="D782" s="84">
        <f t="shared" si="353"/>
        <v>2740.778576</v>
      </c>
      <c r="E782" s="84">
        <f t="shared" si="353"/>
        <v>2644.002456</v>
      </c>
      <c r="F782" s="84">
        <f t="shared" si="353"/>
        <v>2490.368794</v>
      </c>
      <c r="G782" s="84">
        <f t="shared" si="353"/>
        <v>2408.424314</v>
      </c>
      <c r="H782" s="84">
        <f t="shared" si="353"/>
        <v>2587.144914</v>
      </c>
      <c r="I782" s="84">
        <f t="shared" si="353"/>
        <v>2587.144914</v>
      </c>
      <c r="J782" s="84">
        <f t="shared" si="353"/>
        <v>2574.601445</v>
      </c>
      <c r="K782" s="84">
        <f t="shared" si="353"/>
        <v>2492.656966</v>
      </c>
      <c r="L782" s="84">
        <f t="shared" si="353"/>
        <v>2423.255955</v>
      </c>
      <c r="M782" s="84">
        <f t="shared" si="353"/>
        <v>3774.188312</v>
      </c>
      <c r="N782" s="84">
        <f t="shared" si="350"/>
        <v>3774.188312</v>
      </c>
    </row>
    <row r="783" ht="15.75" customHeight="1">
      <c r="A783" s="30" t="s">
        <v>388</v>
      </c>
      <c r="B783" s="64">
        <f t="shared" ref="B783:M783" si="354">$B$769*$B$9-B775</f>
        <v>3011.85</v>
      </c>
      <c r="C783" s="64">
        <f t="shared" si="354"/>
        <v>2724.975</v>
      </c>
      <c r="D783" s="64">
        <f t="shared" si="354"/>
        <v>2629.35</v>
      </c>
      <c r="E783" s="64">
        <f t="shared" si="354"/>
        <v>2629.35</v>
      </c>
      <c r="F783" s="64">
        <f t="shared" si="354"/>
        <v>3011.85</v>
      </c>
      <c r="G783" s="64">
        <f t="shared" si="354"/>
        <v>3011.85</v>
      </c>
      <c r="H783" s="64">
        <f t="shared" si="354"/>
        <v>2533.725</v>
      </c>
      <c r="I783" s="64">
        <f t="shared" si="354"/>
        <v>3011.85</v>
      </c>
      <c r="J783" s="64">
        <f t="shared" si="354"/>
        <v>3011.85</v>
      </c>
      <c r="K783" s="64">
        <f t="shared" si="354"/>
        <v>2820.6</v>
      </c>
      <c r="L783" s="64">
        <f t="shared" si="354"/>
        <v>2820.6</v>
      </c>
      <c r="M783" s="64">
        <f t="shared" si="354"/>
        <v>3011.85</v>
      </c>
      <c r="N783" s="84">
        <f t="shared" si="350"/>
        <v>3011.85</v>
      </c>
    </row>
    <row r="784" ht="15.75" customHeight="1">
      <c r="A784" s="30" t="s">
        <v>389</v>
      </c>
      <c r="B784" s="64">
        <f t="shared" ref="B784:M784" si="355">IF(B780=0,0,MAX(0,B783-B782)*B779/B780)</f>
        <v>0</v>
      </c>
      <c r="C784" s="64">
        <f t="shared" si="355"/>
        <v>0</v>
      </c>
      <c r="D784" s="64">
        <f t="shared" si="355"/>
        <v>0</v>
      </c>
      <c r="E784" s="64">
        <f t="shared" si="355"/>
        <v>0</v>
      </c>
      <c r="F784" s="64">
        <f t="shared" si="355"/>
        <v>3598.462916</v>
      </c>
      <c r="G784" s="64">
        <f t="shared" si="355"/>
        <v>4193.775071</v>
      </c>
      <c r="H784" s="64">
        <f t="shared" si="355"/>
        <v>0</v>
      </c>
      <c r="I784" s="64">
        <f t="shared" si="355"/>
        <v>2950.657582</v>
      </c>
      <c r="J784" s="64">
        <f t="shared" si="355"/>
        <v>3040.337416</v>
      </c>
      <c r="K784" s="64">
        <f t="shared" si="355"/>
        <v>2296.318705</v>
      </c>
      <c r="L784" s="64">
        <f t="shared" si="355"/>
        <v>2800.265962</v>
      </c>
      <c r="M784" s="64">
        <f t="shared" si="355"/>
        <v>0</v>
      </c>
      <c r="N784" s="84">
        <f t="shared" si="350"/>
        <v>4193.775071</v>
      </c>
    </row>
    <row r="785" ht="15.75" customHeight="1">
      <c r="A785" s="73" t="s">
        <v>390</v>
      </c>
      <c r="B785" s="84">
        <f t="shared" ref="B785:J785" si="356">0</f>
        <v>0</v>
      </c>
      <c r="C785" s="84">
        <f t="shared" si="356"/>
        <v>0</v>
      </c>
      <c r="D785" s="84">
        <f t="shared" si="356"/>
        <v>0</v>
      </c>
      <c r="E785" s="84">
        <f t="shared" si="356"/>
        <v>0</v>
      </c>
      <c r="F785" s="84">
        <f t="shared" si="356"/>
        <v>0</v>
      </c>
      <c r="G785" s="84">
        <f t="shared" si="356"/>
        <v>0</v>
      </c>
      <c r="H785" s="84">
        <f t="shared" si="356"/>
        <v>0</v>
      </c>
      <c r="I785" s="84">
        <f t="shared" si="356"/>
        <v>0</v>
      </c>
      <c r="J785" s="84">
        <f t="shared" si="356"/>
        <v>0</v>
      </c>
      <c r="K785" s="140">
        <f>$B$5*MIN(K784,M779)</f>
        <v>2296.318705</v>
      </c>
      <c r="L785" s="140">
        <f>$B$5*MIN(L784,M779-K785)</f>
        <v>2800.265962</v>
      </c>
      <c r="M785" s="140">
        <f>-(K785+L785)</f>
        <v>-5096.584667</v>
      </c>
      <c r="N785" s="84">
        <f t="shared" si="350"/>
        <v>2800.265962</v>
      </c>
    </row>
    <row r="786" ht="15.75" customHeight="1">
      <c r="A786" s="30" t="s">
        <v>391</v>
      </c>
      <c r="B786" s="133">
        <f t="shared" ref="B786:M786" si="357">IF(B779=0,1,(B779+B785)/B779)</f>
        <v>1</v>
      </c>
      <c r="C786" s="133">
        <f t="shared" si="357"/>
        <v>1</v>
      </c>
      <c r="D786" s="133">
        <f t="shared" si="357"/>
        <v>1</v>
      </c>
      <c r="E786" s="133">
        <f t="shared" si="357"/>
        <v>1</v>
      </c>
      <c r="F786" s="133">
        <f t="shared" si="357"/>
        <v>1</v>
      </c>
      <c r="G786" s="133">
        <f t="shared" si="357"/>
        <v>1</v>
      </c>
      <c r="H786" s="133">
        <f t="shared" si="357"/>
        <v>1</v>
      </c>
      <c r="I786" s="133">
        <f t="shared" si="357"/>
        <v>1</v>
      </c>
      <c r="J786" s="133">
        <f t="shared" si="357"/>
        <v>1</v>
      </c>
      <c r="K786" s="133">
        <f t="shared" si="357"/>
        <v>1.140478558</v>
      </c>
      <c r="L786" s="133">
        <f t="shared" si="357"/>
        <v>1.17460951</v>
      </c>
      <c r="M786" s="133">
        <f t="shared" si="357"/>
        <v>0.8004160915</v>
      </c>
      <c r="N786" s="40">
        <f t="shared" si="350"/>
        <v>1.17460951</v>
      </c>
    </row>
    <row r="787" ht="15.75" customHeight="1">
      <c r="A787" s="73" t="s">
        <v>392</v>
      </c>
      <c r="B787" s="84">
        <f t="shared" ref="B787:M787" si="358">B780*B786+B781</f>
        <v>3673.016696</v>
      </c>
      <c r="C787" s="84">
        <f t="shared" si="358"/>
        <v>2839.842869</v>
      </c>
      <c r="D787" s="84">
        <f t="shared" si="358"/>
        <v>2740.778576</v>
      </c>
      <c r="E787" s="84">
        <f t="shared" si="358"/>
        <v>2644.002456</v>
      </c>
      <c r="F787" s="84">
        <f t="shared" si="358"/>
        <v>2490.368794</v>
      </c>
      <c r="G787" s="84">
        <f t="shared" si="358"/>
        <v>2408.424314</v>
      </c>
      <c r="H787" s="84">
        <f t="shared" si="358"/>
        <v>2587.144914</v>
      </c>
      <c r="I787" s="84">
        <f t="shared" si="358"/>
        <v>2587.144914</v>
      </c>
      <c r="J787" s="84">
        <f t="shared" si="358"/>
        <v>2574.601445</v>
      </c>
      <c r="K787" s="84">
        <f t="shared" si="358"/>
        <v>2820.6</v>
      </c>
      <c r="L787" s="84">
        <f t="shared" si="358"/>
        <v>2820.6</v>
      </c>
      <c r="M787" s="84">
        <f t="shared" si="358"/>
        <v>3054.59732</v>
      </c>
      <c r="N787" s="84">
        <f t="shared" si="350"/>
        <v>3673.016696</v>
      </c>
    </row>
    <row r="788" ht="15.75" customHeight="1">
      <c r="A788" s="30" t="s">
        <v>393</v>
      </c>
      <c r="B788" s="64">
        <f t="shared" ref="B788:M788" si="359">IF($B$767=2,MAX(SUM(B837:B856),B787-($B$769*$B$11-B775)),0)</f>
        <v>302.8649945</v>
      </c>
      <c r="C788" s="64">
        <f t="shared" si="359"/>
        <v>13.20050778</v>
      </c>
      <c r="D788" s="64">
        <f t="shared" si="359"/>
        <v>0</v>
      </c>
      <c r="E788" s="64">
        <f t="shared" si="359"/>
        <v>0</v>
      </c>
      <c r="F788" s="64">
        <f t="shared" si="359"/>
        <v>0</v>
      </c>
      <c r="G788" s="64">
        <f t="shared" si="359"/>
        <v>0</v>
      </c>
      <c r="H788" s="64">
        <f t="shared" si="359"/>
        <v>0</v>
      </c>
      <c r="I788" s="64">
        <f t="shared" si="359"/>
        <v>0</v>
      </c>
      <c r="J788" s="64">
        <f t="shared" si="359"/>
        <v>0</v>
      </c>
      <c r="K788" s="64">
        <f t="shared" si="359"/>
        <v>7.351600913</v>
      </c>
      <c r="L788" s="64">
        <f t="shared" si="359"/>
        <v>10.56401612</v>
      </c>
      <c r="M788" s="64">
        <f t="shared" si="359"/>
        <v>48.25286027</v>
      </c>
      <c r="N788" s="84">
        <f t="shared" si="350"/>
        <v>302.8649945</v>
      </c>
    </row>
    <row r="789" ht="15.75" customHeight="1">
      <c r="A789" s="30" t="s">
        <v>394</v>
      </c>
      <c r="B789" s="64">
        <f t="shared" ref="B789:M789" si="360">MAX(0,B783-(B787-B788))</f>
        <v>0</v>
      </c>
      <c r="C789" s="64">
        <f t="shared" si="360"/>
        <v>0</v>
      </c>
      <c r="D789" s="64">
        <f t="shared" si="360"/>
        <v>0</v>
      </c>
      <c r="E789" s="64">
        <f t="shared" si="360"/>
        <v>0</v>
      </c>
      <c r="F789" s="64">
        <f t="shared" si="360"/>
        <v>521.4812062</v>
      </c>
      <c r="G789" s="64">
        <f t="shared" si="360"/>
        <v>603.4256856</v>
      </c>
      <c r="H789" s="64">
        <f t="shared" si="360"/>
        <v>0</v>
      </c>
      <c r="I789" s="64">
        <f t="shared" si="360"/>
        <v>424.7050859</v>
      </c>
      <c r="J789" s="64">
        <f t="shared" si="360"/>
        <v>437.2485546</v>
      </c>
      <c r="K789" s="64">
        <f t="shared" si="360"/>
        <v>7.351600913</v>
      </c>
      <c r="L789" s="64">
        <f t="shared" si="360"/>
        <v>10.56401612</v>
      </c>
      <c r="M789" s="64">
        <f t="shared" si="360"/>
        <v>5.505540591</v>
      </c>
      <c r="N789" s="84">
        <f t="shared" si="350"/>
        <v>603.4256856</v>
      </c>
    </row>
    <row r="790" ht="15.75" customHeight="1">
      <c r="A790" s="73" t="s">
        <v>395</v>
      </c>
      <c r="B790" s="84">
        <f>'Analisis Recargas'!C442</f>
        <v>2480.871455</v>
      </c>
      <c r="C790" s="84">
        <f>'Analisis Recargas'!D442</f>
        <v>2049.232959</v>
      </c>
      <c r="D790" s="84">
        <f>'Analisis Recargas'!E442</f>
        <v>2111.751651</v>
      </c>
      <c r="E790" s="84">
        <f>'Analisis Recargas'!F442</f>
        <v>2054.606941</v>
      </c>
      <c r="F790" s="84">
        <f>'Analisis Recargas'!G442</f>
        <v>1992.088249</v>
      </c>
      <c r="G790" s="84">
        <f>'Analisis Recargas'!H442</f>
        <v>1929.569557</v>
      </c>
      <c r="H790" s="84">
        <f>'Analisis Recargas'!I442</f>
        <v>2059.980923</v>
      </c>
      <c r="I790" s="84">
        <f>'Analisis Recargas'!J442</f>
        <v>2106.377669</v>
      </c>
      <c r="J790" s="84">
        <f>'Analisis Recargas'!K442</f>
        <v>2106.377669</v>
      </c>
      <c r="K790" s="84">
        <f>'Analisis Recargas'!L442</f>
        <v>2049.232959</v>
      </c>
      <c r="L790" s="84">
        <f>'Analisis Recargas'!M442</f>
        <v>2043.858977</v>
      </c>
      <c r="M790" s="84">
        <f>'Analisis Recargas'!N442</f>
        <v>2967.659738</v>
      </c>
      <c r="N790" s="84">
        <f t="shared" si="350"/>
        <v>2967.659738</v>
      </c>
    </row>
    <row r="791" ht="15.75" customHeight="1">
      <c r="A791" s="30" t="s">
        <v>396</v>
      </c>
      <c r="B791" s="64">
        <f>IFERROR(B790*'Analisis Recargas'!C391*'Almacen PT'!$B$10/SUM('Analisis Recargas'!C391:C407),0)</f>
        <v>403.1107242</v>
      </c>
      <c r="C791" s="64">
        <f>IFERROR(C790*'Analisis Recargas'!D391*'Almacen PT'!$B$10/SUM('Analisis Recargas'!D391:D407),0)</f>
        <v>314.3126763</v>
      </c>
      <c r="D791" s="64">
        <f>IFERROR(D790*'Analisis Recargas'!E391*'Almacen PT'!$B$10/SUM('Analisis Recargas'!E391:E407),0)</f>
        <v>314.3012815</v>
      </c>
      <c r="E791" s="64">
        <f>IFERROR(E790*'Analisis Recargas'!F391*'Almacen PT'!$B$10/SUM('Analisis Recargas'!F391:F407),0)</f>
        <v>314.3665831</v>
      </c>
      <c r="F791" s="64">
        <f>IFERROR(F790*'Analisis Recargas'!G391*'Almacen PT'!$B$10/SUM('Analisis Recargas'!G391:G407),0)</f>
        <v>314.3803596</v>
      </c>
      <c r="G791" s="64">
        <f>IFERROR(G790*'Analisis Recargas'!H391*'Almacen PT'!$B$10/SUM('Analisis Recargas'!H391:H407),0)</f>
        <v>314.3950303</v>
      </c>
      <c r="H791" s="64">
        <f>IFERROR(H790*'Analisis Recargas'!I391*'Almacen PT'!$B$10/SUM('Analisis Recargas'!I391:I407),0)</f>
        <v>314.4202269</v>
      </c>
      <c r="I791" s="64">
        <f>IFERROR(I790*'Analisis Recargas'!J391*'Almacen PT'!$B$10/SUM('Analisis Recargas'!J391:J407),0)</f>
        <v>314.2486922</v>
      </c>
      <c r="J791" s="64">
        <f>IFERROR(J790*'Analisis Recargas'!K391*'Almacen PT'!$B$10/SUM('Analisis Recargas'!K391:K407),0)</f>
        <v>314.2486922</v>
      </c>
      <c r="K791" s="64">
        <f>IFERROR(K790*'Analisis Recargas'!L391*'Almacen PT'!$B$10/SUM('Analisis Recargas'!L391:L407),0)</f>
        <v>314.3126763</v>
      </c>
      <c r="L791" s="64">
        <f>IFERROR(L790*'Analisis Recargas'!M391*'Almacen PT'!$B$10/SUM('Analisis Recargas'!M391:M407),0)</f>
        <v>314.2585047</v>
      </c>
      <c r="M791" s="64">
        <f>IFERROR(M790*'Analisis Recargas'!N391*'Almacen PT'!$B$10/SUM('Analisis Recargas'!N391:N407),0)</f>
        <v>483.3610398</v>
      </c>
      <c r="N791" s="84">
        <f t="shared" si="350"/>
        <v>483.3610398</v>
      </c>
    </row>
    <row r="792" ht="15.75" customHeight="1">
      <c r="A792" s="30" t="s">
        <v>397</v>
      </c>
      <c r="B792" s="64">
        <f t="shared" ref="B792:M792" si="361">IF($B$767=2,B791*$B$15,0)</f>
        <v>161.2442897</v>
      </c>
      <c r="C792" s="64">
        <f t="shared" si="361"/>
        <v>125.7250705</v>
      </c>
      <c r="D792" s="64">
        <f t="shared" si="361"/>
        <v>125.7205126</v>
      </c>
      <c r="E792" s="64">
        <f t="shared" si="361"/>
        <v>125.7466332</v>
      </c>
      <c r="F792" s="64">
        <f t="shared" si="361"/>
        <v>125.7521439</v>
      </c>
      <c r="G792" s="64">
        <f t="shared" si="361"/>
        <v>125.7580121</v>
      </c>
      <c r="H792" s="64">
        <f t="shared" si="361"/>
        <v>125.7680908</v>
      </c>
      <c r="I792" s="64">
        <f t="shared" si="361"/>
        <v>125.6994769</v>
      </c>
      <c r="J792" s="64">
        <f t="shared" si="361"/>
        <v>125.6994769</v>
      </c>
      <c r="K792" s="64">
        <f t="shared" si="361"/>
        <v>125.7250705</v>
      </c>
      <c r="L792" s="64">
        <f t="shared" si="361"/>
        <v>125.7034019</v>
      </c>
      <c r="M792" s="64">
        <f t="shared" si="361"/>
        <v>193.3444159</v>
      </c>
      <c r="N792" s="84">
        <f t="shared" si="350"/>
        <v>193.3444159</v>
      </c>
    </row>
    <row r="793" ht="15.75" customHeight="1">
      <c r="A793" s="30" t="s">
        <v>399</v>
      </c>
      <c r="B793" s="64">
        <f t="shared" ref="B793:M793" si="362">MAX(0,B790-B792-$B$6*B789)</f>
        <v>2319.627165</v>
      </c>
      <c r="C793" s="64">
        <f t="shared" si="362"/>
        <v>1923.507889</v>
      </c>
      <c r="D793" s="64">
        <f t="shared" si="362"/>
        <v>1986.031139</v>
      </c>
      <c r="E793" s="64">
        <f t="shared" si="362"/>
        <v>1928.860308</v>
      </c>
      <c r="F793" s="64">
        <f t="shared" si="362"/>
        <v>1397.00302</v>
      </c>
      <c r="G793" s="64">
        <f t="shared" si="362"/>
        <v>1260.728428</v>
      </c>
      <c r="H793" s="64">
        <f t="shared" si="362"/>
        <v>1934.212832</v>
      </c>
      <c r="I793" s="64">
        <f t="shared" si="362"/>
        <v>1598.443615</v>
      </c>
      <c r="J793" s="64">
        <f t="shared" si="362"/>
        <v>1587.154493</v>
      </c>
      <c r="K793" s="64">
        <f t="shared" si="362"/>
        <v>1916.891448</v>
      </c>
      <c r="L793" s="64">
        <f t="shared" si="362"/>
        <v>1908.647961</v>
      </c>
      <c r="M793" s="64">
        <f t="shared" si="362"/>
        <v>2769.360336</v>
      </c>
      <c r="N793" s="84">
        <f t="shared" si="350"/>
        <v>2769.360336</v>
      </c>
    </row>
    <row r="794" ht="15.75" customHeight="1">
      <c r="A794" s="30" t="s">
        <v>400</v>
      </c>
      <c r="B794" s="64">
        <f t="shared" ref="B794:M794" si="363">MAX(0,$B$772*$B$9-B778-B792)</f>
        <v>100.6557103</v>
      </c>
      <c r="C794" s="64">
        <f t="shared" si="363"/>
        <v>113.6749295</v>
      </c>
      <c r="D794" s="64">
        <f t="shared" si="363"/>
        <v>113.6794874</v>
      </c>
      <c r="E794" s="64">
        <f t="shared" si="363"/>
        <v>113.6533668</v>
      </c>
      <c r="F794" s="64">
        <f t="shared" si="363"/>
        <v>136.1478561</v>
      </c>
      <c r="G794" s="64">
        <f t="shared" si="363"/>
        <v>136.1419879</v>
      </c>
      <c r="H794" s="64">
        <f t="shared" si="363"/>
        <v>98.63190922</v>
      </c>
      <c r="I794" s="64">
        <f t="shared" si="363"/>
        <v>136.2005231</v>
      </c>
      <c r="J794" s="64">
        <f t="shared" si="363"/>
        <v>136.2005231</v>
      </c>
      <c r="K794" s="64">
        <f t="shared" si="363"/>
        <v>113.6749295</v>
      </c>
      <c r="L794" s="64">
        <f t="shared" si="363"/>
        <v>113.6965981</v>
      </c>
      <c r="M794" s="64">
        <f t="shared" si="363"/>
        <v>68.55558406</v>
      </c>
      <c r="N794" s="84">
        <f t="shared" si="350"/>
        <v>136.2005231</v>
      </c>
    </row>
    <row r="795" ht="15.75" customHeight="1">
      <c r="A795" s="30" t="s">
        <v>401</v>
      </c>
      <c r="B795" s="64">
        <f t="shared" ref="B795:M795" si="364">MIN(B793,B794)</f>
        <v>100.6557103</v>
      </c>
      <c r="C795" s="64">
        <f t="shared" si="364"/>
        <v>113.6749295</v>
      </c>
      <c r="D795" s="64">
        <f t="shared" si="364"/>
        <v>113.6794874</v>
      </c>
      <c r="E795" s="64">
        <f t="shared" si="364"/>
        <v>113.6533668</v>
      </c>
      <c r="F795" s="64">
        <f t="shared" si="364"/>
        <v>136.1478561</v>
      </c>
      <c r="G795" s="64">
        <f t="shared" si="364"/>
        <v>136.1419879</v>
      </c>
      <c r="H795" s="64">
        <f t="shared" si="364"/>
        <v>98.63190922</v>
      </c>
      <c r="I795" s="64">
        <f t="shared" si="364"/>
        <v>136.2005231</v>
      </c>
      <c r="J795" s="64">
        <f t="shared" si="364"/>
        <v>136.2005231</v>
      </c>
      <c r="K795" s="64">
        <f t="shared" si="364"/>
        <v>113.6749295</v>
      </c>
      <c r="L795" s="64">
        <f t="shared" si="364"/>
        <v>113.6965981</v>
      </c>
      <c r="M795" s="64">
        <f t="shared" si="364"/>
        <v>68.55558406</v>
      </c>
      <c r="N795" s="84">
        <f t="shared" si="350"/>
        <v>136.2005231</v>
      </c>
    </row>
    <row r="796" ht="15.75" customHeight="1">
      <c r="A796" s="30" t="s">
        <v>403</v>
      </c>
      <c r="B796" s="64">
        <f t="shared" ref="B796:M796" si="365">MAX(0,$B$770*$B$9-B776-B788)</f>
        <v>0</v>
      </c>
      <c r="C796" s="64">
        <f t="shared" si="365"/>
        <v>226.1994922</v>
      </c>
      <c r="D796" s="64">
        <f t="shared" si="365"/>
        <v>231.9</v>
      </c>
      <c r="E796" s="64">
        <f t="shared" si="365"/>
        <v>231.9</v>
      </c>
      <c r="F796" s="64">
        <f t="shared" si="365"/>
        <v>261.9</v>
      </c>
      <c r="G796" s="64">
        <f t="shared" si="365"/>
        <v>261.9</v>
      </c>
      <c r="H796" s="64">
        <f t="shared" si="365"/>
        <v>224.4</v>
      </c>
      <c r="I796" s="64">
        <f t="shared" si="365"/>
        <v>261.9</v>
      </c>
      <c r="J796" s="64">
        <f t="shared" si="365"/>
        <v>261.9</v>
      </c>
      <c r="K796" s="64">
        <f t="shared" si="365"/>
        <v>239.5483991</v>
      </c>
      <c r="L796" s="64">
        <f t="shared" si="365"/>
        <v>236.3359839</v>
      </c>
      <c r="M796" s="64">
        <f t="shared" si="365"/>
        <v>213.6471397</v>
      </c>
      <c r="N796" s="84">
        <f t="shared" si="350"/>
        <v>261.9</v>
      </c>
    </row>
    <row r="797" ht="15.75" customHeight="1">
      <c r="A797" s="30" t="s">
        <v>404</v>
      </c>
      <c r="B797" s="64">
        <f t="shared" ref="B797:M797" si="366">MIN(B793-B795,$B$6*B796)</f>
        <v>0</v>
      </c>
      <c r="C797" s="64">
        <f t="shared" si="366"/>
        <v>203.579543</v>
      </c>
      <c r="D797" s="64">
        <f t="shared" si="366"/>
        <v>208.71</v>
      </c>
      <c r="E797" s="64">
        <f t="shared" si="366"/>
        <v>208.71</v>
      </c>
      <c r="F797" s="64">
        <f t="shared" si="366"/>
        <v>235.71</v>
      </c>
      <c r="G797" s="64">
        <f t="shared" si="366"/>
        <v>235.71</v>
      </c>
      <c r="H797" s="64">
        <f t="shared" si="366"/>
        <v>201.96</v>
      </c>
      <c r="I797" s="64">
        <f t="shared" si="366"/>
        <v>235.71</v>
      </c>
      <c r="J797" s="64">
        <f t="shared" si="366"/>
        <v>235.71</v>
      </c>
      <c r="K797" s="64">
        <f t="shared" si="366"/>
        <v>215.5935592</v>
      </c>
      <c r="L797" s="64">
        <f t="shared" si="366"/>
        <v>212.7023855</v>
      </c>
      <c r="M797" s="64">
        <f t="shared" si="366"/>
        <v>192.2824258</v>
      </c>
      <c r="N797" s="84">
        <f t="shared" si="350"/>
        <v>235.71</v>
      </c>
    </row>
    <row r="798" ht="15.75" customHeight="1">
      <c r="A798" s="30" t="s">
        <v>405</v>
      </c>
      <c r="B798" s="64">
        <f t="shared" ref="B798:M798" si="367">B793-B795-B797</f>
        <v>2218.971455</v>
      </c>
      <c r="C798" s="64">
        <f t="shared" si="367"/>
        <v>1606.253416</v>
      </c>
      <c r="D798" s="64">
        <f t="shared" si="367"/>
        <v>1663.641651</v>
      </c>
      <c r="E798" s="64">
        <f t="shared" si="367"/>
        <v>1606.496941</v>
      </c>
      <c r="F798" s="64">
        <f t="shared" si="367"/>
        <v>1025.145164</v>
      </c>
      <c r="G798" s="64">
        <f t="shared" si="367"/>
        <v>888.87644</v>
      </c>
      <c r="H798" s="64">
        <f t="shared" si="367"/>
        <v>1633.620923</v>
      </c>
      <c r="I798" s="64">
        <f t="shared" si="367"/>
        <v>1226.533092</v>
      </c>
      <c r="J798" s="64">
        <f t="shared" si="367"/>
        <v>1215.24397</v>
      </c>
      <c r="K798" s="64">
        <f t="shared" si="367"/>
        <v>1587.622959</v>
      </c>
      <c r="L798" s="64">
        <f t="shared" si="367"/>
        <v>1582.248977</v>
      </c>
      <c r="M798" s="64">
        <f t="shared" si="367"/>
        <v>2508.522326</v>
      </c>
      <c r="N798" s="84">
        <f t="shared" si="350"/>
        <v>2508.522326</v>
      </c>
    </row>
    <row r="799" ht="15.75" customHeight="1">
      <c r="A799" s="30" t="s">
        <v>406</v>
      </c>
      <c r="B799" s="64">
        <f t="shared" ref="B799:M799" si="368">MAX(0,B787-B788-B783)</f>
        <v>358.3017019</v>
      </c>
      <c r="C799" s="64">
        <f t="shared" si="368"/>
        <v>101.6673612</v>
      </c>
      <c r="D799" s="64">
        <f t="shared" si="368"/>
        <v>111.4285765</v>
      </c>
      <c r="E799" s="64">
        <f t="shared" si="368"/>
        <v>14.65245619</v>
      </c>
      <c r="F799" s="64">
        <f t="shared" si="368"/>
        <v>0</v>
      </c>
      <c r="G799" s="64">
        <f t="shared" si="368"/>
        <v>0</v>
      </c>
      <c r="H799" s="64">
        <f t="shared" si="368"/>
        <v>53.41991411</v>
      </c>
      <c r="I799" s="64">
        <f t="shared" si="368"/>
        <v>0</v>
      </c>
      <c r="J799" s="64">
        <f t="shared" si="368"/>
        <v>0</v>
      </c>
      <c r="K799" s="64">
        <f t="shared" si="368"/>
        <v>0</v>
      </c>
      <c r="L799" s="64">
        <f t="shared" si="368"/>
        <v>0</v>
      </c>
      <c r="M799" s="64">
        <f t="shared" si="368"/>
        <v>0</v>
      </c>
      <c r="N799" s="84">
        <f t="shared" ref="N799:N803" si="370">SUM(B799:M799)</f>
        <v>639.4700099</v>
      </c>
    </row>
    <row r="800" ht="15.75" customHeight="1">
      <c r="A800" s="30" t="s">
        <v>408</v>
      </c>
      <c r="B800" s="64">
        <f t="shared" ref="B800:M800" si="369">MAX(0,B788-($B$770*$B$9-B776))</f>
        <v>40.96499449</v>
      </c>
      <c r="C800" s="64">
        <f t="shared" si="369"/>
        <v>0</v>
      </c>
      <c r="D800" s="64">
        <f t="shared" si="369"/>
        <v>0</v>
      </c>
      <c r="E800" s="64">
        <f t="shared" si="369"/>
        <v>0</v>
      </c>
      <c r="F800" s="64">
        <f t="shared" si="369"/>
        <v>0</v>
      </c>
      <c r="G800" s="64">
        <f t="shared" si="369"/>
        <v>0</v>
      </c>
      <c r="H800" s="64">
        <f t="shared" si="369"/>
        <v>0</v>
      </c>
      <c r="I800" s="64">
        <f t="shared" si="369"/>
        <v>0</v>
      </c>
      <c r="J800" s="64">
        <f t="shared" si="369"/>
        <v>0</v>
      </c>
      <c r="K800" s="64">
        <f t="shared" si="369"/>
        <v>0</v>
      </c>
      <c r="L800" s="64">
        <f t="shared" si="369"/>
        <v>0</v>
      </c>
      <c r="M800" s="64">
        <f t="shared" si="369"/>
        <v>0</v>
      </c>
      <c r="N800" s="84">
        <f t="shared" si="370"/>
        <v>40.96499449</v>
      </c>
    </row>
    <row r="801" ht="15.75" customHeight="1">
      <c r="A801" s="30" t="s">
        <v>409</v>
      </c>
      <c r="B801" s="64">
        <f t="shared" ref="B801:M801" si="371">MAX(0,B798-($B$771*$B$9-B777))</f>
        <v>123.7714547</v>
      </c>
      <c r="C801" s="64">
        <f t="shared" si="371"/>
        <v>0</v>
      </c>
      <c r="D801" s="64">
        <f t="shared" si="371"/>
        <v>0</v>
      </c>
      <c r="E801" s="64">
        <f t="shared" si="371"/>
        <v>0</v>
      </c>
      <c r="F801" s="64">
        <f t="shared" si="371"/>
        <v>0</v>
      </c>
      <c r="G801" s="64">
        <f t="shared" si="371"/>
        <v>0</v>
      </c>
      <c r="H801" s="64">
        <f t="shared" si="371"/>
        <v>0</v>
      </c>
      <c r="I801" s="64">
        <f t="shared" si="371"/>
        <v>0</v>
      </c>
      <c r="J801" s="64">
        <f t="shared" si="371"/>
        <v>0</v>
      </c>
      <c r="K801" s="64">
        <f t="shared" si="371"/>
        <v>0</v>
      </c>
      <c r="L801" s="64">
        <f t="shared" si="371"/>
        <v>0</v>
      </c>
      <c r="M801" s="64">
        <f t="shared" si="371"/>
        <v>413.3223258</v>
      </c>
      <c r="N801" s="84">
        <f t="shared" si="370"/>
        <v>537.0937805</v>
      </c>
    </row>
    <row r="802" ht="15.75" customHeight="1">
      <c r="A802" s="30" t="s">
        <v>410</v>
      </c>
      <c r="B802" s="64">
        <f t="shared" ref="B802:M802" si="372">MAX(0,B792-($B$772*$B$9-B778))</f>
        <v>0</v>
      </c>
      <c r="C802" s="64">
        <f t="shared" si="372"/>
        <v>0</v>
      </c>
      <c r="D802" s="64">
        <f t="shared" si="372"/>
        <v>0</v>
      </c>
      <c r="E802" s="64">
        <f t="shared" si="372"/>
        <v>0</v>
      </c>
      <c r="F802" s="64">
        <f t="shared" si="372"/>
        <v>0</v>
      </c>
      <c r="G802" s="64">
        <f t="shared" si="372"/>
        <v>0</v>
      </c>
      <c r="H802" s="64">
        <f t="shared" si="372"/>
        <v>0</v>
      </c>
      <c r="I802" s="64">
        <f t="shared" si="372"/>
        <v>0</v>
      </c>
      <c r="J802" s="64">
        <f t="shared" si="372"/>
        <v>0</v>
      </c>
      <c r="K802" s="64">
        <f t="shared" si="372"/>
        <v>0</v>
      </c>
      <c r="L802" s="64">
        <f t="shared" si="372"/>
        <v>0</v>
      </c>
      <c r="M802" s="64">
        <f t="shared" si="372"/>
        <v>0</v>
      </c>
      <c r="N802" s="84">
        <f t="shared" si="370"/>
        <v>0</v>
      </c>
    </row>
    <row r="803" ht="15.75" customHeight="1">
      <c r="A803" s="73" t="s">
        <v>411</v>
      </c>
      <c r="B803" s="84">
        <f t="shared" ref="B803:M803" si="373">B799+B800+B801+B802</f>
        <v>523.0381511</v>
      </c>
      <c r="C803" s="84">
        <f t="shared" si="373"/>
        <v>101.6673612</v>
      </c>
      <c r="D803" s="84">
        <f t="shared" si="373"/>
        <v>111.4285765</v>
      </c>
      <c r="E803" s="84">
        <f t="shared" si="373"/>
        <v>14.65245619</v>
      </c>
      <c r="F803" s="84">
        <f t="shared" si="373"/>
        <v>0</v>
      </c>
      <c r="G803" s="84">
        <f t="shared" si="373"/>
        <v>0</v>
      </c>
      <c r="H803" s="84">
        <f t="shared" si="373"/>
        <v>53.41991411</v>
      </c>
      <c r="I803" s="84">
        <f t="shared" si="373"/>
        <v>0</v>
      </c>
      <c r="J803" s="84">
        <f t="shared" si="373"/>
        <v>0</v>
      </c>
      <c r="K803" s="84">
        <f t="shared" si="373"/>
        <v>0</v>
      </c>
      <c r="L803" s="84">
        <f t="shared" si="373"/>
        <v>0</v>
      </c>
      <c r="M803" s="84">
        <f t="shared" si="373"/>
        <v>413.3223258</v>
      </c>
      <c r="N803" s="84">
        <f t="shared" si="370"/>
        <v>1217.528785</v>
      </c>
    </row>
    <row r="804" ht="15.75" customHeight="1">
      <c r="A804" s="30" t="s">
        <v>412</v>
      </c>
      <c r="B804" s="64">
        <f t="shared" ref="B804:M804" si="374">IFERROR(B803/($B$769+$B$771+$B$770+$B$772),0)</f>
        <v>12.16367793</v>
      </c>
      <c r="C804" s="64">
        <f t="shared" si="374"/>
        <v>2.364357236</v>
      </c>
      <c r="D804" s="64">
        <f t="shared" si="374"/>
        <v>2.591362244</v>
      </c>
      <c r="E804" s="64">
        <f t="shared" si="374"/>
        <v>0.3407547951</v>
      </c>
      <c r="F804" s="64">
        <f t="shared" si="374"/>
        <v>0</v>
      </c>
      <c r="G804" s="64">
        <f t="shared" si="374"/>
        <v>0</v>
      </c>
      <c r="H804" s="64">
        <f t="shared" si="374"/>
        <v>1.242323584</v>
      </c>
      <c r="I804" s="64">
        <f t="shared" si="374"/>
        <v>0</v>
      </c>
      <c r="J804" s="64">
        <f t="shared" si="374"/>
        <v>0</v>
      </c>
      <c r="K804" s="64">
        <f t="shared" si="374"/>
        <v>0</v>
      </c>
      <c r="L804" s="64">
        <f t="shared" si="374"/>
        <v>0</v>
      </c>
      <c r="M804" s="64">
        <f t="shared" si="374"/>
        <v>9.612147112</v>
      </c>
      <c r="N804" s="84">
        <f>MAX(B804:M804)</f>
        <v>12.16367793</v>
      </c>
    </row>
    <row r="805" ht="15.75" customHeight="1">
      <c r="A805" s="141" t="s">
        <v>413</v>
      </c>
    </row>
    <row r="806" ht="15.75" hidden="1" customHeight="1" outlineLevel="1">
      <c r="A806" s="142" t="s">
        <v>26</v>
      </c>
      <c r="B806" s="143">
        <f>'Analisis de operaciones'!C1285/'Analisis de operaciones'!C1289*$O806</f>
        <v>366.4391176</v>
      </c>
      <c r="C806" s="143">
        <f>'Analisis de operaciones'!D1285/'Analisis de operaciones'!D1289*$O806</f>
        <v>279.3748529</v>
      </c>
      <c r="D806" s="143">
        <f>'Analisis de operaciones'!E1285/'Analisis de operaciones'!E1289*$O806</f>
        <v>260.9596324</v>
      </c>
      <c r="E806" s="143">
        <f>'Analisis de operaciones'!F1285/'Analisis de operaciones'!F1289*$O806</f>
        <v>249.4792647</v>
      </c>
      <c r="F806" s="143">
        <f>'Analisis de operaciones'!G1285/'Analisis de operaciones'!G1289*$O806</f>
        <v>233.4533824</v>
      </c>
      <c r="G806" s="143">
        <f>'Analisis de operaciones'!H1285/'Analisis de operaciones'!H1289*$O806</f>
        <v>228.9078676</v>
      </c>
      <c r="H806" s="143">
        <f>'Analisis de operaciones'!I1285/'Analisis de operaciones'!I1289*$O806</f>
        <v>244.93375</v>
      </c>
      <c r="I806" s="143">
        <f>'Analisis de operaciones'!J1285/'Analisis de operaciones'!J1289*$O806</f>
        <v>244.93375</v>
      </c>
      <c r="J806" s="143">
        <f>'Analisis de operaciones'!K1285/'Analisis de operaciones'!K1289*$O806</f>
        <v>244.93375</v>
      </c>
      <c r="K806" s="143">
        <f>'Analisis de operaciones'!L1285/'Analisis de operaciones'!L1289*$O806</f>
        <v>240.3882353</v>
      </c>
      <c r="L806" s="143">
        <f>'Analisis de operaciones'!M1285/'Analisis de operaciones'!M1289*$O806</f>
        <v>235.8427206</v>
      </c>
      <c r="M806" s="143">
        <f>'Analisis de operaciones'!N1285/'Analisis de operaciones'!N1289*$O806</f>
        <v>375.5301471</v>
      </c>
      <c r="N806" s="143">
        <f>'Resumen Capacidad'!$I$29*$B$8*$O806</f>
        <v>300</v>
      </c>
      <c r="O806" s="144">
        <f>$B$18</f>
        <v>1</v>
      </c>
    </row>
    <row r="807" ht="15.75" hidden="1" customHeight="1" outlineLevel="1">
      <c r="A807" s="142" t="s">
        <v>55</v>
      </c>
      <c r="B807" s="143">
        <f>'Analisis de operaciones'!C1295/'Analisis de operaciones'!C1299*$O807</f>
        <v>138.1353754</v>
      </c>
      <c r="C807" s="143">
        <f>'Analisis de operaciones'!D1295/'Analisis de operaciones'!D1299*$O807</f>
        <v>105.3150396</v>
      </c>
      <c r="D807" s="143">
        <f>'Analisis de operaciones'!E1295/'Analisis de operaciones'!E1299*$O807</f>
        <v>98.37311316</v>
      </c>
      <c r="E807" s="143">
        <f>'Analisis de operaciones'!F1295/'Analisis de operaciones'!F1299*$O807</f>
        <v>94.0453959</v>
      </c>
      <c r="F807" s="143">
        <f>'Analisis de operaciones'!G1295/'Analisis de operaciones'!G1299*$O807</f>
        <v>88.00417058</v>
      </c>
      <c r="G807" s="143">
        <f>'Analisis de operaciones'!H1295/'Analisis de operaciones'!H1299*$O807</f>
        <v>86.29066252</v>
      </c>
      <c r="H807" s="143">
        <f>'Analisis de operaciones'!I1295/'Analisis de operaciones'!I1299*$O807</f>
        <v>92.33188784</v>
      </c>
      <c r="I807" s="143">
        <f>'Analisis de operaciones'!J1295/'Analisis de operaciones'!J1299*$O807</f>
        <v>92.33188784</v>
      </c>
      <c r="J807" s="143">
        <f>'Analisis de operaciones'!K1295/'Analisis de operaciones'!K1299*$O807</f>
        <v>92.33188784</v>
      </c>
      <c r="K807" s="143">
        <f>'Analisis de operaciones'!L1295/'Analisis de operaciones'!L1299*$O807</f>
        <v>90.61837978</v>
      </c>
      <c r="L807" s="143">
        <f>'Analisis de operaciones'!M1295/'Analisis de operaciones'!M1299*$O807</f>
        <v>88.90487173</v>
      </c>
      <c r="M807" s="143">
        <f>'Analisis de operaciones'!N1295/'Analisis de operaciones'!N1299*$O807</f>
        <v>141.5623915</v>
      </c>
      <c r="N807" s="143">
        <f>'Resumen Capacidad'!$I$30*$B$8*$O807</f>
        <v>150</v>
      </c>
      <c r="O807" s="144">
        <f>IF('Resumen Capacidad'!$I$55="Automática",$C$19,$B$19)</f>
        <v>0.5</v>
      </c>
    </row>
    <row r="808" ht="15.75" hidden="1" customHeight="1" outlineLevel="1">
      <c r="A808" s="142" t="s">
        <v>61</v>
      </c>
      <c r="B808" s="143">
        <f>'Analisis de operaciones'!C1305/'Analisis de operaciones'!C1309*$O808</f>
        <v>106.826319</v>
      </c>
      <c r="C808" s="143">
        <f>'Analisis de operaciones'!D1305/'Analisis de operaciones'!D1309*$O808</f>
        <v>81.44487238</v>
      </c>
      <c r="D808" s="143">
        <f>'Analisis de operaciones'!E1305/'Analisis de operaciones'!E1309*$O808</f>
        <v>76.0763674</v>
      </c>
      <c r="E808" s="143">
        <f>'Analisis de operaciones'!F1305/'Analisis de operaciones'!F1309*$O808</f>
        <v>72.72954835</v>
      </c>
      <c r="F808" s="143">
        <f>'Analisis de operaciones'!G1305/'Analisis de operaciones'!G1309*$O808</f>
        <v>68.05759621</v>
      </c>
      <c r="G808" s="143">
        <f>'Analisis de operaciones'!H1305/'Analisis de operaciones'!H1309*$O808</f>
        <v>66.73246311</v>
      </c>
      <c r="H808" s="143">
        <f>'Analisis de operaciones'!I1305/'Analisis de operaciones'!I1309*$O808</f>
        <v>71.40441525</v>
      </c>
      <c r="I808" s="143">
        <f>'Analisis de operaciones'!J1305/'Analisis de operaciones'!J1309*$O808</f>
        <v>71.40441525</v>
      </c>
      <c r="J808" s="143">
        <f>'Analisis de operaciones'!K1305/'Analisis de operaciones'!K1309*$O808</f>
        <v>71.40441525</v>
      </c>
      <c r="K808" s="143">
        <f>'Analisis de operaciones'!L1305/'Analisis de operaciones'!L1309*$O808</f>
        <v>70.07928215</v>
      </c>
      <c r="L808" s="143">
        <f>'Analisis de operaciones'!M1305/'Analisis de operaciones'!M1309*$O808</f>
        <v>68.75414905</v>
      </c>
      <c r="M808" s="143">
        <f>'Analisis de operaciones'!N1305/'Analisis de operaciones'!N1309*$O808</f>
        <v>109.4765852</v>
      </c>
      <c r="N808" s="143">
        <f>'Resumen Capacidad'!$I$31*$B$8*$O808</f>
        <v>150</v>
      </c>
      <c r="O808" s="144">
        <f>$B$20</f>
        <v>1</v>
      </c>
    </row>
    <row r="809" ht="15.75" hidden="1" customHeight="1" outlineLevel="1">
      <c r="A809" s="142" t="s">
        <v>62</v>
      </c>
      <c r="B809" s="143">
        <f>'Analisis de operaciones'!C1315/'Analisis de operaciones'!C1319*$O809</f>
        <v>259.5610417</v>
      </c>
      <c r="C809" s="143">
        <f>'Analisis de operaciones'!D1315/'Analisis de operaciones'!D1319*$O809</f>
        <v>197.8905208</v>
      </c>
      <c r="D809" s="143">
        <f>'Analisis de operaciones'!E1315/'Analisis de operaciones'!E1319*$O809</f>
        <v>184.8464063</v>
      </c>
      <c r="E809" s="143">
        <f>'Analisis de operaciones'!F1315/'Analisis de operaciones'!F1319*$O809</f>
        <v>176.7144792</v>
      </c>
      <c r="F809" s="143">
        <f>'Analisis de operaciones'!G1315/'Analisis de operaciones'!G1319*$O809</f>
        <v>165.3628125</v>
      </c>
      <c r="G809" s="143">
        <f>'Analisis de operaciones'!H1315/'Analisis de operaciones'!H1319*$O809</f>
        <v>162.1430729</v>
      </c>
      <c r="H809" s="143">
        <f>'Analisis de operaciones'!I1315/'Analisis de operaciones'!I1319*$O809</f>
        <v>173.4947396</v>
      </c>
      <c r="I809" s="143">
        <f>'Analisis de operaciones'!J1315/'Analisis de operaciones'!J1319*$O809</f>
        <v>173.4947396</v>
      </c>
      <c r="J809" s="143">
        <f>'Analisis de operaciones'!K1315/'Analisis de operaciones'!K1319*$O809</f>
        <v>173.4947396</v>
      </c>
      <c r="K809" s="143">
        <f>'Analisis de operaciones'!L1315/'Analisis de operaciones'!L1319*$O809</f>
        <v>170.275</v>
      </c>
      <c r="L809" s="143">
        <f>'Analisis de operaciones'!M1315/'Analisis de operaciones'!M1319*$O809</f>
        <v>167.0552604</v>
      </c>
      <c r="M809" s="143">
        <f>'Analisis de operaciones'!N1315/'Analisis de operaciones'!N1319*$O809</f>
        <v>266.0005208</v>
      </c>
      <c r="N809" s="143">
        <f>'Resumen Capacidad'!$I$32*$B$8*$O809</f>
        <v>300</v>
      </c>
      <c r="O809" s="144">
        <f>$B$21</f>
        <v>1</v>
      </c>
    </row>
    <row r="810" ht="15.75" hidden="1" customHeight="1" outlineLevel="1">
      <c r="A810" s="142" t="s">
        <v>63</v>
      </c>
      <c r="B810" s="143">
        <f>'Analisis de operaciones'!C1325/'Analisis de operaciones'!C1329*$O810</f>
        <v>77.17609861</v>
      </c>
      <c r="C810" s="143">
        <f>'Analisis de operaciones'!D1325/'Analisis de operaciones'!D1329*$O810</f>
        <v>61.74087889</v>
      </c>
      <c r="D810" s="143">
        <f>'Analisis de operaciones'!E1325/'Analisis de operaciones'!E1329*$O810</f>
        <v>65.59968382</v>
      </c>
      <c r="E810" s="143">
        <f>'Analisis de operaciones'!F1325/'Analisis de operaciones'!F1329*$O810</f>
        <v>65.59968382</v>
      </c>
      <c r="F810" s="143">
        <f>'Analisis de operaciones'!G1325/'Analisis de operaciones'!G1329*$O810</f>
        <v>61.74087889</v>
      </c>
      <c r="G810" s="143">
        <f>'Analisis de operaciones'!H1325/'Analisis de operaciones'!H1329*$O810</f>
        <v>57.88207396</v>
      </c>
      <c r="H810" s="143">
        <f>'Analisis de operaciones'!I1325/'Analisis de operaciones'!I1329*$O810</f>
        <v>61.74087889</v>
      </c>
      <c r="I810" s="143">
        <f>'Analisis de operaciones'!J1325/'Analisis de operaciones'!J1329*$O810</f>
        <v>61.74087889</v>
      </c>
      <c r="J810" s="143">
        <f>'Analisis de operaciones'!K1325/'Analisis de operaciones'!K1329*$O810</f>
        <v>61.74087889</v>
      </c>
      <c r="K810" s="143">
        <f>'Analisis de operaciones'!L1325/'Analisis de operaciones'!L1329*$O810</f>
        <v>57.88207396</v>
      </c>
      <c r="L810" s="143">
        <f>'Analisis de operaciones'!M1325/'Analisis de operaciones'!M1329*$O810</f>
        <v>54.02326903</v>
      </c>
      <c r="M810" s="143">
        <f>'Analisis de operaciones'!N1325/'Analisis de operaciones'!N1329*$O810</f>
        <v>84.89370847</v>
      </c>
      <c r="N810" s="143">
        <f>'Resumen Capacidad'!$I$33*$B$8*$O810</f>
        <v>150</v>
      </c>
      <c r="O810" s="144">
        <f>$B$22</f>
        <v>1</v>
      </c>
    </row>
    <row r="811" ht="15.75" hidden="1" customHeight="1" outlineLevel="1">
      <c r="A811" s="142" t="s">
        <v>64</v>
      </c>
      <c r="B811" s="143">
        <f>'Analisis de operaciones'!C1335/'Analisis de operaciones'!C1339*$O811</f>
        <v>54.63359021</v>
      </c>
      <c r="C811" s="143">
        <f>'Analisis de operaciones'!D1335/'Analisis de operaciones'!D1339*$O811</f>
        <v>43.70687217</v>
      </c>
      <c r="D811" s="143">
        <f>'Analisis de operaciones'!E1335/'Analisis de operaciones'!E1339*$O811</f>
        <v>46.43855168</v>
      </c>
      <c r="E811" s="143">
        <f>'Analisis de operaciones'!F1335/'Analisis de operaciones'!F1339*$O811</f>
        <v>46.43855168</v>
      </c>
      <c r="F811" s="143">
        <f>'Analisis de operaciones'!G1335/'Analisis de operaciones'!G1339*$O811</f>
        <v>43.70687217</v>
      </c>
      <c r="G811" s="143">
        <f>'Analisis de operaciones'!H1335/'Analisis de operaciones'!H1339*$O811</f>
        <v>40.97519266</v>
      </c>
      <c r="H811" s="143">
        <f>'Analisis de operaciones'!I1335/'Analisis de operaciones'!I1339*$O811</f>
        <v>43.70687217</v>
      </c>
      <c r="I811" s="143">
        <f>'Analisis de operaciones'!J1335/'Analisis de operaciones'!J1339*$O811</f>
        <v>43.70687217</v>
      </c>
      <c r="J811" s="143">
        <f>'Analisis de operaciones'!K1335/'Analisis de operaciones'!K1339*$O811</f>
        <v>43.70687217</v>
      </c>
      <c r="K811" s="143">
        <f>'Analisis de operaciones'!L1335/'Analisis de operaciones'!L1339*$O811</f>
        <v>40.97519266</v>
      </c>
      <c r="L811" s="143">
        <f>'Analisis de operaciones'!M1335/'Analisis de operaciones'!M1339*$O811</f>
        <v>38.24351315</v>
      </c>
      <c r="M811" s="143">
        <f>'Analisis de operaciones'!N1335/'Analisis de operaciones'!N1339*$O811</f>
        <v>60.09694924</v>
      </c>
      <c r="N811" s="143">
        <f>'Resumen Capacidad'!$I$34*$B$8*$O811</f>
        <v>75</v>
      </c>
      <c r="O811" s="144">
        <f>IF('Resumen Capacidad'!$I$56="Automática",$C$23,$B$23)</f>
        <v>0.5</v>
      </c>
    </row>
    <row r="812" ht="15.75" hidden="1" customHeight="1" outlineLevel="1">
      <c r="A812" s="142" t="s">
        <v>66</v>
      </c>
      <c r="B812" s="143">
        <f>'Analisis de operaciones'!C1345/'Analisis de operaciones'!C1349*$O812</f>
        <v>410.8061857</v>
      </c>
      <c r="C812" s="143">
        <f>'Analisis de operaciones'!D1345/'Analisis de operaciones'!D1349*$O812</f>
        <v>313.2005078</v>
      </c>
      <c r="D812" s="143">
        <f>'Analisis de operaciones'!E1345/'Analisis de operaciones'!E1349*$O812</f>
        <v>292.5556417</v>
      </c>
      <c r="E812" s="143">
        <f>'Analisis de operaciones'!F1345/'Analisis de operaciones'!F1349*$O812</f>
        <v>279.6852743</v>
      </c>
      <c r="F812" s="143">
        <f>'Analisis de operaciones'!G1345/'Analisis de operaciones'!G1349*$O812</f>
        <v>261.7190385</v>
      </c>
      <c r="G812" s="143">
        <f>'Analisis de operaciones'!H1345/'Analisis de operaciones'!H1349*$O812</f>
        <v>256.62317</v>
      </c>
      <c r="H812" s="143">
        <f>'Analisis de operaciones'!I1345/'Analisis de operaciones'!I1349*$O812</f>
        <v>274.5894058</v>
      </c>
      <c r="I812" s="143">
        <f>'Analisis de operaciones'!J1345/'Analisis de operaciones'!J1349*$O812</f>
        <v>274.5894058</v>
      </c>
      <c r="J812" s="143">
        <f>'Analisis de operaciones'!K1345/'Analisis de operaciones'!K1349*$O812</f>
        <v>274.5894058</v>
      </c>
      <c r="K812" s="143">
        <f>'Analisis de operaciones'!L1345/'Analisis de operaciones'!L1349*$O812</f>
        <v>269.4935373</v>
      </c>
      <c r="L812" s="143">
        <f>'Analisis de operaciones'!M1345/'Analisis de operaciones'!M1349*$O812</f>
        <v>264.3976688</v>
      </c>
      <c r="M812" s="143">
        <f>'Analisis de operaciones'!N1345/'Analisis de operaciones'!N1349*$O812</f>
        <v>420.9979227</v>
      </c>
      <c r="N812" s="143">
        <f>'Resumen Capacidad'!$I$35*$B$8*$O812</f>
        <v>300</v>
      </c>
      <c r="O812" s="144">
        <f>$B$24</f>
        <v>1</v>
      </c>
    </row>
    <row r="813" ht="15.75" hidden="1" customHeight="1" outlineLevel="1">
      <c r="A813" s="142" t="s">
        <v>67</v>
      </c>
      <c r="B813" s="143">
        <f>'Analisis de operaciones'!C1355/'Analisis de operaciones'!C1359*$O813</f>
        <v>132.9484327</v>
      </c>
      <c r="C813" s="143">
        <f>'Analisis de operaciones'!D1355/'Analisis de operaciones'!D1359*$O813</f>
        <v>101.3604909</v>
      </c>
      <c r="D813" s="143">
        <f>'Analisis de operaciones'!E1355/'Analisis de operaciones'!E1359*$O813</f>
        <v>94.67923169</v>
      </c>
      <c r="E813" s="143">
        <f>'Analisis de operaciones'!F1355/'Analisis de operaciones'!F1359*$O813</f>
        <v>90.51401894</v>
      </c>
      <c r="F813" s="143">
        <f>'Analisis de operaciones'!G1355/'Analisis de operaciones'!G1359*$O813</f>
        <v>84.69963986</v>
      </c>
      <c r="G813" s="143">
        <f>'Analisis de operaciones'!H1355/'Analisis de operaciones'!H1359*$O813</f>
        <v>83.05047352</v>
      </c>
      <c r="H813" s="143">
        <f>'Analisis de operaciones'!I1355/'Analisis de operaciones'!I1359*$O813</f>
        <v>88.86485261</v>
      </c>
      <c r="I813" s="143">
        <f>'Analisis de operaciones'!J1355/'Analisis de operaciones'!J1359*$O813</f>
        <v>88.86485261</v>
      </c>
      <c r="J813" s="143">
        <f>'Analisis de operaciones'!K1355/'Analisis de operaciones'!K1359*$O813</f>
        <v>88.86485261</v>
      </c>
      <c r="K813" s="143">
        <f>'Analisis de operaciones'!L1355/'Analisis de operaciones'!L1359*$O813</f>
        <v>87.21568627</v>
      </c>
      <c r="L813" s="143">
        <f>'Analisis de operaciones'!M1355/'Analisis de operaciones'!M1359*$O813</f>
        <v>85.56651994</v>
      </c>
      <c r="M813" s="143">
        <f>'Analisis de operaciones'!N1355/'Analisis de operaciones'!N1359*$O813</f>
        <v>136.2467654</v>
      </c>
      <c r="N813" s="143">
        <f>'Resumen Capacidad'!$I$36*$B$8*$O813</f>
        <v>150</v>
      </c>
      <c r="O813" s="144">
        <f>$B$25</f>
        <v>1</v>
      </c>
    </row>
    <row r="814" ht="15.75" hidden="1" customHeight="1" outlineLevel="1">
      <c r="A814" s="142" t="s">
        <v>68</v>
      </c>
      <c r="B814" s="143">
        <f>'Analisis de operaciones'!C1365/'Analisis de operaciones'!C1369*$O814</f>
        <v>195.7473919</v>
      </c>
      <c r="C814" s="143">
        <f>'Analisis de operaciones'!D1365/'Analisis de operaciones'!D1369*$O814</f>
        <v>149.2387035</v>
      </c>
      <c r="D814" s="143">
        <f>'Analisis de operaciones'!E1365/'Analisis de operaciones'!E1369*$O814</f>
        <v>139.401513</v>
      </c>
      <c r="E814" s="143">
        <f>'Analisis de operaciones'!F1365/'Analisis de operaciones'!F1369*$O814</f>
        <v>133.268838</v>
      </c>
      <c r="F814" s="143">
        <f>'Analisis de operaciones'!G1365/'Analisis de operaciones'!G1369*$O814</f>
        <v>124.7080034</v>
      </c>
      <c r="G814" s="143">
        <f>'Analisis de operaciones'!H1365/'Analisis de operaciones'!H1369*$O814</f>
        <v>122.2798438</v>
      </c>
      <c r="H814" s="143">
        <f>'Analisis de operaciones'!I1365/'Analisis de operaciones'!I1369*$O814</f>
        <v>130.8406784</v>
      </c>
      <c r="I814" s="143">
        <f>'Analisis de operaciones'!J1365/'Analisis de operaciones'!J1369*$O814</f>
        <v>130.8406784</v>
      </c>
      <c r="J814" s="143">
        <f>'Analisis de operaciones'!K1365/'Analisis de operaciones'!K1369*$O814</f>
        <v>130.8406784</v>
      </c>
      <c r="K814" s="143">
        <f>'Analisis de operaciones'!L1365/'Analisis de operaciones'!L1369*$O814</f>
        <v>128.4125189</v>
      </c>
      <c r="L814" s="143">
        <f>'Analisis de operaciones'!M1365/'Analisis de operaciones'!M1369*$O814</f>
        <v>125.9843593</v>
      </c>
      <c r="M814" s="143">
        <f>'Analisis de operaciones'!N1365/'Analisis de operaciones'!N1369*$O814</f>
        <v>200.603711</v>
      </c>
      <c r="N814" s="143">
        <f>'Resumen Capacidad'!$I$37*$B$8*$O814</f>
        <v>150</v>
      </c>
      <c r="O814" s="144">
        <f>IF('Resumen Capacidad'!$I$57="Automática",$C$26,$B$26)</f>
        <v>0.5</v>
      </c>
    </row>
    <row r="815" ht="15.75" hidden="1" customHeight="1" outlineLevel="1">
      <c r="A815" s="142" t="s">
        <v>70</v>
      </c>
      <c r="B815" s="143">
        <f>'Analisis de operaciones'!C1375/'Analisis de operaciones'!C1379*$O815</f>
        <v>143.782165</v>
      </c>
      <c r="C815" s="143">
        <f>'Analisis de operaciones'!D1375/'Analisis de operaciones'!D1379*$O815</f>
        <v>109.6201777</v>
      </c>
      <c r="D815" s="143">
        <f>'Analisis de operaciones'!E1375/'Analisis de operaciones'!E1379*$O815</f>
        <v>102.3944746</v>
      </c>
      <c r="E815" s="143">
        <f>'Analisis de operaciones'!F1375/'Analisis de operaciones'!F1379*$O815</f>
        <v>97.88984602</v>
      </c>
      <c r="F815" s="143">
        <f>'Analisis de operaciones'!G1375/'Analisis de operaciones'!G1379*$O815</f>
        <v>91.60166348</v>
      </c>
      <c r="G815" s="143">
        <f>'Analisis de operaciones'!H1375/'Analisis de operaciones'!H1379*$O815</f>
        <v>89.8181095</v>
      </c>
      <c r="H815" s="143">
        <f>'Analisis de operaciones'!I1375/'Analisis de operaciones'!I1379*$O815</f>
        <v>96.10629204</v>
      </c>
      <c r="I815" s="143">
        <f>'Analisis de operaciones'!J1375/'Analisis de operaciones'!J1379*$O815</f>
        <v>96.10629204</v>
      </c>
      <c r="J815" s="143">
        <f>'Analisis de operaciones'!K1375/'Analisis de operaciones'!K1379*$O815</f>
        <v>96.10629204</v>
      </c>
      <c r="K815" s="143">
        <f>'Analisis de operaciones'!L1375/'Analisis de operaciones'!L1379*$O815</f>
        <v>94.32273806</v>
      </c>
      <c r="L815" s="143">
        <f>'Analisis de operaciones'!M1375/'Analisis de operaciones'!M1379*$O815</f>
        <v>92.53918409</v>
      </c>
      <c r="M815" s="143">
        <f>'Analisis de operaciones'!N1375/'Analisis de operaciones'!N1379*$O815</f>
        <v>147.3492729</v>
      </c>
      <c r="N815" s="143">
        <f>'Resumen Capacidad'!$I$38*$B$8*$O815</f>
        <v>150</v>
      </c>
      <c r="O815" s="144">
        <f>IF('Resumen Capacidad'!$I$58="Automática",$C$27,$B$27)</f>
        <v>0.5</v>
      </c>
    </row>
    <row r="816" ht="15.75" hidden="1" customHeight="1" outlineLevel="1">
      <c r="A816" s="142" t="s">
        <v>72</v>
      </c>
      <c r="B816" s="143">
        <f>'Analisis de operaciones'!C1385/'Analisis de operaciones'!C1389*$O816</f>
        <v>43.4349183</v>
      </c>
      <c r="C816" s="143">
        <f>'Analisis de operaciones'!D1385/'Analisis de operaciones'!D1389*$O816</f>
        <v>34.74793464</v>
      </c>
      <c r="D816" s="143">
        <f>'Analisis de operaciones'!E1385/'Analisis de operaciones'!E1389*$O816</f>
        <v>36.91968056</v>
      </c>
      <c r="E816" s="143">
        <f>'Analisis de operaciones'!F1385/'Analisis de operaciones'!F1389*$O816</f>
        <v>36.91968056</v>
      </c>
      <c r="F816" s="143">
        <f>'Analisis de operaciones'!G1385/'Analisis de operaciones'!G1389*$O816</f>
        <v>34.74793464</v>
      </c>
      <c r="G816" s="143">
        <f>'Analisis de operaciones'!H1385/'Analisis de operaciones'!H1389*$O816</f>
        <v>32.57618873</v>
      </c>
      <c r="H816" s="143">
        <f>'Analisis de operaciones'!I1385/'Analisis de operaciones'!I1389*$O816</f>
        <v>34.74793464</v>
      </c>
      <c r="I816" s="143">
        <f>'Analisis de operaciones'!J1385/'Analisis de operaciones'!J1389*$O816</f>
        <v>34.74793464</v>
      </c>
      <c r="J816" s="143">
        <f>'Analisis de operaciones'!K1385/'Analisis de operaciones'!K1389*$O816</f>
        <v>34.74793464</v>
      </c>
      <c r="K816" s="143">
        <f>'Analisis de operaciones'!L1385/'Analisis de operaciones'!L1389*$O816</f>
        <v>32.57618873</v>
      </c>
      <c r="L816" s="143">
        <f>'Analisis de operaciones'!M1385/'Analisis de operaciones'!M1389*$O816</f>
        <v>30.40444281</v>
      </c>
      <c r="M816" s="143">
        <f>'Analisis de operaciones'!N1385/'Analisis de operaciones'!N1389*$O816</f>
        <v>47.77841013</v>
      </c>
      <c r="N816" s="143">
        <f>'Resumen Capacidad'!$I$39*$B$8*$O816</f>
        <v>75</v>
      </c>
      <c r="O816" s="144">
        <f>$B$28</f>
        <v>0.5</v>
      </c>
    </row>
    <row r="817" ht="15.75" hidden="1" customHeight="1" outlineLevel="1">
      <c r="A817" s="142" t="s">
        <v>74</v>
      </c>
      <c r="B817" s="143">
        <f>'Analisis de operaciones'!C1395/'Analisis de operaciones'!C1399*$O817</f>
        <v>129.7805208</v>
      </c>
      <c r="C817" s="143">
        <f>'Analisis de operaciones'!D1395/'Analisis de operaciones'!D1399*$O817</f>
        <v>98.94526042</v>
      </c>
      <c r="D817" s="143">
        <f>'Analisis de operaciones'!E1395/'Analisis de operaciones'!E1399*$O817</f>
        <v>92.42320313</v>
      </c>
      <c r="E817" s="143">
        <f>'Analisis de operaciones'!F1395/'Analisis de operaciones'!F1399*$O817</f>
        <v>88.35723958</v>
      </c>
      <c r="F817" s="143">
        <f>'Analisis de operaciones'!G1395/'Analisis de operaciones'!G1399*$O817</f>
        <v>82.68140625</v>
      </c>
      <c r="G817" s="143">
        <f>'Analisis de operaciones'!H1395/'Analisis de operaciones'!H1399*$O817</f>
        <v>81.07153646</v>
      </c>
      <c r="H817" s="143">
        <f>'Analisis de operaciones'!I1395/'Analisis de operaciones'!I1399*$O817</f>
        <v>86.74736979</v>
      </c>
      <c r="I817" s="143">
        <f>'Analisis de operaciones'!J1395/'Analisis de operaciones'!J1399*$O817</f>
        <v>86.74736979</v>
      </c>
      <c r="J817" s="143">
        <f>'Analisis de operaciones'!K1395/'Analisis de operaciones'!K1399*$O817</f>
        <v>86.74736979</v>
      </c>
      <c r="K817" s="143">
        <f>'Analisis de operaciones'!L1395/'Analisis de operaciones'!L1399*$O817</f>
        <v>85.1375</v>
      </c>
      <c r="L817" s="143">
        <f>'Analisis de operaciones'!M1395/'Analisis de operaciones'!M1399*$O817</f>
        <v>83.52763021</v>
      </c>
      <c r="M817" s="143">
        <f>'Analisis de operaciones'!N1395/'Analisis de operaciones'!N1399*$O817</f>
        <v>133.0002604</v>
      </c>
      <c r="N817" s="143">
        <f>'Resumen Capacidad'!$I$40*$B$8*$O817</f>
        <v>150</v>
      </c>
      <c r="O817" s="144">
        <f>$B$29</f>
        <v>1</v>
      </c>
    </row>
    <row r="818" ht="15.75" hidden="1" customHeight="1" outlineLevel="1">
      <c r="A818" s="142" t="s">
        <v>76</v>
      </c>
      <c r="B818" s="143">
        <f>'Analisis de operaciones'!C1988/'Analisis de operaciones'!C1992*$O818</f>
        <v>60.74081519</v>
      </c>
      <c r="C818" s="143">
        <f>'Analisis de operaciones'!D1988/'Analisis de operaciones'!D1992*$O818</f>
        <v>46.30907426</v>
      </c>
      <c r="D818" s="143">
        <f>'Analisis de operaciones'!E1988/'Analisis de operaciones'!E1992*$O818</f>
        <v>43.25657398</v>
      </c>
      <c r="E818" s="143">
        <f>'Analisis de operaciones'!F1988/'Analisis de operaciones'!F1992*$O818</f>
        <v>41.3535924</v>
      </c>
      <c r="F818" s="143">
        <f>'Analisis de operaciones'!G1988/'Analisis de operaciones'!G1992*$O818</f>
        <v>38.69714796</v>
      </c>
      <c r="G818" s="143">
        <f>'Analisis de operaciones'!H1988/'Analisis de operaciones'!H1992*$O818</f>
        <v>37.94368509</v>
      </c>
      <c r="H818" s="143">
        <f>'Analisis de operaciones'!I1988/'Analisis de operaciones'!I1992*$O818</f>
        <v>40.60012954</v>
      </c>
      <c r="I818" s="143">
        <f>'Analisis de operaciones'!J1988/'Analisis de operaciones'!J1992*$O818</f>
        <v>40.60012954</v>
      </c>
      <c r="J818" s="143">
        <f>'Analisis de operaciones'!K1988/'Analisis de operaciones'!K1992*$O818</f>
        <v>40.60012954</v>
      </c>
      <c r="K818" s="143">
        <f>'Analisis de operaciones'!L1988/'Analisis de operaciones'!L1992*$O818</f>
        <v>39.84666667</v>
      </c>
      <c r="L818" s="143">
        <f>'Analisis de operaciones'!M1988/'Analisis de operaciones'!M1992*$O818</f>
        <v>39.0932038</v>
      </c>
      <c r="M818" s="143">
        <f>'Analisis de operaciones'!N1988/'Analisis de operaciones'!N1992*$O818</f>
        <v>62.24774093</v>
      </c>
      <c r="N818" s="143">
        <f>'Resumen Capacidad'!$I$41*$B$8*$O818</f>
        <v>150</v>
      </c>
      <c r="O818" s="144">
        <f>$B$30</f>
        <v>1</v>
      </c>
    </row>
    <row r="819" ht="15.75" hidden="1" customHeight="1" outlineLevel="1">
      <c r="A819" s="142" t="s">
        <v>77</v>
      </c>
      <c r="B819" s="143">
        <f>IF('Resumen Capacidad'!$I$42=0,0,'Analisis de operaciones'!C1405/'Analisis de operaciones'!C1409*$O819)</f>
        <v>91.59447285</v>
      </c>
      <c r="C819" s="143">
        <f>IF('Resumen Capacidad'!$I$42=0,0,'Analisis de operaciones'!D1405/'Analisis de operaciones'!D1409*$O819)</f>
        <v>69.83204344</v>
      </c>
      <c r="D819" s="143">
        <f>IF('Resumen Capacidad'!$I$42=0,0,'Analisis de operaciones'!E1405/'Analisis de operaciones'!E1409*$O819)</f>
        <v>65.22900752</v>
      </c>
      <c r="E819" s="143">
        <f>IF('Resumen Capacidad'!$I$42=0,0,'Analisis de operaciones'!F1405/'Analisis de operaciones'!F1409*$O819)</f>
        <v>62.35939515</v>
      </c>
      <c r="F819" s="143">
        <f>IF('Resumen Capacidad'!$I$42=0,0,'Analisis de operaciones'!G1405/'Analisis de operaciones'!G1409*$O819)</f>
        <v>58.35359398</v>
      </c>
      <c r="G819" s="143">
        <f>IF('Resumen Capacidad'!$I$42=0,0,'Analisis de operaciones'!H1405/'Analisis de operaciones'!H1409*$O819)</f>
        <v>57.21740518</v>
      </c>
      <c r="H819" s="143">
        <f>IF('Resumen Capacidad'!$I$42=0,0,'Analisis de operaciones'!I1405/'Analisis de operaciones'!I1409*$O819)</f>
        <v>61.22320635</v>
      </c>
      <c r="I819" s="143">
        <f>IF('Resumen Capacidad'!$I$42=0,0,'Analisis de operaciones'!J1405/'Analisis de operaciones'!J1409*$O819)</f>
        <v>61.22320635</v>
      </c>
      <c r="J819" s="143">
        <f>IF('Resumen Capacidad'!$I$42=0,0,'Analisis de operaciones'!K1405/'Analisis de operaciones'!K1409*$O819)</f>
        <v>61.22320635</v>
      </c>
      <c r="K819" s="143">
        <f>IF('Resumen Capacidad'!$I$42=0,0,'Analisis de operaciones'!L1405/'Analisis de operaciones'!L1409*$O819)</f>
        <v>60.08701754</v>
      </c>
      <c r="L819" s="143">
        <f>IF('Resumen Capacidad'!$I$42=0,0,'Analisis de operaciones'!M1405/'Analisis de operaciones'!M1409*$O819)</f>
        <v>58.95082874</v>
      </c>
      <c r="M819" s="143">
        <f>IF('Resumen Capacidad'!$I$42=0,0,'Analisis de operaciones'!N1405/'Analisis de operaciones'!N1409*$O819)</f>
        <v>93.86685046</v>
      </c>
      <c r="N819" s="143">
        <f>'Resumen Capacidad'!$I$42*$B$8*$O819</f>
        <v>75</v>
      </c>
      <c r="O819" s="144">
        <f>$B$31</f>
        <v>0.5</v>
      </c>
    </row>
    <row r="820" ht="15.75" hidden="1" customHeight="1" outlineLevel="1">
      <c r="A820" s="142" t="s">
        <v>79</v>
      </c>
      <c r="B820" s="143">
        <f>'Analisis de operaciones'!C1415/'Analisis de operaciones'!C1419*$O820</f>
        <v>52.59446023</v>
      </c>
      <c r="C820" s="143">
        <f>'Analisis de operaciones'!D1415/'Analisis de operaciones'!D1419*$O820</f>
        <v>41.06136364</v>
      </c>
      <c r="D820" s="143">
        <f>'Analisis de operaciones'!E1415/'Analisis de operaciones'!E1419*$O820</f>
        <v>40.72047822</v>
      </c>
      <c r="E820" s="143">
        <f>'Analisis de operaciones'!F1415/'Analisis de operaciones'!F1419*$O820</f>
        <v>39.67926136</v>
      </c>
      <c r="F820" s="143">
        <f>'Analisis de operaciones'!G1415/'Analisis de operaciones'!G1419*$O820</f>
        <v>37.40061553</v>
      </c>
      <c r="G820" s="143">
        <f>'Analisis de operaciones'!H1415/'Analisis de operaciones'!H1419*$O820</f>
        <v>35.82710701</v>
      </c>
      <c r="H820" s="143">
        <f>'Analisis de operaciones'!I1415/'Analisis de operaciones'!I1419*$O820</f>
        <v>38.44183239</v>
      </c>
      <c r="I820" s="143">
        <f>'Analisis de operaciones'!J1415/'Analisis de operaciones'!J1419*$O820</f>
        <v>38.44183239</v>
      </c>
      <c r="J820" s="143">
        <f>'Analisis de operaciones'!K1415/'Analisis de operaciones'!K1419*$O820</f>
        <v>38.27379261</v>
      </c>
      <c r="K820" s="143">
        <f>'Analisis de operaciones'!L1415/'Analisis de operaciones'!L1419*$O820</f>
        <v>36.70028409</v>
      </c>
      <c r="L820" s="143">
        <f>'Analisis de operaciones'!M1415/'Analisis de operaciones'!M1419*$O820</f>
        <v>35.29481534</v>
      </c>
      <c r="M820" s="143">
        <f>'Analisis de operaciones'!N1415/'Analisis de operaciones'!N1419*$O820</f>
        <v>54.90127841</v>
      </c>
      <c r="N820" s="143">
        <f>'Resumen Capacidad'!$I$43*$B$8*$O820</f>
        <v>75</v>
      </c>
      <c r="O820" s="144">
        <f>$B$32</f>
        <v>0.5</v>
      </c>
    </row>
    <row r="821" ht="15.75" hidden="1" customHeight="1" outlineLevel="1">
      <c r="A821" s="142" t="s">
        <v>81</v>
      </c>
      <c r="B821" s="143">
        <f>'Analisis de operaciones'!C1425/'Analisis de operaciones'!C1429*$O821</f>
        <v>251.8809524</v>
      </c>
      <c r="C821" s="143">
        <f>'Analisis de operaciones'!D1425/'Analisis de operaciones'!D1429*$O821</f>
        <v>196.647619</v>
      </c>
      <c r="D821" s="143">
        <f>'Analisis de operaciones'!E1425/'Analisis de operaciones'!E1429*$O821</f>
        <v>195.0150794</v>
      </c>
      <c r="E821" s="143">
        <f>'Analisis de operaciones'!F1425/'Analisis de operaciones'!F1429*$O821</f>
        <v>190.0285714</v>
      </c>
      <c r="F821" s="143">
        <f>'Analisis de operaciones'!G1425/'Analisis de operaciones'!G1429*$O821</f>
        <v>179.115873</v>
      </c>
      <c r="G821" s="143">
        <f>'Analisis de operaciones'!H1425/'Analisis de operaciones'!H1429*$O821</f>
        <v>171.5801587</v>
      </c>
      <c r="H821" s="143">
        <f>'Analisis de operaciones'!I1425/'Analisis de operaciones'!I1429*$O821</f>
        <v>184.102381</v>
      </c>
      <c r="I821" s="143">
        <f>'Analisis de operaciones'!J1425/'Analisis de operaciones'!J1429*$O821</f>
        <v>184.102381</v>
      </c>
      <c r="J821" s="143">
        <f>'Analisis de operaciones'!K1425/'Analisis de operaciones'!K1429*$O821</f>
        <v>183.297619</v>
      </c>
      <c r="K821" s="143">
        <f>'Analisis de operaciones'!L1425/'Analisis de operaciones'!L1429*$O821</f>
        <v>175.7619048</v>
      </c>
      <c r="L821" s="143">
        <f>'Analisis de operaciones'!M1425/'Analisis de operaciones'!M1429*$O821</f>
        <v>169.0309524</v>
      </c>
      <c r="M821" s="143">
        <f>'Analisis de operaciones'!N1425/'Analisis de operaciones'!N1429*$O821</f>
        <v>262.9285714</v>
      </c>
      <c r="N821" s="143">
        <f>'Resumen Capacidad'!$I$44*$B$8*$O821</f>
        <v>300</v>
      </c>
      <c r="O821" s="144">
        <f>$B$33</f>
        <v>1</v>
      </c>
    </row>
    <row r="822" ht="15.75" hidden="1" customHeight="1" outlineLevel="1">
      <c r="A822" s="142" t="s">
        <v>82</v>
      </c>
      <c r="B822" s="143">
        <f>'Analisis de operaciones'!C1435/'Analisis de operaciones'!C1439*$O822</f>
        <v>152.8077778</v>
      </c>
      <c r="C822" s="143">
        <f>'Analisis de operaciones'!D1435/'Analisis de operaciones'!D1439*$O822</f>
        <v>119.2995556</v>
      </c>
      <c r="D822" s="143">
        <f>'Analisis de operaciones'!E1435/'Analisis de operaciones'!E1439*$O822</f>
        <v>118.3091481</v>
      </c>
      <c r="E822" s="143">
        <f>'Analisis de operaciones'!F1435/'Analisis de operaciones'!F1439*$O822</f>
        <v>115.284</v>
      </c>
      <c r="F822" s="143">
        <f>'Analisis de operaciones'!G1435/'Analisis de operaciones'!G1439*$O822</f>
        <v>108.6636296</v>
      </c>
      <c r="G822" s="143">
        <f>'Analisis de operaciones'!H1435/'Analisis de operaciones'!H1439*$O822</f>
        <v>104.091963</v>
      </c>
      <c r="H822" s="143">
        <f>'Analisis de operaciones'!I1435/'Analisis de operaciones'!I1439*$O822</f>
        <v>111.6887778</v>
      </c>
      <c r="I822" s="143">
        <f>'Analisis de operaciones'!J1435/'Analisis de operaciones'!J1439*$O822</f>
        <v>111.6887778</v>
      </c>
      <c r="J822" s="143">
        <f>'Analisis de operaciones'!K1435/'Analisis de operaciones'!K1439*$O822</f>
        <v>111.2005556</v>
      </c>
      <c r="K822" s="143">
        <f>'Analisis de operaciones'!L1435/'Analisis de operaciones'!L1439*$O822</f>
        <v>106.6288889</v>
      </c>
      <c r="L822" s="143">
        <f>'Analisis de operaciones'!M1435/'Analisis de operaciones'!M1439*$O822</f>
        <v>102.5454444</v>
      </c>
      <c r="M822" s="143">
        <f>'Analisis de operaciones'!N1435/'Analisis de operaciones'!N1439*$O822</f>
        <v>159.51</v>
      </c>
      <c r="N822" s="143">
        <f>'Resumen Capacidad'!$I$45*$B$8*$O822</f>
        <v>150</v>
      </c>
      <c r="O822" s="144">
        <f>$B$34</f>
        <v>1</v>
      </c>
    </row>
    <row r="823" ht="15.75" hidden="1" customHeight="1" outlineLevel="1">
      <c r="A823" s="142" t="s">
        <v>83</v>
      </c>
      <c r="B823" s="143">
        <f>'Analisis de operaciones'!C1445/'Analisis de operaciones'!C1449*$O823</f>
        <v>138.5345238</v>
      </c>
      <c r="C823" s="143">
        <f>'Analisis de operaciones'!D1445/'Analisis de operaciones'!D1449*$O823</f>
        <v>108.1561905</v>
      </c>
      <c r="D823" s="143">
        <f>'Analisis de operaciones'!E1445/'Analisis de operaciones'!E1449*$O823</f>
        <v>107.2582937</v>
      </c>
      <c r="E823" s="143">
        <f>'Analisis de operaciones'!F1445/'Analisis de operaciones'!F1449*$O823</f>
        <v>104.5157143</v>
      </c>
      <c r="F823" s="143">
        <f>'Analisis de operaciones'!G1445/'Analisis de operaciones'!G1449*$O823</f>
        <v>98.51373016</v>
      </c>
      <c r="G823" s="143">
        <f>'Analisis de operaciones'!H1445/'Analisis de operaciones'!H1449*$O823</f>
        <v>94.3690873</v>
      </c>
      <c r="H823" s="143">
        <f>'Analisis de operaciones'!I1445/'Analisis de operaciones'!I1449*$O823</f>
        <v>101.2563095</v>
      </c>
      <c r="I823" s="143">
        <f>'Analisis de operaciones'!J1445/'Analisis de operaciones'!J1449*$O823</f>
        <v>101.2563095</v>
      </c>
      <c r="J823" s="143">
        <f>'Analisis de operaciones'!K1445/'Analisis de operaciones'!K1449*$O823</f>
        <v>100.8136905</v>
      </c>
      <c r="K823" s="143">
        <f>'Analisis de operaciones'!L1445/'Analisis de operaciones'!L1449*$O823</f>
        <v>96.66904762</v>
      </c>
      <c r="L823" s="143">
        <f>'Analisis de operaciones'!M1445/'Analisis de operaciones'!M1449*$O823</f>
        <v>92.96702381</v>
      </c>
      <c r="M823" s="143">
        <f>'Analisis de operaciones'!N1445/'Analisis de operaciones'!N1449*$O823</f>
        <v>144.6107143</v>
      </c>
      <c r="N823" s="143">
        <f>'Resumen Capacidad'!$I$46*$B$8*$O823</f>
        <v>150</v>
      </c>
      <c r="O823" s="144">
        <f>$B$35</f>
        <v>1</v>
      </c>
    </row>
    <row r="824" ht="15.75" hidden="1" customHeight="1" outlineLevel="1">
      <c r="A824" s="142" t="s">
        <v>84</v>
      </c>
      <c r="B824" s="143">
        <f>'Analisis de operaciones'!C1455/'Analisis de operaciones'!C1459*$O824</f>
        <v>510.4700486</v>
      </c>
      <c r="C824" s="143">
        <f>'Analisis de operaciones'!D1455/'Analisis de operaciones'!D1459*$O824</f>
        <v>389.184691</v>
      </c>
      <c r="D824" s="143">
        <f>'Analisis de operaciones'!E1455/'Analisis de operaciones'!E1459*$O824</f>
        <v>363.5312656</v>
      </c>
      <c r="E824" s="143">
        <f>'Analisis de operaciones'!F1455/'Analisis de operaciones'!F1459*$O824</f>
        <v>347.5384757</v>
      </c>
      <c r="F824" s="143">
        <f>'Analisis de operaciones'!G1455/'Analisis de operaciones'!G1459*$O824</f>
        <v>325.2135313</v>
      </c>
      <c r="G824" s="143">
        <f>'Analisis de operaciones'!H1455/'Analisis de operaciones'!H1459*$O824</f>
        <v>318.8813767</v>
      </c>
      <c r="H824" s="143">
        <f>'Analisis de operaciones'!I1455/'Analisis de operaciones'!I1459*$O824</f>
        <v>341.2063212</v>
      </c>
      <c r="I824" s="143">
        <f>'Analisis de operaciones'!J1455/'Analisis de operaciones'!J1459*$O824</f>
        <v>341.2063212</v>
      </c>
      <c r="J824" s="143">
        <f>'Analisis de operaciones'!K1455/'Analisis de operaciones'!K1459*$O824</f>
        <v>341.2063212</v>
      </c>
      <c r="K824" s="143">
        <f>'Analisis de operaciones'!L1455/'Analisis de operaciones'!L1459*$O824</f>
        <v>334.8741667</v>
      </c>
      <c r="L824" s="143">
        <f>'Analisis de operaciones'!M1455/'Analisis de operaciones'!M1459*$O824</f>
        <v>328.5420122</v>
      </c>
      <c r="M824" s="143">
        <f>'Analisis de operaciones'!N1455/'Analisis de operaciones'!N1459*$O824</f>
        <v>523.1343576</v>
      </c>
      <c r="N824" s="143">
        <f>'Resumen Capacidad'!$I$47*$B$8*$O824</f>
        <v>450</v>
      </c>
      <c r="O824" s="144">
        <f>$B$36</f>
        <v>1</v>
      </c>
    </row>
    <row r="825" ht="15.75" hidden="1" customHeight="1" outlineLevel="1">
      <c r="A825" s="142" t="s">
        <v>85</v>
      </c>
      <c r="B825" s="143">
        <f>'Analisis de operaciones'!C1998/'Analisis de operaciones'!C2002*$O825</f>
        <v>124.5505413</v>
      </c>
      <c r="C825" s="143">
        <f>'Analisis de operaciones'!D1998/'Analisis de operaciones'!D2002*$O825</f>
        <v>93.41290598</v>
      </c>
      <c r="D825" s="143">
        <f>'Analisis de operaciones'!E1998/'Analisis de operaciones'!E2002*$O825</f>
        <v>83.03369421</v>
      </c>
      <c r="E825" s="143">
        <f>'Analisis de operaciones'!F1998/'Analisis de operaciones'!F2002*$O825</f>
        <v>77.84408832</v>
      </c>
      <c r="F825" s="143">
        <f>'Analisis de operaciones'!G1998/'Analisis de operaciones'!G2002*$O825</f>
        <v>72.65448243</v>
      </c>
      <c r="G825" s="143">
        <f>'Analisis de operaciones'!H1998/'Analisis de operaciones'!H2002*$O825</f>
        <v>72.65448243</v>
      </c>
      <c r="H825" s="143">
        <f>'Analisis de operaciones'!I1998/'Analisis de operaciones'!I2002*$O825</f>
        <v>77.84408832</v>
      </c>
      <c r="I825" s="143">
        <f>'Analisis de operaciones'!J1998/'Analisis de operaciones'!J2002*$O825</f>
        <v>77.84408832</v>
      </c>
      <c r="J825" s="143">
        <f>'Analisis de operaciones'!K1998/'Analisis de operaciones'!K2002*$O825</f>
        <v>77.84408832</v>
      </c>
      <c r="K825" s="143">
        <f>'Analisis de operaciones'!L1998/'Analisis de operaciones'!L2002*$O825</f>
        <v>77.84408832</v>
      </c>
      <c r="L825" s="143">
        <f>'Analisis de operaciones'!M1998/'Analisis de operaciones'!M2002*$O825</f>
        <v>77.84408832</v>
      </c>
      <c r="M825" s="143">
        <f>'Analisis de operaciones'!N1998/'Analisis de operaciones'!N2002*$O825</f>
        <v>124.5505413</v>
      </c>
      <c r="N825" s="143">
        <f>'Resumen Capacidad'!$I$48*$B$8*$O825</f>
        <v>150</v>
      </c>
      <c r="O825" s="144">
        <f>$B$37</f>
        <v>0.5</v>
      </c>
    </row>
    <row r="826" ht="15.75" hidden="1" customHeight="1" outlineLevel="1">
      <c r="A826" s="141" t="s">
        <v>472</v>
      </c>
    </row>
    <row r="827" ht="15.75" hidden="1" customHeight="1" outlineLevel="1">
      <c r="A827" s="142" t="s">
        <v>88</v>
      </c>
      <c r="B827" s="143">
        <f>'Analisis de operaciones'!C2701/'Analisis de operaciones'!C2705*$O827</f>
        <v>12.675</v>
      </c>
      <c r="C827" s="143">
        <f>'Analisis de operaciones'!D2701/'Analisis de operaciones'!D2705*$O827</f>
        <v>11.18382353</v>
      </c>
      <c r="D827" s="143">
        <f>'Analisis de operaciones'!E2701/'Analisis de operaciones'!E2705*$O827</f>
        <v>13.42058824</v>
      </c>
      <c r="E827" s="143">
        <f>'Analisis de operaciones'!F2701/'Analisis de operaciones'!F2705*$O827</f>
        <v>13.42058824</v>
      </c>
      <c r="F827" s="143">
        <f>'Analisis de operaciones'!G2701/'Analisis de operaciones'!G2705*$O827</f>
        <v>13.42058824</v>
      </c>
      <c r="G827" s="143">
        <f>'Analisis de operaciones'!H2701/'Analisis de operaciones'!H2705*$O827</f>
        <v>11.92941176</v>
      </c>
      <c r="H827" s="143">
        <f>'Analisis de operaciones'!I2701/'Analisis de operaciones'!I2705*$O827</f>
        <v>13.42058824</v>
      </c>
      <c r="I827" s="143">
        <f>'Analisis de operaciones'!J2701/'Analisis de operaciones'!J2705*$O827</f>
        <v>13.42058824</v>
      </c>
      <c r="J827" s="143">
        <f>'Analisis de operaciones'!K2701/'Analisis de operaciones'!K2705*$O827</f>
        <v>12.675</v>
      </c>
      <c r="K827" s="143">
        <f>'Analisis de operaciones'!L2701/'Analisis de operaciones'!L2705*$O827</f>
        <v>11.18382353</v>
      </c>
      <c r="L827" s="143">
        <f>'Analisis de operaciones'!M2701/'Analisis de operaciones'!M2705*$O827</f>
        <v>10.43823529</v>
      </c>
      <c r="M827" s="143">
        <f>'Analisis de operaciones'!N2701/'Analisis de operaciones'!N2705*$O827</f>
        <v>11.92941176</v>
      </c>
      <c r="O827" s="144">
        <f>$B$38</f>
        <v>1</v>
      </c>
    </row>
    <row r="828" ht="15.75" hidden="1" customHeight="1" outlineLevel="1">
      <c r="A828" s="142" t="s">
        <v>89</v>
      </c>
      <c r="B828" s="143">
        <f>'Analisis de operaciones'!C2711/'Analisis de operaciones'!C2715*$O828</f>
        <v>105.665625</v>
      </c>
      <c r="C828" s="143">
        <f>'Analisis de operaciones'!D2711/'Analisis de operaciones'!D2715*$O828</f>
        <v>93.234375</v>
      </c>
      <c r="D828" s="143">
        <f>'Analisis de operaciones'!E2711/'Analisis de operaciones'!E2715*$O828</f>
        <v>111.88125</v>
      </c>
      <c r="E828" s="143">
        <f>'Analisis de operaciones'!F2711/'Analisis de operaciones'!F2715*$O828</f>
        <v>111.88125</v>
      </c>
      <c r="F828" s="143">
        <f>'Analisis de operaciones'!G2711/'Analisis de operaciones'!G2715*$O828</f>
        <v>111.88125</v>
      </c>
      <c r="G828" s="143">
        <f>'Analisis de operaciones'!H2711/'Analisis de operaciones'!H2715*$O828</f>
        <v>99.45</v>
      </c>
      <c r="H828" s="143">
        <f>'Analisis de operaciones'!I2711/'Analisis de operaciones'!I2715*$O828</f>
        <v>111.88125</v>
      </c>
      <c r="I828" s="143">
        <f>'Analisis de operaciones'!J2711/'Analisis de operaciones'!J2715*$O828</f>
        <v>111.88125</v>
      </c>
      <c r="J828" s="143">
        <f>'Analisis de operaciones'!K2711/'Analisis de operaciones'!K2715*$O828</f>
        <v>105.665625</v>
      </c>
      <c r="K828" s="143">
        <f>'Analisis de operaciones'!L2711/'Analisis de operaciones'!L2715*$O828</f>
        <v>93.234375</v>
      </c>
      <c r="L828" s="143">
        <f>'Analisis de operaciones'!M2711/'Analisis de operaciones'!M2715*$O828</f>
        <v>87.01875</v>
      </c>
      <c r="M828" s="143">
        <f>'Analisis de operaciones'!N2711/'Analisis de operaciones'!N2715*$O828</f>
        <v>99.45</v>
      </c>
      <c r="O828" s="144">
        <f>$B$39</f>
        <v>1</v>
      </c>
    </row>
    <row r="829" ht="15.75" hidden="1" customHeight="1" outlineLevel="1">
      <c r="A829" s="142" t="s">
        <v>90</v>
      </c>
      <c r="B829" s="143">
        <f>'Analisis de operaciones'!C2721/'Analisis de operaciones'!C2725*$O829</f>
        <v>5.0375</v>
      </c>
      <c r="C829" s="143">
        <f>'Analisis de operaciones'!D2721/'Analisis de operaciones'!D2725*$O829</f>
        <v>4.444852941</v>
      </c>
      <c r="D829" s="143">
        <f>'Analisis de operaciones'!E2721/'Analisis de operaciones'!E2725*$O829</f>
        <v>5.333823529</v>
      </c>
      <c r="E829" s="143">
        <f>'Analisis de operaciones'!F2721/'Analisis de operaciones'!F2725*$O829</f>
        <v>5.333823529</v>
      </c>
      <c r="F829" s="143">
        <f>'Analisis de operaciones'!G2721/'Analisis de operaciones'!G2725*$O829</f>
        <v>5.333823529</v>
      </c>
      <c r="G829" s="143">
        <f>'Analisis de operaciones'!H2721/'Analisis de operaciones'!H2725*$O829</f>
        <v>4.741176471</v>
      </c>
      <c r="H829" s="143">
        <f>'Analisis de operaciones'!I2721/'Analisis de operaciones'!I2725*$O829</f>
        <v>5.333823529</v>
      </c>
      <c r="I829" s="143">
        <f>'Analisis de operaciones'!J2721/'Analisis de operaciones'!J2725*$O829</f>
        <v>5.333823529</v>
      </c>
      <c r="J829" s="143">
        <f>'Analisis de operaciones'!K2721/'Analisis de operaciones'!K2725*$O829</f>
        <v>5.0375</v>
      </c>
      <c r="K829" s="143">
        <f>'Analisis de operaciones'!L2721/'Analisis de operaciones'!L2725*$O829</f>
        <v>4.444852941</v>
      </c>
      <c r="L829" s="143">
        <f>'Analisis de operaciones'!M2721/'Analisis de operaciones'!M2725*$O829</f>
        <v>4.148529412</v>
      </c>
      <c r="M829" s="143">
        <f>'Analisis de operaciones'!N2721/'Analisis de operaciones'!N2725*$O829</f>
        <v>4.741176471</v>
      </c>
      <c r="O829" s="144">
        <f>$B$40</f>
        <v>0.5</v>
      </c>
    </row>
    <row r="830" ht="15.75" hidden="1" customHeight="1" outlineLevel="1">
      <c r="A830" s="142" t="s">
        <v>91</v>
      </c>
      <c r="B830" s="143">
        <f>'Analisis de operaciones'!C2731/'Analisis de operaciones'!C2735*$O830</f>
        <v>3.7375</v>
      </c>
      <c r="C830" s="143">
        <f>'Analisis de operaciones'!D2731/'Analisis de operaciones'!D2735*$O830</f>
        <v>3.297794118</v>
      </c>
      <c r="D830" s="143">
        <f>'Analisis de operaciones'!E2731/'Analisis de operaciones'!E2735*$O830</f>
        <v>3.957352941</v>
      </c>
      <c r="E830" s="143">
        <f>'Analisis de operaciones'!F2731/'Analisis de operaciones'!F2735*$O830</f>
        <v>3.957352941</v>
      </c>
      <c r="F830" s="143">
        <f>'Analisis de operaciones'!G2731/'Analisis de operaciones'!G2735*$O830</f>
        <v>3.957352941</v>
      </c>
      <c r="G830" s="143">
        <f>'Analisis de operaciones'!H2731/'Analisis de operaciones'!H2735*$O830</f>
        <v>3.517647059</v>
      </c>
      <c r="H830" s="143">
        <f>'Analisis de operaciones'!I2731/'Analisis de operaciones'!I2735*$O830</f>
        <v>3.957352941</v>
      </c>
      <c r="I830" s="143">
        <f>'Analisis de operaciones'!J2731/'Analisis de operaciones'!J2735*$O830</f>
        <v>3.957352941</v>
      </c>
      <c r="J830" s="143">
        <f>'Analisis de operaciones'!K2731/'Analisis de operaciones'!K2735*$O830</f>
        <v>3.7375</v>
      </c>
      <c r="K830" s="143">
        <f>'Analisis de operaciones'!L2731/'Analisis de operaciones'!L2735*$O830</f>
        <v>3.297794118</v>
      </c>
      <c r="L830" s="143">
        <f>'Analisis de operaciones'!M2731/'Analisis de operaciones'!M2735*$O830</f>
        <v>3.077941176</v>
      </c>
      <c r="M830" s="143">
        <f>'Analisis de operaciones'!N2731/'Analisis de operaciones'!N2735*$O830</f>
        <v>3.517647059</v>
      </c>
      <c r="O830" s="144">
        <f>$B$41</f>
        <v>0.5</v>
      </c>
    </row>
    <row r="831" ht="15.75" hidden="1" customHeight="1" outlineLevel="1">
      <c r="A831" s="142" t="s">
        <v>93</v>
      </c>
      <c r="B831" s="143">
        <f>'Analisis de operaciones'!C2741/'Analisis de operaciones'!C2745*$O831</f>
        <v>5.2</v>
      </c>
      <c r="C831" s="143">
        <f>'Analisis de operaciones'!D2741/'Analisis de operaciones'!D2745*$O831</f>
        <v>4.588235294</v>
      </c>
      <c r="D831" s="143">
        <f>'Analisis de operaciones'!E2741/'Analisis de operaciones'!E2745*$O831</f>
        <v>5.505882353</v>
      </c>
      <c r="E831" s="143">
        <f>'Analisis de operaciones'!F2741/'Analisis de operaciones'!F2745*$O831</f>
        <v>5.505882353</v>
      </c>
      <c r="F831" s="143">
        <f>'Analisis de operaciones'!G2741/'Analisis de operaciones'!G2745*$O831</f>
        <v>5.505882353</v>
      </c>
      <c r="G831" s="143">
        <f>'Analisis de operaciones'!H2741/'Analisis de operaciones'!H2745*$O831</f>
        <v>4.894117647</v>
      </c>
      <c r="H831" s="143">
        <f>'Analisis de operaciones'!I2741/'Analisis de operaciones'!I2745*$O831</f>
        <v>5.505882353</v>
      </c>
      <c r="I831" s="143">
        <f>'Analisis de operaciones'!J2741/'Analisis de operaciones'!J2745*$O831</f>
        <v>5.505882353</v>
      </c>
      <c r="J831" s="143">
        <f>'Analisis de operaciones'!K2741/'Analisis de operaciones'!K2745*$O831</f>
        <v>5.2</v>
      </c>
      <c r="K831" s="143">
        <f>'Analisis de operaciones'!L2741/'Analisis de operaciones'!L2745*$O831</f>
        <v>4.588235294</v>
      </c>
      <c r="L831" s="143">
        <f>'Analisis de operaciones'!M2741/'Analisis de operaciones'!M2745*$O831</f>
        <v>4.282352941</v>
      </c>
      <c r="M831" s="143">
        <f>'Analisis de operaciones'!N2741/'Analisis de operaciones'!N2745*$O831</f>
        <v>4.894117647</v>
      </c>
      <c r="O831" s="144">
        <f>$B$42</f>
        <v>1</v>
      </c>
    </row>
    <row r="832" ht="15.75" hidden="1" customHeight="1" outlineLevel="1">
      <c r="A832" s="142" t="s">
        <v>94</v>
      </c>
      <c r="B832" s="143">
        <f>'Analisis de operaciones'!C2751/'Analisis de operaciones'!C2755*$O832</f>
        <v>6.6625</v>
      </c>
      <c r="C832" s="143">
        <f>'Analisis de operaciones'!D2751/'Analisis de operaciones'!D2755*$O832</f>
        <v>5.878676471</v>
      </c>
      <c r="D832" s="143">
        <f>'Analisis de operaciones'!E2751/'Analisis de operaciones'!E2755*$O832</f>
        <v>7.054411765</v>
      </c>
      <c r="E832" s="143">
        <f>'Analisis de operaciones'!F2751/'Analisis de operaciones'!F2755*$O832</f>
        <v>7.054411765</v>
      </c>
      <c r="F832" s="143">
        <f>'Analisis de operaciones'!G2751/'Analisis de operaciones'!G2755*$O832</f>
        <v>7.054411765</v>
      </c>
      <c r="G832" s="143">
        <f>'Analisis de operaciones'!H2751/'Analisis de operaciones'!H2755*$O832</f>
        <v>6.270588235</v>
      </c>
      <c r="H832" s="143">
        <f>'Analisis de operaciones'!I2751/'Analisis de operaciones'!I2755*$O832</f>
        <v>7.054411765</v>
      </c>
      <c r="I832" s="143">
        <f>'Analisis de operaciones'!J2751/'Analisis de operaciones'!J2755*$O832</f>
        <v>7.054411765</v>
      </c>
      <c r="J832" s="143">
        <f>'Analisis de operaciones'!K2751/'Analisis de operaciones'!K2755*$O832</f>
        <v>6.6625</v>
      </c>
      <c r="K832" s="143">
        <f>'Analisis de operaciones'!L2751/'Analisis de operaciones'!L2755*$O832</f>
        <v>5.878676471</v>
      </c>
      <c r="L832" s="143">
        <f>'Analisis de operaciones'!M2751/'Analisis de operaciones'!M2755*$O832</f>
        <v>5.486764706</v>
      </c>
      <c r="M832" s="143">
        <f>'Analisis de operaciones'!N2751/'Analisis de operaciones'!N2755*$O832</f>
        <v>6.270588235</v>
      </c>
      <c r="O832" s="144">
        <f>$B$43</f>
        <v>0.5</v>
      </c>
    </row>
    <row r="833" ht="15.75" hidden="1" customHeight="1" outlineLevel="1">
      <c r="A833" s="142" t="s">
        <v>96</v>
      </c>
      <c r="B833" s="143">
        <f>'Analisis de operaciones'!C2761/'Analisis de operaciones'!C2765*$O833</f>
        <v>5.2</v>
      </c>
      <c r="C833" s="143">
        <f>'Analisis de operaciones'!D2761/'Analisis de operaciones'!D2765*$O833</f>
        <v>4.588235294</v>
      </c>
      <c r="D833" s="143">
        <f>'Analisis de operaciones'!E2761/'Analisis de operaciones'!E2765*$O833</f>
        <v>5.505882353</v>
      </c>
      <c r="E833" s="143">
        <f>'Analisis de operaciones'!F2761/'Analisis de operaciones'!F2765*$O833</f>
        <v>5.505882353</v>
      </c>
      <c r="F833" s="143">
        <f>'Analisis de operaciones'!G2761/'Analisis de operaciones'!G2765*$O833</f>
        <v>5.505882353</v>
      </c>
      <c r="G833" s="143">
        <f>'Analisis de operaciones'!H2761/'Analisis de operaciones'!H2765*$O833</f>
        <v>4.894117647</v>
      </c>
      <c r="H833" s="143">
        <f>'Analisis de operaciones'!I2761/'Analisis de operaciones'!I2765*$O833</f>
        <v>5.505882353</v>
      </c>
      <c r="I833" s="143">
        <f>'Analisis de operaciones'!J2761/'Analisis de operaciones'!J2765*$O833</f>
        <v>5.505882353</v>
      </c>
      <c r="J833" s="143">
        <f>'Analisis de operaciones'!K2761/'Analisis de operaciones'!K2765*$O833</f>
        <v>5.2</v>
      </c>
      <c r="K833" s="143">
        <f>'Analisis de operaciones'!L2761/'Analisis de operaciones'!L2765*$O833</f>
        <v>4.588235294</v>
      </c>
      <c r="L833" s="143">
        <f>'Analisis de operaciones'!M2761/'Analisis de operaciones'!M2765*$O833</f>
        <v>4.282352941</v>
      </c>
      <c r="M833" s="143">
        <f>'Analisis de operaciones'!N2761/'Analisis de operaciones'!N2765*$O833</f>
        <v>4.894117647</v>
      </c>
      <c r="O833" s="144">
        <f>$B$44</f>
        <v>1</v>
      </c>
    </row>
    <row r="834" ht="15.75" hidden="1" customHeight="1" outlineLevel="1">
      <c r="A834" s="142" t="s">
        <v>97</v>
      </c>
      <c r="B834" s="143">
        <f>'Analisis de operaciones'!C2771/'Analisis de operaciones'!C2775*$O834</f>
        <v>35.1</v>
      </c>
      <c r="C834" s="143">
        <f>'Analisis de operaciones'!D2771/'Analisis de operaciones'!D2775*$O834</f>
        <v>30.97058824</v>
      </c>
      <c r="D834" s="143">
        <f>'Analisis de operaciones'!E2771/'Analisis de operaciones'!E2775*$O834</f>
        <v>37.16470588</v>
      </c>
      <c r="E834" s="143">
        <f>'Analisis de operaciones'!F2771/'Analisis de operaciones'!F2775*$O834</f>
        <v>37.16470588</v>
      </c>
      <c r="F834" s="143">
        <f>'Analisis de operaciones'!G2771/'Analisis de operaciones'!G2775*$O834</f>
        <v>37.16470588</v>
      </c>
      <c r="G834" s="143">
        <f>'Analisis de operaciones'!H2771/'Analisis de operaciones'!H2775*$O834</f>
        <v>33.03529412</v>
      </c>
      <c r="H834" s="143">
        <f>'Analisis de operaciones'!I2771/'Analisis de operaciones'!I2775*$O834</f>
        <v>37.16470588</v>
      </c>
      <c r="I834" s="143">
        <f>'Analisis de operaciones'!J2771/'Analisis de operaciones'!J2775*$O834</f>
        <v>37.16470588</v>
      </c>
      <c r="J834" s="143">
        <f>'Analisis de operaciones'!K2771/'Analisis de operaciones'!K2775*$O834</f>
        <v>35.1</v>
      </c>
      <c r="K834" s="143">
        <f>'Analisis de operaciones'!L2771/'Analisis de operaciones'!L2775*$O834</f>
        <v>30.97058824</v>
      </c>
      <c r="L834" s="143">
        <f>'Analisis de operaciones'!M2771/'Analisis de operaciones'!M2775*$O834</f>
        <v>28.90588235</v>
      </c>
      <c r="M834" s="143">
        <f>'Analisis de operaciones'!N2771/'Analisis de operaciones'!N2775*$O834</f>
        <v>33.03529412</v>
      </c>
      <c r="O834" s="144">
        <f>$B$45</f>
        <v>1</v>
      </c>
    </row>
    <row r="835" ht="15.75" hidden="1" customHeight="1" outlineLevel="1">
      <c r="A835" s="142" t="s">
        <v>311</v>
      </c>
      <c r="B835" s="143">
        <f>'Analisis de operaciones'!C3042/'Analisis de operaciones'!C3046*$O835</f>
        <v>51.29382221</v>
      </c>
      <c r="C835" s="143">
        <f>'Analisis de operaciones'!D3042/'Analisis de operaciones'!D3046*$O835</f>
        <v>41.16673292</v>
      </c>
      <c r="D835" s="143">
        <f>'Analisis de operaciones'!E3042/'Analisis de operaciones'!E3046*$O835</f>
        <v>43.93363944</v>
      </c>
      <c r="E835" s="143">
        <f>'Analisis de operaciones'!F3042/'Analisis de operaciones'!F3046*$O835</f>
        <v>43.93363944</v>
      </c>
      <c r="F835" s="143">
        <f>'Analisis de operaciones'!G3042/'Analisis de operaciones'!G3046*$O835</f>
        <v>41.44889396</v>
      </c>
      <c r="G835" s="143">
        <f>'Analisis de operaciones'!H3042/'Analisis de operaciones'!H3046*$O835</f>
        <v>38.77604112</v>
      </c>
      <c r="H835" s="143">
        <f>'Analisis de operaciones'!I3042/'Analisis de operaciones'!I3046*$O835</f>
        <v>41.44889396</v>
      </c>
      <c r="I835" s="143">
        <f>'Analisis de operaciones'!J3042/'Analisis de operaciones'!J3046*$O835</f>
        <v>41.44889396</v>
      </c>
      <c r="J835" s="143">
        <f>'Analisis de operaciones'!K3042/'Analisis de operaciones'!K3046*$O835</f>
        <v>41.35484028</v>
      </c>
      <c r="K835" s="143">
        <f>'Analisis de operaciones'!L3042/'Analisis de operaciones'!L3046*$O835</f>
        <v>38.68198744</v>
      </c>
      <c r="L835" s="143">
        <f>'Analisis de operaciones'!M3042/'Analisis de operaciones'!M3046*$O835</f>
        <v>36.10318827</v>
      </c>
      <c r="M835" s="143">
        <f>'Analisis de operaciones'!N3042/'Analisis de operaciones'!N3046*$O835</f>
        <v>56.1692595</v>
      </c>
      <c r="O835" s="144">
        <v>1.0</v>
      </c>
    </row>
    <row r="836" ht="15.75" hidden="1" customHeight="1" outlineLevel="1">
      <c r="A836" s="141" t="s">
        <v>534</v>
      </c>
    </row>
    <row r="837" ht="15.75" hidden="1" customHeight="1" outlineLevel="1">
      <c r="A837" s="142" t="s">
        <v>26</v>
      </c>
      <c r="B837" s="143">
        <f t="shared" ref="B837:M837" si="375">MAX(0,B806*B$786-$N806)</f>
        <v>66.43911765</v>
      </c>
      <c r="C837" s="143">
        <f t="shared" si="375"/>
        <v>0</v>
      </c>
      <c r="D837" s="143">
        <f t="shared" si="375"/>
        <v>0</v>
      </c>
      <c r="E837" s="143">
        <f t="shared" si="375"/>
        <v>0</v>
      </c>
      <c r="F837" s="143">
        <f t="shared" si="375"/>
        <v>0</v>
      </c>
      <c r="G837" s="143">
        <f t="shared" si="375"/>
        <v>0</v>
      </c>
      <c r="H837" s="143">
        <f t="shared" si="375"/>
        <v>0</v>
      </c>
      <c r="I837" s="143">
        <f t="shared" si="375"/>
        <v>0</v>
      </c>
      <c r="J837" s="143">
        <f t="shared" si="375"/>
        <v>0</v>
      </c>
      <c r="K837" s="143">
        <f t="shared" si="375"/>
        <v>0</v>
      </c>
      <c r="L837" s="143">
        <f t="shared" si="375"/>
        <v>0</v>
      </c>
      <c r="M837" s="143">
        <f t="shared" si="375"/>
        <v>0.5803725483</v>
      </c>
    </row>
    <row r="838" ht="15.75" hidden="1" customHeight="1" outlineLevel="1">
      <c r="A838" s="142" t="s">
        <v>55</v>
      </c>
      <c r="B838" s="143">
        <f t="shared" ref="B838:M838" si="376">MAX(0,B807*B$786-$N807)</f>
        <v>0</v>
      </c>
      <c r="C838" s="143">
        <f t="shared" si="376"/>
        <v>0</v>
      </c>
      <c r="D838" s="143">
        <f t="shared" si="376"/>
        <v>0</v>
      </c>
      <c r="E838" s="143">
        <f t="shared" si="376"/>
        <v>0</v>
      </c>
      <c r="F838" s="143">
        <f t="shared" si="376"/>
        <v>0</v>
      </c>
      <c r="G838" s="143">
        <f t="shared" si="376"/>
        <v>0</v>
      </c>
      <c r="H838" s="143">
        <f t="shared" si="376"/>
        <v>0</v>
      </c>
      <c r="I838" s="143">
        <f t="shared" si="376"/>
        <v>0</v>
      </c>
      <c r="J838" s="143">
        <f t="shared" si="376"/>
        <v>0</v>
      </c>
      <c r="K838" s="143">
        <f t="shared" si="376"/>
        <v>0</v>
      </c>
      <c r="L838" s="143">
        <f t="shared" si="376"/>
        <v>0</v>
      </c>
      <c r="M838" s="143">
        <f t="shared" si="376"/>
        <v>0</v>
      </c>
    </row>
    <row r="839" ht="15.75" hidden="1" customHeight="1" outlineLevel="1">
      <c r="A839" s="142" t="s">
        <v>61</v>
      </c>
      <c r="B839" s="143">
        <f t="shared" ref="B839:M839" si="377">MAX(0,B808*B$786-$N808)</f>
        <v>0</v>
      </c>
      <c r="C839" s="143">
        <f t="shared" si="377"/>
        <v>0</v>
      </c>
      <c r="D839" s="143">
        <f t="shared" si="377"/>
        <v>0</v>
      </c>
      <c r="E839" s="143">
        <f t="shared" si="377"/>
        <v>0</v>
      </c>
      <c r="F839" s="143">
        <f t="shared" si="377"/>
        <v>0</v>
      </c>
      <c r="G839" s="143">
        <f t="shared" si="377"/>
        <v>0</v>
      </c>
      <c r="H839" s="143">
        <f t="shared" si="377"/>
        <v>0</v>
      </c>
      <c r="I839" s="143">
        <f t="shared" si="377"/>
        <v>0</v>
      </c>
      <c r="J839" s="143">
        <f t="shared" si="377"/>
        <v>0</v>
      </c>
      <c r="K839" s="143">
        <f t="shared" si="377"/>
        <v>0</v>
      </c>
      <c r="L839" s="143">
        <f t="shared" si="377"/>
        <v>0</v>
      </c>
      <c r="M839" s="143">
        <f t="shared" si="377"/>
        <v>0</v>
      </c>
    </row>
    <row r="840" ht="15.75" hidden="1" customHeight="1" outlineLevel="1">
      <c r="A840" s="142" t="s">
        <v>62</v>
      </c>
      <c r="B840" s="143">
        <f t="shared" ref="B840:M840" si="378">MAX(0,B809*B$786-$N809)</f>
        <v>0</v>
      </c>
      <c r="C840" s="143">
        <f t="shared" si="378"/>
        <v>0</v>
      </c>
      <c r="D840" s="143">
        <f t="shared" si="378"/>
        <v>0</v>
      </c>
      <c r="E840" s="143">
        <f t="shared" si="378"/>
        <v>0</v>
      </c>
      <c r="F840" s="143">
        <f t="shared" si="378"/>
        <v>0</v>
      </c>
      <c r="G840" s="143">
        <f t="shared" si="378"/>
        <v>0</v>
      </c>
      <c r="H840" s="143">
        <f t="shared" si="378"/>
        <v>0</v>
      </c>
      <c r="I840" s="143">
        <f t="shared" si="378"/>
        <v>0</v>
      </c>
      <c r="J840" s="143">
        <f t="shared" si="378"/>
        <v>0</v>
      </c>
      <c r="K840" s="143">
        <f t="shared" si="378"/>
        <v>0</v>
      </c>
      <c r="L840" s="143">
        <f t="shared" si="378"/>
        <v>0</v>
      </c>
      <c r="M840" s="143">
        <f t="shared" si="378"/>
        <v>0</v>
      </c>
    </row>
    <row r="841" ht="15.75" hidden="1" customHeight="1" outlineLevel="1">
      <c r="A841" s="142" t="s">
        <v>63</v>
      </c>
      <c r="B841" s="143">
        <f t="shared" ref="B841:M841" si="379">MAX(0,B810*B$786-$N810)</f>
        <v>0</v>
      </c>
      <c r="C841" s="143">
        <f t="shared" si="379"/>
        <v>0</v>
      </c>
      <c r="D841" s="143">
        <f t="shared" si="379"/>
        <v>0</v>
      </c>
      <c r="E841" s="143">
        <f t="shared" si="379"/>
        <v>0</v>
      </c>
      <c r="F841" s="143">
        <f t="shared" si="379"/>
        <v>0</v>
      </c>
      <c r="G841" s="143">
        <f t="shared" si="379"/>
        <v>0</v>
      </c>
      <c r="H841" s="143">
        <f t="shared" si="379"/>
        <v>0</v>
      </c>
      <c r="I841" s="143">
        <f t="shared" si="379"/>
        <v>0</v>
      </c>
      <c r="J841" s="143">
        <f t="shared" si="379"/>
        <v>0</v>
      </c>
      <c r="K841" s="143">
        <f t="shared" si="379"/>
        <v>0</v>
      </c>
      <c r="L841" s="143">
        <f t="shared" si="379"/>
        <v>0</v>
      </c>
      <c r="M841" s="143">
        <f t="shared" si="379"/>
        <v>0</v>
      </c>
    </row>
    <row r="842" ht="15.75" hidden="1" customHeight="1" outlineLevel="1">
      <c r="A842" s="142" t="s">
        <v>64</v>
      </c>
      <c r="B842" s="143">
        <f t="shared" ref="B842:M842" si="380">MAX(0,B811*B$786-$N811)</f>
        <v>0</v>
      </c>
      <c r="C842" s="143">
        <f t="shared" si="380"/>
        <v>0</v>
      </c>
      <c r="D842" s="143">
        <f t="shared" si="380"/>
        <v>0</v>
      </c>
      <c r="E842" s="143">
        <f t="shared" si="380"/>
        <v>0</v>
      </c>
      <c r="F842" s="143">
        <f t="shared" si="380"/>
        <v>0</v>
      </c>
      <c r="G842" s="143">
        <f t="shared" si="380"/>
        <v>0</v>
      </c>
      <c r="H842" s="143">
        <f t="shared" si="380"/>
        <v>0</v>
      </c>
      <c r="I842" s="143">
        <f t="shared" si="380"/>
        <v>0</v>
      </c>
      <c r="J842" s="143">
        <f t="shared" si="380"/>
        <v>0</v>
      </c>
      <c r="K842" s="143">
        <f t="shared" si="380"/>
        <v>0</v>
      </c>
      <c r="L842" s="143">
        <f t="shared" si="380"/>
        <v>0</v>
      </c>
      <c r="M842" s="143">
        <f t="shared" si="380"/>
        <v>0</v>
      </c>
    </row>
    <row r="843" ht="15.75" hidden="1" customHeight="1" outlineLevel="1">
      <c r="A843" s="142" t="s">
        <v>66</v>
      </c>
      <c r="B843" s="143">
        <f t="shared" ref="B843:M843" si="381">MAX(0,B812*B$786-$N812)</f>
        <v>110.8061857</v>
      </c>
      <c r="C843" s="143">
        <f t="shared" si="381"/>
        <v>13.20050778</v>
      </c>
      <c r="D843" s="143">
        <f t="shared" si="381"/>
        <v>0</v>
      </c>
      <c r="E843" s="143">
        <f t="shared" si="381"/>
        <v>0</v>
      </c>
      <c r="F843" s="143">
        <f t="shared" si="381"/>
        <v>0</v>
      </c>
      <c r="G843" s="143">
        <f t="shared" si="381"/>
        <v>0</v>
      </c>
      <c r="H843" s="143">
        <f t="shared" si="381"/>
        <v>0</v>
      </c>
      <c r="I843" s="143">
        <f t="shared" si="381"/>
        <v>0</v>
      </c>
      <c r="J843" s="143">
        <f t="shared" si="381"/>
        <v>0</v>
      </c>
      <c r="K843" s="143">
        <f t="shared" si="381"/>
        <v>7.351600913</v>
      </c>
      <c r="L843" s="143">
        <f t="shared" si="381"/>
        <v>10.56401612</v>
      </c>
      <c r="M843" s="143">
        <f t="shared" si="381"/>
        <v>36.97351183</v>
      </c>
    </row>
    <row r="844" ht="15.75" hidden="1" customHeight="1" outlineLevel="1">
      <c r="A844" s="142" t="s">
        <v>67</v>
      </c>
      <c r="B844" s="143">
        <f t="shared" ref="B844:M844" si="382">MAX(0,B813*B$786-$N813)</f>
        <v>0</v>
      </c>
      <c r="C844" s="143">
        <f t="shared" si="382"/>
        <v>0</v>
      </c>
      <c r="D844" s="143">
        <f t="shared" si="382"/>
        <v>0</v>
      </c>
      <c r="E844" s="143">
        <f t="shared" si="382"/>
        <v>0</v>
      </c>
      <c r="F844" s="143">
        <f t="shared" si="382"/>
        <v>0</v>
      </c>
      <c r="G844" s="143">
        <f t="shared" si="382"/>
        <v>0</v>
      </c>
      <c r="H844" s="143">
        <f t="shared" si="382"/>
        <v>0</v>
      </c>
      <c r="I844" s="143">
        <f t="shared" si="382"/>
        <v>0</v>
      </c>
      <c r="J844" s="143">
        <f t="shared" si="382"/>
        <v>0</v>
      </c>
      <c r="K844" s="143">
        <f t="shared" si="382"/>
        <v>0</v>
      </c>
      <c r="L844" s="143">
        <f t="shared" si="382"/>
        <v>0</v>
      </c>
      <c r="M844" s="143">
        <f t="shared" si="382"/>
        <v>0</v>
      </c>
    </row>
    <row r="845" ht="15.75" hidden="1" customHeight="1" outlineLevel="1">
      <c r="A845" s="142" t="s">
        <v>68</v>
      </c>
      <c r="B845" s="143">
        <f t="shared" ref="B845:M845" si="383">MAX(0,B814*B$786-$N814)</f>
        <v>45.74739191</v>
      </c>
      <c r="C845" s="143">
        <f t="shared" si="383"/>
        <v>0</v>
      </c>
      <c r="D845" s="143">
        <f t="shared" si="383"/>
        <v>0</v>
      </c>
      <c r="E845" s="143">
        <f t="shared" si="383"/>
        <v>0</v>
      </c>
      <c r="F845" s="143">
        <f t="shared" si="383"/>
        <v>0</v>
      </c>
      <c r="G845" s="143">
        <f t="shared" si="383"/>
        <v>0</v>
      </c>
      <c r="H845" s="143">
        <f t="shared" si="383"/>
        <v>0</v>
      </c>
      <c r="I845" s="143">
        <f t="shared" si="383"/>
        <v>0</v>
      </c>
      <c r="J845" s="143">
        <f t="shared" si="383"/>
        <v>0</v>
      </c>
      <c r="K845" s="143">
        <f t="shared" si="383"/>
        <v>0</v>
      </c>
      <c r="L845" s="143">
        <f t="shared" si="383"/>
        <v>0</v>
      </c>
      <c r="M845" s="143">
        <f t="shared" si="383"/>
        <v>10.56643833</v>
      </c>
    </row>
    <row r="846" ht="15.75" hidden="1" customHeight="1" outlineLevel="1">
      <c r="A846" s="142" t="s">
        <v>70</v>
      </c>
      <c r="B846" s="143">
        <f t="shared" ref="B846:M846" si="384">MAX(0,B815*B$786-$N815)</f>
        <v>0</v>
      </c>
      <c r="C846" s="143">
        <f t="shared" si="384"/>
        <v>0</v>
      </c>
      <c r="D846" s="143">
        <f t="shared" si="384"/>
        <v>0</v>
      </c>
      <c r="E846" s="143">
        <f t="shared" si="384"/>
        <v>0</v>
      </c>
      <c r="F846" s="143">
        <f t="shared" si="384"/>
        <v>0</v>
      </c>
      <c r="G846" s="143">
        <f t="shared" si="384"/>
        <v>0</v>
      </c>
      <c r="H846" s="143">
        <f t="shared" si="384"/>
        <v>0</v>
      </c>
      <c r="I846" s="143">
        <f t="shared" si="384"/>
        <v>0</v>
      </c>
      <c r="J846" s="143">
        <f t="shared" si="384"/>
        <v>0</v>
      </c>
      <c r="K846" s="143">
        <f t="shared" si="384"/>
        <v>0</v>
      </c>
      <c r="L846" s="143">
        <f t="shared" si="384"/>
        <v>0</v>
      </c>
      <c r="M846" s="143">
        <f t="shared" si="384"/>
        <v>0</v>
      </c>
    </row>
    <row r="847" ht="15.75" hidden="1" customHeight="1" outlineLevel="1">
      <c r="A847" s="142" t="s">
        <v>72</v>
      </c>
      <c r="B847" s="143">
        <f t="shared" ref="B847:M847" si="385">MAX(0,B816*B$786-$N816)</f>
        <v>0</v>
      </c>
      <c r="C847" s="143">
        <f t="shared" si="385"/>
        <v>0</v>
      </c>
      <c r="D847" s="143">
        <f t="shared" si="385"/>
        <v>0</v>
      </c>
      <c r="E847" s="143">
        <f t="shared" si="385"/>
        <v>0</v>
      </c>
      <c r="F847" s="143">
        <f t="shared" si="385"/>
        <v>0</v>
      </c>
      <c r="G847" s="143">
        <f t="shared" si="385"/>
        <v>0</v>
      </c>
      <c r="H847" s="143">
        <f t="shared" si="385"/>
        <v>0</v>
      </c>
      <c r="I847" s="143">
        <f t="shared" si="385"/>
        <v>0</v>
      </c>
      <c r="J847" s="143">
        <f t="shared" si="385"/>
        <v>0</v>
      </c>
      <c r="K847" s="143">
        <f t="shared" si="385"/>
        <v>0</v>
      </c>
      <c r="L847" s="143">
        <f t="shared" si="385"/>
        <v>0</v>
      </c>
      <c r="M847" s="143">
        <f t="shared" si="385"/>
        <v>0</v>
      </c>
    </row>
    <row r="848" ht="15.75" hidden="1" customHeight="1" outlineLevel="1">
      <c r="A848" s="142" t="s">
        <v>74</v>
      </c>
      <c r="B848" s="143">
        <f t="shared" ref="B848:M848" si="386">MAX(0,B817*B$786-$N817)</f>
        <v>0</v>
      </c>
      <c r="C848" s="143">
        <f t="shared" si="386"/>
        <v>0</v>
      </c>
      <c r="D848" s="143">
        <f t="shared" si="386"/>
        <v>0</v>
      </c>
      <c r="E848" s="143">
        <f t="shared" si="386"/>
        <v>0</v>
      </c>
      <c r="F848" s="143">
        <f t="shared" si="386"/>
        <v>0</v>
      </c>
      <c r="G848" s="143">
        <f t="shared" si="386"/>
        <v>0</v>
      </c>
      <c r="H848" s="143">
        <f t="shared" si="386"/>
        <v>0</v>
      </c>
      <c r="I848" s="143">
        <f t="shared" si="386"/>
        <v>0</v>
      </c>
      <c r="J848" s="143">
        <f t="shared" si="386"/>
        <v>0</v>
      </c>
      <c r="K848" s="143">
        <f t="shared" si="386"/>
        <v>0</v>
      </c>
      <c r="L848" s="143">
        <f t="shared" si="386"/>
        <v>0</v>
      </c>
      <c r="M848" s="143">
        <f t="shared" si="386"/>
        <v>0</v>
      </c>
    </row>
    <row r="849" ht="15.75" hidden="1" customHeight="1" outlineLevel="1">
      <c r="A849" s="142" t="s">
        <v>76</v>
      </c>
      <c r="B849" s="143">
        <f t="shared" ref="B849:M849" si="387">MAX(0,B818*B$786-$N818)</f>
        <v>0</v>
      </c>
      <c r="C849" s="143">
        <f t="shared" si="387"/>
        <v>0</v>
      </c>
      <c r="D849" s="143">
        <f t="shared" si="387"/>
        <v>0</v>
      </c>
      <c r="E849" s="143">
        <f t="shared" si="387"/>
        <v>0</v>
      </c>
      <c r="F849" s="143">
        <f t="shared" si="387"/>
        <v>0</v>
      </c>
      <c r="G849" s="143">
        <f t="shared" si="387"/>
        <v>0</v>
      </c>
      <c r="H849" s="143">
        <f t="shared" si="387"/>
        <v>0</v>
      </c>
      <c r="I849" s="143">
        <f t="shared" si="387"/>
        <v>0</v>
      </c>
      <c r="J849" s="143">
        <f t="shared" si="387"/>
        <v>0</v>
      </c>
      <c r="K849" s="143">
        <f t="shared" si="387"/>
        <v>0</v>
      </c>
      <c r="L849" s="143">
        <f t="shared" si="387"/>
        <v>0</v>
      </c>
      <c r="M849" s="143">
        <f t="shared" si="387"/>
        <v>0</v>
      </c>
    </row>
    <row r="850" ht="15.75" hidden="1" customHeight="1" outlineLevel="1">
      <c r="A850" s="142" t="s">
        <v>77</v>
      </c>
      <c r="B850" s="143">
        <f t="shared" ref="B850:M850" si="388">MAX(0,B819*B$786-$N819)</f>
        <v>16.59447285</v>
      </c>
      <c r="C850" s="143">
        <f t="shared" si="388"/>
        <v>0</v>
      </c>
      <c r="D850" s="143">
        <f t="shared" si="388"/>
        <v>0</v>
      </c>
      <c r="E850" s="143">
        <f t="shared" si="388"/>
        <v>0</v>
      </c>
      <c r="F850" s="143">
        <f t="shared" si="388"/>
        <v>0</v>
      </c>
      <c r="G850" s="143">
        <f t="shared" si="388"/>
        <v>0</v>
      </c>
      <c r="H850" s="143">
        <f t="shared" si="388"/>
        <v>0</v>
      </c>
      <c r="I850" s="143">
        <f t="shared" si="388"/>
        <v>0</v>
      </c>
      <c r="J850" s="143">
        <f t="shared" si="388"/>
        <v>0</v>
      </c>
      <c r="K850" s="143">
        <f t="shared" si="388"/>
        <v>0</v>
      </c>
      <c r="L850" s="143">
        <f t="shared" si="388"/>
        <v>0</v>
      </c>
      <c r="M850" s="143">
        <f t="shared" si="388"/>
        <v>0.132537566</v>
      </c>
    </row>
    <row r="851" ht="15.75" hidden="1" customHeight="1" outlineLevel="1">
      <c r="A851" s="142" t="s">
        <v>79</v>
      </c>
      <c r="B851" s="143">
        <f t="shared" ref="B851:M851" si="389">MAX(0,B820*B$786-$N820)</f>
        <v>0</v>
      </c>
      <c r="C851" s="143">
        <f t="shared" si="389"/>
        <v>0</v>
      </c>
      <c r="D851" s="143">
        <f t="shared" si="389"/>
        <v>0</v>
      </c>
      <c r="E851" s="143">
        <f t="shared" si="389"/>
        <v>0</v>
      </c>
      <c r="F851" s="143">
        <f t="shared" si="389"/>
        <v>0</v>
      </c>
      <c r="G851" s="143">
        <f t="shared" si="389"/>
        <v>0</v>
      </c>
      <c r="H851" s="143">
        <f t="shared" si="389"/>
        <v>0</v>
      </c>
      <c r="I851" s="143">
        <f t="shared" si="389"/>
        <v>0</v>
      </c>
      <c r="J851" s="143">
        <f t="shared" si="389"/>
        <v>0</v>
      </c>
      <c r="K851" s="143">
        <f t="shared" si="389"/>
        <v>0</v>
      </c>
      <c r="L851" s="143">
        <f t="shared" si="389"/>
        <v>0</v>
      </c>
      <c r="M851" s="143">
        <f t="shared" si="389"/>
        <v>0</v>
      </c>
    </row>
    <row r="852" ht="15.75" hidden="1" customHeight="1" outlineLevel="1">
      <c r="A852" s="142" t="s">
        <v>81</v>
      </c>
      <c r="B852" s="143">
        <f t="shared" ref="B852:M852" si="390">MAX(0,B821*B$786-$N821)</f>
        <v>0</v>
      </c>
      <c r="C852" s="143">
        <f t="shared" si="390"/>
        <v>0</v>
      </c>
      <c r="D852" s="143">
        <f t="shared" si="390"/>
        <v>0</v>
      </c>
      <c r="E852" s="143">
        <f t="shared" si="390"/>
        <v>0</v>
      </c>
      <c r="F852" s="143">
        <f t="shared" si="390"/>
        <v>0</v>
      </c>
      <c r="G852" s="143">
        <f t="shared" si="390"/>
        <v>0</v>
      </c>
      <c r="H852" s="143">
        <f t="shared" si="390"/>
        <v>0</v>
      </c>
      <c r="I852" s="143">
        <f t="shared" si="390"/>
        <v>0</v>
      </c>
      <c r="J852" s="143">
        <f t="shared" si="390"/>
        <v>0</v>
      </c>
      <c r="K852" s="143">
        <f t="shared" si="390"/>
        <v>0</v>
      </c>
      <c r="L852" s="143">
        <f t="shared" si="390"/>
        <v>0</v>
      </c>
      <c r="M852" s="143">
        <f t="shared" si="390"/>
        <v>0</v>
      </c>
    </row>
    <row r="853" ht="15.75" hidden="1" customHeight="1" outlineLevel="1">
      <c r="A853" s="142" t="s">
        <v>82</v>
      </c>
      <c r="B853" s="143">
        <f t="shared" ref="B853:M853" si="391">MAX(0,B822*B$786-$N822)</f>
        <v>2.807777778</v>
      </c>
      <c r="C853" s="143">
        <f t="shared" si="391"/>
        <v>0</v>
      </c>
      <c r="D853" s="143">
        <f t="shared" si="391"/>
        <v>0</v>
      </c>
      <c r="E853" s="143">
        <f t="shared" si="391"/>
        <v>0</v>
      </c>
      <c r="F853" s="143">
        <f t="shared" si="391"/>
        <v>0</v>
      </c>
      <c r="G853" s="143">
        <f t="shared" si="391"/>
        <v>0</v>
      </c>
      <c r="H853" s="143">
        <f t="shared" si="391"/>
        <v>0</v>
      </c>
      <c r="I853" s="143">
        <f t="shared" si="391"/>
        <v>0</v>
      </c>
      <c r="J853" s="143">
        <f t="shared" si="391"/>
        <v>0</v>
      </c>
      <c r="K853" s="143">
        <f t="shared" si="391"/>
        <v>0</v>
      </c>
      <c r="L853" s="143">
        <f t="shared" si="391"/>
        <v>0</v>
      </c>
      <c r="M853" s="143">
        <f t="shared" si="391"/>
        <v>0</v>
      </c>
    </row>
    <row r="854" ht="15.75" hidden="1" customHeight="1" outlineLevel="1">
      <c r="A854" s="142" t="s">
        <v>83</v>
      </c>
      <c r="B854" s="143">
        <f t="shared" ref="B854:M854" si="392">MAX(0,B823*B$786-$N823)</f>
        <v>0</v>
      </c>
      <c r="C854" s="143">
        <f t="shared" si="392"/>
        <v>0</v>
      </c>
      <c r="D854" s="143">
        <f t="shared" si="392"/>
        <v>0</v>
      </c>
      <c r="E854" s="143">
        <f t="shared" si="392"/>
        <v>0</v>
      </c>
      <c r="F854" s="143">
        <f t="shared" si="392"/>
        <v>0</v>
      </c>
      <c r="G854" s="143">
        <f t="shared" si="392"/>
        <v>0</v>
      </c>
      <c r="H854" s="143">
        <f t="shared" si="392"/>
        <v>0</v>
      </c>
      <c r="I854" s="143">
        <f t="shared" si="392"/>
        <v>0</v>
      </c>
      <c r="J854" s="143">
        <f t="shared" si="392"/>
        <v>0</v>
      </c>
      <c r="K854" s="143">
        <f t="shared" si="392"/>
        <v>0</v>
      </c>
      <c r="L854" s="143">
        <f t="shared" si="392"/>
        <v>0</v>
      </c>
      <c r="M854" s="143">
        <f t="shared" si="392"/>
        <v>0</v>
      </c>
    </row>
    <row r="855" ht="15.75" hidden="1" customHeight="1" outlineLevel="1">
      <c r="A855" s="142" t="s">
        <v>84</v>
      </c>
      <c r="B855" s="143">
        <f t="shared" ref="B855:M855" si="393">MAX(0,B824*B$786-$N824)</f>
        <v>60.47004861</v>
      </c>
      <c r="C855" s="143">
        <f t="shared" si="393"/>
        <v>0</v>
      </c>
      <c r="D855" s="143">
        <f t="shared" si="393"/>
        <v>0</v>
      </c>
      <c r="E855" s="143">
        <f t="shared" si="393"/>
        <v>0</v>
      </c>
      <c r="F855" s="143">
        <f t="shared" si="393"/>
        <v>0</v>
      </c>
      <c r="G855" s="143">
        <f t="shared" si="393"/>
        <v>0</v>
      </c>
      <c r="H855" s="143">
        <f t="shared" si="393"/>
        <v>0</v>
      </c>
      <c r="I855" s="143">
        <f t="shared" si="393"/>
        <v>0</v>
      </c>
      <c r="J855" s="143">
        <f t="shared" si="393"/>
        <v>0</v>
      </c>
      <c r="K855" s="143">
        <f t="shared" si="393"/>
        <v>0</v>
      </c>
      <c r="L855" s="143">
        <f t="shared" si="393"/>
        <v>0</v>
      </c>
      <c r="M855" s="143">
        <f t="shared" si="393"/>
        <v>0</v>
      </c>
    </row>
    <row r="856" ht="15.75" hidden="1" customHeight="1" outlineLevel="1">
      <c r="A856" s="142" t="s">
        <v>85</v>
      </c>
      <c r="B856" s="143">
        <f t="shared" ref="B856:M856" si="394">MAX(0,B825*B$786-$N825)</f>
        <v>0</v>
      </c>
      <c r="C856" s="143">
        <f t="shared" si="394"/>
        <v>0</v>
      </c>
      <c r="D856" s="143">
        <f t="shared" si="394"/>
        <v>0</v>
      </c>
      <c r="E856" s="143">
        <f t="shared" si="394"/>
        <v>0</v>
      </c>
      <c r="F856" s="143">
        <f t="shared" si="394"/>
        <v>0</v>
      </c>
      <c r="G856" s="143">
        <f t="shared" si="394"/>
        <v>0</v>
      </c>
      <c r="H856" s="143">
        <f t="shared" si="394"/>
        <v>0</v>
      </c>
      <c r="I856" s="143">
        <f t="shared" si="394"/>
        <v>0</v>
      </c>
      <c r="J856" s="143">
        <f t="shared" si="394"/>
        <v>0</v>
      </c>
      <c r="K856" s="143">
        <f t="shared" si="394"/>
        <v>0</v>
      </c>
      <c r="L856" s="143">
        <f t="shared" si="394"/>
        <v>0</v>
      </c>
      <c r="M856" s="143">
        <f t="shared" si="394"/>
        <v>0</v>
      </c>
    </row>
    <row r="857" ht="15.75" customHeight="1"/>
    <row r="858" ht="15.75" customHeight="1"/>
    <row r="859" ht="15.75" customHeight="1">
      <c r="A859" s="45" t="s">
        <v>1064</v>
      </c>
      <c r="B859" s="69"/>
      <c r="C859" s="69"/>
      <c r="D859" s="69"/>
      <c r="E859" s="69"/>
      <c r="F859" s="69"/>
      <c r="G859" s="69"/>
      <c r="H859" s="69"/>
      <c r="I859" s="69"/>
      <c r="J859" s="69"/>
      <c r="K859" s="69"/>
      <c r="L859" s="69"/>
      <c r="M859" s="69"/>
      <c r="N859" s="69"/>
    </row>
    <row r="860" ht="15.75" customHeight="1">
      <c r="A860" s="73" t="s">
        <v>270</v>
      </c>
      <c r="B860" s="36">
        <f>'Resumen Capacidad'!J85</f>
        <v>2</v>
      </c>
    </row>
    <row r="861" ht="15.75" customHeight="1">
      <c r="A861" s="30" t="s">
        <v>333</v>
      </c>
      <c r="B861" s="84">
        <f>IF($B$5=1,MAX(MAX(B875:L875),M874),MAX(B875:M875))</f>
        <v>4162.642631</v>
      </c>
    </row>
    <row r="862" ht="15.75" customHeight="1">
      <c r="A862" s="73" t="s">
        <v>275</v>
      </c>
      <c r="B862" s="115">
        <f>MIN('Resumen Capacidad'!J$49+'Resumen Capacidad'!J$228+'Resumen Capacidad'!J$235,MAX($B$13,ROUNDUP(B861/$B$11,0)))</f>
        <v>26</v>
      </c>
      <c r="C862" s="22" t="s">
        <v>339</v>
      </c>
    </row>
    <row r="863" ht="15.75" customHeight="1">
      <c r="A863" s="73" t="s">
        <v>284</v>
      </c>
      <c r="B863" s="115">
        <f>IF(B860=2,ROUNDUP(MAX(B881:M881)/$B$11,0),0)</f>
        <v>4</v>
      </c>
      <c r="C863" s="22" t="s">
        <v>341</v>
      </c>
    </row>
    <row r="864" ht="15.75" customHeight="1">
      <c r="A864" s="73" t="s">
        <v>280</v>
      </c>
      <c r="B864" s="115">
        <f>IF(MAX(B891:M891)=0,0,MAX(Parametros!$B$73,ROUNDUP(MAX(B891:M891)/$B$11,0)))</f>
        <v>16</v>
      </c>
      <c r="C864" s="22" t="s">
        <v>345</v>
      </c>
    </row>
    <row r="865" ht="15.75" customHeight="1">
      <c r="A865" s="73" t="s">
        <v>286</v>
      </c>
      <c r="B865" s="115">
        <f>IF(B860=2,MAX(1,ROUNDUP(MAX(B885:M885)/$B$11,0)),0)</f>
        <v>2</v>
      </c>
      <c r="C865" s="22" t="s">
        <v>347</v>
      </c>
    </row>
    <row r="866" ht="15.75" customHeight="1"/>
    <row r="867" ht="15.75" customHeight="1">
      <c r="A867" s="29" t="s">
        <v>188</v>
      </c>
      <c r="B867" s="29" t="s">
        <v>109</v>
      </c>
      <c r="C867" s="29" t="s">
        <v>110</v>
      </c>
      <c r="D867" s="29" t="s">
        <v>111</v>
      </c>
      <c r="E867" s="29" t="s">
        <v>112</v>
      </c>
      <c r="F867" s="29" t="s">
        <v>113</v>
      </c>
      <c r="G867" s="29" t="s">
        <v>114</v>
      </c>
      <c r="H867" s="29" t="s">
        <v>115</v>
      </c>
      <c r="I867" s="29" t="s">
        <v>116</v>
      </c>
      <c r="J867" s="29" t="s">
        <v>117</v>
      </c>
      <c r="K867" s="29" t="s">
        <v>118</v>
      </c>
      <c r="L867" s="29" t="s">
        <v>119</v>
      </c>
      <c r="M867" s="29" t="s">
        <v>120</v>
      </c>
      <c r="N867" s="29" t="s">
        <v>348</v>
      </c>
    </row>
    <row r="868" ht="15.75" customHeight="1">
      <c r="A868" s="30" t="s">
        <v>349</v>
      </c>
      <c r="B868" s="64">
        <f>J$74*B$53</f>
        <v>0</v>
      </c>
      <c r="C868" s="64">
        <f>J$74*C$53</f>
        <v>326.25</v>
      </c>
      <c r="D868" s="64">
        <f>J$74*D$53</f>
        <v>435</v>
      </c>
      <c r="E868" s="64">
        <f>J$74*E$53</f>
        <v>435</v>
      </c>
      <c r="F868" s="64">
        <f>J$74*F$53</f>
        <v>0</v>
      </c>
      <c r="G868" s="64">
        <f>J$74*G$53</f>
        <v>0</v>
      </c>
      <c r="H868" s="64">
        <f>J$74*H$53</f>
        <v>543.75</v>
      </c>
      <c r="I868" s="64">
        <f>J$74*I$53</f>
        <v>0</v>
      </c>
      <c r="J868" s="64">
        <f>J$74*J$53</f>
        <v>0</v>
      </c>
      <c r="K868" s="64">
        <f>J$74*K$53</f>
        <v>217.5</v>
      </c>
      <c r="L868" s="64">
        <f>J$74*L$53</f>
        <v>217.5</v>
      </c>
      <c r="M868" s="64">
        <f>J$74*M$53</f>
        <v>0</v>
      </c>
      <c r="N868" s="84">
        <f t="shared" ref="N868:N891" si="395">MAX(B868:M868)</f>
        <v>543.75</v>
      </c>
    </row>
    <row r="869" ht="15.75" customHeight="1">
      <c r="A869" s="30" t="s">
        <v>359</v>
      </c>
      <c r="B869" s="64">
        <f>J$78*B$53</f>
        <v>0</v>
      </c>
      <c r="C869" s="64">
        <f>J$78*C$53</f>
        <v>45</v>
      </c>
      <c r="D869" s="64">
        <f>J$78*D$53</f>
        <v>60</v>
      </c>
      <c r="E869" s="64">
        <f>J$78*E$53</f>
        <v>60</v>
      </c>
      <c r="F869" s="64">
        <f>J$78*F$53</f>
        <v>0</v>
      </c>
      <c r="G869" s="64">
        <f>J$78*G$53</f>
        <v>0</v>
      </c>
      <c r="H869" s="64">
        <f>J$78*H$53</f>
        <v>75</v>
      </c>
      <c r="I869" s="64">
        <f>J$78*I$53</f>
        <v>0</v>
      </c>
      <c r="J869" s="64">
        <f>J$78*J$53</f>
        <v>0</v>
      </c>
      <c r="K869" s="64">
        <f>J$78*K$53</f>
        <v>30</v>
      </c>
      <c r="L869" s="64">
        <f>J$78*L$53</f>
        <v>30</v>
      </c>
      <c r="M869" s="64">
        <f>J$78*M$53</f>
        <v>0</v>
      </c>
      <c r="N869" s="84">
        <f t="shared" si="395"/>
        <v>75</v>
      </c>
    </row>
    <row r="870" ht="15.75" customHeight="1">
      <c r="A870" s="30" t="s">
        <v>375</v>
      </c>
      <c r="B870" s="64">
        <f>J$82*B$54</f>
        <v>0</v>
      </c>
      <c r="C870" s="64">
        <f>J$82*C$54</f>
        <v>213.75</v>
      </c>
      <c r="D870" s="64">
        <f>J$82*D$54</f>
        <v>213.75</v>
      </c>
      <c r="E870" s="64">
        <f>J$82*E$54</f>
        <v>213.75</v>
      </c>
      <c r="F870" s="64">
        <f>J$82*F$54</f>
        <v>0</v>
      </c>
      <c r="G870" s="64">
        <f>J$82*G$54</f>
        <v>0</v>
      </c>
      <c r="H870" s="64">
        <f>J$82*H$54</f>
        <v>356.25</v>
      </c>
      <c r="I870" s="64">
        <f>J$82*I$54</f>
        <v>0</v>
      </c>
      <c r="J870" s="64">
        <f>J$82*J$54</f>
        <v>0</v>
      </c>
      <c r="K870" s="64">
        <f>J$82*K$54</f>
        <v>213.75</v>
      </c>
      <c r="L870" s="64">
        <f>J$82*L$54</f>
        <v>213.75</v>
      </c>
      <c r="M870" s="64">
        <f>J$82*M$54</f>
        <v>0</v>
      </c>
      <c r="N870" s="84">
        <f t="shared" si="395"/>
        <v>356.25</v>
      </c>
    </row>
    <row r="871" ht="15.75" customHeight="1">
      <c r="A871" s="30" t="s">
        <v>380</v>
      </c>
      <c r="B871" s="64">
        <f>J$86*B$54</f>
        <v>0</v>
      </c>
      <c r="C871" s="64">
        <f>J$86*C$54</f>
        <v>22.5</v>
      </c>
      <c r="D871" s="64">
        <f>J$86*D$54</f>
        <v>22.5</v>
      </c>
      <c r="E871" s="64">
        <f>J$86*E$54</f>
        <v>22.5</v>
      </c>
      <c r="F871" s="64">
        <f>J$86*F$54</f>
        <v>0</v>
      </c>
      <c r="G871" s="64">
        <f>J$86*G$54</f>
        <v>0</v>
      </c>
      <c r="H871" s="64">
        <f>J$86*H$54</f>
        <v>37.5</v>
      </c>
      <c r="I871" s="64">
        <f>J$86*I$54</f>
        <v>0</v>
      </c>
      <c r="J871" s="64">
        <f>J$86*J$54</f>
        <v>0</v>
      </c>
      <c r="K871" s="64">
        <f>J$86*K$54</f>
        <v>22.5</v>
      </c>
      <c r="L871" s="64">
        <f>J$86*L$54</f>
        <v>22.5</v>
      </c>
      <c r="M871" s="64">
        <f>J$86*M$54</f>
        <v>0</v>
      </c>
      <c r="N871" s="84">
        <f t="shared" si="395"/>
        <v>37.5</v>
      </c>
    </row>
    <row r="872" ht="15.75" customHeight="1">
      <c r="A872" s="30" t="s">
        <v>382</v>
      </c>
      <c r="B872" s="64">
        <f>'Analisis de operaciones'!C1468</f>
        <v>28105.46</v>
      </c>
      <c r="C872" s="64">
        <f>'Analisis de operaciones'!D1468</f>
        <v>21432.01</v>
      </c>
      <c r="D872" s="64">
        <f>'Analisis de operaciones'!E1468</f>
        <v>20030.995</v>
      </c>
      <c r="E872" s="64">
        <f>'Analisis de operaciones'!F1468</f>
        <v>19154.03</v>
      </c>
      <c r="F872" s="64">
        <f>'Analisis de operaciones'!G1468</f>
        <v>17924.15</v>
      </c>
      <c r="G872" s="64">
        <f>'Analisis de operaciones'!H1468</f>
        <v>17571.235</v>
      </c>
      <c r="H872" s="64">
        <f>'Analisis de operaciones'!I1468</f>
        <v>18801.115</v>
      </c>
      <c r="I872" s="64">
        <f>'Analisis de operaciones'!J1468</f>
        <v>18801.115</v>
      </c>
      <c r="J872" s="64">
        <f>'Analisis de operaciones'!K1468</f>
        <v>18801.115</v>
      </c>
      <c r="K872" s="64">
        <f>'Analisis de operaciones'!L1468</f>
        <v>18448.2</v>
      </c>
      <c r="L872" s="64">
        <f>'Analisis de operaciones'!M1468</f>
        <v>18095.285</v>
      </c>
      <c r="M872" s="64">
        <f>'Analisis de operaciones'!N1468</f>
        <v>28811.29</v>
      </c>
      <c r="N872" s="84">
        <f t="shared" si="395"/>
        <v>28811.29</v>
      </c>
    </row>
    <row r="873" ht="15.75" customHeight="1">
      <c r="A873" s="30" t="s">
        <v>383</v>
      </c>
      <c r="B873" s="64">
        <f t="shared" ref="B873:M873" si="396">SUM(B899:B918)+B928</f>
        <v>3957.162319</v>
      </c>
      <c r="C873" s="64">
        <f t="shared" si="396"/>
        <v>3038.334657</v>
      </c>
      <c r="D873" s="64">
        <f t="shared" si="396"/>
        <v>2892.79254</v>
      </c>
      <c r="E873" s="64">
        <f t="shared" si="396"/>
        <v>2783.918515</v>
      </c>
      <c r="F873" s="64">
        <f t="shared" si="396"/>
        <v>2609.810624</v>
      </c>
      <c r="G873" s="64">
        <f t="shared" si="396"/>
        <v>2539.928712</v>
      </c>
      <c r="H873" s="64">
        <f t="shared" si="396"/>
        <v>2718.68465</v>
      </c>
      <c r="I873" s="64">
        <f t="shared" si="396"/>
        <v>2718.68465</v>
      </c>
      <c r="J873" s="64">
        <f t="shared" si="396"/>
        <v>2716.360626</v>
      </c>
      <c r="K873" s="64">
        <f t="shared" si="396"/>
        <v>2646.478714</v>
      </c>
      <c r="L873" s="64">
        <f t="shared" si="396"/>
        <v>2578.920826</v>
      </c>
      <c r="M873" s="64">
        <f t="shared" si="396"/>
        <v>4085.306026</v>
      </c>
      <c r="N873" s="84">
        <f t="shared" si="395"/>
        <v>4085.306026</v>
      </c>
    </row>
    <row r="874" ht="15.75" customHeight="1">
      <c r="A874" s="30" t="s">
        <v>385</v>
      </c>
      <c r="B874" s="64">
        <f t="shared" ref="B874:M874" si="397">SUM(B920:B927)</f>
        <v>205.4803125</v>
      </c>
      <c r="C874" s="64">
        <f t="shared" si="397"/>
        <v>181.3061581</v>
      </c>
      <c r="D874" s="64">
        <f t="shared" si="397"/>
        <v>217.5673897</v>
      </c>
      <c r="E874" s="64">
        <f t="shared" si="397"/>
        <v>217.5673897</v>
      </c>
      <c r="F874" s="64">
        <f t="shared" si="397"/>
        <v>217.5673897</v>
      </c>
      <c r="G874" s="64">
        <f t="shared" si="397"/>
        <v>193.3932353</v>
      </c>
      <c r="H874" s="64">
        <f t="shared" si="397"/>
        <v>217.5673897</v>
      </c>
      <c r="I874" s="64">
        <f t="shared" si="397"/>
        <v>217.5673897</v>
      </c>
      <c r="J874" s="64">
        <f t="shared" si="397"/>
        <v>205.4803125</v>
      </c>
      <c r="K874" s="64">
        <f t="shared" si="397"/>
        <v>181.3061581</v>
      </c>
      <c r="L874" s="64">
        <f t="shared" si="397"/>
        <v>169.2190809</v>
      </c>
      <c r="M874" s="64">
        <f t="shared" si="397"/>
        <v>193.3932353</v>
      </c>
      <c r="N874" s="84">
        <f t="shared" si="395"/>
        <v>217.5673897</v>
      </c>
    </row>
    <row r="875" ht="15.75" customHeight="1">
      <c r="A875" s="73" t="s">
        <v>386</v>
      </c>
      <c r="B875" s="84">
        <f t="shared" ref="B875:M875" si="398">B873+B874</f>
        <v>4162.642631</v>
      </c>
      <c r="C875" s="84">
        <f t="shared" si="398"/>
        <v>3219.640815</v>
      </c>
      <c r="D875" s="84">
        <f t="shared" si="398"/>
        <v>3110.35993</v>
      </c>
      <c r="E875" s="84">
        <f t="shared" si="398"/>
        <v>3001.485904</v>
      </c>
      <c r="F875" s="84">
        <f t="shared" si="398"/>
        <v>2827.378013</v>
      </c>
      <c r="G875" s="84">
        <f t="shared" si="398"/>
        <v>2733.321947</v>
      </c>
      <c r="H875" s="84">
        <f t="shared" si="398"/>
        <v>2936.252039</v>
      </c>
      <c r="I875" s="84">
        <f t="shared" si="398"/>
        <v>2936.252039</v>
      </c>
      <c r="J875" s="84">
        <f t="shared" si="398"/>
        <v>2921.840939</v>
      </c>
      <c r="K875" s="84">
        <f t="shared" si="398"/>
        <v>2827.784872</v>
      </c>
      <c r="L875" s="84">
        <f t="shared" si="398"/>
        <v>2748.139907</v>
      </c>
      <c r="M875" s="84">
        <f t="shared" si="398"/>
        <v>4278.699261</v>
      </c>
      <c r="N875" s="84">
        <f t="shared" si="395"/>
        <v>4278.699261</v>
      </c>
    </row>
    <row r="876" ht="15.75" customHeight="1">
      <c r="A876" s="30" t="s">
        <v>388</v>
      </c>
      <c r="B876" s="64">
        <f t="shared" ref="B876:M876" si="399">$B$862*$B$9-B868</f>
        <v>3404.7</v>
      </c>
      <c r="C876" s="64">
        <f t="shared" si="399"/>
        <v>3078.45</v>
      </c>
      <c r="D876" s="64">
        <f t="shared" si="399"/>
        <v>2969.7</v>
      </c>
      <c r="E876" s="64">
        <f t="shared" si="399"/>
        <v>2969.7</v>
      </c>
      <c r="F876" s="64">
        <f t="shared" si="399"/>
        <v>3404.7</v>
      </c>
      <c r="G876" s="64">
        <f t="shared" si="399"/>
        <v>3404.7</v>
      </c>
      <c r="H876" s="64">
        <f t="shared" si="399"/>
        <v>2860.95</v>
      </c>
      <c r="I876" s="64">
        <f t="shared" si="399"/>
        <v>3404.7</v>
      </c>
      <c r="J876" s="64">
        <f t="shared" si="399"/>
        <v>3404.7</v>
      </c>
      <c r="K876" s="64">
        <f t="shared" si="399"/>
        <v>3187.2</v>
      </c>
      <c r="L876" s="64">
        <f t="shared" si="399"/>
        <v>3187.2</v>
      </c>
      <c r="M876" s="64">
        <f t="shared" si="399"/>
        <v>3404.7</v>
      </c>
      <c r="N876" s="84">
        <f t="shared" si="395"/>
        <v>3404.7</v>
      </c>
    </row>
    <row r="877" ht="15.75" customHeight="1">
      <c r="A877" s="30" t="s">
        <v>389</v>
      </c>
      <c r="B877" s="64">
        <f t="shared" ref="B877:M877" si="400">IF(B873=0,0,MAX(0,B876-B875)*B872/B873)</f>
        <v>0</v>
      </c>
      <c r="C877" s="64">
        <f t="shared" si="400"/>
        <v>0</v>
      </c>
      <c r="D877" s="64">
        <f t="shared" si="400"/>
        <v>0</v>
      </c>
      <c r="E877" s="64">
        <f t="shared" si="400"/>
        <v>0</v>
      </c>
      <c r="F877" s="64">
        <f t="shared" si="400"/>
        <v>3965.040908</v>
      </c>
      <c r="G877" s="64">
        <f t="shared" si="400"/>
        <v>4644.595529</v>
      </c>
      <c r="H877" s="64">
        <f t="shared" si="400"/>
        <v>0</v>
      </c>
      <c r="I877" s="64">
        <f t="shared" si="400"/>
        <v>3239.560713</v>
      </c>
      <c r="J877" s="64">
        <f t="shared" si="400"/>
        <v>3342.077872</v>
      </c>
      <c r="K877" s="64">
        <f t="shared" si="400"/>
        <v>2505.428108</v>
      </c>
      <c r="L877" s="64">
        <f t="shared" si="400"/>
        <v>3080.71401</v>
      </c>
      <c r="M877" s="64">
        <f t="shared" si="400"/>
        <v>0</v>
      </c>
      <c r="N877" s="84">
        <f t="shared" si="395"/>
        <v>4644.595529</v>
      </c>
    </row>
    <row r="878" ht="15.75" customHeight="1">
      <c r="A878" s="73" t="s">
        <v>390</v>
      </c>
      <c r="B878" s="84">
        <f t="shared" ref="B878:J878" si="401">0</f>
        <v>0</v>
      </c>
      <c r="C878" s="84">
        <f t="shared" si="401"/>
        <v>0</v>
      </c>
      <c r="D878" s="84">
        <f t="shared" si="401"/>
        <v>0</v>
      </c>
      <c r="E878" s="84">
        <f t="shared" si="401"/>
        <v>0</v>
      </c>
      <c r="F878" s="84">
        <f t="shared" si="401"/>
        <v>0</v>
      </c>
      <c r="G878" s="84">
        <f t="shared" si="401"/>
        <v>0</v>
      </c>
      <c r="H878" s="84">
        <f t="shared" si="401"/>
        <v>0</v>
      </c>
      <c r="I878" s="84">
        <f t="shared" si="401"/>
        <v>0</v>
      </c>
      <c r="J878" s="84">
        <f t="shared" si="401"/>
        <v>0</v>
      </c>
      <c r="K878" s="140">
        <f>$B$5*MIN(K877,M872)</f>
        <v>2505.428108</v>
      </c>
      <c r="L878" s="140">
        <f>$B$5*MIN(L877,M872-K878)</f>
        <v>3080.71401</v>
      </c>
      <c r="M878" s="140">
        <f>-(K878+L878)</f>
        <v>-5586.142118</v>
      </c>
      <c r="N878" s="84">
        <f t="shared" si="395"/>
        <v>3080.71401</v>
      </c>
    </row>
    <row r="879" ht="15.75" customHeight="1">
      <c r="A879" s="30" t="s">
        <v>391</v>
      </c>
      <c r="B879" s="133">
        <f t="shared" ref="B879:M879" si="402">IF(B872=0,1,(B872+B878)/B872)</f>
        <v>1</v>
      </c>
      <c r="C879" s="133">
        <f t="shared" si="402"/>
        <v>1</v>
      </c>
      <c r="D879" s="133">
        <f t="shared" si="402"/>
        <v>1</v>
      </c>
      <c r="E879" s="133">
        <f t="shared" si="402"/>
        <v>1</v>
      </c>
      <c r="F879" s="133">
        <f t="shared" si="402"/>
        <v>1</v>
      </c>
      <c r="G879" s="133">
        <f t="shared" si="402"/>
        <v>1</v>
      </c>
      <c r="H879" s="133">
        <f t="shared" si="402"/>
        <v>1</v>
      </c>
      <c r="I879" s="133">
        <f t="shared" si="402"/>
        <v>1</v>
      </c>
      <c r="J879" s="133">
        <f t="shared" si="402"/>
        <v>1</v>
      </c>
      <c r="K879" s="133">
        <f t="shared" si="402"/>
        <v>1.135808811</v>
      </c>
      <c r="L879" s="133">
        <f t="shared" si="402"/>
        <v>1.170249543</v>
      </c>
      <c r="M879" s="133">
        <f t="shared" si="402"/>
        <v>0.8061127385</v>
      </c>
      <c r="N879" s="40">
        <f t="shared" si="395"/>
        <v>1.170249543</v>
      </c>
    </row>
    <row r="880" ht="15.75" customHeight="1">
      <c r="A880" s="73" t="s">
        <v>392</v>
      </c>
      <c r="B880" s="84">
        <f t="shared" ref="B880:M880" si="403">B873*B879+B874</f>
        <v>4162.642631</v>
      </c>
      <c r="C880" s="84">
        <f t="shared" si="403"/>
        <v>3219.640815</v>
      </c>
      <c r="D880" s="84">
        <f t="shared" si="403"/>
        <v>3110.35993</v>
      </c>
      <c r="E880" s="84">
        <f t="shared" si="403"/>
        <v>3001.485904</v>
      </c>
      <c r="F880" s="84">
        <f t="shared" si="403"/>
        <v>2827.378013</v>
      </c>
      <c r="G880" s="84">
        <f t="shared" si="403"/>
        <v>2733.321947</v>
      </c>
      <c r="H880" s="84">
        <f t="shared" si="403"/>
        <v>2936.252039</v>
      </c>
      <c r="I880" s="84">
        <f t="shared" si="403"/>
        <v>2936.252039</v>
      </c>
      <c r="J880" s="84">
        <f t="shared" si="403"/>
        <v>2921.840939</v>
      </c>
      <c r="K880" s="84">
        <f t="shared" si="403"/>
        <v>3187.2</v>
      </c>
      <c r="L880" s="84">
        <f t="shared" si="403"/>
        <v>3187.2</v>
      </c>
      <c r="M880" s="84">
        <f t="shared" si="403"/>
        <v>3486.610463</v>
      </c>
      <c r="N880" s="84">
        <f t="shared" si="395"/>
        <v>4162.642631</v>
      </c>
    </row>
    <row r="881" ht="15.75" customHeight="1">
      <c r="A881" s="30" t="s">
        <v>393</v>
      </c>
      <c r="B881" s="64">
        <f t="shared" ref="B881:M881" si="404">IF($B$860=2,MAX(SUM(B930:B949),B880-($B$862*$B$11-B868)),0)</f>
        <v>554.9433186</v>
      </c>
      <c r="C881" s="64">
        <f t="shared" si="404"/>
        <v>90.65819989</v>
      </c>
      <c r="D881" s="64">
        <f t="shared" si="404"/>
        <v>37.59691564</v>
      </c>
      <c r="E881" s="64">
        <f t="shared" si="404"/>
        <v>16.24972699</v>
      </c>
      <c r="F881" s="64">
        <f t="shared" si="404"/>
        <v>0</v>
      </c>
      <c r="G881" s="64">
        <f t="shared" si="404"/>
        <v>0</v>
      </c>
      <c r="H881" s="64">
        <f t="shared" si="404"/>
        <v>9.962987998</v>
      </c>
      <c r="I881" s="64">
        <f t="shared" si="404"/>
        <v>9.962987998</v>
      </c>
      <c r="J881" s="64">
        <f t="shared" si="404"/>
        <v>9.962987998</v>
      </c>
      <c r="K881" s="64">
        <f t="shared" si="404"/>
        <v>70.21987877</v>
      </c>
      <c r="L881" s="64">
        <f t="shared" si="404"/>
        <v>79.72042215</v>
      </c>
      <c r="M881" s="64">
        <f t="shared" si="404"/>
        <v>193.0609322</v>
      </c>
      <c r="N881" s="84">
        <f t="shared" si="395"/>
        <v>554.9433186</v>
      </c>
    </row>
    <row r="882" ht="15.75" customHeight="1">
      <c r="A882" s="30" t="s">
        <v>394</v>
      </c>
      <c r="B882" s="64">
        <f t="shared" ref="B882:M882" si="405">MAX(0,B876-(B880-B881))</f>
        <v>0</v>
      </c>
      <c r="C882" s="64">
        <f t="shared" si="405"/>
        <v>0</v>
      </c>
      <c r="D882" s="64">
        <f t="shared" si="405"/>
        <v>0</v>
      </c>
      <c r="E882" s="64">
        <f t="shared" si="405"/>
        <v>0</v>
      </c>
      <c r="F882" s="64">
        <f t="shared" si="405"/>
        <v>577.3219866</v>
      </c>
      <c r="G882" s="64">
        <f t="shared" si="405"/>
        <v>671.3780528</v>
      </c>
      <c r="H882" s="64">
        <f t="shared" si="405"/>
        <v>0</v>
      </c>
      <c r="I882" s="64">
        <f t="shared" si="405"/>
        <v>478.4109488</v>
      </c>
      <c r="J882" s="64">
        <f t="shared" si="405"/>
        <v>492.8220493</v>
      </c>
      <c r="K882" s="64">
        <f t="shared" si="405"/>
        <v>70.21987877</v>
      </c>
      <c r="L882" s="64">
        <f t="shared" si="405"/>
        <v>79.72042215</v>
      </c>
      <c r="M882" s="64">
        <f t="shared" si="405"/>
        <v>111.1504688</v>
      </c>
      <c r="N882" s="84">
        <f t="shared" si="395"/>
        <v>671.3780528</v>
      </c>
    </row>
    <row r="883" ht="15.75" customHeight="1">
      <c r="A883" s="73" t="s">
        <v>395</v>
      </c>
      <c r="B883" s="84">
        <f>'Analisis Recargas'!C497</f>
        <v>2668.671295</v>
      </c>
      <c r="C883" s="84">
        <f>'Analisis Recargas'!D497</f>
        <v>2204.859088</v>
      </c>
      <c r="D883" s="84">
        <f>'Analisis Recargas'!E497</f>
        <v>2272.404898</v>
      </c>
      <c r="E883" s="84">
        <f>'Analisis Recargas'!F497</f>
        <v>2210.688774</v>
      </c>
      <c r="F883" s="84">
        <f>'Analisis Recargas'!G497</f>
        <v>2143.142964</v>
      </c>
      <c r="G883" s="84">
        <f>'Analisis Recargas'!H497</f>
        <v>2075.597154</v>
      </c>
      <c r="H883" s="84">
        <f>'Analisis Recargas'!I497</f>
        <v>2216.51846</v>
      </c>
      <c r="I883" s="84">
        <f>'Analisis Recargas'!J497</f>
        <v>2266.575212</v>
      </c>
      <c r="J883" s="84">
        <f>'Analisis Recargas'!K497</f>
        <v>2266.575212</v>
      </c>
      <c r="K883" s="84">
        <f>'Analisis Recargas'!L497</f>
        <v>2204.859088</v>
      </c>
      <c r="L883" s="84">
        <f>'Analisis Recargas'!M497</f>
        <v>2199.029402</v>
      </c>
      <c r="M883" s="84">
        <f>'Analisis Recargas'!N497</f>
        <v>3192.113888</v>
      </c>
      <c r="N883" s="84">
        <f t="shared" si="395"/>
        <v>3192.113888</v>
      </c>
    </row>
    <row r="884" ht="15.75" customHeight="1">
      <c r="A884" s="30" t="s">
        <v>396</v>
      </c>
      <c r="B884" s="64">
        <f>IFERROR(B883*'Analisis Recargas'!C446*'Almacen PT'!$B$10/SUM('Analisis Recargas'!C446:C462),0)</f>
        <v>432.0221266</v>
      </c>
      <c r="C884" s="64">
        <f>IFERROR(C883*'Analisis Recargas'!D446*'Almacen PT'!$B$10/SUM('Analisis Recargas'!D446:D462),0)</f>
        <v>336.8554297</v>
      </c>
      <c r="D884" s="64">
        <f>IFERROR(D883*'Analisis Recargas'!E446*'Almacen PT'!$B$10/SUM('Analisis Recargas'!E446:E462),0)</f>
        <v>336.8436202</v>
      </c>
      <c r="E884" s="64">
        <f>IFERROR(E883*'Analisis Recargas'!F446*'Almacen PT'!$B$10/SUM('Analisis Recargas'!F446:F462),0)</f>
        <v>336.913695</v>
      </c>
      <c r="F884" s="64">
        <f>IFERROR(F883*'Analisis Recargas'!G446*'Almacen PT'!$B$10/SUM('Analisis Recargas'!G446:G462),0)</f>
        <v>336.9280587</v>
      </c>
      <c r="G884" s="64">
        <f>IFERROR(G883*'Analisis Recargas'!H446*'Almacen PT'!$B$10/SUM('Analisis Recargas'!H446:H462),0)</f>
        <v>336.9433587</v>
      </c>
      <c r="H884" s="64">
        <f>IFERROR(H883*'Analisis Recargas'!I446*'Almacen PT'!$B$10/SUM('Analisis Recargas'!I446:I462),0)</f>
        <v>336.9716738</v>
      </c>
      <c r="I884" s="64">
        <f>IFERROR(I883*'Analisis Recargas'!J446*'Almacen PT'!$B$10/SUM('Analisis Recargas'!J446:J462),0)</f>
        <v>336.7867846</v>
      </c>
      <c r="J884" s="64">
        <f>IFERROR(J883*'Analisis Recargas'!K446*'Almacen PT'!$B$10/SUM('Analisis Recargas'!K446:K462),0)</f>
        <v>336.7867846</v>
      </c>
      <c r="K884" s="64">
        <f>IFERROR(K883*'Analisis Recargas'!L446*'Almacen PT'!$B$10/SUM('Analisis Recargas'!L446:L462),0)</f>
        <v>336.8554297</v>
      </c>
      <c r="L884" s="64">
        <f>IFERROR(L883*'Analisis Recargas'!M446*'Almacen PT'!$B$10/SUM('Analisis Recargas'!M446:M462),0)</f>
        <v>336.7968757</v>
      </c>
      <c r="M884" s="64">
        <f>IFERROR(M883*'Analisis Recargas'!N446*'Almacen PT'!$B$10/SUM('Analisis Recargas'!N446:N462),0)</f>
        <v>518.0247652</v>
      </c>
      <c r="N884" s="84">
        <f t="shared" si="395"/>
        <v>518.0247652</v>
      </c>
    </row>
    <row r="885" ht="15.75" customHeight="1">
      <c r="A885" s="30" t="s">
        <v>397</v>
      </c>
      <c r="B885" s="64">
        <f t="shared" ref="B885:M885" si="406">IF($B$860=2,B884*$B$15,0)</f>
        <v>172.8088506</v>
      </c>
      <c r="C885" s="64">
        <f t="shared" si="406"/>
        <v>134.7421719</v>
      </c>
      <c r="D885" s="64">
        <f t="shared" si="406"/>
        <v>134.7374481</v>
      </c>
      <c r="E885" s="64">
        <f t="shared" si="406"/>
        <v>134.765478</v>
      </c>
      <c r="F885" s="64">
        <f t="shared" si="406"/>
        <v>134.7712235</v>
      </c>
      <c r="G885" s="64">
        <f t="shared" si="406"/>
        <v>134.7773435</v>
      </c>
      <c r="H885" s="64">
        <f t="shared" si="406"/>
        <v>134.7886695</v>
      </c>
      <c r="I885" s="64">
        <f t="shared" si="406"/>
        <v>134.7147138</v>
      </c>
      <c r="J885" s="64">
        <f t="shared" si="406"/>
        <v>134.7147138</v>
      </c>
      <c r="K885" s="64">
        <f t="shared" si="406"/>
        <v>134.7421719</v>
      </c>
      <c r="L885" s="64">
        <f t="shared" si="406"/>
        <v>134.7187503</v>
      </c>
      <c r="M885" s="64">
        <f t="shared" si="406"/>
        <v>207.2099061</v>
      </c>
      <c r="N885" s="84">
        <f t="shared" si="395"/>
        <v>207.2099061</v>
      </c>
    </row>
    <row r="886" ht="15.75" customHeight="1">
      <c r="A886" s="30" t="s">
        <v>399</v>
      </c>
      <c r="B886" s="64">
        <f t="shared" ref="B886:M886" si="407">MAX(0,B883-B885-$B$6*B882)</f>
        <v>2495.862444</v>
      </c>
      <c r="C886" s="64">
        <f t="shared" si="407"/>
        <v>2070.116916</v>
      </c>
      <c r="D886" s="64">
        <f t="shared" si="407"/>
        <v>2137.66745</v>
      </c>
      <c r="E886" s="64">
        <f t="shared" si="407"/>
        <v>2075.923296</v>
      </c>
      <c r="F886" s="64">
        <f t="shared" si="407"/>
        <v>1488.781952</v>
      </c>
      <c r="G886" s="64">
        <f t="shared" si="407"/>
        <v>1336.579563</v>
      </c>
      <c r="H886" s="64">
        <f t="shared" si="407"/>
        <v>2081.72979</v>
      </c>
      <c r="I886" s="64">
        <f t="shared" si="407"/>
        <v>1701.290644</v>
      </c>
      <c r="J886" s="64">
        <f t="shared" si="407"/>
        <v>1688.320654</v>
      </c>
      <c r="K886" s="64">
        <f t="shared" si="407"/>
        <v>2006.919025</v>
      </c>
      <c r="L886" s="64">
        <f t="shared" si="407"/>
        <v>1992.562272</v>
      </c>
      <c r="M886" s="64">
        <f t="shared" si="407"/>
        <v>2884.86856</v>
      </c>
      <c r="N886" s="84">
        <f t="shared" si="395"/>
        <v>2884.86856</v>
      </c>
    </row>
    <row r="887" ht="15.75" customHeight="1">
      <c r="A887" s="30" t="s">
        <v>400</v>
      </c>
      <c r="B887" s="64">
        <f t="shared" ref="B887:M887" si="408">MAX(0,$B$865*$B$9-B871-B885)</f>
        <v>89.09114935</v>
      </c>
      <c r="C887" s="64">
        <f t="shared" si="408"/>
        <v>104.6578281</v>
      </c>
      <c r="D887" s="64">
        <f t="shared" si="408"/>
        <v>104.6625519</v>
      </c>
      <c r="E887" s="64">
        <f t="shared" si="408"/>
        <v>104.634522</v>
      </c>
      <c r="F887" s="64">
        <f t="shared" si="408"/>
        <v>127.1287765</v>
      </c>
      <c r="G887" s="64">
        <f t="shared" si="408"/>
        <v>127.1226565</v>
      </c>
      <c r="H887" s="64">
        <f t="shared" si="408"/>
        <v>89.61133048</v>
      </c>
      <c r="I887" s="64">
        <f t="shared" si="408"/>
        <v>127.1852862</v>
      </c>
      <c r="J887" s="64">
        <f t="shared" si="408"/>
        <v>127.1852862</v>
      </c>
      <c r="K887" s="64">
        <f t="shared" si="408"/>
        <v>104.6578281</v>
      </c>
      <c r="L887" s="64">
        <f t="shared" si="408"/>
        <v>104.6812497</v>
      </c>
      <c r="M887" s="64">
        <f t="shared" si="408"/>
        <v>54.6900939</v>
      </c>
      <c r="N887" s="84">
        <f t="shared" si="395"/>
        <v>127.1852862</v>
      </c>
    </row>
    <row r="888" ht="15.75" customHeight="1">
      <c r="A888" s="30" t="s">
        <v>401</v>
      </c>
      <c r="B888" s="64">
        <f t="shared" ref="B888:M888" si="409">MIN(B886,B887)</f>
        <v>89.09114935</v>
      </c>
      <c r="C888" s="64">
        <f t="shared" si="409"/>
        <v>104.6578281</v>
      </c>
      <c r="D888" s="64">
        <f t="shared" si="409"/>
        <v>104.6625519</v>
      </c>
      <c r="E888" s="64">
        <f t="shared" si="409"/>
        <v>104.634522</v>
      </c>
      <c r="F888" s="64">
        <f t="shared" si="409"/>
        <v>127.1287765</v>
      </c>
      <c r="G888" s="64">
        <f t="shared" si="409"/>
        <v>127.1226565</v>
      </c>
      <c r="H888" s="64">
        <f t="shared" si="409"/>
        <v>89.61133048</v>
      </c>
      <c r="I888" s="64">
        <f t="shared" si="409"/>
        <v>127.1852862</v>
      </c>
      <c r="J888" s="64">
        <f t="shared" si="409"/>
        <v>127.1852862</v>
      </c>
      <c r="K888" s="64">
        <f t="shared" si="409"/>
        <v>104.6578281</v>
      </c>
      <c r="L888" s="64">
        <f t="shared" si="409"/>
        <v>104.6812497</v>
      </c>
      <c r="M888" s="64">
        <f t="shared" si="409"/>
        <v>54.6900939</v>
      </c>
      <c r="N888" s="84">
        <f t="shared" si="395"/>
        <v>127.1852862</v>
      </c>
    </row>
    <row r="889" ht="15.75" customHeight="1">
      <c r="A889" s="30" t="s">
        <v>403</v>
      </c>
      <c r="B889" s="64">
        <f t="shared" ref="B889:M889" si="410">MAX(0,$B$863*$B$9-B869-B881)</f>
        <v>0</v>
      </c>
      <c r="C889" s="64">
        <f t="shared" si="410"/>
        <v>388.1418001</v>
      </c>
      <c r="D889" s="64">
        <f t="shared" si="410"/>
        <v>426.2030844</v>
      </c>
      <c r="E889" s="64">
        <f t="shared" si="410"/>
        <v>447.550273</v>
      </c>
      <c r="F889" s="64">
        <f t="shared" si="410"/>
        <v>523.8</v>
      </c>
      <c r="G889" s="64">
        <f t="shared" si="410"/>
        <v>523.8</v>
      </c>
      <c r="H889" s="64">
        <f t="shared" si="410"/>
        <v>438.837012</v>
      </c>
      <c r="I889" s="64">
        <f t="shared" si="410"/>
        <v>513.837012</v>
      </c>
      <c r="J889" s="64">
        <f t="shared" si="410"/>
        <v>513.837012</v>
      </c>
      <c r="K889" s="64">
        <f t="shared" si="410"/>
        <v>423.5801212</v>
      </c>
      <c r="L889" s="64">
        <f t="shared" si="410"/>
        <v>414.0795779</v>
      </c>
      <c r="M889" s="64">
        <f t="shared" si="410"/>
        <v>330.7390678</v>
      </c>
      <c r="N889" s="84">
        <f t="shared" si="395"/>
        <v>523.8</v>
      </c>
    </row>
    <row r="890" ht="15.75" customHeight="1">
      <c r="A890" s="30" t="s">
        <v>404</v>
      </c>
      <c r="B890" s="64">
        <f t="shared" ref="B890:M890" si="411">MIN(B886-B888,$B$6*B889)</f>
        <v>0</v>
      </c>
      <c r="C890" s="64">
        <f t="shared" si="411"/>
        <v>349.3276201</v>
      </c>
      <c r="D890" s="64">
        <f t="shared" si="411"/>
        <v>383.5827759</v>
      </c>
      <c r="E890" s="64">
        <f t="shared" si="411"/>
        <v>402.7952457</v>
      </c>
      <c r="F890" s="64">
        <f t="shared" si="411"/>
        <v>471.42</v>
      </c>
      <c r="G890" s="64">
        <f t="shared" si="411"/>
        <v>471.42</v>
      </c>
      <c r="H890" s="64">
        <f t="shared" si="411"/>
        <v>394.9533108</v>
      </c>
      <c r="I890" s="64">
        <f t="shared" si="411"/>
        <v>462.4533108</v>
      </c>
      <c r="J890" s="64">
        <f t="shared" si="411"/>
        <v>462.4533108</v>
      </c>
      <c r="K890" s="64">
        <f t="shared" si="411"/>
        <v>381.2221091</v>
      </c>
      <c r="L890" s="64">
        <f t="shared" si="411"/>
        <v>372.6716201</v>
      </c>
      <c r="M890" s="64">
        <f t="shared" si="411"/>
        <v>297.665161</v>
      </c>
      <c r="N890" s="84">
        <f t="shared" si="395"/>
        <v>471.42</v>
      </c>
    </row>
    <row r="891" ht="15.75" customHeight="1">
      <c r="A891" s="30" t="s">
        <v>405</v>
      </c>
      <c r="B891" s="64">
        <f t="shared" ref="B891:M891" si="412">B886-B888-B890</f>
        <v>2406.771295</v>
      </c>
      <c r="C891" s="64">
        <f t="shared" si="412"/>
        <v>1616.131468</v>
      </c>
      <c r="D891" s="64">
        <f t="shared" si="412"/>
        <v>1649.422122</v>
      </c>
      <c r="E891" s="64">
        <f t="shared" si="412"/>
        <v>1568.493528</v>
      </c>
      <c r="F891" s="64">
        <f t="shared" si="412"/>
        <v>890.2331757</v>
      </c>
      <c r="G891" s="64">
        <f t="shared" si="412"/>
        <v>738.036906</v>
      </c>
      <c r="H891" s="64">
        <f t="shared" si="412"/>
        <v>1597.165149</v>
      </c>
      <c r="I891" s="64">
        <f t="shared" si="412"/>
        <v>1111.652047</v>
      </c>
      <c r="J891" s="64">
        <f t="shared" si="412"/>
        <v>1098.682057</v>
      </c>
      <c r="K891" s="64">
        <f t="shared" si="412"/>
        <v>1521.039088</v>
      </c>
      <c r="L891" s="64">
        <f t="shared" si="412"/>
        <v>1515.209402</v>
      </c>
      <c r="M891" s="64">
        <f t="shared" si="412"/>
        <v>2532.513306</v>
      </c>
      <c r="N891" s="84">
        <f t="shared" si="395"/>
        <v>2532.513306</v>
      </c>
    </row>
    <row r="892" ht="15.75" customHeight="1">
      <c r="A892" s="30" t="s">
        <v>406</v>
      </c>
      <c r="B892" s="64">
        <f t="shared" ref="B892:M892" si="413">MAX(0,B880-B881-B876)</f>
        <v>202.9993128</v>
      </c>
      <c r="C892" s="64">
        <f t="shared" si="413"/>
        <v>50.53261509</v>
      </c>
      <c r="D892" s="64">
        <f t="shared" si="413"/>
        <v>103.0630145</v>
      </c>
      <c r="E892" s="64">
        <f t="shared" si="413"/>
        <v>15.53617734</v>
      </c>
      <c r="F892" s="64">
        <f t="shared" si="413"/>
        <v>0</v>
      </c>
      <c r="G892" s="64">
        <f t="shared" si="413"/>
        <v>0</v>
      </c>
      <c r="H892" s="64">
        <f t="shared" si="413"/>
        <v>65.33905122</v>
      </c>
      <c r="I892" s="64">
        <f t="shared" si="413"/>
        <v>0</v>
      </c>
      <c r="J892" s="64">
        <f t="shared" si="413"/>
        <v>0</v>
      </c>
      <c r="K892" s="64">
        <f t="shared" si="413"/>
        <v>0</v>
      </c>
      <c r="L892" s="64">
        <f t="shared" si="413"/>
        <v>0</v>
      </c>
      <c r="M892" s="64">
        <f t="shared" si="413"/>
        <v>0</v>
      </c>
      <c r="N892" s="84">
        <f t="shared" ref="N892:N896" si="415">SUM(B892:M892)</f>
        <v>437.470171</v>
      </c>
    </row>
    <row r="893" ht="15.75" customHeight="1">
      <c r="A893" s="30" t="s">
        <v>408</v>
      </c>
      <c r="B893" s="64">
        <f t="shared" ref="B893:M893" si="414">MAX(0,B881-($B$863*$B$9-B869))</f>
        <v>31.14331864</v>
      </c>
      <c r="C893" s="64">
        <f t="shared" si="414"/>
        <v>0</v>
      </c>
      <c r="D893" s="64">
        <f t="shared" si="414"/>
        <v>0</v>
      </c>
      <c r="E893" s="64">
        <f t="shared" si="414"/>
        <v>0</v>
      </c>
      <c r="F893" s="64">
        <f t="shared" si="414"/>
        <v>0</v>
      </c>
      <c r="G893" s="64">
        <f t="shared" si="414"/>
        <v>0</v>
      </c>
      <c r="H893" s="64">
        <f t="shared" si="414"/>
        <v>0</v>
      </c>
      <c r="I893" s="64">
        <f t="shared" si="414"/>
        <v>0</v>
      </c>
      <c r="J893" s="64">
        <f t="shared" si="414"/>
        <v>0</v>
      </c>
      <c r="K893" s="64">
        <f t="shared" si="414"/>
        <v>0</v>
      </c>
      <c r="L893" s="64">
        <f t="shared" si="414"/>
        <v>0</v>
      </c>
      <c r="M893" s="64">
        <f t="shared" si="414"/>
        <v>0</v>
      </c>
      <c r="N893" s="84">
        <f t="shared" si="415"/>
        <v>31.14331864</v>
      </c>
    </row>
    <row r="894" ht="15.75" customHeight="1">
      <c r="A894" s="30" t="s">
        <v>409</v>
      </c>
      <c r="B894" s="64">
        <f t="shared" ref="B894:M894" si="416">MAX(0,B891-($B$864*$B$9-B870))</f>
        <v>311.5712949</v>
      </c>
      <c r="C894" s="64">
        <f t="shared" si="416"/>
        <v>0</v>
      </c>
      <c r="D894" s="64">
        <f t="shared" si="416"/>
        <v>0</v>
      </c>
      <c r="E894" s="64">
        <f t="shared" si="416"/>
        <v>0</v>
      </c>
      <c r="F894" s="64">
        <f t="shared" si="416"/>
        <v>0</v>
      </c>
      <c r="G894" s="64">
        <f t="shared" si="416"/>
        <v>0</v>
      </c>
      <c r="H894" s="64">
        <f t="shared" si="416"/>
        <v>0</v>
      </c>
      <c r="I894" s="64">
        <f t="shared" si="416"/>
        <v>0</v>
      </c>
      <c r="J894" s="64">
        <f t="shared" si="416"/>
        <v>0</v>
      </c>
      <c r="K894" s="64">
        <f t="shared" si="416"/>
        <v>0</v>
      </c>
      <c r="L894" s="64">
        <f t="shared" si="416"/>
        <v>0</v>
      </c>
      <c r="M894" s="64">
        <f t="shared" si="416"/>
        <v>437.3133055</v>
      </c>
      <c r="N894" s="84">
        <f t="shared" si="415"/>
        <v>748.8846004</v>
      </c>
    </row>
    <row r="895" ht="15.75" customHeight="1">
      <c r="A895" s="30" t="s">
        <v>410</v>
      </c>
      <c r="B895" s="64">
        <f t="shared" ref="B895:M895" si="417">MAX(0,B885-($B$865*$B$9-B871))</f>
        <v>0</v>
      </c>
      <c r="C895" s="64">
        <f t="shared" si="417"/>
        <v>0</v>
      </c>
      <c r="D895" s="64">
        <f t="shared" si="417"/>
        <v>0</v>
      </c>
      <c r="E895" s="64">
        <f t="shared" si="417"/>
        <v>0</v>
      </c>
      <c r="F895" s="64">
        <f t="shared" si="417"/>
        <v>0</v>
      </c>
      <c r="G895" s="64">
        <f t="shared" si="417"/>
        <v>0</v>
      </c>
      <c r="H895" s="64">
        <f t="shared" si="417"/>
        <v>0</v>
      </c>
      <c r="I895" s="64">
        <f t="shared" si="417"/>
        <v>0</v>
      </c>
      <c r="J895" s="64">
        <f t="shared" si="417"/>
        <v>0</v>
      </c>
      <c r="K895" s="64">
        <f t="shared" si="417"/>
        <v>0</v>
      </c>
      <c r="L895" s="64">
        <f t="shared" si="417"/>
        <v>0</v>
      </c>
      <c r="M895" s="64">
        <f t="shared" si="417"/>
        <v>0</v>
      </c>
      <c r="N895" s="84">
        <f t="shared" si="415"/>
        <v>0</v>
      </c>
    </row>
    <row r="896" ht="15.75" customHeight="1">
      <c r="A896" s="73" t="s">
        <v>411</v>
      </c>
      <c r="B896" s="84">
        <f t="shared" ref="B896:M896" si="418">B892+B893+B894+B895</f>
        <v>545.7139264</v>
      </c>
      <c r="C896" s="84">
        <f t="shared" si="418"/>
        <v>50.53261509</v>
      </c>
      <c r="D896" s="84">
        <f t="shared" si="418"/>
        <v>103.0630145</v>
      </c>
      <c r="E896" s="84">
        <f t="shared" si="418"/>
        <v>15.53617734</v>
      </c>
      <c r="F896" s="84">
        <f t="shared" si="418"/>
        <v>0</v>
      </c>
      <c r="G896" s="84">
        <f t="shared" si="418"/>
        <v>0</v>
      </c>
      <c r="H896" s="84">
        <f t="shared" si="418"/>
        <v>65.33905122</v>
      </c>
      <c r="I896" s="84">
        <f t="shared" si="418"/>
        <v>0</v>
      </c>
      <c r="J896" s="84">
        <f t="shared" si="418"/>
        <v>0</v>
      </c>
      <c r="K896" s="84">
        <f t="shared" si="418"/>
        <v>0</v>
      </c>
      <c r="L896" s="84">
        <f t="shared" si="418"/>
        <v>0</v>
      </c>
      <c r="M896" s="84">
        <f t="shared" si="418"/>
        <v>437.3133055</v>
      </c>
      <c r="N896" s="84">
        <f t="shared" si="415"/>
        <v>1217.49809</v>
      </c>
    </row>
    <row r="897" ht="15.75" customHeight="1">
      <c r="A897" s="30" t="s">
        <v>412</v>
      </c>
      <c r="B897" s="64">
        <f t="shared" ref="B897:M897" si="419">IFERROR(B896/($B$862+$B$864+$B$863+$B$865),0)</f>
        <v>11.36904013</v>
      </c>
      <c r="C897" s="64">
        <f t="shared" si="419"/>
        <v>1.052762814</v>
      </c>
      <c r="D897" s="64">
        <f t="shared" si="419"/>
        <v>2.147146136</v>
      </c>
      <c r="E897" s="64">
        <f t="shared" si="419"/>
        <v>0.3236703612</v>
      </c>
      <c r="F897" s="64">
        <f t="shared" si="419"/>
        <v>0</v>
      </c>
      <c r="G897" s="64">
        <f t="shared" si="419"/>
        <v>0</v>
      </c>
      <c r="H897" s="64">
        <f t="shared" si="419"/>
        <v>1.361230234</v>
      </c>
      <c r="I897" s="64">
        <f t="shared" si="419"/>
        <v>0</v>
      </c>
      <c r="J897" s="64">
        <f t="shared" si="419"/>
        <v>0</v>
      </c>
      <c r="K897" s="64">
        <f t="shared" si="419"/>
        <v>0</v>
      </c>
      <c r="L897" s="64">
        <f t="shared" si="419"/>
        <v>0</v>
      </c>
      <c r="M897" s="64">
        <f t="shared" si="419"/>
        <v>9.110693865</v>
      </c>
      <c r="N897" s="84">
        <f>MAX(B897:M897)</f>
        <v>11.36904013</v>
      </c>
    </row>
    <row r="898" ht="15.75" customHeight="1">
      <c r="A898" s="141" t="s">
        <v>413</v>
      </c>
    </row>
    <row r="899" ht="15.75" hidden="1" customHeight="1" outlineLevel="1">
      <c r="A899" s="142" t="s">
        <v>26</v>
      </c>
      <c r="B899" s="143">
        <f>'Analisis de operaciones'!C1468/'Analisis de operaciones'!C1472*$O899</f>
        <v>413.3155882</v>
      </c>
      <c r="C899" s="143">
        <f>'Analisis de operaciones'!D1468/'Analisis de operaciones'!D1472*$O899</f>
        <v>315.1766176</v>
      </c>
      <c r="D899" s="143">
        <f>'Analisis de operaciones'!E1468/'Analisis de operaciones'!E1472*$O899</f>
        <v>294.5734559</v>
      </c>
      <c r="E899" s="143">
        <f>'Analisis de operaciones'!F1468/'Analisis de operaciones'!F1472*$O899</f>
        <v>281.6769118</v>
      </c>
      <c r="F899" s="143">
        <f>'Analisis de operaciones'!G1468/'Analisis de operaciones'!G1472*$O899</f>
        <v>263.5904412</v>
      </c>
      <c r="G899" s="143">
        <f>'Analisis de operaciones'!H1468/'Analisis de operaciones'!H1472*$O899</f>
        <v>258.4005147</v>
      </c>
      <c r="H899" s="143">
        <f>'Analisis de operaciones'!I1468/'Analisis de operaciones'!I1472*$O899</f>
        <v>276.4869853</v>
      </c>
      <c r="I899" s="143">
        <f>'Analisis de operaciones'!J1468/'Analisis de operaciones'!J1472*$O899</f>
        <v>276.4869853</v>
      </c>
      <c r="J899" s="143">
        <f>'Analisis de operaciones'!K1468/'Analisis de operaciones'!K1472*$O899</f>
        <v>276.4869853</v>
      </c>
      <c r="K899" s="143">
        <f>'Analisis de operaciones'!L1468/'Analisis de operaciones'!L1472*$O899</f>
        <v>271.2970588</v>
      </c>
      <c r="L899" s="143">
        <f>'Analisis de operaciones'!M1468/'Analisis de operaciones'!M1472*$O899</f>
        <v>266.1071324</v>
      </c>
      <c r="M899" s="143">
        <f>'Analisis de operaciones'!N1468/'Analisis de operaciones'!N1472*$O899</f>
        <v>423.6954412</v>
      </c>
      <c r="N899" s="143">
        <f>'Resumen Capacidad'!$J$29*$B$8*$O899</f>
        <v>300</v>
      </c>
      <c r="O899" s="144">
        <f>$B$18</f>
        <v>1</v>
      </c>
    </row>
    <row r="900" ht="15.75" hidden="1" customHeight="1" outlineLevel="1">
      <c r="A900" s="142" t="s">
        <v>55</v>
      </c>
      <c r="B900" s="143">
        <f>'Analisis de operaciones'!C1478/'Analisis de operaciones'!C1482*$O900</f>
        <v>155.8062478</v>
      </c>
      <c r="C900" s="143">
        <f>'Analisis de operaciones'!D1478/'Analisis de operaciones'!D1482*$O900</f>
        <v>118.8111157</v>
      </c>
      <c r="D900" s="143">
        <f>'Analisis de operaciones'!E1478/'Analisis de operaciones'!E1482*$O900</f>
        <v>111.0444081</v>
      </c>
      <c r="E900" s="143">
        <f>'Analisis de operaciones'!F1478/'Analisis de operaciones'!F1482*$O900</f>
        <v>106.1828393</v>
      </c>
      <c r="F900" s="143">
        <f>'Analisis de operaciones'!G1478/'Analisis de operaciones'!G1482*$O900</f>
        <v>99.3648407</v>
      </c>
      <c r="G900" s="143">
        <f>'Analisis de operaciones'!H1478/'Analisis de operaciones'!H1482*$O900</f>
        <v>97.40841081</v>
      </c>
      <c r="H900" s="143">
        <f>'Analisis de operaciones'!I1478/'Analisis de operaciones'!I1482*$O900</f>
        <v>104.2264094</v>
      </c>
      <c r="I900" s="143">
        <f>'Analisis de operaciones'!J1478/'Analisis de operaciones'!J1482*$O900</f>
        <v>104.2264094</v>
      </c>
      <c r="J900" s="143">
        <f>'Analisis de operaciones'!K1478/'Analisis de operaciones'!K1482*$O900</f>
        <v>104.2264094</v>
      </c>
      <c r="K900" s="143">
        <f>'Analisis de operaciones'!L1478/'Analisis de operaciones'!L1482*$O900</f>
        <v>102.2699796</v>
      </c>
      <c r="L900" s="143">
        <f>'Analisis de operaciones'!M1478/'Analisis de operaciones'!M1482*$O900</f>
        <v>100.3135497</v>
      </c>
      <c r="M900" s="143">
        <f>'Analisis de operaciones'!N1478/'Analisis de operaciones'!N1482*$O900</f>
        <v>159.7191075</v>
      </c>
      <c r="N900" s="143">
        <f>'Resumen Capacidad'!$J$30*$B$8*$O900</f>
        <v>150</v>
      </c>
      <c r="O900" s="144">
        <f>IF('Resumen Capacidad'!$J$55="Automática",$C$19,$B$19)</f>
        <v>0.5</v>
      </c>
    </row>
    <row r="901" ht="15.75" hidden="1" customHeight="1" outlineLevel="1">
      <c r="A901" s="142" t="s">
        <v>61</v>
      </c>
      <c r="B901" s="143">
        <f>'Analisis de operaciones'!C1488/'Analisis de operaciones'!C1492*$O901</f>
        <v>120.492002</v>
      </c>
      <c r="C901" s="143">
        <f>'Analisis de operaciones'!D1488/'Analisis de operaciones'!D1492*$O901</f>
        <v>91.88199701</v>
      </c>
      <c r="D901" s="143">
        <f>'Analisis de operaciones'!E1488/'Analisis de operaciones'!E1492*$O901</f>
        <v>85.87565155</v>
      </c>
      <c r="E901" s="143">
        <f>'Analisis de operaciones'!F1488/'Analisis de operaciones'!F1492*$O901</f>
        <v>82.11598106</v>
      </c>
      <c r="F901" s="143">
        <f>'Analisis de operaciones'!G1488/'Analisis de operaciones'!G1492*$O901</f>
        <v>76.84331505</v>
      </c>
      <c r="G901" s="143">
        <f>'Analisis de operaciones'!H1488/'Analisis de operaciones'!H1492*$O901</f>
        <v>75.33031954</v>
      </c>
      <c r="H901" s="143">
        <f>'Analisis de operaciones'!I1488/'Analisis de operaciones'!I1492*$O901</f>
        <v>80.60298554</v>
      </c>
      <c r="I901" s="143">
        <f>'Analisis de operaciones'!J1488/'Analisis de operaciones'!J1492*$O901</f>
        <v>80.60298554</v>
      </c>
      <c r="J901" s="143">
        <f>'Analisis de operaciones'!K1488/'Analisis de operaciones'!K1492*$O901</f>
        <v>80.60298554</v>
      </c>
      <c r="K901" s="143">
        <f>'Analisis de operaciones'!L1488/'Analisis de operaciones'!L1492*$O901</f>
        <v>79.08999003</v>
      </c>
      <c r="L901" s="143">
        <f>'Analisis de operaciones'!M1488/'Analisis de operaciones'!M1492*$O901</f>
        <v>77.57699452</v>
      </c>
      <c r="M901" s="143">
        <f>'Analisis de operaciones'!N1488/'Analisis de operaciones'!N1492*$O901</f>
        <v>123.517993</v>
      </c>
      <c r="N901" s="143">
        <f>'Resumen Capacidad'!$J$31*$B$8*$O901</f>
        <v>150</v>
      </c>
      <c r="O901" s="144">
        <f>$B$20</f>
        <v>1</v>
      </c>
    </row>
    <row r="902" ht="15.75" hidden="1" customHeight="1" outlineLevel="1">
      <c r="A902" s="142" t="s">
        <v>62</v>
      </c>
      <c r="B902" s="143">
        <f>'Analisis de operaciones'!C1498/'Analisis de operaciones'!C1502*$O902</f>
        <v>292.7652083</v>
      </c>
      <c r="C902" s="143">
        <f>'Analisis de operaciones'!D1498/'Analisis de operaciones'!D1502*$O902</f>
        <v>223.2501042</v>
      </c>
      <c r="D902" s="143">
        <f>'Analisis de operaciones'!E1498/'Analisis de operaciones'!E1502*$O902</f>
        <v>208.6561979</v>
      </c>
      <c r="E902" s="143">
        <f>'Analisis de operaciones'!F1498/'Analisis de operaciones'!F1502*$O902</f>
        <v>199.5211458</v>
      </c>
      <c r="F902" s="143">
        <f>'Analisis de operaciones'!G1498/'Analisis de operaciones'!G1502*$O902</f>
        <v>186.7098958</v>
      </c>
      <c r="G902" s="143">
        <f>'Analisis de operaciones'!H1498/'Analisis de operaciones'!H1502*$O902</f>
        <v>183.0336979</v>
      </c>
      <c r="H902" s="143">
        <f>'Analisis de operaciones'!I1498/'Analisis de operaciones'!I1502*$O902</f>
        <v>195.8449479</v>
      </c>
      <c r="I902" s="143">
        <f>'Analisis de operaciones'!J1498/'Analisis de operaciones'!J1502*$O902</f>
        <v>195.8449479</v>
      </c>
      <c r="J902" s="143">
        <f>'Analisis de operaciones'!K1498/'Analisis de operaciones'!K1502*$O902</f>
        <v>195.8449479</v>
      </c>
      <c r="K902" s="143">
        <f>'Analisis de operaciones'!L1498/'Analisis de operaciones'!L1502*$O902</f>
        <v>192.16875</v>
      </c>
      <c r="L902" s="143">
        <f>'Analisis de operaciones'!M1498/'Analisis de operaciones'!M1502*$O902</f>
        <v>188.4925521</v>
      </c>
      <c r="M902" s="143">
        <f>'Analisis de operaciones'!N1498/'Analisis de operaciones'!N1502*$O902</f>
        <v>300.1176042</v>
      </c>
      <c r="N902" s="143">
        <f>'Resumen Capacidad'!$J$32*$B$8*$O902</f>
        <v>300</v>
      </c>
      <c r="O902" s="144">
        <f>$B$21</f>
        <v>1</v>
      </c>
    </row>
    <row r="903" ht="15.75" hidden="1" customHeight="1" outlineLevel="1">
      <c r="A903" s="142" t="s">
        <v>63</v>
      </c>
      <c r="B903" s="143">
        <f>'Analisis de operaciones'!C1508/'Analisis de operaciones'!C1512*$O903</f>
        <v>88.1172547</v>
      </c>
      <c r="C903" s="143">
        <f>'Analisis de operaciones'!D1508/'Analisis de operaciones'!D1512*$O903</f>
        <v>70.49380376</v>
      </c>
      <c r="D903" s="143">
        <f>'Analisis de operaciones'!E1508/'Analisis de operaciones'!E1512*$O903</f>
        <v>74.89966649</v>
      </c>
      <c r="E903" s="143">
        <f>'Analisis de operaciones'!F1508/'Analisis de operaciones'!F1512*$O903</f>
        <v>74.89966649</v>
      </c>
      <c r="F903" s="143">
        <f>'Analisis de operaciones'!G1508/'Analisis de operaciones'!G1512*$O903</f>
        <v>70.49380376</v>
      </c>
      <c r="G903" s="143">
        <f>'Analisis de operaciones'!H1508/'Analisis de operaciones'!H1512*$O903</f>
        <v>66.08794102</v>
      </c>
      <c r="H903" s="143">
        <f>'Analisis de operaciones'!I1508/'Analisis de operaciones'!I1512*$O903</f>
        <v>70.49380376</v>
      </c>
      <c r="I903" s="143">
        <f>'Analisis de operaciones'!J1508/'Analisis de operaciones'!J1512*$O903</f>
        <v>70.49380376</v>
      </c>
      <c r="J903" s="143">
        <f>'Analisis de operaciones'!K1508/'Analisis de operaciones'!K1512*$O903</f>
        <v>70.49380376</v>
      </c>
      <c r="K903" s="143">
        <f>'Analisis de operaciones'!L1508/'Analisis de operaciones'!L1512*$O903</f>
        <v>66.08794102</v>
      </c>
      <c r="L903" s="143">
        <f>'Analisis de operaciones'!M1508/'Analisis de operaciones'!M1512*$O903</f>
        <v>61.68207829</v>
      </c>
      <c r="M903" s="143">
        <f>'Analisis de operaciones'!N1508/'Analisis de operaciones'!N1512*$O903</f>
        <v>96.92898017</v>
      </c>
      <c r="N903" s="143">
        <f>'Resumen Capacidad'!$J$33*$B$8*$O903</f>
        <v>150</v>
      </c>
      <c r="O903" s="144">
        <f>$B$22</f>
        <v>1</v>
      </c>
    </row>
    <row r="904" ht="15.75" hidden="1" customHeight="1" outlineLevel="1">
      <c r="A904" s="142" t="s">
        <v>64</v>
      </c>
      <c r="B904" s="143">
        <f>'Analisis de operaciones'!C1518/'Analisis de operaciones'!C1522*$O904</f>
        <v>62.37892393</v>
      </c>
      <c r="C904" s="143">
        <f>'Analisis de operaciones'!D1518/'Analisis de operaciones'!D1522*$O904</f>
        <v>49.90313914</v>
      </c>
      <c r="D904" s="143">
        <f>'Analisis de operaciones'!E1518/'Analisis de operaciones'!E1522*$O904</f>
        <v>53.02208534</v>
      </c>
      <c r="E904" s="143">
        <f>'Analisis de operaciones'!F1518/'Analisis de operaciones'!F1522*$O904</f>
        <v>53.02208534</v>
      </c>
      <c r="F904" s="143">
        <f>'Analisis de operaciones'!G1518/'Analisis de operaciones'!G1522*$O904</f>
        <v>49.90313914</v>
      </c>
      <c r="G904" s="143">
        <f>'Analisis de operaciones'!H1518/'Analisis de operaciones'!H1522*$O904</f>
        <v>46.78419294</v>
      </c>
      <c r="H904" s="143">
        <f>'Analisis de operaciones'!I1518/'Analisis de operaciones'!I1522*$O904</f>
        <v>49.90313914</v>
      </c>
      <c r="I904" s="143">
        <f>'Analisis de operaciones'!J1518/'Analisis de operaciones'!J1522*$O904</f>
        <v>49.90313914</v>
      </c>
      <c r="J904" s="143">
        <f>'Analisis de operaciones'!K1518/'Analisis de operaciones'!K1522*$O904</f>
        <v>49.90313914</v>
      </c>
      <c r="K904" s="143">
        <f>'Analisis de operaciones'!L1518/'Analisis de operaciones'!L1522*$O904</f>
        <v>46.78419294</v>
      </c>
      <c r="L904" s="143">
        <f>'Analisis de operaciones'!M1518/'Analisis de operaciones'!M1522*$O904</f>
        <v>43.66524675</v>
      </c>
      <c r="M904" s="143">
        <f>'Analisis de operaciones'!N1518/'Analisis de operaciones'!N1522*$O904</f>
        <v>68.61681632</v>
      </c>
      <c r="N904" s="143">
        <f>'Resumen Capacidad'!$J$34*$B$8*$O904</f>
        <v>75</v>
      </c>
      <c r="O904" s="144">
        <f>IF('Resumen Capacidad'!$J$56="Automática",$C$23,$B$23)</f>
        <v>0.5</v>
      </c>
    </row>
    <row r="905" ht="15.75" hidden="1" customHeight="1" outlineLevel="1">
      <c r="A905" s="142" t="s">
        <v>66</v>
      </c>
      <c r="B905" s="143">
        <f>'Analisis de operaciones'!C1528/'Analisis de operaciones'!C1532*$O905</f>
        <v>463.3582828</v>
      </c>
      <c r="C905" s="143">
        <f>'Analisis de operaciones'!D1528/'Analisis de operaciones'!D1532*$O905</f>
        <v>353.3370153</v>
      </c>
      <c r="D905" s="143">
        <f>'Analisis de operaciones'!E1528/'Analisis de operaciones'!E1532*$O905</f>
        <v>330.2393003</v>
      </c>
      <c r="E905" s="143">
        <f>'Analisis de operaciones'!F1528/'Analisis de operaciones'!F1532*$O905</f>
        <v>315.7812912</v>
      </c>
      <c r="F905" s="143">
        <f>'Analisis de operaciones'!G1528/'Analisis de operaciones'!G1532*$O905</f>
        <v>295.5049789</v>
      </c>
      <c r="G905" s="143">
        <f>'Analisis de operaciones'!H1528/'Analisis de operaciones'!H1532*$O905</f>
        <v>289.6866757</v>
      </c>
      <c r="H905" s="143">
        <f>'Analisis de operaciones'!I1528/'Analisis de operaciones'!I1532*$O905</f>
        <v>309.962988</v>
      </c>
      <c r="I905" s="143">
        <f>'Analisis de operaciones'!J1528/'Analisis de operaciones'!J1532*$O905</f>
        <v>309.962988</v>
      </c>
      <c r="J905" s="143">
        <f>'Analisis de operaciones'!K1528/'Analisis de operaciones'!K1532*$O905</f>
        <v>309.962988</v>
      </c>
      <c r="K905" s="143">
        <f>'Analisis de operaciones'!L1528/'Analisis de operaciones'!L1532*$O905</f>
        <v>304.1446848</v>
      </c>
      <c r="L905" s="143">
        <f>'Analisis de operaciones'!M1528/'Analisis de operaciones'!M1532*$O905</f>
        <v>298.3263816</v>
      </c>
      <c r="M905" s="143">
        <f>'Analisis de operaciones'!N1528/'Analisis de operaciones'!N1532*$O905</f>
        <v>474.9948892</v>
      </c>
      <c r="N905" s="143">
        <f>'Resumen Capacidad'!$J$35*$B$8*$O905</f>
        <v>300</v>
      </c>
      <c r="O905" s="144">
        <f>$B$24</f>
        <v>1</v>
      </c>
    </row>
    <row r="906" ht="15.75" hidden="1" customHeight="1" outlineLevel="1">
      <c r="A906" s="142" t="s">
        <v>67</v>
      </c>
      <c r="B906" s="143">
        <f>'Analisis de operaciones'!C1538/'Analisis de operaciones'!C1542*$O906</f>
        <v>149.955769</v>
      </c>
      <c r="C906" s="143">
        <f>'Analisis de operaciones'!D1538/'Analisis de operaciones'!D1542*$O906</f>
        <v>114.3497933</v>
      </c>
      <c r="D906" s="143">
        <f>'Analisis de operaciones'!E1538/'Analisis de operaciones'!E1542*$O906</f>
        <v>106.8747232</v>
      </c>
      <c r="E906" s="143">
        <f>'Analisis de operaciones'!F1538/'Analisis de operaciones'!F1542*$O906</f>
        <v>102.1957049</v>
      </c>
      <c r="F906" s="143">
        <f>'Analisis de operaciones'!G1538/'Analisis de operaciones'!G1542*$O906</f>
        <v>95.63372015</v>
      </c>
      <c r="G906" s="143">
        <f>'Analisis de operaciones'!H1538/'Analisis de operaciones'!H1542*$O906</f>
        <v>93.75075363</v>
      </c>
      <c r="H906" s="143">
        <f>'Analisis de operaciones'!I1538/'Analisis de operaciones'!I1542*$O906</f>
        <v>100.3127384</v>
      </c>
      <c r="I906" s="143">
        <f>'Analisis de operaciones'!J1538/'Analisis de operaciones'!J1542*$O906</f>
        <v>100.3127384</v>
      </c>
      <c r="J906" s="143">
        <f>'Analisis de operaciones'!K1538/'Analisis de operaciones'!K1542*$O906</f>
        <v>100.3127384</v>
      </c>
      <c r="K906" s="143">
        <f>'Analisis de operaciones'!L1538/'Analisis de operaciones'!L1542*$O906</f>
        <v>98.42977191</v>
      </c>
      <c r="L906" s="143">
        <f>'Analisis de operaciones'!M1538/'Analisis de operaciones'!M1542*$O906</f>
        <v>96.54680539</v>
      </c>
      <c r="M906" s="143">
        <f>'Analisis de operaciones'!N1538/'Analisis de operaciones'!N1542*$O906</f>
        <v>153.721702</v>
      </c>
      <c r="N906" s="143">
        <f>'Resumen Capacidad'!$J$36*$B$8*$O906</f>
        <v>150</v>
      </c>
      <c r="O906" s="144">
        <f>$B$25</f>
        <v>1</v>
      </c>
    </row>
    <row r="907" ht="15.75" hidden="1" customHeight="1" outlineLevel="1">
      <c r="A907" s="142" t="s">
        <v>68</v>
      </c>
      <c r="B907" s="143">
        <f>'Analisis de operaciones'!C1548/'Analisis de operaciones'!C1552*$O907</f>
        <v>220.7882416</v>
      </c>
      <c r="C907" s="143">
        <f>'Analisis de operaciones'!D1548/'Analisis de operaciones'!D1552*$O907</f>
        <v>168.3635778</v>
      </c>
      <c r="D907" s="143">
        <f>'Analisis de operaciones'!E1548/'Analisis de operaciones'!E1552*$O907</f>
        <v>157.3576153</v>
      </c>
      <c r="E907" s="143">
        <f>'Analisis de operaciones'!F1548/'Analisis de operaciones'!F1552*$O907</f>
        <v>150.4684358</v>
      </c>
      <c r="F907" s="143">
        <f>'Analisis de operaciones'!G1548/'Analisis de operaciones'!G1552*$O907</f>
        <v>140.8068596</v>
      </c>
      <c r="G907" s="143">
        <f>'Analisis de operaciones'!H1548/'Analisis de operaciones'!H1552*$O907</f>
        <v>138.034463</v>
      </c>
      <c r="H907" s="143">
        <f>'Analisis de operaciones'!I1548/'Analisis de operaciones'!I1552*$O907</f>
        <v>147.6960392</v>
      </c>
      <c r="I907" s="143">
        <f>'Analisis de operaciones'!J1548/'Analisis de operaciones'!J1552*$O907</f>
        <v>147.6960392</v>
      </c>
      <c r="J907" s="143">
        <f>'Analisis de operaciones'!K1548/'Analisis de operaciones'!K1552*$O907</f>
        <v>147.6960392</v>
      </c>
      <c r="K907" s="143">
        <f>'Analisis de operaciones'!L1548/'Analisis de operaciones'!L1552*$O907</f>
        <v>144.9236425</v>
      </c>
      <c r="L907" s="143">
        <f>'Analisis de operaciones'!M1548/'Analisis de operaciones'!M1552*$O907</f>
        <v>142.1512459</v>
      </c>
      <c r="M907" s="143">
        <f>'Analisis de operaciones'!N1548/'Analisis de operaciones'!N1552*$O907</f>
        <v>226.3330348</v>
      </c>
      <c r="N907" s="143">
        <f>'Resumen Capacidad'!$J$37*$B$8*$O907</f>
        <v>150</v>
      </c>
      <c r="O907" s="144">
        <f>IF('Resumen Capacidad'!$J$57="Automática",$C$26,$B$26)</f>
        <v>0.5</v>
      </c>
    </row>
    <row r="908" ht="15.75" hidden="1" customHeight="1" outlineLevel="1">
      <c r="A908" s="142" t="s">
        <v>70</v>
      </c>
      <c r="B908" s="143">
        <f>'Analisis de operaciones'!C1558/'Analisis de operaciones'!C1562*$O908</f>
        <v>162.175399</v>
      </c>
      <c r="C908" s="143">
        <f>'Analisis de operaciones'!D1558/'Analisis de operaciones'!D1562*$O908</f>
        <v>123.6679554</v>
      </c>
      <c r="D908" s="143">
        <f>'Analisis de operaciones'!E1558/'Analisis de operaciones'!E1562*$O908</f>
        <v>115.5837551</v>
      </c>
      <c r="E908" s="143">
        <f>'Analisis de operaciones'!F1558/'Analisis de operaciones'!F1562*$O908</f>
        <v>110.5234519</v>
      </c>
      <c r="F908" s="143">
        <f>'Analisis de operaciones'!G1558/'Analisis de operaciones'!G1562*$O908</f>
        <v>103.4267426</v>
      </c>
      <c r="G908" s="143">
        <f>'Analisis de operaciones'!H1558/'Analisis de operaciones'!H1562*$O908</f>
        <v>101.3903365</v>
      </c>
      <c r="H908" s="143">
        <f>'Analisis de operaciones'!I1558/'Analisis de operaciones'!I1562*$O908</f>
        <v>108.4870458</v>
      </c>
      <c r="I908" s="143">
        <f>'Analisis de operaciones'!J1558/'Analisis de operaciones'!J1562*$O908</f>
        <v>108.4870458</v>
      </c>
      <c r="J908" s="143">
        <f>'Analisis de operaciones'!K1558/'Analisis de operaciones'!K1562*$O908</f>
        <v>108.4870458</v>
      </c>
      <c r="K908" s="143">
        <f>'Analisis de operaciones'!L1558/'Analisis de operaciones'!L1562*$O908</f>
        <v>106.4506397</v>
      </c>
      <c r="L908" s="143">
        <f>'Analisis de operaciones'!M1558/'Analisis de operaciones'!M1562*$O908</f>
        <v>104.4142335</v>
      </c>
      <c r="M908" s="143">
        <f>'Analisis de operaciones'!N1558/'Analisis de operaciones'!N1562*$O908</f>
        <v>166.2482112</v>
      </c>
      <c r="N908" s="143">
        <f>'Resumen Capacidad'!$J$38*$B$8*$O908</f>
        <v>150</v>
      </c>
      <c r="O908" s="144">
        <f>IF('Resumen Capacidad'!$J$58="Automática",$C$27,$B$27)</f>
        <v>0.5</v>
      </c>
    </row>
    <row r="909" ht="15.75" hidden="1" customHeight="1" outlineLevel="1">
      <c r="A909" s="142" t="s">
        <v>72</v>
      </c>
      <c r="B909" s="143">
        <f>'Analisis de operaciones'!C1568/'Analisis de operaciones'!C1572*$O909</f>
        <v>49.59263072</v>
      </c>
      <c r="C909" s="143">
        <f>'Analisis de operaciones'!D1568/'Analisis de operaciones'!D1572*$O909</f>
        <v>39.67410458</v>
      </c>
      <c r="D909" s="143">
        <f>'Analisis de operaciones'!E1568/'Analisis de operaciones'!E1572*$O909</f>
        <v>42.15373611</v>
      </c>
      <c r="E909" s="143">
        <f>'Analisis de operaciones'!F1568/'Analisis de operaciones'!F1572*$O909</f>
        <v>42.15373611</v>
      </c>
      <c r="F909" s="143">
        <f>'Analisis de operaciones'!G1568/'Analisis de operaciones'!G1572*$O909</f>
        <v>39.67410458</v>
      </c>
      <c r="G909" s="143">
        <f>'Analisis de operaciones'!H1568/'Analisis de operaciones'!H1572*$O909</f>
        <v>37.19447304</v>
      </c>
      <c r="H909" s="143">
        <f>'Analisis de operaciones'!I1568/'Analisis de operaciones'!I1572*$O909</f>
        <v>39.67410458</v>
      </c>
      <c r="I909" s="143">
        <f>'Analisis de operaciones'!J1568/'Analisis de operaciones'!J1572*$O909</f>
        <v>39.67410458</v>
      </c>
      <c r="J909" s="143">
        <f>'Analisis de operaciones'!K1568/'Analisis de operaciones'!K1572*$O909</f>
        <v>39.67410458</v>
      </c>
      <c r="K909" s="143">
        <f>'Analisis de operaciones'!L1568/'Analisis de operaciones'!L1572*$O909</f>
        <v>37.19447304</v>
      </c>
      <c r="L909" s="143">
        <f>'Analisis de operaciones'!M1568/'Analisis de operaciones'!M1572*$O909</f>
        <v>34.7148415</v>
      </c>
      <c r="M909" s="143">
        <f>'Analisis de operaciones'!N1568/'Analisis de operaciones'!N1572*$O909</f>
        <v>54.55189379</v>
      </c>
      <c r="N909" s="143">
        <f>'Resumen Capacidad'!$J$39*$B$8*$O909</f>
        <v>75</v>
      </c>
      <c r="O909" s="144">
        <f>$B$28</f>
        <v>0.5</v>
      </c>
    </row>
    <row r="910" ht="15.75" hidden="1" customHeight="1" outlineLevel="1">
      <c r="A910" s="142" t="s">
        <v>74</v>
      </c>
      <c r="B910" s="143">
        <f>'Analisis de operaciones'!C1578/'Analisis de operaciones'!C1582*$O910</f>
        <v>146.3826042</v>
      </c>
      <c r="C910" s="143">
        <f>'Analisis de operaciones'!D1578/'Analisis de operaciones'!D1582*$O910</f>
        <v>111.6250521</v>
      </c>
      <c r="D910" s="143">
        <f>'Analisis de operaciones'!E1578/'Analisis de operaciones'!E1582*$O910</f>
        <v>104.328099</v>
      </c>
      <c r="E910" s="143">
        <f>'Analisis de operaciones'!F1578/'Analisis de operaciones'!F1582*$O910</f>
        <v>99.76057292</v>
      </c>
      <c r="F910" s="143">
        <f>'Analisis de operaciones'!G1578/'Analisis de operaciones'!G1582*$O910</f>
        <v>93.35494792</v>
      </c>
      <c r="G910" s="143">
        <f>'Analisis de operaciones'!H1578/'Analisis de operaciones'!H1582*$O910</f>
        <v>91.51684896</v>
      </c>
      <c r="H910" s="143">
        <f>'Analisis de operaciones'!I1578/'Analisis de operaciones'!I1582*$O910</f>
        <v>97.92247396</v>
      </c>
      <c r="I910" s="143">
        <f>'Analisis de operaciones'!J1578/'Analisis de operaciones'!J1582*$O910</f>
        <v>97.92247396</v>
      </c>
      <c r="J910" s="143">
        <f>'Analisis de operaciones'!K1578/'Analisis de operaciones'!K1582*$O910</f>
        <v>97.92247396</v>
      </c>
      <c r="K910" s="143">
        <f>'Analisis de operaciones'!L1578/'Analisis de operaciones'!L1582*$O910</f>
        <v>96.084375</v>
      </c>
      <c r="L910" s="143">
        <f>'Analisis de operaciones'!M1578/'Analisis de operaciones'!M1582*$O910</f>
        <v>94.24627604</v>
      </c>
      <c r="M910" s="143">
        <f>'Analisis de operaciones'!N1578/'Analisis de operaciones'!N1582*$O910</f>
        <v>150.0588021</v>
      </c>
      <c r="N910" s="143">
        <f>'Resumen Capacidad'!$J$40*$B$8*$O910</f>
        <v>150</v>
      </c>
      <c r="O910" s="144">
        <f>$B$29</f>
        <v>1</v>
      </c>
    </row>
    <row r="911" ht="15.75" hidden="1" customHeight="1" outlineLevel="1">
      <c r="A911" s="142" t="s">
        <v>76</v>
      </c>
      <c r="B911" s="143">
        <f>'Analisis de operaciones'!C2010/'Analisis de operaciones'!C2014*$O911</f>
        <v>68.51104195</v>
      </c>
      <c r="C911" s="143">
        <f>'Analisis de operaciones'!D2010/'Analisis de operaciones'!D2014*$O911</f>
        <v>52.24356179</v>
      </c>
      <c r="D911" s="143">
        <f>'Analisis de operaciones'!E2010/'Analisis de operaciones'!E2014*$O911</f>
        <v>48.82838917</v>
      </c>
      <c r="E911" s="143">
        <f>'Analisis de operaciones'!F2010/'Analisis de operaciones'!F2014*$O911</f>
        <v>46.6906627</v>
      </c>
      <c r="F911" s="143">
        <f>'Analisis de operaciones'!G2010/'Analisis de operaciones'!G2014*$O911</f>
        <v>43.6926559</v>
      </c>
      <c r="G911" s="143">
        <f>'Analisis de operaciones'!H2010/'Analisis de operaciones'!H2014*$O911</f>
        <v>42.83237557</v>
      </c>
      <c r="H911" s="143">
        <f>'Analisis de operaciones'!I2010/'Analisis de operaciones'!I2014*$O911</f>
        <v>45.83038237</v>
      </c>
      <c r="I911" s="143">
        <f>'Analisis de operaciones'!J2010/'Analisis de operaciones'!J2014*$O911</f>
        <v>45.83038237</v>
      </c>
      <c r="J911" s="143">
        <f>'Analisis de operaciones'!K2010/'Analisis de operaciones'!K2014*$O911</f>
        <v>45.83038237</v>
      </c>
      <c r="K911" s="143">
        <f>'Analisis de operaciones'!L2010/'Analisis de operaciones'!L2014*$O911</f>
        <v>44.97010204</v>
      </c>
      <c r="L911" s="143">
        <f>'Analisis de operaciones'!M2010/'Analisis de operaciones'!M2014*$O911</f>
        <v>44.10982171</v>
      </c>
      <c r="M911" s="143">
        <f>'Analisis de operaciones'!N2010/'Analisis de operaciones'!N2014*$O911</f>
        <v>70.23160261</v>
      </c>
      <c r="N911" s="143">
        <f>'Resumen Capacidad'!$J$41*$B$8*$O911</f>
        <v>150</v>
      </c>
      <c r="O911" s="144">
        <f>$B$30</f>
        <v>1</v>
      </c>
    </row>
    <row r="912" ht="15.75" hidden="1" customHeight="1" outlineLevel="1">
      <c r="A912" s="142" t="s">
        <v>77</v>
      </c>
      <c r="B912" s="143">
        <f>IF('Resumen Capacidad'!$J$42=0,0,'Analisis de operaciones'!C1588/'Analisis de operaciones'!C1592*$O912)</f>
        <v>103.3116324</v>
      </c>
      <c r="C912" s="143">
        <f>IF('Resumen Capacidad'!$J$42=0,0,'Analisis de operaciones'!D1588/'Analisis de operaciones'!D1592*$O912)</f>
        <v>78.78098914</v>
      </c>
      <c r="D912" s="143">
        <f>IF('Resumen Capacidad'!$J$42=0,0,'Analisis de operaciones'!E1588/'Analisis de operaciones'!E1592*$O912)</f>
        <v>73.63105931</v>
      </c>
      <c r="E912" s="143">
        <f>IF('Resumen Capacidad'!$J$42=0,0,'Analisis de operaciones'!F1588/'Analisis de operaciones'!F1592*$O912)</f>
        <v>70.40746199</v>
      </c>
      <c r="F912" s="143">
        <f>IF('Resumen Capacidad'!$J$42=0,0,'Analisis de operaciones'!G1588/'Analisis de operaciones'!G1592*$O912)</f>
        <v>65.88659983</v>
      </c>
      <c r="G912" s="143">
        <f>IF('Resumen Capacidad'!$J$42=0,0,'Analisis de operaciones'!H1588/'Analisis de operaciones'!H1592*$O912)</f>
        <v>64.589335</v>
      </c>
      <c r="H912" s="143">
        <f>IF('Resumen Capacidad'!$J$42=0,0,'Analisis de operaciones'!I1588/'Analisis de operaciones'!I1592*$O912)</f>
        <v>69.11019716</v>
      </c>
      <c r="I912" s="143">
        <f>IF('Resumen Capacidad'!$J$42=0,0,'Analisis de operaciones'!J1588/'Analisis de operaciones'!J1592*$O912)</f>
        <v>69.11019716</v>
      </c>
      <c r="J912" s="143">
        <f>IF('Resumen Capacidad'!$J$42=0,0,'Analisis de operaciones'!K1588/'Analisis de operaciones'!K1592*$O912)</f>
        <v>69.11019716</v>
      </c>
      <c r="K912" s="143">
        <f>IF('Resumen Capacidad'!$J$42=0,0,'Analisis de operaciones'!L1588/'Analisis de operaciones'!L1592*$O912)</f>
        <v>67.81293233</v>
      </c>
      <c r="L912" s="143">
        <f>IF('Resumen Capacidad'!$J$42=0,0,'Analisis de operaciones'!M1588/'Analisis de operaciones'!M1592*$O912)</f>
        <v>66.5156675</v>
      </c>
      <c r="M912" s="143">
        <f>IF('Resumen Capacidad'!$J$42=0,0,'Analisis de operaciones'!N1588/'Analisis de operaciones'!N1592*$O912)</f>
        <v>105.9061621</v>
      </c>
      <c r="N912" s="143">
        <f>'Resumen Capacidad'!$J$42*$B$8*$O912</f>
        <v>75</v>
      </c>
      <c r="O912" s="144">
        <f>$B$31</f>
        <v>0.5</v>
      </c>
    </row>
    <row r="913" ht="15.75" hidden="1" customHeight="1" outlineLevel="1">
      <c r="A913" s="142" t="s">
        <v>79</v>
      </c>
      <c r="B913" s="143">
        <f>'Analisis de operaciones'!C1598/'Analisis de operaciones'!C1602*$O913</f>
        <v>60.55091146</v>
      </c>
      <c r="C913" s="143">
        <f>'Analisis de operaciones'!D1598/'Analisis de operaciones'!D1602*$O913</f>
        <v>47.29408144</v>
      </c>
      <c r="D913" s="143">
        <f>'Analisis de operaciones'!E1598/'Analisis de operaciones'!E1602*$O913</f>
        <v>46.95414891</v>
      </c>
      <c r="E913" s="143">
        <f>'Analisis de operaciones'!F1598/'Analisis de operaciones'!F1602*$O913</f>
        <v>45.77037169</v>
      </c>
      <c r="F913" s="143">
        <f>'Analisis de operaciones'!G1598/'Analisis de operaciones'!G1602*$O913</f>
        <v>43.14586884</v>
      </c>
      <c r="G913" s="143">
        <f>'Analisis de operaciones'!H1598/'Analisis de operaciones'!H1602*$O913</f>
        <v>41.31387902</v>
      </c>
      <c r="H913" s="143">
        <f>'Analisis de operaciones'!I1598/'Analisis de operaciones'!I1602*$O913</f>
        <v>44.32964607</v>
      </c>
      <c r="I913" s="143">
        <f>'Analisis de operaciones'!J1598/'Analisis de operaciones'!J1602*$O913</f>
        <v>44.32964607</v>
      </c>
      <c r="J913" s="143">
        <f>'Analisis de operaciones'!K1598/'Analisis de operaciones'!K1602*$O913</f>
        <v>44.13401397</v>
      </c>
      <c r="K913" s="143">
        <f>'Analisis de operaciones'!L1598/'Analisis de operaciones'!L1602*$O913</f>
        <v>42.30202415</v>
      </c>
      <c r="L913" s="143">
        <f>'Analisis de operaciones'!M1598/'Analisis de operaciones'!M1602*$O913</f>
        <v>40.66566643</v>
      </c>
      <c r="M913" s="143">
        <f>'Analisis de operaciones'!N1598/'Analisis de operaciones'!N1602*$O913</f>
        <v>63.23673059</v>
      </c>
      <c r="N913" s="143">
        <f>'Resumen Capacidad'!$J$43*$B$8*$O913</f>
        <v>75</v>
      </c>
      <c r="O913" s="144">
        <f>$B$32</f>
        <v>0.5</v>
      </c>
    </row>
    <row r="914" ht="15.75" hidden="1" customHeight="1" outlineLevel="1">
      <c r="A914" s="142" t="s">
        <v>81</v>
      </c>
      <c r="B914" s="143">
        <f>'Analisis de operaciones'!C1608/'Analisis de operaciones'!C1612*$O914</f>
        <v>289.9853175</v>
      </c>
      <c r="C914" s="143">
        <f>'Analisis de operaciones'!D1608/'Analisis de operaciones'!D1612*$O914</f>
        <v>226.4968254</v>
      </c>
      <c r="D914" s="143">
        <f>'Analisis de operaciones'!E1608/'Analisis de operaciones'!E1612*$O914</f>
        <v>224.8688492</v>
      </c>
      <c r="E914" s="143">
        <f>'Analisis de operaciones'!F1608/'Analisis de operaciones'!F1612*$O914</f>
        <v>219.1996032</v>
      </c>
      <c r="F914" s="143">
        <f>'Analisis de operaciones'!G1608/'Analisis de operaciones'!G1612*$O914</f>
        <v>206.6305556</v>
      </c>
      <c r="G914" s="143">
        <f>'Analisis de operaciones'!H1608/'Analisis de operaciones'!H1612*$O914</f>
        <v>197.8569444</v>
      </c>
      <c r="H914" s="143">
        <f>'Analisis de operaciones'!I1608/'Analisis de operaciones'!I1612*$O914</f>
        <v>212.2998016</v>
      </c>
      <c r="I914" s="143">
        <f>'Analisis de operaciones'!J1608/'Analisis de operaciones'!J1612*$O914</f>
        <v>212.2998016</v>
      </c>
      <c r="J914" s="143">
        <f>'Analisis de operaciones'!K1608/'Analisis de operaciones'!K1612*$O914</f>
        <v>211.3628968</v>
      </c>
      <c r="K914" s="143">
        <f>'Analisis de operaciones'!L1608/'Analisis de operaciones'!L1612*$O914</f>
        <v>202.5892857</v>
      </c>
      <c r="L914" s="143">
        <f>'Analisis de operaciones'!M1608/'Analisis de operaciones'!M1612*$O914</f>
        <v>194.7525794</v>
      </c>
      <c r="M914" s="143">
        <f>'Analisis de operaciones'!N1608/'Analisis de operaciones'!N1612*$O914</f>
        <v>302.8480159</v>
      </c>
      <c r="N914" s="143">
        <f>'Resumen Capacidad'!$J$44*$B$8*$O914</f>
        <v>300</v>
      </c>
      <c r="O914" s="144">
        <f>$B$33</f>
        <v>1</v>
      </c>
    </row>
    <row r="915" ht="15.75" hidden="1" customHeight="1" outlineLevel="1">
      <c r="A915" s="142" t="s">
        <v>82</v>
      </c>
      <c r="B915" s="143">
        <f>'Analisis de operaciones'!C1618/'Analisis de operaciones'!C1622*$O915</f>
        <v>175.9244259</v>
      </c>
      <c r="C915" s="143">
        <f>'Analisis de operaciones'!D1618/'Analisis de operaciones'!D1622*$O915</f>
        <v>137.4080741</v>
      </c>
      <c r="D915" s="143">
        <f>'Analisis de operaciones'!E1618/'Analisis de operaciones'!E1622*$O915</f>
        <v>136.4204352</v>
      </c>
      <c r="E915" s="143">
        <f>'Analisis de operaciones'!F1618/'Analisis de operaciones'!F1622*$O915</f>
        <v>132.9810926</v>
      </c>
      <c r="F915" s="143">
        <f>'Analisis de operaciones'!G1618/'Analisis de operaciones'!G1622*$O915</f>
        <v>125.3558704</v>
      </c>
      <c r="G915" s="143">
        <f>'Analisis de operaciones'!H1618/'Analisis de operaciones'!H1622*$O915</f>
        <v>120.033213</v>
      </c>
      <c r="H915" s="143">
        <f>'Analisis de operaciones'!I1618/'Analisis de operaciones'!I1622*$O915</f>
        <v>128.795213</v>
      </c>
      <c r="I915" s="143">
        <f>'Analisis de operaciones'!J1618/'Analisis de operaciones'!J1622*$O915</f>
        <v>128.795213</v>
      </c>
      <c r="J915" s="143">
        <f>'Analisis de operaciones'!K1618/'Analisis de operaciones'!K1622*$O915</f>
        <v>128.2268241</v>
      </c>
      <c r="K915" s="143">
        <f>'Analisis de operaciones'!L1618/'Analisis de operaciones'!L1622*$O915</f>
        <v>122.9041667</v>
      </c>
      <c r="L915" s="143">
        <f>'Analisis de operaciones'!M1618/'Analisis de operaciones'!M1622*$O915</f>
        <v>118.1498981</v>
      </c>
      <c r="M915" s="143">
        <f>'Analisis de operaciones'!N1618/'Analisis de operaciones'!N1622*$O915</f>
        <v>183.7277963</v>
      </c>
      <c r="N915" s="143">
        <f>'Resumen Capacidad'!$J$45*$B$8*$O915</f>
        <v>150</v>
      </c>
      <c r="O915" s="144">
        <f>$B$34</f>
        <v>1</v>
      </c>
    </row>
    <row r="916" ht="15.75" hidden="1" customHeight="1" outlineLevel="1">
      <c r="A916" s="142" t="s">
        <v>83</v>
      </c>
      <c r="B916" s="143">
        <f>'Analisis de operaciones'!C1628/'Analisis de operaciones'!C1632*$O916</f>
        <v>159.4919246</v>
      </c>
      <c r="C916" s="143">
        <f>'Analisis de operaciones'!D1628/'Analisis de operaciones'!D1632*$O916</f>
        <v>124.573254</v>
      </c>
      <c r="D916" s="143">
        <f>'Analisis de operaciones'!E1628/'Analisis de operaciones'!E1632*$O916</f>
        <v>123.6778671</v>
      </c>
      <c r="E916" s="143">
        <f>'Analisis de operaciones'!F1628/'Analisis de operaciones'!F1632*$O916</f>
        <v>120.5597817</v>
      </c>
      <c r="F916" s="143">
        <f>'Analisis de operaciones'!G1628/'Analisis de operaciones'!G1632*$O916</f>
        <v>113.6468056</v>
      </c>
      <c r="G916" s="143">
        <f>'Analisis de operaciones'!H1628/'Analisis de operaciones'!H1632*$O916</f>
        <v>108.8213194</v>
      </c>
      <c r="H916" s="143">
        <f>'Analisis de operaciones'!I1628/'Analisis de operaciones'!I1632*$O916</f>
        <v>116.7648909</v>
      </c>
      <c r="I916" s="143">
        <f>'Analisis de operaciones'!J1628/'Analisis de operaciones'!J1632*$O916</f>
        <v>116.7648909</v>
      </c>
      <c r="J916" s="143">
        <f>'Analisis de operaciones'!K1628/'Analisis de operaciones'!K1632*$O916</f>
        <v>116.2495933</v>
      </c>
      <c r="K916" s="143">
        <f>'Analisis de operaciones'!L1628/'Analisis de operaciones'!L1632*$O916</f>
        <v>111.4241071</v>
      </c>
      <c r="L916" s="143">
        <f>'Analisis de operaciones'!M1628/'Analisis de operaciones'!M1632*$O916</f>
        <v>107.1139187</v>
      </c>
      <c r="M916" s="143">
        <f>'Analisis de operaciones'!N1628/'Analisis de operaciones'!N1632*$O916</f>
        <v>166.5664087</v>
      </c>
      <c r="N916" s="143">
        <f>'Resumen Capacidad'!$J$46*$B$8*$O916</f>
        <v>150</v>
      </c>
      <c r="O916" s="144">
        <f>$B$35</f>
        <v>1</v>
      </c>
    </row>
    <row r="917" ht="15.75" hidden="1" customHeight="1" outlineLevel="1">
      <c r="A917" s="142" t="s">
        <v>84</v>
      </c>
      <c r="B917" s="143">
        <f>'Analisis de operaciones'!C1638/'Analisis de operaciones'!C1642*$O917</f>
        <v>575.7715764</v>
      </c>
      <c r="C917" s="143">
        <f>'Analisis de operaciones'!D1638/'Analisis de operaciones'!D1642*$O917</f>
        <v>439.0585382</v>
      </c>
      <c r="D917" s="143">
        <f>'Analisis de operaciones'!E1638/'Analisis de operaciones'!E1642*$O917</f>
        <v>410.3571892</v>
      </c>
      <c r="E917" s="143">
        <f>'Analisis de operaciones'!F1638/'Analisis de operaciones'!F1642*$O917</f>
        <v>392.3915868</v>
      </c>
      <c r="F917" s="143">
        <f>'Analisis de operaciones'!G1638/'Analisis de operaciones'!G1642*$O917</f>
        <v>367.1961285</v>
      </c>
      <c r="G917" s="143">
        <f>'Analisis de operaciones'!H1638/'Analisis de operaciones'!H1642*$O917</f>
        <v>359.9662726</v>
      </c>
      <c r="H917" s="143">
        <f>'Analisis de operaciones'!I1638/'Analisis de operaciones'!I1642*$O917</f>
        <v>385.1617309</v>
      </c>
      <c r="I917" s="143">
        <f>'Analisis de operaciones'!J1638/'Analisis de operaciones'!J1642*$O917</f>
        <v>385.1617309</v>
      </c>
      <c r="J917" s="143">
        <f>'Analisis de operaciones'!K1638/'Analisis de operaciones'!K1642*$O917</f>
        <v>385.1617309</v>
      </c>
      <c r="K917" s="143">
        <f>'Analisis de operaciones'!L1638/'Analisis de operaciones'!L1642*$O917</f>
        <v>377.931875</v>
      </c>
      <c r="L917" s="143">
        <f>'Analisis de operaciones'!M1638/'Analisis de operaciones'!M1642*$O917</f>
        <v>370.7020191</v>
      </c>
      <c r="M917" s="143">
        <f>'Analisis de operaciones'!N1638/'Analisis de operaciones'!N1642*$O917</f>
        <v>590.2312882</v>
      </c>
      <c r="N917" s="143">
        <f>'Resumen Capacidad'!$J$47*$B$8*$O917</f>
        <v>450</v>
      </c>
      <c r="O917" s="144">
        <f>$B$36</f>
        <v>1</v>
      </c>
    </row>
    <row r="918" ht="15.75" hidden="1" customHeight="1" outlineLevel="1">
      <c r="A918" s="142" t="s">
        <v>85</v>
      </c>
      <c r="B918" s="143">
        <f>'Analisis de operaciones'!C2020/'Analisis de operaciones'!C2024*$O918</f>
        <v>139.9146439</v>
      </c>
      <c r="C918" s="143">
        <f>'Analisis de operaciones'!D2020/'Analisis de operaciones'!D2024*$O918</f>
        <v>104.9359829</v>
      </c>
      <c r="D918" s="143">
        <f>'Analisis de operaciones'!E2020/'Analisis de operaciones'!E2024*$O918</f>
        <v>93.27642925</v>
      </c>
      <c r="E918" s="143">
        <f>'Analisis de operaciones'!F2020/'Analisis de operaciones'!F2024*$O918</f>
        <v>87.44665242</v>
      </c>
      <c r="F918" s="143">
        <f>'Analisis de operaciones'!G2020/'Analisis de operaciones'!G2024*$O918</f>
        <v>81.61687559</v>
      </c>
      <c r="G918" s="143">
        <f>'Analisis de operaciones'!H2020/'Analisis de operaciones'!H2024*$O918</f>
        <v>81.61687559</v>
      </c>
      <c r="H918" s="143">
        <f>'Analisis de operaciones'!I2020/'Analisis de operaciones'!I2024*$O918</f>
        <v>87.44665242</v>
      </c>
      <c r="I918" s="143">
        <f>'Analisis de operaciones'!J2020/'Analisis de operaciones'!J2024*$O918</f>
        <v>87.44665242</v>
      </c>
      <c r="J918" s="143">
        <f>'Analisis de operaciones'!K2020/'Analisis de operaciones'!K2024*$O918</f>
        <v>87.44665242</v>
      </c>
      <c r="K918" s="143">
        <f>'Analisis de operaciones'!L2020/'Analisis de operaciones'!L2024*$O918</f>
        <v>87.44665242</v>
      </c>
      <c r="L918" s="143">
        <f>'Analisis de operaciones'!M2020/'Analisis de operaciones'!M2024*$O918</f>
        <v>87.44665242</v>
      </c>
      <c r="M918" s="143">
        <f>'Analisis de operaciones'!N2020/'Analisis de operaciones'!N2024*$O918</f>
        <v>139.9146439</v>
      </c>
      <c r="N918" s="143">
        <f>'Resumen Capacidad'!$J$48*$B$8*$O918</f>
        <v>150</v>
      </c>
      <c r="O918" s="144">
        <f>$B$37</f>
        <v>0.5</v>
      </c>
    </row>
    <row r="919" ht="15.75" hidden="1" customHeight="1" outlineLevel="1">
      <c r="A919" s="141" t="s">
        <v>472</v>
      </c>
    </row>
    <row r="920" ht="15.75" hidden="1" customHeight="1" outlineLevel="1">
      <c r="A920" s="142" t="s">
        <v>88</v>
      </c>
      <c r="B920" s="143">
        <f>'Analisis de operaciones'!C2792/'Analisis de operaciones'!C2796*$O920</f>
        <v>14.5275</v>
      </c>
      <c r="C920" s="143">
        <f>'Analisis de operaciones'!D2792/'Analisis de operaciones'!D2796*$O920</f>
        <v>12.81838235</v>
      </c>
      <c r="D920" s="143">
        <f>'Analisis de operaciones'!E2792/'Analisis de operaciones'!E2796*$O920</f>
        <v>15.38205882</v>
      </c>
      <c r="E920" s="143">
        <f>'Analisis de operaciones'!F2792/'Analisis de operaciones'!F2796*$O920</f>
        <v>15.38205882</v>
      </c>
      <c r="F920" s="143">
        <f>'Analisis de operaciones'!G2792/'Analisis de operaciones'!G2796*$O920</f>
        <v>15.38205882</v>
      </c>
      <c r="G920" s="143">
        <f>'Analisis de operaciones'!H2792/'Analisis de operaciones'!H2796*$O920</f>
        <v>13.67294118</v>
      </c>
      <c r="H920" s="143">
        <f>'Analisis de operaciones'!I2792/'Analisis de operaciones'!I2796*$O920</f>
        <v>15.38205882</v>
      </c>
      <c r="I920" s="143">
        <f>'Analisis de operaciones'!J2792/'Analisis de operaciones'!J2796*$O920</f>
        <v>15.38205882</v>
      </c>
      <c r="J920" s="143">
        <f>'Analisis de operaciones'!K2792/'Analisis de operaciones'!K2796*$O920</f>
        <v>14.5275</v>
      </c>
      <c r="K920" s="143">
        <f>'Analisis de operaciones'!L2792/'Analisis de operaciones'!L2796*$O920</f>
        <v>12.81838235</v>
      </c>
      <c r="L920" s="143">
        <f>'Analisis de operaciones'!M2792/'Analisis de operaciones'!M2796*$O920</f>
        <v>11.96382353</v>
      </c>
      <c r="M920" s="143">
        <f>'Analisis de operaciones'!N2792/'Analisis de operaciones'!N2796*$O920</f>
        <v>13.67294118</v>
      </c>
      <c r="O920" s="144">
        <f>$B$38</f>
        <v>1</v>
      </c>
    </row>
    <row r="921" ht="15.75" hidden="1" customHeight="1" outlineLevel="1">
      <c r="A921" s="142" t="s">
        <v>89</v>
      </c>
      <c r="B921" s="143">
        <f>'Analisis de operaciones'!C2802/'Analisis de operaciones'!C2806*$O921</f>
        <v>121.1090625</v>
      </c>
      <c r="C921" s="143">
        <f>'Analisis de operaciones'!D2802/'Analisis de operaciones'!D2806*$O921</f>
        <v>106.8609375</v>
      </c>
      <c r="D921" s="143">
        <f>'Analisis de operaciones'!E2802/'Analisis de operaciones'!E2806*$O921</f>
        <v>128.233125</v>
      </c>
      <c r="E921" s="143">
        <f>'Analisis de operaciones'!F2802/'Analisis de operaciones'!F2806*$O921</f>
        <v>128.233125</v>
      </c>
      <c r="F921" s="143">
        <f>'Analisis de operaciones'!G2802/'Analisis de operaciones'!G2806*$O921</f>
        <v>128.233125</v>
      </c>
      <c r="G921" s="143">
        <f>'Analisis de operaciones'!H2802/'Analisis de operaciones'!H2806*$O921</f>
        <v>113.985</v>
      </c>
      <c r="H921" s="143">
        <f>'Analisis de operaciones'!I2802/'Analisis de operaciones'!I2806*$O921</f>
        <v>128.233125</v>
      </c>
      <c r="I921" s="143">
        <f>'Analisis de operaciones'!J2802/'Analisis de operaciones'!J2806*$O921</f>
        <v>128.233125</v>
      </c>
      <c r="J921" s="143">
        <f>'Analisis de operaciones'!K2802/'Analisis de operaciones'!K2806*$O921</f>
        <v>121.1090625</v>
      </c>
      <c r="K921" s="143">
        <f>'Analisis de operaciones'!L2802/'Analisis de operaciones'!L2806*$O921</f>
        <v>106.8609375</v>
      </c>
      <c r="L921" s="143">
        <f>'Analisis de operaciones'!M2802/'Analisis de operaciones'!M2806*$O921</f>
        <v>99.736875</v>
      </c>
      <c r="M921" s="143">
        <f>'Analisis de operaciones'!N2802/'Analisis de operaciones'!N2806*$O921</f>
        <v>113.985</v>
      </c>
      <c r="O921" s="144">
        <f>$B$39</f>
        <v>1</v>
      </c>
    </row>
    <row r="922" ht="15.75" hidden="1" customHeight="1" outlineLevel="1">
      <c r="A922" s="142" t="s">
        <v>90</v>
      </c>
      <c r="B922" s="143">
        <f>'Analisis de operaciones'!C2812/'Analisis de operaciones'!C2816*$O922</f>
        <v>5.77375</v>
      </c>
      <c r="C922" s="143">
        <f>'Analisis de operaciones'!D2812/'Analisis de operaciones'!D2816*$O922</f>
        <v>5.094485294</v>
      </c>
      <c r="D922" s="143">
        <f>'Analisis de operaciones'!E2812/'Analisis de operaciones'!E2816*$O922</f>
        <v>6.113382353</v>
      </c>
      <c r="E922" s="143">
        <f>'Analisis de operaciones'!F2812/'Analisis de operaciones'!F2816*$O922</f>
        <v>6.113382353</v>
      </c>
      <c r="F922" s="143">
        <f>'Analisis de operaciones'!G2812/'Analisis de operaciones'!G2816*$O922</f>
        <v>6.113382353</v>
      </c>
      <c r="G922" s="143">
        <f>'Analisis de operaciones'!H2812/'Analisis de operaciones'!H2816*$O922</f>
        <v>5.434117647</v>
      </c>
      <c r="H922" s="143">
        <f>'Analisis de operaciones'!I2812/'Analisis de operaciones'!I2816*$O922</f>
        <v>6.113382353</v>
      </c>
      <c r="I922" s="143">
        <f>'Analisis de operaciones'!J2812/'Analisis de operaciones'!J2816*$O922</f>
        <v>6.113382353</v>
      </c>
      <c r="J922" s="143">
        <f>'Analisis de operaciones'!K2812/'Analisis de operaciones'!K2816*$O922</f>
        <v>5.77375</v>
      </c>
      <c r="K922" s="143">
        <f>'Analisis de operaciones'!L2812/'Analisis de operaciones'!L2816*$O922</f>
        <v>5.094485294</v>
      </c>
      <c r="L922" s="143">
        <f>'Analisis de operaciones'!M2812/'Analisis de operaciones'!M2816*$O922</f>
        <v>4.754852941</v>
      </c>
      <c r="M922" s="143">
        <f>'Analisis de operaciones'!N2812/'Analisis de operaciones'!N2816*$O922</f>
        <v>5.434117647</v>
      </c>
      <c r="O922" s="144">
        <f>$B$40</f>
        <v>0.5</v>
      </c>
    </row>
    <row r="923" ht="15.75" hidden="1" customHeight="1" outlineLevel="1">
      <c r="A923" s="142" t="s">
        <v>91</v>
      </c>
      <c r="B923" s="143">
        <f>'Analisis de operaciones'!C2822/'Analisis de operaciones'!C2826*$O923</f>
        <v>4.28375</v>
      </c>
      <c r="C923" s="143">
        <f>'Analisis de operaciones'!D2822/'Analisis de operaciones'!D2826*$O923</f>
        <v>3.779779412</v>
      </c>
      <c r="D923" s="143">
        <f>'Analisis de operaciones'!E2822/'Analisis de operaciones'!E2826*$O923</f>
        <v>4.535735294</v>
      </c>
      <c r="E923" s="143">
        <f>'Analisis de operaciones'!F2822/'Analisis de operaciones'!F2826*$O923</f>
        <v>4.535735294</v>
      </c>
      <c r="F923" s="143">
        <f>'Analisis de operaciones'!G2822/'Analisis de operaciones'!G2826*$O923</f>
        <v>4.535735294</v>
      </c>
      <c r="G923" s="143">
        <f>'Analisis de operaciones'!H2822/'Analisis de operaciones'!H2826*$O923</f>
        <v>4.031764706</v>
      </c>
      <c r="H923" s="143">
        <f>'Analisis de operaciones'!I2822/'Analisis de operaciones'!I2826*$O923</f>
        <v>4.535735294</v>
      </c>
      <c r="I923" s="143">
        <f>'Analisis de operaciones'!J2822/'Analisis de operaciones'!J2826*$O923</f>
        <v>4.535735294</v>
      </c>
      <c r="J923" s="143">
        <f>'Analisis de operaciones'!K2822/'Analisis de operaciones'!K2826*$O923</f>
        <v>4.28375</v>
      </c>
      <c r="K923" s="143">
        <f>'Analisis de operaciones'!L2822/'Analisis de operaciones'!L2826*$O923</f>
        <v>3.779779412</v>
      </c>
      <c r="L923" s="143">
        <f>'Analisis de operaciones'!M2822/'Analisis de operaciones'!M2826*$O923</f>
        <v>3.527794118</v>
      </c>
      <c r="M923" s="143">
        <f>'Analisis de operaciones'!N2822/'Analisis de operaciones'!N2826*$O923</f>
        <v>4.031764706</v>
      </c>
      <c r="O923" s="144">
        <f>$B$41</f>
        <v>0.5</v>
      </c>
    </row>
    <row r="924" ht="15.75" hidden="1" customHeight="1" outlineLevel="1">
      <c r="A924" s="142" t="s">
        <v>93</v>
      </c>
      <c r="B924" s="143">
        <f>'Analisis de operaciones'!C2832/'Analisis de operaciones'!C2836*$O924</f>
        <v>5.96</v>
      </c>
      <c r="C924" s="143">
        <f>'Analisis de operaciones'!D2832/'Analisis de operaciones'!D2836*$O924</f>
        <v>5.258823529</v>
      </c>
      <c r="D924" s="143">
        <f>'Analisis de operaciones'!E2832/'Analisis de operaciones'!E2836*$O924</f>
        <v>6.310588235</v>
      </c>
      <c r="E924" s="143">
        <f>'Analisis de operaciones'!F2832/'Analisis de operaciones'!F2836*$O924</f>
        <v>6.310588235</v>
      </c>
      <c r="F924" s="143">
        <f>'Analisis de operaciones'!G2832/'Analisis de operaciones'!G2836*$O924</f>
        <v>6.310588235</v>
      </c>
      <c r="G924" s="143">
        <f>'Analisis de operaciones'!H2832/'Analisis de operaciones'!H2836*$O924</f>
        <v>5.609411765</v>
      </c>
      <c r="H924" s="143">
        <f>'Analisis de operaciones'!I2832/'Analisis de operaciones'!I2836*$O924</f>
        <v>6.310588235</v>
      </c>
      <c r="I924" s="143">
        <f>'Analisis de operaciones'!J2832/'Analisis de operaciones'!J2836*$O924</f>
        <v>6.310588235</v>
      </c>
      <c r="J924" s="143">
        <f>'Analisis de operaciones'!K2832/'Analisis de operaciones'!K2836*$O924</f>
        <v>5.96</v>
      </c>
      <c r="K924" s="143">
        <f>'Analisis de operaciones'!L2832/'Analisis de operaciones'!L2836*$O924</f>
        <v>5.258823529</v>
      </c>
      <c r="L924" s="143">
        <f>'Analisis de operaciones'!M2832/'Analisis de operaciones'!M2836*$O924</f>
        <v>4.908235294</v>
      </c>
      <c r="M924" s="143">
        <f>'Analisis de operaciones'!N2832/'Analisis de operaciones'!N2836*$O924</f>
        <v>5.609411765</v>
      </c>
      <c r="O924" s="144">
        <f>$B$42</f>
        <v>1</v>
      </c>
    </row>
    <row r="925" ht="15.75" hidden="1" customHeight="1" outlineLevel="1">
      <c r="A925" s="142" t="s">
        <v>94</v>
      </c>
      <c r="B925" s="143">
        <f>'Analisis de operaciones'!C2842/'Analisis de operaciones'!C2846*$O925</f>
        <v>7.63625</v>
      </c>
      <c r="C925" s="143">
        <f>'Analisis de operaciones'!D2842/'Analisis de operaciones'!D2846*$O925</f>
        <v>6.737867647</v>
      </c>
      <c r="D925" s="143">
        <f>'Analisis de operaciones'!E2842/'Analisis de operaciones'!E2846*$O925</f>
        <v>8.085441176</v>
      </c>
      <c r="E925" s="143">
        <f>'Analisis de operaciones'!F2842/'Analisis de operaciones'!F2846*$O925</f>
        <v>8.085441176</v>
      </c>
      <c r="F925" s="143">
        <f>'Analisis de operaciones'!G2842/'Analisis de operaciones'!G2846*$O925</f>
        <v>8.085441176</v>
      </c>
      <c r="G925" s="143">
        <f>'Analisis de operaciones'!H2842/'Analisis de operaciones'!H2846*$O925</f>
        <v>7.187058824</v>
      </c>
      <c r="H925" s="143">
        <f>'Analisis de operaciones'!I2842/'Analisis de operaciones'!I2846*$O925</f>
        <v>8.085441176</v>
      </c>
      <c r="I925" s="143">
        <f>'Analisis de operaciones'!J2842/'Analisis de operaciones'!J2846*$O925</f>
        <v>8.085441176</v>
      </c>
      <c r="J925" s="143">
        <f>'Analisis de operaciones'!K2842/'Analisis de operaciones'!K2846*$O925</f>
        <v>7.63625</v>
      </c>
      <c r="K925" s="143">
        <f>'Analisis de operaciones'!L2842/'Analisis de operaciones'!L2846*$O925</f>
        <v>6.737867647</v>
      </c>
      <c r="L925" s="143">
        <f>'Analisis de operaciones'!M2842/'Analisis de operaciones'!M2846*$O925</f>
        <v>6.288676471</v>
      </c>
      <c r="M925" s="143">
        <f>'Analisis de operaciones'!N2842/'Analisis de operaciones'!N2846*$O925</f>
        <v>7.187058824</v>
      </c>
      <c r="O925" s="144">
        <f>$B$43</f>
        <v>0.5</v>
      </c>
    </row>
    <row r="926" ht="15.75" hidden="1" customHeight="1" outlineLevel="1">
      <c r="A926" s="142" t="s">
        <v>96</v>
      </c>
      <c r="B926" s="143">
        <f>'Analisis de operaciones'!C2852/'Analisis de operaciones'!C2856*$O926</f>
        <v>5.96</v>
      </c>
      <c r="C926" s="143">
        <f>'Analisis de operaciones'!D2852/'Analisis de operaciones'!D2856*$O926</f>
        <v>5.258823529</v>
      </c>
      <c r="D926" s="143">
        <f>'Analisis de operaciones'!E2852/'Analisis de operaciones'!E2856*$O926</f>
        <v>6.310588235</v>
      </c>
      <c r="E926" s="143">
        <f>'Analisis de operaciones'!F2852/'Analisis de operaciones'!F2856*$O926</f>
        <v>6.310588235</v>
      </c>
      <c r="F926" s="143">
        <f>'Analisis de operaciones'!G2852/'Analisis de operaciones'!G2856*$O926</f>
        <v>6.310588235</v>
      </c>
      <c r="G926" s="143">
        <f>'Analisis de operaciones'!H2852/'Analisis de operaciones'!H2856*$O926</f>
        <v>5.609411765</v>
      </c>
      <c r="H926" s="143">
        <f>'Analisis de operaciones'!I2852/'Analisis de operaciones'!I2856*$O926</f>
        <v>6.310588235</v>
      </c>
      <c r="I926" s="143">
        <f>'Analisis de operaciones'!J2852/'Analisis de operaciones'!J2856*$O926</f>
        <v>6.310588235</v>
      </c>
      <c r="J926" s="143">
        <f>'Analisis de operaciones'!K2852/'Analisis de operaciones'!K2856*$O926</f>
        <v>5.96</v>
      </c>
      <c r="K926" s="143">
        <f>'Analisis de operaciones'!L2852/'Analisis de operaciones'!L2856*$O926</f>
        <v>5.258823529</v>
      </c>
      <c r="L926" s="143">
        <f>'Analisis de operaciones'!M2852/'Analisis de operaciones'!M2856*$O926</f>
        <v>4.908235294</v>
      </c>
      <c r="M926" s="143">
        <f>'Analisis de operaciones'!N2852/'Analisis de operaciones'!N2856*$O926</f>
        <v>5.609411765</v>
      </c>
      <c r="O926" s="144">
        <f>$B$44</f>
        <v>1</v>
      </c>
    </row>
    <row r="927" ht="15.75" hidden="1" customHeight="1" outlineLevel="1">
      <c r="A927" s="142" t="s">
        <v>97</v>
      </c>
      <c r="B927" s="143">
        <f>'Analisis de operaciones'!C2862/'Analisis de operaciones'!C2866*$O927</f>
        <v>40.23</v>
      </c>
      <c r="C927" s="143">
        <f>'Analisis de operaciones'!D2862/'Analisis de operaciones'!D2866*$O927</f>
        <v>35.49705882</v>
      </c>
      <c r="D927" s="143">
        <f>'Analisis de operaciones'!E2862/'Analisis de operaciones'!E2866*$O927</f>
        <v>42.59647059</v>
      </c>
      <c r="E927" s="143">
        <f>'Analisis de operaciones'!F2862/'Analisis de operaciones'!F2866*$O927</f>
        <v>42.59647059</v>
      </c>
      <c r="F927" s="143">
        <f>'Analisis de operaciones'!G2862/'Analisis de operaciones'!G2866*$O927</f>
        <v>42.59647059</v>
      </c>
      <c r="G927" s="143">
        <f>'Analisis de operaciones'!H2862/'Analisis de operaciones'!H2866*$O927</f>
        <v>37.86352941</v>
      </c>
      <c r="H927" s="143">
        <f>'Analisis de operaciones'!I2862/'Analisis de operaciones'!I2866*$O927</f>
        <v>42.59647059</v>
      </c>
      <c r="I927" s="143">
        <f>'Analisis de operaciones'!J2862/'Analisis de operaciones'!J2866*$O927</f>
        <v>42.59647059</v>
      </c>
      <c r="J927" s="143">
        <f>'Analisis de operaciones'!K2862/'Analisis de operaciones'!K2866*$O927</f>
        <v>40.23</v>
      </c>
      <c r="K927" s="143">
        <f>'Analisis de operaciones'!L2862/'Analisis de operaciones'!L2866*$O927</f>
        <v>35.49705882</v>
      </c>
      <c r="L927" s="143">
        <f>'Analisis de operaciones'!M2862/'Analisis de operaciones'!M2866*$O927</f>
        <v>33.13058824</v>
      </c>
      <c r="M927" s="143">
        <f>'Analisis de operaciones'!N2862/'Analisis de operaciones'!N2866*$O927</f>
        <v>37.86352941</v>
      </c>
      <c r="O927" s="144">
        <f>$B$45</f>
        <v>1</v>
      </c>
    </row>
    <row r="928" ht="15.75" hidden="1" customHeight="1" outlineLevel="1">
      <c r="A928" s="142" t="s">
        <v>311</v>
      </c>
      <c r="B928" s="143">
        <f>'Analisis de operaciones'!C3053/'Analisis de operaciones'!C3057*$O928</f>
        <v>58.57269276</v>
      </c>
      <c r="C928" s="143">
        <f>'Analisis de operaciones'!D3053/'Analisis de operaciones'!D3057*$O928</f>
        <v>47.00907419</v>
      </c>
      <c r="D928" s="143">
        <f>'Analisis de operaciones'!E3053/'Analisis de operaciones'!E3057*$O928</f>
        <v>50.1694788</v>
      </c>
      <c r="E928" s="143">
        <f>'Analisis de operaciones'!F3053/'Analisis de operaciones'!F3057*$O928</f>
        <v>50.1694788</v>
      </c>
      <c r="F928" s="143">
        <f>'Analisis de operaciones'!G3053/'Analisis de operaciones'!G3057*$O928</f>
        <v>47.33247415</v>
      </c>
      <c r="G928" s="143">
        <f>'Analisis de operaciones'!H3053/'Analisis de operaciones'!H3057*$O928</f>
        <v>44.27986953</v>
      </c>
      <c r="H928" s="143">
        <f>'Analisis de operaciones'!I3053/'Analisis de operaciones'!I3057*$O928</f>
        <v>47.33247415</v>
      </c>
      <c r="I928" s="143">
        <f>'Analisis de operaciones'!J3053/'Analisis de operaciones'!J3057*$O928</f>
        <v>47.33247415</v>
      </c>
      <c r="J928" s="143">
        <f>'Analisis de operaciones'!K3053/'Analisis de operaciones'!K3057*$O928</f>
        <v>47.22467416</v>
      </c>
      <c r="K928" s="143">
        <f>'Analisis de operaciones'!L3053/'Analisis de operaciones'!L3057*$O928</f>
        <v>44.17206954</v>
      </c>
      <c r="L928" s="143">
        <f>'Analisis de operaciones'!M3053/'Analisis de operaciones'!M3057*$O928</f>
        <v>41.2272649</v>
      </c>
      <c r="M928" s="143">
        <f>'Analisis de operaciones'!N3053/'Analisis de operaciones'!N3057*$O928</f>
        <v>64.13890207</v>
      </c>
      <c r="O928" s="144">
        <v>1.0</v>
      </c>
    </row>
    <row r="929" ht="15.75" hidden="1" customHeight="1" outlineLevel="1">
      <c r="A929" s="141" t="s">
        <v>534</v>
      </c>
    </row>
    <row r="930" ht="15.75" hidden="1" customHeight="1" outlineLevel="1">
      <c r="A930" s="142" t="s">
        <v>26</v>
      </c>
      <c r="B930" s="143">
        <f t="shared" ref="B930:M930" si="420">MAX(0,B899*B$879-$N899)</f>
        <v>113.3155882</v>
      </c>
      <c r="C930" s="143">
        <f t="shared" si="420"/>
        <v>15.17661765</v>
      </c>
      <c r="D930" s="143">
        <f t="shared" si="420"/>
        <v>0</v>
      </c>
      <c r="E930" s="143">
        <f t="shared" si="420"/>
        <v>0</v>
      </c>
      <c r="F930" s="143">
        <f t="shared" si="420"/>
        <v>0</v>
      </c>
      <c r="G930" s="143">
        <f t="shared" si="420"/>
        <v>0</v>
      </c>
      <c r="H930" s="143">
        <f t="shared" si="420"/>
        <v>0</v>
      </c>
      <c r="I930" s="143">
        <f t="shared" si="420"/>
        <v>0</v>
      </c>
      <c r="J930" s="143">
        <f t="shared" si="420"/>
        <v>0</v>
      </c>
      <c r="K930" s="143">
        <f t="shared" si="420"/>
        <v>8.141589817</v>
      </c>
      <c r="L930" s="143">
        <f t="shared" si="420"/>
        <v>11.41175015</v>
      </c>
      <c r="M930" s="143">
        <f t="shared" si="420"/>
        <v>41.54629238</v>
      </c>
    </row>
    <row r="931" ht="15.75" hidden="1" customHeight="1" outlineLevel="1">
      <c r="A931" s="142" t="s">
        <v>55</v>
      </c>
      <c r="B931" s="143">
        <f t="shared" ref="B931:M931" si="421">MAX(0,B900*B$879-$N900)</f>
        <v>5.80624775</v>
      </c>
      <c r="C931" s="143">
        <f t="shared" si="421"/>
        <v>0</v>
      </c>
      <c r="D931" s="143">
        <f t="shared" si="421"/>
        <v>0</v>
      </c>
      <c r="E931" s="143">
        <f t="shared" si="421"/>
        <v>0</v>
      </c>
      <c r="F931" s="143">
        <f t="shared" si="421"/>
        <v>0</v>
      </c>
      <c r="G931" s="143">
        <f t="shared" si="421"/>
        <v>0</v>
      </c>
      <c r="H931" s="143">
        <f t="shared" si="421"/>
        <v>0</v>
      </c>
      <c r="I931" s="143">
        <f t="shared" si="421"/>
        <v>0</v>
      </c>
      <c r="J931" s="143">
        <f t="shared" si="421"/>
        <v>0</v>
      </c>
      <c r="K931" s="143">
        <f t="shared" si="421"/>
        <v>0</v>
      </c>
      <c r="L931" s="143">
        <f t="shared" si="421"/>
        <v>0</v>
      </c>
      <c r="M931" s="143">
        <f t="shared" si="421"/>
        <v>0</v>
      </c>
    </row>
    <row r="932" ht="15.75" hidden="1" customHeight="1" outlineLevel="1">
      <c r="A932" s="142" t="s">
        <v>61</v>
      </c>
      <c r="B932" s="143">
        <f t="shared" ref="B932:M932" si="422">MAX(0,B901*B$879-$N901)</f>
        <v>0</v>
      </c>
      <c r="C932" s="143">
        <f t="shared" si="422"/>
        <v>0</v>
      </c>
      <c r="D932" s="143">
        <f t="shared" si="422"/>
        <v>0</v>
      </c>
      <c r="E932" s="143">
        <f t="shared" si="422"/>
        <v>0</v>
      </c>
      <c r="F932" s="143">
        <f t="shared" si="422"/>
        <v>0</v>
      </c>
      <c r="G932" s="143">
        <f t="shared" si="422"/>
        <v>0</v>
      </c>
      <c r="H932" s="143">
        <f t="shared" si="422"/>
        <v>0</v>
      </c>
      <c r="I932" s="143">
        <f t="shared" si="422"/>
        <v>0</v>
      </c>
      <c r="J932" s="143">
        <f t="shared" si="422"/>
        <v>0</v>
      </c>
      <c r="K932" s="143">
        <f t="shared" si="422"/>
        <v>0</v>
      </c>
      <c r="L932" s="143">
        <f t="shared" si="422"/>
        <v>0</v>
      </c>
      <c r="M932" s="143">
        <f t="shared" si="422"/>
        <v>0</v>
      </c>
    </row>
    <row r="933" ht="15.75" hidden="1" customHeight="1" outlineLevel="1">
      <c r="A933" s="142" t="s">
        <v>62</v>
      </c>
      <c r="B933" s="143">
        <f t="shared" ref="B933:M933" si="423">MAX(0,B902*B$879-$N902)</f>
        <v>0</v>
      </c>
      <c r="C933" s="143">
        <f t="shared" si="423"/>
        <v>0</v>
      </c>
      <c r="D933" s="143">
        <f t="shared" si="423"/>
        <v>0</v>
      </c>
      <c r="E933" s="143">
        <f t="shared" si="423"/>
        <v>0</v>
      </c>
      <c r="F933" s="143">
        <f t="shared" si="423"/>
        <v>0</v>
      </c>
      <c r="G933" s="143">
        <f t="shared" si="423"/>
        <v>0</v>
      </c>
      <c r="H933" s="143">
        <f t="shared" si="423"/>
        <v>0</v>
      </c>
      <c r="I933" s="143">
        <f t="shared" si="423"/>
        <v>0</v>
      </c>
      <c r="J933" s="143">
        <f t="shared" si="423"/>
        <v>0</v>
      </c>
      <c r="K933" s="143">
        <f t="shared" si="423"/>
        <v>0</v>
      </c>
      <c r="L933" s="143">
        <f t="shared" si="423"/>
        <v>0</v>
      </c>
      <c r="M933" s="143">
        <f t="shared" si="423"/>
        <v>0</v>
      </c>
    </row>
    <row r="934" ht="15.75" hidden="1" customHeight="1" outlineLevel="1">
      <c r="A934" s="142" t="s">
        <v>63</v>
      </c>
      <c r="B934" s="143">
        <f t="shared" ref="B934:M934" si="424">MAX(0,B903*B$879-$N903)</f>
        <v>0</v>
      </c>
      <c r="C934" s="143">
        <f t="shared" si="424"/>
        <v>0</v>
      </c>
      <c r="D934" s="143">
        <f t="shared" si="424"/>
        <v>0</v>
      </c>
      <c r="E934" s="143">
        <f t="shared" si="424"/>
        <v>0</v>
      </c>
      <c r="F934" s="143">
        <f t="shared" si="424"/>
        <v>0</v>
      </c>
      <c r="G934" s="143">
        <f t="shared" si="424"/>
        <v>0</v>
      </c>
      <c r="H934" s="143">
        <f t="shared" si="424"/>
        <v>0</v>
      </c>
      <c r="I934" s="143">
        <f t="shared" si="424"/>
        <v>0</v>
      </c>
      <c r="J934" s="143">
        <f t="shared" si="424"/>
        <v>0</v>
      </c>
      <c r="K934" s="143">
        <f t="shared" si="424"/>
        <v>0</v>
      </c>
      <c r="L934" s="143">
        <f t="shared" si="424"/>
        <v>0</v>
      </c>
      <c r="M934" s="143">
        <f t="shared" si="424"/>
        <v>0</v>
      </c>
    </row>
    <row r="935" ht="15.75" hidden="1" customHeight="1" outlineLevel="1">
      <c r="A935" s="142" t="s">
        <v>64</v>
      </c>
      <c r="B935" s="143">
        <f t="shared" ref="B935:M935" si="425">MAX(0,B904*B$879-$N904)</f>
        <v>0</v>
      </c>
      <c r="C935" s="143">
        <f t="shared" si="425"/>
        <v>0</v>
      </c>
      <c r="D935" s="143">
        <f t="shared" si="425"/>
        <v>0</v>
      </c>
      <c r="E935" s="143">
        <f t="shared" si="425"/>
        <v>0</v>
      </c>
      <c r="F935" s="143">
        <f t="shared" si="425"/>
        <v>0</v>
      </c>
      <c r="G935" s="143">
        <f t="shared" si="425"/>
        <v>0</v>
      </c>
      <c r="H935" s="143">
        <f t="shared" si="425"/>
        <v>0</v>
      </c>
      <c r="I935" s="143">
        <f t="shared" si="425"/>
        <v>0</v>
      </c>
      <c r="J935" s="143">
        <f t="shared" si="425"/>
        <v>0</v>
      </c>
      <c r="K935" s="143">
        <f t="shared" si="425"/>
        <v>0</v>
      </c>
      <c r="L935" s="143">
        <f t="shared" si="425"/>
        <v>0</v>
      </c>
      <c r="M935" s="143">
        <f t="shared" si="425"/>
        <v>0</v>
      </c>
    </row>
    <row r="936" ht="15.75" hidden="1" customHeight="1" outlineLevel="1">
      <c r="A936" s="142" t="s">
        <v>66</v>
      </c>
      <c r="B936" s="143">
        <f t="shared" ref="B936:M936" si="426">MAX(0,B905*B$879-$N905)</f>
        <v>163.3582828</v>
      </c>
      <c r="C936" s="143">
        <f t="shared" si="426"/>
        <v>53.3370153</v>
      </c>
      <c r="D936" s="143">
        <f t="shared" si="426"/>
        <v>30.23930032</v>
      </c>
      <c r="E936" s="143">
        <f t="shared" si="426"/>
        <v>15.78129122</v>
      </c>
      <c r="F936" s="143">
        <f t="shared" si="426"/>
        <v>0</v>
      </c>
      <c r="G936" s="143">
        <f t="shared" si="426"/>
        <v>0</v>
      </c>
      <c r="H936" s="143">
        <f t="shared" si="426"/>
        <v>9.962987998</v>
      </c>
      <c r="I936" s="143">
        <f t="shared" si="426"/>
        <v>9.962987998</v>
      </c>
      <c r="J936" s="143">
        <f t="shared" si="426"/>
        <v>9.962987998</v>
      </c>
      <c r="K936" s="143">
        <f t="shared" si="426"/>
        <v>45.4502128</v>
      </c>
      <c r="L936" s="143">
        <f t="shared" si="426"/>
        <v>49.11631183</v>
      </c>
      <c r="M936" s="143">
        <f t="shared" si="426"/>
        <v>82.89943092</v>
      </c>
    </row>
    <row r="937" ht="15.75" hidden="1" customHeight="1" outlineLevel="1">
      <c r="A937" s="142" t="s">
        <v>67</v>
      </c>
      <c r="B937" s="143">
        <f t="shared" ref="B937:M937" si="427">MAX(0,B906*B$879-$N906)</f>
        <v>0</v>
      </c>
      <c r="C937" s="143">
        <f t="shared" si="427"/>
        <v>0</v>
      </c>
      <c r="D937" s="143">
        <f t="shared" si="427"/>
        <v>0</v>
      </c>
      <c r="E937" s="143">
        <f t="shared" si="427"/>
        <v>0</v>
      </c>
      <c r="F937" s="143">
        <f t="shared" si="427"/>
        <v>0</v>
      </c>
      <c r="G937" s="143">
        <f t="shared" si="427"/>
        <v>0</v>
      </c>
      <c r="H937" s="143">
        <f t="shared" si="427"/>
        <v>0</v>
      </c>
      <c r="I937" s="143">
        <f t="shared" si="427"/>
        <v>0</v>
      </c>
      <c r="J937" s="143">
        <f t="shared" si="427"/>
        <v>0</v>
      </c>
      <c r="K937" s="143">
        <f t="shared" si="427"/>
        <v>0</v>
      </c>
      <c r="L937" s="143">
        <f t="shared" si="427"/>
        <v>0</v>
      </c>
      <c r="M937" s="143">
        <f t="shared" si="427"/>
        <v>0</v>
      </c>
    </row>
    <row r="938" ht="15.75" hidden="1" customHeight="1" outlineLevel="1">
      <c r="A938" s="142" t="s">
        <v>68</v>
      </c>
      <c r="B938" s="143">
        <f t="shared" ref="B938:M938" si="428">MAX(0,B907*B$879-$N907)</f>
        <v>70.78824158</v>
      </c>
      <c r="C938" s="143">
        <f t="shared" si="428"/>
        <v>18.3635778</v>
      </c>
      <c r="D938" s="143">
        <f t="shared" si="428"/>
        <v>7.357615322</v>
      </c>
      <c r="E938" s="143">
        <f t="shared" si="428"/>
        <v>0.4684357717</v>
      </c>
      <c r="F938" s="143">
        <f t="shared" si="428"/>
        <v>0</v>
      </c>
      <c r="G938" s="143">
        <f t="shared" si="428"/>
        <v>0</v>
      </c>
      <c r="H938" s="143">
        <f t="shared" si="428"/>
        <v>0</v>
      </c>
      <c r="I938" s="143">
        <f t="shared" si="428"/>
        <v>0</v>
      </c>
      <c r="J938" s="143">
        <f t="shared" si="428"/>
        <v>0</v>
      </c>
      <c r="K938" s="143">
        <f t="shared" si="428"/>
        <v>14.60555012</v>
      </c>
      <c r="L938" s="143">
        <f t="shared" si="428"/>
        <v>16.35243064</v>
      </c>
      <c r="M938" s="143">
        <f t="shared" si="428"/>
        <v>32.44994251</v>
      </c>
    </row>
    <row r="939" ht="15.75" hidden="1" customHeight="1" outlineLevel="1">
      <c r="A939" s="142" t="s">
        <v>70</v>
      </c>
      <c r="B939" s="143">
        <f t="shared" ref="B939:M939" si="429">MAX(0,B908*B$879-$N908)</f>
        <v>12.17539897</v>
      </c>
      <c r="C939" s="143">
        <f t="shared" si="429"/>
        <v>0</v>
      </c>
      <c r="D939" s="143">
        <f t="shared" si="429"/>
        <v>0</v>
      </c>
      <c r="E939" s="143">
        <f t="shared" si="429"/>
        <v>0</v>
      </c>
      <c r="F939" s="143">
        <f t="shared" si="429"/>
        <v>0</v>
      </c>
      <c r="G939" s="143">
        <f t="shared" si="429"/>
        <v>0</v>
      </c>
      <c r="H939" s="143">
        <f t="shared" si="429"/>
        <v>0</v>
      </c>
      <c r="I939" s="143">
        <f t="shared" si="429"/>
        <v>0</v>
      </c>
      <c r="J939" s="143">
        <f t="shared" si="429"/>
        <v>0</v>
      </c>
      <c r="K939" s="143">
        <f t="shared" si="429"/>
        <v>0</v>
      </c>
      <c r="L939" s="143">
        <f t="shared" si="429"/>
        <v>0</v>
      </c>
      <c r="M939" s="143">
        <f t="shared" si="429"/>
        <v>0</v>
      </c>
    </row>
    <row r="940" ht="15.75" hidden="1" customHeight="1" outlineLevel="1">
      <c r="A940" s="142" t="s">
        <v>72</v>
      </c>
      <c r="B940" s="143">
        <f t="shared" ref="B940:M940" si="430">MAX(0,B909*B$879-$N909)</f>
        <v>0</v>
      </c>
      <c r="C940" s="143">
        <f t="shared" si="430"/>
        <v>0</v>
      </c>
      <c r="D940" s="143">
        <f t="shared" si="430"/>
        <v>0</v>
      </c>
      <c r="E940" s="143">
        <f t="shared" si="430"/>
        <v>0</v>
      </c>
      <c r="F940" s="143">
        <f t="shared" si="430"/>
        <v>0</v>
      </c>
      <c r="G940" s="143">
        <f t="shared" si="430"/>
        <v>0</v>
      </c>
      <c r="H940" s="143">
        <f t="shared" si="430"/>
        <v>0</v>
      </c>
      <c r="I940" s="143">
        <f t="shared" si="430"/>
        <v>0</v>
      </c>
      <c r="J940" s="143">
        <f t="shared" si="430"/>
        <v>0</v>
      </c>
      <c r="K940" s="143">
        <f t="shared" si="430"/>
        <v>0</v>
      </c>
      <c r="L940" s="143">
        <f t="shared" si="430"/>
        <v>0</v>
      </c>
      <c r="M940" s="143">
        <f t="shared" si="430"/>
        <v>0</v>
      </c>
    </row>
    <row r="941" ht="15.75" hidden="1" customHeight="1" outlineLevel="1">
      <c r="A941" s="142" t="s">
        <v>74</v>
      </c>
      <c r="B941" s="143">
        <f t="shared" ref="B941:M941" si="431">MAX(0,B910*B$879-$N910)</f>
        <v>0</v>
      </c>
      <c r="C941" s="143">
        <f t="shared" si="431"/>
        <v>0</v>
      </c>
      <c r="D941" s="143">
        <f t="shared" si="431"/>
        <v>0</v>
      </c>
      <c r="E941" s="143">
        <f t="shared" si="431"/>
        <v>0</v>
      </c>
      <c r="F941" s="143">
        <f t="shared" si="431"/>
        <v>0</v>
      </c>
      <c r="G941" s="143">
        <f t="shared" si="431"/>
        <v>0</v>
      </c>
      <c r="H941" s="143">
        <f t="shared" si="431"/>
        <v>0</v>
      </c>
      <c r="I941" s="143">
        <f t="shared" si="431"/>
        <v>0</v>
      </c>
      <c r="J941" s="143">
        <f t="shared" si="431"/>
        <v>0</v>
      </c>
      <c r="K941" s="143">
        <f t="shared" si="431"/>
        <v>0</v>
      </c>
      <c r="L941" s="143">
        <f t="shared" si="431"/>
        <v>0</v>
      </c>
      <c r="M941" s="143">
        <f t="shared" si="431"/>
        <v>0</v>
      </c>
    </row>
    <row r="942" ht="15.75" hidden="1" customHeight="1" outlineLevel="1">
      <c r="A942" s="142" t="s">
        <v>76</v>
      </c>
      <c r="B942" s="143">
        <f t="shared" ref="B942:M942" si="432">MAX(0,B911*B$879-$N911)</f>
        <v>0</v>
      </c>
      <c r="C942" s="143">
        <f t="shared" si="432"/>
        <v>0</v>
      </c>
      <c r="D942" s="143">
        <f t="shared" si="432"/>
        <v>0</v>
      </c>
      <c r="E942" s="143">
        <f t="shared" si="432"/>
        <v>0</v>
      </c>
      <c r="F942" s="143">
        <f t="shared" si="432"/>
        <v>0</v>
      </c>
      <c r="G942" s="143">
        <f t="shared" si="432"/>
        <v>0</v>
      </c>
      <c r="H942" s="143">
        <f t="shared" si="432"/>
        <v>0</v>
      </c>
      <c r="I942" s="143">
        <f t="shared" si="432"/>
        <v>0</v>
      </c>
      <c r="J942" s="143">
        <f t="shared" si="432"/>
        <v>0</v>
      </c>
      <c r="K942" s="143">
        <f t="shared" si="432"/>
        <v>0</v>
      </c>
      <c r="L942" s="143">
        <f t="shared" si="432"/>
        <v>0</v>
      </c>
      <c r="M942" s="143">
        <f t="shared" si="432"/>
        <v>0</v>
      </c>
    </row>
    <row r="943" ht="15.75" hidden="1" customHeight="1" outlineLevel="1">
      <c r="A943" s="142" t="s">
        <v>77</v>
      </c>
      <c r="B943" s="143">
        <f t="shared" ref="B943:M943" si="433">MAX(0,B912*B$879-$N912)</f>
        <v>28.31163241</v>
      </c>
      <c r="C943" s="143">
        <f t="shared" si="433"/>
        <v>3.78098914</v>
      </c>
      <c r="D943" s="143">
        <f t="shared" si="433"/>
        <v>0</v>
      </c>
      <c r="E943" s="143">
        <f t="shared" si="433"/>
        <v>0</v>
      </c>
      <c r="F943" s="143">
        <f t="shared" si="433"/>
        <v>0</v>
      </c>
      <c r="G943" s="143">
        <f t="shared" si="433"/>
        <v>0</v>
      </c>
      <c r="H943" s="143">
        <f t="shared" si="433"/>
        <v>0</v>
      </c>
      <c r="I943" s="143">
        <f t="shared" si="433"/>
        <v>0</v>
      </c>
      <c r="J943" s="143">
        <f t="shared" si="433"/>
        <v>0</v>
      </c>
      <c r="K943" s="143">
        <f t="shared" si="433"/>
        <v>2.022526043</v>
      </c>
      <c r="L943" s="143">
        <f t="shared" si="433"/>
        <v>2.839929528</v>
      </c>
      <c r="M943" s="143">
        <f t="shared" si="433"/>
        <v>10.37230633</v>
      </c>
    </row>
    <row r="944" ht="15.75" hidden="1" customHeight="1" outlineLevel="1">
      <c r="A944" s="142" t="s">
        <v>79</v>
      </c>
      <c r="B944" s="143">
        <f t="shared" ref="B944:M944" si="434">MAX(0,B913*B$879-$N913)</f>
        <v>0</v>
      </c>
      <c r="C944" s="143">
        <f t="shared" si="434"/>
        <v>0</v>
      </c>
      <c r="D944" s="143">
        <f t="shared" si="434"/>
        <v>0</v>
      </c>
      <c r="E944" s="143">
        <f t="shared" si="434"/>
        <v>0</v>
      </c>
      <c r="F944" s="143">
        <f t="shared" si="434"/>
        <v>0</v>
      </c>
      <c r="G944" s="143">
        <f t="shared" si="434"/>
        <v>0</v>
      </c>
      <c r="H944" s="143">
        <f t="shared" si="434"/>
        <v>0</v>
      </c>
      <c r="I944" s="143">
        <f t="shared" si="434"/>
        <v>0</v>
      </c>
      <c r="J944" s="143">
        <f t="shared" si="434"/>
        <v>0</v>
      </c>
      <c r="K944" s="143">
        <f t="shared" si="434"/>
        <v>0</v>
      </c>
      <c r="L944" s="143">
        <f t="shared" si="434"/>
        <v>0</v>
      </c>
      <c r="M944" s="143">
        <f t="shared" si="434"/>
        <v>0</v>
      </c>
    </row>
    <row r="945" ht="15.75" hidden="1" customHeight="1" outlineLevel="1">
      <c r="A945" s="142" t="s">
        <v>81</v>
      </c>
      <c r="B945" s="143">
        <f t="shared" ref="B945:M945" si="435">MAX(0,B914*B$879-$N914)</f>
        <v>0</v>
      </c>
      <c r="C945" s="143">
        <f t="shared" si="435"/>
        <v>0</v>
      </c>
      <c r="D945" s="143">
        <f t="shared" si="435"/>
        <v>0</v>
      </c>
      <c r="E945" s="143">
        <f t="shared" si="435"/>
        <v>0</v>
      </c>
      <c r="F945" s="143">
        <f t="shared" si="435"/>
        <v>0</v>
      </c>
      <c r="G945" s="143">
        <f t="shared" si="435"/>
        <v>0</v>
      </c>
      <c r="H945" s="143">
        <f t="shared" si="435"/>
        <v>0</v>
      </c>
      <c r="I945" s="143">
        <f t="shared" si="435"/>
        <v>0</v>
      </c>
      <c r="J945" s="143">
        <f t="shared" si="435"/>
        <v>0</v>
      </c>
      <c r="K945" s="143">
        <f t="shared" si="435"/>
        <v>0</v>
      </c>
      <c r="L945" s="143">
        <f t="shared" si="435"/>
        <v>0</v>
      </c>
      <c r="M945" s="143">
        <f t="shared" si="435"/>
        <v>0</v>
      </c>
    </row>
    <row r="946" ht="15.75" hidden="1" customHeight="1" outlineLevel="1">
      <c r="A946" s="142" t="s">
        <v>82</v>
      </c>
      <c r="B946" s="143">
        <f t="shared" ref="B946:M946" si="436">MAX(0,B915*B$879-$N915)</f>
        <v>25.92442593</v>
      </c>
      <c r="C946" s="143">
        <f t="shared" si="436"/>
        <v>0</v>
      </c>
      <c r="D946" s="143">
        <f t="shared" si="436"/>
        <v>0</v>
      </c>
      <c r="E946" s="143">
        <f t="shared" si="436"/>
        <v>0</v>
      </c>
      <c r="F946" s="143">
        <f t="shared" si="436"/>
        <v>0</v>
      </c>
      <c r="G946" s="143">
        <f t="shared" si="436"/>
        <v>0</v>
      </c>
      <c r="H946" s="143">
        <f t="shared" si="436"/>
        <v>0</v>
      </c>
      <c r="I946" s="143">
        <f t="shared" si="436"/>
        <v>0</v>
      </c>
      <c r="J946" s="143">
        <f t="shared" si="436"/>
        <v>0</v>
      </c>
      <c r="K946" s="143">
        <f t="shared" si="436"/>
        <v>0</v>
      </c>
      <c r="L946" s="143">
        <f t="shared" si="436"/>
        <v>0</v>
      </c>
      <c r="M946" s="143">
        <f t="shared" si="436"/>
        <v>0</v>
      </c>
    </row>
    <row r="947" ht="15.75" hidden="1" customHeight="1" outlineLevel="1">
      <c r="A947" s="142" t="s">
        <v>83</v>
      </c>
      <c r="B947" s="143">
        <f t="shared" ref="B947:M947" si="437">MAX(0,B916*B$879-$N916)</f>
        <v>9.491924603</v>
      </c>
      <c r="C947" s="143">
        <f t="shared" si="437"/>
        <v>0</v>
      </c>
      <c r="D947" s="143">
        <f t="shared" si="437"/>
        <v>0</v>
      </c>
      <c r="E947" s="143">
        <f t="shared" si="437"/>
        <v>0</v>
      </c>
      <c r="F947" s="143">
        <f t="shared" si="437"/>
        <v>0</v>
      </c>
      <c r="G947" s="143">
        <f t="shared" si="437"/>
        <v>0</v>
      </c>
      <c r="H947" s="143">
        <f t="shared" si="437"/>
        <v>0</v>
      </c>
      <c r="I947" s="143">
        <f t="shared" si="437"/>
        <v>0</v>
      </c>
      <c r="J947" s="143">
        <f t="shared" si="437"/>
        <v>0</v>
      </c>
      <c r="K947" s="143">
        <f t="shared" si="437"/>
        <v>0</v>
      </c>
      <c r="L947" s="143">
        <f t="shared" si="437"/>
        <v>0</v>
      </c>
      <c r="M947" s="143">
        <f t="shared" si="437"/>
        <v>0</v>
      </c>
    </row>
    <row r="948" ht="15.75" hidden="1" customHeight="1" outlineLevel="1">
      <c r="A948" s="142" t="s">
        <v>84</v>
      </c>
      <c r="B948" s="143">
        <f t="shared" ref="B948:M948" si="438">MAX(0,B917*B$879-$N917)</f>
        <v>125.7715764</v>
      </c>
      <c r="C948" s="143">
        <f t="shared" si="438"/>
        <v>0</v>
      </c>
      <c r="D948" s="143">
        <f t="shared" si="438"/>
        <v>0</v>
      </c>
      <c r="E948" s="143">
        <f t="shared" si="438"/>
        <v>0</v>
      </c>
      <c r="F948" s="143">
        <f t="shared" si="438"/>
        <v>0</v>
      </c>
      <c r="G948" s="143">
        <f t="shared" si="438"/>
        <v>0</v>
      </c>
      <c r="H948" s="143">
        <f t="shared" si="438"/>
        <v>0</v>
      </c>
      <c r="I948" s="143">
        <f t="shared" si="438"/>
        <v>0</v>
      </c>
      <c r="J948" s="143">
        <f t="shared" si="438"/>
        <v>0</v>
      </c>
      <c r="K948" s="143">
        <f t="shared" si="438"/>
        <v>0</v>
      </c>
      <c r="L948" s="143">
        <f t="shared" si="438"/>
        <v>0</v>
      </c>
      <c r="M948" s="143">
        <f t="shared" si="438"/>
        <v>25.79296009</v>
      </c>
    </row>
    <row r="949" ht="15.75" hidden="1" customHeight="1" outlineLevel="1">
      <c r="A949" s="142" t="s">
        <v>85</v>
      </c>
      <c r="B949" s="143">
        <f t="shared" ref="B949:M949" si="439">MAX(0,B918*B$879-$N918)</f>
        <v>0</v>
      </c>
      <c r="C949" s="143">
        <f t="shared" si="439"/>
        <v>0</v>
      </c>
      <c r="D949" s="143">
        <f t="shared" si="439"/>
        <v>0</v>
      </c>
      <c r="E949" s="143">
        <f t="shared" si="439"/>
        <v>0</v>
      </c>
      <c r="F949" s="143">
        <f t="shared" si="439"/>
        <v>0</v>
      </c>
      <c r="G949" s="143">
        <f t="shared" si="439"/>
        <v>0</v>
      </c>
      <c r="H949" s="143">
        <f t="shared" si="439"/>
        <v>0</v>
      </c>
      <c r="I949" s="143">
        <f t="shared" si="439"/>
        <v>0</v>
      </c>
      <c r="J949" s="143">
        <f t="shared" si="439"/>
        <v>0</v>
      </c>
      <c r="K949" s="143">
        <f t="shared" si="439"/>
        <v>0</v>
      </c>
      <c r="L949" s="143">
        <f t="shared" si="439"/>
        <v>0</v>
      </c>
      <c r="M949" s="143">
        <f t="shared" si="439"/>
        <v>0</v>
      </c>
    </row>
    <row r="950" ht="15.75" customHeight="1"/>
    <row r="951" ht="15.75" customHeight="1"/>
    <row r="952" ht="15.75" customHeight="1">
      <c r="A952" s="45" t="s">
        <v>1074</v>
      </c>
      <c r="B952" s="69"/>
      <c r="C952" s="69"/>
      <c r="D952" s="69"/>
      <c r="E952" s="69"/>
      <c r="F952" s="69"/>
      <c r="G952" s="69"/>
      <c r="H952" s="69"/>
      <c r="I952" s="69"/>
      <c r="J952" s="69"/>
      <c r="K952" s="69"/>
      <c r="L952" s="69"/>
      <c r="M952" s="69"/>
      <c r="N952" s="69"/>
    </row>
    <row r="953" ht="15.75" customHeight="1">
      <c r="A953" s="73" t="s">
        <v>270</v>
      </c>
      <c r="B953" s="36">
        <f>'Resumen Capacidad'!K85</f>
        <v>2</v>
      </c>
    </row>
    <row r="954" ht="15.75" customHeight="1">
      <c r="A954" s="30" t="s">
        <v>333</v>
      </c>
      <c r="B954" s="84">
        <f>IF($B$5=1,MAX(MAX(B968:L968),M967),MAX(B968:M968))</f>
        <v>4797.835741</v>
      </c>
    </row>
    <row r="955" ht="15.75" customHeight="1">
      <c r="A955" s="73" t="s">
        <v>275</v>
      </c>
      <c r="B955" s="115">
        <f>MIN('Resumen Capacidad'!K$49+'Resumen Capacidad'!K$228+'Resumen Capacidad'!K$235,MAX($B$13,ROUNDUP(B954/$B$11,0)))</f>
        <v>30</v>
      </c>
      <c r="C955" s="22" t="s">
        <v>339</v>
      </c>
    </row>
    <row r="956" ht="15.75" customHeight="1">
      <c r="A956" s="73" t="s">
        <v>284</v>
      </c>
      <c r="B956" s="115">
        <f>IF(B953=2,ROUNDUP(MAX(B974:M974)/$B$11,0),0)</f>
        <v>6</v>
      </c>
      <c r="C956" s="22" t="s">
        <v>341</v>
      </c>
    </row>
    <row r="957" ht="15.75" customHeight="1">
      <c r="A957" s="73" t="s">
        <v>280</v>
      </c>
      <c r="B957" s="115">
        <f>IF(MAX(B984:M984)=0,0,MAX(Parametros!$B$73,ROUNDUP(MAX(B984:M984)/$B$11,0)))</f>
        <v>16</v>
      </c>
      <c r="C957" s="22" t="s">
        <v>345</v>
      </c>
    </row>
    <row r="958" ht="15.75" customHeight="1">
      <c r="A958" s="73" t="s">
        <v>286</v>
      </c>
      <c r="B958" s="115">
        <f>IF(B953=2,MAX(1,ROUNDUP(MAX(B978:M978)/$B$11,0)),0)</f>
        <v>2</v>
      </c>
      <c r="C958" s="22" t="s">
        <v>347</v>
      </c>
    </row>
    <row r="959" ht="15.75" customHeight="1"/>
    <row r="960" ht="15.75" customHeight="1">
      <c r="A960" s="29" t="s">
        <v>188</v>
      </c>
      <c r="B960" s="29" t="s">
        <v>109</v>
      </c>
      <c r="C960" s="29" t="s">
        <v>110</v>
      </c>
      <c r="D960" s="29" t="s">
        <v>111</v>
      </c>
      <c r="E960" s="29" t="s">
        <v>112</v>
      </c>
      <c r="F960" s="29" t="s">
        <v>113</v>
      </c>
      <c r="G960" s="29" t="s">
        <v>114</v>
      </c>
      <c r="H960" s="29" t="s">
        <v>115</v>
      </c>
      <c r="I960" s="29" t="s">
        <v>116</v>
      </c>
      <c r="J960" s="29" t="s">
        <v>117</v>
      </c>
      <c r="K960" s="29" t="s">
        <v>118</v>
      </c>
      <c r="L960" s="29" t="s">
        <v>119</v>
      </c>
      <c r="M960" s="29" t="s">
        <v>120</v>
      </c>
      <c r="N960" s="29" t="s">
        <v>348</v>
      </c>
    </row>
    <row r="961" ht="15.75" customHeight="1">
      <c r="A961" s="30" t="s">
        <v>349</v>
      </c>
      <c r="B961" s="64">
        <f>K$74*B$53</f>
        <v>0</v>
      </c>
      <c r="C961" s="64">
        <f>K$74*C$53</f>
        <v>393.75</v>
      </c>
      <c r="D961" s="64">
        <f>K$74*D$53</f>
        <v>525</v>
      </c>
      <c r="E961" s="64">
        <f>K$74*E$53</f>
        <v>525</v>
      </c>
      <c r="F961" s="64">
        <f>K$74*F$53</f>
        <v>0</v>
      </c>
      <c r="G961" s="64">
        <f>K$74*G$53</f>
        <v>0</v>
      </c>
      <c r="H961" s="64">
        <f>K$74*H$53</f>
        <v>656.25</v>
      </c>
      <c r="I961" s="64">
        <f>K$74*I$53</f>
        <v>0</v>
      </c>
      <c r="J961" s="64">
        <f>K$74*J$53</f>
        <v>0</v>
      </c>
      <c r="K961" s="64">
        <f>K$74*K$53</f>
        <v>262.5</v>
      </c>
      <c r="L961" s="64">
        <f>K$74*L$53</f>
        <v>262.5</v>
      </c>
      <c r="M961" s="64">
        <f>K$74*M$53</f>
        <v>0</v>
      </c>
      <c r="N961" s="84">
        <f t="shared" ref="N961:N984" si="441">MAX(B961:M961)</f>
        <v>656.25</v>
      </c>
      <c r="P961" s="238">
        <f t="shared" ref="P961:Z961" si="440">C53*$AA$961</f>
        <v>4.2</v>
      </c>
      <c r="Q961" s="238">
        <f t="shared" si="440"/>
        <v>5.6</v>
      </c>
      <c r="R961" s="238">
        <f t="shared" si="440"/>
        <v>5.6</v>
      </c>
      <c r="S961" s="238">
        <f t="shared" si="440"/>
        <v>0</v>
      </c>
      <c r="T961" s="238">
        <f t="shared" si="440"/>
        <v>0</v>
      </c>
      <c r="U961" s="238">
        <f t="shared" si="440"/>
        <v>7</v>
      </c>
      <c r="V961" s="238">
        <f t="shared" si="440"/>
        <v>0</v>
      </c>
      <c r="W961" s="238">
        <f t="shared" si="440"/>
        <v>0</v>
      </c>
      <c r="X961" s="238">
        <f t="shared" si="440"/>
        <v>2.8</v>
      </c>
      <c r="Y961" s="238">
        <f t="shared" si="440"/>
        <v>2.8</v>
      </c>
      <c r="Z961" s="238">
        <f t="shared" si="440"/>
        <v>0</v>
      </c>
      <c r="AA961" s="11">
        <v>28.0</v>
      </c>
    </row>
    <row r="962" ht="15.75" customHeight="1">
      <c r="A962" s="30" t="s">
        <v>359</v>
      </c>
      <c r="B962" s="64">
        <f>K$78*B$53</f>
        <v>0</v>
      </c>
      <c r="C962" s="64">
        <f>K$78*C$53</f>
        <v>67.5</v>
      </c>
      <c r="D962" s="64">
        <f>K$78*D$53</f>
        <v>90</v>
      </c>
      <c r="E962" s="64">
        <f>K$78*E$53</f>
        <v>90</v>
      </c>
      <c r="F962" s="64">
        <f>K$78*F$53</f>
        <v>0</v>
      </c>
      <c r="G962" s="64">
        <f>K$78*G$53</f>
        <v>0</v>
      </c>
      <c r="H962" s="64">
        <f>K$78*H$53</f>
        <v>112.5</v>
      </c>
      <c r="I962" s="64">
        <f>K$78*I$53</f>
        <v>0</v>
      </c>
      <c r="J962" s="64">
        <f>K$78*J$53</f>
        <v>0</v>
      </c>
      <c r="K962" s="64">
        <f>K$78*K$53</f>
        <v>45</v>
      </c>
      <c r="L962" s="64">
        <f>K$78*L$53</f>
        <v>45</v>
      </c>
      <c r="M962" s="64">
        <f>K$78*M$53</f>
        <v>0</v>
      </c>
      <c r="N962" s="84">
        <f t="shared" si="441"/>
        <v>112.5</v>
      </c>
    </row>
    <row r="963" ht="15.75" customHeight="1">
      <c r="A963" s="30" t="s">
        <v>375</v>
      </c>
      <c r="B963" s="64">
        <f>K$82*B$54</f>
        <v>0</v>
      </c>
      <c r="C963" s="64">
        <f>K$82*C$54</f>
        <v>230.625</v>
      </c>
      <c r="D963" s="64">
        <f>K$82*D$54</f>
        <v>230.625</v>
      </c>
      <c r="E963" s="64">
        <f>K$82*E$54</f>
        <v>230.625</v>
      </c>
      <c r="F963" s="64">
        <f>K$82*F$54</f>
        <v>0</v>
      </c>
      <c r="G963" s="64">
        <f>K$82*G$54</f>
        <v>0</v>
      </c>
      <c r="H963" s="64">
        <f>K$82*H$54</f>
        <v>384.375</v>
      </c>
      <c r="I963" s="64">
        <f>K$82*I$54</f>
        <v>0</v>
      </c>
      <c r="J963" s="64">
        <f>K$82*J$54</f>
        <v>0</v>
      </c>
      <c r="K963" s="64">
        <f>K$82*K$54</f>
        <v>230.625</v>
      </c>
      <c r="L963" s="64">
        <f>K$82*L$54</f>
        <v>230.625</v>
      </c>
      <c r="M963" s="64">
        <f>K$82*M$54</f>
        <v>0</v>
      </c>
      <c r="N963" s="84">
        <f t="shared" si="441"/>
        <v>384.375</v>
      </c>
    </row>
    <row r="964" ht="15.75" customHeight="1">
      <c r="A964" s="30" t="s">
        <v>380</v>
      </c>
      <c r="B964" s="239">
        <f>K$86*B$54</f>
        <v>0</v>
      </c>
      <c r="C964" s="64">
        <f>K$86*C$54</f>
        <v>22.5</v>
      </c>
      <c r="D964" s="64">
        <f>K$86*D$54</f>
        <v>22.5</v>
      </c>
      <c r="E964" s="64">
        <f>K$86*E$54</f>
        <v>22.5</v>
      </c>
      <c r="F964" s="64">
        <f>K$86*F$54</f>
        <v>0</v>
      </c>
      <c r="G964" s="64">
        <f>K$86*G$54</f>
        <v>0</v>
      </c>
      <c r="H964" s="64">
        <f>K$86*H$54</f>
        <v>37.5</v>
      </c>
      <c r="I964" s="64">
        <f>K$86*I$54</f>
        <v>0</v>
      </c>
      <c r="J964" s="64">
        <f>K$86*J$54</f>
        <v>0</v>
      </c>
      <c r="K964" s="64">
        <f>K$86*K$54</f>
        <v>22.5</v>
      </c>
      <c r="L964" s="64">
        <f>K$86*L$54</f>
        <v>22.5</v>
      </c>
      <c r="M964" s="64">
        <f>K$86*M$54</f>
        <v>0</v>
      </c>
      <c r="N964" s="84">
        <f t="shared" si="441"/>
        <v>37.5</v>
      </c>
    </row>
    <row r="965" ht="15.75" customHeight="1">
      <c r="A965" s="30" t="s">
        <v>382</v>
      </c>
      <c r="B965" s="240">
        <f>'Analisis de operaciones'!C1651</f>
        <v>32475.72</v>
      </c>
      <c r="C965" s="64">
        <f>'Analisis de operaciones'!D1651</f>
        <v>24764.85</v>
      </c>
      <c r="D965" s="64">
        <f>'Analisis de operaciones'!E1651</f>
        <v>23146.7</v>
      </c>
      <c r="E965" s="64">
        <f>'Analisis de operaciones'!F1651</f>
        <v>22133.595</v>
      </c>
      <c r="F965" s="64">
        <f>'Analisis de operaciones'!G1651</f>
        <v>20712.43</v>
      </c>
      <c r="G965" s="64">
        <f>'Analisis de operaciones'!H1651</f>
        <v>20304.37</v>
      </c>
      <c r="H965" s="64">
        <f>'Analisis de operaciones'!I1651</f>
        <v>21725.535</v>
      </c>
      <c r="I965" s="64">
        <f>'Analisis de operaciones'!J1651</f>
        <v>21725.535</v>
      </c>
      <c r="J965" s="64">
        <f>'Analisis de operaciones'!K1651</f>
        <v>21725.535</v>
      </c>
      <c r="K965" s="64">
        <f>'Analisis de operaciones'!L1651</f>
        <v>21317.475</v>
      </c>
      <c r="L965" s="64">
        <f>'Analisis de operaciones'!M1651</f>
        <v>20909.415</v>
      </c>
      <c r="M965" s="64">
        <f>'Analisis de operaciones'!N1651</f>
        <v>33291.84</v>
      </c>
      <c r="N965" s="84">
        <f t="shared" si="441"/>
        <v>33291.84</v>
      </c>
    </row>
    <row r="966" ht="15.75" customHeight="1">
      <c r="A966" s="30" t="s">
        <v>383</v>
      </c>
      <c r="B966" s="240">
        <f t="shared" ref="B966:M966" si="442">SUM(B992:B1011)+B1021</f>
        <v>4560.330533</v>
      </c>
      <c r="C966" s="64">
        <f t="shared" si="442"/>
        <v>3501.608933</v>
      </c>
      <c r="D966" s="64">
        <f t="shared" si="442"/>
        <v>3334.30502</v>
      </c>
      <c r="E966" s="64">
        <f t="shared" si="442"/>
        <v>3208.968544</v>
      </c>
      <c r="F966" s="64">
        <f t="shared" si="442"/>
        <v>3008.295052</v>
      </c>
      <c r="G966" s="64">
        <f t="shared" si="442"/>
        <v>2927.603354</v>
      </c>
      <c r="H966" s="64">
        <f t="shared" si="442"/>
        <v>3133.631528</v>
      </c>
      <c r="I966" s="64">
        <f t="shared" si="442"/>
        <v>3133.631528</v>
      </c>
      <c r="J966" s="64">
        <f t="shared" si="442"/>
        <v>3130.954187</v>
      </c>
      <c r="K966" s="64">
        <f t="shared" si="442"/>
        <v>3050.262489</v>
      </c>
      <c r="L966" s="64">
        <f t="shared" si="442"/>
        <v>2972.248133</v>
      </c>
      <c r="M966" s="64">
        <f t="shared" si="442"/>
        <v>4708.327222</v>
      </c>
      <c r="N966" s="84">
        <f t="shared" si="441"/>
        <v>4708.327222</v>
      </c>
    </row>
    <row r="967" ht="15.75" customHeight="1">
      <c r="A967" s="30" t="s">
        <v>385</v>
      </c>
      <c r="B967" s="240">
        <f t="shared" ref="B967:M967" si="443">SUM(B1013:B1020)</f>
        <v>237.5052083</v>
      </c>
      <c r="C967" s="64">
        <f t="shared" si="443"/>
        <v>209.5634191</v>
      </c>
      <c r="D967" s="64">
        <f t="shared" si="443"/>
        <v>251.4761029</v>
      </c>
      <c r="E967" s="64">
        <f t="shared" si="443"/>
        <v>251.4761029</v>
      </c>
      <c r="F967" s="64">
        <f t="shared" si="443"/>
        <v>251.4761029</v>
      </c>
      <c r="G967" s="64">
        <f t="shared" si="443"/>
        <v>223.5343137</v>
      </c>
      <c r="H967" s="64">
        <f t="shared" si="443"/>
        <v>251.4761029</v>
      </c>
      <c r="I967" s="64">
        <f t="shared" si="443"/>
        <v>251.4761029</v>
      </c>
      <c r="J967" s="64">
        <f t="shared" si="443"/>
        <v>237.5052083</v>
      </c>
      <c r="K967" s="64">
        <f t="shared" si="443"/>
        <v>209.5634191</v>
      </c>
      <c r="L967" s="64">
        <f t="shared" si="443"/>
        <v>195.5925245</v>
      </c>
      <c r="M967" s="64">
        <f t="shared" si="443"/>
        <v>223.5343137</v>
      </c>
      <c r="N967" s="84">
        <f t="shared" si="441"/>
        <v>251.4761029</v>
      </c>
    </row>
    <row r="968" ht="15.75" customHeight="1">
      <c r="A968" s="73" t="s">
        <v>386</v>
      </c>
      <c r="B968" s="239">
        <f t="shared" ref="B968:M968" si="444">B966+B967</f>
        <v>4797.835741</v>
      </c>
      <c r="C968" s="84">
        <f t="shared" si="444"/>
        <v>3711.172352</v>
      </c>
      <c r="D968" s="84">
        <f t="shared" si="444"/>
        <v>3585.781122</v>
      </c>
      <c r="E968" s="84">
        <f t="shared" si="444"/>
        <v>3460.444646</v>
      </c>
      <c r="F968" s="84">
        <f t="shared" si="444"/>
        <v>3259.771155</v>
      </c>
      <c r="G968" s="84">
        <f t="shared" si="444"/>
        <v>3151.137668</v>
      </c>
      <c r="H968" s="84">
        <f t="shared" si="444"/>
        <v>3385.107631</v>
      </c>
      <c r="I968" s="84">
        <f t="shared" si="444"/>
        <v>3385.107631</v>
      </c>
      <c r="J968" s="84">
        <f t="shared" si="444"/>
        <v>3368.459395</v>
      </c>
      <c r="K968" s="84">
        <f t="shared" si="444"/>
        <v>3259.825908</v>
      </c>
      <c r="L968" s="84">
        <f t="shared" si="444"/>
        <v>3167.840657</v>
      </c>
      <c r="M968" s="84">
        <f t="shared" si="444"/>
        <v>4931.861536</v>
      </c>
      <c r="N968" s="84">
        <f t="shared" si="441"/>
        <v>4931.861536</v>
      </c>
    </row>
    <row r="969" ht="15.75" customHeight="1">
      <c r="A969" s="30" t="s">
        <v>388</v>
      </c>
      <c r="B969" s="239">
        <f t="shared" ref="B969:M969" si="445">$B$955*$B$9-B961</f>
        <v>3928.5</v>
      </c>
      <c r="C969" s="64">
        <f t="shared" si="445"/>
        <v>3534.75</v>
      </c>
      <c r="D969" s="64">
        <f t="shared" si="445"/>
        <v>3403.5</v>
      </c>
      <c r="E969" s="64">
        <f t="shared" si="445"/>
        <v>3403.5</v>
      </c>
      <c r="F969" s="64">
        <f t="shared" si="445"/>
        <v>3928.5</v>
      </c>
      <c r="G969" s="64">
        <f t="shared" si="445"/>
        <v>3928.5</v>
      </c>
      <c r="H969" s="64">
        <f t="shared" si="445"/>
        <v>3272.25</v>
      </c>
      <c r="I969" s="64">
        <f t="shared" si="445"/>
        <v>3928.5</v>
      </c>
      <c r="J969" s="64">
        <f t="shared" si="445"/>
        <v>3928.5</v>
      </c>
      <c r="K969" s="64">
        <f t="shared" si="445"/>
        <v>3666</v>
      </c>
      <c r="L969" s="64">
        <f t="shared" si="445"/>
        <v>3666</v>
      </c>
      <c r="M969" s="64">
        <f t="shared" si="445"/>
        <v>3928.5</v>
      </c>
      <c r="N969" s="84">
        <f t="shared" si="441"/>
        <v>3928.5</v>
      </c>
    </row>
    <row r="970" ht="15.75" customHeight="1">
      <c r="A970" s="30" t="s">
        <v>389</v>
      </c>
      <c r="B970" s="240">
        <f t="shared" ref="B970:M970" si="446">IF(B966=0,0,MAX(0,B969-B968)*B965/B966)</f>
        <v>0</v>
      </c>
      <c r="C970" s="64">
        <f t="shared" si="446"/>
        <v>0</v>
      </c>
      <c r="D970" s="64">
        <f t="shared" si="446"/>
        <v>0</v>
      </c>
      <c r="E970" s="64">
        <f t="shared" si="446"/>
        <v>0</v>
      </c>
      <c r="F970" s="64">
        <f t="shared" si="446"/>
        <v>4604.268913</v>
      </c>
      <c r="G970" s="64">
        <f t="shared" si="446"/>
        <v>5391.390329</v>
      </c>
      <c r="H970" s="64">
        <f t="shared" si="446"/>
        <v>0</v>
      </c>
      <c r="I970" s="64">
        <f t="shared" si="446"/>
        <v>3767.351019</v>
      </c>
      <c r="J970" s="64">
        <f t="shared" si="446"/>
        <v>3886.093834</v>
      </c>
      <c r="K970" s="64">
        <f t="shared" si="446"/>
        <v>2838.642929</v>
      </c>
      <c r="L970" s="64">
        <f t="shared" si="446"/>
        <v>3504.492214</v>
      </c>
      <c r="M970" s="64">
        <f t="shared" si="446"/>
        <v>0</v>
      </c>
      <c r="N970" s="84">
        <f t="shared" si="441"/>
        <v>5391.390329</v>
      </c>
    </row>
    <row r="971" ht="15.75" customHeight="1">
      <c r="A971" s="73" t="s">
        <v>390</v>
      </c>
      <c r="B971" s="239">
        <f t="shared" ref="B971:J971" si="447">0</f>
        <v>0</v>
      </c>
      <c r="C971" s="84">
        <f t="shared" si="447"/>
        <v>0</v>
      </c>
      <c r="D971" s="84">
        <f t="shared" si="447"/>
        <v>0</v>
      </c>
      <c r="E971" s="84">
        <f t="shared" si="447"/>
        <v>0</v>
      </c>
      <c r="F971" s="84">
        <f t="shared" si="447"/>
        <v>0</v>
      </c>
      <c r="G971" s="84">
        <f t="shared" si="447"/>
        <v>0</v>
      </c>
      <c r="H971" s="84">
        <f t="shared" si="447"/>
        <v>0</v>
      </c>
      <c r="I971" s="84">
        <f t="shared" si="447"/>
        <v>0</v>
      </c>
      <c r="J971" s="84">
        <f t="shared" si="447"/>
        <v>0</v>
      </c>
      <c r="K971" s="140">
        <f>$B$5*MIN(K970,M965)</f>
        <v>2838.642929</v>
      </c>
      <c r="L971" s="140">
        <f>$B$5*MIN(L970,M965-K971)</f>
        <v>3504.492214</v>
      </c>
      <c r="M971" s="140">
        <f>-(K971+L971)</f>
        <v>-6343.135143</v>
      </c>
      <c r="N971" s="84">
        <f t="shared" si="441"/>
        <v>3504.492214</v>
      </c>
    </row>
    <row r="972" ht="15.75" customHeight="1">
      <c r="A972" s="30" t="s">
        <v>391</v>
      </c>
      <c r="B972" s="241">
        <f t="shared" ref="B972:M972" si="448">IF(B965=0,1,(B965+B971)/B965)</f>
        <v>1</v>
      </c>
      <c r="C972" s="133">
        <f t="shared" si="448"/>
        <v>1</v>
      </c>
      <c r="D972" s="133">
        <f t="shared" si="448"/>
        <v>1</v>
      </c>
      <c r="E972" s="133">
        <f t="shared" si="448"/>
        <v>1</v>
      </c>
      <c r="F972" s="133">
        <f t="shared" si="448"/>
        <v>1</v>
      </c>
      <c r="G972" s="133">
        <f t="shared" si="448"/>
        <v>1</v>
      </c>
      <c r="H972" s="133">
        <f t="shared" si="448"/>
        <v>1</v>
      </c>
      <c r="I972" s="133">
        <f t="shared" si="448"/>
        <v>1</v>
      </c>
      <c r="J972" s="133">
        <f t="shared" si="448"/>
        <v>1</v>
      </c>
      <c r="K972" s="133">
        <f t="shared" si="448"/>
        <v>1.133160373</v>
      </c>
      <c r="L972" s="133">
        <f t="shared" si="448"/>
        <v>1.167603552</v>
      </c>
      <c r="M972" s="133">
        <f t="shared" si="448"/>
        <v>0.8094687724</v>
      </c>
      <c r="N972" s="40">
        <f t="shared" si="441"/>
        <v>1.167603552</v>
      </c>
    </row>
    <row r="973" ht="15.75" customHeight="1">
      <c r="A973" s="73" t="s">
        <v>392</v>
      </c>
      <c r="B973" s="240">
        <f t="shared" ref="B973:M973" si="449">B966*B972+B967</f>
        <v>4797.835741</v>
      </c>
      <c r="C973" s="84">
        <f t="shared" si="449"/>
        <v>3711.172352</v>
      </c>
      <c r="D973" s="84">
        <f t="shared" si="449"/>
        <v>3585.781122</v>
      </c>
      <c r="E973" s="84">
        <f t="shared" si="449"/>
        <v>3460.444646</v>
      </c>
      <c r="F973" s="84">
        <f t="shared" si="449"/>
        <v>3259.771155</v>
      </c>
      <c r="G973" s="84">
        <f t="shared" si="449"/>
        <v>3151.137668</v>
      </c>
      <c r="H973" s="84">
        <f t="shared" si="449"/>
        <v>3385.107631</v>
      </c>
      <c r="I973" s="84">
        <f t="shared" si="449"/>
        <v>3385.107631</v>
      </c>
      <c r="J973" s="84">
        <f t="shared" si="449"/>
        <v>3368.459395</v>
      </c>
      <c r="K973" s="84">
        <f t="shared" si="449"/>
        <v>3666</v>
      </c>
      <c r="L973" s="84">
        <f t="shared" si="449"/>
        <v>3666</v>
      </c>
      <c r="M973" s="84">
        <f t="shared" si="449"/>
        <v>4034.778171</v>
      </c>
      <c r="N973" s="84">
        <f t="shared" si="441"/>
        <v>4797.835741</v>
      </c>
    </row>
    <row r="974" ht="15.75" customHeight="1">
      <c r="A974" s="30" t="s">
        <v>393</v>
      </c>
      <c r="B974" s="239">
        <f t="shared" ref="B974:M974" si="450">IF($B$953=2,MAX(SUM(B1023:B1042),B973-($B$955*$B$11-B961)),0)</f>
        <v>898.9808086</v>
      </c>
      <c r="C974" s="64">
        <f t="shared" si="450"/>
        <v>188.4835541</v>
      </c>
      <c r="D974" s="64">
        <f t="shared" si="450"/>
        <v>111.9374984</v>
      </c>
      <c r="E974" s="64">
        <f t="shared" si="450"/>
        <v>60.74099115</v>
      </c>
      <c r="F974" s="64">
        <f t="shared" si="450"/>
        <v>18.44124388</v>
      </c>
      <c r="G974" s="64">
        <f t="shared" si="450"/>
        <v>9.505169055</v>
      </c>
      <c r="H974" s="64">
        <f t="shared" si="450"/>
        <v>45.02253065</v>
      </c>
      <c r="I974" s="64">
        <f t="shared" si="450"/>
        <v>45.02253065</v>
      </c>
      <c r="J974" s="64">
        <f t="shared" si="450"/>
        <v>45.02253065</v>
      </c>
      <c r="K974" s="64">
        <f t="shared" si="450"/>
        <v>162.2828267</v>
      </c>
      <c r="L974" s="64">
        <f t="shared" si="450"/>
        <v>172.7605077</v>
      </c>
      <c r="M974" s="64">
        <f t="shared" si="450"/>
        <v>312.3519544</v>
      </c>
      <c r="N974" s="84">
        <f t="shared" si="441"/>
        <v>898.9808086</v>
      </c>
    </row>
    <row r="975" ht="15.75" customHeight="1">
      <c r="A975" s="30" t="s">
        <v>394</v>
      </c>
      <c r="B975" s="240">
        <f t="shared" ref="B975:M975" si="451">MAX(0,B969-(B973-B974))</f>
        <v>29.64506762</v>
      </c>
      <c r="C975" s="64">
        <f t="shared" si="451"/>
        <v>12.06120243</v>
      </c>
      <c r="D975" s="64">
        <f t="shared" si="451"/>
        <v>0</v>
      </c>
      <c r="E975" s="64">
        <f t="shared" si="451"/>
        <v>3.796344665</v>
      </c>
      <c r="F975" s="64">
        <f t="shared" si="451"/>
        <v>687.1700888</v>
      </c>
      <c r="G975" s="64">
        <f t="shared" si="451"/>
        <v>786.867501</v>
      </c>
      <c r="H975" s="64">
        <f t="shared" si="451"/>
        <v>0</v>
      </c>
      <c r="I975" s="64">
        <f t="shared" si="451"/>
        <v>588.4148996</v>
      </c>
      <c r="J975" s="64">
        <f t="shared" si="451"/>
        <v>605.0631354</v>
      </c>
      <c r="K975" s="64">
        <f t="shared" si="451"/>
        <v>162.2828267</v>
      </c>
      <c r="L975" s="64">
        <f t="shared" si="451"/>
        <v>172.7605077</v>
      </c>
      <c r="M975" s="64">
        <f t="shared" si="451"/>
        <v>206.0737836</v>
      </c>
      <c r="N975" s="84">
        <f t="shared" si="441"/>
        <v>786.867501</v>
      </c>
    </row>
    <row r="976" ht="15.75" customHeight="1">
      <c r="A976" s="73" t="s">
        <v>395</v>
      </c>
      <c r="B976" s="240">
        <f>'Analisis Recargas'!C552</f>
        <v>2860.444796</v>
      </c>
      <c r="C976" s="84">
        <f>'Analisis Recargas'!D552</f>
        <v>2363.73537</v>
      </c>
      <c r="D976" s="84">
        <f>'Analisis Recargas'!E552</f>
        <v>2436.394776</v>
      </c>
      <c r="E976" s="84">
        <f>'Analisis Recargas'!F552</f>
        <v>2370.032811</v>
      </c>
      <c r="F976" s="84">
        <f>'Analisis Recargas'!G552</f>
        <v>2297.373404</v>
      </c>
      <c r="G976" s="84">
        <f>'Analisis Recargas'!H552</f>
        <v>2224.713998</v>
      </c>
      <c r="H976" s="84">
        <f>'Analisis Recargas'!I552</f>
        <v>2376.330252</v>
      </c>
      <c r="I976" s="84">
        <f>'Analisis Recargas'!J552</f>
        <v>2430.097335</v>
      </c>
      <c r="J976" s="84">
        <f>'Analisis Recargas'!K552</f>
        <v>2430.097335</v>
      </c>
      <c r="K976" s="84">
        <f>'Analisis Recargas'!L552</f>
        <v>2363.73537</v>
      </c>
      <c r="L976" s="84">
        <f>'Analisis Recargas'!M552</f>
        <v>2357.437928</v>
      </c>
      <c r="M976" s="84">
        <f>'Analisis Recargas'!N552</f>
        <v>3421.293894</v>
      </c>
      <c r="N976" s="84">
        <f t="shared" si="441"/>
        <v>3421.293894</v>
      </c>
    </row>
    <row r="977" ht="15.75" customHeight="1">
      <c r="A977" s="30" t="s">
        <v>396</v>
      </c>
      <c r="B977" s="240">
        <f>IFERROR(B976*'Analisis Recargas'!C501*'Almacen PT'!$B$10/SUM('Analisis Recargas'!C501:C517),0)</f>
        <v>461.6522417</v>
      </c>
      <c r="C977" s="64">
        <f>IFERROR(C976*'Analisis Recargas'!D501*'Almacen PT'!$B$10/SUM('Analisis Recargas'!D501:D517),0)</f>
        <v>359.9584094</v>
      </c>
      <c r="D977" s="64">
        <f>IFERROR(D976*'Analisis Recargas'!E501*'Almacen PT'!$B$10/SUM('Analisis Recargas'!E501:E517),0)</f>
        <v>359.9461888</v>
      </c>
      <c r="E977" s="64">
        <f>IFERROR(E976*'Analisis Recargas'!F501*'Almacen PT'!$B$10/SUM('Analisis Recargas'!F501:F517),0)</f>
        <v>360.0212619</v>
      </c>
      <c r="F977" s="64">
        <f>IFERROR(F976*'Analisis Recargas'!G501*'Almacen PT'!$B$10/SUM('Analisis Recargas'!G501:G517),0)</f>
        <v>360.0362158</v>
      </c>
      <c r="G977" s="64">
        <f>IFERROR(G976*'Analisis Recargas'!H501*'Almacen PT'!$B$10/SUM('Analisis Recargas'!H501:H517),0)</f>
        <v>360.0521479</v>
      </c>
      <c r="H977" s="64">
        <f>IFERROR(H976*'Analisis Recargas'!I501*'Almacen PT'!$B$10/SUM('Analisis Recargas'!I501:I517),0)</f>
        <v>360.0838031</v>
      </c>
      <c r="I977" s="64">
        <f>IFERROR(I976*'Analisis Recargas'!J501*'Almacen PT'!$B$10/SUM('Analisis Recargas'!J501:J517),0)</f>
        <v>359.8848835</v>
      </c>
      <c r="J977" s="64">
        <f>IFERROR(J976*'Analisis Recargas'!K501*'Almacen PT'!$B$10/SUM('Analisis Recargas'!K501:K517),0)</f>
        <v>359.8848835</v>
      </c>
      <c r="K977" s="64">
        <f>IFERROR(K976*'Analisis Recargas'!L501*'Almacen PT'!$B$10/SUM('Analisis Recargas'!L501:L517),0)</f>
        <v>359.9584094</v>
      </c>
      <c r="L977" s="64">
        <f>IFERROR(L976*'Analisis Recargas'!M501*'Almacen PT'!$B$10/SUM('Analisis Recargas'!M501:M517),0)</f>
        <v>359.8952432</v>
      </c>
      <c r="M977" s="64">
        <f>IFERROR(M976*'Analisis Recargas'!N501*'Almacen PT'!$B$10/SUM('Analisis Recargas'!N501:N517),0)</f>
        <v>553.5493934</v>
      </c>
      <c r="N977" s="84">
        <f t="shared" si="441"/>
        <v>553.5493934</v>
      </c>
    </row>
    <row r="978" ht="15.75" customHeight="1">
      <c r="A978" s="30" t="s">
        <v>397</v>
      </c>
      <c r="B978" s="240">
        <f t="shared" ref="B978:M978" si="452">IF($B$953=2,B977*$B$15,0)</f>
        <v>184.6608967</v>
      </c>
      <c r="C978" s="64">
        <f t="shared" si="452"/>
        <v>143.9833638</v>
      </c>
      <c r="D978" s="64">
        <f t="shared" si="452"/>
        <v>143.9784755</v>
      </c>
      <c r="E978" s="64">
        <f t="shared" si="452"/>
        <v>144.0085048</v>
      </c>
      <c r="F978" s="64">
        <f t="shared" si="452"/>
        <v>144.0144863</v>
      </c>
      <c r="G978" s="64">
        <f t="shared" si="452"/>
        <v>144.0208591</v>
      </c>
      <c r="H978" s="64">
        <f t="shared" si="452"/>
        <v>144.0335212</v>
      </c>
      <c r="I978" s="64">
        <f t="shared" si="452"/>
        <v>143.9539534</v>
      </c>
      <c r="J978" s="64">
        <f t="shared" si="452"/>
        <v>143.9539534</v>
      </c>
      <c r="K978" s="64">
        <f t="shared" si="452"/>
        <v>143.9833638</v>
      </c>
      <c r="L978" s="64">
        <f t="shared" si="452"/>
        <v>143.9580973</v>
      </c>
      <c r="M978" s="64">
        <f t="shared" si="452"/>
        <v>221.4197573</v>
      </c>
      <c r="N978" s="84">
        <f t="shared" si="441"/>
        <v>221.4197573</v>
      </c>
    </row>
    <row r="979" ht="15.75" customHeight="1">
      <c r="A979" s="30" t="s">
        <v>399</v>
      </c>
      <c r="B979" s="240">
        <f t="shared" ref="B979:M979" si="453">MAX(0,B976-B978-$B$6*B975)</f>
        <v>2649.103339</v>
      </c>
      <c r="C979" s="64">
        <f t="shared" si="453"/>
        <v>2208.896924</v>
      </c>
      <c r="D979" s="64">
        <f t="shared" si="453"/>
        <v>2292.416301</v>
      </c>
      <c r="E979" s="64">
        <f t="shared" si="453"/>
        <v>2222.607596</v>
      </c>
      <c r="F979" s="64">
        <f t="shared" si="453"/>
        <v>1534.905838</v>
      </c>
      <c r="G979" s="64">
        <f t="shared" si="453"/>
        <v>1372.512387</v>
      </c>
      <c r="H979" s="64">
        <f t="shared" si="453"/>
        <v>2232.296731</v>
      </c>
      <c r="I979" s="64">
        <f t="shared" si="453"/>
        <v>1756.569972</v>
      </c>
      <c r="J979" s="64">
        <f t="shared" si="453"/>
        <v>1741.58656</v>
      </c>
      <c r="K979" s="64">
        <f t="shared" si="453"/>
        <v>2073.697462</v>
      </c>
      <c r="L979" s="64">
        <f t="shared" si="453"/>
        <v>2057.995374</v>
      </c>
      <c r="M979" s="64">
        <f t="shared" si="453"/>
        <v>3014.407731</v>
      </c>
      <c r="N979" s="84">
        <f t="shared" si="441"/>
        <v>3014.407731</v>
      </c>
    </row>
    <row r="980" ht="15.75" customHeight="1">
      <c r="A980" s="30" t="s">
        <v>400</v>
      </c>
      <c r="B980" s="240">
        <f t="shared" ref="B980:M980" si="454">MAX(0,$B$958*$B$9-B964-B978)</f>
        <v>77.23910333</v>
      </c>
      <c r="C980" s="64">
        <f t="shared" si="454"/>
        <v>95.41663624</v>
      </c>
      <c r="D980" s="64">
        <f t="shared" si="454"/>
        <v>95.42152448</v>
      </c>
      <c r="E980" s="64">
        <f t="shared" si="454"/>
        <v>95.39149524</v>
      </c>
      <c r="F980" s="64">
        <f t="shared" si="454"/>
        <v>117.8855137</v>
      </c>
      <c r="G980" s="64">
        <f t="shared" si="454"/>
        <v>117.8791409</v>
      </c>
      <c r="H980" s="64">
        <f t="shared" si="454"/>
        <v>80.36647878</v>
      </c>
      <c r="I980" s="64">
        <f t="shared" si="454"/>
        <v>117.9460466</v>
      </c>
      <c r="J980" s="64">
        <f t="shared" si="454"/>
        <v>117.9460466</v>
      </c>
      <c r="K980" s="64">
        <f t="shared" si="454"/>
        <v>95.41663624</v>
      </c>
      <c r="L980" s="64">
        <f t="shared" si="454"/>
        <v>95.44190271</v>
      </c>
      <c r="M980" s="64">
        <f t="shared" si="454"/>
        <v>40.48024265</v>
      </c>
      <c r="N980" s="84">
        <f t="shared" si="441"/>
        <v>117.9460466</v>
      </c>
    </row>
    <row r="981" ht="15.75" customHeight="1">
      <c r="A981" s="30" t="s">
        <v>401</v>
      </c>
      <c r="B981" s="240">
        <f t="shared" ref="B981:M981" si="455">MIN(B979,B980)</f>
        <v>77.23910333</v>
      </c>
      <c r="C981" s="64">
        <f t="shared" si="455"/>
        <v>95.41663624</v>
      </c>
      <c r="D981" s="64">
        <f t="shared" si="455"/>
        <v>95.42152448</v>
      </c>
      <c r="E981" s="64">
        <f t="shared" si="455"/>
        <v>95.39149524</v>
      </c>
      <c r="F981" s="64">
        <f t="shared" si="455"/>
        <v>117.8855137</v>
      </c>
      <c r="G981" s="64">
        <f t="shared" si="455"/>
        <v>117.8791409</v>
      </c>
      <c r="H981" s="64">
        <f t="shared" si="455"/>
        <v>80.36647878</v>
      </c>
      <c r="I981" s="64">
        <f t="shared" si="455"/>
        <v>117.9460466</v>
      </c>
      <c r="J981" s="64">
        <f t="shared" si="455"/>
        <v>117.9460466</v>
      </c>
      <c r="K981" s="64">
        <f t="shared" si="455"/>
        <v>95.41663624</v>
      </c>
      <c r="L981" s="64">
        <f t="shared" si="455"/>
        <v>95.44190271</v>
      </c>
      <c r="M981" s="64">
        <f t="shared" si="455"/>
        <v>40.48024265</v>
      </c>
      <c r="N981" s="84">
        <f t="shared" si="441"/>
        <v>117.9460466</v>
      </c>
    </row>
    <row r="982" ht="15.75" customHeight="1">
      <c r="A982" s="30" t="s">
        <v>403</v>
      </c>
      <c r="B982" s="240">
        <f t="shared" ref="B982:M982" si="456">MAX(0,$B$956*$B$9-B962-B974)</f>
        <v>0</v>
      </c>
      <c r="C982" s="64">
        <f t="shared" si="456"/>
        <v>529.7164459</v>
      </c>
      <c r="D982" s="64">
        <f t="shared" si="456"/>
        <v>583.7625016</v>
      </c>
      <c r="E982" s="64">
        <f t="shared" si="456"/>
        <v>634.9590088</v>
      </c>
      <c r="F982" s="64">
        <f t="shared" si="456"/>
        <v>767.2587561</v>
      </c>
      <c r="G982" s="64">
        <f t="shared" si="456"/>
        <v>776.1948309</v>
      </c>
      <c r="H982" s="64">
        <f t="shared" si="456"/>
        <v>628.1774694</v>
      </c>
      <c r="I982" s="64">
        <f t="shared" si="456"/>
        <v>740.6774694</v>
      </c>
      <c r="J982" s="64">
        <f t="shared" si="456"/>
        <v>740.6774694</v>
      </c>
      <c r="K982" s="64">
        <f t="shared" si="456"/>
        <v>578.4171733</v>
      </c>
      <c r="L982" s="64">
        <f t="shared" si="456"/>
        <v>567.9394923</v>
      </c>
      <c r="M982" s="64">
        <f t="shared" si="456"/>
        <v>473.3480456</v>
      </c>
      <c r="N982" s="84">
        <f t="shared" si="441"/>
        <v>776.1948309</v>
      </c>
    </row>
    <row r="983" ht="15.75" customHeight="1">
      <c r="A983" s="30" t="s">
        <v>404</v>
      </c>
      <c r="B983" s="240">
        <f t="shared" ref="B983:M983" si="457">MIN(B979-B981,$B$6*B982)</f>
        <v>0</v>
      </c>
      <c r="C983" s="64">
        <f t="shared" si="457"/>
        <v>476.7448013</v>
      </c>
      <c r="D983" s="64">
        <f t="shared" si="457"/>
        <v>525.3862514</v>
      </c>
      <c r="E983" s="64">
        <f t="shared" si="457"/>
        <v>571.463108</v>
      </c>
      <c r="F983" s="64">
        <f t="shared" si="457"/>
        <v>690.5328805</v>
      </c>
      <c r="G983" s="64">
        <f t="shared" si="457"/>
        <v>698.5753479</v>
      </c>
      <c r="H983" s="64">
        <f t="shared" si="457"/>
        <v>565.3597224</v>
      </c>
      <c r="I983" s="64">
        <f t="shared" si="457"/>
        <v>666.6097224</v>
      </c>
      <c r="J983" s="64">
        <f t="shared" si="457"/>
        <v>666.6097224</v>
      </c>
      <c r="K983" s="64">
        <f t="shared" si="457"/>
        <v>520.575456</v>
      </c>
      <c r="L983" s="64">
        <f t="shared" si="457"/>
        <v>511.1455431</v>
      </c>
      <c r="M983" s="64">
        <f t="shared" si="457"/>
        <v>426.0132411</v>
      </c>
      <c r="N983" s="84">
        <f t="shared" si="441"/>
        <v>698.5753479</v>
      </c>
    </row>
    <row r="984" ht="15.75" customHeight="1">
      <c r="A984" s="30" t="s">
        <v>405</v>
      </c>
      <c r="B984" s="240">
        <f t="shared" ref="B984:M984" si="458">B979-B981-B983</f>
        <v>2571.864235</v>
      </c>
      <c r="C984" s="64">
        <f t="shared" si="458"/>
        <v>1636.735486</v>
      </c>
      <c r="D984" s="64">
        <f t="shared" si="458"/>
        <v>1671.608525</v>
      </c>
      <c r="E984" s="64">
        <f t="shared" si="458"/>
        <v>1555.752993</v>
      </c>
      <c r="F984" s="64">
        <f t="shared" si="458"/>
        <v>726.4874438</v>
      </c>
      <c r="G984" s="64">
        <f t="shared" si="458"/>
        <v>556.0578988</v>
      </c>
      <c r="H984" s="64">
        <f t="shared" si="458"/>
        <v>1586.57053</v>
      </c>
      <c r="I984" s="64">
        <f t="shared" si="458"/>
        <v>972.0142031</v>
      </c>
      <c r="J984" s="64">
        <f t="shared" si="458"/>
        <v>957.0307909</v>
      </c>
      <c r="K984" s="64">
        <f t="shared" si="458"/>
        <v>1457.70537</v>
      </c>
      <c r="L984" s="64">
        <f t="shared" si="458"/>
        <v>1451.407928</v>
      </c>
      <c r="M984" s="64">
        <f t="shared" si="458"/>
        <v>2547.914248</v>
      </c>
      <c r="N984" s="84">
        <f t="shared" si="441"/>
        <v>2571.864235</v>
      </c>
    </row>
    <row r="985" ht="15.75" customHeight="1">
      <c r="A985" s="30" t="s">
        <v>406</v>
      </c>
      <c r="B985" s="240">
        <f t="shared" ref="B985:M985" si="459">MAX(0,B973-B974-B969)</f>
        <v>0</v>
      </c>
      <c r="C985" s="64">
        <f t="shared" si="459"/>
        <v>0</v>
      </c>
      <c r="D985" s="64">
        <f t="shared" si="459"/>
        <v>70.34362408</v>
      </c>
      <c r="E985" s="64">
        <f t="shared" si="459"/>
        <v>0</v>
      </c>
      <c r="F985" s="64">
        <f t="shared" si="459"/>
        <v>0</v>
      </c>
      <c r="G985" s="64">
        <f t="shared" si="459"/>
        <v>0</v>
      </c>
      <c r="H985" s="64">
        <f t="shared" si="459"/>
        <v>67.83510039</v>
      </c>
      <c r="I985" s="64">
        <f t="shared" si="459"/>
        <v>0</v>
      </c>
      <c r="J985" s="64">
        <f t="shared" si="459"/>
        <v>0</v>
      </c>
      <c r="K985" s="64">
        <f t="shared" si="459"/>
        <v>0</v>
      </c>
      <c r="L985" s="64">
        <f t="shared" si="459"/>
        <v>0</v>
      </c>
      <c r="M985" s="64">
        <f t="shared" si="459"/>
        <v>0</v>
      </c>
      <c r="N985" s="84">
        <f t="shared" ref="N985:N989" si="461">SUM(B985:M985)</f>
        <v>138.1787245</v>
      </c>
    </row>
    <row r="986" ht="15.75" customHeight="1">
      <c r="A986" s="30" t="s">
        <v>408</v>
      </c>
      <c r="B986" s="240">
        <f t="shared" ref="B986:M986" si="460">MAX(0,B974-($B$956*$B$9-B962))</f>
        <v>113.2808086</v>
      </c>
      <c r="C986" s="64">
        <f t="shared" si="460"/>
        <v>0</v>
      </c>
      <c r="D986" s="64">
        <f t="shared" si="460"/>
        <v>0</v>
      </c>
      <c r="E986" s="64">
        <f t="shared" si="460"/>
        <v>0</v>
      </c>
      <c r="F986" s="64">
        <f t="shared" si="460"/>
        <v>0</v>
      </c>
      <c r="G986" s="64">
        <f t="shared" si="460"/>
        <v>0</v>
      </c>
      <c r="H986" s="64">
        <f t="shared" si="460"/>
        <v>0</v>
      </c>
      <c r="I986" s="64">
        <f t="shared" si="460"/>
        <v>0</v>
      </c>
      <c r="J986" s="64">
        <f t="shared" si="460"/>
        <v>0</v>
      </c>
      <c r="K986" s="64">
        <f t="shared" si="460"/>
        <v>0</v>
      </c>
      <c r="L986" s="64">
        <f t="shared" si="460"/>
        <v>0</v>
      </c>
      <c r="M986" s="64">
        <f t="shared" si="460"/>
        <v>0</v>
      </c>
      <c r="N986" s="84">
        <f t="shared" si="461"/>
        <v>113.2808086</v>
      </c>
    </row>
    <row r="987" ht="15.75" customHeight="1">
      <c r="A987" s="30" t="s">
        <v>1082</v>
      </c>
      <c r="B987" s="240">
        <f t="shared" ref="B987:M987" si="462">MAX(0,B984-($B$957*$B$9-B963))</f>
        <v>476.6642352</v>
      </c>
      <c r="C987" s="64">
        <f t="shared" si="462"/>
        <v>0</v>
      </c>
      <c r="D987" s="64">
        <f t="shared" si="462"/>
        <v>0</v>
      </c>
      <c r="E987" s="64">
        <f t="shared" si="462"/>
        <v>0</v>
      </c>
      <c r="F987" s="64">
        <f t="shared" si="462"/>
        <v>0</v>
      </c>
      <c r="G987" s="64">
        <f t="shared" si="462"/>
        <v>0</v>
      </c>
      <c r="H987" s="64">
        <f t="shared" si="462"/>
        <v>0</v>
      </c>
      <c r="I987" s="64">
        <f t="shared" si="462"/>
        <v>0</v>
      </c>
      <c r="J987" s="64">
        <f t="shared" si="462"/>
        <v>0</v>
      </c>
      <c r="K987" s="64">
        <f t="shared" si="462"/>
        <v>0</v>
      </c>
      <c r="L987" s="64">
        <f t="shared" si="462"/>
        <v>0</v>
      </c>
      <c r="M987" s="64">
        <f t="shared" si="462"/>
        <v>452.7142475</v>
      </c>
      <c r="N987" s="84">
        <f t="shared" si="461"/>
        <v>929.3784827</v>
      </c>
    </row>
    <row r="988" ht="15.75" customHeight="1">
      <c r="A988" s="30" t="s">
        <v>410</v>
      </c>
      <c r="B988" s="240">
        <f t="shared" ref="B988:M988" si="463">MAX(0,B978-($B$958*$B$9-B964))</f>
        <v>0</v>
      </c>
      <c r="C988" s="64">
        <f t="shared" si="463"/>
        <v>0</v>
      </c>
      <c r="D988" s="64">
        <f t="shared" si="463"/>
        <v>0</v>
      </c>
      <c r="E988" s="64">
        <f t="shared" si="463"/>
        <v>0</v>
      </c>
      <c r="F988" s="64">
        <f t="shared" si="463"/>
        <v>0</v>
      </c>
      <c r="G988" s="64">
        <f t="shared" si="463"/>
        <v>0</v>
      </c>
      <c r="H988" s="64">
        <f t="shared" si="463"/>
        <v>0</v>
      </c>
      <c r="I988" s="64">
        <f t="shared" si="463"/>
        <v>0</v>
      </c>
      <c r="J988" s="64">
        <f t="shared" si="463"/>
        <v>0</v>
      </c>
      <c r="K988" s="64">
        <f t="shared" si="463"/>
        <v>0</v>
      </c>
      <c r="L988" s="64">
        <f t="shared" si="463"/>
        <v>0</v>
      </c>
      <c r="M988" s="64">
        <f t="shared" si="463"/>
        <v>0</v>
      </c>
      <c r="N988" s="84">
        <f t="shared" si="461"/>
        <v>0</v>
      </c>
    </row>
    <row r="989" ht="15.75" customHeight="1">
      <c r="A989" s="73" t="s">
        <v>411</v>
      </c>
      <c r="B989" s="239">
        <f t="shared" ref="B989:M989" si="464">B985+B986+B987+B988</f>
        <v>589.9450439</v>
      </c>
      <c r="C989" s="84">
        <f t="shared" si="464"/>
        <v>0</v>
      </c>
      <c r="D989" s="84">
        <f t="shared" si="464"/>
        <v>70.34362408</v>
      </c>
      <c r="E989" s="84">
        <f t="shared" si="464"/>
        <v>0</v>
      </c>
      <c r="F989" s="84">
        <f t="shared" si="464"/>
        <v>0</v>
      </c>
      <c r="G989" s="84">
        <f t="shared" si="464"/>
        <v>0</v>
      </c>
      <c r="H989" s="84">
        <f t="shared" si="464"/>
        <v>67.83510039</v>
      </c>
      <c r="I989" s="84">
        <f t="shared" si="464"/>
        <v>0</v>
      </c>
      <c r="J989" s="84">
        <f t="shared" si="464"/>
        <v>0</v>
      </c>
      <c r="K989" s="84">
        <f t="shared" si="464"/>
        <v>0</v>
      </c>
      <c r="L989" s="84">
        <f t="shared" si="464"/>
        <v>0</v>
      </c>
      <c r="M989" s="84">
        <f t="shared" si="464"/>
        <v>452.7142475</v>
      </c>
      <c r="N989" s="84">
        <f t="shared" si="461"/>
        <v>1180.838016</v>
      </c>
    </row>
    <row r="990" ht="15.75" customHeight="1">
      <c r="A990" s="30" t="s">
        <v>412</v>
      </c>
      <c r="B990" s="240">
        <f t="shared" ref="B990:M990" si="465">IFERROR(B989/($B$955+$B$957+$B$956+$B$958),0)</f>
        <v>10.92490822</v>
      </c>
      <c r="C990" s="64">
        <f t="shared" si="465"/>
        <v>0</v>
      </c>
      <c r="D990" s="64">
        <f t="shared" si="465"/>
        <v>1.302659705</v>
      </c>
      <c r="E990" s="64">
        <f t="shared" si="465"/>
        <v>0</v>
      </c>
      <c r="F990" s="64">
        <f t="shared" si="465"/>
        <v>0</v>
      </c>
      <c r="G990" s="64">
        <f t="shared" si="465"/>
        <v>0</v>
      </c>
      <c r="H990" s="64">
        <f t="shared" si="465"/>
        <v>1.256205563</v>
      </c>
      <c r="I990" s="64">
        <f t="shared" si="465"/>
        <v>0</v>
      </c>
      <c r="J990" s="64">
        <f t="shared" si="465"/>
        <v>0</v>
      </c>
      <c r="K990" s="64">
        <f t="shared" si="465"/>
        <v>0</v>
      </c>
      <c r="L990" s="64">
        <f t="shared" si="465"/>
        <v>0</v>
      </c>
      <c r="M990" s="64">
        <f t="shared" si="465"/>
        <v>8.383597176</v>
      </c>
      <c r="N990" s="84">
        <f>MAX(B990:M990)</f>
        <v>10.92490822</v>
      </c>
    </row>
    <row r="991" ht="15.75" customHeight="1">
      <c r="A991" s="141" t="s">
        <v>413</v>
      </c>
      <c r="N991" s="42" t="s">
        <v>1083</v>
      </c>
    </row>
    <row r="992" ht="15.75" hidden="1" customHeight="1" outlineLevel="1">
      <c r="A992" s="142" t="s">
        <v>26</v>
      </c>
      <c r="B992" s="143">
        <f>'Analisis de operaciones'!C1651/'Analisis de operaciones'!C1655*$O992</f>
        <v>477.5841176</v>
      </c>
      <c r="C992" s="143">
        <f>'Analisis de operaciones'!D1651/'Analisis de operaciones'!D1655*$O992</f>
        <v>364.1889706</v>
      </c>
      <c r="D992" s="143">
        <f>'Analisis de operaciones'!E1651/'Analisis de operaciones'!E1655*$O992</f>
        <v>340.3926471</v>
      </c>
      <c r="E992" s="143">
        <f>'Analisis de operaciones'!F1651/'Analisis de operaciones'!F1655*$O992</f>
        <v>325.4940441</v>
      </c>
      <c r="F992" s="143">
        <f>'Analisis de operaciones'!G1651/'Analisis de operaciones'!G1655*$O992</f>
        <v>304.5945588</v>
      </c>
      <c r="G992" s="143">
        <f>'Analisis de operaciones'!H1651/'Analisis de operaciones'!H1655*$O992</f>
        <v>298.5936765</v>
      </c>
      <c r="H992" s="143">
        <f>'Analisis de operaciones'!I1651/'Analisis de operaciones'!I1655*$O992</f>
        <v>319.4931618</v>
      </c>
      <c r="I992" s="143">
        <f>'Analisis de operaciones'!J1651/'Analisis de operaciones'!J1655*$O992</f>
        <v>319.4931618</v>
      </c>
      <c r="J992" s="143">
        <f>'Analisis de operaciones'!K1651/'Analisis de operaciones'!K1655*$O992</f>
        <v>319.4931618</v>
      </c>
      <c r="K992" s="143">
        <f>'Analisis de operaciones'!L1651/'Analisis de operaciones'!L1655*$O992</f>
        <v>313.4922794</v>
      </c>
      <c r="L992" s="143">
        <f>'Analisis de operaciones'!M1651/'Analisis de operaciones'!M1655*$O992</f>
        <v>307.4913971</v>
      </c>
      <c r="M992" s="143">
        <f>'Analisis de operaciones'!N1651/'Analisis de operaciones'!N1655*$O992</f>
        <v>489.5858824</v>
      </c>
      <c r="N992" s="143">
        <f>'Resumen Capacidad'!$K$29*$B$8*$O992</f>
        <v>300</v>
      </c>
      <c r="O992" s="144">
        <f>$B$18</f>
        <v>1</v>
      </c>
    </row>
    <row r="993" ht="15.75" hidden="1" customHeight="1" outlineLevel="1">
      <c r="A993" s="142" t="s">
        <v>55</v>
      </c>
      <c r="B993" s="143">
        <f>'Analisis de operaciones'!C1661/'Analisis de operaciones'!C1665*$O993</f>
        <v>180.0333485</v>
      </c>
      <c r="C993" s="143">
        <f>'Analisis de operaciones'!D1661/'Analisis de operaciones'!D1665*$O993</f>
        <v>137.2871447</v>
      </c>
      <c r="D993" s="143">
        <f>'Analisis de operaciones'!E1661/'Analisis de operaciones'!E1665*$O993</f>
        <v>128.3167212</v>
      </c>
      <c r="E993" s="143">
        <f>'Analisis de operaciones'!F1661/'Analisis de operaciones'!F1665*$O993</f>
        <v>122.7004428</v>
      </c>
      <c r="F993" s="143">
        <f>'Analisis de operaciones'!G1661/'Analisis de operaciones'!G1665*$O993</f>
        <v>114.822031</v>
      </c>
      <c r="G993" s="143">
        <f>'Analisis de operaciones'!H1661/'Analisis de operaciones'!H1665*$O993</f>
        <v>112.5598977</v>
      </c>
      <c r="H993" s="143">
        <f>'Analisis de operaciones'!I1661/'Analisis de operaciones'!I1665*$O993</f>
        <v>120.4383095</v>
      </c>
      <c r="I993" s="143">
        <f>'Analisis de operaciones'!J1661/'Analisis de operaciones'!J1665*$O993</f>
        <v>120.4383095</v>
      </c>
      <c r="J993" s="143">
        <f>'Analisis de operaciones'!K1661/'Analisis de operaciones'!K1665*$O993</f>
        <v>120.4383095</v>
      </c>
      <c r="K993" s="143">
        <f>'Analisis de operaciones'!L1661/'Analisis de operaciones'!L1665*$O993</f>
        <v>118.1761761</v>
      </c>
      <c r="L993" s="143">
        <f>'Analisis de operaciones'!M1661/'Analisis de operaciones'!M1665*$O993</f>
        <v>115.9140428</v>
      </c>
      <c r="M993" s="143">
        <f>'Analisis de operaciones'!N1661/'Analisis de operaciones'!N1665*$O993</f>
        <v>184.5576152</v>
      </c>
      <c r="N993" s="143">
        <f>'Resumen Capacidad'!$K$30*$B$8*$O993</f>
        <v>150</v>
      </c>
      <c r="O993" s="144">
        <f>IF('Resumen Capacidad'!$K$55="Automática",$C$19,$B$19)</f>
        <v>0.5</v>
      </c>
    </row>
    <row r="994" ht="15.75" hidden="1" customHeight="1" outlineLevel="1">
      <c r="A994" s="142" t="s">
        <v>61</v>
      </c>
      <c r="B994" s="143">
        <f>'Analisis de operaciones'!C1671/'Analisis de operaciones'!C1675*$O994</f>
        <v>139.2279123</v>
      </c>
      <c r="C994" s="143">
        <f>'Analisis de operaciones'!D1671/'Analisis de operaciones'!D1675*$O994</f>
        <v>106.170344</v>
      </c>
      <c r="D994" s="143">
        <f>'Analisis de operaciones'!E1671/'Analisis de operaciones'!E1675*$O994</f>
        <v>99.23311067</v>
      </c>
      <c r="E994" s="143">
        <f>'Analisis de operaciones'!F1671/'Analisis de operaciones'!F1675*$O994</f>
        <v>94.88978913</v>
      </c>
      <c r="F994" s="143">
        <f>'Analisis de operaciones'!G1671/'Analisis de operaciones'!G1675*$O994</f>
        <v>88.79705783</v>
      </c>
      <c r="G994" s="143">
        <f>'Analisis de operaciones'!H1671/'Analisis de operaciones'!H1675*$O994</f>
        <v>87.04764806</v>
      </c>
      <c r="H994" s="143">
        <f>'Analisis de operaciones'!I1671/'Analisis de operaciones'!I1675*$O994</f>
        <v>93.14037936</v>
      </c>
      <c r="I994" s="143">
        <f>'Analisis de operaciones'!J1671/'Analisis de operaciones'!J1675*$O994</f>
        <v>93.14037936</v>
      </c>
      <c r="J994" s="143">
        <f>'Analisis de operaciones'!K1671/'Analisis de operaciones'!K1675*$O994</f>
        <v>93.14037936</v>
      </c>
      <c r="K994" s="143">
        <f>'Analisis de operaciones'!L1671/'Analisis de operaciones'!L1675*$O994</f>
        <v>91.39096959</v>
      </c>
      <c r="L994" s="143">
        <f>'Analisis de operaciones'!M1671/'Analisis de operaciones'!M1675*$O994</f>
        <v>89.64155982</v>
      </c>
      <c r="M994" s="143">
        <f>'Analisis de operaciones'!N1671/'Analisis de operaciones'!N1675*$O994</f>
        <v>142.7267318</v>
      </c>
      <c r="N994" s="143">
        <f>'Resumen Capacidad'!$K$31*$B$8*$O994</f>
        <v>150</v>
      </c>
      <c r="O994" s="144">
        <f>$B$20</f>
        <v>1</v>
      </c>
    </row>
    <row r="995" ht="15.75" hidden="1" customHeight="1" outlineLevel="1">
      <c r="A995" s="142" t="s">
        <v>62</v>
      </c>
      <c r="B995" s="143">
        <f>'Analisis de operaciones'!C1681/'Analisis de operaciones'!C1685*$O995</f>
        <v>338.28875</v>
      </c>
      <c r="C995" s="143">
        <f>'Analisis de operaciones'!D1681/'Analisis de operaciones'!D1685*$O995</f>
        <v>257.9671875</v>
      </c>
      <c r="D995" s="143">
        <f>'Analisis de operaciones'!E1681/'Analisis de operaciones'!E1685*$O995</f>
        <v>241.1114583</v>
      </c>
      <c r="E995" s="143">
        <f>'Analisis de operaciones'!F1681/'Analisis de operaciones'!F1685*$O995</f>
        <v>230.5582813</v>
      </c>
      <c r="F995" s="143">
        <f>'Analisis de operaciones'!G1681/'Analisis de operaciones'!G1685*$O995</f>
        <v>215.7544792</v>
      </c>
      <c r="G995" s="143">
        <f>'Analisis de operaciones'!H1681/'Analisis de operaciones'!H1685*$O995</f>
        <v>211.5038542</v>
      </c>
      <c r="H995" s="143">
        <f>'Analisis de operaciones'!I1681/'Analisis de operaciones'!I1685*$O995</f>
        <v>226.3076563</v>
      </c>
      <c r="I995" s="143">
        <f>'Analisis de operaciones'!J1681/'Analisis de operaciones'!J1685*$O995</f>
        <v>226.3076563</v>
      </c>
      <c r="J995" s="143">
        <f>'Analisis de operaciones'!K1681/'Analisis de operaciones'!K1685*$O995</f>
        <v>226.3076563</v>
      </c>
      <c r="K995" s="143">
        <f>'Analisis de operaciones'!L1681/'Analisis de operaciones'!L1685*$O995</f>
        <v>222.0570313</v>
      </c>
      <c r="L995" s="143">
        <f>'Analisis de operaciones'!M1681/'Analisis de operaciones'!M1685*$O995</f>
        <v>217.8064063</v>
      </c>
      <c r="M995" s="143">
        <f>'Analisis de operaciones'!N1681/'Analisis de operaciones'!N1685*$O995</f>
        <v>346.79</v>
      </c>
      <c r="N995" s="143">
        <f>'Resumen Capacidad'!$K$32*$B$8*$O995</f>
        <v>300</v>
      </c>
      <c r="O995" s="144">
        <f>$B$21</f>
        <v>1</v>
      </c>
    </row>
    <row r="996" ht="15.75" hidden="1" customHeight="1" outlineLevel="1">
      <c r="A996" s="142" t="s">
        <v>63</v>
      </c>
      <c r="B996" s="143">
        <f>'Analisis de operaciones'!C1691/'Analisis de operaciones'!C1695*$O996</f>
        <v>101.8860829</v>
      </c>
      <c r="C996" s="143">
        <f>'Analisis de operaciones'!D1691/'Analisis de operaciones'!D1695*$O996</f>
        <v>81.50886633</v>
      </c>
      <c r="D996" s="143">
        <f>'Analisis de operaciones'!E1691/'Analisis de operaciones'!E1695*$O996</f>
        <v>86.60317048</v>
      </c>
      <c r="E996" s="143">
        <f>'Analisis de operaciones'!F1691/'Analisis de operaciones'!F1695*$O996</f>
        <v>86.60317048</v>
      </c>
      <c r="F996" s="143">
        <f>'Analisis de operaciones'!G1691/'Analisis de operaciones'!G1695*$O996</f>
        <v>81.50886633</v>
      </c>
      <c r="G996" s="143">
        <f>'Analisis de operaciones'!H1691/'Analisis de operaciones'!H1695*$O996</f>
        <v>76.41456219</v>
      </c>
      <c r="H996" s="143">
        <f>'Analisis de operaciones'!I1691/'Analisis de operaciones'!I1695*$O996</f>
        <v>81.50886633</v>
      </c>
      <c r="I996" s="143">
        <f>'Analisis de operaciones'!J1691/'Analisis de operaciones'!J1695*$O996</f>
        <v>81.50886633</v>
      </c>
      <c r="J996" s="143">
        <f>'Analisis de operaciones'!K1691/'Analisis de operaciones'!K1695*$O996</f>
        <v>81.50886633</v>
      </c>
      <c r="K996" s="143">
        <f>'Analisis de operaciones'!L1691/'Analisis de operaciones'!L1695*$O996</f>
        <v>76.41456219</v>
      </c>
      <c r="L996" s="143">
        <f>'Analisis de operaciones'!M1691/'Analisis de operaciones'!M1695*$O996</f>
        <v>71.32025804</v>
      </c>
      <c r="M996" s="143">
        <f>'Analisis de operaciones'!N1691/'Analisis de operaciones'!N1695*$O996</f>
        <v>112.0746912</v>
      </c>
      <c r="N996" s="143">
        <f>'Resumen Capacidad'!$K$33*$B$8*$O996</f>
        <v>150</v>
      </c>
      <c r="O996" s="144">
        <f>$B$22</f>
        <v>1</v>
      </c>
    </row>
    <row r="997" ht="15.75" hidden="1" customHeight="1" outlineLevel="1">
      <c r="A997" s="142" t="s">
        <v>64</v>
      </c>
      <c r="B997" s="143">
        <f>'Analisis de operaciones'!C1701/'Analisis de operaciones'!C1705*$O997</f>
        <v>72.12598982</v>
      </c>
      <c r="C997" s="143">
        <f>'Analisis de operaciones'!D1701/'Analisis de operaciones'!D1705*$O997</f>
        <v>57.70079186</v>
      </c>
      <c r="D997" s="143">
        <f>'Analisis de operaciones'!E1701/'Analisis de operaciones'!E1705*$O997</f>
        <v>61.30709135</v>
      </c>
      <c r="E997" s="143">
        <f>'Analisis de operaciones'!F1701/'Analisis de operaciones'!F1705*$O997</f>
        <v>61.30709135</v>
      </c>
      <c r="F997" s="143">
        <f>'Analisis de operaciones'!G1701/'Analisis de operaciones'!G1705*$O997</f>
        <v>57.70079186</v>
      </c>
      <c r="G997" s="143">
        <f>'Analisis de operaciones'!H1701/'Analisis de operaciones'!H1705*$O997</f>
        <v>54.09449236</v>
      </c>
      <c r="H997" s="143">
        <f>'Analisis de operaciones'!I1701/'Analisis de operaciones'!I1705*$O997</f>
        <v>57.70079186</v>
      </c>
      <c r="I997" s="143">
        <f>'Analisis de operaciones'!J1701/'Analisis de operaciones'!J1705*$O997</f>
        <v>57.70079186</v>
      </c>
      <c r="J997" s="143">
        <f>'Analisis de operaciones'!K1701/'Analisis de operaciones'!K1705*$O997</f>
        <v>57.70079186</v>
      </c>
      <c r="K997" s="143">
        <f>'Analisis de operaciones'!L1701/'Analisis de operaciones'!L1705*$O997</f>
        <v>54.09449236</v>
      </c>
      <c r="L997" s="143">
        <f>'Analisis de operaciones'!M1701/'Analisis de operaciones'!M1705*$O997</f>
        <v>50.48819287</v>
      </c>
      <c r="M997" s="143">
        <f>'Analisis de operaciones'!N1701/'Analisis de operaciones'!N1705*$O997</f>
        <v>79.3385888</v>
      </c>
      <c r="N997" s="143">
        <f>'Resumen Capacidad'!$K$34*$B$8*$O997</f>
        <v>75</v>
      </c>
      <c r="O997" s="144">
        <f>IF('Resumen Capacidad'!$K$56="Automática",$C$23,$B$23)</f>
        <v>0.5</v>
      </c>
    </row>
    <row r="998" ht="15.75" hidden="1" customHeight="1" outlineLevel="1">
      <c r="A998" s="142" t="s">
        <v>66</v>
      </c>
      <c r="B998" s="143">
        <f>'Analisis de operaciones'!C1711/'Analisis de operaciones'!C1715*$O998</f>
        <v>535.4082036</v>
      </c>
      <c r="C998" s="143">
        <f>'Analisis de operaciones'!D1711/'Analisis de operaciones'!D1715*$O998</f>
        <v>408.2835993</v>
      </c>
      <c r="D998" s="143">
        <f>'Analisis de operaciones'!E1711/'Analisis de operaciones'!E1715*$O998</f>
        <v>381.6061066</v>
      </c>
      <c r="E998" s="143">
        <f>'Analisis de operaciones'!F1711/'Analisis de operaciones'!F1715*$O998</f>
        <v>364.9036369</v>
      </c>
      <c r="F998" s="143">
        <f>'Analisis de operaciones'!G1711/'Analisis de operaciones'!G1715*$O998</f>
        <v>341.4737207</v>
      </c>
      <c r="G998" s="143">
        <f>'Analisis de operaciones'!H1711/'Analisis de operaciones'!H1715*$O998</f>
        <v>334.7462741</v>
      </c>
      <c r="H998" s="143">
        <f>'Analisis de operaciones'!I1711/'Analisis de operaciones'!I1715*$O998</f>
        <v>358.1761903</v>
      </c>
      <c r="I998" s="143">
        <f>'Analisis de operaciones'!J1711/'Analisis de operaciones'!J1715*$O998</f>
        <v>358.1761903</v>
      </c>
      <c r="J998" s="143">
        <f>'Analisis de operaciones'!K1711/'Analisis de operaciones'!K1715*$O998</f>
        <v>358.1761903</v>
      </c>
      <c r="K998" s="143">
        <f>'Analisis de operaciones'!L1711/'Analisis de operaciones'!L1715*$O998</f>
        <v>351.4487437</v>
      </c>
      <c r="L998" s="143">
        <f>'Analisis de operaciones'!M1711/'Analisis de operaciones'!M1715*$O998</f>
        <v>344.7212972</v>
      </c>
      <c r="M998" s="143">
        <f>'Analisis de operaciones'!N1711/'Analisis de operaciones'!N1715*$O998</f>
        <v>548.8630968</v>
      </c>
      <c r="N998" s="143">
        <f>'Resumen Capacidad'!$K$35*$B$8*$O998</f>
        <v>450</v>
      </c>
      <c r="O998" s="144">
        <f>$B$24</f>
        <v>1</v>
      </c>
    </row>
    <row r="999" ht="15.75" hidden="1" customHeight="1" outlineLevel="1">
      <c r="A999" s="142" t="s">
        <v>67</v>
      </c>
      <c r="B999" s="143">
        <f>'Analisis de operaciones'!C1721/'Analisis de operaciones'!C1725*$O999</f>
        <v>173.2731493</v>
      </c>
      <c r="C999" s="143">
        <f>'Analisis de operaciones'!D1721/'Analisis de operaciones'!D1725*$O999</f>
        <v>132.1320528</v>
      </c>
      <c r="D999" s="143">
        <f>'Analisis de operaciones'!E1721/'Analisis de operaciones'!E1725*$O999</f>
        <v>123.4984661</v>
      </c>
      <c r="E999" s="143">
        <f>'Analisis de operaciones'!F1721/'Analisis de operaciones'!F1725*$O999</f>
        <v>118.0930772</v>
      </c>
      <c r="F999" s="143">
        <f>'Analisis de operaciones'!G1721/'Analisis de operaciones'!G1725*$O999</f>
        <v>110.5104975</v>
      </c>
      <c r="G999" s="143">
        <f>'Analisis de operaciones'!H1721/'Analisis de operaciones'!H1725*$O999</f>
        <v>108.3333067</v>
      </c>
      <c r="H999" s="143">
        <f>'Analisis de operaciones'!I1721/'Analisis de operaciones'!I1725*$O999</f>
        <v>115.9158864</v>
      </c>
      <c r="I999" s="143">
        <f>'Analisis de operaciones'!J1721/'Analisis de operaciones'!J1725*$O999</f>
        <v>115.9158864</v>
      </c>
      <c r="J999" s="143">
        <f>'Analisis de operaciones'!K1721/'Analisis de operaciones'!K1725*$O999</f>
        <v>115.9158864</v>
      </c>
      <c r="K999" s="143">
        <f>'Analisis de operaciones'!L1721/'Analisis de operaciones'!L1725*$O999</f>
        <v>113.7386955</v>
      </c>
      <c r="L999" s="143">
        <f>'Analisis de operaciones'!M1721/'Analisis de operaciones'!M1725*$O999</f>
        <v>111.5615046</v>
      </c>
      <c r="M999" s="143">
        <f>'Analisis de operaciones'!N1721/'Analisis de operaciones'!N1725*$O999</f>
        <v>177.627531</v>
      </c>
      <c r="N999" s="143">
        <f>'Resumen Capacidad'!$K$36*$B$8*$O999</f>
        <v>150</v>
      </c>
      <c r="O999" s="144">
        <f>$B$25</f>
        <v>1</v>
      </c>
    </row>
    <row r="1000" ht="15.75" hidden="1" customHeight="1" outlineLevel="1">
      <c r="A1000" s="142" t="s">
        <v>68</v>
      </c>
      <c r="B1000" s="143">
        <f>'Analisis de operaciones'!C1731/'Analisis de operaciones'!C1735*$O1000</f>
        <v>255.119721</v>
      </c>
      <c r="C1000" s="143">
        <f>'Analisis de operaciones'!D1731/'Analisis de operaciones'!D1735*$O1000</f>
        <v>194.5453903</v>
      </c>
      <c r="D1000" s="143">
        <f>'Analisis de operaciones'!E1731/'Analisis de operaciones'!E1735*$O1000</f>
        <v>181.833679</v>
      </c>
      <c r="E1000" s="143">
        <f>'Analisis de operaciones'!F1731/'Analisis de operaciones'!F1735*$O1000</f>
        <v>173.8750236</v>
      </c>
      <c r="F1000" s="143">
        <f>'Analisis de operaciones'!G1731/'Analisis de operaciones'!G1735*$O1000</f>
        <v>162.7107686</v>
      </c>
      <c r="G1000" s="143">
        <f>'Analisis de operaciones'!H1731/'Analisis de operaciones'!H1735*$O1000</f>
        <v>159.5051691</v>
      </c>
      <c r="H1000" s="143">
        <f>'Analisis de operaciones'!I1731/'Analisis de operaciones'!I1735*$O1000</f>
        <v>170.669424</v>
      </c>
      <c r="I1000" s="143">
        <f>'Analisis de operaciones'!J1731/'Analisis de operaciones'!J1735*$O1000</f>
        <v>170.669424</v>
      </c>
      <c r="J1000" s="143">
        <f>'Analisis de operaciones'!K1731/'Analisis de operaciones'!K1735*$O1000</f>
        <v>170.669424</v>
      </c>
      <c r="K1000" s="143">
        <f>'Analisis de operaciones'!L1731/'Analisis de operaciones'!L1735*$O1000</f>
        <v>167.4638245</v>
      </c>
      <c r="L1000" s="143">
        <f>'Analisis de operaciones'!M1731/'Analisis de operaciones'!M1735*$O1000</f>
        <v>164.2582249</v>
      </c>
      <c r="M1000" s="143">
        <f>'Analisis de operaciones'!N1731/'Analisis de operaciones'!N1735*$O1000</f>
        <v>261.5309201</v>
      </c>
      <c r="N1000" s="143">
        <f>'Resumen Capacidad'!$K$37*$B$8*$O1000</f>
        <v>150</v>
      </c>
      <c r="O1000" s="144">
        <f>IF('Resumen Capacidad'!$K$57="Automática",$C$26,$B$26)</f>
        <v>0.5</v>
      </c>
    </row>
    <row r="1001" ht="15.75" hidden="1" customHeight="1" outlineLevel="1">
      <c r="A1001" s="142" t="s">
        <v>70</v>
      </c>
      <c r="B1001" s="143">
        <f>'Analisis de operaciones'!C1741/'Analisis de operaciones'!C1745*$O1001</f>
        <v>187.3928713</v>
      </c>
      <c r="C1001" s="143">
        <f>'Analisis de operaciones'!D1741/'Analisis de operaciones'!D1745*$O1001</f>
        <v>142.8992598</v>
      </c>
      <c r="D1001" s="143">
        <f>'Analisis de operaciones'!E1741/'Analisis de operaciones'!E1745*$O1001</f>
        <v>133.5621373</v>
      </c>
      <c r="E1001" s="143">
        <f>'Analisis de operaciones'!F1741/'Analisis de operaciones'!F1745*$O1001</f>
        <v>127.7162729</v>
      </c>
      <c r="F1001" s="143">
        <f>'Analisis de operaciones'!G1741/'Analisis de operaciones'!G1745*$O1001</f>
        <v>119.5158022</v>
      </c>
      <c r="G1001" s="143">
        <f>'Analisis de operaciones'!H1741/'Analisis de operaciones'!H1745*$O1001</f>
        <v>117.1611959</v>
      </c>
      <c r="H1001" s="143">
        <f>'Analisis de operaciones'!I1741/'Analisis de operaciones'!I1745*$O1001</f>
        <v>125.3616666</v>
      </c>
      <c r="I1001" s="143">
        <f>'Analisis de operaciones'!J1741/'Analisis de operaciones'!J1745*$O1001</f>
        <v>125.3616666</v>
      </c>
      <c r="J1001" s="143">
        <f>'Analisis de operaciones'!K1741/'Analisis de operaciones'!K1745*$O1001</f>
        <v>125.3616666</v>
      </c>
      <c r="K1001" s="143">
        <f>'Analisis de operaciones'!L1741/'Analisis de operaciones'!L1745*$O1001</f>
        <v>123.0070603</v>
      </c>
      <c r="L1001" s="143">
        <f>'Analisis de operaciones'!M1741/'Analisis de operaciones'!M1745*$O1001</f>
        <v>120.652454</v>
      </c>
      <c r="M1001" s="143">
        <f>'Analisis de operaciones'!N1741/'Analisis de operaciones'!N1745*$O1001</f>
        <v>192.1020839</v>
      </c>
      <c r="N1001" s="143">
        <f>'Resumen Capacidad'!$K$38*$B$8*$O1001</f>
        <v>150</v>
      </c>
      <c r="O1001" s="144">
        <f>IF('Resumen Capacidad'!$K$58="Automática",$C$27,$B$27)</f>
        <v>0.5</v>
      </c>
    </row>
    <row r="1002" ht="15.75" hidden="1" customHeight="1" outlineLevel="1">
      <c r="A1002" s="142" t="s">
        <v>72</v>
      </c>
      <c r="B1002" s="143">
        <f>'Analisis de operaciones'!C1751/'Analisis de operaciones'!C1755*$O1002</f>
        <v>57.34176471</v>
      </c>
      <c r="C1002" s="143">
        <f>'Analisis de operaciones'!D1751/'Analisis de operaciones'!D1755*$O1002</f>
        <v>45.87341176</v>
      </c>
      <c r="D1002" s="143">
        <f>'Analisis de operaciones'!E1751/'Analisis de operaciones'!E1755*$O1002</f>
        <v>48.7405</v>
      </c>
      <c r="E1002" s="143">
        <f>'Analisis de operaciones'!F1751/'Analisis de operaciones'!F1755*$O1002</f>
        <v>48.7405</v>
      </c>
      <c r="F1002" s="143">
        <f>'Analisis de operaciones'!G1751/'Analisis de operaciones'!G1755*$O1002</f>
        <v>45.87341176</v>
      </c>
      <c r="G1002" s="143">
        <f>'Analisis de operaciones'!H1751/'Analisis de operaciones'!H1755*$O1002</f>
        <v>43.00632353</v>
      </c>
      <c r="H1002" s="143">
        <f>'Analisis de operaciones'!I1751/'Analisis de operaciones'!I1755*$O1002</f>
        <v>45.87341176</v>
      </c>
      <c r="I1002" s="143">
        <f>'Analisis de operaciones'!J1751/'Analisis de operaciones'!J1755*$O1002</f>
        <v>45.87341176</v>
      </c>
      <c r="J1002" s="143">
        <f>'Analisis de operaciones'!K1751/'Analisis de operaciones'!K1755*$O1002</f>
        <v>45.87341176</v>
      </c>
      <c r="K1002" s="143">
        <f>'Analisis de operaciones'!L1751/'Analisis de operaciones'!L1755*$O1002</f>
        <v>43.00632353</v>
      </c>
      <c r="L1002" s="143">
        <f>'Analisis de operaciones'!M1751/'Analisis de operaciones'!M1755*$O1002</f>
        <v>40.13923529</v>
      </c>
      <c r="M1002" s="143">
        <f>'Analisis de operaciones'!N1751/'Analisis de operaciones'!N1755*$O1002</f>
        <v>63.07594118</v>
      </c>
      <c r="N1002" s="143">
        <f>'Resumen Capacidad'!$K$39*$B$8*$O1002</f>
        <v>75</v>
      </c>
      <c r="O1002" s="144">
        <f>$B$28</f>
        <v>0.5</v>
      </c>
    </row>
    <row r="1003" ht="15.75" hidden="1" customHeight="1" outlineLevel="1">
      <c r="A1003" s="142" t="s">
        <v>74</v>
      </c>
      <c r="B1003" s="143">
        <f>'Analisis de operaciones'!C1761/'Analisis de operaciones'!C1765*$O1003</f>
        <v>169.144375</v>
      </c>
      <c r="C1003" s="143">
        <f>'Analisis de operaciones'!D1761/'Analisis de operaciones'!D1765*$O1003</f>
        <v>128.9835938</v>
      </c>
      <c r="D1003" s="143">
        <f>'Analisis de operaciones'!E1761/'Analisis de operaciones'!E1765*$O1003</f>
        <v>120.5557292</v>
      </c>
      <c r="E1003" s="143">
        <f>'Analisis de operaciones'!F1761/'Analisis de operaciones'!F1765*$O1003</f>
        <v>115.2791406</v>
      </c>
      <c r="F1003" s="143">
        <f>'Analisis de operaciones'!G1761/'Analisis de operaciones'!G1765*$O1003</f>
        <v>107.8772396</v>
      </c>
      <c r="G1003" s="143">
        <f>'Analisis de operaciones'!H1761/'Analisis de operaciones'!H1765*$O1003</f>
        <v>105.7519271</v>
      </c>
      <c r="H1003" s="143">
        <f>'Analisis de operaciones'!I1761/'Analisis de operaciones'!I1765*$O1003</f>
        <v>113.1538281</v>
      </c>
      <c r="I1003" s="143">
        <f>'Analisis de operaciones'!J1761/'Analisis de operaciones'!J1765*$O1003</f>
        <v>113.1538281</v>
      </c>
      <c r="J1003" s="143">
        <f>'Analisis de operaciones'!K1761/'Analisis de operaciones'!K1765*$O1003</f>
        <v>113.1538281</v>
      </c>
      <c r="K1003" s="143">
        <f>'Analisis de operaciones'!L1761/'Analisis de operaciones'!L1765*$O1003</f>
        <v>111.0285156</v>
      </c>
      <c r="L1003" s="143">
        <f>'Analisis de operaciones'!M1761/'Analisis de operaciones'!M1765*$O1003</f>
        <v>108.9032031</v>
      </c>
      <c r="M1003" s="143">
        <f>'Analisis de operaciones'!N1761/'Analisis de operaciones'!N1765*$O1003</f>
        <v>173.395</v>
      </c>
      <c r="N1003" s="143">
        <f>'Resumen Capacidad'!$K$40*$B$8*$O1003</f>
        <v>150</v>
      </c>
      <c r="O1003" s="144">
        <f>$B$29</f>
        <v>1</v>
      </c>
    </row>
    <row r="1004" ht="15.75" hidden="1" customHeight="1" outlineLevel="1">
      <c r="A1004" s="142" t="s">
        <v>76</v>
      </c>
      <c r="B1004" s="143">
        <f>'Analisis de operaciones'!C2032/'Analisis de operaciones'!C2036*$O1004</f>
        <v>79.16417007</v>
      </c>
      <c r="C1004" s="143">
        <f>'Analisis de operaciones'!D2032/'Analisis de operaciones'!D2036*$O1004</f>
        <v>60.36783163</v>
      </c>
      <c r="D1004" s="143">
        <f>'Analisis de operaciones'!E2032/'Analisis de operaciones'!E2036*$O1004</f>
        <v>56.42336168</v>
      </c>
      <c r="E1004" s="143">
        <f>'Analisis de operaciones'!F2032/'Analisis de operaciones'!F2036*$O1004</f>
        <v>53.95377466</v>
      </c>
      <c r="F1004" s="143">
        <f>'Analisis de operaciones'!G2032/'Analisis de operaciones'!G2036*$O1004</f>
        <v>50.48948356</v>
      </c>
      <c r="G1004" s="143">
        <f>'Analisis de operaciones'!H2032/'Analisis de operaciones'!H2036*$O1004</f>
        <v>49.49477948</v>
      </c>
      <c r="H1004" s="143">
        <f>'Analisis de operaciones'!I2032/'Analisis de operaciones'!I2036*$O1004</f>
        <v>52.95907058</v>
      </c>
      <c r="I1004" s="143">
        <f>'Analisis de operaciones'!J2032/'Analisis de operaciones'!J2036*$O1004</f>
        <v>52.95907058</v>
      </c>
      <c r="J1004" s="143">
        <f>'Analisis de operaciones'!K2032/'Analisis de operaciones'!K2036*$O1004</f>
        <v>52.95907058</v>
      </c>
      <c r="K1004" s="143">
        <f>'Analisis de operaciones'!L2032/'Analisis de operaciones'!L2036*$O1004</f>
        <v>51.9643665</v>
      </c>
      <c r="L1004" s="143">
        <f>'Analisis de operaciones'!M2032/'Analisis de operaciones'!M2036*$O1004</f>
        <v>50.96966241</v>
      </c>
      <c r="M1004" s="143">
        <f>'Analisis de operaciones'!N2032/'Analisis de operaciones'!N2036*$O1004</f>
        <v>81.15357823</v>
      </c>
      <c r="N1004" s="143">
        <f>'Resumen Capacidad'!$K$41*$B$8*$O1004</f>
        <v>150</v>
      </c>
      <c r="O1004" s="144">
        <f>$B$30</f>
        <v>1</v>
      </c>
    </row>
    <row r="1005" ht="15.75" hidden="1" customHeight="1" outlineLevel="1">
      <c r="A1005" s="142" t="s">
        <v>77</v>
      </c>
      <c r="B1005" s="143">
        <f>IF('Resumen Capacidad'!$K$42=0,0,'Analisis de operaciones'!C1771/'Analisis de operaciones'!C1775*$O1005)</f>
        <v>119.3760802</v>
      </c>
      <c r="C1005" s="143">
        <f>IF('Resumen Capacidad'!$K$42=0,0,'Analisis de operaciones'!D1771/'Analisis de operaciones'!D1775*$O1005)</f>
        <v>91.03203008</v>
      </c>
      <c r="D1005" s="143">
        <f>IF('Resumen Capacidad'!$K$42=0,0,'Analisis de operaciones'!E1771/'Analisis de operaciones'!E1775*$O1005)</f>
        <v>85.08394319</v>
      </c>
      <c r="E1005" s="143">
        <f>IF('Resumen Capacidad'!$K$42=0,0,'Analisis de operaciones'!F1771/'Analisis de operaciones'!F1775*$O1005)</f>
        <v>81.35991479</v>
      </c>
      <c r="F1005" s="143">
        <f>IF('Resumen Capacidad'!$K$42=0,0,'Analisis de operaciones'!G1771/'Analisis de operaciones'!G1775*$O1005)</f>
        <v>76.13591646</v>
      </c>
      <c r="G1005" s="143">
        <f>IF('Resumen Capacidad'!$K$42=0,0,'Analisis de operaciones'!H1771/'Analisis de operaciones'!H1775*$O1005)</f>
        <v>74.63594653</v>
      </c>
      <c r="H1005" s="143">
        <f>IF('Resumen Capacidad'!$K$42=0,0,'Analisis de operaciones'!I1771/'Analisis de operaciones'!I1775*$O1005)</f>
        <v>79.85994486</v>
      </c>
      <c r="I1005" s="143">
        <f>IF('Resumen Capacidad'!$K$42=0,0,'Analisis de operaciones'!J1771/'Analisis de operaciones'!J1775*$O1005)</f>
        <v>79.85994486</v>
      </c>
      <c r="J1005" s="143">
        <f>IF('Resumen Capacidad'!$K$42=0,0,'Analisis de operaciones'!K1771/'Analisis de operaciones'!K1775*$O1005)</f>
        <v>79.85994486</v>
      </c>
      <c r="K1005" s="143">
        <f>IF('Resumen Capacidad'!$K$42=0,0,'Analisis de operaciones'!L1771/'Analisis de operaciones'!L1775*$O1005)</f>
        <v>78.35997494</v>
      </c>
      <c r="L1005" s="143">
        <f>IF('Resumen Capacidad'!$K$42=0,0,'Analisis de operaciones'!M1771/'Analisis de operaciones'!M1775*$O1005)</f>
        <v>76.86000501</v>
      </c>
      <c r="M1005" s="143">
        <f>IF('Resumen Capacidad'!$K$42=0,0,'Analisis de operaciones'!N1771/'Analisis de operaciones'!N1775*$O1005)</f>
        <v>122.3760201</v>
      </c>
      <c r="N1005" s="143">
        <f>'Resumen Capacidad'!$K$42*$B$8*$O1005</f>
        <v>75</v>
      </c>
      <c r="O1005" s="144">
        <f>$B$31</f>
        <v>0.5</v>
      </c>
    </row>
    <row r="1006" ht="15.75" hidden="1" customHeight="1" outlineLevel="1">
      <c r="A1006" s="142" t="s">
        <v>79</v>
      </c>
      <c r="B1006" s="143">
        <f>'Analisis de operaciones'!C1781/'Analisis de operaciones'!C1785*$O1006</f>
        <v>68.8795277</v>
      </c>
      <c r="C1006" s="143">
        <f>'Analisis de operaciones'!D1781/'Analisis de operaciones'!D1785*$O1006</f>
        <v>53.82455611</v>
      </c>
      <c r="D1006" s="143">
        <f>'Analisis de operaciones'!E1781/'Analisis de operaciones'!E1785*$O1006</f>
        <v>53.50090554</v>
      </c>
      <c r="E1006" s="143">
        <f>'Analisis de operaciones'!F1781/'Analisis de operaciones'!F1785*$O1006</f>
        <v>52.17212358</v>
      </c>
      <c r="F1006" s="143">
        <f>'Analisis de operaciones'!G1781/'Analisis de operaciones'!G1785*$O1006</f>
        <v>49.18544034</v>
      </c>
      <c r="G1006" s="143">
        <f>'Analisis de operaciones'!H1781/'Analisis de operaciones'!H1785*$O1006</f>
        <v>47.07686435</v>
      </c>
      <c r="H1006" s="143">
        <f>'Analisis de operaciones'!I1781/'Analisis de operaciones'!I1785*$O1006</f>
        <v>50.5142223</v>
      </c>
      <c r="I1006" s="143">
        <f>'Analisis de operaciones'!J1781/'Analisis de operaciones'!J1785*$O1006</f>
        <v>50.5142223</v>
      </c>
      <c r="J1006" s="143">
        <f>'Analisis de operaciones'!K1781/'Analisis de operaciones'!K1785*$O1006</f>
        <v>50.28888494</v>
      </c>
      <c r="K1006" s="143">
        <f>'Analisis de operaciones'!L1781/'Analisis de operaciones'!L1785*$O1006</f>
        <v>48.18030895</v>
      </c>
      <c r="L1006" s="143">
        <f>'Analisis de operaciones'!M1781/'Analisis de operaciones'!M1785*$O1006</f>
        <v>46.29707031</v>
      </c>
      <c r="M1006" s="143">
        <f>'Analisis de operaciones'!N1781/'Analisis de operaciones'!N1785*$O1006</f>
        <v>71.9699929</v>
      </c>
      <c r="N1006" s="143">
        <f>'Resumen Capacidad'!$K$43*$B$8*$O1006</f>
        <v>75</v>
      </c>
      <c r="O1006" s="144">
        <f>$B$32</f>
        <v>0.5</v>
      </c>
    </row>
    <row r="1007" ht="15.75" hidden="1" customHeight="1" outlineLevel="1">
      <c r="A1007" s="142" t="s">
        <v>81</v>
      </c>
      <c r="B1007" s="143">
        <f>'Analisis de operaciones'!C1791/'Analisis de operaciones'!C1795*$O1007</f>
        <v>329.8720238</v>
      </c>
      <c r="C1007" s="143">
        <f>'Analisis de operaciones'!D1791/'Analisis de operaciones'!D1795*$O1007</f>
        <v>257.7720238</v>
      </c>
      <c r="D1007" s="143">
        <f>'Analisis de operaciones'!E1791/'Analisis de operaciones'!E1795*$O1007</f>
        <v>256.2220238</v>
      </c>
      <c r="E1007" s="143">
        <f>'Analisis de operaciones'!F1791/'Analisis de operaciones'!F1795*$O1007</f>
        <v>249.8583333</v>
      </c>
      <c r="F1007" s="143">
        <f>'Analisis de operaciones'!G1791/'Analisis de operaciones'!G1795*$O1007</f>
        <v>235.5547619</v>
      </c>
      <c r="G1007" s="143">
        <f>'Analisis de operaciones'!H1791/'Analisis de operaciones'!H1795*$O1007</f>
        <v>225.4565476</v>
      </c>
      <c r="H1007" s="143">
        <f>'Analisis de operaciones'!I1791/'Analisis de operaciones'!I1795*$O1007</f>
        <v>241.9184524</v>
      </c>
      <c r="I1007" s="143">
        <f>'Analisis de operaciones'!J1791/'Analisis de operaciones'!J1795*$O1007</f>
        <v>241.9184524</v>
      </c>
      <c r="J1007" s="143">
        <f>'Analisis de operaciones'!K1791/'Analisis de operaciones'!K1795*$O1007</f>
        <v>240.8392857</v>
      </c>
      <c r="K1007" s="143">
        <f>'Analisis de operaciones'!L1791/'Analisis de operaciones'!L1795*$O1007</f>
        <v>230.7410714</v>
      </c>
      <c r="L1007" s="143">
        <f>'Analisis de operaciones'!M1791/'Analisis de operaciones'!M1795*$O1007</f>
        <v>221.7220238</v>
      </c>
      <c r="M1007" s="143">
        <f>'Analisis de operaciones'!N1791/'Analisis de operaciones'!N1795*$O1007</f>
        <v>344.672619</v>
      </c>
      <c r="N1007" s="143">
        <f>'Resumen Capacidad'!$K$44*$B$8*$O1007</f>
        <v>300</v>
      </c>
      <c r="O1007" s="144">
        <f>$B$33</f>
        <v>1</v>
      </c>
    </row>
    <row r="1008" ht="15.75" hidden="1" customHeight="1" outlineLevel="1">
      <c r="A1008" s="142" t="s">
        <v>82</v>
      </c>
      <c r="B1008" s="143">
        <f>'Analisis de operaciones'!C1801/'Analisis de operaciones'!C1805*$O1008</f>
        <v>200.1223611</v>
      </c>
      <c r="C1008" s="143">
        <f>'Analisis de operaciones'!D1801/'Analisis de operaciones'!D1805*$O1008</f>
        <v>156.3816944</v>
      </c>
      <c r="D1008" s="143">
        <f>'Analisis de operaciones'!E1801/'Analisis de operaciones'!E1805*$O1008</f>
        <v>155.4413611</v>
      </c>
      <c r="E1008" s="143">
        <f>'Analisis de operaciones'!F1801/'Analisis de operaciones'!F1805*$O1008</f>
        <v>151.5807222</v>
      </c>
      <c r="F1008" s="143">
        <f>'Analisis de operaciones'!G1801/'Analisis de operaciones'!G1805*$O1008</f>
        <v>142.9032222</v>
      </c>
      <c r="G1008" s="143">
        <f>'Analisis de operaciones'!H1801/'Analisis de operaciones'!H1805*$O1008</f>
        <v>136.7769722</v>
      </c>
      <c r="H1008" s="143">
        <f>'Analisis de operaciones'!I1801/'Analisis de operaciones'!I1805*$O1008</f>
        <v>146.7638611</v>
      </c>
      <c r="I1008" s="143">
        <f>'Analisis de operaciones'!J1801/'Analisis de operaciones'!J1805*$O1008</f>
        <v>146.7638611</v>
      </c>
      <c r="J1008" s="143">
        <f>'Analisis de operaciones'!K1801/'Analisis de operaciones'!K1805*$O1008</f>
        <v>146.1091667</v>
      </c>
      <c r="K1008" s="143">
        <f>'Analisis de operaciones'!L1801/'Analisis de operaciones'!L1805*$O1008</f>
        <v>139.9829167</v>
      </c>
      <c r="L1008" s="143">
        <f>'Analisis de operaciones'!M1801/'Analisis de operaciones'!M1805*$O1008</f>
        <v>134.5113611</v>
      </c>
      <c r="M1008" s="143">
        <f>'Analisis de operaciones'!N1801/'Analisis de operaciones'!N1805*$O1008</f>
        <v>209.1013889</v>
      </c>
      <c r="N1008" s="143">
        <f>'Resumen Capacidad'!$K$45*$B$8*$O1008</f>
        <v>150</v>
      </c>
      <c r="O1008" s="144">
        <f>$B$34</f>
        <v>1</v>
      </c>
    </row>
    <row r="1009" ht="15.75" hidden="1" customHeight="1" outlineLevel="1">
      <c r="A1009" s="142" t="s">
        <v>83</v>
      </c>
      <c r="B1009" s="143">
        <f>'Analisis de operaciones'!C1811/'Analisis de operaciones'!C1815*$O1009</f>
        <v>181.4296131</v>
      </c>
      <c r="C1009" s="143">
        <f>'Analisis de operaciones'!D1811/'Analisis de operaciones'!D1815*$O1009</f>
        <v>141.7746131</v>
      </c>
      <c r="D1009" s="143">
        <f>'Analisis de operaciones'!E1811/'Analisis de operaciones'!E1815*$O1009</f>
        <v>140.9221131</v>
      </c>
      <c r="E1009" s="143">
        <f>'Analisis de operaciones'!F1811/'Analisis de operaciones'!F1815*$O1009</f>
        <v>137.4220833</v>
      </c>
      <c r="F1009" s="143">
        <f>'Analisis de operaciones'!G1811/'Analisis de operaciones'!G1815*$O1009</f>
        <v>129.555119</v>
      </c>
      <c r="G1009" s="143">
        <f>'Analisis de operaciones'!H1811/'Analisis de operaciones'!H1815*$O1009</f>
        <v>124.0011012</v>
      </c>
      <c r="H1009" s="143">
        <f>'Analisis de operaciones'!I1811/'Analisis de operaciones'!I1815*$O1009</f>
        <v>133.0551488</v>
      </c>
      <c r="I1009" s="143">
        <f>'Analisis de operaciones'!J1811/'Analisis de operaciones'!J1815*$O1009</f>
        <v>133.0551488</v>
      </c>
      <c r="J1009" s="143">
        <f>'Analisis de operaciones'!K1811/'Analisis de operaciones'!K1815*$O1009</f>
        <v>132.4616071</v>
      </c>
      <c r="K1009" s="143">
        <f>'Analisis de operaciones'!L1811/'Analisis de operaciones'!L1815*$O1009</f>
        <v>126.9075893</v>
      </c>
      <c r="L1009" s="143">
        <f>'Analisis de operaciones'!M1811/'Analisis de operaciones'!M1815*$O1009</f>
        <v>121.9471131</v>
      </c>
      <c r="M1009" s="143">
        <f>'Analisis de operaciones'!N1811/'Analisis de operaciones'!N1815*$O1009</f>
        <v>189.5699405</v>
      </c>
      <c r="N1009" s="143">
        <f>'Resumen Capacidad'!$K$46*$B$8*$O1009</f>
        <v>150</v>
      </c>
      <c r="O1009" s="144">
        <f>$B$35</f>
        <v>1</v>
      </c>
    </row>
    <row r="1010" ht="15.75" hidden="1" customHeight="1" outlineLevel="1">
      <c r="A1010" s="142" t="s">
        <v>84</v>
      </c>
      <c r="B1010" s="143">
        <f>'Analisis de operaciones'!C1821/'Analisis de operaciones'!C1825*$O1010</f>
        <v>665.3012083</v>
      </c>
      <c r="C1010" s="143">
        <f>'Analisis de operaciones'!D1821/'Analisis de operaciones'!D1825*$O1010</f>
        <v>507.3354688</v>
      </c>
      <c r="D1010" s="143">
        <f>'Analisis de operaciones'!E1821/'Analisis de operaciones'!E1825*$O1010</f>
        <v>474.1858681</v>
      </c>
      <c r="E1010" s="143">
        <f>'Analisis de operaciones'!F1821/'Analisis de operaciones'!F1825*$O1010</f>
        <v>453.4312865</v>
      </c>
      <c r="F1010" s="143">
        <f>'Analisis de operaciones'!G1821/'Analisis de operaciones'!G1825*$O1010</f>
        <v>424.3171424</v>
      </c>
      <c r="G1010" s="143">
        <f>'Analisis de operaciones'!H1821/'Analisis de operaciones'!H1825*$O1010</f>
        <v>415.9575799</v>
      </c>
      <c r="H1010" s="143">
        <f>'Analisis de operaciones'!I1821/'Analisis de operaciones'!I1825*$O1010</f>
        <v>445.071724</v>
      </c>
      <c r="I1010" s="143">
        <f>'Analisis de operaciones'!J1821/'Analisis de operaciones'!J1825*$O1010</f>
        <v>445.071724</v>
      </c>
      <c r="J1010" s="143">
        <f>'Analisis de operaciones'!K1821/'Analisis de operaciones'!K1825*$O1010</f>
        <v>445.071724</v>
      </c>
      <c r="K1010" s="143">
        <f>'Analisis de operaciones'!L1821/'Analisis de operaciones'!L1825*$O1010</f>
        <v>436.7121615</v>
      </c>
      <c r="L1010" s="143">
        <f>'Analisis de operaciones'!M1821/'Analisis de operaciones'!M1825*$O1010</f>
        <v>428.352599</v>
      </c>
      <c r="M1010" s="143">
        <f>'Analisis de operaciones'!N1821/'Analisis de operaciones'!N1825*$O1010</f>
        <v>682.0203333</v>
      </c>
      <c r="N1010" s="143">
        <f>'Resumen Capacidad'!$K$47*$B$8*$O1010</f>
        <v>450</v>
      </c>
      <c r="O1010" s="144">
        <f>$B$36</f>
        <v>1</v>
      </c>
    </row>
    <row r="1011" ht="15.75" hidden="1" customHeight="1" outlineLevel="1">
      <c r="A1011" s="142" t="s">
        <v>85</v>
      </c>
      <c r="B1011" s="143">
        <f>'Analisis de operaciones'!C2042/'Analisis de operaciones'!C2046*$O1011</f>
        <v>161.6349858</v>
      </c>
      <c r="C1011" s="143">
        <f>'Analisis de operaciones'!D2042/'Analisis de operaciones'!D2046*$O1011</f>
        <v>121.2262393</v>
      </c>
      <c r="D1011" s="143">
        <f>'Analisis de operaciones'!E2042/'Analisis de operaciones'!E2046*$O1011</f>
        <v>107.7566572</v>
      </c>
      <c r="E1011" s="143">
        <f>'Analisis de operaciones'!F2042/'Analisis de operaciones'!F2046*$O1011</f>
        <v>101.0218661</v>
      </c>
      <c r="F1011" s="143">
        <f>'Analisis de operaciones'!G2042/'Analisis de operaciones'!G2046*$O1011</f>
        <v>94.28707502</v>
      </c>
      <c r="G1011" s="143">
        <f>'Analisis de operaciones'!H2042/'Analisis de operaciones'!H2046*$O1011</f>
        <v>94.28707502</v>
      </c>
      <c r="H1011" s="143">
        <f>'Analisis de operaciones'!I2042/'Analisis de operaciones'!I2046*$O1011</f>
        <v>101.0218661</v>
      </c>
      <c r="I1011" s="143">
        <f>'Analisis de operaciones'!J2042/'Analisis de operaciones'!J2046*$O1011</f>
        <v>101.0218661</v>
      </c>
      <c r="J1011" s="143">
        <f>'Analisis de operaciones'!K2042/'Analisis de operaciones'!K2046*$O1011</f>
        <v>101.0218661</v>
      </c>
      <c r="K1011" s="143">
        <f>'Analisis de operaciones'!L2042/'Analisis de operaciones'!L2046*$O1011</f>
        <v>101.0218661</v>
      </c>
      <c r="L1011" s="143">
        <f>'Analisis de operaciones'!M2042/'Analisis de operaciones'!M2046*$O1011</f>
        <v>101.0218661</v>
      </c>
      <c r="M1011" s="143">
        <f>'Analisis de operaciones'!N2042/'Analisis de operaciones'!N2046*$O1011</f>
        <v>161.6349858</v>
      </c>
      <c r="N1011" s="143">
        <f>'Resumen Capacidad'!$K$48*$B$8*$O1011</f>
        <v>150</v>
      </c>
      <c r="O1011" s="144">
        <f>$B$37</f>
        <v>0.5</v>
      </c>
    </row>
    <row r="1012" ht="15.75" hidden="1" customHeight="1" outlineLevel="1">
      <c r="A1012" s="141" t="s">
        <v>472</v>
      </c>
    </row>
    <row r="1013" ht="15.75" hidden="1" customHeight="1" outlineLevel="1">
      <c r="A1013" s="142" t="s">
        <v>88</v>
      </c>
      <c r="B1013" s="143">
        <f>'Analisis de operaciones'!C2883/'Analisis de operaciones'!C2887*$O1013</f>
        <v>16.79166667</v>
      </c>
      <c r="C1013" s="143">
        <f>'Analisis de operaciones'!D2883/'Analisis de operaciones'!D2887*$O1013</f>
        <v>14.81617647</v>
      </c>
      <c r="D1013" s="143">
        <f>'Analisis de operaciones'!E2883/'Analisis de operaciones'!E2887*$O1013</f>
        <v>17.77941176</v>
      </c>
      <c r="E1013" s="143">
        <f>'Analisis de operaciones'!F2883/'Analisis de operaciones'!F2887*$O1013</f>
        <v>17.77941176</v>
      </c>
      <c r="F1013" s="143">
        <f>'Analisis de operaciones'!G2883/'Analisis de operaciones'!G2887*$O1013</f>
        <v>17.77941176</v>
      </c>
      <c r="G1013" s="143">
        <f>'Analisis de operaciones'!H2883/'Analisis de operaciones'!H2887*$O1013</f>
        <v>15.80392157</v>
      </c>
      <c r="H1013" s="143">
        <f>'Analisis de operaciones'!I2883/'Analisis de operaciones'!I2887*$O1013</f>
        <v>17.77941176</v>
      </c>
      <c r="I1013" s="143">
        <f>'Analisis de operaciones'!J2883/'Analisis de operaciones'!J2887*$O1013</f>
        <v>17.77941176</v>
      </c>
      <c r="J1013" s="143">
        <f>'Analisis de operaciones'!K2883/'Analisis de operaciones'!K2887*$O1013</f>
        <v>16.79166667</v>
      </c>
      <c r="K1013" s="143">
        <f>'Analisis de operaciones'!L2883/'Analisis de operaciones'!L2887*$O1013</f>
        <v>14.81617647</v>
      </c>
      <c r="L1013" s="143">
        <f>'Analisis de operaciones'!M2883/'Analisis de operaciones'!M2887*$O1013</f>
        <v>13.82843137</v>
      </c>
      <c r="M1013" s="143">
        <f>'Analisis de operaciones'!N2883/'Analisis de operaciones'!N2887*$O1013</f>
        <v>15.80392157</v>
      </c>
      <c r="O1013" s="144">
        <f>$B$38</f>
        <v>1</v>
      </c>
    </row>
    <row r="1014" ht="15.75" hidden="1" customHeight="1" outlineLevel="1">
      <c r="A1014" s="142" t="s">
        <v>89</v>
      </c>
      <c r="B1014" s="143">
        <f>'Analisis de operaciones'!C2893/'Analisis de operaciones'!C2897*$O1014</f>
        <v>139.984375</v>
      </c>
      <c r="C1014" s="143">
        <f>'Analisis de operaciones'!D2893/'Analisis de operaciones'!D2897*$O1014</f>
        <v>123.515625</v>
      </c>
      <c r="D1014" s="143">
        <f>'Analisis de operaciones'!E2893/'Analisis de operaciones'!E2897*$O1014</f>
        <v>148.21875</v>
      </c>
      <c r="E1014" s="143">
        <f>'Analisis de operaciones'!F2893/'Analisis de operaciones'!F2897*$O1014</f>
        <v>148.21875</v>
      </c>
      <c r="F1014" s="143">
        <f>'Analisis de operaciones'!G2893/'Analisis de operaciones'!G2897*$O1014</f>
        <v>148.21875</v>
      </c>
      <c r="G1014" s="143">
        <f>'Analisis de operaciones'!H2893/'Analisis de operaciones'!H2897*$O1014</f>
        <v>131.75</v>
      </c>
      <c r="H1014" s="143">
        <f>'Analisis de operaciones'!I2893/'Analisis de operaciones'!I2897*$O1014</f>
        <v>148.21875</v>
      </c>
      <c r="I1014" s="143">
        <f>'Analisis de operaciones'!J2893/'Analisis de operaciones'!J2897*$O1014</f>
        <v>148.21875</v>
      </c>
      <c r="J1014" s="143">
        <f>'Analisis de operaciones'!K2893/'Analisis de operaciones'!K2897*$O1014</f>
        <v>139.984375</v>
      </c>
      <c r="K1014" s="143">
        <f>'Analisis de operaciones'!L2893/'Analisis de operaciones'!L2897*$O1014</f>
        <v>123.515625</v>
      </c>
      <c r="L1014" s="143">
        <f>'Analisis de operaciones'!M2893/'Analisis de operaciones'!M2897*$O1014</f>
        <v>115.28125</v>
      </c>
      <c r="M1014" s="143">
        <f>'Analisis de operaciones'!N2893/'Analisis de operaciones'!N2897*$O1014</f>
        <v>131.75</v>
      </c>
      <c r="O1014" s="144">
        <f>$B$39</f>
        <v>1</v>
      </c>
    </row>
    <row r="1015" ht="15.75" hidden="1" customHeight="1" outlineLevel="1">
      <c r="A1015" s="142" t="s">
        <v>90</v>
      </c>
      <c r="B1015" s="143">
        <f>'Analisis de operaciones'!C2903/'Analisis de operaciones'!C2907*$O1015</f>
        <v>6.673611111</v>
      </c>
      <c r="C1015" s="143">
        <f>'Analisis de operaciones'!D2903/'Analisis de operaciones'!D2907*$O1015</f>
        <v>5.888480392</v>
      </c>
      <c r="D1015" s="143">
        <f>'Analisis de operaciones'!E2903/'Analisis de operaciones'!E2907*$O1015</f>
        <v>7.066176471</v>
      </c>
      <c r="E1015" s="143">
        <f>'Analisis de operaciones'!F2903/'Analisis de operaciones'!F2907*$O1015</f>
        <v>7.066176471</v>
      </c>
      <c r="F1015" s="143">
        <f>'Analisis de operaciones'!G2903/'Analisis de operaciones'!G2907*$O1015</f>
        <v>7.066176471</v>
      </c>
      <c r="G1015" s="143">
        <f>'Analisis de operaciones'!H2903/'Analisis de operaciones'!H2907*$O1015</f>
        <v>6.281045752</v>
      </c>
      <c r="H1015" s="143">
        <f>'Analisis de operaciones'!I2903/'Analisis de operaciones'!I2907*$O1015</f>
        <v>7.066176471</v>
      </c>
      <c r="I1015" s="143">
        <f>'Analisis de operaciones'!J2903/'Analisis de operaciones'!J2907*$O1015</f>
        <v>7.066176471</v>
      </c>
      <c r="J1015" s="143">
        <f>'Analisis de operaciones'!K2903/'Analisis de operaciones'!K2907*$O1015</f>
        <v>6.673611111</v>
      </c>
      <c r="K1015" s="143">
        <f>'Analisis de operaciones'!L2903/'Analisis de operaciones'!L2907*$O1015</f>
        <v>5.888480392</v>
      </c>
      <c r="L1015" s="143">
        <f>'Analisis de operaciones'!M2903/'Analisis de operaciones'!M2907*$O1015</f>
        <v>5.495915033</v>
      </c>
      <c r="M1015" s="143">
        <f>'Analisis de operaciones'!N2903/'Analisis de operaciones'!N2907*$O1015</f>
        <v>6.281045752</v>
      </c>
      <c r="O1015" s="144">
        <f>$B$40</f>
        <v>0.5</v>
      </c>
    </row>
    <row r="1016" ht="15.75" hidden="1" customHeight="1" outlineLevel="1">
      <c r="A1016" s="142" t="s">
        <v>91</v>
      </c>
      <c r="B1016" s="143">
        <f>'Analisis de operaciones'!C2913/'Analisis de operaciones'!C2917*$O1016</f>
        <v>4.951388889</v>
      </c>
      <c r="C1016" s="143">
        <f>'Analisis de operaciones'!D2913/'Analisis de operaciones'!D2917*$O1016</f>
        <v>4.368872549</v>
      </c>
      <c r="D1016" s="143">
        <f>'Analisis de operaciones'!E2913/'Analisis de operaciones'!E2917*$O1016</f>
        <v>5.242647059</v>
      </c>
      <c r="E1016" s="143">
        <f>'Analisis de operaciones'!F2913/'Analisis de operaciones'!F2917*$O1016</f>
        <v>5.242647059</v>
      </c>
      <c r="F1016" s="143">
        <f>'Analisis de operaciones'!G2913/'Analisis de operaciones'!G2917*$O1016</f>
        <v>5.242647059</v>
      </c>
      <c r="G1016" s="143">
        <f>'Analisis de operaciones'!H2913/'Analisis de operaciones'!H2917*$O1016</f>
        <v>4.660130719</v>
      </c>
      <c r="H1016" s="143">
        <f>'Analisis de operaciones'!I2913/'Analisis de operaciones'!I2917*$O1016</f>
        <v>5.242647059</v>
      </c>
      <c r="I1016" s="143">
        <f>'Analisis de operaciones'!J2913/'Analisis de operaciones'!J2917*$O1016</f>
        <v>5.242647059</v>
      </c>
      <c r="J1016" s="143">
        <f>'Analisis de operaciones'!K2913/'Analisis de operaciones'!K2917*$O1016</f>
        <v>4.951388889</v>
      </c>
      <c r="K1016" s="143">
        <f>'Analisis de operaciones'!L2913/'Analisis de operaciones'!L2917*$O1016</f>
        <v>4.368872549</v>
      </c>
      <c r="L1016" s="143">
        <f>'Analisis de operaciones'!M2913/'Analisis de operaciones'!M2917*$O1016</f>
        <v>4.077614379</v>
      </c>
      <c r="M1016" s="143">
        <f>'Analisis de operaciones'!N2913/'Analisis de operaciones'!N2917*$O1016</f>
        <v>4.660130719</v>
      </c>
      <c r="O1016" s="144">
        <f>$B$41</f>
        <v>0.5</v>
      </c>
    </row>
    <row r="1017" ht="15.75" hidden="1" customHeight="1" outlineLevel="1">
      <c r="A1017" s="142" t="s">
        <v>93</v>
      </c>
      <c r="B1017" s="143">
        <f>'Analisis de operaciones'!C2923/'Analisis de operaciones'!C2927*$O1017</f>
        <v>6.888888889</v>
      </c>
      <c r="C1017" s="143">
        <f>'Analisis de operaciones'!D2923/'Analisis de operaciones'!D2927*$O1017</f>
        <v>6.078431373</v>
      </c>
      <c r="D1017" s="143">
        <f>'Analisis de operaciones'!E2923/'Analisis de operaciones'!E2927*$O1017</f>
        <v>7.294117647</v>
      </c>
      <c r="E1017" s="143">
        <f>'Analisis de operaciones'!F2923/'Analisis de operaciones'!F2927*$O1017</f>
        <v>7.294117647</v>
      </c>
      <c r="F1017" s="143">
        <f>'Analisis de operaciones'!G2923/'Analisis de operaciones'!G2927*$O1017</f>
        <v>7.294117647</v>
      </c>
      <c r="G1017" s="143">
        <f>'Analisis de operaciones'!H2923/'Analisis de operaciones'!H2927*$O1017</f>
        <v>6.483660131</v>
      </c>
      <c r="H1017" s="143">
        <f>'Analisis de operaciones'!I2923/'Analisis de operaciones'!I2927*$O1017</f>
        <v>7.294117647</v>
      </c>
      <c r="I1017" s="143">
        <f>'Analisis de operaciones'!J2923/'Analisis de operaciones'!J2927*$O1017</f>
        <v>7.294117647</v>
      </c>
      <c r="J1017" s="143">
        <f>'Analisis de operaciones'!K2923/'Analisis de operaciones'!K2927*$O1017</f>
        <v>6.888888889</v>
      </c>
      <c r="K1017" s="143">
        <f>'Analisis de operaciones'!L2923/'Analisis de operaciones'!L2927*$O1017</f>
        <v>6.078431373</v>
      </c>
      <c r="L1017" s="143">
        <f>'Analisis de operaciones'!M2923/'Analisis de operaciones'!M2927*$O1017</f>
        <v>5.673202614</v>
      </c>
      <c r="M1017" s="143">
        <f>'Analisis de operaciones'!N2923/'Analisis de operaciones'!N2927*$O1017</f>
        <v>6.483660131</v>
      </c>
      <c r="O1017" s="144">
        <f>$B$42</f>
        <v>1</v>
      </c>
    </row>
    <row r="1018" ht="15.75" hidden="1" customHeight="1" outlineLevel="1">
      <c r="A1018" s="142" t="s">
        <v>94</v>
      </c>
      <c r="B1018" s="143">
        <f>'Analisis de operaciones'!C2933/'Analisis de operaciones'!C2937*$O1018</f>
        <v>8.826388889</v>
      </c>
      <c r="C1018" s="143">
        <f>'Analisis de operaciones'!D2933/'Analisis de operaciones'!D2937*$O1018</f>
        <v>7.787990196</v>
      </c>
      <c r="D1018" s="143">
        <f>'Analisis de operaciones'!E2933/'Analisis de operaciones'!E2937*$O1018</f>
        <v>9.345588235</v>
      </c>
      <c r="E1018" s="143">
        <f>'Analisis de operaciones'!F2933/'Analisis de operaciones'!F2937*$O1018</f>
        <v>9.345588235</v>
      </c>
      <c r="F1018" s="143">
        <f>'Analisis de operaciones'!G2933/'Analisis de operaciones'!G2937*$O1018</f>
        <v>9.345588235</v>
      </c>
      <c r="G1018" s="143">
        <f>'Analisis de operaciones'!H2933/'Analisis de operaciones'!H2937*$O1018</f>
        <v>8.307189542</v>
      </c>
      <c r="H1018" s="143">
        <f>'Analisis de operaciones'!I2933/'Analisis de operaciones'!I2937*$O1018</f>
        <v>9.345588235</v>
      </c>
      <c r="I1018" s="143">
        <f>'Analisis de operaciones'!J2933/'Analisis de operaciones'!J2937*$O1018</f>
        <v>9.345588235</v>
      </c>
      <c r="J1018" s="143">
        <f>'Analisis de operaciones'!K2933/'Analisis de operaciones'!K2937*$O1018</f>
        <v>8.826388889</v>
      </c>
      <c r="K1018" s="143">
        <f>'Analisis de operaciones'!L2933/'Analisis de operaciones'!L2937*$O1018</f>
        <v>7.787990196</v>
      </c>
      <c r="L1018" s="143">
        <f>'Analisis de operaciones'!M2933/'Analisis de operaciones'!M2937*$O1018</f>
        <v>7.26879085</v>
      </c>
      <c r="M1018" s="143">
        <f>'Analisis de operaciones'!N2933/'Analisis de operaciones'!N2937*$O1018</f>
        <v>8.307189542</v>
      </c>
      <c r="O1018" s="144">
        <f>$B$43</f>
        <v>0.5</v>
      </c>
    </row>
    <row r="1019" ht="15.75" hidden="1" customHeight="1" outlineLevel="1">
      <c r="A1019" s="142" t="s">
        <v>96</v>
      </c>
      <c r="B1019" s="143">
        <f>'Analisis de operaciones'!C2943/'Analisis de operaciones'!C2947*$O1019</f>
        <v>6.888888889</v>
      </c>
      <c r="C1019" s="143">
        <f>'Analisis de operaciones'!D2943/'Analisis de operaciones'!D2947*$O1019</f>
        <v>6.078431373</v>
      </c>
      <c r="D1019" s="143">
        <f>'Analisis de operaciones'!E2943/'Analisis de operaciones'!E2947*$O1019</f>
        <v>7.294117647</v>
      </c>
      <c r="E1019" s="143">
        <f>'Analisis de operaciones'!F2943/'Analisis de operaciones'!F2947*$O1019</f>
        <v>7.294117647</v>
      </c>
      <c r="F1019" s="143">
        <f>'Analisis de operaciones'!G2943/'Analisis de operaciones'!G2947*$O1019</f>
        <v>7.294117647</v>
      </c>
      <c r="G1019" s="143">
        <f>'Analisis de operaciones'!H2943/'Analisis de operaciones'!H2947*$O1019</f>
        <v>6.483660131</v>
      </c>
      <c r="H1019" s="143">
        <f>'Analisis de operaciones'!I2943/'Analisis de operaciones'!I2947*$O1019</f>
        <v>7.294117647</v>
      </c>
      <c r="I1019" s="143">
        <f>'Analisis de operaciones'!J2943/'Analisis de operaciones'!J2947*$O1019</f>
        <v>7.294117647</v>
      </c>
      <c r="J1019" s="143">
        <f>'Analisis de operaciones'!K2943/'Analisis de operaciones'!K2947*$O1019</f>
        <v>6.888888889</v>
      </c>
      <c r="K1019" s="143">
        <f>'Analisis de operaciones'!L2943/'Analisis de operaciones'!L2947*$O1019</f>
        <v>6.078431373</v>
      </c>
      <c r="L1019" s="143">
        <f>'Analisis de operaciones'!M2943/'Analisis de operaciones'!M2947*$O1019</f>
        <v>5.673202614</v>
      </c>
      <c r="M1019" s="143">
        <f>'Analisis de operaciones'!N2943/'Analisis de operaciones'!N2947*$O1019</f>
        <v>6.483660131</v>
      </c>
      <c r="O1019" s="144">
        <f>$B$44</f>
        <v>1</v>
      </c>
    </row>
    <row r="1020" ht="15.75" hidden="1" customHeight="1" outlineLevel="1">
      <c r="A1020" s="142" t="s">
        <v>97</v>
      </c>
      <c r="B1020" s="143">
        <f>'Analisis de operaciones'!C2953/'Analisis de operaciones'!C2957*$O1020</f>
        <v>46.5</v>
      </c>
      <c r="C1020" s="143">
        <f>'Analisis de operaciones'!D2953/'Analisis de operaciones'!D2957*$O1020</f>
        <v>41.02941176</v>
      </c>
      <c r="D1020" s="143">
        <f>'Analisis de operaciones'!E2953/'Analisis de operaciones'!E2957*$O1020</f>
        <v>49.23529412</v>
      </c>
      <c r="E1020" s="143">
        <f>'Analisis de operaciones'!F2953/'Analisis de operaciones'!F2957*$O1020</f>
        <v>49.23529412</v>
      </c>
      <c r="F1020" s="143">
        <f>'Analisis de operaciones'!G2953/'Analisis de operaciones'!G2957*$O1020</f>
        <v>49.23529412</v>
      </c>
      <c r="G1020" s="143">
        <f>'Analisis de operaciones'!H2953/'Analisis de operaciones'!H2957*$O1020</f>
        <v>43.76470588</v>
      </c>
      <c r="H1020" s="143">
        <f>'Analisis de operaciones'!I2953/'Analisis de operaciones'!I2957*$O1020</f>
        <v>49.23529412</v>
      </c>
      <c r="I1020" s="143">
        <f>'Analisis de operaciones'!J2953/'Analisis de operaciones'!J2957*$O1020</f>
        <v>49.23529412</v>
      </c>
      <c r="J1020" s="143">
        <f>'Analisis de operaciones'!K2953/'Analisis de operaciones'!K2957*$O1020</f>
        <v>46.5</v>
      </c>
      <c r="K1020" s="143">
        <f>'Analisis de operaciones'!L2953/'Analisis de operaciones'!L2957*$O1020</f>
        <v>41.02941176</v>
      </c>
      <c r="L1020" s="143">
        <f>'Analisis de operaciones'!M2953/'Analisis de operaciones'!M2957*$O1020</f>
        <v>38.29411765</v>
      </c>
      <c r="M1020" s="143">
        <f>'Analisis de operaciones'!N2953/'Analisis de operaciones'!N2957*$O1020</f>
        <v>43.76470588</v>
      </c>
      <c r="O1020" s="144">
        <f>$B$45</f>
        <v>1</v>
      </c>
    </row>
    <row r="1021" ht="15.75" hidden="1" customHeight="1" outlineLevel="1">
      <c r="A1021" s="142" t="s">
        <v>311</v>
      </c>
      <c r="B1021" s="143">
        <f>'Analisis de operaciones'!C3064/'Analisis de operaciones'!C3068*$O1021</f>
        <v>67.72427658</v>
      </c>
      <c r="C1021" s="143">
        <f>'Analisis de operaciones'!D3064/'Analisis de operaciones'!D3068*$O1021</f>
        <v>54.3538627</v>
      </c>
      <c r="D1021" s="143">
        <f>'Analisis de operaciones'!E3064/'Analisis de operaciones'!E3068*$O1021</f>
        <v>58.00796874</v>
      </c>
      <c r="E1021" s="143">
        <f>'Analisis de operaciones'!F3064/'Analisis de operaciones'!F3068*$O1021</f>
        <v>58.00796874</v>
      </c>
      <c r="F1021" s="143">
        <f>'Analisis de operaciones'!G3064/'Analisis de operaciones'!G3068*$O1021</f>
        <v>54.72766579</v>
      </c>
      <c r="G1021" s="143">
        <f>'Analisis de operaciones'!H3064/'Analisis de operaciones'!H3068*$O1021</f>
        <v>51.19816078</v>
      </c>
      <c r="H1021" s="143">
        <f>'Analisis de operaciones'!I3064/'Analisis de operaciones'!I3068*$O1021</f>
        <v>54.72766579</v>
      </c>
      <c r="I1021" s="143">
        <f>'Analisis de operaciones'!J3064/'Analisis de operaciones'!J3068*$O1021</f>
        <v>54.72766579</v>
      </c>
      <c r="J1021" s="143">
        <f>'Analisis de operaciones'!K3064/'Analisis de operaciones'!K3068*$O1021</f>
        <v>54.60306476</v>
      </c>
      <c r="K1021" s="143">
        <f>'Analisis de operaciones'!L3064/'Analisis de operaciones'!L3068*$O1021</f>
        <v>51.07355975</v>
      </c>
      <c r="L1021" s="143">
        <f>'Analisis de operaciones'!M3064/'Analisis de operaciones'!M3068*$O1021</f>
        <v>47.66865576</v>
      </c>
      <c r="M1021" s="143">
        <f>'Analisis de operaciones'!N3064/'Analisis de operaciones'!N3068*$O1021</f>
        <v>74.16028146</v>
      </c>
      <c r="O1021" s="144">
        <v>1.0</v>
      </c>
    </row>
    <row r="1022" ht="15.75" hidden="1" customHeight="1" outlineLevel="1">
      <c r="A1022" s="141" t="s">
        <v>534</v>
      </c>
    </row>
    <row r="1023" ht="15.75" hidden="1" customHeight="1" outlineLevel="1">
      <c r="A1023" s="142" t="s">
        <v>26</v>
      </c>
      <c r="B1023" s="143">
        <f t="shared" ref="B1023:M1023" si="466">MAX(0,B992*B$972-$N992)</f>
        <v>177.5841176</v>
      </c>
      <c r="C1023" s="143">
        <f t="shared" si="466"/>
        <v>64.18897059</v>
      </c>
      <c r="D1023" s="143">
        <f t="shared" si="466"/>
        <v>40.39264706</v>
      </c>
      <c r="E1023" s="143">
        <f t="shared" si="466"/>
        <v>25.49404412</v>
      </c>
      <c r="F1023" s="143">
        <f t="shared" si="466"/>
        <v>4.594558824</v>
      </c>
      <c r="G1023" s="143">
        <f t="shared" si="466"/>
        <v>0</v>
      </c>
      <c r="H1023" s="143">
        <f t="shared" si="466"/>
        <v>19.49316176</v>
      </c>
      <c r="I1023" s="143">
        <f t="shared" si="466"/>
        <v>19.49316176</v>
      </c>
      <c r="J1023" s="143">
        <f t="shared" si="466"/>
        <v>19.49316176</v>
      </c>
      <c r="K1023" s="143">
        <f t="shared" si="466"/>
        <v>55.23702837</v>
      </c>
      <c r="L1023" s="143">
        <f t="shared" si="466"/>
        <v>59.02804726</v>
      </c>
      <c r="M1023" s="143">
        <f t="shared" si="466"/>
        <v>96.3044832</v>
      </c>
    </row>
    <row r="1024" ht="15.75" hidden="1" customHeight="1" outlineLevel="1">
      <c r="A1024" s="142" t="s">
        <v>55</v>
      </c>
      <c r="B1024" s="143">
        <f t="shared" ref="B1024:M1024" si="467">MAX(0,B993*B$972-$N993)</f>
        <v>30.03334854</v>
      </c>
      <c r="C1024" s="143">
        <f t="shared" si="467"/>
        <v>0</v>
      </c>
      <c r="D1024" s="143">
        <f t="shared" si="467"/>
        <v>0</v>
      </c>
      <c r="E1024" s="143">
        <f t="shared" si="467"/>
        <v>0</v>
      </c>
      <c r="F1024" s="143">
        <f t="shared" si="467"/>
        <v>0</v>
      </c>
      <c r="G1024" s="143">
        <f t="shared" si="467"/>
        <v>0</v>
      </c>
      <c r="H1024" s="143">
        <f t="shared" si="467"/>
        <v>0</v>
      </c>
      <c r="I1024" s="143">
        <f t="shared" si="467"/>
        <v>0</v>
      </c>
      <c r="J1024" s="143">
        <f t="shared" si="467"/>
        <v>0</v>
      </c>
      <c r="K1024" s="143">
        <f t="shared" si="467"/>
        <v>0</v>
      </c>
      <c r="L1024" s="143">
        <f t="shared" si="467"/>
        <v>0</v>
      </c>
      <c r="M1024" s="143">
        <f t="shared" si="467"/>
        <v>0</v>
      </c>
    </row>
    <row r="1025" ht="15.75" hidden="1" customHeight="1" outlineLevel="1">
      <c r="A1025" s="142" t="s">
        <v>61</v>
      </c>
      <c r="B1025" s="143">
        <f t="shared" ref="B1025:M1025" si="468">MAX(0,B994*B$972-$N994)</f>
        <v>0</v>
      </c>
      <c r="C1025" s="143">
        <f t="shared" si="468"/>
        <v>0</v>
      </c>
      <c r="D1025" s="143">
        <f t="shared" si="468"/>
        <v>0</v>
      </c>
      <c r="E1025" s="143">
        <f t="shared" si="468"/>
        <v>0</v>
      </c>
      <c r="F1025" s="143">
        <f t="shared" si="468"/>
        <v>0</v>
      </c>
      <c r="G1025" s="143">
        <f t="shared" si="468"/>
        <v>0</v>
      </c>
      <c r="H1025" s="143">
        <f t="shared" si="468"/>
        <v>0</v>
      </c>
      <c r="I1025" s="143">
        <f t="shared" si="468"/>
        <v>0</v>
      </c>
      <c r="J1025" s="143">
        <f t="shared" si="468"/>
        <v>0</v>
      </c>
      <c r="K1025" s="143">
        <f t="shared" si="468"/>
        <v>0</v>
      </c>
      <c r="L1025" s="143">
        <f t="shared" si="468"/>
        <v>0</v>
      </c>
      <c r="M1025" s="143">
        <f t="shared" si="468"/>
        <v>0</v>
      </c>
    </row>
    <row r="1026" ht="15.75" hidden="1" customHeight="1" outlineLevel="1">
      <c r="A1026" s="142" t="s">
        <v>62</v>
      </c>
      <c r="B1026" s="143">
        <f t="shared" ref="B1026:M1026" si="469">MAX(0,B995*B$972-$N995)</f>
        <v>38.28875</v>
      </c>
      <c r="C1026" s="143">
        <f t="shared" si="469"/>
        <v>0</v>
      </c>
      <c r="D1026" s="143">
        <f t="shared" si="469"/>
        <v>0</v>
      </c>
      <c r="E1026" s="143">
        <f t="shared" si="469"/>
        <v>0</v>
      </c>
      <c r="F1026" s="143">
        <f t="shared" si="469"/>
        <v>0</v>
      </c>
      <c r="G1026" s="143">
        <f t="shared" si="469"/>
        <v>0</v>
      </c>
      <c r="H1026" s="143">
        <f t="shared" si="469"/>
        <v>0</v>
      </c>
      <c r="I1026" s="143">
        <f t="shared" si="469"/>
        <v>0</v>
      </c>
      <c r="J1026" s="143">
        <f t="shared" si="469"/>
        <v>0</v>
      </c>
      <c r="K1026" s="143">
        <f t="shared" si="469"/>
        <v>0</v>
      </c>
      <c r="L1026" s="143">
        <f t="shared" si="469"/>
        <v>0</v>
      </c>
      <c r="M1026" s="143">
        <f t="shared" si="469"/>
        <v>0</v>
      </c>
    </row>
    <row r="1027" ht="15.75" hidden="1" customHeight="1" outlineLevel="1">
      <c r="A1027" s="142" t="s">
        <v>63</v>
      </c>
      <c r="B1027" s="143">
        <f t="shared" ref="B1027:M1027" si="470">MAX(0,B996*B$972-$N996)</f>
        <v>0</v>
      </c>
      <c r="C1027" s="143">
        <f t="shared" si="470"/>
        <v>0</v>
      </c>
      <c r="D1027" s="143">
        <f t="shared" si="470"/>
        <v>0</v>
      </c>
      <c r="E1027" s="143">
        <f t="shared" si="470"/>
        <v>0</v>
      </c>
      <c r="F1027" s="143">
        <f t="shared" si="470"/>
        <v>0</v>
      </c>
      <c r="G1027" s="143">
        <f t="shared" si="470"/>
        <v>0</v>
      </c>
      <c r="H1027" s="143">
        <f t="shared" si="470"/>
        <v>0</v>
      </c>
      <c r="I1027" s="143">
        <f t="shared" si="470"/>
        <v>0</v>
      </c>
      <c r="J1027" s="143">
        <f t="shared" si="470"/>
        <v>0</v>
      </c>
      <c r="K1027" s="143">
        <f t="shared" si="470"/>
        <v>0</v>
      </c>
      <c r="L1027" s="143">
        <f t="shared" si="470"/>
        <v>0</v>
      </c>
      <c r="M1027" s="143">
        <f t="shared" si="470"/>
        <v>0</v>
      </c>
    </row>
    <row r="1028" ht="15.75" hidden="1" customHeight="1" outlineLevel="1">
      <c r="A1028" s="142" t="s">
        <v>64</v>
      </c>
      <c r="B1028" s="143">
        <f t="shared" ref="B1028:M1028" si="471">MAX(0,B997*B$972-$N997)</f>
        <v>0</v>
      </c>
      <c r="C1028" s="143">
        <f t="shared" si="471"/>
        <v>0</v>
      </c>
      <c r="D1028" s="143">
        <f t="shared" si="471"/>
        <v>0</v>
      </c>
      <c r="E1028" s="143">
        <f t="shared" si="471"/>
        <v>0</v>
      </c>
      <c r="F1028" s="143">
        <f t="shared" si="471"/>
        <v>0</v>
      </c>
      <c r="G1028" s="143">
        <f t="shared" si="471"/>
        <v>0</v>
      </c>
      <c r="H1028" s="143">
        <f t="shared" si="471"/>
        <v>0</v>
      </c>
      <c r="I1028" s="143">
        <f t="shared" si="471"/>
        <v>0</v>
      </c>
      <c r="J1028" s="143">
        <f t="shared" si="471"/>
        <v>0</v>
      </c>
      <c r="K1028" s="143">
        <f t="shared" si="471"/>
        <v>0</v>
      </c>
      <c r="L1028" s="143">
        <f t="shared" si="471"/>
        <v>0</v>
      </c>
      <c r="M1028" s="143">
        <f t="shared" si="471"/>
        <v>0</v>
      </c>
    </row>
    <row r="1029" ht="15.75" hidden="1" customHeight="1" outlineLevel="1">
      <c r="A1029" s="142" t="s">
        <v>66</v>
      </c>
      <c r="B1029" s="143">
        <f t="shared" ref="B1029:M1029" si="472">MAX(0,B998*B$972-$N998)</f>
        <v>85.40820364</v>
      </c>
      <c r="C1029" s="143">
        <f t="shared" si="472"/>
        <v>0</v>
      </c>
      <c r="D1029" s="143">
        <f t="shared" si="472"/>
        <v>0</v>
      </c>
      <c r="E1029" s="143">
        <f t="shared" si="472"/>
        <v>0</v>
      </c>
      <c r="F1029" s="143">
        <f t="shared" si="472"/>
        <v>0</v>
      </c>
      <c r="G1029" s="143">
        <f t="shared" si="472"/>
        <v>0</v>
      </c>
      <c r="H1029" s="143">
        <f t="shared" si="472"/>
        <v>0</v>
      </c>
      <c r="I1029" s="143">
        <f t="shared" si="472"/>
        <v>0</v>
      </c>
      <c r="J1029" s="143">
        <f t="shared" si="472"/>
        <v>0</v>
      </c>
      <c r="K1029" s="143">
        <f t="shared" si="472"/>
        <v>0</v>
      </c>
      <c r="L1029" s="143">
        <f t="shared" si="472"/>
        <v>0</v>
      </c>
      <c r="M1029" s="143">
        <f t="shared" si="472"/>
        <v>0</v>
      </c>
    </row>
    <row r="1030" ht="15.75" hidden="1" customHeight="1" outlineLevel="1">
      <c r="A1030" s="142" t="s">
        <v>67</v>
      </c>
      <c r="B1030" s="143">
        <f t="shared" ref="B1030:M1030" si="473">MAX(0,B999*B$972-$N999)</f>
        <v>23.27314926</v>
      </c>
      <c r="C1030" s="143">
        <f t="shared" si="473"/>
        <v>0</v>
      </c>
      <c r="D1030" s="143">
        <f t="shared" si="473"/>
        <v>0</v>
      </c>
      <c r="E1030" s="143">
        <f t="shared" si="473"/>
        <v>0</v>
      </c>
      <c r="F1030" s="143">
        <f t="shared" si="473"/>
        <v>0</v>
      </c>
      <c r="G1030" s="143">
        <f t="shared" si="473"/>
        <v>0</v>
      </c>
      <c r="H1030" s="143">
        <f t="shared" si="473"/>
        <v>0</v>
      </c>
      <c r="I1030" s="143">
        <f t="shared" si="473"/>
        <v>0</v>
      </c>
      <c r="J1030" s="143">
        <f t="shared" si="473"/>
        <v>0</v>
      </c>
      <c r="K1030" s="143">
        <f t="shared" si="473"/>
        <v>0</v>
      </c>
      <c r="L1030" s="143">
        <f t="shared" si="473"/>
        <v>0</v>
      </c>
      <c r="M1030" s="143">
        <f t="shared" si="473"/>
        <v>0</v>
      </c>
    </row>
    <row r="1031" ht="15.75" hidden="1" customHeight="1" outlineLevel="1">
      <c r="A1031" s="142" t="s">
        <v>68</v>
      </c>
      <c r="B1031" s="143">
        <f t="shared" ref="B1031:M1031" si="474">MAX(0,B1000*B$972-$N1000)</f>
        <v>105.119721</v>
      </c>
      <c r="C1031" s="143">
        <f t="shared" si="474"/>
        <v>44.54539027</v>
      </c>
      <c r="D1031" s="143">
        <f t="shared" si="474"/>
        <v>31.83367898</v>
      </c>
      <c r="E1031" s="143">
        <f t="shared" si="474"/>
        <v>23.87502357</v>
      </c>
      <c r="F1031" s="143">
        <f t="shared" si="474"/>
        <v>12.7107686</v>
      </c>
      <c r="G1031" s="143">
        <f t="shared" si="474"/>
        <v>9.505169055</v>
      </c>
      <c r="H1031" s="143">
        <f t="shared" si="474"/>
        <v>20.66942402</v>
      </c>
      <c r="I1031" s="143">
        <f t="shared" si="474"/>
        <v>20.66942402</v>
      </c>
      <c r="J1031" s="143">
        <f t="shared" si="474"/>
        <v>20.66942402</v>
      </c>
      <c r="K1031" s="143">
        <f t="shared" si="474"/>
        <v>39.76336985</v>
      </c>
      <c r="L1031" s="143">
        <f t="shared" si="474"/>
        <v>41.78848679</v>
      </c>
      <c r="M1031" s="143">
        <f t="shared" si="474"/>
        <v>61.70111282</v>
      </c>
    </row>
    <row r="1032" ht="15.75" hidden="1" customHeight="1" outlineLevel="1">
      <c r="A1032" s="142" t="s">
        <v>70</v>
      </c>
      <c r="B1032" s="143">
        <f t="shared" ref="B1032:M1032" si="475">MAX(0,B1001*B$972-$N1001)</f>
        <v>37.39287127</v>
      </c>
      <c r="C1032" s="143">
        <f t="shared" si="475"/>
        <v>0</v>
      </c>
      <c r="D1032" s="143">
        <f t="shared" si="475"/>
        <v>0</v>
      </c>
      <c r="E1032" s="143">
        <f t="shared" si="475"/>
        <v>0</v>
      </c>
      <c r="F1032" s="143">
        <f t="shared" si="475"/>
        <v>0</v>
      </c>
      <c r="G1032" s="143">
        <f t="shared" si="475"/>
        <v>0</v>
      </c>
      <c r="H1032" s="143">
        <f t="shared" si="475"/>
        <v>0</v>
      </c>
      <c r="I1032" s="143">
        <f t="shared" si="475"/>
        <v>0</v>
      </c>
      <c r="J1032" s="143">
        <f t="shared" si="475"/>
        <v>0</v>
      </c>
      <c r="K1032" s="143">
        <f t="shared" si="475"/>
        <v>0</v>
      </c>
      <c r="L1032" s="143">
        <f t="shared" si="475"/>
        <v>0</v>
      </c>
      <c r="M1032" s="143">
        <f t="shared" si="475"/>
        <v>5.500638025</v>
      </c>
    </row>
    <row r="1033" ht="15.75" hidden="1" customHeight="1" outlineLevel="1">
      <c r="A1033" s="142" t="s">
        <v>72</v>
      </c>
      <c r="B1033" s="143">
        <f t="shared" ref="B1033:M1033" si="476">MAX(0,B1002*B$972-$N1002)</f>
        <v>0</v>
      </c>
      <c r="C1033" s="143">
        <f t="shared" si="476"/>
        <v>0</v>
      </c>
      <c r="D1033" s="143">
        <f t="shared" si="476"/>
        <v>0</v>
      </c>
      <c r="E1033" s="143">
        <f t="shared" si="476"/>
        <v>0</v>
      </c>
      <c r="F1033" s="143">
        <f t="shared" si="476"/>
        <v>0</v>
      </c>
      <c r="G1033" s="143">
        <f t="shared" si="476"/>
        <v>0</v>
      </c>
      <c r="H1033" s="143">
        <f t="shared" si="476"/>
        <v>0</v>
      </c>
      <c r="I1033" s="143">
        <f t="shared" si="476"/>
        <v>0</v>
      </c>
      <c r="J1033" s="143">
        <f t="shared" si="476"/>
        <v>0</v>
      </c>
      <c r="K1033" s="143">
        <f t="shared" si="476"/>
        <v>0</v>
      </c>
      <c r="L1033" s="143">
        <f t="shared" si="476"/>
        <v>0</v>
      </c>
      <c r="M1033" s="143">
        <f t="shared" si="476"/>
        <v>0</v>
      </c>
    </row>
    <row r="1034" ht="15.75" hidden="1" customHeight="1" outlineLevel="1">
      <c r="A1034" s="142" t="s">
        <v>74</v>
      </c>
      <c r="B1034" s="143">
        <f t="shared" ref="B1034:M1034" si="477">MAX(0,B1003*B$972-$N1003)</f>
        <v>19.144375</v>
      </c>
      <c r="C1034" s="143">
        <f t="shared" si="477"/>
        <v>0</v>
      </c>
      <c r="D1034" s="143">
        <f t="shared" si="477"/>
        <v>0</v>
      </c>
      <c r="E1034" s="143">
        <f t="shared" si="477"/>
        <v>0</v>
      </c>
      <c r="F1034" s="143">
        <f t="shared" si="477"/>
        <v>0</v>
      </c>
      <c r="G1034" s="143">
        <f t="shared" si="477"/>
        <v>0</v>
      </c>
      <c r="H1034" s="143">
        <f t="shared" si="477"/>
        <v>0</v>
      </c>
      <c r="I1034" s="143">
        <f t="shared" si="477"/>
        <v>0</v>
      </c>
      <c r="J1034" s="143">
        <f t="shared" si="477"/>
        <v>0</v>
      </c>
      <c r="K1034" s="143">
        <f t="shared" si="477"/>
        <v>0</v>
      </c>
      <c r="L1034" s="143">
        <f t="shared" si="477"/>
        <v>0</v>
      </c>
      <c r="M1034" s="143">
        <f t="shared" si="477"/>
        <v>0</v>
      </c>
    </row>
    <row r="1035" ht="15.75" hidden="1" customHeight="1" outlineLevel="1">
      <c r="A1035" s="142" t="s">
        <v>76</v>
      </c>
      <c r="B1035" s="143">
        <f t="shared" ref="B1035:M1035" si="478">MAX(0,B1004*B$972-$N1004)</f>
        <v>0</v>
      </c>
      <c r="C1035" s="143">
        <f t="shared" si="478"/>
        <v>0</v>
      </c>
      <c r="D1035" s="143">
        <f t="shared" si="478"/>
        <v>0</v>
      </c>
      <c r="E1035" s="143">
        <f t="shared" si="478"/>
        <v>0</v>
      </c>
      <c r="F1035" s="143">
        <f t="shared" si="478"/>
        <v>0</v>
      </c>
      <c r="G1035" s="143">
        <f t="shared" si="478"/>
        <v>0</v>
      </c>
      <c r="H1035" s="143">
        <f t="shared" si="478"/>
        <v>0</v>
      </c>
      <c r="I1035" s="143">
        <f t="shared" si="478"/>
        <v>0</v>
      </c>
      <c r="J1035" s="143">
        <f t="shared" si="478"/>
        <v>0</v>
      </c>
      <c r="K1035" s="143">
        <f t="shared" si="478"/>
        <v>0</v>
      </c>
      <c r="L1035" s="143">
        <f t="shared" si="478"/>
        <v>0</v>
      </c>
      <c r="M1035" s="143">
        <f t="shared" si="478"/>
        <v>0</v>
      </c>
    </row>
    <row r="1036" ht="15.75" hidden="1" customHeight="1" outlineLevel="1">
      <c r="A1036" s="142" t="s">
        <v>77</v>
      </c>
      <c r="B1036" s="143">
        <f t="shared" ref="B1036:M1036" si="479">MAX(0,B1005*B$972-$N1005)</f>
        <v>44.3760802</v>
      </c>
      <c r="C1036" s="143">
        <f t="shared" si="479"/>
        <v>16.03203008</v>
      </c>
      <c r="D1036" s="143">
        <f t="shared" si="479"/>
        <v>10.08394319</v>
      </c>
      <c r="E1036" s="143">
        <f t="shared" si="479"/>
        <v>6.359914787</v>
      </c>
      <c r="F1036" s="143">
        <f t="shared" si="479"/>
        <v>1.135916458</v>
      </c>
      <c r="G1036" s="143">
        <f t="shared" si="479"/>
        <v>0</v>
      </c>
      <c r="H1036" s="143">
        <f t="shared" si="479"/>
        <v>4.859944862</v>
      </c>
      <c r="I1036" s="143">
        <f t="shared" si="479"/>
        <v>4.859944862</v>
      </c>
      <c r="J1036" s="143">
        <f t="shared" si="479"/>
        <v>4.859944862</v>
      </c>
      <c r="K1036" s="143">
        <f t="shared" si="479"/>
        <v>13.79441845</v>
      </c>
      <c r="L1036" s="143">
        <f t="shared" si="479"/>
        <v>14.74201482</v>
      </c>
      <c r="M1036" s="143">
        <f t="shared" si="479"/>
        <v>24.05956673</v>
      </c>
    </row>
    <row r="1037" ht="15.75" hidden="1" customHeight="1" outlineLevel="1">
      <c r="A1037" s="142" t="s">
        <v>79</v>
      </c>
      <c r="B1037" s="143">
        <f t="shared" ref="B1037:M1037" si="480">MAX(0,B1006*B$972-$N1006)</f>
        <v>0</v>
      </c>
      <c r="C1037" s="143">
        <f t="shared" si="480"/>
        <v>0</v>
      </c>
      <c r="D1037" s="143">
        <f t="shared" si="480"/>
        <v>0</v>
      </c>
      <c r="E1037" s="143">
        <f t="shared" si="480"/>
        <v>0</v>
      </c>
      <c r="F1037" s="143">
        <f t="shared" si="480"/>
        <v>0</v>
      </c>
      <c r="G1037" s="143">
        <f t="shared" si="480"/>
        <v>0</v>
      </c>
      <c r="H1037" s="143">
        <f t="shared" si="480"/>
        <v>0</v>
      </c>
      <c r="I1037" s="143">
        <f t="shared" si="480"/>
        <v>0</v>
      </c>
      <c r="J1037" s="143">
        <f t="shared" si="480"/>
        <v>0</v>
      </c>
      <c r="K1037" s="143">
        <f t="shared" si="480"/>
        <v>0</v>
      </c>
      <c r="L1037" s="143">
        <f t="shared" si="480"/>
        <v>0</v>
      </c>
      <c r="M1037" s="143">
        <f t="shared" si="480"/>
        <v>0</v>
      </c>
    </row>
    <row r="1038" ht="15.75" hidden="1" customHeight="1" outlineLevel="1">
      <c r="A1038" s="142" t="s">
        <v>81</v>
      </c>
      <c r="B1038" s="143">
        <f t="shared" ref="B1038:M1038" si="481">MAX(0,B1007*B$972-$N1007)</f>
        <v>29.87202381</v>
      </c>
      <c r="C1038" s="143">
        <f t="shared" si="481"/>
        <v>0</v>
      </c>
      <c r="D1038" s="143">
        <f t="shared" si="481"/>
        <v>0</v>
      </c>
      <c r="E1038" s="143">
        <f t="shared" si="481"/>
        <v>0</v>
      </c>
      <c r="F1038" s="143">
        <f t="shared" si="481"/>
        <v>0</v>
      </c>
      <c r="G1038" s="143">
        <f t="shared" si="481"/>
        <v>0</v>
      </c>
      <c r="H1038" s="143">
        <f t="shared" si="481"/>
        <v>0</v>
      </c>
      <c r="I1038" s="143">
        <f t="shared" si="481"/>
        <v>0</v>
      </c>
      <c r="J1038" s="143">
        <f t="shared" si="481"/>
        <v>0</v>
      </c>
      <c r="K1038" s="143">
        <f t="shared" si="481"/>
        <v>0</v>
      </c>
      <c r="L1038" s="143">
        <f t="shared" si="481"/>
        <v>0</v>
      </c>
      <c r="M1038" s="143">
        <f t="shared" si="481"/>
        <v>0</v>
      </c>
    </row>
    <row r="1039" ht="15.75" hidden="1" customHeight="1" outlineLevel="1">
      <c r="A1039" s="142" t="s">
        <v>82</v>
      </c>
      <c r="B1039" s="143">
        <f t="shared" ref="B1039:M1039" si="482">MAX(0,B1008*B$972-$N1008)</f>
        <v>50.12236111</v>
      </c>
      <c r="C1039" s="143">
        <f t="shared" si="482"/>
        <v>6.381694444</v>
      </c>
      <c r="D1039" s="143">
        <f t="shared" si="482"/>
        <v>5.441361111</v>
      </c>
      <c r="E1039" s="143">
        <f t="shared" si="482"/>
        <v>1.580722222</v>
      </c>
      <c r="F1039" s="143">
        <f t="shared" si="482"/>
        <v>0</v>
      </c>
      <c r="G1039" s="143">
        <f t="shared" si="482"/>
        <v>0</v>
      </c>
      <c r="H1039" s="143">
        <f t="shared" si="482"/>
        <v>0</v>
      </c>
      <c r="I1039" s="143">
        <f t="shared" si="482"/>
        <v>0</v>
      </c>
      <c r="J1039" s="143">
        <f t="shared" si="482"/>
        <v>0</v>
      </c>
      <c r="K1039" s="143">
        <f t="shared" si="482"/>
        <v>8.623094106</v>
      </c>
      <c r="L1039" s="143">
        <f t="shared" si="482"/>
        <v>7.055942951</v>
      </c>
      <c r="M1039" s="143">
        <f t="shared" si="482"/>
        <v>19.26104458</v>
      </c>
    </row>
    <row r="1040" ht="15.75" hidden="1" customHeight="1" outlineLevel="1">
      <c r="A1040" s="142" t="s">
        <v>83</v>
      </c>
      <c r="B1040" s="143">
        <f t="shared" ref="B1040:M1040" si="483">MAX(0,B1009*B$972-$N1009)</f>
        <v>31.4296131</v>
      </c>
      <c r="C1040" s="143">
        <f t="shared" si="483"/>
        <v>0</v>
      </c>
      <c r="D1040" s="143">
        <f t="shared" si="483"/>
        <v>0</v>
      </c>
      <c r="E1040" s="143">
        <f t="shared" si="483"/>
        <v>0</v>
      </c>
      <c r="F1040" s="143">
        <f t="shared" si="483"/>
        <v>0</v>
      </c>
      <c r="G1040" s="143">
        <f t="shared" si="483"/>
        <v>0</v>
      </c>
      <c r="H1040" s="143">
        <f t="shared" si="483"/>
        <v>0</v>
      </c>
      <c r="I1040" s="143">
        <f t="shared" si="483"/>
        <v>0</v>
      </c>
      <c r="J1040" s="143">
        <f t="shared" si="483"/>
        <v>0</v>
      </c>
      <c r="K1040" s="143">
        <f t="shared" si="483"/>
        <v>0</v>
      </c>
      <c r="L1040" s="143">
        <f t="shared" si="483"/>
        <v>0</v>
      </c>
      <c r="M1040" s="143">
        <f t="shared" si="483"/>
        <v>3.45094701</v>
      </c>
    </row>
    <row r="1041" ht="15.75" hidden="1" customHeight="1" outlineLevel="1">
      <c r="A1041" s="142" t="s">
        <v>84</v>
      </c>
      <c r="B1041" s="143">
        <f t="shared" ref="B1041:M1041" si="484">MAX(0,B1010*B$972-$N1010)</f>
        <v>215.3012083</v>
      </c>
      <c r="C1041" s="143">
        <f t="shared" si="484"/>
        <v>57.33546875</v>
      </c>
      <c r="D1041" s="143">
        <f t="shared" si="484"/>
        <v>24.18586806</v>
      </c>
      <c r="E1041" s="143">
        <f t="shared" si="484"/>
        <v>3.431286458</v>
      </c>
      <c r="F1041" s="143">
        <f t="shared" si="484"/>
        <v>0</v>
      </c>
      <c r="G1041" s="143">
        <f t="shared" si="484"/>
        <v>0</v>
      </c>
      <c r="H1041" s="143">
        <f t="shared" si="484"/>
        <v>0</v>
      </c>
      <c r="I1041" s="143">
        <f t="shared" si="484"/>
        <v>0</v>
      </c>
      <c r="J1041" s="143">
        <f t="shared" si="484"/>
        <v>0</v>
      </c>
      <c r="K1041" s="143">
        <f t="shared" si="484"/>
        <v>44.8649159</v>
      </c>
      <c r="L1041" s="143">
        <f t="shared" si="484"/>
        <v>50.14601584</v>
      </c>
      <c r="M1041" s="143">
        <f t="shared" si="484"/>
        <v>102.074162</v>
      </c>
    </row>
    <row r="1042" ht="15.75" hidden="1" customHeight="1" outlineLevel="1">
      <c r="A1042" s="142" t="s">
        <v>85</v>
      </c>
      <c r="B1042" s="143">
        <f t="shared" ref="B1042:M1042" si="485">MAX(0,B1011*B$972-$N1011)</f>
        <v>11.63498575</v>
      </c>
      <c r="C1042" s="143">
        <f t="shared" si="485"/>
        <v>0</v>
      </c>
      <c r="D1042" s="143">
        <f t="shared" si="485"/>
        <v>0</v>
      </c>
      <c r="E1042" s="143">
        <f t="shared" si="485"/>
        <v>0</v>
      </c>
      <c r="F1042" s="143">
        <f t="shared" si="485"/>
        <v>0</v>
      </c>
      <c r="G1042" s="143">
        <f t="shared" si="485"/>
        <v>0</v>
      </c>
      <c r="H1042" s="143">
        <f t="shared" si="485"/>
        <v>0</v>
      </c>
      <c r="I1042" s="143">
        <f t="shared" si="485"/>
        <v>0</v>
      </c>
      <c r="J1042" s="143">
        <f t="shared" si="485"/>
        <v>0</v>
      </c>
      <c r="K1042" s="143">
        <f t="shared" si="485"/>
        <v>0</v>
      </c>
      <c r="L1042" s="143">
        <f t="shared" si="485"/>
        <v>0</v>
      </c>
      <c r="M1042" s="143">
        <f t="shared" si="485"/>
        <v>0</v>
      </c>
    </row>
  </sheetData>
  <mergeCells count="2">
    <mergeCell ref="G48:Q48"/>
    <mergeCell ref="G49:W49"/>
  </mergeCells>
  <conditionalFormatting sqref="B153:M153">
    <cfRule type="cellIs" dxfId="10" priority="1" operator="greaterThan">
      <formula>$B$10</formula>
    </cfRule>
  </conditionalFormatting>
  <conditionalFormatting sqref="B148:M148">
    <cfRule type="cellIs" dxfId="10" priority="2" operator="greaterThan">
      <formula>$B$118*$B$10</formula>
    </cfRule>
  </conditionalFormatting>
  <conditionalFormatting sqref="B149:M149">
    <cfRule type="cellIs" dxfId="10" priority="3" operator="greaterThan">
      <formula>$B$119*$B$10</formula>
    </cfRule>
  </conditionalFormatting>
  <conditionalFormatting sqref="B150:M150">
    <cfRule type="cellIs" dxfId="10" priority="4" operator="greaterThan">
      <formula>$B$120*$B$10</formula>
    </cfRule>
  </conditionalFormatting>
  <conditionalFormatting sqref="B151:M151">
    <cfRule type="cellIs" dxfId="10" priority="5" operator="greaterThan">
      <formula>$B$121*$B$10</formula>
    </cfRule>
  </conditionalFormatting>
  <conditionalFormatting sqref="B246:M246">
    <cfRule type="cellIs" dxfId="10" priority="6" operator="greaterThan">
      <formula>$B$10</formula>
    </cfRule>
  </conditionalFormatting>
  <conditionalFormatting sqref="B241:M241">
    <cfRule type="cellIs" dxfId="10" priority="7" operator="greaterThan">
      <formula>$B$211*$B$10</formula>
    </cfRule>
  </conditionalFormatting>
  <conditionalFormatting sqref="B242:M242">
    <cfRule type="cellIs" dxfId="10" priority="8" operator="greaterThan">
      <formula>$B$212*$B$10</formula>
    </cfRule>
  </conditionalFormatting>
  <conditionalFormatting sqref="B243:M243">
    <cfRule type="cellIs" dxfId="10" priority="9" operator="greaterThan">
      <formula>$B$213*$B$10</formula>
    </cfRule>
  </conditionalFormatting>
  <conditionalFormatting sqref="B244:M244">
    <cfRule type="cellIs" dxfId="10" priority="10" operator="greaterThan">
      <formula>$B$214*$B$10</formula>
    </cfRule>
  </conditionalFormatting>
  <conditionalFormatting sqref="B339:M339">
    <cfRule type="cellIs" dxfId="10" priority="11" operator="greaterThan">
      <formula>$B$10</formula>
    </cfRule>
  </conditionalFormatting>
  <conditionalFormatting sqref="B334:M334">
    <cfRule type="cellIs" dxfId="10" priority="12" operator="greaterThan">
      <formula>$B$304*$B$10</formula>
    </cfRule>
  </conditionalFormatting>
  <conditionalFormatting sqref="B335:M335">
    <cfRule type="cellIs" dxfId="10" priority="13" operator="greaterThan">
      <formula>$B$305*$B$10</formula>
    </cfRule>
  </conditionalFormatting>
  <conditionalFormatting sqref="B336:M336">
    <cfRule type="cellIs" dxfId="10" priority="14" operator="greaterThan">
      <formula>$B$306*$B$10</formula>
    </cfRule>
  </conditionalFormatting>
  <conditionalFormatting sqref="B337:M337">
    <cfRule type="cellIs" dxfId="10" priority="15" operator="greaterThan">
      <formula>$B$307*$B$10</formula>
    </cfRule>
  </conditionalFormatting>
  <conditionalFormatting sqref="B432:M432">
    <cfRule type="cellIs" dxfId="10" priority="16" operator="greaterThan">
      <formula>$B$10</formula>
    </cfRule>
  </conditionalFormatting>
  <conditionalFormatting sqref="B427:M427">
    <cfRule type="cellIs" dxfId="10" priority="17" operator="greaterThan">
      <formula>$B$397*$B$10</formula>
    </cfRule>
  </conditionalFormatting>
  <conditionalFormatting sqref="B428:M428">
    <cfRule type="cellIs" dxfId="10" priority="18" operator="greaterThan">
      <formula>$B$398*$B$10</formula>
    </cfRule>
  </conditionalFormatting>
  <conditionalFormatting sqref="B429:M429">
    <cfRule type="cellIs" dxfId="10" priority="19" operator="greaterThan">
      <formula>$B$399*$B$10</formula>
    </cfRule>
  </conditionalFormatting>
  <conditionalFormatting sqref="B430:M430">
    <cfRule type="cellIs" dxfId="10" priority="20" operator="greaterThan">
      <formula>$B$400*$B$10</formula>
    </cfRule>
  </conditionalFormatting>
  <conditionalFormatting sqref="B525:M525">
    <cfRule type="cellIs" dxfId="10" priority="21" operator="greaterThan">
      <formula>$B$10</formula>
    </cfRule>
  </conditionalFormatting>
  <conditionalFormatting sqref="B520:M520">
    <cfRule type="cellIs" dxfId="10" priority="22" operator="greaterThan">
      <formula>$B$490*$B$10</formula>
    </cfRule>
  </conditionalFormatting>
  <conditionalFormatting sqref="B521:M521">
    <cfRule type="cellIs" dxfId="10" priority="23" operator="greaterThan">
      <formula>$B$491*$B$10</formula>
    </cfRule>
  </conditionalFormatting>
  <conditionalFormatting sqref="B522:M522">
    <cfRule type="cellIs" dxfId="10" priority="24" operator="greaterThan">
      <formula>$B$492*$B$10</formula>
    </cfRule>
  </conditionalFormatting>
  <conditionalFormatting sqref="B523:M523">
    <cfRule type="cellIs" dxfId="10" priority="25" operator="greaterThan">
      <formula>$B$493*$B$10</formula>
    </cfRule>
  </conditionalFormatting>
  <conditionalFormatting sqref="B618:M618">
    <cfRule type="cellIs" dxfId="10" priority="26" operator="greaterThan">
      <formula>$B$10</formula>
    </cfRule>
  </conditionalFormatting>
  <conditionalFormatting sqref="B613:M613">
    <cfRule type="cellIs" dxfId="10" priority="27" operator="greaterThan">
      <formula>$B$583*$B$10</formula>
    </cfRule>
  </conditionalFormatting>
  <conditionalFormatting sqref="B614:M614">
    <cfRule type="cellIs" dxfId="10" priority="28" operator="greaterThan">
      <formula>$B$584*$B$10</formula>
    </cfRule>
  </conditionalFormatting>
  <conditionalFormatting sqref="B615:M615">
    <cfRule type="cellIs" dxfId="10" priority="29" operator="greaterThan">
      <formula>$B$585*$B$10</formula>
    </cfRule>
  </conditionalFormatting>
  <conditionalFormatting sqref="B616:M616">
    <cfRule type="cellIs" dxfId="10" priority="30" operator="greaterThan">
      <formula>$B$586*$B$10</formula>
    </cfRule>
  </conditionalFormatting>
  <conditionalFormatting sqref="B711:M711">
    <cfRule type="cellIs" dxfId="10" priority="31" operator="greaterThan">
      <formula>$B$10</formula>
    </cfRule>
  </conditionalFormatting>
  <conditionalFormatting sqref="B706:M706">
    <cfRule type="cellIs" dxfId="10" priority="32" operator="greaterThan">
      <formula>$B$676*$B$10</formula>
    </cfRule>
  </conditionalFormatting>
  <conditionalFormatting sqref="B707:M707">
    <cfRule type="cellIs" dxfId="10" priority="33" operator="greaterThan">
      <formula>$B$677*$B$10</formula>
    </cfRule>
  </conditionalFormatting>
  <conditionalFormatting sqref="B708:M708">
    <cfRule type="cellIs" dxfId="10" priority="34" operator="greaterThan">
      <formula>$B$678*$B$10</formula>
    </cfRule>
  </conditionalFormatting>
  <conditionalFormatting sqref="B709:M709">
    <cfRule type="cellIs" dxfId="10" priority="35" operator="greaterThan">
      <formula>$B$679*$B$10</formula>
    </cfRule>
  </conditionalFormatting>
  <conditionalFormatting sqref="B804:M804">
    <cfRule type="cellIs" dxfId="10" priority="36" operator="greaterThan">
      <formula>$B$10</formula>
    </cfRule>
  </conditionalFormatting>
  <conditionalFormatting sqref="B799:M799">
    <cfRule type="cellIs" dxfId="10" priority="37" operator="greaterThan">
      <formula>$B$769*$B$10</formula>
    </cfRule>
  </conditionalFormatting>
  <conditionalFormatting sqref="B800:M800">
    <cfRule type="cellIs" dxfId="10" priority="38" operator="greaterThan">
      <formula>$B$770*$B$10</formula>
    </cfRule>
  </conditionalFormatting>
  <conditionalFormatting sqref="B801:M801">
    <cfRule type="cellIs" dxfId="10" priority="39" operator="greaterThan">
      <formula>$B$771*$B$10</formula>
    </cfRule>
  </conditionalFormatting>
  <conditionalFormatting sqref="B802:M802">
    <cfRule type="cellIs" dxfId="10" priority="40" operator="greaterThan">
      <formula>$B$772*$B$10</formula>
    </cfRule>
  </conditionalFormatting>
  <conditionalFormatting sqref="B897:M897">
    <cfRule type="cellIs" dxfId="10" priority="41" operator="greaterThan">
      <formula>$B$10</formula>
    </cfRule>
  </conditionalFormatting>
  <conditionalFormatting sqref="B892:M892">
    <cfRule type="cellIs" dxfId="10" priority="42" operator="greaterThan">
      <formula>$B$862*$B$10</formula>
    </cfRule>
  </conditionalFormatting>
  <conditionalFormatting sqref="B893:M893">
    <cfRule type="cellIs" dxfId="10" priority="43" operator="greaterThan">
      <formula>$B$863*$B$10</formula>
    </cfRule>
  </conditionalFormatting>
  <conditionalFormatting sqref="B894:M894">
    <cfRule type="cellIs" dxfId="10" priority="44" operator="greaterThan">
      <formula>$B$864*$B$10</formula>
    </cfRule>
  </conditionalFormatting>
  <conditionalFormatting sqref="B895:M895">
    <cfRule type="cellIs" dxfId="10" priority="45" operator="greaterThan">
      <formula>$B$865*$B$10</formula>
    </cfRule>
  </conditionalFormatting>
  <conditionalFormatting sqref="B990:M990">
    <cfRule type="cellIs" dxfId="10" priority="46" operator="greaterThan">
      <formula>$B$10</formula>
    </cfRule>
  </conditionalFormatting>
  <conditionalFormatting sqref="B985:M985">
    <cfRule type="cellIs" dxfId="10" priority="47" operator="greaterThan">
      <formula>$B$955*$B$10</formula>
    </cfRule>
  </conditionalFormatting>
  <conditionalFormatting sqref="B986:M986">
    <cfRule type="cellIs" dxfId="10" priority="48" operator="greaterThan">
      <formula>$B$956*$B$10</formula>
    </cfRule>
  </conditionalFormatting>
  <conditionalFormatting sqref="B987:M987">
    <cfRule type="cellIs" dxfId="10" priority="49" operator="greaterThan">
      <formula>$B$957*$B$10</formula>
    </cfRule>
  </conditionalFormatting>
  <conditionalFormatting sqref="B988:M988">
    <cfRule type="cellIs" dxfId="10" priority="50" operator="greaterThan">
      <formula>$B$958*$B$10</formula>
    </cfRule>
  </conditionalFormatting>
  <conditionalFormatting sqref="B109:K109">
    <cfRule type="cellIs" dxfId="10" priority="51" operator="greaterThan">
      <formula>$B$12</formula>
    </cfRule>
  </conditionalFormatting>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outlineLevelRow="1"/>
  <cols>
    <col customWidth="1" min="1" max="1" width="46.0"/>
    <col customWidth="1" min="2" max="2" width="12.0"/>
    <col customWidth="1" min="3" max="14" width="9.0"/>
    <col customWidth="1" min="15" max="15" width="10.0"/>
    <col customWidth="1" min="16" max="16" width="11.0"/>
    <col customWidth="1" min="17" max="18" width="10.0"/>
    <col customWidth="1" min="19" max="19" width="11.0"/>
    <col customWidth="1" min="20" max="25" width="8.0"/>
    <col customWidth="1" min="26" max="26" width="12.0"/>
    <col customWidth="1" min="27" max="27" width="8.63"/>
  </cols>
  <sheetData>
    <row r="1">
      <c r="A1" s="20" t="s">
        <v>360</v>
      </c>
    </row>
    <row r="2">
      <c r="A2" s="30" t="s">
        <v>362</v>
      </c>
      <c r="B2" s="36">
        <f>'Parametros Recargas'!$F$4</f>
        <v>150</v>
      </c>
      <c r="D2" s="22" t="s">
        <v>366</v>
      </c>
    </row>
    <row r="3">
      <c r="D3" s="22" t="s">
        <v>367</v>
      </c>
    </row>
    <row r="4">
      <c r="A4" s="45" t="s">
        <v>331</v>
      </c>
      <c r="B4" s="69"/>
      <c r="C4" s="69"/>
      <c r="D4" s="69"/>
      <c r="E4" s="69"/>
      <c r="F4" s="69"/>
      <c r="G4" s="69"/>
      <c r="H4" s="69"/>
      <c r="I4" s="69"/>
      <c r="J4" s="69"/>
      <c r="K4" s="69"/>
      <c r="L4" s="69"/>
      <c r="M4" s="69"/>
      <c r="N4" s="69"/>
      <c r="O4" s="69"/>
      <c r="P4" s="69"/>
      <c r="Q4" s="69"/>
      <c r="R4" s="69"/>
      <c r="S4" s="69"/>
      <c r="T4" s="69"/>
      <c r="U4" s="69"/>
      <c r="V4" s="69"/>
      <c r="W4" s="69"/>
      <c r="X4" s="69"/>
      <c r="Y4" s="69"/>
      <c r="Z4" s="69"/>
      <c r="AA4" s="137"/>
    </row>
    <row r="5">
      <c r="A5" s="29" t="s">
        <v>376</v>
      </c>
      <c r="B5" s="29" t="s">
        <v>377</v>
      </c>
      <c r="C5" s="29" t="s">
        <v>109</v>
      </c>
      <c r="D5" s="29" t="s">
        <v>110</v>
      </c>
      <c r="E5" s="29" t="s">
        <v>111</v>
      </c>
      <c r="F5" s="29" t="s">
        <v>112</v>
      </c>
      <c r="G5" s="29" t="s">
        <v>113</v>
      </c>
      <c r="H5" s="29" t="s">
        <v>114</v>
      </c>
      <c r="I5" s="29" t="s">
        <v>115</v>
      </c>
      <c r="J5" s="29" t="s">
        <v>116</v>
      </c>
      <c r="K5" s="29" t="s">
        <v>117</v>
      </c>
      <c r="L5" s="29" t="s">
        <v>118</v>
      </c>
      <c r="M5" s="29" t="s">
        <v>119</v>
      </c>
      <c r="N5" s="29" t="s">
        <v>120</v>
      </c>
      <c r="O5" s="29" t="s">
        <v>15</v>
      </c>
    </row>
    <row r="6">
      <c r="A6" s="30" t="str">
        <f>datos_base!$A$55</f>
        <v>ABC 1 kg</v>
      </c>
      <c r="B6" s="139" t="s">
        <v>379</v>
      </c>
      <c r="C6" s="64">
        <f>datos_base!$B$55*'Parametros Recargas'!D$33*'Parametros Recargas'!$Q$33</f>
        <v>119.0498975</v>
      </c>
      <c r="D6" s="64">
        <f>datos_base!$B$55*'Parametros Recargas'!E$33*'Parametros Recargas'!$Q$33</f>
        <v>92.85892002</v>
      </c>
      <c r="E6" s="64">
        <f>datos_base!$B$55*'Parametros Recargas'!F$33*'Parametros Recargas'!$Q$33</f>
        <v>92.85892002</v>
      </c>
      <c r="F6" s="64">
        <f>datos_base!$B$55*'Parametros Recargas'!G$33*'Parametros Recargas'!$Q$33</f>
        <v>92.85892002</v>
      </c>
      <c r="G6" s="64">
        <f>datos_base!$B$55*'Parametros Recargas'!H$33*'Parametros Recargas'!$Q$33</f>
        <v>92.85892002</v>
      </c>
      <c r="H6" s="64">
        <f>datos_base!$B$55*'Parametros Recargas'!I$33*'Parametros Recargas'!$Q$33</f>
        <v>92.85892002</v>
      </c>
      <c r="I6" s="64">
        <f>datos_base!$B$55*'Parametros Recargas'!J$33*'Parametros Recargas'!$Q$33</f>
        <v>92.85892002</v>
      </c>
      <c r="J6" s="64">
        <f>datos_base!$B$55*'Parametros Recargas'!K$33*'Parametros Recargas'!$Q$33</f>
        <v>92.85892002</v>
      </c>
      <c r="K6" s="64">
        <f>datos_base!$B$55*'Parametros Recargas'!L$33*'Parametros Recargas'!$Q$33</f>
        <v>92.85892002</v>
      </c>
      <c r="L6" s="64">
        <f>datos_base!$B$55*'Parametros Recargas'!M$33*'Parametros Recargas'!$Q$33</f>
        <v>92.85892002</v>
      </c>
      <c r="M6" s="64">
        <f>datos_base!$B$55*'Parametros Recargas'!N$33*'Parametros Recargas'!$Q$33</f>
        <v>92.85892002</v>
      </c>
      <c r="N6" s="64">
        <f>datos_base!$B$55*'Parametros Recargas'!O$33*'Parametros Recargas'!$Q$33</f>
        <v>142.859877</v>
      </c>
      <c r="O6" s="84">
        <f t="shared" ref="O6:O22" si="1">SUM(C6:N6)</f>
        <v>1190.498975</v>
      </c>
    </row>
    <row r="7">
      <c r="A7" s="30" t="str">
        <f>datos_base!$A$56</f>
        <v>ABC 2,5 kg</v>
      </c>
      <c r="B7" s="139" t="s">
        <v>379</v>
      </c>
      <c r="C7" s="64">
        <f>datos_base!$B$56*'Parametros Recargas'!D$34*'Parametros Recargas'!$Q$34</f>
        <v>10.1690594</v>
      </c>
      <c r="D7" s="64">
        <f>datos_base!$B$56*'Parametros Recargas'!E$34*'Parametros Recargas'!$Q$34</f>
        <v>9.039163914</v>
      </c>
      <c r="E7" s="64">
        <f>datos_base!$B$56*'Parametros Recargas'!F$34*'Parametros Recargas'!$Q$34</f>
        <v>9.604111659</v>
      </c>
      <c r="F7" s="64">
        <f>datos_base!$B$56*'Parametros Recargas'!G$34*'Parametros Recargas'!$Q$34</f>
        <v>9.039163914</v>
      </c>
      <c r="G7" s="64">
        <f>datos_base!$B$56*'Parametros Recargas'!H$34*'Parametros Recargas'!$Q$34</f>
        <v>8.47421617</v>
      </c>
      <c r="H7" s="64">
        <f>datos_base!$B$56*'Parametros Recargas'!I$34*'Parametros Recargas'!$Q$34</f>
        <v>7.909268425</v>
      </c>
      <c r="I7" s="64">
        <f>datos_base!$B$56*'Parametros Recargas'!J$34*'Parametros Recargas'!$Q$34</f>
        <v>9.039163914</v>
      </c>
      <c r="J7" s="64">
        <f>datos_base!$B$56*'Parametros Recargas'!K$34*'Parametros Recargas'!$Q$34</f>
        <v>9.604111659</v>
      </c>
      <c r="K7" s="64">
        <f>datos_base!$B$56*'Parametros Recargas'!L$34*'Parametros Recargas'!$Q$34</f>
        <v>9.604111659</v>
      </c>
      <c r="L7" s="64">
        <f>datos_base!$B$56*'Parametros Recargas'!M$34*'Parametros Recargas'!$Q$34</f>
        <v>9.039163914</v>
      </c>
      <c r="M7" s="64">
        <f>datos_base!$B$56*'Parametros Recargas'!N$34*'Parametros Recargas'!$Q$34</f>
        <v>9.039163914</v>
      </c>
      <c r="N7" s="64">
        <f>datos_base!$B$56*'Parametros Recargas'!O$34*'Parametros Recargas'!$Q$34</f>
        <v>12.42885038</v>
      </c>
      <c r="O7" s="84">
        <f t="shared" si="1"/>
        <v>112.9895489</v>
      </c>
    </row>
    <row r="8">
      <c r="A8" s="30" t="str">
        <f>datos_base!$A$57</f>
        <v>ABC 5 kg</v>
      </c>
      <c r="B8" s="139" t="s">
        <v>379</v>
      </c>
      <c r="C8" s="64">
        <f>datos_base!$B$57*'Parametros Recargas'!D$35*'Parametros Recargas'!$Q$35</f>
        <v>60.08989648</v>
      </c>
      <c r="D8" s="64">
        <f>datos_base!$B$57*'Parametros Recargas'!E$35*'Parametros Recargas'!$Q$35</f>
        <v>53.41324131</v>
      </c>
      <c r="E8" s="64">
        <f>datos_base!$B$57*'Parametros Recargas'!F$35*'Parametros Recargas'!$Q$35</f>
        <v>56.75156889</v>
      </c>
      <c r="F8" s="64">
        <f>datos_base!$B$57*'Parametros Recargas'!G$35*'Parametros Recargas'!$Q$35</f>
        <v>53.41324131</v>
      </c>
      <c r="G8" s="64">
        <f>datos_base!$B$57*'Parametros Recargas'!H$35*'Parametros Recargas'!$Q$35</f>
        <v>50.07491373</v>
      </c>
      <c r="H8" s="64">
        <f>datos_base!$B$57*'Parametros Recargas'!I$35*'Parametros Recargas'!$Q$35</f>
        <v>46.73658615</v>
      </c>
      <c r="I8" s="64">
        <f>datos_base!$B$57*'Parametros Recargas'!J$35*'Parametros Recargas'!$Q$35</f>
        <v>53.41324131</v>
      </c>
      <c r="J8" s="64">
        <f>datos_base!$B$57*'Parametros Recargas'!K$35*'Parametros Recargas'!$Q$35</f>
        <v>56.75156889</v>
      </c>
      <c r="K8" s="64">
        <f>datos_base!$B$57*'Parametros Recargas'!L$35*'Parametros Recargas'!$Q$35</f>
        <v>56.75156889</v>
      </c>
      <c r="L8" s="64">
        <f>datos_base!$B$57*'Parametros Recargas'!M$35*'Parametros Recargas'!$Q$35</f>
        <v>53.41324131</v>
      </c>
      <c r="M8" s="64">
        <f>datos_base!$B$57*'Parametros Recargas'!N$35*'Parametros Recargas'!$Q$35</f>
        <v>53.41324131</v>
      </c>
      <c r="N8" s="64">
        <f>datos_base!$B$57*'Parametros Recargas'!O$35*'Parametros Recargas'!$Q$35</f>
        <v>73.44320681</v>
      </c>
      <c r="O8" s="84">
        <f t="shared" si="1"/>
        <v>667.6655164</v>
      </c>
    </row>
    <row r="9">
      <c r="A9" s="30" t="str">
        <f>datos_base!$A$58</f>
        <v>ABC 10 kg</v>
      </c>
      <c r="B9" s="139" t="s">
        <v>379</v>
      </c>
      <c r="C9" s="64">
        <f>datos_base!$B$58*'Parametros Recargas'!D$36*'Parametros Recargas'!$Q$36</f>
        <v>3.63620912</v>
      </c>
      <c r="D9" s="64">
        <f>datos_base!$B$58*'Parametros Recargas'!E$36*'Parametros Recargas'!$Q$36</f>
        <v>3.232185885</v>
      </c>
      <c r="E9" s="64">
        <f>datos_base!$B$58*'Parametros Recargas'!F$36*'Parametros Recargas'!$Q$36</f>
        <v>3.434197502</v>
      </c>
      <c r="F9" s="64">
        <f>datos_base!$B$58*'Parametros Recargas'!G$36*'Parametros Recargas'!$Q$36</f>
        <v>3.232185885</v>
      </c>
      <c r="G9" s="64">
        <f>datos_base!$B$58*'Parametros Recargas'!H$36*'Parametros Recargas'!$Q$36</f>
        <v>3.030174267</v>
      </c>
      <c r="H9" s="64">
        <f>datos_base!$B$58*'Parametros Recargas'!I$36*'Parametros Recargas'!$Q$36</f>
        <v>2.828162649</v>
      </c>
      <c r="I9" s="64">
        <f>datos_base!$B$58*'Parametros Recargas'!J$36*'Parametros Recargas'!$Q$36</f>
        <v>3.232185885</v>
      </c>
      <c r="J9" s="64">
        <f>datos_base!$B$58*'Parametros Recargas'!K$36*'Parametros Recargas'!$Q$36</f>
        <v>3.434197502</v>
      </c>
      <c r="K9" s="64">
        <f>datos_base!$B$58*'Parametros Recargas'!L$36*'Parametros Recargas'!$Q$36</f>
        <v>3.434197502</v>
      </c>
      <c r="L9" s="64">
        <f>datos_base!$B$58*'Parametros Recargas'!M$36*'Parametros Recargas'!$Q$36</f>
        <v>3.232185885</v>
      </c>
      <c r="M9" s="64">
        <f>datos_base!$B$58*'Parametros Recargas'!N$36*'Parametros Recargas'!$Q$36</f>
        <v>3.232185885</v>
      </c>
      <c r="N9" s="64">
        <f>datos_base!$B$58*'Parametros Recargas'!O$36*'Parametros Recargas'!$Q$36</f>
        <v>4.444255591</v>
      </c>
      <c r="O9" s="84">
        <f t="shared" si="1"/>
        <v>40.40232356</v>
      </c>
    </row>
    <row r="10">
      <c r="A10" s="30" t="str">
        <f>datos_base!$A$69</f>
        <v>ABC 25 kg s/ruedas</v>
      </c>
      <c r="B10" s="139" t="s">
        <v>379</v>
      </c>
      <c r="C10" s="64">
        <f>datos_base!$B$69*'Parametros Recargas'!D$37*'Parametros Recargas'!$Q$37</f>
        <v>1.848919892</v>
      </c>
      <c r="D10" s="64">
        <f>datos_base!$B$69*'Parametros Recargas'!E$37*'Parametros Recargas'!$Q$37</f>
        <v>1.479135913</v>
      </c>
      <c r="E10" s="64">
        <f>datos_base!$B$69*'Parametros Recargas'!F$37*'Parametros Recargas'!$Q$37</f>
        <v>1.571581908</v>
      </c>
      <c r="F10" s="64">
        <f>datos_base!$B$69*'Parametros Recargas'!G$37*'Parametros Recargas'!$Q$37</f>
        <v>1.571581908</v>
      </c>
      <c r="G10" s="64">
        <f>datos_base!$B$69*'Parametros Recargas'!H$37*'Parametros Recargas'!$Q$37</f>
        <v>1.479135913</v>
      </c>
      <c r="H10" s="64">
        <f>datos_base!$B$69*'Parametros Recargas'!I$37*'Parametros Recargas'!$Q$37</f>
        <v>1.386689919</v>
      </c>
      <c r="I10" s="64">
        <f>datos_base!$B$69*'Parametros Recargas'!J$37*'Parametros Recargas'!$Q$37</f>
        <v>1.664027902</v>
      </c>
      <c r="J10" s="64">
        <f>datos_base!$B$69*'Parametros Recargas'!K$37*'Parametros Recargas'!$Q$37</f>
        <v>1.479135913</v>
      </c>
      <c r="K10" s="64">
        <f>datos_base!$B$69*'Parametros Recargas'!L$37*'Parametros Recargas'!$Q$37</f>
        <v>1.479135913</v>
      </c>
      <c r="L10" s="64">
        <f>datos_base!$B$69*'Parametros Recargas'!M$37*'Parametros Recargas'!$Q$37</f>
        <v>1.479135913</v>
      </c>
      <c r="M10" s="64">
        <f>datos_base!$B$69*'Parametros Recargas'!N$37*'Parametros Recargas'!$Q$37</f>
        <v>1.386689919</v>
      </c>
      <c r="N10" s="64">
        <f>datos_base!$B$69*'Parametros Recargas'!O$37*'Parametros Recargas'!$Q$37</f>
        <v>1.664027902</v>
      </c>
      <c r="O10" s="84">
        <f t="shared" si="1"/>
        <v>18.48919892</v>
      </c>
    </row>
    <row r="11">
      <c r="A11" s="30" t="str">
        <f>datos_base!$A$70</f>
        <v>ABC 50 kg s/ruedas</v>
      </c>
      <c r="B11" s="139" t="s">
        <v>379</v>
      </c>
      <c r="C11" s="64">
        <f>datos_base!$B$70*'Parametros Recargas'!D$38*'Parametros Recargas'!$Q$38</f>
        <v>4.005993098</v>
      </c>
      <c r="D11" s="64">
        <f>datos_base!$B$70*'Parametros Recargas'!E$38*'Parametros Recargas'!$Q$38</f>
        <v>3.204794479</v>
      </c>
      <c r="E11" s="64">
        <f>datos_base!$B$70*'Parametros Recargas'!F$38*'Parametros Recargas'!$Q$38</f>
        <v>3.405094134</v>
      </c>
      <c r="F11" s="64">
        <f>datos_base!$B$70*'Parametros Recargas'!G$38*'Parametros Recargas'!$Q$38</f>
        <v>3.405094134</v>
      </c>
      <c r="G11" s="64">
        <f>datos_base!$B$70*'Parametros Recargas'!H$38*'Parametros Recargas'!$Q$38</f>
        <v>3.204794479</v>
      </c>
      <c r="H11" s="64">
        <f>datos_base!$B$70*'Parametros Recargas'!I$38*'Parametros Recargas'!$Q$38</f>
        <v>3.004494824</v>
      </c>
      <c r="I11" s="64">
        <f>datos_base!$B$70*'Parametros Recargas'!J$38*'Parametros Recargas'!$Q$38</f>
        <v>3.605393789</v>
      </c>
      <c r="J11" s="64">
        <f>datos_base!$B$70*'Parametros Recargas'!K$38*'Parametros Recargas'!$Q$38</f>
        <v>3.204794479</v>
      </c>
      <c r="K11" s="64">
        <f>datos_base!$B$70*'Parametros Recargas'!L$38*'Parametros Recargas'!$Q$38</f>
        <v>3.204794479</v>
      </c>
      <c r="L11" s="64">
        <f>datos_base!$B$70*'Parametros Recargas'!M$38*'Parametros Recargas'!$Q$38</f>
        <v>3.204794479</v>
      </c>
      <c r="M11" s="64">
        <f>datos_base!$B$70*'Parametros Recargas'!N$38*'Parametros Recargas'!$Q$38</f>
        <v>3.004494824</v>
      </c>
      <c r="N11" s="64">
        <f>datos_base!$B$70*'Parametros Recargas'!O$38*'Parametros Recargas'!$Q$38</f>
        <v>3.605393789</v>
      </c>
      <c r="O11" s="84">
        <f t="shared" si="1"/>
        <v>40.05993098</v>
      </c>
    </row>
    <row r="12">
      <c r="A12" s="30" t="str">
        <f>datos_base!$A$71</f>
        <v>ABC 70 kg s/ruedas</v>
      </c>
      <c r="B12" s="139" t="s">
        <v>379</v>
      </c>
      <c r="C12" s="64">
        <f>datos_base!$B$71*'Parametros Recargas'!D$39*'Parametros Recargas'!$Q$39</f>
        <v>0.821742174</v>
      </c>
      <c r="D12" s="64">
        <f>datos_base!$B$71*'Parametros Recargas'!E$39*'Parametros Recargas'!$Q$39</f>
        <v>0.6573937392</v>
      </c>
      <c r="E12" s="64">
        <f>datos_base!$B$71*'Parametros Recargas'!F$39*'Parametros Recargas'!$Q$39</f>
        <v>0.6984808479</v>
      </c>
      <c r="F12" s="64">
        <f>datos_base!$B$71*'Parametros Recargas'!G$39*'Parametros Recargas'!$Q$39</f>
        <v>0.6984808479</v>
      </c>
      <c r="G12" s="64">
        <f>datos_base!$B$71*'Parametros Recargas'!H$39*'Parametros Recargas'!$Q$39</f>
        <v>0.6573937392</v>
      </c>
      <c r="H12" s="64">
        <f>datos_base!$B$71*'Parametros Recargas'!I$39*'Parametros Recargas'!$Q$39</f>
        <v>0.6163066305</v>
      </c>
      <c r="I12" s="64">
        <f>datos_base!$B$71*'Parametros Recargas'!J$39*'Parametros Recargas'!$Q$39</f>
        <v>0.7395679566</v>
      </c>
      <c r="J12" s="64">
        <f>datos_base!$B$71*'Parametros Recargas'!K$39*'Parametros Recargas'!$Q$39</f>
        <v>0.6573937392</v>
      </c>
      <c r="K12" s="64">
        <f>datos_base!$B$71*'Parametros Recargas'!L$39*'Parametros Recargas'!$Q$39</f>
        <v>0.6573937392</v>
      </c>
      <c r="L12" s="64">
        <f>datos_base!$B$71*'Parametros Recargas'!M$39*'Parametros Recargas'!$Q$39</f>
        <v>0.6573937392</v>
      </c>
      <c r="M12" s="64">
        <f>datos_base!$B$71*'Parametros Recargas'!N$39*'Parametros Recargas'!$Q$39</f>
        <v>0.6163066305</v>
      </c>
      <c r="N12" s="64">
        <f>datos_base!$B$71*'Parametros Recargas'!O$39*'Parametros Recargas'!$Q$39</f>
        <v>0.7395679566</v>
      </c>
      <c r="O12" s="84">
        <f t="shared" si="1"/>
        <v>8.21742174</v>
      </c>
    </row>
    <row r="13">
      <c r="A13" s="30" t="str">
        <f>datos_base!$A$72</f>
        <v>ABC 100 kg s/ruedas</v>
      </c>
      <c r="B13" s="139" t="s">
        <v>379</v>
      </c>
      <c r="C13" s="64">
        <f>datos_base!$B$72*'Parametros Recargas'!D$40*'Parametros Recargas'!$Q$40</f>
        <v>0.6163066305</v>
      </c>
      <c r="D13" s="64">
        <f>datos_base!$B$72*'Parametros Recargas'!E$40*'Parametros Recargas'!$Q$40</f>
        <v>0.4930453044</v>
      </c>
      <c r="E13" s="64">
        <f>datos_base!$B$72*'Parametros Recargas'!F$40*'Parametros Recargas'!$Q$40</f>
        <v>0.523860636</v>
      </c>
      <c r="F13" s="64">
        <f>datos_base!$B$72*'Parametros Recargas'!G$40*'Parametros Recargas'!$Q$40</f>
        <v>0.523860636</v>
      </c>
      <c r="G13" s="64">
        <f>datos_base!$B$72*'Parametros Recargas'!H$40*'Parametros Recargas'!$Q$40</f>
        <v>0.4930453044</v>
      </c>
      <c r="H13" s="64">
        <f>datos_base!$B$72*'Parametros Recargas'!I$40*'Parametros Recargas'!$Q$40</f>
        <v>0.4622299729</v>
      </c>
      <c r="I13" s="64">
        <f>datos_base!$B$72*'Parametros Recargas'!J$40*'Parametros Recargas'!$Q$40</f>
        <v>0.5546759675</v>
      </c>
      <c r="J13" s="64">
        <f>datos_base!$B$72*'Parametros Recargas'!K$40*'Parametros Recargas'!$Q$40</f>
        <v>0.4930453044</v>
      </c>
      <c r="K13" s="64">
        <f>datos_base!$B$72*'Parametros Recargas'!L$40*'Parametros Recargas'!$Q$40</f>
        <v>0.4930453044</v>
      </c>
      <c r="L13" s="64">
        <f>datos_base!$B$72*'Parametros Recargas'!M$40*'Parametros Recargas'!$Q$40</f>
        <v>0.4930453044</v>
      </c>
      <c r="M13" s="64">
        <f>datos_base!$B$72*'Parametros Recargas'!N$40*'Parametros Recargas'!$Q$40</f>
        <v>0.4622299729</v>
      </c>
      <c r="N13" s="64">
        <f>datos_base!$B$72*'Parametros Recargas'!O$40*'Parametros Recargas'!$Q$40</f>
        <v>0.5546759675</v>
      </c>
      <c r="O13" s="84">
        <f t="shared" si="1"/>
        <v>6.163066305</v>
      </c>
    </row>
    <row r="14">
      <c r="A14" s="30" t="str">
        <f>datos_base!$A$62</f>
        <v>BC 5 kg</v>
      </c>
      <c r="B14" s="139" t="s">
        <v>398</v>
      </c>
      <c r="C14" s="64">
        <f>datos_base!$B$62*'Parametros Recargas'!D$41*'Parametros Recargas'!$Q$41</f>
        <v>0.2157073207</v>
      </c>
      <c r="D14" s="64">
        <f>datos_base!$B$62*'Parametros Recargas'!E$41*'Parametros Recargas'!$Q$41</f>
        <v>0.1917398406</v>
      </c>
      <c r="E14" s="64">
        <f>datos_base!$B$62*'Parametros Recargas'!F$41*'Parametros Recargas'!$Q$41</f>
        <v>0.2037235806</v>
      </c>
      <c r="F14" s="64">
        <f>datos_base!$B$62*'Parametros Recargas'!G$41*'Parametros Recargas'!$Q$41</f>
        <v>0.1917398406</v>
      </c>
      <c r="G14" s="64">
        <f>datos_base!$B$62*'Parametros Recargas'!H$41*'Parametros Recargas'!$Q$41</f>
        <v>0.1797561006</v>
      </c>
      <c r="H14" s="64">
        <f>datos_base!$B$62*'Parametros Recargas'!I$41*'Parametros Recargas'!$Q$41</f>
        <v>0.1677723605</v>
      </c>
      <c r="I14" s="64">
        <f>datos_base!$B$62*'Parametros Recargas'!J$41*'Parametros Recargas'!$Q$41</f>
        <v>0.1917398406</v>
      </c>
      <c r="J14" s="64">
        <f>datos_base!$B$62*'Parametros Recargas'!K$41*'Parametros Recargas'!$Q$41</f>
        <v>0.2037235806</v>
      </c>
      <c r="K14" s="64">
        <f>datos_base!$B$62*'Parametros Recargas'!L$41*'Parametros Recargas'!$Q$41</f>
        <v>0.2037235806</v>
      </c>
      <c r="L14" s="64">
        <f>datos_base!$B$62*'Parametros Recargas'!M$41*'Parametros Recargas'!$Q$41</f>
        <v>0.1917398406</v>
      </c>
      <c r="M14" s="64">
        <f>datos_base!$B$62*'Parametros Recargas'!N$41*'Parametros Recargas'!$Q$41</f>
        <v>0.1917398406</v>
      </c>
      <c r="N14" s="64">
        <f>datos_base!$B$62*'Parametros Recargas'!O$41*'Parametros Recargas'!$Q$41</f>
        <v>0.2636422808</v>
      </c>
      <c r="O14" s="84">
        <f t="shared" si="1"/>
        <v>2.396748008</v>
      </c>
    </row>
    <row r="15">
      <c r="A15" s="30" t="str">
        <f>datos_base!$A$68</f>
        <v>Clase D 9 l</v>
      </c>
      <c r="B15" s="139" t="s">
        <v>402</v>
      </c>
      <c r="C15" s="64">
        <f>datos_base!$B$68*'Parametros Recargas'!D$42*'Parametros Recargas'!$Q$42</f>
        <v>0.2157073207</v>
      </c>
      <c r="D15" s="64">
        <f>datos_base!$B$68*'Parametros Recargas'!E$42*'Parametros Recargas'!$Q$42</f>
        <v>0.1917398406</v>
      </c>
      <c r="E15" s="64">
        <f>datos_base!$B$68*'Parametros Recargas'!F$42*'Parametros Recargas'!$Q$42</f>
        <v>0.2037235806</v>
      </c>
      <c r="F15" s="64">
        <f>datos_base!$B$68*'Parametros Recargas'!G$42*'Parametros Recargas'!$Q$42</f>
        <v>0.1917398406</v>
      </c>
      <c r="G15" s="64">
        <f>datos_base!$B$68*'Parametros Recargas'!H$42*'Parametros Recargas'!$Q$42</f>
        <v>0.1797561006</v>
      </c>
      <c r="H15" s="64">
        <f>datos_base!$B$68*'Parametros Recargas'!I$42*'Parametros Recargas'!$Q$42</f>
        <v>0.1677723605</v>
      </c>
      <c r="I15" s="64">
        <f>datos_base!$B$68*'Parametros Recargas'!J$42*'Parametros Recargas'!$Q$42</f>
        <v>0.1917398406</v>
      </c>
      <c r="J15" s="64">
        <f>datos_base!$B$68*'Parametros Recargas'!K$42*'Parametros Recargas'!$Q$42</f>
        <v>0.2037235806</v>
      </c>
      <c r="K15" s="64">
        <f>datos_base!$B$68*'Parametros Recargas'!L$42*'Parametros Recargas'!$Q$42</f>
        <v>0.2037235806</v>
      </c>
      <c r="L15" s="64">
        <f>datos_base!$B$68*'Parametros Recargas'!M$42*'Parametros Recargas'!$Q$42</f>
        <v>0.1917398406</v>
      </c>
      <c r="M15" s="64">
        <f>datos_base!$B$68*'Parametros Recargas'!N$42*'Parametros Recargas'!$Q$42</f>
        <v>0.1917398406</v>
      </c>
      <c r="N15" s="64">
        <f>datos_base!$B$68*'Parametros Recargas'!O$42*'Parametros Recargas'!$Q$42</f>
        <v>0.2636422808</v>
      </c>
      <c r="O15" s="84">
        <f t="shared" si="1"/>
        <v>2.396748008</v>
      </c>
    </row>
    <row r="16">
      <c r="A16" s="30" t="str">
        <f>datos_base!$A$59</f>
        <v>Agua 10 l</v>
      </c>
      <c r="B16" s="139" t="s">
        <v>407</v>
      </c>
      <c r="C16" s="64">
        <f>datos_base!$B$59*'Parametros Recargas'!D$43*'Parametros Recargas'!$Q$43</f>
        <v>4.899637713</v>
      </c>
      <c r="D16" s="64">
        <f>datos_base!$B$59*'Parametros Recargas'!E$43*'Parametros Recargas'!$Q$43</f>
        <v>4.355233522</v>
      </c>
      <c r="E16" s="64">
        <f>datos_base!$B$59*'Parametros Recargas'!F$43*'Parametros Recargas'!$Q$43</f>
        <v>4.627435618</v>
      </c>
      <c r="F16" s="64">
        <f>datos_base!$B$59*'Parametros Recargas'!G$43*'Parametros Recargas'!$Q$43</f>
        <v>4.355233522</v>
      </c>
      <c r="G16" s="64">
        <f>datos_base!$B$59*'Parametros Recargas'!H$43*'Parametros Recargas'!$Q$43</f>
        <v>4.083031427</v>
      </c>
      <c r="H16" s="64">
        <f>datos_base!$B$59*'Parametros Recargas'!I$43*'Parametros Recargas'!$Q$43</f>
        <v>3.810829332</v>
      </c>
      <c r="I16" s="64">
        <f>datos_base!$B$59*'Parametros Recargas'!J$43*'Parametros Recargas'!$Q$43</f>
        <v>4.355233522</v>
      </c>
      <c r="J16" s="64">
        <f>datos_base!$B$59*'Parametros Recargas'!K$43*'Parametros Recargas'!$Q$43</f>
        <v>4.627435618</v>
      </c>
      <c r="K16" s="64">
        <f>datos_base!$B$59*'Parametros Recargas'!L$43*'Parametros Recargas'!$Q$43</f>
        <v>4.627435618</v>
      </c>
      <c r="L16" s="64">
        <f>datos_base!$B$59*'Parametros Recargas'!M$43*'Parametros Recargas'!$Q$43</f>
        <v>4.355233522</v>
      </c>
      <c r="M16" s="64">
        <f>datos_base!$B$59*'Parametros Recargas'!N$43*'Parametros Recargas'!$Q$43</f>
        <v>4.355233522</v>
      </c>
      <c r="N16" s="64">
        <f>datos_base!$B$59*'Parametros Recargas'!O$43*'Parametros Recargas'!$Q$43</f>
        <v>5.988446093</v>
      </c>
      <c r="O16" s="84">
        <f t="shared" si="1"/>
        <v>54.44041903</v>
      </c>
    </row>
    <row r="17">
      <c r="A17" s="30" t="str">
        <f>datos_base!$A$60</f>
        <v>AFFF 10 l</v>
      </c>
      <c r="B17" s="139" t="s">
        <v>407</v>
      </c>
      <c r="C17" s="64">
        <f>datos_base!$B$60*'Parametros Recargas'!D$44*'Parametros Recargas'!$Q$44</f>
        <v>0.7087526251</v>
      </c>
      <c r="D17" s="64">
        <f>datos_base!$B$60*'Parametros Recargas'!E$44*'Parametros Recargas'!$Q$44</f>
        <v>0.6300023334</v>
      </c>
      <c r="E17" s="64">
        <f>datos_base!$B$60*'Parametros Recargas'!F$44*'Parametros Recargas'!$Q$44</f>
        <v>0.6693774793</v>
      </c>
      <c r="F17" s="64">
        <f>datos_base!$B$60*'Parametros Recargas'!G$44*'Parametros Recargas'!$Q$44</f>
        <v>0.6300023334</v>
      </c>
      <c r="G17" s="64">
        <f>datos_base!$B$60*'Parametros Recargas'!H$44*'Parametros Recargas'!$Q$44</f>
        <v>0.5906271876</v>
      </c>
      <c r="H17" s="64">
        <f>datos_base!$B$60*'Parametros Recargas'!I$44*'Parametros Recargas'!$Q$44</f>
        <v>0.5512520418</v>
      </c>
      <c r="I17" s="64">
        <f>datos_base!$B$60*'Parametros Recargas'!J$44*'Parametros Recargas'!$Q$44</f>
        <v>0.6300023334</v>
      </c>
      <c r="J17" s="64">
        <f>datos_base!$B$60*'Parametros Recargas'!K$44*'Parametros Recargas'!$Q$44</f>
        <v>0.6693774793</v>
      </c>
      <c r="K17" s="64">
        <f>datos_base!$B$60*'Parametros Recargas'!L$44*'Parametros Recargas'!$Q$44</f>
        <v>0.6693774793</v>
      </c>
      <c r="L17" s="64">
        <f>datos_base!$B$60*'Parametros Recargas'!M$44*'Parametros Recargas'!$Q$44</f>
        <v>0.6300023334</v>
      </c>
      <c r="M17" s="64">
        <f>datos_base!$B$60*'Parametros Recargas'!N$44*'Parametros Recargas'!$Q$44</f>
        <v>0.6300023334</v>
      </c>
      <c r="N17" s="64">
        <f>datos_base!$B$60*'Parametros Recargas'!O$44*'Parametros Recargas'!$Q$44</f>
        <v>0.8662532085</v>
      </c>
      <c r="O17" s="84">
        <f t="shared" si="1"/>
        <v>7.875029168</v>
      </c>
    </row>
    <row r="18">
      <c r="A18" s="30" t="str">
        <f>datos_base!$A$63</f>
        <v>Sales K 6 l</v>
      </c>
      <c r="B18" s="139" t="s">
        <v>407</v>
      </c>
      <c r="C18" s="64">
        <f>datos_base!$B$63*'Parametros Recargas'!D$45*'Parametros Recargas'!$Q$45</f>
        <v>2.526857185</v>
      </c>
      <c r="D18" s="64">
        <f>datos_base!$B$63*'Parametros Recargas'!E$45*'Parametros Recargas'!$Q$45</f>
        <v>2.246095276</v>
      </c>
      <c r="E18" s="64">
        <f>datos_base!$B$63*'Parametros Recargas'!F$45*'Parametros Recargas'!$Q$45</f>
        <v>2.38647623</v>
      </c>
      <c r="F18" s="64">
        <f>datos_base!$B$63*'Parametros Recargas'!G$45*'Parametros Recargas'!$Q$45</f>
        <v>2.246095276</v>
      </c>
      <c r="G18" s="64">
        <f>datos_base!$B$63*'Parametros Recargas'!H$45*'Parametros Recargas'!$Q$45</f>
        <v>2.105714321</v>
      </c>
      <c r="H18" s="64">
        <f>datos_base!$B$63*'Parametros Recargas'!I$45*'Parametros Recargas'!$Q$45</f>
        <v>1.965333366</v>
      </c>
      <c r="I18" s="64">
        <f>datos_base!$B$63*'Parametros Recargas'!J$45*'Parametros Recargas'!$Q$45</f>
        <v>2.246095276</v>
      </c>
      <c r="J18" s="64">
        <f>datos_base!$B$63*'Parametros Recargas'!K$45*'Parametros Recargas'!$Q$45</f>
        <v>2.38647623</v>
      </c>
      <c r="K18" s="64">
        <f>datos_base!$B$63*'Parametros Recargas'!L$45*'Parametros Recargas'!$Q$45</f>
        <v>2.38647623</v>
      </c>
      <c r="L18" s="64">
        <f>datos_base!$B$63*'Parametros Recargas'!M$45*'Parametros Recargas'!$Q$45</f>
        <v>2.246095276</v>
      </c>
      <c r="M18" s="64">
        <f>datos_base!$B$63*'Parametros Recargas'!N$45*'Parametros Recargas'!$Q$45</f>
        <v>2.246095276</v>
      </c>
      <c r="N18" s="64">
        <f>datos_base!$B$63*'Parametros Recargas'!O$45*'Parametros Recargas'!$Q$45</f>
        <v>3.088381004</v>
      </c>
      <c r="O18" s="84">
        <f t="shared" si="1"/>
        <v>28.07619095</v>
      </c>
    </row>
    <row r="19">
      <c r="A19" s="30" t="str">
        <f>datos_base!$A$61</f>
        <v>AFFF 50 l s/ruedas</v>
      </c>
      <c r="B19" s="139" t="s">
        <v>407</v>
      </c>
      <c r="C19" s="64">
        <f>datos_base!$B$61*'Parametros Recargas'!D$46*'Parametros Recargas'!$Q$46</f>
        <v>1.129895489</v>
      </c>
      <c r="D19" s="64">
        <f>datos_base!$B$61*'Parametros Recargas'!E$46*'Parametros Recargas'!$Q$46</f>
        <v>0.9039163914</v>
      </c>
      <c r="E19" s="64">
        <f>datos_base!$B$61*'Parametros Recargas'!F$46*'Parametros Recargas'!$Q$46</f>
        <v>0.9604111659</v>
      </c>
      <c r="F19" s="64">
        <f>datos_base!$B$61*'Parametros Recargas'!G$46*'Parametros Recargas'!$Q$46</f>
        <v>0.9604111659</v>
      </c>
      <c r="G19" s="64">
        <f>datos_base!$B$61*'Parametros Recargas'!H$46*'Parametros Recargas'!$Q$46</f>
        <v>0.9039163914</v>
      </c>
      <c r="H19" s="64">
        <f>datos_base!$B$61*'Parametros Recargas'!I$46*'Parametros Recargas'!$Q$46</f>
        <v>0.847421617</v>
      </c>
      <c r="I19" s="64">
        <f>datos_base!$B$61*'Parametros Recargas'!J$46*'Parametros Recargas'!$Q$46</f>
        <v>1.01690594</v>
      </c>
      <c r="J19" s="64">
        <f>datos_base!$B$61*'Parametros Recargas'!K$46*'Parametros Recargas'!$Q$46</f>
        <v>0.9039163914</v>
      </c>
      <c r="K19" s="64">
        <f>datos_base!$B$61*'Parametros Recargas'!L$46*'Parametros Recargas'!$Q$46</f>
        <v>0.9039163914</v>
      </c>
      <c r="L19" s="64">
        <f>datos_base!$B$61*'Parametros Recargas'!M$46*'Parametros Recargas'!$Q$46</f>
        <v>0.9039163914</v>
      </c>
      <c r="M19" s="64">
        <f>datos_base!$B$61*'Parametros Recargas'!N$46*'Parametros Recargas'!$Q$46</f>
        <v>0.847421617</v>
      </c>
      <c r="N19" s="64">
        <f>datos_base!$B$61*'Parametros Recargas'!O$46*'Parametros Recargas'!$Q$46</f>
        <v>1.01690594</v>
      </c>
      <c r="O19" s="84">
        <f t="shared" si="1"/>
        <v>11.29895489</v>
      </c>
    </row>
    <row r="20">
      <c r="A20" s="30" t="str">
        <f>datos_base!$A$64</f>
        <v>CO₂ 2 kg</v>
      </c>
      <c r="B20" s="139" t="s">
        <v>418</v>
      </c>
      <c r="C20" s="64">
        <f>datos_base!$B$64*'Parametros Recargas'!D$47*'Parametros Recargas'!$Q$47</f>
        <v>13.89771452</v>
      </c>
      <c r="D20" s="64">
        <f>datos_base!$B$64*'Parametros Recargas'!E$47*'Parametros Recargas'!$Q$47</f>
        <v>12.35352402</v>
      </c>
      <c r="E20" s="64">
        <f>datos_base!$B$64*'Parametros Recargas'!F$47*'Parametros Recargas'!$Q$47</f>
        <v>13.12561927</v>
      </c>
      <c r="F20" s="64">
        <f>datos_base!$B$64*'Parametros Recargas'!G$47*'Parametros Recargas'!$Q$47</f>
        <v>12.35352402</v>
      </c>
      <c r="G20" s="64">
        <f>datos_base!$B$64*'Parametros Recargas'!H$47*'Parametros Recargas'!$Q$47</f>
        <v>11.58142877</v>
      </c>
      <c r="H20" s="64">
        <f>datos_base!$B$64*'Parametros Recargas'!I$47*'Parametros Recargas'!$Q$47</f>
        <v>10.80933351</v>
      </c>
      <c r="I20" s="64">
        <f>datos_base!$B$64*'Parametros Recargas'!J$47*'Parametros Recargas'!$Q$47</f>
        <v>12.35352402</v>
      </c>
      <c r="J20" s="64">
        <f>datos_base!$B$64*'Parametros Recargas'!K$47*'Parametros Recargas'!$Q$47</f>
        <v>13.12561927</v>
      </c>
      <c r="K20" s="64">
        <f>datos_base!$B$64*'Parametros Recargas'!L$47*'Parametros Recargas'!$Q$47</f>
        <v>13.12561927</v>
      </c>
      <c r="L20" s="64">
        <f>datos_base!$B$64*'Parametros Recargas'!M$47*'Parametros Recargas'!$Q$47</f>
        <v>12.35352402</v>
      </c>
      <c r="M20" s="64">
        <f>datos_base!$B$64*'Parametros Recargas'!N$47*'Parametros Recargas'!$Q$47</f>
        <v>12.35352402</v>
      </c>
      <c r="N20" s="64">
        <f>datos_base!$B$64*'Parametros Recargas'!O$47*'Parametros Recargas'!$Q$47</f>
        <v>16.98609552</v>
      </c>
      <c r="O20" s="84">
        <f t="shared" si="1"/>
        <v>154.4190502</v>
      </c>
    </row>
    <row r="21" ht="15.75" customHeight="1">
      <c r="A21" s="30" t="str">
        <f>datos_base!$A$65</f>
        <v>CO₂ 5 kg</v>
      </c>
      <c r="B21" s="139" t="s">
        <v>418</v>
      </c>
      <c r="C21" s="64">
        <f>datos_base!$B$65*'Parametros Recargas'!D$48*'Parametros Recargas'!$Q$48</f>
        <v>3.851916441</v>
      </c>
      <c r="D21" s="64">
        <f>datos_base!$B$65*'Parametros Recargas'!E$48*'Parametros Recargas'!$Q$48</f>
        <v>3.423925725</v>
      </c>
      <c r="E21" s="64">
        <f>datos_base!$B$65*'Parametros Recargas'!F$48*'Parametros Recargas'!$Q$48</f>
        <v>3.637921083</v>
      </c>
      <c r="F21" s="64">
        <f>datos_base!$B$65*'Parametros Recargas'!G$48*'Parametros Recargas'!$Q$48</f>
        <v>3.423925725</v>
      </c>
      <c r="G21" s="64">
        <f>datos_base!$B$65*'Parametros Recargas'!H$48*'Parametros Recargas'!$Q$48</f>
        <v>3.209930367</v>
      </c>
      <c r="H21" s="64">
        <f>datos_base!$B$65*'Parametros Recargas'!I$48*'Parametros Recargas'!$Q$48</f>
        <v>2.99593501</v>
      </c>
      <c r="I21" s="64">
        <f>datos_base!$B$65*'Parametros Recargas'!J$48*'Parametros Recargas'!$Q$48</f>
        <v>3.423925725</v>
      </c>
      <c r="J21" s="64">
        <f>datos_base!$B$65*'Parametros Recargas'!K$48*'Parametros Recargas'!$Q$48</f>
        <v>3.637921083</v>
      </c>
      <c r="K21" s="64">
        <f>datos_base!$B$65*'Parametros Recargas'!L$48*'Parametros Recargas'!$Q$48</f>
        <v>3.637921083</v>
      </c>
      <c r="L21" s="64">
        <f>datos_base!$B$65*'Parametros Recargas'!M$48*'Parametros Recargas'!$Q$48</f>
        <v>3.423925725</v>
      </c>
      <c r="M21" s="64">
        <f>datos_base!$B$65*'Parametros Recargas'!N$48*'Parametros Recargas'!$Q$48</f>
        <v>3.423925725</v>
      </c>
      <c r="N21" s="64">
        <f>datos_base!$B$65*'Parametros Recargas'!O$48*'Parametros Recargas'!$Q$48</f>
        <v>4.707897872</v>
      </c>
      <c r="O21" s="84">
        <f t="shared" si="1"/>
        <v>42.79907156</v>
      </c>
    </row>
    <row r="22" ht="15.75" customHeight="1">
      <c r="A22" s="30" t="str">
        <f>datos_base!$A$67</f>
        <v>HCFC/HFC 5 kg</v>
      </c>
      <c r="B22" s="139" t="s">
        <v>422</v>
      </c>
      <c r="C22" s="64">
        <f>datos_base!$B$67*'Parametros Recargas'!D$49*'Parametros Recargas'!$Q$49</f>
        <v>0.5546759675</v>
      </c>
      <c r="D22" s="64">
        <f>datos_base!$B$67*'Parametros Recargas'!E$49*'Parametros Recargas'!$Q$49</f>
        <v>0.4930453044</v>
      </c>
      <c r="E22" s="64">
        <f>datos_base!$B$67*'Parametros Recargas'!F$49*'Parametros Recargas'!$Q$49</f>
        <v>0.523860636</v>
      </c>
      <c r="F22" s="64">
        <f>datos_base!$B$67*'Parametros Recargas'!G$49*'Parametros Recargas'!$Q$49</f>
        <v>0.4930453044</v>
      </c>
      <c r="G22" s="64">
        <f>datos_base!$B$67*'Parametros Recargas'!H$49*'Parametros Recargas'!$Q$49</f>
        <v>0.4622299729</v>
      </c>
      <c r="H22" s="64">
        <f>datos_base!$B$67*'Parametros Recargas'!I$49*'Parametros Recargas'!$Q$49</f>
        <v>0.4314146414</v>
      </c>
      <c r="I22" s="64">
        <f>datos_base!$B$67*'Parametros Recargas'!J$49*'Parametros Recargas'!$Q$49</f>
        <v>0.4930453044</v>
      </c>
      <c r="J22" s="64">
        <f>datos_base!$B$67*'Parametros Recargas'!K$49*'Parametros Recargas'!$Q$49</f>
        <v>0.523860636</v>
      </c>
      <c r="K22" s="64">
        <f>datos_base!$B$67*'Parametros Recargas'!L$49*'Parametros Recargas'!$Q$49</f>
        <v>0.523860636</v>
      </c>
      <c r="L22" s="64">
        <f>datos_base!$B$67*'Parametros Recargas'!M$49*'Parametros Recargas'!$Q$49</f>
        <v>0.4930453044</v>
      </c>
      <c r="M22" s="64">
        <f>datos_base!$B$67*'Parametros Recargas'!N$49*'Parametros Recargas'!$Q$49</f>
        <v>0.4930453044</v>
      </c>
      <c r="N22" s="64">
        <f>datos_base!$B$67*'Parametros Recargas'!O$49*'Parametros Recargas'!$Q$49</f>
        <v>0.6779372936</v>
      </c>
      <c r="O22" s="84">
        <f t="shared" si="1"/>
        <v>6.163066305</v>
      </c>
    </row>
    <row r="23" ht="15.75" customHeight="1">
      <c r="A23" s="29" t="s">
        <v>426</v>
      </c>
      <c r="B23" s="29"/>
      <c r="C23" s="29" t="s">
        <v>109</v>
      </c>
      <c r="D23" s="29" t="s">
        <v>110</v>
      </c>
      <c r="E23" s="29" t="s">
        <v>111</v>
      </c>
      <c r="F23" s="29" t="s">
        <v>112</v>
      </c>
      <c r="G23" s="29" t="s">
        <v>113</v>
      </c>
      <c r="H23" s="29" t="s">
        <v>114</v>
      </c>
      <c r="I23" s="29" t="s">
        <v>115</v>
      </c>
      <c r="J23" s="29" t="s">
        <v>116</v>
      </c>
      <c r="K23" s="29" t="s">
        <v>117</v>
      </c>
      <c r="L23" s="29" t="s">
        <v>118</v>
      </c>
      <c r="M23" s="29" t="s">
        <v>119</v>
      </c>
      <c r="N23" s="29" t="s">
        <v>120</v>
      </c>
      <c r="O23" s="29" t="s">
        <v>15</v>
      </c>
    </row>
    <row r="24" ht="15.75" customHeight="1">
      <c r="A24" s="73" t="s">
        <v>379</v>
      </c>
      <c r="B24" s="118" t="s">
        <v>431</v>
      </c>
      <c r="C24" s="64">
        <f t="shared" ref="C24:N24" si="2">SUM(C6:C13)</f>
        <v>200.2380243</v>
      </c>
      <c r="D24" s="64">
        <f t="shared" si="2"/>
        <v>164.3778806</v>
      </c>
      <c r="E24" s="64">
        <f t="shared" si="2"/>
        <v>168.8478156</v>
      </c>
      <c r="F24" s="64">
        <f t="shared" si="2"/>
        <v>164.7425287</v>
      </c>
      <c r="G24" s="64">
        <f t="shared" si="2"/>
        <v>160.2725936</v>
      </c>
      <c r="H24" s="64">
        <f t="shared" si="2"/>
        <v>155.8026586</v>
      </c>
      <c r="I24" s="64">
        <f t="shared" si="2"/>
        <v>165.1071767</v>
      </c>
      <c r="J24" s="64">
        <f t="shared" si="2"/>
        <v>168.4831675</v>
      </c>
      <c r="K24" s="64">
        <f t="shared" si="2"/>
        <v>168.4831675</v>
      </c>
      <c r="L24" s="64">
        <f t="shared" si="2"/>
        <v>164.3778806</v>
      </c>
      <c r="M24" s="64">
        <f t="shared" si="2"/>
        <v>164.0132325</v>
      </c>
      <c r="N24" s="64">
        <f t="shared" si="2"/>
        <v>239.7398554</v>
      </c>
      <c r="O24" s="84">
        <f t="shared" ref="O24:O29" si="4">SUM(C24:N24)</f>
        <v>2084.485981</v>
      </c>
    </row>
    <row r="25" ht="15.75" customHeight="1">
      <c r="A25" s="73" t="s">
        <v>398</v>
      </c>
      <c r="B25" s="118" t="s">
        <v>431</v>
      </c>
      <c r="C25" s="64">
        <f t="shared" ref="C25:N25" si="3">SUM(C14)</f>
        <v>0.2157073207</v>
      </c>
      <c r="D25" s="64">
        <f t="shared" si="3"/>
        <v>0.1917398406</v>
      </c>
      <c r="E25" s="64">
        <f t="shared" si="3"/>
        <v>0.2037235806</v>
      </c>
      <c r="F25" s="64">
        <f t="shared" si="3"/>
        <v>0.1917398406</v>
      </c>
      <c r="G25" s="64">
        <f t="shared" si="3"/>
        <v>0.1797561006</v>
      </c>
      <c r="H25" s="64">
        <f t="shared" si="3"/>
        <v>0.1677723605</v>
      </c>
      <c r="I25" s="64">
        <f t="shared" si="3"/>
        <v>0.1917398406</v>
      </c>
      <c r="J25" s="64">
        <f t="shared" si="3"/>
        <v>0.2037235806</v>
      </c>
      <c r="K25" s="64">
        <f t="shared" si="3"/>
        <v>0.2037235806</v>
      </c>
      <c r="L25" s="64">
        <f t="shared" si="3"/>
        <v>0.1917398406</v>
      </c>
      <c r="M25" s="64">
        <f t="shared" si="3"/>
        <v>0.1917398406</v>
      </c>
      <c r="N25" s="64">
        <f t="shared" si="3"/>
        <v>0.2636422808</v>
      </c>
      <c r="O25" s="84">
        <f t="shared" si="4"/>
        <v>2.396748008</v>
      </c>
    </row>
    <row r="26" ht="15.75" customHeight="1">
      <c r="A26" s="73" t="s">
        <v>402</v>
      </c>
      <c r="B26" s="118" t="s">
        <v>431</v>
      </c>
      <c r="C26" s="64">
        <f t="shared" ref="C26:N26" si="5">SUM(C15)</f>
        <v>0.2157073207</v>
      </c>
      <c r="D26" s="64">
        <f t="shared" si="5"/>
        <v>0.1917398406</v>
      </c>
      <c r="E26" s="64">
        <f t="shared" si="5"/>
        <v>0.2037235806</v>
      </c>
      <c r="F26" s="64">
        <f t="shared" si="5"/>
        <v>0.1917398406</v>
      </c>
      <c r="G26" s="64">
        <f t="shared" si="5"/>
        <v>0.1797561006</v>
      </c>
      <c r="H26" s="64">
        <f t="shared" si="5"/>
        <v>0.1677723605</v>
      </c>
      <c r="I26" s="64">
        <f t="shared" si="5"/>
        <v>0.1917398406</v>
      </c>
      <c r="J26" s="64">
        <f t="shared" si="5"/>
        <v>0.2037235806</v>
      </c>
      <c r="K26" s="64">
        <f t="shared" si="5"/>
        <v>0.2037235806</v>
      </c>
      <c r="L26" s="64">
        <f t="shared" si="5"/>
        <v>0.1917398406</v>
      </c>
      <c r="M26" s="64">
        <f t="shared" si="5"/>
        <v>0.1917398406</v>
      </c>
      <c r="N26" s="64">
        <f t="shared" si="5"/>
        <v>0.2636422808</v>
      </c>
      <c r="O26" s="84">
        <f t="shared" si="4"/>
        <v>2.396748008</v>
      </c>
    </row>
    <row r="27" ht="15.75" customHeight="1">
      <c r="A27" s="73" t="s">
        <v>407</v>
      </c>
      <c r="B27" s="118" t="s">
        <v>431</v>
      </c>
      <c r="C27" s="64">
        <f t="shared" ref="C27:N27" si="6">SUM(C16:C19)</f>
        <v>9.265143012</v>
      </c>
      <c r="D27" s="64">
        <f t="shared" si="6"/>
        <v>8.135247523</v>
      </c>
      <c r="E27" s="64">
        <f t="shared" si="6"/>
        <v>8.643700493</v>
      </c>
      <c r="F27" s="64">
        <f t="shared" si="6"/>
        <v>8.191742297</v>
      </c>
      <c r="G27" s="64">
        <f t="shared" si="6"/>
        <v>7.683289327</v>
      </c>
      <c r="H27" s="64">
        <f t="shared" si="6"/>
        <v>7.174836357</v>
      </c>
      <c r="I27" s="64">
        <f t="shared" si="6"/>
        <v>8.248237072</v>
      </c>
      <c r="J27" s="64">
        <f t="shared" si="6"/>
        <v>8.587205719</v>
      </c>
      <c r="K27" s="64">
        <f t="shared" si="6"/>
        <v>8.587205719</v>
      </c>
      <c r="L27" s="64">
        <f t="shared" si="6"/>
        <v>8.135247523</v>
      </c>
      <c r="M27" s="64">
        <f t="shared" si="6"/>
        <v>8.078752749</v>
      </c>
      <c r="N27" s="64">
        <f t="shared" si="6"/>
        <v>10.95998625</v>
      </c>
      <c r="O27" s="84">
        <f t="shared" si="4"/>
        <v>101.690594</v>
      </c>
    </row>
    <row r="28" ht="15.75" customHeight="1">
      <c r="A28" s="73" t="s">
        <v>418</v>
      </c>
      <c r="B28" s="118" t="s">
        <v>431</v>
      </c>
      <c r="C28" s="64">
        <f t="shared" ref="C28:N28" si="7">SUM(C20:C21)</f>
        <v>17.74963096</v>
      </c>
      <c r="D28" s="64">
        <f t="shared" si="7"/>
        <v>15.77744974</v>
      </c>
      <c r="E28" s="64">
        <f t="shared" si="7"/>
        <v>16.76354035</v>
      </c>
      <c r="F28" s="64">
        <f t="shared" si="7"/>
        <v>15.77744974</v>
      </c>
      <c r="G28" s="64">
        <f t="shared" si="7"/>
        <v>14.79135913</v>
      </c>
      <c r="H28" s="64">
        <f t="shared" si="7"/>
        <v>13.80526852</v>
      </c>
      <c r="I28" s="64">
        <f t="shared" si="7"/>
        <v>15.77744974</v>
      </c>
      <c r="J28" s="64">
        <f t="shared" si="7"/>
        <v>16.76354035</v>
      </c>
      <c r="K28" s="64">
        <f t="shared" si="7"/>
        <v>16.76354035</v>
      </c>
      <c r="L28" s="64">
        <f t="shared" si="7"/>
        <v>15.77744974</v>
      </c>
      <c r="M28" s="64">
        <f t="shared" si="7"/>
        <v>15.77744974</v>
      </c>
      <c r="N28" s="64">
        <f t="shared" si="7"/>
        <v>21.69399339</v>
      </c>
      <c r="O28" s="84">
        <f t="shared" si="4"/>
        <v>197.2181218</v>
      </c>
    </row>
    <row r="29" ht="15.75" customHeight="1">
      <c r="A29" s="73" t="s">
        <v>422</v>
      </c>
      <c r="B29" s="118" t="s">
        <v>431</v>
      </c>
      <c r="C29" s="64">
        <f t="shared" ref="C29:N29" si="8">SUM(C22)</f>
        <v>0.5546759675</v>
      </c>
      <c r="D29" s="64">
        <f t="shared" si="8"/>
        <v>0.4930453044</v>
      </c>
      <c r="E29" s="64">
        <f t="shared" si="8"/>
        <v>0.523860636</v>
      </c>
      <c r="F29" s="64">
        <f t="shared" si="8"/>
        <v>0.4930453044</v>
      </c>
      <c r="G29" s="64">
        <f t="shared" si="8"/>
        <v>0.4622299729</v>
      </c>
      <c r="H29" s="64">
        <f t="shared" si="8"/>
        <v>0.4314146414</v>
      </c>
      <c r="I29" s="64">
        <f t="shared" si="8"/>
        <v>0.4930453044</v>
      </c>
      <c r="J29" s="64">
        <f t="shared" si="8"/>
        <v>0.523860636</v>
      </c>
      <c r="K29" s="64">
        <f t="shared" si="8"/>
        <v>0.523860636</v>
      </c>
      <c r="L29" s="64">
        <f t="shared" si="8"/>
        <v>0.4930453044</v>
      </c>
      <c r="M29" s="64">
        <f t="shared" si="8"/>
        <v>0.4930453044</v>
      </c>
      <c r="N29" s="64">
        <f t="shared" si="8"/>
        <v>0.6779372936</v>
      </c>
      <c r="O29" s="84">
        <f t="shared" si="4"/>
        <v>6.163066305</v>
      </c>
    </row>
    <row r="30" ht="27.75" customHeight="1">
      <c r="A30" s="29" t="s">
        <v>446</v>
      </c>
      <c r="B30" s="29" t="s">
        <v>447</v>
      </c>
      <c r="C30" s="29" t="s">
        <v>109</v>
      </c>
      <c r="D30" s="29" t="s">
        <v>110</v>
      </c>
      <c r="E30" s="29" t="s">
        <v>111</v>
      </c>
      <c r="F30" s="29" t="s">
        <v>112</v>
      </c>
      <c r="G30" s="29" t="s">
        <v>113</v>
      </c>
      <c r="H30" s="29" t="s">
        <v>114</v>
      </c>
      <c r="I30" s="29" t="s">
        <v>115</v>
      </c>
      <c r="J30" s="29" t="s">
        <v>116</v>
      </c>
      <c r="K30" s="29" t="s">
        <v>117</v>
      </c>
      <c r="L30" s="29" t="s">
        <v>118</v>
      </c>
      <c r="M30" s="29" t="s">
        <v>119</v>
      </c>
      <c r="N30" s="29" t="s">
        <v>120</v>
      </c>
      <c r="O30" s="29" t="s">
        <v>448</v>
      </c>
      <c r="P30" s="29" t="s">
        <v>148</v>
      </c>
      <c r="Q30" s="29" t="s">
        <v>449</v>
      </c>
      <c r="R30" s="29" t="s">
        <v>209</v>
      </c>
      <c r="S30" s="29" t="s">
        <v>450</v>
      </c>
      <c r="T30" s="29" t="s">
        <v>451</v>
      </c>
      <c r="U30" s="29" t="s">
        <v>452</v>
      </c>
      <c r="V30" s="29" t="s">
        <v>453</v>
      </c>
      <c r="W30" s="29" t="s">
        <v>454</v>
      </c>
      <c r="X30" s="29" t="s">
        <v>418</v>
      </c>
      <c r="Y30" s="29" t="s">
        <v>455</v>
      </c>
      <c r="Z30" s="29" t="s">
        <v>456</v>
      </c>
      <c r="AA30" s="160"/>
    </row>
    <row r="31" ht="15.75" customHeight="1">
      <c r="A31" s="73" t="s">
        <v>457</v>
      </c>
      <c r="B31" s="118" t="s">
        <v>458</v>
      </c>
      <c r="C31" s="63">
        <f t="shared" ref="C31:N31" si="9">($T31*C$24+$U31*C$25+$V31*C$26+$W31*C$27+$X31*C$28+$Y31*C$29)/$B$2</f>
        <v>1.521592592</v>
      </c>
      <c r="D31" s="63">
        <f t="shared" si="9"/>
        <v>1.261114019</v>
      </c>
      <c r="E31" s="63">
        <f t="shared" si="9"/>
        <v>1.301242428</v>
      </c>
      <c r="F31" s="63">
        <f t="shared" si="9"/>
        <v>1.263921638</v>
      </c>
      <c r="G31" s="63">
        <f t="shared" si="9"/>
        <v>1.223793228</v>
      </c>
      <c r="H31" s="63">
        <f t="shared" si="9"/>
        <v>1.183664819</v>
      </c>
      <c r="I31" s="63">
        <f t="shared" si="9"/>
        <v>1.266729257</v>
      </c>
      <c r="J31" s="63">
        <f t="shared" si="9"/>
        <v>1.298434809</v>
      </c>
      <c r="K31" s="63">
        <f t="shared" si="9"/>
        <v>1.298434809</v>
      </c>
      <c r="L31" s="63">
        <f t="shared" si="9"/>
        <v>1.261114019</v>
      </c>
      <c r="M31" s="63">
        <f t="shared" si="9"/>
        <v>1.2583064</v>
      </c>
      <c r="N31" s="63">
        <f t="shared" si="9"/>
        <v>1.823993712</v>
      </c>
      <c r="O31" s="44">
        <f t="shared" ref="O31:O57" si="11">MAX(C31:N31)</f>
        <v>1.823993712</v>
      </c>
      <c r="P31" s="63">
        <f>'Parametros Recargas'!$M$85</f>
        <v>72</v>
      </c>
      <c r="Q31" s="36">
        <f>MAX(1,ROUNDUP(O31/(P31*'Parametros Recargas'!B$8*'Parametros Recargas'!$B$19),0))</f>
        <v>1</v>
      </c>
      <c r="R31" s="46">
        <f>IF(AND('Parametros Recargas'!B$8=2,O31/(P31*Q31*'Parametros Recargas'!$B$19)&gt;1),2,1)</f>
        <v>1</v>
      </c>
      <c r="S31" s="34">
        <f t="shared" ref="S31:S56" si="12">O31/(P31*Q31*R31)</f>
        <v>0.025333246</v>
      </c>
      <c r="T31" s="161">
        <f>'Parametros Recargas'!D54</f>
        <v>1</v>
      </c>
      <c r="U31" s="161">
        <f>'Parametros Recargas'!E54</f>
        <v>1</v>
      </c>
      <c r="V31" s="161">
        <f>'Parametros Recargas'!F54</f>
        <v>1</v>
      </c>
      <c r="W31" s="161">
        <f>'Parametros Recargas'!G54</f>
        <v>1</v>
      </c>
      <c r="X31" s="161">
        <f>'Parametros Recargas'!H54</f>
        <v>1</v>
      </c>
      <c r="Y31" s="161">
        <f>'Parametros Recargas'!I54</f>
        <v>1</v>
      </c>
      <c r="Z31" s="162">
        <f>'Parametros Recargas'!$U$85/P31</f>
        <v>0.01388888889</v>
      </c>
    </row>
    <row r="32" ht="15.75" customHeight="1">
      <c r="A32" s="73" t="s">
        <v>459</v>
      </c>
      <c r="B32" s="118" t="s">
        <v>458</v>
      </c>
      <c r="C32" s="63">
        <f t="shared" ref="C32:N32" si="10">($T32*C$24+$U32*C$25+$V32*C$26+$W32*C$27+$X32*C$28+$Y32*C$29)/$B$2</f>
        <v>1.521592592</v>
      </c>
      <c r="D32" s="63">
        <f t="shared" si="10"/>
        <v>1.261114019</v>
      </c>
      <c r="E32" s="63">
        <f t="shared" si="10"/>
        <v>1.301242428</v>
      </c>
      <c r="F32" s="63">
        <f t="shared" si="10"/>
        <v>1.263921638</v>
      </c>
      <c r="G32" s="63">
        <f t="shared" si="10"/>
        <v>1.223793228</v>
      </c>
      <c r="H32" s="63">
        <f t="shared" si="10"/>
        <v>1.183664819</v>
      </c>
      <c r="I32" s="63">
        <f t="shared" si="10"/>
        <v>1.266729257</v>
      </c>
      <c r="J32" s="63">
        <f t="shared" si="10"/>
        <v>1.298434809</v>
      </c>
      <c r="K32" s="63">
        <f t="shared" si="10"/>
        <v>1.298434809</v>
      </c>
      <c r="L32" s="63">
        <f t="shared" si="10"/>
        <v>1.261114019</v>
      </c>
      <c r="M32" s="63">
        <f t="shared" si="10"/>
        <v>1.2583064</v>
      </c>
      <c r="N32" s="63">
        <f t="shared" si="10"/>
        <v>1.823993712</v>
      </c>
      <c r="O32" s="44">
        <f t="shared" si="11"/>
        <v>1.823993712</v>
      </c>
      <c r="P32" s="63">
        <f>'Parametros Recargas'!$M$86</f>
        <v>52.36363636</v>
      </c>
      <c r="Q32" s="36">
        <f>MAX(1,ROUNDUP(O32/(P32*'Parametros Recargas'!B$8*'Parametros Recargas'!$B$19),0))</f>
        <v>1</v>
      </c>
      <c r="R32" s="46">
        <f>IF(AND('Parametros Recargas'!B$8=2,O32/(P32*Q32*'Parametros Recargas'!$B$19)&gt;1),2,1)</f>
        <v>1</v>
      </c>
      <c r="S32" s="34">
        <f t="shared" si="12"/>
        <v>0.03483321326</v>
      </c>
      <c r="T32" s="161">
        <f>'Parametros Recargas'!D55</f>
        <v>1</v>
      </c>
      <c r="U32" s="161">
        <f>'Parametros Recargas'!E55</f>
        <v>1</v>
      </c>
      <c r="V32" s="161">
        <f>'Parametros Recargas'!F55</f>
        <v>1</v>
      </c>
      <c r="W32" s="161">
        <f>'Parametros Recargas'!G55</f>
        <v>1</v>
      </c>
      <c r="X32" s="161">
        <f>'Parametros Recargas'!H55</f>
        <v>1</v>
      </c>
      <c r="Y32" s="161">
        <f>'Parametros Recargas'!I55</f>
        <v>1</v>
      </c>
      <c r="Z32" s="162">
        <f>'Parametros Recargas'!$U$86/P32</f>
        <v>0.01909722222</v>
      </c>
    </row>
    <row r="33" ht="15.75" customHeight="1">
      <c r="A33" s="30" t="s">
        <v>460</v>
      </c>
      <c r="B33" s="118" t="s">
        <v>458</v>
      </c>
      <c r="C33" s="63">
        <f t="shared" ref="C33:N33" si="13">($T33*C$24+$U33*C$25+$V33*C$26+$W33*C$27+$X33*C$28+$Y33*C$29)/$B$2</f>
        <v>1.334920162</v>
      </c>
      <c r="D33" s="63">
        <f t="shared" si="13"/>
        <v>1.095852537</v>
      </c>
      <c r="E33" s="63">
        <f t="shared" si="13"/>
        <v>1.125652104</v>
      </c>
      <c r="F33" s="63">
        <f t="shared" si="13"/>
        <v>1.098283524</v>
      </c>
      <c r="G33" s="63">
        <f t="shared" si="13"/>
        <v>1.068483958</v>
      </c>
      <c r="H33" s="63">
        <f t="shared" si="13"/>
        <v>1.038684391</v>
      </c>
      <c r="I33" s="63">
        <f t="shared" si="13"/>
        <v>1.100714512</v>
      </c>
      <c r="J33" s="63">
        <f t="shared" si="13"/>
        <v>1.123221117</v>
      </c>
      <c r="K33" s="63">
        <f t="shared" si="13"/>
        <v>1.123221117</v>
      </c>
      <c r="L33" s="63">
        <f t="shared" si="13"/>
        <v>1.095852537</v>
      </c>
      <c r="M33" s="63">
        <f t="shared" si="13"/>
        <v>1.09342155</v>
      </c>
      <c r="N33" s="63">
        <f t="shared" si="13"/>
        <v>1.598265702</v>
      </c>
      <c r="O33" s="44">
        <f t="shared" si="11"/>
        <v>1.598265702</v>
      </c>
      <c r="P33" s="63">
        <f>'Parametros Recargas'!$M$87</f>
        <v>29.14285714</v>
      </c>
      <c r="Q33" s="36">
        <f>MAX(1,ROUNDUP(O33/(P33*'Parametros Recargas'!B$8*'Parametros Recargas'!$B$19),0))</f>
        <v>1</v>
      </c>
      <c r="R33" s="46">
        <f>IF(AND('Parametros Recargas'!B$8=2,O33/(P33*Q33*'Parametros Recargas'!$B$19)&gt;1),2,1)</f>
        <v>1</v>
      </c>
      <c r="S33" s="34">
        <f t="shared" si="12"/>
        <v>0.05484245057</v>
      </c>
      <c r="T33" s="161">
        <f>'Parametros Recargas'!D56</f>
        <v>1</v>
      </c>
      <c r="U33" s="161">
        <f>'Parametros Recargas'!E56</f>
        <v>0</v>
      </c>
      <c r="V33" s="161">
        <f>'Parametros Recargas'!F56</f>
        <v>0</v>
      </c>
      <c r="W33" s="161">
        <f>'Parametros Recargas'!G56</f>
        <v>0</v>
      </c>
      <c r="X33" s="161">
        <f>'Parametros Recargas'!H56</f>
        <v>0</v>
      </c>
      <c r="Y33" s="161">
        <f>'Parametros Recargas'!I56</f>
        <v>0</v>
      </c>
      <c r="Z33" s="162">
        <f>'Parametros Recargas'!$U$87/P33</f>
        <v>0.01715686275</v>
      </c>
    </row>
    <row r="34" ht="15.75" customHeight="1">
      <c r="A34" s="30" t="s">
        <v>461</v>
      </c>
      <c r="B34" s="118" t="s">
        <v>458</v>
      </c>
      <c r="C34" s="63">
        <f t="shared" ref="C34:N34" si="14">($T34*C$24+$U34*C$25+$V34*C$26+$W34*C$27+$X34*C$28+$Y34*C$29)/$B$2</f>
        <v>0.001438048805</v>
      </c>
      <c r="D34" s="63">
        <f t="shared" si="14"/>
        <v>0.001278265604</v>
      </c>
      <c r="E34" s="63">
        <f t="shared" si="14"/>
        <v>0.001358157204</v>
      </c>
      <c r="F34" s="63">
        <f t="shared" si="14"/>
        <v>0.001278265604</v>
      </c>
      <c r="G34" s="63">
        <f t="shared" si="14"/>
        <v>0.001198374004</v>
      </c>
      <c r="H34" s="63">
        <f t="shared" si="14"/>
        <v>0.001118482404</v>
      </c>
      <c r="I34" s="63">
        <f t="shared" si="14"/>
        <v>0.001278265604</v>
      </c>
      <c r="J34" s="63">
        <f t="shared" si="14"/>
        <v>0.001358157204</v>
      </c>
      <c r="K34" s="63">
        <f t="shared" si="14"/>
        <v>0.001358157204</v>
      </c>
      <c r="L34" s="63">
        <f t="shared" si="14"/>
        <v>0.001278265604</v>
      </c>
      <c r="M34" s="63">
        <f t="shared" si="14"/>
        <v>0.001278265604</v>
      </c>
      <c r="N34" s="63">
        <f t="shared" si="14"/>
        <v>0.001757615206</v>
      </c>
      <c r="O34" s="44">
        <f t="shared" si="11"/>
        <v>0.001757615206</v>
      </c>
      <c r="P34" s="63">
        <f>'Parametros Recargas'!$M$88</f>
        <v>29.14285714</v>
      </c>
      <c r="Q34" s="36">
        <f>MAX(1,ROUNDUP(O34/(P34*'Parametros Recargas'!B$8*'Parametros Recargas'!$B$19),0))</f>
        <v>1</v>
      </c>
      <c r="R34" s="46">
        <f>IF(AND('Parametros Recargas'!B$8=2,O34/(P34*Q34*'Parametros Recargas'!$B$19)&gt;1),2,1)</f>
        <v>1</v>
      </c>
      <c r="S34" s="34">
        <f t="shared" si="12"/>
        <v>0.00006031032568</v>
      </c>
      <c r="T34" s="161">
        <f>'Parametros Recargas'!D57</f>
        <v>0</v>
      </c>
      <c r="U34" s="161">
        <f>'Parametros Recargas'!E57</f>
        <v>1</v>
      </c>
      <c r="V34" s="161">
        <f>'Parametros Recargas'!F57</f>
        <v>0</v>
      </c>
      <c r="W34" s="161">
        <f>'Parametros Recargas'!G57</f>
        <v>0</v>
      </c>
      <c r="X34" s="161">
        <f>'Parametros Recargas'!H57</f>
        <v>0</v>
      </c>
      <c r="Y34" s="161">
        <f>'Parametros Recargas'!I57</f>
        <v>0</v>
      </c>
      <c r="Z34" s="162">
        <f>'Parametros Recargas'!$U$88/P34</f>
        <v>0.03431372549</v>
      </c>
    </row>
    <row r="35" ht="15.75" customHeight="1">
      <c r="A35" s="30" t="s">
        <v>463</v>
      </c>
      <c r="B35" s="118" t="s">
        <v>458</v>
      </c>
      <c r="C35" s="63">
        <f t="shared" ref="C35:N35" si="15">($T35*C$24+$U35*C$25+$V35*C$26+$W35*C$27+$X35*C$28+$Y35*C$29)/$B$2</f>
        <v>0.001438048805</v>
      </c>
      <c r="D35" s="63">
        <f t="shared" si="15"/>
        <v>0.001278265604</v>
      </c>
      <c r="E35" s="63">
        <f t="shared" si="15"/>
        <v>0.001358157204</v>
      </c>
      <c r="F35" s="63">
        <f t="shared" si="15"/>
        <v>0.001278265604</v>
      </c>
      <c r="G35" s="63">
        <f t="shared" si="15"/>
        <v>0.001198374004</v>
      </c>
      <c r="H35" s="63">
        <f t="shared" si="15"/>
        <v>0.001118482404</v>
      </c>
      <c r="I35" s="63">
        <f t="shared" si="15"/>
        <v>0.001278265604</v>
      </c>
      <c r="J35" s="63">
        <f t="shared" si="15"/>
        <v>0.001358157204</v>
      </c>
      <c r="K35" s="63">
        <f t="shared" si="15"/>
        <v>0.001358157204</v>
      </c>
      <c r="L35" s="63">
        <f t="shared" si="15"/>
        <v>0.001278265604</v>
      </c>
      <c r="M35" s="63">
        <f t="shared" si="15"/>
        <v>0.001278265604</v>
      </c>
      <c r="N35" s="63">
        <f t="shared" si="15"/>
        <v>0.001757615206</v>
      </c>
      <c r="O35" s="44">
        <f t="shared" si="11"/>
        <v>0.001757615206</v>
      </c>
      <c r="P35" s="63">
        <f>'Parametros Recargas'!$M$89</f>
        <v>13.5</v>
      </c>
      <c r="Q35" s="36">
        <f>MAX(1,ROUNDUP(O35/(P35*'Parametros Recargas'!B$8*'Parametros Recargas'!$B$19),0))</f>
        <v>1</v>
      </c>
      <c r="R35" s="46">
        <f>IF(AND('Parametros Recargas'!B$8=2,O35/(P35*Q35*'Parametros Recargas'!$B$19)&gt;1),2,1)</f>
        <v>1</v>
      </c>
      <c r="S35" s="34">
        <f t="shared" si="12"/>
        <v>0.0001301937189</v>
      </c>
      <c r="T35" s="161">
        <f>'Parametros Recargas'!D58</f>
        <v>0</v>
      </c>
      <c r="U35" s="161">
        <f>'Parametros Recargas'!E58</f>
        <v>0</v>
      </c>
      <c r="V35" s="161">
        <f>'Parametros Recargas'!F58</f>
        <v>1</v>
      </c>
      <c r="W35" s="161">
        <f>'Parametros Recargas'!G58</f>
        <v>0</v>
      </c>
      <c r="X35" s="161">
        <f>'Parametros Recargas'!H58</f>
        <v>0</v>
      </c>
      <c r="Y35" s="161">
        <f>'Parametros Recargas'!I58</f>
        <v>0</v>
      </c>
      <c r="Z35" s="162">
        <f>'Parametros Recargas'!$U$89/P35</f>
        <v>0.07407407407</v>
      </c>
    </row>
    <row r="36" ht="15.75" customHeight="1">
      <c r="A36" s="30" t="s">
        <v>464</v>
      </c>
      <c r="B36" s="118" t="s">
        <v>458</v>
      </c>
      <c r="C36" s="63">
        <f t="shared" ref="C36:N36" si="16">($T36*C$24+$U36*C$25+$V36*C$26+$W36*C$27+$X36*C$28+$Y36*C$29)/$B$2</f>
        <v>0.06176762008</v>
      </c>
      <c r="D36" s="63">
        <f t="shared" si="16"/>
        <v>0.05423498349</v>
      </c>
      <c r="E36" s="63">
        <f t="shared" si="16"/>
        <v>0.05762466995</v>
      </c>
      <c r="F36" s="63">
        <f t="shared" si="16"/>
        <v>0.05461161532</v>
      </c>
      <c r="G36" s="63">
        <f t="shared" si="16"/>
        <v>0.05122192885</v>
      </c>
      <c r="H36" s="63">
        <f t="shared" si="16"/>
        <v>0.04783224238</v>
      </c>
      <c r="I36" s="63">
        <f t="shared" si="16"/>
        <v>0.05498824715</v>
      </c>
      <c r="J36" s="63">
        <f t="shared" si="16"/>
        <v>0.05724803812</v>
      </c>
      <c r="K36" s="63">
        <f t="shared" si="16"/>
        <v>0.05724803812</v>
      </c>
      <c r="L36" s="63">
        <f t="shared" si="16"/>
        <v>0.05423498349</v>
      </c>
      <c r="M36" s="63">
        <f t="shared" si="16"/>
        <v>0.05385835166</v>
      </c>
      <c r="N36" s="63">
        <f t="shared" si="16"/>
        <v>0.07306657498</v>
      </c>
      <c r="O36" s="44">
        <f t="shared" si="11"/>
        <v>0.07306657498</v>
      </c>
      <c r="P36" s="63">
        <f>'Parametros Recargas'!$M$90</f>
        <v>22.66666667</v>
      </c>
      <c r="Q36" s="36">
        <f>MAX(1,ROUNDUP(O36/(P36*'Parametros Recargas'!B$8*'Parametros Recargas'!$B$19),0))</f>
        <v>1</v>
      </c>
      <c r="R36" s="46">
        <f>IF(AND('Parametros Recargas'!B$8=2,O36/(P36*Q36*'Parametros Recargas'!$B$19)&gt;1),2,1)</f>
        <v>1</v>
      </c>
      <c r="S36" s="34">
        <f t="shared" si="12"/>
        <v>0.003223525367</v>
      </c>
      <c r="T36" s="161">
        <f>'Parametros Recargas'!D59</f>
        <v>0</v>
      </c>
      <c r="U36" s="161">
        <f>'Parametros Recargas'!E59</f>
        <v>0</v>
      </c>
      <c r="V36" s="161">
        <f>'Parametros Recargas'!F59</f>
        <v>0</v>
      </c>
      <c r="W36" s="161">
        <f>'Parametros Recargas'!G59</f>
        <v>1</v>
      </c>
      <c r="X36" s="161">
        <f>'Parametros Recargas'!H59</f>
        <v>0</v>
      </c>
      <c r="Y36" s="161">
        <f>'Parametros Recargas'!I59</f>
        <v>0</v>
      </c>
      <c r="Z36" s="162">
        <f>'Parametros Recargas'!$U$90/P36</f>
        <v>0.04411764706</v>
      </c>
    </row>
    <row r="37" ht="15.75" customHeight="1">
      <c r="A37" s="30" t="s">
        <v>465</v>
      </c>
      <c r="B37" s="118" t="s">
        <v>458</v>
      </c>
      <c r="C37" s="63">
        <f t="shared" ref="C37:N37" si="17">($T37*C$24+$U37*C$25+$V37*C$26+$W37*C$27+$X37*C$28+$Y37*C$29)/$B$2</f>
        <v>0.02958271827</v>
      </c>
      <c r="D37" s="63">
        <f t="shared" si="17"/>
        <v>0.02629574957</v>
      </c>
      <c r="E37" s="63">
        <f t="shared" si="17"/>
        <v>0.02793923392</v>
      </c>
      <c r="F37" s="63">
        <f t="shared" si="17"/>
        <v>0.02629574957</v>
      </c>
      <c r="G37" s="63">
        <f t="shared" si="17"/>
        <v>0.02465226522</v>
      </c>
      <c r="H37" s="63">
        <f t="shared" si="17"/>
        <v>0.02300878087</v>
      </c>
      <c r="I37" s="63">
        <f t="shared" si="17"/>
        <v>0.02629574957</v>
      </c>
      <c r="J37" s="63">
        <f t="shared" si="17"/>
        <v>0.02793923392</v>
      </c>
      <c r="K37" s="63">
        <f t="shared" si="17"/>
        <v>0.02793923392</v>
      </c>
      <c r="L37" s="63">
        <f t="shared" si="17"/>
        <v>0.02629574957</v>
      </c>
      <c r="M37" s="63">
        <f t="shared" si="17"/>
        <v>0.02629574957</v>
      </c>
      <c r="N37" s="63">
        <f t="shared" si="17"/>
        <v>0.03615665566</v>
      </c>
      <c r="O37" s="44">
        <f t="shared" si="11"/>
        <v>0.03615665566</v>
      </c>
      <c r="P37" s="63">
        <f>'Parametros Recargas'!$M$91</f>
        <v>29.14285714</v>
      </c>
      <c r="Q37" s="36">
        <f>MAX(1,ROUNDUP(O37/(P37*'Parametros Recargas'!B$8*'Parametros Recargas'!$B$19),0))</f>
        <v>1</v>
      </c>
      <c r="R37" s="46">
        <f>IF(AND('Parametros Recargas'!B$8=2,O37/(P37*Q37*'Parametros Recargas'!$B$19)&gt;1),2,1)</f>
        <v>1</v>
      </c>
      <c r="S37" s="34">
        <f t="shared" si="12"/>
        <v>0.001240669557</v>
      </c>
      <c r="T37" s="161">
        <f>'Parametros Recargas'!D60</f>
        <v>0</v>
      </c>
      <c r="U37" s="161">
        <f>'Parametros Recargas'!E60</f>
        <v>0</v>
      </c>
      <c r="V37" s="161">
        <f>'Parametros Recargas'!F60</f>
        <v>0</v>
      </c>
      <c r="W37" s="161">
        <f>'Parametros Recargas'!G60</f>
        <v>0</v>
      </c>
      <c r="X37" s="161">
        <f>'Parametros Recargas'!H60</f>
        <v>0.25</v>
      </c>
      <c r="Y37" s="161">
        <f>'Parametros Recargas'!I60</f>
        <v>0</v>
      </c>
      <c r="Z37" s="162">
        <f>'Parametros Recargas'!$U$91/P37</f>
        <v>0.03431372549</v>
      </c>
    </row>
    <row r="38" ht="15.75" customHeight="1">
      <c r="A38" s="30" t="s">
        <v>466</v>
      </c>
      <c r="B38" s="118" t="s">
        <v>458</v>
      </c>
      <c r="C38" s="63">
        <f t="shared" ref="C38:N38" si="18">($T38*C$24+$U38*C$25+$V38*C$26+$W38*C$27+$X38*C$28+$Y38*C$29)/$B$2</f>
        <v>0.0009244599458</v>
      </c>
      <c r="D38" s="63">
        <f t="shared" si="18"/>
        <v>0.000821742174</v>
      </c>
      <c r="E38" s="63">
        <f t="shared" si="18"/>
        <v>0.0008731010599</v>
      </c>
      <c r="F38" s="63">
        <f t="shared" si="18"/>
        <v>0.000821742174</v>
      </c>
      <c r="G38" s="63">
        <f t="shared" si="18"/>
        <v>0.0007703832882</v>
      </c>
      <c r="H38" s="63">
        <f t="shared" si="18"/>
        <v>0.0007190244023</v>
      </c>
      <c r="I38" s="63">
        <f t="shared" si="18"/>
        <v>0.000821742174</v>
      </c>
      <c r="J38" s="63">
        <f t="shared" si="18"/>
        <v>0.0008731010599</v>
      </c>
      <c r="K38" s="63">
        <f t="shared" si="18"/>
        <v>0.0008731010599</v>
      </c>
      <c r="L38" s="63">
        <f t="shared" si="18"/>
        <v>0.000821742174</v>
      </c>
      <c r="M38" s="63">
        <f t="shared" si="18"/>
        <v>0.000821742174</v>
      </c>
      <c r="N38" s="63">
        <f t="shared" si="18"/>
        <v>0.001129895489</v>
      </c>
      <c r="O38" s="44">
        <f t="shared" si="11"/>
        <v>0.001129895489</v>
      </c>
      <c r="P38" s="63">
        <f>'Parametros Recargas'!$M$92</f>
        <v>18.54545455</v>
      </c>
      <c r="Q38" s="36">
        <f>MAX(1,ROUNDUP(O38/(P38*'Parametros Recargas'!B$8*'Parametros Recargas'!$B$19),0))</f>
        <v>1</v>
      </c>
      <c r="R38" s="46">
        <f>IF(AND('Parametros Recargas'!B$8=2,O38/(P38*Q38*'Parametros Recargas'!$B$19)&gt;1),2,1)</f>
        <v>1</v>
      </c>
      <c r="S38" s="34">
        <f t="shared" si="12"/>
        <v>0.00006092573717</v>
      </c>
      <c r="T38" s="161">
        <f>'Parametros Recargas'!D61</f>
        <v>0</v>
      </c>
      <c r="U38" s="161">
        <f>'Parametros Recargas'!E61</f>
        <v>0</v>
      </c>
      <c r="V38" s="161">
        <f>'Parametros Recargas'!F61</f>
        <v>0</v>
      </c>
      <c r="W38" s="161">
        <f>'Parametros Recargas'!G61</f>
        <v>0</v>
      </c>
      <c r="X38" s="161">
        <f>'Parametros Recargas'!H61</f>
        <v>0</v>
      </c>
      <c r="Y38" s="161">
        <f>'Parametros Recargas'!I61</f>
        <v>0.25</v>
      </c>
      <c r="Z38" s="162">
        <f>'Parametros Recargas'!$U$92/P38</f>
        <v>0.05392156863</v>
      </c>
    </row>
    <row r="39" ht="15.75" customHeight="1">
      <c r="A39" s="73" t="s">
        <v>467</v>
      </c>
      <c r="B39" s="118" t="s">
        <v>458</v>
      </c>
      <c r="C39" s="63">
        <f t="shared" ref="C39:N39" si="19">($T39*C$24+$U39*C$25+$V39*C$26+$W39*C$27+$X39*C$28+$Y39*C$29)/$B$2</f>
        <v>1.442273929</v>
      </c>
      <c r="D39" s="63">
        <f t="shared" si="19"/>
        <v>1.19060854</v>
      </c>
      <c r="E39" s="63">
        <f t="shared" si="19"/>
        <v>1.226330357</v>
      </c>
      <c r="F39" s="63">
        <f t="shared" si="19"/>
        <v>1.193416159</v>
      </c>
      <c r="G39" s="63">
        <f t="shared" si="19"/>
        <v>1.157694342</v>
      </c>
      <c r="H39" s="63">
        <f t="shared" si="19"/>
        <v>1.121972525</v>
      </c>
      <c r="I39" s="63">
        <f t="shared" si="19"/>
        <v>1.196223778</v>
      </c>
      <c r="J39" s="63">
        <f t="shared" si="19"/>
        <v>1.223522738</v>
      </c>
      <c r="K39" s="63">
        <f t="shared" si="19"/>
        <v>1.223522738</v>
      </c>
      <c r="L39" s="63">
        <f t="shared" si="19"/>
        <v>1.19060854</v>
      </c>
      <c r="M39" s="63">
        <f t="shared" si="19"/>
        <v>1.187800921</v>
      </c>
      <c r="N39" s="63">
        <f t="shared" si="19"/>
        <v>1.727048679</v>
      </c>
      <c r="O39" s="44">
        <f t="shared" si="11"/>
        <v>1.727048679</v>
      </c>
      <c r="P39" s="63">
        <f>'Parametros Recargas'!$M$93</f>
        <v>32</v>
      </c>
      <c r="Q39" s="36">
        <f>MAX(1,ROUNDUP(O39/(P39*'Parametros Recargas'!B$8*'Parametros Recargas'!$B$19),0))</f>
        <v>1</v>
      </c>
      <c r="R39" s="46">
        <f>IF(AND('Parametros Recargas'!B$8=2,O39/(P39*Q39*'Parametros Recargas'!$B$19)&gt;1),2,1)</f>
        <v>1</v>
      </c>
      <c r="S39" s="34">
        <f t="shared" si="12"/>
        <v>0.05397027123</v>
      </c>
      <c r="T39" s="161">
        <f>'Parametros Recargas'!D62</f>
        <v>1</v>
      </c>
      <c r="U39" s="161">
        <f>'Parametros Recargas'!E62</f>
        <v>1</v>
      </c>
      <c r="V39" s="161">
        <f>'Parametros Recargas'!F62</f>
        <v>1</v>
      </c>
      <c r="W39" s="161">
        <f>'Parametros Recargas'!G62</f>
        <v>1</v>
      </c>
      <c r="X39" s="161">
        <f>'Parametros Recargas'!H62</f>
        <v>0.35</v>
      </c>
      <c r="Y39" s="161">
        <f>'Parametros Recargas'!I62</f>
        <v>0.35</v>
      </c>
      <c r="Z39" s="162">
        <f>'Parametros Recargas'!$U$93/P39</f>
        <v>0.03125</v>
      </c>
    </row>
    <row r="40" ht="15.75" customHeight="1">
      <c r="A40" s="30" t="s">
        <v>469</v>
      </c>
      <c r="B40" s="118" t="s">
        <v>458</v>
      </c>
      <c r="C40" s="63">
        <f t="shared" ref="C40:N40" si="20">($T40*C$24+$U40*C$25+$V40*C$26+$W40*C$27+$X40*C$28+$Y40*C$29)/$B$2</f>
        <v>0.1336358211</v>
      </c>
      <c r="D40" s="63">
        <f t="shared" si="20"/>
        <v>0.1097130803</v>
      </c>
      <c r="E40" s="63">
        <f t="shared" si="20"/>
        <v>0.1127010261</v>
      </c>
      <c r="F40" s="63">
        <f t="shared" si="20"/>
        <v>0.109956179</v>
      </c>
      <c r="G40" s="63">
        <f t="shared" si="20"/>
        <v>0.1069682332</v>
      </c>
      <c r="H40" s="63">
        <f t="shared" si="20"/>
        <v>0.1039802873</v>
      </c>
      <c r="I40" s="63">
        <f t="shared" si="20"/>
        <v>0.1101992777</v>
      </c>
      <c r="J40" s="63">
        <f t="shared" si="20"/>
        <v>0.1124579274</v>
      </c>
      <c r="K40" s="63">
        <f t="shared" si="20"/>
        <v>0.1124579274</v>
      </c>
      <c r="L40" s="63">
        <f t="shared" si="20"/>
        <v>0.1097130803</v>
      </c>
      <c r="M40" s="63">
        <f t="shared" si="20"/>
        <v>0.1094699815</v>
      </c>
      <c r="N40" s="63">
        <f t="shared" si="20"/>
        <v>0.1600023318</v>
      </c>
      <c r="O40" s="44">
        <f t="shared" si="11"/>
        <v>0.1600023318</v>
      </c>
      <c r="P40" s="63">
        <f>'Parametros Recargas'!$M$94</f>
        <v>6.375</v>
      </c>
      <c r="Q40" s="36">
        <f>MAX(1,ROUNDUP(O40/(P40*'Parametros Recargas'!B$8*'Parametros Recargas'!$B$19),0))</f>
        <v>1</v>
      </c>
      <c r="R40" s="46">
        <f>IF(AND('Parametros Recargas'!B$8=2,O40/(P40*Q40*'Parametros Recargas'!$B$19)&gt;1),2,1)</f>
        <v>1</v>
      </c>
      <c r="S40" s="34">
        <f t="shared" si="12"/>
        <v>0.02509840498</v>
      </c>
      <c r="T40" s="161">
        <f>'Parametros Recargas'!D63</f>
        <v>0.1</v>
      </c>
      <c r="U40" s="161">
        <f>'Parametros Recargas'!E63</f>
        <v>0.1</v>
      </c>
      <c r="V40" s="161">
        <f>'Parametros Recargas'!F63</f>
        <v>0</v>
      </c>
      <c r="W40" s="161">
        <f>'Parametros Recargas'!G63</f>
        <v>0</v>
      </c>
      <c r="X40" s="161">
        <f>'Parametros Recargas'!H63</f>
        <v>0</v>
      </c>
      <c r="Y40" s="161">
        <f>'Parametros Recargas'!I63</f>
        <v>0</v>
      </c>
      <c r="Z40" s="162">
        <f>'Parametros Recargas'!$U$94/P40</f>
        <v>0.07843137255</v>
      </c>
    </row>
    <row r="41" ht="15.75" customHeight="1">
      <c r="A41" s="30" t="s">
        <v>470</v>
      </c>
      <c r="B41" s="118" t="s">
        <v>458</v>
      </c>
      <c r="C41" s="63">
        <f t="shared" ref="C41:N41" si="21">($T41*C$24+$U41*C$25+$V41*C$26+$W41*C$27+$X41*C$28+$Y41*C$29)/$B$2</f>
        <v>0.06176762008</v>
      </c>
      <c r="D41" s="63">
        <f t="shared" si="21"/>
        <v>0.05423498349</v>
      </c>
      <c r="E41" s="63">
        <f t="shared" si="21"/>
        <v>0.05762466995</v>
      </c>
      <c r="F41" s="63">
        <f t="shared" si="21"/>
        <v>0.05461161532</v>
      </c>
      <c r="G41" s="63">
        <f t="shared" si="21"/>
        <v>0.05122192885</v>
      </c>
      <c r="H41" s="63">
        <f t="shared" si="21"/>
        <v>0.04783224238</v>
      </c>
      <c r="I41" s="63">
        <f t="shared" si="21"/>
        <v>0.05498824715</v>
      </c>
      <c r="J41" s="63">
        <f t="shared" si="21"/>
        <v>0.05724803812</v>
      </c>
      <c r="K41" s="63">
        <f t="shared" si="21"/>
        <v>0.05724803812</v>
      </c>
      <c r="L41" s="63">
        <f t="shared" si="21"/>
        <v>0.05423498349</v>
      </c>
      <c r="M41" s="63">
        <f t="shared" si="21"/>
        <v>0.05385835166</v>
      </c>
      <c r="N41" s="63">
        <f t="shared" si="21"/>
        <v>0.07306657498</v>
      </c>
      <c r="O41" s="44">
        <f t="shared" si="11"/>
        <v>0.07306657498</v>
      </c>
      <c r="P41" s="63">
        <f>'Parametros Recargas'!$M$95</f>
        <v>28.8</v>
      </c>
      <c r="Q41" s="36">
        <f>MAX(1,ROUNDUP(O41/(P41*'Parametros Recargas'!B$8*'Parametros Recargas'!$B$19),0))</f>
        <v>1</v>
      </c>
      <c r="R41" s="46">
        <f>IF(AND('Parametros Recargas'!B$8=2,O41/(P41*Q41*'Parametros Recargas'!$B$19)&gt;1),2,1)</f>
        <v>1</v>
      </c>
      <c r="S41" s="34">
        <f t="shared" si="12"/>
        <v>0.002537033853</v>
      </c>
      <c r="T41" s="161">
        <f>'Parametros Recargas'!D64</f>
        <v>0</v>
      </c>
      <c r="U41" s="161">
        <f>'Parametros Recargas'!E64</f>
        <v>0</v>
      </c>
      <c r="V41" s="161">
        <f>'Parametros Recargas'!F64</f>
        <v>0</v>
      </c>
      <c r="W41" s="161">
        <f>'Parametros Recargas'!G64</f>
        <v>1</v>
      </c>
      <c r="X41" s="161">
        <f>'Parametros Recargas'!H64</f>
        <v>0</v>
      </c>
      <c r="Y41" s="161">
        <f>'Parametros Recargas'!I64</f>
        <v>0</v>
      </c>
      <c r="Z41" s="162">
        <f>'Parametros Recargas'!$U$95/P41</f>
        <v>0.03472222222</v>
      </c>
    </row>
    <row r="42" ht="15.75" customHeight="1">
      <c r="A42" s="73" t="s">
        <v>473</v>
      </c>
      <c r="B42" s="118" t="s">
        <v>458</v>
      </c>
      <c r="C42" s="63">
        <f t="shared" ref="C42:N42" si="22">($T42*C$24+$U42*C$25+$V42*C$26+$W42*C$27+$X42*C$28+$Y42*C$29)/$B$2</f>
        <v>0.3958400531</v>
      </c>
      <c r="D42" s="63">
        <f t="shared" si="22"/>
        <v>0.3288372506</v>
      </c>
      <c r="E42" s="63">
        <f t="shared" si="22"/>
        <v>0.3397167746</v>
      </c>
      <c r="F42" s="63">
        <f t="shared" si="22"/>
        <v>0.3296333133</v>
      </c>
      <c r="G42" s="63">
        <f t="shared" si="22"/>
        <v>0.3187537893</v>
      </c>
      <c r="H42" s="63">
        <f t="shared" si="22"/>
        <v>0.3078742653</v>
      </c>
      <c r="I42" s="63">
        <f t="shared" si="22"/>
        <v>0.330429376</v>
      </c>
      <c r="J42" s="63">
        <f t="shared" si="22"/>
        <v>0.3389207118</v>
      </c>
      <c r="K42" s="63">
        <f t="shared" si="22"/>
        <v>0.3389207118</v>
      </c>
      <c r="L42" s="63">
        <f t="shared" si="22"/>
        <v>0.3288372506</v>
      </c>
      <c r="M42" s="63">
        <f t="shared" si="22"/>
        <v>0.3280411878</v>
      </c>
      <c r="N42" s="63">
        <f t="shared" si="22"/>
        <v>0.4742650718</v>
      </c>
      <c r="O42" s="44">
        <f t="shared" si="11"/>
        <v>0.4742650718</v>
      </c>
      <c r="P42" s="63">
        <f>'Parametros Recargas'!$M$96</f>
        <v>28.88380952</v>
      </c>
      <c r="Q42" s="36">
        <f>MAX(1,ROUNDUP(O42/(P42*'Parametros Recargas'!B$8*'Parametros Recargas'!$B$19),0))</f>
        <v>1</v>
      </c>
      <c r="R42" s="46">
        <f>IF(AND('Parametros Recargas'!B$8=2,O42/(P42*Q42*'Parametros Recargas'!$B$19)&gt;1),2,1)</f>
        <v>1</v>
      </c>
      <c r="S42" s="34">
        <f t="shared" si="12"/>
        <v>0.01641975486</v>
      </c>
      <c r="T42" s="161">
        <f>'Parametros Recargas'!D65</f>
        <v>0.25</v>
      </c>
      <c r="U42" s="161">
        <f>'Parametros Recargas'!E65</f>
        <v>0.25</v>
      </c>
      <c r="V42" s="161">
        <f>'Parametros Recargas'!F65</f>
        <v>0.25</v>
      </c>
      <c r="W42" s="161">
        <f>'Parametros Recargas'!G65</f>
        <v>0.5</v>
      </c>
      <c r="X42" s="161">
        <f>'Parametros Recargas'!H65</f>
        <v>0.25</v>
      </c>
      <c r="Y42" s="161">
        <f>'Parametros Recargas'!I65</f>
        <v>0.25</v>
      </c>
      <c r="Z42" s="162">
        <f>'Parametros Recargas'!$U$96/P42</f>
        <v>0.01731073595</v>
      </c>
    </row>
    <row r="43" ht="15.75" customHeight="1">
      <c r="A43" s="73" t="s">
        <v>479</v>
      </c>
      <c r="B43" s="118" t="s">
        <v>458</v>
      </c>
      <c r="C43" s="63">
        <f t="shared" ref="C43:N43" si="23">($T43*C$24+$U43*C$25+$V43*C$26+$W43*C$27+$X43*C$28+$Y43*C$29)/$B$2</f>
        <v>0.364956243</v>
      </c>
      <c r="D43" s="63">
        <f t="shared" si="23"/>
        <v>0.3017197588</v>
      </c>
      <c r="E43" s="63">
        <f t="shared" si="23"/>
        <v>0.3109044396</v>
      </c>
      <c r="F43" s="63">
        <f t="shared" si="23"/>
        <v>0.3023275056</v>
      </c>
      <c r="G43" s="63">
        <f t="shared" si="23"/>
        <v>0.2931428249</v>
      </c>
      <c r="H43" s="63">
        <f t="shared" si="23"/>
        <v>0.2839581441</v>
      </c>
      <c r="I43" s="63">
        <f t="shared" si="23"/>
        <v>0.3029352525</v>
      </c>
      <c r="J43" s="63">
        <f t="shared" si="23"/>
        <v>0.3102966928</v>
      </c>
      <c r="K43" s="63">
        <f t="shared" si="23"/>
        <v>0.3102966928</v>
      </c>
      <c r="L43" s="63">
        <f t="shared" si="23"/>
        <v>0.3017197588</v>
      </c>
      <c r="M43" s="63">
        <f t="shared" si="23"/>
        <v>0.301112012</v>
      </c>
      <c r="N43" s="63">
        <f t="shared" si="23"/>
        <v>0.4377317843</v>
      </c>
      <c r="O43" s="44">
        <f t="shared" si="11"/>
        <v>0.4377317843</v>
      </c>
      <c r="P43" s="63">
        <f>'Parametros Recargas'!$M$97</f>
        <v>18.54545455</v>
      </c>
      <c r="Q43" s="36">
        <f>MAX(1,ROUNDUP(O43/(P43*'Parametros Recargas'!B$8*'Parametros Recargas'!$B$19),0))</f>
        <v>1</v>
      </c>
      <c r="R43" s="46">
        <f>IF(AND('Parametros Recargas'!B$8=2,O43/(P43*Q43*'Parametros Recargas'!$B$19)&gt;1),2,1)</f>
        <v>1</v>
      </c>
      <c r="S43" s="34">
        <f t="shared" si="12"/>
        <v>0.02360318445</v>
      </c>
      <c r="T43" s="161">
        <f>'Parametros Recargas'!D66</f>
        <v>0.25</v>
      </c>
      <c r="U43" s="161">
        <f>'Parametros Recargas'!E66</f>
        <v>0.25</v>
      </c>
      <c r="V43" s="161">
        <f>'Parametros Recargas'!F66</f>
        <v>0.25</v>
      </c>
      <c r="W43" s="161">
        <f>'Parametros Recargas'!G66</f>
        <v>0</v>
      </c>
      <c r="X43" s="161">
        <f>'Parametros Recargas'!H66</f>
        <v>0.25</v>
      </c>
      <c r="Y43" s="161">
        <f>'Parametros Recargas'!I66</f>
        <v>0.25</v>
      </c>
      <c r="Z43" s="162">
        <f>'Parametros Recargas'!$U$97/P43</f>
        <v>0.01348039216</v>
      </c>
    </row>
    <row r="44" ht="15.75" customHeight="1">
      <c r="A44" s="30" t="s">
        <v>500</v>
      </c>
      <c r="B44" s="118" t="s">
        <v>458</v>
      </c>
      <c r="C44" s="63">
        <f t="shared" ref="C44:N44" si="24">($T44*C$24+$U44*C$25+$V44*C$26+$W44*C$27+$X44*C$28+$Y44*C$29)/$B$2</f>
        <v>1.334920162</v>
      </c>
      <c r="D44" s="63">
        <f t="shared" si="24"/>
        <v>1.095852537</v>
      </c>
      <c r="E44" s="63">
        <f t="shared" si="24"/>
        <v>1.125652104</v>
      </c>
      <c r="F44" s="63">
        <f t="shared" si="24"/>
        <v>1.098283524</v>
      </c>
      <c r="G44" s="63">
        <f t="shared" si="24"/>
        <v>1.068483958</v>
      </c>
      <c r="H44" s="63">
        <f t="shared" si="24"/>
        <v>1.038684391</v>
      </c>
      <c r="I44" s="63">
        <f t="shared" si="24"/>
        <v>1.100714512</v>
      </c>
      <c r="J44" s="63">
        <f t="shared" si="24"/>
        <v>1.123221117</v>
      </c>
      <c r="K44" s="63">
        <f t="shared" si="24"/>
        <v>1.123221117</v>
      </c>
      <c r="L44" s="63">
        <f t="shared" si="24"/>
        <v>1.095852537</v>
      </c>
      <c r="M44" s="63">
        <f t="shared" si="24"/>
        <v>1.09342155</v>
      </c>
      <c r="N44" s="63">
        <f t="shared" si="24"/>
        <v>1.598265702</v>
      </c>
      <c r="O44" s="44">
        <f t="shared" si="11"/>
        <v>1.598265702</v>
      </c>
      <c r="P44" s="63">
        <f>'Parametros Recargas'!$M$98</f>
        <v>34</v>
      </c>
      <c r="Q44" s="36">
        <f>MAX(1,ROUNDUP(O44/(P44*'Parametros Recargas'!B$8*'Parametros Recargas'!$B$19),0))</f>
        <v>1</v>
      </c>
      <c r="R44" s="46">
        <f>IF(AND('Parametros Recargas'!B$8=2,O44/(P44*Q44*'Parametros Recargas'!$B$19)&gt;1),2,1)</f>
        <v>1</v>
      </c>
      <c r="S44" s="34">
        <f t="shared" si="12"/>
        <v>0.04700781477</v>
      </c>
      <c r="T44" s="161">
        <f>'Parametros Recargas'!D67</f>
        <v>1</v>
      </c>
      <c r="U44" s="161">
        <f>'Parametros Recargas'!E67</f>
        <v>0</v>
      </c>
      <c r="V44" s="161">
        <f>'Parametros Recargas'!F67</f>
        <v>0</v>
      </c>
      <c r="W44" s="161">
        <f>'Parametros Recargas'!G67</f>
        <v>0</v>
      </c>
      <c r="X44" s="161">
        <f>'Parametros Recargas'!H67</f>
        <v>0</v>
      </c>
      <c r="Y44" s="161">
        <f>'Parametros Recargas'!I67</f>
        <v>0</v>
      </c>
      <c r="Z44" s="162">
        <f>'Parametros Recargas'!$U$98/P44</f>
        <v>0.01470588235</v>
      </c>
    </row>
    <row r="45" ht="15.75" customHeight="1">
      <c r="A45" s="30" t="s">
        <v>522</v>
      </c>
      <c r="B45" s="118" t="s">
        <v>458</v>
      </c>
      <c r="C45" s="63">
        <f t="shared" ref="C45:N45" si="25">($T45*C$24+$U45*C$25+$V45*C$26+$W45*C$27+$X45*C$28+$Y45*C$29)/$B$2</f>
        <v>0.001438048805</v>
      </c>
      <c r="D45" s="63">
        <f t="shared" si="25"/>
        <v>0.001278265604</v>
      </c>
      <c r="E45" s="63">
        <f t="shared" si="25"/>
        <v>0.001358157204</v>
      </c>
      <c r="F45" s="63">
        <f t="shared" si="25"/>
        <v>0.001278265604</v>
      </c>
      <c r="G45" s="63">
        <f t="shared" si="25"/>
        <v>0.001198374004</v>
      </c>
      <c r="H45" s="63">
        <f t="shared" si="25"/>
        <v>0.001118482404</v>
      </c>
      <c r="I45" s="63">
        <f t="shared" si="25"/>
        <v>0.001278265604</v>
      </c>
      <c r="J45" s="63">
        <f t="shared" si="25"/>
        <v>0.001358157204</v>
      </c>
      <c r="K45" s="63">
        <f t="shared" si="25"/>
        <v>0.001358157204</v>
      </c>
      <c r="L45" s="63">
        <f t="shared" si="25"/>
        <v>0.001278265604</v>
      </c>
      <c r="M45" s="63">
        <f t="shared" si="25"/>
        <v>0.001278265604</v>
      </c>
      <c r="N45" s="63">
        <f t="shared" si="25"/>
        <v>0.001757615206</v>
      </c>
      <c r="O45" s="44">
        <f t="shared" si="11"/>
        <v>0.001757615206</v>
      </c>
      <c r="P45" s="63">
        <f>'Parametros Recargas'!$M$99</f>
        <v>34</v>
      </c>
      <c r="Q45" s="36">
        <f>MAX(1,ROUNDUP(O45/(P45*'Parametros Recargas'!B$8*'Parametros Recargas'!$B$19),0))</f>
        <v>1</v>
      </c>
      <c r="R45" s="46">
        <f>IF(AND('Parametros Recargas'!B$8=2,O45/(P45*Q45*'Parametros Recargas'!$B$19)&gt;1),2,1)</f>
        <v>1</v>
      </c>
      <c r="S45" s="34">
        <f t="shared" si="12"/>
        <v>0.00005169456487</v>
      </c>
      <c r="T45" s="161">
        <f>'Parametros Recargas'!D68</f>
        <v>0</v>
      </c>
      <c r="U45" s="161">
        <f>'Parametros Recargas'!E68</f>
        <v>1</v>
      </c>
      <c r="V45" s="161">
        <f>'Parametros Recargas'!F68</f>
        <v>0</v>
      </c>
      <c r="W45" s="161">
        <f>'Parametros Recargas'!G68</f>
        <v>0</v>
      </c>
      <c r="X45" s="161">
        <f>'Parametros Recargas'!H68</f>
        <v>0</v>
      </c>
      <c r="Y45" s="161">
        <f>'Parametros Recargas'!I68</f>
        <v>0</v>
      </c>
      <c r="Z45" s="162">
        <f>'Parametros Recargas'!$U$99/P45</f>
        <v>0.02941176471</v>
      </c>
    </row>
    <row r="46" ht="15.75" customHeight="1">
      <c r="A46" s="30" t="s">
        <v>529</v>
      </c>
      <c r="B46" s="118" t="s">
        <v>458</v>
      </c>
      <c r="C46" s="63">
        <f t="shared" ref="C46:N46" si="26">($T46*C$24+$U46*C$25+$V46*C$26+$W46*C$27+$X46*C$28+$Y46*C$29)/$B$2</f>
        <v>0.001438048805</v>
      </c>
      <c r="D46" s="63">
        <f t="shared" si="26"/>
        <v>0.001278265604</v>
      </c>
      <c r="E46" s="63">
        <f t="shared" si="26"/>
        <v>0.001358157204</v>
      </c>
      <c r="F46" s="63">
        <f t="shared" si="26"/>
        <v>0.001278265604</v>
      </c>
      <c r="G46" s="63">
        <f t="shared" si="26"/>
        <v>0.001198374004</v>
      </c>
      <c r="H46" s="63">
        <f t="shared" si="26"/>
        <v>0.001118482404</v>
      </c>
      <c r="I46" s="63">
        <f t="shared" si="26"/>
        <v>0.001278265604</v>
      </c>
      <c r="J46" s="63">
        <f t="shared" si="26"/>
        <v>0.001358157204</v>
      </c>
      <c r="K46" s="63">
        <f t="shared" si="26"/>
        <v>0.001358157204</v>
      </c>
      <c r="L46" s="63">
        <f t="shared" si="26"/>
        <v>0.001278265604</v>
      </c>
      <c r="M46" s="63">
        <f t="shared" si="26"/>
        <v>0.001278265604</v>
      </c>
      <c r="N46" s="63">
        <f t="shared" si="26"/>
        <v>0.001757615206</v>
      </c>
      <c r="O46" s="44">
        <f t="shared" si="11"/>
        <v>0.001757615206</v>
      </c>
      <c r="P46" s="63">
        <f>'Parametros Recargas'!$M$100</f>
        <v>8.4375</v>
      </c>
      <c r="Q46" s="36">
        <f>MAX(1,ROUNDUP(O46/(P46*'Parametros Recargas'!B$8*'Parametros Recargas'!$B$19),0))</f>
        <v>1</v>
      </c>
      <c r="R46" s="46">
        <f>IF(AND('Parametros Recargas'!B$8=2,O46/(P46*Q46*'Parametros Recargas'!$B$19)&gt;1),2,1)</f>
        <v>1</v>
      </c>
      <c r="S46" s="34">
        <f t="shared" si="12"/>
        <v>0.0002083099503</v>
      </c>
      <c r="T46" s="161">
        <f>'Parametros Recargas'!D69</f>
        <v>0</v>
      </c>
      <c r="U46" s="161">
        <f>'Parametros Recargas'!E69</f>
        <v>0</v>
      </c>
      <c r="V46" s="161">
        <f>'Parametros Recargas'!F69</f>
        <v>1</v>
      </c>
      <c r="W46" s="161">
        <f>'Parametros Recargas'!G69</f>
        <v>0</v>
      </c>
      <c r="X46" s="161">
        <f>'Parametros Recargas'!H69</f>
        <v>0</v>
      </c>
      <c r="Y46" s="161">
        <f>'Parametros Recargas'!I69</f>
        <v>0</v>
      </c>
      <c r="Z46" s="162">
        <f>'Parametros Recargas'!$U$100/P46</f>
        <v>0.1185185185</v>
      </c>
    </row>
    <row r="47" ht="15.75" customHeight="1">
      <c r="A47" s="30" t="s">
        <v>531</v>
      </c>
      <c r="B47" s="118" t="s">
        <v>458</v>
      </c>
      <c r="C47" s="63">
        <f t="shared" ref="C47:N47" si="27">($T47*C$24+$U47*C$25+$V47*C$26+$W47*C$27+$X47*C$28+$Y47*C$29)/$B$2</f>
        <v>0.06176762008</v>
      </c>
      <c r="D47" s="63">
        <f t="shared" si="27"/>
        <v>0.05423498349</v>
      </c>
      <c r="E47" s="63">
        <f t="shared" si="27"/>
        <v>0.05762466995</v>
      </c>
      <c r="F47" s="63">
        <f t="shared" si="27"/>
        <v>0.05461161532</v>
      </c>
      <c r="G47" s="63">
        <f t="shared" si="27"/>
        <v>0.05122192885</v>
      </c>
      <c r="H47" s="63">
        <f t="shared" si="27"/>
        <v>0.04783224238</v>
      </c>
      <c r="I47" s="63">
        <f t="shared" si="27"/>
        <v>0.05498824715</v>
      </c>
      <c r="J47" s="63">
        <f t="shared" si="27"/>
        <v>0.05724803812</v>
      </c>
      <c r="K47" s="63">
        <f t="shared" si="27"/>
        <v>0.05724803812</v>
      </c>
      <c r="L47" s="63">
        <f t="shared" si="27"/>
        <v>0.05423498349</v>
      </c>
      <c r="M47" s="63">
        <f t="shared" si="27"/>
        <v>0.05385835166</v>
      </c>
      <c r="N47" s="63">
        <f t="shared" si="27"/>
        <v>0.07306657498</v>
      </c>
      <c r="O47" s="44">
        <f t="shared" si="11"/>
        <v>0.07306657498</v>
      </c>
      <c r="P47" s="63">
        <f>'Parametros Recargas'!$M$101</f>
        <v>18.29818182</v>
      </c>
      <c r="Q47" s="36">
        <f>MAX(1,ROUNDUP(O47/(P47*'Parametros Recargas'!B$8*'Parametros Recargas'!$B$19),0))</f>
        <v>1</v>
      </c>
      <c r="R47" s="46">
        <f>IF(AND('Parametros Recargas'!B$8=2,O47/(P47*Q47*'Parametros Recargas'!$B$19)&gt;1),2,1)</f>
        <v>1</v>
      </c>
      <c r="S47" s="34">
        <f t="shared" si="12"/>
        <v>0.003993105747</v>
      </c>
      <c r="T47" s="161">
        <f>'Parametros Recargas'!D70</f>
        <v>0</v>
      </c>
      <c r="U47" s="161">
        <f>'Parametros Recargas'!E70</f>
        <v>0</v>
      </c>
      <c r="V47" s="161">
        <f>'Parametros Recargas'!F70</f>
        <v>0</v>
      </c>
      <c r="W47" s="161">
        <f>'Parametros Recargas'!G70</f>
        <v>1</v>
      </c>
      <c r="X47" s="161">
        <f>'Parametros Recargas'!H70</f>
        <v>0</v>
      </c>
      <c r="Y47" s="161">
        <f>'Parametros Recargas'!I70</f>
        <v>0</v>
      </c>
      <c r="Z47" s="162">
        <f>'Parametros Recargas'!$U$101/P47</f>
        <v>0.05465023847</v>
      </c>
    </row>
    <row r="48" ht="15.75" customHeight="1">
      <c r="A48" s="30" t="s">
        <v>533</v>
      </c>
      <c r="B48" s="118" t="s">
        <v>458</v>
      </c>
      <c r="C48" s="63">
        <f t="shared" ref="C48:N48" si="28">($T48*C$24+$U48*C$25+$V48*C$26+$W48*C$27+$X48*C$28+$Y48*C$29)/$B$2</f>
        <v>0.04141580557</v>
      </c>
      <c r="D48" s="63">
        <f t="shared" si="28"/>
        <v>0.0368140494</v>
      </c>
      <c r="E48" s="63">
        <f t="shared" si="28"/>
        <v>0.03911492748</v>
      </c>
      <c r="F48" s="63">
        <f t="shared" si="28"/>
        <v>0.0368140494</v>
      </c>
      <c r="G48" s="63">
        <f t="shared" si="28"/>
        <v>0.03451317131</v>
      </c>
      <c r="H48" s="63">
        <f t="shared" si="28"/>
        <v>0.03221229322</v>
      </c>
      <c r="I48" s="63">
        <f t="shared" si="28"/>
        <v>0.0368140494</v>
      </c>
      <c r="J48" s="63">
        <f t="shared" si="28"/>
        <v>0.03911492748</v>
      </c>
      <c r="K48" s="63">
        <f t="shared" si="28"/>
        <v>0.03911492748</v>
      </c>
      <c r="L48" s="63">
        <f t="shared" si="28"/>
        <v>0.0368140494</v>
      </c>
      <c r="M48" s="63">
        <f t="shared" si="28"/>
        <v>0.0368140494</v>
      </c>
      <c r="N48" s="63">
        <f t="shared" si="28"/>
        <v>0.05061931792</v>
      </c>
      <c r="O48" s="44">
        <f t="shared" si="11"/>
        <v>0.05061931792</v>
      </c>
      <c r="P48" s="63">
        <f>'Parametros Recargas'!$M$102</f>
        <v>15.69230769</v>
      </c>
      <c r="Q48" s="36">
        <f>MAX(1,ROUNDUP(O48/(P48*'Parametros Recargas'!B$8*'Parametros Recargas'!$B$19),0))</f>
        <v>1</v>
      </c>
      <c r="R48" s="46">
        <f>IF(AND('Parametros Recargas'!B$8=2,O48/(P48*Q48*'Parametros Recargas'!$B$19)&gt;1),2,1)</f>
        <v>1</v>
      </c>
      <c r="S48" s="34">
        <f t="shared" si="12"/>
        <v>0.003225740848</v>
      </c>
      <c r="T48" s="161">
        <f>'Parametros Recargas'!D71</f>
        <v>0</v>
      </c>
      <c r="U48" s="161">
        <f>'Parametros Recargas'!E71</f>
        <v>0</v>
      </c>
      <c r="V48" s="161">
        <f>'Parametros Recargas'!F71</f>
        <v>0</v>
      </c>
      <c r="W48" s="161">
        <f>'Parametros Recargas'!G71</f>
        <v>0</v>
      </c>
      <c r="X48" s="161">
        <f>'Parametros Recargas'!H71</f>
        <v>0.35</v>
      </c>
      <c r="Y48" s="161">
        <f>'Parametros Recargas'!I71</f>
        <v>0</v>
      </c>
      <c r="Z48" s="162">
        <f>'Parametros Recargas'!$U$102/P48</f>
        <v>0.0637254902</v>
      </c>
    </row>
    <row r="49" ht="15.75" customHeight="1">
      <c r="A49" s="30" t="s">
        <v>535</v>
      </c>
      <c r="B49" s="118" t="s">
        <v>458</v>
      </c>
      <c r="C49" s="63">
        <f t="shared" ref="C49:N49" si="29">($T49*C$24+$U49*C$25+$V49*C$26+$W49*C$27+$X49*C$28+$Y49*C$29)/$B$2</f>
        <v>0.001294243924</v>
      </c>
      <c r="D49" s="63">
        <f t="shared" si="29"/>
        <v>0.001150439044</v>
      </c>
      <c r="E49" s="63">
        <f t="shared" si="29"/>
        <v>0.001222341484</v>
      </c>
      <c r="F49" s="63">
        <f t="shared" si="29"/>
        <v>0.001150439044</v>
      </c>
      <c r="G49" s="63">
        <f t="shared" si="29"/>
        <v>0.001078536603</v>
      </c>
      <c r="H49" s="63">
        <f t="shared" si="29"/>
        <v>0.001006634163</v>
      </c>
      <c r="I49" s="63">
        <f t="shared" si="29"/>
        <v>0.001150439044</v>
      </c>
      <c r="J49" s="63">
        <f t="shared" si="29"/>
        <v>0.001222341484</v>
      </c>
      <c r="K49" s="63">
        <f t="shared" si="29"/>
        <v>0.001222341484</v>
      </c>
      <c r="L49" s="63">
        <f t="shared" si="29"/>
        <v>0.001150439044</v>
      </c>
      <c r="M49" s="63">
        <f t="shared" si="29"/>
        <v>0.001150439044</v>
      </c>
      <c r="N49" s="63">
        <f t="shared" si="29"/>
        <v>0.001581853685</v>
      </c>
      <c r="O49" s="44">
        <f t="shared" si="11"/>
        <v>0.001581853685</v>
      </c>
      <c r="P49" s="63">
        <f>'Parametros Recargas'!$M$103</f>
        <v>12</v>
      </c>
      <c r="Q49" s="36">
        <f>MAX(1,ROUNDUP(O49/(P49*'Parametros Recargas'!B$8*'Parametros Recargas'!$B$19),0))</f>
        <v>1</v>
      </c>
      <c r="R49" s="46">
        <f>IF(AND('Parametros Recargas'!B$8=2,O49/(P49*Q49*'Parametros Recargas'!$B$19)&gt;1),2,1)</f>
        <v>1</v>
      </c>
      <c r="S49" s="34">
        <f t="shared" si="12"/>
        <v>0.0001318211404</v>
      </c>
      <c r="T49" s="161">
        <f>'Parametros Recargas'!D72</f>
        <v>0</v>
      </c>
      <c r="U49" s="161">
        <f>'Parametros Recargas'!E72</f>
        <v>0</v>
      </c>
      <c r="V49" s="161">
        <f>'Parametros Recargas'!F72</f>
        <v>0</v>
      </c>
      <c r="W49" s="161">
        <f>'Parametros Recargas'!G72</f>
        <v>0</v>
      </c>
      <c r="X49" s="161">
        <f>'Parametros Recargas'!H72</f>
        <v>0</v>
      </c>
      <c r="Y49" s="161">
        <f>'Parametros Recargas'!I72</f>
        <v>0.35</v>
      </c>
      <c r="Z49" s="162">
        <f>'Parametros Recargas'!$U$103/P49</f>
        <v>0.08333333333</v>
      </c>
    </row>
    <row r="50" ht="15.75" customHeight="1">
      <c r="A50" s="73" t="s">
        <v>536</v>
      </c>
      <c r="B50" s="118" t="s">
        <v>458</v>
      </c>
      <c r="C50" s="63">
        <f t="shared" ref="C50:N50" si="30">($T50*C$24+$U50*C$25+$V50*C$26+$W50*C$27+$X50*C$28+$Y50*C$29)/$B$2</f>
        <v>1.442273929</v>
      </c>
      <c r="D50" s="63">
        <f t="shared" si="30"/>
        <v>1.19060854</v>
      </c>
      <c r="E50" s="63">
        <f t="shared" si="30"/>
        <v>1.226330357</v>
      </c>
      <c r="F50" s="63">
        <f t="shared" si="30"/>
        <v>1.193416159</v>
      </c>
      <c r="G50" s="63">
        <f t="shared" si="30"/>
        <v>1.157694342</v>
      </c>
      <c r="H50" s="63">
        <f t="shared" si="30"/>
        <v>1.121972525</v>
      </c>
      <c r="I50" s="63">
        <f t="shared" si="30"/>
        <v>1.196223778</v>
      </c>
      <c r="J50" s="63">
        <f t="shared" si="30"/>
        <v>1.223522738</v>
      </c>
      <c r="K50" s="63">
        <f t="shared" si="30"/>
        <v>1.223522738</v>
      </c>
      <c r="L50" s="63">
        <f t="shared" si="30"/>
        <v>1.19060854</v>
      </c>
      <c r="M50" s="63">
        <f t="shared" si="30"/>
        <v>1.187800921</v>
      </c>
      <c r="N50" s="63">
        <f t="shared" si="30"/>
        <v>1.727048679</v>
      </c>
      <c r="O50" s="44">
        <f t="shared" si="11"/>
        <v>1.727048679</v>
      </c>
      <c r="P50" s="63">
        <f>'Parametros Recargas'!$M$104</f>
        <v>25.04347826</v>
      </c>
      <c r="Q50" s="36">
        <f>MAX(1,ROUNDUP(O50/(P50*'Parametros Recargas'!B$8*'Parametros Recargas'!$B$19),0))</f>
        <v>1</v>
      </c>
      <c r="R50" s="46">
        <f>IF(AND('Parametros Recargas'!B$8=2,O50/(P50*Q50*'Parametros Recargas'!$B$19)&gt;1),2,1)</f>
        <v>1</v>
      </c>
      <c r="S50" s="34">
        <f t="shared" si="12"/>
        <v>0.06896201324</v>
      </c>
      <c r="T50" s="161">
        <f>'Parametros Recargas'!D73</f>
        <v>1</v>
      </c>
      <c r="U50" s="161">
        <f>'Parametros Recargas'!E73</f>
        <v>1</v>
      </c>
      <c r="V50" s="161">
        <f>'Parametros Recargas'!F73</f>
        <v>1</v>
      </c>
      <c r="W50" s="161">
        <f>'Parametros Recargas'!G73</f>
        <v>1</v>
      </c>
      <c r="X50" s="161">
        <f>'Parametros Recargas'!H73</f>
        <v>0.35</v>
      </c>
      <c r="Y50" s="161">
        <f>'Parametros Recargas'!I73</f>
        <v>0.35</v>
      </c>
      <c r="Z50" s="162">
        <f>'Parametros Recargas'!$U$104/P50</f>
        <v>0.03993055556</v>
      </c>
    </row>
    <row r="51" ht="15.75" customHeight="1">
      <c r="A51" s="73" t="s">
        <v>537</v>
      </c>
      <c r="B51" s="118" t="s">
        <v>458</v>
      </c>
      <c r="C51" s="63">
        <f t="shared" ref="C51:N51" si="31">($T51*C$24+$U51*C$25+$V51*C$26+$W51*C$27+$X51*C$28+$Y51*C$29)/$B$2</f>
        <v>1.400858123</v>
      </c>
      <c r="D51" s="63">
        <f t="shared" si="31"/>
        <v>1.153794491</v>
      </c>
      <c r="E51" s="63">
        <f t="shared" si="31"/>
        <v>1.18721543</v>
      </c>
      <c r="F51" s="63">
        <f t="shared" si="31"/>
        <v>1.15660211</v>
      </c>
      <c r="G51" s="63">
        <f t="shared" si="31"/>
        <v>1.123181171</v>
      </c>
      <c r="H51" s="63">
        <f t="shared" si="31"/>
        <v>1.089760232</v>
      </c>
      <c r="I51" s="63">
        <f t="shared" si="31"/>
        <v>1.159409729</v>
      </c>
      <c r="J51" s="63">
        <f t="shared" si="31"/>
        <v>1.184407811</v>
      </c>
      <c r="K51" s="63">
        <f t="shared" si="31"/>
        <v>1.184407811</v>
      </c>
      <c r="L51" s="63">
        <f t="shared" si="31"/>
        <v>1.153794491</v>
      </c>
      <c r="M51" s="63">
        <f t="shared" si="31"/>
        <v>1.150986872</v>
      </c>
      <c r="N51" s="63">
        <f t="shared" si="31"/>
        <v>1.676429361</v>
      </c>
      <c r="O51" s="44">
        <f t="shared" si="11"/>
        <v>1.676429361</v>
      </c>
      <c r="P51" s="63">
        <f>'Parametros Recargas'!$M$105</f>
        <v>52.36363636</v>
      </c>
      <c r="Q51" s="36">
        <f>MAX(1,ROUNDUP(O51/(P51*'Parametros Recargas'!B$8*'Parametros Recargas'!$B$19),0))</f>
        <v>1</v>
      </c>
      <c r="R51" s="46">
        <f>IF(AND('Parametros Recargas'!B$8=2,O51/(P51*Q51*'Parametros Recargas'!$B$19)&gt;1),2,1)</f>
        <v>1</v>
      </c>
      <c r="S51" s="34">
        <f t="shared" si="12"/>
        <v>0.03201514405</v>
      </c>
      <c r="T51" s="161">
        <f>'Parametros Recargas'!D74</f>
        <v>1</v>
      </c>
      <c r="U51" s="161">
        <f>'Parametros Recargas'!E74</f>
        <v>1</v>
      </c>
      <c r="V51" s="161">
        <f>'Parametros Recargas'!F74</f>
        <v>1</v>
      </c>
      <c r="W51" s="161">
        <f>'Parametros Recargas'!G74</f>
        <v>1</v>
      </c>
      <c r="X51" s="161">
        <f>'Parametros Recargas'!H74</f>
        <v>0</v>
      </c>
      <c r="Y51" s="161">
        <f>'Parametros Recargas'!I74</f>
        <v>0.35</v>
      </c>
      <c r="Z51" s="162">
        <f>'Parametros Recargas'!$U$105/P51</f>
        <v>0.01909722222</v>
      </c>
    </row>
    <row r="52" ht="15.75" customHeight="1">
      <c r="A52" s="73" t="s">
        <v>546</v>
      </c>
      <c r="B52" s="118" t="s">
        <v>458</v>
      </c>
      <c r="C52" s="63">
        <f t="shared" ref="C52:N52" si="32">($T52*C$24+$U52*C$25+$V52*C$26+$W52*C$27+$X52*C$28+$Y52*C$29)/$B$2</f>
        <v>0.1220287128</v>
      </c>
      <c r="D52" s="63">
        <f t="shared" si="32"/>
        <v>0.108469967</v>
      </c>
      <c r="E52" s="63">
        <f t="shared" si="32"/>
        <v>0.1152493399</v>
      </c>
      <c r="F52" s="63">
        <f t="shared" si="32"/>
        <v>0.108469967</v>
      </c>
      <c r="G52" s="63">
        <f t="shared" si="32"/>
        <v>0.101690594</v>
      </c>
      <c r="H52" s="63">
        <f t="shared" si="32"/>
        <v>0.0949112211</v>
      </c>
      <c r="I52" s="63">
        <f t="shared" si="32"/>
        <v>0.108469967</v>
      </c>
      <c r="J52" s="63">
        <f t="shared" si="32"/>
        <v>0.1152493399</v>
      </c>
      <c r="K52" s="63">
        <f t="shared" si="32"/>
        <v>0.1152493399</v>
      </c>
      <c r="L52" s="63">
        <f t="shared" si="32"/>
        <v>0.108469967</v>
      </c>
      <c r="M52" s="63">
        <f t="shared" si="32"/>
        <v>0.108469967</v>
      </c>
      <c r="N52" s="63">
        <f t="shared" si="32"/>
        <v>0.1491462046</v>
      </c>
      <c r="O52" s="44">
        <f t="shared" si="11"/>
        <v>0.1491462046</v>
      </c>
      <c r="P52" s="63">
        <f>'Parametros Recargas'!$M$106</f>
        <v>55.63636364</v>
      </c>
      <c r="Q52" s="36">
        <f>MAX(1,ROUNDUP(O52/(P52*'Parametros Recargas'!B$8*'Parametros Recargas'!$B$19),0))</f>
        <v>1</v>
      </c>
      <c r="R52" s="46">
        <f>IF(AND('Parametros Recargas'!B$8=2,O52/(P52*Q52*'Parametros Recargas'!$B$19)&gt;1),2,1)</f>
        <v>1</v>
      </c>
      <c r="S52" s="34">
        <f t="shared" si="12"/>
        <v>0.002680732435</v>
      </c>
      <c r="T52" s="161">
        <f>'Parametros Recargas'!D75</f>
        <v>0</v>
      </c>
      <c r="U52" s="161">
        <f>'Parametros Recargas'!E75</f>
        <v>0</v>
      </c>
      <c r="V52" s="161">
        <f>'Parametros Recargas'!F75</f>
        <v>0</v>
      </c>
      <c r="W52" s="161">
        <f>'Parametros Recargas'!G75</f>
        <v>0</v>
      </c>
      <c r="X52" s="161">
        <f>'Parametros Recargas'!H75</f>
        <v>1</v>
      </c>
      <c r="Y52" s="161">
        <f>'Parametros Recargas'!I75</f>
        <v>1</v>
      </c>
      <c r="Z52" s="162">
        <f>'Parametros Recargas'!$U$106/P52</f>
        <v>0.01797385621</v>
      </c>
    </row>
    <row r="53" ht="15.75" customHeight="1">
      <c r="A53" s="73" t="s">
        <v>559</v>
      </c>
      <c r="B53" s="118" t="s">
        <v>458</v>
      </c>
      <c r="C53" s="63">
        <f t="shared" ref="C53:N53" si="33">($T53*C$24+$U53*C$25+$V53*C$26+$W53*C$27+$X53*C$28+$Y53*C$29)/$B$2</f>
        <v>1.521592592</v>
      </c>
      <c r="D53" s="63">
        <f t="shared" si="33"/>
        <v>1.261114019</v>
      </c>
      <c r="E53" s="63">
        <f t="shared" si="33"/>
        <v>1.301242428</v>
      </c>
      <c r="F53" s="63">
        <f t="shared" si="33"/>
        <v>1.263921638</v>
      </c>
      <c r="G53" s="63">
        <f t="shared" si="33"/>
        <v>1.223793228</v>
      </c>
      <c r="H53" s="63">
        <f t="shared" si="33"/>
        <v>1.183664819</v>
      </c>
      <c r="I53" s="63">
        <f t="shared" si="33"/>
        <v>1.266729257</v>
      </c>
      <c r="J53" s="63">
        <f t="shared" si="33"/>
        <v>1.298434809</v>
      </c>
      <c r="K53" s="63">
        <f t="shared" si="33"/>
        <v>1.298434809</v>
      </c>
      <c r="L53" s="63">
        <f t="shared" si="33"/>
        <v>1.261114019</v>
      </c>
      <c r="M53" s="63">
        <f t="shared" si="33"/>
        <v>1.2583064</v>
      </c>
      <c r="N53" s="63">
        <f t="shared" si="33"/>
        <v>1.823993712</v>
      </c>
      <c r="O53" s="44">
        <f t="shared" si="11"/>
        <v>1.823993712</v>
      </c>
      <c r="P53" s="63">
        <f>'Parametros Recargas'!$M$107</f>
        <v>76.5</v>
      </c>
      <c r="Q53" s="36">
        <f>MAX(1,ROUNDUP(O53/(P53*'Parametros Recargas'!B$8*'Parametros Recargas'!$B$19),0))</f>
        <v>1</v>
      </c>
      <c r="R53" s="46">
        <f>IF(AND('Parametros Recargas'!B$8=2,O53/(P53*Q53*'Parametros Recargas'!$B$19)&gt;1),2,1)</f>
        <v>1</v>
      </c>
      <c r="S53" s="34">
        <f t="shared" si="12"/>
        <v>0.02384305506</v>
      </c>
      <c r="T53" s="161">
        <f>'Parametros Recargas'!D76</f>
        <v>1</v>
      </c>
      <c r="U53" s="161">
        <f>'Parametros Recargas'!E76</f>
        <v>1</v>
      </c>
      <c r="V53" s="161">
        <f>'Parametros Recargas'!F76</f>
        <v>1</v>
      </c>
      <c r="W53" s="161">
        <f>'Parametros Recargas'!G76</f>
        <v>1</v>
      </c>
      <c r="X53" s="161">
        <f>'Parametros Recargas'!H76</f>
        <v>1</v>
      </c>
      <c r="Y53" s="161">
        <f>'Parametros Recargas'!I76</f>
        <v>1</v>
      </c>
      <c r="Z53" s="162">
        <f>'Parametros Recargas'!$U$107/P53</f>
        <v>0.003267973856</v>
      </c>
    </row>
    <row r="54" ht="15.75" customHeight="1">
      <c r="A54" s="73" t="s">
        <v>566</v>
      </c>
      <c r="B54" s="118" t="s">
        <v>458</v>
      </c>
      <c r="C54" s="63">
        <f t="shared" ref="C54:N54" si="34">($T54*C$24+$U54*C$25+$V54*C$26+$W54*C$27+$X54*C$28+$Y54*C$29)/$B$2</f>
        <v>0.2282388888</v>
      </c>
      <c r="D54" s="63">
        <f t="shared" si="34"/>
        <v>0.1891671028</v>
      </c>
      <c r="E54" s="63">
        <f t="shared" si="34"/>
        <v>0.1951863642</v>
      </c>
      <c r="F54" s="63">
        <f t="shared" si="34"/>
        <v>0.1895882457</v>
      </c>
      <c r="G54" s="63">
        <f t="shared" si="34"/>
        <v>0.1835689843</v>
      </c>
      <c r="H54" s="63">
        <f t="shared" si="34"/>
        <v>0.1775497228</v>
      </c>
      <c r="I54" s="63">
        <f t="shared" si="34"/>
        <v>0.1900093885</v>
      </c>
      <c r="J54" s="63">
        <f t="shared" si="34"/>
        <v>0.1947652214</v>
      </c>
      <c r="K54" s="63">
        <f t="shared" si="34"/>
        <v>0.1947652214</v>
      </c>
      <c r="L54" s="63">
        <f t="shared" si="34"/>
        <v>0.1891671028</v>
      </c>
      <c r="M54" s="63">
        <f t="shared" si="34"/>
        <v>0.18874596</v>
      </c>
      <c r="N54" s="63">
        <f t="shared" si="34"/>
        <v>0.2735990568</v>
      </c>
      <c r="O54" s="44">
        <f t="shared" si="11"/>
        <v>0.2735990568</v>
      </c>
      <c r="P54" s="63">
        <f>'Parametros Recargas'!$M$108</f>
        <v>8</v>
      </c>
      <c r="Q54" s="36">
        <f>MAX(1,ROUNDUP(O54/(P54*'Parametros Recargas'!B$8*'Parametros Recargas'!$B$19),0))</f>
        <v>1</v>
      </c>
      <c r="R54" s="46">
        <f>IF(AND('Parametros Recargas'!B$8=2,O54/(P54*Q54*'Parametros Recargas'!$B$19)&gt;1),2,1)</f>
        <v>1</v>
      </c>
      <c r="S54" s="34">
        <f t="shared" si="12"/>
        <v>0.03419988211</v>
      </c>
      <c r="T54" s="161">
        <f>'Parametros Recargas'!D77</f>
        <v>0.15</v>
      </c>
      <c r="U54" s="161">
        <f>'Parametros Recargas'!E77</f>
        <v>0.15</v>
      </c>
      <c r="V54" s="161">
        <f>'Parametros Recargas'!F77</f>
        <v>0.15</v>
      </c>
      <c r="W54" s="161">
        <f>'Parametros Recargas'!G77</f>
        <v>0.15</v>
      </c>
      <c r="X54" s="161">
        <f>'Parametros Recargas'!H77</f>
        <v>0.15</v>
      </c>
      <c r="Y54" s="161">
        <f>'Parametros Recargas'!I77</f>
        <v>0.15</v>
      </c>
      <c r="Z54" s="162">
        <f>'Parametros Recargas'!$U$108/P54</f>
        <v>0.125</v>
      </c>
    </row>
    <row r="55" ht="15.75" customHeight="1">
      <c r="A55" s="73" t="s">
        <v>574</v>
      </c>
      <c r="B55" s="118" t="s">
        <v>458</v>
      </c>
      <c r="C55" s="63">
        <f t="shared" ref="C55:N55" si="35">($T55*C$24+$U55*C$25+$V55*C$26+$W55*C$27+$X55*C$28+$Y55*C$29)/$B$2</f>
        <v>1.521592592</v>
      </c>
      <c r="D55" s="63">
        <f t="shared" si="35"/>
        <v>1.261114019</v>
      </c>
      <c r="E55" s="63">
        <f t="shared" si="35"/>
        <v>1.301242428</v>
      </c>
      <c r="F55" s="63">
        <f t="shared" si="35"/>
        <v>1.263921638</v>
      </c>
      <c r="G55" s="63">
        <f t="shared" si="35"/>
        <v>1.223793228</v>
      </c>
      <c r="H55" s="63">
        <f t="shared" si="35"/>
        <v>1.183664819</v>
      </c>
      <c r="I55" s="63">
        <f t="shared" si="35"/>
        <v>1.266729257</v>
      </c>
      <c r="J55" s="63">
        <f t="shared" si="35"/>
        <v>1.298434809</v>
      </c>
      <c r="K55" s="63">
        <f t="shared" si="35"/>
        <v>1.298434809</v>
      </c>
      <c r="L55" s="63">
        <f t="shared" si="35"/>
        <v>1.261114019</v>
      </c>
      <c r="M55" s="63">
        <f t="shared" si="35"/>
        <v>1.2583064</v>
      </c>
      <c r="N55" s="63">
        <f t="shared" si="35"/>
        <v>1.823993712</v>
      </c>
      <c r="O55" s="44">
        <f t="shared" si="11"/>
        <v>1.823993712</v>
      </c>
      <c r="P55" s="63">
        <f>'Parametros Recargas'!$M$109</f>
        <v>52.36363636</v>
      </c>
      <c r="Q55" s="36">
        <f>MAX(1,ROUNDUP(O55/(P55*'Parametros Recargas'!B$8*'Parametros Recargas'!$B$19),0))</f>
        <v>1</v>
      </c>
      <c r="R55" s="46">
        <f>IF(AND('Parametros Recargas'!B$8=2,O55/(P55*Q55*'Parametros Recargas'!$B$19)&gt;1),2,1)</f>
        <v>1</v>
      </c>
      <c r="S55" s="34">
        <f t="shared" si="12"/>
        <v>0.03483321326</v>
      </c>
      <c r="T55" s="161">
        <f>'Parametros Recargas'!D78</f>
        <v>1</v>
      </c>
      <c r="U55" s="161">
        <f>'Parametros Recargas'!E78</f>
        <v>1</v>
      </c>
      <c r="V55" s="161">
        <f>'Parametros Recargas'!F78</f>
        <v>1</v>
      </c>
      <c r="W55" s="161">
        <f>'Parametros Recargas'!G78</f>
        <v>1</v>
      </c>
      <c r="X55" s="161">
        <f>'Parametros Recargas'!H78</f>
        <v>1</v>
      </c>
      <c r="Y55" s="161">
        <f>'Parametros Recargas'!I78</f>
        <v>1</v>
      </c>
      <c r="Z55" s="162">
        <f>'Parametros Recargas'!$U$109/P55</f>
        <v>0.01909722222</v>
      </c>
    </row>
    <row r="56" ht="15.75" customHeight="1">
      <c r="A56" s="73" t="s">
        <v>583</v>
      </c>
      <c r="B56" s="118" t="s">
        <v>458</v>
      </c>
      <c r="C56" s="63">
        <f t="shared" ref="C56:N56" si="36">($T56*C$24+$U56*C$25+$V56*C$26+$W56*C$27+$X56*C$28+$Y56*C$29)/$B$2</f>
        <v>1.521592592</v>
      </c>
      <c r="D56" s="63">
        <f t="shared" si="36"/>
        <v>1.261114019</v>
      </c>
      <c r="E56" s="63">
        <f t="shared" si="36"/>
        <v>1.301242428</v>
      </c>
      <c r="F56" s="63">
        <f t="shared" si="36"/>
        <v>1.263921638</v>
      </c>
      <c r="G56" s="63">
        <f t="shared" si="36"/>
        <v>1.223793228</v>
      </c>
      <c r="H56" s="63">
        <f t="shared" si="36"/>
        <v>1.183664819</v>
      </c>
      <c r="I56" s="63">
        <f t="shared" si="36"/>
        <v>1.266729257</v>
      </c>
      <c r="J56" s="63">
        <f t="shared" si="36"/>
        <v>1.298434809</v>
      </c>
      <c r="K56" s="63">
        <f t="shared" si="36"/>
        <v>1.298434809</v>
      </c>
      <c r="L56" s="63">
        <f t="shared" si="36"/>
        <v>1.261114019</v>
      </c>
      <c r="M56" s="63">
        <f t="shared" si="36"/>
        <v>1.2583064</v>
      </c>
      <c r="N56" s="63">
        <f t="shared" si="36"/>
        <v>1.823993712</v>
      </c>
      <c r="O56" s="44">
        <f t="shared" si="11"/>
        <v>1.823993712</v>
      </c>
      <c r="P56" s="63">
        <f>'Parametros Recargas'!$M$110</f>
        <v>57.6</v>
      </c>
      <c r="Q56" s="36">
        <f>MAX(1,ROUNDUP(O56/(P56*'Parametros Recargas'!B$8*'Parametros Recargas'!$B$19),0))</f>
        <v>1</v>
      </c>
      <c r="R56" s="46">
        <f>IF(AND('Parametros Recargas'!B$8=2,O56/(P56*Q56*'Parametros Recargas'!$B$19)&gt;1),2,1)</f>
        <v>1</v>
      </c>
      <c r="S56" s="34">
        <f t="shared" si="12"/>
        <v>0.03166655751</v>
      </c>
      <c r="T56" s="161">
        <f>'Parametros Recargas'!D79</f>
        <v>1</v>
      </c>
      <c r="U56" s="161">
        <f>'Parametros Recargas'!E79</f>
        <v>1</v>
      </c>
      <c r="V56" s="161">
        <f>'Parametros Recargas'!F79</f>
        <v>1</v>
      </c>
      <c r="W56" s="161">
        <f>'Parametros Recargas'!G79</f>
        <v>1</v>
      </c>
      <c r="X56" s="161">
        <f>'Parametros Recargas'!H79</f>
        <v>1</v>
      </c>
      <c r="Y56" s="161">
        <f>'Parametros Recargas'!I79</f>
        <v>1</v>
      </c>
      <c r="Z56" s="162">
        <f>'Parametros Recargas'!$U$110/P56</f>
        <v>0.01736111111</v>
      </c>
    </row>
    <row r="57" ht="15.75" customHeight="1">
      <c r="A57" s="73" t="s">
        <v>590</v>
      </c>
      <c r="B57" s="118" t="s">
        <v>591</v>
      </c>
      <c r="C57" s="175">
        <f t="shared" ref="C57:N57" si="37">SUMPRODUCT(C31:C56,$Z31:$Z56)*$B$2</f>
        <v>52.1984584</v>
      </c>
      <c r="D57" s="175">
        <f t="shared" si="37"/>
        <v>43.24711441</v>
      </c>
      <c r="E57" s="175">
        <f t="shared" si="37"/>
        <v>44.62018085</v>
      </c>
      <c r="F57" s="175">
        <f t="shared" si="37"/>
        <v>43.34896913</v>
      </c>
      <c r="G57" s="175">
        <f t="shared" si="37"/>
        <v>41.97590269</v>
      </c>
      <c r="H57" s="175">
        <f t="shared" si="37"/>
        <v>40.60283625</v>
      </c>
      <c r="I57" s="175">
        <f t="shared" si="37"/>
        <v>43.45082385</v>
      </c>
      <c r="J57" s="175">
        <f t="shared" si="37"/>
        <v>44.51832613</v>
      </c>
      <c r="K57" s="175">
        <f t="shared" si="37"/>
        <v>44.51832613</v>
      </c>
      <c r="L57" s="175">
        <f t="shared" si="37"/>
        <v>43.24711441</v>
      </c>
      <c r="M57" s="175">
        <f t="shared" si="37"/>
        <v>43.14525969</v>
      </c>
      <c r="N57" s="175">
        <f t="shared" si="37"/>
        <v>62.53550645</v>
      </c>
      <c r="O57" s="175">
        <f t="shared" si="11"/>
        <v>62.53550645</v>
      </c>
    </row>
    <row r="58" ht="15.75" customHeight="1"/>
    <row r="59" ht="15.75" customHeight="1">
      <c r="A59" s="45" t="s">
        <v>554</v>
      </c>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137"/>
    </row>
    <row r="60" ht="15.75" customHeight="1">
      <c r="A60" s="29" t="s">
        <v>376</v>
      </c>
      <c r="B60" s="29" t="s">
        <v>377</v>
      </c>
      <c r="C60" s="29" t="s">
        <v>109</v>
      </c>
      <c r="D60" s="29" t="s">
        <v>110</v>
      </c>
      <c r="E60" s="29" t="s">
        <v>111</v>
      </c>
      <c r="F60" s="29" t="s">
        <v>112</v>
      </c>
      <c r="G60" s="29" t="s">
        <v>113</v>
      </c>
      <c r="H60" s="29" t="s">
        <v>114</v>
      </c>
      <c r="I60" s="29" t="s">
        <v>115</v>
      </c>
      <c r="J60" s="29" t="s">
        <v>116</v>
      </c>
      <c r="K60" s="29" t="s">
        <v>117</v>
      </c>
      <c r="L60" s="29" t="s">
        <v>118</v>
      </c>
      <c r="M60" s="29" t="s">
        <v>119</v>
      </c>
      <c r="N60" s="29" t="s">
        <v>120</v>
      </c>
      <c r="O60" s="29" t="s">
        <v>15</v>
      </c>
    </row>
    <row r="61" ht="15.75" customHeight="1">
      <c r="A61" s="30" t="str">
        <f>datos_base!$A$55</f>
        <v>ABC 1 kg</v>
      </c>
      <c r="B61" s="139" t="s">
        <v>379</v>
      </c>
      <c r="C61" s="64">
        <f>datos_base!$C$55*'Parametros Recargas'!D$33*'Parametros Recargas'!$Q$33</f>
        <v>581.0744348</v>
      </c>
      <c r="D61" s="64">
        <f>datos_base!$C$55*'Parametros Recargas'!E$33*'Parametros Recargas'!$Q$33</f>
        <v>453.2380592</v>
      </c>
      <c r="E61" s="64">
        <f>datos_base!$C$55*'Parametros Recargas'!F$33*'Parametros Recargas'!$Q$33</f>
        <v>453.2380592</v>
      </c>
      <c r="F61" s="64">
        <f>datos_base!$C$55*'Parametros Recargas'!G$33*'Parametros Recargas'!$Q$33</f>
        <v>453.2380592</v>
      </c>
      <c r="G61" s="64">
        <f>datos_base!$C$55*'Parametros Recargas'!H$33*'Parametros Recargas'!$Q$33</f>
        <v>453.2380592</v>
      </c>
      <c r="H61" s="64">
        <f>datos_base!$C$55*'Parametros Recargas'!I$33*'Parametros Recargas'!$Q$33</f>
        <v>453.2380592</v>
      </c>
      <c r="I61" s="64">
        <f>datos_base!$C$55*'Parametros Recargas'!J$33*'Parametros Recargas'!$Q$33</f>
        <v>453.2380592</v>
      </c>
      <c r="J61" s="64">
        <f>datos_base!$C$55*'Parametros Recargas'!K$33*'Parametros Recargas'!$Q$33</f>
        <v>453.2380592</v>
      </c>
      <c r="K61" s="64">
        <f>datos_base!$C$55*'Parametros Recargas'!L$33*'Parametros Recargas'!$Q$33</f>
        <v>453.2380592</v>
      </c>
      <c r="L61" s="64">
        <f>datos_base!$C$55*'Parametros Recargas'!M$33*'Parametros Recargas'!$Q$33</f>
        <v>453.2380592</v>
      </c>
      <c r="M61" s="64">
        <f>datos_base!$C$55*'Parametros Recargas'!N$33*'Parametros Recargas'!$Q$33</f>
        <v>453.2380592</v>
      </c>
      <c r="N61" s="64">
        <f>datos_base!$C$55*'Parametros Recargas'!O$33*'Parametros Recargas'!$Q$33</f>
        <v>697.2893218</v>
      </c>
      <c r="O61" s="84">
        <f t="shared" ref="O61:O77" si="38">SUM(C61:N61)</f>
        <v>5810.744348</v>
      </c>
    </row>
    <row r="62" ht="15.75" customHeight="1">
      <c r="A62" s="30" t="str">
        <f>datos_base!$A$56</f>
        <v>ABC 2,5 kg</v>
      </c>
      <c r="B62" s="139" t="s">
        <v>379</v>
      </c>
      <c r="C62" s="64">
        <f>datos_base!$C$56*'Parametros Recargas'!D$34*'Parametros Recargas'!$Q$34</f>
        <v>39.65933167</v>
      </c>
      <c r="D62" s="64">
        <f>datos_base!$C$56*'Parametros Recargas'!E$34*'Parametros Recargas'!$Q$34</f>
        <v>35.25273927</v>
      </c>
      <c r="E62" s="64">
        <f>datos_base!$C$56*'Parametros Recargas'!F$34*'Parametros Recargas'!$Q$34</f>
        <v>37.45603547</v>
      </c>
      <c r="F62" s="64">
        <f>datos_base!$C$56*'Parametros Recargas'!G$34*'Parametros Recargas'!$Q$34</f>
        <v>35.25273927</v>
      </c>
      <c r="G62" s="64">
        <f>datos_base!$C$56*'Parametros Recargas'!H$34*'Parametros Recargas'!$Q$34</f>
        <v>33.04944306</v>
      </c>
      <c r="H62" s="64">
        <f>datos_base!$C$56*'Parametros Recargas'!I$34*'Parametros Recargas'!$Q$34</f>
        <v>30.84614686</v>
      </c>
      <c r="I62" s="64">
        <f>datos_base!$C$56*'Parametros Recargas'!J$34*'Parametros Recargas'!$Q$34</f>
        <v>35.25273927</v>
      </c>
      <c r="J62" s="64">
        <f>datos_base!$C$56*'Parametros Recargas'!K$34*'Parametros Recargas'!$Q$34</f>
        <v>37.45603547</v>
      </c>
      <c r="K62" s="64">
        <f>datos_base!$C$56*'Parametros Recargas'!L$34*'Parametros Recargas'!$Q$34</f>
        <v>37.45603547</v>
      </c>
      <c r="L62" s="64">
        <f>datos_base!$C$56*'Parametros Recargas'!M$34*'Parametros Recargas'!$Q$34</f>
        <v>35.25273927</v>
      </c>
      <c r="M62" s="64">
        <f>datos_base!$C$56*'Parametros Recargas'!N$34*'Parametros Recargas'!$Q$34</f>
        <v>35.25273927</v>
      </c>
      <c r="N62" s="64">
        <f>datos_base!$C$56*'Parametros Recargas'!O$34*'Parametros Recargas'!$Q$34</f>
        <v>48.47251649</v>
      </c>
      <c r="O62" s="84">
        <f t="shared" si="38"/>
        <v>440.6592408</v>
      </c>
    </row>
    <row r="63" ht="15.75" customHeight="1">
      <c r="A63" s="30" t="str">
        <f>datos_base!$A$57</f>
        <v>ABC 5 kg</v>
      </c>
      <c r="B63" s="139" t="s">
        <v>379</v>
      </c>
      <c r="C63" s="64">
        <f>datos_base!$C$57*'Parametros Recargas'!D$35*'Parametros Recargas'!$Q$35</f>
        <v>241.9927985</v>
      </c>
      <c r="D63" s="64">
        <f>datos_base!$C$57*'Parametros Recargas'!E$35*'Parametros Recargas'!$Q$35</f>
        <v>215.1047098</v>
      </c>
      <c r="E63" s="64">
        <f>datos_base!$C$57*'Parametros Recargas'!F$35*'Parametros Recargas'!$Q$35</f>
        <v>228.5487541</v>
      </c>
      <c r="F63" s="64">
        <f>datos_base!$C$57*'Parametros Recargas'!G$35*'Parametros Recargas'!$Q$35</f>
        <v>215.1047098</v>
      </c>
      <c r="G63" s="64">
        <f>datos_base!$C$57*'Parametros Recargas'!H$35*'Parametros Recargas'!$Q$35</f>
        <v>201.6606654</v>
      </c>
      <c r="H63" s="64">
        <f>datos_base!$C$57*'Parametros Recargas'!I$35*'Parametros Recargas'!$Q$35</f>
        <v>188.216621</v>
      </c>
      <c r="I63" s="64">
        <f>datos_base!$C$57*'Parametros Recargas'!J$35*'Parametros Recargas'!$Q$35</f>
        <v>215.1047098</v>
      </c>
      <c r="J63" s="64">
        <f>datos_base!$C$57*'Parametros Recargas'!K$35*'Parametros Recargas'!$Q$35</f>
        <v>228.5487541</v>
      </c>
      <c r="K63" s="64">
        <f>datos_base!$C$57*'Parametros Recargas'!L$35*'Parametros Recargas'!$Q$35</f>
        <v>228.5487541</v>
      </c>
      <c r="L63" s="64">
        <f>datos_base!$C$57*'Parametros Recargas'!M$35*'Parametros Recargas'!$Q$35</f>
        <v>215.1047098</v>
      </c>
      <c r="M63" s="64">
        <f>datos_base!$C$57*'Parametros Recargas'!N$35*'Parametros Recargas'!$Q$35</f>
        <v>215.1047098</v>
      </c>
      <c r="N63" s="64">
        <f>datos_base!$C$57*'Parametros Recargas'!O$35*'Parametros Recargas'!$Q$35</f>
        <v>295.7689759</v>
      </c>
      <c r="O63" s="84">
        <f t="shared" si="38"/>
        <v>2688.808872</v>
      </c>
    </row>
    <row r="64" ht="15.75" customHeight="1">
      <c r="A64" s="30" t="str">
        <f>datos_base!$A$58</f>
        <v>ABC 10 kg</v>
      </c>
      <c r="B64" s="139" t="s">
        <v>379</v>
      </c>
      <c r="C64" s="64">
        <f>datos_base!$C$58*'Parametros Recargas'!D$36*'Parametros Recargas'!$Q$36</f>
        <v>13.46629988</v>
      </c>
      <c r="D64" s="64">
        <f>datos_base!$C$58*'Parametros Recargas'!E$36*'Parametros Recargas'!$Q$36</f>
        <v>11.97004434</v>
      </c>
      <c r="E64" s="64">
        <f>datos_base!$C$58*'Parametros Recargas'!F$36*'Parametros Recargas'!$Q$36</f>
        <v>12.71817211</v>
      </c>
      <c r="F64" s="64">
        <f>datos_base!$C$58*'Parametros Recargas'!G$36*'Parametros Recargas'!$Q$36</f>
        <v>11.97004434</v>
      </c>
      <c r="G64" s="64">
        <f>datos_base!$C$58*'Parametros Recargas'!H$36*'Parametros Recargas'!$Q$36</f>
        <v>11.22191656</v>
      </c>
      <c r="H64" s="64">
        <f>datos_base!$C$58*'Parametros Recargas'!I$36*'Parametros Recargas'!$Q$36</f>
        <v>10.47378879</v>
      </c>
      <c r="I64" s="64">
        <f>datos_base!$C$58*'Parametros Recargas'!J$36*'Parametros Recargas'!$Q$36</f>
        <v>11.97004434</v>
      </c>
      <c r="J64" s="64">
        <f>datos_base!$C$58*'Parametros Recargas'!K$36*'Parametros Recargas'!$Q$36</f>
        <v>12.71817211</v>
      </c>
      <c r="K64" s="64">
        <f>datos_base!$C$58*'Parametros Recargas'!L$36*'Parametros Recargas'!$Q$36</f>
        <v>12.71817211</v>
      </c>
      <c r="L64" s="64">
        <f>datos_base!$C$58*'Parametros Recargas'!M$36*'Parametros Recargas'!$Q$36</f>
        <v>11.97004434</v>
      </c>
      <c r="M64" s="64">
        <f>datos_base!$C$58*'Parametros Recargas'!N$36*'Parametros Recargas'!$Q$36</f>
        <v>11.97004434</v>
      </c>
      <c r="N64" s="64">
        <f>datos_base!$C$58*'Parametros Recargas'!O$36*'Parametros Recargas'!$Q$36</f>
        <v>16.45881096</v>
      </c>
      <c r="O64" s="84">
        <f t="shared" si="38"/>
        <v>149.6255542</v>
      </c>
    </row>
    <row r="65" ht="15.75" customHeight="1">
      <c r="A65" s="30" t="str">
        <f>datos_base!$A$69</f>
        <v>ABC 25 kg s/ruedas</v>
      </c>
      <c r="B65" s="139" t="s">
        <v>379</v>
      </c>
      <c r="C65" s="64">
        <f>datos_base!$C$69*'Parametros Recargas'!D$37*'Parametros Recargas'!$Q$37</f>
        <v>8.833728371</v>
      </c>
      <c r="D65" s="64">
        <f>datos_base!$C$69*'Parametros Recargas'!E$37*'Parametros Recargas'!$Q$37</f>
        <v>7.066982697</v>
      </c>
      <c r="E65" s="64">
        <f>datos_base!$C$69*'Parametros Recargas'!F$37*'Parametros Recargas'!$Q$37</f>
        <v>7.508669115</v>
      </c>
      <c r="F65" s="64">
        <f>datos_base!$C$69*'Parametros Recargas'!G$37*'Parametros Recargas'!$Q$37</f>
        <v>7.508669115</v>
      </c>
      <c r="G65" s="64">
        <f>datos_base!$C$69*'Parametros Recargas'!H$37*'Parametros Recargas'!$Q$37</f>
        <v>7.066982697</v>
      </c>
      <c r="H65" s="64">
        <f>datos_base!$C$69*'Parametros Recargas'!I$37*'Parametros Recargas'!$Q$37</f>
        <v>6.625296278</v>
      </c>
      <c r="I65" s="64">
        <f>datos_base!$C$69*'Parametros Recargas'!J$37*'Parametros Recargas'!$Q$37</f>
        <v>7.950355534</v>
      </c>
      <c r="J65" s="64">
        <f>datos_base!$C$69*'Parametros Recargas'!K$37*'Parametros Recargas'!$Q$37</f>
        <v>7.066982697</v>
      </c>
      <c r="K65" s="64">
        <f>datos_base!$C$69*'Parametros Recargas'!L$37*'Parametros Recargas'!$Q$37</f>
        <v>7.066982697</v>
      </c>
      <c r="L65" s="64">
        <f>datos_base!$C$69*'Parametros Recargas'!M$37*'Parametros Recargas'!$Q$37</f>
        <v>7.066982697</v>
      </c>
      <c r="M65" s="64">
        <f>datos_base!$C$69*'Parametros Recargas'!N$37*'Parametros Recargas'!$Q$37</f>
        <v>6.625296278</v>
      </c>
      <c r="N65" s="64">
        <f>datos_base!$C$69*'Parametros Recargas'!O$37*'Parametros Recargas'!$Q$37</f>
        <v>7.950355534</v>
      </c>
      <c r="O65" s="84">
        <f t="shared" si="38"/>
        <v>88.33728371</v>
      </c>
    </row>
    <row r="66" ht="15.75" customHeight="1">
      <c r="A66" s="30" t="str">
        <f>datos_base!$A$70</f>
        <v>ABC 50 kg s/ruedas</v>
      </c>
      <c r="B66" s="139" t="s">
        <v>379</v>
      </c>
      <c r="C66" s="64">
        <f>datos_base!$C$70*'Parametros Recargas'!D$38*'Parametros Recargas'!$Q$38</f>
        <v>19.41365886</v>
      </c>
      <c r="D66" s="64">
        <f>datos_base!$C$70*'Parametros Recargas'!E$38*'Parametros Recargas'!$Q$38</f>
        <v>15.53092709</v>
      </c>
      <c r="E66" s="64">
        <f>datos_base!$C$70*'Parametros Recargas'!F$38*'Parametros Recargas'!$Q$38</f>
        <v>16.50161003</v>
      </c>
      <c r="F66" s="64">
        <f>datos_base!$C$70*'Parametros Recargas'!G$38*'Parametros Recargas'!$Q$38</f>
        <v>16.50161003</v>
      </c>
      <c r="G66" s="64">
        <f>datos_base!$C$70*'Parametros Recargas'!H$38*'Parametros Recargas'!$Q$38</f>
        <v>15.53092709</v>
      </c>
      <c r="H66" s="64">
        <f>datos_base!$C$70*'Parametros Recargas'!I$38*'Parametros Recargas'!$Q$38</f>
        <v>14.56024415</v>
      </c>
      <c r="I66" s="64">
        <f>datos_base!$C$70*'Parametros Recargas'!J$38*'Parametros Recargas'!$Q$38</f>
        <v>17.47229298</v>
      </c>
      <c r="J66" s="64">
        <f>datos_base!$C$70*'Parametros Recargas'!K$38*'Parametros Recargas'!$Q$38</f>
        <v>15.53092709</v>
      </c>
      <c r="K66" s="64">
        <f>datos_base!$C$70*'Parametros Recargas'!L$38*'Parametros Recargas'!$Q$38</f>
        <v>15.53092709</v>
      </c>
      <c r="L66" s="64">
        <f>datos_base!$C$70*'Parametros Recargas'!M$38*'Parametros Recargas'!$Q$38</f>
        <v>15.53092709</v>
      </c>
      <c r="M66" s="64">
        <f>datos_base!$C$70*'Parametros Recargas'!N$38*'Parametros Recargas'!$Q$38</f>
        <v>14.56024415</v>
      </c>
      <c r="N66" s="64">
        <f>datos_base!$C$70*'Parametros Recargas'!O$38*'Parametros Recargas'!$Q$38</f>
        <v>17.47229298</v>
      </c>
      <c r="O66" s="84">
        <f t="shared" si="38"/>
        <v>194.1365886</v>
      </c>
    </row>
    <row r="67" ht="15.75" customHeight="1">
      <c r="A67" s="30" t="str">
        <f>datos_base!$A$71</f>
        <v>ABC 70 kg s/ruedas</v>
      </c>
      <c r="B67" s="139" t="s">
        <v>379</v>
      </c>
      <c r="C67" s="64">
        <f>datos_base!$C$71*'Parametros Recargas'!D$39*'Parametros Recargas'!$Q$39</f>
        <v>4.211428642</v>
      </c>
      <c r="D67" s="64">
        <f>datos_base!$C$71*'Parametros Recargas'!E$39*'Parametros Recargas'!$Q$39</f>
        <v>3.369142914</v>
      </c>
      <c r="E67" s="64">
        <f>datos_base!$C$71*'Parametros Recargas'!F$39*'Parametros Recargas'!$Q$39</f>
        <v>3.579714346</v>
      </c>
      <c r="F67" s="64">
        <f>datos_base!$C$71*'Parametros Recargas'!G$39*'Parametros Recargas'!$Q$39</f>
        <v>3.579714346</v>
      </c>
      <c r="G67" s="64">
        <f>datos_base!$C$71*'Parametros Recargas'!H$39*'Parametros Recargas'!$Q$39</f>
        <v>3.369142914</v>
      </c>
      <c r="H67" s="64">
        <f>datos_base!$C$71*'Parametros Recargas'!I$39*'Parametros Recargas'!$Q$39</f>
        <v>3.158571481</v>
      </c>
      <c r="I67" s="64">
        <f>datos_base!$C$71*'Parametros Recargas'!J$39*'Parametros Recargas'!$Q$39</f>
        <v>3.790285778</v>
      </c>
      <c r="J67" s="64">
        <f>datos_base!$C$71*'Parametros Recargas'!K$39*'Parametros Recargas'!$Q$39</f>
        <v>3.369142914</v>
      </c>
      <c r="K67" s="64">
        <f>datos_base!$C$71*'Parametros Recargas'!L$39*'Parametros Recargas'!$Q$39</f>
        <v>3.369142914</v>
      </c>
      <c r="L67" s="64">
        <f>datos_base!$C$71*'Parametros Recargas'!M$39*'Parametros Recargas'!$Q$39</f>
        <v>3.369142914</v>
      </c>
      <c r="M67" s="64">
        <f>datos_base!$C$71*'Parametros Recargas'!N$39*'Parametros Recargas'!$Q$39</f>
        <v>3.158571481</v>
      </c>
      <c r="N67" s="64">
        <f>datos_base!$C$71*'Parametros Recargas'!O$39*'Parametros Recargas'!$Q$39</f>
        <v>3.790285778</v>
      </c>
      <c r="O67" s="84">
        <f t="shared" si="38"/>
        <v>42.11428642</v>
      </c>
    </row>
    <row r="68" ht="15.75" customHeight="1">
      <c r="A68" s="30" t="str">
        <f>datos_base!$A$72</f>
        <v>ABC 100 kg s/ruedas</v>
      </c>
      <c r="B68" s="139" t="s">
        <v>379</v>
      </c>
      <c r="C68" s="64">
        <f>datos_base!$C$72*'Parametros Recargas'!D$40*'Parametros Recargas'!$Q$40</f>
        <v>2.876097609</v>
      </c>
      <c r="D68" s="64">
        <f>datos_base!$C$72*'Parametros Recargas'!E$40*'Parametros Recargas'!$Q$40</f>
        <v>2.300878087</v>
      </c>
      <c r="E68" s="64">
        <f>datos_base!$C$72*'Parametros Recargas'!F$40*'Parametros Recargas'!$Q$40</f>
        <v>2.444682968</v>
      </c>
      <c r="F68" s="64">
        <f>datos_base!$C$72*'Parametros Recargas'!G$40*'Parametros Recargas'!$Q$40</f>
        <v>2.444682968</v>
      </c>
      <c r="G68" s="64">
        <f>datos_base!$C$72*'Parametros Recargas'!H$40*'Parametros Recargas'!$Q$40</f>
        <v>2.300878087</v>
      </c>
      <c r="H68" s="64">
        <f>datos_base!$C$72*'Parametros Recargas'!I$40*'Parametros Recargas'!$Q$40</f>
        <v>2.157073207</v>
      </c>
      <c r="I68" s="64">
        <f>datos_base!$C$72*'Parametros Recargas'!J$40*'Parametros Recargas'!$Q$40</f>
        <v>2.588487848</v>
      </c>
      <c r="J68" s="64">
        <f>datos_base!$C$72*'Parametros Recargas'!K$40*'Parametros Recargas'!$Q$40</f>
        <v>2.300878087</v>
      </c>
      <c r="K68" s="64">
        <f>datos_base!$C$72*'Parametros Recargas'!L$40*'Parametros Recargas'!$Q$40</f>
        <v>2.300878087</v>
      </c>
      <c r="L68" s="64">
        <f>datos_base!$C$72*'Parametros Recargas'!M$40*'Parametros Recargas'!$Q$40</f>
        <v>2.300878087</v>
      </c>
      <c r="M68" s="64">
        <f>datos_base!$C$72*'Parametros Recargas'!N$40*'Parametros Recargas'!$Q$40</f>
        <v>2.157073207</v>
      </c>
      <c r="N68" s="64">
        <f>datos_base!$C$72*'Parametros Recargas'!O$40*'Parametros Recargas'!$Q$40</f>
        <v>2.588487848</v>
      </c>
      <c r="O68" s="84">
        <f t="shared" si="38"/>
        <v>28.76097609</v>
      </c>
    </row>
    <row r="69" ht="15.75" customHeight="1">
      <c r="A69" s="30" t="str">
        <f>datos_base!$A$62</f>
        <v>BC 5 kg</v>
      </c>
      <c r="B69" s="139" t="s">
        <v>398</v>
      </c>
      <c r="C69" s="64">
        <f>datos_base!$C$62*'Parametros Recargas'!D$41*'Parametros Recargas'!$Q$41</f>
        <v>1.448320582</v>
      </c>
      <c r="D69" s="64">
        <f>datos_base!$C$62*'Parametros Recargas'!E$41*'Parametros Recargas'!$Q$41</f>
        <v>1.287396073</v>
      </c>
      <c r="E69" s="64">
        <f>datos_base!$C$62*'Parametros Recargas'!F$41*'Parametros Recargas'!$Q$41</f>
        <v>1.367858327</v>
      </c>
      <c r="F69" s="64">
        <f>datos_base!$C$62*'Parametros Recargas'!G$41*'Parametros Recargas'!$Q$41</f>
        <v>1.287396073</v>
      </c>
      <c r="G69" s="64">
        <f>datos_base!$C$62*'Parametros Recargas'!H$41*'Parametros Recargas'!$Q$41</f>
        <v>1.206933818</v>
      </c>
      <c r="H69" s="64">
        <f>datos_base!$C$62*'Parametros Recargas'!I$41*'Parametros Recargas'!$Q$41</f>
        <v>1.126471564</v>
      </c>
      <c r="I69" s="64">
        <f>datos_base!$C$62*'Parametros Recargas'!J$41*'Parametros Recargas'!$Q$41</f>
        <v>1.287396073</v>
      </c>
      <c r="J69" s="64">
        <f>datos_base!$C$62*'Parametros Recargas'!K$41*'Parametros Recargas'!$Q$41</f>
        <v>1.367858327</v>
      </c>
      <c r="K69" s="64">
        <f>datos_base!$C$62*'Parametros Recargas'!L$41*'Parametros Recargas'!$Q$41</f>
        <v>1.367858327</v>
      </c>
      <c r="L69" s="64">
        <f>datos_base!$C$62*'Parametros Recargas'!M$41*'Parametros Recargas'!$Q$41</f>
        <v>1.287396073</v>
      </c>
      <c r="M69" s="64">
        <f>datos_base!$C$62*'Parametros Recargas'!N$41*'Parametros Recargas'!$Q$41</f>
        <v>1.287396073</v>
      </c>
      <c r="N69" s="64">
        <f>datos_base!$C$62*'Parametros Recargas'!O$41*'Parametros Recargas'!$Q$41</f>
        <v>1.7701696</v>
      </c>
      <c r="O69" s="84">
        <f t="shared" si="38"/>
        <v>16.09245091</v>
      </c>
    </row>
    <row r="70" ht="15.75" customHeight="1">
      <c r="A70" s="30" t="str">
        <f>datos_base!$A$68</f>
        <v>Clase D 9 l</v>
      </c>
      <c r="B70" s="139" t="s">
        <v>402</v>
      </c>
      <c r="C70" s="64">
        <f>datos_base!$C$68*'Parametros Recargas'!D$42*'Parametros Recargas'!$Q$42</f>
        <v>1.448320582</v>
      </c>
      <c r="D70" s="64">
        <f>datos_base!$C$68*'Parametros Recargas'!E$42*'Parametros Recargas'!$Q$42</f>
        <v>1.287396073</v>
      </c>
      <c r="E70" s="64">
        <f>datos_base!$C$68*'Parametros Recargas'!F$42*'Parametros Recargas'!$Q$42</f>
        <v>1.367858327</v>
      </c>
      <c r="F70" s="64">
        <f>datos_base!$C$68*'Parametros Recargas'!G$42*'Parametros Recargas'!$Q$42</f>
        <v>1.287396073</v>
      </c>
      <c r="G70" s="64">
        <f>datos_base!$C$68*'Parametros Recargas'!H$42*'Parametros Recargas'!$Q$42</f>
        <v>1.206933818</v>
      </c>
      <c r="H70" s="64">
        <f>datos_base!$C$68*'Parametros Recargas'!I$42*'Parametros Recargas'!$Q$42</f>
        <v>1.126471564</v>
      </c>
      <c r="I70" s="64">
        <f>datos_base!$C$68*'Parametros Recargas'!J$42*'Parametros Recargas'!$Q$42</f>
        <v>1.287396073</v>
      </c>
      <c r="J70" s="64">
        <f>datos_base!$C$68*'Parametros Recargas'!K$42*'Parametros Recargas'!$Q$42</f>
        <v>1.367858327</v>
      </c>
      <c r="K70" s="64">
        <f>datos_base!$C$68*'Parametros Recargas'!L$42*'Parametros Recargas'!$Q$42</f>
        <v>1.367858327</v>
      </c>
      <c r="L70" s="64">
        <f>datos_base!$C$68*'Parametros Recargas'!M$42*'Parametros Recargas'!$Q$42</f>
        <v>1.287396073</v>
      </c>
      <c r="M70" s="64">
        <f>datos_base!$C$68*'Parametros Recargas'!N$42*'Parametros Recargas'!$Q$42</f>
        <v>1.287396073</v>
      </c>
      <c r="N70" s="64">
        <f>datos_base!$C$68*'Parametros Recargas'!O$42*'Parametros Recargas'!$Q$42</f>
        <v>1.7701696</v>
      </c>
      <c r="O70" s="84">
        <f t="shared" si="38"/>
        <v>16.09245091</v>
      </c>
    </row>
    <row r="71" ht="15.75" customHeight="1">
      <c r="A71" s="30" t="str">
        <f>datos_base!$A$59</f>
        <v>Agua 10 l</v>
      </c>
      <c r="B71" s="139" t="s">
        <v>407</v>
      </c>
      <c r="C71" s="64">
        <f>datos_base!$C$59*'Parametros Recargas'!D$43*'Parametros Recargas'!$Q$43</f>
        <v>19.81425817</v>
      </c>
      <c r="D71" s="64">
        <f>datos_base!$C$59*'Parametros Recargas'!E$43*'Parametros Recargas'!$Q$43</f>
        <v>17.61267393</v>
      </c>
      <c r="E71" s="64">
        <f>datos_base!$C$59*'Parametros Recargas'!F$43*'Parametros Recargas'!$Q$43</f>
        <v>18.71346605</v>
      </c>
      <c r="F71" s="64">
        <f>datos_base!$C$59*'Parametros Recargas'!G$43*'Parametros Recargas'!$Q$43</f>
        <v>17.61267393</v>
      </c>
      <c r="G71" s="64">
        <f>datos_base!$C$59*'Parametros Recargas'!H$43*'Parametros Recargas'!$Q$43</f>
        <v>16.51188181</v>
      </c>
      <c r="H71" s="64">
        <f>datos_base!$C$59*'Parametros Recargas'!I$43*'Parametros Recargas'!$Q$43</f>
        <v>15.41108969</v>
      </c>
      <c r="I71" s="64">
        <f>datos_base!$C$59*'Parametros Recargas'!J$43*'Parametros Recargas'!$Q$43</f>
        <v>17.61267393</v>
      </c>
      <c r="J71" s="64">
        <f>datos_base!$C$59*'Parametros Recargas'!K$43*'Parametros Recargas'!$Q$43</f>
        <v>18.71346605</v>
      </c>
      <c r="K71" s="64">
        <f>datos_base!$C$59*'Parametros Recargas'!L$43*'Parametros Recargas'!$Q$43</f>
        <v>18.71346605</v>
      </c>
      <c r="L71" s="64">
        <f>datos_base!$C$59*'Parametros Recargas'!M$43*'Parametros Recargas'!$Q$43</f>
        <v>17.61267393</v>
      </c>
      <c r="M71" s="64">
        <f>datos_base!$C$59*'Parametros Recargas'!N$43*'Parametros Recargas'!$Q$43</f>
        <v>17.61267393</v>
      </c>
      <c r="N71" s="64">
        <f>datos_base!$C$59*'Parametros Recargas'!O$43*'Parametros Recargas'!$Q$43</f>
        <v>24.21742665</v>
      </c>
      <c r="O71" s="84">
        <f t="shared" si="38"/>
        <v>220.1584241</v>
      </c>
    </row>
    <row r="72" ht="15.75" customHeight="1">
      <c r="A72" s="30" t="str">
        <f>datos_base!$A$60</f>
        <v>AFFF 10 l</v>
      </c>
      <c r="B72" s="139" t="s">
        <v>407</v>
      </c>
      <c r="C72" s="64">
        <f>datos_base!$C$60*'Parametros Recargas'!D$44*'Parametros Recargas'!$Q$44</f>
        <v>4.992083707</v>
      </c>
      <c r="D72" s="64">
        <f>datos_base!$C$60*'Parametros Recargas'!E$44*'Parametros Recargas'!$Q$44</f>
        <v>4.43740774</v>
      </c>
      <c r="E72" s="64">
        <f>datos_base!$C$60*'Parametros Recargas'!F$44*'Parametros Recargas'!$Q$44</f>
        <v>4.714745724</v>
      </c>
      <c r="F72" s="64">
        <f>datos_base!$C$60*'Parametros Recargas'!G$44*'Parametros Recargas'!$Q$44</f>
        <v>4.43740774</v>
      </c>
      <c r="G72" s="64">
        <f>datos_base!$C$60*'Parametros Recargas'!H$44*'Parametros Recargas'!$Q$44</f>
        <v>4.160069756</v>
      </c>
      <c r="H72" s="64">
        <f>datos_base!$C$60*'Parametros Recargas'!I$44*'Parametros Recargas'!$Q$44</f>
        <v>3.882731772</v>
      </c>
      <c r="I72" s="64">
        <f>datos_base!$C$60*'Parametros Recargas'!J$44*'Parametros Recargas'!$Q$44</f>
        <v>4.43740774</v>
      </c>
      <c r="J72" s="64">
        <f>datos_base!$C$60*'Parametros Recargas'!K$44*'Parametros Recargas'!$Q$44</f>
        <v>4.714745724</v>
      </c>
      <c r="K72" s="64">
        <f>datos_base!$C$60*'Parametros Recargas'!L$44*'Parametros Recargas'!$Q$44</f>
        <v>4.714745724</v>
      </c>
      <c r="L72" s="64">
        <f>datos_base!$C$60*'Parametros Recargas'!M$44*'Parametros Recargas'!$Q$44</f>
        <v>4.43740774</v>
      </c>
      <c r="M72" s="64">
        <f>datos_base!$C$60*'Parametros Recargas'!N$44*'Parametros Recargas'!$Q$44</f>
        <v>4.43740774</v>
      </c>
      <c r="N72" s="64">
        <f>datos_base!$C$60*'Parametros Recargas'!O$44*'Parametros Recargas'!$Q$44</f>
        <v>6.101435642</v>
      </c>
      <c r="O72" s="84">
        <f t="shared" si="38"/>
        <v>55.46759675</v>
      </c>
    </row>
    <row r="73" ht="15.75" customHeight="1">
      <c r="A73" s="30" t="str">
        <f>datos_base!$A$63</f>
        <v>Sales K 6 l</v>
      </c>
      <c r="B73" s="139" t="s">
        <v>407</v>
      </c>
      <c r="C73" s="64">
        <f>datos_base!$C$63*'Parametros Recargas'!D$45*'Parametros Recargas'!$Q$45</f>
        <v>10.32313606</v>
      </c>
      <c r="D73" s="64">
        <f>datos_base!$C$63*'Parametros Recargas'!E$45*'Parametros Recargas'!$Q$45</f>
        <v>9.176120943</v>
      </c>
      <c r="E73" s="64">
        <f>datos_base!$C$63*'Parametros Recargas'!F$45*'Parametros Recargas'!$Q$45</f>
        <v>9.749628502</v>
      </c>
      <c r="F73" s="64">
        <f>datos_base!$C$63*'Parametros Recargas'!G$45*'Parametros Recargas'!$Q$45</f>
        <v>9.176120943</v>
      </c>
      <c r="G73" s="64">
        <f>datos_base!$C$63*'Parametros Recargas'!H$45*'Parametros Recargas'!$Q$45</f>
        <v>8.602613385</v>
      </c>
      <c r="H73" s="64">
        <f>datos_base!$C$63*'Parametros Recargas'!I$45*'Parametros Recargas'!$Q$45</f>
        <v>8.029105826</v>
      </c>
      <c r="I73" s="64">
        <f>datos_base!$C$63*'Parametros Recargas'!J$45*'Parametros Recargas'!$Q$45</f>
        <v>9.176120943</v>
      </c>
      <c r="J73" s="64">
        <f>datos_base!$C$63*'Parametros Recargas'!K$45*'Parametros Recargas'!$Q$45</f>
        <v>9.749628502</v>
      </c>
      <c r="K73" s="64">
        <f>datos_base!$C$63*'Parametros Recargas'!L$45*'Parametros Recargas'!$Q$45</f>
        <v>9.749628502</v>
      </c>
      <c r="L73" s="64">
        <f>datos_base!$C$63*'Parametros Recargas'!M$45*'Parametros Recargas'!$Q$45</f>
        <v>9.176120943</v>
      </c>
      <c r="M73" s="64">
        <f>datos_base!$C$63*'Parametros Recargas'!N$45*'Parametros Recargas'!$Q$45</f>
        <v>9.176120943</v>
      </c>
      <c r="N73" s="64">
        <f>datos_base!$C$63*'Parametros Recargas'!O$45*'Parametros Recargas'!$Q$45</f>
        <v>12.6171663</v>
      </c>
      <c r="O73" s="84">
        <f t="shared" si="38"/>
        <v>114.7015118</v>
      </c>
    </row>
    <row r="74" ht="15.75" customHeight="1">
      <c r="A74" s="30" t="str">
        <f>datos_base!$A$61</f>
        <v>AFFF 50 l s/ruedas</v>
      </c>
      <c r="B74" s="139" t="s">
        <v>407</v>
      </c>
      <c r="C74" s="64">
        <f>datos_base!$C$61*'Parametros Recargas'!D$46*'Parametros Recargas'!$Q$46</f>
        <v>8.628292827</v>
      </c>
      <c r="D74" s="64">
        <f>datos_base!$C$61*'Parametros Recargas'!E$46*'Parametros Recargas'!$Q$46</f>
        <v>6.902634262</v>
      </c>
      <c r="E74" s="64">
        <f>datos_base!$C$61*'Parametros Recargas'!F$46*'Parametros Recargas'!$Q$46</f>
        <v>7.334048903</v>
      </c>
      <c r="F74" s="64">
        <f>datos_base!$C$61*'Parametros Recargas'!G$46*'Parametros Recargas'!$Q$46</f>
        <v>7.334048903</v>
      </c>
      <c r="G74" s="64">
        <f>datos_base!$C$61*'Parametros Recargas'!H$46*'Parametros Recargas'!$Q$46</f>
        <v>6.902634262</v>
      </c>
      <c r="H74" s="64">
        <f>datos_base!$C$61*'Parametros Recargas'!I$46*'Parametros Recargas'!$Q$46</f>
        <v>6.471219621</v>
      </c>
      <c r="I74" s="64">
        <f>datos_base!$C$61*'Parametros Recargas'!J$46*'Parametros Recargas'!$Q$46</f>
        <v>7.765463545</v>
      </c>
      <c r="J74" s="64">
        <f>datos_base!$C$61*'Parametros Recargas'!K$46*'Parametros Recargas'!$Q$46</f>
        <v>6.902634262</v>
      </c>
      <c r="K74" s="64">
        <f>datos_base!$C$61*'Parametros Recargas'!L$46*'Parametros Recargas'!$Q$46</f>
        <v>6.902634262</v>
      </c>
      <c r="L74" s="64">
        <f>datos_base!$C$61*'Parametros Recargas'!M$46*'Parametros Recargas'!$Q$46</f>
        <v>6.902634262</v>
      </c>
      <c r="M74" s="64">
        <f>datos_base!$C$61*'Parametros Recargas'!N$46*'Parametros Recargas'!$Q$46</f>
        <v>6.471219621</v>
      </c>
      <c r="N74" s="64">
        <f>datos_base!$C$61*'Parametros Recargas'!O$46*'Parametros Recargas'!$Q$46</f>
        <v>7.765463545</v>
      </c>
      <c r="O74" s="84">
        <f t="shared" si="38"/>
        <v>86.28292827</v>
      </c>
    </row>
    <row r="75" ht="15.75" customHeight="1">
      <c r="A75" s="30" t="str">
        <f>datos_base!$A$64</f>
        <v>CO₂ 2 kg</v>
      </c>
      <c r="B75" s="139" t="s">
        <v>418</v>
      </c>
      <c r="C75" s="64">
        <f>datos_base!$C$64*'Parametros Recargas'!D$47*'Parametros Recargas'!$Q$47</f>
        <v>52.2936176</v>
      </c>
      <c r="D75" s="64">
        <f>datos_base!$C$64*'Parametros Recargas'!E$47*'Parametros Recargas'!$Q$47</f>
        <v>46.48321565</v>
      </c>
      <c r="E75" s="64">
        <f>datos_base!$C$64*'Parametros Recargas'!F$47*'Parametros Recargas'!$Q$47</f>
        <v>49.38841662</v>
      </c>
      <c r="F75" s="64">
        <f>datos_base!$C$64*'Parametros Recargas'!G$47*'Parametros Recargas'!$Q$47</f>
        <v>46.48321565</v>
      </c>
      <c r="G75" s="64">
        <f>datos_base!$C$64*'Parametros Recargas'!H$47*'Parametros Recargas'!$Q$47</f>
        <v>43.57801467</v>
      </c>
      <c r="H75" s="64">
        <f>datos_base!$C$64*'Parametros Recargas'!I$47*'Parametros Recargas'!$Q$47</f>
        <v>40.67281369</v>
      </c>
      <c r="I75" s="64">
        <f>datos_base!$C$64*'Parametros Recargas'!J$47*'Parametros Recargas'!$Q$47</f>
        <v>46.48321565</v>
      </c>
      <c r="J75" s="64">
        <f>datos_base!$C$64*'Parametros Recargas'!K$47*'Parametros Recargas'!$Q$47</f>
        <v>49.38841662</v>
      </c>
      <c r="K75" s="64">
        <f>datos_base!$C$64*'Parametros Recargas'!L$47*'Parametros Recargas'!$Q$47</f>
        <v>49.38841662</v>
      </c>
      <c r="L75" s="64">
        <f>datos_base!$C$64*'Parametros Recargas'!M$47*'Parametros Recargas'!$Q$47</f>
        <v>46.48321565</v>
      </c>
      <c r="M75" s="64">
        <f>datos_base!$C$64*'Parametros Recargas'!N$47*'Parametros Recargas'!$Q$47</f>
        <v>46.48321565</v>
      </c>
      <c r="N75" s="64">
        <f>datos_base!$C$64*'Parametros Recargas'!O$47*'Parametros Recargas'!$Q$47</f>
        <v>63.91442151</v>
      </c>
      <c r="O75" s="84">
        <f t="shared" si="38"/>
        <v>581.0401956</v>
      </c>
    </row>
    <row r="76" ht="15.75" customHeight="1">
      <c r="A76" s="30" t="str">
        <f>datos_base!$A$65</f>
        <v>CO₂ 5 kg</v>
      </c>
      <c r="B76" s="139" t="s">
        <v>418</v>
      </c>
      <c r="C76" s="64">
        <f>datos_base!$C$65*'Parametros Recargas'!D$48*'Parametros Recargas'!$Q$48</f>
        <v>19.8450735</v>
      </c>
      <c r="D76" s="64">
        <f>datos_base!$C$65*'Parametros Recargas'!E$48*'Parametros Recargas'!$Q$48</f>
        <v>17.64006534</v>
      </c>
      <c r="E76" s="64">
        <f>datos_base!$C$65*'Parametros Recargas'!F$48*'Parametros Recargas'!$Q$48</f>
        <v>18.74256942</v>
      </c>
      <c r="F76" s="64">
        <f>datos_base!$C$65*'Parametros Recargas'!G$48*'Parametros Recargas'!$Q$48</f>
        <v>17.64006534</v>
      </c>
      <c r="G76" s="64">
        <f>datos_base!$C$65*'Parametros Recargas'!H$48*'Parametros Recargas'!$Q$48</f>
        <v>16.53756125</v>
      </c>
      <c r="H76" s="64">
        <f>datos_base!$C$65*'Parametros Recargas'!I$48*'Parametros Recargas'!$Q$48</f>
        <v>15.43505717</v>
      </c>
      <c r="I76" s="64">
        <f>datos_base!$C$65*'Parametros Recargas'!J$48*'Parametros Recargas'!$Q$48</f>
        <v>17.64006534</v>
      </c>
      <c r="J76" s="64">
        <f>datos_base!$C$65*'Parametros Recargas'!K$48*'Parametros Recargas'!$Q$48</f>
        <v>18.74256942</v>
      </c>
      <c r="K76" s="64">
        <f>datos_base!$C$65*'Parametros Recargas'!L$48*'Parametros Recargas'!$Q$48</f>
        <v>18.74256942</v>
      </c>
      <c r="L76" s="64">
        <f>datos_base!$C$65*'Parametros Recargas'!M$48*'Parametros Recargas'!$Q$48</f>
        <v>17.64006534</v>
      </c>
      <c r="M76" s="64">
        <f>datos_base!$C$65*'Parametros Recargas'!N$48*'Parametros Recargas'!$Q$48</f>
        <v>17.64006534</v>
      </c>
      <c r="N76" s="64">
        <f>datos_base!$C$65*'Parametros Recargas'!O$48*'Parametros Recargas'!$Q$48</f>
        <v>24.25508984</v>
      </c>
      <c r="O76" s="84">
        <f t="shared" si="38"/>
        <v>220.5008167</v>
      </c>
    </row>
    <row r="77" ht="15.75" customHeight="1">
      <c r="A77" s="30" t="str">
        <f>datos_base!$A$67</f>
        <v>HCFC/HFC 5 kg</v>
      </c>
      <c r="B77" s="139" t="s">
        <v>422</v>
      </c>
      <c r="C77" s="64">
        <f>datos_base!$C$67*'Parametros Recargas'!D$49*'Parametros Recargas'!$Q$49</f>
        <v>3.451317131</v>
      </c>
      <c r="D77" s="64">
        <f>datos_base!$C$67*'Parametros Recargas'!E$49*'Parametros Recargas'!$Q$49</f>
        <v>3.06783745</v>
      </c>
      <c r="E77" s="64">
        <f>datos_base!$C$67*'Parametros Recargas'!F$49*'Parametros Recargas'!$Q$49</f>
        <v>3.25957729</v>
      </c>
      <c r="F77" s="64">
        <f>datos_base!$C$67*'Parametros Recargas'!G$49*'Parametros Recargas'!$Q$49</f>
        <v>3.06783745</v>
      </c>
      <c r="G77" s="64">
        <f>datos_base!$C$67*'Parametros Recargas'!H$49*'Parametros Recargas'!$Q$49</f>
        <v>2.876097609</v>
      </c>
      <c r="H77" s="64">
        <f>datos_base!$C$67*'Parametros Recargas'!I$49*'Parametros Recargas'!$Q$49</f>
        <v>2.684357769</v>
      </c>
      <c r="I77" s="64">
        <f>datos_base!$C$67*'Parametros Recargas'!J$49*'Parametros Recargas'!$Q$49</f>
        <v>3.06783745</v>
      </c>
      <c r="J77" s="64">
        <f>datos_base!$C$67*'Parametros Recargas'!K$49*'Parametros Recargas'!$Q$49</f>
        <v>3.25957729</v>
      </c>
      <c r="K77" s="64">
        <f>datos_base!$C$67*'Parametros Recargas'!L$49*'Parametros Recargas'!$Q$49</f>
        <v>3.25957729</v>
      </c>
      <c r="L77" s="64">
        <f>datos_base!$C$67*'Parametros Recargas'!M$49*'Parametros Recargas'!$Q$49</f>
        <v>3.06783745</v>
      </c>
      <c r="M77" s="64">
        <f>datos_base!$C$67*'Parametros Recargas'!N$49*'Parametros Recargas'!$Q$49</f>
        <v>3.06783745</v>
      </c>
      <c r="N77" s="64">
        <f>datos_base!$C$67*'Parametros Recargas'!O$49*'Parametros Recargas'!$Q$49</f>
        <v>4.218276493</v>
      </c>
      <c r="O77" s="84">
        <f t="shared" si="38"/>
        <v>38.34796812</v>
      </c>
    </row>
    <row r="78" ht="15.75" customHeight="1">
      <c r="A78" s="29" t="s">
        <v>426</v>
      </c>
      <c r="B78" s="29"/>
      <c r="C78" s="29" t="s">
        <v>109</v>
      </c>
      <c r="D78" s="29" t="s">
        <v>110</v>
      </c>
      <c r="E78" s="29" t="s">
        <v>111</v>
      </c>
      <c r="F78" s="29" t="s">
        <v>112</v>
      </c>
      <c r="G78" s="29" t="s">
        <v>113</v>
      </c>
      <c r="H78" s="29" t="s">
        <v>114</v>
      </c>
      <c r="I78" s="29" t="s">
        <v>115</v>
      </c>
      <c r="J78" s="29" t="s">
        <v>116</v>
      </c>
      <c r="K78" s="29" t="s">
        <v>117</v>
      </c>
      <c r="L78" s="29" t="s">
        <v>118</v>
      </c>
      <c r="M78" s="29" t="s">
        <v>119</v>
      </c>
      <c r="N78" s="29" t="s">
        <v>120</v>
      </c>
      <c r="O78" s="29" t="s">
        <v>15</v>
      </c>
    </row>
    <row r="79" ht="15.75" customHeight="1">
      <c r="A79" s="73" t="s">
        <v>379</v>
      </c>
      <c r="B79" s="118" t="s">
        <v>431</v>
      </c>
      <c r="C79" s="64">
        <f t="shared" ref="C79:N79" si="39">SUM(C61:C68)</f>
        <v>911.5277783</v>
      </c>
      <c r="D79" s="64">
        <f t="shared" si="39"/>
        <v>743.8334833</v>
      </c>
      <c r="E79" s="64">
        <f t="shared" si="39"/>
        <v>761.9956973</v>
      </c>
      <c r="F79" s="64">
        <f t="shared" si="39"/>
        <v>745.600229</v>
      </c>
      <c r="G79" s="64">
        <f t="shared" si="39"/>
        <v>727.438015</v>
      </c>
      <c r="H79" s="64">
        <f t="shared" si="39"/>
        <v>709.275801</v>
      </c>
      <c r="I79" s="64">
        <f t="shared" si="39"/>
        <v>747.3669747</v>
      </c>
      <c r="J79" s="64">
        <f t="shared" si="39"/>
        <v>760.2289516</v>
      </c>
      <c r="K79" s="64">
        <f t="shared" si="39"/>
        <v>760.2289516</v>
      </c>
      <c r="L79" s="64">
        <f t="shared" si="39"/>
        <v>743.8334833</v>
      </c>
      <c r="M79" s="64">
        <f t="shared" si="39"/>
        <v>742.0667376</v>
      </c>
      <c r="N79" s="64">
        <f t="shared" si="39"/>
        <v>1089.791047</v>
      </c>
      <c r="O79" s="84">
        <f t="shared" ref="O79:O84" si="41">SUM(C79:N79)</f>
        <v>9443.18715</v>
      </c>
    </row>
    <row r="80" ht="15.75" customHeight="1">
      <c r="A80" s="73" t="s">
        <v>398</v>
      </c>
      <c r="B80" s="118" t="s">
        <v>431</v>
      </c>
      <c r="C80" s="64">
        <f t="shared" ref="C80:N80" si="40">SUM(C69)</f>
        <v>1.448320582</v>
      </c>
      <c r="D80" s="64">
        <f t="shared" si="40"/>
        <v>1.287396073</v>
      </c>
      <c r="E80" s="64">
        <f t="shared" si="40"/>
        <v>1.367858327</v>
      </c>
      <c r="F80" s="64">
        <f t="shared" si="40"/>
        <v>1.287396073</v>
      </c>
      <c r="G80" s="64">
        <f t="shared" si="40"/>
        <v>1.206933818</v>
      </c>
      <c r="H80" s="64">
        <f t="shared" si="40"/>
        <v>1.126471564</v>
      </c>
      <c r="I80" s="64">
        <f t="shared" si="40"/>
        <v>1.287396073</v>
      </c>
      <c r="J80" s="64">
        <f t="shared" si="40"/>
        <v>1.367858327</v>
      </c>
      <c r="K80" s="64">
        <f t="shared" si="40"/>
        <v>1.367858327</v>
      </c>
      <c r="L80" s="64">
        <f t="shared" si="40"/>
        <v>1.287396073</v>
      </c>
      <c r="M80" s="64">
        <f t="shared" si="40"/>
        <v>1.287396073</v>
      </c>
      <c r="N80" s="64">
        <f t="shared" si="40"/>
        <v>1.7701696</v>
      </c>
      <c r="O80" s="84">
        <f t="shared" si="41"/>
        <v>16.09245091</v>
      </c>
    </row>
    <row r="81" ht="15.75" customHeight="1">
      <c r="A81" s="73" t="s">
        <v>402</v>
      </c>
      <c r="B81" s="118" t="s">
        <v>431</v>
      </c>
      <c r="C81" s="64">
        <f t="shared" ref="C81:N81" si="42">SUM(C70)</f>
        <v>1.448320582</v>
      </c>
      <c r="D81" s="64">
        <f t="shared" si="42"/>
        <v>1.287396073</v>
      </c>
      <c r="E81" s="64">
        <f t="shared" si="42"/>
        <v>1.367858327</v>
      </c>
      <c r="F81" s="64">
        <f t="shared" si="42"/>
        <v>1.287396073</v>
      </c>
      <c r="G81" s="64">
        <f t="shared" si="42"/>
        <v>1.206933818</v>
      </c>
      <c r="H81" s="64">
        <f t="shared" si="42"/>
        <v>1.126471564</v>
      </c>
      <c r="I81" s="64">
        <f t="shared" si="42"/>
        <v>1.287396073</v>
      </c>
      <c r="J81" s="64">
        <f t="shared" si="42"/>
        <v>1.367858327</v>
      </c>
      <c r="K81" s="64">
        <f t="shared" si="42"/>
        <v>1.367858327</v>
      </c>
      <c r="L81" s="64">
        <f t="shared" si="42"/>
        <v>1.287396073</v>
      </c>
      <c r="M81" s="64">
        <f t="shared" si="42"/>
        <v>1.287396073</v>
      </c>
      <c r="N81" s="64">
        <f t="shared" si="42"/>
        <v>1.7701696</v>
      </c>
      <c r="O81" s="84">
        <f t="shared" si="41"/>
        <v>16.09245091</v>
      </c>
    </row>
    <row r="82" ht="15.75" customHeight="1">
      <c r="A82" s="73" t="s">
        <v>407</v>
      </c>
      <c r="B82" s="118" t="s">
        <v>431</v>
      </c>
      <c r="C82" s="64">
        <f t="shared" ref="C82:N82" si="43">SUM(C71:C74)</f>
        <v>43.75777077</v>
      </c>
      <c r="D82" s="64">
        <f t="shared" si="43"/>
        <v>38.12883688</v>
      </c>
      <c r="E82" s="64">
        <f t="shared" si="43"/>
        <v>40.51188918</v>
      </c>
      <c r="F82" s="64">
        <f t="shared" si="43"/>
        <v>38.56025152</v>
      </c>
      <c r="G82" s="64">
        <f t="shared" si="43"/>
        <v>36.17719921</v>
      </c>
      <c r="H82" s="64">
        <f t="shared" si="43"/>
        <v>33.79414691</v>
      </c>
      <c r="I82" s="64">
        <f t="shared" si="43"/>
        <v>38.99166616</v>
      </c>
      <c r="J82" s="64">
        <f t="shared" si="43"/>
        <v>40.08047454</v>
      </c>
      <c r="K82" s="64">
        <f t="shared" si="43"/>
        <v>40.08047454</v>
      </c>
      <c r="L82" s="64">
        <f t="shared" si="43"/>
        <v>38.12883688</v>
      </c>
      <c r="M82" s="64">
        <f t="shared" si="43"/>
        <v>37.69742223</v>
      </c>
      <c r="N82" s="64">
        <f t="shared" si="43"/>
        <v>50.70149214</v>
      </c>
      <c r="O82" s="84">
        <f t="shared" si="41"/>
        <v>476.6104609</v>
      </c>
    </row>
    <row r="83" ht="15.75" customHeight="1">
      <c r="A83" s="73" t="s">
        <v>418</v>
      </c>
      <c r="B83" s="118" t="s">
        <v>431</v>
      </c>
      <c r="C83" s="64">
        <f t="shared" ref="C83:N83" si="44">SUM(C75:C76)</f>
        <v>72.1386911</v>
      </c>
      <c r="D83" s="64">
        <f t="shared" si="44"/>
        <v>64.12328098</v>
      </c>
      <c r="E83" s="64">
        <f t="shared" si="44"/>
        <v>68.13098604</v>
      </c>
      <c r="F83" s="64">
        <f t="shared" si="44"/>
        <v>64.12328098</v>
      </c>
      <c r="G83" s="64">
        <f t="shared" si="44"/>
        <v>60.11557592</v>
      </c>
      <c r="H83" s="64">
        <f t="shared" si="44"/>
        <v>56.10787086</v>
      </c>
      <c r="I83" s="64">
        <f t="shared" si="44"/>
        <v>64.12328098</v>
      </c>
      <c r="J83" s="64">
        <f t="shared" si="44"/>
        <v>68.13098604</v>
      </c>
      <c r="K83" s="64">
        <f t="shared" si="44"/>
        <v>68.13098604</v>
      </c>
      <c r="L83" s="64">
        <f t="shared" si="44"/>
        <v>64.12328098</v>
      </c>
      <c r="M83" s="64">
        <f t="shared" si="44"/>
        <v>64.12328098</v>
      </c>
      <c r="N83" s="64">
        <f t="shared" si="44"/>
        <v>88.16951135</v>
      </c>
      <c r="O83" s="84">
        <f t="shared" si="41"/>
        <v>801.5410123</v>
      </c>
    </row>
    <row r="84" ht="15.75" customHeight="1">
      <c r="A84" s="73" t="s">
        <v>422</v>
      </c>
      <c r="B84" s="118" t="s">
        <v>431</v>
      </c>
      <c r="C84" s="64">
        <f t="shared" ref="C84:N84" si="45">SUM(C77)</f>
        <v>3.451317131</v>
      </c>
      <c r="D84" s="64">
        <f t="shared" si="45"/>
        <v>3.06783745</v>
      </c>
      <c r="E84" s="64">
        <f t="shared" si="45"/>
        <v>3.25957729</v>
      </c>
      <c r="F84" s="64">
        <f t="shared" si="45"/>
        <v>3.06783745</v>
      </c>
      <c r="G84" s="64">
        <f t="shared" si="45"/>
        <v>2.876097609</v>
      </c>
      <c r="H84" s="64">
        <f t="shared" si="45"/>
        <v>2.684357769</v>
      </c>
      <c r="I84" s="64">
        <f t="shared" si="45"/>
        <v>3.06783745</v>
      </c>
      <c r="J84" s="64">
        <f t="shared" si="45"/>
        <v>3.25957729</v>
      </c>
      <c r="K84" s="64">
        <f t="shared" si="45"/>
        <v>3.25957729</v>
      </c>
      <c r="L84" s="64">
        <f t="shared" si="45"/>
        <v>3.06783745</v>
      </c>
      <c r="M84" s="64">
        <f t="shared" si="45"/>
        <v>3.06783745</v>
      </c>
      <c r="N84" s="64">
        <f t="shared" si="45"/>
        <v>4.218276493</v>
      </c>
      <c r="O84" s="84">
        <f t="shared" si="41"/>
        <v>38.34796812</v>
      </c>
    </row>
    <row r="85" ht="27.75" customHeight="1">
      <c r="A85" s="29" t="s">
        <v>446</v>
      </c>
      <c r="B85" s="29" t="s">
        <v>447</v>
      </c>
      <c r="C85" s="29" t="s">
        <v>109</v>
      </c>
      <c r="D85" s="29" t="s">
        <v>110</v>
      </c>
      <c r="E85" s="29" t="s">
        <v>111</v>
      </c>
      <c r="F85" s="29" t="s">
        <v>112</v>
      </c>
      <c r="G85" s="29" t="s">
        <v>113</v>
      </c>
      <c r="H85" s="29" t="s">
        <v>114</v>
      </c>
      <c r="I85" s="29" t="s">
        <v>115</v>
      </c>
      <c r="J85" s="29" t="s">
        <v>116</v>
      </c>
      <c r="K85" s="29" t="s">
        <v>117</v>
      </c>
      <c r="L85" s="29" t="s">
        <v>118</v>
      </c>
      <c r="M85" s="29" t="s">
        <v>119</v>
      </c>
      <c r="N85" s="29" t="s">
        <v>120</v>
      </c>
      <c r="O85" s="29" t="s">
        <v>448</v>
      </c>
      <c r="P85" s="29" t="s">
        <v>148</v>
      </c>
      <c r="Q85" s="29" t="s">
        <v>449</v>
      </c>
      <c r="R85" s="29" t="s">
        <v>209</v>
      </c>
      <c r="S85" s="29" t="s">
        <v>450</v>
      </c>
      <c r="T85" s="29" t="s">
        <v>451</v>
      </c>
      <c r="U85" s="29" t="s">
        <v>452</v>
      </c>
      <c r="V85" s="29" t="s">
        <v>453</v>
      </c>
      <c r="W85" s="29" t="s">
        <v>454</v>
      </c>
      <c r="X85" s="29" t="s">
        <v>418</v>
      </c>
      <c r="Y85" s="29" t="s">
        <v>455</v>
      </c>
      <c r="Z85" s="29" t="s">
        <v>456</v>
      </c>
      <c r="AA85" s="160"/>
    </row>
    <row r="86" ht="15.75" customHeight="1">
      <c r="A86" s="73" t="s">
        <v>457</v>
      </c>
      <c r="B86" s="118" t="s">
        <v>458</v>
      </c>
      <c r="C86" s="63">
        <f t="shared" ref="C86:N86" si="46">($T86*C$79+$U86*C$80+$V86*C$81+$W86*C$82+$X86*C$83+$Y86*C$84)/$B$2</f>
        <v>6.891814657</v>
      </c>
      <c r="D86" s="63">
        <f t="shared" si="46"/>
        <v>5.678188205</v>
      </c>
      <c r="E86" s="63">
        <f t="shared" si="46"/>
        <v>5.844225777</v>
      </c>
      <c r="F86" s="63">
        <f t="shared" si="46"/>
        <v>5.692842607</v>
      </c>
      <c r="G86" s="63">
        <f t="shared" si="46"/>
        <v>5.526805036</v>
      </c>
      <c r="H86" s="63">
        <f t="shared" si="46"/>
        <v>5.360767464</v>
      </c>
      <c r="I86" s="63">
        <f t="shared" si="46"/>
        <v>5.707497009</v>
      </c>
      <c r="J86" s="63">
        <f t="shared" si="46"/>
        <v>5.829571374</v>
      </c>
      <c r="K86" s="63">
        <f t="shared" si="46"/>
        <v>5.829571374</v>
      </c>
      <c r="L86" s="63">
        <f t="shared" si="46"/>
        <v>5.678188205</v>
      </c>
      <c r="M86" s="63">
        <f t="shared" si="46"/>
        <v>5.663533803</v>
      </c>
      <c r="N86" s="63">
        <f t="shared" si="46"/>
        <v>8.242804443</v>
      </c>
      <c r="O86" s="44">
        <f t="shared" ref="O86:O112" si="48">MAX(C86:N86)</f>
        <v>8.242804443</v>
      </c>
      <c r="P86" s="63">
        <f>'Parametros Recargas'!$M$85</f>
        <v>72</v>
      </c>
      <c r="Q86" s="36">
        <f>MAX(Q31,ROUNDUP(O86/(P86*'Parametros Recargas'!C$8*'Parametros Recargas'!$B$19),0))</f>
        <v>1</v>
      </c>
      <c r="R86" s="46">
        <f>IF(AND('Parametros Recargas'!C$8=2,O86/(P86*Q86*'Parametros Recargas'!$B$19)&gt;1),2,1)</f>
        <v>1</v>
      </c>
      <c r="S86" s="34">
        <f t="shared" ref="S86:S111" si="49">O86/(P86*Q86*R86)</f>
        <v>0.114483395</v>
      </c>
      <c r="T86" s="161">
        <f>'Parametros Recargas'!D54</f>
        <v>1</v>
      </c>
      <c r="U86" s="161">
        <f>'Parametros Recargas'!E54</f>
        <v>1</v>
      </c>
      <c r="V86" s="161">
        <f>'Parametros Recargas'!F54</f>
        <v>1</v>
      </c>
      <c r="W86" s="161">
        <f>'Parametros Recargas'!G54</f>
        <v>1</v>
      </c>
      <c r="X86" s="161">
        <f>'Parametros Recargas'!H54</f>
        <v>1</v>
      </c>
      <c r="Y86" s="161">
        <f>'Parametros Recargas'!I54</f>
        <v>1</v>
      </c>
      <c r="Z86" s="162">
        <f>'Parametros Recargas'!$U$85/P86</f>
        <v>0.01388888889</v>
      </c>
    </row>
    <row r="87" ht="15.75" customHeight="1">
      <c r="A87" s="73" t="s">
        <v>459</v>
      </c>
      <c r="B87" s="118" t="s">
        <v>458</v>
      </c>
      <c r="C87" s="63">
        <f t="shared" ref="C87:N87" si="47">($T87*C$79+$U87*C$80+$V87*C$81+$W87*C$82+$X87*C$83+$Y87*C$84)/$B$2</f>
        <v>6.891814657</v>
      </c>
      <c r="D87" s="63">
        <f t="shared" si="47"/>
        <v>5.678188205</v>
      </c>
      <c r="E87" s="63">
        <f t="shared" si="47"/>
        <v>5.844225777</v>
      </c>
      <c r="F87" s="63">
        <f t="shared" si="47"/>
        <v>5.692842607</v>
      </c>
      <c r="G87" s="63">
        <f t="shared" si="47"/>
        <v>5.526805036</v>
      </c>
      <c r="H87" s="63">
        <f t="shared" si="47"/>
        <v>5.360767464</v>
      </c>
      <c r="I87" s="63">
        <f t="shared" si="47"/>
        <v>5.707497009</v>
      </c>
      <c r="J87" s="63">
        <f t="shared" si="47"/>
        <v>5.829571374</v>
      </c>
      <c r="K87" s="63">
        <f t="shared" si="47"/>
        <v>5.829571374</v>
      </c>
      <c r="L87" s="63">
        <f t="shared" si="47"/>
        <v>5.678188205</v>
      </c>
      <c r="M87" s="63">
        <f t="shared" si="47"/>
        <v>5.663533803</v>
      </c>
      <c r="N87" s="63">
        <f t="shared" si="47"/>
        <v>8.242804443</v>
      </c>
      <c r="O87" s="44">
        <f t="shared" si="48"/>
        <v>8.242804443</v>
      </c>
      <c r="P87" s="63">
        <f>'Parametros Recargas'!$M$86</f>
        <v>52.36363636</v>
      </c>
      <c r="Q87" s="36">
        <f>MAX(Q32,ROUNDUP(O87/(P87*'Parametros Recargas'!C$8*'Parametros Recargas'!$B$19),0))</f>
        <v>1</v>
      </c>
      <c r="R87" s="46">
        <f>IF(AND('Parametros Recargas'!C$8=2,O87/(P87*Q87*'Parametros Recargas'!$B$19)&gt;1),2,1)</f>
        <v>1</v>
      </c>
      <c r="S87" s="34">
        <f t="shared" si="49"/>
        <v>0.1574146682</v>
      </c>
      <c r="T87" s="161">
        <f>'Parametros Recargas'!D55</f>
        <v>1</v>
      </c>
      <c r="U87" s="161">
        <f>'Parametros Recargas'!E55</f>
        <v>1</v>
      </c>
      <c r="V87" s="161">
        <f>'Parametros Recargas'!F55</f>
        <v>1</v>
      </c>
      <c r="W87" s="161">
        <f>'Parametros Recargas'!G55</f>
        <v>1</v>
      </c>
      <c r="X87" s="161">
        <f>'Parametros Recargas'!H55</f>
        <v>1</v>
      </c>
      <c r="Y87" s="161">
        <f>'Parametros Recargas'!I55</f>
        <v>1</v>
      </c>
      <c r="Z87" s="162">
        <f>'Parametros Recargas'!$U$86/P87</f>
        <v>0.01909722222</v>
      </c>
    </row>
    <row r="88" ht="15.75" customHeight="1">
      <c r="A88" s="30" t="s">
        <v>460</v>
      </c>
      <c r="B88" s="118" t="s">
        <v>458</v>
      </c>
      <c r="C88" s="63">
        <f t="shared" ref="C88:N88" si="50">($T88*C$79+$U88*C$80+$V88*C$81+$W88*C$82+$X88*C$83+$Y88*C$84)/$B$2</f>
        <v>6.076851856</v>
      </c>
      <c r="D88" s="63">
        <f t="shared" si="50"/>
        <v>4.958889889</v>
      </c>
      <c r="E88" s="63">
        <f t="shared" si="50"/>
        <v>5.079971315</v>
      </c>
      <c r="F88" s="63">
        <f t="shared" si="50"/>
        <v>4.970668193</v>
      </c>
      <c r="G88" s="63">
        <f t="shared" si="50"/>
        <v>4.849586766</v>
      </c>
      <c r="H88" s="63">
        <f t="shared" si="50"/>
        <v>4.72850534</v>
      </c>
      <c r="I88" s="63">
        <f t="shared" si="50"/>
        <v>4.982446498</v>
      </c>
      <c r="J88" s="63">
        <f t="shared" si="50"/>
        <v>5.068193011</v>
      </c>
      <c r="K88" s="63">
        <f t="shared" si="50"/>
        <v>5.068193011</v>
      </c>
      <c r="L88" s="63">
        <f t="shared" si="50"/>
        <v>4.958889889</v>
      </c>
      <c r="M88" s="63">
        <f t="shared" si="50"/>
        <v>4.947111584</v>
      </c>
      <c r="N88" s="63">
        <f t="shared" si="50"/>
        <v>7.265273649</v>
      </c>
      <c r="O88" s="44">
        <f t="shared" si="48"/>
        <v>7.265273649</v>
      </c>
      <c r="P88" s="63">
        <f>'Parametros Recargas'!$M$87</f>
        <v>29.14285714</v>
      </c>
      <c r="Q88" s="36">
        <f>MAX(Q33,ROUNDUP(O88/(P88*'Parametros Recargas'!C$8*'Parametros Recargas'!$B$19),0))</f>
        <v>1</v>
      </c>
      <c r="R88" s="46">
        <f>IF(AND('Parametros Recargas'!C$8=2,O88/(P88*Q88*'Parametros Recargas'!$B$19)&gt;1),2,1)</f>
        <v>1</v>
      </c>
      <c r="S88" s="34">
        <f t="shared" si="49"/>
        <v>0.2492986056</v>
      </c>
      <c r="T88" s="161">
        <f>'Parametros Recargas'!D56</f>
        <v>1</v>
      </c>
      <c r="U88" s="161">
        <f>'Parametros Recargas'!E56</f>
        <v>0</v>
      </c>
      <c r="V88" s="161">
        <f>'Parametros Recargas'!F56</f>
        <v>0</v>
      </c>
      <c r="W88" s="161">
        <f>'Parametros Recargas'!G56</f>
        <v>0</v>
      </c>
      <c r="X88" s="161">
        <f>'Parametros Recargas'!H56</f>
        <v>0</v>
      </c>
      <c r="Y88" s="161">
        <f>'Parametros Recargas'!I56</f>
        <v>0</v>
      </c>
      <c r="Z88" s="162">
        <f>'Parametros Recargas'!$U$87/P88</f>
        <v>0.01715686275</v>
      </c>
    </row>
    <row r="89" ht="15.75" customHeight="1">
      <c r="A89" s="30" t="s">
        <v>461</v>
      </c>
      <c r="B89" s="118" t="s">
        <v>458</v>
      </c>
      <c r="C89" s="63">
        <f t="shared" ref="C89:N89" si="51">($T89*C$79+$U89*C$80+$V89*C$81+$W89*C$82+$X89*C$83+$Y89*C$84)/$B$2</f>
        <v>0.009655470545</v>
      </c>
      <c r="D89" s="63">
        <f t="shared" si="51"/>
        <v>0.008582640484</v>
      </c>
      <c r="E89" s="63">
        <f t="shared" si="51"/>
        <v>0.009119055515</v>
      </c>
      <c r="F89" s="63">
        <f t="shared" si="51"/>
        <v>0.008582640484</v>
      </c>
      <c r="G89" s="63">
        <f t="shared" si="51"/>
        <v>0.008046225454</v>
      </c>
      <c r="H89" s="63">
        <f t="shared" si="51"/>
        <v>0.007509810424</v>
      </c>
      <c r="I89" s="63">
        <f t="shared" si="51"/>
        <v>0.008582640484</v>
      </c>
      <c r="J89" s="63">
        <f t="shared" si="51"/>
        <v>0.009119055515</v>
      </c>
      <c r="K89" s="63">
        <f t="shared" si="51"/>
        <v>0.009119055515</v>
      </c>
      <c r="L89" s="63">
        <f t="shared" si="51"/>
        <v>0.008582640484</v>
      </c>
      <c r="M89" s="63">
        <f t="shared" si="51"/>
        <v>0.008582640484</v>
      </c>
      <c r="N89" s="63">
        <f t="shared" si="51"/>
        <v>0.01180113067</v>
      </c>
      <c r="O89" s="44">
        <f t="shared" si="48"/>
        <v>0.01180113067</v>
      </c>
      <c r="P89" s="63">
        <f>'Parametros Recargas'!$M$88</f>
        <v>29.14285714</v>
      </c>
      <c r="Q89" s="36">
        <f>MAX(Q34,ROUNDUP(O89/(P89*'Parametros Recargas'!C$8*'Parametros Recargas'!$B$19),0))</f>
        <v>1</v>
      </c>
      <c r="R89" s="46">
        <f>IF(AND('Parametros Recargas'!C$8=2,O89/(P89*Q89*'Parametros Recargas'!$B$19)&gt;1),2,1)</f>
        <v>1</v>
      </c>
      <c r="S89" s="34">
        <f t="shared" si="49"/>
        <v>0.0004049407582</v>
      </c>
      <c r="T89" s="161">
        <f>'Parametros Recargas'!D57</f>
        <v>0</v>
      </c>
      <c r="U89" s="161">
        <f>'Parametros Recargas'!E57</f>
        <v>1</v>
      </c>
      <c r="V89" s="161">
        <f>'Parametros Recargas'!F57</f>
        <v>0</v>
      </c>
      <c r="W89" s="161">
        <f>'Parametros Recargas'!G57</f>
        <v>0</v>
      </c>
      <c r="X89" s="161">
        <f>'Parametros Recargas'!H57</f>
        <v>0</v>
      </c>
      <c r="Y89" s="161">
        <f>'Parametros Recargas'!I57</f>
        <v>0</v>
      </c>
      <c r="Z89" s="162">
        <f>'Parametros Recargas'!$U$88/P89</f>
        <v>0.03431372549</v>
      </c>
    </row>
    <row r="90" ht="15.75" customHeight="1">
      <c r="A90" s="30" t="s">
        <v>463</v>
      </c>
      <c r="B90" s="118" t="s">
        <v>458</v>
      </c>
      <c r="C90" s="63">
        <f t="shared" ref="C90:N90" si="52">($T90*C$79+$U90*C$80+$V90*C$81+$W90*C$82+$X90*C$83+$Y90*C$84)/$B$2</f>
        <v>0.009655470545</v>
      </c>
      <c r="D90" s="63">
        <f t="shared" si="52"/>
        <v>0.008582640484</v>
      </c>
      <c r="E90" s="63">
        <f t="shared" si="52"/>
        <v>0.009119055515</v>
      </c>
      <c r="F90" s="63">
        <f t="shared" si="52"/>
        <v>0.008582640484</v>
      </c>
      <c r="G90" s="63">
        <f t="shared" si="52"/>
        <v>0.008046225454</v>
      </c>
      <c r="H90" s="63">
        <f t="shared" si="52"/>
        <v>0.007509810424</v>
      </c>
      <c r="I90" s="63">
        <f t="shared" si="52"/>
        <v>0.008582640484</v>
      </c>
      <c r="J90" s="63">
        <f t="shared" si="52"/>
        <v>0.009119055515</v>
      </c>
      <c r="K90" s="63">
        <f t="shared" si="52"/>
        <v>0.009119055515</v>
      </c>
      <c r="L90" s="63">
        <f t="shared" si="52"/>
        <v>0.008582640484</v>
      </c>
      <c r="M90" s="63">
        <f t="shared" si="52"/>
        <v>0.008582640484</v>
      </c>
      <c r="N90" s="63">
        <f t="shared" si="52"/>
        <v>0.01180113067</v>
      </c>
      <c r="O90" s="44">
        <f t="shared" si="48"/>
        <v>0.01180113067</v>
      </c>
      <c r="P90" s="63">
        <f>'Parametros Recargas'!$M$89</f>
        <v>13.5</v>
      </c>
      <c r="Q90" s="36">
        <f>MAX(Q35,ROUNDUP(O90/(P90*'Parametros Recargas'!C$8*'Parametros Recargas'!$B$19),0))</f>
        <v>1</v>
      </c>
      <c r="R90" s="46">
        <f>IF(AND('Parametros Recargas'!C$8=2,O90/(P90*Q90*'Parametros Recargas'!$B$19)&gt;1),2,1)</f>
        <v>1</v>
      </c>
      <c r="S90" s="34">
        <f t="shared" si="49"/>
        <v>0.0008741578271</v>
      </c>
      <c r="T90" s="161">
        <f>'Parametros Recargas'!D58</f>
        <v>0</v>
      </c>
      <c r="U90" s="161">
        <f>'Parametros Recargas'!E58</f>
        <v>0</v>
      </c>
      <c r="V90" s="161">
        <f>'Parametros Recargas'!F58</f>
        <v>1</v>
      </c>
      <c r="W90" s="161">
        <f>'Parametros Recargas'!G58</f>
        <v>0</v>
      </c>
      <c r="X90" s="161">
        <f>'Parametros Recargas'!H58</f>
        <v>0</v>
      </c>
      <c r="Y90" s="161">
        <f>'Parametros Recargas'!I58</f>
        <v>0</v>
      </c>
      <c r="Z90" s="162">
        <f>'Parametros Recargas'!$U$89/P90</f>
        <v>0.07407407407</v>
      </c>
    </row>
    <row r="91" ht="15.75" customHeight="1">
      <c r="A91" s="30" t="s">
        <v>464</v>
      </c>
      <c r="B91" s="118" t="s">
        <v>458</v>
      </c>
      <c r="C91" s="63">
        <f t="shared" ref="C91:N91" si="53">($T91*C$79+$U91*C$80+$V91*C$81+$W91*C$82+$X91*C$83+$Y91*C$84)/$B$2</f>
        <v>0.2917184718</v>
      </c>
      <c r="D91" s="63">
        <f t="shared" si="53"/>
        <v>0.2541922458</v>
      </c>
      <c r="E91" s="63">
        <f t="shared" si="53"/>
        <v>0.2700792612</v>
      </c>
      <c r="F91" s="63">
        <f t="shared" si="53"/>
        <v>0.2570683434</v>
      </c>
      <c r="G91" s="63">
        <f t="shared" si="53"/>
        <v>0.2411813281</v>
      </c>
      <c r="H91" s="63">
        <f t="shared" si="53"/>
        <v>0.2252943127</v>
      </c>
      <c r="I91" s="63">
        <f t="shared" si="53"/>
        <v>0.2599444411</v>
      </c>
      <c r="J91" s="63">
        <f t="shared" si="53"/>
        <v>0.2672031636</v>
      </c>
      <c r="K91" s="63">
        <f t="shared" si="53"/>
        <v>0.2672031636</v>
      </c>
      <c r="L91" s="63">
        <f t="shared" si="53"/>
        <v>0.2541922458</v>
      </c>
      <c r="M91" s="63">
        <f t="shared" si="53"/>
        <v>0.2513161482</v>
      </c>
      <c r="N91" s="63">
        <f t="shared" si="53"/>
        <v>0.3380099476</v>
      </c>
      <c r="O91" s="44">
        <f t="shared" si="48"/>
        <v>0.3380099476</v>
      </c>
      <c r="P91" s="63">
        <f>'Parametros Recargas'!$M$90</f>
        <v>22.66666667</v>
      </c>
      <c r="Q91" s="36">
        <f>MAX(Q36,ROUNDUP(O91/(P91*'Parametros Recargas'!C$8*'Parametros Recargas'!$B$19),0))</f>
        <v>1</v>
      </c>
      <c r="R91" s="46">
        <f>IF(AND('Parametros Recargas'!C$8=2,O91/(P91*Q91*'Parametros Recargas'!$B$19)&gt;1),2,1)</f>
        <v>1</v>
      </c>
      <c r="S91" s="34">
        <f t="shared" si="49"/>
        <v>0.01491220357</v>
      </c>
      <c r="T91" s="161">
        <f>'Parametros Recargas'!D59</f>
        <v>0</v>
      </c>
      <c r="U91" s="161">
        <f>'Parametros Recargas'!E59</f>
        <v>0</v>
      </c>
      <c r="V91" s="161">
        <f>'Parametros Recargas'!F59</f>
        <v>0</v>
      </c>
      <c r="W91" s="161">
        <f>'Parametros Recargas'!G59</f>
        <v>1</v>
      </c>
      <c r="X91" s="161">
        <f>'Parametros Recargas'!H59</f>
        <v>0</v>
      </c>
      <c r="Y91" s="161">
        <f>'Parametros Recargas'!I59</f>
        <v>0</v>
      </c>
      <c r="Z91" s="162">
        <f>'Parametros Recargas'!$U$90/P91</f>
        <v>0.04411764706</v>
      </c>
    </row>
    <row r="92" ht="15.75" customHeight="1">
      <c r="A92" s="30" t="s">
        <v>465</v>
      </c>
      <c r="B92" s="118" t="s">
        <v>458</v>
      </c>
      <c r="C92" s="63">
        <f t="shared" ref="C92:N92" si="54">($T92*C$79+$U92*C$80+$V92*C$81+$W92*C$82+$X92*C$83+$Y92*C$84)/$B$2</f>
        <v>0.1202311518</v>
      </c>
      <c r="D92" s="63">
        <f t="shared" si="54"/>
        <v>0.106872135</v>
      </c>
      <c r="E92" s="63">
        <f t="shared" si="54"/>
        <v>0.1135516434</v>
      </c>
      <c r="F92" s="63">
        <f t="shared" si="54"/>
        <v>0.106872135</v>
      </c>
      <c r="G92" s="63">
        <f t="shared" si="54"/>
        <v>0.1001926265</v>
      </c>
      <c r="H92" s="63">
        <f t="shared" si="54"/>
        <v>0.0935131181</v>
      </c>
      <c r="I92" s="63">
        <f t="shared" si="54"/>
        <v>0.106872135</v>
      </c>
      <c r="J92" s="63">
        <f t="shared" si="54"/>
        <v>0.1135516434</v>
      </c>
      <c r="K92" s="63">
        <f t="shared" si="54"/>
        <v>0.1135516434</v>
      </c>
      <c r="L92" s="63">
        <f t="shared" si="54"/>
        <v>0.106872135</v>
      </c>
      <c r="M92" s="63">
        <f t="shared" si="54"/>
        <v>0.106872135</v>
      </c>
      <c r="N92" s="63">
        <f t="shared" si="54"/>
        <v>0.1469491856</v>
      </c>
      <c r="O92" s="44">
        <f t="shared" si="48"/>
        <v>0.1469491856</v>
      </c>
      <c r="P92" s="63">
        <f>'Parametros Recargas'!$M$91</f>
        <v>29.14285714</v>
      </c>
      <c r="Q92" s="36">
        <f>MAX(Q37,ROUNDUP(O92/(P92*'Parametros Recargas'!C$8*'Parametros Recargas'!$B$19),0))</f>
        <v>1</v>
      </c>
      <c r="R92" s="46">
        <f>IF(AND('Parametros Recargas'!C$8=2,O92/(P92*Q92*'Parametros Recargas'!$B$19)&gt;1),2,1)</f>
        <v>1</v>
      </c>
      <c r="S92" s="34">
        <f t="shared" si="49"/>
        <v>0.005042374015</v>
      </c>
      <c r="T92" s="161">
        <f>'Parametros Recargas'!D60</f>
        <v>0</v>
      </c>
      <c r="U92" s="161">
        <f>'Parametros Recargas'!E60</f>
        <v>0</v>
      </c>
      <c r="V92" s="161">
        <f>'Parametros Recargas'!F60</f>
        <v>0</v>
      </c>
      <c r="W92" s="161">
        <f>'Parametros Recargas'!G60</f>
        <v>0</v>
      </c>
      <c r="X92" s="161">
        <f>'Parametros Recargas'!H60</f>
        <v>0.25</v>
      </c>
      <c r="Y92" s="161">
        <f>'Parametros Recargas'!I60</f>
        <v>0</v>
      </c>
      <c r="Z92" s="162">
        <f>'Parametros Recargas'!$U$91/P92</f>
        <v>0.03431372549</v>
      </c>
    </row>
    <row r="93" ht="15.75" customHeight="1">
      <c r="A93" s="30" t="s">
        <v>466</v>
      </c>
      <c r="B93" s="118" t="s">
        <v>458</v>
      </c>
      <c r="C93" s="63">
        <f t="shared" ref="C93:N93" si="55">($T93*C$79+$U93*C$80+$V93*C$81+$W93*C$82+$X93*C$83+$Y93*C$84)/$B$2</f>
        <v>0.005752195218</v>
      </c>
      <c r="D93" s="63">
        <f t="shared" si="55"/>
        <v>0.005113062416</v>
      </c>
      <c r="E93" s="63">
        <f t="shared" si="55"/>
        <v>0.005432628817</v>
      </c>
      <c r="F93" s="63">
        <f t="shared" si="55"/>
        <v>0.005113062416</v>
      </c>
      <c r="G93" s="63">
        <f t="shared" si="55"/>
        <v>0.004793496015</v>
      </c>
      <c r="H93" s="63">
        <f t="shared" si="55"/>
        <v>0.004473929614</v>
      </c>
      <c r="I93" s="63">
        <f t="shared" si="55"/>
        <v>0.005113062416</v>
      </c>
      <c r="J93" s="63">
        <f t="shared" si="55"/>
        <v>0.005432628817</v>
      </c>
      <c r="K93" s="63">
        <f t="shared" si="55"/>
        <v>0.005432628817</v>
      </c>
      <c r="L93" s="63">
        <f t="shared" si="55"/>
        <v>0.005113062416</v>
      </c>
      <c r="M93" s="63">
        <f t="shared" si="55"/>
        <v>0.005113062416</v>
      </c>
      <c r="N93" s="63">
        <f t="shared" si="55"/>
        <v>0.007030460822</v>
      </c>
      <c r="O93" s="44">
        <f t="shared" si="48"/>
        <v>0.007030460822</v>
      </c>
      <c r="P93" s="63">
        <f>'Parametros Recargas'!$M$92</f>
        <v>18.54545455</v>
      </c>
      <c r="Q93" s="36">
        <f>MAX(Q38,ROUNDUP(O93/(P93*'Parametros Recargas'!C$8*'Parametros Recargas'!$B$19),0))</f>
        <v>1</v>
      </c>
      <c r="R93" s="46">
        <f>IF(AND('Parametros Recargas'!C$8=2,O93/(P93*Q93*'Parametros Recargas'!$B$19)&gt;1),2,1)</f>
        <v>1</v>
      </c>
      <c r="S93" s="34">
        <f t="shared" si="49"/>
        <v>0.0003790934757</v>
      </c>
      <c r="T93" s="161">
        <f>'Parametros Recargas'!D61</f>
        <v>0</v>
      </c>
      <c r="U93" s="161">
        <f>'Parametros Recargas'!E61</f>
        <v>0</v>
      </c>
      <c r="V93" s="161">
        <f>'Parametros Recargas'!F61</f>
        <v>0</v>
      </c>
      <c r="W93" s="161">
        <f>'Parametros Recargas'!G61</f>
        <v>0</v>
      </c>
      <c r="X93" s="161">
        <f>'Parametros Recargas'!H61</f>
        <v>0</v>
      </c>
      <c r="Y93" s="161">
        <f>'Parametros Recargas'!I61</f>
        <v>0.25</v>
      </c>
      <c r="Z93" s="162">
        <f>'Parametros Recargas'!$U$92/P93</f>
        <v>0.05392156863</v>
      </c>
    </row>
    <row r="94" ht="15.75" customHeight="1">
      <c r="A94" s="73" t="s">
        <v>467</v>
      </c>
      <c r="B94" s="118" t="s">
        <v>458</v>
      </c>
      <c r="C94" s="63">
        <f t="shared" ref="C94:N94" si="56">($T94*C$79+$U94*C$80+$V94*C$81+$W94*C$82+$X94*C$83+$Y94*C$84)/$B$2</f>
        <v>6.564257954</v>
      </c>
      <c r="D94" s="63">
        <f t="shared" si="56"/>
        <v>5.387026692</v>
      </c>
      <c r="E94" s="63">
        <f t="shared" si="56"/>
        <v>5.534866669</v>
      </c>
      <c r="F94" s="63">
        <f t="shared" si="56"/>
        <v>5.401681094</v>
      </c>
      <c r="G94" s="63">
        <f t="shared" si="56"/>
        <v>5.253841117</v>
      </c>
      <c r="H94" s="63">
        <f t="shared" si="56"/>
        <v>5.10600114</v>
      </c>
      <c r="I94" s="63">
        <f t="shared" si="56"/>
        <v>5.416335496</v>
      </c>
      <c r="J94" s="63">
        <f t="shared" si="56"/>
        <v>5.520212267</v>
      </c>
      <c r="K94" s="63">
        <f t="shared" si="56"/>
        <v>5.520212267</v>
      </c>
      <c r="L94" s="63">
        <f t="shared" si="56"/>
        <v>5.387026692</v>
      </c>
      <c r="M94" s="63">
        <f t="shared" si="56"/>
        <v>5.37237229</v>
      </c>
      <c r="N94" s="63">
        <f t="shared" si="56"/>
        <v>7.842457362</v>
      </c>
      <c r="O94" s="44">
        <f t="shared" si="48"/>
        <v>7.842457362</v>
      </c>
      <c r="P94" s="63">
        <f>'Parametros Recargas'!$M$93</f>
        <v>32</v>
      </c>
      <c r="Q94" s="36">
        <f>MAX(Q39,ROUNDUP(O94/(P94*'Parametros Recargas'!C$8*'Parametros Recargas'!$B$19),0))</f>
        <v>1</v>
      </c>
      <c r="R94" s="46">
        <f>IF(AND('Parametros Recargas'!C$8=2,O94/(P94*Q94*'Parametros Recargas'!$B$19)&gt;1),2,1)</f>
        <v>1</v>
      </c>
      <c r="S94" s="34">
        <f t="shared" si="49"/>
        <v>0.2450767926</v>
      </c>
      <c r="T94" s="161">
        <f>'Parametros Recargas'!D62</f>
        <v>1</v>
      </c>
      <c r="U94" s="161">
        <f>'Parametros Recargas'!E62</f>
        <v>1</v>
      </c>
      <c r="V94" s="161">
        <f>'Parametros Recargas'!F62</f>
        <v>1</v>
      </c>
      <c r="W94" s="161">
        <f>'Parametros Recargas'!G62</f>
        <v>1</v>
      </c>
      <c r="X94" s="161">
        <f>'Parametros Recargas'!H62</f>
        <v>0.35</v>
      </c>
      <c r="Y94" s="161">
        <f>'Parametros Recargas'!I62</f>
        <v>0.35</v>
      </c>
      <c r="Z94" s="162">
        <f>'Parametros Recargas'!$U$93/P94</f>
        <v>0.03125</v>
      </c>
    </row>
    <row r="95" ht="15.75" customHeight="1">
      <c r="A95" s="30" t="s">
        <v>469</v>
      </c>
      <c r="B95" s="118" t="s">
        <v>458</v>
      </c>
      <c r="C95" s="63">
        <f t="shared" ref="C95:N95" si="57">($T95*C$79+$U95*C$80+$V95*C$81+$W95*C$82+$X95*C$83+$Y95*C$84)/$B$2</f>
        <v>0.6086507326</v>
      </c>
      <c r="D95" s="63">
        <f t="shared" si="57"/>
        <v>0.4967472529</v>
      </c>
      <c r="E95" s="63">
        <f t="shared" si="57"/>
        <v>0.5089090371</v>
      </c>
      <c r="F95" s="63">
        <f t="shared" si="57"/>
        <v>0.4979250834</v>
      </c>
      <c r="G95" s="63">
        <f t="shared" si="57"/>
        <v>0.4857632992</v>
      </c>
      <c r="H95" s="63">
        <f t="shared" si="57"/>
        <v>0.473601515</v>
      </c>
      <c r="I95" s="63">
        <f t="shared" si="57"/>
        <v>0.4991029138</v>
      </c>
      <c r="J95" s="63">
        <f t="shared" si="57"/>
        <v>0.5077312066</v>
      </c>
      <c r="K95" s="63">
        <f t="shared" si="57"/>
        <v>0.5077312066</v>
      </c>
      <c r="L95" s="63">
        <f t="shared" si="57"/>
        <v>0.4967472529</v>
      </c>
      <c r="M95" s="63">
        <f t="shared" si="57"/>
        <v>0.4955694225</v>
      </c>
      <c r="N95" s="63">
        <f t="shared" si="57"/>
        <v>0.7277074779</v>
      </c>
      <c r="O95" s="44">
        <f t="shared" si="48"/>
        <v>0.7277074779</v>
      </c>
      <c r="P95" s="63">
        <f>'Parametros Recargas'!$M$94</f>
        <v>6.375</v>
      </c>
      <c r="Q95" s="36">
        <f>MAX(Q40,ROUNDUP(O95/(P95*'Parametros Recargas'!C$8*'Parametros Recargas'!$B$19),0))</f>
        <v>1</v>
      </c>
      <c r="R95" s="46">
        <f>IF(AND('Parametros Recargas'!C$8=2,O95/(P95*Q95*'Parametros Recargas'!$B$19)&gt;1),2,1)</f>
        <v>1</v>
      </c>
      <c r="S95" s="34">
        <f t="shared" si="49"/>
        <v>0.1141501926</v>
      </c>
      <c r="T95" s="161">
        <f>'Parametros Recargas'!D63</f>
        <v>0.1</v>
      </c>
      <c r="U95" s="161">
        <f>'Parametros Recargas'!E63</f>
        <v>0.1</v>
      </c>
      <c r="V95" s="161">
        <f>'Parametros Recargas'!F63</f>
        <v>0</v>
      </c>
      <c r="W95" s="161">
        <f>'Parametros Recargas'!G63</f>
        <v>0</v>
      </c>
      <c r="X95" s="161">
        <f>'Parametros Recargas'!H63</f>
        <v>0</v>
      </c>
      <c r="Y95" s="161">
        <f>'Parametros Recargas'!I63</f>
        <v>0</v>
      </c>
      <c r="Z95" s="162">
        <f>'Parametros Recargas'!$U$94/P95</f>
        <v>0.07843137255</v>
      </c>
    </row>
    <row r="96" ht="15.75" customHeight="1">
      <c r="A96" s="30" t="s">
        <v>470</v>
      </c>
      <c r="B96" s="118" t="s">
        <v>458</v>
      </c>
      <c r="C96" s="63">
        <f t="shared" ref="C96:N96" si="58">($T96*C$79+$U96*C$80+$V96*C$81+$W96*C$82+$X96*C$83+$Y96*C$84)/$B$2</f>
        <v>0.2917184718</v>
      </c>
      <c r="D96" s="63">
        <f t="shared" si="58"/>
        <v>0.2541922458</v>
      </c>
      <c r="E96" s="63">
        <f t="shared" si="58"/>
        <v>0.2700792612</v>
      </c>
      <c r="F96" s="63">
        <f t="shared" si="58"/>
        <v>0.2570683434</v>
      </c>
      <c r="G96" s="63">
        <f t="shared" si="58"/>
        <v>0.2411813281</v>
      </c>
      <c r="H96" s="63">
        <f t="shared" si="58"/>
        <v>0.2252943127</v>
      </c>
      <c r="I96" s="63">
        <f t="shared" si="58"/>
        <v>0.2599444411</v>
      </c>
      <c r="J96" s="63">
        <f t="shared" si="58"/>
        <v>0.2672031636</v>
      </c>
      <c r="K96" s="63">
        <f t="shared" si="58"/>
        <v>0.2672031636</v>
      </c>
      <c r="L96" s="63">
        <f t="shared" si="58"/>
        <v>0.2541922458</v>
      </c>
      <c r="M96" s="63">
        <f t="shared" si="58"/>
        <v>0.2513161482</v>
      </c>
      <c r="N96" s="63">
        <f t="shared" si="58"/>
        <v>0.3380099476</v>
      </c>
      <c r="O96" s="44">
        <f t="shared" si="48"/>
        <v>0.3380099476</v>
      </c>
      <c r="P96" s="63">
        <f>'Parametros Recargas'!$M$95</f>
        <v>28.8</v>
      </c>
      <c r="Q96" s="36">
        <f>MAX(Q41,ROUNDUP(O96/(P96*'Parametros Recargas'!C$8*'Parametros Recargas'!$B$19),0))</f>
        <v>1</v>
      </c>
      <c r="R96" s="46">
        <f>IF(AND('Parametros Recargas'!C$8=2,O96/(P96*Q96*'Parametros Recargas'!$B$19)&gt;1),2,1)</f>
        <v>1</v>
      </c>
      <c r="S96" s="34">
        <f t="shared" si="49"/>
        <v>0.01173645651</v>
      </c>
      <c r="T96" s="161">
        <f>'Parametros Recargas'!D64</f>
        <v>0</v>
      </c>
      <c r="U96" s="161">
        <f>'Parametros Recargas'!E64</f>
        <v>0</v>
      </c>
      <c r="V96" s="161">
        <f>'Parametros Recargas'!F64</f>
        <v>0</v>
      </c>
      <c r="W96" s="161">
        <f>'Parametros Recargas'!G64</f>
        <v>1</v>
      </c>
      <c r="X96" s="161">
        <f>'Parametros Recargas'!H64</f>
        <v>0</v>
      </c>
      <c r="Y96" s="161">
        <f>'Parametros Recargas'!I64</f>
        <v>0</v>
      </c>
      <c r="Z96" s="162">
        <f>'Parametros Recargas'!$U$95/P96</f>
        <v>0.03472222222</v>
      </c>
    </row>
    <row r="97" ht="15.75" customHeight="1">
      <c r="A97" s="73" t="s">
        <v>473</v>
      </c>
      <c r="B97" s="118" t="s">
        <v>458</v>
      </c>
      <c r="C97" s="63">
        <f t="shared" ref="C97:N97" si="59">($T97*C$79+$U97*C$80+$V97*C$81+$W97*C$82+$X97*C$83+$Y97*C$84)/$B$2</f>
        <v>1.795883282</v>
      </c>
      <c r="D97" s="63">
        <f t="shared" si="59"/>
        <v>1.483095113</v>
      </c>
      <c r="E97" s="63">
        <f t="shared" si="59"/>
        <v>1.528576259</v>
      </c>
      <c r="F97" s="63">
        <f t="shared" si="59"/>
        <v>1.487477738</v>
      </c>
      <c r="G97" s="63">
        <f t="shared" si="59"/>
        <v>1.441996591</v>
      </c>
      <c r="H97" s="63">
        <f t="shared" si="59"/>
        <v>1.396515444</v>
      </c>
      <c r="I97" s="63">
        <f t="shared" si="59"/>
        <v>1.491860363</v>
      </c>
      <c r="J97" s="63">
        <f t="shared" si="59"/>
        <v>1.524193635</v>
      </c>
      <c r="K97" s="63">
        <f t="shared" si="59"/>
        <v>1.524193635</v>
      </c>
      <c r="L97" s="63">
        <f t="shared" si="59"/>
        <v>1.483095113</v>
      </c>
      <c r="M97" s="63">
        <f t="shared" si="59"/>
        <v>1.478712488</v>
      </c>
      <c r="N97" s="63">
        <f t="shared" si="59"/>
        <v>2.145203598</v>
      </c>
      <c r="O97" s="44">
        <f t="shared" si="48"/>
        <v>2.145203598</v>
      </c>
      <c r="P97" s="63">
        <f>'Parametros Recargas'!$M$96</f>
        <v>28.88380952</v>
      </c>
      <c r="Q97" s="36">
        <f>MAX(Q42,ROUNDUP(O97/(P97*'Parametros Recargas'!C$8*'Parametros Recargas'!$B$19),0))</f>
        <v>1</v>
      </c>
      <c r="R97" s="46">
        <f>IF(AND('Parametros Recargas'!C$8=2,O97/(P97*Q97*'Parametros Recargas'!$B$19)&gt;1),2,1)</f>
        <v>1</v>
      </c>
      <c r="S97" s="34">
        <f t="shared" si="49"/>
        <v>0.07427010609</v>
      </c>
      <c r="T97" s="161">
        <f>'Parametros Recargas'!D65</f>
        <v>0.25</v>
      </c>
      <c r="U97" s="161">
        <f>'Parametros Recargas'!E65</f>
        <v>0.25</v>
      </c>
      <c r="V97" s="161">
        <f>'Parametros Recargas'!F65</f>
        <v>0.25</v>
      </c>
      <c r="W97" s="161">
        <f>'Parametros Recargas'!G65</f>
        <v>0.5</v>
      </c>
      <c r="X97" s="161">
        <f>'Parametros Recargas'!H65</f>
        <v>0.25</v>
      </c>
      <c r="Y97" s="161">
        <f>'Parametros Recargas'!I65</f>
        <v>0.25</v>
      </c>
      <c r="Z97" s="162">
        <f>'Parametros Recargas'!$U$96/P97</f>
        <v>0.01731073595</v>
      </c>
    </row>
    <row r="98" ht="15.75" customHeight="1">
      <c r="A98" s="73" t="s">
        <v>479</v>
      </c>
      <c r="B98" s="118" t="s">
        <v>458</v>
      </c>
      <c r="C98" s="63">
        <f t="shared" ref="C98:N98" si="60">($T98*C$79+$U98*C$80+$V98*C$81+$W98*C$82+$X98*C$83+$Y98*C$84)/$B$2</f>
        <v>1.650024046</v>
      </c>
      <c r="D98" s="63">
        <f t="shared" si="60"/>
        <v>1.35599899</v>
      </c>
      <c r="E98" s="63">
        <f t="shared" si="60"/>
        <v>1.393536629</v>
      </c>
      <c r="F98" s="63">
        <f t="shared" si="60"/>
        <v>1.358943566</v>
      </c>
      <c r="G98" s="63">
        <f t="shared" si="60"/>
        <v>1.321405927</v>
      </c>
      <c r="H98" s="63">
        <f t="shared" si="60"/>
        <v>1.283868288</v>
      </c>
      <c r="I98" s="63">
        <f t="shared" si="60"/>
        <v>1.361888142</v>
      </c>
      <c r="J98" s="63">
        <f t="shared" si="60"/>
        <v>1.390592053</v>
      </c>
      <c r="K98" s="63">
        <f t="shared" si="60"/>
        <v>1.390592053</v>
      </c>
      <c r="L98" s="63">
        <f t="shared" si="60"/>
        <v>1.35599899</v>
      </c>
      <c r="M98" s="63">
        <f t="shared" si="60"/>
        <v>1.353054414</v>
      </c>
      <c r="N98" s="63">
        <f t="shared" si="60"/>
        <v>1.976198624</v>
      </c>
      <c r="O98" s="44">
        <f t="shared" si="48"/>
        <v>1.976198624</v>
      </c>
      <c r="P98" s="63">
        <f>'Parametros Recargas'!$M$97</f>
        <v>18.54545455</v>
      </c>
      <c r="Q98" s="36">
        <f>MAX(Q43,ROUNDUP(O98/(P98*'Parametros Recargas'!C$8*'Parametros Recargas'!$B$19),0))</f>
        <v>1</v>
      </c>
      <c r="R98" s="46">
        <f>IF(AND('Parametros Recargas'!C$8=2,O98/(P98*Q98*'Parametros Recargas'!$B$19)&gt;1),2,1)</f>
        <v>1</v>
      </c>
      <c r="S98" s="34">
        <f t="shared" si="49"/>
        <v>0.1065597297</v>
      </c>
      <c r="T98" s="161">
        <f>'Parametros Recargas'!D66</f>
        <v>0.25</v>
      </c>
      <c r="U98" s="161">
        <f>'Parametros Recargas'!E66</f>
        <v>0.25</v>
      </c>
      <c r="V98" s="161">
        <f>'Parametros Recargas'!F66</f>
        <v>0.25</v>
      </c>
      <c r="W98" s="161">
        <f>'Parametros Recargas'!G66</f>
        <v>0</v>
      </c>
      <c r="X98" s="161">
        <f>'Parametros Recargas'!H66</f>
        <v>0.25</v>
      </c>
      <c r="Y98" s="161">
        <f>'Parametros Recargas'!I66</f>
        <v>0.25</v>
      </c>
      <c r="Z98" s="162">
        <f>'Parametros Recargas'!$U$97/P98</f>
        <v>0.01348039216</v>
      </c>
    </row>
    <row r="99" ht="15.75" customHeight="1">
      <c r="A99" s="30" t="s">
        <v>500</v>
      </c>
      <c r="B99" s="118" t="s">
        <v>458</v>
      </c>
      <c r="C99" s="63">
        <f t="shared" ref="C99:N99" si="61">($T99*C$79+$U99*C$80+$V99*C$81+$W99*C$82+$X99*C$83+$Y99*C$84)/$B$2</f>
        <v>6.076851856</v>
      </c>
      <c r="D99" s="63">
        <f t="shared" si="61"/>
        <v>4.958889889</v>
      </c>
      <c r="E99" s="63">
        <f t="shared" si="61"/>
        <v>5.079971315</v>
      </c>
      <c r="F99" s="63">
        <f t="shared" si="61"/>
        <v>4.970668193</v>
      </c>
      <c r="G99" s="63">
        <f t="shared" si="61"/>
        <v>4.849586766</v>
      </c>
      <c r="H99" s="63">
        <f t="shared" si="61"/>
        <v>4.72850534</v>
      </c>
      <c r="I99" s="63">
        <f t="shared" si="61"/>
        <v>4.982446498</v>
      </c>
      <c r="J99" s="63">
        <f t="shared" si="61"/>
        <v>5.068193011</v>
      </c>
      <c r="K99" s="63">
        <f t="shared" si="61"/>
        <v>5.068193011</v>
      </c>
      <c r="L99" s="63">
        <f t="shared" si="61"/>
        <v>4.958889889</v>
      </c>
      <c r="M99" s="63">
        <f t="shared" si="61"/>
        <v>4.947111584</v>
      </c>
      <c r="N99" s="63">
        <f t="shared" si="61"/>
        <v>7.265273649</v>
      </c>
      <c r="O99" s="44">
        <f t="shared" si="48"/>
        <v>7.265273649</v>
      </c>
      <c r="P99" s="63">
        <f>'Parametros Recargas'!$M$98</f>
        <v>34</v>
      </c>
      <c r="Q99" s="36">
        <f>MAX(Q44,ROUNDUP(O99/(P99*'Parametros Recargas'!C$8*'Parametros Recargas'!$B$19),0))</f>
        <v>1</v>
      </c>
      <c r="R99" s="46">
        <f>IF(AND('Parametros Recargas'!C$8=2,O99/(P99*Q99*'Parametros Recargas'!$B$19)&gt;1),2,1)</f>
        <v>1</v>
      </c>
      <c r="S99" s="34">
        <f t="shared" si="49"/>
        <v>0.2136845191</v>
      </c>
      <c r="T99" s="161">
        <f>'Parametros Recargas'!D67</f>
        <v>1</v>
      </c>
      <c r="U99" s="161">
        <f>'Parametros Recargas'!E67</f>
        <v>0</v>
      </c>
      <c r="V99" s="161">
        <f>'Parametros Recargas'!F67</f>
        <v>0</v>
      </c>
      <c r="W99" s="161">
        <f>'Parametros Recargas'!G67</f>
        <v>0</v>
      </c>
      <c r="X99" s="161">
        <f>'Parametros Recargas'!H67</f>
        <v>0</v>
      </c>
      <c r="Y99" s="161">
        <f>'Parametros Recargas'!I67</f>
        <v>0</v>
      </c>
      <c r="Z99" s="162">
        <f>'Parametros Recargas'!$U$98/P99</f>
        <v>0.01470588235</v>
      </c>
    </row>
    <row r="100" ht="15.75" customHeight="1">
      <c r="A100" s="30" t="s">
        <v>522</v>
      </c>
      <c r="B100" s="118" t="s">
        <v>458</v>
      </c>
      <c r="C100" s="63">
        <f t="shared" ref="C100:N100" si="62">($T100*C$79+$U100*C$80+$V100*C$81+$W100*C$82+$X100*C$83+$Y100*C$84)/$B$2</f>
        <v>0.009655470545</v>
      </c>
      <c r="D100" s="63">
        <f t="shared" si="62"/>
        <v>0.008582640484</v>
      </c>
      <c r="E100" s="63">
        <f t="shared" si="62"/>
        <v>0.009119055515</v>
      </c>
      <c r="F100" s="63">
        <f t="shared" si="62"/>
        <v>0.008582640484</v>
      </c>
      <c r="G100" s="63">
        <f t="shared" si="62"/>
        <v>0.008046225454</v>
      </c>
      <c r="H100" s="63">
        <f t="shared" si="62"/>
        <v>0.007509810424</v>
      </c>
      <c r="I100" s="63">
        <f t="shared" si="62"/>
        <v>0.008582640484</v>
      </c>
      <c r="J100" s="63">
        <f t="shared" si="62"/>
        <v>0.009119055515</v>
      </c>
      <c r="K100" s="63">
        <f t="shared" si="62"/>
        <v>0.009119055515</v>
      </c>
      <c r="L100" s="63">
        <f t="shared" si="62"/>
        <v>0.008582640484</v>
      </c>
      <c r="M100" s="63">
        <f t="shared" si="62"/>
        <v>0.008582640484</v>
      </c>
      <c r="N100" s="63">
        <f t="shared" si="62"/>
        <v>0.01180113067</v>
      </c>
      <c r="O100" s="44">
        <f t="shared" si="48"/>
        <v>0.01180113067</v>
      </c>
      <c r="P100" s="63">
        <f>'Parametros Recargas'!$M$99</f>
        <v>34</v>
      </c>
      <c r="Q100" s="36">
        <f>MAX(Q45,ROUNDUP(O100/(P100*'Parametros Recargas'!C$8*'Parametros Recargas'!$B$19),0))</f>
        <v>1</v>
      </c>
      <c r="R100" s="46">
        <f>IF(AND('Parametros Recargas'!C$8=2,O100/(P100*Q100*'Parametros Recargas'!$B$19)&gt;1),2,1)</f>
        <v>1</v>
      </c>
      <c r="S100" s="34">
        <f t="shared" si="49"/>
        <v>0.0003470920784</v>
      </c>
      <c r="T100" s="161">
        <f>'Parametros Recargas'!D68</f>
        <v>0</v>
      </c>
      <c r="U100" s="161">
        <f>'Parametros Recargas'!E68</f>
        <v>1</v>
      </c>
      <c r="V100" s="161">
        <f>'Parametros Recargas'!F68</f>
        <v>0</v>
      </c>
      <c r="W100" s="161">
        <f>'Parametros Recargas'!G68</f>
        <v>0</v>
      </c>
      <c r="X100" s="161">
        <f>'Parametros Recargas'!H68</f>
        <v>0</v>
      </c>
      <c r="Y100" s="161">
        <f>'Parametros Recargas'!I68</f>
        <v>0</v>
      </c>
      <c r="Z100" s="162">
        <f>'Parametros Recargas'!$U$99/P100</f>
        <v>0.02941176471</v>
      </c>
    </row>
    <row r="101" ht="15.75" customHeight="1">
      <c r="A101" s="30" t="s">
        <v>529</v>
      </c>
      <c r="B101" s="118" t="s">
        <v>458</v>
      </c>
      <c r="C101" s="63">
        <f t="shared" ref="C101:N101" si="63">($T101*C$79+$U101*C$80+$V101*C$81+$W101*C$82+$X101*C$83+$Y101*C$84)/$B$2</f>
        <v>0.009655470545</v>
      </c>
      <c r="D101" s="63">
        <f t="shared" si="63"/>
        <v>0.008582640484</v>
      </c>
      <c r="E101" s="63">
        <f t="shared" si="63"/>
        <v>0.009119055515</v>
      </c>
      <c r="F101" s="63">
        <f t="shared" si="63"/>
        <v>0.008582640484</v>
      </c>
      <c r="G101" s="63">
        <f t="shared" si="63"/>
        <v>0.008046225454</v>
      </c>
      <c r="H101" s="63">
        <f t="shared" si="63"/>
        <v>0.007509810424</v>
      </c>
      <c r="I101" s="63">
        <f t="shared" si="63"/>
        <v>0.008582640484</v>
      </c>
      <c r="J101" s="63">
        <f t="shared" si="63"/>
        <v>0.009119055515</v>
      </c>
      <c r="K101" s="63">
        <f t="shared" si="63"/>
        <v>0.009119055515</v>
      </c>
      <c r="L101" s="63">
        <f t="shared" si="63"/>
        <v>0.008582640484</v>
      </c>
      <c r="M101" s="63">
        <f t="shared" si="63"/>
        <v>0.008582640484</v>
      </c>
      <c r="N101" s="63">
        <f t="shared" si="63"/>
        <v>0.01180113067</v>
      </c>
      <c r="O101" s="44">
        <f t="shared" si="48"/>
        <v>0.01180113067</v>
      </c>
      <c r="P101" s="63">
        <f>'Parametros Recargas'!$M$100</f>
        <v>8.4375</v>
      </c>
      <c r="Q101" s="36">
        <f>MAX(Q46,ROUNDUP(O101/(P101*'Parametros Recargas'!C$8*'Parametros Recargas'!$B$19),0))</f>
        <v>1</v>
      </c>
      <c r="R101" s="46">
        <f>IF(AND('Parametros Recargas'!C$8=2,O101/(P101*Q101*'Parametros Recargas'!$B$19)&gt;1),2,1)</f>
        <v>1</v>
      </c>
      <c r="S101" s="34">
        <f t="shared" si="49"/>
        <v>0.001398652523</v>
      </c>
      <c r="T101" s="161">
        <f>'Parametros Recargas'!D69</f>
        <v>0</v>
      </c>
      <c r="U101" s="161">
        <f>'Parametros Recargas'!E69</f>
        <v>0</v>
      </c>
      <c r="V101" s="161">
        <f>'Parametros Recargas'!F69</f>
        <v>1</v>
      </c>
      <c r="W101" s="161">
        <f>'Parametros Recargas'!G69</f>
        <v>0</v>
      </c>
      <c r="X101" s="161">
        <f>'Parametros Recargas'!H69</f>
        <v>0</v>
      </c>
      <c r="Y101" s="161">
        <f>'Parametros Recargas'!I69</f>
        <v>0</v>
      </c>
      <c r="Z101" s="162">
        <f>'Parametros Recargas'!$U$100/P101</f>
        <v>0.1185185185</v>
      </c>
    </row>
    <row r="102" ht="15.75" customHeight="1">
      <c r="A102" s="30" t="s">
        <v>531</v>
      </c>
      <c r="B102" s="118" t="s">
        <v>458</v>
      </c>
      <c r="C102" s="63">
        <f t="shared" ref="C102:N102" si="64">($T102*C$79+$U102*C$80+$V102*C$81+$W102*C$82+$X102*C$83+$Y102*C$84)/$B$2</f>
        <v>0.2917184718</v>
      </c>
      <c r="D102" s="63">
        <f t="shared" si="64"/>
        <v>0.2541922458</v>
      </c>
      <c r="E102" s="63">
        <f t="shared" si="64"/>
        <v>0.2700792612</v>
      </c>
      <c r="F102" s="63">
        <f t="shared" si="64"/>
        <v>0.2570683434</v>
      </c>
      <c r="G102" s="63">
        <f t="shared" si="64"/>
        <v>0.2411813281</v>
      </c>
      <c r="H102" s="63">
        <f t="shared" si="64"/>
        <v>0.2252943127</v>
      </c>
      <c r="I102" s="63">
        <f t="shared" si="64"/>
        <v>0.2599444411</v>
      </c>
      <c r="J102" s="63">
        <f t="shared" si="64"/>
        <v>0.2672031636</v>
      </c>
      <c r="K102" s="63">
        <f t="shared" si="64"/>
        <v>0.2672031636</v>
      </c>
      <c r="L102" s="63">
        <f t="shared" si="64"/>
        <v>0.2541922458</v>
      </c>
      <c r="M102" s="63">
        <f t="shared" si="64"/>
        <v>0.2513161482</v>
      </c>
      <c r="N102" s="63">
        <f t="shared" si="64"/>
        <v>0.3380099476</v>
      </c>
      <c r="O102" s="44">
        <f t="shared" si="48"/>
        <v>0.3380099476</v>
      </c>
      <c r="P102" s="63">
        <f>'Parametros Recargas'!$M$101</f>
        <v>18.29818182</v>
      </c>
      <c r="Q102" s="36">
        <f>MAX(Q47,ROUNDUP(O102/(P102*'Parametros Recargas'!C$8*'Parametros Recargas'!$B$19),0))</f>
        <v>1</v>
      </c>
      <c r="R102" s="46">
        <f>IF(AND('Parametros Recargas'!C$8=2,O102/(P102*Q102*'Parametros Recargas'!$B$19)&gt;1),2,1)</f>
        <v>1</v>
      </c>
      <c r="S102" s="34">
        <f t="shared" si="49"/>
        <v>0.01847232424</v>
      </c>
      <c r="T102" s="161">
        <f>'Parametros Recargas'!D70</f>
        <v>0</v>
      </c>
      <c r="U102" s="161">
        <f>'Parametros Recargas'!E70</f>
        <v>0</v>
      </c>
      <c r="V102" s="161">
        <f>'Parametros Recargas'!F70</f>
        <v>0</v>
      </c>
      <c r="W102" s="161">
        <f>'Parametros Recargas'!G70</f>
        <v>1</v>
      </c>
      <c r="X102" s="161">
        <f>'Parametros Recargas'!H70</f>
        <v>0</v>
      </c>
      <c r="Y102" s="161">
        <f>'Parametros Recargas'!I70</f>
        <v>0</v>
      </c>
      <c r="Z102" s="162">
        <f>'Parametros Recargas'!$U$101/P102</f>
        <v>0.05465023847</v>
      </c>
    </row>
    <row r="103" ht="15.75" customHeight="1">
      <c r="A103" s="30" t="s">
        <v>533</v>
      </c>
      <c r="B103" s="118" t="s">
        <v>458</v>
      </c>
      <c r="C103" s="63">
        <f t="shared" ref="C103:N103" si="65">($T103*C$79+$U103*C$80+$V103*C$81+$W103*C$82+$X103*C$83+$Y103*C$84)/$B$2</f>
        <v>0.1683236126</v>
      </c>
      <c r="D103" s="63">
        <f t="shared" si="65"/>
        <v>0.149620989</v>
      </c>
      <c r="E103" s="63">
        <f t="shared" si="65"/>
        <v>0.1589723008</v>
      </c>
      <c r="F103" s="63">
        <f t="shared" si="65"/>
        <v>0.149620989</v>
      </c>
      <c r="G103" s="63">
        <f t="shared" si="65"/>
        <v>0.1402696771</v>
      </c>
      <c r="H103" s="63">
        <f t="shared" si="65"/>
        <v>0.1309183653</v>
      </c>
      <c r="I103" s="63">
        <f t="shared" si="65"/>
        <v>0.149620989</v>
      </c>
      <c r="J103" s="63">
        <f t="shared" si="65"/>
        <v>0.1589723008</v>
      </c>
      <c r="K103" s="63">
        <f t="shared" si="65"/>
        <v>0.1589723008</v>
      </c>
      <c r="L103" s="63">
        <f t="shared" si="65"/>
        <v>0.149620989</v>
      </c>
      <c r="M103" s="63">
        <f t="shared" si="65"/>
        <v>0.149620989</v>
      </c>
      <c r="N103" s="63">
        <f t="shared" si="65"/>
        <v>0.2057288598</v>
      </c>
      <c r="O103" s="44">
        <f t="shared" si="48"/>
        <v>0.2057288598</v>
      </c>
      <c r="P103" s="63">
        <f>'Parametros Recargas'!$M$102</f>
        <v>15.69230769</v>
      </c>
      <c r="Q103" s="36">
        <f>MAX(Q48,ROUNDUP(O103/(P103*'Parametros Recargas'!C$8*'Parametros Recargas'!$B$19),0))</f>
        <v>1</v>
      </c>
      <c r="R103" s="46">
        <f>IF(AND('Parametros Recargas'!C$8=2,O103/(P103*Q103*'Parametros Recargas'!$B$19)&gt;1),2,1)</f>
        <v>1</v>
      </c>
      <c r="S103" s="34">
        <f t="shared" si="49"/>
        <v>0.01311017244</v>
      </c>
      <c r="T103" s="161">
        <f>'Parametros Recargas'!D71</f>
        <v>0</v>
      </c>
      <c r="U103" s="161">
        <f>'Parametros Recargas'!E71</f>
        <v>0</v>
      </c>
      <c r="V103" s="161">
        <f>'Parametros Recargas'!F71</f>
        <v>0</v>
      </c>
      <c r="W103" s="161">
        <f>'Parametros Recargas'!G71</f>
        <v>0</v>
      </c>
      <c r="X103" s="161">
        <f>'Parametros Recargas'!H71</f>
        <v>0.35</v>
      </c>
      <c r="Y103" s="161">
        <f>'Parametros Recargas'!I71</f>
        <v>0</v>
      </c>
      <c r="Z103" s="162">
        <f>'Parametros Recargas'!$U$102/P103</f>
        <v>0.0637254902</v>
      </c>
    </row>
    <row r="104" ht="15.75" customHeight="1">
      <c r="A104" s="30" t="s">
        <v>535</v>
      </c>
      <c r="B104" s="118" t="s">
        <v>458</v>
      </c>
      <c r="C104" s="63">
        <f t="shared" ref="C104:N104" si="66">($T104*C$79+$U104*C$80+$V104*C$81+$W104*C$82+$X104*C$83+$Y104*C$84)/$B$2</f>
        <v>0.008053073306</v>
      </c>
      <c r="D104" s="63">
        <f t="shared" si="66"/>
        <v>0.007158287383</v>
      </c>
      <c r="E104" s="63">
        <f t="shared" si="66"/>
        <v>0.007605680344</v>
      </c>
      <c r="F104" s="63">
        <f t="shared" si="66"/>
        <v>0.007158287383</v>
      </c>
      <c r="G104" s="63">
        <f t="shared" si="66"/>
        <v>0.006710894421</v>
      </c>
      <c r="H104" s="63">
        <f t="shared" si="66"/>
        <v>0.00626350146</v>
      </c>
      <c r="I104" s="63">
        <f t="shared" si="66"/>
        <v>0.007158287383</v>
      </c>
      <c r="J104" s="63">
        <f t="shared" si="66"/>
        <v>0.007605680344</v>
      </c>
      <c r="K104" s="63">
        <f t="shared" si="66"/>
        <v>0.007605680344</v>
      </c>
      <c r="L104" s="63">
        <f t="shared" si="66"/>
        <v>0.007158287383</v>
      </c>
      <c r="M104" s="63">
        <f t="shared" si="66"/>
        <v>0.007158287383</v>
      </c>
      <c r="N104" s="63">
        <f t="shared" si="66"/>
        <v>0.009842645151</v>
      </c>
      <c r="O104" s="44">
        <f t="shared" si="48"/>
        <v>0.009842645151</v>
      </c>
      <c r="P104" s="63">
        <f>'Parametros Recargas'!$M$103</f>
        <v>12</v>
      </c>
      <c r="Q104" s="36">
        <f>MAX(Q49,ROUNDUP(O104/(P104*'Parametros Recargas'!C$8*'Parametros Recargas'!$B$19),0))</f>
        <v>1</v>
      </c>
      <c r="R104" s="46">
        <f>IF(AND('Parametros Recargas'!C$8=2,O104/(P104*Q104*'Parametros Recargas'!$B$19)&gt;1),2,1)</f>
        <v>1</v>
      </c>
      <c r="S104" s="34">
        <f t="shared" si="49"/>
        <v>0.0008202204293</v>
      </c>
      <c r="T104" s="161">
        <f>'Parametros Recargas'!D72</f>
        <v>0</v>
      </c>
      <c r="U104" s="161">
        <f>'Parametros Recargas'!E72</f>
        <v>0</v>
      </c>
      <c r="V104" s="161">
        <f>'Parametros Recargas'!F72</f>
        <v>0</v>
      </c>
      <c r="W104" s="161">
        <f>'Parametros Recargas'!G72</f>
        <v>0</v>
      </c>
      <c r="X104" s="161">
        <f>'Parametros Recargas'!H72</f>
        <v>0</v>
      </c>
      <c r="Y104" s="161">
        <f>'Parametros Recargas'!I72</f>
        <v>0.35</v>
      </c>
      <c r="Z104" s="162">
        <f>'Parametros Recargas'!$U$103/P104</f>
        <v>0.08333333333</v>
      </c>
    </row>
    <row r="105" ht="15.75" customHeight="1">
      <c r="A105" s="73" t="s">
        <v>536</v>
      </c>
      <c r="B105" s="118" t="s">
        <v>458</v>
      </c>
      <c r="C105" s="63">
        <f t="shared" ref="C105:N105" si="67">($T105*C$79+$U105*C$80+$V105*C$81+$W105*C$82+$X105*C$83+$Y105*C$84)/$B$2</f>
        <v>6.564257954</v>
      </c>
      <c r="D105" s="63">
        <f t="shared" si="67"/>
        <v>5.387026692</v>
      </c>
      <c r="E105" s="63">
        <f t="shared" si="67"/>
        <v>5.534866669</v>
      </c>
      <c r="F105" s="63">
        <f t="shared" si="67"/>
        <v>5.401681094</v>
      </c>
      <c r="G105" s="63">
        <f t="shared" si="67"/>
        <v>5.253841117</v>
      </c>
      <c r="H105" s="63">
        <f t="shared" si="67"/>
        <v>5.10600114</v>
      </c>
      <c r="I105" s="63">
        <f t="shared" si="67"/>
        <v>5.416335496</v>
      </c>
      <c r="J105" s="63">
        <f t="shared" si="67"/>
        <v>5.520212267</v>
      </c>
      <c r="K105" s="63">
        <f t="shared" si="67"/>
        <v>5.520212267</v>
      </c>
      <c r="L105" s="63">
        <f t="shared" si="67"/>
        <v>5.387026692</v>
      </c>
      <c r="M105" s="63">
        <f t="shared" si="67"/>
        <v>5.37237229</v>
      </c>
      <c r="N105" s="63">
        <f t="shared" si="67"/>
        <v>7.842457362</v>
      </c>
      <c r="O105" s="44">
        <f t="shared" si="48"/>
        <v>7.842457362</v>
      </c>
      <c r="P105" s="63">
        <f>'Parametros Recargas'!$M$104</f>
        <v>25.04347826</v>
      </c>
      <c r="Q105" s="36">
        <f>MAX(Q50,ROUNDUP(O105/(P105*'Parametros Recargas'!C$8*'Parametros Recargas'!$B$19),0))</f>
        <v>1</v>
      </c>
      <c r="R105" s="46">
        <f>IF(AND('Parametros Recargas'!C$8=2,O105/(P105*Q105*'Parametros Recargas'!$B$19)&gt;1),2,1)</f>
        <v>1</v>
      </c>
      <c r="S105" s="34">
        <f t="shared" si="49"/>
        <v>0.3131536794</v>
      </c>
      <c r="T105" s="161">
        <f>'Parametros Recargas'!D73</f>
        <v>1</v>
      </c>
      <c r="U105" s="161">
        <f>'Parametros Recargas'!E73</f>
        <v>1</v>
      </c>
      <c r="V105" s="161">
        <f>'Parametros Recargas'!F73</f>
        <v>1</v>
      </c>
      <c r="W105" s="161">
        <f>'Parametros Recargas'!G73</f>
        <v>1</v>
      </c>
      <c r="X105" s="161">
        <f>'Parametros Recargas'!H73</f>
        <v>0.35</v>
      </c>
      <c r="Y105" s="161">
        <f>'Parametros Recargas'!I73</f>
        <v>0.35</v>
      </c>
      <c r="Z105" s="162">
        <f>'Parametros Recargas'!$U$104/P105</f>
        <v>0.03993055556</v>
      </c>
    </row>
    <row r="106" ht="15.75" customHeight="1">
      <c r="A106" s="73" t="s">
        <v>537</v>
      </c>
      <c r="B106" s="118" t="s">
        <v>458</v>
      </c>
      <c r="C106" s="63">
        <f t="shared" ref="C106:N106" si="68">($T106*C$79+$U106*C$80+$V106*C$81+$W106*C$82+$X106*C$83+$Y106*C$84)/$B$2</f>
        <v>6.395934342</v>
      </c>
      <c r="D106" s="63">
        <f t="shared" si="68"/>
        <v>5.237405703</v>
      </c>
      <c r="E106" s="63">
        <f t="shared" si="68"/>
        <v>5.375894368</v>
      </c>
      <c r="F106" s="63">
        <f t="shared" si="68"/>
        <v>5.252060105</v>
      </c>
      <c r="G106" s="63">
        <f t="shared" si="68"/>
        <v>5.11357144</v>
      </c>
      <c r="H106" s="63">
        <f t="shared" si="68"/>
        <v>4.975082775</v>
      </c>
      <c r="I106" s="63">
        <f t="shared" si="68"/>
        <v>5.266714507</v>
      </c>
      <c r="J106" s="63">
        <f t="shared" si="68"/>
        <v>5.361239966</v>
      </c>
      <c r="K106" s="63">
        <f t="shared" si="68"/>
        <v>5.361239966</v>
      </c>
      <c r="L106" s="63">
        <f t="shared" si="68"/>
        <v>5.237405703</v>
      </c>
      <c r="M106" s="63">
        <f t="shared" si="68"/>
        <v>5.222751301</v>
      </c>
      <c r="N106" s="63">
        <f t="shared" si="68"/>
        <v>7.636728503</v>
      </c>
      <c r="O106" s="44">
        <f t="shared" si="48"/>
        <v>7.636728503</v>
      </c>
      <c r="P106" s="63">
        <f>'Parametros Recargas'!$M$105</f>
        <v>52.36363636</v>
      </c>
      <c r="Q106" s="36">
        <f>MAX(Q51,ROUNDUP(O106/(P106*'Parametros Recargas'!C$8*'Parametros Recargas'!$B$19),0))</f>
        <v>1</v>
      </c>
      <c r="R106" s="46">
        <f>IF(AND('Parametros Recargas'!C$8=2,O106/(P106*Q106*'Parametros Recargas'!$B$19)&gt;1),2,1)</f>
        <v>1</v>
      </c>
      <c r="S106" s="34">
        <f t="shared" si="49"/>
        <v>0.1458403013</v>
      </c>
      <c r="T106" s="161">
        <f>'Parametros Recargas'!D74</f>
        <v>1</v>
      </c>
      <c r="U106" s="161">
        <f>'Parametros Recargas'!E74</f>
        <v>1</v>
      </c>
      <c r="V106" s="161">
        <f>'Parametros Recargas'!F74</f>
        <v>1</v>
      </c>
      <c r="W106" s="161">
        <f>'Parametros Recargas'!G74</f>
        <v>1</v>
      </c>
      <c r="X106" s="161">
        <f>'Parametros Recargas'!H74</f>
        <v>0</v>
      </c>
      <c r="Y106" s="161">
        <f>'Parametros Recargas'!I74</f>
        <v>0.35</v>
      </c>
      <c r="Z106" s="162">
        <f>'Parametros Recargas'!$U$105/P106</f>
        <v>0.01909722222</v>
      </c>
    </row>
    <row r="107" ht="15.75" customHeight="1">
      <c r="A107" s="73" t="s">
        <v>546</v>
      </c>
      <c r="B107" s="118" t="s">
        <v>458</v>
      </c>
      <c r="C107" s="63">
        <f t="shared" ref="C107:N107" si="69">($T107*C$79+$U107*C$80+$V107*C$81+$W107*C$82+$X107*C$83+$Y107*C$84)/$B$2</f>
        <v>0.5039333882</v>
      </c>
      <c r="D107" s="63">
        <f t="shared" si="69"/>
        <v>0.4479407895</v>
      </c>
      <c r="E107" s="63">
        <f t="shared" si="69"/>
        <v>0.4759370889</v>
      </c>
      <c r="F107" s="63">
        <f t="shared" si="69"/>
        <v>0.4479407895</v>
      </c>
      <c r="G107" s="63">
        <f t="shared" si="69"/>
        <v>0.4199444902</v>
      </c>
      <c r="H107" s="63">
        <f t="shared" si="69"/>
        <v>0.3919481908</v>
      </c>
      <c r="I107" s="63">
        <f t="shared" si="69"/>
        <v>0.4479407895</v>
      </c>
      <c r="J107" s="63">
        <f t="shared" si="69"/>
        <v>0.4759370889</v>
      </c>
      <c r="K107" s="63">
        <f t="shared" si="69"/>
        <v>0.4759370889</v>
      </c>
      <c r="L107" s="63">
        <f t="shared" si="69"/>
        <v>0.4479407895</v>
      </c>
      <c r="M107" s="63">
        <f t="shared" si="69"/>
        <v>0.4479407895</v>
      </c>
      <c r="N107" s="63">
        <f t="shared" si="69"/>
        <v>0.6159185856</v>
      </c>
      <c r="O107" s="44">
        <f t="shared" si="48"/>
        <v>0.6159185856</v>
      </c>
      <c r="P107" s="63">
        <f>'Parametros Recargas'!$M$106</f>
        <v>55.63636364</v>
      </c>
      <c r="Q107" s="36">
        <f>MAX(Q52,ROUNDUP(O107/(P107*'Parametros Recargas'!C$8*'Parametros Recargas'!$B$19),0))</f>
        <v>1</v>
      </c>
      <c r="R107" s="46">
        <f>IF(AND('Parametros Recargas'!C$8=2,O107/(P107*Q107*'Parametros Recargas'!$B$19)&gt;1),2,1)</f>
        <v>1</v>
      </c>
      <c r="S107" s="34">
        <f t="shared" si="49"/>
        <v>0.01107043209</v>
      </c>
      <c r="T107" s="161">
        <f>'Parametros Recargas'!D75</f>
        <v>0</v>
      </c>
      <c r="U107" s="161">
        <f>'Parametros Recargas'!E75</f>
        <v>0</v>
      </c>
      <c r="V107" s="161">
        <f>'Parametros Recargas'!F75</f>
        <v>0</v>
      </c>
      <c r="W107" s="161">
        <f>'Parametros Recargas'!G75</f>
        <v>0</v>
      </c>
      <c r="X107" s="161">
        <f>'Parametros Recargas'!H75</f>
        <v>1</v>
      </c>
      <c r="Y107" s="161">
        <f>'Parametros Recargas'!I75</f>
        <v>1</v>
      </c>
      <c r="Z107" s="162">
        <f>'Parametros Recargas'!$U$106/P107</f>
        <v>0.01797385621</v>
      </c>
    </row>
    <row r="108" ht="15.75" customHeight="1">
      <c r="A108" s="73" t="s">
        <v>559</v>
      </c>
      <c r="B108" s="118" t="s">
        <v>458</v>
      </c>
      <c r="C108" s="63">
        <f t="shared" ref="C108:N108" si="70">($T108*C$79+$U108*C$80+$V108*C$81+$W108*C$82+$X108*C$83+$Y108*C$84)/$B$2</f>
        <v>6.891814657</v>
      </c>
      <c r="D108" s="63">
        <f t="shared" si="70"/>
        <v>5.678188205</v>
      </c>
      <c r="E108" s="63">
        <f t="shared" si="70"/>
        <v>5.844225777</v>
      </c>
      <c r="F108" s="63">
        <f t="shared" si="70"/>
        <v>5.692842607</v>
      </c>
      <c r="G108" s="63">
        <f t="shared" si="70"/>
        <v>5.526805036</v>
      </c>
      <c r="H108" s="63">
        <f t="shared" si="70"/>
        <v>5.360767464</v>
      </c>
      <c r="I108" s="63">
        <f t="shared" si="70"/>
        <v>5.707497009</v>
      </c>
      <c r="J108" s="63">
        <f t="shared" si="70"/>
        <v>5.829571374</v>
      </c>
      <c r="K108" s="63">
        <f t="shared" si="70"/>
        <v>5.829571374</v>
      </c>
      <c r="L108" s="63">
        <f t="shared" si="70"/>
        <v>5.678188205</v>
      </c>
      <c r="M108" s="63">
        <f t="shared" si="70"/>
        <v>5.663533803</v>
      </c>
      <c r="N108" s="63">
        <f t="shared" si="70"/>
        <v>8.242804443</v>
      </c>
      <c r="O108" s="44">
        <f t="shared" si="48"/>
        <v>8.242804443</v>
      </c>
      <c r="P108" s="63">
        <f>'Parametros Recargas'!$M$107</f>
        <v>76.5</v>
      </c>
      <c r="Q108" s="36">
        <f>MAX(Q53,ROUNDUP(O108/(P108*'Parametros Recargas'!C$8*'Parametros Recargas'!$B$19),0))</f>
        <v>1</v>
      </c>
      <c r="R108" s="46">
        <f>IF(AND('Parametros Recargas'!C$8=2,O108/(P108*Q108*'Parametros Recargas'!$B$19)&gt;1),2,1)</f>
        <v>1</v>
      </c>
      <c r="S108" s="34">
        <f t="shared" si="49"/>
        <v>0.1077490777</v>
      </c>
      <c r="T108" s="161">
        <f>'Parametros Recargas'!D76</f>
        <v>1</v>
      </c>
      <c r="U108" s="161">
        <f>'Parametros Recargas'!E76</f>
        <v>1</v>
      </c>
      <c r="V108" s="161">
        <f>'Parametros Recargas'!F76</f>
        <v>1</v>
      </c>
      <c r="W108" s="161">
        <f>'Parametros Recargas'!G76</f>
        <v>1</v>
      </c>
      <c r="X108" s="161">
        <f>'Parametros Recargas'!H76</f>
        <v>1</v>
      </c>
      <c r="Y108" s="161">
        <f>'Parametros Recargas'!I76</f>
        <v>1</v>
      </c>
      <c r="Z108" s="162">
        <f>'Parametros Recargas'!$U$107/P108</f>
        <v>0.003267973856</v>
      </c>
    </row>
    <row r="109" ht="15.75" customHeight="1">
      <c r="A109" s="73" t="s">
        <v>566</v>
      </c>
      <c r="B109" s="118" t="s">
        <v>458</v>
      </c>
      <c r="C109" s="63">
        <f t="shared" ref="C109:N109" si="71">($T109*C$79+$U109*C$80+$V109*C$81+$W109*C$82+$X109*C$83+$Y109*C$84)/$B$2</f>
        <v>1.033772198</v>
      </c>
      <c r="D109" s="63">
        <f t="shared" si="71"/>
        <v>0.8517282308</v>
      </c>
      <c r="E109" s="63">
        <f t="shared" si="71"/>
        <v>0.8766338665</v>
      </c>
      <c r="F109" s="63">
        <f t="shared" si="71"/>
        <v>0.8539263911</v>
      </c>
      <c r="G109" s="63">
        <f t="shared" si="71"/>
        <v>0.8290207553</v>
      </c>
      <c r="H109" s="63">
        <f t="shared" si="71"/>
        <v>0.8041151196</v>
      </c>
      <c r="I109" s="63">
        <f t="shared" si="71"/>
        <v>0.8561245514</v>
      </c>
      <c r="J109" s="63">
        <f t="shared" si="71"/>
        <v>0.8744357062</v>
      </c>
      <c r="K109" s="63">
        <f t="shared" si="71"/>
        <v>0.8744357062</v>
      </c>
      <c r="L109" s="63">
        <f t="shared" si="71"/>
        <v>0.8517282308</v>
      </c>
      <c r="M109" s="63">
        <f t="shared" si="71"/>
        <v>0.8495300704</v>
      </c>
      <c r="N109" s="63">
        <f t="shared" si="71"/>
        <v>1.236420666</v>
      </c>
      <c r="O109" s="44">
        <f t="shared" si="48"/>
        <v>1.236420666</v>
      </c>
      <c r="P109" s="63">
        <f>'Parametros Recargas'!$M$108</f>
        <v>8</v>
      </c>
      <c r="Q109" s="36">
        <f>MAX(Q54,ROUNDUP(O109/(P109*'Parametros Recargas'!C$8*'Parametros Recargas'!$B$19),0))</f>
        <v>1</v>
      </c>
      <c r="R109" s="46">
        <f>IF(AND('Parametros Recargas'!C$8=2,O109/(P109*Q109*'Parametros Recargas'!$B$19)&gt;1),2,1)</f>
        <v>1</v>
      </c>
      <c r="S109" s="34">
        <f t="shared" si="49"/>
        <v>0.1545525833</v>
      </c>
      <c r="T109" s="161">
        <f>'Parametros Recargas'!D77</f>
        <v>0.15</v>
      </c>
      <c r="U109" s="161">
        <f>'Parametros Recargas'!E77</f>
        <v>0.15</v>
      </c>
      <c r="V109" s="161">
        <f>'Parametros Recargas'!F77</f>
        <v>0.15</v>
      </c>
      <c r="W109" s="161">
        <f>'Parametros Recargas'!G77</f>
        <v>0.15</v>
      </c>
      <c r="X109" s="161">
        <f>'Parametros Recargas'!H77</f>
        <v>0.15</v>
      </c>
      <c r="Y109" s="161">
        <f>'Parametros Recargas'!I77</f>
        <v>0.15</v>
      </c>
      <c r="Z109" s="162">
        <f>'Parametros Recargas'!$U$108/P109</f>
        <v>0.125</v>
      </c>
    </row>
    <row r="110" ht="15.75" customHeight="1">
      <c r="A110" s="73" t="s">
        <v>574</v>
      </c>
      <c r="B110" s="118" t="s">
        <v>458</v>
      </c>
      <c r="C110" s="63">
        <f t="shared" ref="C110:N110" si="72">($T110*C$79+$U110*C$80+$V110*C$81+$W110*C$82+$X110*C$83+$Y110*C$84)/$B$2</f>
        <v>6.891814657</v>
      </c>
      <c r="D110" s="63">
        <f t="shared" si="72"/>
        <v>5.678188205</v>
      </c>
      <c r="E110" s="63">
        <f t="shared" si="72"/>
        <v>5.844225777</v>
      </c>
      <c r="F110" s="63">
        <f t="shared" si="72"/>
        <v>5.692842607</v>
      </c>
      <c r="G110" s="63">
        <f t="shared" si="72"/>
        <v>5.526805036</v>
      </c>
      <c r="H110" s="63">
        <f t="shared" si="72"/>
        <v>5.360767464</v>
      </c>
      <c r="I110" s="63">
        <f t="shared" si="72"/>
        <v>5.707497009</v>
      </c>
      <c r="J110" s="63">
        <f t="shared" si="72"/>
        <v>5.829571374</v>
      </c>
      <c r="K110" s="63">
        <f t="shared" si="72"/>
        <v>5.829571374</v>
      </c>
      <c r="L110" s="63">
        <f t="shared" si="72"/>
        <v>5.678188205</v>
      </c>
      <c r="M110" s="63">
        <f t="shared" si="72"/>
        <v>5.663533803</v>
      </c>
      <c r="N110" s="63">
        <f t="shared" si="72"/>
        <v>8.242804443</v>
      </c>
      <c r="O110" s="44">
        <f t="shared" si="48"/>
        <v>8.242804443</v>
      </c>
      <c r="P110" s="63">
        <f>'Parametros Recargas'!$M$109</f>
        <v>52.36363636</v>
      </c>
      <c r="Q110" s="36">
        <f>MAX(Q55,ROUNDUP(O110/(P110*'Parametros Recargas'!C$8*'Parametros Recargas'!$B$19),0))</f>
        <v>1</v>
      </c>
      <c r="R110" s="46">
        <f>IF(AND('Parametros Recargas'!C$8=2,O110/(P110*Q110*'Parametros Recargas'!$B$19)&gt;1),2,1)</f>
        <v>1</v>
      </c>
      <c r="S110" s="34">
        <f t="shared" si="49"/>
        <v>0.1574146682</v>
      </c>
      <c r="T110" s="161">
        <f>'Parametros Recargas'!D78</f>
        <v>1</v>
      </c>
      <c r="U110" s="161">
        <f>'Parametros Recargas'!E78</f>
        <v>1</v>
      </c>
      <c r="V110" s="161">
        <f>'Parametros Recargas'!F78</f>
        <v>1</v>
      </c>
      <c r="W110" s="161">
        <f>'Parametros Recargas'!G78</f>
        <v>1</v>
      </c>
      <c r="X110" s="161">
        <f>'Parametros Recargas'!H78</f>
        <v>1</v>
      </c>
      <c r="Y110" s="161">
        <f>'Parametros Recargas'!I78</f>
        <v>1</v>
      </c>
      <c r="Z110" s="162">
        <f>'Parametros Recargas'!$U$109/P110</f>
        <v>0.01909722222</v>
      </c>
    </row>
    <row r="111" ht="15.75" customHeight="1">
      <c r="A111" s="73" t="s">
        <v>583</v>
      </c>
      <c r="B111" s="118" t="s">
        <v>458</v>
      </c>
      <c r="C111" s="63">
        <f t="shared" ref="C111:N111" si="73">($T111*C$79+$U111*C$80+$V111*C$81+$W111*C$82+$X111*C$83+$Y111*C$84)/$B$2</f>
        <v>6.891814657</v>
      </c>
      <c r="D111" s="63">
        <f t="shared" si="73"/>
        <v>5.678188205</v>
      </c>
      <c r="E111" s="63">
        <f t="shared" si="73"/>
        <v>5.844225777</v>
      </c>
      <c r="F111" s="63">
        <f t="shared" si="73"/>
        <v>5.692842607</v>
      </c>
      <c r="G111" s="63">
        <f t="shared" si="73"/>
        <v>5.526805036</v>
      </c>
      <c r="H111" s="63">
        <f t="shared" si="73"/>
        <v>5.360767464</v>
      </c>
      <c r="I111" s="63">
        <f t="shared" si="73"/>
        <v>5.707497009</v>
      </c>
      <c r="J111" s="63">
        <f t="shared" si="73"/>
        <v>5.829571374</v>
      </c>
      <c r="K111" s="63">
        <f t="shared" si="73"/>
        <v>5.829571374</v>
      </c>
      <c r="L111" s="63">
        <f t="shared" si="73"/>
        <v>5.678188205</v>
      </c>
      <c r="M111" s="63">
        <f t="shared" si="73"/>
        <v>5.663533803</v>
      </c>
      <c r="N111" s="63">
        <f t="shared" si="73"/>
        <v>8.242804443</v>
      </c>
      <c r="O111" s="44">
        <f t="shared" si="48"/>
        <v>8.242804443</v>
      </c>
      <c r="P111" s="63">
        <f>'Parametros Recargas'!$M$110</f>
        <v>57.6</v>
      </c>
      <c r="Q111" s="36">
        <f>MAX(Q56,ROUNDUP(O111/(P111*'Parametros Recargas'!C$8*'Parametros Recargas'!$B$19),0))</f>
        <v>1</v>
      </c>
      <c r="R111" s="46">
        <f>IF(AND('Parametros Recargas'!C$8=2,O111/(P111*Q111*'Parametros Recargas'!$B$19)&gt;1),2,1)</f>
        <v>1</v>
      </c>
      <c r="S111" s="34">
        <f t="shared" si="49"/>
        <v>0.1431042438</v>
      </c>
      <c r="T111" s="161">
        <f>'Parametros Recargas'!D79</f>
        <v>1</v>
      </c>
      <c r="U111" s="161">
        <f>'Parametros Recargas'!E79</f>
        <v>1</v>
      </c>
      <c r="V111" s="161">
        <f>'Parametros Recargas'!F79</f>
        <v>1</v>
      </c>
      <c r="W111" s="161">
        <f>'Parametros Recargas'!G79</f>
        <v>1</v>
      </c>
      <c r="X111" s="161">
        <f>'Parametros Recargas'!H79</f>
        <v>1</v>
      </c>
      <c r="Y111" s="161">
        <f>'Parametros Recargas'!I79</f>
        <v>1</v>
      </c>
      <c r="Z111" s="162">
        <f>'Parametros Recargas'!$U$110/P111</f>
        <v>0.01736111111</v>
      </c>
    </row>
    <row r="112" ht="15.75" customHeight="1">
      <c r="A112" s="73" t="s">
        <v>590</v>
      </c>
      <c r="B112" s="118" t="s">
        <v>591</v>
      </c>
      <c r="C112" s="175">
        <f t="shared" ref="C112:N112" si="74">SUMPRODUCT(C86:C111,$Z86:$Z111)*$B$2</f>
        <v>237.1102556</v>
      </c>
      <c r="D112" s="175">
        <f t="shared" si="74"/>
        <v>195.2980346</v>
      </c>
      <c r="E112" s="175">
        <f t="shared" si="74"/>
        <v>201.0131169</v>
      </c>
      <c r="F112" s="175">
        <f t="shared" si="74"/>
        <v>195.8426025</v>
      </c>
      <c r="G112" s="175">
        <f t="shared" si="74"/>
        <v>190.1275203</v>
      </c>
      <c r="H112" s="175">
        <f t="shared" si="74"/>
        <v>184.412438</v>
      </c>
      <c r="I112" s="175">
        <f t="shared" si="74"/>
        <v>196.3871705</v>
      </c>
      <c r="J112" s="175">
        <f t="shared" si="74"/>
        <v>200.4685489</v>
      </c>
      <c r="K112" s="175">
        <f t="shared" si="74"/>
        <v>200.4685489</v>
      </c>
      <c r="L112" s="175">
        <f t="shared" si="74"/>
        <v>195.2980346</v>
      </c>
      <c r="M112" s="175">
        <f t="shared" si="74"/>
        <v>194.7534667</v>
      </c>
      <c r="N112" s="175">
        <f t="shared" si="74"/>
        <v>283.3331048</v>
      </c>
      <c r="O112" s="175">
        <f t="shared" si="48"/>
        <v>283.3331048</v>
      </c>
    </row>
    <row r="113" ht="15.75" customHeight="1"/>
    <row r="114" ht="15.75" customHeight="1">
      <c r="A114" s="45" t="s">
        <v>660</v>
      </c>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137"/>
    </row>
    <row r="115" ht="15.75" customHeight="1">
      <c r="A115" s="29" t="s">
        <v>376</v>
      </c>
      <c r="B115" s="29" t="s">
        <v>377</v>
      </c>
      <c r="C115" s="29" t="s">
        <v>109</v>
      </c>
      <c r="D115" s="29" t="s">
        <v>110</v>
      </c>
      <c r="E115" s="29" t="s">
        <v>111</v>
      </c>
      <c r="F115" s="29" t="s">
        <v>112</v>
      </c>
      <c r="G115" s="29" t="s">
        <v>113</v>
      </c>
      <c r="H115" s="29" t="s">
        <v>114</v>
      </c>
      <c r="I115" s="29" t="s">
        <v>115</v>
      </c>
      <c r="J115" s="29" t="s">
        <v>116</v>
      </c>
      <c r="K115" s="29" t="s">
        <v>117</v>
      </c>
      <c r="L115" s="29" t="s">
        <v>118</v>
      </c>
      <c r="M115" s="29" t="s">
        <v>119</v>
      </c>
      <c r="N115" s="29" t="s">
        <v>120</v>
      </c>
      <c r="O115" s="29" t="s">
        <v>15</v>
      </c>
    </row>
    <row r="116" ht="15.75" customHeight="1">
      <c r="A116" s="30" t="str">
        <f>datos_base!$A$55</f>
        <v>ABC 1 kg</v>
      </c>
      <c r="B116" s="139" t="s">
        <v>379</v>
      </c>
      <c r="C116" s="64">
        <f>datos_base!$D$55*'Parametros Recargas'!D$33*'Parametros Recargas'!$Q$33</f>
        <v>1045.872352</v>
      </c>
      <c r="D116" s="64">
        <f>datos_base!$D$55*'Parametros Recargas'!E$33*'Parametros Recargas'!$Q$33</f>
        <v>815.7804346</v>
      </c>
      <c r="E116" s="64">
        <f>datos_base!$D$55*'Parametros Recargas'!F$33*'Parametros Recargas'!$Q$33</f>
        <v>815.7804346</v>
      </c>
      <c r="F116" s="64">
        <f>datos_base!$D$55*'Parametros Recargas'!G$33*'Parametros Recargas'!$Q$33</f>
        <v>815.7804346</v>
      </c>
      <c r="G116" s="64">
        <f>datos_base!$D$55*'Parametros Recargas'!H$33*'Parametros Recargas'!$Q$33</f>
        <v>815.7804346</v>
      </c>
      <c r="H116" s="64">
        <f>datos_base!$D$55*'Parametros Recargas'!I$33*'Parametros Recargas'!$Q$33</f>
        <v>815.7804346</v>
      </c>
      <c r="I116" s="64">
        <f>datos_base!$D$55*'Parametros Recargas'!J$33*'Parametros Recargas'!$Q$33</f>
        <v>815.7804346</v>
      </c>
      <c r="J116" s="64">
        <f>datos_base!$D$55*'Parametros Recargas'!K$33*'Parametros Recargas'!$Q$33</f>
        <v>815.7804346</v>
      </c>
      <c r="K116" s="64">
        <f>datos_base!$D$55*'Parametros Recargas'!L$33*'Parametros Recargas'!$Q$33</f>
        <v>815.7804346</v>
      </c>
      <c r="L116" s="64">
        <f>datos_base!$D$55*'Parametros Recargas'!M$33*'Parametros Recargas'!$Q$33</f>
        <v>815.7804346</v>
      </c>
      <c r="M116" s="64">
        <f>datos_base!$D$55*'Parametros Recargas'!N$33*'Parametros Recargas'!$Q$33</f>
        <v>815.7804346</v>
      </c>
      <c r="N116" s="64">
        <f>datos_base!$D$55*'Parametros Recargas'!O$33*'Parametros Recargas'!$Q$33</f>
        <v>1255.046822</v>
      </c>
      <c r="O116" s="84">
        <f t="shared" ref="O116:O132" si="75">SUM(C116:N116)</f>
        <v>10458.72352</v>
      </c>
    </row>
    <row r="117" ht="15.75" customHeight="1">
      <c r="A117" s="30" t="str">
        <f>datos_base!$A$56</f>
        <v>ABC 2,5 kg</v>
      </c>
      <c r="B117" s="139" t="s">
        <v>379</v>
      </c>
      <c r="C117" s="64">
        <f>datos_base!$D$56*'Parametros Recargas'!D$34*'Parametros Recargas'!$Q$34</f>
        <v>90.81278201</v>
      </c>
      <c r="D117" s="64">
        <f>datos_base!$D$56*'Parametros Recargas'!E$34*'Parametros Recargas'!$Q$34</f>
        <v>80.7224729</v>
      </c>
      <c r="E117" s="64">
        <f>datos_base!$D$56*'Parametros Recargas'!F$34*'Parametros Recargas'!$Q$34</f>
        <v>85.76762745</v>
      </c>
      <c r="F117" s="64">
        <f>datos_base!$D$56*'Parametros Recargas'!G$34*'Parametros Recargas'!$Q$34</f>
        <v>80.7224729</v>
      </c>
      <c r="G117" s="64">
        <f>datos_base!$D$56*'Parametros Recargas'!H$34*'Parametros Recargas'!$Q$34</f>
        <v>75.67731834</v>
      </c>
      <c r="H117" s="64">
        <f>datos_base!$D$56*'Parametros Recargas'!I$34*'Parametros Recargas'!$Q$34</f>
        <v>70.63216378</v>
      </c>
      <c r="I117" s="64">
        <f>datos_base!$D$56*'Parametros Recargas'!J$34*'Parametros Recargas'!$Q$34</f>
        <v>80.7224729</v>
      </c>
      <c r="J117" s="64">
        <f>datos_base!$D$56*'Parametros Recargas'!K$34*'Parametros Recargas'!$Q$34</f>
        <v>85.76762745</v>
      </c>
      <c r="K117" s="64">
        <f>datos_base!$D$56*'Parametros Recargas'!L$34*'Parametros Recargas'!$Q$34</f>
        <v>85.76762745</v>
      </c>
      <c r="L117" s="64">
        <f>datos_base!$D$56*'Parametros Recargas'!M$34*'Parametros Recargas'!$Q$34</f>
        <v>80.7224729</v>
      </c>
      <c r="M117" s="64">
        <f>datos_base!$D$56*'Parametros Recargas'!N$34*'Parametros Recargas'!$Q$34</f>
        <v>80.7224729</v>
      </c>
      <c r="N117" s="64">
        <f>datos_base!$D$56*'Parametros Recargas'!O$34*'Parametros Recargas'!$Q$34</f>
        <v>110.9934002</v>
      </c>
      <c r="O117" s="84">
        <f t="shared" si="75"/>
        <v>1009.030911</v>
      </c>
    </row>
    <row r="118" ht="15.75" customHeight="1">
      <c r="A118" s="30" t="str">
        <f>datos_base!$A$57</f>
        <v>ABC 5 kg</v>
      </c>
      <c r="B118" s="139" t="s">
        <v>379</v>
      </c>
      <c r="C118" s="64">
        <f>datos_base!$D$57*'Parametros Recargas'!D$35*'Parametros Recargas'!$Q$35</f>
        <v>547.7733332</v>
      </c>
      <c r="D118" s="64">
        <f>datos_base!$D$57*'Parametros Recargas'!E$35*'Parametros Recargas'!$Q$35</f>
        <v>486.9096295</v>
      </c>
      <c r="E118" s="64">
        <f>datos_base!$D$57*'Parametros Recargas'!F$35*'Parametros Recargas'!$Q$35</f>
        <v>517.3414814</v>
      </c>
      <c r="F118" s="64">
        <f>datos_base!$D$57*'Parametros Recargas'!G$35*'Parametros Recargas'!$Q$35</f>
        <v>486.9096295</v>
      </c>
      <c r="G118" s="64">
        <f>datos_base!$D$57*'Parametros Recargas'!H$35*'Parametros Recargas'!$Q$35</f>
        <v>456.4777777</v>
      </c>
      <c r="H118" s="64">
        <f>datos_base!$D$57*'Parametros Recargas'!I$35*'Parametros Recargas'!$Q$35</f>
        <v>426.0459258</v>
      </c>
      <c r="I118" s="64">
        <f>datos_base!$D$57*'Parametros Recargas'!J$35*'Parametros Recargas'!$Q$35</f>
        <v>486.9096295</v>
      </c>
      <c r="J118" s="64">
        <f>datos_base!$D$57*'Parametros Recargas'!K$35*'Parametros Recargas'!$Q$35</f>
        <v>517.3414814</v>
      </c>
      <c r="K118" s="64">
        <f>datos_base!$D$57*'Parametros Recargas'!L$35*'Parametros Recargas'!$Q$35</f>
        <v>517.3414814</v>
      </c>
      <c r="L118" s="64">
        <f>datos_base!$D$57*'Parametros Recargas'!M$35*'Parametros Recargas'!$Q$35</f>
        <v>486.9096295</v>
      </c>
      <c r="M118" s="64">
        <f>datos_base!$D$57*'Parametros Recargas'!N$35*'Parametros Recargas'!$Q$35</f>
        <v>486.9096295</v>
      </c>
      <c r="N118" s="64">
        <f>datos_base!$D$57*'Parametros Recargas'!O$35*'Parametros Recargas'!$Q$35</f>
        <v>669.5007406</v>
      </c>
      <c r="O118" s="84">
        <f t="shared" si="75"/>
        <v>6086.370369</v>
      </c>
    </row>
    <row r="119" ht="15.75" customHeight="1">
      <c r="A119" s="30" t="str">
        <f>datos_base!$A$58</f>
        <v>ABC 10 kg</v>
      </c>
      <c r="B119" s="139" t="s">
        <v>379</v>
      </c>
      <c r="C119" s="64">
        <f>datos_base!$D$58*'Parametros Recargas'!D$36*'Parametros Recargas'!$Q$36</f>
        <v>31.58571481</v>
      </c>
      <c r="D119" s="64">
        <f>datos_base!$D$58*'Parametros Recargas'!E$36*'Parametros Recargas'!$Q$36</f>
        <v>28.07619095</v>
      </c>
      <c r="E119" s="64">
        <f>datos_base!$D$58*'Parametros Recargas'!F$36*'Parametros Recargas'!$Q$36</f>
        <v>29.83095288</v>
      </c>
      <c r="F119" s="64">
        <f>datos_base!$D$58*'Parametros Recargas'!G$36*'Parametros Recargas'!$Q$36</f>
        <v>28.07619095</v>
      </c>
      <c r="G119" s="64">
        <f>datos_base!$D$58*'Parametros Recargas'!H$36*'Parametros Recargas'!$Q$36</f>
        <v>26.32142901</v>
      </c>
      <c r="H119" s="64">
        <f>datos_base!$D$58*'Parametros Recargas'!I$36*'Parametros Recargas'!$Q$36</f>
        <v>24.56666708</v>
      </c>
      <c r="I119" s="64">
        <f>datos_base!$D$58*'Parametros Recargas'!J$36*'Parametros Recargas'!$Q$36</f>
        <v>28.07619095</v>
      </c>
      <c r="J119" s="64">
        <f>datos_base!$D$58*'Parametros Recargas'!K$36*'Parametros Recargas'!$Q$36</f>
        <v>29.83095288</v>
      </c>
      <c r="K119" s="64">
        <f>datos_base!$D$58*'Parametros Recargas'!L$36*'Parametros Recargas'!$Q$36</f>
        <v>29.83095288</v>
      </c>
      <c r="L119" s="64">
        <f>datos_base!$D$58*'Parametros Recargas'!M$36*'Parametros Recargas'!$Q$36</f>
        <v>28.07619095</v>
      </c>
      <c r="M119" s="64">
        <f>datos_base!$D$58*'Parametros Recargas'!N$36*'Parametros Recargas'!$Q$36</f>
        <v>28.07619095</v>
      </c>
      <c r="N119" s="64">
        <f>datos_base!$D$58*'Parametros Recargas'!O$36*'Parametros Recargas'!$Q$36</f>
        <v>38.60476255</v>
      </c>
      <c r="O119" s="84">
        <f t="shared" si="75"/>
        <v>350.9523868</v>
      </c>
    </row>
    <row r="120" ht="15.75" customHeight="1">
      <c r="A120" s="30" t="str">
        <f>datos_base!$A$69</f>
        <v>ABC 25 kg s/ruedas</v>
      </c>
      <c r="B120" s="139" t="s">
        <v>379</v>
      </c>
      <c r="C120" s="64">
        <f>datos_base!$D$69*'Parametros Recargas'!D$37*'Parametros Recargas'!$Q$37</f>
        <v>19.20822332</v>
      </c>
      <c r="D120" s="64">
        <f>datos_base!$D$69*'Parametros Recargas'!E$37*'Parametros Recargas'!$Q$37</f>
        <v>15.36657865</v>
      </c>
      <c r="E120" s="64">
        <f>datos_base!$D$69*'Parametros Recargas'!F$37*'Parametros Recargas'!$Q$37</f>
        <v>16.32698982</v>
      </c>
      <c r="F120" s="64">
        <f>datos_base!$D$69*'Parametros Recargas'!G$37*'Parametros Recargas'!$Q$37</f>
        <v>16.32698982</v>
      </c>
      <c r="G120" s="64">
        <f>datos_base!$D$69*'Parametros Recargas'!H$37*'Parametros Recargas'!$Q$37</f>
        <v>15.36657865</v>
      </c>
      <c r="H120" s="64">
        <f>datos_base!$D$69*'Parametros Recargas'!I$37*'Parametros Recargas'!$Q$37</f>
        <v>14.40616749</v>
      </c>
      <c r="I120" s="64">
        <f>datos_base!$D$69*'Parametros Recargas'!J$37*'Parametros Recargas'!$Q$37</f>
        <v>17.28740099</v>
      </c>
      <c r="J120" s="64">
        <f>datos_base!$D$69*'Parametros Recargas'!K$37*'Parametros Recargas'!$Q$37</f>
        <v>15.36657865</v>
      </c>
      <c r="K120" s="64">
        <f>datos_base!$D$69*'Parametros Recargas'!L$37*'Parametros Recargas'!$Q$37</f>
        <v>15.36657865</v>
      </c>
      <c r="L120" s="64">
        <f>datos_base!$D$69*'Parametros Recargas'!M$37*'Parametros Recargas'!$Q$37</f>
        <v>15.36657865</v>
      </c>
      <c r="M120" s="64">
        <f>datos_base!$D$69*'Parametros Recargas'!N$37*'Parametros Recargas'!$Q$37</f>
        <v>14.40616749</v>
      </c>
      <c r="N120" s="64">
        <f>datos_base!$D$69*'Parametros Recargas'!O$37*'Parametros Recargas'!$Q$37</f>
        <v>17.28740099</v>
      </c>
      <c r="O120" s="84">
        <f t="shared" si="75"/>
        <v>192.0822332</v>
      </c>
    </row>
    <row r="121" ht="15.75" customHeight="1">
      <c r="A121" s="30" t="str">
        <f>datos_base!$A$70</f>
        <v>ABC 50 kg s/ruedas</v>
      </c>
      <c r="B121" s="139" t="s">
        <v>379</v>
      </c>
      <c r="C121" s="64">
        <f>datos_base!$D$70*'Parametros Recargas'!D$38*'Parametros Recargas'!$Q$38</f>
        <v>42.21700419</v>
      </c>
      <c r="D121" s="64">
        <f>datos_base!$D$70*'Parametros Recargas'!E$38*'Parametros Recargas'!$Q$38</f>
        <v>33.77360335</v>
      </c>
      <c r="E121" s="64">
        <f>datos_base!$D$70*'Parametros Recargas'!F$38*'Parametros Recargas'!$Q$38</f>
        <v>35.88445356</v>
      </c>
      <c r="F121" s="64">
        <f>datos_base!$D$70*'Parametros Recargas'!G$38*'Parametros Recargas'!$Q$38</f>
        <v>35.88445356</v>
      </c>
      <c r="G121" s="64">
        <f>datos_base!$D$70*'Parametros Recargas'!H$38*'Parametros Recargas'!$Q$38</f>
        <v>33.77360335</v>
      </c>
      <c r="H121" s="64">
        <f>datos_base!$D$70*'Parametros Recargas'!I$38*'Parametros Recargas'!$Q$38</f>
        <v>31.66275314</v>
      </c>
      <c r="I121" s="64">
        <f>datos_base!$D$70*'Parametros Recargas'!J$38*'Parametros Recargas'!$Q$38</f>
        <v>37.99530377</v>
      </c>
      <c r="J121" s="64">
        <f>datos_base!$D$70*'Parametros Recargas'!K$38*'Parametros Recargas'!$Q$38</f>
        <v>33.77360335</v>
      </c>
      <c r="K121" s="64">
        <f>datos_base!$D$70*'Parametros Recargas'!L$38*'Parametros Recargas'!$Q$38</f>
        <v>33.77360335</v>
      </c>
      <c r="L121" s="64">
        <f>datos_base!$D$70*'Parametros Recargas'!M$38*'Parametros Recargas'!$Q$38</f>
        <v>33.77360335</v>
      </c>
      <c r="M121" s="64">
        <f>datos_base!$D$70*'Parametros Recargas'!N$38*'Parametros Recargas'!$Q$38</f>
        <v>31.66275314</v>
      </c>
      <c r="N121" s="64">
        <f>datos_base!$D$70*'Parametros Recargas'!O$38*'Parametros Recargas'!$Q$38</f>
        <v>37.99530377</v>
      </c>
      <c r="O121" s="84">
        <f t="shared" si="75"/>
        <v>422.1700419</v>
      </c>
    </row>
    <row r="122" ht="15.75" customHeight="1">
      <c r="A122" s="30" t="str">
        <f>datos_base!$A$71</f>
        <v>ABC 70 kg s/ruedas</v>
      </c>
      <c r="B122" s="139" t="s">
        <v>379</v>
      </c>
      <c r="C122" s="64">
        <f>datos_base!$D$71*'Parametros Recargas'!D$39*'Parametros Recargas'!$Q$39</f>
        <v>9.244599458</v>
      </c>
      <c r="D122" s="64">
        <f>datos_base!$D$71*'Parametros Recargas'!E$39*'Parametros Recargas'!$Q$39</f>
        <v>7.395679566</v>
      </c>
      <c r="E122" s="64">
        <f>datos_base!$D$71*'Parametros Recargas'!F$39*'Parametros Recargas'!$Q$39</f>
        <v>7.857909539</v>
      </c>
      <c r="F122" s="64">
        <f>datos_base!$D$71*'Parametros Recargas'!G$39*'Parametros Recargas'!$Q$39</f>
        <v>7.857909539</v>
      </c>
      <c r="G122" s="64">
        <f>datos_base!$D$71*'Parametros Recargas'!H$39*'Parametros Recargas'!$Q$39</f>
        <v>7.395679566</v>
      </c>
      <c r="H122" s="64">
        <f>datos_base!$D$71*'Parametros Recargas'!I$39*'Parametros Recargas'!$Q$39</f>
        <v>6.933449593</v>
      </c>
      <c r="I122" s="64">
        <f>datos_base!$D$71*'Parametros Recargas'!J$39*'Parametros Recargas'!$Q$39</f>
        <v>8.320139512</v>
      </c>
      <c r="J122" s="64">
        <f>datos_base!$D$71*'Parametros Recargas'!K$39*'Parametros Recargas'!$Q$39</f>
        <v>7.395679566</v>
      </c>
      <c r="K122" s="64">
        <f>datos_base!$D$71*'Parametros Recargas'!L$39*'Parametros Recargas'!$Q$39</f>
        <v>7.395679566</v>
      </c>
      <c r="L122" s="64">
        <f>datos_base!$D$71*'Parametros Recargas'!M$39*'Parametros Recargas'!$Q$39</f>
        <v>7.395679566</v>
      </c>
      <c r="M122" s="64">
        <f>datos_base!$D$71*'Parametros Recargas'!N$39*'Parametros Recargas'!$Q$39</f>
        <v>6.933449593</v>
      </c>
      <c r="N122" s="64">
        <f>datos_base!$D$71*'Parametros Recargas'!O$39*'Parametros Recargas'!$Q$39</f>
        <v>8.320139512</v>
      </c>
      <c r="O122" s="84">
        <f t="shared" si="75"/>
        <v>92.44599458</v>
      </c>
    </row>
    <row r="123" ht="15.75" customHeight="1">
      <c r="A123" s="30" t="str">
        <f>datos_base!$A$72</f>
        <v>ABC 100 kg s/ruedas</v>
      </c>
      <c r="B123" s="139" t="s">
        <v>379</v>
      </c>
      <c r="C123" s="64">
        <f>datos_base!$D$72*'Parametros Recargas'!D$40*'Parametros Recargas'!$Q$40</f>
        <v>6.163066305</v>
      </c>
      <c r="D123" s="64">
        <f>datos_base!$D$72*'Parametros Recargas'!E$40*'Parametros Recargas'!$Q$40</f>
        <v>4.930453044</v>
      </c>
      <c r="E123" s="64">
        <f>datos_base!$D$72*'Parametros Recargas'!F$40*'Parametros Recargas'!$Q$40</f>
        <v>5.23860636</v>
      </c>
      <c r="F123" s="64">
        <f>datos_base!$D$72*'Parametros Recargas'!G$40*'Parametros Recargas'!$Q$40</f>
        <v>5.23860636</v>
      </c>
      <c r="G123" s="64">
        <f>datos_base!$D$72*'Parametros Recargas'!H$40*'Parametros Recargas'!$Q$40</f>
        <v>4.930453044</v>
      </c>
      <c r="H123" s="64">
        <f>datos_base!$D$72*'Parametros Recargas'!I$40*'Parametros Recargas'!$Q$40</f>
        <v>4.622299729</v>
      </c>
      <c r="I123" s="64">
        <f>datos_base!$D$72*'Parametros Recargas'!J$40*'Parametros Recargas'!$Q$40</f>
        <v>5.546759675</v>
      </c>
      <c r="J123" s="64">
        <f>datos_base!$D$72*'Parametros Recargas'!K$40*'Parametros Recargas'!$Q$40</f>
        <v>4.930453044</v>
      </c>
      <c r="K123" s="64">
        <f>datos_base!$D$72*'Parametros Recargas'!L$40*'Parametros Recargas'!$Q$40</f>
        <v>4.930453044</v>
      </c>
      <c r="L123" s="64">
        <f>datos_base!$D$72*'Parametros Recargas'!M$40*'Parametros Recargas'!$Q$40</f>
        <v>4.930453044</v>
      </c>
      <c r="M123" s="64">
        <f>datos_base!$D$72*'Parametros Recargas'!N$40*'Parametros Recargas'!$Q$40</f>
        <v>4.622299729</v>
      </c>
      <c r="N123" s="64">
        <f>datos_base!$D$72*'Parametros Recargas'!O$40*'Parametros Recargas'!$Q$40</f>
        <v>5.546759675</v>
      </c>
      <c r="O123" s="84">
        <f t="shared" si="75"/>
        <v>61.63066305</v>
      </c>
    </row>
    <row r="124" ht="15.75" customHeight="1">
      <c r="A124" s="30" t="str">
        <f>datos_base!$A$62</f>
        <v>BC 5 kg</v>
      </c>
      <c r="B124" s="139" t="s">
        <v>398</v>
      </c>
      <c r="C124" s="64">
        <f>datos_base!$D$62*'Parametros Recargas'!D$41*'Parametros Recargas'!$Q$41</f>
        <v>2.742564506</v>
      </c>
      <c r="D124" s="64">
        <f>datos_base!$D$62*'Parametros Recargas'!E$41*'Parametros Recargas'!$Q$41</f>
        <v>2.437835116</v>
      </c>
      <c r="E124" s="64">
        <f>datos_base!$D$62*'Parametros Recargas'!F$41*'Parametros Recargas'!$Q$41</f>
        <v>2.590199811</v>
      </c>
      <c r="F124" s="64">
        <f>datos_base!$D$62*'Parametros Recargas'!G$41*'Parametros Recargas'!$Q$41</f>
        <v>2.437835116</v>
      </c>
      <c r="G124" s="64">
        <f>datos_base!$D$62*'Parametros Recargas'!H$41*'Parametros Recargas'!$Q$41</f>
        <v>2.285470422</v>
      </c>
      <c r="H124" s="64">
        <f>datos_base!$D$62*'Parametros Recargas'!I$41*'Parametros Recargas'!$Q$41</f>
        <v>2.133105727</v>
      </c>
      <c r="I124" s="64">
        <f>datos_base!$D$62*'Parametros Recargas'!J$41*'Parametros Recargas'!$Q$41</f>
        <v>2.437835116</v>
      </c>
      <c r="J124" s="64">
        <f>datos_base!$D$62*'Parametros Recargas'!K$41*'Parametros Recargas'!$Q$41</f>
        <v>2.590199811</v>
      </c>
      <c r="K124" s="64">
        <f>datos_base!$D$62*'Parametros Recargas'!L$41*'Parametros Recargas'!$Q$41</f>
        <v>2.590199811</v>
      </c>
      <c r="L124" s="64">
        <f>datos_base!$D$62*'Parametros Recargas'!M$41*'Parametros Recargas'!$Q$41</f>
        <v>2.437835116</v>
      </c>
      <c r="M124" s="64">
        <f>datos_base!$D$62*'Parametros Recargas'!N$41*'Parametros Recargas'!$Q$41</f>
        <v>2.437835116</v>
      </c>
      <c r="N124" s="64">
        <f>datos_base!$D$62*'Parametros Recargas'!O$41*'Parametros Recargas'!$Q$41</f>
        <v>3.352023285</v>
      </c>
      <c r="O124" s="84">
        <f t="shared" si="75"/>
        <v>30.47293895</v>
      </c>
    </row>
    <row r="125" ht="15.75" customHeight="1">
      <c r="A125" s="30" t="str">
        <f>datos_base!$A$68</f>
        <v>Clase D 9 l</v>
      </c>
      <c r="B125" s="139" t="s">
        <v>402</v>
      </c>
      <c r="C125" s="64">
        <f>datos_base!$D$68*'Parametros Recargas'!D$42*'Parametros Recargas'!$Q$42</f>
        <v>2.742564506</v>
      </c>
      <c r="D125" s="64">
        <f>datos_base!$D$68*'Parametros Recargas'!E$42*'Parametros Recargas'!$Q$42</f>
        <v>2.437835116</v>
      </c>
      <c r="E125" s="64">
        <f>datos_base!$D$68*'Parametros Recargas'!F$42*'Parametros Recargas'!$Q$42</f>
        <v>2.590199811</v>
      </c>
      <c r="F125" s="64">
        <f>datos_base!$D$68*'Parametros Recargas'!G$42*'Parametros Recargas'!$Q$42</f>
        <v>2.437835116</v>
      </c>
      <c r="G125" s="64">
        <f>datos_base!$D$68*'Parametros Recargas'!H$42*'Parametros Recargas'!$Q$42</f>
        <v>2.285470422</v>
      </c>
      <c r="H125" s="64">
        <f>datos_base!$D$68*'Parametros Recargas'!I$42*'Parametros Recargas'!$Q$42</f>
        <v>2.133105727</v>
      </c>
      <c r="I125" s="64">
        <f>datos_base!$D$68*'Parametros Recargas'!J$42*'Parametros Recargas'!$Q$42</f>
        <v>2.437835116</v>
      </c>
      <c r="J125" s="64">
        <f>datos_base!$D$68*'Parametros Recargas'!K$42*'Parametros Recargas'!$Q$42</f>
        <v>2.590199811</v>
      </c>
      <c r="K125" s="64">
        <f>datos_base!$D$68*'Parametros Recargas'!L$42*'Parametros Recargas'!$Q$42</f>
        <v>2.590199811</v>
      </c>
      <c r="L125" s="64">
        <f>datos_base!$D$68*'Parametros Recargas'!M$42*'Parametros Recargas'!$Q$42</f>
        <v>2.437835116</v>
      </c>
      <c r="M125" s="64">
        <f>datos_base!$D$68*'Parametros Recargas'!N$42*'Parametros Recargas'!$Q$42</f>
        <v>2.437835116</v>
      </c>
      <c r="N125" s="64">
        <f>datos_base!$D$68*'Parametros Recargas'!O$42*'Parametros Recargas'!$Q$42</f>
        <v>3.352023285</v>
      </c>
      <c r="O125" s="84">
        <f t="shared" si="75"/>
        <v>30.47293895</v>
      </c>
    </row>
    <row r="126" ht="15.75" customHeight="1">
      <c r="A126" s="30" t="str">
        <f>datos_base!$A$59</f>
        <v>Agua 10 l</v>
      </c>
      <c r="B126" s="139" t="s">
        <v>407</v>
      </c>
      <c r="C126" s="64">
        <f>datos_base!$D$59*'Parametros Recargas'!D$43*'Parametros Recargas'!$Q$43</f>
        <v>45.452614</v>
      </c>
      <c r="D126" s="64">
        <f>datos_base!$D$59*'Parametros Recargas'!E$43*'Parametros Recargas'!$Q$43</f>
        <v>40.40232356</v>
      </c>
      <c r="E126" s="64">
        <f>datos_base!$D$59*'Parametros Recargas'!F$43*'Parametros Recargas'!$Q$43</f>
        <v>42.92746878</v>
      </c>
      <c r="F126" s="64">
        <f>datos_base!$D$59*'Parametros Recargas'!G$43*'Parametros Recargas'!$Q$43</f>
        <v>40.40232356</v>
      </c>
      <c r="G126" s="64">
        <f>datos_base!$D$59*'Parametros Recargas'!H$43*'Parametros Recargas'!$Q$43</f>
        <v>37.87717833</v>
      </c>
      <c r="H126" s="64">
        <f>datos_base!$D$59*'Parametros Recargas'!I$43*'Parametros Recargas'!$Q$43</f>
        <v>35.35203311</v>
      </c>
      <c r="I126" s="64">
        <f>datos_base!$D$59*'Parametros Recargas'!J$43*'Parametros Recargas'!$Q$43</f>
        <v>40.40232356</v>
      </c>
      <c r="J126" s="64">
        <f>datos_base!$D$59*'Parametros Recargas'!K$43*'Parametros Recargas'!$Q$43</f>
        <v>42.92746878</v>
      </c>
      <c r="K126" s="64">
        <f>datos_base!$D$59*'Parametros Recargas'!L$43*'Parametros Recargas'!$Q$43</f>
        <v>42.92746878</v>
      </c>
      <c r="L126" s="64">
        <f>datos_base!$D$59*'Parametros Recargas'!M$43*'Parametros Recargas'!$Q$43</f>
        <v>40.40232356</v>
      </c>
      <c r="M126" s="64">
        <f>datos_base!$D$59*'Parametros Recargas'!N$43*'Parametros Recargas'!$Q$43</f>
        <v>40.40232356</v>
      </c>
      <c r="N126" s="64">
        <f>datos_base!$D$59*'Parametros Recargas'!O$43*'Parametros Recargas'!$Q$43</f>
        <v>55.55319489</v>
      </c>
      <c r="O126" s="84">
        <f t="shared" si="75"/>
        <v>505.0290445</v>
      </c>
    </row>
    <row r="127" ht="15.75" customHeight="1">
      <c r="A127" s="30" t="str">
        <f>datos_base!$A$60</f>
        <v>AFFF 10 l</v>
      </c>
      <c r="B127" s="139" t="s">
        <v>407</v>
      </c>
      <c r="C127" s="64">
        <f>datos_base!$D$60*'Parametros Recargas'!D$44*'Parametros Recargas'!$Q$44</f>
        <v>9.768460094</v>
      </c>
      <c r="D127" s="64">
        <f>datos_base!$D$60*'Parametros Recargas'!E$44*'Parametros Recargas'!$Q$44</f>
        <v>8.683075639</v>
      </c>
      <c r="E127" s="64">
        <f>datos_base!$D$60*'Parametros Recargas'!F$44*'Parametros Recargas'!$Q$44</f>
        <v>9.225767866</v>
      </c>
      <c r="F127" s="64">
        <f>datos_base!$D$60*'Parametros Recargas'!G$44*'Parametros Recargas'!$Q$44</f>
        <v>8.683075639</v>
      </c>
      <c r="G127" s="64">
        <f>datos_base!$D$60*'Parametros Recargas'!H$44*'Parametros Recargas'!$Q$44</f>
        <v>8.140383412</v>
      </c>
      <c r="H127" s="64">
        <f>datos_base!$D$60*'Parametros Recargas'!I$44*'Parametros Recargas'!$Q$44</f>
        <v>7.597691184</v>
      </c>
      <c r="I127" s="64">
        <f>datos_base!$D$60*'Parametros Recargas'!J$44*'Parametros Recargas'!$Q$44</f>
        <v>8.683075639</v>
      </c>
      <c r="J127" s="64">
        <f>datos_base!$D$60*'Parametros Recargas'!K$44*'Parametros Recargas'!$Q$44</f>
        <v>9.225767866</v>
      </c>
      <c r="K127" s="64">
        <f>datos_base!$D$60*'Parametros Recargas'!L$44*'Parametros Recargas'!$Q$44</f>
        <v>9.225767866</v>
      </c>
      <c r="L127" s="64">
        <f>datos_base!$D$60*'Parametros Recargas'!M$44*'Parametros Recargas'!$Q$44</f>
        <v>8.683075639</v>
      </c>
      <c r="M127" s="64">
        <f>datos_base!$D$60*'Parametros Recargas'!N$44*'Parametros Recargas'!$Q$44</f>
        <v>8.683075639</v>
      </c>
      <c r="N127" s="64">
        <f>datos_base!$D$60*'Parametros Recargas'!O$44*'Parametros Recargas'!$Q$44</f>
        <v>11.939229</v>
      </c>
      <c r="O127" s="84">
        <f t="shared" si="75"/>
        <v>108.5384455</v>
      </c>
    </row>
    <row r="128" ht="15.75" customHeight="1">
      <c r="A128" s="30" t="str">
        <f>datos_base!$A$63</f>
        <v>Sales K 6 l</v>
      </c>
      <c r="B128" s="139" t="s">
        <v>407</v>
      </c>
      <c r="C128" s="64">
        <f>datos_base!$D$63*'Parametros Recargas'!D$45*'Parametros Recargas'!$Q$45</f>
        <v>23.01905265</v>
      </c>
      <c r="D128" s="64">
        <f>datos_base!$D$63*'Parametros Recargas'!E$45*'Parametros Recargas'!$Q$45</f>
        <v>20.46138013</v>
      </c>
      <c r="E128" s="64">
        <f>datos_base!$D$63*'Parametros Recargas'!F$45*'Parametros Recargas'!$Q$45</f>
        <v>21.74021639</v>
      </c>
      <c r="F128" s="64">
        <f>datos_base!$D$63*'Parametros Recargas'!G$45*'Parametros Recargas'!$Q$45</f>
        <v>20.46138013</v>
      </c>
      <c r="G128" s="64">
        <f>datos_base!$D$63*'Parametros Recargas'!H$45*'Parametros Recargas'!$Q$45</f>
        <v>19.18254388</v>
      </c>
      <c r="H128" s="64">
        <f>datos_base!$D$63*'Parametros Recargas'!I$45*'Parametros Recargas'!$Q$45</f>
        <v>17.90370762</v>
      </c>
      <c r="I128" s="64">
        <f>datos_base!$D$63*'Parametros Recargas'!J$45*'Parametros Recargas'!$Q$45</f>
        <v>20.46138013</v>
      </c>
      <c r="J128" s="64">
        <f>datos_base!$D$63*'Parametros Recargas'!K$45*'Parametros Recargas'!$Q$45</f>
        <v>21.74021639</v>
      </c>
      <c r="K128" s="64">
        <f>datos_base!$D$63*'Parametros Recargas'!L$45*'Parametros Recargas'!$Q$45</f>
        <v>21.74021639</v>
      </c>
      <c r="L128" s="64">
        <f>datos_base!$D$63*'Parametros Recargas'!M$45*'Parametros Recargas'!$Q$45</f>
        <v>20.46138013</v>
      </c>
      <c r="M128" s="64">
        <f>datos_base!$D$63*'Parametros Recargas'!N$45*'Parametros Recargas'!$Q$45</f>
        <v>20.46138013</v>
      </c>
      <c r="N128" s="64">
        <f>datos_base!$D$63*'Parametros Recargas'!O$45*'Parametros Recargas'!$Q$45</f>
        <v>28.13439768</v>
      </c>
      <c r="O128" s="84">
        <f t="shared" si="75"/>
        <v>255.7672517</v>
      </c>
    </row>
    <row r="129" ht="15.75" customHeight="1">
      <c r="A129" s="30" t="str">
        <f>datos_base!$A$61</f>
        <v>AFFF 50 l s/ruedas</v>
      </c>
      <c r="B129" s="139" t="s">
        <v>407</v>
      </c>
      <c r="C129" s="64">
        <f>datos_base!$D$61*'Parametros Recargas'!D$46*'Parametros Recargas'!$Q$46</f>
        <v>16.94843234</v>
      </c>
      <c r="D129" s="64">
        <f>datos_base!$D$61*'Parametros Recargas'!E$46*'Parametros Recargas'!$Q$46</f>
        <v>13.55874587</v>
      </c>
      <c r="E129" s="64">
        <f>datos_base!$D$61*'Parametros Recargas'!F$46*'Parametros Recargas'!$Q$46</f>
        <v>14.40616749</v>
      </c>
      <c r="F129" s="64">
        <f>datos_base!$D$61*'Parametros Recargas'!G$46*'Parametros Recargas'!$Q$46</f>
        <v>14.40616749</v>
      </c>
      <c r="G129" s="64">
        <f>datos_base!$D$61*'Parametros Recargas'!H$46*'Parametros Recargas'!$Q$46</f>
        <v>13.55874587</v>
      </c>
      <c r="H129" s="64">
        <f>datos_base!$D$61*'Parametros Recargas'!I$46*'Parametros Recargas'!$Q$46</f>
        <v>12.71132425</v>
      </c>
      <c r="I129" s="64">
        <f>datos_base!$D$61*'Parametros Recargas'!J$46*'Parametros Recargas'!$Q$46</f>
        <v>15.25358911</v>
      </c>
      <c r="J129" s="64">
        <f>datos_base!$D$61*'Parametros Recargas'!K$46*'Parametros Recargas'!$Q$46</f>
        <v>13.55874587</v>
      </c>
      <c r="K129" s="64">
        <f>datos_base!$D$61*'Parametros Recargas'!L$46*'Parametros Recargas'!$Q$46</f>
        <v>13.55874587</v>
      </c>
      <c r="L129" s="64">
        <f>datos_base!$D$61*'Parametros Recargas'!M$46*'Parametros Recargas'!$Q$46</f>
        <v>13.55874587</v>
      </c>
      <c r="M129" s="64">
        <f>datos_base!$D$61*'Parametros Recargas'!N$46*'Parametros Recargas'!$Q$46</f>
        <v>12.71132425</v>
      </c>
      <c r="N129" s="64">
        <f>datos_base!$D$61*'Parametros Recargas'!O$46*'Parametros Recargas'!$Q$46</f>
        <v>15.25358911</v>
      </c>
      <c r="O129" s="84">
        <f t="shared" si="75"/>
        <v>169.4843234</v>
      </c>
    </row>
    <row r="130" ht="15.75" customHeight="1">
      <c r="A130" s="30" t="str">
        <f>datos_base!$A$64</f>
        <v>CO₂ 2 kg</v>
      </c>
      <c r="B130" s="139" t="s">
        <v>418</v>
      </c>
      <c r="C130" s="64">
        <f>datos_base!$D$64*'Parametros Recargas'!D$47*'Parametros Recargas'!$Q$47</f>
        <v>121.8746362</v>
      </c>
      <c r="D130" s="64">
        <f>datos_base!$D$64*'Parametros Recargas'!E$47*'Parametros Recargas'!$Q$47</f>
        <v>108.3330099</v>
      </c>
      <c r="E130" s="64">
        <f>datos_base!$D$64*'Parametros Recargas'!F$47*'Parametros Recargas'!$Q$47</f>
        <v>115.1038231</v>
      </c>
      <c r="F130" s="64">
        <f>datos_base!$D$64*'Parametros Recargas'!G$47*'Parametros Recargas'!$Q$47</f>
        <v>108.3330099</v>
      </c>
      <c r="G130" s="64">
        <f>datos_base!$D$64*'Parametros Recargas'!H$47*'Parametros Recargas'!$Q$47</f>
        <v>101.5621968</v>
      </c>
      <c r="H130" s="64">
        <f>datos_base!$D$64*'Parametros Recargas'!I$47*'Parametros Recargas'!$Q$47</f>
        <v>94.7913837</v>
      </c>
      <c r="I130" s="64">
        <f>datos_base!$D$64*'Parametros Recargas'!J$47*'Parametros Recargas'!$Q$47</f>
        <v>108.3330099</v>
      </c>
      <c r="J130" s="64">
        <f>datos_base!$D$64*'Parametros Recargas'!K$47*'Parametros Recargas'!$Q$47</f>
        <v>115.1038231</v>
      </c>
      <c r="K130" s="64">
        <f>datos_base!$D$64*'Parametros Recargas'!L$47*'Parametros Recargas'!$Q$47</f>
        <v>115.1038231</v>
      </c>
      <c r="L130" s="64">
        <f>datos_base!$D$64*'Parametros Recargas'!M$47*'Parametros Recargas'!$Q$47</f>
        <v>108.3330099</v>
      </c>
      <c r="M130" s="64">
        <f>datos_base!$D$64*'Parametros Recargas'!N$47*'Parametros Recargas'!$Q$47</f>
        <v>108.3330099</v>
      </c>
      <c r="N130" s="64">
        <f>datos_base!$D$64*'Parametros Recargas'!O$47*'Parametros Recargas'!$Q$47</f>
        <v>148.9578887</v>
      </c>
      <c r="O130" s="84">
        <f t="shared" si="75"/>
        <v>1354.162624</v>
      </c>
    </row>
    <row r="131" ht="15.75" customHeight="1">
      <c r="A131" s="30" t="str">
        <f>datos_base!$A$65</f>
        <v>CO₂ 5 kg</v>
      </c>
      <c r="B131" s="139" t="s">
        <v>418</v>
      </c>
      <c r="C131" s="64">
        <f>datos_base!$D$65*'Parametros Recargas'!D$48*'Parametros Recargas'!$Q$48</f>
        <v>42.37108085</v>
      </c>
      <c r="D131" s="64">
        <f>datos_base!$D$65*'Parametros Recargas'!E$48*'Parametros Recargas'!$Q$48</f>
        <v>37.66318298</v>
      </c>
      <c r="E131" s="64">
        <f>datos_base!$D$65*'Parametros Recargas'!F$48*'Parametros Recargas'!$Q$48</f>
        <v>40.01713191</v>
      </c>
      <c r="F131" s="64">
        <f>datos_base!$D$65*'Parametros Recargas'!G$48*'Parametros Recargas'!$Q$48</f>
        <v>37.66318298</v>
      </c>
      <c r="G131" s="64">
        <f>datos_base!$D$65*'Parametros Recargas'!H$48*'Parametros Recargas'!$Q$48</f>
        <v>35.30923404</v>
      </c>
      <c r="H131" s="64">
        <f>datos_base!$D$65*'Parametros Recargas'!I$48*'Parametros Recargas'!$Q$48</f>
        <v>32.9552851</v>
      </c>
      <c r="I131" s="64">
        <f>datos_base!$D$65*'Parametros Recargas'!J$48*'Parametros Recargas'!$Q$48</f>
        <v>37.66318298</v>
      </c>
      <c r="J131" s="64">
        <f>datos_base!$D$65*'Parametros Recargas'!K$48*'Parametros Recargas'!$Q$48</f>
        <v>40.01713191</v>
      </c>
      <c r="K131" s="64">
        <f>datos_base!$D$65*'Parametros Recargas'!L$48*'Parametros Recargas'!$Q$48</f>
        <v>40.01713191</v>
      </c>
      <c r="L131" s="64">
        <f>datos_base!$D$65*'Parametros Recargas'!M$48*'Parametros Recargas'!$Q$48</f>
        <v>37.66318298</v>
      </c>
      <c r="M131" s="64">
        <f>datos_base!$D$65*'Parametros Recargas'!N$48*'Parametros Recargas'!$Q$48</f>
        <v>37.66318298</v>
      </c>
      <c r="N131" s="64">
        <f>datos_base!$D$65*'Parametros Recargas'!O$48*'Parametros Recargas'!$Q$48</f>
        <v>51.78687659</v>
      </c>
      <c r="O131" s="84">
        <f t="shared" si="75"/>
        <v>470.7897872</v>
      </c>
    </row>
    <row r="132" ht="15.75" customHeight="1">
      <c r="A132" s="30" t="str">
        <f>datos_base!$A$67</f>
        <v>HCFC/HFC 5 kg</v>
      </c>
      <c r="B132" s="139" t="s">
        <v>422</v>
      </c>
      <c r="C132" s="64">
        <f>datos_base!$D$67*'Parametros Recargas'!D$49*'Parametros Recargas'!$Q$49</f>
        <v>7.118341583</v>
      </c>
      <c r="D132" s="64">
        <f>datos_base!$D$67*'Parametros Recargas'!E$49*'Parametros Recargas'!$Q$49</f>
        <v>6.32741474</v>
      </c>
      <c r="E132" s="64">
        <f>datos_base!$D$67*'Parametros Recargas'!F$49*'Parametros Recargas'!$Q$49</f>
        <v>6.722878161</v>
      </c>
      <c r="F132" s="64">
        <f>datos_base!$D$67*'Parametros Recargas'!G$49*'Parametros Recargas'!$Q$49</f>
        <v>6.32741474</v>
      </c>
      <c r="G132" s="64">
        <f>datos_base!$D$67*'Parametros Recargas'!H$49*'Parametros Recargas'!$Q$49</f>
        <v>5.931951319</v>
      </c>
      <c r="H132" s="64">
        <f>datos_base!$D$67*'Parametros Recargas'!I$49*'Parametros Recargas'!$Q$49</f>
        <v>5.536487898</v>
      </c>
      <c r="I132" s="64">
        <f>datos_base!$D$67*'Parametros Recargas'!J$49*'Parametros Recargas'!$Q$49</f>
        <v>6.32741474</v>
      </c>
      <c r="J132" s="64">
        <f>datos_base!$D$67*'Parametros Recargas'!K$49*'Parametros Recargas'!$Q$49</f>
        <v>6.722878161</v>
      </c>
      <c r="K132" s="64">
        <f>datos_base!$D$67*'Parametros Recargas'!L$49*'Parametros Recargas'!$Q$49</f>
        <v>6.722878161</v>
      </c>
      <c r="L132" s="64">
        <f>datos_base!$D$67*'Parametros Recargas'!M$49*'Parametros Recargas'!$Q$49</f>
        <v>6.32741474</v>
      </c>
      <c r="M132" s="64">
        <f>datos_base!$D$67*'Parametros Recargas'!N$49*'Parametros Recargas'!$Q$49</f>
        <v>6.32741474</v>
      </c>
      <c r="N132" s="64">
        <f>datos_base!$D$67*'Parametros Recargas'!O$49*'Parametros Recargas'!$Q$49</f>
        <v>8.700195268</v>
      </c>
      <c r="O132" s="84">
        <f t="shared" si="75"/>
        <v>79.09268425</v>
      </c>
    </row>
    <row r="133" ht="15.75" customHeight="1">
      <c r="A133" s="29" t="s">
        <v>426</v>
      </c>
      <c r="B133" s="29"/>
      <c r="C133" s="29" t="s">
        <v>109</v>
      </c>
      <c r="D133" s="29" t="s">
        <v>110</v>
      </c>
      <c r="E133" s="29" t="s">
        <v>111</v>
      </c>
      <c r="F133" s="29" t="s">
        <v>112</v>
      </c>
      <c r="G133" s="29" t="s">
        <v>113</v>
      </c>
      <c r="H133" s="29" t="s">
        <v>114</v>
      </c>
      <c r="I133" s="29" t="s">
        <v>115</v>
      </c>
      <c r="J133" s="29" t="s">
        <v>116</v>
      </c>
      <c r="K133" s="29" t="s">
        <v>117</v>
      </c>
      <c r="L133" s="29" t="s">
        <v>118</v>
      </c>
      <c r="M133" s="29" t="s">
        <v>119</v>
      </c>
      <c r="N133" s="29" t="s">
        <v>120</v>
      </c>
      <c r="O133" s="29" t="s">
        <v>15</v>
      </c>
    </row>
    <row r="134" ht="15.75" customHeight="1">
      <c r="A134" s="73" t="s">
        <v>379</v>
      </c>
      <c r="B134" s="118" t="s">
        <v>431</v>
      </c>
      <c r="C134" s="64">
        <f t="shared" ref="C134:N134" si="76">SUM(C116:C123)</f>
        <v>1792.877075</v>
      </c>
      <c r="D134" s="64">
        <f t="shared" si="76"/>
        <v>1472.955043</v>
      </c>
      <c r="E134" s="64">
        <f t="shared" si="76"/>
        <v>1514.028456</v>
      </c>
      <c r="F134" s="64">
        <f t="shared" si="76"/>
        <v>1476.796687</v>
      </c>
      <c r="G134" s="64">
        <f t="shared" si="76"/>
        <v>1435.723274</v>
      </c>
      <c r="H134" s="64">
        <f t="shared" si="76"/>
        <v>1394.649861</v>
      </c>
      <c r="I134" s="64">
        <f t="shared" si="76"/>
        <v>1480.638332</v>
      </c>
      <c r="J134" s="64">
        <f t="shared" si="76"/>
        <v>1510.186811</v>
      </c>
      <c r="K134" s="64">
        <f t="shared" si="76"/>
        <v>1510.186811</v>
      </c>
      <c r="L134" s="64">
        <f t="shared" si="76"/>
        <v>1472.955043</v>
      </c>
      <c r="M134" s="64">
        <f t="shared" si="76"/>
        <v>1469.113398</v>
      </c>
      <c r="N134" s="64">
        <f t="shared" si="76"/>
        <v>2143.29533</v>
      </c>
      <c r="O134" s="84">
        <f t="shared" ref="O134:O139" si="78">SUM(C134:N134)</f>
        <v>18673.40612</v>
      </c>
    </row>
    <row r="135" ht="15.75" customHeight="1">
      <c r="A135" s="73" t="s">
        <v>398</v>
      </c>
      <c r="B135" s="118" t="s">
        <v>431</v>
      </c>
      <c r="C135" s="64">
        <f t="shared" ref="C135:N135" si="77">SUM(C124)</f>
        <v>2.742564506</v>
      </c>
      <c r="D135" s="64">
        <f t="shared" si="77"/>
        <v>2.437835116</v>
      </c>
      <c r="E135" s="64">
        <f t="shared" si="77"/>
        <v>2.590199811</v>
      </c>
      <c r="F135" s="64">
        <f t="shared" si="77"/>
        <v>2.437835116</v>
      </c>
      <c r="G135" s="64">
        <f t="shared" si="77"/>
        <v>2.285470422</v>
      </c>
      <c r="H135" s="64">
        <f t="shared" si="77"/>
        <v>2.133105727</v>
      </c>
      <c r="I135" s="64">
        <f t="shared" si="77"/>
        <v>2.437835116</v>
      </c>
      <c r="J135" s="64">
        <f t="shared" si="77"/>
        <v>2.590199811</v>
      </c>
      <c r="K135" s="64">
        <f t="shared" si="77"/>
        <v>2.590199811</v>
      </c>
      <c r="L135" s="64">
        <f t="shared" si="77"/>
        <v>2.437835116</v>
      </c>
      <c r="M135" s="64">
        <f t="shared" si="77"/>
        <v>2.437835116</v>
      </c>
      <c r="N135" s="64">
        <f t="shared" si="77"/>
        <v>3.352023285</v>
      </c>
      <c r="O135" s="84">
        <f t="shared" si="78"/>
        <v>30.47293895</v>
      </c>
    </row>
    <row r="136" ht="15.75" customHeight="1">
      <c r="A136" s="73" t="s">
        <v>402</v>
      </c>
      <c r="B136" s="118" t="s">
        <v>431</v>
      </c>
      <c r="C136" s="64">
        <f t="shared" ref="C136:N136" si="79">SUM(C125)</f>
        <v>2.742564506</v>
      </c>
      <c r="D136" s="64">
        <f t="shared" si="79"/>
        <v>2.437835116</v>
      </c>
      <c r="E136" s="64">
        <f t="shared" si="79"/>
        <v>2.590199811</v>
      </c>
      <c r="F136" s="64">
        <f t="shared" si="79"/>
        <v>2.437835116</v>
      </c>
      <c r="G136" s="64">
        <f t="shared" si="79"/>
        <v>2.285470422</v>
      </c>
      <c r="H136" s="64">
        <f t="shared" si="79"/>
        <v>2.133105727</v>
      </c>
      <c r="I136" s="64">
        <f t="shared" si="79"/>
        <v>2.437835116</v>
      </c>
      <c r="J136" s="64">
        <f t="shared" si="79"/>
        <v>2.590199811</v>
      </c>
      <c r="K136" s="64">
        <f t="shared" si="79"/>
        <v>2.590199811</v>
      </c>
      <c r="L136" s="64">
        <f t="shared" si="79"/>
        <v>2.437835116</v>
      </c>
      <c r="M136" s="64">
        <f t="shared" si="79"/>
        <v>2.437835116</v>
      </c>
      <c r="N136" s="64">
        <f t="shared" si="79"/>
        <v>3.352023285</v>
      </c>
      <c r="O136" s="84">
        <f t="shared" si="78"/>
        <v>30.47293895</v>
      </c>
    </row>
    <row r="137" ht="15.75" customHeight="1">
      <c r="A137" s="73" t="s">
        <v>407</v>
      </c>
      <c r="B137" s="118" t="s">
        <v>431</v>
      </c>
      <c r="C137" s="64">
        <f t="shared" ref="C137:N137" si="80">SUM(C126:C129)</f>
        <v>95.18855909</v>
      </c>
      <c r="D137" s="64">
        <f t="shared" si="80"/>
        <v>83.1055252</v>
      </c>
      <c r="E137" s="64">
        <f t="shared" si="80"/>
        <v>88.29962053</v>
      </c>
      <c r="F137" s="64">
        <f t="shared" si="80"/>
        <v>83.95294682</v>
      </c>
      <c r="G137" s="64">
        <f t="shared" si="80"/>
        <v>78.75885149</v>
      </c>
      <c r="H137" s="64">
        <f t="shared" si="80"/>
        <v>73.56475617</v>
      </c>
      <c r="I137" s="64">
        <f t="shared" si="80"/>
        <v>84.80036844</v>
      </c>
      <c r="J137" s="64">
        <f t="shared" si="80"/>
        <v>87.45219891</v>
      </c>
      <c r="K137" s="64">
        <f t="shared" si="80"/>
        <v>87.45219891</v>
      </c>
      <c r="L137" s="64">
        <f t="shared" si="80"/>
        <v>83.1055252</v>
      </c>
      <c r="M137" s="64">
        <f t="shared" si="80"/>
        <v>82.25810358</v>
      </c>
      <c r="N137" s="64">
        <f t="shared" si="80"/>
        <v>110.8804107</v>
      </c>
      <c r="O137" s="84">
        <f t="shared" si="78"/>
        <v>1038.819065</v>
      </c>
    </row>
    <row r="138" ht="15.75" customHeight="1">
      <c r="A138" s="73" t="s">
        <v>418</v>
      </c>
      <c r="B138" s="118" t="s">
        <v>431</v>
      </c>
      <c r="C138" s="64">
        <f t="shared" ref="C138:N138" si="81">SUM(C130:C131)</f>
        <v>164.245717</v>
      </c>
      <c r="D138" s="64">
        <f t="shared" si="81"/>
        <v>145.9961929</v>
      </c>
      <c r="E138" s="64">
        <f t="shared" si="81"/>
        <v>155.120955</v>
      </c>
      <c r="F138" s="64">
        <f t="shared" si="81"/>
        <v>145.9961929</v>
      </c>
      <c r="G138" s="64">
        <f t="shared" si="81"/>
        <v>136.8714309</v>
      </c>
      <c r="H138" s="64">
        <f t="shared" si="81"/>
        <v>127.7466688</v>
      </c>
      <c r="I138" s="64">
        <f t="shared" si="81"/>
        <v>145.9961929</v>
      </c>
      <c r="J138" s="64">
        <f t="shared" si="81"/>
        <v>155.120955</v>
      </c>
      <c r="K138" s="64">
        <f t="shared" si="81"/>
        <v>155.120955</v>
      </c>
      <c r="L138" s="64">
        <f t="shared" si="81"/>
        <v>145.9961929</v>
      </c>
      <c r="M138" s="64">
        <f t="shared" si="81"/>
        <v>145.9961929</v>
      </c>
      <c r="N138" s="64">
        <f t="shared" si="81"/>
        <v>200.7447653</v>
      </c>
      <c r="O138" s="84">
        <f t="shared" si="78"/>
        <v>1824.952412</v>
      </c>
    </row>
    <row r="139" ht="15.75" customHeight="1">
      <c r="A139" s="73" t="s">
        <v>422</v>
      </c>
      <c r="B139" s="118" t="s">
        <v>431</v>
      </c>
      <c r="C139" s="64">
        <f t="shared" ref="C139:N139" si="82">SUM(C132)</f>
        <v>7.118341583</v>
      </c>
      <c r="D139" s="64">
        <f t="shared" si="82"/>
        <v>6.32741474</v>
      </c>
      <c r="E139" s="64">
        <f t="shared" si="82"/>
        <v>6.722878161</v>
      </c>
      <c r="F139" s="64">
        <f t="shared" si="82"/>
        <v>6.32741474</v>
      </c>
      <c r="G139" s="64">
        <f t="shared" si="82"/>
        <v>5.931951319</v>
      </c>
      <c r="H139" s="64">
        <f t="shared" si="82"/>
        <v>5.536487898</v>
      </c>
      <c r="I139" s="64">
        <f t="shared" si="82"/>
        <v>6.32741474</v>
      </c>
      <c r="J139" s="64">
        <f t="shared" si="82"/>
        <v>6.722878161</v>
      </c>
      <c r="K139" s="64">
        <f t="shared" si="82"/>
        <v>6.722878161</v>
      </c>
      <c r="L139" s="64">
        <f t="shared" si="82"/>
        <v>6.32741474</v>
      </c>
      <c r="M139" s="64">
        <f t="shared" si="82"/>
        <v>6.32741474</v>
      </c>
      <c r="N139" s="64">
        <f t="shared" si="82"/>
        <v>8.700195268</v>
      </c>
      <c r="O139" s="84">
        <f t="shared" si="78"/>
        <v>79.09268425</v>
      </c>
    </row>
    <row r="140" ht="27.75" customHeight="1">
      <c r="A140" s="29" t="s">
        <v>446</v>
      </c>
      <c r="B140" s="29" t="s">
        <v>447</v>
      </c>
      <c r="C140" s="29" t="s">
        <v>109</v>
      </c>
      <c r="D140" s="29" t="s">
        <v>110</v>
      </c>
      <c r="E140" s="29" t="s">
        <v>111</v>
      </c>
      <c r="F140" s="29" t="s">
        <v>112</v>
      </c>
      <c r="G140" s="29" t="s">
        <v>113</v>
      </c>
      <c r="H140" s="29" t="s">
        <v>114</v>
      </c>
      <c r="I140" s="29" t="s">
        <v>115</v>
      </c>
      <c r="J140" s="29" t="s">
        <v>116</v>
      </c>
      <c r="K140" s="29" t="s">
        <v>117</v>
      </c>
      <c r="L140" s="29" t="s">
        <v>118</v>
      </c>
      <c r="M140" s="29" t="s">
        <v>119</v>
      </c>
      <c r="N140" s="29" t="s">
        <v>120</v>
      </c>
      <c r="O140" s="29" t="s">
        <v>448</v>
      </c>
      <c r="P140" s="29" t="s">
        <v>148</v>
      </c>
      <c r="Q140" s="29" t="s">
        <v>449</v>
      </c>
      <c r="R140" s="29" t="s">
        <v>209</v>
      </c>
      <c r="S140" s="29" t="s">
        <v>450</v>
      </c>
      <c r="T140" s="29" t="s">
        <v>451</v>
      </c>
      <c r="U140" s="29" t="s">
        <v>452</v>
      </c>
      <c r="V140" s="29" t="s">
        <v>453</v>
      </c>
      <c r="W140" s="29" t="s">
        <v>454</v>
      </c>
      <c r="X140" s="29" t="s">
        <v>418</v>
      </c>
      <c r="Y140" s="29" t="s">
        <v>455</v>
      </c>
      <c r="Z140" s="29" t="s">
        <v>456</v>
      </c>
      <c r="AA140" s="160"/>
    </row>
    <row r="141" ht="15.75" customHeight="1">
      <c r="A141" s="73" t="s">
        <v>457</v>
      </c>
      <c r="B141" s="118" t="s">
        <v>458</v>
      </c>
      <c r="C141" s="63">
        <f t="shared" ref="C141:N141" si="83">($T141*C$134+$U141*C$135+$V141*C$136+$W141*C$137+$X141*C$138+$Y141*C$139)/$B$2</f>
        <v>13.76609881</v>
      </c>
      <c r="D141" s="63">
        <f t="shared" si="83"/>
        <v>11.4217323</v>
      </c>
      <c r="E141" s="63">
        <f t="shared" si="83"/>
        <v>11.79568206</v>
      </c>
      <c r="F141" s="63">
        <f t="shared" si="83"/>
        <v>11.45299275</v>
      </c>
      <c r="G141" s="63">
        <f t="shared" si="83"/>
        <v>11.07904299</v>
      </c>
      <c r="H141" s="63">
        <f t="shared" si="83"/>
        <v>10.70509324</v>
      </c>
      <c r="I141" s="63">
        <f t="shared" si="83"/>
        <v>11.48425319</v>
      </c>
      <c r="J141" s="63">
        <f t="shared" si="83"/>
        <v>11.76442162</v>
      </c>
      <c r="K141" s="63">
        <f t="shared" si="83"/>
        <v>11.76442162</v>
      </c>
      <c r="L141" s="63">
        <f t="shared" si="83"/>
        <v>11.4217323</v>
      </c>
      <c r="M141" s="63">
        <f t="shared" si="83"/>
        <v>11.39047186</v>
      </c>
      <c r="N141" s="63">
        <f t="shared" si="83"/>
        <v>16.46883165</v>
      </c>
      <c r="O141" s="44">
        <f t="shared" ref="O141:O167" si="85">MAX(C141:N141)</f>
        <v>16.46883165</v>
      </c>
      <c r="P141" s="63">
        <f>'Parametros Recargas'!$M$85</f>
        <v>72</v>
      </c>
      <c r="Q141" s="36">
        <f>MAX(Q86,ROUNDUP(O141/(P141*'Parametros Recargas'!D$8*'Parametros Recargas'!$B$19),0))</f>
        <v>1</v>
      </c>
      <c r="R141" s="46">
        <f>IF(AND('Parametros Recargas'!D$8=2,O141/(P141*Q141*'Parametros Recargas'!$B$19)&gt;1),2,1)</f>
        <v>1</v>
      </c>
      <c r="S141" s="34">
        <f t="shared" ref="S141:S166" si="86">O141/(P141*Q141*R141)</f>
        <v>0.2287337729</v>
      </c>
      <c r="T141" s="161">
        <f>'Parametros Recargas'!D54</f>
        <v>1</v>
      </c>
      <c r="U141" s="161">
        <f>'Parametros Recargas'!E54</f>
        <v>1</v>
      </c>
      <c r="V141" s="161">
        <f>'Parametros Recargas'!F54</f>
        <v>1</v>
      </c>
      <c r="W141" s="161">
        <f>'Parametros Recargas'!G54</f>
        <v>1</v>
      </c>
      <c r="X141" s="161">
        <f>'Parametros Recargas'!H54</f>
        <v>1</v>
      </c>
      <c r="Y141" s="161">
        <f>'Parametros Recargas'!I54</f>
        <v>1</v>
      </c>
      <c r="Z141" s="162">
        <f>'Parametros Recargas'!$U$85/P141</f>
        <v>0.01388888889</v>
      </c>
    </row>
    <row r="142" ht="15.75" customHeight="1">
      <c r="A142" s="73" t="s">
        <v>459</v>
      </c>
      <c r="B142" s="118" t="s">
        <v>458</v>
      </c>
      <c r="C142" s="63">
        <f t="shared" ref="C142:N142" si="84">($T142*C$134+$U142*C$135+$V142*C$136+$W142*C$137+$X142*C$138+$Y142*C$139)/$B$2</f>
        <v>13.76609881</v>
      </c>
      <c r="D142" s="63">
        <f t="shared" si="84"/>
        <v>11.4217323</v>
      </c>
      <c r="E142" s="63">
        <f t="shared" si="84"/>
        <v>11.79568206</v>
      </c>
      <c r="F142" s="63">
        <f t="shared" si="84"/>
        <v>11.45299275</v>
      </c>
      <c r="G142" s="63">
        <f t="shared" si="84"/>
        <v>11.07904299</v>
      </c>
      <c r="H142" s="63">
        <f t="shared" si="84"/>
        <v>10.70509324</v>
      </c>
      <c r="I142" s="63">
        <f t="shared" si="84"/>
        <v>11.48425319</v>
      </c>
      <c r="J142" s="63">
        <f t="shared" si="84"/>
        <v>11.76442162</v>
      </c>
      <c r="K142" s="63">
        <f t="shared" si="84"/>
        <v>11.76442162</v>
      </c>
      <c r="L142" s="63">
        <f t="shared" si="84"/>
        <v>11.4217323</v>
      </c>
      <c r="M142" s="63">
        <f t="shared" si="84"/>
        <v>11.39047186</v>
      </c>
      <c r="N142" s="63">
        <f t="shared" si="84"/>
        <v>16.46883165</v>
      </c>
      <c r="O142" s="44">
        <f t="shared" si="85"/>
        <v>16.46883165</v>
      </c>
      <c r="P142" s="63">
        <f>'Parametros Recargas'!$M$86</f>
        <v>52.36363636</v>
      </c>
      <c r="Q142" s="36">
        <f>MAX(Q87,ROUNDUP(O142/(P142*'Parametros Recargas'!D$8*'Parametros Recargas'!$B$19),0))</f>
        <v>1</v>
      </c>
      <c r="R142" s="46">
        <f>IF(AND('Parametros Recargas'!D$8=2,O142/(P142*Q142*'Parametros Recargas'!$B$19)&gt;1),2,1)</f>
        <v>1</v>
      </c>
      <c r="S142" s="34">
        <f t="shared" si="86"/>
        <v>0.3145089378</v>
      </c>
      <c r="T142" s="161">
        <f>'Parametros Recargas'!D55</f>
        <v>1</v>
      </c>
      <c r="U142" s="161">
        <f>'Parametros Recargas'!E55</f>
        <v>1</v>
      </c>
      <c r="V142" s="161">
        <f>'Parametros Recargas'!F55</f>
        <v>1</v>
      </c>
      <c r="W142" s="161">
        <f>'Parametros Recargas'!G55</f>
        <v>1</v>
      </c>
      <c r="X142" s="161">
        <f>'Parametros Recargas'!H55</f>
        <v>1</v>
      </c>
      <c r="Y142" s="161">
        <f>'Parametros Recargas'!I55</f>
        <v>1</v>
      </c>
      <c r="Z142" s="162">
        <f>'Parametros Recargas'!$U$86/P142</f>
        <v>0.01909722222</v>
      </c>
    </row>
    <row r="143" ht="15.75" customHeight="1">
      <c r="A143" s="30" t="s">
        <v>460</v>
      </c>
      <c r="B143" s="118" t="s">
        <v>458</v>
      </c>
      <c r="C143" s="63">
        <f t="shared" ref="C143:N143" si="87">($T143*C$134+$U143*C$135+$V143*C$136+$W143*C$137+$X143*C$138+$Y143*C$139)/$B$2</f>
        <v>11.95251384</v>
      </c>
      <c r="D143" s="63">
        <f t="shared" si="87"/>
        <v>9.819700284</v>
      </c>
      <c r="E143" s="63">
        <f t="shared" si="87"/>
        <v>10.09352304</v>
      </c>
      <c r="F143" s="63">
        <f t="shared" si="87"/>
        <v>9.845311248</v>
      </c>
      <c r="G143" s="63">
        <f t="shared" si="87"/>
        <v>9.571488495</v>
      </c>
      <c r="H143" s="63">
        <f t="shared" si="87"/>
        <v>9.297665741</v>
      </c>
      <c r="I143" s="63">
        <f t="shared" si="87"/>
        <v>9.870922213</v>
      </c>
      <c r="J143" s="63">
        <f t="shared" si="87"/>
        <v>10.06791207</v>
      </c>
      <c r="K143" s="63">
        <f t="shared" si="87"/>
        <v>10.06791207</v>
      </c>
      <c r="L143" s="63">
        <f t="shared" si="87"/>
        <v>9.819700284</v>
      </c>
      <c r="M143" s="63">
        <f t="shared" si="87"/>
        <v>9.794089319</v>
      </c>
      <c r="N143" s="63">
        <f t="shared" si="87"/>
        <v>14.28863553</v>
      </c>
      <c r="O143" s="44">
        <f t="shared" si="85"/>
        <v>14.28863553</v>
      </c>
      <c r="P143" s="63">
        <f>'Parametros Recargas'!$M$87</f>
        <v>29.14285714</v>
      </c>
      <c r="Q143" s="36">
        <f>MAX(Q88,ROUNDUP(O143/(P143*'Parametros Recargas'!D$8*'Parametros Recargas'!$B$19),0))</f>
        <v>1</v>
      </c>
      <c r="R143" s="46">
        <f>IF(AND('Parametros Recargas'!D$8=2,O143/(P143*Q143*'Parametros Recargas'!$B$19)&gt;1),2,1)</f>
        <v>1</v>
      </c>
      <c r="S143" s="34">
        <f t="shared" si="86"/>
        <v>0.4902963173</v>
      </c>
      <c r="T143" s="161">
        <f>'Parametros Recargas'!D56</f>
        <v>1</v>
      </c>
      <c r="U143" s="161">
        <f>'Parametros Recargas'!E56</f>
        <v>0</v>
      </c>
      <c r="V143" s="161">
        <f>'Parametros Recargas'!F56</f>
        <v>0</v>
      </c>
      <c r="W143" s="161">
        <f>'Parametros Recargas'!G56</f>
        <v>0</v>
      </c>
      <c r="X143" s="161">
        <f>'Parametros Recargas'!H56</f>
        <v>0</v>
      </c>
      <c r="Y143" s="161">
        <f>'Parametros Recargas'!I56</f>
        <v>0</v>
      </c>
      <c r="Z143" s="162">
        <f>'Parametros Recargas'!$U$87/P143</f>
        <v>0.01715686275</v>
      </c>
    </row>
    <row r="144" ht="15.75" customHeight="1">
      <c r="A144" s="30" t="s">
        <v>461</v>
      </c>
      <c r="B144" s="118" t="s">
        <v>458</v>
      </c>
      <c r="C144" s="63">
        <f t="shared" ref="C144:N144" si="88">($T144*C$134+$U144*C$135+$V144*C$136+$W144*C$137+$X144*C$138+$Y144*C$139)/$B$2</f>
        <v>0.01828376337</v>
      </c>
      <c r="D144" s="63">
        <f t="shared" si="88"/>
        <v>0.01625223411</v>
      </c>
      <c r="E144" s="63">
        <f t="shared" si="88"/>
        <v>0.01726799874</v>
      </c>
      <c r="F144" s="63">
        <f t="shared" si="88"/>
        <v>0.01625223411</v>
      </c>
      <c r="G144" s="63">
        <f t="shared" si="88"/>
        <v>0.01523646948</v>
      </c>
      <c r="H144" s="63">
        <f t="shared" si="88"/>
        <v>0.01422070485</v>
      </c>
      <c r="I144" s="63">
        <f t="shared" si="88"/>
        <v>0.01625223411</v>
      </c>
      <c r="J144" s="63">
        <f t="shared" si="88"/>
        <v>0.01726799874</v>
      </c>
      <c r="K144" s="63">
        <f t="shared" si="88"/>
        <v>0.01726799874</v>
      </c>
      <c r="L144" s="63">
        <f t="shared" si="88"/>
        <v>0.01625223411</v>
      </c>
      <c r="M144" s="63">
        <f t="shared" si="88"/>
        <v>0.01625223411</v>
      </c>
      <c r="N144" s="63">
        <f t="shared" si="88"/>
        <v>0.0223468219</v>
      </c>
      <c r="O144" s="44">
        <f t="shared" si="85"/>
        <v>0.0223468219</v>
      </c>
      <c r="P144" s="63">
        <f>'Parametros Recargas'!$M$88</f>
        <v>29.14285714</v>
      </c>
      <c r="Q144" s="36">
        <f>MAX(Q89,ROUNDUP(O144/(P144*'Parametros Recargas'!D$8*'Parametros Recargas'!$B$19),0))</f>
        <v>1</v>
      </c>
      <c r="R144" s="46">
        <f>IF(AND('Parametros Recargas'!D$8=2,O144/(P144*Q144*'Parametros Recargas'!$B$19)&gt;1),2,1)</f>
        <v>1</v>
      </c>
      <c r="S144" s="34">
        <f t="shared" si="86"/>
        <v>0.0007668027122</v>
      </c>
      <c r="T144" s="161">
        <f>'Parametros Recargas'!D57</f>
        <v>0</v>
      </c>
      <c r="U144" s="161">
        <f>'Parametros Recargas'!E57</f>
        <v>1</v>
      </c>
      <c r="V144" s="161">
        <f>'Parametros Recargas'!F57</f>
        <v>0</v>
      </c>
      <c r="W144" s="161">
        <f>'Parametros Recargas'!G57</f>
        <v>0</v>
      </c>
      <c r="X144" s="161">
        <f>'Parametros Recargas'!H57</f>
        <v>0</v>
      </c>
      <c r="Y144" s="161">
        <f>'Parametros Recargas'!I57</f>
        <v>0</v>
      </c>
      <c r="Z144" s="162">
        <f>'Parametros Recargas'!$U$88/P144</f>
        <v>0.03431372549</v>
      </c>
    </row>
    <row r="145" ht="15.75" customHeight="1">
      <c r="A145" s="30" t="s">
        <v>463</v>
      </c>
      <c r="B145" s="118" t="s">
        <v>458</v>
      </c>
      <c r="C145" s="63">
        <f t="shared" ref="C145:N145" si="89">($T145*C$134+$U145*C$135+$V145*C$136+$W145*C$137+$X145*C$138+$Y145*C$139)/$B$2</f>
        <v>0.01828376337</v>
      </c>
      <c r="D145" s="63">
        <f t="shared" si="89"/>
        <v>0.01625223411</v>
      </c>
      <c r="E145" s="63">
        <f t="shared" si="89"/>
        <v>0.01726799874</v>
      </c>
      <c r="F145" s="63">
        <f t="shared" si="89"/>
        <v>0.01625223411</v>
      </c>
      <c r="G145" s="63">
        <f t="shared" si="89"/>
        <v>0.01523646948</v>
      </c>
      <c r="H145" s="63">
        <f t="shared" si="89"/>
        <v>0.01422070485</v>
      </c>
      <c r="I145" s="63">
        <f t="shared" si="89"/>
        <v>0.01625223411</v>
      </c>
      <c r="J145" s="63">
        <f t="shared" si="89"/>
        <v>0.01726799874</v>
      </c>
      <c r="K145" s="63">
        <f t="shared" si="89"/>
        <v>0.01726799874</v>
      </c>
      <c r="L145" s="63">
        <f t="shared" si="89"/>
        <v>0.01625223411</v>
      </c>
      <c r="M145" s="63">
        <f t="shared" si="89"/>
        <v>0.01625223411</v>
      </c>
      <c r="N145" s="63">
        <f t="shared" si="89"/>
        <v>0.0223468219</v>
      </c>
      <c r="O145" s="44">
        <f t="shared" si="85"/>
        <v>0.0223468219</v>
      </c>
      <c r="P145" s="63">
        <f>'Parametros Recargas'!$M$89</f>
        <v>13.5</v>
      </c>
      <c r="Q145" s="36">
        <f>MAX(Q90,ROUNDUP(O145/(P145*'Parametros Recargas'!D$8*'Parametros Recargas'!$B$19),0))</f>
        <v>1</v>
      </c>
      <c r="R145" s="46">
        <f>IF(AND('Parametros Recargas'!D$8=2,O145/(P145*Q145*'Parametros Recargas'!$B$19)&gt;1),2,1)</f>
        <v>1</v>
      </c>
      <c r="S145" s="34">
        <f t="shared" si="86"/>
        <v>0.001655320141</v>
      </c>
      <c r="T145" s="161">
        <f>'Parametros Recargas'!D58</f>
        <v>0</v>
      </c>
      <c r="U145" s="161">
        <f>'Parametros Recargas'!E58</f>
        <v>0</v>
      </c>
      <c r="V145" s="161">
        <f>'Parametros Recargas'!F58</f>
        <v>1</v>
      </c>
      <c r="W145" s="161">
        <f>'Parametros Recargas'!G58</f>
        <v>0</v>
      </c>
      <c r="X145" s="161">
        <f>'Parametros Recargas'!H58</f>
        <v>0</v>
      </c>
      <c r="Y145" s="161">
        <f>'Parametros Recargas'!I58</f>
        <v>0</v>
      </c>
      <c r="Z145" s="162">
        <f>'Parametros Recargas'!$U$89/P145</f>
        <v>0.07407407407</v>
      </c>
    </row>
    <row r="146" ht="15.75" customHeight="1">
      <c r="A146" s="30" t="s">
        <v>464</v>
      </c>
      <c r="B146" s="118" t="s">
        <v>458</v>
      </c>
      <c r="C146" s="63">
        <f t="shared" ref="C146:N146" si="90">($T146*C$134+$U146*C$135+$V146*C$136+$W146*C$137+$X146*C$138+$Y146*C$139)/$B$2</f>
        <v>0.6345903939</v>
      </c>
      <c r="D146" s="63">
        <f t="shared" si="90"/>
        <v>0.5540368347</v>
      </c>
      <c r="E146" s="63">
        <f t="shared" si="90"/>
        <v>0.5886641368</v>
      </c>
      <c r="F146" s="63">
        <f t="shared" si="90"/>
        <v>0.5596863121</v>
      </c>
      <c r="G146" s="63">
        <f t="shared" si="90"/>
        <v>0.52505901</v>
      </c>
      <c r="H146" s="63">
        <f t="shared" si="90"/>
        <v>0.4904317078</v>
      </c>
      <c r="I146" s="63">
        <f t="shared" si="90"/>
        <v>0.5653357896</v>
      </c>
      <c r="J146" s="63">
        <f t="shared" si="90"/>
        <v>0.5830146594</v>
      </c>
      <c r="K146" s="63">
        <f t="shared" si="90"/>
        <v>0.5830146594</v>
      </c>
      <c r="L146" s="63">
        <f t="shared" si="90"/>
        <v>0.5540368347</v>
      </c>
      <c r="M146" s="63">
        <f t="shared" si="90"/>
        <v>0.5483873572</v>
      </c>
      <c r="N146" s="63">
        <f t="shared" si="90"/>
        <v>0.7392027379</v>
      </c>
      <c r="O146" s="44">
        <f t="shared" si="85"/>
        <v>0.7392027379</v>
      </c>
      <c r="P146" s="63">
        <f>'Parametros Recargas'!$M$90</f>
        <v>22.66666667</v>
      </c>
      <c r="Q146" s="36">
        <f>MAX(Q91,ROUNDUP(O146/(P146*'Parametros Recargas'!D$8*'Parametros Recargas'!$B$19),0))</f>
        <v>1</v>
      </c>
      <c r="R146" s="46">
        <f>IF(AND('Parametros Recargas'!D$8=2,O146/(P146*Q146*'Parametros Recargas'!$B$19)&gt;1),2,1)</f>
        <v>1</v>
      </c>
      <c r="S146" s="34">
        <f t="shared" si="86"/>
        <v>0.0326118855</v>
      </c>
      <c r="T146" s="161">
        <f>'Parametros Recargas'!D59</f>
        <v>0</v>
      </c>
      <c r="U146" s="161">
        <f>'Parametros Recargas'!E59</f>
        <v>0</v>
      </c>
      <c r="V146" s="161">
        <f>'Parametros Recargas'!F59</f>
        <v>0</v>
      </c>
      <c r="W146" s="161">
        <f>'Parametros Recargas'!G59</f>
        <v>1</v>
      </c>
      <c r="X146" s="161">
        <f>'Parametros Recargas'!H59</f>
        <v>0</v>
      </c>
      <c r="Y146" s="161">
        <f>'Parametros Recargas'!I59</f>
        <v>0</v>
      </c>
      <c r="Z146" s="162">
        <f>'Parametros Recargas'!$U$90/P146</f>
        <v>0.04411764706</v>
      </c>
    </row>
    <row r="147" ht="15.75" customHeight="1">
      <c r="A147" s="30" t="s">
        <v>465</v>
      </c>
      <c r="B147" s="118" t="s">
        <v>458</v>
      </c>
      <c r="C147" s="63">
        <f t="shared" ref="C147:N147" si="91">($T147*C$134+$U147*C$135+$V147*C$136+$W147*C$137+$X147*C$138+$Y147*C$139)/$B$2</f>
        <v>0.2737428617</v>
      </c>
      <c r="D147" s="63">
        <f t="shared" si="91"/>
        <v>0.2433269882</v>
      </c>
      <c r="E147" s="63">
        <f t="shared" si="91"/>
        <v>0.258534925</v>
      </c>
      <c r="F147" s="63">
        <f t="shared" si="91"/>
        <v>0.2433269882</v>
      </c>
      <c r="G147" s="63">
        <f t="shared" si="91"/>
        <v>0.2281190514</v>
      </c>
      <c r="H147" s="63">
        <f t="shared" si="91"/>
        <v>0.2129111147</v>
      </c>
      <c r="I147" s="63">
        <f t="shared" si="91"/>
        <v>0.2433269882</v>
      </c>
      <c r="J147" s="63">
        <f t="shared" si="91"/>
        <v>0.258534925</v>
      </c>
      <c r="K147" s="63">
        <f t="shared" si="91"/>
        <v>0.258534925</v>
      </c>
      <c r="L147" s="63">
        <f t="shared" si="91"/>
        <v>0.2433269882</v>
      </c>
      <c r="M147" s="63">
        <f t="shared" si="91"/>
        <v>0.2433269882</v>
      </c>
      <c r="N147" s="63">
        <f t="shared" si="91"/>
        <v>0.3345746088</v>
      </c>
      <c r="O147" s="44">
        <f t="shared" si="85"/>
        <v>0.3345746088</v>
      </c>
      <c r="P147" s="63">
        <f>'Parametros Recargas'!$M$91</f>
        <v>29.14285714</v>
      </c>
      <c r="Q147" s="36">
        <f>MAX(Q92,ROUNDUP(O147/(P147*'Parametros Recargas'!D$8*'Parametros Recargas'!$B$19),0))</f>
        <v>1</v>
      </c>
      <c r="R147" s="46">
        <f>IF(AND('Parametros Recargas'!D$8=2,O147/(P147*Q147*'Parametros Recargas'!$B$19)&gt;1),2,1)</f>
        <v>1</v>
      </c>
      <c r="S147" s="34">
        <f t="shared" si="86"/>
        <v>0.01148050128</v>
      </c>
      <c r="T147" s="161">
        <f>'Parametros Recargas'!D60</f>
        <v>0</v>
      </c>
      <c r="U147" s="161">
        <f>'Parametros Recargas'!E60</f>
        <v>0</v>
      </c>
      <c r="V147" s="161">
        <f>'Parametros Recargas'!F60</f>
        <v>0</v>
      </c>
      <c r="W147" s="161">
        <f>'Parametros Recargas'!G60</f>
        <v>0</v>
      </c>
      <c r="X147" s="161">
        <f>'Parametros Recargas'!H60</f>
        <v>0.25</v>
      </c>
      <c r="Y147" s="161">
        <f>'Parametros Recargas'!I60</f>
        <v>0</v>
      </c>
      <c r="Z147" s="162">
        <f>'Parametros Recargas'!$U$91/P147</f>
        <v>0.03431372549</v>
      </c>
    </row>
    <row r="148" ht="15.75" customHeight="1">
      <c r="A148" s="30" t="s">
        <v>466</v>
      </c>
      <c r="B148" s="118" t="s">
        <v>458</v>
      </c>
      <c r="C148" s="63">
        <f t="shared" ref="C148:N148" si="92">($T148*C$134+$U148*C$135+$V148*C$136+$W148*C$137+$X148*C$138+$Y148*C$139)/$B$2</f>
        <v>0.01186390264</v>
      </c>
      <c r="D148" s="63">
        <f t="shared" si="92"/>
        <v>0.01054569123</v>
      </c>
      <c r="E148" s="63">
        <f t="shared" si="92"/>
        <v>0.01120479694</v>
      </c>
      <c r="F148" s="63">
        <f t="shared" si="92"/>
        <v>0.01054569123</v>
      </c>
      <c r="G148" s="63">
        <f t="shared" si="92"/>
        <v>0.009886585531</v>
      </c>
      <c r="H148" s="63">
        <f t="shared" si="92"/>
        <v>0.009227479829</v>
      </c>
      <c r="I148" s="63">
        <f t="shared" si="92"/>
        <v>0.01054569123</v>
      </c>
      <c r="J148" s="63">
        <f t="shared" si="92"/>
        <v>0.01120479694</v>
      </c>
      <c r="K148" s="63">
        <f t="shared" si="92"/>
        <v>0.01120479694</v>
      </c>
      <c r="L148" s="63">
        <f t="shared" si="92"/>
        <v>0.01054569123</v>
      </c>
      <c r="M148" s="63">
        <f t="shared" si="92"/>
        <v>0.01054569123</v>
      </c>
      <c r="N148" s="63">
        <f t="shared" si="92"/>
        <v>0.01450032545</v>
      </c>
      <c r="O148" s="44">
        <f t="shared" si="85"/>
        <v>0.01450032545</v>
      </c>
      <c r="P148" s="63">
        <f>'Parametros Recargas'!$M$92</f>
        <v>18.54545455</v>
      </c>
      <c r="Q148" s="36">
        <f>MAX(Q93,ROUNDUP(O148/(P148*'Parametros Recargas'!D$8*'Parametros Recargas'!$B$19),0))</f>
        <v>1</v>
      </c>
      <c r="R148" s="46">
        <f>IF(AND('Parametros Recargas'!D$8=2,O148/(P148*Q148*'Parametros Recargas'!$B$19)&gt;1),2,1)</f>
        <v>1</v>
      </c>
      <c r="S148" s="34">
        <f t="shared" si="86"/>
        <v>0.0007818802937</v>
      </c>
      <c r="T148" s="161">
        <f>'Parametros Recargas'!D61</f>
        <v>0</v>
      </c>
      <c r="U148" s="161">
        <f>'Parametros Recargas'!E61</f>
        <v>0</v>
      </c>
      <c r="V148" s="161">
        <f>'Parametros Recargas'!F61</f>
        <v>0</v>
      </c>
      <c r="W148" s="161">
        <f>'Parametros Recargas'!G61</f>
        <v>0</v>
      </c>
      <c r="X148" s="161">
        <f>'Parametros Recargas'!H61</f>
        <v>0</v>
      </c>
      <c r="Y148" s="161">
        <f>'Parametros Recargas'!I61</f>
        <v>0.25</v>
      </c>
      <c r="Z148" s="162">
        <f>'Parametros Recargas'!$U$92/P148</f>
        <v>0.05392156863</v>
      </c>
    </row>
    <row r="149" ht="15.75" customHeight="1">
      <c r="A149" s="73" t="s">
        <v>467</v>
      </c>
      <c r="B149" s="118" t="s">
        <v>458</v>
      </c>
      <c r="C149" s="63">
        <f t="shared" ref="C149:N149" si="93">($T149*C$134+$U149*C$135+$V149*C$136+$W149*C$137+$X149*C$138+$Y149*C$139)/$B$2</f>
        <v>13.02352123</v>
      </c>
      <c r="D149" s="63">
        <f t="shared" si="93"/>
        <v>10.76166334</v>
      </c>
      <c r="E149" s="63">
        <f t="shared" si="93"/>
        <v>11.09435878</v>
      </c>
      <c r="F149" s="63">
        <f t="shared" si="93"/>
        <v>10.79292378</v>
      </c>
      <c r="G149" s="63">
        <f t="shared" si="93"/>
        <v>10.46022834</v>
      </c>
      <c r="H149" s="63">
        <f t="shared" si="93"/>
        <v>10.12753289</v>
      </c>
      <c r="I149" s="63">
        <f t="shared" si="93"/>
        <v>10.82418422</v>
      </c>
      <c r="J149" s="63">
        <f t="shared" si="93"/>
        <v>11.06309834</v>
      </c>
      <c r="K149" s="63">
        <f t="shared" si="93"/>
        <v>11.06309834</v>
      </c>
      <c r="L149" s="63">
        <f t="shared" si="93"/>
        <v>10.76166334</v>
      </c>
      <c r="M149" s="63">
        <f t="shared" si="93"/>
        <v>10.7304029</v>
      </c>
      <c r="N149" s="63">
        <f t="shared" si="93"/>
        <v>15.56123682</v>
      </c>
      <c r="O149" s="44">
        <f t="shared" si="85"/>
        <v>15.56123682</v>
      </c>
      <c r="P149" s="63">
        <f>'Parametros Recargas'!$M$93</f>
        <v>32</v>
      </c>
      <c r="Q149" s="36">
        <f>MAX(Q94,ROUNDUP(O149/(P149*'Parametros Recargas'!D$8*'Parametros Recargas'!$B$19),0))</f>
        <v>1</v>
      </c>
      <c r="R149" s="46">
        <f>IF(AND('Parametros Recargas'!D$8=2,O149/(P149*Q149*'Parametros Recargas'!$B$19)&gt;1),2,1)</f>
        <v>1</v>
      </c>
      <c r="S149" s="34">
        <f t="shared" si="86"/>
        <v>0.4862886507</v>
      </c>
      <c r="T149" s="161">
        <f>'Parametros Recargas'!D62</f>
        <v>1</v>
      </c>
      <c r="U149" s="161">
        <f>'Parametros Recargas'!E62</f>
        <v>1</v>
      </c>
      <c r="V149" s="161">
        <f>'Parametros Recargas'!F62</f>
        <v>1</v>
      </c>
      <c r="W149" s="161">
        <f>'Parametros Recargas'!G62</f>
        <v>1</v>
      </c>
      <c r="X149" s="161">
        <f>'Parametros Recargas'!H62</f>
        <v>0.35</v>
      </c>
      <c r="Y149" s="161">
        <f>'Parametros Recargas'!I62</f>
        <v>0.35</v>
      </c>
      <c r="Z149" s="162">
        <f>'Parametros Recargas'!$U$93/P149</f>
        <v>0.03125</v>
      </c>
    </row>
    <row r="150" ht="15.75" customHeight="1">
      <c r="A150" s="30" t="s">
        <v>469</v>
      </c>
      <c r="B150" s="118" t="s">
        <v>458</v>
      </c>
      <c r="C150" s="63">
        <f t="shared" ref="C150:N150" si="94">($T150*C$134+$U150*C$135+$V150*C$136+$W150*C$137+$X150*C$138+$Y150*C$139)/$B$2</f>
        <v>1.19707976</v>
      </c>
      <c r="D150" s="63">
        <f t="shared" si="94"/>
        <v>0.9835952518</v>
      </c>
      <c r="E150" s="63">
        <f t="shared" si="94"/>
        <v>1.011079104</v>
      </c>
      <c r="F150" s="63">
        <f t="shared" si="94"/>
        <v>0.9861563482</v>
      </c>
      <c r="G150" s="63">
        <f t="shared" si="94"/>
        <v>0.9586724964</v>
      </c>
      <c r="H150" s="63">
        <f t="shared" si="94"/>
        <v>0.9311886446</v>
      </c>
      <c r="I150" s="63">
        <f t="shared" si="94"/>
        <v>0.9887174447</v>
      </c>
      <c r="J150" s="63">
        <f t="shared" si="94"/>
        <v>1.008518007</v>
      </c>
      <c r="K150" s="63">
        <f t="shared" si="94"/>
        <v>1.008518007</v>
      </c>
      <c r="L150" s="63">
        <f t="shared" si="94"/>
        <v>0.9835952518</v>
      </c>
      <c r="M150" s="63">
        <f t="shared" si="94"/>
        <v>0.9810341553</v>
      </c>
      <c r="N150" s="63">
        <f t="shared" si="94"/>
        <v>1.431098235</v>
      </c>
      <c r="O150" s="44">
        <f t="shared" si="85"/>
        <v>1.431098235</v>
      </c>
      <c r="P150" s="63">
        <f>'Parametros Recargas'!$M$94</f>
        <v>6.375</v>
      </c>
      <c r="Q150" s="36">
        <f>MAX(Q95,ROUNDUP(O150/(P150*'Parametros Recargas'!D$8*'Parametros Recargas'!$B$19),0))</f>
        <v>1</v>
      </c>
      <c r="R150" s="46">
        <f>IF(AND('Parametros Recargas'!D$8=2,O150/(P150*Q150*'Parametros Recargas'!$B$19)&gt;1),2,1)</f>
        <v>1</v>
      </c>
      <c r="S150" s="34">
        <f t="shared" si="86"/>
        <v>0.2244859977</v>
      </c>
      <c r="T150" s="161">
        <f>'Parametros Recargas'!D63</f>
        <v>0.1</v>
      </c>
      <c r="U150" s="161">
        <f>'Parametros Recargas'!E63</f>
        <v>0.1</v>
      </c>
      <c r="V150" s="161">
        <f>'Parametros Recargas'!F63</f>
        <v>0</v>
      </c>
      <c r="W150" s="161">
        <f>'Parametros Recargas'!G63</f>
        <v>0</v>
      </c>
      <c r="X150" s="161">
        <f>'Parametros Recargas'!H63</f>
        <v>0</v>
      </c>
      <c r="Y150" s="161">
        <f>'Parametros Recargas'!I63</f>
        <v>0</v>
      </c>
      <c r="Z150" s="162">
        <f>'Parametros Recargas'!$U$94/P150</f>
        <v>0.07843137255</v>
      </c>
    </row>
    <row r="151" ht="15.75" customHeight="1">
      <c r="A151" s="30" t="s">
        <v>470</v>
      </c>
      <c r="B151" s="118" t="s">
        <v>458</v>
      </c>
      <c r="C151" s="63">
        <f t="shared" ref="C151:N151" si="95">($T151*C$134+$U151*C$135+$V151*C$136+$W151*C$137+$X151*C$138+$Y151*C$139)/$B$2</f>
        <v>0.6345903939</v>
      </c>
      <c r="D151" s="63">
        <f t="shared" si="95"/>
        <v>0.5540368347</v>
      </c>
      <c r="E151" s="63">
        <f t="shared" si="95"/>
        <v>0.5886641368</v>
      </c>
      <c r="F151" s="63">
        <f t="shared" si="95"/>
        <v>0.5596863121</v>
      </c>
      <c r="G151" s="63">
        <f t="shared" si="95"/>
        <v>0.52505901</v>
      </c>
      <c r="H151" s="63">
        <f t="shared" si="95"/>
        <v>0.4904317078</v>
      </c>
      <c r="I151" s="63">
        <f t="shared" si="95"/>
        <v>0.5653357896</v>
      </c>
      <c r="J151" s="63">
        <f t="shared" si="95"/>
        <v>0.5830146594</v>
      </c>
      <c r="K151" s="63">
        <f t="shared" si="95"/>
        <v>0.5830146594</v>
      </c>
      <c r="L151" s="63">
        <f t="shared" si="95"/>
        <v>0.5540368347</v>
      </c>
      <c r="M151" s="63">
        <f t="shared" si="95"/>
        <v>0.5483873572</v>
      </c>
      <c r="N151" s="63">
        <f t="shared" si="95"/>
        <v>0.7392027379</v>
      </c>
      <c r="O151" s="44">
        <f t="shared" si="85"/>
        <v>0.7392027379</v>
      </c>
      <c r="P151" s="63">
        <f>'Parametros Recargas'!$M$95</f>
        <v>28.8</v>
      </c>
      <c r="Q151" s="36">
        <f>MAX(Q96,ROUNDUP(O151/(P151*'Parametros Recargas'!D$8*'Parametros Recargas'!$B$19),0))</f>
        <v>1</v>
      </c>
      <c r="R151" s="46">
        <f>IF(AND('Parametros Recargas'!D$8=2,O151/(P151*Q151*'Parametros Recargas'!$B$19)&gt;1),2,1)</f>
        <v>1</v>
      </c>
      <c r="S151" s="34">
        <f t="shared" si="86"/>
        <v>0.02566676173</v>
      </c>
      <c r="T151" s="161">
        <f>'Parametros Recargas'!D64</f>
        <v>0</v>
      </c>
      <c r="U151" s="161">
        <f>'Parametros Recargas'!E64</f>
        <v>0</v>
      </c>
      <c r="V151" s="161">
        <f>'Parametros Recargas'!F64</f>
        <v>0</v>
      </c>
      <c r="W151" s="161">
        <f>'Parametros Recargas'!G64</f>
        <v>1</v>
      </c>
      <c r="X151" s="161">
        <f>'Parametros Recargas'!H64</f>
        <v>0</v>
      </c>
      <c r="Y151" s="161">
        <f>'Parametros Recargas'!I64</f>
        <v>0</v>
      </c>
      <c r="Z151" s="162">
        <f>'Parametros Recargas'!$U$95/P151</f>
        <v>0.03472222222</v>
      </c>
    </row>
    <row r="152" ht="15.75" customHeight="1">
      <c r="A152" s="73" t="s">
        <v>473</v>
      </c>
      <c r="B152" s="118" t="s">
        <v>458</v>
      </c>
      <c r="C152" s="63">
        <f t="shared" ref="C152:N152" si="96">($T152*C$134+$U152*C$135+$V152*C$136+$W152*C$137+$X152*C$138+$Y152*C$139)/$B$2</f>
        <v>3.600172302</v>
      </c>
      <c r="D152" s="63">
        <f t="shared" si="96"/>
        <v>2.993942285</v>
      </c>
      <c r="E152" s="63">
        <f t="shared" si="96"/>
        <v>3.096086549</v>
      </c>
      <c r="F152" s="63">
        <f t="shared" si="96"/>
        <v>3.003169765</v>
      </c>
      <c r="G152" s="63">
        <f t="shared" si="96"/>
        <v>2.9010255</v>
      </c>
      <c r="H152" s="63">
        <f t="shared" si="96"/>
        <v>2.798881236</v>
      </c>
      <c r="I152" s="63">
        <f t="shared" si="96"/>
        <v>3.012397244</v>
      </c>
      <c r="J152" s="63">
        <f t="shared" si="96"/>
        <v>3.086859069</v>
      </c>
      <c r="K152" s="63">
        <f t="shared" si="96"/>
        <v>3.086859069</v>
      </c>
      <c r="L152" s="63">
        <f t="shared" si="96"/>
        <v>2.993942285</v>
      </c>
      <c r="M152" s="63">
        <f t="shared" si="96"/>
        <v>2.984714805</v>
      </c>
      <c r="N152" s="63">
        <f t="shared" si="96"/>
        <v>4.302008597</v>
      </c>
      <c r="O152" s="44">
        <f t="shared" si="85"/>
        <v>4.302008597</v>
      </c>
      <c r="P152" s="63">
        <f>'Parametros Recargas'!$M$96</f>
        <v>28.88380952</v>
      </c>
      <c r="Q152" s="36">
        <f>MAX(Q97,ROUNDUP(O152/(P152*'Parametros Recargas'!D$8*'Parametros Recargas'!$B$19),0))</f>
        <v>1</v>
      </c>
      <c r="R152" s="46">
        <f>IF(AND('Parametros Recargas'!D$8=2,O152/(P152*Q152*'Parametros Recargas'!$B$19)&gt;1),2,1)</f>
        <v>1</v>
      </c>
      <c r="S152" s="34">
        <f t="shared" si="86"/>
        <v>0.1489418698</v>
      </c>
      <c r="T152" s="161">
        <f>'Parametros Recargas'!D65</f>
        <v>0.25</v>
      </c>
      <c r="U152" s="161">
        <f>'Parametros Recargas'!E65</f>
        <v>0.25</v>
      </c>
      <c r="V152" s="161">
        <f>'Parametros Recargas'!F65</f>
        <v>0.25</v>
      </c>
      <c r="W152" s="161">
        <f>'Parametros Recargas'!G65</f>
        <v>0.5</v>
      </c>
      <c r="X152" s="161">
        <f>'Parametros Recargas'!H65</f>
        <v>0.25</v>
      </c>
      <c r="Y152" s="161">
        <f>'Parametros Recargas'!I65</f>
        <v>0.25</v>
      </c>
      <c r="Z152" s="162">
        <f>'Parametros Recargas'!$U$96/P152</f>
        <v>0.01731073595</v>
      </c>
    </row>
    <row r="153" ht="15.75" customHeight="1">
      <c r="A153" s="73" t="s">
        <v>479</v>
      </c>
      <c r="B153" s="118" t="s">
        <v>458</v>
      </c>
      <c r="C153" s="63">
        <f t="shared" ref="C153:N153" si="97">($T153*C$134+$U153*C$135+$V153*C$136+$W153*C$137+$X153*C$138+$Y153*C$139)/$B$2</f>
        <v>3.282877105</v>
      </c>
      <c r="D153" s="63">
        <f t="shared" si="97"/>
        <v>2.716923867</v>
      </c>
      <c r="E153" s="63">
        <f t="shared" si="97"/>
        <v>2.801754481</v>
      </c>
      <c r="F153" s="63">
        <f t="shared" si="97"/>
        <v>2.723326609</v>
      </c>
      <c r="G153" s="63">
        <f t="shared" si="97"/>
        <v>2.638495995</v>
      </c>
      <c r="H153" s="63">
        <f t="shared" si="97"/>
        <v>2.553665382</v>
      </c>
      <c r="I153" s="63">
        <f t="shared" si="97"/>
        <v>2.72972935</v>
      </c>
      <c r="J153" s="63">
        <f t="shared" si="97"/>
        <v>2.795351739</v>
      </c>
      <c r="K153" s="63">
        <f t="shared" si="97"/>
        <v>2.795351739</v>
      </c>
      <c r="L153" s="63">
        <f t="shared" si="97"/>
        <v>2.716923867</v>
      </c>
      <c r="M153" s="63">
        <f t="shared" si="97"/>
        <v>2.710521126</v>
      </c>
      <c r="N153" s="63">
        <f t="shared" si="97"/>
        <v>3.932407228</v>
      </c>
      <c r="O153" s="44">
        <f t="shared" si="85"/>
        <v>3.932407228</v>
      </c>
      <c r="P153" s="63">
        <f>'Parametros Recargas'!$M$97</f>
        <v>18.54545455</v>
      </c>
      <c r="Q153" s="36">
        <f>MAX(Q98,ROUNDUP(O153/(P153*'Parametros Recargas'!D$8*'Parametros Recargas'!$B$19),0))</f>
        <v>1</v>
      </c>
      <c r="R153" s="46">
        <f>IF(AND('Parametros Recargas'!D$8=2,O153/(P153*Q153*'Parametros Recargas'!$B$19)&gt;1),2,1)</f>
        <v>1</v>
      </c>
      <c r="S153" s="34">
        <f t="shared" si="86"/>
        <v>0.2120415662</v>
      </c>
      <c r="T153" s="161">
        <f>'Parametros Recargas'!D66</f>
        <v>0.25</v>
      </c>
      <c r="U153" s="161">
        <f>'Parametros Recargas'!E66</f>
        <v>0.25</v>
      </c>
      <c r="V153" s="161">
        <f>'Parametros Recargas'!F66</f>
        <v>0.25</v>
      </c>
      <c r="W153" s="161">
        <f>'Parametros Recargas'!G66</f>
        <v>0</v>
      </c>
      <c r="X153" s="161">
        <f>'Parametros Recargas'!H66</f>
        <v>0.25</v>
      </c>
      <c r="Y153" s="161">
        <f>'Parametros Recargas'!I66</f>
        <v>0.25</v>
      </c>
      <c r="Z153" s="162">
        <f>'Parametros Recargas'!$U$97/P153</f>
        <v>0.01348039216</v>
      </c>
    </row>
    <row r="154" ht="15.75" customHeight="1">
      <c r="A154" s="30" t="s">
        <v>500</v>
      </c>
      <c r="B154" s="118" t="s">
        <v>458</v>
      </c>
      <c r="C154" s="63">
        <f t="shared" ref="C154:N154" si="98">($T154*C$134+$U154*C$135+$V154*C$136+$W154*C$137+$X154*C$138+$Y154*C$139)/$B$2</f>
        <v>11.95251384</v>
      </c>
      <c r="D154" s="63">
        <f t="shared" si="98"/>
        <v>9.819700284</v>
      </c>
      <c r="E154" s="63">
        <f t="shared" si="98"/>
        <v>10.09352304</v>
      </c>
      <c r="F154" s="63">
        <f t="shared" si="98"/>
        <v>9.845311248</v>
      </c>
      <c r="G154" s="63">
        <f t="shared" si="98"/>
        <v>9.571488495</v>
      </c>
      <c r="H154" s="63">
        <f t="shared" si="98"/>
        <v>9.297665741</v>
      </c>
      <c r="I154" s="63">
        <f t="shared" si="98"/>
        <v>9.870922213</v>
      </c>
      <c r="J154" s="63">
        <f t="shared" si="98"/>
        <v>10.06791207</v>
      </c>
      <c r="K154" s="63">
        <f t="shared" si="98"/>
        <v>10.06791207</v>
      </c>
      <c r="L154" s="63">
        <f t="shared" si="98"/>
        <v>9.819700284</v>
      </c>
      <c r="M154" s="63">
        <f t="shared" si="98"/>
        <v>9.794089319</v>
      </c>
      <c r="N154" s="63">
        <f t="shared" si="98"/>
        <v>14.28863553</v>
      </c>
      <c r="O154" s="44">
        <f t="shared" si="85"/>
        <v>14.28863553</v>
      </c>
      <c r="P154" s="63">
        <f>'Parametros Recargas'!$M$98</f>
        <v>34</v>
      </c>
      <c r="Q154" s="36">
        <f>MAX(Q99,ROUNDUP(O154/(P154*'Parametros Recargas'!D$8*'Parametros Recargas'!$B$19),0))</f>
        <v>1</v>
      </c>
      <c r="R154" s="46">
        <f>IF(AND('Parametros Recargas'!D$8=2,O154/(P154*Q154*'Parametros Recargas'!$B$19)&gt;1),2,1)</f>
        <v>1</v>
      </c>
      <c r="S154" s="34">
        <f t="shared" si="86"/>
        <v>0.4202539862</v>
      </c>
      <c r="T154" s="161">
        <f>'Parametros Recargas'!D67</f>
        <v>1</v>
      </c>
      <c r="U154" s="161">
        <f>'Parametros Recargas'!E67</f>
        <v>0</v>
      </c>
      <c r="V154" s="161">
        <f>'Parametros Recargas'!F67</f>
        <v>0</v>
      </c>
      <c r="W154" s="161">
        <f>'Parametros Recargas'!G67</f>
        <v>0</v>
      </c>
      <c r="X154" s="161">
        <f>'Parametros Recargas'!H67</f>
        <v>0</v>
      </c>
      <c r="Y154" s="161">
        <f>'Parametros Recargas'!I67</f>
        <v>0</v>
      </c>
      <c r="Z154" s="162">
        <f>'Parametros Recargas'!$U$98/P154</f>
        <v>0.01470588235</v>
      </c>
    </row>
    <row r="155" ht="15.75" customHeight="1">
      <c r="A155" s="30" t="s">
        <v>522</v>
      </c>
      <c r="B155" s="118" t="s">
        <v>458</v>
      </c>
      <c r="C155" s="63">
        <f t="shared" ref="C155:N155" si="99">($T155*C$134+$U155*C$135+$V155*C$136+$W155*C$137+$X155*C$138+$Y155*C$139)/$B$2</f>
        <v>0.01828376337</v>
      </c>
      <c r="D155" s="63">
        <f t="shared" si="99"/>
        <v>0.01625223411</v>
      </c>
      <c r="E155" s="63">
        <f t="shared" si="99"/>
        <v>0.01726799874</v>
      </c>
      <c r="F155" s="63">
        <f t="shared" si="99"/>
        <v>0.01625223411</v>
      </c>
      <c r="G155" s="63">
        <f t="shared" si="99"/>
        <v>0.01523646948</v>
      </c>
      <c r="H155" s="63">
        <f t="shared" si="99"/>
        <v>0.01422070485</v>
      </c>
      <c r="I155" s="63">
        <f t="shared" si="99"/>
        <v>0.01625223411</v>
      </c>
      <c r="J155" s="63">
        <f t="shared" si="99"/>
        <v>0.01726799874</v>
      </c>
      <c r="K155" s="63">
        <f t="shared" si="99"/>
        <v>0.01726799874</v>
      </c>
      <c r="L155" s="63">
        <f t="shared" si="99"/>
        <v>0.01625223411</v>
      </c>
      <c r="M155" s="63">
        <f t="shared" si="99"/>
        <v>0.01625223411</v>
      </c>
      <c r="N155" s="63">
        <f t="shared" si="99"/>
        <v>0.0223468219</v>
      </c>
      <c r="O155" s="44">
        <f t="shared" si="85"/>
        <v>0.0223468219</v>
      </c>
      <c r="P155" s="63">
        <f>'Parametros Recargas'!$M$99</f>
        <v>34</v>
      </c>
      <c r="Q155" s="36">
        <f>MAX(Q100,ROUNDUP(O155/(P155*'Parametros Recargas'!D$8*'Parametros Recargas'!$B$19),0))</f>
        <v>1</v>
      </c>
      <c r="R155" s="46">
        <f>IF(AND('Parametros Recargas'!D$8=2,O155/(P155*Q155*'Parametros Recargas'!$B$19)&gt;1),2,1)</f>
        <v>1</v>
      </c>
      <c r="S155" s="34">
        <f t="shared" si="86"/>
        <v>0.0006572594676</v>
      </c>
      <c r="T155" s="161">
        <f>'Parametros Recargas'!D68</f>
        <v>0</v>
      </c>
      <c r="U155" s="161">
        <f>'Parametros Recargas'!E68</f>
        <v>1</v>
      </c>
      <c r="V155" s="161">
        <f>'Parametros Recargas'!F68</f>
        <v>0</v>
      </c>
      <c r="W155" s="161">
        <f>'Parametros Recargas'!G68</f>
        <v>0</v>
      </c>
      <c r="X155" s="161">
        <f>'Parametros Recargas'!H68</f>
        <v>0</v>
      </c>
      <c r="Y155" s="161">
        <f>'Parametros Recargas'!I68</f>
        <v>0</v>
      </c>
      <c r="Z155" s="162">
        <f>'Parametros Recargas'!$U$99/P155</f>
        <v>0.02941176471</v>
      </c>
    </row>
    <row r="156" ht="15.75" customHeight="1">
      <c r="A156" s="30" t="s">
        <v>529</v>
      </c>
      <c r="B156" s="118" t="s">
        <v>458</v>
      </c>
      <c r="C156" s="63">
        <f t="shared" ref="C156:N156" si="100">($T156*C$134+$U156*C$135+$V156*C$136+$W156*C$137+$X156*C$138+$Y156*C$139)/$B$2</f>
        <v>0.01828376337</v>
      </c>
      <c r="D156" s="63">
        <f t="shared" si="100"/>
        <v>0.01625223411</v>
      </c>
      <c r="E156" s="63">
        <f t="shared" si="100"/>
        <v>0.01726799874</v>
      </c>
      <c r="F156" s="63">
        <f t="shared" si="100"/>
        <v>0.01625223411</v>
      </c>
      <c r="G156" s="63">
        <f t="shared" si="100"/>
        <v>0.01523646948</v>
      </c>
      <c r="H156" s="63">
        <f t="shared" si="100"/>
        <v>0.01422070485</v>
      </c>
      <c r="I156" s="63">
        <f t="shared" si="100"/>
        <v>0.01625223411</v>
      </c>
      <c r="J156" s="63">
        <f t="shared" si="100"/>
        <v>0.01726799874</v>
      </c>
      <c r="K156" s="63">
        <f t="shared" si="100"/>
        <v>0.01726799874</v>
      </c>
      <c r="L156" s="63">
        <f t="shared" si="100"/>
        <v>0.01625223411</v>
      </c>
      <c r="M156" s="63">
        <f t="shared" si="100"/>
        <v>0.01625223411</v>
      </c>
      <c r="N156" s="63">
        <f t="shared" si="100"/>
        <v>0.0223468219</v>
      </c>
      <c r="O156" s="44">
        <f t="shared" si="85"/>
        <v>0.0223468219</v>
      </c>
      <c r="P156" s="63">
        <f>'Parametros Recargas'!$M$100</f>
        <v>8.4375</v>
      </c>
      <c r="Q156" s="36">
        <f>MAX(Q101,ROUNDUP(O156/(P156*'Parametros Recargas'!D$8*'Parametros Recargas'!$B$19),0))</f>
        <v>1</v>
      </c>
      <c r="R156" s="46">
        <f>IF(AND('Parametros Recargas'!D$8=2,O156/(P156*Q156*'Parametros Recargas'!$B$19)&gt;1),2,1)</f>
        <v>1</v>
      </c>
      <c r="S156" s="34">
        <f t="shared" si="86"/>
        <v>0.002648512225</v>
      </c>
      <c r="T156" s="161">
        <f>'Parametros Recargas'!D69</f>
        <v>0</v>
      </c>
      <c r="U156" s="161">
        <f>'Parametros Recargas'!E69</f>
        <v>0</v>
      </c>
      <c r="V156" s="161">
        <f>'Parametros Recargas'!F69</f>
        <v>1</v>
      </c>
      <c r="W156" s="161">
        <f>'Parametros Recargas'!G69</f>
        <v>0</v>
      </c>
      <c r="X156" s="161">
        <f>'Parametros Recargas'!H69</f>
        <v>0</v>
      </c>
      <c r="Y156" s="161">
        <f>'Parametros Recargas'!I69</f>
        <v>0</v>
      </c>
      <c r="Z156" s="162">
        <f>'Parametros Recargas'!$U$100/P156</f>
        <v>0.1185185185</v>
      </c>
    </row>
    <row r="157" ht="15.75" customHeight="1">
      <c r="A157" s="30" t="s">
        <v>531</v>
      </c>
      <c r="B157" s="118" t="s">
        <v>458</v>
      </c>
      <c r="C157" s="63">
        <f t="shared" ref="C157:N157" si="101">($T157*C$134+$U157*C$135+$V157*C$136+$W157*C$137+$X157*C$138+$Y157*C$139)/$B$2</f>
        <v>0.6345903939</v>
      </c>
      <c r="D157" s="63">
        <f t="shared" si="101"/>
        <v>0.5540368347</v>
      </c>
      <c r="E157" s="63">
        <f t="shared" si="101"/>
        <v>0.5886641368</v>
      </c>
      <c r="F157" s="63">
        <f t="shared" si="101"/>
        <v>0.5596863121</v>
      </c>
      <c r="G157" s="63">
        <f t="shared" si="101"/>
        <v>0.52505901</v>
      </c>
      <c r="H157" s="63">
        <f t="shared" si="101"/>
        <v>0.4904317078</v>
      </c>
      <c r="I157" s="63">
        <f t="shared" si="101"/>
        <v>0.5653357896</v>
      </c>
      <c r="J157" s="63">
        <f t="shared" si="101"/>
        <v>0.5830146594</v>
      </c>
      <c r="K157" s="63">
        <f t="shared" si="101"/>
        <v>0.5830146594</v>
      </c>
      <c r="L157" s="63">
        <f t="shared" si="101"/>
        <v>0.5540368347</v>
      </c>
      <c r="M157" s="63">
        <f t="shared" si="101"/>
        <v>0.5483873572</v>
      </c>
      <c r="N157" s="63">
        <f t="shared" si="101"/>
        <v>0.7392027379</v>
      </c>
      <c r="O157" s="44">
        <f t="shared" si="85"/>
        <v>0.7392027379</v>
      </c>
      <c r="P157" s="63">
        <f>'Parametros Recargas'!$M$101</f>
        <v>18.29818182</v>
      </c>
      <c r="Q157" s="36">
        <f>MAX(Q102,ROUNDUP(O157/(P157*'Parametros Recargas'!D$8*'Parametros Recargas'!$B$19),0))</f>
        <v>1</v>
      </c>
      <c r="R157" s="46">
        <f>IF(AND('Parametros Recargas'!D$8=2,O157/(P157*Q157*'Parametros Recargas'!$B$19)&gt;1),2,1)</f>
        <v>1</v>
      </c>
      <c r="S157" s="34">
        <f t="shared" si="86"/>
        <v>0.04039760591</v>
      </c>
      <c r="T157" s="161">
        <f>'Parametros Recargas'!D70</f>
        <v>0</v>
      </c>
      <c r="U157" s="161">
        <f>'Parametros Recargas'!E70</f>
        <v>0</v>
      </c>
      <c r="V157" s="161">
        <f>'Parametros Recargas'!F70</f>
        <v>0</v>
      </c>
      <c r="W157" s="161">
        <f>'Parametros Recargas'!G70</f>
        <v>1</v>
      </c>
      <c r="X157" s="161">
        <f>'Parametros Recargas'!H70</f>
        <v>0</v>
      </c>
      <c r="Y157" s="161">
        <f>'Parametros Recargas'!I70</f>
        <v>0</v>
      </c>
      <c r="Z157" s="162">
        <f>'Parametros Recargas'!$U$101/P157</f>
        <v>0.05465023847</v>
      </c>
    </row>
    <row r="158" ht="15.75" customHeight="1">
      <c r="A158" s="30" t="s">
        <v>533</v>
      </c>
      <c r="B158" s="118" t="s">
        <v>458</v>
      </c>
      <c r="C158" s="63">
        <f t="shared" ref="C158:N158" si="102">($T158*C$134+$U158*C$135+$V158*C$136+$W158*C$137+$X158*C$138+$Y158*C$139)/$B$2</f>
        <v>0.3832400064</v>
      </c>
      <c r="D158" s="63">
        <f t="shared" si="102"/>
        <v>0.3406577835</v>
      </c>
      <c r="E158" s="63">
        <f t="shared" si="102"/>
        <v>0.361948895</v>
      </c>
      <c r="F158" s="63">
        <f t="shared" si="102"/>
        <v>0.3406577835</v>
      </c>
      <c r="G158" s="63">
        <f t="shared" si="102"/>
        <v>0.319366672</v>
      </c>
      <c r="H158" s="63">
        <f t="shared" si="102"/>
        <v>0.2980755605</v>
      </c>
      <c r="I158" s="63">
        <f t="shared" si="102"/>
        <v>0.3406577835</v>
      </c>
      <c r="J158" s="63">
        <f t="shared" si="102"/>
        <v>0.361948895</v>
      </c>
      <c r="K158" s="63">
        <f t="shared" si="102"/>
        <v>0.361948895</v>
      </c>
      <c r="L158" s="63">
        <f t="shared" si="102"/>
        <v>0.3406577835</v>
      </c>
      <c r="M158" s="63">
        <f t="shared" si="102"/>
        <v>0.3406577835</v>
      </c>
      <c r="N158" s="63">
        <f t="shared" si="102"/>
        <v>0.4684044523</v>
      </c>
      <c r="O158" s="44">
        <f t="shared" si="85"/>
        <v>0.4684044523</v>
      </c>
      <c r="P158" s="63">
        <f>'Parametros Recargas'!$M$102</f>
        <v>15.69230769</v>
      </c>
      <c r="Q158" s="36">
        <f>MAX(Q103,ROUNDUP(O158/(P158*'Parametros Recargas'!D$8*'Parametros Recargas'!$B$19),0))</f>
        <v>1</v>
      </c>
      <c r="R158" s="46">
        <f>IF(AND('Parametros Recargas'!D$8=2,O158/(P158*Q158*'Parametros Recargas'!$B$19)&gt;1),2,1)</f>
        <v>1</v>
      </c>
      <c r="S158" s="34">
        <f t="shared" si="86"/>
        <v>0.02984930333</v>
      </c>
      <c r="T158" s="161">
        <f>'Parametros Recargas'!D71</f>
        <v>0</v>
      </c>
      <c r="U158" s="161">
        <f>'Parametros Recargas'!E71</f>
        <v>0</v>
      </c>
      <c r="V158" s="161">
        <f>'Parametros Recargas'!F71</f>
        <v>0</v>
      </c>
      <c r="W158" s="161">
        <f>'Parametros Recargas'!G71</f>
        <v>0</v>
      </c>
      <c r="X158" s="161">
        <f>'Parametros Recargas'!H71</f>
        <v>0.35</v>
      </c>
      <c r="Y158" s="161">
        <f>'Parametros Recargas'!I71</f>
        <v>0</v>
      </c>
      <c r="Z158" s="162">
        <f>'Parametros Recargas'!$U$102/P158</f>
        <v>0.0637254902</v>
      </c>
    </row>
    <row r="159" ht="15.75" customHeight="1">
      <c r="A159" s="30" t="s">
        <v>535</v>
      </c>
      <c r="B159" s="118" t="s">
        <v>458</v>
      </c>
      <c r="C159" s="63">
        <f t="shared" ref="C159:N159" si="103">($T159*C$134+$U159*C$135+$V159*C$136+$W159*C$137+$X159*C$138+$Y159*C$139)/$B$2</f>
        <v>0.01660946369</v>
      </c>
      <c r="D159" s="63">
        <f t="shared" si="103"/>
        <v>0.01476396773</v>
      </c>
      <c r="E159" s="63">
        <f t="shared" si="103"/>
        <v>0.01568671571</v>
      </c>
      <c r="F159" s="63">
        <f t="shared" si="103"/>
        <v>0.01476396773</v>
      </c>
      <c r="G159" s="63">
        <f t="shared" si="103"/>
        <v>0.01384121974</v>
      </c>
      <c r="H159" s="63">
        <f t="shared" si="103"/>
        <v>0.01291847176</v>
      </c>
      <c r="I159" s="63">
        <f t="shared" si="103"/>
        <v>0.01476396773</v>
      </c>
      <c r="J159" s="63">
        <f t="shared" si="103"/>
        <v>0.01568671571</v>
      </c>
      <c r="K159" s="63">
        <f t="shared" si="103"/>
        <v>0.01568671571</v>
      </c>
      <c r="L159" s="63">
        <f t="shared" si="103"/>
        <v>0.01476396773</v>
      </c>
      <c r="M159" s="63">
        <f t="shared" si="103"/>
        <v>0.01476396773</v>
      </c>
      <c r="N159" s="63">
        <f t="shared" si="103"/>
        <v>0.02030045562</v>
      </c>
      <c r="O159" s="44">
        <f t="shared" si="85"/>
        <v>0.02030045562</v>
      </c>
      <c r="P159" s="63">
        <f>'Parametros Recargas'!$M$103</f>
        <v>12</v>
      </c>
      <c r="Q159" s="36">
        <f>MAX(Q104,ROUNDUP(O159/(P159*'Parametros Recargas'!D$8*'Parametros Recargas'!$B$19),0))</f>
        <v>1</v>
      </c>
      <c r="R159" s="46">
        <f>IF(AND('Parametros Recargas'!D$8=2,O159/(P159*Q159*'Parametros Recargas'!$B$19)&gt;1),2,1)</f>
        <v>1</v>
      </c>
      <c r="S159" s="34">
        <f t="shared" si="86"/>
        <v>0.001691704635</v>
      </c>
      <c r="T159" s="161">
        <f>'Parametros Recargas'!D72</f>
        <v>0</v>
      </c>
      <c r="U159" s="161">
        <f>'Parametros Recargas'!E72</f>
        <v>0</v>
      </c>
      <c r="V159" s="161">
        <f>'Parametros Recargas'!F72</f>
        <v>0</v>
      </c>
      <c r="W159" s="161">
        <f>'Parametros Recargas'!G72</f>
        <v>0</v>
      </c>
      <c r="X159" s="161">
        <f>'Parametros Recargas'!H72</f>
        <v>0</v>
      </c>
      <c r="Y159" s="161">
        <f>'Parametros Recargas'!I72</f>
        <v>0.35</v>
      </c>
      <c r="Z159" s="162">
        <f>'Parametros Recargas'!$U$103/P159</f>
        <v>0.08333333333</v>
      </c>
    </row>
    <row r="160" ht="15.75" customHeight="1">
      <c r="A160" s="73" t="s">
        <v>536</v>
      </c>
      <c r="B160" s="118" t="s">
        <v>458</v>
      </c>
      <c r="C160" s="63">
        <f t="shared" ref="C160:N160" si="104">($T160*C$134+$U160*C$135+$V160*C$136+$W160*C$137+$X160*C$138+$Y160*C$139)/$B$2</f>
        <v>13.02352123</v>
      </c>
      <c r="D160" s="63">
        <f t="shared" si="104"/>
        <v>10.76166334</v>
      </c>
      <c r="E160" s="63">
        <f t="shared" si="104"/>
        <v>11.09435878</v>
      </c>
      <c r="F160" s="63">
        <f t="shared" si="104"/>
        <v>10.79292378</v>
      </c>
      <c r="G160" s="63">
        <f t="shared" si="104"/>
        <v>10.46022834</v>
      </c>
      <c r="H160" s="63">
        <f t="shared" si="104"/>
        <v>10.12753289</v>
      </c>
      <c r="I160" s="63">
        <f t="shared" si="104"/>
        <v>10.82418422</v>
      </c>
      <c r="J160" s="63">
        <f t="shared" si="104"/>
        <v>11.06309834</v>
      </c>
      <c r="K160" s="63">
        <f t="shared" si="104"/>
        <v>11.06309834</v>
      </c>
      <c r="L160" s="63">
        <f t="shared" si="104"/>
        <v>10.76166334</v>
      </c>
      <c r="M160" s="63">
        <f t="shared" si="104"/>
        <v>10.7304029</v>
      </c>
      <c r="N160" s="63">
        <f t="shared" si="104"/>
        <v>15.56123682</v>
      </c>
      <c r="O160" s="44">
        <f t="shared" si="85"/>
        <v>15.56123682</v>
      </c>
      <c r="P160" s="63">
        <f>'Parametros Recargas'!$M$104</f>
        <v>25.04347826</v>
      </c>
      <c r="Q160" s="36">
        <f>MAX(Q105,ROUNDUP(O160/(P160*'Parametros Recargas'!D$8*'Parametros Recargas'!$B$19),0))</f>
        <v>1</v>
      </c>
      <c r="R160" s="46">
        <f>IF(AND('Parametros Recargas'!D$8=2,O160/(P160*Q160*'Parametros Recargas'!$B$19)&gt;1),2,1)</f>
        <v>1</v>
      </c>
      <c r="S160" s="34">
        <f t="shared" si="86"/>
        <v>0.6213688314</v>
      </c>
      <c r="T160" s="161">
        <f>'Parametros Recargas'!D73</f>
        <v>1</v>
      </c>
      <c r="U160" s="161">
        <f>'Parametros Recargas'!E73</f>
        <v>1</v>
      </c>
      <c r="V160" s="161">
        <f>'Parametros Recargas'!F73</f>
        <v>1</v>
      </c>
      <c r="W160" s="161">
        <f>'Parametros Recargas'!G73</f>
        <v>1</v>
      </c>
      <c r="X160" s="161">
        <f>'Parametros Recargas'!H73</f>
        <v>0.35</v>
      </c>
      <c r="Y160" s="161">
        <f>'Parametros Recargas'!I73</f>
        <v>0.35</v>
      </c>
      <c r="Z160" s="162">
        <f>'Parametros Recargas'!$U$104/P160</f>
        <v>0.03993055556</v>
      </c>
    </row>
    <row r="161" ht="15.75" customHeight="1">
      <c r="A161" s="73" t="s">
        <v>537</v>
      </c>
      <c r="B161" s="118" t="s">
        <v>458</v>
      </c>
      <c r="C161" s="63">
        <f t="shared" ref="C161:N161" si="105">($T161*C$134+$U161*C$135+$V161*C$136+$W161*C$137+$X161*C$138+$Y161*C$139)/$B$2</f>
        <v>12.64028122</v>
      </c>
      <c r="D161" s="63">
        <f t="shared" si="105"/>
        <v>10.42100555</v>
      </c>
      <c r="E161" s="63">
        <f t="shared" si="105"/>
        <v>10.73240989</v>
      </c>
      <c r="F161" s="63">
        <f t="shared" si="105"/>
        <v>10.452266</v>
      </c>
      <c r="G161" s="63">
        <f t="shared" si="105"/>
        <v>10.14086166</v>
      </c>
      <c r="H161" s="63">
        <f t="shared" si="105"/>
        <v>9.829457331</v>
      </c>
      <c r="I161" s="63">
        <f t="shared" si="105"/>
        <v>10.48352644</v>
      </c>
      <c r="J161" s="63">
        <f t="shared" si="105"/>
        <v>10.70114945</v>
      </c>
      <c r="K161" s="63">
        <f t="shared" si="105"/>
        <v>10.70114945</v>
      </c>
      <c r="L161" s="63">
        <f t="shared" si="105"/>
        <v>10.42100555</v>
      </c>
      <c r="M161" s="63">
        <f t="shared" si="105"/>
        <v>10.38974511</v>
      </c>
      <c r="N161" s="63">
        <f t="shared" si="105"/>
        <v>15.09283237</v>
      </c>
      <c r="O161" s="44">
        <f t="shared" si="85"/>
        <v>15.09283237</v>
      </c>
      <c r="P161" s="63">
        <f>'Parametros Recargas'!$M$105</f>
        <v>52.36363636</v>
      </c>
      <c r="Q161" s="36">
        <f>MAX(Q106,ROUNDUP(O161/(P161*'Parametros Recargas'!D$8*'Parametros Recargas'!$B$19),0))</f>
        <v>1</v>
      </c>
      <c r="R161" s="46">
        <f>IF(AND('Parametros Recargas'!D$8=2,O161/(P161*Q161*'Parametros Recargas'!$B$19)&gt;1),2,1)</f>
        <v>1</v>
      </c>
      <c r="S161" s="34">
        <f t="shared" si="86"/>
        <v>0.2882311737</v>
      </c>
      <c r="T161" s="161">
        <f>'Parametros Recargas'!D74</f>
        <v>1</v>
      </c>
      <c r="U161" s="161">
        <f>'Parametros Recargas'!E74</f>
        <v>1</v>
      </c>
      <c r="V161" s="161">
        <f>'Parametros Recargas'!F74</f>
        <v>1</v>
      </c>
      <c r="W161" s="161">
        <f>'Parametros Recargas'!G74</f>
        <v>1</v>
      </c>
      <c r="X161" s="161">
        <f>'Parametros Recargas'!H74</f>
        <v>0</v>
      </c>
      <c r="Y161" s="161">
        <f>'Parametros Recargas'!I74</f>
        <v>0.35</v>
      </c>
      <c r="Z161" s="162">
        <f>'Parametros Recargas'!$U$105/P161</f>
        <v>0.01909722222</v>
      </c>
    </row>
    <row r="162" ht="15.75" customHeight="1">
      <c r="A162" s="73" t="s">
        <v>546</v>
      </c>
      <c r="B162" s="118" t="s">
        <v>458</v>
      </c>
      <c r="C162" s="63">
        <f t="shared" ref="C162:N162" si="106">($T162*C$134+$U162*C$135+$V162*C$136+$W162*C$137+$X162*C$138+$Y162*C$139)/$B$2</f>
        <v>1.142427057</v>
      </c>
      <c r="D162" s="63">
        <f t="shared" si="106"/>
        <v>1.015490718</v>
      </c>
      <c r="E162" s="63">
        <f t="shared" si="106"/>
        <v>1.078958888</v>
      </c>
      <c r="F162" s="63">
        <f t="shared" si="106"/>
        <v>1.015490718</v>
      </c>
      <c r="G162" s="63">
        <f t="shared" si="106"/>
        <v>0.9520225479</v>
      </c>
      <c r="H162" s="63">
        <f t="shared" si="106"/>
        <v>0.888554378</v>
      </c>
      <c r="I162" s="63">
        <f t="shared" si="106"/>
        <v>1.015490718</v>
      </c>
      <c r="J162" s="63">
        <f t="shared" si="106"/>
        <v>1.078958888</v>
      </c>
      <c r="K162" s="63">
        <f t="shared" si="106"/>
        <v>1.078958888</v>
      </c>
      <c r="L162" s="63">
        <f t="shared" si="106"/>
        <v>1.015490718</v>
      </c>
      <c r="M162" s="63">
        <f t="shared" si="106"/>
        <v>1.015490718</v>
      </c>
      <c r="N162" s="63">
        <f t="shared" si="106"/>
        <v>1.396299737</v>
      </c>
      <c r="O162" s="44">
        <f t="shared" si="85"/>
        <v>1.396299737</v>
      </c>
      <c r="P162" s="63">
        <f>'Parametros Recargas'!$M$106</f>
        <v>55.63636364</v>
      </c>
      <c r="Q162" s="36">
        <f>MAX(Q107,ROUNDUP(O162/(P162*'Parametros Recargas'!D$8*'Parametros Recargas'!$B$19),0))</f>
        <v>1</v>
      </c>
      <c r="R162" s="46">
        <f>IF(AND('Parametros Recargas'!D$8=2,O162/(P162*Q162*'Parametros Recargas'!$B$19)&gt;1),2,1)</f>
        <v>1</v>
      </c>
      <c r="S162" s="34">
        <f t="shared" si="86"/>
        <v>0.0250968907</v>
      </c>
      <c r="T162" s="161">
        <f>'Parametros Recargas'!D75</f>
        <v>0</v>
      </c>
      <c r="U162" s="161">
        <f>'Parametros Recargas'!E75</f>
        <v>0</v>
      </c>
      <c r="V162" s="161">
        <f>'Parametros Recargas'!F75</f>
        <v>0</v>
      </c>
      <c r="W162" s="161">
        <f>'Parametros Recargas'!G75</f>
        <v>0</v>
      </c>
      <c r="X162" s="161">
        <f>'Parametros Recargas'!H75</f>
        <v>1</v>
      </c>
      <c r="Y162" s="161">
        <f>'Parametros Recargas'!I75</f>
        <v>1</v>
      </c>
      <c r="Z162" s="162">
        <f>'Parametros Recargas'!$U$106/P162</f>
        <v>0.01797385621</v>
      </c>
    </row>
    <row r="163" ht="15.75" customHeight="1">
      <c r="A163" s="73" t="s">
        <v>559</v>
      </c>
      <c r="B163" s="118" t="s">
        <v>458</v>
      </c>
      <c r="C163" s="63">
        <f t="shared" ref="C163:N163" si="107">($T163*C$134+$U163*C$135+$V163*C$136+$W163*C$137+$X163*C$138+$Y163*C$139)/$B$2</f>
        <v>13.76609881</v>
      </c>
      <c r="D163" s="63">
        <f t="shared" si="107"/>
        <v>11.4217323</v>
      </c>
      <c r="E163" s="63">
        <f t="shared" si="107"/>
        <v>11.79568206</v>
      </c>
      <c r="F163" s="63">
        <f t="shared" si="107"/>
        <v>11.45299275</v>
      </c>
      <c r="G163" s="63">
        <f t="shared" si="107"/>
        <v>11.07904299</v>
      </c>
      <c r="H163" s="63">
        <f t="shared" si="107"/>
        <v>10.70509324</v>
      </c>
      <c r="I163" s="63">
        <f t="shared" si="107"/>
        <v>11.48425319</v>
      </c>
      <c r="J163" s="63">
        <f t="shared" si="107"/>
        <v>11.76442162</v>
      </c>
      <c r="K163" s="63">
        <f t="shared" si="107"/>
        <v>11.76442162</v>
      </c>
      <c r="L163" s="63">
        <f t="shared" si="107"/>
        <v>11.4217323</v>
      </c>
      <c r="M163" s="63">
        <f t="shared" si="107"/>
        <v>11.39047186</v>
      </c>
      <c r="N163" s="63">
        <f t="shared" si="107"/>
        <v>16.46883165</v>
      </c>
      <c r="O163" s="44">
        <f t="shared" si="85"/>
        <v>16.46883165</v>
      </c>
      <c r="P163" s="63">
        <f>'Parametros Recargas'!$M$107</f>
        <v>76.5</v>
      </c>
      <c r="Q163" s="36">
        <f>MAX(Q108,ROUNDUP(O163/(P163*'Parametros Recargas'!D$8*'Parametros Recargas'!$B$19),0))</f>
        <v>1</v>
      </c>
      <c r="R163" s="46">
        <f>IF(AND('Parametros Recargas'!D$8=2,O163/(P163*Q163*'Parametros Recargas'!$B$19)&gt;1),2,1)</f>
        <v>1</v>
      </c>
      <c r="S163" s="34">
        <f t="shared" si="86"/>
        <v>0.2152788451</v>
      </c>
      <c r="T163" s="161">
        <f>'Parametros Recargas'!D76</f>
        <v>1</v>
      </c>
      <c r="U163" s="161">
        <f>'Parametros Recargas'!E76</f>
        <v>1</v>
      </c>
      <c r="V163" s="161">
        <f>'Parametros Recargas'!F76</f>
        <v>1</v>
      </c>
      <c r="W163" s="161">
        <f>'Parametros Recargas'!G76</f>
        <v>1</v>
      </c>
      <c r="X163" s="161">
        <f>'Parametros Recargas'!H76</f>
        <v>1</v>
      </c>
      <c r="Y163" s="161">
        <f>'Parametros Recargas'!I76</f>
        <v>1</v>
      </c>
      <c r="Z163" s="162">
        <f>'Parametros Recargas'!$U$107/P163</f>
        <v>0.003267973856</v>
      </c>
    </row>
    <row r="164" ht="15.75" customHeight="1">
      <c r="A164" s="73" t="s">
        <v>566</v>
      </c>
      <c r="B164" s="118" t="s">
        <v>458</v>
      </c>
      <c r="C164" s="63">
        <f t="shared" ref="C164:N164" si="108">($T164*C$134+$U164*C$135+$V164*C$136+$W164*C$137+$X164*C$138+$Y164*C$139)/$B$2</f>
        <v>2.064914822</v>
      </c>
      <c r="D164" s="63">
        <f t="shared" si="108"/>
        <v>1.713259846</v>
      </c>
      <c r="E164" s="63">
        <f t="shared" si="108"/>
        <v>1.769352309</v>
      </c>
      <c r="F164" s="63">
        <f t="shared" si="108"/>
        <v>1.717948912</v>
      </c>
      <c r="G164" s="63">
        <f t="shared" si="108"/>
        <v>1.661856449</v>
      </c>
      <c r="H164" s="63">
        <f t="shared" si="108"/>
        <v>1.605763986</v>
      </c>
      <c r="I164" s="63">
        <f t="shared" si="108"/>
        <v>1.722637978</v>
      </c>
      <c r="J164" s="63">
        <f t="shared" si="108"/>
        <v>1.764663243</v>
      </c>
      <c r="K164" s="63">
        <f t="shared" si="108"/>
        <v>1.764663243</v>
      </c>
      <c r="L164" s="63">
        <f t="shared" si="108"/>
        <v>1.713259846</v>
      </c>
      <c r="M164" s="63">
        <f t="shared" si="108"/>
        <v>1.708570779</v>
      </c>
      <c r="N164" s="63">
        <f t="shared" si="108"/>
        <v>2.470324748</v>
      </c>
      <c r="O164" s="44">
        <f t="shared" si="85"/>
        <v>2.470324748</v>
      </c>
      <c r="P164" s="63">
        <f>'Parametros Recargas'!$M$108</f>
        <v>8</v>
      </c>
      <c r="Q164" s="36">
        <f>MAX(Q109,ROUNDUP(O164/(P164*'Parametros Recargas'!D$8*'Parametros Recargas'!$B$19),0))</f>
        <v>1</v>
      </c>
      <c r="R164" s="46">
        <f>IF(AND('Parametros Recargas'!D$8=2,O164/(P164*Q164*'Parametros Recargas'!$B$19)&gt;1),2,1)</f>
        <v>1</v>
      </c>
      <c r="S164" s="34">
        <f t="shared" si="86"/>
        <v>0.3087905934</v>
      </c>
      <c r="T164" s="161">
        <f>'Parametros Recargas'!D77</f>
        <v>0.15</v>
      </c>
      <c r="U164" s="161">
        <f>'Parametros Recargas'!E77</f>
        <v>0.15</v>
      </c>
      <c r="V164" s="161">
        <f>'Parametros Recargas'!F77</f>
        <v>0.15</v>
      </c>
      <c r="W164" s="161">
        <f>'Parametros Recargas'!G77</f>
        <v>0.15</v>
      </c>
      <c r="X164" s="161">
        <f>'Parametros Recargas'!H77</f>
        <v>0.15</v>
      </c>
      <c r="Y164" s="161">
        <f>'Parametros Recargas'!I77</f>
        <v>0.15</v>
      </c>
      <c r="Z164" s="162">
        <f>'Parametros Recargas'!$U$108/P164</f>
        <v>0.125</v>
      </c>
    </row>
    <row r="165" ht="15.75" customHeight="1">
      <c r="A165" s="73" t="s">
        <v>574</v>
      </c>
      <c r="B165" s="118" t="s">
        <v>458</v>
      </c>
      <c r="C165" s="63">
        <f t="shared" ref="C165:N165" si="109">($T165*C$134+$U165*C$135+$V165*C$136+$W165*C$137+$X165*C$138+$Y165*C$139)/$B$2</f>
        <v>13.76609881</v>
      </c>
      <c r="D165" s="63">
        <f t="shared" si="109"/>
        <v>11.4217323</v>
      </c>
      <c r="E165" s="63">
        <f t="shared" si="109"/>
        <v>11.79568206</v>
      </c>
      <c r="F165" s="63">
        <f t="shared" si="109"/>
        <v>11.45299275</v>
      </c>
      <c r="G165" s="63">
        <f t="shared" si="109"/>
        <v>11.07904299</v>
      </c>
      <c r="H165" s="63">
        <f t="shared" si="109"/>
        <v>10.70509324</v>
      </c>
      <c r="I165" s="63">
        <f t="shared" si="109"/>
        <v>11.48425319</v>
      </c>
      <c r="J165" s="63">
        <f t="shared" si="109"/>
        <v>11.76442162</v>
      </c>
      <c r="K165" s="63">
        <f t="shared" si="109"/>
        <v>11.76442162</v>
      </c>
      <c r="L165" s="63">
        <f t="shared" si="109"/>
        <v>11.4217323</v>
      </c>
      <c r="M165" s="63">
        <f t="shared" si="109"/>
        <v>11.39047186</v>
      </c>
      <c r="N165" s="63">
        <f t="shared" si="109"/>
        <v>16.46883165</v>
      </c>
      <c r="O165" s="44">
        <f t="shared" si="85"/>
        <v>16.46883165</v>
      </c>
      <c r="P165" s="63">
        <f>'Parametros Recargas'!$M$109</f>
        <v>52.36363636</v>
      </c>
      <c r="Q165" s="36">
        <f>MAX(Q110,ROUNDUP(O165/(P165*'Parametros Recargas'!D$8*'Parametros Recargas'!$B$19),0))</f>
        <v>1</v>
      </c>
      <c r="R165" s="46">
        <f>IF(AND('Parametros Recargas'!D$8=2,O165/(P165*Q165*'Parametros Recargas'!$B$19)&gt;1),2,1)</f>
        <v>1</v>
      </c>
      <c r="S165" s="34">
        <f t="shared" si="86"/>
        <v>0.3145089378</v>
      </c>
      <c r="T165" s="161">
        <f>'Parametros Recargas'!D78</f>
        <v>1</v>
      </c>
      <c r="U165" s="161">
        <f>'Parametros Recargas'!E78</f>
        <v>1</v>
      </c>
      <c r="V165" s="161">
        <f>'Parametros Recargas'!F78</f>
        <v>1</v>
      </c>
      <c r="W165" s="161">
        <f>'Parametros Recargas'!G78</f>
        <v>1</v>
      </c>
      <c r="X165" s="161">
        <f>'Parametros Recargas'!H78</f>
        <v>1</v>
      </c>
      <c r="Y165" s="161">
        <f>'Parametros Recargas'!I78</f>
        <v>1</v>
      </c>
      <c r="Z165" s="162">
        <f>'Parametros Recargas'!$U$109/P165</f>
        <v>0.01909722222</v>
      </c>
    </row>
    <row r="166" ht="15.75" customHeight="1">
      <c r="A166" s="73" t="s">
        <v>583</v>
      </c>
      <c r="B166" s="118" t="s">
        <v>458</v>
      </c>
      <c r="C166" s="63">
        <f t="shared" ref="C166:N166" si="110">($T166*C$134+$U166*C$135+$V166*C$136+$W166*C$137+$X166*C$138+$Y166*C$139)/$B$2</f>
        <v>13.76609881</v>
      </c>
      <c r="D166" s="63">
        <f t="shared" si="110"/>
        <v>11.4217323</v>
      </c>
      <c r="E166" s="63">
        <f t="shared" si="110"/>
        <v>11.79568206</v>
      </c>
      <c r="F166" s="63">
        <f t="shared" si="110"/>
        <v>11.45299275</v>
      </c>
      <c r="G166" s="63">
        <f t="shared" si="110"/>
        <v>11.07904299</v>
      </c>
      <c r="H166" s="63">
        <f t="shared" si="110"/>
        <v>10.70509324</v>
      </c>
      <c r="I166" s="63">
        <f t="shared" si="110"/>
        <v>11.48425319</v>
      </c>
      <c r="J166" s="63">
        <f t="shared" si="110"/>
        <v>11.76442162</v>
      </c>
      <c r="K166" s="63">
        <f t="shared" si="110"/>
        <v>11.76442162</v>
      </c>
      <c r="L166" s="63">
        <f t="shared" si="110"/>
        <v>11.4217323</v>
      </c>
      <c r="M166" s="63">
        <f t="shared" si="110"/>
        <v>11.39047186</v>
      </c>
      <c r="N166" s="63">
        <f t="shared" si="110"/>
        <v>16.46883165</v>
      </c>
      <c r="O166" s="44">
        <f t="shared" si="85"/>
        <v>16.46883165</v>
      </c>
      <c r="P166" s="63">
        <f>'Parametros Recargas'!$M$110</f>
        <v>57.6</v>
      </c>
      <c r="Q166" s="36">
        <f>MAX(Q111,ROUNDUP(O166/(P166*'Parametros Recargas'!D$8*'Parametros Recargas'!$B$19),0))</f>
        <v>1</v>
      </c>
      <c r="R166" s="46">
        <f>IF(AND('Parametros Recargas'!D$8=2,O166/(P166*Q166*'Parametros Recargas'!$B$19)&gt;1),2,1)</f>
        <v>1</v>
      </c>
      <c r="S166" s="34">
        <f t="shared" si="86"/>
        <v>0.2859172161</v>
      </c>
      <c r="T166" s="161">
        <f>'Parametros Recargas'!D79</f>
        <v>1</v>
      </c>
      <c r="U166" s="161">
        <f>'Parametros Recargas'!E79</f>
        <v>1</v>
      </c>
      <c r="V166" s="161">
        <f>'Parametros Recargas'!F79</f>
        <v>1</v>
      </c>
      <c r="W166" s="161">
        <f>'Parametros Recargas'!G79</f>
        <v>1</v>
      </c>
      <c r="X166" s="161">
        <f>'Parametros Recargas'!H79</f>
        <v>1</v>
      </c>
      <c r="Y166" s="161">
        <f>'Parametros Recargas'!I79</f>
        <v>1</v>
      </c>
      <c r="Z166" s="162">
        <f>'Parametros Recargas'!$U$110/P166</f>
        <v>0.01736111111</v>
      </c>
    </row>
    <row r="167" ht="15.75" customHeight="1">
      <c r="A167" s="73" t="s">
        <v>590</v>
      </c>
      <c r="B167" s="118" t="s">
        <v>591</v>
      </c>
      <c r="C167" s="175">
        <f t="shared" ref="C167:N167" si="111">SUMPRODUCT(C141:C166,$Z141:$Z166)*$B$2</f>
        <v>473.1857989</v>
      </c>
      <c r="D167" s="175">
        <f t="shared" si="111"/>
        <v>392.4609061</v>
      </c>
      <c r="E167" s="175">
        <f t="shared" si="111"/>
        <v>405.3065204</v>
      </c>
      <c r="F167" s="175">
        <f t="shared" si="111"/>
        <v>393.6156631</v>
      </c>
      <c r="G167" s="175">
        <f t="shared" si="111"/>
        <v>380.7700489</v>
      </c>
      <c r="H167" s="175">
        <f t="shared" si="111"/>
        <v>367.9244346</v>
      </c>
      <c r="I167" s="175">
        <f t="shared" si="111"/>
        <v>394.7704202</v>
      </c>
      <c r="J167" s="175">
        <f t="shared" si="111"/>
        <v>404.1517634</v>
      </c>
      <c r="K167" s="175">
        <f t="shared" si="111"/>
        <v>404.1517634</v>
      </c>
      <c r="L167" s="175">
        <f t="shared" si="111"/>
        <v>392.4609061</v>
      </c>
      <c r="M167" s="175">
        <f t="shared" si="111"/>
        <v>391.3061491</v>
      </c>
      <c r="N167" s="175">
        <f t="shared" si="111"/>
        <v>565.5707595</v>
      </c>
      <c r="O167" s="175">
        <f t="shared" si="85"/>
        <v>565.5707595</v>
      </c>
    </row>
    <row r="168" ht="15.75" customHeight="1"/>
    <row r="169" ht="15.75" customHeight="1">
      <c r="A169" s="45" t="s">
        <v>697</v>
      </c>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137"/>
    </row>
    <row r="170" ht="15.75" customHeight="1">
      <c r="A170" s="29" t="s">
        <v>376</v>
      </c>
      <c r="B170" s="29" t="s">
        <v>377</v>
      </c>
      <c r="C170" s="29" t="s">
        <v>109</v>
      </c>
      <c r="D170" s="29" t="s">
        <v>110</v>
      </c>
      <c r="E170" s="29" t="s">
        <v>111</v>
      </c>
      <c r="F170" s="29" t="s">
        <v>112</v>
      </c>
      <c r="G170" s="29" t="s">
        <v>113</v>
      </c>
      <c r="H170" s="29" t="s">
        <v>114</v>
      </c>
      <c r="I170" s="29" t="s">
        <v>115</v>
      </c>
      <c r="J170" s="29" t="s">
        <v>116</v>
      </c>
      <c r="K170" s="29" t="s">
        <v>117</v>
      </c>
      <c r="L170" s="29" t="s">
        <v>118</v>
      </c>
      <c r="M170" s="29" t="s">
        <v>119</v>
      </c>
      <c r="N170" s="29" t="s">
        <v>120</v>
      </c>
      <c r="O170" s="29" t="s">
        <v>15</v>
      </c>
    </row>
    <row r="171" ht="15.75" customHeight="1">
      <c r="A171" s="30" t="str">
        <f>datos_base!$A$55</f>
        <v>ABC 1 kg</v>
      </c>
      <c r="B171" s="139" t="s">
        <v>379</v>
      </c>
      <c r="C171" s="64">
        <f>datos_base!$E$55*'Parametros Recargas'!D$33*'Parametros Recargas'!$Q$33</f>
        <v>1919.04189</v>
      </c>
      <c r="D171" s="64">
        <f>datos_base!$E$55*'Parametros Recargas'!E$33*'Parametros Recargas'!$Q$33</f>
        <v>1496.852675</v>
      </c>
      <c r="E171" s="64">
        <f>datos_base!$E$55*'Parametros Recargas'!F$33*'Parametros Recargas'!$Q$33</f>
        <v>1496.852675</v>
      </c>
      <c r="F171" s="64">
        <f>datos_base!$E$55*'Parametros Recargas'!G$33*'Parametros Recargas'!$Q$33</f>
        <v>1496.852675</v>
      </c>
      <c r="G171" s="64">
        <f>datos_base!$E$55*'Parametros Recargas'!H$33*'Parametros Recargas'!$Q$33</f>
        <v>1496.852675</v>
      </c>
      <c r="H171" s="64">
        <f>datos_base!$E$55*'Parametros Recargas'!I$33*'Parametros Recargas'!$Q$33</f>
        <v>1496.852675</v>
      </c>
      <c r="I171" s="64">
        <f>datos_base!$E$55*'Parametros Recargas'!J$33*'Parametros Recargas'!$Q$33</f>
        <v>1496.852675</v>
      </c>
      <c r="J171" s="64">
        <f>datos_base!$E$55*'Parametros Recargas'!K$33*'Parametros Recargas'!$Q$33</f>
        <v>1496.852675</v>
      </c>
      <c r="K171" s="64">
        <f>datos_base!$E$55*'Parametros Recargas'!L$33*'Parametros Recargas'!$Q$33</f>
        <v>1496.852675</v>
      </c>
      <c r="L171" s="64">
        <f>datos_base!$E$55*'Parametros Recargas'!M$33*'Parametros Recargas'!$Q$33</f>
        <v>1496.852675</v>
      </c>
      <c r="M171" s="64">
        <f>datos_base!$E$55*'Parametros Recargas'!N$33*'Parametros Recargas'!$Q$33</f>
        <v>1496.852675</v>
      </c>
      <c r="N171" s="64">
        <f>datos_base!$E$55*'Parametros Recargas'!O$33*'Parametros Recargas'!$Q$33</f>
        <v>2302.850269</v>
      </c>
      <c r="O171" s="84">
        <f t="shared" ref="O171:O187" si="112">SUM(C171:N171)</f>
        <v>19190.4189</v>
      </c>
    </row>
    <row r="172" ht="15.75" customHeight="1">
      <c r="A172" s="30" t="str">
        <f>datos_base!$A$56</f>
        <v>ABC 2,5 kg</v>
      </c>
      <c r="B172" s="139" t="s">
        <v>379</v>
      </c>
      <c r="C172" s="64">
        <f>datos_base!$E$56*'Parametros Recargas'!D$34*'Parametros Recargas'!$Q$34</f>
        <v>167.2039889</v>
      </c>
      <c r="D172" s="64">
        <f>datos_base!$E$56*'Parametros Recargas'!E$34*'Parametros Recargas'!$Q$34</f>
        <v>148.6257679</v>
      </c>
      <c r="E172" s="64">
        <f>datos_base!$E$56*'Parametros Recargas'!F$34*'Parametros Recargas'!$Q$34</f>
        <v>157.9148784</v>
      </c>
      <c r="F172" s="64">
        <f>datos_base!$E$56*'Parametros Recargas'!G$34*'Parametros Recargas'!$Q$34</f>
        <v>148.6257679</v>
      </c>
      <c r="G172" s="64">
        <f>datos_base!$E$56*'Parametros Recargas'!H$34*'Parametros Recargas'!$Q$34</f>
        <v>139.3366574</v>
      </c>
      <c r="H172" s="64">
        <f>datos_base!$E$56*'Parametros Recargas'!I$34*'Parametros Recargas'!$Q$34</f>
        <v>130.0475469</v>
      </c>
      <c r="I172" s="64">
        <f>datos_base!$E$56*'Parametros Recargas'!J$34*'Parametros Recargas'!$Q$34</f>
        <v>148.6257679</v>
      </c>
      <c r="J172" s="64">
        <f>datos_base!$E$56*'Parametros Recargas'!K$34*'Parametros Recargas'!$Q$34</f>
        <v>157.9148784</v>
      </c>
      <c r="K172" s="64">
        <f>datos_base!$E$56*'Parametros Recargas'!L$34*'Parametros Recargas'!$Q$34</f>
        <v>157.9148784</v>
      </c>
      <c r="L172" s="64">
        <f>datos_base!$E$56*'Parametros Recargas'!M$34*'Parametros Recargas'!$Q$34</f>
        <v>148.6257679</v>
      </c>
      <c r="M172" s="64">
        <f>datos_base!$E$56*'Parametros Recargas'!N$34*'Parametros Recargas'!$Q$34</f>
        <v>148.6257679</v>
      </c>
      <c r="N172" s="64">
        <f>datos_base!$E$56*'Parametros Recargas'!O$34*'Parametros Recargas'!$Q$34</f>
        <v>204.3604308</v>
      </c>
      <c r="O172" s="84">
        <f t="shared" si="112"/>
        <v>1857.822098</v>
      </c>
    </row>
    <row r="173" ht="15.75" customHeight="1">
      <c r="A173" s="30" t="str">
        <f>datos_base!$A$57</f>
        <v>ABC 5 kg</v>
      </c>
      <c r="B173" s="139" t="s">
        <v>379</v>
      </c>
      <c r="C173" s="64">
        <f>datos_base!$E$57*'Parametros Recargas'!D$35*'Parametros Recargas'!$Q$35</f>
        <v>1035.580031</v>
      </c>
      <c r="D173" s="64">
        <f>datos_base!$E$57*'Parametros Recargas'!E$35*'Parametros Recargas'!$Q$35</f>
        <v>920.5155834</v>
      </c>
      <c r="E173" s="64">
        <f>datos_base!$E$57*'Parametros Recargas'!F$35*'Parametros Recargas'!$Q$35</f>
        <v>978.0478073</v>
      </c>
      <c r="F173" s="64">
        <f>datos_base!$E$57*'Parametros Recargas'!G$35*'Parametros Recargas'!$Q$35</f>
        <v>920.5155834</v>
      </c>
      <c r="G173" s="64">
        <f>datos_base!$E$57*'Parametros Recargas'!H$35*'Parametros Recargas'!$Q$35</f>
        <v>862.9833594</v>
      </c>
      <c r="H173" s="64">
        <f>datos_base!$E$57*'Parametros Recargas'!I$35*'Parametros Recargas'!$Q$35</f>
        <v>805.4511354</v>
      </c>
      <c r="I173" s="64">
        <f>datos_base!$E$57*'Parametros Recargas'!J$35*'Parametros Recargas'!$Q$35</f>
        <v>920.5155834</v>
      </c>
      <c r="J173" s="64">
        <f>datos_base!$E$57*'Parametros Recargas'!K$35*'Parametros Recargas'!$Q$35</f>
        <v>978.0478073</v>
      </c>
      <c r="K173" s="64">
        <f>datos_base!$E$57*'Parametros Recargas'!L$35*'Parametros Recargas'!$Q$35</f>
        <v>978.0478073</v>
      </c>
      <c r="L173" s="64">
        <f>datos_base!$E$57*'Parametros Recargas'!M$35*'Parametros Recargas'!$Q$35</f>
        <v>920.5155834</v>
      </c>
      <c r="M173" s="64">
        <f>datos_base!$E$57*'Parametros Recargas'!N$35*'Parametros Recargas'!$Q$35</f>
        <v>920.5155834</v>
      </c>
      <c r="N173" s="64">
        <f>datos_base!$E$57*'Parametros Recargas'!O$35*'Parametros Recargas'!$Q$35</f>
        <v>1265.708927</v>
      </c>
      <c r="O173" s="84">
        <f t="shared" si="112"/>
        <v>11506.44479</v>
      </c>
    </row>
    <row r="174" ht="15.75" customHeight="1">
      <c r="A174" s="30" t="str">
        <f>datos_base!$A$58</f>
        <v>ABC 10 kg</v>
      </c>
      <c r="B174" s="139" t="s">
        <v>379</v>
      </c>
      <c r="C174" s="64">
        <f>datos_base!$E$58*'Parametros Recargas'!D$36*'Parametros Recargas'!$Q$36</f>
        <v>60.42886512</v>
      </c>
      <c r="D174" s="64">
        <f>datos_base!$E$58*'Parametros Recargas'!E$36*'Parametros Recargas'!$Q$36</f>
        <v>53.71454678</v>
      </c>
      <c r="E174" s="64">
        <f>datos_base!$E$58*'Parametros Recargas'!F$36*'Parametros Recargas'!$Q$36</f>
        <v>57.07170595</v>
      </c>
      <c r="F174" s="64">
        <f>datos_base!$E$58*'Parametros Recargas'!G$36*'Parametros Recargas'!$Q$36</f>
        <v>53.71454678</v>
      </c>
      <c r="G174" s="64">
        <f>datos_base!$E$58*'Parametros Recargas'!H$36*'Parametros Recargas'!$Q$36</f>
        <v>50.3573876</v>
      </c>
      <c r="H174" s="64">
        <f>datos_base!$E$58*'Parametros Recargas'!I$36*'Parametros Recargas'!$Q$36</f>
        <v>47.00022843</v>
      </c>
      <c r="I174" s="64">
        <f>datos_base!$E$58*'Parametros Recargas'!J$36*'Parametros Recargas'!$Q$36</f>
        <v>53.71454678</v>
      </c>
      <c r="J174" s="64">
        <f>datos_base!$E$58*'Parametros Recargas'!K$36*'Parametros Recargas'!$Q$36</f>
        <v>57.07170595</v>
      </c>
      <c r="K174" s="64">
        <f>datos_base!$E$58*'Parametros Recargas'!L$36*'Parametros Recargas'!$Q$36</f>
        <v>57.07170595</v>
      </c>
      <c r="L174" s="64">
        <f>datos_base!$E$58*'Parametros Recargas'!M$36*'Parametros Recargas'!$Q$36</f>
        <v>53.71454678</v>
      </c>
      <c r="M174" s="64">
        <f>datos_base!$E$58*'Parametros Recargas'!N$36*'Parametros Recargas'!$Q$36</f>
        <v>53.71454678</v>
      </c>
      <c r="N174" s="64">
        <f>datos_base!$E$58*'Parametros Recargas'!O$36*'Parametros Recargas'!$Q$36</f>
        <v>73.85750182</v>
      </c>
      <c r="O174" s="84">
        <f t="shared" si="112"/>
        <v>671.4318347</v>
      </c>
    </row>
    <row r="175" ht="15.75" customHeight="1">
      <c r="A175" s="30" t="str">
        <f>datos_base!$A$69</f>
        <v>ABC 25 kg s/ruedas</v>
      </c>
      <c r="B175" s="139" t="s">
        <v>379</v>
      </c>
      <c r="C175" s="64">
        <f>datos_base!$E$69*'Parametros Recargas'!D$37*'Parametros Recargas'!$Q$37</f>
        <v>34.61588908</v>
      </c>
      <c r="D175" s="64">
        <f>datos_base!$E$69*'Parametros Recargas'!E$37*'Parametros Recargas'!$Q$37</f>
        <v>27.69271127</v>
      </c>
      <c r="E175" s="64">
        <f>datos_base!$E$69*'Parametros Recargas'!F$37*'Parametros Recargas'!$Q$37</f>
        <v>29.42350572</v>
      </c>
      <c r="F175" s="64">
        <f>datos_base!$E$69*'Parametros Recargas'!G$37*'Parametros Recargas'!$Q$37</f>
        <v>29.42350572</v>
      </c>
      <c r="G175" s="64">
        <f>datos_base!$E$69*'Parametros Recargas'!H$37*'Parametros Recargas'!$Q$37</f>
        <v>27.69271127</v>
      </c>
      <c r="H175" s="64">
        <f>datos_base!$E$69*'Parametros Recargas'!I$37*'Parametros Recargas'!$Q$37</f>
        <v>25.96191681</v>
      </c>
      <c r="I175" s="64">
        <f>datos_base!$E$69*'Parametros Recargas'!J$37*'Parametros Recargas'!$Q$37</f>
        <v>31.15430017</v>
      </c>
      <c r="J175" s="64">
        <f>datos_base!$E$69*'Parametros Recargas'!K$37*'Parametros Recargas'!$Q$37</f>
        <v>27.69271127</v>
      </c>
      <c r="K175" s="64">
        <f>datos_base!$E$69*'Parametros Recargas'!L$37*'Parametros Recargas'!$Q$37</f>
        <v>27.69271127</v>
      </c>
      <c r="L175" s="64">
        <f>datos_base!$E$69*'Parametros Recargas'!M$37*'Parametros Recargas'!$Q$37</f>
        <v>27.69271127</v>
      </c>
      <c r="M175" s="64">
        <f>datos_base!$E$69*'Parametros Recargas'!N$37*'Parametros Recargas'!$Q$37</f>
        <v>25.96191681</v>
      </c>
      <c r="N175" s="64">
        <f>datos_base!$E$69*'Parametros Recargas'!O$37*'Parametros Recargas'!$Q$37</f>
        <v>31.15430017</v>
      </c>
      <c r="O175" s="84">
        <f t="shared" si="112"/>
        <v>346.1588908</v>
      </c>
    </row>
    <row r="176" ht="15.75" customHeight="1">
      <c r="A176" s="30" t="str">
        <f>datos_base!$A$70</f>
        <v>ABC 50 kg s/ruedas</v>
      </c>
      <c r="B176" s="139" t="s">
        <v>379</v>
      </c>
      <c r="C176" s="64">
        <f>datos_base!$E$70*'Parametros Recargas'!D$38*'Parametros Recargas'!$Q$38</f>
        <v>76.0111511</v>
      </c>
      <c r="D176" s="64">
        <f>datos_base!$E$70*'Parametros Recargas'!E$38*'Parametros Recargas'!$Q$38</f>
        <v>60.80892088</v>
      </c>
      <c r="E176" s="64">
        <f>datos_base!$E$70*'Parametros Recargas'!F$38*'Parametros Recargas'!$Q$38</f>
        <v>64.60947843</v>
      </c>
      <c r="F176" s="64">
        <f>datos_base!$E$70*'Parametros Recargas'!G$38*'Parametros Recargas'!$Q$38</f>
        <v>64.60947843</v>
      </c>
      <c r="G176" s="64">
        <f>datos_base!$E$70*'Parametros Recargas'!H$38*'Parametros Recargas'!$Q$38</f>
        <v>60.80892088</v>
      </c>
      <c r="H176" s="64">
        <f>datos_base!$E$70*'Parametros Recargas'!I$38*'Parametros Recargas'!$Q$38</f>
        <v>57.00836332</v>
      </c>
      <c r="I176" s="64">
        <f>datos_base!$E$70*'Parametros Recargas'!J$38*'Parametros Recargas'!$Q$38</f>
        <v>68.41003599</v>
      </c>
      <c r="J176" s="64">
        <f>datos_base!$E$70*'Parametros Recargas'!K$38*'Parametros Recargas'!$Q$38</f>
        <v>60.80892088</v>
      </c>
      <c r="K176" s="64">
        <f>datos_base!$E$70*'Parametros Recargas'!L$38*'Parametros Recargas'!$Q$38</f>
        <v>60.80892088</v>
      </c>
      <c r="L176" s="64">
        <f>datos_base!$E$70*'Parametros Recargas'!M$38*'Parametros Recargas'!$Q$38</f>
        <v>60.80892088</v>
      </c>
      <c r="M176" s="64">
        <f>datos_base!$E$70*'Parametros Recargas'!N$38*'Parametros Recargas'!$Q$38</f>
        <v>57.00836332</v>
      </c>
      <c r="N176" s="64">
        <f>datos_base!$E$70*'Parametros Recargas'!O$38*'Parametros Recargas'!$Q$38</f>
        <v>68.41003599</v>
      </c>
      <c r="O176" s="84">
        <f t="shared" si="112"/>
        <v>760.111511</v>
      </c>
    </row>
    <row r="177" ht="15.75" customHeight="1">
      <c r="A177" s="30" t="str">
        <f>datos_base!$A$71</f>
        <v>ABC 70 kg s/ruedas</v>
      </c>
      <c r="B177" s="139" t="s">
        <v>379</v>
      </c>
      <c r="C177" s="64">
        <f>datos_base!$E$71*'Parametros Recargas'!D$39*'Parametros Recargas'!$Q$39</f>
        <v>16.53756125</v>
      </c>
      <c r="D177" s="64">
        <f>datos_base!$E$71*'Parametros Recargas'!E$39*'Parametros Recargas'!$Q$39</f>
        <v>13.230049</v>
      </c>
      <c r="E177" s="64">
        <f>datos_base!$E$71*'Parametros Recargas'!F$39*'Parametros Recargas'!$Q$39</f>
        <v>14.05692706</v>
      </c>
      <c r="F177" s="64">
        <f>datos_base!$E$71*'Parametros Recargas'!G$39*'Parametros Recargas'!$Q$39</f>
        <v>14.05692706</v>
      </c>
      <c r="G177" s="64">
        <f>datos_base!$E$71*'Parametros Recargas'!H$39*'Parametros Recargas'!$Q$39</f>
        <v>13.230049</v>
      </c>
      <c r="H177" s="64">
        <f>datos_base!$E$71*'Parametros Recargas'!I$39*'Parametros Recargas'!$Q$39</f>
        <v>12.40317094</v>
      </c>
      <c r="I177" s="64">
        <f>datos_base!$E$71*'Parametros Recargas'!J$39*'Parametros Recargas'!$Q$39</f>
        <v>14.88380513</v>
      </c>
      <c r="J177" s="64">
        <f>datos_base!$E$71*'Parametros Recargas'!K$39*'Parametros Recargas'!$Q$39</f>
        <v>13.230049</v>
      </c>
      <c r="K177" s="64">
        <f>datos_base!$E$71*'Parametros Recargas'!L$39*'Parametros Recargas'!$Q$39</f>
        <v>13.230049</v>
      </c>
      <c r="L177" s="64">
        <f>datos_base!$E$71*'Parametros Recargas'!M$39*'Parametros Recargas'!$Q$39</f>
        <v>13.230049</v>
      </c>
      <c r="M177" s="64">
        <f>datos_base!$E$71*'Parametros Recargas'!N$39*'Parametros Recargas'!$Q$39</f>
        <v>12.40317094</v>
      </c>
      <c r="N177" s="64">
        <f>datos_base!$E$71*'Parametros Recargas'!O$39*'Parametros Recargas'!$Q$39</f>
        <v>14.88380513</v>
      </c>
      <c r="O177" s="84">
        <f t="shared" si="112"/>
        <v>165.3756125</v>
      </c>
    </row>
    <row r="178" ht="15.75" customHeight="1">
      <c r="A178" s="30" t="str">
        <f>datos_base!$A$72</f>
        <v>ABC 100 kg s/ruedas</v>
      </c>
      <c r="B178" s="139" t="s">
        <v>379</v>
      </c>
      <c r="C178" s="64">
        <f>datos_base!$E$72*'Parametros Recargas'!D$40*'Parametros Recargas'!$Q$40</f>
        <v>11.09351935</v>
      </c>
      <c r="D178" s="64">
        <f>datos_base!$E$72*'Parametros Recargas'!E$40*'Parametros Recargas'!$Q$40</f>
        <v>8.87481548</v>
      </c>
      <c r="E178" s="64">
        <f>datos_base!$E$72*'Parametros Recargas'!F$40*'Parametros Recargas'!$Q$40</f>
        <v>9.429491447</v>
      </c>
      <c r="F178" s="64">
        <f>datos_base!$E$72*'Parametros Recargas'!G$40*'Parametros Recargas'!$Q$40</f>
        <v>9.429491447</v>
      </c>
      <c r="G178" s="64">
        <f>datos_base!$E$72*'Parametros Recargas'!H$40*'Parametros Recargas'!$Q$40</f>
        <v>8.87481548</v>
      </c>
      <c r="H178" s="64">
        <f>datos_base!$E$72*'Parametros Recargas'!I$40*'Parametros Recargas'!$Q$40</f>
        <v>8.320139512</v>
      </c>
      <c r="I178" s="64">
        <f>datos_base!$E$72*'Parametros Recargas'!J$40*'Parametros Recargas'!$Q$40</f>
        <v>9.984167415</v>
      </c>
      <c r="J178" s="64">
        <f>datos_base!$E$72*'Parametros Recargas'!K$40*'Parametros Recargas'!$Q$40</f>
        <v>8.87481548</v>
      </c>
      <c r="K178" s="64">
        <f>datos_base!$E$72*'Parametros Recargas'!L$40*'Parametros Recargas'!$Q$40</f>
        <v>8.87481548</v>
      </c>
      <c r="L178" s="64">
        <f>datos_base!$E$72*'Parametros Recargas'!M$40*'Parametros Recargas'!$Q$40</f>
        <v>8.87481548</v>
      </c>
      <c r="M178" s="64">
        <f>datos_base!$E$72*'Parametros Recargas'!N$40*'Parametros Recargas'!$Q$40</f>
        <v>8.320139512</v>
      </c>
      <c r="N178" s="64">
        <f>datos_base!$E$72*'Parametros Recargas'!O$40*'Parametros Recargas'!$Q$40</f>
        <v>9.984167415</v>
      </c>
      <c r="O178" s="84">
        <f t="shared" si="112"/>
        <v>110.9351935</v>
      </c>
    </row>
    <row r="179" ht="15.75" customHeight="1">
      <c r="A179" s="30" t="str">
        <f>datos_base!$A$62</f>
        <v>BC 5 kg</v>
      </c>
      <c r="B179" s="139" t="s">
        <v>398</v>
      </c>
      <c r="C179" s="64">
        <f>datos_base!$E$62*'Parametros Recargas'!D$41*'Parametros Recargas'!$Q$41</f>
        <v>4.930453044</v>
      </c>
      <c r="D179" s="64">
        <f>datos_base!$E$62*'Parametros Recargas'!E$41*'Parametros Recargas'!$Q$41</f>
        <v>4.382624928</v>
      </c>
      <c r="E179" s="64">
        <f>datos_base!$E$62*'Parametros Recargas'!F$41*'Parametros Recargas'!$Q$41</f>
        <v>4.656538986</v>
      </c>
      <c r="F179" s="64">
        <f>datos_base!$E$62*'Parametros Recargas'!G$41*'Parametros Recargas'!$Q$41</f>
        <v>4.382624928</v>
      </c>
      <c r="G179" s="64">
        <f>datos_base!$E$62*'Parametros Recargas'!H$41*'Parametros Recargas'!$Q$41</f>
        <v>4.10871087</v>
      </c>
      <c r="H179" s="64">
        <f>datos_base!$E$62*'Parametros Recargas'!I$41*'Parametros Recargas'!$Q$41</f>
        <v>3.834796812</v>
      </c>
      <c r="I179" s="64">
        <f>datos_base!$E$62*'Parametros Recargas'!J$41*'Parametros Recargas'!$Q$41</f>
        <v>4.382624928</v>
      </c>
      <c r="J179" s="64">
        <f>datos_base!$E$62*'Parametros Recargas'!K$41*'Parametros Recargas'!$Q$41</f>
        <v>4.656538986</v>
      </c>
      <c r="K179" s="64">
        <f>datos_base!$E$62*'Parametros Recargas'!L$41*'Parametros Recargas'!$Q$41</f>
        <v>4.656538986</v>
      </c>
      <c r="L179" s="64">
        <f>datos_base!$E$62*'Parametros Recargas'!M$41*'Parametros Recargas'!$Q$41</f>
        <v>4.382624928</v>
      </c>
      <c r="M179" s="64">
        <f>datos_base!$E$62*'Parametros Recargas'!N$41*'Parametros Recargas'!$Q$41</f>
        <v>4.382624928</v>
      </c>
      <c r="N179" s="64">
        <f>datos_base!$E$62*'Parametros Recargas'!O$41*'Parametros Recargas'!$Q$41</f>
        <v>6.026109276</v>
      </c>
      <c r="O179" s="84">
        <f t="shared" si="112"/>
        <v>54.7828116</v>
      </c>
    </row>
    <row r="180" ht="15.75" customHeight="1">
      <c r="A180" s="30" t="str">
        <f>datos_base!$A$68</f>
        <v>Clase D 9 l</v>
      </c>
      <c r="B180" s="139" t="s">
        <v>402</v>
      </c>
      <c r="C180" s="64">
        <f>datos_base!$E$68*'Parametros Recargas'!D$42*'Parametros Recargas'!$Q$42</f>
        <v>4.591484397</v>
      </c>
      <c r="D180" s="64">
        <f>datos_base!$E$68*'Parametros Recargas'!E$42*'Parametros Recargas'!$Q$42</f>
        <v>4.081319464</v>
      </c>
      <c r="E180" s="64">
        <f>datos_base!$E$68*'Parametros Recargas'!F$42*'Parametros Recargas'!$Q$42</f>
        <v>4.336401931</v>
      </c>
      <c r="F180" s="64">
        <f>datos_base!$E$68*'Parametros Recargas'!G$42*'Parametros Recargas'!$Q$42</f>
        <v>4.081319464</v>
      </c>
      <c r="G180" s="64">
        <f>datos_base!$E$68*'Parametros Recargas'!H$42*'Parametros Recargas'!$Q$42</f>
        <v>3.826236998</v>
      </c>
      <c r="H180" s="64">
        <f>datos_base!$E$68*'Parametros Recargas'!I$42*'Parametros Recargas'!$Q$42</f>
        <v>3.571154531</v>
      </c>
      <c r="I180" s="64">
        <f>datos_base!$E$68*'Parametros Recargas'!J$42*'Parametros Recargas'!$Q$42</f>
        <v>4.081319464</v>
      </c>
      <c r="J180" s="64">
        <f>datos_base!$E$68*'Parametros Recargas'!K$42*'Parametros Recargas'!$Q$42</f>
        <v>4.336401931</v>
      </c>
      <c r="K180" s="64">
        <f>datos_base!$E$68*'Parametros Recargas'!L$42*'Parametros Recargas'!$Q$42</f>
        <v>4.336401931</v>
      </c>
      <c r="L180" s="64">
        <f>datos_base!$E$68*'Parametros Recargas'!M$42*'Parametros Recargas'!$Q$42</f>
        <v>4.081319464</v>
      </c>
      <c r="M180" s="64">
        <f>datos_base!$E$68*'Parametros Recargas'!N$42*'Parametros Recargas'!$Q$42</f>
        <v>4.081319464</v>
      </c>
      <c r="N180" s="64">
        <f>datos_base!$E$68*'Parametros Recargas'!O$42*'Parametros Recargas'!$Q$42</f>
        <v>5.611814264</v>
      </c>
      <c r="O180" s="84">
        <f t="shared" si="112"/>
        <v>51.01649331</v>
      </c>
    </row>
    <row r="181" ht="15.75" customHeight="1">
      <c r="A181" s="30" t="str">
        <f>datos_base!$A$59</f>
        <v>Agua 10 l</v>
      </c>
      <c r="B181" s="139" t="s">
        <v>407</v>
      </c>
      <c r="C181" s="64">
        <f>datos_base!$E$59*'Parametros Recargas'!D$43*'Parametros Recargas'!$Q$43</f>
        <v>85.235207</v>
      </c>
      <c r="D181" s="64">
        <f>datos_base!$E$59*'Parametros Recargas'!E$43*'Parametros Recargas'!$Q$43</f>
        <v>75.76462845</v>
      </c>
      <c r="E181" s="64">
        <f>datos_base!$E$59*'Parametros Recargas'!F$43*'Parametros Recargas'!$Q$43</f>
        <v>80.49991772</v>
      </c>
      <c r="F181" s="64">
        <f>datos_base!$E$59*'Parametros Recargas'!G$43*'Parametros Recargas'!$Q$43</f>
        <v>75.76462845</v>
      </c>
      <c r="G181" s="64">
        <f>datos_base!$E$59*'Parametros Recargas'!H$43*'Parametros Recargas'!$Q$43</f>
        <v>71.02933917</v>
      </c>
      <c r="H181" s="64">
        <f>datos_base!$E$59*'Parametros Recargas'!I$43*'Parametros Recargas'!$Q$43</f>
        <v>66.29404989</v>
      </c>
      <c r="I181" s="64">
        <f>datos_base!$E$59*'Parametros Recargas'!J$43*'Parametros Recargas'!$Q$43</f>
        <v>75.76462845</v>
      </c>
      <c r="J181" s="64">
        <f>datos_base!$E$59*'Parametros Recargas'!K$43*'Parametros Recargas'!$Q$43</f>
        <v>80.49991772</v>
      </c>
      <c r="K181" s="64">
        <f>datos_base!$E$59*'Parametros Recargas'!L$43*'Parametros Recargas'!$Q$43</f>
        <v>80.49991772</v>
      </c>
      <c r="L181" s="64">
        <f>datos_base!$E$59*'Parametros Recargas'!M$43*'Parametros Recargas'!$Q$43</f>
        <v>75.76462845</v>
      </c>
      <c r="M181" s="64">
        <f>datos_base!$E$59*'Parametros Recargas'!N$43*'Parametros Recargas'!$Q$43</f>
        <v>75.76462845</v>
      </c>
      <c r="N181" s="64">
        <f>datos_base!$E$59*'Parametros Recargas'!O$43*'Parametros Recargas'!$Q$43</f>
        <v>104.1763641</v>
      </c>
      <c r="O181" s="84">
        <f t="shared" si="112"/>
        <v>947.0578556</v>
      </c>
    </row>
    <row r="182" ht="15.75" customHeight="1">
      <c r="A182" s="30" t="str">
        <f>datos_base!$A$60</f>
        <v>AFFF 10 l</v>
      </c>
      <c r="B182" s="139" t="s">
        <v>407</v>
      </c>
      <c r="C182" s="64">
        <f>datos_base!$E$60*'Parametros Recargas'!D$44*'Parametros Recargas'!$Q$44</f>
        <v>16.27049505</v>
      </c>
      <c r="D182" s="64">
        <f>datos_base!$E$60*'Parametros Recargas'!E$44*'Parametros Recargas'!$Q$44</f>
        <v>14.46266226</v>
      </c>
      <c r="E182" s="64">
        <f>datos_base!$E$60*'Parametros Recargas'!F$44*'Parametros Recargas'!$Q$44</f>
        <v>15.36657865</v>
      </c>
      <c r="F182" s="64">
        <f>datos_base!$E$60*'Parametros Recargas'!G$44*'Parametros Recargas'!$Q$44</f>
        <v>14.46266226</v>
      </c>
      <c r="G182" s="64">
        <f>datos_base!$E$60*'Parametros Recargas'!H$44*'Parametros Recargas'!$Q$44</f>
        <v>13.55874587</v>
      </c>
      <c r="H182" s="64">
        <f>datos_base!$E$60*'Parametros Recargas'!I$44*'Parametros Recargas'!$Q$44</f>
        <v>12.65482948</v>
      </c>
      <c r="I182" s="64">
        <f>datos_base!$E$60*'Parametros Recargas'!J$44*'Parametros Recargas'!$Q$44</f>
        <v>14.46266226</v>
      </c>
      <c r="J182" s="64">
        <f>datos_base!$E$60*'Parametros Recargas'!K$44*'Parametros Recargas'!$Q$44</f>
        <v>15.36657865</v>
      </c>
      <c r="K182" s="64">
        <f>datos_base!$E$60*'Parametros Recargas'!L$44*'Parametros Recargas'!$Q$44</f>
        <v>15.36657865</v>
      </c>
      <c r="L182" s="64">
        <f>datos_base!$E$60*'Parametros Recargas'!M$44*'Parametros Recargas'!$Q$44</f>
        <v>14.46266226</v>
      </c>
      <c r="M182" s="64">
        <f>datos_base!$E$60*'Parametros Recargas'!N$44*'Parametros Recargas'!$Q$44</f>
        <v>14.46266226</v>
      </c>
      <c r="N182" s="64">
        <f>datos_base!$E$60*'Parametros Recargas'!O$44*'Parametros Recargas'!$Q$44</f>
        <v>19.88616061</v>
      </c>
      <c r="O182" s="84">
        <f t="shared" si="112"/>
        <v>180.7832783</v>
      </c>
    </row>
    <row r="183" ht="15.75" customHeight="1">
      <c r="A183" s="30" t="str">
        <f>datos_base!$A$63</f>
        <v>Sales K 6 l</v>
      </c>
      <c r="B183" s="139" t="s">
        <v>407</v>
      </c>
      <c r="C183" s="64">
        <f>datos_base!$E$63*'Parametros Recargas'!D$45*'Parametros Recargas'!$Q$45</f>
        <v>41.87803554</v>
      </c>
      <c r="D183" s="64">
        <f>datos_base!$E$63*'Parametros Recargas'!E$45*'Parametros Recargas'!$Q$45</f>
        <v>37.22492048</v>
      </c>
      <c r="E183" s="64">
        <f>datos_base!$E$63*'Parametros Recargas'!F$45*'Parametros Recargas'!$Q$45</f>
        <v>39.55147801</v>
      </c>
      <c r="F183" s="64">
        <f>datos_base!$E$63*'Parametros Recargas'!G$45*'Parametros Recargas'!$Q$45</f>
        <v>37.22492048</v>
      </c>
      <c r="G183" s="64">
        <f>datos_base!$E$63*'Parametros Recargas'!H$45*'Parametros Recargas'!$Q$45</f>
        <v>34.89836295</v>
      </c>
      <c r="H183" s="64">
        <f>datos_base!$E$63*'Parametros Recargas'!I$45*'Parametros Recargas'!$Q$45</f>
        <v>32.57180542</v>
      </c>
      <c r="I183" s="64">
        <f>datos_base!$E$63*'Parametros Recargas'!J$45*'Parametros Recargas'!$Q$45</f>
        <v>37.22492048</v>
      </c>
      <c r="J183" s="64">
        <f>datos_base!$E$63*'Parametros Recargas'!K$45*'Parametros Recargas'!$Q$45</f>
        <v>39.55147801</v>
      </c>
      <c r="K183" s="64">
        <f>datos_base!$E$63*'Parametros Recargas'!L$45*'Parametros Recargas'!$Q$45</f>
        <v>39.55147801</v>
      </c>
      <c r="L183" s="64">
        <f>datos_base!$E$63*'Parametros Recargas'!M$45*'Parametros Recargas'!$Q$45</f>
        <v>37.22492048</v>
      </c>
      <c r="M183" s="64">
        <f>datos_base!$E$63*'Parametros Recargas'!N$45*'Parametros Recargas'!$Q$45</f>
        <v>37.22492048</v>
      </c>
      <c r="N183" s="64">
        <f>datos_base!$E$63*'Parametros Recargas'!O$45*'Parametros Recargas'!$Q$45</f>
        <v>51.18426567</v>
      </c>
      <c r="O183" s="84">
        <f t="shared" si="112"/>
        <v>465.3115061</v>
      </c>
    </row>
    <row r="184" ht="15.75" customHeight="1">
      <c r="A184" s="30" t="str">
        <f>datos_base!$A$61</f>
        <v>AFFF 50 l s/ruedas</v>
      </c>
      <c r="B184" s="139" t="s">
        <v>407</v>
      </c>
      <c r="C184" s="64">
        <f>datos_base!$E$61*'Parametros Recargas'!D$46*'Parametros Recargas'!$Q$46</f>
        <v>28.86369386</v>
      </c>
      <c r="D184" s="64">
        <f>datos_base!$E$61*'Parametros Recargas'!E$46*'Parametros Recargas'!$Q$46</f>
        <v>23.09095509</v>
      </c>
      <c r="E184" s="64">
        <f>datos_base!$E$61*'Parametros Recargas'!F$46*'Parametros Recargas'!$Q$46</f>
        <v>24.53413978</v>
      </c>
      <c r="F184" s="64">
        <f>datos_base!$E$61*'Parametros Recargas'!G$46*'Parametros Recargas'!$Q$46</f>
        <v>24.53413978</v>
      </c>
      <c r="G184" s="64">
        <f>datos_base!$E$61*'Parametros Recargas'!H$46*'Parametros Recargas'!$Q$46</f>
        <v>23.09095509</v>
      </c>
      <c r="H184" s="64">
        <f>datos_base!$E$61*'Parametros Recargas'!I$46*'Parametros Recargas'!$Q$46</f>
        <v>21.6477704</v>
      </c>
      <c r="I184" s="64">
        <f>datos_base!$E$61*'Parametros Recargas'!J$46*'Parametros Recargas'!$Q$46</f>
        <v>25.97732448</v>
      </c>
      <c r="J184" s="64">
        <f>datos_base!$E$61*'Parametros Recargas'!K$46*'Parametros Recargas'!$Q$46</f>
        <v>23.09095509</v>
      </c>
      <c r="K184" s="64">
        <f>datos_base!$E$61*'Parametros Recargas'!L$46*'Parametros Recargas'!$Q$46</f>
        <v>23.09095509</v>
      </c>
      <c r="L184" s="64">
        <f>datos_base!$E$61*'Parametros Recargas'!M$46*'Parametros Recargas'!$Q$46</f>
        <v>23.09095509</v>
      </c>
      <c r="M184" s="64">
        <f>datos_base!$E$61*'Parametros Recargas'!N$46*'Parametros Recargas'!$Q$46</f>
        <v>21.6477704</v>
      </c>
      <c r="N184" s="64">
        <f>datos_base!$E$61*'Parametros Recargas'!O$46*'Parametros Recargas'!$Q$46</f>
        <v>25.97732448</v>
      </c>
      <c r="O184" s="84">
        <f t="shared" si="112"/>
        <v>288.6369386</v>
      </c>
    </row>
    <row r="185" ht="15.75" customHeight="1">
      <c r="A185" s="30" t="str">
        <f>datos_base!$A$64</f>
        <v>CO₂ 2 kg</v>
      </c>
      <c r="B185" s="139" t="s">
        <v>418</v>
      </c>
      <c r="C185" s="64">
        <f>datos_base!$E$64*'Parametros Recargas'!D$47*'Parametros Recargas'!$Q$47</f>
        <v>232.9947217</v>
      </c>
      <c r="D185" s="64">
        <f>datos_base!$E$64*'Parametros Recargas'!E$47*'Parametros Recargas'!$Q$47</f>
        <v>207.1064193</v>
      </c>
      <c r="E185" s="64">
        <f>datos_base!$E$64*'Parametros Recargas'!F$47*'Parametros Recargas'!$Q$47</f>
        <v>220.0505705</v>
      </c>
      <c r="F185" s="64">
        <f>datos_base!$E$64*'Parametros Recargas'!G$47*'Parametros Recargas'!$Q$47</f>
        <v>207.1064193</v>
      </c>
      <c r="G185" s="64">
        <f>datos_base!$E$64*'Parametros Recargas'!H$47*'Parametros Recargas'!$Q$47</f>
        <v>194.1622681</v>
      </c>
      <c r="H185" s="64">
        <f>datos_base!$E$64*'Parametros Recargas'!I$47*'Parametros Recargas'!$Q$47</f>
        <v>181.2181169</v>
      </c>
      <c r="I185" s="64">
        <f>datos_base!$E$64*'Parametros Recargas'!J$47*'Parametros Recargas'!$Q$47</f>
        <v>207.1064193</v>
      </c>
      <c r="J185" s="64">
        <f>datos_base!$E$64*'Parametros Recargas'!K$47*'Parametros Recargas'!$Q$47</f>
        <v>220.0505705</v>
      </c>
      <c r="K185" s="64">
        <f>datos_base!$E$64*'Parametros Recargas'!L$47*'Parametros Recargas'!$Q$47</f>
        <v>220.0505705</v>
      </c>
      <c r="L185" s="64">
        <f>datos_base!$E$64*'Parametros Recargas'!M$47*'Parametros Recargas'!$Q$47</f>
        <v>207.1064193</v>
      </c>
      <c r="M185" s="64">
        <f>datos_base!$E$64*'Parametros Recargas'!N$47*'Parametros Recargas'!$Q$47</f>
        <v>207.1064193</v>
      </c>
      <c r="N185" s="64">
        <f>datos_base!$E$64*'Parametros Recargas'!O$47*'Parametros Recargas'!$Q$47</f>
        <v>284.7713265</v>
      </c>
      <c r="O185" s="84">
        <f t="shared" si="112"/>
        <v>2588.830241</v>
      </c>
    </row>
    <row r="186" ht="15.75" customHeight="1">
      <c r="A186" s="30" t="str">
        <f>datos_base!$A$65</f>
        <v>CO₂ 5 kg</v>
      </c>
      <c r="B186" s="139" t="s">
        <v>418</v>
      </c>
      <c r="C186" s="64">
        <f>datos_base!$E$65*'Parametros Recargas'!D$48*'Parametros Recargas'!$Q$48</f>
        <v>75.80571556</v>
      </c>
      <c r="D186" s="64">
        <f>datos_base!$E$65*'Parametros Recargas'!E$48*'Parametros Recargas'!$Q$48</f>
        <v>67.38285827</v>
      </c>
      <c r="E186" s="64">
        <f>datos_base!$E$65*'Parametros Recargas'!F$48*'Parametros Recargas'!$Q$48</f>
        <v>71.59428691</v>
      </c>
      <c r="F186" s="64">
        <f>datos_base!$E$65*'Parametros Recargas'!G$48*'Parametros Recargas'!$Q$48</f>
        <v>67.38285827</v>
      </c>
      <c r="G186" s="64">
        <f>datos_base!$E$65*'Parametros Recargas'!H$48*'Parametros Recargas'!$Q$48</f>
        <v>63.17142963</v>
      </c>
      <c r="H186" s="64">
        <f>datos_base!$E$65*'Parametros Recargas'!I$48*'Parametros Recargas'!$Q$48</f>
        <v>58.96000099</v>
      </c>
      <c r="I186" s="64">
        <f>datos_base!$E$65*'Parametros Recargas'!J$48*'Parametros Recargas'!$Q$48</f>
        <v>67.38285827</v>
      </c>
      <c r="J186" s="64">
        <f>datos_base!$E$65*'Parametros Recargas'!K$48*'Parametros Recargas'!$Q$48</f>
        <v>71.59428691</v>
      </c>
      <c r="K186" s="64">
        <f>datos_base!$E$65*'Parametros Recargas'!L$48*'Parametros Recargas'!$Q$48</f>
        <v>71.59428691</v>
      </c>
      <c r="L186" s="64">
        <f>datos_base!$E$65*'Parametros Recargas'!M$48*'Parametros Recargas'!$Q$48</f>
        <v>67.38285827</v>
      </c>
      <c r="M186" s="64">
        <f>datos_base!$E$65*'Parametros Recargas'!N$48*'Parametros Recargas'!$Q$48</f>
        <v>67.38285827</v>
      </c>
      <c r="N186" s="64">
        <f>datos_base!$E$65*'Parametros Recargas'!O$48*'Parametros Recargas'!$Q$48</f>
        <v>92.65143012</v>
      </c>
      <c r="O186" s="84">
        <f t="shared" si="112"/>
        <v>842.2857284</v>
      </c>
    </row>
    <row r="187" ht="15.75" customHeight="1">
      <c r="A187" s="30" t="str">
        <f>datos_base!$A$67</f>
        <v>HCFC/HFC 5 kg</v>
      </c>
      <c r="B187" s="139" t="s">
        <v>422</v>
      </c>
      <c r="C187" s="64">
        <f>datos_base!$E$67*'Parametros Recargas'!D$49*'Parametros Recargas'!$Q$49</f>
        <v>12.35694794</v>
      </c>
      <c r="D187" s="64">
        <f>datos_base!$E$67*'Parametros Recargas'!E$49*'Parametros Recargas'!$Q$49</f>
        <v>10.98395373</v>
      </c>
      <c r="E187" s="64">
        <f>datos_base!$E$67*'Parametros Recargas'!F$49*'Parametros Recargas'!$Q$49</f>
        <v>11.67045083</v>
      </c>
      <c r="F187" s="64">
        <f>datos_base!$E$67*'Parametros Recargas'!G$49*'Parametros Recargas'!$Q$49</f>
        <v>10.98395373</v>
      </c>
      <c r="G187" s="64">
        <f>datos_base!$E$67*'Parametros Recargas'!H$49*'Parametros Recargas'!$Q$49</f>
        <v>10.29745662</v>
      </c>
      <c r="H187" s="64">
        <f>datos_base!$E$67*'Parametros Recargas'!I$49*'Parametros Recargas'!$Q$49</f>
        <v>9.610959511</v>
      </c>
      <c r="I187" s="64">
        <f>datos_base!$E$67*'Parametros Recargas'!J$49*'Parametros Recargas'!$Q$49</f>
        <v>10.98395373</v>
      </c>
      <c r="J187" s="64">
        <f>datos_base!$E$67*'Parametros Recargas'!K$49*'Parametros Recargas'!$Q$49</f>
        <v>11.67045083</v>
      </c>
      <c r="K187" s="64">
        <f>datos_base!$E$67*'Parametros Recargas'!L$49*'Parametros Recargas'!$Q$49</f>
        <v>11.67045083</v>
      </c>
      <c r="L187" s="64">
        <f>datos_base!$E$67*'Parametros Recargas'!M$49*'Parametros Recargas'!$Q$49</f>
        <v>10.98395373</v>
      </c>
      <c r="M187" s="64">
        <f>datos_base!$E$67*'Parametros Recargas'!N$49*'Parametros Recargas'!$Q$49</f>
        <v>10.98395373</v>
      </c>
      <c r="N187" s="64">
        <f>datos_base!$E$67*'Parametros Recargas'!O$49*'Parametros Recargas'!$Q$49</f>
        <v>15.10293637</v>
      </c>
      <c r="O187" s="84">
        <f t="shared" si="112"/>
        <v>137.2994216</v>
      </c>
    </row>
    <row r="188" ht="15.75" customHeight="1">
      <c r="A188" s="29" t="s">
        <v>426</v>
      </c>
      <c r="B188" s="29"/>
      <c r="C188" s="29" t="s">
        <v>109</v>
      </c>
      <c r="D188" s="29" t="s">
        <v>110</v>
      </c>
      <c r="E188" s="29" t="s">
        <v>111</v>
      </c>
      <c r="F188" s="29" t="s">
        <v>112</v>
      </c>
      <c r="G188" s="29" t="s">
        <v>113</v>
      </c>
      <c r="H188" s="29" t="s">
        <v>114</v>
      </c>
      <c r="I188" s="29" t="s">
        <v>115</v>
      </c>
      <c r="J188" s="29" t="s">
        <v>116</v>
      </c>
      <c r="K188" s="29" t="s">
        <v>117</v>
      </c>
      <c r="L188" s="29" t="s">
        <v>118</v>
      </c>
      <c r="M188" s="29" t="s">
        <v>119</v>
      </c>
      <c r="N188" s="29" t="s">
        <v>120</v>
      </c>
      <c r="O188" s="29" t="s">
        <v>15</v>
      </c>
    </row>
    <row r="189" ht="15.75" customHeight="1">
      <c r="A189" s="73" t="s">
        <v>379</v>
      </c>
      <c r="B189" s="118" t="s">
        <v>431</v>
      </c>
      <c r="C189" s="64">
        <f t="shared" ref="C189:N189" si="113">SUM(C171:C178)</f>
        <v>3320.512896</v>
      </c>
      <c r="D189" s="64">
        <f t="shared" si="113"/>
        <v>2730.315069</v>
      </c>
      <c r="E189" s="64">
        <f t="shared" si="113"/>
        <v>2807.406469</v>
      </c>
      <c r="F189" s="64">
        <f t="shared" si="113"/>
        <v>2737.227975</v>
      </c>
      <c r="G189" s="64">
        <f t="shared" si="113"/>
        <v>2660.136576</v>
      </c>
      <c r="H189" s="64">
        <f t="shared" si="113"/>
        <v>2583.045176</v>
      </c>
      <c r="I189" s="64">
        <f t="shared" si="113"/>
        <v>2744.140881</v>
      </c>
      <c r="J189" s="64">
        <f t="shared" si="113"/>
        <v>2800.493563</v>
      </c>
      <c r="K189" s="64">
        <f t="shared" si="113"/>
        <v>2800.493563</v>
      </c>
      <c r="L189" s="64">
        <f t="shared" si="113"/>
        <v>2730.315069</v>
      </c>
      <c r="M189" s="64">
        <f t="shared" si="113"/>
        <v>2723.402163</v>
      </c>
      <c r="N189" s="64">
        <f t="shared" si="113"/>
        <v>3971.209437</v>
      </c>
      <c r="O189" s="84">
        <f t="shared" ref="O189:O194" si="115">SUM(C189:N189)</f>
        <v>34608.69884</v>
      </c>
    </row>
    <row r="190" ht="15.75" customHeight="1">
      <c r="A190" s="73" t="s">
        <v>398</v>
      </c>
      <c r="B190" s="118" t="s">
        <v>431</v>
      </c>
      <c r="C190" s="64">
        <f t="shared" ref="C190:N190" si="114">SUM(C179)</f>
        <v>4.930453044</v>
      </c>
      <c r="D190" s="64">
        <f t="shared" si="114"/>
        <v>4.382624928</v>
      </c>
      <c r="E190" s="64">
        <f t="shared" si="114"/>
        <v>4.656538986</v>
      </c>
      <c r="F190" s="64">
        <f t="shared" si="114"/>
        <v>4.382624928</v>
      </c>
      <c r="G190" s="64">
        <f t="shared" si="114"/>
        <v>4.10871087</v>
      </c>
      <c r="H190" s="64">
        <f t="shared" si="114"/>
        <v>3.834796812</v>
      </c>
      <c r="I190" s="64">
        <f t="shared" si="114"/>
        <v>4.382624928</v>
      </c>
      <c r="J190" s="64">
        <f t="shared" si="114"/>
        <v>4.656538986</v>
      </c>
      <c r="K190" s="64">
        <f t="shared" si="114"/>
        <v>4.656538986</v>
      </c>
      <c r="L190" s="64">
        <f t="shared" si="114"/>
        <v>4.382624928</v>
      </c>
      <c r="M190" s="64">
        <f t="shared" si="114"/>
        <v>4.382624928</v>
      </c>
      <c r="N190" s="64">
        <f t="shared" si="114"/>
        <v>6.026109276</v>
      </c>
      <c r="O190" s="84">
        <f t="shared" si="115"/>
        <v>54.7828116</v>
      </c>
    </row>
    <row r="191" ht="15.75" customHeight="1">
      <c r="A191" s="73" t="s">
        <v>402</v>
      </c>
      <c r="B191" s="118" t="s">
        <v>431</v>
      </c>
      <c r="C191" s="64">
        <f t="shared" ref="C191:N191" si="116">SUM(C180)</f>
        <v>4.591484397</v>
      </c>
      <c r="D191" s="64">
        <f t="shared" si="116"/>
        <v>4.081319464</v>
      </c>
      <c r="E191" s="64">
        <f t="shared" si="116"/>
        <v>4.336401931</v>
      </c>
      <c r="F191" s="64">
        <f t="shared" si="116"/>
        <v>4.081319464</v>
      </c>
      <c r="G191" s="64">
        <f t="shared" si="116"/>
        <v>3.826236998</v>
      </c>
      <c r="H191" s="64">
        <f t="shared" si="116"/>
        <v>3.571154531</v>
      </c>
      <c r="I191" s="64">
        <f t="shared" si="116"/>
        <v>4.081319464</v>
      </c>
      <c r="J191" s="64">
        <f t="shared" si="116"/>
        <v>4.336401931</v>
      </c>
      <c r="K191" s="64">
        <f t="shared" si="116"/>
        <v>4.336401931</v>
      </c>
      <c r="L191" s="64">
        <f t="shared" si="116"/>
        <v>4.081319464</v>
      </c>
      <c r="M191" s="64">
        <f t="shared" si="116"/>
        <v>4.081319464</v>
      </c>
      <c r="N191" s="64">
        <f t="shared" si="116"/>
        <v>5.611814264</v>
      </c>
      <c r="O191" s="84">
        <f t="shared" si="115"/>
        <v>51.01649331</v>
      </c>
    </row>
    <row r="192" ht="15.75" customHeight="1">
      <c r="A192" s="73" t="s">
        <v>407</v>
      </c>
      <c r="B192" s="118" t="s">
        <v>431</v>
      </c>
      <c r="C192" s="64">
        <f t="shared" ref="C192:N192" si="117">SUM(C181:C184)</f>
        <v>172.2474315</v>
      </c>
      <c r="D192" s="64">
        <f t="shared" si="117"/>
        <v>150.5431663</v>
      </c>
      <c r="E192" s="64">
        <f t="shared" si="117"/>
        <v>159.9521142</v>
      </c>
      <c r="F192" s="64">
        <f t="shared" si="117"/>
        <v>151.986351</v>
      </c>
      <c r="G192" s="64">
        <f t="shared" si="117"/>
        <v>142.5774031</v>
      </c>
      <c r="H192" s="64">
        <f t="shared" si="117"/>
        <v>133.1684552</v>
      </c>
      <c r="I192" s="64">
        <f t="shared" si="117"/>
        <v>153.4295357</v>
      </c>
      <c r="J192" s="64">
        <f t="shared" si="117"/>
        <v>158.5089295</v>
      </c>
      <c r="K192" s="64">
        <f t="shared" si="117"/>
        <v>158.5089295</v>
      </c>
      <c r="L192" s="64">
        <f t="shared" si="117"/>
        <v>150.5431663</v>
      </c>
      <c r="M192" s="64">
        <f t="shared" si="117"/>
        <v>149.0999816</v>
      </c>
      <c r="N192" s="64">
        <f t="shared" si="117"/>
        <v>201.2241149</v>
      </c>
      <c r="O192" s="84">
        <f t="shared" si="115"/>
        <v>1881.789579</v>
      </c>
    </row>
    <row r="193" ht="15.75" customHeight="1">
      <c r="A193" s="73" t="s">
        <v>418</v>
      </c>
      <c r="B193" s="118" t="s">
        <v>431</v>
      </c>
      <c r="C193" s="64">
        <f t="shared" ref="C193:N193" si="118">SUM(C185:C186)</f>
        <v>308.8004372</v>
      </c>
      <c r="D193" s="64">
        <f t="shared" si="118"/>
        <v>274.4892775</v>
      </c>
      <c r="E193" s="64">
        <f t="shared" si="118"/>
        <v>291.6448574</v>
      </c>
      <c r="F193" s="64">
        <f t="shared" si="118"/>
        <v>274.4892775</v>
      </c>
      <c r="G193" s="64">
        <f t="shared" si="118"/>
        <v>257.3336977</v>
      </c>
      <c r="H193" s="64">
        <f t="shared" si="118"/>
        <v>240.1781178</v>
      </c>
      <c r="I193" s="64">
        <f t="shared" si="118"/>
        <v>274.4892775</v>
      </c>
      <c r="J193" s="64">
        <f t="shared" si="118"/>
        <v>291.6448574</v>
      </c>
      <c r="K193" s="64">
        <f t="shared" si="118"/>
        <v>291.6448574</v>
      </c>
      <c r="L193" s="64">
        <f t="shared" si="118"/>
        <v>274.4892775</v>
      </c>
      <c r="M193" s="64">
        <f t="shared" si="118"/>
        <v>274.4892775</v>
      </c>
      <c r="N193" s="64">
        <f t="shared" si="118"/>
        <v>377.4227566</v>
      </c>
      <c r="O193" s="84">
        <f t="shared" si="115"/>
        <v>3431.115969</v>
      </c>
    </row>
    <row r="194" ht="15.75" customHeight="1">
      <c r="A194" s="73" t="s">
        <v>422</v>
      </c>
      <c r="B194" s="118" t="s">
        <v>431</v>
      </c>
      <c r="C194" s="64">
        <f t="shared" ref="C194:N194" si="119">SUM(C187)</f>
        <v>12.35694794</v>
      </c>
      <c r="D194" s="64">
        <f t="shared" si="119"/>
        <v>10.98395373</v>
      </c>
      <c r="E194" s="64">
        <f t="shared" si="119"/>
        <v>11.67045083</v>
      </c>
      <c r="F194" s="64">
        <f t="shared" si="119"/>
        <v>10.98395373</v>
      </c>
      <c r="G194" s="64">
        <f t="shared" si="119"/>
        <v>10.29745662</v>
      </c>
      <c r="H194" s="64">
        <f t="shared" si="119"/>
        <v>9.610959511</v>
      </c>
      <c r="I194" s="64">
        <f t="shared" si="119"/>
        <v>10.98395373</v>
      </c>
      <c r="J194" s="64">
        <f t="shared" si="119"/>
        <v>11.67045083</v>
      </c>
      <c r="K194" s="64">
        <f t="shared" si="119"/>
        <v>11.67045083</v>
      </c>
      <c r="L194" s="64">
        <f t="shared" si="119"/>
        <v>10.98395373</v>
      </c>
      <c r="M194" s="64">
        <f t="shared" si="119"/>
        <v>10.98395373</v>
      </c>
      <c r="N194" s="64">
        <f t="shared" si="119"/>
        <v>15.10293637</v>
      </c>
      <c r="O194" s="84">
        <f t="shared" si="115"/>
        <v>137.2994216</v>
      </c>
    </row>
    <row r="195" ht="27.75" customHeight="1">
      <c r="A195" s="29" t="s">
        <v>446</v>
      </c>
      <c r="B195" s="29" t="s">
        <v>447</v>
      </c>
      <c r="C195" s="29" t="s">
        <v>109</v>
      </c>
      <c r="D195" s="29" t="s">
        <v>110</v>
      </c>
      <c r="E195" s="29" t="s">
        <v>111</v>
      </c>
      <c r="F195" s="29" t="s">
        <v>112</v>
      </c>
      <c r="G195" s="29" t="s">
        <v>113</v>
      </c>
      <c r="H195" s="29" t="s">
        <v>114</v>
      </c>
      <c r="I195" s="29" t="s">
        <v>115</v>
      </c>
      <c r="J195" s="29" t="s">
        <v>116</v>
      </c>
      <c r="K195" s="29" t="s">
        <v>117</v>
      </c>
      <c r="L195" s="29" t="s">
        <v>118</v>
      </c>
      <c r="M195" s="29" t="s">
        <v>119</v>
      </c>
      <c r="N195" s="29" t="s">
        <v>120</v>
      </c>
      <c r="O195" s="29" t="s">
        <v>448</v>
      </c>
      <c r="P195" s="29" t="s">
        <v>148</v>
      </c>
      <c r="Q195" s="29" t="s">
        <v>449</v>
      </c>
      <c r="R195" s="29" t="s">
        <v>209</v>
      </c>
      <c r="S195" s="29" t="s">
        <v>450</v>
      </c>
      <c r="T195" s="29" t="s">
        <v>451</v>
      </c>
      <c r="U195" s="29" t="s">
        <v>452</v>
      </c>
      <c r="V195" s="29" t="s">
        <v>453</v>
      </c>
      <c r="W195" s="29" t="s">
        <v>454</v>
      </c>
      <c r="X195" s="29" t="s">
        <v>418</v>
      </c>
      <c r="Y195" s="29" t="s">
        <v>455</v>
      </c>
      <c r="Z195" s="29" t="s">
        <v>456</v>
      </c>
      <c r="AA195" s="160"/>
    </row>
    <row r="196" ht="15.75" customHeight="1">
      <c r="A196" s="73" t="s">
        <v>457</v>
      </c>
      <c r="B196" s="118" t="s">
        <v>458</v>
      </c>
      <c r="C196" s="63">
        <f t="shared" ref="C196:N196" si="120">($T196*C$189+$U196*C$190+$V196*C$191+$W196*C$192+$X196*C$193+$Y196*C$194)/$B$2</f>
        <v>25.48959767</v>
      </c>
      <c r="D196" s="63">
        <f t="shared" si="120"/>
        <v>21.16530274</v>
      </c>
      <c r="E196" s="63">
        <f t="shared" si="120"/>
        <v>21.86444555</v>
      </c>
      <c r="F196" s="63">
        <f t="shared" si="120"/>
        <v>21.22101001</v>
      </c>
      <c r="G196" s="63">
        <f t="shared" si="120"/>
        <v>20.52186721</v>
      </c>
      <c r="H196" s="63">
        <f t="shared" si="120"/>
        <v>19.8227244</v>
      </c>
      <c r="I196" s="63">
        <f t="shared" si="120"/>
        <v>21.27671728</v>
      </c>
      <c r="J196" s="63">
        <f t="shared" si="120"/>
        <v>21.80873828</v>
      </c>
      <c r="K196" s="63">
        <f t="shared" si="120"/>
        <v>21.80873828</v>
      </c>
      <c r="L196" s="63">
        <f t="shared" si="120"/>
        <v>21.16530274</v>
      </c>
      <c r="M196" s="63">
        <f t="shared" si="120"/>
        <v>21.10959547</v>
      </c>
      <c r="N196" s="63">
        <f t="shared" si="120"/>
        <v>30.51064779</v>
      </c>
      <c r="O196" s="44">
        <f t="shared" ref="O196:O222" si="122">MAX(C196:N196)</f>
        <v>30.51064779</v>
      </c>
      <c r="P196" s="63">
        <f>'Parametros Recargas'!$M$85</f>
        <v>72</v>
      </c>
      <c r="Q196" s="36">
        <f>MAX(Q141,ROUNDUP(O196/(P196*'Parametros Recargas'!E$8*'Parametros Recargas'!$B$19),0))</f>
        <v>1</v>
      </c>
      <c r="R196" s="46">
        <f>IF(AND('Parametros Recargas'!E$8=2,O196/(P196*Q196*'Parametros Recargas'!$B$19)&gt;1),2,1)</f>
        <v>1</v>
      </c>
      <c r="S196" s="34">
        <f t="shared" ref="S196:S221" si="123">O196/(P196*Q196*R196)</f>
        <v>0.4237589971</v>
      </c>
      <c r="T196" s="161">
        <f>'Parametros Recargas'!D54</f>
        <v>1</v>
      </c>
      <c r="U196" s="161">
        <f>'Parametros Recargas'!E54</f>
        <v>1</v>
      </c>
      <c r="V196" s="161">
        <f>'Parametros Recargas'!F54</f>
        <v>1</v>
      </c>
      <c r="W196" s="161">
        <f>'Parametros Recargas'!G54</f>
        <v>1</v>
      </c>
      <c r="X196" s="161">
        <f>'Parametros Recargas'!H54</f>
        <v>1</v>
      </c>
      <c r="Y196" s="161">
        <f>'Parametros Recargas'!I54</f>
        <v>1</v>
      </c>
      <c r="Z196" s="162">
        <f>'Parametros Recargas'!$U$85/P196</f>
        <v>0.01388888889</v>
      </c>
    </row>
    <row r="197" ht="15.75" customHeight="1">
      <c r="A197" s="73" t="s">
        <v>459</v>
      </c>
      <c r="B197" s="118" t="s">
        <v>458</v>
      </c>
      <c r="C197" s="63">
        <f t="shared" ref="C197:N197" si="121">($T197*C$189+$U197*C$190+$V197*C$191+$W197*C$192+$X197*C$193+$Y197*C$194)/$B$2</f>
        <v>25.48959767</v>
      </c>
      <c r="D197" s="63">
        <f t="shared" si="121"/>
        <v>21.16530274</v>
      </c>
      <c r="E197" s="63">
        <f t="shared" si="121"/>
        <v>21.86444555</v>
      </c>
      <c r="F197" s="63">
        <f t="shared" si="121"/>
        <v>21.22101001</v>
      </c>
      <c r="G197" s="63">
        <f t="shared" si="121"/>
        <v>20.52186721</v>
      </c>
      <c r="H197" s="63">
        <f t="shared" si="121"/>
        <v>19.8227244</v>
      </c>
      <c r="I197" s="63">
        <f t="shared" si="121"/>
        <v>21.27671728</v>
      </c>
      <c r="J197" s="63">
        <f t="shared" si="121"/>
        <v>21.80873828</v>
      </c>
      <c r="K197" s="63">
        <f t="shared" si="121"/>
        <v>21.80873828</v>
      </c>
      <c r="L197" s="63">
        <f t="shared" si="121"/>
        <v>21.16530274</v>
      </c>
      <c r="M197" s="63">
        <f t="shared" si="121"/>
        <v>21.10959547</v>
      </c>
      <c r="N197" s="63">
        <f t="shared" si="121"/>
        <v>30.51064779</v>
      </c>
      <c r="O197" s="44">
        <f t="shared" si="122"/>
        <v>30.51064779</v>
      </c>
      <c r="P197" s="63">
        <f>'Parametros Recargas'!$M$86</f>
        <v>52.36363636</v>
      </c>
      <c r="Q197" s="36">
        <f>MAX(Q142,ROUNDUP(O197/(P197*'Parametros Recargas'!E$8*'Parametros Recargas'!$B$19),0))</f>
        <v>1</v>
      </c>
      <c r="R197" s="46">
        <f>IF(AND('Parametros Recargas'!E$8=2,O197/(P197*Q197*'Parametros Recargas'!$B$19)&gt;1),2,1)</f>
        <v>1</v>
      </c>
      <c r="S197" s="34">
        <f t="shared" si="123"/>
        <v>0.582668621</v>
      </c>
      <c r="T197" s="161">
        <f>'Parametros Recargas'!D55</f>
        <v>1</v>
      </c>
      <c r="U197" s="161">
        <f>'Parametros Recargas'!E55</f>
        <v>1</v>
      </c>
      <c r="V197" s="161">
        <f>'Parametros Recargas'!F55</f>
        <v>1</v>
      </c>
      <c r="W197" s="161">
        <f>'Parametros Recargas'!G55</f>
        <v>1</v>
      </c>
      <c r="X197" s="161">
        <f>'Parametros Recargas'!H55</f>
        <v>1</v>
      </c>
      <c r="Y197" s="161">
        <f>'Parametros Recargas'!I55</f>
        <v>1</v>
      </c>
      <c r="Z197" s="162">
        <f>'Parametros Recargas'!$U$86/P197</f>
        <v>0.01909722222</v>
      </c>
    </row>
    <row r="198" ht="15.75" customHeight="1">
      <c r="A198" s="30" t="s">
        <v>460</v>
      </c>
      <c r="B198" s="118" t="s">
        <v>458</v>
      </c>
      <c r="C198" s="63">
        <f t="shared" ref="C198:N198" si="124">($T198*C$189+$U198*C$190+$V198*C$191+$W198*C$192+$X198*C$193+$Y198*C$194)/$B$2</f>
        <v>22.13675264</v>
      </c>
      <c r="D198" s="63">
        <f t="shared" si="124"/>
        <v>18.20210046</v>
      </c>
      <c r="E198" s="63">
        <f t="shared" si="124"/>
        <v>18.71604313</v>
      </c>
      <c r="F198" s="63">
        <f t="shared" si="124"/>
        <v>18.2481865</v>
      </c>
      <c r="G198" s="63">
        <f t="shared" si="124"/>
        <v>17.73424384</v>
      </c>
      <c r="H198" s="63">
        <f t="shared" si="124"/>
        <v>17.22030117</v>
      </c>
      <c r="I198" s="63">
        <f t="shared" si="124"/>
        <v>18.29427254</v>
      </c>
      <c r="J198" s="63">
        <f t="shared" si="124"/>
        <v>18.66995709</v>
      </c>
      <c r="K198" s="63">
        <f t="shared" si="124"/>
        <v>18.66995709</v>
      </c>
      <c r="L198" s="63">
        <f t="shared" si="124"/>
        <v>18.20210046</v>
      </c>
      <c r="M198" s="63">
        <f t="shared" si="124"/>
        <v>18.15601442</v>
      </c>
      <c r="N198" s="63">
        <f t="shared" si="124"/>
        <v>26.47472958</v>
      </c>
      <c r="O198" s="44">
        <f t="shared" si="122"/>
        <v>26.47472958</v>
      </c>
      <c r="P198" s="63">
        <f>'Parametros Recargas'!$M$87</f>
        <v>29.14285714</v>
      </c>
      <c r="Q198" s="36">
        <f>MAX(Q143,ROUNDUP(O198/(P198*'Parametros Recargas'!E$8*'Parametros Recargas'!$B$19),0))</f>
        <v>2</v>
      </c>
      <c r="R198" s="46">
        <f>IF(AND('Parametros Recargas'!E$8=2,O198/(P198*Q198*'Parametros Recargas'!$B$19)&gt;1),2,1)</f>
        <v>1</v>
      </c>
      <c r="S198" s="34">
        <f t="shared" si="123"/>
        <v>0.4542233016</v>
      </c>
      <c r="T198" s="161">
        <f>'Parametros Recargas'!D56</f>
        <v>1</v>
      </c>
      <c r="U198" s="161">
        <f>'Parametros Recargas'!E56</f>
        <v>0</v>
      </c>
      <c r="V198" s="161">
        <f>'Parametros Recargas'!F56</f>
        <v>0</v>
      </c>
      <c r="W198" s="161">
        <f>'Parametros Recargas'!G56</f>
        <v>0</v>
      </c>
      <c r="X198" s="161">
        <f>'Parametros Recargas'!H56</f>
        <v>0</v>
      </c>
      <c r="Y198" s="161">
        <f>'Parametros Recargas'!I56</f>
        <v>0</v>
      </c>
      <c r="Z198" s="162">
        <f>'Parametros Recargas'!$U$87/P198</f>
        <v>0.01715686275</v>
      </c>
    </row>
    <row r="199" ht="15.75" customHeight="1">
      <c r="A199" s="30" t="s">
        <v>461</v>
      </c>
      <c r="B199" s="118" t="s">
        <v>458</v>
      </c>
      <c r="C199" s="63">
        <f t="shared" ref="C199:N199" si="125">($T199*C$189+$U199*C$190+$V199*C$191+$W199*C$192+$X199*C$193+$Y199*C$194)/$B$2</f>
        <v>0.03286968696</v>
      </c>
      <c r="D199" s="63">
        <f t="shared" si="125"/>
        <v>0.02921749952</v>
      </c>
      <c r="E199" s="63">
        <f t="shared" si="125"/>
        <v>0.03104359324</v>
      </c>
      <c r="F199" s="63">
        <f t="shared" si="125"/>
        <v>0.02921749952</v>
      </c>
      <c r="G199" s="63">
        <f t="shared" si="125"/>
        <v>0.0273914058</v>
      </c>
      <c r="H199" s="63">
        <f t="shared" si="125"/>
        <v>0.02556531208</v>
      </c>
      <c r="I199" s="63">
        <f t="shared" si="125"/>
        <v>0.02921749952</v>
      </c>
      <c r="J199" s="63">
        <f t="shared" si="125"/>
        <v>0.03104359324</v>
      </c>
      <c r="K199" s="63">
        <f t="shared" si="125"/>
        <v>0.03104359324</v>
      </c>
      <c r="L199" s="63">
        <f t="shared" si="125"/>
        <v>0.02921749952</v>
      </c>
      <c r="M199" s="63">
        <f t="shared" si="125"/>
        <v>0.02921749952</v>
      </c>
      <c r="N199" s="63">
        <f t="shared" si="125"/>
        <v>0.04017406184</v>
      </c>
      <c r="O199" s="44">
        <f t="shared" si="122"/>
        <v>0.04017406184</v>
      </c>
      <c r="P199" s="63">
        <f>'Parametros Recargas'!$M$88</f>
        <v>29.14285714</v>
      </c>
      <c r="Q199" s="36">
        <f>MAX(Q144,ROUNDUP(O199/(P199*'Parametros Recargas'!E$8*'Parametros Recargas'!$B$19),0))</f>
        <v>1</v>
      </c>
      <c r="R199" s="46">
        <f>IF(AND('Parametros Recargas'!E$8=2,O199/(P199*Q199*'Parametros Recargas'!$B$19)&gt;1),2,1)</f>
        <v>1</v>
      </c>
      <c r="S199" s="34">
        <f t="shared" si="123"/>
        <v>0.00137852173</v>
      </c>
      <c r="T199" s="161">
        <f>'Parametros Recargas'!D57</f>
        <v>0</v>
      </c>
      <c r="U199" s="161">
        <f>'Parametros Recargas'!E57</f>
        <v>1</v>
      </c>
      <c r="V199" s="161">
        <f>'Parametros Recargas'!F57</f>
        <v>0</v>
      </c>
      <c r="W199" s="161">
        <f>'Parametros Recargas'!G57</f>
        <v>0</v>
      </c>
      <c r="X199" s="161">
        <f>'Parametros Recargas'!H57</f>
        <v>0</v>
      </c>
      <c r="Y199" s="161">
        <f>'Parametros Recargas'!I57</f>
        <v>0</v>
      </c>
      <c r="Z199" s="162">
        <f>'Parametros Recargas'!$U$88/P199</f>
        <v>0.03431372549</v>
      </c>
    </row>
    <row r="200" ht="15.75" customHeight="1">
      <c r="A200" s="30" t="s">
        <v>463</v>
      </c>
      <c r="B200" s="118" t="s">
        <v>458</v>
      </c>
      <c r="C200" s="63">
        <f t="shared" ref="C200:N200" si="126">($T200*C$189+$U200*C$190+$V200*C$191+$W200*C$192+$X200*C$193+$Y200*C$194)/$B$2</f>
        <v>0.03060989598</v>
      </c>
      <c r="D200" s="63">
        <f t="shared" si="126"/>
        <v>0.02720879643</v>
      </c>
      <c r="E200" s="63">
        <f t="shared" si="126"/>
        <v>0.02890934621</v>
      </c>
      <c r="F200" s="63">
        <f t="shared" si="126"/>
        <v>0.02720879643</v>
      </c>
      <c r="G200" s="63">
        <f t="shared" si="126"/>
        <v>0.02550824665</v>
      </c>
      <c r="H200" s="63">
        <f t="shared" si="126"/>
        <v>0.02380769688</v>
      </c>
      <c r="I200" s="63">
        <f t="shared" si="126"/>
        <v>0.02720879643</v>
      </c>
      <c r="J200" s="63">
        <f t="shared" si="126"/>
        <v>0.02890934621</v>
      </c>
      <c r="K200" s="63">
        <f t="shared" si="126"/>
        <v>0.02890934621</v>
      </c>
      <c r="L200" s="63">
        <f t="shared" si="126"/>
        <v>0.02720879643</v>
      </c>
      <c r="M200" s="63">
        <f t="shared" si="126"/>
        <v>0.02720879643</v>
      </c>
      <c r="N200" s="63">
        <f t="shared" si="126"/>
        <v>0.03741209509</v>
      </c>
      <c r="O200" s="44">
        <f t="shared" si="122"/>
        <v>0.03741209509</v>
      </c>
      <c r="P200" s="63">
        <f>'Parametros Recargas'!$M$89</f>
        <v>13.5</v>
      </c>
      <c r="Q200" s="36">
        <f>MAX(Q145,ROUNDUP(O200/(P200*'Parametros Recargas'!E$8*'Parametros Recargas'!$B$19),0))</f>
        <v>1</v>
      </c>
      <c r="R200" s="46">
        <f>IF(AND('Parametros Recargas'!E$8=2,O200/(P200*Q200*'Parametros Recargas'!$B$19)&gt;1),2,1)</f>
        <v>1</v>
      </c>
      <c r="S200" s="34">
        <f t="shared" si="123"/>
        <v>0.002771266303</v>
      </c>
      <c r="T200" s="161">
        <f>'Parametros Recargas'!D58</f>
        <v>0</v>
      </c>
      <c r="U200" s="161">
        <f>'Parametros Recargas'!E58</f>
        <v>0</v>
      </c>
      <c r="V200" s="161">
        <f>'Parametros Recargas'!F58</f>
        <v>1</v>
      </c>
      <c r="W200" s="161">
        <f>'Parametros Recargas'!G58</f>
        <v>0</v>
      </c>
      <c r="X200" s="161">
        <f>'Parametros Recargas'!H58</f>
        <v>0</v>
      </c>
      <c r="Y200" s="161">
        <f>'Parametros Recargas'!I58</f>
        <v>0</v>
      </c>
      <c r="Z200" s="162">
        <f>'Parametros Recargas'!$U$89/P200</f>
        <v>0.07407407407</v>
      </c>
    </row>
    <row r="201" ht="15.75" customHeight="1">
      <c r="A201" s="30" t="s">
        <v>464</v>
      </c>
      <c r="B201" s="118" t="s">
        <v>458</v>
      </c>
      <c r="C201" s="63">
        <f t="shared" ref="C201:N201" si="127">($T201*C$189+$U201*C$190+$V201*C$191+$W201*C$192+$X201*C$193+$Y201*C$194)/$B$2</f>
        <v>1.14831621</v>
      </c>
      <c r="D201" s="63">
        <f t="shared" si="127"/>
        <v>1.003621109</v>
      </c>
      <c r="E201" s="63">
        <f t="shared" si="127"/>
        <v>1.066347428</v>
      </c>
      <c r="F201" s="63">
        <f t="shared" si="127"/>
        <v>1.01324234</v>
      </c>
      <c r="G201" s="63">
        <f t="shared" si="127"/>
        <v>0.9505160206</v>
      </c>
      <c r="H201" s="63">
        <f t="shared" si="127"/>
        <v>0.8877897013</v>
      </c>
      <c r="I201" s="63">
        <f t="shared" si="127"/>
        <v>1.022863571</v>
      </c>
      <c r="J201" s="63">
        <f t="shared" si="127"/>
        <v>1.056726197</v>
      </c>
      <c r="K201" s="63">
        <f t="shared" si="127"/>
        <v>1.056726197</v>
      </c>
      <c r="L201" s="63">
        <f t="shared" si="127"/>
        <v>1.003621109</v>
      </c>
      <c r="M201" s="63">
        <f t="shared" si="127"/>
        <v>0.9939998773</v>
      </c>
      <c r="N201" s="63">
        <f t="shared" si="127"/>
        <v>1.341494099</v>
      </c>
      <c r="O201" s="44">
        <f t="shared" si="122"/>
        <v>1.341494099</v>
      </c>
      <c r="P201" s="63">
        <f>'Parametros Recargas'!$M$90</f>
        <v>22.66666667</v>
      </c>
      <c r="Q201" s="36">
        <f>MAX(Q146,ROUNDUP(O201/(P201*'Parametros Recargas'!E$8*'Parametros Recargas'!$B$19),0))</f>
        <v>1</v>
      </c>
      <c r="R201" s="46">
        <f>IF(AND('Parametros Recargas'!E$8=2,O201/(P201*Q201*'Parametros Recargas'!$B$19)&gt;1),2,1)</f>
        <v>1</v>
      </c>
      <c r="S201" s="34">
        <f t="shared" si="123"/>
        <v>0.0591835632</v>
      </c>
      <c r="T201" s="161">
        <f>'Parametros Recargas'!D59</f>
        <v>0</v>
      </c>
      <c r="U201" s="161">
        <f>'Parametros Recargas'!E59</f>
        <v>0</v>
      </c>
      <c r="V201" s="161">
        <f>'Parametros Recargas'!F59</f>
        <v>0</v>
      </c>
      <c r="W201" s="161">
        <f>'Parametros Recargas'!G59</f>
        <v>1</v>
      </c>
      <c r="X201" s="161">
        <f>'Parametros Recargas'!H59</f>
        <v>0</v>
      </c>
      <c r="Y201" s="161">
        <f>'Parametros Recargas'!I59</f>
        <v>0</v>
      </c>
      <c r="Z201" s="162">
        <f>'Parametros Recargas'!$U$90/P201</f>
        <v>0.04411764706</v>
      </c>
    </row>
    <row r="202" ht="15.75" customHeight="1">
      <c r="A202" s="30" t="s">
        <v>465</v>
      </c>
      <c r="B202" s="118" t="s">
        <v>458</v>
      </c>
      <c r="C202" s="63">
        <f t="shared" ref="C202:N202" si="128">($T202*C$189+$U202*C$190+$V202*C$191+$W202*C$192+$X202*C$193+$Y202*C$194)/$B$2</f>
        <v>0.5146673954</v>
      </c>
      <c r="D202" s="63">
        <f t="shared" si="128"/>
        <v>0.4574821292</v>
      </c>
      <c r="E202" s="63">
        <f t="shared" si="128"/>
        <v>0.4860747623</v>
      </c>
      <c r="F202" s="63">
        <f t="shared" si="128"/>
        <v>0.4574821292</v>
      </c>
      <c r="G202" s="63">
        <f t="shared" si="128"/>
        <v>0.4288894962</v>
      </c>
      <c r="H202" s="63">
        <f t="shared" si="128"/>
        <v>0.4002968631</v>
      </c>
      <c r="I202" s="63">
        <f t="shared" si="128"/>
        <v>0.4574821292</v>
      </c>
      <c r="J202" s="63">
        <f t="shared" si="128"/>
        <v>0.4860747623</v>
      </c>
      <c r="K202" s="63">
        <f t="shared" si="128"/>
        <v>0.4860747623</v>
      </c>
      <c r="L202" s="63">
        <f t="shared" si="128"/>
        <v>0.4574821292</v>
      </c>
      <c r="M202" s="63">
        <f t="shared" si="128"/>
        <v>0.4574821292</v>
      </c>
      <c r="N202" s="63">
        <f t="shared" si="128"/>
        <v>0.6290379277</v>
      </c>
      <c r="O202" s="44">
        <f t="shared" si="122"/>
        <v>0.6290379277</v>
      </c>
      <c r="P202" s="63">
        <f>'Parametros Recargas'!$M$91</f>
        <v>29.14285714</v>
      </c>
      <c r="Q202" s="36">
        <f>MAX(Q147,ROUNDUP(O202/(P202*'Parametros Recargas'!E$8*'Parametros Recargas'!$B$19),0))</f>
        <v>1</v>
      </c>
      <c r="R202" s="46">
        <f>IF(AND('Parametros Recargas'!E$8=2,O202/(P202*Q202*'Parametros Recargas'!$B$19)&gt;1),2,1)</f>
        <v>1</v>
      </c>
      <c r="S202" s="34">
        <f t="shared" si="123"/>
        <v>0.02158463477</v>
      </c>
      <c r="T202" s="161">
        <f>'Parametros Recargas'!D60</f>
        <v>0</v>
      </c>
      <c r="U202" s="161">
        <f>'Parametros Recargas'!E60</f>
        <v>0</v>
      </c>
      <c r="V202" s="161">
        <f>'Parametros Recargas'!F60</f>
        <v>0</v>
      </c>
      <c r="W202" s="161">
        <f>'Parametros Recargas'!G60</f>
        <v>0</v>
      </c>
      <c r="X202" s="161">
        <f>'Parametros Recargas'!H60</f>
        <v>0.25</v>
      </c>
      <c r="Y202" s="161">
        <f>'Parametros Recargas'!I60</f>
        <v>0</v>
      </c>
      <c r="Z202" s="162">
        <f>'Parametros Recargas'!$U$91/P202</f>
        <v>0.03431372549</v>
      </c>
    </row>
    <row r="203" ht="15.75" customHeight="1">
      <c r="A203" s="30" t="s">
        <v>466</v>
      </c>
      <c r="B203" s="118" t="s">
        <v>458</v>
      </c>
      <c r="C203" s="63">
        <f t="shared" ref="C203:N203" si="129">($T203*C$189+$U203*C$190+$V203*C$191+$W203*C$192+$X203*C$193+$Y203*C$194)/$B$2</f>
        <v>0.02059491324</v>
      </c>
      <c r="D203" s="63">
        <f t="shared" si="129"/>
        <v>0.01830658954</v>
      </c>
      <c r="E203" s="63">
        <f t="shared" si="129"/>
        <v>0.01945075139</v>
      </c>
      <c r="F203" s="63">
        <f t="shared" si="129"/>
        <v>0.01830658954</v>
      </c>
      <c r="G203" s="63">
        <f t="shared" si="129"/>
        <v>0.0171624277</v>
      </c>
      <c r="H203" s="63">
        <f t="shared" si="129"/>
        <v>0.01601826585</v>
      </c>
      <c r="I203" s="63">
        <f t="shared" si="129"/>
        <v>0.01830658954</v>
      </c>
      <c r="J203" s="63">
        <f t="shared" si="129"/>
        <v>0.01945075139</v>
      </c>
      <c r="K203" s="63">
        <f t="shared" si="129"/>
        <v>0.01945075139</v>
      </c>
      <c r="L203" s="63">
        <f t="shared" si="129"/>
        <v>0.01830658954</v>
      </c>
      <c r="M203" s="63">
        <f t="shared" si="129"/>
        <v>0.01830658954</v>
      </c>
      <c r="N203" s="63">
        <f t="shared" si="129"/>
        <v>0.02517156062</v>
      </c>
      <c r="O203" s="44">
        <f t="shared" si="122"/>
        <v>0.02517156062</v>
      </c>
      <c r="P203" s="63">
        <f>'Parametros Recargas'!$M$92</f>
        <v>18.54545455</v>
      </c>
      <c r="Q203" s="36">
        <f>MAX(Q148,ROUNDUP(O203/(P203*'Parametros Recargas'!E$8*'Parametros Recargas'!$B$19),0))</f>
        <v>1</v>
      </c>
      <c r="R203" s="46">
        <f>IF(AND('Parametros Recargas'!E$8=2,O203/(P203*Q203*'Parametros Recargas'!$B$19)&gt;1),2,1)</f>
        <v>1</v>
      </c>
      <c r="S203" s="34">
        <f t="shared" si="123"/>
        <v>0.001357290034</v>
      </c>
      <c r="T203" s="161">
        <f>'Parametros Recargas'!D61</f>
        <v>0</v>
      </c>
      <c r="U203" s="161">
        <f>'Parametros Recargas'!E61</f>
        <v>0</v>
      </c>
      <c r="V203" s="161">
        <f>'Parametros Recargas'!F61</f>
        <v>0</v>
      </c>
      <c r="W203" s="161">
        <f>'Parametros Recargas'!G61</f>
        <v>0</v>
      </c>
      <c r="X203" s="161">
        <f>'Parametros Recargas'!H61</f>
        <v>0</v>
      </c>
      <c r="Y203" s="161">
        <f>'Parametros Recargas'!I61</f>
        <v>0.25</v>
      </c>
      <c r="Z203" s="162">
        <f>'Parametros Recargas'!$U$92/P203</f>
        <v>0.05392156863</v>
      </c>
    </row>
    <row r="204" ht="15.75" customHeight="1">
      <c r="A204" s="73" t="s">
        <v>467</v>
      </c>
      <c r="B204" s="118" t="s">
        <v>458</v>
      </c>
      <c r="C204" s="63">
        <f t="shared" ref="C204:N204" si="130">($T204*C$189+$U204*C$190+$V204*C$191+$W204*C$192+$X204*C$193+$Y204*C$194)/$B$2</f>
        <v>24.09791567</v>
      </c>
      <c r="D204" s="63">
        <f t="shared" si="130"/>
        <v>19.92825207</v>
      </c>
      <c r="E204" s="63">
        <f t="shared" si="130"/>
        <v>20.55007921</v>
      </c>
      <c r="F204" s="63">
        <f t="shared" si="130"/>
        <v>19.98395934</v>
      </c>
      <c r="G204" s="63">
        <f t="shared" si="130"/>
        <v>19.3621322</v>
      </c>
      <c r="H204" s="63">
        <f t="shared" si="130"/>
        <v>18.74030506</v>
      </c>
      <c r="I204" s="63">
        <f t="shared" si="130"/>
        <v>20.03966662</v>
      </c>
      <c r="J204" s="63">
        <f t="shared" si="130"/>
        <v>20.49437194</v>
      </c>
      <c r="K204" s="63">
        <f t="shared" si="130"/>
        <v>20.49437194</v>
      </c>
      <c r="L204" s="63">
        <f t="shared" si="130"/>
        <v>19.92825207</v>
      </c>
      <c r="M204" s="63">
        <f t="shared" si="130"/>
        <v>19.8725448</v>
      </c>
      <c r="N204" s="63">
        <f t="shared" si="130"/>
        <v>28.80970312</v>
      </c>
      <c r="O204" s="44">
        <f t="shared" si="122"/>
        <v>28.80970312</v>
      </c>
      <c r="P204" s="63">
        <f>'Parametros Recargas'!$M$93</f>
        <v>32</v>
      </c>
      <c r="Q204" s="36">
        <f>MAX(Q149,ROUNDUP(O204/(P204*'Parametros Recargas'!E$8*'Parametros Recargas'!$B$19),0))</f>
        <v>2</v>
      </c>
      <c r="R204" s="46">
        <f>IF(AND('Parametros Recargas'!E$8=2,O204/(P204*Q204*'Parametros Recargas'!$B$19)&gt;1),2,1)</f>
        <v>1</v>
      </c>
      <c r="S204" s="34">
        <f t="shared" si="123"/>
        <v>0.4501516112</v>
      </c>
      <c r="T204" s="161">
        <f>'Parametros Recargas'!D62</f>
        <v>1</v>
      </c>
      <c r="U204" s="161">
        <f>'Parametros Recargas'!E62</f>
        <v>1</v>
      </c>
      <c r="V204" s="161">
        <f>'Parametros Recargas'!F62</f>
        <v>1</v>
      </c>
      <c r="W204" s="161">
        <f>'Parametros Recargas'!G62</f>
        <v>1</v>
      </c>
      <c r="X204" s="161">
        <f>'Parametros Recargas'!H62</f>
        <v>0.35</v>
      </c>
      <c r="Y204" s="161">
        <f>'Parametros Recargas'!I62</f>
        <v>0.35</v>
      </c>
      <c r="Z204" s="162">
        <f>'Parametros Recargas'!$U$93/P204</f>
        <v>0.03125</v>
      </c>
    </row>
    <row r="205" ht="15.75" customHeight="1">
      <c r="A205" s="30" t="s">
        <v>469</v>
      </c>
      <c r="B205" s="118" t="s">
        <v>458</v>
      </c>
      <c r="C205" s="63">
        <f t="shared" ref="C205:N205" si="131">($T205*C$189+$U205*C$190+$V205*C$191+$W205*C$192+$X205*C$193+$Y205*C$194)/$B$2</f>
        <v>2.216962233</v>
      </c>
      <c r="D205" s="63">
        <f t="shared" si="131"/>
        <v>1.823131796</v>
      </c>
      <c r="E205" s="63">
        <f t="shared" si="131"/>
        <v>1.874708672</v>
      </c>
      <c r="F205" s="63">
        <f t="shared" si="131"/>
        <v>1.8277404</v>
      </c>
      <c r="G205" s="63">
        <f t="shared" si="131"/>
        <v>1.776163524</v>
      </c>
      <c r="H205" s="63">
        <f t="shared" si="131"/>
        <v>1.724586648</v>
      </c>
      <c r="I205" s="63">
        <f t="shared" si="131"/>
        <v>1.832349004</v>
      </c>
      <c r="J205" s="63">
        <f t="shared" si="131"/>
        <v>1.870100068</v>
      </c>
      <c r="K205" s="63">
        <f t="shared" si="131"/>
        <v>1.870100068</v>
      </c>
      <c r="L205" s="63">
        <f t="shared" si="131"/>
        <v>1.823131796</v>
      </c>
      <c r="M205" s="63">
        <f t="shared" si="131"/>
        <v>1.818523192</v>
      </c>
      <c r="N205" s="63">
        <f t="shared" si="131"/>
        <v>2.651490364</v>
      </c>
      <c r="O205" s="44">
        <f t="shared" si="122"/>
        <v>2.651490364</v>
      </c>
      <c r="P205" s="63">
        <f>'Parametros Recargas'!$M$94</f>
        <v>6.375</v>
      </c>
      <c r="Q205" s="36">
        <f>MAX(Q150,ROUNDUP(O205/(P205*'Parametros Recargas'!E$8*'Parametros Recargas'!$B$19),0))</f>
        <v>1</v>
      </c>
      <c r="R205" s="46">
        <f>IF(AND('Parametros Recargas'!E$8=2,O205/(P205*Q205*'Parametros Recargas'!$B$19)&gt;1),2,1)</f>
        <v>1</v>
      </c>
      <c r="S205" s="34">
        <f t="shared" si="123"/>
        <v>0.4159200571</v>
      </c>
      <c r="T205" s="161">
        <f>'Parametros Recargas'!D63</f>
        <v>0.1</v>
      </c>
      <c r="U205" s="161">
        <f>'Parametros Recargas'!E63</f>
        <v>0.1</v>
      </c>
      <c r="V205" s="161">
        <f>'Parametros Recargas'!F63</f>
        <v>0</v>
      </c>
      <c r="W205" s="161">
        <f>'Parametros Recargas'!G63</f>
        <v>0</v>
      </c>
      <c r="X205" s="161">
        <f>'Parametros Recargas'!H63</f>
        <v>0</v>
      </c>
      <c r="Y205" s="161">
        <f>'Parametros Recargas'!I63</f>
        <v>0</v>
      </c>
      <c r="Z205" s="162">
        <f>'Parametros Recargas'!$U$94/P205</f>
        <v>0.07843137255</v>
      </c>
    </row>
    <row r="206" ht="15.75" customHeight="1">
      <c r="A206" s="30" t="s">
        <v>470</v>
      </c>
      <c r="B206" s="118" t="s">
        <v>458</v>
      </c>
      <c r="C206" s="63">
        <f t="shared" ref="C206:N206" si="132">($T206*C$189+$U206*C$190+$V206*C$191+$W206*C$192+$X206*C$193+$Y206*C$194)/$B$2</f>
        <v>1.14831621</v>
      </c>
      <c r="D206" s="63">
        <f t="shared" si="132"/>
        <v>1.003621109</v>
      </c>
      <c r="E206" s="63">
        <f t="shared" si="132"/>
        <v>1.066347428</v>
      </c>
      <c r="F206" s="63">
        <f t="shared" si="132"/>
        <v>1.01324234</v>
      </c>
      <c r="G206" s="63">
        <f t="shared" si="132"/>
        <v>0.9505160206</v>
      </c>
      <c r="H206" s="63">
        <f t="shared" si="132"/>
        <v>0.8877897013</v>
      </c>
      <c r="I206" s="63">
        <f t="shared" si="132"/>
        <v>1.022863571</v>
      </c>
      <c r="J206" s="63">
        <f t="shared" si="132"/>
        <v>1.056726197</v>
      </c>
      <c r="K206" s="63">
        <f t="shared" si="132"/>
        <v>1.056726197</v>
      </c>
      <c r="L206" s="63">
        <f t="shared" si="132"/>
        <v>1.003621109</v>
      </c>
      <c r="M206" s="63">
        <f t="shared" si="132"/>
        <v>0.9939998773</v>
      </c>
      <c r="N206" s="63">
        <f t="shared" si="132"/>
        <v>1.341494099</v>
      </c>
      <c r="O206" s="44">
        <f t="shared" si="122"/>
        <v>1.341494099</v>
      </c>
      <c r="P206" s="63">
        <f>'Parametros Recargas'!$M$95</f>
        <v>28.8</v>
      </c>
      <c r="Q206" s="36">
        <f>MAX(Q151,ROUNDUP(O206/(P206*'Parametros Recargas'!E$8*'Parametros Recargas'!$B$19),0))</f>
        <v>1</v>
      </c>
      <c r="R206" s="46">
        <f>IF(AND('Parametros Recargas'!E$8=2,O206/(P206*Q206*'Parametros Recargas'!$B$19)&gt;1),2,1)</f>
        <v>1</v>
      </c>
      <c r="S206" s="34">
        <f t="shared" si="123"/>
        <v>0.04657965622</v>
      </c>
      <c r="T206" s="161">
        <f>'Parametros Recargas'!D64</f>
        <v>0</v>
      </c>
      <c r="U206" s="161">
        <f>'Parametros Recargas'!E64</f>
        <v>0</v>
      </c>
      <c r="V206" s="161">
        <f>'Parametros Recargas'!F64</f>
        <v>0</v>
      </c>
      <c r="W206" s="161">
        <f>'Parametros Recargas'!G64</f>
        <v>1</v>
      </c>
      <c r="X206" s="161">
        <f>'Parametros Recargas'!H64</f>
        <v>0</v>
      </c>
      <c r="Y206" s="161">
        <f>'Parametros Recargas'!I64</f>
        <v>0</v>
      </c>
      <c r="Z206" s="162">
        <f>'Parametros Recargas'!$U$95/P206</f>
        <v>0.03472222222</v>
      </c>
    </row>
    <row r="207" ht="15.75" customHeight="1">
      <c r="A207" s="73" t="s">
        <v>473</v>
      </c>
      <c r="B207" s="118" t="s">
        <v>458</v>
      </c>
      <c r="C207" s="63">
        <f t="shared" ref="C207:N207" si="133">($T207*C$189+$U207*C$190+$V207*C$191+$W207*C$192+$X207*C$193+$Y207*C$194)/$B$2</f>
        <v>6.65947847</v>
      </c>
      <c r="D207" s="63">
        <f t="shared" si="133"/>
        <v>5.542230962</v>
      </c>
      <c r="E207" s="63">
        <f t="shared" si="133"/>
        <v>5.732698244</v>
      </c>
      <c r="F207" s="63">
        <f t="shared" si="133"/>
        <v>5.558563088</v>
      </c>
      <c r="G207" s="63">
        <f t="shared" si="133"/>
        <v>5.368095807</v>
      </c>
      <c r="H207" s="63">
        <f t="shared" si="133"/>
        <v>5.177628525</v>
      </c>
      <c r="I207" s="63">
        <f t="shared" si="133"/>
        <v>5.574895214</v>
      </c>
      <c r="J207" s="63">
        <f t="shared" si="133"/>
        <v>5.716366118</v>
      </c>
      <c r="K207" s="63">
        <f t="shared" si="133"/>
        <v>5.716366118</v>
      </c>
      <c r="L207" s="63">
        <f t="shared" si="133"/>
        <v>5.542230962</v>
      </c>
      <c r="M207" s="63">
        <f t="shared" si="133"/>
        <v>5.525898837</v>
      </c>
      <c r="N207" s="63">
        <f t="shared" si="133"/>
        <v>7.963035472</v>
      </c>
      <c r="O207" s="44">
        <f t="shared" si="122"/>
        <v>7.963035472</v>
      </c>
      <c r="P207" s="63">
        <f>'Parametros Recargas'!$M$96</f>
        <v>28.88380952</v>
      </c>
      <c r="Q207" s="36">
        <f>MAX(Q152,ROUNDUP(O207/(P207*'Parametros Recargas'!E$8*'Parametros Recargas'!$B$19),0))</f>
        <v>1</v>
      </c>
      <c r="R207" s="46">
        <f>IF(AND('Parametros Recargas'!E$8=2,O207/(P207*Q207*'Parametros Recargas'!$B$19)&gt;1),2,1)</f>
        <v>1</v>
      </c>
      <c r="S207" s="34">
        <f t="shared" si="123"/>
        <v>0.2756920089</v>
      </c>
      <c r="T207" s="161">
        <f>'Parametros Recargas'!D65</f>
        <v>0.25</v>
      </c>
      <c r="U207" s="161">
        <f>'Parametros Recargas'!E65</f>
        <v>0.25</v>
      </c>
      <c r="V207" s="161">
        <f>'Parametros Recargas'!F65</f>
        <v>0.25</v>
      </c>
      <c r="W207" s="161">
        <f>'Parametros Recargas'!G65</f>
        <v>0.5</v>
      </c>
      <c r="X207" s="161">
        <f>'Parametros Recargas'!H65</f>
        <v>0.25</v>
      </c>
      <c r="Y207" s="161">
        <f>'Parametros Recargas'!I65</f>
        <v>0.25</v>
      </c>
      <c r="Z207" s="162">
        <f>'Parametros Recargas'!$U$96/P207</f>
        <v>0.01731073595</v>
      </c>
    </row>
    <row r="208" ht="15.75" customHeight="1">
      <c r="A208" s="73" t="s">
        <v>479</v>
      </c>
      <c r="B208" s="118" t="s">
        <v>458</v>
      </c>
      <c r="C208" s="63">
        <f t="shared" ref="C208:N208" si="134">($T208*C$189+$U208*C$190+$V208*C$191+$W208*C$192+$X208*C$193+$Y208*C$194)/$B$2</f>
        <v>6.085320365</v>
      </c>
      <c r="D208" s="63">
        <f t="shared" si="134"/>
        <v>5.040420408</v>
      </c>
      <c r="E208" s="63">
        <f t="shared" si="134"/>
        <v>5.19952453</v>
      </c>
      <c r="F208" s="63">
        <f t="shared" si="134"/>
        <v>5.051941918</v>
      </c>
      <c r="G208" s="63">
        <f t="shared" si="134"/>
        <v>4.892837796</v>
      </c>
      <c r="H208" s="63">
        <f t="shared" si="134"/>
        <v>4.733733674</v>
      </c>
      <c r="I208" s="63">
        <f t="shared" si="134"/>
        <v>5.063463428</v>
      </c>
      <c r="J208" s="63">
        <f t="shared" si="134"/>
        <v>5.18800302</v>
      </c>
      <c r="K208" s="63">
        <f t="shared" si="134"/>
        <v>5.18800302</v>
      </c>
      <c r="L208" s="63">
        <f t="shared" si="134"/>
        <v>5.040420408</v>
      </c>
      <c r="M208" s="63">
        <f t="shared" si="134"/>
        <v>5.028898898</v>
      </c>
      <c r="N208" s="63">
        <f t="shared" si="134"/>
        <v>7.292288423</v>
      </c>
      <c r="O208" s="44">
        <f t="shared" si="122"/>
        <v>7.292288423</v>
      </c>
      <c r="P208" s="63">
        <f>'Parametros Recargas'!$M$97</f>
        <v>18.54545455</v>
      </c>
      <c r="Q208" s="36">
        <f>MAX(Q153,ROUNDUP(O208/(P208*'Parametros Recargas'!E$8*'Parametros Recargas'!$B$19),0))</f>
        <v>1</v>
      </c>
      <c r="R208" s="46">
        <f>IF(AND('Parametros Recargas'!E$8=2,O208/(P208*Q208*'Parametros Recargas'!$B$19)&gt;1),2,1)</f>
        <v>1</v>
      </c>
      <c r="S208" s="34">
        <f t="shared" si="123"/>
        <v>0.3932116306</v>
      </c>
      <c r="T208" s="161">
        <f>'Parametros Recargas'!D66</f>
        <v>0.25</v>
      </c>
      <c r="U208" s="161">
        <f>'Parametros Recargas'!E66</f>
        <v>0.25</v>
      </c>
      <c r="V208" s="161">
        <f>'Parametros Recargas'!F66</f>
        <v>0.25</v>
      </c>
      <c r="W208" s="161">
        <f>'Parametros Recargas'!G66</f>
        <v>0</v>
      </c>
      <c r="X208" s="161">
        <f>'Parametros Recargas'!H66</f>
        <v>0.25</v>
      </c>
      <c r="Y208" s="161">
        <f>'Parametros Recargas'!I66</f>
        <v>0.25</v>
      </c>
      <c r="Z208" s="162">
        <f>'Parametros Recargas'!$U$97/P208</f>
        <v>0.01348039216</v>
      </c>
    </row>
    <row r="209" ht="15.75" customHeight="1">
      <c r="A209" s="30" t="s">
        <v>500</v>
      </c>
      <c r="B209" s="118" t="s">
        <v>458</v>
      </c>
      <c r="C209" s="63">
        <f t="shared" ref="C209:N209" si="135">($T209*C$189+$U209*C$190+$V209*C$191+$W209*C$192+$X209*C$193+$Y209*C$194)/$B$2</f>
        <v>22.13675264</v>
      </c>
      <c r="D209" s="63">
        <f t="shared" si="135"/>
        <v>18.20210046</v>
      </c>
      <c r="E209" s="63">
        <f t="shared" si="135"/>
        <v>18.71604313</v>
      </c>
      <c r="F209" s="63">
        <f t="shared" si="135"/>
        <v>18.2481865</v>
      </c>
      <c r="G209" s="63">
        <f t="shared" si="135"/>
        <v>17.73424384</v>
      </c>
      <c r="H209" s="63">
        <f t="shared" si="135"/>
        <v>17.22030117</v>
      </c>
      <c r="I209" s="63">
        <f t="shared" si="135"/>
        <v>18.29427254</v>
      </c>
      <c r="J209" s="63">
        <f t="shared" si="135"/>
        <v>18.66995709</v>
      </c>
      <c r="K209" s="63">
        <f t="shared" si="135"/>
        <v>18.66995709</v>
      </c>
      <c r="L209" s="63">
        <f t="shared" si="135"/>
        <v>18.20210046</v>
      </c>
      <c r="M209" s="63">
        <f t="shared" si="135"/>
        <v>18.15601442</v>
      </c>
      <c r="N209" s="63">
        <f t="shared" si="135"/>
        <v>26.47472958</v>
      </c>
      <c r="O209" s="44">
        <f t="shared" si="122"/>
        <v>26.47472958</v>
      </c>
      <c r="P209" s="63">
        <f>'Parametros Recargas'!$M$98</f>
        <v>34</v>
      </c>
      <c r="Q209" s="36">
        <f>MAX(Q154,ROUNDUP(O209/(P209*'Parametros Recargas'!E$8*'Parametros Recargas'!$B$19),0))</f>
        <v>1</v>
      </c>
      <c r="R209" s="46">
        <f>IF(AND('Parametros Recargas'!E$8=2,O209/(P209*Q209*'Parametros Recargas'!$B$19)&gt;1),2,1)</f>
        <v>1</v>
      </c>
      <c r="S209" s="34">
        <f t="shared" si="123"/>
        <v>0.7786685171</v>
      </c>
      <c r="T209" s="161">
        <f>'Parametros Recargas'!D67</f>
        <v>1</v>
      </c>
      <c r="U209" s="161">
        <f>'Parametros Recargas'!E67</f>
        <v>0</v>
      </c>
      <c r="V209" s="161">
        <f>'Parametros Recargas'!F67</f>
        <v>0</v>
      </c>
      <c r="W209" s="161">
        <f>'Parametros Recargas'!G67</f>
        <v>0</v>
      </c>
      <c r="X209" s="161">
        <f>'Parametros Recargas'!H67</f>
        <v>0</v>
      </c>
      <c r="Y209" s="161">
        <f>'Parametros Recargas'!I67</f>
        <v>0</v>
      </c>
      <c r="Z209" s="162">
        <f>'Parametros Recargas'!$U$98/P209</f>
        <v>0.01470588235</v>
      </c>
    </row>
    <row r="210" ht="15.75" customHeight="1">
      <c r="A210" s="30" t="s">
        <v>522</v>
      </c>
      <c r="B210" s="118" t="s">
        <v>458</v>
      </c>
      <c r="C210" s="63">
        <f t="shared" ref="C210:N210" si="136">($T210*C$189+$U210*C$190+$V210*C$191+$W210*C$192+$X210*C$193+$Y210*C$194)/$B$2</f>
        <v>0.03286968696</v>
      </c>
      <c r="D210" s="63">
        <f t="shared" si="136"/>
        <v>0.02921749952</v>
      </c>
      <c r="E210" s="63">
        <f t="shared" si="136"/>
        <v>0.03104359324</v>
      </c>
      <c r="F210" s="63">
        <f t="shared" si="136"/>
        <v>0.02921749952</v>
      </c>
      <c r="G210" s="63">
        <f t="shared" si="136"/>
        <v>0.0273914058</v>
      </c>
      <c r="H210" s="63">
        <f t="shared" si="136"/>
        <v>0.02556531208</v>
      </c>
      <c r="I210" s="63">
        <f t="shared" si="136"/>
        <v>0.02921749952</v>
      </c>
      <c r="J210" s="63">
        <f t="shared" si="136"/>
        <v>0.03104359324</v>
      </c>
      <c r="K210" s="63">
        <f t="shared" si="136"/>
        <v>0.03104359324</v>
      </c>
      <c r="L210" s="63">
        <f t="shared" si="136"/>
        <v>0.02921749952</v>
      </c>
      <c r="M210" s="63">
        <f t="shared" si="136"/>
        <v>0.02921749952</v>
      </c>
      <c r="N210" s="63">
        <f t="shared" si="136"/>
        <v>0.04017406184</v>
      </c>
      <c r="O210" s="44">
        <f t="shared" si="122"/>
        <v>0.04017406184</v>
      </c>
      <c r="P210" s="63">
        <f>'Parametros Recargas'!$M$99</f>
        <v>34</v>
      </c>
      <c r="Q210" s="36">
        <f>MAX(Q155,ROUNDUP(O210/(P210*'Parametros Recargas'!E$8*'Parametros Recargas'!$B$19),0))</f>
        <v>1</v>
      </c>
      <c r="R210" s="46">
        <f>IF(AND('Parametros Recargas'!E$8=2,O210/(P210*Q210*'Parametros Recargas'!$B$19)&gt;1),2,1)</f>
        <v>1</v>
      </c>
      <c r="S210" s="34">
        <f t="shared" si="123"/>
        <v>0.001181590054</v>
      </c>
      <c r="T210" s="161">
        <f>'Parametros Recargas'!D68</f>
        <v>0</v>
      </c>
      <c r="U210" s="161">
        <f>'Parametros Recargas'!E68</f>
        <v>1</v>
      </c>
      <c r="V210" s="161">
        <f>'Parametros Recargas'!F68</f>
        <v>0</v>
      </c>
      <c r="W210" s="161">
        <f>'Parametros Recargas'!G68</f>
        <v>0</v>
      </c>
      <c r="X210" s="161">
        <f>'Parametros Recargas'!H68</f>
        <v>0</v>
      </c>
      <c r="Y210" s="161">
        <f>'Parametros Recargas'!I68</f>
        <v>0</v>
      </c>
      <c r="Z210" s="162">
        <f>'Parametros Recargas'!$U$99/P210</f>
        <v>0.02941176471</v>
      </c>
    </row>
    <row r="211" ht="15.75" customHeight="1">
      <c r="A211" s="30" t="s">
        <v>529</v>
      </c>
      <c r="B211" s="118" t="s">
        <v>458</v>
      </c>
      <c r="C211" s="63">
        <f t="shared" ref="C211:N211" si="137">($T211*C$189+$U211*C$190+$V211*C$191+$W211*C$192+$X211*C$193+$Y211*C$194)/$B$2</f>
        <v>0.03060989598</v>
      </c>
      <c r="D211" s="63">
        <f t="shared" si="137"/>
        <v>0.02720879643</v>
      </c>
      <c r="E211" s="63">
        <f t="shared" si="137"/>
        <v>0.02890934621</v>
      </c>
      <c r="F211" s="63">
        <f t="shared" si="137"/>
        <v>0.02720879643</v>
      </c>
      <c r="G211" s="63">
        <f t="shared" si="137"/>
        <v>0.02550824665</v>
      </c>
      <c r="H211" s="63">
        <f t="shared" si="137"/>
        <v>0.02380769688</v>
      </c>
      <c r="I211" s="63">
        <f t="shared" si="137"/>
        <v>0.02720879643</v>
      </c>
      <c r="J211" s="63">
        <f t="shared" si="137"/>
        <v>0.02890934621</v>
      </c>
      <c r="K211" s="63">
        <f t="shared" si="137"/>
        <v>0.02890934621</v>
      </c>
      <c r="L211" s="63">
        <f t="shared" si="137"/>
        <v>0.02720879643</v>
      </c>
      <c r="M211" s="63">
        <f t="shared" si="137"/>
        <v>0.02720879643</v>
      </c>
      <c r="N211" s="63">
        <f t="shared" si="137"/>
        <v>0.03741209509</v>
      </c>
      <c r="O211" s="44">
        <f t="shared" si="122"/>
        <v>0.03741209509</v>
      </c>
      <c r="P211" s="63">
        <f>'Parametros Recargas'!$M$100</f>
        <v>8.4375</v>
      </c>
      <c r="Q211" s="36">
        <f>MAX(Q156,ROUNDUP(O211/(P211*'Parametros Recargas'!E$8*'Parametros Recargas'!$B$19),0))</f>
        <v>1</v>
      </c>
      <c r="R211" s="46">
        <f>IF(AND('Parametros Recargas'!E$8=2,O211/(P211*Q211*'Parametros Recargas'!$B$19)&gt;1),2,1)</f>
        <v>1</v>
      </c>
      <c r="S211" s="34">
        <f t="shared" si="123"/>
        <v>0.004434026085</v>
      </c>
      <c r="T211" s="161">
        <f>'Parametros Recargas'!D69</f>
        <v>0</v>
      </c>
      <c r="U211" s="161">
        <f>'Parametros Recargas'!E69</f>
        <v>0</v>
      </c>
      <c r="V211" s="161">
        <f>'Parametros Recargas'!F69</f>
        <v>1</v>
      </c>
      <c r="W211" s="161">
        <f>'Parametros Recargas'!G69</f>
        <v>0</v>
      </c>
      <c r="X211" s="161">
        <f>'Parametros Recargas'!H69</f>
        <v>0</v>
      </c>
      <c r="Y211" s="161">
        <f>'Parametros Recargas'!I69</f>
        <v>0</v>
      </c>
      <c r="Z211" s="162">
        <f>'Parametros Recargas'!$U$100/P211</f>
        <v>0.1185185185</v>
      </c>
    </row>
    <row r="212" ht="15.75" customHeight="1">
      <c r="A212" s="30" t="s">
        <v>531</v>
      </c>
      <c r="B212" s="118" t="s">
        <v>458</v>
      </c>
      <c r="C212" s="63">
        <f t="shared" ref="C212:N212" si="138">($T212*C$189+$U212*C$190+$V212*C$191+$W212*C$192+$X212*C$193+$Y212*C$194)/$B$2</f>
        <v>1.14831621</v>
      </c>
      <c r="D212" s="63">
        <f t="shared" si="138"/>
        <v>1.003621109</v>
      </c>
      <c r="E212" s="63">
        <f t="shared" si="138"/>
        <v>1.066347428</v>
      </c>
      <c r="F212" s="63">
        <f t="shared" si="138"/>
        <v>1.01324234</v>
      </c>
      <c r="G212" s="63">
        <f t="shared" si="138"/>
        <v>0.9505160206</v>
      </c>
      <c r="H212" s="63">
        <f t="shared" si="138"/>
        <v>0.8877897013</v>
      </c>
      <c r="I212" s="63">
        <f t="shared" si="138"/>
        <v>1.022863571</v>
      </c>
      <c r="J212" s="63">
        <f t="shared" si="138"/>
        <v>1.056726197</v>
      </c>
      <c r="K212" s="63">
        <f t="shared" si="138"/>
        <v>1.056726197</v>
      </c>
      <c r="L212" s="63">
        <f t="shared" si="138"/>
        <v>1.003621109</v>
      </c>
      <c r="M212" s="63">
        <f t="shared" si="138"/>
        <v>0.9939998773</v>
      </c>
      <c r="N212" s="63">
        <f t="shared" si="138"/>
        <v>1.341494099</v>
      </c>
      <c r="O212" s="44">
        <f t="shared" si="122"/>
        <v>1.341494099</v>
      </c>
      <c r="P212" s="63">
        <f>'Parametros Recargas'!$M$101</f>
        <v>18.29818182</v>
      </c>
      <c r="Q212" s="36">
        <f>MAX(Q157,ROUNDUP(O212/(P212*'Parametros Recargas'!E$8*'Parametros Recargas'!$B$19),0))</f>
        <v>1</v>
      </c>
      <c r="R212" s="46">
        <f>IF(AND('Parametros Recargas'!E$8=2,O212/(P212*Q212*'Parametros Recargas'!$B$19)&gt;1),2,1)</f>
        <v>1</v>
      </c>
      <c r="S212" s="34">
        <f t="shared" si="123"/>
        <v>0.07331297243</v>
      </c>
      <c r="T212" s="161">
        <f>'Parametros Recargas'!D70</f>
        <v>0</v>
      </c>
      <c r="U212" s="161">
        <f>'Parametros Recargas'!E70</f>
        <v>0</v>
      </c>
      <c r="V212" s="161">
        <f>'Parametros Recargas'!F70</f>
        <v>0</v>
      </c>
      <c r="W212" s="161">
        <f>'Parametros Recargas'!G70</f>
        <v>1</v>
      </c>
      <c r="X212" s="161">
        <f>'Parametros Recargas'!H70</f>
        <v>0</v>
      </c>
      <c r="Y212" s="161">
        <f>'Parametros Recargas'!I70</f>
        <v>0</v>
      </c>
      <c r="Z212" s="162">
        <f>'Parametros Recargas'!$U$101/P212</f>
        <v>0.05465023847</v>
      </c>
    </row>
    <row r="213" ht="15.75" customHeight="1">
      <c r="A213" s="30" t="s">
        <v>533</v>
      </c>
      <c r="B213" s="118" t="s">
        <v>458</v>
      </c>
      <c r="C213" s="63">
        <f t="shared" ref="C213:N213" si="139">($T213*C$189+$U213*C$190+$V213*C$191+$W213*C$192+$X213*C$193+$Y213*C$194)/$B$2</f>
        <v>0.7205343535</v>
      </c>
      <c r="D213" s="63">
        <f t="shared" si="139"/>
        <v>0.6404749809</v>
      </c>
      <c r="E213" s="63">
        <f t="shared" si="139"/>
        <v>0.6805046672</v>
      </c>
      <c r="F213" s="63">
        <f t="shared" si="139"/>
        <v>0.6404749809</v>
      </c>
      <c r="G213" s="63">
        <f t="shared" si="139"/>
        <v>0.6004452946</v>
      </c>
      <c r="H213" s="63">
        <f t="shared" si="139"/>
        <v>0.5604156083</v>
      </c>
      <c r="I213" s="63">
        <f t="shared" si="139"/>
        <v>0.6404749809</v>
      </c>
      <c r="J213" s="63">
        <f t="shared" si="139"/>
        <v>0.6805046672</v>
      </c>
      <c r="K213" s="63">
        <f t="shared" si="139"/>
        <v>0.6805046672</v>
      </c>
      <c r="L213" s="63">
        <f t="shared" si="139"/>
        <v>0.6404749809</v>
      </c>
      <c r="M213" s="63">
        <f t="shared" si="139"/>
        <v>0.6404749809</v>
      </c>
      <c r="N213" s="63">
        <f t="shared" si="139"/>
        <v>0.8806530988</v>
      </c>
      <c r="O213" s="44">
        <f t="shared" si="122"/>
        <v>0.8806530988</v>
      </c>
      <c r="P213" s="63">
        <f>'Parametros Recargas'!$M$102</f>
        <v>15.69230769</v>
      </c>
      <c r="Q213" s="36">
        <f>MAX(Q158,ROUNDUP(O213/(P213*'Parametros Recargas'!E$8*'Parametros Recargas'!$B$19),0))</f>
        <v>1</v>
      </c>
      <c r="R213" s="46">
        <f>IF(AND('Parametros Recargas'!E$8=2,O213/(P213*Q213*'Parametros Recargas'!$B$19)&gt;1),2,1)</f>
        <v>1</v>
      </c>
      <c r="S213" s="34">
        <f t="shared" si="123"/>
        <v>0.05612005041</v>
      </c>
      <c r="T213" s="161">
        <f>'Parametros Recargas'!D71</f>
        <v>0</v>
      </c>
      <c r="U213" s="161">
        <f>'Parametros Recargas'!E71</f>
        <v>0</v>
      </c>
      <c r="V213" s="161">
        <f>'Parametros Recargas'!F71</f>
        <v>0</v>
      </c>
      <c r="W213" s="161">
        <f>'Parametros Recargas'!G71</f>
        <v>0</v>
      </c>
      <c r="X213" s="161">
        <f>'Parametros Recargas'!H71</f>
        <v>0.35</v>
      </c>
      <c r="Y213" s="161">
        <f>'Parametros Recargas'!I71</f>
        <v>0</v>
      </c>
      <c r="Z213" s="162">
        <f>'Parametros Recargas'!$U$102/P213</f>
        <v>0.0637254902</v>
      </c>
    </row>
    <row r="214" ht="15.75" customHeight="1">
      <c r="A214" s="30" t="s">
        <v>535</v>
      </c>
      <c r="B214" s="118" t="s">
        <v>458</v>
      </c>
      <c r="C214" s="63">
        <f t="shared" ref="C214:N214" si="140">($T214*C$189+$U214*C$190+$V214*C$191+$W214*C$192+$X214*C$193+$Y214*C$194)/$B$2</f>
        <v>0.02883287853</v>
      </c>
      <c r="D214" s="63">
        <f t="shared" si="140"/>
        <v>0.02562922536</v>
      </c>
      <c r="E214" s="63">
        <f t="shared" si="140"/>
        <v>0.02723105195</v>
      </c>
      <c r="F214" s="63">
        <f t="shared" si="140"/>
        <v>0.02562922536</v>
      </c>
      <c r="G214" s="63">
        <f t="shared" si="140"/>
        <v>0.02402739878</v>
      </c>
      <c r="H214" s="63">
        <f t="shared" si="140"/>
        <v>0.02242557219</v>
      </c>
      <c r="I214" s="63">
        <f t="shared" si="140"/>
        <v>0.02562922536</v>
      </c>
      <c r="J214" s="63">
        <f t="shared" si="140"/>
        <v>0.02723105195</v>
      </c>
      <c r="K214" s="63">
        <f t="shared" si="140"/>
        <v>0.02723105195</v>
      </c>
      <c r="L214" s="63">
        <f t="shared" si="140"/>
        <v>0.02562922536</v>
      </c>
      <c r="M214" s="63">
        <f t="shared" si="140"/>
        <v>0.02562922536</v>
      </c>
      <c r="N214" s="63">
        <f t="shared" si="140"/>
        <v>0.03524018487</v>
      </c>
      <c r="O214" s="44">
        <f t="shared" si="122"/>
        <v>0.03524018487</v>
      </c>
      <c r="P214" s="63">
        <f>'Parametros Recargas'!$M$103</f>
        <v>12</v>
      </c>
      <c r="Q214" s="36">
        <f>MAX(Q159,ROUNDUP(O214/(P214*'Parametros Recargas'!E$8*'Parametros Recargas'!$B$19),0))</f>
        <v>1</v>
      </c>
      <c r="R214" s="46">
        <f>IF(AND('Parametros Recargas'!E$8=2,O214/(P214*Q214*'Parametros Recargas'!$B$19)&gt;1),2,1)</f>
        <v>1</v>
      </c>
      <c r="S214" s="34">
        <f t="shared" si="123"/>
        <v>0.002936682073</v>
      </c>
      <c r="T214" s="161">
        <f>'Parametros Recargas'!D72</f>
        <v>0</v>
      </c>
      <c r="U214" s="161">
        <f>'Parametros Recargas'!E72</f>
        <v>0</v>
      </c>
      <c r="V214" s="161">
        <f>'Parametros Recargas'!F72</f>
        <v>0</v>
      </c>
      <c r="W214" s="161">
        <f>'Parametros Recargas'!G72</f>
        <v>0</v>
      </c>
      <c r="X214" s="161">
        <f>'Parametros Recargas'!H72</f>
        <v>0</v>
      </c>
      <c r="Y214" s="161">
        <f>'Parametros Recargas'!I72</f>
        <v>0.35</v>
      </c>
      <c r="Z214" s="162">
        <f>'Parametros Recargas'!$U$103/P214</f>
        <v>0.08333333333</v>
      </c>
    </row>
    <row r="215" ht="15.75" customHeight="1">
      <c r="A215" s="73" t="s">
        <v>536</v>
      </c>
      <c r="B215" s="118" t="s">
        <v>458</v>
      </c>
      <c r="C215" s="63">
        <f t="shared" ref="C215:N215" si="141">($T215*C$189+$U215*C$190+$V215*C$191+$W215*C$192+$X215*C$193+$Y215*C$194)/$B$2</f>
        <v>24.09791567</v>
      </c>
      <c r="D215" s="63">
        <f t="shared" si="141"/>
        <v>19.92825207</v>
      </c>
      <c r="E215" s="63">
        <f t="shared" si="141"/>
        <v>20.55007921</v>
      </c>
      <c r="F215" s="63">
        <f t="shared" si="141"/>
        <v>19.98395934</v>
      </c>
      <c r="G215" s="63">
        <f t="shared" si="141"/>
        <v>19.3621322</v>
      </c>
      <c r="H215" s="63">
        <f t="shared" si="141"/>
        <v>18.74030506</v>
      </c>
      <c r="I215" s="63">
        <f t="shared" si="141"/>
        <v>20.03966662</v>
      </c>
      <c r="J215" s="63">
        <f t="shared" si="141"/>
        <v>20.49437194</v>
      </c>
      <c r="K215" s="63">
        <f t="shared" si="141"/>
        <v>20.49437194</v>
      </c>
      <c r="L215" s="63">
        <f t="shared" si="141"/>
        <v>19.92825207</v>
      </c>
      <c r="M215" s="63">
        <f t="shared" si="141"/>
        <v>19.8725448</v>
      </c>
      <c r="N215" s="63">
        <f t="shared" si="141"/>
        <v>28.80970312</v>
      </c>
      <c r="O215" s="44">
        <f t="shared" si="122"/>
        <v>28.80970312</v>
      </c>
      <c r="P215" s="63">
        <f>'Parametros Recargas'!$M$104</f>
        <v>25.04347826</v>
      </c>
      <c r="Q215" s="36">
        <f>MAX(Q160,ROUNDUP(O215/(P215*'Parametros Recargas'!E$8*'Parametros Recargas'!$B$19),0))</f>
        <v>2</v>
      </c>
      <c r="R215" s="46">
        <f>IF(AND('Parametros Recargas'!E$8=2,O215/(P215*Q215*'Parametros Recargas'!$B$19)&gt;1),2,1)</f>
        <v>1</v>
      </c>
      <c r="S215" s="34">
        <f t="shared" si="123"/>
        <v>0.5751937255</v>
      </c>
      <c r="T215" s="161">
        <f>'Parametros Recargas'!D73</f>
        <v>1</v>
      </c>
      <c r="U215" s="161">
        <f>'Parametros Recargas'!E73</f>
        <v>1</v>
      </c>
      <c r="V215" s="161">
        <f>'Parametros Recargas'!F73</f>
        <v>1</v>
      </c>
      <c r="W215" s="161">
        <f>'Parametros Recargas'!G73</f>
        <v>1</v>
      </c>
      <c r="X215" s="161">
        <f>'Parametros Recargas'!H73</f>
        <v>0.35</v>
      </c>
      <c r="Y215" s="161">
        <f>'Parametros Recargas'!I73</f>
        <v>0.35</v>
      </c>
      <c r="Z215" s="162">
        <f>'Parametros Recargas'!$U$104/P215</f>
        <v>0.03993055556</v>
      </c>
    </row>
    <row r="216" ht="15.75" customHeight="1">
      <c r="A216" s="73" t="s">
        <v>537</v>
      </c>
      <c r="B216" s="118" t="s">
        <v>458</v>
      </c>
      <c r="C216" s="63">
        <f t="shared" ref="C216:N216" si="142">($T216*C$189+$U216*C$190+$V216*C$191+$W216*C$192+$X216*C$193+$Y216*C$194)/$B$2</f>
        <v>23.37738131</v>
      </c>
      <c r="D216" s="63">
        <f t="shared" si="142"/>
        <v>19.28777709</v>
      </c>
      <c r="E216" s="63">
        <f t="shared" si="142"/>
        <v>19.86957454</v>
      </c>
      <c r="F216" s="63">
        <f t="shared" si="142"/>
        <v>19.34348436</v>
      </c>
      <c r="G216" s="63">
        <f t="shared" si="142"/>
        <v>18.76168691</v>
      </c>
      <c r="H216" s="63">
        <f t="shared" si="142"/>
        <v>18.17988946</v>
      </c>
      <c r="I216" s="63">
        <f t="shared" si="142"/>
        <v>19.39919163</v>
      </c>
      <c r="J216" s="63">
        <f t="shared" si="142"/>
        <v>19.81386727</v>
      </c>
      <c r="K216" s="63">
        <f t="shared" si="142"/>
        <v>19.81386727</v>
      </c>
      <c r="L216" s="63">
        <f t="shared" si="142"/>
        <v>19.28777709</v>
      </c>
      <c r="M216" s="63">
        <f t="shared" si="142"/>
        <v>19.23206982</v>
      </c>
      <c r="N216" s="63">
        <f t="shared" si="142"/>
        <v>27.92905002</v>
      </c>
      <c r="O216" s="44">
        <f t="shared" si="122"/>
        <v>27.92905002</v>
      </c>
      <c r="P216" s="63">
        <f>'Parametros Recargas'!$M$105</f>
        <v>52.36363636</v>
      </c>
      <c r="Q216" s="36">
        <f>MAX(Q161,ROUNDUP(O216/(P216*'Parametros Recargas'!E$8*'Parametros Recargas'!$B$19),0))</f>
        <v>1</v>
      </c>
      <c r="R216" s="46">
        <f>IF(AND('Parametros Recargas'!E$8=2,O216/(P216*Q216*'Parametros Recargas'!$B$19)&gt;1),2,1)</f>
        <v>1</v>
      </c>
      <c r="S216" s="34">
        <f t="shared" si="123"/>
        <v>0.5333672747</v>
      </c>
      <c r="T216" s="161">
        <f>'Parametros Recargas'!D74</f>
        <v>1</v>
      </c>
      <c r="U216" s="161">
        <f>'Parametros Recargas'!E74</f>
        <v>1</v>
      </c>
      <c r="V216" s="161">
        <f>'Parametros Recargas'!F74</f>
        <v>1</v>
      </c>
      <c r="W216" s="161">
        <f>'Parametros Recargas'!G74</f>
        <v>1</v>
      </c>
      <c r="X216" s="161">
        <f>'Parametros Recargas'!H74</f>
        <v>0</v>
      </c>
      <c r="Y216" s="161">
        <f>'Parametros Recargas'!I74</f>
        <v>0.35</v>
      </c>
      <c r="Z216" s="162">
        <f>'Parametros Recargas'!$U$105/P216</f>
        <v>0.01909722222</v>
      </c>
    </row>
    <row r="217" ht="15.75" customHeight="1">
      <c r="A217" s="73" t="s">
        <v>546</v>
      </c>
      <c r="B217" s="118" t="s">
        <v>458</v>
      </c>
      <c r="C217" s="63">
        <f t="shared" ref="C217:N217" si="143">($T217*C$189+$U217*C$190+$V217*C$191+$W217*C$192+$X217*C$193+$Y217*C$194)/$B$2</f>
        <v>2.141049234</v>
      </c>
      <c r="D217" s="63">
        <f t="shared" si="143"/>
        <v>1.903154875</v>
      </c>
      <c r="E217" s="63">
        <f t="shared" si="143"/>
        <v>2.022102055</v>
      </c>
      <c r="F217" s="63">
        <f t="shared" si="143"/>
        <v>1.903154875</v>
      </c>
      <c r="G217" s="63">
        <f t="shared" si="143"/>
        <v>1.784207695</v>
      </c>
      <c r="H217" s="63">
        <f t="shared" si="143"/>
        <v>1.665260516</v>
      </c>
      <c r="I217" s="63">
        <f t="shared" si="143"/>
        <v>1.903154875</v>
      </c>
      <c r="J217" s="63">
        <f t="shared" si="143"/>
        <v>2.022102055</v>
      </c>
      <c r="K217" s="63">
        <f t="shared" si="143"/>
        <v>2.022102055</v>
      </c>
      <c r="L217" s="63">
        <f t="shared" si="143"/>
        <v>1.903154875</v>
      </c>
      <c r="M217" s="63">
        <f t="shared" si="143"/>
        <v>1.903154875</v>
      </c>
      <c r="N217" s="63">
        <f t="shared" si="143"/>
        <v>2.616837953</v>
      </c>
      <c r="O217" s="44">
        <f t="shared" si="122"/>
        <v>2.616837953</v>
      </c>
      <c r="P217" s="63">
        <f>'Parametros Recargas'!$M$106</f>
        <v>55.63636364</v>
      </c>
      <c r="Q217" s="36">
        <f>MAX(Q162,ROUNDUP(O217/(P217*'Parametros Recargas'!E$8*'Parametros Recargas'!$B$19),0))</f>
        <v>1</v>
      </c>
      <c r="R217" s="46">
        <f>IF(AND('Parametros Recargas'!E$8=2,O217/(P217*Q217*'Parametros Recargas'!$B$19)&gt;1),2,1)</f>
        <v>1</v>
      </c>
      <c r="S217" s="34">
        <f t="shared" si="123"/>
        <v>0.04703466909</v>
      </c>
      <c r="T217" s="161">
        <f>'Parametros Recargas'!D75</f>
        <v>0</v>
      </c>
      <c r="U217" s="161">
        <f>'Parametros Recargas'!E75</f>
        <v>0</v>
      </c>
      <c r="V217" s="161">
        <f>'Parametros Recargas'!F75</f>
        <v>0</v>
      </c>
      <c r="W217" s="161">
        <f>'Parametros Recargas'!G75</f>
        <v>0</v>
      </c>
      <c r="X217" s="161">
        <f>'Parametros Recargas'!H75</f>
        <v>1</v>
      </c>
      <c r="Y217" s="161">
        <f>'Parametros Recargas'!I75</f>
        <v>1</v>
      </c>
      <c r="Z217" s="162">
        <f>'Parametros Recargas'!$U$106/P217</f>
        <v>0.01797385621</v>
      </c>
    </row>
    <row r="218" ht="15.75" customHeight="1">
      <c r="A218" s="73" t="s">
        <v>559</v>
      </c>
      <c r="B218" s="118" t="s">
        <v>458</v>
      </c>
      <c r="C218" s="63">
        <f t="shared" ref="C218:N218" si="144">($T218*C$189+$U218*C$190+$V218*C$191+$W218*C$192+$X218*C$193+$Y218*C$194)/$B$2</f>
        <v>25.48959767</v>
      </c>
      <c r="D218" s="63">
        <f t="shared" si="144"/>
        <v>21.16530274</v>
      </c>
      <c r="E218" s="63">
        <f t="shared" si="144"/>
        <v>21.86444555</v>
      </c>
      <c r="F218" s="63">
        <f t="shared" si="144"/>
        <v>21.22101001</v>
      </c>
      <c r="G218" s="63">
        <f t="shared" si="144"/>
        <v>20.52186721</v>
      </c>
      <c r="H218" s="63">
        <f t="shared" si="144"/>
        <v>19.8227244</v>
      </c>
      <c r="I218" s="63">
        <f t="shared" si="144"/>
        <v>21.27671728</v>
      </c>
      <c r="J218" s="63">
        <f t="shared" si="144"/>
        <v>21.80873828</v>
      </c>
      <c r="K218" s="63">
        <f t="shared" si="144"/>
        <v>21.80873828</v>
      </c>
      <c r="L218" s="63">
        <f t="shared" si="144"/>
        <v>21.16530274</v>
      </c>
      <c r="M218" s="63">
        <f t="shared" si="144"/>
        <v>21.10959547</v>
      </c>
      <c r="N218" s="63">
        <f t="shared" si="144"/>
        <v>30.51064779</v>
      </c>
      <c r="O218" s="44">
        <f t="shared" si="122"/>
        <v>30.51064779</v>
      </c>
      <c r="P218" s="63">
        <f>'Parametros Recargas'!$M$107</f>
        <v>76.5</v>
      </c>
      <c r="Q218" s="36">
        <f>MAX(Q163,ROUNDUP(O218/(P218*'Parametros Recargas'!E$8*'Parametros Recargas'!$B$19),0))</f>
        <v>1</v>
      </c>
      <c r="R218" s="46">
        <f>IF(AND('Parametros Recargas'!E$8=2,O218/(P218*Q218*'Parametros Recargas'!$B$19)&gt;1),2,1)</f>
        <v>1</v>
      </c>
      <c r="S218" s="34">
        <f t="shared" si="123"/>
        <v>0.3988319972</v>
      </c>
      <c r="T218" s="161">
        <f>'Parametros Recargas'!D76</f>
        <v>1</v>
      </c>
      <c r="U218" s="161">
        <f>'Parametros Recargas'!E76</f>
        <v>1</v>
      </c>
      <c r="V218" s="161">
        <f>'Parametros Recargas'!F76</f>
        <v>1</v>
      </c>
      <c r="W218" s="161">
        <f>'Parametros Recargas'!G76</f>
        <v>1</v>
      </c>
      <c r="X218" s="161">
        <f>'Parametros Recargas'!H76</f>
        <v>1</v>
      </c>
      <c r="Y218" s="161">
        <f>'Parametros Recargas'!I76</f>
        <v>1</v>
      </c>
      <c r="Z218" s="162">
        <f>'Parametros Recargas'!$U$107/P218</f>
        <v>0.003267973856</v>
      </c>
    </row>
    <row r="219" ht="15.75" customHeight="1">
      <c r="A219" s="73" t="s">
        <v>566</v>
      </c>
      <c r="B219" s="118" t="s">
        <v>458</v>
      </c>
      <c r="C219" s="63">
        <f t="shared" ref="C219:N219" si="145">($T219*C$189+$U219*C$190+$V219*C$191+$W219*C$192+$X219*C$193+$Y219*C$194)/$B$2</f>
        <v>3.823439651</v>
      </c>
      <c r="D219" s="63">
        <f t="shared" si="145"/>
        <v>3.174795411</v>
      </c>
      <c r="E219" s="63">
        <f t="shared" si="145"/>
        <v>3.279666832</v>
      </c>
      <c r="F219" s="63">
        <f t="shared" si="145"/>
        <v>3.183151502</v>
      </c>
      <c r="G219" s="63">
        <f t="shared" si="145"/>
        <v>3.078280081</v>
      </c>
      <c r="H219" s="63">
        <f t="shared" si="145"/>
        <v>2.97340866</v>
      </c>
      <c r="I219" s="63">
        <f t="shared" si="145"/>
        <v>3.191507593</v>
      </c>
      <c r="J219" s="63">
        <f t="shared" si="145"/>
        <v>3.271310741</v>
      </c>
      <c r="K219" s="63">
        <f t="shared" si="145"/>
        <v>3.271310741</v>
      </c>
      <c r="L219" s="63">
        <f t="shared" si="145"/>
        <v>3.174795411</v>
      </c>
      <c r="M219" s="63">
        <f t="shared" si="145"/>
        <v>3.16643932</v>
      </c>
      <c r="N219" s="63">
        <f t="shared" si="145"/>
        <v>4.576597168</v>
      </c>
      <c r="O219" s="44">
        <f t="shared" si="122"/>
        <v>4.576597168</v>
      </c>
      <c r="P219" s="63">
        <f>'Parametros Recargas'!$M$108</f>
        <v>8</v>
      </c>
      <c r="Q219" s="36">
        <f>MAX(Q164,ROUNDUP(O219/(P219*'Parametros Recargas'!E$8*'Parametros Recargas'!$B$19),0))</f>
        <v>1</v>
      </c>
      <c r="R219" s="46">
        <f>IF(AND('Parametros Recargas'!E$8=2,O219/(P219*Q219*'Parametros Recargas'!$B$19)&gt;1),2,1)</f>
        <v>1</v>
      </c>
      <c r="S219" s="34">
        <f t="shared" si="123"/>
        <v>0.5720746461</v>
      </c>
      <c r="T219" s="161">
        <f>'Parametros Recargas'!D77</f>
        <v>0.15</v>
      </c>
      <c r="U219" s="161">
        <f>'Parametros Recargas'!E77</f>
        <v>0.15</v>
      </c>
      <c r="V219" s="161">
        <f>'Parametros Recargas'!F77</f>
        <v>0.15</v>
      </c>
      <c r="W219" s="161">
        <f>'Parametros Recargas'!G77</f>
        <v>0.15</v>
      </c>
      <c r="X219" s="161">
        <f>'Parametros Recargas'!H77</f>
        <v>0.15</v>
      </c>
      <c r="Y219" s="161">
        <f>'Parametros Recargas'!I77</f>
        <v>0.15</v>
      </c>
      <c r="Z219" s="162">
        <f>'Parametros Recargas'!$U$108/P219</f>
        <v>0.125</v>
      </c>
    </row>
    <row r="220" ht="15.75" customHeight="1">
      <c r="A220" s="73" t="s">
        <v>574</v>
      </c>
      <c r="B220" s="118" t="s">
        <v>458</v>
      </c>
      <c r="C220" s="63">
        <f t="shared" ref="C220:N220" si="146">($T220*C$189+$U220*C$190+$V220*C$191+$W220*C$192+$X220*C$193+$Y220*C$194)/$B$2</f>
        <v>25.48959767</v>
      </c>
      <c r="D220" s="63">
        <f t="shared" si="146"/>
        <v>21.16530274</v>
      </c>
      <c r="E220" s="63">
        <f t="shared" si="146"/>
        <v>21.86444555</v>
      </c>
      <c r="F220" s="63">
        <f t="shared" si="146"/>
        <v>21.22101001</v>
      </c>
      <c r="G220" s="63">
        <f t="shared" si="146"/>
        <v>20.52186721</v>
      </c>
      <c r="H220" s="63">
        <f t="shared" si="146"/>
        <v>19.8227244</v>
      </c>
      <c r="I220" s="63">
        <f t="shared" si="146"/>
        <v>21.27671728</v>
      </c>
      <c r="J220" s="63">
        <f t="shared" si="146"/>
        <v>21.80873828</v>
      </c>
      <c r="K220" s="63">
        <f t="shared" si="146"/>
        <v>21.80873828</v>
      </c>
      <c r="L220" s="63">
        <f t="shared" si="146"/>
        <v>21.16530274</v>
      </c>
      <c r="M220" s="63">
        <f t="shared" si="146"/>
        <v>21.10959547</v>
      </c>
      <c r="N220" s="63">
        <f t="shared" si="146"/>
        <v>30.51064779</v>
      </c>
      <c r="O220" s="44">
        <f t="shared" si="122"/>
        <v>30.51064779</v>
      </c>
      <c r="P220" s="63">
        <f>'Parametros Recargas'!$M$109</f>
        <v>52.36363636</v>
      </c>
      <c r="Q220" s="36">
        <f>MAX(Q165,ROUNDUP(O220/(P220*'Parametros Recargas'!E$8*'Parametros Recargas'!$B$19),0))</f>
        <v>1</v>
      </c>
      <c r="R220" s="46">
        <f>IF(AND('Parametros Recargas'!E$8=2,O220/(P220*Q220*'Parametros Recargas'!$B$19)&gt;1),2,1)</f>
        <v>1</v>
      </c>
      <c r="S220" s="34">
        <f t="shared" si="123"/>
        <v>0.582668621</v>
      </c>
      <c r="T220" s="161">
        <f>'Parametros Recargas'!D78</f>
        <v>1</v>
      </c>
      <c r="U220" s="161">
        <f>'Parametros Recargas'!E78</f>
        <v>1</v>
      </c>
      <c r="V220" s="161">
        <f>'Parametros Recargas'!F78</f>
        <v>1</v>
      </c>
      <c r="W220" s="161">
        <f>'Parametros Recargas'!G78</f>
        <v>1</v>
      </c>
      <c r="X220" s="161">
        <f>'Parametros Recargas'!H78</f>
        <v>1</v>
      </c>
      <c r="Y220" s="161">
        <f>'Parametros Recargas'!I78</f>
        <v>1</v>
      </c>
      <c r="Z220" s="162">
        <f>'Parametros Recargas'!$U$109/P220</f>
        <v>0.01909722222</v>
      </c>
    </row>
    <row r="221" ht="15.75" customHeight="1">
      <c r="A221" s="73" t="s">
        <v>583</v>
      </c>
      <c r="B221" s="118" t="s">
        <v>458</v>
      </c>
      <c r="C221" s="63">
        <f t="shared" ref="C221:N221" si="147">($T221*C$189+$U221*C$190+$V221*C$191+$W221*C$192+$X221*C$193+$Y221*C$194)/$B$2</f>
        <v>25.48959767</v>
      </c>
      <c r="D221" s="63">
        <f t="shared" si="147"/>
        <v>21.16530274</v>
      </c>
      <c r="E221" s="63">
        <f t="shared" si="147"/>
        <v>21.86444555</v>
      </c>
      <c r="F221" s="63">
        <f t="shared" si="147"/>
        <v>21.22101001</v>
      </c>
      <c r="G221" s="63">
        <f t="shared" si="147"/>
        <v>20.52186721</v>
      </c>
      <c r="H221" s="63">
        <f t="shared" si="147"/>
        <v>19.8227244</v>
      </c>
      <c r="I221" s="63">
        <f t="shared" si="147"/>
        <v>21.27671728</v>
      </c>
      <c r="J221" s="63">
        <f t="shared" si="147"/>
        <v>21.80873828</v>
      </c>
      <c r="K221" s="63">
        <f t="shared" si="147"/>
        <v>21.80873828</v>
      </c>
      <c r="L221" s="63">
        <f t="shared" si="147"/>
        <v>21.16530274</v>
      </c>
      <c r="M221" s="63">
        <f t="shared" si="147"/>
        <v>21.10959547</v>
      </c>
      <c r="N221" s="63">
        <f t="shared" si="147"/>
        <v>30.51064779</v>
      </c>
      <c r="O221" s="44">
        <f t="shared" si="122"/>
        <v>30.51064779</v>
      </c>
      <c r="P221" s="63">
        <f>'Parametros Recargas'!$M$110</f>
        <v>57.6</v>
      </c>
      <c r="Q221" s="36">
        <f>MAX(Q166,ROUNDUP(O221/(P221*'Parametros Recargas'!E$8*'Parametros Recargas'!$B$19),0))</f>
        <v>1</v>
      </c>
      <c r="R221" s="46">
        <f>IF(AND('Parametros Recargas'!E$8=2,O221/(P221*Q221*'Parametros Recargas'!$B$19)&gt;1),2,1)</f>
        <v>1</v>
      </c>
      <c r="S221" s="34">
        <f t="shared" si="123"/>
        <v>0.5296987463</v>
      </c>
      <c r="T221" s="161">
        <f>'Parametros Recargas'!D79</f>
        <v>1</v>
      </c>
      <c r="U221" s="161">
        <f>'Parametros Recargas'!E79</f>
        <v>1</v>
      </c>
      <c r="V221" s="161">
        <f>'Parametros Recargas'!F79</f>
        <v>1</v>
      </c>
      <c r="W221" s="161">
        <f>'Parametros Recargas'!G79</f>
        <v>1</v>
      </c>
      <c r="X221" s="161">
        <f>'Parametros Recargas'!H79</f>
        <v>1</v>
      </c>
      <c r="Y221" s="161">
        <f>'Parametros Recargas'!I79</f>
        <v>1</v>
      </c>
      <c r="Z221" s="162">
        <f>'Parametros Recargas'!$U$110/P221</f>
        <v>0.01736111111</v>
      </c>
    </row>
    <row r="222" ht="15.75" customHeight="1">
      <c r="A222" s="73" t="s">
        <v>590</v>
      </c>
      <c r="B222" s="118" t="s">
        <v>591</v>
      </c>
      <c r="C222" s="175">
        <f t="shared" ref="C222:N222" si="148">SUMPRODUCT(C196:C221,$Z196:$Z221)*$B$2</f>
        <v>875.4701765</v>
      </c>
      <c r="D222" s="175">
        <f t="shared" si="148"/>
        <v>726.6662055</v>
      </c>
      <c r="E222" s="175">
        <f t="shared" si="148"/>
        <v>750.6456808</v>
      </c>
      <c r="F222" s="175">
        <f t="shared" si="148"/>
        <v>728.7176823</v>
      </c>
      <c r="G222" s="175">
        <f t="shared" si="148"/>
        <v>704.738207</v>
      </c>
      <c r="H222" s="175">
        <f t="shared" si="148"/>
        <v>680.7587317</v>
      </c>
      <c r="I222" s="175">
        <f t="shared" si="148"/>
        <v>730.7691591</v>
      </c>
      <c r="J222" s="175">
        <f t="shared" si="148"/>
        <v>748.594204</v>
      </c>
      <c r="K222" s="175">
        <f t="shared" si="148"/>
        <v>748.594204</v>
      </c>
      <c r="L222" s="175">
        <f t="shared" si="148"/>
        <v>726.6662055</v>
      </c>
      <c r="M222" s="175">
        <f t="shared" si="148"/>
        <v>724.6147287</v>
      </c>
      <c r="N222" s="175">
        <f t="shared" si="148"/>
        <v>1047.02655</v>
      </c>
      <c r="O222" s="175">
        <f t="shared" si="122"/>
        <v>1047.02655</v>
      </c>
    </row>
    <row r="223" ht="15.75" customHeight="1"/>
    <row r="224" ht="15.75" customHeight="1">
      <c r="A224" s="45" t="s">
        <v>700</v>
      </c>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137"/>
    </row>
    <row r="225" ht="15.75" customHeight="1">
      <c r="A225" s="29" t="s">
        <v>376</v>
      </c>
      <c r="B225" s="29" t="s">
        <v>377</v>
      </c>
      <c r="C225" s="29" t="s">
        <v>109</v>
      </c>
      <c r="D225" s="29" t="s">
        <v>110</v>
      </c>
      <c r="E225" s="29" t="s">
        <v>111</v>
      </c>
      <c r="F225" s="29" t="s">
        <v>112</v>
      </c>
      <c r="G225" s="29" t="s">
        <v>113</v>
      </c>
      <c r="H225" s="29" t="s">
        <v>114</v>
      </c>
      <c r="I225" s="29" t="s">
        <v>115</v>
      </c>
      <c r="J225" s="29" t="s">
        <v>116</v>
      </c>
      <c r="K225" s="29" t="s">
        <v>117</v>
      </c>
      <c r="L225" s="29" t="s">
        <v>118</v>
      </c>
      <c r="M225" s="29" t="s">
        <v>119</v>
      </c>
      <c r="N225" s="29" t="s">
        <v>120</v>
      </c>
      <c r="O225" s="29" t="s">
        <v>15</v>
      </c>
    </row>
    <row r="226" ht="15.75" customHeight="1">
      <c r="A226" s="30" t="str">
        <f>datos_base!$A$55</f>
        <v>ABC 1 kg</v>
      </c>
      <c r="B226" s="139" t="s">
        <v>379</v>
      </c>
      <c r="C226" s="64">
        <f>datos_base!$F$55*'Parametros Recargas'!D$33*'Parametros Recargas'!$Q$33</f>
        <v>2885.342209</v>
      </c>
      <c r="D226" s="64">
        <f>datos_base!$F$55*'Parametros Recargas'!E$33*'Parametros Recargas'!$Q$33</f>
        <v>2250.566923</v>
      </c>
      <c r="E226" s="64">
        <f>datos_base!$F$55*'Parametros Recargas'!F$33*'Parametros Recargas'!$Q$33</f>
        <v>2250.566923</v>
      </c>
      <c r="F226" s="64">
        <f>datos_base!$F$55*'Parametros Recargas'!G$33*'Parametros Recargas'!$Q$33</f>
        <v>2250.566923</v>
      </c>
      <c r="G226" s="64">
        <f>datos_base!$F$55*'Parametros Recargas'!H$33*'Parametros Recargas'!$Q$33</f>
        <v>2250.566923</v>
      </c>
      <c r="H226" s="64">
        <f>datos_base!$F$55*'Parametros Recargas'!I$33*'Parametros Recargas'!$Q$33</f>
        <v>2250.566923</v>
      </c>
      <c r="I226" s="64">
        <f>datos_base!$F$55*'Parametros Recargas'!J$33*'Parametros Recargas'!$Q$33</f>
        <v>2250.566923</v>
      </c>
      <c r="J226" s="64">
        <f>datos_base!$F$55*'Parametros Recargas'!K$33*'Parametros Recargas'!$Q$33</f>
        <v>2250.566923</v>
      </c>
      <c r="K226" s="64">
        <f>datos_base!$F$55*'Parametros Recargas'!L$33*'Parametros Recargas'!$Q$33</f>
        <v>2250.566923</v>
      </c>
      <c r="L226" s="64">
        <f>datos_base!$F$55*'Parametros Recargas'!M$33*'Parametros Recargas'!$Q$33</f>
        <v>2250.566923</v>
      </c>
      <c r="M226" s="64">
        <f>datos_base!$F$55*'Parametros Recargas'!N$33*'Parametros Recargas'!$Q$33</f>
        <v>2250.566923</v>
      </c>
      <c r="N226" s="64">
        <f>datos_base!$F$55*'Parametros Recargas'!O$33*'Parametros Recargas'!$Q$33</f>
        <v>3462.41065</v>
      </c>
      <c r="O226" s="84">
        <f t="shared" ref="O226:O242" si="149">SUM(C226:N226)</f>
        <v>28853.42209</v>
      </c>
    </row>
    <row r="227" ht="15.75" customHeight="1">
      <c r="A227" s="30" t="str">
        <f>datos_base!$A$56</f>
        <v>ABC 2,5 kg</v>
      </c>
      <c r="B227" s="139" t="s">
        <v>379</v>
      </c>
      <c r="C227" s="64">
        <f>datos_base!$F$56*'Parametros Recargas'!D$34*'Parametros Recargas'!$Q$34</f>
        <v>241.9311678</v>
      </c>
      <c r="D227" s="64">
        <f>datos_base!$F$56*'Parametros Recargas'!E$34*'Parametros Recargas'!$Q$34</f>
        <v>215.0499269</v>
      </c>
      <c r="E227" s="64">
        <f>datos_base!$F$56*'Parametros Recargas'!F$34*'Parametros Recargas'!$Q$34</f>
        <v>228.4905474</v>
      </c>
      <c r="F227" s="64">
        <f>datos_base!$F$56*'Parametros Recargas'!G$34*'Parametros Recargas'!$Q$34</f>
        <v>215.0499269</v>
      </c>
      <c r="G227" s="64">
        <f>datos_base!$F$56*'Parametros Recargas'!H$34*'Parametros Recargas'!$Q$34</f>
        <v>201.6093065</v>
      </c>
      <c r="H227" s="64">
        <f>datos_base!$F$56*'Parametros Recargas'!I$34*'Parametros Recargas'!$Q$34</f>
        <v>188.1686861</v>
      </c>
      <c r="I227" s="64">
        <f>datos_base!$F$56*'Parametros Recargas'!J$34*'Parametros Recargas'!$Q$34</f>
        <v>215.0499269</v>
      </c>
      <c r="J227" s="64">
        <f>datos_base!$F$56*'Parametros Recargas'!K$34*'Parametros Recargas'!$Q$34</f>
        <v>228.4905474</v>
      </c>
      <c r="K227" s="64">
        <f>datos_base!$F$56*'Parametros Recargas'!L$34*'Parametros Recargas'!$Q$34</f>
        <v>228.4905474</v>
      </c>
      <c r="L227" s="64">
        <f>datos_base!$F$56*'Parametros Recargas'!M$34*'Parametros Recargas'!$Q$34</f>
        <v>215.0499269</v>
      </c>
      <c r="M227" s="64">
        <f>datos_base!$F$56*'Parametros Recargas'!N$34*'Parametros Recargas'!$Q$34</f>
        <v>215.0499269</v>
      </c>
      <c r="N227" s="64">
        <f>datos_base!$F$56*'Parametros Recargas'!O$34*'Parametros Recargas'!$Q$34</f>
        <v>295.6936496</v>
      </c>
      <c r="O227" s="84">
        <f t="shared" si="149"/>
        <v>2688.124087</v>
      </c>
    </row>
    <row r="228" ht="15.75" customHeight="1">
      <c r="A228" s="30" t="str">
        <f>datos_base!$A$57</f>
        <v>ABC 5 kg</v>
      </c>
      <c r="B228" s="139" t="s">
        <v>379</v>
      </c>
      <c r="C228" s="64">
        <f>datos_base!$F$57*'Parametros Recargas'!D$35*'Parametros Recargas'!$Q$35</f>
        <v>1491.677753</v>
      </c>
      <c r="D228" s="64">
        <f>datos_base!$F$57*'Parametros Recargas'!E$35*'Parametros Recargas'!$Q$35</f>
        <v>1325.935781</v>
      </c>
      <c r="E228" s="64">
        <f>datos_base!$F$57*'Parametros Recargas'!F$35*'Parametros Recargas'!$Q$35</f>
        <v>1408.806767</v>
      </c>
      <c r="F228" s="64">
        <f>datos_base!$F$57*'Parametros Recargas'!G$35*'Parametros Recargas'!$Q$35</f>
        <v>1325.935781</v>
      </c>
      <c r="G228" s="64">
        <f>datos_base!$F$57*'Parametros Recargas'!H$35*'Parametros Recargas'!$Q$35</f>
        <v>1243.064794</v>
      </c>
      <c r="H228" s="64">
        <f>datos_base!$F$57*'Parametros Recargas'!I$35*'Parametros Recargas'!$Q$35</f>
        <v>1160.193808</v>
      </c>
      <c r="I228" s="64">
        <f>datos_base!$F$57*'Parametros Recargas'!J$35*'Parametros Recargas'!$Q$35</f>
        <v>1325.935781</v>
      </c>
      <c r="J228" s="64">
        <f>datos_base!$F$57*'Parametros Recargas'!K$35*'Parametros Recargas'!$Q$35</f>
        <v>1408.806767</v>
      </c>
      <c r="K228" s="64">
        <f>datos_base!$F$57*'Parametros Recargas'!L$35*'Parametros Recargas'!$Q$35</f>
        <v>1408.806767</v>
      </c>
      <c r="L228" s="64">
        <f>datos_base!$F$57*'Parametros Recargas'!M$35*'Parametros Recargas'!$Q$35</f>
        <v>1325.935781</v>
      </c>
      <c r="M228" s="64">
        <f>datos_base!$F$57*'Parametros Recargas'!N$35*'Parametros Recargas'!$Q$35</f>
        <v>1325.935781</v>
      </c>
      <c r="N228" s="64">
        <f>datos_base!$F$57*'Parametros Recargas'!O$35*'Parametros Recargas'!$Q$35</f>
        <v>1823.161698</v>
      </c>
      <c r="O228" s="84">
        <f t="shared" si="149"/>
        <v>16574.19726</v>
      </c>
    </row>
    <row r="229" ht="15.75" customHeight="1">
      <c r="A229" s="30" t="str">
        <f>datos_base!$A$58</f>
        <v>ABC 10 kg</v>
      </c>
      <c r="B229" s="139" t="s">
        <v>379</v>
      </c>
      <c r="C229" s="64">
        <f>datos_base!$F$58*'Parametros Recargas'!D$36*'Parametros Recargas'!$Q$36</f>
        <v>87.66961819</v>
      </c>
      <c r="D229" s="64">
        <f>datos_base!$F$58*'Parametros Recargas'!E$36*'Parametros Recargas'!$Q$36</f>
        <v>77.92854951</v>
      </c>
      <c r="E229" s="64">
        <f>datos_base!$F$58*'Parametros Recargas'!F$36*'Parametros Recargas'!$Q$36</f>
        <v>82.79908385</v>
      </c>
      <c r="F229" s="64">
        <f>datos_base!$F$58*'Parametros Recargas'!G$36*'Parametros Recargas'!$Q$36</f>
        <v>77.92854951</v>
      </c>
      <c r="G229" s="64">
        <f>datos_base!$F$58*'Parametros Recargas'!H$36*'Parametros Recargas'!$Q$36</f>
        <v>73.05801516</v>
      </c>
      <c r="H229" s="64">
        <f>datos_base!$F$58*'Parametros Recargas'!I$36*'Parametros Recargas'!$Q$36</f>
        <v>68.18748082</v>
      </c>
      <c r="I229" s="64">
        <f>datos_base!$F$58*'Parametros Recargas'!J$36*'Parametros Recargas'!$Q$36</f>
        <v>77.92854951</v>
      </c>
      <c r="J229" s="64">
        <f>datos_base!$F$58*'Parametros Recargas'!K$36*'Parametros Recargas'!$Q$36</f>
        <v>82.79908385</v>
      </c>
      <c r="K229" s="64">
        <f>datos_base!$F$58*'Parametros Recargas'!L$36*'Parametros Recargas'!$Q$36</f>
        <v>82.79908385</v>
      </c>
      <c r="L229" s="64">
        <f>datos_base!$F$58*'Parametros Recargas'!M$36*'Parametros Recargas'!$Q$36</f>
        <v>77.92854951</v>
      </c>
      <c r="M229" s="64">
        <f>datos_base!$F$58*'Parametros Recargas'!N$36*'Parametros Recargas'!$Q$36</f>
        <v>77.92854951</v>
      </c>
      <c r="N229" s="64">
        <f>datos_base!$F$58*'Parametros Recargas'!O$36*'Parametros Recargas'!$Q$36</f>
        <v>107.1517556</v>
      </c>
      <c r="O229" s="84">
        <f t="shared" si="149"/>
        <v>974.1068688</v>
      </c>
    </row>
    <row r="230" ht="15.75" customHeight="1">
      <c r="A230" s="30" t="str">
        <f>datos_base!$A$69</f>
        <v>ABC 25 kg s/ruedas</v>
      </c>
      <c r="B230" s="139" t="s">
        <v>379</v>
      </c>
      <c r="C230" s="64">
        <f>datos_base!$F$69*'Parametros Recargas'!D$37*'Parametros Recargas'!$Q$37</f>
        <v>49.71540153</v>
      </c>
      <c r="D230" s="64">
        <f>datos_base!$F$69*'Parametros Recargas'!E$37*'Parametros Recargas'!$Q$37</f>
        <v>39.77232122</v>
      </c>
      <c r="E230" s="64">
        <f>datos_base!$F$69*'Parametros Recargas'!F$37*'Parametros Recargas'!$Q$37</f>
        <v>42.2580913</v>
      </c>
      <c r="F230" s="64">
        <f>datos_base!$F$69*'Parametros Recargas'!G$37*'Parametros Recargas'!$Q$37</f>
        <v>42.2580913</v>
      </c>
      <c r="G230" s="64">
        <f>datos_base!$F$69*'Parametros Recargas'!H$37*'Parametros Recargas'!$Q$37</f>
        <v>39.77232122</v>
      </c>
      <c r="H230" s="64">
        <f>datos_base!$F$69*'Parametros Recargas'!I$37*'Parametros Recargas'!$Q$37</f>
        <v>37.28655115</v>
      </c>
      <c r="I230" s="64">
        <f>datos_base!$F$69*'Parametros Recargas'!J$37*'Parametros Recargas'!$Q$37</f>
        <v>44.74386138</v>
      </c>
      <c r="J230" s="64">
        <f>datos_base!$F$69*'Parametros Recargas'!K$37*'Parametros Recargas'!$Q$37</f>
        <v>39.77232122</v>
      </c>
      <c r="K230" s="64">
        <f>datos_base!$F$69*'Parametros Recargas'!L$37*'Parametros Recargas'!$Q$37</f>
        <v>39.77232122</v>
      </c>
      <c r="L230" s="64">
        <f>datos_base!$F$69*'Parametros Recargas'!M$37*'Parametros Recargas'!$Q$37</f>
        <v>39.77232122</v>
      </c>
      <c r="M230" s="64">
        <f>datos_base!$F$69*'Parametros Recargas'!N$37*'Parametros Recargas'!$Q$37</f>
        <v>37.28655115</v>
      </c>
      <c r="N230" s="64">
        <f>datos_base!$F$69*'Parametros Recargas'!O$37*'Parametros Recargas'!$Q$37</f>
        <v>44.74386138</v>
      </c>
      <c r="O230" s="84">
        <f t="shared" si="149"/>
        <v>497.1540153</v>
      </c>
    </row>
    <row r="231" ht="15.75" customHeight="1">
      <c r="A231" s="30" t="str">
        <f>datos_base!$A$70</f>
        <v>ABC 50 kg s/ruedas</v>
      </c>
      <c r="B231" s="139" t="s">
        <v>379</v>
      </c>
      <c r="C231" s="64">
        <f>datos_base!$F$70*'Parametros Recargas'!D$38*'Parametros Recargas'!$Q$38</f>
        <v>109.3944269</v>
      </c>
      <c r="D231" s="64">
        <f>datos_base!$F$70*'Parametros Recargas'!E$38*'Parametros Recargas'!$Q$38</f>
        <v>87.51554154</v>
      </c>
      <c r="E231" s="64">
        <f>datos_base!$F$70*'Parametros Recargas'!F$38*'Parametros Recargas'!$Q$38</f>
        <v>92.98526288</v>
      </c>
      <c r="F231" s="64">
        <f>datos_base!$F$70*'Parametros Recargas'!G$38*'Parametros Recargas'!$Q$38</f>
        <v>92.98526288</v>
      </c>
      <c r="G231" s="64">
        <f>datos_base!$F$70*'Parametros Recargas'!H$38*'Parametros Recargas'!$Q$38</f>
        <v>87.51554154</v>
      </c>
      <c r="H231" s="64">
        <f>datos_base!$F$70*'Parametros Recargas'!I$38*'Parametros Recargas'!$Q$38</f>
        <v>82.04582019</v>
      </c>
      <c r="I231" s="64">
        <f>datos_base!$F$70*'Parametros Recargas'!J$38*'Parametros Recargas'!$Q$38</f>
        <v>98.45498423</v>
      </c>
      <c r="J231" s="64">
        <f>datos_base!$F$70*'Parametros Recargas'!K$38*'Parametros Recargas'!$Q$38</f>
        <v>87.51554154</v>
      </c>
      <c r="K231" s="64">
        <f>datos_base!$F$70*'Parametros Recargas'!L$38*'Parametros Recargas'!$Q$38</f>
        <v>87.51554154</v>
      </c>
      <c r="L231" s="64">
        <f>datos_base!$F$70*'Parametros Recargas'!M$38*'Parametros Recargas'!$Q$38</f>
        <v>87.51554154</v>
      </c>
      <c r="M231" s="64">
        <f>datos_base!$F$70*'Parametros Recargas'!N$38*'Parametros Recargas'!$Q$38</f>
        <v>82.04582019</v>
      </c>
      <c r="N231" s="64">
        <f>datos_base!$F$70*'Parametros Recargas'!O$38*'Parametros Recargas'!$Q$38</f>
        <v>98.45498423</v>
      </c>
      <c r="O231" s="84">
        <f t="shared" si="149"/>
        <v>1093.944269</v>
      </c>
    </row>
    <row r="232" ht="15.75" customHeight="1">
      <c r="A232" s="30" t="str">
        <f>datos_base!$A$71</f>
        <v>ABC 70 kg s/ruedas</v>
      </c>
      <c r="B232" s="139" t="s">
        <v>379</v>
      </c>
      <c r="C232" s="64">
        <f>datos_base!$F$71*'Parametros Recargas'!D$39*'Parametros Recargas'!$Q$39</f>
        <v>23.93324082</v>
      </c>
      <c r="D232" s="64">
        <f>datos_base!$F$71*'Parametros Recargas'!E$39*'Parametros Recargas'!$Q$39</f>
        <v>19.14659266</v>
      </c>
      <c r="E232" s="64">
        <f>datos_base!$F$71*'Parametros Recargas'!F$39*'Parametros Recargas'!$Q$39</f>
        <v>20.3432547</v>
      </c>
      <c r="F232" s="64">
        <f>datos_base!$F$71*'Parametros Recargas'!G$39*'Parametros Recargas'!$Q$39</f>
        <v>20.3432547</v>
      </c>
      <c r="G232" s="64">
        <f>datos_base!$F$71*'Parametros Recargas'!H$39*'Parametros Recargas'!$Q$39</f>
        <v>19.14659266</v>
      </c>
      <c r="H232" s="64">
        <f>datos_base!$F$71*'Parametros Recargas'!I$39*'Parametros Recargas'!$Q$39</f>
        <v>17.94993061</v>
      </c>
      <c r="I232" s="64">
        <f>datos_base!$F$71*'Parametros Recargas'!J$39*'Parametros Recargas'!$Q$39</f>
        <v>21.53991674</v>
      </c>
      <c r="J232" s="64">
        <f>datos_base!$F$71*'Parametros Recargas'!K$39*'Parametros Recargas'!$Q$39</f>
        <v>19.14659266</v>
      </c>
      <c r="K232" s="64">
        <f>datos_base!$F$71*'Parametros Recargas'!L$39*'Parametros Recargas'!$Q$39</f>
        <v>19.14659266</v>
      </c>
      <c r="L232" s="64">
        <f>datos_base!$F$71*'Parametros Recargas'!M$39*'Parametros Recargas'!$Q$39</f>
        <v>19.14659266</v>
      </c>
      <c r="M232" s="64">
        <f>datos_base!$F$71*'Parametros Recargas'!N$39*'Parametros Recargas'!$Q$39</f>
        <v>17.94993061</v>
      </c>
      <c r="N232" s="64">
        <f>datos_base!$F$71*'Parametros Recargas'!O$39*'Parametros Recargas'!$Q$39</f>
        <v>21.53991674</v>
      </c>
      <c r="O232" s="84">
        <f t="shared" si="149"/>
        <v>239.3324082</v>
      </c>
    </row>
    <row r="233" ht="15.75" customHeight="1">
      <c r="A233" s="30" t="str">
        <f>datos_base!$A$72</f>
        <v>ABC 100 kg s/ruedas</v>
      </c>
      <c r="B233" s="139" t="s">
        <v>379</v>
      </c>
      <c r="C233" s="64">
        <f>datos_base!$F$72*'Parametros Recargas'!D$40*'Parametros Recargas'!$Q$40</f>
        <v>15.92125462</v>
      </c>
      <c r="D233" s="64">
        <f>datos_base!$F$72*'Parametros Recargas'!E$40*'Parametros Recargas'!$Q$40</f>
        <v>12.7370037</v>
      </c>
      <c r="E233" s="64">
        <f>datos_base!$F$72*'Parametros Recargas'!F$40*'Parametros Recargas'!$Q$40</f>
        <v>13.53306643</v>
      </c>
      <c r="F233" s="64">
        <f>datos_base!$F$72*'Parametros Recargas'!G$40*'Parametros Recargas'!$Q$40</f>
        <v>13.53306643</v>
      </c>
      <c r="G233" s="64">
        <f>datos_base!$F$72*'Parametros Recargas'!H$40*'Parametros Recargas'!$Q$40</f>
        <v>12.7370037</v>
      </c>
      <c r="H233" s="64">
        <f>datos_base!$F$72*'Parametros Recargas'!I$40*'Parametros Recargas'!$Q$40</f>
        <v>11.94094097</v>
      </c>
      <c r="I233" s="64">
        <f>datos_base!$F$72*'Parametros Recargas'!J$40*'Parametros Recargas'!$Q$40</f>
        <v>14.32912916</v>
      </c>
      <c r="J233" s="64">
        <f>datos_base!$F$72*'Parametros Recargas'!K$40*'Parametros Recargas'!$Q$40</f>
        <v>12.7370037</v>
      </c>
      <c r="K233" s="64">
        <f>datos_base!$F$72*'Parametros Recargas'!L$40*'Parametros Recargas'!$Q$40</f>
        <v>12.7370037</v>
      </c>
      <c r="L233" s="64">
        <f>datos_base!$F$72*'Parametros Recargas'!M$40*'Parametros Recargas'!$Q$40</f>
        <v>12.7370037</v>
      </c>
      <c r="M233" s="64">
        <f>datos_base!$F$72*'Parametros Recargas'!N$40*'Parametros Recargas'!$Q$40</f>
        <v>11.94094097</v>
      </c>
      <c r="N233" s="64">
        <f>datos_base!$F$72*'Parametros Recargas'!O$40*'Parametros Recargas'!$Q$40</f>
        <v>14.32912916</v>
      </c>
      <c r="O233" s="84">
        <f t="shared" si="149"/>
        <v>159.2125462</v>
      </c>
    </row>
    <row r="234" ht="15.75" customHeight="1">
      <c r="A234" s="30" t="str">
        <f>datos_base!$A$62</f>
        <v>BC 5 kg</v>
      </c>
      <c r="B234" s="139" t="s">
        <v>398</v>
      </c>
      <c r="C234" s="64">
        <f>datos_base!$F$62*'Parametros Recargas'!D$41*'Parametros Recargas'!$Q$41</f>
        <v>6.779372936</v>
      </c>
      <c r="D234" s="64">
        <f>datos_base!$F$62*'Parametros Recargas'!E$41*'Parametros Recargas'!$Q$41</f>
        <v>6.026109276</v>
      </c>
      <c r="E234" s="64">
        <f>datos_base!$F$62*'Parametros Recargas'!F$41*'Parametros Recargas'!$Q$41</f>
        <v>6.402741106</v>
      </c>
      <c r="F234" s="64">
        <f>datos_base!$F$62*'Parametros Recargas'!G$41*'Parametros Recargas'!$Q$41</f>
        <v>6.026109276</v>
      </c>
      <c r="G234" s="64">
        <f>datos_base!$F$62*'Parametros Recargas'!H$41*'Parametros Recargas'!$Q$41</f>
        <v>5.649477447</v>
      </c>
      <c r="H234" s="64">
        <f>datos_base!$F$62*'Parametros Recargas'!I$41*'Parametros Recargas'!$Q$41</f>
        <v>5.272845617</v>
      </c>
      <c r="I234" s="64">
        <f>datos_base!$F$62*'Parametros Recargas'!J$41*'Parametros Recargas'!$Q$41</f>
        <v>6.026109276</v>
      </c>
      <c r="J234" s="64">
        <f>datos_base!$F$62*'Parametros Recargas'!K$41*'Parametros Recargas'!$Q$41</f>
        <v>6.402741106</v>
      </c>
      <c r="K234" s="64">
        <f>datos_base!$F$62*'Parametros Recargas'!L$41*'Parametros Recargas'!$Q$41</f>
        <v>6.402741106</v>
      </c>
      <c r="L234" s="64">
        <f>datos_base!$F$62*'Parametros Recargas'!M$41*'Parametros Recargas'!$Q$41</f>
        <v>6.026109276</v>
      </c>
      <c r="M234" s="64">
        <f>datos_base!$F$62*'Parametros Recargas'!N$41*'Parametros Recargas'!$Q$41</f>
        <v>6.026109276</v>
      </c>
      <c r="N234" s="64">
        <f>datos_base!$F$62*'Parametros Recargas'!O$41*'Parametros Recargas'!$Q$41</f>
        <v>8.285900255</v>
      </c>
      <c r="O234" s="84">
        <f t="shared" si="149"/>
        <v>75.32636595</v>
      </c>
    </row>
    <row r="235" ht="15.75" customHeight="1">
      <c r="A235" s="30" t="str">
        <f>datos_base!$A$68</f>
        <v>Clase D 9 l</v>
      </c>
      <c r="B235" s="139" t="s">
        <v>402</v>
      </c>
      <c r="C235" s="64">
        <f>datos_base!$F$68*'Parametros Recargas'!D$42*'Parametros Recargas'!$Q$42</f>
        <v>6.317142963</v>
      </c>
      <c r="D235" s="64">
        <f>datos_base!$F$68*'Parametros Recargas'!E$42*'Parametros Recargas'!$Q$42</f>
        <v>5.615238189</v>
      </c>
      <c r="E235" s="64">
        <f>datos_base!$F$68*'Parametros Recargas'!F$42*'Parametros Recargas'!$Q$42</f>
        <v>5.966190576</v>
      </c>
      <c r="F235" s="64">
        <f>datos_base!$F$68*'Parametros Recargas'!G$42*'Parametros Recargas'!$Q$42</f>
        <v>5.615238189</v>
      </c>
      <c r="G235" s="64">
        <f>datos_base!$F$68*'Parametros Recargas'!H$42*'Parametros Recargas'!$Q$42</f>
        <v>5.264285802</v>
      </c>
      <c r="H235" s="64">
        <f>datos_base!$F$68*'Parametros Recargas'!I$42*'Parametros Recargas'!$Q$42</f>
        <v>4.913333416</v>
      </c>
      <c r="I235" s="64">
        <f>datos_base!$F$68*'Parametros Recargas'!J$42*'Parametros Recargas'!$Q$42</f>
        <v>5.615238189</v>
      </c>
      <c r="J235" s="64">
        <f>datos_base!$F$68*'Parametros Recargas'!K$42*'Parametros Recargas'!$Q$42</f>
        <v>5.966190576</v>
      </c>
      <c r="K235" s="64">
        <f>datos_base!$F$68*'Parametros Recargas'!L$42*'Parametros Recargas'!$Q$42</f>
        <v>5.966190576</v>
      </c>
      <c r="L235" s="64">
        <f>datos_base!$F$68*'Parametros Recargas'!M$42*'Parametros Recargas'!$Q$42</f>
        <v>5.615238189</v>
      </c>
      <c r="M235" s="64">
        <f>datos_base!$F$68*'Parametros Recargas'!N$42*'Parametros Recargas'!$Q$42</f>
        <v>5.615238189</v>
      </c>
      <c r="N235" s="64">
        <f>datos_base!$F$68*'Parametros Recargas'!O$42*'Parametros Recargas'!$Q$42</f>
        <v>7.72095251</v>
      </c>
      <c r="O235" s="84">
        <f t="shared" si="149"/>
        <v>70.19047737</v>
      </c>
    </row>
    <row r="236" ht="15.75" customHeight="1">
      <c r="A236" s="30" t="str">
        <f>datos_base!$A$59</f>
        <v>Agua 10 l</v>
      </c>
      <c r="B236" s="139" t="s">
        <v>407</v>
      </c>
      <c r="C236" s="64">
        <f>datos_base!$F$59*'Parametros Recargas'!D$43*'Parametros Recargas'!$Q$43</f>
        <v>122.9839881</v>
      </c>
      <c r="D236" s="64">
        <f>datos_base!$F$59*'Parametros Recargas'!E$43*'Parametros Recargas'!$Q$43</f>
        <v>109.3191006</v>
      </c>
      <c r="E236" s="64">
        <f>datos_base!$F$59*'Parametros Recargas'!F$43*'Parametros Recargas'!$Q$43</f>
        <v>116.1515443</v>
      </c>
      <c r="F236" s="64">
        <f>datos_base!$F$59*'Parametros Recargas'!G$43*'Parametros Recargas'!$Q$43</f>
        <v>109.3191006</v>
      </c>
      <c r="G236" s="64">
        <f>datos_base!$F$59*'Parametros Recargas'!H$43*'Parametros Recargas'!$Q$43</f>
        <v>102.4866568</v>
      </c>
      <c r="H236" s="64">
        <f>datos_base!$F$59*'Parametros Recargas'!I$43*'Parametros Recargas'!$Q$43</f>
        <v>95.65421298</v>
      </c>
      <c r="I236" s="64">
        <f>datos_base!$F$59*'Parametros Recargas'!J$43*'Parametros Recargas'!$Q$43</f>
        <v>109.3191006</v>
      </c>
      <c r="J236" s="64">
        <f>datos_base!$F$59*'Parametros Recargas'!K$43*'Parametros Recargas'!$Q$43</f>
        <v>116.1515443</v>
      </c>
      <c r="K236" s="64">
        <f>datos_base!$F$59*'Parametros Recargas'!L$43*'Parametros Recargas'!$Q$43</f>
        <v>116.1515443</v>
      </c>
      <c r="L236" s="64">
        <f>datos_base!$F$59*'Parametros Recargas'!M$43*'Parametros Recargas'!$Q$43</f>
        <v>109.3191006</v>
      </c>
      <c r="M236" s="64">
        <f>datos_base!$F$59*'Parametros Recargas'!N$43*'Parametros Recargas'!$Q$43</f>
        <v>109.3191006</v>
      </c>
      <c r="N236" s="64">
        <f>datos_base!$F$59*'Parametros Recargas'!O$43*'Parametros Recargas'!$Q$43</f>
        <v>150.3137633</v>
      </c>
      <c r="O236" s="84">
        <f t="shared" si="149"/>
        <v>1366.488757</v>
      </c>
    </row>
    <row r="237" ht="15.75" customHeight="1">
      <c r="A237" s="30" t="str">
        <f>datos_base!$A$60</f>
        <v>AFFF 10 l</v>
      </c>
      <c r="B237" s="139" t="s">
        <v>407</v>
      </c>
      <c r="C237" s="64">
        <f>datos_base!$F$60*'Parametros Recargas'!D$44*'Parametros Recargas'!$Q$44</f>
        <v>22.92660666</v>
      </c>
      <c r="D237" s="64">
        <f>datos_base!$F$60*'Parametros Recargas'!E$44*'Parametros Recargas'!$Q$44</f>
        <v>20.37920592</v>
      </c>
      <c r="E237" s="64">
        <f>datos_base!$F$60*'Parametros Recargas'!F$44*'Parametros Recargas'!$Q$44</f>
        <v>21.65290629</v>
      </c>
      <c r="F237" s="64">
        <f>datos_base!$F$60*'Parametros Recargas'!G$44*'Parametros Recargas'!$Q$44</f>
        <v>20.37920592</v>
      </c>
      <c r="G237" s="64">
        <f>datos_base!$F$60*'Parametros Recargas'!H$44*'Parametros Recargas'!$Q$44</f>
        <v>19.10550555</v>
      </c>
      <c r="H237" s="64">
        <f>datos_base!$F$60*'Parametros Recargas'!I$44*'Parametros Recargas'!$Q$44</f>
        <v>17.83180518</v>
      </c>
      <c r="I237" s="64">
        <f>datos_base!$F$60*'Parametros Recargas'!J$44*'Parametros Recargas'!$Q$44</f>
        <v>20.37920592</v>
      </c>
      <c r="J237" s="64">
        <f>datos_base!$F$60*'Parametros Recargas'!K$44*'Parametros Recargas'!$Q$44</f>
        <v>21.65290629</v>
      </c>
      <c r="K237" s="64">
        <f>datos_base!$F$60*'Parametros Recargas'!L$44*'Parametros Recargas'!$Q$44</f>
        <v>21.65290629</v>
      </c>
      <c r="L237" s="64">
        <f>datos_base!$F$60*'Parametros Recargas'!M$44*'Parametros Recargas'!$Q$44</f>
        <v>20.37920592</v>
      </c>
      <c r="M237" s="64">
        <f>datos_base!$F$60*'Parametros Recargas'!N$44*'Parametros Recargas'!$Q$44</f>
        <v>20.37920592</v>
      </c>
      <c r="N237" s="64">
        <f>datos_base!$F$60*'Parametros Recargas'!O$44*'Parametros Recargas'!$Q$44</f>
        <v>28.02140813</v>
      </c>
      <c r="O237" s="84">
        <f t="shared" si="149"/>
        <v>254.740074</v>
      </c>
    </row>
    <row r="238" ht="15.75" customHeight="1">
      <c r="A238" s="30" t="str">
        <f>datos_base!$A$63</f>
        <v>Sales K 6 l</v>
      </c>
      <c r="B238" s="139" t="s">
        <v>407</v>
      </c>
      <c r="C238" s="64">
        <f>datos_base!$F$63*'Parametros Recargas'!D$45*'Parametros Recargas'!$Q$45</f>
        <v>60.42886512</v>
      </c>
      <c r="D238" s="64">
        <f>datos_base!$F$63*'Parametros Recargas'!E$45*'Parametros Recargas'!$Q$45</f>
        <v>53.71454678</v>
      </c>
      <c r="E238" s="64">
        <f>datos_base!$F$63*'Parametros Recargas'!F$45*'Parametros Recargas'!$Q$45</f>
        <v>57.07170595</v>
      </c>
      <c r="F238" s="64">
        <f>datos_base!$F$63*'Parametros Recargas'!G$45*'Parametros Recargas'!$Q$45</f>
        <v>53.71454678</v>
      </c>
      <c r="G238" s="64">
        <f>datos_base!$F$63*'Parametros Recargas'!H$45*'Parametros Recargas'!$Q$45</f>
        <v>50.3573876</v>
      </c>
      <c r="H238" s="64">
        <f>datos_base!$F$63*'Parametros Recargas'!I$45*'Parametros Recargas'!$Q$45</f>
        <v>47.00022843</v>
      </c>
      <c r="I238" s="64">
        <f>datos_base!$F$63*'Parametros Recargas'!J$45*'Parametros Recargas'!$Q$45</f>
        <v>53.71454678</v>
      </c>
      <c r="J238" s="64">
        <f>datos_base!$F$63*'Parametros Recargas'!K$45*'Parametros Recargas'!$Q$45</f>
        <v>57.07170595</v>
      </c>
      <c r="K238" s="64">
        <f>datos_base!$F$63*'Parametros Recargas'!L$45*'Parametros Recargas'!$Q$45</f>
        <v>57.07170595</v>
      </c>
      <c r="L238" s="64">
        <f>datos_base!$F$63*'Parametros Recargas'!M$45*'Parametros Recargas'!$Q$45</f>
        <v>53.71454678</v>
      </c>
      <c r="M238" s="64">
        <f>datos_base!$F$63*'Parametros Recargas'!N$45*'Parametros Recargas'!$Q$45</f>
        <v>53.71454678</v>
      </c>
      <c r="N238" s="64">
        <f>datos_base!$F$63*'Parametros Recargas'!O$45*'Parametros Recargas'!$Q$45</f>
        <v>73.85750182</v>
      </c>
      <c r="O238" s="84">
        <f t="shared" si="149"/>
        <v>671.4318347</v>
      </c>
    </row>
    <row r="239" ht="15.75" customHeight="1">
      <c r="A239" s="30" t="str">
        <f>datos_base!$A$61</f>
        <v>AFFF 50 l s/ruedas</v>
      </c>
      <c r="B239" s="139" t="s">
        <v>407</v>
      </c>
      <c r="C239" s="64">
        <f>datos_base!$F$61*'Parametros Recargas'!D$46*'Parametros Recargas'!$Q$46</f>
        <v>40.98439093</v>
      </c>
      <c r="D239" s="64">
        <f>datos_base!$F$61*'Parametros Recargas'!E$46*'Parametros Recargas'!$Q$46</f>
        <v>32.78751274</v>
      </c>
      <c r="E239" s="64">
        <f>datos_base!$F$61*'Parametros Recargas'!F$46*'Parametros Recargas'!$Q$46</f>
        <v>34.83673229</v>
      </c>
      <c r="F239" s="64">
        <f>datos_base!$F$61*'Parametros Recargas'!G$46*'Parametros Recargas'!$Q$46</f>
        <v>34.83673229</v>
      </c>
      <c r="G239" s="64">
        <f>datos_base!$F$61*'Parametros Recargas'!H$46*'Parametros Recargas'!$Q$46</f>
        <v>32.78751274</v>
      </c>
      <c r="H239" s="64">
        <f>datos_base!$F$61*'Parametros Recargas'!I$46*'Parametros Recargas'!$Q$46</f>
        <v>30.7382932</v>
      </c>
      <c r="I239" s="64">
        <f>datos_base!$F$61*'Parametros Recargas'!J$46*'Parametros Recargas'!$Q$46</f>
        <v>36.88595184</v>
      </c>
      <c r="J239" s="64">
        <f>datos_base!$F$61*'Parametros Recargas'!K$46*'Parametros Recargas'!$Q$46</f>
        <v>32.78751274</v>
      </c>
      <c r="K239" s="64">
        <f>datos_base!$F$61*'Parametros Recargas'!L$46*'Parametros Recargas'!$Q$46</f>
        <v>32.78751274</v>
      </c>
      <c r="L239" s="64">
        <f>datos_base!$F$61*'Parametros Recargas'!M$46*'Parametros Recargas'!$Q$46</f>
        <v>32.78751274</v>
      </c>
      <c r="M239" s="64">
        <f>datos_base!$F$61*'Parametros Recargas'!N$46*'Parametros Recargas'!$Q$46</f>
        <v>30.7382932</v>
      </c>
      <c r="N239" s="64">
        <f>datos_base!$F$61*'Parametros Recargas'!O$46*'Parametros Recargas'!$Q$46</f>
        <v>36.88595184</v>
      </c>
      <c r="O239" s="84">
        <f t="shared" si="149"/>
        <v>409.8439093</v>
      </c>
    </row>
    <row r="240" ht="15.75" customHeight="1">
      <c r="A240" s="30" t="str">
        <f>datos_base!$A$64</f>
        <v>CO₂ 2 kg</v>
      </c>
      <c r="B240" s="139" t="s">
        <v>418</v>
      </c>
      <c r="C240" s="64">
        <f>datos_base!$F$64*'Parametros Recargas'!D$47*'Parametros Recargas'!$Q$47</f>
        <v>336.5034203</v>
      </c>
      <c r="D240" s="64">
        <f>datos_base!$F$64*'Parametros Recargas'!E$47*'Parametros Recargas'!$Q$47</f>
        <v>299.1141514</v>
      </c>
      <c r="E240" s="64">
        <f>datos_base!$F$64*'Parametros Recargas'!F$47*'Parametros Recargas'!$Q$47</f>
        <v>317.8087858</v>
      </c>
      <c r="F240" s="64">
        <f>datos_base!$F$64*'Parametros Recargas'!G$47*'Parametros Recargas'!$Q$47</f>
        <v>299.1141514</v>
      </c>
      <c r="G240" s="64">
        <f>datos_base!$F$64*'Parametros Recargas'!H$47*'Parametros Recargas'!$Q$47</f>
        <v>280.4195169</v>
      </c>
      <c r="H240" s="64">
        <f>datos_base!$F$64*'Parametros Recargas'!I$47*'Parametros Recargas'!$Q$47</f>
        <v>261.7248824</v>
      </c>
      <c r="I240" s="64">
        <f>datos_base!$F$64*'Parametros Recargas'!J$47*'Parametros Recargas'!$Q$47</f>
        <v>299.1141514</v>
      </c>
      <c r="J240" s="64">
        <f>datos_base!$F$64*'Parametros Recargas'!K$47*'Parametros Recargas'!$Q$47</f>
        <v>317.8087858</v>
      </c>
      <c r="K240" s="64">
        <f>datos_base!$F$64*'Parametros Recargas'!L$47*'Parametros Recargas'!$Q$47</f>
        <v>317.8087858</v>
      </c>
      <c r="L240" s="64">
        <f>datos_base!$F$64*'Parametros Recargas'!M$47*'Parametros Recargas'!$Q$47</f>
        <v>299.1141514</v>
      </c>
      <c r="M240" s="64">
        <f>datos_base!$F$64*'Parametros Recargas'!N$47*'Parametros Recargas'!$Q$47</f>
        <v>299.1141514</v>
      </c>
      <c r="N240" s="64">
        <f>datos_base!$F$64*'Parametros Recargas'!O$47*'Parametros Recargas'!$Q$47</f>
        <v>411.2819581</v>
      </c>
      <c r="O240" s="84">
        <f t="shared" si="149"/>
        <v>3738.926892</v>
      </c>
    </row>
    <row r="241" ht="15.75" customHeight="1">
      <c r="A241" s="30" t="str">
        <f>datos_base!$A$65</f>
        <v>CO₂ 5 kg</v>
      </c>
      <c r="B241" s="139" t="s">
        <v>418</v>
      </c>
      <c r="C241" s="64">
        <f>datos_base!$F$65*'Parametros Recargas'!D$48*'Parametros Recargas'!$Q$48</f>
        <v>109.2403503</v>
      </c>
      <c r="D241" s="64">
        <f>datos_base!$F$65*'Parametros Recargas'!E$48*'Parametros Recargas'!$Q$48</f>
        <v>97.10253357</v>
      </c>
      <c r="E241" s="64">
        <f>datos_base!$F$65*'Parametros Recargas'!F$48*'Parametros Recargas'!$Q$48</f>
        <v>103.1714419</v>
      </c>
      <c r="F241" s="64">
        <f>datos_base!$F$65*'Parametros Recargas'!G$48*'Parametros Recargas'!$Q$48</f>
        <v>97.10253357</v>
      </c>
      <c r="G241" s="64">
        <f>datos_base!$F$65*'Parametros Recargas'!H$48*'Parametros Recargas'!$Q$48</f>
        <v>91.03362522</v>
      </c>
      <c r="H241" s="64">
        <f>datos_base!$F$65*'Parametros Recargas'!I$48*'Parametros Recargas'!$Q$48</f>
        <v>84.96471687</v>
      </c>
      <c r="I241" s="64">
        <f>datos_base!$F$65*'Parametros Recargas'!J$48*'Parametros Recargas'!$Q$48</f>
        <v>97.10253357</v>
      </c>
      <c r="J241" s="64">
        <f>datos_base!$F$65*'Parametros Recargas'!K$48*'Parametros Recargas'!$Q$48</f>
        <v>103.1714419</v>
      </c>
      <c r="K241" s="64">
        <f>datos_base!$F$65*'Parametros Recargas'!L$48*'Parametros Recargas'!$Q$48</f>
        <v>103.1714419</v>
      </c>
      <c r="L241" s="64">
        <f>datos_base!$F$65*'Parametros Recargas'!M$48*'Parametros Recargas'!$Q$48</f>
        <v>97.10253357</v>
      </c>
      <c r="M241" s="64">
        <f>datos_base!$F$65*'Parametros Recargas'!N$48*'Parametros Recargas'!$Q$48</f>
        <v>97.10253357</v>
      </c>
      <c r="N241" s="64">
        <f>datos_base!$F$65*'Parametros Recargas'!O$48*'Parametros Recargas'!$Q$48</f>
        <v>133.5159837</v>
      </c>
      <c r="O241" s="84">
        <f t="shared" si="149"/>
        <v>1213.78167</v>
      </c>
    </row>
    <row r="242" ht="15.75" customHeight="1">
      <c r="A242" s="30" t="str">
        <f>datos_base!$A$67</f>
        <v>HCFC/HFC 5 kg</v>
      </c>
      <c r="B242" s="139" t="s">
        <v>422</v>
      </c>
      <c r="C242" s="64">
        <f>datos_base!$F$67*'Parametros Recargas'!D$49*'Parametros Recargas'!$Q$49</f>
        <v>17.71881563</v>
      </c>
      <c r="D242" s="64">
        <f>datos_base!$F$67*'Parametros Recargas'!E$49*'Parametros Recargas'!$Q$49</f>
        <v>15.75005834</v>
      </c>
      <c r="E242" s="64">
        <f>datos_base!$F$67*'Parametros Recargas'!F$49*'Parametros Recargas'!$Q$49</f>
        <v>16.73443698</v>
      </c>
      <c r="F242" s="64">
        <f>datos_base!$F$67*'Parametros Recargas'!G$49*'Parametros Recargas'!$Q$49</f>
        <v>15.75005834</v>
      </c>
      <c r="G242" s="64">
        <f>datos_base!$F$67*'Parametros Recargas'!H$49*'Parametros Recargas'!$Q$49</f>
        <v>14.76567969</v>
      </c>
      <c r="H242" s="64">
        <f>datos_base!$F$67*'Parametros Recargas'!I$49*'Parametros Recargas'!$Q$49</f>
        <v>13.78130104</v>
      </c>
      <c r="I242" s="64">
        <f>datos_base!$F$67*'Parametros Recargas'!J$49*'Parametros Recargas'!$Q$49</f>
        <v>15.75005834</v>
      </c>
      <c r="J242" s="64">
        <f>datos_base!$F$67*'Parametros Recargas'!K$49*'Parametros Recargas'!$Q$49</f>
        <v>16.73443698</v>
      </c>
      <c r="K242" s="64">
        <f>datos_base!$F$67*'Parametros Recargas'!L$49*'Parametros Recargas'!$Q$49</f>
        <v>16.73443698</v>
      </c>
      <c r="L242" s="64">
        <f>datos_base!$F$67*'Parametros Recargas'!M$49*'Parametros Recargas'!$Q$49</f>
        <v>15.75005834</v>
      </c>
      <c r="M242" s="64">
        <f>datos_base!$F$67*'Parametros Recargas'!N$49*'Parametros Recargas'!$Q$49</f>
        <v>15.75005834</v>
      </c>
      <c r="N242" s="64">
        <f>datos_base!$F$67*'Parametros Recargas'!O$49*'Parametros Recargas'!$Q$49</f>
        <v>21.65633021</v>
      </c>
      <c r="O242" s="84">
        <f t="shared" si="149"/>
        <v>196.8757292</v>
      </c>
    </row>
    <row r="243" ht="15.75" customHeight="1">
      <c r="A243" s="29" t="s">
        <v>426</v>
      </c>
      <c r="B243" s="29"/>
      <c r="C243" s="29" t="s">
        <v>109</v>
      </c>
      <c r="D243" s="29" t="s">
        <v>110</v>
      </c>
      <c r="E243" s="29" t="s">
        <v>111</v>
      </c>
      <c r="F243" s="29" t="s">
        <v>112</v>
      </c>
      <c r="G243" s="29" t="s">
        <v>113</v>
      </c>
      <c r="H243" s="29" t="s">
        <v>114</v>
      </c>
      <c r="I243" s="29" t="s">
        <v>115</v>
      </c>
      <c r="J243" s="29" t="s">
        <v>116</v>
      </c>
      <c r="K243" s="29" t="s">
        <v>117</v>
      </c>
      <c r="L243" s="29" t="s">
        <v>118</v>
      </c>
      <c r="M243" s="29" t="s">
        <v>119</v>
      </c>
      <c r="N243" s="29" t="s">
        <v>120</v>
      </c>
      <c r="O243" s="29" t="s">
        <v>15</v>
      </c>
    </row>
    <row r="244" ht="15.75" customHeight="1">
      <c r="A244" s="73" t="s">
        <v>379</v>
      </c>
      <c r="B244" s="118" t="s">
        <v>431</v>
      </c>
      <c r="C244" s="64">
        <f t="shared" ref="C244:N244" si="150">SUM(C226:C233)</f>
        <v>4905.585072</v>
      </c>
      <c r="D244" s="64">
        <f t="shared" si="150"/>
        <v>4028.652639</v>
      </c>
      <c r="E244" s="64">
        <f t="shared" si="150"/>
        <v>4139.782996</v>
      </c>
      <c r="F244" s="64">
        <f t="shared" si="150"/>
        <v>4038.600855</v>
      </c>
      <c r="G244" s="64">
        <f t="shared" si="150"/>
        <v>3927.470498</v>
      </c>
      <c r="H244" s="64">
        <f t="shared" si="150"/>
        <v>3816.340141</v>
      </c>
      <c r="I244" s="64">
        <f t="shared" si="150"/>
        <v>4048.549071</v>
      </c>
      <c r="J244" s="64">
        <f t="shared" si="150"/>
        <v>4129.83478</v>
      </c>
      <c r="K244" s="64">
        <f t="shared" si="150"/>
        <v>4129.83478</v>
      </c>
      <c r="L244" s="64">
        <f t="shared" si="150"/>
        <v>4028.652639</v>
      </c>
      <c r="M244" s="64">
        <f t="shared" si="150"/>
        <v>4018.704423</v>
      </c>
      <c r="N244" s="64">
        <f t="shared" si="150"/>
        <v>5867.485645</v>
      </c>
      <c r="O244" s="84">
        <f t="shared" ref="O244:O249" si="152">SUM(C244:N244)</f>
        <v>51079.49354</v>
      </c>
    </row>
    <row r="245" ht="15.75" customHeight="1">
      <c r="A245" s="73" t="s">
        <v>398</v>
      </c>
      <c r="B245" s="118" t="s">
        <v>431</v>
      </c>
      <c r="C245" s="64">
        <f t="shared" ref="C245:N245" si="151">SUM(C234)</f>
        <v>6.779372936</v>
      </c>
      <c r="D245" s="64">
        <f t="shared" si="151"/>
        <v>6.026109276</v>
      </c>
      <c r="E245" s="64">
        <f t="shared" si="151"/>
        <v>6.402741106</v>
      </c>
      <c r="F245" s="64">
        <f t="shared" si="151"/>
        <v>6.026109276</v>
      </c>
      <c r="G245" s="64">
        <f t="shared" si="151"/>
        <v>5.649477447</v>
      </c>
      <c r="H245" s="64">
        <f t="shared" si="151"/>
        <v>5.272845617</v>
      </c>
      <c r="I245" s="64">
        <f t="shared" si="151"/>
        <v>6.026109276</v>
      </c>
      <c r="J245" s="64">
        <f t="shared" si="151"/>
        <v>6.402741106</v>
      </c>
      <c r="K245" s="64">
        <f t="shared" si="151"/>
        <v>6.402741106</v>
      </c>
      <c r="L245" s="64">
        <f t="shared" si="151"/>
        <v>6.026109276</v>
      </c>
      <c r="M245" s="64">
        <f t="shared" si="151"/>
        <v>6.026109276</v>
      </c>
      <c r="N245" s="64">
        <f t="shared" si="151"/>
        <v>8.285900255</v>
      </c>
      <c r="O245" s="84">
        <f t="shared" si="152"/>
        <v>75.32636595</v>
      </c>
    </row>
    <row r="246" ht="15.75" customHeight="1">
      <c r="A246" s="73" t="s">
        <v>402</v>
      </c>
      <c r="B246" s="118" t="s">
        <v>431</v>
      </c>
      <c r="C246" s="64">
        <f t="shared" ref="C246:N246" si="153">SUM(C235)</f>
        <v>6.317142963</v>
      </c>
      <c r="D246" s="64">
        <f t="shared" si="153"/>
        <v>5.615238189</v>
      </c>
      <c r="E246" s="64">
        <f t="shared" si="153"/>
        <v>5.966190576</v>
      </c>
      <c r="F246" s="64">
        <f t="shared" si="153"/>
        <v>5.615238189</v>
      </c>
      <c r="G246" s="64">
        <f t="shared" si="153"/>
        <v>5.264285802</v>
      </c>
      <c r="H246" s="64">
        <f t="shared" si="153"/>
        <v>4.913333416</v>
      </c>
      <c r="I246" s="64">
        <f t="shared" si="153"/>
        <v>5.615238189</v>
      </c>
      <c r="J246" s="64">
        <f t="shared" si="153"/>
        <v>5.966190576</v>
      </c>
      <c r="K246" s="64">
        <f t="shared" si="153"/>
        <v>5.966190576</v>
      </c>
      <c r="L246" s="64">
        <f t="shared" si="153"/>
        <v>5.615238189</v>
      </c>
      <c r="M246" s="64">
        <f t="shared" si="153"/>
        <v>5.615238189</v>
      </c>
      <c r="N246" s="64">
        <f t="shared" si="153"/>
        <v>7.72095251</v>
      </c>
      <c r="O246" s="84">
        <f t="shared" si="152"/>
        <v>70.19047737</v>
      </c>
    </row>
    <row r="247" ht="15.75" customHeight="1">
      <c r="A247" s="73" t="s">
        <v>407</v>
      </c>
      <c r="B247" s="118" t="s">
        <v>431</v>
      </c>
      <c r="C247" s="64">
        <f t="shared" ref="C247:N247" si="154">SUM(C236:C239)</f>
        <v>247.3238508</v>
      </c>
      <c r="D247" s="64">
        <f t="shared" si="154"/>
        <v>216.200366</v>
      </c>
      <c r="E247" s="64">
        <f t="shared" si="154"/>
        <v>229.7128889</v>
      </c>
      <c r="F247" s="64">
        <f t="shared" si="154"/>
        <v>218.2495855</v>
      </c>
      <c r="G247" s="64">
        <f t="shared" si="154"/>
        <v>204.7370627</v>
      </c>
      <c r="H247" s="64">
        <f t="shared" si="154"/>
        <v>191.2245398</v>
      </c>
      <c r="I247" s="64">
        <f t="shared" si="154"/>
        <v>220.2988051</v>
      </c>
      <c r="J247" s="64">
        <f t="shared" si="154"/>
        <v>227.6636693</v>
      </c>
      <c r="K247" s="64">
        <f t="shared" si="154"/>
        <v>227.6636693</v>
      </c>
      <c r="L247" s="64">
        <f t="shared" si="154"/>
        <v>216.200366</v>
      </c>
      <c r="M247" s="64">
        <f t="shared" si="154"/>
        <v>214.1511464</v>
      </c>
      <c r="N247" s="64">
        <f t="shared" si="154"/>
        <v>289.0786251</v>
      </c>
      <c r="O247" s="84">
        <f t="shared" si="152"/>
        <v>2702.504575</v>
      </c>
    </row>
    <row r="248" ht="15.75" customHeight="1">
      <c r="A248" s="73" t="s">
        <v>418</v>
      </c>
      <c r="B248" s="118" t="s">
        <v>431</v>
      </c>
      <c r="C248" s="64">
        <f t="shared" ref="C248:N248" si="155">SUM(C240:C241)</f>
        <v>445.7437705</v>
      </c>
      <c r="D248" s="64">
        <f t="shared" si="155"/>
        <v>396.2166849</v>
      </c>
      <c r="E248" s="64">
        <f t="shared" si="155"/>
        <v>420.9802277</v>
      </c>
      <c r="F248" s="64">
        <f t="shared" si="155"/>
        <v>396.2166849</v>
      </c>
      <c r="G248" s="64">
        <f t="shared" si="155"/>
        <v>371.4531421</v>
      </c>
      <c r="H248" s="64">
        <f t="shared" si="155"/>
        <v>346.6895993</v>
      </c>
      <c r="I248" s="64">
        <f t="shared" si="155"/>
        <v>396.2166849</v>
      </c>
      <c r="J248" s="64">
        <f t="shared" si="155"/>
        <v>420.9802277</v>
      </c>
      <c r="K248" s="64">
        <f t="shared" si="155"/>
        <v>420.9802277</v>
      </c>
      <c r="L248" s="64">
        <f t="shared" si="155"/>
        <v>396.2166849</v>
      </c>
      <c r="M248" s="64">
        <f t="shared" si="155"/>
        <v>396.2166849</v>
      </c>
      <c r="N248" s="64">
        <f t="shared" si="155"/>
        <v>544.7979418</v>
      </c>
      <c r="O248" s="84">
        <f t="shared" si="152"/>
        <v>4952.708561</v>
      </c>
    </row>
    <row r="249" ht="15.75" customHeight="1">
      <c r="A249" s="73" t="s">
        <v>422</v>
      </c>
      <c r="B249" s="118" t="s">
        <v>431</v>
      </c>
      <c r="C249" s="64">
        <f t="shared" ref="C249:N249" si="156">SUM(C242)</f>
        <v>17.71881563</v>
      </c>
      <c r="D249" s="64">
        <f t="shared" si="156"/>
        <v>15.75005834</v>
      </c>
      <c r="E249" s="64">
        <f t="shared" si="156"/>
        <v>16.73443698</v>
      </c>
      <c r="F249" s="64">
        <f t="shared" si="156"/>
        <v>15.75005834</v>
      </c>
      <c r="G249" s="64">
        <f t="shared" si="156"/>
        <v>14.76567969</v>
      </c>
      <c r="H249" s="64">
        <f t="shared" si="156"/>
        <v>13.78130104</v>
      </c>
      <c r="I249" s="64">
        <f t="shared" si="156"/>
        <v>15.75005834</v>
      </c>
      <c r="J249" s="64">
        <f t="shared" si="156"/>
        <v>16.73443698</v>
      </c>
      <c r="K249" s="64">
        <f t="shared" si="156"/>
        <v>16.73443698</v>
      </c>
      <c r="L249" s="64">
        <f t="shared" si="156"/>
        <v>15.75005834</v>
      </c>
      <c r="M249" s="64">
        <f t="shared" si="156"/>
        <v>15.75005834</v>
      </c>
      <c r="N249" s="64">
        <f t="shared" si="156"/>
        <v>21.65633021</v>
      </c>
      <c r="O249" s="84">
        <f t="shared" si="152"/>
        <v>196.8757292</v>
      </c>
    </row>
    <row r="250" ht="27.75" customHeight="1">
      <c r="A250" s="29" t="s">
        <v>446</v>
      </c>
      <c r="B250" s="29" t="s">
        <v>447</v>
      </c>
      <c r="C250" s="29" t="s">
        <v>109</v>
      </c>
      <c r="D250" s="29" t="s">
        <v>110</v>
      </c>
      <c r="E250" s="29" t="s">
        <v>111</v>
      </c>
      <c r="F250" s="29" t="s">
        <v>112</v>
      </c>
      <c r="G250" s="29" t="s">
        <v>113</v>
      </c>
      <c r="H250" s="29" t="s">
        <v>114</v>
      </c>
      <c r="I250" s="29" t="s">
        <v>115</v>
      </c>
      <c r="J250" s="29" t="s">
        <v>116</v>
      </c>
      <c r="K250" s="29" t="s">
        <v>117</v>
      </c>
      <c r="L250" s="29" t="s">
        <v>118</v>
      </c>
      <c r="M250" s="29" t="s">
        <v>119</v>
      </c>
      <c r="N250" s="29" t="s">
        <v>120</v>
      </c>
      <c r="O250" s="29" t="s">
        <v>448</v>
      </c>
      <c r="P250" s="29" t="s">
        <v>148</v>
      </c>
      <c r="Q250" s="29" t="s">
        <v>449</v>
      </c>
      <c r="R250" s="29" t="s">
        <v>209</v>
      </c>
      <c r="S250" s="29" t="s">
        <v>450</v>
      </c>
      <c r="T250" s="29" t="s">
        <v>451</v>
      </c>
      <c r="U250" s="29" t="s">
        <v>452</v>
      </c>
      <c r="V250" s="29" t="s">
        <v>453</v>
      </c>
      <c r="W250" s="29" t="s">
        <v>454</v>
      </c>
      <c r="X250" s="29" t="s">
        <v>418</v>
      </c>
      <c r="Y250" s="29" t="s">
        <v>455</v>
      </c>
      <c r="Z250" s="29" t="s">
        <v>456</v>
      </c>
      <c r="AA250" s="160"/>
    </row>
    <row r="251" ht="15.75" customHeight="1">
      <c r="A251" s="73" t="s">
        <v>457</v>
      </c>
      <c r="B251" s="118" t="s">
        <v>458</v>
      </c>
      <c r="C251" s="63">
        <f t="shared" ref="C251:N251" si="157">($T251*C$244+$U251*C$245+$V251*C$246+$W251*C$247+$X251*C$248+$Y251*C$249)/$B$2</f>
        <v>37.52978683</v>
      </c>
      <c r="D251" s="63">
        <f t="shared" si="157"/>
        <v>31.12307397</v>
      </c>
      <c r="E251" s="63">
        <f t="shared" si="157"/>
        <v>32.13052988</v>
      </c>
      <c r="F251" s="63">
        <f t="shared" si="157"/>
        <v>31.20305688</v>
      </c>
      <c r="G251" s="63">
        <f t="shared" si="157"/>
        <v>30.19560097</v>
      </c>
      <c r="H251" s="63">
        <f t="shared" si="157"/>
        <v>29.18814506</v>
      </c>
      <c r="I251" s="63">
        <f t="shared" si="157"/>
        <v>31.28303978</v>
      </c>
      <c r="J251" s="63">
        <f t="shared" si="157"/>
        <v>32.05054697</v>
      </c>
      <c r="K251" s="63">
        <f t="shared" si="157"/>
        <v>32.05054697</v>
      </c>
      <c r="L251" s="63">
        <f t="shared" si="157"/>
        <v>31.12307397</v>
      </c>
      <c r="M251" s="63">
        <f t="shared" si="157"/>
        <v>31.04309107</v>
      </c>
      <c r="N251" s="63">
        <f t="shared" si="157"/>
        <v>44.92683597</v>
      </c>
      <c r="O251" s="44">
        <f t="shared" ref="O251:O277" si="159">MAX(C251:N251)</f>
        <v>44.92683597</v>
      </c>
      <c r="P251" s="63">
        <f>'Parametros Recargas'!$M$85</f>
        <v>72</v>
      </c>
      <c r="Q251" s="36">
        <f>MAX(Q196,ROUNDUP(O251/(P251*'Parametros Recargas'!F$8*'Parametros Recargas'!$B$19),0))</f>
        <v>1</v>
      </c>
      <c r="R251" s="46">
        <f>IF(AND('Parametros Recargas'!F$8=2,O251/(P251*Q251*'Parametros Recargas'!$B$19)&gt;1),2,1)</f>
        <v>1</v>
      </c>
      <c r="S251" s="34">
        <f t="shared" ref="S251:S276" si="160">O251/(P251*Q251*R251)</f>
        <v>0.6239838329</v>
      </c>
      <c r="T251" s="161">
        <f>'Parametros Recargas'!D54</f>
        <v>1</v>
      </c>
      <c r="U251" s="161">
        <f>'Parametros Recargas'!E54</f>
        <v>1</v>
      </c>
      <c r="V251" s="161">
        <f>'Parametros Recargas'!F54</f>
        <v>1</v>
      </c>
      <c r="W251" s="161">
        <f>'Parametros Recargas'!G54</f>
        <v>1</v>
      </c>
      <c r="X251" s="161">
        <f>'Parametros Recargas'!H54</f>
        <v>1</v>
      </c>
      <c r="Y251" s="161">
        <f>'Parametros Recargas'!I54</f>
        <v>1</v>
      </c>
      <c r="Z251" s="162">
        <f>'Parametros Recargas'!$U$85/P251</f>
        <v>0.01388888889</v>
      </c>
    </row>
    <row r="252" ht="15.75" customHeight="1">
      <c r="A252" s="73" t="s">
        <v>459</v>
      </c>
      <c r="B252" s="118" t="s">
        <v>458</v>
      </c>
      <c r="C252" s="63">
        <f t="shared" ref="C252:N252" si="158">($T252*C$244+$U252*C$245+$V252*C$246+$W252*C$247+$X252*C$248+$Y252*C$249)/$B$2</f>
        <v>37.52978683</v>
      </c>
      <c r="D252" s="63">
        <f t="shared" si="158"/>
        <v>31.12307397</v>
      </c>
      <c r="E252" s="63">
        <f t="shared" si="158"/>
        <v>32.13052988</v>
      </c>
      <c r="F252" s="63">
        <f t="shared" si="158"/>
        <v>31.20305688</v>
      </c>
      <c r="G252" s="63">
        <f t="shared" si="158"/>
        <v>30.19560097</v>
      </c>
      <c r="H252" s="63">
        <f t="shared" si="158"/>
        <v>29.18814506</v>
      </c>
      <c r="I252" s="63">
        <f t="shared" si="158"/>
        <v>31.28303978</v>
      </c>
      <c r="J252" s="63">
        <f t="shared" si="158"/>
        <v>32.05054697</v>
      </c>
      <c r="K252" s="63">
        <f t="shared" si="158"/>
        <v>32.05054697</v>
      </c>
      <c r="L252" s="63">
        <f t="shared" si="158"/>
        <v>31.12307397</v>
      </c>
      <c r="M252" s="63">
        <f t="shared" si="158"/>
        <v>31.04309107</v>
      </c>
      <c r="N252" s="63">
        <f t="shared" si="158"/>
        <v>44.92683597</v>
      </c>
      <c r="O252" s="44">
        <f t="shared" si="159"/>
        <v>44.92683597</v>
      </c>
      <c r="P252" s="63">
        <f>'Parametros Recargas'!$M$86</f>
        <v>52.36363636</v>
      </c>
      <c r="Q252" s="36">
        <f>MAX(Q197,ROUNDUP(O252/(P252*'Parametros Recargas'!F$8*'Parametros Recargas'!$B$19),0))</f>
        <v>1</v>
      </c>
      <c r="R252" s="46">
        <f>IF(AND('Parametros Recargas'!F$8=2,O252/(P252*Q252*'Parametros Recargas'!$B$19)&gt;1),2,1)</f>
        <v>1</v>
      </c>
      <c r="S252" s="34">
        <f t="shared" si="160"/>
        <v>0.8579777702</v>
      </c>
      <c r="T252" s="161">
        <f>'Parametros Recargas'!D55</f>
        <v>1</v>
      </c>
      <c r="U252" s="161">
        <f>'Parametros Recargas'!E55</f>
        <v>1</v>
      </c>
      <c r="V252" s="161">
        <f>'Parametros Recargas'!F55</f>
        <v>1</v>
      </c>
      <c r="W252" s="161">
        <f>'Parametros Recargas'!G55</f>
        <v>1</v>
      </c>
      <c r="X252" s="161">
        <f>'Parametros Recargas'!H55</f>
        <v>1</v>
      </c>
      <c r="Y252" s="161">
        <f>'Parametros Recargas'!I55</f>
        <v>1</v>
      </c>
      <c r="Z252" s="162">
        <f>'Parametros Recargas'!$U$86/P252</f>
        <v>0.01909722222</v>
      </c>
    </row>
    <row r="253" ht="15.75" customHeight="1">
      <c r="A253" s="30" t="s">
        <v>460</v>
      </c>
      <c r="B253" s="118" t="s">
        <v>458</v>
      </c>
      <c r="C253" s="63">
        <f t="shared" ref="C253:N253" si="161">($T253*C$244+$U253*C$245+$V253*C$246+$W253*C$247+$X253*C$248+$Y253*C$249)/$B$2</f>
        <v>32.70390048</v>
      </c>
      <c r="D253" s="63">
        <f t="shared" si="161"/>
        <v>26.85768426</v>
      </c>
      <c r="E253" s="63">
        <f t="shared" si="161"/>
        <v>27.59855331</v>
      </c>
      <c r="F253" s="63">
        <f t="shared" si="161"/>
        <v>26.9240057</v>
      </c>
      <c r="G253" s="63">
        <f t="shared" si="161"/>
        <v>26.18313665</v>
      </c>
      <c r="H253" s="63">
        <f t="shared" si="161"/>
        <v>25.4422676</v>
      </c>
      <c r="I253" s="63">
        <f t="shared" si="161"/>
        <v>26.99032714</v>
      </c>
      <c r="J253" s="63">
        <f t="shared" si="161"/>
        <v>27.53223187</v>
      </c>
      <c r="K253" s="63">
        <f t="shared" si="161"/>
        <v>27.53223187</v>
      </c>
      <c r="L253" s="63">
        <f t="shared" si="161"/>
        <v>26.85768426</v>
      </c>
      <c r="M253" s="63">
        <f t="shared" si="161"/>
        <v>26.79136282</v>
      </c>
      <c r="N253" s="63">
        <f t="shared" si="161"/>
        <v>39.11657097</v>
      </c>
      <c r="O253" s="44">
        <f t="shared" si="159"/>
        <v>39.11657097</v>
      </c>
      <c r="P253" s="63">
        <f>'Parametros Recargas'!$M$87</f>
        <v>29.14285714</v>
      </c>
      <c r="Q253" s="36">
        <f>MAX(Q198,ROUNDUP(O253/(P253*'Parametros Recargas'!F$8*'Parametros Recargas'!$B$19),0))</f>
        <v>2</v>
      </c>
      <c r="R253" s="46">
        <f>IF(AND('Parametros Recargas'!F$8=2,O253/(P253*Q253*'Parametros Recargas'!$B$19)&gt;1),2,1)</f>
        <v>1</v>
      </c>
      <c r="S253" s="34">
        <f t="shared" si="160"/>
        <v>0.6711176392</v>
      </c>
      <c r="T253" s="161">
        <f>'Parametros Recargas'!D56</f>
        <v>1</v>
      </c>
      <c r="U253" s="161">
        <f>'Parametros Recargas'!E56</f>
        <v>0</v>
      </c>
      <c r="V253" s="161">
        <f>'Parametros Recargas'!F56</f>
        <v>0</v>
      </c>
      <c r="W253" s="161">
        <f>'Parametros Recargas'!G56</f>
        <v>0</v>
      </c>
      <c r="X253" s="161">
        <f>'Parametros Recargas'!H56</f>
        <v>0</v>
      </c>
      <c r="Y253" s="161">
        <f>'Parametros Recargas'!I56</f>
        <v>0</v>
      </c>
      <c r="Z253" s="162">
        <f>'Parametros Recargas'!$U$87/P253</f>
        <v>0.01715686275</v>
      </c>
    </row>
    <row r="254" ht="15.75" customHeight="1">
      <c r="A254" s="30" t="s">
        <v>461</v>
      </c>
      <c r="B254" s="118" t="s">
        <v>458</v>
      </c>
      <c r="C254" s="63">
        <f t="shared" ref="C254:N254" si="162">($T254*C$244+$U254*C$245+$V254*C$246+$W254*C$247+$X254*C$248+$Y254*C$249)/$B$2</f>
        <v>0.04519581957</v>
      </c>
      <c r="D254" s="63">
        <f t="shared" si="162"/>
        <v>0.04017406184</v>
      </c>
      <c r="E254" s="63">
        <f t="shared" si="162"/>
        <v>0.04268494071</v>
      </c>
      <c r="F254" s="63">
        <f t="shared" si="162"/>
        <v>0.04017406184</v>
      </c>
      <c r="G254" s="63">
        <f t="shared" si="162"/>
        <v>0.03766318298</v>
      </c>
      <c r="H254" s="63">
        <f t="shared" si="162"/>
        <v>0.03515230411</v>
      </c>
      <c r="I254" s="63">
        <f t="shared" si="162"/>
        <v>0.04017406184</v>
      </c>
      <c r="J254" s="63">
        <f t="shared" si="162"/>
        <v>0.04268494071</v>
      </c>
      <c r="K254" s="63">
        <f t="shared" si="162"/>
        <v>0.04268494071</v>
      </c>
      <c r="L254" s="63">
        <f t="shared" si="162"/>
        <v>0.04017406184</v>
      </c>
      <c r="M254" s="63">
        <f t="shared" si="162"/>
        <v>0.04017406184</v>
      </c>
      <c r="N254" s="63">
        <f t="shared" si="162"/>
        <v>0.05523933503</v>
      </c>
      <c r="O254" s="44">
        <f t="shared" si="159"/>
        <v>0.05523933503</v>
      </c>
      <c r="P254" s="63">
        <f>'Parametros Recargas'!$M$88</f>
        <v>29.14285714</v>
      </c>
      <c r="Q254" s="36">
        <f>MAX(Q199,ROUNDUP(O254/(P254*'Parametros Recargas'!F$8*'Parametros Recargas'!$B$19),0))</f>
        <v>1</v>
      </c>
      <c r="R254" s="46">
        <f>IF(AND('Parametros Recargas'!F$8=2,O254/(P254*Q254*'Parametros Recargas'!$B$19)&gt;1),2,1)</f>
        <v>1</v>
      </c>
      <c r="S254" s="34">
        <f t="shared" si="160"/>
        <v>0.001895467379</v>
      </c>
      <c r="T254" s="161">
        <f>'Parametros Recargas'!D57</f>
        <v>0</v>
      </c>
      <c r="U254" s="161">
        <f>'Parametros Recargas'!E57</f>
        <v>1</v>
      </c>
      <c r="V254" s="161">
        <f>'Parametros Recargas'!F57</f>
        <v>0</v>
      </c>
      <c r="W254" s="161">
        <f>'Parametros Recargas'!G57</f>
        <v>0</v>
      </c>
      <c r="X254" s="161">
        <f>'Parametros Recargas'!H57</f>
        <v>0</v>
      </c>
      <c r="Y254" s="161">
        <f>'Parametros Recargas'!I57</f>
        <v>0</v>
      </c>
      <c r="Z254" s="162">
        <f>'Parametros Recargas'!$U$88/P254</f>
        <v>0.03431372549</v>
      </c>
    </row>
    <row r="255" ht="15.75" customHeight="1">
      <c r="A255" s="30" t="s">
        <v>463</v>
      </c>
      <c r="B255" s="118" t="s">
        <v>458</v>
      </c>
      <c r="C255" s="63">
        <f t="shared" ref="C255:N255" si="163">($T255*C$244+$U255*C$245+$V255*C$246+$W255*C$247+$X255*C$248+$Y255*C$249)/$B$2</f>
        <v>0.04211428642</v>
      </c>
      <c r="D255" s="63">
        <f t="shared" si="163"/>
        <v>0.03743492126</v>
      </c>
      <c r="E255" s="63">
        <f t="shared" si="163"/>
        <v>0.03977460384</v>
      </c>
      <c r="F255" s="63">
        <f t="shared" si="163"/>
        <v>0.03743492126</v>
      </c>
      <c r="G255" s="63">
        <f t="shared" si="163"/>
        <v>0.03509523868</v>
      </c>
      <c r="H255" s="63">
        <f t="shared" si="163"/>
        <v>0.0327555561</v>
      </c>
      <c r="I255" s="63">
        <f t="shared" si="163"/>
        <v>0.03743492126</v>
      </c>
      <c r="J255" s="63">
        <f t="shared" si="163"/>
        <v>0.03977460384</v>
      </c>
      <c r="K255" s="63">
        <f t="shared" si="163"/>
        <v>0.03977460384</v>
      </c>
      <c r="L255" s="63">
        <f t="shared" si="163"/>
        <v>0.03743492126</v>
      </c>
      <c r="M255" s="63">
        <f t="shared" si="163"/>
        <v>0.03743492126</v>
      </c>
      <c r="N255" s="63">
        <f t="shared" si="163"/>
        <v>0.05147301674</v>
      </c>
      <c r="O255" s="44">
        <f t="shared" si="159"/>
        <v>0.05147301674</v>
      </c>
      <c r="P255" s="63">
        <f>'Parametros Recargas'!$M$89</f>
        <v>13.5</v>
      </c>
      <c r="Q255" s="36">
        <f>MAX(Q200,ROUNDUP(O255/(P255*'Parametros Recargas'!F$8*'Parametros Recargas'!$B$19),0))</f>
        <v>1</v>
      </c>
      <c r="R255" s="46">
        <f>IF(AND('Parametros Recargas'!F$8=2,O255/(P255*Q255*'Parametros Recargas'!$B$19)&gt;1),2,1)</f>
        <v>1</v>
      </c>
      <c r="S255" s="34">
        <f t="shared" si="160"/>
        <v>0.003812816054</v>
      </c>
      <c r="T255" s="161">
        <f>'Parametros Recargas'!D58</f>
        <v>0</v>
      </c>
      <c r="U255" s="161">
        <f>'Parametros Recargas'!E58</f>
        <v>0</v>
      </c>
      <c r="V255" s="161">
        <f>'Parametros Recargas'!F58</f>
        <v>1</v>
      </c>
      <c r="W255" s="161">
        <f>'Parametros Recargas'!G58</f>
        <v>0</v>
      </c>
      <c r="X255" s="161">
        <f>'Parametros Recargas'!H58</f>
        <v>0</v>
      </c>
      <c r="Y255" s="161">
        <f>'Parametros Recargas'!I58</f>
        <v>0</v>
      </c>
      <c r="Z255" s="162">
        <f>'Parametros Recargas'!$U$89/P255</f>
        <v>0.07407407407</v>
      </c>
    </row>
    <row r="256" ht="15.75" customHeight="1">
      <c r="A256" s="30" t="s">
        <v>464</v>
      </c>
      <c r="B256" s="118" t="s">
        <v>458</v>
      </c>
      <c r="C256" s="63">
        <f t="shared" ref="C256:N256" si="164">($T256*C$244+$U256*C$245+$V256*C$246+$W256*C$247+$X256*C$248+$Y256*C$249)/$B$2</f>
        <v>1.648825672</v>
      </c>
      <c r="D256" s="63">
        <f t="shared" si="164"/>
        <v>1.441335773</v>
      </c>
      <c r="E256" s="63">
        <f t="shared" si="164"/>
        <v>1.531419259</v>
      </c>
      <c r="F256" s="63">
        <f t="shared" si="164"/>
        <v>1.454997237</v>
      </c>
      <c r="G256" s="63">
        <f t="shared" si="164"/>
        <v>1.364913751</v>
      </c>
      <c r="H256" s="63">
        <f t="shared" si="164"/>
        <v>1.274830265</v>
      </c>
      <c r="I256" s="63">
        <f t="shared" si="164"/>
        <v>1.468658701</v>
      </c>
      <c r="J256" s="63">
        <f t="shared" si="164"/>
        <v>1.517757795</v>
      </c>
      <c r="K256" s="63">
        <f t="shared" si="164"/>
        <v>1.517757795</v>
      </c>
      <c r="L256" s="63">
        <f t="shared" si="164"/>
        <v>1.441335773</v>
      </c>
      <c r="M256" s="63">
        <f t="shared" si="164"/>
        <v>1.42767431</v>
      </c>
      <c r="N256" s="63">
        <f t="shared" si="164"/>
        <v>1.927190834</v>
      </c>
      <c r="O256" s="44">
        <f t="shared" si="159"/>
        <v>1.927190834</v>
      </c>
      <c r="P256" s="63">
        <f>'Parametros Recargas'!$M$90</f>
        <v>22.66666667</v>
      </c>
      <c r="Q256" s="36">
        <f>MAX(Q201,ROUNDUP(O256/(P256*'Parametros Recargas'!F$8*'Parametros Recargas'!$B$19),0))</f>
        <v>1</v>
      </c>
      <c r="R256" s="46">
        <f>IF(AND('Parametros Recargas'!F$8=2,O256/(P256*Q256*'Parametros Recargas'!$B$19)&gt;1),2,1)</f>
        <v>1</v>
      </c>
      <c r="S256" s="34">
        <f t="shared" si="160"/>
        <v>0.08502312501</v>
      </c>
      <c r="T256" s="161">
        <f>'Parametros Recargas'!D59</f>
        <v>0</v>
      </c>
      <c r="U256" s="161">
        <f>'Parametros Recargas'!E59</f>
        <v>0</v>
      </c>
      <c r="V256" s="161">
        <f>'Parametros Recargas'!F59</f>
        <v>0</v>
      </c>
      <c r="W256" s="161">
        <f>'Parametros Recargas'!G59</f>
        <v>1</v>
      </c>
      <c r="X256" s="161">
        <f>'Parametros Recargas'!H59</f>
        <v>0</v>
      </c>
      <c r="Y256" s="161">
        <f>'Parametros Recargas'!I59</f>
        <v>0</v>
      </c>
      <c r="Z256" s="162">
        <f>'Parametros Recargas'!$U$90/P256</f>
        <v>0.04411764706</v>
      </c>
    </row>
    <row r="257" ht="15.75" customHeight="1">
      <c r="A257" s="30" t="s">
        <v>465</v>
      </c>
      <c r="B257" s="118" t="s">
        <v>458</v>
      </c>
      <c r="C257" s="63">
        <f t="shared" ref="C257:N257" si="165">($T257*C$244+$U257*C$245+$V257*C$246+$W257*C$247+$X257*C$248+$Y257*C$249)/$B$2</f>
        <v>0.7429062842</v>
      </c>
      <c r="D257" s="63">
        <f t="shared" si="165"/>
        <v>0.6603611415</v>
      </c>
      <c r="E257" s="63">
        <f t="shared" si="165"/>
        <v>0.7016337129</v>
      </c>
      <c r="F257" s="63">
        <f t="shared" si="165"/>
        <v>0.6603611415</v>
      </c>
      <c r="G257" s="63">
        <f t="shared" si="165"/>
        <v>0.6190885702</v>
      </c>
      <c r="H257" s="63">
        <f t="shared" si="165"/>
        <v>0.5778159988</v>
      </c>
      <c r="I257" s="63">
        <f t="shared" si="165"/>
        <v>0.6603611415</v>
      </c>
      <c r="J257" s="63">
        <f t="shared" si="165"/>
        <v>0.7016337129</v>
      </c>
      <c r="K257" s="63">
        <f t="shared" si="165"/>
        <v>0.7016337129</v>
      </c>
      <c r="L257" s="63">
        <f t="shared" si="165"/>
        <v>0.6603611415</v>
      </c>
      <c r="M257" s="63">
        <f t="shared" si="165"/>
        <v>0.6603611415</v>
      </c>
      <c r="N257" s="63">
        <f t="shared" si="165"/>
        <v>0.9079965696</v>
      </c>
      <c r="O257" s="44">
        <f t="shared" si="159"/>
        <v>0.9079965696</v>
      </c>
      <c r="P257" s="63">
        <f>'Parametros Recargas'!$M$91</f>
        <v>29.14285714</v>
      </c>
      <c r="Q257" s="36">
        <f>MAX(Q202,ROUNDUP(O257/(P257*'Parametros Recargas'!F$8*'Parametros Recargas'!$B$19),0))</f>
        <v>1</v>
      </c>
      <c r="R257" s="46">
        <f>IF(AND('Parametros Recargas'!F$8=2,O257/(P257*Q257*'Parametros Recargas'!$B$19)&gt;1),2,1)</f>
        <v>1</v>
      </c>
      <c r="S257" s="34">
        <f t="shared" si="160"/>
        <v>0.03115674504</v>
      </c>
      <c r="T257" s="161">
        <f>'Parametros Recargas'!D60</f>
        <v>0</v>
      </c>
      <c r="U257" s="161">
        <f>'Parametros Recargas'!E60</f>
        <v>0</v>
      </c>
      <c r="V257" s="161">
        <f>'Parametros Recargas'!F60</f>
        <v>0</v>
      </c>
      <c r="W257" s="161">
        <f>'Parametros Recargas'!G60</f>
        <v>0</v>
      </c>
      <c r="X257" s="161">
        <f>'Parametros Recargas'!H60</f>
        <v>0.25</v>
      </c>
      <c r="Y257" s="161">
        <f>'Parametros Recargas'!I60</f>
        <v>0</v>
      </c>
      <c r="Z257" s="162">
        <f>'Parametros Recargas'!$U$91/P257</f>
        <v>0.03431372549</v>
      </c>
    </row>
    <row r="258" ht="15.75" customHeight="1">
      <c r="A258" s="30" t="s">
        <v>466</v>
      </c>
      <c r="B258" s="118" t="s">
        <v>458</v>
      </c>
      <c r="C258" s="63">
        <f t="shared" ref="C258:N258" si="166">($T258*C$244+$U258*C$245+$V258*C$246+$W258*C$247+$X258*C$248+$Y258*C$249)/$B$2</f>
        <v>0.02953135938</v>
      </c>
      <c r="D258" s="63">
        <f t="shared" si="166"/>
        <v>0.02625009723</v>
      </c>
      <c r="E258" s="63">
        <f t="shared" si="166"/>
        <v>0.0278907283</v>
      </c>
      <c r="F258" s="63">
        <f t="shared" si="166"/>
        <v>0.02625009723</v>
      </c>
      <c r="G258" s="63">
        <f t="shared" si="166"/>
        <v>0.02460946615</v>
      </c>
      <c r="H258" s="63">
        <f t="shared" si="166"/>
        <v>0.02296883507</v>
      </c>
      <c r="I258" s="63">
        <f t="shared" si="166"/>
        <v>0.02625009723</v>
      </c>
      <c r="J258" s="63">
        <f t="shared" si="166"/>
        <v>0.0278907283</v>
      </c>
      <c r="K258" s="63">
        <f t="shared" si="166"/>
        <v>0.0278907283</v>
      </c>
      <c r="L258" s="63">
        <f t="shared" si="166"/>
        <v>0.02625009723</v>
      </c>
      <c r="M258" s="63">
        <f t="shared" si="166"/>
        <v>0.02625009723</v>
      </c>
      <c r="N258" s="63">
        <f t="shared" si="166"/>
        <v>0.03609388369</v>
      </c>
      <c r="O258" s="44">
        <f t="shared" si="159"/>
        <v>0.03609388369</v>
      </c>
      <c r="P258" s="63">
        <f>'Parametros Recargas'!$M$92</f>
        <v>18.54545455</v>
      </c>
      <c r="Q258" s="36">
        <f>MAX(Q203,ROUNDUP(O258/(P258*'Parametros Recargas'!F$8*'Parametros Recargas'!$B$19),0))</f>
        <v>1</v>
      </c>
      <c r="R258" s="46">
        <f>IF(AND('Parametros Recargas'!F$8=2,O258/(P258*Q258*'Parametros Recargas'!$B$19)&gt;1),2,1)</f>
        <v>1</v>
      </c>
      <c r="S258" s="34">
        <f t="shared" si="160"/>
        <v>0.001946238826</v>
      </c>
      <c r="T258" s="161">
        <f>'Parametros Recargas'!D61</f>
        <v>0</v>
      </c>
      <c r="U258" s="161">
        <f>'Parametros Recargas'!E61</f>
        <v>0</v>
      </c>
      <c r="V258" s="161">
        <f>'Parametros Recargas'!F61</f>
        <v>0</v>
      </c>
      <c r="W258" s="161">
        <f>'Parametros Recargas'!G61</f>
        <v>0</v>
      </c>
      <c r="X258" s="161">
        <f>'Parametros Recargas'!H61</f>
        <v>0</v>
      </c>
      <c r="Y258" s="161">
        <f>'Parametros Recargas'!I61</f>
        <v>0.25</v>
      </c>
      <c r="Z258" s="162">
        <f>'Parametros Recargas'!$U$92/P258</f>
        <v>0.05392156863</v>
      </c>
    </row>
    <row r="259" ht="15.75" customHeight="1">
      <c r="A259" s="73" t="s">
        <v>467</v>
      </c>
      <c r="B259" s="118" t="s">
        <v>458</v>
      </c>
      <c r="C259" s="63">
        <f t="shared" ref="C259:N259" si="167">($T259*C$244+$U259*C$245+$V259*C$246+$W259*C$247+$X259*C$248+$Y259*C$249)/$B$2</f>
        <v>35.52144896</v>
      </c>
      <c r="D259" s="63">
        <f t="shared" si="167"/>
        <v>29.33788475</v>
      </c>
      <c r="E259" s="63">
        <f t="shared" si="167"/>
        <v>30.23376633</v>
      </c>
      <c r="F259" s="63">
        <f t="shared" si="167"/>
        <v>29.41786765</v>
      </c>
      <c r="G259" s="63">
        <f t="shared" si="167"/>
        <v>28.52198608</v>
      </c>
      <c r="H259" s="63">
        <f t="shared" si="167"/>
        <v>27.6261045</v>
      </c>
      <c r="I259" s="63">
        <f t="shared" si="167"/>
        <v>29.49785056</v>
      </c>
      <c r="J259" s="63">
        <f t="shared" si="167"/>
        <v>30.15378342</v>
      </c>
      <c r="K259" s="63">
        <f t="shared" si="167"/>
        <v>30.15378342</v>
      </c>
      <c r="L259" s="63">
        <f t="shared" si="167"/>
        <v>29.33788475</v>
      </c>
      <c r="M259" s="63">
        <f t="shared" si="167"/>
        <v>29.25790185</v>
      </c>
      <c r="N259" s="63">
        <f t="shared" si="167"/>
        <v>42.47220079</v>
      </c>
      <c r="O259" s="44">
        <f t="shared" si="159"/>
        <v>42.47220079</v>
      </c>
      <c r="P259" s="63">
        <f>'Parametros Recargas'!$M$93</f>
        <v>32</v>
      </c>
      <c r="Q259" s="36">
        <f>MAX(Q204,ROUNDUP(O259/(P259*'Parametros Recargas'!F$8*'Parametros Recargas'!$B$19),0))</f>
        <v>2</v>
      </c>
      <c r="R259" s="46">
        <f>IF(AND('Parametros Recargas'!F$8=2,O259/(P259*Q259*'Parametros Recargas'!$B$19)&gt;1),2,1)</f>
        <v>1</v>
      </c>
      <c r="S259" s="34">
        <f t="shared" si="160"/>
        <v>0.6636281373</v>
      </c>
      <c r="T259" s="161">
        <f>'Parametros Recargas'!D62</f>
        <v>1</v>
      </c>
      <c r="U259" s="161">
        <f>'Parametros Recargas'!E62</f>
        <v>1</v>
      </c>
      <c r="V259" s="161">
        <f>'Parametros Recargas'!F62</f>
        <v>1</v>
      </c>
      <c r="W259" s="161">
        <f>'Parametros Recargas'!G62</f>
        <v>1</v>
      </c>
      <c r="X259" s="161">
        <f>'Parametros Recargas'!H62</f>
        <v>0.35</v>
      </c>
      <c r="Y259" s="161">
        <f>'Parametros Recargas'!I62</f>
        <v>0.35</v>
      </c>
      <c r="Z259" s="162">
        <f>'Parametros Recargas'!$U$93/P259</f>
        <v>0.03125</v>
      </c>
    </row>
    <row r="260" ht="15.75" customHeight="1">
      <c r="A260" s="30" t="s">
        <v>469</v>
      </c>
      <c r="B260" s="118" t="s">
        <v>458</v>
      </c>
      <c r="C260" s="63">
        <f t="shared" ref="C260:N260" si="168">($T260*C$244+$U260*C$245+$V260*C$246+$W260*C$247+$X260*C$248+$Y260*C$249)/$B$2</f>
        <v>3.27490963</v>
      </c>
      <c r="D260" s="63">
        <f t="shared" si="168"/>
        <v>2.689785832</v>
      </c>
      <c r="E260" s="63">
        <f t="shared" si="168"/>
        <v>2.764123825</v>
      </c>
      <c r="F260" s="63">
        <f t="shared" si="168"/>
        <v>2.696417976</v>
      </c>
      <c r="G260" s="63">
        <f t="shared" si="168"/>
        <v>2.622079984</v>
      </c>
      <c r="H260" s="63">
        <f t="shared" si="168"/>
        <v>2.547741991</v>
      </c>
      <c r="I260" s="63">
        <f t="shared" si="168"/>
        <v>2.70305012</v>
      </c>
      <c r="J260" s="63">
        <f t="shared" si="168"/>
        <v>2.757491681</v>
      </c>
      <c r="K260" s="63">
        <f t="shared" si="168"/>
        <v>2.757491681</v>
      </c>
      <c r="L260" s="63">
        <f t="shared" si="168"/>
        <v>2.689785832</v>
      </c>
      <c r="M260" s="63">
        <f t="shared" si="168"/>
        <v>2.683153688</v>
      </c>
      <c r="N260" s="63">
        <f t="shared" si="168"/>
        <v>3.91718103</v>
      </c>
      <c r="O260" s="44">
        <f t="shared" si="159"/>
        <v>3.91718103</v>
      </c>
      <c r="P260" s="63">
        <f>'Parametros Recargas'!$M$94</f>
        <v>6.375</v>
      </c>
      <c r="Q260" s="36">
        <f>MAX(Q205,ROUNDUP(O260/(P260*'Parametros Recargas'!F$8*'Parametros Recargas'!$B$19),0))</f>
        <v>1</v>
      </c>
      <c r="R260" s="46">
        <f>IF(AND('Parametros Recargas'!F$8=2,O260/(P260*Q260*'Parametros Recargas'!$B$19)&gt;1),2,1)</f>
        <v>1</v>
      </c>
      <c r="S260" s="34">
        <f t="shared" si="160"/>
        <v>0.6144597695</v>
      </c>
      <c r="T260" s="161">
        <f>'Parametros Recargas'!D63</f>
        <v>0.1</v>
      </c>
      <c r="U260" s="161">
        <f>'Parametros Recargas'!E63</f>
        <v>0.1</v>
      </c>
      <c r="V260" s="161">
        <f>'Parametros Recargas'!F63</f>
        <v>0</v>
      </c>
      <c r="W260" s="161">
        <f>'Parametros Recargas'!G63</f>
        <v>0</v>
      </c>
      <c r="X260" s="161">
        <f>'Parametros Recargas'!H63</f>
        <v>0</v>
      </c>
      <c r="Y260" s="161">
        <f>'Parametros Recargas'!I63</f>
        <v>0</v>
      </c>
      <c r="Z260" s="162">
        <f>'Parametros Recargas'!$U$94/P260</f>
        <v>0.07843137255</v>
      </c>
    </row>
    <row r="261" ht="15.75" customHeight="1">
      <c r="A261" s="30" t="s">
        <v>470</v>
      </c>
      <c r="B261" s="118" t="s">
        <v>458</v>
      </c>
      <c r="C261" s="63">
        <f t="shared" ref="C261:N261" si="169">($T261*C$244+$U261*C$245+$V261*C$246+$W261*C$247+$X261*C$248+$Y261*C$249)/$B$2</f>
        <v>1.648825672</v>
      </c>
      <c r="D261" s="63">
        <f t="shared" si="169"/>
        <v>1.441335773</v>
      </c>
      <c r="E261" s="63">
        <f t="shared" si="169"/>
        <v>1.531419259</v>
      </c>
      <c r="F261" s="63">
        <f t="shared" si="169"/>
        <v>1.454997237</v>
      </c>
      <c r="G261" s="63">
        <f t="shared" si="169"/>
        <v>1.364913751</v>
      </c>
      <c r="H261" s="63">
        <f t="shared" si="169"/>
        <v>1.274830265</v>
      </c>
      <c r="I261" s="63">
        <f t="shared" si="169"/>
        <v>1.468658701</v>
      </c>
      <c r="J261" s="63">
        <f t="shared" si="169"/>
        <v>1.517757795</v>
      </c>
      <c r="K261" s="63">
        <f t="shared" si="169"/>
        <v>1.517757795</v>
      </c>
      <c r="L261" s="63">
        <f t="shared" si="169"/>
        <v>1.441335773</v>
      </c>
      <c r="M261" s="63">
        <f t="shared" si="169"/>
        <v>1.42767431</v>
      </c>
      <c r="N261" s="63">
        <f t="shared" si="169"/>
        <v>1.927190834</v>
      </c>
      <c r="O261" s="44">
        <f t="shared" si="159"/>
        <v>1.927190834</v>
      </c>
      <c r="P261" s="63">
        <f>'Parametros Recargas'!$M$95</f>
        <v>28.8</v>
      </c>
      <c r="Q261" s="36">
        <f>MAX(Q206,ROUNDUP(O261/(P261*'Parametros Recargas'!F$8*'Parametros Recargas'!$B$19),0))</f>
        <v>1</v>
      </c>
      <c r="R261" s="46">
        <f>IF(AND('Parametros Recargas'!F$8=2,O261/(P261*Q261*'Parametros Recargas'!$B$19)&gt;1),2,1)</f>
        <v>1</v>
      </c>
      <c r="S261" s="34">
        <f t="shared" si="160"/>
        <v>0.06691634839</v>
      </c>
      <c r="T261" s="161">
        <f>'Parametros Recargas'!D64</f>
        <v>0</v>
      </c>
      <c r="U261" s="161">
        <f>'Parametros Recargas'!E64</f>
        <v>0</v>
      </c>
      <c r="V261" s="161">
        <f>'Parametros Recargas'!F64</f>
        <v>0</v>
      </c>
      <c r="W261" s="161">
        <f>'Parametros Recargas'!G64</f>
        <v>1</v>
      </c>
      <c r="X261" s="161">
        <f>'Parametros Recargas'!H64</f>
        <v>0</v>
      </c>
      <c r="Y261" s="161">
        <f>'Parametros Recargas'!I64</f>
        <v>0</v>
      </c>
      <c r="Z261" s="162">
        <f>'Parametros Recargas'!$U$95/P261</f>
        <v>0.03472222222</v>
      </c>
    </row>
    <row r="262" ht="15.75" customHeight="1">
      <c r="A262" s="73" t="s">
        <v>473</v>
      </c>
      <c r="B262" s="118" t="s">
        <v>458</v>
      </c>
      <c r="C262" s="63">
        <f t="shared" ref="C262:N262" si="170">($T262*C$244+$U262*C$245+$V262*C$246+$W262*C$247+$X262*C$248+$Y262*C$249)/$B$2</f>
        <v>9.794653126</v>
      </c>
      <c r="D262" s="63">
        <f t="shared" si="170"/>
        <v>8.141102436</v>
      </c>
      <c r="E262" s="63">
        <f t="shared" si="170"/>
        <v>8.415487284</v>
      </c>
      <c r="F262" s="63">
        <f t="shared" si="170"/>
        <v>8.164513528</v>
      </c>
      <c r="G262" s="63">
        <f t="shared" si="170"/>
        <v>7.89012868</v>
      </c>
      <c r="H262" s="63">
        <f t="shared" si="170"/>
        <v>7.615743833</v>
      </c>
      <c r="I262" s="63">
        <f t="shared" si="170"/>
        <v>8.18792462</v>
      </c>
      <c r="J262" s="63">
        <f t="shared" si="170"/>
        <v>8.392076192</v>
      </c>
      <c r="K262" s="63">
        <f t="shared" si="170"/>
        <v>8.392076192</v>
      </c>
      <c r="L262" s="63">
        <f t="shared" si="170"/>
        <v>8.141102436</v>
      </c>
      <c r="M262" s="63">
        <f t="shared" si="170"/>
        <v>8.117691344</v>
      </c>
      <c r="N262" s="63">
        <f t="shared" si="170"/>
        <v>11.7135067</v>
      </c>
      <c r="O262" s="44">
        <f t="shared" si="159"/>
        <v>11.7135067</v>
      </c>
      <c r="P262" s="63">
        <f>'Parametros Recargas'!$M$96</f>
        <v>28.88380952</v>
      </c>
      <c r="Q262" s="36">
        <f>MAX(Q207,ROUNDUP(O262/(P262*'Parametros Recargas'!F$8*'Parametros Recargas'!$B$19),0))</f>
        <v>1</v>
      </c>
      <c r="R262" s="46">
        <f>IF(AND('Parametros Recargas'!F$8=2,O262/(P262*Q262*'Parametros Recargas'!$B$19)&gt;1),2,1)</f>
        <v>1</v>
      </c>
      <c r="S262" s="34">
        <f t="shared" si="160"/>
        <v>0.4055388432</v>
      </c>
      <c r="T262" s="161">
        <f>'Parametros Recargas'!D65</f>
        <v>0.25</v>
      </c>
      <c r="U262" s="161">
        <f>'Parametros Recargas'!E65</f>
        <v>0.25</v>
      </c>
      <c r="V262" s="161">
        <f>'Parametros Recargas'!F65</f>
        <v>0.25</v>
      </c>
      <c r="W262" s="161">
        <f>'Parametros Recargas'!G65</f>
        <v>0.5</v>
      </c>
      <c r="X262" s="161">
        <f>'Parametros Recargas'!H65</f>
        <v>0.25</v>
      </c>
      <c r="Y262" s="161">
        <f>'Parametros Recargas'!I65</f>
        <v>0.25</v>
      </c>
      <c r="Z262" s="162">
        <f>'Parametros Recargas'!$U$96/P262</f>
        <v>0.01731073595</v>
      </c>
    </row>
    <row r="263" ht="15.75" customHeight="1">
      <c r="A263" s="73" t="s">
        <v>479</v>
      </c>
      <c r="B263" s="118" t="s">
        <v>458</v>
      </c>
      <c r="C263" s="63">
        <f t="shared" ref="C263:N263" si="171">($T263*C$244+$U263*C$245+$V263*C$246+$W263*C$247+$X263*C$248+$Y263*C$249)/$B$2</f>
        <v>8.97024029</v>
      </c>
      <c r="D263" s="63">
        <f t="shared" si="171"/>
        <v>7.420434549</v>
      </c>
      <c r="E263" s="63">
        <f t="shared" si="171"/>
        <v>7.649777654</v>
      </c>
      <c r="F263" s="63">
        <f t="shared" si="171"/>
        <v>7.43701491</v>
      </c>
      <c r="G263" s="63">
        <f t="shared" si="171"/>
        <v>7.207671805</v>
      </c>
      <c r="H263" s="63">
        <f t="shared" si="171"/>
        <v>6.9783287</v>
      </c>
      <c r="I263" s="63">
        <f t="shared" si="171"/>
        <v>7.45359527</v>
      </c>
      <c r="J263" s="63">
        <f t="shared" si="171"/>
        <v>7.633197294</v>
      </c>
      <c r="K263" s="63">
        <f t="shared" si="171"/>
        <v>7.633197294</v>
      </c>
      <c r="L263" s="63">
        <f t="shared" si="171"/>
        <v>7.420434549</v>
      </c>
      <c r="M263" s="63">
        <f t="shared" si="171"/>
        <v>7.403854189</v>
      </c>
      <c r="N263" s="63">
        <f t="shared" si="171"/>
        <v>10.74991128</v>
      </c>
      <c r="O263" s="44">
        <f t="shared" si="159"/>
        <v>10.74991128</v>
      </c>
      <c r="P263" s="63">
        <f>'Parametros Recargas'!$M$97</f>
        <v>18.54545455</v>
      </c>
      <c r="Q263" s="36">
        <f>MAX(Q208,ROUNDUP(O263/(P263*'Parametros Recargas'!F$8*'Parametros Recargas'!$B$19),0))</f>
        <v>1</v>
      </c>
      <c r="R263" s="46">
        <f>IF(AND('Parametros Recargas'!F$8=2,O263/(P263*Q263*'Parametros Recargas'!$B$19)&gt;1),2,1)</f>
        <v>1</v>
      </c>
      <c r="S263" s="34">
        <f t="shared" si="160"/>
        <v>0.579652079</v>
      </c>
      <c r="T263" s="161">
        <f>'Parametros Recargas'!D66</f>
        <v>0.25</v>
      </c>
      <c r="U263" s="161">
        <f>'Parametros Recargas'!E66</f>
        <v>0.25</v>
      </c>
      <c r="V263" s="161">
        <f>'Parametros Recargas'!F66</f>
        <v>0.25</v>
      </c>
      <c r="W263" s="161">
        <f>'Parametros Recargas'!G66</f>
        <v>0</v>
      </c>
      <c r="X263" s="161">
        <f>'Parametros Recargas'!H66</f>
        <v>0.25</v>
      </c>
      <c r="Y263" s="161">
        <f>'Parametros Recargas'!I66</f>
        <v>0.25</v>
      </c>
      <c r="Z263" s="162">
        <f>'Parametros Recargas'!$U$97/P263</f>
        <v>0.01348039216</v>
      </c>
    </row>
    <row r="264" ht="15.75" customHeight="1">
      <c r="A264" s="30" t="s">
        <v>500</v>
      </c>
      <c r="B264" s="118" t="s">
        <v>458</v>
      </c>
      <c r="C264" s="63">
        <f t="shared" ref="C264:N264" si="172">($T264*C$244+$U264*C$245+$V264*C$246+$W264*C$247+$X264*C$248+$Y264*C$249)/$B$2</f>
        <v>32.70390048</v>
      </c>
      <c r="D264" s="63">
        <f t="shared" si="172"/>
        <v>26.85768426</v>
      </c>
      <c r="E264" s="63">
        <f t="shared" si="172"/>
        <v>27.59855331</v>
      </c>
      <c r="F264" s="63">
        <f t="shared" si="172"/>
        <v>26.9240057</v>
      </c>
      <c r="G264" s="63">
        <f t="shared" si="172"/>
        <v>26.18313665</v>
      </c>
      <c r="H264" s="63">
        <f t="shared" si="172"/>
        <v>25.4422676</v>
      </c>
      <c r="I264" s="63">
        <f t="shared" si="172"/>
        <v>26.99032714</v>
      </c>
      <c r="J264" s="63">
        <f t="shared" si="172"/>
        <v>27.53223187</v>
      </c>
      <c r="K264" s="63">
        <f t="shared" si="172"/>
        <v>27.53223187</v>
      </c>
      <c r="L264" s="63">
        <f t="shared" si="172"/>
        <v>26.85768426</v>
      </c>
      <c r="M264" s="63">
        <f t="shared" si="172"/>
        <v>26.79136282</v>
      </c>
      <c r="N264" s="63">
        <f t="shared" si="172"/>
        <v>39.11657097</v>
      </c>
      <c r="O264" s="44">
        <f t="shared" si="159"/>
        <v>39.11657097</v>
      </c>
      <c r="P264" s="63">
        <f>'Parametros Recargas'!$M$98</f>
        <v>34</v>
      </c>
      <c r="Q264" s="36">
        <f>MAX(Q209,ROUNDUP(O264/(P264*'Parametros Recargas'!F$8*'Parametros Recargas'!$B$19),0))</f>
        <v>2</v>
      </c>
      <c r="R264" s="46">
        <f>IF(AND('Parametros Recargas'!F$8=2,O264/(P264*Q264*'Parametros Recargas'!$B$19)&gt;1),2,1)</f>
        <v>1</v>
      </c>
      <c r="S264" s="34">
        <f t="shared" si="160"/>
        <v>0.5752436907</v>
      </c>
      <c r="T264" s="161">
        <f>'Parametros Recargas'!D67</f>
        <v>1</v>
      </c>
      <c r="U264" s="161">
        <f>'Parametros Recargas'!E67</f>
        <v>0</v>
      </c>
      <c r="V264" s="161">
        <f>'Parametros Recargas'!F67</f>
        <v>0</v>
      </c>
      <c r="W264" s="161">
        <f>'Parametros Recargas'!G67</f>
        <v>0</v>
      </c>
      <c r="X264" s="161">
        <f>'Parametros Recargas'!H67</f>
        <v>0</v>
      </c>
      <c r="Y264" s="161">
        <f>'Parametros Recargas'!I67</f>
        <v>0</v>
      </c>
      <c r="Z264" s="162">
        <f>'Parametros Recargas'!$U$98/P264</f>
        <v>0.01470588235</v>
      </c>
    </row>
    <row r="265" ht="15.75" customHeight="1">
      <c r="A265" s="30" t="s">
        <v>522</v>
      </c>
      <c r="B265" s="118" t="s">
        <v>458</v>
      </c>
      <c r="C265" s="63">
        <f t="shared" ref="C265:N265" si="173">($T265*C$244+$U265*C$245+$V265*C$246+$W265*C$247+$X265*C$248+$Y265*C$249)/$B$2</f>
        <v>0.04519581957</v>
      </c>
      <c r="D265" s="63">
        <f t="shared" si="173"/>
        <v>0.04017406184</v>
      </c>
      <c r="E265" s="63">
        <f t="shared" si="173"/>
        <v>0.04268494071</v>
      </c>
      <c r="F265" s="63">
        <f t="shared" si="173"/>
        <v>0.04017406184</v>
      </c>
      <c r="G265" s="63">
        <f t="shared" si="173"/>
        <v>0.03766318298</v>
      </c>
      <c r="H265" s="63">
        <f t="shared" si="173"/>
        <v>0.03515230411</v>
      </c>
      <c r="I265" s="63">
        <f t="shared" si="173"/>
        <v>0.04017406184</v>
      </c>
      <c r="J265" s="63">
        <f t="shared" si="173"/>
        <v>0.04268494071</v>
      </c>
      <c r="K265" s="63">
        <f t="shared" si="173"/>
        <v>0.04268494071</v>
      </c>
      <c r="L265" s="63">
        <f t="shared" si="173"/>
        <v>0.04017406184</v>
      </c>
      <c r="M265" s="63">
        <f t="shared" si="173"/>
        <v>0.04017406184</v>
      </c>
      <c r="N265" s="63">
        <f t="shared" si="173"/>
        <v>0.05523933503</v>
      </c>
      <c r="O265" s="44">
        <f t="shared" si="159"/>
        <v>0.05523933503</v>
      </c>
      <c r="P265" s="63">
        <f>'Parametros Recargas'!$M$99</f>
        <v>34</v>
      </c>
      <c r="Q265" s="36">
        <f>MAX(Q210,ROUNDUP(O265/(P265*'Parametros Recargas'!F$8*'Parametros Recargas'!$B$19),0))</f>
        <v>1</v>
      </c>
      <c r="R265" s="46">
        <f>IF(AND('Parametros Recargas'!F$8=2,O265/(P265*Q265*'Parametros Recargas'!$B$19)&gt;1),2,1)</f>
        <v>1</v>
      </c>
      <c r="S265" s="34">
        <f t="shared" si="160"/>
        <v>0.001624686324</v>
      </c>
      <c r="T265" s="161">
        <f>'Parametros Recargas'!D68</f>
        <v>0</v>
      </c>
      <c r="U265" s="161">
        <f>'Parametros Recargas'!E68</f>
        <v>1</v>
      </c>
      <c r="V265" s="161">
        <f>'Parametros Recargas'!F68</f>
        <v>0</v>
      </c>
      <c r="W265" s="161">
        <f>'Parametros Recargas'!G68</f>
        <v>0</v>
      </c>
      <c r="X265" s="161">
        <f>'Parametros Recargas'!H68</f>
        <v>0</v>
      </c>
      <c r="Y265" s="161">
        <f>'Parametros Recargas'!I68</f>
        <v>0</v>
      </c>
      <c r="Z265" s="162">
        <f>'Parametros Recargas'!$U$99/P265</f>
        <v>0.02941176471</v>
      </c>
    </row>
    <row r="266" ht="15.75" customHeight="1">
      <c r="A266" s="30" t="s">
        <v>529</v>
      </c>
      <c r="B266" s="118" t="s">
        <v>458</v>
      </c>
      <c r="C266" s="63">
        <f t="shared" ref="C266:N266" si="174">($T266*C$244+$U266*C$245+$V266*C$246+$W266*C$247+$X266*C$248+$Y266*C$249)/$B$2</f>
        <v>0.04211428642</v>
      </c>
      <c r="D266" s="63">
        <f t="shared" si="174"/>
        <v>0.03743492126</v>
      </c>
      <c r="E266" s="63">
        <f t="shared" si="174"/>
        <v>0.03977460384</v>
      </c>
      <c r="F266" s="63">
        <f t="shared" si="174"/>
        <v>0.03743492126</v>
      </c>
      <c r="G266" s="63">
        <f t="shared" si="174"/>
        <v>0.03509523868</v>
      </c>
      <c r="H266" s="63">
        <f t="shared" si="174"/>
        <v>0.0327555561</v>
      </c>
      <c r="I266" s="63">
        <f t="shared" si="174"/>
        <v>0.03743492126</v>
      </c>
      <c r="J266" s="63">
        <f t="shared" si="174"/>
        <v>0.03977460384</v>
      </c>
      <c r="K266" s="63">
        <f t="shared" si="174"/>
        <v>0.03977460384</v>
      </c>
      <c r="L266" s="63">
        <f t="shared" si="174"/>
        <v>0.03743492126</v>
      </c>
      <c r="M266" s="63">
        <f t="shared" si="174"/>
        <v>0.03743492126</v>
      </c>
      <c r="N266" s="63">
        <f t="shared" si="174"/>
        <v>0.05147301674</v>
      </c>
      <c r="O266" s="44">
        <f t="shared" si="159"/>
        <v>0.05147301674</v>
      </c>
      <c r="P266" s="63">
        <f>'Parametros Recargas'!$M$100</f>
        <v>8.4375</v>
      </c>
      <c r="Q266" s="36">
        <f>MAX(Q211,ROUNDUP(O266/(P266*'Parametros Recargas'!F$8*'Parametros Recargas'!$B$19),0))</f>
        <v>1</v>
      </c>
      <c r="R266" s="46">
        <f>IF(AND('Parametros Recargas'!F$8=2,O266/(P266*Q266*'Parametros Recargas'!$B$19)&gt;1),2,1)</f>
        <v>1</v>
      </c>
      <c r="S266" s="34">
        <f t="shared" si="160"/>
        <v>0.006100505687</v>
      </c>
      <c r="T266" s="161">
        <f>'Parametros Recargas'!D69</f>
        <v>0</v>
      </c>
      <c r="U266" s="161">
        <f>'Parametros Recargas'!E69</f>
        <v>0</v>
      </c>
      <c r="V266" s="161">
        <f>'Parametros Recargas'!F69</f>
        <v>1</v>
      </c>
      <c r="W266" s="161">
        <f>'Parametros Recargas'!G69</f>
        <v>0</v>
      </c>
      <c r="X266" s="161">
        <f>'Parametros Recargas'!H69</f>
        <v>0</v>
      </c>
      <c r="Y266" s="161">
        <f>'Parametros Recargas'!I69</f>
        <v>0</v>
      </c>
      <c r="Z266" s="162">
        <f>'Parametros Recargas'!$U$100/P266</f>
        <v>0.1185185185</v>
      </c>
    </row>
    <row r="267" ht="15.75" customHeight="1">
      <c r="A267" s="30" t="s">
        <v>531</v>
      </c>
      <c r="B267" s="118" t="s">
        <v>458</v>
      </c>
      <c r="C267" s="63">
        <f t="shared" ref="C267:N267" si="175">($T267*C$244+$U267*C$245+$V267*C$246+$W267*C$247+$X267*C$248+$Y267*C$249)/$B$2</f>
        <v>1.648825672</v>
      </c>
      <c r="D267" s="63">
        <f t="shared" si="175"/>
        <v>1.441335773</v>
      </c>
      <c r="E267" s="63">
        <f t="shared" si="175"/>
        <v>1.531419259</v>
      </c>
      <c r="F267" s="63">
        <f t="shared" si="175"/>
        <v>1.454997237</v>
      </c>
      <c r="G267" s="63">
        <f t="shared" si="175"/>
        <v>1.364913751</v>
      </c>
      <c r="H267" s="63">
        <f t="shared" si="175"/>
        <v>1.274830265</v>
      </c>
      <c r="I267" s="63">
        <f t="shared" si="175"/>
        <v>1.468658701</v>
      </c>
      <c r="J267" s="63">
        <f t="shared" si="175"/>
        <v>1.517757795</v>
      </c>
      <c r="K267" s="63">
        <f t="shared" si="175"/>
        <v>1.517757795</v>
      </c>
      <c r="L267" s="63">
        <f t="shared" si="175"/>
        <v>1.441335773</v>
      </c>
      <c r="M267" s="63">
        <f t="shared" si="175"/>
        <v>1.42767431</v>
      </c>
      <c r="N267" s="63">
        <f t="shared" si="175"/>
        <v>1.927190834</v>
      </c>
      <c r="O267" s="44">
        <f t="shared" si="159"/>
        <v>1.927190834</v>
      </c>
      <c r="P267" s="63">
        <f>'Parametros Recargas'!$M$101</f>
        <v>18.29818182</v>
      </c>
      <c r="Q267" s="36">
        <f>MAX(Q212,ROUNDUP(O267/(P267*'Parametros Recargas'!F$8*'Parametros Recargas'!$B$19),0))</f>
        <v>1</v>
      </c>
      <c r="R267" s="46">
        <f>IF(AND('Parametros Recargas'!F$8=2,O267/(P267*Q267*'Parametros Recargas'!$B$19)&gt;1),2,1)</f>
        <v>1</v>
      </c>
      <c r="S267" s="34">
        <f t="shared" si="160"/>
        <v>0.1053214386</v>
      </c>
      <c r="T267" s="161">
        <f>'Parametros Recargas'!D70</f>
        <v>0</v>
      </c>
      <c r="U267" s="161">
        <f>'Parametros Recargas'!E70</f>
        <v>0</v>
      </c>
      <c r="V267" s="161">
        <f>'Parametros Recargas'!F70</f>
        <v>0</v>
      </c>
      <c r="W267" s="161">
        <f>'Parametros Recargas'!G70</f>
        <v>1</v>
      </c>
      <c r="X267" s="161">
        <f>'Parametros Recargas'!H70</f>
        <v>0</v>
      </c>
      <c r="Y267" s="161">
        <f>'Parametros Recargas'!I70</f>
        <v>0</v>
      </c>
      <c r="Z267" s="162">
        <f>'Parametros Recargas'!$U$101/P267</f>
        <v>0.05465023847</v>
      </c>
    </row>
    <row r="268" ht="15.75" customHeight="1">
      <c r="A268" s="30" t="s">
        <v>533</v>
      </c>
      <c r="B268" s="118" t="s">
        <v>458</v>
      </c>
      <c r="C268" s="63">
        <f t="shared" ref="C268:N268" si="176">($T268*C$244+$U268*C$245+$V268*C$246+$W268*C$247+$X268*C$248+$Y268*C$249)/$B$2</f>
        <v>1.040068798</v>
      </c>
      <c r="D268" s="63">
        <f t="shared" si="176"/>
        <v>0.9245055981</v>
      </c>
      <c r="E268" s="63">
        <f t="shared" si="176"/>
        <v>0.982287198</v>
      </c>
      <c r="F268" s="63">
        <f t="shared" si="176"/>
        <v>0.9245055981</v>
      </c>
      <c r="G268" s="63">
        <f t="shared" si="176"/>
        <v>0.8667239983</v>
      </c>
      <c r="H268" s="63">
        <f t="shared" si="176"/>
        <v>0.8089423984</v>
      </c>
      <c r="I268" s="63">
        <f t="shared" si="176"/>
        <v>0.9245055981</v>
      </c>
      <c r="J268" s="63">
        <f t="shared" si="176"/>
        <v>0.982287198</v>
      </c>
      <c r="K268" s="63">
        <f t="shared" si="176"/>
        <v>0.982287198</v>
      </c>
      <c r="L268" s="63">
        <f t="shared" si="176"/>
        <v>0.9245055981</v>
      </c>
      <c r="M268" s="63">
        <f t="shared" si="176"/>
        <v>0.9245055981</v>
      </c>
      <c r="N268" s="63">
        <f t="shared" si="176"/>
        <v>1.271195197</v>
      </c>
      <c r="O268" s="44">
        <f t="shared" si="159"/>
        <v>1.271195197</v>
      </c>
      <c r="P268" s="63">
        <f>'Parametros Recargas'!$M$102</f>
        <v>15.69230769</v>
      </c>
      <c r="Q268" s="36">
        <f>MAX(Q213,ROUNDUP(O268/(P268*'Parametros Recargas'!F$8*'Parametros Recargas'!$B$19),0))</f>
        <v>1</v>
      </c>
      <c r="R268" s="46">
        <f>IF(AND('Parametros Recargas'!F$8=2,O268/(P268*Q268*'Parametros Recargas'!$B$19)&gt;1),2,1)</f>
        <v>1</v>
      </c>
      <c r="S268" s="34">
        <f t="shared" si="160"/>
        <v>0.08100753709</v>
      </c>
      <c r="T268" s="161">
        <f>'Parametros Recargas'!D71</f>
        <v>0</v>
      </c>
      <c r="U268" s="161">
        <f>'Parametros Recargas'!E71</f>
        <v>0</v>
      </c>
      <c r="V268" s="161">
        <f>'Parametros Recargas'!F71</f>
        <v>0</v>
      </c>
      <c r="W268" s="161">
        <f>'Parametros Recargas'!G71</f>
        <v>0</v>
      </c>
      <c r="X268" s="161">
        <f>'Parametros Recargas'!H71</f>
        <v>0.35</v>
      </c>
      <c r="Y268" s="161">
        <f>'Parametros Recargas'!I71</f>
        <v>0</v>
      </c>
      <c r="Z268" s="162">
        <f>'Parametros Recargas'!$U$102/P268</f>
        <v>0.0637254902</v>
      </c>
    </row>
    <row r="269" ht="15.75" customHeight="1">
      <c r="A269" s="30" t="s">
        <v>535</v>
      </c>
      <c r="B269" s="118" t="s">
        <v>458</v>
      </c>
      <c r="C269" s="63">
        <f t="shared" ref="C269:N269" si="177">($T269*C$244+$U269*C$245+$V269*C$246+$W269*C$247+$X269*C$248+$Y269*C$249)/$B$2</f>
        <v>0.04134390313</v>
      </c>
      <c r="D269" s="63">
        <f t="shared" si="177"/>
        <v>0.03675013612</v>
      </c>
      <c r="E269" s="63">
        <f t="shared" si="177"/>
        <v>0.03904701962</v>
      </c>
      <c r="F269" s="63">
        <f t="shared" si="177"/>
        <v>0.03675013612</v>
      </c>
      <c r="G269" s="63">
        <f t="shared" si="177"/>
        <v>0.03445325261</v>
      </c>
      <c r="H269" s="63">
        <f t="shared" si="177"/>
        <v>0.0321563691</v>
      </c>
      <c r="I269" s="63">
        <f t="shared" si="177"/>
        <v>0.03675013612</v>
      </c>
      <c r="J269" s="63">
        <f t="shared" si="177"/>
        <v>0.03904701962</v>
      </c>
      <c r="K269" s="63">
        <f t="shared" si="177"/>
        <v>0.03904701962</v>
      </c>
      <c r="L269" s="63">
        <f t="shared" si="177"/>
        <v>0.03675013612</v>
      </c>
      <c r="M269" s="63">
        <f t="shared" si="177"/>
        <v>0.03675013612</v>
      </c>
      <c r="N269" s="63">
        <f t="shared" si="177"/>
        <v>0.05053143716</v>
      </c>
      <c r="O269" s="44">
        <f t="shared" si="159"/>
        <v>0.05053143716</v>
      </c>
      <c r="P269" s="63">
        <f>'Parametros Recargas'!$M$103</f>
        <v>12</v>
      </c>
      <c r="Q269" s="36">
        <f>MAX(Q214,ROUNDUP(O269/(P269*'Parametros Recargas'!F$8*'Parametros Recargas'!$B$19),0))</f>
        <v>1</v>
      </c>
      <c r="R269" s="46">
        <f>IF(AND('Parametros Recargas'!F$8=2,O269/(P269*Q269*'Parametros Recargas'!$B$19)&gt;1),2,1)</f>
        <v>1</v>
      </c>
      <c r="S269" s="34">
        <f t="shared" si="160"/>
        <v>0.004210953097</v>
      </c>
      <c r="T269" s="161">
        <f>'Parametros Recargas'!D72</f>
        <v>0</v>
      </c>
      <c r="U269" s="161">
        <f>'Parametros Recargas'!E72</f>
        <v>0</v>
      </c>
      <c r="V269" s="161">
        <f>'Parametros Recargas'!F72</f>
        <v>0</v>
      </c>
      <c r="W269" s="161">
        <f>'Parametros Recargas'!G72</f>
        <v>0</v>
      </c>
      <c r="X269" s="161">
        <f>'Parametros Recargas'!H72</f>
        <v>0</v>
      </c>
      <c r="Y269" s="161">
        <f>'Parametros Recargas'!I72</f>
        <v>0.35</v>
      </c>
      <c r="Z269" s="162">
        <f>'Parametros Recargas'!$U$103/P269</f>
        <v>0.08333333333</v>
      </c>
    </row>
    <row r="270" ht="15.75" customHeight="1">
      <c r="A270" s="73" t="s">
        <v>536</v>
      </c>
      <c r="B270" s="118" t="s">
        <v>458</v>
      </c>
      <c r="C270" s="63">
        <f t="shared" ref="C270:N270" si="178">($T270*C$244+$U270*C$245+$V270*C$246+$W270*C$247+$X270*C$248+$Y270*C$249)/$B$2</f>
        <v>35.52144896</v>
      </c>
      <c r="D270" s="63">
        <f t="shared" si="178"/>
        <v>29.33788475</v>
      </c>
      <c r="E270" s="63">
        <f t="shared" si="178"/>
        <v>30.23376633</v>
      </c>
      <c r="F270" s="63">
        <f t="shared" si="178"/>
        <v>29.41786765</v>
      </c>
      <c r="G270" s="63">
        <f t="shared" si="178"/>
        <v>28.52198608</v>
      </c>
      <c r="H270" s="63">
        <f t="shared" si="178"/>
        <v>27.6261045</v>
      </c>
      <c r="I270" s="63">
        <f t="shared" si="178"/>
        <v>29.49785056</v>
      </c>
      <c r="J270" s="63">
        <f t="shared" si="178"/>
        <v>30.15378342</v>
      </c>
      <c r="K270" s="63">
        <f t="shared" si="178"/>
        <v>30.15378342</v>
      </c>
      <c r="L270" s="63">
        <f t="shared" si="178"/>
        <v>29.33788475</v>
      </c>
      <c r="M270" s="63">
        <f t="shared" si="178"/>
        <v>29.25790185</v>
      </c>
      <c r="N270" s="63">
        <f t="shared" si="178"/>
        <v>42.47220079</v>
      </c>
      <c r="O270" s="44">
        <f t="shared" si="159"/>
        <v>42.47220079</v>
      </c>
      <c r="P270" s="63">
        <f>'Parametros Recargas'!$M$104</f>
        <v>25.04347826</v>
      </c>
      <c r="Q270" s="36">
        <f>MAX(Q215,ROUNDUP(O270/(P270*'Parametros Recargas'!F$8*'Parametros Recargas'!$B$19),0))</f>
        <v>2</v>
      </c>
      <c r="R270" s="46">
        <f>IF(AND('Parametros Recargas'!F$8=2,O270/(P270*Q270*'Parametros Recargas'!$B$19)&gt;1),2,1)</f>
        <v>1</v>
      </c>
      <c r="S270" s="34">
        <f t="shared" si="160"/>
        <v>0.8479692866</v>
      </c>
      <c r="T270" s="161">
        <f>'Parametros Recargas'!D73</f>
        <v>1</v>
      </c>
      <c r="U270" s="161">
        <f>'Parametros Recargas'!E73</f>
        <v>1</v>
      </c>
      <c r="V270" s="161">
        <f>'Parametros Recargas'!F73</f>
        <v>1</v>
      </c>
      <c r="W270" s="161">
        <f>'Parametros Recargas'!G73</f>
        <v>1</v>
      </c>
      <c r="X270" s="161">
        <f>'Parametros Recargas'!H73</f>
        <v>0.35</v>
      </c>
      <c r="Y270" s="161">
        <f>'Parametros Recargas'!I73</f>
        <v>0.35</v>
      </c>
      <c r="Z270" s="162">
        <f>'Parametros Recargas'!$U$104/P270</f>
        <v>0.03993055556</v>
      </c>
    </row>
    <row r="271" ht="15.75" customHeight="1">
      <c r="A271" s="73" t="s">
        <v>537</v>
      </c>
      <c r="B271" s="118" t="s">
        <v>458</v>
      </c>
      <c r="C271" s="63">
        <f t="shared" ref="C271:N271" si="179">($T271*C$244+$U271*C$245+$V271*C$246+$W271*C$247+$X271*C$248+$Y271*C$249)/$B$2</f>
        <v>34.48138016</v>
      </c>
      <c r="D271" s="63">
        <f t="shared" si="179"/>
        <v>28.41337915</v>
      </c>
      <c r="E271" s="63">
        <f t="shared" si="179"/>
        <v>29.25147913</v>
      </c>
      <c r="F271" s="63">
        <f t="shared" si="179"/>
        <v>28.49336206</v>
      </c>
      <c r="G271" s="63">
        <f t="shared" si="179"/>
        <v>27.65526208</v>
      </c>
      <c r="H271" s="63">
        <f t="shared" si="179"/>
        <v>26.8171621</v>
      </c>
      <c r="I271" s="63">
        <f t="shared" si="179"/>
        <v>28.57334496</v>
      </c>
      <c r="J271" s="63">
        <f t="shared" si="179"/>
        <v>29.17149623</v>
      </c>
      <c r="K271" s="63">
        <f t="shared" si="179"/>
        <v>29.17149623</v>
      </c>
      <c r="L271" s="63">
        <f t="shared" si="179"/>
        <v>28.41337915</v>
      </c>
      <c r="M271" s="63">
        <f t="shared" si="179"/>
        <v>28.33339625</v>
      </c>
      <c r="N271" s="63">
        <f t="shared" si="179"/>
        <v>41.20100559</v>
      </c>
      <c r="O271" s="44">
        <f t="shared" si="159"/>
        <v>41.20100559</v>
      </c>
      <c r="P271" s="63">
        <f>'Parametros Recargas'!$M$105</f>
        <v>52.36363636</v>
      </c>
      <c r="Q271" s="36">
        <f>MAX(Q216,ROUNDUP(O271/(P271*'Parametros Recargas'!F$8*'Parametros Recargas'!$B$19),0))</f>
        <v>1</v>
      </c>
      <c r="R271" s="46">
        <f>IF(AND('Parametros Recargas'!F$8=2,O271/(P271*Q271*'Parametros Recargas'!$B$19)&gt;1),2,1)</f>
        <v>1</v>
      </c>
      <c r="S271" s="34">
        <f t="shared" si="160"/>
        <v>0.7868247596</v>
      </c>
      <c r="T271" s="161">
        <f>'Parametros Recargas'!D74</f>
        <v>1</v>
      </c>
      <c r="U271" s="161">
        <f>'Parametros Recargas'!E74</f>
        <v>1</v>
      </c>
      <c r="V271" s="161">
        <f>'Parametros Recargas'!F74</f>
        <v>1</v>
      </c>
      <c r="W271" s="161">
        <f>'Parametros Recargas'!G74</f>
        <v>1</v>
      </c>
      <c r="X271" s="161">
        <f>'Parametros Recargas'!H74</f>
        <v>0</v>
      </c>
      <c r="Y271" s="161">
        <f>'Parametros Recargas'!I74</f>
        <v>0.35</v>
      </c>
      <c r="Z271" s="162">
        <f>'Parametros Recargas'!$U$105/P271</f>
        <v>0.01909722222</v>
      </c>
    </row>
    <row r="272" ht="15.75" customHeight="1">
      <c r="A272" s="73" t="s">
        <v>546</v>
      </c>
      <c r="B272" s="118" t="s">
        <v>458</v>
      </c>
      <c r="C272" s="63">
        <f t="shared" ref="C272:N272" si="180">($T272*C$244+$U272*C$245+$V272*C$246+$W272*C$247+$X272*C$248+$Y272*C$249)/$B$2</f>
        <v>3.089750574</v>
      </c>
      <c r="D272" s="63">
        <f t="shared" si="180"/>
        <v>2.746444955</v>
      </c>
      <c r="E272" s="63">
        <f t="shared" si="180"/>
        <v>2.918097765</v>
      </c>
      <c r="F272" s="63">
        <f t="shared" si="180"/>
        <v>2.746444955</v>
      </c>
      <c r="G272" s="63">
        <f t="shared" si="180"/>
        <v>2.574792145</v>
      </c>
      <c r="H272" s="63">
        <f t="shared" si="180"/>
        <v>2.403139336</v>
      </c>
      <c r="I272" s="63">
        <f t="shared" si="180"/>
        <v>2.746444955</v>
      </c>
      <c r="J272" s="63">
        <f t="shared" si="180"/>
        <v>2.918097765</v>
      </c>
      <c r="K272" s="63">
        <f t="shared" si="180"/>
        <v>2.918097765</v>
      </c>
      <c r="L272" s="63">
        <f t="shared" si="180"/>
        <v>2.746444955</v>
      </c>
      <c r="M272" s="63">
        <f t="shared" si="180"/>
        <v>2.746444955</v>
      </c>
      <c r="N272" s="63">
        <f t="shared" si="180"/>
        <v>3.776361813</v>
      </c>
      <c r="O272" s="44">
        <f t="shared" si="159"/>
        <v>3.776361813</v>
      </c>
      <c r="P272" s="63">
        <f>'Parametros Recargas'!$M$106</f>
        <v>55.63636364</v>
      </c>
      <c r="Q272" s="36">
        <f>MAX(Q217,ROUNDUP(O272/(P272*'Parametros Recargas'!F$8*'Parametros Recargas'!$B$19),0))</f>
        <v>1</v>
      </c>
      <c r="R272" s="46">
        <f>IF(AND('Parametros Recargas'!F$8=2,O272/(P272*Q272*'Parametros Recargas'!$B$19)&gt;1),2,1)</f>
        <v>1</v>
      </c>
      <c r="S272" s="34">
        <f t="shared" si="160"/>
        <v>0.06787578422</v>
      </c>
      <c r="T272" s="161">
        <f>'Parametros Recargas'!D75</f>
        <v>0</v>
      </c>
      <c r="U272" s="161">
        <f>'Parametros Recargas'!E75</f>
        <v>0</v>
      </c>
      <c r="V272" s="161">
        <f>'Parametros Recargas'!F75</f>
        <v>0</v>
      </c>
      <c r="W272" s="161">
        <f>'Parametros Recargas'!G75</f>
        <v>0</v>
      </c>
      <c r="X272" s="161">
        <f>'Parametros Recargas'!H75</f>
        <v>1</v>
      </c>
      <c r="Y272" s="161">
        <f>'Parametros Recargas'!I75</f>
        <v>1</v>
      </c>
      <c r="Z272" s="162">
        <f>'Parametros Recargas'!$U$106/P272</f>
        <v>0.01797385621</v>
      </c>
    </row>
    <row r="273" ht="15.75" customHeight="1">
      <c r="A273" s="73" t="s">
        <v>559</v>
      </c>
      <c r="B273" s="118" t="s">
        <v>458</v>
      </c>
      <c r="C273" s="63">
        <f t="shared" ref="C273:N273" si="181">($T273*C$244+$U273*C$245+$V273*C$246+$W273*C$247+$X273*C$248+$Y273*C$249)/$B$2</f>
        <v>37.52978683</v>
      </c>
      <c r="D273" s="63">
        <f t="shared" si="181"/>
        <v>31.12307397</v>
      </c>
      <c r="E273" s="63">
        <f t="shared" si="181"/>
        <v>32.13052988</v>
      </c>
      <c r="F273" s="63">
        <f t="shared" si="181"/>
        <v>31.20305688</v>
      </c>
      <c r="G273" s="63">
        <f t="shared" si="181"/>
        <v>30.19560097</v>
      </c>
      <c r="H273" s="63">
        <f t="shared" si="181"/>
        <v>29.18814506</v>
      </c>
      <c r="I273" s="63">
        <f t="shared" si="181"/>
        <v>31.28303978</v>
      </c>
      <c r="J273" s="63">
        <f t="shared" si="181"/>
        <v>32.05054697</v>
      </c>
      <c r="K273" s="63">
        <f t="shared" si="181"/>
        <v>32.05054697</v>
      </c>
      <c r="L273" s="63">
        <f t="shared" si="181"/>
        <v>31.12307397</v>
      </c>
      <c r="M273" s="63">
        <f t="shared" si="181"/>
        <v>31.04309107</v>
      </c>
      <c r="N273" s="63">
        <f t="shared" si="181"/>
        <v>44.92683597</v>
      </c>
      <c r="O273" s="44">
        <f t="shared" si="159"/>
        <v>44.92683597</v>
      </c>
      <c r="P273" s="63">
        <f>'Parametros Recargas'!$M$107</f>
        <v>76.5</v>
      </c>
      <c r="Q273" s="36">
        <f>MAX(Q218,ROUNDUP(O273/(P273*'Parametros Recargas'!F$8*'Parametros Recargas'!$B$19),0))</f>
        <v>1</v>
      </c>
      <c r="R273" s="46">
        <f>IF(AND('Parametros Recargas'!F$8=2,O273/(P273*Q273*'Parametros Recargas'!$B$19)&gt;1),2,1)</f>
        <v>1</v>
      </c>
      <c r="S273" s="34">
        <f t="shared" si="160"/>
        <v>0.5872789015</v>
      </c>
      <c r="T273" s="161">
        <f>'Parametros Recargas'!D76</f>
        <v>1</v>
      </c>
      <c r="U273" s="161">
        <f>'Parametros Recargas'!E76</f>
        <v>1</v>
      </c>
      <c r="V273" s="161">
        <f>'Parametros Recargas'!F76</f>
        <v>1</v>
      </c>
      <c r="W273" s="161">
        <f>'Parametros Recargas'!G76</f>
        <v>1</v>
      </c>
      <c r="X273" s="161">
        <f>'Parametros Recargas'!H76</f>
        <v>1</v>
      </c>
      <c r="Y273" s="161">
        <f>'Parametros Recargas'!I76</f>
        <v>1</v>
      </c>
      <c r="Z273" s="162">
        <f>'Parametros Recargas'!$U$107/P273</f>
        <v>0.003267973856</v>
      </c>
    </row>
    <row r="274" ht="15.75" customHeight="1">
      <c r="A274" s="73" t="s">
        <v>566</v>
      </c>
      <c r="B274" s="118" t="s">
        <v>458</v>
      </c>
      <c r="C274" s="63">
        <f t="shared" ref="C274:N274" si="182">($T274*C$244+$U274*C$245+$V274*C$246+$W274*C$247+$X274*C$248+$Y274*C$249)/$B$2</f>
        <v>5.629468025</v>
      </c>
      <c r="D274" s="63">
        <f t="shared" si="182"/>
        <v>4.668461096</v>
      </c>
      <c r="E274" s="63">
        <f t="shared" si="182"/>
        <v>4.819579481</v>
      </c>
      <c r="F274" s="63">
        <f t="shared" si="182"/>
        <v>4.680458531</v>
      </c>
      <c r="G274" s="63">
        <f t="shared" si="182"/>
        <v>4.529340146</v>
      </c>
      <c r="H274" s="63">
        <f t="shared" si="182"/>
        <v>4.37822176</v>
      </c>
      <c r="I274" s="63">
        <f t="shared" si="182"/>
        <v>4.692455967</v>
      </c>
      <c r="J274" s="63">
        <f t="shared" si="182"/>
        <v>4.807582046</v>
      </c>
      <c r="K274" s="63">
        <f t="shared" si="182"/>
        <v>4.807582046</v>
      </c>
      <c r="L274" s="63">
        <f t="shared" si="182"/>
        <v>4.668461096</v>
      </c>
      <c r="M274" s="63">
        <f t="shared" si="182"/>
        <v>4.65646366</v>
      </c>
      <c r="N274" s="63">
        <f t="shared" si="182"/>
        <v>6.739025395</v>
      </c>
      <c r="O274" s="44">
        <f t="shared" si="159"/>
        <v>6.739025395</v>
      </c>
      <c r="P274" s="63">
        <f>'Parametros Recargas'!$M$108</f>
        <v>8</v>
      </c>
      <c r="Q274" s="36">
        <f>MAX(Q219,ROUNDUP(O274/(P274*'Parametros Recargas'!F$8*'Parametros Recargas'!$B$19),0))</f>
        <v>1</v>
      </c>
      <c r="R274" s="46">
        <f>IF(AND('Parametros Recargas'!F$8=2,O274/(P274*Q274*'Parametros Recargas'!$B$19)&gt;1),2,1)</f>
        <v>1</v>
      </c>
      <c r="S274" s="34">
        <f t="shared" si="160"/>
        <v>0.8423781744</v>
      </c>
      <c r="T274" s="161">
        <f>'Parametros Recargas'!D77</f>
        <v>0.15</v>
      </c>
      <c r="U274" s="161">
        <f>'Parametros Recargas'!E77</f>
        <v>0.15</v>
      </c>
      <c r="V274" s="161">
        <f>'Parametros Recargas'!F77</f>
        <v>0.15</v>
      </c>
      <c r="W274" s="161">
        <f>'Parametros Recargas'!G77</f>
        <v>0.15</v>
      </c>
      <c r="X274" s="161">
        <f>'Parametros Recargas'!H77</f>
        <v>0.15</v>
      </c>
      <c r="Y274" s="161">
        <f>'Parametros Recargas'!I77</f>
        <v>0.15</v>
      </c>
      <c r="Z274" s="162">
        <f>'Parametros Recargas'!$U$108/P274</f>
        <v>0.125</v>
      </c>
    </row>
    <row r="275" ht="15.75" customHeight="1">
      <c r="A275" s="73" t="s">
        <v>574</v>
      </c>
      <c r="B275" s="118" t="s">
        <v>458</v>
      </c>
      <c r="C275" s="63">
        <f t="shared" ref="C275:N275" si="183">($T275*C$244+$U275*C$245+$V275*C$246+$W275*C$247+$X275*C$248+$Y275*C$249)/$B$2</f>
        <v>37.52978683</v>
      </c>
      <c r="D275" s="63">
        <f t="shared" si="183"/>
        <v>31.12307397</v>
      </c>
      <c r="E275" s="63">
        <f t="shared" si="183"/>
        <v>32.13052988</v>
      </c>
      <c r="F275" s="63">
        <f t="shared" si="183"/>
        <v>31.20305688</v>
      </c>
      <c r="G275" s="63">
        <f t="shared" si="183"/>
        <v>30.19560097</v>
      </c>
      <c r="H275" s="63">
        <f t="shared" si="183"/>
        <v>29.18814506</v>
      </c>
      <c r="I275" s="63">
        <f t="shared" si="183"/>
        <v>31.28303978</v>
      </c>
      <c r="J275" s="63">
        <f t="shared" si="183"/>
        <v>32.05054697</v>
      </c>
      <c r="K275" s="63">
        <f t="shared" si="183"/>
        <v>32.05054697</v>
      </c>
      <c r="L275" s="63">
        <f t="shared" si="183"/>
        <v>31.12307397</v>
      </c>
      <c r="M275" s="63">
        <f t="shared" si="183"/>
        <v>31.04309107</v>
      </c>
      <c r="N275" s="63">
        <f t="shared" si="183"/>
        <v>44.92683597</v>
      </c>
      <c r="O275" s="44">
        <f t="shared" si="159"/>
        <v>44.92683597</v>
      </c>
      <c r="P275" s="63">
        <f>'Parametros Recargas'!$M$109</f>
        <v>52.36363636</v>
      </c>
      <c r="Q275" s="36">
        <f>MAX(Q220,ROUNDUP(O275/(P275*'Parametros Recargas'!F$8*'Parametros Recargas'!$B$19),0))</f>
        <v>1</v>
      </c>
      <c r="R275" s="46">
        <f>IF(AND('Parametros Recargas'!F$8=2,O275/(P275*Q275*'Parametros Recargas'!$B$19)&gt;1),2,1)</f>
        <v>1</v>
      </c>
      <c r="S275" s="34">
        <f t="shared" si="160"/>
        <v>0.8579777702</v>
      </c>
      <c r="T275" s="161">
        <f>'Parametros Recargas'!D78</f>
        <v>1</v>
      </c>
      <c r="U275" s="161">
        <f>'Parametros Recargas'!E78</f>
        <v>1</v>
      </c>
      <c r="V275" s="161">
        <f>'Parametros Recargas'!F78</f>
        <v>1</v>
      </c>
      <c r="W275" s="161">
        <f>'Parametros Recargas'!G78</f>
        <v>1</v>
      </c>
      <c r="X275" s="161">
        <f>'Parametros Recargas'!H78</f>
        <v>1</v>
      </c>
      <c r="Y275" s="161">
        <f>'Parametros Recargas'!I78</f>
        <v>1</v>
      </c>
      <c r="Z275" s="162">
        <f>'Parametros Recargas'!$U$109/P275</f>
        <v>0.01909722222</v>
      </c>
    </row>
    <row r="276" ht="15.75" customHeight="1">
      <c r="A276" s="73" t="s">
        <v>583</v>
      </c>
      <c r="B276" s="118" t="s">
        <v>458</v>
      </c>
      <c r="C276" s="63">
        <f t="shared" ref="C276:N276" si="184">($T276*C$244+$U276*C$245+$V276*C$246+$W276*C$247+$X276*C$248+$Y276*C$249)/$B$2</f>
        <v>37.52978683</v>
      </c>
      <c r="D276" s="63">
        <f t="shared" si="184"/>
        <v>31.12307397</v>
      </c>
      <c r="E276" s="63">
        <f t="shared" si="184"/>
        <v>32.13052988</v>
      </c>
      <c r="F276" s="63">
        <f t="shared" si="184"/>
        <v>31.20305688</v>
      </c>
      <c r="G276" s="63">
        <f t="shared" si="184"/>
        <v>30.19560097</v>
      </c>
      <c r="H276" s="63">
        <f t="shared" si="184"/>
        <v>29.18814506</v>
      </c>
      <c r="I276" s="63">
        <f t="shared" si="184"/>
        <v>31.28303978</v>
      </c>
      <c r="J276" s="63">
        <f t="shared" si="184"/>
        <v>32.05054697</v>
      </c>
      <c r="K276" s="63">
        <f t="shared" si="184"/>
        <v>32.05054697</v>
      </c>
      <c r="L276" s="63">
        <f t="shared" si="184"/>
        <v>31.12307397</v>
      </c>
      <c r="M276" s="63">
        <f t="shared" si="184"/>
        <v>31.04309107</v>
      </c>
      <c r="N276" s="63">
        <f t="shared" si="184"/>
        <v>44.92683597</v>
      </c>
      <c r="O276" s="44">
        <f t="shared" si="159"/>
        <v>44.92683597</v>
      </c>
      <c r="P276" s="63">
        <f>'Parametros Recargas'!$M$110</f>
        <v>57.6</v>
      </c>
      <c r="Q276" s="36">
        <f>MAX(Q221,ROUNDUP(O276/(P276*'Parametros Recargas'!F$8*'Parametros Recargas'!$B$19),0))</f>
        <v>1</v>
      </c>
      <c r="R276" s="46">
        <f>IF(AND('Parametros Recargas'!F$8=2,O276/(P276*Q276*'Parametros Recargas'!$B$19)&gt;1),2,1)</f>
        <v>1</v>
      </c>
      <c r="S276" s="34">
        <f t="shared" si="160"/>
        <v>0.7799797911</v>
      </c>
      <c r="T276" s="161">
        <f>'Parametros Recargas'!D79</f>
        <v>1</v>
      </c>
      <c r="U276" s="161">
        <f>'Parametros Recargas'!E79</f>
        <v>1</v>
      </c>
      <c r="V276" s="161">
        <f>'Parametros Recargas'!F79</f>
        <v>1</v>
      </c>
      <c r="W276" s="161">
        <f>'Parametros Recargas'!G79</f>
        <v>1</v>
      </c>
      <c r="X276" s="161">
        <f>'Parametros Recargas'!H79</f>
        <v>1</v>
      </c>
      <c r="Y276" s="161">
        <f>'Parametros Recargas'!I79</f>
        <v>1</v>
      </c>
      <c r="Z276" s="162">
        <f>'Parametros Recargas'!$U$110/P276</f>
        <v>0.01736111111</v>
      </c>
    </row>
    <row r="277" ht="15.75" customHeight="1">
      <c r="A277" s="73" t="s">
        <v>590</v>
      </c>
      <c r="B277" s="118" t="s">
        <v>591</v>
      </c>
      <c r="C277" s="175">
        <f t="shared" ref="C277:N277" si="185">SUMPRODUCT(C251:C276,$Z251:$Z276)*$B$2</f>
        <v>1288.845447</v>
      </c>
      <c r="D277" s="175">
        <f t="shared" si="185"/>
        <v>1068.41508</v>
      </c>
      <c r="E277" s="175">
        <f t="shared" si="185"/>
        <v>1102.959548</v>
      </c>
      <c r="F277" s="175">
        <f t="shared" si="185"/>
        <v>1071.358366</v>
      </c>
      <c r="G277" s="175">
        <f t="shared" si="185"/>
        <v>1036.813898</v>
      </c>
      <c r="H277" s="175">
        <f t="shared" si="185"/>
        <v>1002.26943</v>
      </c>
      <c r="I277" s="175">
        <f t="shared" si="185"/>
        <v>1074.301651</v>
      </c>
      <c r="J277" s="175">
        <f t="shared" si="185"/>
        <v>1100.016263</v>
      </c>
      <c r="K277" s="175">
        <f t="shared" si="185"/>
        <v>1100.016263</v>
      </c>
      <c r="L277" s="175">
        <f t="shared" si="185"/>
        <v>1068.41508</v>
      </c>
      <c r="M277" s="175">
        <f t="shared" si="185"/>
        <v>1065.471795</v>
      </c>
      <c r="N277" s="175">
        <f t="shared" si="185"/>
        <v>1541.595296</v>
      </c>
      <c r="O277" s="175">
        <f t="shared" si="159"/>
        <v>1541.595296</v>
      </c>
    </row>
    <row r="278" ht="15.75" customHeight="1"/>
    <row r="279" ht="15.75" customHeight="1">
      <c r="A279" s="45" t="s">
        <v>701</v>
      </c>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137"/>
    </row>
    <row r="280" ht="15.75" customHeight="1">
      <c r="A280" s="29" t="s">
        <v>376</v>
      </c>
      <c r="B280" s="29" t="s">
        <v>377</v>
      </c>
      <c r="C280" s="29" t="s">
        <v>109</v>
      </c>
      <c r="D280" s="29" t="s">
        <v>110</v>
      </c>
      <c r="E280" s="29" t="s">
        <v>111</v>
      </c>
      <c r="F280" s="29" t="s">
        <v>112</v>
      </c>
      <c r="G280" s="29" t="s">
        <v>113</v>
      </c>
      <c r="H280" s="29" t="s">
        <v>114</v>
      </c>
      <c r="I280" s="29" t="s">
        <v>115</v>
      </c>
      <c r="J280" s="29" t="s">
        <v>116</v>
      </c>
      <c r="K280" s="29" t="s">
        <v>117</v>
      </c>
      <c r="L280" s="29" t="s">
        <v>118</v>
      </c>
      <c r="M280" s="29" t="s">
        <v>119</v>
      </c>
      <c r="N280" s="29" t="s">
        <v>120</v>
      </c>
      <c r="O280" s="29" t="s">
        <v>15</v>
      </c>
    </row>
    <row r="281" ht="15.75" customHeight="1">
      <c r="A281" s="30" t="str">
        <f>datos_base!$A$55</f>
        <v>ABC 1 kg</v>
      </c>
      <c r="B281" s="139" t="s">
        <v>379</v>
      </c>
      <c r="C281" s="64">
        <f>datos_base!$G$55*'Parametros Recargas'!D$33*'Parametros Recargas'!$Q$33</f>
        <v>4019.928476</v>
      </c>
      <c r="D281" s="64">
        <f>datos_base!$G$55*'Parametros Recargas'!E$33*'Parametros Recargas'!$Q$33</f>
        <v>3135.544211</v>
      </c>
      <c r="E281" s="64">
        <f>datos_base!$G$55*'Parametros Recargas'!F$33*'Parametros Recargas'!$Q$33</f>
        <v>3135.544211</v>
      </c>
      <c r="F281" s="64">
        <f>datos_base!$G$55*'Parametros Recargas'!G$33*'Parametros Recargas'!$Q$33</f>
        <v>3135.544211</v>
      </c>
      <c r="G281" s="64">
        <f>datos_base!$G$55*'Parametros Recargas'!H$33*'Parametros Recargas'!$Q$33</f>
        <v>3135.544211</v>
      </c>
      <c r="H281" s="64">
        <f>datos_base!$G$55*'Parametros Recargas'!I$33*'Parametros Recargas'!$Q$33</f>
        <v>3135.544211</v>
      </c>
      <c r="I281" s="64">
        <f>datos_base!$G$55*'Parametros Recargas'!J$33*'Parametros Recargas'!$Q$33</f>
        <v>3135.544211</v>
      </c>
      <c r="J281" s="64">
        <f>datos_base!$G$55*'Parametros Recargas'!K$33*'Parametros Recargas'!$Q$33</f>
        <v>3135.544211</v>
      </c>
      <c r="K281" s="64">
        <f>datos_base!$G$55*'Parametros Recargas'!L$33*'Parametros Recargas'!$Q$33</f>
        <v>3135.544211</v>
      </c>
      <c r="L281" s="64">
        <f>datos_base!$G$55*'Parametros Recargas'!M$33*'Parametros Recargas'!$Q$33</f>
        <v>3135.544211</v>
      </c>
      <c r="M281" s="64">
        <f>datos_base!$G$55*'Parametros Recargas'!N$33*'Parametros Recargas'!$Q$33</f>
        <v>3135.544211</v>
      </c>
      <c r="N281" s="64">
        <f>datos_base!$G$55*'Parametros Recargas'!O$33*'Parametros Recargas'!$Q$33</f>
        <v>4823.914171</v>
      </c>
      <c r="O281" s="84">
        <f t="shared" ref="O281:O297" si="186">SUM(C281:N281)</f>
        <v>40199.28476</v>
      </c>
    </row>
    <row r="282" ht="15.75" customHeight="1">
      <c r="A282" s="30" t="str">
        <f>datos_base!$A$56</f>
        <v>ABC 2,5 kg</v>
      </c>
      <c r="B282" s="139" t="s">
        <v>379</v>
      </c>
      <c r="C282" s="64">
        <f>datos_base!$G$56*'Parametros Recargas'!D$34*'Parametros Recargas'!$Q$34</f>
        <v>321.2190158</v>
      </c>
      <c r="D282" s="64">
        <f>datos_base!$G$56*'Parametros Recargas'!E$34*'Parametros Recargas'!$Q$34</f>
        <v>285.5280141</v>
      </c>
      <c r="E282" s="64">
        <f>datos_base!$G$56*'Parametros Recargas'!F$34*'Parametros Recargas'!$Q$34</f>
        <v>303.373515</v>
      </c>
      <c r="F282" s="64">
        <f>datos_base!$G$56*'Parametros Recargas'!G$34*'Parametros Recargas'!$Q$34</f>
        <v>285.5280141</v>
      </c>
      <c r="G282" s="64">
        <f>datos_base!$G$56*'Parametros Recargas'!H$34*'Parametros Recargas'!$Q$34</f>
        <v>267.6825132</v>
      </c>
      <c r="H282" s="64">
        <f>datos_base!$G$56*'Parametros Recargas'!I$34*'Parametros Recargas'!$Q$34</f>
        <v>249.8370123</v>
      </c>
      <c r="I282" s="64">
        <f>datos_base!$G$56*'Parametros Recargas'!J$34*'Parametros Recargas'!$Q$34</f>
        <v>285.5280141</v>
      </c>
      <c r="J282" s="64">
        <f>datos_base!$G$56*'Parametros Recargas'!K$34*'Parametros Recargas'!$Q$34</f>
        <v>303.373515</v>
      </c>
      <c r="K282" s="64">
        <f>datos_base!$G$56*'Parametros Recargas'!L$34*'Parametros Recargas'!$Q$34</f>
        <v>303.373515</v>
      </c>
      <c r="L282" s="64">
        <f>datos_base!$G$56*'Parametros Recargas'!M$34*'Parametros Recargas'!$Q$34</f>
        <v>285.5280141</v>
      </c>
      <c r="M282" s="64">
        <f>datos_base!$G$56*'Parametros Recargas'!N$34*'Parametros Recargas'!$Q$34</f>
        <v>285.5280141</v>
      </c>
      <c r="N282" s="64">
        <f>datos_base!$G$56*'Parametros Recargas'!O$34*'Parametros Recargas'!$Q$34</f>
        <v>392.6010194</v>
      </c>
      <c r="O282" s="84">
        <f t="shared" si="186"/>
        <v>3569.100176</v>
      </c>
    </row>
    <row r="283" ht="15.75" customHeight="1">
      <c r="A283" s="30" t="str">
        <f>datos_base!$A$57</f>
        <v>ABC 5 kg</v>
      </c>
      <c r="B283" s="139" t="s">
        <v>379</v>
      </c>
      <c r="C283" s="64">
        <f>datos_base!$G$57*'Parametros Recargas'!D$35*'Parametros Recargas'!$Q$35</f>
        <v>1982.13457</v>
      </c>
      <c r="D283" s="64">
        <f>datos_base!$G$57*'Parametros Recargas'!E$35*'Parametros Recargas'!$Q$35</f>
        <v>1761.897395</v>
      </c>
      <c r="E283" s="64">
        <f>datos_base!$G$57*'Parametros Recargas'!F$35*'Parametros Recargas'!$Q$35</f>
        <v>1872.015983</v>
      </c>
      <c r="F283" s="64">
        <f>datos_base!$G$57*'Parametros Recargas'!G$35*'Parametros Recargas'!$Q$35</f>
        <v>1761.897395</v>
      </c>
      <c r="G283" s="64">
        <f>datos_base!$G$57*'Parametros Recargas'!H$35*'Parametros Recargas'!$Q$35</f>
        <v>1651.778808</v>
      </c>
      <c r="H283" s="64">
        <f>datos_base!$G$57*'Parametros Recargas'!I$35*'Parametros Recargas'!$Q$35</f>
        <v>1541.660221</v>
      </c>
      <c r="I283" s="64">
        <f>datos_base!$G$57*'Parametros Recargas'!J$35*'Parametros Recargas'!$Q$35</f>
        <v>1761.897395</v>
      </c>
      <c r="J283" s="64">
        <f>datos_base!$G$57*'Parametros Recargas'!K$35*'Parametros Recargas'!$Q$35</f>
        <v>1872.015983</v>
      </c>
      <c r="K283" s="64">
        <f>datos_base!$G$57*'Parametros Recargas'!L$35*'Parametros Recargas'!$Q$35</f>
        <v>1872.015983</v>
      </c>
      <c r="L283" s="64">
        <f>datos_base!$G$57*'Parametros Recargas'!M$35*'Parametros Recargas'!$Q$35</f>
        <v>1761.897395</v>
      </c>
      <c r="M283" s="64">
        <f>datos_base!$G$57*'Parametros Recargas'!N$35*'Parametros Recargas'!$Q$35</f>
        <v>1761.897395</v>
      </c>
      <c r="N283" s="64">
        <f>datos_base!$G$57*'Parametros Recargas'!O$35*'Parametros Recargas'!$Q$35</f>
        <v>2422.608919</v>
      </c>
      <c r="O283" s="84">
        <f t="shared" si="186"/>
        <v>22023.71744</v>
      </c>
    </row>
    <row r="284" ht="15.75" customHeight="1">
      <c r="A284" s="30" t="str">
        <f>datos_base!$A$58</f>
        <v>ABC 10 kg</v>
      </c>
      <c r="B284" s="139" t="s">
        <v>379</v>
      </c>
      <c r="C284" s="64">
        <f>datos_base!$G$58*'Parametros Recargas'!D$36*'Parametros Recargas'!$Q$36</f>
        <v>117.4064131</v>
      </c>
      <c r="D284" s="64">
        <f>datos_base!$G$58*'Parametros Recargas'!E$36*'Parametros Recargas'!$Q$36</f>
        <v>104.3612561</v>
      </c>
      <c r="E284" s="64">
        <f>datos_base!$G$58*'Parametros Recargas'!F$36*'Parametros Recargas'!$Q$36</f>
        <v>110.8838346</v>
      </c>
      <c r="F284" s="64">
        <f>datos_base!$G$58*'Parametros Recargas'!G$36*'Parametros Recargas'!$Q$36</f>
        <v>104.3612561</v>
      </c>
      <c r="G284" s="64">
        <f>datos_base!$G$58*'Parametros Recargas'!H$36*'Parametros Recargas'!$Q$36</f>
        <v>97.8386776</v>
      </c>
      <c r="H284" s="64">
        <f>datos_base!$G$58*'Parametros Recargas'!I$36*'Parametros Recargas'!$Q$36</f>
        <v>91.31609909</v>
      </c>
      <c r="I284" s="64">
        <f>datos_base!$G$58*'Parametros Recargas'!J$36*'Parametros Recargas'!$Q$36</f>
        <v>104.3612561</v>
      </c>
      <c r="J284" s="64">
        <f>datos_base!$G$58*'Parametros Recargas'!K$36*'Parametros Recargas'!$Q$36</f>
        <v>110.8838346</v>
      </c>
      <c r="K284" s="64">
        <f>datos_base!$G$58*'Parametros Recargas'!L$36*'Parametros Recargas'!$Q$36</f>
        <v>110.8838346</v>
      </c>
      <c r="L284" s="64">
        <f>datos_base!$G$58*'Parametros Recargas'!M$36*'Parametros Recargas'!$Q$36</f>
        <v>104.3612561</v>
      </c>
      <c r="M284" s="64">
        <f>datos_base!$G$58*'Parametros Recargas'!N$36*'Parametros Recargas'!$Q$36</f>
        <v>104.3612561</v>
      </c>
      <c r="N284" s="64">
        <f>datos_base!$G$58*'Parametros Recargas'!O$36*'Parametros Recargas'!$Q$36</f>
        <v>143.4967271</v>
      </c>
      <c r="O284" s="84">
        <f t="shared" si="186"/>
        <v>1304.515701</v>
      </c>
    </row>
    <row r="285" ht="15.75" customHeight="1">
      <c r="A285" s="30" t="str">
        <f>datos_base!$A$69</f>
        <v>ABC 25 kg s/ruedas</v>
      </c>
      <c r="B285" s="139" t="s">
        <v>379</v>
      </c>
      <c r="C285" s="64">
        <f>datos_base!$G$69*'Parametros Recargas'!D$37*'Parametros Recargas'!$Q$37</f>
        <v>66.04752724</v>
      </c>
      <c r="D285" s="64">
        <f>datos_base!$G$69*'Parametros Recargas'!E$37*'Parametros Recargas'!$Q$37</f>
        <v>52.83802179</v>
      </c>
      <c r="E285" s="64">
        <f>datos_base!$G$69*'Parametros Recargas'!F$37*'Parametros Recargas'!$Q$37</f>
        <v>56.14039815</v>
      </c>
      <c r="F285" s="64">
        <f>datos_base!$G$69*'Parametros Recargas'!G$37*'Parametros Recargas'!$Q$37</f>
        <v>56.14039815</v>
      </c>
      <c r="G285" s="64">
        <f>datos_base!$G$69*'Parametros Recargas'!H$37*'Parametros Recargas'!$Q$37</f>
        <v>52.83802179</v>
      </c>
      <c r="H285" s="64">
        <f>datos_base!$G$69*'Parametros Recargas'!I$37*'Parametros Recargas'!$Q$37</f>
        <v>49.53564543</v>
      </c>
      <c r="I285" s="64">
        <f>datos_base!$G$69*'Parametros Recargas'!J$37*'Parametros Recargas'!$Q$37</f>
        <v>59.44277451</v>
      </c>
      <c r="J285" s="64">
        <f>datos_base!$G$69*'Parametros Recargas'!K$37*'Parametros Recargas'!$Q$37</f>
        <v>52.83802179</v>
      </c>
      <c r="K285" s="64">
        <f>datos_base!$G$69*'Parametros Recargas'!L$37*'Parametros Recargas'!$Q$37</f>
        <v>52.83802179</v>
      </c>
      <c r="L285" s="64">
        <f>datos_base!$G$69*'Parametros Recargas'!M$37*'Parametros Recargas'!$Q$37</f>
        <v>52.83802179</v>
      </c>
      <c r="M285" s="64">
        <f>datos_base!$G$69*'Parametros Recargas'!N$37*'Parametros Recargas'!$Q$37</f>
        <v>49.53564543</v>
      </c>
      <c r="N285" s="64">
        <f>datos_base!$G$69*'Parametros Recargas'!O$37*'Parametros Recargas'!$Q$37</f>
        <v>59.44277451</v>
      </c>
      <c r="O285" s="84">
        <f t="shared" si="186"/>
        <v>660.4752724</v>
      </c>
    </row>
    <row r="286" ht="15.75" customHeight="1">
      <c r="A286" s="30" t="str">
        <f>datos_base!$A$70</f>
        <v>ABC 50 kg s/ruedas</v>
      </c>
      <c r="B286" s="139" t="s">
        <v>379</v>
      </c>
      <c r="C286" s="64">
        <f>datos_base!$G$70*'Parametros Recargas'!D$38*'Parametros Recargas'!$Q$38</f>
        <v>145.345647</v>
      </c>
      <c r="D286" s="64">
        <f>datos_base!$G$70*'Parametros Recargas'!E$38*'Parametros Recargas'!$Q$38</f>
        <v>116.2765176</v>
      </c>
      <c r="E286" s="64">
        <f>datos_base!$G$70*'Parametros Recargas'!F$38*'Parametros Recargas'!$Q$38</f>
        <v>123.5438</v>
      </c>
      <c r="F286" s="64">
        <f>datos_base!$G$70*'Parametros Recargas'!G$38*'Parametros Recargas'!$Q$38</f>
        <v>123.5438</v>
      </c>
      <c r="G286" s="64">
        <f>datos_base!$G$70*'Parametros Recargas'!H$38*'Parametros Recargas'!$Q$38</f>
        <v>116.2765176</v>
      </c>
      <c r="H286" s="64">
        <f>datos_base!$G$70*'Parametros Recargas'!I$38*'Parametros Recargas'!$Q$38</f>
        <v>109.0092353</v>
      </c>
      <c r="I286" s="64">
        <f>datos_base!$G$70*'Parametros Recargas'!J$38*'Parametros Recargas'!$Q$38</f>
        <v>130.8110823</v>
      </c>
      <c r="J286" s="64">
        <f>datos_base!$G$70*'Parametros Recargas'!K$38*'Parametros Recargas'!$Q$38</f>
        <v>116.2765176</v>
      </c>
      <c r="K286" s="64">
        <f>datos_base!$G$70*'Parametros Recargas'!L$38*'Parametros Recargas'!$Q$38</f>
        <v>116.2765176</v>
      </c>
      <c r="L286" s="64">
        <f>datos_base!$G$70*'Parametros Recargas'!M$38*'Parametros Recargas'!$Q$38</f>
        <v>116.2765176</v>
      </c>
      <c r="M286" s="64">
        <f>datos_base!$G$70*'Parametros Recargas'!N$38*'Parametros Recargas'!$Q$38</f>
        <v>109.0092353</v>
      </c>
      <c r="N286" s="64">
        <f>datos_base!$G$70*'Parametros Recargas'!O$38*'Parametros Recargas'!$Q$38</f>
        <v>130.8110823</v>
      </c>
      <c r="O286" s="84">
        <f t="shared" si="186"/>
        <v>1453.45647</v>
      </c>
    </row>
    <row r="287" ht="15.75" customHeight="1">
      <c r="A287" s="30" t="str">
        <f>datos_base!$A$71</f>
        <v>ABC 70 kg s/ruedas</v>
      </c>
      <c r="B287" s="139" t="s">
        <v>379</v>
      </c>
      <c r="C287" s="64">
        <f>datos_base!$G$71*'Parametros Recargas'!D$39*'Parametros Recargas'!$Q$39</f>
        <v>31.6370737</v>
      </c>
      <c r="D287" s="64">
        <f>datos_base!$G$71*'Parametros Recargas'!E$39*'Parametros Recargas'!$Q$39</f>
        <v>25.30965896</v>
      </c>
      <c r="E287" s="64">
        <f>datos_base!$G$71*'Parametros Recargas'!F$39*'Parametros Recargas'!$Q$39</f>
        <v>26.89151265</v>
      </c>
      <c r="F287" s="64">
        <f>datos_base!$G$71*'Parametros Recargas'!G$39*'Parametros Recargas'!$Q$39</f>
        <v>26.89151265</v>
      </c>
      <c r="G287" s="64">
        <f>datos_base!$G$71*'Parametros Recargas'!H$39*'Parametros Recargas'!$Q$39</f>
        <v>25.30965896</v>
      </c>
      <c r="H287" s="64">
        <f>datos_base!$G$71*'Parametros Recargas'!I$39*'Parametros Recargas'!$Q$39</f>
        <v>23.72780528</v>
      </c>
      <c r="I287" s="64">
        <f>datos_base!$G$71*'Parametros Recargas'!J$39*'Parametros Recargas'!$Q$39</f>
        <v>28.47336633</v>
      </c>
      <c r="J287" s="64">
        <f>datos_base!$G$71*'Parametros Recargas'!K$39*'Parametros Recargas'!$Q$39</f>
        <v>25.30965896</v>
      </c>
      <c r="K287" s="64">
        <f>datos_base!$G$71*'Parametros Recargas'!L$39*'Parametros Recargas'!$Q$39</f>
        <v>25.30965896</v>
      </c>
      <c r="L287" s="64">
        <f>datos_base!$G$71*'Parametros Recargas'!M$39*'Parametros Recargas'!$Q$39</f>
        <v>25.30965896</v>
      </c>
      <c r="M287" s="64">
        <f>datos_base!$G$71*'Parametros Recargas'!N$39*'Parametros Recargas'!$Q$39</f>
        <v>23.72780528</v>
      </c>
      <c r="N287" s="64">
        <f>datos_base!$G$71*'Parametros Recargas'!O$39*'Parametros Recargas'!$Q$39</f>
        <v>28.47336633</v>
      </c>
      <c r="O287" s="84">
        <f t="shared" si="186"/>
        <v>316.370737</v>
      </c>
    </row>
    <row r="288" ht="15.75" customHeight="1">
      <c r="A288" s="30" t="str">
        <f>datos_base!$A$72</f>
        <v>ABC 100 kg s/ruedas</v>
      </c>
      <c r="B288" s="139" t="s">
        <v>379</v>
      </c>
      <c r="C288" s="64">
        <f>datos_base!$G$72*'Parametros Recargas'!D$40*'Parametros Recargas'!$Q$40</f>
        <v>21.15986098</v>
      </c>
      <c r="D288" s="64">
        <f>datos_base!$G$72*'Parametros Recargas'!E$40*'Parametros Recargas'!$Q$40</f>
        <v>16.92788879</v>
      </c>
      <c r="E288" s="64">
        <f>datos_base!$G$72*'Parametros Recargas'!F$40*'Parametros Recargas'!$Q$40</f>
        <v>17.98588183</v>
      </c>
      <c r="F288" s="64">
        <f>datos_base!$G$72*'Parametros Recargas'!G$40*'Parametros Recargas'!$Q$40</f>
        <v>17.98588183</v>
      </c>
      <c r="G288" s="64">
        <f>datos_base!$G$72*'Parametros Recargas'!H$40*'Parametros Recargas'!$Q$40</f>
        <v>16.92788879</v>
      </c>
      <c r="H288" s="64">
        <f>datos_base!$G$72*'Parametros Recargas'!I$40*'Parametros Recargas'!$Q$40</f>
        <v>15.86989574</v>
      </c>
      <c r="I288" s="64">
        <f>datos_base!$G$72*'Parametros Recargas'!J$40*'Parametros Recargas'!$Q$40</f>
        <v>19.04387488</v>
      </c>
      <c r="J288" s="64">
        <f>datos_base!$G$72*'Parametros Recargas'!K$40*'Parametros Recargas'!$Q$40</f>
        <v>16.92788879</v>
      </c>
      <c r="K288" s="64">
        <f>datos_base!$G$72*'Parametros Recargas'!L$40*'Parametros Recargas'!$Q$40</f>
        <v>16.92788879</v>
      </c>
      <c r="L288" s="64">
        <f>datos_base!$G$72*'Parametros Recargas'!M$40*'Parametros Recargas'!$Q$40</f>
        <v>16.92788879</v>
      </c>
      <c r="M288" s="64">
        <f>datos_base!$G$72*'Parametros Recargas'!N$40*'Parametros Recargas'!$Q$40</f>
        <v>15.86989574</v>
      </c>
      <c r="N288" s="64">
        <f>datos_base!$G$72*'Parametros Recargas'!O$40*'Parametros Recargas'!$Q$40</f>
        <v>19.04387488</v>
      </c>
      <c r="O288" s="84">
        <f t="shared" si="186"/>
        <v>211.5986098</v>
      </c>
    </row>
    <row r="289" ht="15.75" customHeight="1">
      <c r="A289" s="30" t="str">
        <f>datos_base!$A$62</f>
        <v>BC 5 kg</v>
      </c>
      <c r="B289" s="139" t="s">
        <v>398</v>
      </c>
      <c r="C289" s="64">
        <f>datos_base!$G$62*'Parametros Recargas'!D$41*'Parametros Recargas'!$Q$41</f>
        <v>8.998076806</v>
      </c>
      <c r="D289" s="64">
        <f>datos_base!$G$62*'Parametros Recargas'!E$41*'Parametros Recargas'!$Q$41</f>
        <v>7.998290494</v>
      </c>
      <c r="E289" s="64">
        <f>datos_base!$G$62*'Parametros Recargas'!F$41*'Parametros Recargas'!$Q$41</f>
        <v>8.49818365</v>
      </c>
      <c r="F289" s="64">
        <f>datos_base!$G$62*'Parametros Recargas'!G$41*'Parametros Recargas'!$Q$41</f>
        <v>7.998290494</v>
      </c>
      <c r="G289" s="64">
        <f>datos_base!$G$62*'Parametros Recargas'!H$41*'Parametros Recargas'!$Q$41</f>
        <v>7.498397338</v>
      </c>
      <c r="H289" s="64">
        <f>datos_base!$G$62*'Parametros Recargas'!I$41*'Parametros Recargas'!$Q$41</f>
        <v>6.998504182</v>
      </c>
      <c r="I289" s="64">
        <f>datos_base!$G$62*'Parametros Recargas'!J$41*'Parametros Recargas'!$Q$41</f>
        <v>7.998290494</v>
      </c>
      <c r="J289" s="64">
        <f>datos_base!$G$62*'Parametros Recargas'!K$41*'Parametros Recargas'!$Q$41</f>
        <v>8.49818365</v>
      </c>
      <c r="K289" s="64">
        <f>datos_base!$G$62*'Parametros Recargas'!L$41*'Parametros Recargas'!$Q$41</f>
        <v>8.49818365</v>
      </c>
      <c r="L289" s="64">
        <f>datos_base!$G$62*'Parametros Recargas'!M$41*'Parametros Recargas'!$Q$41</f>
        <v>7.998290494</v>
      </c>
      <c r="M289" s="64">
        <f>datos_base!$G$62*'Parametros Recargas'!N$41*'Parametros Recargas'!$Q$41</f>
        <v>7.998290494</v>
      </c>
      <c r="N289" s="64">
        <f>datos_base!$G$62*'Parametros Recargas'!O$41*'Parametros Recargas'!$Q$41</f>
        <v>10.99764943</v>
      </c>
      <c r="O289" s="84">
        <f t="shared" si="186"/>
        <v>99.97863118</v>
      </c>
    </row>
    <row r="290" ht="15.75" customHeight="1">
      <c r="A290" s="30" t="str">
        <f>datos_base!$A$68</f>
        <v>Clase D 9 l</v>
      </c>
      <c r="B290" s="139" t="s">
        <v>402</v>
      </c>
      <c r="C290" s="64">
        <f>datos_base!$G$68*'Parametros Recargas'!D$42*'Parametros Recargas'!$Q$42</f>
        <v>7.857909539</v>
      </c>
      <c r="D290" s="64">
        <f>datos_base!$G$68*'Parametros Recargas'!E$42*'Parametros Recargas'!$Q$42</f>
        <v>6.984808479</v>
      </c>
      <c r="E290" s="64">
        <f>datos_base!$G$68*'Parametros Recargas'!F$42*'Parametros Recargas'!$Q$42</f>
        <v>7.421359009</v>
      </c>
      <c r="F290" s="64">
        <f>datos_base!$G$68*'Parametros Recargas'!G$42*'Parametros Recargas'!$Q$42</f>
        <v>6.984808479</v>
      </c>
      <c r="G290" s="64">
        <f>datos_base!$G$68*'Parametros Recargas'!H$42*'Parametros Recargas'!$Q$42</f>
        <v>6.548257949</v>
      </c>
      <c r="H290" s="64">
        <f>datos_base!$G$68*'Parametros Recargas'!I$42*'Parametros Recargas'!$Q$42</f>
        <v>6.111707419</v>
      </c>
      <c r="I290" s="64">
        <f>datos_base!$G$68*'Parametros Recargas'!J$42*'Parametros Recargas'!$Q$42</f>
        <v>6.984808479</v>
      </c>
      <c r="J290" s="64">
        <f>datos_base!$G$68*'Parametros Recargas'!K$42*'Parametros Recargas'!$Q$42</f>
        <v>7.421359009</v>
      </c>
      <c r="K290" s="64">
        <f>datos_base!$G$68*'Parametros Recargas'!L$42*'Parametros Recargas'!$Q$42</f>
        <v>7.421359009</v>
      </c>
      <c r="L290" s="64">
        <f>datos_base!$G$68*'Parametros Recargas'!M$42*'Parametros Recargas'!$Q$42</f>
        <v>6.984808479</v>
      </c>
      <c r="M290" s="64">
        <f>datos_base!$G$68*'Parametros Recargas'!N$42*'Parametros Recargas'!$Q$42</f>
        <v>6.984808479</v>
      </c>
      <c r="N290" s="64">
        <f>datos_base!$G$68*'Parametros Recargas'!O$42*'Parametros Recargas'!$Q$42</f>
        <v>9.604111659</v>
      </c>
      <c r="O290" s="84">
        <f t="shared" si="186"/>
        <v>87.31010599</v>
      </c>
    </row>
    <row r="291" ht="15.75" customHeight="1">
      <c r="A291" s="30" t="str">
        <f>datos_base!$A$59</f>
        <v>Agua 10 l</v>
      </c>
      <c r="B291" s="139" t="s">
        <v>407</v>
      </c>
      <c r="C291" s="64">
        <f>datos_base!$G$59*'Parametros Recargas'!D$43*'Parametros Recargas'!$Q$43</f>
        <v>164.430609</v>
      </c>
      <c r="D291" s="64">
        <f>datos_base!$G$59*'Parametros Recargas'!E$43*'Parametros Recargas'!$Q$43</f>
        <v>146.1605414</v>
      </c>
      <c r="E291" s="64">
        <f>datos_base!$G$59*'Parametros Recargas'!F$43*'Parametros Recargas'!$Q$43</f>
        <v>155.2955752</v>
      </c>
      <c r="F291" s="64">
        <f>datos_base!$G$59*'Parametros Recargas'!G$43*'Parametros Recargas'!$Q$43</f>
        <v>146.1605414</v>
      </c>
      <c r="G291" s="64">
        <f>datos_base!$G$59*'Parametros Recargas'!H$43*'Parametros Recargas'!$Q$43</f>
        <v>137.0255075</v>
      </c>
      <c r="H291" s="64">
        <f>datos_base!$G$59*'Parametros Recargas'!I$43*'Parametros Recargas'!$Q$43</f>
        <v>127.8904737</v>
      </c>
      <c r="I291" s="64">
        <f>datos_base!$G$59*'Parametros Recargas'!J$43*'Parametros Recargas'!$Q$43</f>
        <v>146.1605414</v>
      </c>
      <c r="J291" s="64">
        <f>datos_base!$G$59*'Parametros Recargas'!K$43*'Parametros Recargas'!$Q$43</f>
        <v>155.2955752</v>
      </c>
      <c r="K291" s="64">
        <f>datos_base!$G$59*'Parametros Recargas'!L$43*'Parametros Recargas'!$Q$43</f>
        <v>155.2955752</v>
      </c>
      <c r="L291" s="64">
        <f>datos_base!$G$59*'Parametros Recargas'!M$43*'Parametros Recargas'!$Q$43</f>
        <v>146.1605414</v>
      </c>
      <c r="M291" s="64">
        <f>datos_base!$G$59*'Parametros Recargas'!N$43*'Parametros Recargas'!$Q$43</f>
        <v>146.1605414</v>
      </c>
      <c r="N291" s="64">
        <f>datos_base!$G$59*'Parametros Recargas'!O$43*'Parametros Recargas'!$Q$43</f>
        <v>200.9707444</v>
      </c>
      <c r="O291" s="84">
        <f t="shared" si="186"/>
        <v>1827.006767</v>
      </c>
    </row>
    <row r="292" ht="15.75" customHeight="1">
      <c r="A292" s="30" t="str">
        <f>datos_base!$A$60</f>
        <v>AFFF 10 l</v>
      </c>
      <c r="B292" s="139" t="s">
        <v>407</v>
      </c>
      <c r="C292" s="64">
        <f>datos_base!$G$60*'Parametros Recargas'!D$44*'Parametros Recargas'!$Q$44</f>
        <v>29.67516426</v>
      </c>
      <c r="D292" s="64">
        <f>datos_base!$G$60*'Parametros Recargas'!E$44*'Parametros Recargas'!$Q$44</f>
        <v>26.37792379</v>
      </c>
      <c r="E292" s="64">
        <f>datos_base!$G$60*'Parametros Recargas'!F$44*'Parametros Recargas'!$Q$44</f>
        <v>28.02654402</v>
      </c>
      <c r="F292" s="64">
        <f>datos_base!$G$60*'Parametros Recargas'!G$44*'Parametros Recargas'!$Q$44</f>
        <v>26.37792379</v>
      </c>
      <c r="G292" s="64">
        <f>datos_base!$G$60*'Parametros Recargas'!H$44*'Parametros Recargas'!$Q$44</f>
        <v>24.72930355</v>
      </c>
      <c r="H292" s="64">
        <f>datos_base!$G$60*'Parametros Recargas'!I$44*'Parametros Recargas'!$Q$44</f>
        <v>23.08068331</v>
      </c>
      <c r="I292" s="64">
        <f>datos_base!$G$60*'Parametros Recargas'!J$44*'Parametros Recargas'!$Q$44</f>
        <v>26.37792379</v>
      </c>
      <c r="J292" s="64">
        <f>datos_base!$G$60*'Parametros Recargas'!K$44*'Parametros Recargas'!$Q$44</f>
        <v>28.02654402</v>
      </c>
      <c r="K292" s="64">
        <f>datos_base!$G$60*'Parametros Recargas'!L$44*'Parametros Recargas'!$Q$44</f>
        <v>28.02654402</v>
      </c>
      <c r="L292" s="64">
        <f>datos_base!$G$60*'Parametros Recargas'!M$44*'Parametros Recargas'!$Q$44</f>
        <v>26.37792379</v>
      </c>
      <c r="M292" s="64">
        <f>datos_base!$G$60*'Parametros Recargas'!N$44*'Parametros Recargas'!$Q$44</f>
        <v>26.37792379</v>
      </c>
      <c r="N292" s="64">
        <f>datos_base!$G$60*'Parametros Recargas'!O$44*'Parametros Recargas'!$Q$44</f>
        <v>36.26964521</v>
      </c>
      <c r="O292" s="84">
        <f t="shared" si="186"/>
        <v>329.7240473</v>
      </c>
    </row>
    <row r="293" ht="15.75" customHeight="1">
      <c r="A293" s="30" t="str">
        <f>datos_base!$A$63</f>
        <v>Sales K 6 l</v>
      </c>
      <c r="B293" s="139" t="s">
        <v>407</v>
      </c>
      <c r="C293" s="64">
        <f>datos_base!$G$63*'Parametros Recargas'!D$45*'Parametros Recargas'!$Q$45</f>
        <v>80.05823131</v>
      </c>
      <c r="D293" s="64">
        <f>datos_base!$G$63*'Parametros Recargas'!E$45*'Parametros Recargas'!$Q$45</f>
        <v>71.16287227</v>
      </c>
      <c r="E293" s="64">
        <f>datos_base!$G$63*'Parametros Recargas'!F$45*'Parametros Recargas'!$Q$45</f>
        <v>75.61055179</v>
      </c>
      <c r="F293" s="64">
        <f>datos_base!$G$63*'Parametros Recargas'!G$45*'Parametros Recargas'!$Q$45</f>
        <v>71.16287227</v>
      </c>
      <c r="G293" s="64">
        <f>datos_base!$G$63*'Parametros Recargas'!H$45*'Parametros Recargas'!$Q$45</f>
        <v>66.71519276</v>
      </c>
      <c r="H293" s="64">
        <f>datos_base!$G$63*'Parametros Recargas'!I$45*'Parametros Recargas'!$Q$45</f>
        <v>62.26751324</v>
      </c>
      <c r="I293" s="64">
        <f>datos_base!$G$63*'Parametros Recargas'!J$45*'Parametros Recargas'!$Q$45</f>
        <v>71.16287227</v>
      </c>
      <c r="J293" s="64">
        <f>datos_base!$G$63*'Parametros Recargas'!K$45*'Parametros Recargas'!$Q$45</f>
        <v>75.61055179</v>
      </c>
      <c r="K293" s="64">
        <f>datos_base!$G$63*'Parametros Recargas'!L$45*'Parametros Recargas'!$Q$45</f>
        <v>75.61055179</v>
      </c>
      <c r="L293" s="64">
        <f>datos_base!$G$63*'Parametros Recargas'!M$45*'Parametros Recargas'!$Q$45</f>
        <v>71.16287227</v>
      </c>
      <c r="M293" s="64">
        <f>datos_base!$G$63*'Parametros Recargas'!N$45*'Parametros Recargas'!$Q$45</f>
        <v>71.16287227</v>
      </c>
      <c r="N293" s="64">
        <f>datos_base!$G$63*'Parametros Recargas'!O$45*'Parametros Recargas'!$Q$45</f>
        <v>97.84894937</v>
      </c>
      <c r="O293" s="84">
        <f t="shared" si="186"/>
        <v>889.5359034</v>
      </c>
    </row>
    <row r="294" ht="15.75" customHeight="1">
      <c r="A294" s="30" t="str">
        <f>datos_base!$A$61</f>
        <v>AFFF 50 l s/ruedas</v>
      </c>
      <c r="B294" s="139" t="s">
        <v>407</v>
      </c>
      <c r="C294" s="64">
        <f>datos_base!$G$61*'Parametros Recargas'!D$46*'Parametros Recargas'!$Q$46</f>
        <v>52.79693468</v>
      </c>
      <c r="D294" s="64">
        <f>datos_base!$G$61*'Parametros Recargas'!E$46*'Parametros Recargas'!$Q$46</f>
        <v>42.23754775</v>
      </c>
      <c r="E294" s="64">
        <f>datos_base!$G$61*'Parametros Recargas'!F$46*'Parametros Recargas'!$Q$46</f>
        <v>44.87739448</v>
      </c>
      <c r="F294" s="64">
        <f>datos_base!$G$61*'Parametros Recargas'!G$46*'Parametros Recargas'!$Q$46</f>
        <v>44.87739448</v>
      </c>
      <c r="G294" s="64">
        <f>datos_base!$G$61*'Parametros Recargas'!H$46*'Parametros Recargas'!$Q$46</f>
        <v>42.23754775</v>
      </c>
      <c r="H294" s="64">
        <f>datos_base!$G$61*'Parametros Recargas'!I$46*'Parametros Recargas'!$Q$46</f>
        <v>39.59770101</v>
      </c>
      <c r="I294" s="64">
        <f>datos_base!$G$61*'Parametros Recargas'!J$46*'Parametros Recargas'!$Q$46</f>
        <v>47.51724121</v>
      </c>
      <c r="J294" s="64">
        <f>datos_base!$G$61*'Parametros Recargas'!K$46*'Parametros Recargas'!$Q$46</f>
        <v>42.23754775</v>
      </c>
      <c r="K294" s="64">
        <f>datos_base!$G$61*'Parametros Recargas'!L$46*'Parametros Recargas'!$Q$46</f>
        <v>42.23754775</v>
      </c>
      <c r="L294" s="64">
        <f>datos_base!$G$61*'Parametros Recargas'!M$46*'Parametros Recargas'!$Q$46</f>
        <v>42.23754775</v>
      </c>
      <c r="M294" s="64">
        <f>datos_base!$G$61*'Parametros Recargas'!N$46*'Parametros Recargas'!$Q$46</f>
        <v>39.59770101</v>
      </c>
      <c r="N294" s="64">
        <f>datos_base!$G$61*'Parametros Recargas'!O$46*'Parametros Recargas'!$Q$46</f>
        <v>47.51724121</v>
      </c>
      <c r="O294" s="84">
        <f t="shared" si="186"/>
        <v>527.9693468</v>
      </c>
    </row>
    <row r="295" ht="15.75" customHeight="1">
      <c r="A295" s="30" t="str">
        <f>datos_base!$A$64</f>
        <v>CO₂ 2 kg</v>
      </c>
      <c r="B295" s="139" t="s">
        <v>418</v>
      </c>
      <c r="C295" s="64">
        <f>datos_base!$G$64*'Parametros Recargas'!D$47*'Parametros Recargas'!$Q$47</f>
        <v>447.2845371</v>
      </c>
      <c r="D295" s="64">
        <f>datos_base!$G$64*'Parametros Recargas'!E$47*'Parametros Recargas'!$Q$47</f>
        <v>397.5862552</v>
      </c>
      <c r="E295" s="64">
        <f>datos_base!$G$64*'Parametros Recargas'!F$47*'Parametros Recargas'!$Q$47</f>
        <v>422.4353962</v>
      </c>
      <c r="F295" s="64">
        <f>datos_base!$G$64*'Parametros Recargas'!G$47*'Parametros Recargas'!$Q$47</f>
        <v>397.5862552</v>
      </c>
      <c r="G295" s="64">
        <f>datos_base!$G$64*'Parametros Recargas'!H$47*'Parametros Recargas'!$Q$47</f>
        <v>372.7371143</v>
      </c>
      <c r="H295" s="64">
        <f>datos_base!$G$64*'Parametros Recargas'!I$47*'Parametros Recargas'!$Q$47</f>
        <v>347.8879733</v>
      </c>
      <c r="I295" s="64">
        <f>datos_base!$G$64*'Parametros Recargas'!J$47*'Parametros Recargas'!$Q$47</f>
        <v>397.5862552</v>
      </c>
      <c r="J295" s="64">
        <f>datos_base!$G$64*'Parametros Recargas'!K$47*'Parametros Recargas'!$Q$47</f>
        <v>422.4353962</v>
      </c>
      <c r="K295" s="64">
        <f>datos_base!$G$64*'Parametros Recargas'!L$47*'Parametros Recargas'!$Q$47</f>
        <v>422.4353962</v>
      </c>
      <c r="L295" s="64">
        <f>datos_base!$G$64*'Parametros Recargas'!M$47*'Parametros Recargas'!$Q$47</f>
        <v>397.5862552</v>
      </c>
      <c r="M295" s="64">
        <f>datos_base!$G$64*'Parametros Recargas'!N$47*'Parametros Recargas'!$Q$47</f>
        <v>397.5862552</v>
      </c>
      <c r="N295" s="64">
        <f>datos_base!$G$64*'Parametros Recargas'!O$47*'Parametros Recargas'!$Q$47</f>
        <v>546.6811009</v>
      </c>
      <c r="O295" s="84">
        <f t="shared" si="186"/>
        <v>4969.82819</v>
      </c>
    </row>
    <row r="296" ht="15.75" customHeight="1">
      <c r="A296" s="30" t="str">
        <f>datos_base!$A$65</f>
        <v>CO₂ 5 kg</v>
      </c>
      <c r="B296" s="139" t="s">
        <v>418</v>
      </c>
      <c r="C296" s="64">
        <f>datos_base!$G$65*'Parametros Recargas'!D$48*'Parametros Recargas'!$Q$48</f>
        <v>145.5408108</v>
      </c>
      <c r="D296" s="64">
        <f>datos_base!$G$65*'Parametros Recargas'!E$48*'Parametros Recargas'!$Q$48</f>
        <v>129.3696096</v>
      </c>
      <c r="E296" s="64">
        <f>datos_base!$G$65*'Parametros Recargas'!F$48*'Parametros Recargas'!$Q$48</f>
        <v>137.4552102</v>
      </c>
      <c r="F296" s="64">
        <f>datos_base!$G$65*'Parametros Recargas'!G$48*'Parametros Recargas'!$Q$48</f>
        <v>129.3696096</v>
      </c>
      <c r="G296" s="64">
        <f>datos_base!$G$65*'Parametros Recargas'!H$48*'Parametros Recargas'!$Q$48</f>
        <v>121.284009</v>
      </c>
      <c r="H296" s="64">
        <f>datos_base!$G$65*'Parametros Recargas'!I$48*'Parametros Recargas'!$Q$48</f>
        <v>113.1984084</v>
      </c>
      <c r="I296" s="64">
        <f>datos_base!$G$65*'Parametros Recargas'!J$48*'Parametros Recargas'!$Q$48</f>
        <v>129.3696096</v>
      </c>
      <c r="J296" s="64">
        <f>datos_base!$G$65*'Parametros Recargas'!K$48*'Parametros Recargas'!$Q$48</f>
        <v>137.4552102</v>
      </c>
      <c r="K296" s="64">
        <f>datos_base!$G$65*'Parametros Recargas'!L$48*'Parametros Recargas'!$Q$48</f>
        <v>137.4552102</v>
      </c>
      <c r="L296" s="64">
        <f>datos_base!$G$65*'Parametros Recargas'!M$48*'Parametros Recargas'!$Q$48</f>
        <v>129.3696096</v>
      </c>
      <c r="M296" s="64">
        <f>datos_base!$G$65*'Parametros Recargas'!N$48*'Parametros Recargas'!$Q$48</f>
        <v>129.3696096</v>
      </c>
      <c r="N296" s="64">
        <f>datos_base!$G$65*'Parametros Recargas'!O$48*'Parametros Recargas'!$Q$48</f>
        <v>177.8832132</v>
      </c>
      <c r="O296" s="84">
        <f t="shared" si="186"/>
        <v>1617.12012</v>
      </c>
    </row>
    <row r="297" ht="15.75" customHeight="1">
      <c r="A297" s="30" t="str">
        <f>datos_base!$A$67</f>
        <v>HCFC/HFC 5 kg</v>
      </c>
      <c r="B297" s="139" t="s">
        <v>422</v>
      </c>
      <c r="C297" s="64">
        <f>datos_base!$G$67*'Parametros Recargas'!D$49*'Parametros Recargas'!$Q$49</f>
        <v>23.2655753</v>
      </c>
      <c r="D297" s="64">
        <f>datos_base!$G$67*'Parametros Recargas'!E$49*'Parametros Recargas'!$Q$49</f>
        <v>20.68051138</v>
      </c>
      <c r="E297" s="64">
        <f>datos_base!$G$67*'Parametros Recargas'!F$49*'Parametros Recargas'!$Q$49</f>
        <v>21.97304334</v>
      </c>
      <c r="F297" s="64">
        <f>datos_base!$G$67*'Parametros Recargas'!G$49*'Parametros Recargas'!$Q$49</f>
        <v>20.68051138</v>
      </c>
      <c r="G297" s="64">
        <f>datos_base!$G$67*'Parametros Recargas'!H$49*'Parametros Recargas'!$Q$49</f>
        <v>19.38797942</v>
      </c>
      <c r="H297" s="64">
        <f>datos_base!$G$67*'Parametros Recargas'!I$49*'Parametros Recargas'!$Q$49</f>
        <v>18.09544746</v>
      </c>
      <c r="I297" s="64">
        <f>datos_base!$G$67*'Parametros Recargas'!J$49*'Parametros Recargas'!$Q$49</f>
        <v>20.68051138</v>
      </c>
      <c r="J297" s="64">
        <f>datos_base!$G$67*'Parametros Recargas'!K$49*'Parametros Recargas'!$Q$49</f>
        <v>21.97304334</v>
      </c>
      <c r="K297" s="64">
        <f>datos_base!$G$67*'Parametros Recargas'!L$49*'Parametros Recargas'!$Q$49</f>
        <v>21.97304334</v>
      </c>
      <c r="L297" s="64">
        <f>datos_base!$G$67*'Parametros Recargas'!M$49*'Parametros Recargas'!$Q$49</f>
        <v>20.68051138</v>
      </c>
      <c r="M297" s="64">
        <f>datos_base!$G$67*'Parametros Recargas'!N$49*'Parametros Recargas'!$Q$49</f>
        <v>20.68051138</v>
      </c>
      <c r="N297" s="64">
        <f>datos_base!$G$67*'Parametros Recargas'!O$49*'Parametros Recargas'!$Q$49</f>
        <v>28.43570315</v>
      </c>
      <c r="O297" s="84">
        <f t="shared" si="186"/>
        <v>258.5063923</v>
      </c>
    </row>
    <row r="298" ht="15.75" customHeight="1">
      <c r="A298" s="29" t="s">
        <v>426</v>
      </c>
      <c r="B298" s="29"/>
      <c r="C298" s="29" t="s">
        <v>109</v>
      </c>
      <c r="D298" s="29" t="s">
        <v>110</v>
      </c>
      <c r="E298" s="29" t="s">
        <v>111</v>
      </c>
      <c r="F298" s="29" t="s">
        <v>112</v>
      </c>
      <c r="G298" s="29" t="s">
        <v>113</v>
      </c>
      <c r="H298" s="29" t="s">
        <v>114</v>
      </c>
      <c r="I298" s="29" t="s">
        <v>115</v>
      </c>
      <c r="J298" s="29" t="s">
        <v>116</v>
      </c>
      <c r="K298" s="29" t="s">
        <v>117</v>
      </c>
      <c r="L298" s="29" t="s">
        <v>118</v>
      </c>
      <c r="M298" s="29" t="s">
        <v>119</v>
      </c>
      <c r="N298" s="29" t="s">
        <v>120</v>
      </c>
      <c r="O298" s="29" t="s">
        <v>15</v>
      </c>
    </row>
    <row r="299" ht="15.75" customHeight="1">
      <c r="A299" s="73" t="s">
        <v>379</v>
      </c>
      <c r="B299" s="118" t="s">
        <v>431</v>
      </c>
      <c r="C299" s="64">
        <f t="shared" ref="C299:N299" si="187">SUM(C281:C288)</f>
        <v>6704.878584</v>
      </c>
      <c r="D299" s="64">
        <f t="shared" si="187"/>
        <v>5498.682964</v>
      </c>
      <c r="E299" s="64">
        <f t="shared" si="187"/>
        <v>5646.379136</v>
      </c>
      <c r="F299" s="64">
        <f t="shared" si="187"/>
        <v>5511.89247</v>
      </c>
      <c r="G299" s="64">
        <f t="shared" si="187"/>
        <v>5364.196298</v>
      </c>
      <c r="H299" s="64">
        <f t="shared" si="187"/>
        <v>5216.500125</v>
      </c>
      <c r="I299" s="64">
        <f t="shared" si="187"/>
        <v>5525.101975</v>
      </c>
      <c r="J299" s="64">
        <f t="shared" si="187"/>
        <v>5633.169631</v>
      </c>
      <c r="K299" s="64">
        <f t="shared" si="187"/>
        <v>5633.169631</v>
      </c>
      <c r="L299" s="64">
        <f t="shared" si="187"/>
        <v>5498.682964</v>
      </c>
      <c r="M299" s="64">
        <f t="shared" si="187"/>
        <v>5485.473459</v>
      </c>
      <c r="N299" s="64">
        <f t="shared" si="187"/>
        <v>8020.391935</v>
      </c>
      <c r="O299" s="84">
        <f t="shared" ref="O299:O304" si="189">SUM(C299:N299)</f>
        <v>69738.51917</v>
      </c>
    </row>
    <row r="300" ht="15.75" customHeight="1">
      <c r="A300" s="73" t="s">
        <v>398</v>
      </c>
      <c r="B300" s="118" t="s">
        <v>431</v>
      </c>
      <c r="C300" s="64">
        <f t="shared" ref="C300:N300" si="188">SUM(C289)</f>
        <v>8.998076806</v>
      </c>
      <c r="D300" s="64">
        <f t="shared" si="188"/>
        <v>7.998290494</v>
      </c>
      <c r="E300" s="64">
        <f t="shared" si="188"/>
        <v>8.49818365</v>
      </c>
      <c r="F300" s="64">
        <f t="shared" si="188"/>
        <v>7.998290494</v>
      </c>
      <c r="G300" s="64">
        <f t="shared" si="188"/>
        <v>7.498397338</v>
      </c>
      <c r="H300" s="64">
        <f t="shared" si="188"/>
        <v>6.998504182</v>
      </c>
      <c r="I300" s="64">
        <f t="shared" si="188"/>
        <v>7.998290494</v>
      </c>
      <c r="J300" s="64">
        <f t="shared" si="188"/>
        <v>8.49818365</v>
      </c>
      <c r="K300" s="64">
        <f t="shared" si="188"/>
        <v>8.49818365</v>
      </c>
      <c r="L300" s="64">
        <f t="shared" si="188"/>
        <v>7.998290494</v>
      </c>
      <c r="M300" s="64">
        <f t="shared" si="188"/>
        <v>7.998290494</v>
      </c>
      <c r="N300" s="64">
        <f t="shared" si="188"/>
        <v>10.99764943</v>
      </c>
      <c r="O300" s="84">
        <f t="shared" si="189"/>
        <v>99.97863118</v>
      </c>
    </row>
    <row r="301" ht="15.75" customHeight="1">
      <c r="A301" s="73" t="s">
        <v>402</v>
      </c>
      <c r="B301" s="118" t="s">
        <v>431</v>
      </c>
      <c r="C301" s="64">
        <f t="shared" ref="C301:N301" si="190">SUM(C290)</f>
        <v>7.857909539</v>
      </c>
      <c r="D301" s="64">
        <f t="shared" si="190"/>
        <v>6.984808479</v>
      </c>
      <c r="E301" s="64">
        <f t="shared" si="190"/>
        <v>7.421359009</v>
      </c>
      <c r="F301" s="64">
        <f t="shared" si="190"/>
        <v>6.984808479</v>
      </c>
      <c r="G301" s="64">
        <f t="shared" si="190"/>
        <v>6.548257949</v>
      </c>
      <c r="H301" s="64">
        <f t="shared" si="190"/>
        <v>6.111707419</v>
      </c>
      <c r="I301" s="64">
        <f t="shared" si="190"/>
        <v>6.984808479</v>
      </c>
      <c r="J301" s="64">
        <f t="shared" si="190"/>
        <v>7.421359009</v>
      </c>
      <c r="K301" s="64">
        <f t="shared" si="190"/>
        <v>7.421359009</v>
      </c>
      <c r="L301" s="64">
        <f t="shared" si="190"/>
        <v>6.984808479</v>
      </c>
      <c r="M301" s="64">
        <f t="shared" si="190"/>
        <v>6.984808479</v>
      </c>
      <c r="N301" s="64">
        <f t="shared" si="190"/>
        <v>9.604111659</v>
      </c>
      <c r="O301" s="84">
        <f t="shared" si="189"/>
        <v>87.31010599</v>
      </c>
    </row>
    <row r="302" ht="15.75" customHeight="1">
      <c r="A302" s="73" t="s">
        <v>407</v>
      </c>
      <c r="B302" s="118" t="s">
        <v>431</v>
      </c>
      <c r="C302" s="64">
        <f t="shared" ref="C302:N302" si="191">SUM(C291:C294)</f>
        <v>326.9609393</v>
      </c>
      <c r="D302" s="64">
        <f t="shared" si="191"/>
        <v>285.9388852</v>
      </c>
      <c r="E302" s="64">
        <f t="shared" si="191"/>
        <v>303.8100655</v>
      </c>
      <c r="F302" s="64">
        <f t="shared" si="191"/>
        <v>288.5787319</v>
      </c>
      <c r="G302" s="64">
        <f t="shared" si="191"/>
        <v>270.7075516</v>
      </c>
      <c r="H302" s="64">
        <f t="shared" si="191"/>
        <v>252.8363712</v>
      </c>
      <c r="I302" s="64">
        <f t="shared" si="191"/>
        <v>291.2185786</v>
      </c>
      <c r="J302" s="64">
        <f t="shared" si="191"/>
        <v>301.1702187</v>
      </c>
      <c r="K302" s="64">
        <f t="shared" si="191"/>
        <v>301.1702187</v>
      </c>
      <c r="L302" s="64">
        <f t="shared" si="191"/>
        <v>285.9388852</v>
      </c>
      <c r="M302" s="64">
        <f t="shared" si="191"/>
        <v>283.2990384</v>
      </c>
      <c r="N302" s="64">
        <f t="shared" si="191"/>
        <v>382.6065802</v>
      </c>
      <c r="O302" s="84">
        <f t="shared" si="189"/>
        <v>3574.236065</v>
      </c>
    </row>
    <row r="303" ht="15.75" customHeight="1">
      <c r="A303" s="73" t="s">
        <v>418</v>
      </c>
      <c r="B303" s="118" t="s">
        <v>431</v>
      </c>
      <c r="C303" s="64">
        <f t="shared" ref="C303:N303" si="192">SUM(C295:C296)</f>
        <v>592.8253479</v>
      </c>
      <c r="D303" s="64">
        <f t="shared" si="192"/>
        <v>526.9558648</v>
      </c>
      <c r="E303" s="64">
        <f t="shared" si="192"/>
        <v>559.8906064</v>
      </c>
      <c r="F303" s="64">
        <f t="shared" si="192"/>
        <v>526.9558648</v>
      </c>
      <c r="G303" s="64">
        <f t="shared" si="192"/>
        <v>494.0211233</v>
      </c>
      <c r="H303" s="64">
        <f t="shared" si="192"/>
        <v>461.0863817</v>
      </c>
      <c r="I303" s="64">
        <f t="shared" si="192"/>
        <v>526.9558648</v>
      </c>
      <c r="J303" s="64">
        <f t="shared" si="192"/>
        <v>559.8906064</v>
      </c>
      <c r="K303" s="64">
        <f t="shared" si="192"/>
        <v>559.8906064</v>
      </c>
      <c r="L303" s="64">
        <f t="shared" si="192"/>
        <v>526.9558648</v>
      </c>
      <c r="M303" s="64">
        <f t="shared" si="192"/>
        <v>526.9558648</v>
      </c>
      <c r="N303" s="64">
        <f t="shared" si="192"/>
        <v>724.5643141</v>
      </c>
      <c r="O303" s="84">
        <f t="shared" si="189"/>
        <v>6586.94831</v>
      </c>
    </row>
    <row r="304" ht="15.75" customHeight="1">
      <c r="A304" s="73" t="s">
        <v>422</v>
      </c>
      <c r="B304" s="118" t="s">
        <v>431</v>
      </c>
      <c r="C304" s="64">
        <f t="shared" ref="C304:N304" si="193">SUM(C297)</f>
        <v>23.2655753</v>
      </c>
      <c r="D304" s="64">
        <f t="shared" si="193"/>
        <v>20.68051138</v>
      </c>
      <c r="E304" s="64">
        <f t="shared" si="193"/>
        <v>21.97304334</v>
      </c>
      <c r="F304" s="64">
        <f t="shared" si="193"/>
        <v>20.68051138</v>
      </c>
      <c r="G304" s="64">
        <f t="shared" si="193"/>
        <v>19.38797942</v>
      </c>
      <c r="H304" s="64">
        <f t="shared" si="193"/>
        <v>18.09544746</v>
      </c>
      <c r="I304" s="64">
        <f t="shared" si="193"/>
        <v>20.68051138</v>
      </c>
      <c r="J304" s="64">
        <f t="shared" si="193"/>
        <v>21.97304334</v>
      </c>
      <c r="K304" s="64">
        <f t="shared" si="193"/>
        <v>21.97304334</v>
      </c>
      <c r="L304" s="64">
        <f t="shared" si="193"/>
        <v>20.68051138</v>
      </c>
      <c r="M304" s="64">
        <f t="shared" si="193"/>
        <v>20.68051138</v>
      </c>
      <c r="N304" s="64">
        <f t="shared" si="193"/>
        <v>28.43570315</v>
      </c>
      <c r="O304" s="84">
        <f t="shared" si="189"/>
        <v>258.5063923</v>
      </c>
    </row>
    <row r="305" ht="27.75" customHeight="1">
      <c r="A305" s="29" t="s">
        <v>446</v>
      </c>
      <c r="B305" s="29" t="s">
        <v>447</v>
      </c>
      <c r="C305" s="29" t="s">
        <v>109</v>
      </c>
      <c r="D305" s="29" t="s">
        <v>110</v>
      </c>
      <c r="E305" s="29" t="s">
        <v>111</v>
      </c>
      <c r="F305" s="29" t="s">
        <v>112</v>
      </c>
      <c r="G305" s="29" t="s">
        <v>113</v>
      </c>
      <c r="H305" s="29" t="s">
        <v>114</v>
      </c>
      <c r="I305" s="29" t="s">
        <v>115</v>
      </c>
      <c r="J305" s="29" t="s">
        <v>116</v>
      </c>
      <c r="K305" s="29" t="s">
        <v>117</v>
      </c>
      <c r="L305" s="29" t="s">
        <v>118</v>
      </c>
      <c r="M305" s="29" t="s">
        <v>119</v>
      </c>
      <c r="N305" s="29" t="s">
        <v>120</v>
      </c>
      <c r="O305" s="29" t="s">
        <v>448</v>
      </c>
      <c r="P305" s="29" t="s">
        <v>148</v>
      </c>
      <c r="Q305" s="29" t="s">
        <v>449</v>
      </c>
      <c r="R305" s="29" t="s">
        <v>209</v>
      </c>
      <c r="S305" s="29" t="s">
        <v>450</v>
      </c>
      <c r="T305" s="29" t="s">
        <v>451</v>
      </c>
      <c r="U305" s="29" t="s">
        <v>452</v>
      </c>
      <c r="V305" s="29" t="s">
        <v>453</v>
      </c>
      <c r="W305" s="29" t="s">
        <v>454</v>
      </c>
      <c r="X305" s="29" t="s">
        <v>418</v>
      </c>
      <c r="Y305" s="29" t="s">
        <v>455</v>
      </c>
      <c r="Z305" s="29" t="s">
        <v>456</v>
      </c>
      <c r="AA305" s="160"/>
    </row>
    <row r="306" ht="15.75" customHeight="1">
      <c r="A306" s="73" t="s">
        <v>457</v>
      </c>
      <c r="B306" s="118" t="s">
        <v>458</v>
      </c>
      <c r="C306" s="63">
        <f t="shared" ref="C306:N306" si="194">($T306*C$299+$U306*C$300+$V306*C$301+$W306*C$302+$X306*C$303+$Y306*C$304)/$B$2</f>
        <v>51.09857622</v>
      </c>
      <c r="D306" s="63">
        <f t="shared" si="194"/>
        <v>42.31494216</v>
      </c>
      <c r="E306" s="63">
        <f t="shared" si="194"/>
        <v>43.65314929</v>
      </c>
      <c r="F306" s="63">
        <f t="shared" si="194"/>
        <v>42.42060451</v>
      </c>
      <c r="G306" s="63">
        <f t="shared" si="194"/>
        <v>41.08239738</v>
      </c>
      <c r="H306" s="63">
        <f t="shared" si="194"/>
        <v>39.74419025</v>
      </c>
      <c r="I306" s="63">
        <f t="shared" si="194"/>
        <v>42.52626686</v>
      </c>
      <c r="J306" s="63">
        <f t="shared" si="194"/>
        <v>43.54748695</v>
      </c>
      <c r="K306" s="63">
        <f t="shared" si="194"/>
        <v>43.54748695</v>
      </c>
      <c r="L306" s="63">
        <f t="shared" si="194"/>
        <v>42.31494216</v>
      </c>
      <c r="M306" s="63">
        <f t="shared" si="194"/>
        <v>42.20927981</v>
      </c>
      <c r="N306" s="63">
        <f t="shared" si="194"/>
        <v>61.17733529</v>
      </c>
      <c r="O306" s="44">
        <f t="shared" ref="O306:O332" si="196">MAX(C306:N306)</f>
        <v>61.17733529</v>
      </c>
      <c r="P306" s="63">
        <f>'Parametros Recargas'!$M$85</f>
        <v>72</v>
      </c>
      <c r="Q306" s="36">
        <f>MAX(Q251,ROUNDUP(O306/(P306*'Parametros Recargas'!G$8*'Parametros Recargas'!$B$19),0))</f>
        <v>1</v>
      </c>
      <c r="R306" s="46">
        <f>IF(AND('Parametros Recargas'!G$8=2,O306/(P306*Q306*'Parametros Recargas'!$B$19)&gt;1),2,1)</f>
        <v>1</v>
      </c>
      <c r="S306" s="34">
        <f t="shared" ref="S306:S331" si="197">O306/(P306*Q306*R306)</f>
        <v>0.8496852123</v>
      </c>
      <c r="T306" s="161">
        <f>'Parametros Recargas'!D54</f>
        <v>1</v>
      </c>
      <c r="U306" s="161">
        <f>'Parametros Recargas'!E54</f>
        <v>1</v>
      </c>
      <c r="V306" s="161">
        <f>'Parametros Recargas'!F54</f>
        <v>1</v>
      </c>
      <c r="W306" s="161">
        <f>'Parametros Recargas'!G54</f>
        <v>1</v>
      </c>
      <c r="X306" s="161">
        <f>'Parametros Recargas'!H54</f>
        <v>1</v>
      </c>
      <c r="Y306" s="161">
        <f>'Parametros Recargas'!I54</f>
        <v>1</v>
      </c>
      <c r="Z306" s="162">
        <f>'Parametros Recargas'!$U$85/P306</f>
        <v>0.01388888889</v>
      </c>
    </row>
    <row r="307" ht="15.75" customHeight="1">
      <c r="A307" s="73" t="s">
        <v>459</v>
      </c>
      <c r="B307" s="118" t="s">
        <v>458</v>
      </c>
      <c r="C307" s="63">
        <f t="shared" ref="C307:N307" si="195">($T307*C$299+$U307*C$300+$V307*C$301+$W307*C$302+$X307*C$303+$Y307*C$304)/$B$2</f>
        <v>51.09857622</v>
      </c>
      <c r="D307" s="63">
        <f t="shared" si="195"/>
        <v>42.31494216</v>
      </c>
      <c r="E307" s="63">
        <f t="shared" si="195"/>
        <v>43.65314929</v>
      </c>
      <c r="F307" s="63">
        <f t="shared" si="195"/>
        <v>42.42060451</v>
      </c>
      <c r="G307" s="63">
        <f t="shared" si="195"/>
        <v>41.08239738</v>
      </c>
      <c r="H307" s="63">
        <f t="shared" si="195"/>
        <v>39.74419025</v>
      </c>
      <c r="I307" s="63">
        <f t="shared" si="195"/>
        <v>42.52626686</v>
      </c>
      <c r="J307" s="63">
        <f t="shared" si="195"/>
        <v>43.54748695</v>
      </c>
      <c r="K307" s="63">
        <f t="shared" si="195"/>
        <v>43.54748695</v>
      </c>
      <c r="L307" s="63">
        <f t="shared" si="195"/>
        <v>42.31494216</v>
      </c>
      <c r="M307" s="63">
        <f t="shared" si="195"/>
        <v>42.20927981</v>
      </c>
      <c r="N307" s="63">
        <f t="shared" si="195"/>
        <v>61.17733529</v>
      </c>
      <c r="O307" s="44">
        <f t="shared" si="196"/>
        <v>61.17733529</v>
      </c>
      <c r="P307" s="63">
        <f>'Parametros Recargas'!$M$86</f>
        <v>52.36363636</v>
      </c>
      <c r="Q307" s="36">
        <f>MAX(Q252,ROUNDUP(O307/(P307*'Parametros Recargas'!G$8*'Parametros Recargas'!$B$19),0))</f>
        <v>2</v>
      </c>
      <c r="R307" s="46">
        <f>IF(AND('Parametros Recargas'!G$8=2,O307/(P307*Q307*'Parametros Recargas'!$B$19)&gt;1),2,1)</f>
        <v>1</v>
      </c>
      <c r="S307" s="34">
        <f t="shared" si="197"/>
        <v>0.5841585835</v>
      </c>
      <c r="T307" s="161">
        <f>'Parametros Recargas'!D55</f>
        <v>1</v>
      </c>
      <c r="U307" s="161">
        <f>'Parametros Recargas'!E55</f>
        <v>1</v>
      </c>
      <c r="V307" s="161">
        <f>'Parametros Recargas'!F55</f>
        <v>1</v>
      </c>
      <c r="W307" s="161">
        <f>'Parametros Recargas'!G55</f>
        <v>1</v>
      </c>
      <c r="X307" s="161">
        <f>'Parametros Recargas'!H55</f>
        <v>1</v>
      </c>
      <c r="Y307" s="161">
        <f>'Parametros Recargas'!I55</f>
        <v>1</v>
      </c>
      <c r="Z307" s="162">
        <f>'Parametros Recargas'!$U$86/P307</f>
        <v>0.01909722222</v>
      </c>
    </row>
    <row r="308" ht="15.75" customHeight="1">
      <c r="A308" s="30" t="s">
        <v>460</v>
      </c>
      <c r="B308" s="118" t="s">
        <v>458</v>
      </c>
      <c r="C308" s="63">
        <f t="shared" ref="C308:N308" si="198">($T308*C$299+$U308*C$300+$V308*C$301+$W308*C$302+$X308*C$303+$Y308*C$304)/$B$2</f>
        <v>44.69919056</v>
      </c>
      <c r="D308" s="63">
        <f t="shared" si="198"/>
        <v>36.65788643</v>
      </c>
      <c r="E308" s="63">
        <f t="shared" si="198"/>
        <v>37.64252757</v>
      </c>
      <c r="F308" s="63">
        <f t="shared" si="198"/>
        <v>36.7459498</v>
      </c>
      <c r="G308" s="63">
        <f t="shared" si="198"/>
        <v>35.76130865</v>
      </c>
      <c r="H308" s="63">
        <f t="shared" si="198"/>
        <v>34.7766675</v>
      </c>
      <c r="I308" s="63">
        <f t="shared" si="198"/>
        <v>36.83401317</v>
      </c>
      <c r="J308" s="63">
        <f t="shared" si="198"/>
        <v>37.5544642</v>
      </c>
      <c r="K308" s="63">
        <f t="shared" si="198"/>
        <v>37.5544642</v>
      </c>
      <c r="L308" s="63">
        <f t="shared" si="198"/>
        <v>36.65788643</v>
      </c>
      <c r="M308" s="63">
        <f t="shared" si="198"/>
        <v>36.56982306</v>
      </c>
      <c r="N308" s="63">
        <f t="shared" si="198"/>
        <v>53.46927956</v>
      </c>
      <c r="O308" s="44">
        <f t="shared" si="196"/>
        <v>53.46927956</v>
      </c>
      <c r="P308" s="63">
        <f>'Parametros Recargas'!$M$87</f>
        <v>29.14285714</v>
      </c>
      <c r="Q308" s="36">
        <f>MAX(Q253,ROUNDUP(O308/(P308*'Parametros Recargas'!G$8*'Parametros Recargas'!$B$19),0))</f>
        <v>3</v>
      </c>
      <c r="R308" s="46">
        <f>IF(AND('Parametros Recargas'!G$8=2,O308/(P308*Q308*'Parametros Recargas'!$B$19)&gt;1),2,1)</f>
        <v>1</v>
      </c>
      <c r="S308" s="34">
        <f t="shared" si="197"/>
        <v>0.611576727</v>
      </c>
      <c r="T308" s="161">
        <f>'Parametros Recargas'!D56</f>
        <v>1</v>
      </c>
      <c r="U308" s="161">
        <f>'Parametros Recargas'!E56</f>
        <v>0</v>
      </c>
      <c r="V308" s="161">
        <f>'Parametros Recargas'!F56</f>
        <v>0</v>
      </c>
      <c r="W308" s="161">
        <f>'Parametros Recargas'!G56</f>
        <v>0</v>
      </c>
      <c r="X308" s="161">
        <f>'Parametros Recargas'!H56</f>
        <v>0</v>
      </c>
      <c r="Y308" s="161">
        <f>'Parametros Recargas'!I56</f>
        <v>0</v>
      </c>
      <c r="Z308" s="162">
        <f>'Parametros Recargas'!$U$87/P308</f>
        <v>0.01715686275</v>
      </c>
    </row>
    <row r="309" ht="15.75" customHeight="1">
      <c r="A309" s="30" t="s">
        <v>461</v>
      </c>
      <c r="B309" s="118" t="s">
        <v>458</v>
      </c>
      <c r="C309" s="63">
        <f t="shared" ref="C309:N309" si="199">($T309*C$299+$U309*C$300+$V309*C$301+$W309*C$302+$X309*C$303+$Y309*C$304)/$B$2</f>
        <v>0.05998717871</v>
      </c>
      <c r="D309" s="63">
        <f t="shared" si="199"/>
        <v>0.05332193663</v>
      </c>
      <c r="E309" s="63">
        <f t="shared" si="199"/>
        <v>0.05665455767</v>
      </c>
      <c r="F309" s="63">
        <f t="shared" si="199"/>
        <v>0.05332193663</v>
      </c>
      <c r="G309" s="63">
        <f t="shared" si="199"/>
        <v>0.04998931559</v>
      </c>
      <c r="H309" s="63">
        <f t="shared" si="199"/>
        <v>0.04665669455</v>
      </c>
      <c r="I309" s="63">
        <f t="shared" si="199"/>
        <v>0.05332193663</v>
      </c>
      <c r="J309" s="63">
        <f t="shared" si="199"/>
        <v>0.05665455767</v>
      </c>
      <c r="K309" s="63">
        <f t="shared" si="199"/>
        <v>0.05665455767</v>
      </c>
      <c r="L309" s="63">
        <f t="shared" si="199"/>
        <v>0.05332193663</v>
      </c>
      <c r="M309" s="63">
        <f t="shared" si="199"/>
        <v>0.05332193663</v>
      </c>
      <c r="N309" s="63">
        <f t="shared" si="199"/>
        <v>0.07331766286</v>
      </c>
      <c r="O309" s="44">
        <f t="shared" si="196"/>
        <v>0.07331766286</v>
      </c>
      <c r="P309" s="63">
        <f>'Parametros Recargas'!$M$88</f>
        <v>29.14285714</v>
      </c>
      <c r="Q309" s="36">
        <f>MAX(Q254,ROUNDUP(O309/(P309*'Parametros Recargas'!G$8*'Parametros Recargas'!$B$19),0))</f>
        <v>1</v>
      </c>
      <c r="R309" s="46">
        <f>IF(AND('Parametros Recargas'!G$8=2,O309/(P309*Q309*'Parametros Recargas'!$B$19)&gt;1),2,1)</f>
        <v>1</v>
      </c>
      <c r="S309" s="34">
        <f t="shared" si="197"/>
        <v>0.002515802157</v>
      </c>
      <c r="T309" s="161">
        <f>'Parametros Recargas'!D57</f>
        <v>0</v>
      </c>
      <c r="U309" s="161">
        <f>'Parametros Recargas'!E57</f>
        <v>1</v>
      </c>
      <c r="V309" s="161">
        <f>'Parametros Recargas'!F57</f>
        <v>0</v>
      </c>
      <c r="W309" s="161">
        <f>'Parametros Recargas'!G57</f>
        <v>0</v>
      </c>
      <c r="X309" s="161">
        <f>'Parametros Recargas'!H57</f>
        <v>0</v>
      </c>
      <c r="Y309" s="161">
        <f>'Parametros Recargas'!I57</f>
        <v>0</v>
      </c>
      <c r="Z309" s="162">
        <f>'Parametros Recargas'!$U$88/P309</f>
        <v>0.03431372549</v>
      </c>
    </row>
    <row r="310" ht="15.75" customHeight="1">
      <c r="A310" s="30" t="s">
        <v>463</v>
      </c>
      <c r="B310" s="118" t="s">
        <v>458</v>
      </c>
      <c r="C310" s="63">
        <f t="shared" ref="C310:N310" si="200">($T310*C$299+$U310*C$300+$V310*C$301+$W310*C$302+$X310*C$303+$Y310*C$304)/$B$2</f>
        <v>0.0523860636</v>
      </c>
      <c r="D310" s="63">
        <f t="shared" si="200"/>
        <v>0.04656538986</v>
      </c>
      <c r="E310" s="63">
        <f t="shared" si="200"/>
        <v>0.04947572673</v>
      </c>
      <c r="F310" s="63">
        <f t="shared" si="200"/>
        <v>0.04656538986</v>
      </c>
      <c r="G310" s="63">
        <f t="shared" si="200"/>
        <v>0.043655053</v>
      </c>
      <c r="H310" s="63">
        <f t="shared" si="200"/>
        <v>0.04074471613</v>
      </c>
      <c r="I310" s="63">
        <f t="shared" si="200"/>
        <v>0.04656538986</v>
      </c>
      <c r="J310" s="63">
        <f t="shared" si="200"/>
        <v>0.04947572673</v>
      </c>
      <c r="K310" s="63">
        <f t="shared" si="200"/>
        <v>0.04947572673</v>
      </c>
      <c r="L310" s="63">
        <f t="shared" si="200"/>
        <v>0.04656538986</v>
      </c>
      <c r="M310" s="63">
        <f t="shared" si="200"/>
        <v>0.04656538986</v>
      </c>
      <c r="N310" s="63">
        <f t="shared" si="200"/>
        <v>0.06402741106</v>
      </c>
      <c r="O310" s="44">
        <f t="shared" si="196"/>
        <v>0.06402741106</v>
      </c>
      <c r="P310" s="63">
        <f>'Parametros Recargas'!$M$89</f>
        <v>13.5</v>
      </c>
      <c r="Q310" s="36">
        <f>MAX(Q255,ROUNDUP(O310/(P310*'Parametros Recargas'!G$8*'Parametros Recargas'!$B$19),0))</f>
        <v>1</v>
      </c>
      <c r="R310" s="46">
        <f>IF(AND('Parametros Recargas'!G$8=2,O310/(P310*Q310*'Parametros Recargas'!$B$19)&gt;1),2,1)</f>
        <v>1</v>
      </c>
      <c r="S310" s="34">
        <f t="shared" si="197"/>
        <v>0.00474277119</v>
      </c>
      <c r="T310" s="161">
        <f>'Parametros Recargas'!D58</f>
        <v>0</v>
      </c>
      <c r="U310" s="161">
        <f>'Parametros Recargas'!E58</f>
        <v>0</v>
      </c>
      <c r="V310" s="161">
        <f>'Parametros Recargas'!F58</f>
        <v>1</v>
      </c>
      <c r="W310" s="161">
        <f>'Parametros Recargas'!G58</f>
        <v>0</v>
      </c>
      <c r="X310" s="161">
        <f>'Parametros Recargas'!H58</f>
        <v>0</v>
      </c>
      <c r="Y310" s="161">
        <f>'Parametros Recargas'!I58</f>
        <v>0</v>
      </c>
      <c r="Z310" s="162">
        <f>'Parametros Recargas'!$U$89/P310</f>
        <v>0.07407407407</v>
      </c>
    </row>
    <row r="311" ht="15.75" customHeight="1">
      <c r="A311" s="30" t="s">
        <v>464</v>
      </c>
      <c r="B311" s="118" t="s">
        <v>458</v>
      </c>
      <c r="C311" s="63">
        <f t="shared" ref="C311:N311" si="201">($T311*C$299+$U311*C$300+$V311*C$301+$W311*C$302+$X311*C$303+$Y311*C$304)/$B$2</f>
        <v>2.179739595</v>
      </c>
      <c r="D311" s="63">
        <f t="shared" si="201"/>
        <v>1.906259234</v>
      </c>
      <c r="E311" s="63">
        <f t="shared" si="201"/>
        <v>2.025400437</v>
      </c>
      <c r="F311" s="63">
        <f t="shared" si="201"/>
        <v>1.923858213</v>
      </c>
      <c r="G311" s="63">
        <f t="shared" si="201"/>
        <v>1.80471701</v>
      </c>
      <c r="H311" s="63">
        <f t="shared" si="201"/>
        <v>1.685575808</v>
      </c>
      <c r="I311" s="63">
        <f t="shared" si="201"/>
        <v>1.941457191</v>
      </c>
      <c r="J311" s="63">
        <f t="shared" si="201"/>
        <v>2.007801458</v>
      </c>
      <c r="K311" s="63">
        <f t="shared" si="201"/>
        <v>2.007801458</v>
      </c>
      <c r="L311" s="63">
        <f t="shared" si="201"/>
        <v>1.906259234</v>
      </c>
      <c r="M311" s="63">
        <f t="shared" si="201"/>
        <v>1.888660256</v>
      </c>
      <c r="N311" s="63">
        <f t="shared" si="201"/>
        <v>2.550710534</v>
      </c>
      <c r="O311" s="44">
        <f t="shared" si="196"/>
        <v>2.550710534</v>
      </c>
      <c r="P311" s="63">
        <f>'Parametros Recargas'!$M$90</f>
        <v>22.66666667</v>
      </c>
      <c r="Q311" s="36">
        <f>MAX(Q256,ROUNDUP(O311/(P311*'Parametros Recargas'!G$8*'Parametros Recargas'!$B$19),0))</f>
        <v>1</v>
      </c>
      <c r="R311" s="46">
        <f>IF(AND('Parametros Recargas'!G$8=2,O311/(P311*Q311*'Parametros Recargas'!$B$19)&gt;1),2,1)</f>
        <v>1</v>
      </c>
      <c r="S311" s="34">
        <f t="shared" si="197"/>
        <v>0.1125313471</v>
      </c>
      <c r="T311" s="161">
        <f>'Parametros Recargas'!D59</f>
        <v>0</v>
      </c>
      <c r="U311" s="161">
        <f>'Parametros Recargas'!E59</f>
        <v>0</v>
      </c>
      <c r="V311" s="161">
        <f>'Parametros Recargas'!F59</f>
        <v>0</v>
      </c>
      <c r="W311" s="161">
        <f>'Parametros Recargas'!G59</f>
        <v>1</v>
      </c>
      <c r="X311" s="161">
        <f>'Parametros Recargas'!H59</f>
        <v>0</v>
      </c>
      <c r="Y311" s="161">
        <f>'Parametros Recargas'!I59</f>
        <v>0</v>
      </c>
      <c r="Z311" s="162">
        <f>'Parametros Recargas'!$U$90/P311</f>
        <v>0.04411764706</v>
      </c>
    </row>
    <row r="312" ht="15.75" customHeight="1">
      <c r="A312" s="30" t="s">
        <v>465</v>
      </c>
      <c r="B312" s="118" t="s">
        <v>458</v>
      </c>
      <c r="C312" s="63">
        <f t="shared" ref="C312:N312" si="202">($T312*C$299+$U312*C$300+$V312*C$301+$W312*C$302+$X312*C$303+$Y312*C$304)/$B$2</f>
        <v>0.9880422465</v>
      </c>
      <c r="D312" s="63">
        <f t="shared" si="202"/>
        <v>0.8782597747</v>
      </c>
      <c r="E312" s="63">
        <f t="shared" si="202"/>
        <v>0.9331510106</v>
      </c>
      <c r="F312" s="63">
        <f t="shared" si="202"/>
        <v>0.8782597747</v>
      </c>
      <c r="G312" s="63">
        <f t="shared" si="202"/>
        <v>0.8233685388</v>
      </c>
      <c r="H312" s="63">
        <f t="shared" si="202"/>
        <v>0.7684773028</v>
      </c>
      <c r="I312" s="63">
        <f t="shared" si="202"/>
        <v>0.8782597747</v>
      </c>
      <c r="J312" s="63">
        <f t="shared" si="202"/>
        <v>0.9331510106</v>
      </c>
      <c r="K312" s="63">
        <f t="shared" si="202"/>
        <v>0.9331510106</v>
      </c>
      <c r="L312" s="63">
        <f t="shared" si="202"/>
        <v>0.8782597747</v>
      </c>
      <c r="M312" s="63">
        <f t="shared" si="202"/>
        <v>0.8782597747</v>
      </c>
      <c r="N312" s="63">
        <f t="shared" si="202"/>
        <v>1.20760719</v>
      </c>
      <c r="O312" s="44">
        <f t="shared" si="196"/>
        <v>1.20760719</v>
      </c>
      <c r="P312" s="63">
        <f>'Parametros Recargas'!$M$91</f>
        <v>29.14285714</v>
      </c>
      <c r="Q312" s="36">
        <f>MAX(Q257,ROUNDUP(O312/(P312*'Parametros Recargas'!G$8*'Parametros Recargas'!$B$19),0))</f>
        <v>1</v>
      </c>
      <c r="R312" s="46">
        <f>IF(AND('Parametros Recargas'!G$8=2,O312/(P312*Q312*'Parametros Recargas'!$B$19)&gt;1),2,1)</f>
        <v>1</v>
      </c>
      <c r="S312" s="34">
        <f t="shared" si="197"/>
        <v>0.04143750162</v>
      </c>
      <c r="T312" s="161">
        <f>'Parametros Recargas'!D60</f>
        <v>0</v>
      </c>
      <c r="U312" s="161">
        <f>'Parametros Recargas'!E60</f>
        <v>0</v>
      </c>
      <c r="V312" s="161">
        <f>'Parametros Recargas'!F60</f>
        <v>0</v>
      </c>
      <c r="W312" s="161">
        <f>'Parametros Recargas'!G60</f>
        <v>0</v>
      </c>
      <c r="X312" s="161">
        <f>'Parametros Recargas'!H60</f>
        <v>0.25</v>
      </c>
      <c r="Y312" s="161">
        <f>'Parametros Recargas'!I60</f>
        <v>0</v>
      </c>
      <c r="Z312" s="162">
        <f>'Parametros Recargas'!$U$91/P312</f>
        <v>0.03431372549</v>
      </c>
    </row>
    <row r="313" ht="15.75" customHeight="1">
      <c r="A313" s="30" t="s">
        <v>466</v>
      </c>
      <c r="B313" s="118" t="s">
        <v>458</v>
      </c>
      <c r="C313" s="63">
        <f t="shared" ref="C313:N313" si="203">($T313*C$299+$U313*C$300+$V313*C$301+$W313*C$302+$X313*C$303+$Y313*C$304)/$B$2</f>
        <v>0.03877595884</v>
      </c>
      <c r="D313" s="63">
        <f t="shared" si="203"/>
        <v>0.03446751897</v>
      </c>
      <c r="E313" s="63">
        <f t="shared" si="203"/>
        <v>0.0366217389</v>
      </c>
      <c r="F313" s="63">
        <f t="shared" si="203"/>
        <v>0.03446751897</v>
      </c>
      <c r="G313" s="63">
        <f t="shared" si="203"/>
        <v>0.03231329903</v>
      </c>
      <c r="H313" s="63">
        <f t="shared" si="203"/>
        <v>0.0301590791</v>
      </c>
      <c r="I313" s="63">
        <f t="shared" si="203"/>
        <v>0.03446751897</v>
      </c>
      <c r="J313" s="63">
        <f t="shared" si="203"/>
        <v>0.0366217389</v>
      </c>
      <c r="K313" s="63">
        <f t="shared" si="203"/>
        <v>0.0366217389</v>
      </c>
      <c r="L313" s="63">
        <f t="shared" si="203"/>
        <v>0.03446751897</v>
      </c>
      <c r="M313" s="63">
        <f t="shared" si="203"/>
        <v>0.03446751897</v>
      </c>
      <c r="N313" s="63">
        <f t="shared" si="203"/>
        <v>0.04739283858</v>
      </c>
      <c r="O313" s="44">
        <f t="shared" si="196"/>
        <v>0.04739283858</v>
      </c>
      <c r="P313" s="63">
        <f>'Parametros Recargas'!$M$92</f>
        <v>18.54545455</v>
      </c>
      <c r="Q313" s="36">
        <f>MAX(Q258,ROUNDUP(O313/(P313*'Parametros Recargas'!G$8*'Parametros Recargas'!$B$19),0))</f>
        <v>1</v>
      </c>
      <c r="R313" s="46">
        <f>IF(AND('Parametros Recargas'!G$8=2,O313/(P313*Q313*'Parametros Recargas'!$B$19)&gt;1),2,1)</f>
        <v>1</v>
      </c>
      <c r="S313" s="34">
        <f t="shared" si="197"/>
        <v>0.002555496198</v>
      </c>
      <c r="T313" s="161">
        <f>'Parametros Recargas'!D61</f>
        <v>0</v>
      </c>
      <c r="U313" s="161">
        <f>'Parametros Recargas'!E61</f>
        <v>0</v>
      </c>
      <c r="V313" s="161">
        <f>'Parametros Recargas'!F61</f>
        <v>0</v>
      </c>
      <c r="W313" s="161">
        <f>'Parametros Recargas'!G61</f>
        <v>0</v>
      </c>
      <c r="X313" s="161">
        <f>'Parametros Recargas'!H61</f>
        <v>0</v>
      </c>
      <c r="Y313" s="161">
        <f>'Parametros Recargas'!I61</f>
        <v>0.25</v>
      </c>
      <c r="Z313" s="162">
        <f>'Parametros Recargas'!$U$92/P313</f>
        <v>0.05392156863</v>
      </c>
    </row>
    <row r="314" ht="15.75" customHeight="1">
      <c r="A314" s="73" t="s">
        <v>467</v>
      </c>
      <c r="B314" s="118" t="s">
        <v>458</v>
      </c>
      <c r="C314" s="63">
        <f t="shared" ref="C314:N314" si="204">($T314*C$299+$U314*C$300+$V314*C$301+$W314*C$302+$X314*C$303+$Y314*C$304)/$B$2</f>
        <v>48.42884888</v>
      </c>
      <c r="D314" s="63">
        <f t="shared" si="204"/>
        <v>39.9418512</v>
      </c>
      <c r="E314" s="63">
        <f t="shared" si="204"/>
        <v>41.13174014</v>
      </c>
      <c r="F314" s="63">
        <f t="shared" si="204"/>
        <v>40.04751355</v>
      </c>
      <c r="G314" s="63">
        <f t="shared" si="204"/>
        <v>38.8576246</v>
      </c>
      <c r="H314" s="63">
        <f t="shared" si="204"/>
        <v>37.66773566</v>
      </c>
      <c r="I314" s="63">
        <f t="shared" si="204"/>
        <v>40.1531759</v>
      </c>
      <c r="J314" s="63">
        <f t="shared" si="204"/>
        <v>41.0260778</v>
      </c>
      <c r="K314" s="63">
        <f t="shared" si="204"/>
        <v>41.0260778</v>
      </c>
      <c r="L314" s="63">
        <f t="shared" si="204"/>
        <v>39.9418512</v>
      </c>
      <c r="M314" s="63">
        <f t="shared" si="204"/>
        <v>39.83618885</v>
      </c>
      <c r="N314" s="63">
        <f t="shared" si="204"/>
        <v>57.91433521</v>
      </c>
      <c r="O314" s="44">
        <f t="shared" si="196"/>
        <v>57.91433521</v>
      </c>
      <c r="P314" s="63">
        <f>'Parametros Recargas'!$M$93</f>
        <v>32</v>
      </c>
      <c r="Q314" s="36">
        <f>MAX(Q259,ROUNDUP(O314/(P314*'Parametros Recargas'!G$8*'Parametros Recargas'!$B$19),0))</f>
        <v>3</v>
      </c>
      <c r="R314" s="46">
        <f>IF(AND('Parametros Recargas'!G$8=2,O314/(P314*Q314*'Parametros Recargas'!$B$19)&gt;1),2,1)</f>
        <v>1</v>
      </c>
      <c r="S314" s="34">
        <f t="shared" si="197"/>
        <v>0.6032743251</v>
      </c>
      <c r="T314" s="161">
        <f>'Parametros Recargas'!D62</f>
        <v>1</v>
      </c>
      <c r="U314" s="161">
        <f>'Parametros Recargas'!E62</f>
        <v>1</v>
      </c>
      <c r="V314" s="161">
        <f>'Parametros Recargas'!F62</f>
        <v>1</v>
      </c>
      <c r="W314" s="161">
        <f>'Parametros Recargas'!G62</f>
        <v>1</v>
      </c>
      <c r="X314" s="161">
        <f>'Parametros Recargas'!H62</f>
        <v>0.35</v>
      </c>
      <c r="Y314" s="161">
        <f>'Parametros Recargas'!I62</f>
        <v>0.35</v>
      </c>
      <c r="Z314" s="162">
        <f>'Parametros Recargas'!$U$93/P314</f>
        <v>0.03125</v>
      </c>
    </row>
    <row r="315" ht="15.75" customHeight="1">
      <c r="A315" s="30" t="s">
        <v>469</v>
      </c>
      <c r="B315" s="118" t="s">
        <v>458</v>
      </c>
      <c r="C315" s="63">
        <f t="shared" ref="C315:N315" si="205">($T315*C$299+$U315*C$300+$V315*C$301+$W315*C$302+$X315*C$303+$Y315*C$304)/$B$2</f>
        <v>4.475917774</v>
      </c>
      <c r="D315" s="63">
        <f t="shared" si="205"/>
        <v>3.671120836</v>
      </c>
      <c r="E315" s="63">
        <f t="shared" si="205"/>
        <v>3.769918213</v>
      </c>
      <c r="F315" s="63">
        <f t="shared" si="205"/>
        <v>3.679927173</v>
      </c>
      <c r="G315" s="63">
        <f t="shared" si="205"/>
        <v>3.581129797</v>
      </c>
      <c r="H315" s="63">
        <f t="shared" si="205"/>
        <v>3.48233242</v>
      </c>
      <c r="I315" s="63">
        <f t="shared" si="205"/>
        <v>3.68873351</v>
      </c>
      <c r="J315" s="63">
        <f t="shared" si="205"/>
        <v>3.761111876</v>
      </c>
      <c r="K315" s="63">
        <f t="shared" si="205"/>
        <v>3.761111876</v>
      </c>
      <c r="L315" s="63">
        <f t="shared" si="205"/>
        <v>3.671120836</v>
      </c>
      <c r="M315" s="63">
        <f t="shared" si="205"/>
        <v>3.662314499</v>
      </c>
      <c r="N315" s="63">
        <f t="shared" si="205"/>
        <v>5.354259723</v>
      </c>
      <c r="O315" s="44">
        <f t="shared" si="196"/>
        <v>5.354259723</v>
      </c>
      <c r="P315" s="63">
        <f>'Parametros Recargas'!$M$94</f>
        <v>6.375</v>
      </c>
      <c r="Q315" s="36">
        <f>MAX(Q260,ROUNDUP(O315/(P315*'Parametros Recargas'!G$8*'Parametros Recargas'!$B$19),0))</f>
        <v>1</v>
      </c>
      <c r="R315" s="46">
        <f>IF(AND('Parametros Recargas'!G$8=2,O315/(P315*Q315*'Parametros Recargas'!$B$19)&gt;1),2,1)</f>
        <v>1</v>
      </c>
      <c r="S315" s="34">
        <f t="shared" si="197"/>
        <v>0.8398838781</v>
      </c>
      <c r="T315" s="161">
        <f>'Parametros Recargas'!D63</f>
        <v>0.1</v>
      </c>
      <c r="U315" s="161">
        <f>'Parametros Recargas'!E63</f>
        <v>0.1</v>
      </c>
      <c r="V315" s="161">
        <f>'Parametros Recargas'!F63</f>
        <v>0</v>
      </c>
      <c r="W315" s="161">
        <f>'Parametros Recargas'!G63</f>
        <v>0</v>
      </c>
      <c r="X315" s="161">
        <f>'Parametros Recargas'!H63</f>
        <v>0</v>
      </c>
      <c r="Y315" s="161">
        <f>'Parametros Recargas'!I63</f>
        <v>0</v>
      </c>
      <c r="Z315" s="162">
        <f>'Parametros Recargas'!$U$94/P315</f>
        <v>0.07843137255</v>
      </c>
    </row>
    <row r="316" ht="15.75" customHeight="1">
      <c r="A316" s="30" t="s">
        <v>470</v>
      </c>
      <c r="B316" s="118" t="s">
        <v>458</v>
      </c>
      <c r="C316" s="63">
        <f t="shared" ref="C316:N316" si="206">($T316*C$299+$U316*C$300+$V316*C$301+$W316*C$302+$X316*C$303+$Y316*C$304)/$B$2</f>
        <v>2.179739595</v>
      </c>
      <c r="D316" s="63">
        <f t="shared" si="206"/>
        <v>1.906259234</v>
      </c>
      <c r="E316" s="63">
        <f t="shared" si="206"/>
        <v>2.025400437</v>
      </c>
      <c r="F316" s="63">
        <f t="shared" si="206"/>
        <v>1.923858213</v>
      </c>
      <c r="G316" s="63">
        <f t="shared" si="206"/>
        <v>1.80471701</v>
      </c>
      <c r="H316" s="63">
        <f t="shared" si="206"/>
        <v>1.685575808</v>
      </c>
      <c r="I316" s="63">
        <f t="shared" si="206"/>
        <v>1.941457191</v>
      </c>
      <c r="J316" s="63">
        <f t="shared" si="206"/>
        <v>2.007801458</v>
      </c>
      <c r="K316" s="63">
        <f t="shared" si="206"/>
        <v>2.007801458</v>
      </c>
      <c r="L316" s="63">
        <f t="shared" si="206"/>
        <v>1.906259234</v>
      </c>
      <c r="M316" s="63">
        <f t="shared" si="206"/>
        <v>1.888660256</v>
      </c>
      <c r="N316" s="63">
        <f t="shared" si="206"/>
        <v>2.550710534</v>
      </c>
      <c r="O316" s="44">
        <f t="shared" si="196"/>
        <v>2.550710534</v>
      </c>
      <c r="P316" s="63">
        <f>'Parametros Recargas'!$M$95</f>
        <v>28.8</v>
      </c>
      <c r="Q316" s="36">
        <f>MAX(Q261,ROUNDUP(O316/(P316*'Parametros Recargas'!G$8*'Parametros Recargas'!$B$19),0))</f>
        <v>1</v>
      </c>
      <c r="R316" s="46">
        <f>IF(AND('Parametros Recargas'!G$8=2,O316/(P316*Q316*'Parametros Recargas'!$B$19)&gt;1),2,1)</f>
        <v>1</v>
      </c>
      <c r="S316" s="34">
        <f t="shared" si="197"/>
        <v>0.088566338</v>
      </c>
      <c r="T316" s="161">
        <f>'Parametros Recargas'!D64</f>
        <v>0</v>
      </c>
      <c r="U316" s="161">
        <f>'Parametros Recargas'!E64</f>
        <v>0</v>
      </c>
      <c r="V316" s="161">
        <f>'Parametros Recargas'!F64</f>
        <v>0</v>
      </c>
      <c r="W316" s="161">
        <f>'Parametros Recargas'!G64</f>
        <v>1</v>
      </c>
      <c r="X316" s="161">
        <f>'Parametros Recargas'!H64</f>
        <v>0</v>
      </c>
      <c r="Y316" s="161">
        <f>'Parametros Recargas'!I64</f>
        <v>0</v>
      </c>
      <c r="Z316" s="162">
        <f>'Parametros Recargas'!$U$95/P316</f>
        <v>0.03472222222</v>
      </c>
    </row>
    <row r="317" ht="15.75" customHeight="1">
      <c r="A317" s="73" t="s">
        <v>473</v>
      </c>
      <c r="B317" s="118" t="s">
        <v>458</v>
      </c>
      <c r="C317" s="63">
        <f t="shared" ref="C317:N317" si="207">($T317*C$299+$U317*C$300+$V317*C$301+$W317*C$302+$X317*C$303+$Y317*C$304)/$B$2</f>
        <v>13.31957895</v>
      </c>
      <c r="D317" s="63">
        <f t="shared" si="207"/>
        <v>11.05530035</v>
      </c>
      <c r="E317" s="63">
        <f t="shared" si="207"/>
        <v>11.41963743</v>
      </c>
      <c r="F317" s="63">
        <f t="shared" si="207"/>
        <v>11.08611568</v>
      </c>
      <c r="G317" s="63">
        <f t="shared" si="207"/>
        <v>10.7217786</v>
      </c>
      <c r="H317" s="63">
        <f t="shared" si="207"/>
        <v>10.35744151</v>
      </c>
      <c r="I317" s="63">
        <f t="shared" si="207"/>
        <v>11.11693101</v>
      </c>
      <c r="J317" s="63">
        <f t="shared" si="207"/>
        <v>11.3888221</v>
      </c>
      <c r="K317" s="63">
        <f t="shared" si="207"/>
        <v>11.3888221</v>
      </c>
      <c r="L317" s="63">
        <f t="shared" si="207"/>
        <v>11.05530035</v>
      </c>
      <c r="M317" s="63">
        <f t="shared" si="207"/>
        <v>11.02448502</v>
      </c>
      <c r="N317" s="63">
        <f t="shared" si="207"/>
        <v>15.93201146</v>
      </c>
      <c r="O317" s="44">
        <f t="shared" si="196"/>
        <v>15.93201146</v>
      </c>
      <c r="P317" s="63">
        <f>'Parametros Recargas'!$M$96</f>
        <v>28.88380952</v>
      </c>
      <c r="Q317" s="36">
        <f>MAX(Q262,ROUNDUP(O317/(P317*'Parametros Recargas'!G$8*'Parametros Recargas'!$B$19),0))</f>
        <v>1</v>
      </c>
      <c r="R317" s="46">
        <f>IF(AND('Parametros Recargas'!G$8=2,O317/(P317*Q317*'Parametros Recargas'!$B$19)&gt;1),2,1)</f>
        <v>1</v>
      </c>
      <c r="S317" s="34">
        <f t="shared" si="197"/>
        <v>0.551589687</v>
      </c>
      <c r="T317" s="161">
        <f>'Parametros Recargas'!D65</f>
        <v>0.25</v>
      </c>
      <c r="U317" s="161">
        <f>'Parametros Recargas'!E65</f>
        <v>0.25</v>
      </c>
      <c r="V317" s="161">
        <f>'Parametros Recargas'!F65</f>
        <v>0.25</v>
      </c>
      <c r="W317" s="161">
        <f>'Parametros Recargas'!G65</f>
        <v>0.5</v>
      </c>
      <c r="X317" s="161">
        <f>'Parametros Recargas'!H65</f>
        <v>0.25</v>
      </c>
      <c r="Y317" s="161">
        <f>'Parametros Recargas'!I65</f>
        <v>0.25</v>
      </c>
      <c r="Z317" s="162">
        <f>'Parametros Recargas'!$U$96/P317</f>
        <v>0.01731073595</v>
      </c>
    </row>
    <row r="318" ht="15.75" customHeight="1">
      <c r="A318" s="73" t="s">
        <v>479</v>
      </c>
      <c r="B318" s="118" t="s">
        <v>458</v>
      </c>
      <c r="C318" s="63">
        <f t="shared" ref="C318:N318" si="208">($T318*C$299+$U318*C$300+$V318*C$301+$W318*C$302+$X318*C$303+$Y318*C$304)/$B$2</f>
        <v>12.22970916</v>
      </c>
      <c r="D318" s="63">
        <f t="shared" si="208"/>
        <v>10.10217073</v>
      </c>
      <c r="E318" s="63">
        <f t="shared" si="208"/>
        <v>10.40693721</v>
      </c>
      <c r="F318" s="63">
        <f t="shared" si="208"/>
        <v>10.12418657</v>
      </c>
      <c r="G318" s="63">
        <f t="shared" si="208"/>
        <v>9.819420092</v>
      </c>
      <c r="H318" s="63">
        <f t="shared" si="208"/>
        <v>9.51465361</v>
      </c>
      <c r="I318" s="63">
        <f t="shared" si="208"/>
        <v>10.14620242</v>
      </c>
      <c r="J318" s="63">
        <f t="shared" si="208"/>
        <v>10.38492137</v>
      </c>
      <c r="K318" s="63">
        <f t="shared" si="208"/>
        <v>10.38492137</v>
      </c>
      <c r="L318" s="63">
        <f t="shared" si="208"/>
        <v>10.10217073</v>
      </c>
      <c r="M318" s="63">
        <f t="shared" si="208"/>
        <v>10.08015489</v>
      </c>
      <c r="N318" s="63">
        <f t="shared" si="208"/>
        <v>14.65665619</v>
      </c>
      <c r="O318" s="44">
        <f t="shared" si="196"/>
        <v>14.65665619</v>
      </c>
      <c r="P318" s="63">
        <f>'Parametros Recargas'!$M$97</f>
        <v>18.54545455</v>
      </c>
      <c r="Q318" s="36">
        <f>MAX(Q263,ROUNDUP(O318/(P318*'Parametros Recargas'!G$8*'Parametros Recargas'!$B$19),0))</f>
        <v>1</v>
      </c>
      <c r="R318" s="46">
        <f>IF(AND('Parametros Recargas'!G$8=2,O318/(P318*Q318*'Parametros Recargas'!$B$19)&gt;1),2,1)</f>
        <v>1</v>
      </c>
      <c r="S318" s="34">
        <f t="shared" si="197"/>
        <v>0.7903098925</v>
      </c>
      <c r="T318" s="161">
        <f>'Parametros Recargas'!D66</f>
        <v>0.25</v>
      </c>
      <c r="U318" s="161">
        <f>'Parametros Recargas'!E66</f>
        <v>0.25</v>
      </c>
      <c r="V318" s="161">
        <f>'Parametros Recargas'!F66</f>
        <v>0.25</v>
      </c>
      <c r="W318" s="161">
        <f>'Parametros Recargas'!G66</f>
        <v>0</v>
      </c>
      <c r="X318" s="161">
        <f>'Parametros Recargas'!H66</f>
        <v>0.25</v>
      </c>
      <c r="Y318" s="161">
        <f>'Parametros Recargas'!I66</f>
        <v>0.25</v>
      </c>
      <c r="Z318" s="162">
        <f>'Parametros Recargas'!$U$97/P318</f>
        <v>0.01348039216</v>
      </c>
    </row>
    <row r="319" ht="15.75" customHeight="1">
      <c r="A319" s="30" t="s">
        <v>500</v>
      </c>
      <c r="B319" s="118" t="s">
        <v>458</v>
      </c>
      <c r="C319" s="63">
        <f t="shared" ref="C319:N319" si="209">($T319*C$299+$U319*C$300+$V319*C$301+$W319*C$302+$X319*C$303+$Y319*C$304)/$B$2</f>
        <v>44.69919056</v>
      </c>
      <c r="D319" s="63">
        <f t="shared" si="209"/>
        <v>36.65788643</v>
      </c>
      <c r="E319" s="63">
        <f t="shared" si="209"/>
        <v>37.64252757</v>
      </c>
      <c r="F319" s="63">
        <f t="shared" si="209"/>
        <v>36.7459498</v>
      </c>
      <c r="G319" s="63">
        <f t="shared" si="209"/>
        <v>35.76130865</v>
      </c>
      <c r="H319" s="63">
        <f t="shared" si="209"/>
        <v>34.7766675</v>
      </c>
      <c r="I319" s="63">
        <f t="shared" si="209"/>
        <v>36.83401317</v>
      </c>
      <c r="J319" s="63">
        <f t="shared" si="209"/>
        <v>37.5544642</v>
      </c>
      <c r="K319" s="63">
        <f t="shared" si="209"/>
        <v>37.5544642</v>
      </c>
      <c r="L319" s="63">
        <f t="shared" si="209"/>
        <v>36.65788643</v>
      </c>
      <c r="M319" s="63">
        <f t="shared" si="209"/>
        <v>36.56982306</v>
      </c>
      <c r="N319" s="63">
        <f t="shared" si="209"/>
        <v>53.46927956</v>
      </c>
      <c r="O319" s="44">
        <f t="shared" si="196"/>
        <v>53.46927956</v>
      </c>
      <c r="P319" s="63">
        <f>'Parametros Recargas'!$M$98</f>
        <v>34</v>
      </c>
      <c r="Q319" s="36">
        <f>MAX(Q264,ROUNDUP(O319/(P319*'Parametros Recargas'!G$8*'Parametros Recargas'!$B$19),0))</f>
        <v>2</v>
      </c>
      <c r="R319" s="46">
        <f>IF(AND('Parametros Recargas'!G$8=2,O319/(P319*Q319*'Parametros Recargas'!$B$19)&gt;1),2,1)</f>
        <v>1</v>
      </c>
      <c r="S319" s="34">
        <f t="shared" si="197"/>
        <v>0.7863129348</v>
      </c>
      <c r="T319" s="161">
        <f>'Parametros Recargas'!D67</f>
        <v>1</v>
      </c>
      <c r="U319" s="161">
        <f>'Parametros Recargas'!E67</f>
        <v>0</v>
      </c>
      <c r="V319" s="161">
        <f>'Parametros Recargas'!F67</f>
        <v>0</v>
      </c>
      <c r="W319" s="161">
        <f>'Parametros Recargas'!G67</f>
        <v>0</v>
      </c>
      <c r="X319" s="161">
        <f>'Parametros Recargas'!H67</f>
        <v>0</v>
      </c>
      <c r="Y319" s="161">
        <f>'Parametros Recargas'!I67</f>
        <v>0</v>
      </c>
      <c r="Z319" s="162">
        <f>'Parametros Recargas'!$U$98/P319</f>
        <v>0.01470588235</v>
      </c>
    </row>
    <row r="320" ht="15.75" customHeight="1">
      <c r="A320" s="30" t="s">
        <v>522</v>
      </c>
      <c r="B320" s="118" t="s">
        <v>458</v>
      </c>
      <c r="C320" s="63">
        <f t="shared" ref="C320:N320" si="210">($T320*C$299+$U320*C$300+$V320*C$301+$W320*C$302+$X320*C$303+$Y320*C$304)/$B$2</f>
        <v>0.05998717871</v>
      </c>
      <c r="D320" s="63">
        <f t="shared" si="210"/>
        <v>0.05332193663</v>
      </c>
      <c r="E320" s="63">
        <f t="shared" si="210"/>
        <v>0.05665455767</v>
      </c>
      <c r="F320" s="63">
        <f t="shared" si="210"/>
        <v>0.05332193663</v>
      </c>
      <c r="G320" s="63">
        <f t="shared" si="210"/>
        <v>0.04998931559</v>
      </c>
      <c r="H320" s="63">
        <f t="shared" si="210"/>
        <v>0.04665669455</v>
      </c>
      <c r="I320" s="63">
        <f t="shared" si="210"/>
        <v>0.05332193663</v>
      </c>
      <c r="J320" s="63">
        <f t="shared" si="210"/>
        <v>0.05665455767</v>
      </c>
      <c r="K320" s="63">
        <f t="shared" si="210"/>
        <v>0.05665455767</v>
      </c>
      <c r="L320" s="63">
        <f t="shared" si="210"/>
        <v>0.05332193663</v>
      </c>
      <c r="M320" s="63">
        <f t="shared" si="210"/>
        <v>0.05332193663</v>
      </c>
      <c r="N320" s="63">
        <f t="shared" si="210"/>
        <v>0.07331766286</v>
      </c>
      <c r="O320" s="44">
        <f t="shared" si="196"/>
        <v>0.07331766286</v>
      </c>
      <c r="P320" s="63">
        <f>'Parametros Recargas'!$M$99</f>
        <v>34</v>
      </c>
      <c r="Q320" s="36">
        <f>MAX(Q265,ROUNDUP(O320/(P320*'Parametros Recargas'!G$8*'Parametros Recargas'!$B$19),0))</f>
        <v>1</v>
      </c>
      <c r="R320" s="46">
        <f>IF(AND('Parametros Recargas'!G$8=2,O320/(P320*Q320*'Parametros Recargas'!$B$19)&gt;1),2,1)</f>
        <v>1</v>
      </c>
      <c r="S320" s="34">
        <f t="shared" si="197"/>
        <v>0.002156401849</v>
      </c>
      <c r="T320" s="161">
        <f>'Parametros Recargas'!D68</f>
        <v>0</v>
      </c>
      <c r="U320" s="161">
        <f>'Parametros Recargas'!E68</f>
        <v>1</v>
      </c>
      <c r="V320" s="161">
        <f>'Parametros Recargas'!F68</f>
        <v>0</v>
      </c>
      <c r="W320" s="161">
        <f>'Parametros Recargas'!G68</f>
        <v>0</v>
      </c>
      <c r="X320" s="161">
        <f>'Parametros Recargas'!H68</f>
        <v>0</v>
      </c>
      <c r="Y320" s="161">
        <f>'Parametros Recargas'!I68</f>
        <v>0</v>
      </c>
      <c r="Z320" s="162">
        <f>'Parametros Recargas'!$U$99/P320</f>
        <v>0.02941176471</v>
      </c>
    </row>
    <row r="321" ht="15.75" customHeight="1">
      <c r="A321" s="30" t="s">
        <v>529</v>
      </c>
      <c r="B321" s="118" t="s">
        <v>458</v>
      </c>
      <c r="C321" s="63">
        <f t="shared" ref="C321:N321" si="211">($T321*C$299+$U321*C$300+$V321*C$301+$W321*C$302+$X321*C$303+$Y321*C$304)/$B$2</f>
        <v>0.0523860636</v>
      </c>
      <c r="D321" s="63">
        <f t="shared" si="211"/>
        <v>0.04656538986</v>
      </c>
      <c r="E321" s="63">
        <f t="shared" si="211"/>
        <v>0.04947572673</v>
      </c>
      <c r="F321" s="63">
        <f t="shared" si="211"/>
        <v>0.04656538986</v>
      </c>
      <c r="G321" s="63">
        <f t="shared" si="211"/>
        <v>0.043655053</v>
      </c>
      <c r="H321" s="63">
        <f t="shared" si="211"/>
        <v>0.04074471613</v>
      </c>
      <c r="I321" s="63">
        <f t="shared" si="211"/>
        <v>0.04656538986</v>
      </c>
      <c r="J321" s="63">
        <f t="shared" si="211"/>
        <v>0.04947572673</v>
      </c>
      <c r="K321" s="63">
        <f t="shared" si="211"/>
        <v>0.04947572673</v>
      </c>
      <c r="L321" s="63">
        <f t="shared" si="211"/>
        <v>0.04656538986</v>
      </c>
      <c r="M321" s="63">
        <f t="shared" si="211"/>
        <v>0.04656538986</v>
      </c>
      <c r="N321" s="63">
        <f t="shared" si="211"/>
        <v>0.06402741106</v>
      </c>
      <c r="O321" s="44">
        <f t="shared" si="196"/>
        <v>0.06402741106</v>
      </c>
      <c r="P321" s="63">
        <f>'Parametros Recargas'!$M$100</f>
        <v>8.4375</v>
      </c>
      <c r="Q321" s="36">
        <f>MAX(Q266,ROUNDUP(O321/(P321*'Parametros Recargas'!G$8*'Parametros Recargas'!$B$19),0))</f>
        <v>1</v>
      </c>
      <c r="R321" s="46">
        <f>IF(AND('Parametros Recargas'!G$8=2,O321/(P321*Q321*'Parametros Recargas'!$B$19)&gt;1),2,1)</f>
        <v>1</v>
      </c>
      <c r="S321" s="34">
        <f t="shared" si="197"/>
        <v>0.007588433904</v>
      </c>
      <c r="T321" s="161">
        <f>'Parametros Recargas'!D69</f>
        <v>0</v>
      </c>
      <c r="U321" s="161">
        <f>'Parametros Recargas'!E69</f>
        <v>0</v>
      </c>
      <c r="V321" s="161">
        <f>'Parametros Recargas'!F69</f>
        <v>1</v>
      </c>
      <c r="W321" s="161">
        <f>'Parametros Recargas'!G69</f>
        <v>0</v>
      </c>
      <c r="X321" s="161">
        <f>'Parametros Recargas'!H69</f>
        <v>0</v>
      </c>
      <c r="Y321" s="161">
        <f>'Parametros Recargas'!I69</f>
        <v>0</v>
      </c>
      <c r="Z321" s="162">
        <f>'Parametros Recargas'!$U$100/P321</f>
        <v>0.1185185185</v>
      </c>
    </row>
    <row r="322" ht="15.75" customHeight="1">
      <c r="A322" s="30" t="s">
        <v>531</v>
      </c>
      <c r="B322" s="118" t="s">
        <v>458</v>
      </c>
      <c r="C322" s="63">
        <f t="shared" ref="C322:N322" si="212">($T322*C$299+$U322*C$300+$V322*C$301+$W322*C$302+$X322*C$303+$Y322*C$304)/$B$2</f>
        <v>2.179739595</v>
      </c>
      <c r="D322" s="63">
        <f t="shared" si="212"/>
        <v>1.906259234</v>
      </c>
      <c r="E322" s="63">
        <f t="shared" si="212"/>
        <v>2.025400437</v>
      </c>
      <c r="F322" s="63">
        <f t="shared" si="212"/>
        <v>1.923858213</v>
      </c>
      <c r="G322" s="63">
        <f t="shared" si="212"/>
        <v>1.80471701</v>
      </c>
      <c r="H322" s="63">
        <f t="shared" si="212"/>
        <v>1.685575808</v>
      </c>
      <c r="I322" s="63">
        <f t="shared" si="212"/>
        <v>1.941457191</v>
      </c>
      <c r="J322" s="63">
        <f t="shared" si="212"/>
        <v>2.007801458</v>
      </c>
      <c r="K322" s="63">
        <f t="shared" si="212"/>
        <v>2.007801458</v>
      </c>
      <c r="L322" s="63">
        <f t="shared" si="212"/>
        <v>1.906259234</v>
      </c>
      <c r="M322" s="63">
        <f t="shared" si="212"/>
        <v>1.888660256</v>
      </c>
      <c r="N322" s="63">
        <f t="shared" si="212"/>
        <v>2.550710534</v>
      </c>
      <c r="O322" s="44">
        <f t="shared" si="196"/>
        <v>2.550710534</v>
      </c>
      <c r="P322" s="63">
        <f>'Parametros Recargas'!$M$101</f>
        <v>18.29818182</v>
      </c>
      <c r="Q322" s="36">
        <f>MAX(Q267,ROUNDUP(O322/(P322*'Parametros Recargas'!G$8*'Parametros Recargas'!$B$19),0))</f>
        <v>1</v>
      </c>
      <c r="R322" s="46">
        <f>IF(AND('Parametros Recargas'!G$8=2,O322/(P322*Q322*'Parametros Recargas'!$B$19)&gt;1),2,1)</f>
        <v>1</v>
      </c>
      <c r="S322" s="34">
        <f t="shared" si="197"/>
        <v>0.139396939</v>
      </c>
      <c r="T322" s="161">
        <f>'Parametros Recargas'!D70</f>
        <v>0</v>
      </c>
      <c r="U322" s="161">
        <f>'Parametros Recargas'!E70</f>
        <v>0</v>
      </c>
      <c r="V322" s="161">
        <f>'Parametros Recargas'!F70</f>
        <v>0</v>
      </c>
      <c r="W322" s="161">
        <f>'Parametros Recargas'!G70</f>
        <v>1</v>
      </c>
      <c r="X322" s="161">
        <f>'Parametros Recargas'!H70</f>
        <v>0</v>
      </c>
      <c r="Y322" s="161">
        <f>'Parametros Recargas'!I70</f>
        <v>0</v>
      </c>
      <c r="Z322" s="162">
        <f>'Parametros Recargas'!$U$101/P322</f>
        <v>0.05465023847</v>
      </c>
    </row>
    <row r="323" ht="15.75" customHeight="1">
      <c r="A323" s="30" t="s">
        <v>533</v>
      </c>
      <c r="B323" s="118" t="s">
        <v>458</v>
      </c>
      <c r="C323" s="63">
        <f t="shared" ref="C323:N323" si="213">($T323*C$299+$U323*C$300+$V323*C$301+$W323*C$302+$X323*C$303+$Y323*C$304)/$B$2</f>
        <v>1.383259145</v>
      </c>
      <c r="D323" s="63">
        <f t="shared" si="213"/>
        <v>1.229563685</v>
      </c>
      <c r="E323" s="63">
        <f t="shared" si="213"/>
        <v>1.306411415</v>
      </c>
      <c r="F323" s="63">
        <f t="shared" si="213"/>
        <v>1.229563685</v>
      </c>
      <c r="G323" s="63">
        <f t="shared" si="213"/>
        <v>1.152715954</v>
      </c>
      <c r="H323" s="63">
        <f t="shared" si="213"/>
        <v>1.075868224</v>
      </c>
      <c r="I323" s="63">
        <f t="shared" si="213"/>
        <v>1.229563685</v>
      </c>
      <c r="J323" s="63">
        <f t="shared" si="213"/>
        <v>1.306411415</v>
      </c>
      <c r="K323" s="63">
        <f t="shared" si="213"/>
        <v>1.306411415</v>
      </c>
      <c r="L323" s="63">
        <f t="shared" si="213"/>
        <v>1.229563685</v>
      </c>
      <c r="M323" s="63">
        <f t="shared" si="213"/>
        <v>1.229563685</v>
      </c>
      <c r="N323" s="63">
        <f t="shared" si="213"/>
        <v>1.690650066</v>
      </c>
      <c r="O323" s="44">
        <f t="shared" si="196"/>
        <v>1.690650066</v>
      </c>
      <c r="P323" s="63">
        <f>'Parametros Recargas'!$M$102</f>
        <v>15.69230769</v>
      </c>
      <c r="Q323" s="36">
        <f>MAX(Q268,ROUNDUP(O323/(P323*'Parametros Recargas'!G$8*'Parametros Recargas'!$B$19),0))</f>
        <v>1</v>
      </c>
      <c r="R323" s="46">
        <f>IF(AND('Parametros Recargas'!G$8=2,O323/(P323*Q323*'Parametros Recargas'!$B$19)&gt;1),2,1)</f>
        <v>1</v>
      </c>
      <c r="S323" s="34">
        <f t="shared" si="197"/>
        <v>0.1077375042</v>
      </c>
      <c r="T323" s="161">
        <f>'Parametros Recargas'!D71</f>
        <v>0</v>
      </c>
      <c r="U323" s="161">
        <f>'Parametros Recargas'!E71</f>
        <v>0</v>
      </c>
      <c r="V323" s="161">
        <f>'Parametros Recargas'!F71</f>
        <v>0</v>
      </c>
      <c r="W323" s="161">
        <f>'Parametros Recargas'!G71</f>
        <v>0</v>
      </c>
      <c r="X323" s="161">
        <f>'Parametros Recargas'!H71</f>
        <v>0.35</v>
      </c>
      <c r="Y323" s="161">
        <f>'Parametros Recargas'!I71</f>
        <v>0</v>
      </c>
      <c r="Z323" s="162">
        <f>'Parametros Recargas'!$U$102/P323</f>
        <v>0.0637254902</v>
      </c>
    </row>
    <row r="324" ht="15.75" customHeight="1">
      <c r="A324" s="30" t="s">
        <v>535</v>
      </c>
      <c r="B324" s="118" t="s">
        <v>458</v>
      </c>
      <c r="C324" s="63">
        <f t="shared" ref="C324:N324" si="214">($T324*C$299+$U324*C$300+$V324*C$301+$W324*C$302+$X324*C$303+$Y324*C$304)/$B$2</f>
        <v>0.05428634237</v>
      </c>
      <c r="D324" s="63">
        <f t="shared" si="214"/>
        <v>0.04825452655</v>
      </c>
      <c r="E324" s="63">
        <f t="shared" si="214"/>
        <v>0.05127043446</v>
      </c>
      <c r="F324" s="63">
        <f t="shared" si="214"/>
        <v>0.04825452655</v>
      </c>
      <c r="G324" s="63">
        <f t="shared" si="214"/>
        <v>0.04523861864</v>
      </c>
      <c r="H324" s="63">
        <f t="shared" si="214"/>
        <v>0.04222271073</v>
      </c>
      <c r="I324" s="63">
        <f t="shared" si="214"/>
        <v>0.04825452655</v>
      </c>
      <c r="J324" s="63">
        <f t="shared" si="214"/>
        <v>0.05127043446</v>
      </c>
      <c r="K324" s="63">
        <f t="shared" si="214"/>
        <v>0.05127043446</v>
      </c>
      <c r="L324" s="63">
        <f t="shared" si="214"/>
        <v>0.04825452655</v>
      </c>
      <c r="M324" s="63">
        <f t="shared" si="214"/>
        <v>0.04825452655</v>
      </c>
      <c r="N324" s="63">
        <f t="shared" si="214"/>
        <v>0.06634997401</v>
      </c>
      <c r="O324" s="44">
        <f t="shared" si="196"/>
        <v>0.06634997401</v>
      </c>
      <c r="P324" s="63">
        <f>'Parametros Recargas'!$M$103</f>
        <v>12</v>
      </c>
      <c r="Q324" s="36">
        <f>MAX(Q269,ROUNDUP(O324/(P324*'Parametros Recargas'!G$8*'Parametros Recargas'!$B$19),0))</f>
        <v>1</v>
      </c>
      <c r="R324" s="46">
        <f>IF(AND('Parametros Recargas'!G$8=2,O324/(P324*Q324*'Parametros Recargas'!$B$19)&gt;1),2,1)</f>
        <v>1</v>
      </c>
      <c r="S324" s="34">
        <f t="shared" si="197"/>
        <v>0.005529164501</v>
      </c>
      <c r="T324" s="161">
        <f>'Parametros Recargas'!D72</f>
        <v>0</v>
      </c>
      <c r="U324" s="161">
        <f>'Parametros Recargas'!E72</f>
        <v>0</v>
      </c>
      <c r="V324" s="161">
        <f>'Parametros Recargas'!F72</f>
        <v>0</v>
      </c>
      <c r="W324" s="161">
        <f>'Parametros Recargas'!G72</f>
        <v>0</v>
      </c>
      <c r="X324" s="161">
        <f>'Parametros Recargas'!H72</f>
        <v>0</v>
      </c>
      <c r="Y324" s="161">
        <f>'Parametros Recargas'!I72</f>
        <v>0.35</v>
      </c>
      <c r="Z324" s="162">
        <f>'Parametros Recargas'!$U$103/P324</f>
        <v>0.08333333333</v>
      </c>
    </row>
    <row r="325" ht="15.75" customHeight="1">
      <c r="A325" s="73" t="s">
        <v>536</v>
      </c>
      <c r="B325" s="118" t="s">
        <v>458</v>
      </c>
      <c r="C325" s="63">
        <f t="shared" ref="C325:N325" si="215">($T325*C$299+$U325*C$300+$V325*C$301+$W325*C$302+$X325*C$303+$Y325*C$304)/$B$2</f>
        <v>48.42884888</v>
      </c>
      <c r="D325" s="63">
        <f t="shared" si="215"/>
        <v>39.9418512</v>
      </c>
      <c r="E325" s="63">
        <f t="shared" si="215"/>
        <v>41.13174014</v>
      </c>
      <c r="F325" s="63">
        <f t="shared" si="215"/>
        <v>40.04751355</v>
      </c>
      <c r="G325" s="63">
        <f t="shared" si="215"/>
        <v>38.8576246</v>
      </c>
      <c r="H325" s="63">
        <f t="shared" si="215"/>
        <v>37.66773566</v>
      </c>
      <c r="I325" s="63">
        <f t="shared" si="215"/>
        <v>40.1531759</v>
      </c>
      <c r="J325" s="63">
        <f t="shared" si="215"/>
        <v>41.0260778</v>
      </c>
      <c r="K325" s="63">
        <f t="shared" si="215"/>
        <v>41.0260778</v>
      </c>
      <c r="L325" s="63">
        <f t="shared" si="215"/>
        <v>39.9418512</v>
      </c>
      <c r="M325" s="63">
        <f t="shared" si="215"/>
        <v>39.83618885</v>
      </c>
      <c r="N325" s="63">
        <f t="shared" si="215"/>
        <v>57.91433521</v>
      </c>
      <c r="O325" s="44">
        <f t="shared" si="196"/>
        <v>57.91433521</v>
      </c>
      <c r="P325" s="63">
        <f>'Parametros Recargas'!$M$104</f>
        <v>25.04347826</v>
      </c>
      <c r="Q325" s="36">
        <f>MAX(Q270,ROUNDUP(O325/(P325*'Parametros Recargas'!G$8*'Parametros Recargas'!$B$19),0))</f>
        <v>3</v>
      </c>
      <c r="R325" s="46">
        <f>IF(AND('Parametros Recargas'!G$8=2,O325/(P325*Q325*'Parametros Recargas'!$B$19)&gt;1),2,1)</f>
        <v>1</v>
      </c>
      <c r="S325" s="34">
        <f t="shared" si="197"/>
        <v>0.7708505266</v>
      </c>
      <c r="T325" s="161">
        <f>'Parametros Recargas'!D73</f>
        <v>1</v>
      </c>
      <c r="U325" s="161">
        <f>'Parametros Recargas'!E73</f>
        <v>1</v>
      </c>
      <c r="V325" s="161">
        <f>'Parametros Recargas'!F73</f>
        <v>1</v>
      </c>
      <c r="W325" s="161">
        <f>'Parametros Recargas'!G73</f>
        <v>1</v>
      </c>
      <c r="X325" s="161">
        <f>'Parametros Recargas'!H73</f>
        <v>0.35</v>
      </c>
      <c r="Y325" s="161">
        <f>'Parametros Recargas'!I73</f>
        <v>0.35</v>
      </c>
      <c r="Z325" s="162">
        <f>'Parametros Recargas'!$U$104/P325</f>
        <v>0.03993055556</v>
      </c>
    </row>
    <row r="326" ht="15.75" customHeight="1">
      <c r="A326" s="73" t="s">
        <v>537</v>
      </c>
      <c r="B326" s="118" t="s">
        <v>458</v>
      </c>
      <c r="C326" s="63">
        <f t="shared" ref="C326:N326" si="216">($T326*C$299+$U326*C$300+$V326*C$301+$W326*C$302+$X326*C$303+$Y326*C$304)/$B$2</f>
        <v>47.04558974</v>
      </c>
      <c r="D326" s="63">
        <f t="shared" si="216"/>
        <v>38.71228751</v>
      </c>
      <c r="E326" s="63">
        <f t="shared" si="216"/>
        <v>39.82532873</v>
      </c>
      <c r="F326" s="63">
        <f t="shared" si="216"/>
        <v>38.81794986</v>
      </c>
      <c r="G326" s="63">
        <f t="shared" si="216"/>
        <v>37.70490865</v>
      </c>
      <c r="H326" s="63">
        <f t="shared" si="216"/>
        <v>36.59186743</v>
      </c>
      <c r="I326" s="63">
        <f t="shared" si="216"/>
        <v>38.92361221</v>
      </c>
      <c r="J326" s="63">
        <f t="shared" si="216"/>
        <v>39.71966638</v>
      </c>
      <c r="K326" s="63">
        <f t="shared" si="216"/>
        <v>39.71966638</v>
      </c>
      <c r="L326" s="63">
        <f t="shared" si="216"/>
        <v>38.71228751</v>
      </c>
      <c r="M326" s="63">
        <f t="shared" si="216"/>
        <v>38.60662517</v>
      </c>
      <c r="N326" s="63">
        <f t="shared" si="216"/>
        <v>56.22368515</v>
      </c>
      <c r="O326" s="44">
        <f t="shared" si="196"/>
        <v>56.22368515</v>
      </c>
      <c r="P326" s="63">
        <f>'Parametros Recargas'!$M$105</f>
        <v>52.36363636</v>
      </c>
      <c r="Q326" s="36">
        <f>MAX(Q271,ROUNDUP(O326/(P326*'Parametros Recargas'!G$8*'Parametros Recargas'!$B$19),0))</f>
        <v>2</v>
      </c>
      <c r="R326" s="46">
        <f>IF(AND('Parametros Recargas'!G$8=2,O326/(P326*Q326*'Parametros Recargas'!$B$19)&gt;1),2,1)</f>
        <v>1</v>
      </c>
      <c r="S326" s="34">
        <f t="shared" si="197"/>
        <v>0.5368581047</v>
      </c>
      <c r="T326" s="161">
        <f>'Parametros Recargas'!D74</f>
        <v>1</v>
      </c>
      <c r="U326" s="161">
        <f>'Parametros Recargas'!E74</f>
        <v>1</v>
      </c>
      <c r="V326" s="161">
        <f>'Parametros Recargas'!F74</f>
        <v>1</v>
      </c>
      <c r="W326" s="161">
        <f>'Parametros Recargas'!G74</f>
        <v>1</v>
      </c>
      <c r="X326" s="161">
        <f>'Parametros Recargas'!H74</f>
        <v>0</v>
      </c>
      <c r="Y326" s="161">
        <f>'Parametros Recargas'!I74</f>
        <v>0.35</v>
      </c>
      <c r="Z326" s="162">
        <f>'Parametros Recargas'!$U$105/P326</f>
        <v>0.01909722222</v>
      </c>
    </row>
    <row r="327" ht="15.75" customHeight="1">
      <c r="A327" s="73" t="s">
        <v>546</v>
      </c>
      <c r="B327" s="118" t="s">
        <v>458</v>
      </c>
      <c r="C327" s="63">
        <f t="shared" ref="C327:N327" si="217">($T327*C$299+$U327*C$300+$V327*C$301+$W327*C$302+$X327*C$303+$Y327*C$304)/$B$2</f>
        <v>4.107272821</v>
      </c>
      <c r="D327" s="63">
        <f t="shared" si="217"/>
        <v>3.650909175</v>
      </c>
      <c r="E327" s="63">
        <f t="shared" si="217"/>
        <v>3.879090998</v>
      </c>
      <c r="F327" s="63">
        <f t="shared" si="217"/>
        <v>3.650909175</v>
      </c>
      <c r="G327" s="63">
        <f t="shared" si="217"/>
        <v>3.422727351</v>
      </c>
      <c r="H327" s="63">
        <f t="shared" si="217"/>
        <v>3.194545528</v>
      </c>
      <c r="I327" s="63">
        <f t="shared" si="217"/>
        <v>3.650909175</v>
      </c>
      <c r="J327" s="63">
        <f t="shared" si="217"/>
        <v>3.879090998</v>
      </c>
      <c r="K327" s="63">
        <f t="shared" si="217"/>
        <v>3.879090998</v>
      </c>
      <c r="L327" s="63">
        <f t="shared" si="217"/>
        <v>3.650909175</v>
      </c>
      <c r="M327" s="63">
        <f t="shared" si="217"/>
        <v>3.650909175</v>
      </c>
      <c r="N327" s="63">
        <f t="shared" si="217"/>
        <v>5.020000115</v>
      </c>
      <c r="O327" s="44">
        <f t="shared" si="196"/>
        <v>5.020000115</v>
      </c>
      <c r="P327" s="63">
        <f>'Parametros Recargas'!$M$106</f>
        <v>55.63636364</v>
      </c>
      <c r="Q327" s="36">
        <f>MAX(Q272,ROUNDUP(O327/(P327*'Parametros Recargas'!G$8*'Parametros Recargas'!$B$19),0))</f>
        <v>1</v>
      </c>
      <c r="R327" s="46">
        <f>IF(AND('Parametros Recargas'!G$8=2,O327/(P327*Q327*'Parametros Recargas'!$B$19)&gt;1),2,1)</f>
        <v>1</v>
      </c>
      <c r="S327" s="34">
        <f t="shared" si="197"/>
        <v>0.09022876024</v>
      </c>
      <c r="T327" s="161">
        <f>'Parametros Recargas'!D75</f>
        <v>0</v>
      </c>
      <c r="U327" s="161">
        <f>'Parametros Recargas'!E75</f>
        <v>0</v>
      </c>
      <c r="V327" s="161">
        <f>'Parametros Recargas'!F75</f>
        <v>0</v>
      </c>
      <c r="W327" s="161">
        <f>'Parametros Recargas'!G75</f>
        <v>0</v>
      </c>
      <c r="X327" s="161">
        <f>'Parametros Recargas'!H75</f>
        <v>1</v>
      </c>
      <c r="Y327" s="161">
        <f>'Parametros Recargas'!I75</f>
        <v>1</v>
      </c>
      <c r="Z327" s="162">
        <f>'Parametros Recargas'!$U$106/P327</f>
        <v>0.01797385621</v>
      </c>
    </row>
    <row r="328" ht="15.75" customHeight="1">
      <c r="A328" s="73" t="s">
        <v>559</v>
      </c>
      <c r="B328" s="118" t="s">
        <v>458</v>
      </c>
      <c r="C328" s="63">
        <f t="shared" ref="C328:N328" si="218">($T328*C$299+$U328*C$300+$V328*C$301+$W328*C$302+$X328*C$303+$Y328*C$304)/$B$2</f>
        <v>51.09857622</v>
      </c>
      <c r="D328" s="63">
        <f t="shared" si="218"/>
        <v>42.31494216</v>
      </c>
      <c r="E328" s="63">
        <f t="shared" si="218"/>
        <v>43.65314929</v>
      </c>
      <c r="F328" s="63">
        <f t="shared" si="218"/>
        <v>42.42060451</v>
      </c>
      <c r="G328" s="63">
        <f t="shared" si="218"/>
        <v>41.08239738</v>
      </c>
      <c r="H328" s="63">
        <f t="shared" si="218"/>
        <v>39.74419025</v>
      </c>
      <c r="I328" s="63">
        <f t="shared" si="218"/>
        <v>42.52626686</v>
      </c>
      <c r="J328" s="63">
        <f t="shared" si="218"/>
        <v>43.54748695</v>
      </c>
      <c r="K328" s="63">
        <f t="shared" si="218"/>
        <v>43.54748695</v>
      </c>
      <c r="L328" s="63">
        <f t="shared" si="218"/>
        <v>42.31494216</v>
      </c>
      <c r="M328" s="63">
        <f t="shared" si="218"/>
        <v>42.20927981</v>
      </c>
      <c r="N328" s="63">
        <f t="shared" si="218"/>
        <v>61.17733529</v>
      </c>
      <c r="O328" s="44">
        <f t="shared" si="196"/>
        <v>61.17733529</v>
      </c>
      <c r="P328" s="63">
        <f>'Parametros Recargas'!$M$107</f>
        <v>76.5</v>
      </c>
      <c r="Q328" s="36">
        <f>MAX(Q273,ROUNDUP(O328/(P328*'Parametros Recargas'!G$8*'Parametros Recargas'!$B$19),0))</f>
        <v>1</v>
      </c>
      <c r="R328" s="46">
        <f>IF(AND('Parametros Recargas'!G$8=2,O328/(P328*Q328*'Parametros Recargas'!$B$19)&gt;1),2,1)</f>
        <v>1</v>
      </c>
      <c r="S328" s="34">
        <f t="shared" si="197"/>
        <v>0.7997037292</v>
      </c>
      <c r="T328" s="161">
        <f>'Parametros Recargas'!D76</f>
        <v>1</v>
      </c>
      <c r="U328" s="161">
        <f>'Parametros Recargas'!E76</f>
        <v>1</v>
      </c>
      <c r="V328" s="161">
        <f>'Parametros Recargas'!F76</f>
        <v>1</v>
      </c>
      <c r="W328" s="161">
        <f>'Parametros Recargas'!G76</f>
        <v>1</v>
      </c>
      <c r="X328" s="161">
        <f>'Parametros Recargas'!H76</f>
        <v>1</v>
      </c>
      <c r="Y328" s="161">
        <f>'Parametros Recargas'!I76</f>
        <v>1</v>
      </c>
      <c r="Z328" s="162">
        <f>'Parametros Recargas'!$U$107/P328</f>
        <v>0.003267973856</v>
      </c>
    </row>
    <row r="329" ht="15.75" customHeight="1">
      <c r="A329" s="73" t="s">
        <v>566</v>
      </c>
      <c r="B329" s="118" t="s">
        <v>458</v>
      </c>
      <c r="C329" s="63">
        <f t="shared" ref="C329:N329" si="219">($T329*C$299+$U329*C$300+$V329*C$301+$W329*C$302+$X329*C$303+$Y329*C$304)/$B$2</f>
        <v>7.664786433</v>
      </c>
      <c r="D329" s="63">
        <f t="shared" si="219"/>
        <v>6.347241324</v>
      </c>
      <c r="E329" s="63">
        <f t="shared" si="219"/>
        <v>6.547972394</v>
      </c>
      <c r="F329" s="63">
        <f t="shared" si="219"/>
        <v>6.363090677</v>
      </c>
      <c r="G329" s="63">
        <f t="shared" si="219"/>
        <v>6.162359607</v>
      </c>
      <c r="H329" s="63">
        <f t="shared" si="219"/>
        <v>5.961628537</v>
      </c>
      <c r="I329" s="63">
        <f t="shared" si="219"/>
        <v>6.378940029</v>
      </c>
      <c r="J329" s="63">
        <f t="shared" si="219"/>
        <v>6.532123042</v>
      </c>
      <c r="K329" s="63">
        <f t="shared" si="219"/>
        <v>6.532123042</v>
      </c>
      <c r="L329" s="63">
        <f t="shared" si="219"/>
        <v>6.347241324</v>
      </c>
      <c r="M329" s="63">
        <f t="shared" si="219"/>
        <v>6.331391972</v>
      </c>
      <c r="N329" s="63">
        <f t="shared" si="219"/>
        <v>9.176600293</v>
      </c>
      <c r="O329" s="44">
        <f t="shared" si="196"/>
        <v>9.176600293</v>
      </c>
      <c r="P329" s="63">
        <f>'Parametros Recargas'!$M$108</f>
        <v>8</v>
      </c>
      <c r="Q329" s="36">
        <f>MAX(Q274,ROUNDUP(O329/(P329*'Parametros Recargas'!G$8*'Parametros Recargas'!$B$19),0))</f>
        <v>2</v>
      </c>
      <c r="R329" s="46">
        <f>IF(AND('Parametros Recargas'!G$8=2,O329/(P329*Q329*'Parametros Recargas'!$B$19)&gt;1),2,1)</f>
        <v>1</v>
      </c>
      <c r="S329" s="34">
        <f t="shared" si="197"/>
        <v>0.5735375183</v>
      </c>
      <c r="T329" s="161">
        <f>'Parametros Recargas'!D77</f>
        <v>0.15</v>
      </c>
      <c r="U329" s="161">
        <f>'Parametros Recargas'!E77</f>
        <v>0.15</v>
      </c>
      <c r="V329" s="161">
        <f>'Parametros Recargas'!F77</f>
        <v>0.15</v>
      </c>
      <c r="W329" s="161">
        <f>'Parametros Recargas'!G77</f>
        <v>0.15</v>
      </c>
      <c r="X329" s="161">
        <f>'Parametros Recargas'!H77</f>
        <v>0.15</v>
      </c>
      <c r="Y329" s="161">
        <f>'Parametros Recargas'!I77</f>
        <v>0.15</v>
      </c>
      <c r="Z329" s="162">
        <f>'Parametros Recargas'!$U$108/P329</f>
        <v>0.125</v>
      </c>
    </row>
    <row r="330" ht="15.75" customHeight="1">
      <c r="A330" s="73" t="s">
        <v>574</v>
      </c>
      <c r="B330" s="118" t="s">
        <v>458</v>
      </c>
      <c r="C330" s="63">
        <f t="shared" ref="C330:N330" si="220">($T330*C$299+$U330*C$300+$V330*C$301+$W330*C$302+$X330*C$303+$Y330*C$304)/$B$2</f>
        <v>51.09857622</v>
      </c>
      <c r="D330" s="63">
        <f t="shared" si="220"/>
        <v>42.31494216</v>
      </c>
      <c r="E330" s="63">
        <f t="shared" si="220"/>
        <v>43.65314929</v>
      </c>
      <c r="F330" s="63">
        <f t="shared" si="220"/>
        <v>42.42060451</v>
      </c>
      <c r="G330" s="63">
        <f t="shared" si="220"/>
        <v>41.08239738</v>
      </c>
      <c r="H330" s="63">
        <f t="shared" si="220"/>
        <v>39.74419025</v>
      </c>
      <c r="I330" s="63">
        <f t="shared" si="220"/>
        <v>42.52626686</v>
      </c>
      <c r="J330" s="63">
        <f t="shared" si="220"/>
        <v>43.54748695</v>
      </c>
      <c r="K330" s="63">
        <f t="shared" si="220"/>
        <v>43.54748695</v>
      </c>
      <c r="L330" s="63">
        <f t="shared" si="220"/>
        <v>42.31494216</v>
      </c>
      <c r="M330" s="63">
        <f t="shared" si="220"/>
        <v>42.20927981</v>
      </c>
      <c r="N330" s="63">
        <f t="shared" si="220"/>
        <v>61.17733529</v>
      </c>
      <c r="O330" s="44">
        <f t="shared" si="196"/>
        <v>61.17733529</v>
      </c>
      <c r="P330" s="63">
        <f>'Parametros Recargas'!$M$109</f>
        <v>52.36363636</v>
      </c>
      <c r="Q330" s="36">
        <f>MAX(Q275,ROUNDUP(O330/(P330*'Parametros Recargas'!G$8*'Parametros Recargas'!$B$19),0))</f>
        <v>2</v>
      </c>
      <c r="R330" s="46">
        <f>IF(AND('Parametros Recargas'!G$8=2,O330/(P330*Q330*'Parametros Recargas'!$B$19)&gt;1),2,1)</f>
        <v>1</v>
      </c>
      <c r="S330" s="34">
        <f t="shared" si="197"/>
        <v>0.5841585835</v>
      </c>
      <c r="T330" s="161">
        <f>'Parametros Recargas'!D78</f>
        <v>1</v>
      </c>
      <c r="U330" s="161">
        <f>'Parametros Recargas'!E78</f>
        <v>1</v>
      </c>
      <c r="V330" s="161">
        <f>'Parametros Recargas'!F78</f>
        <v>1</v>
      </c>
      <c r="W330" s="161">
        <f>'Parametros Recargas'!G78</f>
        <v>1</v>
      </c>
      <c r="X330" s="161">
        <f>'Parametros Recargas'!H78</f>
        <v>1</v>
      </c>
      <c r="Y330" s="161">
        <f>'Parametros Recargas'!I78</f>
        <v>1</v>
      </c>
      <c r="Z330" s="162">
        <f>'Parametros Recargas'!$U$109/P330</f>
        <v>0.01909722222</v>
      </c>
    </row>
    <row r="331" ht="15.75" customHeight="1">
      <c r="A331" s="73" t="s">
        <v>583</v>
      </c>
      <c r="B331" s="118" t="s">
        <v>458</v>
      </c>
      <c r="C331" s="63">
        <f t="shared" ref="C331:N331" si="221">($T331*C$299+$U331*C$300+$V331*C$301+$W331*C$302+$X331*C$303+$Y331*C$304)/$B$2</f>
        <v>51.09857622</v>
      </c>
      <c r="D331" s="63">
        <f t="shared" si="221"/>
        <v>42.31494216</v>
      </c>
      <c r="E331" s="63">
        <f t="shared" si="221"/>
        <v>43.65314929</v>
      </c>
      <c r="F331" s="63">
        <f t="shared" si="221"/>
        <v>42.42060451</v>
      </c>
      <c r="G331" s="63">
        <f t="shared" si="221"/>
        <v>41.08239738</v>
      </c>
      <c r="H331" s="63">
        <f t="shared" si="221"/>
        <v>39.74419025</v>
      </c>
      <c r="I331" s="63">
        <f t="shared" si="221"/>
        <v>42.52626686</v>
      </c>
      <c r="J331" s="63">
        <f t="shared" si="221"/>
        <v>43.54748695</v>
      </c>
      <c r="K331" s="63">
        <f t="shared" si="221"/>
        <v>43.54748695</v>
      </c>
      <c r="L331" s="63">
        <f t="shared" si="221"/>
        <v>42.31494216</v>
      </c>
      <c r="M331" s="63">
        <f t="shared" si="221"/>
        <v>42.20927981</v>
      </c>
      <c r="N331" s="63">
        <f t="shared" si="221"/>
        <v>61.17733529</v>
      </c>
      <c r="O331" s="44">
        <f t="shared" si="196"/>
        <v>61.17733529</v>
      </c>
      <c r="P331" s="63">
        <f>'Parametros Recargas'!$M$110</f>
        <v>57.6</v>
      </c>
      <c r="Q331" s="36">
        <f>MAX(Q276,ROUNDUP(O331/(P331*'Parametros Recargas'!G$8*'Parametros Recargas'!$B$19),0))</f>
        <v>2</v>
      </c>
      <c r="R331" s="46">
        <f>IF(AND('Parametros Recargas'!G$8=2,O331/(P331*Q331*'Parametros Recargas'!$B$19)&gt;1),2,1)</f>
        <v>1</v>
      </c>
      <c r="S331" s="34">
        <f t="shared" si="197"/>
        <v>0.5310532577</v>
      </c>
      <c r="T331" s="161">
        <f>'Parametros Recargas'!D79</f>
        <v>1</v>
      </c>
      <c r="U331" s="161">
        <f>'Parametros Recargas'!E79</f>
        <v>1</v>
      </c>
      <c r="V331" s="161">
        <f>'Parametros Recargas'!F79</f>
        <v>1</v>
      </c>
      <c r="W331" s="161">
        <f>'Parametros Recargas'!G79</f>
        <v>1</v>
      </c>
      <c r="X331" s="161">
        <f>'Parametros Recargas'!H79</f>
        <v>1</v>
      </c>
      <c r="Y331" s="161">
        <f>'Parametros Recargas'!I79</f>
        <v>1</v>
      </c>
      <c r="Z331" s="162">
        <f>'Parametros Recargas'!$U$110/P331</f>
        <v>0.01736111111</v>
      </c>
    </row>
    <row r="332" ht="15.75" customHeight="1">
      <c r="A332" s="73" t="s">
        <v>590</v>
      </c>
      <c r="B332" s="118" t="s">
        <v>591</v>
      </c>
      <c r="C332" s="175">
        <f t="shared" ref="C332:N332" si="222">SUMPRODUCT(C306:C331,$Z306:$Z331)*$B$2</f>
        <v>1754.599825</v>
      </c>
      <c r="D332" s="175">
        <f t="shared" si="222"/>
        <v>1452.441038</v>
      </c>
      <c r="E332" s="175">
        <f t="shared" si="222"/>
        <v>1498.312933</v>
      </c>
      <c r="F332" s="175">
        <f t="shared" si="222"/>
        <v>1456.322923</v>
      </c>
      <c r="G332" s="175">
        <f t="shared" si="222"/>
        <v>1410.451027</v>
      </c>
      <c r="H332" s="175">
        <f t="shared" si="222"/>
        <v>1364.579132</v>
      </c>
      <c r="I332" s="175">
        <f t="shared" si="222"/>
        <v>1460.204809</v>
      </c>
      <c r="J332" s="175">
        <f t="shared" si="222"/>
        <v>1494.431048</v>
      </c>
      <c r="K332" s="175">
        <f t="shared" si="222"/>
        <v>1494.431048</v>
      </c>
      <c r="L332" s="175">
        <f t="shared" si="222"/>
        <v>1452.441038</v>
      </c>
      <c r="M332" s="175">
        <f t="shared" si="222"/>
        <v>1448.559152</v>
      </c>
      <c r="N332" s="175">
        <f t="shared" si="222"/>
        <v>2099.02448</v>
      </c>
      <c r="O332" s="175">
        <f t="shared" si="196"/>
        <v>2099.02448</v>
      </c>
    </row>
    <row r="333" ht="15.75" customHeight="1"/>
    <row r="334" ht="15.75" customHeight="1">
      <c r="A334" s="45" t="s">
        <v>780</v>
      </c>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137"/>
    </row>
    <row r="335" ht="15.75" customHeight="1">
      <c r="A335" s="29" t="s">
        <v>376</v>
      </c>
      <c r="B335" s="29" t="s">
        <v>377</v>
      </c>
      <c r="C335" s="29" t="s">
        <v>109</v>
      </c>
      <c r="D335" s="29" t="s">
        <v>110</v>
      </c>
      <c r="E335" s="29" t="s">
        <v>111</v>
      </c>
      <c r="F335" s="29" t="s">
        <v>112</v>
      </c>
      <c r="G335" s="29" t="s">
        <v>113</v>
      </c>
      <c r="H335" s="29" t="s">
        <v>114</v>
      </c>
      <c r="I335" s="29" t="s">
        <v>115</v>
      </c>
      <c r="J335" s="29" t="s">
        <v>116</v>
      </c>
      <c r="K335" s="29" t="s">
        <v>117</v>
      </c>
      <c r="L335" s="29" t="s">
        <v>118</v>
      </c>
      <c r="M335" s="29" t="s">
        <v>119</v>
      </c>
      <c r="N335" s="29" t="s">
        <v>120</v>
      </c>
      <c r="O335" s="29" t="s">
        <v>15</v>
      </c>
    </row>
    <row r="336" ht="15.75" customHeight="1">
      <c r="A336" s="30" t="str">
        <f>datos_base!$A$55</f>
        <v>ABC 1 kg</v>
      </c>
      <c r="B336" s="139" t="s">
        <v>379</v>
      </c>
      <c r="C336" s="64">
        <f>datos_base!$H$55*'Parametros Recargas'!D$33*'Parametros Recargas'!$Q$33</f>
        <v>5054.056763</v>
      </c>
      <c r="D336" s="64">
        <f>datos_base!$H$55*'Parametros Recargas'!E$33*'Parametros Recargas'!$Q$33</f>
        <v>3942.164275</v>
      </c>
      <c r="E336" s="64">
        <f>datos_base!$H$55*'Parametros Recargas'!F$33*'Parametros Recargas'!$Q$33</f>
        <v>3942.164275</v>
      </c>
      <c r="F336" s="64">
        <f>datos_base!$H$55*'Parametros Recargas'!G$33*'Parametros Recargas'!$Q$33</f>
        <v>3942.164275</v>
      </c>
      <c r="G336" s="64">
        <f>datos_base!$H$55*'Parametros Recargas'!H$33*'Parametros Recargas'!$Q$33</f>
        <v>3942.164275</v>
      </c>
      <c r="H336" s="64">
        <f>datos_base!$H$55*'Parametros Recargas'!I$33*'Parametros Recargas'!$Q$33</f>
        <v>3942.164275</v>
      </c>
      <c r="I336" s="64">
        <f>datos_base!$H$55*'Parametros Recargas'!J$33*'Parametros Recargas'!$Q$33</f>
        <v>3942.164275</v>
      </c>
      <c r="J336" s="64">
        <f>datos_base!$H$55*'Parametros Recargas'!K$33*'Parametros Recargas'!$Q$33</f>
        <v>3942.164275</v>
      </c>
      <c r="K336" s="64">
        <f>datos_base!$H$55*'Parametros Recargas'!L$33*'Parametros Recargas'!$Q$33</f>
        <v>3942.164275</v>
      </c>
      <c r="L336" s="64">
        <f>datos_base!$H$55*'Parametros Recargas'!M$33*'Parametros Recargas'!$Q$33</f>
        <v>3942.164275</v>
      </c>
      <c r="M336" s="64">
        <f>datos_base!$H$55*'Parametros Recargas'!N$33*'Parametros Recargas'!$Q$33</f>
        <v>3942.164275</v>
      </c>
      <c r="N336" s="64">
        <f>datos_base!$H$55*'Parametros Recargas'!O$33*'Parametros Recargas'!$Q$33</f>
        <v>6064.868116</v>
      </c>
      <c r="O336" s="84">
        <f t="shared" ref="O336:O352" si="223">SUM(C336:N336)</f>
        <v>50540.56763</v>
      </c>
    </row>
    <row r="337" ht="15.75" customHeight="1">
      <c r="A337" s="30" t="str">
        <f>datos_base!$A$56</f>
        <v>ABC 2,5 kg</v>
      </c>
      <c r="B337" s="139" t="s">
        <v>379</v>
      </c>
      <c r="C337" s="64">
        <f>datos_base!$H$56*'Parametros Recargas'!D$34*'Parametros Recargas'!$Q$34</f>
        <v>394.7443969</v>
      </c>
      <c r="D337" s="64">
        <f>datos_base!$H$56*'Parametros Recargas'!E$34*'Parametros Recargas'!$Q$34</f>
        <v>350.8839083</v>
      </c>
      <c r="E337" s="64">
        <f>datos_base!$H$56*'Parametros Recargas'!F$34*'Parametros Recargas'!$Q$34</f>
        <v>372.8141526</v>
      </c>
      <c r="F337" s="64">
        <f>datos_base!$H$56*'Parametros Recargas'!G$34*'Parametros Recargas'!$Q$34</f>
        <v>350.8839083</v>
      </c>
      <c r="G337" s="64">
        <f>datos_base!$H$56*'Parametros Recargas'!H$34*'Parametros Recargas'!$Q$34</f>
        <v>328.953664</v>
      </c>
      <c r="H337" s="64">
        <f>datos_base!$H$56*'Parametros Recargas'!I$34*'Parametros Recargas'!$Q$34</f>
        <v>307.0234198</v>
      </c>
      <c r="I337" s="64">
        <f>datos_base!$H$56*'Parametros Recargas'!J$34*'Parametros Recargas'!$Q$34</f>
        <v>350.8839083</v>
      </c>
      <c r="J337" s="64">
        <f>datos_base!$H$56*'Parametros Recargas'!K$34*'Parametros Recargas'!$Q$34</f>
        <v>372.8141526</v>
      </c>
      <c r="K337" s="64">
        <f>datos_base!$H$56*'Parametros Recargas'!L$34*'Parametros Recargas'!$Q$34</f>
        <v>372.8141526</v>
      </c>
      <c r="L337" s="64">
        <f>datos_base!$H$56*'Parametros Recargas'!M$34*'Parametros Recargas'!$Q$34</f>
        <v>350.8839083</v>
      </c>
      <c r="M337" s="64">
        <f>datos_base!$H$56*'Parametros Recargas'!N$34*'Parametros Recargas'!$Q$34</f>
        <v>350.8839083</v>
      </c>
      <c r="N337" s="64">
        <f>datos_base!$H$56*'Parametros Recargas'!O$34*'Parametros Recargas'!$Q$34</f>
        <v>482.4653739</v>
      </c>
      <c r="O337" s="84">
        <f t="shared" si="223"/>
        <v>4386.048854</v>
      </c>
    </row>
    <row r="338" ht="15.75" customHeight="1">
      <c r="A338" s="30" t="str">
        <f>datos_base!$A$57</f>
        <v>ABC 5 kg</v>
      </c>
      <c r="B338" s="139" t="s">
        <v>379</v>
      </c>
      <c r="C338" s="64">
        <f>datos_base!$H$57*'Parametros Recargas'!D$35*'Parametros Recargas'!$Q$35</f>
        <v>2425.813713</v>
      </c>
      <c r="D338" s="64">
        <f>datos_base!$H$57*'Parametros Recargas'!E$35*'Parametros Recargas'!$Q$35</f>
        <v>2156.278856</v>
      </c>
      <c r="E338" s="64">
        <f>datos_base!$H$57*'Parametros Recargas'!F$35*'Parametros Recargas'!$Q$35</f>
        <v>2291.046285</v>
      </c>
      <c r="F338" s="64">
        <f>datos_base!$H$57*'Parametros Recargas'!G$35*'Parametros Recargas'!$Q$35</f>
        <v>2156.278856</v>
      </c>
      <c r="G338" s="64">
        <f>datos_base!$H$57*'Parametros Recargas'!H$35*'Parametros Recargas'!$Q$35</f>
        <v>2021.511428</v>
      </c>
      <c r="H338" s="64">
        <f>datos_base!$H$57*'Parametros Recargas'!I$35*'Parametros Recargas'!$Q$35</f>
        <v>1886.743999</v>
      </c>
      <c r="I338" s="64">
        <f>datos_base!$H$57*'Parametros Recargas'!J$35*'Parametros Recargas'!$Q$35</f>
        <v>2156.278856</v>
      </c>
      <c r="J338" s="64">
        <f>datos_base!$H$57*'Parametros Recargas'!K$35*'Parametros Recargas'!$Q$35</f>
        <v>2291.046285</v>
      </c>
      <c r="K338" s="64">
        <f>datos_base!$H$57*'Parametros Recargas'!L$35*'Parametros Recargas'!$Q$35</f>
        <v>2291.046285</v>
      </c>
      <c r="L338" s="64">
        <f>datos_base!$H$57*'Parametros Recargas'!M$35*'Parametros Recargas'!$Q$35</f>
        <v>2156.278856</v>
      </c>
      <c r="M338" s="64">
        <f>datos_base!$H$57*'Parametros Recargas'!N$35*'Parametros Recargas'!$Q$35</f>
        <v>2156.278856</v>
      </c>
      <c r="N338" s="64">
        <f>datos_base!$H$57*'Parametros Recargas'!O$35*'Parametros Recargas'!$Q$35</f>
        <v>2964.883427</v>
      </c>
      <c r="O338" s="84">
        <f t="shared" si="223"/>
        <v>26953.4857</v>
      </c>
    </row>
    <row r="339" ht="15.75" customHeight="1">
      <c r="A339" s="30" t="str">
        <f>datos_base!$A$58</f>
        <v>ABC 10 kg</v>
      </c>
      <c r="B339" s="139" t="s">
        <v>379</v>
      </c>
      <c r="C339" s="64">
        <f>datos_base!$H$58*'Parametros Recargas'!D$36*'Parametros Recargas'!$Q$36</f>
        <v>143.6918909</v>
      </c>
      <c r="D339" s="64">
        <f>datos_base!$H$58*'Parametros Recargas'!E$36*'Parametros Recargas'!$Q$36</f>
        <v>127.7261253</v>
      </c>
      <c r="E339" s="64">
        <f>datos_base!$H$58*'Parametros Recargas'!F$36*'Parametros Recargas'!$Q$36</f>
        <v>135.7090081</v>
      </c>
      <c r="F339" s="64">
        <f>datos_base!$H$58*'Parametros Recargas'!G$36*'Parametros Recargas'!$Q$36</f>
        <v>127.7261253</v>
      </c>
      <c r="G339" s="64">
        <f>datos_base!$H$58*'Parametros Recargas'!H$36*'Parametros Recargas'!$Q$36</f>
        <v>119.7432424</v>
      </c>
      <c r="H339" s="64">
        <f>datos_base!$H$58*'Parametros Recargas'!I$36*'Parametros Recargas'!$Q$36</f>
        <v>111.7603596</v>
      </c>
      <c r="I339" s="64">
        <f>datos_base!$H$58*'Parametros Recargas'!J$36*'Parametros Recargas'!$Q$36</f>
        <v>127.7261253</v>
      </c>
      <c r="J339" s="64">
        <f>datos_base!$H$58*'Parametros Recargas'!K$36*'Parametros Recargas'!$Q$36</f>
        <v>135.7090081</v>
      </c>
      <c r="K339" s="64">
        <f>datos_base!$H$58*'Parametros Recargas'!L$36*'Parametros Recargas'!$Q$36</f>
        <v>135.7090081</v>
      </c>
      <c r="L339" s="64">
        <f>datos_base!$H$58*'Parametros Recargas'!M$36*'Parametros Recargas'!$Q$36</f>
        <v>127.7261253</v>
      </c>
      <c r="M339" s="64">
        <f>datos_base!$H$58*'Parametros Recargas'!N$36*'Parametros Recargas'!$Q$36</f>
        <v>127.7261253</v>
      </c>
      <c r="N339" s="64">
        <f>datos_base!$H$58*'Parametros Recargas'!O$36*'Parametros Recargas'!$Q$36</f>
        <v>175.6234222</v>
      </c>
      <c r="O339" s="84">
        <f t="shared" si="223"/>
        <v>1596.576566</v>
      </c>
    </row>
    <row r="340" ht="15.75" customHeight="1">
      <c r="A340" s="30" t="str">
        <f>datos_base!$A$69</f>
        <v>ABC 25 kg s/ruedas</v>
      </c>
      <c r="B340" s="139" t="s">
        <v>379</v>
      </c>
      <c r="C340" s="64">
        <f>datos_base!$H$69*'Parametros Recargas'!D$37*'Parametros Recargas'!$Q$37</f>
        <v>81.35247523</v>
      </c>
      <c r="D340" s="64">
        <f>datos_base!$H$69*'Parametros Recargas'!E$37*'Parametros Recargas'!$Q$37</f>
        <v>65.08198018</v>
      </c>
      <c r="E340" s="64">
        <f>datos_base!$H$69*'Parametros Recargas'!F$37*'Parametros Recargas'!$Q$37</f>
        <v>69.14960395</v>
      </c>
      <c r="F340" s="64">
        <f>datos_base!$H$69*'Parametros Recargas'!G$37*'Parametros Recargas'!$Q$37</f>
        <v>69.14960395</v>
      </c>
      <c r="G340" s="64">
        <f>datos_base!$H$69*'Parametros Recargas'!H$37*'Parametros Recargas'!$Q$37</f>
        <v>65.08198018</v>
      </c>
      <c r="H340" s="64">
        <f>datos_base!$H$69*'Parametros Recargas'!I$37*'Parametros Recargas'!$Q$37</f>
        <v>61.01435642</v>
      </c>
      <c r="I340" s="64">
        <f>datos_base!$H$69*'Parametros Recargas'!J$37*'Parametros Recargas'!$Q$37</f>
        <v>73.21722771</v>
      </c>
      <c r="J340" s="64">
        <f>datos_base!$H$69*'Parametros Recargas'!K$37*'Parametros Recargas'!$Q$37</f>
        <v>65.08198018</v>
      </c>
      <c r="K340" s="64">
        <f>datos_base!$H$69*'Parametros Recargas'!L$37*'Parametros Recargas'!$Q$37</f>
        <v>65.08198018</v>
      </c>
      <c r="L340" s="64">
        <f>datos_base!$H$69*'Parametros Recargas'!M$37*'Parametros Recargas'!$Q$37</f>
        <v>65.08198018</v>
      </c>
      <c r="M340" s="64">
        <f>datos_base!$H$69*'Parametros Recargas'!N$37*'Parametros Recargas'!$Q$37</f>
        <v>61.01435642</v>
      </c>
      <c r="N340" s="64">
        <f>datos_base!$H$69*'Parametros Recargas'!O$37*'Parametros Recargas'!$Q$37</f>
        <v>73.21722771</v>
      </c>
      <c r="O340" s="84">
        <f t="shared" si="223"/>
        <v>813.5247523</v>
      </c>
    </row>
    <row r="341" ht="15.75" customHeight="1">
      <c r="A341" s="30" t="str">
        <f>datos_base!$A$70</f>
        <v>ABC 50 kg s/ruedas</v>
      </c>
      <c r="B341" s="139" t="s">
        <v>379</v>
      </c>
      <c r="C341" s="64">
        <f>datos_base!$H$70*'Parametros Recargas'!D$38*'Parametros Recargas'!$Q$38</f>
        <v>179.1397939</v>
      </c>
      <c r="D341" s="64">
        <f>datos_base!$H$70*'Parametros Recargas'!E$38*'Parametros Recargas'!$Q$38</f>
        <v>143.3118352</v>
      </c>
      <c r="E341" s="64">
        <f>datos_base!$H$70*'Parametros Recargas'!F$38*'Parametros Recargas'!$Q$38</f>
        <v>152.2688249</v>
      </c>
      <c r="F341" s="64">
        <f>datos_base!$H$70*'Parametros Recargas'!G$38*'Parametros Recargas'!$Q$38</f>
        <v>152.2688249</v>
      </c>
      <c r="G341" s="64">
        <f>datos_base!$H$70*'Parametros Recargas'!H$38*'Parametros Recargas'!$Q$38</f>
        <v>143.3118352</v>
      </c>
      <c r="H341" s="64">
        <f>datos_base!$H$70*'Parametros Recargas'!I$38*'Parametros Recargas'!$Q$38</f>
        <v>134.3548455</v>
      </c>
      <c r="I341" s="64">
        <f>datos_base!$H$70*'Parametros Recargas'!J$38*'Parametros Recargas'!$Q$38</f>
        <v>161.2258145</v>
      </c>
      <c r="J341" s="64">
        <f>datos_base!$H$70*'Parametros Recargas'!K$38*'Parametros Recargas'!$Q$38</f>
        <v>143.3118352</v>
      </c>
      <c r="K341" s="64">
        <f>datos_base!$H$70*'Parametros Recargas'!L$38*'Parametros Recargas'!$Q$38</f>
        <v>143.3118352</v>
      </c>
      <c r="L341" s="64">
        <f>datos_base!$H$70*'Parametros Recargas'!M$38*'Parametros Recargas'!$Q$38</f>
        <v>143.3118352</v>
      </c>
      <c r="M341" s="64">
        <f>datos_base!$H$70*'Parametros Recargas'!N$38*'Parametros Recargas'!$Q$38</f>
        <v>134.3548455</v>
      </c>
      <c r="N341" s="64">
        <f>datos_base!$H$70*'Parametros Recargas'!O$38*'Parametros Recargas'!$Q$38</f>
        <v>161.2258145</v>
      </c>
      <c r="O341" s="84">
        <f t="shared" si="223"/>
        <v>1791.397939</v>
      </c>
    </row>
    <row r="342" ht="15.75" customHeight="1">
      <c r="A342" s="30" t="str">
        <f>datos_base!$A$71</f>
        <v>ABC 70 kg s/ruedas</v>
      </c>
      <c r="B342" s="139" t="s">
        <v>379</v>
      </c>
      <c r="C342" s="64">
        <f>datos_base!$H$71*'Parametros Recargas'!D$39*'Parametros Recargas'!$Q$39</f>
        <v>39.03275327</v>
      </c>
      <c r="D342" s="64">
        <f>datos_base!$H$71*'Parametros Recargas'!E$39*'Parametros Recargas'!$Q$39</f>
        <v>31.22620261</v>
      </c>
      <c r="E342" s="64">
        <f>datos_base!$H$71*'Parametros Recargas'!F$39*'Parametros Recargas'!$Q$39</f>
        <v>33.17784028</v>
      </c>
      <c r="F342" s="64">
        <f>datos_base!$H$71*'Parametros Recargas'!G$39*'Parametros Recargas'!$Q$39</f>
        <v>33.17784028</v>
      </c>
      <c r="G342" s="64">
        <f>datos_base!$H$71*'Parametros Recargas'!H$39*'Parametros Recargas'!$Q$39</f>
        <v>31.22620261</v>
      </c>
      <c r="H342" s="64">
        <f>datos_base!$H$71*'Parametros Recargas'!I$39*'Parametros Recargas'!$Q$39</f>
        <v>29.27456495</v>
      </c>
      <c r="I342" s="64">
        <f>datos_base!$H$71*'Parametros Recargas'!J$39*'Parametros Recargas'!$Q$39</f>
        <v>35.12947794</v>
      </c>
      <c r="J342" s="64">
        <f>datos_base!$H$71*'Parametros Recargas'!K$39*'Parametros Recargas'!$Q$39</f>
        <v>31.22620261</v>
      </c>
      <c r="K342" s="64">
        <f>datos_base!$H$71*'Parametros Recargas'!L$39*'Parametros Recargas'!$Q$39</f>
        <v>31.22620261</v>
      </c>
      <c r="L342" s="64">
        <f>datos_base!$H$71*'Parametros Recargas'!M$39*'Parametros Recargas'!$Q$39</f>
        <v>31.22620261</v>
      </c>
      <c r="M342" s="64">
        <f>datos_base!$H$71*'Parametros Recargas'!N$39*'Parametros Recargas'!$Q$39</f>
        <v>29.27456495</v>
      </c>
      <c r="N342" s="64">
        <f>datos_base!$H$71*'Parametros Recargas'!O$39*'Parametros Recargas'!$Q$39</f>
        <v>35.12947794</v>
      </c>
      <c r="O342" s="84">
        <f t="shared" si="223"/>
        <v>390.3275327</v>
      </c>
    </row>
    <row r="343" ht="15.75" customHeight="1">
      <c r="A343" s="30" t="str">
        <f>datos_base!$A$72</f>
        <v>ABC 100 kg s/ruedas</v>
      </c>
      <c r="B343" s="139" t="s">
        <v>379</v>
      </c>
      <c r="C343" s="64">
        <f>datos_base!$H$72*'Parametros Recargas'!D$40*'Parametros Recargas'!$Q$40</f>
        <v>26.09031403</v>
      </c>
      <c r="D343" s="64">
        <f>datos_base!$H$72*'Parametros Recargas'!E$40*'Parametros Recargas'!$Q$40</f>
        <v>20.87225122</v>
      </c>
      <c r="E343" s="64">
        <f>datos_base!$H$72*'Parametros Recargas'!F$40*'Parametros Recargas'!$Q$40</f>
        <v>22.17676692</v>
      </c>
      <c r="F343" s="64">
        <f>datos_base!$H$72*'Parametros Recargas'!G$40*'Parametros Recargas'!$Q$40</f>
        <v>22.17676692</v>
      </c>
      <c r="G343" s="64">
        <f>datos_base!$H$72*'Parametros Recargas'!H$40*'Parametros Recargas'!$Q$40</f>
        <v>20.87225122</v>
      </c>
      <c r="H343" s="64">
        <f>datos_base!$H$72*'Parametros Recargas'!I$40*'Parametros Recargas'!$Q$40</f>
        <v>19.56773552</v>
      </c>
      <c r="I343" s="64">
        <f>datos_base!$H$72*'Parametros Recargas'!J$40*'Parametros Recargas'!$Q$40</f>
        <v>23.48128262</v>
      </c>
      <c r="J343" s="64">
        <f>datos_base!$H$72*'Parametros Recargas'!K$40*'Parametros Recargas'!$Q$40</f>
        <v>20.87225122</v>
      </c>
      <c r="K343" s="64">
        <f>datos_base!$H$72*'Parametros Recargas'!L$40*'Parametros Recargas'!$Q$40</f>
        <v>20.87225122</v>
      </c>
      <c r="L343" s="64">
        <f>datos_base!$H$72*'Parametros Recargas'!M$40*'Parametros Recargas'!$Q$40</f>
        <v>20.87225122</v>
      </c>
      <c r="M343" s="64">
        <f>datos_base!$H$72*'Parametros Recargas'!N$40*'Parametros Recargas'!$Q$40</f>
        <v>19.56773552</v>
      </c>
      <c r="N343" s="64">
        <f>datos_base!$H$72*'Parametros Recargas'!O$40*'Parametros Recargas'!$Q$40</f>
        <v>23.48128262</v>
      </c>
      <c r="O343" s="84">
        <f t="shared" si="223"/>
        <v>260.9031403</v>
      </c>
    </row>
    <row r="344" ht="15.75" customHeight="1">
      <c r="A344" s="30" t="str">
        <f>datos_base!$A$62</f>
        <v>BC 5 kg</v>
      </c>
      <c r="B344" s="139" t="s">
        <v>398</v>
      </c>
      <c r="C344" s="64">
        <f>datos_base!$H$62*'Parametros Recargas'!D$41*'Parametros Recargas'!$Q$41</f>
        <v>11.37085733</v>
      </c>
      <c r="D344" s="64">
        <f>datos_base!$H$62*'Parametros Recargas'!E$41*'Parametros Recargas'!$Q$41</f>
        <v>10.10742874</v>
      </c>
      <c r="E344" s="64">
        <f>datos_base!$H$62*'Parametros Recargas'!F$41*'Parametros Recargas'!$Q$41</f>
        <v>10.73914304</v>
      </c>
      <c r="F344" s="64">
        <f>datos_base!$H$62*'Parametros Recargas'!G$41*'Parametros Recargas'!$Q$41</f>
        <v>10.10742874</v>
      </c>
      <c r="G344" s="64">
        <f>datos_base!$H$62*'Parametros Recargas'!H$41*'Parametros Recargas'!$Q$41</f>
        <v>9.475714444</v>
      </c>
      <c r="H344" s="64">
        <f>datos_base!$H$62*'Parametros Recargas'!I$41*'Parametros Recargas'!$Q$41</f>
        <v>8.844000148</v>
      </c>
      <c r="I344" s="64">
        <f>datos_base!$H$62*'Parametros Recargas'!J$41*'Parametros Recargas'!$Q$41</f>
        <v>10.10742874</v>
      </c>
      <c r="J344" s="64">
        <f>datos_base!$H$62*'Parametros Recargas'!K$41*'Parametros Recargas'!$Q$41</f>
        <v>10.73914304</v>
      </c>
      <c r="K344" s="64">
        <f>datos_base!$H$62*'Parametros Recargas'!L$41*'Parametros Recargas'!$Q$41</f>
        <v>10.73914304</v>
      </c>
      <c r="L344" s="64">
        <f>datos_base!$H$62*'Parametros Recargas'!M$41*'Parametros Recargas'!$Q$41</f>
        <v>10.10742874</v>
      </c>
      <c r="M344" s="64">
        <f>datos_base!$H$62*'Parametros Recargas'!N$41*'Parametros Recargas'!$Q$41</f>
        <v>10.10742874</v>
      </c>
      <c r="N344" s="64">
        <f>datos_base!$H$62*'Parametros Recargas'!O$41*'Parametros Recargas'!$Q$41</f>
        <v>13.89771452</v>
      </c>
      <c r="O344" s="84">
        <f t="shared" si="223"/>
        <v>126.3428593</v>
      </c>
    </row>
    <row r="345" ht="15.75" customHeight="1">
      <c r="A345" s="30" t="str">
        <f>datos_base!$A$68</f>
        <v>Clase D 9 l</v>
      </c>
      <c r="B345" s="139" t="s">
        <v>402</v>
      </c>
      <c r="C345" s="64">
        <f>datos_base!$H$68*'Parametros Recargas'!D$42*'Parametros Recargas'!$Q$42</f>
        <v>10.10742874</v>
      </c>
      <c r="D345" s="64">
        <f>datos_base!$H$68*'Parametros Recargas'!E$42*'Parametros Recargas'!$Q$42</f>
        <v>8.984381103</v>
      </c>
      <c r="E345" s="64">
        <f>datos_base!$H$68*'Parametros Recargas'!F$42*'Parametros Recargas'!$Q$42</f>
        <v>9.545904922</v>
      </c>
      <c r="F345" s="64">
        <f>datos_base!$H$68*'Parametros Recargas'!G$42*'Parametros Recargas'!$Q$42</f>
        <v>8.984381103</v>
      </c>
      <c r="G345" s="64">
        <f>datos_base!$H$68*'Parametros Recargas'!H$42*'Parametros Recargas'!$Q$42</f>
        <v>8.422857284</v>
      </c>
      <c r="H345" s="64">
        <f>datos_base!$H$68*'Parametros Recargas'!I$42*'Parametros Recargas'!$Q$42</f>
        <v>7.861333465</v>
      </c>
      <c r="I345" s="64">
        <f>datos_base!$H$68*'Parametros Recargas'!J$42*'Parametros Recargas'!$Q$42</f>
        <v>8.984381103</v>
      </c>
      <c r="J345" s="64">
        <f>datos_base!$H$68*'Parametros Recargas'!K$42*'Parametros Recargas'!$Q$42</f>
        <v>9.545904922</v>
      </c>
      <c r="K345" s="64">
        <f>datos_base!$H$68*'Parametros Recargas'!L$42*'Parametros Recargas'!$Q$42</f>
        <v>9.545904922</v>
      </c>
      <c r="L345" s="64">
        <f>datos_base!$H$68*'Parametros Recargas'!M$42*'Parametros Recargas'!$Q$42</f>
        <v>8.984381103</v>
      </c>
      <c r="M345" s="64">
        <f>datos_base!$H$68*'Parametros Recargas'!N$42*'Parametros Recargas'!$Q$42</f>
        <v>8.984381103</v>
      </c>
      <c r="N345" s="64">
        <f>datos_base!$H$68*'Parametros Recargas'!O$42*'Parametros Recargas'!$Q$42</f>
        <v>12.35352402</v>
      </c>
      <c r="O345" s="84">
        <f t="shared" si="223"/>
        <v>112.3047638</v>
      </c>
    </row>
    <row r="346" ht="15.75" customHeight="1">
      <c r="A346" s="30" t="str">
        <f>datos_base!$A$59</f>
        <v>Agua 10 l</v>
      </c>
      <c r="B346" s="139" t="s">
        <v>407</v>
      </c>
      <c r="C346" s="64">
        <f>datos_base!$H$59*'Parametros Recargas'!D$43*'Parametros Recargas'!$Q$43</f>
        <v>201.5014529</v>
      </c>
      <c r="D346" s="64">
        <f>datos_base!$H$59*'Parametros Recargas'!E$43*'Parametros Recargas'!$Q$43</f>
        <v>179.1124025</v>
      </c>
      <c r="E346" s="64">
        <f>datos_base!$H$59*'Parametros Recargas'!F$43*'Parametros Recargas'!$Q$43</f>
        <v>190.3069277</v>
      </c>
      <c r="F346" s="64">
        <f>datos_base!$H$59*'Parametros Recargas'!G$43*'Parametros Recargas'!$Q$43</f>
        <v>179.1124025</v>
      </c>
      <c r="G346" s="64">
        <f>datos_base!$H$59*'Parametros Recargas'!H$43*'Parametros Recargas'!$Q$43</f>
        <v>167.9178774</v>
      </c>
      <c r="H346" s="64">
        <f>datos_base!$H$59*'Parametros Recargas'!I$43*'Parametros Recargas'!$Q$43</f>
        <v>156.7233522</v>
      </c>
      <c r="I346" s="64">
        <f>datos_base!$H$59*'Parametros Recargas'!J$43*'Parametros Recargas'!$Q$43</f>
        <v>179.1124025</v>
      </c>
      <c r="J346" s="64">
        <f>datos_base!$H$59*'Parametros Recargas'!K$43*'Parametros Recargas'!$Q$43</f>
        <v>190.3069277</v>
      </c>
      <c r="K346" s="64">
        <f>datos_base!$H$59*'Parametros Recargas'!L$43*'Parametros Recargas'!$Q$43</f>
        <v>190.3069277</v>
      </c>
      <c r="L346" s="64">
        <f>datos_base!$H$59*'Parametros Recargas'!M$43*'Parametros Recargas'!$Q$43</f>
        <v>179.1124025</v>
      </c>
      <c r="M346" s="64">
        <f>datos_base!$H$59*'Parametros Recargas'!N$43*'Parametros Recargas'!$Q$43</f>
        <v>179.1124025</v>
      </c>
      <c r="N346" s="64">
        <f>datos_base!$H$59*'Parametros Recargas'!O$43*'Parametros Recargas'!$Q$43</f>
        <v>246.2795535</v>
      </c>
      <c r="O346" s="84">
        <f t="shared" si="223"/>
        <v>2238.905032</v>
      </c>
    </row>
    <row r="347" ht="15.75" customHeight="1">
      <c r="A347" s="30" t="str">
        <f>datos_base!$A$60</f>
        <v>AFFF 10 l</v>
      </c>
      <c r="B347" s="139" t="s">
        <v>407</v>
      </c>
      <c r="C347" s="64">
        <f>datos_base!$H$60*'Parametros Recargas'!D$44*'Parametros Recargas'!$Q$44</f>
        <v>36.82432117</v>
      </c>
      <c r="D347" s="64">
        <f>datos_base!$H$60*'Parametros Recargas'!E$44*'Parametros Recargas'!$Q$44</f>
        <v>32.73272993</v>
      </c>
      <c r="E347" s="64">
        <f>datos_base!$H$60*'Parametros Recargas'!F$44*'Parametros Recargas'!$Q$44</f>
        <v>34.77852555</v>
      </c>
      <c r="F347" s="64">
        <f>datos_base!$H$60*'Parametros Recargas'!G$44*'Parametros Recargas'!$Q$44</f>
        <v>32.73272993</v>
      </c>
      <c r="G347" s="64">
        <f>datos_base!$H$60*'Parametros Recargas'!H$44*'Parametros Recargas'!$Q$44</f>
        <v>30.68693431</v>
      </c>
      <c r="H347" s="64">
        <f>datos_base!$H$60*'Parametros Recargas'!I$44*'Parametros Recargas'!$Q$44</f>
        <v>28.64113869</v>
      </c>
      <c r="I347" s="64">
        <f>datos_base!$H$60*'Parametros Recargas'!J$44*'Parametros Recargas'!$Q$44</f>
        <v>32.73272993</v>
      </c>
      <c r="J347" s="64">
        <f>datos_base!$H$60*'Parametros Recargas'!K$44*'Parametros Recargas'!$Q$44</f>
        <v>34.77852555</v>
      </c>
      <c r="K347" s="64">
        <f>datos_base!$H$60*'Parametros Recargas'!L$44*'Parametros Recargas'!$Q$44</f>
        <v>34.77852555</v>
      </c>
      <c r="L347" s="64">
        <f>datos_base!$H$60*'Parametros Recargas'!M$44*'Parametros Recargas'!$Q$44</f>
        <v>32.73272993</v>
      </c>
      <c r="M347" s="64">
        <f>datos_base!$H$60*'Parametros Recargas'!N$44*'Parametros Recargas'!$Q$44</f>
        <v>32.73272993</v>
      </c>
      <c r="N347" s="64">
        <f>datos_base!$H$60*'Parametros Recargas'!O$44*'Parametros Recargas'!$Q$44</f>
        <v>45.00750366</v>
      </c>
      <c r="O347" s="84">
        <f t="shared" si="223"/>
        <v>409.1591242</v>
      </c>
    </row>
    <row r="348" ht="15.75" customHeight="1">
      <c r="A348" s="30" t="str">
        <f>datos_base!$A$63</f>
        <v>Sales K 6 l</v>
      </c>
      <c r="B348" s="139" t="s">
        <v>407</v>
      </c>
      <c r="C348" s="64">
        <f>datos_base!$H$63*'Parametros Recargas'!D$45*'Parametros Recargas'!$Q$45</f>
        <v>98.54743022</v>
      </c>
      <c r="D348" s="64">
        <f>datos_base!$H$63*'Parametros Recargas'!E$45*'Parametros Recargas'!$Q$45</f>
        <v>87.59771575</v>
      </c>
      <c r="E348" s="64">
        <f>datos_base!$H$63*'Parametros Recargas'!F$45*'Parametros Recargas'!$Q$45</f>
        <v>93.07257299</v>
      </c>
      <c r="F348" s="64">
        <f>datos_base!$H$63*'Parametros Recargas'!G$45*'Parametros Recargas'!$Q$45</f>
        <v>87.59771575</v>
      </c>
      <c r="G348" s="64">
        <f>datos_base!$H$63*'Parametros Recargas'!H$45*'Parametros Recargas'!$Q$45</f>
        <v>82.12285852</v>
      </c>
      <c r="H348" s="64">
        <f>datos_base!$H$63*'Parametros Recargas'!I$45*'Parametros Recargas'!$Q$45</f>
        <v>76.64800128</v>
      </c>
      <c r="I348" s="64">
        <f>datos_base!$H$63*'Parametros Recargas'!J$45*'Parametros Recargas'!$Q$45</f>
        <v>87.59771575</v>
      </c>
      <c r="J348" s="64">
        <f>datos_base!$H$63*'Parametros Recargas'!K$45*'Parametros Recargas'!$Q$45</f>
        <v>93.07257299</v>
      </c>
      <c r="K348" s="64">
        <f>datos_base!$H$63*'Parametros Recargas'!L$45*'Parametros Recargas'!$Q$45</f>
        <v>93.07257299</v>
      </c>
      <c r="L348" s="64">
        <f>datos_base!$H$63*'Parametros Recargas'!M$45*'Parametros Recargas'!$Q$45</f>
        <v>87.59771575</v>
      </c>
      <c r="M348" s="64">
        <f>datos_base!$H$63*'Parametros Recargas'!N$45*'Parametros Recargas'!$Q$45</f>
        <v>87.59771575</v>
      </c>
      <c r="N348" s="64">
        <f>datos_base!$H$63*'Parametros Recargas'!O$45*'Parametros Recargas'!$Q$45</f>
        <v>120.4468592</v>
      </c>
      <c r="O348" s="84">
        <f t="shared" si="223"/>
        <v>1094.971447</v>
      </c>
    </row>
    <row r="349" ht="15.75" customHeight="1">
      <c r="A349" s="30" t="str">
        <f>datos_base!$A$61</f>
        <v>AFFF 50 l s/ruedas</v>
      </c>
      <c r="B349" s="139" t="s">
        <v>407</v>
      </c>
      <c r="C349" s="64">
        <f>datos_base!$H$61*'Parametros Recargas'!D$46*'Parametros Recargas'!$Q$46</f>
        <v>64.60947843</v>
      </c>
      <c r="D349" s="64">
        <f>datos_base!$H$61*'Parametros Recargas'!E$46*'Parametros Recargas'!$Q$46</f>
        <v>51.68758275</v>
      </c>
      <c r="E349" s="64">
        <f>datos_base!$H$61*'Parametros Recargas'!F$46*'Parametros Recargas'!$Q$46</f>
        <v>54.91805667</v>
      </c>
      <c r="F349" s="64">
        <f>datos_base!$H$61*'Parametros Recargas'!G$46*'Parametros Recargas'!$Q$46</f>
        <v>54.91805667</v>
      </c>
      <c r="G349" s="64">
        <f>datos_base!$H$61*'Parametros Recargas'!H$46*'Parametros Recargas'!$Q$46</f>
        <v>51.68758275</v>
      </c>
      <c r="H349" s="64">
        <f>datos_base!$H$61*'Parametros Recargas'!I$46*'Parametros Recargas'!$Q$46</f>
        <v>48.45710883</v>
      </c>
      <c r="I349" s="64">
        <f>datos_base!$H$61*'Parametros Recargas'!J$46*'Parametros Recargas'!$Q$46</f>
        <v>58.14853059</v>
      </c>
      <c r="J349" s="64">
        <f>datos_base!$H$61*'Parametros Recargas'!K$46*'Parametros Recargas'!$Q$46</f>
        <v>51.68758275</v>
      </c>
      <c r="K349" s="64">
        <f>datos_base!$H$61*'Parametros Recargas'!L$46*'Parametros Recargas'!$Q$46</f>
        <v>51.68758275</v>
      </c>
      <c r="L349" s="64">
        <f>datos_base!$H$61*'Parametros Recargas'!M$46*'Parametros Recargas'!$Q$46</f>
        <v>51.68758275</v>
      </c>
      <c r="M349" s="64">
        <f>datos_base!$H$61*'Parametros Recargas'!N$46*'Parametros Recargas'!$Q$46</f>
        <v>48.45710883</v>
      </c>
      <c r="N349" s="64">
        <f>datos_base!$H$61*'Parametros Recargas'!O$46*'Parametros Recargas'!$Q$46</f>
        <v>58.14853059</v>
      </c>
      <c r="O349" s="84">
        <f t="shared" si="223"/>
        <v>646.0947843</v>
      </c>
    </row>
    <row r="350" ht="15.75" customHeight="1">
      <c r="A350" s="30" t="str">
        <f>datos_base!$A$64</f>
        <v>CO₂ 2 kg</v>
      </c>
      <c r="B350" s="139" t="s">
        <v>418</v>
      </c>
      <c r="C350" s="64">
        <f>datos_base!$H$64*'Parametros Recargas'!D$47*'Parametros Recargas'!$Q$47</f>
        <v>546.8488733</v>
      </c>
      <c r="D350" s="64">
        <f>datos_base!$H$64*'Parametros Recargas'!E$47*'Parametros Recargas'!$Q$47</f>
        <v>486.0878874</v>
      </c>
      <c r="E350" s="64">
        <f>datos_base!$H$64*'Parametros Recargas'!F$47*'Parametros Recargas'!$Q$47</f>
        <v>516.4683803</v>
      </c>
      <c r="F350" s="64">
        <f>datos_base!$H$64*'Parametros Recargas'!G$47*'Parametros Recargas'!$Q$47</f>
        <v>486.0878874</v>
      </c>
      <c r="G350" s="64">
        <f>datos_base!$H$64*'Parametros Recargas'!H$47*'Parametros Recargas'!$Q$47</f>
        <v>455.7073944</v>
      </c>
      <c r="H350" s="64">
        <f>datos_base!$H$64*'Parametros Recargas'!I$47*'Parametros Recargas'!$Q$47</f>
        <v>425.3269014</v>
      </c>
      <c r="I350" s="64">
        <f>datos_base!$H$64*'Parametros Recargas'!J$47*'Parametros Recargas'!$Q$47</f>
        <v>486.0878874</v>
      </c>
      <c r="J350" s="64">
        <f>datos_base!$H$64*'Parametros Recargas'!K$47*'Parametros Recargas'!$Q$47</f>
        <v>516.4683803</v>
      </c>
      <c r="K350" s="64">
        <f>datos_base!$H$64*'Parametros Recargas'!L$47*'Parametros Recargas'!$Q$47</f>
        <v>516.4683803</v>
      </c>
      <c r="L350" s="64">
        <f>datos_base!$H$64*'Parametros Recargas'!M$47*'Parametros Recargas'!$Q$47</f>
        <v>486.0878874</v>
      </c>
      <c r="M350" s="64">
        <f>datos_base!$H$64*'Parametros Recargas'!N$47*'Parametros Recargas'!$Q$47</f>
        <v>486.0878874</v>
      </c>
      <c r="N350" s="64">
        <f>datos_base!$H$64*'Parametros Recargas'!O$47*'Parametros Recargas'!$Q$47</f>
        <v>668.3708451</v>
      </c>
      <c r="O350" s="84">
        <f t="shared" si="223"/>
        <v>6076.098592</v>
      </c>
    </row>
    <row r="351" ht="15.75" customHeight="1">
      <c r="A351" s="30" t="str">
        <f>datos_base!$A$65</f>
        <v>CO₂ 5 kg</v>
      </c>
      <c r="B351" s="139" t="s">
        <v>418</v>
      </c>
      <c r="C351" s="64">
        <f>datos_base!$H$65*'Parametros Recargas'!D$48*'Parametros Recargas'!$Q$48</f>
        <v>180.3929508</v>
      </c>
      <c r="D351" s="64">
        <f>datos_base!$H$65*'Parametros Recargas'!E$48*'Parametros Recargas'!$Q$48</f>
        <v>160.3492896</v>
      </c>
      <c r="E351" s="64">
        <f>datos_base!$H$65*'Parametros Recargas'!F$48*'Parametros Recargas'!$Q$48</f>
        <v>170.3711202</v>
      </c>
      <c r="F351" s="64">
        <f>datos_base!$H$65*'Parametros Recargas'!G$48*'Parametros Recargas'!$Q$48</f>
        <v>160.3492896</v>
      </c>
      <c r="G351" s="64">
        <f>datos_base!$H$65*'Parametros Recargas'!H$48*'Parametros Recargas'!$Q$48</f>
        <v>150.327459</v>
      </c>
      <c r="H351" s="64">
        <f>datos_base!$H$65*'Parametros Recargas'!I$48*'Parametros Recargas'!$Q$48</f>
        <v>140.3056284</v>
      </c>
      <c r="I351" s="64">
        <f>datos_base!$H$65*'Parametros Recargas'!J$48*'Parametros Recargas'!$Q$48</f>
        <v>160.3492896</v>
      </c>
      <c r="J351" s="64">
        <f>datos_base!$H$65*'Parametros Recargas'!K$48*'Parametros Recargas'!$Q$48</f>
        <v>170.3711202</v>
      </c>
      <c r="K351" s="64">
        <f>datos_base!$H$65*'Parametros Recargas'!L$48*'Parametros Recargas'!$Q$48</f>
        <v>170.3711202</v>
      </c>
      <c r="L351" s="64">
        <f>datos_base!$H$65*'Parametros Recargas'!M$48*'Parametros Recargas'!$Q$48</f>
        <v>160.3492896</v>
      </c>
      <c r="M351" s="64">
        <f>datos_base!$H$65*'Parametros Recargas'!N$48*'Parametros Recargas'!$Q$48</f>
        <v>160.3492896</v>
      </c>
      <c r="N351" s="64">
        <f>datos_base!$H$65*'Parametros Recargas'!O$48*'Parametros Recargas'!$Q$48</f>
        <v>220.4802731</v>
      </c>
      <c r="O351" s="84">
        <f t="shared" si="223"/>
        <v>2004.36612</v>
      </c>
    </row>
    <row r="352" ht="15.75" customHeight="1">
      <c r="A352" s="30" t="str">
        <f>datos_base!$A$67</f>
        <v>HCFC/HFC 5 kg</v>
      </c>
      <c r="B352" s="139" t="s">
        <v>422</v>
      </c>
      <c r="C352" s="64">
        <f>datos_base!$H$67*'Parametros Recargas'!D$49*'Parametros Recargas'!$Q$49</f>
        <v>29.12048829</v>
      </c>
      <c r="D352" s="64">
        <f>datos_base!$H$67*'Parametros Recargas'!E$49*'Parametros Recargas'!$Q$49</f>
        <v>25.88487848</v>
      </c>
      <c r="E352" s="64">
        <f>datos_base!$H$67*'Parametros Recargas'!F$49*'Parametros Recargas'!$Q$49</f>
        <v>27.50268339</v>
      </c>
      <c r="F352" s="64">
        <f>datos_base!$H$67*'Parametros Recargas'!G$49*'Parametros Recargas'!$Q$49</f>
        <v>25.88487848</v>
      </c>
      <c r="G352" s="64">
        <f>datos_base!$H$67*'Parametros Recargas'!H$49*'Parametros Recargas'!$Q$49</f>
        <v>24.26707358</v>
      </c>
      <c r="H352" s="64">
        <f>datos_base!$H$67*'Parametros Recargas'!I$49*'Parametros Recargas'!$Q$49</f>
        <v>22.64926867</v>
      </c>
      <c r="I352" s="64">
        <f>datos_base!$H$67*'Parametros Recargas'!J$49*'Parametros Recargas'!$Q$49</f>
        <v>25.88487848</v>
      </c>
      <c r="J352" s="64">
        <f>datos_base!$H$67*'Parametros Recargas'!K$49*'Parametros Recargas'!$Q$49</f>
        <v>27.50268339</v>
      </c>
      <c r="K352" s="64">
        <f>datos_base!$H$67*'Parametros Recargas'!L$49*'Parametros Recargas'!$Q$49</f>
        <v>27.50268339</v>
      </c>
      <c r="L352" s="64">
        <f>datos_base!$H$67*'Parametros Recargas'!M$49*'Parametros Recargas'!$Q$49</f>
        <v>25.88487848</v>
      </c>
      <c r="M352" s="64">
        <f>datos_base!$H$67*'Parametros Recargas'!N$49*'Parametros Recargas'!$Q$49</f>
        <v>25.88487848</v>
      </c>
      <c r="N352" s="64">
        <f>datos_base!$H$67*'Parametros Recargas'!O$49*'Parametros Recargas'!$Q$49</f>
        <v>35.59170791</v>
      </c>
      <c r="O352" s="84">
        <f t="shared" si="223"/>
        <v>323.560981</v>
      </c>
    </row>
    <row r="353" ht="15.75" customHeight="1">
      <c r="A353" s="29" t="s">
        <v>426</v>
      </c>
      <c r="B353" s="29"/>
      <c r="C353" s="29" t="s">
        <v>109</v>
      </c>
      <c r="D353" s="29" t="s">
        <v>110</v>
      </c>
      <c r="E353" s="29" t="s">
        <v>111</v>
      </c>
      <c r="F353" s="29" t="s">
        <v>112</v>
      </c>
      <c r="G353" s="29" t="s">
        <v>113</v>
      </c>
      <c r="H353" s="29" t="s">
        <v>114</v>
      </c>
      <c r="I353" s="29" t="s">
        <v>115</v>
      </c>
      <c r="J353" s="29" t="s">
        <v>116</v>
      </c>
      <c r="K353" s="29" t="s">
        <v>117</v>
      </c>
      <c r="L353" s="29" t="s">
        <v>118</v>
      </c>
      <c r="M353" s="29" t="s">
        <v>119</v>
      </c>
      <c r="N353" s="29" t="s">
        <v>120</v>
      </c>
      <c r="O353" s="29" t="s">
        <v>15</v>
      </c>
    </row>
    <row r="354" ht="15.75" customHeight="1">
      <c r="A354" s="73" t="s">
        <v>379</v>
      </c>
      <c r="B354" s="118" t="s">
        <v>431</v>
      </c>
      <c r="C354" s="64">
        <f t="shared" ref="C354:N354" si="224">SUM(C336:C343)</f>
        <v>8343.9221</v>
      </c>
      <c r="D354" s="64">
        <f t="shared" si="224"/>
        <v>6837.545434</v>
      </c>
      <c r="E354" s="64">
        <f t="shared" si="224"/>
        <v>7018.506756</v>
      </c>
      <c r="F354" s="64">
        <f t="shared" si="224"/>
        <v>6853.826201</v>
      </c>
      <c r="G354" s="64">
        <f t="shared" si="224"/>
        <v>6672.864878</v>
      </c>
      <c r="H354" s="64">
        <f t="shared" si="224"/>
        <v>6491.903556</v>
      </c>
      <c r="I354" s="64">
        <f t="shared" si="224"/>
        <v>6870.106968</v>
      </c>
      <c r="J354" s="64">
        <f t="shared" si="224"/>
        <v>7002.22599</v>
      </c>
      <c r="K354" s="64">
        <f t="shared" si="224"/>
        <v>7002.22599</v>
      </c>
      <c r="L354" s="64">
        <f t="shared" si="224"/>
        <v>6837.545434</v>
      </c>
      <c r="M354" s="64">
        <f t="shared" si="224"/>
        <v>6821.264667</v>
      </c>
      <c r="N354" s="64">
        <f t="shared" si="224"/>
        <v>9980.894142</v>
      </c>
      <c r="O354" s="84">
        <f t="shared" ref="O354:O359" si="226">SUM(C354:N354)</f>
        <v>86732.83211</v>
      </c>
    </row>
    <row r="355" ht="15.75" customHeight="1">
      <c r="A355" s="73" t="s">
        <v>398</v>
      </c>
      <c r="B355" s="118" t="s">
        <v>431</v>
      </c>
      <c r="C355" s="64">
        <f t="shared" ref="C355:N355" si="225">SUM(C344)</f>
        <v>11.37085733</v>
      </c>
      <c r="D355" s="64">
        <f t="shared" si="225"/>
        <v>10.10742874</v>
      </c>
      <c r="E355" s="64">
        <f t="shared" si="225"/>
        <v>10.73914304</v>
      </c>
      <c r="F355" s="64">
        <f t="shared" si="225"/>
        <v>10.10742874</v>
      </c>
      <c r="G355" s="64">
        <f t="shared" si="225"/>
        <v>9.475714444</v>
      </c>
      <c r="H355" s="64">
        <f t="shared" si="225"/>
        <v>8.844000148</v>
      </c>
      <c r="I355" s="64">
        <f t="shared" si="225"/>
        <v>10.10742874</v>
      </c>
      <c r="J355" s="64">
        <f t="shared" si="225"/>
        <v>10.73914304</v>
      </c>
      <c r="K355" s="64">
        <f t="shared" si="225"/>
        <v>10.73914304</v>
      </c>
      <c r="L355" s="64">
        <f t="shared" si="225"/>
        <v>10.10742874</v>
      </c>
      <c r="M355" s="64">
        <f t="shared" si="225"/>
        <v>10.10742874</v>
      </c>
      <c r="N355" s="64">
        <f t="shared" si="225"/>
        <v>13.89771452</v>
      </c>
      <c r="O355" s="84">
        <f t="shared" si="226"/>
        <v>126.3428593</v>
      </c>
    </row>
    <row r="356" ht="15.75" customHeight="1">
      <c r="A356" s="73" t="s">
        <v>402</v>
      </c>
      <c r="B356" s="118" t="s">
        <v>431</v>
      </c>
      <c r="C356" s="64">
        <f t="shared" ref="C356:N356" si="227">SUM(C345)</f>
        <v>10.10742874</v>
      </c>
      <c r="D356" s="64">
        <f t="shared" si="227"/>
        <v>8.984381103</v>
      </c>
      <c r="E356" s="64">
        <f t="shared" si="227"/>
        <v>9.545904922</v>
      </c>
      <c r="F356" s="64">
        <f t="shared" si="227"/>
        <v>8.984381103</v>
      </c>
      <c r="G356" s="64">
        <f t="shared" si="227"/>
        <v>8.422857284</v>
      </c>
      <c r="H356" s="64">
        <f t="shared" si="227"/>
        <v>7.861333465</v>
      </c>
      <c r="I356" s="64">
        <f t="shared" si="227"/>
        <v>8.984381103</v>
      </c>
      <c r="J356" s="64">
        <f t="shared" si="227"/>
        <v>9.545904922</v>
      </c>
      <c r="K356" s="64">
        <f t="shared" si="227"/>
        <v>9.545904922</v>
      </c>
      <c r="L356" s="64">
        <f t="shared" si="227"/>
        <v>8.984381103</v>
      </c>
      <c r="M356" s="64">
        <f t="shared" si="227"/>
        <v>8.984381103</v>
      </c>
      <c r="N356" s="64">
        <f t="shared" si="227"/>
        <v>12.35352402</v>
      </c>
      <c r="O356" s="84">
        <f t="shared" si="226"/>
        <v>112.3047638</v>
      </c>
    </row>
    <row r="357" ht="15.75" customHeight="1">
      <c r="A357" s="73" t="s">
        <v>407</v>
      </c>
      <c r="B357" s="118" t="s">
        <v>431</v>
      </c>
      <c r="C357" s="64">
        <f t="shared" ref="C357:N357" si="228">SUM(C346:C349)</f>
        <v>401.4826827</v>
      </c>
      <c r="D357" s="64">
        <f t="shared" si="228"/>
        <v>351.130431</v>
      </c>
      <c r="E357" s="64">
        <f t="shared" si="228"/>
        <v>373.0760829</v>
      </c>
      <c r="F357" s="64">
        <f t="shared" si="228"/>
        <v>354.3609049</v>
      </c>
      <c r="G357" s="64">
        <f t="shared" si="228"/>
        <v>332.415253</v>
      </c>
      <c r="H357" s="64">
        <f t="shared" si="228"/>
        <v>310.469601</v>
      </c>
      <c r="I357" s="64">
        <f t="shared" si="228"/>
        <v>357.5913788</v>
      </c>
      <c r="J357" s="64">
        <f t="shared" si="228"/>
        <v>369.845609</v>
      </c>
      <c r="K357" s="64">
        <f t="shared" si="228"/>
        <v>369.845609</v>
      </c>
      <c r="L357" s="64">
        <f t="shared" si="228"/>
        <v>351.130431</v>
      </c>
      <c r="M357" s="64">
        <f t="shared" si="228"/>
        <v>347.899957</v>
      </c>
      <c r="N357" s="64">
        <f t="shared" si="228"/>
        <v>469.8824469</v>
      </c>
      <c r="O357" s="84">
        <f t="shared" si="226"/>
        <v>4389.130387</v>
      </c>
    </row>
    <row r="358" ht="15.75" customHeight="1">
      <c r="A358" s="73" t="s">
        <v>418</v>
      </c>
      <c r="B358" s="118" t="s">
        <v>431</v>
      </c>
      <c r="C358" s="64">
        <f t="shared" ref="C358:N358" si="229">SUM(C350:C351)</f>
        <v>727.241824</v>
      </c>
      <c r="D358" s="64">
        <f t="shared" si="229"/>
        <v>646.4371769</v>
      </c>
      <c r="E358" s="64">
        <f t="shared" si="229"/>
        <v>686.8395005</v>
      </c>
      <c r="F358" s="64">
        <f t="shared" si="229"/>
        <v>646.4371769</v>
      </c>
      <c r="G358" s="64">
        <f t="shared" si="229"/>
        <v>606.0348534</v>
      </c>
      <c r="H358" s="64">
        <f t="shared" si="229"/>
        <v>565.6325298</v>
      </c>
      <c r="I358" s="64">
        <f t="shared" si="229"/>
        <v>646.4371769</v>
      </c>
      <c r="J358" s="64">
        <f t="shared" si="229"/>
        <v>686.8395005</v>
      </c>
      <c r="K358" s="64">
        <f t="shared" si="229"/>
        <v>686.8395005</v>
      </c>
      <c r="L358" s="64">
        <f t="shared" si="229"/>
        <v>646.4371769</v>
      </c>
      <c r="M358" s="64">
        <f t="shared" si="229"/>
        <v>646.4371769</v>
      </c>
      <c r="N358" s="64">
        <f t="shared" si="229"/>
        <v>888.8511183</v>
      </c>
      <c r="O358" s="84">
        <f t="shared" si="226"/>
        <v>8080.464711</v>
      </c>
    </row>
    <row r="359" ht="15.75" customHeight="1">
      <c r="A359" s="73" t="s">
        <v>422</v>
      </c>
      <c r="B359" s="118" t="s">
        <v>431</v>
      </c>
      <c r="C359" s="64">
        <f t="shared" ref="C359:N359" si="230">SUM(C352)</f>
        <v>29.12048829</v>
      </c>
      <c r="D359" s="64">
        <f t="shared" si="230"/>
        <v>25.88487848</v>
      </c>
      <c r="E359" s="64">
        <f t="shared" si="230"/>
        <v>27.50268339</v>
      </c>
      <c r="F359" s="64">
        <f t="shared" si="230"/>
        <v>25.88487848</v>
      </c>
      <c r="G359" s="64">
        <f t="shared" si="230"/>
        <v>24.26707358</v>
      </c>
      <c r="H359" s="64">
        <f t="shared" si="230"/>
        <v>22.64926867</v>
      </c>
      <c r="I359" s="64">
        <f t="shared" si="230"/>
        <v>25.88487848</v>
      </c>
      <c r="J359" s="64">
        <f t="shared" si="230"/>
        <v>27.50268339</v>
      </c>
      <c r="K359" s="64">
        <f t="shared" si="230"/>
        <v>27.50268339</v>
      </c>
      <c r="L359" s="64">
        <f t="shared" si="230"/>
        <v>25.88487848</v>
      </c>
      <c r="M359" s="64">
        <f t="shared" si="230"/>
        <v>25.88487848</v>
      </c>
      <c r="N359" s="64">
        <f t="shared" si="230"/>
        <v>35.59170791</v>
      </c>
      <c r="O359" s="84">
        <f t="shared" si="226"/>
        <v>323.560981</v>
      </c>
    </row>
    <row r="360" ht="27.75" customHeight="1">
      <c r="A360" s="29" t="s">
        <v>446</v>
      </c>
      <c r="B360" s="29" t="s">
        <v>447</v>
      </c>
      <c r="C360" s="29" t="s">
        <v>109</v>
      </c>
      <c r="D360" s="29" t="s">
        <v>110</v>
      </c>
      <c r="E360" s="29" t="s">
        <v>111</v>
      </c>
      <c r="F360" s="29" t="s">
        <v>112</v>
      </c>
      <c r="G360" s="29" t="s">
        <v>113</v>
      </c>
      <c r="H360" s="29" t="s">
        <v>114</v>
      </c>
      <c r="I360" s="29" t="s">
        <v>115</v>
      </c>
      <c r="J360" s="29" t="s">
        <v>116</v>
      </c>
      <c r="K360" s="29" t="s">
        <v>117</v>
      </c>
      <c r="L360" s="29" t="s">
        <v>118</v>
      </c>
      <c r="M360" s="29" t="s">
        <v>119</v>
      </c>
      <c r="N360" s="29" t="s">
        <v>120</v>
      </c>
      <c r="O360" s="29" t="s">
        <v>448</v>
      </c>
      <c r="P360" s="29" t="s">
        <v>148</v>
      </c>
      <c r="Q360" s="29" t="s">
        <v>449</v>
      </c>
      <c r="R360" s="29" t="s">
        <v>209</v>
      </c>
      <c r="S360" s="29" t="s">
        <v>450</v>
      </c>
      <c r="T360" s="29" t="s">
        <v>451</v>
      </c>
      <c r="U360" s="29" t="s">
        <v>452</v>
      </c>
      <c r="V360" s="29" t="s">
        <v>453</v>
      </c>
      <c r="W360" s="29" t="s">
        <v>454</v>
      </c>
      <c r="X360" s="29" t="s">
        <v>418</v>
      </c>
      <c r="Y360" s="29" t="s">
        <v>455</v>
      </c>
      <c r="Z360" s="29" t="s">
        <v>456</v>
      </c>
      <c r="AA360" s="160"/>
    </row>
    <row r="361" ht="15.75" customHeight="1">
      <c r="A361" s="73" t="s">
        <v>457</v>
      </c>
      <c r="B361" s="118" t="s">
        <v>458</v>
      </c>
      <c r="C361" s="63">
        <f t="shared" ref="C361:N361" si="231">($T361*C$354+$U361*C$355+$V361*C$356+$W361*C$357+$X361*C$358+$Y361*C$359)/$B$2</f>
        <v>63.48830254</v>
      </c>
      <c r="D361" s="63">
        <f t="shared" si="231"/>
        <v>52.53393153</v>
      </c>
      <c r="E361" s="63">
        <f t="shared" si="231"/>
        <v>54.17473381</v>
      </c>
      <c r="F361" s="63">
        <f t="shared" si="231"/>
        <v>52.66400647</v>
      </c>
      <c r="G361" s="63">
        <f t="shared" si="231"/>
        <v>51.0232042</v>
      </c>
      <c r="H361" s="63">
        <f t="shared" si="231"/>
        <v>49.38240193</v>
      </c>
      <c r="I361" s="63">
        <f t="shared" si="231"/>
        <v>52.79408141</v>
      </c>
      <c r="J361" s="63">
        <f t="shared" si="231"/>
        <v>54.04465887</v>
      </c>
      <c r="K361" s="63">
        <f t="shared" si="231"/>
        <v>54.04465887</v>
      </c>
      <c r="L361" s="63">
        <f t="shared" si="231"/>
        <v>52.53393153</v>
      </c>
      <c r="M361" s="63">
        <f t="shared" si="231"/>
        <v>52.4038566</v>
      </c>
      <c r="N361" s="63">
        <f t="shared" si="231"/>
        <v>76.00980435</v>
      </c>
      <c r="O361" s="44">
        <f t="shared" ref="O361:O387" si="233">MAX(C361:N361)</f>
        <v>76.00980435</v>
      </c>
      <c r="P361" s="63">
        <f>'Parametros Recargas'!$M$85</f>
        <v>72</v>
      </c>
      <c r="Q361" s="36">
        <f>MAX(Q306,ROUNDUP(O361/(P361*'Parametros Recargas'!H$8*'Parametros Recargas'!$B$19),0))</f>
        <v>1</v>
      </c>
      <c r="R361" s="46">
        <f>IF(AND('Parametros Recargas'!H$8=2,O361/(P361*Q361*'Parametros Recargas'!$B$19)&gt;1),2,1)</f>
        <v>2</v>
      </c>
      <c r="S361" s="34">
        <f t="shared" ref="S361:S386" si="234">O361/(P361*Q361*R361)</f>
        <v>0.5278458636</v>
      </c>
      <c r="T361" s="161">
        <f>'Parametros Recargas'!D54</f>
        <v>1</v>
      </c>
      <c r="U361" s="161">
        <f>'Parametros Recargas'!E54</f>
        <v>1</v>
      </c>
      <c r="V361" s="161">
        <f>'Parametros Recargas'!F54</f>
        <v>1</v>
      </c>
      <c r="W361" s="161">
        <f>'Parametros Recargas'!G54</f>
        <v>1</v>
      </c>
      <c r="X361" s="161">
        <f>'Parametros Recargas'!H54</f>
        <v>1</v>
      </c>
      <c r="Y361" s="161">
        <f>'Parametros Recargas'!I54</f>
        <v>1</v>
      </c>
      <c r="Z361" s="162">
        <f>'Parametros Recargas'!$U$85/P361</f>
        <v>0.01388888889</v>
      </c>
    </row>
    <row r="362" ht="15.75" customHeight="1">
      <c r="A362" s="73" t="s">
        <v>459</v>
      </c>
      <c r="B362" s="118" t="s">
        <v>458</v>
      </c>
      <c r="C362" s="63">
        <f t="shared" ref="C362:N362" si="232">($T362*C$354+$U362*C$355+$V362*C$356+$W362*C$357+$X362*C$358+$Y362*C$359)/$B$2</f>
        <v>63.48830254</v>
      </c>
      <c r="D362" s="63">
        <f t="shared" si="232"/>
        <v>52.53393153</v>
      </c>
      <c r="E362" s="63">
        <f t="shared" si="232"/>
        <v>54.17473381</v>
      </c>
      <c r="F362" s="63">
        <f t="shared" si="232"/>
        <v>52.66400647</v>
      </c>
      <c r="G362" s="63">
        <f t="shared" si="232"/>
        <v>51.0232042</v>
      </c>
      <c r="H362" s="63">
        <f t="shared" si="232"/>
        <v>49.38240193</v>
      </c>
      <c r="I362" s="63">
        <f t="shared" si="232"/>
        <v>52.79408141</v>
      </c>
      <c r="J362" s="63">
        <f t="shared" si="232"/>
        <v>54.04465887</v>
      </c>
      <c r="K362" s="63">
        <f t="shared" si="232"/>
        <v>54.04465887</v>
      </c>
      <c r="L362" s="63">
        <f t="shared" si="232"/>
        <v>52.53393153</v>
      </c>
      <c r="M362" s="63">
        <f t="shared" si="232"/>
        <v>52.4038566</v>
      </c>
      <c r="N362" s="63">
        <f t="shared" si="232"/>
        <v>76.00980435</v>
      </c>
      <c r="O362" s="44">
        <f t="shared" si="233"/>
        <v>76.00980435</v>
      </c>
      <c r="P362" s="63">
        <f>'Parametros Recargas'!$M$86</f>
        <v>52.36363636</v>
      </c>
      <c r="Q362" s="36">
        <f>MAX(Q307,ROUNDUP(O362/(P362*'Parametros Recargas'!H$8*'Parametros Recargas'!$B$19),0))</f>
        <v>2</v>
      </c>
      <c r="R362" s="46">
        <f>IF(AND('Parametros Recargas'!H$8=2,O362/(P362*Q362*'Parametros Recargas'!$B$19)&gt;1),2,1)</f>
        <v>1</v>
      </c>
      <c r="S362" s="34">
        <f t="shared" si="234"/>
        <v>0.7257880624</v>
      </c>
      <c r="T362" s="161">
        <f>'Parametros Recargas'!D55</f>
        <v>1</v>
      </c>
      <c r="U362" s="161">
        <f>'Parametros Recargas'!E55</f>
        <v>1</v>
      </c>
      <c r="V362" s="161">
        <f>'Parametros Recargas'!F55</f>
        <v>1</v>
      </c>
      <c r="W362" s="161">
        <f>'Parametros Recargas'!G55</f>
        <v>1</v>
      </c>
      <c r="X362" s="161">
        <f>'Parametros Recargas'!H55</f>
        <v>1</v>
      </c>
      <c r="Y362" s="161">
        <f>'Parametros Recargas'!I55</f>
        <v>1</v>
      </c>
      <c r="Z362" s="162">
        <f>'Parametros Recargas'!$U$86/P362</f>
        <v>0.01909722222</v>
      </c>
    </row>
    <row r="363" ht="15.75" customHeight="1">
      <c r="A363" s="30" t="s">
        <v>460</v>
      </c>
      <c r="B363" s="118" t="s">
        <v>458</v>
      </c>
      <c r="C363" s="63">
        <f t="shared" ref="C363:N363" si="235">($T363*C$354+$U363*C$355+$V363*C$356+$W363*C$357+$X363*C$358+$Y363*C$359)/$B$2</f>
        <v>55.62614734</v>
      </c>
      <c r="D363" s="63">
        <f t="shared" si="235"/>
        <v>45.58363623</v>
      </c>
      <c r="E363" s="63">
        <f t="shared" si="235"/>
        <v>46.79004504</v>
      </c>
      <c r="F363" s="63">
        <f t="shared" si="235"/>
        <v>45.69217467</v>
      </c>
      <c r="G363" s="63">
        <f t="shared" si="235"/>
        <v>44.48576586</v>
      </c>
      <c r="H363" s="63">
        <f t="shared" si="235"/>
        <v>43.27935704</v>
      </c>
      <c r="I363" s="63">
        <f t="shared" si="235"/>
        <v>45.80071312</v>
      </c>
      <c r="J363" s="63">
        <f t="shared" si="235"/>
        <v>46.6815066</v>
      </c>
      <c r="K363" s="63">
        <f t="shared" si="235"/>
        <v>46.6815066</v>
      </c>
      <c r="L363" s="63">
        <f t="shared" si="235"/>
        <v>45.58363623</v>
      </c>
      <c r="M363" s="63">
        <f t="shared" si="235"/>
        <v>45.47509778</v>
      </c>
      <c r="N363" s="63">
        <f t="shared" si="235"/>
        <v>66.53929428</v>
      </c>
      <c r="O363" s="44">
        <f t="shared" si="233"/>
        <v>66.53929428</v>
      </c>
      <c r="P363" s="63">
        <f>'Parametros Recargas'!$M$87</f>
        <v>29.14285714</v>
      </c>
      <c r="Q363" s="36">
        <f>MAX(Q308,ROUNDUP(O363/(P363*'Parametros Recargas'!H$8*'Parametros Recargas'!$B$19),0))</f>
        <v>3</v>
      </c>
      <c r="R363" s="46">
        <f>IF(AND('Parametros Recargas'!H$8=2,O363/(P363*Q363*'Parametros Recargas'!$B$19)&gt;1),2,1)</f>
        <v>1</v>
      </c>
      <c r="S363" s="34">
        <f t="shared" si="234"/>
        <v>0.7610703594</v>
      </c>
      <c r="T363" s="161">
        <f>'Parametros Recargas'!D56</f>
        <v>1</v>
      </c>
      <c r="U363" s="161">
        <f>'Parametros Recargas'!E56</f>
        <v>0</v>
      </c>
      <c r="V363" s="161">
        <f>'Parametros Recargas'!F56</f>
        <v>0</v>
      </c>
      <c r="W363" s="161">
        <f>'Parametros Recargas'!G56</f>
        <v>0</v>
      </c>
      <c r="X363" s="161">
        <f>'Parametros Recargas'!H56</f>
        <v>0</v>
      </c>
      <c r="Y363" s="161">
        <f>'Parametros Recargas'!I56</f>
        <v>0</v>
      </c>
      <c r="Z363" s="162">
        <f>'Parametros Recargas'!$U$87/P363</f>
        <v>0.01715686275</v>
      </c>
    </row>
    <row r="364" ht="15.75" customHeight="1">
      <c r="A364" s="30" t="s">
        <v>461</v>
      </c>
      <c r="B364" s="118" t="s">
        <v>458</v>
      </c>
      <c r="C364" s="63">
        <f t="shared" ref="C364:N364" si="236">($T364*C$354+$U364*C$355+$V364*C$356+$W364*C$357+$X364*C$358+$Y364*C$359)/$B$2</f>
        <v>0.07580571556</v>
      </c>
      <c r="D364" s="63">
        <f t="shared" si="236"/>
        <v>0.06738285827</v>
      </c>
      <c r="E364" s="63">
        <f t="shared" si="236"/>
        <v>0.07159428691</v>
      </c>
      <c r="F364" s="63">
        <f t="shared" si="236"/>
        <v>0.06738285827</v>
      </c>
      <c r="G364" s="63">
        <f t="shared" si="236"/>
        <v>0.06317142963</v>
      </c>
      <c r="H364" s="63">
        <f t="shared" si="236"/>
        <v>0.05896000099</v>
      </c>
      <c r="I364" s="63">
        <f t="shared" si="236"/>
        <v>0.06738285827</v>
      </c>
      <c r="J364" s="63">
        <f t="shared" si="236"/>
        <v>0.07159428691</v>
      </c>
      <c r="K364" s="63">
        <f t="shared" si="236"/>
        <v>0.07159428691</v>
      </c>
      <c r="L364" s="63">
        <f t="shared" si="236"/>
        <v>0.06738285827</v>
      </c>
      <c r="M364" s="63">
        <f t="shared" si="236"/>
        <v>0.06738285827</v>
      </c>
      <c r="N364" s="63">
        <f t="shared" si="236"/>
        <v>0.09265143012</v>
      </c>
      <c r="O364" s="44">
        <f t="shared" si="233"/>
        <v>0.09265143012</v>
      </c>
      <c r="P364" s="63">
        <f>'Parametros Recargas'!$M$88</f>
        <v>29.14285714</v>
      </c>
      <c r="Q364" s="36">
        <f>MAX(Q309,ROUNDUP(O364/(P364*'Parametros Recargas'!H$8*'Parametros Recargas'!$B$19),0))</f>
        <v>1</v>
      </c>
      <c r="R364" s="46">
        <f>IF(AND('Parametros Recargas'!H$8=2,O364/(P364*Q364*'Parametros Recargas'!$B$19)&gt;1),2,1)</f>
        <v>1</v>
      </c>
      <c r="S364" s="34">
        <f t="shared" si="234"/>
        <v>0.00317921574</v>
      </c>
      <c r="T364" s="161">
        <f>'Parametros Recargas'!D57</f>
        <v>0</v>
      </c>
      <c r="U364" s="161">
        <f>'Parametros Recargas'!E57</f>
        <v>1</v>
      </c>
      <c r="V364" s="161">
        <f>'Parametros Recargas'!F57</f>
        <v>0</v>
      </c>
      <c r="W364" s="161">
        <f>'Parametros Recargas'!G57</f>
        <v>0</v>
      </c>
      <c r="X364" s="161">
        <f>'Parametros Recargas'!H57</f>
        <v>0</v>
      </c>
      <c r="Y364" s="161">
        <f>'Parametros Recargas'!I57</f>
        <v>0</v>
      </c>
      <c r="Z364" s="162">
        <f>'Parametros Recargas'!$U$88/P364</f>
        <v>0.03431372549</v>
      </c>
    </row>
    <row r="365" ht="15.75" customHeight="1">
      <c r="A365" s="30" t="s">
        <v>463</v>
      </c>
      <c r="B365" s="118" t="s">
        <v>458</v>
      </c>
      <c r="C365" s="63">
        <f t="shared" ref="C365:N365" si="237">($T365*C$354+$U365*C$355+$V365*C$356+$W365*C$357+$X365*C$358+$Y365*C$359)/$B$2</f>
        <v>0.06738285827</v>
      </c>
      <c r="D365" s="63">
        <f t="shared" si="237"/>
        <v>0.05989587402</v>
      </c>
      <c r="E365" s="63">
        <f t="shared" si="237"/>
        <v>0.06363936615</v>
      </c>
      <c r="F365" s="63">
        <f t="shared" si="237"/>
        <v>0.05989587402</v>
      </c>
      <c r="G365" s="63">
        <f t="shared" si="237"/>
        <v>0.05615238189</v>
      </c>
      <c r="H365" s="63">
        <f t="shared" si="237"/>
        <v>0.05240888977</v>
      </c>
      <c r="I365" s="63">
        <f t="shared" si="237"/>
        <v>0.05989587402</v>
      </c>
      <c r="J365" s="63">
        <f t="shared" si="237"/>
        <v>0.06363936615</v>
      </c>
      <c r="K365" s="63">
        <f t="shared" si="237"/>
        <v>0.06363936615</v>
      </c>
      <c r="L365" s="63">
        <f t="shared" si="237"/>
        <v>0.05989587402</v>
      </c>
      <c r="M365" s="63">
        <f t="shared" si="237"/>
        <v>0.05989587402</v>
      </c>
      <c r="N365" s="63">
        <f t="shared" si="237"/>
        <v>0.08235682678</v>
      </c>
      <c r="O365" s="44">
        <f t="shared" si="233"/>
        <v>0.08235682678</v>
      </c>
      <c r="P365" s="63">
        <f>'Parametros Recargas'!$M$89</f>
        <v>13.5</v>
      </c>
      <c r="Q365" s="36">
        <f>MAX(Q310,ROUNDUP(O365/(P365*'Parametros Recargas'!H$8*'Parametros Recargas'!$B$19),0))</f>
        <v>1</v>
      </c>
      <c r="R365" s="46">
        <f>IF(AND('Parametros Recargas'!H$8=2,O365/(P365*Q365*'Parametros Recargas'!$B$19)&gt;1),2,1)</f>
        <v>1</v>
      </c>
      <c r="S365" s="34">
        <f t="shared" si="234"/>
        <v>0.006100505687</v>
      </c>
      <c r="T365" s="161">
        <f>'Parametros Recargas'!D58</f>
        <v>0</v>
      </c>
      <c r="U365" s="161">
        <f>'Parametros Recargas'!E58</f>
        <v>0</v>
      </c>
      <c r="V365" s="161">
        <f>'Parametros Recargas'!F58</f>
        <v>1</v>
      </c>
      <c r="W365" s="161">
        <f>'Parametros Recargas'!G58</f>
        <v>0</v>
      </c>
      <c r="X365" s="161">
        <f>'Parametros Recargas'!H58</f>
        <v>0</v>
      </c>
      <c r="Y365" s="161">
        <f>'Parametros Recargas'!I58</f>
        <v>0</v>
      </c>
      <c r="Z365" s="162">
        <f>'Parametros Recargas'!$U$89/P365</f>
        <v>0.07407407407</v>
      </c>
    </row>
    <row r="366" ht="15.75" customHeight="1">
      <c r="A366" s="30" t="s">
        <v>464</v>
      </c>
      <c r="B366" s="118" t="s">
        <v>458</v>
      </c>
      <c r="C366" s="63">
        <f t="shared" ref="C366:N366" si="238">($T366*C$354+$U366*C$355+$V366*C$356+$W366*C$357+$X366*C$358+$Y366*C$359)/$B$2</f>
        <v>2.676551218</v>
      </c>
      <c r="D366" s="63">
        <f t="shared" si="238"/>
        <v>2.34086954</v>
      </c>
      <c r="E366" s="63">
        <f t="shared" si="238"/>
        <v>2.487173886</v>
      </c>
      <c r="F366" s="63">
        <f t="shared" si="238"/>
        <v>2.362406033</v>
      </c>
      <c r="G366" s="63">
        <f t="shared" si="238"/>
        <v>2.216101686</v>
      </c>
      <c r="H366" s="63">
        <f t="shared" si="238"/>
        <v>2.06979734</v>
      </c>
      <c r="I366" s="63">
        <f t="shared" si="238"/>
        <v>2.383942525</v>
      </c>
      <c r="J366" s="63">
        <f t="shared" si="238"/>
        <v>2.465637393</v>
      </c>
      <c r="K366" s="63">
        <f t="shared" si="238"/>
        <v>2.465637393</v>
      </c>
      <c r="L366" s="63">
        <f t="shared" si="238"/>
        <v>2.34086954</v>
      </c>
      <c r="M366" s="63">
        <f t="shared" si="238"/>
        <v>2.319333047</v>
      </c>
      <c r="N366" s="63">
        <f t="shared" si="238"/>
        <v>3.132549646</v>
      </c>
      <c r="O366" s="44">
        <f t="shared" si="233"/>
        <v>3.132549646</v>
      </c>
      <c r="P366" s="63">
        <f>'Parametros Recargas'!$M$90</f>
        <v>22.66666667</v>
      </c>
      <c r="Q366" s="36">
        <f>MAX(Q311,ROUNDUP(O366/(P366*'Parametros Recargas'!H$8*'Parametros Recargas'!$B$19),0))</f>
        <v>1</v>
      </c>
      <c r="R366" s="46">
        <f>IF(AND('Parametros Recargas'!H$8=2,O366/(P366*Q366*'Parametros Recargas'!$B$19)&gt;1),2,1)</f>
        <v>1</v>
      </c>
      <c r="S366" s="34">
        <f t="shared" si="234"/>
        <v>0.1382007197</v>
      </c>
      <c r="T366" s="161">
        <f>'Parametros Recargas'!D59</f>
        <v>0</v>
      </c>
      <c r="U366" s="161">
        <f>'Parametros Recargas'!E59</f>
        <v>0</v>
      </c>
      <c r="V366" s="161">
        <f>'Parametros Recargas'!F59</f>
        <v>0</v>
      </c>
      <c r="W366" s="161">
        <f>'Parametros Recargas'!G59</f>
        <v>1</v>
      </c>
      <c r="X366" s="161">
        <f>'Parametros Recargas'!H59</f>
        <v>0</v>
      </c>
      <c r="Y366" s="161">
        <f>'Parametros Recargas'!I59</f>
        <v>0</v>
      </c>
      <c r="Z366" s="162">
        <f>'Parametros Recargas'!$U$90/P366</f>
        <v>0.04411764706</v>
      </c>
    </row>
    <row r="367" ht="15.75" customHeight="1">
      <c r="A367" s="30" t="s">
        <v>465</v>
      </c>
      <c r="B367" s="118" t="s">
        <v>458</v>
      </c>
      <c r="C367" s="63">
        <f t="shared" ref="C367:N367" si="239">($T367*C$354+$U367*C$355+$V367*C$356+$W367*C$357+$X367*C$358+$Y367*C$359)/$B$2</f>
        <v>1.212069707</v>
      </c>
      <c r="D367" s="63">
        <f t="shared" si="239"/>
        <v>1.077395295</v>
      </c>
      <c r="E367" s="63">
        <f t="shared" si="239"/>
        <v>1.144732501</v>
      </c>
      <c r="F367" s="63">
        <f t="shared" si="239"/>
        <v>1.077395295</v>
      </c>
      <c r="G367" s="63">
        <f t="shared" si="239"/>
        <v>1.010058089</v>
      </c>
      <c r="H367" s="63">
        <f t="shared" si="239"/>
        <v>0.942720883</v>
      </c>
      <c r="I367" s="63">
        <f t="shared" si="239"/>
        <v>1.077395295</v>
      </c>
      <c r="J367" s="63">
        <f t="shared" si="239"/>
        <v>1.144732501</v>
      </c>
      <c r="K367" s="63">
        <f t="shared" si="239"/>
        <v>1.144732501</v>
      </c>
      <c r="L367" s="63">
        <f t="shared" si="239"/>
        <v>1.077395295</v>
      </c>
      <c r="M367" s="63">
        <f t="shared" si="239"/>
        <v>1.077395295</v>
      </c>
      <c r="N367" s="63">
        <f t="shared" si="239"/>
        <v>1.48141853</v>
      </c>
      <c r="O367" s="44">
        <f t="shared" si="233"/>
        <v>1.48141853</v>
      </c>
      <c r="P367" s="63">
        <f>'Parametros Recargas'!$M$91</f>
        <v>29.14285714</v>
      </c>
      <c r="Q367" s="36">
        <f>MAX(Q312,ROUNDUP(O367/(P367*'Parametros Recargas'!H$8*'Parametros Recargas'!$B$19),0))</f>
        <v>1</v>
      </c>
      <c r="R367" s="46">
        <f>IF(AND('Parametros Recargas'!H$8=2,O367/(P367*Q367*'Parametros Recargas'!$B$19)&gt;1),2,1)</f>
        <v>1</v>
      </c>
      <c r="S367" s="34">
        <f t="shared" si="234"/>
        <v>0.05083298879</v>
      </c>
      <c r="T367" s="161">
        <f>'Parametros Recargas'!D60</f>
        <v>0</v>
      </c>
      <c r="U367" s="161">
        <f>'Parametros Recargas'!E60</f>
        <v>0</v>
      </c>
      <c r="V367" s="161">
        <f>'Parametros Recargas'!F60</f>
        <v>0</v>
      </c>
      <c r="W367" s="161">
        <f>'Parametros Recargas'!G60</f>
        <v>0</v>
      </c>
      <c r="X367" s="161">
        <f>'Parametros Recargas'!H60</f>
        <v>0.25</v>
      </c>
      <c r="Y367" s="161">
        <f>'Parametros Recargas'!I60</f>
        <v>0</v>
      </c>
      <c r="Z367" s="162">
        <f>'Parametros Recargas'!$U$91/P367</f>
        <v>0.03431372549</v>
      </c>
    </row>
    <row r="368" ht="15.75" customHeight="1">
      <c r="A368" s="30" t="s">
        <v>466</v>
      </c>
      <c r="B368" s="118" t="s">
        <v>458</v>
      </c>
      <c r="C368" s="63">
        <f t="shared" ref="C368:N368" si="240">($T368*C$354+$U368*C$355+$V368*C$356+$W368*C$357+$X368*C$358+$Y368*C$359)/$B$2</f>
        <v>0.04853414715</v>
      </c>
      <c r="D368" s="63">
        <f t="shared" si="240"/>
        <v>0.04314146414</v>
      </c>
      <c r="E368" s="63">
        <f t="shared" si="240"/>
        <v>0.04583780565</v>
      </c>
      <c r="F368" s="63">
        <f t="shared" si="240"/>
        <v>0.04314146414</v>
      </c>
      <c r="G368" s="63">
        <f t="shared" si="240"/>
        <v>0.04044512263</v>
      </c>
      <c r="H368" s="63">
        <f t="shared" si="240"/>
        <v>0.03774878112</v>
      </c>
      <c r="I368" s="63">
        <f t="shared" si="240"/>
        <v>0.04314146414</v>
      </c>
      <c r="J368" s="63">
        <f t="shared" si="240"/>
        <v>0.04583780565</v>
      </c>
      <c r="K368" s="63">
        <f t="shared" si="240"/>
        <v>0.04583780565</v>
      </c>
      <c r="L368" s="63">
        <f t="shared" si="240"/>
        <v>0.04314146414</v>
      </c>
      <c r="M368" s="63">
        <f t="shared" si="240"/>
        <v>0.04314146414</v>
      </c>
      <c r="N368" s="63">
        <f t="shared" si="240"/>
        <v>0.05931951319</v>
      </c>
      <c r="O368" s="44">
        <f t="shared" si="233"/>
        <v>0.05931951319</v>
      </c>
      <c r="P368" s="63">
        <f>'Parametros Recargas'!$M$92</f>
        <v>18.54545455</v>
      </c>
      <c r="Q368" s="36">
        <f>MAX(Q313,ROUNDUP(O368/(P368*'Parametros Recargas'!H$8*'Parametros Recargas'!$B$19),0))</f>
        <v>1</v>
      </c>
      <c r="R368" s="46">
        <f>IF(AND('Parametros Recargas'!H$8=2,O368/(P368*Q368*'Parametros Recargas'!$B$19)&gt;1),2,1)</f>
        <v>1</v>
      </c>
      <c r="S368" s="34">
        <f t="shared" si="234"/>
        <v>0.003198601201</v>
      </c>
      <c r="T368" s="161">
        <f>'Parametros Recargas'!D61</f>
        <v>0</v>
      </c>
      <c r="U368" s="161">
        <f>'Parametros Recargas'!E61</f>
        <v>0</v>
      </c>
      <c r="V368" s="161">
        <f>'Parametros Recargas'!F61</f>
        <v>0</v>
      </c>
      <c r="W368" s="161">
        <f>'Parametros Recargas'!G61</f>
        <v>0</v>
      </c>
      <c r="X368" s="161">
        <f>'Parametros Recargas'!H61</f>
        <v>0</v>
      </c>
      <c r="Y368" s="161">
        <f>'Parametros Recargas'!I61</f>
        <v>0.25</v>
      </c>
      <c r="Z368" s="162">
        <f>'Parametros Recargas'!$U$92/P368</f>
        <v>0.05392156863</v>
      </c>
    </row>
    <row r="369" ht="15.75" customHeight="1">
      <c r="A369" s="73" t="s">
        <v>467</v>
      </c>
      <c r="B369" s="118" t="s">
        <v>458</v>
      </c>
      <c r="C369" s="63">
        <f t="shared" ref="C369:N369" si="241">($T369*C$354+$U369*C$355+$V369*C$356+$W369*C$357+$X369*C$358+$Y369*C$359)/$B$2</f>
        <v>60.21073252</v>
      </c>
      <c r="D369" s="63">
        <f t="shared" si="241"/>
        <v>49.62053596</v>
      </c>
      <c r="E369" s="63">
        <f t="shared" si="241"/>
        <v>51.07925101</v>
      </c>
      <c r="F369" s="63">
        <f t="shared" si="241"/>
        <v>49.7506109</v>
      </c>
      <c r="G369" s="63">
        <f t="shared" si="241"/>
        <v>48.29189585</v>
      </c>
      <c r="H369" s="63">
        <f t="shared" si="241"/>
        <v>46.8331808</v>
      </c>
      <c r="I369" s="63">
        <f t="shared" si="241"/>
        <v>49.88068584</v>
      </c>
      <c r="J369" s="63">
        <f t="shared" si="241"/>
        <v>50.94917607</v>
      </c>
      <c r="K369" s="63">
        <f t="shared" si="241"/>
        <v>50.94917607</v>
      </c>
      <c r="L369" s="63">
        <f t="shared" si="241"/>
        <v>49.62053596</v>
      </c>
      <c r="M369" s="63">
        <f t="shared" si="241"/>
        <v>49.49046102</v>
      </c>
      <c r="N369" s="63">
        <f t="shared" si="241"/>
        <v>72.00388544</v>
      </c>
      <c r="O369" s="44">
        <f t="shared" si="233"/>
        <v>72.00388544</v>
      </c>
      <c r="P369" s="63">
        <f>'Parametros Recargas'!$M$93</f>
        <v>32</v>
      </c>
      <c r="Q369" s="36">
        <f>MAX(Q314,ROUNDUP(O369/(P369*'Parametros Recargas'!H$8*'Parametros Recargas'!$B$19),0))</f>
        <v>3</v>
      </c>
      <c r="R369" s="46">
        <f>IF(AND('Parametros Recargas'!H$8=2,O369/(P369*Q369*'Parametros Recargas'!$B$19)&gt;1),2,1)</f>
        <v>1</v>
      </c>
      <c r="S369" s="34">
        <f t="shared" si="234"/>
        <v>0.7500404733</v>
      </c>
      <c r="T369" s="161">
        <f>'Parametros Recargas'!D62</f>
        <v>1</v>
      </c>
      <c r="U369" s="161">
        <f>'Parametros Recargas'!E62</f>
        <v>1</v>
      </c>
      <c r="V369" s="161">
        <f>'Parametros Recargas'!F62</f>
        <v>1</v>
      </c>
      <c r="W369" s="161">
        <f>'Parametros Recargas'!G62</f>
        <v>1</v>
      </c>
      <c r="X369" s="161">
        <f>'Parametros Recargas'!H62</f>
        <v>0.35</v>
      </c>
      <c r="Y369" s="161">
        <f>'Parametros Recargas'!I62</f>
        <v>0.35</v>
      </c>
      <c r="Z369" s="162">
        <f>'Parametros Recargas'!$U$93/P369</f>
        <v>0.03125</v>
      </c>
    </row>
    <row r="370" ht="15.75" customHeight="1">
      <c r="A370" s="30" t="s">
        <v>469</v>
      </c>
      <c r="B370" s="118" t="s">
        <v>458</v>
      </c>
      <c r="C370" s="63">
        <f t="shared" ref="C370:N370" si="242">($T370*C$354+$U370*C$355+$V370*C$356+$W370*C$357+$X370*C$358+$Y370*C$359)/$B$2</f>
        <v>5.570195305</v>
      </c>
      <c r="D370" s="63">
        <f t="shared" si="242"/>
        <v>4.565101908</v>
      </c>
      <c r="E370" s="63">
        <f t="shared" si="242"/>
        <v>4.686163933</v>
      </c>
      <c r="F370" s="63">
        <f t="shared" si="242"/>
        <v>4.575955753</v>
      </c>
      <c r="G370" s="63">
        <f t="shared" si="242"/>
        <v>4.454893729</v>
      </c>
      <c r="H370" s="63">
        <f t="shared" si="242"/>
        <v>4.333831704</v>
      </c>
      <c r="I370" s="63">
        <f t="shared" si="242"/>
        <v>4.586809598</v>
      </c>
      <c r="J370" s="63">
        <f t="shared" si="242"/>
        <v>4.675310088</v>
      </c>
      <c r="K370" s="63">
        <f t="shared" si="242"/>
        <v>4.675310088</v>
      </c>
      <c r="L370" s="63">
        <f t="shared" si="242"/>
        <v>4.565101908</v>
      </c>
      <c r="M370" s="63">
        <f t="shared" si="242"/>
        <v>4.554248064</v>
      </c>
      <c r="N370" s="63">
        <f t="shared" si="242"/>
        <v>6.663194571</v>
      </c>
      <c r="O370" s="44">
        <f t="shared" si="233"/>
        <v>6.663194571</v>
      </c>
      <c r="P370" s="63">
        <f>'Parametros Recargas'!$M$94</f>
        <v>6.375</v>
      </c>
      <c r="Q370" s="36">
        <f>MAX(Q315,ROUNDUP(O370/(P370*'Parametros Recargas'!H$8*'Parametros Recargas'!$B$19),0))</f>
        <v>1</v>
      </c>
      <c r="R370" s="46">
        <f>IF(AND('Parametros Recargas'!H$8=2,O370/(P370*Q370*'Parametros Recargas'!$B$19)&gt;1),2,1)</f>
        <v>2</v>
      </c>
      <c r="S370" s="34">
        <f t="shared" si="234"/>
        <v>0.5226034957</v>
      </c>
      <c r="T370" s="161">
        <f>'Parametros Recargas'!D63</f>
        <v>0.1</v>
      </c>
      <c r="U370" s="161">
        <f>'Parametros Recargas'!E63</f>
        <v>0.1</v>
      </c>
      <c r="V370" s="161">
        <f>'Parametros Recargas'!F63</f>
        <v>0</v>
      </c>
      <c r="W370" s="161">
        <f>'Parametros Recargas'!G63</f>
        <v>0</v>
      </c>
      <c r="X370" s="161">
        <f>'Parametros Recargas'!H63</f>
        <v>0</v>
      </c>
      <c r="Y370" s="161">
        <f>'Parametros Recargas'!I63</f>
        <v>0</v>
      </c>
      <c r="Z370" s="162">
        <f>'Parametros Recargas'!$U$94/P370</f>
        <v>0.07843137255</v>
      </c>
    </row>
    <row r="371" ht="15.75" customHeight="1">
      <c r="A371" s="30" t="s">
        <v>470</v>
      </c>
      <c r="B371" s="118" t="s">
        <v>458</v>
      </c>
      <c r="C371" s="63">
        <f t="shared" ref="C371:N371" si="243">($T371*C$354+$U371*C$355+$V371*C$356+$W371*C$357+$X371*C$358+$Y371*C$359)/$B$2</f>
        <v>2.676551218</v>
      </c>
      <c r="D371" s="63">
        <f t="shared" si="243"/>
        <v>2.34086954</v>
      </c>
      <c r="E371" s="63">
        <f t="shared" si="243"/>
        <v>2.487173886</v>
      </c>
      <c r="F371" s="63">
        <f t="shared" si="243"/>
        <v>2.362406033</v>
      </c>
      <c r="G371" s="63">
        <f t="shared" si="243"/>
        <v>2.216101686</v>
      </c>
      <c r="H371" s="63">
        <f t="shared" si="243"/>
        <v>2.06979734</v>
      </c>
      <c r="I371" s="63">
        <f t="shared" si="243"/>
        <v>2.383942525</v>
      </c>
      <c r="J371" s="63">
        <f t="shared" si="243"/>
        <v>2.465637393</v>
      </c>
      <c r="K371" s="63">
        <f t="shared" si="243"/>
        <v>2.465637393</v>
      </c>
      <c r="L371" s="63">
        <f t="shared" si="243"/>
        <v>2.34086954</v>
      </c>
      <c r="M371" s="63">
        <f t="shared" si="243"/>
        <v>2.319333047</v>
      </c>
      <c r="N371" s="63">
        <f t="shared" si="243"/>
        <v>3.132549646</v>
      </c>
      <c r="O371" s="44">
        <f t="shared" si="233"/>
        <v>3.132549646</v>
      </c>
      <c r="P371" s="63">
        <f>'Parametros Recargas'!$M$95</f>
        <v>28.8</v>
      </c>
      <c r="Q371" s="36">
        <f>MAX(Q316,ROUNDUP(O371/(P371*'Parametros Recargas'!H$8*'Parametros Recargas'!$B$19),0))</f>
        <v>1</v>
      </c>
      <c r="R371" s="46">
        <f>IF(AND('Parametros Recargas'!H$8=2,O371/(P371*Q371*'Parametros Recargas'!$B$19)&gt;1),2,1)</f>
        <v>1</v>
      </c>
      <c r="S371" s="34">
        <f t="shared" si="234"/>
        <v>0.1087690849</v>
      </c>
      <c r="T371" s="161">
        <f>'Parametros Recargas'!D64</f>
        <v>0</v>
      </c>
      <c r="U371" s="161">
        <f>'Parametros Recargas'!E64</f>
        <v>0</v>
      </c>
      <c r="V371" s="161">
        <f>'Parametros Recargas'!F64</f>
        <v>0</v>
      </c>
      <c r="W371" s="161">
        <f>'Parametros Recargas'!G64</f>
        <v>1</v>
      </c>
      <c r="X371" s="161">
        <f>'Parametros Recargas'!H64</f>
        <v>0</v>
      </c>
      <c r="Y371" s="161">
        <f>'Parametros Recargas'!I64</f>
        <v>0</v>
      </c>
      <c r="Z371" s="162">
        <f>'Parametros Recargas'!$U$95/P371</f>
        <v>0.03472222222</v>
      </c>
    </row>
    <row r="372" ht="15.75" customHeight="1">
      <c r="A372" s="73" t="s">
        <v>473</v>
      </c>
      <c r="B372" s="118" t="s">
        <v>458</v>
      </c>
      <c r="C372" s="63">
        <f t="shared" ref="C372:N372" si="244">($T372*C$354+$U372*C$355+$V372*C$356+$W372*C$357+$X372*C$358+$Y372*C$359)/$B$2</f>
        <v>16.54121344</v>
      </c>
      <c r="D372" s="63">
        <f t="shared" si="244"/>
        <v>13.71870027</v>
      </c>
      <c r="E372" s="63">
        <f t="shared" si="244"/>
        <v>14.16547692</v>
      </c>
      <c r="F372" s="63">
        <f t="shared" si="244"/>
        <v>13.75660313</v>
      </c>
      <c r="G372" s="63">
        <f t="shared" si="244"/>
        <v>13.30982647</v>
      </c>
      <c r="H372" s="63">
        <f t="shared" si="244"/>
        <v>12.86304982</v>
      </c>
      <c r="I372" s="63">
        <f t="shared" si="244"/>
        <v>13.79450598</v>
      </c>
      <c r="J372" s="63">
        <f t="shared" si="244"/>
        <v>14.12757407</v>
      </c>
      <c r="K372" s="63">
        <f t="shared" si="244"/>
        <v>14.12757407</v>
      </c>
      <c r="L372" s="63">
        <f t="shared" si="244"/>
        <v>13.71870027</v>
      </c>
      <c r="M372" s="63">
        <f t="shared" si="244"/>
        <v>13.68079741</v>
      </c>
      <c r="N372" s="63">
        <f t="shared" si="244"/>
        <v>19.7855885</v>
      </c>
      <c r="O372" s="44">
        <f t="shared" si="233"/>
        <v>19.7855885</v>
      </c>
      <c r="P372" s="63">
        <f>'Parametros Recargas'!$M$96</f>
        <v>28.88380952</v>
      </c>
      <c r="Q372" s="36">
        <f>MAX(Q317,ROUNDUP(O372/(P372*'Parametros Recargas'!H$8*'Parametros Recargas'!$B$19),0))</f>
        <v>1</v>
      </c>
      <c r="R372" s="46">
        <f>IF(AND('Parametros Recargas'!H$8=2,O372/(P372*Q372*'Parametros Recargas'!$B$19)&gt;1),2,1)</f>
        <v>1</v>
      </c>
      <c r="S372" s="34">
        <f t="shared" si="234"/>
        <v>0.6850061964</v>
      </c>
      <c r="T372" s="161">
        <f>'Parametros Recargas'!D65</f>
        <v>0.25</v>
      </c>
      <c r="U372" s="161">
        <f>'Parametros Recargas'!E65</f>
        <v>0.25</v>
      </c>
      <c r="V372" s="161">
        <f>'Parametros Recargas'!F65</f>
        <v>0.25</v>
      </c>
      <c r="W372" s="161">
        <f>'Parametros Recargas'!G65</f>
        <v>0.5</v>
      </c>
      <c r="X372" s="161">
        <f>'Parametros Recargas'!H65</f>
        <v>0.25</v>
      </c>
      <c r="Y372" s="161">
        <f>'Parametros Recargas'!I65</f>
        <v>0.25</v>
      </c>
      <c r="Z372" s="162">
        <f>'Parametros Recargas'!$U$96/P372</f>
        <v>0.01731073595</v>
      </c>
    </row>
    <row r="373" ht="15.75" customHeight="1">
      <c r="A373" s="73" t="s">
        <v>479</v>
      </c>
      <c r="B373" s="118" t="s">
        <v>458</v>
      </c>
      <c r="C373" s="63">
        <f t="shared" ref="C373:N373" si="245">($T373*C$354+$U373*C$355+$V373*C$356+$W373*C$357+$X373*C$358+$Y373*C$359)/$B$2</f>
        <v>15.20293783</v>
      </c>
      <c r="D373" s="63">
        <f t="shared" si="245"/>
        <v>12.5482655</v>
      </c>
      <c r="E373" s="63">
        <f t="shared" si="245"/>
        <v>12.92188998</v>
      </c>
      <c r="F373" s="63">
        <f t="shared" si="245"/>
        <v>12.57540011</v>
      </c>
      <c r="G373" s="63">
        <f t="shared" si="245"/>
        <v>12.20177563</v>
      </c>
      <c r="H373" s="63">
        <f t="shared" si="245"/>
        <v>11.82815115</v>
      </c>
      <c r="I373" s="63">
        <f t="shared" si="245"/>
        <v>12.60253472</v>
      </c>
      <c r="J373" s="63">
        <f t="shared" si="245"/>
        <v>12.89475537</v>
      </c>
      <c r="K373" s="63">
        <f t="shared" si="245"/>
        <v>12.89475537</v>
      </c>
      <c r="L373" s="63">
        <f t="shared" si="245"/>
        <v>12.5482655</v>
      </c>
      <c r="M373" s="63">
        <f t="shared" si="245"/>
        <v>12.52113089</v>
      </c>
      <c r="N373" s="63">
        <f t="shared" si="245"/>
        <v>18.21931368</v>
      </c>
      <c r="O373" s="44">
        <f t="shared" si="233"/>
        <v>18.21931368</v>
      </c>
      <c r="P373" s="63">
        <f>'Parametros Recargas'!$M$97</f>
        <v>18.54545455</v>
      </c>
      <c r="Q373" s="36">
        <f>MAX(Q318,ROUNDUP(O373/(P373*'Parametros Recargas'!H$8*'Parametros Recargas'!$B$19),0))</f>
        <v>1</v>
      </c>
      <c r="R373" s="46">
        <f>IF(AND('Parametros Recargas'!H$8=2,O373/(P373*Q373*'Parametros Recargas'!$B$19)&gt;1),2,1)</f>
        <v>2</v>
      </c>
      <c r="S373" s="34">
        <f t="shared" si="234"/>
        <v>0.4912069864</v>
      </c>
      <c r="T373" s="161">
        <f>'Parametros Recargas'!D66</f>
        <v>0.25</v>
      </c>
      <c r="U373" s="161">
        <f>'Parametros Recargas'!E66</f>
        <v>0.25</v>
      </c>
      <c r="V373" s="161">
        <f>'Parametros Recargas'!F66</f>
        <v>0.25</v>
      </c>
      <c r="W373" s="161">
        <f>'Parametros Recargas'!G66</f>
        <v>0</v>
      </c>
      <c r="X373" s="161">
        <f>'Parametros Recargas'!H66</f>
        <v>0.25</v>
      </c>
      <c r="Y373" s="161">
        <f>'Parametros Recargas'!I66</f>
        <v>0.25</v>
      </c>
      <c r="Z373" s="162">
        <f>'Parametros Recargas'!$U$97/P373</f>
        <v>0.01348039216</v>
      </c>
    </row>
    <row r="374" ht="15.75" customHeight="1">
      <c r="A374" s="30" t="s">
        <v>500</v>
      </c>
      <c r="B374" s="118" t="s">
        <v>458</v>
      </c>
      <c r="C374" s="63">
        <f t="shared" ref="C374:N374" si="246">($T374*C$354+$U374*C$355+$V374*C$356+$W374*C$357+$X374*C$358+$Y374*C$359)/$B$2</f>
        <v>55.62614734</v>
      </c>
      <c r="D374" s="63">
        <f t="shared" si="246"/>
        <v>45.58363623</v>
      </c>
      <c r="E374" s="63">
        <f t="shared" si="246"/>
        <v>46.79004504</v>
      </c>
      <c r="F374" s="63">
        <f t="shared" si="246"/>
        <v>45.69217467</v>
      </c>
      <c r="G374" s="63">
        <f t="shared" si="246"/>
        <v>44.48576586</v>
      </c>
      <c r="H374" s="63">
        <f t="shared" si="246"/>
        <v>43.27935704</v>
      </c>
      <c r="I374" s="63">
        <f t="shared" si="246"/>
        <v>45.80071312</v>
      </c>
      <c r="J374" s="63">
        <f t="shared" si="246"/>
        <v>46.6815066</v>
      </c>
      <c r="K374" s="63">
        <f t="shared" si="246"/>
        <v>46.6815066</v>
      </c>
      <c r="L374" s="63">
        <f t="shared" si="246"/>
        <v>45.58363623</v>
      </c>
      <c r="M374" s="63">
        <f t="shared" si="246"/>
        <v>45.47509778</v>
      </c>
      <c r="N374" s="63">
        <f t="shared" si="246"/>
        <v>66.53929428</v>
      </c>
      <c r="O374" s="44">
        <f t="shared" si="233"/>
        <v>66.53929428</v>
      </c>
      <c r="P374" s="63">
        <f>'Parametros Recargas'!$M$98</f>
        <v>34</v>
      </c>
      <c r="Q374" s="36">
        <f>MAX(Q319,ROUNDUP(O374/(P374*'Parametros Recargas'!H$8*'Parametros Recargas'!$B$19),0))</f>
        <v>2</v>
      </c>
      <c r="R374" s="46">
        <f>IF(AND('Parametros Recargas'!H$8=2,O374/(P374*Q374*'Parametros Recargas'!$B$19)&gt;1),2,1)</f>
        <v>2</v>
      </c>
      <c r="S374" s="34">
        <f t="shared" si="234"/>
        <v>0.4892595167</v>
      </c>
      <c r="T374" s="161">
        <f>'Parametros Recargas'!D67</f>
        <v>1</v>
      </c>
      <c r="U374" s="161">
        <f>'Parametros Recargas'!E67</f>
        <v>0</v>
      </c>
      <c r="V374" s="161">
        <f>'Parametros Recargas'!F67</f>
        <v>0</v>
      </c>
      <c r="W374" s="161">
        <f>'Parametros Recargas'!G67</f>
        <v>0</v>
      </c>
      <c r="X374" s="161">
        <f>'Parametros Recargas'!H67</f>
        <v>0</v>
      </c>
      <c r="Y374" s="161">
        <f>'Parametros Recargas'!I67</f>
        <v>0</v>
      </c>
      <c r="Z374" s="162">
        <f>'Parametros Recargas'!$U$98/P374</f>
        <v>0.01470588235</v>
      </c>
    </row>
    <row r="375" ht="15.75" customHeight="1">
      <c r="A375" s="30" t="s">
        <v>522</v>
      </c>
      <c r="B375" s="118" t="s">
        <v>458</v>
      </c>
      <c r="C375" s="63">
        <f t="shared" ref="C375:N375" si="247">($T375*C$354+$U375*C$355+$V375*C$356+$W375*C$357+$X375*C$358+$Y375*C$359)/$B$2</f>
        <v>0.07580571556</v>
      </c>
      <c r="D375" s="63">
        <f t="shared" si="247"/>
        <v>0.06738285827</v>
      </c>
      <c r="E375" s="63">
        <f t="shared" si="247"/>
        <v>0.07159428691</v>
      </c>
      <c r="F375" s="63">
        <f t="shared" si="247"/>
        <v>0.06738285827</v>
      </c>
      <c r="G375" s="63">
        <f t="shared" si="247"/>
        <v>0.06317142963</v>
      </c>
      <c r="H375" s="63">
        <f t="shared" si="247"/>
        <v>0.05896000099</v>
      </c>
      <c r="I375" s="63">
        <f t="shared" si="247"/>
        <v>0.06738285827</v>
      </c>
      <c r="J375" s="63">
        <f t="shared" si="247"/>
        <v>0.07159428691</v>
      </c>
      <c r="K375" s="63">
        <f t="shared" si="247"/>
        <v>0.07159428691</v>
      </c>
      <c r="L375" s="63">
        <f t="shared" si="247"/>
        <v>0.06738285827</v>
      </c>
      <c r="M375" s="63">
        <f t="shared" si="247"/>
        <v>0.06738285827</v>
      </c>
      <c r="N375" s="63">
        <f t="shared" si="247"/>
        <v>0.09265143012</v>
      </c>
      <c r="O375" s="44">
        <f t="shared" si="233"/>
        <v>0.09265143012</v>
      </c>
      <c r="P375" s="63">
        <f>'Parametros Recargas'!$M$99</f>
        <v>34</v>
      </c>
      <c r="Q375" s="36">
        <f>MAX(Q320,ROUNDUP(O375/(P375*'Parametros Recargas'!H$8*'Parametros Recargas'!$B$19),0))</f>
        <v>1</v>
      </c>
      <c r="R375" s="46">
        <f>IF(AND('Parametros Recargas'!H$8=2,O375/(P375*Q375*'Parametros Recargas'!$B$19)&gt;1),2,1)</f>
        <v>1</v>
      </c>
      <c r="S375" s="34">
        <f t="shared" si="234"/>
        <v>0.002725042062</v>
      </c>
      <c r="T375" s="161">
        <f>'Parametros Recargas'!D68</f>
        <v>0</v>
      </c>
      <c r="U375" s="161">
        <f>'Parametros Recargas'!E68</f>
        <v>1</v>
      </c>
      <c r="V375" s="161">
        <f>'Parametros Recargas'!F68</f>
        <v>0</v>
      </c>
      <c r="W375" s="161">
        <f>'Parametros Recargas'!G68</f>
        <v>0</v>
      </c>
      <c r="X375" s="161">
        <f>'Parametros Recargas'!H68</f>
        <v>0</v>
      </c>
      <c r="Y375" s="161">
        <f>'Parametros Recargas'!I68</f>
        <v>0</v>
      </c>
      <c r="Z375" s="162">
        <f>'Parametros Recargas'!$U$99/P375</f>
        <v>0.02941176471</v>
      </c>
    </row>
    <row r="376" ht="15.75" customHeight="1">
      <c r="A376" s="30" t="s">
        <v>529</v>
      </c>
      <c r="B376" s="118" t="s">
        <v>458</v>
      </c>
      <c r="C376" s="63">
        <f t="shared" ref="C376:N376" si="248">($T376*C$354+$U376*C$355+$V376*C$356+$W376*C$357+$X376*C$358+$Y376*C$359)/$B$2</f>
        <v>0.06738285827</v>
      </c>
      <c r="D376" s="63">
        <f t="shared" si="248"/>
        <v>0.05989587402</v>
      </c>
      <c r="E376" s="63">
        <f t="shared" si="248"/>
        <v>0.06363936615</v>
      </c>
      <c r="F376" s="63">
        <f t="shared" si="248"/>
        <v>0.05989587402</v>
      </c>
      <c r="G376" s="63">
        <f t="shared" si="248"/>
        <v>0.05615238189</v>
      </c>
      <c r="H376" s="63">
        <f t="shared" si="248"/>
        <v>0.05240888977</v>
      </c>
      <c r="I376" s="63">
        <f t="shared" si="248"/>
        <v>0.05989587402</v>
      </c>
      <c r="J376" s="63">
        <f t="shared" si="248"/>
        <v>0.06363936615</v>
      </c>
      <c r="K376" s="63">
        <f t="shared" si="248"/>
        <v>0.06363936615</v>
      </c>
      <c r="L376" s="63">
        <f t="shared" si="248"/>
        <v>0.05989587402</v>
      </c>
      <c r="M376" s="63">
        <f t="shared" si="248"/>
        <v>0.05989587402</v>
      </c>
      <c r="N376" s="63">
        <f t="shared" si="248"/>
        <v>0.08235682678</v>
      </c>
      <c r="O376" s="44">
        <f t="shared" si="233"/>
        <v>0.08235682678</v>
      </c>
      <c r="P376" s="63">
        <f>'Parametros Recargas'!$M$100</f>
        <v>8.4375</v>
      </c>
      <c r="Q376" s="36">
        <f>MAX(Q321,ROUNDUP(O376/(P376*'Parametros Recargas'!H$8*'Parametros Recargas'!$B$19),0))</f>
        <v>1</v>
      </c>
      <c r="R376" s="46">
        <f>IF(AND('Parametros Recargas'!H$8=2,O376/(P376*Q376*'Parametros Recargas'!$B$19)&gt;1),2,1)</f>
        <v>1</v>
      </c>
      <c r="S376" s="34">
        <f t="shared" si="234"/>
        <v>0.009760809099</v>
      </c>
      <c r="T376" s="161">
        <f>'Parametros Recargas'!D69</f>
        <v>0</v>
      </c>
      <c r="U376" s="161">
        <f>'Parametros Recargas'!E69</f>
        <v>0</v>
      </c>
      <c r="V376" s="161">
        <f>'Parametros Recargas'!F69</f>
        <v>1</v>
      </c>
      <c r="W376" s="161">
        <f>'Parametros Recargas'!G69</f>
        <v>0</v>
      </c>
      <c r="X376" s="161">
        <f>'Parametros Recargas'!H69</f>
        <v>0</v>
      </c>
      <c r="Y376" s="161">
        <f>'Parametros Recargas'!I69</f>
        <v>0</v>
      </c>
      <c r="Z376" s="162">
        <f>'Parametros Recargas'!$U$100/P376</f>
        <v>0.1185185185</v>
      </c>
    </row>
    <row r="377" ht="15.75" customHeight="1">
      <c r="A377" s="30" t="s">
        <v>531</v>
      </c>
      <c r="B377" s="118" t="s">
        <v>458</v>
      </c>
      <c r="C377" s="63">
        <f t="shared" ref="C377:N377" si="249">($T377*C$354+$U377*C$355+$V377*C$356+$W377*C$357+$X377*C$358+$Y377*C$359)/$B$2</f>
        <v>2.676551218</v>
      </c>
      <c r="D377" s="63">
        <f t="shared" si="249"/>
        <v>2.34086954</v>
      </c>
      <c r="E377" s="63">
        <f t="shared" si="249"/>
        <v>2.487173886</v>
      </c>
      <c r="F377" s="63">
        <f t="shared" si="249"/>
        <v>2.362406033</v>
      </c>
      <c r="G377" s="63">
        <f t="shared" si="249"/>
        <v>2.216101686</v>
      </c>
      <c r="H377" s="63">
        <f t="shared" si="249"/>
        <v>2.06979734</v>
      </c>
      <c r="I377" s="63">
        <f t="shared" si="249"/>
        <v>2.383942525</v>
      </c>
      <c r="J377" s="63">
        <f t="shared" si="249"/>
        <v>2.465637393</v>
      </c>
      <c r="K377" s="63">
        <f t="shared" si="249"/>
        <v>2.465637393</v>
      </c>
      <c r="L377" s="63">
        <f t="shared" si="249"/>
        <v>2.34086954</v>
      </c>
      <c r="M377" s="63">
        <f t="shared" si="249"/>
        <v>2.319333047</v>
      </c>
      <c r="N377" s="63">
        <f t="shared" si="249"/>
        <v>3.132549646</v>
      </c>
      <c r="O377" s="44">
        <f t="shared" si="233"/>
        <v>3.132549646</v>
      </c>
      <c r="P377" s="63">
        <f>'Parametros Recargas'!$M$101</f>
        <v>18.29818182</v>
      </c>
      <c r="Q377" s="36">
        <f>MAX(Q322,ROUNDUP(O377/(P377*'Parametros Recargas'!H$8*'Parametros Recargas'!$B$19),0))</f>
        <v>1</v>
      </c>
      <c r="R377" s="46">
        <f>IF(AND('Parametros Recargas'!H$8=2,O377/(P377*Q377*'Parametros Recargas'!$B$19)&gt;1),2,1)</f>
        <v>1</v>
      </c>
      <c r="S377" s="34">
        <f t="shared" si="234"/>
        <v>0.1711945852</v>
      </c>
      <c r="T377" s="161">
        <f>'Parametros Recargas'!D70</f>
        <v>0</v>
      </c>
      <c r="U377" s="161">
        <f>'Parametros Recargas'!E70</f>
        <v>0</v>
      </c>
      <c r="V377" s="161">
        <f>'Parametros Recargas'!F70</f>
        <v>0</v>
      </c>
      <c r="W377" s="161">
        <f>'Parametros Recargas'!G70</f>
        <v>1</v>
      </c>
      <c r="X377" s="161">
        <f>'Parametros Recargas'!H70</f>
        <v>0</v>
      </c>
      <c r="Y377" s="161">
        <f>'Parametros Recargas'!I70</f>
        <v>0</v>
      </c>
      <c r="Z377" s="162">
        <f>'Parametros Recargas'!$U$101/P377</f>
        <v>0.05465023847</v>
      </c>
    </row>
    <row r="378" ht="15.75" customHeight="1">
      <c r="A378" s="30" t="s">
        <v>533</v>
      </c>
      <c r="B378" s="118" t="s">
        <v>458</v>
      </c>
      <c r="C378" s="63">
        <f t="shared" ref="C378:N378" si="250">($T378*C$354+$U378*C$355+$V378*C$356+$W378*C$357+$X378*C$358+$Y378*C$359)/$B$2</f>
        <v>1.696897589</v>
      </c>
      <c r="D378" s="63">
        <f t="shared" si="250"/>
        <v>1.508353413</v>
      </c>
      <c r="E378" s="63">
        <f t="shared" si="250"/>
        <v>1.602625501</v>
      </c>
      <c r="F378" s="63">
        <f t="shared" si="250"/>
        <v>1.508353413</v>
      </c>
      <c r="G378" s="63">
        <f t="shared" si="250"/>
        <v>1.414081324</v>
      </c>
      <c r="H378" s="63">
        <f t="shared" si="250"/>
        <v>1.319809236</v>
      </c>
      <c r="I378" s="63">
        <f t="shared" si="250"/>
        <v>1.508353413</v>
      </c>
      <c r="J378" s="63">
        <f t="shared" si="250"/>
        <v>1.602625501</v>
      </c>
      <c r="K378" s="63">
        <f t="shared" si="250"/>
        <v>1.602625501</v>
      </c>
      <c r="L378" s="63">
        <f t="shared" si="250"/>
        <v>1.508353413</v>
      </c>
      <c r="M378" s="63">
        <f t="shared" si="250"/>
        <v>1.508353413</v>
      </c>
      <c r="N378" s="63">
        <f t="shared" si="250"/>
        <v>2.073985943</v>
      </c>
      <c r="O378" s="44">
        <f t="shared" si="233"/>
        <v>2.073985943</v>
      </c>
      <c r="P378" s="63">
        <f>'Parametros Recargas'!$M$102</f>
        <v>15.69230769</v>
      </c>
      <c r="Q378" s="36">
        <f>MAX(Q323,ROUNDUP(O378/(P378*'Parametros Recargas'!H$8*'Parametros Recargas'!$B$19),0))</f>
        <v>1</v>
      </c>
      <c r="R378" s="46">
        <f>IF(AND('Parametros Recargas'!H$8=2,O378/(P378*Q378*'Parametros Recargas'!$B$19)&gt;1),2,1)</f>
        <v>1</v>
      </c>
      <c r="S378" s="34">
        <f t="shared" si="234"/>
        <v>0.1321657709</v>
      </c>
      <c r="T378" s="161">
        <f>'Parametros Recargas'!D71</f>
        <v>0</v>
      </c>
      <c r="U378" s="161">
        <f>'Parametros Recargas'!E71</f>
        <v>0</v>
      </c>
      <c r="V378" s="161">
        <f>'Parametros Recargas'!F71</f>
        <v>0</v>
      </c>
      <c r="W378" s="161">
        <f>'Parametros Recargas'!G71</f>
        <v>0</v>
      </c>
      <c r="X378" s="161">
        <f>'Parametros Recargas'!H71</f>
        <v>0.35</v>
      </c>
      <c r="Y378" s="161">
        <f>'Parametros Recargas'!I71</f>
        <v>0</v>
      </c>
      <c r="Z378" s="162">
        <f>'Parametros Recargas'!$U$102/P378</f>
        <v>0.0637254902</v>
      </c>
    </row>
    <row r="379" ht="15.75" customHeight="1">
      <c r="A379" s="30" t="s">
        <v>535</v>
      </c>
      <c r="B379" s="118" t="s">
        <v>458</v>
      </c>
      <c r="C379" s="63">
        <f t="shared" ref="C379:N379" si="251">($T379*C$354+$U379*C$355+$V379*C$356+$W379*C$357+$X379*C$358+$Y379*C$359)/$B$2</f>
        <v>0.06794780602</v>
      </c>
      <c r="D379" s="63">
        <f t="shared" si="251"/>
        <v>0.06039804979</v>
      </c>
      <c r="E379" s="63">
        <f t="shared" si="251"/>
        <v>0.0641729279</v>
      </c>
      <c r="F379" s="63">
        <f t="shared" si="251"/>
        <v>0.06039804979</v>
      </c>
      <c r="G379" s="63">
        <f t="shared" si="251"/>
        <v>0.05662317168</v>
      </c>
      <c r="H379" s="63">
        <f t="shared" si="251"/>
        <v>0.05284829357</v>
      </c>
      <c r="I379" s="63">
        <f t="shared" si="251"/>
        <v>0.06039804979</v>
      </c>
      <c r="J379" s="63">
        <f t="shared" si="251"/>
        <v>0.0641729279</v>
      </c>
      <c r="K379" s="63">
        <f t="shared" si="251"/>
        <v>0.0641729279</v>
      </c>
      <c r="L379" s="63">
        <f t="shared" si="251"/>
        <v>0.06039804979</v>
      </c>
      <c r="M379" s="63">
        <f t="shared" si="251"/>
        <v>0.06039804979</v>
      </c>
      <c r="N379" s="63">
        <f t="shared" si="251"/>
        <v>0.08304731846</v>
      </c>
      <c r="O379" s="44">
        <f t="shared" si="233"/>
        <v>0.08304731846</v>
      </c>
      <c r="P379" s="63">
        <f>'Parametros Recargas'!$M$103</f>
        <v>12</v>
      </c>
      <c r="Q379" s="36">
        <f>MAX(Q324,ROUNDUP(O379/(P379*'Parametros Recargas'!H$8*'Parametros Recargas'!$B$19),0))</f>
        <v>1</v>
      </c>
      <c r="R379" s="46">
        <f>IF(AND('Parametros Recargas'!H$8=2,O379/(P379*Q379*'Parametros Recargas'!$B$19)&gt;1),2,1)</f>
        <v>1</v>
      </c>
      <c r="S379" s="34">
        <f t="shared" si="234"/>
        <v>0.006920609872</v>
      </c>
      <c r="T379" s="161">
        <f>'Parametros Recargas'!D72</f>
        <v>0</v>
      </c>
      <c r="U379" s="161">
        <f>'Parametros Recargas'!E72</f>
        <v>0</v>
      </c>
      <c r="V379" s="161">
        <f>'Parametros Recargas'!F72</f>
        <v>0</v>
      </c>
      <c r="W379" s="161">
        <f>'Parametros Recargas'!G72</f>
        <v>0</v>
      </c>
      <c r="X379" s="161">
        <f>'Parametros Recargas'!H72</f>
        <v>0</v>
      </c>
      <c r="Y379" s="161">
        <f>'Parametros Recargas'!I72</f>
        <v>0.35</v>
      </c>
      <c r="Z379" s="162">
        <f>'Parametros Recargas'!$U$103/P379</f>
        <v>0.08333333333</v>
      </c>
    </row>
    <row r="380" ht="15.75" customHeight="1">
      <c r="A380" s="73" t="s">
        <v>536</v>
      </c>
      <c r="B380" s="118" t="s">
        <v>458</v>
      </c>
      <c r="C380" s="63">
        <f t="shared" ref="C380:N380" si="252">($T380*C$354+$U380*C$355+$V380*C$356+$W380*C$357+$X380*C$358+$Y380*C$359)/$B$2</f>
        <v>60.21073252</v>
      </c>
      <c r="D380" s="63">
        <f t="shared" si="252"/>
        <v>49.62053596</v>
      </c>
      <c r="E380" s="63">
        <f t="shared" si="252"/>
        <v>51.07925101</v>
      </c>
      <c r="F380" s="63">
        <f t="shared" si="252"/>
        <v>49.7506109</v>
      </c>
      <c r="G380" s="63">
        <f t="shared" si="252"/>
        <v>48.29189585</v>
      </c>
      <c r="H380" s="63">
        <f t="shared" si="252"/>
        <v>46.8331808</v>
      </c>
      <c r="I380" s="63">
        <f t="shared" si="252"/>
        <v>49.88068584</v>
      </c>
      <c r="J380" s="63">
        <f t="shared" si="252"/>
        <v>50.94917607</v>
      </c>
      <c r="K380" s="63">
        <f t="shared" si="252"/>
        <v>50.94917607</v>
      </c>
      <c r="L380" s="63">
        <f t="shared" si="252"/>
        <v>49.62053596</v>
      </c>
      <c r="M380" s="63">
        <f t="shared" si="252"/>
        <v>49.49046102</v>
      </c>
      <c r="N380" s="63">
        <f t="shared" si="252"/>
        <v>72.00388544</v>
      </c>
      <c r="O380" s="44">
        <f t="shared" si="233"/>
        <v>72.00388544</v>
      </c>
      <c r="P380" s="63">
        <f>'Parametros Recargas'!$M$104</f>
        <v>25.04347826</v>
      </c>
      <c r="Q380" s="36">
        <f>MAX(Q325,ROUNDUP(O380/(P380*'Parametros Recargas'!H$8*'Parametros Recargas'!$B$19),0))</f>
        <v>3</v>
      </c>
      <c r="R380" s="46">
        <f>IF(AND('Parametros Recargas'!H$8=2,O380/(P380*Q380*'Parametros Recargas'!$B$19)&gt;1),2,1)</f>
        <v>2</v>
      </c>
      <c r="S380" s="34">
        <f t="shared" si="234"/>
        <v>0.4791925246</v>
      </c>
      <c r="T380" s="161">
        <f>'Parametros Recargas'!D73</f>
        <v>1</v>
      </c>
      <c r="U380" s="161">
        <f>'Parametros Recargas'!E73</f>
        <v>1</v>
      </c>
      <c r="V380" s="161">
        <f>'Parametros Recargas'!F73</f>
        <v>1</v>
      </c>
      <c r="W380" s="161">
        <f>'Parametros Recargas'!G73</f>
        <v>1</v>
      </c>
      <c r="X380" s="161">
        <f>'Parametros Recargas'!H73</f>
        <v>0.35</v>
      </c>
      <c r="Y380" s="161">
        <f>'Parametros Recargas'!I73</f>
        <v>0.35</v>
      </c>
      <c r="Z380" s="162">
        <f>'Parametros Recargas'!$U$104/P380</f>
        <v>0.03993055556</v>
      </c>
    </row>
    <row r="381" ht="15.75" customHeight="1">
      <c r="A381" s="73" t="s">
        <v>537</v>
      </c>
      <c r="B381" s="118" t="s">
        <v>458</v>
      </c>
      <c r="C381" s="63">
        <f t="shared" ref="C381:N381" si="253">($T381*C$354+$U381*C$355+$V381*C$356+$W381*C$357+$X381*C$358+$Y381*C$359)/$B$2</f>
        <v>58.51383493</v>
      </c>
      <c r="D381" s="63">
        <f t="shared" si="253"/>
        <v>48.11218255</v>
      </c>
      <c r="E381" s="63">
        <f t="shared" si="253"/>
        <v>49.47662551</v>
      </c>
      <c r="F381" s="63">
        <f t="shared" si="253"/>
        <v>48.24225749</v>
      </c>
      <c r="G381" s="63">
        <f t="shared" si="253"/>
        <v>46.87781453</v>
      </c>
      <c r="H381" s="63">
        <f t="shared" si="253"/>
        <v>45.51337156</v>
      </c>
      <c r="I381" s="63">
        <f t="shared" si="253"/>
        <v>48.37233242</v>
      </c>
      <c r="J381" s="63">
        <f t="shared" si="253"/>
        <v>49.34655057</v>
      </c>
      <c r="K381" s="63">
        <f t="shared" si="253"/>
        <v>49.34655057</v>
      </c>
      <c r="L381" s="63">
        <f t="shared" si="253"/>
        <v>48.11218255</v>
      </c>
      <c r="M381" s="63">
        <f t="shared" si="253"/>
        <v>47.98210761</v>
      </c>
      <c r="N381" s="63">
        <f t="shared" si="253"/>
        <v>69.9298995</v>
      </c>
      <c r="O381" s="44">
        <f t="shared" si="233"/>
        <v>69.9298995</v>
      </c>
      <c r="P381" s="63">
        <f>'Parametros Recargas'!$M$105</f>
        <v>52.36363636</v>
      </c>
      <c r="Q381" s="36">
        <f>MAX(Q326,ROUNDUP(O381/(P381*'Parametros Recargas'!H$8*'Parametros Recargas'!$B$19),0))</f>
        <v>2</v>
      </c>
      <c r="R381" s="46">
        <f>IF(AND('Parametros Recargas'!H$8=2,O381/(P381*Q381*'Parametros Recargas'!$B$19)&gt;1),2,1)</f>
        <v>1</v>
      </c>
      <c r="S381" s="34">
        <f t="shared" si="234"/>
        <v>0.6677334154</v>
      </c>
      <c r="T381" s="161">
        <f>'Parametros Recargas'!D74</f>
        <v>1</v>
      </c>
      <c r="U381" s="161">
        <f>'Parametros Recargas'!E74</f>
        <v>1</v>
      </c>
      <c r="V381" s="161">
        <f>'Parametros Recargas'!F74</f>
        <v>1</v>
      </c>
      <c r="W381" s="161">
        <f>'Parametros Recargas'!G74</f>
        <v>1</v>
      </c>
      <c r="X381" s="161">
        <f>'Parametros Recargas'!H74</f>
        <v>0</v>
      </c>
      <c r="Y381" s="161">
        <f>'Parametros Recargas'!I74</f>
        <v>0.35</v>
      </c>
      <c r="Z381" s="162">
        <f>'Parametros Recargas'!$U$105/P381</f>
        <v>0.01909722222</v>
      </c>
    </row>
    <row r="382" ht="15.75" customHeight="1">
      <c r="A382" s="73" t="s">
        <v>546</v>
      </c>
      <c r="B382" s="118" t="s">
        <v>458</v>
      </c>
      <c r="C382" s="63">
        <f t="shared" ref="C382:N382" si="254">($T382*C$354+$U382*C$355+$V382*C$356+$W382*C$357+$X382*C$358+$Y382*C$359)/$B$2</f>
        <v>5.042415415</v>
      </c>
      <c r="D382" s="63">
        <f t="shared" si="254"/>
        <v>4.482147036</v>
      </c>
      <c r="E382" s="63">
        <f t="shared" si="254"/>
        <v>4.762281226</v>
      </c>
      <c r="F382" s="63">
        <f t="shared" si="254"/>
        <v>4.482147036</v>
      </c>
      <c r="G382" s="63">
        <f t="shared" si="254"/>
        <v>4.202012846</v>
      </c>
      <c r="H382" s="63">
        <f t="shared" si="254"/>
        <v>3.921878656</v>
      </c>
      <c r="I382" s="63">
        <f t="shared" si="254"/>
        <v>4.482147036</v>
      </c>
      <c r="J382" s="63">
        <f t="shared" si="254"/>
        <v>4.762281226</v>
      </c>
      <c r="K382" s="63">
        <f t="shared" si="254"/>
        <v>4.762281226</v>
      </c>
      <c r="L382" s="63">
        <f t="shared" si="254"/>
        <v>4.482147036</v>
      </c>
      <c r="M382" s="63">
        <f t="shared" si="254"/>
        <v>4.482147036</v>
      </c>
      <c r="N382" s="63">
        <f t="shared" si="254"/>
        <v>6.162952174</v>
      </c>
      <c r="O382" s="44">
        <f t="shared" si="233"/>
        <v>6.162952174</v>
      </c>
      <c r="P382" s="63">
        <f>'Parametros Recargas'!$M$106</f>
        <v>55.63636364</v>
      </c>
      <c r="Q382" s="36">
        <f>MAX(Q327,ROUNDUP(O382/(P382*'Parametros Recargas'!H$8*'Parametros Recargas'!$B$19),0))</f>
        <v>1</v>
      </c>
      <c r="R382" s="46">
        <f>IF(AND('Parametros Recargas'!H$8=2,O382/(P382*Q382*'Parametros Recargas'!$B$19)&gt;1),2,1)</f>
        <v>1</v>
      </c>
      <c r="S382" s="34">
        <f t="shared" si="234"/>
        <v>0.1107720162</v>
      </c>
      <c r="T382" s="161">
        <f>'Parametros Recargas'!D75</f>
        <v>0</v>
      </c>
      <c r="U382" s="161">
        <f>'Parametros Recargas'!E75</f>
        <v>0</v>
      </c>
      <c r="V382" s="161">
        <f>'Parametros Recargas'!F75</f>
        <v>0</v>
      </c>
      <c r="W382" s="161">
        <f>'Parametros Recargas'!G75</f>
        <v>0</v>
      </c>
      <c r="X382" s="161">
        <f>'Parametros Recargas'!H75</f>
        <v>1</v>
      </c>
      <c r="Y382" s="161">
        <f>'Parametros Recargas'!I75</f>
        <v>1</v>
      </c>
      <c r="Z382" s="162">
        <f>'Parametros Recargas'!$U$106/P382</f>
        <v>0.01797385621</v>
      </c>
    </row>
    <row r="383" ht="15.75" customHeight="1">
      <c r="A383" s="73" t="s">
        <v>559</v>
      </c>
      <c r="B383" s="118" t="s">
        <v>458</v>
      </c>
      <c r="C383" s="63">
        <f t="shared" ref="C383:N383" si="255">($T383*C$354+$U383*C$355+$V383*C$356+$W383*C$357+$X383*C$358+$Y383*C$359)/$B$2</f>
        <v>63.48830254</v>
      </c>
      <c r="D383" s="63">
        <f t="shared" si="255"/>
        <v>52.53393153</v>
      </c>
      <c r="E383" s="63">
        <f t="shared" si="255"/>
        <v>54.17473381</v>
      </c>
      <c r="F383" s="63">
        <f t="shared" si="255"/>
        <v>52.66400647</v>
      </c>
      <c r="G383" s="63">
        <f t="shared" si="255"/>
        <v>51.0232042</v>
      </c>
      <c r="H383" s="63">
        <f t="shared" si="255"/>
        <v>49.38240193</v>
      </c>
      <c r="I383" s="63">
        <f t="shared" si="255"/>
        <v>52.79408141</v>
      </c>
      <c r="J383" s="63">
        <f t="shared" si="255"/>
        <v>54.04465887</v>
      </c>
      <c r="K383" s="63">
        <f t="shared" si="255"/>
        <v>54.04465887</v>
      </c>
      <c r="L383" s="63">
        <f t="shared" si="255"/>
        <v>52.53393153</v>
      </c>
      <c r="M383" s="63">
        <f t="shared" si="255"/>
        <v>52.4038566</v>
      </c>
      <c r="N383" s="63">
        <f t="shared" si="255"/>
        <v>76.00980435</v>
      </c>
      <c r="O383" s="44">
        <f t="shared" si="233"/>
        <v>76.00980435</v>
      </c>
      <c r="P383" s="63">
        <f>'Parametros Recargas'!$M$107</f>
        <v>76.5</v>
      </c>
      <c r="Q383" s="36">
        <f>MAX(Q328,ROUNDUP(O383/(P383*'Parametros Recargas'!H$8*'Parametros Recargas'!$B$19),0))</f>
        <v>1</v>
      </c>
      <c r="R383" s="46">
        <f>IF(AND('Parametros Recargas'!H$8=2,O383/(P383*Q383*'Parametros Recargas'!$B$19)&gt;1),2,1)</f>
        <v>2</v>
      </c>
      <c r="S383" s="34">
        <f t="shared" si="234"/>
        <v>0.4967961069</v>
      </c>
      <c r="T383" s="161">
        <f>'Parametros Recargas'!D76</f>
        <v>1</v>
      </c>
      <c r="U383" s="161">
        <f>'Parametros Recargas'!E76</f>
        <v>1</v>
      </c>
      <c r="V383" s="161">
        <f>'Parametros Recargas'!F76</f>
        <v>1</v>
      </c>
      <c r="W383" s="161">
        <f>'Parametros Recargas'!G76</f>
        <v>1</v>
      </c>
      <c r="X383" s="161">
        <f>'Parametros Recargas'!H76</f>
        <v>1</v>
      </c>
      <c r="Y383" s="161">
        <f>'Parametros Recargas'!I76</f>
        <v>1</v>
      </c>
      <c r="Z383" s="162">
        <f>'Parametros Recargas'!$U$107/P383</f>
        <v>0.003267973856</v>
      </c>
    </row>
    <row r="384" ht="15.75" customHeight="1">
      <c r="A384" s="73" t="s">
        <v>566</v>
      </c>
      <c r="B384" s="118" t="s">
        <v>458</v>
      </c>
      <c r="C384" s="63">
        <f t="shared" ref="C384:N384" si="256">($T384*C$354+$U384*C$355+$V384*C$356+$W384*C$357+$X384*C$358+$Y384*C$359)/$B$2</f>
        <v>9.523245381</v>
      </c>
      <c r="D384" s="63">
        <f t="shared" si="256"/>
        <v>7.88008973</v>
      </c>
      <c r="E384" s="63">
        <f t="shared" si="256"/>
        <v>8.126210071</v>
      </c>
      <c r="F384" s="63">
        <f t="shared" si="256"/>
        <v>7.899600971</v>
      </c>
      <c r="G384" s="63">
        <f t="shared" si="256"/>
        <v>7.65348063</v>
      </c>
      <c r="H384" s="63">
        <f t="shared" si="256"/>
        <v>7.407360289</v>
      </c>
      <c r="I384" s="63">
        <f t="shared" si="256"/>
        <v>7.919112212</v>
      </c>
      <c r="J384" s="63">
        <f t="shared" si="256"/>
        <v>8.10669883</v>
      </c>
      <c r="K384" s="63">
        <f t="shared" si="256"/>
        <v>8.10669883</v>
      </c>
      <c r="L384" s="63">
        <f t="shared" si="256"/>
        <v>7.88008973</v>
      </c>
      <c r="M384" s="63">
        <f t="shared" si="256"/>
        <v>7.860578489</v>
      </c>
      <c r="N384" s="63">
        <f t="shared" si="256"/>
        <v>11.40147065</v>
      </c>
      <c r="O384" s="44">
        <f t="shared" si="233"/>
        <v>11.40147065</v>
      </c>
      <c r="P384" s="63">
        <f>'Parametros Recargas'!$M$108</f>
        <v>8</v>
      </c>
      <c r="Q384" s="36">
        <f>MAX(Q329,ROUNDUP(O384/(P384*'Parametros Recargas'!H$8*'Parametros Recargas'!$B$19),0))</f>
        <v>2</v>
      </c>
      <c r="R384" s="46">
        <f>IF(AND('Parametros Recargas'!H$8=2,O384/(P384*Q384*'Parametros Recargas'!$B$19)&gt;1),2,1)</f>
        <v>1</v>
      </c>
      <c r="S384" s="34">
        <f t="shared" si="234"/>
        <v>0.7125919158</v>
      </c>
      <c r="T384" s="161">
        <f>'Parametros Recargas'!D77</f>
        <v>0.15</v>
      </c>
      <c r="U384" s="161">
        <f>'Parametros Recargas'!E77</f>
        <v>0.15</v>
      </c>
      <c r="V384" s="161">
        <f>'Parametros Recargas'!F77</f>
        <v>0.15</v>
      </c>
      <c r="W384" s="161">
        <f>'Parametros Recargas'!G77</f>
        <v>0.15</v>
      </c>
      <c r="X384" s="161">
        <f>'Parametros Recargas'!H77</f>
        <v>0.15</v>
      </c>
      <c r="Y384" s="161">
        <f>'Parametros Recargas'!I77</f>
        <v>0.15</v>
      </c>
      <c r="Z384" s="162">
        <f>'Parametros Recargas'!$U$108/P384</f>
        <v>0.125</v>
      </c>
    </row>
    <row r="385" ht="15.75" customHeight="1">
      <c r="A385" s="73" t="s">
        <v>574</v>
      </c>
      <c r="B385" s="118" t="s">
        <v>458</v>
      </c>
      <c r="C385" s="63">
        <f t="shared" ref="C385:N385" si="257">($T385*C$354+$U385*C$355+$V385*C$356+$W385*C$357+$X385*C$358+$Y385*C$359)/$B$2</f>
        <v>63.48830254</v>
      </c>
      <c r="D385" s="63">
        <f t="shared" si="257"/>
        <v>52.53393153</v>
      </c>
      <c r="E385" s="63">
        <f t="shared" si="257"/>
        <v>54.17473381</v>
      </c>
      <c r="F385" s="63">
        <f t="shared" si="257"/>
        <v>52.66400647</v>
      </c>
      <c r="G385" s="63">
        <f t="shared" si="257"/>
        <v>51.0232042</v>
      </c>
      <c r="H385" s="63">
        <f t="shared" si="257"/>
        <v>49.38240193</v>
      </c>
      <c r="I385" s="63">
        <f t="shared" si="257"/>
        <v>52.79408141</v>
      </c>
      <c r="J385" s="63">
        <f t="shared" si="257"/>
        <v>54.04465887</v>
      </c>
      <c r="K385" s="63">
        <f t="shared" si="257"/>
        <v>54.04465887</v>
      </c>
      <c r="L385" s="63">
        <f t="shared" si="257"/>
        <v>52.53393153</v>
      </c>
      <c r="M385" s="63">
        <f t="shared" si="257"/>
        <v>52.4038566</v>
      </c>
      <c r="N385" s="63">
        <f t="shared" si="257"/>
        <v>76.00980435</v>
      </c>
      <c r="O385" s="44">
        <f t="shared" si="233"/>
        <v>76.00980435</v>
      </c>
      <c r="P385" s="63">
        <f>'Parametros Recargas'!$M$109</f>
        <v>52.36363636</v>
      </c>
      <c r="Q385" s="36">
        <f>MAX(Q330,ROUNDUP(O385/(P385*'Parametros Recargas'!H$8*'Parametros Recargas'!$B$19),0))</f>
        <v>2</v>
      </c>
      <c r="R385" s="46">
        <f>IF(AND('Parametros Recargas'!H$8=2,O385/(P385*Q385*'Parametros Recargas'!$B$19)&gt;1),2,1)</f>
        <v>1</v>
      </c>
      <c r="S385" s="34">
        <f t="shared" si="234"/>
        <v>0.7257880624</v>
      </c>
      <c r="T385" s="161">
        <f>'Parametros Recargas'!D78</f>
        <v>1</v>
      </c>
      <c r="U385" s="161">
        <f>'Parametros Recargas'!E78</f>
        <v>1</v>
      </c>
      <c r="V385" s="161">
        <f>'Parametros Recargas'!F78</f>
        <v>1</v>
      </c>
      <c r="W385" s="161">
        <f>'Parametros Recargas'!G78</f>
        <v>1</v>
      </c>
      <c r="X385" s="161">
        <f>'Parametros Recargas'!H78</f>
        <v>1</v>
      </c>
      <c r="Y385" s="161">
        <f>'Parametros Recargas'!I78</f>
        <v>1</v>
      </c>
      <c r="Z385" s="162">
        <f>'Parametros Recargas'!$U$109/P385</f>
        <v>0.01909722222</v>
      </c>
    </row>
    <row r="386" ht="15.75" customHeight="1">
      <c r="A386" s="73" t="s">
        <v>583</v>
      </c>
      <c r="B386" s="118" t="s">
        <v>458</v>
      </c>
      <c r="C386" s="63">
        <f t="shared" ref="C386:N386" si="258">($T386*C$354+$U386*C$355+$V386*C$356+$W386*C$357+$X386*C$358+$Y386*C$359)/$B$2</f>
        <v>63.48830254</v>
      </c>
      <c r="D386" s="63">
        <f t="shared" si="258"/>
        <v>52.53393153</v>
      </c>
      <c r="E386" s="63">
        <f t="shared" si="258"/>
        <v>54.17473381</v>
      </c>
      <c r="F386" s="63">
        <f t="shared" si="258"/>
        <v>52.66400647</v>
      </c>
      <c r="G386" s="63">
        <f t="shared" si="258"/>
        <v>51.0232042</v>
      </c>
      <c r="H386" s="63">
        <f t="shared" si="258"/>
        <v>49.38240193</v>
      </c>
      <c r="I386" s="63">
        <f t="shared" si="258"/>
        <v>52.79408141</v>
      </c>
      <c r="J386" s="63">
        <f t="shared" si="258"/>
        <v>54.04465887</v>
      </c>
      <c r="K386" s="63">
        <f t="shared" si="258"/>
        <v>54.04465887</v>
      </c>
      <c r="L386" s="63">
        <f t="shared" si="258"/>
        <v>52.53393153</v>
      </c>
      <c r="M386" s="63">
        <f t="shared" si="258"/>
        <v>52.4038566</v>
      </c>
      <c r="N386" s="63">
        <f t="shared" si="258"/>
        <v>76.00980435</v>
      </c>
      <c r="O386" s="44">
        <f t="shared" si="233"/>
        <v>76.00980435</v>
      </c>
      <c r="P386" s="63">
        <f>'Parametros Recargas'!$M$110</f>
        <v>57.6</v>
      </c>
      <c r="Q386" s="36">
        <f>MAX(Q331,ROUNDUP(O386/(P386*'Parametros Recargas'!H$8*'Parametros Recargas'!$B$19),0))</f>
        <v>2</v>
      </c>
      <c r="R386" s="46">
        <f>IF(AND('Parametros Recargas'!H$8=2,O386/(P386*Q386*'Parametros Recargas'!$B$19)&gt;1),2,1)</f>
        <v>1</v>
      </c>
      <c r="S386" s="34">
        <f t="shared" si="234"/>
        <v>0.6598073295</v>
      </c>
      <c r="T386" s="161">
        <f>'Parametros Recargas'!D79</f>
        <v>1</v>
      </c>
      <c r="U386" s="161">
        <f>'Parametros Recargas'!E79</f>
        <v>1</v>
      </c>
      <c r="V386" s="161">
        <f>'Parametros Recargas'!F79</f>
        <v>1</v>
      </c>
      <c r="W386" s="161">
        <f>'Parametros Recargas'!G79</f>
        <v>1</v>
      </c>
      <c r="X386" s="161">
        <f>'Parametros Recargas'!H79</f>
        <v>1</v>
      </c>
      <c r="Y386" s="161">
        <f>'Parametros Recargas'!I79</f>
        <v>1</v>
      </c>
      <c r="Z386" s="162">
        <f>'Parametros Recargas'!$U$110/P386</f>
        <v>0.01736111111</v>
      </c>
    </row>
    <row r="387" ht="15.75" customHeight="1">
      <c r="A387" s="73" t="s">
        <v>590</v>
      </c>
      <c r="B387" s="118" t="s">
        <v>591</v>
      </c>
      <c r="C387" s="175">
        <f t="shared" ref="C387:N387" si="259">SUMPRODUCT(C361:C386,$Z361:$Z386)*$B$2</f>
        <v>2180.156897</v>
      </c>
      <c r="D387" s="175">
        <f t="shared" si="259"/>
        <v>1803.320016</v>
      </c>
      <c r="E387" s="175">
        <f t="shared" si="259"/>
        <v>1859.569846</v>
      </c>
      <c r="F387" s="175">
        <f t="shared" si="259"/>
        <v>1808.096958</v>
      </c>
      <c r="G387" s="175">
        <f t="shared" si="259"/>
        <v>1751.847128</v>
      </c>
      <c r="H387" s="175">
        <f t="shared" si="259"/>
        <v>1695.597299</v>
      </c>
      <c r="I387" s="175">
        <f t="shared" si="259"/>
        <v>1812.8739</v>
      </c>
      <c r="J387" s="175">
        <f t="shared" si="259"/>
        <v>1854.792904</v>
      </c>
      <c r="K387" s="175">
        <f t="shared" si="259"/>
        <v>1854.792904</v>
      </c>
      <c r="L387" s="175">
        <f t="shared" si="259"/>
        <v>1803.320016</v>
      </c>
      <c r="M387" s="175">
        <f t="shared" si="259"/>
        <v>1798.543074</v>
      </c>
      <c r="N387" s="175">
        <f t="shared" si="259"/>
        <v>2608.115779</v>
      </c>
      <c r="O387" s="175">
        <f t="shared" si="233"/>
        <v>2608.115779</v>
      </c>
    </row>
    <row r="388" ht="15.75" customHeight="1"/>
    <row r="389" ht="15.75" customHeight="1">
      <c r="A389" s="45" t="s">
        <v>971</v>
      </c>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137"/>
    </row>
    <row r="390" ht="15.75" customHeight="1">
      <c r="A390" s="29" t="s">
        <v>376</v>
      </c>
      <c r="B390" s="29" t="s">
        <v>377</v>
      </c>
      <c r="C390" s="29" t="s">
        <v>109</v>
      </c>
      <c r="D390" s="29" t="s">
        <v>110</v>
      </c>
      <c r="E390" s="29" t="s">
        <v>111</v>
      </c>
      <c r="F390" s="29" t="s">
        <v>112</v>
      </c>
      <c r="G390" s="29" t="s">
        <v>113</v>
      </c>
      <c r="H390" s="29" t="s">
        <v>114</v>
      </c>
      <c r="I390" s="29" t="s">
        <v>115</v>
      </c>
      <c r="J390" s="29" t="s">
        <v>116</v>
      </c>
      <c r="K390" s="29" t="s">
        <v>117</v>
      </c>
      <c r="L390" s="29" t="s">
        <v>118</v>
      </c>
      <c r="M390" s="29" t="s">
        <v>119</v>
      </c>
      <c r="N390" s="29" t="s">
        <v>120</v>
      </c>
      <c r="O390" s="29" t="s">
        <v>15</v>
      </c>
    </row>
    <row r="391" ht="15.75" customHeight="1">
      <c r="A391" s="30" t="str">
        <f>datos_base!$A$55</f>
        <v>ABC 1 kg</v>
      </c>
      <c r="B391" s="139" t="s">
        <v>379</v>
      </c>
      <c r="C391" s="64">
        <f>datos_base!$I$55*'Parametros Recargas'!D$33*'Parametros Recargas'!$Q$33</f>
        <v>5868.74565</v>
      </c>
      <c r="D391" s="64">
        <f>datos_base!$I$55*'Parametros Recargas'!E$33*'Parametros Recargas'!$Q$33</f>
        <v>4577.621607</v>
      </c>
      <c r="E391" s="64">
        <f>datos_base!$I$55*'Parametros Recargas'!F$33*'Parametros Recargas'!$Q$33</f>
        <v>4577.621607</v>
      </c>
      <c r="F391" s="64">
        <f>datos_base!$I$55*'Parametros Recargas'!G$33*'Parametros Recargas'!$Q$33</f>
        <v>4577.621607</v>
      </c>
      <c r="G391" s="64">
        <f>datos_base!$I$55*'Parametros Recargas'!H$33*'Parametros Recargas'!$Q$33</f>
        <v>4577.621607</v>
      </c>
      <c r="H391" s="64">
        <f>datos_base!$I$55*'Parametros Recargas'!I$33*'Parametros Recargas'!$Q$33</f>
        <v>4577.621607</v>
      </c>
      <c r="I391" s="64">
        <f>datos_base!$I$55*'Parametros Recargas'!J$33*'Parametros Recargas'!$Q$33</f>
        <v>4577.621607</v>
      </c>
      <c r="J391" s="64">
        <f>datos_base!$I$55*'Parametros Recargas'!K$33*'Parametros Recargas'!$Q$33</f>
        <v>4577.621607</v>
      </c>
      <c r="K391" s="64">
        <f>datos_base!$I$55*'Parametros Recargas'!L$33*'Parametros Recargas'!$Q$33</f>
        <v>4577.621607</v>
      </c>
      <c r="L391" s="64">
        <f>datos_base!$I$55*'Parametros Recargas'!M$33*'Parametros Recargas'!$Q$33</f>
        <v>4577.621607</v>
      </c>
      <c r="M391" s="64">
        <f>datos_base!$I$55*'Parametros Recargas'!N$33*'Parametros Recargas'!$Q$33</f>
        <v>4577.621607</v>
      </c>
      <c r="N391" s="64">
        <f>datos_base!$I$55*'Parametros Recargas'!O$33*'Parametros Recargas'!$Q$33</f>
        <v>7042.49478</v>
      </c>
      <c r="O391" s="84">
        <f t="shared" ref="O391:O407" si="260">SUM(C391:N391)</f>
        <v>58687.4565</v>
      </c>
    </row>
    <row r="392" ht="15.75" customHeight="1">
      <c r="A392" s="30" t="str">
        <f>datos_base!$A$56</f>
        <v>ABC 2,5 kg</v>
      </c>
      <c r="B392" s="139" t="s">
        <v>379</v>
      </c>
      <c r="C392" s="64">
        <f>datos_base!$I$56*'Parametros Recargas'!D$34*'Parametros Recargas'!$Q$34</f>
        <v>439.5190736</v>
      </c>
      <c r="D392" s="64">
        <f>datos_base!$I$56*'Parametros Recargas'!E$34*'Parametros Recargas'!$Q$34</f>
        <v>390.6836209</v>
      </c>
      <c r="E392" s="64">
        <f>datos_base!$I$56*'Parametros Recargas'!F$34*'Parametros Recargas'!$Q$34</f>
        <v>415.1013473</v>
      </c>
      <c r="F392" s="64">
        <f>datos_base!$I$56*'Parametros Recargas'!G$34*'Parametros Recargas'!$Q$34</f>
        <v>390.6836209</v>
      </c>
      <c r="G392" s="64">
        <f>datos_base!$I$56*'Parametros Recargas'!H$34*'Parametros Recargas'!$Q$34</f>
        <v>366.2658946</v>
      </c>
      <c r="H392" s="64">
        <f>datos_base!$I$56*'Parametros Recargas'!I$34*'Parametros Recargas'!$Q$34</f>
        <v>341.8481683</v>
      </c>
      <c r="I392" s="64">
        <f>datos_base!$I$56*'Parametros Recargas'!J$34*'Parametros Recargas'!$Q$34</f>
        <v>390.6836209</v>
      </c>
      <c r="J392" s="64">
        <f>datos_base!$I$56*'Parametros Recargas'!K$34*'Parametros Recargas'!$Q$34</f>
        <v>415.1013473</v>
      </c>
      <c r="K392" s="64">
        <f>datos_base!$I$56*'Parametros Recargas'!L$34*'Parametros Recargas'!$Q$34</f>
        <v>415.1013473</v>
      </c>
      <c r="L392" s="64">
        <f>datos_base!$I$56*'Parametros Recargas'!M$34*'Parametros Recargas'!$Q$34</f>
        <v>390.6836209</v>
      </c>
      <c r="M392" s="64">
        <f>datos_base!$I$56*'Parametros Recargas'!N$34*'Parametros Recargas'!$Q$34</f>
        <v>390.6836209</v>
      </c>
      <c r="N392" s="64">
        <f>datos_base!$I$56*'Parametros Recargas'!O$34*'Parametros Recargas'!$Q$34</f>
        <v>537.1899788</v>
      </c>
      <c r="O392" s="84">
        <f t="shared" si="260"/>
        <v>4883.545262</v>
      </c>
    </row>
    <row r="393" ht="15.75" customHeight="1">
      <c r="A393" s="30" t="str">
        <f>datos_base!$A$57</f>
        <v>ABC 5 kg</v>
      </c>
      <c r="B393" s="139" t="s">
        <v>379</v>
      </c>
      <c r="C393" s="64">
        <f>datos_base!$I$57*'Parametros Recargas'!D$35*'Parametros Recargas'!$Q$35</f>
        <v>2688.237076</v>
      </c>
      <c r="D393" s="64">
        <f>datos_base!$I$57*'Parametros Recargas'!E$35*'Parametros Recargas'!$Q$35</f>
        <v>2389.544068</v>
      </c>
      <c r="E393" s="64">
        <f>datos_base!$I$57*'Parametros Recargas'!F$35*'Parametros Recargas'!$Q$35</f>
        <v>2538.890572</v>
      </c>
      <c r="F393" s="64">
        <f>datos_base!$I$57*'Parametros Recargas'!G$35*'Parametros Recargas'!$Q$35</f>
        <v>2389.544068</v>
      </c>
      <c r="G393" s="64">
        <f>datos_base!$I$57*'Parametros Recargas'!H$35*'Parametros Recargas'!$Q$35</f>
        <v>2240.197564</v>
      </c>
      <c r="H393" s="64">
        <f>datos_base!$I$57*'Parametros Recargas'!I$35*'Parametros Recargas'!$Q$35</f>
        <v>2090.851059</v>
      </c>
      <c r="I393" s="64">
        <f>datos_base!$I$57*'Parametros Recargas'!J$35*'Parametros Recargas'!$Q$35</f>
        <v>2389.544068</v>
      </c>
      <c r="J393" s="64">
        <f>datos_base!$I$57*'Parametros Recargas'!K$35*'Parametros Recargas'!$Q$35</f>
        <v>2538.890572</v>
      </c>
      <c r="K393" s="64">
        <f>datos_base!$I$57*'Parametros Recargas'!L$35*'Parametros Recargas'!$Q$35</f>
        <v>2538.890572</v>
      </c>
      <c r="L393" s="64">
        <f>datos_base!$I$57*'Parametros Recargas'!M$35*'Parametros Recargas'!$Q$35</f>
        <v>2389.544068</v>
      </c>
      <c r="M393" s="64">
        <f>datos_base!$I$57*'Parametros Recargas'!N$35*'Parametros Recargas'!$Q$35</f>
        <v>2389.544068</v>
      </c>
      <c r="N393" s="64">
        <f>datos_base!$I$57*'Parametros Recargas'!O$35*'Parametros Recargas'!$Q$35</f>
        <v>3285.623093</v>
      </c>
      <c r="O393" s="84">
        <f t="shared" si="260"/>
        <v>29869.30085</v>
      </c>
    </row>
    <row r="394" ht="15.75" customHeight="1">
      <c r="A394" s="30" t="str">
        <f>datos_base!$A$58</f>
        <v>ABC 10 kg</v>
      </c>
      <c r="B394" s="139" t="s">
        <v>379</v>
      </c>
      <c r="C394" s="64">
        <f>datos_base!$I$58*'Parametros Recargas'!D$36*'Parametros Recargas'!$Q$36</f>
        <v>159.1611873</v>
      </c>
      <c r="D394" s="64">
        <f>datos_base!$I$58*'Parametros Recargas'!E$36*'Parametros Recargas'!$Q$36</f>
        <v>141.476611</v>
      </c>
      <c r="E394" s="64">
        <f>datos_base!$I$58*'Parametros Recargas'!F$36*'Parametros Recargas'!$Q$36</f>
        <v>150.3188991</v>
      </c>
      <c r="F394" s="64">
        <f>datos_base!$I$58*'Parametros Recargas'!G$36*'Parametros Recargas'!$Q$36</f>
        <v>141.476611</v>
      </c>
      <c r="G394" s="64">
        <f>datos_base!$I$58*'Parametros Recargas'!H$36*'Parametros Recargas'!$Q$36</f>
        <v>132.6343228</v>
      </c>
      <c r="H394" s="64">
        <f>datos_base!$I$58*'Parametros Recargas'!I$36*'Parametros Recargas'!$Q$36</f>
        <v>123.7920346</v>
      </c>
      <c r="I394" s="64">
        <f>datos_base!$I$58*'Parametros Recargas'!J$36*'Parametros Recargas'!$Q$36</f>
        <v>141.476611</v>
      </c>
      <c r="J394" s="64">
        <f>datos_base!$I$58*'Parametros Recargas'!K$36*'Parametros Recargas'!$Q$36</f>
        <v>150.3188991</v>
      </c>
      <c r="K394" s="64">
        <f>datos_base!$I$58*'Parametros Recargas'!L$36*'Parametros Recargas'!$Q$36</f>
        <v>150.3188991</v>
      </c>
      <c r="L394" s="64">
        <f>datos_base!$I$58*'Parametros Recargas'!M$36*'Parametros Recargas'!$Q$36</f>
        <v>141.476611</v>
      </c>
      <c r="M394" s="64">
        <f>datos_base!$I$58*'Parametros Recargas'!N$36*'Parametros Recargas'!$Q$36</f>
        <v>141.476611</v>
      </c>
      <c r="N394" s="64">
        <f>datos_base!$I$58*'Parametros Recargas'!O$36*'Parametros Recargas'!$Q$36</f>
        <v>194.5303401</v>
      </c>
      <c r="O394" s="84">
        <f t="shared" si="260"/>
        <v>1768.457637</v>
      </c>
    </row>
    <row r="395" ht="15.75" customHeight="1">
      <c r="A395" s="30" t="str">
        <f>datos_base!$A$69</f>
        <v>ABC 25 kg s/ruedas</v>
      </c>
      <c r="B395" s="139" t="s">
        <v>379</v>
      </c>
      <c r="C395" s="64">
        <f>datos_base!$I$69*'Parametros Recargas'!D$37*'Parametros Recargas'!$Q$37</f>
        <v>91.41881686</v>
      </c>
      <c r="D395" s="64">
        <f>datos_base!$I$69*'Parametros Recargas'!E$37*'Parametros Recargas'!$Q$37</f>
        <v>73.13505349</v>
      </c>
      <c r="E395" s="64">
        <f>datos_base!$I$69*'Parametros Recargas'!F$37*'Parametros Recargas'!$Q$37</f>
        <v>77.70599433</v>
      </c>
      <c r="F395" s="64">
        <f>datos_base!$I$69*'Parametros Recargas'!G$37*'Parametros Recargas'!$Q$37</f>
        <v>77.70599433</v>
      </c>
      <c r="G395" s="64">
        <f>datos_base!$I$69*'Parametros Recargas'!H$37*'Parametros Recargas'!$Q$37</f>
        <v>73.13505349</v>
      </c>
      <c r="H395" s="64">
        <f>datos_base!$I$69*'Parametros Recargas'!I$37*'Parametros Recargas'!$Q$37</f>
        <v>68.56411265</v>
      </c>
      <c r="I395" s="64">
        <f>datos_base!$I$69*'Parametros Recargas'!J$37*'Parametros Recargas'!$Q$37</f>
        <v>82.27693518</v>
      </c>
      <c r="J395" s="64">
        <f>datos_base!$I$69*'Parametros Recargas'!K$37*'Parametros Recargas'!$Q$37</f>
        <v>73.13505349</v>
      </c>
      <c r="K395" s="64">
        <f>datos_base!$I$69*'Parametros Recargas'!L$37*'Parametros Recargas'!$Q$37</f>
        <v>73.13505349</v>
      </c>
      <c r="L395" s="64">
        <f>datos_base!$I$69*'Parametros Recargas'!M$37*'Parametros Recargas'!$Q$37</f>
        <v>73.13505349</v>
      </c>
      <c r="M395" s="64">
        <f>datos_base!$I$69*'Parametros Recargas'!N$37*'Parametros Recargas'!$Q$37</f>
        <v>68.56411265</v>
      </c>
      <c r="N395" s="64">
        <f>datos_base!$I$69*'Parametros Recargas'!O$37*'Parametros Recargas'!$Q$37</f>
        <v>82.27693518</v>
      </c>
      <c r="O395" s="84">
        <f t="shared" si="260"/>
        <v>914.1881686</v>
      </c>
    </row>
    <row r="396" ht="15.75" customHeight="1">
      <c r="A396" s="30" t="str">
        <f>datos_base!$A$70</f>
        <v>ABC 50 kg s/ruedas</v>
      </c>
      <c r="B396" s="139" t="s">
        <v>379</v>
      </c>
      <c r="C396" s="64">
        <f>datos_base!$I$70*'Parametros Recargas'!D$38*'Parametros Recargas'!$Q$38</f>
        <v>201.1213971</v>
      </c>
      <c r="D396" s="64">
        <f>datos_base!$I$70*'Parametros Recargas'!E$38*'Parametros Recargas'!$Q$38</f>
        <v>160.8971177</v>
      </c>
      <c r="E396" s="64">
        <f>datos_base!$I$70*'Parametros Recargas'!F$38*'Parametros Recargas'!$Q$38</f>
        <v>170.9531875</v>
      </c>
      <c r="F396" s="64">
        <f>datos_base!$I$70*'Parametros Recargas'!G$38*'Parametros Recargas'!$Q$38</f>
        <v>170.9531875</v>
      </c>
      <c r="G396" s="64">
        <f>datos_base!$I$70*'Parametros Recargas'!H$38*'Parametros Recargas'!$Q$38</f>
        <v>160.8971177</v>
      </c>
      <c r="H396" s="64">
        <f>datos_base!$I$70*'Parametros Recargas'!I$38*'Parametros Recargas'!$Q$38</f>
        <v>150.8410478</v>
      </c>
      <c r="I396" s="64">
        <f>datos_base!$I$70*'Parametros Recargas'!J$38*'Parametros Recargas'!$Q$38</f>
        <v>181.0092574</v>
      </c>
      <c r="J396" s="64">
        <f>datos_base!$I$70*'Parametros Recargas'!K$38*'Parametros Recargas'!$Q$38</f>
        <v>160.8971177</v>
      </c>
      <c r="K396" s="64">
        <f>datos_base!$I$70*'Parametros Recargas'!L$38*'Parametros Recargas'!$Q$38</f>
        <v>160.8971177</v>
      </c>
      <c r="L396" s="64">
        <f>datos_base!$I$70*'Parametros Recargas'!M$38*'Parametros Recargas'!$Q$38</f>
        <v>160.8971177</v>
      </c>
      <c r="M396" s="64">
        <f>datos_base!$I$70*'Parametros Recargas'!N$38*'Parametros Recargas'!$Q$38</f>
        <v>150.8410478</v>
      </c>
      <c r="N396" s="64">
        <f>datos_base!$I$70*'Parametros Recargas'!O$38*'Parametros Recargas'!$Q$38</f>
        <v>181.0092574</v>
      </c>
      <c r="O396" s="84">
        <f t="shared" si="260"/>
        <v>2011.213971</v>
      </c>
    </row>
    <row r="397" ht="15.75" customHeight="1">
      <c r="A397" s="30" t="str">
        <f>datos_base!$A$71</f>
        <v>ABC 70 kg s/ruedas</v>
      </c>
      <c r="B397" s="139" t="s">
        <v>379</v>
      </c>
      <c r="C397" s="64">
        <f>datos_base!$I$71*'Parametros Recargas'!D$39*'Parametros Recargas'!$Q$39</f>
        <v>43.86048854</v>
      </c>
      <c r="D397" s="64">
        <f>datos_base!$I$71*'Parametros Recargas'!E$39*'Parametros Recargas'!$Q$39</f>
        <v>35.08839083</v>
      </c>
      <c r="E397" s="64">
        <f>datos_base!$I$71*'Parametros Recargas'!F$39*'Parametros Recargas'!$Q$39</f>
        <v>37.28141526</v>
      </c>
      <c r="F397" s="64">
        <f>datos_base!$I$71*'Parametros Recargas'!G$39*'Parametros Recargas'!$Q$39</f>
        <v>37.28141526</v>
      </c>
      <c r="G397" s="64">
        <f>datos_base!$I$71*'Parametros Recargas'!H$39*'Parametros Recargas'!$Q$39</f>
        <v>35.08839083</v>
      </c>
      <c r="H397" s="64">
        <f>datos_base!$I$71*'Parametros Recargas'!I$39*'Parametros Recargas'!$Q$39</f>
        <v>32.8953664</v>
      </c>
      <c r="I397" s="64">
        <f>datos_base!$I$71*'Parametros Recargas'!J$39*'Parametros Recargas'!$Q$39</f>
        <v>39.47443969</v>
      </c>
      <c r="J397" s="64">
        <f>datos_base!$I$71*'Parametros Recargas'!K$39*'Parametros Recargas'!$Q$39</f>
        <v>35.08839083</v>
      </c>
      <c r="K397" s="64">
        <f>datos_base!$I$71*'Parametros Recargas'!L$39*'Parametros Recargas'!$Q$39</f>
        <v>35.08839083</v>
      </c>
      <c r="L397" s="64">
        <f>datos_base!$I$71*'Parametros Recargas'!M$39*'Parametros Recargas'!$Q$39</f>
        <v>35.08839083</v>
      </c>
      <c r="M397" s="64">
        <f>datos_base!$I$71*'Parametros Recargas'!N$39*'Parametros Recargas'!$Q$39</f>
        <v>32.8953664</v>
      </c>
      <c r="N397" s="64">
        <f>datos_base!$I$71*'Parametros Recargas'!O$39*'Parametros Recargas'!$Q$39</f>
        <v>39.47443969</v>
      </c>
      <c r="O397" s="84">
        <f t="shared" si="260"/>
        <v>438.6048854</v>
      </c>
    </row>
    <row r="398" ht="15.75" customHeight="1">
      <c r="A398" s="30" t="str">
        <f>datos_base!$A$72</f>
        <v>ABC 100 kg s/ruedas</v>
      </c>
      <c r="B398" s="139" t="s">
        <v>379</v>
      </c>
      <c r="C398" s="64">
        <f>datos_base!$I$72*'Parametros Recargas'!D$40*'Parametros Recargas'!$Q$40</f>
        <v>29.27456495</v>
      </c>
      <c r="D398" s="64">
        <f>datos_base!$I$72*'Parametros Recargas'!E$40*'Parametros Recargas'!$Q$40</f>
        <v>23.41965196</v>
      </c>
      <c r="E398" s="64">
        <f>datos_base!$I$72*'Parametros Recargas'!F$40*'Parametros Recargas'!$Q$40</f>
        <v>24.88338021</v>
      </c>
      <c r="F398" s="64">
        <f>datos_base!$I$72*'Parametros Recargas'!G$40*'Parametros Recargas'!$Q$40</f>
        <v>24.88338021</v>
      </c>
      <c r="G398" s="64">
        <f>datos_base!$I$72*'Parametros Recargas'!H$40*'Parametros Recargas'!$Q$40</f>
        <v>23.41965196</v>
      </c>
      <c r="H398" s="64">
        <f>datos_base!$I$72*'Parametros Recargas'!I$40*'Parametros Recargas'!$Q$40</f>
        <v>21.95592371</v>
      </c>
      <c r="I398" s="64">
        <f>datos_base!$I$72*'Parametros Recargas'!J$40*'Parametros Recargas'!$Q$40</f>
        <v>26.34710846</v>
      </c>
      <c r="J398" s="64">
        <f>datos_base!$I$72*'Parametros Recargas'!K$40*'Parametros Recargas'!$Q$40</f>
        <v>23.41965196</v>
      </c>
      <c r="K398" s="64">
        <f>datos_base!$I$72*'Parametros Recargas'!L$40*'Parametros Recargas'!$Q$40</f>
        <v>23.41965196</v>
      </c>
      <c r="L398" s="64">
        <f>datos_base!$I$72*'Parametros Recargas'!M$40*'Parametros Recargas'!$Q$40</f>
        <v>23.41965196</v>
      </c>
      <c r="M398" s="64">
        <f>datos_base!$I$72*'Parametros Recargas'!N$40*'Parametros Recargas'!$Q$40</f>
        <v>21.95592371</v>
      </c>
      <c r="N398" s="64">
        <f>datos_base!$I$72*'Parametros Recargas'!O$40*'Parametros Recargas'!$Q$40</f>
        <v>26.34710846</v>
      </c>
      <c r="O398" s="84">
        <f t="shared" si="260"/>
        <v>292.7456495</v>
      </c>
    </row>
    <row r="399" ht="15.75" customHeight="1">
      <c r="A399" s="30" t="str">
        <f>datos_base!$A$62</f>
        <v>BC 5 kg</v>
      </c>
      <c r="B399" s="139" t="s">
        <v>398</v>
      </c>
      <c r="C399" s="64">
        <f>datos_base!$I$62*'Parametros Recargas'!D$41*'Parametros Recargas'!$Q$41</f>
        <v>12.57265526</v>
      </c>
      <c r="D399" s="64">
        <f>datos_base!$I$62*'Parametros Recargas'!E$41*'Parametros Recargas'!$Q$41</f>
        <v>11.17569357</v>
      </c>
      <c r="E399" s="64">
        <f>datos_base!$I$62*'Parametros Recargas'!F$41*'Parametros Recargas'!$Q$41</f>
        <v>11.87417441</v>
      </c>
      <c r="F399" s="64">
        <f>datos_base!$I$62*'Parametros Recargas'!G$41*'Parametros Recargas'!$Q$41</f>
        <v>11.17569357</v>
      </c>
      <c r="G399" s="64">
        <f>datos_base!$I$62*'Parametros Recargas'!H$41*'Parametros Recargas'!$Q$41</f>
        <v>10.47721272</v>
      </c>
      <c r="H399" s="64">
        <f>datos_base!$I$62*'Parametros Recargas'!I$41*'Parametros Recargas'!$Q$41</f>
        <v>9.778731871</v>
      </c>
      <c r="I399" s="64">
        <f>datos_base!$I$62*'Parametros Recargas'!J$41*'Parametros Recargas'!$Q$41</f>
        <v>11.17569357</v>
      </c>
      <c r="J399" s="64">
        <f>datos_base!$I$62*'Parametros Recargas'!K$41*'Parametros Recargas'!$Q$41</f>
        <v>11.87417441</v>
      </c>
      <c r="K399" s="64">
        <f>datos_base!$I$62*'Parametros Recargas'!L$41*'Parametros Recargas'!$Q$41</f>
        <v>11.87417441</v>
      </c>
      <c r="L399" s="64">
        <f>datos_base!$I$62*'Parametros Recargas'!M$41*'Parametros Recargas'!$Q$41</f>
        <v>11.17569357</v>
      </c>
      <c r="M399" s="64">
        <f>datos_base!$I$62*'Parametros Recargas'!N$41*'Parametros Recargas'!$Q$41</f>
        <v>11.17569357</v>
      </c>
      <c r="N399" s="64">
        <f>datos_base!$I$62*'Parametros Recargas'!O$41*'Parametros Recargas'!$Q$41</f>
        <v>15.36657865</v>
      </c>
      <c r="O399" s="84">
        <f t="shared" si="260"/>
        <v>139.6961696</v>
      </c>
    </row>
    <row r="400" ht="15.75" customHeight="1">
      <c r="A400" s="30" t="str">
        <f>datos_base!$A$68</f>
        <v>Clase D 9 l</v>
      </c>
      <c r="B400" s="139" t="s">
        <v>402</v>
      </c>
      <c r="C400" s="64">
        <f>datos_base!$I$68*'Parametros Recargas'!D$42*'Parametros Recargas'!$Q$42</f>
        <v>11.30922667</v>
      </c>
      <c r="D400" s="64">
        <f>datos_base!$I$68*'Parametros Recargas'!E$42*'Parametros Recargas'!$Q$42</f>
        <v>10.05264593</v>
      </c>
      <c r="E400" s="64">
        <f>datos_base!$I$68*'Parametros Recargas'!F$42*'Parametros Recargas'!$Q$42</f>
        <v>10.6809363</v>
      </c>
      <c r="F400" s="64">
        <f>datos_base!$I$68*'Parametros Recargas'!G$42*'Parametros Recargas'!$Q$42</f>
        <v>10.05264593</v>
      </c>
      <c r="G400" s="64">
        <f>datos_base!$I$68*'Parametros Recargas'!H$42*'Parametros Recargas'!$Q$42</f>
        <v>9.424355559</v>
      </c>
      <c r="H400" s="64">
        <f>datos_base!$I$68*'Parametros Recargas'!I$42*'Parametros Recargas'!$Q$42</f>
        <v>8.796065188</v>
      </c>
      <c r="I400" s="64">
        <f>datos_base!$I$68*'Parametros Recargas'!J$42*'Parametros Recargas'!$Q$42</f>
        <v>10.05264593</v>
      </c>
      <c r="J400" s="64">
        <f>datos_base!$I$68*'Parametros Recargas'!K$42*'Parametros Recargas'!$Q$42</f>
        <v>10.6809363</v>
      </c>
      <c r="K400" s="64">
        <f>datos_base!$I$68*'Parametros Recargas'!L$42*'Parametros Recargas'!$Q$42</f>
        <v>10.6809363</v>
      </c>
      <c r="L400" s="64">
        <f>datos_base!$I$68*'Parametros Recargas'!M$42*'Parametros Recargas'!$Q$42</f>
        <v>10.05264593</v>
      </c>
      <c r="M400" s="64">
        <f>datos_base!$I$68*'Parametros Recargas'!N$42*'Parametros Recargas'!$Q$42</f>
        <v>10.05264593</v>
      </c>
      <c r="N400" s="64">
        <f>datos_base!$I$68*'Parametros Recargas'!O$42*'Parametros Recargas'!$Q$42</f>
        <v>13.82238815</v>
      </c>
      <c r="O400" s="84">
        <f t="shared" si="260"/>
        <v>125.6580741</v>
      </c>
    </row>
    <row r="401" ht="15.75" customHeight="1">
      <c r="A401" s="30" t="str">
        <f>datos_base!$A$59</f>
        <v>Agua 10 l</v>
      </c>
      <c r="B401" s="139" t="s">
        <v>407</v>
      </c>
      <c r="C401" s="64">
        <f>datos_base!$I$59*'Parametros Recargas'!D$43*'Parametros Recargas'!$Q$43</f>
        <v>223.9966449</v>
      </c>
      <c r="D401" s="64">
        <f>datos_base!$I$59*'Parametros Recargas'!E$43*'Parametros Recargas'!$Q$43</f>
        <v>199.1081288</v>
      </c>
      <c r="E401" s="64">
        <f>datos_base!$I$59*'Parametros Recargas'!F$43*'Parametros Recargas'!$Q$43</f>
        <v>211.5523868</v>
      </c>
      <c r="F401" s="64">
        <f>datos_base!$I$59*'Parametros Recargas'!G$43*'Parametros Recargas'!$Q$43</f>
        <v>199.1081288</v>
      </c>
      <c r="G401" s="64">
        <f>datos_base!$I$59*'Parametros Recargas'!H$43*'Parametros Recargas'!$Q$43</f>
        <v>186.6638707</v>
      </c>
      <c r="H401" s="64">
        <f>datos_base!$I$59*'Parametros Recargas'!I$43*'Parametros Recargas'!$Q$43</f>
        <v>174.2196127</v>
      </c>
      <c r="I401" s="64">
        <f>datos_base!$I$59*'Parametros Recargas'!J$43*'Parametros Recargas'!$Q$43</f>
        <v>199.1081288</v>
      </c>
      <c r="J401" s="64">
        <f>datos_base!$I$59*'Parametros Recargas'!K$43*'Parametros Recargas'!$Q$43</f>
        <v>211.5523868</v>
      </c>
      <c r="K401" s="64">
        <f>datos_base!$I$59*'Parametros Recargas'!L$43*'Parametros Recargas'!$Q$43</f>
        <v>211.5523868</v>
      </c>
      <c r="L401" s="64">
        <f>datos_base!$I$59*'Parametros Recargas'!M$43*'Parametros Recargas'!$Q$43</f>
        <v>199.1081288</v>
      </c>
      <c r="M401" s="64">
        <f>datos_base!$I$59*'Parametros Recargas'!N$43*'Parametros Recargas'!$Q$43</f>
        <v>199.1081288</v>
      </c>
      <c r="N401" s="64">
        <f>datos_base!$I$59*'Parametros Recargas'!O$43*'Parametros Recargas'!$Q$43</f>
        <v>273.7736771</v>
      </c>
      <c r="O401" s="84">
        <f t="shared" si="260"/>
        <v>2488.85161</v>
      </c>
    </row>
    <row r="402" ht="15.75" customHeight="1">
      <c r="A402" s="30" t="str">
        <f>datos_base!$A$60</f>
        <v>AFFF 10 l</v>
      </c>
      <c r="B402" s="139" t="s">
        <v>407</v>
      </c>
      <c r="C402" s="64">
        <f>datos_base!$I$60*'Parametros Recargas'!D$44*'Parametros Recargas'!$Q$44</f>
        <v>41.66232822</v>
      </c>
      <c r="D402" s="64">
        <f>datos_base!$I$60*'Parametros Recargas'!E$44*'Parametros Recargas'!$Q$44</f>
        <v>37.03318064</v>
      </c>
      <c r="E402" s="64">
        <f>datos_base!$I$60*'Parametros Recargas'!F$44*'Parametros Recargas'!$Q$44</f>
        <v>39.34775443</v>
      </c>
      <c r="F402" s="64">
        <f>datos_base!$I$60*'Parametros Recargas'!G$44*'Parametros Recargas'!$Q$44</f>
        <v>37.03318064</v>
      </c>
      <c r="G402" s="64">
        <f>datos_base!$I$60*'Parametros Recargas'!H$44*'Parametros Recargas'!$Q$44</f>
        <v>34.71860685</v>
      </c>
      <c r="H402" s="64">
        <f>datos_base!$I$60*'Parametros Recargas'!I$44*'Parametros Recargas'!$Q$44</f>
        <v>32.40403306</v>
      </c>
      <c r="I402" s="64">
        <f>datos_base!$I$60*'Parametros Recargas'!J$44*'Parametros Recargas'!$Q$44</f>
        <v>37.03318064</v>
      </c>
      <c r="J402" s="64">
        <f>datos_base!$I$60*'Parametros Recargas'!K$44*'Parametros Recargas'!$Q$44</f>
        <v>39.34775443</v>
      </c>
      <c r="K402" s="64">
        <f>datos_base!$I$60*'Parametros Recargas'!L$44*'Parametros Recargas'!$Q$44</f>
        <v>39.34775443</v>
      </c>
      <c r="L402" s="64">
        <f>datos_base!$I$60*'Parametros Recargas'!M$44*'Parametros Recargas'!$Q$44</f>
        <v>37.03318064</v>
      </c>
      <c r="M402" s="64">
        <f>datos_base!$I$60*'Parametros Recargas'!N$44*'Parametros Recargas'!$Q$44</f>
        <v>37.03318064</v>
      </c>
      <c r="N402" s="64">
        <f>datos_base!$I$60*'Parametros Recargas'!O$44*'Parametros Recargas'!$Q$44</f>
        <v>50.92062338</v>
      </c>
      <c r="O402" s="84">
        <f t="shared" si="260"/>
        <v>462.914758</v>
      </c>
    </row>
    <row r="403" ht="15.75" customHeight="1">
      <c r="A403" s="30" t="str">
        <f>datos_base!$A$63</f>
        <v>Sales K 6 l</v>
      </c>
      <c r="B403" s="139" t="s">
        <v>407</v>
      </c>
      <c r="C403" s="64">
        <f>datos_base!$I$63*'Parametros Recargas'!D$45*'Parametros Recargas'!$Q$45</f>
        <v>110.2572562</v>
      </c>
      <c r="D403" s="64">
        <f>datos_base!$I$63*'Parametros Recargas'!E$45*'Parametros Recargas'!$Q$45</f>
        <v>98.00644996</v>
      </c>
      <c r="E403" s="64">
        <f>datos_base!$I$63*'Parametros Recargas'!F$45*'Parametros Recargas'!$Q$45</f>
        <v>104.1318531</v>
      </c>
      <c r="F403" s="64">
        <f>datos_base!$I$63*'Parametros Recargas'!G$45*'Parametros Recargas'!$Q$45</f>
        <v>98.00644996</v>
      </c>
      <c r="G403" s="64">
        <f>datos_base!$I$63*'Parametros Recargas'!H$45*'Parametros Recargas'!$Q$45</f>
        <v>91.88104684</v>
      </c>
      <c r="H403" s="64">
        <f>datos_base!$I$63*'Parametros Recargas'!I$45*'Parametros Recargas'!$Q$45</f>
        <v>85.75564371</v>
      </c>
      <c r="I403" s="64">
        <f>datos_base!$I$63*'Parametros Recargas'!J$45*'Parametros Recargas'!$Q$45</f>
        <v>98.00644996</v>
      </c>
      <c r="J403" s="64">
        <f>datos_base!$I$63*'Parametros Recargas'!K$45*'Parametros Recargas'!$Q$45</f>
        <v>104.1318531</v>
      </c>
      <c r="K403" s="64">
        <f>datos_base!$I$63*'Parametros Recargas'!L$45*'Parametros Recargas'!$Q$45</f>
        <v>104.1318531</v>
      </c>
      <c r="L403" s="64">
        <f>datos_base!$I$63*'Parametros Recargas'!M$45*'Parametros Recargas'!$Q$45</f>
        <v>98.00644996</v>
      </c>
      <c r="M403" s="64">
        <f>datos_base!$I$63*'Parametros Recargas'!N$45*'Parametros Recargas'!$Q$45</f>
        <v>98.00644996</v>
      </c>
      <c r="N403" s="64">
        <f>datos_base!$I$63*'Parametros Recargas'!O$45*'Parametros Recargas'!$Q$45</f>
        <v>134.7588687</v>
      </c>
      <c r="O403" s="84">
        <f t="shared" si="260"/>
        <v>1225.080624</v>
      </c>
    </row>
    <row r="404" ht="15.75" customHeight="1">
      <c r="A404" s="30" t="str">
        <f>datos_base!$A$61</f>
        <v>AFFF 50 l s/ruedas</v>
      </c>
      <c r="B404" s="139" t="s">
        <v>407</v>
      </c>
      <c r="C404" s="64">
        <f>datos_base!$I$61*'Parametros Recargas'!D$46*'Parametros Recargas'!$Q$46</f>
        <v>73.13505349</v>
      </c>
      <c r="D404" s="64">
        <f>datos_base!$I$61*'Parametros Recargas'!E$46*'Parametros Recargas'!$Q$46</f>
        <v>58.50804279</v>
      </c>
      <c r="E404" s="64">
        <f>datos_base!$I$61*'Parametros Recargas'!F$46*'Parametros Recargas'!$Q$46</f>
        <v>62.16479547</v>
      </c>
      <c r="F404" s="64">
        <f>datos_base!$I$61*'Parametros Recargas'!G$46*'Parametros Recargas'!$Q$46</f>
        <v>62.16479547</v>
      </c>
      <c r="G404" s="64">
        <f>datos_base!$I$61*'Parametros Recargas'!H$46*'Parametros Recargas'!$Q$46</f>
        <v>58.50804279</v>
      </c>
      <c r="H404" s="64">
        <f>datos_base!$I$61*'Parametros Recargas'!I$46*'Parametros Recargas'!$Q$46</f>
        <v>54.85129012</v>
      </c>
      <c r="I404" s="64">
        <f>datos_base!$I$61*'Parametros Recargas'!J$46*'Parametros Recargas'!$Q$46</f>
        <v>65.82154814</v>
      </c>
      <c r="J404" s="64">
        <f>datos_base!$I$61*'Parametros Recargas'!K$46*'Parametros Recargas'!$Q$46</f>
        <v>58.50804279</v>
      </c>
      <c r="K404" s="64">
        <f>datos_base!$I$61*'Parametros Recargas'!L$46*'Parametros Recargas'!$Q$46</f>
        <v>58.50804279</v>
      </c>
      <c r="L404" s="64">
        <f>datos_base!$I$61*'Parametros Recargas'!M$46*'Parametros Recargas'!$Q$46</f>
        <v>58.50804279</v>
      </c>
      <c r="M404" s="64">
        <f>datos_base!$I$61*'Parametros Recargas'!N$46*'Parametros Recargas'!$Q$46</f>
        <v>54.85129012</v>
      </c>
      <c r="N404" s="64">
        <f>datos_base!$I$61*'Parametros Recargas'!O$46*'Parametros Recargas'!$Q$46</f>
        <v>65.82154814</v>
      </c>
      <c r="O404" s="84">
        <f t="shared" si="260"/>
        <v>731.3505349</v>
      </c>
    </row>
    <row r="405" ht="15.75" customHeight="1">
      <c r="A405" s="30" t="str">
        <f>datos_base!$A$64</f>
        <v>CO₂ 2 kg</v>
      </c>
      <c r="B405" s="139" t="s">
        <v>418</v>
      </c>
      <c r="C405" s="64">
        <f>datos_base!$I$64*'Parametros Recargas'!D$47*'Parametros Recargas'!$Q$47</f>
        <v>604.5043586</v>
      </c>
      <c r="D405" s="64">
        <f>datos_base!$I$64*'Parametros Recargas'!E$47*'Parametros Recargas'!$Q$47</f>
        <v>537.3372076</v>
      </c>
      <c r="E405" s="64">
        <f>datos_base!$I$64*'Parametros Recargas'!F$47*'Parametros Recargas'!$Q$47</f>
        <v>570.9207831</v>
      </c>
      <c r="F405" s="64">
        <f>datos_base!$I$64*'Parametros Recargas'!G$47*'Parametros Recargas'!$Q$47</f>
        <v>537.3372076</v>
      </c>
      <c r="G405" s="64">
        <f>datos_base!$I$64*'Parametros Recargas'!H$47*'Parametros Recargas'!$Q$47</f>
        <v>503.7536321</v>
      </c>
      <c r="H405" s="64">
        <f>datos_base!$I$64*'Parametros Recargas'!I$47*'Parametros Recargas'!$Q$47</f>
        <v>470.1700567</v>
      </c>
      <c r="I405" s="64">
        <f>datos_base!$I$64*'Parametros Recargas'!J$47*'Parametros Recargas'!$Q$47</f>
        <v>537.3372076</v>
      </c>
      <c r="J405" s="64">
        <f>datos_base!$I$64*'Parametros Recargas'!K$47*'Parametros Recargas'!$Q$47</f>
        <v>570.9207831</v>
      </c>
      <c r="K405" s="64">
        <f>datos_base!$I$64*'Parametros Recargas'!L$47*'Parametros Recargas'!$Q$47</f>
        <v>570.9207831</v>
      </c>
      <c r="L405" s="64">
        <f>datos_base!$I$64*'Parametros Recargas'!M$47*'Parametros Recargas'!$Q$47</f>
        <v>537.3372076</v>
      </c>
      <c r="M405" s="64">
        <f>datos_base!$I$64*'Parametros Recargas'!N$47*'Parametros Recargas'!$Q$47</f>
        <v>537.3372076</v>
      </c>
      <c r="N405" s="64">
        <f>datos_base!$I$64*'Parametros Recargas'!O$47*'Parametros Recargas'!$Q$47</f>
        <v>738.8386605</v>
      </c>
      <c r="O405" s="84">
        <f t="shared" si="260"/>
        <v>6716.715095</v>
      </c>
    </row>
    <row r="406" ht="15.75" customHeight="1">
      <c r="A406" s="30" t="str">
        <f>datos_base!$A$65</f>
        <v>CO₂ 5 kg</v>
      </c>
      <c r="B406" s="139" t="s">
        <v>418</v>
      </c>
      <c r="C406" s="64">
        <f>datos_base!$I$65*'Parametros Recargas'!D$48*'Parametros Recargas'!$Q$48</f>
        <v>203.6277107</v>
      </c>
      <c r="D406" s="64">
        <f>datos_base!$I$65*'Parametros Recargas'!E$48*'Parametros Recargas'!$Q$48</f>
        <v>181.0024095</v>
      </c>
      <c r="E406" s="64">
        <f>datos_base!$I$65*'Parametros Recargas'!F$48*'Parametros Recargas'!$Q$48</f>
        <v>192.3150601</v>
      </c>
      <c r="F406" s="64">
        <f>datos_base!$I$65*'Parametros Recargas'!G$48*'Parametros Recargas'!$Q$48</f>
        <v>181.0024095</v>
      </c>
      <c r="G406" s="64">
        <f>datos_base!$I$65*'Parametros Recargas'!H$48*'Parametros Recargas'!$Q$48</f>
        <v>169.6897589</v>
      </c>
      <c r="H406" s="64">
        <f>datos_base!$I$65*'Parametros Recargas'!I$48*'Parametros Recargas'!$Q$48</f>
        <v>158.3771083</v>
      </c>
      <c r="I406" s="64">
        <f>datos_base!$I$65*'Parametros Recargas'!J$48*'Parametros Recargas'!$Q$48</f>
        <v>181.0024095</v>
      </c>
      <c r="J406" s="64">
        <f>datos_base!$I$65*'Parametros Recargas'!K$48*'Parametros Recargas'!$Q$48</f>
        <v>192.3150601</v>
      </c>
      <c r="K406" s="64">
        <f>datos_base!$I$65*'Parametros Recargas'!L$48*'Parametros Recargas'!$Q$48</f>
        <v>192.3150601</v>
      </c>
      <c r="L406" s="64">
        <f>datos_base!$I$65*'Parametros Recargas'!M$48*'Parametros Recargas'!$Q$48</f>
        <v>181.0024095</v>
      </c>
      <c r="M406" s="64">
        <f>datos_base!$I$65*'Parametros Recargas'!N$48*'Parametros Recargas'!$Q$48</f>
        <v>181.0024095</v>
      </c>
      <c r="N406" s="64">
        <f>datos_base!$I$65*'Parametros Recargas'!O$48*'Parametros Recargas'!$Q$48</f>
        <v>248.8783131</v>
      </c>
      <c r="O406" s="84">
        <f t="shared" si="260"/>
        <v>2262.530119</v>
      </c>
    </row>
    <row r="407" ht="15.75" customHeight="1">
      <c r="A407" s="30" t="str">
        <f>datos_base!$A$67</f>
        <v>HCFC/HFC 5 kg</v>
      </c>
      <c r="B407" s="139" t="s">
        <v>422</v>
      </c>
      <c r="C407" s="64">
        <f>datos_base!$I$67*'Parametros Recargas'!D$49*'Parametros Recargas'!$Q$49</f>
        <v>33.0340354</v>
      </c>
      <c r="D407" s="64">
        <f>datos_base!$I$67*'Parametros Recargas'!E$49*'Parametros Recargas'!$Q$49</f>
        <v>29.36358702</v>
      </c>
      <c r="E407" s="64">
        <f>datos_base!$I$67*'Parametros Recargas'!F$49*'Parametros Recargas'!$Q$49</f>
        <v>31.19881121</v>
      </c>
      <c r="F407" s="64">
        <f>datos_base!$I$67*'Parametros Recargas'!G$49*'Parametros Recargas'!$Q$49</f>
        <v>29.36358702</v>
      </c>
      <c r="G407" s="64">
        <f>datos_base!$I$67*'Parametros Recargas'!H$49*'Parametros Recargas'!$Q$49</f>
        <v>27.52836283</v>
      </c>
      <c r="H407" s="64">
        <f>datos_base!$I$67*'Parametros Recargas'!I$49*'Parametros Recargas'!$Q$49</f>
        <v>25.69313864</v>
      </c>
      <c r="I407" s="64">
        <f>datos_base!$I$67*'Parametros Recargas'!J$49*'Parametros Recargas'!$Q$49</f>
        <v>29.36358702</v>
      </c>
      <c r="J407" s="64">
        <f>datos_base!$I$67*'Parametros Recargas'!K$49*'Parametros Recargas'!$Q$49</f>
        <v>31.19881121</v>
      </c>
      <c r="K407" s="64">
        <f>datos_base!$I$67*'Parametros Recargas'!L$49*'Parametros Recargas'!$Q$49</f>
        <v>31.19881121</v>
      </c>
      <c r="L407" s="64">
        <f>datos_base!$I$67*'Parametros Recargas'!M$49*'Parametros Recargas'!$Q$49</f>
        <v>29.36358702</v>
      </c>
      <c r="M407" s="64">
        <f>datos_base!$I$67*'Parametros Recargas'!N$49*'Parametros Recargas'!$Q$49</f>
        <v>29.36358702</v>
      </c>
      <c r="N407" s="64">
        <f>datos_base!$I$67*'Parametros Recargas'!O$49*'Parametros Recargas'!$Q$49</f>
        <v>40.37493215</v>
      </c>
      <c r="O407" s="84">
        <f t="shared" si="260"/>
        <v>367.0448377</v>
      </c>
    </row>
    <row r="408" ht="15.75" customHeight="1">
      <c r="A408" s="29" t="s">
        <v>426</v>
      </c>
      <c r="B408" s="29"/>
      <c r="C408" s="29" t="s">
        <v>109</v>
      </c>
      <c r="D408" s="29" t="s">
        <v>110</v>
      </c>
      <c r="E408" s="29" t="s">
        <v>111</v>
      </c>
      <c r="F408" s="29" t="s">
        <v>112</v>
      </c>
      <c r="G408" s="29" t="s">
        <v>113</v>
      </c>
      <c r="H408" s="29" t="s">
        <v>114</v>
      </c>
      <c r="I408" s="29" t="s">
        <v>115</v>
      </c>
      <c r="J408" s="29" t="s">
        <v>116</v>
      </c>
      <c r="K408" s="29" t="s">
        <v>117</v>
      </c>
      <c r="L408" s="29" t="s">
        <v>118</v>
      </c>
      <c r="M408" s="29" t="s">
        <v>119</v>
      </c>
      <c r="N408" s="29" t="s">
        <v>120</v>
      </c>
      <c r="O408" s="29" t="s">
        <v>15</v>
      </c>
    </row>
    <row r="409" ht="15.75" customHeight="1">
      <c r="A409" s="73" t="s">
        <v>379</v>
      </c>
      <c r="B409" s="118" t="s">
        <v>431</v>
      </c>
      <c r="C409" s="64">
        <f t="shared" ref="C409:N409" si="261">SUM(C391:C398)</f>
        <v>9521.338255</v>
      </c>
      <c r="D409" s="64">
        <f t="shared" si="261"/>
        <v>7791.866121</v>
      </c>
      <c r="E409" s="64">
        <f t="shared" si="261"/>
        <v>7992.756403</v>
      </c>
      <c r="F409" s="64">
        <f t="shared" si="261"/>
        <v>7810.149884</v>
      </c>
      <c r="G409" s="64">
        <f t="shared" si="261"/>
        <v>7609.259602</v>
      </c>
      <c r="H409" s="64">
        <f t="shared" si="261"/>
        <v>7408.36932</v>
      </c>
      <c r="I409" s="64">
        <f t="shared" si="261"/>
        <v>7828.433647</v>
      </c>
      <c r="J409" s="64">
        <f t="shared" si="261"/>
        <v>7974.472639</v>
      </c>
      <c r="K409" s="64">
        <f t="shared" si="261"/>
        <v>7974.472639</v>
      </c>
      <c r="L409" s="64">
        <f t="shared" si="261"/>
        <v>7791.866121</v>
      </c>
      <c r="M409" s="64">
        <f t="shared" si="261"/>
        <v>7773.582357</v>
      </c>
      <c r="N409" s="64">
        <f t="shared" si="261"/>
        <v>11388.94593</v>
      </c>
      <c r="O409" s="84">
        <f t="shared" ref="O409:O414" si="263">SUM(C409:N409)</f>
        <v>98865.51292</v>
      </c>
    </row>
    <row r="410" ht="15.75" customHeight="1">
      <c r="A410" s="73" t="s">
        <v>398</v>
      </c>
      <c r="B410" s="118" t="s">
        <v>431</v>
      </c>
      <c r="C410" s="64">
        <f t="shared" ref="C410:N410" si="262">SUM(C399)</f>
        <v>12.57265526</v>
      </c>
      <c r="D410" s="64">
        <f t="shared" si="262"/>
        <v>11.17569357</v>
      </c>
      <c r="E410" s="64">
        <f t="shared" si="262"/>
        <v>11.87417441</v>
      </c>
      <c r="F410" s="64">
        <f t="shared" si="262"/>
        <v>11.17569357</v>
      </c>
      <c r="G410" s="64">
        <f t="shared" si="262"/>
        <v>10.47721272</v>
      </c>
      <c r="H410" s="64">
        <f t="shared" si="262"/>
        <v>9.778731871</v>
      </c>
      <c r="I410" s="64">
        <f t="shared" si="262"/>
        <v>11.17569357</v>
      </c>
      <c r="J410" s="64">
        <f t="shared" si="262"/>
        <v>11.87417441</v>
      </c>
      <c r="K410" s="64">
        <f t="shared" si="262"/>
        <v>11.87417441</v>
      </c>
      <c r="L410" s="64">
        <f t="shared" si="262"/>
        <v>11.17569357</v>
      </c>
      <c r="M410" s="64">
        <f t="shared" si="262"/>
        <v>11.17569357</v>
      </c>
      <c r="N410" s="64">
        <f t="shared" si="262"/>
        <v>15.36657865</v>
      </c>
      <c r="O410" s="84">
        <f t="shared" si="263"/>
        <v>139.6961696</v>
      </c>
    </row>
    <row r="411" ht="15.75" customHeight="1">
      <c r="A411" s="73" t="s">
        <v>402</v>
      </c>
      <c r="B411" s="118" t="s">
        <v>431</v>
      </c>
      <c r="C411" s="64">
        <f t="shared" ref="C411:N411" si="264">SUM(C400)</f>
        <v>11.30922667</v>
      </c>
      <c r="D411" s="64">
        <f t="shared" si="264"/>
        <v>10.05264593</v>
      </c>
      <c r="E411" s="64">
        <f t="shared" si="264"/>
        <v>10.6809363</v>
      </c>
      <c r="F411" s="64">
        <f t="shared" si="264"/>
        <v>10.05264593</v>
      </c>
      <c r="G411" s="64">
        <f t="shared" si="264"/>
        <v>9.424355559</v>
      </c>
      <c r="H411" s="64">
        <f t="shared" si="264"/>
        <v>8.796065188</v>
      </c>
      <c r="I411" s="64">
        <f t="shared" si="264"/>
        <v>10.05264593</v>
      </c>
      <c r="J411" s="64">
        <f t="shared" si="264"/>
        <v>10.6809363</v>
      </c>
      <c r="K411" s="64">
        <f t="shared" si="264"/>
        <v>10.6809363</v>
      </c>
      <c r="L411" s="64">
        <f t="shared" si="264"/>
        <v>10.05264593</v>
      </c>
      <c r="M411" s="64">
        <f t="shared" si="264"/>
        <v>10.05264593</v>
      </c>
      <c r="N411" s="64">
        <f t="shared" si="264"/>
        <v>13.82238815</v>
      </c>
      <c r="O411" s="84">
        <f t="shared" si="263"/>
        <v>125.6580741</v>
      </c>
    </row>
    <row r="412" ht="15.75" customHeight="1">
      <c r="A412" s="73" t="s">
        <v>407</v>
      </c>
      <c r="B412" s="118" t="s">
        <v>431</v>
      </c>
      <c r="C412" s="64">
        <f t="shared" ref="C412:N412" si="265">SUM(C401:C404)</f>
        <v>449.0512828</v>
      </c>
      <c r="D412" s="64">
        <f t="shared" si="265"/>
        <v>392.6558022</v>
      </c>
      <c r="E412" s="64">
        <f t="shared" si="265"/>
        <v>417.1967898</v>
      </c>
      <c r="F412" s="64">
        <f t="shared" si="265"/>
        <v>396.3125548</v>
      </c>
      <c r="G412" s="64">
        <f t="shared" si="265"/>
        <v>371.7715672</v>
      </c>
      <c r="H412" s="64">
        <f t="shared" si="265"/>
        <v>347.2305796</v>
      </c>
      <c r="I412" s="64">
        <f t="shared" si="265"/>
        <v>399.9693075</v>
      </c>
      <c r="J412" s="64">
        <f t="shared" si="265"/>
        <v>413.5400371</v>
      </c>
      <c r="K412" s="64">
        <f t="shared" si="265"/>
        <v>413.5400371</v>
      </c>
      <c r="L412" s="64">
        <f t="shared" si="265"/>
        <v>392.6558022</v>
      </c>
      <c r="M412" s="64">
        <f t="shared" si="265"/>
        <v>388.9990495</v>
      </c>
      <c r="N412" s="64">
        <f t="shared" si="265"/>
        <v>525.2747173</v>
      </c>
      <c r="O412" s="84">
        <f t="shared" si="263"/>
        <v>4908.197527</v>
      </c>
    </row>
    <row r="413" ht="15.75" customHeight="1">
      <c r="A413" s="73" t="s">
        <v>418</v>
      </c>
      <c r="B413" s="118" t="s">
        <v>431</v>
      </c>
      <c r="C413" s="64">
        <f t="shared" ref="C413:N413" si="266">SUM(C405:C406)</f>
        <v>808.1320693</v>
      </c>
      <c r="D413" s="64">
        <f t="shared" si="266"/>
        <v>718.3396171</v>
      </c>
      <c r="E413" s="64">
        <f t="shared" si="266"/>
        <v>763.2358432</v>
      </c>
      <c r="F413" s="64">
        <f t="shared" si="266"/>
        <v>718.3396171</v>
      </c>
      <c r="G413" s="64">
        <f t="shared" si="266"/>
        <v>673.4433911</v>
      </c>
      <c r="H413" s="64">
        <f t="shared" si="266"/>
        <v>628.547165</v>
      </c>
      <c r="I413" s="64">
        <f t="shared" si="266"/>
        <v>718.3396171</v>
      </c>
      <c r="J413" s="64">
        <f t="shared" si="266"/>
        <v>763.2358432</v>
      </c>
      <c r="K413" s="64">
        <f t="shared" si="266"/>
        <v>763.2358432</v>
      </c>
      <c r="L413" s="64">
        <f t="shared" si="266"/>
        <v>718.3396171</v>
      </c>
      <c r="M413" s="64">
        <f t="shared" si="266"/>
        <v>718.3396171</v>
      </c>
      <c r="N413" s="64">
        <f t="shared" si="266"/>
        <v>987.7169736</v>
      </c>
      <c r="O413" s="84">
        <f t="shared" si="263"/>
        <v>8979.245214</v>
      </c>
    </row>
    <row r="414" ht="15.75" customHeight="1">
      <c r="A414" s="73" t="s">
        <v>422</v>
      </c>
      <c r="B414" s="118" t="s">
        <v>431</v>
      </c>
      <c r="C414" s="64">
        <f t="shared" ref="C414:N414" si="267">SUM(C407)</f>
        <v>33.0340354</v>
      </c>
      <c r="D414" s="64">
        <f t="shared" si="267"/>
        <v>29.36358702</v>
      </c>
      <c r="E414" s="64">
        <f t="shared" si="267"/>
        <v>31.19881121</v>
      </c>
      <c r="F414" s="64">
        <f t="shared" si="267"/>
        <v>29.36358702</v>
      </c>
      <c r="G414" s="64">
        <f t="shared" si="267"/>
        <v>27.52836283</v>
      </c>
      <c r="H414" s="64">
        <f t="shared" si="267"/>
        <v>25.69313864</v>
      </c>
      <c r="I414" s="64">
        <f t="shared" si="267"/>
        <v>29.36358702</v>
      </c>
      <c r="J414" s="64">
        <f t="shared" si="267"/>
        <v>31.19881121</v>
      </c>
      <c r="K414" s="64">
        <f t="shared" si="267"/>
        <v>31.19881121</v>
      </c>
      <c r="L414" s="64">
        <f t="shared" si="267"/>
        <v>29.36358702</v>
      </c>
      <c r="M414" s="64">
        <f t="shared" si="267"/>
        <v>29.36358702</v>
      </c>
      <c r="N414" s="64">
        <f t="shared" si="267"/>
        <v>40.37493215</v>
      </c>
      <c r="O414" s="84">
        <f t="shared" si="263"/>
        <v>367.0448377</v>
      </c>
    </row>
    <row r="415" ht="27.75" customHeight="1">
      <c r="A415" s="29" t="s">
        <v>446</v>
      </c>
      <c r="B415" s="29" t="s">
        <v>447</v>
      </c>
      <c r="C415" s="29" t="s">
        <v>109</v>
      </c>
      <c r="D415" s="29" t="s">
        <v>110</v>
      </c>
      <c r="E415" s="29" t="s">
        <v>111</v>
      </c>
      <c r="F415" s="29" t="s">
        <v>112</v>
      </c>
      <c r="G415" s="29" t="s">
        <v>113</v>
      </c>
      <c r="H415" s="29" t="s">
        <v>114</v>
      </c>
      <c r="I415" s="29" t="s">
        <v>115</v>
      </c>
      <c r="J415" s="29" t="s">
        <v>116</v>
      </c>
      <c r="K415" s="29" t="s">
        <v>117</v>
      </c>
      <c r="L415" s="29" t="s">
        <v>118</v>
      </c>
      <c r="M415" s="29" t="s">
        <v>119</v>
      </c>
      <c r="N415" s="29" t="s">
        <v>120</v>
      </c>
      <c r="O415" s="29" t="s">
        <v>448</v>
      </c>
      <c r="P415" s="29" t="s">
        <v>148</v>
      </c>
      <c r="Q415" s="29" t="s">
        <v>449</v>
      </c>
      <c r="R415" s="29" t="s">
        <v>209</v>
      </c>
      <c r="S415" s="29" t="s">
        <v>450</v>
      </c>
      <c r="T415" s="29" t="s">
        <v>451</v>
      </c>
      <c r="U415" s="29" t="s">
        <v>452</v>
      </c>
      <c r="V415" s="29" t="s">
        <v>453</v>
      </c>
      <c r="W415" s="29" t="s">
        <v>454</v>
      </c>
      <c r="X415" s="29" t="s">
        <v>418</v>
      </c>
      <c r="Y415" s="29" t="s">
        <v>455</v>
      </c>
      <c r="Z415" s="29" t="s">
        <v>456</v>
      </c>
      <c r="AA415" s="160"/>
    </row>
    <row r="416" ht="15.75" customHeight="1">
      <c r="A416" s="73" t="s">
        <v>457</v>
      </c>
      <c r="B416" s="118" t="s">
        <v>458</v>
      </c>
      <c r="C416" s="63">
        <f t="shared" ref="C416:N416" si="268">($T416*C$409+$U416*C$410+$V416*C$411+$W416*C$412+$X416*C$413+$Y416*C$414)/$B$2</f>
        <v>72.23625016</v>
      </c>
      <c r="D416" s="63">
        <f t="shared" si="268"/>
        <v>59.68968978</v>
      </c>
      <c r="E416" s="63">
        <f t="shared" si="268"/>
        <v>61.51295305</v>
      </c>
      <c r="F416" s="63">
        <f t="shared" si="268"/>
        <v>59.83595988</v>
      </c>
      <c r="G416" s="63">
        <f t="shared" si="268"/>
        <v>58.01269661</v>
      </c>
      <c r="H416" s="63">
        <f t="shared" si="268"/>
        <v>56.18943333</v>
      </c>
      <c r="I416" s="63">
        <f t="shared" si="268"/>
        <v>59.98222999</v>
      </c>
      <c r="J416" s="63">
        <f t="shared" si="268"/>
        <v>61.36668295</v>
      </c>
      <c r="K416" s="63">
        <f t="shared" si="268"/>
        <v>61.36668295</v>
      </c>
      <c r="L416" s="63">
        <f t="shared" si="268"/>
        <v>59.68968978</v>
      </c>
      <c r="M416" s="63">
        <f t="shared" si="268"/>
        <v>59.54341967</v>
      </c>
      <c r="N416" s="63">
        <f t="shared" si="268"/>
        <v>86.47667682</v>
      </c>
      <c r="O416" s="44">
        <f t="shared" ref="O416:O442" si="270">MAX(C416:N416)</f>
        <v>86.47667682</v>
      </c>
      <c r="P416" s="63">
        <f>'Parametros Recargas'!$M$85</f>
        <v>72</v>
      </c>
      <c r="Q416" s="36">
        <f>MAX(Q361,ROUNDUP(O416/(P416*'Parametros Recargas'!I$8*'Parametros Recargas'!$B$19),0))</f>
        <v>1</v>
      </c>
      <c r="R416" s="46">
        <f>IF(AND('Parametros Recargas'!I$8=2,O416/(P416*Q416*'Parametros Recargas'!$B$19)&gt;1),2,1)</f>
        <v>2</v>
      </c>
      <c r="S416" s="34">
        <f t="shared" ref="S416:S441" si="271">O416/(P416*Q416*R416)</f>
        <v>0.6005324779</v>
      </c>
      <c r="T416" s="161">
        <f>'Parametros Recargas'!D54</f>
        <v>1</v>
      </c>
      <c r="U416" s="161">
        <f>'Parametros Recargas'!E54</f>
        <v>1</v>
      </c>
      <c r="V416" s="161">
        <f>'Parametros Recargas'!F54</f>
        <v>1</v>
      </c>
      <c r="W416" s="161">
        <f>'Parametros Recargas'!G54</f>
        <v>1</v>
      </c>
      <c r="X416" s="161">
        <f>'Parametros Recargas'!H54</f>
        <v>1</v>
      </c>
      <c r="Y416" s="161">
        <f>'Parametros Recargas'!I54</f>
        <v>1</v>
      </c>
      <c r="Z416" s="162">
        <f>'Parametros Recargas'!$U$85/P416</f>
        <v>0.01388888889</v>
      </c>
    </row>
    <row r="417" ht="15.75" customHeight="1">
      <c r="A417" s="73" t="s">
        <v>459</v>
      </c>
      <c r="B417" s="118" t="s">
        <v>458</v>
      </c>
      <c r="C417" s="63">
        <f t="shared" ref="C417:N417" si="269">($T417*C$409+$U417*C$410+$V417*C$411+$W417*C$412+$X417*C$413+$Y417*C$414)/$B$2</f>
        <v>72.23625016</v>
      </c>
      <c r="D417" s="63">
        <f t="shared" si="269"/>
        <v>59.68968978</v>
      </c>
      <c r="E417" s="63">
        <f t="shared" si="269"/>
        <v>61.51295305</v>
      </c>
      <c r="F417" s="63">
        <f t="shared" si="269"/>
        <v>59.83595988</v>
      </c>
      <c r="G417" s="63">
        <f t="shared" si="269"/>
        <v>58.01269661</v>
      </c>
      <c r="H417" s="63">
        <f t="shared" si="269"/>
        <v>56.18943333</v>
      </c>
      <c r="I417" s="63">
        <f t="shared" si="269"/>
        <v>59.98222999</v>
      </c>
      <c r="J417" s="63">
        <f t="shared" si="269"/>
        <v>61.36668295</v>
      </c>
      <c r="K417" s="63">
        <f t="shared" si="269"/>
        <v>61.36668295</v>
      </c>
      <c r="L417" s="63">
        <f t="shared" si="269"/>
        <v>59.68968978</v>
      </c>
      <c r="M417" s="63">
        <f t="shared" si="269"/>
        <v>59.54341967</v>
      </c>
      <c r="N417" s="63">
        <f t="shared" si="269"/>
        <v>86.47667682</v>
      </c>
      <c r="O417" s="44">
        <f t="shared" si="270"/>
        <v>86.47667682</v>
      </c>
      <c r="P417" s="63">
        <f>'Parametros Recargas'!$M$86</f>
        <v>52.36363636</v>
      </c>
      <c r="Q417" s="36">
        <f>MAX(Q362,ROUNDUP(O417/(P417*'Parametros Recargas'!I$8*'Parametros Recargas'!$B$19),0))</f>
        <v>2</v>
      </c>
      <c r="R417" s="46">
        <f>IF(AND('Parametros Recargas'!I$8=2,O417/(P417*Q417*'Parametros Recargas'!$B$19)&gt;1),2,1)</f>
        <v>1</v>
      </c>
      <c r="S417" s="34">
        <f t="shared" si="271"/>
        <v>0.8257321571</v>
      </c>
      <c r="T417" s="161">
        <f>'Parametros Recargas'!D55</f>
        <v>1</v>
      </c>
      <c r="U417" s="161">
        <f>'Parametros Recargas'!E55</f>
        <v>1</v>
      </c>
      <c r="V417" s="161">
        <f>'Parametros Recargas'!F55</f>
        <v>1</v>
      </c>
      <c r="W417" s="161">
        <f>'Parametros Recargas'!G55</f>
        <v>1</v>
      </c>
      <c r="X417" s="161">
        <f>'Parametros Recargas'!H55</f>
        <v>1</v>
      </c>
      <c r="Y417" s="161">
        <f>'Parametros Recargas'!I55</f>
        <v>1</v>
      </c>
      <c r="Z417" s="162">
        <f>'Parametros Recargas'!$U$86/P417</f>
        <v>0.01909722222</v>
      </c>
    </row>
    <row r="418" ht="15.75" customHeight="1">
      <c r="A418" s="30" t="s">
        <v>460</v>
      </c>
      <c r="B418" s="118" t="s">
        <v>458</v>
      </c>
      <c r="C418" s="63">
        <f t="shared" ref="C418:N418" si="272">($T418*C$409+$U418*C$410+$V418*C$411+$W418*C$412+$X418*C$413+$Y418*C$414)/$B$2</f>
        <v>63.47558836</v>
      </c>
      <c r="D418" s="63">
        <f t="shared" si="272"/>
        <v>51.94577414</v>
      </c>
      <c r="E418" s="63">
        <f t="shared" si="272"/>
        <v>53.28504269</v>
      </c>
      <c r="F418" s="63">
        <f t="shared" si="272"/>
        <v>52.06766589</v>
      </c>
      <c r="G418" s="63">
        <f t="shared" si="272"/>
        <v>50.72839735</v>
      </c>
      <c r="H418" s="63">
        <f t="shared" si="272"/>
        <v>49.3891288</v>
      </c>
      <c r="I418" s="63">
        <f t="shared" si="272"/>
        <v>52.18955765</v>
      </c>
      <c r="J418" s="63">
        <f t="shared" si="272"/>
        <v>53.16315093</v>
      </c>
      <c r="K418" s="63">
        <f t="shared" si="272"/>
        <v>53.16315093</v>
      </c>
      <c r="L418" s="63">
        <f t="shared" si="272"/>
        <v>51.94577414</v>
      </c>
      <c r="M418" s="63">
        <f t="shared" si="272"/>
        <v>51.82388238</v>
      </c>
      <c r="N418" s="63">
        <f t="shared" si="272"/>
        <v>75.92630622</v>
      </c>
      <c r="O418" s="44">
        <f t="shared" si="270"/>
        <v>75.92630622</v>
      </c>
      <c r="P418" s="63">
        <f>'Parametros Recargas'!$M$87</f>
        <v>29.14285714</v>
      </c>
      <c r="Q418" s="36">
        <f>MAX(Q363,ROUNDUP(O418/(P418*'Parametros Recargas'!I$8*'Parametros Recargas'!$B$19),0))</f>
        <v>3</v>
      </c>
      <c r="R418" s="46">
        <f>IF(AND('Parametros Recargas'!I$8=2,O418/(P418*Q418*'Parametros Recargas'!$B$19)&gt;1),2,1)</f>
        <v>1</v>
      </c>
      <c r="S418" s="34">
        <f t="shared" si="271"/>
        <v>0.868438143</v>
      </c>
      <c r="T418" s="161">
        <f>'Parametros Recargas'!D56</f>
        <v>1</v>
      </c>
      <c r="U418" s="161">
        <f>'Parametros Recargas'!E56</f>
        <v>0</v>
      </c>
      <c r="V418" s="161">
        <f>'Parametros Recargas'!F56</f>
        <v>0</v>
      </c>
      <c r="W418" s="161">
        <f>'Parametros Recargas'!G56</f>
        <v>0</v>
      </c>
      <c r="X418" s="161">
        <f>'Parametros Recargas'!H56</f>
        <v>0</v>
      </c>
      <c r="Y418" s="161">
        <f>'Parametros Recargas'!I56</f>
        <v>0</v>
      </c>
      <c r="Z418" s="162">
        <f>'Parametros Recargas'!$U$87/P418</f>
        <v>0.01715686275</v>
      </c>
    </row>
    <row r="419" ht="15.75" customHeight="1">
      <c r="A419" s="30" t="s">
        <v>461</v>
      </c>
      <c r="B419" s="118" t="s">
        <v>458</v>
      </c>
      <c r="C419" s="63">
        <f t="shared" ref="C419:N419" si="273">($T419*C$409+$U419*C$410+$V419*C$411+$W419*C$412+$X419*C$413+$Y419*C$414)/$B$2</f>
        <v>0.08381770175</v>
      </c>
      <c r="D419" s="63">
        <f t="shared" si="273"/>
        <v>0.07450462378</v>
      </c>
      <c r="E419" s="63">
        <f t="shared" si="273"/>
        <v>0.07916116277</v>
      </c>
      <c r="F419" s="63">
        <f t="shared" si="273"/>
        <v>0.07450462378</v>
      </c>
      <c r="G419" s="63">
        <f t="shared" si="273"/>
        <v>0.06984808479</v>
      </c>
      <c r="H419" s="63">
        <f t="shared" si="273"/>
        <v>0.06519154581</v>
      </c>
      <c r="I419" s="63">
        <f t="shared" si="273"/>
        <v>0.07450462378</v>
      </c>
      <c r="J419" s="63">
        <f t="shared" si="273"/>
        <v>0.07916116277</v>
      </c>
      <c r="K419" s="63">
        <f t="shared" si="273"/>
        <v>0.07916116277</v>
      </c>
      <c r="L419" s="63">
        <f t="shared" si="273"/>
        <v>0.07450462378</v>
      </c>
      <c r="M419" s="63">
        <f t="shared" si="273"/>
        <v>0.07450462378</v>
      </c>
      <c r="N419" s="63">
        <f t="shared" si="273"/>
        <v>0.1024438577</v>
      </c>
      <c r="O419" s="44">
        <f t="shared" si="270"/>
        <v>0.1024438577</v>
      </c>
      <c r="P419" s="63">
        <f>'Parametros Recargas'!$M$88</f>
        <v>29.14285714</v>
      </c>
      <c r="Q419" s="36">
        <f>MAX(Q364,ROUNDUP(O419/(P419*'Parametros Recargas'!I$8*'Parametros Recargas'!$B$19),0))</f>
        <v>1</v>
      </c>
      <c r="R419" s="46">
        <f>IF(AND('Parametros Recargas'!I$8=2,O419/(P419*Q419*'Parametros Recargas'!$B$19)&gt;1),2,1)</f>
        <v>1</v>
      </c>
      <c r="S419" s="34">
        <f t="shared" si="271"/>
        <v>0.003515230411</v>
      </c>
      <c r="T419" s="161">
        <f>'Parametros Recargas'!D57</f>
        <v>0</v>
      </c>
      <c r="U419" s="161">
        <f>'Parametros Recargas'!E57</f>
        <v>1</v>
      </c>
      <c r="V419" s="161">
        <f>'Parametros Recargas'!F57</f>
        <v>0</v>
      </c>
      <c r="W419" s="161">
        <f>'Parametros Recargas'!G57</f>
        <v>0</v>
      </c>
      <c r="X419" s="161">
        <f>'Parametros Recargas'!H57</f>
        <v>0</v>
      </c>
      <c r="Y419" s="161">
        <f>'Parametros Recargas'!I57</f>
        <v>0</v>
      </c>
      <c r="Z419" s="162">
        <f>'Parametros Recargas'!$U$88/P419</f>
        <v>0.03431372549</v>
      </c>
    </row>
    <row r="420" ht="15.75" customHeight="1">
      <c r="A420" s="30" t="s">
        <v>463</v>
      </c>
      <c r="B420" s="118" t="s">
        <v>458</v>
      </c>
      <c r="C420" s="63">
        <f t="shared" ref="C420:N420" si="274">($T420*C$409+$U420*C$410+$V420*C$411+$W420*C$412+$X420*C$413+$Y420*C$414)/$B$2</f>
        <v>0.07539484447</v>
      </c>
      <c r="D420" s="63">
        <f t="shared" si="274"/>
        <v>0.06701763953</v>
      </c>
      <c r="E420" s="63">
        <f t="shared" si="274"/>
        <v>0.071206242</v>
      </c>
      <c r="F420" s="63">
        <f t="shared" si="274"/>
        <v>0.06701763953</v>
      </c>
      <c r="G420" s="63">
        <f t="shared" si="274"/>
        <v>0.06282903706</v>
      </c>
      <c r="H420" s="63">
        <f t="shared" si="274"/>
        <v>0.05864043459</v>
      </c>
      <c r="I420" s="63">
        <f t="shared" si="274"/>
        <v>0.06701763953</v>
      </c>
      <c r="J420" s="63">
        <f t="shared" si="274"/>
        <v>0.071206242</v>
      </c>
      <c r="K420" s="63">
        <f t="shared" si="274"/>
        <v>0.071206242</v>
      </c>
      <c r="L420" s="63">
        <f t="shared" si="274"/>
        <v>0.06701763953</v>
      </c>
      <c r="M420" s="63">
        <f t="shared" si="274"/>
        <v>0.06701763953</v>
      </c>
      <c r="N420" s="63">
        <f t="shared" si="274"/>
        <v>0.09214925435</v>
      </c>
      <c r="O420" s="44">
        <f t="shared" si="270"/>
        <v>0.09214925435</v>
      </c>
      <c r="P420" s="63">
        <f>'Parametros Recargas'!$M$89</f>
        <v>13.5</v>
      </c>
      <c r="Q420" s="36">
        <f>MAX(Q365,ROUNDUP(O420/(P420*'Parametros Recargas'!I$8*'Parametros Recargas'!$B$19),0))</f>
        <v>1</v>
      </c>
      <c r="R420" s="46">
        <f>IF(AND('Parametros Recargas'!I$8=2,O420/(P420*Q420*'Parametros Recargas'!$B$19)&gt;1),2,1)</f>
        <v>1</v>
      </c>
      <c r="S420" s="34">
        <f t="shared" si="271"/>
        <v>0.006825870693</v>
      </c>
      <c r="T420" s="161">
        <f>'Parametros Recargas'!D58</f>
        <v>0</v>
      </c>
      <c r="U420" s="161">
        <f>'Parametros Recargas'!E58</f>
        <v>0</v>
      </c>
      <c r="V420" s="161">
        <f>'Parametros Recargas'!F58</f>
        <v>1</v>
      </c>
      <c r="W420" s="161">
        <f>'Parametros Recargas'!G58</f>
        <v>0</v>
      </c>
      <c r="X420" s="161">
        <f>'Parametros Recargas'!H58</f>
        <v>0</v>
      </c>
      <c r="Y420" s="161">
        <f>'Parametros Recargas'!I58</f>
        <v>0</v>
      </c>
      <c r="Z420" s="162">
        <f>'Parametros Recargas'!$U$89/P420</f>
        <v>0.07407407407</v>
      </c>
    </row>
    <row r="421" ht="15.75" customHeight="1">
      <c r="A421" s="30" t="s">
        <v>464</v>
      </c>
      <c r="B421" s="118" t="s">
        <v>458</v>
      </c>
      <c r="C421" s="63">
        <f t="shared" ref="C421:N421" si="275">($T421*C$409+$U421*C$410+$V421*C$411+$W421*C$412+$X421*C$413+$Y421*C$414)/$B$2</f>
        <v>2.993675219</v>
      </c>
      <c r="D421" s="63">
        <f t="shared" si="275"/>
        <v>2.617705348</v>
      </c>
      <c r="E421" s="63">
        <f t="shared" si="275"/>
        <v>2.781311932</v>
      </c>
      <c r="F421" s="63">
        <f t="shared" si="275"/>
        <v>2.642083699</v>
      </c>
      <c r="G421" s="63">
        <f t="shared" si="275"/>
        <v>2.478477115</v>
      </c>
      <c r="H421" s="63">
        <f t="shared" si="275"/>
        <v>2.31487053</v>
      </c>
      <c r="I421" s="63">
        <f t="shared" si="275"/>
        <v>2.66646205</v>
      </c>
      <c r="J421" s="63">
        <f t="shared" si="275"/>
        <v>2.756933581</v>
      </c>
      <c r="K421" s="63">
        <f t="shared" si="275"/>
        <v>2.756933581</v>
      </c>
      <c r="L421" s="63">
        <f t="shared" si="275"/>
        <v>2.617705348</v>
      </c>
      <c r="M421" s="63">
        <f t="shared" si="275"/>
        <v>2.593326997</v>
      </c>
      <c r="N421" s="63">
        <f t="shared" si="275"/>
        <v>3.501831449</v>
      </c>
      <c r="O421" s="44">
        <f t="shared" si="270"/>
        <v>3.501831449</v>
      </c>
      <c r="P421" s="63">
        <f>'Parametros Recargas'!$M$90</f>
        <v>22.66666667</v>
      </c>
      <c r="Q421" s="36">
        <f>MAX(Q366,ROUNDUP(O421/(P421*'Parametros Recargas'!I$8*'Parametros Recargas'!$B$19),0))</f>
        <v>1</v>
      </c>
      <c r="R421" s="46">
        <f>IF(AND('Parametros Recargas'!I$8=2,O421/(P421*Q421*'Parametros Recargas'!$B$19)&gt;1),2,1)</f>
        <v>1</v>
      </c>
      <c r="S421" s="34">
        <f t="shared" si="271"/>
        <v>0.1544925639</v>
      </c>
      <c r="T421" s="161">
        <f>'Parametros Recargas'!D59</f>
        <v>0</v>
      </c>
      <c r="U421" s="161">
        <f>'Parametros Recargas'!E59</f>
        <v>0</v>
      </c>
      <c r="V421" s="161">
        <f>'Parametros Recargas'!F59</f>
        <v>0</v>
      </c>
      <c r="W421" s="161">
        <f>'Parametros Recargas'!G59</f>
        <v>1</v>
      </c>
      <c r="X421" s="161">
        <f>'Parametros Recargas'!H59</f>
        <v>0</v>
      </c>
      <c r="Y421" s="161">
        <f>'Parametros Recargas'!I59</f>
        <v>0</v>
      </c>
      <c r="Z421" s="162">
        <f>'Parametros Recargas'!$U$90/P421</f>
        <v>0.04411764706</v>
      </c>
    </row>
    <row r="422" ht="15.75" customHeight="1">
      <c r="A422" s="30" t="s">
        <v>465</v>
      </c>
      <c r="B422" s="118" t="s">
        <v>458</v>
      </c>
      <c r="C422" s="63">
        <f t="shared" ref="C422:N422" si="276">($T422*C$409+$U422*C$410+$V422*C$411+$W422*C$412+$X422*C$413+$Y422*C$414)/$B$2</f>
        <v>1.346886782</v>
      </c>
      <c r="D422" s="63">
        <f t="shared" si="276"/>
        <v>1.197232695</v>
      </c>
      <c r="E422" s="63">
        <f t="shared" si="276"/>
        <v>1.272059739</v>
      </c>
      <c r="F422" s="63">
        <f t="shared" si="276"/>
        <v>1.197232695</v>
      </c>
      <c r="G422" s="63">
        <f t="shared" si="276"/>
        <v>1.122405652</v>
      </c>
      <c r="H422" s="63">
        <f t="shared" si="276"/>
        <v>1.047578608</v>
      </c>
      <c r="I422" s="63">
        <f t="shared" si="276"/>
        <v>1.197232695</v>
      </c>
      <c r="J422" s="63">
        <f t="shared" si="276"/>
        <v>1.272059739</v>
      </c>
      <c r="K422" s="63">
        <f t="shared" si="276"/>
        <v>1.272059739</v>
      </c>
      <c r="L422" s="63">
        <f t="shared" si="276"/>
        <v>1.197232695</v>
      </c>
      <c r="M422" s="63">
        <f t="shared" si="276"/>
        <v>1.197232695</v>
      </c>
      <c r="N422" s="63">
        <f t="shared" si="276"/>
        <v>1.646194956</v>
      </c>
      <c r="O422" s="44">
        <f t="shared" si="270"/>
        <v>1.646194956</v>
      </c>
      <c r="P422" s="63">
        <f>'Parametros Recargas'!$M$91</f>
        <v>29.14285714</v>
      </c>
      <c r="Q422" s="36">
        <f>MAX(Q367,ROUNDUP(O422/(P422*'Parametros Recargas'!I$8*'Parametros Recargas'!$B$19),0))</f>
        <v>1</v>
      </c>
      <c r="R422" s="46">
        <f>IF(AND('Parametros Recargas'!I$8=2,O422/(P422*Q422*'Parametros Recargas'!$B$19)&gt;1),2,1)</f>
        <v>1</v>
      </c>
      <c r="S422" s="34">
        <f t="shared" si="271"/>
        <v>0.05648708182</v>
      </c>
      <c r="T422" s="161">
        <f>'Parametros Recargas'!D60</f>
        <v>0</v>
      </c>
      <c r="U422" s="161">
        <f>'Parametros Recargas'!E60</f>
        <v>0</v>
      </c>
      <c r="V422" s="161">
        <f>'Parametros Recargas'!F60</f>
        <v>0</v>
      </c>
      <c r="W422" s="161">
        <f>'Parametros Recargas'!G60</f>
        <v>0</v>
      </c>
      <c r="X422" s="161">
        <f>'Parametros Recargas'!H60</f>
        <v>0.25</v>
      </c>
      <c r="Y422" s="161">
        <f>'Parametros Recargas'!I60</f>
        <v>0</v>
      </c>
      <c r="Z422" s="162">
        <f>'Parametros Recargas'!$U$91/P422</f>
        <v>0.03431372549</v>
      </c>
    </row>
    <row r="423" ht="15.75" customHeight="1">
      <c r="A423" s="30" t="s">
        <v>466</v>
      </c>
      <c r="B423" s="118" t="s">
        <v>458</v>
      </c>
      <c r="C423" s="63">
        <f t="shared" ref="C423:N423" si="277">($T423*C$409+$U423*C$410+$V423*C$411+$W423*C$412+$X423*C$413+$Y423*C$414)/$B$2</f>
        <v>0.05505672566</v>
      </c>
      <c r="D423" s="63">
        <f t="shared" si="277"/>
        <v>0.0489393117</v>
      </c>
      <c r="E423" s="63">
        <f t="shared" si="277"/>
        <v>0.05199801868</v>
      </c>
      <c r="F423" s="63">
        <f t="shared" si="277"/>
        <v>0.0489393117</v>
      </c>
      <c r="G423" s="63">
        <f t="shared" si="277"/>
        <v>0.04588060472</v>
      </c>
      <c r="H423" s="63">
        <f t="shared" si="277"/>
        <v>0.04282189774</v>
      </c>
      <c r="I423" s="63">
        <f t="shared" si="277"/>
        <v>0.0489393117</v>
      </c>
      <c r="J423" s="63">
        <f t="shared" si="277"/>
        <v>0.05199801868</v>
      </c>
      <c r="K423" s="63">
        <f t="shared" si="277"/>
        <v>0.05199801868</v>
      </c>
      <c r="L423" s="63">
        <f t="shared" si="277"/>
        <v>0.0489393117</v>
      </c>
      <c r="M423" s="63">
        <f t="shared" si="277"/>
        <v>0.0489393117</v>
      </c>
      <c r="N423" s="63">
        <f t="shared" si="277"/>
        <v>0.06729155359</v>
      </c>
      <c r="O423" s="44">
        <f t="shared" si="270"/>
        <v>0.06729155359</v>
      </c>
      <c r="P423" s="63">
        <f>'Parametros Recargas'!$M$92</f>
        <v>18.54545455</v>
      </c>
      <c r="Q423" s="36">
        <f>MAX(Q368,ROUNDUP(O423/(P423*'Parametros Recargas'!I$8*'Parametros Recargas'!$B$19),0))</f>
        <v>1</v>
      </c>
      <c r="R423" s="46">
        <f>IF(AND('Parametros Recargas'!I$8=2,O423/(P423*Q423*'Parametros Recargas'!$B$19)&gt;1),2,1)</f>
        <v>1</v>
      </c>
      <c r="S423" s="34">
        <f t="shared" si="271"/>
        <v>0.003628466125</v>
      </c>
      <c r="T423" s="161">
        <f>'Parametros Recargas'!D61</f>
        <v>0</v>
      </c>
      <c r="U423" s="161">
        <f>'Parametros Recargas'!E61</f>
        <v>0</v>
      </c>
      <c r="V423" s="161">
        <f>'Parametros Recargas'!F61</f>
        <v>0</v>
      </c>
      <c r="W423" s="161">
        <f>'Parametros Recargas'!G61</f>
        <v>0</v>
      </c>
      <c r="X423" s="161">
        <f>'Parametros Recargas'!H61</f>
        <v>0</v>
      </c>
      <c r="Y423" s="161">
        <f>'Parametros Recargas'!I61</f>
        <v>0.25</v>
      </c>
      <c r="Z423" s="162">
        <f>'Parametros Recargas'!$U$92/P423</f>
        <v>0.05392156863</v>
      </c>
    </row>
    <row r="424" ht="15.75" customHeight="1">
      <c r="A424" s="73" t="s">
        <v>467</v>
      </c>
      <c r="B424" s="118" t="s">
        <v>458</v>
      </c>
      <c r="C424" s="63">
        <f t="shared" ref="C424:N424" si="278">($T424*C$409+$U424*C$410+$V424*C$411+$W424*C$412+$X424*C$413+$Y424*C$414)/$B$2</f>
        <v>68.59119704</v>
      </c>
      <c r="D424" s="63">
        <f t="shared" si="278"/>
        <v>56.44964256</v>
      </c>
      <c r="E424" s="63">
        <f t="shared" si="278"/>
        <v>58.07040288</v>
      </c>
      <c r="F424" s="63">
        <f t="shared" si="278"/>
        <v>56.59591267</v>
      </c>
      <c r="G424" s="63">
        <f t="shared" si="278"/>
        <v>54.97515234</v>
      </c>
      <c r="H424" s="63">
        <f t="shared" si="278"/>
        <v>53.35439202</v>
      </c>
      <c r="I424" s="63">
        <f t="shared" si="278"/>
        <v>56.74218277</v>
      </c>
      <c r="J424" s="63">
        <f t="shared" si="278"/>
        <v>57.92413278</v>
      </c>
      <c r="K424" s="63">
        <f t="shared" si="278"/>
        <v>57.92413278</v>
      </c>
      <c r="L424" s="63">
        <f t="shared" si="278"/>
        <v>56.44964256</v>
      </c>
      <c r="M424" s="63">
        <f t="shared" si="278"/>
        <v>56.30337245</v>
      </c>
      <c r="N424" s="63">
        <f t="shared" si="278"/>
        <v>82.02161189</v>
      </c>
      <c r="O424" s="44">
        <f t="shared" si="270"/>
        <v>82.02161189</v>
      </c>
      <c r="P424" s="63">
        <f>'Parametros Recargas'!$M$93</f>
        <v>32</v>
      </c>
      <c r="Q424" s="36">
        <f>MAX(Q369,ROUNDUP(O424/(P424*'Parametros Recargas'!I$8*'Parametros Recargas'!$B$19),0))</f>
        <v>3</v>
      </c>
      <c r="R424" s="46">
        <f>IF(AND('Parametros Recargas'!I$8=2,O424/(P424*Q424*'Parametros Recargas'!$B$19)&gt;1),2,1)</f>
        <v>1</v>
      </c>
      <c r="S424" s="34">
        <f t="shared" si="271"/>
        <v>0.8543917906</v>
      </c>
      <c r="T424" s="161">
        <f>'Parametros Recargas'!D62</f>
        <v>1</v>
      </c>
      <c r="U424" s="161">
        <f>'Parametros Recargas'!E62</f>
        <v>1</v>
      </c>
      <c r="V424" s="161">
        <f>'Parametros Recargas'!F62</f>
        <v>1</v>
      </c>
      <c r="W424" s="161">
        <f>'Parametros Recargas'!G62</f>
        <v>1</v>
      </c>
      <c r="X424" s="161">
        <f>'Parametros Recargas'!H62</f>
        <v>0.35</v>
      </c>
      <c r="Y424" s="161">
        <f>'Parametros Recargas'!I62</f>
        <v>0.35</v>
      </c>
      <c r="Z424" s="162">
        <f>'Parametros Recargas'!$U$93/P424</f>
        <v>0.03125</v>
      </c>
    </row>
    <row r="425" ht="15.75" customHeight="1">
      <c r="A425" s="30" t="s">
        <v>469</v>
      </c>
      <c r="B425" s="118" t="s">
        <v>458</v>
      </c>
      <c r="C425" s="63">
        <f t="shared" ref="C425:N425" si="279">($T425*C$409+$U425*C$410+$V425*C$411+$W425*C$412+$X425*C$413+$Y425*C$414)/$B$2</f>
        <v>6.355940607</v>
      </c>
      <c r="D425" s="63">
        <f t="shared" si="279"/>
        <v>5.202027876</v>
      </c>
      <c r="E425" s="63">
        <f t="shared" si="279"/>
        <v>5.336420385</v>
      </c>
      <c r="F425" s="63">
        <f t="shared" si="279"/>
        <v>5.214217052</v>
      </c>
      <c r="G425" s="63">
        <f t="shared" si="279"/>
        <v>5.079824543</v>
      </c>
      <c r="H425" s="63">
        <f t="shared" si="279"/>
        <v>4.945432035</v>
      </c>
      <c r="I425" s="63">
        <f t="shared" si="279"/>
        <v>5.226406227</v>
      </c>
      <c r="J425" s="63">
        <f t="shared" si="279"/>
        <v>5.324231209</v>
      </c>
      <c r="K425" s="63">
        <f t="shared" si="279"/>
        <v>5.324231209</v>
      </c>
      <c r="L425" s="63">
        <f t="shared" si="279"/>
        <v>5.202027876</v>
      </c>
      <c r="M425" s="63">
        <f t="shared" si="279"/>
        <v>5.189838701</v>
      </c>
      <c r="N425" s="63">
        <f t="shared" si="279"/>
        <v>7.602875008</v>
      </c>
      <c r="O425" s="44">
        <f t="shared" si="270"/>
        <v>7.602875008</v>
      </c>
      <c r="P425" s="63">
        <f>'Parametros Recargas'!$M$94</f>
        <v>6.375</v>
      </c>
      <c r="Q425" s="36">
        <f>MAX(Q370,ROUNDUP(O425/(P425*'Parametros Recargas'!I$8*'Parametros Recargas'!$B$19),0))</f>
        <v>1</v>
      </c>
      <c r="R425" s="46">
        <f>IF(AND('Parametros Recargas'!I$8=2,O425/(P425*Q425*'Parametros Recargas'!$B$19)&gt;1),2,1)</f>
        <v>2</v>
      </c>
      <c r="S425" s="34">
        <f t="shared" si="271"/>
        <v>0.5963039222</v>
      </c>
      <c r="T425" s="161">
        <f>'Parametros Recargas'!D63</f>
        <v>0.1</v>
      </c>
      <c r="U425" s="161">
        <f>'Parametros Recargas'!E63</f>
        <v>0.1</v>
      </c>
      <c r="V425" s="161">
        <f>'Parametros Recargas'!F63</f>
        <v>0</v>
      </c>
      <c r="W425" s="161">
        <f>'Parametros Recargas'!G63</f>
        <v>0</v>
      </c>
      <c r="X425" s="161">
        <f>'Parametros Recargas'!H63</f>
        <v>0</v>
      </c>
      <c r="Y425" s="161">
        <f>'Parametros Recargas'!I63</f>
        <v>0</v>
      </c>
      <c r="Z425" s="162">
        <f>'Parametros Recargas'!$U$94/P425</f>
        <v>0.07843137255</v>
      </c>
    </row>
    <row r="426" ht="15.75" customHeight="1">
      <c r="A426" s="30" t="s">
        <v>470</v>
      </c>
      <c r="B426" s="118" t="s">
        <v>458</v>
      </c>
      <c r="C426" s="63">
        <f t="shared" ref="C426:N426" si="280">($T426*C$409+$U426*C$410+$V426*C$411+$W426*C$412+$X426*C$413+$Y426*C$414)/$B$2</f>
        <v>2.993675219</v>
      </c>
      <c r="D426" s="63">
        <f t="shared" si="280"/>
        <v>2.617705348</v>
      </c>
      <c r="E426" s="63">
        <f t="shared" si="280"/>
        <v>2.781311932</v>
      </c>
      <c r="F426" s="63">
        <f t="shared" si="280"/>
        <v>2.642083699</v>
      </c>
      <c r="G426" s="63">
        <f t="shared" si="280"/>
        <v>2.478477115</v>
      </c>
      <c r="H426" s="63">
        <f t="shared" si="280"/>
        <v>2.31487053</v>
      </c>
      <c r="I426" s="63">
        <f t="shared" si="280"/>
        <v>2.66646205</v>
      </c>
      <c r="J426" s="63">
        <f t="shared" si="280"/>
        <v>2.756933581</v>
      </c>
      <c r="K426" s="63">
        <f t="shared" si="280"/>
        <v>2.756933581</v>
      </c>
      <c r="L426" s="63">
        <f t="shared" si="280"/>
        <v>2.617705348</v>
      </c>
      <c r="M426" s="63">
        <f t="shared" si="280"/>
        <v>2.593326997</v>
      </c>
      <c r="N426" s="63">
        <f t="shared" si="280"/>
        <v>3.501831449</v>
      </c>
      <c r="O426" s="44">
        <f t="shared" si="270"/>
        <v>3.501831449</v>
      </c>
      <c r="P426" s="63">
        <f>'Parametros Recargas'!$M$95</f>
        <v>28.8</v>
      </c>
      <c r="Q426" s="36">
        <f>MAX(Q371,ROUNDUP(O426/(P426*'Parametros Recargas'!I$8*'Parametros Recargas'!$B$19),0))</f>
        <v>1</v>
      </c>
      <c r="R426" s="46">
        <f>IF(AND('Parametros Recargas'!I$8=2,O426/(P426*Q426*'Parametros Recargas'!$B$19)&gt;1),2,1)</f>
        <v>1</v>
      </c>
      <c r="S426" s="34">
        <f t="shared" si="271"/>
        <v>0.1215913697</v>
      </c>
      <c r="T426" s="161">
        <f>'Parametros Recargas'!D64</f>
        <v>0</v>
      </c>
      <c r="U426" s="161">
        <f>'Parametros Recargas'!E64</f>
        <v>0</v>
      </c>
      <c r="V426" s="161">
        <f>'Parametros Recargas'!F64</f>
        <v>0</v>
      </c>
      <c r="W426" s="161">
        <f>'Parametros Recargas'!G64</f>
        <v>1</v>
      </c>
      <c r="X426" s="161">
        <f>'Parametros Recargas'!H64</f>
        <v>0</v>
      </c>
      <c r="Y426" s="161">
        <f>'Parametros Recargas'!I64</f>
        <v>0</v>
      </c>
      <c r="Z426" s="162">
        <f>'Parametros Recargas'!$U$95/P426</f>
        <v>0.03472222222</v>
      </c>
    </row>
    <row r="427" ht="15.75" customHeight="1">
      <c r="A427" s="73" t="s">
        <v>473</v>
      </c>
      <c r="B427" s="118" t="s">
        <v>458</v>
      </c>
      <c r="C427" s="63">
        <f t="shared" ref="C427:N427" si="281">($T427*C$409+$U427*C$410+$V427*C$411+$W427*C$412+$X427*C$413+$Y427*C$414)/$B$2</f>
        <v>18.80748134</v>
      </c>
      <c r="D427" s="63">
        <f t="shared" si="281"/>
        <v>15.57684878</v>
      </c>
      <c r="E427" s="63">
        <f t="shared" si="281"/>
        <v>16.07356625</v>
      </c>
      <c r="F427" s="63">
        <f t="shared" si="281"/>
        <v>15.6195109</v>
      </c>
      <c r="G427" s="63">
        <f t="shared" si="281"/>
        <v>15.12279343</v>
      </c>
      <c r="H427" s="63">
        <f t="shared" si="281"/>
        <v>14.62607597</v>
      </c>
      <c r="I427" s="63">
        <f t="shared" si="281"/>
        <v>15.66217301</v>
      </c>
      <c r="J427" s="63">
        <f t="shared" si="281"/>
        <v>16.03090413</v>
      </c>
      <c r="K427" s="63">
        <f t="shared" si="281"/>
        <v>16.03090413</v>
      </c>
      <c r="L427" s="63">
        <f t="shared" si="281"/>
        <v>15.57684878</v>
      </c>
      <c r="M427" s="63">
        <f t="shared" si="281"/>
        <v>15.53418667</v>
      </c>
      <c r="N427" s="63">
        <f t="shared" si="281"/>
        <v>22.49462707</v>
      </c>
      <c r="O427" s="44">
        <f t="shared" si="270"/>
        <v>22.49462707</v>
      </c>
      <c r="P427" s="63">
        <f>'Parametros Recargas'!$M$96</f>
        <v>28.88380952</v>
      </c>
      <c r="Q427" s="36">
        <f>MAX(Q372,ROUNDUP(O427/(P427*'Parametros Recargas'!I$8*'Parametros Recargas'!$B$19),0))</f>
        <v>1</v>
      </c>
      <c r="R427" s="46">
        <f>IF(AND('Parametros Recargas'!I$8=2,O427/(P427*Q427*'Parametros Recargas'!$B$19)&gt;1),2,1)</f>
        <v>1</v>
      </c>
      <c r="S427" s="34">
        <f t="shared" si="271"/>
        <v>0.7787970991</v>
      </c>
      <c r="T427" s="161">
        <f>'Parametros Recargas'!D65</f>
        <v>0.25</v>
      </c>
      <c r="U427" s="161">
        <f>'Parametros Recargas'!E65</f>
        <v>0.25</v>
      </c>
      <c r="V427" s="161">
        <f>'Parametros Recargas'!F65</f>
        <v>0.25</v>
      </c>
      <c r="W427" s="161">
        <f>'Parametros Recargas'!G65</f>
        <v>0.5</v>
      </c>
      <c r="X427" s="161">
        <f>'Parametros Recargas'!H65</f>
        <v>0.25</v>
      </c>
      <c r="Y427" s="161">
        <f>'Parametros Recargas'!I65</f>
        <v>0.25</v>
      </c>
      <c r="Z427" s="162">
        <f>'Parametros Recargas'!$U$96/P427</f>
        <v>0.01731073595</v>
      </c>
    </row>
    <row r="428" ht="15.75" customHeight="1">
      <c r="A428" s="73" t="s">
        <v>479</v>
      </c>
      <c r="B428" s="118" t="s">
        <v>458</v>
      </c>
      <c r="C428" s="63">
        <f t="shared" ref="C428:N428" si="282">($T428*C$409+$U428*C$410+$V428*C$411+$W428*C$412+$X428*C$413+$Y428*C$414)/$B$2</f>
        <v>17.31064374</v>
      </c>
      <c r="D428" s="63">
        <f t="shared" si="282"/>
        <v>14.26799611</v>
      </c>
      <c r="E428" s="63">
        <f t="shared" si="282"/>
        <v>14.68291028</v>
      </c>
      <c r="F428" s="63">
        <f t="shared" si="282"/>
        <v>14.29846905</v>
      </c>
      <c r="G428" s="63">
        <f t="shared" si="282"/>
        <v>13.88355487</v>
      </c>
      <c r="H428" s="63">
        <f t="shared" si="282"/>
        <v>13.4686407</v>
      </c>
      <c r="I428" s="63">
        <f t="shared" si="282"/>
        <v>14.32894199</v>
      </c>
      <c r="J428" s="63">
        <f t="shared" si="282"/>
        <v>14.65243734</v>
      </c>
      <c r="K428" s="63">
        <f t="shared" si="282"/>
        <v>14.65243734</v>
      </c>
      <c r="L428" s="63">
        <f t="shared" si="282"/>
        <v>14.26799611</v>
      </c>
      <c r="M428" s="63">
        <f t="shared" si="282"/>
        <v>14.23752317</v>
      </c>
      <c r="N428" s="63">
        <f t="shared" si="282"/>
        <v>20.74371134</v>
      </c>
      <c r="O428" s="44">
        <f t="shared" si="270"/>
        <v>20.74371134</v>
      </c>
      <c r="P428" s="63">
        <f>'Parametros Recargas'!$M$97</f>
        <v>18.54545455</v>
      </c>
      <c r="Q428" s="36">
        <f>MAX(Q373,ROUNDUP(O428/(P428*'Parametros Recargas'!I$8*'Parametros Recargas'!$B$19),0))</f>
        <v>1</v>
      </c>
      <c r="R428" s="46">
        <f>IF(AND('Parametros Recargas'!I$8=2,O428/(P428*Q428*'Parametros Recargas'!$B$19)&gt;1),2,1)</f>
        <v>2</v>
      </c>
      <c r="S428" s="34">
        <f t="shared" si="271"/>
        <v>0.5592667274</v>
      </c>
      <c r="T428" s="161">
        <f>'Parametros Recargas'!D66</f>
        <v>0.25</v>
      </c>
      <c r="U428" s="161">
        <f>'Parametros Recargas'!E66</f>
        <v>0.25</v>
      </c>
      <c r="V428" s="161">
        <f>'Parametros Recargas'!F66</f>
        <v>0.25</v>
      </c>
      <c r="W428" s="161">
        <f>'Parametros Recargas'!G66</f>
        <v>0</v>
      </c>
      <c r="X428" s="161">
        <f>'Parametros Recargas'!H66</f>
        <v>0.25</v>
      </c>
      <c r="Y428" s="161">
        <f>'Parametros Recargas'!I66</f>
        <v>0.25</v>
      </c>
      <c r="Z428" s="162">
        <f>'Parametros Recargas'!$U$97/P428</f>
        <v>0.01348039216</v>
      </c>
    </row>
    <row r="429" ht="15.75" customHeight="1">
      <c r="A429" s="30" t="s">
        <v>500</v>
      </c>
      <c r="B429" s="118" t="s">
        <v>458</v>
      </c>
      <c r="C429" s="63">
        <f t="shared" ref="C429:N429" si="283">($T429*C$409+$U429*C$410+$V429*C$411+$W429*C$412+$X429*C$413+$Y429*C$414)/$B$2</f>
        <v>63.47558836</v>
      </c>
      <c r="D429" s="63">
        <f t="shared" si="283"/>
        <v>51.94577414</v>
      </c>
      <c r="E429" s="63">
        <f t="shared" si="283"/>
        <v>53.28504269</v>
      </c>
      <c r="F429" s="63">
        <f t="shared" si="283"/>
        <v>52.06766589</v>
      </c>
      <c r="G429" s="63">
        <f t="shared" si="283"/>
        <v>50.72839735</v>
      </c>
      <c r="H429" s="63">
        <f t="shared" si="283"/>
        <v>49.3891288</v>
      </c>
      <c r="I429" s="63">
        <f t="shared" si="283"/>
        <v>52.18955765</v>
      </c>
      <c r="J429" s="63">
        <f t="shared" si="283"/>
        <v>53.16315093</v>
      </c>
      <c r="K429" s="63">
        <f t="shared" si="283"/>
        <v>53.16315093</v>
      </c>
      <c r="L429" s="63">
        <f t="shared" si="283"/>
        <v>51.94577414</v>
      </c>
      <c r="M429" s="63">
        <f t="shared" si="283"/>
        <v>51.82388238</v>
      </c>
      <c r="N429" s="63">
        <f t="shared" si="283"/>
        <v>75.92630622</v>
      </c>
      <c r="O429" s="44">
        <f t="shared" si="270"/>
        <v>75.92630622</v>
      </c>
      <c r="P429" s="63">
        <f>'Parametros Recargas'!$M$98</f>
        <v>34</v>
      </c>
      <c r="Q429" s="36">
        <f>MAX(Q374,ROUNDUP(O429/(P429*'Parametros Recargas'!I$8*'Parametros Recargas'!$B$19),0))</f>
        <v>2</v>
      </c>
      <c r="R429" s="46">
        <f>IF(AND('Parametros Recargas'!I$8=2,O429/(P429*Q429*'Parametros Recargas'!$B$19)&gt;1),2,1)</f>
        <v>2</v>
      </c>
      <c r="S429" s="34">
        <f t="shared" si="271"/>
        <v>0.5582816634</v>
      </c>
      <c r="T429" s="161">
        <f>'Parametros Recargas'!D67</f>
        <v>1</v>
      </c>
      <c r="U429" s="161">
        <f>'Parametros Recargas'!E67</f>
        <v>0</v>
      </c>
      <c r="V429" s="161">
        <f>'Parametros Recargas'!F67</f>
        <v>0</v>
      </c>
      <c r="W429" s="161">
        <f>'Parametros Recargas'!G67</f>
        <v>0</v>
      </c>
      <c r="X429" s="161">
        <f>'Parametros Recargas'!H67</f>
        <v>0</v>
      </c>
      <c r="Y429" s="161">
        <f>'Parametros Recargas'!I67</f>
        <v>0</v>
      </c>
      <c r="Z429" s="162">
        <f>'Parametros Recargas'!$U$98/P429</f>
        <v>0.01470588235</v>
      </c>
    </row>
    <row r="430" ht="15.75" customHeight="1">
      <c r="A430" s="30" t="s">
        <v>522</v>
      </c>
      <c r="B430" s="118" t="s">
        <v>458</v>
      </c>
      <c r="C430" s="63">
        <f t="shared" ref="C430:N430" si="284">($T430*C$409+$U430*C$410+$V430*C$411+$W430*C$412+$X430*C$413+$Y430*C$414)/$B$2</f>
        <v>0.08381770175</v>
      </c>
      <c r="D430" s="63">
        <f t="shared" si="284"/>
        <v>0.07450462378</v>
      </c>
      <c r="E430" s="63">
        <f t="shared" si="284"/>
        <v>0.07916116277</v>
      </c>
      <c r="F430" s="63">
        <f t="shared" si="284"/>
        <v>0.07450462378</v>
      </c>
      <c r="G430" s="63">
        <f t="shared" si="284"/>
        <v>0.06984808479</v>
      </c>
      <c r="H430" s="63">
        <f t="shared" si="284"/>
        <v>0.06519154581</v>
      </c>
      <c r="I430" s="63">
        <f t="shared" si="284"/>
        <v>0.07450462378</v>
      </c>
      <c r="J430" s="63">
        <f t="shared" si="284"/>
        <v>0.07916116277</v>
      </c>
      <c r="K430" s="63">
        <f t="shared" si="284"/>
        <v>0.07916116277</v>
      </c>
      <c r="L430" s="63">
        <f t="shared" si="284"/>
        <v>0.07450462378</v>
      </c>
      <c r="M430" s="63">
        <f t="shared" si="284"/>
        <v>0.07450462378</v>
      </c>
      <c r="N430" s="63">
        <f t="shared" si="284"/>
        <v>0.1024438577</v>
      </c>
      <c r="O430" s="44">
        <f t="shared" si="270"/>
        <v>0.1024438577</v>
      </c>
      <c r="P430" s="63">
        <f>'Parametros Recargas'!$M$99</f>
        <v>34</v>
      </c>
      <c r="Q430" s="36">
        <f>MAX(Q375,ROUNDUP(O430/(P430*'Parametros Recargas'!I$8*'Parametros Recargas'!$B$19),0))</f>
        <v>1</v>
      </c>
      <c r="R430" s="46">
        <f>IF(AND('Parametros Recargas'!I$8=2,O430/(P430*Q430*'Parametros Recargas'!$B$19)&gt;1),2,1)</f>
        <v>1</v>
      </c>
      <c r="S430" s="34">
        <f t="shared" si="271"/>
        <v>0.003013054638</v>
      </c>
      <c r="T430" s="161">
        <f>'Parametros Recargas'!D68</f>
        <v>0</v>
      </c>
      <c r="U430" s="161">
        <f>'Parametros Recargas'!E68</f>
        <v>1</v>
      </c>
      <c r="V430" s="161">
        <f>'Parametros Recargas'!F68</f>
        <v>0</v>
      </c>
      <c r="W430" s="161">
        <f>'Parametros Recargas'!G68</f>
        <v>0</v>
      </c>
      <c r="X430" s="161">
        <f>'Parametros Recargas'!H68</f>
        <v>0</v>
      </c>
      <c r="Y430" s="161">
        <f>'Parametros Recargas'!I68</f>
        <v>0</v>
      </c>
      <c r="Z430" s="162">
        <f>'Parametros Recargas'!$U$99/P430</f>
        <v>0.02941176471</v>
      </c>
    </row>
    <row r="431" ht="15.75" customHeight="1">
      <c r="A431" s="30" t="s">
        <v>529</v>
      </c>
      <c r="B431" s="118" t="s">
        <v>458</v>
      </c>
      <c r="C431" s="63">
        <f t="shared" ref="C431:N431" si="285">($T431*C$409+$U431*C$410+$V431*C$411+$W431*C$412+$X431*C$413+$Y431*C$414)/$B$2</f>
        <v>0.07539484447</v>
      </c>
      <c r="D431" s="63">
        <f t="shared" si="285"/>
        <v>0.06701763953</v>
      </c>
      <c r="E431" s="63">
        <f t="shared" si="285"/>
        <v>0.071206242</v>
      </c>
      <c r="F431" s="63">
        <f t="shared" si="285"/>
        <v>0.06701763953</v>
      </c>
      <c r="G431" s="63">
        <f t="shared" si="285"/>
        <v>0.06282903706</v>
      </c>
      <c r="H431" s="63">
        <f t="shared" si="285"/>
        <v>0.05864043459</v>
      </c>
      <c r="I431" s="63">
        <f t="shared" si="285"/>
        <v>0.06701763953</v>
      </c>
      <c r="J431" s="63">
        <f t="shared" si="285"/>
        <v>0.071206242</v>
      </c>
      <c r="K431" s="63">
        <f t="shared" si="285"/>
        <v>0.071206242</v>
      </c>
      <c r="L431" s="63">
        <f t="shared" si="285"/>
        <v>0.06701763953</v>
      </c>
      <c r="M431" s="63">
        <f t="shared" si="285"/>
        <v>0.06701763953</v>
      </c>
      <c r="N431" s="63">
        <f t="shared" si="285"/>
        <v>0.09214925435</v>
      </c>
      <c r="O431" s="44">
        <f t="shared" si="270"/>
        <v>0.09214925435</v>
      </c>
      <c r="P431" s="63">
        <f>'Parametros Recargas'!$M$100</f>
        <v>8.4375</v>
      </c>
      <c r="Q431" s="36">
        <f>MAX(Q376,ROUNDUP(O431/(P431*'Parametros Recargas'!I$8*'Parametros Recargas'!$B$19),0))</f>
        <v>1</v>
      </c>
      <c r="R431" s="46">
        <f>IF(AND('Parametros Recargas'!I$8=2,O431/(P431*Q431*'Parametros Recargas'!$B$19)&gt;1),2,1)</f>
        <v>1</v>
      </c>
      <c r="S431" s="34">
        <f t="shared" si="271"/>
        <v>0.01092139311</v>
      </c>
      <c r="T431" s="161">
        <f>'Parametros Recargas'!D69</f>
        <v>0</v>
      </c>
      <c r="U431" s="161">
        <f>'Parametros Recargas'!E69</f>
        <v>0</v>
      </c>
      <c r="V431" s="161">
        <f>'Parametros Recargas'!F69</f>
        <v>1</v>
      </c>
      <c r="W431" s="161">
        <f>'Parametros Recargas'!G69</f>
        <v>0</v>
      </c>
      <c r="X431" s="161">
        <f>'Parametros Recargas'!H69</f>
        <v>0</v>
      </c>
      <c r="Y431" s="161">
        <f>'Parametros Recargas'!I69</f>
        <v>0</v>
      </c>
      <c r="Z431" s="162">
        <f>'Parametros Recargas'!$U$100/P431</f>
        <v>0.1185185185</v>
      </c>
    </row>
    <row r="432" ht="15.75" customHeight="1">
      <c r="A432" s="30" t="s">
        <v>531</v>
      </c>
      <c r="B432" s="118" t="s">
        <v>458</v>
      </c>
      <c r="C432" s="63">
        <f t="shared" ref="C432:N432" si="286">($T432*C$409+$U432*C$410+$V432*C$411+$W432*C$412+$X432*C$413+$Y432*C$414)/$B$2</f>
        <v>2.993675219</v>
      </c>
      <c r="D432" s="63">
        <f t="shared" si="286"/>
        <v>2.617705348</v>
      </c>
      <c r="E432" s="63">
        <f t="shared" si="286"/>
        <v>2.781311932</v>
      </c>
      <c r="F432" s="63">
        <f t="shared" si="286"/>
        <v>2.642083699</v>
      </c>
      <c r="G432" s="63">
        <f t="shared" si="286"/>
        <v>2.478477115</v>
      </c>
      <c r="H432" s="63">
        <f t="shared" si="286"/>
        <v>2.31487053</v>
      </c>
      <c r="I432" s="63">
        <f t="shared" si="286"/>
        <v>2.66646205</v>
      </c>
      <c r="J432" s="63">
        <f t="shared" si="286"/>
        <v>2.756933581</v>
      </c>
      <c r="K432" s="63">
        <f t="shared" si="286"/>
        <v>2.756933581</v>
      </c>
      <c r="L432" s="63">
        <f t="shared" si="286"/>
        <v>2.617705348</v>
      </c>
      <c r="M432" s="63">
        <f t="shared" si="286"/>
        <v>2.593326997</v>
      </c>
      <c r="N432" s="63">
        <f t="shared" si="286"/>
        <v>3.501831449</v>
      </c>
      <c r="O432" s="44">
        <f t="shared" si="270"/>
        <v>3.501831449</v>
      </c>
      <c r="P432" s="63">
        <f>'Parametros Recargas'!$M$101</f>
        <v>18.29818182</v>
      </c>
      <c r="Q432" s="36">
        <f>MAX(Q377,ROUNDUP(O432/(P432*'Parametros Recargas'!I$8*'Parametros Recargas'!$B$19),0))</f>
        <v>1</v>
      </c>
      <c r="R432" s="46">
        <f>IF(AND('Parametros Recargas'!I$8=2,O432/(P432*Q432*'Parametros Recargas'!$B$19)&gt;1),2,1)</f>
        <v>1</v>
      </c>
      <c r="S432" s="34">
        <f t="shared" si="271"/>
        <v>0.1913759238</v>
      </c>
      <c r="T432" s="161">
        <f>'Parametros Recargas'!D70</f>
        <v>0</v>
      </c>
      <c r="U432" s="161">
        <f>'Parametros Recargas'!E70</f>
        <v>0</v>
      </c>
      <c r="V432" s="161">
        <f>'Parametros Recargas'!F70</f>
        <v>0</v>
      </c>
      <c r="W432" s="161">
        <f>'Parametros Recargas'!G70</f>
        <v>1</v>
      </c>
      <c r="X432" s="161">
        <f>'Parametros Recargas'!H70</f>
        <v>0</v>
      </c>
      <c r="Y432" s="161">
        <f>'Parametros Recargas'!I70</f>
        <v>0</v>
      </c>
      <c r="Z432" s="162">
        <f>'Parametros Recargas'!$U$101/P432</f>
        <v>0.05465023847</v>
      </c>
    </row>
    <row r="433" ht="15.75" customHeight="1">
      <c r="A433" s="30" t="s">
        <v>533</v>
      </c>
      <c r="B433" s="118" t="s">
        <v>458</v>
      </c>
      <c r="C433" s="63">
        <f t="shared" ref="C433:N433" si="287">($T433*C$409+$U433*C$410+$V433*C$411+$W433*C$412+$X433*C$413+$Y433*C$414)/$B$2</f>
        <v>1.885641495</v>
      </c>
      <c r="D433" s="63">
        <f t="shared" si="287"/>
        <v>1.676125773</v>
      </c>
      <c r="E433" s="63">
        <f t="shared" si="287"/>
        <v>1.780883634</v>
      </c>
      <c r="F433" s="63">
        <f t="shared" si="287"/>
        <v>1.676125773</v>
      </c>
      <c r="G433" s="63">
        <f t="shared" si="287"/>
        <v>1.571367912</v>
      </c>
      <c r="H433" s="63">
        <f t="shared" si="287"/>
        <v>1.466610052</v>
      </c>
      <c r="I433" s="63">
        <f t="shared" si="287"/>
        <v>1.676125773</v>
      </c>
      <c r="J433" s="63">
        <f t="shared" si="287"/>
        <v>1.780883634</v>
      </c>
      <c r="K433" s="63">
        <f t="shared" si="287"/>
        <v>1.780883634</v>
      </c>
      <c r="L433" s="63">
        <f t="shared" si="287"/>
        <v>1.676125773</v>
      </c>
      <c r="M433" s="63">
        <f t="shared" si="287"/>
        <v>1.676125773</v>
      </c>
      <c r="N433" s="63">
        <f t="shared" si="287"/>
        <v>2.304672938</v>
      </c>
      <c r="O433" s="44">
        <f t="shared" si="270"/>
        <v>2.304672938</v>
      </c>
      <c r="P433" s="63">
        <f>'Parametros Recargas'!$M$102</f>
        <v>15.69230769</v>
      </c>
      <c r="Q433" s="36">
        <f>MAX(Q378,ROUNDUP(O433/(P433*'Parametros Recargas'!I$8*'Parametros Recargas'!$B$19),0))</f>
        <v>1</v>
      </c>
      <c r="R433" s="46">
        <f>IF(AND('Parametros Recargas'!I$8=2,O433/(P433*Q433*'Parametros Recargas'!$B$19)&gt;1),2,1)</f>
        <v>1</v>
      </c>
      <c r="S433" s="34">
        <f t="shared" si="271"/>
        <v>0.1468664127</v>
      </c>
      <c r="T433" s="161">
        <f>'Parametros Recargas'!D71</f>
        <v>0</v>
      </c>
      <c r="U433" s="161">
        <f>'Parametros Recargas'!E71</f>
        <v>0</v>
      </c>
      <c r="V433" s="161">
        <f>'Parametros Recargas'!F71</f>
        <v>0</v>
      </c>
      <c r="W433" s="161">
        <f>'Parametros Recargas'!G71</f>
        <v>0</v>
      </c>
      <c r="X433" s="161">
        <f>'Parametros Recargas'!H71</f>
        <v>0.35</v>
      </c>
      <c r="Y433" s="161">
        <f>'Parametros Recargas'!I71</f>
        <v>0</v>
      </c>
      <c r="Z433" s="162">
        <f>'Parametros Recargas'!$U$102/P433</f>
        <v>0.0637254902</v>
      </c>
    </row>
    <row r="434" ht="15.75" customHeight="1">
      <c r="A434" s="30" t="s">
        <v>535</v>
      </c>
      <c r="B434" s="118" t="s">
        <v>458</v>
      </c>
      <c r="C434" s="63">
        <f t="shared" ref="C434:N434" si="288">($T434*C$409+$U434*C$410+$V434*C$411+$W434*C$412+$X434*C$413+$Y434*C$414)/$B$2</f>
        <v>0.07707941593</v>
      </c>
      <c r="D434" s="63">
        <f t="shared" si="288"/>
        <v>0.06851503638</v>
      </c>
      <c r="E434" s="63">
        <f t="shared" si="288"/>
        <v>0.07279722615</v>
      </c>
      <c r="F434" s="63">
        <f t="shared" si="288"/>
        <v>0.06851503638</v>
      </c>
      <c r="G434" s="63">
        <f t="shared" si="288"/>
        <v>0.0642328466</v>
      </c>
      <c r="H434" s="63">
        <f t="shared" si="288"/>
        <v>0.05995065683</v>
      </c>
      <c r="I434" s="63">
        <f t="shared" si="288"/>
        <v>0.06851503638</v>
      </c>
      <c r="J434" s="63">
        <f t="shared" si="288"/>
        <v>0.07279722615</v>
      </c>
      <c r="K434" s="63">
        <f t="shared" si="288"/>
        <v>0.07279722615</v>
      </c>
      <c r="L434" s="63">
        <f t="shared" si="288"/>
        <v>0.06851503638</v>
      </c>
      <c r="M434" s="63">
        <f t="shared" si="288"/>
        <v>0.06851503638</v>
      </c>
      <c r="N434" s="63">
        <f t="shared" si="288"/>
        <v>0.09420817502</v>
      </c>
      <c r="O434" s="44">
        <f t="shared" si="270"/>
        <v>0.09420817502</v>
      </c>
      <c r="P434" s="63">
        <f>'Parametros Recargas'!$M$103</f>
        <v>12</v>
      </c>
      <c r="Q434" s="36">
        <f>MAX(Q379,ROUNDUP(O434/(P434*'Parametros Recargas'!I$8*'Parametros Recargas'!$B$19),0))</f>
        <v>1</v>
      </c>
      <c r="R434" s="46">
        <f>IF(AND('Parametros Recargas'!I$8=2,O434/(P434*Q434*'Parametros Recargas'!$B$19)&gt;1),2,1)</f>
        <v>1</v>
      </c>
      <c r="S434" s="34">
        <f t="shared" si="271"/>
        <v>0.007850681252</v>
      </c>
      <c r="T434" s="161">
        <f>'Parametros Recargas'!D72</f>
        <v>0</v>
      </c>
      <c r="U434" s="161">
        <f>'Parametros Recargas'!E72</f>
        <v>0</v>
      </c>
      <c r="V434" s="161">
        <f>'Parametros Recargas'!F72</f>
        <v>0</v>
      </c>
      <c r="W434" s="161">
        <f>'Parametros Recargas'!G72</f>
        <v>0</v>
      </c>
      <c r="X434" s="161">
        <f>'Parametros Recargas'!H72</f>
        <v>0</v>
      </c>
      <c r="Y434" s="161">
        <f>'Parametros Recargas'!I72</f>
        <v>0.35</v>
      </c>
      <c r="Z434" s="162">
        <f>'Parametros Recargas'!$U$103/P434</f>
        <v>0.08333333333</v>
      </c>
    </row>
    <row r="435" ht="15.75" customHeight="1">
      <c r="A435" s="73" t="s">
        <v>536</v>
      </c>
      <c r="B435" s="118" t="s">
        <v>458</v>
      </c>
      <c r="C435" s="63">
        <f t="shared" ref="C435:N435" si="289">($T435*C$409+$U435*C$410+$V435*C$411+$W435*C$412+$X435*C$413+$Y435*C$414)/$B$2</f>
        <v>68.59119704</v>
      </c>
      <c r="D435" s="63">
        <f t="shared" si="289"/>
        <v>56.44964256</v>
      </c>
      <c r="E435" s="63">
        <f t="shared" si="289"/>
        <v>58.07040288</v>
      </c>
      <c r="F435" s="63">
        <f t="shared" si="289"/>
        <v>56.59591267</v>
      </c>
      <c r="G435" s="63">
        <f t="shared" si="289"/>
        <v>54.97515234</v>
      </c>
      <c r="H435" s="63">
        <f t="shared" si="289"/>
        <v>53.35439202</v>
      </c>
      <c r="I435" s="63">
        <f t="shared" si="289"/>
        <v>56.74218277</v>
      </c>
      <c r="J435" s="63">
        <f t="shared" si="289"/>
        <v>57.92413278</v>
      </c>
      <c r="K435" s="63">
        <f t="shared" si="289"/>
        <v>57.92413278</v>
      </c>
      <c r="L435" s="63">
        <f t="shared" si="289"/>
        <v>56.44964256</v>
      </c>
      <c r="M435" s="63">
        <f t="shared" si="289"/>
        <v>56.30337245</v>
      </c>
      <c r="N435" s="63">
        <f t="shared" si="289"/>
        <v>82.02161189</v>
      </c>
      <c r="O435" s="44">
        <f t="shared" si="270"/>
        <v>82.02161189</v>
      </c>
      <c r="P435" s="63">
        <f>'Parametros Recargas'!$M$104</f>
        <v>25.04347826</v>
      </c>
      <c r="Q435" s="36">
        <f>MAX(Q380,ROUNDUP(O435/(P435*'Parametros Recargas'!I$8*'Parametros Recargas'!$B$19),0))</f>
        <v>3</v>
      </c>
      <c r="R435" s="46">
        <f>IF(AND('Parametros Recargas'!I$8=2,O435/(P435*Q435*'Parametros Recargas'!$B$19)&gt;1),2,1)</f>
        <v>2</v>
      </c>
      <c r="S435" s="34">
        <f t="shared" si="271"/>
        <v>0.5458614217</v>
      </c>
      <c r="T435" s="161">
        <f>'Parametros Recargas'!D73</f>
        <v>1</v>
      </c>
      <c r="U435" s="161">
        <f>'Parametros Recargas'!E73</f>
        <v>1</v>
      </c>
      <c r="V435" s="161">
        <f>'Parametros Recargas'!F73</f>
        <v>1</v>
      </c>
      <c r="W435" s="161">
        <f>'Parametros Recargas'!G73</f>
        <v>1</v>
      </c>
      <c r="X435" s="161">
        <f>'Parametros Recargas'!H73</f>
        <v>0.35</v>
      </c>
      <c r="Y435" s="161">
        <f>'Parametros Recargas'!I73</f>
        <v>0.35</v>
      </c>
      <c r="Z435" s="162">
        <f>'Parametros Recargas'!$U$104/P435</f>
        <v>0.03993055556</v>
      </c>
    </row>
    <row r="436" ht="15.75" customHeight="1">
      <c r="A436" s="73" t="s">
        <v>537</v>
      </c>
      <c r="B436" s="118" t="s">
        <v>458</v>
      </c>
      <c r="C436" s="63">
        <f t="shared" ref="C436:N436" si="290">($T436*C$409+$U436*C$410+$V436*C$411+$W436*C$412+$X436*C$413+$Y436*C$414)/$B$2</f>
        <v>66.70555555</v>
      </c>
      <c r="D436" s="63">
        <f t="shared" si="290"/>
        <v>54.77351679</v>
      </c>
      <c r="E436" s="63">
        <f t="shared" si="290"/>
        <v>56.28951925</v>
      </c>
      <c r="F436" s="63">
        <f t="shared" si="290"/>
        <v>54.91978689</v>
      </c>
      <c r="G436" s="63">
        <f t="shared" si="290"/>
        <v>53.40378443</v>
      </c>
      <c r="H436" s="63">
        <f t="shared" si="290"/>
        <v>51.88778197</v>
      </c>
      <c r="I436" s="63">
        <f t="shared" si="290"/>
        <v>55.066057</v>
      </c>
      <c r="J436" s="63">
        <f t="shared" si="290"/>
        <v>56.14324914</v>
      </c>
      <c r="K436" s="63">
        <f t="shared" si="290"/>
        <v>56.14324914</v>
      </c>
      <c r="L436" s="63">
        <f t="shared" si="290"/>
        <v>54.77351679</v>
      </c>
      <c r="M436" s="63">
        <f t="shared" si="290"/>
        <v>54.62724668</v>
      </c>
      <c r="N436" s="63">
        <f t="shared" si="290"/>
        <v>79.71693896</v>
      </c>
      <c r="O436" s="44">
        <f t="shared" si="270"/>
        <v>79.71693896</v>
      </c>
      <c r="P436" s="63">
        <f>'Parametros Recargas'!$M$105</f>
        <v>52.36363636</v>
      </c>
      <c r="Q436" s="36">
        <f>MAX(Q381,ROUNDUP(O436/(P436*'Parametros Recargas'!I$8*'Parametros Recargas'!$B$19),0))</f>
        <v>2</v>
      </c>
      <c r="R436" s="46">
        <f>IF(AND('Parametros Recargas'!I$8=2,O436/(P436*Q436*'Parametros Recargas'!$B$19)&gt;1),2,1)</f>
        <v>1</v>
      </c>
      <c r="S436" s="34">
        <f t="shared" si="271"/>
        <v>0.761186049</v>
      </c>
      <c r="T436" s="161">
        <f>'Parametros Recargas'!D74</f>
        <v>1</v>
      </c>
      <c r="U436" s="161">
        <f>'Parametros Recargas'!E74</f>
        <v>1</v>
      </c>
      <c r="V436" s="161">
        <f>'Parametros Recargas'!F74</f>
        <v>1</v>
      </c>
      <c r="W436" s="161">
        <f>'Parametros Recargas'!G74</f>
        <v>1</v>
      </c>
      <c r="X436" s="161">
        <f>'Parametros Recargas'!H74</f>
        <v>0</v>
      </c>
      <c r="Y436" s="161">
        <f>'Parametros Recargas'!I74</f>
        <v>0.35</v>
      </c>
      <c r="Z436" s="162">
        <f>'Parametros Recargas'!$U$105/P436</f>
        <v>0.01909722222</v>
      </c>
    </row>
    <row r="437" ht="15.75" customHeight="1">
      <c r="A437" s="73" t="s">
        <v>546</v>
      </c>
      <c r="B437" s="118" t="s">
        <v>458</v>
      </c>
      <c r="C437" s="63">
        <f t="shared" ref="C437:N437" si="291">($T437*C$409+$U437*C$410+$V437*C$411+$W437*C$412+$X437*C$413+$Y437*C$414)/$B$2</f>
        <v>5.607774031</v>
      </c>
      <c r="D437" s="63">
        <f t="shared" si="291"/>
        <v>4.984688028</v>
      </c>
      <c r="E437" s="63">
        <f t="shared" si="291"/>
        <v>5.296231029</v>
      </c>
      <c r="F437" s="63">
        <f t="shared" si="291"/>
        <v>4.984688028</v>
      </c>
      <c r="G437" s="63">
        <f t="shared" si="291"/>
        <v>4.673145026</v>
      </c>
      <c r="H437" s="63">
        <f t="shared" si="291"/>
        <v>4.361602024</v>
      </c>
      <c r="I437" s="63">
        <f t="shared" si="291"/>
        <v>4.984688028</v>
      </c>
      <c r="J437" s="63">
        <f t="shared" si="291"/>
        <v>5.296231029</v>
      </c>
      <c r="K437" s="63">
        <f t="shared" si="291"/>
        <v>5.296231029</v>
      </c>
      <c r="L437" s="63">
        <f t="shared" si="291"/>
        <v>4.984688028</v>
      </c>
      <c r="M437" s="63">
        <f t="shared" si="291"/>
        <v>4.984688028</v>
      </c>
      <c r="N437" s="63">
        <f t="shared" si="291"/>
        <v>6.853946038</v>
      </c>
      <c r="O437" s="44">
        <f t="shared" si="270"/>
        <v>6.853946038</v>
      </c>
      <c r="P437" s="63">
        <f>'Parametros Recargas'!$M$106</f>
        <v>55.63636364</v>
      </c>
      <c r="Q437" s="36">
        <f>MAX(Q382,ROUNDUP(O437/(P437*'Parametros Recargas'!I$8*'Parametros Recargas'!$B$19),0))</f>
        <v>1</v>
      </c>
      <c r="R437" s="46">
        <f>IF(AND('Parametros Recargas'!I$8=2,O437/(P437*Q437*'Parametros Recargas'!$B$19)&gt;1),2,1)</f>
        <v>1</v>
      </c>
      <c r="S437" s="34">
        <f t="shared" si="271"/>
        <v>0.1231918406</v>
      </c>
      <c r="T437" s="161">
        <f>'Parametros Recargas'!D75</f>
        <v>0</v>
      </c>
      <c r="U437" s="161">
        <f>'Parametros Recargas'!E75</f>
        <v>0</v>
      </c>
      <c r="V437" s="161">
        <f>'Parametros Recargas'!F75</f>
        <v>0</v>
      </c>
      <c r="W437" s="161">
        <f>'Parametros Recargas'!G75</f>
        <v>0</v>
      </c>
      <c r="X437" s="161">
        <f>'Parametros Recargas'!H75</f>
        <v>1</v>
      </c>
      <c r="Y437" s="161">
        <f>'Parametros Recargas'!I75</f>
        <v>1</v>
      </c>
      <c r="Z437" s="162">
        <f>'Parametros Recargas'!$U$106/P437</f>
        <v>0.01797385621</v>
      </c>
    </row>
    <row r="438" ht="15.75" customHeight="1">
      <c r="A438" s="73" t="s">
        <v>559</v>
      </c>
      <c r="B438" s="118" t="s">
        <v>458</v>
      </c>
      <c r="C438" s="63">
        <f t="shared" ref="C438:N438" si="292">($T438*C$409+$U438*C$410+$V438*C$411+$W438*C$412+$X438*C$413+$Y438*C$414)/$B$2</f>
        <v>72.23625016</v>
      </c>
      <c r="D438" s="63">
        <f t="shared" si="292"/>
        <v>59.68968978</v>
      </c>
      <c r="E438" s="63">
        <f t="shared" si="292"/>
        <v>61.51295305</v>
      </c>
      <c r="F438" s="63">
        <f t="shared" si="292"/>
        <v>59.83595988</v>
      </c>
      <c r="G438" s="63">
        <f t="shared" si="292"/>
        <v>58.01269661</v>
      </c>
      <c r="H438" s="63">
        <f t="shared" si="292"/>
        <v>56.18943333</v>
      </c>
      <c r="I438" s="63">
        <f t="shared" si="292"/>
        <v>59.98222999</v>
      </c>
      <c r="J438" s="63">
        <f t="shared" si="292"/>
        <v>61.36668295</v>
      </c>
      <c r="K438" s="63">
        <f t="shared" si="292"/>
        <v>61.36668295</v>
      </c>
      <c r="L438" s="63">
        <f t="shared" si="292"/>
        <v>59.68968978</v>
      </c>
      <c r="M438" s="63">
        <f t="shared" si="292"/>
        <v>59.54341967</v>
      </c>
      <c r="N438" s="63">
        <f t="shared" si="292"/>
        <v>86.47667682</v>
      </c>
      <c r="O438" s="44">
        <f t="shared" si="270"/>
        <v>86.47667682</v>
      </c>
      <c r="P438" s="63">
        <f>'Parametros Recargas'!$M$107</f>
        <v>76.5</v>
      </c>
      <c r="Q438" s="36">
        <f>MAX(Q383,ROUNDUP(O438/(P438*'Parametros Recargas'!I$8*'Parametros Recargas'!$B$19),0))</f>
        <v>1</v>
      </c>
      <c r="R438" s="46">
        <f>IF(AND('Parametros Recargas'!I$8=2,O438/(P438*Q438*'Parametros Recargas'!$B$19)&gt;1),2,1)</f>
        <v>2</v>
      </c>
      <c r="S438" s="34">
        <f t="shared" si="271"/>
        <v>0.565207038</v>
      </c>
      <c r="T438" s="161">
        <f>'Parametros Recargas'!D76</f>
        <v>1</v>
      </c>
      <c r="U438" s="161">
        <f>'Parametros Recargas'!E76</f>
        <v>1</v>
      </c>
      <c r="V438" s="161">
        <f>'Parametros Recargas'!F76</f>
        <v>1</v>
      </c>
      <c r="W438" s="161">
        <f>'Parametros Recargas'!G76</f>
        <v>1</v>
      </c>
      <c r="X438" s="161">
        <f>'Parametros Recargas'!H76</f>
        <v>1</v>
      </c>
      <c r="Y438" s="161">
        <f>'Parametros Recargas'!I76</f>
        <v>1</v>
      </c>
      <c r="Z438" s="162">
        <f>'Parametros Recargas'!$U$107/P438</f>
        <v>0.003267973856</v>
      </c>
    </row>
    <row r="439" ht="15.75" customHeight="1">
      <c r="A439" s="73" t="s">
        <v>566</v>
      </c>
      <c r="B439" s="118" t="s">
        <v>458</v>
      </c>
      <c r="C439" s="63">
        <f t="shared" ref="C439:N439" si="293">($T439*C$409+$U439*C$410+$V439*C$411+$W439*C$412+$X439*C$413+$Y439*C$414)/$B$2</f>
        <v>10.83543752</v>
      </c>
      <c r="D439" s="63">
        <f t="shared" si="293"/>
        <v>8.953453467</v>
      </c>
      <c r="E439" s="63">
        <f t="shared" si="293"/>
        <v>9.226942958</v>
      </c>
      <c r="F439" s="63">
        <f t="shared" si="293"/>
        <v>8.975393983</v>
      </c>
      <c r="G439" s="63">
        <f t="shared" si="293"/>
        <v>8.701904491</v>
      </c>
      <c r="H439" s="63">
        <f t="shared" si="293"/>
        <v>8.428415</v>
      </c>
      <c r="I439" s="63">
        <f t="shared" si="293"/>
        <v>8.997334499</v>
      </c>
      <c r="J439" s="63">
        <f t="shared" si="293"/>
        <v>9.205002442</v>
      </c>
      <c r="K439" s="63">
        <f t="shared" si="293"/>
        <v>9.205002442</v>
      </c>
      <c r="L439" s="63">
        <f t="shared" si="293"/>
        <v>8.953453467</v>
      </c>
      <c r="M439" s="63">
        <f t="shared" si="293"/>
        <v>8.931512951</v>
      </c>
      <c r="N439" s="63">
        <f t="shared" si="293"/>
        <v>12.97150152</v>
      </c>
      <c r="O439" s="44">
        <f t="shared" si="270"/>
        <v>12.97150152</v>
      </c>
      <c r="P439" s="63">
        <f>'Parametros Recargas'!$M$108</f>
        <v>8</v>
      </c>
      <c r="Q439" s="36">
        <f>MAX(Q384,ROUNDUP(O439/(P439*'Parametros Recargas'!I$8*'Parametros Recargas'!$B$19),0))</f>
        <v>2</v>
      </c>
      <c r="R439" s="46">
        <f>IF(AND('Parametros Recargas'!I$8=2,O439/(P439*Q439*'Parametros Recargas'!$B$19)&gt;1),2,1)</f>
        <v>1</v>
      </c>
      <c r="S439" s="34">
        <f t="shared" si="271"/>
        <v>0.8107188452</v>
      </c>
      <c r="T439" s="161">
        <f>'Parametros Recargas'!D77</f>
        <v>0.15</v>
      </c>
      <c r="U439" s="161">
        <f>'Parametros Recargas'!E77</f>
        <v>0.15</v>
      </c>
      <c r="V439" s="161">
        <f>'Parametros Recargas'!F77</f>
        <v>0.15</v>
      </c>
      <c r="W439" s="161">
        <f>'Parametros Recargas'!G77</f>
        <v>0.15</v>
      </c>
      <c r="X439" s="161">
        <f>'Parametros Recargas'!H77</f>
        <v>0.15</v>
      </c>
      <c r="Y439" s="161">
        <f>'Parametros Recargas'!I77</f>
        <v>0.15</v>
      </c>
      <c r="Z439" s="162">
        <f>'Parametros Recargas'!$U$108/P439</f>
        <v>0.125</v>
      </c>
    </row>
    <row r="440" ht="15.75" customHeight="1">
      <c r="A440" s="73" t="s">
        <v>574</v>
      </c>
      <c r="B440" s="118" t="s">
        <v>458</v>
      </c>
      <c r="C440" s="63">
        <f t="shared" ref="C440:N440" si="294">($T440*C$409+$U440*C$410+$V440*C$411+$W440*C$412+$X440*C$413+$Y440*C$414)/$B$2</f>
        <v>72.23625016</v>
      </c>
      <c r="D440" s="63">
        <f t="shared" si="294"/>
        <v>59.68968978</v>
      </c>
      <c r="E440" s="63">
        <f t="shared" si="294"/>
        <v>61.51295305</v>
      </c>
      <c r="F440" s="63">
        <f t="shared" si="294"/>
        <v>59.83595988</v>
      </c>
      <c r="G440" s="63">
        <f t="shared" si="294"/>
        <v>58.01269661</v>
      </c>
      <c r="H440" s="63">
        <f t="shared" si="294"/>
        <v>56.18943333</v>
      </c>
      <c r="I440" s="63">
        <f t="shared" si="294"/>
        <v>59.98222999</v>
      </c>
      <c r="J440" s="63">
        <f t="shared" si="294"/>
        <v>61.36668295</v>
      </c>
      <c r="K440" s="63">
        <f t="shared" si="294"/>
        <v>61.36668295</v>
      </c>
      <c r="L440" s="63">
        <f t="shared" si="294"/>
        <v>59.68968978</v>
      </c>
      <c r="M440" s="63">
        <f t="shared" si="294"/>
        <v>59.54341967</v>
      </c>
      <c r="N440" s="63">
        <f t="shared" si="294"/>
        <v>86.47667682</v>
      </c>
      <c r="O440" s="44">
        <f t="shared" si="270"/>
        <v>86.47667682</v>
      </c>
      <c r="P440" s="63">
        <f>'Parametros Recargas'!$M$109</f>
        <v>52.36363636</v>
      </c>
      <c r="Q440" s="36">
        <f>MAX(Q385,ROUNDUP(O440/(P440*'Parametros Recargas'!I$8*'Parametros Recargas'!$B$19),0))</f>
        <v>2</v>
      </c>
      <c r="R440" s="46">
        <f>IF(AND('Parametros Recargas'!I$8=2,O440/(P440*Q440*'Parametros Recargas'!$B$19)&gt;1),2,1)</f>
        <v>1</v>
      </c>
      <c r="S440" s="34">
        <f t="shared" si="271"/>
        <v>0.8257321571</v>
      </c>
      <c r="T440" s="161">
        <f>'Parametros Recargas'!D78</f>
        <v>1</v>
      </c>
      <c r="U440" s="161">
        <f>'Parametros Recargas'!E78</f>
        <v>1</v>
      </c>
      <c r="V440" s="161">
        <f>'Parametros Recargas'!F78</f>
        <v>1</v>
      </c>
      <c r="W440" s="161">
        <f>'Parametros Recargas'!G78</f>
        <v>1</v>
      </c>
      <c r="X440" s="161">
        <f>'Parametros Recargas'!H78</f>
        <v>1</v>
      </c>
      <c r="Y440" s="161">
        <f>'Parametros Recargas'!I78</f>
        <v>1</v>
      </c>
      <c r="Z440" s="162">
        <f>'Parametros Recargas'!$U$109/P440</f>
        <v>0.01909722222</v>
      </c>
    </row>
    <row r="441" ht="15.75" customHeight="1">
      <c r="A441" s="73" t="s">
        <v>583</v>
      </c>
      <c r="B441" s="118" t="s">
        <v>458</v>
      </c>
      <c r="C441" s="63">
        <f t="shared" ref="C441:N441" si="295">($T441*C$409+$U441*C$410+$V441*C$411+$W441*C$412+$X441*C$413+$Y441*C$414)/$B$2</f>
        <v>72.23625016</v>
      </c>
      <c r="D441" s="63">
        <f t="shared" si="295"/>
        <v>59.68968978</v>
      </c>
      <c r="E441" s="63">
        <f t="shared" si="295"/>
        <v>61.51295305</v>
      </c>
      <c r="F441" s="63">
        <f t="shared" si="295"/>
        <v>59.83595988</v>
      </c>
      <c r="G441" s="63">
        <f t="shared" si="295"/>
        <v>58.01269661</v>
      </c>
      <c r="H441" s="63">
        <f t="shared" si="295"/>
        <v>56.18943333</v>
      </c>
      <c r="I441" s="63">
        <f t="shared" si="295"/>
        <v>59.98222999</v>
      </c>
      <c r="J441" s="63">
        <f t="shared" si="295"/>
        <v>61.36668295</v>
      </c>
      <c r="K441" s="63">
        <f t="shared" si="295"/>
        <v>61.36668295</v>
      </c>
      <c r="L441" s="63">
        <f t="shared" si="295"/>
        <v>59.68968978</v>
      </c>
      <c r="M441" s="63">
        <f t="shared" si="295"/>
        <v>59.54341967</v>
      </c>
      <c r="N441" s="63">
        <f t="shared" si="295"/>
        <v>86.47667682</v>
      </c>
      <c r="O441" s="44">
        <f t="shared" si="270"/>
        <v>86.47667682</v>
      </c>
      <c r="P441" s="63">
        <f>'Parametros Recargas'!$M$110</f>
        <v>57.6</v>
      </c>
      <c r="Q441" s="36">
        <f>MAX(Q386,ROUNDUP(O441/(P441*'Parametros Recargas'!I$8*'Parametros Recargas'!$B$19),0))</f>
        <v>2</v>
      </c>
      <c r="R441" s="46">
        <f>IF(AND('Parametros Recargas'!I$8=2,O441/(P441*Q441*'Parametros Recargas'!$B$19)&gt;1),2,1)</f>
        <v>1</v>
      </c>
      <c r="S441" s="34">
        <f t="shared" si="271"/>
        <v>0.7506655974</v>
      </c>
      <c r="T441" s="161">
        <f>'Parametros Recargas'!D79</f>
        <v>1</v>
      </c>
      <c r="U441" s="161">
        <f>'Parametros Recargas'!E79</f>
        <v>1</v>
      </c>
      <c r="V441" s="161">
        <f>'Parametros Recargas'!F79</f>
        <v>1</v>
      </c>
      <c r="W441" s="161">
        <f>'Parametros Recargas'!G79</f>
        <v>1</v>
      </c>
      <c r="X441" s="161">
        <f>'Parametros Recargas'!H79</f>
        <v>1</v>
      </c>
      <c r="Y441" s="161">
        <f>'Parametros Recargas'!I79</f>
        <v>1</v>
      </c>
      <c r="Z441" s="162">
        <f>'Parametros Recargas'!$U$110/P441</f>
        <v>0.01736111111</v>
      </c>
    </row>
    <row r="442" ht="15.75" customHeight="1">
      <c r="A442" s="73" t="s">
        <v>590</v>
      </c>
      <c r="B442" s="118" t="s">
        <v>591</v>
      </c>
      <c r="C442" s="175">
        <f t="shared" ref="C442:N442" si="296">SUMPRODUCT(C416:C441,$Z416:$Z441)*$B$2</f>
        <v>2480.871455</v>
      </c>
      <c r="D442" s="175">
        <f t="shared" si="296"/>
        <v>2049.232959</v>
      </c>
      <c r="E442" s="175">
        <f t="shared" si="296"/>
        <v>2111.751651</v>
      </c>
      <c r="F442" s="175">
        <f t="shared" si="296"/>
        <v>2054.606941</v>
      </c>
      <c r="G442" s="175">
        <f t="shared" si="296"/>
        <v>1992.088249</v>
      </c>
      <c r="H442" s="175">
        <f t="shared" si="296"/>
        <v>1929.569557</v>
      </c>
      <c r="I442" s="175">
        <f t="shared" si="296"/>
        <v>2059.980923</v>
      </c>
      <c r="J442" s="175">
        <f t="shared" si="296"/>
        <v>2106.377669</v>
      </c>
      <c r="K442" s="175">
        <f t="shared" si="296"/>
        <v>2106.377669</v>
      </c>
      <c r="L442" s="175">
        <f t="shared" si="296"/>
        <v>2049.232959</v>
      </c>
      <c r="M442" s="175">
        <f t="shared" si="296"/>
        <v>2043.858977</v>
      </c>
      <c r="N442" s="175">
        <f t="shared" si="296"/>
        <v>2967.659738</v>
      </c>
      <c r="O442" s="175">
        <f t="shared" si="270"/>
        <v>2967.659738</v>
      </c>
    </row>
    <row r="443" ht="15.75" customHeight="1"/>
    <row r="444" ht="15.75" customHeight="1">
      <c r="A444" s="45" t="s">
        <v>1064</v>
      </c>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137"/>
    </row>
    <row r="445" ht="15.75" customHeight="1">
      <c r="A445" s="29" t="s">
        <v>376</v>
      </c>
      <c r="B445" s="29" t="s">
        <v>377</v>
      </c>
      <c r="C445" s="29" t="s">
        <v>109</v>
      </c>
      <c r="D445" s="29" t="s">
        <v>110</v>
      </c>
      <c r="E445" s="29" t="s">
        <v>111</v>
      </c>
      <c r="F445" s="29" t="s">
        <v>112</v>
      </c>
      <c r="G445" s="29" t="s">
        <v>113</v>
      </c>
      <c r="H445" s="29" t="s">
        <v>114</v>
      </c>
      <c r="I445" s="29" t="s">
        <v>115</v>
      </c>
      <c r="J445" s="29" t="s">
        <v>116</v>
      </c>
      <c r="K445" s="29" t="s">
        <v>117</v>
      </c>
      <c r="L445" s="29" t="s">
        <v>118</v>
      </c>
      <c r="M445" s="29" t="s">
        <v>119</v>
      </c>
      <c r="N445" s="29" t="s">
        <v>120</v>
      </c>
      <c r="O445" s="29" t="s">
        <v>15</v>
      </c>
    </row>
    <row r="446" ht="15.75" customHeight="1">
      <c r="A446" s="30" t="str">
        <f>datos_base!$A$55</f>
        <v>ABC 1 kg</v>
      </c>
      <c r="B446" s="139" t="s">
        <v>379</v>
      </c>
      <c r="C446" s="64">
        <f>datos_base!$J$55*'Parametros Recargas'!D$33*'Parametros Recargas'!$Q$33</f>
        <v>6289.443404</v>
      </c>
      <c r="D446" s="64">
        <f>datos_base!$J$55*'Parametros Recargas'!E$33*'Parametros Recargas'!$Q$33</f>
        <v>4905.765855</v>
      </c>
      <c r="E446" s="64">
        <f>datos_base!$J$55*'Parametros Recargas'!F$33*'Parametros Recargas'!$Q$33</f>
        <v>4905.765855</v>
      </c>
      <c r="F446" s="64">
        <f>datos_base!$J$55*'Parametros Recargas'!G$33*'Parametros Recargas'!$Q$33</f>
        <v>4905.765855</v>
      </c>
      <c r="G446" s="64">
        <f>datos_base!$J$55*'Parametros Recargas'!H$33*'Parametros Recargas'!$Q$33</f>
        <v>4905.765855</v>
      </c>
      <c r="H446" s="64">
        <f>datos_base!$J$55*'Parametros Recargas'!I$33*'Parametros Recargas'!$Q$33</f>
        <v>4905.765855</v>
      </c>
      <c r="I446" s="64">
        <f>datos_base!$J$55*'Parametros Recargas'!J$33*'Parametros Recargas'!$Q$33</f>
        <v>4905.765855</v>
      </c>
      <c r="J446" s="64">
        <f>datos_base!$J$55*'Parametros Recargas'!K$33*'Parametros Recargas'!$Q$33</f>
        <v>4905.765855</v>
      </c>
      <c r="K446" s="64">
        <f>datos_base!$J$55*'Parametros Recargas'!L$33*'Parametros Recargas'!$Q$33</f>
        <v>4905.765855</v>
      </c>
      <c r="L446" s="64">
        <f>datos_base!$J$55*'Parametros Recargas'!M$33*'Parametros Recargas'!$Q$33</f>
        <v>4905.765855</v>
      </c>
      <c r="M446" s="64">
        <f>datos_base!$J$55*'Parametros Recargas'!N$33*'Parametros Recargas'!$Q$33</f>
        <v>4905.765855</v>
      </c>
      <c r="N446" s="64">
        <f>datos_base!$J$55*'Parametros Recargas'!O$33*'Parametros Recargas'!$Q$33</f>
        <v>7547.332085</v>
      </c>
      <c r="O446" s="84">
        <f t="shared" ref="O446:O462" si="297">SUM(C446:N446)</f>
        <v>62894.43404</v>
      </c>
    </row>
    <row r="447" ht="15.75" customHeight="1">
      <c r="A447" s="30" t="str">
        <f>datos_base!$A$56</f>
        <v>ABC 2,5 kg</v>
      </c>
      <c r="B447" s="139" t="s">
        <v>379</v>
      </c>
      <c r="C447" s="64">
        <f>datos_base!$J$56*'Parametros Recargas'!D$34*'Parametros Recargas'!$Q$34</f>
        <v>475.5730114</v>
      </c>
      <c r="D447" s="64">
        <f>datos_base!$J$56*'Parametros Recargas'!E$34*'Parametros Recargas'!$Q$34</f>
        <v>422.7315657</v>
      </c>
      <c r="E447" s="64">
        <f>datos_base!$J$56*'Parametros Recargas'!F$34*'Parametros Recargas'!$Q$34</f>
        <v>449.1522886</v>
      </c>
      <c r="F447" s="64">
        <f>datos_base!$J$56*'Parametros Recargas'!G$34*'Parametros Recargas'!$Q$34</f>
        <v>422.7315657</v>
      </c>
      <c r="G447" s="64">
        <f>datos_base!$J$56*'Parametros Recargas'!H$34*'Parametros Recargas'!$Q$34</f>
        <v>396.3108429</v>
      </c>
      <c r="H447" s="64">
        <f>datos_base!$J$56*'Parametros Recargas'!I$34*'Parametros Recargas'!$Q$34</f>
        <v>369.89012</v>
      </c>
      <c r="I447" s="64">
        <f>datos_base!$J$56*'Parametros Recargas'!J$34*'Parametros Recargas'!$Q$34</f>
        <v>422.7315657</v>
      </c>
      <c r="J447" s="64">
        <f>datos_base!$J$56*'Parametros Recargas'!K$34*'Parametros Recargas'!$Q$34</f>
        <v>449.1522886</v>
      </c>
      <c r="K447" s="64">
        <f>datos_base!$J$56*'Parametros Recargas'!L$34*'Parametros Recargas'!$Q$34</f>
        <v>449.1522886</v>
      </c>
      <c r="L447" s="64">
        <f>datos_base!$J$56*'Parametros Recargas'!M$34*'Parametros Recargas'!$Q$34</f>
        <v>422.7315657</v>
      </c>
      <c r="M447" s="64">
        <f>datos_base!$J$56*'Parametros Recargas'!N$34*'Parametros Recargas'!$Q$34</f>
        <v>422.7315657</v>
      </c>
      <c r="N447" s="64">
        <f>datos_base!$J$56*'Parametros Recargas'!O$34*'Parametros Recargas'!$Q$34</f>
        <v>581.2559029</v>
      </c>
      <c r="O447" s="84">
        <f t="shared" si="297"/>
        <v>5284.144572</v>
      </c>
    </row>
    <row r="448" ht="15.75" customHeight="1">
      <c r="A448" s="30" t="str">
        <f>datos_base!$A$57</f>
        <v>ABC 5 kg</v>
      </c>
      <c r="B448" s="139" t="s">
        <v>379</v>
      </c>
      <c r="C448" s="64">
        <f>datos_base!$J$57*'Parametros Recargas'!D$35*'Parametros Recargas'!$Q$35</f>
        <v>2899.845958</v>
      </c>
      <c r="D448" s="64">
        <f>datos_base!$J$57*'Parametros Recargas'!E$35*'Parametros Recargas'!$Q$35</f>
        <v>2577.640852</v>
      </c>
      <c r="E448" s="64">
        <f>datos_base!$J$57*'Parametros Recargas'!F$35*'Parametros Recargas'!$Q$35</f>
        <v>2738.743405</v>
      </c>
      <c r="F448" s="64">
        <f>datos_base!$J$57*'Parametros Recargas'!G$35*'Parametros Recargas'!$Q$35</f>
        <v>2577.640852</v>
      </c>
      <c r="G448" s="64">
        <f>datos_base!$J$57*'Parametros Recargas'!H$35*'Parametros Recargas'!$Q$35</f>
        <v>2416.538298</v>
      </c>
      <c r="H448" s="64">
        <f>datos_base!$J$57*'Parametros Recargas'!I$35*'Parametros Recargas'!$Q$35</f>
        <v>2255.435745</v>
      </c>
      <c r="I448" s="64">
        <f>datos_base!$J$57*'Parametros Recargas'!J$35*'Parametros Recargas'!$Q$35</f>
        <v>2577.640852</v>
      </c>
      <c r="J448" s="64">
        <f>datos_base!$J$57*'Parametros Recargas'!K$35*'Parametros Recargas'!$Q$35</f>
        <v>2738.743405</v>
      </c>
      <c r="K448" s="64">
        <f>datos_base!$J$57*'Parametros Recargas'!L$35*'Parametros Recargas'!$Q$35</f>
        <v>2738.743405</v>
      </c>
      <c r="L448" s="64">
        <f>datos_base!$J$57*'Parametros Recargas'!M$35*'Parametros Recargas'!$Q$35</f>
        <v>2577.640852</v>
      </c>
      <c r="M448" s="64">
        <f>datos_base!$J$57*'Parametros Recargas'!N$35*'Parametros Recargas'!$Q$35</f>
        <v>2577.640852</v>
      </c>
      <c r="N448" s="64">
        <f>datos_base!$J$57*'Parametros Recargas'!O$35*'Parametros Recargas'!$Q$35</f>
        <v>3544.256171</v>
      </c>
      <c r="O448" s="84">
        <f t="shared" si="297"/>
        <v>32220.51064</v>
      </c>
    </row>
    <row r="449" ht="15.75" customHeight="1">
      <c r="A449" s="30" t="str">
        <f>datos_base!$A$58</f>
        <v>ABC 10 kg</v>
      </c>
      <c r="B449" s="139" t="s">
        <v>379</v>
      </c>
      <c r="C449" s="64">
        <f>datos_base!$J$58*'Parametros Recargas'!D$36*'Parametros Recargas'!$Q$36</f>
        <v>171.7030273</v>
      </c>
      <c r="D449" s="64">
        <f>datos_base!$J$58*'Parametros Recargas'!E$36*'Parametros Recargas'!$Q$36</f>
        <v>152.6249131</v>
      </c>
      <c r="E449" s="64">
        <f>datos_base!$J$58*'Parametros Recargas'!F$36*'Parametros Recargas'!$Q$36</f>
        <v>162.1639702</v>
      </c>
      <c r="F449" s="64">
        <f>datos_base!$J$58*'Parametros Recargas'!G$36*'Parametros Recargas'!$Q$36</f>
        <v>152.6249131</v>
      </c>
      <c r="G449" s="64">
        <f>datos_base!$J$58*'Parametros Recargas'!H$36*'Parametros Recargas'!$Q$36</f>
        <v>143.0858561</v>
      </c>
      <c r="H449" s="64">
        <f>datos_base!$J$58*'Parametros Recargas'!I$36*'Parametros Recargas'!$Q$36</f>
        <v>133.546799</v>
      </c>
      <c r="I449" s="64">
        <f>datos_base!$J$58*'Parametros Recargas'!J$36*'Parametros Recargas'!$Q$36</f>
        <v>152.6249131</v>
      </c>
      <c r="J449" s="64">
        <f>datos_base!$J$58*'Parametros Recargas'!K$36*'Parametros Recargas'!$Q$36</f>
        <v>162.1639702</v>
      </c>
      <c r="K449" s="64">
        <f>datos_base!$J$58*'Parametros Recargas'!L$36*'Parametros Recargas'!$Q$36</f>
        <v>162.1639702</v>
      </c>
      <c r="L449" s="64">
        <f>datos_base!$J$58*'Parametros Recargas'!M$36*'Parametros Recargas'!$Q$36</f>
        <v>152.6249131</v>
      </c>
      <c r="M449" s="64">
        <f>datos_base!$J$58*'Parametros Recargas'!N$36*'Parametros Recargas'!$Q$36</f>
        <v>152.6249131</v>
      </c>
      <c r="N449" s="64">
        <f>datos_base!$J$58*'Parametros Recargas'!O$36*'Parametros Recargas'!$Q$36</f>
        <v>209.8592555</v>
      </c>
      <c r="O449" s="84">
        <f t="shared" si="297"/>
        <v>1907.811414</v>
      </c>
    </row>
    <row r="450" ht="15.75" customHeight="1">
      <c r="A450" s="30" t="str">
        <f>datos_base!$A$69</f>
        <v>ABC 25 kg s/ruedas</v>
      </c>
      <c r="B450" s="139" t="s">
        <v>379</v>
      </c>
      <c r="C450" s="64">
        <f>datos_base!$J$69*'Parametros Recargas'!D$37*'Parametros Recargas'!$Q$37</f>
        <v>99.12264974</v>
      </c>
      <c r="D450" s="64">
        <f>datos_base!$J$69*'Parametros Recargas'!E$37*'Parametros Recargas'!$Q$37</f>
        <v>79.2981198</v>
      </c>
      <c r="E450" s="64">
        <f>datos_base!$J$69*'Parametros Recargas'!F$37*'Parametros Recargas'!$Q$37</f>
        <v>84.25425228</v>
      </c>
      <c r="F450" s="64">
        <f>datos_base!$J$69*'Parametros Recargas'!G$37*'Parametros Recargas'!$Q$37</f>
        <v>84.25425228</v>
      </c>
      <c r="G450" s="64">
        <f>datos_base!$J$69*'Parametros Recargas'!H$37*'Parametros Recargas'!$Q$37</f>
        <v>79.2981198</v>
      </c>
      <c r="H450" s="64">
        <f>datos_base!$J$69*'Parametros Recargas'!I$37*'Parametros Recargas'!$Q$37</f>
        <v>74.34198731</v>
      </c>
      <c r="I450" s="64">
        <f>datos_base!$J$69*'Parametros Recargas'!J$37*'Parametros Recargas'!$Q$37</f>
        <v>89.21038477</v>
      </c>
      <c r="J450" s="64">
        <f>datos_base!$J$69*'Parametros Recargas'!K$37*'Parametros Recargas'!$Q$37</f>
        <v>79.2981198</v>
      </c>
      <c r="K450" s="64">
        <f>datos_base!$J$69*'Parametros Recargas'!L$37*'Parametros Recargas'!$Q$37</f>
        <v>79.2981198</v>
      </c>
      <c r="L450" s="64">
        <f>datos_base!$J$69*'Parametros Recargas'!M$37*'Parametros Recargas'!$Q$37</f>
        <v>79.2981198</v>
      </c>
      <c r="M450" s="64">
        <f>datos_base!$J$69*'Parametros Recargas'!N$37*'Parametros Recargas'!$Q$37</f>
        <v>74.34198731</v>
      </c>
      <c r="N450" s="64">
        <f>datos_base!$J$69*'Parametros Recargas'!O$37*'Parametros Recargas'!$Q$37</f>
        <v>89.21038477</v>
      </c>
      <c r="O450" s="84">
        <f t="shared" si="297"/>
        <v>991.2264974</v>
      </c>
    </row>
    <row r="451" ht="15.75" customHeight="1">
      <c r="A451" s="30" t="str">
        <f>datos_base!$A$70</f>
        <v>ABC 50 kg s/ruedas</v>
      </c>
      <c r="B451" s="139" t="s">
        <v>379</v>
      </c>
      <c r="C451" s="64">
        <f>datos_base!$J$70*'Parametros Recargas'!D$38*'Parametros Recargas'!$Q$38</f>
        <v>218.1725472</v>
      </c>
      <c r="D451" s="64">
        <f>datos_base!$J$70*'Parametros Recargas'!E$38*'Parametros Recargas'!$Q$38</f>
        <v>174.5380378</v>
      </c>
      <c r="E451" s="64">
        <f>datos_base!$J$70*'Parametros Recargas'!F$38*'Parametros Recargas'!$Q$38</f>
        <v>185.4466651</v>
      </c>
      <c r="F451" s="64">
        <f>datos_base!$J$70*'Parametros Recargas'!G$38*'Parametros Recargas'!$Q$38</f>
        <v>185.4466651</v>
      </c>
      <c r="G451" s="64">
        <f>datos_base!$J$70*'Parametros Recargas'!H$38*'Parametros Recargas'!$Q$38</f>
        <v>174.5380378</v>
      </c>
      <c r="H451" s="64">
        <f>datos_base!$J$70*'Parametros Recargas'!I$38*'Parametros Recargas'!$Q$38</f>
        <v>163.6294104</v>
      </c>
      <c r="I451" s="64">
        <f>datos_base!$J$70*'Parametros Recargas'!J$38*'Parametros Recargas'!$Q$38</f>
        <v>196.3552925</v>
      </c>
      <c r="J451" s="64">
        <f>datos_base!$J$70*'Parametros Recargas'!K$38*'Parametros Recargas'!$Q$38</f>
        <v>174.5380378</v>
      </c>
      <c r="K451" s="64">
        <f>datos_base!$J$70*'Parametros Recargas'!L$38*'Parametros Recargas'!$Q$38</f>
        <v>174.5380378</v>
      </c>
      <c r="L451" s="64">
        <f>datos_base!$J$70*'Parametros Recargas'!M$38*'Parametros Recargas'!$Q$38</f>
        <v>174.5380378</v>
      </c>
      <c r="M451" s="64">
        <f>datos_base!$J$70*'Parametros Recargas'!N$38*'Parametros Recargas'!$Q$38</f>
        <v>163.6294104</v>
      </c>
      <c r="N451" s="64">
        <f>datos_base!$J$70*'Parametros Recargas'!O$38*'Parametros Recargas'!$Q$38</f>
        <v>196.3552925</v>
      </c>
      <c r="O451" s="84">
        <f t="shared" si="297"/>
        <v>2181.725472</v>
      </c>
    </row>
    <row r="452" ht="15.75" customHeight="1">
      <c r="A452" s="30" t="str">
        <f>datos_base!$A$71</f>
        <v>ABC 70 kg s/ruedas</v>
      </c>
      <c r="B452" s="139" t="s">
        <v>379</v>
      </c>
      <c r="C452" s="64">
        <f>datos_base!$J$71*'Parametros Recargas'!D$39*'Parametros Recargas'!$Q$39</f>
        <v>47.55832832</v>
      </c>
      <c r="D452" s="64">
        <f>datos_base!$J$71*'Parametros Recargas'!E$39*'Parametros Recargas'!$Q$39</f>
        <v>38.04666266</v>
      </c>
      <c r="E452" s="64">
        <f>datos_base!$J$71*'Parametros Recargas'!F$39*'Parametros Recargas'!$Q$39</f>
        <v>40.42457907</v>
      </c>
      <c r="F452" s="64">
        <f>datos_base!$J$71*'Parametros Recargas'!G$39*'Parametros Recargas'!$Q$39</f>
        <v>40.42457907</v>
      </c>
      <c r="G452" s="64">
        <f>datos_base!$J$71*'Parametros Recargas'!H$39*'Parametros Recargas'!$Q$39</f>
        <v>38.04666266</v>
      </c>
      <c r="H452" s="64">
        <f>datos_base!$J$71*'Parametros Recargas'!I$39*'Parametros Recargas'!$Q$39</f>
        <v>35.66874624</v>
      </c>
      <c r="I452" s="64">
        <f>datos_base!$J$71*'Parametros Recargas'!J$39*'Parametros Recargas'!$Q$39</f>
        <v>42.80249549</v>
      </c>
      <c r="J452" s="64">
        <f>datos_base!$J$71*'Parametros Recargas'!K$39*'Parametros Recargas'!$Q$39</f>
        <v>38.04666266</v>
      </c>
      <c r="K452" s="64">
        <f>datos_base!$J$71*'Parametros Recargas'!L$39*'Parametros Recargas'!$Q$39</f>
        <v>38.04666266</v>
      </c>
      <c r="L452" s="64">
        <f>datos_base!$J$71*'Parametros Recargas'!M$39*'Parametros Recargas'!$Q$39</f>
        <v>38.04666266</v>
      </c>
      <c r="M452" s="64">
        <f>datos_base!$J$71*'Parametros Recargas'!N$39*'Parametros Recargas'!$Q$39</f>
        <v>35.66874624</v>
      </c>
      <c r="N452" s="64">
        <f>datos_base!$J$71*'Parametros Recargas'!O$39*'Parametros Recargas'!$Q$39</f>
        <v>42.80249549</v>
      </c>
      <c r="O452" s="84">
        <f t="shared" si="297"/>
        <v>475.5832832</v>
      </c>
    </row>
    <row r="453" ht="15.75" customHeight="1">
      <c r="A453" s="30" t="str">
        <f>datos_base!$A$72</f>
        <v>ABC 100 kg s/ruedas</v>
      </c>
      <c r="B453" s="139" t="s">
        <v>379</v>
      </c>
      <c r="C453" s="64">
        <f>datos_base!$J$72*'Parametros Recargas'!D$40*'Parametros Recargas'!$Q$40</f>
        <v>31.73979147</v>
      </c>
      <c r="D453" s="64">
        <f>datos_base!$J$72*'Parametros Recargas'!E$40*'Parametros Recargas'!$Q$40</f>
        <v>25.39183318</v>
      </c>
      <c r="E453" s="64">
        <f>datos_base!$J$72*'Parametros Recargas'!F$40*'Parametros Recargas'!$Q$40</f>
        <v>26.97882275</v>
      </c>
      <c r="F453" s="64">
        <f>datos_base!$J$72*'Parametros Recargas'!G$40*'Parametros Recargas'!$Q$40</f>
        <v>26.97882275</v>
      </c>
      <c r="G453" s="64">
        <f>datos_base!$J$72*'Parametros Recargas'!H$40*'Parametros Recargas'!$Q$40</f>
        <v>25.39183318</v>
      </c>
      <c r="H453" s="64">
        <f>datos_base!$J$72*'Parametros Recargas'!I$40*'Parametros Recargas'!$Q$40</f>
        <v>23.8048436</v>
      </c>
      <c r="I453" s="64">
        <f>datos_base!$J$72*'Parametros Recargas'!J$40*'Parametros Recargas'!$Q$40</f>
        <v>28.56581233</v>
      </c>
      <c r="J453" s="64">
        <f>datos_base!$J$72*'Parametros Recargas'!K$40*'Parametros Recargas'!$Q$40</f>
        <v>25.39183318</v>
      </c>
      <c r="K453" s="64">
        <f>datos_base!$J$72*'Parametros Recargas'!L$40*'Parametros Recargas'!$Q$40</f>
        <v>25.39183318</v>
      </c>
      <c r="L453" s="64">
        <f>datos_base!$J$72*'Parametros Recargas'!M$40*'Parametros Recargas'!$Q$40</f>
        <v>25.39183318</v>
      </c>
      <c r="M453" s="64">
        <f>datos_base!$J$72*'Parametros Recargas'!N$40*'Parametros Recargas'!$Q$40</f>
        <v>23.8048436</v>
      </c>
      <c r="N453" s="64">
        <f>datos_base!$J$72*'Parametros Recargas'!O$40*'Parametros Recargas'!$Q$40</f>
        <v>28.56581233</v>
      </c>
      <c r="O453" s="84">
        <f t="shared" si="297"/>
        <v>317.3979147</v>
      </c>
    </row>
    <row r="454" ht="15.75" customHeight="1">
      <c r="A454" s="30" t="str">
        <f>datos_base!$A$62</f>
        <v>BC 5 kg</v>
      </c>
      <c r="B454" s="139" t="s">
        <v>398</v>
      </c>
      <c r="C454" s="64">
        <f>datos_base!$J$62*'Parametros Recargas'!D$41*'Parametros Recargas'!$Q$41</f>
        <v>13.74363786</v>
      </c>
      <c r="D454" s="64">
        <f>datos_base!$J$62*'Parametros Recargas'!E$41*'Parametros Recargas'!$Q$41</f>
        <v>12.21656699</v>
      </c>
      <c r="E454" s="64">
        <f>datos_base!$J$62*'Parametros Recargas'!F$41*'Parametros Recargas'!$Q$41</f>
        <v>12.98010242</v>
      </c>
      <c r="F454" s="64">
        <f>datos_base!$J$62*'Parametros Recargas'!G$41*'Parametros Recargas'!$Q$41</f>
        <v>12.21656699</v>
      </c>
      <c r="G454" s="64">
        <f>datos_base!$J$62*'Parametros Recargas'!H$41*'Parametros Recargas'!$Q$41</f>
        <v>11.45303155</v>
      </c>
      <c r="H454" s="64">
        <f>datos_base!$J$62*'Parametros Recargas'!I$41*'Parametros Recargas'!$Q$41</f>
        <v>10.68949611</v>
      </c>
      <c r="I454" s="64">
        <f>datos_base!$J$62*'Parametros Recargas'!J$41*'Parametros Recargas'!$Q$41</f>
        <v>12.21656699</v>
      </c>
      <c r="J454" s="64">
        <f>datos_base!$J$62*'Parametros Recargas'!K$41*'Parametros Recargas'!$Q$41</f>
        <v>12.98010242</v>
      </c>
      <c r="K454" s="64">
        <f>datos_base!$J$62*'Parametros Recargas'!L$41*'Parametros Recargas'!$Q$41</f>
        <v>12.98010242</v>
      </c>
      <c r="L454" s="64">
        <f>datos_base!$J$62*'Parametros Recargas'!M$41*'Parametros Recargas'!$Q$41</f>
        <v>12.21656699</v>
      </c>
      <c r="M454" s="64">
        <f>datos_base!$J$62*'Parametros Recargas'!N$41*'Parametros Recargas'!$Q$41</f>
        <v>12.21656699</v>
      </c>
      <c r="N454" s="64">
        <f>datos_base!$J$62*'Parametros Recargas'!O$41*'Parametros Recargas'!$Q$41</f>
        <v>16.79777961</v>
      </c>
      <c r="O454" s="84">
        <f t="shared" si="297"/>
        <v>152.7070873</v>
      </c>
    </row>
    <row r="455" ht="15.75" customHeight="1">
      <c r="A455" s="30" t="str">
        <f>datos_base!$A$68</f>
        <v>Clase D 9 l</v>
      </c>
      <c r="B455" s="139" t="s">
        <v>402</v>
      </c>
      <c r="C455" s="64">
        <f>datos_base!$J$68*'Parametros Recargas'!D$42*'Parametros Recargas'!$Q$42</f>
        <v>12.38776327</v>
      </c>
      <c r="D455" s="64">
        <f>datos_base!$J$68*'Parametros Recargas'!E$42*'Parametros Recargas'!$Q$42</f>
        <v>11.01134513</v>
      </c>
      <c r="E455" s="64">
        <f>datos_base!$J$68*'Parametros Recargas'!F$42*'Parametros Recargas'!$Q$42</f>
        <v>11.6995542</v>
      </c>
      <c r="F455" s="64">
        <f>datos_base!$J$68*'Parametros Recargas'!G$42*'Parametros Recargas'!$Q$42</f>
        <v>11.01134513</v>
      </c>
      <c r="G455" s="64">
        <f>datos_base!$J$68*'Parametros Recargas'!H$42*'Parametros Recargas'!$Q$42</f>
        <v>10.32313606</v>
      </c>
      <c r="H455" s="64">
        <f>datos_base!$J$68*'Parametros Recargas'!I$42*'Parametros Recargas'!$Q$42</f>
        <v>9.634926991</v>
      </c>
      <c r="I455" s="64">
        <f>datos_base!$J$68*'Parametros Recargas'!J$42*'Parametros Recargas'!$Q$42</f>
        <v>11.01134513</v>
      </c>
      <c r="J455" s="64">
        <f>datos_base!$J$68*'Parametros Recargas'!K$42*'Parametros Recargas'!$Q$42</f>
        <v>11.6995542</v>
      </c>
      <c r="K455" s="64">
        <f>datos_base!$J$68*'Parametros Recargas'!L$42*'Parametros Recargas'!$Q$42</f>
        <v>11.6995542</v>
      </c>
      <c r="L455" s="64">
        <f>datos_base!$J$68*'Parametros Recargas'!M$42*'Parametros Recargas'!$Q$42</f>
        <v>11.01134513</v>
      </c>
      <c r="M455" s="64">
        <f>datos_base!$J$68*'Parametros Recargas'!N$42*'Parametros Recargas'!$Q$42</f>
        <v>11.01134513</v>
      </c>
      <c r="N455" s="64">
        <f>datos_base!$J$68*'Parametros Recargas'!O$42*'Parametros Recargas'!$Q$42</f>
        <v>15.14059956</v>
      </c>
      <c r="O455" s="84">
        <f t="shared" si="297"/>
        <v>137.6418142</v>
      </c>
    </row>
    <row r="456" ht="15.75" customHeight="1">
      <c r="A456" s="30" t="str">
        <f>datos_base!$A$59</f>
        <v>Agua 10 l</v>
      </c>
      <c r="B456" s="139" t="s">
        <v>407</v>
      </c>
      <c r="C456" s="64">
        <f>datos_base!$J$59*'Parametros Recargas'!D$43*'Parametros Recargas'!$Q$43</f>
        <v>242.0852445</v>
      </c>
      <c r="D456" s="64">
        <f>datos_base!$J$59*'Parametros Recargas'!E$43*'Parametros Recargas'!$Q$43</f>
        <v>215.186884</v>
      </c>
      <c r="E456" s="64">
        <f>datos_base!$J$59*'Parametros Recargas'!F$43*'Parametros Recargas'!$Q$43</f>
        <v>228.6360642</v>
      </c>
      <c r="F456" s="64">
        <f>datos_base!$J$59*'Parametros Recargas'!G$43*'Parametros Recargas'!$Q$43</f>
        <v>215.186884</v>
      </c>
      <c r="G456" s="64">
        <f>datos_base!$J$59*'Parametros Recargas'!H$43*'Parametros Recargas'!$Q$43</f>
        <v>201.7377037</v>
      </c>
      <c r="H456" s="64">
        <f>datos_base!$J$59*'Parametros Recargas'!I$43*'Parametros Recargas'!$Q$43</f>
        <v>188.2885235</v>
      </c>
      <c r="I456" s="64">
        <f>datos_base!$J$59*'Parametros Recargas'!J$43*'Parametros Recargas'!$Q$43</f>
        <v>215.186884</v>
      </c>
      <c r="J456" s="64">
        <f>datos_base!$J$59*'Parametros Recargas'!K$43*'Parametros Recargas'!$Q$43</f>
        <v>228.6360642</v>
      </c>
      <c r="K456" s="64">
        <f>datos_base!$J$59*'Parametros Recargas'!L$43*'Parametros Recargas'!$Q$43</f>
        <v>228.6360642</v>
      </c>
      <c r="L456" s="64">
        <f>datos_base!$J$59*'Parametros Recargas'!M$43*'Parametros Recargas'!$Q$43</f>
        <v>215.186884</v>
      </c>
      <c r="M456" s="64">
        <f>datos_base!$J$59*'Parametros Recargas'!N$43*'Parametros Recargas'!$Q$43</f>
        <v>215.186884</v>
      </c>
      <c r="N456" s="64">
        <f>datos_base!$J$59*'Parametros Recargas'!O$43*'Parametros Recargas'!$Q$43</f>
        <v>295.8819655</v>
      </c>
      <c r="O456" s="84">
        <f t="shared" si="297"/>
        <v>2689.83605</v>
      </c>
    </row>
    <row r="457" ht="15.75" customHeight="1">
      <c r="A457" s="30" t="str">
        <f>datos_base!$A$60</f>
        <v>AFFF 10 l</v>
      </c>
      <c r="B457" s="139" t="s">
        <v>407</v>
      </c>
      <c r="C457" s="64">
        <f>datos_base!$J$60*'Parametros Recargas'!D$44*'Parametros Recargas'!$Q$44</f>
        <v>45.54506</v>
      </c>
      <c r="D457" s="64">
        <f>datos_base!$J$60*'Parametros Recargas'!E$44*'Parametros Recargas'!$Q$44</f>
        <v>40.48449777</v>
      </c>
      <c r="E457" s="64">
        <f>datos_base!$J$60*'Parametros Recargas'!F$44*'Parametros Recargas'!$Q$44</f>
        <v>43.01477889</v>
      </c>
      <c r="F457" s="64">
        <f>datos_base!$J$60*'Parametros Recargas'!G$44*'Parametros Recargas'!$Q$44</f>
        <v>40.48449777</v>
      </c>
      <c r="G457" s="64">
        <f>datos_base!$J$60*'Parametros Recargas'!H$44*'Parametros Recargas'!$Q$44</f>
        <v>37.95421666</v>
      </c>
      <c r="H457" s="64">
        <f>datos_base!$J$60*'Parametros Recargas'!I$44*'Parametros Recargas'!$Q$44</f>
        <v>35.42393555</v>
      </c>
      <c r="I457" s="64">
        <f>datos_base!$J$60*'Parametros Recargas'!J$44*'Parametros Recargas'!$Q$44</f>
        <v>40.48449777</v>
      </c>
      <c r="J457" s="64">
        <f>datos_base!$J$60*'Parametros Recargas'!K$44*'Parametros Recargas'!$Q$44</f>
        <v>43.01477889</v>
      </c>
      <c r="K457" s="64">
        <f>datos_base!$J$60*'Parametros Recargas'!L$44*'Parametros Recargas'!$Q$44</f>
        <v>43.01477889</v>
      </c>
      <c r="L457" s="64">
        <f>datos_base!$J$60*'Parametros Recargas'!M$44*'Parametros Recargas'!$Q$44</f>
        <v>40.48449777</v>
      </c>
      <c r="M457" s="64">
        <f>datos_base!$J$60*'Parametros Recargas'!N$44*'Parametros Recargas'!$Q$44</f>
        <v>40.48449777</v>
      </c>
      <c r="N457" s="64">
        <f>datos_base!$J$60*'Parametros Recargas'!O$44*'Parametros Recargas'!$Q$44</f>
        <v>55.66618444</v>
      </c>
      <c r="O457" s="84">
        <f t="shared" si="297"/>
        <v>506.0562222</v>
      </c>
    </row>
    <row r="458" ht="15.75" customHeight="1">
      <c r="A458" s="30" t="str">
        <f>datos_base!$A$63</f>
        <v>Sales K 6 l</v>
      </c>
      <c r="B458" s="139" t="s">
        <v>407</v>
      </c>
      <c r="C458" s="64">
        <f>datos_base!$J$63*'Parametros Recargas'!D$45*'Parametros Recargas'!$Q$45</f>
        <v>119.2861483</v>
      </c>
      <c r="D458" s="64">
        <f>datos_base!$J$63*'Parametros Recargas'!E$45*'Parametros Recargas'!$Q$45</f>
        <v>106.0321319</v>
      </c>
      <c r="E458" s="64">
        <f>datos_base!$J$63*'Parametros Recargas'!F$45*'Parametros Recargas'!$Q$45</f>
        <v>112.6591401</v>
      </c>
      <c r="F458" s="64">
        <f>datos_base!$J$63*'Parametros Recargas'!G$45*'Parametros Recargas'!$Q$45</f>
        <v>106.0321319</v>
      </c>
      <c r="G458" s="64">
        <f>datos_base!$J$63*'Parametros Recargas'!H$45*'Parametros Recargas'!$Q$45</f>
        <v>99.40512362</v>
      </c>
      <c r="H458" s="64">
        <f>datos_base!$J$63*'Parametros Recargas'!I$45*'Parametros Recargas'!$Q$45</f>
        <v>92.77811538</v>
      </c>
      <c r="I458" s="64">
        <f>datos_base!$J$63*'Parametros Recargas'!J$45*'Parametros Recargas'!$Q$45</f>
        <v>106.0321319</v>
      </c>
      <c r="J458" s="64">
        <f>datos_base!$J$63*'Parametros Recargas'!K$45*'Parametros Recargas'!$Q$45</f>
        <v>112.6591401</v>
      </c>
      <c r="K458" s="64">
        <f>datos_base!$J$63*'Parametros Recargas'!L$45*'Parametros Recargas'!$Q$45</f>
        <v>112.6591401</v>
      </c>
      <c r="L458" s="64">
        <f>datos_base!$J$63*'Parametros Recargas'!M$45*'Parametros Recargas'!$Q$45</f>
        <v>106.0321319</v>
      </c>
      <c r="M458" s="64">
        <f>datos_base!$J$63*'Parametros Recargas'!N$45*'Parametros Recargas'!$Q$45</f>
        <v>106.0321319</v>
      </c>
      <c r="N458" s="64">
        <f>datos_base!$J$63*'Parametros Recargas'!O$45*'Parametros Recargas'!$Q$45</f>
        <v>145.7941813</v>
      </c>
      <c r="O458" s="84">
        <f t="shared" si="297"/>
        <v>1325.401648</v>
      </c>
    </row>
    <row r="459" ht="15.75" customHeight="1">
      <c r="A459" s="30" t="str">
        <f>datos_base!$A$61</f>
        <v>AFFF 50 l s/ruedas</v>
      </c>
      <c r="B459" s="139" t="s">
        <v>407</v>
      </c>
      <c r="C459" s="64">
        <f>datos_base!$J$61*'Parametros Recargas'!D$46*'Parametros Recargas'!$Q$46</f>
        <v>79.40083757</v>
      </c>
      <c r="D459" s="64">
        <f>datos_base!$J$61*'Parametros Recargas'!E$46*'Parametros Recargas'!$Q$46</f>
        <v>63.52067005</v>
      </c>
      <c r="E459" s="64">
        <f>datos_base!$J$61*'Parametros Recargas'!F$46*'Parametros Recargas'!$Q$46</f>
        <v>67.49071193</v>
      </c>
      <c r="F459" s="64">
        <f>datos_base!$J$61*'Parametros Recargas'!G$46*'Parametros Recargas'!$Q$46</f>
        <v>67.49071193</v>
      </c>
      <c r="G459" s="64">
        <f>datos_base!$J$61*'Parametros Recargas'!H$46*'Parametros Recargas'!$Q$46</f>
        <v>63.52067005</v>
      </c>
      <c r="H459" s="64">
        <f>datos_base!$J$61*'Parametros Recargas'!I$46*'Parametros Recargas'!$Q$46</f>
        <v>59.55062818</v>
      </c>
      <c r="I459" s="64">
        <f>datos_base!$J$61*'Parametros Recargas'!J$46*'Parametros Recargas'!$Q$46</f>
        <v>71.46075381</v>
      </c>
      <c r="J459" s="64">
        <f>datos_base!$J$61*'Parametros Recargas'!K$46*'Parametros Recargas'!$Q$46</f>
        <v>63.52067005</v>
      </c>
      <c r="K459" s="64">
        <f>datos_base!$J$61*'Parametros Recargas'!L$46*'Parametros Recargas'!$Q$46</f>
        <v>63.52067005</v>
      </c>
      <c r="L459" s="64">
        <f>datos_base!$J$61*'Parametros Recargas'!M$46*'Parametros Recargas'!$Q$46</f>
        <v>63.52067005</v>
      </c>
      <c r="M459" s="64">
        <f>datos_base!$J$61*'Parametros Recargas'!N$46*'Parametros Recargas'!$Q$46</f>
        <v>59.55062818</v>
      </c>
      <c r="N459" s="64">
        <f>datos_base!$J$61*'Parametros Recargas'!O$46*'Parametros Recargas'!$Q$46</f>
        <v>71.46075381</v>
      </c>
      <c r="O459" s="84">
        <f t="shared" si="297"/>
        <v>794.0083757</v>
      </c>
    </row>
    <row r="460" ht="15.75" customHeight="1">
      <c r="A460" s="30" t="str">
        <f>datos_base!$A$64</f>
        <v>CO₂ 2 kg</v>
      </c>
      <c r="B460" s="139" t="s">
        <v>418</v>
      </c>
      <c r="C460" s="64">
        <f>datos_base!$J$64*'Parametros Recargas'!D$47*'Parametros Recargas'!$Q$47</f>
        <v>652.1140458</v>
      </c>
      <c r="D460" s="64">
        <f>datos_base!$J$64*'Parametros Recargas'!E$47*'Parametros Recargas'!$Q$47</f>
        <v>579.6569296</v>
      </c>
      <c r="E460" s="64">
        <f>datos_base!$J$64*'Parametros Recargas'!F$47*'Parametros Recargas'!$Q$47</f>
        <v>615.8854877</v>
      </c>
      <c r="F460" s="64">
        <f>datos_base!$J$64*'Parametros Recargas'!G$47*'Parametros Recargas'!$Q$47</f>
        <v>579.6569296</v>
      </c>
      <c r="G460" s="64">
        <f>datos_base!$J$64*'Parametros Recargas'!H$47*'Parametros Recargas'!$Q$47</f>
        <v>543.4283715</v>
      </c>
      <c r="H460" s="64">
        <f>datos_base!$J$64*'Parametros Recargas'!I$47*'Parametros Recargas'!$Q$47</f>
        <v>507.1998134</v>
      </c>
      <c r="I460" s="64">
        <f>datos_base!$J$64*'Parametros Recargas'!J$47*'Parametros Recargas'!$Q$47</f>
        <v>579.6569296</v>
      </c>
      <c r="J460" s="64">
        <f>datos_base!$J$64*'Parametros Recargas'!K$47*'Parametros Recargas'!$Q$47</f>
        <v>615.8854877</v>
      </c>
      <c r="K460" s="64">
        <f>datos_base!$J$64*'Parametros Recargas'!L$47*'Parametros Recargas'!$Q$47</f>
        <v>615.8854877</v>
      </c>
      <c r="L460" s="64">
        <f>datos_base!$J$64*'Parametros Recargas'!M$47*'Parametros Recargas'!$Q$47</f>
        <v>579.6569296</v>
      </c>
      <c r="M460" s="64">
        <f>datos_base!$J$64*'Parametros Recargas'!N$47*'Parametros Recargas'!$Q$47</f>
        <v>579.6569296</v>
      </c>
      <c r="N460" s="64">
        <f>datos_base!$J$64*'Parametros Recargas'!O$47*'Parametros Recargas'!$Q$47</f>
        <v>797.0282782</v>
      </c>
      <c r="O460" s="84">
        <f t="shared" si="297"/>
        <v>7245.71162</v>
      </c>
    </row>
    <row r="461" ht="15.75" customHeight="1">
      <c r="A461" s="30" t="str">
        <f>datos_base!$A$65</f>
        <v>CO₂ 5 kg</v>
      </c>
      <c r="B461" s="139" t="s">
        <v>418</v>
      </c>
      <c r="C461" s="64">
        <f>datos_base!$J$65*'Parametros Recargas'!D$48*'Parametros Recargas'!$Q$48</f>
        <v>221.4389724</v>
      </c>
      <c r="D461" s="64">
        <f>datos_base!$J$65*'Parametros Recargas'!E$48*'Parametros Recargas'!$Q$48</f>
        <v>196.8346421</v>
      </c>
      <c r="E461" s="64">
        <f>datos_base!$J$65*'Parametros Recargas'!F$48*'Parametros Recargas'!$Q$48</f>
        <v>209.1368072</v>
      </c>
      <c r="F461" s="64">
        <f>datos_base!$J$65*'Parametros Recargas'!G$48*'Parametros Recargas'!$Q$48</f>
        <v>196.8346421</v>
      </c>
      <c r="G461" s="64">
        <f>datos_base!$J$65*'Parametros Recargas'!H$48*'Parametros Recargas'!$Q$48</f>
        <v>184.532477</v>
      </c>
      <c r="H461" s="64">
        <f>datos_base!$J$65*'Parametros Recargas'!I$48*'Parametros Recargas'!$Q$48</f>
        <v>172.2303118</v>
      </c>
      <c r="I461" s="64">
        <f>datos_base!$J$65*'Parametros Recargas'!J$48*'Parametros Recargas'!$Q$48</f>
        <v>196.8346421</v>
      </c>
      <c r="J461" s="64">
        <f>datos_base!$J$65*'Parametros Recargas'!K$48*'Parametros Recargas'!$Q$48</f>
        <v>209.1368072</v>
      </c>
      <c r="K461" s="64">
        <f>datos_base!$J$65*'Parametros Recargas'!L$48*'Parametros Recargas'!$Q$48</f>
        <v>209.1368072</v>
      </c>
      <c r="L461" s="64">
        <f>datos_base!$J$65*'Parametros Recargas'!M$48*'Parametros Recargas'!$Q$48</f>
        <v>196.8346421</v>
      </c>
      <c r="M461" s="64">
        <f>datos_base!$J$65*'Parametros Recargas'!N$48*'Parametros Recargas'!$Q$48</f>
        <v>196.8346421</v>
      </c>
      <c r="N461" s="64">
        <f>datos_base!$J$65*'Parametros Recargas'!O$48*'Parametros Recargas'!$Q$48</f>
        <v>270.6476329</v>
      </c>
      <c r="O461" s="84">
        <f t="shared" si="297"/>
        <v>2460.433026</v>
      </c>
    </row>
    <row r="462" ht="15.75" customHeight="1">
      <c r="A462" s="30" t="str">
        <f>datos_base!$A$67</f>
        <v>HCFC/HFC 5 kg</v>
      </c>
      <c r="B462" s="139" t="s">
        <v>422</v>
      </c>
      <c r="C462" s="64">
        <f>datos_base!$J$67*'Parametros Recargas'!D$49*'Parametros Recargas'!$Q$49</f>
        <v>36.11556855</v>
      </c>
      <c r="D462" s="64">
        <f>datos_base!$J$67*'Parametros Recargas'!E$49*'Parametros Recargas'!$Q$49</f>
        <v>32.1027276</v>
      </c>
      <c r="E462" s="64">
        <f>datos_base!$J$67*'Parametros Recargas'!F$49*'Parametros Recargas'!$Q$49</f>
        <v>34.10914807</v>
      </c>
      <c r="F462" s="64">
        <f>datos_base!$J$67*'Parametros Recargas'!G$49*'Parametros Recargas'!$Q$49</f>
        <v>32.1027276</v>
      </c>
      <c r="G462" s="64">
        <f>datos_base!$J$67*'Parametros Recargas'!H$49*'Parametros Recargas'!$Q$49</f>
        <v>30.09630712</v>
      </c>
      <c r="H462" s="64">
        <f>datos_base!$J$67*'Parametros Recargas'!I$49*'Parametros Recargas'!$Q$49</f>
        <v>28.08988665</v>
      </c>
      <c r="I462" s="64">
        <f>datos_base!$J$67*'Parametros Recargas'!J$49*'Parametros Recargas'!$Q$49</f>
        <v>32.1027276</v>
      </c>
      <c r="J462" s="64">
        <f>datos_base!$J$67*'Parametros Recargas'!K$49*'Parametros Recargas'!$Q$49</f>
        <v>34.10914807</v>
      </c>
      <c r="K462" s="64">
        <f>datos_base!$J$67*'Parametros Recargas'!L$49*'Parametros Recargas'!$Q$49</f>
        <v>34.10914807</v>
      </c>
      <c r="L462" s="64">
        <f>datos_base!$J$67*'Parametros Recargas'!M$49*'Parametros Recargas'!$Q$49</f>
        <v>32.1027276</v>
      </c>
      <c r="M462" s="64">
        <f>datos_base!$J$67*'Parametros Recargas'!N$49*'Parametros Recargas'!$Q$49</f>
        <v>32.1027276</v>
      </c>
      <c r="N462" s="64">
        <f>datos_base!$J$67*'Parametros Recargas'!O$49*'Parametros Recargas'!$Q$49</f>
        <v>44.14125045</v>
      </c>
      <c r="O462" s="84">
        <f t="shared" si="297"/>
        <v>401.284095</v>
      </c>
    </row>
    <row r="463" ht="15.75" customHeight="1">
      <c r="A463" s="29" t="s">
        <v>426</v>
      </c>
      <c r="B463" s="29"/>
      <c r="C463" s="29" t="s">
        <v>109</v>
      </c>
      <c r="D463" s="29" t="s">
        <v>110</v>
      </c>
      <c r="E463" s="29" t="s">
        <v>111</v>
      </c>
      <c r="F463" s="29" t="s">
        <v>112</v>
      </c>
      <c r="G463" s="29" t="s">
        <v>113</v>
      </c>
      <c r="H463" s="29" t="s">
        <v>114</v>
      </c>
      <c r="I463" s="29" t="s">
        <v>115</v>
      </c>
      <c r="J463" s="29" t="s">
        <v>116</v>
      </c>
      <c r="K463" s="29" t="s">
        <v>117</v>
      </c>
      <c r="L463" s="29" t="s">
        <v>118</v>
      </c>
      <c r="M463" s="29" t="s">
        <v>119</v>
      </c>
      <c r="N463" s="29" t="s">
        <v>120</v>
      </c>
      <c r="O463" s="29" t="s">
        <v>15</v>
      </c>
    </row>
    <row r="464" ht="15.75" customHeight="1">
      <c r="A464" s="73" t="s">
        <v>379</v>
      </c>
      <c r="B464" s="118" t="s">
        <v>431</v>
      </c>
      <c r="C464" s="64">
        <f t="shared" ref="C464:N464" si="298">SUM(C446:C453)</f>
        <v>10233.15872</v>
      </c>
      <c r="D464" s="64">
        <f t="shared" si="298"/>
        <v>8376.037839</v>
      </c>
      <c r="E464" s="64">
        <f t="shared" si="298"/>
        <v>8592.929838</v>
      </c>
      <c r="F464" s="64">
        <f t="shared" si="298"/>
        <v>8395.867505</v>
      </c>
      <c r="G464" s="64">
        <f t="shared" si="298"/>
        <v>8178.975506</v>
      </c>
      <c r="H464" s="64">
        <f t="shared" si="298"/>
        <v>7962.083507</v>
      </c>
      <c r="I464" s="64">
        <f t="shared" si="298"/>
        <v>8415.69717</v>
      </c>
      <c r="J464" s="64">
        <f t="shared" si="298"/>
        <v>8573.100172</v>
      </c>
      <c r="K464" s="64">
        <f t="shared" si="298"/>
        <v>8573.100172</v>
      </c>
      <c r="L464" s="64">
        <f t="shared" si="298"/>
        <v>8376.037839</v>
      </c>
      <c r="M464" s="64">
        <f t="shared" si="298"/>
        <v>8356.208173</v>
      </c>
      <c r="N464" s="64">
        <f t="shared" si="298"/>
        <v>12239.6374</v>
      </c>
      <c r="O464" s="84">
        <f t="shared" ref="O464:O469" si="300">SUM(C464:N464)</f>
        <v>106272.8338</v>
      </c>
    </row>
    <row r="465" ht="15.75" customHeight="1">
      <c r="A465" s="73" t="s">
        <v>398</v>
      </c>
      <c r="B465" s="118" t="s">
        <v>431</v>
      </c>
      <c r="C465" s="64">
        <f t="shared" ref="C465:N465" si="299">SUM(C454)</f>
        <v>13.74363786</v>
      </c>
      <c r="D465" s="64">
        <f t="shared" si="299"/>
        <v>12.21656699</v>
      </c>
      <c r="E465" s="64">
        <f t="shared" si="299"/>
        <v>12.98010242</v>
      </c>
      <c r="F465" s="64">
        <f t="shared" si="299"/>
        <v>12.21656699</v>
      </c>
      <c r="G465" s="64">
        <f t="shared" si="299"/>
        <v>11.45303155</v>
      </c>
      <c r="H465" s="64">
        <f t="shared" si="299"/>
        <v>10.68949611</v>
      </c>
      <c r="I465" s="64">
        <f t="shared" si="299"/>
        <v>12.21656699</v>
      </c>
      <c r="J465" s="64">
        <f t="shared" si="299"/>
        <v>12.98010242</v>
      </c>
      <c r="K465" s="64">
        <f t="shared" si="299"/>
        <v>12.98010242</v>
      </c>
      <c r="L465" s="64">
        <f t="shared" si="299"/>
        <v>12.21656699</v>
      </c>
      <c r="M465" s="64">
        <f t="shared" si="299"/>
        <v>12.21656699</v>
      </c>
      <c r="N465" s="64">
        <f t="shared" si="299"/>
        <v>16.79777961</v>
      </c>
      <c r="O465" s="84">
        <f t="shared" si="300"/>
        <v>152.7070873</v>
      </c>
    </row>
    <row r="466" ht="15.75" customHeight="1">
      <c r="A466" s="73" t="s">
        <v>402</v>
      </c>
      <c r="B466" s="118" t="s">
        <v>431</v>
      </c>
      <c r="C466" s="64">
        <f t="shared" ref="C466:N466" si="301">SUM(C455)</f>
        <v>12.38776327</v>
      </c>
      <c r="D466" s="64">
        <f t="shared" si="301"/>
        <v>11.01134513</v>
      </c>
      <c r="E466" s="64">
        <f t="shared" si="301"/>
        <v>11.6995542</v>
      </c>
      <c r="F466" s="64">
        <f t="shared" si="301"/>
        <v>11.01134513</v>
      </c>
      <c r="G466" s="64">
        <f t="shared" si="301"/>
        <v>10.32313606</v>
      </c>
      <c r="H466" s="64">
        <f t="shared" si="301"/>
        <v>9.634926991</v>
      </c>
      <c r="I466" s="64">
        <f t="shared" si="301"/>
        <v>11.01134513</v>
      </c>
      <c r="J466" s="64">
        <f t="shared" si="301"/>
        <v>11.6995542</v>
      </c>
      <c r="K466" s="64">
        <f t="shared" si="301"/>
        <v>11.6995542</v>
      </c>
      <c r="L466" s="64">
        <f t="shared" si="301"/>
        <v>11.01134513</v>
      </c>
      <c r="M466" s="64">
        <f t="shared" si="301"/>
        <v>11.01134513</v>
      </c>
      <c r="N466" s="64">
        <f t="shared" si="301"/>
        <v>15.14059956</v>
      </c>
      <c r="O466" s="84">
        <f t="shared" si="300"/>
        <v>137.6418142</v>
      </c>
    </row>
    <row r="467" ht="15.75" customHeight="1">
      <c r="A467" s="73" t="s">
        <v>407</v>
      </c>
      <c r="B467" s="118" t="s">
        <v>431</v>
      </c>
      <c r="C467" s="64">
        <f t="shared" ref="C467:N467" si="302">SUM(C456:C459)</f>
        <v>486.3172904</v>
      </c>
      <c r="D467" s="64">
        <f t="shared" si="302"/>
        <v>425.2241837</v>
      </c>
      <c r="E467" s="64">
        <f t="shared" si="302"/>
        <v>451.8006951</v>
      </c>
      <c r="F467" s="64">
        <f t="shared" si="302"/>
        <v>429.1942255</v>
      </c>
      <c r="G467" s="64">
        <f t="shared" si="302"/>
        <v>402.6177141</v>
      </c>
      <c r="H467" s="64">
        <f t="shared" si="302"/>
        <v>376.0412026</v>
      </c>
      <c r="I467" s="64">
        <f t="shared" si="302"/>
        <v>433.1642674</v>
      </c>
      <c r="J467" s="64">
        <f t="shared" si="302"/>
        <v>447.8306533</v>
      </c>
      <c r="K467" s="64">
        <f t="shared" si="302"/>
        <v>447.8306533</v>
      </c>
      <c r="L467" s="64">
        <f t="shared" si="302"/>
        <v>425.2241837</v>
      </c>
      <c r="M467" s="64">
        <f t="shared" si="302"/>
        <v>421.2541418</v>
      </c>
      <c r="N467" s="64">
        <f t="shared" si="302"/>
        <v>568.803085</v>
      </c>
      <c r="O467" s="84">
        <f t="shared" si="300"/>
        <v>5315.302296</v>
      </c>
    </row>
    <row r="468" ht="15.75" customHeight="1">
      <c r="A468" s="73" t="s">
        <v>418</v>
      </c>
      <c r="B468" s="118" t="s">
        <v>431</v>
      </c>
      <c r="C468" s="64">
        <f t="shared" ref="C468:N468" si="303">SUM(C460:C461)</f>
        <v>873.5530181</v>
      </c>
      <c r="D468" s="64">
        <f t="shared" si="303"/>
        <v>776.4915717</v>
      </c>
      <c r="E468" s="64">
        <f t="shared" si="303"/>
        <v>825.0222949</v>
      </c>
      <c r="F468" s="64">
        <f t="shared" si="303"/>
        <v>776.4915717</v>
      </c>
      <c r="G468" s="64">
        <f t="shared" si="303"/>
        <v>727.9608484</v>
      </c>
      <c r="H468" s="64">
        <f t="shared" si="303"/>
        <v>679.4301252</v>
      </c>
      <c r="I468" s="64">
        <f t="shared" si="303"/>
        <v>776.4915717</v>
      </c>
      <c r="J468" s="64">
        <f t="shared" si="303"/>
        <v>825.0222949</v>
      </c>
      <c r="K468" s="64">
        <f t="shared" si="303"/>
        <v>825.0222949</v>
      </c>
      <c r="L468" s="64">
        <f t="shared" si="303"/>
        <v>776.4915717</v>
      </c>
      <c r="M468" s="64">
        <f t="shared" si="303"/>
        <v>776.4915717</v>
      </c>
      <c r="N468" s="64">
        <f t="shared" si="303"/>
        <v>1067.675911</v>
      </c>
      <c r="O468" s="84">
        <f t="shared" si="300"/>
        <v>9706.144646</v>
      </c>
    </row>
    <row r="469" ht="15.75" customHeight="1">
      <c r="A469" s="73" t="s">
        <v>422</v>
      </c>
      <c r="B469" s="118" t="s">
        <v>431</v>
      </c>
      <c r="C469" s="64">
        <f t="shared" ref="C469:N469" si="304">SUM(C462)</f>
        <v>36.11556855</v>
      </c>
      <c r="D469" s="64">
        <f t="shared" si="304"/>
        <v>32.1027276</v>
      </c>
      <c r="E469" s="64">
        <f t="shared" si="304"/>
        <v>34.10914807</v>
      </c>
      <c r="F469" s="64">
        <f t="shared" si="304"/>
        <v>32.1027276</v>
      </c>
      <c r="G469" s="64">
        <f t="shared" si="304"/>
        <v>30.09630712</v>
      </c>
      <c r="H469" s="64">
        <f t="shared" si="304"/>
        <v>28.08988665</v>
      </c>
      <c r="I469" s="64">
        <f t="shared" si="304"/>
        <v>32.1027276</v>
      </c>
      <c r="J469" s="64">
        <f t="shared" si="304"/>
        <v>34.10914807</v>
      </c>
      <c r="K469" s="64">
        <f t="shared" si="304"/>
        <v>34.10914807</v>
      </c>
      <c r="L469" s="64">
        <f t="shared" si="304"/>
        <v>32.1027276</v>
      </c>
      <c r="M469" s="64">
        <f t="shared" si="304"/>
        <v>32.1027276</v>
      </c>
      <c r="N469" s="64">
        <f t="shared" si="304"/>
        <v>44.14125045</v>
      </c>
      <c r="O469" s="84">
        <f t="shared" si="300"/>
        <v>401.284095</v>
      </c>
    </row>
    <row r="470" ht="27.75" customHeight="1">
      <c r="A470" s="29" t="s">
        <v>446</v>
      </c>
      <c r="B470" s="29" t="s">
        <v>447</v>
      </c>
      <c r="C470" s="29" t="s">
        <v>109</v>
      </c>
      <c r="D470" s="29" t="s">
        <v>110</v>
      </c>
      <c r="E470" s="29" t="s">
        <v>111</v>
      </c>
      <c r="F470" s="29" t="s">
        <v>112</v>
      </c>
      <c r="G470" s="29" t="s">
        <v>113</v>
      </c>
      <c r="H470" s="29" t="s">
        <v>114</v>
      </c>
      <c r="I470" s="29" t="s">
        <v>115</v>
      </c>
      <c r="J470" s="29" t="s">
        <v>116</v>
      </c>
      <c r="K470" s="29" t="s">
        <v>117</v>
      </c>
      <c r="L470" s="29" t="s">
        <v>118</v>
      </c>
      <c r="M470" s="29" t="s">
        <v>119</v>
      </c>
      <c r="N470" s="29" t="s">
        <v>120</v>
      </c>
      <c r="O470" s="29" t="s">
        <v>448</v>
      </c>
      <c r="P470" s="29" t="s">
        <v>148</v>
      </c>
      <c r="Q470" s="29" t="s">
        <v>449</v>
      </c>
      <c r="R470" s="29" t="s">
        <v>209</v>
      </c>
      <c r="S470" s="29" t="s">
        <v>450</v>
      </c>
      <c r="T470" s="29" t="s">
        <v>451</v>
      </c>
      <c r="U470" s="29" t="s">
        <v>452</v>
      </c>
      <c r="V470" s="29" t="s">
        <v>453</v>
      </c>
      <c r="W470" s="29" t="s">
        <v>454</v>
      </c>
      <c r="X470" s="29" t="s">
        <v>418</v>
      </c>
      <c r="Y470" s="29" t="s">
        <v>455</v>
      </c>
      <c r="Z470" s="29" t="s">
        <v>456</v>
      </c>
      <c r="AA470" s="160"/>
    </row>
    <row r="471" ht="15.75" customHeight="1">
      <c r="A471" s="73" t="s">
        <v>457</v>
      </c>
      <c r="B471" s="118" t="s">
        <v>458</v>
      </c>
      <c r="C471" s="63">
        <f t="shared" ref="C471:N471" si="305">($T471*C$464+$U471*C$465+$V471*C$466+$W471*C$467+$X471*C$468+$Y471*C$469)/$B$2</f>
        <v>77.70183997</v>
      </c>
      <c r="D471" s="63">
        <f t="shared" si="305"/>
        <v>64.22056156</v>
      </c>
      <c r="E471" s="63">
        <f t="shared" si="305"/>
        <v>66.19027755</v>
      </c>
      <c r="F471" s="63">
        <f t="shared" si="305"/>
        <v>64.37922628</v>
      </c>
      <c r="G471" s="63">
        <f t="shared" si="305"/>
        <v>62.40951029</v>
      </c>
      <c r="H471" s="63">
        <f t="shared" si="305"/>
        <v>60.43979429</v>
      </c>
      <c r="I471" s="63">
        <f t="shared" si="305"/>
        <v>64.537891</v>
      </c>
      <c r="J471" s="63">
        <f t="shared" si="305"/>
        <v>66.03161283</v>
      </c>
      <c r="K471" s="63">
        <f t="shared" si="305"/>
        <v>66.03161283</v>
      </c>
      <c r="L471" s="63">
        <f t="shared" si="305"/>
        <v>64.22056156</v>
      </c>
      <c r="M471" s="63">
        <f t="shared" si="305"/>
        <v>64.06189684</v>
      </c>
      <c r="N471" s="63">
        <f t="shared" si="305"/>
        <v>93.01464016</v>
      </c>
      <c r="O471" s="44">
        <f t="shared" ref="O471:O497" si="307">MAX(C471:N471)</f>
        <v>93.01464016</v>
      </c>
      <c r="P471" s="63">
        <f>'Parametros Recargas'!$M$85</f>
        <v>72</v>
      </c>
      <c r="Q471" s="36">
        <f>MAX(Q416,ROUNDUP(O471/(P471*'Parametros Recargas'!J$8*'Parametros Recargas'!$B$19),0))</f>
        <v>1</v>
      </c>
      <c r="R471" s="46">
        <f>IF(AND('Parametros Recargas'!J$8=2,O471/(P471*Q471*'Parametros Recargas'!$B$19)&gt;1),2,1)</f>
        <v>2</v>
      </c>
      <c r="S471" s="34">
        <f t="shared" ref="S471:S496" si="308">O471/(P471*Q471*R471)</f>
        <v>0.6459350011</v>
      </c>
      <c r="T471" s="161">
        <f>'Parametros Recargas'!D54</f>
        <v>1</v>
      </c>
      <c r="U471" s="161">
        <f>'Parametros Recargas'!E54</f>
        <v>1</v>
      </c>
      <c r="V471" s="161">
        <f>'Parametros Recargas'!F54</f>
        <v>1</v>
      </c>
      <c r="W471" s="161">
        <f>'Parametros Recargas'!G54</f>
        <v>1</v>
      </c>
      <c r="X471" s="161">
        <f>'Parametros Recargas'!H54</f>
        <v>1</v>
      </c>
      <c r="Y471" s="161">
        <f>'Parametros Recargas'!I54</f>
        <v>1</v>
      </c>
      <c r="Z471" s="162">
        <f>'Parametros Recargas'!$U$85/P471</f>
        <v>0.01388888889</v>
      </c>
    </row>
    <row r="472" ht="15.75" customHeight="1">
      <c r="A472" s="73" t="s">
        <v>459</v>
      </c>
      <c r="B472" s="118" t="s">
        <v>458</v>
      </c>
      <c r="C472" s="63">
        <f t="shared" ref="C472:N472" si="306">($T472*C$464+$U472*C$465+$V472*C$466+$W472*C$467+$X472*C$468+$Y472*C$469)/$B$2</f>
        <v>77.70183997</v>
      </c>
      <c r="D472" s="63">
        <f t="shared" si="306"/>
        <v>64.22056156</v>
      </c>
      <c r="E472" s="63">
        <f t="shared" si="306"/>
        <v>66.19027755</v>
      </c>
      <c r="F472" s="63">
        <f t="shared" si="306"/>
        <v>64.37922628</v>
      </c>
      <c r="G472" s="63">
        <f t="shared" si="306"/>
        <v>62.40951029</v>
      </c>
      <c r="H472" s="63">
        <f t="shared" si="306"/>
        <v>60.43979429</v>
      </c>
      <c r="I472" s="63">
        <f t="shared" si="306"/>
        <v>64.537891</v>
      </c>
      <c r="J472" s="63">
        <f t="shared" si="306"/>
        <v>66.03161283</v>
      </c>
      <c r="K472" s="63">
        <f t="shared" si="306"/>
        <v>66.03161283</v>
      </c>
      <c r="L472" s="63">
        <f t="shared" si="306"/>
        <v>64.22056156</v>
      </c>
      <c r="M472" s="63">
        <f t="shared" si="306"/>
        <v>64.06189684</v>
      </c>
      <c r="N472" s="63">
        <f t="shared" si="306"/>
        <v>93.01464016</v>
      </c>
      <c r="O472" s="44">
        <f t="shared" si="307"/>
        <v>93.01464016</v>
      </c>
      <c r="P472" s="63">
        <f>'Parametros Recargas'!$M$86</f>
        <v>52.36363636</v>
      </c>
      <c r="Q472" s="36">
        <f>MAX(Q417,ROUNDUP(O472/(P472*'Parametros Recargas'!J$8*'Parametros Recargas'!$B$19),0))</f>
        <v>2</v>
      </c>
      <c r="R472" s="46">
        <f>IF(AND('Parametros Recargas'!J$8=2,O472/(P472*Q472*'Parametros Recargas'!$B$19)&gt;1),2,1)</f>
        <v>1</v>
      </c>
      <c r="S472" s="34">
        <f t="shared" si="308"/>
        <v>0.8881606266</v>
      </c>
      <c r="T472" s="161">
        <f>'Parametros Recargas'!D55</f>
        <v>1</v>
      </c>
      <c r="U472" s="161">
        <f>'Parametros Recargas'!E55</f>
        <v>1</v>
      </c>
      <c r="V472" s="161">
        <f>'Parametros Recargas'!F55</f>
        <v>1</v>
      </c>
      <c r="W472" s="161">
        <f>'Parametros Recargas'!G55</f>
        <v>1</v>
      </c>
      <c r="X472" s="161">
        <f>'Parametros Recargas'!H55</f>
        <v>1</v>
      </c>
      <c r="Y472" s="161">
        <f>'Parametros Recargas'!I55</f>
        <v>1</v>
      </c>
      <c r="Z472" s="162">
        <f>'Parametros Recargas'!$U$86/P472</f>
        <v>0.01909722222</v>
      </c>
    </row>
    <row r="473" ht="15.75" customHeight="1">
      <c r="A473" s="30" t="s">
        <v>460</v>
      </c>
      <c r="B473" s="118" t="s">
        <v>458</v>
      </c>
      <c r="C473" s="63">
        <f t="shared" ref="C473:N473" si="309">($T473*C$464+$U473*C$465+$V473*C$466+$W473*C$467+$X473*C$468+$Y473*C$469)/$B$2</f>
        <v>68.22105812</v>
      </c>
      <c r="D473" s="63">
        <f t="shared" si="309"/>
        <v>55.84025226</v>
      </c>
      <c r="E473" s="63">
        <f t="shared" si="309"/>
        <v>57.28619892</v>
      </c>
      <c r="F473" s="63">
        <f t="shared" si="309"/>
        <v>55.97245003</v>
      </c>
      <c r="G473" s="63">
        <f t="shared" si="309"/>
        <v>54.52650337</v>
      </c>
      <c r="H473" s="63">
        <f t="shared" si="309"/>
        <v>53.08055671</v>
      </c>
      <c r="I473" s="63">
        <f t="shared" si="309"/>
        <v>56.1046478</v>
      </c>
      <c r="J473" s="63">
        <f t="shared" si="309"/>
        <v>57.15400115</v>
      </c>
      <c r="K473" s="63">
        <f t="shared" si="309"/>
        <v>57.15400115</v>
      </c>
      <c r="L473" s="63">
        <f t="shared" si="309"/>
        <v>55.84025226</v>
      </c>
      <c r="M473" s="63">
        <f t="shared" si="309"/>
        <v>55.70805449</v>
      </c>
      <c r="N473" s="63">
        <f t="shared" si="309"/>
        <v>81.59758266</v>
      </c>
      <c r="O473" s="44">
        <f t="shared" si="307"/>
        <v>81.59758266</v>
      </c>
      <c r="P473" s="63">
        <f>'Parametros Recargas'!$M$87</f>
        <v>29.14285714</v>
      </c>
      <c r="Q473" s="36">
        <f>MAX(Q418,ROUNDUP(O473/(P473*'Parametros Recargas'!J$8*'Parametros Recargas'!$B$19),0))</f>
        <v>3</v>
      </c>
      <c r="R473" s="46">
        <f>IF(AND('Parametros Recargas'!J$8=2,O473/(P473*Q473*'Parametros Recargas'!$B$19)&gt;1),2,1)</f>
        <v>2</v>
      </c>
      <c r="S473" s="34">
        <f t="shared" si="308"/>
        <v>0.466652842</v>
      </c>
      <c r="T473" s="161">
        <f>'Parametros Recargas'!D56</f>
        <v>1</v>
      </c>
      <c r="U473" s="161">
        <f>'Parametros Recargas'!E56</f>
        <v>0</v>
      </c>
      <c r="V473" s="161">
        <f>'Parametros Recargas'!F56</f>
        <v>0</v>
      </c>
      <c r="W473" s="161">
        <f>'Parametros Recargas'!G56</f>
        <v>0</v>
      </c>
      <c r="X473" s="161">
        <f>'Parametros Recargas'!H56</f>
        <v>0</v>
      </c>
      <c r="Y473" s="161">
        <f>'Parametros Recargas'!I56</f>
        <v>0</v>
      </c>
      <c r="Z473" s="162">
        <f>'Parametros Recargas'!$U$87/P473</f>
        <v>0.01715686275</v>
      </c>
    </row>
    <row r="474" ht="15.75" customHeight="1">
      <c r="A474" s="30" t="s">
        <v>461</v>
      </c>
      <c r="B474" s="118" t="s">
        <v>458</v>
      </c>
      <c r="C474" s="63">
        <f t="shared" ref="C474:N474" si="310">($T474*C$464+$U474*C$465+$V474*C$466+$W474*C$467+$X474*C$468+$Y474*C$469)/$B$2</f>
        <v>0.09162425241</v>
      </c>
      <c r="D474" s="63">
        <f t="shared" si="310"/>
        <v>0.08144377992</v>
      </c>
      <c r="E474" s="63">
        <f t="shared" si="310"/>
        <v>0.08653401616</v>
      </c>
      <c r="F474" s="63">
        <f t="shared" si="310"/>
        <v>0.08144377992</v>
      </c>
      <c r="G474" s="63">
        <f t="shared" si="310"/>
        <v>0.07635354367</v>
      </c>
      <c r="H474" s="63">
        <f t="shared" si="310"/>
        <v>0.07126330743</v>
      </c>
      <c r="I474" s="63">
        <f t="shared" si="310"/>
        <v>0.08144377992</v>
      </c>
      <c r="J474" s="63">
        <f t="shared" si="310"/>
        <v>0.08653401616</v>
      </c>
      <c r="K474" s="63">
        <f t="shared" si="310"/>
        <v>0.08653401616</v>
      </c>
      <c r="L474" s="63">
        <f t="shared" si="310"/>
        <v>0.08144377992</v>
      </c>
      <c r="M474" s="63">
        <f t="shared" si="310"/>
        <v>0.08144377992</v>
      </c>
      <c r="N474" s="63">
        <f t="shared" si="310"/>
        <v>0.1119851974</v>
      </c>
      <c r="O474" s="44">
        <f t="shared" si="307"/>
        <v>0.1119851974</v>
      </c>
      <c r="P474" s="63">
        <f>'Parametros Recargas'!$M$88</f>
        <v>29.14285714</v>
      </c>
      <c r="Q474" s="36">
        <f>MAX(Q419,ROUNDUP(O474/(P474*'Parametros Recargas'!J$8*'Parametros Recargas'!$B$19),0))</f>
        <v>1</v>
      </c>
      <c r="R474" s="46">
        <f>IF(AND('Parametros Recargas'!J$8=2,O474/(P474*Q474*'Parametros Recargas'!$B$19)&gt;1),2,1)</f>
        <v>1</v>
      </c>
      <c r="S474" s="34">
        <f t="shared" si="308"/>
        <v>0.003842629322</v>
      </c>
      <c r="T474" s="161">
        <f>'Parametros Recargas'!D57</f>
        <v>0</v>
      </c>
      <c r="U474" s="161">
        <f>'Parametros Recargas'!E57</f>
        <v>1</v>
      </c>
      <c r="V474" s="161">
        <f>'Parametros Recargas'!F57</f>
        <v>0</v>
      </c>
      <c r="W474" s="161">
        <f>'Parametros Recargas'!G57</f>
        <v>0</v>
      </c>
      <c r="X474" s="161">
        <f>'Parametros Recargas'!H57</f>
        <v>0</v>
      </c>
      <c r="Y474" s="161">
        <f>'Parametros Recargas'!I57</f>
        <v>0</v>
      </c>
      <c r="Z474" s="162">
        <f>'Parametros Recargas'!$U$88/P474</f>
        <v>0.03431372549</v>
      </c>
    </row>
    <row r="475" ht="15.75" customHeight="1">
      <c r="A475" s="30" t="s">
        <v>463</v>
      </c>
      <c r="B475" s="118" t="s">
        <v>458</v>
      </c>
      <c r="C475" s="63">
        <f t="shared" ref="C475:N475" si="311">($T475*C$464+$U475*C$465+$V475*C$466+$W475*C$467+$X475*C$468+$Y475*C$469)/$B$2</f>
        <v>0.08258508849</v>
      </c>
      <c r="D475" s="63">
        <f t="shared" si="311"/>
        <v>0.07340896755</v>
      </c>
      <c r="E475" s="63">
        <f t="shared" si="311"/>
        <v>0.07799702802</v>
      </c>
      <c r="F475" s="63">
        <f t="shared" si="311"/>
        <v>0.07340896755</v>
      </c>
      <c r="G475" s="63">
        <f t="shared" si="311"/>
        <v>0.06882090708</v>
      </c>
      <c r="H475" s="63">
        <f t="shared" si="311"/>
        <v>0.0642328466</v>
      </c>
      <c r="I475" s="63">
        <f t="shared" si="311"/>
        <v>0.07340896755</v>
      </c>
      <c r="J475" s="63">
        <f t="shared" si="311"/>
        <v>0.07799702802</v>
      </c>
      <c r="K475" s="63">
        <f t="shared" si="311"/>
        <v>0.07799702802</v>
      </c>
      <c r="L475" s="63">
        <f t="shared" si="311"/>
        <v>0.07340896755</v>
      </c>
      <c r="M475" s="63">
        <f t="shared" si="311"/>
        <v>0.07340896755</v>
      </c>
      <c r="N475" s="63">
        <f t="shared" si="311"/>
        <v>0.1009373304</v>
      </c>
      <c r="O475" s="44">
        <f t="shared" si="307"/>
        <v>0.1009373304</v>
      </c>
      <c r="P475" s="63">
        <f>'Parametros Recargas'!$M$89</f>
        <v>13.5</v>
      </c>
      <c r="Q475" s="36">
        <f>MAX(Q420,ROUNDUP(O475/(P475*'Parametros Recargas'!J$8*'Parametros Recargas'!$B$19),0))</f>
        <v>1</v>
      </c>
      <c r="R475" s="46">
        <f>IF(AND('Parametros Recargas'!J$8=2,O475/(P475*Q475*'Parametros Recargas'!$B$19)&gt;1),2,1)</f>
        <v>1</v>
      </c>
      <c r="S475" s="34">
        <f t="shared" si="308"/>
        <v>0.007476839287</v>
      </c>
      <c r="T475" s="161">
        <f>'Parametros Recargas'!D58</f>
        <v>0</v>
      </c>
      <c r="U475" s="161">
        <f>'Parametros Recargas'!E58</f>
        <v>0</v>
      </c>
      <c r="V475" s="161">
        <f>'Parametros Recargas'!F58</f>
        <v>1</v>
      </c>
      <c r="W475" s="161">
        <f>'Parametros Recargas'!G58</f>
        <v>0</v>
      </c>
      <c r="X475" s="161">
        <f>'Parametros Recargas'!H58</f>
        <v>0</v>
      </c>
      <c r="Y475" s="161">
        <f>'Parametros Recargas'!I58</f>
        <v>0</v>
      </c>
      <c r="Z475" s="162">
        <f>'Parametros Recargas'!$U$89/P475</f>
        <v>0.07407407407</v>
      </c>
    </row>
    <row r="476" ht="15.75" customHeight="1">
      <c r="A476" s="30" t="s">
        <v>464</v>
      </c>
      <c r="B476" s="118" t="s">
        <v>458</v>
      </c>
      <c r="C476" s="63">
        <f t="shared" ref="C476:N476" si="312">($T476*C$464+$U476*C$465+$V476*C$466+$W476*C$467+$X476*C$468+$Y476*C$469)/$B$2</f>
        <v>3.242115269</v>
      </c>
      <c r="D476" s="63">
        <f t="shared" si="312"/>
        <v>2.834827891</v>
      </c>
      <c r="E476" s="63">
        <f t="shared" si="312"/>
        <v>3.012004634</v>
      </c>
      <c r="F476" s="63">
        <f t="shared" si="312"/>
        <v>2.861294837</v>
      </c>
      <c r="G476" s="63">
        <f t="shared" si="312"/>
        <v>2.684118094</v>
      </c>
      <c r="H476" s="63">
        <f t="shared" si="312"/>
        <v>2.506941351</v>
      </c>
      <c r="I476" s="63">
        <f t="shared" si="312"/>
        <v>2.887761783</v>
      </c>
      <c r="J476" s="63">
        <f t="shared" si="312"/>
        <v>2.985537688</v>
      </c>
      <c r="K476" s="63">
        <f t="shared" si="312"/>
        <v>2.985537688</v>
      </c>
      <c r="L476" s="63">
        <f t="shared" si="312"/>
        <v>2.834827891</v>
      </c>
      <c r="M476" s="63">
        <f t="shared" si="312"/>
        <v>2.808360945</v>
      </c>
      <c r="N476" s="63">
        <f t="shared" si="312"/>
        <v>3.792020567</v>
      </c>
      <c r="O476" s="44">
        <f t="shared" si="307"/>
        <v>3.792020567</v>
      </c>
      <c r="P476" s="63">
        <f>'Parametros Recargas'!$M$90</f>
        <v>22.66666667</v>
      </c>
      <c r="Q476" s="36">
        <f>MAX(Q421,ROUNDUP(O476/(P476*'Parametros Recargas'!J$8*'Parametros Recargas'!$B$19),0))</f>
        <v>1</v>
      </c>
      <c r="R476" s="46">
        <f>IF(AND('Parametros Recargas'!J$8=2,O476/(P476*Q476*'Parametros Recargas'!$B$19)&gt;1),2,1)</f>
        <v>1</v>
      </c>
      <c r="S476" s="34">
        <f t="shared" si="308"/>
        <v>0.167295025</v>
      </c>
      <c r="T476" s="161">
        <f>'Parametros Recargas'!D59</f>
        <v>0</v>
      </c>
      <c r="U476" s="161">
        <f>'Parametros Recargas'!E59</f>
        <v>0</v>
      </c>
      <c r="V476" s="161">
        <f>'Parametros Recargas'!F59</f>
        <v>0</v>
      </c>
      <c r="W476" s="161">
        <f>'Parametros Recargas'!G59</f>
        <v>1</v>
      </c>
      <c r="X476" s="161">
        <f>'Parametros Recargas'!H59</f>
        <v>0</v>
      </c>
      <c r="Y476" s="161">
        <f>'Parametros Recargas'!I59</f>
        <v>0</v>
      </c>
      <c r="Z476" s="162">
        <f>'Parametros Recargas'!$U$90/P476</f>
        <v>0.04411764706</v>
      </c>
    </row>
    <row r="477" ht="15.75" customHeight="1">
      <c r="A477" s="30" t="s">
        <v>465</v>
      </c>
      <c r="B477" s="118" t="s">
        <v>458</v>
      </c>
      <c r="C477" s="63">
        <f t="shared" ref="C477:N477" si="313">($T477*C$464+$U477*C$465+$V477*C$466+$W477*C$467+$X477*C$468+$Y477*C$469)/$B$2</f>
        <v>1.455921697</v>
      </c>
      <c r="D477" s="63">
        <f t="shared" si="313"/>
        <v>1.294152619</v>
      </c>
      <c r="E477" s="63">
        <f t="shared" si="313"/>
        <v>1.375037158</v>
      </c>
      <c r="F477" s="63">
        <f t="shared" si="313"/>
        <v>1.294152619</v>
      </c>
      <c r="G477" s="63">
        <f t="shared" si="313"/>
        <v>1.213268081</v>
      </c>
      <c r="H477" s="63">
        <f t="shared" si="313"/>
        <v>1.132383542</v>
      </c>
      <c r="I477" s="63">
        <f t="shared" si="313"/>
        <v>1.294152619</v>
      </c>
      <c r="J477" s="63">
        <f t="shared" si="313"/>
        <v>1.375037158</v>
      </c>
      <c r="K477" s="63">
        <f t="shared" si="313"/>
        <v>1.375037158</v>
      </c>
      <c r="L477" s="63">
        <f t="shared" si="313"/>
        <v>1.294152619</v>
      </c>
      <c r="M477" s="63">
        <f t="shared" si="313"/>
        <v>1.294152619</v>
      </c>
      <c r="N477" s="63">
        <f t="shared" si="313"/>
        <v>1.779459852</v>
      </c>
      <c r="O477" s="44">
        <f t="shared" si="307"/>
        <v>1.779459852</v>
      </c>
      <c r="P477" s="63">
        <f>'Parametros Recargas'!$M$91</f>
        <v>29.14285714</v>
      </c>
      <c r="Q477" s="36">
        <f>MAX(Q422,ROUNDUP(O477/(P477*'Parametros Recargas'!J$8*'Parametros Recargas'!$B$19),0))</f>
        <v>1</v>
      </c>
      <c r="R477" s="46">
        <f>IF(AND('Parametros Recargas'!J$8=2,O477/(P477*Q477*'Parametros Recargas'!$B$19)&gt;1),2,1)</f>
        <v>1</v>
      </c>
      <c r="S477" s="34">
        <f t="shared" si="308"/>
        <v>0.06105989687</v>
      </c>
      <c r="T477" s="161">
        <f>'Parametros Recargas'!D60</f>
        <v>0</v>
      </c>
      <c r="U477" s="161">
        <f>'Parametros Recargas'!E60</f>
        <v>0</v>
      </c>
      <c r="V477" s="161">
        <f>'Parametros Recargas'!F60</f>
        <v>0</v>
      </c>
      <c r="W477" s="161">
        <f>'Parametros Recargas'!G60</f>
        <v>0</v>
      </c>
      <c r="X477" s="161">
        <f>'Parametros Recargas'!H60</f>
        <v>0.25</v>
      </c>
      <c r="Y477" s="161">
        <f>'Parametros Recargas'!I60</f>
        <v>0</v>
      </c>
      <c r="Z477" s="162">
        <f>'Parametros Recargas'!$U$91/P477</f>
        <v>0.03431372549</v>
      </c>
    </row>
    <row r="478" ht="15.75" customHeight="1">
      <c r="A478" s="30" t="s">
        <v>466</v>
      </c>
      <c r="B478" s="118" t="s">
        <v>458</v>
      </c>
      <c r="C478" s="63">
        <f t="shared" ref="C478:N478" si="314">($T478*C$464+$U478*C$465+$V478*C$466+$W478*C$467+$X478*C$468+$Y478*C$469)/$B$2</f>
        <v>0.06019261425</v>
      </c>
      <c r="D478" s="63">
        <f t="shared" si="314"/>
        <v>0.053504546</v>
      </c>
      <c r="E478" s="63">
        <f t="shared" si="314"/>
        <v>0.05684858012</v>
      </c>
      <c r="F478" s="63">
        <f t="shared" si="314"/>
        <v>0.053504546</v>
      </c>
      <c r="G478" s="63">
        <f t="shared" si="314"/>
        <v>0.05016051187</v>
      </c>
      <c r="H478" s="63">
        <f t="shared" si="314"/>
        <v>0.04681647775</v>
      </c>
      <c r="I478" s="63">
        <f t="shared" si="314"/>
        <v>0.053504546</v>
      </c>
      <c r="J478" s="63">
        <f t="shared" si="314"/>
        <v>0.05684858012</v>
      </c>
      <c r="K478" s="63">
        <f t="shared" si="314"/>
        <v>0.05684858012</v>
      </c>
      <c r="L478" s="63">
        <f t="shared" si="314"/>
        <v>0.053504546</v>
      </c>
      <c r="M478" s="63">
        <f t="shared" si="314"/>
        <v>0.053504546</v>
      </c>
      <c r="N478" s="63">
        <f t="shared" si="314"/>
        <v>0.07356875075</v>
      </c>
      <c r="O478" s="44">
        <f t="shared" si="307"/>
        <v>0.07356875075</v>
      </c>
      <c r="P478" s="63">
        <f>'Parametros Recargas'!$M$92</f>
        <v>18.54545455</v>
      </c>
      <c r="Q478" s="36">
        <f>MAX(Q423,ROUNDUP(O478/(P478*'Parametros Recargas'!J$8*'Parametros Recargas'!$B$19),0))</f>
        <v>1</v>
      </c>
      <c r="R478" s="46">
        <f>IF(AND('Parametros Recargas'!J$8=2,O478/(P478*Q478*'Parametros Recargas'!$B$19)&gt;1),2,1)</f>
        <v>1</v>
      </c>
      <c r="S478" s="34">
        <f t="shared" si="308"/>
        <v>0.003966942442</v>
      </c>
      <c r="T478" s="161">
        <f>'Parametros Recargas'!D61</f>
        <v>0</v>
      </c>
      <c r="U478" s="161">
        <f>'Parametros Recargas'!E61</f>
        <v>0</v>
      </c>
      <c r="V478" s="161">
        <f>'Parametros Recargas'!F61</f>
        <v>0</v>
      </c>
      <c r="W478" s="161">
        <f>'Parametros Recargas'!G61</f>
        <v>0</v>
      </c>
      <c r="X478" s="161">
        <f>'Parametros Recargas'!H61</f>
        <v>0</v>
      </c>
      <c r="Y478" s="161">
        <f>'Parametros Recargas'!I61</f>
        <v>0.25</v>
      </c>
      <c r="Z478" s="162">
        <f>'Parametros Recargas'!$U$92/P478</f>
        <v>0.05392156863</v>
      </c>
    </row>
    <row r="479" ht="15.75" customHeight="1">
      <c r="A479" s="73" t="s">
        <v>467</v>
      </c>
      <c r="B479" s="118" t="s">
        <v>458</v>
      </c>
      <c r="C479" s="63">
        <f t="shared" ref="C479:N479" si="315">($T479*C$464+$U479*C$465+$V479*C$466+$W479*C$467+$X479*C$468+$Y479*C$469)/$B$2</f>
        <v>73.75994276</v>
      </c>
      <c r="D479" s="63">
        <f t="shared" si="315"/>
        <v>60.71665293</v>
      </c>
      <c r="E479" s="63">
        <f t="shared" si="315"/>
        <v>62.46737463</v>
      </c>
      <c r="F479" s="63">
        <f t="shared" si="315"/>
        <v>60.87531765</v>
      </c>
      <c r="G479" s="63">
        <f t="shared" si="315"/>
        <v>59.12459595</v>
      </c>
      <c r="H479" s="63">
        <f t="shared" si="315"/>
        <v>57.37387424</v>
      </c>
      <c r="I479" s="63">
        <f t="shared" si="315"/>
        <v>61.03398236</v>
      </c>
      <c r="J479" s="63">
        <f t="shared" si="315"/>
        <v>62.30870991</v>
      </c>
      <c r="K479" s="63">
        <f t="shared" si="315"/>
        <v>62.30870991</v>
      </c>
      <c r="L479" s="63">
        <f t="shared" si="315"/>
        <v>60.71665293</v>
      </c>
      <c r="M479" s="63">
        <f t="shared" si="315"/>
        <v>60.55798821</v>
      </c>
      <c r="N479" s="63">
        <f t="shared" si="315"/>
        <v>88.1967658</v>
      </c>
      <c r="O479" s="44">
        <f t="shared" si="307"/>
        <v>88.1967658</v>
      </c>
      <c r="P479" s="63">
        <f>'Parametros Recargas'!$M$93</f>
        <v>32</v>
      </c>
      <c r="Q479" s="36">
        <f>MAX(Q424,ROUNDUP(O479/(P479*'Parametros Recargas'!J$8*'Parametros Recargas'!$B$19),0))</f>
        <v>3</v>
      </c>
      <c r="R479" s="46">
        <f>IF(AND('Parametros Recargas'!J$8=2,O479/(P479*Q479*'Parametros Recargas'!$B$19)&gt;1),2,1)</f>
        <v>2</v>
      </c>
      <c r="S479" s="34">
        <f t="shared" si="308"/>
        <v>0.4593581552</v>
      </c>
      <c r="T479" s="161">
        <f>'Parametros Recargas'!D62</f>
        <v>1</v>
      </c>
      <c r="U479" s="161">
        <f>'Parametros Recargas'!E62</f>
        <v>1</v>
      </c>
      <c r="V479" s="161">
        <f>'Parametros Recargas'!F62</f>
        <v>1</v>
      </c>
      <c r="W479" s="161">
        <f>'Parametros Recargas'!G62</f>
        <v>1</v>
      </c>
      <c r="X479" s="161">
        <f>'Parametros Recargas'!H62</f>
        <v>0.35</v>
      </c>
      <c r="Y479" s="161">
        <f>'Parametros Recargas'!I62</f>
        <v>0.35</v>
      </c>
      <c r="Z479" s="162">
        <f>'Parametros Recargas'!$U$93/P479</f>
        <v>0.03125</v>
      </c>
    </row>
    <row r="480" ht="15.75" customHeight="1">
      <c r="A480" s="30" t="s">
        <v>469</v>
      </c>
      <c r="B480" s="118" t="s">
        <v>458</v>
      </c>
      <c r="C480" s="63">
        <f t="shared" ref="C480:N480" si="316">($T480*C$464+$U480*C$465+$V480*C$466+$W480*C$467+$X480*C$468+$Y480*C$469)/$B$2</f>
        <v>6.831268237</v>
      </c>
      <c r="D480" s="63">
        <f t="shared" si="316"/>
        <v>5.592169604</v>
      </c>
      <c r="E480" s="63">
        <f t="shared" si="316"/>
        <v>5.737273293</v>
      </c>
      <c r="F480" s="63">
        <f t="shared" si="316"/>
        <v>5.605389381</v>
      </c>
      <c r="G480" s="63">
        <f t="shared" si="316"/>
        <v>5.460285691</v>
      </c>
      <c r="H480" s="63">
        <f t="shared" si="316"/>
        <v>5.315182002</v>
      </c>
      <c r="I480" s="63">
        <f t="shared" si="316"/>
        <v>5.618609158</v>
      </c>
      <c r="J480" s="63">
        <f t="shared" si="316"/>
        <v>5.724053516</v>
      </c>
      <c r="K480" s="63">
        <f t="shared" si="316"/>
        <v>5.724053516</v>
      </c>
      <c r="L480" s="63">
        <f t="shared" si="316"/>
        <v>5.592169604</v>
      </c>
      <c r="M480" s="63">
        <f t="shared" si="316"/>
        <v>5.578949827</v>
      </c>
      <c r="N480" s="63">
        <f t="shared" si="316"/>
        <v>8.170956786</v>
      </c>
      <c r="O480" s="44">
        <f t="shared" si="307"/>
        <v>8.170956786</v>
      </c>
      <c r="P480" s="63">
        <f>'Parametros Recargas'!$M$94</f>
        <v>6.375</v>
      </c>
      <c r="Q480" s="36">
        <f>MAX(Q425,ROUNDUP(O480/(P480*'Parametros Recargas'!J$8*'Parametros Recargas'!$B$19),0))</f>
        <v>1</v>
      </c>
      <c r="R480" s="46">
        <f>IF(AND('Parametros Recargas'!J$8=2,O480/(P480*Q480*'Parametros Recargas'!$B$19)&gt;1),2,1)</f>
        <v>2</v>
      </c>
      <c r="S480" s="34">
        <f t="shared" si="308"/>
        <v>0.6408593557</v>
      </c>
      <c r="T480" s="161">
        <f>'Parametros Recargas'!D63</f>
        <v>0.1</v>
      </c>
      <c r="U480" s="161">
        <f>'Parametros Recargas'!E63</f>
        <v>0.1</v>
      </c>
      <c r="V480" s="161">
        <f>'Parametros Recargas'!F63</f>
        <v>0</v>
      </c>
      <c r="W480" s="161">
        <f>'Parametros Recargas'!G63</f>
        <v>0</v>
      </c>
      <c r="X480" s="161">
        <f>'Parametros Recargas'!H63</f>
        <v>0</v>
      </c>
      <c r="Y480" s="161">
        <f>'Parametros Recargas'!I63</f>
        <v>0</v>
      </c>
      <c r="Z480" s="162">
        <f>'Parametros Recargas'!$U$94/P480</f>
        <v>0.07843137255</v>
      </c>
    </row>
    <row r="481" ht="15.75" customHeight="1">
      <c r="A481" s="30" t="s">
        <v>470</v>
      </c>
      <c r="B481" s="118" t="s">
        <v>458</v>
      </c>
      <c r="C481" s="63">
        <f t="shared" ref="C481:N481" si="317">($T481*C$464+$U481*C$465+$V481*C$466+$W481*C$467+$X481*C$468+$Y481*C$469)/$B$2</f>
        <v>3.242115269</v>
      </c>
      <c r="D481" s="63">
        <f t="shared" si="317"/>
        <v>2.834827891</v>
      </c>
      <c r="E481" s="63">
        <f t="shared" si="317"/>
        <v>3.012004634</v>
      </c>
      <c r="F481" s="63">
        <f t="shared" si="317"/>
        <v>2.861294837</v>
      </c>
      <c r="G481" s="63">
        <f t="shared" si="317"/>
        <v>2.684118094</v>
      </c>
      <c r="H481" s="63">
        <f t="shared" si="317"/>
        <v>2.506941351</v>
      </c>
      <c r="I481" s="63">
        <f t="shared" si="317"/>
        <v>2.887761783</v>
      </c>
      <c r="J481" s="63">
        <f t="shared" si="317"/>
        <v>2.985537688</v>
      </c>
      <c r="K481" s="63">
        <f t="shared" si="317"/>
        <v>2.985537688</v>
      </c>
      <c r="L481" s="63">
        <f t="shared" si="317"/>
        <v>2.834827891</v>
      </c>
      <c r="M481" s="63">
        <f t="shared" si="317"/>
        <v>2.808360945</v>
      </c>
      <c r="N481" s="63">
        <f t="shared" si="317"/>
        <v>3.792020567</v>
      </c>
      <c r="O481" s="44">
        <f t="shared" si="307"/>
        <v>3.792020567</v>
      </c>
      <c r="P481" s="63">
        <f>'Parametros Recargas'!$M$95</f>
        <v>28.8</v>
      </c>
      <c r="Q481" s="36">
        <f>MAX(Q426,ROUNDUP(O481/(P481*'Parametros Recargas'!J$8*'Parametros Recargas'!$B$19),0))</f>
        <v>1</v>
      </c>
      <c r="R481" s="46">
        <f>IF(AND('Parametros Recargas'!J$8=2,O481/(P481*Q481*'Parametros Recargas'!$B$19)&gt;1),2,1)</f>
        <v>1</v>
      </c>
      <c r="S481" s="34">
        <f t="shared" si="308"/>
        <v>0.1316673808</v>
      </c>
      <c r="T481" s="161">
        <f>'Parametros Recargas'!D64</f>
        <v>0</v>
      </c>
      <c r="U481" s="161">
        <f>'Parametros Recargas'!E64</f>
        <v>0</v>
      </c>
      <c r="V481" s="161">
        <f>'Parametros Recargas'!F64</f>
        <v>0</v>
      </c>
      <c r="W481" s="161">
        <f>'Parametros Recargas'!G64</f>
        <v>1</v>
      </c>
      <c r="X481" s="161">
        <f>'Parametros Recargas'!H64</f>
        <v>0</v>
      </c>
      <c r="Y481" s="161">
        <f>'Parametros Recargas'!I64</f>
        <v>0</v>
      </c>
      <c r="Z481" s="162">
        <f>'Parametros Recargas'!$U$95/P481</f>
        <v>0.03472222222</v>
      </c>
    </row>
    <row r="482" ht="15.75" customHeight="1">
      <c r="A482" s="73" t="s">
        <v>473</v>
      </c>
      <c r="B482" s="118" t="s">
        <v>458</v>
      </c>
      <c r="C482" s="63">
        <f t="shared" ref="C482:N482" si="318">($T482*C$464+$U482*C$465+$V482*C$466+$W482*C$467+$X482*C$468+$Y482*C$469)/$B$2</f>
        <v>20.23598881</v>
      </c>
      <c r="D482" s="63">
        <f t="shared" si="318"/>
        <v>16.76384736</v>
      </c>
      <c r="E482" s="63">
        <f t="shared" si="318"/>
        <v>17.30057055</v>
      </c>
      <c r="F482" s="63">
        <f t="shared" si="318"/>
        <v>16.81013028</v>
      </c>
      <c r="G482" s="63">
        <f t="shared" si="318"/>
        <v>16.27340709</v>
      </c>
      <c r="H482" s="63">
        <f t="shared" si="318"/>
        <v>15.73668391</v>
      </c>
      <c r="I482" s="63">
        <f t="shared" si="318"/>
        <v>16.85641319</v>
      </c>
      <c r="J482" s="63">
        <f t="shared" si="318"/>
        <v>17.25428763</v>
      </c>
      <c r="K482" s="63">
        <f t="shared" si="318"/>
        <v>17.25428763</v>
      </c>
      <c r="L482" s="63">
        <f t="shared" si="318"/>
        <v>16.76384736</v>
      </c>
      <c r="M482" s="63">
        <f t="shared" si="318"/>
        <v>16.71756445</v>
      </c>
      <c r="N482" s="63">
        <f t="shared" si="318"/>
        <v>24.20166518</v>
      </c>
      <c r="O482" s="44">
        <f t="shared" si="307"/>
        <v>24.20166518</v>
      </c>
      <c r="P482" s="63">
        <f>'Parametros Recargas'!$M$96</f>
        <v>28.88380952</v>
      </c>
      <c r="Q482" s="36">
        <f>MAX(Q427,ROUNDUP(O482/(P482*'Parametros Recargas'!J$8*'Parametros Recargas'!$B$19),0))</f>
        <v>1</v>
      </c>
      <c r="R482" s="46">
        <f>IF(AND('Parametros Recargas'!J$8=2,O482/(P482*Q482*'Parametros Recargas'!$B$19)&gt;1),2,1)</f>
        <v>1</v>
      </c>
      <c r="S482" s="34">
        <f t="shared" si="308"/>
        <v>0.8378972712</v>
      </c>
      <c r="T482" s="161">
        <f>'Parametros Recargas'!D65</f>
        <v>0.25</v>
      </c>
      <c r="U482" s="161">
        <f>'Parametros Recargas'!E65</f>
        <v>0.25</v>
      </c>
      <c r="V482" s="161">
        <f>'Parametros Recargas'!F65</f>
        <v>0.25</v>
      </c>
      <c r="W482" s="161">
        <f>'Parametros Recargas'!G65</f>
        <v>0.5</v>
      </c>
      <c r="X482" s="161">
        <f>'Parametros Recargas'!H65</f>
        <v>0.25</v>
      </c>
      <c r="Y482" s="161">
        <f>'Parametros Recargas'!I65</f>
        <v>0.25</v>
      </c>
      <c r="Z482" s="162">
        <f>'Parametros Recargas'!$U$96/P482</f>
        <v>0.01731073595</v>
      </c>
    </row>
    <row r="483" ht="15.75" customHeight="1">
      <c r="A483" s="73" t="s">
        <v>479</v>
      </c>
      <c r="B483" s="118" t="s">
        <v>458</v>
      </c>
      <c r="C483" s="63">
        <f t="shared" ref="C483:N483" si="319">($T483*C$464+$U483*C$465+$V483*C$466+$W483*C$467+$X483*C$468+$Y483*C$469)/$B$2</f>
        <v>18.61493118</v>
      </c>
      <c r="D483" s="63">
        <f t="shared" si="319"/>
        <v>15.34643342</v>
      </c>
      <c r="E483" s="63">
        <f t="shared" si="319"/>
        <v>15.79456823</v>
      </c>
      <c r="F483" s="63">
        <f t="shared" si="319"/>
        <v>15.37948286</v>
      </c>
      <c r="G483" s="63">
        <f t="shared" si="319"/>
        <v>14.93134805</v>
      </c>
      <c r="H483" s="63">
        <f t="shared" si="319"/>
        <v>14.48321324</v>
      </c>
      <c r="I483" s="63">
        <f t="shared" si="319"/>
        <v>15.4125323</v>
      </c>
      <c r="J483" s="63">
        <f t="shared" si="319"/>
        <v>15.76151879</v>
      </c>
      <c r="K483" s="63">
        <f t="shared" si="319"/>
        <v>15.76151879</v>
      </c>
      <c r="L483" s="63">
        <f t="shared" si="319"/>
        <v>15.34643342</v>
      </c>
      <c r="M483" s="63">
        <f t="shared" si="319"/>
        <v>15.31338397</v>
      </c>
      <c r="N483" s="63">
        <f t="shared" si="319"/>
        <v>22.3056549</v>
      </c>
      <c r="O483" s="44">
        <f t="shared" si="307"/>
        <v>22.3056549</v>
      </c>
      <c r="P483" s="63">
        <f>'Parametros Recargas'!$M$97</f>
        <v>18.54545455</v>
      </c>
      <c r="Q483" s="36">
        <f>MAX(Q428,ROUNDUP(O483/(P483*'Parametros Recargas'!J$8*'Parametros Recargas'!$B$19),0))</f>
        <v>1</v>
      </c>
      <c r="R483" s="46">
        <f>IF(AND('Parametros Recargas'!J$8=2,O483/(P483*Q483*'Parametros Recargas'!$B$19)&gt;1),2,1)</f>
        <v>2</v>
      </c>
      <c r="S483" s="34">
        <f t="shared" si="308"/>
        <v>0.6013779507</v>
      </c>
      <c r="T483" s="161">
        <f>'Parametros Recargas'!D66</f>
        <v>0.25</v>
      </c>
      <c r="U483" s="161">
        <f>'Parametros Recargas'!E66</f>
        <v>0.25</v>
      </c>
      <c r="V483" s="161">
        <f>'Parametros Recargas'!F66</f>
        <v>0.25</v>
      </c>
      <c r="W483" s="161">
        <f>'Parametros Recargas'!G66</f>
        <v>0</v>
      </c>
      <c r="X483" s="161">
        <f>'Parametros Recargas'!H66</f>
        <v>0.25</v>
      </c>
      <c r="Y483" s="161">
        <f>'Parametros Recargas'!I66</f>
        <v>0.25</v>
      </c>
      <c r="Z483" s="162">
        <f>'Parametros Recargas'!$U$97/P483</f>
        <v>0.01348039216</v>
      </c>
    </row>
    <row r="484" ht="15.75" customHeight="1">
      <c r="A484" s="30" t="s">
        <v>500</v>
      </c>
      <c r="B484" s="118" t="s">
        <v>458</v>
      </c>
      <c r="C484" s="63">
        <f t="shared" ref="C484:N484" si="320">($T484*C$464+$U484*C$465+$V484*C$466+$W484*C$467+$X484*C$468+$Y484*C$469)/$B$2</f>
        <v>68.22105812</v>
      </c>
      <c r="D484" s="63">
        <f t="shared" si="320"/>
        <v>55.84025226</v>
      </c>
      <c r="E484" s="63">
        <f t="shared" si="320"/>
        <v>57.28619892</v>
      </c>
      <c r="F484" s="63">
        <f t="shared" si="320"/>
        <v>55.97245003</v>
      </c>
      <c r="G484" s="63">
        <f t="shared" si="320"/>
        <v>54.52650337</v>
      </c>
      <c r="H484" s="63">
        <f t="shared" si="320"/>
        <v>53.08055671</v>
      </c>
      <c r="I484" s="63">
        <f t="shared" si="320"/>
        <v>56.1046478</v>
      </c>
      <c r="J484" s="63">
        <f t="shared" si="320"/>
        <v>57.15400115</v>
      </c>
      <c r="K484" s="63">
        <f t="shared" si="320"/>
        <v>57.15400115</v>
      </c>
      <c r="L484" s="63">
        <f t="shared" si="320"/>
        <v>55.84025226</v>
      </c>
      <c r="M484" s="63">
        <f t="shared" si="320"/>
        <v>55.70805449</v>
      </c>
      <c r="N484" s="63">
        <f t="shared" si="320"/>
        <v>81.59758266</v>
      </c>
      <c r="O484" s="44">
        <f t="shared" si="307"/>
        <v>81.59758266</v>
      </c>
      <c r="P484" s="63">
        <f>'Parametros Recargas'!$M$98</f>
        <v>34</v>
      </c>
      <c r="Q484" s="36">
        <f>MAX(Q429,ROUNDUP(O484/(P484*'Parametros Recargas'!J$8*'Parametros Recargas'!$B$19),0))</f>
        <v>2</v>
      </c>
      <c r="R484" s="46">
        <f>IF(AND('Parametros Recargas'!J$8=2,O484/(P484*Q484*'Parametros Recargas'!$B$19)&gt;1),2,1)</f>
        <v>2</v>
      </c>
      <c r="S484" s="34">
        <f t="shared" si="308"/>
        <v>0.5999822254</v>
      </c>
      <c r="T484" s="161">
        <f>'Parametros Recargas'!D67</f>
        <v>1</v>
      </c>
      <c r="U484" s="161">
        <f>'Parametros Recargas'!E67</f>
        <v>0</v>
      </c>
      <c r="V484" s="161">
        <f>'Parametros Recargas'!F67</f>
        <v>0</v>
      </c>
      <c r="W484" s="161">
        <f>'Parametros Recargas'!G67</f>
        <v>0</v>
      </c>
      <c r="X484" s="161">
        <f>'Parametros Recargas'!H67</f>
        <v>0</v>
      </c>
      <c r="Y484" s="161">
        <f>'Parametros Recargas'!I67</f>
        <v>0</v>
      </c>
      <c r="Z484" s="162">
        <f>'Parametros Recargas'!$U$98/P484</f>
        <v>0.01470588235</v>
      </c>
    </row>
    <row r="485" ht="15.75" customHeight="1">
      <c r="A485" s="30" t="s">
        <v>522</v>
      </c>
      <c r="B485" s="118" t="s">
        <v>458</v>
      </c>
      <c r="C485" s="63">
        <f t="shared" ref="C485:N485" si="321">($T485*C$464+$U485*C$465+$V485*C$466+$W485*C$467+$X485*C$468+$Y485*C$469)/$B$2</f>
        <v>0.09162425241</v>
      </c>
      <c r="D485" s="63">
        <f t="shared" si="321"/>
        <v>0.08144377992</v>
      </c>
      <c r="E485" s="63">
        <f t="shared" si="321"/>
        <v>0.08653401616</v>
      </c>
      <c r="F485" s="63">
        <f t="shared" si="321"/>
        <v>0.08144377992</v>
      </c>
      <c r="G485" s="63">
        <f t="shared" si="321"/>
        <v>0.07635354367</v>
      </c>
      <c r="H485" s="63">
        <f t="shared" si="321"/>
        <v>0.07126330743</v>
      </c>
      <c r="I485" s="63">
        <f t="shared" si="321"/>
        <v>0.08144377992</v>
      </c>
      <c r="J485" s="63">
        <f t="shared" si="321"/>
        <v>0.08653401616</v>
      </c>
      <c r="K485" s="63">
        <f t="shared" si="321"/>
        <v>0.08653401616</v>
      </c>
      <c r="L485" s="63">
        <f t="shared" si="321"/>
        <v>0.08144377992</v>
      </c>
      <c r="M485" s="63">
        <f t="shared" si="321"/>
        <v>0.08144377992</v>
      </c>
      <c r="N485" s="63">
        <f t="shared" si="321"/>
        <v>0.1119851974</v>
      </c>
      <c r="O485" s="44">
        <f t="shared" si="307"/>
        <v>0.1119851974</v>
      </c>
      <c r="P485" s="63">
        <f>'Parametros Recargas'!$M$99</f>
        <v>34</v>
      </c>
      <c r="Q485" s="36">
        <f>MAX(Q430,ROUNDUP(O485/(P485*'Parametros Recargas'!J$8*'Parametros Recargas'!$B$19),0))</f>
        <v>1</v>
      </c>
      <c r="R485" s="46">
        <f>IF(AND('Parametros Recargas'!J$8=2,O485/(P485*Q485*'Parametros Recargas'!$B$19)&gt;1),2,1)</f>
        <v>1</v>
      </c>
      <c r="S485" s="34">
        <f t="shared" si="308"/>
        <v>0.003293682276</v>
      </c>
      <c r="T485" s="161">
        <f>'Parametros Recargas'!D68</f>
        <v>0</v>
      </c>
      <c r="U485" s="161">
        <f>'Parametros Recargas'!E68</f>
        <v>1</v>
      </c>
      <c r="V485" s="161">
        <f>'Parametros Recargas'!F68</f>
        <v>0</v>
      </c>
      <c r="W485" s="161">
        <f>'Parametros Recargas'!G68</f>
        <v>0</v>
      </c>
      <c r="X485" s="161">
        <f>'Parametros Recargas'!H68</f>
        <v>0</v>
      </c>
      <c r="Y485" s="161">
        <f>'Parametros Recargas'!I68</f>
        <v>0</v>
      </c>
      <c r="Z485" s="162">
        <f>'Parametros Recargas'!$U$99/P485</f>
        <v>0.02941176471</v>
      </c>
    </row>
    <row r="486" ht="15.75" customHeight="1">
      <c r="A486" s="30" t="s">
        <v>529</v>
      </c>
      <c r="B486" s="118" t="s">
        <v>458</v>
      </c>
      <c r="C486" s="63">
        <f t="shared" ref="C486:N486" si="322">($T486*C$464+$U486*C$465+$V486*C$466+$W486*C$467+$X486*C$468+$Y486*C$469)/$B$2</f>
        <v>0.08258508849</v>
      </c>
      <c r="D486" s="63">
        <f t="shared" si="322"/>
        <v>0.07340896755</v>
      </c>
      <c r="E486" s="63">
        <f t="shared" si="322"/>
        <v>0.07799702802</v>
      </c>
      <c r="F486" s="63">
        <f t="shared" si="322"/>
        <v>0.07340896755</v>
      </c>
      <c r="G486" s="63">
        <f t="shared" si="322"/>
        <v>0.06882090708</v>
      </c>
      <c r="H486" s="63">
        <f t="shared" si="322"/>
        <v>0.0642328466</v>
      </c>
      <c r="I486" s="63">
        <f t="shared" si="322"/>
        <v>0.07340896755</v>
      </c>
      <c r="J486" s="63">
        <f t="shared" si="322"/>
        <v>0.07799702802</v>
      </c>
      <c r="K486" s="63">
        <f t="shared" si="322"/>
        <v>0.07799702802</v>
      </c>
      <c r="L486" s="63">
        <f t="shared" si="322"/>
        <v>0.07340896755</v>
      </c>
      <c r="M486" s="63">
        <f t="shared" si="322"/>
        <v>0.07340896755</v>
      </c>
      <c r="N486" s="63">
        <f t="shared" si="322"/>
        <v>0.1009373304</v>
      </c>
      <c r="O486" s="44">
        <f t="shared" si="307"/>
        <v>0.1009373304</v>
      </c>
      <c r="P486" s="63">
        <f>'Parametros Recargas'!$M$100</f>
        <v>8.4375</v>
      </c>
      <c r="Q486" s="36">
        <f>MAX(Q431,ROUNDUP(O486/(P486*'Parametros Recargas'!J$8*'Parametros Recargas'!$B$19),0))</f>
        <v>1</v>
      </c>
      <c r="R486" s="46">
        <f>IF(AND('Parametros Recargas'!J$8=2,O486/(P486*Q486*'Parametros Recargas'!$B$19)&gt;1),2,1)</f>
        <v>1</v>
      </c>
      <c r="S486" s="34">
        <f t="shared" si="308"/>
        <v>0.01196294286</v>
      </c>
      <c r="T486" s="161">
        <f>'Parametros Recargas'!D69</f>
        <v>0</v>
      </c>
      <c r="U486" s="161">
        <f>'Parametros Recargas'!E69</f>
        <v>0</v>
      </c>
      <c r="V486" s="161">
        <f>'Parametros Recargas'!F69</f>
        <v>1</v>
      </c>
      <c r="W486" s="161">
        <f>'Parametros Recargas'!G69</f>
        <v>0</v>
      </c>
      <c r="X486" s="161">
        <f>'Parametros Recargas'!H69</f>
        <v>0</v>
      </c>
      <c r="Y486" s="161">
        <f>'Parametros Recargas'!I69</f>
        <v>0</v>
      </c>
      <c r="Z486" s="162">
        <f>'Parametros Recargas'!$U$100/P486</f>
        <v>0.1185185185</v>
      </c>
    </row>
    <row r="487" ht="15.75" customHeight="1">
      <c r="A487" s="30" t="s">
        <v>531</v>
      </c>
      <c r="B487" s="118" t="s">
        <v>458</v>
      </c>
      <c r="C487" s="63">
        <f t="shared" ref="C487:N487" si="323">($T487*C$464+$U487*C$465+$V487*C$466+$W487*C$467+$X487*C$468+$Y487*C$469)/$B$2</f>
        <v>3.242115269</v>
      </c>
      <c r="D487" s="63">
        <f t="shared" si="323"/>
        <v>2.834827891</v>
      </c>
      <c r="E487" s="63">
        <f t="shared" si="323"/>
        <v>3.012004634</v>
      </c>
      <c r="F487" s="63">
        <f t="shared" si="323"/>
        <v>2.861294837</v>
      </c>
      <c r="G487" s="63">
        <f t="shared" si="323"/>
        <v>2.684118094</v>
      </c>
      <c r="H487" s="63">
        <f t="shared" si="323"/>
        <v>2.506941351</v>
      </c>
      <c r="I487" s="63">
        <f t="shared" si="323"/>
        <v>2.887761783</v>
      </c>
      <c r="J487" s="63">
        <f t="shared" si="323"/>
        <v>2.985537688</v>
      </c>
      <c r="K487" s="63">
        <f t="shared" si="323"/>
        <v>2.985537688</v>
      </c>
      <c r="L487" s="63">
        <f t="shared" si="323"/>
        <v>2.834827891</v>
      </c>
      <c r="M487" s="63">
        <f t="shared" si="323"/>
        <v>2.808360945</v>
      </c>
      <c r="N487" s="63">
        <f t="shared" si="323"/>
        <v>3.792020567</v>
      </c>
      <c r="O487" s="44">
        <f t="shared" si="307"/>
        <v>3.792020567</v>
      </c>
      <c r="P487" s="63">
        <f>'Parametros Recargas'!$M$101</f>
        <v>18.29818182</v>
      </c>
      <c r="Q487" s="36">
        <f>MAX(Q432,ROUNDUP(O487/(P487*'Parametros Recargas'!J$8*'Parametros Recargas'!$B$19),0))</f>
        <v>1</v>
      </c>
      <c r="R487" s="46">
        <f>IF(AND('Parametros Recargas'!J$8=2,O487/(P487*Q487*'Parametros Recargas'!$B$19)&gt;1),2,1)</f>
        <v>1</v>
      </c>
      <c r="S487" s="34">
        <f t="shared" si="308"/>
        <v>0.2072348283</v>
      </c>
      <c r="T487" s="161">
        <f>'Parametros Recargas'!D70</f>
        <v>0</v>
      </c>
      <c r="U487" s="161">
        <f>'Parametros Recargas'!E70</f>
        <v>0</v>
      </c>
      <c r="V487" s="161">
        <f>'Parametros Recargas'!F70</f>
        <v>0</v>
      </c>
      <c r="W487" s="161">
        <f>'Parametros Recargas'!G70</f>
        <v>1</v>
      </c>
      <c r="X487" s="161">
        <f>'Parametros Recargas'!H70</f>
        <v>0</v>
      </c>
      <c r="Y487" s="161">
        <f>'Parametros Recargas'!I70</f>
        <v>0</v>
      </c>
      <c r="Z487" s="162">
        <f>'Parametros Recargas'!$U$101/P487</f>
        <v>0.05465023847</v>
      </c>
    </row>
    <row r="488" ht="15.75" customHeight="1">
      <c r="A488" s="30" t="s">
        <v>533</v>
      </c>
      <c r="B488" s="118" t="s">
        <v>458</v>
      </c>
      <c r="C488" s="63">
        <f t="shared" ref="C488:N488" si="324">($T488*C$464+$U488*C$465+$V488*C$466+$W488*C$467+$X488*C$468+$Y488*C$469)/$B$2</f>
        <v>2.038290376</v>
      </c>
      <c r="D488" s="63">
        <f t="shared" si="324"/>
        <v>1.811813667</v>
      </c>
      <c r="E488" s="63">
        <f t="shared" si="324"/>
        <v>1.925052021</v>
      </c>
      <c r="F488" s="63">
        <f t="shared" si="324"/>
        <v>1.811813667</v>
      </c>
      <c r="G488" s="63">
        <f t="shared" si="324"/>
        <v>1.698575313</v>
      </c>
      <c r="H488" s="63">
        <f t="shared" si="324"/>
        <v>1.585336959</v>
      </c>
      <c r="I488" s="63">
        <f t="shared" si="324"/>
        <v>1.811813667</v>
      </c>
      <c r="J488" s="63">
        <f t="shared" si="324"/>
        <v>1.925052021</v>
      </c>
      <c r="K488" s="63">
        <f t="shared" si="324"/>
        <v>1.925052021</v>
      </c>
      <c r="L488" s="63">
        <f t="shared" si="324"/>
        <v>1.811813667</v>
      </c>
      <c r="M488" s="63">
        <f t="shared" si="324"/>
        <v>1.811813667</v>
      </c>
      <c r="N488" s="63">
        <f t="shared" si="324"/>
        <v>2.491243792</v>
      </c>
      <c r="O488" s="44">
        <f t="shared" si="307"/>
        <v>2.491243792</v>
      </c>
      <c r="P488" s="63">
        <f>'Parametros Recargas'!$M$102</f>
        <v>15.69230769</v>
      </c>
      <c r="Q488" s="36">
        <f>MAX(Q433,ROUNDUP(O488/(P488*'Parametros Recargas'!J$8*'Parametros Recargas'!$B$19),0))</f>
        <v>1</v>
      </c>
      <c r="R488" s="46">
        <f>IF(AND('Parametros Recargas'!J$8=2,O488/(P488*Q488*'Parametros Recargas'!$B$19)&gt;1),2,1)</f>
        <v>1</v>
      </c>
      <c r="S488" s="34">
        <f t="shared" si="308"/>
        <v>0.1587557319</v>
      </c>
      <c r="T488" s="161">
        <f>'Parametros Recargas'!D71</f>
        <v>0</v>
      </c>
      <c r="U488" s="161">
        <f>'Parametros Recargas'!E71</f>
        <v>0</v>
      </c>
      <c r="V488" s="161">
        <f>'Parametros Recargas'!F71</f>
        <v>0</v>
      </c>
      <c r="W488" s="161">
        <f>'Parametros Recargas'!G71</f>
        <v>0</v>
      </c>
      <c r="X488" s="161">
        <f>'Parametros Recargas'!H71</f>
        <v>0.35</v>
      </c>
      <c r="Y488" s="161">
        <f>'Parametros Recargas'!I71</f>
        <v>0</v>
      </c>
      <c r="Z488" s="162">
        <f>'Parametros Recargas'!$U$102/P488</f>
        <v>0.0637254902</v>
      </c>
    </row>
    <row r="489" ht="15.75" customHeight="1">
      <c r="A489" s="30" t="s">
        <v>535</v>
      </c>
      <c r="B489" s="118" t="s">
        <v>458</v>
      </c>
      <c r="C489" s="63">
        <f t="shared" ref="C489:N489" si="325">($T489*C$464+$U489*C$465+$V489*C$466+$W489*C$467+$X489*C$468+$Y489*C$469)/$B$2</f>
        <v>0.08426965995</v>
      </c>
      <c r="D489" s="63">
        <f t="shared" si="325"/>
        <v>0.0749063644</v>
      </c>
      <c r="E489" s="63">
        <f t="shared" si="325"/>
        <v>0.07958801217</v>
      </c>
      <c r="F489" s="63">
        <f t="shared" si="325"/>
        <v>0.0749063644</v>
      </c>
      <c r="G489" s="63">
        <f t="shared" si="325"/>
        <v>0.07022471662</v>
      </c>
      <c r="H489" s="63">
        <f t="shared" si="325"/>
        <v>0.06554306885</v>
      </c>
      <c r="I489" s="63">
        <f t="shared" si="325"/>
        <v>0.0749063644</v>
      </c>
      <c r="J489" s="63">
        <f t="shared" si="325"/>
        <v>0.07958801217</v>
      </c>
      <c r="K489" s="63">
        <f t="shared" si="325"/>
        <v>0.07958801217</v>
      </c>
      <c r="L489" s="63">
        <f t="shared" si="325"/>
        <v>0.0749063644</v>
      </c>
      <c r="M489" s="63">
        <f t="shared" si="325"/>
        <v>0.0749063644</v>
      </c>
      <c r="N489" s="63">
        <f t="shared" si="325"/>
        <v>0.102996251</v>
      </c>
      <c r="O489" s="44">
        <f t="shared" si="307"/>
        <v>0.102996251</v>
      </c>
      <c r="P489" s="63">
        <f>'Parametros Recargas'!$M$103</f>
        <v>12</v>
      </c>
      <c r="Q489" s="36">
        <f>MAX(Q434,ROUNDUP(O489/(P489*'Parametros Recargas'!J$8*'Parametros Recargas'!$B$19),0))</f>
        <v>1</v>
      </c>
      <c r="R489" s="46">
        <f>IF(AND('Parametros Recargas'!J$8=2,O489/(P489*Q489*'Parametros Recargas'!$B$19)&gt;1),2,1)</f>
        <v>1</v>
      </c>
      <c r="S489" s="34">
        <f t="shared" si="308"/>
        <v>0.008583020921</v>
      </c>
      <c r="T489" s="161">
        <f>'Parametros Recargas'!D72</f>
        <v>0</v>
      </c>
      <c r="U489" s="161">
        <f>'Parametros Recargas'!E72</f>
        <v>0</v>
      </c>
      <c r="V489" s="161">
        <f>'Parametros Recargas'!F72</f>
        <v>0</v>
      </c>
      <c r="W489" s="161">
        <f>'Parametros Recargas'!G72</f>
        <v>0</v>
      </c>
      <c r="X489" s="161">
        <f>'Parametros Recargas'!H72</f>
        <v>0</v>
      </c>
      <c r="Y489" s="161">
        <f>'Parametros Recargas'!I72</f>
        <v>0.35</v>
      </c>
      <c r="Z489" s="162">
        <f>'Parametros Recargas'!$U$103/P489</f>
        <v>0.08333333333</v>
      </c>
    </row>
    <row r="490" ht="15.75" customHeight="1">
      <c r="A490" s="73" t="s">
        <v>536</v>
      </c>
      <c r="B490" s="118" t="s">
        <v>458</v>
      </c>
      <c r="C490" s="63">
        <f t="shared" ref="C490:N490" si="326">($T490*C$464+$U490*C$465+$V490*C$466+$W490*C$467+$X490*C$468+$Y490*C$469)/$B$2</f>
        <v>73.75994276</v>
      </c>
      <c r="D490" s="63">
        <f t="shared" si="326"/>
        <v>60.71665293</v>
      </c>
      <c r="E490" s="63">
        <f t="shared" si="326"/>
        <v>62.46737463</v>
      </c>
      <c r="F490" s="63">
        <f t="shared" si="326"/>
        <v>60.87531765</v>
      </c>
      <c r="G490" s="63">
        <f t="shared" si="326"/>
        <v>59.12459595</v>
      </c>
      <c r="H490" s="63">
        <f t="shared" si="326"/>
        <v>57.37387424</v>
      </c>
      <c r="I490" s="63">
        <f t="shared" si="326"/>
        <v>61.03398236</v>
      </c>
      <c r="J490" s="63">
        <f t="shared" si="326"/>
        <v>62.30870991</v>
      </c>
      <c r="K490" s="63">
        <f t="shared" si="326"/>
        <v>62.30870991</v>
      </c>
      <c r="L490" s="63">
        <f t="shared" si="326"/>
        <v>60.71665293</v>
      </c>
      <c r="M490" s="63">
        <f t="shared" si="326"/>
        <v>60.55798821</v>
      </c>
      <c r="N490" s="63">
        <f t="shared" si="326"/>
        <v>88.1967658</v>
      </c>
      <c r="O490" s="44">
        <f t="shared" si="307"/>
        <v>88.1967658</v>
      </c>
      <c r="P490" s="63">
        <f>'Parametros Recargas'!$M$104</f>
        <v>25.04347826</v>
      </c>
      <c r="Q490" s="36">
        <f>MAX(Q435,ROUNDUP(O490/(P490*'Parametros Recargas'!J$8*'Parametros Recargas'!$B$19),0))</f>
        <v>3</v>
      </c>
      <c r="R490" s="46">
        <f>IF(AND('Parametros Recargas'!J$8=2,O490/(P490*Q490*'Parametros Recargas'!$B$19)&gt;1),2,1)</f>
        <v>2</v>
      </c>
      <c r="S490" s="34">
        <f t="shared" si="308"/>
        <v>0.5869576428</v>
      </c>
      <c r="T490" s="161">
        <f>'Parametros Recargas'!D73</f>
        <v>1</v>
      </c>
      <c r="U490" s="161">
        <f>'Parametros Recargas'!E73</f>
        <v>1</v>
      </c>
      <c r="V490" s="161">
        <f>'Parametros Recargas'!F73</f>
        <v>1</v>
      </c>
      <c r="W490" s="161">
        <f>'Parametros Recargas'!G73</f>
        <v>1</v>
      </c>
      <c r="X490" s="161">
        <f>'Parametros Recargas'!H73</f>
        <v>0.35</v>
      </c>
      <c r="Y490" s="161">
        <f>'Parametros Recargas'!I73</f>
        <v>0.35</v>
      </c>
      <c r="Z490" s="162">
        <f>'Parametros Recargas'!$U$104/P490</f>
        <v>0.03993055556</v>
      </c>
    </row>
    <row r="491" ht="15.75" customHeight="1">
      <c r="A491" s="73" t="s">
        <v>537</v>
      </c>
      <c r="B491" s="118" t="s">
        <v>458</v>
      </c>
      <c r="C491" s="63">
        <f t="shared" ref="C491:N491" si="327">($T491*C$464+$U491*C$465+$V491*C$466+$W491*C$467+$X491*C$468+$Y491*C$469)/$B$2</f>
        <v>71.72165239</v>
      </c>
      <c r="D491" s="63">
        <f t="shared" si="327"/>
        <v>58.90483926</v>
      </c>
      <c r="E491" s="63">
        <f t="shared" si="327"/>
        <v>60.54232261</v>
      </c>
      <c r="F491" s="63">
        <f t="shared" si="327"/>
        <v>59.06350398</v>
      </c>
      <c r="G491" s="63">
        <f t="shared" si="327"/>
        <v>57.42602063</v>
      </c>
      <c r="H491" s="63">
        <f t="shared" si="327"/>
        <v>55.78853728</v>
      </c>
      <c r="I491" s="63">
        <f t="shared" si="327"/>
        <v>59.2221687</v>
      </c>
      <c r="J491" s="63">
        <f t="shared" si="327"/>
        <v>60.38365789</v>
      </c>
      <c r="K491" s="63">
        <f t="shared" si="327"/>
        <v>60.38365789</v>
      </c>
      <c r="L491" s="63">
        <f t="shared" si="327"/>
        <v>58.90483926</v>
      </c>
      <c r="M491" s="63">
        <f t="shared" si="327"/>
        <v>58.74617454</v>
      </c>
      <c r="N491" s="63">
        <f t="shared" si="327"/>
        <v>85.70552201</v>
      </c>
      <c r="O491" s="44">
        <f t="shared" si="307"/>
        <v>85.70552201</v>
      </c>
      <c r="P491" s="63">
        <f>'Parametros Recargas'!$M$105</f>
        <v>52.36363636</v>
      </c>
      <c r="Q491" s="36">
        <f>MAX(Q436,ROUNDUP(O491/(P491*'Parametros Recargas'!J$8*'Parametros Recargas'!$B$19),0))</f>
        <v>2</v>
      </c>
      <c r="R491" s="46">
        <f>IF(AND('Parametros Recargas'!J$8=2,O491/(P491*Q491*'Parametros Recargas'!$B$19)&gt;1),2,1)</f>
        <v>1</v>
      </c>
      <c r="S491" s="34">
        <f t="shared" si="308"/>
        <v>0.8183686997</v>
      </c>
      <c r="T491" s="161">
        <f>'Parametros Recargas'!D74</f>
        <v>1</v>
      </c>
      <c r="U491" s="161">
        <f>'Parametros Recargas'!E74</f>
        <v>1</v>
      </c>
      <c r="V491" s="161">
        <f>'Parametros Recargas'!F74</f>
        <v>1</v>
      </c>
      <c r="W491" s="161">
        <f>'Parametros Recargas'!G74</f>
        <v>1</v>
      </c>
      <c r="X491" s="161">
        <f>'Parametros Recargas'!H74</f>
        <v>0</v>
      </c>
      <c r="Y491" s="161">
        <f>'Parametros Recargas'!I74</f>
        <v>0.35</v>
      </c>
      <c r="Z491" s="162">
        <f>'Parametros Recargas'!$U$105/P491</f>
        <v>0.01909722222</v>
      </c>
    </row>
    <row r="492" ht="15.75" customHeight="1">
      <c r="A492" s="73" t="s">
        <v>546</v>
      </c>
      <c r="B492" s="118" t="s">
        <v>458</v>
      </c>
      <c r="C492" s="63">
        <f t="shared" ref="C492:N492" si="328">($T492*C$464+$U492*C$465+$V492*C$466+$W492*C$467+$X492*C$468+$Y492*C$469)/$B$2</f>
        <v>6.064457244</v>
      </c>
      <c r="D492" s="63">
        <f t="shared" si="328"/>
        <v>5.390628662</v>
      </c>
      <c r="E492" s="63">
        <f t="shared" si="328"/>
        <v>5.727542953</v>
      </c>
      <c r="F492" s="63">
        <f t="shared" si="328"/>
        <v>5.390628662</v>
      </c>
      <c r="G492" s="63">
        <f t="shared" si="328"/>
        <v>5.05371437</v>
      </c>
      <c r="H492" s="63">
        <f t="shared" si="328"/>
        <v>4.716800079</v>
      </c>
      <c r="I492" s="63">
        <f t="shared" si="328"/>
        <v>5.390628662</v>
      </c>
      <c r="J492" s="63">
        <f t="shared" si="328"/>
        <v>5.727542953</v>
      </c>
      <c r="K492" s="63">
        <f t="shared" si="328"/>
        <v>5.727542953</v>
      </c>
      <c r="L492" s="63">
        <f t="shared" si="328"/>
        <v>5.390628662</v>
      </c>
      <c r="M492" s="63">
        <f t="shared" si="328"/>
        <v>5.390628662</v>
      </c>
      <c r="N492" s="63">
        <f t="shared" si="328"/>
        <v>7.41211441</v>
      </c>
      <c r="O492" s="44">
        <f t="shared" si="307"/>
        <v>7.41211441</v>
      </c>
      <c r="P492" s="63">
        <f>'Parametros Recargas'!$M$106</f>
        <v>55.63636364</v>
      </c>
      <c r="Q492" s="36">
        <f>MAX(Q437,ROUNDUP(O492/(P492*'Parametros Recargas'!J$8*'Parametros Recargas'!$B$19),0))</f>
        <v>1</v>
      </c>
      <c r="R492" s="46">
        <f>IF(AND('Parametros Recargas'!J$8=2,O492/(P492*Q492*'Parametros Recargas'!$B$19)&gt;1),2,1)</f>
        <v>1</v>
      </c>
      <c r="S492" s="34">
        <f t="shared" si="308"/>
        <v>0.1332242786</v>
      </c>
      <c r="T492" s="161">
        <f>'Parametros Recargas'!D75</f>
        <v>0</v>
      </c>
      <c r="U492" s="161">
        <f>'Parametros Recargas'!E75</f>
        <v>0</v>
      </c>
      <c r="V492" s="161">
        <f>'Parametros Recargas'!F75</f>
        <v>0</v>
      </c>
      <c r="W492" s="161">
        <f>'Parametros Recargas'!G75</f>
        <v>0</v>
      </c>
      <c r="X492" s="161">
        <f>'Parametros Recargas'!H75</f>
        <v>1</v>
      </c>
      <c r="Y492" s="161">
        <f>'Parametros Recargas'!I75</f>
        <v>1</v>
      </c>
      <c r="Z492" s="162">
        <f>'Parametros Recargas'!$U$106/P492</f>
        <v>0.01797385621</v>
      </c>
    </row>
    <row r="493" ht="15.75" customHeight="1">
      <c r="A493" s="73" t="s">
        <v>559</v>
      </c>
      <c r="B493" s="118" t="s">
        <v>458</v>
      </c>
      <c r="C493" s="63">
        <f t="shared" ref="C493:N493" si="329">($T493*C$464+$U493*C$465+$V493*C$466+$W493*C$467+$X493*C$468+$Y493*C$469)/$B$2</f>
        <v>77.70183997</v>
      </c>
      <c r="D493" s="63">
        <f t="shared" si="329"/>
        <v>64.22056156</v>
      </c>
      <c r="E493" s="63">
        <f t="shared" si="329"/>
        <v>66.19027755</v>
      </c>
      <c r="F493" s="63">
        <f t="shared" si="329"/>
        <v>64.37922628</v>
      </c>
      <c r="G493" s="63">
        <f t="shared" si="329"/>
        <v>62.40951029</v>
      </c>
      <c r="H493" s="63">
        <f t="shared" si="329"/>
        <v>60.43979429</v>
      </c>
      <c r="I493" s="63">
        <f t="shared" si="329"/>
        <v>64.537891</v>
      </c>
      <c r="J493" s="63">
        <f t="shared" si="329"/>
        <v>66.03161283</v>
      </c>
      <c r="K493" s="63">
        <f t="shared" si="329"/>
        <v>66.03161283</v>
      </c>
      <c r="L493" s="63">
        <f t="shared" si="329"/>
        <v>64.22056156</v>
      </c>
      <c r="M493" s="63">
        <f t="shared" si="329"/>
        <v>64.06189684</v>
      </c>
      <c r="N493" s="63">
        <f t="shared" si="329"/>
        <v>93.01464016</v>
      </c>
      <c r="O493" s="44">
        <f t="shared" si="307"/>
        <v>93.01464016</v>
      </c>
      <c r="P493" s="63">
        <f>'Parametros Recargas'!$M$107</f>
        <v>76.5</v>
      </c>
      <c r="Q493" s="36">
        <f>MAX(Q438,ROUNDUP(O493/(P493*'Parametros Recargas'!J$8*'Parametros Recargas'!$B$19),0))</f>
        <v>1</v>
      </c>
      <c r="R493" s="46">
        <f>IF(AND('Parametros Recargas'!J$8=2,O493/(P493*Q493*'Parametros Recargas'!$B$19)&gt;1),2,1)</f>
        <v>2</v>
      </c>
      <c r="S493" s="34">
        <f t="shared" si="308"/>
        <v>0.6079388246</v>
      </c>
      <c r="T493" s="161">
        <f>'Parametros Recargas'!D76</f>
        <v>1</v>
      </c>
      <c r="U493" s="161">
        <f>'Parametros Recargas'!E76</f>
        <v>1</v>
      </c>
      <c r="V493" s="161">
        <f>'Parametros Recargas'!F76</f>
        <v>1</v>
      </c>
      <c r="W493" s="161">
        <f>'Parametros Recargas'!G76</f>
        <v>1</v>
      </c>
      <c r="X493" s="161">
        <f>'Parametros Recargas'!H76</f>
        <v>1</v>
      </c>
      <c r="Y493" s="161">
        <f>'Parametros Recargas'!I76</f>
        <v>1</v>
      </c>
      <c r="Z493" s="162">
        <f>'Parametros Recargas'!$U$107/P493</f>
        <v>0.003267973856</v>
      </c>
    </row>
    <row r="494" ht="15.75" customHeight="1">
      <c r="A494" s="73" t="s">
        <v>566</v>
      </c>
      <c r="B494" s="118" t="s">
        <v>458</v>
      </c>
      <c r="C494" s="63">
        <f t="shared" ref="C494:N494" si="330">($T494*C$464+$U494*C$465+$V494*C$466+$W494*C$467+$X494*C$468+$Y494*C$469)/$B$2</f>
        <v>11.655276</v>
      </c>
      <c r="D494" s="63">
        <f t="shared" si="330"/>
        <v>9.633084234</v>
      </c>
      <c r="E494" s="63">
        <f t="shared" si="330"/>
        <v>9.928541633</v>
      </c>
      <c r="F494" s="63">
        <f t="shared" si="330"/>
        <v>9.656883942</v>
      </c>
      <c r="G494" s="63">
        <f t="shared" si="330"/>
        <v>9.361426543</v>
      </c>
      <c r="H494" s="63">
        <f t="shared" si="330"/>
        <v>9.065969144</v>
      </c>
      <c r="I494" s="63">
        <f t="shared" si="330"/>
        <v>9.680683649</v>
      </c>
      <c r="J494" s="63">
        <f t="shared" si="330"/>
        <v>9.904741925</v>
      </c>
      <c r="K494" s="63">
        <f t="shared" si="330"/>
        <v>9.904741925</v>
      </c>
      <c r="L494" s="63">
        <f t="shared" si="330"/>
        <v>9.633084234</v>
      </c>
      <c r="M494" s="63">
        <f t="shared" si="330"/>
        <v>9.609284526</v>
      </c>
      <c r="N494" s="63">
        <f t="shared" si="330"/>
        <v>13.95219602</v>
      </c>
      <c r="O494" s="44">
        <f t="shared" si="307"/>
        <v>13.95219602</v>
      </c>
      <c r="P494" s="63">
        <f>'Parametros Recargas'!$M$108</f>
        <v>8</v>
      </c>
      <c r="Q494" s="36">
        <f>MAX(Q439,ROUNDUP(O494/(P494*'Parametros Recargas'!J$8*'Parametros Recargas'!$B$19),0))</f>
        <v>2</v>
      </c>
      <c r="R494" s="46">
        <f>IF(AND('Parametros Recargas'!J$8=2,O494/(P494*Q494*'Parametros Recargas'!$B$19)&gt;1),2,1)</f>
        <v>1</v>
      </c>
      <c r="S494" s="34">
        <f t="shared" si="308"/>
        <v>0.8720122515</v>
      </c>
      <c r="T494" s="161">
        <f>'Parametros Recargas'!D77</f>
        <v>0.15</v>
      </c>
      <c r="U494" s="161">
        <f>'Parametros Recargas'!E77</f>
        <v>0.15</v>
      </c>
      <c r="V494" s="161">
        <f>'Parametros Recargas'!F77</f>
        <v>0.15</v>
      </c>
      <c r="W494" s="161">
        <f>'Parametros Recargas'!G77</f>
        <v>0.15</v>
      </c>
      <c r="X494" s="161">
        <f>'Parametros Recargas'!H77</f>
        <v>0.15</v>
      </c>
      <c r="Y494" s="161">
        <f>'Parametros Recargas'!I77</f>
        <v>0.15</v>
      </c>
      <c r="Z494" s="162">
        <f>'Parametros Recargas'!$U$108/P494</f>
        <v>0.125</v>
      </c>
    </row>
    <row r="495" ht="15.75" customHeight="1">
      <c r="A495" s="73" t="s">
        <v>574</v>
      </c>
      <c r="B495" s="118" t="s">
        <v>458</v>
      </c>
      <c r="C495" s="63">
        <f t="shared" ref="C495:N495" si="331">($T495*C$464+$U495*C$465+$V495*C$466+$W495*C$467+$X495*C$468+$Y495*C$469)/$B$2</f>
        <v>77.70183997</v>
      </c>
      <c r="D495" s="63">
        <f t="shared" si="331"/>
        <v>64.22056156</v>
      </c>
      <c r="E495" s="63">
        <f t="shared" si="331"/>
        <v>66.19027755</v>
      </c>
      <c r="F495" s="63">
        <f t="shared" si="331"/>
        <v>64.37922628</v>
      </c>
      <c r="G495" s="63">
        <f t="shared" si="331"/>
        <v>62.40951029</v>
      </c>
      <c r="H495" s="63">
        <f t="shared" si="331"/>
        <v>60.43979429</v>
      </c>
      <c r="I495" s="63">
        <f t="shared" si="331"/>
        <v>64.537891</v>
      </c>
      <c r="J495" s="63">
        <f t="shared" si="331"/>
        <v>66.03161283</v>
      </c>
      <c r="K495" s="63">
        <f t="shared" si="331"/>
        <v>66.03161283</v>
      </c>
      <c r="L495" s="63">
        <f t="shared" si="331"/>
        <v>64.22056156</v>
      </c>
      <c r="M495" s="63">
        <f t="shared" si="331"/>
        <v>64.06189684</v>
      </c>
      <c r="N495" s="63">
        <f t="shared" si="331"/>
        <v>93.01464016</v>
      </c>
      <c r="O495" s="44">
        <f t="shared" si="307"/>
        <v>93.01464016</v>
      </c>
      <c r="P495" s="63">
        <f>'Parametros Recargas'!$M$109</f>
        <v>52.36363636</v>
      </c>
      <c r="Q495" s="36">
        <f>MAX(Q440,ROUNDUP(O495/(P495*'Parametros Recargas'!J$8*'Parametros Recargas'!$B$19),0))</f>
        <v>2</v>
      </c>
      <c r="R495" s="46">
        <f>IF(AND('Parametros Recargas'!J$8=2,O495/(P495*Q495*'Parametros Recargas'!$B$19)&gt;1),2,1)</f>
        <v>1</v>
      </c>
      <c r="S495" s="34">
        <f t="shared" si="308"/>
        <v>0.8881606266</v>
      </c>
      <c r="T495" s="161">
        <f>'Parametros Recargas'!D78</f>
        <v>1</v>
      </c>
      <c r="U495" s="161">
        <f>'Parametros Recargas'!E78</f>
        <v>1</v>
      </c>
      <c r="V495" s="161">
        <f>'Parametros Recargas'!F78</f>
        <v>1</v>
      </c>
      <c r="W495" s="161">
        <f>'Parametros Recargas'!G78</f>
        <v>1</v>
      </c>
      <c r="X495" s="161">
        <f>'Parametros Recargas'!H78</f>
        <v>1</v>
      </c>
      <c r="Y495" s="161">
        <f>'Parametros Recargas'!I78</f>
        <v>1</v>
      </c>
      <c r="Z495" s="162">
        <f>'Parametros Recargas'!$U$109/P495</f>
        <v>0.01909722222</v>
      </c>
    </row>
    <row r="496" ht="15.75" customHeight="1">
      <c r="A496" s="73" t="s">
        <v>583</v>
      </c>
      <c r="B496" s="118" t="s">
        <v>458</v>
      </c>
      <c r="C496" s="63">
        <f t="shared" ref="C496:N496" si="332">($T496*C$464+$U496*C$465+$V496*C$466+$W496*C$467+$X496*C$468+$Y496*C$469)/$B$2</f>
        <v>77.70183997</v>
      </c>
      <c r="D496" s="63">
        <f t="shared" si="332"/>
        <v>64.22056156</v>
      </c>
      <c r="E496" s="63">
        <f t="shared" si="332"/>
        <v>66.19027755</v>
      </c>
      <c r="F496" s="63">
        <f t="shared" si="332"/>
        <v>64.37922628</v>
      </c>
      <c r="G496" s="63">
        <f t="shared" si="332"/>
        <v>62.40951029</v>
      </c>
      <c r="H496" s="63">
        <f t="shared" si="332"/>
        <v>60.43979429</v>
      </c>
      <c r="I496" s="63">
        <f t="shared" si="332"/>
        <v>64.537891</v>
      </c>
      <c r="J496" s="63">
        <f t="shared" si="332"/>
        <v>66.03161283</v>
      </c>
      <c r="K496" s="63">
        <f t="shared" si="332"/>
        <v>66.03161283</v>
      </c>
      <c r="L496" s="63">
        <f t="shared" si="332"/>
        <v>64.22056156</v>
      </c>
      <c r="M496" s="63">
        <f t="shared" si="332"/>
        <v>64.06189684</v>
      </c>
      <c r="N496" s="63">
        <f t="shared" si="332"/>
        <v>93.01464016</v>
      </c>
      <c r="O496" s="44">
        <f t="shared" si="307"/>
        <v>93.01464016</v>
      </c>
      <c r="P496" s="63">
        <f>'Parametros Recargas'!$M$110</f>
        <v>57.6</v>
      </c>
      <c r="Q496" s="36">
        <f>MAX(Q441,ROUNDUP(O496/(P496*'Parametros Recargas'!J$8*'Parametros Recargas'!$B$19),0))</f>
        <v>2</v>
      </c>
      <c r="R496" s="46">
        <f>IF(AND('Parametros Recargas'!J$8=2,O496/(P496*Q496*'Parametros Recargas'!$B$19)&gt;1),2,1)</f>
        <v>1</v>
      </c>
      <c r="S496" s="34">
        <f t="shared" si="308"/>
        <v>0.8074187514</v>
      </c>
      <c r="T496" s="161">
        <f>'Parametros Recargas'!D79</f>
        <v>1</v>
      </c>
      <c r="U496" s="161">
        <f>'Parametros Recargas'!E79</f>
        <v>1</v>
      </c>
      <c r="V496" s="161">
        <f>'Parametros Recargas'!F79</f>
        <v>1</v>
      </c>
      <c r="W496" s="161">
        <f>'Parametros Recargas'!G79</f>
        <v>1</v>
      </c>
      <c r="X496" s="161">
        <f>'Parametros Recargas'!H79</f>
        <v>1</v>
      </c>
      <c r="Y496" s="161">
        <f>'Parametros Recargas'!I79</f>
        <v>1</v>
      </c>
      <c r="Z496" s="162">
        <f>'Parametros Recargas'!$U$110/P496</f>
        <v>0.01736111111</v>
      </c>
    </row>
    <row r="497" ht="15.75" customHeight="1">
      <c r="A497" s="73" t="s">
        <v>590</v>
      </c>
      <c r="B497" s="118" t="s">
        <v>591</v>
      </c>
      <c r="C497" s="175">
        <f t="shared" ref="C497:N497" si="333">SUMPRODUCT(C471:C496,$Z471:$Z496)*$B$2</f>
        <v>2668.671295</v>
      </c>
      <c r="D497" s="175">
        <f t="shared" si="333"/>
        <v>2204.859088</v>
      </c>
      <c r="E497" s="175">
        <f t="shared" si="333"/>
        <v>2272.404898</v>
      </c>
      <c r="F497" s="175">
        <f t="shared" si="333"/>
        <v>2210.688774</v>
      </c>
      <c r="G497" s="175">
        <f t="shared" si="333"/>
        <v>2143.142964</v>
      </c>
      <c r="H497" s="175">
        <f t="shared" si="333"/>
        <v>2075.597154</v>
      </c>
      <c r="I497" s="175">
        <f t="shared" si="333"/>
        <v>2216.51846</v>
      </c>
      <c r="J497" s="175">
        <f t="shared" si="333"/>
        <v>2266.575212</v>
      </c>
      <c r="K497" s="175">
        <f t="shared" si="333"/>
        <v>2266.575212</v>
      </c>
      <c r="L497" s="175">
        <f t="shared" si="333"/>
        <v>2204.859088</v>
      </c>
      <c r="M497" s="175">
        <f t="shared" si="333"/>
        <v>2199.029402</v>
      </c>
      <c r="N497" s="175">
        <f t="shared" si="333"/>
        <v>3192.113888</v>
      </c>
      <c r="O497" s="175">
        <f t="shared" si="307"/>
        <v>3192.113888</v>
      </c>
    </row>
    <row r="498" ht="15.75" customHeight="1"/>
    <row r="499" ht="15.75" customHeight="1">
      <c r="A499" s="45" t="s">
        <v>1074</v>
      </c>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137"/>
    </row>
    <row r="500" ht="15.75" customHeight="1">
      <c r="A500" s="29" t="s">
        <v>376</v>
      </c>
      <c r="B500" s="29" t="s">
        <v>377</v>
      </c>
      <c r="C500" s="29" t="s">
        <v>109</v>
      </c>
      <c r="D500" s="29" t="s">
        <v>110</v>
      </c>
      <c r="E500" s="29" t="s">
        <v>111</v>
      </c>
      <c r="F500" s="29" t="s">
        <v>112</v>
      </c>
      <c r="G500" s="29" t="s">
        <v>113</v>
      </c>
      <c r="H500" s="29" t="s">
        <v>114</v>
      </c>
      <c r="I500" s="29" t="s">
        <v>115</v>
      </c>
      <c r="J500" s="29" t="s">
        <v>116</v>
      </c>
      <c r="K500" s="29" t="s">
        <v>117</v>
      </c>
      <c r="L500" s="29" t="s">
        <v>118</v>
      </c>
      <c r="M500" s="29" t="s">
        <v>119</v>
      </c>
      <c r="N500" s="29" t="s">
        <v>120</v>
      </c>
      <c r="O500" s="29" t="s">
        <v>15</v>
      </c>
    </row>
    <row r="501" ht="15.75" customHeight="1">
      <c r="A501" s="30" t="str">
        <f>datos_base!$A$55</f>
        <v>ABC 1 kg</v>
      </c>
      <c r="B501" s="139" t="s">
        <v>379</v>
      </c>
      <c r="C501" s="64">
        <f>datos_base!$K$55*'Parametros Recargas'!D$33*'Parametros Recargas'!$Q$33</f>
        <v>6720.584131</v>
      </c>
      <c r="D501" s="64">
        <f>datos_base!$K$55*'Parametros Recargas'!E$33*'Parametros Recargas'!$Q$33</f>
        <v>5242.055622</v>
      </c>
      <c r="E501" s="64">
        <f>datos_base!$K$55*'Parametros Recargas'!F$33*'Parametros Recargas'!$Q$33</f>
        <v>5242.055622</v>
      </c>
      <c r="F501" s="64">
        <f>datos_base!$K$55*'Parametros Recargas'!G$33*'Parametros Recargas'!$Q$33</f>
        <v>5242.055622</v>
      </c>
      <c r="G501" s="64">
        <f>datos_base!$K$55*'Parametros Recargas'!H$33*'Parametros Recargas'!$Q$33</f>
        <v>5242.055622</v>
      </c>
      <c r="H501" s="64">
        <f>datos_base!$K$55*'Parametros Recargas'!I$33*'Parametros Recargas'!$Q$33</f>
        <v>5242.055622</v>
      </c>
      <c r="I501" s="64">
        <f>datos_base!$K$55*'Parametros Recargas'!J$33*'Parametros Recargas'!$Q$33</f>
        <v>5242.055622</v>
      </c>
      <c r="J501" s="64">
        <f>datos_base!$K$55*'Parametros Recargas'!K$33*'Parametros Recargas'!$Q$33</f>
        <v>5242.055622</v>
      </c>
      <c r="K501" s="64">
        <f>datos_base!$K$55*'Parametros Recargas'!L$33*'Parametros Recargas'!$Q$33</f>
        <v>5242.055622</v>
      </c>
      <c r="L501" s="64">
        <f>datos_base!$K$55*'Parametros Recargas'!M$33*'Parametros Recargas'!$Q$33</f>
        <v>5242.055622</v>
      </c>
      <c r="M501" s="64">
        <f>datos_base!$K$55*'Parametros Recargas'!N$33*'Parametros Recargas'!$Q$33</f>
        <v>5242.055622</v>
      </c>
      <c r="N501" s="64">
        <f>datos_base!$K$55*'Parametros Recargas'!O$33*'Parametros Recargas'!$Q$33</f>
        <v>8064.700957</v>
      </c>
      <c r="O501" s="84">
        <f t="shared" ref="O501:O517" si="334">SUM(C501:N501)</f>
        <v>67205.84131</v>
      </c>
    </row>
    <row r="502" ht="15.75" customHeight="1">
      <c r="A502" s="30" t="str">
        <f>datos_base!$A$56</f>
        <v>ABC 2,5 kg</v>
      </c>
      <c r="B502" s="139" t="s">
        <v>379</v>
      </c>
      <c r="C502" s="64">
        <f>datos_base!$K$56*'Parametros Recargas'!D$34*'Parametros Recargas'!$Q$34</f>
        <v>512.1816253</v>
      </c>
      <c r="D502" s="64">
        <f>datos_base!$K$56*'Parametros Recargas'!E$34*'Parametros Recargas'!$Q$34</f>
        <v>455.2725558</v>
      </c>
      <c r="E502" s="64">
        <f>datos_base!$K$56*'Parametros Recargas'!F$34*'Parametros Recargas'!$Q$34</f>
        <v>483.7270906</v>
      </c>
      <c r="F502" s="64">
        <f>datos_base!$K$56*'Parametros Recargas'!G$34*'Parametros Recargas'!$Q$34</f>
        <v>455.2725558</v>
      </c>
      <c r="G502" s="64">
        <f>datos_base!$K$56*'Parametros Recargas'!H$34*'Parametros Recargas'!$Q$34</f>
        <v>426.8180211</v>
      </c>
      <c r="H502" s="64">
        <f>datos_base!$K$56*'Parametros Recargas'!I$34*'Parametros Recargas'!$Q$34</f>
        <v>398.3634863</v>
      </c>
      <c r="I502" s="64">
        <f>datos_base!$K$56*'Parametros Recargas'!J$34*'Parametros Recargas'!$Q$34</f>
        <v>455.2725558</v>
      </c>
      <c r="J502" s="64">
        <f>datos_base!$K$56*'Parametros Recargas'!K$34*'Parametros Recargas'!$Q$34</f>
        <v>483.7270906</v>
      </c>
      <c r="K502" s="64">
        <f>datos_base!$K$56*'Parametros Recargas'!L$34*'Parametros Recargas'!$Q$34</f>
        <v>483.7270906</v>
      </c>
      <c r="L502" s="64">
        <f>datos_base!$K$56*'Parametros Recargas'!M$34*'Parametros Recargas'!$Q$34</f>
        <v>455.2725558</v>
      </c>
      <c r="M502" s="64">
        <f>datos_base!$K$56*'Parametros Recargas'!N$34*'Parametros Recargas'!$Q$34</f>
        <v>455.2725558</v>
      </c>
      <c r="N502" s="64">
        <f>datos_base!$K$56*'Parametros Recargas'!O$34*'Parametros Recargas'!$Q$34</f>
        <v>625.9997643</v>
      </c>
      <c r="O502" s="84">
        <f t="shared" si="334"/>
        <v>5690.906948</v>
      </c>
    </row>
    <row r="503" ht="15.75" customHeight="1">
      <c r="A503" s="30" t="str">
        <f>datos_base!$A$57</f>
        <v>ABC 5 kg</v>
      </c>
      <c r="B503" s="139" t="s">
        <v>379</v>
      </c>
      <c r="C503" s="64">
        <f>datos_base!$K$57*'Parametros Recargas'!D$35*'Parametros Recargas'!$Q$35</f>
        <v>3115.275941</v>
      </c>
      <c r="D503" s="64">
        <f>datos_base!$K$57*'Parametros Recargas'!E$35*'Parametros Recargas'!$Q$35</f>
        <v>2769.134169</v>
      </c>
      <c r="E503" s="64">
        <f>datos_base!$K$57*'Parametros Recargas'!F$35*'Parametros Recargas'!$Q$35</f>
        <v>2942.205055</v>
      </c>
      <c r="F503" s="64">
        <f>datos_base!$K$57*'Parametros Recargas'!G$35*'Parametros Recargas'!$Q$35</f>
        <v>2769.134169</v>
      </c>
      <c r="G503" s="64">
        <f>datos_base!$K$57*'Parametros Recargas'!H$35*'Parametros Recargas'!$Q$35</f>
        <v>2596.063284</v>
      </c>
      <c r="H503" s="64">
        <f>datos_base!$K$57*'Parametros Recargas'!I$35*'Parametros Recargas'!$Q$35</f>
        <v>2422.992398</v>
      </c>
      <c r="I503" s="64">
        <f>datos_base!$K$57*'Parametros Recargas'!J$35*'Parametros Recargas'!$Q$35</f>
        <v>2769.134169</v>
      </c>
      <c r="J503" s="64">
        <f>datos_base!$K$57*'Parametros Recargas'!K$35*'Parametros Recargas'!$Q$35</f>
        <v>2942.205055</v>
      </c>
      <c r="K503" s="64">
        <f>datos_base!$K$57*'Parametros Recargas'!L$35*'Parametros Recargas'!$Q$35</f>
        <v>2942.205055</v>
      </c>
      <c r="L503" s="64">
        <f>datos_base!$K$57*'Parametros Recargas'!M$35*'Parametros Recargas'!$Q$35</f>
        <v>2769.134169</v>
      </c>
      <c r="M503" s="64">
        <f>datos_base!$K$57*'Parametros Recargas'!N$35*'Parametros Recargas'!$Q$35</f>
        <v>2769.134169</v>
      </c>
      <c r="N503" s="64">
        <f>datos_base!$K$57*'Parametros Recargas'!O$35*'Parametros Recargas'!$Q$35</f>
        <v>3807.559483</v>
      </c>
      <c r="O503" s="84">
        <f t="shared" si="334"/>
        <v>34614.17712</v>
      </c>
    </row>
    <row r="504" ht="15.75" customHeight="1">
      <c r="A504" s="30" t="str">
        <f>datos_base!$A$58</f>
        <v>ABC 10 kg</v>
      </c>
      <c r="B504" s="139" t="s">
        <v>379</v>
      </c>
      <c r="C504" s="64">
        <f>datos_base!$K$58*'Parametros Recargas'!D$36*'Parametros Recargas'!$Q$36</f>
        <v>184.4605745</v>
      </c>
      <c r="D504" s="64">
        <f>datos_base!$K$58*'Parametros Recargas'!E$36*'Parametros Recargas'!$Q$36</f>
        <v>163.9649551</v>
      </c>
      <c r="E504" s="64">
        <f>datos_base!$K$58*'Parametros Recargas'!F$36*'Parametros Recargas'!$Q$36</f>
        <v>174.2127648</v>
      </c>
      <c r="F504" s="64">
        <f>datos_base!$K$58*'Parametros Recargas'!G$36*'Parametros Recargas'!$Q$36</f>
        <v>163.9649551</v>
      </c>
      <c r="G504" s="64">
        <f>datos_base!$K$58*'Parametros Recargas'!H$36*'Parametros Recargas'!$Q$36</f>
        <v>153.7171454</v>
      </c>
      <c r="H504" s="64">
        <f>datos_base!$K$58*'Parametros Recargas'!I$36*'Parametros Recargas'!$Q$36</f>
        <v>143.4693357</v>
      </c>
      <c r="I504" s="64">
        <f>datos_base!$K$58*'Parametros Recargas'!J$36*'Parametros Recargas'!$Q$36</f>
        <v>163.9649551</v>
      </c>
      <c r="J504" s="64">
        <f>datos_base!$K$58*'Parametros Recargas'!K$36*'Parametros Recargas'!$Q$36</f>
        <v>174.2127648</v>
      </c>
      <c r="K504" s="64">
        <f>datos_base!$K$58*'Parametros Recargas'!L$36*'Parametros Recargas'!$Q$36</f>
        <v>174.2127648</v>
      </c>
      <c r="L504" s="64">
        <f>datos_base!$K$58*'Parametros Recargas'!M$36*'Parametros Recargas'!$Q$36</f>
        <v>163.9649551</v>
      </c>
      <c r="M504" s="64">
        <f>datos_base!$K$58*'Parametros Recargas'!N$36*'Parametros Recargas'!$Q$36</f>
        <v>163.9649551</v>
      </c>
      <c r="N504" s="64">
        <f>datos_base!$K$58*'Parametros Recargas'!O$36*'Parametros Recargas'!$Q$36</f>
        <v>225.4518133</v>
      </c>
      <c r="O504" s="84">
        <f t="shared" si="334"/>
        <v>2049.561939</v>
      </c>
    </row>
    <row r="505" ht="15.75" customHeight="1">
      <c r="A505" s="30" t="str">
        <f>datos_base!$A$69</f>
        <v>ABC 25 kg s/ruedas</v>
      </c>
      <c r="B505" s="139" t="s">
        <v>379</v>
      </c>
      <c r="C505" s="64">
        <f>datos_base!$K$69*'Parametros Recargas'!D$37*'Parametros Recargas'!$Q$37</f>
        <v>107.0319182</v>
      </c>
      <c r="D505" s="64">
        <f>datos_base!$K$69*'Parametros Recargas'!E$37*'Parametros Recargas'!$Q$37</f>
        <v>85.62553454</v>
      </c>
      <c r="E505" s="64">
        <f>datos_base!$K$69*'Parametros Recargas'!F$37*'Parametros Recargas'!$Q$37</f>
        <v>90.97713044</v>
      </c>
      <c r="F505" s="64">
        <f>datos_base!$K$69*'Parametros Recargas'!G$37*'Parametros Recargas'!$Q$37</f>
        <v>90.97713044</v>
      </c>
      <c r="G505" s="64">
        <f>datos_base!$K$69*'Parametros Recargas'!H$37*'Parametros Recargas'!$Q$37</f>
        <v>85.62553454</v>
      </c>
      <c r="H505" s="64">
        <f>datos_base!$K$69*'Parametros Recargas'!I$37*'Parametros Recargas'!$Q$37</f>
        <v>80.27393863</v>
      </c>
      <c r="I505" s="64">
        <f>datos_base!$K$69*'Parametros Recargas'!J$37*'Parametros Recargas'!$Q$37</f>
        <v>96.32872635</v>
      </c>
      <c r="J505" s="64">
        <f>datos_base!$K$69*'Parametros Recargas'!K$37*'Parametros Recargas'!$Q$37</f>
        <v>85.62553454</v>
      </c>
      <c r="K505" s="64">
        <f>datos_base!$K$69*'Parametros Recargas'!L$37*'Parametros Recargas'!$Q$37</f>
        <v>85.62553454</v>
      </c>
      <c r="L505" s="64">
        <f>datos_base!$K$69*'Parametros Recargas'!M$37*'Parametros Recargas'!$Q$37</f>
        <v>85.62553454</v>
      </c>
      <c r="M505" s="64">
        <f>datos_base!$K$69*'Parametros Recargas'!N$37*'Parametros Recargas'!$Q$37</f>
        <v>80.27393863</v>
      </c>
      <c r="N505" s="64">
        <f>datos_base!$K$69*'Parametros Recargas'!O$37*'Parametros Recargas'!$Q$37</f>
        <v>96.32872635</v>
      </c>
      <c r="O505" s="84">
        <f t="shared" si="334"/>
        <v>1070.319182</v>
      </c>
    </row>
    <row r="506" ht="15.75" customHeight="1">
      <c r="A506" s="30" t="str">
        <f>datos_base!$A$70</f>
        <v>ABC 50 kg s/ruedas</v>
      </c>
      <c r="B506" s="139" t="s">
        <v>379</v>
      </c>
      <c r="C506" s="64">
        <f>datos_base!$K$70*'Parametros Recargas'!D$38*'Parametros Recargas'!$Q$38</f>
        <v>235.5318506</v>
      </c>
      <c r="D506" s="64">
        <f>datos_base!$K$70*'Parametros Recargas'!E$38*'Parametros Recargas'!$Q$38</f>
        <v>188.4254805</v>
      </c>
      <c r="E506" s="64">
        <f>datos_base!$K$70*'Parametros Recargas'!F$38*'Parametros Recargas'!$Q$38</f>
        <v>200.202073</v>
      </c>
      <c r="F506" s="64">
        <f>datos_base!$K$70*'Parametros Recargas'!G$38*'Parametros Recargas'!$Q$38</f>
        <v>200.202073</v>
      </c>
      <c r="G506" s="64">
        <f>datos_base!$K$70*'Parametros Recargas'!H$38*'Parametros Recargas'!$Q$38</f>
        <v>188.4254805</v>
      </c>
      <c r="H506" s="64">
        <f>datos_base!$K$70*'Parametros Recargas'!I$38*'Parametros Recargas'!$Q$38</f>
        <v>176.648888</v>
      </c>
      <c r="I506" s="64">
        <f>datos_base!$K$70*'Parametros Recargas'!J$38*'Parametros Recargas'!$Q$38</f>
        <v>211.9786656</v>
      </c>
      <c r="J506" s="64">
        <f>datos_base!$K$70*'Parametros Recargas'!K$38*'Parametros Recargas'!$Q$38</f>
        <v>188.4254805</v>
      </c>
      <c r="K506" s="64">
        <f>datos_base!$K$70*'Parametros Recargas'!L$38*'Parametros Recargas'!$Q$38</f>
        <v>188.4254805</v>
      </c>
      <c r="L506" s="64">
        <f>datos_base!$K$70*'Parametros Recargas'!M$38*'Parametros Recargas'!$Q$38</f>
        <v>188.4254805</v>
      </c>
      <c r="M506" s="64">
        <f>datos_base!$K$70*'Parametros Recargas'!N$38*'Parametros Recargas'!$Q$38</f>
        <v>176.648888</v>
      </c>
      <c r="N506" s="64">
        <f>datos_base!$K$70*'Parametros Recargas'!O$38*'Parametros Recargas'!$Q$38</f>
        <v>211.9786656</v>
      </c>
      <c r="O506" s="84">
        <f t="shared" si="334"/>
        <v>2355.318506</v>
      </c>
    </row>
    <row r="507" ht="15.75" customHeight="1">
      <c r="A507" s="30" t="str">
        <f>datos_base!$A$71</f>
        <v>ABC 70 kg s/ruedas</v>
      </c>
      <c r="B507" s="139" t="s">
        <v>379</v>
      </c>
      <c r="C507" s="64">
        <f>datos_base!$K$71*'Parametros Recargas'!D$39*'Parametros Recargas'!$Q$39</f>
        <v>51.35888588</v>
      </c>
      <c r="D507" s="64">
        <f>datos_base!$K$71*'Parametros Recargas'!E$39*'Parametros Recargas'!$Q$39</f>
        <v>41.0871087</v>
      </c>
      <c r="E507" s="64">
        <f>datos_base!$K$71*'Parametros Recargas'!F$39*'Parametros Recargas'!$Q$39</f>
        <v>43.655053</v>
      </c>
      <c r="F507" s="64">
        <f>datos_base!$K$71*'Parametros Recargas'!G$39*'Parametros Recargas'!$Q$39</f>
        <v>43.655053</v>
      </c>
      <c r="G507" s="64">
        <f>datos_base!$K$71*'Parametros Recargas'!H$39*'Parametros Recargas'!$Q$39</f>
        <v>41.0871087</v>
      </c>
      <c r="H507" s="64">
        <f>datos_base!$K$71*'Parametros Recargas'!I$39*'Parametros Recargas'!$Q$39</f>
        <v>38.51916441</v>
      </c>
      <c r="I507" s="64">
        <f>datos_base!$K$71*'Parametros Recargas'!J$39*'Parametros Recargas'!$Q$39</f>
        <v>46.22299729</v>
      </c>
      <c r="J507" s="64">
        <f>datos_base!$K$71*'Parametros Recargas'!K$39*'Parametros Recargas'!$Q$39</f>
        <v>41.0871087</v>
      </c>
      <c r="K507" s="64">
        <f>datos_base!$K$71*'Parametros Recargas'!L$39*'Parametros Recargas'!$Q$39</f>
        <v>41.0871087</v>
      </c>
      <c r="L507" s="64">
        <f>datos_base!$K$71*'Parametros Recargas'!M$39*'Parametros Recargas'!$Q$39</f>
        <v>41.0871087</v>
      </c>
      <c r="M507" s="64">
        <f>datos_base!$K$71*'Parametros Recargas'!N$39*'Parametros Recargas'!$Q$39</f>
        <v>38.51916441</v>
      </c>
      <c r="N507" s="64">
        <f>datos_base!$K$71*'Parametros Recargas'!O$39*'Parametros Recargas'!$Q$39</f>
        <v>46.22299729</v>
      </c>
      <c r="O507" s="84">
        <f t="shared" si="334"/>
        <v>513.5888588</v>
      </c>
    </row>
    <row r="508" ht="15.75" customHeight="1">
      <c r="A508" s="30" t="str">
        <f>datos_base!$A$72</f>
        <v>ABC 100 kg s/ruedas</v>
      </c>
      <c r="B508" s="139" t="s">
        <v>379</v>
      </c>
      <c r="C508" s="64">
        <f>datos_base!$K$72*'Parametros Recargas'!D$40*'Parametros Recargas'!$Q$40</f>
        <v>34.20501799</v>
      </c>
      <c r="D508" s="64">
        <f>datos_base!$K$72*'Parametros Recargas'!E$40*'Parametros Recargas'!$Q$40</f>
        <v>27.3640144</v>
      </c>
      <c r="E508" s="64">
        <f>datos_base!$K$72*'Parametros Recargas'!F$40*'Parametros Recargas'!$Q$40</f>
        <v>29.0742653</v>
      </c>
      <c r="F508" s="64">
        <f>datos_base!$K$72*'Parametros Recargas'!G$40*'Parametros Recargas'!$Q$40</f>
        <v>29.0742653</v>
      </c>
      <c r="G508" s="64">
        <f>datos_base!$K$72*'Parametros Recargas'!H$40*'Parametros Recargas'!$Q$40</f>
        <v>27.3640144</v>
      </c>
      <c r="H508" s="64">
        <f>datos_base!$K$72*'Parametros Recargas'!I$40*'Parametros Recargas'!$Q$40</f>
        <v>25.6537635</v>
      </c>
      <c r="I508" s="64">
        <f>datos_base!$K$72*'Parametros Recargas'!J$40*'Parametros Recargas'!$Q$40</f>
        <v>30.7845162</v>
      </c>
      <c r="J508" s="64">
        <f>datos_base!$K$72*'Parametros Recargas'!K$40*'Parametros Recargas'!$Q$40</f>
        <v>27.3640144</v>
      </c>
      <c r="K508" s="64">
        <f>datos_base!$K$72*'Parametros Recargas'!L$40*'Parametros Recargas'!$Q$40</f>
        <v>27.3640144</v>
      </c>
      <c r="L508" s="64">
        <f>datos_base!$K$72*'Parametros Recargas'!M$40*'Parametros Recargas'!$Q$40</f>
        <v>27.3640144</v>
      </c>
      <c r="M508" s="64">
        <f>datos_base!$K$72*'Parametros Recargas'!N$40*'Parametros Recargas'!$Q$40</f>
        <v>25.6537635</v>
      </c>
      <c r="N508" s="64">
        <f>datos_base!$K$72*'Parametros Recargas'!O$40*'Parametros Recargas'!$Q$40</f>
        <v>30.7845162</v>
      </c>
      <c r="O508" s="84">
        <f t="shared" si="334"/>
        <v>342.0501799</v>
      </c>
    </row>
    <row r="509" ht="15.75" customHeight="1">
      <c r="A509" s="30" t="str">
        <f>datos_base!$A$62</f>
        <v>BC 5 kg</v>
      </c>
      <c r="B509" s="139" t="s">
        <v>398</v>
      </c>
      <c r="C509" s="64">
        <f>datos_base!$K$62*'Parametros Recargas'!D$41*'Parametros Recargas'!$Q$41</f>
        <v>14.88380513</v>
      </c>
      <c r="D509" s="64">
        <f>datos_base!$K$62*'Parametros Recargas'!E$41*'Parametros Recargas'!$Q$41</f>
        <v>13.230049</v>
      </c>
      <c r="E509" s="64">
        <f>datos_base!$K$62*'Parametros Recargas'!F$41*'Parametros Recargas'!$Q$41</f>
        <v>14.05692706</v>
      </c>
      <c r="F509" s="64">
        <f>datos_base!$K$62*'Parametros Recargas'!G$41*'Parametros Recargas'!$Q$41</f>
        <v>13.230049</v>
      </c>
      <c r="G509" s="64">
        <f>datos_base!$K$62*'Parametros Recargas'!H$41*'Parametros Recargas'!$Q$41</f>
        <v>12.40317094</v>
      </c>
      <c r="H509" s="64">
        <f>datos_base!$K$62*'Parametros Recargas'!I$41*'Parametros Recargas'!$Q$41</f>
        <v>11.57629288</v>
      </c>
      <c r="I509" s="64">
        <f>datos_base!$K$62*'Parametros Recargas'!J$41*'Parametros Recargas'!$Q$41</f>
        <v>13.230049</v>
      </c>
      <c r="J509" s="64">
        <f>datos_base!$K$62*'Parametros Recargas'!K$41*'Parametros Recargas'!$Q$41</f>
        <v>14.05692706</v>
      </c>
      <c r="K509" s="64">
        <f>datos_base!$K$62*'Parametros Recargas'!L$41*'Parametros Recargas'!$Q$41</f>
        <v>14.05692706</v>
      </c>
      <c r="L509" s="64">
        <f>datos_base!$K$62*'Parametros Recargas'!M$41*'Parametros Recargas'!$Q$41</f>
        <v>13.230049</v>
      </c>
      <c r="M509" s="64">
        <f>datos_base!$K$62*'Parametros Recargas'!N$41*'Parametros Recargas'!$Q$41</f>
        <v>13.230049</v>
      </c>
      <c r="N509" s="64">
        <f>datos_base!$K$62*'Parametros Recargas'!O$41*'Parametros Recargas'!$Q$41</f>
        <v>18.19131738</v>
      </c>
      <c r="O509" s="84">
        <f t="shared" si="334"/>
        <v>165.3756125</v>
      </c>
    </row>
    <row r="510" ht="15.75" customHeight="1">
      <c r="A510" s="30" t="str">
        <f>datos_base!$A$68</f>
        <v>Clase D 9 l</v>
      </c>
      <c r="B510" s="139" t="s">
        <v>402</v>
      </c>
      <c r="C510" s="64">
        <f>datos_base!$K$68*'Parametros Recargas'!D$42*'Parametros Recargas'!$Q$42</f>
        <v>13.46629988</v>
      </c>
      <c r="D510" s="64">
        <f>datos_base!$K$68*'Parametros Recargas'!E$42*'Parametros Recargas'!$Q$42</f>
        <v>11.97004434</v>
      </c>
      <c r="E510" s="64">
        <f>datos_base!$K$68*'Parametros Recargas'!F$42*'Parametros Recargas'!$Q$42</f>
        <v>12.71817211</v>
      </c>
      <c r="F510" s="64">
        <f>datos_base!$K$68*'Parametros Recargas'!G$42*'Parametros Recargas'!$Q$42</f>
        <v>11.97004434</v>
      </c>
      <c r="G510" s="64">
        <f>datos_base!$K$68*'Parametros Recargas'!H$42*'Parametros Recargas'!$Q$42</f>
        <v>11.22191656</v>
      </c>
      <c r="H510" s="64">
        <f>datos_base!$K$68*'Parametros Recargas'!I$42*'Parametros Recargas'!$Q$42</f>
        <v>10.47378879</v>
      </c>
      <c r="I510" s="64">
        <f>datos_base!$K$68*'Parametros Recargas'!J$42*'Parametros Recargas'!$Q$42</f>
        <v>11.97004434</v>
      </c>
      <c r="J510" s="64">
        <f>datos_base!$K$68*'Parametros Recargas'!K$42*'Parametros Recargas'!$Q$42</f>
        <v>12.71817211</v>
      </c>
      <c r="K510" s="64">
        <f>datos_base!$K$68*'Parametros Recargas'!L$42*'Parametros Recargas'!$Q$42</f>
        <v>12.71817211</v>
      </c>
      <c r="L510" s="64">
        <f>datos_base!$K$68*'Parametros Recargas'!M$42*'Parametros Recargas'!$Q$42</f>
        <v>11.97004434</v>
      </c>
      <c r="M510" s="64">
        <f>datos_base!$K$68*'Parametros Recargas'!N$42*'Parametros Recargas'!$Q$42</f>
        <v>11.97004434</v>
      </c>
      <c r="N510" s="64">
        <f>datos_base!$K$68*'Parametros Recargas'!O$42*'Parametros Recargas'!$Q$42</f>
        <v>16.45881096</v>
      </c>
      <c r="O510" s="84">
        <f t="shared" si="334"/>
        <v>149.6255542</v>
      </c>
    </row>
    <row r="511" ht="15.75" customHeight="1">
      <c r="A511" s="30" t="str">
        <f>datos_base!$A$59</f>
        <v>Agua 10 l</v>
      </c>
      <c r="B511" s="139" t="s">
        <v>407</v>
      </c>
      <c r="C511" s="64">
        <f>datos_base!$K$59*'Parametros Recargas'!D$43*'Parametros Recargas'!$Q$43</f>
        <v>260.3895514</v>
      </c>
      <c r="D511" s="64">
        <f>datos_base!$K$59*'Parametros Recargas'!E$43*'Parametros Recargas'!$Q$43</f>
        <v>231.457379</v>
      </c>
      <c r="E511" s="64">
        <f>datos_base!$K$59*'Parametros Recargas'!F$43*'Parametros Recargas'!$Q$43</f>
        <v>245.9234652</v>
      </c>
      <c r="F511" s="64">
        <f>datos_base!$K$59*'Parametros Recargas'!G$43*'Parametros Recargas'!$Q$43</f>
        <v>231.457379</v>
      </c>
      <c r="G511" s="64">
        <f>datos_base!$K$59*'Parametros Recargas'!H$43*'Parametros Recargas'!$Q$43</f>
        <v>216.9912928</v>
      </c>
      <c r="H511" s="64">
        <f>datos_base!$K$59*'Parametros Recargas'!I$43*'Parametros Recargas'!$Q$43</f>
        <v>202.5252066</v>
      </c>
      <c r="I511" s="64">
        <f>datos_base!$K$59*'Parametros Recargas'!J$43*'Parametros Recargas'!$Q$43</f>
        <v>231.457379</v>
      </c>
      <c r="J511" s="64">
        <f>datos_base!$K$59*'Parametros Recargas'!K$43*'Parametros Recargas'!$Q$43</f>
        <v>245.9234652</v>
      </c>
      <c r="K511" s="64">
        <f>datos_base!$K$59*'Parametros Recargas'!L$43*'Parametros Recargas'!$Q$43</f>
        <v>245.9234652</v>
      </c>
      <c r="L511" s="64">
        <f>datos_base!$K$59*'Parametros Recargas'!M$43*'Parametros Recargas'!$Q$43</f>
        <v>231.457379</v>
      </c>
      <c r="M511" s="64">
        <f>datos_base!$K$59*'Parametros Recargas'!N$43*'Parametros Recargas'!$Q$43</f>
        <v>231.457379</v>
      </c>
      <c r="N511" s="64">
        <f>datos_base!$K$59*'Parametros Recargas'!O$43*'Parametros Recargas'!$Q$43</f>
        <v>318.2538962</v>
      </c>
      <c r="O511" s="84">
        <f t="shared" si="334"/>
        <v>2893.217238</v>
      </c>
    </row>
    <row r="512" ht="15.75" customHeight="1">
      <c r="A512" s="30" t="str">
        <f>datos_base!$A$60</f>
        <v>AFFF 10 l</v>
      </c>
      <c r="B512" s="139" t="s">
        <v>407</v>
      </c>
      <c r="C512" s="64">
        <f>datos_base!$K$60*'Parametros Recargas'!D$44*'Parametros Recargas'!$Q$44</f>
        <v>49.4586071</v>
      </c>
      <c r="D512" s="64">
        <f>datos_base!$K$60*'Parametros Recargas'!E$44*'Parametros Recargas'!$Q$44</f>
        <v>43.96320631</v>
      </c>
      <c r="E512" s="64">
        <f>datos_base!$K$60*'Parametros Recargas'!F$44*'Parametros Recargas'!$Q$44</f>
        <v>46.71090671</v>
      </c>
      <c r="F512" s="64">
        <f>datos_base!$K$60*'Parametros Recargas'!G$44*'Parametros Recargas'!$Q$44</f>
        <v>43.96320631</v>
      </c>
      <c r="G512" s="64">
        <f>datos_base!$K$60*'Parametros Recargas'!H$44*'Parametros Recargas'!$Q$44</f>
        <v>41.21550592</v>
      </c>
      <c r="H512" s="64">
        <f>datos_base!$K$60*'Parametros Recargas'!I$44*'Parametros Recargas'!$Q$44</f>
        <v>38.46780552</v>
      </c>
      <c r="I512" s="64">
        <f>datos_base!$K$60*'Parametros Recargas'!J$44*'Parametros Recargas'!$Q$44</f>
        <v>43.96320631</v>
      </c>
      <c r="J512" s="64">
        <f>datos_base!$K$60*'Parametros Recargas'!K$44*'Parametros Recargas'!$Q$44</f>
        <v>46.71090671</v>
      </c>
      <c r="K512" s="64">
        <f>datos_base!$K$60*'Parametros Recargas'!L$44*'Parametros Recargas'!$Q$44</f>
        <v>46.71090671</v>
      </c>
      <c r="L512" s="64">
        <f>datos_base!$K$60*'Parametros Recargas'!M$44*'Parametros Recargas'!$Q$44</f>
        <v>43.96320631</v>
      </c>
      <c r="M512" s="64">
        <f>datos_base!$K$60*'Parametros Recargas'!N$44*'Parametros Recargas'!$Q$44</f>
        <v>43.96320631</v>
      </c>
      <c r="N512" s="64">
        <f>datos_base!$K$60*'Parametros Recargas'!O$44*'Parametros Recargas'!$Q$44</f>
        <v>60.44940868</v>
      </c>
      <c r="O512" s="84">
        <f t="shared" si="334"/>
        <v>549.5400789</v>
      </c>
    </row>
    <row r="513" ht="15.75" customHeight="1">
      <c r="A513" s="30" t="str">
        <f>datos_base!$A$63</f>
        <v>Sales K 6 l</v>
      </c>
      <c r="B513" s="139" t="s">
        <v>407</v>
      </c>
      <c r="C513" s="64">
        <f>datos_base!$K$63*'Parametros Recargas'!D$45*'Parametros Recargas'!$Q$45</f>
        <v>128.4383018</v>
      </c>
      <c r="D513" s="64">
        <f>datos_base!$K$63*'Parametros Recargas'!E$45*'Parametros Recargas'!$Q$45</f>
        <v>114.1673794</v>
      </c>
      <c r="E513" s="64">
        <f>datos_base!$K$63*'Parametros Recargas'!F$45*'Parametros Recargas'!$Q$45</f>
        <v>121.3028406</v>
      </c>
      <c r="F513" s="64">
        <f>datos_base!$K$63*'Parametros Recargas'!G$45*'Parametros Recargas'!$Q$45</f>
        <v>114.1673794</v>
      </c>
      <c r="G513" s="64">
        <f>datos_base!$K$63*'Parametros Recargas'!H$45*'Parametros Recargas'!$Q$45</f>
        <v>107.0319182</v>
      </c>
      <c r="H513" s="64">
        <f>datos_base!$K$63*'Parametros Recargas'!I$45*'Parametros Recargas'!$Q$45</f>
        <v>99.89645696</v>
      </c>
      <c r="I513" s="64">
        <f>datos_base!$K$63*'Parametros Recargas'!J$45*'Parametros Recargas'!$Q$45</f>
        <v>114.1673794</v>
      </c>
      <c r="J513" s="64">
        <f>datos_base!$K$63*'Parametros Recargas'!K$45*'Parametros Recargas'!$Q$45</f>
        <v>121.3028406</v>
      </c>
      <c r="K513" s="64">
        <f>datos_base!$K$63*'Parametros Recargas'!L$45*'Parametros Recargas'!$Q$45</f>
        <v>121.3028406</v>
      </c>
      <c r="L513" s="64">
        <f>datos_base!$K$63*'Parametros Recargas'!M$45*'Parametros Recargas'!$Q$45</f>
        <v>114.1673794</v>
      </c>
      <c r="M513" s="64">
        <f>datos_base!$K$63*'Parametros Recargas'!N$45*'Parametros Recargas'!$Q$45</f>
        <v>114.1673794</v>
      </c>
      <c r="N513" s="64">
        <f>datos_base!$K$63*'Parametros Recargas'!O$45*'Parametros Recargas'!$Q$45</f>
        <v>156.9801466</v>
      </c>
      <c r="O513" s="84">
        <f t="shared" si="334"/>
        <v>1427.092242</v>
      </c>
    </row>
    <row r="514" ht="15.75" customHeight="1">
      <c r="A514" s="30" t="str">
        <f>datos_base!$A$61</f>
        <v>AFFF 50 l s/ruedas</v>
      </c>
      <c r="B514" s="139" t="s">
        <v>407</v>
      </c>
      <c r="C514" s="64">
        <f>datos_base!$K$61*'Parametros Recargas'!D$46*'Parametros Recargas'!$Q$46</f>
        <v>85.97477496</v>
      </c>
      <c r="D514" s="64">
        <f>datos_base!$K$61*'Parametros Recargas'!E$46*'Parametros Recargas'!$Q$46</f>
        <v>68.77981997</v>
      </c>
      <c r="E514" s="64">
        <f>datos_base!$K$61*'Parametros Recargas'!F$46*'Parametros Recargas'!$Q$46</f>
        <v>73.07855872</v>
      </c>
      <c r="F514" s="64">
        <f>datos_base!$K$61*'Parametros Recargas'!G$46*'Parametros Recargas'!$Q$46</f>
        <v>73.07855872</v>
      </c>
      <c r="G514" s="64">
        <f>datos_base!$K$61*'Parametros Recargas'!H$46*'Parametros Recargas'!$Q$46</f>
        <v>68.77981997</v>
      </c>
      <c r="H514" s="64">
        <f>datos_base!$K$61*'Parametros Recargas'!I$46*'Parametros Recargas'!$Q$46</f>
        <v>64.48108122</v>
      </c>
      <c r="I514" s="64">
        <f>datos_base!$K$61*'Parametros Recargas'!J$46*'Parametros Recargas'!$Q$46</f>
        <v>77.37729746</v>
      </c>
      <c r="J514" s="64">
        <f>datos_base!$K$61*'Parametros Recargas'!K$46*'Parametros Recargas'!$Q$46</f>
        <v>68.77981997</v>
      </c>
      <c r="K514" s="64">
        <f>datos_base!$K$61*'Parametros Recargas'!L$46*'Parametros Recargas'!$Q$46</f>
        <v>68.77981997</v>
      </c>
      <c r="L514" s="64">
        <f>datos_base!$K$61*'Parametros Recargas'!M$46*'Parametros Recargas'!$Q$46</f>
        <v>68.77981997</v>
      </c>
      <c r="M514" s="64">
        <f>datos_base!$K$61*'Parametros Recargas'!N$46*'Parametros Recargas'!$Q$46</f>
        <v>64.48108122</v>
      </c>
      <c r="N514" s="64">
        <f>datos_base!$K$61*'Parametros Recargas'!O$46*'Parametros Recargas'!$Q$46</f>
        <v>77.37729746</v>
      </c>
      <c r="O514" s="84">
        <f t="shared" si="334"/>
        <v>859.7477496</v>
      </c>
    </row>
    <row r="515" ht="15.75" customHeight="1">
      <c r="A515" s="30" t="str">
        <f>datos_base!$A$64</f>
        <v>CO₂ 2 kg</v>
      </c>
      <c r="B515" s="139" t="s">
        <v>418</v>
      </c>
      <c r="C515" s="64">
        <f>datos_base!$K$64*'Parametros Recargas'!D$47*'Parametros Recargas'!$Q$47</f>
        <v>700.5557469</v>
      </c>
      <c r="D515" s="64">
        <f>datos_base!$K$64*'Parametros Recargas'!E$47*'Parametros Recargas'!$Q$47</f>
        <v>622.7162195</v>
      </c>
      <c r="E515" s="64">
        <f>datos_base!$K$64*'Parametros Recargas'!F$47*'Parametros Recargas'!$Q$47</f>
        <v>661.6359832</v>
      </c>
      <c r="F515" s="64">
        <f>datos_base!$K$64*'Parametros Recargas'!G$47*'Parametros Recargas'!$Q$47</f>
        <v>622.7162195</v>
      </c>
      <c r="G515" s="64">
        <f>datos_base!$K$64*'Parametros Recargas'!H$47*'Parametros Recargas'!$Q$47</f>
        <v>583.7964558</v>
      </c>
      <c r="H515" s="64">
        <f>datos_base!$K$64*'Parametros Recargas'!I$47*'Parametros Recargas'!$Q$47</f>
        <v>544.8766921</v>
      </c>
      <c r="I515" s="64">
        <f>datos_base!$K$64*'Parametros Recargas'!J$47*'Parametros Recargas'!$Q$47</f>
        <v>622.7162195</v>
      </c>
      <c r="J515" s="64">
        <f>datos_base!$K$64*'Parametros Recargas'!K$47*'Parametros Recargas'!$Q$47</f>
        <v>661.6359832</v>
      </c>
      <c r="K515" s="64">
        <f>datos_base!$K$64*'Parametros Recargas'!L$47*'Parametros Recargas'!$Q$47</f>
        <v>661.6359832</v>
      </c>
      <c r="L515" s="64">
        <f>datos_base!$K$64*'Parametros Recargas'!M$47*'Parametros Recargas'!$Q$47</f>
        <v>622.7162195</v>
      </c>
      <c r="M515" s="64">
        <f>datos_base!$K$64*'Parametros Recargas'!N$47*'Parametros Recargas'!$Q$47</f>
        <v>622.7162195</v>
      </c>
      <c r="N515" s="64">
        <f>datos_base!$K$64*'Parametros Recargas'!O$47*'Parametros Recargas'!$Q$47</f>
        <v>856.2348018</v>
      </c>
      <c r="O515" s="84">
        <f t="shared" si="334"/>
        <v>7783.952744</v>
      </c>
    </row>
    <row r="516" ht="15.75" customHeight="1">
      <c r="A516" s="30" t="str">
        <f>datos_base!$A$65</f>
        <v>CO₂ 5 kg</v>
      </c>
      <c r="B516" s="139" t="s">
        <v>418</v>
      </c>
      <c r="C516" s="64">
        <f>datos_base!$K$65*'Parametros Recargas'!D$48*'Parametros Recargas'!$Q$48</f>
        <v>239.435126</v>
      </c>
      <c r="D516" s="64">
        <f>datos_base!$K$65*'Parametros Recargas'!E$48*'Parametros Recargas'!$Q$48</f>
        <v>212.8312231</v>
      </c>
      <c r="E516" s="64">
        <f>datos_base!$K$65*'Parametros Recargas'!F$48*'Parametros Recargas'!$Q$48</f>
        <v>226.1331745</v>
      </c>
      <c r="F516" s="64">
        <f>datos_base!$K$65*'Parametros Recargas'!G$48*'Parametros Recargas'!$Q$48</f>
        <v>212.8312231</v>
      </c>
      <c r="G516" s="64">
        <f>datos_base!$K$65*'Parametros Recargas'!H$48*'Parametros Recargas'!$Q$48</f>
        <v>199.5292716</v>
      </c>
      <c r="H516" s="64">
        <f>datos_base!$K$65*'Parametros Recargas'!I$48*'Parametros Recargas'!$Q$48</f>
        <v>186.2273202</v>
      </c>
      <c r="I516" s="64">
        <f>datos_base!$K$65*'Parametros Recargas'!J$48*'Parametros Recargas'!$Q$48</f>
        <v>212.8312231</v>
      </c>
      <c r="J516" s="64">
        <f>datos_base!$K$65*'Parametros Recargas'!K$48*'Parametros Recargas'!$Q$48</f>
        <v>226.1331745</v>
      </c>
      <c r="K516" s="64">
        <f>datos_base!$K$65*'Parametros Recargas'!L$48*'Parametros Recargas'!$Q$48</f>
        <v>226.1331745</v>
      </c>
      <c r="L516" s="64">
        <f>datos_base!$K$65*'Parametros Recargas'!M$48*'Parametros Recargas'!$Q$48</f>
        <v>212.8312231</v>
      </c>
      <c r="M516" s="64">
        <f>datos_base!$K$65*'Parametros Recargas'!N$48*'Parametros Recargas'!$Q$48</f>
        <v>212.8312231</v>
      </c>
      <c r="N516" s="64">
        <f>datos_base!$K$65*'Parametros Recargas'!O$48*'Parametros Recargas'!$Q$48</f>
        <v>292.6429317</v>
      </c>
      <c r="O516" s="84">
        <f t="shared" si="334"/>
        <v>2660.390288</v>
      </c>
    </row>
    <row r="517" ht="15.75" customHeight="1">
      <c r="A517" s="30" t="str">
        <f>datos_base!$A$67</f>
        <v>HCFC/HFC 5 kg</v>
      </c>
      <c r="B517" s="139" t="s">
        <v>422</v>
      </c>
      <c r="C517" s="64">
        <f>datos_base!$K$67*'Parametros Recargas'!D$49*'Parametros Recargas'!$Q$49</f>
        <v>39.1971017</v>
      </c>
      <c r="D517" s="64">
        <f>datos_base!$K$67*'Parametros Recargas'!E$49*'Parametros Recargas'!$Q$49</f>
        <v>34.84186818</v>
      </c>
      <c r="E517" s="64">
        <f>datos_base!$K$67*'Parametros Recargas'!F$49*'Parametros Recargas'!$Q$49</f>
        <v>37.01948494</v>
      </c>
      <c r="F517" s="64">
        <f>datos_base!$K$67*'Parametros Recargas'!G$49*'Parametros Recargas'!$Q$49</f>
        <v>34.84186818</v>
      </c>
      <c r="G517" s="64">
        <f>datos_base!$K$67*'Parametros Recargas'!H$49*'Parametros Recargas'!$Q$49</f>
        <v>32.66425142</v>
      </c>
      <c r="H517" s="64">
        <f>datos_base!$K$67*'Parametros Recargas'!I$49*'Parametros Recargas'!$Q$49</f>
        <v>30.48663466</v>
      </c>
      <c r="I517" s="64">
        <f>datos_base!$K$67*'Parametros Recargas'!J$49*'Parametros Recargas'!$Q$49</f>
        <v>34.84186818</v>
      </c>
      <c r="J517" s="64">
        <f>datos_base!$K$67*'Parametros Recargas'!K$49*'Parametros Recargas'!$Q$49</f>
        <v>37.01948494</v>
      </c>
      <c r="K517" s="64">
        <f>datos_base!$K$67*'Parametros Recargas'!L$49*'Parametros Recargas'!$Q$49</f>
        <v>37.01948494</v>
      </c>
      <c r="L517" s="64">
        <f>datos_base!$K$67*'Parametros Recargas'!M$49*'Parametros Recargas'!$Q$49</f>
        <v>34.84186818</v>
      </c>
      <c r="M517" s="64">
        <f>datos_base!$K$67*'Parametros Recargas'!N$49*'Parametros Recargas'!$Q$49</f>
        <v>34.84186818</v>
      </c>
      <c r="N517" s="64">
        <f>datos_base!$K$67*'Parametros Recargas'!O$49*'Parametros Recargas'!$Q$49</f>
        <v>47.90756875</v>
      </c>
      <c r="O517" s="84">
        <f t="shared" si="334"/>
        <v>435.5233522</v>
      </c>
    </row>
    <row r="518" ht="15.75" customHeight="1">
      <c r="A518" s="29" t="s">
        <v>426</v>
      </c>
      <c r="B518" s="29"/>
      <c r="C518" s="29" t="s">
        <v>109</v>
      </c>
      <c r="D518" s="29" t="s">
        <v>110</v>
      </c>
      <c r="E518" s="29" t="s">
        <v>111</v>
      </c>
      <c r="F518" s="29" t="s">
        <v>112</v>
      </c>
      <c r="G518" s="29" t="s">
        <v>113</v>
      </c>
      <c r="H518" s="29" t="s">
        <v>114</v>
      </c>
      <c r="I518" s="29" t="s">
        <v>115</v>
      </c>
      <c r="J518" s="29" t="s">
        <v>116</v>
      </c>
      <c r="K518" s="29" t="s">
        <v>117</v>
      </c>
      <c r="L518" s="29" t="s">
        <v>118</v>
      </c>
      <c r="M518" s="29" t="s">
        <v>119</v>
      </c>
      <c r="N518" s="29" t="s">
        <v>120</v>
      </c>
      <c r="O518" s="29" t="s">
        <v>15</v>
      </c>
    </row>
    <row r="519" ht="15.75" customHeight="1">
      <c r="A519" s="73" t="s">
        <v>379</v>
      </c>
      <c r="B519" s="118" t="s">
        <v>431</v>
      </c>
      <c r="C519" s="64">
        <f t="shared" ref="C519:N519" si="335">SUM(C501:C508)</f>
        <v>10960.62994</v>
      </c>
      <c r="D519" s="64">
        <f t="shared" si="335"/>
        <v>8972.929441</v>
      </c>
      <c r="E519" s="64">
        <f t="shared" si="335"/>
        <v>9206.109055</v>
      </c>
      <c r="F519" s="64">
        <f t="shared" si="335"/>
        <v>8994.335825</v>
      </c>
      <c r="G519" s="64">
        <f t="shared" si="335"/>
        <v>8761.156211</v>
      </c>
      <c r="H519" s="64">
        <f t="shared" si="335"/>
        <v>8527.976597</v>
      </c>
      <c r="I519" s="64">
        <f t="shared" si="335"/>
        <v>9015.742208</v>
      </c>
      <c r="J519" s="64">
        <f t="shared" si="335"/>
        <v>9184.702671</v>
      </c>
      <c r="K519" s="64">
        <f t="shared" si="335"/>
        <v>9184.702671</v>
      </c>
      <c r="L519" s="64">
        <f t="shared" si="335"/>
        <v>8972.929441</v>
      </c>
      <c r="M519" s="64">
        <f t="shared" si="335"/>
        <v>8951.523057</v>
      </c>
      <c r="N519" s="64">
        <f t="shared" si="335"/>
        <v>13109.02692</v>
      </c>
      <c r="O519" s="84">
        <f t="shared" ref="O519:O524" si="337">SUM(C519:N519)</f>
        <v>113841.764</v>
      </c>
    </row>
    <row r="520" ht="15.75" customHeight="1">
      <c r="A520" s="73" t="s">
        <v>398</v>
      </c>
      <c r="B520" s="118" t="s">
        <v>431</v>
      </c>
      <c r="C520" s="64">
        <f t="shared" ref="C520:N520" si="336">SUM(C509)</f>
        <v>14.88380513</v>
      </c>
      <c r="D520" s="64">
        <f t="shared" si="336"/>
        <v>13.230049</v>
      </c>
      <c r="E520" s="64">
        <f t="shared" si="336"/>
        <v>14.05692706</v>
      </c>
      <c r="F520" s="64">
        <f t="shared" si="336"/>
        <v>13.230049</v>
      </c>
      <c r="G520" s="64">
        <f t="shared" si="336"/>
        <v>12.40317094</v>
      </c>
      <c r="H520" s="64">
        <f t="shared" si="336"/>
        <v>11.57629288</v>
      </c>
      <c r="I520" s="64">
        <f t="shared" si="336"/>
        <v>13.230049</v>
      </c>
      <c r="J520" s="64">
        <f t="shared" si="336"/>
        <v>14.05692706</v>
      </c>
      <c r="K520" s="64">
        <f t="shared" si="336"/>
        <v>14.05692706</v>
      </c>
      <c r="L520" s="64">
        <f t="shared" si="336"/>
        <v>13.230049</v>
      </c>
      <c r="M520" s="64">
        <f t="shared" si="336"/>
        <v>13.230049</v>
      </c>
      <c r="N520" s="64">
        <f t="shared" si="336"/>
        <v>18.19131738</v>
      </c>
      <c r="O520" s="84">
        <f t="shared" si="337"/>
        <v>165.3756125</v>
      </c>
    </row>
    <row r="521" ht="15.75" customHeight="1">
      <c r="A521" s="73" t="s">
        <v>402</v>
      </c>
      <c r="B521" s="118" t="s">
        <v>431</v>
      </c>
      <c r="C521" s="64">
        <f t="shared" ref="C521:N521" si="338">SUM(C510)</f>
        <v>13.46629988</v>
      </c>
      <c r="D521" s="64">
        <f t="shared" si="338"/>
        <v>11.97004434</v>
      </c>
      <c r="E521" s="64">
        <f t="shared" si="338"/>
        <v>12.71817211</v>
      </c>
      <c r="F521" s="64">
        <f t="shared" si="338"/>
        <v>11.97004434</v>
      </c>
      <c r="G521" s="64">
        <f t="shared" si="338"/>
        <v>11.22191656</v>
      </c>
      <c r="H521" s="64">
        <f t="shared" si="338"/>
        <v>10.47378879</v>
      </c>
      <c r="I521" s="64">
        <f t="shared" si="338"/>
        <v>11.97004434</v>
      </c>
      <c r="J521" s="64">
        <f t="shared" si="338"/>
        <v>12.71817211</v>
      </c>
      <c r="K521" s="64">
        <f t="shared" si="338"/>
        <v>12.71817211</v>
      </c>
      <c r="L521" s="64">
        <f t="shared" si="338"/>
        <v>11.97004434</v>
      </c>
      <c r="M521" s="64">
        <f t="shared" si="338"/>
        <v>11.97004434</v>
      </c>
      <c r="N521" s="64">
        <f t="shared" si="338"/>
        <v>16.45881096</v>
      </c>
      <c r="O521" s="84">
        <f t="shared" si="337"/>
        <v>149.6255542</v>
      </c>
    </row>
    <row r="522" ht="15.75" customHeight="1">
      <c r="A522" s="73" t="s">
        <v>407</v>
      </c>
      <c r="B522" s="118" t="s">
        <v>431</v>
      </c>
      <c r="C522" s="64">
        <f t="shared" ref="C522:N522" si="339">SUM(C511:C514)</f>
        <v>524.2612353</v>
      </c>
      <c r="D522" s="64">
        <f t="shared" si="339"/>
        <v>458.3677847</v>
      </c>
      <c r="E522" s="64">
        <f t="shared" si="339"/>
        <v>487.0157712</v>
      </c>
      <c r="F522" s="64">
        <f t="shared" si="339"/>
        <v>462.6665234</v>
      </c>
      <c r="G522" s="64">
        <f t="shared" si="339"/>
        <v>434.0185369</v>
      </c>
      <c r="H522" s="64">
        <f t="shared" si="339"/>
        <v>405.3705503</v>
      </c>
      <c r="I522" s="64">
        <f t="shared" si="339"/>
        <v>466.9652622</v>
      </c>
      <c r="J522" s="64">
        <f t="shared" si="339"/>
        <v>482.7170325</v>
      </c>
      <c r="K522" s="64">
        <f t="shared" si="339"/>
        <v>482.7170325</v>
      </c>
      <c r="L522" s="64">
        <f t="shared" si="339"/>
        <v>458.3677847</v>
      </c>
      <c r="M522" s="64">
        <f t="shared" si="339"/>
        <v>454.0690459</v>
      </c>
      <c r="N522" s="64">
        <f t="shared" si="339"/>
        <v>613.0607489</v>
      </c>
      <c r="O522" s="84">
        <f t="shared" si="337"/>
        <v>5729.597309</v>
      </c>
    </row>
    <row r="523" ht="15.75" customHeight="1">
      <c r="A523" s="73" t="s">
        <v>418</v>
      </c>
      <c r="B523" s="118" t="s">
        <v>431</v>
      </c>
      <c r="C523" s="64">
        <f t="shared" ref="C523:N523" si="340">SUM(C515:C516)</f>
        <v>939.9908729</v>
      </c>
      <c r="D523" s="64">
        <f t="shared" si="340"/>
        <v>835.5474426</v>
      </c>
      <c r="E523" s="64">
        <f t="shared" si="340"/>
        <v>887.7691577</v>
      </c>
      <c r="F523" s="64">
        <f t="shared" si="340"/>
        <v>835.5474426</v>
      </c>
      <c r="G523" s="64">
        <f t="shared" si="340"/>
        <v>783.3257274</v>
      </c>
      <c r="H523" s="64">
        <f t="shared" si="340"/>
        <v>731.1040122</v>
      </c>
      <c r="I523" s="64">
        <f t="shared" si="340"/>
        <v>835.5474426</v>
      </c>
      <c r="J523" s="64">
        <f t="shared" si="340"/>
        <v>887.7691577</v>
      </c>
      <c r="K523" s="64">
        <f t="shared" si="340"/>
        <v>887.7691577</v>
      </c>
      <c r="L523" s="64">
        <f t="shared" si="340"/>
        <v>835.5474426</v>
      </c>
      <c r="M523" s="64">
        <f t="shared" si="340"/>
        <v>835.5474426</v>
      </c>
      <c r="N523" s="64">
        <f t="shared" si="340"/>
        <v>1148.877734</v>
      </c>
      <c r="O523" s="84">
        <f t="shared" si="337"/>
        <v>10444.34303</v>
      </c>
    </row>
    <row r="524" ht="15.75" customHeight="1">
      <c r="A524" s="73" t="s">
        <v>422</v>
      </c>
      <c r="B524" s="118" t="s">
        <v>431</v>
      </c>
      <c r="C524" s="64">
        <f t="shared" ref="C524:N524" si="341">SUM(C517)</f>
        <v>39.1971017</v>
      </c>
      <c r="D524" s="64">
        <f t="shared" si="341"/>
        <v>34.84186818</v>
      </c>
      <c r="E524" s="64">
        <f t="shared" si="341"/>
        <v>37.01948494</v>
      </c>
      <c r="F524" s="64">
        <f t="shared" si="341"/>
        <v>34.84186818</v>
      </c>
      <c r="G524" s="64">
        <f t="shared" si="341"/>
        <v>32.66425142</v>
      </c>
      <c r="H524" s="64">
        <f t="shared" si="341"/>
        <v>30.48663466</v>
      </c>
      <c r="I524" s="64">
        <f t="shared" si="341"/>
        <v>34.84186818</v>
      </c>
      <c r="J524" s="64">
        <f t="shared" si="341"/>
        <v>37.01948494</v>
      </c>
      <c r="K524" s="64">
        <f t="shared" si="341"/>
        <v>37.01948494</v>
      </c>
      <c r="L524" s="64">
        <f t="shared" si="341"/>
        <v>34.84186818</v>
      </c>
      <c r="M524" s="64">
        <f t="shared" si="341"/>
        <v>34.84186818</v>
      </c>
      <c r="N524" s="64">
        <f t="shared" si="341"/>
        <v>47.90756875</v>
      </c>
      <c r="O524" s="84">
        <f t="shared" si="337"/>
        <v>435.5233522</v>
      </c>
    </row>
    <row r="525" ht="27.75" customHeight="1">
      <c r="A525" s="29" t="s">
        <v>446</v>
      </c>
      <c r="B525" s="29" t="s">
        <v>447</v>
      </c>
      <c r="C525" s="29" t="s">
        <v>109</v>
      </c>
      <c r="D525" s="29" t="s">
        <v>110</v>
      </c>
      <c r="E525" s="29" t="s">
        <v>111</v>
      </c>
      <c r="F525" s="29" t="s">
        <v>112</v>
      </c>
      <c r="G525" s="29" t="s">
        <v>113</v>
      </c>
      <c r="H525" s="29" t="s">
        <v>114</v>
      </c>
      <c r="I525" s="29" t="s">
        <v>115</v>
      </c>
      <c r="J525" s="29" t="s">
        <v>116</v>
      </c>
      <c r="K525" s="29" t="s">
        <v>117</v>
      </c>
      <c r="L525" s="29" t="s">
        <v>118</v>
      </c>
      <c r="M525" s="29" t="s">
        <v>119</v>
      </c>
      <c r="N525" s="29" t="s">
        <v>120</v>
      </c>
      <c r="O525" s="29" t="s">
        <v>448</v>
      </c>
      <c r="P525" s="29" t="s">
        <v>148</v>
      </c>
      <c r="Q525" s="29" t="s">
        <v>1222</v>
      </c>
      <c r="R525" s="29" t="s">
        <v>209</v>
      </c>
      <c r="S525" s="29" t="s">
        <v>450</v>
      </c>
      <c r="T525" s="29" t="s">
        <v>451</v>
      </c>
      <c r="U525" s="29" t="s">
        <v>452</v>
      </c>
      <c r="V525" s="29" t="s">
        <v>453</v>
      </c>
      <c r="W525" s="29" t="s">
        <v>454</v>
      </c>
      <c r="X525" s="29" t="s">
        <v>418</v>
      </c>
      <c r="Y525" s="29" t="s">
        <v>455</v>
      </c>
      <c r="Z525" s="29" t="s">
        <v>456</v>
      </c>
      <c r="AA525" s="29" t="s">
        <v>1223</v>
      </c>
    </row>
    <row r="526" ht="15.75" customHeight="1">
      <c r="A526" s="73" t="s">
        <v>457</v>
      </c>
      <c r="B526" s="248" t="s">
        <v>458</v>
      </c>
      <c r="C526" s="249">
        <f t="shared" ref="C526:N526" si="342">($T526*C$519+$U526*C$520+$V526*C$521+$W526*C$522+$X526*C$523+$Y526*C$524)/$B$2</f>
        <v>83.28286173</v>
      </c>
      <c r="D526" s="249">
        <f t="shared" si="342"/>
        <v>68.84591086</v>
      </c>
      <c r="E526" s="249">
        <f t="shared" si="342"/>
        <v>70.96459045</v>
      </c>
      <c r="F526" s="249">
        <f t="shared" si="342"/>
        <v>69.01727835</v>
      </c>
      <c r="G526" s="249">
        <f t="shared" si="342"/>
        <v>66.89859876</v>
      </c>
      <c r="H526" s="249">
        <f t="shared" si="342"/>
        <v>64.77991917</v>
      </c>
      <c r="I526" s="249">
        <f t="shared" si="342"/>
        <v>69.18864583</v>
      </c>
      <c r="J526" s="249">
        <f t="shared" si="342"/>
        <v>70.79322297</v>
      </c>
      <c r="K526" s="249">
        <f t="shared" si="342"/>
        <v>70.79322297</v>
      </c>
      <c r="L526" s="249">
        <f t="shared" si="342"/>
        <v>68.84591086</v>
      </c>
      <c r="M526" s="249">
        <f t="shared" si="342"/>
        <v>68.67454338</v>
      </c>
      <c r="N526" s="249">
        <f t="shared" si="342"/>
        <v>99.69015402</v>
      </c>
      <c r="O526" s="250">
        <f t="shared" ref="O526:O552" si="344">MAX(C526:N526)</f>
        <v>99.69015402</v>
      </c>
      <c r="P526" s="249">
        <f>'Parametros Recargas'!$M$85</f>
        <v>72</v>
      </c>
      <c r="Q526" s="251">
        <f>MAX(Q471,ROUNDUP(O526/(P526*'Parametros Recargas'!K$8*'Parametros Recargas'!$B$19),0))</f>
        <v>1</v>
      </c>
      <c r="R526" s="252">
        <f>IF(AND('Parametros Recargas'!K$8=2,O526/(P526*Q526*'Parametros Recargas'!$B$19)&gt;1),2,1)</f>
        <v>2</v>
      </c>
      <c r="S526" s="253">
        <f t="shared" ref="S526:S551" si="345">O526/(P526*Q526*R526)</f>
        <v>0.6922927362</v>
      </c>
      <c r="T526" s="254">
        <f>'Parametros Recargas'!D54</f>
        <v>1</v>
      </c>
      <c r="U526" s="254">
        <f>'Parametros Recargas'!E54</f>
        <v>1</v>
      </c>
      <c r="V526" s="254">
        <f>'Parametros Recargas'!F54</f>
        <v>1</v>
      </c>
      <c r="W526" s="254">
        <f>'Parametros Recargas'!G54</f>
        <v>1</v>
      </c>
      <c r="X526" s="254">
        <f>'Parametros Recargas'!H54</f>
        <v>1</v>
      </c>
      <c r="Y526" s="254">
        <f>'Parametros Recargas'!I54</f>
        <v>1</v>
      </c>
      <c r="Z526" s="255">
        <f>'Parametros Recargas'!$U$85/P526</f>
        <v>0.01388888889</v>
      </c>
      <c r="AA526" s="256">
        <f t="shared" ref="AA526:AA551" si="346">Z526*60*60</f>
        <v>50</v>
      </c>
    </row>
    <row r="527" ht="15.75" customHeight="1">
      <c r="A527" s="73" t="s">
        <v>459</v>
      </c>
      <c r="B527" s="118" t="s">
        <v>458</v>
      </c>
      <c r="C527" s="63">
        <f t="shared" ref="C527:N527" si="343">($T527*C$519+$U527*C$520+$V527*C$521+$W527*C$522+$X527*C$523+$Y527*C$524)/$B$2</f>
        <v>83.28286173</v>
      </c>
      <c r="D527" s="63">
        <f t="shared" si="343"/>
        <v>68.84591086</v>
      </c>
      <c r="E527" s="63">
        <f t="shared" si="343"/>
        <v>70.96459045</v>
      </c>
      <c r="F527" s="63">
        <f t="shared" si="343"/>
        <v>69.01727835</v>
      </c>
      <c r="G527" s="63">
        <f t="shared" si="343"/>
        <v>66.89859876</v>
      </c>
      <c r="H527" s="63">
        <f t="shared" si="343"/>
        <v>64.77991917</v>
      </c>
      <c r="I527" s="63">
        <f t="shared" si="343"/>
        <v>69.18864583</v>
      </c>
      <c r="J527" s="63">
        <f t="shared" si="343"/>
        <v>70.79322297</v>
      </c>
      <c r="K527" s="63">
        <f t="shared" si="343"/>
        <v>70.79322297</v>
      </c>
      <c r="L527" s="63">
        <f t="shared" si="343"/>
        <v>68.84591086</v>
      </c>
      <c r="M527" s="63">
        <f t="shared" si="343"/>
        <v>68.67454338</v>
      </c>
      <c r="N527" s="63">
        <f t="shared" si="343"/>
        <v>99.69015402</v>
      </c>
      <c r="O527" s="44">
        <f t="shared" si="344"/>
        <v>99.69015402</v>
      </c>
      <c r="P527" s="63">
        <f>'Parametros Recargas'!$M$86</f>
        <v>52.36363636</v>
      </c>
      <c r="Q527" s="36">
        <f>MAX(Q472,ROUNDUP(O527/(P527*'Parametros Recargas'!K$8*'Parametros Recargas'!$B$19),0))</f>
        <v>2</v>
      </c>
      <c r="R527" s="46">
        <f>IF(AND('Parametros Recargas'!K$8=2,O527/(P527*Q527*'Parametros Recargas'!$B$19)&gt;1),2,1)</f>
        <v>2</v>
      </c>
      <c r="S527" s="34">
        <f t="shared" si="345"/>
        <v>0.4759512562</v>
      </c>
      <c r="T527" s="161">
        <f>'Parametros Recargas'!D55</f>
        <v>1</v>
      </c>
      <c r="U527" s="161">
        <f>'Parametros Recargas'!E55</f>
        <v>1</v>
      </c>
      <c r="V527" s="161">
        <f>'Parametros Recargas'!F55</f>
        <v>1</v>
      </c>
      <c r="W527" s="161">
        <f>'Parametros Recargas'!G55</f>
        <v>1</v>
      </c>
      <c r="X527" s="161">
        <f>'Parametros Recargas'!H55</f>
        <v>1</v>
      </c>
      <c r="Y527" s="161">
        <f>'Parametros Recargas'!I55</f>
        <v>1</v>
      </c>
      <c r="Z527" s="162">
        <f>'Parametros Recargas'!$U$86/P527</f>
        <v>0.01909722222</v>
      </c>
      <c r="AA527" s="257">
        <f t="shared" si="346"/>
        <v>68.75</v>
      </c>
    </row>
    <row r="528" ht="15.75" customHeight="1">
      <c r="A528" s="30" t="s">
        <v>460</v>
      </c>
      <c r="B528" s="118" t="s">
        <v>458</v>
      </c>
      <c r="C528" s="63">
        <f t="shared" ref="C528:N528" si="347">($T528*C$519+$U528*C$520+$V528*C$521+$W528*C$522+$X528*C$523+$Y528*C$524)/$B$2</f>
        <v>73.0708663</v>
      </c>
      <c r="D528" s="63">
        <f t="shared" si="347"/>
        <v>59.81952961</v>
      </c>
      <c r="E528" s="63">
        <f t="shared" si="347"/>
        <v>61.37406036</v>
      </c>
      <c r="F528" s="63">
        <f t="shared" si="347"/>
        <v>59.96223883</v>
      </c>
      <c r="G528" s="63">
        <f t="shared" si="347"/>
        <v>58.40770807</v>
      </c>
      <c r="H528" s="63">
        <f t="shared" si="347"/>
        <v>56.85317731</v>
      </c>
      <c r="I528" s="63">
        <f t="shared" si="347"/>
        <v>60.10494805</v>
      </c>
      <c r="J528" s="63">
        <f t="shared" si="347"/>
        <v>61.23135114</v>
      </c>
      <c r="K528" s="63">
        <f t="shared" si="347"/>
        <v>61.23135114</v>
      </c>
      <c r="L528" s="63">
        <f t="shared" si="347"/>
        <v>59.81952961</v>
      </c>
      <c r="M528" s="63">
        <f t="shared" si="347"/>
        <v>59.67682038</v>
      </c>
      <c r="N528" s="63">
        <f t="shared" si="347"/>
        <v>87.39351282</v>
      </c>
      <c r="O528" s="44">
        <f t="shared" si="344"/>
        <v>87.39351282</v>
      </c>
      <c r="P528" s="63">
        <f>'Parametros Recargas'!$M$87</f>
        <v>29.14285714</v>
      </c>
      <c r="Q528" s="36">
        <f>MAX(Q473,ROUNDUP(O528/(P528*'Parametros Recargas'!K$8*'Parametros Recargas'!$B$19),0))</f>
        <v>3</v>
      </c>
      <c r="R528" s="46">
        <f>IF(AND('Parametros Recargas'!K$8=2,O528/(P528*Q528*'Parametros Recargas'!$B$19)&gt;1),2,1)</f>
        <v>2</v>
      </c>
      <c r="S528" s="34">
        <f t="shared" si="345"/>
        <v>0.4997995014</v>
      </c>
      <c r="T528" s="161">
        <f>'Parametros Recargas'!D56</f>
        <v>1</v>
      </c>
      <c r="U528" s="161">
        <f>'Parametros Recargas'!E56</f>
        <v>0</v>
      </c>
      <c r="V528" s="161">
        <f>'Parametros Recargas'!F56</f>
        <v>0</v>
      </c>
      <c r="W528" s="161">
        <f>'Parametros Recargas'!G56</f>
        <v>0</v>
      </c>
      <c r="X528" s="161">
        <f>'Parametros Recargas'!H56</f>
        <v>0</v>
      </c>
      <c r="Y528" s="161">
        <f>'Parametros Recargas'!I56</f>
        <v>0</v>
      </c>
      <c r="Z528" s="162">
        <f>'Parametros Recargas'!$U$87/P528</f>
        <v>0.01715686275</v>
      </c>
      <c r="AA528" s="257">
        <f t="shared" si="346"/>
        <v>61.76470588</v>
      </c>
    </row>
    <row r="529" ht="15.75" customHeight="1">
      <c r="A529" s="30" t="s">
        <v>461</v>
      </c>
      <c r="B529" s="118" t="s">
        <v>458</v>
      </c>
      <c r="C529" s="63">
        <f t="shared" ref="C529:N529" si="348">($T529*C$519+$U529*C$520+$V529*C$521+$W529*C$522+$X529*C$523+$Y529*C$524)/$B$2</f>
        <v>0.09922536752</v>
      </c>
      <c r="D529" s="63">
        <f t="shared" si="348"/>
        <v>0.08820032668</v>
      </c>
      <c r="E529" s="63">
        <f t="shared" si="348"/>
        <v>0.0937128471</v>
      </c>
      <c r="F529" s="63">
        <f t="shared" si="348"/>
        <v>0.08820032668</v>
      </c>
      <c r="G529" s="63">
        <f t="shared" si="348"/>
        <v>0.08268780626</v>
      </c>
      <c r="H529" s="63">
        <f t="shared" si="348"/>
        <v>0.07717528585</v>
      </c>
      <c r="I529" s="63">
        <f t="shared" si="348"/>
        <v>0.08820032668</v>
      </c>
      <c r="J529" s="63">
        <f t="shared" si="348"/>
        <v>0.0937128471</v>
      </c>
      <c r="K529" s="63">
        <f t="shared" si="348"/>
        <v>0.0937128471</v>
      </c>
      <c r="L529" s="63">
        <f t="shared" si="348"/>
        <v>0.08820032668</v>
      </c>
      <c r="M529" s="63">
        <f t="shared" si="348"/>
        <v>0.08820032668</v>
      </c>
      <c r="N529" s="63">
        <f t="shared" si="348"/>
        <v>0.1212754492</v>
      </c>
      <c r="O529" s="44">
        <f t="shared" si="344"/>
        <v>0.1212754492</v>
      </c>
      <c r="P529" s="63">
        <f>'Parametros Recargas'!$M$88</f>
        <v>29.14285714</v>
      </c>
      <c r="Q529" s="36">
        <f>MAX(Q474,ROUNDUP(O529/(P529*'Parametros Recargas'!K$8*'Parametros Recargas'!$B$19),0))</f>
        <v>1</v>
      </c>
      <c r="R529" s="46">
        <f>IF(AND('Parametros Recargas'!K$8=2,O529/(P529*Q529*'Parametros Recargas'!$B$19)&gt;1),2,1)</f>
        <v>1</v>
      </c>
      <c r="S529" s="34">
        <f t="shared" si="345"/>
        <v>0.004161412472</v>
      </c>
      <c r="T529" s="161">
        <f>'Parametros Recargas'!D57</f>
        <v>0</v>
      </c>
      <c r="U529" s="161">
        <f>'Parametros Recargas'!E57</f>
        <v>1</v>
      </c>
      <c r="V529" s="161">
        <f>'Parametros Recargas'!F57</f>
        <v>0</v>
      </c>
      <c r="W529" s="161">
        <f>'Parametros Recargas'!G57</f>
        <v>0</v>
      </c>
      <c r="X529" s="161">
        <f>'Parametros Recargas'!H57</f>
        <v>0</v>
      </c>
      <c r="Y529" s="161">
        <f>'Parametros Recargas'!I57</f>
        <v>0</v>
      </c>
      <c r="Z529" s="162">
        <f>'Parametros Recargas'!$U$88/P529</f>
        <v>0.03431372549</v>
      </c>
      <c r="AA529" s="257">
        <f t="shared" si="346"/>
        <v>123.5294118</v>
      </c>
    </row>
    <row r="530" ht="15.75" customHeight="1">
      <c r="A530" s="30" t="s">
        <v>463</v>
      </c>
      <c r="B530" s="118" t="s">
        <v>458</v>
      </c>
      <c r="C530" s="63">
        <f t="shared" ref="C530:N530" si="349">($T530*C$519+$U530*C$520+$V530*C$521+$W530*C$522+$X530*C$523+$Y530*C$524)/$B$2</f>
        <v>0.08977533251</v>
      </c>
      <c r="D530" s="63">
        <f t="shared" si="349"/>
        <v>0.07980029557</v>
      </c>
      <c r="E530" s="63">
        <f t="shared" si="349"/>
        <v>0.08478781404</v>
      </c>
      <c r="F530" s="63">
        <f t="shared" si="349"/>
        <v>0.07980029557</v>
      </c>
      <c r="G530" s="63">
        <f t="shared" si="349"/>
        <v>0.0748127771</v>
      </c>
      <c r="H530" s="63">
        <f t="shared" si="349"/>
        <v>0.06982525862</v>
      </c>
      <c r="I530" s="63">
        <f t="shared" si="349"/>
        <v>0.07980029557</v>
      </c>
      <c r="J530" s="63">
        <f t="shared" si="349"/>
        <v>0.08478781404</v>
      </c>
      <c r="K530" s="63">
        <f t="shared" si="349"/>
        <v>0.08478781404</v>
      </c>
      <c r="L530" s="63">
        <f t="shared" si="349"/>
        <v>0.07980029557</v>
      </c>
      <c r="M530" s="63">
        <f t="shared" si="349"/>
        <v>0.07980029557</v>
      </c>
      <c r="N530" s="63">
        <f t="shared" si="349"/>
        <v>0.1097254064</v>
      </c>
      <c r="O530" s="44">
        <f t="shared" si="344"/>
        <v>0.1097254064</v>
      </c>
      <c r="P530" s="63">
        <f>'Parametros Recargas'!$M$89</f>
        <v>13.5</v>
      </c>
      <c r="Q530" s="36">
        <f>MAX(Q475,ROUNDUP(O530/(P530*'Parametros Recargas'!K$8*'Parametros Recargas'!$B$19),0))</f>
        <v>1</v>
      </c>
      <c r="R530" s="46">
        <f>IF(AND('Parametros Recargas'!K$8=2,O530/(P530*Q530*'Parametros Recargas'!$B$19)&gt;1),2,1)</f>
        <v>1</v>
      </c>
      <c r="S530" s="34">
        <f t="shared" si="345"/>
        <v>0.008127807882</v>
      </c>
      <c r="T530" s="161">
        <f>'Parametros Recargas'!D58</f>
        <v>0</v>
      </c>
      <c r="U530" s="161">
        <f>'Parametros Recargas'!E58</f>
        <v>0</v>
      </c>
      <c r="V530" s="161">
        <f>'Parametros Recargas'!F58</f>
        <v>1</v>
      </c>
      <c r="W530" s="161">
        <f>'Parametros Recargas'!G58</f>
        <v>0</v>
      </c>
      <c r="X530" s="161">
        <f>'Parametros Recargas'!H58</f>
        <v>0</v>
      </c>
      <c r="Y530" s="161">
        <f>'Parametros Recargas'!I58</f>
        <v>0</v>
      </c>
      <c r="Z530" s="162">
        <f>'Parametros Recargas'!$U$89/P530</f>
        <v>0.07407407407</v>
      </c>
      <c r="AA530" s="257">
        <f t="shared" si="346"/>
        <v>266.6666667</v>
      </c>
    </row>
    <row r="531" ht="15.75" customHeight="1">
      <c r="A531" s="30" t="s">
        <v>464</v>
      </c>
      <c r="B531" s="118" t="s">
        <v>458</v>
      </c>
      <c r="C531" s="63">
        <f t="shared" ref="C531:N531" si="350">($T531*C$519+$U531*C$520+$V531*C$521+$W531*C$522+$X531*C$523+$Y531*C$524)/$B$2</f>
        <v>3.495074902</v>
      </c>
      <c r="D531" s="63">
        <f t="shared" si="350"/>
        <v>3.055785231</v>
      </c>
      <c r="E531" s="63">
        <f t="shared" si="350"/>
        <v>3.246771808</v>
      </c>
      <c r="F531" s="63">
        <f t="shared" si="350"/>
        <v>3.08444349</v>
      </c>
      <c r="G531" s="63">
        <f t="shared" si="350"/>
        <v>2.893456913</v>
      </c>
      <c r="H531" s="63">
        <f t="shared" si="350"/>
        <v>2.702470336</v>
      </c>
      <c r="I531" s="63">
        <f t="shared" si="350"/>
        <v>3.113101748</v>
      </c>
      <c r="J531" s="63">
        <f t="shared" si="350"/>
        <v>3.21811355</v>
      </c>
      <c r="K531" s="63">
        <f t="shared" si="350"/>
        <v>3.21811355</v>
      </c>
      <c r="L531" s="63">
        <f t="shared" si="350"/>
        <v>3.055785231</v>
      </c>
      <c r="M531" s="63">
        <f t="shared" si="350"/>
        <v>3.027126973</v>
      </c>
      <c r="N531" s="63">
        <f t="shared" si="350"/>
        <v>4.08707166</v>
      </c>
      <c r="O531" s="44">
        <f t="shared" si="344"/>
        <v>4.08707166</v>
      </c>
      <c r="P531" s="63">
        <f>'Parametros Recargas'!$M$90</f>
        <v>22.66666667</v>
      </c>
      <c r="Q531" s="36">
        <f>MAX(Q476,ROUNDUP(O531/(P531*'Parametros Recargas'!K$8*'Parametros Recargas'!$B$19),0))</f>
        <v>1</v>
      </c>
      <c r="R531" s="46">
        <f>IF(AND('Parametros Recargas'!K$8=2,O531/(P531*Q531*'Parametros Recargas'!$B$19)&gt;1),2,1)</f>
        <v>1</v>
      </c>
      <c r="S531" s="34">
        <f t="shared" si="345"/>
        <v>0.180311985</v>
      </c>
      <c r="T531" s="161">
        <f>'Parametros Recargas'!D59</f>
        <v>0</v>
      </c>
      <c r="U531" s="161">
        <f>'Parametros Recargas'!E59</f>
        <v>0</v>
      </c>
      <c r="V531" s="161">
        <f>'Parametros Recargas'!F59</f>
        <v>0</v>
      </c>
      <c r="W531" s="161">
        <f>'Parametros Recargas'!G59</f>
        <v>1</v>
      </c>
      <c r="X531" s="161">
        <f>'Parametros Recargas'!H59</f>
        <v>0</v>
      </c>
      <c r="Y531" s="161">
        <f>'Parametros Recargas'!I59</f>
        <v>0</v>
      </c>
      <c r="Z531" s="162">
        <f>'Parametros Recargas'!$U$90/P531</f>
        <v>0.04411764706</v>
      </c>
      <c r="AA531" s="257">
        <f t="shared" si="346"/>
        <v>158.8235294</v>
      </c>
    </row>
    <row r="532" ht="15.75" customHeight="1">
      <c r="A532" s="30" t="s">
        <v>465</v>
      </c>
      <c r="B532" s="118" t="s">
        <v>458</v>
      </c>
      <c r="C532" s="63">
        <f t="shared" ref="C532:N532" si="351">($T532*C$519+$U532*C$520+$V532*C$521+$W532*C$522+$X532*C$523+$Y532*C$524)/$B$2</f>
        <v>1.566651455</v>
      </c>
      <c r="D532" s="63">
        <f t="shared" si="351"/>
        <v>1.392579071</v>
      </c>
      <c r="E532" s="63">
        <f t="shared" si="351"/>
        <v>1.479615263</v>
      </c>
      <c r="F532" s="63">
        <f t="shared" si="351"/>
        <v>1.392579071</v>
      </c>
      <c r="G532" s="63">
        <f t="shared" si="351"/>
        <v>1.305542879</v>
      </c>
      <c r="H532" s="63">
        <f t="shared" si="351"/>
        <v>1.218506687</v>
      </c>
      <c r="I532" s="63">
        <f t="shared" si="351"/>
        <v>1.392579071</v>
      </c>
      <c r="J532" s="63">
        <f t="shared" si="351"/>
        <v>1.479615263</v>
      </c>
      <c r="K532" s="63">
        <f t="shared" si="351"/>
        <v>1.479615263</v>
      </c>
      <c r="L532" s="63">
        <f t="shared" si="351"/>
        <v>1.392579071</v>
      </c>
      <c r="M532" s="63">
        <f t="shared" si="351"/>
        <v>1.392579071</v>
      </c>
      <c r="N532" s="63">
        <f t="shared" si="351"/>
        <v>1.914796223</v>
      </c>
      <c r="O532" s="44">
        <f t="shared" si="344"/>
        <v>1.914796223</v>
      </c>
      <c r="P532" s="63">
        <f>'Parametros Recargas'!$M$91</f>
        <v>29.14285714</v>
      </c>
      <c r="Q532" s="36">
        <f>MAX(Q477,ROUNDUP(O532/(P532*'Parametros Recargas'!K$8*'Parametros Recargas'!$B$19),0))</f>
        <v>1</v>
      </c>
      <c r="R532" s="46">
        <f>IF(AND('Parametros Recargas'!K$8=2,O532/(P532*Q532*'Parametros Recargas'!$B$19)&gt;1),2,1)</f>
        <v>1</v>
      </c>
      <c r="S532" s="34">
        <f t="shared" si="345"/>
        <v>0.06570379195</v>
      </c>
      <c r="T532" s="161">
        <f>'Parametros Recargas'!D60</f>
        <v>0</v>
      </c>
      <c r="U532" s="161">
        <f>'Parametros Recargas'!E60</f>
        <v>0</v>
      </c>
      <c r="V532" s="161">
        <f>'Parametros Recargas'!F60</f>
        <v>0</v>
      </c>
      <c r="W532" s="161">
        <f>'Parametros Recargas'!G60</f>
        <v>0</v>
      </c>
      <c r="X532" s="161">
        <f>'Parametros Recargas'!H60</f>
        <v>0.25</v>
      </c>
      <c r="Y532" s="161">
        <f>'Parametros Recargas'!I60</f>
        <v>0</v>
      </c>
      <c r="Z532" s="162">
        <f>'Parametros Recargas'!$U$91/P532</f>
        <v>0.03431372549</v>
      </c>
      <c r="AA532" s="257">
        <f t="shared" si="346"/>
        <v>123.5294118</v>
      </c>
    </row>
    <row r="533" ht="15.75" customHeight="1">
      <c r="A533" s="30" t="s">
        <v>466</v>
      </c>
      <c r="B533" s="118" t="s">
        <v>458</v>
      </c>
      <c r="C533" s="63">
        <f t="shared" ref="C533:N533" si="352">($T533*C$519+$U533*C$520+$V533*C$521+$W533*C$522+$X533*C$523+$Y533*C$524)/$B$2</f>
        <v>0.06532850284</v>
      </c>
      <c r="D533" s="63">
        <f t="shared" si="352"/>
        <v>0.0580697803</v>
      </c>
      <c r="E533" s="63">
        <f t="shared" si="352"/>
        <v>0.06169914157</v>
      </c>
      <c r="F533" s="63">
        <f t="shared" si="352"/>
        <v>0.0580697803</v>
      </c>
      <c r="G533" s="63">
        <f t="shared" si="352"/>
        <v>0.05444041903</v>
      </c>
      <c r="H533" s="63">
        <f t="shared" si="352"/>
        <v>0.05081105776</v>
      </c>
      <c r="I533" s="63">
        <f t="shared" si="352"/>
        <v>0.0580697803</v>
      </c>
      <c r="J533" s="63">
        <f t="shared" si="352"/>
        <v>0.06169914157</v>
      </c>
      <c r="K533" s="63">
        <f t="shared" si="352"/>
        <v>0.06169914157</v>
      </c>
      <c r="L533" s="63">
        <f t="shared" si="352"/>
        <v>0.0580697803</v>
      </c>
      <c r="M533" s="63">
        <f t="shared" si="352"/>
        <v>0.0580697803</v>
      </c>
      <c r="N533" s="63">
        <f t="shared" si="352"/>
        <v>0.07984594791</v>
      </c>
      <c r="O533" s="44">
        <f t="shared" si="344"/>
        <v>0.07984594791</v>
      </c>
      <c r="P533" s="63">
        <f>'Parametros Recargas'!$M$92</f>
        <v>18.54545455</v>
      </c>
      <c r="Q533" s="36">
        <f>MAX(Q478,ROUNDUP(O533/(P533*'Parametros Recargas'!K$8*'Parametros Recargas'!$B$19),0))</f>
        <v>1</v>
      </c>
      <c r="R533" s="46">
        <f>IF(AND('Parametros Recargas'!K$8=2,O533/(P533*Q533*'Parametros Recargas'!$B$19)&gt;1),2,1)</f>
        <v>1</v>
      </c>
      <c r="S533" s="34">
        <f t="shared" si="345"/>
        <v>0.00430541876</v>
      </c>
      <c r="T533" s="161">
        <f>'Parametros Recargas'!D61</f>
        <v>0</v>
      </c>
      <c r="U533" s="161">
        <f>'Parametros Recargas'!E61</f>
        <v>0</v>
      </c>
      <c r="V533" s="161">
        <f>'Parametros Recargas'!F61</f>
        <v>0</v>
      </c>
      <c r="W533" s="161">
        <f>'Parametros Recargas'!G61</f>
        <v>0</v>
      </c>
      <c r="X533" s="161">
        <f>'Parametros Recargas'!H61</f>
        <v>0</v>
      </c>
      <c r="Y533" s="161">
        <f>'Parametros Recargas'!I61</f>
        <v>0.25</v>
      </c>
      <c r="Z533" s="162">
        <f>'Parametros Recargas'!$U$92/P533</f>
        <v>0.05392156863</v>
      </c>
      <c r="AA533" s="257">
        <f t="shared" si="346"/>
        <v>194.1176471</v>
      </c>
    </row>
    <row r="534" ht="15.75" customHeight="1">
      <c r="A534" s="73" t="s">
        <v>467</v>
      </c>
      <c r="B534" s="118" t="s">
        <v>458</v>
      </c>
      <c r="C534" s="63">
        <f t="shared" ref="C534:N534" si="353">($T534*C$519+$U534*C$520+$V534*C$521+$W534*C$522+$X534*C$523+$Y534*C$524)/$B$2</f>
        <v>79.03971384</v>
      </c>
      <c r="D534" s="63">
        <f t="shared" si="353"/>
        <v>65.07422385</v>
      </c>
      <c r="E534" s="63">
        <f t="shared" si="353"/>
        <v>66.957173</v>
      </c>
      <c r="F534" s="63">
        <f t="shared" si="353"/>
        <v>65.24559133</v>
      </c>
      <c r="G534" s="63">
        <f t="shared" si="353"/>
        <v>63.36264219</v>
      </c>
      <c r="H534" s="63">
        <f t="shared" si="353"/>
        <v>61.47969304</v>
      </c>
      <c r="I534" s="63">
        <f t="shared" si="353"/>
        <v>65.41695882</v>
      </c>
      <c r="J534" s="63">
        <f t="shared" si="353"/>
        <v>66.78580552</v>
      </c>
      <c r="K534" s="63">
        <f t="shared" si="353"/>
        <v>66.78580552</v>
      </c>
      <c r="L534" s="63">
        <f t="shared" si="353"/>
        <v>65.07422385</v>
      </c>
      <c r="M534" s="63">
        <f t="shared" si="353"/>
        <v>64.90285637</v>
      </c>
      <c r="N534" s="63">
        <f t="shared" si="353"/>
        <v>94.50408438</v>
      </c>
      <c r="O534" s="44">
        <f t="shared" si="344"/>
        <v>94.50408438</v>
      </c>
      <c r="P534" s="63">
        <f>'Parametros Recargas'!$M$93</f>
        <v>32</v>
      </c>
      <c r="Q534" s="36">
        <f>MAX(Q479,ROUNDUP(O534/(P534*'Parametros Recargas'!K$8*'Parametros Recargas'!$B$19),0))</f>
        <v>3</v>
      </c>
      <c r="R534" s="46">
        <f>IF(AND('Parametros Recargas'!K$8=2,O534/(P534*Q534*'Parametros Recargas'!$B$19)&gt;1),2,1)</f>
        <v>2</v>
      </c>
      <c r="S534" s="34">
        <f t="shared" si="345"/>
        <v>0.4922087728</v>
      </c>
      <c r="T534" s="161">
        <f>'Parametros Recargas'!D62</f>
        <v>1</v>
      </c>
      <c r="U534" s="161">
        <f>'Parametros Recargas'!E62</f>
        <v>1</v>
      </c>
      <c r="V534" s="161">
        <f>'Parametros Recargas'!F62</f>
        <v>1</v>
      </c>
      <c r="W534" s="161">
        <f>'Parametros Recargas'!G62</f>
        <v>1</v>
      </c>
      <c r="X534" s="161">
        <f>'Parametros Recargas'!H62</f>
        <v>0.35</v>
      </c>
      <c r="Y534" s="161">
        <f>'Parametros Recargas'!I62</f>
        <v>0.35</v>
      </c>
      <c r="Z534" s="162">
        <f>'Parametros Recargas'!$U$93/P534</f>
        <v>0.03125</v>
      </c>
      <c r="AA534" s="257">
        <f t="shared" si="346"/>
        <v>112.5</v>
      </c>
    </row>
    <row r="535" ht="15.75" customHeight="1">
      <c r="A535" s="30" t="s">
        <v>469</v>
      </c>
      <c r="B535" s="118" t="s">
        <v>458</v>
      </c>
      <c r="C535" s="63">
        <f t="shared" ref="C535:N535" si="354">($T535*C$519+$U535*C$520+$V535*C$521+$W535*C$522+$X535*C$523+$Y535*C$524)/$B$2</f>
        <v>7.317009166</v>
      </c>
      <c r="D535" s="63">
        <f t="shared" si="354"/>
        <v>5.990772993</v>
      </c>
      <c r="E535" s="63">
        <f t="shared" si="354"/>
        <v>6.146777321</v>
      </c>
      <c r="F535" s="63">
        <f t="shared" si="354"/>
        <v>6.005043916</v>
      </c>
      <c r="G535" s="63">
        <f t="shared" si="354"/>
        <v>5.849039588</v>
      </c>
      <c r="H535" s="63">
        <f t="shared" si="354"/>
        <v>5.69303526</v>
      </c>
      <c r="I535" s="63">
        <f t="shared" si="354"/>
        <v>6.019314838</v>
      </c>
      <c r="J535" s="63">
        <f t="shared" si="354"/>
        <v>6.132506399</v>
      </c>
      <c r="K535" s="63">
        <f t="shared" si="354"/>
        <v>6.132506399</v>
      </c>
      <c r="L535" s="63">
        <f t="shared" si="354"/>
        <v>5.990772993</v>
      </c>
      <c r="M535" s="63">
        <f t="shared" si="354"/>
        <v>5.976502071</v>
      </c>
      <c r="N535" s="63">
        <f t="shared" si="354"/>
        <v>8.751478827</v>
      </c>
      <c r="O535" s="44">
        <f t="shared" si="344"/>
        <v>8.751478827</v>
      </c>
      <c r="P535" s="63">
        <f>'Parametros Recargas'!$M$94</f>
        <v>6.375</v>
      </c>
      <c r="Q535" s="36">
        <f>MAX(Q480,ROUNDUP(O535/(P535*'Parametros Recargas'!K$8*'Parametros Recargas'!$B$19),0))</f>
        <v>1</v>
      </c>
      <c r="R535" s="46">
        <f>IF(AND('Parametros Recargas'!K$8=2,O535/(P535*Q535*'Parametros Recargas'!$B$19)&gt;1),2,1)</f>
        <v>2</v>
      </c>
      <c r="S535" s="34">
        <f t="shared" si="345"/>
        <v>0.6863904962</v>
      </c>
      <c r="T535" s="161">
        <f>'Parametros Recargas'!D63</f>
        <v>0.1</v>
      </c>
      <c r="U535" s="161">
        <f>'Parametros Recargas'!E63</f>
        <v>0.1</v>
      </c>
      <c r="V535" s="161">
        <f>'Parametros Recargas'!F63</f>
        <v>0</v>
      </c>
      <c r="W535" s="161">
        <f>'Parametros Recargas'!G63</f>
        <v>0</v>
      </c>
      <c r="X535" s="161">
        <f>'Parametros Recargas'!H63</f>
        <v>0</v>
      </c>
      <c r="Y535" s="161">
        <f>'Parametros Recargas'!I63</f>
        <v>0</v>
      </c>
      <c r="Z535" s="162">
        <f>'Parametros Recargas'!$U$94/P535</f>
        <v>0.07843137255</v>
      </c>
      <c r="AA535" s="257">
        <f t="shared" si="346"/>
        <v>282.3529412</v>
      </c>
    </row>
    <row r="536" ht="15.75" customHeight="1">
      <c r="A536" s="30" t="s">
        <v>470</v>
      </c>
      <c r="B536" s="118" t="s">
        <v>458</v>
      </c>
      <c r="C536" s="63">
        <f t="shared" ref="C536:N536" si="355">($T536*C$519+$U536*C$520+$V536*C$521+$W536*C$522+$X536*C$523+$Y536*C$524)/$B$2</f>
        <v>3.495074902</v>
      </c>
      <c r="D536" s="63">
        <f t="shared" si="355"/>
        <v>3.055785231</v>
      </c>
      <c r="E536" s="63">
        <f t="shared" si="355"/>
        <v>3.246771808</v>
      </c>
      <c r="F536" s="63">
        <f t="shared" si="355"/>
        <v>3.08444349</v>
      </c>
      <c r="G536" s="63">
        <f t="shared" si="355"/>
        <v>2.893456913</v>
      </c>
      <c r="H536" s="63">
        <f t="shared" si="355"/>
        <v>2.702470336</v>
      </c>
      <c r="I536" s="63">
        <f t="shared" si="355"/>
        <v>3.113101748</v>
      </c>
      <c r="J536" s="63">
        <f t="shared" si="355"/>
        <v>3.21811355</v>
      </c>
      <c r="K536" s="63">
        <f t="shared" si="355"/>
        <v>3.21811355</v>
      </c>
      <c r="L536" s="63">
        <f t="shared" si="355"/>
        <v>3.055785231</v>
      </c>
      <c r="M536" s="63">
        <f t="shared" si="355"/>
        <v>3.027126973</v>
      </c>
      <c r="N536" s="63">
        <f t="shared" si="355"/>
        <v>4.08707166</v>
      </c>
      <c r="O536" s="44">
        <f t="shared" si="344"/>
        <v>4.08707166</v>
      </c>
      <c r="P536" s="63">
        <f>'Parametros Recargas'!$M$95</f>
        <v>28.8</v>
      </c>
      <c r="Q536" s="36">
        <f>MAX(Q481,ROUNDUP(O536/(P536*'Parametros Recargas'!K$8*'Parametros Recargas'!$B$19),0))</f>
        <v>1</v>
      </c>
      <c r="R536" s="46">
        <f>IF(AND('Parametros Recargas'!K$8=2,O536/(P536*Q536*'Parametros Recargas'!$B$19)&gt;1),2,1)</f>
        <v>1</v>
      </c>
      <c r="S536" s="34">
        <f t="shared" si="345"/>
        <v>0.1419122104</v>
      </c>
      <c r="T536" s="161">
        <f>'Parametros Recargas'!D64</f>
        <v>0</v>
      </c>
      <c r="U536" s="161">
        <f>'Parametros Recargas'!E64</f>
        <v>0</v>
      </c>
      <c r="V536" s="161">
        <f>'Parametros Recargas'!F64</f>
        <v>0</v>
      </c>
      <c r="W536" s="161">
        <f>'Parametros Recargas'!G64</f>
        <v>1</v>
      </c>
      <c r="X536" s="161">
        <f>'Parametros Recargas'!H64</f>
        <v>0</v>
      </c>
      <c r="Y536" s="161">
        <f>'Parametros Recargas'!I64</f>
        <v>0</v>
      </c>
      <c r="Z536" s="162">
        <f>'Parametros Recargas'!$U$95/P536</f>
        <v>0.03472222222</v>
      </c>
      <c r="AA536" s="257">
        <f t="shared" si="346"/>
        <v>125</v>
      </c>
    </row>
    <row r="537" ht="15.75" customHeight="1">
      <c r="A537" s="73" t="s">
        <v>473</v>
      </c>
      <c r="B537" s="118" t="s">
        <v>458</v>
      </c>
      <c r="C537" s="63">
        <f t="shared" ref="C537:N537" si="356">($T537*C$519+$U537*C$520+$V537*C$521+$W537*C$522+$X537*C$523+$Y537*C$524)/$B$2</f>
        <v>21.69448416</v>
      </c>
      <c r="D537" s="63">
        <f t="shared" si="356"/>
        <v>17.97542402</v>
      </c>
      <c r="E537" s="63">
        <f t="shared" si="356"/>
        <v>18.55284056</v>
      </c>
      <c r="F537" s="63">
        <f t="shared" si="356"/>
        <v>18.02543046</v>
      </c>
      <c r="G537" s="63">
        <f t="shared" si="356"/>
        <v>17.44801392</v>
      </c>
      <c r="H537" s="63">
        <f t="shared" si="356"/>
        <v>16.87059738</v>
      </c>
      <c r="I537" s="63">
        <f t="shared" si="356"/>
        <v>18.07543689</v>
      </c>
      <c r="J537" s="63">
        <f t="shared" si="356"/>
        <v>18.50283413</v>
      </c>
      <c r="K537" s="63">
        <f t="shared" si="356"/>
        <v>18.50283413</v>
      </c>
      <c r="L537" s="63">
        <f t="shared" si="356"/>
        <v>17.97542402</v>
      </c>
      <c r="M537" s="63">
        <f t="shared" si="356"/>
        <v>17.92541759</v>
      </c>
      <c r="N537" s="63">
        <f t="shared" si="356"/>
        <v>25.94430642</v>
      </c>
      <c r="O537" s="44">
        <f t="shared" si="344"/>
        <v>25.94430642</v>
      </c>
      <c r="P537" s="63">
        <f>'Parametros Recargas'!$M$96</f>
        <v>28.88380952</v>
      </c>
      <c r="Q537" s="36">
        <f>MAX(Q482,ROUNDUP(O537/(P537*'Parametros Recargas'!K$8*'Parametros Recargas'!$B$19),0))</f>
        <v>1</v>
      </c>
      <c r="R537" s="46">
        <f>IF(AND('Parametros Recargas'!K$8=2,O537/(P537*Q537*'Parametros Recargas'!$B$19)&gt;1),2,1)</f>
        <v>1</v>
      </c>
      <c r="S537" s="34">
        <f t="shared" si="345"/>
        <v>0.8982300759</v>
      </c>
      <c r="T537" s="161">
        <f>'Parametros Recargas'!D65</f>
        <v>0.25</v>
      </c>
      <c r="U537" s="161">
        <f>'Parametros Recargas'!E65</f>
        <v>0.25</v>
      </c>
      <c r="V537" s="161">
        <f>'Parametros Recargas'!F65</f>
        <v>0.25</v>
      </c>
      <c r="W537" s="161">
        <f>'Parametros Recargas'!G65</f>
        <v>0.5</v>
      </c>
      <c r="X537" s="161">
        <f>'Parametros Recargas'!H65</f>
        <v>0.25</v>
      </c>
      <c r="Y537" s="161">
        <f>'Parametros Recargas'!I65</f>
        <v>0.25</v>
      </c>
      <c r="Z537" s="162">
        <f>'Parametros Recargas'!$U$96/P537</f>
        <v>0.01731073595</v>
      </c>
      <c r="AA537" s="257">
        <f t="shared" si="346"/>
        <v>62.31864943</v>
      </c>
    </row>
    <row r="538" ht="15.75" customHeight="1">
      <c r="A538" s="73" t="s">
        <v>479</v>
      </c>
      <c r="B538" s="118" t="s">
        <v>458</v>
      </c>
      <c r="C538" s="63">
        <f t="shared" ref="C538:N538" si="357">($T538*C$519+$U538*C$520+$V538*C$521+$W538*C$522+$X538*C$523+$Y538*C$524)/$B$2</f>
        <v>19.94694671</v>
      </c>
      <c r="D538" s="63">
        <f t="shared" si="357"/>
        <v>16.44753141</v>
      </c>
      <c r="E538" s="63">
        <f t="shared" si="357"/>
        <v>16.92945466</v>
      </c>
      <c r="F538" s="63">
        <f t="shared" si="357"/>
        <v>16.48320871</v>
      </c>
      <c r="G538" s="63">
        <f t="shared" si="357"/>
        <v>16.00128546</v>
      </c>
      <c r="H538" s="63">
        <f t="shared" si="357"/>
        <v>15.51936221</v>
      </c>
      <c r="I538" s="63">
        <f t="shared" si="357"/>
        <v>16.51888602</v>
      </c>
      <c r="J538" s="63">
        <f t="shared" si="357"/>
        <v>16.89377735</v>
      </c>
      <c r="K538" s="63">
        <f t="shared" si="357"/>
        <v>16.89377735</v>
      </c>
      <c r="L538" s="63">
        <f t="shared" si="357"/>
        <v>16.44753141</v>
      </c>
      <c r="M538" s="63">
        <f t="shared" si="357"/>
        <v>16.4118541</v>
      </c>
      <c r="N538" s="63">
        <f t="shared" si="357"/>
        <v>23.90077059</v>
      </c>
      <c r="O538" s="44">
        <f t="shared" si="344"/>
        <v>23.90077059</v>
      </c>
      <c r="P538" s="63">
        <f>'Parametros Recargas'!$M$97</f>
        <v>18.54545455</v>
      </c>
      <c r="Q538" s="36">
        <f>MAX(Q483,ROUNDUP(O538/(P538*'Parametros Recargas'!K$8*'Parametros Recargas'!$B$19),0))</f>
        <v>1</v>
      </c>
      <c r="R538" s="46">
        <f>IF(AND('Parametros Recargas'!K$8=2,O538/(P538*Q538*'Parametros Recargas'!$B$19)&gt;1),2,1)</f>
        <v>2</v>
      </c>
      <c r="S538" s="34">
        <f t="shared" si="345"/>
        <v>0.6443835208</v>
      </c>
      <c r="T538" s="161">
        <f>'Parametros Recargas'!D66</f>
        <v>0.25</v>
      </c>
      <c r="U538" s="161">
        <f>'Parametros Recargas'!E66</f>
        <v>0.25</v>
      </c>
      <c r="V538" s="161">
        <f>'Parametros Recargas'!F66</f>
        <v>0.25</v>
      </c>
      <c r="W538" s="161">
        <f>'Parametros Recargas'!G66</f>
        <v>0</v>
      </c>
      <c r="X538" s="161">
        <f>'Parametros Recargas'!H66</f>
        <v>0.25</v>
      </c>
      <c r="Y538" s="161">
        <f>'Parametros Recargas'!I66</f>
        <v>0.25</v>
      </c>
      <c r="Z538" s="162">
        <f>'Parametros Recargas'!$U$97/P538</f>
        <v>0.01348039216</v>
      </c>
      <c r="AA538" s="257">
        <f t="shared" si="346"/>
        <v>48.52941176</v>
      </c>
    </row>
    <row r="539" ht="15.75" customHeight="1">
      <c r="A539" s="30" t="s">
        <v>500</v>
      </c>
      <c r="B539" s="118" t="s">
        <v>458</v>
      </c>
      <c r="C539" s="63">
        <f t="shared" ref="C539:N539" si="358">($T539*C$519+$U539*C$520+$V539*C$521+$W539*C$522+$X539*C$523+$Y539*C$524)/$B$2</f>
        <v>73.0708663</v>
      </c>
      <c r="D539" s="63">
        <f t="shared" si="358"/>
        <v>59.81952961</v>
      </c>
      <c r="E539" s="63">
        <f t="shared" si="358"/>
        <v>61.37406036</v>
      </c>
      <c r="F539" s="63">
        <f t="shared" si="358"/>
        <v>59.96223883</v>
      </c>
      <c r="G539" s="63">
        <f t="shared" si="358"/>
        <v>58.40770807</v>
      </c>
      <c r="H539" s="63">
        <f t="shared" si="358"/>
        <v>56.85317731</v>
      </c>
      <c r="I539" s="63">
        <f t="shared" si="358"/>
        <v>60.10494805</v>
      </c>
      <c r="J539" s="63">
        <f t="shared" si="358"/>
        <v>61.23135114</v>
      </c>
      <c r="K539" s="63">
        <f t="shared" si="358"/>
        <v>61.23135114</v>
      </c>
      <c r="L539" s="63">
        <f t="shared" si="358"/>
        <v>59.81952961</v>
      </c>
      <c r="M539" s="63">
        <f t="shared" si="358"/>
        <v>59.67682038</v>
      </c>
      <c r="N539" s="63">
        <f t="shared" si="358"/>
        <v>87.39351282</v>
      </c>
      <c r="O539" s="44">
        <f t="shared" si="344"/>
        <v>87.39351282</v>
      </c>
      <c r="P539" s="63">
        <f>'Parametros Recargas'!$M$98</f>
        <v>34</v>
      </c>
      <c r="Q539" s="36">
        <f>MAX(Q484,ROUNDUP(O539/(P539*'Parametros Recargas'!K$8*'Parametros Recargas'!$B$19),0))</f>
        <v>2</v>
      </c>
      <c r="R539" s="46">
        <f>IF(AND('Parametros Recargas'!K$8=2,O539/(P539*Q539*'Parametros Recargas'!$B$19)&gt;1),2,1)</f>
        <v>2</v>
      </c>
      <c r="S539" s="34">
        <f t="shared" si="345"/>
        <v>0.642599359</v>
      </c>
      <c r="T539" s="161">
        <f>'Parametros Recargas'!D67</f>
        <v>1</v>
      </c>
      <c r="U539" s="161">
        <f>'Parametros Recargas'!E67</f>
        <v>0</v>
      </c>
      <c r="V539" s="161">
        <f>'Parametros Recargas'!F67</f>
        <v>0</v>
      </c>
      <c r="W539" s="161">
        <f>'Parametros Recargas'!G67</f>
        <v>0</v>
      </c>
      <c r="X539" s="161">
        <f>'Parametros Recargas'!H67</f>
        <v>0</v>
      </c>
      <c r="Y539" s="161">
        <f>'Parametros Recargas'!I67</f>
        <v>0</v>
      </c>
      <c r="Z539" s="162">
        <f>'Parametros Recargas'!$U$98/P539</f>
        <v>0.01470588235</v>
      </c>
      <c r="AA539" s="257">
        <f t="shared" si="346"/>
        <v>52.94117647</v>
      </c>
    </row>
    <row r="540" ht="15.75" customHeight="1">
      <c r="A540" s="30" t="s">
        <v>522</v>
      </c>
      <c r="B540" s="118" t="s">
        <v>458</v>
      </c>
      <c r="C540" s="63">
        <f t="shared" ref="C540:N540" si="359">($T540*C$519+$U540*C$520+$V540*C$521+$W540*C$522+$X540*C$523+$Y540*C$524)/$B$2</f>
        <v>0.09922536752</v>
      </c>
      <c r="D540" s="63">
        <f t="shared" si="359"/>
        <v>0.08820032668</v>
      </c>
      <c r="E540" s="63">
        <f t="shared" si="359"/>
        <v>0.0937128471</v>
      </c>
      <c r="F540" s="63">
        <f t="shared" si="359"/>
        <v>0.08820032668</v>
      </c>
      <c r="G540" s="63">
        <f t="shared" si="359"/>
        <v>0.08268780626</v>
      </c>
      <c r="H540" s="63">
        <f t="shared" si="359"/>
        <v>0.07717528585</v>
      </c>
      <c r="I540" s="63">
        <f t="shared" si="359"/>
        <v>0.08820032668</v>
      </c>
      <c r="J540" s="63">
        <f t="shared" si="359"/>
        <v>0.0937128471</v>
      </c>
      <c r="K540" s="63">
        <f t="shared" si="359"/>
        <v>0.0937128471</v>
      </c>
      <c r="L540" s="63">
        <f t="shared" si="359"/>
        <v>0.08820032668</v>
      </c>
      <c r="M540" s="63">
        <f t="shared" si="359"/>
        <v>0.08820032668</v>
      </c>
      <c r="N540" s="63">
        <f t="shared" si="359"/>
        <v>0.1212754492</v>
      </c>
      <c r="O540" s="44">
        <f t="shared" si="344"/>
        <v>0.1212754492</v>
      </c>
      <c r="P540" s="63">
        <f>'Parametros Recargas'!$M$99</f>
        <v>34</v>
      </c>
      <c r="Q540" s="36">
        <f>MAX(Q485,ROUNDUP(O540/(P540*'Parametros Recargas'!K$8*'Parametros Recargas'!$B$19),0))</f>
        <v>1</v>
      </c>
      <c r="R540" s="46">
        <f>IF(AND('Parametros Recargas'!K$8=2,O540/(P540*Q540*'Parametros Recargas'!$B$19)&gt;1),2,1)</f>
        <v>1</v>
      </c>
      <c r="S540" s="34">
        <f t="shared" si="345"/>
        <v>0.003566924976</v>
      </c>
      <c r="T540" s="161">
        <f>'Parametros Recargas'!D68</f>
        <v>0</v>
      </c>
      <c r="U540" s="161">
        <f>'Parametros Recargas'!E68</f>
        <v>1</v>
      </c>
      <c r="V540" s="161">
        <f>'Parametros Recargas'!F68</f>
        <v>0</v>
      </c>
      <c r="W540" s="161">
        <f>'Parametros Recargas'!G68</f>
        <v>0</v>
      </c>
      <c r="X540" s="161">
        <f>'Parametros Recargas'!H68</f>
        <v>0</v>
      </c>
      <c r="Y540" s="161">
        <f>'Parametros Recargas'!I68</f>
        <v>0</v>
      </c>
      <c r="Z540" s="162">
        <f>'Parametros Recargas'!$U$99/P540</f>
        <v>0.02941176471</v>
      </c>
      <c r="AA540" s="257">
        <f t="shared" si="346"/>
        <v>105.8823529</v>
      </c>
    </row>
    <row r="541" ht="15.75" customHeight="1">
      <c r="A541" s="30" t="s">
        <v>529</v>
      </c>
      <c r="B541" s="118" t="s">
        <v>458</v>
      </c>
      <c r="C541" s="63">
        <f t="shared" ref="C541:N541" si="360">($T541*C$519+$U541*C$520+$V541*C$521+$W541*C$522+$X541*C$523+$Y541*C$524)/$B$2</f>
        <v>0.08977533251</v>
      </c>
      <c r="D541" s="63">
        <f t="shared" si="360"/>
        <v>0.07980029557</v>
      </c>
      <c r="E541" s="63">
        <f t="shared" si="360"/>
        <v>0.08478781404</v>
      </c>
      <c r="F541" s="63">
        <f t="shared" si="360"/>
        <v>0.07980029557</v>
      </c>
      <c r="G541" s="63">
        <f t="shared" si="360"/>
        <v>0.0748127771</v>
      </c>
      <c r="H541" s="63">
        <f t="shared" si="360"/>
        <v>0.06982525862</v>
      </c>
      <c r="I541" s="63">
        <f t="shared" si="360"/>
        <v>0.07980029557</v>
      </c>
      <c r="J541" s="63">
        <f t="shared" si="360"/>
        <v>0.08478781404</v>
      </c>
      <c r="K541" s="63">
        <f t="shared" si="360"/>
        <v>0.08478781404</v>
      </c>
      <c r="L541" s="63">
        <f t="shared" si="360"/>
        <v>0.07980029557</v>
      </c>
      <c r="M541" s="63">
        <f t="shared" si="360"/>
        <v>0.07980029557</v>
      </c>
      <c r="N541" s="63">
        <f t="shared" si="360"/>
        <v>0.1097254064</v>
      </c>
      <c r="O541" s="44">
        <f t="shared" si="344"/>
        <v>0.1097254064</v>
      </c>
      <c r="P541" s="63">
        <f>'Parametros Recargas'!$M$100</f>
        <v>8.4375</v>
      </c>
      <c r="Q541" s="36">
        <f>MAX(Q486,ROUNDUP(O541/(P541*'Parametros Recargas'!K$8*'Parametros Recargas'!$B$19),0))</f>
        <v>1</v>
      </c>
      <c r="R541" s="46">
        <f>IF(AND('Parametros Recargas'!K$8=2,O541/(P541*Q541*'Parametros Recargas'!$B$19)&gt;1),2,1)</f>
        <v>1</v>
      </c>
      <c r="S541" s="34">
        <f t="shared" si="345"/>
        <v>0.01300449261</v>
      </c>
      <c r="T541" s="161">
        <f>'Parametros Recargas'!D69</f>
        <v>0</v>
      </c>
      <c r="U541" s="161">
        <f>'Parametros Recargas'!E69</f>
        <v>0</v>
      </c>
      <c r="V541" s="161">
        <f>'Parametros Recargas'!F69</f>
        <v>1</v>
      </c>
      <c r="W541" s="161">
        <f>'Parametros Recargas'!G69</f>
        <v>0</v>
      </c>
      <c r="X541" s="161">
        <f>'Parametros Recargas'!H69</f>
        <v>0</v>
      </c>
      <c r="Y541" s="161">
        <f>'Parametros Recargas'!I69</f>
        <v>0</v>
      </c>
      <c r="Z541" s="162">
        <f>'Parametros Recargas'!$U$100/P541</f>
        <v>0.1185185185</v>
      </c>
      <c r="AA541" s="257">
        <f t="shared" si="346"/>
        <v>426.6666667</v>
      </c>
    </row>
    <row r="542" ht="15.75" customHeight="1">
      <c r="A542" s="30" t="s">
        <v>531</v>
      </c>
      <c r="B542" s="118" t="s">
        <v>458</v>
      </c>
      <c r="C542" s="63">
        <f t="shared" ref="C542:N542" si="361">($T542*C$519+$U542*C$520+$V542*C$521+$W542*C$522+$X542*C$523+$Y542*C$524)/$B$2</f>
        <v>3.495074902</v>
      </c>
      <c r="D542" s="63">
        <f t="shared" si="361"/>
        <v>3.055785231</v>
      </c>
      <c r="E542" s="63">
        <f t="shared" si="361"/>
        <v>3.246771808</v>
      </c>
      <c r="F542" s="63">
        <f t="shared" si="361"/>
        <v>3.08444349</v>
      </c>
      <c r="G542" s="63">
        <f t="shared" si="361"/>
        <v>2.893456913</v>
      </c>
      <c r="H542" s="63">
        <f t="shared" si="361"/>
        <v>2.702470336</v>
      </c>
      <c r="I542" s="63">
        <f t="shared" si="361"/>
        <v>3.113101748</v>
      </c>
      <c r="J542" s="63">
        <f t="shared" si="361"/>
        <v>3.21811355</v>
      </c>
      <c r="K542" s="63">
        <f t="shared" si="361"/>
        <v>3.21811355</v>
      </c>
      <c r="L542" s="63">
        <f t="shared" si="361"/>
        <v>3.055785231</v>
      </c>
      <c r="M542" s="63">
        <f t="shared" si="361"/>
        <v>3.027126973</v>
      </c>
      <c r="N542" s="63">
        <f t="shared" si="361"/>
        <v>4.08707166</v>
      </c>
      <c r="O542" s="44">
        <f t="shared" si="344"/>
        <v>4.08707166</v>
      </c>
      <c r="P542" s="63">
        <f>'Parametros Recargas'!$M$101</f>
        <v>18.29818182</v>
      </c>
      <c r="Q542" s="36">
        <f>MAX(Q487,ROUNDUP(O542/(P542*'Parametros Recargas'!K$8*'Parametros Recargas'!$B$19),0))</f>
        <v>1</v>
      </c>
      <c r="R542" s="46">
        <f>IF(AND('Parametros Recargas'!K$8=2,O542/(P542*Q542*'Parametros Recargas'!$B$19)&gt;1),2,1)</f>
        <v>1</v>
      </c>
      <c r="S542" s="34">
        <f t="shared" si="345"/>
        <v>0.2233594409</v>
      </c>
      <c r="T542" s="161">
        <f>'Parametros Recargas'!D70</f>
        <v>0</v>
      </c>
      <c r="U542" s="161">
        <f>'Parametros Recargas'!E70</f>
        <v>0</v>
      </c>
      <c r="V542" s="161">
        <f>'Parametros Recargas'!F70</f>
        <v>0</v>
      </c>
      <c r="W542" s="161">
        <f>'Parametros Recargas'!G70</f>
        <v>1</v>
      </c>
      <c r="X542" s="161">
        <f>'Parametros Recargas'!H70</f>
        <v>0</v>
      </c>
      <c r="Y542" s="161">
        <f>'Parametros Recargas'!I70</f>
        <v>0</v>
      </c>
      <c r="Z542" s="162">
        <f>'Parametros Recargas'!$U$101/P542</f>
        <v>0.05465023847</v>
      </c>
      <c r="AA542" s="257">
        <f t="shared" si="346"/>
        <v>196.7408585</v>
      </c>
    </row>
    <row r="543" ht="15.75" customHeight="1">
      <c r="A543" s="30" t="s">
        <v>533</v>
      </c>
      <c r="B543" s="118" t="s">
        <v>458</v>
      </c>
      <c r="C543" s="63">
        <f t="shared" ref="C543:N543" si="362">($T543*C$519+$U543*C$520+$V543*C$521+$W543*C$522+$X543*C$523+$Y543*C$524)/$B$2</f>
        <v>2.193312037</v>
      </c>
      <c r="D543" s="63">
        <f t="shared" si="362"/>
        <v>1.949610699</v>
      </c>
      <c r="E543" s="63">
        <f t="shared" si="362"/>
        <v>2.071461368</v>
      </c>
      <c r="F543" s="63">
        <f t="shared" si="362"/>
        <v>1.949610699</v>
      </c>
      <c r="G543" s="63">
        <f t="shared" si="362"/>
        <v>1.827760031</v>
      </c>
      <c r="H543" s="63">
        <f t="shared" si="362"/>
        <v>1.705909362</v>
      </c>
      <c r="I543" s="63">
        <f t="shared" si="362"/>
        <v>1.949610699</v>
      </c>
      <c r="J543" s="63">
        <f t="shared" si="362"/>
        <v>2.071461368</v>
      </c>
      <c r="K543" s="63">
        <f t="shared" si="362"/>
        <v>2.071461368</v>
      </c>
      <c r="L543" s="63">
        <f t="shared" si="362"/>
        <v>1.949610699</v>
      </c>
      <c r="M543" s="63">
        <f t="shared" si="362"/>
        <v>1.949610699</v>
      </c>
      <c r="N543" s="63">
        <f t="shared" si="362"/>
        <v>2.680714712</v>
      </c>
      <c r="O543" s="44">
        <f t="shared" si="344"/>
        <v>2.680714712</v>
      </c>
      <c r="P543" s="63">
        <f>'Parametros Recargas'!$M$102</f>
        <v>15.69230769</v>
      </c>
      <c r="Q543" s="36">
        <f>MAX(Q488,ROUNDUP(O543/(P543*'Parametros Recargas'!K$8*'Parametros Recargas'!$B$19),0))</f>
        <v>1</v>
      </c>
      <c r="R543" s="46">
        <f>IF(AND('Parametros Recargas'!K$8=2,O543/(P543*Q543*'Parametros Recargas'!$B$19)&gt;1),2,1)</f>
        <v>1</v>
      </c>
      <c r="S543" s="34">
        <f t="shared" si="345"/>
        <v>0.1708298591</v>
      </c>
      <c r="T543" s="161">
        <f>'Parametros Recargas'!D71</f>
        <v>0</v>
      </c>
      <c r="U543" s="161">
        <f>'Parametros Recargas'!E71</f>
        <v>0</v>
      </c>
      <c r="V543" s="161">
        <f>'Parametros Recargas'!F71</f>
        <v>0</v>
      </c>
      <c r="W543" s="161">
        <f>'Parametros Recargas'!G71</f>
        <v>0</v>
      </c>
      <c r="X543" s="161">
        <f>'Parametros Recargas'!H71</f>
        <v>0.35</v>
      </c>
      <c r="Y543" s="161">
        <f>'Parametros Recargas'!I71</f>
        <v>0</v>
      </c>
      <c r="Z543" s="162">
        <f>'Parametros Recargas'!$U$102/P543</f>
        <v>0.0637254902</v>
      </c>
      <c r="AA543" s="257">
        <f t="shared" si="346"/>
        <v>229.4117647</v>
      </c>
    </row>
    <row r="544" ht="15.75" customHeight="1">
      <c r="A544" s="30" t="s">
        <v>535</v>
      </c>
      <c r="B544" s="118" t="s">
        <v>458</v>
      </c>
      <c r="C544" s="63">
        <f t="shared" ref="C544:N544" si="363">($T544*C$519+$U544*C$520+$V544*C$521+$W544*C$522+$X544*C$523+$Y544*C$524)/$B$2</f>
        <v>0.09145990397</v>
      </c>
      <c r="D544" s="63">
        <f t="shared" si="363"/>
        <v>0.08129769242</v>
      </c>
      <c r="E544" s="63">
        <f t="shared" si="363"/>
        <v>0.08637879819</v>
      </c>
      <c r="F544" s="63">
        <f t="shared" si="363"/>
        <v>0.08129769242</v>
      </c>
      <c r="G544" s="63">
        <f t="shared" si="363"/>
        <v>0.07621658664</v>
      </c>
      <c r="H544" s="63">
        <f t="shared" si="363"/>
        <v>0.07113548087</v>
      </c>
      <c r="I544" s="63">
        <f t="shared" si="363"/>
        <v>0.08129769242</v>
      </c>
      <c r="J544" s="63">
        <f t="shared" si="363"/>
        <v>0.08637879819</v>
      </c>
      <c r="K544" s="63">
        <f t="shared" si="363"/>
        <v>0.08637879819</v>
      </c>
      <c r="L544" s="63">
        <f t="shared" si="363"/>
        <v>0.08129769242</v>
      </c>
      <c r="M544" s="63">
        <f t="shared" si="363"/>
        <v>0.08129769242</v>
      </c>
      <c r="N544" s="63">
        <f t="shared" si="363"/>
        <v>0.1117843271</v>
      </c>
      <c r="O544" s="44">
        <f t="shared" si="344"/>
        <v>0.1117843271</v>
      </c>
      <c r="P544" s="63">
        <f>'Parametros Recargas'!$M$103</f>
        <v>12</v>
      </c>
      <c r="Q544" s="36">
        <f>MAX(Q489,ROUNDUP(O544/(P544*'Parametros Recargas'!K$8*'Parametros Recargas'!$B$19),0))</f>
        <v>1</v>
      </c>
      <c r="R544" s="46">
        <f>IF(AND('Parametros Recargas'!K$8=2,O544/(P544*Q544*'Parametros Recargas'!$B$19)&gt;1),2,1)</f>
        <v>1</v>
      </c>
      <c r="S544" s="34">
        <f t="shared" si="345"/>
        <v>0.00931536059</v>
      </c>
      <c r="T544" s="161">
        <f>'Parametros Recargas'!D72</f>
        <v>0</v>
      </c>
      <c r="U544" s="161">
        <f>'Parametros Recargas'!E72</f>
        <v>0</v>
      </c>
      <c r="V544" s="161">
        <f>'Parametros Recargas'!F72</f>
        <v>0</v>
      </c>
      <c r="W544" s="161">
        <f>'Parametros Recargas'!G72</f>
        <v>0</v>
      </c>
      <c r="X544" s="161">
        <f>'Parametros Recargas'!H72</f>
        <v>0</v>
      </c>
      <c r="Y544" s="161">
        <f>'Parametros Recargas'!I72</f>
        <v>0.35</v>
      </c>
      <c r="Z544" s="162">
        <f>'Parametros Recargas'!$U$103/P544</f>
        <v>0.08333333333</v>
      </c>
      <c r="AA544" s="257">
        <f t="shared" si="346"/>
        <v>300</v>
      </c>
    </row>
    <row r="545" ht="15.75" customHeight="1">
      <c r="A545" s="73" t="s">
        <v>536</v>
      </c>
      <c r="B545" s="118" t="s">
        <v>458</v>
      </c>
      <c r="C545" s="63">
        <f t="shared" ref="C545:N545" si="364">($T545*C$519+$U545*C$520+$V545*C$521+$W545*C$522+$X545*C$523+$Y545*C$524)/$B$2</f>
        <v>79.03971384</v>
      </c>
      <c r="D545" s="63">
        <f t="shared" si="364"/>
        <v>65.07422385</v>
      </c>
      <c r="E545" s="63">
        <f t="shared" si="364"/>
        <v>66.957173</v>
      </c>
      <c r="F545" s="63">
        <f t="shared" si="364"/>
        <v>65.24559133</v>
      </c>
      <c r="G545" s="63">
        <f t="shared" si="364"/>
        <v>63.36264219</v>
      </c>
      <c r="H545" s="63">
        <f t="shared" si="364"/>
        <v>61.47969304</v>
      </c>
      <c r="I545" s="63">
        <f t="shared" si="364"/>
        <v>65.41695882</v>
      </c>
      <c r="J545" s="63">
        <f t="shared" si="364"/>
        <v>66.78580552</v>
      </c>
      <c r="K545" s="63">
        <f t="shared" si="364"/>
        <v>66.78580552</v>
      </c>
      <c r="L545" s="63">
        <f t="shared" si="364"/>
        <v>65.07422385</v>
      </c>
      <c r="M545" s="63">
        <f t="shared" si="364"/>
        <v>64.90285637</v>
      </c>
      <c r="N545" s="63">
        <f t="shared" si="364"/>
        <v>94.50408438</v>
      </c>
      <c r="O545" s="44">
        <f t="shared" si="344"/>
        <v>94.50408438</v>
      </c>
      <c r="P545" s="63">
        <f>'Parametros Recargas'!$M$104</f>
        <v>25.04347826</v>
      </c>
      <c r="Q545" s="36">
        <f>MAX(Q490,ROUNDUP(O545/(P545*'Parametros Recargas'!K$8*'Parametros Recargas'!$B$19),0))</f>
        <v>3</v>
      </c>
      <c r="R545" s="46">
        <f>IF(AND('Parametros Recargas'!K$8=2,O545/(P545*Q545*'Parametros Recargas'!$B$19)&gt;1),2,1)</f>
        <v>2</v>
      </c>
      <c r="S545" s="34">
        <f t="shared" si="345"/>
        <v>0.6289334319</v>
      </c>
      <c r="T545" s="161">
        <f>'Parametros Recargas'!D73</f>
        <v>1</v>
      </c>
      <c r="U545" s="161">
        <f>'Parametros Recargas'!E73</f>
        <v>1</v>
      </c>
      <c r="V545" s="161">
        <f>'Parametros Recargas'!F73</f>
        <v>1</v>
      </c>
      <c r="W545" s="161">
        <f>'Parametros Recargas'!G73</f>
        <v>1</v>
      </c>
      <c r="X545" s="161">
        <f>'Parametros Recargas'!H73</f>
        <v>0.35</v>
      </c>
      <c r="Y545" s="161">
        <f>'Parametros Recargas'!I73</f>
        <v>0.35</v>
      </c>
      <c r="Z545" s="162">
        <f>'Parametros Recargas'!$U$104/P545</f>
        <v>0.03993055556</v>
      </c>
      <c r="AA545" s="257">
        <f t="shared" si="346"/>
        <v>143.75</v>
      </c>
    </row>
    <row r="546" ht="15.75" customHeight="1">
      <c r="A546" s="73" t="s">
        <v>537</v>
      </c>
      <c r="B546" s="118" t="s">
        <v>458</v>
      </c>
      <c r="C546" s="63">
        <f t="shared" ref="C546:N546" si="365">($T546*C$519+$U546*C$520+$V546*C$521+$W546*C$522+$X546*C$523+$Y546*C$524)/$B$2</f>
        <v>76.8464018</v>
      </c>
      <c r="D546" s="63">
        <f t="shared" si="365"/>
        <v>63.12461315</v>
      </c>
      <c r="E546" s="63">
        <f t="shared" si="365"/>
        <v>64.88571163</v>
      </c>
      <c r="F546" s="63">
        <f t="shared" si="365"/>
        <v>63.29598063</v>
      </c>
      <c r="G546" s="63">
        <f t="shared" si="365"/>
        <v>61.53488215</v>
      </c>
      <c r="H546" s="63">
        <f t="shared" si="365"/>
        <v>59.77378368</v>
      </c>
      <c r="I546" s="63">
        <f t="shared" si="365"/>
        <v>63.46734812</v>
      </c>
      <c r="J546" s="63">
        <f t="shared" si="365"/>
        <v>64.71434415</v>
      </c>
      <c r="K546" s="63">
        <f t="shared" si="365"/>
        <v>64.71434415</v>
      </c>
      <c r="L546" s="63">
        <f t="shared" si="365"/>
        <v>63.12461315</v>
      </c>
      <c r="M546" s="63">
        <f t="shared" si="365"/>
        <v>62.95324567</v>
      </c>
      <c r="N546" s="63">
        <f t="shared" si="365"/>
        <v>91.82336966</v>
      </c>
      <c r="O546" s="44">
        <f t="shared" si="344"/>
        <v>91.82336966</v>
      </c>
      <c r="P546" s="63">
        <f>'Parametros Recargas'!$M$105</f>
        <v>52.36363636</v>
      </c>
      <c r="Q546" s="36">
        <f>MAX(Q491,ROUNDUP(O546/(P546*'Parametros Recargas'!K$8*'Parametros Recargas'!$B$19),0))</f>
        <v>2</v>
      </c>
      <c r="R546" s="46">
        <f>IF(AND('Parametros Recargas'!K$8=2,O546/(P546*Q546*'Parametros Recargas'!$B$19)&gt;1),2,1)</f>
        <v>1</v>
      </c>
      <c r="S546" s="34">
        <f t="shared" si="345"/>
        <v>0.8767856478</v>
      </c>
      <c r="T546" s="161">
        <f>'Parametros Recargas'!D74</f>
        <v>1</v>
      </c>
      <c r="U546" s="161">
        <f>'Parametros Recargas'!E74</f>
        <v>1</v>
      </c>
      <c r="V546" s="161">
        <f>'Parametros Recargas'!F74</f>
        <v>1</v>
      </c>
      <c r="W546" s="161">
        <f>'Parametros Recargas'!G74</f>
        <v>1</v>
      </c>
      <c r="X546" s="161">
        <f>'Parametros Recargas'!H74</f>
        <v>0</v>
      </c>
      <c r="Y546" s="161">
        <f>'Parametros Recargas'!I74</f>
        <v>0.35</v>
      </c>
      <c r="Z546" s="162">
        <f>'Parametros Recargas'!$U$105/P546</f>
        <v>0.01909722222</v>
      </c>
      <c r="AA546" s="257">
        <f t="shared" si="346"/>
        <v>68.75</v>
      </c>
    </row>
    <row r="547" ht="15.75" customHeight="1">
      <c r="A547" s="73" t="s">
        <v>546</v>
      </c>
      <c r="B547" s="118" t="s">
        <v>458</v>
      </c>
      <c r="C547" s="63">
        <f t="shared" ref="C547:N547" si="366">($T547*C$519+$U547*C$520+$V547*C$521+$W547*C$522+$X547*C$523+$Y547*C$524)/$B$2</f>
        <v>6.527919831</v>
      </c>
      <c r="D547" s="63">
        <f t="shared" si="366"/>
        <v>5.802595405</v>
      </c>
      <c r="E547" s="63">
        <f t="shared" si="366"/>
        <v>6.165257618</v>
      </c>
      <c r="F547" s="63">
        <f t="shared" si="366"/>
        <v>5.802595405</v>
      </c>
      <c r="G547" s="63">
        <f t="shared" si="366"/>
        <v>5.439933192</v>
      </c>
      <c r="H547" s="63">
        <f t="shared" si="366"/>
        <v>5.077270979</v>
      </c>
      <c r="I547" s="63">
        <f t="shared" si="366"/>
        <v>5.802595405</v>
      </c>
      <c r="J547" s="63">
        <f t="shared" si="366"/>
        <v>6.165257618</v>
      </c>
      <c r="K547" s="63">
        <f t="shared" si="366"/>
        <v>6.165257618</v>
      </c>
      <c r="L547" s="63">
        <f t="shared" si="366"/>
        <v>5.802595405</v>
      </c>
      <c r="M547" s="63">
        <f t="shared" si="366"/>
        <v>5.802595405</v>
      </c>
      <c r="N547" s="63">
        <f t="shared" si="366"/>
        <v>7.978568682</v>
      </c>
      <c r="O547" s="44">
        <f t="shared" si="344"/>
        <v>7.978568682</v>
      </c>
      <c r="P547" s="63">
        <f>'Parametros Recargas'!$M$106</f>
        <v>55.63636364</v>
      </c>
      <c r="Q547" s="36">
        <f>MAX(Q492,ROUNDUP(O547/(P547*'Parametros Recargas'!K$8*'Parametros Recargas'!$B$19),0))</f>
        <v>1</v>
      </c>
      <c r="R547" s="46">
        <f>IF(AND('Parametros Recargas'!K$8=2,O547/(P547*Q547*'Parametros Recargas'!$B$19)&gt;1),2,1)</f>
        <v>1</v>
      </c>
      <c r="S547" s="34">
        <f t="shared" si="345"/>
        <v>0.1434056462</v>
      </c>
      <c r="T547" s="161">
        <f>'Parametros Recargas'!D75</f>
        <v>0</v>
      </c>
      <c r="U547" s="161">
        <f>'Parametros Recargas'!E75</f>
        <v>0</v>
      </c>
      <c r="V547" s="161">
        <f>'Parametros Recargas'!F75</f>
        <v>0</v>
      </c>
      <c r="W547" s="161">
        <f>'Parametros Recargas'!G75</f>
        <v>0</v>
      </c>
      <c r="X547" s="161">
        <f>'Parametros Recargas'!H75</f>
        <v>1</v>
      </c>
      <c r="Y547" s="161">
        <f>'Parametros Recargas'!I75</f>
        <v>1</v>
      </c>
      <c r="Z547" s="162">
        <f>'Parametros Recargas'!$U$106/P547</f>
        <v>0.01797385621</v>
      </c>
      <c r="AA547" s="257">
        <f t="shared" si="346"/>
        <v>64.70588235</v>
      </c>
    </row>
    <row r="548" ht="15.75" customHeight="1">
      <c r="A548" s="73" t="s">
        <v>559</v>
      </c>
      <c r="B548" s="118" t="s">
        <v>458</v>
      </c>
      <c r="C548" s="63">
        <f t="shared" ref="C548:N548" si="367">($T548*C$519+$U548*C$520+$V548*C$521+$W548*C$522+$X548*C$523+$Y548*C$524)/$B$2</f>
        <v>83.28286173</v>
      </c>
      <c r="D548" s="63">
        <f t="shared" si="367"/>
        <v>68.84591086</v>
      </c>
      <c r="E548" s="63">
        <f t="shared" si="367"/>
        <v>70.96459045</v>
      </c>
      <c r="F548" s="63">
        <f t="shared" si="367"/>
        <v>69.01727835</v>
      </c>
      <c r="G548" s="63">
        <f t="shared" si="367"/>
        <v>66.89859876</v>
      </c>
      <c r="H548" s="63">
        <f t="shared" si="367"/>
        <v>64.77991917</v>
      </c>
      <c r="I548" s="63">
        <f t="shared" si="367"/>
        <v>69.18864583</v>
      </c>
      <c r="J548" s="63">
        <f t="shared" si="367"/>
        <v>70.79322297</v>
      </c>
      <c r="K548" s="63">
        <f t="shared" si="367"/>
        <v>70.79322297</v>
      </c>
      <c r="L548" s="63">
        <f t="shared" si="367"/>
        <v>68.84591086</v>
      </c>
      <c r="M548" s="63">
        <f t="shared" si="367"/>
        <v>68.67454338</v>
      </c>
      <c r="N548" s="63">
        <f t="shared" si="367"/>
        <v>99.69015402</v>
      </c>
      <c r="O548" s="44">
        <f t="shared" si="344"/>
        <v>99.69015402</v>
      </c>
      <c r="P548" s="63">
        <f>'Parametros Recargas'!$M$107</f>
        <v>76.5</v>
      </c>
      <c r="Q548" s="36">
        <f>MAX(Q493,ROUNDUP(O548/(P548*'Parametros Recargas'!K$8*'Parametros Recargas'!$B$19),0))</f>
        <v>1</v>
      </c>
      <c r="R548" s="46">
        <f>IF(AND('Parametros Recargas'!K$8=2,O548/(P548*Q548*'Parametros Recargas'!$B$19)&gt;1),2,1)</f>
        <v>2</v>
      </c>
      <c r="S548" s="34">
        <f t="shared" si="345"/>
        <v>0.6515696341</v>
      </c>
      <c r="T548" s="161">
        <f>'Parametros Recargas'!D76</f>
        <v>1</v>
      </c>
      <c r="U548" s="161">
        <f>'Parametros Recargas'!E76</f>
        <v>1</v>
      </c>
      <c r="V548" s="161">
        <f>'Parametros Recargas'!F76</f>
        <v>1</v>
      </c>
      <c r="W548" s="161">
        <f>'Parametros Recargas'!G76</f>
        <v>1</v>
      </c>
      <c r="X548" s="161">
        <f>'Parametros Recargas'!H76</f>
        <v>1</v>
      </c>
      <c r="Y548" s="161">
        <f>'Parametros Recargas'!I76</f>
        <v>1</v>
      </c>
      <c r="Z548" s="162">
        <f>'Parametros Recargas'!$U$107/P548</f>
        <v>0.003267973856</v>
      </c>
      <c r="AA548" s="257">
        <f t="shared" si="346"/>
        <v>11.76470588</v>
      </c>
    </row>
    <row r="549" ht="15.75" customHeight="1">
      <c r="A549" s="73" t="s">
        <v>566</v>
      </c>
      <c r="B549" s="118" t="s">
        <v>458</v>
      </c>
      <c r="C549" s="63">
        <f t="shared" ref="C549:N549" si="368">($T549*C$519+$U549*C$520+$V549*C$521+$W549*C$522+$X549*C$523+$Y549*C$524)/$B$2</f>
        <v>12.49242926</v>
      </c>
      <c r="D549" s="63">
        <f t="shared" si="368"/>
        <v>10.32688663</v>
      </c>
      <c r="E549" s="63">
        <f t="shared" si="368"/>
        <v>10.64468857</v>
      </c>
      <c r="F549" s="63">
        <f t="shared" si="368"/>
        <v>10.35259175</v>
      </c>
      <c r="G549" s="63">
        <f t="shared" si="368"/>
        <v>10.03478981</v>
      </c>
      <c r="H549" s="63">
        <f t="shared" si="368"/>
        <v>9.716987876</v>
      </c>
      <c r="I549" s="63">
        <f t="shared" si="368"/>
        <v>10.37829687</v>
      </c>
      <c r="J549" s="63">
        <f t="shared" si="368"/>
        <v>10.61898345</v>
      </c>
      <c r="K549" s="63">
        <f t="shared" si="368"/>
        <v>10.61898345</v>
      </c>
      <c r="L549" s="63">
        <f t="shared" si="368"/>
        <v>10.32688663</v>
      </c>
      <c r="M549" s="63">
        <f t="shared" si="368"/>
        <v>10.30118151</v>
      </c>
      <c r="N549" s="63">
        <f t="shared" si="368"/>
        <v>14.9535231</v>
      </c>
      <c r="O549" s="44">
        <f t="shared" si="344"/>
        <v>14.9535231</v>
      </c>
      <c r="P549" s="63">
        <f>'Parametros Recargas'!$M$108</f>
        <v>8</v>
      </c>
      <c r="Q549" s="36">
        <f>MAX(Q494,ROUNDUP(O549/(P549*'Parametros Recargas'!K$8*'Parametros Recargas'!$B$19),0))</f>
        <v>2</v>
      </c>
      <c r="R549" s="46">
        <f>IF(AND('Parametros Recargas'!K$8=2,O549/(P549*Q549*'Parametros Recargas'!$B$19)&gt;1),2,1)</f>
        <v>2</v>
      </c>
      <c r="S549" s="34">
        <f t="shared" si="345"/>
        <v>0.467297597</v>
      </c>
      <c r="T549" s="161">
        <f>'Parametros Recargas'!D77</f>
        <v>0.15</v>
      </c>
      <c r="U549" s="161">
        <f>'Parametros Recargas'!E77</f>
        <v>0.15</v>
      </c>
      <c r="V549" s="161">
        <f>'Parametros Recargas'!F77</f>
        <v>0.15</v>
      </c>
      <c r="W549" s="161">
        <f>'Parametros Recargas'!G77</f>
        <v>0.15</v>
      </c>
      <c r="X549" s="161">
        <f>'Parametros Recargas'!H77</f>
        <v>0.15</v>
      </c>
      <c r="Y549" s="161">
        <f>'Parametros Recargas'!I77</f>
        <v>0.15</v>
      </c>
      <c r="Z549" s="162">
        <f>'Parametros Recargas'!$U$108/P549</f>
        <v>0.125</v>
      </c>
      <c r="AA549" s="257">
        <f t="shared" si="346"/>
        <v>450</v>
      </c>
    </row>
    <row r="550" ht="15.75" customHeight="1">
      <c r="A550" s="73" t="s">
        <v>574</v>
      </c>
      <c r="B550" s="118" t="s">
        <v>458</v>
      </c>
      <c r="C550" s="63">
        <f t="shared" ref="C550:N550" si="369">($T550*C$519+$U550*C$520+$V550*C$521+$W550*C$522+$X550*C$523+$Y550*C$524)/$B$2</f>
        <v>83.28286173</v>
      </c>
      <c r="D550" s="63">
        <f t="shared" si="369"/>
        <v>68.84591086</v>
      </c>
      <c r="E550" s="63">
        <f t="shared" si="369"/>
        <v>70.96459045</v>
      </c>
      <c r="F550" s="63">
        <f t="shared" si="369"/>
        <v>69.01727835</v>
      </c>
      <c r="G550" s="63">
        <f t="shared" si="369"/>
        <v>66.89859876</v>
      </c>
      <c r="H550" s="63">
        <f t="shared" si="369"/>
        <v>64.77991917</v>
      </c>
      <c r="I550" s="63">
        <f t="shared" si="369"/>
        <v>69.18864583</v>
      </c>
      <c r="J550" s="63">
        <f t="shared" si="369"/>
        <v>70.79322297</v>
      </c>
      <c r="K550" s="63">
        <f t="shared" si="369"/>
        <v>70.79322297</v>
      </c>
      <c r="L550" s="63">
        <f t="shared" si="369"/>
        <v>68.84591086</v>
      </c>
      <c r="M550" s="63">
        <f t="shared" si="369"/>
        <v>68.67454338</v>
      </c>
      <c r="N550" s="63">
        <f t="shared" si="369"/>
        <v>99.69015402</v>
      </c>
      <c r="O550" s="44">
        <f t="shared" si="344"/>
        <v>99.69015402</v>
      </c>
      <c r="P550" s="63">
        <f>'Parametros Recargas'!$M$109</f>
        <v>52.36363636</v>
      </c>
      <c r="Q550" s="36">
        <f>MAX(Q495,ROUNDUP(O550/(P550*'Parametros Recargas'!K$8*'Parametros Recargas'!$B$19),0))</f>
        <v>2</v>
      </c>
      <c r="R550" s="46">
        <f>IF(AND('Parametros Recargas'!K$8=2,O550/(P550*Q550*'Parametros Recargas'!$B$19)&gt;1),2,1)</f>
        <v>2</v>
      </c>
      <c r="S550" s="34">
        <f t="shared" si="345"/>
        <v>0.4759512562</v>
      </c>
      <c r="T550" s="161">
        <f>'Parametros Recargas'!D78</f>
        <v>1</v>
      </c>
      <c r="U550" s="161">
        <f>'Parametros Recargas'!E78</f>
        <v>1</v>
      </c>
      <c r="V550" s="161">
        <f>'Parametros Recargas'!F78</f>
        <v>1</v>
      </c>
      <c r="W550" s="161">
        <f>'Parametros Recargas'!G78</f>
        <v>1</v>
      </c>
      <c r="X550" s="161">
        <f>'Parametros Recargas'!H78</f>
        <v>1</v>
      </c>
      <c r="Y550" s="161">
        <f>'Parametros Recargas'!I78</f>
        <v>1</v>
      </c>
      <c r="Z550" s="162">
        <f>'Parametros Recargas'!$U$109/P550</f>
        <v>0.01909722222</v>
      </c>
      <c r="AA550" s="257">
        <f t="shared" si="346"/>
        <v>68.75</v>
      </c>
    </row>
    <row r="551" ht="15.75" customHeight="1">
      <c r="A551" s="73" t="s">
        <v>583</v>
      </c>
      <c r="B551" s="118" t="s">
        <v>458</v>
      </c>
      <c r="C551" s="63">
        <f t="shared" ref="C551:N551" si="370">($T551*C$519+$U551*C$520+$V551*C$521+$W551*C$522+$X551*C$523+$Y551*C$524)/$B$2</f>
        <v>83.28286173</v>
      </c>
      <c r="D551" s="63">
        <f t="shared" si="370"/>
        <v>68.84591086</v>
      </c>
      <c r="E551" s="63">
        <f t="shared" si="370"/>
        <v>70.96459045</v>
      </c>
      <c r="F551" s="63">
        <f t="shared" si="370"/>
        <v>69.01727835</v>
      </c>
      <c r="G551" s="63">
        <f t="shared" si="370"/>
        <v>66.89859876</v>
      </c>
      <c r="H551" s="63">
        <f t="shared" si="370"/>
        <v>64.77991917</v>
      </c>
      <c r="I551" s="63">
        <f t="shared" si="370"/>
        <v>69.18864583</v>
      </c>
      <c r="J551" s="63">
        <f t="shared" si="370"/>
        <v>70.79322297</v>
      </c>
      <c r="K551" s="63">
        <f t="shared" si="370"/>
        <v>70.79322297</v>
      </c>
      <c r="L551" s="63">
        <f t="shared" si="370"/>
        <v>68.84591086</v>
      </c>
      <c r="M551" s="63">
        <f t="shared" si="370"/>
        <v>68.67454338</v>
      </c>
      <c r="N551" s="63">
        <f t="shared" si="370"/>
        <v>99.69015402</v>
      </c>
      <c r="O551" s="44">
        <f t="shared" si="344"/>
        <v>99.69015402</v>
      </c>
      <c r="P551" s="63">
        <f>'Parametros Recargas'!$M$110</f>
        <v>57.6</v>
      </c>
      <c r="Q551" s="36">
        <f>MAX(Q496,ROUNDUP(O551/(P551*'Parametros Recargas'!K$8*'Parametros Recargas'!$B$19),0))</f>
        <v>2</v>
      </c>
      <c r="R551" s="46">
        <f>IF(AND('Parametros Recargas'!K$8=2,O551/(P551*Q551*'Parametros Recargas'!$B$19)&gt;1),2,1)</f>
        <v>1</v>
      </c>
      <c r="S551" s="34">
        <f t="shared" si="345"/>
        <v>0.8653659203</v>
      </c>
      <c r="T551" s="161">
        <f>'Parametros Recargas'!D79</f>
        <v>1</v>
      </c>
      <c r="U551" s="161">
        <f>'Parametros Recargas'!E79</f>
        <v>1</v>
      </c>
      <c r="V551" s="161">
        <f>'Parametros Recargas'!F79</f>
        <v>1</v>
      </c>
      <c r="W551" s="161">
        <f>'Parametros Recargas'!G79</f>
        <v>1</v>
      </c>
      <c r="X551" s="161">
        <f>'Parametros Recargas'!H79</f>
        <v>1</v>
      </c>
      <c r="Y551" s="161">
        <f>'Parametros Recargas'!I79</f>
        <v>1</v>
      </c>
      <c r="Z551" s="162">
        <f>'Parametros Recargas'!$U$110/P551</f>
        <v>0.01736111111</v>
      </c>
      <c r="AA551" s="257">
        <f t="shared" si="346"/>
        <v>62.5</v>
      </c>
    </row>
    <row r="552" ht="15.75" customHeight="1">
      <c r="A552" s="73" t="s">
        <v>590</v>
      </c>
      <c r="B552" s="118" t="s">
        <v>591</v>
      </c>
      <c r="C552" s="175">
        <f t="shared" ref="C552:N552" si="371">SUMPRODUCT(C526:C551,$Z526:$Z551)*$B$2</f>
        <v>2860.444796</v>
      </c>
      <c r="D552" s="175">
        <f t="shared" si="371"/>
        <v>2363.73537</v>
      </c>
      <c r="E552" s="175">
        <f t="shared" si="371"/>
        <v>2436.394776</v>
      </c>
      <c r="F552" s="175">
        <f t="shared" si="371"/>
        <v>2370.032811</v>
      </c>
      <c r="G552" s="175">
        <f t="shared" si="371"/>
        <v>2297.373404</v>
      </c>
      <c r="H552" s="175">
        <f t="shared" si="371"/>
        <v>2224.713998</v>
      </c>
      <c r="I552" s="175">
        <f t="shared" si="371"/>
        <v>2376.330252</v>
      </c>
      <c r="J552" s="175">
        <f t="shared" si="371"/>
        <v>2430.097335</v>
      </c>
      <c r="K552" s="175">
        <f t="shared" si="371"/>
        <v>2430.097335</v>
      </c>
      <c r="L552" s="175">
        <f t="shared" si="371"/>
        <v>2363.73537</v>
      </c>
      <c r="M552" s="175">
        <f t="shared" si="371"/>
        <v>2357.437928</v>
      </c>
      <c r="N552" s="175">
        <f t="shared" si="371"/>
        <v>3421.293894</v>
      </c>
      <c r="O552" s="175">
        <f t="shared" si="344"/>
        <v>3421.293894</v>
      </c>
    </row>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8.63"/>
    <col customWidth="1" min="2" max="2" width="12.63"/>
    <col customWidth="1" min="3" max="3" width="17.13"/>
    <col customWidth="1" min="4" max="5" width="12.63"/>
    <col customWidth="1" min="6" max="6" width="14.75"/>
    <col customWidth="1" min="14" max="14" width="20.0"/>
  </cols>
  <sheetData>
    <row r="1" ht="12.0" customHeight="1">
      <c r="A1" s="107" t="s">
        <v>417</v>
      </c>
      <c r="B1" s="16"/>
      <c r="C1" s="16"/>
      <c r="D1" s="16"/>
      <c r="E1" s="16"/>
      <c r="F1" s="16"/>
      <c r="G1" s="16"/>
      <c r="H1" s="16"/>
      <c r="I1" s="16"/>
      <c r="J1" s="16"/>
      <c r="K1" s="16"/>
      <c r="L1" s="17"/>
    </row>
    <row r="2" ht="12.0" customHeight="1">
      <c r="A2" s="145" t="s">
        <v>189</v>
      </c>
      <c r="B2" s="145">
        <v>2026.0</v>
      </c>
      <c r="C2" s="145">
        <v>2027.0</v>
      </c>
      <c r="D2" s="145">
        <v>2028.0</v>
      </c>
      <c r="E2" s="145">
        <v>2029.0</v>
      </c>
      <c r="F2" s="145">
        <v>2030.0</v>
      </c>
      <c r="G2" s="145">
        <v>2031.0</v>
      </c>
      <c r="H2" s="145">
        <v>2032.0</v>
      </c>
      <c r="I2" s="145">
        <v>2033.0</v>
      </c>
      <c r="J2" s="145">
        <v>2034.0</v>
      </c>
      <c r="K2" s="145">
        <v>2035.0</v>
      </c>
      <c r="L2" s="145" t="s">
        <v>419</v>
      </c>
    </row>
    <row r="3" ht="12.0" customHeight="1">
      <c r="A3" s="146" t="s">
        <v>34</v>
      </c>
      <c r="B3" s="147">
        <v>4179.0</v>
      </c>
      <c r="C3" s="147">
        <v>5997.0</v>
      </c>
      <c r="D3" s="147">
        <v>6852.0</v>
      </c>
      <c r="E3" s="147">
        <v>8467.0</v>
      </c>
      <c r="F3" s="147">
        <v>12681.0</v>
      </c>
      <c r="G3" s="147">
        <v>15620.0</v>
      </c>
      <c r="H3" s="147">
        <v>20333.0</v>
      </c>
      <c r="I3" s="147">
        <v>25132.0</v>
      </c>
      <c r="J3" s="147">
        <v>28573.0</v>
      </c>
      <c r="K3" s="147">
        <v>32073.0</v>
      </c>
      <c r="L3" s="148">
        <f t="shared" ref="L3:L10" si="1">K3/$K$11</f>
        <v>0.4339877948</v>
      </c>
    </row>
    <row r="4" ht="12.0" customHeight="1">
      <c r="A4" s="146" t="s">
        <v>43</v>
      </c>
      <c r="B4" s="149">
        <v>295.0</v>
      </c>
      <c r="C4" s="149">
        <v>709.0</v>
      </c>
      <c r="D4" s="149">
        <v>987.0</v>
      </c>
      <c r="E4" s="147">
        <v>1501.0</v>
      </c>
      <c r="F4" s="147">
        <v>2312.0</v>
      </c>
      <c r="G4" s="147">
        <v>3252.0</v>
      </c>
      <c r="H4" s="147">
        <v>4103.0</v>
      </c>
      <c r="I4" s="147">
        <v>5105.0</v>
      </c>
      <c r="J4" s="147">
        <v>6195.0</v>
      </c>
      <c r="K4" s="147">
        <v>7425.0</v>
      </c>
      <c r="L4" s="148">
        <f t="shared" si="1"/>
        <v>0.1004695344</v>
      </c>
    </row>
    <row r="5" ht="12.0" customHeight="1">
      <c r="A5" s="146" t="s">
        <v>53</v>
      </c>
      <c r="B5" s="147">
        <v>2256.0</v>
      </c>
      <c r="C5" s="147">
        <v>3847.0</v>
      </c>
      <c r="D5" s="147">
        <v>5094.0</v>
      </c>
      <c r="E5" s="147">
        <v>6823.0</v>
      </c>
      <c r="F5" s="147">
        <v>10819.0</v>
      </c>
      <c r="G5" s="147">
        <v>14606.0</v>
      </c>
      <c r="H5" s="147">
        <v>18878.0</v>
      </c>
      <c r="I5" s="147">
        <v>23368.0</v>
      </c>
      <c r="J5" s="147">
        <v>26968.0</v>
      </c>
      <c r="K5" s="147">
        <v>30751.0</v>
      </c>
      <c r="L5" s="148">
        <f t="shared" si="1"/>
        <v>0.4160994818</v>
      </c>
    </row>
    <row r="6" ht="12.0" customHeight="1">
      <c r="A6" s="146" t="s">
        <v>59</v>
      </c>
      <c r="B6" s="149">
        <v>92.0</v>
      </c>
      <c r="C6" s="149">
        <v>177.0</v>
      </c>
      <c r="D6" s="149">
        <v>253.0</v>
      </c>
      <c r="E6" s="149">
        <v>358.0</v>
      </c>
      <c r="F6" s="149">
        <v>603.0</v>
      </c>
      <c r="G6" s="149">
        <v>872.0</v>
      </c>
      <c r="H6" s="147">
        <v>1127.0</v>
      </c>
      <c r="I6" s="147">
        <v>1395.0</v>
      </c>
      <c r="J6" s="147">
        <v>1612.0</v>
      </c>
      <c r="K6" s="147">
        <v>1841.0</v>
      </c>
      <c r="L6" s="148">
        <f t="shared" si="1"/>
        <v>0.02491103203</v>
      </c>
    </row>
    <row r="7" ht="12.0" customHeight="1">
      <c r="A7" s="150" t="s">
        <v>75</v>
      </c>
      <c r="B7" s="149">
        <v>34.0</v>
      </c>
      <c r="C7" s="149">
        <v>58.0</v>
      </c>
      <c r="D7" s="149">
        <v>76.0</v>
      </c>
      <c r="E7" s="149">
        <v>100.0</v>
      </c>
      <c r="F7" s="149">
        <v>156.0</v>
      </c>
      <c r="G7" s="149">
        <v>212.0</v>
      </c>
      <c r="H7" s="149">
        <v>273.0</v>
      </c>
      <c r="I7" s="149">
        <v>338.0</v>
      </c>
      <c r="J7" s="149">
        <v>393.0</v>
      </c>
      <c r="K7" s="149">
        <v>453.0</v>
      </c>
      <c r="L7" s="148">
        <f t="shared" si="1"/>
        <v>0.006129656442</v>
      </c>
    </row>
    <row r="8" ht="12.0" customHeight="1">
      <c r="A8" s="150" t="s">
        <v>86</v>
      </c>
      <c r="B8" s="149">
        <v>75.0</v>
      </c>
      <c r="C8" s="149">
        <v>128.0</v>
      </c>
      <c r="D8" s="149">
        <v>166.0</v>
      </c>
      <c r="E8" s="149">
        <v>221.0</v>
      </c>
      <c r="F8" s="149">
        <v>343.0</v>
      </c>
      <c r="G8" s="149">
        <v>466.0</v>
      </c>
      <c r="H8" s="149">
        <v>599.0</v>
      </c>
      <c r="I8" s="149">
        <v>743.0</v>
      </c>
      <c r="J8" s="149">
        <v>866.0</v>
      </c>
      <c r="K8" s="149">
        <v>997.0</v>
      </c>
      <c r="L8" s="148">
        <f t="shared" si="1"/>
        <v>0.01349065667</v>
      </c>
    </row>
    <row r="9" ht="12.0" customHeight="1">
      <c r="A9" s="150" t="s">
        <v>95</v>
      </c>
      <c r="B9" s="149">
        <v>16.0</v>
      </c>
      <c r="C9" s="149">
        <v>29.0</v>
      </c>
      <c r="D9" s="149">
        <v>36.0</v>
      </c>
      <c r="E9" s="149">
        <v>48.0</v>
      </c>
      <c r="F9" s="149">
        <v>74.0</v>
      </c>
      <c r="G9" s="149">
        <v>101.0</v>
      </c>
      <c r="H9" s="149">
        <v>131.0</v>
      </c>
      <c r="I9" s="149">
        <v>163.0</v>
      </c>
      <c r="J9" s="149">
        <v>189.0</v>
      </c>
      <c r="K9" s="149">
        <v>218.0</v>
      </c>
      <c r="L9" s="148">
        <f t="shared" si="1"/>
        <v>0.002949812592</v>
      </c>
    </row>
    <row r="10" ht="12.0" customHeight="1">
      <c r="A10" s="150" t="s">
        <v>100</v>
      </c>
      <c r="B10" s="149">
        <v>11.0</v>
      </c>
      <c r="C10" s="149">
        <v>18.0</v>
      </c>
      <c r="D10" s="149">
        <v>24.0</v>
      </c>
      <c r="E10" s="149">
        <v>33.0</v>
      </c>
      <c r="F10" s="149">
        <v>50.0</v>
      </c>
      <c r="G10" s="149">
        <v>67.0</v>
      </c>
      <c r="H10" s="149">
        <v>87.0</v>
      </c>
      <c r="I10" s="149">
        <v>108.0</v>
      </c>
      <c r="J10" s="149">
        <v>126.0</v>
      </c>
      <c r="K10" s="149">
        <v>145.0</v>
      </c>
      <c r="L10" s="148">
        <f t="shared" si="1"/>
        <v>0.001962031311</v>
      </c>
    </row>
    <row r="11" ht="12.0" customHeight="1">
      <c r="A11" s="145" t="s">
        <v>420</v>
      </c>
      <c r="B11" s="145">
        <v>6958.0</v>
      </c>
      <c r="C11" s="145">
        <v>10963.0</v>
      </c>
      <c r="D11" s="145">
        <v>13488.0</v>
      </c>
      <c r="E11" s="145">
        <v>17551.0</v>
      </c>
      <c r="F11" s="145">
        <v>27038.0</v>
      </c>
      <c r="G11" s="145">
        <v>35196.0</v>
      </c>
      <c r="H11" s="145">
        <v>45531.0</v>
      </c>
      <c r="I11" s="145">
        <v>56352.0</v>
      </c>
      <c r="J11" s="145">
        <v>64922.0</v>
      </c>
      <c r="K11" s="145">
        <v>73903.0</v>
      </c>
      <c r="L11" s="151">
        <f>SUM(L3:L10)</f>
        <v>1</v>
      </c>
    </row>
    <row r="12" ht="12.0" customHeight="1">
      <c r="A12" s="11"/>
      <c r="B12" s="11"/>
      <c r="C12" s="11"/>
      <c r="D12" s="11"/>
      <c r="E12" s="11"/>
      <c r="F12" s="11"/>
      <c r="G12" s="11"/>
      <c r="H12" s="11"/>
      <c r="I12" s="11"/>
      <c r="J12" s="11"/>
      <c r="K12" s="11"/>
      <c r="L12" s="11"/>
    </row>
    <row r="13" ht="12.0" customHeight="1">
      <c r="A13" s="107" t="s">
        <v>421</v>
      </c>
      <c r="B13" s="16"/>
      <c r="C13" s="16"/>
      <c r="D13" s="16"/>
      <c r="E13" s="16"/>
      <c r="F13" s="16"/>
      <c r="G13" s="16"/>
      <c r="H13" s="16"/>
      <c r="I13" s="16"/>
      <c r="J13" s="16"/>
      <c r="K13" s="16"/>
      <c r="L13" s="17"/>
    </row>
    <row r="14" ht="12.0" customHeight="1">
      <c r="A14" s="145" t="s">
        <v>189</v>
      </c>
      <c r="B14" s="145">
        <v>2026.0</v>
      </c>
      <c r="C14" s="145">
        <v>2027.0</v>
      </c>
      <c r="D14" s="145">
        <v>2028.0</v>
      </c>
      <c r="E14" s="145">
        <v>2029.0</v>
      </c>
      <c r="F14" s="145">
        <v>2030.0</v>
      </c>
      <c r="G14" s="145">
        <v>2031.0</v>
      </c>
      <c r="H14" s="145">
        <v>2032.0</v>
      </c>
      <c r="I14" s="145">
        <v>2033.0</v>
      </c>
      <c r="J14" s="145">
        <v>2034.0</v>
      </c>
      <c r="K14" s="145">
        <v>2035.0</v>
      </c>
      <c r="L14" s="145" t="s">
        <v>419</v>
      </c>
    </row>
    <row r="15" ht="12.0" customHeight="1">
      <c r="A15" s="146" t="s">
        <v>102</v>
      </c>
      <c r="B15" s="149">
        <v>0.0</v>
      </c>
      <c r="C15" s="149">
        <v>0.0</v>
      </c>
      <c r="D15" s="147">
        <v>7662.0</v>
      </c>
      <c r="E15" s="147">
        <v>26695.0</v>
      </c>
      <c r="F15" s="147">
        <v>49435.0</v>
      </c>
      <c r="G15" s="147">
        <v>71680.0</v>
      </c>
      <c r="H15" s="147">
        <v>101341.0</v>
      </c>
      <c r="I15" s="147">
        <v>131001.0</v>
      </c>
      <c r="J15" s="147">
        <v>146820.0</v>
      </c>
      <c r="K15" s="147">
        <v>170548.0</v>
      </c>
      <c r="L15" s="148">
        <f t="shared" ref="L15:L22" si="2">K15/$K$23</f>
        <v>0.7990816661</v>
      </c>
    </row>
    <row r="16" ht="12.0" customHeight="1">
      <c r="A16" s="146" t="s">
        <v>106</v>
      </c>
      <c r="B16" s="149">
        <v>0.0</v>
      </c>
      <c r="C16" s="149">
        <v>0.0</v>
      </c>
      <c r="D16" s="149">
        <v>300.0</v>
      </c>
      <c r="E16" s="147">
        <v>1044.0</v>
      </c>
      <c r="F16" s="147">
        <v>1933.0</v>
      </c>
      <c r="G16" s="147">
        <v>2803.0</v>
      </c>
      <c r="H16" s="147">
        <v>3963.0</v>
      </c>
      <c r="I16" s="147">
        <v>5123.0</v>
      </c>
      <c r="J16" s="147">
        <v>5741.0</v>
      </c>
      <c r="K16" s="147">
        <v>6669.0</v>
      </c>
      <c r="L16" s="148">
        <f t="shared" si="2"/>
        <v>0.0312467788</v>
      </c>
    </row>
    <row r="17" ht="12.0" customHeight="1">
      <c r="A17" s="146" t="s">
        <v>108</v>
      </c>
      <c r="B17" s="149">
        <v>0.0</v>
      </c>
      <c r="C17" s="149">
        <v>0.0</v>
      </c>
      <c r="D17" s="147">
        <v>1479.0</v>
      </c>
      <c r="E17" s="147">
        <v>5152.0</v>
      </c>
      <c r="F17" s="147">
        <v>9541.0</v>
      </c>
      <c r="G17" s="147">
        <v>13834.0</v>
      </c>
      <c r="H17" s="147">
        <v>19559.0</v>
      </c>
      <c r="I17" s="147">
        <v>25283.0</v>
      </c>
      <c r="J17" s="147">
        <v>28336.0</v>
      </c>
      <c r="K17" s="147">
        <v>32915.0</v>
      </c>
      <c r="L17" s="148">
        <f t="shared" si="2"/>
        <v>0.1542191819</v>
      </c>
    </row>
    <row r="18" ht="12.0" customHeight="1">
      <c r="A18" s="146" t="s">
        <v>122</v>
      </c>
      <c r="B18" s="149">
        <v>0.0</v>
      </c>
      <c r="C18" s="149">
        <v>0.0</v>
      </c>
      <c r="D18" s="149">
        <v>90.0</v>
      </c>
      <c r="E18" s="149">
        <v>315.0</v>
      </c>
      <c r="F18" s="149">
        <v>583.0</v>
      </c>
      <c r="G18" s="149">
        <v>846.0</v>
      </c>
      <c r="H18" s="147">
        <v>1195.0</v>
      </c>
      <c r="I18" s="147">
        <v>1545.0</v>
      </c>
      <c r="J18" s="147">
        <v>1731.0</v>
      </c>
      <c r="K18" s="147">
        <v>2011.0</v>
      </c>
      <c r="L18" s="148">
        <f t="shared" si="2"/>
        <v>0.009422293023</v>
      </c>
    </row>
    <row r="19" ht="12.0" customHeight="1">
      <c r="A19" s="146" t="s">
        <v>125</v>
      </c>
      <c r="B19" s="149">
        <v>0.0</v>
      </c>
      <c r="C19" s="149">
        <v>0.0</v>
      </c>
      <c r="D19" s="149">
        <v>14.0</v>
      </c>
      <c r="E19" s="149">
        <v>50.0</v>
      </c>
      <c r="F19" s="149">
        <v>93.0</v>
      </c>
      <c r="G19" s="149">
        <v>135.0</v>
      </c>
      <c r="H19" s="149">
        <v>191.0</v>
      </c>
      <c r="I19" s="149">
        <v>247.0</v>
      </c>
      <c r="J19" s="149">
        <v>277.0</v>
      </c>
      <c r="K19" s="149">
        <v>322.0</v>
      </c>
      <c r="L19" s="148">
        <f t="shared" si="2"/>
        <v>0.001508691374</v>
      </c>
    </row>
    <row r="20" ht="12.0" customHeight="1">
      <c r="A20" s="146" t="s">
        <v>128</v>
      </c>
      <c r="B20" s="149">
        <v>0.0</v>
      </c>
      <c r="C20" s="149">
        <v>0.0</v>
      </c>
      <c r="D20" s="149">
        <v>32.0</v>
      </c>
      <c r="E20" s="149">
        <v>111.0</v>
      </c>
      <c r="F20" s="149">
        <v>205.0</v>
      </c>
      <c r="G20" s="149">
        <v>298.0</v>
      </c>
      <c r="H20" s="149">
        <v>421.0</v>
      </c>
      <c r="I20" s="149">
        <v>544.0</v>
      </c>
      <c r="J20" s="149">
        <v>610.0</v>
      </c>
      <c r="K20" s="149">
        <v>708.0</v>
      </c>
      <c r="L20" s="148">
        <f t="shared" si="2"/>
        <v>0.003317246873</v>
      </c>
    </row>
    <row r="21" ht="12.0" customHeight="1">
      <c r="A21" s="146" t="s">
        <v>129</v>
      </c>
      <c r="B21" s="149">
        <v>0.0</v>
      </c>
      <c r="C21" s="149">
        <v>0.0</v>
      </c>
      <c r="D21" s="149">
        <v>7.0</v>
      </c>
      <c r="E21" s="149">
        <v>24.0</v>
      </c>
      <c r="F21" s="149">
        <v>45.0</v>
      </c>
      <c r="G21" s="149">
        <v>65.0</v>
      </c>
      <c r="H21" s="149">
        <v>92.0</v>
      </c>
      <c r="I21" s="149">
        <v>119.0</v>
      </c>
      <c r="J21" s="149">
        <v>133.0</v>
      </c>
      <c r="K21" s="149">
        <v>155.0</v>
      </c>
      <c r="L21" s="148">
        <f t="shared" si="2"/>
        <v>0.0007262334255</v>
      </c>
    </row>
    <row r="22" ht="12.0" customHeight="1">
      <c r="A22" s="146" t="s">
        <v>130</v>
      </c>
      <c r="B22" s="149">
        <v>0.0</v>
      </c>
      <c r="C22" s="149">
        <v>0.0</v>
      </c>
      <c r="D22" s="149">
        <v>5.0</v>
      </c>
      <c r="E22" s="149">
        <v>16.0</v>
      </c>
      <c r="F22" s="149">
        <v>30.0</v>
      </c>
      <c r="G22" s="149">
        <v>43.0</v>
      </c>
      <c r="H22" s="149">
        <v>60.0</v>
      </c>
      <c r="I22" s="149">
        <v>78.0</v>
      </c>
      <c r="J22" s="149">
        <v>88.0</v>
      </c>
      <c r="K22" s="149">
        <v>102.0</v>
      </c>
      <c r="L22" s="148">
        <f t="shared" si="2"/>
        <v>0.0004779084477</v>
      </c>
    </row>
    <row r="23" ht="12.0" customHeight="1">
      <c r="A23" s="145" t="s">
        <v>423</v>
      </c>
      <c r="B23" s="145">
        <v>0.0</v>
      </c>
      <c r="C23" s="145">
        <v>0.0</v>
      </c>
      <c r="D23" s="145">
        <v>9589.0</v>
      </c>
      <c r="E23" s="145">
        <v>33407.0</v>
      </c>
      <c r="F23" s="145">
        <v>61865.0</v>
      </c>
      <c r="G23" s="145">
        <v>89704.0</v>
      </c>
      <c r="H23" s="145">
        <v>126822.0</v>
      </c>
      <c r="I23" s="145">
        <v>163940.0</v>
      </c>
      <c r="J23" s="145">
        <v>183736.0</v>
      </c>
      <c r="K23" s="145">
        <v>213430.0</v>
      </c>
      <c r="L23" s="151">
        <f>SUM(L15:L22)</f>
        <v>1</v>
      </c>
    </row>
    <row r="24" ht="12.0" customHeight="1"/>
    <row r="25" ht="12.0" customHeight="1">
      <c r="A25" s="107" t="s">
        <v>424</v>
      </c>
      <c r="B25" s="16"/>
      <c r="C25" s="16"/>
      <c r="D25" s="16"/>
      <c r="E25" s="16"/>
      <c r="F25" s="16"/>
      <c r="G25" s="16"/>
      <c r="H25" s="16"/>
      <c r="I25" s="16"/>
      <c r="J25" s="16"/>
      <c r="K25" s="16"/>
      <c r="L25" s="17"/>
    </row>
    <row r="26" ht="12.0" customHeight="1">
      <c r="A26" s="145" t="s">
        <v>189</v>
      </c>
      <c r="B26" s="145">
        <v>2026.0</v>
      </c>
      <c r="C26" s="145">
        <v>2027.0</v>
      </c>
      <c r="D26" s="145">
        <v>2028.0</v>
      </c>
      <c r="E26" s="145">
        <v>2029.0</v>
      </c>
      <c r="F26" s="145">
        <v>2030.0</v>
      </c>
      <c r="G26" s="145">
        <v>2031.0</v>
      </c>
      <c r="H26" s="145">
        <v>2032.0</v>
      </c>
      <c r="I26" s="145">
        <v>2033.0</v>
      </c>
      <c r="J26" s="145">
        <v>2034.0</v>
      </c>
      <c r="K26" s="145">
        <v>2035.0</v>
      </c>
      <c r="L26" s="145" t="s">
        <v>419</v>
      </c>
    </row>
    <row r="27" ht="12.0" customHeight="1">
      <c r="A27" s="152" t="s">
        <v>34</v>
      </c>
      <c r="B27" s="153">
        <v>3477.0</v>
      </c>
      <c r="C27" s="153">
        <v>16971.0</v>
      </c>
      <c r="D27" s="153">
        <v>30546.0</v>
      </c>
      <c r="E27" s="153">
        <v>56048.0</v>
      </c>
      <c r="F27" s="153">
        <v>84270.0</v>
      </c>
      <c r="G27" s="153">
        <v>117407.0</v>
      </c>
      <c r="H27" s="153">
        <v>147610.0</v>
      </c>
      <c r="I27" s="153">
        <v>171404.0</v>
      </c>
      <c r="J27" s="153">
        <v>183691.0</v>
      </c>
      <c r="K27" s="153">
        <v>196283.0</v>
      </c>
      <c r="L27" s="154">
        <f t="shared" ref="L27:L45" si="3">K27/$K$45</f>
        <v>0.5219223723</v>
      </c>
    </row>
    <row r="28" ht="12.0" customHeight="1">
      <c r="A28" s="152" t="s">
        <v>43</v>
      </c>
      <c r="B28" s="153">
        <v>330.0</v>
      </c>
      <c r="C28" s="153">
        <v>1287.0</v>
      </c>
      <c r="D28" s="153">
        <v>2947.0</v>
      </c>
      <c r="E28" s="153">
        <v>5426.0</v>
      </c>
      <c r="F28" s="153">
        <v>7851.0</v>
      </c>
      <c r="G28" s="153">
        <v>10424.0</v>
      </c>
      <c r="H28" s="153">
        <v>12810.0</v>
      </c>
      <c r="I28" s="153">
        <v>14263.0</v>
      </c>
      <c r="J28" s="153">
        <v>15433.0</v>
      </c>
      <c r="K28" s="153">
        <v>16621.0</v>
      </c>
      <c r="L28" s="154">
        <f t="shared" si="3"/>
        <v>0.04419573651</v>
      </c>
    </row>
    <row r="29" ht="12.0" customHeight="1">
      <c r="A29" s="152" t="s">
        <v>53</v>
      </c>
      <c r="B29" s="153">
        <v>1950.0</v>
      </c>
      <c r="C29" s="153">
        <v>7853.0</v>
      </c>
      <c r="D29" s="153">
        <v>17776.0</v>
      </c>
      <c r="E29" s="153">
        <v>33606.0</v>
      </c>
      <c r="F29" s="153">
        <v>48407.0</v>
      </c>
      <c r="G29" s="153">
        <v>64323.0</v>
      </c>
      <c r="H29" s="153">
        <v>78721.0</v>
      </c>
      <c r="I29" s="153">
        <v>87237.0</v>
      </c>
      <c r="J29" s="153">
        <v>94104.0</v>
      </c>
      <c r="K29" s="153">
        <v>101095.0</v>
      </c>
      <c r="L29" s="154">
        <f t="shared" si="3"/>
        <v>0.268814631</v>
      </c>
    </row>
    <row r="30" ht="12.0" customHeight="1">
      <c r="A30" s="152" t="s">
        <v>59</v>
      </c>
      <c r="B30" s="153">
        <v>118.0</v>
      </c>
      <c r="C30" s="153">
        <v>437.0</v>
      </c>
      <c r="D30" s="153">
        <v>1025.0</v>
      </c>
      <c r="E30" s="153">
        <v>1961.0</v>
      </c>
      <c r="F30" s="153">
        <v>2845.0</v>
      </c>
      <c r="G30" s="153">
        <v>3810.0</v>
      </c>
      <c r="H30" s="153">
        <v>4663.0</v>
      </c>
      <c r="I30" s="153">
        <v>5165.0</v>
      </c>
      <c r="J30" s="153">
        <v>5572.0</v>
      </c>
      <c r="K30" s="153">
        <v>5986.0</v>
      </c>
      <c r="L30" s="154">
        <f t="shared" si="3"/>
        <v>0.01591695318</v>
      </c>
    </row>
    <row r="31" ht="12.0" customHeight="1">
      <c r="A31" s="152" t="s">
        <v>425</v>
      </c>
      <c r="B31" s="153">
        <v>159.0</v>
      </c>
      <c r="C31" s="153">
        <v>643.0</v>
      </c>
      <c r="D31" s="153">
        <v>1475.0</v>
      </c>
      <c r="E31" s="153">
        <v>2766.0</v>
      </c>
      <c r="F31" s="153">
        <v>3991.0</v>
      </c>
      <c r="G31" s="153">
        <v>5336.0</v>
      </c>
      <c r="H31" s="153">
        <v>6539.0</v>
      </c>
      <c r="I31" s="153">
        <v>7269.0</v>
      </c>
      <c r="J31" s="153">
        <v>7856.0</v>
      </c>
      <c r="K31" s="153">
        <v>8450.0</v>
      </c>
      <c r="L31" s="154">
        <f t="shared" si="3"/>
        <v>0.02246880293</v>
      </c>
    </row>
    <row r="32" ht="12.0" customHeight="1">
      <c r="A32" s="152" t="s">
        <v>427</v>
      </c>
      <c r="B32" s="153">
        <v>23.0</v>
      </c>
      <c r="C32" s="153">
        <v>162.0</v>
      </c>
      <c r="D32" s="153">
        <v>317.0</v>
      </c>
      <c r="E32" s="153">
        <v>528.0</v>
      </c>
      <c r="F32" s="153">
        <v>744.0</v>
      </c>
      <c r="G32" s="153">
        <v>963.0</v>
      </c>
      <c r="H32" s="153">
        <v>1195.0</v>
      </c>
      <c r="I32" s="153">
        <v>1352.0</v>
      </c>
      <c r="J32" s="153">
        <v>1478.0</v>
      </c>
      <c r="K32" s="153">
        <v>1605.0</v>
      </c>
      <c r="L32" s="154">
        <f t="shared" si="3"/>
        <v>0.004267743042</v>
      </c>
    </row>
    <row r="33" ht="12.0" customHeight="1">
      <c r="A33" s="152" t="s">
        <v>428</v>
      </c>
      <c r="B33" s="153">
        <v>11.0</v>
      </c>
      <c r="C33" s="153">
        <v>84.0</v>
      </c>
      <c r="D33" s="153">
        <v>165.0</v>
      </c>
      <c r="E33" s="153">
        <v>281.0</v>
      </c>
      <c r="F33" s="153">
        <v>399.0</v>
      </c>
      <c r="G33" s="153">
        <v>514.0</v>
      </c>
      <c r="H33" s="153">
        <v>629.0</v>
      </c>
      <c r="I33" s="153">
        <v>712.0</v>
      </c>
      <c r="J33" s="153">
        <v>773.0</v>
      </c>
      <c r="K33" s="153">
        <v>837.0</v>
      </c>
      <c r="L33" s="154">
        <f t="shared" si="3"/>
        <v>0.002225608054</v>
      </c>
    </row>
    <row r="34" ht="12.0" customHeight="1">
      <c r="A34" s="152" t="s">
        <v>429</v>
      </c>
      <c r="B34" s="153">
        <v>7.0</v>
      </c>
      <c r="C34" s="153">
        <v>47.0</v>
      </c>
      <c r="D34" s="153">
        <v>89.0</v>
      </c>
      <c r="E34" s="153">
        <v>160.0</v>
      </c>
      <c r="F34" s="153">
        <v>220.0</v>
      </c>
      <c r="G34" s="153">
        <v>292.0</v>
      </c>
      <c r="H34" s="153">
        <v>369.0</v>
      </c>
      <c r="I34" s="153">
        <v>408.0</v>
      </c>
      <c r="J34" s="153">
        <v>446.0</v>
      </c>
      <c r="K34" s="153">
        <v>483.0</v>
      </c>
      <c r="L34" s="154">
        <f t="shared" si="3"/>
        <v>0.001284311457</v>
      </c>
    </row>
    <row r="35" ht="12.0" customHeight="1">
      <c r="A35" s="152" t="s">
        <v>430</v>
      </c>
      <c r="B35" s="153">
        <v>82.0</v>
      </c>
      <c r="C35" s="153">
        <v>335.0</v>
      </c>
      <c r="D35" s="153">
        <v>747.0</v>
      </c>
      <c r="E35" s="153">
        <v>1359.0</v>
      </c>
      <c r="F35" s="153">
        <v>1961.0</v>
      </c>
      <c r="G35" s="153">
        <v>2598.0</v>
      </c>
      <c r="H35" s="153">
        <v>3198.0</v>
      </c>
      <c r="I35" s="153">
        <v>3578.0</v>
      </c>
      <c r="J35" s="153">
        <v>3871.0</v>
      </c>
      <c r="K35" s="153">
        <v>4168.0</v>
      </c>
      <c r="L35" s="154">
        <f t="shared" si="3"/>
        <v>0.01108283676</v>
      </c>
    </row>
    <row r="36" ht="12.0" customHeight="1">
      <c r="A36" s="152" t="s">
        <v>432</v>
      </c>
      <c r="B36" s="153">
        <v>451.0</v>
      </c>
      <c r="C36" s="153">
        <v>1697.0</v>
      </c>
      <c r="D36" s="153">
        <v>3955.0</v>
      </c>
      <c r="E36" s="153">
        <v>7561.0</v>
      </c>
      <c r="F36" s="153">
        <v>10920.0</v>
      </c>
      <c r="G36" s="153">
        <v>14515.0</v>
      </c>
      <c r="H36" s="153">
        <v>17746.0</v>
      </c>
      <c r="I36" s="153">
        <v>19617.0</v>
      </c>
      <c r="J36" s="153">
        <v>21162.0</v>
      </c>
      <c r="K36" s="153">
        <v>22734.0</v>
      </c>
      <c r="L36" s="154">
        <f t="shared" si="3"/>
        <v>0.06045038649</v>
      </c>
    </row>
    <row r="37" ht="12.0" customHeight="1">
      <c r="A37" s="152" t="s">
        <v>433</v>
      </c>
      <c r="B37" s="153">
        <v>125.0</v>
      </c>
      <c r="C37" s="153">
        <v>644.0</v>
      </c>
      <c r="D37" s="153">
        <v>1375.0</v>
      </c>
      <c r="E37" s="153">
        <v>2460.0</v>
      </c>
      <c r="F37" s="153">
        <v>3545.0</v>
      </c>
      <c r="G37" s="153">
        <v>4723.0</v>
      </c>
      <c r="H37" s="153">
        <v>5854.0</v>
      </c>
      <c r="I37" s="153">
        <v>6608.0</v>
      </c>
      <c r="J37" s="153">
        <v>7186.0</v>
      </c>
      <c r="K37" s="153">
        <v>7770.0</v>
      </c>
      <c r="L37" s="154">
        <f t="shared" si="3"/>
        <v>0.02066066258</v>
      </c>
    </row>
    <row r="38" ht="12.0" customHeight="1">
      <c r="A38" s="152" t="s">
        <v>434</v>
      </c>
      <c r="B38" s="153">
        <v>71.0</v>
      </c>
      <c r="C38" s="153">
        <v>344.0</v>
      </c>
      <c r="D38" s="153">
        <v>747.0</v>
      </c>
      <c r="E38" s="153">
        <v>1346.0</v>
      </c>
      <c r="F38" s="153">
        <v>1937.0</v>
      </c>
      <c r="G38" s="153">
        <v>2573.0</v>
      </c>
      <c r="H38" s="153">
        <v>3170.0</v>
      </c>
      <c r="I38" s="153">
        <v>3558.0</v>
      </c>
      <c r="J38" s="153">
        <v>3861.0</v>
      </c>
      <c r="K38" s="153">
        <v>4168.0</v>
      </c>
      <c r="L38" s="154">
        <f t="shared" si="3"/>
        <v>0.01108283676</v>
      </c>
    </row>
    <row r="39" ht="12.0" customHeight="1">
      <c r="A39" s="152" t="s">
        <v>435</v>
      </c>
      <c r="B39" s="153">
        <v>18.0</v>
      </c>
      <c r="C39" s="153">
        <v>112.0</v>
      </c>
      <c r="D39" s="153">
        <v>231.0</v>
      </c>
      <c r="E39" s="153">
        <v>401.0</v>
      </c>
      <c r="F39" s="153">
        <v>575.0</v>
      </c>
      <c r="G39" s="153">
        <v>755.0</v>
      </c>
      <c r="H39" s="153">
        <v>945.0</v>
      </c>
      <c r="I39" s="153">
        <v>1072.0</v>
      </c>
      <c r="J39" s="153">
        <v>1172.0</v>
      </c>
      <c r="K39" s="153">
        <v>1272.0</v>
      </c>
      <c r="L39" s="154">
        <f t="shared" si="3"/>
        <v>0.003382286074</v>
      </c>
    </row>
    <row r="40" ht="12.0" customHeight="1">
      <c r="A40" s="152" t="s">
        <v>436</v>
      </c>
      <c r="B40" s="153">
        <v>7.0</v>
      </c>
      <c r="C40" s="153">
        <v>47.0</v>
      </c>
      <c r="D40" s="153">
        <v>89.0</v>
      </c>
      <c r="E40" s="153">
        <v>149.0</v>
      </c>
      <c r="F40" s="153">
        <v>205.0</v>
      </c>
      <c r="G40" s="153">
        <v>255.0</v>
      </c>
      <c r="H40" s="153">
        <v>328.0</v>
      </c>
      <c r="I40" s="153">
        <v>367.0</v>
      </c>
      <c r="J40" s="153">
        <v>402.0</v>
      </c>
      <c r="K40" s="153">
        <v>437.0</v>
      </c>
      <c r="L40" s="154">
        <f t="shared" si="3"/>
        <v>0.001161996081</v>
      </c>
    </row>
    <row r="41" ht="12.0" customHeight="1">
      <c r="A41" s="152" t="s">
        <v>75</v>
      </c>
      <c r="B41" s="153">
        <v>18.0</v>
      </c>
      <c r="C41" s="153">
        <v>86.0</v>
      </c>
      <c r="D41" s="153">
        <v>187.0</v>
      </c>
      <c r="E41" s="153">
        <v>337.0</v>
      </c>
      <c r="F41" s="153">
        <v>484.0</v>
      </c>
      <c r="G41" s="153">
        <v>643.0</v>
      </c>
      <c r="H41" s="153">
        <v>792.0</v>
      </c>
      <c r="I41" s="153">
        <v>890.0</v>
      </c>
      <c r="J41" s="153">
        <v>965.0</v>
      </c>
      <c r="K41" s="153">
        <v>1042.0</v>
      </c>
      <c r="L41" s="154">
        <f t="shared" si="3"/>
        <v>0.00277070919</v>
      </c>
    </row>
    <row r="42" ht="12.0" customHeight="1">
      <c r="A42" s="152" t="s">
        <v>86</v>
      </c>
      <c r="B42" s="153">
        <v>39.0</v>
      </c>
      <c r="C42" s="153">
        <v>189.0</v>
      </c>
      <c r="D42" s="153">
        <v>411.0</v>
      </c>
      <c r="E42" s="153">
        <v>740.0</v>
      </c>
      <c r="F42" s="153">
        <v>1065.0</v>
      </c>
      <c r="G42" s="153">
        <v>1415.0</v>
      </c>
      <c r="H42" s="153">
        <v>1744.0</v>
      </c>
      <c r="I42" s="153">
        <v>1958.0</v>
      </c>
      <c r="J42" s="153">
        <v>2124.0</v>
      </c>
      <c r="K42" s="153">
        <v>2293.0</v>
      </c>
      <c r="L42" s="154">
        <f t="shared" si="3"/>
        <v>0.006097155636</v>
      </c>
    </row>
    <row r="43" ht="12.0" customHeight="1">
      <c r="A43" s="152" t="s">
        <v>95</v>
      </c>
      <c r="B43" s="153">
        <v>8.0</v>
      </c>
      <c r="C43" s="153">
        <v>41.0</v>
      </c>
      <c r="D43" s="153">
        <v>90.0</v>
      </c>
      <c r="E43" s="153">
        <v>161.0</v>
      </c>
      <c r="F43" s="153">
        <v>233.0</v>
      </c>
      <c r="G43" s="153">
        <v>308.0</v>
      </c>
      <c r="H43" s="153">
        <v>380.0</v>
      </c>
      <c r="I43" s="153">
        <v>427.0</v>
      </c>
      <c r="J43" s="153">
        <v>463.0</v>
      </c>
      <c r="K43" s="153">
        <v>500.0</v>
      </c>
      <c r="L43" s="154">
        <f t="shared" si="3"/>
        <v>0.001329514966</v>
      </c>
    </row>
    <row r="44" ht="12.0" customHeight="1">
      <c r="A44" s="152" t="s">
        <v>100</v>
      </c>
      <c r="B44" s="153">
        <v>6.0</v>
      </c>
      <c r="C44" s="153">
        <v>28.0</v>
      </c>
      <c r="D44" s="153">
        <v>60.0</v>
      </c>
      <c r="E44" s="153">
        <v>108.0</v>
      </c>
      <c r="F44" s="153">
        <v>155.0</v>
      </c>
      <c r="G44" s="153">
        <v>206.0</v>
      </c>
      <c r="H44" s="153">
        <v>254.0</v>
      </c>
      <c r="I44" s="153">
        <v>285.0</v>
      </c>
      <c r="J44" s="153">
        <v>309.0</v>
      </c>
      <c r="K44" s="153">
        <v>333.0</v>
      </c>
      <c r="L44" s="154">
        <f t="shared" si="3"/>
        <v>0.0008854569676</v>
      </c>
    </row>
    <row r="45" ht="12.0" customHeight="1">
      <c r="A45" s="145" t="s">
        <v>437</v>
      </c>
      <c r="B45" s="155">
        <f t="shared" ref="B45:K45" si="4">SUM(B27:B44)</f>
        <v>6900</v>
      </c>
      <c r="C45" s="155">
        <f t="shared" si="4"/>
        <v>31007</v>
      </c>
      <c r="D45" s="155">
        <f t="shared" si="4"/>
        <v>62232</v>
      </c>
      <c r="E45" s="155">
        <f t="shared" si="4"/>
        <v>115398</v>
      </c>
      <c r="F45" s="155">
        <f t="shared" si="4"/>
        <v>169807</v>
      </c>
      <c r="G45" s="155">
        <f t="shared" si="4"/>
        <v>231060</v>
      </c>
      <c r="H45" s="155">
        <f t="shared" si="4"/>
        <v>286947</v>
      </c>
      <c r="I45" s="155">
        <f t="shared" si="4"/>
        <v>326170</v>
      </c>
      <c r="J45" s="155">
        <f t="shared" si="4"/>
        <v>350868</v>
      </c>
      <c r="K45" s="155">
        <f t="shared" si="4"/>
        <v>376077</v>
      </c>
      <c r="L45" s="151">
        <f t="shared" si="3"/>
        <v>1</v>
      </c>
      <c r="N45" s="145" t="s">
        <v>424</v>
      </c>
      <c r="O45" s="145" t="s">
        <v>420</v>
      </c>
      <c r="P45" s="145" t="s">
        <v>419</v>
      </c>
    </row>
    <row r="46" ht="12.0" customHeight="1">
      <c r="N46" s="152" t="s">
        <v>438</v>
      </c>
      <c r="O46" s="156">
        <v>5832609.0</v>
      </c>
      <c r="P46" s="154">
        <f>O46/O46</f>
        <v>1</v>
      </c>
    </row>
    <row r="47" ht="12.0" customHeight="1">
      <c r="N47" s="152" t="s">
        <v>439</v>
      </c>
      <c r="O47" s="156">
        <v>1997042.0</v>
      </c>
      <c r="P47" s="154">
        <f>O47/O46</f>
        <v>0.3423925725</v>
      </c>
    </row>
    <row r="48" ht="12.0" customHeight="1">
      <c r="A48" s="157" t="s">
        <v>440</v>
      </c>
      <c r="B48" s="3"/>
      <c r="C48" s="4"/>
      <c r="N48" s="152" t="s">
        <v>441</v>
      </c>
      <c r="O48" s="152">
        <f>O46-O47</f>
        <v>3835567</v>
      </c>
      <c r="P48" s="154">
        <f>O48/O46</f>
        <v>0.6576074275</v>
      </c>
    </row>
    <row r="49" ht="12.0" customHeight="1">
      <c r="A49" s="152" t="s">
        <v>442</v>
      </c>
      <c r="B49" s="158">
        <v>1.0</v>
      </c>
      <c r="C49" s="152" t="s">
        <v>443</v>
      </c>
    </row>
    <row r="50" ht="12.0" customHeight="1">
      <c r="A50" s="152"/>
      <c r="B50" s="158">
        <v>0.25</v>
      </c>
      <c r="C50" s="152" t="s">
        <v>444</v>
      </c>
    </row>
    <row r="51" ht="12.0" customHeight="1"/>
    <row r="52" ht="12.0" customHeight="1"/>
    <row r="53" ht="12.0" customHeight="1">
      <c r="A53" s="107" t="s">
        <v>445</v>
      </c>
      <c r="B53" s="16"/>
      <c r="C53" s="16"/>
      <c r="D53" s="16"/>
      <c r="E53" s="16"/>
      <c r="F53" s="16"/>
      <c r="G53" s="16"/>
      <c r="H53" s="16"/>
      <c r="I53" s="16"/>
      <c r="J53" s="16"/>
      <c r="K53" s="16"/>
      <c r="L53" s="17"/>
    </row>
    <row r="54" ht="12.0" customHeight="1">
      <c r="A54" s="145" t="s">
        <v>189</v>
      </c>
      <c r="B54" s="145">
        <v>2026.0</v>
      </c>
      <c r="C54" s="145">
        <v>2027.0</v>
      </c>
      <c r="D54" s="145">
        <v>2028.0</v>
      </c>
      <c r="E54" s="145">
        <v>2029.0</v>
      </c>
      <c r="F54" s="145">
        <v>2030.0</v>
      </c>
      <c r="G54" s="145">
        <v>2031.0</v>
      </c>
      <c r="H54" s="145">
        <v>2032.0</v>
      </c>
      <c r="I54" s="145">
        <v>2033.0</v>
      </c>
      <c r="J54" s="145">
        <v>2034.0</v>
      </c>
      <c r="K54" s="145">
        <v>2035.0</v>
      </c>
      <c r="L54" s="145" t="s">
        <v>419</v>
      </c>
    </row>
    <row r="55" ht="12.0" customHeight="1">
      <c r="A55" s="152" t="s">
        <v>34</v>
      </c>
      <c r="B55" s="159">
        <f t="shared" ref="B55:K55" si="5">B27*$P$47</f>
        <v>1190.498975</v>
      </c>
      <c r="C55" s="159">
        <f t="shared" si="5"/>
        <v>5810.744348</v>
      </c>
      <c r="D55" s="159">
        <f t="shared" si="5"/>
        <v>10458.72352</v>
      </c>
      <c r="E55" s="159">
        <f t="shared" si="5"/>
        <v>19190.4189</v>
      </c>
      <c r="F55" s="159">
        <f t="shared" si="5"/>
        <v>28853.42209</v>
      </c>
      <c r="G55" s="159">
        <f t="shared" si="5"/>
        <v>40199.28476</v>
      </c>
      <c r="H55" s="159">
        <f t="shared" si="5"/>
        <v>50540.56763</v>
      </c>
      <c r="I55" s="159">
        <f t="shared" si="5"/>
        <v>58687.4565</v>
      </c>
      <c r="J55" s="159">
        <f t="shared" si="5"/>
        <v>62894.43404</v>
      </c>
      <c r="K55" s="159">
        <f t="shared" si="5"/>
        <v>67205.84131</v>
      </c>
      <c r="L55" s="154">
        <f t="shared" ref="L55:L72" si="7">K55/$K$73</f>
        <v>0.5219223723</v>
      </c>
    </row>
    <row r="56" ht="12.0" customHeight="1">
      <c r="A56" s="152" t="s">
        <v>43</v>
      </c>
      <c r="B56" s="159">
        <f t="shared" ref="B56:K56" si="6">B28*$P$47</f>
        <v>112.9895489</v>
      </c>
      <c r="C56" s="159">
        <f t="shared" si="6"/>
        <v>440.6592408</v>
      </c>
      <c r="D56" s="159">
        <f t="shared" si="6"/>
        <v>1009.030911</v>
      </c>
      <c r="E56" s="159">
        <f t="shared" si="6"/>
        <v>1857.822098</v>
      </c>
      <c r="F56" s="159">
        <f t="shared" si="6"/>
        <v>2688.124087</v>
      </c>
      <c r="G56" s="159">
        <f t="shared" si="6"/>
        <v>3569.100176</v>
      </c>
      <c r="H56" s="159">
        <f t="shared" si="6"/>
        <v>4386.048854</v>
      </c>
      <c r="I56" s="159">
        <f t="shared" si="6"/>
        <v>4883.545262</v>
      </c>
      <c r="J56" s="159">
        <f t="shared" si="6"/>
        <v>5284.144572</v>
      </c>
      <c r="K56" s="159">
        <f t="shared" si="6"/>
        <v>5690.906948</v>
      </c>
      <c r="L56" s="154">
        <f t="shared" si="7"/>
        <v>0.04419573651</v>
      </c>
    </row>
    <row r="57" ht="12.0" customHeight="1">
      <c r="A57" s="152" t="s">
        <v>53</v>
      </c>
      <c r="B57" s="159">
        <f t="shared" ref="B57:K57" si="8">B29*$P$47</f>
        <v>667.6655164</v>
      </c>
      <c r="C57" s="159">
        <f t="shared" si="8"/>
        <v>2688.808872</v>
      </c>
      <c r="D57" s="159">
        <f t="shared" si="8"/>
        <v>6086.370369</v>
      </c>
      <c r="E57" s="159">
        <f t="shared" si="8"/>
        <v>11506.44479</v>
      </c>
      <c r="F57" s="159">
        <f t="shared" si="8"/>
        <v>16574.19726</v>
      </c>
      <c r="G57" s="159">
        <f t="shared" si="8"/>
        <v>22023.71744</v>
      </c>
      <c r="H57" s="159">
        <f t="shared" si="8"/>
        <v>26953.4857</v>
      </c>
      <c r="I57" s="159">
        <f t="shared" si="8"/>
        <v>29869.30085</v>
      </c>
      <c r="J57" s="159">
        <f t="shared" si="8"/>
        <v>32220.51064</v>
      </c>
      <c r="K57" s="159">
        <f t="shared" si="8"/>
        <v>34614.17712</v>
      </c>
      <c r="L57" s="154">
        <f t="shared" si="7"/>
        <v>0.268814631</v>
      </c>
    </row>
    <row r="58" ht="12.0" customHeight="1">
      <c r="A58" s="152" t="s">
        <v>59</v>
      </c>
      <c r="B58" s="159">
        <f t="shared" ref="B58:K58" si="9">B30*$P$47</f>
        <v>40.40232356</v>
      </c>
      <c r="C58" s="159">
        <f t="shared" si="9"/>
        <v>149.6255542</v>
      </c>
      <c r="D58" s="159">
        <f t="shared" si="9"/>
        <v>350.9523868</v>
      </c>
      <c r="E58" s="159">
        <f t="shared" si="9"/>
        <v>671.4318347</v>
      </c>
      <c r="F58" s="159">
        <f t="shared" si="9"/>
        <v>974.1068688</v>
      </c>
      <c r="G58" s="159">
        <f t="shared" si="9"/>
        <v>1304.515701</v>
      </c>
      <c r="H58" s="159">
        <f t="shared" si="9"/>
        <v>1596.576566</v>
      </c>
      <c r="I58" s="159">
        <f t="shared" si="9"/>
        <v>1768.457637</v>
      </c>
      <c r="J58" s="159">
        <f t="shared" si="9"/>
        <v>1907.811414</v>
      </c>
      <c r="K58" s="159">
        <f t="shared" si="9"/>
        <v>2049.561939</v>
      </c>
      <c r="L58" s="154">
        <f t="shared" si="7"/>
        <v>0.01591695318</v>
      </c>
    </row>
    <row r="59" ht="12.0" customHeight="1">
      <c r="A59" s="152" t="s">
        <v>425</v>
      </c>
      <c r="B59" s="159">
        <f t="shared" ref="B59:K59" si="10">B31*$P$47</f>
        <v>54.44041903</v>
      </c>
      <c r="C59" s="159">
        <f t="shared" si="10"/>
        <v>220.1584241</v>
      </c>
      <c r="D59" s="159">
        <f t="shared" si="10"/>
        <v>505.0290445</v>
      </c>
      <c r="E59" s="159">
        <f t="shared" si="10"/>
        <v>947.0578556</v>
      </c>
      <c r="F59" s="159">
        <f t="shared" si="10"/>
        <v>1366.488757</v>
      </c>
      <c r="G59" s="159">
        <f t="shared" si="10"/>
        <v>1827.006767</v>
      </c>
      <c r="H59" s="159">
        <f t="shared" si="10"/>
        <v>2238.905032</v>
      </c>
      <c r="I59" s="159">
        <f t="shared" si="10"/>
        <v>2488.85161</v>
      </c>
      <c r="J59" s="159">
        <f t="shared" si="10"/>
        <v>2689.83605</v>
      </c>
      <c r="K59" s="159">
        <f t="shared" si="10"/>
        <v>2893.217238</v>
      </c>
      <c r="L59" s="154">
        <f t="shared" si="7"/>
        <v>0.02246880293</v>
      </c>
    </row>
    <row r="60" ht="12.0" customHeight="1">
      <c r="A60" s="152" t="s">
        <v>427</v>
      </c>
      <c r="B60" s="159">
        <f t="shared" ref="B60:K60" si="11">B32*$P$47</f>
        <v>7.875029168</v>
      </c>
      <c r="C60" s="159">
        <f t="shared" si="11"/>
        <v>55.46759675</v>
      </c>
      <c r="D60" s="159">
        <f t="shared" si="11"/>
        <v>108.5384455</v>
      </c>
      <c r="E60" s="159">
        <f t="shared" si="11"/>
        <v>180.7832783</v>
      </c>
      <c r="F60" s="159">
        <f t="shared" si="11"/>
        <v>254.740074</v>
      </c>
      <c r="G60" s="159">
        <f t="shared" si="11"/>
        <v>329.7240473</v>
      </c>
      <c r="H60" s="159">
        <f t="shared" si="11"/>
        <v>409.1591242</v>
      </c>
      <c r="I60" s="159">
        <f t="shared" si="11"/>
        <v>462.914758</v>
      </c>
      <c r="J60" s="159">
        <f t="shared" si="11"/>
        <v>506.0562222</v>
      </c>
      <c r="K60" s="159">
        <f t="shared" si="11"/>
        <v>549.5400789</v>
      </c>
      <c r="L60" s="154">
        <f t="shared" si="7"/>
        <v>0.004267743042</v>
      </c>
    </row>
    <row r="61" ht="12.0" customHeight="1">
      <c r="A61" s="152" t="s">
        <v>428</v>
      </c>
      <c r="B61" s="159">
        <f t="shared" ref="B61:K61" si="12">B33*$P$47</f>
        <v>3.766318298</v>
      </c>
      <c r="C61" s="159">
        <f t="shared" si="12"/>
        <v>28.76097609</v>
      </c>
      <c r="D61" s="159">
        <f t="shared" si="12"/>
        <v>56.49477447</v>
      </c>
      <c r="E61" s="159">
        <f t="shared" si="12"/>
        <v>96.21231288</v>
      </c>
      <c r="F61" s="159">
        <f t="shared" si="12"/>
        <v>136.6146364</v>
      </c>
      <c r="G61" s="159">
        <f t="shared" si="12"/>
        <v>175.9897823</v>
      </c>
      <c r="H61" s="159">
        <f t="shared" si="12"/>
        <v>215.3649281</v>
      </c>
      <c r="I61" s="159">
        <f t="shared" si="12"/>
        <v>243.7835116</v>
      </c>
      <c r="J61" s="159">
        <f t="shared" si="12"/>
        <v>264.6694586</v>
      </c>
      <c r="K61" s="159">
        <f t="shared" si="12"/>
        <v>286.5825832</v>
      </c>
      <c r="L61" s="154">
        <f t="shared" si="7"/>
        <v>0.002225608054</v>
      </c>
    </row>
    <row r="62" ht="12.0" customHeight="1">
      <c r="A62" s="152" t="s">
        <v>429</v>
      </c>
      <c r="B62" s="159">
        <f t="shared" ref="B62:K62" si="13">B34*$P$47</f>
        <v>2.396748008</v>
      </c>
      <c r="C62" s="159">
        <f t="shared" si="13"/>
        <v>16.09245091</v>
      </c>
      <c r="D62" s="159">
        <f t="shared" si="13"/>
        <v>30.47293895</v>
      </c>
      <c r="E62" s="159">
        <f t="shared" si="13"/>
        <v>54.7828116</v>
      </c>
      <c r="F62" s="159">
        <f t="shared" si="13"/>
        <v>75.32636595</v>
      </c>
      <c r="G62" s="159">
        <f t="shared" si="13"/>
        <v>99.97863118</v>
      </c>
      <c r="H62" s="159">
        <f t="shared" si="13"/>
        <v>126.3428593</v>
      </c>
      <c r="I62" s="159">
        <f t="shared" si="13"/>
        <v>139.6961696</v>
      </c>
      <c r="J62" s="159">
        <f t="shared" si="13"/>
        <v>152.7070873</v>
      </c>
      <c r="K62" s="159">
        <f t="shared" si="13"/>
        <v>165.3756125</v>
      </c>
      <c r="L62" s="154">
        <f t="shared" si="7"/>
        <v>0.001284311457</v>
      </c>
    </row>
    <row r="63" ht="12.0" customHeight="1">
      <c r="A63" s="152" t="s">
        <v>430</v>
      </c>
      <c r="B63" s="159">
        <f t="shared" ref="B63:K63" si="14">B35*$P$47</f>
        <v>28.07619095</v>
      </c>
      <c r="C63" s="159">
        <f t="shared" si="14"/>
        <v>114.7015118</v>
      </c>
      <c r="D63" s="159">
        <f t="shared" si="14"/>
        <v>255.7672517</v>
      </c>
      <c r="E63" s="159">
        <f t="shared" si="14"/>
        <v>465.3115061</v>
      </c>
      <c r="F63" s="159">
        <f t="shared" si="14"/>
        <v>671.4318347</v>
      </c>
      <c r="G63" s="159">
        <f t="shared" si="14"/>
        <v>889.5359034</v>
      </c>
      <c r="H63" s="159">
        <f t="shared" si="14"/>
        <v>1094.971447</v>
      </c>
      <c r="I63" s="159">
        <f t="shared" si="14"/>
        <v>1225.080624</v>
      </c>
      <c r="J63" s="159">
        <f t="shared" si="14"/>
        <v>1325.401648</v>
      </c>
      <c r="K63" s="159">
        <f t="shared" si="14"/>
        <v>1427.092242</v>
      </c>
      <c r="L63" s="154">
        <f t="shared" si="7"/>
        <v>0.01108283676</v>
      </c>
    </row>
    <row r="64" ht="12.0" customHeight="1">
      <c r="A64" s="152" t="s">
        <v>432</v>
      </c>
      <c r="B64" s="159">
        <f t="shared" ref="B64:K64" si="15">B36*$P$47</f>
        <v>154.4190502</v>
      </c>
      <c r="C64" s="159">
        <f t="shared" si="15"/>
        <v>581.0401956</v>
      </c>
      <c r="D64" s="159">
        <f t="shared" si="15"/>
        <v>1354.162624</v>
      </c>
      <c r="E64" s="159">
        <f t="shared" si="15"/>
        <v>2588.830241</v>
      </c>
      <c r="F64" s="159">
        <f t="shared" si="15"/>
        <v>3738.926892</v>
      </c>
      <c r="G64" s="159">
        <f t="shared" si="15"/>
        <v>4969.82819</v>
      </c>
      <c r="H64" s="159">
        <f t="shared" si="15"/>
        <v>6076.098592</v>
      </c>
      <c r="I64" s="159">
        <f t="shared" si="15"/>
        <v>6716.715095</v>
      </c>
      <c r="J64" s="159">
        <f t="shared" si="15"/>
        <v>7245.71162</v>
      </c>
      <c r="K64" s="159">
        <f t="shared" si="15"/>
        <v>7783.952744</v>
      </c>
      <c r="L64" s="154">
        <f t="shared" si="7"/>
        <v>0.06045038649</v>
      </c>
    </row>
    <row r="65" ht="12.0" customHeight="1">
      <c r="A65" s="152" t="s">
        <v>433</v>
      </c>
      <c r="B65" s="159">
        <f t="shared" ref="B65:K65" si="16">B37*$P$47</f>
        <v>42.79907156</v>
      </c>
      <c r="C65" s="159">
        <f t="shared" si="16"/>
        <v>220.5008167</v>
      </c>
      <c r="D65" s="159">
        <f t="shared" si="16"/>
        <v>470.7897872</v>
      </c>
      <c r="E65" s="159">
        <f t="shared" si="16"/>
        <v>842.2857284</v>
      </c>
      <c r="F65" s="159">
        <f t="shared" si="16"/>
        <v>1213.78167</v>
      </c>
      <c r="G65" s="159">
        <f t="shared" si="16"/>
        <v>1617.12012</v>
      </c>
      <c r="H65" s="159">
        <f t="shared" si="16"/>
        <v>2004.36612</v>
      </c>
      <c r="I65" s="159">
        <f t="shared" si="16"/>
        <v>2262.530119</v>
      </c>
      <c r="J65" s="159">
        <f t="shared" si="16"/>
        <v>2460.433026</v>
      </c>
      <c r="K65" s="159">
        <f t="shared" si="16"/>
        <v>2660.390288</v>
      </c>
      <c r="L65" s="154">
        <f t="shared" si="7"/>
        <v>0.02066066258</v>
      </c>
    </row>
    <row r="66" ht="12.0" customHeight="1">
      <c r="A66" s="152" t="s">
        <v>434</v>
      </c>
      <c r="B66" s="159">
        <f t="shared" ref="B66:K66" si="17">B38*$P$47</f>
        <v>24.30987265</v>
      </c>
      <c r="C66" s="159">
        <f t="shared" si="17"/>
        <v>117.7830449</v>
      </c>
      <c r="D66" s="159">
        <f t="shared" si="17"/>
        <v>255.7672517</v>
      </c>
      <c r="E66" s="159">
        <f t="shared" si="17"/>
        <v>460.8604026</v>
      </c>
      <c r="F66" s="159">
        <f t="shared" si="17"/>
        <v>663.214413</v>
      </c>
      <c r="G66" s="159">
        <f t="shared" si="17"/>
        <v>880.9760891</v>
      </c>
      <c r="H66" s="159">
        <f t="shared" si="17"/>
        <v>1085.384455</v>
      </c>
      <c r="I66" s="159">
        <f t="shared" si="17"/>
        <v>1218.232773</v>
      </c>
      <c r="J66" s="159">
        <f t="shared" si="17"/>
        <v>1321.977722</v>
      </c>
      <c r="K66" s="159">
        <f t="shared" si="17"/>
        <v>1427.092242</v>
      </c>
      <c r="L66" s="154">
        <f t="shared" si="7"/>
        <v>0.01108283676</v>
      </c>
    </row>
    <row r="67" ht="12.0" customHeight="1">
      <c r="A67" s="152" t="s">
        <v>435</v>
      </c>
      <c r="B67" s="159">
        <f t="shared" ref="B67:K67" si="18">B39*$P$47</f>
        <v>6.163066305</v>
      </c>
      <c r="C67" s="159">
        <f t="shared" si="18"/>
        <v>38.34796812</v>
      </c>
      <c r="D67" s="159">
        <f t="shared" si="18"/>
        <v>79.09268425</v>
      </c>
      <c r="E67" s="159">
        <f t="shared" si="18"/>
        <v>137.2994216</v>
      </c>
      <c r="F67" s="159">
        <f t="shared" si="18"/>
        <v>196.8757292</v>
      </c>
      <c r="G67" s="159">
        <f t="shared" si="18"/>
        <v>258.5063923</v>
      </c>
      <c r="H67" s="159">
        <f t="shared" si="18"/>
        <v>323.560981</v>
      </c>
      <c r="I67" s="159">
        <f t="shared" si="18"/>
        <v>367.0448377</v>
      </c>
      <c r="J67" s="159">
        <f t="shared" si="18"/>
        <v>401.284095</v>
      </c>
      <c r="K67" s="159">
        <f t="shared" si="18"/>
        <v>435.5233522</v>
      </c>
      <c r="L67" s="154">
        <f t="shared" si="7"/>
        <v>0.003382286074</v>
      </c>
    </row>
    <row r="68" ht="12.0" customHeight="1">
      <c r="A68" s="152" t="s">
        <v>436</v>
      </c>
      <c r="B68" s="159">
        <f t="shared" ref="B68:K68" si="19">B40*$P$47</f>
        <v>2.396748008</v>
      </c>
      <c r="C68" s="159">
        <f t="shared" si="19"/>
        <v>16.09245091</v>
      </c>
      <c r="D68" s="159">
        <f t="shared" si="19"/>
        <v>30.47293895</v>
      </c>
      <c r="E68" s="159">
        <f t="shared" si="19"/>
        <v>51.01649331</v>
      </c>
      <c r="F68" s="159">
        <f t="shared" si="19"/>
        <v>70.19047737</v>
      </c>
      <c r="G68" s="159">
        <f t="shared" si="19"/>
        <v>87.31010599</v>
      </c>
      <c r="H68" s="159">
        <f t="shared" si="19"/>
        <v>112.3047638</v>
      </c>
      <c r="I68" s="159">
        <f t="shared" si="19"/>
        <v>125.6580741</v>
      </c>
      <c r="J68" s="159">
        <f t="shared" si="19"/>
        <v>137.6418142</v>
      </c>
      <c r="K68" s="159">
        <f t="shared" si="19"/>
        <v>149.6255542</v>
      </c>
      <c r="L68" s="154">
        <f t="shared" si="7"/>
        <v>0.001161996081</v>
      </c>
    </row>
    <row r="69" ht="12.0" customHeight="1">
      <c r="A69" s="152" t="s">
        <v>75</v>
      </c>
      <c r="B69" s="159">
        <f t="shared" ref="B69:K69" si="20">B41*$P$47</f>
        <v>6.163066305</v>
      </c>
      <c r="C69" s="159">
        <f t="shared" si="20"/>
        <v>29.44576124</v>
      </c>
      <c r="D69" s="159">
        <f t="shared" si="20"/>
        <v>64.02741106</v>
      </c>
      <c r="E69" s="159">
        <f t="shared" si="20"/>
        <v>115.3862969</v>
      </c>
      <c r="F69" s="159">
        <f t="shared" si="20"/>
        <v>165.7180051</v>
      </c>
      <c r="G69" s="159">
        <f t="shared" si="20"/>
        <v>220.1584241</v>
      </c>
      <c r="H69" s="159">
        <f t="shared" si="20"/>
        <v>271.1749174</v>
      </c>
      <c r="I69" s="159">
        <f t="shared" si="20"/>
        <v>304.7293895</v>
      </c>
      <c r="J69" s="159">
        <f t="shared" si="20"/>
        <v>330.4088325</v>
      </c>
      <c r="K69" s="159">
        <f t="shared" si="20"/>
        <v>356.7730606</v>
      </c>
      <c r="L69" s="154">
        <f t="shared" si="7"/>
        <v>0.00277070919</v>
      </c>
    </row>
    <row r="70" ht="12.0" customHeight="1">
      <c r="A70" s="152" t="s">
        <v>86</v>
      </c>
      <c r="B70" s="159">
        <f t="shared" ref="B70:K70" si="21">B42*$P$47</f>
        <v>13.35331033</v>
      </c>
      <c r="C70" s="159">
        <f t="shared" si="21"/>
        <v>64.71219621</v>
      </c>
      <c r="D70" s="159">
        <f t="shared" si="21"/>
        <v>140.7233473</v>
      </c>
      <c r="E70" s="159">
        <f t="shared" si="21"/>
        <v>253.3705037</v>
      </c>
      <c r="F70" s="159">
        <f t="shared" si="21"/>
        <v>364.6480897</v>
      </c>
      <c r="G70" s="159">
        <f t="shared" si="21"/>
        <v>484.4854901</v>
      </c>
      <c r="H70" s="159">
        <f t="shared" si="21"/>
        <v>597.1326465</v>
      </c>
      <c r="I70" s="159">
        <f t="shared" si="21"/>
        <v>670.404657</v>
      </c>
      <c r="J70" s="159">
        <f t="shared" si="21"/>
        <v>727.241824</v>
      </c>
      <c r="K70" s="159">
        <f t="shared" si="21"/>
        <v>785.1061688</v>
      </c>
      <c r="L70" s="154">
        <f t="shared" si="7"/>
        <v>0.006097155636</v>
      </c>
    </row>
    <row r="71" ht="12.0" customHeight="1">
      <c r="A71" s="152" t="s">
        <v>95</v>
      </c>
      <c r="B71" s="159">
        <f t="shared" ref="B71:K71" si="22">B43*$P$47</f>
        <v>2.73914058</v>
      </c>
      <c r="C71" s="159">
        <f t="shared" si="22"/>
        <v>14.03809547</v>
      </c>
      <c r="D71" s="159">
        <f t="shared" si="22"/>
        <v>30.81533153</v>
      </c>
      <c r="E71" s="159">
        <f t="shared" si="22"/>
        <v>55.12520418</v>
      </c>
      <c r="F71" s="159">
        <f t="shared" si="22"/>
        <v>79.7774694</v>
      </c>
      <c r="G71" s="159">
        <f t="shared" si="22"/>
        <v>105.4569123</v>
      </c>
      <c r="H71" s="159">
        <f t="shared" si="22"/>
        <v>130.1091776</v>
      </c>
      <c r="I71" s="159">
        <f t="shared" si="22"/>
        <v>146.2016285</v>
      </c>
      <c r="J71" s="159">
        <f t="shared" si="22"/>
        <v>158.5277611</v>
      </c>
      <c r="K71" s="159">
        <f t="shared" si="22"/>
        <v>171.1962863</v>
      </c>
      <c r="L71" s="154">
        <f t="shared" si="7"/>
        <v>0.001329514966</v>
      </c>
    </row>
    <row r="72" ht="12.0" customHeight="1">
      <c r="A72" s="152" t="s">
        <v>100</v>
      </c>
      <c r="B72" s="159">
        <f t="shared" ref="B72:K72" si="23">B44*$P$47</f>
        <v>2.054355435</v>
      </c>
      <c r="C72" s="159">
        <f t="shared" si="23"/>
        <v>9.58699203</v>
      </c>
      <c r="D72" s="159">
        <f t="shared" si="23"/>
        <v>20.54355435</v>
      </c>
      <c r="E72" s="159">
        <f t="shared" si="23"/>
        <v>36.97839783</v>
      </c>
      <c r="F72" s="159">
        <f t="shared" si="23"/>
        <v>53.07084874</v>
      </c>
      <c r="G72" s="159">
        <f t="shared" si="23"/>
        <v>70.53286994</v>
      </c>
      <c r="H72" s="159">
        <f t="shared" si="23"/>
        <v>86.96771342</v>
      </c>
      <c r="I72" s="159">
        <f t="shared" si="23"/>
        <v>97.58188317</v>
      </c>
      <c r="J72" s="159">
        <f t="shared" si="23"/>
        <v>105.7993049</v>
      </c>
      <c r="K72" s="159">
        <f t="shared" si="23"/>
        <v>114.0167266</v>
      </c>
      <c r="L72" s="154">
        <f t="shared" si="7"/>
        <v>0.0008854569676</v>
      </c>
    </row>
    <row r="73" ht="12.0" customHeight="1">
      <c r="A73" s="145" t="s">
        <v>437</v>
      </c>
      <c r="B73" s="155">
        <f t="shared" ref="B73:L73" si="24">SUM(B55:B72)</f>
        <v>2362.50875</v>
      </c>
      <c r="C73" s="155">
        <f t="shared" si="24"/>
        <v>10616.5665</v>
      </c>
      <c r="D73" s="155">
        <f t="shared" si="24"/>
        <v>21307.77457</v>
      </c>
      <c r="E73" s="155">
        <f t="shared" si="24"/>
        <v>39511.41808</v>
      </c>
      <c r="F73" s="155">
        <f t="shared" si="24"/>
        <v>58140.65556</v>
      </c>
      <c r="G73" s="155">
        <f t="shared" si="24"/>
        <v>79113.22781</v>
      </c>
      <c r="H73" s="155">
        <f t="shared" si="24"/>
        <v>98248.52151</v>
      </c>
      <c r="I73" s="155">
        <f t="shared" si="24"/>
        <v>111678.1854</v>
      </c>
      <c r="J73" s="155">
        <f t="shared" si="24"/>
        <v>120134.5971</v>
      </c>
      <c r="K73" s="155">
        <f t="shared" si="24"/>
        <v>128765.9715</v>
      </c>
      <c r="L73" s="151">
        <f t="shared" si="24"/>
        <v>1</v>
      </c>
    </row>
    <row r="74" ht="12.0" customHeight="1"/>
    <row r="75" ht="12.0" customHeight="1"/>
    <row r="76" ht="12.0" customHeight="1">
      <c r="A76" s="107" t="s">
        <v>462</v>
      </c>
      <c r="B76" s="16"/>
      <c r="C76" s="16"/>
      <c r="D76" s="16"/>
      <c r="E76" s="16"/>
      <c r="F76" s="16"/>
      <c r="G76" s="16"/>
      <c r="H76" s="16"/>
      <c r="I76" s="16"/>
      <c r="J76" s="16"/>
      <c r="K76" s="16"/>
      <c r="L76" s="17"/>
    </row>
    <row r="77" ht="12.0" customHeight="1">
      <c r="A77" s="145" t="s">
        <v>189</v>
      </c>
      <c r="B77" s="145">
        <v>2026.0</v>
      </c>
      <c r="C77" s="145">
        <v>2027.0</v>
      </c>
      <c r="D77" s="145">
        <v>2028.0</v>
      </c>
      <c r="E77" s="145">
        <v>2029.0</v>
      </c>
      <c r="F77" s="145">
        <v>2030.0</v>
      </c>
      <c r="G77" s="145">
        <v>2031.0</v>
      </c>
      <c r="H77" s="145">
        <v>2032.0</v>
      </c>
      <c r="I77" s="145">
        <v>2033.0</v>
      </c>
      <c r="J77" s="145">
        <v>2034.0</v>
      </c>
      <c r="K77" s="145">
        <v>2035.0</v>
      </c>
      <c r="L77" s="145" t="s">
        <v>419</v>
      </c>
    </row>
    <row r="78" ht="12.0" customHeight="1">
      <c r="A78" s="152" t="s">
        <v>34</v>
      </c>
      <c r="B78" s="159">
        <f t="shared" ref="B78:K78" si="25">B27*$P$48</f>
        <v>2286.501025</v>
      </c>
      <c r="C78" s="159">
        <f t="shared" si="25"/>
        <v>11160.25565</v>
      </c>
      <c r="D78" s="159">
        <f t="shared" si="25"/>
        <v>20087.27648</v>
      </c>
      <c r="E78" s="159">
        <f t="shared" si="25"/>
        <v>36857.5811</v>
      </c>
      <c r="F78" s="159">
        <f t="shared" si="25"/>
        <v>55416.57791</v>
      </c>
      <c r="G78" s="159">
        <f t="shared" si="25"/>
        <v>77207.71524</v>
      </c>
      <c r="H78" s="159">
        <f t="shared" si="25"/>
        <v>97069.43237</v>
      </c>
      <c r="I78" s="159">
        <f t="shared" si="25"/>
        <v>112716.5435</v>
      </c>
      <c r="J78" s="159">
        <f t="shared" si="25"/>
        <v>120796.566</v>
      </c>
      <c r="K78" s="159">
        <f t="shared" si="25"/>
        <v>129077.1587</v>
      </c>
      <c r="L78" s="154">
        <f t="shared" ref="L78:L95" si="27">K78/$K$96</f>
        <v>0.5219223723</v>
      </c>
    </row>
    <row r="79" ht="12.0" customHeight="1">
      <c r="A79" s="152" t="s">
        <v>43</v>
      </c>
      <c r="B79" s="159">
        <f t="shared" ref="B79:K79" si="26">B28*$P$48</f>
        <v>217.0104511</v>
      </c>
      <c r="C79" s="159">
        <f t="shared" si="26"/>
        <v>846.3407592</v>
      </c>
      <c r="D79" s="159">
        <f t="shared" si="26"/>
        <v>1937.969089</v>
      </c>
      <c r="E79" s="159">
        <f t="shared" si="26"/>
        <v>3568.177902</v>
      </c>
      <c r="F79" s="159">
        <f t="shared" si="26"/>
        <v>5162.875913</v>
      </c>
      <c r="G79" s="159">
        <f t="shared" si="26"/>
        <v>6854.899824</v>
      </c>
      <c r="H79" s="159">
        <f t="shared" si="26"/>
        <v>8423.951146</v>
      </c>
      <c r="I79" s="159">
        <f t="shared" si="26"/>
        <v>9379.454738</v>
      </c>
      <c r="J79" s="159">
        <f t="shared" si="26"/>
        <v>10148.85543</v>
      </c>
      <c r="K79" s="159">
        <f t="shared" si="26"/>
        <v>10930.09305</v>
      </c>
      <c r="L79" s="154">
        <f t="shared" si="27"/>
        <v>0.04419573651</v>
      </c>
    </row>
    <row r="80" ht="12.0" customHeight="1">
      <c r="A80" s="152" t="s">
        <v>53</v>
      </c>
      <c r="B80" s="159">
        <f t="shared" ref="B80:K80" si="28">B29*$P$48</f>
        <v>1282.334484</v>
      </c>
      <c r="C80" s="159">
        <f t="shared" si="28"/>
        <v>5164.191128</v>
      </c>
      <c r="D80" s="159">
        <f t="shared" si="28"/>
        <v>11689.62963</v>
      </c>
      <c r="E80" s="159">
        <f t="shared" si="28"/>
        <v>22099.55521</v>
      </c>
      <c r="F80" s="159">
        <f t="shared" si="28"/>
        <v>31832.80274</v>
      </c>
      <c r="G80" s="159">
        <f t="shared" si="28"/>
        <v>42299.28256</v>
      </c>
      <c r="H80" s="159">
        <f t="shared" si="28"/>
        <v>51767.5143</v>
      </c>
      <c r="I80" s="159">
        <f t="shared" si="28"/>
        <v>57367.69915</v>
      </c>
      <c r="J80" s="159">
        <f t="shared" si="28"/>
        <v>61883.48936</v>
      </c>
      <c r="K80" s="159">
        <f t="shared" si="28"/>
        <v>66480.82288</v>
      </c>
      <c r="L80" s="154">
        <f t="shared" si="27"/>
        <v>0.268814631</v>
      </c>
    </row>
    <row r="81" ht="12.0" customHeight="1">
      <c r="A81" s="152" t="s">
        <v>59</v>
      </c>
      <c r="B81" s="159">
        <f t="shared" ref="B81:K81" si="29">B30*$P$48</f>
        <v>77.59767644</v>
      </c>
      <c r="C81" s="159">
        <f t="shared" si="29"/>
        <v>287.3744458</v>
      </c>
      <c r="D81" s="159">
        <f t="shared" si="29"/>
        <v>674.0476132</v>
      </c>
      <c r="E81" s="159">
        <f t="shared" si="29"/>
        <v>1289.568165</v>
      </c>
      <c r="F81" s="159">
        <f t="shared" si="29"/>
        <v>1870.893131</v>
      </c>
      <c r="G81" s="159">
        <f t="shared" si="29"/>
        <v>2505.484299</v>
      </c>
      <c r="H81" s="159">
        <f t="shared" si="29"/>
        <v>3066.423434</v>
      </c>
      <c r="I81" s="159">
        <f t="shared" si="29"/>
        <v>3396.542363</v>
      </c>
      <c r="J81" s="159">
        <f t="shared" si="29"/>
        <v>3664.188586</v>
      </c>
      <c r="K81" s="159">
        <f t="shared" si="29"/>
        <v>3936.438061</v>
      </c>
      <c r="L81" s="154">
        <f t="shared" si="27"/>
        <v>0.01591695318</v>
      </c>
    </row>
    <row r="82" ht="12.0" customHeight="1">
      <c r="A82" s="152" t="s">
        <v>425</v>
      </c>
      <c r="B82" s="159">
        <f t="shared" ref="B82:K82" si="30">B31*$P$48</f>
        <v>104.559581</v>
      </c>
      <c r="C82" s="159">
        <f t="shared" si="30"/>
        <v>422.8415759</v>
      </c>
      <c r="D82" s="159">
        <f t="shared" si="30"/>
        <v>969.9709555</v>
      </c>
      <c r="E82" s="159">
        <f t="shared" si="30"/>
        <v>1818.942144</v>
      </c>
      <c r="F82" s="159">
        <f t="shared" si="30"/>
        <v>2624.511243</v>
      </c>
      <c r="G82" s="159">
        <f t="shared" si="30"/>
        <v>3508.993233</v>
      </c>
      <c r="H82" s="159">
        <f t="shared" si="30"/>
        <v>4300.094968</v>
      </c>
      <c r="I82" s="159">
        <f t="shared" si="30"/>
        <v>4780.14839</v>
      </c>
      <c r="J82" s="159">
        <f t="shared" si="30"/>
        <v>5166.16395</v>
      </c>
      <c r="K82" s="159">
        <f t="shared" si="30"/>
        <v>5556.782762</v>
      </c>
      <c r="L82" s="154">
        <f t="shared" si="27"/>
        <v>0.02246880293</v>
      </c>
    </row>
    <row r="83" ht="12.0" customHeight="1">
      <c r="A83" s="152" t="s">
        <v>427</v>
      </c>
      <c r="B83" s="159">
        <f t="shared" ref="B83:K83" si="31">B32*$P$48</f>
        <v>15.12497083</v>
      </c>
      <c r="C83" s="159">
        <f t="shared" si="31"/>
        <v>106.5324033</v>
      </c>
      <c r="D83" s="159">
        <f t="shared" si="31"/>
        <v>208.4615545</v>
      </c>
      <c r="E83" s="159">
        <f t="shared" si="31"/>
        <v>347.2167217</v>
      </c>
      <c r="F83" s="159">
        <f t="shared" si="31"/>
        <v>489.259926</v>
      </c>
      <c r="G83" s="159">
        <f t="shared" si="31"/>
        <v>633.2759527</v>
      </c>
      <c r="H83" s="159">
        <f t="shared" si="31"/>
        <v>785.8408758</v>
      </c>
      <c r="I83" s="159">
        <f t="shared" si="31"/>
        <v>889.085242</v>
      </c>
      <c r="J83" s="159">
        <f t="shared" si="31"/>
        <v>971.9437778</v>
      </c>
      <c r="K83" s="159">
        <f t="shared" si="31"/>
        <v>1055.459921</v>
      </c>
      <c r="L83" s="154">
        <f t="shared" si="27"/>
        <v>0.004267743042</v>
      </c>
    </row>
    <row r="84" ht="12.0" customHeight="1">
      <c r="A84" s="152" t="s">
        <v>428</v>
      </c>
      <c r="B84" s="159">
        <f t="shared" ref="B84:K84" si="32">B33*$P$48</f>
        <v>7.233681702</v>
      </c>
      <c r="C84" s="159">
        <f t="shared" si="32"/>
        <v>55.23902391</v>
      </c>
      <c r="D84" s="159">
        <f t="shared" si="32"/>
        <v>108.5052255</v>
      </c>
      <c r="E84" s="159">
        <f t="shared" si="32"/>
        <v>184.7876871</v>
      </c>
      <c r="F84" s="159">
        <f t="shared" si="32"/>
        <v>262.3853636</v>
      </c>
      <c r="G84" s="159">
        <f t="shared" si="32"/>
        <v>338.0102177</v>
      </c>
      <c r="H84" s="159">
        <f t="shared" si="32"/>
        <v>413.6350719</v>
      </c>
      <c r="I84" s="159">
        <f t="shared" si="32"/>
        <v>468.2164884</v>
      </c>
      <c r="J84" s="159">
        <f t="shared" si="32"/>
        <v>508.3305414</v>
      </c>
      <c r="K84" s="159">
        <f t="shared" si="32"/>
        <v>550.4174168</v>
      </c>
      <c r="L84" s="154">
        <f t="shared" si="27"/>
        <v>0.002225608054</v>
      </c>
    </row>
    <row r="85" ht="12.0" customHeight="1">
      <c r="A85" s="152" t="s">
        <v>429</v>
      </c>
      <c r="B85" s="159">
        <f t="shared" ref="B85:K85" si="33">B34*$P$48</f>
        <v>4.603251992</v>
      </c>
      <c r="C85" s="159">
        <f t="shared" si="33"/>
        <v>30.90754909</v>
      </c>
      <c r="D85" s="159">
        <f t="shared" si="33"/>
        <v>58.52706105</v>
      </c>
      <c r="E85" s="159">
        <f t="shared" si="33"/>
        <v>105.2171884</v>
      </c>
      <c r="F85" s="159">
        <f t="shared" si="33"/>
        <v>144.673634</v>
      </c>
      <c r="G85" s="159">
        <f t="shared" si="33"/>
        <v>192.0213688</v>
      </c>
      <c r="H85" s="159">
        <f t="shared" si="33"/>
        <v>242.6571407</v>
      </c>
      <c r="I85" s="159">
        <f t="shared" si="33"/>
        <v>268.3038304</v>
      </c>
      <c r="J85" s="159">
        <f t="shared" si="33"/>
        <v>293.2929127</v>
      </c>
      <c r="K85" s="159">
        <f t="shared" si="33"/>
        <v>317.6243875</v>
      </c>
      <c r="L85" s="154">
        <f t="shared" si="27"/>
        <v>0.001284311457</v>
      </c>
    </row>
    <row r="86" ht="12.0" customHeight="1">
      <c r="A86" s="152" t="s">
        <v>430</v>
      </c>
      <c r="B86" s="159">
        <f t="shared" ref="B86:K86" si="34">B35*$P$48</f>
        <v>53.92380905</v>
      </c>
      <c r="C86" s="159">
        <f t="shared" si="34"/>
        <v>220.2984882</v>
      </c>
      <c r="D86" s="159">
        <f t="shared" si="34"/>
        <v>491.2327483</v>
      </c>
      <c r="E86" s="159">
        <f t="shared" si="34"/>
        <v>893.6884939</v>
      </c>
      <c r="F86" s="159">
        <f t="shared" si="34"/>
        <v>1289.568165</v>
      </c>
      <c r="G86" s="159">
        <f t="shared" si="34"/>
        <v>1708.464097</v>
      </c>
      <c r="H86" s="159">
        <f t="shared" si="34"/>
        <v>2103.028553</v>
      </c>
      <c r="I86" s="159">
        <f t="shared" si="34"/>
        <v>2352.919376</v>
      </c>
      <c r="J86" s="159">
        <f t="shared" si="34"/>
        <v>2545.598352</v>
      </c>
      <c r="K86" s="159">
        <f t="shared" si="34"/>
        <v>2740.907758</v>
      </c>
      <c r="L86" s="154">
        <f t="shared" si="27"/>
        <v>0.01108283676</v>
      </c>
    </row>
    <row r="87" ht="12.0" customHeight="1">
      <c r="A87" s="152" t="s">
        <v>432</v>
      </c>
      <c r="B87" s="159">
        <f t="shared" ref="B87:K87" si="35">B36*$P$48</f>
        <v>296.5809498</v>
      </c>
      <c r="C87" s="159">
        <f t="shared" si="35"/>
        <v>1115.959804</v>
      </c>
      <c r="D87" s="159">
        <f t="shared" si="35"/>
        <v>2600.837376</v>
      </c>
      <c r="E87" s="159">
        <f t="shared" si="35"/>
        <v>4972.169759</v>
      </c>
      <c r="F87" s="159">
        <f t="shared" si="35"/>
        <v>7181.073108</v>
      </c>
      <c r="G87" s="159">
        <f t="shared" si="35"/>
        <v>9545.17181</v>
      </c>
      <c r="H87" s="159">
        <f t="shared" si="35"/>
        <v>11669.90141</v>
      </c>
      <c r="I87" s="159">
        <f t="shared" si="35"/>
        <v>12900.2849</v>
      </c>
      <c r="J87" s="159">
        <f t="shared" si="35"/>
        <v>13916.28838</v>
      </c>
      <c r="K87" s="159">
        <f t="shared" si="35"/>
        <v>14950.04726</v>
      </c>
      <c r="L87" s="154">
        <f t="shared" si="27"/>
        <v>0.06045038649</v>
      </c>
    </row>
    <row r="88" ht="12.0" customHeight="1">
      <c r="A88" s="152" t="s">
        <v>433</v>
      </c>
      <c r="B88" s="159">
        <f t="shared" ref="B88:K88" si="36">B37*$P$48</f>
        <v>82.20092844</v>
      </c>
      <c r="C88" s="159">
        <f t="shared" si="36"/>
        <v>423.4991833</v>
      </c>
      <c r="D88" s="159">
        <f t="shared" si="36"/>
        <v>904.2102128</v>
      </c>
      <c r="E88" s="159">
        <f t="shared" si="36"/>
        <v>1617.714272</v>
      </c>
      <c r="F88" s="159">
        <f t="shared" si="36"/>
        <v>2331.21833</v>
      </c>
      <c r="G88" s="159">
        <f t="shared" si="36"/>
        <v>3105.87988</v>
      </c>
      <c r="H88" s="159">
        <f t="shared" si="36"/>
        <v>3849.63388</v>
      </c>
      <c r="I88" s="159">
        <f t="shared" si="36"/>
        <v>4345.469881</v>
      </c>
      <c r="J88" s="159">
        <f t="shared" si="36"/>
        <v>4725.566974</v>
      </c>
      <c r="K88" s="159">
        <f t="shared" si="36"/>
        <v>5109.609712</v>
      </c>
      <c r="L88" s="154">
        <f t="shared" si="27"/>
        <v>0.02066066258</v>
      </c>
    </row>
    <row r="89" ht="12.0" customHeight="1">
      <c r="A89" s="152" t="s">
        <v>434</v>
      </c>
      <c r="B89" s="159">
        <f t="shared" ref="B89:K89" si="37">B38*$P$48</f>
        <v>46.69012735</v>
      </c>
      <c r="C89" s="159">
        <f t="shared" si="37"/>
        <v>226.2169551</v>
      </c>
      <c r="D89" s="159">
        <f t="shared" si="37"/>
        <v>491.2327483</v>
      </c>
      <c r="E89" s="159">
        <f t="shared" si="37"/>
        <v>885.1395974</v>
      </c>
      <c r="F89" s="159">
        <f t="shared" si="37"/>
        <v>1273.785587</v>
      </c>
      <c r="G89" s="159">
        <f t="shared" si="37"/>
        <v>1692.023911</v>
      </c>
      <c r="H89" s="159">
        <f t="shared" si="37"/>
        <v>2084.615545</v>
      </c>
      <c r="I89" s="159">
        <f t="shared" si="37"/>
        <v>2339.767227</v>
      </c>
      <c r="J89" s="159">
        <f t="shared" si="37"/>
        <v>2539.022278</v>
      </c>
      <c r="K89" s="159">
        <f t="shared" si="37"/>
        <v>2740.907758</v>
      </c>
      <c r="L89" s="154">
        <f t="shared" si="27"/>
        <v>0.01108283676</v>
      </c>
    </row>
    <row r="90" ht="12.0" customHeight="1">
      <c r="A90" s="152" t="s">
        <v>435</v>
      </c>
      <c r="B90" s="159">
        <f t="shared" ref="B90:K90" si="38">B39*$P$48</f>
        <v>11.83693369</v>
      </c>
      <c r="C90" s="159">
        <f t="shared" si="38"/>
        <v>73.65203188</v>
      </c>
      <c r="D90" s="159">
        <f t="shared" si="38"/>
        <v>151.9073157</v>
      </c>
      <c r="E90" s="159">
        <f t="shared" si="38"/>
        <v>263.7005784</v>
      </c>
      <c r="F90" s="159">
        <f t="shared" si="38"/>
        <v>378.1242708</v>
      </c>
      <c r="G90" s="159">
        <f t="shared" si="38"/>
        <v>496.4936077</v>
      </c>
      <c r="H90" s="159">
        <f t="shared" si="38"/>
        <v>621.439019</v>
      </c>
      <c r="I90" s="159">
        <f t="shared" si="38"/>
        <v>704.9551623</v>
      </c>
      <c r="J90" s="159">
        <f t="shared" si="38"/>
        <v>770.715905</v>
      </c>
      <c r="K90" s="159">
        <f t="shared" si="38"/>
        <v>836.4766478</v>
      </c>
      <c r="L90" s="154">
        <f t="shared" si="27"/>
        <v>0.003382286074</v>
      </c>
    </row>
    <row r="91" ht="12.0" customHeight="1">
      <c r="A91" s="152" t="s">
        <v>436</v>
      </c>
      <c r="B91" s="159">
        <f t="shared" ref="B91:K91" si="39">B40*$P$48</f>
        <v>4.603251992</v>
      </c>
      <c r="C91" s="159">
        <f t="shared" si="39"/>
        <v>30.90754909</v>
      </c>
      <c r="D91" s="159">
        <f t="shared" si="39"/>
        <v>58.52706105</v>
      </c>
      <c r="E91" s="159">
        <f t="shared" si="39"/>
        <v>97.98350669</v>
      </c>
      <c r="F91" s="159">
        <f t="shared" si="39"/>
        <v>134.8095226</v>
      </c>
      <c r="G91" s="159">
        <f t="shared" si="39"/>
        <v>167.689894</v>
      </c>
      <c r="H91" s="159">
        <f t="shared" si="39"/>
        <v>215.6952362</v>
      </c>
      <c r="I91" s="159">
        <f t="shared" si="39"/>
        <v>241.3419259</v>
      </c>
      <c r="J91" s="159">
        <f t="shared" si="39"/>
        <v>264.3581858</v>
      </c>
      <c r="K91" s="159">
        <f t="shared" si="39"/>
        <v>287.3744458</v>
      </c>
      <c r="L91" s="154">
        <f t="shared" si="27"/>
        <v>0.001161996081</v>
      </c>
    </row>
    <row r="92" ht="12.0" customHeight="1">
      <c r="A92" s="152" t="s">
        <v>75</v>
      </c>
      <c r="B92" s="159">
        <f t="shared" ref="B92:K92" si="40">B41*$P$48</f>
        <v>11.83693369</v>
      </c>
      <c r="C92" s="159">
        <f t="shared" si="40"/>
        <v>56.55423876</v>
      </c>
      <c r="D92" s="159">
        <f t="shared" si="40"/>
        <v>122.9725889</v>
      </c>
      <c r="E92" s="159">
        <f t="shared" si="40"/>
        <v>221.6137031</v>
      </c>
      <c r="F92" s="159">
        <f t="shared" si="40"/>
        <v>318.2819949</v>
      </c>
      <c r="G92" s="159">
        <f t="shared" si="40"/>
        <v>422.8415759</v>
      </c>
      <c r="H92" s="159">
        <f t="shared" si="40"/>
        <v>520.8250826</v>
      </c>
      <c r="I92" s="159">
        <f t="shared" si="40"/>
        <v>585.2706105</v>
      </c>
      <c r="J92" s="159">
        <f t="shared" si="40"/>
        <v>634.5911675</v>
      </c>
      <c r="K92" s="159">
        <f t="shared" si="40"/>
        <v>685.2269394</v>
      </c>
      <c r="L92" s="154">
        <f t="shared" si="27"/>
        <v>0.00277070919</v>
      </c>
    </row>
    <row r="93" ht="12.0" customHeight="1">
      <c r="A93" s="152" t="s">
        <v>86</v>
      </c>
      <c r="B93" s="159">
        <f t="shared" ref="B93:K93" si="41">B42*$P$48</f>
        <v>25.64668967</v>
      </c>
      <c r="C93" s="159">
        <f t="shared" si="41"/>
        <v>124.2878038</v>
      </c>
      <c r="D93" s="159">
        <f t="shared" si="41"/>
        <v>270.2766527</v>
      </c>
      <c r="E93" s="159">
        <f t="shared" si="41"/>
        <v>486.6294963</v>
      </c>
      <c r="F93" s="159">
        <f t="shared" si="41"/>
        <v>700.3519103</v>
      </c>
      <c r="G93" s="159">
        <f t="shared" si="41"/>
        <v>930.5145099</v>
      </c>
      <c r="H93" s="159">
        <f t="shared" si="41"/>
        <v>1146.867354</v>
      </c>
      <c r="I93" s="159">
        <f t="shared" si="41"/>
        <v>1287.595343</v>
      </c>
      <c r="J93" s="159">
        <f t="shared" si="41"/>
        <v>1396.758176</v>
      </c>
      <c r="K93" s="159">
        <f t="shared" si="41"/>
        <v>1507.893831</v>
      </c>
      <c r="L93" s="154">
        <f t="shared" si="27"/>
        <v>0.006097155636</v>
      </c>
    </row>
    <row r="94" ht="12.0" customHeight="1">
      <c r="A94" s="152" t="s">
        <v>95</v>
      </c>
      <c r="B94" s="159">
        <f t="shared" ref="B94:K94" si="42">B43*$P$48</f>
        <v>5.26085942</v>
      </c>
      <c r="C94" s="159">
        <f t="shared" si="42"/>
        <v>26.96190453</v>
      </c>
      <c r="D94" s="159">
        <f t="shared" si="42"/>
        <v>59.18466847</v>
      </c>
      <c r="E94" s="159">
        <f t="shared" si="42"/>
        <v>105.8747958</v>
      </c>
      <c r="F94" s="159">
        <f t="shared" si="42"/>
        <v>153.2225306</v>
      </c>
      <c r="G94" s="159">
        <f t="shared" si="42"/>
        <v>202.5430877</v>
      </c>
      <c r="H94" s="159">
        <f t="shared" si="42"/>
        <v>249.8908224</v>
      </c>
      <c r="I94" s="159">
        <f t="shared" si="42"/>
        <v>280.7983715</v>
      </c>
      <c r="J94" s="159">
        <f t="shared" si="42"/>
        <v>304.4722389</v>
      </c>
      <c r="K94" s="159">
        <f t="shared" si="42"/>
        <v>328.8037137</v>
      </c>
      <c r="L94" s="154">
        <f t="shared" si="27"/>
        <v>0.001329514966</v>
      </c>
    </row>
    <row r="95" ht="12.0" customHeight="1">
      <c r="A95" s="152" t="s">
        <v>100</v>
      </c>
      <c r="B95" s="159">
        <f t="shared" ref="B95:K95" si="43">B44*$P$48</f>
        <v>3.945644565</v>
      </c>
      <c r="C95" s="159">
        <f t="shared" si="43"/>
        <v>18.41300797</v>
      </c>
      <c r="D95" s="159">
        <f t="shared" si="43"/>
        <v>39.45644565</v>
      </c>
      <c r="E95" s="159">
        <f t="shared" si="43"/>
        <v>71.02160217</v>
      </c>
      <c r="F95" s="159">
        <f t="shared" si="43"/>
        <v>101.9291513</v>
      </c>
      <c r="G95" s="159">
        <f t="shared" si="43"/>
        <v>135.4671301</v>
      </c>
      <c r="H95" s="159">
        <f t="shared" si="43"/>
        <v>167.0322866</v>
      </c>
      <c r="I95" s="159">
        <f t="shared" si="43"/>
        <v>187.4181168</v>
      </c>
      <c r="J95" s="159">
        <f t="shared" si="43"/>
        <v>203.2006951</v>
      </c>
      <c r="K95" s="159">
        <f t="shared" si="43"/>
        <v>218.9832734</v>
      </c>
      <c r="L95" s="154">
        <f t="shared" si="27"/>
        <v>0.0008854569676</v>
      </c>
    </row>
    <row r="96" ht="12.0" customHeight="1">
      <c r="A96" s="145" t="s">
        <v>437</v>
      </c>
      <c r="B96" s="155">
        <f t="shared" ref="B96:L96" si="44">SUM(B78:B95)</f>
        <v>4537.49125</v>
      </c>
      <c r="C96" s="155">
        <f t="shared" si="44"/>
        <v>20390.4335</v>
      </c>
      <c r="D96" s="155">
        <f t="shared" si="44"/>
        <v>40924.22543</v>
      </c>
      <c r="E96" s="155">
        <f t="shared" si="44"/>
        <v>75886.58192</v>
      </c>
      <c r="F96" s="155">
        <f t="shared" si="44"/>
        <v>111666.3444</v>
      </c>
      <c r="G96" s="155">
        <f t="shared" si="44"/>
        <v>151946.7722</v>
      </c>
      <c r="H96" s="155">
        <f t="shared" si="44"/>
        <v>188698.4785</v>
      </c>
      <c r="I96" s="155">
        <f t="shared" si="44"/>
        <v>214491.8146</v>
      </c>
      <c r="J96" s="155">
        <f t="shared" si="44"/>
        <v>230733.4029</v>
      </c>
      <c r="K96" s="155">
        <f t="shared" si="44"/>
        <v>247311.0285</v>
      </c>
      <c r="L96" s="151">
        <f t="shared" si="44"/>
        <v>1</v>
      </c>
    </row>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L1"/>
    <mergeCell ref="A13:L13"/>
    <mergeCell ref="A25:L25"/>
    <mergeCell ref="A48:C48"/>
    <mergeCell ref="A53:L53"/>
    <mergeCell ref="A76:L76"/>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outlineLevelRow="1"/>
  <cols>
    <col customWidth="1" min="1" max="1" width="44.0"/>
    <col customWidth="1" min="2" max="2" width="30.0"/>
    <col customWidth="1" min="3" max="3" width="34.0"/>
    <col customWidth="1" min="4" max="4" width="16.0"/>
    <col customWidth="1" min="5" max="6" width="11.0"/>
    <col customWidth="1" min="7" max="9" width="14.0"/>
    <col customWidth="1" min="10" max="10" width="11.0"/>
    <col customWidth="1" min="11" max="12" width="13.0"/>
    <col customWidth="1" min="13" max="13" width="12.0"/>
    <col customWidth="1" min="14" max="14" width="13.0"/>
    <col customWidth="1" min="15" max="15" width="12.0"/>
    <col customWidth="1" min="16" max="16" width="14.0"/>
    <col customWidth="1" min="17" max="17" width="12.0"/>
    <col customWidth="1" min="18" max="19" width="13.0"/>
    <col customWidth="1" min="20" max="20" width="60.0"/>
    <col customWidth="1" min="21" max="21" width="14.0"/>
    <col customWidth="1" min="22" max="26" width="8.63"/>
  </cols>
  <sheetData>
    <row r="1" ht="15.0" customHeight="1">
      <c r="A1" s="163" t="s">
        <v>471</v>
      </c>
      <c r="B1" s="3"/>
      <c r="C1" s="3"/>
      <c r="D1" s="3"/>
      <c r="E1" s="3"/>
      <c r="F1" s="3"/>
      <c r="G1" s="3"/>
      <c r="H1" s="3"/>
      <c r="I1" s="3"/>
      <c r="J1" s="3"/>
      <c r="K1" s="3"/>
      <c r="L1" s="3"/>
      <c r="M1" s="3"/>
      <c r="N1" s="3"/>
      <c r="O1" s="3"/>
      <c r="P1" s="3"/>
      <c r="Q1" s="3"/>
      <c r="R1" s="3"/>
      <c r="S1" s="3"/>
      <c r="T1" s="130"/>
    </row>
    <row r="2">
      <c r="A2" s="164"/>
    </row>
    <row r="4">
      <c r="A4" s="165" t="s">
        <v>132</v>
      </c>
      <c r="B4" s="46">
        <f>Parametros!B37</f>
        <v>20</v>
      </c>
      <c r="C4" s="166" t="s">
        <v>474</v>
      </c>
      <c r="D4" s="63">
        <f>Parametros!J37</f>
        <v>7.5</v>
      </c>
      <c r="E4" s="166" t="s">
        <v>475</v>
      </c>
      <c r="F4" s="46">
        <f>B4*D4</f>
        <v>150</v>
      </c>
    </row>
    <row r="6" ht="15.0" customHeight="1">
      <c r="A6" s="128" t="s">
        <v>476</v>
      </c>
      <c r="B6" s="3"/>
      <c r="C6" s="3"/>
      <c r="D6" s="3"/>
      <c r="E6" s="3"/>
      <c r="F6" s="3"/>
      <c r="G6" s="3"/>
      <c r="H6" s="3"/>
      <c r="I6" s="3"/>
      <c r="J6" s="3"/>
      <c r="K6" s="130"/>
    </row>
    <row r="7">
      <c r="A7" s="39" t="s">
        <v>477</v>
      </c>
      <c r="B7" s="39">
        <v>2026.0</v>
      </c>
      <c r="C7" s="39">
        <v>2027.0</v>
      </c>
      <c r="D7" s="39">
        <v>2028.0</v>
      </c>
      <c r="E7" s="39">
        <v>2029.0</v>
      </c>
      <c r="F7" s="39">
        <v>2030.0</v>
      </c>
      <c r="G7" s="39">
        <v>2031.0</v>
      </c>
      <c r="H7" s="39">
        <v>2032.0</v>
      </c>
      <c r="I7" s="39">
        <v>2033.0</v>
      </c>
      <c r="J7" s="39">
        <v>2034.0</v>
      </c>
      <c r="K7" s="39">
        <v>2035.0</v>
      </c>
    </row>
    <row r="8">
      <c r="A8" s="73" t="s">
        <v>478</v>
      </c>
      <c r="B8" s="36">
        <f>'Resumen Capacidad'!B85</f>
        <v>1</v>
      </c>
      <c r="C8" s="36">
        <f>'Resumen Capacidad'!C85</f>
        <v>1</v>
      </c>
      <c r="D8" s="36">
        <f>'Resumen Capacidad'!D85</f>
        <v>1</v>
      </c>
      <c r="E8" s="36">
        <f>'Resumen Capacidad'!E85</f>
        <v>1</v>
      </c>
      <c r="F8" s="36">
        <f>'Resumen Capacidad'!F85</f>
        <v>1</v>
      </c>
      <c r="G8" s="36">
        <f>'Resumen Capacidad'!G85</f>
        <v>1</v>
      </c>
      <c r="H8" s="36">
        <f>'Resumen Capacidad'!H85</f>
        <v>2</v>
      </c>
      <c r="I8" s="36">
        <f>'Resumen Capacidad'!I85</f>
        <v>2</v>
      </c>
      <c r="J8" s="36">
        <f>'Resumen Capacidad'!J85</f>
        <v>2</v>
      </c>
      <c r="K8" s="36">
        <f>'Resumen Capacidad'!K85</f>
        <v>2</v>
      </c>
    </row>
    <row r="10" ht="15.0" customHeight="1">
      <c r="A10" s="128" t="s">
        <v>480</v>
      </c>
      <c r="B10" s="3"/>
      <c r="C10" s="130"/>
    </row>
    <row r="11" ht="15.0" customHeight="1">
      <c r="A11" s="39" t="s">
        <v>481</v>
      </c>
      <c r="B11" s="39" t="s">
        <v>27</v>
      </c>
      <c r="C11" s="167" t="s">
        <v>482</v>
      </c>
      <c r="D11" s="3"/>
      <c r="E11" s="3"/>
      <c r="F11" s="3"/>
      <c r="G11" s="3"/>
      <c r="H11" s="3"/>
      <c r="I11" s="3"/>
      <c r="J11" s="3"/>
      <c r="K11" s="3"/>
      <c r="L11" s="3"/>
      <c r="M11" s="3"/>
      <c r="N11" s="3"/>
      <c r="O11" s="3"/>
      <c r="P11" s="3"/>
      <c r="Q11" s="3"/>
      <c r="R11" s="3"/>
      <c r="S11" s="3"/>
      <c r="T11" s="4"/>
    </row>
    <row r="12" ht="30.0" customHeight="1">
      <c r="A12" s="70" t="s">
        <v>483</v>
      </c>
      <c r="B12" s="32">
        <f>datos_base!B50</f>
        <v>0.25</v>
      </c>
      <c r="C12" s="136" t="s">
        <v>484</v>
      </c>
    </row>
    <row r="13" ht="30.0" customHeight="1">
      <c r="A13" s="70" t="s">
        <v>485</v>
      </c>
      <c r="B13" s="32">
        <v>0.5</v>
      </c>
      <c r="C13" s="136" t="s">
        <v>486</v>
      </c>
    </row>
    <row r="14" ht="30.0" customHeight="1">
      <c r="A14" s="70" t="s">
        <v>487</v>
      </c>
      <c r="B14" s="32">
        <v>0.1</v>
      </c>
      <c r="C14" s="136" t="s">
        <v>488</v>
      </c>
    </row>
    <row r="15" ht="30.0" customHeight="1">
      <c r="A15" s="70" t="s">
        <v>489</v>
      </c>
      <c r="B15" s="34">
        <f>B12+B14</f>
        <v>0.35</v>
      </c>
      <c r="C15" s="136" t="s">
        <v>490</v>
      </c>
    </row>
    <row r="16" ht="30.0" customHeight="1">
      <c r="A16" s="70" t="s">
        <v>491</v>
      </c>
      <c r="B16" s="34">
        <f>B12</f>
        <v>0.25</v>
      </c>
      <c r="C16" s="136" t="s">
        <v>492</v>
      </c>
    </row>
    <row r="17" ht="30.0" customHeight="1">
      <c r="A17" s="70" t="s">
        <v>493</v>
      </c>
      <c r="B17" s="32">
        <v>0.1</v>
      </c>
      <c r="C17" s="136" t="s">
        <v>494</v>
      </c>
    </row>
    <row r="18" ht="30.0" customHeight="1">
      <c r="A18" s="70" t="s">
        <v>495</v>
      </c>
      <c r="B18" s="168">
        <v>3.0</v>
      </c>
      <c r="C18" s="136" t="s">
        <v>496</v>
      </c>
    </row>
    <row r="19" ht="30.0" customHeight="1">
      <c r="A19" s="70" t="s">
        <v>497</v>
      </c>
      <c r="B19" s="32">
        <f>'Resumen Capacidad'!B50</f>
        <v>0.9</v>
      </c>
      <c r="C19" s="136" t="s">
        <v>498</v>
      </c>
    </row>
    <row r="20" ht="30.0" customHeight="1">
      <c r="A20" s="70" t="s">
        <v>499</v>
      </c>
      <c r="B20" s="32">
        <f>Parametros!B67</f>
        <v>0.9</v>
      </c>
      <c r="C20" s="136" t="s">
        <v>501</v>
      </c>
    </row>
    <row r="21" ht="30.0" customHeight="1">
      <c r="A21" s="70" t="s">
        <v>502</v>
      </c>
      <c r="B21" s="31">
        <v>1.0</v>
      </c>
      <c r="C21" s="136" t="s">
        <v>503</v>
      </c>
    </row>
    <row r="22" ht="30.0" customHeight="1">
      <c r="A22" s="70" t="s">
        <v>504</v>
      </c>
      <c r="B22" s="32">
        <v>0.15</v>
      </c>
      <c r="C22" s="136" t="s">
        <v>505</v>
      </c>
    </row>
    <row r="23" ht="15.75" customHeight="1"/>
    <row r="24" ht="15.0" customHeight="1">
      <c r="A24" s="128" t="s">
        <v>506</v>
      </c>
      <c r="B24" s="3"/>
      <c r="C24" s="3"/>
      <c r="D24" s="3"/>
      <c r="E24" s="3"/>
      <c r="F24" s="3"/>
      <c r="G24" s="3"/>
      <c r="H24" s="3"/>
      <c r="I24" s="3"/>
      <c r="J24" s="3"/>
      <c r="K24" s="3"/>
      <c r="L24" s="3"/>
      <c r="M24" s="3"/>
      <c r="N24" s="3"/>
      <c r="O24" s="3"/>
      <c r="P24" s="3"/>
      <c r="Q24" s="130"/>
    </row>
    <row r="25" ht="15.0" customHeight="1">
      <c r="A25" s="39" t="s">
        <v>2</v>
      </c>
      <c r="B25" s="39"/>
      <c r="C25" s="39"/>
      <c r="D25" s="39" t="s">
        <v>3</v>
      </c>
      <c r="E25" s="39" t="s">
        <v>4</v>
      </c>
      <c r="F25" s="39" t="s">
        <v>507</v>
      </c>
      <c r="G25" s="39" t="s">
        <v>508</v>
      </c>
      <c r="H25" s="39" t="s">
        <v>509</v>
      </c>
      <c r="I25" s="39" t="s">
        <v>510</v>
      </c>
      <c r="J25" s="39" t="s">
        <v>511</v>
      </c>
      <c r="K25" s="39" t="s">
        <v>512</v>
      </c>
      <c r="L25" s="39" t="s">
        <v>513</v>
      </c>
      <c r="M25" s="39" t="s">
        <v>514</v>
      </c>
      <c r="N25" s="39" t="s">
        <v>515</v>
      </c>
      <c r="O25" s="39" t="s">
        <v>516</v>
      </c>
      <c r="P25" s="39" t="s">
        <v>15</v>
      </c>
      <c r="Q25" s="39"/>
      <c r="R25" s="167" t="s">
        <v>517</v>
      </c>
      <c r="S25" s="3"/>
      <c r="T25" s="4"/>
    </row>
    <row r="26" ht="61.5" customHeight="1">
      <c r="A26" s="169" t="s">
        <v>17</v>
      </c>
      <c r="B26" s="3"/>
      <c r="C26" s="3"/>
      <c r="D26" s="170">
        <v>0.1</v>
      </c>
      <c r="E26" s="170">
        <v>0.078</v>
      </c>
      <c r="F26" s="170">
        <v>0.078</v>
      </c>
      <c r="G26" s="170">
        <v>0.078</v>
      </c>
      <c r="H26" s="170">
        <v>0.078</v>
      </c>
      <c r="I26" s="170">
        <v>0.078</v>
      </c>
      <c r="J26" s="170">
        <v>0.078</v>
      </c>
      <c r="K26" s="170">
        <v>0.078</v>
      </c>
      <c r="L26" s="170">
        <v>0.078</v>
      </c>
      <c r="M26" s="170">
        <v>0.078</v>
      </c>
      <c r="N26" s="170">
        <v>0.078</v>
      </c>
      <c r="O26" s="170">
        <v>0.12</v>
      </c>
      <c r="P26" s="34">
        <f t="shared" ref="P26:P28" si="1">SUM(D26:O26)</f>
        <v>1</v>
      </c>
      <c r="Q26" s="171" t="s">
        <v>518</v>
      </c>
      <c r="R26" s="3"/>
      <c r="S26" s="3"/>
      <c r="T26" s="4"/>
    </row>
    <row r="27" ht="61.5" customHeight="1">
      <c r="A27" s="169" t="s">
        <v>519</v>
      </c>
      <c r="B27" s="3"/>
      <c r="C27" s="3"/>
      <c r="D27" s="170">
        <v>0.09</v>
      </c>
      <c r="E27" s="170">
        <v>0.08</v>
      </c>
      <c r="F27" s="170">
        <v>0.085</v>
      </c>
      <c r="G27" s="170">
        <v>0.08</v>
      </c>
      <c r="H27" s="170">
        <v>0.075</v>
      </c>
      <c r="I27" s="170">
        <v>0.07</v>
      </c>
      <c r="J27" s="170">
        <v>0.08</v>
      </c>
      <c r="K27" s="170">
        <v>0.085</v>
      </c>
      <c r="L27" s="170">
        <v>0.085</v>
      </c>
      <c r="M27" s="170">
        <v>0.08</v>
      </c>
      <c r="N27" s="170">
        <v>0.08</v>
      </c>
      <c r="O27" s="170">
        <v>0.11</v>
      </c>
      <c r="P27" s="34">
        <f t="shared" si="1"/>
        <v>1</v>
      </c>
      <c r="Q27" s="171" t="s">
        <v>520</v>
      </c>
      <c r="R27" s="3"/>
      <c r="S27" s="3"/>
      <c r="T27" s="4"/>
    </row>
    <row r="28" ht="61.5" customHeight="1">
      <c r="A28" s="169" t="s">
        <v>521</v>
      </c>
      <c r="B28" s="3"/>
      <c r="C28" s="3"/>
      <c r="D28" s="170">
        <v>0.1</v>
      </c>
      <c r="E28" s="170">
        <v>0.08</v>
      </c>
      <c r="F28" s="170">
        <v>0.085</v>
      </c>
      <c r="G28" s="170">
        <v>0.085</v>
      </c>
      <c r="H28" s="170">
        <v>0.08</v>
      </c>
      <c r="I28" s="170">
        <v>0.075</v>
      </c>
      <c r="J28" s="170">
        <v>0.09</v>
      </c>
      <c r="K28" s="170">
        <v>0.08</v>
      </c>
      <c r="L28" s="170">
        <v>0.08</v>
      </c>
      <c r="M28" s="170">
        <v>0.08</v>
      </c>
      <c r="N28" s="170">
        <v>0.075</v>
      </c>
      <c r="O28" s="170">
        <v>0.09</v>
      </c>
      <c r="P28" s="34">
        <f t="shared" si="1"/>
        <v>1</v>
      </c>
      <c r="Q28" s="171" t="s">
        <v>523</v>
      </c>
      <c r="R28" s="3"/>
      <c r="S28" s="3"/>
      <c r="T28" s="4"/>
    </row>
    <row r="29" ht="15.75" customHeight="1">
      <c r="A29" s="172"/>
    </row>
    <row r="30" ht="15.75" customHeight="1"/>
    <row r="31" ht="15.0" customHeight="1">
      <c r="A31" s="128" t="s">
        <v>524</v>
      </c>
      <c r="B31" s="3"/>
      <c r="C31" s="3"/>
      <c r="D31" s="3"/>
      <c r="E31" s="3"/>
      <c r="F31" s="3"/>
      <c r="G31" s="3"/>
      <c r="H31" s="3"/>
      <c r="I31" s="3"/>
      <c r="J31" s="3"/>
      <c r="K31" s="3"/>
      <c r="L31" s="3"/>
      <c r="M31" s="3"/>
      <c r="N31" s="3"/>
      <c r="O31" s="3"/>
      <c r="P31" s="3"/>
      <c r="Q31" s="130"/>
    </row>
    <row r="32" ht="15.75" customHeight="1">
      <c r="A32" s="39" t="s">
        <v>525</v>
      </c>
      <c r="B32" s="39" t="s">
        <v>526</v>
      </c>
      <c r="C32" s="39" t="s">
        <v>2</v>
      </c>
      <c r="D32" s="39" t="s">
        <v>3</v>
      </c>
      <c r="E32" s="39" t="s">
        <v>4</v>
      </c>
      <c r="F32" s="39" t="s">
        <v>507</v>
      </c>
      <c r="G32" s="39" t="s">
        <v>508</v>
      </c>
      <c r="H32" s="39" t="s">
        <v>509</v>
      </c>
      <c r="I32" s="39" t="s">
        <v>510</v>
      </c>
      <c r="J32" s="39" t="s">
        <v>511</v>
      </c>
      <c r="K32" s="39" t="s">
        <v>512</v>
      </c>
      <c r="L32" s="39" t="s">
        <v>513</v>
      </c>
      <c r="M32" s="39" t="s">
        <v>514</v>
      </c>
      <c r="N32" s="39" t="s">
        <v>515</v>
      </c>
      <c r="O32" s="39" t="s">
        <v>516</v>
      </c>
      <c r="P32" s="39" t="s">
        <v>15</v>
      </c>
      <c r="Q32" s="39" t="s">
        <v>527</v>
      </c>
    </row>
    <row r="33" ht="15.75" customHeight="1">
      <c r="A33" s="30" t="str">
        <f>datos_base!A55</f>
        <v>ABC 1 kg</v>
      </c>
      <c r="B33" s="30" t="s">
        <v>379</v>
      </c>
      <c r="C33" s="30" t="s">
        <v>528</v>
      </c>
      <c r="D33" s="173">
        <f>$D$26</f>
        <v>0.1</v>
      </c>
      <c r="E33" s="173">
        <f>$E$26</f>
        <v>0.078</v>
      </c>
      <c r="F33" s="173">
        <f>$F$26</f>
        <v>0.078</v>
      </c>
      <c r="G33" s="173">
        <f>$G$26</f>
        <v>0.078</v>
      </c>
      <c r="H33" s="173">
        <f>$H$26</f>
        <v>0.078</v>
      </c>
      <c r="I33" s="173">
        <f>$I$26</f>
        <v>0.078</v>
      </c>
      <c r="J33" s="173">
        <f>$J$26</f>
        <v>0.078</v>
      </c>
      <c r="K33" s="173">
        <f>$K$26</f>
        <v>0.078</v>
      </c>
      <c r="L33" s="173">
        <f>$L$26</f>
        <v>0.078</v>
      </c>
      <c r="M33" s="173">
        <f>$M$26</f>
        <v>0.078</v>
      </c>
      <c r="N33" s="173">
        <f>$N$26</f>
        <v>0.078</v>
      </c>
      <c r="O33" s="173">
        <f>$O$26</f>
        <v>0.12</v>
      </c>
      <c r="P33" s="87">
        <f t="shared" ref="P33:P49" si="2">SUM(D33:O33)</f>
        <v>1</v>
      </c>
      <c r="Q33" s="59">
        <v>1.0</v>
      </c>
    </row>
    <row r="34" ht="15.75" customHeight="1">
      <c r="A34" s="30" t="str">
        <f>datos_base!A56</f>
        <v>ABC 2,5 kg</v>
      </c>
      <c r="B34" s="30" t="s">
        <v>379</v>
      </c>
      <c r="C34" s="30" t="s">
        <v>530</v>
      </c>
      <c r="D34" s="173">
        <f t="shared" ref="D34:D36" si="3">$D$27</f>
        <v>0.09</v>
      </c>
      <c r="E34" s="173">
        <f t="shared" ref="E34:E36" si="4">$E$27</f>
        <v>0.08</v>
      </c>
      <c r="F34" s="173">
        <f t="shared" ref="F34:F36" si="5">$F$27</f>
        <v>0.085</v>
      </c>
      <c r="G34" s="173">
        <f t="shared" ref="G34:G36" si="6">$G$27</f>
        <v>0.08</v>
      </c>
      <c r="H34" s="173">
        <f t="shared" ref="H34:H36" si="7">$H$27</f>
        <v>0.075</v>
      </c>
      <c r="I34" s="173">
        <f t="shared" ref="I34:I36" si="8">$I$27</f>
        <v>0.07</v>
      </c>
      <c r="J34" s="173">
        <f t="shared" ref="J34:J36" si="9">$J$27</f>
        <v>0.08</v>
      </c>
      <c r="K34" s="173">
        <f t="shared" ref="K34:K36" si="10">$K$27</f>
        <v>0.085</v>
      </c>
      <c r="L34" s="173">
        <f t="shared" ref="L34:L36" si="11">$L$27</f>
        <v>0.085</v>
      </c>
      <c r="M34" s="173">
        <f t="shared" ref="M34:M36" si="12">$M$27</f>
        <v>0.08</v>
      </c>
      <c r="N34" s="173">
        <f t="shared" ref="N34:N36" si="13">$N$27</f>
        <v>0.08</v>
      </c>
      <c r="O34" s="173">
        <f t="shared" ref="O34:O36" si="14">$O$27</f>
        <v>0.11</v>
      </c>
      <c r="P34" s="87">
        <f t="shared" si="2"/>
        <v>1</v>
      </c>
      <c r="Q34" s="59">
        <v>1.0</v>
      </c>
    </row>
    <row r="35" ht="15.75" customHeight="1">
      <c r="A35" s="30" t="str">
        <f>datos_base!A57</f>
        <v>ABC 5 kg</v>
      </c>
      <c r="B35" s="30" t="s">
        <v>379</v>
      </c>
      <c r="C35" s="30" t="s">
        <v>530</v>
      </c>
      <c r="D35" s="173">
        <f t="shared" si="3"/>
        <v>0.09</v>
      </c>
      <c r="E35" s="173">
        <f t="shared" si="4"/>
        <v>0.08</v>
      </c>
      <c r="F35" s="173">
        <f t="shared" si="5"/>
        <v>0.085</v>
      </c>
      <c r="G35" s="173">
        <f t="shared" si="6"/>
        <v>0.08</v>
      </c>
      <c r="H35" s="173">
        <f t="shared" si="7"/>
        <v>0.075</v>
      </c>
      <c r="I35" s="173">
        <f t="shared" si="8"/>
        <v>0.07</v>
      </c>
      <c r="J35" s="173">
        <f t="shared" si="9"/>
        <v>0.08</v>
      </c>
      <c r="K35" s="173">
        <f t="shared" si="10"/>
        <v>0.085</v>
      </c>
      <c r="L35" s="173">
        <f t="shared" si="11"/>
        <v>0.085</v>
      </c>
      <c r="M35" s="173">
        <f t="shared" si="12"/>
        <v>0.08</v>
      </c>
      <c r="N35" s="173">
        <f t="shared" si="13"/>
        <v>0.08</v>
      </c>
      <c r="O35" s="173">
        <f t="shared" si="14"/>
        <v>0.11</v>
      </c>
      <c r="P35" s="87">
        <f t="shared" si="2"/>
        <v>1</v>
      </c>
      <c r="Q35" s="59">
        <v>1.0</v>
      </c>
    </row>
    <row r="36" ht="15.75" customHeight="1">
      <c r="A36" s="30" t="str">
        <f>datos_base!A58</f>
        <v>ABC 10 kg</v>
      </c>
      <c r="B36" s="30" t="s">
        <v>379</v>
      </c>
      <c r="C36" s="30" t="s">
        <v>530</v>
      </c>
      <c r="D36" s="173">
        <f t="shared" si="3"/>
        <v>0.09</v>
      </c>
      <c r="E36" s="173">
        <f t="shared" si="4"/>
        <v>0.08</v>
      </c>
      <c r="F36" s="173">
        <f t="shared" si="5"/>
        <v>0.085</v>
      </c>
      <c r="G36" s="173">
        <f t="shared" si="6"/>
        <v>0.08</v>
      </c>
      <c r="H36" s="173">
        <f t="shared" si="7"/>
        <v>0.075</v>
      </c>
      <c r="I36" s="173">
        <f t="shared" si="8"/>
        <v>0.07</v>
      </c>
      <c r="J36" s="173">
        <f t="shared" si="9"/>
        <v>0.08</v>
      </c>
      <c r="K36" s="173">
        <f t="shared" si="10"/>
        <v>0.085</v>
      </c>
      <c r="L36" s="173">
        <f t="shared" si="11"/>
        <v>0.085</v>
      </c>
      <c r="M36" s="173">
        <f t="shared" si="12"/>
        <v>0.08</v>
      </c>
      <c r="N36" s="173">
        <f t="shared" si="13"/>
        <v>0.08</v>
      </c>
      <c r="O36" s="173">
        <f t="shared" si="14"/>
        <v>0.11</v>
      </c>
      <c r="P36" s="87">
        <f t="shared" si="2"/>
        <v>1</v>
      </c>
      <c r="Q36" s="59">
        <v>1.0</v>
      </c>
    </row>
    <row r="37" ht="15.75" customHeight="1">
      <c r="A37" s="30" t="str">
        <f>datos_base!A69</f>
        <v>ABC 25 kg s/ruedas</v>
      </c>
      <c r="B37" s="30" t="s">
        <v>379</v>
      </c>
      <c r="C37" s="30" t="s">
        <v>532</v>
      </c>
      <c r="D37" s="173">
        <f t="shared" ref="D37:D40" si="15">$D$28</f>
        <v>0.1</v>
      </c>
      <c r="E37" s="173">
        <f t="shared" ref="E37:E40" si="16">$E$28</f>
        <v>0.08</v>
      </c>
      <c r="F37" s="173">
        <f t="shared" ref="F37:F40" si="17">$F$28</f>
        <v>0.085</v>
      </c>
      <c r="G37" s="173">
        <f t="shared" ref="G37:G40" si="18">$G$28</f>
        <v>0.085</v>
      </c>
      <c r="H37" s="173">
        <f t="shared" ref="H37:H40" si="19">$H$28</f>
        <v>0.08</v>
      </c>
      <c r="I37" s="173">
        <f t="shared" ref="I37:I40" si="20">$I$28</f>
        <v>0.075</v>
      </c>
      <c r="J37" s="173">
        <f t="shared" ref="J37:J40" si="21">$J$28</f>
        <v>0.09</v>
      </c>
      <c r="K37" s="173">
        <f t="shared" ref="K37:K40" si="22">$K$28</f>
        <v>0.08</v>
      </c>
      <c r="L37" s="173">
        <f t="shared" ref="L37:L40" si="23">$L$28</f>
        <v>0.08</v>
      </c>
      <c r="M37" s="173">
        <f t="shared" ref="M37:M40" si="24">$M$28</f>
        <v>0.08</v>
      </c>
      <c r="N37" s="173">
        <f t="shared" ref="N37:N40" si="25">$N$28</f>
        <v>0.075</v>
      </c>
      <c r="O37" s="173">
        <f t="shared" ref="O37:O40" si="26">$O$28</f>
        <v>0.09</v>
      </c>
      <c r="P37" s="87">
        <f t="shared" si="2"/>
        <v>1</v>
      </c>
      <c r="Q37" s="63">
        <f>'Parametros Recargas'!$B$18</f>
        <v>3</v>
      </c>
    </row>
    <row r="38" ht="15.75" customHeight="1">
      <c r="A38" s="30" t="str">
        <f>datos_base!A70</f>
        <v>ABC 50 kg s/ruedas</v>
      </c>
      <c r="B38" s="30" t="s">
        <v>379</v>
      </c>
      <c r="C38" s="30" t="s">
        <v>532</v>
      </c>
      <c r="D38" s="173">
        <f t="shared" si="15"/>
        <v>0.1</v>
      </c>
      <c r="E38" s="173">
        <f t="shared" si="16"/>
        <v>0.08</v>
      </c>
      <c r="F38" s="173">
        <f t="shared" si="17"/>
        <v>0.085</v>
      </c>
      <c r="G38" s="173">
        <f t="shared" si="18"/>
        <v>0.085</v>
      </c>
      <c r="H38" s="173">
        <f t="shared" si="19"/>
        <v>0.08</v>
      </c>
      <c r="I38" s="173">
        <f t="shared" si="20"/>
        <v>0.075</v>
      </c>
      <c r="J38" s="173">
        <f t="shared" si="21"/>
        <v>0.09</v>
      </c>
      <c r="K38" s="173">
        <f t="shared" si="22"/>
        <v>0.08</v>
      </c>
      <c r="L38" s="173">
        <f t="shared" si="23"/>
        <v>0.08</v>
      </c>
      <c r="M38" s="173">
        <f t="shared" si="24"/>
        <v>0.08</v>
      </c>
      <c r="N38" s="173">
        <f t="shared" si="25"/>
        <v>0.075</v>
      </c>
      <c r="O38" s="173">
        <f t="shared" si="26"/>
        <v>0.09</v>
      </c>
      <c r="P38" s="87">
        <f t="shared" si="2"/>
        <v>1</v>
      </c>
      <c r="Q38" s="63">
        <f>'Parametros Recargas'!$B$18</f>
        <v>3</v>
      </c>
    </row>
    <row r="39" ht="15.75" customHeight="1">
      <c r="A39" s="30" t="str">
        <f>datos_base!A71</f>
        <v>ABC 70 kg s/ruedas</v>
      </c>
      <c r="B39" s="30" t="s">
        <v>379</v>
      </c>
      <c r="C39" s="30" t="s">
        <v>532</v>
      </c>
      <c r="D39" s="173">
        <f t="shared" si="15"/>
        <v>0.1</v>
      </c>
      <c r="E39" s="173">
        <f t="shared" si="16"/>
        <v>0.08</v>
      </c>
      <c r="F39" s="173">
        <f t="shared" si="17"/>
        <v>0.085</v>
      </c>
      <c r="G39" s="173">
        <f t="shared" si="18"/>
        <v>0.085</v>
      </c>
      <c r="H39" s="173">
        <f t="shared" si="19"/>
        <v>0.08</v>
      </c>
      <c r="I39" s="173">
        <f t="shared" si="20"/>
        <v>0.075</v>
      </c>
      <c r="J39" s="173">
        <f t="shared" si="21"/>
        <v>0.09</v>
      </c>
      <c r="K39" s="173">
        <f t="shared" si="22"/>
        <v>0.08</v>
      </c>
      <c r="L39" s="173">
        <f t="shared" si="23"/>
        <v>0.08</v>
      </c>
      <c r="M39" s="173">
        <f t="shared" si="24"/>
        <v>0.08</v>
      </c>
      <c r="N39" s="173">
        <f t="shared" si="25"/>
        <v>0.075</v>
      </c>
      <c r="O39" s="173">
        <f t="shared" si="26"/>
        <v>0.09</v>
      </c>
      <c r="P39" s="87">
        <f t="shared" si="2"/>
        <v>1</v>
      </c>
      <c r="Q39" s="63">
        <f>'Parametros Recargas'!$B$18</f>
        <v>3</v>
      </c>
    </row>
    <row r="40" ht="15.75" customHeight="1">
      <c r="A40" s="30" t="str">
        <f>datos_base!A72</f>
        <v>ABC 100 kg s/ruedas</v>
      </c>
      <c r="B40" s="30" t="s">
        <v>379</v>
      </c>
      <c r="C40" s="30" t="s">
        <v>532</v>
      </c>
      <c r="D40" s="173">
        <f t="shared" si="15"/>
        <v>0.1</v>
      </c>
      <c r="E40" s="173">
        <f t="shared" si="16"/>
        <v>0.08</v>
      </c>
      <c r="F40" s="173">
        <f t="shared" si="17"/>
        <v>0.085</v>
      </c>
      <c r="G40" s="173">
        <f t="shared" si="18"/>
        <v>0.085</v>
      </c>
      <c r="H40" s="173">
        <f t="shared" si="19"/>
        <v>0.08</v>
      </c>
      <c r="I40" s="173">
        <f t="shared" si="20"/>
        <v>0.075</v>
      </c>
      <c r="J40" s="173">
        <f t="shared" si="21"/>
        <v>0.09</v>
      </c>
      <c r="K40" s="173">
        <f t="shared" si="22"/>
        <v>0.08</v>
      </c>
      <c r="L40" s="173">
        <f t="shared" si="23"/>
        <v>0.08</v>
      </c>
      <c r="M40" s="173">
        <f t="shared" si="24"/>
        <v>0.08</v>
      </c>
      <c r="N40" s="173">
        <f t="shared" si="25"/>
        <v>0.075</v>
      </c>
      <c r="O40" s="173">
        <f t="shared" si="26"/>
        <v>0.09</v>
      </c>
      <c r="P40" s="87">
        <f t="shared" si="2"/>
        <v>1</v>
      </c>
      <c r="Q40" s="63">
        <f>'Parametros Recargas'!$B$18</f>
        <v>3</v>
      </c>
    </row>
    <row r="41" ht="15.75" customHeight="1">
      <c r="A41" s="30" t="str">
        <f>datos_base!A62</f>
        <v>BC 5 kg</v>
      </c>
      <c r="B41" s="30" t="s">
        <v>398</v>
      </c>
      <c r="C41" s="30" t="s">
        <v>530</v>
      </c>
      <c r="D41" s="173">
        <f t="shared" ref="D41:D45" si="27">$D$27</f>
        <v>0.09</v>
      </c>
      <c r="E41" s="173">
        <f t="shared" ref="E41:E45" si="28">$E$27</f>
        <v>0.08</v>
      </c>
      <c r="F41" s="173">
        <f t="shared" ref="F41:F45" si="29">$F$27</f>
        <v>0.085</v>
      </c>
      <c r="G41" s="173">
        <f t="shared" ref="G41:G45" si="30">$G$27</f>
        <v>0.08</v>
      </c>
      <c r="H41" s="173">
        <f t="shared" ref="H41:H45" si="31">$H$27</f>
        <v>0.075</v>
      </c>
      <c r="I41" s="173">
        <f t="shared" ref="I41:I45" si="32">$I$27</f>
        <v>0.07</v>
      </c>
      <c r="J41" s="173">
        <f t="shared" ref="J41:J45" si="33">$J$27</f>
        <v>0.08</v>
      </c>
      <c r="K41" s="173">
        <f t="shared" ref="K41:K45" si="34">$K$27</f>
        <v>0.085</v>
      </c>
      <c r="L41" s="173">
        <f t="shared" ref="L41:L45" si="35">$L$27</f>
        <v>0.085</v>
      </c>
      <c r="M41" s="173">
        <f t="shared" ref="M41:M45" si="36">$M$27</f>
        <v>0.08</v>
      </c>
      <c r="N41" s="173">
        <f t="shared" ref="N41:N45" si="37">$N$27</f>
        <v>0.08</v>
      </c>
      <c r="O41" s="173">
        <f t="shared" ref="O41:O45" si="38">$O$27</f>
        <v>0.11</v>
      </c>
      <c r="P41" s="87">
        <f t="shared" si="2"/>
        <v>1</v>
      </c>
      <c r="Q41" s="59">
        <v>1.0</v>
      </c>
    </row>
    <row r="42" ht="15.75" customHeight="1">
      <c r="A42" s="30" t="str">
        <f>datos_base!A68</f>
        <v>Clase D 9 l</v>
      </c>
      <c r="B42" s="30" t="s">
        <v>402</v>
      </c>
      <c r="C42" s="30" t="s">
        <v>530</v>
      </c>
      <c r="D42" s="173">
        <f t="shared" si="27"/>
        <v>0.09</v>
      </c>
      <c r="E42" s="173">
        <f t="shared" si="28"/>
        <v>0.08</v>
      </c>
      <c r="F42" s="173">
        <f t="shared" si="29"/>
        <v>0.085</v>
      </c>
      <c r="G42" s="173">
        <f t="shared" si="30"/>
        <v>0.08</v>
      </c>
      <c r="H42" s="173">
        <f t="shared" si="31"/>
        <v>0.075</v>
      </c>
      <c r="I42" s="173">
        <f t="shared" si="32"/>
        <v>0.07</v>
      </c>
      <c r="J42" s="173">
        <f t="shared" si="33"/>
        <v>0.08</v>
      </c>
      <c r="K42" s="173">
        <f t="shared" si="34"/>
        <v>0.085</v>
      </c>
      <c r="L42" s="173">
        <f t="shared" si="35"/>
        <v>0.085</v>
      </c>
      <c r="M42" s="173">
        <f t="shared" si="36"/>
        <v>0.08</v>
      </c>
      <c r="N42" s="173">
        <f t="shared" si="37"/>
        <v>0.08</v>
      </c>
      <c r="O42" s="173">
        <f t="shared" si="38"/>
        <v>0.11</v>
      </c>
      <c r="P42" s="87">
        <f t="shared" si="2"/>
        <v>1</v>
      </c>
      <c r="Q42" s="59">
        <v>1.0</v>
      </c>
    </row>
    <row r="43" ht="15.75" customHeight="1">
      <c r="A43" s="30" t="str">
        <f>datos_base!A59</f>
        <v>Agua 10 l</v>
      </c>
      <c r="B43" s="30" t="s">
        <v>407</v>
      </c>
      <c r="C43" s="30" t="s">
        <v>530</v>
      </c>
      <c r="D43" s="173">
        <f t="shared" si="27"/>
        <v>0.09</v>
      </c>
      <c r="E43" s="173">
        <f t="shared" si="28"/>
        <v>0.08</v>
      </c>
      <c r="F43" s="173">
        <f t="shared" si="29"/>
        <v>0.085</v>
      </c>
      <c r="G43" s="173">
        <f t="shared" si="30"/>
        <v>0.08</v>
      </c>
      <c r="H43" s="173">
        <f t="shared" si="31"/>
        <v>0.075</v>
      </c>
      <c r="I43" s="173">
        <f t="shared" si="32"/>
        <v>0.07</v>
      </c>
      <c r="J43" s="173">
        <f t="shared" si="33"/>
        <v>0.08</v>
      </c>
      <c r="K43" s="173">
        <f t="shared" si="34"/>
        <v>0.085</v>
      </c>
      <c r="L43" s="173">
        <f t="shared" si="35"/>
        <v>0.085</v>
      </c>
      <c r="M43" s="173">
        <f t="shared" si="36"/>
        <v>0.08</v>
      </c>
      <c r="N43" s="173">
        <f t="shared" si="37"/>
        <v>0.08</v>
      </c>
      <c r="O43" s="173">
        <f t="shared" si="38"/>
        <v>0.11</v>
      </c>
      <c r="P43" s="87">
        <f t="shared" si="2"/>
        <v>1</v>
      </c>
      <c r="Q43" s="59">
        <v>1.0</v>
      </c>
    </row>
    <row r="44" ht="15.75" customHeight="1">
      <c r="A44" s="30" t="str">
        <f>datos_base!A60</f>
        <v>AFFF 10 l</v>
      </c>
      <c r="B44" s="30" t="s">
        <v>407</v>
      </c>
      <c r="C44" s="30" t="s">
        <v>530</v>
      </c>
      <c r="D44" s="173">
        <f t="shared" si="27"/>
        <v>0.09</v>
      </c>
      <c r="E44" s="173">
        <f t="shared" si="28"/>
        <v>0.08</v>
      </c>
      <c r="F44" s="173">
        <f t="shared" si="29"/>
        <v>0.085</v>
      </c>
      <c r="G44" s="173">
        <f t="shared" si="30"/>
        <v>0.08</v>
      </c>
      <c r="H44" s="173">
        <f t="shared" si="31"/>
        <v>0.075</v>
      </c>
      <c r="I44" s="173">
        <f t="shared" si="32"/>
        <v>0.07</v>
      </c>
      <c r="J44" s="173">
        <f t="shared" si="33"/>
        <v>0.08</v>
      </c>
      <c r="K44" s="173">
        <f t="shared" si="34"/>
        <v>0.085</v>
      </c>
      <c r="L44" s="173">
        <f t="shared" si="35"/>
        <v>0.085</v>
      </c>
      <c r="M44" s="173">
        <f t="shared" si="36"/>
        <v>0.08</v>
      </c>
      <c r="N44" s="173">
        <f t="shared" si="37"/>
        <v>0.08</v>
      </c>
      <c r="O44" s="173">
        <f t="shared" si="38"/>
        <v>0.11</v>
      </c>
      <c r="P44" s="87">
        <f t="shared" si="2"/>
        <v>1</v>
      </c>
      <c r="Q44" s="59">
        <v>1.0</v>
      </c>
    </row>
    <row r="45" ht="15.75" customHeight="1">
      <c r="A45" s="30" t="str">
        <f>datos_base!A63</f>
        <v>Sales K 6 l</v>
      </c>
      <c r="B45" s="30" t="s">
        <v>407</v>
      </c>
      <c r="C45" s="30" t="s">
        <v>530</v>
      </c>
      <c r="D45" s="173">
        <f t="shared" si="27"/>
        <v>0.09</v>
      </c>
      <c r="E45" s="173">
        <f t="shared" si="28"/>
        <v>0.08</v>
      </c>
      <c r="F45" s="173">
        <f t="shared" si="29"/>
        <v>0.085</v>
      </c>
      <c r="G45" s="173">
        <f t="shared" si="30"/>
        <v>0.08</v>
      </c>
      <c r="H45" s="173">
        <f t="shared" si="31"/>
        <v>0.075</v>
      </c>
      <c r="I45" s="173">
        <f t="shared" si="32"/>
        <v>0.07</v>
      </c>
      <c r="J45" s="173">
        <f t="shared" si="33"/>
        <v>0.08</v>
      </c>
      <c r="K45" s="173">
        <f t="shared" si="34"/>
        <v>0.085</v>
      </c>
      <c r="L45" s="173">
        <f t="shared" si="35"/>
        <v>0.085</v>
      </c>
      <c r="M45" s="173">
        <f t="shared" si="36"/>
        <v>0.08</v>
      </c>
      <c r="N45" s="173">
        <f t="shared" si="37"/>
        <v>0.08</v>
      </c>
      <c r="O45" s="173">
        <f t="shared" si="38"/>
        <v>0.11</v>
      </c>
      <c r="P45" s="87">
        <f t="shared" si="2"/>
        <v>1</v>
      </c>
      <c r="Q45" s="59">
        <v>1.0</v>
      </c>
    </row>
    <row r="46" ht="15.75" customHeight="1">
      <c r="A46" s="30" t="str">
        <f>datos_base!A61</f>
        <v>AFFF 50 l s/ruedas</v>
      </c>
      <c r="B46" s="30" t="s">
        <v>407</v>
      </c>
      <c r="C46" s="30" t="s">
        <v>532</v>
      </c>
      <c r="D46" s="173">
        <f>$D$28</f>
        <v>0.1</v>
      </c>
      <c r="E46" s="173">
        <f>$E$28</f>
        <v>0.08</v>
      </c>
      <c r="F46" s="173">
        <f>$F$28</f>
        <v>0.085</v>
      </c>
      <c r="G46" s="173">
        <f>$G$28</f>
        <v>0.085</v>
      </c>
      <c r="H46" s="173">
        <f>$H$28</f>
        <v>0.08</v>
      </c>
      <c r="I46" s="173">
        <f>$I$28</f>
        <v>0.075</v>
      </c>
      <c r="J46" s="173">
        <f>$J$28</f>
        <v>0.09</v>
      </c>
      <c r="K46" s="173">
        <f>$K$28</f>
        <v>0.08</v>
      </c>
      <c r="L46" s="173">
        <f>$L$28</f>
        <v>0.08</v>
      </c>
      <c r="M46" s="173">
        <f>$M$28</f>
        <v>0.08</v>
      </c>
      <c r="N46" s="173">
        <f>$N$28</f>
        <v>0.075</v>
      </c>
      <c r="O46" s="173">
        <f>$O$28</f>
        <v>0.09</v>
      </c>
      <c r="P46" s="87">
        <f t="shared" si="2"/>
        <v>1</v>
      </c>
      <c r="Q46" s="63">
        <f>'Parametros Recargas'!$B$18</f>
        <v>3</v>
      </c>
    </row>
    <row r="47" ht="15.75" customHeight="1">
      <c r="A47" s="30" t="str">
        <f>datos_base!A64</f>
        <v>CO₂ 2 kg</v>
      </c>
      <c r="B47" s="30" t="s">
        <v>418</v>
      </c>
      <c r="C47" s="30" t="s">
        <v>530</v>
      </c>
      <c r="D47" s="173">
        <f t="shared" ref="D47:D49" si="39">$D$27</f>
        <v>0.09</v>
      </c>
      <c r="E47" s="173">
        <f t="shared" ref="E47:E49" si="40">$E$27</f>
        <v>0.08</v>
      </c>
      <c r="F47" s="173">
        <f t="shared" ref="F47:F49" si="41">$F$27</f>
        <v>0.085</v>
      </c>
      <c r="G47" s="173">
        <f t="shared" ref="G47:G49" si="42">$G$27</f>
        <v>0.08</v>
      </c>
      <c r="H47" s="173">
        <f t="shared" ref="H47:H49" si="43">$H$27</f>
        <v>0.075</v>
      </c>
      <c r="I47" s="173">
        <f t="shared" ref="I47:I49" si="44">$I$27</f>
        <v>0.07</v>
      </c>
      <c r="J47" s="173">
        <f t="shared" ref="J47:J49" si="45">$J$27</f>
        <v>0.08</v>
      </c>
      <c r="K47" s="173">
        <f t="shared" ref="K47:K49" si="46">$K$27</f>
        <v>0.085</v>
      </c>
      <c r="L47" s="173">
        <f t="shared" ref="L47:L49" si="47">$L$27</f>
        <v>0.085</v>
      </c>
      <c r="M47" s="173">
        <f t="shared" ref="M47:M49" si="48">$M$27</f>
        <v>0.08</v>
      </c>
      <c r="N47" s="173">
        <f t="shared" ref="N47:N49" si="49">$N$27</f>
        <v>0.08</v>
      </c>
      <c r="O47" s="173">
        <f t="shared" ref="O47:O49" si="50">$O$27</f>
        <v>0.11</v>
      </c>
      <c r="P47" s="87">
        <f t="shared" si="2"/>
        <v>1</v>
      </c>
      <c r="Q47" s="59">
        <v>1.0</v>
      </c>
    </row>
    <row r="48" ht="15.75" customHeight="1">
      <c r="A48" s="30" t="str">
        <f>datos_base!A65</f>
        <v>CO₂ 5 kg</v>
      </c>
      <c r="B48" s="30" t="s">
        <v>418</v>
      </c>
      <c r="C48" s="30" t="s">
        <v>530</v>
      </c>
      <c r="D48" s="173">
        <f t="shared" si="39"/>
        <v>0.09</v>
      </c>
      <c r="E48" s="173">
        <f t="shared" si="40"/>
        <v>0.08</v>
      </c>
      <c r="F48" s="173">
        <f t="shared" si="41"/>
        <v>0.085</v>
      </c>
      <c r="G48" s="173">
        <f t="shared" si="42"/>
        <v>0.08</v>
      </c>
      <c r="H48" s="173">
        <f t="shared" si="43"/>
        <v>0.075</v>
      </c>
      <c r="I48" s="173">
        <f t="shared" si="44"/>
        <v>0.07</v>
      </c>
      <c r="J48" s="173">
        <f t="shared" si="45"/>
        <v>0.08</v>
      </c>
      <c r="K48" s="173">
        <f t="shared" si="46"/>
        <v>0.085</v>
      </c>
      <c r="L48" s="173">
        <f t="shared" si="47"/>
        <v>0.085</v>
      </c>
      <c r="M48" s="173">
        <f t="shared" si="48"/>
        <v>0.08</v>
      </c>
      <c r="N48" s="173">
        <f t="shared" si="49"/>
        <v>0.08</v>
      </c>
      <c r="O48" s="173">
        <f t="shared" si="50"/>
        <v>0.11</v>
      </c>
      <c r="P48" s="87">
        <f t="shared" si="2"/>
        <v>1</v>
      </c>
      <c r="Q48" s="59">
        <v>1.0</v>
      </c>
    </row>
    <row r="49" ht="15.75" customHeight="1">
      <c r="A49" s="30" t="str">
        <f>datos_base!A67</f>
        <v>HCFC/HFC 5 kg</v>
      </c>
      <c r="B49" s="30" t="s">
        <v>422</v>
      </c>
      <c r="C49" s="30" t="s">
        <v>530</v>
      </c>
      <c r="D49" s="173">
        <f t="shared" si="39"/>
        <v>0.09</v>
      </c>
      <c r="E49" s="173">
        <f t="shared" si="40"/>
        <v>0.08</v>
      </c>
      <c r="F49" s="173">
        <f t="shared" si="41"/>
        <v>0.085</v>
      </c>
      <c r="G49" s="173">
        <f t="shared" si="42"/>
        <v>0.08</v>
      </c>
      <c r="H49" s="173">
        <f t="shared" si="43"/>
        <v>0.075</v>
      </c>
      <c r="I49" s="173">
        <f t="shared" si="44"/>
        <v>0.07</v>
      </c>
      <c r="J49" s="173">
        <f t="shared" si="45"/>
        <v>0.08</v>
      </c>
      <c r="K49" s="173">
        <f t="shared" si="46"/>
        <v>0.085</v>
      </c>
      <c r="L49" s="173">
        <f t="shared" si="47"/>
        <v>0.085</v>
      </c>
      <c r="M49" s="173">
        <f t="shared" si="48"/>
        <v>0.08</v>
      </c>
      <c r="N49" s="173">
        <f t="shared" si="49"/>
        <v>0.08</v>
      </c>
      <c r="O49" s="173">
        <f t="shared" si="50"/>
        <v>0.11</v>
      </c>
      <c r="P49" s="87">
        <f t="shared" si="2"/>
        <v>1</v>
      </c>
      <c r="Q49" s="59">
        <v>1.0</v>
      </c>
    </row>
    <row r="50" ht="15.75" customHeight="1"/>
    <row r="51" ht="15.75" customHeight="1"/>
    <row r="52" ht="15.0" customHeight="1">
      <c r="A52" s="128" t="s">
        <v>538</v>
      </c>
      <c r="B52" s="3"/>
      <c r="C52" s="3"/>
      <c r="D52" s="3"/>
      <c r="E52" s="3"/>
      <c r="F52" s="3"/>
      <c r="G52" s="3"/>
      <c r="H52" s="3"/>
      <c r="I52" s="3"/>
      <c r="J52" s="3"/>
      <c r="K52" s="130"/>
    </row>
    <row r="53" ht="23.25" customHeight="1">
      <c r="A53" s="39" t="s">
        <v>22</v>
      </c>
      <c r="B53" s="39" t="s">
        <v>540</v>
      </c>
      <c r="C53" s="39" t="s">
        <v>541</v>
      </c>
      <c r="D53" s="39" t="s">
        <v>379</v>
      </c>
      <c r="E53" s="39" t="s">
        <v>398</v>
      </c>
      <c r="F53" s="39" t="s">
        <v>402</v>
      </c>
      <c r="G53" s="39" t="s">
        <v>407</v>
      </c>
      <c r="H53" s="39" t="s">
        <v>418</v>
      </c>
      <c r="I53" s="39" t="s">
        <v>422</v>
      </c>
      <c r="J53" s="167" t="s">
        <v>482</v>
      </c>
      <c r="K53" s="3"/>
      <c r="L53" s="3"/>
      <c r="M53" s="3"/>
      <c r="N53" s="3"/>
      <c r="O53" s="3"/>
      <c r="P53" s="3"/>
      <c r="Q53" s="3"/>
      <c r="R53" s="3"/>
      <c r="S53" s="3"/>
      <c r="T53" s="4"/>
    </row>
    <row r="54" ht="30.0" customHeight="1">
      <c r="A54" s="104" t="s">
        <v>542</v>
      </c>
      <c r="B54" s="118" t="s">
        <v>543</v>
      </c>
      <c r="C54" s="118" t="s">
        <v>544</v>
      </c>
      <c r="D54" s="32">
        <v>1.0</v>
      </c>
      <c r="E54" s="32">
        <v>1.0</v>
      </c>
      <c r="F54" s="32">
        <v>1.0</v>
      </c>
      <c r="G54" s="32">
        <v>1.0</v>
      </c>
      <c r="H54" s="32">
        <v>1.0</v>
      </c>
      <c r="I54" s="32">
        <v>1.0</v>
      </c>
      <c r="J54" s="174" t="s">
        <v>545</v>
      </c>
      <c r="K54" s="3"/>
      <c r="L54" s="3"/>
      <c r="M54" s="3"/>
      <c r="N54" s="3"/>
      <c r="O54" s="3"/>
      <c r="P54" s="3"/>
      <c r="Q54" s="3"/>
      <c r="R54" s="3"/>
      <c r="S54" s="3"/>
      <c r="T54" s="4"/>
    </row>
    <row r="55" ht="30.0" customHeight="1">
      <c r="A55" s="104" t="s">
        <v>547</v>
      </c>
      <c r="B55" s="118" t="s">
        <v>543</v>
      </c>
      <c r="C55" s="118" t="s">
        <v>544</v>
      </c>
      <c r="D55" s="32">
        <v>1.0</v>
      </c>
      <c r="E55" s="32">
        <v>1.0</v>
      </c>
      <c r="F55" s="32">
        <v>1.0</v>
      </c>
      <c r="G55" s="32">
        <v>1.0</v>
      </c>
      <c r="H55" s="32">
        <v>1.0</v>
      </c>
      <c r="I55" s="32">
        <v>1.0</v>
      </c>
      <c r="J55" s="174" t="s">
        <v>548</v>
      </c>
      <c r="K55" s="3"/>
      <c r="L55" s="3"/>
      <c r="M55" s="3"/>
      <c r="N55" s="3"/>
      <c r="O55" s="3"/>
      <c r="P55" s="3"/>
      <c r="Q55" s="3"/>
      <c r="R55" s="3"/>
      <c r="S55" s="3"/>
      <c r="T55" s="4"/>
    </row>
    <row r="56" ht="30.0" customHeight="1">
      <c r="A56" s="104" t="s">
        <v>549</v>
      </c>
      <c r="B56" s="118" t="s">
        <v>550</v>
      </c>
      <c r="C56" s="118" t="s">
        <v>138</v>
      </c>
      <c r="D56" s="32">
        <v>1.0</v>
      </c>
      <c r="E56" s="62">
        <v>0.0</v>
      </c>
      <c r="F56" s="62">
        <v>0.0</v>
      </c>
      <c r="G56" s="62">
        <v>0.0</v>
      </c>
      <c r="H56" s="62">
        <v>0.0</v>
      </c>
      <c r="I56" s="62">
        <v>0.0</v>
      </c>
      <c r="J56" s="174" t="s">
        <v>551</v>
      </c>
      <c r="K56" s="3"/>
      <c r="L56" s="3"/>
      <c r="M56" s="3"/>
      <c r="N56" s="3"/>
      <c r="O56" s="3"/>
      <c r="P56" s="3"/>
      <c r="Q56" s="3"/>
      <c r="R56" s="3"/>
      <c r="S56" s="3"/>
      <c r="T56" s="4"/>
    </row>
    <row r="57" ht="30.0" customHeight="1">
      <c r="A57" s="104" t="s">
        <v>552</v>
      </c>
      <c r="B57" s="118" t="s">
        <v>550</v>
      </c>
      <c r="C57" s="118" t="s">
        <v>138</v>
      </c>
      <c r="D57" s="62">
        <v>0.0</v>
      </c>
      <c r="E57" s="32">
        <v>1.0</v>
      </c>
      <c r="F57" s="62">
        <v>0.0</v>
      </c>
      <c r="G57" s="62">
        <v>0.0</v>
      </c>
      <c r="H57" s="62">
        <v>0.0</v>
      </c>
      <c r="I57" s="62">
        <v>0.0</v>
      </c>
      <c r="J57" s="174" t="s">
        <v>553</v>
      </c>
      <c r="K57" s="3"/>
      <c r="L57" s="3"/>
      <c r="M57" s="3"/>
      <c r="N57" s="3"/>
      <c r="O57" s="3"/>
      <c r="P57" s="3"/>
      <c r="Q57" s="3"/>
      <c r="R57" s="3"/>
      <c r="S57" s="3"/>
      <c r="T57" s="4"/>
    </row>
    <row r="58" ht="30.0" customHeight="1">
      <c r="A58" s="104" t="s">
        <v>463</v>
      </c>
      <c r="B58" s="118" t="s">
        <v>550</v>
      </c>
      <c r="C58" s="118" t="s">
        <v>544</v>
      </c>
      <c r="D58" s="62">
        <v>0.0</v>
      </c>
      <c r="E58" s="62">
        <v>0.0</v>
      </c>
      <c r="F58" s="32">
        <v>1.0</v>
      </c>
      <c r="G58" s="62">
        <v>0.0</v>
      </c>
      <c r="H58" s="62">
        <v>0.0</v>
      </c>
      <c r="I58" s="62">
        <v>0.0</v>
      </c>
      <c r="J58" s="174" t="s">
        <v>555</v>
      </c>
      <c r="K58" s="3"/>
      <c r="L58" s="3"/>
      <c r="M58" s="3"/>
      <c r="N58" s="3"/>
      <c r="O58" s="3"/>
      <c r="P58" s="3"/>
      <c r="Q58" s="3"/>
      <c r="R58" s="3"/>
      <c r="S58" s="3"/>
      <c r="T58" s="4"/>
    </row>
    <row r="59" ht="30.0" customHeight="1">
      <c r="A59" s="104" t="s">
        <v>464</v>
      </c>
      <c r="B59" s="118" t="s">
        <v>550</v>
      </c>
      <c r="C59" s="118" t="s">
        <v>138</v>
      </c>
      <c r="D59" s="62">
        <v>0.0</v>
      </c>
      <c r="E59" s="62">
        <v>0.0</v>
      </c>
      <c r="F59" s="62">
        <v>0.0</v>
      </c>
      <c r="G59" s="32">
        <v>1.0</v>
      </c>
      <c r="H59" s="62">
        <v>0.0</v>
      </c>
      <c r="I59" s="62">
        <v>0.0</v>
      </c>
      <c r="J59" s="174" t="s">
        <v>556</v>
      </c>
      <c r="K59" s="3"/>
      <c r="L59" s="3"/>
      <c r="M59" s="3"/>
      <c r="N59" s="3"/>
      <c r="O59" s="3"/>
      <c r="P59" s="3"/>
      <c r="Q59" s="3"/>
      <c r="R59" s="3"/>
      <c r="S59" s="3"/>
      <c r="T59" s="4"/>
    </row>
    <row r="60" ht="30.0" customHeight="1">
      <c r="A60" s="104" t="s">
        <v>465</v>
      </c>
      <c r="B60" s="118" t="s">
        <v>550</v>
      </c>
      <c r="C60" s="118" t="s">
        <v>138</v>
      </c>
      <c r="D60" s="62">
        <v>0.0</v>
      </c>
      <c r="E60" s="62">
        <v>0.0</v>
      </c>
      <c r="F60" s="62">
        <v>0.0</v>
      </c>
      <c r="G60" s="62">
        <v>0.0</v>
      </c>
      <c r="H60" s="34">
        <f>'Parametros Recargas'!$B$16</f>
        <v>0.25</v>
      </c>
      <c r="I60" s="62">
        <v>0.0</v>
      </c>
      <c r="J60" s="174" t="s">
        <v>557</v>
      </c>
      <c r="K60" s="3"/>
      <c r="L60" s="3"/>
      <c r="M60" s="3"/>
      <c r="N60" s="3"/>
      <c r="O60" s="3"/>
      <c r="P60" s="3"/>
      <c r="Q60" s="3"/>
      <c r="R60" s="3"/>
      <c r="S60" s="3"/>
      <c r="T60" s="4"/>
    </row>
    <row r="61" ht="30.0" customHeight="1">
      <c r="A61" s="104" t="s">
        <v>558</v>
      </c>
      <c r="B61" s="118" t="s">
        <v>550</v>
      </c>
      <c r="C61" s="118" t="s">
        <v>138</v>
      </c>
      <c r="D61" s="62">
        <v>0.0</v>
      </c>
      <c r="E61" s="62">
        <v>0.0</v>
      </c>
      <c r="F61" s="62">
        <v>0.0</v>
      </c>
      <c r="G61" s="62">
        <v>0.0</v>
      </c>
      <c r="H61" s="62">
        <v>0.0</v>
      </c>
      <c r="I61" s="34">
        <f>'Parametros Recargas'!$B$16</f>
        <v>0.25</v>
      </c>
      <c r="J61" s="174" t="s">
        <v>560</v>
      </c>
      <c r="K61" s="3"/>
      <c r="L61" s="3"/>
      <c r="M61" s="3"/>
      <c r="N61" s="3"/>
      <c r="O61" s="3"/>
      <c r="P61" s="3"/>
      <c r="Q61" s="3"/>
      <c r="R61" s="3"/>
      <c r="S61" s="3"/>
      <c r="T61" s="4"/>
    </row>
    <row r="62" ht="30.0" customHeight="1">
      <c r="A62" s="104" t="s">
        <v>328</v>
      </c>
      <c r="B62" s="118" t="s">
        <v>543</v>
      </c>
      <c r="C62" s="118" t="s">
        <v>544</v>
      </c>
      <c r="D62" s="32">
        <v>1.0</v>
      </c>
      <c r="E62" s="32">
        <v>1.0</v>
      </c>
      <c r="F62" s="32">
        <v>1.0</v>
      </c>
      <c r="G62" s="32">
        <v>1.0</v>
      </c>
      <c r="H62" s="34">
        <f>'Parametros Recargas'!$B$15</f>
        <v>0.35</v>
      </c>
      <c r="I62" s="34">
        <f>'Parametros Recargas'!$B$15</f>
        <v>0.35</v>
      </c>
      <c r="J62" s="174" t="s">
        <v>561</v>
      </c>
      <c r="K62" s="3"/>
      <c r="L62" s="3"/>
      <c r="M62" s="3"/>
      <c r="N62" s="3"/>
      <c r="O62" s="3"/>
      <c r="P62" s="3"/>
      <c r="Q62" s="3"/>
      <c r="R62" s="3"/>
      <c r="S62" s="3"/>
      <c r="T62" s="4"/>
    </row>
    <row r="63" ht="30.0" customHeight="1">
      <c r="A63" s="104" t="s">
        <v>469</v>
      </c>
      <c r="B63" s="118" t="s">
        <v>550</v>
      </c>
      <c r="C63" s="118" t="s">
        <v>138</v>
      </c>
      <c r="D63" s="34">
        <f>'Parametros Recargas'!$B$17</f>
        <v>0.1</v>
      </c>
      <c r="E63" s="34">
        <f>'Parametros Recargas'!$B$17</f>
        <v>0.1</v>
      </c>
      <c r="F63" s="62">
        <v>0.0</v>
      </c>
      <c r="G63" s="62">
        <v>0.0</v>
      </c>
      <c r="H63" s="62">
        <v>0.0</v>
      </c>
      <c r="I63" s="62">
        <v>0.0</v>
      </c>
      <c r="J63" s="174" t="s">
        <v>562</v>
      </c>
      <c r="K63" s="3"/>
      <c r="L63" s="3"/>
      <c r="M63" s="3"/>
      <c r="N63" s="3"/>
      <c r="O63" s="3"/>
      <c r="P63" s="3"/>
      <c r="Q63" s="3"/>
      <c r="R63" s="3"/>
      <c r="S63" s="3"/>
      <c r="T63" s="4"/>
    </row>
    <row r="64" ht="30.0" customHeight="1">
      <c r="A64" s="104" t="s">
        <v>470</v>
      </c>
      <c r="B64" s="118" t="s">
        <v>550</v>
      </c>
      <c r="C64" s="118" t="s">
        <v>544</v>
      </c>
      <c r="D64" s="62">
        <v>0.0</v>
      </c>
      <c r="E64" s="62">
        <v>0.0</v>
      </c>
      <c r="F64" s="62">
        <v>0.0</v>
      </c>
      <c r="G64" s="32">
        <v>1.0</v>
      </c>
      <c r="H64" s="62">
        <v>0.0</v>
      </c>
      <c r="I64" s="62">
        <v>0.0</v>
      </c>
      <c r="J64" s="174" t="s">
        <v>563</v>
      </c>
      <c r="K64" s="3"/>
      <c r="L64" s="3"/>
      <c r="M64" s="3"/>
      <c r="N64" s="3"/>
      <c r="O64" s="3"/>
      <c r="P64" s="3"/>
      <c r="Q64" s="3"/>
      <c r="R64" s="3"/>
      <c r="S64" s="3"/>
      <c r="T64" s="4"/>
    </row>
    <row r="65" ht="30.0" customHeight="1">
      <c r="A65" s="104" t="s">
        <v>70</v>
      </c>
      <c r="B65" s="118" t="s">
        <v>543</v>
      </c>
      <c r="C65" s="118" t="s">
        <v>138</v>
      </c>
      <c r="D65" s="34">
        <f>'Parametros Recargas'!$B$12</f>
        <v>0.25</v>
      </c>
      <c r="E65" s="34">
        <f>'Parametros Recargas'!$B$12</f>
        <v>0.25</v>
      </c>
      <c r="F65" s="34">
        <f>'Parametros Recargas'!$B$12</f>
        <v>0.25</v>
      </c>
      <c r="G65" s="34">
        <f>'Parametros Recargas'!$B$13</f>
        <v>0.5</v>
      </c>
      <c r="H65" s="34">
        <f>'Parametros Recargas'!$B$12</f>
        <v>0.25</v>
      </c>
      <c r="I65" s="34">
        <f>'Parametros Recargas'!$B$12</f>
        <v>0.25</v>
      </c>
      <c r="J65" s="174" t="s">
        <v>564</v>
      </c>
      <c r="K65" s="3"/>
      <c r="L65" s="3"/>
      <c r="M65" s="3"/>
      <c r="N65" s="3"/>
      <c r="O65" s="3"/>
      <c r="P65" s="3"/>
      <c r="Q65" s="3"/>
      <c r="R65" s="3"/>
      <c r="S65" s="3"/>
      <c r="T65" s="4"/>
    </row>
    <row r="66" ht="30.0" customHeight="1">
      <c r="A66" s="104" t="s">
        <v>565</v>
      </c>
      <c r="B66" s="118" t="s">
        <v>543</v>
      </c>
      <c r="C66" s="118" t="s">
        <v>138</v>
      </c>
      <c r="D66" s="34">
        <f>'Parametros Recargas'!$B$12</f>
        <v>0.25</v>
      </c>
      <c r="E66" s="34">
        <f>'Parametros Recargas'!$B$12</f>
        <v>0.25</v>
      </c>
      <c r="F66" s="34">
        <f>'Parametros Recargas'!$B$12</f>
        <v>0.25</v>
      </c>
      <c r="G66" s="62">
        <v>0.0</v>
      </c>
      <c r="H66" s="34">
        <f>'Parametros Recargas'!$B$12</f>
        <v>0.25</v>
      </c>
      <c r="I66" s="34">
        <f>'Parametros Recargas'!$B$12</f>
        <v>0.25</v>
      </c>
      <c r="J66" s="174" t="s">
        <v>567</v>
      </c>
      <c r="K66" s="3"/>
      <c r="L66" s="3"/>
      <c r="M66" s="3"/>
      <c r="N66" s="3"/>
      <c r="O66" s="3"/>
      <c r="P66" s="3"/>
      <c r="Q66" s="3"/>
      <c r="R66" s="3"/>
      <c r="S66" s="3"/>
      <c r="T66" s="4"/>
    </row>
    <row r="67" ht="30.0" customHeight="1">
      <c r="A67" s="104" t="s">
        <v>500</v>
      </c>
      <c r="B67" s="118" t="s">
        <v>550</v>
      </c>
      <c r="C67" s="118" t="s">
        <v>138</v>
      </c>
      <c r="D67" s="32">
        <v>1.0</v>
      </c>
      <c r="E67" s="62">
        <v>0.0</v>
      </c>
      <c r="F67" s="62">
        <v>0.0</v>
      </c>
      <c r="G67" s="62">
        <v>0.0</v>
      </c>
      <c r="H67" s="62">
        <v>0.0</v>
      </c>
      <c r="I67" s="62">
        <v>0.0</v>
      </c>
      <c r="J67" s="174" t="s">
        <v>568</v>
      </c>
      <c r="K67" s="3"/>
      <c r="L67" s="3"/>
      <c r="M67" s="3"/>
      <c r="N67" s="3"/>
      <c r="O67" s="3"/>
      <c r="P67" s="3"/>
      <c r="Q67" s="3"/>
      <c r="R67" s="3"/>
      <c r="S67" s="3"/>
      <c r="T67" s="4"/>
    </row>
    <row r="68" ht="30.0" customHeight="1">
      <c r="A68" s="104" t="s">
        <v>522</v>
      </c>
      <c r="B68" s="118" t="s">
        <v>550</v>
      </c>
      <c r="C68" s="118" t="s">
        <v>138</v>
      </c>
      <c r="D68" s="62">
        <v>0.0</v>
      </c>
      <c r="E68" s="32">
        <v>1.0</v>
      </c>
      <c r="F68" s="62">
        <v>0.0</v>
      </c>
      <c r="G68" s="62">
        <v>0.0</v>
      </c>
      <c r="H68" s="62">
        <v>0.0</v>
      </c>
      <c r="I68" s="62">
        <v>0.0</v>
      </c>
      <c r="J68" s="174" t="s">
        <v>569</v>
      </c>
      <c r="K68" s="3"/>
      <c r="L68" s="3"/>
      <c r="M68" s="3"/>
      <c r="N68" s="3"/>
      <c r="O68" s="3"/>
      <c r="P68" s="3"/>
      <c r="Q68" s="3"/>
      <c r="R68" s="3"/>
      <c r="S68" s="3"/>
      <c r="T68" s="4"/>
    </row>
    <row r="69" ht="30.0" customHeight="1">
      <c r="A69" s="104" t="s">
        <v>529</v>
      </c>
      <c r="B69" s="118" t="s">
        <v>550</v>
      </c>
      <c r="C69" s="118" t="s">
        <v>544</v>
      </c>
      <c r="D69" s="62">
        <v>0.0</v>
      </c>
      <c r="E69" s="62">
        <v>0.0</v>
      </c>
      <c r="F69" s="32">
        <v>1.0</v>
      </c>
      <c r="G69" s="62">
        <v>0.0</v>
      </c>
      <c r="H69" s="62">
        <v>0.0</v>
      </c>
      <c r="I69" s="62">
        <v>0.0</v>
      </c>
      <c r="J69" s="174" t="s">
        <v>570</v>
      </c>
      <c r="K69" s="3"/>
      <c r="L69" s="3"/>
      <c r="M69" s="3"/>
      <c r="N69" s="3"/>
      <c r="O69" s="3"/>
      <c r="P69" s="3"/>
      <c r="Q69" s="3"/>
      <c r="R69" s="3"/>
      <c r="S69" s="3"/>
      <c r="T69" s="4"/>
    </row>
    <row r="70" ht="30.0" customHeight="1">
      <c r="A70" s="104" t="s">
        <v>531</v>
      </c>
      <c r="B70" s="118" t="s">
        <v>550</v>
      </c>
      <c r="C70" s="118" t="s">
        <v>138</v>
      </c>
      <c r="D70" s="62">
        <v>0.0</v>
      </c>
      <c r="E70" s="62">
        <v>0.0</v>
      </c>
      <c r="F70" s="62">
        <v>0.0</v>
      </c>
      <c r="G70" s="32">
        <v>1.0</v>
      </c>
      <c r="H70" s="62">
        <v>0.0</v>
      </c>
      <c r="I70" s="62">
        <v>0.0</v>
      </c>
      <c r="J70" s="174" t="s">
        <v>571</v>
      </c>
      <c r="K70" s="3"/>
      <c r="L70" s="3"/>
      <c r="M70" s="3"/>
      <c r="N70" s="3"/>
      <c r="O70" s="3"/>
      <c r="P70" s="3"/>
      <c r="Q70" s="3"/>
      <c r="R70" s="3"/>
      <c r="S70" s="3"/>
      <c r="T70" s="4"/>
    </row>
    <row r="71" ht="30.0" customHeight="1">
      <c r="A71" s="104" t="s">
        <v>533</v>
      </c>
      <c r="B71" s="118" t="s">
        <v>550</v>
      </c>
      <c r="C71" s="118" t="s">
        <v>138</v>
      </c>
      <c r="D71" s="62">
        <v>0.0</v>
      </c>
      <c r="E71" s="62">
        <v>0.0</v>
      </c>
      <c r="F71" s="62">
        <v>0.0</v>
      </c>
      <c r="G71" s="62">
        <v>0.0</v>
      </c>
      <c r="H71" s="34">
        <f>'Parametros Recargas'!$B$15</f>
        <v>0.35</v>
      </c>
      <c r="I71" s="62">
        <v>0.0</v>
      </c>
      <c r="J71" s="174" t="s">
        <v>572</v>
      </c>
      <c r="K71" s="3"/>
      <c r="L71" s="3"/>
      <c r="M71" s="3"/>
      <c r="N71" s="3"/>
      <c r="O71" s="3"/>
      <c r="P71" s="3"/>
      <c r="Q71" s="3"/>
      <c r="R71" s="3"/>
      <c r="S71" s="3"/>
      <c r="T71" s="4"/>
    </row>
    <row r="72" ht="30.0" customHeight="1">
      <c r="A72" s="104" t="s">
        <v>535</v>
      </c>
      <c r="B72" s="118" t="s">
        <v>550</v>
      </c>
      <c r="C72" s="118" t="s">
        <v>138</v>
      </c>
      <c r="D72" s="62">
        <v>0.0</v>
      </c>
      <c r="E72" s="62">
        <v>0.0</v>
      </c>
      <c r="F72" s="62">
        <v>0.0</v>
      </c>
      <c r="G72" s="62">
        <v>0.0</v>
      </c>
      <c r="H72" s="62">
        <v>0.0</v>
      </c>
      <c r="I72" s="34">
        <f>'Parametros Recargas'!$B$15</f>
        <v>0.35</v>
      </c>
      <c r="J72" s="174" t="s">
        <v>573</v>
      </c>
      <c r="K72" s="3"/>
      <c r="L72" s="3"/>
      <c r="M72" s="3"/>
      <c r="N72" s="3"/>
      <c r="O72" s="3"/>
      <c r="P72" s="3"/>
      <c r="Q72" s="3"/>
      <c r="R72" s="3"/>
      <c r="S72" s="3"/>
      <c r="T72" s="4"/>
    </row>
    <row r="73" ht="30.0" customHeight="1">
      <c r="A73" s="104" t="s">
        <v>81</v>
      </c>
      <c r="B73" s="118" t="s">
        <v>543</v>
      </c>
      <c r="C73" s="118" t="s">
        <v>544</v>
      </c>
      <c r="D73" s="32">
        <v>1.0</v>
      </c>
      <c r="E73" s="32">
        <v>1.0</v>
      </c>
      <c r="F73" s="32">
        <v>1.0</v>
      </c>
      <c r="G73" s="32">
        <v>1.0</v>
      </c>
      <c r="H73" s="34">
        <f>'Parametros Recargas'!$B$15</f>
        <v>0.35</v>
      </c>
      <c r="I73" s="34">
        <f>'Parametros Recargas'!$B$15</f>
        <v>0.35</v>
      </c>
      <c r="J73" s="174" t="s">
        <v>575</v>
      </c>
      <c r="K73" s="3"/>
      <c r="L73" s="3"/>
      <c r="M73" s="3"/>
      <c r="N73" s="3"/>
      <c r="O73" s="3"/>
      <c r="P73" s="3"/>
      <c r="Q73" s="3"/>
      <c r="R73" s="3"/>
      <c r="S73" s="3"/>
      <c r="T73" s="4"/>
    </row>
    <row r="74" ht="30.0" customHeight="1">
      <c r="A74" s="104" t="s">
        <v>576</v>
      </c>
      <c r="B74" s="118" t="s">
        <v>543</v>
      </c>
      <c r="C74" s="118" t="s">
        <v>138</v>
      </c>
      <c r="D74" s="32">
        <v>1.0</v>
      </c>
      <c r="E74" s="32">
        <v>1.0</v>
      </c>
      <c r="F74" s="32">
        <v>1.0</v>
      </c>
      <c r="G74" s="32">
        <v>1.0</v>
      </c>
      <c r="H74" s="62">
        <v>0.0</v>
      </c>
      <c r="I74" s="34">
        <f>'Parametros Recargas'!$B$15</f>
        <v>0.35</v>
      </c>
      <c r="J74" s="174" t="s">
        <v>577</v>
      </c>
      <c r="K74" s="3"/>
      <c r="L74" s="3"/>
      <c r="M74" s="3"/>
      <c r="N74" s="3"/>
      <c r="O74" s="3"/>
      <c r="P74" s="3"/>
      <c r="Q74" s="3"/>
      <c r="R74" s="3"/>
      <c r="S74" s="3"/>
      <c r="T74" s="4"/>
    </row>
    <row r="75" ht="30.0" customHeight="1">
      <c r="A75" s="104" t="s">
        <v>578</v>
      </c>
      <c r="B75" s="118" t="s">
        <v>543</v>
      </c>
      <c r="C75" s="118" t="s">
        <v>138</v>
      </c>
      <c r="D75" s="62">
        <v>0.0</v>
      </c>
      <c r="E75" s="62">
        <v>0.0</v>
      </c>
      <c r="F75" s="62">
        <v>0.0</v>
      </c>
      <c r="G75" s="62">
        <v>0.0</v>
      </c>
      <c r="H75" s="32">
        <v>1.0</v>
      </c>
      <c r="I75" s="32">
        <v>1.0</v>
      </c>
      <c r="J75" s="174" t="s">
        <v>579</v>
      </c>
      <c r="K75" s="3"/>
      <c r="L75" s="3"/>
      <c r="M75" s="3"/>
      <c r="N75" s="3"/>
      <c r="O75" s="3"/>
      <c r="P75" s="3"/>
      <c r="Q75" s="3"/>
      <c r="R75" s="3"/>
      <c r="S75" s="3"/>
      <c r="T75" s="4"/>
    </row>
    <row r="76" ht="30.0" customHeight="1">
      <c r="A76" s="104" t="s">
        <v>580</v>
      </c>
      <c r="B76" s="118" t="s">
        <v>543</v>
      </c>
      <c r="C76" s="118" t="s">
        <v>138</v>
      </c>
      <c r="D76" s="32">
        <v>1.0</v>
      </c>
      <c r="E76" s="32">
        <v>1.0</v>
      </c>
      <c r="F76" s="32">
        <v>1.0</v>
      </c>
      <c r="G76" s="32">
        <v>1.0</v>
      </c>
      <c r="H76" s="32">
        <v>1.0</v>
      </c>
      <c r="I76" s="32">
        <v>1.0</v>
      </c>
      <c r="J76" s="174" t="s">
        <v>581</v>
      </c>
      <c r="K76" s="3"/>
      <c r="L76" s="3"/>
      <c r="M76" s="3"/>
      <c r="N76" s="3"/>
      <c r="O76" s="3"/>
      <c r="P76" s="3"/>
      <c r="Q76" s="3"/>
      <c r="R76" s="3"/>
      <c r="S76" s="3"/>
      <c r="T76" s="4"/>
    </row>
    <row r="77" ht="30.0" customHeight="1">
      <c r="A77" s="104" t="s">
        <v>582</v>
      </c>
      <c r="B77" s="118" t="s">
        <v>543</v>
      </c>
      <c r="C77" s="118" t="s">
        <v>138</v>
      </c>
      <c r="D77" s="34">
        <f>'Parametros Recargas'!$B$22</f>
        <v>0.15</v>
      </c>
      <c r="E77" s="34">
        <f>'Parametros Recargas'!$B$22</f>
        <v>0.15</v>
      </c>
      <c r="F77" s="34">
        <f>'Parametros Recargas'!$B$22</f>
        <v>0.15</v>
      </c>
      <c r="G77" s="34">
        <f>'Parametros Recargas'!$B$22</f>
        <v>0.15</v>
      </c>
      <c r="H77" s="34">
        <f>'Parametros Recargas'!$B$22</f>
        <v>0.15</v>
      </c>
      <c r="I77" s="34">
        <f>'Parametros Recargas'!$B$22</f>
        <v>0.15</v>
      </c>
      <c r="J77" s="174" t="s">
        <v>584</v>
      </c>
      <c r="K77" s="3"/>
      <c r="L77" s="3"/>
      <c r="M77" s="3"/>
      <c r="N77" s="3"/>
      <c r="O77" s="3"/>
      <c r="P77" s="3"/>
      <c r="Q77" s="3"/>
      <c r="R77" s="3"/>
      <c r="S77" s="3"/>
      <c r="T77" s="4"/>
    </row>
    <row r="78" ht="30.0" customHeight="1">
      <c r="A78" s="104" t="s">
        <v>585</v>
      </c>
      <c r="B78" s="118" t="s">
        <v>543</v>
      </c>
      <c r="C78" s="118" t="s">
        <v>544</v>
      </c>
      <c r="D78" s="32">
        <v>1.0</v>
      </c>
      <c r="E78" s="32">
        <v>1.0</v>
      </c>
      <c r="F78" s="32">
        <v>1.0</v>
      </c>
      <c r="G78" s="32">
        <v>1.0</v>
      </c>
      <c r="H78" s="32">
        <v>1.0</v>
      </c>
      <c r="I78" s="32">
        <v>1.0</v>
      </c>
      <c r="J78" s="174" t="s">
        <v>586</v>
      </c>
      <c r="K78" s="3"/>
      <c r="L78" s="3"/>
      <c r="M78" s="3"/>
      <c r="N78" s="3"/>
      <c r="O78" s="3"/>
      <c r="P78" s="3"/>
      <c r="Q78" s="3"/>
      <c r="R78" s="3"/>
      <c r="S78" s="3"/>
      <c r="T78" s="4"/>
    </row>
    <row r="79" ht="30.0" customHeight="1">
      <c r="A79" s="104" t="s">
        <v>334</v>
      </c>
      <c r="B79" s="118" t="s">
        <v>543</v>
      </c>
      <c r="C79" s="118" t="s">
        <v>544</v>
      </c>
      <c r="D79" s="32">
        <v>1.0</v>
      </c>
      <c r="E79" s="32">
        <v>1.0</v>
      </c>
      <c r="F79" s="32">
        <v>1.0</v>
      </c>
      <c r="G79" s="32">
        <v>1.0</v>
      </c>
      <c r="H79" s="32">
        <v>1.0</v>
      </c>
      <c r="I79" s="32">
        <v>1.0</v>
      </c>
      <c r="J79" s="174" t="s">
        <v>587</v>
      </c>
      <c r="K79" s="3"/>
      <c r="L79" s="3"/>
      <c r="M79" s="3"/>
      <c r="N79" s="3"/>
      <c r="O79" s="3"/>
      <c r="P79" s="3"/>
      <c r="Q79" s="3"/>
      <c r="R79" s="3"/>
      <c r="S79" s="3"/>
      <c r="T79" s="4"/>
    </row>
    <row r="80" ht="15.75" customHeight="1"/>
    <row r="81" ht="15.75" customHeight="1"/>
    <row r="82" ht="15.0" customHeight="1">
      <c r="A82" s="128" t="s">
        <v>588</v>
      </c>
      <c r="B82" s="3"/>
      <c r="C82" s="3"/>
      <c r="D82" s="3"/>
      <c r="E82" s="3"/>
      <c r="F82" s="3"/>
      <c r="G82" s="3"/>
      <c r="H82" s="3"/>
      <c r="I82" s="3"/>
      <c r="J82" s="3"/>
      <c r="K82" s="3"/>
      <c r="L82" s="3"/>
      <c r="M82" s="3"/>
      <c r="N82" s="3"/>
      <c r="O82" s="3"/>
      <c r="P82" s="3"/>
      <c r="Q82" s="3"/>
      <c r="R82" s="3"/>
      <c r="S82" s="3"/>
      <c r="T82" s="130"/>
    </row>
    <row r="83" ht="15.75" customHeight="1">
      <c r="A83" s="165" t="s">
        <v>132</v>
      </c>
      <c r="B83" s="46">
        <f>B4</f>
        <v>20</v>
      </c>
      <c r="C83" s="165" t="s">
        <v>133</v>
      </c>
      <c r="D83" s="46">
        <f>D4</f>
        <v>7.5</v>
      </c>
      <c r="E83" s="165" t="s">
        <v>281</v>
      </c>
      <c r="F83" s="46">
        <f>B4*D4</f>
        <v>150</v>
      </c>
    </row>
    <row r="84" ht="42.0" customHeight="1">
      <c r="A84" s="29" t="s">
        <v>22</v>
      </c>
      <c r="B84" s="29" t="s">
        <v>137</v>
      </c>
      <c r="C84" s="29" t="s">
        <v>138</v>
      </c>
      <c r="D84" s="29" t="s">
        <v>139</v>
      </c>
      <c r="E84" s="29" t="s">
        <v>140</v>
      </c>
      <c r="F84" s="29" t="s">
        <v>141</v>
      </c>
      <c r="G84" s="29" t="s">
        <v>142</v>
      </c>
      <c r="H84" s="29" t="s">
        <v>143</v>
      </c>
      <c r="I84" s="29" t="s">
        <v>144</v>
      </c>
      <c r="J84" s="29" t="s">
        <v>145</v>
      </c>
      <c r="K84" s="29" t="s">
        <v>146</v>
      </c>
      <c r="L84" s="29" t="s">
        <v>147</v>
      </c>
      <c r="M84" s="29" t="s">
        <v>148</v>
      </c>
      <c r="N84" s="29" t="s">
        <v>149</v>
      </c>
      <c r="O84" s="29" t="s">
        <v>150</v>
      </c>
      <c r="P84" s="29" t="s">
        <v>151</v>
      </c>
      <c r="Q84" s="29" t="s">
        <v>152</v>
      </c>
      <c r="R84" s="29" t="s">
        <v>153</v>
      </c>
      <c r="S84" s="29" t="s">
        <v>154</v>
      </c>
      <c r="T84" s="29" t="s">
        <v>155</v>
      </c>
      <c r="U84" s="29" t="s">
        <v>589</v>
      </c>
    </row>
    <row r="85" ht="39.75" customHeight="1">
      <c r="A85" s="131" t="s">
        <v>542</v>
      </c>
      <c r="B85" s="70"/>
      <c r="C85" s="70"/>
      <c r="D85" s="59">
        <v>30.0</v>
      </c>
      <c r="E85" s="60">
        <f t="shared" ref="E85:E110" si="51">1/D85</f>
        <v>0.03333333333</v>
      </c>
      <c r="F85" s="59">
        <f t="shared" ref="F85:F110" si="52">60/D85</f>
        <v>2</v>
      </c>
      <c r="G85" s="46">
        <f t="shared" ref="G85:G110" si="53">3600/D85</f>
        <v>120</v>
      </c>
      <c r="H85" s="61">
        <v>5.0</v>
      </c>
      <c r="I85" s="61">
        <v>5.0</v>
      </c>
      <c r="J85" s="62">
        <v>0.8</v>
      </c>
      <c r="K85" s="63">
        <f t="shared" ref="K85:K110" si="54">I85+H85+3600/G85</f>
        <v>40</v>
      </c>
      <c r="L85" s="63">
        <f t="shared" ref="L85:L110" si="55">K85/J85</f>
        <v>50</v>
      </c>
      <c r="M85" s="63">
        <f t="shared" ref="M85:M110" si="56">3600/L85*S85</f>
        <v>72</v>
      </c>
      <c r="N85" s="64">
        <f t="shared" ref="N85:N110" si="57">$F$83*M85</f>
        <v>10800</v>
      </c>
      <c r="O85" s="118"/>
      <c r="P85" s="61">
        <v>0.0</v>
      </c>
      <c r="Q85" s="61">
        <v>0.0</v>
      </c>
      <c r="R85" s="133">
        <f t="shared" ref="R85:R110" si="58">P85*Q85/60</f>
        <v>0</v>
      </c>
      <c r="S85" s="66">
        <f t="shared" ref="S85:S110" si="59">MAX(0,1-R85/$F$83)</f>
        <v>1</v>
      </c>
      <c r="T85" s="136"/>
      <c r="U85" s="41">
        <v>1.0</v>
      </c>
    </row>
    <row r="86" ht="39.75" customHeight="1">
      <c r="A86" s="131" t="s">
        <v>547</v>
      </c>
      <c r="B86" s="70" t="s">
        <v>592</v>
      </c>
      <c r="C86" s="70" t="s">
        <v>56</v>
      </c>
      <c r="D86" s="59">
        <v>45.0</v>
      </c>
      <c r="E86" s="60">
        <f t="shared" si="51"/>
        <v>0.02222222222</v>
      </c>
      <c r="F86" s="59">
        <f t="shared" si="52"/>
        <v>1.333333333</v>
      </c>
      <c r="G86" s="46">
        <f t="shared" si="53"/>
        <v>80</v>
      </c>
      <c r="H86" s="61">
        <v>5.0</v>
      </c>
      <c r="I86" s="61">
        <v>5.0</v>
      </c>
      <c r="J86" s="62">
        <v>0.8</v>
      </c>
      <c r="K86" s="63">
        <f t="shared" si="54"/>
        <v>55</v>
      </c>
      <c r="L86" s="63">
        <f t="shared" si="55"/>
        <v>68.75</v>
      </c>
      <c r="M86" s="63">
        <f t="shared" si="56"/>
        <v>52.36363636</v>
      </c>
      <c r="N86" s="64">
        <f t="shared" si="57"/>
        <v>7854.545455</v>
      </c>
      <c r="O86" s="118"/>
      <c r="P86" s="61">
        <v>0.0</v>
      </c>
      <c r="Q86" s="61">
        <v>0.0</v>
      </c>
      <c r="R86" s="133">
        <f t="shared" si="58"/>
        <v>0</v>
      </c>
      <c r="S86" s="66">
        <f t="shared" si="59"/>
        <v>1</v>
      </c>
      <c r="T86" s="136"/>
      <c r="U86" s="41">
        <v>1.0</v>
      </c>
    </row>
    <row r="87" ht="39.75" customHeight="1">
      <c r="A87" s="131" t="s">
        <v>549</v>
      </c>
      <c r="B87" s="70"/>
      <c r="C87" s="70"/>
      <c r="D87" s="59">
        <v>90.0</v>
      </c>
      <c r="E87" s="60">
        <f t="shared" si="51"/>
        <v>0.01111111111</v>
      </c>
      <c r="F87" s="59">
        <f t="shared" si="52"/>
        <v>0.6666666667</v>
      </c>
      <c r="G87" s="46">
        <f t="shared" si="53"/>
        <v>40</v>
      </c>
      <c r="H87" s="61">
        <v>10.0</v>
      </c>
      <c r="I87" s="61">
        <v>5.0</v>
      </c>
      <c r="J87" s="62">
        <v>0.85</v>
      </c>
      <c r="K87" s="63">
        <f t="shared" si="54"/>
        <v>105</v>
      </c>
      <c r="L87" s="63">
        <f t="shared" si="55"/>
        <v>123.5294118</v>
      </c>
      <c r="M87" s="63">
        <f t="shared" si="56"/>
        <v>29.14285714</v>
      </c>
      <c r="N87" s="64">
        <f t="shared" si="57"/>
        <v>4371.428571</v>
      </c>
      <c r="O87" s="118" t="s">
        <v>379</v>
      </c>
      <c r="P87" s="61">
        <v>0.0</v>
      </c>
      <c r="Q87" s="61">
        <v>0.0</v>
      </c>
      <c r="R87" s="133">
        <f t="shared" si="58"/>
        <v>0</v>
      </c>
      <c r="S87" s="66">
        <f t="shared" si="59"/>
        <v>1</v>
      </c>
      <c r="T87" s="136"/>
      <c r="U87" s="41">
        <v>0.5</v>
      </c>
    </row>
    <row r="88" ht="39.75" customHeight="1">
      <c r="A88" s="131" t="s">
        <v>552</v>
      </c>
      <c r="B88" s="70"/>
      <c r="C88" s="70"/>
      <c r="D88" s="59">
        <v>90.0</v>
      </c>
      <c r="E88" s="60">
        <f t="shared" si="51"/>
        <v>0.01111111111</v>
      </c>
      <c r="F88" s="59">
        <f t="shared" si="52"/>
        <v>0.6666666667</v>
      </c>
      <c r="G88" s="46">
        <f t="shared" si="53"/>
        <v>40</v>
      </c>
      <c r="H88" s="61">
        <v>10.0</v>
      </c>
      <c r="I88" s="61">
        <v>5.0</v>
      </c>
      <c r="J88" s="62">
        <v>0.85</v>
      </c>
      <c r="K88" s="63">
        <f t="shared" si="54"/>
        <v>105</v>
      </c>
      <c r="L88" s="63">
        <f t="shared" si="55"/>
        <v>123.5294118</v>
      </c>
      <c r="M88" s="63">
        <f t="shared" si="56"/>
        <v>29.14285714</v>
      </c>
      <c r="N88" s="64">
        <f t="shared" si="57"/>
        <v>4371.428571</v>
      </c>
      <c r="O88" s="118" t="s">
        <v>398</v>
      </c>
      <c r="P88" s="61">
        <v>0.0</v>
      </c>
      <c r="Q88" s="61">
        <v>0.0</v>
      </c>
      <c r="R88" s="133">
        <f t="shared" si="58"/>
        <v>0</v>
      </c>
      <c r="S88" s="66">
        <f t="shared" si="59"/>
        <v>1</v>
      </c>
      <c r="T88" s="136" t="s">
        <v>594</v>
      </c>
      <c r="U88" s="41">
        <v>1.0</v>
      </c>
    </row>
    <row r="89" ht="39.75" customHeight="1">
      <c r="A89" s="131" t="s">
        <v>463</v>
      </c>
      <c r="B89" s="70"/>
      <c r="C89" s="70" t="s">
        <v>595</v>
      </c>
      <c r="D89" s="59">
        <v>180.0</v>
      </c>
      <c r="E89" s="60">
        <f t="shared" si="51"/>
        <v>0.005555555556</v>
      </c>
      <c r="F89" s="59">
        <f t="shared" si="52"/>
        <v>0.3333333333</v>
      </c>
      <c r="G89" s="46">
        <f t="shared" si="53"/>
        <v>20</v>
      </c>
      <c r="H89" s="61">
        <v>10.0</v>
      </c>
      <c r="I89" s="61">
        <v>10.0</v>
      </c>
      <c r="J89" s="62">
        <v>0.75</v>
      </c>
      <c r="K89" s="63">
        <f t="shared" si="54"/>
        <v>200</v>
      </c>
      <c r="L89" s="63">
        <f t="shared" si="55"/>
        <v>266.6666667</v>
      </c>
      <c r="M89" s="63">
        <f t="shared" si="56"/>
        <v>13.5</v>
      </c>
      <c r="N89" s="64">
        <f t="shared" si="57"/>
        <v>2025</v>
      </c>
      <c r="O89" s="118" t="s">
        <v>402</v>
      </c>
      <c r="P89" s="61">
        <v>0.0</v>
      </c>
      <c r="Q89" s="61">
        <v>0.0</v>
      </c>
      <c r="R89" s="133">
        <f t="shared" si="58"/>
        <v>0</v>
      </c>
      <c r="S89" s="66">
        <f t="shared" si="59"/>
        <v>1</v>
      </c>
      <c r="T89" s="136"/>
      <c r="U89" s="41">
        <v>1.0</v>
      </c>
    </row>
    <row r="90" ht="39.75" customHeight="1">
      <c r="A90" s="131" t="s">
        <v>464</v>
      </c>
      <c r="B90" s="70"/>
      <c r="C90" s="70" t="s">
        <v>597</v>
      </c>
      <c r="D90" s="59">
        <v>120.0</v>
      </c>
      <c r="E90" s="60">
        <f t="shared" si="51"/>
        <v>0.008333333333</v>
      </c>
      <c r="F90" s="59">
        <f t="shared" si="52"/>
        <v>0.5</v>
      </c>
      <c r="G90" s="46">
        <f t="shared" si="53"/>
        <v>30</v>
      </c>
      <c r="H90" s="61">
        <v>10.0</v>
      </c>
      <c r="I90" s="61">
        <v>5.0</v>
      </c>
      <c r="J90" s="62">
        <v>0.85</v>
      </c>
      <c r="K90" s="63">
        <f t="shared" si="54"/>
        <v>135</v>
      </c>
      <c r="L90" s="63">
        <f t="shared" si="55"/>
        <v>158.8235294</v>
      </c>
      <c r="M90" s="63">
        <f t="shared" si="56"/>
        <v>22.66666667</v>
      </c>
      <c r="N90" s="64">
        <f t="shared" si="57"/>
        <v>3400</v>
      </c>
      <c r="O90" s="118" t="s">
        <v>407</v>
      </c>
      <c r="P90" s="61">
        <v>0.0</v>
      </c>
      <c r="Q90" s="61">
        <v>0.0</v>
      </c>
      <c r="R90" s="133">
        <f t="shared" si="58"/>
        <v>0</v>
      </c>
      <c r="S90" s="66">
        <f t="shared" si="59"/>
        <v>1</v>
      </c>
      <c r="T90" s="136"/>
      <c r="U90" s="41">
        <v>1.0</v>
      </c>
    </row>
    <row r="91" ht="39.75" customHeight="1">
      <c r="A91" s="131" t="s">
        <v>465</v>
      </c>
      <c r="B91" s="70"/>
      <c r="C91" s="70" t="s">
        <v>598</v>
      </c>
      <c r="D91" s="59">
        <v>90.0</v>
      </c>
      <c r="E91" s="60">
        <f t="shared" si="51"/>
        <v>0.01111111111</v>
      </c>
      <c r="F91" s="59">
        <f t="shared" si="52"/>
        <v>0.6666666667</v>
      </c>
      <c r="G91" s="46">
        <f t="shared" si="53"/>
        <v>40</v>
      </c>
      <c r="H91" s="61">
        <v>10.0</v>
      </c>
      <c r="I91" s="61">
        <v>5.0</v>
      </c>
      <c r="J91" s="62">
        <v>0.85</v>
      </c>
      <c r="K91" s="63">
        <f t="shared" si="54"/>
        <v>105</v>
      </c>
      <c r="L91" s="63">
        <f t="shared" si="55"/>
        <v>123.5294118</v>
      </c>
      <c r="M91" s="63">
        <f t="shared" si="56"/>
        <v>29.14285714</v>
      </c>
      <c r="N91" s="64">
        <f t="shared" si="57"/>
        <v>4371.428571</v>
      </c>
      <c r="O91" s="118" t="s">
        <v>418</v>
      </c>
      <c r="P91" s="61">
        <v>0.0</v>
      </c>
      <c r="Q91" s="61">
        <v>0.0</v>
      </c>
      <c r="R91" s="133">
        <f t="shared" si="58"/>
        <v>0</v>
      </c>
      <c r="S91" s="66">
        <f t="shared" si="59"/>
        <v>1</v>
      </c>
      <c r="T91" s="136"/>
      <c r="U91" s="41">
        <v>1.0</v>
      </c>
    </row>
    <row r="92" ht="39.75" customHeight="1">
      <c r="A92" s="131" t="s">
        <v>558</v>
      </c>
      <c r="B92" s="70"/>
      <c r="C92" s="70" t="s">
        <v>599</v>
      </c>
      <c r="D92" s="59">
        <v>150.0</v>
      </c>
      <c r="E92" s="60">
        <f t="shared" si="51"/>
        <v>0.006666666667</v>
      </c>
      <c r="F92" s="59">
        <f t="shared" si="52"/>
        <v>0.4</v>
      </c>
      <c r="G92" s="46">
        <f t="shared" si="53"/>
        <v>24</v>
      </c>
      <c r="H92" s="61">
        <v>10.0</v>
      </c>
      <c r="I92" s="61">
        <v>5.0</v>
      </c>
      <c r="J92" s="62">
        <v>0.85</v>
      </c>
      <c r="K92" s="63">
        <f t="shared" si="54"/>
        <v>165</v>
      </c>
      <c r="L92" s="63">
        <f t="shared" si="55"/>
        <v>194.1176471</v>
      </c>
      <c r="M92" s="63">
        <f t="shared" si="56"/>
        <v>18.54545455</v>
      </c>
      <c r="N92" s="64">
        <f t="shared" si="57"/>
        <v>2781.818182</v>
      </c>
      <c r="O92" s="118" t="s">
        <v>422</v>
      </c>
      <c r="P92" s="61">
        <v>0.0</v>
      </c>
      <c r="Q92" s="61">
        <v>0.0</v>
      </c>
      <c r="R92" s="133">
        <f t="shared" si="58"/>
        <v>0</v>
      </c>
      <c r="S92" s="66">
        <f t="shared" si="59"/>
        <v>1</v>
      </c>
      <c r="T92" s="136"/>
      <c r="U92" s="41">
        <v>1.0</v>
      </c>
    </row>
    <row r="93" ht="39.75" customHeight="1">
      <c r="A93" s="131" t="s">
        <v>328</v>
      </c>
      <c r="B93" s="70"/>
      <c r="C93" s="70" t="s">
        <v>600</v>
      </c>
      <c r="D93" s="59">
        <f>3600/Parametros!G102</f>
        <v>60</v>
      </c>
      <c r="E93" s="60">
        <f t="shared" si="51"/>
        <v>0.01666666667</v>
      </c>
      <c r="F93" s="59">
        <f t="shared" si="52"/>
        <v>1</v>
      </c>
      <c r="G93" s="46">
        <f t="shared" si="53"/>
        <v>60</v>
      </c>
      <c r="H93" s="46">
        <f>Parametros!H102</f>
        <v>15</v>
      </c>
      <c r="I93" s="46">
        <f>Parametros!I102</f>
        <v>15</v>
      </c>
      <c r="J93" s="87">
        <f>Parametros!J102</f>
        <v>0.8</v>
      </c>
      <c r="K93" s="63">
        <f t="shared" si="54"/>
        <v>90</v>
      </c>
      <c r="L93" s="63">
        <f t="shared" si="55"/>
        <v>112.5</v>
      </c>
      <c r="M93" s="63">
        <f t="shared" si="56"/>
        <v>32</v>
      </c>
      <c r="N93" s="64">
        <f t="shared" si="57"/>
        <v>4800</v>
      </c>
      <c r="O93" s="118"/>
      <c r="P93" s="61">
        <v>0.0</v>
      </c>
      <c r="Q93" s="61">
        <v>0.0</v>
      </c>
      <c r="R93" s="133">
        <f t="shared" si="58"/>
        <v>0</v>
      </c>
      <c r="S93" s="66">
        <f t="shared" si="59"/>
        <v>1</v>
      </c>
      <c r="T93" s="136" t="s">
        <v>601</v>
      </c>
      <c r="U93" s="41">
        <v>1.0</v>
      </c>
    </row>
    <row r="94" ht="39.75" customHeight="1">
      <c r="A94" s="131" t="s">
        <v>469</v>
      </c>
      <c r="B94" s="70"/>
      <c r="C94" s="70" t="s">
        <v>602</v>
      </c>
      <c r="D94" s="59">
        <v>420.0</v>
      </c>
      <c r="E94" s="60">
        <f t="shared" si="51"/>
        <v>0.002380952381</v>
      </c>
      <c r="F94" s="59">
        <f t="shared" si="52"/>
        <v>0.1428571429</v>
      </c>
      <c r="G94" s="46">
        <f t="shared" si="53"/>
        <v>8.571428571</v>
      </c>
      <c r="H94" s="61">
        <v>30.0</v>
      </c>
      <c r="I94" s="61">
        <v>30.0</v>
      </c>
      <c r="J94" s="62">
        <v>0.85</v>
      </c>
      <c r="K94" s="63">
        <f t="shared" si="54"/>
        <v>480</v>
      </c>
      <c r="L94" s="63">
        <f t="shared" si="55"/>
        <v>564.7058824</v>
      </c>
      <c r="M94" s="63">
        <f t="shared" si="56"/>
        <v>6.375</v>
      </c>
      <c r="N94" s="64">
        <f t="shared" si="57"/>
        <v>956.25</v>
      </c>
      <c r="O94" s="118" t="s">
        <v>603</v>
      </c>
      <c r="P94" s="61">
        <v>0.0</v>
      </c>
      <c r="Q94" s="61">
        <v>0.0</v>
      </c>
      <c r="R94" s="133">
        <f t="shared" si="58"/>
        <v>0</v>
      </c>
      <c r="S94" s="66">
        <f t="shared" si="59"/>
        <v>1</v>
      </c>
      <c r="T94" s="136"/>
      <c r="U94" s="41">
        <v>0.5</v>
      </c>
    </row>
    <row r="95" ht="39.75" customHeight="1">
      <c r="A95" s="131" t="s">
        <v>470</v>
      </c>
      <c r="B95" s="70" t="s">
        <v>604</v>
      </c>
      <c r="C95" s="70" t="s">
        <v>605</v>
      </c>
      <c r="D95" s="59">
        <v>90.0</v>
      </c>
      <c r="E95" s="60">
        <f t="shared" si="51"/>
        <v>0.01111111111</v>
      </c>
      <c r="F95" s="59">
        <f t="shared" si="52"/>
        <v>0.6666666667</v>
      </c>
      <c r="G95" s="46">
        <f t="shared" si="53"/>
        <v>40</v>
      </c>
      <c r="H95" s="61">
        <v>5.0</v>
      </c>
      <c r="I95" s="61">
        <v>5.0</v>
      </c>
      <c r="J95" s="62">
        <v>0.8</v>
      </c>
      <c r="K95" s="63">
        <f t="shared" si="54"/>
        <v>100</v>
      </c>
      <c r="L95" s="63">
        <f t="shared" si="55"/>
        <v>125</v>
      </c>
      <c r="M95" s="63">
        <f t="shared" si="56"/>
        <v>28.8</v>
      </c>
      <c r="N95" s="64">
        <f t="shared" si="57"/>
        <v>4320</v>
      </c>
      <c r="O95" s="118" t="s">
        <v>407</v>
      </c>
      <c r="P95" s="61">
        <v>0.0</v>
      </c>
      <c r="Q95" s="61">
        <v>0.0</v>
      </c>
      <c r="R95" s="133">
        <f t="shared" si="58"/>
        <v>0</v>
      </c>
      <c r="S95" s="66">
        <f t="shared" si="59"/>
        <v>1</v>
      </c>
      <c r="T95" s="136"/>
      <c r="U95" s="41">
        <v>1.0</v>
      </c>
    </row>
    <row r="96" ht="39.75" customHeight="1">
      <c r="A96" s="131" t="s">
        <v>70</v>
      </c>
      <c r="B96" s="70"/>
      <c r="C96" s="70"/>
      <c r="D96" s="59">
        <v>90.0</v>
      </c>
      <c r="E96" s="60">
        <f t="shared" si="51"/>
        <v>0.01111111111</v>
      </c>
      <c r="F96" s="59">
        <f t="shared" si="52"/>
        <v>0.6666666667</v>
      </c>
      <c r="G96" s="46">
        <f t="shared" si="53"/>
        <v>40</v>
      </c>
      <c r="H96" s="61">
        <v>10.0</v>
      </c>
      <c r="I96" s="61">
        <v>5.0</v>
      </c>
      <c r="J96" s="62">
        <v>0.85</v>
      </c>
      <c r="K96" s="63">
        <f t="shared" si="54"/>
        <v>105</v>
      </c>
      <c r="L96" s="63">
        <f t="shared" si="55"/>
        <v>123.5294118</v>
      </c>
      <c r="M96" s="63">
        <f t="shared" si="56"/>
        <v>28.88380952</v>
      </c>
      <c r="N96" s="64">
        <f t="shared" si="57"/>
        <v>4332.571429</v>
      </c>
      <c r="O96" s="118"/>
      <c r="P96" s="61">
        <v>5.0</v>
      </c>
      <c r="Q96" s="61">
        <v>16.0</v>
      </c>
      <c r="R96" s="133">
        <f t="shared" si="58"/>
        <v>1.333333333</v>
      </c>
      <c r="S96" s="66">
        <f t="shared" si="59"/>
        <v>0.9911111111</v>
      </c>
      <c r="T96" s="136"/>
      <c r="U96" s="41">
        <v>0.5</v>
      </c>
    </row>
    <row r="97" ht="39.75" customHeight="1">
      <c r="A97" s="131" t="s">
        <v>565</v>
      </c>
      <c r="B97" s="70"/>
      <c r="C97" s="70" t="s">
        <v>607</v>
      </c>
      <c r="D97" s="59">
        <v>150.0</v>
      </c>
      <c r="E97" s="60">
        <f t="shared" si="51"/>
        <v>0.006666666667</v>
      </c>
      <c r="F97" s="59">
        <f t="shared" si="52"/>
        <v>0.4</v>
      </c>
      <c r="G97" s="46">
        <f t="shared" si="53"/>
        <v>24</v>
      </c>
      <c r="H97" s="61">
        <v>10.0</v>
      </c>
      <c r="I97" s="61">
        <v>5.0</v>
      </c>
      <c r="J97" s="62">
        <v>0.85</v>
      </c>
      <c r="K97" s="63">
        <f t="shared" si="54"/>
        <v>165</v>
      </c>
      <c r="L97" s="63">
        <f t="shared" si="55"/>
        <v>194.1176471</v>
      </c>
      <c r="M97" s="63">
        <f t="shared" si="56"/>
        <v>18.54545455</v>
      </c>
      <c r="N97" s="64">
        <f t="shared" si="57"/>
        <v>2781.818182</v>
      </c>
      <c r="O97" s="118" t="s">
        <v>329</v>
      </c>
      <c r="P97" s="61">
        <v>0.0</v>
      </c>
      <c r="Q97" s="61">
        <v>0.0</v>
      </c>
      <c r="R97" s="133">
        <f t="shared" si="58"/>
        <v>0</v>
      </c>
      <c r="S97" s="66">
        <f t="shared" si="59"/>
        <v>1</v>
      </c>
      <c r="T97" s="136"/>
      <c r="U97" s="41">
        <v>0.25</v>
      </c>
    </row>
    <row r="98" ht="39.75" customHeight="1">
      <c r="A98" s="131" t="s">
        <v>500</v>
      </c>
      <c r="B98" s="70"/>
      <c r="C98" s="70"/>
      <c r="D98" s="59">
        <v>75.0</v>
      </c>
      <c r="E98" s="60">
        <f t="shared" si="51"/>
        <v>0.01333333333</v>
      </c>
      <c r="F98" s="59">
        <f t="shared" si="52"/>
        <v>0.8</v>
      </c>
      <c r="G98" s="46">
        <f t="shared" si="53"/>
        <v>48</v>
      </c>
      <c r="H98" s="61">
        <v>10.0</v>
      </c>
      <c r="I98" s="61">
        <v>5.0</v>
      </c>
      <c r="J98" s="62">
        <v>0.85</v>
      </c>
      <c r="K98" s="63">
        <f t="shared" si="54"/>
        <v>90</v>
      </c>
      <c r="L98" s="63">
        <f t="shared" si="55"/>
        <v>105.8823529</v>
      </c>
      <c r="M98" s="63">
        <f t="shared" si="56"/>
        <v>34</v>
      </c>
      <c r="N98" s="64">
        <f t="shared" si="57"/>
        <v>5100</v>
      </c>
      <c r="O98" s="118" t="s">
        <v>379</v>
      </c>
      <c r="P98" s="61">
        <v>0.0</v>
      </c>
      <c r="Q98" s="61">
        <v>0.0</v>
      </c>
      <c r="R98" s="133">
        <f t="shared" si="58"/>
        <v>0</v>
      </c>
      <c r="S98" s="66">
        <f t="shared" si="59"/>
        <v>1</v>
      </c>
      <c r="T98" s="136"/>
      <c r="U98" s="41">
        <v>0.5</v>
      </c>
    </row>
    <row r="99" ht="39.75" customHeight="1">
      <c r="A99" s="131" t="s">
        <v>522</v>
      </c>
      <c r="B99" s="70" t="s">
        <v>608</v>
      </c>
      <c r="C99" s="70"/>
      <c r="D99" s="59">
        <v>75.0</v>
      </c>
      <c r="E99" s="60">
        <f t="shared" si="51"/>
        <v>0.01333333333</v>
      </c>
      <c r="F99" s="59">
        <f t="shared" si="52"/>
        <v>0.8</v>
      </c>
      <c r="G99" s="46">
        <f t="shared" si="53"/>
        <v>48</v>
      </c>
      <c r="H99" s="61">
        <v>10.0</v>
      </c>
      <c r="I99" s="61">
        <v>5.0</v>
      </c>
      <c r="J99" s="62">
        <v>0.85</v>
      </c>
      <c r="K99" s="63">
        <f t="shared" si="54"/>
        <v>90</v>
      </c>
      <c r="L99" s="63">
        <f t="shared" si="55"/>
        <v>105.8823529</v>
      </c>
      <c r="M99" s="63">
        <f t="shared" si="56"/>
        <v>34</v>
      </c>
      <c r="N99" s="64">
        <f t="shared" si="57"/>
        <v>5100</v>
      </c>
      <c r="O99" s="118" t="s">
        <v>398</v>
      </c>
      <c r="P99" s="61">
        <v>0.0</v>
      </c>
      <c r="Q99" s="61">
        <v>0.0</v>
      </c>
      <c r="R99" s="133">
        <f t="shared" si="58"/>
        <v>0</v>
      </c>
      <c r="S99" s="66">
        <f t="shared" si="59"/>
        <v>1</v>
      </c>
      <c r="T99" s="136"/>
      <c r="U99" s="41">
        <v>1.0</v>
      </c>
    </row>
    <row r="100" ht="39.75" customHeight="1">
      <c r="A100" s="131" t="s">
        <v>529</v>
      </c>
      <c r="B100" s="70" t="s">
        <v>609</v>
      </c>
      <c r="C100" s="70" t="s">
        <v>610</v>
      </c>
      <c r="D100" s="59">
        <v>300.0</v>
      </c>
      <c r="E100" s="60">
        <f t="shared" si="51"/>
        <v>0.003333333333</v>
      </c>
      <c r="F100" s="59">
        <f t="shared" si="52"/>
        <v>0.2</v>
      </c>
      <c r="G100" s="46">
        <f t="shared" si="53"/>
        <v>12</v>
      </c>
      <c r="H100" s="61">
        <v>10.0</v>
      </c>
      <c r="I100" s="61">
        <v>10.0</v>
      </c>
      <c r="J100" s="62">
        <v>0.75</v>
      </c>
      <c r="K100" s="63">
        <f t="shared" si="54"/>
        <v>320</v>
      </c>
      <c r="L100" s="63">
        <f t="shared" si="55"/>
        <v>426.6666667</v>
      </c>
      <c r="M100" s="63">
        <f t="shared" si="56"/>
        <v>8.4375</v>
      </c>
      <c r="N100" s="64">
        <f t="shared" si="57"/>
        <v>1265.625</v>
      </c>
      <c r="O100" s="118" t="s">
        <v>402</v>
      </c>
      <c r="P100" s="61">
        <v>0.0</v>
      </c>
      <c r="Q100" s="61">
        <v>0.0</v>
      </c>
      <c r="R100" s="133">
        <f t="shared" si="58"/>
        <v>0</v>
      </c>
      <c r="S100" s="66">
        <f t="shared" si="59"/>
        <v>1</v>
      </c>
      <c r="T100" s="136"/>
      <c r="U100" s="41">
        <v>1.0</v>
      </c>
    </row>
    <row r="101" ht="39.75" customHeight="1">
      <c r="A101" s="131" t="s">
        <v>531</v>
      </c>
      <c r="B101" s="70" t="s">
        <v>611</v>
      </c>
      <c r="C101" s="70" t="s">
        <v>612</v>
      </c>
      <c r="D101" s="59">
        <v>150.0</v>
      </c>
      <c r="E101" s="60">
        <f t="shared" si="51"/>
        <v>0.006666666667</v>
      </c>
      <c r="F101" s="59">
        <f t="shared" si="52"/>
        <v>0.4</v>
      </c>
      <c r="G101" s="46">
        <f t="shared" si="53"/>
        <v>24</v>
      </c>
      <c r="H101" s="61">
        <v>10.0</v>
      </c>
      <c r="I101" s="61">
        <v>5.0</v>
      </c>
      <c r="J101" s="62">
        <v>0.85</v>
      </c>
      <c r="K101" s="63">
        <f t="shared" si="54"/>
        <v>165</v>
      </c>
      <c r="L101" s="63">
        <f t="shared" si="55"/>
        <v>194.1176471</v>
      </c>
      <c r="M101" s="63">
        <f t="shared" si="56"/>
        <v>18.29818182</v>
      </c>
      <c r="N101" s="64">
        <f t="shared" si="57"/>
        <v>2744.727273</v>
      </c>
      <c r="O101" s="118" t="s">
        <v>407</v>
      </c>
      <c r="P101" s="61">
        <v>15.0</v>
      </c>
      <c r="Q101" s="61">
        <v>8.0</v>
      </c>
      <c r="R101" s="133">
        <f t="shared" si="58"/>
        <v>2</v>
      </c>
      <c r="S101" s="66">
        <f t="shared" si="59"/>
        <v>0.9866666667</v>
      </c>
      <c r="T101" s="136"/>
      <c r="U101" s="41">
        <v>1.0</v>
      </c>
    </row>
    <row r="102" ht="39.75" customHeight="1">
      <c r="A102" s="131" t="s">
        <v>533</v>
      </c>
      <c r="B102" s="70"/>
      <c r="C102" s="70"/>
      <c r="D102" s="59">
        <v>180.0</v>
      </c>
      <c r="E102" s="60">
        <f t="shared" si="51"/>
        <v>0.005555555556</v>
      </c>
      <c r="F102" s="59">
        <f t="shared" si="52"/>
        <v>0.3333333333</v>
      </c>
      <c r="G102" s="46">
        <f t="shared" si="53"/>
        <v>20</v>
      </c>
      <c r="H102" s="61">
        <v>10.0</v>
      </c>
      <c r="I102" s="61">
        <v>5.0</v>
      </c>
      <c r="J102" s="62">
        <v>0.85</v>
      </c>
      <c r="K102" s="63">
        <f t="shared" si="54"/>
        <v>195</v>
      </c>
      <c r="L102" s="63">
        <f t="shared" si="55"/>
        <v>229.4117647</v>
      </c>
      <c r="M102" s="63">
        <f t="shared" si="56"/>
        <v>15.69230769</v>
      </c>
      <c r="N102" s="64">
        <f t="shared" si="57"/>
        <v>2353.846154</v>
      </c>
      <c r="O102" s="118" t="s">
        <v>418</v>
      </c>
      <c r="P102" s="61">
        <v>0.0</v>
      </c>
      <c r="Q102" s="61">
        <v>0.0</v>
      </c>
      <c r="R102" s="133">
        <f t="shared" si="58"/>
        <v>0</v>
      </c>
      <c r="S102" s="66">
        <f t="shared" si="59"/>
        <v>1</v>
      </c>
      <c r="T102" s="136"/>
      <c r="U102" s="41">
        <v>1.0</v>
      </c>
    </row>
    <row r="103" ht="39.75" customHeight="1">
      <c r="A103" s="131" t="s">
        <v>535</v>
      </c>
      <c r="B103" s="70"/>
      <c r="C103" s="70" t="s">
        <v>614</v>
      </c>
      <c r="D103" s="59">
        <v>240.0</v>
      </c>
      <c r="E103" s="60">
        <f t="shared" si="51"/>
        <v>0.004166666667</v>
      </c>
      <c r="F103" s="59">
        <f t="shared" si="52"/>
        <v>0.25</v>
      </c>
      <c r="G103" s="46">
        <f t="shared" si="53"/>
        <v>15</v>
      </c>
      <c r="H103" s="61">
        <v>10.0</v>
      </c>
      <c r="I103" s="61">
        <v>5.0</v>
      </c>
      <c r="J103" s="62">
        <v>0.85</v>
      </c>
      <c r="K103" s="63">
        <f t="shared" si="54"/>
        <v>255</v>
      </c>
      <c r="L103" s="63">
        <f t="shared" si="55"/>
        <v>300</v>
      </c>
      <c r="M103" s="63">
        <f t="shared" si="56"/>
        <v>12</v>
      </c>
      <c r="N103" s="64">
        <f t="shared" si="57"/>
        <v>1800</v>
      </c>
      <c r="O103" s="118" t="s">
        <v>422</v>
      </c>
      <c r="P103" s="61">
        <v>0.0</v>
      </c>
      <c r="Q103" s="61">
        <v>0.0</v>
      </c>
      <c r="R103" s="133">
        <f t="shared" si="58"/>
        <v>0</v>
      </c>
      <c r="S103" s="66">
        <f t="shared" si="59"/>
        <v>1</v>
      </c>
      <c r="T103" s="136"/>
      <c r="U103" s="41">
        <v>1.0</v>
      </c>
    </row>
    <row r="104" ht="39.75" customHeight="1">
      <c r="A104" s="131" t="s">
        <v>81</v>
      </c>
      <c r="B104" s="70"/>
      <c r="C104" s="70" t="s">
        <v>615</v>
      </c>
      <c r="D104" s="59">
        <f>3600/Parametros!G104</f>
        <v>90</v>
      </c>
      <c r="E104" s="60">
        <f t="shared" si="51"/>
        <v>0.01111111111</v>
      </c>
      <c r="F104" s="59">
        <f t="shared" si="52"/>
        <v>0.6666666667</v>
      </c>
      <c r="G104" s="46">
        <f t="shared" si="53"/>
        <v>40</v>
      </c>
      <c r="H104" s="46">
        <f>Parametros!H104</f>
        <v>15</v>
      </c>
      <c r="I104" s="46">
        <f>Parametros!I104</f>
        <v>10</v>
      </c>
      <c r="J104" s="87">
        <f>Parametros!J104</f>
        <v>0.8</v>
      </c>
      <c r="K104" s="63">
        <f t="shared" si="54"/>
        <v>115</v>
      </c>
      <c r="L104" s="63">
        <f t="shared" si="55"/>
        <v>143.75</v>
      </c>
      <c r="M104" s="63">
        <f t="shared" si="56"/>
        <v>25.04347826</v>
      </c>
      <c r="N104" s="64">
        <f t="shared" si="57"/>
        <v>3756.521739</v>
      </c>
      <c r="O104" s="118"/>
      <c r="P104" s="61">
        <v>0.0</v>
      </c>
      <c r="Q104" s="61">
        <v>0.0</v>
      </c>
      <c r="R104" s="133">
        <f t="shared" si="58"/>
        <v>0</v>
      </c>
      <c r="S104" s="66">
        <f t="shared" si="59"/>
        <v>1</v>
      </c>
      <c r="T104" s="136" t="s">
        <v>616</v>
      </c>
      <c r="U104" s="41">
        <v>1.0</v>
      </c>
    </row>
    <row r="105" ht="39.75" customHeight="1">
      <c r="A105" s="131" t="s">
        <v>576</v>
      </c>
      <c r="B105" s="70"/>
      <c r="C105" s="70"/>
      <c r="D105" s="59">
        <v>45.0</v>
      </c>
      <c r="E105" s="60">
        <f t="shared" si="51"/>
        <v>0.02222222222</v>
      </c>
      <c r="F105" s="59">
        <f t="shared" si="52"/>
        <v>1.333333333</v>
      </c>
      <c r="G105" s="46">
        <f t="shared" si="53"/>
        <v>80</v>
      </c>
      <c r="H105" s="61">
        <v>5.0</v>
      </c>
      <c r="I105" s="61">
        <v>5.0</v>
      </c>
      <c r="J105" s="62">
        <v>0.8</v>
      </c>
      <c r="K105" s="63">
        <f t="shared" si="54"/>
        <v>55</v>
      </c>
      <c r="L105" s="63">
        <f t="shared" si="55"/>
        <v>68.75</v>
      </c>
      <c r="M105" s="63">
        <f t="shared" si="56"/>
        <v>52.36363636</v>
      </c>
      <c r="N105" s="64">
        <f t="shared" si="57"/>
        <v>7854.545455</v>
      </c>
      <c r="O105" s="118" t="s">
        <v>329</v>
      </c>
      <c r="P105" s="61">
        <v>0.0</v>
      </c>
      <c r="Q105" s="61">
        <v>0.0</v>
      </c>
      <c r="R105" s="133">
        <f t="shared" si="58"/>
        <v>0</v>
      </c>
      <c r="S105" s="66">
        <f t="shared" si="59"/>
        <v>1</v>
      </c>
      <c r="T105" s="136"/>
      <c r="U105" s="41">
        <v>1.0</v>
      </c>
    </row>
    <row r="106" ht="39.75" customHeight="1">
      <c r="A106" s="131" t="s">
        <v>578</v>
      </c>
      <c r="B106" s="70" t="s">
        <v>617</v>
      </c>
      <c r="C106" s="70" t="s">
        <v>618</v>
      </c>
      <c r="D106" s="59">
        <v>45.0</v>
      </c>
      <c r="E106" s="60">
        <f t="shared" si="51"/>
        <v>0.02222222222</v>
      </c>
      <c r="F106" s="59">
        <f t="shared" si="52"/>
        <v>1.333333333</v>
      </c>
      <c r="G106" s="46">
        <f t="shared" si="53"/>
        <v>80</v>
      </c>
      <c r="H106" s="61">
        <v>5.0</v>
      </c>
      <c r="I106" s="61">
        <v>5.0</v>
      </c>
      <c r="J106" s="62">
        <v>0.85</v>
      </c>
      <c r="K106" s="63">
        <f t="shared" si="54"/>
        <v>55</v>
      </c>
      <c r="L106" s="63">
        <f t="shared" si="55"/>
        <v>64.70588235</v>
      </c>
      <c r="M106" s="63">
        <f t="shared" si="56"/>
        <v>55.63636364</v>
      </c>
      <c r="N106" s="64">
        <f t="shared" si="57"/>
        <v>8345.454545</v>
      </c>
      <c r="O106" s="118" t="s">
        <v>619</v>
      </c>
      <c r="P106" s="61">
        <v>0.0</v>
      </c>
      <c r="Q106" s="61">
        <v>0.0</v>
      </c>
      <c r="R106" s="133">
        <f t="shared" si="58"/>
        <v>0</v>
      </c>
      <c r="S106" s="66">
        <f t="shared" si="59"/>
        <v>1</v>
      </c>
      <c r="T106" s="136"/>
      <c r="U106" s="41">
        <v>1.0</v>
      </c>
    </row>
    <row r="107" ht="39.75" customHeight="1">
      <c r="A107" s="131" t="s">
        <v>580</v>
      </c>
      <c r="B107" s="70" t="s">
        <v>620</v>
      </c>
      <c r="C107" s="70" t="s">
        <v>621</v>
      </c>
      <c r="D107" s="59">
        <v>30.0</v>
      </c>
      <c r="E107" s="60">
        <f t="shared" si="51"/>
        <v>0.03333333333</v>
      </c>
      <c r="F107" s="59">
        <f t="shared" si="52"/>
        <v>2</v>
      </c>
      <c r="G107" s="46">
        <f t="shared" si="53"/>
        <v>120</v>
      </c>
      <c r="H107" s="61">
        <v>5.0</v>
      </c>
      <c r="I107" s="61">
        <v>5.0</v>
      </c>
      <c r="J107" s="62">
        <v>0.85</v>
      </c>
      <c r="K107" s="63">
        <f t="shared" si="54"/>
        <v>40</v>
      </c>
      <c r="L107" s="63">
        <f t="shared" si="55"/>
        <v>47.05882353</v>
      </c>
      <c r="M107" s="63">
        <f t="shared" si="56"/>
        <v>76.5</v>
      </c>
      <c r="N107" s="64">
        <f t="shared" si="57"/>
        <v>11475</v>
      </c>
      <c r="O107" s="118"/>
      <c r="P107" s="61">
        <v>0.0</v>
      </c>
      <c r="Q107" s="61">
        <v>0.0</v>
      </c>
      <c r="R107" s="133">
        <f t="shared" si="58"/>
        <v>0</v>
      </c>
      <c r="S107" s="66">
        <f t="shared" si="59"/>
        <v>1</v>
      </c>
      <c r="T107" s="136"/>
      <c r="U107" s="41">
        <v>0.25</v>
      </c>
    </row>
    <row r="108" ht="39.75" customHeight="1">
      <c r="A108" s="131" t="s">
        <v>582</v>
      </c>
      <c r="B108" s="70"/>
      <c r="C108" s="70" t="s">
        <v>622</v>
      </c>
      <c r="D108" s="59">
        <v>300.0</v>
      </c>
      <c r="E108" s="60">
        <f t="shared" si="51"/>
        <v>0.003333333333</v>
      </c>
      <c r="F108" s="59">
        <f t="shared" si="52"/>
        <v>0.2</v>
      </c>
      <c r="G108" s="46">
        <f t="shared" si="53"/>
        <v>12</v>
      </c>
      <c r="H108" s="61">
        <v>30.0</v>
      </c>
      <c r="I108" s="61">
        <v>30.0</v>
      </c>
      <c r="J108" s="62">
        <v>0.8</v>
      </c>
      <c r="K108" s="63">
        <f t="shared" si="54"/>
        <v>360</v>
      </c>
      <c r="L108" s="63">
        <f t="shared" si="55"/>
        <v>450</v>
      </c>
      <c r="M108" s="63">
        <f t="shared" si="56"/>
        <v>8</v>
      </c>
      <c r="N108" s="64">
        <f t="shared" si="57"/>
        <v>1200</v>
      </c>
      <c r="O108" s="118"/>
      <c r="P108" s="61">
        <v>0.0</v>
      </c>
      <c r="Q108" s="61">
        <v>0.0</v>
      </c>
      <c r="R108" s="133">
        <f t="shared" si="58"/>
        <v>0</v>
      </c>
      <c r="S108" s="66">
        <f t="shared" si="59"/>
        <v>1</v>
      </c>
      <c r="T108" s="136"/>
      <c r="U108" s="41">
        <v>1.0</v>
      </c>
    </row>
    <row r="109" ht="39.75" customHeight="1">
      <c r="A109" s="131" t="s">
        <v>585</v>
      </c>
      <c r="B109" s="70" t="s">
        <v>623</v>
      </c>
      <c r="C109" s="70" t="s">
        <v>56</v>
      </c>
      <c r="D109" s="59">
        <v>45.0</v>
      </c>
      <c r="E109" s="60">
        <f t="shared" si="51"/>
        <v>0.02222222222</v>
      </c>
      <c r="F109" s="59">
        <f t="shared" si="52"/>
        <v>1.333333333</v>
      </c>
      <c r="G109" s="46">
        <f t="shared" si="53"/>
        <v>80</v>
      </c>
      <c r="H109" s="61">
        <v>5.0</v>
      </c>
      <c r="I109" s="61">
        <v>5.0</v>
      </c>
      <c r="J109" s="62">
        <v>0.8</v>
      </c>
      <c r="K109" s="63">
        <f t="shared" si="54"/>
        <v>55</v>
      </c>
      <c r="L109" s="63">
        <f t="shared" si="55"/>
        <v>68.75</v>
      </c>
      <c r="M109" s="63">
        <f t="shared" si="56"/>
        <v>52.36363636</v>
      </c>
      <c r="N109" s="64">
        <f t="shared" si="57"/>
        <v>7854.545455</v>
      </c>
      <c r="O109" s="118"/>
      <c r="P109" s="61">
        <v>0.0</v>
      </c>
      <c r="Q109" s="61">
        <v>0.0</v>
      </c>
      <c r="R109" s="133">
        <f t="shared" si="58"/>
        <v>0</v>
      </c>
      <c r="S109" s="66">
        <f t="shared" si="59"/>
        <v>1</v>
      </c>
      <c r="T109" s="136"/>
      <c r="U109" s="41">
        <v>1.0</v>
      </c>
    </row>
    <row r="110" ht="39.75" customHeight="1">
      <c r="A110" s="131" t="s">
        <v>334</v>
      </c>
      <c r="B110" s="70" t="s">
        <v>624</v>
      </c>
      <c r="C110" s="70" t="s">
        <v>56</v>
      </c>
      <c r="D110" s="59">
        <f>3600/Parametros!G105</f>
        <v>30</v>
      </c>
      <c r="E110" s="60">
        <f t="shared" si="51"/>
        <v>0.03333333333</v>
      </c>
      <c r="F110" s="59">
        <f t="shared" si="52"/>
        <v>2</v>
      </c>
      <c r="G110" s="46">
        <f t="shared" si="53"/>
        <v>120</v>
      </c>
      <c r="H110" s="46">
        <f>Parametros!H105</f>
        <v>10</v>
      </c>
      <c r="I110" s="46">
        <f>Parametros!I105</f>
        <v>10</v>
      </c>
      <c r="J110" s="87">
        <f>Parametros!J105</f>
        <v>0.8</v>
      </c>
      <c r="K110" s="63">
        <f t="shared" si="54"/>
        <v>50</v>
      </c>
      <c r="L110" s="63">
        <f t="shared" si="55"/>
        <v>62.5</v>
      </c>
      <c r="M110" s="63">
        <f t="shared" si="56"/>
        <v>57.6</v>
      </c>
      <c r="N110" s="64">
        <f t="shared" si="57"/>
        <v>8640</v>
      </c>
      <c r="O110" s="118"/>
      <c r="P110" s="61">
        <v>0.0</v>
      </c>
      <c r="Q110" s="61">
        <v>0.0</v>
      </c>
      <c r="R110" s="133">
        <f t="shared" si="58"/>
        <v>0</v>
      </c>
      <c r="S110" s="66">
        <f t="shared" si="59"/>
        <v>1</v>
      </c>
      <c r="T110" s="136" t="s">
        <v>625</v>
      </c>
      <c r="U110" s="41">
        <v>1.0</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R25:T25"/>
    <mergeCell ref="Q26:T26"/>
    <mergeCell ref="A1:T1"/>
    <mergeCell ref="A2:T2"/>
    <mergeCell ref="A6:K6"/>
    <mergeCell ref="A10:C10"/>
    <mergeCell ref="C11:T11"/>
    <mergeCell ref="A24:Q24"/>
    <mergeCell ref="A26:C26"/>
    <mergeCell ref="A27:C27"/>
    <mergeCell ref="Q27:T27"/>
    <mergeCell ref="A28:C28"/>
    <mergeCell ref="Q28:T28"/>
    <mergeCell ref="A31:Q31"/>
    <mergeCell ref="A52:K52"/>
    <mergeCell ref="J53:T53"/>
    <mergeCell ref="J54:T54"/>
    <mergeCell ref="J55:T55"/>
    <mergeCell ref="J56:T56"/>
    <mergeCell ref="J57:T57"/>
    <mergeCell ref="J58:T58"/>
    <mergeCell ref="J59:T59"/>
    <mergeCell ref="J60:T60"/>
    <mergeCell ref="J61:T61"/>
    <mergeCell ref="J62:T62"/>
    <mergeCell ref="J63:T63"/>
    <mergeCell ref="J64:T64"/>
    <mergeCell ref="J65:T65"/>
    <mergeCell ref="J66:T66"/>
    <mergeCell ref="J67:T67"/>
    <mergeCell ref="J75:T75"/>
    <mergeCell ref="J76:T76"/>
    <mergeCell ref="J77:T77"/>
    <mergeCell ref="J78:T78"/>
    <mergeCell ref="J79:T79"/>
    <mergeCell ref="A82:T82"/>
    <mergeCell ref="J68:T68"/>
    <mergeCell ref="J69:T69"/>
    <mergeCell ref="J70:T70"/>
    <mergeCell ref="J71:T71"/>
    <mergeCell ref="J72:T72"/>
    <mergeCell ref="J73:T73"/>
    <mergeCell ref="J74:T74"/>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outlineLevelRow="1"/>
  <cols>
    <col customWidth="1" min="1" max="1" width="40.0"/>
    <col customWidth="1" min="2" max="6" width="12.63"/>
  </cols>
  <sheetData>
    <row r="1" ht="12.0" customHeight="1">
      <c r="A1" s="176">
        <v>2026.0</v>
      </c>
      <c r="B1" s="16"/>
      <c r="C1" s="16"/>
      <c r="D1" s="16"/>
      <c r="E1" s="16"/>
      <c r="F1" s="16"/>
      <c r="G1" s="16"/>
      <c r="H1" s="16"/>
      <c r="I1" s="16"/>
      <c r="J1" s="16"/>
      <c r="K1" s="16"/>
      <c r="L1" s="16"/>
      <c r="M1" s="16"/>
      <c r="N1" s="17"/>
      <c r="O1" s="5"/>
      <c r="P1" s="5"/>
      <c r="Q1" s="5"/>
      <c r="R1" s="5"/>
      <c r="S1" s="5"/>
      <c r="T1" s="5"/>
      <c r="U1" s="5"/>
      <c r="V1" s="5"/>
      <c r="W1" s="5"/>
      <c r="X1" s="5"/>
      <c r="Y1" s="5"/>
      <c r="Z1" s="5"/>
    </row>
    <row r="2" ht="12.0" customHeight="1">
      <c r="A2" s="177" t="s">
        <v>629</v>
      </c>
      <c r="B2" s="178"/>
      <c r="C2" s="178"/>
      <c r="D2" s="178"/>
      <c r="E2" s="178"/>
      <c r="F2" s="178"/>
      <c r="G2" s="178"/>
      <c r="H2" s="178"/>
      <c r="I2" s="178"/>
      <c r="J2" s="178"/>
      <c r="K2" s="178"/>
      <c r="L2" s="178"/>
      <c r="M2" s="178"/>
      <c r="N2" s="179"/>
      <c r="O2" s="5"/>
      <c r="P2" s="5"/>
      <c r="Q2" s="5"/>
      <c r="R2" s="5"/>
      <c r="S2" s="5"/>
      <c r="T2" s="5"/>
      <c r="U2" s="5"/>
      <c r="V2" s="5"/>
      <c r="W2" s="5"/>
      <c r="X2" s="5"/>
      <c r="Y2" s="5"/>
      <c r="Z2" s="5"/>
    </row>
    <row r="3" ht="12.0" customHeight="1">
      <c r="A3" s="180" t="s">
        <v>630</v>
      </c>
      <c r="B3" s="180" t="s">
        <v>631</v>
      </c>
      <c r="C3" s="180" t="s">
        <v>3</v>
      </c>
      <c r="D3" s="180" t="s">
        <v>4</v>
      </c>
      <c r="E3" s="180" t="s">
        <v>5</v>
      </c>
      <c r="F3" s="180" t="s">
        <v>6</v>
      </c>
      <c r="G3" s="180" t="s">
        <v>7</v>
      </c>
      <c r="H3" s="180" t="s">
        <v>8</v>
      </c>
      <c r="I3" s="180" t="s">
        <v>9</v>
      </c>
      <c r="J3" s="180" t="s">
        <v>10</v>
      </c>
      <c r="K3" s="180" t="s">
        <v>11</v>
      </c>
      <c r="L3" s="180" t="s">
        <v>12</v>
      </c>
      <c r="M3" s="180" t="s">
        <v>13</v>
      </c>
      <c r="N3" s="180" t="s">
        <v>14</v>
      </c>
      <c r="O3" s="5"/>
      <c r="P3" s="5"/>
      <c r="Q3" s="5"/>
      <c r="R3" s="5"/>
      <c r="S3" s="5"/>
      <c r="T3" s="5"/>
      <c r="U3" s="5"/>
      <c r="V3" s="5"/>
      <c r="W3" s="5"/>
      <c r="X3" s="5"/>
      <c r="Y3" s="5"/>
      <c r="Z3" s="5"/>
    </row>
    <row r="4" ht="12.0" customHeight="1">
      <c r="A4" s="181" t="s">
        <v>632</v>
      </c>
      <c r="B4" s="125" t="s">
        <v>633</v>
      </c>
      <c r="C4" s="182">
        <f>SUM('2026'!B6:B9)+SUM('2026'!B17:B20)</f>
        <v>765.78</v>
      </c>
      <c r="D4" s="182">
        <f>SUM('2026'!C6:C9)+SUM('2026'!C17:C20)</f>
        <v>587.55</v>
      </c>
      <c r="E4" s="182">
        <f>SUM('2026'!D6:D9)+SUM('2026'!D17:D20)</f>
        <v>558.975</v>
      </c>
      <c r="F4" s="182">
        <f>SUM('2026'!E6:E9)+SUM('2026'!E17:E20)</f>
        <v>538.08</v>
      </c>
      <c r="G4" s="182">
        <f>SUM('2026'!F6:F9)+SUM('2026'!F17:F20)</f>
        <v>503.97</v>
      </c>
      <c r="H4" s="182">
        <f>SUM('2026'!G6:G9)+SUM('2026'!G17:G20)</f>
        <v>490.755</v>
      </c>
      <c r="I4" s="182">
        <f>SUM('2026'!H6:H9)+SUM('2026'!H17:H20)</f>
        <v>524.865</v>
      </c>
      <c r="J4" s="182">
        <f>SUM('2026'!I6:I9)+SUM('2026'!I17:I20)</f>
        <v>524.865</v>
      </c>
      <c r="K4" s="182">
        <f>SUM('2026'!J6:J9)+SUM('2026'!J17:J20)</f>
        <v>524.865</v>
      </c>
      <c r="L4" s="182">
        <f>SUM('2026'!K6:K9)+SUM('2026'!K17:K20)</f>
        <v>511.65</v>
      </c>
      <c r="M4" s="182">
        <f>SUM('2026'!L6:L9)+SUM('2026'!L17:L20)</f>
        <v>498.435</v>
      </c>
      <c r="N4" s="182">
        <f>SUM('2026'!M6:M9)+SUM('2026'!M17:M20)</f>
        <v>792.21</v>
      </c>
      <c r="O4" s="5"/>
      <c r="P4" s="5"/>
      <c r="Q4" s="5"/>
      <c r="R4" s="5"/>
      <c r="S4" s="5"/>
      <c r="T4" s="5"/>
      <c r="U4" s="5"/>
      <c r="V4" s="5"/>
      <c r="W4" s="5"/>
      <c r="X4" s="5"/>
      <c r="Y4" s="5"/>
      <c r="Z4" s="5"/>
    </row>
    <row r="5" ht="12.0" customHeight="1">
      <c r="A5" s="183"/>
      <c r="B5" s="125" t="s">
        <v>634</v>
      </c>
      <c r="C5" s="184">
        <f>C4/Parametros!$B$37</f>
        <v>38.289</v>
      </c>
      <c r="D5" s="184">
        <f>D4/Parametros!$B$37</f>
        <v>29.3775</v>
      </c>
      <c r="E5" s="184">
        <f>E4/Parametros!$B$37</f>
        <v>27.94875</v>
      </c>
      <c r="F5" s="184">
        <f>F4/Parametros!$B$37</f>
        <v>26.904</v>
      </c>
      <c r="G5" s="184">
        <f>G4/Parametros!$B$37</f>
        <v>25.1985</v>
      </c>
      <c r="H5" s="184">
        <f>H4/Parametros!$B$37</f>
        <v>24.53775</v>
      </c>
      <c r="I5" s="184">
        <f>I4/Parametros!$B$37</f>
        <v>26.24325</v>
      </c>
      <c r="J5" s="184">
        <f>J4/Parametros!$B$37</f>
        <v>26.24325</v>
      </c>
      <c r="K5" s="184">
        <f>K4/Parametros!$B$37</f>
        <v>26.24325</v>
      </c>
      <c r="L5" s="184">
        <f>L4/Parametros!$B$37</f>
        <v>25.5825</v>
      </c>
      <c r="M5" s="184">
        <f>M4/Parametros!$B$37</f>
        <v>24.92175</v>
      </c>
      <c r="N5" s="184">
        <f>N4/Parametros!$B$37</f>
        <v>39.6105</v>
      </c>
      <c r="O5" s="5"/>
      <c r="P5" s="5"/>
      <c r="Q5" s="5"/>
      <c r="R5" s="5"/>
      <c r="S5" s="5"/>
      <c r="T5" s="5"/>
      <c r="U5" s="5"/>
      <c r="V5" s="5"/>
      <c r="W5" s="5"/>
      <c r="X5" s="5"/>
      <c r="Y5" s="5"/>
      <c r="Z5" s="5"/>
    </row>
    <row r="6" ht="12.0" customHeight="1">
      <c r="A6" s="185"/>
      <c r="B6" s="125" t="s">
        <v>635</v>
      </c>
      <c r="C6" s="184">
        <f>C5/Parametros!$J$37</f>
        <v>5.1052</v>
      </c>
      <c r="D6" s="184">
        <f>D5/Parametros!$J$37</f>
        <v>3.917</v>
      </c>
      <c r="E6" s="184">
        <f>E5/Parametros!$J$37</f>
        <v>3.7265</v>
      </c>
      <c r="F6" s="184">
        <f>F5/Parametros!$J$37</f>
        <v>3.5872</v>
      </c>
      <c r="G6" s="184">
        <f>G5/Parametros!$J$37</f>
        <v>3.3598</v>
      </c>
      <c r="H6" s="184">
        <f>H5/Parametros!$J$37</f>
        <v>3.2717</v>
      </c>
      <c r="I6" s="184">
        <f>I5/Parametros!$J$37</f>
        <v>3.4991</v>
      </c>
      <c r="J6" s="184">
        <f>J5/Parametros!$J$37</f>
        <v>3.4991</v>
      </c>
      <c r="K6" s="184">
        <f>K5/Parametros!$J$37</f>
        <v>3.4991</v>
      </c>
      <c r="L6" s="184">
        <f>L5/Parametros!$J$37</f>
        <v>3.411</v>
      </c>
      <c r="M6" s="184">
        <f>M5/Parametros!$J$37</f>
        <v>3.3229</v>
      </c>
      <c r="N6" s="184">
        <f>N5/Parametros!$J$37</f>
        <v>5.2814</v>
      </c>
      <c r="O6" s="5"/>
      <c r="P6" s="5"/>
      <c r="Q6" s="5"/>
      <c r="R6" s="5"/>
      <c r="S6" s="5"/>
      <c r="T6" s="5"/>
      <c r="U6" s="5"/>
      <c r="V6" s="5"/>
      <c r="W6" s="5"/>
      <c r="X6" s="5"/>
      <c r="Y6" s="5"/>
      <c r="Z6" s="5"/>
    </row>
    <row r="7" ht="12.0" customHeight="1">
      <c r="A7" s="186" t="s">
        <v>636</v>
      </c>
      <c r="B7" s="4"/>
      <c r="C7" s="184">
        <f t="shared" ref="C7:N7" si="1">C6</f>
        <v>5.1052</v>
      </c>
      <c r="D7" s="184">
        <f t="shared" si="1"/>
        <v>3.917</v>
      </c>
      <c r="E7" s="184">
        <f t="shared" si="1"/>
        <v>3.7265</v>
      </c>
      <c r="F7" s="184">
        <f t="shared" si="1"/>
        <v>3.5872</v>
      </c>
      <c r="G7" s="184">
        <f t="shared" si="1"/>
        <v>3.3598</v>
      </c>
      <c r="H7" s="184">
        <f t="shared" si="1"/>
        <v>3.2717</v>
      </c>
      <c r="I7" s="184">
        <f t="shared" si="1"/>
        <v>3.4991</v>
      </c>
      <c r="J7" s="184">
        <f t="shared" si="1"/>
        <v>3.4991</v>
      </c>
      <c r="K7" s="184">
        <f t="shared" si="1"/>
        <v>3.4991</v>
      </c>
      <c r="L7" s="184">
        <f t="shared" si="1"/>
        <v>3.411</v>
      </c>
      <c r="M7" s="184">
        <f t="shared" si="1"/>
        <v>3.3229</v>
      </c>
      <c r="N7" s="184">
        <f t="shared" si="1"/>
        <v>5.2814</v>
      </c>
      <c r="O7" s="5"/>
      <c r="P7" s="5"/>
      <c r="Q7" s="5"/>
      <c r="R7" s="5"/>
      <c r="S7" s="5"/>
      <c r="T7" s="5"/>
      <c r="U7" s="5"/>
      <c r="V7" s="5"/>
      <c r="W7" s="5"/>
      <c r="X7" s="5"/>
      <c r="Y7" s="5"/>
      <c r="Z7" s="5"/>
    </row>
    <row r="8" ht="12.0" customHeight="1">
      <c r="A8" s="186" t="s">
        <v>637</v>
      </c>
      <c r="B8" s="4"/>
      <c r="C8" s="184">
        <f>'Resumen Capacidad'!$B$111</f>
        <v>68</v>
      </c>
      <c r="D8" s="184">
        <f>'Resumen Capacidad'!$B$111</f>
        <v>68</v>
      </c>
      <c r="E8" s="184">
        <f>'Resumen Capacidad'!$B$111</f>
        <v>68</v>
      </c>
      <c r="F8" s="184">
        <f>'Resumen Capacidad'!$B$111</f>
        <v>68</v>
      </c>
      <c r="G8" s="184">
        <f>'Resumen Capacidad'!$B$111</f>
        <v>68</v>
      </c>
      <c r="H8" s="184">
        <f>'Resumen Capacidad'!$B$111</f>
        <v>68</v>
      </c>
      <c r="I8" s="184">
        <f>'Resumen Capacidad'!$B$111</f>
        <v>68</v>
      </c>
      <c r="J8" s="184">
        <f>'Resumen Capacidad'!$B$111</f>
        <v>68</v>
      </c>
      <c r="K8" s="184">
        <f>'Resumen Capacidad'!$B$111</f>
        <v>68</v>
      </c>
      <c r="L8" s="184">
        <f>'Resumen Capacidad'!$B$111</f>
        <v>68</v>
      </c>
      <c r="M8" s="184">
        <f>'Resumen Capacidad'!$B$111</f>
        <v>68</v>
      </c>
      <c r="N8" s="184">
        <f>'Resumen Capacidad'!$B$111</f>
        <v>68</v>
      </c>
      <c r="O8" s="5"/>
      <c r="P8" s="5"/>
      <c r="Q8" s="5"/>
      <c r="R8" s="5"/>
      <c r="S8" s="5"/>
      <c r="T8" s="5"/>
      <c r="U8" s="5"/>
      <c r="V8" s="5"/>
      <c r="W8" s="5"/>
      <c r="X8" s="5"/>
      <c r="Y8" s="5"/>
      <c r="Z8" s="5"/>
    </row>
    <row r="9" ht="12.0" customHeight="1">
      <c r="A9" s="186" t="s">
        <v>640</v>
      </c>
      <c r="B9" s="4"/>
      <c r="C9" s="189">
        <f>'Resumen Capacidad'!$B$29*'Resumen Capacidad'!$B$65</f>
        <v>1</v>
      </c>
      <c r="D9" s="189">
        <f>'Resumen Capacidad'!$B$29*'Resumen Capacidad'!$B$65</f>
        <v>1</v>
      </c>
      <c r="E9" s="189">
        <f>'Resumen Capacidad'!$B$29*'Resumen Capacidad'!$B$65</f>
        <v>1</v>
      </c>
      <c r="F9" s="189">
        <f>'Resumen Capacidad'!$B$29*'Resumen Capacidad'!$B$65</f>
        <v>1</v>
      </c>
      <c r="G9" s="189">
        <f>'Resumen Capacidad'!$B$29*'Resumen Capacidad'!$B$65</f>
        <v>1</v>
      </c>
      <c r="H9" s="189">
        <f>'Resumen Capacidad'!$B$29*'Resumen Capacidad'!$B$65</f>
        <v>1</v>
      </c>
      <c r="I9" s="189">
        <f>'Resumen Capacidad'!$B$29*'Resumen Capacidad'!$B$65</f>
        <v>1</v>
      </c>
      <c r="J9" s="189">
        <f>'Resumen Capacidad'!$B$29*'Resumen Capacidad'!$B$65</f>
        <v>1</v>
      </c>
      <c r="K9" s="189">
        <f>'Resumen Capacidad'!$B$29*'Resumen Capacidad'!$B$65</f>
        <v>1</v>
      </c>
      <c r="L9" s="189">
        <f>'Resumen Capacidad'!$B$29*'Resumen Capacidad'!$B$65</f>
        <v>1</v>
      </c>
      <c r="M9" s="189">
        <f>'Resumen Capacidad'!$B$29*'Resumen Capacidad'!$B$65</f>
        <v>1</v>
      </c>
      <c r="N9" s="189">
        <f>'Resumen Capacidad'!$B$29*'Resumen Capacidad'!$B$65</f>
        <v>1</v>
      </c>
      <c r="O9" s="5"/>
      <c r="P9" s="5"/>
      <c r="Q9" s="5"/>
      <c r="R9" s="5"/>
      <c r="S9" s="5"/>
      <c r="T9" s="5"/>
      <c r="U9" s="5"/>
      <c r="V9" s="5"/>
      <c r="W9" s="5"/>
      <c r="X9" s="5"/>
      <c r="Y9" s="5"/>
      <c r="Z9" s="5"/>
    </row>
    <row r="10" ht="12.0" customHeight="1">
      <c r="A10" s="186" t="s">
        <v>642</v>
      </c>
      <c r="B10" s="4"/>
      <c r="C10" s="184">
        <f t="shared" ref="C10:N10" si="2">C8*C9</f>
        <v>68</v>
      </c>
      <c r="D10" s="184">
        <f t="shared" si="2"/>
        <v>68</v>
      </c>
      <c r="E10" s="184">
        <f t="shared" si="2"/>
        <v>68</v>
      </c>
      <c r="F10" s="184">
        <f t="shared" si="2"/>
        <v>68</v>
      </c>
      <c r="G10" s="184">
        <f t="shared" si="2"/>
        <v>68</v>
      </c>
      <c r="H10" s="184">
        <f t="shared" si="2"/>
        <v>68</v>
      </c>
      <c r="I10" s="184">
        <f t="shared" si="2"/>
        <v>68</v>
      </c>
      <c r="J10" s="184">
        <f t="shared" si="2"/>
        <v>68</v>
      </c>
      <c r="K10" s="184">
        <f t="shared" si="2"/>
        <v>68</v>
      </c>
      <c r="L10" s="184">
        <f t="shared" si="2"/>
        <v>68</v>
      </c>
      <c r="M10" s="184">
        <f t="shared" si="2"/>
        <v>68</v>
      </c>
      <c r="N10" s="184">
        <f t="shared" si="2"/>
        <v>68</v>
      </c>
      <c r="O10" s="5"/>
      <c r="P10" s="5"/>
      <c r="Q10" s="5"/>
      <c r="R10" s="5"/>
      <c r="S10" s="5"/>
      <c r="T10" s="5"/>
      <c r="U10" s="5"/>
      <c r="V10" s="5"/>
      <c r="W10" s="5"/>
      <c r="X10" s="5"/>
      <c r="Y10" s="5"/>
      <c r="Z10" s="5"/>
    </row>
    <row r="11" ht="12.0" customHeight="1">
      <c r="A11" s="186" t="s">
        <v>643</v>
      </c>
      <c r="B11" s="4"/>
      <c r="C11" s="148">
        <f t="shared" ref="C11:N11" si="3">IF(C10=0,0,C7/C10)</f>
        <v>0.07507647059</v>
      </c>
      <c r="D11" s="148">
        <f t="shared" si="3"/>
        <v>0.05760294118</v>
      </c>
      <c r="E11" s="148">
        <f t="shared" si="3"/>
        <v>0.05480147059</v>
      </c>
      <c r="F11" s="148">
        <f t="shared" si="3"/>
        <v>0.05275294118</v>
      </c>
      <c r="G11" s="148">
        <f t="shared" si="3"/>
        <v>0.04940882353</v>
      </c>
      <c r="H11" s="148">
        <f t="shared" si="3"/>
        <v>0.04811323529</v>
      </c>
      <c r="I11" s="148">
        <f t="shared" si="3"/>
        <v>0.05145735294</v>
      </c>
      <c r="J11" s="148">
        <f t="shared" si="3"/>
        <v>0.05145735294</v>
      </c>
      <c r="K11" s="148">
        <f t="shared" si="3"/>
        <v>0.05145735294</v>
      </c>
      <c r="L11" s="148">
        <f t="shared" si="3"/>
        <v>0.05016176471</v>
      </c>
      <c r="M11" s="148">
        <f t="shared" si="3"/>
        <v>0.04886617647</v>
      </c>
      <c r="N11" s="148">
        <f t="shared" si="3"/>
        <v>0.07766764706</v>
      </c>
      <c r="O11" s="5"/>
      <c r="P11" s="5"/>
      <c r="Q11" s="5"/>
      <c r="R11" s="5"/>
      <c r="S11" s="5"/>
      <c r="T11" s="5"/>
      <c r="U11" s="5"/>
      <c r="V11" s="5"/>
      <c r="W11" s="5"/>
      <c r="X11" s="5"/>
      <c r="Y11" s="5"/>
      <c r="Z11" s="5"/>
    </row>
    <row r="12" ht="12.0" customHeight="1">
      <c r="A12" s="177" t="s">
        <v>644</v>
      </c>
      <c r="B12" s="178"/>
      <c r="C12" s="178"/>
      <c r="D12" s="178"/>
      <c r="E12" s="178"/>
      <c r="F12" s="178"/>
      <c r="G12" s="178"/>
      <c r="H12" s="178"/>
      <c r="I12" s="178"/>
      <c r="J12" s="178"/>
      <c r="K12" s="178"/>
      <c r="L12" s="178"/>
      <c r="M12" s="178"/>
      <c r="N12" s="179"/>
      <c r="O12" s="5"/>
      <c r="P12" s="5"/>
      <c r="Q12" s="5"/>
      <c r="R12" s="5"/>
      <c r="S12" s="5"/>
      <c r="T12" s="5"/>
      <c r="U12" s="5"/>
      <c r="V12" s="5"/>
      <c r="W12" s="5"/>
      <c r="X12" s="5"/>
      <c r="Y12" s="5"/>
      <c r="Z12" s="5"/>
    </row>
    <row r="13" ht="12.0" customHeight="1">
      <c r="A13" s="180" t="s">
        <v>630</v>
      </c>
      <c r="B13" s="180" t="s">
        <v>631</v>
      </c>
      <c r="C13" s="180" t="s">
        <v>3</v>
      </c>
      <c r="D13" s="180" t="s">
        <v>4</v>
      </c>
      <c r="E13" s="180" t="s">
        <v>5</v>
      </c>
      <c r="F13" s="180" t="s">
        <v>6</v>
      </c>
      <c r="G13" s="180" t="s">
        <v>7</v>
      </c>
      <c r="H13" s="180" t="s">
        <v>8</v>
      </c>
      <c r="I13" s="180" t="s">
        <v>9</v>
      </c>
      <c r="J13" s="180" t="s">
        <v>10</v>
      </c>
      <c r="K13" s="180" t="s">
        <v>11</v>
      </c>
      <c r="L13" s="180" t="s">
        <v>12</v>
      </c>
      <c r="M13" s="180" t="s">
        <v>13</v>
      </c>
      <c r="N13" s="180" t="s">
        <v>14</v>
      </c>
      <c r="O13" s="5"/>
      <c r="P13" s="5"/>
      <c r="Q13" s="5"/>
      <c r="R13" s="5"/>
      <c r="S13" s="5"/>
      <c r="T13" s="5"/>
      <c r="U13" s="5"/>
      <c r="V13" s="5"/>
      <c r="W13" s="5"/>
      <c r="X13" s="5"/>
      <c r="Y13" s="5"/>
      <c r="Z13" s="5"/>
    </row>
    <row r="14" ht="12.0" customHeight="1">
      <c r="A14" s="181" t="s">
        <v>632</v>
      </c>
      <c r="B14" s="125" t="s">
        <v>633</v>
      </c>
      <c r="C14" s="182">
        <f>SUM('2026'!B6:B9)+SUM('2026'!B17:B20)</f>
        <v>765.78</v>
      </c>
      <c r="D14" s="182">
        <f>SUM('2026'!C6:C9)+SUM('2026'!C17:C20)</f>
        <v>587.55</v>
      </c>
      <c r="E14" s="182">
        <f>SUM('2026'!D6:D9)+SUM('2026'!D17:D20)</f>
        <v>558.975</v>
      </c>
      <c r="F14" s="182">
        <f>SUM('2026'!E6:E9)+SUM('2026'!E17:E20)</f>
        <v>538.08</v>
      </c>
      <c r="G14" s="182">
        <f>SUM('2026'!F6:F9)+SUM('2026'!F17:F20)</f>
        <v>503.97</v>
      </c>
      <c r="H14" s="182">
        <f>SUM('2026'!G6:G9)+SUM('2026'!G17:G20)</f>
        <v>490.755</v>
      </c>
      <c r="I14" s="182">
        <f>SUM('2026'!H6:H9)+SUM('2026'!H17:H20)</f>
        <v>524.865</v>
      </c>
      <c r="J14" s="182">
        <f>SUM('2026'!I6:I9)+SUM('2026'!I17:I20)</f>
        <v>524.865</v>
      </c>
      <c r="K14" s="182">
        <f>SUM('2026'!J6:J9)+SUM('2026'!J17:J20)</f>
        <v>524.865</v>
      </c>
      <c r="L14" s="182">
        <f>SUM('2026'!K6:K9)+SUM('2026'!K17:K20)</f>
        <v>511.65</v>
      </c>
      <c r="M14" s="182">
        <f>SUM('2026'!L6:L9)+SUM('2026'!L17:L20)</f>
        <v>498.435</v>
      </c>
      <c r="N14" s="182">
        <f>SUM('2026'!M6:M9)+SUM('2026'!M17:M20)</f>
        <v>792.21</v>
      </c>
      <c r="O14" s="5"/>
      <c r="P14" s="5"/>
      <c r="Q14" s="5"/>
      <c r="R14" s="5"/>
      <c r="S14" s="5"/>
      <c r="T14" s="5"/>
      <c r="U14" s="5"/>
      <c r="V14" s="5"/>
      <c r="W14" s="5"/>
      <c r="X14" s="5"/>
      <c r="Y14" s="5"/>
      <c r="Z14" s="5"/>
    </row>
    <row r="15" ht="12.0" customHeight="1">
      <c r="A15" s="183"/>
      <c r="B15" s="125" t="s">
        <v>634</v>
      </c>
      <c r="C15" s="184">
        <f>C14/Parametros!$B$37</f>
        <v>38.289</v>
      </c>
      <c r="D15" s="184">
        <f>D14/Parametros!$B$37</f>
        <v>29.3775</v>
      </c>
      <c r="E15" s="184">
        <f>E14/Parametros!$B$37</f>
        <v>27.94875</v>
      </c>
      <c r="F15" s="184">
        <f>F14/Parametros!$B$37</f>
        <v>26.904</v>
      </c>
      <c r="G15" s="184">
        <f>G14/Parametros!$B$37</f>
        <v>25.1985</v>
      </c>
      <c r="H15" s="184">
        <f>H14/Parametros!$B$37</f>
        <v>24.53775</v>
      </c>
      <c r="I15" s="184">
        <f>I14/Parametros!$B$37</f>
        <v>26.24325</v>
      </c>
      <c r="J15" s="184">
        <f>J14/Parametros!$B$37</f>
        <v>26.24325</v>
      </c>
      <c r="K15" s="184">
        <f>K14/Parametros!$B$37</f>
        <v>26.24325</v>
      </c>
      <c r="L15" s="184">
        <f>L14/Parametros!$B$37</f>
        <v>25.5825</v>
      </c>
      <c r="M15" s="184">
        <f>M14/Parametros!$B$37</f>
        <v>24.92175</v>
      </c>
      <c r="N15" s="184">
        <f>N14/Parametros!$B$37</f>
        <v>39.6105</v>
      </c>
      <c r="O15" s="5"/>
      <c r="P15" s="5"/>
      <c r="Q15" s="5"/>
      <c r="R15" s="5"/>
      <c r="S15" s="5"/>
      <c r="T15" s="5"/>
      <c r="U15" s="5"/>
      <c r="V15" s="5"/>
      <c r="W15" s="5"/>
      <c r="X15" s="5"/>
      <c r="Y15" s="5"/>
      <c r="Z15" s="5"/>
    </row>
    <row r="16" ht="12.0" customHeight="1">
      <c r="A16" s="185"/>
      <c r="B16" s="125" t="s">
        <v>635</v>
      </c>
      <c r="C16" s="184">
        <f>C15/Parametros!$J$37</f>
        <v>5.1052</v>
      </c>
      <c r="D16" s="184">
        <f>D15/Parametros!$J$37</f>
        <v>3.917</v>
      </c>
      <c r="E16" s="184">
        <f>E15/Parametros!$J$37</f>
        <v>3.7265</v>
      </c>
      <c r="F16" s="184">
        <f>F15/Parametros!$J$37</f>
        <v>3.5872</v>
      </c>
      <c r="G16" s="184">
        <f>G15/Parametros!$J$37</f>
        <v>3.3598</v>
      </c>
      <c r="H16" s="184">
        <f>H15/Parametros!$J$37</f>
        <v>3.2717</v>
      </c>
      <c r="I16" s="184">
        <f>I15/Parametros!$J$37</f>
        <v>3.4991</v>
      </c>
      <c r="J16" s="184">
        <f>J15/Parametros!$J$37</f>
        <v>3.4991</v>
      </c>
      <c r="K16" s="184">
        <f>K15/Parametros!$J$37</f>
        <v>3.4991</v>
      </c>
      <c r="L16" s="184">
        <f>L15/Parametros!$J$37</f>
        <v>3.411</v>
      </c>
      <c r="M16" s="184">
        <f>M15/Parametros!$J$37</f>
        <v>3.3229</v>
      </c>
      <c r="N16" s="184">
        <f>N15/Parametros!$J$37</f>
        <v>5.2814</v>
      </c>
      <c r="O16" s="5"/>
      <c r="P16" s="5"/>
      <c r="Q16" s="5"/>
      <c r="R16" s="5"/>
      <c r="S16" s="5"/>
      <c r="T16" s="5"/>
      <c r="U16" s="5"/>
      <c r="V16" s="5"/>
      <c r="W16" s="5"/>
      <c r="X16" s="5"/>
      <c r="Y16" s="5"/>
      <c r="Z16" s="5"/>
    </row>
    <row r="17" ht="12.0" customHeight="1">
      <c r="A17" s="186" t="s">
        <v>636</v>
      </c>
      <c r="B17" s="4"/>
      <c r="C17" s="184">
        <f t="shared" ref="C17:N17" si="4">C16</f>
        <v>5.1052</v>
      </c>
      <c r="D17" s="184">
        <f t="shared" si="4"/>
        <v>3.917</v>
      </c>
      <c r="E17" s="184">
        <f t="shared" si="4"/>
        <v>3.7265</v>
      </c>
      <c r="F17" s="184">
        <f t="shared" si="4"/>
        <v>3.5872</v>
      </c>
      <c r="G17" s="184">
        <f t="shared" si="4"/>
        <v>3.3598</v>
      </c>
      <c r="H17" s="184">
        <f t="shared" si="4"/>
        <v>3.2717</v>
      </c>
      <c r="I17" s="184">
        <f t="shared" si="4"/>
        <v>3.4991</v>
      </c>
      <c r="J17" s="184">
        <f t="shared" si="4"/>
        <v>3.4991</v>
      </c>
      <c r="K17" s="184">
        <f t="shared" si="4"/>
        <v>3.4991</v>
      </c>
      <c r="L17" s="184">
        <f t="shared" si="4"/>
        <v>3.411</v>
      </c>
      <c r="M17" s="184">
        <f t="shared" si="4"/>
        <v>3.3229</v>
      </c>
      <c r="N17" s="184">
        <f t="shared" si="4"/>
        <v>5.2814</v>
      </c>
      <c r="O17" s="5"/>
      <c r="P17" s="5"/>
      <c r="Q17" s="5"/>
      <c r="R17" s="5"/>
      <c r="S17" s="5"/>
      <c r="T17" s="5"/>
      <c r="U17" s="5"/>
      <c r="V17" s="5"/>
      <c r="W17" s="5"/>
      <c r="X17" s="5"/>
      <c r="Y17" s="5"/>
      <c r="Z17" s="5"/>
    </row>
    <row r="18" ht="12.0" customHeight="1">
      <c r="A18" s="186" t="s">
        <v>637</v>
      </c>
      <c r="B18" s="4"/>
      <c r="C18" s="184">
        <f>'Resumen Capacidad'!$B$112</f>
        <v>40.88</v>
      </c>
      <c r="D18" s="184">
        <f>'Resumen Capacidad'!$B$112</f>
        <v>40.88</v>
      </c>
      <c r="E18" s="184">
        <f>'Resumen Capacidad'!$B$112</f>
        <v>40.88</v>
      </c>
      <c r="F18" s="184">
        <f>'Resumen Capacidad'!$B$112</f>
        <v>40.88</v>
      </c>
      <c r="G18" s="184">
        <f>'Resumen Capacidad'!$B$112</f>
        <v>40.88</v>
      </c>
      <c r="H18" s="184">
        <f>'Resumen Capacidad'!$B$112</f>
        <v>40.88</v>
      </c>
      <c r="I18" s="184">
        <f>'Resumen Capacidad'!$B$112</f>
        <v>40.88</v>
      </c>
      <c r="J18" s="184">
        <f>'Resumen Capacidad'!$B$112</f>
        <v>40.88</v>
      </c>
      <c r="K18" s="184">
        <f>'Resumen Capacidad'!$B$112</f>
        <v>40.88</v>
      </c>
      <c r="L18" s="184">
        <f>'Resumen Capacidad'!$B$112</f>
        <v>40.88</v>
      </c>
      <c r="M18" s="184">
        <f>'Resumen Capacidad'!$B$112</f>
        <v>40.88</v>
      </c>
      <c r="N18" s="184">
        <f>'Resumen Capacidad'!$B$112</f>
        <v>40.88</v>
      </c>
      <c r="O18" s="5"/>
      <c r="P18" s="5"/>
      <c r="Q18" s="5"/>
      <c r="R18" s="5"/>
      <c r="S18" s="5"/>
      <c r="T18" s="5"/>
      <c r="U18" s="5"/>
      <c r="V18" s="5"/>
      <c r="W18" s="5"/>
      <c r="X18" s="5"/>
      <c r="Y18" s="5"/>
      <c r="Z18" s="5"/>
    </row>
    <row r="19" ht="12.0" customHeight="1">
      <c r="A19" s="186" t="s">
        <v>640</v>
      </c>
      <c r="B19" s="4"/>
      <c r="C19" s="189">
        <f>'Resumen Capacidad'!$B$30*'Resumen Capacidad'!$B$66</f>
        <v>1</v>
      </c>
      <c r="D19" s="189">
        <f>'Resumen Capacidad'!$B$30*'Resumen Capacidad'!$B$66</f>
        <v>1</v>
      </c>
      <c r="E19" s="189">
        <f>'Resumen Capacidad'!$B$30*'Resumen Capacidad'!$B$66</f>
        <v>1</v>
      </c>
      <c r="F19" s="189">
        <f>'Resumen Capacidad'!$B$30*'Resumen Capacidad'!$B$66</f>
        <v>1</v>
      </c>
      <c r="G19" s="189">
        <f>'Resumen Capacidad'!$B$30*'Resumen Capacidad'!$B$66</f>
        <v>1</v>
      </c>
      <c r="H19" s="189">
        <f>'Resumen Capacidad'!$B$30*'Resumen Capacidad'!$B$66</f>
        <v>1</v>
      </c>
      <c r="I19" s="189">
        <f>'Resumen Capacidad'!$B$30*'Resumen Capacidad'!$B$66</f>
        <v>1</v>
      </c>
      <c r="J19" s="189">
        <f>'Resumen Capacidad'!$B$30*'Resumen Capacidad'!$B$66</f>
        <v>1</v>
      </c>
      <c r="K19" s="189">
        <f>'Resumen Capacidad'!$B$30*'Resumen Capacidad'!$B$66</f>
        <v>1</v>
      </c>
      <c r="L19" s="189">
        <f>'Resumen Capacidad'!$B$30*'Resumen Capacidad'!$B$66</f>
        <v>1</v>
      </c>
      <c r="M19" s="189">
        <f>'Resumen Capacidad'!$B$30*'Resumen Capacidad'!$B$66</f>
        <v>1</v>
      </c>
      <c r="N19" s="189">
        <f>'Resumen Capacidad'!$B$30*'Resumen Capacidad'!$B$66</f>
        <v>1</v>
      </c>
      <c r="O19" s="5"/>
      <c r="P19" s="5"/>
      <c r="Q19" s="5"/>
      <c r="R19" s="5"/>
      <c r="S19" s="5"/>
      <c r="T19" s="5"/>
      <c r="U19" s="5"/>
      <c r="V19" s="5"/>
      <c r="W19" s="5"/>
      <c r="X19" s="5"/>
      <c r="Y19" s="5"/>
      <c r="Z19" s="5"/>
    </row>
    <row r="20" ht="12.0" customHeight="1">
      <c r="A20" s="186" t="s">
        <v>642</v>
      </c>
      <c r="B20" s="4"/>
      <c r="C20" s="184">
        <f t="shared" ref="C20:N20" si="5">C18*C19</f>
        <v>40.88</v>
      </c>
      <c r="D20" s="184">
        <f t="shared" si="5"/>
        <v>40.88</v>
      </c>
      <c r="E20" s="184">
        <f t="shared" si="5"/>
        <v>40.88</v>
      </c>
      <c r="F20" s="184">
        <f t="shared" si="5"/>
        <v>40.88</v>
      </c>
      <c r="G20" s="184">
        <f t="shared" si="5"/>
        <v>40.88</v>
      </c>
      <c r="H20" s="184">
        <f t="shared" si="5"/>
        <v>40.88</v>
      </c>
      <c r="I20" s="184">
        <f t="shared" si="5"/>
        <v>40.88</v>
      </c>
      <c r="J20" s="184">
        <f t="shared" si="5"/>
        <v>40.88</v>
      </c>
      <c r="K20" s="184">
        <f t="shared" si="5"/>
        <v>40.88</v>
      </c>
      <c r="L20" s="184">
        <f t="shared" si="5"/>
        <v>40.88</v>
      </c>
      <c r="M20" s="184">
        <f t="shared" si="5"/>
        <v>40.88</v>
      </c>
      <c r="N20" s="184">
        <f t="shared" si="5"/>
        <v>40.88</v>
      </c>
      <c r="O20" s="5"/>
      <c r="P20" s="5"/>
      <c r="Q20" s="5"/>
      <c r="R20" s="5"/>
      <c r="S20" s="5"/>
      <c r="T20" s="5"/>
      <c r="U20" s="5"/>
      <c r="V20" s="5"/>
      <c r="W20" s="5"/>
      <c r="X20" s="5"/>
      <c r="Y20" s="5"/>
      <c r="Z20" s="5"/>
    </row>
    <row r="21" ht="12.0" customHeight="1">
      <c r="A21" s="186" t="s">
        <v>643</v>
      </c>
      <c r="B21" s="4"/>
      <c r="C21" s="148">
        <f t="shared" ref="C21:N21" si="6">IF(C20=0,0,C17/C20)</f>
        <v>0.1248825832</v>
      </c>
      <c r="D21" s="148">
        <f t="shared" si="6"/>
        <v>0.09581702544</v>
      </c>
      <c r="E21" s="148">
        <f t="shared" si="6"/>
        <v>0.09115704501</v>
      </c>
      <c r="F21" s="148">
        <f t="shared" si="6"/>
        <v>0.08774951076</v>
      </c>
      <c r="G21" s="148">
        <f t="shared" si="6"/>
        <v>0.08218688845</v>
      </c>
      <c r="H21" s="148">
        <f t="shared" si="6"/>
        <v>0.08003180039</v>
      </c>
      <c r="I21" s="148">
        <f t="shared" si="6"/>
        <v>0.0855944227</v>
      </c>
      <c r="J21" s="148">
        <f t="shared" si="6"/>
        <v>0.0855944227</v>
      </c>
      <c r="K21" s="148">
        <f t="shared" si="6"/>
        <v>0.0855944227</v>
      </c>
      <c r="L21" s="148">
        <f t="shared" si="6"/>
        <v>0.08343933464</v>
      </c>
      <c r="M21" s="148">
        <f t="shared" si="6"/>
        <v>0.08128424658</v>
      </c>
      <c r="N21" s="148">
        <f t="shared" si="6"/>
        <v>0.1291927593</v>
      </c>
      <c r="O21" s="5"/>
      <c r="P21" s="5"/>
      <c r="Q21" s="5"/>
      <c r="R21" s="5"/>
      <c r="S21" s="5"/>
      <c r="T21" s="5"/>
      <c r="U21" s="5"/>
      <c r="V21" s="5"/>
      <c r="W21" s="5"/>
      <c r="X21" s="5"/>
      <c r="Y21" s="5"/>
      <c r="Z21" s="5"/>
    </row>
    <row r="22" ht="12.0" customHeight="1">
      <c r="A22" s="177" t="s">
        <v>646</v>
      </c>
      <c r="B22" s="178"/>
      <c r="C22" s="178"/>
      <c r="D22" s="178"/>
      <c r="E22" s="178"/>
      <c r="F22" s="178"/>
      <c r="G22" s="178"/>
      <c r="H22" s="178"/>
      <c r="I22" s="178"/>
      <c r="J22" s="178"/>
      <c r="K22" s="178"/>
      <c r="L22" s="178"/>
      <c r="M22" s="178"/>
      <c r="N22" s="179"/>
      <c r="O22" s="5"/>
      <c r="P22" s="5"/>
      <c r="Q22" s="5"/>
      <c r="R22" s="5"/>
      <c r="S22" s="5"/>
      <c r="T22" s="5"/>
      <c r="U22" s="5"/>
      <c r="V22" s="5"/>
      <c r="W22" s="5"/>
      <c r="X22" s="5"/>
      <c r="Y22" s="5"/>
      <c r="Z22" s="5"/>
    </row>
    <row r="23" ht="12.0" customHeight="1">
      <c r="A23" s="180" t="s">
        <v>630</v>
      </c>
      <c r="B23" s="180" t="s">
        <v>631</v>
      </c>
      <c r="C23" s="180" t="s">
        <v>3</v>
      </c>
      <c r="D23" s="180" t="s">
        <v>4</v>
      </c>
      <c r="E23" s="180" t="s">
        <v>5</v>
      </c>
      <c r="F23" s="180" t="s">
        <v>6</v>
      </c>
      <c r="G23" s="180" t="s">
        <v>7</v>
      </c>
      <c r="H23" s="180" t="s">
        <v>8</v>
      </c>
      <c r="I23" s="180" t="s">
        <v>9</v>
      </c>
      <c r="J23" s="180" t="s">
        <v>10</v>
      </c>
      <c r="K23" s="180" t="s">
        <v>11</v>
      </c>
      <c r="L23" s="180" t="s">
        <v>12</v>
      </c>
      <c r="M23" s="180" t="s">
        <v>13</v>
      </c>
      <c r="N23" s="180" t="s">
        <v>14</v>
      </c>
      <c r="O23" s="5"/>
      <c r="P23" s="5"/>
      <c r="Q23" s="5"/>
      <c r="R23" s="5"/>
      <c r="S23" s="5"/>
      <c r="T23" s="5"/>
      <c r="U23" s="5"/>
      <c r="V23" s="5"/>
      <c r="W23" s="5"/>
      <c r="X23" s="5"/>
      <c r="Y23" s="5"/>
      <c r="Z23" s="5"/>
    </row>
    <row r="24" ht="12.0" customHeight="1">
      <c r="A24" s="181" t="s">
        <v>647</v>
      </c>
      <c r="B24" s="125" t="s">
        <v>633</v>
      </c>
      <c r="C24" s="182">
        <f>(SUM('2026'!B6:B9)+SUM('2026'!B17:B20))*2</f>
        <v>1531.56</v>
      </c>
      <c r="D24" s="182">
        <f>(SUM('2026'!C6:C9)+SUM('2026'!C17:C20))*2</f>
        <v>1175.1</v>
      </c>
      <c r="E24" s="182">
        <f>(SUM('2026'!D6:D9)+SUM('2026'!D17:D20))*2</f>
        <v>1117.95</v>
      </c>
      <c r="F24" s="182">
        <f>(SUM('2026'!E6:E9)+SUM('2026'!E17:E20))*2</f>
        <v>1076.16</v>
      </c>
      <c r="G24" s="182">
        <f>(SUM('2026'!F6:F9)+SUM('2026'!F17:F20))*2</f>
        <v>1007.94</v>
      </c>
      <c r="H24" s="182">
        <f>(SUM('2026'!G6:G9)+SUM('2026'!G17:G20))*2</f>
        <v>981.51</v>
      </c>
      <c r="I24" s="182">
        <f>(SUM('2026'!H6:H9)+SUM('2026'!H17:H20))*2</f>
        <v>1049.73</v>
      </c>
      <c r="J24" s="182">
        <f>(SUM('2026'!I6:I9)+SUM('2026'!I17:I20))*2</f>
        <v>1049.73</v>
      </c>
      <c r="K24" s="182">
        <f>(SUM('2026'!J6:J9)+SUM('2026'!J17:J20))*2</f>
        <v>1049.73</v>
      </c>
      <c r="L24" s="182">
        <f>(SUM('2026'!K6:K9)+SUM('2026'!K17:K20))*2</f>
        <v>1023.3</v>
      </c>
      <c r="M24" s="182">
        <f>(SUM('2026'!L6:L9)+SUM('2026'!L17:L20))*2</f>
        <v>996.87</v>
      </c>
      <c r="N24" s="182">
        <f>(SUM('2026'!M6:M9)+SUM('2026'!M17:M20))*2</f>
        <v>1584.42</v>
      </c>
      <c r="O24" s="5"/>
      <c r="P24" s="5"/>
      <c r="Q24" s="5"/>
      <c r="R24" s="5"/>
      <c r="S24" s="5"/>
      <c r="T24" s="5"/>
      <c r="U24" s="5"/>
      <c r="V24" s="5"/>
      <c r="W24" s="5"/>
      <c r="X24" s="5"/>
      <c r="Y24" s="5"/>
      <c r="Z24" s="5"/>
    </row>
    <row r="25" ht="12.0" customHeight="1">
      <c r="A25" s="183"/>
      <c r="B25" s="125" t="s">
        <v>634</v>
      </c>
      <c r="C25" s="184">
        <f>C24/Parametros!$B$37</f>
        <v>76.578</v>
      </c>
      <c r="D25" s="184">
        <f>D24/Parametros!$B$37</f>
        <v>58.755</v>
      </c>
      <c r="E25" s="184">
        <f>E24/Parametros!$B$37</f>
        <v>55.8975</v>
      </c>
      <c r="F25" s="184">
        <f>F24/Parametros!$B$37</f>
        <v>53.808</v>
      </c>
      <c r="G25" s="184">
        <f>G24/Parametros!$B$37</f>
        <v>50.397</v>
      </c>
      <c r="H25" s="184">
        <f>H24/Parametros!$B$37</f>
        <v>49.0755</v>
      </c>
      <c r="I25" s="184">
        <f>I24/Parametros!$B$37</f>
        <v>52.4865</v>
      </c>
      <c r="J25" s="184">
        <f>J24/Parametros!$B$37</f>
        <v>52.4865</v>
      </c>
      <c r="K25" s="184">
        <f>K24/Parametros!$B$37</f>
        <v>52.4865</v>
      </c>
      <c r="L25" s="184">
        <f>L24/Parametros!$B$37</f>
        <v>51.165</v>
      </c>
      <c r="M25" s="184">
        <f>M24/Parametros!$B$37</f>
        <v>49.8435</v>
      </c>
      <c r="N25" s="184">
        <f>N24/Parametros!$B$37</f>
        <v>79.221</v>
      </c>
      <c r="O25" s="5"/>
      <c r="P25" s="5"/>
      <c r="Q25" s="5"/>
      <c r="R25" s="5"/>
      <c r="S25" s="5"/>
      <c r="T25" s="5"/>
      <c r="U25" s="5"/>
      <c r="V25" s="5"/>
      <c r="W25" s="5"/>
      <c r="X25" s="5"/>
      <c r="Y25" s="5"/>
      <c r="Z25" s="5"/>
    </row>
    <row r="26" ht="12.0" customHeight="1">
      <c r="A26" s="185"/>
      <c r="B26" s="125" t="s">
        <v>635</v>
      </c>
      <c r="C26" s="184">
        <f>C25/Parametros!$J$37</f>
        <v>10.2104</v>
      </c>
      <c r="D26" s="184">
        <f>D25/Parametros!$J$37</f>
        <v>7.834</v>
      </c>
      <c r="E26" s="184">
        <f>E25/Parametros!$J$37</f>
        <v>7.453</v>
      </c>
      <c r="F26" s="184">
        <f>F25/Parametros!$J$37</f>
        <v>7.1744</v>
      </c>
      <c r="G26" s="184">
        <f>G25/Parametros!$J$37</f>
        <v>6.7196</v>
      </c>
      <c r="H26" s="184">
        <f>H25/Parametros!$J$37</f>
        <v>6.5434</v>
      </c>
      <c r="I26" s="184">
        <f>I25/Parametros!$J$37</f>
        <v>6.9982</v>
      </c>
      <c r="J26" s="184">
        <f>J25/Parametros!$J$37</f>
        <v>6.9982</v>
      </c>
      <c r="K26" s="184">
        <f>K25/Parametros!$J$37</f>
        <v>6.9982</v>
      </c>
      <c r="L26" s="184">
        <f>L25/Parametros!$J$37</f>
        <v>6.822</v>
      </c>
      <c r="M26" s="184">
        <f>M25/Parametros!$J$37</f>
        <v>6.6458</v>
      </c>
      <c r="N26" s="184">
        <f>N25/Parametros!$J$37</f>
        <v>10.5628</v>
      </c>
      <c r="O26" s="5"/>
      <c r="P26" s="5"/>
      <c r="Q26" s="5"/>
      <c r="R26" s="5"/>
      <c r="S26" s="5"/>
      <c r="T26" s="5"/>
      <c r="U26" s="5"/>
      <c r="V26" s="5"/>
      <c r="W26" s="5"/>
      <c r="X26" s="5"/>
      <c r="Y26" s="5"/>
      <c r="Z26" s="5"/>
    </row>
    <row r="27" ht="12.0" customHeight="1">
      <c r="A27" s="186" t="s">
        <v>636</v>
      </c>
      <c r="B27" s="4"/>
      <c r="C27" s="184">
        <f t="shared" ref="C27:N27" si="7">C26</f>
        <v>10.2104</v>
      </c>
      <c r="D27" s="184">
        <f t="shared" si="7"/>
        <v>7.834</v>
      </c>
      <c r="E27" s="184">
        <f t="shared" si="7"/>
        <v>7.453</v>
      </c>
      <c r="F27" s="184">
        <f t="shared" si="7"/>
        <v>7.1744</v>
      </c>
      <c r="G27" s="184">
        <f t="shared" si="7"/>
        <v>6.7196</v>
      </c>
      <c r="H27" s="184">
        <f t="shared" si="7"/>
        <v>6.5434</v>
      </c>
      <c r="I27" s="184">
        <f t="shared" si="7"/>
        <v>6.9982</v>
      </c>
      <c r="J27" s="184">
        <f t="shared" si="7"/>
        <v>6.9982</v>
      </c>
      <c r="K27" s="184">
        <f t="shared" si="7"/>
        <v>6.9982</v>
      </c>
      <c r="L27" s="184">
        <f t="shared" si="7"/>
        <v>6.822</v>
      </c>
      <c r="M27" s="184">
        <f t="shared" si="7"/>
        <v>6.6458</v>
      </c>
      <c r="N27" s="184">
        <f t="shared" si="7"/>
        <v>10.5628</v>
      </c>
      <c r="O27" s="5"/>
      <c r="P27" s="5"/>
      <c r="Q27" s="5"/>
      <c r="R27" s="5"/>
      <c r="S27" s="5"/>
      <c r="T27" s="5"/>
      <c r="U27" s="5"/>
      <c r="V27" s="5"/>
      <c r="W27" s="5"/>
      <c r="X27" s="5"/>
      <c r="Y27" s="5"/>
      <c r="Z27" s="5"/>
    </row>
    <row r="28" ht="12.0" customHeight="1">
      <c r="A28" s="186" t="s">
        <v>637</v>
      </c>
      <c r="B28" s="4"/>
      <c r="C28" s="184">
        <f>'Resumen Capacidad'!$B$113</f>
        <v>466.5116279</v>
      </c>
      <c r="D28" s="184">
        <f>'Resumen Capacidad'!$B$113</f>
        <v>466.5116279</v>
      </c>
      <c r="E28" s="184">
        <f>'Resumen Capacidad'!$B$113</f>
        <v>466.5116279</v>
      </c>
      <c r="F28" s="184">
        <f>'Resumen Capacidad'!$B$113</f>
        <v>466.5116279</v>
      </c>
      <c r="G28" s="184">
        <f>'Resumen Capacidad'!$B$113</f>
        <v>466.5116279</v>
      </c>
      <c r="H28" s="184">
        <f>'Resumen Capacidad'!$B$113</f>
        <v>466.5116279</v>
      </c>
      <c r="I28" s="184">
        <f>'Resumen Capacidad'!$B$113</f>
        <v>466.5116279</v>
      </c>
      <c r="J28" s="184">
        <f>'Resumen Capacidad'!$B$113</f>
        <v>466.5116279</v>
      </c>
      <c r="K28" s="184">
        <f>'Resumen Capacidad'!$B$113</f>
        <v>466.5116279</v>
      </c>
      <c r="L28" s="184">
        <f>'Resumen Capacidad'!$B$113</f>
        <v>466.5116279</v>
      </c>
      <c r="M28" s="184">
        <f>'Resumen Capacidad'!$B$113</f>
        <v>466.5116279</v>
      </c>
      <c r="N28" s="184">
        <f>'Resumen Capacidad'!$B$113</f>
        <v>466.5116279</v>
      </c>
      <c r="O28" s="5"/>
      <c r="P28" s="5"/>
      <c r="Q28" s="5"/>
      <c r="R28" s="5"/>
      <c r="S28" s="5"/>
      <c r="T28" s="5"/>
      <c r="U28" s="5"/>
      <c r="V28" s="5"/>
      <c r="W28" s="5"/>
      <c r="X28" s="5"/>
      <c r="Y28" s="5"/>
      <c r="Z28" s="5"/>
    </row>
    <row r="29" ht="12.0" customHeight="1">
      <c r="A29" s="186" t="s">
        <v>640</v>
      </c>
      <c r="B29" s="4"/>
      <c r="C29" s="189">
        <f>'Resumen Capacidad'!$B$31*'Resumen Capacidad'!$B$67</f>
        <v>1</v>
      </c>
      <c r="D29" s="189">
        <f>'Resumen Capacidad'!$B$31*'Resumen Capacidad'!$B$67</f>
        <v>1</v>
      </c>
      <c r="E29" s="189">
        <f>'Resumen Capacidad'!$B$31*'Resumen Capacidad'!$B$67</f>
        <v>1</v>
      </c>
      <c r="F29" s="189">
        <f>'Resumen Capacidad'!$B$31*'Resumen Capacidad'!$B$67</f>
        <v>1</v>
      </c>
      <c r="G29" s="189">
        <f>'Resumen Capacidad'!$B$31*'Resumen Capacidad'!$B$67</f>
        <v>1</v>
      </c>
      <c r="H29" s="189">
        <f>'Resumen Capacidad'!$B$31*'Resumen Capacidad'!$B$67</f>
        <v>1</v>
      </c>
      <c r="I29" s="189">
        <f>'Resumen Capacidad'!$B$31*'Resumen Capacidad'!$B$67</f>
        <v>1</v>
      </c>
      <c r="J29" s="189">
        <f>'Resumen Capacidad'!$B$31*'Resumen Capacidad'!$B$67</f>
        <v>1</v>
      </c>
      <c r="K29" s="189">
        <f>'Resumen Capacidad'!$B$31*'Resumen Capacidad'!$B$67</f>
        <v>1</v>
      </c>
      <c r="L29" s="189">
        <f>'Resumen Capacidad'!$B$31*'Resumen Capacidad'!$B$67</f>
        <v>1</v>
      </c>
      <c r="M29" s="189">
        <f>'Resumen Capacidad'!$B$31*'Resumen Capacidad'!$B$67</f>
        <v>1</v>
      </c>
      <c r="N29" s="189">
        <f>'Resumen Capacidad'!$B$31*'Resumen Capacidad'!$B$67</f>
        <v>1</v>
      </c>
      <c r="O29" s="5"/>
      <c r="P29" s="5"/>
      <c r="Q29" s="5"/>
      <c r="R29" s="5"/>
      <c r="S29" s="5"/>
      <c r="T29" s="5"/>
      <c r="U29" s="5"/>
      <c r="V29" s="5"/>
      <c r="W29" s="5"/>
      <c r="X29" s="5"/>
      <c r="Y29" s="5"/>
      <c r="Z29" s="5"/>
    </row>
    <row r="30" ht="12.0" customHeight="1">
      <c r="A30" s="186" t="s">
        <v>642</v>
      </c>
      <c r="B30" s="4"/>
      <c r="C30" s="184">
        <f t="shared" ref="C30:N30" si="8">C28*C29</f>
        <v>466.5116279</v>
      </c>
      <c r="D30" s="184">
        <f t="shared" si="8"/>
        <v>466.5116279</v>
      </c>
      <c r="E30" s="184">
        <f t="shared" si="8"/>
        <v>466.5116279</v>
      </c>
      <c r="F30" s="184">
        <f t="shared" si="8"/>
        <v>466.5116279</v>
      </c>
      <c r="G30" s="184">
        <f t="shared" si="8"/>
        <v>466.5116279</v>
      </c>
      <c r="H30" s="184">
        <f t="shared" si="8"/>
        <v>466.5116279</v>
      </c>
      <c r="I30" s="184">
        <f t="shared" si="8"/>
        <v>466.5116279</v>
      </c>
      <c r="J30" s="184">
        <f t="shared" si="8"/>
        <v>466.5116279</v>
      </c>
      <c r="K30" s="184">
        <f t="shared" si="8"/>
        <v>466.5116279</v>
      </c>
      <c r="L30" s="184">
        <f t="shared" si="8"/>
        <v>466.5116279</v>
      </c>
      <c r="M30" s="184">
        <f t="shared" si="8"/>
        <v>466.5116279</v>
      </c>
      <c r="N30" s="184">
        <f t="shared" si="8"/>
        <v>466.5116279</v>
      </c>
      <c r="O30" s="5"/>
      <c r="P30" s="5"/>
      <c r="Q30" s="5"/>
      <c r="R30" s="5"/>
      <c r="S30" s="5"/>
      <c r="T30" s="5"/>
      <c r="U30" s="5"/>
      <c r="V30" s="5"/>
      <c r="W30" s="5"/>
      <c r="X30" s="5"/>
      <c r="Y30" s="5"/>
      <c r="Z30" s="5"/>
    </row>
    <row r="31" ht="12.0" customHeight="1">
      <c r="A31" s="186" t="s">
        <v>643</v>
      </c>
      <c r="B31" s="4"/>
      <c r="C31" s="148">
        <f t="shared" ref="C31:N31" si="9">IF(C30=0,0,C27/C30)</f>
        <v>0.0218866999</v>
      </c>
      <c r="D31" s="148">
        <f t="shared" si="9"/>
        <v>0.01679272183</v>
      </c>
      <c r="E31" s="148">
        <f t="shared" si="9"/>
        <v>0.01597602193</v>
      </c>
      <c r="F31" s="148">
        <f t="shared" si="9"/>
        <v>0.01537882353</v>
      </c>
      <c r="G31" s="148">
        <f t="shared" si="9"/>
        <v>0.01440392822</v>
      </c>
      <c r="H31" s="148">
        <f t="shared" si="9"/>
        <v>0.01402623131</v>
      </c>
      <c r="I31" s="148">
        <f t="shared" si="9"/>
        <v>0.01500112662</v>
      </c>
      <c r="J31" s="148">
        <f t="shared" si="9"/>
        <v>0.01500112662</v>
      </c>
      <c r="K31" s="148">
        <f t="shared" si="9"/>
        <v>0.01500112662</v>
      </c>
      <c r="L31" s="148">
        <f t="shared" si="9"/>
        <v>0.01462342971</v>
      </c>
      <c r="M31" s="148">
        <f t="shared" si="9"/>
        <v>0.0142457328</v>
      </c>
      <c r="N31" s="148">
        <f t="shared" si="9"/>
        <v>0.02264209372</v>
      </c>
      <c r="O31" s="5"/>
      <c r="P31" s="5"/>
      <c r="Q31" s="5"/>
      <c r="R31" s="5"/>
      <c r="S31" s="5"/>
      <c r="T31" s="5"/>
      <c r="U31" s="5"/>
      <c r="V31" s="5"/>
      <c r="W31" s="5"/>
      <c r="X31" s="5"/>
      <c r="Y31" s="5"/>
      <c r="Z31" s="5"/>
    </row>
    <row r="32" ht="12.0" customHeight="1">
      <c r="A32" s="177" t="s">
        <v>649</v>
      </c>
      <c r="B32" s="178"/>
      <c r="C32" s="178"/>
      <c r="D32" s="178"/>
      <c r="E32" s="178"/>
      <c r="F32" s="178"/>
      <c r="G32" s="178"/>
      <c r="H32" s="178"/>
      <c r="I32" s="178"/>
      <c r="J32" s="178"/>
      <c r="K32" s="178"/>
      <c r="L32" s="178"/>
      <c r="M32" s="178"/>
      <c r="N32" s="179"/>
      <c r="O32" s="5"/>
      <c r="P32" s="5"/>
      <c r="Q32" s="5"/>
      <c r="R32" s="5"/>
      <c r="S32" s="5"/>
      <c r="T32" s="5"/>
      <c r="U32" s="5"/>
      <c r="V32" s="5"/>
      <c r="W32" s="5"/>
      <c r="X32" s="5"/>
      <c r="Y32" s="5"/>
      <c r="Z32" s="5"/>
    </row>
    <row r="33" ht="12.0" customHeight="1">
      <c r="A33" s="180" t="s">
        <v>630</v>
      </c>
      <c r="B33" s="180" t="s">
        <v>631</v>
      </c>
      <c r="C33" s="180" t="s">
        <v>3</v>
      </c>
      <c r="D33" s="180" t="s">
        <v>4</v>
      </c>
      <c r="E33" s="180" t="s">
        <v>5</v>
      </c>
      <c r="F33" s="180" t="s">
        <v>6</v>
      </c>
      <c r="G33" s="180" t="s">
        <v>7</v>
      </c>
      <c r="H33" s="180" t="s">
        <v>8</v>
      </c>
      <c r="I33" s="180" t="s">
        <v>9</v>
      </c>
      <c r="J33" s="180" t="s">
        <v>10</v>
      </c>
      <c r="K33" s="180" t="s">
        <v>11</v>
      </c>
      <c r="L33" s="180" t="s">
        <v>12</v>
      </c>
      <c r="M33" s="180" t="s">
        <v>13</v>
      </c>
      <c r="N33" s="180" t="s">
        <v>14</v>
      </c>
      <c r="O33" s="5"/>
      <c r="P33" s="5"/>
      <c r="Q33" s="5"/>
      <c r="R33" s="5"/>
      <c r="S33" s="5"/>
      <c r="T33" s="5"/>
      <c r="U33" s="5"/>
      <c r="V33" s="5"/>
      <c r="W33" s="5"/>
      <c r="X33" s="5"/>
      <c r="Y33" s="5"/>
      <c r="Z33" s="5"/>
    </row>
    <row r="34" ht="12.0" customHeight="1">
      <c r="A34" s="181" t="s">
        <v>632</v>
      </c>
      <c r="B34" s="125" t="s">
        <v>633</v>
      </c>
      <c r="C34" s="182">
        <f>SUM('2026'!B6:B9)+SUM('2026'!B17:B20)</f>
        <v>765.78</v>
      </c>
      <c r="D34" s="182">
        <f>SUM('2026'!C6:C9)+SUM('2026'!C17:C20)</f>
        <v>587.55</v>
      </c>
      <c r="E34" s="182">
        <f>SUM('2026'!D6:D9)+SUM('2026'!D17:D20)</f>
        <v>558.975</v>
      </c>
      <c r="F34" s="182">
        <f>SUM('2026'!E6:E9)+SUM('2026'!E17:E20)</f>
        <v>538.08</v>
      </c>
      <c r="G34" s="182">
        <f>SUM('2026'!F6:F9)+SUM('2026'!F17:F20)</f>
        <v>503.97</v>
      </c>
      <c r="H34" s="182">
        <f>SUM('2026'!G6:G9)+SUM('2026'!G17:G20)</f>
        <v>490.755</v>
      </c>
      <c r="I34" s="182">
        <f>SUM('2026'!H6:H9)+SUM('2026'!H17:H20)</f>
        <v>524.865</v>
      </c>
      <c r="J34" s="182">
        <f>SUM('2026'!I6:I9)+SUM('2026'!I17:I20)</f>
        <v>524.865</v>
      </c>
      <c r="K34" s="182">
        <f>SUM('2026'!J6:J9)+SUM('2026'!J17:J20)</f>
        <v>524.865</v>
      </c>
      <c r="L34" s="182">
        <f>SUM('2026'!K6:K9)+SUM('2026'!K17:K20)</f>
        <v>511.65</v>
      </c>
      <c r="M34" s="182">
        <f>SUM('2026'!L6:L9)+SUM('2026'!L17:L20)</f>
        <v>498.435</v>
      </c>
      <c r="N34" s="182">
        <f>SUM('2026'!M6:M9)+SUM('2026'!M17:M20)</f>
        <v>792.21</v>
      </c>
      <c r="O34" s="5"/>
      <c r="P34" s="5"/>
      <c r="Q34" s="5"/>
      <c r="R34" s="5"/>
      <c r="S34" s="5"/>
      <c r="T34" s="5"/>
      <c r="U34" s="5"/>
      <c r="V34" s="5"/>
      <c r="W34" s="5"/>
      <c r="X34" s="5"/>
      <c r="Y34" s="5"/>
      <c r="Z34" s="5"/>
    </row>
    <row r="35" ht="12.0" customHeight="1">
      <c r="A35" s="183"/>
      <c r="B35" s="125" t="s">
        <v>634</v>
      </c>
      <c r="C35" s="184">
        <f>C34/Parametros!$B$37</f>
        <v>38.289</v>
      </c>
      <c r="D35" s="184">
        <f>D34/Parametros!$B$37</f>
        <v>29.3775</v>
      </c>
      <c r="E35" s="184">
        <f>E34/Parametros!$B$37</f>
        <v>27.94875</v>
      </c>
      <c r="F35" s="184">
        <f>F34/Parametros!$B$37</f>
        <v>26.904</v>
      </c>
      <c r="G35" s="184">
        <f>G34/Parametros!$B$37</f>
        <v>25.1985</v>
      </c>
      <c r="H35" s="184">
        <f>H34/Parametros!$B$37</f>
        <v>24.53775</v>
      </c>
      <c r="I35" s="184">
        <f>I34/Parametros!$B$37</f>
        <v>26.24325</v>
      </c>
      <c r="J35" s="184">
        <f>J34/Parametros!$B$37</f>
        <v>26.24325</v>
      </c>
      <c r="K35" s="184">
        <f>K34/Parametros!$B$37</f>
        <v>26.24325</v>
      </c>
      <c r="L35" s="184">
        <f>L34/Parametros!$B$37</f>
        <v>25.5825</v>
      </c>
      <c r="M35" s="184">
        <f>M34/Parametros!$B$37</f>
        <v>24.92175</v>
      </c>
      <c r="N35" s="184">
        <f>N34/Parametros!$B$37</f>
        <v>39.6105</v>
      </c>
      <c r="O35" s="5"/>
      <c r="P35" s="5"/>
      <c r="Q35" s="5"/>
      <c r="R35" s="5"/>
      <c r="S35" s="5"/>
      <c r="T35" s="5"/>
      <c r="U35" s="5"/>
      <c r="V35" s="5"/>
      <c r="W35" s="5"/>
      <c r="X35" s="5"/>
      <c r="Y35" s="5"/>
      <c r="Z35" s="5"/>
    </row>
    <row r="36" ht="12.0" customHeight="1">
      <c r="A36" s="185"/>
      <c r="B36" s="125" t="s">
        <v>635</v>
      </c>
      <c r="C36" s="184">
        <f>C35/Parametros!$J$37</f>
        <v>5.1052</v>
      </c>
      <c r="D36" s="184">
        <f>D35/Parametros!$J$37</f>
        <v>3.917</v>
      </c>
      <c r="E36" s="184">
        <f>E35/Parametros!$J$37</f>
        <v>3.7265</v>
      </c>
      <c r="F36" s="184">
        <f>F35/Parametros!$J$37</f>
        <v>3.5872</v>
      </c>
      <c r="G36" s="184">
        <f>G35/Parametros!$J$37</f>
        <v>3.3598</v>
      </c>
      <c r="H36" s="184">
        <f>H35/Parametros!$J$37</f>
        <v>3.2717</v>
      </c>
      <c r="I36" s="184">
        <f>I35/Parametros!$J$37</f>
        <v>3.4991</v>
      </c>
      <c r="J36" s="184">
        <f>J35/Parametros!$J$37</f>
        <v>3.4991</v>
      </c>
      <c r="K36" s="184">
        <f>K35/Parametros!$J$37</f>
        <v>3.4991</v>
      </c>
      <c r="L36" s="184">
        <f>L35/Parametros!$J$37</f>
        <v>3.411</v>
      </c>
      <c r="M36" s="184">
        <f>M35/Parametros!$J$37</f>
        <v>3.3229</v>
      </c>
      <c r="N36" s="184">
        <f>N35/Parametros!$J$37</f>
        <v>5.2814</v>
      </c>
      <c r="O36" s="5"/>
      <c r="P36" s="5"/>
      <c r="Q36" s="5"/>
      <c r="R36" s="5"/>
      <c r="S36" s="5"/>
      <c r="T36" s="5"/>
      <c r="U36" s="5"/>
      <c r="V36" s="5"/>
      <c r="W36" s="5"/>
      <c r="X36" s="5"/>
      <c r="Y36" s="5"/>
      <c r="Z36" s="5"/>
    </row>
    <row r="37" ht="12.0" customHeight="1">
      <c r="A37" s="186" t="s">
        <v>636</v>
      </c>
      <c r="B37" s="4"/>
      <c r="C37" s="184">
        <f t="shared" ref="C37:N37" si="10">C36</f>
        <v>5.1052</v>
      </c>
      <c r="D37" s="184">
        <f t="shared" si="10"/>
        <v>3.917</v>
      </c>
      <c r="E37" s="184">
        <f t="shared" si="10"/>
        <v>3.7265</v>
      </c>
      <c r="F37" s="184">
        <f t="shared" si="10"/>
        <v>3.5872</v>
      </c>
      <c r="G37" s="184">
        <f t="shared" si="10"/>
        <v>3.3598</v>
      </c>
      <c r="H37" s="184">
        <f t="shared" si="10"/>
        <v>3.2717</v>
      </c>
      <c r="I37" s="184">
        <f t="shared" si="10"/>
        <v>3.4991</v>
      </c>
      <c r="J37" s="184">
        <f t="shared" si="10"/>
        <v>3.4991</v>
      </c>
      <c r="K37" s="184">
        <f t="shared" si="10"/>
        <v>3.4991</v>
      </c>
      <c r="L37" s="184">
        <f t="shared" si="10"/>
        <v>3.411</v>
      </c>
      <c r="M37" s="184">
        <f t="shared" si="10"/>
        <v>3.3229</v>
      </c>
      <c r="N37" s="184">
        <f t="shared" si="10"/>
        <v>5.2814</v>
      </c>
      <c r="O37" s="5"/>
      <c r="P37" s="5"/>
      <c r="Q37" s="5"/>
      <c r="R37" s="5"/>
      <c r="S37" s="5"/>
      <c r="T37" s="5"/>
      <c r="U37" s="5"/>
      <c r="V37" s="5"/>
      <c r="W37" s="5"/>
      <c r="X37" s="5"/>
      <c r="Y37" s="5"/>
      <c r="Z37" s="5"/>
    </row>
    <row r="38" ht="12.0" customHeight="1">
      <c r="A38" s="186" t="s">
        <v>637</v>
      </c>
      <c r="B38" s="4"/>
      <c r="C38" s="184">
        <f>'Resumen Capacidad'!$B$114</f>
        <v>96</v>
      </c>
      <c r="D38" s="184">
        <f>'Resumen Capacidad'!$B$114</f>
        <v>96</v>
      </c>
      <c r="E38" s="184">
        <f>'Resumen Capacidad'!$B$114</f>
        <v>96</v>
      </c>
      <c r="F38" s="184">
        <f>'Resumen Capacidad'!$B$114</f>
        <v>96</v>
      </c>
      <c r="G38" s="184">
        <f>'Resumen Capacidad'!$B$114</f>
        <v>96</v>
      </c>
      <c r="H38" s="184">
        <f>'Resumen Capacidad'!$B$114</f>
        <v>96</v>
      </c>
      <c r="I38" s="184">
        <f>'Resumen Capacidad'!$B$114</f>
        <v>96</v>
      </c>
      <c r="J38" s="184">
        <f>'Resumen Capacidad'!$B$114</f>
        <v>96</v>
      </c>
      <c r="K38" s="184">
        <f>'Resumen Capacidad'!$B$114</f>
        <v>96</v>
      </c>
      <c r="L38" s="184">
        <f>'Resumen Capacidad'!$B$114</f>
        <v>96</v>
      </c>
      <c r="M38" s="184">
        <f>'Resumen Capacidad'!$B$114</f>
        <v>96</v>
      </c>
      <c r="N38" s="184">
        <f>'Resumen Capacidad'!$B$114</f>
        <v>96</v>
      </c>
      <c r="O38" s="5"/>
      <c r="P38" s="5"/>
      <c r="Q38" s="5"/>
      <c r="R38" s="5"/>
      <c r="S38" s="5"/>
      <c r="T38" s="5"/>
      <c r="U38" s="5"/>
      <c r="V38" s="5"/>
      <c r="W38" s="5"/>
      <c r="X38" s="5"/>
      <c r="Y38" s="5"/>
      <c r="Z38" s="5"/>
    </row>
    <row r="39" ht="12.0" customHeight="1">
      <c r="A39" s="186" t="s">
        <v>640</v>
      </c>
      <c r="B39" s="4"/>
      <c r="C39" s="189">
        <f>'Resumen Capacidad'!$B$32*'Resumen Capacidad'!$B$68</f>
        <v>1</v>
      </c>
      <c r="D39" s="189">
        <f>'Resumen Capacidad'!$B$32*'Resumen Capacidad'!$B$68</f>
        <v>1</v>
      </c>
      <c r="E39" s="189">
        <f>'Resumen Capacidad'!$B$32*'Resumen Capacidad'!$B$68</f>
        <v>1</v>
      </c>
      <c r="F39" s="189">
        <f>'Resumen Capacidad'!$B$32*'Resumen Capacidad'!$B$68</f>
        <v>1</v>
      </c>
      <c r="G39" s="189">
        <f>'Resumen Capacidad'!$B$32*'Resumen Capacidad'!$B$68</f>
        <v>1</v>
      </c>
      <c r="H39" s="189">
        <f>'Resumen Capacidad'!$B$32*'Resumen Capacidad'!$B$68</f>
        <v>1</v>
      </c>
      <c r="I39" s="189">
        <f>'Resumen Capacidad'!$B$32*'Resumen Capacidad'!$B$68</f>
        <v>1</v>
      </c>
      <c r="J39" s="189">
        <f>'Resumen Capacidad'!$B$32*'Resumen Capacidad'!$B$68</f>
        <v>1</v>
      </c>
      <c r="K39" s="189">
        <f>'Resumen Capacidad'!$B$32*'Resumen Capacidad'!$B$68</f>
        <v>1</v>
      </c>
      <c r="L39" s="189">
        <f>'Resumen Capacidad'!$B$32*'Resumen Capacidad'!$B$68</f>
        <v>1</v>
      </c>
      <c r="M39" s="189">
        <f>'Resumen Capacidad'!$B$32*'Resumen Capacidad'!$B$68</f>
        <v>1</v>
      </c>
      <c r="N39" s="189">
        <f>'Resumen Capacidad'!$B$32*'Resumen Capacidad'!$B$68</f>
        <v>1</v>
      </c>
      <c r="O39" s="5"/>
      <c r="P39" s="5"/>
      <c r="Q39" s="5"/>
      <c r="R39" s="5"/>
      <c r="S39" s="5"/>
      <c r="T39" s="5"/>
      <c r="U39" s="5"/>
      <c r="V39" s="5"/>
      <c r="W39" s="5"/>
      <c r="X39" s="5"/>
      <c r="Y39" s="5"/>
      <c r="Z39" s="5"/>
    </row>
    <row r="40" ht="12.0" customHeight="1">
      <c r="A40" s="186" t="s">
        <v>642</v>
      </c>
      <c r="B40" s="4"/>
      <c r="C40" s="184">
        <f t="shared" ref="C40:N40" si="11">C38*C39</f>
        <v>96</v>
      </c>
      <c r="D40" s="184">
        <f t="shared" si="11"/>
        <v>96</v>
      </c>
      <c r="E40" s="184">
        <f t="shared" si="11"/>
        <v>96</v>
      </c>
      <c r="F40" s="184">
        <f t="shared" si="11"/>
        <v>96</v>
      </c>
      <c r="G40" s="184">
        <f t="shared" si="11"/>
        <v>96</v>
      </c>
      <c r="H40" s="184">
        <f t="shared" si="11"/>
        <v>96</v>
      </c>
      <c r="I40" s="184">
        <f t="shared" si="11"/>
        <v>96</v>
      </c>
      <c r="J40" s="184">
        <f t="shared" si="11"/>
        <v>96</v>
      </c>
      <c r="K40" s="184">
        <f t="shared" si="11"/>
        <v>96</v>
      </c>
      <c r="L40" s="184">
        <f t="shared" si="11"/>
        <v>96</v>
      </c>
      <c r="M40" s="184">
        <f t="shared" si="11"/>
        <v>96</v>
      </c>
      <c r="N40" s="184">
        <f t="shared" si="11"/>
        <v>96</v>
      </c>
      <c r="O40" s="5"/>
      <c r="P40" s="5"/>
      <c r="Q40" s="5"/>
      <c r="R40" s="5"/>
      <c r="S40" s="5"/>
      <c r="T40" s="5"/>
      <c r="U40" s="5"/>
      <c r="V40" s="5"/>
      <c r="W40" s="5"/>
      <c r="X40" s="5"/>
      <c r="Y40" s="5"/>
      <c r="Z40" s="5"/>
    </row>
    <row r="41" ht="12.0" customHeight="1">
      <c r="A41" s="186" t="s">
        <v>643</v>
      </c>
      <c r="B41" s="4"/>
      <c r="C41" s="148">
        <f t="shared" ref="C41:N41" si="12">IF(C40=0,0,C37/C40)</f>
        <v>0.05317916667</v>
      </c>
      <c r="D41" s="148">
        <f t="shared" si="12"/>
        <v>0.04080208333</v>
      </c>
      <c r="E41" s="148">
        <f t="shared" si="12"/>
        <v>0.03881770833</v>
      </c>
      <c r="F41" s="148">
        <f t="shared" si="12"/>
        <v>0.03736666667</v>
      </c>
      <c r="G41" s="148">
        <f t="shared" si="12"/>
        <v>0.03499791667</v>
      </c>
      <c r="H41" s="148">
        <f t="shared" si="12"/>
        <v>0.03408020833</v>
      </c>
      <c r="I41" s="148">
        <f t="shared" si="12"/>
        <v>0.03644895833</v>
      </c>
      <c r="J41" s="148">
        <f t="shared" si="12"/>
        <v>0.03644895833</v>
      </c>
      <c r="K41" s="148">
        <f t="shared" si="12"/>
        <v>0.03644895833</v>
      </c>
      <c r="L41" s="148">
        <f t="shared" si="12"/>
        <v>0.03553125</v>
      </c>
      <c r="M41" s="148">
        <f t="shared" si="12"/>
        <v>0.03461354167</v>
      </c>
      <c r="N41" s="148">
        <f t="shared" si="12"/>
        <v>0.05501458333</v>
      </c>
      <c r="O41" s="5"/>
      <c r="P41" s="5"/>
      <c r="Q41" s="5"/>
      <c r="R41" s="5"/>
      <c r="S41" s="5"/>
      <c r="T41" s="5"/>
      <c r="U41" s="5"/>
      <c r="V41" s="5"/>
      <c r="W41" s="5"/>
      <c r="X41" s="5"/>
      <c r="Y41" s="5"/>
      <c r="Z41" s="5"/>
    </row>
    <row r="42" ht="12.0" customHeight="1">
      <c r="A42" s="177" t="s">
        <v>650</v>
      </c>
      <c r="B42" s="178"/>
      <c r="C42" s="178"/>
      <c r="D42" s="178"/>
      <c r="E42" s="178"/>
      <c r="F42" s="178"/>
      <c r="G42" s="178"/>
      <c r="H42" s="178"/>
      <c r="I42" s="178"/>
      <c r="J42" s="178"/>
      <c r="K42" s="178"/>
      <c r="L42" s="178"/>
      <c r="M42" s="178"/>
      <c r="N42" s="179"/>
      <c r="O42" s="5"/>
      <c r="P42" s="5"/>
      <c r="Q42" s="5"/>
      <c r="R42" s="5"/>
      <c r="S42" s="5"/>
      <c r="T42" s="5"/>
      <c r="U42" s="5"/>
      <c r="V42" s="5"/>
      <c r="W42" s="5"/>
      <c r="X42" s="5"/>
      <c r="Y42" s="5"/>
      <c r="Z42" s="5"/>
    </row>
    <row r="43" ht="12.0" customHeight="1">
      <c r="A43" s="180" t="s">
        <v>630</v>
      </c>
      <c r="B43" s="180" t="s">
        <v>631</v>
      </c>
      <c r="C43" s="180" t="s">
        <v>3</v>
      </c>
      <c r="D43" s="180" t="s">
        <v>4</v>
      </c>
      <c r="E43" s="180" t="s">
        <v>5</v>
      </c>
      <c r="F43" s="180" t="s">
        <v>6</v>
      </c>
      <c r="G43" s="180" t="s">
        <v>7</v>
      </c>
      <c r="H43" s="180" t="s">
        <v>8</v>
      </c>
      <c r="I43" s="180" t="s">
        <v>9</v>
      </c>
      <c r="J43" s="180" t="s">
        <v>10</v>
      </c>
      <c r="K43" s="180" t="s">
        <v>11</v>
      </c>
      <c r="L43" s="180" t="s">
        <v>12</v>
      </c>
      <c r="M43" s="180" t="s">
        <v>13</v>
      </c>
      <c r="N43" s="180" t="s">
        <v>14</v>
      </c>
      <c r="O43" s="5"/>
      <c r="P43" s="5"/>
      <c r="Q43" s="5"/>
      <c r="R43" s="5"/>
      <c r="S43" s="5"/>
      <c r="T43" s="5"/>
      <c r="U43" s="5"/>
      <c r="V43" s="5"/>
      <c r="W43" s="5"/>
      <c r="X43" s="5"/>
      <c r="Y43" s="5"/>
      <c r="Z43" s="5"/>
    </row>
    <row r="44" ht="12.0" customHeight="1">
      <c r="A44" s="181" t="s">
        <v>651</v>
      </c>
      <c r="B44" s="125" t="s">
        <v>633</v>
      </c>
      <c r="C44" s="182">
        <f>SUM('2026'!B7:B9)+SUM('2026'!B18:B20)</f>
        <v>264.3</v>
      </c>
      <c r="D44" s="182">
        <f>SUM('2026'!C7:C9)+SUM('2026'!C18:C20)</f>
        <v>211.44</v>
      </c>
      <c r="E44" s="182">
        <f>SUM('2026'!D7:D9)+SUM('2026'!D18:D20)</f>
        <v>224.655</v>
      </c>
      <c r="F44" s="182">
        <f>SUM('2026'!E7:E9)+SUM('2026'!E18:E20)</f>
        <v>224.655</v>
      </c>
      <c r="G44" s="182">
        <f>SUM('2026'!F7:F9)+SUM('2026'!F18:F20)</f>
        <v>211.44</v>
      </c>
      <c r="H44" s="182">
        <f>SUM('2026'!G7:G9)+SUM('2026'!G18:G20)</f>
        <v>198.225</v>
      </c>
      <c r="I44" s="182">
        <f>SUM('2026'!H7:H9)+SUM('2026'!H18:H20)</f>
        <v>211.44</v>
      </c>
      <c r="J44" s="182">
        <f>SUM('2026'!I7:I9)+SUM('2026'!I18:I20)</f>
        <v>211.44</v>
      </c>
      <c r="K44" s="182">
        <f>SUM('2026'!J7:J9)+SUM('2026'!J18:J20)</f>
        <v>211.44</v>
      </c>
      <c r="L44" s="182">
        <f>SUM('2026'!K7:K9)+SUM('2026'!K18:K20)</f>
        <v>198.225</v>
      </c>
      <c r="M44" s="182">
        <f>SUM('2026'!L7:L9)+SUM('2026'!L18:L20)</f>
        <v>185.01</v>
      </c>
      <c r="N44" s="182">
        <f>SUM('2026'!M7:M9)+SUM('2026'!M18:M20)</f>
        <v>290.73</v>
      </c>
      <c r="O44" s="5"/>
      <c r="P44" s="5"/>
      <c r="Q44" s="5"/>
      <c r="R44" s="5"/>
      <c r="S44" s="5"/>
      <c r="T44" s="5"/>
      <c r="U44" s="5"/>
      <c r="V44" s="5"/>
      <c r="W44" s="5"/>
      <c r="X44" s="5"/>
      <c r="Y44" s="5"/>
      <c r="Z44" s="5"/>
    </row>
    <row r="45" ht="12.0" customHeight="1">
      <c r="A45" s="183"/>
      <c r="B45" s="125" t="s">
        <v>634</v>
      </c>
      <c r="C45" s="184">
        <f>C44/Parametros!$B$37</f>
        <v>13.215</v>
      </c>
      <c r="D45" s="184">
        <f>D44/Parametros!$B$37</f>
        <v>10.572</v>
      </c>
      <c r="E45" s="184">
        <f>E44/Parametros!$B$37</f>
        <v>11.23275</v>
      </c>
      <c r="F45" s="184">
        <f>F44/Parametros!$B$37</f>
        <v>11.23275</v>
      </c>
      <c r="G45" s="184">
        <f>G44/Parametros!$B$37</f>
        <v>10.572</v>
      </c>
      <c r="H45" s="184">
        <f>H44/Parametros!$B$37</f>
        <v>9.91125</v>
      </c>
      <c r="I45" s="184">
        <f>I44/Parametros!$B$37</f>
        <v>10.572</v>
      </c>
      <c r="J45" s="184">
        <f>J44/Parametros!$B$37</f>
        <v>10.572</v>
      </c>
      <c r="K45" s="184">
        <f>K44/Parametros!$B$37</f>
        <v>10.572</v>
      </c>
      <c r="L45" s="184">
        <f>L44/Parametros!$B$37</f>
        <v>9.91125</v>
      </c>
      <c r="M45" s="184">
        <f>M44/Parametros!$B$37</f>
        <v>9.2505</v>
      </c>
      <c r="N45" s="184">
        <f>N44/Parametros!$B$37</f>
        <v>14.5365</v>
      </c>
      <c r="O45" s="5"/>
      <c r="P45" s="5"/>
      <c r="Q45" s="5"/>
      <c r="R45" s="5"/>
      <c r="S45" s="5"/>
      <c r="T45" s="5"/>
      <c r="U45" s="5"/>
      <c r="V45" s="5"/>
      <c r="W45" s="5"/>
      <c r="X45" s="5"/>
      <c r="Y45" s="5"/>
      <c r="Z45" s="5"/>
    </row>
    <row r="46" ht="12.0" customHeight="1">
      <c r="A46" s="185"/>
      <c r="B46" s="125" t="s">
        <v>635</v>
      </c>
      <c r="C46" s="184">
        <f>C45/Parametros!$J$37</f>
        <v>1.762</v>
      </c>
      <c r="D46" s="184">
        <f>D45/Parametros!$J$37</f>
        <v>1.4096</v>
      </c>
      <c r="E46" s="184">
        <f>E45/Parametros!$J$37</f>
        <v>1.4977</v>
      </c>
      <c r="F46" s="184">
        <f>F45/Parametros!$J$37</f>
        <v>1.4977</v>
      </c>
      <c r="G46" s="184">
        <f>G45/Parametros!$J$37</f>
        <v>1.4096</v>
      </c>
      <c r="H46" s="184">
        <f>H45/Parametros!$J$37</f>
        <v>1.3215</v>
      </c>
      <c r="I46" s="184">
        <f>I45/Parametros!$J$37</f>
        <v>1.4096</v>
      </c>
      <c r="J46" s="184">
        <f>J45/Parametros!$J$37</f>
        <v>1.4096</v>
      </c>
      <c r="K46" s="184">
        <f>K45/Parametros!$J$37</f>
        <v>1.4096</v>
      </c>
      <c r="L46" s="184">
        <f>L45/Parametros!$J$37</f>
        <v>1.3215</v>
      </c>
      <c r="M46" s="184">
        <f>M45/Parametros!$J$37</f>
        <v>1.2334</v>
      </c>
      <c r="N46" s="184">
        <f>N45/Parametros!$J$37</f>
        <v>1.9382</v>
      </c>
      <c r="O46" s="5"/>
      <c r="P46" s="5"/>
      <c r="Q46" s="5"/>
      <c r="R46" s="5"/>
      <c r="S46" s="5"/>
      <c r="T46" s="5"/>
      <c r="U46" s="5"/>
      <c r="V46" s="5"/>
      <c r="W46" s="5"/>
      <c r="X46" s="5"/>
      <c r="Y46" s="5"/>
      <c r="Z46" s="5"/>
    </row>
    <row r="47" ht="12.0" customHeight="1">
      <c r="A47" s="186" t="s">
        <v>636</v>
      </c>
      <c r="B47" s="4"/>
      <c r="C47" s="184">
        <f t="shared" ref="C47:N47" si="13">C46</f>
        <v>1.762</v>
      </c>
      <c r="D47" s="184">
        <f t="shared" si="13"/>
        <v>1.4096</v>
      </c>
      <c r="E47" s="184">
        <f t="shared" si="13"/>
        <v>1.4977</v>
      </c>
      <c r="F47" s="184">
        <f t="shared" si="13"/>
        <v>1.4977</v>
      </c>
      <c r="G47" s="184">
        <f t="shared" si="13"/>
        <v>1.4096</v>
      </c>
      <c r="H47" s="184">
        <f t="shared" si="13"/>
        <v>1.3215</v>
      </c>
      <c r="I47" s="184">
        <f t="shared" si="13"/>
        <v>1.4096</v>
      </c>
      <c r="J47" s="184">
        <f t="shared" si="13"/>
        <v>1.4096</v>
      </c>
      <c r="K47" s="184">
        <f t="shared" si="13"/>
        <v>1.4096</v>
      </c>
      <c r="L47" s="184">
        <f t="shared" si="13"/>
        <v>1.3215</v>
      </c>
      <c r="M47" s="184">
        <f t="shared" si="13"/>
        <v>1.2334</v>
      </c>
      <c r="N47" s="184">
        <f t="shared" si="13"/>
        <v>1.9382</v>
      </c>
      <c r="O47" s="5"/>
      <c r="P47" s="5"/>
      <c r="Q47" s="5"/>
      <c r="R47" s="5"/>
      <c r="S47" s="5"/>
      <c r="T47" s="5"/>
      <c r="U47" s="5"/>
      <c r="V47" s="5"/>
      <c r="W47" s="5"/>
      <c r="X47" s="5"/>
      <c r="Y47" s="5"/>
      <c r="Z47" s="5"/>
    </row>
    <row r="48" ht="12.0" customHeight="1">
      <c r="A48" s="186" t="s">
        <v>637</v>
      </c>
      <c r="B48" s="4"/>
      <c r="C48" s="184">
        <f>'Resumen Capacidad'!$B$115</f>
        <v>80.10122449</v>
      </c>
      <c r="D48" s="184">
        <f>'Resumen Capacidad'!$B$115</f>
        <v>80.10122449</v>
      </c>
      <c r="E48" s="184">
        <f>'Resumen Capacidad'!$B$115</f>
        <v>80.10122449</v>
      </c>
      <c r="F48" s="184">
        <f>'Resumen Capacidad'!$B$115</f>
        <v>80.10122449</v>
      </c>
      <c r="G48" s="184">
        <f>'Resumen Capacidad'!$B$115</f>
        <v>80.10122449</v>
      </c>
      <c r="H48" s="184">
        <f>'Resumen Capacidad'!$B$115</f>
        <v>80.10122449</v>
      </c>
      <c r="I48" s="184">
        <f>'Resumen Capacidad'!$B$115</f>
        <v>80.10122449</v>
      </c>
      <c r="J48" s="184">
        <f>'Resumen Capacidad'!$B$115</f>
        <v>80.10122449</v>
      </c>
      <c r="K48" s="184">
        <f>'Resumen Capacidad'!$B$115</f>
        <v>80.10122449</v>
      </c>
      <c r="L48" s="184">
        <f>'Resumen Capacidad'!$B$115</f>
        <v>80.10122449</v>
      </c>
      <c r="M48" s="184">
        <f>'Resumen Capacidad'!$B$115</f>
        <v>80.10122449</v>
      </c>
      <c r="N48" s="184">
        <f>'Resumen Capacidad'!$B$115</f>
        <v>80.10122449</v>
      </c>
      <c r="O48" s="5"/>
      <c r="P48" s="5"/>
      <c r="Q48" s="5"/>
      <c r="R48" s="5"/>
      <c r="S48" s="5"/>
      <c r="T48" s="5"/>
      <c r="U48" s="5"/>
      <c r="V48" s="5"/>
      <c r="W48" s="5"/>
      <c r="X48" s="5"/>
      <c r="Y48" s="5"/>
      <c r="Z48" s="5"/>
    </row>
    <row r="49" ht="12.0" customHeight="1">
      <c r="A49" s="186" t="s">
        <v>640</v>
      </c>
      <c r="B49" s="4"/>
      <c r="C49" s="189">
        <f>'Resumen Capacidad'!$B$33*'Resumen Capacidad'!$B$69</f>
        <v>1</v>
      </c>
      <c r="D49" s="189">
        <f>'Resumen Capacidad'!$B$33*'Resumen Capacidad'!$B$69</f>
        <v>1</v>
      </c>
      <c r="E49" s="189">
        <f>'Resumen Capacidad'!$B$33*'Resumen Capacidad'!$B$69</f>
        <v>1</v>
      </c>
      <c r="F49" s="189">
        <f>'Resumen Capacidad'!$B$33*'Resumen Capacidad'!$B$69</f>
        <v>1</v>
      </c>
      <c r="G49" s="189">
        <f>'Resumen Capacidad'!$B$33*'Resumen Capacidad'!$B$69</f>
        <v>1</v>
      </c>
      <c r="H49" s="189">
        <f>'Resumen Capacidad'!$B$33*'Resumen Capacidad'!$B$69</f>
        <v>1</v>
      </c>
      <c r="I49" s="189">
        <f>'Resumen Capacidad'!$B$33*'Resumen Capacidad'!$B$69</f>
        <v>1</v>
      </c>
      <c r="J49" s="189">
        <f>'Resumen Capacidad'!$B$33*'Resumen Capacidad'!$B$69</f>
        <v>1</v>
      </c>
      <c r="K49" s="189">
        <f>'Resumen Capacidad'!$B$33*'Resumen Capacidad'!$B$69</f>
        <v>1</v>
      </c>
      <c r="L49" s="189">
        <f>'Resumen Capacidad'!$B$33*'Resumen Capacidad'!$B$69</f>
        <v>1</v>
      </c>
      <c r="M49" s="189">
        <f>'Resumen Capacidad'!$B$33*'Resumen Capacidad'!$B$69</f>
        <v>1</v>
      </c>
      <c r="N49" s="189">
        <f>'Resumen Capacidad'!$B$33*'Resumen Capacidad'!$B$69</f>
        <v>1</v>
      </c>
      <c r="O49" s="5"/>
      <c r="P49" s="5"/>
      <c r="Q49" s="5"/>
      <c r="R49" s="5"/>
      <c r="S49" s="5"/>
      <c r="T49" s="5"/>
      <c r="U49" s="5"/>
      <c r="V49" s="5"/>
      <c r="W49" s="5"/>
      <c r="X49" s="5"/>
      <c r="Y49" s="5"/>
      <c r="Z49" s="5"/>
    </row>
    <row r="50" ht="12.0" customHeight="1">
      <c r="A50" s="186" t="s">
        <v>642</v>
      </c>
      <c r="B50" s="4"/>
      <c r="C50" s="184">
        <f t="shared" ref="C50:N50" si="14">C48*C49</f>
        <v>80.10122449</v>
      </c>
      <c r="D50" s="184">
        <f t="shared" si="14"/>
        <v>80.10122449</v>
      </c>
      <c r="E50" s="184">
        <f t="shared" si="14"/>
        <v>80.10122449</v>
      </c>
      <c r="F50" s="184">
        <f t="shared" si="14"/>
        <v>80.10122449</v>
      </c>
      <c r="G50" s="184">
        <f t="shared" si="14"/>
        <v>80.10122449</v>
      </c>
      <c r="H50" s="184">
        <f t="shared" si="14"/>
        <v>80.10122449</v>
      </c>
      <c r="I50" s="184">
        <f t="shared" si="14"/>
        <v>80.10122449</v>
      </c>
      <c r="J50" s="184">
        <f t="shared" si="14"/>
        <v>80.10122449</v>
      </c>
      <c r="K50" s="184">
        <f t="shared" si="14"/>
        <v>80.10122449</v>
      </c>
      <c r="L50" s="184">
        <f t="shared" si="14"/>
        <v>80.10122449</v>
      </c>
      <c r="M50" s="184">
        <f t="shared" si="14"/>
        <v>80.10122449</v>
      </c>
      <c r="N50" s="184">
        <f t="shared" si="14"/>
        <v>80.10122449</v>
      </c>
      <c r="O50" s="5"/>
      <c r="P50" s="5"/>
      <c r="Q50" s="5"/>
      <c r="R50" s="5"/>
      <c r="S50" s="5"/>
      <c r="T50" s="5"/>
      <c r="U50" s="5"/>
      <c r="V50" s="5"/>
      <c r="W50" s="5"/>
      <c r="X50" s="5"/>
      <c r="Y50" s="5"/>
      <c r="Z50" s="5"/>
    </row>
    <row r="51" ht="12.0" customHeight="1">
      <c r="A51" s="186" t="s">
        <v>643</v>
      </c>
      <c r="B51" s="4"/>
      <c r="C51" s="148">
        <f t="shared" ref="C51:N51" si="15">IF(C50=0,0,C47/C50)</f>
        <v>0.02199716685</v>
      </c>
      <c r="D51" s="148">
        <f t="shared" si="15"/>
        <v>0.01759773348</v>
      </c>
      <c r="E51" s="148">
        <f t="shared" si="15"/>
        <v>0.01869759182</v>
      </c>
      <c r="F51" s="148">
        <f t="shared" si="15"/>
        <v>0.01869759182</v>
      </c>
      <c r="G51" s="148">
        <f t="shared" si="15"/>
        <v>0.01759773348</v>
      </c>
      <c r="H51" s="148">
        <f t="shared" si="15"/>
        <v>0.01649787514</v>
      </c>
      <c r="I51" s="148">
        <f t="shared" si="15"/>
        <v>0.01759773348</v>
      </c>
      <c r="J51" s="148">
        <f t="shared" si="15"/>
        <v>0.01759773348</v>
      </c>
      <c r="K51" s="148">
        <f t="shared" si="15"/>
        <v>0.01759773348</v>
      </c>
      <c r="L51" s="148">
        <f t="shared" si="15"/>
        <v>0.01649787514</v>
      </c>
      <c r="M51" s="148">
        <f t="shared" si="15"/>
        <v>0.0153980168</v>
      </c>
      <c r="N51" s="148">
        <f t="shared" si="15"/>
        <v>0.02419688354</v>
      </c>
      <c r="O51" s="5"/>
      <c r="P51" s="5"/>
      <c r="Q51" s="5"/>
      <c r="R51" s="5"/>
      <c r="S51" s="5"/>
      <c r="T51" s="5"/>
      <c r="U51" s="5"/>
      <c r="V51" s="5"/>
      <c r="W51" s="5"/>
      <c r="X51" s="5"/>
      <c r="Y51" s="5"/>
      <c r="Z51" s="5"/>
    </row>
    <row r="52" ht="12.0" customHeight="1">
      <c r="A52" s="177" t="s">
        <v>656</v>
      </c>
      <c r="B52" s="178"/>
      <c r="C52" s="178"/>
      <c r="D52" s="178"/>
      <c r="E52" s="178"/>
      <c r="F52" s="178"/>
      <c r="G52" s="178"/>
      <c r="H52" s="178"/>
      <c r="I52" s="178"/>
      <c r="J52" s="178"/>
      <c r="K52" s="178"/>
      <c r="L52" s="178"/>
      <c r="M52" s="178"/>
      <c r="N52" s="179"/>
      <c r="O52" s="5"/>
      <c r="P52" s="5"/>
      <c r="Q52" s="5"/>
      <c r="R52" s="5"/>
      <c r="S52" s="5"/>
      <c r="T52" s="5"/>
      <c r="U52" s="5"/>
      <c r="V52" s="5"/>
      <c r="W52" s="5"/>
      <c r="X52" s="5"/>
      <c r="Y52" s="5"/>
      <c r="Z52" s="5"/>
    </row>
    <row r="53" ht="12.0" customHeight="1">
      <c r="A53" s="180" t="s">
        <v>630</v>
      </c>
      <c r="B53" s="180" t="s">
        <v>631</v>
      </c>
      <c r="C53" s="180" t="s">
        <v>3</v>
      </c>
      <c r="D53" s="180" t="s">
        <v>4</v>
      </c>
      <c r="E53" s="180" t="s">
        <v>5</v>
      </c>
      <c r="F53" s="180" t="s">
        <v>6</v>
      </c>
      <c r="G53" s="180" t="s">
        <v>7</v>
      </c>
      <c r="H53" s="180" t="s">
        <v>8</v>
      </c>
      <c r="I53" s="180" t="s">
        <v>9</v>
      </c>
      <c r="J53" s="180" t="s">
        <v>10</v>
      </c>
      <c r="K53" s="180" t="s">
        <v>11</v>
      </c>
      <c r="L53" s="180" t="s">
        <v>12</v>
      </c>
      <c r="M53" s="180" t="s">
        <v>13</v>
      </c>
      <c r="N53" s="180" t="s">
        <v>14</v>
      </c>
      <c r="O53" s="5"/>
      <c r="P53" s="5"/>
      <c r="Q53" s="5"/>
      <c r="R53" s="5"/>
      <c r="S53" s="5"/>
      <c r="T53" s="5"/>
      <c r="U53" s="5"/>
      <c r="V53" s="5"/>
      <c r="W53" s="5"/>
      <c r="X53" s="5"/>
      <c r="Y53" s="5"/>
      <c r="Z53" s="5"/>
    </row>
    <row r="54" ht="12.0" customHeight="1">
      <c r="A54" s="181" t="s">
        <v>651</v>
      </c>
      <c r="B54" s="125" t="s">
        <v>633</v>
      </c>
      <c r="C54" s="182">
        <f>SUM('2026'!B7:B9)+SUM('2026'!B18:B20)</f>
        <v>264.3</v>
      </c>
      <c r="D54" s="182">
        <f>SUM('2026'!C7:C9)+SUM('2026'!C18:C20)</f>
        <v>211.44</v>
      </c>
      <c r="E54" s="182">
        <f>SUM('2026'!D7:D9)+SUM('2026'!D18:D20)</f>
        <v>224.655</v>
      </c>
      <c r="F54" s="182">
        <f>SUM('2026'!E7:E9)+SUM('2026'!E18:E20)</f>
        <v>224.655</v>
      </c>
      <c r="G54" s="182">
        <f>SUM('2026'!F7:F9)+SUM('2026'!F18:F20)</f>
        <v>211.44</v>
      </c>
      <c r="H54" s="182">
        <f>SUM('2026'!G7:G9)+SUM('2026'!G18:G20)</f>
        <v>198.225</v>
      </c>
      <c r="I54" s="182">
        <f>SUM('2026'!H7:H9)+SUM('2026'!H18:H20)</f>
        <v>211.44</v>
      </c>
      <c r="J54" s="182">
        <f>SUM('2026'!I7:I9)+SUM('2026'!I18:I20)</f>
        <v>211.44</v>
      </c>
      <c r="K54" s="182">
        <f>SUM('2026'!J7:J9)+SUM('2026'!J18:J20)</f>
        <v>211.44</v>
      </c>
      <c r="L54" s="182">
        <f>SUM('2026'!K7:K9)+SUM('2026'!K18:K20)</f>
        <v>198.225</v>
      </c>
      <c r="M54" s="182">
        <f>SUM('2026'!L7:L9)+SUM('2026'!L18:L20)</f>
        <v>185.01</v>
      </c>
      <c r="N54" s="182">
        <f>SUM('2026'!M7:M9)+SUM('2026'!M18:M20)</f>
        <v>290.73</v>
      </c>
      <c r="O54" s="5"/>
      <c r="P54" s="5"/>
      <c r="Q54" s="5"/>
      <c r="R54" s="5"/>
      <c r="S54" s="5"/>
      <c r="T54" s="5"/>
      <c r="U54" s="5"/>
      <c r="V54" s="5"/>
      <c r="W54" s="5"/>
      <c r="X54" s="5"/>
      <c r="Y54" s="5"/>
      <c r="Z54" s="5"/>
    </row>
    <row r="55" ht="12.0" customHeight="1">
      <c r="A55" s="183"/>
      <c r="B55" s="125" t="s">
        <v>634</v>
      </c>
      <c r="C55" s="184">
        <f>C54/Parametros!$B$37</f>
        <v>13.215</v>
      </c>
      <c r="D55" s="184">
        <f>D54/Parametros!$B$37</f>
        <v>10.572</v>
      </c>
      <c r="E55" s="184">
        <f>E54/Parametros!$B$37</f>
        <v>11.23275</v>
      </c>
      <c r="F55" s="184">
        <f>F54/Parametros!$B$37</f>
        <v>11.23275</v>
      </c>
      <c r="G55" s="184">
        <f>G54/Parametros!$B$37</f>
        <v>10.572</v>
      </c>
      <c r="H55" s="184">
        <f>H54/Parametros!$B$37</f>
        <v>9.91125</v>
      </c>
      <c r="I55" s="184">
        <f>I54/Parametros!$B$37</f>
        <v>10.572</v>
      </c>
      <c r="J55" s="184">
        <f>J54/Parametros!$B$37</f>
        <v>10.572</v>
      </c>
      <c r="K55" s="184">
        <f>K54/Parametros!$B$37</f>
        <v>10.572</v>
      </c>
      <c r="L55" s="184">
        <f>L54/Parametros!$B$37</f>
        <v>9.91125</v>
      </c>
      <c r="M55" s="184">
        <f>M54/Parametros!$B$37</f>
        <v>9.2505</v>
      </c>
      <c r="N55" s="184">
        <f>N54/Parametros!$B$37</f>
        <v>14.5365</v>
      </c>
      <c r="O55" s="5"/>
      <c r="P55" s="5"/>
      <c r="Q55" s="5"/>
      <c r="R55" s="5"/>
      <c r="S55" s="5"/>
      <c r="T55" s="5"/>
      <c r="U55" s="5"/>
      <c r="V55" s="5"/>
      <c r="W55" s="5"/>
      <c r="X55" s="5"/>
      <c r="Y55" s="5"/>
      <c r="Z55" s="5"/>
    </row>
    <row r="56" ht="12.0" customHeight="1">
      <c r="A56" s="185"/>
      <c r="B56" s="125" t="s">
        <v>635</v>
      </c>
      <c r="C56" s="184">
        <f>C55/Parametros!$J$37</f>
        <v>1.762</v>
      </c>
      <c r="D56" s="184">
        <f>D55/Parametros!$J$37</f>
        <v>1.4096</v>
      </c>
      <c r="E56" s="184">
        <f>E55/Parametros!$J$37</f>
        <v>1.4977</v>
      </c>
      <c r="F56" s="184">
        <f>F55/Parametros!$J$37</f>
        <v>1.4977</v>
      </c>
      <c r="G56" s="184">
        <f>G55/Parametros!$J$37</f>
        <v>1.4096</v>
      </c>
      <c r="H56" s="184">
        <f>H55/Parametros!$J$37</f>
        <v>1.3215</v>
      </c>
      <c r="I56" s="184">
        <f>I55/Parametros!$J$37</f>
        <v>1.4096</v>
      </c>
      <c r="J56" s="184">
        <f>J55/Parametros!$J$37</f>
        <v>1.4096</v>
      </c>
      <c r="K56" s="184">
        <f>K55/Parametros!$J$37</f>
        <v>1.4096</v>
      </c>
      <c r="L56" s="184">
        <f>L55/Parametros!$J$37</f>
        <v>1.3215</v>
      </c>
      <c r="M56" s="184">
        <f>M55/Parametros!$J$37</f>
        <v>1.2334</v>
      </c>
      <c r="N56" s="184">
        <f>N55/Parametros!$J$37</f>
        <v>1.9382</v>
      </c>
      <c r="O56" s="5"/>
      <c r="P56" s="5"/>
      <c r="Q56" s="5"/>
      <c r="R56" s="5"/>
      <c r="S56" s="5"/>
      <c r="T56" s="5"/>
      <c r="U56" s="5"/>
      <c r="V56" s="5"/>
      <c r="W56" s="5"/>
      <c r="X56" s="5"/>
      <c r="Y56" s="5"/>
      <c r="Z56" s="5"/>
    </row>
    <row r="57" ht="12.0" customHeight="1">
      <c r="A57" s="186" t="s">
        <v>636</v>
      </c>
      <c r="B57" s="4"/>
      <c r="C57" s="184">
        <f t="shared" ref="C57:N57" si="16">C56</f>
        <v>1.762</v>
      </c>
      <c r="D57" s="184">
        <f t="shared" si="16"/>
        <v>1.4096</v>
      </c>
      <c r="E57" s="184">
        <f t="shared" si="16"/>
        <v>1.4977</v>
      </c>
      <c r="F57" s="184">
        <f t="shared" si="16"/>
        <v>1.4977</v>
      </c>
      <c r="G57" s="184">
        <f t="shared" si="16"/>
        <v>1.4096</v>
      </c>
      <c r="H57" s="184">
        <f t="shared" si="16"/>
        <v>1.3215</v>
      </c>
      <c r="I57" s="184">
        <f t="shared" si="16"/>
        <v>1.4096</v>
      </c>
      <c r="J57" s="184">
        <f t="shared" si="16"/>
        <v>1.4096</v>
      </c>
      <c r="K57" s="184">
        <f t="shared" si="16"/>
        <v>1.4096</v>
      </c>
      <c r="L57" s="184">
        <f t="shared" si="16"/>
        <v>1.3215</v>
      </c>
      <c r="M57" s="184">
        <f t="shared" si="16"/>
        <v>1.2334</v>
      </c>
      <c r="N57" s="184">
        <f t="shared" si="16"/>
        <v>1.9382</v>
      </c>
      <c r="O57" s="5"/>
      <c r="P57" s="5"/>
      <c r="Q57" s="5"/>
      <c r="R57" s="5"/>
      <c r="S57" s="5"/>
      <c r="T57" s="5"/>
      <c r="U57" s="5"/>
      <c r="V57" s="5"/>
      <c r="W57" s="5"/>
      <c r="X57" s="5"/>
      <c r="Y57" s="5"/>
      <c r="Z57" s="5"/>
    </row>
    <row r="58" ht="12.0" customHeight="1">
      <c r="A58" s="186" t="s">
        <v>637</v>
      </c>
      <c r="B58" s="4"/>
      <c r="C58" s="184">
        <f>'Resumen Capacidad'!$B$116</f>
        <v>56.576</v>
      </c>
      <c r="D58" s="184">
        <f>'Resumen Capacidad'!$B$116</f>
        <v>56.576</v>
      </c>
      <c r="E58" s="184">
        <f>'Resumen Capacidad'!$B$116</f>
        <v>56.576</v>
      </c>
      <c r="F58" s="184">
        <f>'Resumen Capacidad'!$B$116</f>
        <v>56.576</v>
      </c>
      <c r="G58" s="184">
        <f>'Resumen Capacidad'!$B$116</f>
        <v>56.576</v>
      </c>
      <c r="H58" s="184">
        <f>'Resumen Capacidad'!$B$116</f>
        <v>56.576</v>
      </c>
      <c r="I58" s="184">
        <f>'Resumen Capacidad'!$B$116</f>
        <v>56.576</v>
      </c>
      <c r="J58" s="184">
        <f>'Resumen Capacidad'!$B$116</f>
        <v>56.576</v>
      </c>
      <c r="K58" s="184">
        <f>'Resumen Capacidad'!$B$116</f>
        <v>56.576</v>
      </c>
      <c r="L58" s="184">
        <f>'Resumen Capacidad'!$B$116</f>
        <v>56.576</v>
      </c>
      <c r="M58" s="184">
        <f>'Resumen Capacidad'!$B$116</f>
        <v>56.576</v>
      </c>
      <c r="N58" s="184">
        <f>'Resumen Capacidad'!$B$116</f>
        <v>56.576</v>
      </c>
      <c r="O58" s="5"/>
      <c r="P58" s="5"/>
      <c r="Q58" s="5"/>
      <c r="R58" s="5"/>
      <c r="S58" s="5"/>
      <c r="T58" s="5"/>
      <c r="U58" s="5"/>
      <c r="V58" s="5"/>
      <c r="W58" s="5"/>
      <c r="X58" s="5"/>
      <c r="Y58" s="5"/>
      <c r="Z58" s="5"/>
    </row>
    <row r="59" ht="12.0" customHeight="1">
      <c r="A59" s="186" t="s">
        <v>640</v>
      </c>
      <c r="B59" s="4"/>
      <c r="C59" s="189">
        <f>'Resumen Capacidad'!$B$34*'Resumen Capacidad'!$B$70</f>
        <v>1</v>
      </c>
      <c r="D59" s="189">
        <f>'Resumen Capacidad'!$B$34*'Resumen Capacidad'!$B$70</f>
        <v>1</v>
      </c>
      <c r="E59" s="189">
        <f>'Resumen Capacidad'!$B$34*'Resumen Capacidad'!$B$70</f>
        <v>1</v>
      </c>
      <c r="F59" s="189">
        <f>'Resumen Capacidad'!$B$34*'Resumen Capacidad'!$B$70</f>
        <v>1</v>
      </c>
      <c r="G59" s="189">
        <f>'Resumen Capacidad'!$B$34*'Resumen Capacidad'!$B$70</f>
        <v>1</v>
      </c>
      <c r="H59" s="189">
        <f>'Resumen Capacidad'!$B$34*'Resumen Capacidad'!$B$70</f>
        <v>1</v>
      </c>
      <c r="I59" s="189">
        <f>'Resumen Capacidad'!$B$34*'Resumen Capacidad'!$B$70</f>
        <v>1</v>
      </c>
      <c r="J59" s="189">
        <f>'Resumen Capacidad'!$B$34*'Resumen Capacidad'!$B$70</f>
        <v>1</v>
      </c>
      <c r="K59" s="189">
        <f>'Resumen Capacidad'!$B$34*'Resumen Capacidad'!$B$70</f>
        <v>1</v>
      </c>
      <c r="L59" s="189">
        <f>'Resumen Capacidad'!$B$34*'Resumen Capacidad'!$B$70</f>
        <v>1</v>
      </c>
      <c r="M59" s="189">
        <f>'Resumen Capacidad'!$B$34*'Resumen Capacidad'!$B$70</f>
        <v>1</v>
      </c>
      <c r="N59" s="189">
        <f>'Resumen Capacidad'!$B$34*'Resumen Capacidad'!$B$70</f>
        <v>1</v>
      </c>
      <c r="O59" s="5"/>
      <c r="P59" s="5"/>
      <c r="Q59" s="5"/>
      <c r="R59" s="5"/>
      <c r="S59" s="5"/>
      <c r="T59" s="5"/>
      <c r="U59" s="5"/>
      <c r="V59" s="5"/>
      <c r="W59" s="5"/>
      <c r="X59" s="5"/>
      <c r="Y59" s="5"/>
      <c r="Z59" s="5"/>
    </row>
    <row r="60" ht="12.0" customHeight="1">
      <c r="A60" s="186" t="s">
        <v>642</v>
      </c>
      <c r="B60" s="4"/>
      <c r="C60" s="184">
        <f t="shared" ref="C60:N60" si="17">C58*C59</f>
        <v>56.576</v>
      </c>
      <c r="D60" s="184">
        <f t="shared" si="17"/>
        <v>56.576</v>
      </c>
      <c r="E60" s="184">
        <f t="shared" si="17"/>
        <v>56.576</v>
      </c>
      <c r="F60" s="184">
        <f t="shared" si="17"/>
        <v>56.576</v>
      </c>
      <c r="G60" s="184">
        <f t="shared" si="17"/>
        <v>56.576</v>
      </c>
      <c r="H60" s="184">
        <f t="shared" si="17"/>
        <v>56.576</v>
      </c>
      <c r="I60" s="184">
        <f t="shared" si="17"/>
        <v>56.576</v>
      </c>
      <c r="J60" s="184">
        <f t="shared" si="17"/>
        <v>56.576</v>
      </c>
      <c r="K60" s="184">
        <f t="shared" si="17"/>
        <v>56.576</v>
      </c>
      <c r="L60" s="184">
        <f t="shared" si="17"/>
        <v>56.576</v>
      </c>
      <c r="M60" s="184">
        <f t="shared" si="17"/>
        <v>56.576</v>
      </c>
      <c r="N60" s="184">
        <f t="shared" si="17"/>
        <v>56.576</v>
      </c>
      <c r="O60" s="5"/>
      <c r="P60" s="5"/>
      <c r="Q60" s="5"/>
      <c r="R60" s="5"/>
      <c r="S60" s="5"/>
      <c r="T60" s="5"/>
      <c r="U60" s="5"/>
      <c r="V60" s="5"/>
      <c r="W60" s="5"/>
      <c r="X60" s="5"/>
      <c r="Y60" s="5"/>
      <c r="Z60" s="5"/>
    </row>
    <row r="61" ht="12.0" customHeight="1">
      <c r="A61" s="186" t="s">
        <v>643</v>
      </c>
      <c r="B61" s="4"/>
      <c r="C61" s="148">
        <f t="shared" ref="C61:N61" si="18">IF(C60=0,0,C57/C60)</f>
        <v>0.03114394796</v>
      </c>
      <c r="D61" s="148">
        <f t="shared" si="18"/>
        <v>0.02491515837</v>
      </c>
      <c r="E61" s="148">
        <f t="shared" si="18"/>
        <v>0.02647235577</v>
      </c>
      <c r="F61" s="148">
        <f t="shared" si="18"/>
        <v>0.02647235577</v>
      </c>
      <c r="G61" s="148">
        <f t="shared" si="18"/>
        <v>0.02491515837</v>
      </c>
      <c r="H61" s="148">
        <f t="shared" si="18"/>
        <v>0.02335796097</v>
      </c>
      <c r="I61" s="148">
        <f t="shared" si="18"/>
        <v>0.02491515837</v>
      </c>
      <c r="J61" s="148">
        <f t="shared" si="18"/>
        <v>0.02491515837</v>
      </c>
      <c r="K61" s="148">
        <f t="shared" si="18"/>
        <v>0.02491515837</v>
      </c>
      <c r="L61" s="148">
        <f t="shared" si="18"/>
        <v>0.02335796097</v>
      </c>
      <c r="M61" s="148">
        <f t="shared" si="18"/>
        <v>0.02180076357</v>
      </c>
      <c r="N61" s="148">
        <f t="shared" si="18"/>
        <v>0.03425834276</v>
      </c>
      <c r="O61" s="5"/>
      <c r="P61" s="5"/>
      <c r="Q61" s="5"/>
      <c r="R61" s="5"/>
      <c r="S61" s="5"/>
      <c r="T61" s="5"/>
      <c r="U61" s="5"/>
      <c r="V61" s="5"/>
      <c r="W61" s="5"/>
      <c r="X61" s="5"/>
      <c r="Y61" s="5"/>
      <c r="Z61" s="5"/>
    </row>
    <row r="62" ht="12.0" customHeight="1">
      <c r="A62" s="177" t="s">
        <v>663</v>
      </c>
      <c r="B62" s="178"/>
      <c r="C62" s="178"/>
      <c r="D62" s="178"/>
      <c r="E62" s="178"/>
      <c r="F62" s="178"/>
      <c r="G62" s="178"/>
      <c r="H62" s="178"/>
      <c r="I62" s="178"/>
      <c r="J62" s="178"/>
      <c r="K62" s="178"/>
      <c r="L62" s="178"/>
      <c r="M62" s="178"/>
      <c r="N62" s="179"/>
      <c r="O62" s="5"/>
      <c r="P62" s="5"/>
      <c r="Q62" s="5"/>
      <c r="R62" s="5"/>
      <c r="S62" s="5"/>
      <c r="T62" s="5"/>
      <c r="U62" s="5"/>
      <c r="V62" s="5"/>
      <c r="W62" s="5"/>
      <c r="X62" s="5"/>
      <c r="Y62" s="5"/>
      <c r="Z62" s="5"/>
    </row>
    <row r="63" ht="12.0" customHeight="1">
      <c r="A63" s="180" t="s">
        <v>630</v>
      </c>
      <c r="B63" s="180" t="s">
        <v>631</v>
      </c>
      <c r="C63" s="180" t="s">
        <v>3</v>
      </c>
      <c r="D63" s="180" t="s">
        <v>4</v>
      </c>
      <c r="E63" s="180" t="s">
        <v>5</v>
      </c>
      <c r="F63" s="180" t="s">
        <v>6</v>
      </c>
      <c r="G63" s="180" t="s">
        <v>7</v>
      </c>
      <c r="H63" s="180" t="s">
        <v>8</v>
      </c>
      <c r="I63" s="180" t="s">
        <v>9</v>
      </c>
      <c r="J63" s="180" t="s">
        <v>10</v>
      </c>
      <c r="K63" s="180" t="s">
        <v>11</v>
      </c>
      <c r="L63" s="180" t="s">
        <v>12</v>
      </c>
      <c r="M63" s="180" t="s">
        <v>13</v>
      </c>
      <c r="N63" s="180" t="s">
        <v>14</v>
      </c>
      <c r="O63" s="5"/>
      <c r="P63" s="5"/>
      <c r="Q63" s="5"/>
      <c r="R63" s="5"/>
      <c r="S63" s="5"/>
      <c r="T63" s="5"/>
      <c r="U63" s="5"/>
      <c r="V63" s="5"/>
      <c r="W63" s="5"/>
      <c r="X63" s="5"/>
      <c r="Y63" s="5"/>
      <c r="Z63" s="5"/>
    </row>
    <row r="64" ht="12.0" customHeight="1">
      <c r="A64" s="181" t="s">
        <v>632</v>
      </c>
      <c r="B64" s="125" t="s">
        <v>633</v>
      </c>
      <c r="C64" s="182">
        <f>SUM('2026'!B6:B9)+SUM('2026'!B17:B20)</f>
        <v>765.78</v>
      </c>
      <c r="D64" s="182">
        <f>SUM('2026'!C6:C9)+SUM('2026'!C17:C20)</f>
        <v>587.55</v>
      </c>
      <c r="E64" s="182">
        <f>SUM('2026'!D6:D9)+SUM('2026'!D17:D20)</f>
        <v>558.975</v>
      </c>
      <c r="F64" s="182">
        <f>SUM('2026'!E6:E9)+SUM('2026'!E17:E20)</f>
        <v>538.08</v>
      </c>
      <c r="G64" s="182">
        <f>SUM('2026'!F6:F9)+SUM('2026'!F17:F20)</f>
        <v>503.97</v>
      </c>
      <c r="H64" s="182">
        <f>SUM('2026'!G6:G9)+SUM('2026'!G17:G20)</f>
        <v>490.755</v>
      </c>
      <c r="I64" s="182">
        <f>SUM('2026'!H6:H9)+SUM('2026'!H17:H20)</f>
        <v>524.865</v>
      </c>
      <c r="J64" s="182">
        <f>SUM('2026'!I6:I9)+SUM('2026'!I17:I20)</f>
        <v>524.865</v>
      </c>
      <c r="K64" s="182">
        <f>SUM('2026'!J6:J9)+SUM('2026'!J17:J20)</f>
        <v>524.865</v>
      </c>
      <c r="L64" s="182">
        <f>SUM('2026'!K6:K9)+SUM('2026'!K17:K20)</f>
        <v>511.65</v>
      </c>
      <c r="M64" s="182">
        <f>SUM('2026'!L6:L9)+SUM('2026'!L17:L20)</f>
        <v>498.435</v>
      </c>
      <c r="N64" s="182">
        <f>SUM('2026'!M6:M9)+SUM('2026'!M17:M20)</f>
        <v>792.21</v>
      </c>
      <c r="O64" s="5"/>
      <c r="P64" s="5"/>
      <c r="Q64" s="5"/>
      <c r="R64" s="5"/>
      <c r="S64" s="5"/>
      <c r="T64" s="5"/>
      <c r="U64" s="5"/>
      <c r="V64" s="5"/>
      <c r="W64" s="5"/>
      <c r="X64" s="5"/>
      <c r="Y64" s="5"/>
      <c r="Z64" s="5"/>
    </row>
    <row r="65" ht="12.0" customHeight="1">
      <c r="A65" s="183"/>
      <c r="B65" s="125" t="s">
        <v>634</v>
      </c>
      <c r="C65" s="184">
        <f>C64/Parametros!$B$37</f>
        <v>38.289</v>
      </c>
      <c r="D65" s="184">
        <f>D64/Parametros!$B$37</f>
        <v>29.3775</v>
      </c>
      <c r="E65" s="184">
        <f>E64/Parametros!$B$37</f>
        <v>27.94875</v>
      </c>
      <c r="F65" s="184">
        <f>F64/Parametros!$B$37</f>
        <v>26.904</v>
      </c>
      <c r="G65" s="184">
        <f>G64/Parametros!$B$37</f>
        <v>25.1985</v>
      </c>
      <c r="H65" s="184">
        <f>H64/Parametros!$B$37</f>
        <v>24.53775</v>
      </c>
      <c r="I65" s="184">
        <f>I64/Parametros!$B$37</f>
        <v>26.24325</v>
      </c>
      <c r="J65" s="184">
        <f>J64/Parametros!$B$37</f>
        <v>26.24325</v>
      </c>
      <c r="K65" s="184">
        <f>K64/Parametros!$B$37</f>
        <v>26.24325</v>
      </c>
      <c r="L65" s="184">
        <f>L64/Parametros!$B$37</f>
        <v>25.5825</v>
      </c>
      <c r="M65" s="184">
        <f>M64/Parametros!$B$37</f>
        <v>24.92175</v>
      </c>
      <c r="N65" s="184">
        <f>N64/Parametros!$B$37</f>
        <v>39.6105</v>
      </c>
      <c r="O65" s="5"/>
      <c r="P65" s="5"/>
      <c r="Q65" s="5"/>
      <c r="R65" s="5"/>
      <c r="S65" s="5"/>
      <c r="T65" s="5"/>
      <c r="U65" s="5"/>
      <c r="V65" s="5"/>
      <c r="W65" s="5"/>
      <c r="X65" s="5"/>
      <c r="Y65" s="5"/>
      <c r="Z65" s="5"/>
    </row>
    <row r="66" ht="12.0" customHeight="1">
      <c r="A66" s="185"/>
      <c r="B66" s="125" t="s">
        <v>635</v>
      </c>
      <c r="C66" s="184">
        <f>C65/Parametros!$J$37</f>
        <v>5.1052</v>
      </c>
      <c r="D66" s="184">
        <f>D65/Parametros!$J$37</f>
        <v>3.917</v>
      </c>
      <c r="E66" s="184">
        <f>E65/Parametros!$J$37</f>
        <v>3.7265</v>
      </c>
      <c r="F66" s="184">
        <f>F65/Parametros!$J$37</f>
        <v>3.5872</v>
      </c>
      <c r="G66" s="184">
        <f>G65/Parametros!$J$37</f>
        <v>3.3598</v>
      </c>
      <c r="H66" s="184">
        <f>H65/Parametros!$J$37</f>
        <v>3.2717</v>
      </c>
      <c r="I66" s="184">
        <f>I65/Parametros!$J$37</f>
        <v>3.4991</v>
      </c>
      <c r="J66" s="184">
        <f>J65/Parametros!$J$37</f>
        <v>3.4991</v>
      </c>
      <c r="K66" s="184">
        <f>K65/Parametros!$J$37</f>
        <v>3.4991</v>
      </c>
      <c r="L66" s="184">
        <f>L65/Parametros!$J$37</f>
        <v>3.411</v>
      </c>
      <c r="M66" s="184">
        <f>M65/Parametros!$J$37</f>
        <v>3.3229</v>
      </c>
      <c r="N66" s="184">
        <f>N65/Parametros!$J$37</f>
        <v>5.2814</v>
      </c>
      <c r="O66" s="5"/>
      <c r="P66" s="5"/>
      <c r="Q66" s="5"/>
      <c r="R66" s="5"/>
      <c r="S66" s="5"/>
      <c r="T66" s="5"/>
      <c r="U66" s="5"/>
      <c r="V66" s="5"/>
      <c r="W66" s="5"/>
      <c r="X66" s="5"/>
      <c r="Y66" s="5"/>
      <c r="Z66" s="5"/>
    </row>
    <row r="67" ht="12.0" customHeight="1">
      <c r="A67" s="186" t="s">
        <v>636</v>
      </c>
      <c r="B67" s="4"/>
      <c r="C67" s="184">
        <f t="shared" ref="C67:N67" si="19">C66</f>
        <v>5.1052</v>
      </c>
      <c r="D67" s="184">
        <f t="shared" si="19"/>
        <v>3.917</v>
      </c>
      <c r="E67" s="184">
        <f t="shared" si="19"/>
        <v>3.7265</v>
      </c>
      <c r="F67" s="184">
        <f t="shared" si="19"/>
        <v>3.5872</v>
      </c>
      <c r="G67" s="184">
        <f t="shared" si="19"/>
        <v>3.3598</v>
      </c>
      <c r="H67" s="184">
        <f t="shared" si="19"/>
        <v>3.2717</v>
      </c>
      <c r="I67" s="184">
        <f t="shared" si="19"/>
        <v>3.4991</v>
      </c>
      <c r="J67" s="184">
        <f t="shared" si="19"/>
        <v>3.4991</v>
      </c>
      <c r="K67" s="184">
        <f t="shared" si="19"/>
        <v>3.4991</v>
      </c>
      <c r="L67" s="184">
        <f t="shared" si="19"/>
        <v>3.411</v>
      </c>
      <c r="M67" s="184">
        <f t="shared" si="19"/>
        <v>3.3229</v>
      </c>
      <c r="N67" s="184">
        <f t="shared" si="19"/>
        <v>5.2814</v>
      </c>
      <c r="O67" s="5"/>
      <c r="P67" s="5"/>
      <c r="Q67" s="5"/>
      <c r="R67" s="5"/>
      <c r="S67" s="5"/>
      <c r="T67" s="5"/>
      <c r="U67" s="5"/>
      <c r="V67" s="5"/>
      <c r="W67" s="5"/>
      <c r="X67" s="5"/>
      <c r="Y67" s="5"/>
      <c r="Z67" s="5"/>
    </row>
    <row r="68" ht="12.0" customHeight="1">
      <c r="A68" s="186" t="s">
        <v>637</v>
      </c>
      <c r="B68" s="4"/>
      <c r="C68" s="184">
        <f>'Resumen Capacidad'!$B$117</f>
        <v>60.656</v>
      </c>
      <c r="D68" s="184">
        <f>'Resumen Capacidad'!$B$117</f>
        <v>60.656</v>
      </c>
      <c r="E68" s="184">
        <f>'Resumen Capacidad'!$B$117</f>
        <v>60.656</v>
      </c>
      <c r="F68" s="184">
        <f>'Resumen Capacidad'!$B$117</f>
        <v>60.656</v>
      </c>
      <c r="G68" s="184">
        <f>'Resumen Capacidad'!$B$117</f>
        <v>60.656</v>
      </c>
      <c r="H68" s="184">
        <f>'Resumen Capacidad'!$B$117</f>
        <v>60.656</v>
      </c>
      <c r="I68" s="184">
        <f>'Resumen Capacidad'!$B$117</f>
        <v>60.656</v>
      </c>
      <c r="J68" s="184">
        <f>'Resumen Capacidad'!$B$117</f>
        <v>60.656</v>
      </c>
      <c r="K68" s="184">
        <f>'Resumen Capacidad'!$B$117</f>
        <v>60.656</v>
      </c>
      <c r="L68" s="184">
        <f>'Resumen Capacidad'!$B$117</f>
        <v>60.656</v>
      </c>
      <c r="M68" s="184">
        <f>'Resumen Capacidad'!$B$117</f>
        <v>60.656</v>
      </c>
      <c r="N68" s="184">
        <f>'Resumen Capacidad'!$B$117</f>
        <v>60.656</v>
      </c>
      <c r="O68" s="5"/>
      <c r="P68" s="5"/>
      <c r="Q68" s="5"/>
      <c r="R68" s="5"/>
      <c r="S68" s="5"/>
      <c r="T68" s="5"/>
      <c r="U68" s="5"/>
      <c r="V68" s="5"/>
      <c r="W68" s="5"/>
      <c r="X68" s="5"/>
      <c r="Y68" s="5"/>
      <c r="Z68" s="5"/>
    </row>
    <row r="69" ht="12.0" customHeight="1">
      <c r="A69" s="186" t="s">
        <v>640</v>
      </c>
      <c r="B69" s="4"/>
      <c r="C69" s="189">
        <f>'Resumen Capacidad'!$B$35*'Resumen Capacidad'!$B$71</f>
        <v>1</v>
      </c>
      <c r="D69" s="189">
        <f>'Resumen Capacidad'!$B$35*'Resumen Capacidad'!$B$71</f>
        <v>1</v>
      </c>
      <c r="E69" s="189">
        <f>'Resumen Capacidad'!$B$35*'Resumen Capacidad'!$B$71</f>
        <v>1</v>
      </c>
      <c r="F69" s="189">
        <f>'Resumen Capacidad'!$B$35*'Resumen Capacidad'!$B$71</f>
        <v>1</v>
      </c>
      <c r="G69" s="189">
        <f>'Resumen Capacidad'!$B$35*'Resumen Capacidad'!$B$71</f>
        <v>1</v>
      </c>
      <c r="H69" s="189">
        <f>'Resumen Capacidad'!$B$35*'Resumen Capacidad'!$B$71</f>
        <v>1</v>
      </c>
      <c r="I69" s="189">
        <f>'Resumen Capacidad'!$B$35*'Resumen Capacidad'!$B$71</f>
        <v>1</v>
      </c>
      <c r="J69" s="189">
        <f>'Resumen Capacidad'!$B$35*'Resumen Capacidad'!$B$71</f>
        <v>1</v>
      </c>
      <c r="K69" s="189">
        <f>'Resumen Capacidad'!$B$35*'Resumen Capacidad'!$B$71</f>
        <v>1</v>
      </c>
      <c r="L69" s="189">
        <f>'Resumen Capacidad'!$B$35*'Resumen Capacidad'!$B$71</f>
        <v>1</v>
      </c>
      <c r="M69" s="189">
        <f>'Resumen Capacidad'!$B$35*'Resumen Capacidad'!$B$71</f>
        <v>1</v>
      </c>
      <c r="N69" s="189">
        <f>'Resumen Capacidad'!$B$35*'Resumen Capacidad'!$B$71</f>
        <v>1</v>
      </c>
      <c r="O69" s="5"/>
      <c r="P69" s="5"/>
      <c r="Q69" s="5"/>
      <c r="R69" s="5"/>
      <c r="S69" s="5"/>
      <c r="T69" s="5"/>
      <c r="U69" s="5"/>
      <c r="V69" s="5"/>
      <c r="W69" s="5"/>
      <c r="X69" s="5"/>
      <c r="Y69" s="5"/>
      <c r="Z69" s="5"/>
    </row>
    <row r="70" ht="12.0" customHeight="1">
      <c r="A70" s="186" t="s">
        <v>642</v>
      </c>
      <c r="B70" s="4"/>
      <c r="C70" s="184">
        <f t="shared" ref="C70:N70" si="20">C68*C69</f>
        <v>60.656</v>
      </c>
      <c r="D70" s="184">
        <f t="shared" si="20"/>
        <v>60.656</v>
      </c>
      <c r="E70" s="184">
        <f t="shared" si="20"/>
        <v>60.656</v>
      </c>
      <c r="F70" s="184">
        <f t="shared" si="20"/>
        <v>60.656</v>
      </c>
      <c r="G70" s="184">
        <f t="shared" si="20"/>
        <v>60.656</v>
      </c>
      <c r="H70" s="184">
        <f t="shared" si="20"/>
        <v>60.656</v>
      </c>
      <c r="I70" s="184">
        <f t="shared" si="20"/>
        <v>60.656</v>
      </c>
      <c r="J70" s="184">
        <f t="shared" si="20"/>
        <v>60.656</v>
      </c>
      <c r="K70" s="184">
        <f t="shared" si="20"/>
        <v>60.656</v>
      </c>
      <c r="L70" s="184">
        <f t="shared" si="20"/>
        <v>60.656</v>
      </c>
      <c r="M70" s="184">
        <f t="shared" si="20"/>
        <v>60.656</v>
      </c>
      <c r="N70" s="184">
        <f t="shared" si="20"/>
        <v>60.656</v>
      </c>
      <c r="O70" s="5"/>
      <c r="P70" s="5"/>
      <c r="Q70" s="5"/>
      <c r="R70" s="5"/>
      <c r="S70" s="5"/>
      <c r="T70" s="5"/>
      <c r="U70" s="5"/>
      <c r="V70" s="5"/>
      <c r="W70" s="5"/>
      <c r="X70" s="5"/>
      <c r="Y70" s="5"/>
      <c r="Z70" s="5"/>
    </row>
    <row r="71" ht="12.0" customHeight="1">
      <c r="A71" s="186" t="s">
        <v>643</v>
      </c>
      <c r="B71" s="4"/>
      <c r="C71" s="148">
        <f t="shared" ref="C71:N71" si="21">IF(C70=0,0,C67/C70)</f>
        <v>0.08416644685</v>
      </c>
      <c r="D71" s="148">
        <f t="shared" si="21"/>
        <v>0.06457728831</v>
      </c>
      <c r="E71" s="148">
        <f t="shared" si="21"/>
        <v>0.06143662622</v>
      </c>
      <c r="F71" s="148">
        <f t="shared" si="21"/>
        <v>0.05914006858</v>
      </c>
      <c r="G71" s="148">
        <f t="shared" si="21"/>
        <v>0.05539105777</v>
      </c>
      <c r="H71" s="148">
        <f t="shared" si="21"/>
        <v>0.05393860459</v>
      </c>
      <c r="I71" s="148">
        <f t="shared" si="21"/>
        <v>0.0576876154</v>
      </c>
      <c r="J71" s="148">
        <f t="shared" si="21"/>
        <v>0.0576876154</v>
      </c>
      <c r="K71" s="148">
        <f t="shared" si="21"/>
        <v>0.0576876154</v>
      </c>
      <c r="L71" s="148">
        <f t="shared" si="21"/>
        <v>0.05623516223</v>
      </c>
      <c r="M71" s="148">
        <f t="shared" si="21"/>
        <v>0.05478270905</v>
      </c>
      <c r="N71" s="148">
        <f t="shared" si="21"/>
        <v>0.0870713532</v>
      </c>
      <c r="O71" s="5"/>
      <c r="P71" s="5"/>
      <c r="Q71" s="5"/>
      <c r="R71" s="5"/>
      <c r="S71" s="5"/>
      <c r="T71" s="5"/>
      <c r="U71" s="5"/>
      <c r="V71" s="5"/>
      <c r="W71" s="5"/>
      <c r="X71" s="5"/>
      <c r="Y71" s="5"/>
      <c r="Z71" s="5"/>
    </row>
    <row r="72" ht="12.0" customHeight="1">
      <c r="A72" s="177" t="s">
        <v>664</v>
      </c>
      <c r="B72" s="178"/>
      <c r="C72" s="178"/>
      <c r="D72" s="178"/>
      <c r="E72" s="178"/>
      <c r="F72" s="178"/>
      <c r="G72" s="178"/>
      <c r="H72" s="178"/>
      <c r="I72" s="178"/>
      <c r="J72" s="178"/>
      <c r="K72" s="178"/>
      <c r="L72" s="178"/>
      <c r="M72" s="178"/>
      <c r="N72" s="179"/>
      <c r="O72" s="5"/>
      <c r="P72" s="5"/>
      <c r="Q72" s="5"/>
      <c r="R72" s="5"/>
      <c r="S72" s="5"/>
      <c r="T72" s="5"/>
      <c r="U72" s="5"/>
      <c r="V72" s="5"/>
      <c r="W72" s="5"/>
      <c r="X72" s="5"/>
      <c r="Y72" s="5"/>
      <c r="Z72" s="5"/>
    </row>
    <row r="73" ht="12.0" customHeight="1">
      <c r="A73" s="180" t="s">
        <v>630</v>
      </c>
      <c r="B73" s="180" t="s">
        <v>631</v>
      </c>
      <c r="C73" s="180" t="s">
        <v>3</v>
      </c>
      <c r="D73" s="180" t="s">
        <v>4</v>
      </c>
      <c r="E73" s="180" t="s">
        <v>5</v>
      </c>
      <c r="F73" s="180" t="s">
        <v>6</v>
      </c>
      <c r="G73" s="180" t="s">
        <v>7</v>
      </c>
      <c r="H73" s="180" t="s">
        <v>8</v>
      </c>
      <c r="I73" s="180" t="s">
        <v>9</v>
      </c>
      <c r="J73" s="180" t="s">
        <v>10</v>
      </c>
      <c r="K73" s="180" t="s">
        <v>11</v>
      </c>
      <c r="L73" s="180" t="s">
        <v>12</v>
      </c>
      <c r="M73" s="180" t="s">
        <v>13</v>
      </c>
      <c r="N73" s="180" t="s">
        <v>14</v>
      </c>
      <c r="O73" s="5"/>
      <c r="P73" s="5"/>
      <c r="Q73" s="5"/>
      <c r="R73" s="5"/>
      <c r="S73" s="5"/>
      <c r="T73" s="5"/>
      <c r="U73" s="5"/>
      <c r="V73" s="5"/>
      <c r="W73" s="5"/>
      <c r="X73" s="5"/>
      <c r="Y73" s="5"/>
      <c r="Z73" s="5"/>
    </row>
    <row r="74" ht="12.0" customHeight="1">
      <c r="A74" s="181" t="s">
        <v>632</v>
      </c>
      <c r="B74" s="125" t="s">
        <v>633</v>
      </c>
      <c r="C74" s="182">
        <f>SUM('2026'!B6:B9)+SUM('2026'!B17:B20)</f>
        <v>765.78</v>
      </c>
      <c r="D74" s="182">
        <f>SUM('2026'!C6:C9)+SUM('2026'!C17:C20)</f>
        <v>587.55</v>
      </c>
      <c r="E74" s="182">
        <f>SUM('2026'!D6:D9)+SUM('2026'!D17:D20)</f>
        <v>558.975</v>
      </c>
      <c r="F74" s="182">
        <f>SUM('2026'!E6:E9)+SUM('2026'!E17:E20)</f>
        <v>538.08</v>
      </c>
      <c r="G74" s="182">
        <f>SUM('2026'!F6:F9)+SUM('2026'!F17:F20)</f>
        <v>503.97</v>
      </c>
      <c r="H74" s="182">
        <f>SUM('2026'!G6:G9)+SUM('2026'!G17:G20)</f>
        <v>490.755</v>
      </c>
      <c r="I74" s="182">
        <f>SUM('2026'!H6:H9)+SUM('2026'!H17:H20)</f>
        <v>524.865</v>
      </c>
      <c r="J74" s="182">
        <f>SUM('2026'!I6:I9)+SUM('2026'!I17:I20)</f>
        <v>524.865</v>
      </c>
      <c r="K74" s="182">
        <f>SUM('2026'!J6:J9)+SUM('2026'!J17:J20)</f>
        <v>524.865</v>
      </c>
      <c r="L74" s="182">
        <f>SUM('2026'!K6:K9)+SUM('2026'!K17:K20)</f>
        <v>511.65</v>
      </c>
      <c r="M74" s="182">
        <f>SUM('2026'!L6:L9)+SUM('2026'!L17:L20)</f>
        <v>498.435</v>
      </c>
      <c r="N74" s="182">
        <f>SUM('2026'!M6:M9)+SUM('2026'!M17:M20)</f>
        <v>792.21</v>
      </c>
      <c r="O74" s="5"/>
      <c r="P74" s="5"/>
      <c r="Q74" s="5"/>
      <c r="R74" s="5"/>
      <c r="S74" s="5"/>
      <c r="T74" s="5"/>
      <c r="U74" s="5"/>
      <c r="V74" s="5"/>
      <c r="W74" s="5"/>
      <c r="X74" s="5"/>
      <c r="Y74" s="5"/>
      <c r="Z74" s="5"/>
    </row>
    <row r="75" ht="12.0" customHeight="1">
      <c r="A75" s="183"/>
      <c r="B75" s="125" t="s">
        <v>634</v>
      </c>
      <c r="C75" s="184">
        <f>C74/Parametros!$B$37</f>
        <v>38.289</v>
      </c>
      <c r="D75" s="184">
        <f>D74/Parametros!$B$37</f>
        <v>29.3775</v>
      </c>
      <c r="E75" s="184">
        <f>E74/Parametros!$B$37</f>
        <v>27.94875</v>
      </c>
      <c r="F75" s="184">
        <f>F74/Parametros!$B$37</f>
        <v>26.904</v>
      </c>
      <c r="G75" s="184">
        <f>G74/Parametros!$B$37</f>
        <v>25.1985</v>
      </c>
      <c r="H75" s="184">
        <f>H74/Parametros!$B$37</f>
        <v>24.53775</v>
      </c>
      <c r="I75" s="184">
        <f>I74/Parametros!$B$37</f>
        <v>26.24325</v>
      </c>
      <c r="J75" s="184">
        <f>J74/Parametros!$B$37</f>
        <v>26.24325</v>
      </c>
      <c r="K75" s="184">
        <f>K74/Parametros!$B$37</f>
        <v>26.24325</v>
      </c>
      <c r="L75" s="184">
        <f>L74/Parametros!$B$37</f>
        <v>25.5825</v>
      </c>
      <c r="M75" s="184">
        <f>M74/Parametros!$B$37</f>
        <v>24.92175</v>
      </c>
      <c r="N75" s="184">
        <f>N74/Parametros!$B$37</f>
        <v>39.6105</v>
      </c>
      <c r="O75" s="5"/>
      <c r="P75" s="5"/>
      <c r="Q75" s="5"/>
      <c r="R75" s="5"/>
      <c r="S75" s="5"/>
      <c r="T75" s="5"/>
      <c r="U75" s="5"/>
      <c r="V75" s="5"/>
      <c r="W75" s="5"/>
      <c r="X75" s="5"/>
      <c r="Y75" s="5"/>
      <c r="Z75" s="5"/>
    </row>
    <row r="76" ht="12.0" customHeight="1">
      <c r="A76" s="185"/>
      <c r="B76" s="125" t="s">
        <v>635</v>
      </c>
      <c r="C76" s="184">
        <f>C75/Parametros!$J$37</f>
        <v>5.1052</v>
      </c>
      <c r="D76" s="184">
        <f>D75/Parametros!$J$37</f>
        <v>3.917</v>
      </c>
      <c r="E76" s="184">
        <f>E75/Parametros!$J$37</f>
        <v>3.7265</v>
      </c>
      <c r="F76" s="184">
        <f>F75/Parametros!$J$37</f>
        <v>3.5872</v>
      </c>
      <c r="G76" s="184">
        <f>G75/Parametros!$J$37</f>
        <v>3.3598</v>
      </c>
      <c r="H76" s="184">
        <f>H75/Parametros!$J$37</f>
        <v>3.2717</v>
      </c>
      <c r="I76" s="184">
        <f>I75/Parametros!$J$37</f>
        <v>3.4991</v>
      </c>
      <c r="J76" s="184">
        <f>J75/Parametros!$J$37</f>
        <v>3.4991</v>
      </c>
      <c r="K76" s="184">
        <f>K75/Parametros!$J$37</f>
        <v>3.4991</v>
      </c>
      <c r="L76" s="184">
        <f>L75/Parametros!$J$37</f>
        <v>3.411</v>
      </c>
      <c r="M76" s="184">
        <f>M75/Parametros!$J$37</f>
        <v>3.3229</v>
      </c>
      <c r="N76" s="184">
        <f>N75/Parametros!$J$37</f>
        <v>5.2814</v>
      </c>
      <c r="O76" s="5"/>
      <c r="P76" s="5"/>
      <c r="Q76" s="5"/>
      <c r="R76" s="5"/>
      <c r="S76" s="5"/>
      <c r="T76" s="5"/>
      <c r="U76" s="5"/>
      <c r="V76" s="5"/>
      <c r="W76" s="5"/>
      <c r="X76" s="5"/>
      <c r="Y76" s="5"/>
      <c r="Z76" s="5"/>
    </row>
    <row r="77" ht="12.0" customHeight="1">
      <c r="A77" s="186" t="s">
        <v>636</v>
      </c>
      <c r="B77" s="4"/>
      <c r="C77" s="184">
        <f t="shared" ref="C77:N77" si="22">C76</f>
        <v>5.1052</v>
      </c>
      <c r="D77" s="184">
        <f t="shared" si="22"/>
        <v>3.917</v>
      </c>
      <c r="E77" s="184">
        <f t="shared" si="22"/>
        <v>3.7265</v>
      </c>
      <c r="F77" s="184">
        <f t="shared" si="22"/>
        <v>3.5872</v>
      </c>
      <c r="G77" s="184">
        <f t="shared" si="22"/>
        <v>3.3598</v>
      </c>
      <c r="H77" s="184">
        <f t="shared" si="22"/>
        <v>3.2717</v>
      </c>
      <c r="I77" s="184">
        <f t="shared" si="22"/>
        <v>3.4991</v>
      </c>
      <c r="J77" s="184">
        <f t="shared" si="22"/>
        <v>3.4991</v>
      </c>
      <c r="K77" s="184">
        <f t="shared" si="22"/>
        <v>3.4991</v>
      </c>
      <c r="L77" s="184">
        <f t="shared" si="22"/>
        <v>3.411</v>
      </c>
      <c r="M77" s="184">
        <f t="shared" si="22"/>
        <v>3.3229</v>
      </c>
      <c r="N77" s="184">
        <f t="shared" si="22"/>
        <v>5.2814</v>
      </c>
      <c r="O77" s="5"/>
      <c r="P77" s="5"/>
      <c r="Q77" s="5"/>
      <c r="R77" s="5"/>
      <c r="S77" s="5"/>
      <c r="T77" s="5"/>
      <c r="U77" s="5"/>
      <c r="V77" s="5"/>
      <c r="W77" s="5"/>
      <c r="X77" s="5"/>
      <c r="Y77" s="5"/>
      <c r="Z77" s="5"/>
    </row>
    <row r="78" ht="12.0" customHeight="1">
      <c r="A78" s="186" t="s">
        <v>637</v>
      </c>
      <c r="B78" s="4"/>
      <c r="C78" s="184">
        <f>'Resumen Capacidad'!$B$118</f>
        <v>187.425</v>
      </c>
      <c r="D78" s="184">
        <f>'Resumen Capacidad'!$B$118</f>
        <v>187.425</v>
      </c>
      <c r="E78" s="184">
        <f>'Resumen Capacidad'!$B$118</f>
        <v>187.425</v>
      </c>
      <c r="F78" s="184">
        <f>'Resumen Capacidad'!$B$118</f>
        <v>187.425</v>
      </c>
      <c r="G78" s="184">
        <f>'Resumen Capacidad'!$B$118</f>
        <v>187.425</v>
      </c>
      <c r="H78" s="184">
        <f>'Resumen Capacidad'!$B$118</f>
        <v>187.425</v>
      </c>
      <c r="I78" s="184">
        <f>'Resumen Capacidad'!$B$118</f>
        <v>187.425</v>
      </c>
      <c r="J78" s="184">
        <f>'Resumen Capacidad'!$B$118</f>
        <v>187.425</v>
      </c>
      <c r="K78" s="184">
        <f>'Resumen Capacidad'!$B$118</f>
        <v>187.425</v>
      </c>
      <c r="L78" s="184">
        <f>'Resumen Capacidad'!$B$118</f>
        <v>187.425</v>
      </c>
      <c r="M78" s="184">
        <f>'Resumen Capacidad'!$B$118</f>
        <v>187.425</v>
      </c>
      <c r="N78" s="184">
        <f>'Resumen Capacidad'!$B$118</f>
        <v>187.425</v>
      </c>
      <c r="O78" s="5"/>
      <c r="P78" s="5"/>
      <c r="Q78" s="5"/>
      <c r="R78" s="5"/>
      <c r="S78" s="5"/>
      <c r="T78" s="5"/>
      <c r="U78" s="5"/>
      <c r="V78" s="5"/>
      <c r="W78" s="5"/>
      <c r="X78" s="5"/>
      <c r="Y78" s="5"/>
      <c r="Z78" s="5"/>
    </row>
    <row r="79" ht="12.0" customHeight="1">
      <c r="A79" s="186" t="s">
        <v>640</v>
      </c>
      <c r="B79" s="4"/>
      <c r="C79" s="189">
        <f>'Resumen Capacidad'!$B$36*'Resumen Capacidad'!$B$72</f>
        <v>1</v>
      </c>
      <c r="D79" s="189">
        <f>'Resumen Capacidad'!$B$36*'Resumen Capacidad'!$B$72</f>
        <v>1</v>
      </c>
      <c r="E79" s="189">
        <f>'Resumen Capacidad'!$B$36*'Resumen Capacidad'!$B$72</f>
        <v>1</v>
      </c>
      <c r="F79" s="189">
        <f>'Resumen Capacidad'!$B$36*'Resumen Capacidad'!$B$72</f>
        <v>1</v>
      </c>
      <c r="G79" s="189">
        <f>'Resumen Capacidad'!$B$36*'Resumen Capacidad'!$B$72</f>
        <v>1</v>
      </c>
      <c r="H79" s="189">
        <f>'Resumen Capacidad'!$B$36*'Resumen Capacidad'!$B$72</f>
        <v>1</v>
      </c>
      <c r="I79" s="189">
        <f>'Resumen Capacidad'!$B$36*'Resumen Capacidad'!$B$72</f>
        <v>1</v>
      </c>
      <c r="J79" s="189">
        <f>'Resumen Capacidad'!$B$36*'Resumen Capacidad'!$B$72</f>
        <v>1</v>
      </c>
      <c r="K79" s="189">
        <f>'Resumen Capacidad'!$B$36*'Resumen Capacidad'!$B$72</f>
        <v>1</v>
      </c>
      <c r="L79" s="189">
        <f>'Resumen Capacidad'!$B$36*'Resumen Capacidad'!$B$72</f>
        <v>1</v>
      </c>
      <c r="M79" s="189">
        <f>'Resumen Capacidad'!$B$36*'Resumen Capacidad'!$B$72</f>
        <v>1</v>
      </c>
      <c r="N79" s="189">
        <f>'Resumen Capacidad'!$B$36*'Resumen Capacidad'!$B$72</f>
        <v>1</v>
      </c>
      <c r="O79" s="5"/>
      <c r="P79" s="5"/>
      <c r="Q79" s="5"/>
      <c r="R79" s="5"/>
      <c r="S79" s="5"/>
      <c r="T79" s="5"/>
      <c r="U79" s="5"/>
      <c r="V79" s="5"/>
      <c r="W79" s="5"/>
      <c r="X79" s="5"/>
      <c r="Y79" s="5"/>
      <c r="Z79" s="5"/>
    </row>
    <row r="80" ht="12.0" customHeight="1">
      <c r="A80" s="186" t="s">
        <v>642</v>
      </c>
      <c r="B80" s="4"/>
      <c r="C80" s="184">
        <f t="shared" ref="C80:N80" si="23">C78*C79</f>
        <v>187.425</v>
      </c>
      <c r="D80" s="184">
        <f t="shared" si="23"/>
        <v>187.425</v>
      </c>
      <c r="E80" s="184">
        <f t="shared" si="23"/>
        <v>187.425</v>
      </c>
      <c r="F80" s="184">
        <f t="shared" si="23"/>
        <v>187.425</v>
      </c>
      <c r="G80" s="184">
        <f t="shared" si="23"/>
        <v>187.425</v>
      </c>
      <c r="H80" s="184">
        <f t="shared" si="23"/>
        <v>187.425</v>
      </c>
      <c r="I80" s="184">
        <f t="shared" si="23"/>
        <v>187.425</v>
      </c>
      <c r="J80" s="184">
        <f t="shared" si="23"/>
        <v>187.425</v>
      </c>
      <c r="K80" s="184">
        <f t="shared" si="23"/>
        <v>187.425</v>
      </c>
      <c r="L80" s="184">
        <f t="shared" si="23"/>
        <v>187.425</v>
      </c>
      <c r="M80" s="184">
        <f t="shared" si="23"/>
        <v>187.425</v>
      </c>
      <c r="N80" s="184">
        <f t="shared" si="23"/>
        <v>187.425</v>
      </c>
      <c r="O80" s="5"/>
      <c r="P80" s="5"/>
      <c r="Q80" s="5"/>
      <c r="R80" s="5"/>
      <c r="S80" s="5"/>
      <c r="T80" s="5"/>
      <c r="U80" s="5"/>
      <c r="V80" s="5"/>
      <c r="W80" s="5"/>
      <c r="X80" s="5"/>
      <c r="Y80" s="5"/>
      <c r="Z80" s="5"/>
    </row>
    <row r="81" ht="12.0" customHeight="1">
      <c r="A81" s="186" t="s">
        <v>643</v>
      </c>
      <c r="B81" s="4"/>
      <c r="C81" s="148">
        <f t="shared" ref="C81:N81" si="24">IF(C80=0,0,C77/C80)</f>
        <v>0.02723862878</v>
      </c>
      <c r="D81" s="148">
        <f t="shared" si="24"/>
        <v>0.02089902628</v>
      </c>
      <c r="E81" s="148">
        <f t="shared" si="24"/>
        <v>0.01988261971</v>
      </c>
      <c r="F81" s="148">
        <f t="shared" si="24"/>
        <v>0.01913938909</v>
      </c>
      <c r="G81" s="148">
        <f t="shared" si="24"/>
        <v>0.01792610377</v>
      </c>
      <c r="H81" s="148">
        <f t="shared" si="24"/>
        <v>0.01745604909</v>
      </c>
      <c r="I81" s="148">
        <f t="shared" si="24"/>
        <v>0.0186693344</v>
      </c>
      <c r="J81" s="148">
        <f t="shared" si="24"/>
        <v>0.0186693344</v>
      </c>
      <c r="K81" s="148">
        <f t="shared" si="24"/>
        <v>0.0186693344</v>
      </c>
      <c r="L81" s="148">
        <f t="shared" si="24"/>
        <v>0.01819927971</v>
      </c>
      <c r="M81" s="148">
        <f t="shared" si="24"/>
        <v>0.01772922502</v>
      </c>
      <c r="N81" s="148">
        <f t="shared" si="24"/>
        <v>0.02817873816</v>
      </c>
      <c r="O81" s="5"/>
      <c r="P81" s="5"/>
      <c r="Q81" s="5"/>
      <c r="R81" s="5"/>
      <c r="S81" s="5"/>
      <c r="T81" s="5"/>
      <c r="U81" s="5"/>
      <c r="V81" s="5"/>
      <c r="W81" s="5"/>
      <c r="X81" s="5"/>
      <c r="Y81" s="5"/>
      <c r="Z81" s="5"/>
    </row>
    <row r="82" ht="12.0" customHeight="1">
      <c r="A82" s="177" t="s">
        <v>665</v>
      </c>
      <c r="B82" s="178"/>
      <c r="C82" s="178"/>
      <c r="D82" s="178"/>
      <c r="E82" s="178"/>
      <c r="F82" s="178"/>
      <c r="G82" s="178"/>
      <c r="H82" s="178"/>
      <c r="I82" s="178"/>
      <c r="J82" s="178"/>
      <c r="K82" s="178"/>
      <c r="L82" s="178"/>
      <c r="M82" s="178"/>
      <c r="N82" s="179"/>
      <c r="O82" s="5"/>
      <c r="P82" s="5"/>
      <c r="Q82" s="5"/>
      <c r="R82" s="5"/>
      <c r="S82" s="5"/>
      <c r="T82" s="5"/>
      <c r="U82" s="5"/>
      <c r="V82" s="5"/>
      <c r="W82" s="5"/>
      <c r="X82" s="5"/>
      <c r="Y82" s="5"/>
      <c r="Z82" s="5"/>
    </row>
    <row r="83" ht="12.0" customHeight="1">
      <c r="A83" s="180" t="s">
        <v>630</v>
      </c>
      <c r="B83" s="180" t="s">
        <v>631</v>
      </c>
      <c r="C83" s="180" t="s">
        <v>3</v>
      </c>
      <c r="D83" s="180" t="s">
        <v>4</v>
      </c>
      <c r="E83" s="180" t="s">
        <v>5</v>
      </c>
      <c r="F83" s="180" t="s">
        <v>6</v>
      </c>
      <c r="G83" s="180" t="s">
        <v>7</v>
      </c>
      <c r="H83" s="180" t="s">
        <v>8</v>
      </c>
      <c r="I83" s="180" t="s">
        <v>9</v>
      </c>
      <c r="J83" s="180" t="s">
        <v>10</v>
      </c>
      <c r="K83" s="180" t="s">
        <v>11</v>
      </c>
      <c r="L83" s="180" t="s">
        <v>12</v>
      </c>
      <c r="M83" s="180" t="s">
        <v>13</v>
      </c>
      <c r="N83" s="180" t="s">
        <v>14</v>
      </c>
      <c r="O83" s="5"/>
      <c r="P83" s="5"/>
      <c r="Q83" s="5"/>
      <c r="R83" s="5"/>
      <c r="S83" s="5"/>
      <c r="T83" s="5"/>
      <c r="U83" s="5"/>
      <c r="V83" s="5"/>
      <c r="W83" s="5"/>
      <c r="X83" s="5"/>
      <c r="Y83" s="5"/>
      <c r="Z83" s="5"/>
    </row>
    <row r="84" ht="12.0" customHeight="1">
      <c r="A84" s="181" t="s">
        <v>632</v>
      </c>
      <c r="B84" s="125" t="s">
        <v>633</v>
      </c>
      <c r="C84" s="182">
        <f>SUM('2026'!B6:B9)+SUM('2026'!B17:B20)</f>
        <v>765.78</v>
      </c>
      <c r="D84" s="182">
        <f>SUM('2026'!C6:C9)+SUM('2026'!C17:C20)</f>
        <v>587.55</v>
      </c>
      <c r="E84" s="182">
        <f>SUM('2026'!D6:D9)+SUM('2026'!D17:D20)</f>
        <v>558.975</v>
      </c>
      <c r="F84" s="182">
        <f>SUM('2026'!E6:E9)+SUM('2026'!E17:E20)</f>
        <v>538.08</v>
      </c>
      <c r="G84" s="182">
        <f>SUM('2026'!F6:F9)+SUM('2026'!F17:F20)</f>
        <v>503.97</v>
      </c>
      <c r="H84" s="182">
        <f>SUM('2026'!G6:G9)+SUM('2026'!G17:G20)</f>
        <v>490.755</v>
      </c>
      <c r="I84" s="182">
        <f>SUM('2026'!H6:H9)+SUM('2026'!H17:H20)</f>
        <v>524.865</v>
      </c>
      <c r="J84" s="182">
        <f>SUM('2026'!I6:I9)+SUM('2026'!I17:I20)</f>
        <v>524.865</v>
      </c>
      <c r="K84" s="182">
        <f>SUM('2026'!J6:J9)+SUM('2026'!J17:J20)</f>
        <v>524.865</v>
      </c>
      <c r="L84" s="182">
        <f>SUM('2026'!K6:K9)+SUM('2026'!K17:K20)</f>
        <v>511.65</v>
      </c>
      <c r="M84" s="182">
        <f>SUM('2026'!L6:L9)+SUM('2026'!L17:L20)</f>
        <v>498.435</v>
      </c>
      <c r="N84" s="182">
        <f>SUM('2026'!M6:M9)+SUM('2026'!M17:M20)</f>
        <v>792.21</v>
      </c>
      <c r="O84" s="5"/>
      <c r="P84" s="5"/>
      <c r="Q84" s="5"/>
      <c r="R84" s="5"/>
      <c r="S84" s="5"/>
      <c r="T84" s="5"/>
      <c r="U84" s="5"/>
      <c r="V84" s="5"/>
      <c r="W84" s="5"/>
      <c r="X84" s="5"/>
      <c r="Y84" s="5"/>
      <c r="Z84" s="5"/>
    </row>
    <row r="85" ht="12.0" customHeight="1">
      <c r="A85" s="183"/>
      <c r="B85" s="125" t="s">
        <v>634</v>
      </c>
      <c r="C85" s="184">
        <f>C84/Parametros!$B$37</f>
        <v>38.289</v>
      </c>
      <c r="D85" s="184">
        <f>D84/Parametros!$B$37</f>
        <v>29.3775</v>
      </c>
      <c r="E85" s="184">
        <f>E84/Parametros!$B$37</f>
        <v>27.94875</v>
      </c>
      <c r="F85" s="184">
        <f>F84/Parametros!$B$37</f>
        <v>26.904</v>
      </c>
      <c r="G85" s="184">
        <f>G84/Parametros!$B$37</f>
        <v>25.1985</v>
      </c>
      <c r="H85" s="184">
        <f>H84/Parametros!$B$37</f>
        <v>24.53775</v>
      </c>
      <c r="I85" s="184">
        <f>I84/Parametros!$B$37</f>
        <v>26.24325</v>
      </c>
      <c r="J85" s="184">
        <f>J84/Parametros!$B$37</f>
        <v>26.24325</v>
      </c>
      <c r="K85" s="184">
        <f>K84/Parametros!$B$37</f>
        <v>26.24325</v>
      </c>
      <c r="L85" s="184">
        <f>L84/Parametros!$B$37</f>
        <v>25.5825</v>
      </c>
      <c r="M85" s="184">
        <f>M84/Parametros!$B$37</f>
        <v>24.92175</v>
      </c>
      <c r="N85" s="184">
        <f>N84/Parametros!$B$37</f>
        <v>39.6105</v>
      </c>
      <c r="O85" s="5"/>
      <c r="P85" s="5"/>
      <c r="Q85" s="5"/>
      <c r="R85" s="5"/>
      <c r="S85" s="5"/>
      <c r="T85" s="5"/>
      <c r="U85" s="5"/>
      <c r="V85" s="5"/>
      <c r="W85" s="5"/>
      <c r="X85" s="5"/>
      <c r="Y85" s="5"/>
      <c r="Z85" s="5"/>
    </row>
    <row r="86" ht="12.0" customHeight="1">
      <c r="A86" s="185"/>
      <c r="B86" s="125" t="s">
        <v>635</v>
      </c>
      <c r="C86" s="184">
        <f>C85/Parametros!$J$37</f>
        <v>5.1052</v>
      </c>
      <c r="D86" s="184">
        <f>D85/Parametros!$J$37</f>
        <v>3.917</v>
      </c>
      <c r="E86" s="184">
        <f>E85/Parametros!$J$37</f>
        <v>3.7265</v>
      </c>
      <c r="F86" s="184">
        <f>F85/Parametros!$J$37</f>
        <v>3.5872</v>
      </c>
      <c r="G86" s="184">
        <f>G85/Parametros!$J$37</f>
        <v>3.3598</v>
      </c>
      <c r="H86" s="184">
        <f>H85/Parametros!$J$37</f>
        <v>3.2717</v>
      </c>
      <c r="I86" s="184">
        <f>I85/Parametros!$J$37</f>
        <v>3.4991</v>
      </c>
      <c r="J86" s="184">
        <f>J85/Parametros!$J$37</f>
        <v>3.4991</v>
      </c>
      <c r="K86" s="184">
        <f>K85/Parametros!$J$37</f>
        <v>3.4991</v>
      </c>
      <c r="L86" s="184">
        <f>L85/Parametros!$J$37</f>
        <v>3.411</v>
      </c>
      <c r="M86" s="184">
        <f>M85/Parametros!$J$37</f>
        <v>3.3229</v>
      </c>
      <c r="N86" s="184">
        <f>N85/Parametros!$J$37</f>
        <v>5.2814</v>
      </c>
      <c r="O86" s="5"/>
      <c r="P86" s="5"/>
      <c r="Q86" s="5"/>
      <c r="R86" s="5"/>
      <c r="S86" s="5"/>
      <c r="T86" s="5"/>
      <c r="U86" s="5"/>
      <c r="V86" s="5"/>
      <c r="W86" s="5"/>
      <c r="X86" s="5"/>
      <c r="Y86" s="5"/>
      <c r="Z86" s="5"/>
    </row>
    <row r="87" ht="12.0" customHeight="1">
      <c r="A87" s="186" t="s">
        <v>636</v>
      </c>
      <c r="B87" s="4"/>
      <c r="C87" s="184">
        <f t="shared" ref="C87:N87" si="25">C86</f>
        <v>5.1052</v>
      </c>
      <c r="D87" s="184">
        <f t="shared" si="25"/>
        <v>3.917</v>
      </c>
      <c r="E87" s="184">
        <f t="shared" si="25"/>
        <v>3.7265</v>
      </c>
      <c r="F87" s="184">
        <f t="shared" si="25"/>
        <v>3.5872</v>
      </c>
      <c r="G87" s="184">
        <f t="shared" si="25"/>
        <v>3.3598</v>
      </c>
      <c r="H87" s="184">
        <f t="shared" si="25"/>
        <v>3.2717</v>
      </c>
      <c r="I87" s="184">
        <f t="shared" si="25"/>
        <v>3.4991</v>
      </c>
      <c r="J87" s="184">
        <f t="shared" si="25"/>
        <v>3.4991</v>
      </c>
      <c r="K87" s="184">
        <f t="shared" si="25"/>
        <v>3.4991</v>
      </c>
      <c r="L87" s="184">
        <f t="shared" si="25"/>
        <v>3.411</v>
      </c>
      <c r="M87" s="184">
        <f t="shared" si="25"/>
        <v>3.3229</v>
      </c>
      <c r="N87" s="184">
        <f t="shared" si="25"/>
        <v>5.2814</v>
      </c>
      <c r="O87" s="5"/>
      <c r="P87" s="5"/>
      <c r="Q87" s="5"/>
      <c r="R87" s="5"/>
      <c r="S87" s="5"/>
      <c r="T87" s="5"/>
      <c r="U87" s="5"/>
      <c r="V87" s="5"/>
      <c r="W87" s="5"/>
      <c r="X87" s="5"/>
      <c r="Y87" s="5"/>
      <c r="Z87" s="5"/>
    </row>
    <row r="88" ht="12.0" customHeight="1">
      <c r="A88" s="186" t="s">
        <v>637</v>
      </c>
      <c r="B88" s="4"/>
      <c r="C88" s="184">
        <f>'Resumen Capacidad'!$B$119</f>
        <v>63.648</v>
      </c>
      <c r="D88" s="184">
        <f>'Resumen Capacidad'!$B$119</f>
        <v>63.648</v>
      </c>
      <c r="E88" s="184">
        <f>'Resumen Capacidad'!$B$119</f>
        <v>63.648</v>
      </c>
      <c r="F88" s="184">
        <f>'Resumen Capacidad'!$B$119</f>
        <v>63.648</v>
      </c>
      <c r="G88" s="184">
        <f>'Resumen Capacidad'!$B$119</f>
        <v>63.648</v>
      </c>
      <c r="H88" s="184">
        <f>'Resumen Capacidad'!$B$119</f>
        <v>63.648</v>
      </c>
      <c r="I88" s="184">
        <f>'Resumen Capacidad'!$B$119</f>
        <v>63.648</v>
      </c>
      <c r="J88" s="184">
        <f>'Resumen Capacidad'!$B$119</f>
        <v>63.648</v>
      </c>
      <c r="K88" s="184">
        <f>'Resumen Capacidad'!$B$119</f>
        <v>63.648</v>
      </c>
      <c r="L88" s="184">
        <f>'Resumen Capacidad'!$B$119</f>
        <v>63.648</v>
      </c>
      <c r="M88" s="184">
        <f>'Resumen Capacidad'!$B$119</f>
        <v>63.648</v>
      </c>
      <c r="N88" s="184">
        <f>'Resumen Capacidad'!$B$119</f>
        <v>63.648</v>
      </c>
      <c r="O88" s="5"/>
      <c r="P88" s="5"/>
      <c r="Q88" s="5"/>
      <c r="R88" s="5"/>
      <c r="S88" s="5"/>
      <c r="T88" s="5"/>
      <c r="U88" s="5"/>
      <c r="V88" s="5"/>
      <c r="W88" s="5"/>
      <c r="X88" s="5"/>
      <c r="Y88" s="5"/>
      <c r="Z88" s="5"/>
    </row>
    <row r="89" ht="12.0" customHeight="1">
      <c r="A89" s="186" t="s">
        <v>640</v>
      </c>
      <c r="B89" s="4"/>
      <c r="C89" s="189">
        <f>'Resumen Capacidad'!$B$37*'Resumen Capacidad'!$B$73</f>
        <v>1</v>
      </c>
      <c r="D89" s="189">
        <f>'Resumen Capacidad'!$B$37*'Resumen Capacidad'!$B$73</f>
        <v>1</v>
      </c>
      <c r="E89" s="189">
        <f>'Resumen Capacidad'!$B$37*'Resumen Capacidad'!$B$73</f>
        <v>1</v>
      </c>
      <c r="F89" s="189">
        <f>'Resumen Capacidad'!$B$37*'Resumen Capacidad'!$B$73</f>
        <v>1</v>
      </c>
      <c r="G89" s="189">
        <f>'Resumen Capacidad'!$B$37*'Resumen Capacidad'!$B$73</f>
        <v>1</v>
      </c>
      <c r="H89" s="189">
        <f>'Resumen Capacidad'!$B$37*'Resumen Capacidad'!$B$73</f>
        <v>1</v>
      </c>
      <c r="I89" s="189">
        <f>'Resumen Capacidad'!$B$37*'Resumen Capacidad'!$B$73</f>
        <v>1</v>
      </c>
      <c r="J89" s="189">
        <f>'Resumen Capacidad'!$B$37*'Resumen Capacidad'!$B$73</f>
        <v>1</v>
      </c>
      <c r="K89" s="189">
        <f>'Resumen Capacidad'!$B$37*'Resumen Capacidad'!$B$73</f>
        <v>1</v>
      </c>
      <c r="L89" s="189">
        <f>'Resumen Capacidad'!$B$37*'Resumen Capacidad'!$B$73</f>
        <v>1</v>
      </c>
      <c r="M89" s="189">
        <f>'Resumen Capacidad'!$B$37*'Resumen Capacidad'!$B$73</f>
        <v>1</v>
      </c>
      <c r="N89" s="189">
        <f>'Resumen Capacidad'!$B$37*'Resumen Capacidad'!$B$73</f>
        <v>1</v>
      </c>
      <c r="O89" s="5"/>
      <c r="P89" s="5"/>
      <c r="Q89" s="5"/>
      <c r="R89" s="5"/>
      <c r="S89" s="5"/>
      <c r="T89" s="5"/>
      <c r="U89" s="5"/>
      <c r="V89" s="5"/>
      <c r="W89" s="5"/>
      <c r="X89" s="5"/>
      <c r="Y89" s="5"/>
      <c r="Z89" s="5"/>
    </row>
    <row r="90" ht="12.0" customHeight="1">
      <c r="A90" s="186" t="s">
        <v>642</v>
      </c>
      <c r="B90" s="4"/>
      <c r="C90" s="184">
        <f t="shared" ref="C90:N90" si="26">C88*C89</f>
        <v>63.648</v>
      </c>
      <c r="D90" s="184">
        <f t="shared" si="26"/>
        <v>63.648</v>
      </c>
      <c r="E90" s="184">
        <f t="shared" si="26"/>
        <v>63.648</v>
      </c>
      <c r="F90" s="184">
        <f t="shared" si="26"/>
        <v>63.648</v>
      </c>
      <c r="G90" s="184">
        <f t="shared" si="26"/>
        <v>63.648</v>
      </c>
      <c r="H90" s="184">
        <f t="shared" si="26"/>
        <v>63.648</v>
      </c>
      <c r="I90" s="184">
        <f t="shared" si="26"/>
        <v>63.648</v>
      </c>
      <c r="J90" s="184">
        <f t="shared" si="26"/>
        <v>63.648</v>
      </c>
      <c r="K90" s="184">
        <f t="shared" si="26"/>
        <v>63.648</v>
      </c>
      <c r="L90" s="184">
        <f t="shared" si="26"/>
        <v>63.648</v>
      </c>
      <c r="M90" s="184">
        <f t="shared" si="26"/>
        <v>63.648</v>
      </c>
      <c r="N90" s="184">
        <f t="shared" si="26"/>
        <v>63.648</v>
      </c>
      <c r="O90" s="5"/>
      <c r="P90" s="5"/>
      <c r="Q90" s="5"/>
      <c r="R90" s="5"/>
      <c r="S90" s="5"/>
      <c r="T90" s="5"/>
      <c r="U90" s="5"/>
      <c r="V90" s="5"/>
      <c r="W90" s="5"/>
      <c r="X90" s="5"/>
      <c r="Y90" s="5"/>
      <c r="Z90" s="5"/>
    </row>
    <row r="91" ht="12.0" customHeight="1">
      <c r="A91" s="186" t="s">
        <v>643</v>
      </c>
      <c r="B91" s="4"/>
      <c r="C91" s="148">
        <f t="shared" ref="C91:N91" si="27">IF(C90=0,0,C87/C90)</f>
        <v>0.08020990447</v>
      </c>
      <c r="D91" s="148">
        <f t="shared" si="27"/>
        <v>0.06154160382</v>
      </c>
      <c r="E91" s="148">
        <f t="shared" si="27"/>
        <v>0.05854857969</v>
      </c>
      <c r="F91" s="148">
        <f t="shared" si="27"/>
        <v>0.05635997989</v>
      </c>
      <c r="G91" s="148">
        <f t="shared" si="27"/>
        <v>0.05278720463</v>
      </c>
      <c r="H91" s="148">
        <f t="shared" si="27"/>
        <v>0.05140302916</v>
      </c>
      <c r="I91" s="148">
        <f t="shared" si="27"/>
        <v>0.05497580442</v>
      </c>
      <c r="J91" s="148">
        <f t="shared" si="27"/>
        <v>0.05497580442</v>
      </c>
      <c r="K91" s="148">
        <f t="shared" si="27"/>
        <v>0.05497580442</v>
      </c>
      <c r="L91" s="148">
        <f t="shared" si="27"/>
        <v>0.05359162896</v>
      </c>
      <c r="M91" s="148">
        <f t="shared" si="27"/>
        <v>0.05220745349</v>
      </c>
      <c r="N91" s="148">
        <f t="shared" si="27"/>
        <v>0.0829782554</v>
      </c>
      <c r="O91" s="5"/>
      <c r="P91" s="5"/>
      <c r="Q91" s="5"/>
      <c r="R91" s="5"/>
      <c r="S91" s="5"/>
      <c r="T91" s="5"/>
      <c r="U91" s="5"/>
      <c r="V91" s="5"/>
      <c r="W91" s="5"/>
      <c r="X91" s="5"/>
      <c r="Y91" s="5"/>
      <c r="Z91" s="5"/>
    </row>
    <row r="92" ht="12.0" customHeight="1">
      <c r="A92" s="177" t="s">
        <v>666</v>
      </c>
      <c r="B92" s="178"/>
      <c r="C92" s="178"/>
      <c r="D92" s="178"/>
      <c r="E92" s="178"/>
      <c r="F92" s="178"/>
      <c r="G92" s="178"/>
      <c r="H92" s="178"/>
      <c r="I92" s="178"/>
      <c r="J92" s="178"/>
      <c r="K92" s="178"/>
      <c r="L92" s="178"/>
      <c r="M92" s="178"/>
      <c r="N92" s="179"/>
      <c r="O92" s="5"/>
      <c r="P92" s="5"/>
      <c r="Q92" s="5"/>
      <c r="R92" s="5"/>
      <c r="S92" s="5"/>
      <c r="T92" s="5"/>
      <c r="U92" s="5"/>
      <c r="V92" s="5"/>
      <c r="W92" s="5"/>
      <c r="X92" s="5"/>
      <c r="Y92" s="5"/>
      <c r="Z92" s="5"/>
    </row>
    <row r="93" ht="12.0" customHeight="1">
      <c r="A93" s="180" t="s">
        <v>630</v>
      </c>
      <c r="B93" s="180" t="s">
        <v>631</v>
      </c>
      <c r="C93" s="180" t="s">
        <v>3</v>
      </c>
      <c r="D93" s="180" t="s">
        <v>4</v>
      </c>
      <c r="E93" s="180" t="s">
        <v>5</v>
      </c>
      <c r="F93" s="180" t="s">
        <v>6</v>
      </c>
      <c r="G93" s="180" t="s">
        <v>7</v>
      </c>
      <c r="H93" s="180" t="s">
        <v>8</v>
      </c>
      <c r="I93" s="180" t="s">
        <v>9</v>
      </c>
      <c r="J93" s="180" t="s">
        <v>10</v>
      </c>
      <c r="K93" s="180" t="s">
        <v>11</v>
      </c>
      <c r="L93" s="180" t="s">
        <v>12</v>
      </c>
      <c r="M93" s="180" t="s">
        <v>13</v>
      </c>
      <c r="N93" s="180" t="s">
        <v>14</v>
      </c>
      <c r="O93" s="5"/>
      <c r="P93" s="5"/>
      <c r="Q93" s="5"/>
      <c r="R93" s="5"/>
      <c r="S93" s="5"/>
      <c r="T93" s="5"/>
      <c r="U93" s="5"/>
      <c r="V93" s="5"/>
      <c r="W93" s="5"/>
      <c r="X93" s="5"/>
      <c r="Y93" s="5"/>
      <c r="Z93" s="5"/>
    </row>
    <row r="94" ht="12.0" customHeight="1">
      <c r="A94" s="181" t="s">
        <v>632</v>
      </c>
      <c r="B94" s="125" t="s">
        <v>633</v>
      </c>
      <c r="C94" s="182">
        <f>SUM('2026'!B6:B9)+SUM('2026'!B17:B20)</f>
        <v>765.78</v>
      </c>
      <c r="D94" s="182">
        <f>SUM('2026'!C6:C9)+SUM('2026'!C17:C20)</f>
        <v>587.55</v>
      </c>
      <c r="E94" s="182">
        <f>SUM('2026'!D6:D9)+SUM('2026'!D17:D20)</f>
        <v>558.975</v>
      </c>
      <c r="F94" s="182">
        <f>SUM('2026'!E6:E9)+SUM('2026'!E17:E20)</f>
        <v>538.08</v>
      </c>
      <c r="G94" s="182">
        <f>SUM('2026'!F6:F9)+SUM('2026'!F17:F20)</f>
        <v>503.97</v>
      </c>
      <c r="H94" s="182">
        <f>SUM('2026'!G6:G9)+SUM('2026'!G17:G20)</f>
        <v>490.755</v>
      </c>
      <c r="I94" s="182">
        <f>SUM('2026'!H6:H9)+SUM('2026'!H17:H20)</f>
        <v>524.865</v>
      </c>
      <c r="J94" s="182">
        <f>SUM('2026'!I6:I9)+SUM('2026'!I17:I20)</f>
        <v>524.865</v>
      </c>
      <c r="K94" s="182">
        <f>SUM('2026'!J6:J9)+SUM('2026'!J17:J20)</f>
        <v>524.865</v>
      </c>
      <c r="L94" s="182">
        <f>SUM('2026'!K6:K9)+SUM('2026'!K17:K20)</f>
        <v>511.65</v>
      </c>
      <c r="M94" s="182">
        <f>SUM('2026'!L6:L9)+SUM('2026'!L17:L20)</f>
        <v>498.435</v>
      </c>
      <c r="N94" s="182">
        <f>SUM('2026'!M6:M9)+SUM('2026'!M17:M20)</f>
        <v>792.21</v>
      </c>
      <c r="O94" s="5"/>
      <c r="P94" s="5"/>
      <c r="Q94" s="5"/>
      <c r="R94" s="5"/>
      <c r="S94" s="5"/>
      <c r="T94" s="5"/>
      <c r="U94" s="5"/>
      <c r="V94" s="5"/>
      <c r="W94" s="5"/>
      <c r="X94" s="5"/>
      <c r="Y94" s="5"/>
      <c r="Z94" s="5"/>
    </row>
    <row r="95" ht="12.0" customHeight="1">
      <c r="A95" s="183"/>
      <c r="B95" s="125" t="s">
        <v>634</v>
      </c>
      <c r="C95" s="184">
        <f>C94/Parametros!$B$37</f>
        <v>38.289</v>
      </c>
      <c r="D95" s="184">
        <f>D94/Parametros!$B$37</f>
        <v>29.3775</v>
      </c>
      <c r="E95" s="184">
        <f>E94/Parametros!$B$37</f>
        <v>27.94875</v>
      </c>
      <c r="F95" s="184">
        <f>F94/Parametros!$B$37</f>
        <v>26.904</v>
      </c>
      <c r="G95" s="184">
        <f>G94/Parametros!$B$37</f>
        <v>25.1985</v>
      </c>
      <c r="H95" s="184">
        <f>H94/Parametros!$B$37</f>
        <v>24.53775</v>
      </c>
      <c r="I95" s="184">
        <f>I94/Parametros!$B$37</f>
        <v>26.24325</v>
      </c>
      <c r="J95" s="184">
        <f>J94/Parametros!$B$37</f>
        <v>26.24325</v>
      </c>
      <c r="K95" s="184">
        <f>K94/Parametros!$B$37</f>
        <v>26.24325</v>
      </c>
      <c r="L95" s="184">
        <f>L94/Parametros!$B$37</f>
        <v>25.5825</v>
      </c>
      <c r="M95" s="184">
        <f>M94/Parametros!$B$37</f>
        <v>24.92175</v>
      </c>
      <c r="N95" s="184">
        <f>N94/Parametros!$B$37</f>
        <v>39.6105</v>
      </c>
      <c r="O95" s="5"/>
      <c r="P95" s="5"/>
      <c r="Q95" s="5"/>
      <c r="R95" s="5"/>
      <c r="S95" s="5"/>
      <c r="T95" s="5"/>
      <c r="U95" s="5"/>
      <c r="V95" s="5"/>
      <c r="W95" s="5"/>
      <c r="X95" s="5"/>
      <c r="Y95" s="5"/>
      <c r="Z95" s="5"/>
    </row>
    <row r="96" ht="12.0" customHeight="1">
      <c r="A96" s="185"/>
      <c r="B96" s="125" t="s">
        <v>635</v>
      </c>
      <c r="C96" s="184">
        <f>C95/Parametros!$J$37</f>
        <v>5.1052</v>
      </c>
      <c r="D96" s="184">
        <f>D95/Parametros!$J$37</f>
        <v>3.917</v>
      </c>
      <c r="E96" s="184">
        <f>E95/Parametros!$J$37</f>
        <v>3.7265</v>
      </c>
      <c r="F96" s="184">
        <f>F95/Parametros!$J$37</f>
        <v>3.5872</v>
      </c>
      <c r="G96" s="184">
        <f>G95/Parametros!$J$37</f>
        <v>3.3598</v>
      </c>
      <c r="H96" s="184">
        <f>H95/Parametros!$J$37</f>
        <v>3.2717</v>
      </c>
      <c r="I96" s="184">
        <f>I95/Parametros!$J$37</f>
        <v>3.4991</v>
      </c>
      <c r="J96" s="184">
        <f>J95/Parametros!$J$37</f>
        <v>3.4991</v>
      </c>
      <c r="K96" s="184">
        <f>K95/Parametros!$J$37</f>
        <v>3.4991</v>
      </c>
      <c r="L96" s="184">
        <f>L95/Parametros!$J$37</f>
        <v>3.411</v>
      </c>
      <c r="M96" s="184">
        <f>M95/Parametros!$J$37</f>
        <v>3.3229</v>
      </c>
      <c r="N96" s="184">
        <f>N95/Parametros!$J$37</f>
        <v>5.2814</v>
      </c>
      <c r="O96" s="5"/>
      <c r="P96" s="5"/>
      <c r="Q96" s="5"/>
      <c r="R96" s="5"/>
      <c r="S96" s="5"/>
      <c r="T96" s="5"/>
      <c r="U96" s="5"/>
      <c r="V96" s="5"/>
      <c r="W96" s="5"/>
      <c r="X96" s="5"/>
      <c r="Y96" s="5"/>
      <c r="Z96" s="5"/>
    </row>
    <row r="97" ht="12.0" customHeight="1">
      <c r="A97" s="186" t="s">
        <v>636</v>
      </c>
      <c r="B97" s="4"/>
      <c r="C97" s="184">
        <f t="shared" ref="C97:N97" si="28">C96</f>
        <v>5.1052</v>
      </c>
      <c r="D97" s="184">
        <f t="shared" si="28"/>
        <v>3.917</v>
      </c>
      <c r="E97" s="184">
        <f t="shared" si="28"/>
        <v>3.7265</v>
      </c>
      <c r="F97" s="184">
        <f t="shared" si="28"/>
        <v>3.5872</v>
      </c>
      <c r="G97" s="184">
        <f t="shared" si="28"/>
        <v>3.3598</v>
      </c>
      <c r="H97" s="184">
        <f t="shared" si="28"/>
        <v>3.2717</v>
      </c>
      <c r="I97" s="184">
        <f t="shared" si="28"/>
        <v>3.4991</v>
      </c>
      <c r="J97" s="184">
        <f t="shared" si="28"/>
        <v>3.4991</v>
      </c>
      <c r="K97" s="184">
        <f t="shared" si="28"/>
        <v>3.4991</v>
      </c>
      <c r="L97" s="184">
        <f t="shared" si="28"/>
        <v>3.411</v>
      </c>
      <c r="M97" s="184">
        <f t="shared" si="28"/>
        <v>3.3229</v>
      </c>
      <c r="N97" s="184">
        <f t="shared" si="28"/>
        <v>5.2814</v>
      </c>
      <c r="O97" s="5"/>
      <c r="P97" s="5"/>
      <c r="Q97" s="5"/>
      <c r="R97" s="5"/>
      <c r="S97" s="5"/>
      <c r="T97" s="5"/>
      <c r="U97" s="5"/>
      <c r="V97" s="5"/>
      <c r="W97" s="5"/>
      <c r="X97" s="5"/>
      <c r="Y97" s="5"/>
      <c r="Z97" s="5"/>
    </row>
    <row r="98" ht="12.0" customHeight="1">
      <c r="A98" s="186" t="s">
        <v>637</v>
      </c>
      <c r="B98" s="4"/>
      <c r="C98" s="184">
        <f>'Resumen Capacidad'!$B$120</f>
        <v>22.46518519</v>
      </c>
      <c r="D98" s="184">
        <f>'Resumen Capacidad'!$B$120</f>
        <v>22.46518519</v>
      </c>
      <c r="E98" s="184">
        <f>'Resumen Capacidad'!$B$120</f>
        <v>22.46518519</v>
      </c>
      <c r="F98" s="184">
        <f>'Resumen Capacidad'!$B$120</f>
        <v>22.46518519</v>
      </c>
      <c r="G98" s="184">
        <f>'Resumen Capacidad'!$B$120</f>
        <v>22.46518519</v>
      </c>
      <c r="H98" s="184">
        <f>'Resumen Capacidad'!$B$120</f>
        <v>22.46518519</v>
      </c>
      <c r="I98" s="184">
        <f>'Resumen Capacidad'!$B$120</f>
        <v>22.46518519</v>
      </c>
      <c r="J98" s="184">
        <f>'Resumen Capacidad'!$B$120</f>
        <v>22.46518519</v>
      </c>
      <c r="K98" s="184">
        <f>'Resumen Capacidad'!$B$120</f>
        <v>22.46518519</v>
      </c>
      <c r="L98" s="184">
        <f>'Resumen Capacidad'!$B$120</f>
        <v>22.46518519</v>
      </c>
      <c r="M98" s="184">
        <f>'Resumen Capacidad'!$B$120</f>
        <v>22.46518519</v>
      </c>
      <c r="N98" s="184">
        <f>'Resumen Capacidad'!$B$120</f>
        <v>22.46518519</v>
      </c>
      <c r="O98" s="5"/>
      <c r="P98" s="5"/>
      <c r="Q98" s="5"/>
      <c r="R98" s="5"/>
      <c r="S98" s="5"/>
      <c r="T98" s="5"/>
      <c r="U98" s="5"/>
      <c r="V98" s="5"/>
      <c r="W98" s="5"/>
      <c r="X98" s="5"/>
      <c r="Y98" s="5"/>
      <c r="Z98" s="5"/>
    </row>
    <row r="99" ht="12.0" customHeight="1">
      <c r="A99" s="186" t="s">
        <v>640</v>
      </c>
      <c r="B99" s="4"/>
      <c r="C99" s="189">
        <f>'Resumen Capacidad'!$B$38*'Resumen Capacidad'!$B$74</f>
        <v>1</v>
      </c>
      <c r="D99" s="189">
        <f>'Resumen Capacidad'!$B$38*'Resumen Capacidad'!$B$74</f>
        <v>1</v>
      </c>
      <c r="E99" s="189">
        <f>'Resumen Capacidad'!$B$38*'Resumen Capacidad'!$B$74</f>
        <v>1</v>
      </c>
      <c r="F99" s="189">
        <f>'Resumen Capacidad'!$B$38*'Resumen Capacidad'!$B$74</f>
        <v>1</v>
      </c>
      <c r="G99" s="189">
        <f>'Resumen Capacidad'!$B$38*'Resumen Capacidad'!$B$74</f>
        <v>1</v>
      </c>
      <c r="H99" s="189">
        <f>'Resumen Capacidad'!$B$38*'Resumen Capacidad'!$B$74</f>
        <v>1</v>
      </c>
      <c r="I99" s="189">
        <f>'Resumen Capacidad'!$B$38*'Resumen Capacidad'!$B$74</f>
        <v>1</v>
      </c>
      <c r="J99" s="189">
        <f>'Resumen Capacidad'!$B$38*'Resumen Capacidad'!$B$74</f>
        <v>1</v>
      </c>
      <c r="K99" s="189">
        <f>'Resumen Capacidad'!$B$38*'Resumen Capacidad'!$B$74</f>
        <v>1</v>
      </c>
      <c r="L99" s="189">
        <f>'Resumen Capacidad'!$B$38*'Resumen Capacidad'!$B$74</f>
        <v>1</v>
      </c>
      <c r="M99" s="189">
        <f>'Resumen Capacidad'!$B$38*'Resumen Capacidad'!$B$74</f>
        <v>1</v>
      </c>
      <c r="N99" s="189">
        <f>'Resumen Capacidad'!$B$38*'Resumen Capacidad'!$B$74</f>
        <v>1</v>
      </c>
      <c r="O99" s="5"/>
      <c r="P99" s="5"/>
      <c r="Q99" s="5"/>
      <c r="R99" s="5"/>
      <c r="S99" s="5"/>
      <c r="T99" s="5"/>
      <c r="U99" s="5"/>
      <c r="V99" s="5"/>
      <c r="W99" s="5"/>
      <c r="X99" s="5"/>
      <c r="Y99" s="5"/>
      <c r="Z99" s="5"/>
    </row>
    <row r="100" ht="12.0" customHeight="1">
      <c r="A100" s="186" t="s">
        <v>642</v>
      </c>
      <c r="B100" s="4"/>
      <c r="C100" s="184">
        <f t="shared" ref="C100:N100" si="29">C98*C99</f>
        <v>22.46518519</v>
      </c>
      <c r="D100" s="184">
        <f t="shared" si="29"/>
        <v>22.46518519</v>
      </c>
      <c r="E100" s="184">
        <f t="shared" si="29"/>
        <v>22.46518519</v>
      </c>
      <c r="F100" s="184">
        <f t="shared" si="29"/>
        <v>22.46518519</v>
      </c>
      <c r="G100" s="184">
        <f t="shared" si="29"/>
        <v>22.46518519</v>
      </c>
      <c r="H100" s="184">
        <f t="shared" si="29"/>
        <v>22.46518519</v>
      </c>
      <c r="I100" s="184">
        <f t="shared" si="29"/>
        <v>22.46518519</v>
      </c>
      <c r="J100" s="184">
        <f t="shared" si="29"/>
        <v>22.46518519</v>
      </c>
      <c r="K100" s="184">
        <f t="shared" si="29"/>
        <v>22.46518519</v>
      </c>
      <c r="L100" s="184">
        <f t="shared" si="29"/>
        <v>22.46518519</v>
      </c>
      <c r="M100" s="184">
        <f t="shared" si="29"/>
        <v>22.46518519</v>
      </c>
      <c r="N100" s="184">
        <f t="shared" si="29"/>
        <v>22.46518519</v>
      </c>
      <c r="O100" s="5"/>
      <c r="P100" s="5"/>
      <c r="Q100" s="5"/>
      <c r="R100" s="5"/>
      <c r="S100" s="5"/>
      <c r="T100" s="5"/>
      <c r="U100" s="5"/>
      <c r="V100" s="5"/>
      <c r="W100" s="5"/>
      <c r="X100" s="5"/>
      <c r="Y100" s="5"/>
      <c r="Z100" s="5"/>
    </row>
    <row r="101" ht="12.0" customHeight="1">
      <c r="A101" s="186" t="s">
        <v>643</v>
      </c>
      <c r="B101" s="4"/>
      <c r="C101" s="148">
        <f t="shared" ref="C101:N101" si="30">IF(C100=0,0,C97/C100)</f>
        <v>0.2272494065</v>
      </c>
      <c r="D101" s="148">
        <f t="shared" si="30"/>
        <v>0.1743586784</v>
      </c>
      <c r="E101" s="148">
        <f t="shared" si="30"/>
        <v>0.1658788908</v>
      </c>
      <c r="F101" s="148">
        <f t="shared" si="30"/>
        <v>0.1596781852</v>
      </c>
      <c r="G101" s="148">
        <f t="shared" si="30"/>
        <v>0.149555856</v>
      </c>
      <c r="H101" s="148">
        <f t="shared" si="30"/>
        <v>0.1456342324</v>
      </c>
      <c r="I101" s="148">
        <f t="shared" si="30"/>
        <v>0.1557565616</v>
      </c>
      <c r="J101" s="148">
        <f t="shared" si="30"/>
        <v>0.1557565616</v>
      </c>
      <c r="K101" s="148">
        <f t="shared" si="30"/>
        <v>0.1557565616</v>
      </c>
      <c r="L101" s="148">
        <f t="shared" si="30"/>
        <v>0.151834938</v>
      </c>
      <c r="M101" s="148">
        <f t="shared" si="30"/>
        <v>0.1479133144</v>
      </c>
      <c r="N101" s="148">
        <f t="shared" si="30"/>
        <v>0.2350926537</v>
      </c>
      <c r="O101" s="5"/>
      <c r="P101" s="5"/>
      <c r="Q101" s="5"/>
      <c r="R101" s="5"/>
      <c r="S101" s="5"/>
      <c r="T101" s="5"/>
      <c r="U101" s="5"/>
      <c r="V101" s="5"/>
      <c r="W101" s="5"/>
      <c r="X101" s="5"/>
      <c r="Y101" s="5"/>
      <c r="Z101" s="5"/>
    </row>
    <row r="102" ht="12.0" customHeight="1">
      <c r="A102" s="177" t="s">
        <v>671</v>
      </c>
      <c r="B102" s="178"/>
      <c r="C102" s="178"/>
      <c r="D102" s="178"/>
      <c r="E102" s="178"/>
      <c r="F102" s="178"/>
      <c r="G102" s="178"/>
      <c r="H102" s="178"/>
      <c r="I102" s="178"/>
      <c r="J102" s="178"/>
      <c r="K102" s="178"/>
      <c r="L102" s="178"/>
      <c r="M102" s="178"/>
      <c r="N102" s="179"/>
      <c r="O102" s="5"/>
      <c r="P102" s="5"/>
      <c r="Q102" s="5"/>
      <c r="R102" s="5"/>
      <c r="S102" s="5"/>
      <c r="T102" s="5"/>
      <c r="U102" s="5"/>
      <c r="V102" s="5"/>
      <c r="W102" s="5"/>
      <c r="X102" s="5"/>
      <c r="Y102" s="5"/>
      <c r="Z102" s="5"/>
    </row>
    <row r="103" ht="12.0" customHeight="1">
      <c r="A103" s="180" t="s">
        <v>630</v>
      </c>
      <c r="B103" s="180" t="s">
        <v>631</v>
      </c>
      <c r="C103" s="180" t="s">
        <v>3</v>
      </c>
      <c r="D103" s="180" t="s">
        <v>4</v>
      </c>
      <c r="E103" s="180" t="s">
        <v>5</v>
      </c>
      <c r="F103" s="180" t="s">
        <v>6</v>
      </c>
      <c r="G103" s="180" t="s">
        <v>7</v>
      </c>
      <c r="H103" s="180" t="s">
        <v>8</v>
      </c>
      <c r="I103" s="180" t="s">
        <v>9</v>
      </c>
      <c r="J103" s="180" t="s">
        <v>10</v>
      </c>
      <c r="K103" s="180" t="s">
        <v>11</v>
      </c>
      <c r="L103" s="180" t="s">
        <v>12</v>
      </c>
      <c r="M103" s="180" t="s">
        <v>13</v>
      </c>
      <c r="N103" s="180" t="s">
        <v>14</v>
      </c>
      <c r="O103" s="5"/>
      <c r="P103" s="5"/>
      <c r="Q103" s="5"/>
      <c r="R103" s="5"/>
      <c r="S103" s="5"/>
      <c r="T103" s="5"/>
      <c r="U103" s="5"/>
      <c r="V103" s="5"/>
      <c r="W103" s="5"/>
      <c r="X103" s="5"/>
      <c r="Y103" s="5"/>
      <c r="Z103" s="5"/>
    </row>
    <row r="104" ht="12.0" customHeight="1">
      <c r="A104" s="181" t="s">
        <v>651</v>
      </c>
      <c r="B104" s="125" t="s">
        <v>633</v>
      </c>
      <c r="C104" s="182">
        <f>SUM('2026'!B7:B9)+SUM('2026'!B18:B20)</f>
        <v>264.3</v>
      </c>
      <c r="D104" s="182">
        <f>SUM('2026'!C7:C9)+SUM('2026'!C18:C20)</f>
        <v>211.44</v>
      </c>
      <c r="E104" s="182">
        <f>SUM('2026'!D7:D9)+SUM('2026'!D18:D20)</f>
        <v>224.655</v>
      </c>
      <c r="F104" s="182">
        <f>SUM('2026'!E7:E9)+SUM('2026'!E18:E20)</f>
        <v>224.655</v>
      </c>
      <c r="G104" s="182">
        <f>SUM('2026'!F7:F9)+SUM('2026'!F18:F20)</f>
        <v>211.44</v>
      </c>
      <c r="H104" s="182">
        <f>SUM('2026'!G7:G9)+SUM('2026'!G18:G20)</f>
        <v>198.225</v>
      </c>
      <c r="I104" s="182">
        <f>SUM('2026'!H7:H9)+SUM('2026'!H18:H20)</f>
        <v>211.44</v>
      </c>
      <c r="J104" s="182">
        <f>SUM('2026'!I7:I9)+SUM('2026'!I18:I20)</f>
        <v>211.44</v>
      </c>
      <c r="K104" s="182">
        <f>SUM('2026'!J7:J9)+SUM('2026'!J18:J20)</f>
        <v>211.44</v>
      </c>
      <c r="L104" s="182">
        <f>SUM('2026'!K7:K9)+SUM('2026'!K18:K20)</f>
        <v>198.225</v>
      </c>
      <c r="M104" s="182">
        <f>SUM('2026'!L7:L9)+SUM('2026'!L18:L20)</f>
        <v>185.01</v>
      </c>
      <c r="N104" s="182">
        <f>SUM('2026'!M7:M9)+SUM('2026'!M18:M20)</f>
        <v>290.73</v>
      </c>
      <c r="O104" s="5"/>
      <c r="P104" s="5"/>
      <c r="Q104" s="5"/>
      <c r="R104" s="5"/>
      <c r="S104" s="5"/>
      <c r="T104" s="5"/>
      <c r="U104" s="5"/>
      <c r="V104" s="5"/>
      <c r="W104" s="5"/>
      <c r="X104" s="5"/>
      <c r="Y104" s="5"/>
      <c r="Z104" s="5"/>
    </row>
    <row r="105" ht="12.0" customHeight="1">
      <c r="A105" s="183"/>
      <c r="B105" s="125" t="s">
        <v>634</v>
      </c>
      <c r="C105" s="184">
        <f>C104/Parametros!$B$37</f>
        <v>13.215</v>
      </c>
      <c r="D105" s="184">
        <f>D104/Parametros!$B$37</f>
        <v>10.572</v>
      </c>
      <c r="E105" s="184">
        <f>E104/Parametros!$B$37</f>
        <v>11.23275</v>
      </c>
      <c r="F105" s="184">
        <f>F104/Parametros!$B$37</f>
        <v>11.23275</v>
      </c>
      <c r="G105" s="184">
        <f>G104/Parametros!$B$37</f>
        <v>10.572</v>
      </c>
      <c r="H105" s="184">
        <f>H104/Parametros!$B$37</f>
        <v>9.91125</v>
      </c>
      <c r="I105" s="184">
        <f>I104/Parametros!$B$37</f>
        <v>10.572</v>
      </c>
      <c r="J105" s="184">
        <f>J104/Parametros!$B$37</f>
        <v>10.572</v>
      </c>
      <c r="K105" s="184">
        <f>K104/Parametros!$B$37</f>
        <v>10.572</v>
      </c>
      <c r="L105" s="184">
        <f>L104/Parametros!$B$37</f>
        <v>9.91125</v>
      </c>
      <c r="M105" s="184">
        <f>M104/Parametros!$B$37</f>
        <v>9.2505</v>
      </c>
      <c r="N105" s="184">
        <f>N104/Parametros!$B$37</f>
        <v>14.5365</v>
      </c>
      <c r="O105" s="5"/>
      <c r="P105" s="5"/>
      <c r="Q105" s="5"/>
      <c r="R105" s="5"/>
      <c r="S105" s="5"/>
      <c r="T105" s="5"/>
      <c r="U105" s="5"/>
      <c r="V105" s="5"/>
      <c r="W105" s="5"/>
      <c r="X105" s="5"/>
      <c r="Y105" s="5"/>
      <c r="Z105" s="5"/>
    </row>
    <row r="106" ht="12.0" customHeight="1">
      <c r="A106" s="185"/>
      <c r="B106" s="125" t="s">
        <v>635</v>
      </c>
      <c r="C106" s="184">
        <f>C105/Parametros!$J$37</f>
        <v>1.762</v>
      </c>
      <c r="D106" s="184">
        <f>D105/Parametros!$J$37</f>
        <v>1.4096</v>
      </c>
      <c r="E106" s="184">
        <f>E105/Parametros!$J$37</f>
        <v>1.4977</v>
      </c>
      <c r="F106" s="184">
        <f>F105/Parametros!$J$37</f>
        <v>1.4977</v>
      </c>
      <c r="G106" s="184">
        <f>G105/Parametros!$J$37</f>
        <v>1.4096</v>
      </c>
      <c r="H106" s="184">
        <f>H105/Parametros!$J$37</f>
        <v>1.3215</v>
      </c>
      <c r="I106" s="184">
        <f>I105/Parametros!$J$37</f>
        <v>1.4096</v>
      </c>
      <c r="J106" s="184">
        <f>J105/Parametros!$J$37</f>
        <v>1.4096</v>
      </c>
      <c r="K106" s="184">
        <f>K105/Parametros!$J$37</f>
        <v>1.4096</v>
      </c>
      <c r="L106" s="184">
        <f>L105/Parametros!$J$37</f>
        <v>1.3215</v>
      </c>
      <c r="M106" s="184">
        <f>M105/Parametros!$J$37</f>
        <v>1.2334</v>
      </c>
      <c r="N106" s="184">
        <f>N105/Parametros!$J$37</f>
        <v>1.9382</v>
      </c>
      <c r="O106" s="5"/>
      <c r="P106" s="5"/>
      <c r="Q106" s="5"/>
      <c r="R106" s="5"/>
      <c r="S106" s="5"/>
      <c r="T106" s="5"/>
      <c r="U106" s="5"/>
      <c r="V106" s="5"/>
      <c r="W106" s="5"/>
      <c r="X106" s="5"/>
      <c r="Y106" s="5"/>
      <c r="Z106" s="5"/>
    </row>
    <row r="107" ht="12.0" customHeight="1">
      <c r="A107" s="186" t="s">
        <v>636</v>
      </c>
      <c r="B107" s="4"/>
      <c r="C107" s="184">
        <f t="shared" ref="C107:N107" si="31">C106</f>
        <v>1.762</v>
      </c>
      <c r="D107" s="184">
        <f t="shared" si="31"/>
        <v>1.4096</v>
      </c>
      <c r="E107" s="184">
        <f t="shared" si="31"/>
        <v>1.4977</v>
      </c>
      <c r="F107" s="184">
        <f t="shared" si="31"/>
        <v>1.4977</v>
      </c>
      <c r="G107" s="184">
        <f t="shared" si="31"/>
        <v>1.4096</v>
      </c>
      <c r="H107" s="184">
        <f t="shared" si="31"/>
        <v>1.3215</v>
      </c>
      <c r="I107" s="184">
        <f t="shared" si="31"/>
        <v>1.4096</v>
      </c>
      <c r="J107" s="184">
        <f t="shared" si="31"/>
        <v>1.4096</v>
      </c>
      <c r="K107" s="184">
        <f t="shared" si="31"/>
        <v>1.4096</v>
      </c>
      <c r="L107" s="184">
        <f t="shared" si="31"/>
        <v>1.3215</v>
      </c>
      <c r="M107" s="184">
        <f t="shared" si="31"/>
        <v>1.2334</v>
      </c>
      <c r="N107" s="184">
        <f t="shared" si="31"/>
        <v>1.9382</v>
      </c>
      <c r="O107" s="5"/>
      <c r="P107" s="5"/>
      <c r="Q107" s="5"/>
      <c r="R107" s="5"/>
      <c r="S107" s="5"/>
      <c r="T107" s="5"/>
      <c r="U107" s="5"/>
      <c r="V107" s="5"/>
      <c r="W107" s="5"/>
      <c r="X107" s="5"/>
      <c r="Y107" s="5"/>
      <c r="Z107" s="5"/>
    </row>
    <row r="108" ht="12.0" customHeight="1">
      <c r="A108" s="186" t="s">
        <v>637</v>
      </c>
      <c r="B108" s="4"/>
      <c r="C108" s="184">
        <f>'Resumen Capacidad'!$B$121</f>
        <v>71.1627907</v>
      </c>
      <c r="D108" s="184">
        <f>'Resumen Capacidad'!$B$121</f>
        <v>71.1627907</v>
      </c>
      <c r="E108" s="184">
        <f>'Resumen Capacidad'!$B$121</f>
        <v>71.1627907</v>
      </c>
      <c r="F108" s="184">
        <f>'Resumen Capacidad'!$B$121</f>
        <v>71.1627907</v>
      </c>
      <c r="G108" s="184">
        <f>'Resumen Capacidad'!$B$121</f>
        <v>71.1627907</v>
      </c>
      <c r="H108" s="184">
        <f>'Resumen Capacidad'!$B$121</f>
        <v>71.1627907</v>
      </c>
      <c r="I108" s="184">
        <f>'Resumen Capacidad'!$B$121</f>
        <v>71.1627907</v>
      </c>
      <c r="J108" s="184">
        <f>'Resumen Capacidad'!$B$121</f>
        <v>71.1627907</v>
      </c>
      <c r="K108" s="184">
        <f>'Resumen Capacidad'!$B$121</f>
        <v>71.1627907</v>
      </c>
      <c r="L108" s="184">
        <f>'Resumen Capacidad'!$B$121</f>
        <v>71.1627907</v>
      </c>
      <c r="M108" s="184">
        <f>'Resumen Capacidad'!$B$121</f>
        <v>71.1627907</v>
      </c>
      <c r="N108" s="184">
        <f>'Resumen Capacidad'!$B$121</f>
        <v>71.1627907</v>
      </c>
      <c r="O108" s="5"/>
      <c r="P108" s="5"/>
      <c r="Q108" s="5"/>
      <c r="R108" s="5"/>
      <c r="S108" s="5"/>
      <c r="T108" s="5"/>
      <c r="U108" s="5"/>
      <c r="V108" s="5"/>
      <c r="W108" s="5"/>
      <c r="X108" s="5"/>
      <c r="Y108" s="5"/>
      <c r="Z108" s="5"/>
    </row>
    <row r="109" ht="12.0" customHeight="1">
      <c r="A109" s="186" t="s">
        <v>640</v>
      </c>
      <c r="B109" s="4"/>
      <c r="C109" s="189">
        <f>'Resumen Capacidad'!$B$39*'Resumen Capacidad'!$B$75</f>
        <v>1</v>
      </c>
      <c r="D109" s="189">
        <f>'Resumen Capacidad'!$B$39*'Resumen Capacidad'!$B$75</f>
        <v>1</v>
      </c>
      <c r="E109" s="189">
        <f>'Resumen Capacidad'!$B$39*'Resumen Capacidad'!$B$75</f>
        <v>1</v>
      </c>
      <c r="F109" s="189">
        <f>'Resumen Capacidad'!$B$39*'Resumen Capacidad'!$B$75</f>
        <v>1</v>
      </c>
      <c r="G109" s="189">
        <f>'Resumen Capacidad'!$B$39*'Resumen Capacidad'!$B$75</f>
        <v>1</v>
      </c>
      <c r="H109" s="189">
        <f>'Resumen Capacidad'!$B$39*'Resumen Capacidad'!$B$75</f>
        <v>1</v>
      </c>
      <c r="I109" s="189">
        <f>'Resumen Capacidad'!$B$39*'Resumen Capacidad'!$B$75</f>
        <v>1</v>
      </c>
      <c r="J109" s="189">
        <f>'Resumen Capacidad'!$B$39*'Resumen Capacidad'!$B$75</f>
        <v>1</v>
      </c>
      <c r="K109" s="189">
        <f>'Resumen Capacidad'!$B$39*'Resumen Capacidad'!$B$75</f>
        <v>1</v>
      </c>
      <c r="L109" s="189">
        <f>'Resumen Capacidad'!$B$39*'Resumen Capacidad'!$B$75</f>
        <v>1</v>
      </c>
      <c r="M109" s="189">
        <f>'Resumen Capacidad'!$B$39*'Resumen Capacidad'!$B$75</f>
        <v>1</v>
      </c>
      <c r="N109" s="189">
        <f>'Resumen Capacidad'!$B$39*'Resumen Capacidad'!$B$75</f>
        <v>1</v>
      </c>
      <c r="O109" s="5"/>
      <c r="P109" s="5"/>
      <c r="Q109" s="5"/>
      <c r="R109" s="5"/>
      <c r="S109" s="5"/>
      <c r="T109" s="5"/>
      <c r="U109" s="5"/>
      <c r="V109" s="5"/>
      <c r="W109" s="5"/>
      <c r="X109" s="5"/>
      <c r="Y109" s="5"/>
      <c r="Z109" s="5"/>
    </row>
    <row r="110" ht="12.0" customHeight="1">
      <c r="A110" s="186" t="s">
        <v>642</v>
      </c>
      <c r="B110" s="4"/>
      <c r="C110" s="184">
        <f t="shared" ref="C110:N110" si="32">C108*C109</f>
        <v>71.1627907</v>
      </c>
      <c r="D110" s="184">
        <f t="shared" si="32"/>
        <v>71.1627907</v>
      </c>
      <c r="E110" s="184">
        <f t="shared" si="32"/>
        <v>71.1627907</v>
      </c>
      <c r="F110" s="184">
        <f t="shared" si="32"/>
        <v>71.1627907</v>
      </c>
      <c r="G110" s="184">
        <f t="shared" si="32"/>
        <v>71.1627907</v>
      </c>
      <c r="H110" s="184">
        <f t="shared" si="32"/>
        <v>71.1627907</v>
      </c>
      <c r="I110" s="184">
        <f t="shared" si="32"/>
        <v>71.1627907</v>
      </c>
      <c r="J110" s="184">
        <f t="shared" si="32"/>
        <v>71.1627907</v>
      </c>
      <c r="K110" s="184">
        <f t="shared" si="32"/>
        <v>71.1627907</v>
      </c>
      <c r="L110" s="184">
        <f t="shared" si="32"/>
        <v>71.1627907</v>
      </c>
      <c r="M110" s="184">
        <f t="shared" si="32"/>
        <v>71.1627907</v>
      </c>
      <c r="N110" s="184">
        <f t="shared" si="32"/>
        <v>71.1627907</v>
      </c>
      <c r="O110" s="5"/>
      <c r="P110" s="5"/>
      <c r="Q110" s="5"/>
      <c r="R110" s="5"/>
      <c r="S110" s="5"/>
      <c r="T110" s="5"/>
      <c r="U110" s="5"/>
      <c r="V110" s="5"/>
      <c r="W110" s="5"/>
      <c r="X110" s="5"/>
      <c r="Y110" s="5"/>
      <c r="Z110" s="5"/>
    </row>
    <row r="111" ht="12.0" customHeight="1">
      <c r="A111" s="186" t="s">
        <v>643</v>
      </c>
      <c r="B111" s="4"/>
      <c r="C111" s="148">
        <f t="shared" ref="C111:N111" si="33">IF(C110=0,0,C107/C110)</f>
        <v>0.02476013072</v>
      </c>
      <c r="D111" s="148">
        <f t="shared" si="33"/>
        <v>0.01980810458</v>
      </c>
      <c r="E111" s="148">
        <f t="shared" si="33"/>
        <v>0.02104611111</v>
      </c>
      <c r="F111" s="148">
        <f t="shared" si="33"/>
        <v>0.02104611111</v>
      </c>
      <c r="G111" s="148">
        <f t="shared" si="33"/>
        <v>0.01980810458</v>
      </c>
      <c r="H111" s="148">
        <f t="shared" si="33"/>
        <v>0.01857009804</v>
      </c>
      <c r="I111" s="148">
        <f t="shared" si="33"/>
        <v>0.01980810458</v>
      </c>
      <c r="J111" s="148">
        <f t="shared" si="33"/>
        <v>0.01980810458</v>
      </c>
      <c r="K111" s="148">
        <f t="shared" si="33"/>
        <v>0.01980810458</v>
      </c>
      <c r="L111" s="148">
        <f t="shared" si="33"/>
        <v>0.01857009804</v>
      </c>
      <c r="M111" s="148">
        <f t="shared" si="33"/>
        <v>0.0173320915</v>
      </c>
      <c r="N111" s="148">
        <f t="shared" si="33"/>
        <v>0.02723614379</v>
      </c>
      <c r="O111" s="5"/>
      <c r="P111" s="5"/>
      <c r="Q111" s="5"/>
      <c r="R111" s="5"/>
      <c r="S111" s="5"/>
      <c r="T111" s="5"/>
      <c r="U111" s="5"/>
      <c r="V111" s="5"/>
      <c r="W111" s="5"/>
      <c r="X111" s="5"/>
      <c r="Y111" s="5"/>
      <c r="Z111" s="5"/>
    </row>
    <row r="112" ht="12.0" customHeight="1">
      <c r="A112" s="177" t="s">
        <v>678</v>
      </c>
      <c r="B112" s="178"/>
      <c r="C112" s="178"/>
      <c r="D112" s="178"/>
      <c r="E112" s="178"/>
      <c r="F112" s="178"/>
      <c r="G112" s="178"/>
      <c r="H112" s="178"/>
      <c r="I112" s="178"/>
      <c r="J112" s="178"/>
      <c r="K112" s="178"/>
      <c r="L112" s="178"/>
      <c r="M112" s="178"/>
      <c r="N112" s="179"/>
      <c r="O112" s="5"/>
      <c r="P112" s="5"/>
      <c r="Q112" s="5"/>
      <c r="R112" s="5"/>
      <c r="S112" s="5"/>
      <c r="T112" s="5"/>
      <c r="U112" s="5"/>
      <c r="V112" s="5"/>
      <c r="W112" s="5"/>
      <c r="X112" s="5"/>
      <c r="Y112" s="5"/>
      <c r="Z112" s="5"/>
    </row>
    <row r="113" ht="12.0" customHeight="1">
      <c r="A113" s="180" t="s">
        <v>630</v>
      </c>
      <c r="B113" s="180" t="s">
        <v>631</v>
      </c>
      <c r="C113" s="180" t="s">
        <v>3</v>
      </c>
      <c r="D113" s="180" t="s">
        <v>4</v>
      </c>
      <c r="E113" s="180" t="s">
        <v>5</v>
      </c>
      <c r="F113" s="180" t="s">
        <v>6</v>
      </c>
      <c r="G113" s="180" t="s">
        <v>7</v>
      </c>
      <c r="H113" s="180" t="s">
        <v>8</v>
      </c>
      <c r="I113" s="180" t="s">
        <v>9</v>
      </c>
      <c r="J113" s="180" t="s">
        <v>10</v>
      </c>
      <c r="K113" s="180" t="s">
        <v>11</v>
      </c>
      <c r="L113" s="180" t="s">
        <v>12</v>
      </c>
      <c r="M113" s="180" t="s">
        <v>13</v>
      </c>
      <c r="N113" s="180" t="s">
        <v>14</v>
      </c>
      <c r="O113" s="5"/>
      <c r="P113" s="5"/>
      <c r="Q113" s="5"/>
      <c r="R113" s="5"/>
      <c r="S113" s="5"/>
      <c r="T113" s="5"/>
      <c r="U113" s="5"/>
      <c r="V113" s="5"/>
      <c r="W113" s="5"/>
      <c r="X113" s="5"/>
      <c r="Y113" s="5"/>
      <c r="Z113" s="5"/>
    </row>
    <row r="114" ht="12.0" customHeight="1">
      <c r="A114" s="181" t="s">
        <v>632</v>
      </c>
      <c r="B114" s="125" t="s">
        <v>633</v>
      </c>
      <c r="C114" s="182">
        <f>SUM('2026'!B6:B9)+SUM('2026'!B17:B20)</f>
        <v>765.78</v>
      </c>
      <c r="D114" s="182">
        <f>SUM('2026'!C6:C9)+SUM('2026'!C17:C20)</f>
        <v>587.55</v>
      </c>
      <c r="E114" s="182">
        <f>SUM('2026'!D6:D9)+SUM('2026'!D17:D20)</f>
        <v>558.975</v>
      </c>
      <c r="F114" s="182">
        <f>SUM('2026'!E6:E9)+SUM('2026'!E17:E20)</f>
        <v>538.08</v>
      </c>
      <c r="G114" s="182">
        <f>SUM('2026'!F6:F9)+SUM('2026'!F17:F20)</f>
        <v>503.97</v>
      </c>
      <c r="H114" s="182">
        <f>SUM('2026'!G6:G9)+SUM('2026'!G17:G20)</f>
        <v>490.755</v>
      </c>
      <c r="I114" s="182">
        <f>SUM('2026'!H6:H9)+SUM('2026'!H17:H20)</f>
        <v>524.865</v>
      </c>
      <c r="J114" s="182">
        <f>SUM('2026'!I6:I9)+SUM('2026'!I17:I20)</f>
        <v>524.865</v>
      </c>
      <c r="K114" s="182">
        <f>SUM('2026'!J6:J9)+SUM('2026'!J17:J20)</f>
        <v>524.865</v>
      </c>
      <c r="L114" s="182">
        <f>SUM('2026'!K6:K9)+SUM('2026'!K17:K20)</f>
        <v>511.65</v>
      </c>
      <c r="M114" s="182">
        <f>SUM('2026'!L6:L9)+SUM('2026'!L17:L20)</f>
        <v>498.435</v>
      </c>
      <c r="N114" s="182">
        <f>SUM('2026'!M6:M9)+SUM('2026'!M17:M20)</f>
        <v>792.21</v>
      </c>
      <c r="O114" s="5"/>
      <c r="P114" s="5"/>
      <c r="Q114" s="5"/>
      <c r="R114" s="5"/>
      <c r="S114" s="5"/>
      <c r="T114" s="5"/>
      <c r="U114" s="5"/>
      <c r="V114" s="5"/>
      <c r="W114" s="5"/>
      <c r="X114" s="5"/>
      <c r="Y114" s="5"/>
      <c r="Z114" s="5"/>
    </row>
    <row r="115" ht="12.0" customHeight="1">
      <c r="A115" s="183"/>
      <c r="B115" s="125" t="s">
        <v>634</v>
      </c>
      <c r="C115" s="184">
        <f>C114/Parametros!$B$37</f>
        <v>38.289</v>
      </c>
      <c r="D115" s="184">
        <f>D114/Parametros!$B$37</f>
        <v>29.3775</v>
      </c>
      <c r="E115" s="184">
        <f>E114/Parametros!$B$37</f>
        <v>27.94875</v>
      </c>
      <c r="F115" s="184">
        <f>F114/Parametros!$B$37</f>
        <v>26.904</v>
      </c>
      <c r="G115" s="184">
        <f>G114/Parametros!$B$37</f>
        <v>25.1985</v>
      </c>
      <c r="H115" s="184">
        <f>H114/Parametros!$B$37</f>
        <v>24.53775</v>
      </c>
      <c r="I115" s="184">
        <f>I114/Parametros!$B$37</f>
        <v>26.24325</v>
      </c>
      <c r="J115" s="184">
        <f>J114/Parametros!$B$37</f>
        <v>26.24325</v>
      </c>
      <c r="K115" s="184">
        <f>K114/Parametros!$B$37</f>
        <v>26.24325</v>
      </c>
      <c r="L115" s="184">
        <f>L114/Parametros!$B$37</f>
        <v>25.5825</v>
      </c>
      <c r="M115" s="184">
        <f>M114/Parametros!$B$37</f>
        <v>24.92175</v>
      </c>
      <c r="N115" s="184">
        <f>N114/Parametros!$B$37</f>
        <v>39.6105</v>
      </c>
      <c r="O115" s="5"/>
      <c r="P115" s="5"/>
      <c r="Q115" s="5"/>
      <c r="R115" s="5"/>
      <c r="S115" s="5"/>
      <c r="T115" s="5"/>
      <c r="U115" s="5"/>
      <c r="V115" s="5"/>
      <c r="W115" s="5"/>
      <c r="X115" s="5"/>
      <c r="Y115" s="5"/>
      <c r="Z115" s="5"/>
    </row>
    <row r="116" ht="12.0" customHeight="1">
      <c r="A116" s="185"/>
      <c r="B116" s="125" t="s">
        <v>635</v>
      </c>
      <c r="C116" s="184">
        <f>C115/Parametros!$J$37</f>
        <v>5.1052</v>
      </c>
      <c r="D116" s="184">
        <f>D115/Parametros!$J$37</f>
        <v>3.917</v>
      </c>
      <c r="E116" s="184">
        <f>E115/Parametros!$J$37</f>
        <v>3.7265</v>
      </c>
      <c r="F116" s="184">
        <f>F115/Parametros!$J$37</f>
        <v>3.5872</v>
      </c>
      <c r="G116" s="184">
        <f>G115/Parametros!$J$37</f>
        <v>3.3598</v>
      </c>
      <c r="H116" s="184">
        <f>H115/Parametros!$J$37</f>
        <v>3.2717</v>
      </c>
      <c r="I116" s="184">
        <f>I115/Parametros!$J$37</f>
        <v>3.4991</v>
      </c>
      <c r="J116" s="184">
        <f>J115/Parametros!$J$37</f>
        <v>3.4991</v>
      </c>
      <c r="K116" s="184">
        <f>K115/Parametros!$J$37</f>
        <v>3.4991</v>
      </c>
      <c r="L116" s="184">
        <f>L115/Parametros!$J$37</f>
        <v>3.411</v>
      </c>
      <c r="M116" s="184">
        <f>M115/Parametros!$J$37</f>
        <v>3.3229</v>
      </c>
      <c r="N116" s="184">
        <f>N115/Parametros!$J$37</f>
        <v>5.2814</v>
      </c>
      <c r="O116" s="5"/>
      <c r="P116" s="5"/>
      <c r="Q116" s="5"/>
      <c r="R116" s="5"/>
      <c r="S116" s="5"/>
      <c r="T116" s="5"/>
      <c r="U116" s="5"/>
      <c r="V116" s="5"/>
      <c r="W116" s="5"/>
      <c r="X116" s="5"/>
      <c r="Y116" s="5"/>
      <c r="Z116" s="5"/>
    </row>
    <row r="117" ht="12.0" customHeight="1">
      <c r="A117" s="186" t="s">
        <v>636</v>
      </c>
      <c r="B117" s="4"/>
      <c r="C117" s="184">
        <f t="shared" ref="C117:N117" si="34">C116</f>
        <v>5.1052</v>
      </c>
      <c r="D117" s="184">
        <f t="shared" si="34"/>
        <v>3.917</v>
      </c>
      <c r="E117" s="184">
        <f t="shared" si="34"/>
        <v>3.7265</v>
      </c>
      <c r="F117" s="184">
        <f t="shared" si="34"/>
        <v>3.5872</v>
      </c>
      <c r="G117" s="184">
        <f t="shared" si="34"/>
        <v>3.3598</v>
      </c>
      <c r="H117" s="184">
        <f t="shared" si="34"/>
        <v>3.2717</v>
      </c>
      <c r="I117" s="184">
        <f t="shared" si="34"/>
        <v>3.4991</v>
      </c>
      <c r="J117" s="184">
        <f t="shared" si="34"/>
        <v>3.4991</v>
      </c>
      <c r="K117" s="184">
        <f t="shared" si="34"/>
        <v>3.4991</v>
      </c>
      <c r="L117" s="184">
        <f t="shared" si="34"/>
        <v>3.411</v>
      </c>
      <c r="M117" s="184">
        <f t="shared" si="34"/>
        <v>3.3229</v>
      </c>
      <c r="N117" s="184">
        <f t="shared" si="34"/>
        <v>5.2814</v>
      </c>
      <c r="O117" s="5"/>
      <c r="P117" s="5"/>
      <c r="Q117" s="5"/>
      <c r="R117" s="5"/>
      <c r="S117" s="5"/>
      <c r="T117" s="5"/>
      <c r="U117" s="5"/>
      <c r="V117" s="5"/>
      <c r="W117" s="5"/>
      <c r="X117" s="5"/>
      <c r="Y117" s="5"/>
      <c r="Z117" s="5"/>
    </row>
    <row r="118" ht="12.0" customHeight="1">
      <c r="A118" s="186" t="s">
        <v>637</v>
      </c>
      <c r="B118" s="4"/>
      <c r="C118" s="184">
        <f>'Resumen Capacidad'!$B$122</f>
        <v>192</v>
      </c>
      <c r="D118" s="184">
        <f>'Resumen Capacidad'!$B$122</f>
        <v>192</v>
      </c>
      <c r="E118" s="184">
        <f>'Resumen Capacidad'!$B$122</f>
        <v>192</v>
      </c>
      <c r="F118" s="184">
        <f>'Resumen Capacidad'!$B$122</f>
        <v>192</v>
      </c>
      <c r="G118" s="184">
        <f>'Resumen Capacidad'!$B$122</f>
        <v>192</v>
      </c>
      <c r="H118" s="184">
        <f>'Resumen Capacidad'!$B$122</f>
        <v>192</v>
      </c>
      <c r="I118" s="184">
        <f>'Resumen Capacidad'!$B$122</f>
        <v>192</v>
      </c>
      <c r="J118" s="184">
        <f>'Resumen Capacidad'!$B$122</f>
        <v>192</v>
      </c>
      <c r="K118" s="184">
        <f>'Resumen Capacidad'!$B$122</f>
        <v>192</v>
      </c>
      <c r="L118" s="184">
        <f>'Resumen Capacidad'!$B$122</f>
        <v>192</v>
      </c>
      <c r="M118" s="184">
        <f>'Resumen Capacidad'!$B$122</f>
        <v>192</v>
      </c>
      <c r="N118" s="184">
        <f>'Resumen Capacidad'!$B$122</f>
        <v>192</v>
      </c>
      <c r="O118" s="5"/>
      <c r="P118" s="5"/>
      <c r="Q118" s="5"/>
      <c r="R118" s="5"/>
      <c r="S118" s="5"/>
      <c r="T118" s="5"/>
      <c r="U118" s="5"/>
      <c r="V118" s="5"/>
      <c r="W118" s="5"/>
      <c r="X118" s="5"/>
      <c r="Y118" s="5"/>
      <c r="Z118" s="5"/>
    </row>
    <row r="119" ht="12.0" customHeight="1">
      <c r="A119" s="186" t="s">
        <v>640</v>
      </c>
      <c r="B119" s="4"/>
      <c r="C119" s="189">
        <f>'Resumen Capacidad'!$B$40*'Resumen Capacidad'!$B$76</f>
        <v>1</v>
      </c>
      <c r="D119" s="189">
        <f>'Resumen Capacidad'!$B$40*'Resumen Capacidad'!$B$76</f>
        <v>1</v>
      </c>
      <c r="E119" s="189">
        <f>'Resumen Capacidad'!$B$40*'Resumen Capacidad'!$B$76</f>
        <v>1</v>
      </c>
      <c r="F119" s="189">
        <f>'Resumen Capacidad'!$B$40*'Resumen Capacidad'!$B$76</f>
        <v>1</v>
      </c>
      <c r="G119" s="189">
        <f>'Resumen Capacidad'!$B$40*'Resumen Capacidad'!$B$76</f>
        <v>1</v>
      </c>
      <c r="H119" s="189">
        <f>'Resumen Capacidad'!$B$40*'Resumen Capacidad'!$B$76</f>
        <v>1</v>
      </c>
      <c r="I119" s="189">
        <f>'Resumen Capacidad'!$B$40*'Resumen Capacidad'!$B$76</f>
        <v>1</v>
      </c>
      <c r="J119" s="189">
        <f>'Resumen Capacidad'!$B$40*'Resumen Capacidad'!$B$76</f>
        <v>1</v>
      </c>
      <c r="K119" s="189">
        <f>'Resumen Capacidad'!$B$40*'Resumen Capacidad'!$B$76</f>
        <v>1</v>
      </c>
      <c r="L119" s="189">
        <f>'Resumen Capacidad'!$B$40*'Resumen Capacidad'!$B$76</f>
        <v>1</v>
      </c>
      <c r="M119" s="189">
        <f>'Resumen Capacidad'!$B$40*'Resumen Capacidad'!$B$76</f>
        <v>1</v>
      </c>
      <c r="N119" s="189">
        <f>'Resumen Capacidad'!$B$40*'Resumen Capacidad'!$B$76</f>
        <v>1</v>
      </c>
      <c r="O119" s="5"/>
      <c r="P119" s="5"/>
      <c r="Q119" s="5"/>
      <c r="R119" s="5"/>
      <c r="S119" s="5"/>
      <c r="T119" s="5"/>
      <c r="U119" s="5"/>
      <c r="V119" s="5"/>
      <c r="W119" s="5"/>
      <c r="X119" s="5"/>
      <c r="Y119" s="5"/>
      <c r="Z119" s="5"/>
    </row>
    <row r="120" ht="12.0" customHeight="1">
      <c r="A120" s="186" t="s">
        <v>642</v>
      </c>
      <c r="B120" s="4"/>
      <c r="C120" s="184">
        <f t="shared" ref="C120:N120" si="35">C118*C119</f>
        <v>192</v>
      </c>
      <c r="D120" s="184">
        <f t="shared" si="35"/>
        <v>192</v>
      </c>
      <c r="E120" s="184">
        <f t="shared" si="35"/>
        <v>192</v>
      </c>
      <c r="F120" s="184">
        <f t="shared" si="35"/>
        <v>192</v>
      </c>
      <c r="G120" s="184">
        <f t="shared" si="35"/>
        <v>192</v>
      </c>
      <c r="H120" s="184">
        <f t="shared" si="35"/>
        <v>192</v>
      </c>
      <c r="I120" s="184">
        <f t="shared" si="35"/>
        <v>192</v>
      </c>
      <c r="J120" s="184">
        <f t="shared" si="35"/>
        <v>192</v>
      </c>
      <c r="K120" s="184">
        <f t="shared" si="35"/>
        <v>192</v>
      </c>
      <c r="L120" s="184">
        <f t="shared" si="35"/>
        <v>192</v>
      </c>
      <c r="M120" s="184">
        <f t="shared" si="35"/>
        <v>192</v>
      </c>
      <c r="N120" s="184">
        <f t="shared" si="35"/>
        <v>192</v>
      </c>
      <c r="O120" s="5"/>
      <c r="P120" s="5"/>
      <c r="Q120" s="5"/>
      <c r="R120" s="5"/>
      <c r="S120" s="5"/>
      <c r="T120" s="5"/>
      <c r="U120" s="5"/>
      <c r="V120" s="5"/>
      <c r="W120" s="5"/>
      <c r="X120" s="5"/>
      <c r="Y120" s="5"/>
      <c r="Z120" s="5"/>
    </row>
    <row r="121" ht="12.0" customHeight="1">
      <c r="A121" s="186" t="s">
        <v>643</v>
      </c>
      <c r="B121" s="4"/>
      <c r="C121" s="148">
        <f t="shared" ref="C121:N121" si="36">IF(C120=0,0,C117/C120)</f>
        <v>0.02658958333</v>
      </c>
      <c r="D121" s="148">
        <f t="shared" si="36"/>
        <v>0.02040104167</v>
      </c>
      <c r="E121" s="148">
        <f t="shared" si="36"/>
        <v>0.01940885417</v>
      </c>
      <c r="F121" s="148">
        <f t="shared" si="36"/>
        <v>0.01868333333</v>
      </c>
      <c r="G121" s="148">
        <f t="shared" si="36"/>
        <v>0.01749895833</v>
      </c>
      <c r="H121" s="148">
        <f t="shared" si="36"/>
        <v>0.01704010417</v>
      </c>
      <c r="I121" s="148">
        <f t="shared" si="36"/>
        <v>0.01822447917</v>
      </c>
      <c r="J121" s="148">
        <f t="shared" si="36"/>
        <v>0.01822447917</v>
      </c>
      <c r="K121" s="148">
        <f t="shared" si="36"/>
        <v>0.01822447917</v>
      </c>
      <c r="L121" s="148">
        <f t="shared" si="36"/>
        <v>0.017765625</v>
      </c>
      <c r="M121" s="148">
        <f t="shared" si="36"/>
        <v>0.01730677083</v>
      </c>
      <c r="N121" s="148">
        <f t="shared" si="36"/>
        <v>0.02750729167</v>
      </c>
      <c r="O121" s="5"/>
      <c r="P121" s="5"/>
      <c r="Q121" s="5"/>
      <c r="R121" s="5"/>
      <c r="S121" s="5"/>
      <c r="T121" s="5"/>
      <c r="U121" s="5"/>
      <c r="V121" s="5"/>
      <c r="W121" s="5"/>
      <c r="X121" s="5"/>
      <c r="Y121" s="5"/>
      <c r="Z121" s="5"/>
    </row>
    <row r="122" ht="12.0" customHeight="1">
      <c r="A122" s="177" t="s">
        <v>686</v>
      </c>
      <c r="B122" s="178"/>
      <c r="C122" s="178"/>
      <c r="D122" s="178"/>
      <c r="E122" s="178"/>
      <c r="F122" s="178"/>
      <c r="G122" s="178"/>
      <c r="H122" s="178"/>
      <c r="I122" s="178"/>
      <c r="J122" s="178"/>
      <c r="K122" s="178"/>
      <c r="L122" s="178"/>
      <c r="M122" s="178"/>
      <c r="N122" s="179"/>
      <c r="O122" s="5"/>
      <c r="P122" s="5"/>
      <c r="Q122" s="5"/>
      <c r="R122" s="5"/>
      <c r="S122" s="5"/>
      <c r="T122" s="5"/>
      <c r="U122" s="5"/>
      <c r="V122" s="5"/>
      <c r="W122" s="5"/>
      <c r="X122" s="5"/>
      <c r="Y122" s="5"/>
      <c r="Z122" s="5"/>
    </row>
    <row r="123" ht="12.0" customHeight="1">
      <c r="A123" s="180" t="s">
        <v>630</v>
      </c>
      <c r="B123" s="180" t="s">
        <v>631</v>
      </c>
      <c r="C123" s="180" t="s">
        <v>3</v>
      </c>
      <c r="D123" s="180" t="s">
        <v>4</v>
      </c>
      <c r="E123" s="180" t="s">
        <v>5</v>
      </c>
      <c r="F123" s="180" t="s">
        <v>6</v>
      </c>
      <c r="G123" s="180" t="s">
        <v>7</v>
      </c>
      <c r="H123" s="180" t="s">
        <v>8</v>
      </c>
      <c r="I123" s="180" t="s">
        <v>9</v>
      </c>
      <c r="J123" s="180" t="s">
        <v>10</v>
      </c>
      <c r="K123" s="180" t="s">
        <v>11</v>
      </c>
      <c r="L123" s="180" t="s">
        <v>12</v>
      </c>
      <c r="M123" s="180" t="s">
        <v>13</v>
      </c>
      <c r="N123" s="180" t="s">
        <v>14</v>
      </c>
      <c r="O123" s="5"/>
      <c r="P123" s="5"/>
      <c r="Q123" s="5"/>
      <c r="R123" s="5"/>
      <c r="S123" s="5"/>
      <c r="T123" s="5"/>
      <c r="U123" s="5"/>
      <c r="V123" s="5"/>
      <c r="W123" s="5"/>
      <c r="X123" s="5"/>
      <c r="Y123" s="5"/>
      <c r="Z123" s="5"/>
    </row>
    <row r="124" ht="12.0" customHeight="1">
      <c r="A124" s="181" t="s">
        <v>632</v>
      </c>
      <c r="B124" s="125" t="s">
        <v>633</v>
      </c>
      <c r="C124" s="182">
        <f>SUM('2026'!B6:B9)+SUM('2026'!B17:B20)</f>
        <v>765.78</v>
      </c>
      <c r="D124" s="182">
        <f>SUM('2026'!C6:C9)+SUM('2026'!C17:C20)</f>
        <v>587.55</v>
      </c>
      <c r="E124" s="182">
        <f>SUM('2026'!D6:D9)+SUM('2026'!D17:D20)</f>
        <v>558.975</v>
      </c>
      <c r="F124" s="182">
        <f>SUM('2026'!E6:E9)+SUM('2026'!E17:E20)</f>
        <v>538.08</v>
      </c>
      <c r="G124" s="182">
        <f>SUM('2026'!F6:F9)+SUM('2026'!F17:F20)</f>
        <v>503.97</v>
      </c>
      <c r="H124" s="182">
        <f>SUM('2026'!G6:G9)+SUM('2026'!G17:G20)</f>
        <v>490.755</v>
      </c>
      <c r="I124" s="182">
        <f>SUM('2026'!H6:H9)+SUM('2026'!H17:H20)</f>
        <v>524.865</v>
      </c>
      <c r="J124" s="182">
        <f>SUM('2026'!I6:I9)+SUM('2026'!I17:I20)</f>
        <v>524.865</v>
      </c>
      <c r="K124" s="182">
        <f>SUM('2026'!J6:J9)+SUM('2026'!J17:J20)</f>
        <v>524.865</v>
      </c>
      <c r="L124" s="182">
        <f>SUM('2026'!K6:K9)+SUM('2026'!K17:K20)</f>
        <v>511.65</v>
      </c>
      <c r="M124" s="182">
        <f>SUM('2026'!L6:L9)+SUM('2026'!L17:L20)</f>
        <v>498.435</v>
      </c>
      <c r="N124" s="182">
        <f>SUM('2026'!M6:M9)+SUM('2026'!M17:M20)</f>
        <v>792.21</v>
      </c>
      <c r="O124" s="5"/>
      <c r="P124" s="5"/>
      <c r="Q124" s="5"/>
      <c r="R124" s="5"/>
      <c r="S124" s="5"/>
      <c r="T124" s="5"/>
      <c r="U124" s="5"/>
      <c r="V124" s="5"/>
      <c r="W124" s="5"/>
      <c r="X124" s="5"/>
      <c r="Y124" s="5"/>
      <c r="Z124" s="5"/>
    </row>
    <row r="125" ht="12.0" customHeight="1">
      <c r="A125" s="183"/>
      <c r="B125" s="125" t="s">
        <v>634</v>
      </c>
      <c r="C125" s="184">
        <f>C124/Parametros!$B$37</f>
        <v>38.289</v>
      </c>
      <c r="D125" s="184">
        <f>D124/Parametros!$B$37</f>
        <v>29.3775</v>
      </c>
      <c r="E125" s="184">
        <f>E124/Parametros!$B$37</f>
        <v>27.94875</v>
      </c>
      <c r="F125" s="184">
        <f>F124/Parametros!$B$37</f>
        <v>26.904</v>
      </c>
      <c r="G125" s="184">
        <f>G124/Parametros!$B$37</f>
        <v>25.1985</v>
      </c>
      <c r="H125" s="184">
        <f>H124/Parametros!$B$37</f>
        <v>24.53775</v>
      </c>
      <c r="I125" s="184">
        <f>I124/Parametros!$B$37</f>
        <v>26.24325</v>
      </c>
      <c r="J125" s="184">
        <f>J124/Parametros!$B$37</f>
        <v>26.24325</v>
      </c>
      <c r="K125" s="184">
        <f>K124/Parametros!$B$37</f>
        <v>26.24325</v>
      </c>
      <c r="L125" s="184">
        <f>L124/Parametros!$B$37</f>
        <v>25.5825</v>
      </c>
      <c r="M125" s="184">
        <f>M124/Parametros!$B$37</f>
        <v>24.92175</v>
      </c>
      <c r="N125" s="184">
        <f>N124/Parametros!$B$37</f>
        <v>39.6105</v>
      </c>
      <c r="O125" s="5"/>
      <c r="P125" s="5"/>
      <c r="Q125" s="5"/>
      <c r="R125" s="5"/>
      <c r="S125" s="5"/>
      <c r="T125" s="5"/>
      <c r="U125" s="5"/>
      <c r="V125" s="5"/>
      <c r="W125" s="5"/>
      <c r="X125" s="5"/>
      <c r="Y125" s="5"/>
      <c r="Z125" s="5"/>
    </row>
    <row r="126" ht="12.0" customHeight="1">
      <c r="A126" s="185"/>
      <c r="B126" s="125" t="s">
        <v>635</v>
      </c>
      <c r="C126" s="184">
        <f>C125/Parametros!$J$37</f>
        <v>5.1052</v>
      </c>
      <c r="D126" s="184">
        <f>D125/Parametros!$J$37</f>
        <v>3.917</v>
      </c>
      <c r="E126" s="184">
        <f>E125/Parametros!$J$37</f>
        <v>3.7265</v>
      </c>
      <c r="F126" s="184">
        <f>F125/Parametros!$J$37</f>
        <v>3.5872</v>
      </c>
      <c r="G126" s="184">
        <f>G125/Parametros!$J$37</f>
        <v>3.3598</v>
      </c>
      <c r="H126" s="184">
        <f>H125/Parametros!$J$37</f>
        <v>3.2717</v>
      </c>
      <c r="I126" s="184">
        <f>I125/Parametros!$J$37</f>
        <v>3.4991</v>
      </c>
      <c r="J126" s="184">
        <f>J125/Parametros!$J$37</f>
        <v>3.4991</v>
      </c>
      <c r="K126" s="184">
        <f>K125/Parametros!$J$37</f>
        <v>3.4991</v>
      </c>
      <c r="L126" s="184">
        <f>L125/Parametros!$J$37</f>
        <v>3.411</v>
      </c>
      <c r="M126" s="184">
        <f>M125/Parametros!$J$37</f>
        <v>3.3229</v>
      </c>
      <c r="N126" s="184">
        <f>N125/Parametros!$J$37</f>
        <v>5.2814</v>
      </c>
      <c r="O126" s="5"/>
      <c r="P126" s="5"/>
      <c r="Q126" s="5"/>
      <c r="R126" s="5"/>
      <c r="S126" s="5"/>
      <c r="T126" s="5"/>
      <c r="U126" s="5"/>
      <c r="V126" s="5"/>
      <c r="W126" s="5"/>
      <c r="X126" s="5"/>
      <c r="Y126" s="5"/>
      <c r="Z126" s="5"/>
    </row>
    <row r="127" ht="12.0" customHeight="1">
      <c r="A127" s="186" t="s">
        <v>636</v>
      </c>
      <c r="B127" s="4"/>
      <c r="C127" s="184">
        <f t="shared" ref="C127:N127" si="37">C126</f>
        <v>5.1052</v>
      </c>
      <c r="D127" s="184">
        <f t="shared" si="37"/>
        <v>3.917</v>
      </c>
      <c r="E127" s="184">
        <f t="shared" si="37"/>
        <v>3.7265</v>
      </c>
      <c r="F127" s="184">
        <f t="shared" si="37"/>
        <v>3.5872</v>
      </c>
      <c r="G127" s="184">
        <f t="shared" si="37"/>
        <v>3.3598</v>
      </c>
      <c r="H127" s="184">
        <f t="shared" si="37"/>
        <v>3.2717</v>
      </c>
      <c r="I127" s="184">
        <f t="shared" si="37"/>
        <v>3.4991</v>
      </c>
      <c r="J127" s="184">
        <f t="shared" si="37"/>
        <v>3.4991</v>
      </c>
      <c r="K127" s="184">
        <f t="shared" si="37"/>
        <v>3.4991</v>
      </c>
      <c r="L127" s="184">
        <f t="shared" si="37"/>
        <v>3.411</v>
      </c>
      <c r="M127" s="184">
        <f t="shared" si="37"/>
        <v>3.3229</v>
      </c>
      <c r="N127" s="184">
        <f t="shared" si="37"/>
        <v>5.2814</v>
      </c>
      <c r="O127" s="5"/>
      <c r="P127" s="5"/>
      <c r="Q127" s="5"/>
      <c r="R127" s="5"/>
      <c r="S127" s="5"/>
      <c r="T127" s="5"/>
      <c r="U127" s="5"/>
      <c r="V127" s="5"/>
      <c r="W127" s="5"/>
      <c r="X127" s="5"/>
      <c r="Y127" s="5"/>
      <c r="Z127" s="5"/>
    </row>
    <row r="128" ht="12.0" customHeight="1">
      <c r="A128" s="186" t="s">
        <v>637</v>
      </c>
      <c r="B128" s="4"/>
      <c r="C128" s="184">
        <f>'Resumen Capacidad'!$B$124</f>
        <v>136.0227273</v>
      </c>
      <c r="D128" s="184">
        <f>'Resumen Capacidad'!$B$124</f>
        <v>136.0227273</v>
      </c>
      <c r="E128" s="184">
        <f>'Resumen Capacidad'!$B$124</f>
        <v>136.0227273</v>
      </c>
      <c r="F128" s="184">
        <f>'Resumen Capacidad'!$B$124</f>
        <v>136.0227273</v>
      </c>
      <c r="G128" s="184">
        <f>'Resumen Capacidad'!$B$124</f>
        <v>136.0227273</v>
      </c>
      <c r="H128" s="184">
        <f>'Resumen Capacidad'!$B$124</f>
        <v>136.0227273</v>
      </c>
      <c r="I128" s="184">
        <f>'Resumen Capacidad'!$B$124</f>
        <v>136.0227273</v>
      </c>
      <c r="J128" s="184">
        <f>'Resumen Capacidad'!$B$124</f>
        <v>136.0227273</v>
      </c>
      <c r="K128" s="184">
        <f>'Resumen Capacidad'!$B$124</f>
        <v>136.0227273</v>
      </c>
      <c r="L128" s="184">
        <f>'Resumen Capacidad'!$B$124</f>
        <v>136.0227273</v>
      </c>
      <c r="M128" s="184">
        <f>'Resumen Capacidad'!$B$124</f>
        <v>136.0227273</v>
      </c>
      <c r="N128" s="184">
        <f>'Resumen Capacidad'!$B$124</f>
        <v>136.0227273</v>
      </c>
      <c r="O128" s="5"/>
      <c r="P128" s="5"/>
      <c r="Q128" s="5"/>
      <c r="R128" s="5"/>
      <c r="S128" s="5"/>
      <c r="T128" s="5"/>
      <c r="U128" s="5"/>
      <c r="V128" s="5"/>
      <c r="W128" s="5"/>
      <c r="X128" s="5"/>
      <c r="Y128" s="5"/>
      <c r="Z128" s="5"/>
    </row>
    <row r="129" ht="12.0" customHeight="1">
      <c r="A129" s="186" t="s">
        <v>640</v>
      </c>
      <c r="B129" s="4"/>
      <c r="C129" s="189">
        <f>'Resumen Capacidad'!$B$42*'Resumen Capacidad'!$B$78</f>
        <v>0</v>
      </c>
      <c r="D129" s="189">
        <f>'Resumen Capacidad'!$B$42*'Resumen Capacidad'!$B$78</f>
        <v>0</v>
      </c>
      <c r="E129" s="189">
        <f>'Resumen Capacidad'!$B$42*'Resumen Capacidad'!$B$78</f>
        <v>0</v>
      </c>
      <c r="F129" s="189">
        <f>'Resumen Capacidad'!$B$42*'Resumen Capacidad'!$B$78</f>
        <v>0</v>
      </c>
      <c r="G129" s="189">
        <f>'Resumen Capacidad'!$B$42*'Resumen Capacidad'!$B$78</f>
        <v>0</v>
      </c>
      <c r="H129" s="189">
        <f>'Resumen Capacidad'!$B$42*'Resumen Capacidad'!$B$78</f>
        <v>0</v>
      </c>
      <c r="I129" s="189">
        <f>'Resumen Capacidad'!$B$42*'Resumen Capacidad'!$B$78</f>
        <v>0</v>
      </c>
      <c r="J129" s="189">
        <f>'Resumen Capacidad'!$B$42*'Resumen Capacidad'!$B$78</f>
        <v>0</v>
      </c>
      <c r="K129" s="189">
        <f>'Resumen Capacidad'!$B$42*'Resumen Capacidad'!$B$78</f>
        <v>0</v>
      </c>
      <c r="L129" s="189">
        <f>'Resumen Capacidad'!$B$42*'Resumen Capacidad'!$B$78</f>
        <v>0</v>
      </c>
      <c r="M129" s="189">
        <f>'Resumen Capacidad'!$B$42*'Resumen Capacidad'!$B$78</f>
        <v>0</v>
      </c>
      <c r="N129" s="189">
        <f>'Resumen Capacidad'!$B$42*'Resumen Capacidad'!$B$78</f>
        <v>0</v>
      </c>
      <c r="O129" s="5"/>
      <c r="P129" s="5"/>
      <c r="Q129" s="5"/>
      <c r="R129" s="5"/>
      <c r="S129" s="5"/>
      <c r="T129" s="5"/>
      <c r="U129" s="5"/>
      <c r="V129" s="5"/>
      <c r="W129" s="5"/>
      <c r="X129" s="5"/>
      <c r="Y129" s="5"/>
      <c r="Z129" s="5"/>
    </row>
    <row r="130" ht="12.0" customHeight="1">
      <c r="A130" s="186" t="s">
        <v>642</v>
      </c>
      <c r="B130" s="4"/>
      <c r="C130" s="184">
        <f t="shared" ref="C130:N130" si="38">C128*C129</f>
        <v>0</v>
      </c>
      <c r="D130" s="184">
        <f t="shared" si="38"/>
        <v>0</v>
      </c>
      <c r="E130" s="184">
        <f t="shared" si="38"/>
        <v>0</v>
      </c>
      <c r="F130" s="184">
        <f t="shared" si="38"/>
        <v>0</v>
      </c>
      <c r="G130" s="184">
        <f t="shared" si="38"/>
        <v>0</v>
      </c>
      <c r="H130" s="184">
        <f t="shared" si="38"/>
        <v>0</v>
      </c>
      <c r="I130" s="184">
        <f t="shared" si="38"/>
        <v>0</v>
      </c>
      <c r="J130" s="184">
        <f t="shared" si="38"/>
        <v>0</v>
      </c>
      <c r="K130" s="184">
        <f t="shared" si="38"/>
        <v>0</v>
      </c>
      <c r="L130" s="184">
        <f t="shared" si="38"/>
        <v>0</v>
      </c>
      <c r="M130" s="184">
        <f t="shared" si="38"/>
        <v>0</v>
      </c>
      <c r="N130" s="184">
        <f t="shared" si="38"/>
        <v>0</v>
      </c>
      <c r="O130" s="5"/>
      <c r="P130" s="5"/>
      <c r="Q130" s="5"/>
      <c r="R130" s="5"/>
      <c r="S130" s="5"/>
      <c r="T130" s="5"/>
      <c r="U130" s="5"/>
      <c r="V130" s="5"/>
      <c r="W130" s="5"/>
      <c r="X130" s="5"/>
      <c r="Y130" s="5"/>
      <c r="Z130" s="5"/>
    </row>
    <row r="131" ht="12.0" customHeight="1">
      <c r="A131" s="186" t="s">
        <v>643</v>
      </c>
      <c r="B131" s="4"/>
      <c r="C131" s="148">
        <f t="shared" ref="C131:N131" si="39">IF(C130=0,0,C127/C130)</f>
        <v>0</v>
      </c>
      <c r="D131" s="148">
        <f t="shared" si="39"/>
        <v>0</v>
      </c>
      <c r="E131" s="148">
        <f t="shared" si="39"/>
        <v>0</v>
      </c>
      <c r="F131" s="148">
        <f t="shared" si="39"/>
        <v>0</v>
      </c>
      <c r="G131" s="148">
        <f t="shared" si="39"/>
        <v>0</v>
      </c>
      <c r="H131" s="148">
        <f t="shared" si="39"/>
        <v>0</v>
      </c>
      <c r="I131" s="148">
        <f t="shared" si="39"/>
        <v>0</v>
      </c>
      <c r="J131" s="148">
        <f t="shared" si="39"/>
        <v>0</v>
      </c>
      <c r="K131" s="148">
        <f t="shared" si="39"/>
        <v>0</v>
      </c>
      <c r="L131" s="148">
        <f t="shared" si="39"/>
        <v>0</v>
      </c>
      <c r="M131" s="148">
        <f t="shared" si="39"/>
        <v>0</v>
      </c>
      <c r="N131" s="148">
        <f t="shared" si="39"/>
        <v>0</v>
      </c>
      <c r="O131" s="5"/>
      <c r="P131" s="5"/>
      <c r="Q131" s="5"/>
      <c r="R131" s="5"/>
      <c r="S131" s="5"/>
      <c r="T131" s="5"/>
      <c r="U131" s="5"/>
      <c r="V131" s="5"/>
      <c r="W131" s="5"/>
      <c r="X131" s="5"/>
      <c r="Y131" s="5"/>
      <c r="Z131" s="5"/>
    </row>
    <row r="132" ht="12.0" customHeight="1">
      <c r="A132" s="177" t="s">
        <v>693</v>
      </c>
      <c r="B132" s="178"/>
      <c r="C132" s="178"/>
      <c r="D132" s="178"/>
      <c r="E132" s="178"/>
      <c r="F132" s="178"/>
      <c r="G132" s="178"/>
      <c r="H132" s="178"/>
      <c r="I132" s="178"/>
      <c r="J132" s="178"/>
      <c r="K132" s="178"/>
      <c r="L132" s="178"/>
      <c r="M132" s="178"/>
      <c r="N132" s="179"/>
      <c r="O132" s="5"/>
      <c r="P132" s="5"/>
      <c r="Q132" s="5"/>
      <c r="R132" s="5"/>
      <c r="S132" s="5"/>
      <c r="T132" s="5"/>
      <c r="U132" s="5"/>
      <c r="V132" s="5"/>
      <c r="W132" s="5"/>
      <c r="X132" s="5"/>
      <c r="Y132" s="5"/>
      <c r="Z132" s="5"/>
    </row>
    <row r="133" ht="12.0" customHeight="1">
      <c r="A133" s="180" t="s">
        <v>630</v>
      </c>
      <c r="B133" s="180" t="s">
        <v>631</v>
      </c>
      <c r="C133" s="180" t="s">
        <v>3</v>
      </c>
      <c r="D133" s="180" t="s">
        <v>4</v>
      </c>
      <c r="E133" s="180" t="s">
        <v>5</v>
      </c>
      <c r="F133" s="180" t="s">
        <v>6</v>
      </c>
      <c r="G133" s="180" t="s">
        <v>7</v>
      </c>
      <c r="H133" s="180" t="s">
        <v>8</v>
      </c>
      <c r="I133" s="180" t="s">
        <v>9</v>
      </c>
      <c r="J133" s="180" t="s">
        <v>10</v>
      </c>
      <c r="K133" s="180" t="s">
        <v>11</v>
      </c>
      <c r="L133" s="180" t="s">
        <v>12</v>
      </c>
      <c r="M133" s="180" t="s">
        <v>13</v>
      </c>
      <c r="N133" s="180" t="s">
        <v>14</v>
      </c>
      <c r="O133" s="5"/>
      <c r="P133" s="5"/>
      <c r="Q133" s="5"/>
      <c r="R133" s="5"/>
      <c r="S133" s="5"/>
      <c r="T133" s="5"/>
      <c r="U133" s="5"/>
      <c r="V133" s="5"/>
      <c r="W133" s="5"/>
      <c r="X133" s="5"/>
      <c r="Y133" s="5"/>
      <c r="Z133" s="5"/>
    </row>
    <row r="134" ht="12.0" customHeight="1">
      <c r="A134" s="181" t="s">
        <v>694</v>
      </c>
      <c r="B134" s="125" t="s">
        <v>633</v>
      </c>
      <c r="C134" s="182">
        <f>SUM('2026'!B6:B9)+Parametros!$B$72*C2057</f>
        <v>800.46</v>
      </c>
      <c r="D134" s="182">
        <f>SUM('2026'!C6:C9)+Parametros!$B$72*D2057</f>
        <v>618.15</v>
      </c>
      <c r="E134" s="182">
        <f>SUM('2026'!D6:D9)+Parametros!$B$72*E2057</f>
        <v>595.695</v>
      </c>
      <c r="F134" s="182">
        <f>SUM('2026'!E6:E9)+Parametros!$B$72*F2057</f>
        <v>574.8</v>
      </c>
      <c r="G134" s="182">
        <f>SUM('2026'!F6:F9)+Parametros!$B$72*G2057</f>
        <v>540.69</v>
      </c>
      <c r="H134" s="182">
        <f>SUM('2026'!G6:G9)+Parametros!$B$72*H2057</f>
        <v>523.395</v>
      </c>
      <c r="I134" s="182">
        <f>SUM('2026'!H6:H9)+Parametros!$B$72*I2057</f>
        <v>561.585</v>
      </c>
      <c r="J134" s="182">
        <f>SUM('2026'!I6:I9)+Parametros!$B$72*J2057</f>
        <v>561.585</v>
      </c>
      <c r="K134" s="182">
        <f>SUM('2026'!J6:J9)+Parametros!$B$72*K2057</f>
        <v>559.545</v>
      </c>
      <c r="L134" s="182">
        <f>SUM('2026'!K6:K9)+Parametros!$B$72*L2057</f>
        <v>542.25</v>
      </c>
      <c r="M134" s="182">
        <f>SUM('2026'!L6:L9)+Parametros!$B$72*M2057</f>
        <v>526.995</v>
      </c>
      <c r="N134" s="182">
        <f>SUM('2026'!M6:M9)+Parametros!$B$72*N2057</f>
        <v>824.85</v>
      </c>
      <c r="O134" s="5"/>
      <c r="P134" s="5"/>
      <c r="Q134" s="5"/>
      <c r="R134" s="5"/>
      <c r="S134" s="5"/>
      <c r="T134" s="5"/>
      <c r="U134" s="5"/>
      <c r="V134" s="5"/>
      <c r="W134" s="5"/>
      <c r="X134" s="5"/>
      <c r="Y134" s="5"/>
      <c r="Z134" s="5"/>
    </row>
    <row r="135" ht="12.0" customHeight="1">
      <c r="A135" s="183"/>
      <c r="B135" s="125" t="s">
        <v>634</v>
      </c>
      <c r="C135" s="184">
        <f>C134/Parametros!$B$37</f>
        <v>40.023</v>
      </c>
      <c r="D135" s="184">
        <f>D134/Parametros!$B$37</f>
        <v>30.9075</v>
      </c>
      <c r="E135" s="184">
        <f>E134/Parametros!$B$37</f>
        <v>29.78475</v>
      </c>
      <c r="F135" s="184">
        <f>F134/Parametros!$B$37</f>
        <v>28.74</v>
      </c>
      <c r="G135" s="184">
        <f>G134/Parametros!$B$37</f>
        <v>27.0345</v>
      </c>
      <c r="H135" s="184">
        <f>H134/Parametros!$B$37</f>
        <v>26.16975</v>
      </c>
      <c r="I135" s="184">
        <f>I134/Parametros!$B$37</f>
        <v>28.07925</v>
      </c>
      <c r="J135" s="184">
        <f>J134/Parametros!$B$37</f>
        <v>28.07925</v>
      </c>
      <c r="K135" s="184">
        <f>K134/Parametros!$B$37</f>
        <v>27.97725</v>
      </c>
      <c r="L135" s="184">
        <f>L134/Parametros!$B$37</f>
        <v>27.1125</v>
      </c>
      <c r="M135" s="184">
        <f>M134/Parametros!$B$37</f>
        <v>26.34975</v>
      </c>
      <c r="N135" s="184">
        <f>N134/Parametros!$B$37</f>
        <v>41.2425</v>
      </c>
      <c r="O135" s="5"/>
      <c r="P135" s="5"/>
      <c r="Q135" s="5"/>
      <c r="R135" s="5"/>
      <c r="S135" s="5"/>
      <c r="T135" s="5"/>
      <c r="U135" s="5"/>
      <c r="V135" s="5"/>
      <c r="W135" s="5"/>
      <c r="X135" s="5"/>
      <c r="Y135" s="5"/>
      <c r="Z135" s="5"/>
    </row>
    <row r="136" ht="12.0" customHeight="1">
      <c r="A136" s="185"/>
      <c r="B136" s="125" t="s">
        <v>635</v>
      </c>
      <c r="C136" s="184">
        <f>C135/Parametros!$J$37</f>
        <v>5.3364</v>
      </c>
      <c r="D136" s="184">
        <f>D135/Parametros!$J$37</f>
        <v>4.121</v>
      </c>
      <c r="E136" s="184">
        <f>E135/Parametros!$J$37</f>
        <v>3.9713</v>
      </c>
      <c r="F136" s="184">
        <f>F135/Parametros!$J$37</f>
        <v>3.832</v>
      </c>
      <c r="G136" s="184">
        <f>G135/Parametros!$J$37</f>
        <v>3.6046</v>
      </c>
      <c r="H136" s="184">
        <f>H135/Parametros!$J$37</f>
        <v>3.4893</v>
      </c>
      <c r="I136" s="184">
        <f>I135/Parametros!$J$37</f>
        <v>3.7439</v>
      </c>
      <c r="J136" s="184">
        <f>J135/Parametros!$J$37</f>
        <v>3.7439</v>
      </c>
      <c r="K136" s="184">
        <f>K135/Parametros!$J$37</f>
        <v>3.7303</v>
      </c>
      <c r="L136" s="184">
        <f>L135/Parametros!$J$37</f>
        <v>3.615</v>
      </c>
      <c r="M136" s="184">
        <f>M135/Parametros!$J$37</f>
        <v>3.5133</v>
      </c>
      <c r="N136" s="184">
        <f>N135/Parametros!$J$37</f>
        <v>5.499</v>
      </c>
      <c r="O136" s="5"/>
      <c r="P136" s="5"/>
      <c r="Q136" s="5"/>
      <c r="R136" s="5"/>
      <c r="S136" s="5"/>
      <c r="T136" s="5"/>
      <c r="U136" s="5"/>
      <c r="V136" s="5"/>
      <c r="W136" s="5"/>
      <c r="X136" s="5"/>
      <c r="Y136" s="5"/>
      <c r="Z136" s="5"/>
    </row>
    <row r="137" ht="12.0" customHeight="1">
      <c r="A137" s="186" t="s">
        <v>636</v>
      </c>
      <c r="B137" s="4"/>
      <c r="C137" s="184">
        <f t="shared" ref="C137:N137" si="40">C136</f>
        <v>5.3364</v>
      </c>
      <c r="D137" s="184">
        <f t="shared" si="40"/>
        <v>4.121</v>
      </c>
      <c r="E137" s="184">
        <f t="shared" si="40"/>
        <v>3.9713</v>
      </c>
      <c r="F137" s="184">
        <f t="shared" si="40"/>
        <v>3.832</v>
      </c>
      <c r="G137" s="184">
        <f t="shared" si="40"/>
        <v>3.6046</v>
      </c>
      <c r="H137" s="184">
        <f t="shared" si="40"/>
        <v>3.4893</v>
      </c>
      <c r="I137" s="184">
        <f t="shared" si="40"/>
        <v>3.7439</v>
      </c>
      <c r="J137" s="184">
        <f t="shared" si="40"/>
        <v>3.7439</v>
      </c>
      <c r="K137" s="184">
        <f t="shared" si="40"/>
        <v>3.7303</v>
      </c>
      <c r="L137" s="184">
        <f t="shared" si="40"/>
        <v>3.615</v>
      </c>
      <c r="M137" s="184">
        <f t="shared" si="40"/>
        <v>3.5133</v>
      </c>
      <c r="N137" s="184">
        <f t="shared" si="40"/>
        <v>5.499</v>
      </c>
      <c r="O137" s="5"/>
      <c r="P137" s="5"/>
      <c r="Q137" s="5"/>
      <c r="R137" s="5"/>
      <c r="S137" s="5"/>
      <c r="T137" s="5"/>
      <c r="U137" s="5"/>
      <c r="V137" s="5"/>
      <c r="W137" s="5"/>
      <c r="X137" s="5"/>
      <c r="Y137" s="5"/>
      <c r="Z137" s="5"/>
    </row>
    <row r="138" ht="12.0" customHeight="1">
      <c r="A138" s="186" t="s">
        <v>637</v>
      </c>
      <c r="B138" s="4"/>
      <c r="C138" s="184">
        <f>'Resumen Capacidad'!$B$125</f>
        <v>60.34285714</v>
      </c>
      <c r="D138" s="184">
        <f>'Resumen Capacidad'!$B$125</f>
        <v>60.34285714</v>
      </c>
      <c r="E138" s="184">
        <f>'Resumen Capacidad'!$B$125</f>
        <v>60.34285714</v>
      </c>
      <c r="F138" s="184">
        <f>'Resumen Capacidad'!$B$125</f>
        <v>60.34285714</v>
      </c>
      <c r="G138" s="184">
        <f>'Resumen Capacidad'!$B$125</f>
        <v>60.34285714</v>
      </c>
      <c r="H138" s="184">
        <f>'Resumen Capacidad'!$B$125</f>
        <v>60.34285714</v>
      </c>
      <c r="I138" s="184">
        <f>'Resumen Capacidad'!$B$125</f>
        <v>60.34285714</v>
      </c>
      <c r="J138" s="184">
        <f>'Resumen Capacidad'!$B$125</f>
        <v>60.34285714</v>
      </c>
      <c r="K138" s="184">
        <f>'Resumen Capacidad'!$B$125</f>
        <v>60.34285714</v>
      </c>
      <c r="L138" s="184">
        <f>'Resumen Capacidad'!$B$125</f>
        <v>60.34285714</v>
      </c>
      <c r="M138" s="184">
        <f>'Resumen Capacidad'!$B$125</f>
        <v>60.34285714</v>
      </c>
      <c r="N138" s="184">
        <f>'Resumen Capacidad'!$B$125</f>
        <v>60.34285714</v>
      </c>
      <c r="O138" s="5"/>
      <c r="P138" s="5"/>
      <c r="Q138" s="5"/>
      <c r="R138" s="5"/>
      <c r="S138" s="5"/>
      <c r="T138" s="5"/>
      <c r="U138" s="5"/>
      <c r="V138" s="5"/>
      <c r="W138" s="5"/>
      <c r="X138" s="5"/>
      <c r="Y138" s="5"/>
      <c r="Z138" s="5"/>
    </row>
    <row r="139" ht="12.0" customHeight="1">
      <c r="A139" s="186" t="s">
        <v>640</v>
      </c>
      <c r="B139" s="4"/>
      <c r="C139" s="189">
        <f>'Resumen Capacidad'!$B$43*'Resumen Capacidad'!$B$79</f>
        <v>1</v>
      </c>
      <c r="D139" s="189">
        <f>'Resumen Capacidad'!$B$43*'Resumen Capacidad'!$B$79</f>
        <v>1</v>
      </c>
      <c r="E139" s="189">
        <f>'Resumen Capacidad'!$B$43*'Resumen Capacidad'!$B$79</f>
        <v>1</v>
      </c>
      <c r="F139" s="189">
        <f>'Resumen Capacidad'!$B$43*'Resumen Capacidad'!$B$79</f>
        <v>1</v>
      </c>
      <c r="G139" s="189">
        <f>'Resumen Capacidad'!$B$43*'Resumen Capacidad'!$B$79</f>
        <v>1</v>
      </c>
      <c r="H139" s="189">
        <f>'Resumen Capacidad'!$B$43*'Resumen Capacidad'!$B$79</f>
        <v>1</v>
      </c>
      <c r="I139" s="189">
        <f>'Resumen Capacidad'!$B$43*'Resumen Capacidad'!$B$79</f>
        <v>1</v>
      </c>
      <c r="J139" s="189">
        <f>'Resumen Capacidad'!$B$43*'Resumen Capacidad'!$B$79</f>
        <v>1</v>
      </c>
      <c r="K139" s="189">
        <f>'Resumen Capacidad'!$B$43*'Resumen Capacidad'!$B$79</f>
        <v>1</v>
      </c>
      <c r="L139" s="189">
        <f>'Resumen Capacidad'!$B$43*'Resumen Capacidad'!$B$79</f>
        <v>1</v>
      </c>
      <c r="M139" s="189">
        <f>'Resumen Capacidad'!$B$43*'Resumen Capacidad'!$B$79</f>
        <v>1</v>
      </c>
      <c r="N139" s="189">
        <f>'Resumen Capacidad'!$B$43*'Resumen Capacidad'!$B$79</f>
        <v>1</v>
      </c>
      <c r="O139" s="5"/>
      <c r="P139" s="5"/>
      <c r="Q139" s="5"/>
      <c r="R139" s="5"/>
      <c r="S139" s="5"/>
      <c r="T139" s="5"/>
      <c r="U139" s="5"/>
      <c r="V139" s="5"/>
      <c r="W139" s="5"/>
      <c r="X139" s="5"/>
      <c r="Y139" s="5"/>
      <c r="Z139" s="5"/>
    </row>
    <row r="140" ht="12.0" customHeight="1">
      <c r="A140" s="186" t="s">
        <v>642</v>
      </c>
      <c r="B140" s="4"/>
      <c r="C140" s="184">
        <f t="shared" ref="C140:N140" si="41">C138*C139</f>
        <v>60.34285714</v>
      </c>
      <c r="D140" s="184">
        <f t="shared" si="41"/>
        <v>60.34285714</v>
      </c>
      <c r="E140" s="184">
        <f t="shared" si="41"/>
        <v>60.34285714</v>
      </c>
      <c r="F140" s="184">
        <f t="shared" si="41"/>
        <v>60.34285714</v>
      </c>
      <c r="G140" s="184">
        <f t="shared" si="41"/>
        <v>60.34285714</v>
      </c>
      <c r="H140" s="184">
        <f t="shared" si="41"/>
        <v>60.34285714</v>
      </c>
      <c r="I140" s="184">
        <f t="shared" si="41"/>
        <v>60.34285714</v>
      </c>
      <c r="J140" s="184">
        <f t="shared" si="41"/>
        <v>60.34285714</v>
      </c>
      <c r="K140" s="184">
        <f t="shared" si="41"/>
        <v>60.34285714</v>
      </c>
      <c r="L140" s="184">
        <f t="shared" si="41"/>
        <v>60.34285714</v>
      </c>
      <c r="M140" s="184">
        <f t="shared" si="41"/>
        <v>60.34285714</v>
      </c>
      <c r="N140" s="184">
        <f t="shared" si="41"/>
        <v>60.34285714</v>
      </c>
      <c r="O140" s="5"/>
      <c r="P140" s="5"/>
      <c r="Q140" s="5"/>
      <c r="R140" s="5"/>
      <c r="S140" s="5"/>
      <c r="T140" s="5"/>
      <c r="U140" s="5"/>
      <c r="V140" s="5"/>
      <c r="W140" s="5"/>
      <c r="X140" s="5"/>
      <c r="Y140" s="5"/>
      <c r="Z140" s="5"/>
    </row>
    <row r="141" ht="12.0" customHeight="1">
      <c r="A141" s="186" t="s">
        <v>643</v>
      </c>
      <c r="B141" s="4"/>
      <c r="C141" s="148">
        <f t="shared" ref="C141:N141" si="42">IF(C140=0,0,C137/C140)</f>
        <v>0.08843465909</v>
      </c>
      <c r="D141" s="148">
        <f t="shared" si="42"/>
        <v>0.06829308712</v>
      </c>
      <c r="E141" s="148">
        <f t="shared" si="42"/>
        <v>0.06581226326</v>
      </c>
      <c r="F141" s="148">
        <f t="shared" si="42"/>
        <v>0.06350378788</v>
      </c>
      <c r="G141" s="148">
        <f t="shared" si="42"/>
        <v>0.05973532197</v>
      </c>
      <c r="H141" s="148">
        <f t="shared" si="42"/>
        <v>0.05782457386</v>
      </c>
      <c r="I141" s="148">
        <f t="shared" si="42"/>
        <v>0.06204379735</v>
      </c>
      <c r="J141" s="148">
        <f t="shared" si="42"/>
        <v>0.06204379735</v>
      </c>
      <c r="K141" s="148">
        <f t="shared" si="42"/>
        <v>0.06181841856</v>
      </c>
      <c r="L141" s="148">
        <f t="shared" si="42"/>
        <v>0.05990767045</v>
      </c>
      <c r="M141" s="148">
        <f t="shared" si="42"/>
        <v>0.05822230114</v>
      </c>
      <c r="N141" s="148">
        <f t="shared" si="42"/>
        <v>0.09112926136</v>
      </c>
      <c r="O141" s="5"/>
      <c r="P141" s="5"/>
      <c r="Q141" s="5"/>
      <c r="R141" s="5"/>
      <c r="S141" s="5"/>
      <c r="T141" s="5"/>
      <c r="U141" s="5"/>
      <c r="V141" s="5"/>
      <c r="W141" s="5"/>
      <c r="X141" s="5"/>
      <c r="Y141" s="5"/>
      <c r="Z141" s="5"/>
    </row>
    <row r="142" ht="12.0" customHeight="1">
      <c r="A142" s="177" t="s">
        <v>695</v>
      </c>
      <c r="B142" s="178"/>
      <c r="C142" s="178"/>
      <c r="D142" s="178"/>
      <c r="E142" s="178"/>
      <c r="F142" s="178"/>
      <c r="G142" s="178"/>
      <c r="H142" s="178"/>
      <c r="I142" s="178"/>
      <c r="J142" s="178"/>
      <c r="K142" s="178"/>
      <c r="L142" s="178"/>
      <c r="M142" s="178"/>
      <c r="N142" s="179"/>
      <c r="O142" s="5"/>
      <c r="P142" s="5"/>
      <c r="Q142" s="5"/>
      <c r="R142" s="5"/>
      <c r="S142" s="5"/>
      <c r="T142" s="5"/>
      <c r="U142" s="5"/>
      <c r="V142" s="5"/>
      <c r="W142" s="5"/>
      <c r="X142" s="5"/>
      <c r="Y142" s="5"/>
      <c r="Z142" s="5"/>
    </row>
    <row r="143" ht="12.0" customHeight="1">
      <c r="A143" s="180" t="s">
        <v>630</v>
      </c>
      <c r="B143" s="180" t="s">
        <v>631</v>
      </c>
      <c r="C143" s="180" t="s">
        <v>3</v>
      </c>
      <c r="D143" s="180" t="s">
        <v>4</v>
      </c>
      <c r="E143" s="180" t="s">
        <v>5</v>
      </c>
      <c r="F143" s="180" t="s">
        <v>6</v>
      </c>
      <c r="G143" s="180" t="s">
        <v>7</v>
      </c>
      <c r="H143" s="180" t="s">
        <v>8</v>
      </c>
      <c r="I143" s="180" t="s">
        <v>9</v>
      </c>
      <c r="J143" s="180" t="s">
        <v>10</v>
      </c>
      <c r="K143" s="180" t="s">
        <v>11</v>
      </c>
      <c r="L143" s="180" t="s">
        <v>12</v>
      </c>
      <c r="M143" s="180" t="s">
        <v>13</v>
      </c>
      <c r="N143" s="180" t="s">
        <v>14</v>
      </c>
      <c r="O143" s="5"/>
      <c r="P143" s="5"/>
      <c r="Q143" s="5"/>
      <c r="R143" s="5"/>
      <c r="S143" s="5"/>
      <c r="T143" s="5"/>
      <c r="U143" s="5"/>
      <c r="V143" s="5"/>
      <c r="W143" s="5"/>
      <c r="X143" s="5"/>
      <c r="Y143" s="5"/>
      <c r="Z143" s="5"/>
    </row>
    <row r="144" ht="12.0" customHeight="1">
      <c r="A144" s="181" t="s">
        <v>694</v>
      </c>
      <c r="B144" s="125" t="s">
        <v>633</v>
      </c>
      <c r="C144" s="182">
        <f>SUM('2026'!B6:B9)+Parametros!$B$72*C2057</f>
        <v>800.46</v>
      </c>
      <c r="D144" s="182">
        <f>SUM('2026'!C6:C9)+Parametros!$B$72*D2057</f>
        <v>618.15</v>
      </c>
      <c r="E144" s="182">
        <f>SUM('2026'!D6:D9)+Parametros!$B$72*E2057</f>
        <v>595.695</v>
      </c>
      <c r="F144" s="182">
        <f>SUM('2026'!E6:E9)+Parametros!$B$72*F2057</f>
        <v>574.8</v>
      </c>
      <c r="G144" s="182">
        <f>SUM('2026'!F6:F9)+Parametros!$B$72*G2057</f>
        <v>540.69</v>
      </c>
      <c r="H144" s="182">
        <f>SUM('2026'!G6:G9)+Parametros!$B$72*H2057</f>
        <v>523.395</v>
      </c>
      <c r="I144" s="182">
        <f>SUM('2026'!H6:H9)+Parametros!$B$72*I2057</f>
        <v>561.585</v>
      </c>
      <c r="J144" s="182">
        <f>SUM('2026'!I6:I9)+Parametros!$B$72*J2057</f>
        <v>561.585</v>
      </c>
      <c r="K144" s="182">
        <f>SUM('2026'!J6:J9)+Parametros!$B$72*K2057</f>
        <v>559.545</v>
      </c>
      <c r="L144" s="182">
        <f>SUM('2026'!K6:K9)+Parametros!$B$72*L2057</f>
        <v>542.25</v>
      </c>
      <c r="M144" s="182">
        <f>SUM('2026'!L6:L9)+Parametros!$B$72*M2057</f>
        <v>526.995</v>
      </c>
      <c r="N144" s="182">
        <f>SUM('2026'!M6:M9)+Parametros!$B$72*N2057</f>
        <v>824.85</v>
      </c>
      <c r="O144" s="5"/>
      <c r="P144" s="5"/>
      <c r="Q144" s="5"/>
      <c r="R144" s="5"/>
      <c r="S144" s="5"/>
      <c r="T144" s="5"/>
      <c r="U144" s="5"/>
      <c r="V144" s="5"/>
      <c r="W144" s="5"/>
      <c r="X144" s="5"/>
      <c r="Y144" s="5"/>
      <c r="Z144" s="5"/>
    </row>
    <row r="145" ht="12.0" customHeight="1">
      <c r="A145" s="183"/>
      <c r="B145" s="125" t="s">
        <v>634</v>
      </c>
      <c r="C145" s="184">
        <f>C144/Parametros!$B$37</f>
        <v>40.023</v>
      </c>
      <c r="D145" s="184">
        <f>D144/Parametros!$B$37</f>
        <v>30.9075</v>
      </c>
      <c r="E145" s="184">
        <f>E144/Parametros!$B$37</f>
        <v>29.78475</v>
      </c>
      <c r="F145" s="184">
        <f>F144/Parametros!$B$37</f>
        <v>28.74</v>
      </c>
      <c r="G145" s="184">
        <f>G144/Parametros!$B$37</f>
        <v>27.0345</v>
      </c>
      <c r="H145" s="184">
        <f>H144/Parametros!$B$37</f>
        <v>26.16975</v>
      </c>
      <c r="I145" s="184">
        <f>I144/Parametros!$B$37</f>
        <v>28.07925</v>
      </c>
      <c r="J145" s="184">
        <f>J144/Parametros!$B$37</f>
        <v>28.07925</v>
      </c>
      <c r="K145" s="184">
        <f>K144/Parametros!$B$37</f>
        <v>27.97725</v>
      </c>
      <c r="L145" s="184">
        <f>L144/Parametros!$B$37</f>
        <v>27.1125</v>
      </c>
      <c r="M145" s="184">
        <f>M144/Parametros!$B$37</f>
        <v>26.34975</v>
      </c>
      <c r="N145" s="184">
        <f>N144/Parametros!$B$37</f>
        <v>41.2425</v>
      </c>
      <c r="O145" s="5"/>
      <c r="P145" s="5"/>
      <c r="Q145" s="5"/>
      <c r="R145" s="5"/>
      <c r="S145" s="5"/>
      <c r="T145" s="5"/>
      <c r="U145" s="5"/>
      <c r="V145" s="5"/>
      <c r="W145" s="5"/>
      <c r="X145" s="5"/>
      <c r="Y145" s="5"/>
      <c r="Z145" s="5"/>
    </row>
    <row r="146" ht="12.0" customHeight="1">
      <c r="A146" s="185"/>
      <c r="B146" s="125" t="s">
        <v>635</v>
      </c>
      <c r="C146" s="184">
        <f>C145/Parametros!$J$37</f>
        <v>5.3364</v>
      </c>
      <c r="D146" s="184">
        <f>D145/Parametros!$J$37</f>
        <v>4.121</v>
      </c>
      <c r="E146" s="184">
        <f>E145/Parametros!$J$37</f>
        <v>3.9713</v>
      </c>
      <c r="F146" s="184">
        <f>F145/Parametros!$J$37</f>
        <v>3.832</v>
      </c>
      <c r="G146" s="184">
        <f>G145/Parametros!$J$37</f>
        <v>3.6046</v>
      </c>
      <c r="H146" s="184">
        <f>H145/Parametros!$J$37</f>
        <v>3.4893</v>
      </c>
      <c r="I146" s="184">
        <f>I145/Parametros!$J$37</f>
        <v>3.7439</v>
      </c>
      <c r="J146" s="184">
        <f>J145/Parametros!$J$37</f>
        <v>3.7439</v>
      </c>
      <c r="K146" s="184">
        <f>K145/Parametros!$J$37</f>
        <v>3.7303</v>
      </c>
      <c r="L146" s="184">
        <f>L145/Parametros!$J$37</f>
        <v>3.615</v>
      </c>
      <c r="M146" s="184">
        <f>M145/Parametros!$J$37</f>
        <v>3.5133</v>
      </c>
      <c r="N146" s="184">
        <f>N145/Parametros!$J$37</f>
        <v>5.499</v>
      </c>
      <c r="O146" s="5"/>
      <c r="P146" s="5"/>
      <c r="Q146" s="5"/>
      <c r="R146" s="5"/>
      <c r="S146" s="5"/>
      <c r="T146" s="5"/>
      <c r="U146" s="5"/>
      <c r="V146" s="5"/>
      <c r="W146" s="5"/>
      <c r="X146" s="5"/>
      <c r="Y146" s="5"/>
      <c r="Z146" s="5"/>
    </row>
    <row r="147" ht="12.0" customHeight="1">
      <c r="A147" s="186" t="s">
        <v>636</v>
      </c>
      <c r="B147" s="4"/>
      <c r="C147" s="184">
        <f t="shared" ref="C147:N147" si="43">C146</f>
        <v>5.3364</v>
      </c>
      <c r="D147" s="184">
        <f t="shared" si="43"/>
        <v>4.121</v>
      </c>
      <c r="E147" s="184">
        <f t="shared" si="43"/>
        <v>3.9713</v>
      </c>
      <c r="F147" s="184">
        <f t="shared" si="43"/>
        <v>3.832</v>
      </c>
      <c r="G147" s="184">
        <f t="shared" si="43"/>
        <v>3.6046</v>
      </c>
      <c r="H147" s="184">
        <f t="shared" si="43"/>
        <v>3.4893</v>
      </c>
      <c r="I147" s="184">
        <f t="shared" si="43"/>
        <v>3.7439</v>
      </c>
      <c r="J147" s="184">
        <f t="shared" si="43"/>
        <v>3.7439</v>
      </c>
      <c r="K147" s="184">
        <f t="shared" si="43"/>
        <v>3.7303</v>
      </c>
      <c r="L147" s="184">
        <f t="shared" si="43"/>
        <v>3.615</v>
      </c>
      <c r="M147" s="184">
        <f t="shared" si="43"/>
        <v>3.5133</v>
      </c>
      <c r="N147" s="184">
        <f t="shared" si="43"/>
        <v>5.499</v>
      </c>
      <c r="O147" s="5"/>
      <c r="P147" s="5"/>
      <c r="Q147" s="5"/>
      <c r="R147" s="5"/>
      <c r="S147" s="5"/>
      <c r="T147" s="5"/>
      <c r="U147" s="5"/>
      <c r="V147" s="5"/>
      <c r="W147" s="5"/>
      <c r="X147" s="5"/>
      <c r="Y147" s="5"/>
      <c r="Z147" s="5"/>
    </row>
    <row r="148" ht="12.0" customHeight="1">
      <c r="A148" s="186" t="s">
        <v>637</v>
      </c>
      <c r="B148" s="4"/>
      <c r="C148" s="184">
        <f>'Resumen Capacidad'!$B$126</f>
        <v>25.2</v>
      </c>
      <c r="D148" s="184">
        <f>'Resumen Capacidad'!$B$126</f>
        <v>25.2</v>
      </c>
      <c r="E148" s="184">
        <f>'Resumen Capacidad'!$B$126</f>
        <v>25.2</v>
      </c>
      <c r="F148" s="184">
        <f>'Resumen Capacidad'!$B$126</f>
        <v>25.2</v>
      </c>
      <c r="G148" s="184">
        <f>'Resumen Capacidad'!$B$126</f>
        <v>25.2</v>
      </c>
      <c r="H148" s="184">
        <f>'Resumen Capacidad'!$B$126</f>
        <v>25.2</v>
      </c>
      <c r="I148" s="184">
        <f>'Resumen Capacidad'!$B$126</f>
        <v>25.2</v>
      </c>
      <c r="J148" s="184">
        <f>'Resumen Capacidad'!$B$126</f>
        <v>25.2</v>
      </c>
      <c r="K148" s="184">
        <f>'Resumen Capacidad'!$B$126</f>
        <v>25.2</v>
      </c>
      <c r="L148" s="184">
        <f>'Resumen Capacidad'!$B$126</f>
        <v>25.2</v>
      </c>
      <c r="M148" s="184">
        <f>'Resumen Capacidad'!$B$126</f>
        <v>25.2</v>
      </c>
      <c r="N148" s="184">
        <f>'Resumen Capacidad'!$B$126</f>
        <v>25.2</v>
      </c>
      <c r="O148" s="5"/>
      <c r="P148" s="5"/>
      <c r="Q148" s="5"/>
      <c r="R148" s="5"/>
      <c r="S148" s="5"/>
      <c r="T148" s="5"/>
      <c r="U148" s="5"/>
      <c r="V148" s="5"/>
      <c r="W148" s="5"/>
      <c r="X148" s="5"/>
      <c r="Y148" s="5"/>
      <c r="Z148" s="5"/>
    </row>
    <row r="149" ht="12.0" customHeight="1">
      <c r="A149" s="186" t="s">
        <v>640</v>
      </c>
      <c r="B149" s="4"/>
      <c r="C149" s="189">
        <f>'Resumen Capacidad'!$B$44*'Resumen Capacidad'!$B$80</f>
        <v>1</v>
      </c>
      <c r="D149" s="189">
        <f>'Resumen Capacidad'!$B$44*'Resumen Capacidad'!$B$80</f>
        <v>1</v>
      </c>
      <c r="E149" s="189">
        <f>'Resumen Capacidad'!$B$44*'Resumen Capacidad'!$B$80</f>
        <v>1</v>
      </c>
      <c r="F149" s="189">
        <f>'Resumen Capacidad'!$B$44*'Resumen Capacidad'!$B$80</f>
        <v>1</v>
      </c>
      <c r="G149" s="189">
        <f>'Resumen Capacidad'!$B$44*'Resumen Capacidad'!$B$80</f>
        <v>1</v>
      </c>
      <c r="H149" s="189">
        <f>'Resumen Capacidad'!$B$44*'Resumen Capacidad'!$B$80</f>
        <v>1</v>
      </c>
      <c r="I149" s="189">
        <f>'Resumen Capacidad'!$B$44*'Resumen Capacidad'!$B$80</f>
        <v>1</v>
      </c>
      <c r="J149" s="189">
        <f>'Resumen Capacidad'!$B$44*'Resumen Capacidad'!$B$80</f>
        <v>1</v>
      </c>
      <c r="K149" s="189">
        <f>'Resumen Capacidad'!$B$44*'Resumen Capacidad'!$B$80</f>
        <v>1</v>
      </c>
      <c r="L149" s="189">
        <f>'Resumen Capacidad'!$B$44*'Resumen Capacidad'!$B$80</f>
        <v>1</v>
      </c>
      <c r="M149" s="189">
        <f>'Resumen Capacidad'!$B$44*'Resumen Capacidad'!$B$80</f>
        <v>1</v>
      </c>
      <c r="N149" s="189">
        <f>'Resumen Capacidad'!$B$44*'Resumen Capacidad'!$B$80</f>
        <v>1</v>
      </c>
      <c r="O149" s="5"/>
      <c r="P149" s="5"/>
      <c r="Q149" s="5"/>
      <c r="R149" s="5"/>
      <c r="S149" s="5"/>
      <c r="T149" s="5"/>
      <c r="U149" s="5"/>
      <c r="V149" s="5"/>
      <c r="W149" s="5"/>
      <c r="X149" s="5"/>
      <c r="Y149" s="5"/>
      <c r="Z149" s="5"/>
    </row>
    <row r="150" ht="12.0" customHeight="1">
      <c r="A150" s="186" t="s">
        <v>642</v>
      </c>
      <c r="B150" s="4"/>
      <c r="C150" s="184">
        <f t="shared" ref="C150:N150" si="44">C148*C149</f>
        <v>25.2</v>
      </c>
      <c r="D150" s="184">
        <f t="shared" si="44"/>
        <v>25.2</v>
      </c>
      <c r="E150" s="184">
        <f t="shared" si="44"/>
        <v>25.2</v>
      </c>
      <c r="F150" s="184">
        <f t="shared" si="44"/>
        <v>25.2</v>
      </c>
      <c r="G150" s="184">
        <f t="shared" si="44"/>
        <v>25.2</v>
      </c>
      <c r="H150" s="184">
        <f t="shared" si="44"/>
        <v>25.2</v>
      </c>
      <c r="I150" s="184">
        <f t="shared" si="44"/>
        <v>25.2</v>
      </c>
      <c r="J150" s="184">
        <f t="shared" si="44"/>
        <v>25.2</v>
      </c>
      <c r="K150" s="184">
        <f t="shared" si="44"/>
        <v>25.2</v>
      </c>
      <c r="L150" s="184">
        <f t="shared" si="44"/>
        <v>25.2</v>
      </c>
      <c r="M150" s="184">
        <f t="shared" si="44"/>
        <v>25.2</v>
      </c>
      <c r="N150" s="184">
        <f t="shared" si="44"/>
        <v>25.2</v>
      </c>
      <c r="O150" s="5"/>
      <c r="P150" s="5"/>
      <c r="Q150" s="5"/>
      <c r="R150" s="5"/>
      <c r="S150" s="5"/>
      <c r="T150" s="5"/>
      <c r="U150" s="5"/>
      <c r="V150" s="5"/>
      <c r="W150" s="5"/>
      <c r="X150" s="5"/>
      <c r="Y150" s="5"/>
      <c r="Z150" s="5"/>
    </row>
    <row r="151" ht="12.0" customHeight="1">
      <c r="A151" s="186" t="s">
        <v>643</v>
      </c>
      <c r="B151" s="4"/>
      <c r="C151" s="148">
        <f t="shared" ref="C151:N151" si="45">IF(C150=0,0,C147/C150)</f>
        <v>0.2117619048</v>
      </c>
      <c r="D151" s="148">
        <f t="shared" si="45"/>
        <v>0.163531746</v>
      </c>
      <c r="E151" s="148">
        <f t="shared" si="45"/>
        <v>0.1575912698</v>
      </c>
      <c r="F151" s="148">
        <f t="shared" si="45"/>
        <v>0.1520634921</v>
      </c>
      <c r="G151" s="148">
        <f t="shared" si="45"/>
        <v>0.1430396825</v>
      </c>
      <c r="H151" s="148">
        <f t="shared" si="45"/>
        <v>0.1384642857</v>
      </c>
      <c r="I151" s="148">
        <f t="shared" si="45"/>
        <v>0.1485674603</v>
      </c>
      <c r="J151" s="148">
        <f t="shared" si="45"/>
        <v>0.1485674603</v>
      </c>
      <c r="K151" s="148">
        <f t="shared" si="45"/>
        <v>0.1480277778</v>
      </c>
      <c r="L151" s="148">
        <f t="shared" si="45"/>
        <v>0.143452381</v>
      </c>
      <c r="M151" s="148">
        <f t="shared" si="45"/>
        <v>0.1394166667</v>
      </c>
      <c r="N151" s="148">
        <f t="shared" si="45"/>
        <v>0.2182142857</v>
      </c>
      <c r="O151" s="5"/>
      <c r="P151" s="5"/>
      <c r="Q151" s="5"/>
      <c r="R151" s="5"/>
      <c r="S151" s="5"/>
      <c r="T151" s="5"/>
      <c r="U151" s="5"/>
      <c r="V151" s="5"/>
      <c r="W151" s="5"/>
      <c r="X151" s="5"/>
      <c r="Y151" s="5"/>
      <c r="Z151" s="5"/>
    </row>
    <row r="152" ht="12.0" customHeight="1">
      <c r="A152" s="177" t="s">
        <v>696</v>
      </c>
      <c r="B152" s="178"/>
      <c r="C152" s="178"/>
      <c r="D152" s="178"/>
      <c r="E152" s="178"/>
      <c r="F152" s="178"/>
      <c r="G152" s="178"/>
      <c r="H152" s="178"/>
      <c r="I152" s="178"/>
      <c r="J152" s="178"/>
      <c r="K152" s="178"/>
      <c r="L152" s="178"/>
      <c r="M152" s="178"/>
      <c r="N152" s="179"/>
      <c r="O152" s="5"/>
      <c r="P152" s="5"/>
      <c r="Q152" s="5"/>
      <c r="R152" s="5"/>
      <c r="S152" s="5"/>
      <c r="T152" s="5"/>
      <c r="U152" s="5"/>
      <c r="V152" s="5"/>
      <c r="W152" s="5"/>
      <c r="X152" s="5"/>
      <c r="Y152" s="5"/>
      <c r="Z152" s="5"/>
    </row>
    <row r="153" ht="12.0" customHeight="1">
      <c r="A153" s="180" t="s">
        <v>630</v>
      </c>
      <c r="B153" s="180" t="s">
        <v>631</v>
      </c>
      <c r="C153" s="180" t="s">
        <v>3</v>
      </c>
      <c r="D153" s="180" t="s">
        <v>4</v>
      </c>
      <c r="E153" s="180" t="s">
        <v>5</v>
      </c>
      <c r="F153" s="180" t="s">
        <v>6</v>
      </c>
      <c r="G153" s="180" t="s">
        <v>7</v>
      </c>
      <c r="H153" s="180" t="s">
        <v>8</v>
      </c>
      <c r="I153" s="180" t="s">
        <v>9</v>
      </c>
      <c r="J153" s="180" t="s">
        <v>10</v>
      </c>
      <c r="K153" s="180" t="s">
        <v>11</v>
      </c>
      <c r="L153" s="180" t="s">
        <v>12</v>
      </c>
      <c r="M153" s="180" t="s">
        <v>13</v>
      </c>
      <c r="N153" s="180" t="s">
        <v>14</v>
      </c>
      <c r="O153" s="5"/>
      <c r="P153" s="5"/>
      <c r="Q153" s="5"/>
      <c r="R153" s="5"/>
      <c r="S153" s="5"/>
      <c r="T153" s="5"/>
      <c r="U153" s="5"/>
      <c r="V153" s="5"/>
      <c r="W153" s="5"/>
      <c r="X153" s="5"/>
      <c r="Y153" s="5"/>
      <c r="Z153" s="5"/>
    </row>
    <row r="154" ht="12.0" customHeight="1">
      <c r="A154" s="181" t="s">
        <v>694</v>
      </c>
      <c r="B154" s="125" t="s">
        <v>633</v>
      </c>
      <c r="C154" s="182">
        <f>SUM('2026'!B6:B9)+Parametros!$B$72*C2057</f>
        <v>800.46</v>
      </c>
      <c r="D154" s="182">
        <f>SUM('2026'!C6:C9)+Parametros!$B$72*D2057</f>
        <v>618.15</v>
      </c>
      <c r="E154" s="182">
        <f>SUM('2026'!D6:D9)+Parametros!$B$72*E2057</f>
        <v>595.695</v>
      </c>
      <c r="F154" s="182">
        <f>SUM('2026'!E6:E9)+Parametros!$B$72*F2057</f>
        <v>574.8</v>
      </c>
      <c r="G154" s="182">
        <f>SUM('2026'!F6:F9)+Parametros!$B$72*G2057</f>
        <v>540.69</v>
      </c>
      <c r="H154" s="182">
        <f>SUM('2026'!G6:G9)+Parametros!$B$72*H2057</f>
        <v>523.395</v>
      </c>
      <c r="I154" s="182">
        <f>SUM('2026'!H6:H9)+Parametros!$B$72*I2057</f>
        <v>561.585</v>
      </c>
      <c r="J154" s="182">
        <f>SUM('2026'!I6:I9)+Parametros!$B$72*J2057</f>
        <v>561.585</v>
      </c>
      <c r="K154" s="182">
        <f>SUM('2026'!J6:J9)+Parametros!$B$72*K2057</f>
        <v>559.545</v>
      </c>
      <c r="L154" s="182">
        <f>SUM('2026'!K6:K9)+Parametros!$B$72*L2057</f>
        <v>542.25</v>
      </c>
      <c r="M154" s="182">
        <f>SUM('2026'!L6:L9)+Parametros!$B$72*M2057</f>
        <v>526.995</v>
      </c>
      <c r="N154" s="182">
        <f>SUM('2026'!M6:M9)+Parametros!$B$72*N2057</f>
        <v>824.85</v>
      </c>
      <c r="O154" s="5"/>
      <c r="P154" s="5"/>
      <c r="Q154" s="5"/>
      <c r="R154" s="5"/>
      <c r="S154" s="5"/>
      <c r="T154" s="5"/>
      <c r="U154" s="5"/>
      <c r="V154" s="5"/>
      <c r="W154" s="5"/>
      <c r="X154" s="5"/>
      <c r="Y154" s="5"/>
      <c r="Z154" s="5"/>
    </row>
    <row r="155" ht="12.0" customHeight="1">
      <c r="A155" s="183"/>
      <c r="B155" s="125" t="s">
        <v>634</v>
      </c>
      <c r="C155" s="184">
        <f>C154/Parametros!$B$37</f>
        <v>40.023</v>
      </c>
      <c r="D155" s="184">
        <f>D154/Parametros!$B$37</f>
        <v>30.9075</v>
      </c>
      <c r="E155" s="184">
        <f>E154/Parametros!$B$37</f>
        <v>29.78475</v>
      </c>
      <c r="F155" s="184">
        <f>F154/Parametros!$B$37</f>
        <v>28.74</v>
      </c>
      <c r="G155" s="184">
        <f>G154/Parametros!$B$37</f>
        <v>27.0345</v>
      </c>
      <c r="H155" s="184">
        <f>H154/Parametros!$B$37</f>
        <v>26.16975</v>
      </c>
      <c r="I155" s="184">
        <f>I154/Parametros!$B$37</f>
        <v>28.07925</v>
      </c>
      <c r="J155" s="184">
        <f>J154/Parametros!$B$37</f>
        <v>28.07925</v>
      </c>
      <c r="K155" s="184">
        <f>K154/Parametros!$B$37</f>
        <v>27.97725</v>
      </c>
      <c r="L155" s="184">
        <f>L154/Parametros!$B$37</f>
        <v>27.1125</v>
      </c>
      <c r="M155" s="184">
        <f>M154/Parametros!$B$37</f>
        <v>26.34975</v>
      </c>
      <c r="N155" s="184">
        <f>N154/Parametros!$B$37</f>
        <v>41.2425</v>
      </c>
      <c r="O155" s="5"/>
      <c r="P155" s="5"/>
      <c r="Q155" s="5"/>
      <c r="R155" s="5"/>
      <c r="S155" s="5"/>
      <c r="T155" s="5"/>
      <c r="U155" s="5"/>
      <c r="V155" s="5"/>
      <c r="W155" s="5"/>
      <c r="X155" s="5"/>
      <c r="Y155" s="5"/>
      <c r="Z155" s="5"/>
    </row>
    <row r="156" ht="12.0" customHeight="1">
      <c r="A156" s="185"/>
      <c r="B156" s="125" t="s">
        <v>635</v>
      </c>
      <c r="C156" s="184">
        <f>C155/Parametros!$J$37</f>
        <v>5.3364</v>
      </c>
      <c r="D156" s="184">
        <f>D155/Parametros!$J$37</f>
        <v>4.121</v>
      </c>
      <c r="E156" s="184">
        <f>E155/Parametros!$J$37</f>
        <v>3.9713</v>
      </c>
      <c r="F156" s="184">
        <f>F155/Parametros!$J$37</f>
        <v>3.832</v>
      </c>
      <c r="G156" s="184">
        <f>G155/Parametros!$J$37</f>
        <v>3.6046</v>
      </c>
      <c r="H156" s="184">
        <f>H155/Parametros!$J$37</f>
        <v>3.4893</v>
      </c>
      <c r="I156" s="184">
        <f>I155/Parametros!$J$37</f>
        <v>3.7439</v>
      </c>
      <c r="J156" s="184">
        <f>J155/Parametros!$J$37</f>
        <v>3.7439</v>
      </c>
      <c r="K156" s="184">
        <f>K155/Parametros!$J$37</f>
        <v>3.7303</v>
      </c>
      <c r="L156" s="184">
        <f>L155/Parametros!$J$37</f>
        <v>3.615</v>
      </c>
      <c r="M156" s="184">
        <f>M155/Parametros!$J$37</f>
        <v>3.5133</v>
      </c>
      <c r="N156" s="184">
        <f>N155/Parametros!$J$37</f>
        <v>5.499</v>
      </c>
      <c r="O156" s="5"/>
      <c r="P156" s="5"/>
      <c r="Q156" s="5"/>
      <c r="R156" s="5"/>
      <c r="S156" s="5"/>
      <c r="T156" s="5"/>
      <c r="U156" s="5"/>
      <c r="V156" s="5"/>
      <c r="W156" s="5"/>
      <c r="X156" s="5"/>
      <c r="Y156" s="5"/>
      <c r="Z156" s="5"/>
    </row>
    <row r="157" ht="12.0" customHeight="1">
      <c r="A157" s="186" t="s">
        <v>636</v>
      </c>
      <c r="B157" s="4"/>
      <c r="C157" s="184">
        <f t="shared" ref="C157:N157" si="46">C156</f>
        <v>5.3364</v>
      </c>
      <c r="D157" s="184">
        <f t="shared" si="46"/>
        <v>4.121</v>
      </c>
      <c r="E157" s="184">
        <f t="shared" si="46"/>
        <v>3.9713</v>
      </c>
      <c r="F157" s="184">
        <f t="shared" si="46"/>
        <v>3.832</v>
      </c>
      <c r="G157" s="184">
        <f t="shared" si="46"/>
        <v>3.6046</v>
      </c>
      <c r="H157" s="184">
        <f t="shared" si="46"/>
        <v>3.4893</v>
      </c>
      <c r="I157" s="184">
        <f t="shared" si="46"/>
        <v>3.7439</v>
      </c>
      <c r="J157" s="184">
        <f t="shared" si="46"/>
        <v>3.7439</v>
      </c>
      <c r="K157" s="184">
        <f t="shared" si="46"/>
        <v>3.7303</v>
      </c>
      <c r="L157" s="184">
        <f t="shared" si="46"/>
        <v>3.615</v>
      </c>
      <c r="M157" s="184">
        <f t="shared" si="46"/>
        <v>3.5133</v>
      </c>
      <c r="N157" s="184">
        <f t="shared" si="46"/>
        <v>5.499</v>
      </c>
      <c r="O157" s="5"/>
      <c r="P157" s="5"/>
      <c r="Q157" s="5"/>
      <c r="R157" s="5"/>
      <c r="S157" s="5"/>
      <c r="T157" s="5"/>
      <c r="U157" s="5"/>
      <c r="V157" s="5"/>
      <c r="W157" s="5"/>
      <c r="X157" s="5"/>
      <c r="Y157" s="5"/>
      <c r="Z157" s="5"/>
    </row>
    <row r="158" ht="12.0" customHeight="1">
      <c r="A158" s="186" t="s">
        <v>637</v>
      </c>
      <c r="B158" s="4"/>
      <c r="C158" s="184">
        <f>'Resumen Capacidad'!$B$127</f>
        <v>41.53846154</v>
      </c>
      <c r="D158" s="184">
        <f>'Resumen Capacidad'!$B$127</f>
        <v>41.53846154</v>
      </c>
      <c r="E158" s="184">
        <f>'Resumen Capacidad'!$B$127</f>
        <v>41.53846154</v>
      </c>
      <c r="F158" s="184">
        <f>'Resumen Capacidad'!$B$127</f>
        <v>41.53846154</v>
      </c>
      <c r="G158" s="184">
        <f>'Resumen Capacidad'!$B$127</f>
        <v>41.53846154</v>
      </c>
      <c r="H158" s="184">
        <f>'Resumen Capacidad'!$B$127</f>
        <v>41.53846154</v>
      </c>
      <c r="I158" s="184">
        <f>'Resumen Capacidad'!$B$127</f>
        <v>41.53846154</v>
      </c>
      <c r="J158" s="184">
        <f>'Resumen Capacidad'!$B$127</f>
        <v>41.53846154</v>
      </c>
      <c r="K158" s="184">
        <f>'Resumen Capacidad'!$B$127</f>
        <v>41.53846154</v>
      </c>
      <c r="L158" s="184">
        <f>'Resumen Capacidad'!$B$127</f>
        <v>41.53846154</v>
      </c>
      <c r="M158" s="184">
        <f>'Resumen Capacidad'!$B$127</f>
        <v>41.53846154</v>
      </c>
      <c r="N158" s="184">
        <f>'Resumen Capacidad'!$B$127</f>
        <v>41.53846154</v>
      </c>
      <c r="O158" s="5"/>
      <c r="P158" s="5"/>
      <c r="Q158" s="5"/>
      <c r="R158" s="5"/>
      <c r="S158" s="5"/>
      <c r="T158" s="5"/>
      <c r="U158" s="5"/>
      <c r="V158" s="5"/>
      <c r="W158" s="5"/>
      <c r="X158" s="5"/>
      <c r="Y158" s="5"/>
      <c r="Z158" s="5"/>
    </row>
    <row r="159" ht="12.0" customHeight="1">
      <c r="A159" s="186" t="s">
        <v>640</v>
      </c>
      <c r="B159" s="4"/>
      <c r="C159" s="189">
        <f>'Resumen Capacidad'!$B$45*'Resumen Capacidad'!$B$81</f>
        <v>1</v>
      </c>
      <c r="D159" s="189">
        <f>'Resumen Capacidad'!$B$45*'Resumen Capacidad'!$B$81</f>
        <v>1</v>
      </c>
      <c r="E159" s="189">
        <f>'Resumen Capacidad'!$B$45*'Resumen Capacidad'!$B$81</f>
        <v>1</v>
      </c>
      <c r="F159" s="189">
        <f>'Resumen Capacidad'!$B$45*'Resumen Capacidad'!$B$81</f>
        <v>1</v>
      </c>
      <c r="G159" s="189">
        <f>'Resumen Capacidad'!$B$45*'Resumen Capacidad'!$B$81</f>
        <v>1</v>
      </c>
      <c r="H159" s="189">
        <f>'Resumen Capacidad'!$B$45*'Resumen Capacidad'!$B$81</f>
        <v>1</v>
      </c>
      <c r="I159" s="189">
        <f>'Resumen Capacidad'!$B$45*'Resumen Capacidad'!$B$81</f>
        <v>1</v>
      </c>
      <c r="J159" s="189">
        <f>'Resumen Capacidad'!$B$45*'Resumen Capacidad'!$B$81</f>
        <v>1</v>
      </c>
      <c r="K159" s="189">
        <f>'Resumen Capacidad'!$B$45*'Resumen Capacidad'!$B$81</f>
        <v>1</v>
      </c>
      <c r="L159" s="189">
        <f>'Resumen Capacidad'!$B$45*'Resumen Capacidad'!$B$81</f>
        <v>1</v>
      </c>
      <c r="M159" s="189">
        <f>'Resumen Capacidad'!$B$45*'Resumen Capacidad'!$B$81</f>
        <v>1</v>
      </c>
      <c r="N159" s="189">
        <f>'Resumen Capacidad'!$B$45*'Resumen Capacidad'!$B$81</f>
        <v>1</v>
      </c>
      <c r="O159" s="5"/>
      <c r="P159" s="5"/>
      <c r="Q159" s="5"/>
      <c r="R159" s="5"/>
      <c r="S159" s="5"/>
      <c r="T159" s="5"/>
      <c r="U159" s="5"/>
      <c r="V159" s="5"/>
      <c r="W159" s="5"/>
      <c r="X159" s="5"/>
      <c r="Y159" s="5"/>
      <c r="Z159" s="5"/>
    </row>
    <row r="160" ht="12.0" customHeight="1">
      <c r="A160" s="186" t="s">
        <v>642</v>
      </c>
      <c r="B160" s="4"/>
      <c r="C160" s="184">
        <f t="shared" ref="C160:N160" si="47">C158*C159</f>
        <v>41.53846154</v>
      </c>
      <c r="D160" s="184">
        <f t="shared" si="47"/>
        <v>41.53846154</v>
      </c>
      <c r="E160" s="184">
        <f t="shared" si="47"/>
        <v>41.53846154</v>
      </c>
      <c r="F160" s="184">
        <f t="shared" si="47"/>
        <v>41.53846154</v>
      </c>
      <c r="G160" s="184">
        <f t="shared" si="47"/>
        <v>41.53846154</v>
      </c>
      <c r="H160" s="184">
        <f t="shared" si="47"/>
        <v>41.53846154</v>
      </c>
      <c r="I160" s="184">
        <f t="shared" si="47"/>
        <v>41.53846154</v>
      </c>
      <c r="J160" s="184">
        <f t="shared" si="47"/>
        <v>41.53846154</v>
      </c>
      <c r="K160" s="184">
        <f t="shared" si="47"/>
        <v>41.53846154</v>
      </c>
      <c r="L160" s="184">
        <f t="shared" si="47"/>
        <v>41.53846154</v>
      </c>
      <c r="M160" s="184">
        <f t="shared" si="47"/>
        <v>41.53846154</v>
      </c>
      <c r="N160" s="184">
        <f t="shared" si="47"/>
        <v>41.53846154</v>
      </c>
      <c r="O160" s="5"/>
      <c r="P160" s="5"/>
      <c r="Q160" s="5"/>
      <c r="R160" s="5"/>
      <c r="S160" s="5"/>
      <c r="T160" s="5"/>
      <c r="U160" s="5"/>
      <c r="V160" s="5"/>
      <c r="W160" s="5"/>
      <c r="X160" s="5"/>
      <c r="Y160" s="5"/>
      <c r="Z160" s="5"/>
    </row>
    <row r="161" ht="12.0" customHeight="1">
      <c r="A161" s="186" t="s">
        <v>643</v>
      </c>
      <c r="B161" s="4"/>
      <c r="C161" s="148">
        <f t="shared" ref="C161:N161" si="48">IF(C160=0,0,C157/C160)</f>
        <v>0.1284688889</v>
      </c>
      <c r="D161" s="148">
        <f t="shared" si="48"/>
        <v>0.09920925926</v>
      </c>
      <c r="E161" s="148">
        <f t="shared" si="48"/>
        <v>0.09560537037</v>
      </c>
      <c r="F161" s="148">
        <f t="shared" si="48"/>
        <v>0.09225185185</v>
      </c>
      <c r="G161" s="148">
        <f t="shared" si="48"/>
        <v>0.08677740741</v>
      </c>
      <c r="H161" s="148">
        <f t="shared" si="48"/>
        <v>0.08400166667</v>
      </c>
      <c r="I161" s="148">
        <f t="shared" si="48"/>
        <v>0.09013092593</v>
      </c>
      <c r="J161" s="148">
        <f t="shared" si="48"/>
        <v>0.09013092593</v>
      </c>
      <c r="K161" s="148">
        <f t="shared" si="48"/>
        <v>0.08980351852</v>
      </c>
      <c r="L161" s="148">
        <f t="shared" si="48"/>
        <v>0.08702777778</v>
      </c>
      <c r="M161" s="148">
        <f t="shared" si="48"/>
        <v>0.08457944444</v>
      </c>
      <c r="N161" s="148">
        <f t="shared" si="48"/>
        <v>0.1323833333</v>
      </c>
      <c r="O161" s="5"/>
      <c r="P161" s="5"/>
      <c r="Q161" s="5"/>
      <c r="R161" s="5"/>
      <c r="S161" s="5"/>
      <c r="T161" s="5"/>
      <c r="U161" s="5"/>
      <c r="V161" s="5"/>
      <c r="W161" s="5"/>
      <c r="X161" s="5"/>
      <c r="Y161" s="5"/>
      <c r="Z161" s="5"/>
    </row>
    <row r="162" ht="12.0" customHeight="1">
      <c r="A162" s="177" t="s">
        <v>698</v>
      </c>
      <c r="B162" s="178"/>
      <c r="C162" s="178"/>
      <c r="D162" s="178"/>
      <c r="E162" s="178"/>
      <c r="F162" s="178"/>
      <c r="G162" s="178"/>
      <c r="H162" s="178"/>
      <c r="I162" s="178"/>
      <c r="J162" s="178"/>
      <c r="K162" s="178"/>
      <c r="L162" s="178"/>
      <c r="M162" s="178"/>
      <c r="N162" s="179"/>
      <c r="O162" s="5"/>
      <c r="P162" s="5"/>
      <c r="Q162" s="5"/>
      <c r="R162" s="5"/>
      <c r="S162" s="5"/>
      <c r="T162" s="5"/>
      <c r="U162" s="5"/>
      <c r="V162" s="5"/>
      <c r="W162" s="5"/>
      <c r="X162" s="5"/>
      <c r="Y162" s="5"/>
      <c r="Z162" s="5"/>
    </row>
    <row r="163" ht="12.0" customHeight="1">
      <c r="A163" s="180" t="s">
        <v>630</v>
      </c>
      <c r="B163" s="180" t="s">
        <v>631</v>
      </c>
      <c r="C163" s="180" t="s">
        <v>3</v>
      </c>
      <c r="D163" s="180" t="s">
        <v>4</v>
      </c>
      <c r="E163" s="180" t="s">
        <v>5</v>
      </c>
      <c r="F163" s="180" t="s">
        <v>6</v>
      </c>
      <c r="G163" s="180" t="s">
        <v>7</v>
      </c>
      <c r="H163" s="180" t="s">
        <v>8</v>
      </c>
      <c r="I163" s="180" t="s">
        <v>9</v>
      </c>
      <c r="J163" s="180" t="s">
        <v>10</v>
      </c>
      <c r="K163" s="180" t="s">
        <v>11</v>
      </c>
      <c r="L163" s="180" t="s">
        <v>12</v>
      </c>
      <c r="M163" s="180" t="s">
        <v>13</v>
      </c>
      <c r="N163" s="180" t="s">
        <v>14</v>
      </c>
      <c r="O163" s="5"/>
      <c r="P163" s="5"/>
      <c r="Q163" s="5"/>
      <c r="R163" s="5"/>
      <c r="S163" s="5"/>
      <c r="T163" s="5"/>
      <c r="U163" s="5"/>
      <c r="V163" s="5"/>
      <c r="W163" s="5"/>
      <c r="X163" s="5"/>
      <c r="Y163" s="5"/>
      <c r="Z163" s="5"/>
    </row>
    <row r="164" ht="12.0" customHeight="1">
      <c r="A164" s="181" t="s">
        <v>694</v>
      </c>
      <c r="B164" s="125" t="s">
        <v>633</v>
      </c>
      <c r="C164" s="182">
        <f>SUM('2026'!B6:B9)+Parametros!$B$72*C2057</f>
        <v>800.46</v>
      </c>
      <c r="D164" s="182">
        <f>SUM('2026'!C6:C9)+Parametros!$B$72*D2057</f>
        <v>618.15</v>
      </c>
      <c r="E164" s="182">
        <f>SUM('2026'!D6:D9)+Parametros!$B$72*E2057</f>
        <v>595.695</v>
      </c>
      <c r="F164" s="182">
        <f>SUM('2026'!E6:E9)+Parametros!$B$72*F2057</f>
        <v>574.8</v>
      </c>
      <c r="G164" s="182">
        <f>SUM('2026'!F6:F9)+Parametros!$B$72*G2057</f>
        <v>540.69</v>
      </c>
      <c r="H164" s="182">
        <f>SUM('2026'!G6:G9)+Parametros!$B$72*H2057</f>
        <v>523.395</v>
      </c>
      <c r="I164" s="182">
        <f>SUM('2026'!H6:H9)+Parametros!$B$72*I2057</f>
        <v>561.585</v>
      </c>
      <c r="J164" s="182">
        <f>SUM('2026'!I6:I9)+Parametros!$B$72*J2057</f>
        <v>561.585</v>
      </c>
      <c r="K164" s="182">
        <f>SUM('2026'!J6:J9)+Parametros!$B$72*K2057</f>
        <v>559.545</v>
      </c>
      <c r="L164" s="182">
        <f>SUM('2026'!K6:K9)+Parametros!$B$72*L2057</f>
        <v>542.25</v>
      </c>
      <c r="M164" s="182">
        <f>SUM('2026'!L6:L9)+Parametros!$B$72*M2057</f>
        <v>526.995</v>
      </c>
      <c r="N164" s="182">
        <f>SUM('2026'!M6:M9)+Parametros!$B$72*N2057</f>
        <v>824.85</v>
      </c>
      <c r="O164" s="5"/>
      <c r="P164" s="5"/>
      <c r="Q164" s="5"/>
      <c r="R164" s="5"/>
      <c r="S164" s="5"/>
      <c r="T164" s="5"/>
      <c r="U164" s="5"/>
      <c r="V164" s="5"/>
      <c r="W164" s="5"/>
      <c r="X164" s="5"/>
      <c r="Y164" s="5"/>
      <c r="Z164" s="5"/>
    </row>
    <row r="165" ht="12.0" customHeight="1">
      <c r="A165" s="183"/>
      <c r="B165" s="125" t="s">
        <v>634</v>
      </c>
      <c r="C165" s="184">
        <f>C164/Parametros!$B$37</f>
        <v>40.023</v>
      </c>
      <c r="D165" s="184">
        <f>D164/Parametros!$B$37</f>
        <v>30.9075</v>
      </c>
      <c r="E165" s="184">
        <f>E164/Parametros!$B$37</f>
        <v>29.78475</v>
      </c>
      <c r="F165" s="184">
        <f>F164/Parametros!$B$37</f>
        <v>28.74</v>
      </c>
      <c r="G165" s="184">
        <f>G164/Parametros!$B$37</f>
        <v>27.0345</v>
      </c>
      <c r="H165" s="184">
        <f>H164/Parametros!$B$37</f>
        <v>26.16975</v>
      </c>
      <c r="I165" s="184">
        <f>I164/Parametros!$B$37</f>
        <v>28.07925</v>
      </c>
      <c r="J165" s="184">
        <f>J164/Parametros!$B$37</f>
        <v>28.07925</v>
      </c>
      <c r="K165" s="184">
        <f>K164/Parametros!$B$37</f>
        <v>27.97725</v>
      </c>
      <c r="L165" s="184">
        <f>L164/Parametros!$B$37</f>
        <v>27.1125</v>
      </c>
      <c r="M165" s="184">
        <f>M164/Parametros!$B$37</f>
        <v>26.34975</v>
      </c>
      <c r="N165" s="184">
        <f>N164/Parametros!$B$37</f>
        <v>41.2425</v>
      </c>
      <c r="O165" s="5"/>
      <c r="P165" s="5"/>
      <c r="Q165" s="5"/>
      <c r="R165" s="5"/>
      <c r="S165" s="5"/>
      <c r="T165" s="5"/>
      <c r="U165" s="5"/>
      <c r="V165" s="5"/>
      <c r="W165" s="5"/>
      <c r="X165" s="5"/>
      <c r="Y165" s="5"/>
      <c r="Z165" s="5"/>
    </row>
    <row r="166" ht="12.0" customHeight="1">
      <c r="A166" s="185"/>
      <c r="B166" s="125" t="s">
        <v>635</v>
      </c>
      <c r="C166" s="184">
        <f>C165/Parametros!$J$37</f>
        <v>5.3364</v>
      </c>
      <c r="D166" s="184">
        <f>D165/Parametros!$J$37</f>
        <v>4.121</v>
      </c>
      <c r="E166" s="184">
        <f>E165/Parametros!$J$37</f>
        <v>3.9713</v>
      </c>
      <c r="F166" s="184">
        <f>F165/Parametros!$J$37</f>
        <v>3.832</v>
      </c>
      <c r="G166" s="184">
        <f>G165/Parametros!$J$37</f>
        <v>3.6046</v>
      </c>
      <c r="H166" s="184">
        <f>H165/Parametros!$J$37</f>
        <v>3.4893</v>
      </c>
      <c r="I166" s="184">
        <f>I165/Parametros!$J$37</f>
        <v>3.7439</v>
      </c>
      <c r="J166" s="184">
        <f>J165/Parametros!$J$37</f>
        <v>3.7439</v>
      </c>
      <c r="K166" s="184">
        <f>K165/Parametros!$J$37</f>
        <v>3.7303</v>
      </c>
      <c r="L166" s="184">
        <f>L165/Parametros!$J$37</f>
        <v>3.615</v>
      </c>
      <c r="M166" s="184">
        <f>M165/Parametros!$J$37</f>
        <v>3.5133</v>
      </c>
      <c r="N166" s="184">
        <f>N165/Parametros!$J$37</f>
        <v>5.499</v>
      </c>
      <c r="O166" s="5"/>
      <c r="P166" s="5"/>
      <c r="Q166" s="5"/>
      <c r="R166" s="5"/>
      <c r="S166" s="5"/>
      <c r="T166" s="5"/>
      <c r="U166" s="5"/>
      <c r="V166" s="5"/>
      <c r="W166" s="5"/>
      <c r="X166" s="5"/>
      <c r="Y166" s="5"/>
      <c r="Z166" s="5"/>
    </row>
    <row r="167" ht="12.0" customHeight="1">
      <c r="A167" s="186" t="s">
        <v>636</v>
      </c>
      <c r="B167" s="4"/>
      <c r="C167" s="184">
        <f t="shared" ref="C167:N167" si="49">C166</f>
        <v>5.3364</v>
      </c>
      <c r="D167" s="184">
        <f t="shared" si="49"/>
        <v>4.121</v>
      </c>
      <c r="E167" s="184">
        <f t="shared" si="49"/>
        <v>3.9713</v>
      </c>
      <c r="F167" s="184">
        <f t="shared" si="49"/>
        <v>3.832</v>
      </c>
      <c r="G167" s="184">
        <f t="shared" si="49"/>
        <v>3.6046</v>
      </c>
      <c r="H167" s="184">
        <f t="shared" si="49"/>
        <v>3.4893</v>
      </c>
      <c r="I167" s="184">
        <f t="shared" si="49"/>
        <v>3.7439</v>
      </c>
      <c r="J167" s="184">
        <f t="shared" si="49"/>
        <v>3.7439</v>
      </c>
      <c r="K167" s="184">
        <f t="shared" si="49"/>
        <v>3.7303</v>
      </c>
      <c r="L167" s="184">
        <f t="shared" si="49"/>
        <v>3.615</v>
      </c>
      <c r="M167" s="184">
        <f t="shared" si="49"/>
        <v>3.5133</v>
      </c>
      <c r="N167" s="184">
        <f t="shared" si="49"/>
        <v>5.499</v>
      </c>
      <c r="O167" s="5"/>
      <c r="P167" s="5"/>
      <c r="Q167" s="5"/>
      <c r="R167" s="5"/>
      <c r="S167" s="5"/>
      <c r="T167" s="5"/>
      <c r="U167" s="5"/>
      <c r="V167" s="5"/>
      <c r="W167" s="5"/>
      <c r="X167" s="5"/>
      <c r="Y167" s="5"/>
      <c r="Z167" s="5"/>
    </row>
    <row r="168" ht="12.0" customHeight="1">
      <c r="A168" s="186" t="s">
        <v>637</v>
      </c>
      <c r="B168" s="4"/>
      <c r="C168" s="184">
        <f>'Resumen Capacidad'!$B$128</f>
        <v>45.81818182</v>
      </c>
      <c r="D168" s="184">
        <f>'Resumen Capacidad'!$B$128</f>
        <v>45.81818182</v>
      </c>
      <c r="E168" s="184">
        <f>'Resumen Capacidad'!$B$128</f>
        <v>45.81818182</v>
      </c>
      <c r="F168" s="184">
        <f>'Resumen Capacidad'!$B$128</f>
        <v>45.81818182</v>
      </c>
      <c r="G168" s="184">
        <f>'Resumen Capacidad'!$B$128</f>
        <v>45.81818182</v>
      </c>
      <c r="H168" s="184">
        <f>'Resumen Capacidad'!$B$128</f>
        <v>45.81818182</v>
      </c>
      <c r="I168" s="184">
        <f>'Resumen Capacidad'!$B$128</f>
        <v>45.81818182</v>
      </c>
      <c r="J168" s="184">
        <f>'Resumen Capacidad'!$B$128</f>
        <v>45.81818182</v>
      </c>
      <c r="K168" s="184">
        <f>'Resumen Capacidad'!$B$128</f>
        <v>45.81818182</v>
      </c>
      <c r="L168" s="184">
        <f>'Resumen Capacidad'!$B$128</f>
        <v>45.81818182</v>
      </c>
      <c r="M168" s="184">
        <f>'Resumen Capacidad'!$B$128</f>
        <v>45.81818182</v>
      </c>
      <c r="N168" s="184">
        <f>'Resumen Capacidad'!$B$128</f>
        <v>45.81818182</v>
      </c>
      <c r="O168" s="5"/>
      <c r="P168" s="5"/>
      <c r="Q168" s="5"/>
      <c r="R168" s="5"/>
      <c r="S168" s="5"/>
      <c r="T168" s="5"/>
      <c r="U168" s="5"/>
      <c r="V168" s="5"/>
      <c r="W168" s="5"/>
      <c r="X168" s="5"/>
      <c r="Y168" s="5"/>
      <c r="Z168" s="5"/>
    </row>
    <row r="169" ht="12.0" customHeight="1">
      <c r="A169" s="186" t="s">
        <v>640</v>
      </c>
      <c r="B169" s="4"/>
      <c r="C169" s="189">
        <f>'Resumen Capacidad'!$B$46*'Resumen Capacidad'!$B$82</f>
        <v>1</v>
      </c>
      <c r="D169" s="189">
        <f>'Resumen Capacidad'!$B$46*'Resumen Capacidad'!$B$82</f>
        <v>1</v>
      </c>
      <c r="E169" s="189">
        <f>'Resumen Capacidad'!$B$46*'Resumen Capacidad'!$B$82</f>
        <v>1</v>
      </c>
      <c r="F169" s="189">
        <f>'Resumen Capacidad'!$B$46*'Resumen Capacidad'!$B$82</f>
        <v>1</v>
      </c>
      <c r="G169" s="189">
        <f>'Resumen Capacidad'!$B$46*'Resumen Capacidad'!$B$82</f>
        <v>1</v>
      </c>
      <c r="H169" s="189">
        <f>'Resumen Capacidad'!$B$46*'Resumen Capacidad'!$B$82</f>
        <v>1</v>
      </c>
      <c r="I169" s="189">
        <f>'Resumen Capacidad'!$B$46*'Resumen Capacidad'!$B$82</f>
        <v>1</v>
      </c>
      <c r="J169" s="189">
        <f>'Resumen Capacidad'!$B$46*'Resumen Capacidad'!$B$82</f>
        <v>1</v>
      </c>
      <c r="K169" s="189">
        <f>'Resumen Capacidad'!$B$46*'Resumen Capacidad'!$B$82</f>
        <v>1</v>
      </c>
      <c r="L169" s="189">
        <f>'Resumen Capacidad'!$B$46*'Resumen Capacidad'!$B$82</f>
        <v>1</v>
      </c>
      <c r="M169" s="189">
        <f>'Resumen Capacidad'!$B$46*'Resumen Capacidad'!$B$82</f>
        <v>1</v>
      </c>
      <c r="N169" s="189">
        <f>'Resumen Capacidad'!$B$46*'Resumen Capacidad'!$B$82</f>
        <v>1</v>
      </c>
      <c r="O169" s="5"/>
      <c r="P169" s="5"/>
      <c r="Q169" s="5"/>
      <c r="R169" s="5"/>
      <c r="S169" s="5"/>
      <c r="T169" s="5"/>
      <c r="U169" s="5"/>
      <c r="V169" s="5"/>
      <c r="W169" s="5"/>
      <c r="X169" s="5"/>
      <c r="Y169" s="5"/>
      <c r="Z169" s="5"/>
    </row>
    <row r="170" ht="12.0" customHeight="1">
      <c r="A170" s="186" t="s">
        <v>642</v>
      </c>
      <c r="B170" s="4"/>
      <c r="C170" s="184">
        <f t="shared" ref="C170:N170" si="50">C168*C169</f>
        <v>45.81818182</v>
      </c>
      <c r="D170" s="184">
        <f t="shared" si="50"/>
        <v>45.81818182</v>
      </c>
      <c r="E170" s="184">
        <f t="shared" si="50"/>
        <v>45.81818182</v>
      </c>
      <c r="F170" s="184">
        <f t="shared" si="50"/>
        <v>45.81818182</v>
      </c>
      <c r="G170" s="184">
        <f t="shared" si="50"/>
        <v>45.81818182</v>
      </c>
      <c r="H170" s="184">
        <f t="shared" si="50"/>
        <v>45.81818182</v>
      </c>
      <c r="I170" s="184">
        <f t="shared" si="50"/>
        <v>45.81818182</v>
      </c>
      <c r="J170" s="184">
        <f t="shared" si="50"/>
        <v>45.81818182</v>
      </c>
      <c r="K170" s="184">
        <f t="shared" si="50"/>
        <v>45.81818182</v>
      </c>
      <c r="L170" s="184">
        <f t="shared" si="50"/>
        <v>45.81818182</v>
      </c>
      <c r="M170" s="184">
        <f t="shared" si="50"/>
        <v>45.81818182</v>
      </c>
      <c r="N170" s="184">
        <f t="shared" si="50"/>
        <v>45.81818182</v>
      </c>
      <c r="O170" s="5"/>
      <c r="P170" s="5"/>
      <c r="Q170" s="5"/>
      <c r="R170" s="5"/>
      <c r="S170" s="5"/>
      <c r="T170" s="5"/>
      <c r="U170" s="5"/>
      <c r="V170" s="5"/>
      <c r="W170" s="5"/>
      <c r="X170" s="5"/>
      <c r="Y170" s="5"/>
      <c r="Z170" s="5"/>
    </row>
    <row r="171" ht="12.0" customHeight="1">
      <c r="A171" s="186" t="s">
        <v>643</v>
      </c>
      <c r="B171" s="4"/>
      <c r="C171" s="148">
        <f t="shared" ref="C171:N171" si="51">IF(C170=0,0,C167/C170)</f>
        <v>0.1164690476</v>
      </c>
      <c r="D171" s="148">
        <f t="shared" si="51"/>
        <v>0.08994246032</v>
      </c>
      <c r="E171" s="148">
        <f t="shared" si="51"/>
        <v>0.08667519841</v>
      </c>
      <c r="F171" s="148">
        <f t="shared" si="51"/>
        <v>0.08363492063</v>
      </c>
      <c r="G171" s="148">
        <f t="shared" si="51"/>
        <v>0.0786718254</v>
      </c>
      <c r="H171" s="148">
        <f t="shared" si="51"/>
        <v>0.07615535714</v>
      </c>
      <c r="I171" s="148">
        <f t="shared" si="51"/>
        <v>0.08171210317</v>
      </c>
      <c r="J171" s="148">
        <f t="shared" si="51"/>
        <v>0.08171210317</v>
      </c>
      <c r="K171" s="148">
        <f t="shared" si="51"/>
        <v>0.08141527778</v>
      </c>
      <c r="L171" s="148">
        <f t="shared" si="51"/>
        <v>0.07889880952</v>
      </c>
      <c r="M171" s="148">
        <f t="shared" si="51"/>
        <v>0.07667916667</v>
      </c>
      <c r="N171" s="148">
        <f t="shared" si="51"/>
        <v>0.1200178571</v>
      </c>
      <c r="O171" s="5"/>
      <c r="P171" s="5"/>
      <c r="Q171" s="5"/>
      <c r="R171" s="5"/>
      <c r="S171" s="5"/>
      <c r="T171" s="5"/>
      <c r="U171" s="5"/>
      <c r="V171" s="5"/>
      <c r="W171" s="5"/>
      <c r="X171" s="5"/>
      <c r="Y171" s="5"/>
      <c r="Z171" s="5"/>
    </row>
    <row r="172" ht="12.0" customHeight="1">
      <c r="A172" s="177" t="s">
        <v>699</v>
      </c>
      <c r="B172" s="178"/>
      <c r="C172" s="178"/>
      <c r="D172" s="178"/>
      <c r="E172" s="178"/>
      <c r="F172" s="178"/>
      <c r="G172" s="178"/>
      <c r="H172" s="178"/>
      <c r="I172" s="178"/>
      <c r="J172" s="178"/>
      <c r="K172" s="178"/>
      <c r="L172" s="178"/>
      <c r="M172" s="178"/>
      <c r="N172" s="179"/>
      <c r="O172" s="5"/>
      <c r="P172" s="5"/>
      <c r="Q172" s="5"/>
      <c r="R172" s="5"/>
      <c r="S172" s="5"/>
      <c r="T172" s="5"/>
      <c r="U172" s="5"/>
      <c r="V172" s="5"/>
      <c r="W172" s="5"/>
      <c r="X172" s="5"/>
      <c r="Y172" s="5"/>
      <c r="Z172" s="5"/>
    </row>
    <row r="173" ht="12.0" customHeight="1">
      <c r="A173" s="180" t="s">
        <v>630</v>
      </c>
      <c r="B173" s="180" t="s">
        <v>631</v>
      </c>
      <c r="C173" s="180" t="s">
        <v>3</v>
      </c>
      <c r="D173" s="180" t="s">
        <v>4</v>
      </c>
      <c r="E173" s="180" t="s">
        <v>5</v>
      </c>
      <c r="F173" s="180" t="s">
        <v>6</v>
      </c>
      <c r="G173" s="180" t="s">
        <v>7</v>
      </c>
      <c r="H173" s="180" t="s">
        <v>8</v>
      </c>
      <c r="I173" s="180" t="s">
        <v>9</v>
      </c>
      <c r="J173" s="180" t="s">
        <v>10</v>
      </c>
      <c r="K173" s="180" t="s">
        <v>11</v>
      </c>
      <c r="L173" s="180" t="s">
        <v>12</v>
      </c>
      <c r="M173" s="180" t="s">
        <v>13</v>
      </c>
      <c r="N173" s="180" t="s">
        <v>14</v>
      </c>
      <c r="O173" s="5"/>
      <c r="P173" s="5"/>
      <c r="Q173" s="5"/>
      <c r="R173" s="5"/>
      <c r="S173" s="5"/>
      <c r="T173" s="5"/>
      <c r="U173" s="5"/>
      <c r="V173" s="5"/>
      <c r="W173" s="5"/>
      <c r="X173" s="5"/>
      <c r="Y173" s="5"/>
      <c r="Z173" s="5"/>
    </row>
    <row r="174" ht="12.0" customHeight="1">
      <c r="A174" s="181" t="s">
        <v>632</v>
      </c>
      <c r="B174" s="125" t="s">
        <v>633</v>
      </c>
      <c r="C174" s="182">
        <f>SUM('2026'!B6:B9)+SUM('2026'!B17:B20)</f>
        <v>765.78</v>
      </c>
      <c r="D174" s="182">
        <f>SUM('2026'!C6:C9)+SUM('2026'!C17:C20)</f>
        <v>587.55</v>
      </c>
      <c r="E174" s="182">
        <f>SUM('2026'!D6:D9)+SUM('2026'!D17:D20)</f>
        <v>558.975</v>
      </c>
      <c r="F174" s="182">
        <f>SUM('2026'!E6:E9)+SUM('2026'!E17:E20)</f>
        <v>538.08</v>
      </c>
      <c r="G174" s="182">
        <f>SUM('2026'!F6:F9)+SUM('2026'!F17:F20)</f>
        <v>503.97</v>
      </c>
      <c r="H174" s="182">
        <f>SUM('2026'!G6:G9)+SUM('2026'!G17:G20)</f>
        <v>490.755</v>
      </c>
      <c r="I174" s="182">
        <f>SUM('2026'!H6:H9)+SUM('2026'!H17:H20)</f>
        <v>524.865</v>
      </c>
      <c r="J174" s="182">
        <f>SUM('2026'!I6:I9)+SUM('2026'!I17:I20)</f>
        <v>524.865</v>
      </c>
      <c r="K174" s="182">
        <f>SUM('2026'!J6:J9)+SUM('2026'!J17:J20)</f>
        <v>524.865</v>
      </c>
      <c r="L174" s="182">
        <f>SUM('2026'!K6:K9)+SUM('2026'!K17:K20)</f>
        <v>511.65</v>
      </c>
      <c r="M174" s="182">
        <f>SUM('2026'!L6:L9)+SUM('2026'!L17:L20)</f>
        <v>498.435</v>
      </c>
      <c r="N174" s="182">
        <f>SUM('2026'!M6:M9)+SUM('2026'!M17:M20)</f>
        <v>792.21</v>
      </c>
      <c r="O174" s="5"/>
      <c r="P174" s="5"/>
      <c r="Q174" s="5"/>
      <c r="R174" s="5"/>
      <c r="S174" s="5"/>
      <c r="T174" s="5"/>
      <c r="U174" s="5"/>
      <c r="V174" s="5"/>
      <c r="W174" s="5"/>
      <c r="X174" s="5"/>
      <c r="Y174" s="5"/>
      <c r="Z174" s="5"/>
    </row>
    <row r="175" ht="12.0" customHeight="1">
      <c r="A175" s="183"/>
      <c r="B175" s="125" t="s">
        <v>634</v>
      </c>
      <c r="C175" s="184">
        <f>C174/Parametros!$B$37</f>
        <v>38.289</v>
      </c>
      <c r="D175" s="184">
        <f>D174/Parametros!$B$37</f>
        <v>29.3775</v>
      </c>
      <c r="E175" s="184">
        <f>E174/Parametros!$B$37</f>
        <v>27.94875</v>
      </c>
      <c r="F175" s="184">
        <f>F174/Parametros!$B$37</f>
        <v>26.904</v>
      </c>
      <c r="G175" s="184">
        <f>G174/Parametros!$B$37</f>
        <v>25.1985</v>
      </c>
      <c r="H175" s="184">
        <f>H174/Parametros!$B$37</f>
        <v>24.53775</v>
      </c>
      <c r="I175" s="184">
        <f>I174/Parametros!$B$37</f>
        <v>26.24325</v>
      </c>
      <c r="J175" s="184">
        <f>J174/Parametros!$B$37</f>
        <v>26.24325</v>
      </c>
      <c r="K175" s="184">
        <f>K174/Parametros!$B$37</f>
        <v>26.24325</v>
      </c>
      <c r="L175" s="184">
        <f>L174/Parametros!$B$37</f>
        <v>25.5825</v>
      </c>
      <c r="M175" s="184">
        <f>M174/Parametros!$B$37</f>
        <v>24.92175</v>
      </c>
      <c r="N175" s="184">
        <f>N174/Parametros!$B$37</f>
        <v>39.6105</v>
      </c>
      <c r="O175" s="5"/>
      <c r="P175" s="5"/>
      <c r="Q175" s="5"/>
      <c r="R175" s="5"/>
      <c r="S175" s="5"/>
      <c r="T175" s="5"/>
      <c r="U175" s="5"/>
      <c r="V175" s="5"/>
      <c r="W175" s="5"/>
      <c r="X175" s="5"/>
      <c r="Y175" s="5"/>
      <c r="Z175" s="5"/>
    </row>
    <row r="176" ht="12.0" customHeight="1">
      <c r="A176" s="185"/>
      <c r="B176" s="125" t="s">
        <v>635</v>
      </c>
      <c r="C176" s="184">
        <f>C175/Parametros!$J$37</f>
        <v>5.1052</v>
      </c>
      <c r="D176" s="184">
        <f>D175/Parametros!$J$37</f>
        <v>3.917</v>
      </c>
      <c r="E176" s="184">
        <f>E175/Parametros!$J$37</f>
        <v>3.7265</v>
      </c>
      <c r="F176" s="184">
        <f>F175/Parametros!$J$37</f>
        <v>3.5872</v>
      </c>
      <c r="G176" s="184">
        <f>G175/Parametros!$J$37</f>
        <v>3.3598</v>
      </c>
      <c r="H176" s="184">
        <f>H175/Parametros!$J$37</f>
        <v>3.2717</v>
      </c>
      <c r="I176" s="184">
        <f>I175/Parametros!$J$37</f>
        <v>3.4991</v>
      </c>
      <c r="J176" s="184">
        <f>J175/Parametros!$J$37</f>
        <v>3.4991</v>
      </c>
      <c r="K176" s="184">
        <f>K175/Parametros!$J$37</f>
        <v>3.4991</v>
      </c>
      <c r="L176" s="184">
        <f>L175/Parametros!$J$37</f>
        <v>3.411</v>
      </c>
      <c r="M176" s="184">
        <f>M175/Parametros!$J$37</f>
        <v>3.3229</v>
      </c>
      <c r="N176" s="184">
        <f>N175/Parametros!$J$37</f>
        <v>5.2814</v>
      </c>
      <c r="O176" s="5"/>
      <c r="P176" s="5"/>
      <c r="Q176" s="5"/>
      <c r="R176" s="5"/>
      <c r="S176" s="5"/>
      <c r="T176" s="5"/>
      <c r="U176" s="5"/>
      <c r="V176" s="5"/>
      <c r="W176" s="5"/>
      <c r="X176" s="5"/>
      <c r="Y176" s="5"/>
      <c r="Z176" s="5"/>
    </row>
    <row r="177" ht="12.0" customHeight="1">
      <c r="A177" s="186" t="s">
        <v>636</v>
      </c>
      <c r="B177" s="4"/>
      <c r="C177" s="184">
        <f t="shared" ref="C177:N177" si="52">C176</f>
        <v>5.1052</v>
      </c>
      <c r="D177" s="184">
        <f t="shared" si="52"/>
        <v>3.917</v>
      </c>
      <c r="E177" s="184">
        <f t="shared" si="52"/>
        <v>3.7265</v>
      </c>
      <c r="F177" s="184">
        <f t="shared" si="52"/>
        <v>3.5872</v>
      </c>
      <c r="G177" s="184">
        <f t="shared" si="52"/>
        <v>3.3598</v>
      </c>
      <c r="H177" s="184">
        <f t="shared" si="52"/>
        <v>3.2717</v>
      </c>
      <c r="I177" s="184">
        <f t="shared" si="52"/>
        <v>3.4991</v>
      </c>
      <c r="J177" s="184">
        <f t="shared" si="52"/>
        <v>3.4991</v>
      </c>
      <c r="K177" s="184">
        <f t="shared" si="52"/>
        <v>3.4991</v>
      </c>
      <c r="L177" s="184">
        <f t="shared" si="52"/>
        <v>3.411</v>
      </c>
      <c r="M177" s="184">
        <f t="shared" si="52"/>
        <v>3.3229</v>
      </c>
      <c r="N177" s="184">
        <f t="shared" si="52"/>
        <v>5.2814</v>
      </c>
      <c r="O177" s="5"/>
      <c r="P177" s="5"/>
      <c r="Q177" s="5"/>
      <c r="R177" s="5"/>
      <c r="S177" s="5"/>
      <c r="T177" s="5"/>
      <c r="U177" s="5"/>
      <c r="V177" s="5"/>
      <c r="W177" s="5"/>
      <c r="X177" s="5"/>
      <c r="Y177" s="5"/>
      <c r="Z177" s="5"/>
    </row>
    <row r="178" ht="12.0" customHeight="1">
      <c r="A178" s="186" t="s">
        <v>637</v>
      </c>
      <c r="B178" s="4"/>
      <c r="C178" s="190">
        <f>'Resumen Capacidad'!$B$129</f>
        <v>48.81355932</v>
      </c>
      <c r="D178" s="184">
        <f>'Resumen Capacidad'!$B$129</f>
        <v>48.81355932</v>
      </c>
      <c r="E178" s="184">
        <f>'Resumen Capacidad'!$B$129</f>
        <v>48.81355932</v>
      </c>
      <c r="F178" s="184">
        <f>'Resumen Capacidad'!$B$129</f>
        <v>48.81355932</v>
      </c>
      <c r="G178" s="184">
        <f>'Resumen Capacidad'!$B$129</f>
        <v>48.81355932</v>
      </c>
      <c r="H178" s="184">
        <f>'Resumen Capacidad'!$B$129</f>
        <v>48.81355932</v>
      </c>
      <c r="I178" s="184">
        <f>'Resumen Capacidad'!$B$129</f>
        <v>48.81355932</v>
      </c>
      <c r="J178" s="184">
        <f>'Resumen Capacidad'!$B$129</f>
        <v>48.81355932</v>
      </c>
      <c r="K178" s="184">
        <f>'Resumen Capacidad'!$B$129</f>
        <v>48.81355932</v>
      </c>
      <c r="L178" s="184">
        <f>'Resumen Capacidad'!$B$129</f>
        <v>48.81355932</v>
      </c>
      <c r="M178" s="184">
        <f>'Resumen Capacidad'!$B$129</f>
        <v>48.81355932</v>
      </c>
      <c r="N178" s="184">
        <f>'Resumen Capacidad'!$B$129</f>
        <v>48.81355932</v>
      </c>
      <c r="O178" s="5"/>
      <c r="P178" s="5"/>
      <c r="Q178" s="5"/>
      <c r="R178" s="5"/>
      <c r="S178" s="5"/>
      <c r="T178" s="5"/>
      <c r="U178" s="5"/>
      <c r="V178" s="5"/>
      <c r="W178" s="5"/>
      <c r="X178" s="5"/>
      <c r="Y178" s="5"/>
      <c r="Z178" s="5"/>
    </row>
    <row r="179" ht="12.0" customHeight="1">
      <c r="A179" s="186" t="s">
        <v>640</v>
      </c>
      <c r="B179" s="4"/>
      <c r="C179" s="189">
        <f>'Resumen Capacidad'!$B$47*'Resumen Capacidad'!$B$83</f>
        <v>1</v>
      </c>
      <c r="D179" s="189">
        <f>'Resumen Capacidad'!$B$47*'Resumen Capacidad'!$B$83</f>
        <v>1</v>
      </c>
      <c r="E179" s="189">
        <f>'Resumen Capacidad'!$B$47*'Resumen Capacidad'!$B$83</f>
        <v>1</v>
      </c>
      <c r="F179" s="189">
        <f>'Resumen Capacidad'!$B$47*'Resumen Capacidad'!$B$83</f>
        <v>1</v>
      </c>
      <c r="G179" s="189">
        <f>'Resumen Capacidad'!$B$47*'Resumen Capacidad'!$B$83</f>
        <v>1</v>
      </c>
      <c r="H179" s="189">
        <f>'Resumen Capacidad'!$B$47*'Resumen Capacidad'!$B$83</f>
        <v>1</v>
      </c>
      <c r="I179" s="189">
        <f>'Resumen Capacidad'!$B$47*'Resumen Capacidad'!$B$83</f>
        <v>1</v>
      </c>
      <c r="J179" s="189">
        <f>'Resumen Capacidad'!$B$47*'Resumen Capacidad'!$B$83</f>
        <v>1</v>
      </c>
      <c r="K179" s="189">
        <f>'Resumen Capacidad'!$B$47*'Resumen Capacidad'!$B$83</f>
        <v>1</v>
      </c>
      <c r="L179" s="189">
        <f>'Resumen Capacidad'!$B$47*'Resumen Capacidad'!$B$83</f>
        <v>1</v>
      </c>
      <c r="M179" s="189">
        <f>'Resumen Capacidad'!$B$47*'Resumen Capacidad'!$B$83</f>
        <v>1</v>
      </c>
      <c r="N179" s="189">
        <f>'Resumen Capacidad'!$B$47*'Resumen Capacidad'!$B$83</f>
        <v>1</v>
      </c>
      <c r="O179" s="5"/>
      <c r="P179" s="5"/>
      <c r="Q179" s="5"/>
      <c r="R179" s="5"/>
      <c r="S179" s="5"/>
      <c r="T179" s="5"/>
      <c r="U179" s="5"/>
      <c r="V179" s="5"/>
      <c r="W179" s="5"/>
      <c r="X179" s="5"/>
      <c r="Y179" s="5"/>
      <c r="Z179" s="5"/>
    </row>
    <row r="180" ht="12.0" customHeight="1">
      <c r="A180" s="186" t="s">
        <v>642</v>
      </c>
      <c r="B180" s="4"/>
      <c r="C180" s="184">
        <f t="shared" ref="C180:N180" si="53">C178*C179</f>
        <v>48.81355932</v>
      </c>
      <c r="D180" s="184">
        <f t="shared" si="53"/>
        <v>48.81355932</v>
      </c>
      <c r="E180" s="184">
        <f t="shared" si="53"/>
        <v>48.81355932</v>
      </c>
      <c r="F180" s="184">
        <f t="shared" si="53"/>
        <v>48.81355932</v>
      </c>
      <c r="G180" s="184">
        <f t="shared" si="53"/>
        <v>48.81355932</v>
      </c>
      <c r="H180" s="184">
        <f t="shared" si="53"/>
        <v>48.81355932</v>
      </c>
      <c r="I180" s="184">
        <f t="shared" si="53"/>
        <v>48.81355932</v>
      </c>
      <c r="J180" s="184">
        <f t="shared" si="53"/>
        <v>48.81355932</v>
      </c>
      <c r="K180" s="184">
        <f t="shared" si="53"/>
        <v>48.81355932</v>
      </c>
      <c r="L180" s="184">
        <f t="shared" si="53"/>
        <v>48.81355932</v>
      </c>
      <c r="M180" s="184">
        <f t="shared" si="53"/>
        <v>48.81355932</v>
      </c>
      <c r="N180" s="184">
        <f t="shared" si="53"/>
        <v>48.81355932</v>
      </c>
      <c r="O180" s="5"/>
      <c r="P180" s="5"/>
      <c r="Q180" s="5"/>
      <c r="R180" s="5"/>
      <c r="S180" s="5"/>
      <c r="T180" s="5"/>
      <c r="U180" s="5"/>
      <c r="V180" s="5"/>
      <c r="W180" s="5"/>
      <c r="X180" s="5"/>
      <c r="Y180" s="5"/>
      <c r="Z180" s="5"/>
    </row>
    <row r="181" ht="12.0" customHeight="1">
      <c r="A181" s="186" t="s">
        <v>643</v>
      </c>
      <c r="B181" s="4"/>
      <c r="C181" s="148">
        <f t="shared" ref="C181:N181" si="54">IF(C180=0,0,C177/C180)</f>
        <v>0.1045856944</v>
      </c>
      <c r="D181" s="148">
        <f t="shared" si="54"/>
        <v>0.08024409722</v>
      </c>
      <c r="E181" s="148">
        <f t="shared" si="54"/>
        <v>0.07634149306</v>
      </c>
      <c r="F181" s="148">
        <f t="shared" si="54"/>
        <v>0.07348777778</v>
      </c>
      <c r="G181" s="148">
        <f t="shared" si="54"/>
        <v>0.06882923611</v>
      </c>
      <c r="H181" s="148">
        <f t="shared" si="54"/>
        <v>0.06702440972</v>
      </c>
      <c r="I181" s="148">
        <f t="shared" si="54"/>
        <v>0.07168295139</v>
      </c>
      <c r="J181" s="148">
        <f t="shared" si="54"/>
        <v>0.07168295139</v>
      </c>
      <c r="K181" s="148">
        <f t="shared" si="54"/>
        <v>0.07168295139</v>
      </c>
      <c r="L181" s="148">
        <f t="shared" si="54"/>
        <v>0.069878125</v>
      </c>
      <c r="M181" s="148">
        <f t="shared" si="54"/>
        <v>0.06807329861</v>
      </c>
      <c r="N181" s="148">
        <f t="shared" si="54"/>
        <v>0.1081953472</v>
      </c>
      <c r="O181" s="5"/>
      <c r="P181" s="5"/>
      <c r="Q181" s="5"/>
      <c r="R181" s="5"/>
      <c r="S181" s="5"/>
      <c r="T181" s="5"/>
      <c r="U181" s="5"/>
      <c r="V181" s="5"/>
      <c r="W181" s="5"/>
      <c r="X181" s="5"/>
      <c r="Y181" s="5"/>
      <c r="Z181" s="5"/>
    </row>
    <row r="182" ht="12.0"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0"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0" customHeight="1">
      <c r="A184" s="191">
        <v>2027.0</v>
      </c>
      <c r="B184" s="16"/>
      <c r="C184" s="16"/>
      <c r="D184" s="16"/>
      <c r="E184" s="16"/>
      <c r="F184" s="16"/>
      <c r="G184" s="16"/>
      <c r="H184" s="16"/>
      <c r="I184" s="16"/>
      <c r="J184" s="16"/>
      <c r="K184" s="16"/>
      <c r="L184" s="16"/>
      <c r="M184" s="16"/>
      <c r="N184" s="17"/>
      <c r="O184" s="5"/>
      <c r="P184" s="5"/>
      <c r="Q184" s="5"/>
      <c r="R184" s="5"/>
      <c r="S184" s="5"/>
      <c r="T184" s="5"/>
      <c r="U184" s="5"/>
      <c r="V184" s="5"/>
      <c r="W184" s="5"/>
      <c r="X184" s="5"/>
      <c r="Y184" s="5"/>
      <c r="Z184" s="5"/>
    </row>
    <row r="185" ht="12.0" customHeight="1">
      <c r="A185" s="192" t="s">
        <v>629</v>
      </c>
      <c r="B185" s="8"/>
      <c r="C185" s="8"/>
      <c r="D185" s="8"/>
      <c r="E185" s="8"/>
      <c r="F185" s="8"/>
      <c r="G185" s="8"/>
      <c r="H185" s="8"/>
      <c r="I185" s="8"/>
      <c r="J185" s="8"/>
      <c r="K185" s="8"/>
      <c r="L185" s="8"/>
      <c r="M185" s="8"/>
      <c r="N185" s="9"/>
      <c r="O185" s="5"/>
      <c r="P185" s="5"/>
      <c r="Q185" s="5"/>
      <c r="R185" s="5"/>
      <c r="S185" s="5"/>
      <c r="T185" s="5"/>
      <c r="U185" s="5"/>
      <c r="V185" s="5"/>
      <c r="W185" s="5"/>
      <c r="X185" s="5"/>
      <c r="Y185" s="5"/>
      <c r="Z185" s="5"/>
    </row>
    <row r="186" ht="12.0" customHeight="1">
      <c r="A186" s="193" t="s">
        <v>630</v>
      </c>
      <c r="B186" s="193" t="s">
        <v>631</v>
      </c>
      <c r="C186" s="193" t="s">
        <v>3</v>
      </c>
      <c r="D186" s="193" t="s">
        <v>4</v>
      </c>
      <c r="E186" s="193" t="s">
        <v>5</v>
      </c>
      <c r="F186" s="193" t="s">
        <v>6</v>
      </c>
      <c r="G186" s="193" t="s">
        <v>7</v>
      </c>
      <c r="H186" s="193" t="s">
        <v>8</v>
      </c>
      <c r="I186" s="193" t="s">
        <v>9</v>
      </c>
      <c r="J186" s="193" t="s">
        <v>10</v>
      </c>
      <c r="K186" s="193" t="s">
        <v>11</v>
      </c>
      <c r="L186" s="193" t="s">
        <v>12</v>
      </c>
      <c r="M186" s="193" t="s">
        <v>13</v>
      </c>
      <c r="N186" s="193" t="s">
        <v>14</v>
      </c>
      <c r="O186" s="5"/>
      <c r="P186" s="5"/>
      <c r="Q186" s="5"/>
      <c r="R186" s="5"/>
      <c r="S186" s="5"/>
      <c r="T186" s="5"/>
      <c r="U186" s="5"/>
      <c r="V186" s="5"/>
      <c r="W186" s="5"/>
      <c r="X186" s="5"/>
      <c r="Y186" s="5"/>
      <c r="Z186" s="5"/>
    </row>
    <row r="187" ht="12.0" customHeight="1">
      <c r="A187" s="194" t="s">
        <v>632</v>
      </c>
      <c r="B187" s="195" t="s">
        <v>633</v>
      </c>
      <c r="C187" s="196">
        <f>SUM('2027'!B6:B9)+SUM('2027'!B17:B20)</f>
        <v>1192.94</v>
      </c>
      <c r="D187" s="196">
        <f>SUM('2027'!C6:C9)+SUM('2027'!C17:C20)</f>
        <v>918.37</v>
      </c>
      <c r="E187" s="196">
        <f>SUM('2027'!D6:D9)+SUM('2027'!D17:D20)</f>
        <v>882.065</v>
      </c>
      <c r="F187" s="196">
        <f>SUM('2027'!E6:E9)+SUM('2027'!E17:E20)</f>
        <v>852.08</v>
      </c>
      <c r="G187" s="196">
        <f>SUM('2027'!F6:F9)+SUM('2027'!F17:F20)</f>
        <v>798.43</v>
      </c>
      <c r="H187" s="196">
        <f>SUM('2027'!G6:G9)+SUM('2027'!G17:G20)</f>
        <v>774.765</v>
      </c>
      <c r="I187" s="196">
        <f>SUM('2027'!H6:H9)+SUM('2027'!H17:H20)</f>
        <v>828.415</v>
      </c>
      <c r="J187" s="196">
        <f>SUM('2027'!I6:I9)+SUM('2027'!I17:I20)</f>
        <v>828.415</v>
      </c>
      <c r="K187" s="196">
        <f>SUM('2027'!J6:J9)+SUM('2027'!J17:J20)</f>
        <v>828.415</v>
      </c>
      <c r="L187" s="196">
        <f>SUM('2027'!K6:K9)+SUM('2027'!K17:K20)</f>
        <v>804.75</v>
      </c>
      <c r="M187" s="196">
        <f>SUM('2027'!L6:L9)+SUM('2027'!L17:L20)</f>
        <v>781.085</v>
      </c>
      <c r="N187" s="196">
        <f>SUM('2027'!M6:M9)+SUM('2027'!M17:M20)</f>
        <v>1240.27</v>
      </c>
      <c r="O187" s="5"/>
      <c r="P187" s="5"/>
      <c r="Q187" s="5"/>
      <c r="R187" s="5"/>
      <c r="S187" s="5"/>
      <c r="T187" s="5"/>
      <c r="U187" s="5"/>
      <c r="V187" s="5"/>
      <c r="W187" s="5"/>
      <c r="X187" s="5"/>
      <c r="Y187" s="5"/>
      <c r="Z187" s="5"/>
    </row>
    <row r="188" ht="12.0" customHeight="1">
      <c r="A188" s="183"/>
      <c r="B188" s="195" t="s">
        <v>634</v>
      </c>
      <c r="C188" s="197">
        <f>C187/Parametros!$B$37</f>
        <v>59.647</v>
      </c>
      <c r="D188" s="197">
        <f>D187/Parametros!$B$37</f>
        <v>45.9185</v>
      </c>
      <c r="E188" s="197">
        <f>E187/Parametros!$B$37</f>
        <v>44.10325</v>
      </c>
      <c r="F188" s="197">
        <f>F187/Parametros!$B$37</f>
        <v>42.604</v>
      </c>
      <c r="G188" s="197">
        <f>G187/Parametros!$B$37</f>
        <v>39.9215</v>
      </c>
      <c r="H188" s="197">
        <f>H187/Parametros!$B$37</f>
        <v>38.73825</v>
      </c>
      <c r="I188" s="197">
        <f>I187/Parametros!$B$37</f>
        <v>41.42075</v>
      </c>
      <c r="J188" s="197">
        <f>J187/Parametros!$B$37</f>
        <v>41.42075</v>
      </c>
      <c r="K188" s="197">
        <f>K187/Parametros!$B$37</f>
        <v>41.42075</v>
      </c>
      <c r="L188" s="197">
        <f>L187/Parametros!$B$37</f>
        <v>40.2375</v>
      </c>
      <c r="M188" s="197">
        <f>M187/Parametros!$B$37</f>
        <v>39.05425</v>
      </c>
      <c r="N188" s="197">
        <f>N187/Parametros!$B$37</f>
        <v>62.0135</v>
      </c>
      <c r="O188" s="5"/>
      <c r="P188" s="5"/>
      <c r="Q188" s="5"/>
      <c r="R188" s="5"/>
      <c r="S188" s="5"/>
      <c r="T188" s="5"/>
      <c r="U188" s="5"/>
      <c r="V188" s="5"/>
      <c r="W188" s="5"/>
      <c r="X188" s="5"/>
      <c r="Y188" s="5"/>
      <c r="Z188" s="5"/>
    </row>
    <row r="189" ht="12.0" customHeight="1">
      <c r="A189" s="185"/>
      <c r="B189" s="195" t="s">
        <v>635</v>
      </c>
      <c r="C189" s="197">
        <f>C188/Parametros!$J$37</f>
        <v>7.952933333</v>
      </c>
      <c r="D189" s="197">
        <f>D188/Parametros!$J$37</f>
        <v>6.122466667</v>
      </c>
      <c r="E189" s="197">
        <f>E188/Parametros!$J$37</f>
        <v>5.880433333</v>
      </c>
      <c r="F189" s="197">
        <f>F188/Parametros!$J$37</f>
        <v>5.680533333</v>
      </c>
      <c r="G189" s="197">
        <f>G188/Parametros!$J$37</f>
        <v>5.322866667</v>
      </c>
      <c r="H189" s="197">
        <f>H188/Parametros!$J$37</f>
        <v>5.1651</v>
      </c>
      <c r="I189" s="197">
        <f>I188/Parametros!$J$37</f>
        <v>5.522766667</v>
      </c>
      <c r="J189" s="197">
        <f>J188/Parametros!$J$37</f>
        <v>5.522766667</v>
      </c>
      <c r="K189" s="197">
        <f>K188/Parametros!$J$37</f>
        <v>5.522766667</v>
      </c>
      <c r="L189" s="197">
        <f>L188/Parametros!$J$37</f>
        <v>5.365</v>
      </c>
      <c r="M189" s="197">
        <f>M188/Parametros!$J$37</f>
        <v>5.207233333</v>
      </c>
      <c r="N189" s="197">
        <f>N188/Parametros!$J$37</f>
        <v>8.268466667</v>
      </c>
      <c r="O189" s="5"/>
      <c r="P189" s="5"/>
      <c r="Q189" s="5"/>
      <c r="R189" s="5"/>
      <c r="S189" s="5"/>
      <c r="T189" s="5"/>
      <c r="U189" s="5"/>
      <c r="V189" s="5"/>
      <c r="W189" s="5"/>
      <c r="X189" s="5"/>
      <c r="Y189" s="5"/>
      <c r="Z189" s="5"/>
    </row>
    <row r="190" ht="12.0" customHeight="1">
      <c r="A190" s="198" t="s">
        <v>636</v>
      </c>
      <c r="B190" s="4"/>
      <c r="C190" s="197">
        <f t="shared" ref="C190:N190" si="55">C189</f>
        <v>7.952933333</v>
      </c>
      <c r="D190" s="197">
        <f t="shared" si="55"/>
        <v>6.122466667</v>
      </c>
      <c r="E190" s="197">
        <f t="shared" si="55"/>
        <v>5.880433333</v>
      </c>
      <c r="F190" s="197">
        <f t="shared" si="55"/>
        <v>5.680533333</v>
      </c>
      <c r="G190" s="197">
        <f t="shared" si="55"/>
        <v>5.322866667</v>
      </c>
      <c r="H190" s="197">
        <f t="shared" si="55"/>
        <v>5.1651</v>
      </c>
      <c r="I190" s="197">
        <f t="shared" si="55"/>
        <v>5.522766667</v>
      </c>
      <c r="J190" s="197">
        <f t="shared" si="55"/>
        <v>5.522766667</v>
      </c>
      <c r="K190" s="197">
        <f t="shared" si="55"/>
        <v>5.522766667</v>
      </c>
      <c r="L190" s="197">
        <f t="shared" si="55"/>
        <v>5.365</v>
      </c>
      <c r="M190" s="197">
        <f t="shared" si="55"/>
        <v>5.207233333</v>
      </c>
      <c r="N190" s="197">
        <f t="shared" si="55"/>
        <v>8.268466667</v>
      </c>
      <c r="O190" s="5"/>
      <c r="P190" s="5"/>
      <c r="Q190" s="5"/>
      <c r="R190" s="5"/>
      <c r="S190" s="5"/>
      <c r="T190" s="5"/>
      <c r="U190" s="5"/>
      <c r="V190" s="5"/>
      <c r="W190" s="5"/>
      <c r="X190" s="5"/>
      <c r="Y190" s="5"/>
      <c r="Z190" s="5"/>
    </row>
    <row r="191" ht="12.0" customHeight="1">
      <c r="A191" s="198" t="s">
        <v>637</v>
      </c>
      <c r="B191" s="4"/>
      <c r="C191" s="199">
        <f>'Resumen Capacidad'!$C$111</f>
        <v>68</v>
      </c>
      <c r="D191" s="199">
        <f>'Resumen Capacidad'!$C$111</f>
        <v>68</v>
      </c>
      <c r="E191" s="199">
        <f>'Resumen Capacidad'!$C$111</f>
        <v>68</v>
      </c>
      <c r="F191" s="199">
        <f>'Resumen Capacidad'!$C$111</f>
        <v>68</v>
      </c>
      <c r="G191" s="199">
        <f>'Resumen Capacidad'!$C$111</f>
        <v>68</v>
      </c>
      <c r="H191" s="199">
        <f>'Resumen Capacidad'!$C$111</f>
        <v>68</v>
      </c>
      <c r="I191" s="199">
        <f>'Resumen Capacidad'!$C$111</f>
        <v>68</v>
      </c>
      <c r="J191" s="199">
        <f>'Resumen Capacidad'!$C$111</f>
        <v>68</v>
      </c>
      <c r="K191" s="199">
        <f>'Resumen Capacidad'!$C$111</f>
        <v>68</v>
      </c>
      <c r="L191" s="199">
        <f>'Resumen Capacidad'!$C$111</f>
        <v>68</v>
      </c>
      <c r="M191" s="199">
        <f>'Resumen Capacidad'!$C$111</f>
        <v>68</v>
      </c>
      <c r="N191" s="199">
        <f>'Resumen Capacidad'!$C$111</f>
        <v>68</v>
      </c>
      <c r="O191" s="5"/>
      <c r="P191" s="5"/>
      <c r="Q191" s="5"/>
      <c r="R191" s="5"/>
      <c r="S191" s="5"/>
      <c r="T191" s="5"/>
      <c r="U191" s="5"/>
      <c r="V191" s="5"/>
      <c r="W191" s="5"/>
      <c r="X191" s="5"/>
      <c r="Y191" s="5"/>
      <c r="Z191" s="5"/>
    </row>
    <row r="192" ht="12.0" customHeight="1">
      <c r="A192" s="198" t="s">
        <v>640</v>
      </c>
      <c r="B192" s="4"/>
      <c r="C192" s="197">
        <f>'Resumen Capacidad'!$C$29*'Resumen Capacidad'!$C$65</f>
        <v>1</v>
      </c>
      <c r="D192" s="197">
        <f>'Resumen Capacidad'!$C$29*'Resumen Capacidad'!$C$65</f>
        <v>1</v>
      </c>
      <c r="E192" s="197">
        <f>'Resumen Capacidad'!$C$29*'Resumen Capacidad'!$C$65</f>
        <v>1</v>
      </c>
      <c r="F192" s="197">
        <f>'Resumen Capacidad'!$C$29*'Resumen Capacidad'!$C$65</f>
        <v>1</v>
      </c>
      <c r="G192" s="197">
        <f>'Resumen Capacidad'!$C$29*'Resumen Capacidad'!$C$65</f>
        <v>1</v>
      </c>
      <c r="H192" s="197">
        <f>'Resumen Capacidad'!$C$29*'Resumen Capacidad'!$C$65</f>
        <v>1</v>
      </c>
      <c r="I192" s="197">
        <f>'Resumen Capacidad'!$C$29*'Resumen Capacidad'!$C$65</f>
        <v>1</v>
      </c>
      <c r="J192" s="197">
        <f>'Resumen Capacidad'!$C$29*'Resumen Capacidad'!$C$65</f>
        <v>1</v>
      </c>
      <c r="K192" s="197">
        <f>'Resumen Capacidad'!$C$29*'Resumen Capacidad'!$C$65</f>
        <v>1</v>
      </c>
      <c r="L192" s="197">
        <f>'Resumen Capacidad'!$C$29*'Resumen Capacidad'!$C$65</f>
        <v>1</v>
      </c>
      <c r="M192" s="197">
        <f>'Resumen Capacidad'!$C$29*'Resumen Capacidad'!$C$65</f>
        <v>1</v>
      </c>
      <c r="N192" s="197">
        <f>'Resumen Capacidad'!$C$29*'Resumen Capacidad'!$C$65</f>
        <v>1</v>
      </c>
      <c r="O192" s="5"/>
      <c r="P192" s="5"/>
      <c r="Q192" s="5"/>
      <c r="R192" s="5"/>
      <c r="S192" s="5"/>
      <c r="T192" s="5"/>
      <c r="U192" s="5"/>
      <c r="V192" s="5"/>
      <c r="W192" s="5"/>
      <c r="X192" s="5"/>
      <c r="Y192" s="5"/>
      <c r="Z192" s="5"/>
    </row>
    <row r="193" ht="12.0" customHeight="1">
      <c r="A193" s="198" t="s">
        <v>642</v>
      </c>
      <c r="B193" s="4"/>
      <c r="C193" s="197">
        <f t="shared" ref="C193:N193" si="56">C191*C192</f>
        <v>68</v>
      </c>
      <c r="D193" s="197">
        <f t="shared" si="56"/>
        <v>68</v>
      </c>
      <c r="E193" s="197">
        <f t="shared" si="56"/>
        <v>68</v>
      </c>
      <c r="F193" s="197">
        <f t="shared" si="56"/>
        <v>68</v>
      </c>
      <c r="G193" s="197">
        <f t="shared" si="56"/>
        <v>68</v>
      </c>
      <c r="H193" s="197">
        <f t="shared" si="56"/>
        <v>68</v>
      </c>
      <c r="I193" s="197">
        <f t="shared" si="56"/>
        <v>68</v>
      </c>
      <c r="J193" s="197">
        <f t="shared" si="56"/>
        <v>68</v>
      </c>
      <c r="K193" s="197">
        <f t="shared" si="56"/>
        <v>68</v>
      </c>
      <c r="L193" s="197">
        <f t="shared" si="56"/>
        <v>68</v>
      </c>
      <c r="M193" s="197">
        <f t="shared" si="56"/>
        <v>68</v>
      </c>
      <c r="N193" s="197">
        <f t="shared" si="56"/>
        <v>68</v>
      </c>
      <c r="O193" s="5"/>
      <c r="P193" s="5"/>
      <c r="Q193" s="5"/>
      <c r="R193" s="5"/>
      <c r="S193" s="5"/>
      <c r="T193" s="5"/>
      <c r="U193" s="5"/>
      <c r="V193" s="5"/>
      <c r="W193" s="5"/>
      <c r="X193" s="5"/>
      <c r="Y193" s="5"/>
      <c r="Z193" s="5"/>
    </row>
    <row r="194" ht="12.0" customHeight="1">
      <c r="A194" s="198" t="s">
        <v>643</v>
      </c>
      <c r="B194" s="4"/>
      <c r="C194" s="200">
        <f t="shared" ref="C194:N194" si="57">IF(C193=0,0,C190/C193)</f>
        <v>0.116954902</v>
      </c>
      <c r="D194" s="200">
        <f t="shared" si="57"/>
        <v>0.09003627451</v>
      </c>
      <c r="E194" s="200">
        <f t="shared" si="57"/>
        <v>0.08647696078</v>
      </c>
      <c r="F194" s="200">
        <f t="shared" si="57"/>
        <v>0.0835372549</v>
      </c>
      <c r="G194" s="200">
        <f t="shared" si="57"/>
        <v>0.07827745098</v>
      </c>
      <c r="H194" s="200">
        <f t="shared" si="57"/>
        <v>0.07595735294</v>
      </c>
      <c r="I194" s="200">
        <f t="shared" si="57"/>
        <v>0.08121715686</v>
      </c>
      <c r="J194" s="200">
        <f t="shared" si="57"/>
        <v>0.08121715686</v>
      </c>
      <c r="K194" s="200">
        <f t="shared" si="57"/>
        <v>0.08121715686</v>
      </c>
      <c r="L194" s="200">
        <f t="shared" si="57"/>
        <v>0.07889705882</v>
      </c>
      <c r="M194" s="200">
        <f t="shared" si="57"/>
        <v>0.07657696078</v>
      </c>
      <c r="N194" s="200">
        <f t="shared" si="57"/>
        <v>0.121595098</v>
      </c>
      <c r="O194" s="5"/>
      <c r="P194" s="5"/>
      <c r="Q194" s="5"/>
      <c r="R194" s="5"/>
      <c r="S194" s="5"/>
      <c r="T194" s="5"/>
      <c r="U194" s="5"/>
      <c r="V194" s="5"/>
      <c r="W194" s="5"/>
      <c r="X194" s="5"/>
      <c r="Y194" s="5"/>
      <c r="Z194" s="5"/>
    </row>
    <row r="195" ht="12.0" customHeight="1">
      <c r="A195" s="192" t="s">
        <v>644</v>
      </c>
      <c r="B195" s="8"/>
      <c r="C195" s="8"/>
      <c r="D195" s="8"/>
      <c r="E195" s="8"/>
      <c r="F195" s="8"/>
      <c r="G195" s="8"/>
      <c r="H195" s="8"/>
      <c r="I195" s="8"/>
      <c r="J195" s="8"/>
      <c r="K195" s="8"/>
      <c r="L195" s="8"/>
      <c r="M195" s="8"/>
      <c r="N195" s="9"/>
      <c r="O195" s="5"/>
      <c r="P195" s="5"/>
      <c r="Q195" s="5"/>
      <c r="R195" s="5"/>
      <c r="S195" s="5"/>
      <c r="T195" s="5"/>
      <c r="U195" s="5"/>
      <c r="V195" s="5"/>
      <c r="W195" s="5"/>
      <c r="X195" s="5"/>
      <c r="Y195" s="5"/>
      <c r="Z195" s="5"/>
    </row>
    <row r="196" ht="12.0" customHeight="1">
      <c r="A196" s="193" t="s">
        <v>630</v>
      </c>
      <c r="B196" s="193" t="s">
        <v>631</v>
      </c>
      <c r="C196" s="193" t="s">
        <v>3</v>
      </c>
      <c r="D196" s="193" t="s">
        <v>4</v>
      </c>
      <c r="E196" s="193" t="s">
        <v>5</v>
      </c>
      <c r="F196" s="193" t="s">
        <v>6</v>
      </c>
      <c r="G196" s="193" t="s">
        <v>7</v>
      </c>
      <c r="H196" s="193" t="s">
        <v>8</v>
      </c>
      <c r="I196" s="193" t="s">
        <v>9</v>
      </c>
      <c r="J196" s="193" t="s">
        <v>10</v>
      </c>
      <c r="K196" s="193" t="s">
        <v>11</v>
      </c>
      <c r="L196" s="193" t="s">
        <v>12</v>
      </c>
      <c r="M196" s="193" t="s">
        <v>13</v>
      </c>
      <c r="N196" s="193" t="s">
        <v>14</v>
      </c>
      <c r="O196" s="5"/>
      <c r="P196" s="5"/>
      <c r="Q196" s="5"/>
      <c r="R196" s="5"/>
      <c r="S196" s="5"/>
      <c r="T196" s="5"/>
      <c r="U196" s="5"/>
      <c r="V196" s="5"/>
      <c r="W196" s="5"/>
      <c r="X196" s="5"/>
      <c r="Y196" s="5"/>
      <c r="Z196" s="5"/>
    </row>
    <row r="197" ht="12.0" customHeight="1">
      <c r="A197" s="194" t="s">
        <v>632</v>
      </c>
      <c r="B197" s="195" t="s">
        <v>633</v>
      </c>
      <c r="C197" s="196">
        <f>SUM('2027'!B6:B9)+SUM('2027'!B17:B20)</f>
        <v>1192.94</v>
      </c>
      <c r="D197" s="196">
        <f>SUM('2027'!C6:C9)+SUM('2027'!C17:C20)</f>
        <v>918.37</v>
      </c>
      <c r="E197" s="196">
        <f>SUM('2027'!D6:D9)+SUM('2027'!D17:D20)</f>
        <v>882.065</v>
      </c>
      <c r="F197" s="196">
        <f>SUM('2027'!E6:E9)+SUM('2027'!E17:E20)</f>
        <v>852.08</v>
      </c>
      <c r="G197" s="196">
        <f>SUM('2027'!F6:F9)+SUM('2027'!F17:F20)</f>
        <v>798.43</v>
      </c>
      <c r="H197" s="196">
        <f>SUM('2027'!G6:G9)+SUM('2027'!G17:G20)</f>
        <v>774.765</v>
      </c>
      <c r="I197" s="196">
        <f>SUM('2027'!H6:H9)+SUM('2027'!H17:H20)</f>
        <v>828.415</v>
      </c>
      <c r="J197" s="196">
        <f>SUM('2027'!I6:I9)+SUM('2027'!I17:I20)</f>
        <v>828.415</v>
      </c>
      <c r="K197" s="196">
        <f>SUM('2027'!J6:J9)+SUM('2027'!J17:J20)</f>
        <v>828.415</v>
      </c>
      <c r="L197" s="196">
        <f>SUM('2027'!K6:K9)+SUM('2027'!K17:K20)</f>
        <v>804.75</v>
      </c>
      <c r="M197" s="196">
        <f>SUM('2027'!L6:L9)+SUM('2027'!L17:L20)</f>
        <v>781.085</v>
      </c>
      <c r="N197" s="196">
        <f>SUM('2027'!M6:M9)+SUM('2027'!M17:M20)</f>
        <v>1240.27</v>
      </c>
      <c r="O197" s="5"/>
      <c r="P197" s="5"/>
      <c r="Q197" s="5"/>
      <c r="R197" s="5"/>
      <c r="S197" s="5"/>
      <c r="T197" s="5"/>
      <c r="U197" s="5"/>
      <c r="V197" s="5"/>
      <c r="W197" s="5"/>
      <c r="X197" s="5"/>
      <c r="Y197" s="5"/>
      <c r="Z197" s="5"/>
    </row>
    <row r="198" ht="12.0" customHeight="1">
      <c r="A198" s="183"/>
      <c r="B198" s="195" t="s">
        <v>634</v>
      </c>
      <c r="C198" s="197">
        <f>C197/Parametros!$B$37</f>
        <v>59.647</v>
      </c>
      <c r="D198" s="197">
        <f>D197/Parametros!$B$37</f>
        <v>45.9185</v>
      </c>
      <c r="E198" s="197">
        <f>E197/Parametros!$B$37</f>
        <v>44.10325</v>
      </c>
      <c r="F198" s="197">
        <f>F197/Parametros!$B$37</f>
        <v>42.604</v>
      </c>
      <c r="G198" s="197">
        <f>G197/Parametros!$B$37</f>
        <v>39.9215</v>
      </c>
      <c r="H198" s="197">
        <f>H197/Parametros!$B$37</f>
        <v>38.73825</v>
      </c>
      <c r="I198" s="197">
        <f>I197/Parametros!$B$37</f>
        <v>41.42075</v>
      </c>
      <c r="J198" s="197">
        <f>J197/Parametros!$B$37</f>
        <v>41.42075</v>
      </c>
      <c r="K198" s="197">
        <f>K197/Parametros!$B$37</f>
        <v>41.42075</v>
      </c>
      <c r="L198" s="197">
        <f>L197/Parametros!$B$37</f>
        <v>40.2375</v>
      </c>
      <c r="M198" s="197">
        <f>M197/Parametros!$B$37</f>
        <v>39.05425</v>
      </c>
      <c r="N198" s="197">
        <f>N197/Parametros!$B$37</f>
        <v>62.0135</v>
      </c>
      <c r="O198" s="5"/>
      <c r="P198" s="5"/>
      <c r="Q198" s="5"/>
      <c r="R198" s="5"/>
      <c r="S198" s="5"/>
      <c r="T198" s="5"/>
      <c r="U198" s="5"/>
      <c r="V198" s="5"/>
      <c r="W198" s="5"/>
      <c r="X198" s="5"/>
      <c r="Y198" s="5"/>
      <c r="Z198" s="5"/>
    </row>
    <row r="199" ht="12.0" customHeight="1">
      <c r="A199" s="185"/>
      <c r="B199" s="195" t="s">
        <v>635</v>
      </c>
      <c r="C199" s="197">
        <f>C198/Parametros!$J$37</f>
        <v>7.952933333</v>
      </c>
      <c r="D199" s="197">
        <f>D198/Parametros!$J$37</f>
        <v>6.122466667</v>
      </c>
      <c r="E199" s="197">
        <f>E198/Parametros!$J$37</f>
        <v>5.880433333</v>
      </c>
      <c r="F199" s="197">
        <f>F198/Parametros!$J$37</f>
        <v>5.680533333</v>
      </c>
      <c r="G199" s="197">
        <f>G198/Parametros!$J$37</f>
        <v>5.322866667</v>
      </c>
      <c r="H199" s="197">
        <f>H198/Parametros!$J$37</f>
        <v>5.1651</v>
      </c>
      <c r="I199" s="197">
        <f>I198/Parametros!$J$37</f>
        <v>5.522766667</v>
      </c>
      <c r="J199" s="197">
        <f>J198/Parametros!$J$37</f>
        <v>5.522766667</v>
      </c>
      <c r="K199" s="197">
        <f>K198/Parametros!$J$37</f>
        <v>5.522766667</v>
      </c>
      <c r="L199" s="197">
        <f>L198/Parametros!$J$37</f>
        <v>5.365</v>
      </c>
      <c r="M199" s="197">
        <f>M198/Parametros!$J$37</f>
        <v>5.207233333</v>
      </c>
      <c r="N199" s="197">
        <f>N198/Parametros!$J$37</f>
        <v>8.268466667</v>
      </c>
      <c r="O199" s="5"/>
      <c r="P199" s="5"/>
      <c r="Q199" s="5"/>
      <c r="R199" s="5"/>
      <c r="S199" s="5"/>
      <c r="T199" s="5"/>
      <c r="U199" s="5"/>
      <c r="V199" s="5"/>
      <c r="W199" s="5"/>
      <c r="X199" s="5"/>
      <c r="Y199" s="5"/>
      <c r="Z199" s="5"/>
    </row>
    <row r="200" ht="12.0" customHeight="1">
      <c r="A200" s="195" t="s">
        <v>636</v>
      </c>
      <c r="B200" s="12"/>
      <c r="C200" s="197">
        <f t="shared" ref="C200:N200" si="58">C199</f>
        <v>7.952933333</v>
      </c>
      <c r="D200" s="197">
        <f t="shared" si="58"/>
        <v>6.122466667</v>
      </c>
      <c r="E200" s="197">
        <f t="shared" si="58"/>
        <v>5.880433333</v>
      </c>
      <c r="F200" s="197">
        <f t="shared" si="58"/>
        <v>5.680533333</v>
      </c>
      <c r="G200" s="197">
        <f t="shared" si="58"/>
        <v>5.322866667</v>
      </c>
      <c r="H200" s="197">
        <f t="shared" si="58"/>
        <v>5.1651</v>
      </c>
      <c r="I200" s="197">
        <f t="shared" si="58"/>
        <v>5.522766667</v>
      </c>
      <c r="J200" s="197">
        <f t="shared" si="58"/>
        <v>5.522766667</v>
      </c>
      <c r="K200" s="197">
        <f t="shared" si="58"/>
        <v>5.522766667</v>
      </c>
      <c r="L200" s="197">
        <f t="shared" si="58"/>
        <v>5.365</v>
      </c>
      <c r="M200" s="197">
        <f t="shared" si="58"/>
        <v>5.207233333</v>
      </c>
      <c r="N200" s="197">
        <f t="shared" si="58"/>
        <v>8.268466667</v>
      </c>
      <c r="O200" s="5"/>
      <c r="P200" s="5"/>
      <c r="Q200" s="5"/>
      <c r="R200" s="5"/>
      <c r="S200" s="5"/>
      <c r="T200" s="5"/>
      <c r="U200" s="5"/>
      <c r="V200" s="5"/>
      <c r="W200" s="5"/>
      <c r="X200" s="5"/>
      <c r="Y200" s="5"/>
      <c r="Z200" s="5"/>
    </row>
    <row r="201" ht="12.0" customHeight="1">
      <c r="A201" s="195" t="s">
        <v>637</v>
      </c>
      <c r="B201" s="12"/>
      <c r="C201" s="199">
        <f>'Resumen Capacidad'!$C$112</f>
        <v>40.88</v>
      </c>
      <c r="D201" s="199">
        <f>'Resumen Capacidad'!$C$112</f>
        <v>40.88</v>
      </c>
      <c r="E201" s="199">
        <f>'Resumen Capacidad'!$C$112</f>
        <v>40.88</v>
      </c>
      <c r="F201" s="199">
        <f>'Resumen Capacidad'!$C$112</f>
        <v>40.88</v>
      </c>
      <c r="G201" s="199">
        <f>'Resumen Capacidad'!$C$112</f>
        <v>40.88</v>
      </c>
      <c r="H201" s="199">
        <f>'Resumen Capacidad'!$C$112</f>
        <v>40.88</v>
      </c>
      <c r="I201" s="199">
        <f>'Resumen Capacidad'!$C$112</f>
        <v>40.88</v>
      </c>
      <c r="J201" s="199">
        <f>'Resumen Capacidad'!$C$112</f>
        <v>40.88</v>
      </c>
      <c r="K201" s="199">
        <f>'Resumen Capacidad'!$C$112</f>
        <v>40.88</v>
      </c>
      <c r="L201" s="199">
        <f>'Resumen Capacidad'!$C$112</f>
        <v>40.88</v>
      </c>
      <c r="M201" s="199">
        <f>'Resumen Capacidad'!$C$112</f>
        <v>40.88</v>
      </c>
      <c r="N201" s="199">
        <f>'Resumen Capacidad'!$C$112</f>
        <v>40.88</v>
      </c>
      <c r="O201" s="5"/>
      <c r="P201" s="5"/>
      <c r="Q201" s="5"/>
      <c r="R201" s="5"/>
      <c r="S201" s="5"/>
      <c r="T201" s="5"/>
      <c r="U201" s="5"/>
      <c r="V201" s="5"/>
      <c r="W201" s="5"/>
      <c r="X201" s="5"/>
      <c r="Y201" s="5"/>
      <c r="Z201" s="5"/>
    </row>
    <row r="202" ht="12.0" customHeight="1">
      <c r="A202" s="195" t="s">
        <v>640</v>
      </c>
      <c r="B202" s="12"/>
      <c r="C202" s="197">
        <f>'Resumen Capacidad'!$C$30*'Resumen Capacidad'!$C$66</f>
        <v>1</v>
      </c>
      <c r="D202" s="197">
        <f>'Resumen Capacidad'!$C$30*'Resumen Capacidad'!$C$66</f>
        <v>1</v>
      </c>
      <c r="E202" s="197">
        <f>'Resumen Capacidad'!$C$30*'Resumen Capacidad'!$C$66</f>
        <v>1</v>
      </c>
      <c r="F202" s="197">
        <f>'Resumen Capacidad'!$C$30*'Resumen Capacidad'!$C$66</f>
        <v>1</v>
      </c>
      <c r="G202" s="197">
        <f>'Resumen Capacidad'!$C$30*'Resumen Capacidad'!$C$66</f>
        <v>1</v>
      </c>
      <c r="H202" s="197">
        <f>'Resumen Capacidad'!$C$30*'Resumen Capacidad'!$C$66</f>
        <v>1</v>
      </c>
      <c r="I202" s="197">
        <f>'Resumen Capacidad'!$C$30*'Resumen Capacidad'!$C$66</f>
        <v>1</v>
      </c>
      <c r="J202" s="197">
        <f>'Resumen Capacidad'!$C$30*'Resumen Capacidad'!$C$66</f>
        <v>1</v>
      </c>
      <c r="K202" s="197">
        <f>'Resumen Capacidad'!$C$30*'Resumen Capacidad'!$C$66</f>
        <v>1</v>
      </c>
      <c r="L202" s="197">
        <f>'Resumen Capacidad'!$C$30*'Resumen Capacidad'!$C$66</f>
        <v>1</v>
      </c>
      <c r="M202" s="197">
        <f>'Resumen Capacidad'!$C$30*'Resumen Capacidad'!$C$66</f>
        <v>1</v>
      </c>
      <c r="N202" s="197">
        <f>'Resumen Capacidad'!$C$30*'Resumen Capacidad'!$C$66</f>
        <v>1</v>
      </c>
      <c r="O202" s="5"/>
      <c r="P202" s="5"/>
      <c r="Q202" s="5"/>
      <c r="R202" s="5"/>
      <c r="S202" s="5"/>
      <c r="T202" s="5"/>
      <c r="U202" s="5"/>
      <c r="V202" s="5"/>
      <c r="W202" s="5"/>
      <c r="X202" s="5"/>
      <c r="Y202" s="5"/>
      <c r="Z202" s="5"/>
    </row>
    <row r="203" ht="12.0" customHeight="1">
      <c r="A203" s="195" t="s">
        <v>642</v>
      </c>
      <c r="B203" s="12"/>
      <c r="C203" s="197">
        <f t="shared" ref="C203:N203" si="59">C201*C202</f>
        <v>40.88</v>
      </c>
      <c r="D203" s="197">
        <f t="shared" si="59"/>
        <v>40.88</v>
      </c>
      <c r="E203" s="197">
        <f t="shared" si="59"/>
        <v>40.88</v>
      </c>
      <c r="F203" s="197">
        <f t="shared" si="59"/>
        <v>40.88</v>
      </c>
      <c r="G203" s="197">
        <f t="shared" si="59"/>
        <v>40.88</v>
      </c>
      <c r="H203" s="197">
        <f t="shared" si="59"/>
        <v>40.88</v>
      </c>
      <c r="I203" s="197">
        <f t="shared" si="59"/>
        <v>40.88</v>
      </c>
      <c r="J203" s="197">
        <f t="shared" si="59"/>
        <v>40.88</v>
      </c>
      <c r="K203" s="197">
        <f t="shared" si="59"/>
        <v>40.88</v>
      </c>
      <c r="L203" s="197">
        <f t="shared" si="59"/>
        <v>40.88</v>
      </c>
      <c r="M203" s="197">
        <f t="shared" si="59"/>
        <v>40.88</v>
      </c>
      <c r="N203" s="197">
        <f t="shared" si="59"/>
        <v>40.88</v>
      </c>
      <c r="O203" s="5"/>
      <c r="P203" s="5"/>
      <c r="Q203" s="5"/>
      <c r="R203" s="5"/>
      <c r="S203" s="5"/>
      <c r="T203" s="5"/>
      <c r="U203" s="5"/>
      <c r="V203" s="5"/>
      <c r="W203" s="5"/>
      <c r="X203" s="5"/>
      <c r="Y203" s="5"/>
      <c r="Z203" s="5"/>
    </row>
    <row r="204" ht="12.0" customHeight="1">
      <c r="A204" s="195" t="s">
        <v>643</v>
      </c>
      <c r="B204" s="12"/>
      <c r="C204" s="200">
        <f t="shared" ref="C204:N204" si="60">IF(C203=0,0,C200/C203)</f>
        <v>0.194543379</v>
      </c>
      <c r="D204" s="200">
        <f t="shared" si="60"/>
        <v>0.1497667971</v>
      </c>
      <c r="E204" s="200">
        <f t="shared" si="60"/>
        <v>0.1438462166</v>
      </c>
      <c r="F204" s="200">
        <f t="shared" si="60"/>
        <v>0.1389562948</v>
      </c>
      <c r="G204" s="200">
        <f t="shared" si="60"/>
        <v>0.1302071102</v>
      </c>
      <c r="H204" s="200">
        <f t="shared" si="60"/>
        <v>0.1263478474</v>
      </c>
      <c r="I204" s="200">
        <f t="shared" si="60"/>
        <v>0.135097032</v>
      </c>
      <c r="J204" s="200">
        <f t="shared" si="60"/>
        <v>0.135097032</v>
      </c>
      <c r="K204" s="200">
        <f t="shared" si="60"/>
        <v>0.135097032</v>
      </c>
      <c r="L204" s="200">
        <f t="shared" si="60"/>
        <v>0.1312377691</v>
      </c>
      <c r="M204" s="200">
        <f t="shared" si="60"/>
        <v>0.1273785062</v>
      </c>
      <c r="N204" s="200">
        <f t="shared" si="60"/>
        <v>0.2022619048</v>
      </c>
      <c r="O204" s="5"/>
      <c r="P204" s="5"/>
      <c r="Q204" s="5"/>
      <c r="R204" s="5"/>
      <c r="S204" s="5"/>
      <c r="T204" s="5"/>
      <c r="U204" s="5"/>
      <c r="V204" s="5"/>
      <c r="W204" s="5"/>
      <c r="X204" s="5"/>
      <c r="Y204" s="5"/>
      <c r="Z204" s="5"/>
    </row>
    <row r="205" ht="12.0" customHeight="1">
      <c r="A205" s="192" t="s">
        <v>646</v>
      </c>
      <c r="B205" s="8"/>
      <c r="C205" s="8"/>
      <c r="D205" s="8"/>
      <c r="E205" s="8"/>
      <c r="F205" s="8"/>
      <c r="G205" s="8"/>
      <c r="H205" s="8"/>
      <c r="I205" s="8"/>
      <c r="J205" s="8"/>
      <c r="K205" s="8"/>
      <c r="L205" s="8"/>
      <c r="M205" s="8"/>
      <c r="N205" s="9"/>
      <c r="O205" s="5"/>
      <c r="P205" s="5"/>
      <c r="Q205" s="5"/>
      <c r="R205" s="5"/>
      <c r="S205" s="5"/>
      <c r="T205" s="5"/>
      <c r="U205" s="5"/>
      <c r="V205" s="5"/>
      <c r="W205" s="5"/>
      <c r="X205" s="5"/>
      <c r="Y205" s="5"/>
      <c r="Z205" s="5"/>
    </row>
    <row r="206" ht="12.0" customHeight="1">
      <c r="A206" s="193" t="s">
        <v>630</v>
      </c>
      <c r="B206" s="193" t="s">
        <v>631</v>
      </c>
      <c r="C206" s="193" t="s">
        <v>3</v>
      </c>
      <c r="D206" s="193" t="s">
        <v>4</v>
      </c>
      <c r="E206" s="193" t="s">
        <v>5</v>
      </c>
      <c r="F206" s="193" t="s">
        <v>6</v>
      </c>
      <c r="G206" s="193" t="s">
        <v>7</v>
      </c>
      <c r="H206" s="193" t="s">
        <v>8</v>
      </c>
      <c r="I206" s="193" t="s">
        <v>9</v>
      </c>
      <c r="J206" s="193" t="s">
        <v>10</v>
      </c>
      <c r="K206" s="193" t="s">
        <v>11</v>
      </c>
      <c r="L206" s="193" t="s">
        <v>12</v>
      </c>
      <c r="M206" s="193" t="s">
        <v>13</v>
      </c>
      <c r="N206" s="193" t="s">
        <v>14</v>
      </c>
      <c r="O206" s="5"/>
      <c r="P206" s="5"/>
      <c r="Q206" s="5"/>
      <c r="R206" s="5"/>
      <c r="S206" s="5"/>
      <c r="T206" s="5"/>
      <c r="U206" s="5"/>
      <c r="V206" s="5"/>
      <c r="W206" s="5"/>
      <c r="X206" s="5"/>
      <c r="Y206" s="5"/>
      <c r="Z206" s="5"/>
    </row>
    <row r="207" ht="12.0" customHeight="1">
      <c r="A207" s="194" t="s">
        <v>647</v>
      </c>
      <c r="B207" s="195" t="s">
        <v>633</v>
      </c>
      <c r="C207" s="196">
        <f>(SUM('2027'!B6:B9)+SUM('2027'!B17:B20))*2</f>
        <v>2385.88</v>
      </c>
      <c r="D207" s="196">
        <f>(SUM('2027'!C6:C9)+SUM('2027'!C17:C20))*2</f>
        <v>1836.74</v>
      </c>
      <c r="E207" s="196">
        <f>(SUM('2027'!D6:D9)+SUM('2027'!D17:D20))*2</f>
        <v>1764.13</v>
      </c>
      <c r="F207" s="196">
        <f>(SUM('2027'!E6:E9)+SUM('2027'!E17:E20))*2</f>
        <v>1704.16</v>
      </c>
      <c r="G207" s="196">
        <f>(SUM('2027'!F6:F9)+SUM('2027'!F17:F20))*2</f>
        <v>1596.86</v>
      </c>
      <c r="H207" s="196">
        <f>(SUM('2027'!G6:G9)+SUM('2027'!G17:G20))*2</f>
        <v>1549.53</v>
      </c>
      <c r="I207" s="196">
        <f>(SUM('2027'!H6:H9)+SUM('2027'!H17:H20))*2</f>
        <v>1656.83</v>
      </c>
      <c r="J207" s="196">
        <f>(SUM('2027'!I6:I9)+SUM('2027'!I17:I20))*2</f>
        <v>1656.83</v>
      </c>
      <c r="K207" s="196">
        <f>(SUM('2027'!J6:J9)+SUM('2027'!J17:J20))*2</f>
        <v>1656.83</v>
      </c>
      <c r="L207" s="196">
        <f>(SUM('2027'!K6:K9)+SUM('2027'!K17:K20))*2</f>
        <v>1609.5</v>
      </c>
      <c r="M207" s="196">
        <f>(SUM('2027'!L6:L9)+SUM('2027'!L17:L20))*2</f>
        <v>1562.17</v>
      </c>
      <c r="N207" s="196">
        <f>(SUM('2027'!M6:M9)+SUM('2027'!M17:M20))*2</f>
        <v>2480.54</v>
      </c>
      <c r="O207" s="5"/>
      <c r="P207" s="5"/>
      <c r="Q207" s="5"/>
      <c r="R207" s="5"/>
      <c r="S207" s="5"/>
      <c r="T207" s="5"/>
      <c r="U207" s="5"/>
      <c r="V207" s="5"/>
      <c r="W207" s="5"/>
      <c r="X207" s="5"/>
      <c r="Y207" s="5"/>
      <c r="Z207" s="5"/>
    </row>
    <row r="208" ht="12.0" customHeight="1">
      <c r="A208" s="183"/>
      <c r="B208" s="195" t="s">
        <v>634</v>
      </c>
      <c r="C208" s="197">
        <f>C207/Parametros!$B$37</f>
        <v>119.294</v>
      </c>
      <c r="D208" s="197">
        <f>D207/Parametros!$B$37</f>
        <v>91.837</v>
      </c>
      <c r="E208" s="197">
        <f>E207/Parametros!$B$37</f>
        <v>88.2065</v>
      </c>
      <c r="F208" s="197">
        <f>F207/Parametros!$B$37</f>
        <v>85.208</v>
      </c>
      <c r="G208" s="197">
        <f>G207/Parametros!$B$37</f>
        <v>79.843</v>
      </c>
      <c r="H208" s="197">
        <f>H207/Parametros!$B$37</f>
        <v>77.4765</v>
      </c>
      <c r="I208" s="197">
        <f>I207/Parametros!$B$37</f>
        <v>82.8415</v>
      </c>
      <c r="J208" s="197">
        <f>J207/Parametros!$B$37</f>
        <v>82.8415</v>
      </c>
      <c r="K208" s="197">
        <f>K207/Parametros!$B$37</f>
        <v>82.8415</v>
      </c>
      <c r="L208" s="197">
        <f>L207/Parametros!$B$37</f>
        <v>80.475</v>
      </c>
      <c r="M208" s="197">
        <f>M207/Parametros!$B$37</f>
        <v>78.1085</v>
      </c>
      <c r="N208" s="197">
        <f>N207/Parametros!$B$37</f>
        <v>124.027</v>
      </c>
      <c r="O208" s="5"/>
      <c r="P208" s="5"/>
      <c r="Q208" s="5"/>
      <c r="R208" s="5"/>
      <c r="S208" s="5"/>
      <c r="T208" s="5"/>
      <c r="U208" s="5"/>
      <c r="V208" s="5"/>
      <c r="W208" s="5"/>
      <c r="X208" s="5"/>
      <c r="Y208" s="5"/>
      <c r="Z208" s="5"/>
    </row>
    <row r="209" ht="12.0" customHeight="1">
      <c r="A209" s="185"/>
      <c r="B209" s="195" t="s">
        <v>635</v>
      </c>
      <c r="C209" s="197">
        <f>C208/Parametros!$J$37</f>
        <v>15.90586667</v>
      </c>
      <c r="D209" s="197">
        <f>D208/Parametros!$J$37</f>
        <v>12.24493333</v>
      </c>
      <c r="E209" s="197">
        <f>E208/Parametros!$J$37</f>
        <v>11.76086667</v>
      </c>
      <c r="F209" s="197">
        <f>F208/Parametros!$J$37</f>
        <v>11.36106667</v>
      </c>
      <c r="G209" s="197">
        <f>G208/Parametros!$J$37</f>
        <v>10.64573333</v>
      </c>
      <c r="H209" s="197">
        <f>H208/Parametros!$J$37</f>
        <v>10.3302</v>
      </c>
      <c r="I209" s="197">
        <f>I208/Parametros!$J$37</f>
        <v>11.04553333</v>
      </c>
      <c r="J209" s="197">
        <f>J208/Parametros!$J$37</f>
        <v>11.04553333</v>
      </c>
      <c r="K209" s="197">
        <f>K208/Parametros!$J$37</f>
        <v>11.04553333</v>
      </c>
      <c r="L209" s="197">
        <f>L208/Parametros!$J$37</f>
        <v>10.73</v>
      </c>
      <c r="M209" s="197">
        <f>M208/Parametros!$J$37</f>
        <v>10.41446667</v>
      </c>
      <c r="N209" s="197">
        <f>N208/Parametros!$J$37</f>
        <v>16.53693333</v>
      </c>
      <c r="O209" s="5"/>
      <c r="P209" s="5"/>
      <c r="Q209" s="5"/>
      <c r="R209" s="5"/>
      <c r="S209" s="5"/>
      <c r="T209" s="5"/>
      <c r="U209" s="5"/>
      <c r="V209" s="5"/>
      <c r="W209" s="5"/>
      <c r="X209" s="5"/>
      <c r="Y209" s="5"/>
      <c r="Z209" s="5"/>
    </row>
    <row r="210" ht="12.0" customHeight="1">
      <c r="A210" s="195" t="s">
        <v>636</v>
      </c>
      <c r="B210" s="12"/>
      <c r="C210" s="197">
        <f t="shared" ref="C210:N210" si="61">C209</f>
        <v>15.90586667</v>
      </c>
      <c r="D210" s="197">
        <f t="shared" si="61"/>
        <v>12.24493333</v>
      </c>
      <c r="E210" s="197">
        <f t="shared" si="61"/>
        <v>11.76086667</v>
      </c>
      <c r="F210" s="197">
        <f t="shared" si="61"/>
        <v>11.36106667</v>
      </c>
      <c r="G210" s="197">
        <f t="shared" si="61"/>
        <v>10.64573333</v>
      </c>
      <c r="H210" s="197">
        <f t="shared" si="61"/>
        <v>10.3302</v>
      </c>
      <c r="I210" s="197">
        <f t="shared" si="61"/>
        <v>11.04553333</v>
      </c>
      <c r="J210" s="197">
        <f t="shared" si="61"/>
        <v>11.04553333</v>
      </c>
      <c r="K210" s="197">
        <f t="shared" si="61"/>
        <v>11.04553333</v>
      </c>
      <c r="L210" s="197">
        <f t="shared" si="61"/>
        <v>10.73</v>
      </c>
      <c r="M210" s="197">
        <f t="shared" si="61"/>
        <v>10.41446667</v>
      </c>
      <c r="N210" s="197">
        <f t="shared" si="61"/>
        <v>16.53693333</v>
      </c>
      <c r="O210" s="5"/>
      <c r="P210" s="5"/>
      <c r="Q210" s="5"/>
      <c r="R210" s="5"/>
      <c r="S210" s="5"/>
      <c r="T210" s="5"/>
      <c r="U210" s="5"/>
      <c r="V210" s="5"/>
      <c r="W210" s="5"/>
      <c r="X210" s="5"/>
      <c r="Y210" s="5"/>
      <c r="Z210" s="5"/>
    </row>
    <row r="211" ht="12.0" customHeight="1">
      <c r="A211" s="195" t="s">
        <v>637</v>
      </c>
      <c r="B211" s="12"/>
      <c r="C211" s="199">
        <f>'Resumen Capacidad'!$C$113</f>
        <v>466.5116279</v>
      </c>
      <c r="D211" s="199">
        <f>'Resumen Capacidad'!$C$113</f>
        <v>466.5116279</v>
      </c>
      <c r="E211" s="199">
        <f>'Resumen Capacidad'!$C$113</f>
        <v>466.5116279</v>
      </c>
      <c r="F211" s="199">
        <f>'Resumen Capacidad'!$C$113</f>
        <v>466.5116279</v>
      </c>
      <c r="G211" s="199">
        <f>'Resumen Capacidad'!$C$113</f>
        <v>466.5116279</v>
      </c>
      <c r="H211" s="199">
        <f>'Resumen Capacidad'!$C$113</f>
        <v>466.5116279</v>
      </c>
      <c r="I211" s="199">
        <f>'Resumen Capacidad'!$C$113</f>
        <v>466.5116279</v>
      </c>
      <c r="J211" s="199">
        <f>'Resumen Capacidad'!$C$113</f>
        <v>466.5116279</v>
      </c>
      <c r="K211" s="199">
        <f>'Resumen Capacidad'!$C$113</f>
        <v>466.5116279</v>
      </c>
      <c r="L211" s="199">
        <f>'Resumen Capacidad'!$C$113</f>
        <v>466.5116279</v>
      </c>
      <c r="M211" s="199">
        <f>'Resumen Capacidad'!$C$113</f>
        <v>466.5116279</v>
      </c>
      <c r="N211" s="199">
        <f>'Resumen Capacidad'!$C$113</f>
        <v>466.5116279</v>
      </c>
      <c r="O211" s="5"/>
      <c r="P211" s="5"/>
      <c r="Q211" s="5"/>
      <c r="R211" s="5"/>
      <c r="S211" s="5"/>
      <c r="T211" s="5"/>
      <c r="U211" s="5"/>
      <c r="V211" s="5"/>
      <c r="W211" s="5"/>
      <c r="X211" s="5"/>
      <c r="Y211" s="5"/>
      <c r="Z211" s="5"/>
    </row>
    <row r="212" ht="12.0" customHeight="1">
      <c r="A212" s="195" t="s">
        <v>640</v>
      </c>
      <c r="B212" s="12"/>
      <c r="C212" s="197">
        <f>'Resumen Capacidad'!$C$31*'Resumen Capacidad'!$C$67</f>
        <v>1</v>
      </c>
      <c r="D212" s="197">
        <f>'Resumen Capacidad'!$C$31*'Resumen Capacidad'!$C$67</f>
        <v>1</v>
      </c>
      <c r="E212" s="197">
        <f>'Resumen Capacidad'!$C$31*'Resumen Capacidad'!$C$67</f>
        <v>1</v>
      </c>
      <c r="F212" s="197">
        <f>'Resumen Capacidad'!$C$31*'Resumen Capacidad'!$C$67</f>
        <v>1</v>
      </c>
      <c r="G212" s="197">
        <f>'Resumen Capacidad'!$C$31*'Resumen Capacidad'!$C$67</f>
        <v>1</v>
      </c>
      <c r="H212" s="197">
        <f>'Resumen Capacidad'!$C$31*'Resumen Capacidad'!$C$67</f>
        <v>1</v>
      </c>
      <c r="I212" s="197">
        <f>'Resumen Capacidad'!$C$31*'Resumen Capacidad'!$C$67</f>
        <v>1</v>
      </c>
      <c r="J212" s="197">
        <f>'Resumen Capacidad'!$C$31*'Resumen Capacidad'!$C$67</f>
        <v>1</v>
      </c>
      <c r="K212" s="197">
        <f>'Resumen Capacidad'!$C$31*'Resumen Capacidad'!$C$67</f>
        <v>1</v>
      </c>
      <c r="L212" s="197">
        <f>'Resumen Capacidad'!$C$31*'Resumen Capacidad'!$C$67</f>
        <v>1</v>
      </c>
      <c r="M212" s="197">
        <f>'Resumen Capacidad'!$C$31*'Resumen Capacidad'!$C$67</f>
        <v>1</v>
      </c>
      <c r="N212" s="197">
        <f>'Resumen Capacidad'!$C$31*'Resumen Capacidad'!$C$67</f>
        <v>1</v>
      </c>
      <c r="O212" s="5"/>
      <c r="P212" s="5"/>
      <c r="Q212" s="5"/>
      <c r="R212" s="5"/>
      <c r="S212" s="5"/>
      <c r="T212" s="5"/>
      <c r="U212" s="5"/>
      <c r="V212" s="5"/>
      <c r="W212" s="5"/>
      <c r="X212" s="5"/>
      <c r="Y212" s="5"/>
      <c r="Z212" s="5"/>
    </row>
    <row r="213" ht="12.0" customHeight="1">
      <c r="A213" s="195" t="s">
        <v>642</v>
      </c>
      <c r="B213" s="12"/>
      <c r="C213" s="197">
        <f t="shared" ref="C213:N213" si="62">C211*C212</f>
        <v>466.5116279</v>
      </c>
      <c r="D213" s="197">
        <f t="shared" si="62"/>
        <v>466.5116279</v>
      </c>
      <c r="E213" s="197">
        <f t="shared" si="62"/>
        <v>466.5116279</v>
      </c>
      <c r="F213" s="197">
        <f t="shared" si="62"/>
        <v>466.5116279</v>
      </c>
      <c r="G213" s="197">
        <f t="shared" si="62"/>
        <v>466.5116279</v>
      </c>
      <c r="H213" s="197">
        <f t="shared" si="62"/>
        <v>466.5116279</v>
      </c>
      <c r="I213" s="197">
        <f t="shared" si="62"/>
        <v>466.5116279</v>
      </c>
      <c r="J213" s="197">
        <f t="shared" si="62"/>
        <v>466.5116279</v>
      </c>
      <c r="K213" s="197">
        <f t="shared" si="62"/>
        <v>466.5116279</v>
      </c>
      <c r="L213" s="197">
        <f t="shared" si="62"/>
        <v>466.5116279</v>
      </c>
      <c r="M213" s="197">
        <f t="shared" si="62"/>
        <v>466.5116279</v>
      </c>
      <c r="N213" s="197">
        <f t="shared" si="62"/>
        <v>466.5116279</v>
      </c>
      <c r="O213" s="5"/>
      <c r="P213" s="5"/>
      <c r="Q213" s="5"/>
      <c r="R213" s="5"/>
      <c r="S213" s="5"/>
      <c r="T213" s="5"/>
      <c r="U213" s="5"/>
      <c r="V213" s="5"/>
      <c r="W213" s="5"/>
      <c r="X213" s="5"/>
      <c r="Y213" s="5"/>
      <c r="Z213" s="5"/>
    </row>
    <row r="214" ht="12.0" customHeight="1">
      <c r="A214" s="195" t="s">
        <v>643</v>
      </c>
      <c r="B214" s="12"/>
      <c r="C214" s="200">
        <f t="shared" ref="C214:N214" si="63">IF(C213=0,0,C210/C213)</f>
        <v>0.03409532735</v>
      </c>
      <c r="D214" s="200">
        <f t="shared" si="63"/>
        <v>0.02624786308</v>
      </c>
      <c r="E214" s="200">
        <f t="shared" si="63"/>
        <v>0.02521023264</v>
      </c>
      <c r="F214" s="200">
        <f t="shared" si="63"/>
        <v>0.02435323363</v>
      </c>
      <c r="G214" s="200">
        <f t="shared" si="63"/>
        <v>0.02281986707</v>
      </c>
      <c r="H214" s="200">
        <f t="shared" si="63"/>
        <v>0.0221434995</v>
      </c>
      <c r="I214" s="200">
        <f t="shared" si="63"/>
        <v>0.02367686607</v>
      </c>
      <c r="J214" s="200">
        <f t="shared" si="63"/>
        <v>0.02367686607</v>
      </c>
      <c r="K214" s="200">
        <f t="shared" si="63"/>
        <v>0.02367686607</v>
      </c>
      <c r="L214" s="200">
        <f t="shared" si="63"/>
        <v>0.0230004985</v>
      </c>
      <c r="M214" s="200">
        <f t="shared" si="63"/>
        <v>0.02232413094</v>
      </c>
      <c r="N214" s="200">
        <f t="shared" si="63"/>
        <v>0.03544806248</v>
      </c>
      <c r="O214" s="5"/>
      <c r="P214" s="5"/>
      <c r="Q214" s="5"/>
      <c r="R214" s="5"/>
      <c r="S214" s="5"/>
      <c r="T214" s="5"/>
      <c r="U214" s="5"/>
      <c r="V214" s="5"/>
      <c r="W214" s="5"/>
      <c r="X214" s="5"/>
      <c r="Y214" s="5"/>
      <c r="Z214" s="5"/>
    </row>
    <row r="215" ht="12.0" customHeight="1">
      <c r="A215" s="201" t="s">
        <v>649</v>
      </c>
      <c r="B215" s="202"/>
      <c r="C215" s="202"/>
      <c r="D215" s="202"/>
      <c r="E215" s="202"/>
      <c r="F215" s="202"/>
      <c r="G215" s="202"/>
      <c r="H215" s="202"/>
      <c r="I215" s="202"/>
      <c r="J215" s="202"/>
      <c r="K215" s="202"/>
      <c r="L215" s="202"/>
      <c r="M215" s="202"/>
      <c r="N215" s="202"/>
      <c r="O215" s="5"/>
      <c r="P215" s="5"/>
      <c r="Q215" s="5"/>
      <c r="R215" s="5"/>
      <c r="S215" s="5"/>
      <c r="T215" s="5"/>
      <c r="U215" s="5"/>
      <c r="V215" s="5"/>
      <c r="W215" s="5"/>
      <c r="X215" s="5"/>
      <c r="Y215" s="5"/>
      <c r="Z215" s="5"/>
    </row>
    <row r="216" ht="12.0" customHeight="1">
      <c r="A216" s="201" t="s">
        <v>630</v>
      </c>
      <c r="B216" s="201" t="s">
        <v>631</v>
      </c>
      <c r="C216" s="201" t="s">
        <v>3</v>
      </c>
      <c r="D216" s="201" t="s">
        <v>4</v>
      </c>
      <c r="E216" s="201" t="s">
        <v>5</v>
      </c>
      <c r="F216" s="201" t="s">
        <v>6</v>
      </c>
      <c r="G216" s="201" t="s">
        <v>7</v>
      </c>
      <c r="H216" s="201" t="s">
        <v>8</v>
      </c>
      <c r="I216" s="201" t="s">
        <v>9</v>
      </c>
      <c r="J216" s="201" t="s">
        <v>10</v>
      </c>
      <c r="K216" s="201" t="s">
        <v>11</v>
      </c>
      <c r="L216" s="201" t="s">
        <v>12</v>
      </c>
      <c r="M216" s="201" t="s">
        <v>13</v>
      </c>
      <c r="N216" s="201" t="s">
        <v>14</v>
      </c>
      <c r="O216" s="5"/>
      <c r="P216" s="5"/>
      <c r="Q216" s="5"/>
      <c r="R216" s="5"/>
      <c r="S216" s="5"/>
      <c r="T216" s="5"/>
      <c r="U216" s="5"/>
      <c r="V216" s="5"/>
      <c r="W216" s="5"/>
      <c r="X216" s="5"/>
      <c r="Y216" s="5"/>
      <c r="Z216" s="5"/>
    </row>
    <row r="217" ht="12.0" customHeight="1">
      <c r="A217" s="92" t="s">
        <v>632</v>
      </c>
      <c r="B217" s="92" t="s">
        <v>633</v>
      </c>
      <c r="C217" s="203">
        <f>SUM('2027'!B6:B9)+SUM('2027'!B17:B20)</f>
        <v>1192.94</v>
      </c>
      <c r="D217" s="203">
        <f>SUM('2027'!C6:C9)+SUM('2027'!C17:C20)</f>
        <v>918.37</v>
      </c>
      <c r="E217" s="203">
        <f>SUM('2027'!D6:D9)+SUM('2027'!D17:D20)</f>
        <v>882.065</v>
      </c>
      <c r="F217" s="203">
        <f>SUM('2027'!E6:E9)+SUM('2027'!E17:E20)</f>
        <v>852.08</v>
      </c>
      <c r="G217" s="203">
        <f>SUM('2027'!F6:F9)+SUM('2027'!F17:F20)</f>
        <v>798.43</v>
      </c>
      <c r="H217" s="203">
        <f>SUM('2027'!G6:G9)+SUM('2027'!G17:G20)</f>
        <v>774.765</v>
      </c>
      <c r="I217" s="203">
        <f>SUM('2027'!H6:H9)+SUM('2027'!H17:H20)</f>
        <v>828.415</v>
      </c>
      <c r="J217" s="203">
        <f>SUM('2027'!I6:I9)+SUM('2027'!I17:I20)</f>
        <v>828.415</v>
      </c>
      <c r="K217" s="203">
        <f>SUM('2027'!J6:J9)+SUM('2027'!J17:J20)</f>
        <v>828.415</v>
      </c>
      <c r="L217" s="203">
        <f>SUM('2027'!K6:K9)+SUM('2027'!K17:K20)</f>
        <v>804.75</v>
      </c>
      <c r="M217" s="203">
        <f>SUM('2027'!L6:L9)+SUM('2027'!L17:L20)</f>
        <v>781.085</v>
      </c>
      <c r="N217" s="203">
        <f>SUM('2027'!M6:M9)+SUM('2027'!M17:M20)</f>
        <v>1240.27</v>
      </c>
      <c r="O217" s="5"/>
      <c r="P217" s="5"/>
      <c r="Q217" s="5"/>
      <c r="R217" s="5"/>
      <c r="S217" s="5"/>
      <c r="T217" s="5"/>
      <c r="U217" s="5"/>
      <c r="V217" s="5"/>
      <c r="W217" s="5"/>
      <c r="X217" s="5"/>
      <c r="Y217" s="5"/>
      <c r="Z217" s="5"/>
    </row>
    <row r="218" ht="12.0" customHeight="1">
      <c r="A218" s="5"/>
      <c r="B218" s="92" t="s">
        <v>634</v>
      </c>
      <c r="C218" s="204">
        <f>C217/Parametros!$B$37</f>
        <v>59.647</v>
      </c>
      <c r="D218" s="204">
        <f>D217/Parametros!$B$37</f>
        <v>45.9185</v>
      </c>
      <c r="E218" s="204">
        <f>E217/Parametros!$B$37</f>
        <v>44.10325</v>
      </c>
      <c r="F218" s="204">
        <f>F217/Parametros!$B$37</f>
        <v>42.604</v>
      </c>
      <c r="G218" s="204">
        <f>G217/Parametros!$B$37</f>
        <v>39.9215</v>
      </c>
      <c r="H218" s="204">
        <f>H217/Parametros!$B$37</f>
        <v>38.73825</v>
      </c>
      <c r="I218" s="204">
        <f>I217/Parametros!$B$37</f>
        <v>41.42075</v>
      </c>
      <c r="J218" s="204">
        <f>J217/Parametros!$B$37</f>
        <v>41.42075</v>
      </c>
      <c r="K218" s="204">
        <f>K217/Parametros!$B$37</f>
        <v>41.42075</v>
      </c>
      <c r="L218" s="204">
        <f>L217/Parametros!$B$37</f>
        <v>40.2375</v>
      </c>
      <c r="M218" s="204">
        <f>M217/Parametros!$B$37</f>
        <v>39.05425</v>
      </c>
      <c r="N218" s="204">
        <f>N217/Parametros!$B$37</f>
        <v>62.0135</v>
      </c>
      <c r="O218" s="5"/>
      <c r="P218" s="5"/>
      <c r="Q218" s="5"/>
      <c r="R218" s="5"/>
      <c r="S218" s="5"/>
      <c r="T218" s="5"/>
      <c r="U218" s="5"/>
      <c r="V218" s="5"/>
      <c r="W218" s="5"/>
      <c r="X218" s="5"/>
      <c r="Y218" s="5"/>
      <c r="Z218" s="5"/>
    </row>
    <row r="219" ht="12.0" customHeight="1">
      <c r="A219" s="5"/>
      <c r="B219" s="92" t="s">
        <v>635</v>
      </c>
      <c r="C219" s="204">
        <f>C218/Parametros!$J$37</f>
        <v>7.952933333</v>
      </c>
      <c r="D219" s="204">
        <f>D218/Parametros!$J$37</f>
        <v>6.122466667</v>
      </c>
      <c r="E219" s="204">
        <f>E218/Parametros!$J$37</f>
        <v>5.880433333</v>
      </c>
      <c r="F219" s="204">
        <f>F218/Parametros!$J$37</f>
        <v>5.680533333</v>
      </c>
      <c r="G219" s="204">
        <f>G218/Parametros!$J$37</f>
        <v>5.322866667</v>
      </c>
      <c r="H219" s="204">
        <f>H218/Parametros!$J$37</f>
        <v>5.1651</v>
      </c>
      <c r="I219" s="204">
        <f>I218/Parametros!$J$37</f>
        <v>5.522766667</v>
      </c>
      <c r="J219" s="204">
        <f>J218/Parametros!$J$37</f>
        <v>5.522766667</v>
      </c>
      <c r="K219" s="204">
        <f>K218/Parametros!$J$37</f>
        <v>5.522766667</v>
      </c>
      <c r="L219" s="204">
        <f>L218/Parametros!$J$37</f>
        <v>5.365</v>
      </c>
      <c r="M219" s="204">
        <f>M218/Parametros!$J$37</f>
        <v>5.207233333</v>
      </c>
      <c r="N219" s="204">
        <f>N218/Parametros!$J$37</f>
        <v>8.268466667</v>
      </c>
      <c r="O219" s="5"/>
      <c r="P219" s="5"/>
      <c r="Q219" s="5"/>
      <c r="R219" s="5"/>
      <c r="S219" s="5"/>
      <c r="T219" s="5"/>
      <c r="U219" s="5"/>
      <c r="V219" s="5"/>
      <c r="W219" s="5"/>
      <c r="X219" s="5"/>
      <c r="Y219" s="5"/>
      <c r="Z219" s="5"/>
    </row>
    <row r="220" ht="12.0" customHeight="1">
      <c r="A220" s="92" t="s">
        <v>636</v>
      </c>
      <c r="B220" s="5"/>
      <c r="C220" s="204">
        <f t="shared" ref="C220:N220" si="64">C219</f>
        <v>7.952933333</v>
      </c>
      <c r="D220" s="204">
        <f t="shared" si="64"/>
        <v>6.122466667</v>
      </c>
      <c r="E220" s="204">
        <f t="shared" si="64"/>
        <v>5.880433333</v>
      </c>
      <c r="F220" s="204">
        <f t="shared" si="64"/>
        <v>5.680533333</v>
      </c>
      <c r="G220" s="204">
        <f t="shared" si="64"/>
        <v>5.322866667</v>
      </c>
      <c r="H220" s="204">
        <f t="shared" si="64"/>
        <v>5.1651</v>
      </c>
      <c r="I220" s="204">
        <f t="shared" si="64"/>
        <v>5.522766667</v>
      </c>
      <c r="J220" s="204">
        <f t="shared" si="64"/>
        <v>5.522766667</v>
      </c>
      <c r="K220" s="204">
        <f t="shared" si="64"/>
        <v>5.522766667</v>
      </c>
      <c r="L220" s="204">
        <f t="shared" si="64"/>
        <v>5.365</v>
      </c>
      <c r="M220" s="204">
        <f t="shared" si="64"/>
        <v>5.207233333</v>
      </c>
      <c r="N220" s="204">
        <f t="shared" si="64"/>
        <v>8.268466667</v>
      </c>
      <c r="O220" s="5"/>
      <c r="P220" s="5"/>
      <c r="Q220" s="5"/>
      <c r="R220" s="5"/>
      <c r="S220" s="5"/>
      <c r="T220" s="5"/>
      <c r="U220" s="5"/>
      <c r="V220" s="5"/>
      <c r="W220" s="5"/>
      <c r="X220" s="5"/>
      <c r="Y220" s="5"/>
      <c r="Z220" s="5"/>
    </row>
    <row r="221" ht="12.0" customHeight="1">
      <c r="A221" s="92" t="s">
        <v>637</v>
      </c>
      <c r="B221" s="5"/>
      <c r="C221" s="205">
        <f>'Resumen Capacidad'!$C$114</f>
        <v>96</v>
      </c>
      <c r="D221" s="205">
        <f>'Resumen Capacidad'!$C$114</f>
        <v>96</v>
      </c>
      <c r="E221" s="205">
        <f>'Resumen Capacidad'!$C$114</f>
        <v>96</v>
      </c>
      <c r="F221" s="205">
        <f>'Resumen Capacidad'!$C$114</f>
        <v>96</v>
      </c>
      <c r="G221" s="205">
        <f>'Resumen Capacidad'!$C$114</f>
        <v>96</v>
      </c>
      <c r="H221" s="205">
        <f>'Resumen Capacidad'!$C$114</f>
        <v>96</v>
      </c>
      <c r="I221" s="205">
        <f>'Resumen Capacidad'!$C$114</f>
        <v>96</v>
      </c>
      <c r="J221" s="205">
        <f>'Resumen Capacidad'!$C$114</f>
        <v>96</v>
      </c>
      <c r="K221" s="205">
        <f>'Resumen Capacidad'!$C$114</f>
        <v>96</v>
      </c>
      <c r="L221" s="205">
        <f>'Resumen Capacidad'!$C$114</f>
        <v>96</v>
      </c>
      <c r="M221" s="205">
        <f>'Resumen Capacidad'!$C$114</f>
        <v>96</v>
      </c>
      <c r="N221" s="205">
        <f>'Resumen Capacidad'!$C$114</f>
        <v>96</v>
      </c>
      <c r="O221" s="5"/>
      <c r="P221" s="5"/>
      <c r="Q221" s="5"/>
      <c r="R221" s="5"/>
      <c r="S221" s="5"/>
      <c r="T221" s="5"/>
      <c r="U221" s="5"/>
      <c r="V221" s="5"/>
      <c r="W221" s="5"/>
      <c r="X221" s="5"/>
      <c r="Y221" s="5"/>
      <c r="Z221" s="5"/>
    </row>
    <row r="222" ht="12.0" customHeight="1">
      <c r="A222" s="92" t="s">
        <v>640</v>
      </c>
      <c r="B222" s="5"/>
      <c r="C222" s="204">
        <f>'Resumen Capacidad'!$C$32*'Resumen Capacidad'!$C$68</f>
        <v>1</v>
      </c>
      <c r="D222" s="204">
        <f>'Resumen Capacidad'!$C$32*'Resumen Capacidad'!$C$68</f>
        <v>1</v>
      </c>
      <c r="E222" s="204">
        <f>'Resumen Capacidad'!$C$32*'Resumen Capacidad'!$C$68</f>
        <v>1</v>
      </c>
      <c r="F222" s="204">
        <f>'Resumen Capacidad'!$C$32*'Resumen Capacidad'!$C$68</f>
        <v>1</v>
      </c>
      <c r="G222" s="204">
        <f>'Resumen Capacidad'!$C$32*'Resumen Capacidad'!$C$68</f>
        <v>1</v>
      </c>
      <c r="H222" s="204">
        <f>'Resumen Capacidad'!$C$32*'Resumen Capacidad'!$C$68</f>
        <v>1</v>
      </c>
      <c r="I222" s="204">
        <f>'Resumen Capacidad'!$C$32*'Resumen Capacidad'!$C$68</f>
        <v>1</v>
      </c>
      <c r="J222" s="204">
        <f>'Resumen Capacidad'!$C$32*'Resumen Capacidad'!$C$68</f>
        <v>1</v>
      </c>
      <c r="K222" s="204">
        <f>'Resumen Capacidad'!$C$32*'Resumen Capacidad'!$C$68</f>
        <v>1</v>
      </c>
      <c r="L222" s="204">
        <f>'Resumen Capacidad'!$C$32*'Resumen Capacidad'!$C$68</f>
        <v>1</v>
      </c>
      <c r="M222" s="204">
        <f>'Resumen Capacidad'!$C$32*'Resumen Capacidad'!$C$68</f>
        <v>1</v>
      </c>
      <c r="N222" s="204">
        <f>'Resumen Capacidad'!$C$32*'Resumen Capacidad'!$C$68</f>
        <v>1</v>
      </c>
      <c r="O222" s="5"/>
      <c r="P222" s="5"/>
      <c r="Q222" s="5"/>
      <c r="R222" s="5"/>
      <c r="S222" s="5"/>
      <c r="T222" s="5"/>
      <c r="U222" s="5"/>
      <c r="V222" s="5"/>
      <c r="W222" s="5"/>
      <c r="X222" s="5"/>
      <c r="Y222" s="5"/>
      <c r="Z222" s="5"/>
    </row>
    <row r="223" ht="12.0" customHeight="1">
      <c r="A223" s="92" t="s">
        <v>642</v>
      </c>
      <c r="B223" s="5"/>
      <c r="C223" s="204">
        <f t="shared" ref="C223:N223" si="65">C221*C222</f>
        <v>96</v>
      </c>
      <c r="D223" s="204">
        <f t="shared" si="65"/>
        <v>96</v>
      </c>
      <c r="E223" s="204">
        <f t="shared" si="65"/>
        <v>96</v>
      </c>
      <c r="F223" s="204">
        <f t="shared" si="65"/>
        <v>96</v>
      </c>
      <c r="G223" s="204">
        <f t="shared" si="65"/>
        <v>96</v>
      </c>
      <c r="H223" s="204">
        <f t="shared" si="65"/>
        <v>96</v>
      </c>
      <c r="I223" s="204">
        <f t="shared" si="65"/>
        <v>96</v>
      </c>
      <c r="J223" s="204">
        <f t="shared" si="65"/>
        <v>96</v>
      </c>
      <c r="K223" s="204">
        <f t="shared" si="65"/>
        <v>96</v>
      </c>
      <c r="L223" s="204">
        <f t="shared" si="65"/>
        <v>96</v>
      </c>
      <c r="M223" s="204">
        <f t="shared" si="65"/>
        <v>96</v>
      </c>
      <c r="N223" s="204">
        <f t="shared" si="65"/>
        <v>96</v>
      </c>
      <c r="O223" s="5"/>
      <c r="P223" s="5"/>
      <c r="Q223" s="5"/>
      <c r="R223" s="5"/>
      <c r="S223" s="5"/>
      <c r="T223" s="5"/>
      <c r="U223" s="5"/>
      <c r="V223" s="5"/>
      <c r="W223" s="5"/>
      <c r="X223" s="5"/>
      <c r="Y223" s="5"/>
      <c r="Z223" s="5"/>
    </row>
    <row r="224" ht="12.0" customHeight="1">
      <c r="A224" s="92" t="s">
        <v>643</v>
      </c>
      <c r="B224" s="5"/>
      <c r="C224" s="206">
        <f t="shared" ref="C224:N224" si="66">IF(C223=0,0,C220/C223)</f>
        <v>0.08284305556</v>
      </c>
      <c r="D224" s="206">
        <f t="shared" si="66"/>
        <v>0.06377569444</v>
      </c>
      <c r="E224" s="206">
        <f t="shared" si="66"/>
        <v>0.06125451389</v>
      </c>
      <c r="F224" s="206">
        <f t="shared" si="66"/>
        <v>0.05917222222</v>
      </c>
      <c r="G224" s="206">
        <f t="shared" si="66"/>
        <v>0.05544652778</v>
      </c>
      <c r="H224" s="206">
        <f t="shared" si="66"/>
        <v>0.053803125</v>
      </c>
      <c r="I224" s="206">
        <f t="shared" si="66"/>
        <v>0.05752881944</v>
      </c>
      <c r="J224" s="206">
        <f t="shared" si="66"/>
        <v>0.05752881944</v>
      </c>
      <c r="K224" s="206">
        <f t="shared" si="66"/>
        <v>0.05752881944</v>
      </c>
      <c r="L224" s="206">
        <f t="shared" si="66"/>
        <v>0.05588541667</v>
      </c>
      <c r="M224" s="206">
        <f t="shared" si="66"/>
        <v>0.05424201389</v>
      </c>
      <c r="N224" s="206">
        <f t="shared" si="66"/>
        <v>0.08612986111</v>
      </c>
      <c r="O224" s="5"/>
      <c r="P224" s="5"/>
      <c r="Q224" s="5"/>
      <c r="R224" s="5"/>
      <c r="S224" s="5"/>
      <c r="T224" s="5"/>
      <c r="U224" s="5"/>
      <c r="V224" s="5"/>
      <c r="W224" s="5"/>
      <c r="X224" s="5"/>
      <c r="Y224" s="5"/>
      <c r="Z224" s="5"/>
    </row>
    <row r="225" ht="12.0" customHeight="1">
      <c r="A225" s="201" t="s">
        <v>650</v>
      </c>
      <c r="B225" s="202"/>
      <c r="C225" s="202"/>
      <c r="D225" s="202"/>
      <c r="E225" s="202"/>
      <c r="F225" s="202"/>
      <c r="G225" s="202"/>
      <c r="H225" s="202"/>
      <c r="I225" s="202"/>
      <c r="J225" s="202"/>
      <c r="K225" s="202"/>
      <c r="L225" s="202"/>
      <c r="M225" s="202"/>
      <c r="N225" s="202"/>
      <c r="O225" s="5"/>
      <c r="P225" s="5"/>
      <c r="Q225" s="5"/>
      <c r="R225" s="5"/>
      <c r="S225" s="5"/>
      <c r="T225" s="5"/>
      <c r="U225" s="5"/>
      <c r="V225" s="5"/>
      <c r="W225" s="5"/>
      <c r="X225" s="5"/>
      <c r="Y225" s="5"/>
      <c r="Z225" s="5"/>
    </row>
    <row r="226" ht="12.0" customHeight="1">
      <c r="A226" s="201" t="s">
        <v>630</v>
      </c>
      <c r="B226" s="201" t="s">
        <v>631</v>
      </c>
      <c r="C226" s="201" t="s">
        <v>3</v>
      </c>
      <c r="D226" s="201" t="s">
        <v>4</v>
      </c>
      <c r="E226" s="201" t="s">
        <v>5</v>
      </c>
      <c r="F226" s="201" t="s">
        <v>6</v>
      </c>
      <c r="G226" s="201" t="s">
        <v>7</v>
      </c>
      <c r="H226" s="201" t="s">
        <v>8</v>
      </c>
      <c r="I226" s="201" t="s">
        <v>9</v>
      </c>
      <c r="J226" s="201" t="s">
        <v>10</v>
      </c>
      <c r="K226" s="201" t="s">
        <v>11</v>
      </c>
      <c r="L226" s="201" t="s">
        <v>12</v>
      </c>
      <c r="M226" s="201" t="s">
        <v>13</v>
      </c>
      <c r="N226" s="201" t="s">
        <v>14</v>
      </c>
      <c r="O226" s="5"/>
      <c r="P226" s="5"/>
      <c r="Q226" s="5"/>
      <c r="R226" s="5"/>
      <c r="S226" s="5"/>
      <c r="T226" s="5"/>
      <c r="U226" s="5"/>
      <c r="V226" s="5"/>
      <c r="W226" s="5"/>
      <c r="X226" s="5"/>
      <c r="Y226" s="5"/>
      <c r="Z226" s="5"/>
    </row>
    <row r="227" ht="12.0" customHeight="1">
      <c r="A227" s="92" t="s">
        <v>651</v>
      </c>
      <c r="B227" s="92" t="s">
        <v>633</v>
      </c>
      <c r="C227" s="203">
        <f>SUM('2027'!B7:B9)+SUM('2027'!B18:B20)</f>
        <v>473.3</v>
      </c>
      <c r="D227" s="203">
        <f>SUM('2027'!C7:C9)+SUM('2027'!C18:C20)</f>
        <v>378.64</v>
      </c>
      <c r="E227" s="203">
        <f>SUM('2027'!D7:D9)+SUM('2027'!D18:D20)</f>
        <v>402.305</v>
      </c>
      <c r="F227" s="203">
        <f>SUM('2027'!E7:E9)+SUM('2027'!E18:E20)</f>
        <v>402.305</v>
      </c>
      <c r="G227" s="203">
        <f>SUM('2027'!F7:F9)+SUM('2027'!F18:F20)</f>
        <v>378.64</v>
      </c>
      <c r="H227" s="203">
        <f>SUM('2027'!G7:G9)+SUM('2027'!G18:G20)</f>
        <v>354.975</v>
      </c>
      <c r="I227" s="203">
        <f>SUM('2027'!H7:H9)+SUM('2027'!H18:H20)</f>
        <v>378.64</v>
      </c>
      <c r="J227" s="203">
        <f>SUM('2027'!I7:I9)+SUM('2027'!I18:I20)</f>
        <v>378.64</v>
      </c>
      <c r="K227" s="203">
        <f>SUM('2027'!J7:J9)+SUM('2027'!J18:J20)</f>
        <v>378.64</v>
      </c>
      <c r="L227" s="203">
        <f>SUM('2027'!K7:K9)+SUM('2027'!K18:K20)</f>
        <v>354.975</v>
      </c>
      <c r="M227" s="203">
        <f>SUM('2027'!L7:L9)+SUM('2027'!L18:L20)</f>
        <v>331.31</v>
      </c>
      <c r="N227" s="203">
        <f>SUM('2027'!M7:M9)+SUM('2027'!M18:M20)</f>
        <v>520.63</v>
      </c>
      <c r="O227" s="5"/>
      <c r="P227" s="5"/>
      <c r="Q227" s="5"/>
      <c r="R227" s="5"/>
      <c r="S227" s="5"/>
      <c r="T227" s="5"/>
      <c r="U227" s="5"/>
      <c r="V227" s="5"/>
      <c r="W227" s="5"/>
      <c r="X227" s="5"/>
      <c r="Y227" s="5"/>
      <c r="Z227" s="5"/>
    </row>
    <row r="228" ht="12.0" customHeight="1">
      <c r="A228" s="5"/>
      <c r="B228" s="92" t="s">
        <v>634</v>
      </c>
      <c r="C228" s="204">
        <f>C227/Parametros!$B$37</f>
        <v>23.665</v>
      </c>
      <c r="D228" s="204">
        <f>D227/Parametros!$B$37</f>
        <v>18.932</v>
      </c>
      <c r="E228" s="204">
        <f>E227/Parametros!$B$37</f>
        <v>20.11525</v>
      </c>
      <c r="F228" s="204">
        <f>F227/Parametros!$B$37</f>
        <v>20.11525</v>
      </c>
      <c r="G228" s="204">
        <f>G227/Parametros!$B$37</f>
        <v>18.932</v>
      </c>
      <c r="H228" s="204">
        <f>H227/Parametros!$B$37</f>
        <v>17.74875</v>
      </c>
      <c r="I228" s="204">
        <f>I227/Parametros!$B$37</f>
        <v>18.932</v>
      </c>
      <c r="J228" s="204">
        <f>J227/Parametros!$B$37</f>
        <v>18.932</v>
      </c>
      <c r="K228" s="204">
        <f>K227/Parametros!$B$37</f>
        <v>18.932</v>
      </c>
      <c r="L228" s="204">
        <f>L227/Parametros!$B$37</f>
        <v>17.74875</v>
      </c>
      <c r="M228" s="204">
        <f>M227/Parametros!$B$37</f>
        <v>16.5655</v>
      </c>
      <c r="N228" s="204">
        <f>N227/Parametros!$B$37</f>
        <v>26.0315</v>
      </c>
      <c r="O228" s="5"/>
      <c r="P228" s="5"/>
      <c r="Q228" s="5"/>
      <c r="R228" s="5"/>
      <c r="S228" s="5"/>
      <c r="T228" s="5"/>
      <c r="U228" s="5"/>
      <c r="V228" s="5"/>
      <c r="W228" s="5"/>
      <c r="X228" s="5"/>
      <c r="Y228" s="5"/>
      <c r="Z228" s="5"/>
    </row>
    <row r="229" ht="12.0" customHeight="1">
      <c r="A229" s="5"/>
      <c r="B229" s="92" t="s">
        <v>635</v>
      </c>
      <c r="C229" s="204">
        <f>C228/Parametros!$J$37</f>
        <v>3.155333333</v>
      </c>
      <c r="D229" s="204">
        <f>D228/Parametros!$J$37</f>
        <v>2.524266667</v>
      </c>
      <c r="E229" s="204">
        <f>E228/Parametros!$J$37</f>
        <v>2.682033333</v>
      </c>
      <c r="F229" s="204">
        <f>F228/Parametros!$J$37</f>
        <v>2.682033333</v>
      </c>
      <c r="G229" s="204">
        <f>G228/Parametros!$J$37</f>
        <v>2.524266667</v>
      </c>
      <c r="H229" s="204">
        <f>H228/Parametros!$J$37</f>
        <v>2.3665</v>
      </c>
      <c r="I229" s="204">
        <f>I228/Parametros!$J$37</f>
        <v>2.524266667</v>
      </c>
      <c r="J229" s="204">
        <f>J228/Parametros!$J$37</f>
        <v>2.524266667</v>
      </c>
      <c r="K229" s="204">
        <f>K228/Parametros!$J$37</f>
        <v>2.524266667</v>
      </c>
      <c r="L229" s="204">
        <f>L228/Parametros!$J$37</f>
        <v>2.3665</v>
      </c>
      <c r="M229" s="204">
        <f>M228/Parametros!$J$37</f>
        <v>2.208733333</v>
      </c>
      <c r="N229" s="204">
        <f>N228/Parametros!$J$37</f>
        <v>3.470866667</v>
      </c>
      <c r="O229" s="5"/>
      <c r="P229" s="5"/>
      <c r="Q229" s="5"/>
      <c r="R229" s="5"/>
      <c r="S229" s="5"/>
      <c r="T229" s="5"/>
      <c r="U229" s="5"/>
      <c r="V229" s="5"/>
      <c r="W229" s="5"/>
      <c r="X229" s="5"/>
      <c r="Y229" s="5"/>
      <c r="Z229" s="5"/>
    </row>
    <row r="230" ht="12.0" customHeight="1">
      <c r="A230" s="92" t="s">
        <v>636</v>
      </c>
      <c r="B230" s="5"/>
      <c r="C230" s="204">
        <f t="shared" ref="C230:N230" si="67">C229</f>
        <v>3.155333333</v>
      </c>
      <c r="D230" s="204">
        <f t="shared" si="67"/>
        <v>2.524266667</v>
      </c>
      <c r="E230" s="204">
        <f t="shared" si="67"/>
        <v>2.682033333</v>
      </c>
      <c r="F230" s="204">
        <f t="shared" si="67"/>
        <v>2.682033333</v>
      </c>
      <c r="G230" s="204">
        <f t="shared" si="67"/>
        <v>2.524266667</v>
      </c>
      <c r="H230" s="204">
        <f t="shared" si="67"/>
        <v>2.3665</v>
      </c>
      <c r="I230" s="204">
        <f t="shared" si="67"/>
        <v>2.524266667</v>
      </c>
      <c r="J230" s="204">
        <f t="shared" si="67"/>
        <v>2.524266667</v>
      </c>
      <c r="K230" s="204">
        <f t="shared" si="67"/>
        <v>2.524266667</v>
      </c>
      <c r="L230" s="204">
        <f t="shared" si="67"/>
        <v>2.3665</v>
      </c>
      <c r="M230" s="204">
        <f t="shared" si="67"/>
        <v>2.208733333</v>
      </c>
      <c r="N230" s="204">
        <f t="shared" si="67"/>
        <v>3.470866667</v>
      </c>
      <c r="O230" s="5"/>
      <c r="P230" s="5"/>
      <c r="Q230" s="5"/>
      <c r="R230" s="5"/>
      <c r="S230" s="5"/>
      <c r="T230" s="5"/>
      <c r="U230" s="5"/>
      <c r="V230" s="5"/>
      <c r="W230" s="5"/>
      <c r="X230" s="5"/>
      <c r="Y230" s="5"/>
      <c r="Z230" s="5"/>
    </row>
    <row r="231" ht="12.0" customHeight="1">
      <c r="A231" s="92" t="s">
        <v>637</v>
      </c>
      <c r="B231" s="5"/>
      <c r="C231" s="205">
        <f>'Resumen Capacidad'!$C$115</f>
        <v>80.10122449</v>
      </c>
      <c r="D231" s="205">
        <f>'Resumen Capacidad'!$C$115</f>
        <v>80.10122449</v>
      </c>
      <c r="E231" s="205">
        <f>'Resumen Capacidad'!$C$115</f>
        <v>80.10122449</v>
      </c>
      <c r="F231" s="205">
        <f>'Resumen Capacidad'!$C$115</f>
        <v>80.10122449</v>
      </c>
      <c r="G231" s="205">
        <f>'Resumen Capacidad'!$C$115</f>
        <v>80.10122449</v>
      </c>
      <c r="H231" s="205">
        <f>'Resumen Capacidad'!$C$115</f>
        <v>80.10122449</v>
      </c>
      <c r="I231" s="205">
        <f>'Resumen Capacidad'!$C$115</f>
        <v>80.10122449</v>
      </c>
      <c r="J231" s="205">
        <f>'Resumen Capacidad'!$C$115</f>
        <v>80.10122449</v>
      </c>
      <c r="K231" s="205">
        <f>'Resumen Capacidad'!$C$115</f>
        <v>80.10122449</v>
      </c>
      <c r="L231" s="205">
        <f>'Resumen Capacidad'!$C$115</f>
        <v>80.10122449</v>
      </c>
      <c r="M231" s="205">
        <f>'Resumen Capacidad'!$C$115</f>
        <v>80.10122449</v>
      </c>
      <c r="N231" s="205">
        <f>'Resumen Capacidad'!$C$115</f>
        <v>80.10122449</v>
      </c>
      <c r="O231" s="5"/>
      <c r="P231" s="5"/>
      <c r="Q231" s="5"/>
      <c r="R231" s="5"/>
      <c r="S231" s="5"/>
      <c r="T231" s="5"/>
      <c r="U231" s="5"/>
      <c r="V231" s="5"/>
      <c r="W231" s="5"/>
      <c r="X231" s="5"/>
      <c r="Y231" s="5"/>
      <c r="Z231" s="5"/>
    </row>
    <row r="232" ht="12.0" customHeight="1">
      <c r="A232" s="92" t="s">
        <v>640</v>
      </c>
      <c r="B232" s="5"/>
      <c r="C232" s="204">
        <f>'Resumen Capacidad'!$C$33*'Resumen Capacidad'!$C$69</f>
        <v>1</v>
      </c>
      <c r="D232" s="204">
        <f>'Resumen Capacidad'!$C$33*'Resumen Capacidad'!$C$69</f>
        <v>1</v>
      </c>
      <c r="E232" s="204">
        <f>'Resumen Capacidad'!$C$33*'Resumen Capacidad'!$C$69</f>
        <v>1</v>
      </c>
      <c r="F232" s="204">
        <f>'Resumen Capacidad'!$C$33*'Resumen Capacidad'!$C$69</f>
        <v>1</v>
      </c>
      <c r="G232" s="204">
        <f>'Resumen Capacidad'!$C$33*'Resumen Capacidad'!$C$69</f>
        <v>1</v>
      </c>
      <c r="H232" s="204">
        <f>'Resumen Capacidad'!$C$33*'Resumen Capacidad'!$C$69</f>
        <v>1</v>
      </c>
      <c r="I232" s="204">
        <f>'Resumen Capacidad'!$C$33*'Resumen Capacidad'!$C$69</f>
        <v>1</v>
      </c>
      <c r="J232" s="204">
        <f>'Resumen Capacidad'!$C$33*'Resumen Capacidad'!$C$69</f>
        <v>1</v>
      </c>
      <c r="K232" s="204">
        <f>'Resumen Capacidad'!$C$33*'Resumen Capacidad'!$C$69</f>
        <v>1</v>
      </c>
      <c r="L232" s="204">
        <f>'Resumen Capacidad'!$C$33*'Resumen Capacidad'!$C$69</f>
        <v>1</v>
      </c>
      <c r="M232" s="204">
        <f>'Resumen Capacidad'!$C$33*'Resumen Capacidad'!$C$69</f>
        <v>1</v>
      </c>
      <c r="N232" s="204">
        <f>'Resumen Capacidad'!$C$33*'Resumen Capacidad'!$C$69</f>
        <v>1</v>
      </c>
      <c r="O232" s="5"/>
      <c r="P232" s="5"/>
      <c r="Q232" s="5"/>
      <c r="R232" s="5"/>
      <c r="S232" s="5"/>
      <c r="T232" s="5"/>
      <c r="U232" s="5"/>
      <c r="V232" s="5"/>
      <c r="W232" s="5"/>
      <c r="X232" s="5"/>
      <c r="Y232" s="5"/>
      <c r="Z232" s="5"/>
    </row>
    <row r="233" ht="12.0" customHeight="1">
      <c r="A233" s="92" t="s">
        <v>642</v>
      </c>
      <c r="B233" s="5"/>
      <c r="C233" s="204">
        <f t="shared" ref="C233:N233" si="68">C231*C232</f>
        <v>80.10122449</v>
      </c>
      <c r="D233" s="204">
        <f t="shared" si="68"/>
        <v>80.10122449</v>
      </c>
      <c r="E233" s="204">
        <f t="shared" si="68"/>
        <v>80.10122449</v>
      </c>
      <c r="F233" s="204">
        <f t="shared" si="68"/>
        <v>80.10122449</v>
      </c>
      <c r="G233" s="204">
        <f t="shared" si="68"/>
        <v>80.10122449</v>
      </c>
      <c r="H233" s="204">
        <f t="shared" si="68"/>
        <v>80.10122449</v>
      </c>
      <c r="I233" s="204">
        <f t="shared" si="68"/>
        <v>80.10122449</v>
      </c>
      <c r="J233" s="204">
        <f t="shared" si="68"/>
        <v>80.10122449</v>
      </c>
      <c r="K233" s="204">
        <f t="shared" si="68"/>
        <v>80.10122449</v>
      </c>
      <c r="L233" s="204">
        <f t="shared" si="68"/>
        <v>80.10122449</v>
      </c>
      <c r="M233" s="204">
        <f t="shared" si="68"/>
        <v>80.10122449</v>
      </c>
      <c r="N233" s="204">
        <f t="shared" si="68"/>
        <v>80.10122449</v>
      </c>
      <c r="O233" s="5"/>
      <c r="P233" s="5"/>
      <c r="Q233" s="5"/>
      <c r="R233" s="5"/>
      <c r="S233" s="5"/>
      <c r="T233" s="5"/>
      <c r="U233" s="5"/>
      <c r="V233" s="5"/>
      <c r="W233" s="5"/>
      <c r="X233" s="5"/>
      <c r="Y233" s="5"/>
      <c r="Z233" s="5"/>
    </row>
    <row r="234" ht="12.0" customHeight="1">
      <c r="A234" s="92" t="s">
        <v>643</v>
      </c>
      <c r="B234" s="5"/>
      <c r="C234" s="206">
        <f t="shared" ref="C234:N234" si="69">IF(C233=0,0,C230/C233)</f>
        <v>0.03939182395</v>
      </c>
      <c r="D234" s="206">
        <f t="shared" si="69"/>
        <v>0.03151345916</v>
      </c>
      <c r="E234" s="206">
        <f t="shared" si="69"/>
        <v>0.03348305036</v>
      </c>
      <c r="F234" s="206">
        <f t="shared" si="69"/>
        <v>0.03348305036</v>
      </c>
      <c r="G234" s="206">
        <f t="shared" si="69"/>
        <v>0.03151345916</v>
      </c>
      <c r="H234" s="206">
        <f t="shared" si="69"/>
        <v>0.02954386796</v>
      </c>
      <c r="I234" s="206">
        <f t="shared" si="69"/>
        <v>0.03151345916</v>
      </c>
      <c r="J234" s="206">
        <f t="shared" si="69"/>
        <v>0.03151345916</v>
      </c>
      <c r="K234" s="206">
        <f t="shared" si="69"/>
        <v>0.03151345916</v>
      </c>
      <c r="L234" s="206">
        <f t="shared" si="69"/>
        <v>0.02954386796</v>
      </c>
      <c r="M234" s="206">
        <f t="shared" si="69"/>
        <v>0.02757427677</v>
      </c>
      <c r="N234" s="206">
        <f t="shared" si="69"/>
        <v>0.04333100635</v>
      </c>
      <c r="O234" s="5"/>
      <c r="P234" s="5"/>
      <c r="Q234" s="5"/>
      <c r="R234" s="5"/>
      <c r="S234" s="5"/>
      <c r="T234" s="5"/>
      <c r="U234" s="5"/>
      <c r="V234" s="5"/>
      <c r="W234" s="5"/>
      <c r="X234" s="5"/>
      <c r="Y234" s="5"/>
      <c r="Z234" s="5"/>
    </row>
    <row r="235" ht="12.0" customHeight="1">
      <c r="A235" s="201" t="s">
        <v>656</v>
      </c>
      <c r="B235" s="202"/>
      <c r="C235" s="202"/>
      <c r="D235" s="202"/>
      <c r="E235" s="202"/>
      <c r="F235" s="202"/>
      <c r="G235" s="202"/>
      <c r="H235" s="202"/>
      <c r="I235" s="202"/>
      <c r="J235" s="202"/>
      <c r="K235" s="202"/>
      <c r="L235" s="202"/>
      <c r="M235" s="202"/>
      <c r="N235" s="202"/>
      <c r="O235" s="5"/>
      <c r="P235" s="5"/>
      <c r="Q235" s="5"/>
      <c r="R235" s="5"/>
      <c r="S235" s="5"/>
      <c r="T235" s="5"/>
      <c r="U235" s="5"/>
      <c r="V235" s="5"/>
      <c r="W235" s="5"/>
      <c r="X235" s="5"/>
      <c r="Y235" s="5"/>
      <c r="Z235" s="5"/>
    </row>
    <row r="236" ht="12.0" customHeight="1">
      <c r="A236" s="201" t="s">
        <v>630</v>
      </c>
      <c r="B236" s="201" t="s">
        <v>631</v>
      </c>
      <c r="C236" s="201" t="s">
        <v>3</v>
      </c>
      <c r="D236" s="201" t="s">
        <v>4</v>
      </c>
      <c r="E236" s="201" t="s">
        <v>5</v>
      </c>
      <c r="F236" s="201" t="s">
        <v>6</v>
      </c>
      <c r="G236" s="201" t="s">
        <v>7</v>
      </c>
      <c r="H236" s="201" t="s">
        <v>8</v>
      </c>
      <c r="I236" s="201" t="s">
        <v>9</v>
      </c>
      <c r="J236" s="201" t="s">
        <v>10</v>
      </c>
      <c r="K236" s="201" t="s">
        <v>11</v>
      </c>
      <c r="L236" s="201" t="s">
        <v>12</v>
      </c>
      <c r="M236" s="201" t="s">
        <v>13</v>
      </c>
      <c r="N236" s="201" t="s">
        <v>14</v>
      </c>
      <c r="O236" s="5"/>
      <c r="P236" s="5"/>
      <c r="Q236" s="5"/>
      <c r="R236" s="5"/>
      <c r="S236" s="5"/>
      <c r="T236" s="5"/>
      <c r="U236" s="5"/>
      <c r="V236" s="5"/>
      <c r="W236" s="5"/>
      <c r="X236" s="5"/>
      <c r="Y236" s="5"/>
      <c r="Z236" s="5"/>
    </row>
    <row r="237" ht="12.0" customHeight="1">
      <c r="A237" s="92" t="s">
        <v>651</v>
      </c>
      <c r="B237" s="92" t="s">
        <v>633</v>
      </c>
      <c r="C237" s="203">
        <f>SUM('2027'!B7:B9)+SUM('2027'!B18:B20)</f>
        <v>473.3</v>
      </c>
      <c r="D237" s="203">
        <f>SUM('2027'!C7:C9)+SUM('2027'!C18:C20)</f>
        <v>378.64</v>
      </c>
      <c r="E237" s="203">
        <f>SUM('2027'!D7:D9)+SUM('2027'!D18:D20)</f>
        <v>402.305</v>
      </c>
      <c r="F237" s="203">
        <f>SUM('2027'!E7:E9)+SUM('2027'!E18:E20)</f>
        <v>402.305</v>
      </c>
      <c r="G237" s="203">
        <f>SUM('2027'!F7:F9)+SUM('2027'!F18:F20)</f>
        <v>378.64</v>
      </c>
      <c r="H237" s="203">
        <f>SUM('2027'!G7:G9)+SUM('2027'!G18:G20)</f>
        <v>354.975</v>
      </c>
      <c r="I237" s="203">
        <f>SUM('2027'!H7:H9)+SUM('2027'!H18:H20)</f>
        <v>378.64</v>
      </c>
      <c r="J237" s="203">
        <f>SUM('2027'!I7:I9)+SUM('2027'!I18:I20)</f>
        <v>378.64</v>
      </c>
      <c r="K237" s="203">
        <f>SUM('2027'!J7:J9)+SUM('2027'!J18:J20)</f>
        <v>378.64</v>
      </c>
      <c r="L237" s="203">
        <f>SUM('2027'!K7:K9)+SUM('2027'!K18:K20)</f>
        <v>354.975</v>
      </c>
      <c r="M237" s="203">
        <f>SUM('2027'!L7:L9)+SUM('2027'!L18:L20)</f>
        <v>331.31</v>
      </c>
      <c r="N237" s="203">
        <f>SUM('2027'!M7:M9)+SUM('2027'!M18:M20)</f>
        <v>520.63</v>
      </c>
      <c r="O237" s="5"/>
      <c r="P237" s="5"/>
      <c r="Q237" s="5"/>
      <c r="R237" s="5"/>
      <c r="S237" s="5"/>
      <c r="T237" s="5"/>
      <c r="U237" s="5"/>
      <c r="V237" s="5"/>
      <c r="W237" s="5"/>
      <c r="X237" s="5"/>
      <c r="Y237" s="5"/>
      <c r="Z237" s="5"/>
    </row>
    <row r="238" ht="12.0" customHeight="1">
      <c r="A238" s="5"/>
      <c r="B238" s="92" t="s">
        <v>634</v>
      </c>
      <c r="C238" s="204">
        <f>C237/Parametros!$B$37</f>
        <v>23.665</v>
      </c>
      <c r="D238" s="204">
        <f>D237/Parametros!$B$37</f>
        <v>18.932</v>
      </c>
      <c r="E238" s="204">
        <f>E237/Parametros!$B$37</f>
        <v>20.11525</v>
      </c>
      <c r="F238" s="204">
        <f>F237/Parametros!$B$37</f>
        <v>20.11525</v>
      </c>
      <c r="G238" s="204">
        <f>G237/Parametros!$B$37</f>
        <v>18.932</v>
      </c>
      <c r="H238" s="204">
        <f>H237/Parametros!$B$37</f>
        <v>17.74875</v>
      </c>
      <c r="I238" s="204">
        <f>I237/Parametros!$B$37</f>
        <v>18.932</v>
      </c>
      <c r="J238" s="204">
        <f>J237/Parametros!$B$37</f>
        <v>18.932</v>
      </c>
      <c r="K238" s="204">
        <f>K237/Parametros!$B$37</f>
        <v>18.932</v>
      </c>
      <c r="L238" s="204">
        <f>L237/Parametros!$B$37</f>
        <v>17.74875</v>
      </c>
      <c r="M238" s="204">
        <f>M237/Parametros!$B$37</f>
        <v>16.5655</v>
      </c>
      <c r="N238" s="204">
        <f>N237/Parametros!$B$37</f>
        <v>26.0315</v>
      </c>
      <c r="O238" s="5"/>
      <c r="P238" s="5"/>
      <c r="Q238" s="5"/>
      <c r="R238" s="5"/>
      <c r="S238" s="5"/>
      <c r="T238" s="5"/>
      <c r="U238" s="5"/>
      <c r="V238" s="5"/>
      <c r="W238" s="5"/>
      <c r="X238" s="5"/>
      <c r="Y238" s="5"/>
      <c r="Z238" s="5"/>
    </row>
    <row r="239" ht="12.0" customHeight="1">
      <c r="A239" s="5"/>
      <c r="B239" s="92" t="s">
        <v>635</v>
      </c>
      <c r="C239" s="204">
        <f>C238/Parametros!$J$37</f>
        <v>3.155333333</v>
      </c>
      <c r="D239" s="204">
        <f>D238/Parametros!$J$37</f>
        <v>2.524266667</v>
      </c>
      <c r="E239" s="204">
        <f>E238/Parametros!$J$37</f>
        <v>2.682033333</v>
      </c>
      <c r="F239" s="204">
        <f>F238/Parametros!$J$37</f>
        <v>2.682033333</v>
      </c>
      <c r="G239" s="204">
        <f>G238/Parametros!$J$37</f>
        <v>2.524266667</v>
      </c>
      <c r="H239" s="204">
        <f>H238/Parametros!$J$37</f>
        <v>2.3665</v>
      </c>
      <c r="I239" s="204">
        <f>I238/Parametros!$J$37</f>
        <v>2.524266667</v>
      </c>
      <c r="J239" s="204">
        <f>J238/Parametros!$J$37</f>
        <v>2.524266667</v>
      </c>
      <c r="K239" s="204">
        <f>K238/Parametros!$J$37</f>
        <v>2.524266667</v>
      </c>
      <c r="L239" s="204">
        <f>L238/Parametros!$J$37</f>
        <v>2.3665</v>
      </c>
      <c r="M239" s="204">
        <f>M238/Parametros!$J$37</f>
        <v>2.208733333</v>
      </c>
      <c r="N239" s="204">
        <f>N238/Parametros!$J$37</f>
        <v>3.470866667</v>
      </c>
      <c r="O239" s="5"/>
      <c r="P239" s="5"/>
      <c r="Q239" s="5"/>
      <c r="R239" s="5"/>
      <c r="S239" s="5"/>
      <c r="T239" s="5"/>
      <c r="U239" s="5"/>
      <c r="V239" s="5"/>
      <c r="W239" s="5"/>
      <c r="X239" s="5"/>
      <c r="Y239" s="5"/>
      <c r="Z239" s="5"/>
    </row>
    <row r="240" ht="12.0" customHeight="1">
      <c r="A240" s="92" t="s">
        <v>636</v>
      </c>
      <c r="B240" s="5"/>
      <c r="C240" s="204">
        <f t="shared" ref="C240:N240" si="70">C239</f>
        <v>3.155333333</v>
      </c>
      <c r="D240" s="204">
        <f t="shared" si="70"/>
        <v>2.524266667</v>
      </c>
      <c r="E240" s="204">
        <f t="shared" si="70"/>
        <v>2.682033333</v>
      </c>
      <c r="F240" s="204">
        <f t="shared" si="70"/>
        <v>2.682033333</v>
      </c>
      <c r="G240" s="204">
        <f t="shared" si="70"/>
        <v>2.524266667</v>
      </c>
      <c r="H240" s="204">
        <f t="shared" si="70"/>
        <v>2.3665</v>
      </c>
      <c r="I240" s="204">
        <f t="shared" si="70"/>
        <v>2.524266667</v>
      </c>
      <c r="J240" s="204">
        <f t="shared" si="70"/>
        <v>2.524266667</v>
      </c>
      <c r="K240" s="204">
        <f t="shared" si="70"/>
        <v>2.524266667</v>
      </c>
      <c r="L240" s="204">
        <f t="shared" si="70"/>
        <v>2.3665</v>
      </c>
      <c r="M240" s="204">
        <f t="shared" si="70"/>
        <v>2.208733333</v>
      </c>
      <c r="N240" s="204">
        <f t="shared" si="70"/>
        <v>3.470866667</v>
      </c>
      <c r="O240" s="5"/>
      <c r="P240" s="5"/>
      <c r="Q240" s="5"/>
      <c r="R240" s="5"/>
      <c r="S240" s="5"/>
      <c r="T240" s="5"/>
      <c r="U240" s="5"/>
      <c r="V240" s="5"/>
      <c r="W240" s="5"/>
      <c r="X240" s="5"/>
      <c r="Y240" s="5"/>
      <c r="Z240" s="5"/>
    </row>
    <row r="241" ht="12.0" customHeight="1">
      <c r="A241" s="92" t="s">
        <v>637</v>
      </c>
      <c r="B241" s="5"/>
      <c r="C241" s="205">
        <f>'Resumen Capacidad'!$C$116</f>
        <v>56.576</v>
      </c>
      <c r="D241" s="205">
        <f>'Resumen Capacidad'!$C$116</f>
        <v>56.576</v>
      </c>
      <c r="E241" s="205">
        <f>'Resumen Capacidad'!$C$116</f>
        <v>56.576</v>
      </c>
      <c r="F241" s="205">
        <f>'Resumen Capacidad'!$C$116</f>
        <v>56.576</v>
      </c>
      <c r="G241" s="205">
        <f>'Resumen Capacidad'!$C$116</f>
        <v>56.576</v>
      </c>
      <c r="H241" s="205">
        <f>'Resumen Capacidad'!$C$116</f>
        <v>56.576</v>
      </c>
      <c r="I241" s="205">
        <f>'Resumen Capacidad'!$C$116</f>
        <v>56.576</v>
      </c>
      <c r="J241" s="205">
        <f>'Resumen Capacidad'!$C$116</f>
        <v>56.576</v>
      </c>
      <c r="K241" s="205">
        <f>'Resumen Capacidad'!$C$116</f>
        <v>56.576</v>
      </c>
      <c r="L241" s="205">
        <f>'Resumen Capacidad'!$C$116</f>
        <v>56.576</v>
      </c>
      <c r="M241" s="205">
        <f>'Resumen Capacidad'!$C$116</f>
        <v>56.576</v>
      </c>
      <c r="N241" s="205">
        <f>'Resumen Capacidad'!$C$116</f>
        <v>56.576</v>
      </c>
      <c r="O241" s="5"/>
      <c r="P241" s="5"/>
      <c r="Q241" s="5"/>
      <c r="R241" s="5"/>
      <c r="S241" s="5"/>
      <c r="T241" s="5"/>
      <c r="U241" s="5"/>
      <c r="V241" s="5"/>
      <c r="W241" s="5"/>
      <c r="X241" s="5"/>
      <c r="Y241" s="5"/>
      <c r="Z241" s="5"/>
    </row>
    <row r="242" ht="12.0" customHeight="1">
      <c r="A242" s="92" t="s">
        <v>640</v>
      </c>
      <c r="B242" s="5"/>
      <c r="C242" s="204">
        <f>'Resumen Capacidad'!$C$34*'Resumen Capacidad'!$C$70</f>
        <v>1</v>
      </c>
      <c r="D242" s="204">
        <f>'Resumen Capacidad'!$C$34*'Resumen Capacidad'!$C$70</f>
        <v>1</v>
      </c>
      <c r="E242" s="204">
        <f>'Resumen Capacidad'!$C$34*'Resumen Capacidad'!$C$70</f>
        <v>1</v>
      </c>
      <c r="F242" s="204">
        <f>'Resumen Capacidad'!$C$34*'Resumen Capacidad'!$C$70</f>
        <v>1</v>
      </c>
      <c r="G242" s="204">
        <f>'Resumen Capacidad'!$C$34*'Resumen Capacidad'!$C$70</f>
        <v>1</v>
      </c>
      <c r="H242" s="204">
        <f>'Resumen Capacidad'!$C$34*'Resumen Capacidad'!$C$70</f>
        <v>1</v>
      </c>
      <c r="I242" s="204">
        <f>'Resumen Capacidad'!$C$34*'Resumen Capacidad'!$C$70</f>
        <v>1</v>
      </c>
      <c r="J242" s="204">
        <f>'Resumen Capacidad'!$C$34*'Resumen Capacidad'!$C$70</f>
        <v>1</v>
      </c>
      <c r="K242" s="204">
        <f>'Resumen Capacidad'!$C$34*'Resumen Capacidad'!$C$70</f>
        <v>1</v>
      </c>
      <c r="L242" s="204">
        <f>'Resumen Capacidad'!$C$34*'Resumen Capacidad'!$C$70</f>
        <v>1</v>
      </c>
      <c r="M242" s="204">
        <f>'Resumen Capacidad'!$C$34*'Resumen Capacidad'!$C$70</f>
        <v>1</v>
      </c>
      <c r="N242" s="204">
        <f>'Resumen Capacidad'!$C$34*'Resumen Capacidad'!$C$70</f>
        <v>1</v>
      </c>
      <c r="O242" s="5"/>
      <c r="P242" s="5"/>
      <c r="Q242" s="5"/>
      <c r="R242" s="5"/>
      <c r="S242" s="5"/>
      <c r="T242" s="5"/>
      <c r="U242" s="5"/>
      <c r="V242" s="5"/>
      <c r="W242" s="5"/>
      <c r="X242" s="5"/>
      <c r="Y242" s="5"/>
      <c r="Z242" s="5"/>
    </row>
    <row r="243" ht="12.0" customHeight="1">
      <c r="A243" s="92" t="s">
        <v>642</v>
      </c>
      <c r="B243" s="5"/>
      <c r="C243" s="204">
        <f t="shared" ref="C243:N243" si="71">C241*C242</f>
        <v>56.576</v>
      </c>
      <c r="D243" s="204">
        <f t="shared" si="71"/>
        <v>56.576</v>
      </c>
      <c r="E243" s="204">
        <f t="shared" si="71"/>
        <v>56.576</v>
      </c>
      <c r="F243" s="204">
        <f t="shared" si="71"/>
        <v>56.576</v>
      </c>
      <c r="G243" s="204">
        <f t="shared" si="71"/>
        <v>56.576</v>
      </c>
      <c r="H243" s="204">
        <f t="shared" si="71"/>
        <v>56.576</v>
      </c>
      <c r="I243" s="204">
        <f t="shared" si="71"/>
        <v>56.576</v>
      </c>
      <c r="J243" s="204">
        <f t="shared" si="71"/>
        <v>56.576</v>
      </c>
      <c r="K243" s="204">
        <f t="shared" si="71"/>
        <v>56.576</v>
      </c>
      <c r="L243" s="204">
        <f t="shared" si="71"/>
        <v>56.576</v>
      </c>
      <c r="M243" s="204">
        <f t="shared" si="71"/>
        <v>56.576</v>
      </c>
      <c r="N243" s="204">
        <f t="shared" si="71"/>
        <v>56.576</v>
      </c>
      <c r="O243" s="5"/>
      <c r="P243" s="5"/>
      <c r="Q243" s="5"/>
      <c r="R243" s="5"/>
      <c r="S243" s="5"/>
      <c r="T243" s="5"/>
      <c r="U243" s="5"/>
      <c r="V243" s="5"/>
      <c r="W243" s="5"/>
      <c r="X243" s="5"/>
      <c r="Y243" s="5"/>
      <c r="Z243" s="5"/>
    </row>
    <row r="244" ht="12.0" customHeight="1">
      <c r="A244" s="92" t="s">
        <v>643</v>
      </c>
      <c r="B244" s="5"/>
      <c r="C244" s="206">
        <f t="shared" ref="C244:N244" si="72">IF(C243=0,0,C240/C243)</f>
        <v>0.05577158748</v>
      </c>
      <c r="D244" s="206">
        <f t="shared" si="72"/>
        <v>0.04461726998</v>
      </c>
      <c r="E244" s="206">
        <f t="shared" si="72"/>
        <v>0.04740584936</v>
      </c>
      <c r="F244" s="206">
        <f t="shared" si="72"/>
        <v>0.04740584936</v>
      </c>
      <c r="G244" s="206">
        <f t="shared" si="72"/>
        <v>0.04461726998</v>
      </c>
      <c r="H244" s="206">
        <f t="shared" si="72"/>
        <v>0.04182869061</v>
      </c>
      <c r="I244" s="206">
        <f t="shared" si="72"/>
        <v>0.04461726998</v>
      </c>
      <c r="J244" s="206">
        <f t="shared" si="72"/>
        <v>0.04461726998</v>
      </c>
      <c r="K244" s="206">
        <f t="shared" si="72"/>
        <v>0.04461726998</v>
      </c>
      <c r="L244" s="206">
        <f t="shared" si="72"/>
        <v>0.04182869061</v>
      </c>
      <c r="M244" s="206">
        <f t="shared" si="72"/>
        <v>0.03904011124</v>
      </c>
      <c r="N244" s="206">
        <f t="shared" si="72"/>
        <v>0.06134874623</v>
      </c>
      <c r="O244" s="5"/>
      <c r="P244" s="5"/>
      <c r="Q244" s="5"/>
      <c r="R244" s="5"/>
      <c r="S244" s="5"/>
      <c r="T244" s="5"/>
      <c r="U244" s="5"/>
      <c r="V244" s="5"/>
      <c r="W244" s="5"/>
      <c r="X244" s="5"/>
      <c r="Y244" s="5"/>
      <c r="Z244" s="5"/>
    </row>
    <row r="245" ht="12.0" customHeight="1">
      <c r="A245" s="201" t="s">
        <v>663</v>
      </c>
      <c r="B245" s="202"/>
      <c r="C245" s="202"/>
      <c r="D245" s="202"/>
      <c r="E245" s="202"/>
      <c r="F245" s="202"/>
      <c r="G245" s="202"/>
      <c r="H245" s="202"/>
      <c r="I245" s="202"/>
      <c r="J245" s="202"/>
      <c r="K245" s="202"/>
      <c r="L245" s="202"/>
      <c r="M245" s="202"/>
      <c r="N245" s="202"/>
      <c r="O245" s="5"/>
      <c r="P245" s="5"/>
      <c r="Q245" s="5"/>
      <c r="R245" s="5"/>
      <c r="S245" s="5"/>
      <c r="T245" s="5"/>
      <c r="U245" s="5"/>
      <c r="V245" s="5"/>
      <c r="W245" s="5"/>
      <c r="X245" s="5"/>
      <c r="Y245" s="5"/>
      <c r="Z245" s="5"/>
    </row>
    <row r="246" ht="12.0" customHeight="1">
      <c r="A246" s="201" t="s">
        <v>630</v>
      </c>
      <c r="B246" s="201" t="s">
        <v>631</v>
      </c>
      <c r="C246" s="201" t="s">
        <v>3</v>
      </c>
      <c r="D246" s="201" t="s">
        <v>4</v>
      </c>
      <c r="E246" s="201" t="s">
        <v>5</v>
      </c>
      <c r="F246" s="201" t="s">
        <v>6</v>
      </c>
      <c r="G246" s="201" t="s">
        <v>7</v>
      </c>
      <c r="H246" s="201" t="s">
        <v>8</v>
      </c>
      <c r="I246" s="201" t="s">
        <v>9</v>
      </c>
      <c r="J246" s="201" t="s">
        <v>10</v>
      </c>
      <c r="K246" s="201" t="s">
        <v>11</v>
      </c>
      <c r="L246" s="201" t="s">
        <v>12</v>
      </c>
      <c r="M246" s="201" t="s">
        <v>13</v>
      </c>
      <c r="N246" s="201" t="s">
        <v>14</v>
      </c>
      <c r="O246" s="5"/>
      <c r="P246" s="5"/>
      <c r="Q246" s="5"/>
      <c r="R246" s="5"/>
      <c r="S246" s="5"/>
      <c r="T246" s="5"/>
      <c r="U246" s="5"/>
      <c r="V246" s="5"/>
      <c r="W246" s="5"/>
      <c r="X246" s="5"/>
      <c r="Y246" s="5"/>
      <c r="Z246" s="5"/>
    </row>
    <row r="247" ht="12.0" customHeight="1">
      <c r="A247" s="92" t="s">
        <v>632</v>
      </c>
      <c r="B247" s="92" t="s">
        <v>633</v>
      </c>
      <c r="C247" s="203">
        <f>SUM('2027'!B6:B9)+SUM('2027'!B17:B20)</f>
        <v>1192.94</v>
      </c>
      <c r="D247" s="203">
        <f>SUM('2027'!C6:C9)+SUM('2027'!C17:C20)</f>
        <v>918.37</v>
      </c>
      <c r="E247" s="203">
        <f>SUM('2027'!D6:D9)+SUM('2027'!D17:D20)</f>
        <v>882.065</v>
      </c>
      <c r="F247" s="203">
        <f>SUM('2027'!E6:E9)+SUM('2027'!E17:E20)</f>
        <v>852.08</v>
      </c>
      <c r="G247" s="203">
        <f>SUM('2027'!F6:F9)+SUM('2027'!F17:F20)</f>
        <v>798.43</v>
      </c>
      <c r="H247" s="203">
        <f>SUM('2027'!G6:G9)+SUM('2027'!G17:G20)</f>
        <v>774.765</v>
      </c>
      <c r="I247" s="203">
        <f>SUM('2027'!H6:H9)+SUM('2027'!H17:H20)</f>
        <v>828.415</v>
      </c>
      <c r="J247" s="203">
        <f>SUM('2027'!I6:I9)+SUM('2027'!I17:I20)</f>
        <v>828.415</v>
      </c>
      <c r="K247" s="203">
        <f>SUM('2027'!J6:J9)+SUM('2027'!J17:J20)</f>
        <v>828.415</v>
      </c>
      <c r="L247" s="203">
        <f>SUM('2027'!K6:K9)+SUM('2027'!K17:K20)</f>
        <v>804.75</v>
      </c>
      <c r="M247" s="203">
        <f>SUM('2027'!L6:L9)+SUM('2027'!L17:L20)</f>
        <v>781.085</v>
      </c>
      <c r="N247" s="203">
        <f>SUM('2027'!M6:M9)+SUM('2027'!M17:M20)</f>
        <v>1240.27</v>
      </c>
      <c r="O247" s="5"/>
      <c r="P247" s="5"/>
      <c r="Q247" s="5"/>
      <c r="R247" s="5"/>
      <c r="S247" s="5"/>
      <c r="T247" s="5"/>
      <c r="U247" s="5"/>
      <c r="V247" s="5"/>
      <c r="W247" s="5"/>
      <c r="X247" s="5"/>
      <c r="Y247" s="5"/>
      <c r="Z247" s="5"/>
    </row>
    <row r="248" ht="12.0" customHeight="1">
      <c r="A248" s="5"/>
      <c r="B248" s="92" t="s">
        <v>634</v>
      </c>
      <c r="C248" s="204">
        <f>C247/Parametros!$B$37</f>
        <v>59.647</v>
      </c>
      <c r="D248" s="204">
        <f>D247/Parametros!$B$37</f>
        <v>45.9185</v>
      </c>
      <c r="E248" s="204">
        <f>E247/Parametros!$B$37</f>
        <v>44.10325</v>
      </c>
      <c r="F248" s="204">
        <f>F247/Parametros!$B$37</f>
        <v>42.604</v>
      </c>
      <c r="G248" s="204">
        <f>G247/Parametros!$B$37</f>
        <v>39.9215</v>
      </c>
      <c r="H248" s="204">
        <f>H247/Parametros!$B$37</f>
        <v>38.73825</v>
      </c>
      <c r="I248" s="204">
        <f>I247/Parametros!$B$37</f>
        <v>41.42075</v>
      </c>
      <c r="J248" s="204">
        <f>J247/Parametros!$B$37</f>
        <v>41.42075</v>
      </c>
      <c r="K248" s="204">
        <f>K247/Parametros!$B$37</f>
        <v>41.42075</v>
      </c>
      <c r="L248" s="204">
        <f>L247/Parametros!$B$37</f>
        <v>40.2375</v>
      </c>
      <c r="M248" s="204">
        <f>M247/Parametros!$B$37</f>
        <v>39.05425</v>
      </c>
      <c r="N248" s="204">
        <f>N247/Parametros!$B$37</f>
        <v>62.0135</v>
      </c>
      <c r="O248" s="5"/>
      <c r="P248" s="5"/>
      <c r="Q248" s="5"/>
      <c r="R248" s="5"/>
      <c r="S248" s="5"/>
      <c r="T248" s="5"/>
      <c r="U248" s="5"/>
      <c r="V248" s="5"/>
      <c r="W248" s="5"/>
      <c r="X248" s="5"/>
      <c r="Y248" s="5"/>
      <c r="Z248" s="5"/>
    </row>
    <row r="249" ht="12.0" customHeight="1">
      <c r="A249" s="5"/>
      <c r="B249" s="92" t="s">
        <v>635</v>
      </c>
      <c r="C249" s="204">
        <f>C248/Parametros!$J$37</f>
        <v>7.952933333</v>
      </c>
      <c r="D249" s="204">
        <f>D248/Parametros!$J$37</f>
        <v>6.122466667</v>
      </c>
      <c r="E249" s="204">
        <f>E248/Parametros!$J$37</f>
        <v>5.880433333</v>
      </c>
      <c r="F249" s="204">
        <f>F248/Parametros!$J$37</f>
        <v>5.680533333</v>
      </c>
      <c r="G249" s="204">
        <f>G248/Parametros!$J$37</f>
        <v>5.322866667</v>
      </c>
      <c r="H249" s="204">
        <f>H248/Parametros!$J$37</f>
        <v>5.1651</v>
      </c>
      <c r="I249" s="204">
        <f>I248/Parametros!$J$37</f>
        <v>5.522766667</v>
      </c>
      <c r="J249" s="204">
        <f>J248/Parametros!$J$37</f>
        <v>5.522766667</v>
      </c>
      <c r="K249" s="204">
        <f>K248/Parametros!$J$37</f>
        <v>5.522766667</v>
      </c>
      <c r="L249" s="204">
        <f>L248/Parametros!$J$37</f>
        <v>5.365</v>
      </c>
      <c r="M249" s="204">
        <f>M248/Parametros!$J$37</f>
        <v>5.207233333</v>
      </c>
      <c r="N249" s="204">
        <f>N248/Parametros!$J$37</f>
        <v>8.268466667</v>
      </c>
      <c r="O249" s="5"/>
      <c r="P249" s="5"/>
      <c r="Q249" s="5"/>
      <c r="R249" s="5"/>
      <c r="S249" s="5"/>
      <c r="T249" s="5"/>
      <c r="U249" s="5"/>
      <c r="V249" s="5"/>
      <c r="W249" s="5"/>
      <c r="X249" s="5"/>
      <c r="Y249" s="5"/>
      <c r="Z249" s="5"/>
    </row>
    <row r="250" ht="12.0" customHeight="1">
      <c r="A250" s="92" t="s">
        <v>636</v>
      </c>
      <c r="B250" s="5"/>
      <c r="C250" s="204">
        <f t="shared" ref="C250:N250" si="73">C249</f>
        <v>7.952933333</v>
      </c>
      <c r="D250" s="204">
        <f t="shared" si="73"/>
        <v>6.122466667</v>
      </c>
      <c r="E250" s="204">
        <f t="shared" si="73"/>
        <v>5.880433333</v>
      </c>
      <c r="F250" s="204">
        <f t="shared" si="73"/>
        <v>5.680533333</v>
      </c>
      <c r="G250" s="204">
        <f t="shared" si="73"/>
        <v>5.322866667</v>
      </c>
      <c r="H250" s="204">
        <f t="shared" si="73"/>
        <v>5.1651</v>
      </c>
      <c r="I250" s="204">
        <f t="shared" si="73"/>
        <v>5.522766667</v>
      </c>
      <c r="J250" s="204">
        <f t="shared" si="73"/>
        <v>5.522766667</v>
      </c>
      <c r="K250" s="204">
        <f t="shared" si="73"/>
        <v>5.522766667</v>
      </c>
      <c r="L250" s="204">
        <f t="shared" si="73"/>
        <v>5.365</v>
      </c>
      <c r="M250" s="204">
        <f t="shared" si="73"/>
        <v>5.207233333</v>
      </c>
      <c r="N250" s="204">
        <f t="shared" si="73"/>
        <v>8.268466667</v>
      </c>
      <c r="O250" s="5"/>
      <c r="P250" s="5"/>
      <c r="Q250" s="5"/>
      <c r="R250" s="5"/>
      <c r="S250" s="5"/>
      <c r="T250" s="5"/>
      <c r="U250" s="5"/>
      <c r="V250" s="5"/>
      <c r="W250" s="5"/>
      <c r="X250" s="5"/>
      <c r="Y250" s="5"/>
      <c r="Z250" s="5"/>
    </row>
    <row r="251" ht="12.0" customHeight="1">
      <c r="A251" s="92" t="s">
        <v>637</v>
      </c>
      <c r="B251" s="5"/>
      <c r="C251" s="205">
        <f>'Resumen Capacidad'!$C$117</f>
        <v>60.656</v>
      </c>
      <c r="D251" s="205">
        <f>'Resumen Capacidad'!$C$117</f>
        <v>60.656</v>
      </c>
      <c r="E251" s="205">
        <f>'Resumen Capacidad'!$C$117</f>
        <v>60.656</v>
      </c>
      <c r="F251" s="205">
        <f>'Resumen Capacidad'!$C$117</f>
        <v>60.656</v>
      </c>
      <c r="G251" s="205">
        <f>'Resumen Capacidad'!$C$117</f>
        <v>60.656</v>
      </c>
      <c r="H251" s="205">
        <f>'Resumen Capacidad'!$C$117</f>
        <v>60.656</v>
      </c>
      <c r="I251" s="205">
        <f>'Resumen Capacidad'!$C$117</f>
        <v>60.656</v>
      </c>
      <c r="J251" s="205">
        <f>'Resumen Capacidad'!$C$117</f>
        <v>60.656</v>
      </c>
      <c r="K251" s="205">
        <f>'Resumen Capacidad'!$C$117</f>
        <v>60.656</v>
      </c>
      <c r="L251" s="205">
        <f>'Resumen Capacidad'!$C$117</f>
        <v>60.656</v>
      </c>
      <c r="M251" s="205">
        <f>'Resumen Capacidad'!$C$117</f>
        <v>60.656</v>
      </c>
      <c r="N251" s="205">
        <f>'Resumen Capacidad'!$C$117</f>
        <v>60.656</v>
      </c>
      <c r="O251" s="5"/>
      <c r="P251" s="5"/>
      <c r="Q251" s="5"/>
      <c r="R251" s="5"/>
      <c r="S251" s="5"/>
      <c r="T251" s="5"/>
      <c r="U251" s="5"/>
      <c r="V251" s="5"/>
      <c r="W251" s="5"/>
      <c r="X251" s="5"/>
      <c r="Y251" s="5"/>
      <c r="Z251" s="5"/>
    </row>
    <row r="252" ht="12.0" customHeight="1">
      <c r="A252" s="92" t="s">
        <v>640</v>
      </c>
      <c r="B252" s="5"/>
      <c r="C252" s="204">
        <f>'Resumen Capacidad'!$C$35*'Resumen Capacidad'!$C$71</f>
        <v>1</v>
      </c>
      <c r="D252" s="204">
        <f>'Resumen Capacidad'!$C$35*'Resumen Capacidad'!$C$71</f>
        <v>1</v>
      </c>
      <c r="E252" s="204">
        <f>'Resumen Capacidad'!$C$35*'Resumen Capacidad'!$C$71</f>
        <v>1</v>
      </c>
      <c r="F252" s="204">
        <f>'Resumen Capacidad'!$C$35*'Resumen Capacidad'!$C$71</f>
        <v>1</v>
      </c>
      <c r="G252" s="204">
        <f>'Resumen Capacidad'!$C$35*'Resumen Capacidad'!$C$71</f>
        <v>1</v>
      </c>
      <c r="H252" s="204">
        <f>'Resumen Capacidad'!$C$35*'Resumen Capacidad'!$C$71</f>
        <v>1</v>
      </c>
      <c r="I252" s="204">
        <f>'Resumen Capacidad'!$C$35*'Resumen Capacidad'!$C$71</f>
        <v>1</v>
      </c>
      <c r="J252" s="204">
        <f>'Resumen Capacidad'!$C$35*'Resumen Capacidad'!$C$71</f>
        <v>1</v>
      </c>
      <c r="K252" s="204">
        <f>'Resumen Capacidad'!$C$35*'Resumen Capacidad'!$C$71</f>
        <v>1</v>
      </c>
      <c r="L252" s="204">
        <f>'Resumen Capacidad'!$C$35*'Resumen Capacidad'!$C$71</f>
        <v>1</v>
      </c>
      <c r="M252" s="204">
        <f>'Resumen Capacidad'!$C$35*'Resumen Capacidad'!$C$71</f>
        <v>1</v>
      </c>
      <c r="N252" s="204">
        <f>'Resumen Capacidad'!$C$35*'Resumen Capacidad'!$C$71</f>
        <v>1</v>
      </c>
      <c r="O252" s="5"/>
      <c r="P252" s="5"/>
      <c r="Q252" s="5"/>
      <c r="R252" s="5"/>
      <c r="S252" s="5"/>
      <c r="T252" s="5"/>
      <c r="U252" s="5"/>
      <c r="V252" s="5"/>
      <c r="W252" s="5"/>
      <c r="X252" s="5"/>
      <c r="Y252" s="5"/>
      <c r="Z252" s="5"/>
    </row>
    <row r="253" ht="12.0" customHeight="1">
      <c r="A253" s="92" t="s">
        <v>642</v>
      </c>
      <c r="B253" s="5"/>
      <c r="C253" s="204">
        <f t="shared" ref="C253:N253" si="74">C251*C252</f>
        <v>60.656</v>
      </c>
      <c r="D253" s="204">
        <f t="shared" si="74"/>
        <v>60.656</v>
      </c>
      <c r="E253" s="204">
        <f t="shared" si="74"/>
        <v>60.656</v>
      </c>
      <c r="F253" s="204">
        <f t="shared" si="74"/>
        <v>60.656</v>
      </c>
      <c r="G253" s="204">
        <f t="shared" si="74"/>
        <v>60.656</v>
      </c>
      <c r="H253" s="204">
        <f t="shared" si="74"/>
        <v>60.656</v>
      </c>
      <c r="I253" s="204">
        <f t="shared" si="74"/>
        <v>60.656</v>
      </c>
      <c r="J253" s="204">
        <f t="shared" si="74"/>
        <v>60.656</v>
      </c>
      <c r="K253" s="204">
        <f t="shared" si="74"/>
        <v>60.656</v>
      </c>
      <c r="L253" s="204">
        <f t="shared" si="74"/>
        <v>60.656</v>
      </c>
      <c r="M253" s="204">
        <f t="shared" si="74"/>
        <v>60.656</v>
      </c>
      <c r="N253" s="204">
        <f t="shared" si="74"/>
        <v>60.656</v>
      </c>
      <c r="O253" s="5"/>
      <c r="P253" s="5"/>
      <c r="Q253" s="5"/>
      <c r="R253" s="5"/>
      <c r="S253" s="5"/>
      <c r="T253" s="5"/>
      <c r="U253" s="5"/>
      <c r="V253" s="5"/>
      <c r="W253" s="5"/>
      <c r="X253" s="5"/>
      <c r="Y253" s="5"/>
      <c r="Z253" s="5"/>
    </row>
    <row r="254" ht="12.0" customHeight="1">
      <c r="A254" s="92" t="s">
        <v>643</v>
      </c>
      <c r="B254" s="5"/>
      <c r="C254" s="206">
        <f t="shared" ref="C254:N254" si="75">IF(C253=0,0,C250/C253)</f>
        <v>0.1311153609</v>
      </c>
      <c r="D254" s="206">
        <f t="shared" si="75"/>
        <v>0.1009375275</v>
      </c>
      <c r="E254" s="206">
        <f t="shared" si="75"/>
        <v>0.09694726545</v>
      </c>
      <c r="F254" s="206">
        <f t="shared" si="75"/>
        <v>0.09365163106</v>
      </c>
      <c r="G254" s="206">
        <f t="shared" si="75"/>
        <v>0.08775498989</v>
      </c>
      <c r="H254" s="206">
        <f t="shared" si="75"/>
        <v>0.08515398312</v>
      </c>
      <c r="I254" s="206">
        <f t="shared" si="75"/>
        <v>0.09105062429</v>
      </c>
      <c r="J254" s="206">
        <f t="shared" si="75"/>
        <v>0.09105062429</v>
      </c>
      <c r="K254" s="206">
        <f t="shared" si="75"/>
        <v>0.09105062429</v>
      </c>
      <c r="L254" s="206">
        <f t="shared" si="75"/>
        <v>0.08844961752</v>
      </c>
      <c r="M254" s="206">
        <f t="shared" si="75"/>
        <v>0.08584861074</v>
      </c>
      <c r="N254" s="206">
        <f t="shared" si="75"/>
        <v>0.1363173745</v>
      </c>
      <c r="O254" s="5"/>
      <c r="P254" s="5"/>
      <c r="Q254" s="5"/>
      <c r="R254" s="5"/>
      <c r="S254" s="5"/>
      <c r="T254" s="5"/>
      <c r="U254" s="5"/>
      <c r="V254" s="5"/>
      <c r="W254" s="5"/>
      <c r="X254" s="5"/>
      <c r="Y254" s="5"/>
      <c r="Z254" s="5"/>
    </row>
    <row r="255" ht="12.0" customHeight="1">
      <c r="A255" s="201" t="s">
        <v>664</v>
      </c>
      <c r="B255" s="202"/>
      <c r="C255" s="202"/>
      <c r="D255" s="202"/>
      <c r="E255" s="202"/>
      <c r="F255" s="202"/>
      <c r="G255" s="202"/>
      <c r="H255" s="202"/>
      <c r="I255" s="202"/>
      <c r="J255" s="202"/>
      <c r="K255" s="202"/>
      <c r="L255" s="202"/>
      <c r="M255" s="202"/>
      <c r="N255" s="202"/>
      <c r="O255" s="5"/>
      <c r="P255" s="5"/>
      <c r="Q255" s="5"/>
      <c r="R255" s="5"/>
      <c r="S255" s="5"/>
      <c r="T255" s="5"/>
      <c r="U255" s="5"/>
      <c r="V255" s="5"/>
      <c r="W255" s="5"/>
      <c r="X255" s="5"/>
      <c r="Y255" s="5"/>
      <c r="Z255" s="5"/>
    </row>
    <row r="256" ht="12.0" customHeight="1">
      <c r="A256" s="201" t="s">
        <v>630</v>
      </c>
      <c r="B256" s="201" t="s">
        <v>631</v>
      </c>
      <c r="C256" s="201" t="s">
        <v>3</v>
      </c>
      <c r="D256" s="201" t="s">
        <v>4</v>
      </c>
      <c r="E256" s="201" t="s">
        <v>5</v>
      </c>
      <c r="F256" s="201" t="s">
        <v>6</v>
      </c>
      <c r="G256" s="201" t="s">
        <v>7</v>
      </c>
      <c r="H256" s="201" t="s">
        <v>8</v>
      </c>
      <c r="I256" s="201" t="s">
        <v>9</v>
      </c>
      <c r="J256" s="201" t="s">
        <v>10</v>
      </c>
      <c r="K256" s="201" t="s">
        <v>11</v>
      </c>
      <c r="L256" s="201" t="s">
        <v>12</v>
      </c>
      <c r="M256" s="201" t="s">
        <v>13</v>
      </c>
      <c r="N256" s="201" t="s">
        <v>14</v>
      </c>
      <c r="O256" s="5"/>
      <c r="P256" s="5"/>
      <c r="Q256" s="5"/>
      <c r="R256" s="5"/>
      <c r="S256" s="5"/>
      <c r="T256" s="5"/>
      <c r="U256" s="5"/>
      <c r="V256" s="5"/>
      <c r="W256" s="5"/>
      <c r="X256" s="5"/>
      <c r="Y256" s="5"/>
      <c r="Z256" s="5"/>
    </row>
    <row r="257" ht="12.0" customHeight="1">
      <c r="A257" s="92" t="s">
        <v>632</v>
      </c>
      <c r="B257" s="92" t="s">
        <v>633</v>
      </c>
      <c r="C257" s="203">
        <f>SUM('2027'!B6:B9)+SUM('2027'!B17:B20)</f>
        <v>1192.94</v>
      </c>
      <c r="D257" s="203">
        <f>SUM('2027'!C6:C9)+SUM('2027'!C17:C20)</f>
        <v>918.37</v>
      </c>
      <c r="E257" s="203">
        <f>SUM('2027'!D6:D9)+SUM('2027'!D17:D20)</f>
        <v>882.065</v>
      </c>
      <c r="F257" s="203">
        <f>SUM('2027'!E6:E9)+SUM('2027'!E17:E20)</f>
        <v>852.08</v>
      </c>
      <c r="G257" s="203">
        <f>SUM('2027'!F6:F9)+SUM('2027'!F17:F20)</f>
        <v>798.43</v>
      </c>
      <c r="H257" s="203">
        <f>SUM('2027'!G6:G9)+SUM('2027'!G17:G20)</f>
        <v>774.765</v>
      </c>
      <c r="I257" s="203">
        <f>SUM('2027'!H6:H9)+SUM('2027'!H17:H20)</f>
        <v>828.415</v>
      </c>
      <c r="J257" s="203">
        <f>SUM('2027'!I6:I9)+SUM('2027'!I17:I20)</f>
        <v>828.415</v>
      </c>
      <c r="K257" s="203">
        <f>SUM('2027'!J6:J9)+SUM('2027'!J17:J20)</f>
        <v>828.415</v>
      </c>
      <c r="L257" s="203">
        <f>SUM('2027'!K6:K9)+SUM('2027'!K17:K20)</f>
        <v>804.75</v>
      </c>
      <c r="M257" s="203">
        <f>SUM('2027'!L6:L9)+SUM('2027'!L17:L20)</f>
        <v>781.085</v>
      </c>
      <c r="N257" s="203">
        <f>SUM('2027'!M6:M9)+SUM('2027'!M17:M20)</f>
        <v>1240.27</v>
      </c>
      <c r="O257" s="5"/>
      <c r="P257" s="5"/>
      <c r="Q257" s="5"/>
      <c r="R257" s="5"/>
      <c r="S257" s="5"/>
      <c r="T257" s="5"/>
      <c r="U257" s="5"/>
      <c r="V257" s="5"/>
      <c r="W257" s="5"/>
      <c r="X257" s="5"/>
      <c r="Y257" s="5"/>
      <c r="Z257" s="5"/>
    </row>
    <row r="258" ht="12.0" customHeight="1">
      <c r="A258" s="5"/>
      <c r="B258" s="92" t="s">
        <v>634</v>
      </c>
      <c r="C258" s="204">
        <f>C257/Parametros!$B$37</f>
        <v>59.647</v>
      </c>
      <c r="D258" s="204">
        <f>D257/Parametros!$B$37</f>
        <v>45.9185</v>
      </c>
      <c r="E258" s="204">
        <f>E257/Parametros!$B$37</f>
        <v>44.10325</v>
      </c>
      <c r="F258" s="204">
        <f>F257/Parametros!$B$37</f>
        <v>42.604</v>
      </c>
      <c r="G258" s="204">
        <f>G257/Parametros!$B$37</f>
        <v>39.9215</v>
      </c>
      <c r="H258" s="204">
        <f>H257/Parametros!$B$37</f>
        <v>38.73825</v>
      </c>
      <c r="I258" s="204">
        <f>I257/Parametros!$B$37</f>
        <v>41.42075</v>
      </c>
      <c r="J258" s="204">
        <f>J257/Parametros!$B$37</f>
        <v>41.42075</v>
      </c>
      <c r="K258" s="204">
        <f>K257/Parametros!$B$37</f>
        <v>41.42075</v>
      </c>
      <c r="L258" s="204">
        <f>L257/Parametros!$B$37</f>
        <v>40.2375</v>
      </c>
      <c r="M258" s="204">
        <f>M257/Parametros!$B$37</f>
        <v>39.05425</v>
      </c>
      <c r="N258" s="204">
        <f>N257/Parametros!$B$37</f>
        <v>62.0135</v>
      </c>
      <c r="O258" s="5"/>
      <c r="P258" s="5"/>
      <c r="Q258" s="5"/>
      <c r="R258" s="5"/>
      <c r="S258" s="5"/>
      <c r="T258" s="5"/>
      <c r="U258" s="5"/>
      <c r="V258" s="5"/>
      <c r="W258" s="5"/>
      <c r="X258" s="5"/>
      <c r="Y258" s="5"/>
      <c r="Z258" s="5"/>
    </row>
    <row r="259" ht="12.0" customHeight="1">
      <c r="A259" s="5"/>
      <c r="B259" s="92" t="s">
        <v>635</v>
      </c>
      <c r="C259" s="204">
        <f>C258/Parametros!$J$37</f>
        <v>7.952933333</v>
      </c>
      <c r="D259" s="204">
        <f>D258/Parametros!$J$37</f>
        <v>6.122466667</v>
      </c>
      <c r="E259" s="204">
        <f>E258/Parametros!$J$37</f>
        <v>5.880433333</v>
      </c>
      <c r="F259" s="204">
        <f>F258/Parametros!$J$37</f>
        <v>5.680533333</v>
      </c>
      <c r="G259" s="204">
        <f>G258/Parametros!$J$37</f>
        <v>5.322866667</v>
      </c>
      <c r="H259" s="204">
        <f>H258/Parametros!$J$37</f>
        <v>5.1651</v>
      </c>
      <c r="I259" s="204">
        <f>I258/Parametros!$J$37</f>
        <v>5.522766667</v>
      </c>
      <c r="J259" s="204">
        <f>J258/Parametros!$J$37</f>
        <v>5.522766667</v>
      </c>
      <c r="K259" s="204">
        <f>K258/Parametros!$J$37</f>
        <v>5.522766667</v>
      </c>
      <c r="L259" s="204">
        <f>L258/Parametros!$J$37</f>
        <v>5.365</v>
      </c>
      <c r="M259" s="204">
        <f>M258/Parametros!$J$37</f>
        <v>5.207233333</v>
      </c>
      <c r="N259" s="204">
        <f>N258/Parametros!$J$37</f>
        <v>8.268466667</v>
      </c>
      <c r="O259" s="5"/>
      <c r="P259" s="5"/>
      <c r="Q259" s="5"/>
      <c r="R259" s="5"/>
      <c r="S259" s="5"/>
      <c r="T259" s="5"/>
      <c r="U259" s="5"/>
      <c r="V259" s="5"/>
      <c r="W259" s="5"/>
      <c r="X259" s="5"/>
      <c r="Y259" s="5"/>
      <c r="Z259" s="5"/>
    </row>
    <row r="260" ht="12.0" customHeight="1">
      <c r="A260" s="92" t="s">
        <v>636</v>
      </c>
      <c r="B260" s="5"/>
      <c r="C260" s="204">
        <f t="shared" ref="C260:N260" si="76">C259</f>
        <v>7.952933333</v>
      </c>
      <c r="D260" s="204">
        <f t="shared" si="76"/>
        <v>6.122466667</v>
      </c>
      <c r="E260" s="204">
        <f t="shared" si="76"/>
        <v>5.880433333</v>
      </c>
      <c r="F260" s="204">
        <f t="shared" si="76"/>
        <v>5.680533333</v>
      </c>
      <c r="G260" s="204">
        <f t="shared" si="76"/>
        <v>5.322866667</v>
      </c>
      <c r="H260" s="204">
        <f t="shared" si="76"/>
        <v>5.1651</v>
      </c>
      <c r="I260" s="204">
        <f t="shared" si="76"/>
        <v>5.522766667</v>
      </c>
      <c r="J260" s="204">
        <f t="shared" si="76"/>
        <v>5.522766667</v>
      </c>
      <c r="K260" s="204">
        <f t="shared" si="76"/>
        <v>5.522766667</v>
      </c>
      <c r="L260" s="204">
        <f t="shared" si="76"/>
        <v>5.365</v>
      </c>
      <c r="M260" s="204">
        <f t="shared" si="76"/>
        <v>5.207233333</v>
      </c>
      <c r="N260" s="204">
        <f t="shared" si="76"/>
        <v>8.268466667</v>
      </c>
      <c r="O260" s="5"/>
      <c r="P260" s="5"/>
      <c r="Q260" s="5"/>
      <c r="R260" s="5"/>
      <c r="S260" s="5"/>
      <c r="T260" s="5"/>
      <c r="U260" s="5"/>
      <c r="V260" s="5"/>
      <c r="W260" s="5"/>
      <c r="X260" s="5"/>
      <c r="Y260" s="5"/>
      <c r="Z260" s="5"/>
    </row>
    <row r="261" ht="12.0" customHeight="1">
      <c r="A261" s="92" t="s">
        <v>637</v>
      </c>
      <c r="B261" s="5"/>
      <c r="C261" s="205">
        <f>'Resumen Capacidad'!$C$118</f>
        <v>187.425</v>
      </c>
      <c r="D261" s="205">
        <f>'Resumen Capacidad'!$C$118</f>
        <v>187.425</v>
      </c>
      <c r="E261" s="205">
        <f>'Resumen Capacidad'!$C$118</f>
        <v>187.425</v>
      </c>
      <c r="F261" s="205">
        <f>'Resumen Capacidad'!$C$118</f>
        <v>187.425</v>
      </c>
      <c r="G261" s="205">
        <f>'Resumen Capacidad'!$C$118</f>
        <v>187.425</v>
      </c>
      <c r="H261" s="205">
        <f>'Resumen Capacidad'!$C$118</f>
        <v>187.425</v>
      </c>
      <c r="I261" s="205">
        <f>'Resumen Capacidad'!$C$118</f>
        <v>187.425</v>
      </c>
      <c r="J261" s="205">
        <f>'Resumen Capacidad'!$C$118</f>
        <v>187.425</v>
      </c>
      <c r="K261" s="205">
        <f>'Resumen Capacidad'!$C$118</f>
        <v>187.425</v>
      </c>
      <c r="L261" s="205">
        <f>'Resumen Capacidad'!$C$118</f>
        <v>187.425</v>
      </c>
      <c r="M261" s="205">
        <f>'Resumen Capacidad'!$C$118</f>
        <v>187.425</v>
      </c>
      <c r="N261" s="205">
        <f>'Resumen Capacidad'!$C$118</f>
        <v>187.425</v>
      </c>
      <c r="O261" s="5"/>
      <c r="P261" s="5"/>
      <c r="Q261" s="5"/>
      <c r="R261" s="5"/>
      <c r="S261" s="5"/>
      <c r="T261" s="5"/>
      <c r="U261" s="5"/>
      <c r="V261" s="5"/>
      <c r="W261" s="5"/>
      <c r="X261" s="5"/>
      <c r="Y261" s="5"/>
      <c r="Z261" s="5"/>
    </row>
    <row r="262" ht="12.0" customHeight="1">
      <c r="A262" s="92" t="s">
        <v>640</v>
      </c>
      <c r="B262" s="5"/>
      <c r="C262" s="204">
        <f>'Resumen Capacidad'!$C$36*'Resumen Capacidad'!$C$72</f>
        <v>1</v>
      </c>
      <c r="D262" s="204">
        <f>'Resumen Capacidad'!$C$36*'Resumen Capacidad'!$C$72</f>
        <v>1</v>
      </c>
      <c r="E262" s="204">
        <f>'Resumen Capacidad'!$C$36*'Resumen Capacidad'!$C$72</f>
        <v>1</v>
      </c>
      <c r="F262" s="204">
        <f>'Resumen Capacidad'!$C$36*'Resumen Capacidad'!$C$72</f>
        <v>1</v>
      </c>
      <c r="G262" s="204">
        <f>'Resumen Capacidad'!$C$36*'Resumen Capacidad'!$C$72</f>
        <v>1</v>
      </c>
      <c r="H262" s="204">
        <f>'Resumen Capacidad'!$C$36*'Resumen Capacidad'!$C$72</f>
        <v>1</v>
      </c>
      <c r="I262" s="204">
        <f>'Resumen Capacidad'!$C$36*'Resumen Capacidad'!$C$72</f>
        <v>1</v>
      </c>
      <c r="J262" s="204">
        <f>'Resumen Capacidad'!$C$36*'Resumen Capacidad'!$C$72</f>
        <v>1</v>
      </c>
      <c r="K262" s="204">
        <f>'Resumen Capacidad'!$C$36*'Resumen Capacidad'!$C$72</f>
        <v>1</v>
      </c>
      <c r="L262" s="204">
        <f>'Resumen Capacidad'!$C$36*'Resumen Capacidad'!$C$72</f>
        <v>1</v>
      </c>
      <c r="M262" s="204">
        <f>'Resumen Capacidad'!$C$36*'Resumen Capacidad'!$C$72</f>
        <v>1</v>
      </c>
      <c r="N262" s="204">
        <f>'Resumen Capacidad'!$C$36*'Resumen Capacidad'!$C$72</f>
        <v>1</v>
      </c>
      <c r="O262" s="5"/>
      <c r="P262" s="5"/>
      <c r="Q262" s="5"/>
      <c r="R262" s="5"/>
      <c r="S262" s="5"/>
      <c r="T262" s="5"/>
      <c r="U262" s="5"/>
      <c r="V262" s="5"/>
      <c r="W262" s="5"/>
      <c r="X262" s="5"/>
      <c r="Y262" s="5"/>
      <c r="Z262" s="5"/>
    </row>
    <row r="263" ht="12.0" customHeight="1">
      <c r="A263" s="92" t="s">
        <v>642</v>
      </c>
      <c r="B263" s="5"/>
      <c r="C263" s="204">
        <f t="shared" ref="C263:N263" si="77">C261*C262</f>
        <v>187.425</v>
      </c>
      <c r="D263" s="204">
        <f t="shared" si="77"/>
        <v>187.425</v>
      </c>
      <c r="E263" s="204">
        <f t="shared" si="77"/>
        <v>187.425</v>
      </c>
      <c r="F263" s="204">
        <f t="shared" si="77"/>
        <v>187.425</v>
      </c>
      <c r="G263" s="204">
        <f t="shared" si="77"/>
        <v>187.425</v>
      </c>
      <c r="H263" s="204">
        <f t="shared" si="77"/>
        <v>187.425</v>
      </c>
      <c r="I263" s="204">
        <f t="shared" si="77"/>
        <v>187.425</v>
      </c>
      <c r="J263" s="204">
        <f t="shared" si="77"/>
        <v>187.425</v>
      </c>
      <c r="K263" s="204">
        <f t="shared" si="77"/>
        <v>187.425</v>
      </c>
      <c r="L263" s="204">
        <f t="shared" si="77"/>
        <v>187.425</v>
      </c>
      <c r="M263" s="204">
        <f t="shared" si="77"/>
        <v>187.425</v>
      </c>
      <c r="N263" s="204">
        <f t="shared" si="77"/>
        <v>187.425</v>
      </c>
      <c r="O263" s="5"/>
      <c r="P263" s="5"/>
      <c r="Q263" s="5"/>
      <c r="R263" s="5"/>
      <c r="S263" s="5"/>
      <c r="T263" s="5"/>
      <c r="U263" s="5"/>
      <c r="V263" s="5"/>
      <c r="W263" s="5"/>
      <c r="X263" s="5"/>
      <c r="Y263" s="5"/>
      <c r="Z263" s="5"/>
    </row>
    <row r="264" ht="12.0" customHeight="1">
      <c r="A264" s="92" t="s">
        <v>643</v>
      </c>
      <c r="B264" s="5"/>
      <c r="C264" s="206">
        <f t="shared" ref="C264:N264" si="78">IF(C263=0,0,C260/C263)</f>
        <v>0.04243261749</v>
      </c>
      <c r="D264" s="206">
        <f t="shared" si="78"/>
        <v>0.03266622204</v>
      </c>
      <c r="E264" s="206">
        <f t="shared" si="78"/>
        <v>0.03137486106</v>
      </c>
      <c r="F264" s="206">
        <f t="shared" si="78"/>
        <v>0.0303083011</v>
      </c>
      <c r="G264" s="206">
        <f t="shared" si="78"/>
        <v>0.02839998222</v>
      </c>
      <c r="H264" s="206">
        <f t="shared" si="78"/>
        <v>0.02755822329</v>
      </c>
      <c r="I264" s="206">
        <f t="shared" si="78"/>
        <v>0.02946654217</v>
      </c>
      <c r="J264" s="206">
        <f t="shared" si="78"/>
        <v>0.02946654217</v>
      </c>
      <c r="K264" s="206">
        <f t="shared" si="78"/>
        <v>0.02946654217</v>
      </c>
      <c r="L264" s="206">
        <f t="shared" si="78"/>
        <v>0.02862478325</v>
      </c>
      <c r="M264" s="206">
        <f t="shared" si="78"/>
        <v>0.02778302432</v>
      </c>
      <c r="N264" s="206">
        <f t="shared" si="78"/>
        <v>0.04411613534</v>
      </c>
      <c r="O264" s="5"/>
      <c r="P264" s="5"/>
      <c r="Q264" s="5"/>
      <c r="R264" s="5"/>
      <c r="S264" s="5"/>
      <c r="T264" s="5"/>
      <c r="U264" s="5"/>
      <c r="V264" s="5"/>
      <c r="W264" s="5"/>
      <c r="X264" s="5"/>
      <c r="Y264" s="5"/>
      <c r="Z264" s="5"/>
    </row>
    <row r="265" ht="12.0" customHeight="1">
      <c r="A265" s="201" t="s">
        <v>665</v>
      </c>
      <c r="B265" s="202"/>
      <c r="C265" s="202"/>
      <c r="D265" s="202"/>
      <c r="E265" s="202"/>
      <c r="F265" s="202"/>
      <c r="G265" s="202"/>
      <c r="H265" s="202"/>
      <c r="I265" s="202"/>
      <c r="J265" s="202"/>
      <c r="K265" s="202"/>
      <c r="L265" s="202"/>
      <c r="M265" s="202"/>
      <c r="N265" s="202"/>
      <c r="O265" s="5"/>
      <c r="P265" s="5"/>
      <c r="Q265" s="5"/>
      <c r="R265" s="5"/>
      <c r="S265" s="5"/>
      <c r="T265" s="5"/>
      <c r="U265" s="5"/>
      <c r="V265" s="5"/>
      <c r="W265" s="5"/>
      <c r="X265" s="5"/>
      <c r="Y265" s="5"/>
      <c r="Z265" s="5"/>
    </row>
    <row r="266" ht="12.0" customHeight="1">
      <c r="A266" s="201" t="s">
        <v>630</v>
      </c>
      <c r="B266" s="201" t="s">
        <v>631</v>
      </c>
      <c r="C266" s="201" t="s">
        <v>3</v>
      </c>
      <c r="D266" s="201" t="s">
        <v>4</v>
      </c>
      <c r="E266" s="201" t="s">
        <v>5</v>
      </c>
      <c r="F266" s="201" t="s">
        <v>6</v>
      </c>
      <c r="G266" s="201" t="s">
        <v>7</v>
      </c>
      <c r="H266" s="201" t="s">
        <v>8</v>
      </c>
      <c r="I266" s="201" t="s">
        <v>9</v>
      </c>
      <c r="J266" s="201" t="s">
        <v>10</v>
      </c>
      <c r="K266" s="201" t="s">
        <v>11</v>
      </c>
      <c r="L266" s="201" t="s">
        <v>12</v>
      </c>
      <c r="M266" s="201" t="s">
        <v>13</v>
      </c>
      <c r="N266" s="201" t="s">
        <v>14</v>
      </c>
      <c r="O266" s="5"/>
      <c r="P266" s="5"/>
      <c r="Q266" s="5"/>
      <c r="R266" s="5"/>
      <c r="S266" s="5"/>
      <c r="T266" s="5"/>
      <c r="U266" s="5"/>
      <c r="V266" s="5"/>
      <c r="W266" s="5"/>
      <c r="X266" s="5"/>
      <c r="Y266" s="5"/>
      <c r="Z266" s="5"/>
    </row>
    <row r="267" ht="12.0" customHeight="1">
      <c r="A267" s="92" t="s">
        <v>632</v>
      </c>
      <c r="B267" s="92" t="s">
        <v>633</v>
      </c>
      <c r="C267" s="203">
        <f>SUM('2027'!B6:B9)+SUM('2027'!B17:B20)</f>
        <v>1192.94</v>
      </c>
      <c r="D267" s="203">
        <f>SUM('2027'!C6:C9)+SUM('2027'!C17:C20)</f>
        <v>918.37</v>
      </c>
      <c r="E267" s="203">
        <f>SUM('2027'!D6:D9)+SUM('2027'!D17:D20)</f>
        <v>882.065</v>
      </c>
      <c r="F267" s="203">
        <f>SUM('2027'!E6:E9)+SUM('2027'!E17:E20)</f>
        <v>852.08</v>
      </c>
      <c r="G267" s="203">
        <f>SUM('2027'!F6:F9)+SUM('2027'!F17:F20)</f>
        <v>798.43</v>
      </c>
      <c r="H267" s="203">
        <f>SUM('2027'!G6:G9)+SUM('2027'!G17:G20)</f>
        <v>774.765</v>
      </c>
      <c r="I267" s="203">
        <f>SUM('2027'!H6:H9)+SUM('2027'!H17:H20)</f>
        <v>828.415</v>
      </c>
      <c r="J267" s="203">
        <f>SUM('2027'!I6:I9)+SUM('2027'!I17:I20)</f>
        <v>828.415</v>
      </c>
      <c r="K267" s="203">
        <f>SUM('2027'!J6:J9)+SUM('2027'!J17:J20)</f>
        <v>828.415</v>
      </c>
      <c r="L267" s="203">
        <f>SUM('2027'!K6:K9)+SUM('2027'!K17:K20)</f>
        <v>804.75</v>
      </c>
      <c r="M267" s="203">
        <f>SUM('2027'!L6:L9)+SUM('2027'!L17:L20)</f>
        <v>781.085</v>
      </c>
      <c r="N267" s="203">
        <f>SUM('2027'!M6:M9)+SUM('2027'!M17:M20)</f>
        <v>1240.27</v>
      </c>
      <c r="O267" s="5"/>
      <c r="P267" s="5"/>
      <c r="Q267" s="5"/>
      <c r="R267" s="5"/>
      <c r="S267" s="5"/>
      <c r="T267" s="5"/>
      <c r="U267" s="5"/>
      <c r="V267" s="5"/>
      <c r="W267" s="5"/>
      <c r="X267" s="5"/>
      <c r="Y267" s="5"/>
      <c r="Z267" s="5"/>
    </row>
    <row r="268" ht="12.0" customHeight="1">
      <c r="A268" s="5"/>
      <c r="B268" s="92" t="s">
        <v>634</v>
      </c>
      <c r="C268" s="204">
        <f>C267/Parametros!$B$37</f>
        <v>59.647</v>
      </c>
      <c r="D268" s="204">
        <f>D267/Parametros!$B$37</f>
        <v>45.9185</v>
      </c>
      <c r="E268" s="204">
        <f>E267/Parametros!$B$37</f>
        <v>44.10325</v>
      </c>
      <c r="F268" s="204">
        <f>F267/Parametros!$B$37</f>
        <v>42.604</v>
      </c>
      <c r="G268" s="204">
        <f>G267/Parametros!$B$37</f>
        <v>39.9215</v>
      </c>
      <c r="H268" s="204">
        <f>H267/Parametros!$B$37</f>
        <v>38.73825</v>
      </c>
      <c r="I268" s="204">
        <f>I267/Parametros!$B$37</f>
        <v>41.42075</v>
      </c>
      <c r="J268" s="204">
        <f>J267/Parametros!$B$37</f>
        <v>41.42075</v>
      </c>
      <c r="K268" s="204">
        <f>K267/Parametros!$B$37</f>
        <v>41.42075</v>
      </c>
      <c r="L268" s="204">
        <f>L267/Parametros!$B$37</f>
        <v>40.2375</v>
      </c>
      <c r="M268" s="204">
        <f>M267/Parametros!$B$37</f>
        <v>39.05425</v>
      </c>
      <c r="N268" s="204">
        <f>N267/Parametros!$B$37</f>
        <v>62.0135</v>
      </c>
      <c r="O268" s="5"/>
      <c r="P268" s="5"/>
      <c r="Q268" s="5"/>
      <c r="R268" s="5"/>
      <c r="S268" s="5"/>
      <c r="T268" s="5"/>
      <c r="U268" s="5"/>
      <c r="V268" s="5"/>
      <c r="W268" s="5"/>
      <c r="X268" s="5"/>
      <c r="Y268" s="5"/>
      <c r="Z268" s="5"/>
    </row>
    <row r="269" ht="12.0" customHeight="1">
      <c r="A269" s="5"/>
      <c r="B269" s="92" t="s">
        <v>635</v>
      </c>
      <c r="C269" s="204">
        <f>C268/Parametros!$J$37</f>
        <v>7.952933333</v>
      </c>
      <c r="D269" s="204">
        <f>D268/Parametros!$J$37</f>
        <v>6.122466667</v>
      </c>
      <c r="E269" s="204">
        <f>E268/Parametros!$J$37</f>
        <v>5.880433333</v>
      </c>
      <c r="F269" s="204">
        <f>F268/Parametros!$J$37</f>
        <v>5.680533333</v>
      </c>
      <c r="G269" s="204">
        <f>G268/Parametros!$J$37</f>
        <v>5.322866667</v>
      </c>
      <c r="H269" s="204">
        <f>H268/Parametros!$J$37</f>
        <v>5.1651</v>
      </c>
      <c r="I269" s="204">
        <f>I268/Parametros!$J$37</f>
        <v>5.522766667</v>
      </c>
      <c r="J269" s="204">
        <f>J268/Parametros!$J$37</f>
        <v>5.522766667</v>
      </c>
      <c r="K269" s="204">
        <f>K268/Parametros!$J$37</f>
        <v>5.522766667</v>
      </c>
      <c r="L269" s="204">
        <f>L268/Parametros!$J$37</f>
        <v>5.365</v>
      </c>
      <c r="M269" s="204">
        <f>M268/Parametros!$J$37</f>
        <v>5.207233333</v>
      </c>
      <c r="N269" s="204">
        <f>N268/Parametros!$J$37</f>
        <v>8.268466667</v>
      </c>
      <c r="O269" s="5"/>
      <c r="P269" s="5"/>
      <c r="Q269" s="5"/>
      <c r="R269" s="5"/>
      <c r="S269" s="5"/>
      <c r="T269" s="5"/>
      <c r="U269" s="5"/>
      <c r="V269" s="5"/>
      <c r="W269" s="5"/>
      <c r="X269" s="5"/>
      <c r="Y269" s="5"/>
      <c r="Z269" s="5"/>
    </row>
    <row r="270" ht="12.0" customHeight="1">
      <c r="A270" s="92" t="s">
        <v>636</v>
      </c>
      <c r="B270" s="5"/>
      <c r="C270" s="204">
        <f t="shared" ref="C270:N270" si="79">C269</f>
        <v>7.952933333</v>
      </c>
      <c r="D270" s="204">
        <f t="shared" si="79"/>
        <v>6.122466667</v>
      </c>
      <c r="E270" s="204">
        <f t="shared" si="79"/>
        <v>5.880433333</v>
      </c>
      <c r="F270" s="204">
        <f t="shared" si="79"/>
        <v>5.680533333</v>
      </c>
      <c r="G270" s="204">
        <f t="shared" si="79"/>
        <v>5.322866667</v>
      </c>
      <c r="H270" s="204">
        <f t="shared" si="79"/>
        <v>5.1651</v>
      </c>
      <c r="I270" s="204">
        <f t="shared" si="79"/>
        <v>5.522766667</v>
      </c>
      <c r="J270" s="204">
        <f t="shared" si="79"/>
        <v>5.522766667</v>
      </c>
      <c r="K270" s="204">
        <f t="shared" si="79"/>
        <v>5.522766667</v>
      </c>
      <c r="L270" s="204">
        <f t="shared" si="79"/>
        <v>5.365</v>
      </c>
      <c r="M270" s="204">
        <f t="shared" si="79"/>
        <v>5.207233333</v>
      </c>
      <c r="N270" s="204">
        <f t="shared" si="79"/>
        <v>8.268466667</v>
      </c>
      <c r="O270" s="5"/>
      <c r="P270" s="5"/>
      <c r="Q270" s="5"/>
      <c r="R270" s="5"/>
      <c r="S270" s="5"/>
      <c r="T270" s="5"/>
      <c r="U270" s="5"/>
      <c r="V270" s="5"/>
      <c r="W270" s="5"/>
      <c r="X270" s="5"/>
      <c r="Y270" s="5"/>
      <c r="Z270" s="5"/>
    </row>
    <row r="271" ht="12.0" customHeight="1">
      <c r="A271" s="92" t="s">
        <v>637</v>
      </c>
      <c r="B271" s="5"/>
      <c r="C271" s="205">
        <f>'Resumen Capacidad'!$C$119</f>
        <v>63.648</v>
      </c>
      <c r="D271" s="205">
        <f>'Resumen Capacidad'!$C$119</f>
        <v>63.648</v>
      </c>
      <c r="E271" s="205">
        <f>'Resumen Capacidad'!$C$119</f>
        <v>63.648</v>
      </c>
      <c r="F271" s="205">
        <f>'Resumen Capacidad'!$C$119</f>
        <v>63.648</v>
      </c>
      <c r="G271" s="205">
        <f>'Resumen Capacidad'!$C$119</f>
        <v>63.648</v>
      </c>
      <c r="H271" s="205">
        <f>'Resumen Capacidad'!$C$119</f>
        <v>63.648</v>
      </c>
      <c r="I271" s="205">
        <f>'Resumen Capacidad'!$C$119</f>
        <v>63.648</v>
      </c>
      <c r="J271" s="205">
        <f>'Resumen Capacidad'!$C$119</f>
        <v>63.648</v>
      </c>
      <c r="K271" s="205">
        <f>'Resumen Capacidad'!$C$119</f>
        <v>63.648</v>
      </c>
      <c r="L271" s="205">
        <f>'Resumen Capacidad'!$C$119</f>
        <v>63.648</v>
      </c>
      <c r="M271" s="205">
        <f>'Resumen Capacidad'!$C$119</f>
        <v>63.648</v>
      </c>
      <c r="N271" s="205">
        <f>'Resumen Capacidad'!$C$119</f>
        <v>63.648</v>
      </c>
      <c r="O271" s="5"/>
      <c r="P271" s="5"/>
      <c r="Q271" s="5"/>
      <c r="R271" s="5"/>
      <c r="S271" s="5"/>
      <c r="T271" s="5"/>
      <c r="U271" s="5"/>
      <c r="V271" s="5"/>
      <c r="W271" s="5"/>
      <c r="X271" s="5"/>
      <c r="Y271" s="5"/>
      <c r="Z271" s="5"/>
    </row>
    <row r="272" ht="12.0" customHeight="1">
      <c r="A272" s="92" t="s">
        <v>640</v>
      </c>
      <c r="B272" s="5"/>
      <c r="C272" s="204">
        <f>'Resumen Capacidad'!$C$37*'Resumen Capacidad'!$C$73</f>
        <v>1</v>
      </c>
      <c r="D272" s="204">
        <f>'Resumen Capacidad'!$C$37*'Resumen Capacidad'!$C$73</f>
        <v>1</v>
      </c>
      <c r="E272" s="204">
        <f>'Resumen Capacidad'!$C$37*'Resumen Capacidad'!$C$73</f>
        <v>1</v>
      </c>
      <c r="F272" s="204">
        <f>'Resumen Capacidad'!$C$37*'Resumen Capacidad'!$C$73</f>
        <v>1</v>
      </c>
      <c r="G272" s="204">
        <f>'Resumen Capacidad'!$C$37*'Resumen Capacidad'!$C$73</f>
        <v>1</v>
      </c>
      <c r="H272" s="204">
        <f>'Resumen Capacidad'!$C$37*'Resumen Capacidad'!$C$73</f>
        <v>1</v>
      </c>
      <c r="I272" s="204">
        <f>'Resumen Capacidad'!$C$37*'Resumen Capacidad'!$C$73</f>
        <v>1</v>
      </c>
      <c r="J272" s="204">
        <f>'Resumen Capacidad'!$C$37*'Resumen Capacidad'!$C$73</f>
        <v>1</v>
      </c>
      <c r="K272" s="204">
        <f>'Resumen Capacidad'!$C$37*'Resumen Capacidad'!$C$73</f>
        <v>1</v>
      </c>
      <c r="L272" s="204">
        <f>'Resumen Capacidad'!$C$37*'Resumen Capacidad'!$C$73</f>
        <v>1</v>
      </c>
      <c r="M272" s="204">
        <f>'Resumen Capacidad'!$C$37*'Resumen Capacidad'!$C$73</f>
        <v>1</v>
      </c>
      <c r="N272" s="204">
        <f>'Resumen Capacidad'!$C$37*'Resumen Capacidad'!$C$73</f>
        <v>1</v>
      </c>
      <c r="O272" s="5"/>
      <c r="P272" s="5"/>
      <c r="Q272" s="5"/>
      <c r="R272" s="5"/>
      <c r="S272" s="5"/>
      <c r="T272" s="5"/>
      <c r="U272" s="5"/>
      <c r="V272" s="5"/>
      <c r="W272" s="5"/>
      <c r="X272" s="5"/>
      <c r="Y272" s="5"/>
      <c r="Z272" s="5"/>
    </row>
    <row r="273" ht="12.0" customHeight="1">
      <c r="A273" s="92" t="s">
        <v>642</v>
      </c>
      <c r="B273" s="5"/>
      <c r="C273" s="204">
        <f t="shared" ref="C273:N273" si="80">C271*C272</f>
        <v>63.648</v>
      </c>
      <c r="D273" s="204">
        <f t="shared" si="80"/>
        <v>63.648</v>
      </c>
      <c r="E273" s="204">
        <f t="shared" si="80"/>
        <v>63.648</v>
      </c>
      <c r="F273" s="204">
        <f t="shared" si="80"/>
        <v>63.648</v>
      </c>
      <c r="G273" s="204">
        <f t="shared" si="80"/>
        <v>63.648</v>
      </c>
      <c r="H273" s="204">
        <f t="shared" si="80"/>
        <v>63.648</v>
      </c>
      <c r="I273" s="204">
        <f t="shared" si="80"/>
        <v>63.648</v>
      </c>
      <c r="J273" s="204">
        <f t="shared" si="80"/>
        <v>63.648</v>
      </c>
      <c r="K273" s="204">
        <f t="shared" si="80"/>
        <v>63.648</v>
      </c>
      <c r="L273" s="204">
        <f t="shared" si="80"/>
        <v>63.648</v>
      </c>
      <c r="M273" s="204">
        <f t="shared" si="80"/>
        <v>63.648</v>
      </c>
      <c r="N273" s="204">
        <f t="shared" si="80"/>
        <v>63.648</v>
      </c>
      <c r="O273" s="5"/>
      <c r="P273" s="5"/>
      <c r="Q273" s="5"/>
      <c r="R273" s="5"/>
      <c r="S273" s="5"/>
      <c r="T273" s="5"/>
      <c r="U273" s="5"/>
      <c r="V273" s="5"/>
      <c r="W273" s="5"/>
      <c r="X273" s="5"/>
      <c r="Y273" s="5"/>
      <c r="Z273" s="5"/>
    </row>
    <row r="274" ht="12.0" customHeight="1">
      <c r="A274" s="92" t="s">
        <v>643</v>
      </c>
      <c r="B274" s="5"/>
      <c r="C274" s="206">
        <f t="shared" ref="C274:N274" si="81">IF(C273=0,0,C270/C273)</f>
        <v>0.1249518183</v>
      </c>
      <c r="D274" s="206">
        <f t="shared" si="81"/>
        <v>0.09619260097</v>
      </c>
      <c r="E274" s="206">
        <f t="shared" si="81"/>
        <v>0.09238991537</v>
      </c>
      <c r="F274" s="206">
        <f t="shared" si="81"/>
        <v>0.08924920396</v>
      </c>
      <c r="G274" s="206">
        <f t="shared" si="81"/>
        <v>0.08362975532</v>
      </c>
      <c r="H274" s="206">
        <f t="shared" si="81"/>
        <v>0.0811510181</v>
      </c>
      <c r="I274" s="206">
        <f t="shared" si="81"/>
        <v>0.08677046673</v>
      </c>
      <c r="J274" s="206">
        <f t="shared" si="81"/>
        <v>0.08677046673</v>
      </c>
      <c r="K274" s="206">
        <f t="shared" si="81"/>
        <v>0.08677046673</v>
      </c>
      <c r="L274" s="206">
        <f t="shared" si="81"/>
        <v>0.08429172951</v>
      </c>
      <c r="M274" s="206">
        <f t="shared" si="81"/>
        <v>0.08181299229</v>
      </c>
      <c r="N274" s="206">
        <f t="shared" si="81"/>
        <v>0.1299092928</v>
      </c>
      <c r="O274" s="5"/>
      <c r="P274" s="5"/>
      <c r="Q274" s="5"/>
      <c r="R274" s="5"/>
      <c r="S274" s="5"/>
      <c r="T274" s="5"/>
      <c r="U274" s="5"/>
      <c r="V274" s="5"/>
      <c r="W274" s="5"/>
      <c r="X274" s="5"/>
      <c r="Y274" s="5"/>
      <c r="Z274" s="5"/>
    </row>
    <row r="275" ht="12.0" customHeight="1">
      <c r="A275" s="201" t="s">
        <v>666</v>
      </c>
      <c r="B275" s="202"/>
      <c r="C275" s="202"/>
      <c r="D275" s="202"/>
      <c r="E275" s="202"/>
      <c r="F275" s="202"/>
      <c r="G275" s="202"/>
      <c r="H275" s="202"/>
      <c r="I275" s="202"/>
      <c r="J275" s="202"/>
      <c r="K275" s="202"/>
      <c r="L275" s="202"/>
      <c r="M275" s="202"/>
      <c r="N275" s="202"/>
      <c r="O275" s="5"/>
      <c r="P275" s="5"/>
      <c r="Q275" s="5"/>
      <c r="R275" s="5"/>
      <c r="S275" s="5"/>
      <c r="T275" s="5"/>
      <c r="U275" s="5"/>
      <c r="V275" s="5"/>
      <c r="W275" s="5"/>
      <c r="X275" s="5"/>
      <c r="Y275" s="5"/>
      <c r="Z275" s="5"/>
    </row>
    <row r="276" ht="12.0" customHeight="1">
      <c r="A276" s="201" t="s">
        <v>630</v>
      </c>
      <c r="B276" s="201" t="s">
        <v>631</v>
      </c>
      <c r="C276" s="201" t="s">
        <v>3</v>
      </c>
      <c r="D276" s="201" t="s">
        <v>4</v>
      </c>
      <c r="E276" s="201" t="s">
        <v>5</v>
      </c>
      <c r="F276" s="201" t="s">
        <v>6</v>
      </c>
      <c r="G276" s="201" t="s">
        <v>7</v>
      </c>
      <c r="H276" s="201" t="s">
        <v>8</v>
      </c>
      <c r="I276" s="201" t="s">
        <v>9</v>
      </c>
      <c r="J276" s="201" t="s">
        <v>10</v>
      </c>
      <c r="K276" s="201" t="s">
        <v>11</v>
      </c>
      <c r="L276" s="201" t="s">
        <v>12</v>
      </c>
      <c r="M276" s="201" t="s">
        <v>13</v>
      </c>
      <c r="N276" s="201" t="s">
        <v>14</v>
      </c>
      <c r="O276" s="5"/>
      <c r="P276" s="5"/>
      <c r="Q276" s="5"/>
      <c r="R276" s="5"/>
      <c r="S276" s="5"/>
      <c r="T276" s="5"/>
      <c r="U276" s="5"/>
      <c r="V276" s="5"/>
      <c r="W276" s="5"/>
      <c r="X276" s="5"/>
      <c r="Y276" s="5"/>
      <c r="Z276" s="5"/>
    </row>
    <row r="277" ht="12.0" customHeight="1">
      <c r="A277" s="92" t="s">
        <v>632</v>
      </c>
      <c r="B277" s="92" t="s">
        <v>633</v>
      </c>
      <c r="C277" s="203">
        <f>SUM('2027'!B6:B9)+SUM('2027'!B17:B20)</f>
        <v>1192.94</v>
      </c>
      <c r="D277" s="203">
        <f>SUM('2027'!C6:C9)+SUM('2027'!C17:C20)</f>
        <v>918.37</v>
      </c>
      <c r="E277" s="203">
        <f>SUM('2027'!D6:D9)+SUM('2027'!D17:D20)</f>
        <v>882.065</v>
      </c>
      <c r="F277" s="203">
        <f>SUM('2027'!E6:E9)+SUM('2027'!E17:E20)</f>
        <v>852.08</v>
      </c>
      <c r="G277" s="203">
        <f>SUM('2027'!F6:F9)+SUM('2027'!F17:F20)</f>
        <v>798.43</v>
      </c>
      <c r="H277" s="203">
        <f>SUM('2027'!G6:G9)+SUM('2027'!G17:G20)</f>
        <v>774.765</v>
      </c>
      <c r="I277" s="203">
        <f>SUM('2027'!H6:H9)+SUM('2027'!H17:H20)</f>
        <v>828.415</v>
      </c>
      <c r="J277" s="203">
        <f>SUM('2027'!I6:I9)+SUM('2027'!I17:I20)</f>
        <v>828.415</v>
      </c>
      <c r="K277" s="203">
        <f>SUM('2027'!J6:J9)+SUM('2027'!J17:J20)</f>
        <v>828.415</v>
      </c>
      <c r="L277" s="203">
        <f>SUM('2027'!K6:K9)+SUM('2027'!K17:K20)</f>
        <v>804.75</v>
      </c>
      <c r="M277" s="203">
        <f>SUM('2027'!L6:L9)+SUM('2027'!L17:L20)</f>
        <v>781.085</v>
      </c>
      <c r="N277" s="203">
        <f>SUM('2027'!M6:M9)+SUM('2027'!M17:M20)</f>
        <v>1240.27</v>
      </c>
      <c r="O277" s="5"/>
      <c r="P277" s="5"/>
      <c r="Q277" s="5"/>
      <c r="R277" s="5"/>
      <c r="S277" s="5"/>
      <c r="T277" s="5"/>
      <c r="U277" s="5"/>
      <c r="V277" s="5"/>
      <c r="W277" s="5"/>
      <c r="X277" s="5"/>
      <c r="Y277" s="5"/>
      <c r="Z277" s="5"/>
    </row>
    <row r="278" ht="12.0" customHeight="1">
      <c r="A278" s="5"/>
      <c r="B278" s="92" t="s">
        <v>634</v>
      </c>
      <c r="C278" s="204">
        <f>C277/Parametros!$B$37</f>
        <v>59.647</v>
      </c>
      <c r="D278" s="204">
        <f>D277/Parametros!$B$37</f>
        <v>45.9185</v>
      </c>
      <c r="E278" s="204">
        <f>E277/Parametros!$B$37</f>
        <v>44.10325</v>
      </c>
      <c r="F278" s="204">
        <f>F277/Parametros!$B$37</f>
        <v>42.604</v>
      </c>
      <c r="G278" s="204">
        <f>G277/Parametros!$B$37</f>
        <v>39.9215</v>
      </c>
      <c r="H278" s="204">
        <f>H277/Parametros!$B$37</f>
        <v>38.73825</v>
      </c>
      <c r="I278" s="204">
        <f>I277/Parametros!$B$37</f>
        <v>41.42075</v>
      </c>
      <c r="J278" s="204">
        <f>J277/Parametros!$B$37</f>
        <v>41.42075</v>
      </c>
      <c r="K278" s="204">
        <f>K277/Parametros!$B$37</f>
        <v>41.42075</v>
      </c>
      <c r="L278" s="204">
        <f>L277/Parametros!$B$37</f>
        <v>40.2375</v>
      </c>
      <c r="M278" s="204">
        <f>M277/Parametros!$B$37</f>
        <v>39.05425</v>
      </c>
      <c r="N278" s="204">
        <f>N277/Parametros!$B$37</f>
        <v>62.0135</v>
      </c>
      <c r="O278" s="5"/>
      <c r="P278" s="5"/>
      <c r="Q278" s="5"/>
      <c r="R278" s="5"/>
      <c r="S278" s="5"/>
      <c r="T278" s="5"/>
      <c r="U278" s="5"/>
      <c r="V278" s="5"/>
      <c r="W278" s="5"/>
      <c r="X278" s="5"/>
      <c r="Y278" s="5"/>
      <c r="Z278" s="5"/>
    </row>
    <row r="279" ht="12.0" customHeight="1">
      <c r="A279" s="5"/>
      <c r="B279" s="92" t="s">
        <v>635</v>
      </c>
      <c r="C279" s="204">
        <f>C278/Parametros!$J$37</f>
        <v>7.952933333</v>
      </c>
      <c r="D279" s="204">
        <f>D278/Parametros!$J$37</f>
        <v>6.122466667</v>
      </c>
      <c r="E279" s="204">
        <f>E278/Parametros!$J$37</f>
        <v>5.880433333</v>
      </c>
      <c r="F279" s="204">
        <f>F278/Parametros!$J$37</f>
        <v>5.680533333</v>
      </c>
      <c r="G279" s="204">
        <f>G278/Parametros!$J$37</f>
        <v>5.322866667</v>
      </c>
      <c r="H279" s="204">
        <f>H278/Parametros!$J$37</f>
        <v>5.1651</v>
      </c>
      <c r="I279" s="204">
        <f>I278/Parametros!$J$37</f>
        <v>5.522766667</v>
      </c>
      <c r="J279" s="204">
        <f>J278/Parametros!$J$37</f>
        <v>5.522766667</v>
      </c>
      <c r="K279" s="204">
        <f>K278/Parametros!$J$37</f>
        <v>5.522766667</v>
      </c>
      <c r="L279" s="204">
        <f>L278/Parametros!$J$37</f>
        <v>5.365</v>
      </c>
      <c r="M279" s="204">
        <f>M278/Parametros!$J$37</f>
        <v>5.207233333</v>
      </c>
      <c r="N279" s="204">
        <f>N278/Parametros!$J$37</f>
        <v>8.268466667</v>
      </c>
      <c r="O279" s="5"/>
      <c r="P279" s="5"/>
      <c r="Q279" s="5"/>
      <c r="R279" s="5"/>
      <c r="S279" s="5"/>
      <c r="T279" s="5"/>
      <c r="U279" s="5"/>
      <c r="V279" s="5"/>
      <c r="W279" s="5"/>
      <c r="X279" s="5"/>
      <c r="Y279" s="5"/>
      <c r="Z279" s="5"/>
    </row>
    <row r="280" ht="12.0" customHeight="1">
      <c r="A280" s="92" t="s">
        <v>636</v>
      </c>
      <c r="B280" s="5"/>
      <c r="C280" s="204">
        <f t="shared" ref="C280:N280" si="82">C279</f>
        <v>7.952933333</v>
      </c>
      <c r="D280" s="204">
        <f t="shared" si="82"/>
        <v>6.122466667</v>
      </c>
      <c r="E280" s="204">
        <f t="shared" si="82"/>
        <v>5.880433333</v>
      </c>
      <c r="F280" s="204">
        <f t="shared" si="82"/>
        <v>5.680533333</v>
      </c>
      <c r="G280" s="204">
        <f t="shared" si="82"/>
        <v>5.322866667</v>
      </c>
      <c r="H280" s="204">
        <f t="shared" si="82"/>
        <v>5.1651</v>
      </c>
      <c r="I280" s="204">
        <f t="shared" si="82"/>
        <v>5.522766667</v>
      </c>
      <c r="J280" s="204">
        <f t="shared" si="82"/>
        <v>5.522766667</v>
      </c>
      <c r="K280" s="204">
        <f t="shared" si="82"/>
        <v>5.522766667</v>
      </c>
      <c r="L280" s="204">
        <f t="shared" si="82"/>
        <v>5.365</v>
      </c>
      <c r="M280" s="204">
        <f t="shared" si="82"/>
        <v>5.207233333</v>
      </c>
      <c r="N280" s="204">
        <f t="shared" si="82"/>
        <v>8.268466667</v>
      </c>
      <c r="O280" s="5"/>
      <c r="P280" s="5"/>
      <c r="Q280" s="5"/>
      <c r="R280" s="5"/>
      <c r="S280" s="5"/>
      <c r="T280" s="5"/>
      <c r="U280" s="5"/>
      <c r="V280" s="5"/>
      <c r="W280" s="5"/>
      <c r="X280" s="5"/>
      <c r="Y280" s="5"/>
      <c r="Z280" s="5"/>
    </row>
    <row r="281" ht="12.0" customHeight="1">
      <c r="A281" s="92" t="s">
        <v>637</v>
      </c>
      <c r="B281" s="5"/>
      <c r="C281" s="205">
        <f>'Resumen Capacidad'!$C$120</f>
        <v>22.46518519</v>
      </c>
      <c r="D281" s="205">
        <f>'Resumen Capacidad'!$C$120</f>
        <v>22.46518519</v>
      </c>
      <c r="E281" s="205">
        <f>'Resumen Capacidad'!$C$120</f>
        <v>22.46518519</v>
      </c>
      <c r="F281" s="205">
        <f>'Resumen Capacidad'!$C$120</f>
        <v>22.46518519</v>
      </c>
      <c r="G281" s="205">
        <f>'Resumen Capacidad'!$C$120</f>
        <v>22.46518519</v>
      </c>
      <c r="H281" s="205">
        <f>'Resumen Capacidad'!$C$120</f>
        <v>22.46518519</v>
      </c>
      <c r="I281" s="205">
        <f>'Resumen Capacidad'!$C$120</f>
        <v>22.46518519</v>
      </c>
      <c r="J281" s="205">
        <f>'Resumen Capacidad'!$C$120</f>
        <v>22.46518519</v>
      </c>
      <c r="K281" s="205">
        <f>'Resumen Capacidad'!$C$120</f>
        <v>22.46518519</v>
      </c>
      <c r="L281" s="205">
        <f>'Resumen Capacidad'!$C$120</f>
        <v>22.46518519</v>
      </c>
      <c r="M281" s="205">
        <f>'Resumen Capacidad'!$C$120</f>
        <v>22.46518519</v>
      </c>
      <c r="N281" s="205">
        <f>'Resumen Capacidad'!$C$120</f>
        <v>22.46518519</v>
      </c>
      <c r="O281" s="5"/>
      <c r="P281" s="5"/>
      <c r="Q281" s="5"/>
      <c r="R281" s="5"/>
      <c r="S281" s="5"/>
      <c r="T281" s="5"/>
      <c r="U281" s="5"/>
      <c r="V281" s="5"/>
      <c r="W281" s="5"/>
      <c r="X281" s="5"/>
      <c r="Y281" s="5"/>
      <c r="Z281" s="5"/>
    </row>
    <row r="282" ht="12.0" customHeight="1">
      <c r="A282" s="92" t="s">
        <v>640</v>
      </c>
      <c r="B282" s="5"/>
      <c r="C282" s="204">
        <f>'Resumen Capacidad'!$C$38*'Resumen Capacidad'!$C$74</f>
        <v>1</v>
      </c>
      <c r="D282" s="204">
        <f>'Resumen Capacidad'!$C$38*'Resumen Capacidad'!$C$74</f>
        <v>1</v>
      </c>
      <c r="E282" s="204">
        <f>'Resumen Capacidad'!$C$38*'Resumen Capacidad'!$C$74</f>
        <v>1</v>
      </c>
      <c r="F282" s="204">
        <f>'Resumen Capacidad'!$C$38*'Resumen Capacidad'!$C$74</f>
        <v>1</v>
      </c>
      <c r="G282" s="204">
        <f>'Resumen Capacidad'!$C$38*'Resumen Capacidad'!$C$74</f>
        <v>1</v>
      </c>
      <c r="H282" s="204">
        <f>'Resumen Capacidad'!$C$38*'Resumen Capacidad'!$C$74</f>
        <v>1</v>
      </c>
      <c r="I282" s="204">
        <f>'Resumen Capacidad'!$C$38*'Resumen Capacidad'!$C$74</f>
        <v>1</v>
      </c>
      <c r="J282" s="204">
        <f>'Resumen Capacidad'!$C$38*'Resumen Capacidad'!$C$74</f>
        <v>1</v>
      </c>
      <c r="K282" s="204">
        <f>'Resumen Capacidad'!$C$38*'Resumen Capacidad'!$C$74</f>
        <v>1</v>
      </c>
      <c r="L282" s="204">
        <f>'Resumen Capacidad'!$C$38*'Resumen Capacidad'!$C$74</f>
        <v>1</v>
      </c>
      <c r="M282" s="204">
        <f>'Resumen Capacidad'!$C$38*'Resumen Capacidad'!$C$74</f>
        <v>1</v>
      </c>
      <c r="N282" s="204">
        <f>'Resumen Capacidad'!$C$38*'Resumen Capacidad'!$C$74</f>
        <v>1</v>
      </c>
      <c r="O282" s="5"/>
      <c r="P282" s="5"/>
      <c r="Q282" s="5"/>
      <c r="R282" s="5"/>
      <c r="S282" s="5"/>
      <c r="T282" s="5"/>
      <c r="U282" s="5"/>
      <c r="V282" s="5"/>
      <c r="W282" s="5"/>
      <c r="X282" s="5"/>
      <c r="Y282" s="5"/>
      <c r="Z282" s="5"/>
    </row>
    <row r="283" ht="12.0" customHeight="1">
      <c r="A283" s="92" t="s">
        <v>642</v>
      </c>
      <c r="B283" s="5"/>
      <c r="C283" s="204">
        <f t="shared" ref="C283:N283" si="83">C281*C282</f>
        <v>22.46518519</v>
      </c>
      <c r="D283" s="204">
        <f t="shared" si="83"/>
        <v>22.46518519</v>
      </c>
      <c r="E283" s="204">
        <f t="shared" si="83"/>
        <v>22.46518519</v>
      </c>
      <c r="F283" s="204">
        <f t="shared" si="83"/>
        <v>22.46518519</v>
      </c>
      <c r="G283" s="204">
        <f t="shared" si="83"/>
        <v>22.46518519</v>
      </c>
      <c r="H283" s="204">
        <f t="shared" si="83"/>
        <v>22.46518519</v>
      </c>
      <c r="I283" s="204">
        <f t="shared" si="83"/>
        <v>22.46518519</v>
      </c>
      <c r="J283" s="204">
        <f t="shared" si="83"/>
        <v>22.46518519</v>
      </c>
      <c r="K283" s="204">
        <f t="shared" si="83"/>
        <v>22.46518519</v>
      </c>
      <c r="L283" s="204">
        <f t="shared" si="83"/>
        <v>22.46518519</v>
      </c>
      <c r="M283" s="204">
        <f t="shared" si="83"/>
        <v>22.46518519</v>
      </c>
      <c r="N283" s="204">
        <f t="shared" si="83"/>
        <v>22.46518519</v>
      </c>
      <c r="O283" s="5"/>
      <c r="P283" s="5"/>
      <c r="Q283" s="5"/>
      <c r="R283" s="5"/>
      <c r="S283" s="5"/>
      <c r="T283" s="5"/>
      <c r="U283" s="5"/>
      <c r="V283" s="5"/>
      <c r="W283" s="5"/>
      <c r="X283" s="5"/>
      <c r="Y283" s="5"/>
      <c r="Z283" s="5"/>
    </row>
    <row r="284" ht="12.0" customHeight="1">
      <c r="A284" s="92" t="s">
        <v>643</v>
      </c>
      <c r="B284" s="5"/>
      <c r="C284" s="206">
        <f t="shared" ref="C284:N284" si="84">IF(C283=0,0,C280/C283)</f>
        <v>0.3540114745</v>
      </c>
      <c r="D284" s="206">
        <f t="shared" si="84"/>
        <v>0.2725313242</v>
      </c>
      <c r="E284" s="206">
        <f t="shared" si="84"/>
        <v>0.2617576167</v>
      </c>
      <c r="F284" s="206">
        <f t="shared" si="84"/>
        <v>0.2528594039</v>
      </c>
      <c r="G284" s="206">
        <f t="shared" si="84"/>
        <v>0.2369384727</v>
      </c>
      <c r="H284" s="206">
        <f t="shared" si="84"/>
        <v>0.2299157544</v>
      </c>
      <c r="I284" s="206">
        <f t="shared" si="84"/>
        <v>0.2458366856</v>
      </c>
      <c r="J284" s="206">
        <f t="shared" si="84"/>
        <v>0.2458366856</v>
      </c>
      <c r="K284" s="206">
        <f t="shared" si="84"/>
        <v>0.2458366856</v>
      </c>
      <c r="L284" s="206">
        <f t="shared" si="84"/>
        <v>0.2388139673</v>
      </c>
      <c r="M284" s="206">
        <f t="shared" si="84"/>
        <v>0.231791249</v>
      </c>
      <c r="N284" s="206">
        <f t="shared" si="84"/>
        <v>0.3680569111</v>
      </c>
      <c r="O284" s="5"/>
      <c r="P284" s="5"/>
      <c r="Q284" s="5"/>
      <c r="R284" s="5"/>
      <c r="S284" s="5"/>
      <c r="T284" s="5"/>
      <c r="U284" s="5"/>
      <c r="V284" s="5"/>
      <c r="W284" s="5"/>
      <c r="X284" s="5"/>
      <c r="Y284" s="5"/>
      <c r="Z284" s="5"/>
    </row>
    <row r="285" ht="12.0" customHeight="1">
      <c r="A285" s="201" t="s">
        <v>671</v>
      </c>
      <c r="B285" s="202"/>
      <c r="C285" s="202"/>
      <c r="D285" s="202"/>
      <c r="E285" s="202"/>
      <c r="F285" s="202"/>
      <c r="G285" s="202"/>
      <c r="H285" s="202"/>
      <c r="I285" s="202"/>
      <c r="J285" s="202"/>
      <c r="K285" s="202"/>
      <c r="L285" s="202"/>
      <c r="M285" s="202"/>
      <c r="N285" s="202"/>
      <c r="O285" s="5"/>
      <c r="P285" s="5"/>
      <c r="Q285" s="5"/>
      <c r="R285" s="5"/>
      <c r="S285" s="5"/>
      <c r="T285" s="5"/>
      <c r="U285" s="5"/>
      <c r="V285" s="5"/>
      <c r="W285" s="5"/>
      <c r="X285" s="5"/>
      <c r="Y285" s="5"/>
      <c r="Z285" s="5"/>
    </row>
    <row r="286" ht="12.0" customHeight="1">
      <c r="A286" s="201" t="s">
        <v>630</v>
      </c>
      <c r="B286" s="201" t="s">
        <v>631</v>
      </c>
      <c r="C286" s="201" t="s">
        <v>3</v>
      </c>
      <c r="D286" s="201" t="s">
        <v>4</v>
      </c>
      <c r="E286" s="201" t="s">
        <v>5</v>
      </c>
      <c r="F286" s="201" t="s">
        <v>6</v>
      </c>
      <c r="G286" s="201" t="s">
        <v>7</v>
      </c>
      <c r="H286" s="201" t="s">
        <v>8</v>
      </c>
      <c r="I286" s="201" t="s">
        <v>9</v>
      </c>
      <c r="J286" s="201" t="s">
        <v>10</v>
      </c>
      <c r="K286" s="201" t="s">
        <v>11</v>
      </c>
      <c r="L286" s="201" t="s">
        <v>12</v>
      </c>
      <c r="M286" s="201" t="s">
        <v>13</v>
      </c>
      <c r="N286" s="201" t="s">
        <v>14</v>
      </c>
      <c r="O286" s="5"/>
      <c r="P286" s="5"/>
      <c r="Q286" s="5"/>
      <c r="R286" s="5"/>
      <c r="S286" s="5"/>
      <c r="T286" s="5"/>
      <c r="U286" s="5"/>
      <c r="V286" s="5"/>
      <c r="W286" s="5"/>
      <c r="X286" s="5"/>
      <c r="Y286" s="5"/>
      <c r="Z286" s="5"/>
    </row>
    <row r="287" ht="12.0" customHeight="1">
      <c r="A287" s="92" t="s">
        <v>651</v>
      </c>
      <c r="B287" s="92" t="s">
        <v>633</v>
      </c>
      <c r="C287" s="203">
        <f>SUM('2027'!B7:B9)+SUM('2027'!B18:B20)</f>
        <v>473.3</v>
      </c>
      <c r="D287" s="203">
        <f>SUM('2027'!C7:C9)+SUM('2027'!C18:C20)</f>
        <v>378.64</v>
      </c>
      <c r="E287" s="203">
        <f>SUM('2027'!D7:D9)+SUM('2027'!D18:D20)</f>
        <v>402.305</v>
      </c>
      <c r="F287" s="203">
        <f>SUM('2027'!E7:E9)+SUM('2027'!E18:E20)</f>
        <v>402.305</v>
      </c>
      <c r="G287" s="203">
        <f>SUM('2027'!F7:F9)+SUM('2027'!F18:F20)</f>
        <v>378.64</v>
      </c>
      <c r="H287" s="203">
        <f>SUM('2027'!G7:G9)+SUM('2027'!G18:G20)</f>
        <v>354.975</v>
      </c>
      <c r="I287" s="203">
        <f>SUM('2027'!H7:H9)+SUM('2027'!H18:H20)</f>
        <v>378.64</v>
      </c>
      <c r="J287" s="203">
        <f>SUM('2027'!I7:I9)+SUM('2027'!I18:I20)</f>
        <v>378.64</v>
      </c>
      <c r="K287" s="203">
        <f>SUM('2027'!J7:J9)+SUM('2027'!J18:J20)</f>
        <v>378.64</v>
      </c>
      <c r="L287" s="203">
        <f>SUM('2027'!K7:K9)+SUM('2027'!K18:K20)</f>
        <v>354.975</v>
      </c>
      <c r="M287" s="203">
        <f>SUM('2027'!L7:L9)+SUM('2027'!L18:L20)</f>
        <v>331.31</v>
      </c>
      <c r="N287" s="203">
        <f>SUM('2027'!M7:M9)+SUM('2027'!M18:M20)</f>
        <v>520.63</v>
      </c>
      <c r="O287" s="5"/>
      <c r="P287" s="5"/>
      <c r="Q287" s="5"/>
      <c r="R287" s="5"/>
      <c r="S287" s="5"/>
      <c r="T287" s="5"/>
      <c r="U287" s="5"/>
      <c r="V287" s="5"/>
      <c r="W287" s="5"/>
      <c r="X287" s="5"/>
      <c r="Y287" s="5"/>
      <c r="Z287" s="5"/>
    </row>
    <row r="288" ht="12.0" customHeight="1">
      <c r="A288" s="5"/>
      <c r="B288" s="92" t="s">
        <v>634</v>
      </c>
      <c r="C288" s="204">
        <f>C287/Parametros!$B$37</f>
        <v>23.665</v>
      </c>
      <c r="D288" s="204">
        <f>D287/Parametros!$B$37</f>
        <v>18.932</v>
      </c>
      <c r="E288" s="204">
        <f>E287/Parametros!$B$37</f>
        <v>20.11525</v>
      </c>
      <c r="F288" s="204">
        <f>F287/Parametros!$B$37</f>
        <v>20.11525</v>
      </c>
      <c r="G288" s="204">
        <f>G287/Parametros!$B$37</f>
        <v>18.932</v>
      </c>
      <c r="H288" s="204">
        <f>H287/Parametros!$B$37</f>
        <v>17.74875</v>
      </c>
      <c r="I288" s="204">
        <f>I287/Parametros!$B$37</f>
        <v>18.932</v>
      </c>
      <c r="J288" s="204">
        <f>J287/Parametros!$B$37</f>
        <v>18.932</v>
      </c>
      <c r="K288" s="204">
        <f>K287/Parametros!$B$37</f>
        <v>18.932</v>
      </c>
      <c r="L288" s="204">
        <f>L287/Parametros!$B$37</f>
        <v>17.74875</v>
      </c>
      <c r="M288" s="204">
        <f>M287/Parametros!$B$37</f>
        <v>16.5655</v>
      </c>
      <c r="N288" s="204">
        <f>N287/Parametros!$B$37</f>
        <v>26.0315</v>
      </c>
      <c r="O288" s="5"/>
      <c r="P288" s="5"/>
      <c r="Q288" s="5"/>
      <c r="R288" s="5"/>
      <c r="S288" s="5"/>
      <c r="T288" s="5"/>
      <c r="U288" s="5"/>
      <c r="V288" s="5"/>
      <c r="W288" s="5"/>
      <c r="X288" s="5"/>
      <c r="Y288" s="5"/>
      <c r="Z288" s="5"/>
    </row>
    <row r="289" ht="12.0" customHeight="1">
      <c r="A289" s="5"/>
      <c r="B289" s="92" t="s">
        <v>635</v>
      </c>
      <c r="C289" s="204">
        <f>C288/Parametros!$J$37</f>
        <v>3.155333333</v>
      </c>
      <c r="D289" s="204">
        <f>D288/Parametros!$J$37</f>
        <v>2.524266667</v>
      </c>
      <c r="E289" s="204">
        <f>E288/Parametros!$J$37</f>
        <v>2.682033333</v>
      </c>
      <c r="F289" s="204">
        <f>F288/Parametros!$J$37</f>
        <v>2.682033333</v>
      </c>
      <c r="G289" s="204">
        <f>G288/Parametros!$J$37</f>
        <v>2.524266667</v>
      </c>
      <c r="H289" s="204">
        <f>H288/Parametros!$J$37</f>
        <v>2.3665</v>
      </c>
      <c r="I289" s="204">
        <f>I288/Parametros!$J$37</f>
        <v>2.524266667</v>
      </c>
      <c r="J289" s="204">
        <f>J288/Parametros!$J$37</f>
        <v>2.524266667</v>
      </c>
      <c r="K289" s="204">
        <f>K288/Parametros!$J$37</f>
        <v>2.524266667</v>
      </c>
      <c r="L289" s="204">
        <f>L288/Parametros!$J$37</f>
        <v>2.3665</v>
      </c>
      <c r="M289" s="204">
        <f>M288/Parametros!$J$37</f>
        <v>2.208733333</v>
      </c>
      <c r="N289" s="204">
        <f>N288/Parametros!$J$37</f>
        <v>3.470866667</v>
      </c>
      <c r="O289" s="5"/>
      <c r="P289" s="5"/>
      <c r="Q289" s="5"/>
      <c r="R289" s="5"/>
      <c r="S289" s="5"/>
      <c r="T289" s="5"/>
      <c r="U289" s="5"/>
      <c r="V289" s="5"/>
      <c r="W289" s="5"/>
      <c r="X289" s="5"/>
      <c r="Y289" s="5"/>
      <c r="Z289" s="5"/>
    </row>
    <row r="290" ht="12.0" customHeight="1">
      <c r="A290" s="92" t="s">
        <v>636</v>
      </c>
      <c r="B290" s="5"/>
      <c r="C290" s="204">
        <f t="shared" ref="C290:N290" si="85">C289</f>
        <v>3.155333333</v>
      </c>
      <c r="D290" s="204">
        <f t="shared" si="85"/>
        <v>2.524266667</v>
      </c>
      <c r="E290" s="204">
        <f t="shared" si="85"/>
        <v>2.682033333</v>
      </c>
      <c r="F290" s="204">
        <f t="shared" si="85"/>
        <v>2.682033333</v>
      </c>
      <c r="G290" s="204">
        <f t="shared" si="85"/>
        <v>2.524266667</v>
      </c>
      <c r="H290" s="204">
        <f t="shared" si="85"/>
        <v>2.3665</v>
      </c>
      <c r="I290" s="204">
        <f t="shared" si="85"/>
        <v>2.524266667</v>
      </c>
      <c r="J290" s="204">
        <f t="shared" si="85"/>
        <v>2.524266667</v>
      </c>
      <c r="K290" s="204">
        <f t="shared" si="85"/>
        <v>2.524266667</v>
      </c>
      <c r="L290" s="204">
        <f t="shared" si="85"/>
        <v>2.3665</v>
      </c>
      <c r="M290" s="204">
        <f t="shared" si="85"/>
        <v>2.208733333</v>
      </c>
      <c r="N290" s="204">
        <f t="shared" si="85"/>
        <v>3.470866667</v>
      </c>
      <c r="O290" s="5"/>
      <c r="P290" s="5"/>
      <c r="Q290" s="5"/>
      <c r="R290" s="5"/>
      <c r="S290" s="5"/>
      <c r="T290" s="5"/>
      <c r="U290" s="5"/>
      <c r="V290" s="5"/>
      <c r="W290" s="5"/>
      <c r="X290" s="5"/>
      <c r="Y290" s="5"/>
      <c r="Z290" s="5"/>
    </row>
    <row r="291" ht="12.0" customHeight="1">
      <c r="A291" s="92" t="s">
        <v>637</v>
      </c>
      <c r="B291" s="5"/>
      <c r="C291" s="205">
        <f>'Resumen Capacidad'!$C$121</f>
        <v>71.1627907</v>
      </c>
      <c r="D291" s="205">
        <f>'Resumen Capacidad'!$C$121</f>
        <v>71.1627907</v>
      </c>
      <c r="E291" s="205">
        <f>'Resumen Capacidad'!$C$121</f>
        <v>71.1627907</v>
      </c>
      <c r="F291" s="205">
        <f>'Resumen Capacidad'!$C$121</f>
        <v>71.1627907</v>
      </c>
      <c r="G291" s="205">
        <f>'Resumen Capacidad'!$C$121</f>
        <v>71.1627907</v>
      </c>
      <c r="H291" s="205">
        <f>'Resumen Capacidad'!$C$121</f>
        <v>71.1627907</v>
      </c>
      <c r="I291" s="205">
        <f>'Resumen Capacidad'!$C$121</f>
        <v>71.1627907</v>
      </c>
      <c r="J291" s="205">
        <f>'Resumen Capacidad'!$C$121</f>
        <v>71.1627907</v>
      </c>
      <c r="K291" s="205">
        <f>'Resumen Capacidad'!$C$121</f>
        <v>71.1627907</v>
      </c>
      <c r="L291" s="205">
        <f>'Resumen Capacidad'!$C$121</f>
        <v>71.1627907</v>
      </c>
      <c r="M291" s="205">
        <f>'Resumen Capacidad'!$C$121</f>
        <v>71.1627907</v>
      </c>
      <c r="N291" s="205">
        <f>'Resumen Capacidad'!$C$121</f>
        <v>71.1627907</v>
      </c>
      <c r="O291" s="5"/>
      <c r="P291" s="5"/>
      <c r="Q291" s="5"/>
      <c r="R291" s="5"/>
      <c r="S291" s="5"/>
      <c r="T291" s="5"/>
      <c r="U291" s="5"/>
      <c r="V291" s="5"/>
      <c r="W291" s="5"/>
      <c r="X291" s="5"/>
      <c r="Y291" s="5"/>
      <c r="Z291" s="5"/>
    </row>
    <row r="292" ht="12.0" customHeight="1">
      <c r="A292" s="92" t="s">
        <v>640</v>
      </c>
      <c r="B292" s="5"/>
      <c r="C292" s="204">
        <f>'Resumen Capacidad'!$C$39*'Resumen Capacidad'!$C$75</f>
        <v>1</v>
      </c>
      <c r="D292" s="204">
        <f>'Resumen Capacidad'!$C$39*'Resumen Capacidad'!$C$75</f>
        <v>1</v>
      </c>
      <c r="E292" s="204">
        <f>'Resumen Capacidad'!$C$39*'Resumen Capacidad'!$C$75</f>
        <v>1</v>
      </c>
      <c r="F292" s="204">
        <f>'Resumen Capacidad'!$C$39*'Resumen Capacidad'!$C$75</f>
        <v>1</v>
      </c>
      <c r="G292" s="204">
        <f>'Resumen Capacidad'!$C$39*'Resumen Capacidad'!$C$75</f>
        <v>1</v>
      </c>
      <c r="H292" s="204">
        <f>'Resumen Capacidad'!$C$39*'Resumen Capacidad'!$C$75</f>
        <v>1</v>
      </c>
      <c r="I292" s="204">
        <f>'Resumen Capacidad'!$C$39*'Resumen Capacidad'!$C$75</f>
        <v>1</v>
      </c>
      <c r="J292" s="204">
        <f>'Resumen Capacidad'!$C$39*'Resumen Capacidad'!$C$75</f>
        <v>1</v>
      </c>
      <c r="K292" s="204">
        <f>'Resumen Capacidad'!$C$39*'Resumen Capacidad'!$C$75</f>
        <v>1</v>
      </c>
      <c r="L292" s="204">
        <f>'Resumen Capacidad'!$C$39*'Resumen Capacidad'!$C$75</f>
        <v>1</v>
      </c>
      <c r="M292" s="204">
        <f>'Resumen Capacidad'!$C$39*'Resumen Capacidad'!$C$75</f>
        <v>1</v>
      </c>
      <c r="N292" s="204">
        <f>'Resumen Capacidad'!$C$39*'Resumen Capacidad'!$C$75</f>
        <v>1</v>
      </c>
      <c r="O292" s="5"/>
      <c r="P292" s="5"/>
      <c r="Q292" s="5"/>
      <c r="R292" s="5"/>
      <c r="S292" s="5"/>
      <c r="T292" s="5"/>
      <c r="U292" s="5"/>
      <c r="V292" s="5"/>
      <c r="W292" s="5"/>
      <c r="X292" s="5"/>
      <c r="Y292" s="5"/>
      <c r="Z292" s="5"/>
    </row>
    <row r="293" ht="12.0" customHeight="1">
      <c r="A293" s="92" t="s">
        <v>642</v>
      </c>
      <c r="B293" s="5"/>
      <c r="C293" s="204">
        <f t="shared" ref="C293:N293" si="86">C291*C292</f>
        <v>71.1627907</v>
      </c>
      <c r="D293" s="204">
        <f t="shared" si="86"/>
        <v>71.1627907</v>
      </c>
      <c r="E293" s="204">
        <f t="shared" si="86"/>
        <v>71.1627907</v>
      </c>
      <c r="F293" s="204">
        <f t="shared" si="86"/>
        <v>71.1627907</v>
      </c>
      <c r="G293" s="204">
        <f t="shared" si="86"/>
        <v>71.1627907</v>
      </c>
      <c r="H293" s="204">
        <f t="shared" si="86"/>
        <v>71.1627907</v>
      </c>
      <c r="I293" s="204">
        <f t="shared" si="86"/>
        <v>71.1627907</v>
      </c>
      <c r="J293" s="204">
        <f t="shared" si="86"/>
        <v>71.1627907</v>
      </c>
      <c r="K293" s="204">
        <f t="shared" si="86"/>
        <v>71.1627907</v>
      </c>
      <c r="L293" s="204">
        <f t="shared" si="86"/>
        <v>71.1627907</v>
      </c>
      <c r="M293" s="204">
        <f t="shared" si="86"/>
        <v>71.1627907</v>
      </c>
      <c r="N293" s="204">
        <f t="shared" si="86"/>
        <v>71.1627907</v>
      </c>
      <c r="O293" s="5"/>
      <c r="P293" s="5"/>
      <c r="Q293" s="5"/>
      <c r="R293" s="5"/>
      <c r="S293" s="5"/>
      <c r="T293" s="5"/>
      <c r="U293" s="5"/>
      <c r="V293" s="5"/>
      <c r="W293" s="5"/>
      <c r="X293" s="5"/>
      <c r="Y293" s="5"/>
      <c r="Z293" s="5"/>
    </row>
    <row r="294" ht="12.0" customHeight="1">
      <c r="A294" s="92" t="s">
        <v>643</v>
      </c>
      <c r="B294" s="5"/>
      <c r="C294" s="206">
        <f t="shared" ref="C294:N294" si="87">IF(C293=0,0,C290/C293)</f>
        <v>0.04433965142</v>
      </c>
      <c r="D294" s="206">
        <f t="shared" si="87"/>
        <v>0.03547172113</v>
      </c>
      <c r="E294" s="206">
        <f t="shared" si="87"/>
        <v>0.0376887037</v>
      </c>
      <c r="F294" s="206">
        <f t="shared" si="87"/>
        <v>0.0376887037</v>
      </c>
      <c r="G294" s="206">
        <f t="shared" si="87"/>
        <v>0.03547172113</v>
      </c>
      <c r="H294" s="206">
        <f t="shared" si="87"/>
        <v>0.03325473856</v>
      </c>
      <c r="I294" s="206">
        <f t="shared" si="87"/>
        <v>0.03547172113</v>
      </c>
      <c r="J294" s="206">
        <f t="shared" si="87"/>
        <v>0.03547172113</v>
      </c>
      <c r="K294" s="206">
        <f t="shared" si="87"/>
        <v>0.03547172113</v>
      </c>
      <c r="L294" s="206">
        <f t="shared" si="87"/>
        <v>0.03325473856</v>
      </c>
      <c r="M294" s="206">
        <f t="shared" si="87"/>
        <v>0.03103775599</v>
      </c>
      <c r="N294" s="206">
        <f t="shared" si="87"/>
        <v>0.04877361656</v>
      </c>
      <c r="O294" s="5"/>
      <c r="P294" s="5"/>
      <c r="Q294" s="5"/>
      <c r="R294" s="5"/>
      <c r="S294" s="5"/>
      <c r="T294" s="5"/>
      <c r="U294" s="5"/>
      <c r="V294" s="5"/>
      <c r="W294" s="5"/>
      <c r="X294" s="5"/>
      <c r="Y294" s="5"/>
      <c r="Z294" s="5"/>
    </row>
    <row r="295" ht="12.0" customHeight="1">
      <c r="A295" s="201" t="s">
        <v>678</v>
      </c>
      <c r="B295" s="202"/>
      <c r="C295" s="202"/>
      <c r="D295" s="202"/>
      <c r="E295" s="202"/>
      <c r="F295" s="202"/>
      <c r="G295" s="202"/>
      <c r="H295" s="202"/>
      <c r="I295" s="202"/>
      <c r="J295" s="202"/>
      <c r="K295" s="202"/>
      <c r="L295" s="202"/>
      <c r="M295" s="202"/>
      <c r="N295" s="202"/>
      <c r="O295" s="5"/>
      <c r="P295" s="5"/>
      <c r="Q295" s="5"/>
      <c r="R295" s="5"/>
      <c r="S295" s="5"/>
      <c r="T295" s="5"/>
      <c r="U295" s="5"/>
      <c r="V295" s="5"/>
      <c r="W295" s="5"/>
      <c r="X295" s="5"/>
      <c r="Y295" s="5"/>
      <c r="Z295" s="5"/>
    </row>
    <row r="296" ht="12.0" customHeight="1">
      <c r="A296" s="201" t="s">
        <v>630</v>
      </c>
      <c r="B296" s="201" t="s">
        <v>631</v>
      </c>
      <c r="C296" s="201" t="s">
        <v>3</v>
      </c>
      <c r="D296" s="201" t="s">
        <v>4</v>
      </c>
      <c r="E296" s="201" t="s">
        <v>5</v>
      </c>
      <c r="F296" s="201" t="s">
        <v>6</v>
      </c>
      <c r="G296" s="201" t="s">
        <v>7</v>
      </c>
      <c r="H296" s="201" t="s">
        <v>8</v>
      </c>
      <c r="I296" s="201" t="s">
        <v>9</v>
      </c>
      <c r="J296" s="201" t="s">
        <v>10</v>
      </c>
      <c r="K296" s="201" t="s">
        <v>11</v>
      </c>
      <c r="L296" s="201" t="s">
        <v>12</v>
      </c>
      <c r="M296" s="201" t="s">
        <v>13</v>
      </c>
      <c r="N296" s="201" t="s">
        <v>14</v>
      </c>
      <c r="O296" s="5"/>
      <c r="P296" s="5"/>
      <c r="Q296" s="5"/>
      <c r="R296" s="5"/>
      <c r="S296" s="5"/>
      <c r="T296" s="5"/>
      <c r="U296" s="5"/>
      <c r="V296" s="5"/>
      <c r="W296" s="5"/>
      <c r="X296" s="5"/>
      <c r="Y296" s="5"/>
      <c r="Z296" s="5"/>
    </row>
    <row r="297" ht="12.0" customHeight="1">
      <c r="A297" s="92" t="s">
        <v>632</v>
      </c>
      <c r="B297" s="92" t="s">
        <v>633</v>
      </c>
      <c r="C297" s="203">
        <f>SUM('2027'!B6:B9)+SUM('2027'!B17:B20)</f>
        <v>1192.94</v>
      </c>
      <c r="D297" s="203">
        <f>SUM('2027'!C6:C9)+SUM('2027'!C17:C20)</f>
        <v>918.37</v>
      </c>
      <c r="E297" s="203">
        <f>SUM('2027'!D6:D9)+SUM('2027'!D17:D20)</f>
        <v>882.065</v>
      </c>
      <c r="F297" s="203">
        <f>SUM('2027'!E6:E9)+SUM('2027'!E17:E20)</f>
        <v>852.08</v>
      </c>
      <c r="G297" s="203">
        <f>SUM('2027'!F6:F9)+SUM('2027'!F17:F20)</f>
        <v>798.43</v>
      </c>
      <c r="H297" s="203">
        <f>SUM('2027'!G6:G9)+SUM('2027'!G17:G20)</f>
        <v>774.765</v>
      </c>
      <c r="I297" s="203">
        <f>SUM('2027'!H6:H9)+SUM('2027'!H17:H20)</f>
        <v>828.415</v>
      </c>
      <c r="J297" s="203">
        <f>SUM('2027'!I6:I9)+SUM('2027'!I17:I20)</f>
        <v>828.415</v>
      </c>
      <c r="K297" s="203">
        <f>SUM('2027'!J6:J9)+SUM('2027'!J17:J20)</f>
        <v>828.415</v>
      </c>
      <c r="L297" s="203">
        <f>SUM('2027'!K6:K9)+SUM('2027'!K17:K20)</f>
        <v>804.75</v>
      </c>
      <c r="M297" s="203">
        <f>SUM('2027'!L6:L9)+SUM('2027'!L17:L20)</f>
        <v>781.085</v>
      </c>
      <c r="N297" s="203">
        <f>SUM('2027'!M6:M9)+SUM('2027'!M17:M20)</f>
        <v>1240.27</v>
      </c>
      <c r="O297" s="5"/>
      <c r="P297" s="5"/>
      <c r="Q297" s="5"/>
      <c r="R297" s="5"/>
      <c r="S297" s="5"/>
      <c r="T297" s="5"/>
      <c r="U297" s="5"/>
      <c r="V297" s="5"/>
      <c r="W297" s="5"/>
      <c r="X297" s="5"/>
      <c r="Y297" s="5"/>
      <c r="Z297" s="5"/>
    </row>
    <row r="298" ht="12.0" customHeight="1">
      <c r="A298" s="5"/>
      <c r="B298" s="92" t="s">
        <v>634</v>
      </c>
      <c r="C298" s="204">
        <f>C297/Parametros!$B$37</f>
        <v>59.647</v>
      </c>
      <c r="D298" s="204">
        <f>D297/Parametros!$B$37</f>
        <v>45.9185</v>
      </c>
      <c r="E298" s="204">
        <f>E297/Parametros!$B$37</f>
        <v>44.10325</v>
      </c>
      <c r="F298" s="204">
        <f>F297/Parametros!$B$37</f>
        <v>42.604</v>
      </c>
      <c r="G298" s="204">
        <f>G297/Parametros!$B$37</f>
        <v>39.9215</v>
      </c>
      <c r="H298" s="204">
        <f>H297/Parametros!$B$37</f>
        <v>38.73825</v>
      </c>
      <c r="I298" s="204">
        <f>I297/Parametros!$B$37</f>
        <v>41.42075</v>
      </c>
      <c r="J298" s="204">
        <f>J297/Parametros!$B$37</f>
        <v>41.42075</v>
      </c>
      <c r="K298" s="204">
        <f>K297/Parametros!$B$37</f>
        <v>41.42075</v>
      </c>
      <c r="L298" s="204">
        <f>L297/Parametros!$B$37</f>
        <v>40.2375</v>
      </c>
      <c r="M298" s="204">
        <f>M297/Parametros!$B$37</f>
        <v>39.05425</v>
      </c>
      <c r="N298" s="204">
        <f>N297/Parametros!$B$37</f>
        <v>62.0135</v>
      </c>
      <c r="O298" s="5"/>
      <c r="P298" s="5"/>
      <c r="Q298" s="5"/>
      <c r="R298" s="5"/>
      <c r="S298" s="5"/>
      <c r="T298" s="5"/>
      <c r="U298" s="5"/>
      <c r="V298" s="5"/>
      <c r="W298" s="5"/>
      <c r="X298" s="5"/>
      <c r="Y298" s="5"/>
      <c r="Z298" s="5"/>
    </row>
    <row r="299" ht="12.0" customHeight="1">
      <c r="A299" s="5"/>
      <c r="B299" s="92" t="s">
        <v>635</v>
      </c>
      <c r="C299" s="204">
        <f>C298/Parametros!$J$37</f>
        <v>7.952933333</v>
      </c>
      <c r="D299" s="204">
        <f>D298/Parametros!$J$37</f>
        <v>6.122466667</v>
      </c>
      <c r="E299" s="204">
        <f>E298/Parametros!$J$37</f>
        <v>5.880433333</v>
      </c>
      <c r="F299" s="204">
        <f>F298/Parametros!$J$37</f>
        <v>5.680533333</v>
      </c>
      <c r="G299" s="204">
        <f>G298/Parametros!$J$37</f>
        <v>5.322866667</v>
      </c>
      <c r="H299" s="204">
        <f>H298/Parametros!$J$37</f>
        <v>5.1651</v>
      </c>
      <c r="I299" s="204">
        <f>I298/Parametros!$J$37</f>
        <v>5.522766667</v>
      </c>
      <c r="J299" s="204">
        <f>J298/Parametros!$J$37</f>
        <v>5.522766667</v>
      </c>
      <c r="K299" s="204">
        <f>K298/Parametros!$J$37</f>
        <v>5.522766667</v>
      </c>
      <c r="L299" s="204">
        <f>L298/Parametros!$J$37</f>
        <v>5.365</v>
      </c>
      <c r="M299" s="204">
        <f>M298/Parametros!$J$37</f>
        <v>5.207233333</v>
      </c>
      <c r="N299" s="204">
        <f>N298/Parametros!$J$37</f>
        <v>8.268466667</v>
      </c>
      <c r="O299" s="5"/>
      <c r="P299" s="5"/>
      <c r="Q299" s="5"/>
      <c r="R299" s="5"/>
      <c r="S299" s="5"/>
      <c r="T299" s="5"/>
      <c r="U299" s="5"/>
      <c r="V299" s="5"/>
      <c r="W299" s="5"/>
      <c r="X299" s="5"/>
      <c r="Y299" s="5"/>
      <c r="Z299" s="5"/>
    </row>
    <row r="300" ht="12.0" customHeight="1">
      <c r="A300" s="92" t="s">
        <v>636</v>
      </c>
      <c r="B300" s="5"/>
      <c r="C300" s="204">
        <f t="shared" ref="C300:N300" si="88">C299</f>
        <v>7.952933333</v>
      </c>
      <c r="D300" s="204">
        <f t="shared" si="88"/>
        <v>6.122466667</v>
      </c>
      <c r="E300" s="204">
        <f t="shared" si="88"/>
        <v>5.880433333</v>
      </c>
      <c r="F300" s="204">
        <f t="shared" si="88"/>
        <v>5.680533333</v>
      </c>
      <c r="G300" s="204">
        <f t="shared" si="88"/>
        <v>5.322866667</v>
      </c>
      <c r="H300" s="204">
        <f t="shared" si="88"/>
        <v>5.1651</v>
      </c>
      <c r="I300" s="204">
        <f t="shared" si="88"/>
        <v>5.522766667</v>
      </c>
      <c r="J300" s="204">
        <f t="shared" si="88"/>
        <v>5.522766667</v>
      </c>
      <c r="K300" s="204">
        <f t="shared" si="88"/>
        <v>5.522766667</v>
      </c>
      <c r="L300" s="204">
        <f t="shared" si="88"/>
        <v>5.365</v>
      </c>
      <c r="M300" s="204">
        <f t="shared" si="88"/>
        <v>5.207233333</v>
      </c>
      <c r="N300" s="204">
        <f t="shared" si="88"/>
        <v>8.268466667</v>
      </c>
      <c r="O300" s="5"/>
      <c r="P300" s="5"/>
      <c r="Q300" s="5"/>
      <c r="R300" s="5"/>
      <c r="S300" s="5"/>
      <c r="T300" s="5"/>
      <c r="U300" s="5"/>
      <c r="V300" s="5"/>
      <c r="W300" s="5"/>
      <c r="X300" s="5"/>
      <c r="Y300" s="5"/>
      <c r="Z300" s="5"/>
    </row>
    <row r="301" ht="12.0" customHeight="1">
      <c r="A301" s="92" t="s">
        <v>637</v>
      </c>
      <c r="B301" s="5"/>
      <c r="C301" s="184">
        <f>'Resumen Capacidad'!$C$122</f>
        <v>192</v>
      </c>
      <c r="D301" s="184">
        <f>'Resumen Capacidad'!$C$122</f>
        <v>192</v>
      </c>
      <c r="E301" s="184">
        <f>'Resumen Capacidad'!$C$122</f>
        <v>192</v>
      </c>
      <c r="F301" s="184">
        <f>'Resumen Capacidad'!$C$122</f>
        <v>192</v>
      </c>
      <c r="G301" s="184">
        <f>'Resumen Capacidad'!$C$122</f>
        <v>192</v>
      </c>
      <c r="H301" s="184">
        <f>'Resumen Capacidad'!$C$122</f>
        <v>192</v>
      </c>
      <c r="I301" s="184">
        <f>'Resumen Capacidad'!$C$122</f>
        <v>192</v>
      </c>
      <c r="J301" s="184">
        <f>'Resumen Capacidad'!$C$122</f>
        <v>192</v>
      </c>
      <c r="K301" s="184">
        <f>'Resumen Capacidad'!$C$122</f>
        <v>192</v>
      </c>
      <c r="L301" s="184">
        <f>'Resumen Capacidad'!$C$122</f>
        <v>192</v>
      </c>
      <c r="M301" s="184">
        <f>'Resumen Capacidad'!$C$122</f>
        <v>192</v>
      </c>
      <c r="N301" s="184">
        <f>'Resumen Capacidad'!$C$122</f>
        <v>192</v>
      </c>
      <c r="O301" s="5"/>
      <c r="P301" s="5"/>
      <c r="Q301" s="5"/>
      <c r="R301" s="5"/>
      <c r="S301" s="5"/>
      <c r="T301" s="5"/>
      <c r="U301" s="5"/>
      <c r="V301" s="5"/>
      <c r="W301" s="5"/>
      <c r="X301" s="5"/>
      <c r="Y301" s="5"/>
      <c r="Z301" s="5"/>
    </row>
    <row r="302" ht="12.0" customHeight="1">
      <c r="A302" s="92" t="s">
        <v>640</v>
      </c>
      <c r="B302" s="5"/>
      <c r="C302" s="204">
        <f>'Resumen Capacidad'!$C$40*'Resumen Capacidad'!$C$76</f>
        <v>1</v>
      </c>
      <c r="D302" s="204">
        <f>'Resumen Capacidad'!$C$40*'Resumen Capacidad'!$C$76</f>
        <v>1</v>
      </c>
      <c r="E302" s="204">
        <f>'Resumen Capacidad'!$C$40*'Resumen Capacidad'!$C$76</f>
        <v>1</v>
      </c>
      <c r="F302" s="204">
        <f>'Resumen Capacidad'!$C$40*'Resumen Capacidad'!$C$76</f>
        <v>1</v>
      </c>
      <c r="G302" s="204">
        <f>'Resumen Capacidad'!$C$40*'Resumen Capacidad'!$C$76</f>
        <v>1</v>
      </c>
      <c r="H302" s="204">
        <f>'Resumen Capacidad'!$C$40*'Resumen Capacidad'!$C$76</f>
        <v>1</v>
      </c>
      <c r="I302" s="204">
        <f>'Resumen Capacidad'!$C$40*'Resumen Capacidad'!$C$76</f>
        <v>1</v>
      </c>
      <c r="J302" s="204">
        <f>'Resumen Capacidad'!$C$40*'Resumen Capacidad'!$C$76</f>
        <v>1</v>
      </c>
      <c r="K302" s="204">
        <f>'Resumen Capacidad'!$C$40*'Resumen Capacidad'!$C$76</f>
        <v>1</v>
      </c>
      <c r="L302" s="204">
        <f>'Resumen Capacidad'!$C$40*'Resumen Capacidad'!$C$76</f>
        <v>1</v>
      </c>
      <c r="M302" s="204">
        <f>'Resumen Capacidad'!$C$40*'Resumen Capacidad'!$C$76</f>
        <v>1</v>
      </c>
      <c r="N302" s="204">
        <f>'Resumen Capacidad'!$C$40*'Resumen Capacidad'!$C$76</f>
        <v>1</v>
      </c>
      <c r="O302" s="5"/>
      <c r="P302" s="5"/>
      <c r="Q302" s="5"/>
      <c r="R302" s="5"/>
      <c r="S302" s="5"/>
      <c r="T302" s="5"/>
      <c r="U302" s="5"/>
      <c r="V302" s="5"/>
      <c r="W302" s="5"/>
      <c r="X302" s="5"/>
      <c r="Y302" s="5"/>
      <c r="Z302" s="5"/>
    </row>
    <row r="303" ht="12.0" customHeight="1">
      <c r="A303" s="92" t="s">
        <v>642</v>
      </c>
      <c r="B303" s="5"/>
      <c r="C303" s="204">
        <f t="shared" ref="C303:N303" si="89">C301*C302</f>
        <v>192</v>
      </c>
      <c r="D303" s="204">
        <f t="shared" si="89"/>
        <v>192</v>
      </c>
      <c r="E303" s="204">
        <f t="shared" si="89"/>
        <v>192</v>
      </c>
      <c r="F303" s="204">
        <f t="shared" si="89"/>
        <v>192</v>
      </c>
      <c r="G303" s="204">
        <f t="shared" si="89"/>
        <v>192</v>
      </c>
      <c r="H303" s="204">
        <f t="shared" si="89"/>
        <v>192</v>
      </c>
      <c r="I303" s="204">
        <f t="shared" si="89"/>
        <v>192</v>
      </c>
      <c r="J303" s="204">
        <f t="shared" si="89"/>
        <v>192</v>
      </c>
      <c r="K303" s="204">
        <f t="shared" si="89"/>
        <v>192</v>
      </c>
      <c r="L303" s="204">
        <f t="shared" si="89"/>
        <v>192</v>
      </c>
      <c r="M303" s="204">
        <f t="shared" si="89"/>
        <v>192</v>
      </c>
      <c r="N303" s="204">
        <f t="shared" si="89"/>
        <v>192</v>
      </c>
      <c r="O303" s="5"/>
      <c r="P303" s="5"/>
      <c r="Q303" s="5"/>
      <c r="R303" s="5"/>
      <c r="S303" s="5"/>
      <c r="T303" s="5"/>
      <c r="U303" s="5"/>
      <c r="V303" s="5"/>
      <c r="W303" s="5"/>
      <c r="X303" s="5"/>
      <c r="Y303" s="5"/>
      <c r="Z303" s="5"/>
    </row>
    <row r="304" ht="12.0" customHeight="1">
      <c r="A304" s="92" t="s">
        <v>643</v>
      </c>
      <c r="B304" s="5"/>
      <c r="C304" s="206">
        <f t="shared" ref="C304:N304" si="90">IF(C303=0,0,C300/C303)</f>
        <v>0.04142152778</v>
      </c>
      <c r="D304" s="206">
        <f t="shared" si="90"/>
        <v>0.03188784722</v>
      </c>
      <c r="E304" s="206">
        <f t="shared" si="90"/>
        <v>0.03062725694</v>
      </c>
      <c r="F304" s="206">
        <f t="shared" si="90"/>
        <v>0.02958611111</v>
      </c>
      <c r="G304" s="206">
        <f t="shared" si="90"/>
        <v>0.02772326389</v>
      </c>
      <c r="H304" s="206">
        <f t="shared" si="90"/>
        <v>0.0269015625</v>
      </c>
      <c r="I304" s="206">
        <f t="shared" si="90"/>
        <v>0.02876440972</v>
      </c>
      <c r="J304" s="206">
        <f t="shared" si="90"/>
        <v>0.02876440972</v>
      </c>
      <c r="K304" s="206">
        <f t="shared" si="90"/>
        <v>0.02876440972</v>
      </c>
      <c r="L304" s="206">
        <f t="shared" si="90"/>
        <v>0.02794270833</v>
      </c>
      <c r="M304" s="206">
        <f t="shared" si="90"/>
        <v>0.02712100694</v>
      </c>
      <c r="N304" s="206">
        <f t="shared" si="90"/>
        <v>0.04306493056</v>
      </c>
      <c r="O304" s="5"/>
      <c r="P304" s="5"/>
      <c r="Q304" s="5"/>
      <c r="R304" s="5"/>
      <c r="S304" s="5"/>
      <c r="T304" s="5"/>
      <c r="U304" s="5"/>
      <c r="V304" s="5"/>
      <c r="W304" s="5"/>
      <c r="X304" s="5"/>
      <c r="Y304" s="5"/>
      <c r="Z304" s="5"/>
    </row>
    <row r="305" ht="12.0" customHeight="1">
      <c r="A305" s="201" t="s">
        <v>686</v>
      </c>
      <c r="B305" s="202"/>
      <c r="C305" s="202"/>
      <c r="D305" s="202"/>
      <c r="E305" s="202"/>
      <c r="F305" s="202"/>
      <c r="G305" s="202"/>
      <c r="H305" s="202"/>
      <c r="I305" s="202"/>
      <c r="J305" s="202"/>
      <c r="K305" s="202"/>
      <c r="L305" s="202"/>
      <c r="M305" s="202"/>
      <c r="N305" s="202"/>
      <c r="O305" s="5"/>
      <c r="P305" s="5"/>
      <c r="Q305" s="5"/>
      <c r="R305" s="5"/>
      <c r="S305" s="5"/>
      <c r="T305" s="5"/>
      <c r="U305" s="5"/>
      <c r="V305" s="5"/>
      <c r="W305" s="5"/>
      <c r="X305" s="5"/>
      <c r="Y305" s="5"/>
      <c r="Z305" s="5"/>
    </row>
    <row r="306" ht="12.0" customHeight="1">
      <c r="A306" s="201" t="s">
        <v>630</v>
      </c>
      <c r="B306" s="201" t="s">
        <v>631</v>
      </c>
      <c r="C306" s="201" t="s">
        <v>3</v>
      </c>
      <c r="D306" s="201" t="s">
        <v>4</v>
      </c>
      <c r="E306" s="201" t="s">
        <v>5</v>
      </c>
      <c r="F306" s="201" t="s">
        <v>6</v>
      </c>
      <c r="G306" s="201" t="s">
        <v>7</v>
      </c>
      <c r="H306" s="201" t="s">
        <v>8</v>
      </c>
      <c r="I306" s="201" t="s">
        <v>9</v>
      </c>
      <c r="J306" s="201" t="s">
        <v>10</v>
      </c>
      <c r="K306" s="201" t="s">
        <v>11</v>
      </c>
      <c r="L306" s="201" t="s">
        <v>12</v>
      </c>
      <c r="M306" s="201" t="s">
        <v>13</v>
      </c>
      <c r="N306" s="201" t="s">
        <v>14</v>
      </c>
      <c r="O306" s="5"/>
      <c r="P306" s="5"/>
      <c r="Q306" s="5"/>
      <c r="R306" s="5"/>
      <c r="S306" s="5"/>
      <c r="T306" s="5"/>
      <c r="U306" s="5"/>
      <c r="V306" s="5"/>
      <c r="W306" s="5"/>
      <c r="X306" s="5"/>
      <c r="Y306" s="5"/>
      <c r="Z306" s="5"/>
    </row>
    <row r="307" ht="12.0" customHeight="1">
      <c r="A307" s="92" t="s">
        <v>632</v>
      </c>
      <c r="B307" s="92" t="s">
        <v>633</v>
      </c>
      <c r="C307" s="203">
        <f>SUM('2027'!B6:B9)+SUM('2027'!B17:B20)</f>
        <v>1192.94</v>
      </c>
      <c r="D307" s="203">
        <f>SUM('2027'!C6:C9)+SUM('2027'!C17:C20)</f>
        <v>918.37</v>
      </c>
      <c r="E307" s="203">
        <f>SUM('2027'!D6:D9)+SUM('2027'!D17:D20)</f>
        <v>882.065</v>
      </c>
      <c r="F307" s="203">
        <f>SUM('2027'!E6:E9)+SUM('2027'!E17:E20)</f>
        <v>852.08</v>
      </c>
      <c r="G307" s="203">
        <f>SUM('2027'!F6:F9)+SUM('2027'!F17:F20)</f>
        <v>798.43</v>
      </c>
      <c r="H307" s="203">
        <f>SUM('2027'!G6:G9)+SUM('2027'!G17:G20)</f>
        <v>774.765</v>
      </c>
      <c r="I307" s="203">
        <f>SUM('2027'!H6:H9)+SUM('2027'!H17:H20)</f>
        <v>828.415</v>
      </c>
      <c r="J307" s="203">
        <f>SUM('2027'!I6:I9)+SUM('2027'!I17:I20)</f>
        <v>828.415</v>
      </c>
      <c r="K307" s="203">
        <f>SUM('2027'!J6:J9)+SUM('2027'!J17:J20)</f>
        <v>828.415</v>
      </c>
      <c r="L307" s="203">
        <f>SUM('2027'!K6:K9)+SUM('2027'!K17:K20)</f>
        <v>804.75</v>
      </c>
      <c r="M307" s="203">
        <f>SUM('2027'!L6:L9)+SUM('2027'!L17:L20)</f>
        <v>781.085</v>
      </c>
      <c r="N307" s="203">
        <f>SUM('2027'!M6:M9)+SUM('2027'!M17:M20)</f>
        <v>1240.27</v>
      </c>
      <c r="O307" s="5"/>
      <c r="P307" s="5"/>
      <c r="Q307" s="5"/>
      <c r="R307" s="5"/>
      <c r="S307" s="5"/>
      <c r="T307" s="5"/>
      <c r="U307" s="5"/>
      <c r="V307" s="5"/>
      <c r="W307" s="5"/>
      <c r="X307" s="5"/>
      <c r="Y307" s="5"/>
      <c r="Z307" s="5"/>
    </row>
    <row r="308" ht="12.0" customHeight="1">
      <c r="A308" s="5"/>
      <c r="B308" s="92" t="s">
        <v>634</v>
      </c>
      <c r="C308" s="204">
        <f>C307/Parametros!$B$37</f>
        <v>59.647</v>
      </c>
      <c r="D308" s="204">
        <f>D307/Parametros!$B$37</f>
        <v>45.9185</v>
      </c>
      <c r="E308" s="204">
        <f>E307/Parametros!$B$37</f>
        <v>44.10325</v>
      </c>
      <c r="F308" s="204">
        <f>F307/Parametros!$B$37</f>
        <v>42.604</v>
      </c>
      <c r="G308" s="204">
        <f>G307/Parametros!$B$37</f>
        <v>39.9215</v>
      </c>
      <c r="H308" s="204">
        <f>H307/Parametros!$B$37</f>
        <v>38.73825</v>
      </c>
      <c r="I308" s="204">
        <f>I307/Parametros!$B$37</f>
        <v>41.42075</v>
      </c>
      <c r="J308" s="204">
        <f>J307/Parametros!$B$37</f>
        <v>41.42075</v>
      </c>
      <c r="K308" s="204">
        <f>K307/Parametros!$B$37</f>
        <v>41.42075</v>
      </c>
      <c r="L308" s="204">
        <f>L307/Parametros!$B$37</f>
        <v>40.2375</v>
      </c>
      <c r="M308" s="204">
        <f>M307/Parametros!$B$37</f>
        <v>39.05425</v>
      </c>
      <c r="N308" s="204">
        <f>N307/Parametros!$B$37</f>
        <v>62.0135</v>
      </c>
      <c r="O308" s="5"/>
      <c r="P308" s="5"/>
      <c r="Q308" s="5"/>
      <c r="R308" s="5"/>
      <c r="S308" s="5"/>
      <c r="T308" s="5"/>
      <c r="U308" s="5"/>
      <c r="V308" s="5"/>
      <c r="W308" s="5"/>
      <c r="X308" s="5"/>
      <c r="Y308" s="5"/>
      <c r="Z308" s="5"/>
    </row>
    <row r="309" ht="12.0" customHeight="1">
      <c r="A309" s="5"/>
      <c r="B309" s="92" t="s">
        <v>635</v>
      </c>
      <c r="C309" s="204">
        <f>C308/Parametros!$J$37</f>
        <v>7.952933333</v>
      </c>
      <c r="D309" s="204">
        <f>D308/Parametros!$J$37</f>
        <v>6.122466667</v>
      </c>
      <c r="E309" s="204">
        <f>E308/Parametros!$J$37</f>
        <v>5.880433333</v>
      </c>
      <c r="F309" s="204">
        <f>F308/Parametros!$J$37</f>
        <v>5.680533333</v>
      </c>
      <c r="G309" s="204">
        <f>G308/Parametros!$J$37</f>
        <v>5.322866667</v>
      </c>
      <c r="H309" s="204">
        <f>H308/Parametros!$J$37</f>
        <v>5.1651</v>
      </c>
      <c r="I309" s="204">
        <f>I308/Parametros!$J$37</f>
        <v>5.522766667</v>
      </c>
      <c r="J309" s="204">
        <f>J308/Parametros!$J$37</f>
        <v>5.522766667</v>
      </c>
      <c r="K309" s="204">
        <f>K308/Parametros!$J$37</f>
        <v>5.522766667</v>
      </c>
      <c r="L309" s="204">
        <f>L308/Parametros!$J$37</f>
        <v>5.365</v>
      </c>
      <c r="M309" s="204">
        <f>M308/Parametros!$J$37</f>
        <v>5.207233333</v>
      </c>
      <c r="N309" s="204">
        <f>N308/Parametros!$J$37</f>
        <v>8.268466667</v>
      </c>
      <c r="O309" s="5"/>
      <c r="P309" s="5"/>
      <c r="Q309" s="5"/>
      <c r="R309" s="5"/>
      <c r="S309" s="5"/>
      <c r="T309" s="5"/>
      <c r="U309" s="5"/>
      <c r="V309" s="5"/>
      <c r="W309" s="5"/>
      <c r="X309" s="5"/>
      <c r="Y309" s="5"/>
      <c r="Z309" s="5"/>
    </row>
    <row r="310" ht="12.0" customHeight="1">
      <c r="A310" s="92" t="s">
        <v>636</v>
      </c>
      <c r="B310" s="5"/>
      <c r="C310" s="204">
        <f t="shared" ref="C310:N310" si="91">C309</f>
        <v>7.952933333</v>
      </c>
      <c r="D310" s="204">
        <f t="shared" si="91"/>
        <v>6.122466667</v>
      </c>
      <c r="E310" s="204">
        <f t="shared" si="91"/>
        <v>5.880433333</v>
      </c>
      <c r="F310" s="204">
        <f t="shared" si="91"/>
        <v>5.680533333</v>
      </c>
      <c r="G310" s="204">
        <f t="shared" si="91"/>
        <v>5.322866667</v>
      </c>
      <c r="H310" s="204">
        <f t="shared" si="91"/>
        <v>5.1651</v>
      </c>
      <c r="I310" s="204">
        <f t="shared" si="91"/>
        <v>5.522766667</v>
      </c>
      <c r="J310" s="204">
        <f t="shared" si="91"/>
        <v>5.522766667</v>
      </c>
      <c r="K310" s="204">
        <f t="shared" si="91"/>
        <v>5.522766667</v>
      </c>
      <c r="L310" s="204">
        <f t="shared" si="91"/>
        <v>5.365</v>
      </c>
      <c r="M310" s="204">
        <f t="shared" si="91"/>
        <v>5.207233333</v>
      </c>
      <c r="N310" s="204">
        <f t="shared" si="91"/>
        <v>8.268466667</v>
      </c>
      <c r="O310" s="5"/>
      <c r="P310" s="5"/>
      <c r="Q310" s="5"/>
      <c r="R310" s="5"/>
      <c r="S310" s="5"/>
      <c r="T310" s="5"/>
      <c r="U310" s="5"/>
      <c r="V310" s="5"/>
      <c r="W310" s="5"/>
      <c r="X310" s="5"/>
      <c r="Y310" s="5"/>
      <c r="Z310" s="5"/>
    </row>
    <row r="311" ht="12.0" customHeight="1">
      <c r="A311" s="92" t="s">
        <v>637</v>
      </c>
      <c r="B311" s="5"/>
      <c r="C311" s="205">
        <f>'Resumen Capacidad'!$C$124</f>
        <v>136.0227273</v>
      </c>
      <c r="D311" s="205">
        <f>'Resumen Capacidad'!$C$124</f>
        <v>136.0227273</v>
      </c>
      <c r="E311" s="205">
        <f>'Resumen Capacidad'!$C$124</f>
        <v>136.0227273</v>
      </c>
      <c r="F311" s="205">
        <f>'Resumen Capacidad'!$C$124</f>
        <v>136.0227273</v>
      </c>
      <c r="G311" s="205">
        <f>'Resumen Capacidad'!$C$124</f>
        <v>136.0227273</v>
      </c>
      <c r="H311" s="205">
        <f>'Resumen Capacidad'!$C$124</f>
        <v>136.0227273</v>
      </c>
      <c r="I311" s="205">
        <f>'Resumen Capacidad'!$C$124</f>
        <v>136.0227273</v>
      </c>
      <c r="J311" s="205">
        <f>'Resumen Capacidad'!$C$124</f>
        <v>136.0227273</v>
      </c>
      <c r="K311" s="205">
        <f>'Resumen Capacidad'!$C$124</f>
        <v>136.0227273</v>
      </c>
      <c r="L311" s="205">
        <f>'Resumen Capacidad'!$C$124</f>
        <v>136.0227273</v>
      </c>
      <c r="M311" s="205">
        <f>'Resumen Capacidad'!$C$124</f>
        <v>136.0227273</v>
      </c>
      <c r="N311" s="205">
        <f>'Resumen Capacidad'!$C$124</f>
        <v>136.0227273</v>
      </c>
      <c r="O311" s="5"/>
      <c r="P311" s="5"/>
      <c r="Q311" s="5"/>
      <c r="R311" s="5"/>
      <c r="S311" s="5"/>
      <c r="T311" s="5"/>
      <c r="U311" s="5"/>
      <c r="V311" s="5"/>
      <c r="W311" s="5"/>
      <c r="X311" s="5"/>
      <c r="Y311" s="5"/>
      <c r="Z311" s="5"/>
    </row>
    <row r="312" ht="12.0" customHeight="1">
      <c r="A312" s="92" t="s">
        <v>640</v>
      </c>
      <c r="B312" s="5"/>
      <c r="C312" s="204">
        <f>'Resumen Capacidad'!$C$42*'Resumen Capacidad'!$C$78</f>
        <v>0</v>
      </c>
      <c r="D312" s="204">
        <f>'Resumen Capacidad'!$C$42*'Resumen Capacidad'!$C$78</f>
        <v>0</v>
      </c>
      <c r="E312" s="204">
        <f>'Resumen Capacidad'!$C$42*'Resumen Capacidad'!$C$78</f>
        <v>0</v>
      </c>
      <c r="F312" s="204">
        <f>'Resumen Capacidad'!$C$42*'Resumen Capacidad'!$C$78</f>
        <v>0</v>
      </c>
      <c r="G312" s="204">
        <f>'Resumen Capacidad'!$C$42*'Resumen Capacidad'!$C$78</f>
        <v>0</v>
      </c>
      <c r="H312" s="204">
        <f>'Resumen Capacidad'!$C$42*'Resumen Capacidad'!$C$78</f>
        <v>0</v>
      </c>
      <c r="I312" s="204">
        <f>'Resumen Capacidad'!$C$42*'Resumen Capacidad'!$C$78</f>
        <v>0</v>
      </c>
      <c r="J312" s="204">
        <f>'Resumen Capacidad'!$C$42*'Resumen Capacidad'!$C$78</f>
        <v>0</v>
      </c>
      <c r="K312" s="204">
        <f>'Resumen Capacidad'!$C$42*'Resumen Capacidad'!$C$78</f>
        <v>0</v>
      </c>
      <c r="L312" s="204">
        <f>'Resumen Capacidad'!$C$42*'Resumen Capacidad'!$C$78</f>
        <v>0</v>
      </c>
      <c r="M312" s="204">
        <f>'Resumen Capacidad'!$C$42*'Resumen Capacidad'!$C$78</f>
        <v>0</v>
      </c>
      <c r="N312" s="204">
        <f>'Resumen Capacidad'!$C$42*'Resumen Capacidad'!$C$78</f>
        <v>0</v>
      </c>
      <c r="O312" s="5"/>
      <c r="P312" s="5"/>
      <c r="Q312" s="5"/>
      <c r="R312" s="5"/>
      <c r="S312" s="5"/>
      <c r="T312" s="5"/>
      <c r="U312" s="5"/>
      <c r="V312" s="5"/>
      <c r="W312" s="5"/>
      <c r="X312" s="5"/>
      <c r="Y312" s="5"/>
      <c r="Z312" s="5"/>
    </row>
    <row r="313" ht="12.0" customHeight="1">
      <c r="A313" s="92" t="s">
        <v>642</v>
      </c>
      <c r="B313" s="5"/>
      <c r="C313" s="204">
        <f t="shared" ref="C313:N313" si="92">C311*C312</f>
        <v>0</v>
      </c>
      <c r="D313" s="204">
        <f t="shared" si="92"/>
        <v>0</v>
      </c>
      <c r="E313" s="204">
        <f t="shared" si="92"/>
        <v>0</v>
      </c>
      <c r="F313" s="204">
        <f t="shared" si="92"/>
        <v>0</v>
      </c>
      <c r="G313" s="204">
        <f t="shared" si="92"/>
        <v>0</v>
      </c>
      <c r="H313" s="204">
        <f t="shared" si="92"/>
        <v>0</v>
      </c>
      <c r="I313" s="204">
        <f t="shared" si="92"/>
        <v>0</v>
      </c>
      <c r="J313" s="204">
        <f t="shared" si="92"/>
        <v>0</v>
      </c>
      <c r="K313" s="204">
        <f t="shared" si="92"/>
        <v>0</v>
      </c>
      <c r="L313" s="204">
        <f t="shared" si="92"/>
        <v>0</v>
      </c>
      <c r="M313" s="204">
        <f t="shared" si="92"/>
        <v>0</v>
      </c>
      <c r="N313" s="204">
        <f t="shared" si="92"/>
        <v>0</v>
      </c>
      <c r="O313" s="5"/>
      <c r="P313" s="5"/>
      <c r="Q313" s="5"/>
      <c r="R313" s="5"/>
      <c r="S313" s="5"/>
      <c r="T313" s="5"/>
      <c r="U313" s="5"/>
      <c r="V313" s="5"/>
      <c r="W313" s="5"/>
      <c r="X313" s="5"/>
      <c r="Y313" s="5"/>
      <c r="Z313" s="5"/>
    </row>
    <row r="314" ht="12.0" customHeight="1">
      <c r="A314" s="92" t="s">
        <v>643</v>
      </c>
      <c r="B314" s="5"/>
      <c r="C314" s="206">
        <f t="shared" ref="C314:N314" si="93">IF(C313=0,0,C310/C313)</f>
        <v>0</v>
      </c>
      <c r="D314" s="206">
        <f t="shared" si="93"/>
        <v>0</v>
      </c>
      <c r="E314" s="206">
        <f t="shared" si="93"/>
        <v>0</v>
      </c>
      <c r="F314" s="206">
        <f t="shared" si="93"/>
        <v>0</v>
      </c>
      <c r="G314" s="206">
        <f t="shared" si="93"/>
        <v>0</v>
      </c>
      <c r="H314" s="206">
        <f t="shared" si="93"/>
        <v>0</v>
      </c>
      <c r="I314" s="206">
        <f t="shared" si="93"/>
        <v>0</v>
      </c>
      <c r="J314" s="206">
        <f t="shared" si="93"/>
        <v>0</v>
      </c>
      <c r="K314" s="206">
        <f t="shared" si="93"/>
        <v>0</v>
      </c>
      <c r="L314" s="206">
        <f t="shared" si="93"/>
        <v>0</v>
      </c>
      <c r="M314" s="206">
        <f t="shared" si="93"/>
        <v>0</v>
      </c>
      <c r="N314" s="206">
        <f t="shared" si="93"/>
        <v>0</v>
      </c>
      <c r="O314" s="5"/>
      <c r="P314" s="5"/>
      <c r="Q314" s="5"/>
      <c r="R314" s="5"/>
      <c r="S314" s="5"/>
      <c r="T314" s="5"/>
      <c r="U314" s="5"/>
      <c r="V314" s="5"/>
      <c r="W314" s="5"/>
      <c r="X314" s="5"/>
      <c r="Y314" s="5"/>
      <c r="Z314" s="5"/>
    </row>
    <row r="315" ht="12.0" customHeight="1">
      <c r="A315" s="201" t="s">
        <v>693</v>
      </c>
      <c r="B315" s="202"/>
      <c r="C315" s="202"/>
      <c r="D315" s="202"/>
      <c r="E315" s="202"/>
      <c r="F315" s="202"/>
      <c r="G315" s="202"/>
      <c r="H315" s="202"/>
      <c r="I315" s="202"/>
      <c r="J315" s="202"/>
      <c r="K315" s="202"/>
      <c r="L315" s="202"/>
      <c r="M315" s="202"/>
      <c r="N315" s="202"/>
      <c r="O315" s="5"/>
      <c r="P315" s="5"/>
      <c r="Q315" s="5"/>
      <c r="R315" s="5"/>
      <c r="S315" s="5"/>
      <c r="T315" s="5"/>
      <c r="U315" s="5"/>
      <c r="V315" s="5"/>
      <c r="W315" s="5"/>
      <c r="X315" s="5"/>
      <c r="Y315" s="5"/>
      <c r="Z315" s="5"/>
    </row>
    <row r="316" ht="12.0" customHeight="1">
      <c r="A316" s="201" t="s">
        <v>630</v>
      </c>
      <c r="B316" s="201" t="s">
        <v>631</v>
      </c>
      <c r="C316" s="201" t="s">
        <v>3</v>
      </c>
      <c r="D316" s="201" t="s">
        <v>4</v>
      </c>
      <c r="E316" s="201" t="s">
        <v>5</v>
      </c>
      <c r="F316" s="201" t="s">
        <v>6</v>
      </c>
      <c r="G316" s="201" t="s">
        <v>7</v>
      </c>
      <c r="H316" s="201" t="s">
        <v>8</v>
      </c>
      <c r="I316" s="201" t="s">
        <v>9</v>
      </c>
      <c r="J316" s="201" t="s">
        <v>10</v>
      </c>
      <c r="K316" s="201" t="s">
        <v>11</v>
      </c>
      <c r="L316" s="201" t="s">
        <v>12</v>
      </c>
      <c r="M316" s="201" t="s">
        <v>13</v>
      </c>
      <c r="N316" s="201" t="s">
        <v>14</v>
      </c>
      <c r="O316" s="5"/>
      <c r="P316" s="5"/>
      <c r="Q316" s="5"/>
      <c r="R316" s="5"/>
      <c r="S316" s="5"/>
      <c r="T316" s="5"/>
      <c r="U316" s="5"/>
      <c r="V316" s="5"/>
      <c r="W316" s="5"/>
      <c r="X316" s="5"/>
      <c r="Y316" s="5"/>
      <c r="Z316" s="5"/>
    </row>
    <row r="317" ht="12.0" customHeight="1">
      <c r="A317" s="92" t="s">
        <v>694</v>
      </c>
      <c r="B317" s="92" t="s">
        <v>633</v>
      </c>
      <c r="C317" s="203">
        <f>SUM('2027'!B6:B9)+Parametros!$B$72*C2148</f>
        <v>1252.355</v>
      </c>
      <c r="D317" s="203">
        <f>SUM('2027'!C6:C9)+Parametros!$B$72*D2148</f>
        <v>970.795</v>
      </c>
      <c r="E317" s="203">
        <f>SUM('2027'!D6:D9)+Parametros!$B$72*E2148</f>
        <v>944.975</v>
      </c>
      <c r="F317" s="203">
        <f>SUM('2027'!E6:E9)+Parametros!$B$72*F2148</f>
        <v>914.99</v>
      </c>
      <c r="G317" s="203">
        <f>SUM('2027'!F6:F9)+Parametros!$B$72*G2148</f>
        <v>861.34</v>
      </c>
      <c r="H317" s="203">
        <f>SUM('2027'!G6:G9)+Parametros!$B$72*H2148</f>
        <v>830.685</v>
      </c>
      <c r="I317" s="203">
        <f>SUM('2027'!H6:H9)+Parametros!$B$72*I2148</f>
        <v>891.325</v>
      </c>
      <c r="J317" s="203">
        <f>SUM('2027'!I6:I9)+Parametros!$B$72*J2148</f>
        <v>891.325</v>
      </c>
      <c r="K317" s="203">
        <f>SUM('2027'!J6:J9)+Parametros!$B$72*K2148</f>
        <v>887.83</v>
      </c>
      <c r="L317" s="203">
        <f>SUM('2027'!K6:K9)+Parametros!$B$72*L2148</f>
        <v>857.175</v>
      </c>
      <c r="M317" s="203">
        <f>SUM('2027'!L6:L9)+Parametros!$B$72*M2148</f>
        <v>830.015</v>
      </c>
      <c r="N317" s="203">
        <f>SUM('2027'!M6:M9)+Parametros!$B$72*N2148</f>
        <v>1296.19</v>
      </c>
      <c r="O317" s="5"/>
      <c r="P317" s="5"/>
      <c r="Q317" s="5"/>
      <c r="R317" s="5"/>
      <c r="S317" s="5"/>
      <c r="T317" s="5"/>
      <c r="U317" s="5"/>
      <c r="V317" s="5"/>
      <c r="W317" s="5"/>
      <c r="X317" s="5"/>
      <c r="Y317" s="5"/>
      <c r="Z317" s="5"/>
    </row>
    <row r="318" ht="12.0" customHeight="1">
      <c r="A318" s="5"/>
      <c r="B318" s="92" t="s">
        <v>634</v>
      </c>
      <c r="C318" s="204">
        <f>C317/Parametros!$B$37</f>
        <v>62.61775</v>
      </c>
      <c r="D318" s="204">
        <f>D317/Parametros!$B$37</f>
        <v>48.53975</v>
      </c>
      <c r="E318" s="204">
        <f>E317/Parametros!$B$37</f>
        <v>47.24875</v>
      </c>
      <c r="F318" s="204">
        <f>F317/Parametros!$B$37</f>
        <v>45.7495</v>
      </c>
      <c r="G318" s="204">
        <f>G317/Parametros!$B$37</f>
        <v>43.067</v>
      </c>
      <c r="H318" s="204">
        <f>H317/Parametros!$B$37</f>
        <v>41.53425</v>
      </c>
      <c r="I318" s="204">
        <f>I317/Parametros!$B$37</f>
        <v>44.56625</v>
      </c>
      <c r="J318" s="204">
        <f>J317/Parametros!$B$37</f>
        <v>44.56625</v>
      </c>
      <c r="K318" s="204">
        <f>K317/Parametros!$B$37</f>
        <v>44.3915</v>
      </c>
      <c r="L318" s="204">
        <f>L317/Parametros!$B$37</f>
        <v>42.85875</v>
      </c>
      <c r="M318" s="204">
        <f>M317/Parametros!$B$37</f>
        <v>41.50075</v>
      </c>
      <c r="N318" s="204">
        <f>N317/Parametros!$B$37</f>
        <v>64.8095</v>
      </c>
      <c r="O318" s="5"/>
      <c r="P318" s="5"/>
      <c r="Q318" s="5"/>
      <c r="R318" s="5"/>
      <c r="S318" s="5"/>
      <c r="T318" s="5"/>
      <c r="U318" s="5"/>
      <c r="V318" s="5"/>
      <c r="W318" s="5"/>
      <c r="X318" s="5"/>
      <c r="Y318" s="5"/>
      <c r="Z318" s="5"/>
    </row>
    <row r="319" ht="12.0" customHeight="1">
      <c r="A319" s="5"/>
      <c r="B319" s="92" t="s">
        <v>635</v>
      </c>
      <c r="C319" s="204">
        <f>C318/Parametros!$J$37</f>
        <v>8.349033333</v>
      </c>
      <c r="D319" s="204">
        <f>D318/Parametros!$J$37</f>
        <v>6.471966667</v>
      </c>
      <c r="E319" s="204">
        <f>E318/Parametros!$J$37</f>
        <v>6.299833333</v>
      </c>
      <c r="F319" s="204">
        <f>F318/Parametros!$J$37</f>
        <v>6.099933333</v>
      </c>
      <c r="G319" s="204">
        <f>G318/Parametros!$J$37</f>
        <v>5.742266667</v>
      </c>
      <c r="H319" s="204">
        <f>H318/Parametros!$J$37</f>
        <v>5.5379</v>
      </c>
      <c r="I319" s="204">
        <f>I318/Parametros!$J$37</f>
        <v>5.942166667</v>
      </c>
      <c r="J319" s="204">
        <f>J318/Parametros!$J$37</f>
        <v>5.942166667</v>
      </c>
      <c r="K319" s="204">
        <f>K318/Parametros!$J$37</f>
        <v>5.918866667</v>
      </c>
      <c r="L319" s="204">
        <f>L318/Parametros!$J$37</f>
        <v>5.7145</v>
      </c>
      <c r="M319" s="204">
        <f>M318/Parametros!$J$37</f>
        <v>5.533433333</v>
      </c>
      <c r="N319" s="204">
        <f>N318/Parametros!$J$37</f>
        <v>8.641266667</v>
      </c>
      <c r="O319" s="5"/>
      <c r="P319" s="5"/>
      <c r="Q319" s="5"/>
      <c r="R319" s="5"/>
      <c r="S319" s="5"/>
      <c r="T319" s="5"/>
      <c r="U319" s="5"/>
      <c r="V319" s="5"/>
      <c r="W319" s="5"/>
      <c r="X319" s="5"/>
      <c r="Y319" s="5"/>
      <c r="Z319" s="5"/>
    </row>
    <row r="320" ht="12.0" customHeight="1">
      <c r="A320" s="92" t="s">
        <v>636</v>
      </c>
      <c r="B320" s="5"/>
      <c r="C320" s="204">
        <f t="shared" ref="C320:N320" si="94">C319</f>
        <v>8.349033333</v>
      </c>
      <c r="D320" s="204">
        <f t="shared" si="94"/>
        <v>6.471966667</v>
      </c>
      <c r="E320" s="204">
        <f t="shared" si="94"/>
        <v>6.299833333</v>
      </c>
      <c r="F320" s="204">
        <f t="shared" si="94"/>
        <v>6.099933333</v>
      </c>
      <c r="G320" s="204">
        <f t="shared" si="94"/>
        <v>5.742266667</v>
      </c>
      <c r="H320" s="204">
        <f t="shared" si="94"/>
        <v>5.5379</v>
      </c>
      <c r="I320" s="204">
        <f t="shared" si="94"/>
        <v>5.942166667</v>
      </c>
      <c r="J320" s="204">
        <f t="shared" si="94"/>
        <v>5.942166667</v>
      </c>
      <c r="K320" s="204">
        <f t="shared" si="94"/>
        <v>5.918866667</v>
      </c>
      <c r="L320" s="204">
        <f t="shared" si="94"/>
        <v>5.7145</v>
      </c>
      <c r="M320" s="204">
        <f t="shared" si="94"/>
        <v>5.533433333</v>
      </c>
      <c r="N320" s="204">
        <f t="shared" si="94"/>
        <v>8.641266667</v>
      </c>
      <c r="O320" s="5"/>
      <c r="P320" s="5"/>
      <c r="Q320" s="5"/>
      <c r="R320" s="5"/>
      <c r="S320" s="5"/>
      <c r="T320" s="5"/>
      <c r="U320" s="5"/>
      <c r="V320" s="5"/>
      <c r="W320" s="5"/>
      <c r="X320" s="5"/>
      <c r="Y320" s="5"/>
      <c r="Z320" s="5"/>
    </row>
    <row r="321" ht="12.0" customHeight="1">
      <c r="A321" s="92" t="s">
        <v>637</v>
      </c>
      <c r="B321" s="5"/>
      <c r="C321" s="205">
        <f>'Resumen Capacidad'!$C$125</f>
        <v>60.34285714</v>
      </c>
      <c r="D321" s="205">
        <f>'Resumen Capacidad'!$C$125</f>
        <v>60.34285714</v>
      </c>
      <c r="E321" s="205">
        <f>'Resumen Capacidad'!$C$125</f>
        <v>60.34285714</v>
      </c>
      <c r="F321" s="205">
        <f>'Resumen Capacidad'!$C$125</f>
        <v>60.34285714</v>
      </c>
      <c r="G321" s="205">
        <f>'Resumen Capacidad'!$C$125</f>
        <v>60.34285714</v>
      </c>
      <c r="H321" s="205">
        <f>'Resumen Capacidad'!$C$125</f>
        <v>60.34285714</v>
      </c>
      <c r="I321" s="205">
        <f>'Resumen Capacidad'!$C$125</f>
        <v>60.34285714</v>
      </c>
      <c r="J321" s="205">
        <f>'Resumen Capacidad'!$C$125</f>
        <v>60.34285714</v>
      </c>
      <c r="K321" s="205">
        <f>'Resumen Capacidad'!$C$125</f>
        <v>60.34285714</v>
      </c>
      <c r="L321" s="205">
        <f>'Resumen Capacidad'!$C$125</f>
        <v>60.34285714</v>
      </c>
      <c r="M321" s="205">
        <f>'Resumen Capacidad'!$C$125</f>
        <v>60.34285714</v>
      </c>
      <c r="N321" s="205">
        <f>'Resumen Capacidad'!$C$125</f>
        <v>60.34285714</v>
      </c>
      <c r="O321" s="5"/>
      <c r="P321" s="5"/>
      <c r="Q321" s="5"/>
      <c r="R321" s="5"/>
      <c r="S321" s="5"/>
      <c r="T321" s="5"/>
      <c r="U321" s="5"/>
      <c r="V321" s="5"/>
      <c r="W321" s="5"/>
      <c r="X321" s="5"/>
      <c r="Y321" s="5"/>
      <c r="Z321" s="5"/>
    </row>
    <row r="322" ht="12.0" customHeight="1">
      <c r="A322" s="92" t="s">
        <v>640</v>
      </c>
      <c r="B322" s="5"/>
      <c r="C322" s="204">
        <f>'Resumen Capacidad'!$C$43*'Resumen Capacidad'!$C$79</f>
        <v>1</v>
      </c>
      <c r="D322" s="204">
        <f>'Resumen Capacidad'!$C$43*'Resumen Capacidad'!$C$79</f>
        <v>1</v>
      </c>
      <c r="E322" s="204">
        <f>'Resumen Capacidad'!$C$43*'Resumen Capacidad'!$C$79</f>
        <v>1</v>
      </c>
      <c r="F322" s="204">
        <f>'Resumen Capacidad'!$C$43*'Resumen Capacidad'!$C$79</f>
        <v>1</v>
      </c>
      <c r="G322" s="204">
        <f>'Resumen Capacidad'!$C$43*'Resumen Capacidad'!$C$79</f>
        <v>1</v>
      </c>
      <c r="H322" s="204">
        <f>'Resumen Capacidad'!$C$43*'Resumen Capacidad'!$C$79</f>
        <v>1</v>
      </c>
      <c r="I322" s="204">
        <f>'Resumen Capacidad'!$C$43*'Resumen Capacidad'!$C$79</f>
        <v>1</v>
      </c>
      <c r="J322" s="204">
        <f>'Resumen Capacidad'!$C$43*'Resumen Capacidad'!$C$79</f>
        <v>1</v>
      </c>
      <c r="K322" s="204">
        <f>'Resumen Capacidad'!$C$43*'Resumen Capacidad'!$C$79</f>
        <v>1</v>
      </c>
      <c r="L322" s="204">
        <f>'Resumen Capacidad'!$C$43*'Resumen Capacidad'!$C$79</f>
        <v>1</v>
      </c>
      <c r="M322" s="204">
        <f>'Resumen Capacidad'!$C$43*'Resumen Capacidad'!$C$79</f>
        <v>1</v>
      </c>
      <c r="N322" s="204">
        <f>'Resumen Capacidad'!$C$43*'Resumen Capacidad'!$C$79</f>
        <v>1</v>
      </c>
      <c r="O322" s="5"/>
      <c r="P322" s="5"/>
      <c r="Q322" s="5"/>
      <c r="R322" s="5"/>
      <c r="S322" s="5"/>
      <c r="T322" s="5"/>
      <c r="U322" s="5"/>
      <c r="V322" s="5"/>
      <c r="W322" s="5"/>
      <c r="X322" s="5"/>
      <c r="Y322" s="5"/>
      <c r="Z322" s="5"/>
    </row>
    <row r="323" ht="12.0" customHeight="1">
      <c r="A323" s="92" t="s">
        <v>642</v>
      </c>
      <c r="B323" s="5"/>
      <c r="C323" s="204">
        <f t="shared" ref="C323:N323" si="95">C321*C322</f>
        <v>60.34285714</v>
      </c>
      <c r="D323" s="204">
        <f t="shared" si="95"/>
        <v>60.34285714</v>
      </c>
      <c r="E323" s="204">
        <f t="shared" si="95"/>
        <v>60.34285714</v>
      </c>
      <c r="F323" s="204">
        <f t="shared" si="95"/>
        <v>60.34285714</v>
      </c>
      <c r="G323" s="204">
        <f t="shared" si="95"/>
        <v>60.34285714</v>
      </c>
      <c r="H323" s="204">
        <f t="shared" si="95"/>
        <v>60.34285714</v>
      </c>
      <c r="I323" s="204">
        <f t="shared" si="95"/>
        <v>60.34285714</v>
      </c>
      <c r="J323" s="204">
        <f t="shared" si="95"/>
        <v>60.34285714</v>
      </c>
      <c r="K323" s="204">
        <f t="shared" si="95"/>
        <v>60.34285714</v>
      </c>
      <c r="L323" s="204">
        <f t="shared" si="95"/>
        <v>60.34285714</v>
      </c>
      <c r="M323" s="204">
        <f t="shared" si="95"/>
        <v>60.34285714</v>
      </c>
      <c r="N323" s="204">
        <f t="shared" si="95"/>
        <v>60.34285714</v>
      </c>
      <c r="O323" s="5"/>
      <c r="P323" s="5"/>
      <c r="Q323" s="5"/>
      <c r="R323" s="5"/>
      <c r="S323" s="5"/>
      <c r="T323" s="5"/>
      <c r="U323" s="5"/>
      <c r="V323" s="5"/>
      <c r="W323" s="5"/>
      <c r="X323" s="5"/>
      <c r="Y323" s="5"/>
      <c r="Z323" s="5"/>
    </row>
    <row r="324" ht="12.0" customHeight="1">
      <c r="A324" s="92" t="s">
        <v>643</v>
      </c>
      <c r="B324" s="5"/>
      <c r="C324" s="206">
        <f t="shared" ref="C324:N324" si="96">IF(C323=0,0,C320/C323)</f>
        <v>0.1383599274</v>
      </c>
      <c r="D324" s="206">
        <f t="shared" si="96"/>
        <v>0.1072532355</v>
      </c>
      <c r="E324" s="206">
        <f t="shared" si="96"/>
        <v>0.1044006471</v>
      </c>
      <c r="F324" s="206">
        <f t="shared" si="96"/>
        <v>0.1010879104</v>
      </c>
      <c r="G324" s="206">
        <f t="shared" si="96"/>
        <v>0.09516066919</v>
      </c>
      <c r="H324" s="206">
        <f t="shared" si="96"/>
        <v>0.09177391098</v>
      </c>
      <c r="I324" s="206">
        <f t="shared" si="96"/>
        <v>0.09847340593</v>
      </c>
      <c r="J324" s="206">
        <f t="shared" si="96"/>
        <v>0.09847340593</v>
      </c>
      <c r="K324" s="206">
        <f t="shared" si="96"/>
        <v>0.09808727904</v>
      </c>
      <c r="L324" s="206">
        <f t="shared" si="96"/>
        <v>0.09470052083</v>
      </c>
      <c r="M324" s="206">
        <f t="shared" si="96"/>
        <v>0.09169988952</v>
      </c>
      <c r="N324" s="206">
        <f t="shared" si="96"/>
        <v>0.1432028093</v>
      </c>
      <c r="O324" s="5"/>
      <c r="P324" s="5"/>
      <c r="Q324" s="5"/>
      <c r="R324" s="5"/>
      <c r="S324" s="5"/>
      <c r="T324" s="5"/>
      <c r="U324" s="5"/>
      <c r="V324" s="5"/>
      <c r="W324" s="5"/>
      <c r="X324" s="5"/>
      <c r="Y324" s="5"/>
      <c r="Z324" s="5"/>
    </row>
    <row r="325" ht="12.0" customHeight="1">
      <c r="A325" s="201" t="s">
        <v>695</v>
      </c>
      <c r="B325" s="202"/>
      <c r="C325" s="202"/>
      <c r="D325" s="202"/>
      <c r="E325" s="202"/>
      <c r="F325" s="202"/>
      <c r="G325" s="202"/>
      <c r="H325" s="202"/>
      <c r="I325" s="202"/>
      <c r="J325" s="202"/>
      <c r="K325" s="202"/>
      <c r="L325" s="202"/>
      <c r="M325" s="202"/>
      <c r="N325" s="202"/>
      <c r="O325" s="5"/>
      <c r="P325" s="5"/>
      <c r="Q325" s="5"/>
      <c r="R325" s="5"/>
      <c r="S325" s="5"/>
      <c r="T325" s="5"/>
      <c r="U325" s="5"/>
      <c r="V325" s="5"/>
      <c r="W325" s="5"/>
      <c r="X325" s="5"/>
      <c r="Y325" s="5"/>
      <c r="Z325" s="5"/>
    </row>
    <row r="326" ht="12.0" customHeight="1">
      <c r="A326" s="201" t="s">
        <v>630</v>
      </c>
      <c r="B326" s="201" t="s">
        <v>631</v>
      </c>
      <c r="C326" s="201" t="s">
        <v>3</v>
      </c>
      <c r="D326" s="201" t="s">
        <v>4</v>
      </c>
      <c r="E326" s="201" t="s">
        <v>5</v>
      </c>
      <c r="F326" s="201" t="s">
        <v>6</v>
      </c>
      <c r="G326" s="201" t="s">
        <v>7</v>
      </c>
      <c r="H326" s="201" t="s">
        <v>8</v>
      </c>
      <c r="I326" s="201" t="s">
        <v>9</v>
      </c>
      <c r="J326" s="201" t="s">
        <v>10</v>
      </c>
      <c r="K326" s="201" t="s">
        <v>11</v>
      </c>
      <c r="L326" s="201" t="s">
        <v>12</v>
      </c>
      <c r="M326" s="201" t="s">
        <v>13</v>
      </c>
      <c r="N326" s="201" t="s">
        <v>14</v>
      </c>
      <c r="O326" s="5"/>
      <c r="P326" s="5"/>
      <c r="Q326" s="5"/>
      <c r="R326" s="5"/>
      <c r="S326" s="5"/>
      <c r="T326" s="5"/>
      <c r="U326" s="5"/>
      <c r="V326" s="5"/>
      <c r="W326" s="5"/>
      <c r="X326" s="5"/>
      <c r="Y326" s="5"/>
      <c r="Z326" s="5"/>
    </row>
    <row r="327" ht="12.0" customHeight="1">
      <c r="A327" s="92" t="s">
        <v>694</v>
      </c>
      <c r="B327" s="92" t="s">
        <v>633</v>
      </c>
      <c r="C327" s="203">
        <f>SUM('2027'!B6:B9)+Parametros!$B$72*C2148</f>
        <v>1252.355</v>
      </c>
      <c r="D327" s="203">
        <f>SUM('2027'!C6:C9)+Parametros!$B$72*D2148</f>
        <v>970.795</v>
      </c>
      <c r="E327" s="203">
        <f>SUM('2027'!D6:D9)+Parametros!$B$72*E2148</f>
        <v>944.975</v>
      </c>
      <c r="F327" s="203">
        <f>SUM('2027'!E6:E9)+Parametros!$B$72*F2148</f>
        <v>914.99</v>
      </c>
      <c r="G327" s="203">
        <f>SUM('2027'!F6:F9)+Parametros!$B$72*G2148</f>
        <v>861.34</v>
      </c>
      <c r="H327" s="203">
        <f>SUM('2027'!G6:G9)+Parametros!$B$72*H2148</f>
        <v>830.685</v>
      </c>
      <c r="I327" s="203">
        <f>SUM('2027'!H6:H9)+Parametros!$B$72*I2148</f>
        <v>891.325</v>
      </c>
      <c r="J327" s="203">
        <f>SUM('2027'!I6:I9)+Parametros!$B$72*J2148</f>
        <v>891.325</v>
      </c>
      <c r="K327" s="203">
        <f>SUM('2027'!J6:J9)+Parametros!$B$72*K2148</f>
        <v>887.83</v>
      </c>
      <c r="L327" s="203">
        <f>SUM('2027'!K6:K9)+Parametros!$B$72*L2148</f>
        <v>857.175</v>
      </c>
      <c r="M327" s="203">
        <f>SUM('2027'!L6:L9)+Parametros!$B$72*M2148</f>
        <v>830.015</v>
      </c>
      <c r="N327" s="203">
        <f>SUM('2027'!M6:M9)+Parametros!$B$72*N2148</f>
        <v>1296.19</v>
      </c>
      <c r="O327" s="5"/>
      <c r="P327" s="5"/>
      <c r="Q327" s="5"/>
      <c r="R327" s="5"/>
      <c r="S327" s="5"/>
      <c r="T327" s="5"/>
      <c r="U327" s="5"/>
      <c r="V327" s="5"/>
      <c r="W327" s="5"/>
      <c r="X327" s="5"/>
      <c r="Y327" s="5"/>
      <c r="Z327" s="5"/>
    </row>
    <row r="328" ht="12.0" customHeight="1">
      <c r="A328" s="5"/>
      <c r="B328" s="92" t="s">
        <v>634</v>
      </c>
      <c r="C328" s="204">
        <f>C327/Parametros!$B$37</f>
        <v>62.61775</v>
      </c>
      <c r="D328" s="204">
        <f>D327/Parametros!$B$37</f>
        <v>48.53975</v>
      </c>
      <c r="E328" s="204">
        <f>E327/Parametros!$B$37</f>
        <v>47.24875</v>
      </c>
      <c r="F328" s="204">
        <f>F327/Parametros!$B$37</f>
        <v>45.7495</v>
      </c>
      <c r="G328" s="204">
        <f>G327/Parametros!$B$37</f>
        <v>43.067</v>
      </c>
      <c r="H328" s="204">
        <f>H327/Parametros!$B$37</f>
        <v>41.53425</v>
      </c>
      <c r="I328" s="204">
        <f>I327/Parametros!$B$37</f>
        <v>44.56625</v>
      </c>
      <c r="J328" s="204">
        <f>J327/Parametros!$B$37</f>
        <v>44.56625</v>
      </c>
      <c r="K328" s="204">
        <f>K327/Parametros!$B$37</f>
        <v>44.3915</v>
      </c>
      <c r="L328" s="204">
        <f>L327/Parametros!$B$37</f>
        <v>42.85875</v>
      </c>
      <c r="M328" s="204">
        <f>M327/Parametros!$B$37</f>
        <v>41.50075</v>
      </c>
      <c r="N328" s="204">
        <f>N327/Parametros!$B$37</f>
        <v>64.8095</v>
      </c>
      <c r="O328" s="5"/>
      <c r="P328" s="5"/>
      <c r="Q328" s="5"/>
      <c r="R328" s="5"/>
      <c r="S328" s="5"/>
      <c r="T328" s="5"/>
      <c r="U328" s="5"/>
      <c r="V328" s="5"/>
      <c r="W328" s="5"/>
      <c r="X328" s="5"/>
      <c r="Y328" s="5"/>
      <c r="Z328" s="5"/>
    </row>
    <row r="329" ht="12.0" customHeight="1">
      <c r="A329" s="5"/>
      <c r="B329" s="92" t="s">
        <v>635</v>
      </c>
      <c r="C329" s="204">
        <f>C328/Parametros!$J$37</f>
        <v>8.349033333</v>
      </c>
      <c r="D329" s="204">
        <f>D328/Parametros!$J$37</f>
        <v>6.471966667</v>
      </c>
      <c r="E329" s="204">
        <f>E328/Parametros!$J$37</f>
        <v>6.299833333</v>
      </c>
      <c r="F329" s="204">
        <f>F328/Parametros!$J$37</f>
        <v>6.099933333</v>
      </c>
      <c r="G329" s="204">
        <f>G328/Parametros!$J$37</f>
        <v>5.742266667</v>
      </c>
      <c r="H329" s="204">
        <f>H328/Parametros!$J$37</f>
        <v>5.5379</v>
      </c>
      <c r="I329" s="204">
        <f>I328/Parametros!$J$37</f>
        <v>5.942166667</v>
      </c>
      <c r="J329" s="204">
        <f>J328/Parametros!$J$37</f>
        <v>5.942166667</v>
      </c>
      <c r="K329" s="204">
        <f>K328/Parametros!$J$37</f>
        <v>5.918866667</v>
      </c>
      <c r="L329" s="204">
        <f>L328/Parametros!$J$37</f>
        <v>5.7145</v>
      </c>
      <c r="M329" s="204">
        <f>M328/Parametros!$J$37</f>
        <v>5.533433333</v>
      </c>
      <c r="N329" s="204">
        <f>N328/Parametros!$J$37</f>
        <v>8.641266667</v>
      </c>
      <c r="O329" s="5"/>
      <c r="P329" s="5"/>
      <c r="Q329" s="5"/>
      <c r="R329" s="5"/>
      <c r="S329" s="5"/>
      <c r="T329" s="5"/>
      <c r="U329" s="5"/>
      <c r="V329" s="5"/>
      <c r="W329" s="5"/>
      <c r="X329" s="5"/>
      <c r="Y329" s="5"/>
      <c r="Z329" s="5"/>
    </row>
    <row r="330" ht="12.0" customHeight="1">
      <c r="A330" s="92" t="s">
        <v>636</v>
      </c>
      <c r="B330" s="5"/>
      <c r="C330" s="204">
        <f t="shared" ref="C330:N330" si="97">C329</f>
        <v>8.349033333</v>
      </c>
      <c r="D330" s="204">
        <f t="shared" si="97"/>
        <v>6.471966667</v>
      </c>
      <c r="E330" s="204">
        <f t="shared" si="97"/>
        <v>6.299833333</v>
      </c>
      <c r="F330" s="204">
        <f t="shared" si="97"/>
        <v>6.099933333</v>
      </c>
      <c r="G330" s="204">
        <f t="shared" si="97"/>
        <v>5.742266667</v>
      </c>
      <c r="H330" s="204">
        <f t="shared" si="97"/>
        <v>5.5379</v>
      </c>
      <c r="I330" s="204">
        <f t="shared" si="97"/>
        <v>5.942166667</v>
      </c>
      <c r="J330" s="204">
        <f t="shared" si="97"/>
        <v>5.942166667</v>
      </c>
      <c r="K330" s="204">
        <f t="shared" si="97"/>
        <v>5.918866667</v>
      </c>
      <c r="L330" s="204">
        <f t="shared" si="97"/>
        <v>5.7145</v>
      </c>
      <c r="M330" s="204">
        <f t="shared" si="97"/>
        <v>5.533433333</v>
      </c>
      <c r="N330" s="204">
        <f t="shared" si="97"/>
        <v>8.641266667</v>
      </c>
      <c r="O330" s="5"/>
      <c r="P330" s="5"/>
      <c r="Q330" s="5"/>
      <c r="R330" s="5"/>
      <c r="S330" s="5"/>
      <c r="T330" s="5"/>
      <c r="U330" s="5"/>
      <c r="V330" s="5"/>
      <c r="W330" s="5"/>
      <c r="X330" s="5"/>
      <c r="Y330" s="5"/>
      <c r="Z330" s="5"/>
    </row>
    <row r="331" ht="12.0" customHeight="1">
      <c r="A331" s="92" t="s">
        <v>637</v>
      </c>
      <c r="B331" s="5"/>
      <c r="C331" s="184">
        <f>'Resumen Capacidad'!$C$126</f>
        <v>25.2</v>
      </c>
      <c r="D331" s="184">
        <f>'Resumen Capacidad'!$C$126</f>
        <v>25.2</v>
      </c>
      <c r="E331" s="184">
        <f>'Resumen Capacidad'!$C$126</f>
        <v>25.2</v>
      </c>
      <c r="F331" s="184">
        <f>'Resumen Capacidad'!$C$126</f>
        <v>25.2</v>
      </c>
      <c r="G331" s="184">
        <f>'Resumen Capacidad'!$C$126</f>
        <v>25.2</v>
      </c>
      <c r="H331" s="184">
        <f>'Resumen Capacidad'!$C$126</f>
        <v>25.2</v>
      </c>
      <c r="I331" s="184">
        <f>'Resumen Capacidad'!$C$126</f>
        <v>25.2</v>
      </c>
      <c r="J331" s="184">
        <f>'Resumen Capacidad'!$C$126</f>
        <v>25.2</v>
      </c>
      <c r="K331" s="184">
        <f>'Resumen Capacidad'!$C$126</f>
        <v>25.2</v>
      </c>
      <c r="L331" s="184">
        <f>'Resumen Capacidad'!$C$126</f>
        <v>25.2</v>
      </c>
      <c r="M331" s="184">
        <f>'Resumen Capacidad'!$C$126</f>
        <v>25.2</v>
      </c>
      <c r="N331" s="184">
        <f>'Resumen Capacidad'!$C$126</f>
        <v>25.2</v>
      </c>
      <c r="O331" s="5"/>
      <c r="P331" s="5"/>
      <c r="Q331" s="5"/>
      <c r="R331" s="5"/>
      <c r="S331" s="5"/>
      <c r="T331" s="5"/>
      <c r="U331" s="5"/>
      <c r="V331" s="5"/>
      <c r="W331" s="5"/>
      <c r="X331" s="5"/>
      <c r="Y331" s="5"/>
      <c r="Z331" s="5"/>
    </row>
    <row r="332" ht="12.0" customHeight="1">
      <c r="A332" s="92" t="s">
        <v>640</v>
      </c>
      <c r="B332" s="5"/>
      <c r="C332" s="204">
        <f>'Resumen Capacidad'!$C$44*'Resumen Capacidad'!$C$80</f>
        <v>1</v>
      </c>
      <c r="D332" s="204">
        <f>'Resumen Capacidad'!$C$44*'Resumen Capacidad'!$C$80</f>
        <v>1</v>
      </c>
      <c r="E332" s="204">
        <f>'Resumen Capacidad'!$C$44*'Resumen Capacidad'!$C$80</f>
        <v>1</v>
      </c>
      <c r="F332" s="204">
        <f>'Resumen Capacidad'!$C$44*'Resumen Capacidad'!$C$80</f>
        <v>1</v>
      </c>
      <c r="G332" s="204">
        <f>'Resumen Capacidad'!$C$44*'Resumen Capacidad'!$C$80</f>
        <v>1</v>
      </c>
      <c r="H332" s="204">
        <f>'Resumen Capacidad'!$C$44*'Resumen Capacidad'!$C$80</f>
        <v>1</v>
      </c>
      <c r="I332" s="204">
        <f>'Resumen Capacidad'!$C$44*'Resumen Capacidad'!$C$80</f>
        <v>1</v>
      </c>
      <c r="J332" s="204">
        <f>'Resumen Capacidad'!$C$44*'Resumen Capacidad'!$C$80</f>
        <v>1</v>
      </c>
      <c r="K332" s="204">
        <f>'Resumen Capacidad'!$C$44*'Resumen Capacidad'!$C$80</f>
        <v>1</v>
      </c>
      <c r="L332" s="204">
        <f>'Resumen Capacidad'!$C$44*'Resumen Capacidad'!$C$80</f>
        <v>1</v>
      </c>
      <c r="M332" s="204">
        <f>'Resumen Capacidad'!$C$44*'Resumen Capacidad'!$C$80</f>
        <v>1</v>
      </c>
      <c r="N332" s="204">
        <f>'Resumen Capacidad'!$C$44*'Resumen Capacidad'!$C$80</f>
        <v>1</v>
      </c>
      <c r="O332" s="5"/>
      <c r="P332" s="5"/>
      <c r="Q332" s="5"/>
      <c r="R332" s="5"/>
      <c r="S332" s="5"/>
      <c r="T332" s="5"/>
      <c r="U332" s="5"/>
      <c r="V332" s="5"/>
      <c r="W332" s="5"/>
      <c r="X332" s="5"/>
      <c r="Y332" s="5"/>
      <c r="Z332" s="5"/>
    </row>
    <row r="333" ht="12.0" customHeight="1">
      <c r="A333" s="92" t="s">
        <v>642</v>
      </c>
      <c r="B333" s="5"/>
      <c r="C333" s="204">
        <f t="shared" ref="C333:N333" si="98">C331*C332</f>
        <v>25.2</v>
      </c>
      <c r="D333" s="204">
        <f t="shared" si="98"/>
        <v>25.2</v>
      </c>
      <c r="E333" s="204">
        <f t="shared" si="98"/>
        <v>25.2</v>
      </c>
      <c r="F333" s="204">
        <f t="shared" si="98"/>
        <v>25.2</v>
      </c>
      <c r="G333" s="204">
        <f t="shared" si="98"/>
        <v>25.2</v>
      </c>
      <c r="H333" s="204">
        <f t="shared" si="98"/>
        <v>25.2</v>
      </c>
      <c r="I333" s="204">
        <f t="shared" si="98"/>
        <v>25.2</v>
      </c>
      <c r="J333" s="204">
        <f t="shared" si="98"/>
        <v>25.2</v>
      </c>
      <c r="K333" s="204">
        <f t="shared" si="98"/>
        <v>25.2</v>
      </c>
      <c r="L333" s="204">
        <f t="shared" si="98"/>
        <v>25.2</v>
      </c>
      <c r="M333" s="204">
        <f t="shared" si="98"/>
        <v>25.2</v>
      </c>
      <c r="N333" s="204">
        <f t="shared" si="98"/>
        <v>25.2</v>
      </c>
      <c r="O333" s="5"/>
      <c r="P333" s="5"/>
      <c r="Q333" s="5"/>
      <c r="R333" s="5"/>
      <c r="S333" s="5"/>
      <c r="T333" s="5"/>
      <c r="U333" s="5"/>
      <c r="V333" s="5"/>
      <c r="W333" s="5"/>
      <c r="X333" s="5"/>
      <c r="Y333" s="5"/>
      <c r="Z333" s="5"/>
    </row>
    <row r="334" ht="12.0" customHeight="1">
      <c r="A334" s="92" t="s">
        <v>643</v>
      </c>
      <c r="B334" s="5"/>
      <c r="C334" s="206">
        <f t="shared" ref="C334:N334" si="99">IF(C333=0,0,C330/C333)</f>
        <v>0.3313108466</v>
      </c>
      <c r="D334" s="206">
        <f t="shared" si="99"/>
        <v>0.2568240741</v>
      </c>
      <c r="E334" s="206">
        <f t="shared" si="99"/>
        <v>0.2499933862</v>
      </c>
      <c r="F334" s="206">
        <f t="shared" si="99"/>
        <v>0.2420608466</v>
      </c>
      <c r="G334" s="206">
        <f t="shared" si="99"/>
        <v>0.2278677249</v>
      </c>
      <c r="H334" s="206">
        <f t="shared" si="99"/>
        <v>0.2197579365</v>
      </c>
      <c r="I334" s="206">
        <f t="shared" si="99"/>
        <v>0.2358002646</v>
      </c>
      <c r="J334" s="206">
        <f t="shared" si="99"/>
        <v>0.2358002646</v>
      </c>
      <c r="K334" s="206">
        <f t="shared" si="99"/>
        <v>0.2348756614</v>
      </c>
      <c r="L334" s="206">
        <f t="shared" si="99"/>
        <v>0.226765873</v>
      </c>
      <c r="M334" s="206">
        <f t="shared" si="99"/>
        <v>0.2195806878</v>
      </c>
      <c r="N334" s="206">
        <f t="shared" si="99"/>
        <v>0.3429074074</v>
      </c>
      <c r="O334" s="5"/>
      <c r="P334" s="5"/>
      <c r="Q334" s="5"/>
      <c r="R334" s="5"/>
      <c r="S334" s="5"/>
      <c r="T334" s="5"/>
      <c r="U334" s="5"/>
      <c r="V334" s="5"/>
      <c r="W334" s="5"/>
      <c r="X334" s="5"/>
      <c r="Y334" s="5"/>
      <c r="Z334" s="5"/>
    </row>
    <row r="335" ht="12.0" customHeight="1">
      <c r="A335" s="201" t="s">
        <v>696</v>
      </c>
      <c r="B335" s="202"/>
      <c r="C335" s="202"/>
      <c r="D335" s="202"/>
      <c r="E335" s="202"/>
      <c r="F335" s="202"/>
      <c r="G335" s="202"/>
      <c r="H335" s="202"/>
      <c r="I335" s="202"/>
      <c r="J335" s="202"/>
      <c r="K335" s="202"/>
      <c r="L335" s="202"/>
      <c r="M335" s="202"/>
      <c r="N335" s="202"/>
      <c r="O335" s="5"/>
      <c r="P335" s="5"/>
      <c r="Q335" s="5"/>
      <c r="R335" s="5"/>
      <c r="S335" s="5"/>
      <c r="T335" s="5"/>
      <c r="U335" s="5"/>
      <c r="V335" s="5"/>
      <c r="W335" s="5"/>
      <c r="X335" s="5"/>
      <c r="Y335" s="5"/>
      <c r="Z335" s="5"/>
    </row>
    <row r="336" ht="12.0" customHeight="1">
      <c r="A336" s="201" t="s">
        <v>630</v>
      </c>
      <c r="B336" s="201" t="s">
        <v>631</v>
      </c>
      <c r="C336" s="201" t="s">
        <v>3</v>
      </c>
      <c r="D336" s="201" t="s">
        <v>4</v>
      </c>
      <c r="E336" s="201" t="s">
        <v>5</v>
      </c>
      <c r="F336" s="201" t="s">
        <v>6</v>
      </c>
      <c r="G336" s="201" t="s">
        <v>7</v>
      </c>
      <c r="H336" s="201" t="s">
        <v>8</v>
      </c>
      <c r="I336" s="201" t="s">
        <v>9</v>
      </c>
      <c r="J336" s="201" t="s">
        <v>10</v>
      </c>
      <c r="K336" s="201" t="s">
        <v>11</v>
      </c>
      <c r="L336" s="201" t="s">
        <v>12</v>
      </c>
      <c r="M336" s="201" t="s">
        <v>13</v>
      </c>
      <c r="N336" s="201" t="s">
        <v>14</v>
      </c>
      <c r="O336" s="5"/>
      <c r="P336" s="5"/>
      <c r="Q336" s="5"/>
      <c r="R336" s="5"/>
      <c r="S336" s="5"/>
      <c r="T336" s="5"/>
      <c r="U336" s="5"/>
      <c r="V336" s="5"/>
      <c r="W336" s="5"/>
      <c r="X336" s="5"/>
      <c r="Y336" s="5"/>
      <c r="Z336" s="5"/>
    </row>
    <row r="337" ht="12.0" customHeight="1">
      <c r="A337" s="92" t="s">
        <v>694</v>
      </c>
      <c r="B337" s="92" t="s">
        <v>633</v>
      </c>
      <c r="C337" s="203">
        <f>SUM('2027'!B6:B9)+Parametros!$B$72*C2148</f>
        <v>1252.355</v>
      </c>
      <c r="D337" s="203">
        <f>SUM('2027'!C6:C9)+Parametros!$B$72*D2148</f>
        <v>970.795</v>
      </c>
      <c r="E337" s="203">
        <f>SUM('2027'!D6:D9)+Parametros!$B$72*E2148</f>
        <v>944.975</v>
      </c>
      <c r="F337" s="203">
        <f>SUM('2027'!E6:E9)+Parametros!$B$72*F2148</f>
        <v>914.99</v>
      </c>
      <c r="G337" s="203">
        <f>SUM('2027'!F6:F9)+Parametros!$B$72*G2148</f>
        <v>861.34</v>
      </c>
      <c r="H337" s="203">
        <f>SUM('2027'!G6:G9)+Parametros!$B$72*H2148</f>
        <v>830.685</v>
      </c>
      <c r="I337" s="203">
        <f>SUM('2027'!H6:H9)+Parametros!$B$72*I2148</f>
        <v>891.325</v>
      </c>
      <c r="J337" s="203">
        <f>SUM('2027'!I6:I9)+Parametros!$B$72*J2148</f>
        <v>891.325</v>
      </c>
      <c r="K337" s="203">
        <f>SUM('2027'!J6:J9)+Parametros!$B$72*K2148</f>
        <v>887.83</v>
      </c>
      <c r="L337" s="203">
        <f>SUM('2027'!K6:K9)+Parametros!$B$72*L2148</f>
        <v>857.175</v>
      </c>
      <c r="M337" s="203">
        <f>SUM('2027'!L6:L9)+Parametros!$B$72*M2148</f>
        <v>830.015</v>
      </c>
      <c r="N337" s="203">
        <f>SUM('2027'!M6:M9)+Parametros!$B$72*N2148</f>
        <v>1296.19</v>
      </c>
      <c r="O337" s="5"/>
      <c r="P337" s="5"/>
      <c r="Q337" s="5"/>
      <c r="R337" s="5"/>
      <c r="S337" s="5"/>
      <c r="T337" s="5"/>
      <c r="U337" s="5"/>
      <c r="V337" s="5"/>
      <c r="W337" s="5"/>
      <c r="X337" s="5"/>
      <c r="Y337" s="5"/>
      <c r="Z337" s="5"/>
    </row>
    <row r="338" ht="12.0" customHeight="1">
      <c r="A338" s="5"/>
      <c r="B338" s="92" t="s">
        <v>634</v>
      </c>
      <c r="C338" s="204">
        <f>C337/Parametros!$B$37</f>
        <v>62.61775</v>
      </c>
      <c r="D338" s="204">
        <f>D337/Parametros!$B$37</f>
        <v>48.53975</v>
      </c>
      <c r="E338" s="204">
        <f>E337/Parametros!$B$37</f>
        <v>47.24875</v>
      </c>
      <c r="F338" s="204">
        <f>F337/Parametros!$B$37</f>
        <v>45.7495</v>
      </c>
      <c r="G338" s="204">
        <f>G337/Parametros!$B$37</f>
        <v>43.067</v>
      </c>
      <c r="H338" s="204">
        <f>H337/Parametros!$B$37</f>
        <v>41.53425</v>
      </c>
      <c r="I338" s="204">
        <f>I337/Parametros!$B$37</f>
        <v>44.56625</v>
      </c>
      <c r="J338" s="204">
        <f>J337/Parametros!$B$37</f>
        <v>44.56625</v>
      </c>
      <c r="K338" s="204">
        <f>K337/Parametros!$B$37</f>
        <v>44.3915</v>
      </c>
      <c r="L338" s="204">
        <f>L337/Parametros!$B$37</f>
        <v>42.85875</v>
      </c>
      <c r="M338" s="204">
        <f>M337/Parametros!$B$37</f>
        <v>41.50075</v>
      </c>
      <c r="N338" s="204">
        <f>N337/Parametros!$B$37</f>
        <v>64.8095</v>
      </c>
      <c r="O338" s="5"/>
      <c r="P338" s="5"/>
      <c r="Q338" s="5"/>
      <c r="R338" s="5"/>
      <c r="S338" s="5"/>
      <c r="T338" s="5"/>
      <c r="U338" s="5"/>
      <c r="V338" s="5"/>
      <c r="W338" s="5"/>
      <c r="X338" s="5"/>
      <c r="Y338" s="5"/>
      <c r="Z338" s="5"/>
    </row>
    <row r="339" ht="12.0" customHeight="1">
      <c r="A339" s="5"/>
      <c r="B339" s="92" t="s">
        <v>635</v>
      </c>
      <c r="C339" s="204">
        <f>C338/Parametros!$J$37</f>
        <v>8.349033333</v>
      </c>
      <c r="D339" s="204">
        <f>D338/Parametros!$J$37</f>
        <v>6.471966667</v>
      </c>
      <c r="E339" s="204">
        <f>E338/Parametros!$J$37</f>
        <v>6.299833333</v>
      </c>
      <c r="F339" s="204">
        <f>F338/Parametros!$J$37</f>
        <v>6.099933333</v>
      </c>
      <c r="G339" s="204">
        <f>G338/Parametros!$J$37</f>
        <v>5.742266667</v>
      </c>
      <c r="H339" s="204">
        <f>H338/Parametros!$J$37</f>
        <v>5.5379</v>
      </c>
      <c r="I339" s="204">
        <f>I338/Parametros!$J$37</f>
        <v>5.942166667</v>
      </c>
      <c r="J339" s="204">
        <f>J338/Parametros!$J$37</f>
        <v>5.942166667</v>
      </c>
      <c r="K339" s="204">
        <f>K338/Parametros!$J$37</f>
        <v>5.918866667</v>
      </c>
      <c r="L339" s="204">
        <f>L338/Parametros!$J$37</f>
        <v>5.7145</v>
      </c>
      <c r="M339" s="204">
        <f>M338/Parametros!$J$37</f>
        <v>5.533433333</v>
      </c>
      <c r="N339" s="204">
        <f>N338/Parametros!$J$37</f>
        <v>8.641266667</v>
      </c>
      <c r="O339" s="5"/>
      <c r="P339" s="5"/>
      <c r="Q339" s="5"/>
      <c r="R339" s="5"/>
      <c r="S339" s="5"/>
      <c r="T339" s="5"/>
      <c r="U339" s="5"/>
      <c r="V339" s="5"/>
      <c r="W339" s="5"/>
      <c r="X339" s="5"/>
      <c r="Y339" s="5"/>
      <c r="Z339" s="5"/>
    </row>
    <row r="340" ht="12.0" customHeight="1">
      <c r="A340" s="92" t="s">
        <v>636</v>
      </c>
      <c r="B340" s="5"/>
      <c r="C340" s="204">
        <f t="shared" ref="C340:N340" si="100">C339</f>
        <v>8.349033333</v>
      </c>
      <c r="D340" s="204">
        <f t="shared" si="100"/>
        <v>6.471966667</v>
      </c>
      <c r="E340" s="204">
        <f t="shared" si="100"/>
        <v>6.299833333</v>
      </c>
      <c r="F340" s="204">
        <f t="shared" si="100"/>
        <v>6.099933333</v>
      </c>
      <c r="G340" s="204">
        <f t="shared" si="100"/>
        <v>5.742266667</v>
      </c>
      <c r="H340" s="204">
        <f t="shared" si="100"/>
        <v>5.5379</v>
      </c>
      <c r="I340" s="204">
        <f t="shared" si="100"/>
        <v>5.942166667</v>
      </c>
      <c r="J340" s="204">
        <f t="shared" si="100"/>
        <v>5.942166667</v>
      </c>
      <c r="K340" s="204">
        <f t="shared" si="100"/>
        <v>5.918866667</v>
      </c>
      <c r="L340" s="204">
        <f t="shared" si="100"/>
        <v>5.7145</v>
      </c>
      <c r="M340" s="204">
        <f t="shared" si="100"/>
        <v>5.533433333</v>
      </c>
      <c r="N340" s="204">
        <f t="shared" si="100"/>
        <v>8.641266667</v>
      </c>
      <c r="O340" s="5"/>
      <c r="P340" s="5"/>
      <c r="Q340" s="5"/>
      <c r="R340" s="5"/>
      <c r="S340" s="5"/>
      <c r="T340" s="5"/>
      <c r="U340" s="5"/>
      <c r="V340" s="5"/>
      <c r="W340" s="5"/>
      <c r="X340" s="5"/>
      <c r="Y340" s="5"/>
      <c r="Z340" s="5"/>
    </row>
    <row r="341" ht="12.0" customHeight="1">
      <c r="A341" s="92" t="s">
        <v>637</v>
      </c>
      <c r="B341" s="5"/>
      <c r="C341" s="205">
        <f>'Resumen Capacidad'!$C$127</f>
        <v>41.53846154</v>
      </c>
      <c r="D341" s="205">
        <f>'Resumen Capacidad'!$C$127</f>
        <v>41.53846154</v>
      </c>
      <c r="E341" s="205">
        <f>'Resumen Capacidad'!$C$127</f>
        <v>41.53846154</v>
      </c>
      <c r="F341" s="205">
        <f>'Resumen Capacidad'!$C$127</f>
        <v>41.53846154</v>
      </c>
      <c r="G341" s="205">
        <f>'Resumen Capacidad'!$C$127</f>
        <v>41.53846154</v>
      </c>
      <c r="H341" s="205">
        <f>'Resumen Capacidad'!$C$127</f>
        <v>41.53846154</v>
      </c>
      <c r="I341" s="205">
        <f>'Resumen Capacidad'!$C$127</f>
        <v>41.53846154</v>
      </c>
      <c r="J341" s="205">
        <f>'Resumen Capacidad'!$C$127</f>
        <v>41.53846154</v>
      </c>
      <c r="K341" s="205">
        <f>'Resumen Capacidad'!$C$127</f>
        <v>41.53846154</v>
      </c>
      <c r="L341" s="205">
        <f>'Resumen Capacidad'!$C$127</f>
        <v>41.53846154</v>
      </c>
      <c r="M341" s="205">
        <f>'Resumen Capacidad'!$C$127</f>
        <v>41.53846154</v>
      </c>
      <c r="N341" s="205">
        <f>'Resumen Capacidad'!$C$127</f>
        <v>41.53846154</v>
      </c>
      <c r="O341" s="5"/>
      <c r="P341" s="5"/>
      <c r="Q341" s="5"/>
      <c r="R341" s="5"/>
      <c r="S341" s="5"/>
      <c r="T341" s="5"/>
      <c r="U341" s="5"/>
      <c r="V341" s="5"/>
      <c r="W341" s="5"/>
      <c r="X341" s="5"/>
      <c r="Y341" s="5"/>
      <c r="Z341" s="5"/>
    </row>
    <row r="342" ht="12.0" customHeight="1">
      <c r="A342" s="92" t="s">
        <v>640</v>
      </c>
      <c r="B342" s="5"/>
      <c r="C342" s="204">
        <f>'Resumen Capacidad'!$C$45*'Resumen Capacidad'!$C$81</f>
        <v>1</v>
      </c>
      <c r="D342" s="204">
        <f>'Resumen Capacidad'!$C$45*'Resumen Capacidad'!$C$81</f>
        <v>1</v>
      </c>
      <c r="E342" s="204">
        <f>'Resumen Capacidad'!$C$45*'Resumen Capacidad'!$C$81</f>
        <v>1</v>
      </c>
      <c r="F342" s="204">
        <f>'Resumen Capacidad'!$C$45*'Resumen Capacidad'!$C$81</f>
        <v>1</v>
      </c>
      <c r="G342" s="204">
        <f>'Resumen Capacidad'!$C$45*'Resumen Capacidad'!$C$81</f>
        <v>1</v>
      </c>
      <c r="H342" s="204">
        <f>'Resumen Capacidad'!$C$45*'Resumen Capacidad'!$C$81</f>
        <v>1</v>
      </c>
      <c r="I342" s="204">
        <f>'Resumen Capacidad'!$C$45*'Resumen Capacidad'!$C$81</f>
        <v>1</v>
      </c>
      <c r="J342" s="204">
        <f>'Resumen Capacidad'!$C$45*'Resumen Capacidad'!$C$81</f>
        <v>1</v>
      </c>
      <c r="K342" s="204">
        <f>'Resumen Capacidad'!$C$45*'Resumen Capacidad'!$C$81</f>
        <v>1</v>
      </c>
      <c r="L342" s="204">
        <f>'Resumen Capacidad'!$C$45*'Resumen Capacidad'!$C$81</f>
        <v>1</v>
      </c>
      <c r="M342" s="204">
        <f>'Resumen Capacidad'!$C$45*'Resumen Capacidad'!$C$81</f>
        <v>1</v>
      </c>
      <c r="N342" s="204">
        <f>'Resumen Capacidad'!$C$45*'Resumen Capacidad'!$C$81</f>
        <v>1</v>
      </c>
      <c r="O342" s="5"/>
      <c r="P342" s="5"/>
      <c r="Q342" s="5"/>
      <c r="R342" s="5"/>
      <c r="S342" s="5"/>
      <c r="T342" s="5"/>
      <c r="U342" s="5"/>
      <c r="V342" s="5"/>
      <c r="W342" s="5"/>
      <c r="X342" s="5"/>
      <c r="Y342" s="5"/>
      <c r="Z342" s="5"/>
    </row>
    <row r="343" ht="12.0" customHeight="1">
      <c r="A343" s="92" t="s">
        <v>642</v>
      </c>
      <c r="B343" s="5"/>
      <c r="C343" s="204">
        <f t="shared" ref="C343:N343" si="101">C341*C342</f>
        <v>41.53846154</v>
      </c>
      <c r="D343" s="204">
        <f t="shared" si="101"/>
        <v>41.53846154</v>
      </c>
      <c r="E343" s="204">
        <f t="shared" si="101"/>
        <v>41.53846154</v>
      </c>
      <c r="F343" s="204">
        <f t="shared" si="101"/>
        <v>41.53846154</v>
      </c>
      <c r="G343" s="204">
        <f t="shared" si="101"/>
        <v>41.53846154</v>
      </c>
      <c r="H343" s="204">
        <f t="shared" si="101"/>
        <v>41.53846154</v>
      </c>
      <c r="I343" s="204">
        <f t="shared" si="101"/>
        <v>41.53846154</v>
      </c>
      <c r="J343" s="204">
        <f t="shared" si="101"/>
        <v>41.53846154</v>
      </c>
      <c r="K343" s="204">
        <f t="shared" si="101"/>
        <v>41.53846154</v>
      </c>
      <c r="L343" s="204">
        <f t="shared" si="101"/>
        <v>41.53846154</v>
      </c>
      <c r="M343" s="204">
        <f t="shared" si="101"/>
        <v>41.53846154</v>
      </c>
      <c r="N343" s="204">
        <f t="shared" si="101"/>
        <v>41.53846154</v>
      </c>
      <c r="O343" s="5"/>
      <c r="P343" s="5"/>
      <c r="Q343" s="5"/>
      <c r="R343" s="5"/>
      <c r="S343" s="5"/>
      <c r="T343" s="5"/>
      <c r="U343" s="5"/>
      <c r="V343" s="5"/>
      <c r="W343" s="5"/>
      <c r="X343" s="5"/>
      <c r="Y343" s="5"/>
      <c r="Z343" s="5"/>
    </row>
    <row r="344" ht="12.0" customHeight="1">
      <c r="A344" s="92" t="s">
        <v>643</v>
      </c>
      <c r="B344" s="5"/>
      <c r="C344" s="206">
        <f t="shared" ref="C344:N344" si="102">IF(C343=0,0,C340/C343)</f>
        <v>0.2009952469</v>
      </c>
      <c r="D344" s="206">
        <f t="shared" si="102"/>
        <v>0.1558066049</v>
      </c>
      <c r="E344" s="206">
        <f t="shared" si="102"/>
        <v>0.1516626543</v>
      </c>
      <c r="F344" s="206">
        <f t="shared" si="102"/>
        <v>0.1468502469</v>
      </c>
      <c r="G344" s="206">
        <f t="shared" si="102"/>
        <v>0.1382397531</v>
      </c>
      <c r="H344" s="206">
        <f t="shared" si="102"/>
        <v>0.1333198148</v>
      </c>
      <c r="I344" s="206">
        <f t="shared" si="102"/>
        <v>0.1430521605</v>
      </c>
      <c r="J344" s="206">
        <f t="shared" si="102"/>
        <v>0.1430521605</v>
      </c>
      <c r="K344" s="206">
        <f t="shared" si="102"/>
        <v>0.1424912346</v>
      </c>
      <c r="L344" s="206">
        <f t="shared" si="102"/>
        <v>0.1375712963</v>
      </c>
      <c r="M344" s="206">
        <f t="shared" si="102"/>
        <v>0.133212284</v>
      </c>
      <c r="N344" s="206">
        <f t="shared" si="102"/>
        <v>0.2080304938</v>
      </c>
      <c r="O344" s="5"/>
      <c r="P344" s="5"/>
      <c r="Q344" s="5"/>
      <c r="R344" s="5"/>
      <c r="S344" s="5"/>
      <c r="T344" s="5"/>
      <c r="U344" s="5"/>
      <c r="V344" s="5"/>
      <c r="W344" s="5"/>
      <c r="X344" s="5"/>
      <c r="Y344" s="5"/>
      <c r="Z344" s="5"/>
    </row>
    <row r="345" ht="12.0" customHeight="1">
      <c r="A345" s="201" t="s">
        <v>698</v>
      </c>
      <c r="B345" s="202"/>
      <c r="C345" s="202"/>
      <c r="D345" s="202"/>
      <c r="E345" s="202"/>
      <c r="F345" s="202"/>
      <c r="G345" s="202"/>
      <c r="H345" s="202"/>
      <c r="I345" s="202"/>
      <c r="J345" s="202"/>
      <c r="K345" s="202"/>
      <c r="L345" s="202"/>
      <c r="M345" s="202"/>
      <c r="N345" s="202"/>
      <c r="O345" s="5"/>
      <c r="P345" s="5"/>
      <c r="Q345" s="5"/>
      <c r="R345" s="5"/>
      <c r="S345" s="5"/>
      <c r="T345" s="5"/>
      <c r="U345" s="5"/>
      <c r="V345" s="5"/>
      <c r="W345" s="5"/>
      <c r="X345" s="5"/>
      <c r="Y345" s="5"/>
      <c r="Z345" s="5"/>
    </row>
    <row r="346" ht="12.0" customHeight="1">
      <c r="A346" s="201" t="s">
        <v>630</v>
      </c>
      <c r="B346" s="201" t="s">
        <v>631</v>
      </c>
      <c r="C346" s="201" t="s">
        <v>3</v>
      </c>
      <c r="D346" s="201" t="s">
        <v>4</v>
      </c>
      <c r="E346" s="201" t="s">
        <v>5</v>
      </c>
      <c r="F346" s="201" t="s">
        <v>6</v>
      </c>
      <c r="G346" s="201" t="s">
        <v>7</v>
      </c>
      <c r="H346" s="201" t="s">
        <v>8</v>
      </c>
      <c r="I346" s="201" t="s">
        <v>9</v>
      </c>
      <c r="J346" s="201" t="s">
        <v>10</v>
      </c>
      <c r="K346" s="201" t="s">
        <v>11</v>
      </c>
      <c r="L346" s="201" t="s">
        <v>12</v>
      </c>
      <c r="M346" s="201" t="s">
        <v>13</v>
      </c>
      <c r="N346" s="201" t="s">
        <v>14</v>
      </c>
      <c r="O346" s="5"/>
      <c r="P346" s="5"/>
      <c r="Q346" s="5"/>
      <c r="R346" s="5"/>
      <c r="S346" s="5"/>
      <c r="T346" s="5"/>
      <c r="U346" s="5"/>
      <c r="V346" s="5"/>
      <c r="W346" s="5"/>
      <c r="X346" s="5"/>
      <c r="Y346" s="5"/>
      <c r="Z346" s="5"/>
    </row>
    <row r="347" ht="12.0" customHeight="1">
      <c r="A347" s="92" t="s">
        <v>694</v>
      </c>
      <c r="B347" s="92" t="s">
        <v>633</v>
      </c>
      <c r="C347" s="203">
        <f>SUM('2027'!B6:B9)+Parametros!$B$72*C2148</f>
        <v>1252.355</v>
      </c>
      <c r="D347" s="203">
        <f>SUM('2027'!C6:C9)+Parametros!$B$72*D2148</f>
        <v>970.795</v>
      </c>
      <c r="E347" s="203">
        <f>SUM('2027'!D6:D9)+Parametros!$B$72*E2148</f>
        <v>944.975</v>
      </c>
      <c r="F347" s="203">
        <f>SUM('2027'!E6:E9)+Parametros!$B$72*F2148</f>
        <v>914.99</v>
      </c>
      <c r="G347" s="203">
        <f>SUM('2027'!F6:F9)+Parametros!$B$72*G2148</f>
        <v>861.34</v>
      </c>
      <c r="H347" s="203">
        <f>SUM('2027'!G6:G9)+Parametros!$B$72*H2148</f>
        <v>830.685</v>
      </c>
      <c r="I347" s="203">
        <f>SUM('2027'!H6:H9)+Parametros!$B$72*I2148</f>
        <v>891.325</v>
      </c>
      <c r="J347" s="203">
        <f>SUM('2027'!I6:I9)+Parametros!$B$72*J2148</f>
        <v>891.325</v>
      </c>
      <c r="K347" s="203">
        <f>SUM('2027'!J6:J9)+Parametros!$B$72*K2148</f>
        <v>887.83</v>
      </c>
      <c r="L347" s="203">
        <f>SUM('2027'!K6:K9)+Parametros!$B$72*L2148</f>
        <v>857.175</v>
      </c>
      <c r="M347" s="203">
        <f>SUM('2027'!L6:L9)+Parametros!$B$72*M2148</f>
        <v>830.015</v>
      </c>
      <c r="N347" s="203">
        <f>SUM('2027'!M6:M9)+Parametros!$B$72*N2148</f>
        <v>1296.19</v>
      </c>
      <c r="O347" s="5"/>
      <c r="P347" s="5"/>
      <c r="Q347" s="5"/>
      <c r="R347" s="5"/>
      <c r="S347" s="5"/>
      <c r="T347" s="5"/>
      <c r="U347" s="5"/>
      <c r="V347" s="5"/>
      <c r="W347" s="5"/>
      <c r="X347" s="5"/>
      <c r="Y347" s="5"/>
      <c r="Z347" s="5"/>
    </row>
    <row r="348" ht="12.0" customHeight="1">
      <c r="A348" s="5"/>
      <c r="B348" s="92" t="s">
        <v>634</v>
      </c>
      <c r="C348" s="204">
        <f>C347/Parametros!$B$37</f>
        <v>62.61775</v>
      </c>
      <c r="D348" s="204">
        <f>D347/Parametros!$B$37</f>
        <v>48.53975</v>
      </c>
      <c r="E348" s="204">
        <f>E347/Parametros!$B$37</f>
        <v>47.24875</v>
      </c>
      <c r="F348" s="204">
        <f>F347/Parametros!$B$37</f>
        <v>45.7495</v>
      </c>
      <c r="G348" s="204">
        <f>G347/Parametros!$B$37</f>
        <v>43.067</v>
      </c>
      <c r="H348" s="204">
        <f>H347/Parametros!$B$37</f>
        <v>41.53425</v>
      </c>
      <c r="I348" s="204">
        <f>I347/Parametros!$B$37</f>
        <v>44.56625</v>
      </c>
      <c r="J348" s="204">
        <f>J347/Parametros!$B$37</f>
        <v>44.56625</v>
      </c>
      <c r="K348" s="204">
        <f>K347/Parametros!$B$37</f>
        <v>44.3915</v>
      </c>
      <c r="L348" s="204">
        <f>L347/Parametros!$B$37</f>
        <v>42.85875</v>
      </c>
      <c r="M348" s="204">
        <f>M347/Parametros!$B$37</f>
        <v>41.50075</v>
      </c>
      <c r="N348" s="204">
        <f>N347/Parametros!$B$37</f>
        <v>64.8095</v>
      </c>
      <c r="O348" s="5"/>
      <c r="P348" s="5"/>
      <c r="Q348" s="5"/>
      <c r="R348" s="5"/>
      <c r="S348" s="5"/>
      <c r="T348" s="5"/>
      <c r="U348" s="5"/>
      <c r="V348" s="5"/>
      <c r="W348" s="5"/>
      <c r="X348" s="5"/>
      <c r="Y348" s="5"/>
      <c r="Z348" s="5"/>
    </row>
    <row r="349" ht="12.0" customHeight="1">
      <c r="A349" s="5"/>
      <c r="B349" s="92" t="s">
        <v>635</v>
      </c>
      <c r="C349" s="204">
        <f>C348/Parametros!$J$37</f>
        <v>8.349033333</v>
      </c>
      <c r="D349" s="204">
        <f>D348/Parametros!$J$37</f>
        <v>6.471966667</v>
      </c>
      <c r="E349" s="204">
        <f>E348/Parametros!$J$37</f>
        <v>6.299833333</v>
      </c>
      <c r="F349" s="204">
        <f>F348/Parametros!$J$37</f>
        <v>6.099933333</v>
      </c>
      <c r="G349" s="204">
        <f>G348/Parametros!$J$37</f>
        <v>5.742266667</v>
      </c>
      <c r="H349" s="204">
        <f>H348/Parametros!$J$37</f>
        <v>5.5379</v>
      </c>
      <c r="I349" s="204">
        <f>I348/Parametros!$J$37</f>
        <v>5.942166667</v>
      </c>
      <c r="J349" s="204">
        <f>J348/Parametros!$J$37</f>
        <v>5.942166667</v>
      </c>
      <c r="K349" s="204">
        <f>K348/Parametros!$J$37</f>
        <v>5.918866667</v>
      </c>
      <c r="L349" s="204">
        <f>L348/Parametros!$J$37</f>
        <v>5.7145</v>
      </c>
      <c r="M349" s="204">
        <f>M348/Parametros!$J$37</f>
        <v>5.533433333</v>
      </c>
      <c r="N349" s="204">
        <f>N348/Parametros!$J$37</f>
        <v>8.641266667</v>
      </c>
      <c r="O349" s="5"/>
      <c r="P349" s="5"/>
      <c r="Q349" s="5"/>
      <c r="R349" s="5"/>
      <c r="S349" s="5"/>
      <c r="T349" s="5"/>
      <c r="U349" s="5"/>
      <c r="V349" s="5"/>
      <c r="W349" s="5"/>
      <c r="X349" s="5"/>
      <c r="Y349" s="5"/>
      <c r="Z349" s="5"/>
    </row>
    <row r="350" ht="12.0" customHeight="1">
      <c r="A350" s="92" t="s">
        <v>636</v>
      </c>
      <c r="B350" s="5"/>
      <c r="C350" s="204">
        <f t="shared" ref="C350:N350" si="103">C349</f>
        <v>8.349033333</v>
      </c>
      <c r="D350" s="204">
        <f t="shared" si="103"/>
        <v>6.471966667</v>
      </c>
      <c r="E350" s="204">
        <f t="shared" si="103"/>
        <v>6.299833333</v>
      </c>
      <c r="F350" s="204">
        <f t="shared" si="103"/>
        <v>6.099933333</v>
      </c>
      <c r="G350" s="204">
        <f t="shared" si="103"/>
        <v>5.742266667</v>
      </c>
      <c r="H350" s="204">
        <f t="shared" si="103"/>
        <v>5.5379</v>
      </c>
      <c r="I350" s="204">
        <f t="shared" si="103"/>
        <v>5.942166667</v>
      </c>
      <c r="J350" s="204">
        <f t="shared" si="103"/>
        <v>5.942166667</v>
      </c>
      <c r="K350" s="204">
        <f t="shared" si="103"/>
        <v>5.918866667</v>
      </c>
      <c r="L350" s="204">
        <f t="shared" si="103"/>
        <v>5.7145</v>
      </c>
      <c r="M350" s="204">
        <f t="shared" si="103"/>
        <v>5.533433333</v>
      </c>
      <c r="N350" s="204">
        <f t="shared" si="103"/>
        <v>8.641266667</v>
      </c>
      <c r="O350" s="5"/>
      <c r="P350" s="5"/>
      <c r="Q350" s="5"/>
      <c r="R350" s="5"/>
      <c r="S350" s="5"/>
      <c r="T350" s="5"/>
      <c r="U350" s="5"/>
      <c r="V350" s="5"/>
      <c r="W350" s="5"/>
      <c r="X350" s="5"/>
      <c r="Y350" s="5"/>
      <c r="Z350" s="5"/>
    </row>
    <row r="351" ht="12.0" customHeight="1">
      <c r="A351" s="92" t="s">
        <v>637</v>
      </c>
      <c r="B351" s="5"/>
      <c r="C351" s="205">
        <f>'Resumen Capacidad'!$C$128</f>
        <v>45.81818182</v>
      </c>
      <c r="D351" s="205">
        <f>'Resumen Capacidad'!$C$128</f>
        <v>45.81818182</v>
      </c>
      <c r="E351" s="205">
        <f>'Resumen Capacidad'!$C$128</f>
        <v>45.81818182</v>
      </c>
      <c r="F351" s="205">
        <f>'Resumen Capacidad'!$C$128</f>
        <v>45.81818182</v>
      </c>
      <c r="G351" s="205">
        <f>'Resumen Capacidad'!$C$128</f>
        <v>45.81818182</v>
      </c>
      <c r="H351" s="205">
        <f>'Resumen Capacidad'!$C$128</f>
        <v>45.81818182</v>
      </c>
      <c r="I351" s="205">
        <f>'Resumen Capacidad'!$C$128</f>
        <v>45.81818182</v>
      </c>
      <c r="J351" s="205">
        <f>'Resumen Capacidad'!$C$128</f>
        <v>45.81818182</v>
      </c>
      <c r="K351" s="205">
        <f>'Resumen Capacidad'!$C$128</f>
        <v>45.81818182</v>
      </c>
      <c r="L351" s="205">
        <f>'Resumen Capacidad'!$C$128</f>
        <v>45.81818182</v>
      </c>
      <c r="M351" s="205">
        <f>'Resumen Capacidad'!$C$128</f>
        <v>45.81818182</v>
      </c>
      <c r="N351" s="205">
        <f>'Resumen Capacidad'!$C$128</f>
        <v>45.81818182</v>
      </c>
      <c r="O351" s="5"/>
      <c r="P351" s="5"/>
      <c r="Q351" s="5"/>
      <c r="R351" s="5"/>
      <c r="S351" s="5"/>
      <c r="T351" s="5"/>
      <c r="U351" s="5"/>
      <c r="V351" s="5"/>
      <c r="W351" s="5"/>
      <c r="X351" s="5"/>
      <c r="Y351" s="5"/>
      <c r="Z351" s="5"/>
    </row>
    <row r="352" ht="12.0" customHeight="1">
      <c r="A352" s="92" t="s">
        <v>640</v>
      </c>
      <c r="B352" s="5"/>
      <c r="C352" s="204">
        <f>'Resumen Capacidad'!$C$46*'Resumen Capacidad'!$C$82</f>
        <v>1</v>
      </c>
      <c r="D352" s="204">
        <f>'Resumen Capacidad'!$C$46*'Resumen Capacidad'!$C$82</f>
        <v>1</v>
      </c>
      <c r="E352" s="204">
        <f>'Resumen Capacidad'!$C$46*'Resumen Capacidad'!$C$82</f>
        <v>1</v>
      </c>
      <c r="F352" s="204">
        <f>'Resumen Capacidad'!$C$46*'Resumen Capacidad'!$C$82</f>
        <v>1</v>
      </c>
      <c r="G352" s="204">
        <f>'Resumen Capacidad'!$C$46*'Resumen Capacidad'!$C$82</f>
        <v>1</v>
      </c>
      <c r="H352" s="204">
        <f>'Resumen Capacidad'!$C$46*'Resumen Capacidad'!$C$82</f>
        <v>1</v>
      </c>
      <c r="I352" s="204">
        <f>'Resumen Capacidad'!$C$46*'Resumen Capacidad'!$C$82</f>
        <v>1</v>
      </c>
      <c r="J352" s="204">
        <f>'Resumen Capacidad'!$C$46*'Resumen Capacidad'!$C$82</f>
        <v>1</v>
      </c>
      <c r="K352" s="204">
        <f>'Resumen Capacidad'!$C$46*'Resumen Capacidad'!$C$82</f>
        <v>1</v>
      </c>
      <c r="L352" s="204">
        <f>'Resumen Capacidad'!$C$46*'Resumen Capacidad'!$C$82</f>
        <v>1</v>
      </c>
      <c r="M352" s="204">
        <f>'Resumen Capacidad'!$C$46*'Resumen Capacidad'!$C$82</f>
        <v>1</v>
      </c>
      <c r="N352" s="204">
        <f>'Resumen Capacidad'!$C$46*'Resumen Capacidad'!$C$82</f>
        <v>1</v>
      </c>
      <c r="O352" s="5"/>
      <c r="P352" s="5"/>
      <c r="Q352" s="5"/>
      <c r="R352" s="5"/>
      <c r="S352" s="5"/>
      <c r="T352" s="5"/>
      <c r="U352" s="5"/>
      <c r="V352" s="5"/>
      <c r="W352" s="5"/>
      <c r="X352" s="5"/>
      <c r="Y352" s="5"/>
      <c r="Z352" s="5"/>
    </row>
    <row r="353" ht="12.0" customHeight="1">
      <c r="A353" s="92" t="s">
        <v>642</v>
      </c>
      <c r="B353" s="5"/>
      <c r="C353" s="204">
        <f t="shared" ref="C353:N353" si="104">C351*C352</f>
        <v>45.81818182</v>
      </c>
      <c r="D353" s="204">
        <f t="shared" si="104"/>
        <v>45.81818182</v>
      </c>
      <c r="E353" s="204">
        <f t="shared" si="104"/>
        <v>45.81818182</v>
      </c>
      <c r="F353" s="204">
        <f t="shared" si="104"/>
        <v>45.81818182</v>
      </c>
      <c r="G353" s="204">
        <f t="shared" si="104"/>
        <v>45.81818182</v>
      </c>
      <c r="H353" s="204">
        <f t="shared" si="104"/>
        <v>45.81818182</v>
      </c>
      <c r="I353" s="204">
        <f t="shared" si="104"/>
        <v>45.81818182</v>
      </c>
      <c r="J353" s="204">
        <f t="shared" si="104"/>
        <v>45.81818182</v>
      </c>
      <c r="K353" s="204">
        <f t="shared" si="104"/>
        <v>45.81818182</v>
      </c>
      <c r="L353" s="204">
        <f t="shared" si="104"/>
        <v>45.81818182</v>
      </c>
      <c r="M353" s="204">
        <f t="shared" si="104"/>
        <v>45.81818182</v>
      </c>
      <c r="N353" s="204">
        <f t="shared" si="104"/>
        <v>45.81818182</v>
      </c>
      <c r="O353" s="5"/>
      <c r="P353" s="5"/>
      <c r="Q353" s="5"/>
      <c r="R353" s="5"/>
      <c r="S353" s="5"/>
      <c r="T353" s="5"/>
      <c r="U353" s="5"/>
      <c r="V353" s="5"/>
      <c r="W353" s="5"/>
      <c r="X353" s="5"/>
      <c r="Y353" s="5"/>
      <c r="Z353" s="5"/>
    </row>
    <row r="354" ht="12.0" customHeight="1">
      <c r="A354" s="92" t="s">
        <v>643</v>
      </c>
      <c r="B354" s="5"/>
      <c r="C354" s="206">
        <f t="shared" ref="C354:N354" si="105">IF(C353=0,0,C350/C353)</f>
        <v>0.1822209656</v>
      </c>
      <c r="D354" s="206">
        <f t="shared" si="105"/>
        <v>0.1412532407</v>
      </c>
      <c r="E354" s="206">
        <f t="shared" si="105"/>
        <v>0.1374963624</v>
      </c>
      <c r="F354" s="206">
        <f t="shared" si="105"/>
        <v>0.1331334656</v>
      </c>
      <c r="G354" s="206">
        <f t="shared" si="105"/>
        <v>0.1253272487</v>
      </c>
      <c r="H354" s="206">
        <f t="shared" si="105"/>
        <v>0.1208668651</v>
      </c>
      <c r="I354" s="206">
        <f t="shared" si="105"/>
        <v>0.1296901455</v>
      </c>
      <c r="J354" s="206">
        <f t="shared" si="105"/>
        <v>0.1296901455</v>
      </c>
      <c r="K354" s="206">
        <f t="shared" si="105"/>
        <v>0.1291816138</v>
      </c>
      <c r="L354" s="206">
        <f t="shared" si="105"/>
        <v>0.1247212302</v>
      </c>
      <c r="M354" s="206">
        <f t="shared" si="105"/>
        <v>0.1207693783</v>
      </c>
      <c r="N354" s="206">
        <f t="shared" si="105"/>
        <v>0.1885990741</v>
      </c>
      <c r="O354" s="5"/>
      <c r="P354" s="5"/>
      <c r="Q354" s="5"/>
      <c r="R354" s="5"/>
      <c r="S354" s="5"/>
      <c r="T354" s="5"/>
      <c r="U354" s="5"/>
      <c r="V354" s="5"/>
      <c r="W354" s="5"/>
      <c r="X354" s="5"/>
      <c r="Y354" s="5"/>
      <c r="Z354" s="5"/>
    </row>
    <row r="355" ht="12.0" customHeight="1">
      <c r="A355" s="201" t="s">
        <v>699</v>
      </c>
      <c r="B355" s="202"/>
      <c r="C355" s="202"/>
      <c r="D355" s="202"/>
      <c r="E355" s="202"/>
      <c r="F355" s="202"/>
      <c r="G355" s="202"/>
      <c r="H355" s="202"/>
      <c r="I355" s="202"/>
      <c r="J355" s="202"/>
      <c r="K355" s="202"/>
      <c r="L355" s="202"/>
      <c r="M355" s="202"/>
      <c r="N355" s="202"/>
      <c r="O355" s="5"/>
      <c r="P355" s="5"/>
      <c r="Q355" s="5"/>
      <c r="R355" s="5"/>
      <c r="S355" s="5"/>
      <c r="T355" s="5"/>
      <c r="U355" s="5"/>
      <c r="V355" s="5"/>
      <c r="W355" s="5"/>
      <c r="X355" s="5"/>
      <c r="Y355" s="5"/>
      <c r="Z355" s="5"/>
    </row>
    <row r="356" ht="12.0" customHeight="1">
      <c r="A356" s="201" t="s">
        <v>630</v>
      </c>
      <c r="B356" s="201" t="s">
        <v>631</v>
      </c>
      <c r="C356" s="201" t="s">
        <v>3</v>
      </c>
      <c r="D356" s="201" t="s">
        <v>4</v>
      </c>
      <c r="E356" s="201" t="s">
        <v>5</v>
      </c>
      <c r="F356" s="201" t="s">
        <v>6</v>
      </c>
      <c r="G356" s="201" t="s">
        <v>7</v>
      </c>
      <c r="H356" s="201" t="s">
        <v>8</v>
      </c>
      <c r="I356" s="201" t="s">
        <v>9</v>
      </c>
      <c r="J356" s="201" t="s">
        <v>10</v>
      </c>
      <c r="K356" s="201" t="s">
        <v>11</v>
      </c>
      <c r="L356" s="201" t="s">
        <v>12</v>
      </c>
      <c r="M356" s="201" t="s">
        <v>13</v>
      </c>
      <c r="N356" s="201" t="s">
        <v>14</v>
      </c>
      <c r="O356" s="5"/>
      <c r="P356" s="5"/>
      <c r="Q356" s="5"/>
      <c r="R356" s="5"/>
      <c r="S356" s="5"/>
      <c r="T356" s="5"/>
      <c r="U356" s="5"/>
      <c r="V356" s="5"/>
      <c r="W356" s="5"/>
      <c r="X356" s="5"/>
      <c r="Y356" s="5"/>
      <c r="Z356" s="5"/>
    </row>
    <row r="357" ht="12.0" customHeight="1">
      <c r="A357" s="92" t="s">
        <v>632</v>
      </c>
      <c r="B357" s="92" t="s">
        <v>633</v>
      </c>
      <c r="C357" s="203">
        <f>SUM('2027'!B6:B9)+SUM('2027'!B17:B20)</f>
        <v>1192.94</v>
      </c>
      <c r="D357" s="203">
        <f>SUM('2027'!C6:C9)+SUM('2027'!C17:C20)</f>
        <v>918.37</v>
      </c>
      <c r="E357" s="203">
        <f>SUM('2027'!D6:D9)+SUM('2027'!D17:D20)</f>
        <v>882.065</v>
      </c>
      <c r="F357" s="203">
        <f>SUM('2027'!E6:E9)+SUM('2027'!E17:E20)</f>
        <v>852.08</v>
      </c>
      <c r="G357" s="203">
        <f>SUM('2027'!F6:F9)+SUM('2027'!F17:F20)</f>
        <v>798.43</v>
      </c>
      <c r="H357" s="203">
        <f>SUM('2027'!G6:G9)+SUM('2027'!G17:G20)</f>
        <v>774.765</v>
      </c>
      <c r="I357" s="203">
        <f>SUM('2027'!H6:H9)+SUM('2027'!H17:H20)</f>
        <v>828.415</v>
      </c>
      <c r="J357" s="203">
        <f>SUM('2027'!I6:I9)+SUM('2027'!I17:I20)</f>
        <v>828.415</v>
      </c>
      <c r="K357" s="203">
        <f>SUM('2027'!J6:J9)+SUM('2027'!J17:J20)</f>
        <v>828.415</v>
      </c>
      <c r="L357" s="203">
        <f>SUM('2027'!K6:K9)+SUM('2027'!K17:K20)</f>
        <v>804.75</v>
      </c>
      <c r="M357" s="203">
        <f>SUM('2027'!L6:L9)+SUM('2027'!L17:L20)</f>
        <v>781.085</v>
      </c>
      <c r="N357" s="203">
        <f>SUM('2027'!M6:M9)+SUM('2027'!M17:M20)</f>
        <v>1240.27</v>
      </c>
      <c r="O357" s="5"/>
      <c r="P357" s="5"/>
      <c r="Q357" s="5"/>
      <c r="R357" s="5"/>
      <c r="S357" s="5"/>
      <c r="T357" s="5"/>
      <c r="U357" s="5"/>
      <c r="V357" s="5"/>
      <c r="W357" s="5"/>
      <c r="X357" s="5"/>
      <c r="Y357" s="5"/>
      <c r="Z357" s="5"/>
    </row>
    <row r="358" ht="12.0" customHeight="1">
      <c r="A358" s="5"/>
      <c r="B358" s="92" t="s">
        <v>634</v>
      </c>
      <c r="C358" s="204">
        <f>C357/Parametros!$B$37</f>
        <v>59.647</v>
      </c>
      <c r="D358" s="204">
        <f>D357/Parametros!$B$37</f>
        <v>45.9185</v>
      </c>
      <c r="E358" s="204">
        <f>E357/Parametros!$B$37</f>
        <v>44.10325</v>
      </c>
      <c r="F358" s="204">
        <f>F357/Parametros!$B$37</f>
        <v>42.604</v>
      </c>
      <c r="G358" s="204">
        <f>G357/Parametros!$B$37</f>
        <v>39.9215</v>
      </c>
      <c r="H358" s="204">
        <f>H357/Parametros!$B$37</f>
        <v>38.73825</v>
      </c>
      <c r="I358" s="204">
        <f>I357/Parametros!$B$37</f>
        <v>41.42075</v>
      </c>
      <c r="J358" s="204">
        <f>J357/Parametros!$B$37</f>
        <v>41.42075</v>
      </c>
      <c r="K358" s="204">
        <f>K357/Parametros!$B$37</f>
        <v>41.42075</v>
      </c>
      <c r="L358" s="204">
        <f>L357/Parametros!$B$37</f>
        <v>40.2375</v>
      </c>
      <c r="M358" s="204">
        <f>M357/Parametros!$B$37</f>
        <v>39.05425</v>
      </c>
      <c r="N358" s="204">
        <f>N357/Parametros!$B$37</f>
        <v>62.0135</v>
      </c>
      <c r="O358" s="5"/>
      <c r="P358" s="5"/>
      <c r="Q358" s="5"/>
      <c r="R358" s="5"/>
      <c r="S358" s="5"/>
      <c r="T358" s="5"/>
      <c r="U358" s="5"/>
      <c r="V358" s="5"/>
      <c r="W358" s="5"/>
      <c r="X358" s="5"/>
      <c r="Y358" s="5"/>
      <c r="Z358" s="5"/>
    </row>
    <row r="359" ht="12.0" customHeight="1">
      <c r="A359" s="5"/>
      <c r="B359" s="92" t="s">
        <v>635</v>
      </c>
      <c r="C359" s="204">
        <f>C358/Parametros!$J$37</f>
        <v>7.952933333</v>
      </c>
      <c r="D359" s="204">
        <f>D358/Parametros!$J$37</f>
        <v>6.122466667</v>
      </c>
      <c r="E359" s="204">
        <f>E358/Parametros!$J$37</f>
        <v>5.880433333</v>
      </c>
      <c r="F359" s="204">
        <f>F358/Parametros!$J$37</f>
        <v>5.680533333</v>
      </c>
      <c r="G359" s="204">
        <f>G358/Parametros!$J$37</f>
        <v>5.322866667</v>
      </c>
      <c r="H359" s="204">
        <f>H358/Parametros!$J$37</f>
        <v>5.1651</v>
      </c>
      <c r="I359" s="204">
        <f>I358/Parametros!$J$37</f>
        <v>5.522766667</v>
      </c>
      <c r="J359" s="204">
        <f>J358/Parametros!$J$37</f>
        <v>5.522766667</v>
      </c>
      <c r="K359" s="204">
        <f>K358/Parametros!$J$37</f>
        <v>5.522766667</v>
      </c>
      <c r="L359" s="204">
        <f>L358/Parametros!$J$37</f>
        <v>5.365</v>
      </c>
      <c r="M359" s="204">
        <f>M358/Parametros!$J$37</f>
        <v>5.207233333</v>
      </c>
      <c r="N359" s="204">
        <f>N358/Parametros!$J$37</f>
        <v>8.268466667</v>
      </c>
      <c r="O359" s="5"/>
      <c r="P359" s="5"/>
      <c r="Q359" s="5"/>
      <c r="R359" s="5"/>
      <c r="S359" s="5"/>
      <c r="T359" s="5"/>
      <c r="U359" s="5"/>
      <c r="V359" s="5"/>
      <c r="W359" s="5"/>
      <c r="X359" s="5"/>
      <c r="Y359" s="5"/>
      <c r="Z359" s="5"/>
    </row>
    <row r="360" ht="12.0" customHeight="1">
      <c r="A360" s="92" t="s">
        <v>636</v>
      </c>
      <c r="B360" s="5"/>
      <c r="C360" s="204">
        <f t="shared" ref="C360:N360" si="106">C359</f>
        <v>7.952933333</v>
      </c>
      <c r="D360" s="204">
        <f t="shared" si="106"/>
        <v>6.122466667</v>
      </c>
      <c r="E360" s="204">
        <f t="shared" si="106"/>
        <v>5.880433333</v>
      </c>
      <c r="F360" s="204">
        <f t="shared" si="106"/>
        <v>5.680533333</v>
      </c>
      <c r="G360" s="204">
        <f t="shared" si="106"/>
        <v>5.322866667</v>
      </c>
      <c r="H360" s="204">
        <f t="shared" si="106"/>
        <v>5.1651</v>
      </c>
      <c r="I360" s="204">
        <f t="shared" si="106"/>
        <v>5.522766667</v>
      </c>
      <c r="J360" s="204">
        <f t="shared" si="106"/>
        <v>5.522766667</v>
      </c>
      <c r="K360" s="204">
        <f t="shared" si="106"/>
        <v>5.522766667</v>
      </c>
      <c r="L360" s="204">
        <f t="shared" si="106"/>
        <v>5.365</v>
      </c>
      <c r="M360" s="204">
        <f t="shared" si="106"/>
        <v>5.207233333</v>
      </c>
      <c r="N360" s="204">
        <f t="shared" si="106"/>
        <v>8.268466667</v>
      </c>
      <c r="O360" s="5"/>
      <c r="P360" s="5"/>
      <c r="Q360" s="5"/>
      <c r="R360" s="5"/>
      <c r="S360" s="5"/>
      <c r="T360" s="5"/>
      <c r="U360" s="5"/>
      <c r="V360" s="5"/>
      <c r="W360" s="5"/>
      <c r="X360" s="5"/>
      <c r="Y360" s="5"/>
      <c r="Z360" s="5"/>
    </row>
    <row r="361" ht="12.0" customHeight="1">
      <c r="A361" s="92" t="s">
        <v>637</v>
      </c>
      <c r="B361" s="5"/>
      <c r="C361" s="205">
        <f>'Resumen Capacidad'!$C$129</f>
        <v>48.81355932</v>
      </c>
      <c r="D361" s="205">
        <f>'Resumen Capacidad'!$C$129</f>
        <v>48.81355932</v>
      </c>
      <c r="E361" s="205">
        <f>'Resumen Capacidad'!$C$129</f>
        <v>48.81355932</v>
      </c>
      <c r="F361" s="205">
        <f>'Resumen Capacidad'!$C$129</f>
        <v>48.81355932</v>
      </c>
      <c r="G361" s="205">
        <f>'Resumen Capacidad'!$C$129</f>
        <v>48.81355932</v>
      </c>
      <c r="H361" s="205">
        <f>'Resumen Capacidad'!$C$129</f>
        <v>48.81355932</v>
      </c>
      <c r="I361" s="205">
        <f>'Resumen Capacidad'!$C$129</f>
        <v>48.81355932</v>
      </c>
      <c r="J361" s="205">
        <f>'Resumen Capacidad'!$C$129</f>
        <v>48.81355932</v>
      </c>
      <c r="K361" s="205">
        <f>'Resumen Capacidad'!$C$129</f>
        <v>48.81355932</v>
      </c>
      <c r="L361" s="205">
        <f>'Resumen Capacidad'!$C$129</f>
        <v>48.81355932</v>
      </c>
      <c r="M361" s="205">
        <f>'Resumen Capacidad'!$C$129</f>
        <v>48.81355932</v>
      </c>
      <c r="N361" s="205">
        <f>'Resumen Capacidad'!$C$129</f>
        <v>48.81355932</v>
      </c>
      <c r="O361" s="5"/>
      <c r="P361" s="5"/>
      <c r="Q361" s="5"/>
      <c r="R361" s="5"/>
      <c r="S361" s="5"/>
      <c r="T361" s="5"/>
      <c r="U361" s="5"/>
      <c r="V361" s="5"/>
      <c r="W361" s="5"/>
      <c r="X361" s="5"/>
      <c r="Y361" s="5"/>
      <c r="Z361" s="5"/>
    </row>
    <row r="362" ht="12.0" customHeight="1">
      <c r="A362" s="92" t="s">
        <v>640</v>
      </c>
      <c r="B362" s="5"/>
      <c r="C362" s="204">
        <f>'Resumen Capacidad'!$C$47*'Resumen Capacidad'!$C$83</f>
        <v>1</v>
      </c>
      <c r="D362" s="204">
        <f>'Resumen Capacidad'!$C$47*'Resumen Capacidad'!$C$83</f>
        <v>1</v>
      </c>
      <c r="E362" s="204">
        <f>'Resumen Capacidad'!$C$47*'Resumen Capacidad'!$C$83</f>
        <v>1</v>
      </c>
      <c r="F362" s="204">
        <f>'Resumen Capacidad'!$C$47*'Resumen Capacidad'!$C$83</f>
        <v>1</v>
      </c>
      <c r="G362" s="204">
        <f>'Resumen Capacidad'!$C$47*'Resumen Capacidad'!$C$83</f>
        <v>1</v>
      </c>
      <c r="H362" s="204">
        <f>'Resumen Capacidad'!$C$47*'Resumen Capacidad'!$C$83</f>
        <v>1</v>
      </c>
      <c r="I362" s="204">
        <f>'Resumen Capacidad'!$C$47*'Resumen Capacidad'!$C$83</f>
        <v>1</v>
      </c>
      <c r="J362" s="204">
        <f>'Resumen Capacidad'!$C$47*'Resumen Capacidad'!$C$83</f>
        <v>1</v>
      </c>
      <c r="K362" s="204">
        <f>'Resumen Capacidad'!$C$47*'Resumen Capacidad'!$C$83</f>
        <v>1</v>
      </c>
      <c r="L362" s="204">
        <f>'Resumen Capacidad'!$C$47*'Resumen Capacidad'!$C$83</f>
        <v>1</v>
      </c>
      <c r="M362" s="204">
        <f>'Resumen Capacidad'!$C$47*'Resumen Capacidad'!$C$83</f>
        <v>1</v>
      </c>
      <c r="N362" s="204">
        <f>'Resumen Capacidad'!$C$47*'Resumen Capacidad'!$C$83</f>
        <v>1</v>
      </c>
      <c r="O362" s="5"/>
      <c r="P362" s="5"/>
      <c r="Q362" s="5"/>
      <c r="R362" s="5"/>
      <c r="S362" s="5"/>
      <c r="T362" s="5"/>
      <c r="U362" s="5"/>
      <c r="V362" s="5"/>
      <c r="W362" s="5"/>
      <c r="X362" s="5"/>
      <c r="Y362" s="5"/>
      <c r="Z362" s="5"/>
    </row>
    <row r="363" ht="12.0" customHeight="1">
      <c r="A363" s="92" t="s">
        <v>642</v>
      </c>
      <c r="B363" s="5"/>
      <c r="C363" s="204">
        <f t="shared" ref="C363:N363" si="107">C361*C362</f>
        <v>48.81355932</v>
      </c>
      <c r="D363" s="204">
        <f t="shared" si="107"/>
        <v>48.81355932</v>
      </c>
      <c r="E363" s="204">
        <f t="shared" si="107"/>
        <v>48.81355932</v>
      </c>
      <c r="F363" s="204">
        <f t="shared" si="107"/>
        <v>48.81355932</v>
      </c>
      <c r="G363" s="204">
        <f t="shared" si="107"/>
        <v>48.81355932</v>
      </c>
      <c r="H363" s="204">
        <f t="shared" si="107"/>
        <v>48.81355932</v>
      </c>
      <c r="I363" s="204">
        <f t="shared" si="107"/>
        <v>48.81355932</v>
      </c>
      <c r="J363" s="204">
        <f t="shared" si="107"/>
        <v>48.81355932</v>
      </c>
      <c r="K363" s="204">
        <f t="shared" si="107"/>
        <v>48.81355932</v>
      </c>
      <c r="L363" s="204">
        <f t="shared" si="107"/>
        <v>48.81355932</v>
      </c>
      <c r="M363" s="204">
        <f t="shared" si="107"/>
        <v>48.81355932</v>
      </c>
      <c r="N363" s="204">
        <f t="shared" si="107"/>
        <v>48.81355932</v>
      </c>
      <c r="O363" s="5"/>
      <c r="P363" s="5"/>
      <c r="Q363" s="5"/>
      <c r="R363" s="5"/>
      <c r="S363" s="5"/>
      <c r="T363" s="5"/>
      <c r="U363" s="5"/>
      <c r="V363" s="5"/>
      <c r="W363" s="5"/>
      <c r="X363" s="5"/>
      <c r="Y363" s="5"/>
      <c r="Z363" s="5"/>
    </row>
    <row r="364" ht="12.0" customHeight="1">
      <c r="A364" s="92" t="s">
        <v>643</v>
      </c>
      <c r="B364" s="5"/>
      <c r="C364" s="206">
        <f t="shared" ref="C364:N364" si="108">IF(C363=0,0,C360/C363)</f>
        <v>0.1629246759</v>
      </c>
      <c r="D364" s="206">
        <f t="shared" si="108"/>
        <v>0.1254255324</v>
      </c>
      <c r="E364" s="206">
        <f t="shared" si="108"/>
        <v>0.1204672106</v>
      </c>
      <c r="F364" s="206">
        <f t="shared" si="108"/>
        <v>0.116372037</v>
      </c>
      <c r="G364" s="206">
        <f t="shared" si="108"/>
        <v>0.109044838</v>
      </c>
      <c r="H364" s="206">
        <f t="shared" si="108"/>
        <v>0.1058128125</v>
      </c>
      <c r="I364" s="206">
        <f t="shared" si="108"/>
        <v>0.1131400116</v>
      </c>
      <c r="J364" s="206">
        <f t="shared" si="108"/>
        <v>0.1131400116</v>
      </c>
      <c r="K364" s="206">
        <f t="shared" si="108"/>
        <v>0.1131400116</v>
      </c>
      <c r="L364" s="206">
        <f t="shared" si="108"/>
        <v>0.1099079861</v>
      </c>
      <c r="M364" s="206">
        <f t="shared" si="108"/>
        <v>0.1066759606</v>
      </c>
      <c r="N364" s="206">
        <f t="shared" si="108"/>
        <v>0.1693887269</v>
      </c>
      <c r="O364" s="5"/>
      <c r="P364" s="5"/>
      <c r="Q364" s="5"/>
      <c r="R364" s="5"/>
      <c r="S364" s="5"/>
      <c r="T364" s="5"/>
      <c r="U364" s="5"/>
      <c r="V364" s="5"/>
      <c r="W364" s="5"/>
      <c r="X364" s="5"/>
      <c r="Y364" s="5"/>
      <c r="Z364" s="5"/>
    </row>
    <row r="365" ht="12.0"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0"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0" customHeight="1">
      <c r="A367" s="207">
        <v>2028.0</v>
      </c>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0" customHeight="1">
      <c r="A368" s="201" t="s">
        <v>629</v>
      </c>
      <c r="B368" s="202"/>
      <c r="C368" s="202"/>
      <c r="D368" s="202"/>
      <c r="E368" s="202"/>
      <c r="F368" s="202"/>
      <c r="G368" s="202"/>
      <c r="H368" s="202"/>
      <c r="I368" s="202"/>
      <c r="J368" s="202"/>
      <c r="K368" s="202"/>
      <c r="L368" s="202"/>
      <c r="M368" s="202"/>
      <c r="N368" s="202"/>
      <c r="O368" s="5"/>
      <c r="P368" s="5"/>
      <c r="Q368" s="5"/>
      <c r="R368" s="5"/>
      <c r="S368" s="5"/>
      <c r="T368" s="5"/>
      <c r="U368" s="5"/>
      <c r="V368" s="5"/>
      <c r="W368" s="5"/>
      <c r="X368" s="5"/>
      <c r="Y368" s="5"/>
      <c r="Z368" s="5"/>
    </row>
    <row r="369" ht="12.0" customHeight="1">
      <c r="A369" s="201" t="s">
        <v>630</v>
      </c>
      <c r="B369" s="201" t="s">
        <v>631</v>
      </c>
      <c r="C369" s="201" t="s">
        <v>3</v>
      </c>
      <c r="D369" s="201" t="s">
        <v>4</v>
      </c>
      <c r="E369" s="201" t="s">
        <v>5</v>
      </c>
      <c r="F369" s="201" t="s">
        <v>6</v>
      </c>
      <c r="G369" s="201" t="s">
        <v>7</v>
      </c>
      <c r="H369" s="201" t="s">
        <v>8</v>
      </c>
      <c r="I369" s="201" t="s">
        <v>9</v>
      </c>
      <c r="J369" s="201" t="s">
        <v>10</v>
      </c>
      <c r="K369" s="201" t="s">
        <v>11</v>
      </c>
      <c r="L369" s="201" t="s">
        <v>12</v>
      </c>
      <c r="M369" s="201" t="s">
        <v>13</v>
      </c>
      <c r="N369" s="201" t="s">
        <v>14</v>
      </c>
      <c r="O369" s="5"/>
      <c r="P369" s="5"/>
      <c r="Q369" s="5"/>
      <c r="R369" s="5"/>
      <c r="S369" s="5"/>
      <c r="T369" s="5"/>
      <c r="U369" s="5"/>
      <c r="V369" s="5"/>
      <c r="W369" s="5"/>
      <c r="X369" s="5"/>
      <c r="Y369" s="5"/>
      <c r="Z369" s="5"/>
    </row>
    <row r="370" ht="12.0" customHeight="1">
      <c r="A370" s="92" t="s">
        <v>632</v>
      </c>
      <c r="B370" s="92" t="s">
        <v>633</v>
      </c>
      <c r="C370" s="203">
        <f>SUM('2028'!B6:B9)+SUM('2028'!B17:B20)</f>
        <v>2561.98</v>
      </c>
      <c r="D370" s="203">
        <f>SUM('2028'!C6:C9)+SUM('2028'!C17:C20)</f>
        <v>1962.5</v>
      </c>
      <c r="E370" s="203">
        <f>SUM('2028'!D6:D9)+SUM('2028'!D17:D20)</f>
        <v>1858.375</v>
      </c>
      <c r="F370" s="203">
        <f>SUM('2028'!E6:E9)+SUM('2028'!E17:E20)</f>
        <v>1785.805</v>
      </c>
      <c r="G370" s="203">
        <f>SUM('2028'!F6:F9)+SUM('2028'!F17:F20)</f>
        <v>1672.22</v>
      </c>
      <c r="H370" s="203">
        <f>SUM('2028'!G6:G9)+SUM('2028'!G17:G20)</f>
        <v>1631.205</v>
      </c>
      <c r="I370" s="203">
        <f>SUM('2028'!H6:H9)+SUM('2028'!H17:H20)</f>
        <v>1744.79</v>
      </c>
      <c r="J370" s="203">
        <f>SUM('2028'!I6:I9)+SUM('2028'!I17:I20)</f>
        <v>1744.79</v>
      </c>
      <c r="K370" s="203">
        <f>SUM('2028'!J6:J9)+SUM('2028'!J17:J20)</f>
        <v>1744.79</v>
      </c>
      <c r="L370" s="203">
        <f>SUM('2028'!K6:K9)+SUM('2028'!K17:K20)</f>
        <v>1703.775</v>
      </c>
      <c r="M370" s="203">
        <f>SUM('2028'!L6:L9)+SUM('2028'!L17:L20)</f>
        <v>1662.76</v>
      </c>
      <c r="N370" s="203">
        <f>SUM('2028'!M6:M9)+SUM('2028'!M17:M20)</f>
        <v>2644.01</v>
      </c>
      <c r="O370" s="5"/>
      <c r="P370" s="5"/>
      <c r="Q370" s="5"/>
      <c r="R370" s="5"/>
      <c r="S370" s="5"/>
      <c r="T370" s="5"/>
      <c r="U370" s="5"/>
      <c r="V370" s="5"/>
      <c r="W370" s="5"/>
      <c r="X370" s="5"/>
      <c r="Y370" s="5"/>
      <c r="Z370" s="5"/>
    </row>
    <row r="371" ht="12.0" customHeight="1">
      <c r="A371" s="5"/>
      <c r="B371" s="92" t="s">
        <v>634</v>
      </c>
      <c r="C371" s="204">
        <f>C370/Parametros!$B$37</f>
        <v>128.099</v>
      </c>
      <c r="D371" s="204">
        <f>D370/Parametros!$B$37</f>
        <v>98.125</v>
      </c>
      <c r="E371" s="204">
        <f>E370/Parametros!$B$37</f>
        <v>92.91875</v>
      </c>
      <c r="F371" s="204">
        <f>F370/Parametros!$B$37</f>
        <v>89.29025</v>
      </c>
      <c r="G371" s="204">
        <f>G370/Parametros!$B$37</f>
        <v>83.611</v>
      </c>
      <c r="H371" s="204">
        <f>H370/Parametros!$B$37</f>
        <v>81.56025</v>
      </c>
      <c r="I371" s="204">
        <f>I370/Parametros!$B$37</f>
        <v>87.2395</v>
      </c>
      <c r="J371" s="204">
        <f>J370/Parametros!$B$37</f>
        <v>87.2395</v>
      </c>
      <c r="K371" s="204">
        <f>K370/Parametros!$B$37</f>
        <v>87.2395</v>
      </c>
      <c r="L371" s="204">
        <f>L370/Parametros!$B$37</f>
        <v>85.18875</v>
      </c>
      <c r="M371" s="204">
        <f>M370/Parametros!$B$37</f>
        <v>83.138</v>
      </c>
      <c r="N371" s="204">
        <f>N370/Parametros!$B$37</f>
        <v>132.2005</v>
      </c>
      <c r="O371" s="5"/>
      <c r="P371" s="5"/>
      <c r="Q371" s="5"/>
      <c r="R371" s="5"/>
      <c r="S371" s="5"/>
      <c r="T371" s="5"/>
      <c r="U371" s="5"/>
      <c r="V371" s="5"/>
      <c r="W371" s="5"/>
      <c r="X371" s="5"/>
      <c r="Y371" s="5"/>
      <c r="Z371" s="5"/>
    </row>
    <row r="372" ht="12.0" customHeight="1">
      <c r="A372" s="5"/>
      <c r="B372" s="92" t="s">
        <v>635</v>
      </c>
      <c r="C372" s="204">
        <f>C371/Parametros!$J$37</f>
        <v>17.07986667</v>
      </c>
      <c r="D372" s="204">
        <f>D371/Parametros!$J$37</f>
        <v>13.08333333</v>
      </c>
      <c r="E372" s="204">
        <f>E371/Parametros!$J$37</f>
        <v>12.38916667</v>
      </c>
      <c r="F372" s="204">
        <f>F371/Parametros!$J$37</f>
        <v>11.90536667</v>
      </c>
      <c r="G372" s="204">
        <f>G371/Parametros!$J$37</f>
        <v>11.14813333</v>
      </c>
      <c r="H372" s="204">
        <f>H371/Parametros!$J$37</f>
        <v>10.8747</v>
      </c>
      <c r="I372" s="204">
        <f>I371/Parametros!$J$37</f>
        <v>11.63193333</v>
      </c>
      <c r="J372" s="204">
        <f>J371/Parametros!$J$37</f>
        <v>11.63193333</v>
      </c>
      <c r="K372" s="204">
        <f>K371/Parametros!$J$37</f>
        <v>11.63193333</v>
      </c>
      <c r="L372" s="204">
        <f>L371/Parametros!$J$37</f>
        <v>11.3585</v>
      </c>
      <c r="M372" s="204">
        <f>M371/Parametros!$J$37</f>
        <v>11.08506667</v>
      </c>
      <c r="N372" s="204">
        <f>N371/Parametros!$J$37</f>
        <v>17.62673333</v>
      </c>
      <c r="O372" s="5"/>
      <c r="P372" s="5"/>
      <c r="Q372" s="5"/>
      <c r="R372" s="5"/>
      <c r="S372" s="5"/>
      <c r="T372" s="5"/>
      <c r="U372" s="5"/>
      <c r="V372" s="5"/>
      <c r="W372" s="5"/>
      <c r="X372" s="5"/>
      <c r="Y372" s="5"/>
      <c r="Z372" s="5"/>
    </row>
    <row r="373" ht="12.0" customHeight="1">
      <c r="A373" s="92" t="s">
        <v>636</v>
      </c>
      <c r="B373" s="5"/>
      <c r="C373" s="204">
        <f t="shared" ref="C373:N373" si="109">C372</f>
        <v>17.07986667</v>
      </c>
      <c r="D373" s="204">
        <f t="shared" si="109"/>
        <v>13.08333333</v>
      </c>
      <c r="E373" s="204">
        <f t="shared" si="109"/>
        <v>12.38916667</v>
      </c>
      <c r="F373" s="204">
        <f t="shared" si="109"/>
        <v>11.90536667</v>
      </c>
      <c r="G373" s="204">
        <f t="shared" si="109"/>
        <v>11.14813333</v>
      </c>
      <c r="H373" s="204">
        <f t="shared" si="109"/>
        <v>10.8747</v>
      </c>
      <c r="I373" s="204">
        <f t="shared" si="109"/>
        <v>11.63193333</v>
      </c>
      <c r="J373" s="204">
        <f t="shared" si="109"/>
        <v>11.63193333</v>
      </c>
      <c r="K373" s="204">
        <f t="shared" si="109"/>
        <v>11.63193333</v>
      </c>
      <c r="L373" s="204">
        <f t="shared" si="109"/>
        <v>11.3585</v>
      </c>
      <c r="M373" s="204">
        <f t="shared" si="109"/>
        <v>11.08506667</v>
      </c>
      <c r="N373" s="204">
        <f t="shared" si="109"/>
        <v>17.62673333</v>
      </c>
      <c r="O373" s="5"/>
      <c r="P373" s="5"/>
      <c r="Q373" s="5"/>
      <c r="R373" s="5"/>
      <c r="S373" s="5"/>
      <c r="T373" s="5"/>
      <c r="U373" s="5"/>
      <c r="V373" s="5"/>
      <c r="W373" s="5"/>
      <c r="X373" s="5"/>
      <c r="Y373" s="5"/>
      <c r="Z373" s="5"/>
    </row>
    <row r="374" ht="12.0" customHeight="1">
      <c r="A374" s="92" t="s">
        <v>637</v>
      </c>
      <c r="B374" s="5"/>
      <c r="C374" s="205">
        <f>'Resumen Capacidad'!$D$111</f>
        <v>68</v>
      </c>
      <c r="D374" s="205">
        <f>'Resumen Capacidad'!$D$111</f>
        <v>68</v>
      </c>
      <c r="E374" s="205">
        <f>'Resumen Capacidad'!$D$111</f>
        <v>68</v>
      </c>
      <c r="F374" s="205">
        <f>'Resumen Capacidad'!$D$111</f>
        <v>68</v>
      </c>
      <c r="G374" s="205">
        <f>'Resumen Capacidad'!$D$111</f>
        <v>68</v>
      </c>
      <c r="H374" s="205">
        <f>'Resumen Capacidad'!$D$111</f>
        <v>68</v>
      </c>
      <c r="I374" s="205">
        <f>'Resumen Capacidad'!$D$111</f>
        <v>68</v>
      </c>
      <c r="J374" s="205">
        <f>'Resumen Capacidad'!$D$111</f>
        <v>68</v>
      </c>
      <c r="K374" s="205">
        <f>'Resumen Capacidad'!$D$111</f>
        <v>68</v>
      </c>
      <c r="L374" s="205">
        <f>'Resumen Capacidad'!$D$111</f>
        <v>68</v>
      </c>
      <c r="M374" s="205">
        <f>'Resumen Capacidad'!$D$111</f>
        <v>68</v>
      </c>
      <c r="N374" s="205">
        <f>'Resumen Capacidad'!$D$111</f>
        <v>68</v>
      </c>
      <c r="O374" s="5"/>
      <c r="P374" s="5"/>
      <c r="Q374" s="5"/>
      <c r="R374" s="5"/>
      <c r="S374" s="5"/>
      <c r="T374" s="5"/>
      <c r="U374" s="5"/>
      <c r="V374" s="5"/>
      <c r="W374" s="5"/>
      <c r="X374" s="5"/>
      <c r="Y374" s="5"/>
      <c r="Z374" s="5"/>
    </row>
    <row r="375" ht="12.0" customHeight="1">
      <c r="A375" s="92" t="s">
        <v>640</v>
      </c>
      <c r="B375" s="5"/>
      <c r="C375" s="204">
        <f>'Resumen Capacidad'!$D$29*'Resumen Capacidad'!$D$65</f>
        <v>1</v>
      </c>
      <c r="D375" s="204">
        <f>'Resumen Capacidad'!$D$29*'Resumen Capacidad'!$D$65</f>
        <v>1</v>
      </c>
      <c r="E375" s="204">
        <f>'Resumen Capacidad'!$D$29*'Resumen Capacidad'!$D$65</f>
        <v>1</v>
      </c>
      <c r="F375" s="204">
        <f>'Resumen Capacidad'!$D$29*'Resumen Capacidad'!$D$65</f>
        <v>1</v>
      </c>
      <c r="G375" s="204">
        <f>'Resumen Capacidad'!$D$29*'Resumen Capacidad'!$D$65</f>
        <v>1</v>
      </c>
      <c r="H375" s="204">
        <f>'Resumen Capacidad'!$D$29*'Resumen Capacidad'!$D$65</f>
        <v>1</v>
      </c>
      <c r="I375" s="204">
        <f>'Resumen Capacidad'!$D$29*'Resumen Capacidad'!$D$65</f>
        <v>1</v>
      </c>
      <c r="J375" s="204">
        <f>'Resumen Capacidad'!$D$29*'Resumen Capacidad'!$D$65</f>
        <v>1</v>
      </c>
      <c r="K375" s="204">
        <f>'Resumen Capacidad'!$D$29*'Resumen Capacidad'!$D$65</f>
        <v>1</v>
      </c>
      <c r="L375" s="204">
        <f>'Resumen Capacidad'!$D$29*'Resumen Capacidad'!$D$65</f>
        <v>1</v>
      </c>
      <c r="M375" s="204">
        <f>'Resumen Capacidad'!$D$29*'Resumen Capacidad'!$D$65</f>
        <v>1</v>
      </c>
      <c r="N375" s="204">
        <f>'Resumen Capacidad'!$D$29*'Resumen Capacidad'!$D$65</f>
        <v>1</v>
      </c>
      <c r="O375" s="5"/>
      <c r="P375" s="5"/>
      <c r="Q375" s="5"/>
      <c r="R375" s="5"/>
      <c r="S375" s="5"/>
      <c r="T375" s="5"/>
      <c r="U375" s="5"/>
      <c r="V375" s="5"/>
      <c r="W375" s="5"/>
      <c r="X375" s="5"/>
      <c r="Y375" s="5"/>
      <c r="Z375" s="5"/>
    </row>
    <row r="376" ht="12.0" customHeight="1">
      <c r="A376" s="92" t="s">
        <v>642</v>
      </c>
      <c r="B376" s="5"/>
      <c r="C376" s="204">
        <f t="shared" ref="C376:N376" si="110">C374*C375</f>
        <v>68</v>
      </c>
      <c r="D376" s="204">
        <f t="shared" si="110"/>
        <v>68</v>
      </c>
      <c r="E376" s="204">
        <f t="shared" si="110"/>
        <v>68</v>
      </c>
      <c r="F376" s="204">
        <f t="shared" si="110"/>
        <v>68</v>
      </c>
      <c r="G376" s="204">
        <f t="shared" si="110"/>
        <v>68</v>
      </c>
      <c r="H376" s="204">
        <f t="shared" si="110"/>
        <v>68</v>
      </c>
      <c r="I376" s="204">
        <f t="shared" si="110"/>
        <v>68</v>
      </c>
      <c r="J376" s="204">
        <f t="shared" si="110"/>
        <v>68</v>
      </c>
      <c r="K376" s="204">
        <f t="shared" si="110"/>
        <v>68</v>
      </c>
      <c r="L376" s="204">
        <f t="shared" si="110"/>
        <v>68</v>
      </c>
      <c r="M376" s="204">
        <f t="shared" si="110"/>
        <v>68</v>
      </c>
      <c r="N376" s="204">
        <f t="shared" si="110"/>
        <v>68</v>
      </c>
      <c r="O376" s="5"/>
      <c r="P376" s="5"/>
      <c r="Q376" s="5"/>
      <c r="R376" s="5"/>
      <c r="S376" s="5"/>
      <c r="T376" s="5"/>
      <c r="U376" s="5"/>
      <c r="V376" s="5"/>
      <c r="W376" s="5"/>
      <c r="X376" s="5"/>
      <c r="Y376" s="5"/>
      <c r="Z376" s="5"/>
    </row>
    <row r="377" ht="12.0" customHeight="1">
      <c r="A377" s="92" t="s">
        <v>643</v>
      </c>
      <c r="B377" s="5"/>
      <c r="C377" s="206">
        <f t="shared" ref="C377:N377" si="111">IF(C376=0,0,C373/C376)</f>
        <v>0.2511745098</v>
      </c>
      <c r="D377" s="206">
        <f t="shared" si="111"/>
        <v>0.1924019608</v>
      </c>
      <c r="E377" s="206">
        <f t="shared" si="111"/>
        <v>0.1821936275</v>
      </c>
      <c r="F377" s="206">
        <f t="shared" si="111"/>
        <v>0.1750789216</v>
      </c>
      <c r="G377" s="206">
        <f t="shared" si="111"/>
        <v>0.1639431373</v>
      </c>
      <c r="H377" s="206">
        <f t="shared" si="111"/>
        <v>0.1599220588</v>
      </c>
      <c r="I377" s="206">
        <f t="shared" si="111"/>
        <v>0.1710578431</v>
      </c>
      <c r="J377" s="206">
        <f t="shared" si="111"/>
        <v>0.1710578431</v>
      </c>
      <c r="K377" s="206">
        <f t="shared" si="111"/>
        <v>0.1710578431</v>
      </c>
      <c r="L377" s="206">
        <f t="shared" si="111"/>
        <v>0.1670367647</v>
      </c>
      <c r="M377" s="206">
        <f t="shared" si="111"/>
        <v>0.1630156863</v>
      </c>
      <c r="N377" s="206">
        <f t="shared" si="111"/>
        <v>0.2592166667</v>
      </c>
      <c r="O377" s="5"/>
      <c r="P377" s="5"/>
      <c r="Q377" s="5"/>
      <c r="R377" s="5"/>
      <c r="S377" s="5"/>
      <c r="T377" s="5"/>
      <c r="U377" s="5"/>
      <c r="V377" s="5"/>
      <c r="W377" s="5"/>
      <c r="X377" s="5"/>
      <c r="Y377" s="5"/>
      <c r="Z377" s="5"/>
    </row>
    <row r="378" ht="12.0" customHeight="1">
      <c r="A378" s="201" t="s">
        <v>644</v>
      </c>
      <c r="B378" s="202"/>
      <c r="C378" s="202"/>
      <c r="D378" s="202"/>
      <c r="E378" s="202"/>
      <c r="F378" s="202"/>
      <c r="G378" s="202"/>
      <c r="H378" s="202"/>
      <c r="I378" s="202"/>
      <c r="J378" s="202"/>
      <c r="K378" s="202"/>
      <c r="L378" s="202"/>
      <c r="M378" s="202"/>
      <c r="N378" s="202"/>
      <c r="O378" s="5"/>
      <c r="P378" s="5"/>
      <c r="Q378" s="5"/>
      <c r="R378" s="5"/>
      <c r="S378" s="5"/>
      <c r="T378" s="5"/>
      <c r="U378" s="5"/>
      <c r="V378" s="5"/>
      <c r="W378" s="5"/>
      <c r="X378" s="5"/>
      <c r="Y378" s="5"/>
      <c r="Z378" s="5"/>
    </row>
    <row r="379" ht="12.0" customHeight="1">
      <c r="A379" s="201" t="s">
        <v>630</v>
      </c>
      <c r="B379" s="201" t="s">
        <v>631</v>
      </c>
      <c r="C379" s="201" t="s">
        <v>3</v>
      </c>
      <c r="D379" s="201" t="s">
        <v>4</v>
      </c>
      <c r="E379" s="201" t="s">
        <v>5</v>
      </c>
      <c r="F379" s="201" t="s">
        <v>6</v>
      </c>
      <c r="G379" s="201" t="s">
        <v>7</v>
      </c>
      <c r="H379" s="201" t="s">
        <v>8</v>
      </c>
      <c r="I379" s="201" t="s">
        <v>9</v>
      </c>
      <c r="J379" s="201" t="s">
        <v>10</v>
      </c>
      <c r="K379" s="201" t="s">
        <v>11</v>
      </c>
      <c r="L379" s="201" t="s">
        <v>12</v>
      </c>
      <c r="M379" s="201" t="s">
        <v>13</v>
      </c>
      <c r="N379" s="201" t="s">
        <v>14</v>
      </c>
      <c r="O379" s="5"/>
      <c r="P379" s="5"/>
      <c r="Q379" s="5"/>
      <c r="R379" s="5"/>
      <c r="S379" s="5"/>
      <c r="T379" s="5"/>
      <c r="U379" s="5"/>
      <c r="V379" s="5"/>
      <c r="W379" s="5"/>
      <c r="X379" s="5"/>
      <c r="Y379" s="5"/>
      <c r="Z379" s="5"/>
    </row>
    <row r="380" ht="12.0" customHeight="1">
      <c r="A380" s="92" t="s">
        <v>632</v>
      </c>
      <c r="B380" s="92" t="s">
        <v>633</v>
      </c>
      <c r="C380" s="203">
        <f>SUM('2028'!B6:B9)+SUM('2028'!B17:B20)</f>
        <v>2561.98</v>
      </c>
      <c r="D380" s="203">
        <f>SUM('2028'!C6:C9)+SUM('2028'!C17:C20)</f>
        <v>1962.5</v>
      </c>
      <c r="E380" s="203">
        <f>SUM('2028'!D6:D9)+SUM('2028'!D17:D20)</f>
        <v>1858.375</v>
      </c>
      <c r="F380" s="203">
        <f>SUM('2028'!E6:E9)+SUM('2028'!E17:E20)</f>
        <v>1785.805</v>
      </c>
      <c r="G380" s="203">
        <f>SUM('2028'!F6:F9)+SUM('2028'!F17:F20)</f>
        <v>1672.22</v>
      </c>
      <c r="H380" s="203">
        <f>SUM('2028'!G6:G9)+SUM('2028'!G17:G20)</f>
        <v>1631.205</v>
      </c>
      <c r="I380" s="203">
        <f>SUM('2028'!H6:H9)+SUM('2028'!H17:H20)</f>
        <v>1744.79</v>
      </c>
      <c r="J380" s="203">
        <f>SUM('2028'!I6:I9)+SUM('2028'!I17:I20)</f>
        <v>1744.79</v>
      </c>
      <c r="K380" s="203">
        <f>SUM('2028'!J6:J9)+SUM('2028'!J17:J20)</f>
        <v>1744.79</v>
      </c>
      <c r="L380" s="203">
        <f>SUM('2028'!K6:K9)+SUM('2028'!K17:K20)</f>
        <v>1703.775</v>
      </c>
      <c r="M380" s="203">
        <f>SUM('2028'!L6:L9)+SUM('2028'!L17:L20)</f>
        <v>1662.76</v>
      </c>
      <c r="N380" s="203">
        <f>SUM('2028'!M6:M9)+SUM('2028'!M17:M20)</f>
        <v>2644.01</v>
      </c>
      <c r="O380" s="5"/>
      <c r="P380" s="5"/>
      <c r="Q380" s="5"/>
      <c r="R380" s="5"/>
      <c r="S380" s="5"/>
      <c r="T380" s="5"/>
      <c r="U380" s="5"/>
      <c r="V380" s="5"/>
      <c r="W380" s="5"/>
      <c r="X380" s="5"/>
      <c r="Y380" s="5"/>
      <c r="Z380" s="5"/>
    </row>
    <row r="381" ht="12.0" customHeight="1">
      <c r="A381" s="5"/>
      <c r="B381" s="92" t="s">
        <v>634</v>
      </c>
      <c r="C381" s="204">
        <f>C380/Parametros!$B$37</f>
        <v>128.099</v>
      </c>
      <c r="D381" s="204">
        <f>D380/Parametros!$B$37</f>
        <v>98.125</v>
      </c>
      <c r="E381" s="204">
        <f>E380/Parametros!$B$37</f>
        <v>92.91875</v>
      </c>
      <c r="F381" s="204">
        <f>F380/Parametros!$B$37</f>
        <v>89.29025</v>
      </c>
      <c r="G381" s="204">
        <f>G380/Parametros!$B$37</f>
        <v>83.611</v>
      </c>
      <c r="H381" s="204">
        <f>H380/Parametros!$B$37</f>
        <v>81.56025</v>
      </c>
      <c r="I381" s="204">
        <f>I380/Parametros!$B$37</f>
        <v>87.2395</v>
      </c>
      <c r="J381" s="204">
        <f>J380/Parametros!$B$37</f>
        <v>87.2395</v>
      </c>
      <c r="K381" s="204">
        <f>K380/Parametros!$B$37</f>
        <v>87.2395</v>
      </c>
      <c r="L381" s="204">
        <f>L380/Parametros!$B$37</f>
        <v>85.18875</v>
      </c>
      <c r="M381" s="204">
        <f>M380/Parametros!$B$37</f>
        <v>83.138</v>
      </c>
      <c r="N381" s="204">
        <f>N380/Parametros!$B$37</f>
        <v>132.2005</v>
      </c>
      <c r="O381" s="5"/>
      <c r="P381" s="5"/>
      <c r="Q381" s="5"/>
      <c r="R381" s="5"/>
      <c r="S381" s="5"/>
      <c r="T381" s="5"/>
      <c r="U381" s="5"/>
      <c r="V381" s="5"/>
      <c r="W381" s="5"/>
      <c r="X381" s="5"/>
      <c r="Y381" s="5"/>
      <c r="Z381" s="5"/>
    </row>
    <row r="382" ht="12.0" customHeight="1">
      <c r="A382" s="5"/>
      <c r="B382" s="92" t="s">
        <v>635</v>
      </c>
      <c r="C382" s="204">
        <f>C381/Parametros!$J$37</f>
        <v>17.07986667</v>
      </c>
      <c r="D382" s="204">
        <f>D381/Parametros!$J$37</f>
        <v>13.08333333</v>
      </c>
      <c r="E382" s="204">
        <f>E381/Parametros!$J$37</f>
        <v>12.38916667</v>
      </c>
      <c r="F382" s="204">
        <f>F381/Parametros!$J$37</f>
        <v>11.90536667</v>
      </c>
      <c r="G382" s="204">
        <f>G381/Parametros!$J$37</f>
        <v>11.14813333</v>
      </c>
      <c r="H382" s="204">
        <f>H381/Parametros!$J$37</f>
        <v>10.8747</v>
      </c>
      <c r="I382" s="204">
        <f>I381/Parametros!$J$37</f>
        <v>11.63193333</v>
      </c>
      <c r="J382" s="204">
        <f>J381/Parametros!$J$37</f>
        <v>11.63193333</v>
      </c>
      <c r="K382" s="204">
        <f>K381/Parametros!$J$37</f>
        <v>11.63193333</v>
      </c>
      <c r="L382" s="204">
        <f>L381/Parametros!$J$37</f>
        <v>11.3585</v>
      </c>
      <c r="M382" s="204">
        <f>M381/Parametros!$J$37</f>
        <v>11.08506667</v>
      </c>
      <c r="N382" s="204">
        <f>N381/Parametros!$J$37</f>
        <v>17.62673333</v>
      </c>
      <c r="O382" s="5"/>
      <c r="P382" s="5"/>
      <c r="Q382" s="5"/>
      <c r="R382" s="5"/>
      <c r="S382" s="5"/>
      <c r="T382" s="5"/>
      <c r="U382" s="5"/>
      <c r="V382" s="5"/>
      <c r="W382" s="5"/>
      <c r="X382" s="5"/>
      <c r="Y382" s="5"/>
      <c r="Z382" s="5"/>
    </row>
    <row r="383" ht="12.0" customHeight="1">
      <c r="A383" s="92" t="s">
        <v>636</v>
      </c>
      <c r="B383" s="5"/>
      <c r="C383" s="204">
        <f t="shared" ref="C383:N383" si="112">C382</f>
        <v>17.07986667</v>
      </c>
      <c r="D383" s="204">
        <f t="shared" si="112"/>
        <v>13.08333333</v>
      </c>
      <c r="E383" s="204">
        <f t="shared" si="112"/>
        <v>12.38916667</v>
      </c>
      <c r="F383" s="204">
        <f t="shared" si="112"/>
        <v>11.90536667</v>
      </c>
      <c r="G383" s="204">
        <f t="shared" si="112"/>
        <v>11.14813333</v>
      </c>
      <c r="H383" s="204">
        <f t="shared" si="112"/>
        <v>10.8747</v>
      </c>
      <c r="I383" s="204">
        <f t="shared" si="112"/>
        <v>11.63193333</v>
      </c>
      <c r="J383" s="204">
        <f t="shared" si="112"/>
        <v>11.63193333</v>
      </c>
      <c r="K383" s="204">
        <f t="shared" si="112"/>
        <v>11.63193333</v>
      </c>
      <c r="L383" s="204">
        <f t="shared" si="112"/>
        <v>11.3585</v>
      </c>
      <c r="M383" s="204">
        <f t="shared" si="112"/>
        <v>11.08506667</v>
      </c>
      <c r="N383" s="204">
        <f t="shared" si="112"/>
        <v>17.62673333</v>
      </c>
      <c r="O383" s="5"/>
      <c r="P383" s="5"/>
      <c r="Q383" s="5"/>
      <c r="R383" s="5"/>
      <c r="S383" s="5"/>
      <c r="T383" s="5"/>
      <c r="U383" s="5"/>
      <c r="V383" s="5"/>
      <c r="W383" s="5"/>
      <c r="X383" s="5"/>
      <c r="Y383" s="5"/>
      <c r="Z383" s="5"/>
    </row>
    <row r="384" ht="12.0" customHeight="1">
      <c r="A384" s="92" t="s">
        <v>637</v>
      </c>
      <c r="B384" s="5"/>
      <c r="C384" s="205">
        <f>'Resumen Capacidad'!$D$112</f>
        <v>40.88</v>
      </c>
      <c r="D384" s="205">
        <f>'Resumen Capacidad'!$D$112</f>
        <v>40.88</v>
      </c>
      <c r="E384" s="205">
        <f>'Resumen Capacidad'!$D$112</f>
        <v>40.88</v>
      </c>
      <c r="F384" s="205">
        <f>'Resumen Capacidad'!$D$112</f>
        <v>40.88</v>
      </c>
      <c r="G384" s="205">
        <f>'Resumen Capacidad'!$D$112</f>
        <v>40.88</v>
      </c>
      <c r="H384" s="205">
        <f>'Resumen Capacidad'!$D$112</f>
        <v>40.88</v>
      </c>
      <c r="I384" s="205">
        <f>'Resumen Capacidad'!$D$112</f>
        <v>40.88</v>
      </c>
      <c r="J384" s="205">
        <f>'Resumen Capacidad'!$D$112</f>
        <v>40.88</v>
      </c>
      <c r="K384" s="205">
        <f>'Resumen Capacidad'!$D$112</f>
        <v>40.88</v>
      </c>
      <c r="L384" s="205">
        <f>'Resumen Capacidad'!$D$112</f>
        <v>40.88</v>
      </c>
      <c r="M384" s="205">
        <f>'Resumen Capacidad'!$D$112</f>
        <v>40.88</v>
      </c>
      <c r="N384" s="205">
        <f>'Resumen Capacidad'!$D$112</f>
        <v>40.88</v>
      </c>
      <c r="O384" s="5"/>
      <c r="P384" s="5"/>
      <c r="Q384" s="5"/>
      <c r="R384" s="5"/>
      <c r="S384" s="5"/>
      <c r="T384" s="5"/>
      <c r="U384" s="5"/>
      <c r="V384" s="5"/>
      <c r="W384" s="5"/>
      <c r="X384" s="5"/>
      <c r="Y384" s="5"/>
      <c r="Z384" s="5"/>
    </row>
    <row r="385" ht="12.0" customHeight="1">
      <c r="A385" s="92" t="s">
        <v>640</v>
      </c>
      <c r="B385" s="5"/>
      <c r="C385" s="204">
        <f>'Resumen Capacidad'!$D$30*'Resumen Capacidad'!$D$66</f>
        <v>1</v>
      </c>
      <c r="D385" s="204">
        <f>'Resumen Capacidad'!$D$30*'Resumen Capacidad'!$D$66</f>
        <v>1</v>
      </c>
      <c r="E385" s="204">
        <f>'Resumen Capacidad'!$D$30*'Resumen Capacidad'!$D$66</f>
        <v>1</v>
      </c>
      <c r="F385" s="204">
        <f>'Resumen Capacidad'!$D$30*'Resumen Capacidad'!$D$66</f>
        <v>1</v>
      </c>
      <c r="G385" s="204">
        <f>'Resumen Capacidad'!$D$30*'Resumen Capacidad'!$D$66</f>
        <v>1</v>
      </c>
      <c r="H385" s="204">
        <f>'Resumen Capacidad'!$D$30*'Resumen Capacidad'!$D$66</f>
        <v>1</v>
      </c>
      <c r="I385" s="204">
        <f>'Resumen Capacidad'!$D$30*'Resumen Capacidad'!$D$66</f>
        <v>1</v>
      </c>
      <c r="J385" s="204">
        <f>'Resumen Capacidad'!$D$30*'Resumen Capacidad'!$D$66</f>
        <v>1</v>
      </c>
      <c r="K385" s="204">
        <f>'Resumen Capacidad'!$D$30*'Resumen Capacidad'!$D$66</f>
        <v>1</v>
      </c>
      <c r="L385" s="204">
        <f>'Resumen Capacidad'!$D$30*'Resumen Capacidad'!$D$66</f>
        <v>1</v>
      </c>
      <c r="M385" s="204">
        <f>'Resumen Capacidad'!$D$30*'Resumen Capacidad'!$D$66</f>
        <v>1</v>
      </c>
      <c r="N385" s="204">
        <f>'Resumen Capacidad'!$D$30*'Resumen Capacidad'!$D$66</f>
        <v>1</v>
      </c>
      <c r="O385" s="5"/>
      <c r="P385" s="5"/>
      <c r="Q385" s="5"/>
      <c r="R385" s="5"/>
      <c r="S385" s="5"/>
      <c r="T385" s="5"/>
      <c r="U385" s="5"/>
      <c r="V385" s="5"/>
      <c r="W385" s="5"/>
      <c r="X385" s="5"/>
      <c r="Y385" s="5"/>
      <c r="Z385" s="5"/>
    </row>
    <row r="386" ht="12.0" customHeight="1">
      <c r="A386" s="92" t="s">
        <v>642</v>
      </c>
      <c r="B386" s="5"/>
      <c r="C386" s="204">
        <f t="shared" ref="C386:N386" si="113">C384*C385</f>
        <v>40.88</v>
      </c>
      <c r="D386" s="204">
        <f t="shared" si="113"/>
        <v>40.88</v>
      </c>
      <c r="E386" s="204">
        <f t="shared" si="113"/>
        <v>40.88</v>
      </c>
      <c r="F386" s="204">
        <f t="shared" si="113"/>
        <v>40.88</v>
      </c>
      <c r="G386" s="204">
        <f t="shared" si="113"/>
        <v>40.88</v>
      </c>
      <c r="H386" s="204">
        <f t="shared" si="113"/>
        <v>40.88</v>
      </c>
      <c r="I386" s="204">
        <f t="shared" si="113"/>
        <v>40.88</v>
      </c>
      <c r="J386" s="204">
        <f t="shared" si="113"/>
        <v>40.88</v>
      </c>
      <c r="K386" s="204">
        <f t="shared" si="113"/>
        <v>40.88</v>
      </c>
      <c r="L386" s="204">
        <f t="shared" si="113"/>
        <v>40.88</v>
      </c>
      <c r="M386" s="204">
        <f t="shared" si="113"/>
        <v>40.88</v>
      </c>
      <c r="N386" s="204">
        <f t="shared" si="113"/>
        <v>40.88</v>
      </c>
      <c r="O386" s="5"/>
      <c r="P386" s="5"/>
      <c r="Q386" s="5"/>
      <c r="R386" s="5"/>
      <c r="S386" s="5"/>
      <c r="T386" s="5"/>
      <c r="U386" s="5"/>
      <c r="V386" s="5"/>
      <c r="W386" s="5"/>
      <c r="X386" s="5"/>
      <c r="Y386" s="5"/>
      <c r="Z386" s="5"/>
    </row>
    <row r="387" ht="12.0" customHeight="1">
      <c r="A387" s="92" t="s">
        <v>643</v>
      </c>
      <c r="B387" s="5"/>
      <c r="C387" s="206">
        <f t="shared" ref="C387:N387" si="114">IF(C386=0,0,C383/C386)</f>
        <v>0.4178049576</v>
      </c>
      <c r="D387" s="206">
        <f t="shared" si="114"/>
        <v>0.3200424005</v>
      </c>
      <c r="E387" s="206">
        <f t="shared" si="114"/>
        <v>0.3030618069</v>
      </c>
      <c r="F387" s="206">
        <f t="shared" si="114"/>
        <v>0.2912271689</v>
      </c>
      <c r="G387" s="206">
        <f t="shared" si="114"/>
        <v>0.2727038487</v>
      </c>
      <c r="H387" s="206">
        <f t="shared" si="114"/>
        <v>0.2660151663</v>
      </c>
      <c r="I387" s="206">
        <f t="shared" si="114"/>
        <v>0.2845384866</v>
      </c>
      <c r="J387" s="206">
        <f t="shared" si="114"/>
        <v>0.2845384866</v>
      </c>
      <c r="K387" s="206">
        <f t="shared" si="114"/>
        <v>0.2845384866</v>
      </c>
      <c r="L387" s="206">
        <f t="shared" si="114"/>
        <v>0.2778498043</v>
      </c>
      <c r="M387" s="206">
        <f t="shared" si="114"/>
        <v>0.271161122</v>
      </c>
      <c r="N387" s="206">
        <f t="shared" si="114"/>
        <v>0.4311823222</v>
      </c>
      <c r="O387" s="5"/>
      <c r="P387" s="5"/>
      <c r="Q387" s="5"/>
      <c r="R387" s="5"/>
      <c r="S387" s="5"/>
      <c r="T387" s="5"/>
      <c r="U387" s="5"/>
      <c r="V387" s="5"/>
      <c r="W387" s="5"/>
      <c r="X387" s="5"/>
      <c r="Y387" s="5"/>
      <c r="Z387" s="5"/>
    </row>
    <row r="388" ht="12.0" customHeight="1">
      <c r="A388" s="201" t="s">
        <v>646</v>
      </c>
      <c r="B388" s="202"/>
      <c r="C388" s="202"/>
      <c r="D388" s="202"/>
      <c r="E388" s="202"/>
      <c r="F388" s="202"/>
      <c r="G388" s="202"/>
      <c r="H388" s="202"/>
      <c r="I388" s="202"/>
      <c r="J388" s="202"/>
      <c r="K388" s="202"/>
      <c r="L388" s="202"/>
      <c r="M388" s="202"/>
      <c r="N388" s="202"/>
      <c r="O388" s="5"/>
      <c r="P388" s="5"/>
      <c r="Q388" s="5"/>
      <c r="R388" s="5"/>
      <c r="S388" s="5"/>
      <c r="T388" s="5"/>
      <c r="U388" s="5"/>
      <c r="V388" s="5"/>
      <c r="W388" s="5"/>
      <c r="X388" s="5"/>
      <c r="Y388" s="5"/>
      <c r="Z388" s="5"/>
    </row>
    <row r="389" ht="12.0" customHeight="1">
      <c r="A389" s="201" t="s">
        <v>630</v>
      </c>
      <c r="B389" s="201" t="s">
        <v>631</v>
      </c>
      <c r="C389" s="201" t="s">
        <v>3</v>
      </c>
      <c r="D389" s="201" t="s">
        <v>4</v>
      </c>
      <c r="E389" s="201" t="s">
        <v>5</v>
      </c>
      <c r="F389" s="201" t="s">
        <v>6</v>
      </c>
      <c r="G389" s="201" t="s">
        <v>7</v>
      </c>
      <c r="H389" s="201" t="s">
        <v>8</v>
      </c>
      <c r="I389" s="201" t="s">
        <v>9</v>
      </c>
      <c r="J389" s="201" t="s">
        <v>10</v>
      </c>
      <c r="K389" s="201" t="s">
        <v>11</v>
      </c>
      <c r="L389" s="201" t="s">
        <v>12</v>
      </c>
      <c r="M389" s="201" t="s">
        <v>13</v>
      </c>
      <c r="N389" s="201" t="s">
        <v>14</v>
      </c>
      <c r="O389" s="5"/>
      <c r="P389" s="5"/>
      <c r="Q389" s="5"/>
      <c r="R389" s="5"/>
      <c r="S389" s="5"/>
      <c r="T389" s="5"/>
      <c r="U389" s="5"/>
      <c r="V389" s="5"/>
      <c r="W389" s="5"/>
      <c r="X389" s="5"/>
      <c r="Y389" s="5"/>
      <c r="Z389" s="5"/>
    </row>
    <row r="390" ht="12.0" customHeight="1">
      <c r="A390" s="92" t="s">
        <v>647</v>
      </c>
      <c r="B390" s="92" t="s">
        <v>633</v>
      </c>
      <c r="C390" s="203">
        <f>(SUM('2028'!B6:B9)+SUM('2028'!B17:B20))*2</f>
        <v>5123.96</v>
      </c>
      <c r="D390" s="203">
        <f>(SUM('2028'!C6:C9)+SUM('2028'!C17:C20))*2</f>
        <v>3925</v>
      </c>
      <c r="E390" s="203">
        <f>(SUM('2028'!D6:D9)+SUM('2028'!D17:D20))*2</f>
        <v>3716.75</v>
      </c>
      <c r="F390" s="203">
        <f>(SUM('2028'!E6:E9)+SUM('2028'!E17:E20))*2</f>
        <v>3571.61</v>
      </c>
      <c r="G390" s="203">
        <f>(SUM('2028'!F6:F9)+SUM('2028'!F17:F20))*2</f>
        <v>3344.44</v>
      </c>
      <c r="H390" s="203">
        <f>(SUM('2028'!G6:G9)+SUM('2028'!G17:G20))*2</f>
        <v>3262.41</v>
      </c>
      <c r="I390" s="203">
        <f>(SUM('2028'!H6:H9)+SUM('2028'!H17:H20))*2</f>
        <v>3489.58</v>
      </c>
      <c r="J390" s="203">
        <f>(SUM('2028'!I6:I9)+SUM('2028'!I17:I20))*2</f>
        <v>3489.58</v>
      </c>
      <c r="K390" s="203">
        <f>(SUM('2028'!J6:J9)+SUM('2028'!J17:J20))*2</f>
        <v>3489.58</v>
      </c>
      <c r="L390" s="203">
        <f>(SUM('2028'!K6:K9)+SUM('2028'!K17:K20))*2</f>
        <v>3407.55</v>
      </c>
      <c r="M390" s="203">
        <f>(SUM('2028'!L6:L9)+SUM('2028'!L17:L20))*2</f>
        <v>3325.52</v>
      </c>
      <c r="N390" s="203">
        <f>(SUM('2028'!M6:M9)+SUM('2028'!M17:M20))*2</f>
        <v>5288.02</v>
      </c>
      <c r="O390" s="5"/>
      <c r="P390" s="5"/>
      <c r="Q390" s="5"/>
      <c r="R390" s="5"/>
      <c r="S390" s="5"/>
      <c r="T390" s="5"/>
      <c r="U390" s="5"/>
      <c r="V390" s="5"/>
      <c r="W390" s="5"/>
      <c r="X390" s="5"/>
      <c r="Y390" s="5"/>
      <c r="Z390" s="5"/>
    </row>
    <row r="391" ht="12.0" customHeight="1">
      <c r="A391" s="5"/>
      <c r="B391" s="92" t="s">
        <v>634</v>
      </c>
      <c r="C391" s="204">
        <f>C390/Parametros!$B$37</f>
        <v>256.198</v>
      </c>
      <c r="D391" s="204">
        <f>D390/Parametros!$B$37</f>
        <v>196.25</v>
      </c>
      <c r="E391" s="204">
        <f>E390/Parametros!$B$37</f>
        <v>185.8375</v>
      </c>
      <c r="F391" s="204">
        <f>F390/Parametros!$B$37</f>
        <v>178.5805</v>
      </c>
      <c r="G391" s="204">
        <f>G390/Parametros!$B$37</f>
        <v>167.222</v>
      </c>
      <c r="H391" s="204">
        <f>H390/Parametros!$B$37</f>
        <v>163.1205</v>
      </c>
      <c r="I391" s="204">
        <f>I390/Parametros!$B$37</f>
        <v>174.479</v>
      </c>
      <c r="J391" s="204">
        <f>J390/Parametros!$B$37</f>
        <v>174.479</v>
      </c>
      <c r="K391" s="204">
        <f>K390/Parametros!$B$37</f>
        <v>174.479</v>
      </c>
      <c r="L391" s="204">
        <f>L390/Parametros!$B$37</f>
        <v>170.3775</v>
      </c>
      <c r="M391" s="204">
        <f>M390/Parametros!$B$37</f>
        <v>166.276</v>
      </c>
      <c r="N391" s="204">
        <f>N390/Parametros!$B$37</f>
        <v>264.401</v>
      </c>
      <c r="O391" s="5"/>
      <c r="P391" s="5"/>
      <c r="Q391" s="5"/>
      <c r="R391" s="5"/>
      <c r="S391" s="5"/>
      <c r="T391" s="5"/>
      <c r="U391" s="5"/>
      <c r="V391" s="5"/>
      <c r="W391" s="5"/>
      <c r="X391" s="5"/>
      <c r="Y391" s="5"/>
      <c r="Z391" s="5"/>
    </row>
    <row r="392" ht="12.0" customHeight="1">
      <c r="A392" s="5"/>
      <c r="B392" s="92" t="s">
        <v>635</v>
      </c>
      <c r="C392" s="204">
        <f>C391/Parametros!$J$37</f>
        <v>34.15973333</v>
      </c>
      <c r="D392" s="204">
        <f>D391/Parametros!$J$37</f>
        <v>26.16666667</v>
      </c>
      <c r="E392" s="204">
        <f>E391/Parametros!$J$37</f>
        <v>24.77833333</v>
      </c>
      <c r="F392" s="204">
        <f>F391/Parametros!$J$37</f>
        <v>23.81073333</v>
      </c>
      <c r="G392" s="204">
        <f>G391/Parametros!$J$37</f>
        <v>22.29626667</v>
      </c>
      <c r="H392" s="204">
        <f>H391/Parametros!$J$37</f>
        <v>21.7494</v>
      </c>
      <c r="I392" s="204">
        <f>I391/Parametros!$J$37</f>
        <v>23.26386667</v>
      </c>
      <c r="J392" s="204">
        <f>J391/Parametros!$J$37</f>
        <v>23.26386667</v>
      </c>
      <c r="K392" s="204">
        <f>K391/Parametros!$J$37</f>
        <v>23.26386667</v>
      </c>
      <c r="L392" s="204">
        <f>L391/Parametros!$J$37</f>
        <v>22.717</v>
      </c>
      <c r="M392" s="204">
        <f>M391/Parametros!$J$37</f>
        <v>22.17013333</v>
      </c>
      <c r="N392" s="204">
        <f>N391/Parametros!$J$37</f>
        <v>35.25346667</v>
      </c>
      <c r="O392" s="5"/>
      <c r="P392" s="5"/>
      <c r="Q392" s="5"/>
      <c r="R392" s="5"/>
      <c r="S392" s="5"/>
      <c r="T392" s="5"/>
      <c r="U392" s="5"/>
      <c r="V392" s="5"/>
      <c r="W392" s="5"/>
      <c r="X392" s="5"/>
      <c r="Y392" s="5"/>
      <c r="Z392" s="5"/>
    </row>
    <row r="393" ht="12.0" customHeight="1">
      <c r="A393" s="92" t="s">
        <v>636</v>
      </c>
      <c r="B393" s="5"/>
      <c r="C393" s="204">
        <f t="shared" ref="C393:N393" si="115">C392</f>
        <v>34.15973333</v>
      </c>
      <c r="D393" s="204">
        <f t="shared" si="115"/>
        <v>26.16666667</v>
      </c>
      <c r="E393" s="204">
        <f t="shared" si="115"/>
        <v>24.77833333</v>
      </c>
      <c r="F393" s="204">
        <f t="shared" si="115"/>
        <v>23.81073333</v>
      </c>
      <c r="G393" s="204">
        <f t="shared" si="115"/>
        <v>22.29626667</v>
      </c>
      <c r="H393" s="204">
        <f t="shared" si="115"/>
        <v>21.7494</v>
      </c>
      <c r="I393" s="204">
        <f t="shared" si="115"/>
        <v>23.26386667</v>
      </c>
      <c r="J393" s="204">
        <f t="shared" si="115"/>
        <v>23.26386667</v>
      </c>
      <c r="K393" s="204">
        <f t="shared" si="115"/>
        <v>23.26386667</v>
      </c>
      <c r="L393" s="204">
        <f t="shared" si="115"/>
        <v>22.717</v>
      </c>
      <c r="M393" s="204">
        <f t="shared" si="115"/>
        <v>22.17013333</v>
      </c>
      <c r="N393" s="204">
        <f t="shared" si="115"/>
        <v>35.25346667</v>
      </c>
      <c r="O393" s="5"/>
      <c r="P393" s="5"/>
      <c r="Q393" s="5"/>
      <c r="R393" s="5"/>
      <c r="S393" s="5"/>
      <c r="T393" s="5"/>
      <c r="U393" s="5"/>
      <c r="V393" s="5"/>
      <c r="W393" s="5"/>
      <c r="X393" s="5"/>
      <c r="Y393" s="5"/>
      <c r="Z393" s="5"/>
    </row>
    <row r="394" ht="12.0" customHeight="1">
      <c r="A394" s="92" t="s">
        <v>637</v>
      </c>
      <c r="B394" s="5"/>
      <c r="C394" s="205">
        <f>'Resumen Capacidad'!$D$113</f>
        <v>466.5116279</v>
      </c>
      <c r="D394" s="205">
        <f>'Resumen Capacidad'!$D$113</f>
        <v>466.5116279</v>
      </c>
      <c r="E394" s="205">
        <f>'Resumen Capacidad'!$D$113</f>
        <v>466.5116279</v>
      </c>
      <c r="F394" s="205">
        <f>'Resumen Capacidad'!$D$113</f>
        <v>466.5116279</v>
      </c>
      <c r="G394" s="205">
        <f>'Resumen Capacidad'!$D$113</f>
        <v>466.5116279</v>
      </c>
      <c r="H394" s="205">
        <f>'Resumen Capacidad'!$D$113</f>
        <v>466.5116279</v>
      </c>
      <c r="I394" s="205">
        <f>'Resumen Capacidad'!$D$113</f>
        <v>466.5116279</v>
      </c>
      <c r="J394" s="205">
        <f>'Resumen Capacidad'!$D$113</f>
        <v>466.5116279</v>
      </c>
      <c r="K394" s="205">
        <f>'Resumen Capacidad'!$D$113</f>
        <v>466.5116279</v>
      </c>
      <c r="L394" s="205">
        <f>'Resumen Capacidad'!$D$113</f>
        <v>466.5116279</v>
      </c>
      <c r="M394" s="205">
        <f>'Resumen Capacidad'!$D$113</f>
        <v>466.5116279</v>
      </c>
      <c r="N394" s="205">
        <f>'Resumen Capacidad'!$D$113</f>
        <v>466.5116279</v>
      </c>
      <c r="O394" s="5"/>
      <c r="P394" s="5"/>
      <c r="Q394" s="5"/>
      <c r="R394" s="5"/>
      <c r="S394" s="5"/>
      <c r="T394" s="5"/>
      <c r="U394" s="5"/>
      <c r="V394" s="5"/>
      <c r="W394" s="5"/>
      <c r="X394" s="5"/>
      <c r="Y394" s="5"/>
      <c r="Z394" s="5"/>
    </row>
    <row r="395" ht="12.0" customHeight="1">
      <c r="A395" s="92" t="s">
        <v>640</v>
      </c>
      <c r="B395" s="5"/>
      <c r="C395" s="204">
        <f>'Resumen Capacidad'!$D$31*'Resumen Capacidad'!$D$67</f>
        <v>1</v>
      </c>
      <c r="D395" s="204">
        <f>'Resumen Capacidad'!$D$31*'Resumen Capacidad'!$D$67</f>
        <v>1</v>
      </c>
      <c r="E395" s="204">
        <f>'Resumen Capacidad'!$D$31*'Resumen Capacidad'!$D$67</f>
        <v>1</v>
      </c>
      <c r="F395" s="204">
        <f>'Resumen Capacidad'!$D$31*'Resumen Capacidad'!$D$67</f>
        <v>1</v>
      </c>
      <c r="G395" s="204">
        <f>'Resumen Capacidad'!$D$31*'Resumen Capacidad'!$D$67</f>
        <v>1</v>
      </c>
      <c r="H395" s="204">
        <f>'Resumen Capacidad'!$D$31*'Resumen Capacidad'!$D$67</f>
        <v>1</v>
      </c>
      <c r="I395" s="204">
        <f>'Resumen Capacidad'!$D$31*'Resumen Capacidad'!$D$67</f>
        <v>1</v>
      </c>
      <c r="J395" s="204">
        <f>'Resumen Capacidad'!$D$31*'Resumen Capacidad'!$D$67</f>
        <v>1</v>
      </c>
      <c r="K395" s="204">
        <f>'Resumen Capacidad'!$D$31*'Resumen Capacidad'!$D$67</f>
        <v>1</v>
      </c>
      <c r="L395" s="204">
        <f>'Resumen Capacidad'!$D$31*'Resumen Capacidad'!$D$67</f>
        <v>1</v>
      </c>
      <c r="M395" s="204">
        <f>'Resumen Capacidad'!$D$31*'Resumen Capacidad'!$D$67</f>
        <v>1</v>
      </c>
      <c r="N395" s="204">
        <f>'Resumen Capacidad'!$D$31*'Resumen Capacidad'!$D$67</f>
        <v>1</v>
      </c>
      <c r="O395" s="5"/>
      <c r="P395" s="5"/>
      <c r="Q395" s="5"/>
      <c r="R395" s="5"/>
      <c r="S395" s="5"/>
      <c r="T395" s="5"/>
      <c r="U395" s="5"/>
      <c r="V395" s="5"/>
      <c r="W395" s="5"/>
      <c r="X395" s="5"/>
      <c r="Y395" s="5"/>
      <c r="Z395" s="5"/>
    </row>
    <row r="396" ht="12.0" customHeight="1">
      <c r="A396" s="92" t="s">
        <v>642</v>
      </c>
      <c r="B396" s="5"/>
      <c r="C396" s="204">
        <f t="shared" ref="C396:N396" si="116">C394*C395</f>
        <v>466.5116279</v>
      </c>
      <c r="D396" s="204">
        <f t="shared" si="116"/>
        <v>466.5116279</v>
      </c>
      <c r="E396" s="204">
        <f t="shared" si="116"/>
        <v>466.5116279</v>
      </c>
      <c r="F396" s="204">
        <f t="shared" si="116"/>
        <v>466.5116279</v>
      </c>
      <c r="G396" s="204">
        <f t="shared" si="116"/>
        <v>466.5116279</v>
      </c>
      <c r="H396" s="204">
        <f t="shared" si="116"/>
        <v>466.5116279</v>
      </c>
      <c r="I396" s="204">
        <f t="shared" si="116"/>
        <v>466.5116279</v>
      </c>
      <c r="J396" s="204">
        <f t="shared" si="116"/>
        <v>466.5116279</v>
      </c>
      <c r="K396" s="204">
        <f t="shared" si="116"/>
        <v>466.5116279</v>
      </c>
      <c r="L396" s="204">
        <f t="shared" si="116"/>
        <v>466.5116279</v>
      </c>
      <c r="M396" s="204">
        <f t="shared" si="116"/>
        <v>466.5116279</v>
      </c>
      <c r="N396" s="204">
        <f t="shared" si="116"/>
        <v>466.5116279</v>
      </c>
      <c r="O396" s="5"/>
      <c r="P396" s="5"/>
      <c r="Q396" s="5"/>
      <c r="R396" s="5"/>
      <c r="S396" s="5"/>
      <c r="T396" s="5"/>
      <c r="U396" s="5"/>
      <c r="V396" s="5"/>
      <c r="W396" s="5"/>
      <c r="X396" s="5"/>
      <c r="Y396" s="5"/>
      <c r="Z396" s="5"/>
    </row>
    <row r="397" ht="12.0" customHeight="1">
      <c r="A397" s="92" t="s">
        <v>643</v>
      </c>
      <c r="B397" s="5"/>
      <c r="C397" s="206">
        <f t="shared" ref="C397:N397" si="117">IF(C396=0,0,C393/C396)</f>
        <v>0.0732237554</v>
      </c>
      <c r="D397" s="206">
        <f t="shared" si="117"/>
        <v>0.05609006314</v>
      </c>
      <c r="E397" s="206">
        <f t="shared" si="117"/>
        <v>0.05311407444</v>
      </c>
      <c r="F397" s="206">
        <f t="shared" si="117"/>
        <v>0.0510399568</v>
      </c>
      <c r="G397" s="206">
        <f t="shared" si="117"/>
        <v>0.04779359256</v>
      </c>
      <c r="H397" s="206">
        <f t="shared" si="117"/>
        <v>0.04662134596</v>
      </c>
      <c r="I397" s="206">
        <f t="shared" si="117"/>
        <v>0.0498677102</v>
      </c>
      <c r="J397" s="206">
        <f t="shared" si="117"/>
        <v>0.0498677102</v>
      </c>
      <c r="K397" s="206">
        <f t="shared" si="117"/>
        <v>0.0498677102</v>
      </c>
      <c r="L397" s="206">
        <f t="shared" si="117"/>
        <v>0.04869546361</v>
      </c>
      <c r="M397" s="206">
        <f t="shared" si="117"/>
        <v>0.04752321702</v>
      </c>
      <c r="N397" s="206">
        <f t="shared" si="117"/>
        <v>0.07556824859</v>
      </c>
      <c r="O397" s="5"/>
      <c r="P397" s="5"/>
      <c r="Q397" s="5"/>
      <c r="R397" s="5"/>
      <c r="S397" s="5"/>
      <c r="T397" s="5"/>
      <c r="U397" s="5"/>
      <c r="V397" s="5"/>
      <c r="W397" s="5"/>
      <c r="X397" s="5"/>
      <c r="Y397" s="5"/>
      <c r="Z397" s="5"/>
    </row>
    <row r="398" ht="12.0" customHeight="1">
      <c r="A398" s="201" t="s">
        <v>649</v>
      </c>
      <c r="B398" s="202"/>
      <c r="C398" s="202"/>
      <c r="D398" s="202"/>
      <c r="E398" s="202"/>
      <c r="F398" s="202"/>
      <c r="G398" s="202"/>
      <c r="H398" s="202"/>
      <c r="I398" s="202"/>
      <c r="J398" s="202"/>
      <c r="K398" s="202"/>
      <c r="L398" s="202"/>
      <c r="M398" s="202"/>
      <c r="N398" s="202"/>
      <c r="O398" s="5"/>
      <c r="P398" s="5"/>
      <c r="Q398" s="5"/>
      <c r="R398" s="5"/>
      <c r="S398" s="5"/>
      <c r="T398" s="5"/>
      <c r="U398" s="5"/>
      <c r="V398" s="5"/>
      <c r="W398" s="5"/>
      <c r="X398" s="5"/>
      <c r="Y398" s="5"/>
      <c r="Z398" s="5"/>
    </row>
    <row r="399" ht="12.0" customHeight="1">
      <c r="A399" s="201" t="s">
        <v>630</v>
      </c>
      <c r="B399" s="201" t="s">
        <v>631</v>
      </c>
      <c r="C399" s="201" t="s">
        <v>3</v>
      </c>
      <c r="D399" s="201" t="s">
        <v>4</v>
      </c>
      <c r="E399" s="201" t="s">
        <v>5</v>
      </c>
      <c r="F399" s="201" t="s">
        <v>6</v>
      </c>
      <c r="G399" s="201" t="s">
        <v>7</v>
      </c>
      <c r="H399" s="201" t="s">
        <v>8</v>
      </c>
      <c r="I399" s="201" t="s">
        <v>9</v>
      </c>
      <c r="J399" s="201" t="s">
        <v>10</v>
      </c>
      <c r="K399" s="201" t="s">
        <v>11</v>
      </c>
      <c r="L399" s="201" t="s">
        <v>12</v>
      </c>
      <c r="M399" s="201" t="s">
        <v>13</v>
      </c>
      <c r="N399" s="201" t="s">
        <v>14</v>
      </c>
      <c r="O399" s="5"/>
      <c r="P399" s="5"/>
      <c r="Q399" s="5"/>
      <c r="R399" s="5"/>
      <c r="S399" s="5"/>
      <c r="T399" s="5"/>
      <c r="U399" s="5"/>
      <c r="V399" s="5"/>
      <c r="W399" s="5"/>
      <c r="X399" s="5"/>
      <c r="Y399" s="5"/>
      <c r="Z399" s="5"/>
    </row>
    <row r="400" ht="12.0" customHeight="1">
      <c r="A400" s="92" t="s">
        <v>632</v>
      </c>
      <c r="B400" s="92" t="s">
        <v>633</v>
      </c>
      <c r="C400" s="203">
        <f>SUM('2028'!B6:B9)+SUM('2028'!B17:B20)</f>
        <v>2561.98</v>
      </c>
      <c r="D400" s="203">
        <f>SUM('2028'!C6:C9)+SUM('2028'!C17:C20)</f>
        <v>1962.5</v>
      </c>
      <c r="E400" s="203">
        <f>SUM('2028'!D6:D9)+SUM('2028'!D17:D20)</f>
        <v>1858.375</v>
      </c>
      <c r="F400" s="203">
        <f>SUM('2028'!E6:E9)+SUM('2028'!E17:E20)</f>
        <v>1785.805</v>
      </c>
      <c r="G400" s="203">
        <f>SUM('2028'!F6:F9)+SUM('2028'!F17:F20)</f>
        <v>1672.22</v>
      </c>
      <c r="H400" s="203">
        <f>SUM('2028'!G6:G9)+SUM('2028'!G17:G20)</f>
        <v>1631.205</v>
      </c>
      <c r="I400" s="203">
        <f>SUM('2028'!H6:H9)+SUM('2028'!H17:H20)</f>
        <v>1744.79</v>
      </c>
      <c r="J400" s="203">
        <f>SUM('2028'!I6:I9)+SUM('2028'!I17:I20)</f>
        <v>1744.79</v>
      </c>
      <c r="K400" s="203">
        <f>SUM('2028'!J6:J9)+SUM('2028'!J17:J20)</f>
        <v>1744.79</v>
      </c>
      <c r="L400" s="203">
        <f>SUM('2028'!K6:K9)+SUM('2028'!K17:K20)</f>
        <v>1703.775</v>
      </c>
      <c r="M400" s="203">
        <f>SUM('2028'!L6:L9)+SUM('2028'!L17:L20)</f>
        <v>1662.76</v>
      </c>
      <c r="N400" s="203">
        <f>SUM('2028'!M6:M9)+SUM('2028'!M17:M20)</f>
        <v>2644.01</v>
      </c>
      <c r="O400" s="5"/>
      <c r="P400" s="5"/>
      <c r="Q400" s="5"/>
      <c r="R400" s="5"/>
      <c r="S400" s="5"/>
      <c r="T400" s="5"/>
      <c r="U400" s="5"/>
      <c r="V400" s="5"/>
      <c r="W400" s="5"/>
      <c r="X400" s="5"/>
      <c r="Y400" s="5"/>
      <c r="Z400" s="5"/>
    </row>
    <row r="401" ht="12.0" customHeight="1">
      <c r="A401" s="5"/>
      <c r="B401" s="92" t="s">
        <v>634</v>
      </c>
      <c r="C401" s="204">
        <f>C400/Parametros!$B$37</f>
        <v>128.099</v>
      </c>
      <c r="D401" s="204">
        <f>D400/Parametros!$B$37</f>
        <v>98.125</v>
      </c>
      <c r="E401" s="204">
        <f>E400/Parametros!$B$37</f>
        <v>92.91875</v>
      </c>
      <c r="F401" s="204">
        <f>F400/Parametros!$B$37</f>
        <v>89.29025</v>
      </c>
      <c r="G401" s="204">
        <f>G400/Parametros!$B$37</f>
        <v>83.611</v>
      </c>
      <c r="H401" s="204">
        <f>H400/Parametros!$B$37</f>
        <v>81.56025</v>
      </c>
      <c r="I401" s="204">
        <f>I400/Parametros!$B$37</f>
        <v>87.2395</v>
      </c>
      <c r="J401" s="204">
        <f>J400/Parametros!$B$37</f>
        <v>87.2395</v>
      </c>
      <c r="K401" s="204">
        <f>K400/Parametros!$B$37</f>
        <v>87.2395</v>
      </c>
      <c r="L401" s="204">
        <f>L400/Parametros!$B$37</f>
        <v>85.18875</v>
      </c>
      <c r="M401" s="204">
        <f>M400/Parametros!$B$37</f>
        <v>83.138</v>
      </c>
      <c r="N401" s="204">
        <f>N400/Parametros!$B$37</f>
        <v>132.2005</v>
      </c>
      <c r="O401" s="5"/>
      <c r="P401" s="5"/>
      <c r="Q401" s="5"/>
      <c r="R401" s="5"/>
      <c r="S401" s="5"/>
      <c r="T401" s="5"/>
      <c r="U401" s="5"/>
      <c r="V401" s="5"/>
      <c r="W401" s="5"/>
      <c r="X401" s="5"/>
      <c r="Y401" s="5"/>
      <c r="Z401" s="5"/>
    </row>
    <row r="402" ht="12.0" customHeight="1">
      <c r="A402" s="5"/>
      <c r="B402" s="92" t="s">
        <v>635</v>
      </c>
      <c r="C402" s="204">
        <f>C401/Parametros!$J$37</f>
        <v>17.07986667</v>
      </c>
      <c r="D402" s="204">
        <f>D401/Parametros!$J$37</f>
        <v>13.08333333</v>
      </c>
      <c r="E402" s="204">
        <f>E401/Parametros!$J$37</f>
        <v>12.38916667</v>
      </c>
      <c r="F402" s="204">
        <f>F401/Parametros!$J$37</f>
        <v>11.90536667</v>
      </c>
      <c r="G402" s="204">
        <f>G401/Parametros!$J$37</f>
        <v>11.14813333</v>
      </c>
      <c r="H402" s="204">
        <f>H401/Parametros!$J$37</f>
        <v>10.8747</v>
      </c>
      <c r="I402" s="204">
        <f>I401/Parametros!$J$37</f>
        <v>11.63193333</v>
      </c>
      <c r="J402" s="204">
        <f>J401/Parametros!$J$37</f>
        <v>11.63193333</v>
      </c>
      <c r="K402" s="204">
        <f>K401/Parametros!$J$37</f>
        <v>11.63193333</v>
      </c>
      <c r="L402" s="204">
        <f>L401/Parametros!$J$37</f>
        <v>11.3585</v>
      </c>
      <c r="M402" s="204">
        <f>M401/Parametros!$J$37</f>
        <v>11.08506667</v>
      </c>
      <c r="N402" s="204">
        <f>N401/Parametros!$J$37</f>
        <v>17.62673333</v>
      </c>
      <c r="O402" s="5"/>
      <c r="P402" s="5"/>
      <c r="Q402" s="5"/>
      <c r="R402" s="5"/>
      <c r="S402" s="5"/>
      <c r="T402" s="5"/>
      <c r="U402" s="5"/>
      <c r="V402" s="5"/>
      <c r="W402" s="5"/>
      <c r="X402" s="5"/>
      <c r="Y402" s="5"/>
      <c r="Z402" s="5"/>
    </row>
    <row r="403" ht="12.0" customHeight="1">
      <c r="A403" s="92" t="s">
        <v>636</v>
      </c>
      <c r="B403" s="5"/>
      <c r="C403" s="204">
        <f t="shared" ref="C403:N403" si="118">C402</f>
        <v>17.07986667</v>
      </c>
      <c r="D403" s="204">
        <f t="shared" si="118"/>
        <v>13.08333333</v>
      </c>
      <c r="E403" s="204">
        <f t="shared" si="118"/>
        <v>12.38916667</v>
      </c>
      <c r="F403" s="204">
        <f t="shared" si="118"/>
        <v>11.90536667</v>
      </c>
      <c r="G403" s="204">
        <f t="shared" si="118"/>
        <v>11.14813333</v>
      </c>
      <c r="H403" s="204">
        <f t="shared" si="118"/>
        <v>10.8747</v>
      </c>
      <c r="I403" s="204">
        <f t="shared" si="118"/>
        <v>11.63193333</v>
      </c>
      <c r="J403" s="204">
        <f t="shared" si="118"/>
        <v>11.63193333</v>
      </c>
      <c r="K403" s="204">
        <f t="shared" si="118"/>
        <v>11.63193333</v>
      </c>
      <c r="L403" s="204">
        <f t="shared" si="118"/>
        <v>11.3585</v>
      </c>
      <c r="M403" s="204">
        <f t="shared" si="118"/>
        <v>11.08506667</v>
      </c>
      <c r="N403" s="204">
        <f t="shared" si="118"/>
        <v>17.62673333</v>
      </c>
      <c r="O403" s="5"/>
      <c r="P403" s="5"/>
      <c r="Q403" s="5"/>
      <c r="R403" s="5"/>
      <c r="S403" s="5"/>
      <c r="T403" s="5"/>
      <c r="U403" s="5"/>
      <c r="V403" s="5"/>
      <c r="W403" s="5"/>
      <c r="X403" s="5"/>
      <c r="Y403" s="5"/>
      <c r="Z403" s="5"/>
    </row>
    <row r="404" ht="12.0" customHeight="1">
      <c r="A404" s="92" t="s">
        <v>637</v>
      </c>
      <c r="B404" s="5"/>
      <c r="C404" s="205">
        <f>'Resumen Capacidad'!$D$114</f>
        <v>96</v>
      </c>
      <c r="D404" s="205">
        <f>'Resumen Capacidad'!$D$114</f>
        <v>96</v>
      </c>
      <c r="E404" s="205">
        <f>'Resumen Capacidad'!$D$114</f>
        <v>96</v>
      </c>
      <c r="F404" s="205">
        <f>'Resumen Capacidad'!$D$114</f>
        <v>96</v>
      </c>
      <c r="G404" s="205">
        <f>'Resumen Capacidad'!$D$114</f>
        <v>96</v>
      </c>
      <c r="H404" s="205">
        <f>'Resumen Capacidad'!$D$114</f>
        <v>96</v>
      </c>
      <c r="I404" s="205">
        <f>'Resumen Capacidad'!$D$114</f>
        <v>96</v>
      </c>
      <c r="J404" s="205">
        <f>'Resumen Capacidad'!$D$114</f>
        <v>96</v>
      </c>
      <c r="K404" s="205">
        <f>'Resumen Capacidad'!$D$114</f>
        <v>96</v>
      </c>
      <c r="L404" s="205">
        <f>'Resumen Capacidad'!$D$114</f>
        <v>96</v>
      </c>
      <c r="M404" s="205">
        <f>'Resumen Capacidad'!$D$114</f>
        <v>96</v>
      </c>
      <c r="N404" s="205">
        <f>'Resumen Capacidad'!$D$114</f>
        <v>96</v>
      </c>
      <c r="O404" s="5"/>
      <c r="P404" s="5"/>
      <c r="Q404" s="5"/>
      <c r="R404" s="5"/>
      <c r="S404" s="5"/>
      <c r="T404" s="5"/>
      <c r="U404" s="5"/>
      <c r="V404" s="5"/>
      <c r="W404" s="5"/>
      <c r="X404" s="5"/>
      <c r="Y404" s="5"/>
      <c r="Z404" s="5"/>
    </row>
    <row r="405" ht="12.0" customHeight="1">
      <c r="A405" s="92" t="s">
        <v>640</v>
      </c>
      <c r="B405" s="5"/>
      <c r="C405" s="204">
        <f>'Resumen Capacidad'!$D$32*'Resumen Capacidad'!$D$68</f>
        <v>1</v>
      </c>
      <c r="D405" s="204">
        <f>'Resumen Capacidad'!$D$32*'Resumen Capacidad'!$D$68</f>
        <v>1</v>
      </c>
      <c r="E405" s="204">
        <f>'Resumen Capacidad'!$D$32*'Resumen Capacidad'!$D$68</f>
        <v>1</v>
      </c>
      <c r="F405" s="204">
        <f>'Resumen Capacidad'!$D$32*'Resumen Capacidad'!$D$68</f>
        <v>1</v>
      </c>
      <c r="G405" s="204">
        <f>'Resumen Capacidad'!$D$32*'Resumen Capacidad'!$D$68</f>
        <v>1</v>
      </c>
      <c r="H405" s="204">
        <f>'Resumen Capacidad'!$D$32*'Resumen Capacidad'!$D$68</f>
        <v>1</v>
      </c>
      <c r="I405" s="204">
        <f>'Resumen Capacidad'!$D$32*'Resumen Capacidad'!$D$68</f>
        <v>1</v>
      </c>
      <c r="J405" s="204">
        <f>'Resumen Capacidad'!$D$32*'Resumen Capacidad'!$D$68</f>
        <v>1</v>
      </c>
      <c r="K405" s="204">
        <f>'Resumen Capacidad'!$D$32*'Resumen Capacidad'!$D$68</f>
        <v>1</v>
      </c>
      <c r="L405" s="204">
        <f>'Resumen Capacidad'!$D$32*'Resumen Capacidad'!$D$68</f>
        <v>1</v>
      </c>
      <c r="M405" s="204">
        <f>'Resumen Capacidad'!$D$32*'Resumen Capacidad'!$D$68</f>
        <v>1</v>
      </c>
      <c r="N405" s="204">
        <f>'Resumen Capacidad'!$D$32*'Resumen Capacidad'!$D$68</f>
        <v>1</v>
      </c>
      <c r="O405" s="5"/>
      <c r="P405" s="5"/>
      <c r="Q405" s="5"/>
      <c r="R405" s="5"/>
      <c r="S405" s="5"/>
      <c r="T405" s="5"/>
      <c r="U405" s="5"/>
      <c r="V405" s="5"/>
      <c r="W405" s="5"/>
      <c r="X405" s="5"/>
      <c r="Y405" s="5"/>
      <c r="Z405" s="5"/>
    </row>
    <row r="406" ht="12.0" customHeight="1">
      <c r="A406" s="92" t="s">
        <v>642</v>
      </c>
      <c r="B406" s="5"/>
      <c r="C406" s="204">
        <f t="shared" ref="C406:N406" si="119">C404*C405</f>
        <v>96</v>
      </c>
      <c r="D406" s="204">
        <f t="shared" si="119"/>
        <v>96</v>
      </c>
      <c r="E406" s="204">
        <f t="shared" si="119"/>
        <v>96</v>
      </c>
      <c r="F406" s="204">
        <f t="shared" si="119"/>
        <v>96</v>
      </c>
      <c r="G406" s="204">
        <f t="shared" si="119"/>
        <v>96</v>
      </c>
      <c r="H406" s="204">
        <f t="shared" si="119"/>
        <v>96</v>
      </c>
      <c r="I406" s="204">
        <f t="shared" si="119"/>
        <v>96</v>
      </c>
      <c r="J406" s="204">
        <f t="shared" si="119"/>
        <v>96</v>
      </c>
      <c r="K406" s="204">
        <f t="shared" si="119"/>
        <v>96</v>
      </c>
      <c r="L406" s="204">
        <f t="shared" si="119"/>
        <v>96</v>
      </c>
      <c r="M406" s="204">
        <f t="shared" si="119"/>
        <v>96</v>
      </c>
      <c r="N406" s="204">
        <f t="shared" si="119"/>
        <v>96</v>
      </c>
      <c r="O406" s="5"/>
      <c r="P406" s="5"/>
      <c r="Q406" s="5"/>
      <c r="R406" s="5"/>
      <c r="S406" s="5"/>
      <c r="T406" s="5"/>
      <c r="U406" s="5"/>
      <c r="V406" s="5"/>
      <c r="W406" s="5"/>
      <c r="X406" s="5"/>
      <c r="Y406" s="5"/>
      <c r="Z406" s="5"/>
    </row>
    <row r="407" ht="12.0" customHeight="1">
      <c r="A407" s="92" t="s">
        <v>643</v>
      </c>
      <c r="B407" s="5"/>
      <c r="C407" s="206">
        <f t="shared" ref="C407:N407" si="120">IF(C406=0,0,C403/C406)</f>
        <v>0.1779152778</v>
      </c>
      <c r="D407" s="206">
        <f t="shared" si="120"/>
        <v>0.1362847222</v>
      </c>
      <c r="E407" s="206">
        <f t="shared" si="120"/>
        <v>0.1290538194</v>
      </c>
      <c r="F407" s="206">
        <f t="shared" si="120"/>
        <v>0.1240142361</v>
      </c>
      <c r="G407" s="206">
        <f t="shared" si="120"/>
        <v>0.1161263889</v>
      </c>
      <c r="H407" s="206">
        <f t="shared" si="120"/>
        <v>0.113278125</v>
      </c>
      <c r="I407" s="206">
        <f t="shared" si="120"/>
        <v>0.1211659722</v>
      </c>
      <c r="J407" s="206">
        <f t="shared" si="120"/>
        <v>0.1211659722</v>
      </c>
      <c r="K407" s="206">
        <f t="shared" si="120"/>
        <v>0.1211659722</v>
      </c>
      <c r="L407" s="206">
        <f t="shared" si="120"/>
        <v>0.1183177083</v>
      </c>
      <c r="M407" s="206">
        <f t="shared" si="120"/>
        <v>0.1154694444</v>
      </c>
      <c r="N407" s="206">
        <f t="shared" si="120"/>
        <v>0.1836118056</v>
      </c>
      <c r="O407" s="5"/>
      <c r="P407" s="5"/>
      <c r="Q407" s="5"/>
      <c r="R407" s="5"/>
      <c r="S407" s="5"/>
      <c r="T407" s="5"/>
      <c r="U407" s="5"/>
      <c r="V407" s="5"/>
      <c r="W407" s="5"/>
      <c r="X407" s="5"/>
      <c r="Y407" s="5"/>
      <c r="Z407" s="5"/>
    </row>
    <row r="408" ht="12.0" customHeight="1">
      <c r="A408" s="201" t="s">
        <v>650</v>
      </c>
      <c r="B408" s="202"/>
      <c r="C408" s="202"/>
      <c r="D408" s="202"/>
      <c r="E408" s="202"/>
      <c r="F408" s="202"/>
      <c r="G408" s="202"/>
      <c r="H408" s="202"/>
      <c r="I408" s="202"/>
      <c r="J408" s="202"/>
      <c r="K408" s="202"/>
      <c r="L408" s="202"/>
      <c r="M408" s="202"/>
      <c r="N408" s="202"/>
      <c r="O408" s="5"/>
      <c r="P408" s="5"/>
      <c r="Q408" s="5"/>
      <c r="R408" s="5"/>
      <c r="S408" s="5"/>
      <c r="T408" s="5"/>
      <c r="U408" s="5"/>
      <c r="V408" s="5"/>
      <c r="W408" s="5"/>
      <c r="X408" s="5"/>
      <c r="Y408" s="5"/>
      <c r="Z408" s="5"/>
    </row>
    <row r="409" ht="12.0" customHeight="1">
      <c r="A409" s="201" t="s">
        <v>630</v>
      </c>
      <c r="B409" s="201" t="s">
        <v>631</v>
      </c>
      <c r="C409" s="201" t="s">
        <v>3</v>
      </c>
      <c r="D409" s="201" t="s">
        <v>4</v>
      </c>
      <c r="E409" s="201" t="s">
        <v>5</v>
      </c>
      <c r="F409" s="201" t="s">
        <v>6</v>
      </c>
      <c r="G409" s="201" t="s">
        <v>7</v>
      </c>
      <c r="H409" s="201" t="s">
        <v>8</v>
      </c>
      <c r="I409" s="201" t="s">
        <v>9</v>
      </c>
      <c r="J409" s="201" t="s">
        <v>10</v>
      </c>
      <c r="K409" s="201" t="s">
        <v>11</v>
      </c>
      <c r="L409" s="201" t="s">
        <v>12</v>
      </c>
      <c r="M409" s="201" t="s">
        <v>13</v>
      </c>
      <c r="N409" s="201" t="s">
        <v>14</v>
      </c>
      <c r="O409" s="5"/>
      <c r="P409" s="5"/>
      <c r="Q409" s="5"/>
      <c r="R409" s="5"/>
      <c r="S409" s="5"/>
      <c r="T409" s="5"/>
      <c r="U409" s="5"/>
      <c r="V409" s="5"/>
      <c r="W409" s="5"/>
      <c r="X409" s="5"/>
      <c r="Y409" s="5"/>
      <c r="Z409" s="5"/>
    </row>
    <row r="410" ht="12.0" customHeight="1">
      <c r="A410" s="92" t="s">
        <v>651</v>
      </c>
      <c r="B410" s="92" t="s">
        <v>633</v>
      </c>
      <c r="C410" s="203">
        <f>SUM('2028'!B7:B9)+SUM('2028'!B18:B20)</f>
        <v>820.3</v>
      </c>
      <c r="D410" s="203">
        <f>SUM('2028'!C7:C9)+SUM('2028'!C18:C20)</f>
        <v>656.24</v>
      </c>
      <c r="E410" s="203">
        <f>SUM('2028'!D7:D9)+SUM('2028'!D18:D20)</f>
        <v>697.255</v>
      </c>
      <c r="F410" s="203">
        <f>SUM('2028'!E7:E9)+SUM('2028'!E18:E20)</f>
        <v>697.255</v>
      </c>
      <c r="G410" s="203">
        <f>SUM('2028'!F7:F9)+SUM('2028'!F18:F20)</f>
        <v>656.24</v>
      </c>
      <c r="H410" s="203">
        <f>SUM('2028'!G7:G9)+SUM('2028'!G18:G20)</f>
        <v>615.225</v>
      </c>
      <c r="I410" s="203">
        <f>SUM('2028'!H7:H9)+SUM('2028'!H18:H20)</f>
        <v>656.24</v>
      </c>
      <c r="J410" s="203">
        <f>SUM('2028'!I7:I9)+SUM('2028'!I18:I20)</f>
        <v>656.24</v>
      </c>
      <c r="K410" s="203">
        <f>SUM('2028'!J7:J9)+SUM('2028'!J18:J20)</f>
        <v>656.24</v>
      </c>
      <c r="L410" s="203">
        <f>SUM('2028'!K7:K9)+SUM('2028'!K18:K20)</f>
        <v>615.225</v>
      </c>
      <c r="M410" s="203">
        <f>SUM('2028'!L7:L9)+SUM('2028'!L18:L20)</f>
        <v>574.21</v>
      </c>
      <c r="N410" s="203">
        <f>SUM('2028'!M7:M9)+SUM('2028'!M18:M20)</f>
        <v>902.33</v>
      </c>
      <c r="O410" s="5"/>
      <c r="P410" s="5"/>
      <c r="Q410" s="5"/>
      <c r="R410" s="5"/>
      <c r="S410" s="5"/>
      <c r="T410" s="5"/>
      <c r="U410" s="5"/>
      <c r="V410" s="5"/>
      <c r="W410" s="5"/>
      <c r="X410" s="5"/>
      <c r="Y410" s="5"/>
      <c r="Z410" s="5"/>
    </row>
    <row r="411" ht="12.0" customHeight="1">
      <c r="A411" s="5"/>
      <c r="B411" s="92" t="s">
        <v>634</v>
      </c>
      <c r="C411" s="204">
        <f>C410/Parametros!$B$37</f>
        <v>41.015</v>
      </c>
      <c r="D411" s="204">
        <f>D410/Parametros!$B$37</f>
        <v>32.812</v>
      </c>
      <c r="E411" s="204">
        <f>E410/Parametros!$B$37</f>
        <v>34.86275</v>
      </c>
      <c r="F411" s="204">
        <f>F410/Parametros!$B$37</f>
        <v>34.86275</v>
      </c>
      <c r="G411" s="204">
        <f>G410/Parametros!$B$37</f>
        <v>32.812</v>
      </c>
      <c r="H411" s="204">
        <f>H410/Parametros!$B$37</f>
        <v>30.76125</v>
      </c>
      <c r="I411" s="204">
        <f>I410/Parametros!$B$37</f>
        <v>32.812</v>
      </c>
      <c r="J411" s="204">
        <f>J410/Parametros!$B$37</f>
        <v>32.812</v>
      </c>
      <c r="K411" s="204">
        <f>K410/Parametros!$B$37</f>
        <v>32.812</v>
      </c>
      <c r="L411" s="204">
        <f>L410/Parametros!$B$37</f>
        <v>30.76125</v>
      </c>
      <c r="M411" s="204">
        <f>M410/Parametros!$B$37</f>
        <v>28.7105</v>
      </c>
      <c r="N411" s="204">
        <f>N410/Parametros!$B$37</f>
        <v>45.1165</v>
      </c>
      <c r="O411" s="5"/>
      <c r="P411" s="5"/>
      <c r="Q411" s="5"/>
      <c r="R411" s="5"/>
      <c r="S411" s="5"/>
      <c r="T411" s="5"/>
      <c r="U411" s="5"/>
      <c r="V411" s="5"/>
      <c r="W411" s="5"/>
      <c r="X411" s="5"/>
      <c r="Y411" s="5"/>
      <c r="Z411" s="5"/>
    </row>
    <row r="412" ht="12.0" customHeight="1">
      <c r="A412" s="5"/>
      <c r="B412" s="92" t="s">
        <v>635</v>
      </c>
      <c r="C412" s="204">
        <f>C411/Parametros!$J$37</f>
        <v>5.468666667</v>
      </c>
      <c r="D412" s="204">
        <f>D411/Parametros!$J$37</f>
        <v>4.374933333</v>
      </c>
      <c r="E412" s="204">
        <f>E411/Parametros!$J$37</f>
        <v>4.648366667</v>
      </c>
      <c r="F412" s="204">
        <f>F411/Parametros!$J$37</f>
        <v>4.648366667</v>
      </c>
      <c r="G412" s="204">
        <f>G411/Parametros!$J$37</f>
        <v>4.374933333</v>
      </c>
      <c r="H412" s="204">
        <f>H411/Parametros!$J$37</f>
        <v>4.1015</v>
      </c>
      <c r="I412" s="204">
        <f>I411/Parametros!$J$37</f>
        <v>4.374933333</v>
      </c>
      <c r="J412" s="204">
        <f>J411/Parametros!$J$37</f>
        <v>4.374933333</v>
      </c>
      <c r="K412" s="204">
        <f>K411/Parametros!$J$37</f>
        <v>4.374933333</v>
      </c>
      <c r="L412" s="204">
        <f>L411/Parametros!$J$37</f>
        <v>4.1015</v>
      </c>
      <c r="M412" s="204">
        <f>M411/Parametros!$J$37</f>
        <v>3.828066667</v>
      </c>
      <c r="N412" s="204">
        <f>N411/Parametros!$J$37</f>
        <v>6.015533333</v>
      </c>
      <c r="O412" s="5"/>
      <c r="P412" s="5"/>
      <c r="Q412" s="5"/>
      <c r="R412" s="5"/>
      <c r="S412" s="5"/>
      <c r="T412" s="5"/>
      <c r="U412" s="5"/>
      <c r="V412" s="5"/>
      <c r="W412" s="5"/>
      <c r="X412" s="5"/>
      <c r="Y412" s="5"/>
      <c r="Z412" s="5"/>
    </row>
    <row r="413" ht="12.0" customHeight="1">
      <c r="A413" s="92" t="s">
        <v>636</v>
      </c>
      <c r="B413" s="5"/>
      <c r="C413" s="204">
        <f t="shared" ref="C413:N413" si="121">C412</f>
        <v>5.468666667</v>
      </c>
      <c r="D413" s="204">
        <f t="shared" si="121"/>
        <v>4.374933333</v>
      </c>
      <c r="E413" s="204">
        <f t="shared" si="121"/>
        <v>4.648366667</v>
      </c>
      <c r="F413" s="204">
        <f t="shared" si="121"/>
        <v>4.648366667</v>
      </c>
      <c r="G413" s="204">
        <f t="shared" si="121"/>
        <v>4.374933333</v>
      </c>
      <c r="H413" s="204">
        <f t="shared" si="121"/>
        <v>4.1015</v>
      </c>
      <c r="I413" s="204">
        <f t="shared" si="121"/>
        <v>4.374933333</v>
      </c>
      <c r="J413" s="204">
        <f t="shared" si="121"/>
        <v>4.374933333</v>
      </c>
      <c r="K413" s="204">
        <f t="shared" si="121"/>
        <v>4.374933333</v>
      </c>
      <c r="L413" s="204">
        <f t="shared" si="121"/>
        <v>4.1015</v>
      </c>
      <c r="M413" s="204">
        <f t="shared" si="121"/>
        <v>3.828066667</v>
      </c>
      <c r="N413" s="204">
        <f t="shared" si="121"/>
        <v>6.015533333</v>
      </c>
      <c r="O413" s="5"/>
      <c r="P413" s="5"/>
      <c r="Q413" s="5"/>
      <c r="R413" s="5"/>
      <c r="S413" s="5"/>
      <c r="T413" s="5"/>
      <c r="U413" s="5"/>
      <c r="V413" s="5"/>
      <c r="W413" s="5"/>
      <c r="X413" s="5"/>
      <c r="Y413" s="5"/>
      <c r="Z413" s="5"/>
    </row>
    <row r="414" ht="12.0" customHeight="1">
      <c r="A414" s="92" t="s">
        <v>637</v>
      </c>
      <c r="B414" s="5"/>
      <c r="C414" s="205">
        <f>'Resumen Capacidad'!$D$115</f>
        <v>80.10122449</v>
      </c>
      <c r="D414" s="205">
        <f>'Resumen Capacidad'!$D$115</f>
        <v>80.10122449</v>
      </c>
      <c r="E414" s="205">
        <f>'Resumen Capacidad'!$D$115</f>
        <v>80.10122449</v>
      </c>
      <c r="F414" s="205">
        <f>'Resumen Capacidad'!$D$115</f>
        <v>80.10122449</v>
      </c>
      <c r="G414" s="205">
        <f>'Resumen Capacidad'!$D$115</f>
        <v>80.10122449</v>
      </c>
      <c r="H414" s="205">
        <f>'Resumen Capacidad'!$D$115</f>
        <v>80.10122449</v>
      </c>
      <c r="I414" s="205">
        <f>'Resumen Capacidad'!$D$115</f>
        <v>80.10122449</v>
      </c>
      <c r="J414" s="205">
        <f>'Resumen Capacidad'!$D$115</f>
        <v>80.10122449</v>
      </c>
      <c r="K414" s="205">
        <f>'Resumen Capacidad'!$D$115</f>
        <v>80.10122449</v>
      </c>
      <c r="L414" s="205">
        <f>'Resumen Capacidad'!$D$115</f>
        <v>80.10122449</v>
      </c>
      <c r="M414" s="205">
        <f>'Resumen Capacidad'!$D$115</f>
        <v>80.10122449</v>
      </c>
      <c r="N414" s="205">
        <f>'Resumen Capacidad'!$D$115</f>
        <v>80.10122449</v>
      </c>
      <c r="O414" s="5"/>
      <c r="P414" s="5"/>
      <c r="Q414" s="5"/>
      <c r="R414" s="5"/>
      <c r="S414" s="5"/>
      <c r="T414" s="5"/>
      <c r="U414" s="5"/>
      <c r="V414" s="5"/>
      <c r="W414" s="5"/>
      <c r="X414" s="5"/>
      <c r="Y414" s="5"/>
      <c r="Z414" s="5"/>
    </row>
    <row r="415" ht="12.0" customHeight="1">
      <c r="A415" s="92" t="s">
        <v>640</v>
      </c>
      <c r="B415" s="5"/>
      <c r="C415" s="204">
        <f>'Resumen Capacidad'!$D$33*'Resumen Capacidad'!$D$69</f>
        <v>1</v>
      </c>
      <c r="D415" s="204">
        <f>'Resumen Capacidad'!$D$33*'Resumen Capacidad'!$D$69</f>
        <v>1</v>
      </c>
      <c r="E415" s="204">
        <f>'Resumen Capacidad'!$D$33*'Resumen Capacidad'!$D$69</f>
        <v>1</v>
      </c>
      <c r="F415" s="204">
        <f>'Resumen Capacidad'!$D$33*'Resumen Capacidad'!$D$69</f>
        <v>1</v>
      </c>
      <c r="G415" s="204">
        <f>'Resumen Capacidad'!$D$33*'Resumen Capacidad'!$D$69</f>
        <v>1</v>
      </c>
      <c r="H415" s="204">
        <f>'Resumen Capacidad'!$D$33*'Resumen Capacidad'!$D$69</f>
        <v>1</v>
      </c>
      <c r="I415" s="204">
        <f>'Resumen Capacidad'!$D$33*'Resumen Capacidad'!$D$69</f>
        <v>1</v>
      </c>
      <c r="J415" s="204">
        <f>'Resumen Capacidad'!$D$33*'Resumen Capacidad'!$D$69</f>
        <v>1</v>
      </c>
      <c r="K415" s="204">
        <f>'Resumen Capacidad'!$D$33*'Resumen Capacidad'!$D$69</f>
        <v>1</v>
      </c>
      <c r="L415" s="204">
        <f>'Resumen Capacidad'!$D$33*'Resumen Capacidad'!$D$69</f>
        <v>1</v>
      </c>
      <c r="M415" s="204">
        <f>'Resumen Capacidad'!$D$33*'Resumen Capacidad'!$D$69</f>
        <v>1</v>
      </c>
      <c r="N415" s="204">
        <f>'Resumen Capacidad'!$D$33*'Resumen Capacidad'!$D$69</f>
        <v>1</v>
      </c>
      <c r="O415" s="5"/>
      <c r="P415" s="5"/>
      <c r="Q415" s="5"/>
      <c r="R415" s="5"/>
      <c r="S415" s="5"/>
      <c r="T415" s="5"/>
      <c r="U415" s="5"/>
      <c r="V415" s="5"/>
      <c r="W415" s="5"/>
      <c r="X415" s="5"/>
      <c r="Y415" s="5"/>
      <c r="Z415" s="5"/>
    </row>
    <row r="416" ht="12.0" customHeight="1">
      <c r="A416" s="92" t="s">
        <v>642</v>
      </c>
      <c r="B416" s="5"/>
      <c r="C416" s="204">
        <f t="shared" ref="C416:N416" si="122">C414*C415</f>
        <v>80.10122449</v>
      </c>
      <c r="D416" s="204">
        <f t="shared" si="122"/>
        <v>80.10122449</v>
      </c>
      <c r="E416" s="204">
        <f t="shared" si="122"/>
        <v>80.10122449</v>
      </c>
      <c r="F416" s="204">
        <f t="shared" si="122"/>
        <v>80.10122449</v>
      </c>
      <c r="G416" s="204">
        <f t="shared" si="122"/>
        <v>80.10122449</v>
      </c>
      <c r="H416" s="204">
        <f t="shared" si="122"/>
        <v>80.10122449</v>
      </c>
      <c r="I416" s="204">
        <f t="shared" si="122"/>
        <v>80.10122449</v>
      </c>
      <c r="J416" s="204">
        <f t="shared" si="122"/>
        <v>80.10122449</v>
      </c>
      <c r="K416" s="204">
        <f t="shared" si="122"/>
        <v>80.10122449</v>
      </c>
      <c r="L416" s="204">
        <f t="shared" si="122"/>
        <v>80.10122449</v>
      </c>
      <c r="M416" s="204">
        <f t="shared" si="122"/>
        <v>80.10122449</v>
      </c>
      <c r="N416" s="204">
        <f t="shared" si="122"/>
        <v>80.10122449</v>
      </c>
      <c r="O416" s="5"/>
      <c r="P416" s="5"/>
      <c r="Q416" s="5"/>
      <c r="R416" s="5"/>
      <c r="S416" s="5"/>
      <c r="T416" s="5"/>
      <c r="U416" s="5"/>
      <c r="V416" s="5"/>
      <c r="W416" s="5"/>
      <c r="X416" s="5"/>
      <c r="Y416" s="5"/>
      <c r="Z416" s="5"/>
    </row>
    <row r="417" ht="12.0" customHeight="1">
      <c r="A417" s="92" t="s">
        <v>643</v>
      </c>
      <c r="B417" s="5"/>
      <c r="C417" s="206">
        <f t="shared" ref="C417:N417" si="123">IF(C416=0,0,C413/C416)</f>
        <v>0.06827194842</v>
      </c>
      <c r="D417" s="206">
        <f t="shared" si="123"/>
        <v>0.05461755874</v>
      </c>
      <c r="E417" s="206">
        <f t="shared" si="123"/>
        <v>0.05803115616</v>
      </c>
      <c r="F417" s="206">
        <f t="shared" si="123"/>
        <v>0.05803115616</v>
      </c>
      <c r="G417" s="206">
        <f t="shared" si="123"/>
        <v>0.05461755874</v>
      </c>
      <c r="H417" s="206">
        <f t="shared" si="123"/>
        <v>0.05120396131</v>
      </c>
      <c r="I417" s="206">
        <f t="shared" si="123"/>
        <v>0.05461755874</v>
      </c>
      <c r="J417" s="206">
        <f t="shared" si="123"/>
        <v>0.05461755874</v>
      </c>
      <c r="K417" s="206">
        <f t="shared" si="123"/>
        <v>0.05461755874</v>
      </c>
      <c r="L417" s="206">
        <f t="shared" si="123"/>
        <v>0.05120396131</v>
      </c>
      <c r="M417" s="206">
        <f t="shared" si="123"/>
        <v>0.04779036389</v>
      </c>
      <c r="N417" s="206">
        <f t="shared" si="123"/>
        <v>0.07509914326</v>
      </c>
      <c r="O417" s="5"/>
      <c r="P417" s="5"/>
      <c r="Q417" s="5"/>
      <c r="R417" s="5"/>
      <c r="S417" s="5"/>
      <c r="T417" s="5"/>
      <c r="U417" s="5"/>
      <c r="V417" s="5"/>
      <c r="W417" s="5"/>
      <c r="X417" s="5"/>
      <c r="Y417" s="5"/>
      <c r="Z417" s="5"/>
    </row>
    <row r="418" ht="12.0" customHeight="1">
      <c r="A418" s="201" t="s">
        <v>656</v>
      </c>
      <c r="B418" s="202"/>
      <c r="C418" s="202"/>
      <c r="D418" s="202"/>
      <c r="E418" s="202"/>
      <c r="F418" s="202"/>
      <c r="G418" s="202"/>
      <c r="H418" s="202"/>
      <c r="I418" s="202"/>
      <c r="J418" s="202"/>
      <c r="K418" s="202"/>
      <c r="L418" s="202"/>
      <c r="M418" s="202"/>
      <c r="N418" s="202"/>
      <c r="O418" s="5"/>
      <c r="P418" s="5"/>
      <c r="Q418" s="5"/>
      <c r="R418" s="5"/>
      <c r="S418" s="5"/>
      <c r="T418" s="5"/>
      <c r="U418" s="5"/>
      <c r="V418" s="5"/>
      <c r="W418" s="5"/>
      <c r="X418" s="5"/>
      <c r="Y418" s="5"/>
      <c r="Z418" s="5"/>
    </row>
    <row r="419" ht="12.0" customHeight="1">
      <c r="A419" s="201" t="s">
        <v>630</v>
      </c>
      <c r="B419" s="201" t="s">
        <v>631</v>
      </c>
      <c r="C419" s="201" t="s">
        <v>3</v>
      </c>
      <c r="D419" s="201" t="s">
        <v>4</v>
      </c>
      <c r="E419" s="201" t="s">
        <v>5</v>
      </c>
      <c r="F419" s="201" t="s">
        <v>6</v>
      </c>
      <c r="G419" s="201" t="s">
        <v>7</v>
      </c>
      <c r="H419" s="201" t="s">
        <v>8</v>
      </c>
      <c r="I419" s="201" t="s">
        <v>9</v>
      </c>
      <c r="J419" s="201" t="s">
        <v>10</v>
      </c>
      <c r="K419" s="201" t="s">
        <v>11</v>
      </c>
      <c r="L419" s="201" t="s">
        <v>12</v>
      </c>
      <c r="M419" s="201" t="s">
        <v>13</v>
      </c>
      <c r="N419" s="201" t="s">
        <v>14</v>
      </c>
      <c r="O419" s="5"/>
      <c r="P419" s="5"/>
      <c r="Q419" s="5"/>
      <c r="R419" s="5"/>
      <c r="S419" s="5"/>
      <c r="T419" s="5"/>
      <c r="U419" s="5"/>
      <c r="V419" s="5"/>
      <c r="W419" s="5"/>
      <c r="X419" s="5"/>
      <c r="Y419" s="5"/>
      <c r="Z419" s="5"/>
    </row>
    <row r="420" ht="12.0" customHeight="1">
      <c r="A420" s="92" t="s">
        <v>651</v>
      </c>
      <c r="B420" s="92" t="s">
        <v>633</v>
      </c>
      <c r="C420" s="203">
        <f>SUM('2028'!B7:B9)+SUM('2028'!B18:B20)</f>
        <v>820.3</v>
      </c>
      <c r="D420" s="203">
        <f>SUM('2028'!C7:C9)+SUM('2028'!C18:C20)</f>
        <v>656.24</v>
      </c>
      <c r="E420" s="203">
        <f>SUM('2028'!D7:D9)+SUM('2028'!D18:D20)</f>
        <v>697.255</v>
      </c>
      <c r="F420" s="203">
        <f>SUM('2028'!E7:E9)+SUM('2028'!E18:E20)</f>
        <v>697.255</v>
      </c>
      <c r="G420" s="203">
        <f>SUM('2028'!F7:F9)+SUM('2028'!F18:F20)</f>
        <v>656.24</v>
      </c>
      <c r="H420" s="203">
        <f>SUM('2028'!G7:G9)+SUM('2028'!G18:G20)</f>
        <v>615.225</v>
      </c>
      <c r="I420" s="203">
        <f>SUM('2028'!H7:H9)+SUM('2028'!H18:H20)</f>
        <v>656.24</v>
      </c>
      <c r="J420" s="203">
        <f>SUM('2028'!I7:I9)+SUM('2028'!I18:I20)</f>
        <v>656.24</v>
      </c>
      <c r="K420" s="203">
        <f>SUM('2028'!J7:J9)+SUM('2028'!J18:J20)</f>
        <v>656.24</v>
      </c>
      <c r="L420" s="203">
        <f>SUM('2028'!K7:K9)+SUM('2028'!K18:K20)</f>
        <v>615.225</v>
      </c>
      <c r="M420" s="203">
        <f>SUM('2028'!L7:L9)+SUM('2028'!L18:L20)</f>
        <v>574.21</v>
      </c>
      <c r="N420" s="203">
        <f>SUM('2028'!M7:M9)+SUM('2028'!M18:M20)</f>
        <v>902.33</v>
      </c>
      <c r="O420" s="5"/>
      <c r="P420" s="5"/>
      <c r="Q420" s="5"/>
      <c r="R420" s="5"/>
      <c r="S420" s="5"/>
      <c r="T420" s="5"/>
      <c r="U420" s="5"/>
      <c r="V420" s="5"/>
      <c r="W420" s="5"/>
      <c r="X420" s="5"/>
      <c r="Y420" s="5"/>
      <c r="Z420" s="5"/>
    </row>
    <row r="421" ht="12.0" customHeight="1">
      <c r="A421" s="5"/>
      <c r="B421" s="92" t="s">
        <v>634</v>
      </c>
      <c r="C421" s="204">
        <f>C420/Parametros!$B$37</f>
        <v>41.015</v>
      </c>
      <c r="D421" s="204">
        <f>D420/Parametros!$B$37</f>
        <v>32.812</v>
      </c>
      <c r="E421" s="204">
        <f>E420/Parametros!$B$37</f>
        <v>34.86275</v>
      </c>
      <c r="F421" s="204">
        <f>F420/Parametros!$B$37</f>
        <v>34.86275</v>
      </c>
      <c r="G421" s="204">
        <f>G420/Parametros!$B$37</f>
        <v>32.812</v>
      </c>
      <c r="H421" s="204">
        <f>H420/Parametros!$B$37</f>
        <v>30.76125</v>
      </c>
      <c r="I421" s="204">
        <f>I420/Parametros!$B$37</f>
        <v>32.812</v>
      </c>
      <c r="J421" s="204">
        <f>J420/Parametros!$B$37</f>
        <v>32.812</v>
      </c>
      <c r="K421" s="204">
        <f>K420/Parametros!$B$37</f>
        <v>32.812</v>
      </c>
      <c r="L421" s="204">
        <f>L420/Parametros!$B$37</f>
        <v>30.76125</v>
      </c>
      <c r="M421" s="204">
        <f>M420/Parametros!$B$37</f>
        <v>28.7105</v>
      </c>
      <c r="N421" s="204">
        <f>N420/Parametros!$B$37</f>
        <v>45.1165</v>
      </c>
      <c r="O421" s="5"/>
      <c r="P421" s="5"/>
      <c r="Q421" s="5"/>
      <c r="R421" s="5"/>
      <c r="S421" s="5"/>
      <c r="T421" s="5"/>
      <c r="U421" s="5"/>
      <c r="V421" s="5"/>
      <c r="W421" s="5"/>
      <c r="X421" s="5"/>
      <c r="Y421" s="5"/>
      <c r="Z421" s="5"/>
    </row>
    <row r="422" ht="12.0" customHeight="1">
      <c r="A422" s="5"/>
      <c r="B422" s="92" t="s">
        <v>635</v>
      </c>
      <c r="C422" s="204">
        <f>C421/Parametros!$J$37</f>
        <v>5.468666667</v>
      </c>
      <c r="D422" s="204">
        <f>D421/Parametros!$J$37</f>
        <v>4.374933333</v>
      </c>
      <c r="E422" s="204">
        <f>E421/Parametros!$J$37</f>
        <v>4.648366667</v>
      </c>
      <c r="F422" s="204">
        <f>F421/Parametros!$J$37</f>
        <v>4.648366667</v>
      </c>
      <c r="G422" s="204">
        <f>G421/Parametros!$J$37</f>
        <v>4.374933333</v>
      </c>
      <c r="H422" s="204">
        <f>H421/Parametros!$J$37</f>
        <v>4.1015</v>
      </c>
      <c r="I422" s="204">
        <f>I421/Parametros!$J$37</f>
        <v>4.374933333</v>
      </c>
      <c r="J422" s="204">
        <f>J421/Parametros!$J$37</f>
        <v>4.374933333</v>
      </c>
      <c r="K422" s="204">
        <f>K421/Parametros!$J$37</f>
        <v>4.374933333</v>
      </c>
      <c r="L422" s="204">
        <f>L421/Parametros!$J$37</f>
        <v>4.1015</v>
      </c>
      <c r="M422" s="204">
        <f>M421/Parametros!$J$37</f>
        <v>3.828066667</v>
      </c>
      <c r="N422" s="204">
        <f>N421/Parametros!$J$37</f>
        <v>6.015533333</v>
      </c>
      <c r="O422" s="5"/>
      <c r="P422" s="5"/>
      <c r="Q422" s="5"/>
      <c r="R422" s="5"/>
      <c r="S422" s="5"/>
      <c r="T422" s="5"/>
      <c r="U422" s="5"/>
      <c r="V422" s="5"/>
      <c r="W422" s="5"/>
      <c r="X422" s="5"/>
      <c r="Y422" s="5"/>
      <c r="Z422" s="5"/>
    </row>
    <row r="423" ht="12.0" customHeight="1">
      <c r="A423" s="92" t="s">
        <v>636</v>
      </c>
      <c r="B423" s="5"/>
      <c r="C423" s="204">
        <f t="shared" ref="C423:N423" si="124">C422</f>
        <v>5.468666667</v>
      </c>
      <c r="D423" s="204">
        <f t="shared" si="124"/>
        <v>4.374933333</v>
      </c>
      <c r="E423" s="204">
        <f t="shared" si="124"/>
        <v>4.648366667</v>
      </c>
      <c r="F423" s="204">
        <f t="shared" si="124"/>
        <v>4.648366667</v>
      </c>
      <c r="G423" s="204">
        <f t="shared" si="124"/>
        <v>4.374933333</v>
      </c>
      <c r="H423" s="204">
        <f t="shared" si="124"/>
        <v>4.1015</v>
      </c>
      <c r="I423" s="204">
        <f t="shared" si="124"/>
        <v>4.374933333</v>
      </c>
      <c r="J423" s="204">
        <f t="shared" si="124"/>
        <v>4.374933333</v>
      </c>
      <c r="K423" s="204">
        <f t="shared" si="124"/>
        <v>4.374933333</v>
      </c>
      <c r="L423" s="204">
        <f t="shared" si="124"/>
        <v>4.1015</v>
      </c>
      <c r="M423" s="204">
        <f t="shared" si="124"/>
        <v>3.828066667</v>
      </c>
      <c r="N423" s="204">
        <f t="shared" si="124"/>
        <v>6.015533333</v>
      </c>
      <c r="O423" s="5"/>
      <c r="P423" s="5"/>
      <c r="Q423" s="5"/>
      <c r="R423" s="5"/>
      <c r="S423" s="5"/>
      <c r="T423" s="5"/>
      <c r="U423" s="5"/>
      <c r="V423" s="5"/>
      <c r="W423" s="5"/>
      <c r="X423" s="5"/>
      <c r="Y423" s="5"/>
      <c r="Z423" s="5"/>
    </row>
    <row r="424" ht="12.0" customHeight="1">
      <c r="A424" s="92" t="s">
        <v>637</v>
      </c>
      <c r="B424" s="5"/>
      <c r="C424" s="205">
        <f>'Resumen Capacidad'!$D$116</f>
        <v>56.576</v>
      </c>
      <c r="D424" s="205">
        <f>'Resumen Capacidad'!$D$116</f>
        <v>56.576</v>
      </c>
      <c r="E424" s="205">
        <f>'Resumen Capacidad'!$D$116</f>
        <v>56.576</v>
      </c>
      <c r="F424" s="205">
        <f>'Resumen Capacidad'!$D$116</f>
        <v>56.576</v>
      </c>
      <c r="G424" s="205">
        <f>'Resumen Capacidad'!$D$116</f>
        <v>56.576</v>
      </c>
      <c r="H424" s="205">
        <f>'Resumen Capacidad'!$D$116</f>
        <v>56.576</v>
      </c>
      <c r="I424" s="205">
        <f>'Resumen Capacidad'!$D$116</f>
        <v>56.576</v>
      </c>
      <c r="J424" s="205">
        <f>'Resumen Capacidad'!$D$116</f>
        <v>56.576</v>
      </c>
      <c r="K424" s="205">
        <f>'Resumen Capacidad'!$D$116</f>
        <v>56.576</v>
      </c>
      <c r="L424" s="205">
        <f>'Resumen Capacidad'!$D$116</f>
        <v>56.576</v>
      </c>
      <c r="M424" s="205">
        <f>'Resumen Capacidad'!$D$116</f>
        <v>56.576</v>
      </c>
      <c r="N424" s="205">
        <f>'Resumen Capacidad'!$D$116</f>
        <v>56.576</v>
      </c>
      <c r="O424" s="5"/>
      <c r="P424" s="5"/>
      <c r="Q424" s="5"/>
      <c r="R424" s="5"/>
      <c r="S424" s="5"/>
      <c r="T424" s="5"/>
      <c r="U424" s="5"/>
      <c r="V424" s="5"/>
      <c r="W424" s="5"/>
      <c r="X424" s="5"/>
      <c r="Y424" s="5"/>
      <c r="Z424" s="5"/>
    </row>
    <row r="425" ht="12.0" customHeight="1">
      <c r="A425" s="92" t="s">
        <v>640</v>
      </c>
      <c r="B425" s="5"/>
      <c r="C425" s="204">
        <f>'Resumen Capacidad'!$D$34*'Resumen Capacidad'!$D$70</f>
        <v>1</v>
      </c>
      <c r="D425" s="204">
        <f>'Resumen Capacidad'!$D$34*'Resumen Capacidad'!$D$70</f>
        <v>1</v>
      </c>
      <c r="E425" s="204">
        <f>'Resumen Capacidad'!$D$34*'Resumen Capacidad'!$D$70</f>
        <v>1</v>
      </c>
      <c r="F425" s="204">
        <f>'Resumen Capacidad'!$D$34*'Resumen Capacidad'!$D$70</f>
        <v>1</v>
      </c>
      <c r="G425" s="204">
        <f>'Resumen Capacidad'!$D$34*'Resumen Capacidad'!$D$70</f>
        <v>1</v>
      </c>
      <c r="H425" s="204">
        <f>'Resumen Capacidad'!$D$34*'Resumen Capacidad'!$D$70</f>
        <v>1</v>
      </c>
      <c r="I425" s="204">
        <f>'Resumen Capacidad'!$D$34*'Resumen Capacidad'!$D$70</f>
        <v>1</v>
      </c>
      <c r="J425" s="204">
        <f>'Resumen Capacidad'!$D$34*'Resumen Capacidad'!$D$70</f>
        <v>1</v>
      </c>
      <c r="K425" s="204">
        <f>'Resumen Capacidad'!$D$34*'Resumen Capacidad'!$D$70</f>
        <v>1</v>
      </c>
      <c r="L425" s="204">
        <f>'Resumen Capacidad'!$D$34*'Resumen Capacidad'!$D$70</f>
        <v>1</v>
      </c>
      <c r="M425" s="204">
        <f>'Resumen Capacidad'!$D$34*'Resumen Capacidad'!$D$70</f>
        <v>1</v>
      </c>
      <c r="N425" s="204">
        <f>'Resumen Capacidad'!$D$34*'Resumen Capacidad'!$D$70</f>
        <v>1</v>
      </c>
      <c r="O425" s="5"/>
      <c r="P425" s="5"/>
      <c r="Q425" s="5"/>
      <c r="R425" s="5"/>
      <c r="S425" s="5"/>
      <c r="T425" s="5"/>
      <c r="U425" s="5"/>
      <c r="V425" s="5"/>
      <c r="W425" s="5"/>
      <c r="X425" s="5"/>
      <c r="Y425" s="5"/>
      <c r="Z425" s="5"/>
    </row>
    <row r="426" ht="12.0" customHeight="1">
      <c r="A426" s="92" t="s">
        <v>642</v>
      </c>
      <c r="B426" s="5"/>
      <c r="C426" s="204">
        <f t="shared" ref="C426:N426" si="125">C424*C425</f>
        <v>56.576</v>
      </c>
      <c r="D426" s="204">
        <f t="shared" si="125"/>
        <v>56.576</v>
      </c>
      <c r="E426" s="204">
        <f t="shared" si="125"/>
        <v>56.576</v>
      </c>
      <c r="F426" s="204">
        <f t="shared" si="125"/>
        <v>56.576</v>
      </c>
      <c r="G426" s="204">
        <f t="shared" si="125"/>
        <v>56.576</v>
      </c>
      <c r="H426" s="204">
        <f t="shared" si="125"/>
        <v>56.576</v>
      </c>
      <c r="I426" s="204">
        <f t="shared" si="125"/>
        <v>56.576</v>
      </c>
      <c r="J426" s="204">
        <f t="shared" si="125"/>
        <v>56.576</v>
      </c>
      <c r="K426" s="204">
        <f t="shared" si="125"/>
        <v>56.576</v>
      </c>
      <c r="L426" s="204">
        <f t="shared" si="125"/>
        <v>56.576</v>
      </c>
      <c r="M426" s="204">
        <f t="shared" si="125"/>
        <v>56.576</v>
      </c>
      <c r="N426" s="204">
        <f t="shared" si="125"/>
        <v>56.576</v>
      </c>
      <c r="O426" s="5"/>
      <c r="P426" s="5"/>
      <c r="Q426" s="5"/>
      <c r="R426" s="5"/>
      <c r="S426" s="5"/>
      <c r="T426" s="5"/>
      <c r="U426" s="5"/>
      <c r="V426" s="5"/>
      <c r="W426" s="5"/>
      <c r="X426" s="5"/>
      <c r="Y426" s="5"/>
      <c r="Z426" s="5"/>
    </row>
    <row r="427" ht="12.0" customHeight="1">
      <c r="A427" s="92" t="s">
        <v>643</v>
      </c>
      <c r="B427" s="5"/>
      <c r="C427" s="206">
        <f t="shared" ref="C427:N427" si="126">IF(C426=0,0,C423/C426)</f>
        <v>0.09666053922</v>
      </c>
      <c r="D427" s="206">
        <f t="shared" si="126"/>
        <v>0.07732843137</v>
      </c>
      <c r="E427" s="206">
        <f t="shared" si="126"/>
        <v>0.08216145833</v>
      </c>
      <c r="F427" s="206">
        <f t="shared" si="126"/>
        <v>0.08216145833</v>
      </c>
      <c r="G427" s="206">
        <f t="shared" si="126"/>
        <v>0.07732843137</v>
      </c>
      <c r="H427" s="206">
        <f t="shared" si="126"/>
        <v>0.07249540441</v>
      </c>
      <c r="I427" s="206">
        <f t="shared" si="126"/>
        <v>0.07732843137</v>
      </c>
      <c r="J427" s="206">
        <f t="shared" si="126"/>
        <v>0.07732843137</v>
      </c>
      <c r="K427" s="206">
        <f t="shared" si="126"/>
        <v>0.07732843137</v>
      </c>
      <c r="L427" s="206">
        <f t="shared" si="126"/>
        <v>0.07249540441</v>
      </c>
      <c r="M427" s="206">
        <f t="shared" si="126"/>
        <v>0.06766237745</v>
      </c>
      <c r="N427" s="206">
        <f t="shared" si="126"/>
        <v>0.1063265931</v>
      </c>
      <c r="O427" s="5"/>
      <c r="P427" s="5"/>
      <c r="Q427" s="5"/>
      <c r="R427" s="5"/>
      <c r="S427" s="5"/>
      <c r="T427" s="5"/>
      <c r="U427" s="5"/>
      <c r="V427" s="5"/>
      <c r="W427" s="5"/>
      <c r="X427" s="5"/>
      <c r="Y427" s="5"/>
      <c r="Z427" s="5"/>
    </row>
    <row r="428" ht="12.0" customHeight="1">
      <c r="A428" s="201" t="s">
        <v>663</v>
      </c>
      <c r="B428" s="202"/>
      <c r="C428" s="202"/>
      <c r="D428" s="202"/>
      <c r="E428" s="202"/>
      <c r="F428" s="202"/>
      <c r="G428" s="202"/>
      <c r="H428" s="202"/>
      <c r="I428" s="202"/>
      <c r="J428" s="202"/>
      <c r="K428" s="202"/>
      <c r="L428" s="202"/>
      <c r="M428" s="202"/>
      <c r="N428" s="202"/>
      <c r="O428" s="5"/>
      <c r="P428" s="5"/>
      <c r="Q428" s="5"/>
      <c r="R428" s="5"/>
      <c r="S428" s="5"/>
      <c r="T428" s="5"/>
      <c r="U428" s="5"/>
      <c r="V428" s="5"/>
      <c r="W428" s="5"/>
      <c r="X428" s="5"/>
      <c r="Y428" s="5"/>
      <c r="Z428" s="5"/>
    </row>
    <row r="429" ht="12.0" customHeight="1">
      <c r="A429" s="201" t="s">
        <v>630</v>
      </c>
      <c r="B429" s="201" t="s">
        <v>631</v>
      </c>
      <c r="C429" s="201" t="s">
        <v>3</v>
      </c>
      <c r="D429" s="201" t="s">
        <v>4</v>
      </c>
      <c r="E429" s="201" t="s">
        <v>5</v>
      </c>
      <c r="F429" s="201" t="s">
        <v>6</v>
      </c>
      <c r="G429" s="201" t="s">
        <v>7</v>
      </c>
      <c r="H429" s="201" t="s">
        <v>8</v>
      </c>
      <c r="I429" s="201" t="s">
        <v>9</v>
      </c>
      <c r="J429" s="201" t="s">
        <v>10</v>
      </c>
      <c r="K429" s="201" t="s">
        <v>11</v>
      </c>
      <c r="L429" s="201" t="s">
        <v>12</v>
      </c>
      <c r="M429" s="201" t="s">
        <v>13</v>
      </c>
      <c r="N429" s="201" t="s">
        <v>14</v>
      </c>
      <c r="O429" s="5"/>
      <c r="P429" s="5"/>
      <c r="Q429" s="5"/>
      <c r="R429" s="5"/>
      <c r="S429" s="5"/>
      <c r="T429" s="5"/>
      <c r="U429" s="5"/>
      <c r="V429" s="5"/>
      <c r="W429" s="5"/>
      <c r="X429" s="5"/>
      <c r="Y429" s="5"/>
      <c r="Z429" s="5"/>
    </row>
    <row r="430" ht="12.0" customHeight="1">
      <c r="A430" s="92" t="s">
        <v>632</v>
      </c>
      <c r="B430" s="92" t="s">
        <v>633</v>
      </c>
      <c r="C430" s="203">
        <f>SUM('2028'!B6:B9)+SUM('2028'!B17:B20)</f>
        <v>2561.98</v>
      </c>
      <c r="D430" s="203">
        <f>SUM('2028'!C6:C9)+SUM('2028'!C17:C20)</f>
        <v>1962.5</v>
      </c>
      <c r="E430" s="203">
        <f>SUM('2028'!D6:D9)+SUM('2028'!D17:D20)</f>
        <v>1858.375</v>
      </c>
      <c r="F430" s="203">
        <f>SUM('2028'!E6:E9)+SUM('2028'!E17:E20)</f>
        <v>1785.805</v>
      </c>
      <c r="G430" s="203">
        <f>SUM('2028'!F6:F9)+SUM('2028'!F17:F20)</f>
        <v>1672.22</v>
      </c>
      <c r="H430" s="203">
        <f>SUM('2028'!G6:G9)+SUM('2028'!G17:G20)</f>
        <v>1631.205</v>
      </c>
      <c r="I430" s="203">
        <f>SUM('2028'!H6:H9)+SUM('2028'!H17:H20)</f>
        <v>1744.79</v>
      </c>
      <c r="J430" s="203">
        <f>SUM('2028'!I6:I9)+SUM('2028'!I17:I20)</f>
        <v>1744.79</v>
      </c>
      <c r="K430" s="203">
        <f>SUM('2028'!J6:J9)+SUM('2028'!J17:J20)</f>
        <v>1744.79</v>
      </c>
      <c r="L430" s="203">
        <f>SUM('2028'!K6:K9)+SUM('2028'!K17:K20)</f>
        <v>1703.775</v>
      </c>
      <c r="M430" s="203">
        <f>SUM('2028'!L6:L9)+SUM('2028'!L17:L20)</f>
        <v>1662.76</v>
      </c>
      <c r="N430" s="203">
        <f>SUM('2028'!M6:M9)+SUM('2028'!M17:M20)</f>
        <v>2644.01</v>
      </c>
      <c r="O430" s="5"/>
      <c r="P430" s="5"/>
      <c r="Q430" s="5"/>
      <c r="R430" s="5"/>
      <c r="S430" s="5"/>
      <c r="T430" s="5"/>
      <c r="U430" s="5"/>
      <c r="V430" s="5"/>
      <c r="W430" s="5"/>
      <c r="X430" s="5"/>
      <c r="Y430" s="5"/>
      <c r="Z430" s="5"/>
    </row>
    <row r="431" ht="12.0" customHeight="1">
      <c r="A431" s="5"/>
      <c r="B431" s="92" t="s">
        <v>634</v>
      </c>
      <c r="C431" s="204">
        <f>C430/Parametros!$B$37</f>
        <v>128.099</v>
      </c>
      <c r="D431" s="204">
        <f>D430/Parametros!$B$37</f>
        <v>98.125</v>
      </c>
      <c r="E431" s="204">
        <f>E430/Parametros!$B$37</f>
        <v>92.91875</v>
      </c>
      <c r="F431" s="204">
        <f>F430/Parametros!$B$37</f>
        <v>89.29025</v>
      </c>
      <c r="G431" s="204">
        <f>G430/Parametros!$B$37</f>
        <v>83.611</v>
      </c>
      <c r="H431" s="204">
        <f>H430/Parametros!$B$37</f>
        <v>81.56025</v>
      </c>
      <c r="I431" s="204">
        <f>I430/Parametros!$B$37</f>
        <v>87.2395</v>
      </c>
      <c r="J431" s="204">
        <f>J430/Parametros!$B$37</f>
        <v>87.2395</v>
      </c>
      <c r="K431" s="204">
        <f>K430/Parametros!$B$37</f>
        <v>87.2395</v>
      </c>
      <c r="L431" s="204">
        <f>L430/Parametros!$B$37</f>
        <v>85.18875</v>
      </c>
      <c r="M431" s="204">
        <f>M430/Parametros!$B$37</f>
        <v>83.138</v>
      </c>
      <c r="N431" s="204">
        <f>N430/Parametros!$B$37</f>
        <v>132.2005</v>
      </c>
      <c r="O431" s="5"/>
      <c r="P431" s="5"/>
      <c r="Q431" s="5"/>
      <c r="R431" s="5"/>
      <c r="S431" s="5"/>
      <c r="T431" s="5"/>
      <c r="U431" s="5"/>
      <c r="V431" s="5"/>
      <c r="W431" s="5"/>
      <c r="X431" s="5"/>
      <c r="Y431" s="5"/>
      <c r="Z431" s="5"/>
    </row>
    <row r="432" ht="12.0" customHeight="1">
      <c r="A432" s="5"/>
      <c r="B432" s="92" t="s">
        <v>635</v>
      </c>
      <c r="C432" s="204">
        <f>C431/Parametros!$J$37</f>
        <v>17.07986667</v>
      </c>
      <c r="D432" s="204">
        <f>D431/Parametros!$J$37</f>
        <v>13.08333333</v>
      </c>
      <c r="E432" s="204">
        <f>E431/Parametros!$J$37</f>
        <v>12.38916667</v>
      </c>
      <c r="F432" s="204">
        <f>F431/Parametros!$J$37</f>
        <v>11.90536667</v>
      </c>
      <c r="G432" s="204">
        <f>G431/Parametros!$J$37</f>
        <v>11.14813333</v>
      </c>
      <c r="H432" s="204">
        <f>H431/Parametros!$J$37</f>
        <v>10.8747</v>
      </c>
      <c r="I432" s="204">
        <f>I431/Parametros!$J$37</f>
        <v>11.63193333</v>
      </c>
      <c r="J432" s="204">
        <f>J431/Parametros!$J$37</f>
        <v>11.63193333</v>
      </c>
      <c r="K432" s="204">
        <f>K431/Parametros!$J$37</f>
        <v>11.63193333</v>
      </c>
      <c r="L432" s="204">
        <f>L431/Parametros!$J$37</f>
        <v>11.3585</v>
      </c>
      <c r="M432" s="204">
        <f>M431/Parametros!$J$37</f>
        <v>11.08506667</v>
      </c>
      <c r="N432" s="204">
        <f>N431/Parametros!$J$37</f>
        <v>17.62673333</v>
      </c>
      <c r="O432" s="5"/>
      <c r="P432" s="5"/>
      <c r="Q432" s="5"/>
      <c r="R432" s="5"/>
      <c r="S432" s="5"/>
      <c r="T432" s="5"/>
      <c r="U432" s="5"/>
      <c r="V432" s="5"/>
      <c r="W432" s="5"/>
      <c r="X432" s="5"/>
      <c r="Y432" s="5"/>
      <c r="Z432" s="5"/>
    </row>
    <row r="433" ht="12.0" customHeight="1">
      <c r="A433" s="92" t="s">
        <v>636</v>
      </c>
      <c r="B433" s="5"/>
      <c r="C433" s="204">
        <f t="shared" ref="C433:N433" si="127">C432</f>
        <v>17.07986667</v>
      </c>
      <c r="D433" s="204">
        <f t="shared" si="127"/>
        <v>13.08333333</v>
      </c>
      <c r="E433" s="204">
        <f t="shared" si="127"/>
        <v>12.38916667</v>
      </c>
      <c r="F433" s="204">
        <f t="shared" si="127"/>
        <v>11.90536667</v>
      </c>
      <c r="G433" s="204">
        <f t="shared" si="127"/>
        <v>11.14813333</v>
      </c>
      <c r="H433" s="204">
        <f t="shared" si="127"/>
        <v>10.8747</v>
      </c>
      <c r="I433" s="204">
        <f t="shared" si="127"/>
        <v>11.63193333</v>
      </c>
      <c r="J433" s="204">
        <f t="shared" si="127"/>
        <v>11.63193333</v>
      </c>
      <c r="K433" s="204">
        <f t="shared" si="127"/>
        <v>11.63193333</v>
      </c>
      <c r="L433" s="204">
        <f t="shared" si="127"/>
        <v>11.3585</v>
      </c>
      <c r="M433" s="204">
        <f t="shared" si="127"/>
        <v>11.08506667</v>
      </c>
      <c r="N433" s="204">
        <f t="shared" si="127"/>
        <v>17.62673333</v>
      </c>
      <c r="O433" s="5"/>
      <c r="P433" s="5"/>
      <c r="Q433" s="5"/>
      <c r="R433" s="5"/>
      <c r="S433" s="5"/>
      <c r="T433" s="5"/>
      <c r="U433" s="5"/>
      <c r="V433" s="5"/>
      <c r="W433" s="5"/>
      <c r="X433" s="5"/>
      <c r="Y433" s="5"/>
      <c r="Z433" s="5"/>
    </row>
    <row r="434" ht="12.0" customHeight="1">
      <c r="A434" s="92" t="s">
        <v>637</v>
      </c>
      <c r="B434" s="5"/>
      <c r="C434" s="205">
        <f>'Resumen Capacidad'!$D$117</f>
        <v>60.656</v>
      </c>
      <c r="D434" s="205">
        <f>'Resumen Capacidad'!$D$117</f>
        <v>60.656</v>
      </c>
      <c r="E434" s="205">
        <f>'Resumen Capacidad'!$D$117</f>
        <v>60.656</v>
      </c>
      <c r="F434" s="205">
        <f>'Resumen Capacidad'!$D$117</f>
        <v>60.656</v>
      </c>
      <c r="G434" s="205">
        <f>'Resumen Capacidad'!$D$117</f>
        <v>60.656</v>
      </c>
      <c r="H434" s="205">
        <f>'Resumen Capacidad'!$D$117</f>
        <v>60.656</v>
      </c>
      <c r="I434" s="205">
        <f>'Resumen Capacidad'!$D$117</f>
        <v>60.656</v>
      </c>
      <c r="J434" s="205">
        <f>'Resumen Capacidad'!$D$117</f>
        <v>60.656</v>
      </c>
      <c r="K434" s="205">
        <f>'Resumen Capacidad'!$D$117</f>
        <v>60.656</v>
      </c>
      <c r="L434" s="205">
        <f>'Resumen Capacidad'!$D$117</f>
        <v>60.656</v>
      </c>
      <c r="M434" s="205">
        <f>'Resumen Capacidad'!$D$117</f>
        <v>60.656</v>
      </c>
      <c r="N434" s="205">
        <f>'Resumen Capacidad'!$D$117</f>
        <v>60.656</v>
      </c>
      <c r="O434" s="5"/>
      <c r="P434" s="5"/>
      <c r="Q434" s="5"/>
      <c r="R434" s="5"/>
      <c r="S434" s="5"/>
      <c r="T434" s="5"/>
      <c r="U434" s="5"/>
      <c r="V434" s="5"/>
      <c r="W434" s="5"/>
      <c r="X434" s="5"/>
      <c r="Y434" s="5"/>
      <c r="Z434" s="5"/>
    </row>
    <row r="435" ht="12.0" customHeight="1">
      <c r="A435" s="92" t="s">
        <v>640</v>
      </c>
      <c r="B435" s="5"/>
      <c r="C435" s="204">
        <f>'Resumen Capacidad'!$D$35*'Resumen Capacidad'!$D$71</f>
        <v>1</v>
      </c>
      <c r="D435" s="204">
        <f>'Resumen Capacidad'!$D$35*'Resumen Capacidad'!$D$71</f>
        <v>1</v>
      </c>
      <c r="E435" s="204">
        <f>'Resumen Capacidad'!$D$35*'Resumen Capacidad'!$D$71</f>
        <v>1</v>
      </c>
      <c r="F435" s="204">
        <f>'Resumen Capacidad'!$D$35*'Resumen Capacidad'!$D$71</f>
        <v>1</v>
      </c>
      <c r="G435" s="204">
        <f>'Resumen Capacidad'!$D$35*'Resumen Capacidad'!$D$71</f>
        <v>1</v>
      </c>
      <c r="H435" s="204">
        <f>'Resumen Capacidad'!$D$35*'Resumen Capacidad'!$D$71</f>
        <v>1</v>
      </c>
      <c r="I435" s="204">
        <f>'Resumen Capacidad'!$D$35*'Resumen Capacidad'!$D$71</f>
        <v>1</v>
      </c>
      <c r="J435" s="204">
        <f>'Resumen Capacidad'!$D$35*'Resumen Capacidad'!$D$71</f>
        <v>1</v>
      </c>
      <c r="K435" s="204">
        <f>'Resumen Capacidad'!$D$35*'Resumen Capacidad'!$D$71</f>
        <v>1</v>
      </c>
      <c r="L435" s="204">
        <f>'Resumen Capacidad'!$D$35*'Resumen Capacidad'!$D$71</f>
        <v>1</v>
      </c>
      <c r="M435" s="204">
        <f>'Resumen Capacidad'!$D$35*'Resumen Capacidad'!$D$71</f>
        <v>1</v>
      </c>
      <c r="N435" s="204">
        <f>'Resumen Capacidad'!$D$35*'Resumen Capacidad'!$D$71</f>
        <v>1</v>
      </c>
      <c r="O435" s="5"/>
      <c r="P435" s="5"/>
      <c r="Q435" s="5"/>
      <c r="R435" s="5"/>
      <c r="S435" s="5"/>
      <c r="T435" s="5"/>
      <c r="U435" s="5"/>
      <c r="V435" s="5"/>
      <c r="W435" s="5"/>
      <c r="X435" s="5"/>
      <c r="Y435" s="5"/>
      <c r="Z435" s="5"/>
    </row>
    <row r="436" ht="12.0" customHeight="1">
      <c r="A436" s="92" t="s">
        <v>642</v>
      </c>
      <c r="B436" s="5"/>
      <c r="C436" s="204">
        <f t="shared" ref="C436:N436" si="128">C434*C435</f>
        <v>60.656</v>
      </c>
      <c r="D436" s="204">
        <f t="shared" si="128"/>
        <v>60.656</v>
      </c>
      <c r="E436" s="204">
        <f t="shared" si="128"/>
        <v>60.656</v>
      </c>
      <c r="F436" s="204">
        <f t="shared" si="128"/>
        <v>60.656</v>
      </c>
      <c r="G436" s="204">
        <f t="shared" si="128"/>
        <v>60.656</v>
      </c>
      <c r="H436" s="204">
        <f t="shared" si="128"/>
        <v>60.656</v>
      </c>
      <c r="I436" s="204">
        <f t="shared" si="128"/>
        <v>60.656</v>
      </c>
      <c r="J436" s="204">
        <f t="shared" si="128"/>
        <v>60.656</v>
      </c>
      <c r="K436" s="204">
        <f t="shared" si="128"/>
        <v>60.656</v>
      </c>
      <c r="L436" s="204">
        <f t="shared" si="128"/>
        <v>60.656</v>
      </c>
      <c r="M436" s="204">
        <f t="shared" si="128"/>
        <v>60.656</v>
      </c>
      <c r="N436" s="204">
        <f t="shared" si="128"/>
        <v>60.656</v>
      </c>
      <c r="O436" s="5"/>
      <c r="P436" s="5"/>
      <c r="Q436" s="5"/>
      <c r="R436" s="5"/>
      <c r="S436" s="5"/>
      <c r="T436" s="5"/>
      <c r="U436" s="5"/>
      <c r="V436" s="5"/>
      <c r="W436" s="5"/>
      <c r="X436" s="5"/>
      <c r="Y436" s="5"/>
      <c r="Z436" s="5"/>
    </row>
    <row r="437" ht="12.0" customHeight="1">
      <c r="A437" s="92" t="s">
        <v>643</v>
      </c>
      <c r="B437" s="5"/>
      <c r="C437" s="206">
        <f t="shared" ref="C437:N437" si="129">IF(C436=0,0,C433/C436)</f>
        <v>0.2815857733</v>
      </c>
      <c r="D437" s="206">
        <f t="shared" si="129"/>
        <v>0.2156972655</v>
      </c>
      <c r="E437" s="206">
        <f t="shared" si="129"/>
        <v>0.2042529456</v>
      </c>
      <c r="F437" s="206">
        <f t="shared" si="129"/>
        <v>0.1962768179</v>
      </c>
      <c r="G437" s="206">
        <f t="shared" si="129"/>
        <v>0.1837927548</v>
      </c>
      <c r="H437" s="206">
        <f t="shared" si="129"/>
        <v>0.1792848193</v>
      </c>
      <c r="I437" s="206">
        <f t="shared" si="129"/>
        <v>0.1917688824</v>
      </c>
      <c r="J437" s="206">
        <f t="shared" si="129"/>
        <v>0.1917688824</v>
      </c>
      <c r="K437" s="206">
        <f t="shared" si="129"/>
        <v>0.1917688824</v>
      </c>
      <c r="L437" s="206">
        <f t="shared" si="129"/>
        <v>0.187260947</v>
      </c>
      <c r="M437" s="206">
        <f t="shared" si="129"/>
        <v>0.1827530115</v>
      </c>
      <c r="N437" s="206">
        <f t="shared" si="129"/>
        <v>0.2906016442</v>
      </c>
      <c r="O437" s="5"/>
      <c r="P437" s="5"/>
      <c r="Q437" s="5"/>
      <c r="R437" s="5"/>
      <c r="S437" s="5"/>
      <c r="T437" s="5"/>
      <c r="U437" s="5"/>
      <c r="V437" s="5"/>
      <c r="W437" s="5"/>
      <c r="X437" s="5"/>
      <c r="Y437" s="5"/>
      <c r="Z437" s="5"/>
    </row>
    <row r="438" ht="12.0" customHeight="1">
      <c r="A438" s="201" t="s">
        <v>664</v>
      </c>
      <c r="B438" s="202"/>
      <c r="C438" s="202"/>
      <c r="D438" s="202"/>
      <c r="E438" s="202"/>
      <c r="F438" s="202"/>
      <c r="G438" s="202"/>
      <c r="H438" s="202"/>
      <c r="I438" s="202"/>
      <c r="J438" s="202"/>
      <c r="K438" s="202"/>
      <c r="L438" s="202"/>
      <c r="M438" s="202"/>
      <c r="N438" s="202"/>
      <c r="O438" s="5"/>
      <c r="P438" s="5"/>
      <c r="Q438" s="5"/>
      <c r="R438" s="5"/>
      <c r="S438" s="5"/>
      <c r="T438" s="5"/>
      <c r="U438" s="5"/>
      <c r="V438" s="5"/>
      <c r="W438" s="5"/>
      <c r="X438" s="5"/>
      <c r="Y438" s="5"/>
      <c r="Z438" s="5"/>
    </row>
    <row r="439" ht="12.0" customHeight="1">
      <c r="A439" s="201" t="s">
        <v>630</v>
      </c>
      <c r="B439" s="201" t="s">
        <v>631</v>
      </c>
      <c r="C439" s="201" t="s">
        <v>3</v>
      </c>
      <c r="D439" s="201" t="s">
        <v>4</v>
      </c>
      <c r="E439" s="201" t="s">
        <v>5</v>
      </c>
      <c r="F439" s="201" t="s">
        <v>6</v>
      </c>
      <c r="G439" s="201" t="s">
        <v>7</v>
      </c>
      <c r="H439" s="201" t="s">
        <v>8</v>
      </c>
      <c r="I439" s="201" t="s">
        <v>9</v>
      </c>
      <c r="J439" s="201" t="s">
        <v>10</v>
      </c>
      <c r="K439" s="201" t="s">
        <v>11</v>
      </c>
      <c r="L439" s="201" t="s">
        <v>12</v>
      </c>
      <c r="M439" s="201" t="s">
        <v>13</v>
      </c>
      <c r="N439" s="201" t="s">
        <v>14</v>
      </c>
      <c r="O439" s="5"/>
      <c r="P439" s="5"/>
      <c r="Q439" s="5"/>
      <c r="R439" s="5"/>
      <c r="S439" s="5"/>
      <c r="T439" s="5"/>
      <c r="U439" s="5"/>
      <c r="V439" s="5"/>
      <c r="W439" s="5"/>
      <c r="X439" s="5"/>
      <c r="Y439" s="5"/>
      <c r="Z439" s="5"/>
    </row>
    <row r="440" ht="12.0" customHeight="1">
      <c r="A440" s="92" t="s">
        <v>632</v>
      </c>
      <c r="B440" s="92" t="s">
        <v>633</v>
      </c>
      <c r="C440" s="203">
        <f>SUM('2028'!B6:B9)+SUM('2028'!B17:B20)</f>
        <v>2561.98</v>
      </c>
      <c r="D440" s="203">
        <f>SUM('2028'!C6:C9)+SUM('2028'!C17:C20)</f>
        <v>1962.5</v>
      </c>
      <c r="E440" s="203">
        <f>SUM('2028'!D6:D9)+SUM('2028'!D17:D20)</f>
        <v>1858.375</v>
      </c>
      <c r="F440" s="203">
        <f>SUM('2028'!E6:E9)+SUM('2028'!E17:E20)</f>
        <v>1785.805</v>
      </c>
      <c r="G440" s="203">
        <f>SUM('2028'!F6:F9)+SUM('2028'!F17:F20)</f>
        <v>1672.22</v>
      </c>
      <c r="H440" s="203">
        <f>SUM('2028'!G6:G9)+SUM('2028'!G17:G20)</f>
        <v>1631.205</v>
      </c>
      <c r="I440" s="203">
        <f>SUM('2028'!H6:H9)+SUM('2028'!H17:H20)</f>
        <v>1744.79</v>
      </c>
      <c r="J440" s="203">
        <f>SUM('2028'!I6:I9)+SUM('2028'!I17:I20)</f>
        <v>1744.79</v>
      </c>
      <c r="K440" s="203">
        <f>SUM('2028'!J6:J9)+SUM('2028'!J17:J20)</f>
        <v>1744.79</v>
      </c>
      <c r="L440" s="203">
        <f>SUM('2028'!K6:K9)+SUM('2028'!K17:K20)</f>
        <v>1703.775</v>
      </c>
      <c r="M440" s="203">
        <f>SUM('2028'!L6:L9)+SUM('2028'!L17:L20)</f>
        <v>1662.76</v>
      </c>
      <c r="N440" s="203">
        <f>SUM('2028'!M6:M9)+SUM('2028'!M17:M20)</f>
        <v>2644.01</v>
      </c>
      <c r="O440" s="5"/>
      <c r="P440" s="5"/>
      <c r="Q440" s="5"/>
      <c r="R440" s="5"/>
      <c r="S440" s="5"/>
      <c r="T440" s="5"/>
      <c r="U440" s="5"/>
      <c r="V440" s="5"/>
      <c r="W440" s="5"/>
      <c r="X440" s="5"/>
      <c r="Y440" s="5"/>
      <c r="Z440" s="5"/>
    </row>
    <row r="441" ht="12.0" customHeight="1">
      <c r="A441" s="5"/>
      <c r="B441" s="92" t="s">
        <v>634</v>
      </c>
      <c r="C441" s="204">
        <f>C440/Parametros!$B$37</f>
        <v>128.099</v>
      </c>
      <c r="D441" s="204">
        <f>D440/Parametros!$B$37</f>
        <v>98.125</v>
      </c>
      <c r="E441" s="204">
        <f>E440/Parametros!$B$37</f>
        <v>92.91875</v>
      </c>
      <c r="F441" s="204">
        <f>F440/Parametros!$B$37</f>
        <v>89.29025</v>
      </c>
      <c r="G441" s="204">
        <f>G440/Parametros!$B$37</f>
        <v>83.611</v>
      </c>
      <c r="H441" s="204">
        <f>H440/Parametros!$B$37</f>
        <v>81.56025</v>
      </c>
      <c r="I441" s="204">
        <f>I440/Parametros!$B$37</f>
        <v>87.2395</v>
      </c>
      <c r="J441" s="204">
        <f>J440/Parametros!$B$37</f>
        <v>87.2395</v>
      </c>
      <c r="K441" s="204">
        <f>K440/Parametros!$B$37</f>
        <v>87.2395</v>
      </c>
      <c r="L441" s="204">
        <f>L440/Parametros!$B$37</f>
        <v>85.18875</v>
      </c>
      <c r="M441" s="204">
        <f>M440/Parametros!$B$37</f>
        <v>83.138</v>
      </c>
      <c r="N441" s="204">
        <f>N440/Parametros!$B$37</f>
        <v>132.2005</v>
      </c>
      <c r="O441" s="5"/>
      <c r="P441" s="5"/>
      <c r="Q441" s="5"/>
      <c r="R441" s="5"/>
      <c r="S441" s="5"/>
      <c r="T441" s="5"/>
      <c r="U441" s="5"/>
      <c r="V441" s="5"/>
      <c r="W441" s="5"/>
      <c r="X441" s="5"/>
      <c r="Y441" s="5"/>
      <c r="Z441" s="5"/>
    </row>
    <row r="442" ht="12.0" customHeight="1">
      <c r="A442" s="5"/>
      <c r="B442" s="92" t="s">
        <v>635</v>
      </c>
      <c r="C442" s="204">
        <f>C441/Parametros!$J$37</f>
        <v>17.07986667</v>
      </c>
      <c r="D442" s="204">
        <f>D441/Parametros!$J$37</f>
        <v>13.08333333</v>
      </c>
      <c r="E442" s="204">
        <f>E441/Parametros!$J$37</f>
        <v>12.38916667</v>
      </c>
      <c r="F442" s="204">
        <f>F441/Parametros!$J$37</f>
        <v>11.90536667</v>
      </c>
      <c r="G442" s="204">
        <f>G441/Parametros!$J$37</f>
        <v>11.14813333</v>
      </c>
      <c r="H442" s="204">
        <f>H441/Parametros!$J$37</f>
        <v>10.8747</v>
      </c>
      <c r="I442" s="204">
        <f>I441/Parametros!$J$37</f>
        <v>11.63193333</v>
      </c>
      <c r="J442" s="204">
        <f>J441/Parametros!$J$37</f>
        <v>11.63193333</v>
      </c>
      <c r="K442" s="204">
        <f>K441/Parametros!$J$37</f>
        <v>11.63193333</v>
      </c>
      <c r="L442" s="204">
        <f>L441/Parametros!$J$37</f>
        <v>11.3585</v>
      </c>
      <c r="M442" s="204">
        <f>M441/Parametros!$J$37</f>
        <v>11.08506667</v>
      </c>
      <c r="N442" s="204">
        <f>N441/Parametros!$J$37</f>
        <v>17.62673333</v>
      </c>
      <c r="O442" s="5"/>
      <c r="P442" s="5"/>
      <c r="Q442" s="5"/>
      <c r="R442" s="5"/>
      <c r="S442" s="5"/>
      <c r="T442" s="5"/>
      <c r="U442" s="5"/>
      <c r="V442" s="5"/>
      <c r="W442" s="5"/>
      <c r="X442" s="5"/>
      <c r="Y442" s="5"/>
      <c r="Z442" s="5"/>
    </row>
    <row r="443" ht="12.0" customHeight="1">
      <c r="A443" s="92" t="s">
        <v>636</v>
      </c>
      <c r="B443" s="5"/>
      <c r="C443" s="204">
        <f t="shared" ref="C443:N443" si="130">C442</f>
        <v>17.07986667</v>
      </c>
      <c r="D443" s="204">
        <f t="shared" si="130"/>
        <v>13.08333333</v>
      </c>
      <c r="E443" s="204">
        <f t="shared" si="130"/>
        <v>12.38916667</v>
      </c>
      <c r="F443" s="204">
        <f t="shared" si="130"/>
        <v>11.90536667</v>
      </c>
      <c r="G443" s="204">
        <f t="shared" si="130"/>
        <v>11.14813333</v>
      </c>
      <c r="H443" s="204">
        <f t="shared" si="130"/>
        <v>10.8747</v>
      </c>
      <c r="I443" s="204">
        <f t="shared" si="130"/>
        <v>11.63193333</v>
      </c>
      <c r="J443" s="204">
        <f t="shared" si="130"/>
        <v>11.63193333</v>
      </c>
      <c r="K443" s="204">
        <f t="shared" si="130"/>
        <v>11.63193333</v>
      </c>
      <c r="L443" s="204">
        <f t="shared" si="130"/>
        <v>11.3585</v>
      </c>
      <c r="M443" s="204">
        <f t="shared" si="130"/>
        <v>11.08506667</v>
      </c>
      <c r="N443" s="204">
        <f t="shared" si="130"/>
        <v>17.62673333</v>
      </c>
      <c r="O443" s="5"/>
      <c r="P443" s="5"/>
      <c r="Q443" s="5"/>
      <c r="R443" s="5"/>
      <c r="S443" s="5"/>
      <c r="T443" s="5"/>
      <c r="U443" s="5"/>
      <c r="V443" s="5"/>
      <c r="W443" s="5"/>
      <c r="X443" s="5"/>
      <c r="Y443" s="5"/>
      <c r="Z443" s="5"/>
    </row>
    <row r="444" ht="12.0" customHeight="1">
      <c r="A444" s="92" t="s">
        <v>637</v>
      </c>
      <c r="B444" s="5"/>
      <c r="C444" s="205">
        <f>'Resumen Capacidad'!$D$118</f>
        <v>187.425</v>
      </c>
      <c r="D444" s="205">
        <f>'Resumen Capacidad'!$D$118</f>
        <v>187.425</v>
      </c>
      <c r="E444" s="205">
        <f>'Resumen Capacidad'!$D$118</f>
        <v>187.425</v>
      </c>
      <c r="F444" s="205">
        <f>'Resumen Capacidad'!$D$118</f>
        <v>187.425</v>
      </c>
      <c r="G444" s="205">
        <f>'Resumen Capacidad'!$D$118</f>
        <v>187.425</v>
      </c>
      <c r="H444" s="205">
        <f>'Resumen Capacidad'!$D$118</f>
        <v>187.425</v>
      </c>
      <c r="I444" s="205">
        <f>'Resumen Capacidad'!$D$118</f>
        <v>187.425</v>
      </c>
      <c r="J444" s="205">
        <f>'Resumen Capacidad'!$D$118</f>
        <v>187.425</v>
      </c>
      <c r="K444" s="205">
        <f>'Resumen Capacidad'!$D$118</f>
        <v>187.425</v>
      </c>
      <c r="L444" s="205">
        <f>'Resumen Capacidad'!$D$118</f>
        <v>187.425</v>
      </c>
      <c r="M444" s="205">
        <f>'Resumen Capacidad'!$D$118</f>
        <v>187.425</v>
      </c>
      <c r="N444" s="205">
        <f>'Resumen Capacidad'!$D$118</f>
        <v>187.425</v>
      </c>
      <c r="O444" s="5"/>
      <c r="P444" s="5"/>
      <c r="Q444" s="5"/>
      <c r="R444" s="5"/>
      <c r="S444" s="5"/>
      <c r="T444" s="5"/>
      <c r="U444" s="5"/>
      <c r="V444" s="5"/>
      <c r="W444" s="5"/>
      <c r="X444" s="5"/>
      <c r="Y444" s="5"/>
      <c r="Z444" s="5"/>
    </row>
    <row r="445" ht="12.0" customHeight="1">
      <c r="A445" s="92" t="s">
        <v>640</v>
      </c>
      <c r="B445" s="5"/>
      <c r="C445" s="204">
        <f>'Resumen Capacidad'!$D$36*'Resumen Capacidad'!$D$72</f>
        <v>1</v>
      </c>
      <c r="D445" s="204">
        <f>'Resumen Capacidad'!$D$36*'Resumen Capacidad'!$D$72</f>
        <v>1</v>
      </c>
      <c r="E445" s="204">
        <f>'Resumen Capacidad'!$D$36*'Resumen Capacidad'!$D$72</f>
        <v>1</v>
      </c>
      <c r="F445" s="204">
        <f>'Resumen Capacidad'!$D$36*'Resumen Capacidad'!$D$72</f>
        <v>1</v>
      </c>
      <c r="G445" s="204">
        <f>'Resumen Capacidad'!$D$36*'Resumen Capacidad'!$D$72</f>
        <v>1</v>
      </c>
      <c r="H445" s="204">
        <f>'Resumen Capacidad'!$D$36*'Resumen Capacidad'!$D$72</f>
        <v>1</v>
      </c>
      <c r="I445" s="204">
        <f>'Resumen Capacidad'!$D$36*'Resumen Capacidad'!$D$72</f>
        <v>1</v>
      </c>
      <c r="J445" s="204">
        <f>'Resumen Capacidad'!$D$36*'Resumen Capacidad'!$D$72</f>
        <v>1</v>
      </c>
      <c r="K445" s="204">
        <f>'Resumen Capacidad'!$D$36*'Resumen Capacidad'!$D$72</f>
        <v>1</v>
      </c>
      <c r="L445" s="204">
        <f>'Resumen Capacidad'!$D$36*'Resumen Capacidad'!$D$72</f>
        <v>1</v>
      </c>
      <c r="M445" s="204">
        <f>'Resumen Capacidad'!$D$36*'Resumen Capacidad'!$D$72</f>
        <v>1</v>
      </c>
      <c r="N445" s="204">
        <f>'Resumen Capacidad'!$D$36*'Resumen Capacidad'!$D$72</f>
        <v>1</v>
      </c>
      <c r="O445" s="5"/>
      <c r="P445" s="5"/>
      <c r="Q445" s="5"/>
      <c r="R445" s="5"/>
      <c r="S445" s="5"/>
      <c r="T445" s="5"/>
      <c r="U445" s="5"/>
      <c r="V445" s="5"/>
      <c r="W445" s="5"/>
      <c r="X445" s="5"/>
      <c r="Y445" s="5"/>
      <c r="Z445" s="5"/>
    </row>
    <row r="446" ht="12.0" customHeight="1">
      <c r="A446" s="92" t="s">
        <v>642</v>
      </c>
      <c r="B446" s="5"/>
      <c r="C446" s="204">
        <f t="shared" ref="C446:N446" si="131">C444*C445</f>
        <v>187.425</v>
      </c>
      <c r="D446" s="204">
        <f t="shared" si="131"/>
        <v>187.425</v>
      </c>
      <c r="E446" s="204">
        <f t="shared" si="131"/>
        <v>187.425</v>
      </c>
      <c r="F446" s="204">
        <f t="shared" si="131"/>
        <v>187.425</v>
      </c>
      <c r="G446" s="204">
        <f t="shared" si="131"/>
        <v>187.425</v>
      </c>
      <c r="H446" s="204">
        <f t="shared" si="131"/>
        <v>187.425</v>
      </c>
      <c r="I446" s="204">
        <f t="shared" si="131"/>
        <v>187.425</v>
      </c>
      <c r="J446" s="204">
        <f t="shared" si="131"/>
        <v>187.425</v>
      </c>
      <c r="K446" s="204">
        <f t="shared" si="131"/>
        <v>187.425</v>
      </c>
      <c r="L446" s="204">
        <f t="shared" si="131"/>
        <v>187.425</v>
      </c>
      <c r="M446" s="204">
        <f t="shared" si="131"/>
        <v>187.425</v>
      </c>
      <c r="N446" s="204">
        <f t="shared" si="131"/>
        <v>187.425</v>
      </c>
      <c r="O446" s="5"/>
      <c r="P446" s="5"/>
      <c r="Q446" s="5"/>
      <c r="R446" s="5"/>
      <c r="S446" s="5"/>
      <c r="T446" s="5"/>
      <c r="U446" s="5"/>
      <c r="V446" s="5"/>
      <c r="W446" s="5"/>
      <c r="X446" s="5"/>
      <c r="Y446" s="5"/>
      <c r="Z446" s="5"/>
    </row>
    <row r="447" ht="12.0" customHeight="1">
      <c r="A447" s="92" t="s">
        <v>643</v>
      </c>
      <c r="B447" s="5"/>
      <c r="C447" s="206">
        <f t="shared" ref="C447:N447" si="132">IF(C446=0,0,C443/C446)</f>
        <v>0.09112907385</v>
      </c>
      <c r="D447" s="206">
        <f t="shared" si="132"/>
        <v>0.06980570006</v>
      </c>
      <c r="E447" s="206">
        <f t="shared" si="132"/>
        <v>0.06610199635</v>
      </c>
      <c r="F447" s="206">
        <f t="shared" si="132"/>
        <v>0.06352069717</v>
      </c>
      <c r="G447" s="206">
        <f t="shared" si="132"/>
        <v>0.05948050331</v>
      </c>
      <c r="H447" s="206">
        <f t="shared" si="132"/>
        <v>0.05802160864</v>
      </c>
      <c r="I447" s="206">
        <f t="shared" si="132"/>
        <v>0.0620618025</v>
      </c>
      <c r="J447" s="206">
        <f t="shared" si="132"/>
        <v>0.0620618025</v>
      </c>
      <c r="K447" s="206">
        <f t="shared" si="132"/>
        <v>0.0620618025</v>
      </c>
      <c r="L447" s="206">
        <f t="shared" si="132"/>
        <v>0.06060290783</v>
      </c>
      <c r="M447" s="206">
        <f t="shared" si="132"/>
        <v>0.05914401316</v>
      </c>
      <c r="N447" s="206">
        <f t="shared" si="132"/>
        <v>0.09404686319</v>
      </c>
      <c r="O447" s="5"/>
      <c r="P447" s="5"/>
      <c r="Q447" s="5"/>
      <c r="R447" s="5"/>
      <c r="S447" s="5"/>
      <c r="T447" s="5"/>
      <c r="U447" s="5"/>
      <c r="V447" s="5"/>
      <c r="W447" s="5"/>
      <c r="X447" s="5"/>
      <c r="Y447" s="5"/>
      <c r="Z447" s="5"/>
    </row>
    <row r="448" ht="12.0" customHeight="1">
      <c r="A448" s="201" t="s">
        <v>665</v>
      </c>
      <c r="B448" s="202"/>
      <c r="C448" s="202"/>
      <c r="D448" s="202"/>
      <c r="E448" s="202"/>
      <c r="F448" s="202"/>
      <c r="G448" s="202"/>
      <c r="H448" s="202"/>
      <c r="I448" s="202"/>
      <c r="J448" s="202"/>
      <c r="K448" s="202"/>
      <c r="L448" s="202"/>
      <c r="M448" s="202"/>
      <c r="N448" s="202"/>
      <c r="O448" s="5"/>
      <c r="P448" s="5"/>
      <c r="Q448" s="5"/>
      <c r="R448" s="5"/>
      <c r="S448" s="5"/>
      <c r="T448" s="5"/>
      <c r="U448" s="5"/>
      <c r="V448" s="5"/>
      <c r="W448" s="5"/>
      <c r="X448" s="5"/>
      <c r="Y448" s="5"/>
      <c r="Z448" s="5"/>
    </row>
    <row r="449" ht="12.0" customHeight="1">
      <c r="A449" s="201" t="s">
        <v>630</v>
      </c>
      <c r="B449" s="201" t="s">
        <v>631</v>
      </c>
      <c r="C449" s="201" t="s">
        <v>3</v>
      </c>
      <c r="D449" s="201" t="s">
        <v>4</v>
      </c>
      <c r="E449" s="201" t="s">
        <v>5</v>
      </c>
      <c r="F449" s="201" t="s">
        <v>6</v>
      </c>
      <c r="G449" s="201" t="s">
        <v>7</v>
      </c>
      <c r="H449" s="201" t="s">
        <v>8</v>
      </c>
      <c r="I449" s="201" t="s">
        <v>9</v>
      </c>
      <c r="J449" s="201" t="s">
        <v>10</v>
      </c>
      <c r="K449" s="201" t="s">
        <v>11</v>
      </c>
      <c r="L449" s="201" t="s">
        <v>12</v>
      </c>
      <c r="M449" s="201" t="s">
        <v>13</v>
      </c>
      <c r="N449" s="201" t="s">
        <v>14</v>
      </c>
      <c r="O449" s="5"/>
      <c r="P449" s="5"/>
      <c r="Q449" s="5"/>
      <c r="R449" s="5"/>
      <c r="S449" s="5"/>
      <c r="T449" s="5"/>
      <c r="U449" s="5"/>
      <c r="V449" s="5"/>
      <c r="W449" s="5"/>
      <c r="X449" s="5"/>
      <c r="Y449" s="5"/>
      <c r="Z449" s="5"/>
    </row>
    <row r="450" ht="12.0" customHeight="1">
      <c r="A450" s="92" t="s">
        <v>632</v>
      </c>
      <c r="B450" s="92" t="s">
        <v>633</v>
      </c>
      <c r="C450" s="203">
        <f>SUM('2028'!B6:B9)+SUM('2028'!B17:B20)</f>
        <v>2561.98</v>
      </c>
      <c r="D450" s="203">
        <f>SUM('2028'!C6:C9)+SUM('2028'!C17:C20)</f>
        <v>1962.5</v>
      </c>
      <c r="E450" s="203">
        <f>SUM('2028'!D6:D9)+SUM('2028'!D17:D20)</f>
        <v>1858.375</v>
      </c>
      <c r="F450" s="203">
        <f>SUM('2028'!E6:E9)+SUM('2028'!E17:E20)</f>
        <v>1785.805</v>
      </c>
      <c r="G450" s="203">
        <f>SUM('2028'!F6:F9)+SUM('2028'!F17:F20)</f>
        <v>1672.22</v>
      </c>
      <c r="H450" s="203">
        <f>SUM('2028'!G6:G9)+SUM('2028'!G17:G20)</f>
        <v>1631.205</v>
      </c>
      <c r="I450" s="203">
        <f>SUM('2028'!H6:H9)+SUM('2028'!H17:H20)</f>
        <v>1744.79</v>
      </c>
      <c r="J450" s="203">
        <f>SUM('2028'!I6:I9)+SUM('2028'!I17:I20)</f>
        <v>1744.79</v>
      </c>
      <c r="K450" s="203">
        <f>SUM('2028'!J6:J9)+SUM('2028'!J17:J20)</f>
        <v>1744.79</v>
      </c>
      <c r="L450" s="203">
        <f>SUM('2028'!K6:K9)+SUM('2028'!K17:K20)</f>
        <v>1703.775</v>
      </c>
      <c r="M450" s="203">
        <f>SUM('2028'!L6:L9)+SUM('2028'!L17:L20)</f>
        <v>1662.76</v>
      </c>
      <c r="N450" s="203">
        <f>SUM('2028'!M6:M9)+SUM('2028'!M17:M20)</f>
        <v>2644.01</v>
      </c>
      <c r="O450" s="5"/>
      <c r="P450" s="5"/>
      <c r="Q450" s="5"/>
      <c r="R450" s="5"/>
      <c r="S450" s="5"/>
      <c r="T450" s="5"/>
      <c r="U450" s="5"/>
      <c r="V450" s="5"/>
      <c r="W450" s="5"/>
      <c r="X450" s="5"/>
      <c r="Y450" s="5"/>
      <c r="Z450" s="5"/>
    </row>
    <row r="451" ht="12.0" customHeight="1">
      <c r="A451" s="5"/>
      <c r="B451" s="92" t="s">
        <v>634</v>
      </c>
      <c r="C451" s="204">
        <f>C450/Parametros!$B$37</f>
        <v>128.099</v>
      </c>
      <c r="D451" s="204">
        <f>D450/Parametros!$B$37</f>
        <v>98.125</v>
      </c>
      <c r="E451" s="204">
        <f>E450/Parametros!$B$37</f>
        <v>92.91875</v>
      </c>
      <c r="F451" s="204">
        <f>F450/Parametros!$B$37</f>
        <v>89.29025</v>
      </c>
      <c r="G451" s="204">
        <f>G450/Parametros!$B$37</f>
        <v>83.611</v>
      </c>
      <c r="H451" s="204">
        <f>H450/Parametros!$B$37</f>
        <v>81.56025</v>
      </c>
      <c r="I451" s="204">
        <f>I450/Parametros!$B$37</f>
        <v>87.2395</v>
      </c>
      <c r="J451" s="204">
        <f>J450/Parametros!$B$37</f>
        <v>87.2395</v>
      </c>
      <c r="K451" s="204">
        <f>K450/Parametros!$B$37</f>
        <v>87.2395</v>
      </c>
      <c r="L451" s="204">
        <f>L450/Parametros!$B$37</f>
        <v>85.18875</v>
      </c>
      <c r="M451" s="204">
        <f>M450/Parametros!$B$37</f>
        <v>83.138</v>
      </c>
      <c r="N451" s="204">
        <f>N450/Parametros!$B$37</f>
        <v>132.2005</v>
      </c>
      <c r="O451" s="5"/>
      <c r="P451" s="5"/>
      <c r="Q451" s="5"/>
      <c r="R451" s="5"/>
      <c r="S451" s="5"/>
      <c r="T451" s="5"/>
      <c r="U451" s="5"/>
      <c r="V451" s="5"/>
      <c r="W451" s="5"/>
      <c r="X451" s="5"/>
      <c r="Y451" s="5"/>
      <c r="Z451" s="5"/>
    </row>
    <row r="452" ht="12.0" customHeight="1">
      <c r="A452" s="5"/>
      <c r="B452" s="92" t="s">
        <v>635</v>
      </c>
      <c r="C452" s="204">
        <f>C451/Parametros!$J$37</f>
        <v>17.07986667</v>
      </c>
      <c r="D452" s="204">
        <f>D451/Parametros!$J$37</f>
        <v>13.08333333</v>
      </c>
      <c r="E452" s="204">
        <f>E451/Parametros!$J$37</f>
        <v>12.38916667</v>
      </c>
      <c r="F452" s="204">
        <f>F451/Parametros!$J$37</f>
        <v>11.90536667</v>
      </c>
      <c r="G452" s="204">
        <f>G451/Parametros!$J$37</f>
        <v>11.14813333</v>
      </c>
      <c r="H452" s="204">
        <f>H451/Parametros!$J$37</f>
        <v>10.8747</v>
      </c>
      <c r="I452" s="204">
        <f>I451/Parametros!$J$37</f>
        <v>11.63193333</v>
      </c>
      <c r="J452" s="204">
        <f>J451/Parametros!$J$37</f>
        <v>11.63193333</v>
      </c>
      <c r="K452" s="204">
        <f>K451/Parametros!$J$37</f>
        <v>11.63193333</v>
      </c>
      <c r="L452" s="204">
        <f>L451/Parametros!$J$37</f>
        <v>11.3585</v>
      </c>
      <c r="M452" s="204">
        <f>M451/Parametros!$J$37</f>
        <v>11.08506667</v>
      </c>
      <c r="N452" s="204">
        <f>N451/Parametros!$J$37</f>
        <v>17.62673333</v>
      </c>
      <c r="O452" s="5"/>
      <c r="P452" s="5"/>
      <c r="Q452" s="5"/>
      <c r="R452" s="5"/>
      <c r="S452" s="5"/>
      <c r="T452" s="5"/>
      <c r="U452" s="5"/>
      <c r="V452" s="5"/>
      <c r="W452" s="5"/>
      <c r="X452" s="5"/>
      <c r="Y452" s="5"/>
      <c r="Z452" s="5"/>
    </row>
    <row r="453" ht="12.0" customHeight="1">
      <c r="A453" s="92" t="s">
        <v>636</v>
      </c>
      <c r="B453" s="5"/>
      <c r="C453" s="204">
        <f t="shared" ref="C453:N453" si="133">C452</f>
        <v>17.07986667</v>
      </c>
      <c r="D453" s="204">
        <f t="shared" si="133"/>
        <v>13.08333333</v>
      </c>
      <c r="E453" s="204">
        <f t="shared" si="133"/>
        <v>12.38916667</v>
      </c>
      <c r="F453" s="204">
        <f t="shared" si="133"/>
        <v>11.90536667</v>
      </c>
      <c r="G453" s="204">
        <f t="shared" si="133"/>
        <v>11.14813333</v>
      </c>
      <c r="H453" s="204">
        <f t="shared" si="133"/>
        <v>10.8747</v>
      </c>
      <c r="I453" s="204">
        <f t="shared" si="133"/>
        <v>11.63193333</v>
      </c>
      <c r="J453" s="204">
        <f t="shared" si="133"/>
        <v>11.63193333</v>
      </c>
      <c r="K453" s="204">
        <f t="shared" si="133"/>
        <v>11.63193333</v>
      </c>
      <c r="L453" s="204">
        <f t="shared" si="133"/>
        <v>11.3585</v>
      </c>
      <c r="M453" s="204">
        <f t="shared" si="133"/>
        <v>11.08506667</v>
      </c>
      <c r="N453" s="204">
        <f t="shared" si="133"/>
        <v>17.62673333</v>
      </c>
      <c r="O453" s="5"/>
      <c r="P453" s="5"/>
      <c r="Q453" s="5"/>
      <c r="R453" s="5"/>
      <c r="S453" s="5"/>
      <c r="T453" s="5"/>
      <c r="U453" s="5"/>
      <c r="V453" s="5"/>
      <c r="W453" s="5"/>
      <c r="X453" s="5"/>
      <c r="Y453" s="5"/>
      <c r="Z453" s="5"/>
    </row>
    <row r="454" ht="12.0" customHeight="1">
      <c r="A454" s="92" t="s">
        <v>637</v>
      </c>
      <c r="B454" s="5"/>
      <c r="C454" s="184">
        <f>'Resumen Capacidad'!$D$119</f>
        <v>63.648</v>
      </c>
      <c r="D454" s="184">
        <f>'Resumen Capacidad'!$D$119</f>
        <v>63.648</v>
      </c>
      <c r="E454" s="184">
        <f>'Resumen Capacidad'!$D$119</f>
        <v>63.648</v>
      </c>
      <c r="F454" s="184">
        <f>'Resumen Capacidad'!$D$119</f>
        <v>63.648</v>
      </c>
      <c r="G454" s="184">
        <f>'Resumen Capacidad'!$D$119</f>
        <v>63.648</v>
      </c>
      <c r="H454" s="184">
        <f>'Resumen Capacidad'!$D$119</f>
        <v>63.648</v>
      </c>
      <c r="I454" s="184">
        <f>'Resumen Capacidad'!$D$119</f>
        <v>63.648</v>
      </c>
      <c r="J454" s="184">
        <f>'Resumen Capacidad'!$D$119</f>
        <v>63.648</v>
      </c>
      <c r="K454" s="184">
        <f>'Resumen Capacidad'!$D$119</f>
        <v>63.648</v>
      </c>
      <c r="L454" s="184">
        <f>'Resumen Capacidad'!$D$119</f>
        <v>63.648</v>
      </c>
      <c r="M454" s="184">
        <f>'Resumen Capacidad'!$D$119</f>
        <v>63.648</v>
      </c>
      <c r="N454" s="184">
        <f>'Resumen Capacidad'!$D$119</f>
        <v>63.648</v>
      </c>
      <c r="O454" s="5"/>
      <c r="P454" s="5"/>
      <c r="Q454" s="5"/>
      <c r="R454" s="5"/>
      <c r="S454" s="5"/>
      <c r="T454" s="5"/>
      <c r="U454" s="5"/>
      <c r="V454" s="5"/>
      <c r="W454" s="5"/>
      <c r="X454" s="5"/>
      <c r="Y454" s="5"/>
      <c r="Z454" s="5"/>
    </row>
    <row r="455" ht="12.0" customHeight="1">
      <c r="A455" s="92" t="s">
        <v>640</v>
      </c>
      <c r="B455" s="5"/>
      <c r="C455" s="204">
        <f>'Resumen Capacidad'!$D$37*'Resumen Capacidad'!$D$73</f>
        <v>1</v>
      </c>
      <c r="D455" s="204">
        <f>'Resumen Capacidad'!$D$37*'Resumen Capacidad'!$D$73</f>
        <v>1</v>
      </c>
      <c r="E455" s="204">
        <f>'Resumen Capacidad'!$D$37*'Resumen Capacidad'!$D$73</f>
        <v>1</v>
      </c>
      <c r="F455" s="204">
        <f>'Resumen Capacidad'!$D$37*'Resumen Capacidad'!$D$73</f>
        <v>1</v>
      </c>
      <c r="G455" s="204">
        <f>'Resumen Capacidad'!$D$37*'Resumen Capacidad'!$D$73</f>
        <v>1</v>
      </c>
      <c r="H455" s="204">
        <f>'Resumen Capacidad'!$D$37*'Resumen Capacidad'!$D$73</f>
        <v>1</v>
      </c>
      <c r="I455" s="204">
        <f>'Resumen Capacidad'!$D$37*'Resumen Capacidad'!$D$73</f>
        <v>1</v>
      </c>
      <c r="J455" s="204">
        <f>'Resumen Capacidad'!$D$37*'Resumen Capacidad'!$D$73</f>
        <v>1</v>
      </c>
      <c r="K455" s="204">
        <f>'Resumen Capacidad'!$D$37*'Resumen Capacidad'!$D$73</f>
        <v>1</v>
      </c>
      <c r="L455" s="204">
        <f>'Resumen Capacidad'!$D$37*'Resumen Capacidad'!$D$73</f>
        <v>1</v>
      </c>
      <c r="M455" s="204">
        <f>'Resumen Capacidad'!$D$37*'Resumen Capacidad'!$D$73</f>
        <v>1</v>
      </c>
      <c r="N455" s="204">
        <f>'Resumen Capacidad'!$D$37*'Resumen Capacidad'!$D$73</f>
        <v>1</v>
      </c>
      <c r="O455" s="5"/>
      <c r="P455" s="5"/>
      <c r="Q455" s="5"/>
      <c r="R455" s="5"/>
      <c r="S455" s="5"/>
      <c r="T455" s="5"/>
      <c r="U455" s="5"/>
      <c r="V455" s="5"/>
      <c r="W455" s="5"/>
      <c r="X455" s="5"/>
      <c r="Y455" s="5"/>
      <c r="Z455" s="5"/>
    </row>
    <row r="456" ht="12.0" customHeight="1">
      <c r="A456" s="92" t="s">
        <v>642</v>
      </c>
      <c r="B456" s="5"/>
      <c r="C456" s="204">
        <f t="shared" ref="C456:N456" si="134">C454*C455</f>
        <v>63.648</v>
      </c>
      <c r="D456" s="204">
        <f t="shared" si="134"/>
        <v>63.648</v>
      </c>
      <c r="E456" s="204">
        <f t="shared" si="134"/>
        <v>63.648</v>
      </c>
      <c r="F456" s="204">
        <f t="shared" si="134"/>
        <v>63.648</v>
      </c>
      <c r="G456" s="204">
        <f t="shared" si="134"/>
        <v>63.648</v>
      </c>
      <c r="H456" s="204">
        <f t="shared" si="134"/>
        <v>63.648</v>
      </c>
      <c r="I456" s="204">
        <f t="shared" si="134"/>
        <v>63.648</v>
      </c>
      <c r="J456" s="204">
        <f t="shared" si="134"/>
        <v>63.648</v>
      </c>
      <c r="K456" s="204">
        <f t="shared" si="134"/>
        <v>63.648</v>
      </c>
      <c r="L456" s="204">
        <f t="shared" si="134"/>
        <v>63.648</v>
      </c>
      <c r="M456" s="204">
        <f t="shared" si="134"/>
        <v>63.648</v>
      </c>
      <c r="N456" s="204">
        <f t="shared" si="134"/>
        <v>63.648</v>
      </c>
      <c r="O456" s="5"/>
      <c r="P456" s="5"/>
      <c r="Q456" s="5"/>
      <c r="R456" s="5"/>
      <c r="S456" s="5"/>
      <c r="T456" s="5"/>
      <c r="U456" s="5"/>
      <c r="V456" s="5"/>
      <c r="W456" s="5"/>
      <c r="X456" s="5"/>
      <c r="Y456" s="5"/>
      <c r="Z456" s="5"/>
    </row>
    <row r="457" ht="12.0" customHeight="1">
      <c r="A457" s="92" t="s">
        <v>643</v>
      </c>
      <c r="B457" s="5"/>
      <c r="C457" s="206">
        <f t="shared" ref="C457:N457" si="135">IF(C456=0,0,C453/C456)</f>
        <v>0.2683488353</v>
      </c>
      <c r="D457" s="206">
        <f t="shared" si="135"/>
        <v>0.2055576504</v>
      </c>
      <c r="E457" s="206">
        <f t="shared" si="135"/>
        <v>0.1946513114</v>
      </c>
      <c r="F457" s="206">
        <f t="shared" si="135"/>
        <v>0.1870501299</v>
      </c>
      <c r="G457" s="206">
        <f t="shared" si="135"/>
        <v>0.1751529244</v>
      </c>
      <c r="H457" s="206">
        <f t="shared" si="135"/>
        <v>0.1708569005</v>
      </c>
      <c r="I457" s="206">
        <f t="shared" si="135"/>
        <v>0.1827541059</v>
      </c>
      <c r="J457" s="206">
        <f t="shared" si="135"/>
        <v>0.1827541059</v>
      </c>
      <c r="K457" s="206">
        <f t="shared" si="135"/>
        <v>0.1827541059</v>
      </c>
      <c r="L457" s="206">
        <f t="shared" si="135"/>
        <v>0.178458082</v>
      </c>
      <c r="M457" s="206">
        <f t="shared" si="135"/>
        <v>0.174162058</v>
      </c>
      <c r="N457" s="206">
        <f t="shared" si="135"/>
        <v>0.2769408832</v>
      </c>
      <c r="O457" s="5"/>
      <c r="P457" s="5"/>
      <c r="Q457" s="5"/>
      <c r="R457" s="5"/>
      <c r="S457" s="5"/>
      <c r="T457" s="5"/>
      <c r="U457" s="5"/>
      <c r="V457" s="5"/>
      <c r="W457" s="5"/>
      <c r="X457" s="5"/>
      <c r="Y457" s="5"/>
      <c r="Z457" s="5"/>
    </row>
    <row r="458" ht="12.0" customHeight="1">
      <c r="A458" s="201" t="s">
        <v>666</v>
      </c>
      <c r="B458" s="202"/>
      <c r="C458" s="202"/>
      <c r="D458" s="202"/>
      <c r="E458" s="202"/>
      <c r="F458" s="202"/>
      <c r="G458" s="202"/>
      <c r="H458" s="202"/>
      <c r="I458" s="202"/>
      <c r="J458" s="202"/>
      <c r="K458" s="202"/>
      <c r="L458" s="202"/>
      <c r="M458" s="202"/>
      <c r="N458" s="202"/>
      <c r="O458" s="5"/>
      <c r="P458" s="5"/>
      <c r="Q458" s="5"/>
      <c r="R458" s="5"/>
      <c r="S458" s="5"/>
      <c r="T458" s="5"/>
      <c r="U458" s="5"/>
      <c r="V458" s="5"/>
      <c r="W458" s="5"/>
      <c r="X458" s="5"/>
      <c r="Y458" s="5"/>
      <c r="Z458" s="5"/>
    </row>
    <row r="459" ht="12.0" customHeight="1">
      <c r="A459" s="201" t="s">
        <v>630</v>
      </c>
      <c r="B459" s="201" t="s">
        <v>631</v>
      </c>
      <c r="C459" s="201" t="s">
        <v>3</v>
      </c>
      <c r="D459" s="201" t="s">
        <v>4</v>
      </c>
      <c r="E459" s="201" t="s">
        <v>5</v>
      </c>
      <c r="F459" s="201" t="s">
        <v>6</v>
      </c>
      <c r="G459" s="201" t="s">
        <v>7</v>
      </c>
      <c r="H459" s="201" t="s">
        <v>8</v>
      </c>
      <c r="I459" s="201" t="s">
        <v>9</v>
      </c>
      <c r="J459" s="201" t="s">
        <v>10</v>
      </c>
      <c r="K459" s="201" t="s">
        <v>11</v>
      </c>
      <c r="L459" s="201" t="s">
        <v>12</v>
      </c>
      <c r="M459" s="201" t="s">
        <v>13</v>
      </c>
      <c r="N459" s="201" t="s">
        <v>14</v>
      </c>
      <c r="O459" s="5"/>
      <c r="P459" s="5"/>
      <c r="Q459" s="5"/>
      <c r="R459" s="5"/>
      <c r="S459" s="5"/>
      <c r="T459" s="5"/>
      <c r="U459" s="5"/>
      <c r="V459" s="5"/>
      <c r="W459" s="5"/>
      <c r="X459" s="5"/>
      <c r="Y459" s="5"/>
      <c r="Z459" s="5"/>
    </row>
    <row r="460" ht="12.0" customHeight="1">
      <c r="A460" s="92" t="s">
        <v>632</v>
      </c>
      <c r="B460" s="92" t="s">
        <v>633</v>
      </c>
      <c r="C460" s="203">
        <f>SUM('2028'!B6:B9)+SUM('2028'!B17:B20)</f>
        <v>2561.98</v>
      </c>
      <c r="D460" s="203">
        <f>SUM('2028'!C6:C9)+SUM('2028'!C17:C20)</f>
        <v>1962.5</v>
      </c>
      <c r="E460" s="203">
        <f>SUM('2028'!D6:D9)+SUM('2028'!D17:D20)</f>
        <v>1858.375</v>
      </c>
      <c r="F460" s="203">
        <f>SUM('2028'!E6:E9)+SUM('2028'!E17:E20)</f>
        <v>1785.805</v>
      </c>
      <c r="G460" s="203">
        <f>SUM('2028'!F6:F9)+SUM('2028'!F17:F20)</f>
        <v>1672.22</v>
      </c>
      <c r="H460" s="203">
        <f>SUM('2028'!G6:G9)+SUM('2028'!G17:G20)</f>
        <v>1631.205</v>
      </c>
      <c r="I460" s="203">
        <f>SUM('2028'!H6:H9)+SUM('2028'!H17:H20)</f>
        <v>1744.79</v>
      </c>
      <c r="J460" s="203">
        <f>SUM('2028'!I6:I9)+SUM('2028'!I17:I20)</f>
        <v>1744.79</v>
      </c>
      <c r="K460" s="203">
        <f>SUM('2028'!J6:J9)+SUM('2028'!J17:J20)</f>
        <v>1744.79</v>
      </c>
      <c r="L460" s="203">
        <f>SUM('2028'!K6:K9)+SUM('2028'!K17:K20)</f>
        <v>1703.775</v>
      </c>
      <c r="M460" s="203">
        <f>SUM('2028'!L6:L9)+SUM('2028'!L17:L20)</f>
        <v>1662.76</v>
      </c>
      <c r="N460" s="203">
        <f>SUM('2028'!M6:M9)+SUM('2028'!M17:M20)</f>
        <v>2644.01</v>
      </c>
      <c r="O460" s="5"/>
      <c r="P460" s="5"/>
      <c r="Q460" s="5"/>
      <c r="R460" s="5"/>
      <c r="S460" s="5"/>
      <c r="T460" s="5"/>
      <c r="U460" s="5"/>
      <c r="V460" s="5"/>
      <c r="W460" s="5"/>
      <c r="X460" s="5"/>
      <c r="Y460" s="5"/>
      <c r="Z460" s="5"/>
    </row>
    <row r="461" ht="12.0" customHeight="1">
      <c r="A461" s="5"/>
      <c r="B461" s="92" t="s">
        <v>634</v>
      </c>
      <c r="C461" s="204">
        <f>C460/Parametros!$B$37</f>
        <v>128.099</v>
      </c>
      <c r="D461" s="204">
        <f>D460/Parametros!$B$37</f>
        <v>98.125</v>
      </c>
      <c r="E461" s="204">
        <f>E460/Parametros!$B$37</f>
        <v>92.91875</v>
      </c>
      <c r="F461" s="204">
        <f>F460/Parametros!$B$37</f>
        <v>89.29025</v>
      </c>
      <c r="G461" s="204">
        <f>G460/Parametros!$B$37</f>
        <v>83.611</v>
      </c>
      <c r="H461" s="204">
        <f>H460/Parametros!$B$37</f>
        <v>81.56025</v>
      </c>
      <c r="I461" s="204">
        <f>I460/Parametros!$B$37</f>
        <v>87.2395</v>
      </c>
      <c r="J461" s="204">
        <f>J460/Parametros!$B$37</f>
        <v>87.2395</v>
      </c>
      <c r="K461" s="204">
        <f>K460/Parametros!$B$37</f>
        <v>87.2395</v>
      </c>
      <c r="L461" s="204">
        <f>L460/Parametros!$B$37</f>
        <v>85.18875</v>
      </c>
      <c r="M461" s="204">
        <f>M460/Parametros!$B$37</f>
        <v>83.138</v>
      </c>
      <c r="N461" s="204">
        <f>N460/Parametros!$B$37</f>
        <v>132.2005</v>
      </c>
      <c r="O461" s="5"/>
      <c r="P461" s="5"/>
      <c r="Q461" s="5"/>
      <c r="R461" s="5"/>
      <c r="S461" s="5"/>
      <c r="T461" s="5"/>
      <c r="U461" s="5"/>
      <c r="V461" s="5"/>
      <c r="W461" s="5"/>
      <c r="X461" s="5"/>
      <c r="Y461" s="5"/>
      <c r="Z461" s="5"/>
    </row>
    <row r="462" ht="12.0" customHeight="1">
      <c r="A462" s="5"/>
      <c r="B462" s="92" t="s">
        <v>635</v>
      </c>
      <c r="C462" s="204">
        <f>C461/Parametros!$J$37</f>
        <v>17.07986667</v>
      </c>
      <c r="D462" s="204">
        <f>D461/Parametros!$J$37</f>
        <v>13.08333333</v>
      </c>
      <c r="E462" s="204">
        <f>E461/Parametros!$J$37</f>
        <v>12.38916667</v>
      </c>
      <c r="F462" s="204">
        <f>F461/Parametros!$J$37</f>
        <v>11.90536667</v>
      </c>
      <c r="G462" s="204">
        <f>G461/Parametros!$J$37</f>
        <v>11.14813333</v>
      </c>
      <c r="H462" s="204">
        <f>H461/Parametros!$J$37</f>
        <v>10.8747</v>
      </c>
      <c r="I462" s="204">
        <f>I461/Parametros!$J$37</f>
        <v>11.63193333</v>
      </c>
      <c r="J462" s="204">
        <f>J461/Parametros!$J$37</f>
        <v>11.63193333</v>
      </c>
      <c r="K462" s="204">
        <f>K461/Parametros!$J$37</f>
        <v>11.63193333</v>
      </c>
      <c r="L462" s="204">
        <f>L461/Parametros!$J$37</f>
        <v>11.3585</v>
      </c>
      <c r="M462" s="204">
        <f>M461/Parametros!$J$37</f>
        <v>11.08506667</v>
      </c>
      <c r="N462" s="204">
        <f>N461/Parametros!$J$37</f>
        <v>17.62673333</v>
      </c>
      <c r="O462" s="5"/>
      <c r="P462" s="5"/>
      <c r="Q462" s="5"/>
      <c r="R462" s="5"/>
      <c r="S462" s="5"/>
      <c r="T462" s="5"/>
      <c r="U462" s="5"/>
      <c r="V462" s="5"/>
      <c r="W462" s="5"/>
      <c r="X462" s="5"/>
      <c r="Y462" s="5"/>
      <c r="Z462" s="5"/>
    </row>
    <row r="463" ht="12.0" customHeight="1">
      <c r="A463" s="92" t="s">
        <v>636</v>
      </c>
      <c r="B463" s="5"/>
      <c r="C463" s="204">
        <f t="shared" ref="C463:N463" si="136">C462</f>
        <v>17.07986667</v>
      </c>
      <c r="D463" s="204">
        <f t="shared" si="136"/>
        <v>13.08333333</v>
      </c>
      <c r="E463" s="204">
        <f t="shared" si="136"/>
        <v>12.38916667</v>
      </c>
      <c r="F463" s="204">
        <f t="shared" si="136"/>
        <v>11.90536667</v>
      </c>
      <c r="G463" s="204">
        <f t="shared" si="136"/>
        <v>11.14813333</v>
      </c>
      <c r="H463" s="204">
        <f t="shared" si="136"/>
        <v>10.8747</v>
      </c>
      <c r="I463" s="204">
        <f t="shared" si="136"/>
        <v>11.63193333</v>
      </c>
      <c r="J463" s="204">
        <f t="shared" si="136"/>
        <v>11.63193333</v>
      </c>
      <c r="K463" s="204">
        <f t="shared" si="136"/>
        <v>11.63193333</v>
      </c>
      <c r="L463" s="204">
        <f t="shared" si="136"/>
        <v>11.3585</v>
      </c>
      <c r="M463" s="204">
        <f t="shared" si="136"/>
        <v>11.08506667</v>
      </c>
      <c r="N463" s="204">
        <f t="shared" si="136"/>
        <v>17.62673333</v>
      </c>
      <c r="O463" s="5"/>
      <c r="P463" s="5"/>
      <c r="Q463" s="5"/>
      <c r="R463" s="5"/>
      <c r="S463" s="5"/>
      <c r="T463" s="5"/>
      <c r="U463" s="5"/>
      <c r="V463" s="5"/>
      <c r="W463" s="5"/>
      <c r="X463" s="5"/>
      <c r="Y463" s="5"/>
      <c r="Z463" s="5"/>
    </row>
    <row r="464" ht="12.0" customHeight="1">
      <c r="A464" s="92" t="s">
        <v>637</v>
      </c>
      <c r="B464" s="5"/>
      <c r="C464" s="205">
        <f>'Resumen Capacidad'!$D$120</f>
        <v>22.46518519</v>
      </c>
      <c r="D464" s="205">
        <f>'Resumen Capacidad'!$D$120</f>
        <v>22.46518519</v>
      </c>
      <c r="E464" s="205">
        <f>'Resumen Capacidad'!$D$120</f>
        <v>22.46518519</v>
      </c>
      <c r="F464" s="205">
        <f>'Resumen Capacidad'!$D$120</f>
        <v>22.46518519</v>
      </c>
      <c r="G464" s="205">
        <f>'Resumen Capacidad'!$D$120</f>
        <v>22.46518519</v>
      </c>
      <c r="H464" s="205">
        <f>'Resumen Capacidad'!$D$120</f>
        <v>22.46518519</v>
      </c>
      <c r="I464" s="205">
        <f>'Resumen Capacidad'!$D$120</f>
        <v>22.46518519</v>
      </c>
      <c r="J464" s="205">
        <f>'Resumen Capacidad'!$D$120</f>
        <v>22.46518519</v>
      </c>
      <c r="K464" s="205">
        <f>'Resumen Capacidad'!$D$120</f>
        <v>22.46518519</v>
      </c>
      <c r="L464" s="205">
        <f>'Resumen Capacidad'!$D$120</f>
        <v>22.46518519</v>
      </c>
      <c r="M464" s="205">
        <f>'Resumen Capacidad'!$D$120</f>
        <v>22.46518519</v>
      </c>
      <c r="N464" s="205">
        <f>'Resumen Capacidad'!$D$120</f>
        <v>22.46518519</v>
      </c>
      <c r="O464" s="5"/>
      <c r="P464" s="5"/>
      <c r="Q464" s="5"/>
      <c r="R464" s="5"/>
      <c r="S464" s="5"/>
      <c r="T464" s="5"/>
      <c r="U464" s="5"/>
      <c r="V464" s="5"/>
      <c r="W464" s="5"/>
      <c r="X464" s="5"/>
      <c r="Y464" s="5"/>
      <c r="Z464" s="5"/>
    </row>
    <row r="465" ht="12.0" customHeight="1">
      <c r="A465" s="92" t="s">
        <v>640</v>
      </c>
      <c r="B465" s="5"/>
      <c r="C465" s="204">
        <f>'Resumen Capacidad'!$D$38*'Resumen Capacidad'!$D$74</f>
        <v>1</v>
      </c>
      <c r="D465" s="204">
        <f>'Resumen Capacidad'!$D$38*'Resumen Capacidad'!$D$74</f>
        <v>1</v>
      </c>
      <c r="E465" s="204">
        <f>'Resumen Capacidad'!$D$38*'Resumen Capacidad'!$D$74</f>
        <v>1</v>
      </c>
      <c r="F465" s="204">
        <f>'Resumen Capacidad'!$D$38*'Resumen Capacidad'!$D$74</f>
        <v>1</v>
      </c>
      <c r="G465" s="204">
        <f>'Resumen Capacidad'!$D$38*'Resumen Capacidad'!$D$74</f>
        <v>1</v>
      </c>
      <c r="H465" s="204">
        <f>'Resumen Capacidad'!$D$38*'Resumen Capacidad'!$D$74</f>
        <v>1</v>
      </c>
      <c r="I465" s="204">
        <f>'Resumen Capacidad'!$D$38*'Resumen Capacidad'!$D$74</f>
        <v>1</v>
      </c>
      <c r="J465" s="204">
        <f>'Resumen Capacidad'!$D$38*'Resumen Capacidad'!$D$74</f>
        <v>1</v>
      </c>
      <c r="K465" s="204">
        <f>'Resumen Capacidad'!$D$38*'Resumen Capacidad'!$D$74</f>
        <v>1</v>
      </c>
      <c r="L465" s="204">
        <f>'Resumen Capacidad'!$D$38*'Resumen Capacidad'!$D$74</f>
        <v>1</v>
      </c>
      <c r="M465" s="204">
        <f>'Resumen Capacidad'!$D$38*'Resumen Capacidad'!$D$74</f>
        <v>1</v>
      </c>
      <c r="N465" s="204">
        <f>'Resumen Capacidad'!$D$38*'Resumen Capacidad'!$D$74</f>
        <v>1</v>
      </c>
      <c r="O465" s="5"/>
      <c r="P465" s="5"/>
      <c r="Q465" s="5"/>
      <c r="R465" s="5"/>
      <c r="S465" s="5"/>
      <c r="T465" s="5"/>
      <c r="U465" s="5"/>
      <c r="V465" s="5"/>
      <c r="W465" s="5"/>
      <c r="X465" s="5"/>
      <c r="Y465" s="5"/>
      <c r="Z465" s="5"/>
    </row>
    <row r="466" ht="12.0" customHeight="1">
      <c r="A466" s="92" t="s">
        <v>642</v>
      </c>
      <c r="B466" s="5"/>
      <c r="C466" s="204">
        <f t="shared" ref="C466:N466" si="137">C464*C465</f>
        <v>22.46518519</v>
      </c>
      <c r="D466" s="204">
        <f t="shared" si="137"/>
        <v>22.46518519</v>
      </c>
      <c r="E466" s="204">
        <f t="shared" si="137"/>
        <v>22.46518519</v>
      </c>
      <c r="F466" s="204">
        <f t="shared" si="137"/>
        <v>22.46518519</v>
      </c>
      <c r="G466" s="204">
        <f t="shared" si="137"/>
        <v>22.46518519</v>
      </c>
      <c r="H466" s="204">
        <f t="shared" si="137"/>
        <v>22.46518519</v>
      </c>
      <c r="I466" s="204">
        <f t="shared" si="137"/>
        <v>22.46518519</v>
      </c>
      <c r="J466" s="204">
        <f t="shared" si="137"/>
        <v>22.46518519</v>
      </c>
      <c r="K466" s="204">
        <f t="shared" si="137"/>
        <v>22.46518519</v>
      </c>
      <c r="L466" s="204">
        <f t="shared" si="137"/>
        <v>22.46518519</v>
      </c>
      <c r="M466" s="204">
        <f t="shared" si="137"/>
        <v>22.46518519</v>
      </c>
      <c r="N466" s="204">
        <f t="shared" si="137"/>
        <v>22.46518519</v>
      </c>
      <c r="O466" s="5"/>
      <c r="P466" s="5"/>
      <c r="Q466" s="5"/>
      <c r="R466" s="5"/>
      <c r="S466" s="5"/>
      <c r="T466" s="5"/>
      <c r="U466" s="5"/>
      <c r="V466" s="5"/>
      <c r="W466" s="5"/>
      <c r="X466" s="5"/>
      <c r="Y466" s="5"/>
      <c r="Z466" s="5"/>
    </row>
    <row r="467" ht="12.0" customHeight="1">
      <c r="A467" s="92" t="s">
        <v>643</v>
      </c>
      <c r="B467" s="5"/>
      <c r="C467" s="206">
        <f t="shared" ref="C467:N467" si="138">IF(C466=0,0,C463/C466)</f>
        <v>0.760281588</v>
      </c>
      <c r="D467" s="206">
        <f t="shared" si="138"/>
        <v>0.5823826167</v>
      </c>
      <c r="E467" s="206">
        <f t="shared" si="138"/>
        <v>0.551482953</v>
      </c>
      <c r="F467" s="206">
        <f t="shared" si="138"/>
        <v>0.5299474083</v>
      </c>
      <c r="G467" s="206">
        <f t="shared" si="138"/>
        <v>0.4962404379</v>
      </c>
      <c r="H467" s="206">
        <f t="shared" si="138"/>
        <v>0.4840690121</v>
      </c>
      <c r="I467" s="206">
        <f t="shared" si="138"/>
        <v>0.5177759826</v>
      </c>
      <c r="J467" s="206">
        <f t="shared" si="138"/>
        <v>0.5177759826</v>
      </c>
      <c r="K467" s="206">
        <f t="shared" si="138"/>
        <v>0.5177759826</v>
      </c>
      <c r="L467" s="206">
        <f t="shared" si="138"/>
        <v>0.5056045568</v>
      </c>
      <c r="M467" s="206">
        <f t="shared" si="138"/>
        <v>0.4934331311</v>
      </c>
      <c r="N467" s="206">
        <f t="shared" si="138"/>
        <v>0.7846244395</v>
      </c>
      <c r="O467" s="5"/>
      <c r="P467" s="5"/>
      <c r="Q467" s="5"/>
      <c r="R467" s="5"/>
      <c r="S467" s="5"/>
      <c r="T467" s="5"/>
      <c r="U467" s="5"/>
      <c r="V467" s="5"/>
      <c r="W467" s="5"/>
      <c r="X467" s="5"/>
      <c r="Y467" s="5"/>
      <c r="Z467" s="5"/>
    </row>
    <row r="468" ht="12.0" customHeight="1">
      <c r="A468" s="201" t="s">
        <v>671</v>
      </c>
      <c r="B468" s="202"/>
      <c r="C468" s="202"/>
      <c r="D468" s="202"/>
      <c r="E468" s="202"/>
      <c r="F468" s="202"/>
      <c r="G468" s="202"/>
      <c r="H468" s="202"/>
      <c r="I468" s="202"/>
      <c r="J468" s="202"/>
      <c r="K468" s="202"/>
      <c r="L468" s="202"/>
      <c r="M468" s="202"/>
      <c r="N468" s="202"/>
      <c r="O468" s="5"/>
      <c r="P468" s="5"/>
      <c r="Q468" s="5"/>
      <c r="R468" s="5"/>
      <c r="S468" s="5"/>
      <c r="T468" s="5"/>
      <c r="U468" s="5"/>
      <c r="V468" s="5"/>
      <c r="W468" s="5"/>
      <c r="X468" s="5"/>
      <c r="Y468" s="5"/>
      <c r="Z468" s="5"/>
    </row>
    <row r="469" ht="12.0" customHeight="1">
      <c r="A469" s="201" t="s">
        <v>630</v>
      </c>
      <c r="B469" s="201" t="s">
        <v>631</v>
      </c>
      <c r="C469" s="201" t="s">
        <v>3</v>
      </c>
      <c r="D469" s="201" t="s">
        <v>4</v>
      </c>
      <c r="E469" s="201" t="s">
        <v>5</v>
      </c>
      <c r="F469" s="201" t="s">
        <v>6</v>
      </c>
      <c r="G469" s="201" t="s">
        <v>7</v>
      </c>
      <c r="H469" s="201" t="s">
        <v>8</v>
      </c>
      <c r="I469" s="201" t="s">
        <v>9</v>
      </c>
      <c r="J469" s="201" t="s">
        <v>10</v>
      </c>
      <c r="K469" s="201" t="s">
        <v>11</v>
      </c>
      <c r="L469" s="201" t="s">
        <v>12</v>
      </c>
      <c r="M469" s="201" t="s">
        <v>13</v>
      </c>
      <c r="N469" s="201" t="s">
        <v>14</v>
      </c>
      <c r="O469" s="5"/>
      <c r="P469" s="5"/>
      <c r="Q469" s="5"/>
      <c r="R469" s="5"/>
      <c r="S469" s="5"/>
      <c r="T469" s="5"/>
      <c r="U469" s="5"/>
      <c r="V469" s="5"/>
      <c r="W469" s="5"/>
      <c r="X469" s="5"/>
      <c r="Y469" s="5"/>
      <c r="Z469" s="5"/>
    </row>
    <row r="470" ht="12.0" customHeight="1">
      <c r="A470" s="92" t="s">
        <v>651</v>
      </c>
      <c r="B470" s="92" t="s">
        <v>633</v>
      </c>
      <c r="C470" s="203">
        <f>SUM('2028'!B7:B9)+SUM('2028'!B18:B20)</f>
        <v>820.3</v>
      </c>
      <c r="D470" s="203">
        <f>SUM('2028'!C7:C9)+SUM('2028'!C18:C20)</f>
        <v>656.24</v>
      </c>
      <c r="E470" s="203">
        <f>SUM('2028'!D7:D9)+SUM('2028'!D18:D20)</f>
        <v>697.255</v>
      </c>
      <c r="F470" s="203">
        <f>SUM('2028'!E7:E9)+SUM('2028'!E18:E20)</f>
        <v>697.255</v>
      </c>
      <c r="G470" s="203">
        <f>SUM('2028'!F7:F9)+SUM('2028'!F18:F20)</f>
        <v>656.24</v>
      </c>
      <c r="H470" s="203">
        <f>SUM('2028'!G7:G9)+SUM('2028'!G18:G20)</f>
        <v>615.225</v>
      </c>
      <c r="I470" s="203">
        <f>SUM('2028'!H7:H9)+SUM('2028'!H18:H20)</f>
        <v>656.24</v>
      </c>
      <c r="J470" s="203">
        <f>SUM('2028'!I7:I9)+SUM('2028'!I18:I20)</f>
        <v>656.24</v>
      </c>
      <c r="K470" s="203">
        <f>SUM('2028'!J7:J9)+SUM('2028'!J18:J20)</f>
        <v>656.24</v>
      </c>
      <c r="L470" s="203">
        <f>SUM('2028'!K7:K9)+SUM('2028'!K18:K20)</f>
        <v>615.225</v>
      </c>
      <c r="M470" s="203">
        <f>SUM('2028'!L7:L9)+SUM('2028'!L18:L20)</f>
        <v>574.21</v>
      </c>
      <c r="N470" s="203">
        <f>SUM('2028'!M7:M9)+SUM('2028'!M18:M20)</f>
        <v>902.33</v>
      </c>
      <c r="O470" s="5"/>
      <c r="P470" s="5"/>
      <c r="Q470" s="5"/>
      <c r="R470" s="5"/>
      <c r="S470" s="5"/>
      <c r="T470" s="5"/>
      <c r="U470" s="5"/>
      <c r="V470" s="5"/>
      <c r="W470" s="5"/>
      <c r="X470" s="5"/>
      <c r="Y470" s="5"/>
      <c r="Z470" s="5"/>
    </row>
    <row r="471" ht="12.0" customHeight="1">
      <c r="A471" s="5"/>
      <c r="B471" s="92" t="s">
        <v>634</v>
      </c>
      <c r="C471" s="204">
        <f>C470/Parametros!$B$37</f>
        <v>41.015</v>
      </c>
      <c r="D471" s="204">
        <f>D470/Parametros!$B$37</f>
        <v>32.812</v>
      </c>
      <c r="E471" s="204">
        <f>E470/Parametros!$B$37</f>
        <v>34.86275</v>
      </c>
      <c r="F471" s="204">
        <f>F470/Parametros!$B$37</f>
        <v>34.86275</v>
      </c>
      <c r="G471" s="204">
        <f>G470/Parametros!$B$37</f>
        <v>32.812</v>
      </c>
      <c r="H471" s="204">
        <f>H470/Parametros!$B$37</f>
        <v>30.76125</v>
      </c>
      <c r="I471" s="204">
        <f>I470/Parametros!$B$37</f>
        <v>32.812</v>
      </c>
      <c r="J471" s="204">
        <f>J470/Parametros!$B$37</f>
        <v>32.812</v>
      </c>
      <c r="K471" s="204">
        <f>K470/Parametros!$B$37</f>
        <v>32.812</v>
      </c>
      <c r="L471" s="204">
        <f>L470/Parametros!$B$37</f>
        <v>30.76125</v>
      </c>
      <c r="M471" s="204">
        <f>M470/Parametros!$B$37</f>
        <v>28.7105</v>
      </c>
      <c r="N471" s="204">
        <f>N470/Parametros!$B$37</f>
        <v>45.1165</v>
      </c>
      <c r="O471" s="5"/>
      <c r="P471" s="5"/>
      <c r="Q471" s="5"/>
      <c r="R471" s="5"/>
      <c r="S471" s="5"/>
      <c r="T471" s="5"/>
      <c r="U471" s="5"/>
      <c r="V471" s="5"/>
      <c r="W471" s="5"/>
      <c r="X471" s="5"/>
      <c r="Y471" s="5"/>
      <c r="Z471" s="5"/>
    </row>
    <row r="472" ht="12.0" customHeight="1">
      <c r="A472" s="5"/>
      <c r="B472" s="92" t="s">
        <v>635</v>
      </c>
      <c r="C472" s="204">
        <f>C471/Parametros!$J$37</f>
        <v>5.468666667</v>
      </c>
      <c r="D472" s="204">
        <f>D471/Parametros!$J$37</f>
        <v>4.374933333</v>
      </c>
      <c r="E472" s="204">
        <f>E471/Parametros!$J$37</f>
        <v>4.648366667</v>
      </c>
      <c r="F472" s="204">
        <f>F471/Parametros!$J$37</f>
        <v>4.648366667</v>
      </c>
      <c r="G472" s="204">
        <f>G471/Parametros!$J$37</f>
        <v>4.374933333</v>
      </c>
      <c r="H472" s="204">
        <f>H471/Parametros!$J$37</f>
        <v>4.1015</v>
      </c>
      <c r="I472" s="204">
        <f>I471/Parametros!$J$37</f>
        <v>4.374933333</v>
      </c>
      <c r="J472" s="204">
        <f>J471/Parametros!$J$37</f>
        <v>4.374933333</v>
      </c>
      <c r="K472" s="204">
        <f>K471/Parametros!$J$37</f>
        <v>4.374933333</v>
      </c>
      <c r="L472" s="204">
        <f>L471/Parametros!$J$37</f>
        <v>4.1015</v>
      </c>
      <c r="M472" s="204">
        <f>M471/Parametros!$J$37</f>
        <v>3.828066667</v>
      </c>
      <c r="N472" s="204">
        <f>N471/Parametros!$J$37</f>
        <v>6.015533333</v>
      </c>
      <c r="O472" s="5"/>
      <c r="P472" s="5"/>
      <c r="Q472" s="5"/>
      <c r="R472" s="5"/>
      <c r="S472" s="5"/>
      <c r="T472" s="5"/>
      <c r="U472" s="5"/>
      <c r="V472" s="5"/>
      <c r="W472" s="5"/>
      <c r="X472" s="5"/>
      <c r="Y472" s="5"/>
      <c r="Z472" s="5"/>
    </row>
    <row r="473" ht="12.0" customHeight="1">
      <c r="A473" s="92" t="s">
        <v>636</v>
      </c>
      <c r="B473" s="5"/>
      <c r="C473" s="204">
        <f t="shared" ref="C473:N473" si="139">C472</f>
        <v>5.468666667</v>
      </c>
      <c r="D473" s="204">
        <f t="shared" si="139"/>
        <v>4.374933333</v>
      </c>
      <c r="E473" s="204">
        <f t="shared" si="139"/>
        <v>4.648366667</v>
      </c>
      <c r="F473" s="204">
        <f t="shared" si="139"/>
        <v>4.648366667</v>
      </c>
      <c r="G473" s="204">
        <f t="shared" si="139"/>
        <v>4.374933333</v>
      </c>
      <c r="H473" s="204">
        <f t="shared" si="139"/>
        <v>4.1015</v>
      </c>
      <c r="I473" s="204">
        <f t="shared" si="139"/>
        <v>4.374933333</v>
      </c>
      <c r="J473" s="204">
        <f t="shared" si="139"/>
        <v>4.374933333</v>
      </c>
      <c r="K473" s="204">
        <f t="shared" si="139"/>
        <v>4.374933333</v>
      </c>
      <c r="L473" s="204">
        <f t="shared" si="139"/>
        <v>4.1015</v>
      </c>
      <c r="M473" s="204">
        <f t="shared" si="139"/>
        <v>3.828066667</v>
      </c>
      <c r="N473" s="204">
        <f t="shared" si="139"/>
        <v>6.015533333</v>
      </c>
      <c r="O473" s="5"/>
      <c r="P473" s="5"/>
      <c r="Q473" s="5"/>
      <c r="R473" s="5"/>
      <c r="S473" s="5"/>
      <c r="T473" s="5"/>
      <c r="U473" s="5"/>
      <c r="V473" s="5"/>
      <c r="W473" s="5"/>
      <c r="X473" s="5"/>
      <c r="Y473" s="5"/>
      <c r="Z473" s="5"/>
    </row>
    <row r="474" ht="12.0" customHeight="1">
      <c r="A474" s="92" t="s">
        <v>637</v>
      </c>
      <c r="B474" s="5"/>
      <c r="C474" s="205">
        <f>'Resumen Capacidad'!$D$121</f>
        <v>71.1627907</v>
      </c>
      <c r="D474" s="205">
        <f>'Resumen Capacidad'!$D$121</f>
        <v>71.1627907</v>
      </c>
      <c r="E474" s="205">
        <f>'Resumen Capacidad'!$D$121</f>
        <v>71.1627907</v>
      </c>
      <c r="F474" s="205">
        <f>'Resumen Capacidad'!$D$121</f>
        <v>71.1627907</v>
      </c>
      <c r="G474" s="205">
        <f>'Resumen Capacidad'!$D$121</f>
        <v>71.1627907</v>
      </c>
      <c r="H474" s="205">
        <f>'Resumen Capacidad'!$D$121</f>
        <v>71.1627907</v>
      </c>
      <c r="I474" s="205">
        <f>'Resumen Capacidad'!$D$121</f>
        <v>71.1627907</v>
      </c>
      <c r="J474" s="205">
        <f>'Resumen Capacidad'!$D$121</f>
        <v>71.1627907</v>
      </c>
      <c r="K474" s="205">
        <f>'Resumen Capacidad'!$D$121</f>
        <v>71.1627907</v>
      </c>
      <c r="L474" s="205">
        <f>'Resumen Capacidad'!$D$121</f>
        <v>71.1627907</v>
      </c>
      <c r="M474" s="205">
        <f>'Resumen Capacidad'!$D$121</f>
        <v>71.1627907</v>
      </c>
      <c r="N474" s="205">
        <f>'Resumen Capacidad'!$D$121</f>
        <v>71.1627907</v>
      </c>
      <c r="O474" s="5"/>
      <c r="P474" s="5"/>
      <c r="Q474" s="5"/>
      <c r="R474" s="5"/>
      <c r="S474" s="5"/>
      <c r="T474" s="5"/>
      <c r="U474" s="5"/>
      <c r="V474" s="5"/>
      <c r="W474" s="5"/>
      <c r="X474" s="5"/>
      <c r="Y474" s="5"/>
      <c r="Z474" s="5"/>
    </row>
    <row r="475" ht="12.0" customHeight="1">
      <c r="A475" s="92" t="s">
        <v>640</v>
      </c>
      <c r="B475" s="5"/>
      <c r="C475" s="204">
        <f>'Resumen Capacidad'!$D$39*'Resumen Capacidad'!$D$75</f>
        <v>1</v>
      </c>
      <c r="D475" s="204">
        <f>'Resumen Capacidad'!$D$39*'Resumen Capacidad'!$D$75</f>
        <v>1</v>
      </c>
      <c r="E475" s="204">
        <f>'Resumen Capacidad'!$D$39*'Resumen Capacidad'!$D$75</f>
        <v>1</v>
      </c>
      <c r="F475" s="204">
        <f>'Resumen Capacidad'!$D$39*'Resumen Capacidad'!$D$75</f>
        <v>1</v>
      </c>
      <c r="G475" s="204">
        <f>'Resumen Capacidad'!$D$39*'Resumen Capacidad'!$D$75</f>
        <v>1</v>
      </c>
      <c r="H475" s="204">
        <f>'Resumen Capacidad'!$D$39*'Resumen Capacidad'!$D$75</f>
        <v>1</v>
      </c>
      <c r="I475" s="204">
        <f>'Resumen Capacidad'!$D$39*'Resumen Capacidad'!$D$75</f>
        <v>1</v>
      </c>
      <c r="J475" s="204">
        <f>'Resumen Capacidad'!$D$39*'Resumen Capacidad'!$D$75</f>
        <v>1</v>
      </c>
      <c r="K475" s="204">
        <f>'Resumen Capacidad'!$D$39*'Resumen Capacidad'!$D$75</f>
        <v>1</v>
      </c>
      <c r="L475" s="204">
        <f>'Resumen Capacidad'!$D$39*'Resumen Capacidad'!$D$75</f>
        <v>1</v>
      </c>
      <c r="M475" s="204">
        <f>'Resumen Capacidad'!$D$39*'Resumen Capacidad'!$D$75</f>
        <v>1</v>
      </c>
      <c r="N475" s="204">
        <f>'Resumen Capacidad'!$D$39*'Resumen Capacidad'!$D$75</f>
        <v>1</v>
      </c>
      <c r="O475" s="5"/>
      <c r="P475" s="5"/>
      <c r="Q475" s="5"/>
      <c r="R475" s="5"/>
      <c r="S475" s="5"/>
      <c r="T475" s="5"/>
      <c r="U475" s="5"/>
      <c r="V475" s="5"/>
      <c r="W475" s="5"/>
      <c r="X475" s="5"/>
      <c r="Y475" s="5"/>
      <c r="Z475" s="5"/>
    </row>
    <row r="476" ht="12.0" customHeight="1">
      <c r="A476" s="92" t="s">
        <v>642</v>
      </c>
      <c r="B476" s="5"/>
      <c r="C476" s="204">
        <f t="shared" ref="C476:N476" si="140">C474*C475</f>
        <v>71.1627907</v>
      </c>
      <c r="D476" s="204">
        <f t="shared" si="140"/>
        <v>71.1627907</v>
      </c>
      <c r="E476" s="204">
        <f t="shared" si="140"/>
        <v>71.1627907</v>
      </c>
      <c r="F476" s="204">
        <f t="shared" si="140"/>
        <v>71.1627907</v>
      </c>
      <c r="G476" s="204">
        <f t="shared" si="140"/>
        <v>71.1627907</v>
      </c>
      <c r="H476" s="204">
        <f t="shared" si="140"/>
        <v>71.1627907</v>
      </c>
      <c r="I476" s="204">
        <f t="shared" si="140"/>
        <v>71.1627907</v>
      </c>
      <c r="J476" s="204">
        <f t="shared" si="140"/>
        <v>71.1627907</v>
      </c>
      <c r="K476" s="204">
        <f t="shared" si="140"/>
        <v>71.1627907</v>
      </c>
      <c r="L476" s="204">
        <f t="shared" si="140"/>
        <v>71.1627907</v>
      </c>
      <c r="M476" s="204">
        <f t="shared" si="140"/>
        <v>71.1627907</v>
      </c>
      <c r="N476" s="204">
        <f t="shared" si="140"/>
        <v>71.1627907</v>
      </c>
      <c r="O476" s="5"/>
      <c r="P476" s="5"/>
      <c r="Q476" s="5"/>
      <c r="R476" s="5"/>
      <c r="S476" s="5"/>
      <c r="T476" s="5"/>
      <c r="U476" s="5"/>
      <c r="V476" s="5"/>
      <c r="W476" s="5"/>
      <c r="X476" s="5"/>
      <c r="Y476" s="5"/>
      <c r="Z476" s="5"/>
    </row>
    <row r="477" ht="12.0" customHeight="1">
      <c r="A477" s="92" t="s">
        <v>643</v>
      </c>
      <c r="B477" s="5"/>
      <c r="C477" s="206">
        <f t="shared" ref="C477:N477" si="141">IF(C476=0,0,C473/C476)</f>
        <v>0.07684727669</v>
      </c>
      <c r="D477" s="206">
        <f t="shared" si="141"/>
        <v>0.06147782135</v>
      </c>
      <c r="E477" s="206">
        <f t="shared" si="141"/>
        <v>0.06532018519</v>
      </c>
      <c r="F477" s="206">
        <f t="shared" si="141"/>
        <v>0.06532018519</v>
      </c>
      <c r="G477" s="206">
        <f t="shared" si="141"/>
        <v>0.06147782135</v>
      </c>
      <c r="H477" s="206">
        <f t="shared" si="141"/>
        <v>0.05763545752</v>
      </c>
      <c r="I477" s="206">
        <f t="shared" si="141"/>
        <v>0.06147782135</v>
      </c>
      <c r="J477" s="206">
        <f t="shared" si="141"/>
        <v>0.06147782135</v>
      </c>
      <c r="K477" s="206">
        <f t="shared" si="141"/>
        <v>0.06147782135</v>
      </c>
      <c r="L477" s="206">
        <f t="shared" si="141"/>
        <v>0.05763545752</v>
      </c>
      <c r="M477" s="206">
        <f t="shared" si="141"/>
        <v>0.05379309368</v>
      </c>
      <c r="N477" s="206">
        <f t="shared" si="141"/>
        <v>0.08453200436</v>
      </c>
      <c r="O477" s="5"/>
      <c r="P477" s="5"/>
      <c r="Q477" s="5"/>
      <c r="R477" s="5"/>
      <c r="S477" s="5"/>
      <c r="T477" s="5"/>
      <c r="U477" s="5"/>
      <c r="V477" s="5"/>
      <c r="W477" s="5"/>
      <c r="X477" s="5"/>
      <c r="Y477" s="5"/>
      <c r="Z477" s="5"/>
    </row>
    <row r="478" ht="12.0" customHeight="1">
      <c r="A478" s="201" t="s">
        <v>678</v>
      </c>
      <c r="B478" s="202"/>
      <c r="C478" s="202"/>
      <c r="D478" s="202"/>
      <c r="E478" s="202"/>
      <c r="F478" s="202"/>
      <c r="G478" s="202"/>
      <c r="H478" s="202"/>
      <c r="I478" s="202"/>
      <c r="J478" s="202"/>
      <c r="K478" s="202"/>
      <c r="L478" s="202"/>
      <c r="M478" s="202"/>
      <c r="N478" s="202"/>
      <c r="O478" s="5"/>
      <c r="P478" s="5"/>
      <c r="Q478" s="5"/>
      <c r="R478" s="5"/>
      <c r="S478" s="5"/>
      <c r="T478" s="5"/>
      <c r="U478" s="5"/>
      <c r="V478" s="5"/>
      <c r="W478" s="5"/>
      <c r="X478" s="5"/>
      <c r="Y478" s="5"/>
      <c r="Z478" s="5"/>
    </row>
    <row r="479" ht="12.0" customHeight="1">
      <c r="A479" s="201" t="s">
        <v>630</v>
      </c>
      <c r="B479" s="201" t="s">
        <v>631</v>
      </c>
      <c r="C479" s="201" t="s">
        <v>3</v>
      </c>
      <c r="D479" s="201" t="s">
        <v>4</v>
      </c>
      <c r="E479" s="201" t="s">
        <v>5</v>
      </c>
      <c r="F479" s="201" t="s">
        <v>6</v>
      </c>
      <c r="G479" s="201" t="s">
        <v>7</v>
      </c>
      <c r="H479" s="201" t="s">
        <v>8</v>
      </c>
      <c r="I479" s="201" t="s">
        <v>9</v>
      </c>
      <c r="J479" s="201" t="s">
        <v>10</v>
      </c>
      <c r="K479" s="201" t="s">
        <v>11</v>
      </c>
      <c r="L479" s="201" t="s">
        <v>12</v>
      </c>
      <c r="M479" s="201" t="s">
        <v>13</v>
      </c>
      <c r="N479" s="201" t="s">
        <v>14</v>
      </c>
      <c r="O479" s="5"/>
      <c r="P479" s="5"/>
      <c r="Q479" s="5"/>
      <c r="R479" s="5"/>
      <c r="S479" s="5"/>
      <c r="T479" s="5"/>
      <c r="U479" s="5"/>
      <c r="V479" s="5"/>
      <c r="W479" s="5"/>
      <c r="X479" s="5"/>
      <c r="Y479" s="5"/>
      <c r="Z479" s="5"/>
    </row>
    <row r="480" ht="12.0" customHeight="1">
      <c r="A480" s="92" t="s">
        <v>632</v>
      </c>
      <c r="B480" s="92" t="s">
        <v>633</v>
      </c>
      <c r="C480" s="203">
        <f>SUM('2028'!B6:B9)+SUM('2028'!B17:B20)</f>
        <v>2561.98</v>
      </c>
      <c r="D480" s="203">
        <f>SUM('2028'!C6:C9)+SUM('2028'!C17:C20)</f>
        <v>1962.5</v>
      </c>
      <c r="E480" s="203">
        <f>SUM('2028'!D6:D9)+SUM('2028'!D17:D20)</f>
        <v>1858.375</v>
      </c>
      <c r="F480" s="203">
        <f>SUM('2028'!E6:E9)+SUM('2028'!E17:E20)</f>
        <v>1785.805</v>
      </c>
      <c r="G480" s="203">
        <f>SUM('2028'!F6:F9)+SUM('2028'!F17:F20)</f>
        <v>1672.22</v>
      </c>
      <c r="H480" s="203">
        <f>SUM('2028'!G6:G9)+SUM('2028'!G17:G20)</f>
        <v>1631.205</v>
      </c>
      <c r="I480" s="203">
        <f>SUM('2028'!H6:H9)+SUM('2028'!H17:H20)</f>
        <v>1744.79</v>
      </c>
      <c r="J480" s="203">
        <f>SUM('2028'!I6:I9)+SUM('2028'!I17:I20)</f>
        <v>1744.79</v>
      </c>
      <c r="K480" s="203">
        <f>SUM('2028'!J6:J9)+SUM('2028'!J17:J20)</f>
        <v>1744.79</v>
      </c>
      <c r="L480" s="203">
        <f>SUM('2028'!K6:K9)+SUM('2028'!K17:K20)</f>
        <v>1703.775</v>
      </c>
      <c r="M480" s="203">
        <f>SUM('2028'!L6:L9)+SUM('2028'!L17:L20)</f>
        <v>1662.76</v>
      </c>
      <c r="N480" s="203">
        <f>SUM('2028'!M6:M9)+SUM('2028'!M17:M20)</f>
        <v>2644.01</v>
      </c>
      <c r="O480" s="5"/>
      <c r="P480" s="5"/>
      <c r="Q480" s="5"/>
      <c r="R480" s="5"/>
      <c r="S480" s="5"/>
      <c r="T480" s="5"/>
      <c r="U480" s="5"/>
      <c r="V480" s="5"/>
      <c r="W480" s="5"/>
      <c r="X480" s="5"/>
      <c r="Y480" s="5"/>
      <c r="Z480" s="5"/>
    </row>
    <row r="481" ht="12.0" customHeight="1">
      <c r="A481" s="5"/>
      <c r="B481" s="92" t="s">
        <v>634</v>
      </c>
      <c r="C481" s="204">
        <f>C480/Parametros!$B$37</f>
        <v>128.099</v>
      </c>
      <c r="D481" s="204">
        <f>D480/Parametros!$B$37</f>
        <v>98.125</v>
      </c>
      <c r="E481" s="204">
        <f>E480/Parametros!$B$37</f>
        <v>92.91875</v>
      </c>
      <c r="F481" s="204">
        <f>F480/Parametros!$B$37</f>
        <v>89.29025</v>
      </c>
      <c r="G481" s="204">
        <f>G480/Parametros!$B$37</f>
        <v>83.611</v>
      </c>
      <c r="H481" s="204">
        <f>H480/Parametros!$B$37</f>
        <v>81.56025</v>
      </c>
      <c r="I481" s="204">
        <f>I480/Parametros!$B$37</f>
        <v>87.2395</v>
      </c>
      <c r="J481" s="204">
        <f>J480/Parametros!$B$37</f>
        <v>87.2395</v>
      </c>
      <c r="K481" s="204">
        <f>K480/Parametros!$B$37</f>
        <v>87.2395</v>
      </c>
      <c r="L481" s="204">
        <f>L480/Parametros!$B$37</f>
        <v>85.18875</v>
      </c>
      <c r="M481" s="204">
        <f>M480/Parametros!$B$37</f>
        <v>83.138</v>
      </c>
      <c r="N481" s="204">
        <f>N480/Parametros!$B$37</f>
        <v>132.2005</v>
      </c>
      <c r="O481" s="5"/>
      <c r="P481" s="5"/>
      <c r="Q481" s="5"/>
      <c r="R481" s="5"/>
      <c r="S481" s="5"/>
      <c r="T481" s="5"/>
      <c r="U481" s="5"/>
      <c r="V481" s="5"/>
      <c r="W481" s="5"/>
      <c r="X481" s="5"/>
      <c r="Y481" s="5"/>
      <c r="Z481" s="5"/>
    </row>
    <row r="482" ht="12.0" customHeight="1">
      <c r="A482" s="5"/>
      <c r="B482" s="92" t="s">
        <v>635</v>
      </c>
      <c r="C482" s="204">
        <f>C481/Parametros!$J$37</f>
        <v>17.07986667</v>
      </c>
      <c r="D482" s="204">
        <f>D481/Parametros!$J$37</f>
        <v>13.08333333</v>
      </c>
      <c r="E482" s="204">
        <f>E481/Parametros!$J$37</f>
        <v>12.38916667</v>
      </c>
      <c r="F482" s="204">
        <f>F481/Parametros!$J$37</f>
        <v>11.90536667</v>
      </c>
      <c r="G482" s="204">
        <f>G481/Parametros!$J$37</f>
        <v>11.14813333</v>
      </c>
      <c r="H482" s="204">
        <f>H481/Parametros!$J$37</f>
        <v>10.8747</v>
      </c>
      <c r="I482" s="204">
        <f>I481/Parametros!$J$37</f>
        <v>11.63193333</v>
      </c>
      <c r="J482" s="204">
        <f>J481/Parametros!$J$37</f>
        <v>11.63193333</v>
      </c>
      <c r="K482" s="204">
        <f>K481/Parametros!$J$37</f>
        <v>11.63193333</v>
      </c>
      <c r="L482" s="204">
        <f>L481/Parametros!$J$37</f>
        <v>11.3585</v>
      </c>
      <c r="M482" s="204">
        <f>M481/Parametros!$J$37</f>
        <v>11.08506667</v>
      </c>
      <c r="N482" s="204">
        <f>N481/Parametros!$J$37</f>
        <v>17.62673333</v>
      </c>
      <c r="O482" s="5"/>
      <c r="P482" s="5"/>
      <c r="Q482" s="5"/>
      <c r="R482" s="5"/>
      <c r="S482" s="5"/>
      <c r="T482" s="5"/>
      <c r="U482" s="5"/>
      <c r="V482" s="5"/>
      <c r="W482" s="5"/>
      <c r="X482" s="5"/>
      <c r="Y482" s="5"/>
      <c r="Z482" s="5"/>
    </row>
    <row r="483" ht="12.0" customHeight="1">
      <c r="A483" s="92" t="s">
        <v>636</v>
      </c>
      <c r="B483" s="5"/>
      <c r="C483" s="204">
        <f t="shared" ref="C483:N483" si="142">C482</f>
        <v>17.07986667</v>
      </c>
      <c r="D483" s="204">
        <f t="shared" si="142"/>
        <v>13.08333333</v>
      </c>
      <c r="E483" s="204">
        <f t="shared" si="142"/>
        <v>12.38916667</v>
      </c>
      <c r="F483" s="204">
        <f t="shared" si="142"/>
        <v>11.90536667</v>
      </c>
      <c r="G483" s="204">
        <f t="shared" si="142"/>
        <v>11.14813333</v>
      </c>
      <c r="H483" s="204">
        <f t="shared" si="142"/>
        <v>10.8747</v>
      </c>
      <c r="I483" s="204">
        <f t="shared" si="142"/>
        <v>11.63193333</v>
      </c>
      <c r="J483" s="204">
        <f t="shared" si="142"/>
        <v>11.63193333</v>
      </c>
      <c r="K483" s="204">
        <f t="shared" si="142"/>
        <v>11.63193333</v>
      </c>
      <c r="L483" s="204">
        <f t="shared" si="142"/>
        <v>11.3585</v>
      </c>
      <c r="M483" s="204">
        <f t="shared" si="142"/>
        <v>11.08506667</v>
      </c>
      <c r="N483" s="204">
        <f t="shared" si="142"/>
        <v>17.62673333</v>
      </c>
      <c r="O483" s="5"/>
      <c r="P483" s="5"/>
      <c r="Q483" s="5"/>
      <c r="R483" s="5"/>
      <c r="S483" s="5"/>
      <c r="T483" s="5"/>
      <c r="U483" s="5"/>
      <c r="V483" s="5"/>
      <c r="W483" s="5"/>
      <c r="X483" s="5"/>
      <c r="Y483" s="5"/>
      <c r="Z483" s="5"/>
    </row>
    <row r="484" ht="12.0" customHeight="1">
      <c r="A484" s="92" t="s">
        <v>637</v>
      </c>
      <c r="B484" s="5"/>
      <c r="C484" s="205">
        <f>'Resumen Capacidad'!$D$122</f>
        <v>192</v>
      </c>
      <c r="D484" s="205">
        <f>'Resumen Capacidad'!$D$122</f>
        <v>192</v>
      </c>
      <c r="E484" s="205">
        <f>'Resumen Capacidad'!$D$122</f>
        <v>192</v>
      </c>
      <c r="F484" s="205">
        <f>'Resumen Capacidad'!$D$122</f>
        <v>192</v>
      </c>
      <c r="G484" s="205">
        <f>'Resumen Capacidad'!$D$122</f>
        <v>192</v>
      </c>
      <c r="H484" s="205">
        <f>'Resumen Capacidad'!$D$122</f>
        <v>192</v>
      </c>
      <c r="I484" s="205">
        <f>'Resumen Capacidad'!$D$122</f>
        <v>192</v>
      </c>
      <c r="J484" s="205">
        <f>'Resumen Capacidad'!$D$122</f>
        <v>192</v>
      </c>
      <c r="K484" s="205">
        <f>'Resumen Capacidad'!$D$122</f>
        <v>192</v>
      </c>
      <c r="L484" s="205">
        <f>'Resumen Capacidad'!$D$122</f>
        <v>192</v>
      </c>
      <c r="M484" s="205">
        <f>'Resumen Capacidad'!$D$122</f>
        <v>192</v>
      </c>
      <c r="N484" s="205">
        <f>'Resumen Capacidad'!$D$122</f>
        <v>192</v>
      </c>
      <c r="O484" s="5"/>
      <c r="P484" s="5"/>
      <c r="Q484" s="5"/>
      <c r="R484" s="5"/>
      <c r="S484" s="5"/>
      <c r="T484" s="5"/>
      <c r="U484" s="5"/>
      <c r="V484" s="5"/>
      <c r="W484" s="5"/>
      <c r="X484" s="5"/>
      <c r="Y484" s="5"/>
      <c r="Z484" s="5"/>
    </row>
    <row r="485" ht="12.0" customHeight="1">
      <c r="A485" s="92" t="s">
        <v>640</v>
      </c>
      <c r="B485" s="5"/>
      <c r="C485" s="204">
        <f>'Resumen Capacidad'!$D$40*'Resumen Capacidad'!$D$76</f>
        <v>1</v>
      </c>
      <c r="D485" s="204">
        <f>'Resumen Capacidad'!$D$40*'Resumen Capacidad'!$D$76</f>
        <v>1</v>
      </c>
      <c r="E485" s="204">
        <f>'Resumen Capacidad'!$D$40*'Resumen Capacidad'!$D$76</f>
        <v>1</v>
      </c>
      <c r="F485" s="204">
        <f>'Resumen Capacidad'!$D$40*'Resumen Capacidad'!$D$76</f>
        <v>1</v>
      </c>
      <c r="G485" s="204">
        <f>'Resumen Capacidad'!$D$40*'Resumen Capacidad'!$D$76</f>
        <v>1</v>
      </c>
      <c r="H485" s="204">
        <f>'Resumen Capacidad'!$D$40*'Resumen Capacidad'!$D$76</f>
        <v>1</v>
      </c>
      <c r="I485" s="204">
        <f>'Resumen Capacidad'!$D$40*'Resumen Capacidad'!$D$76</f>
        <v>1</v>
      </c>
      <c r="J485" s="204">
        <f>'Resumen Capacidad'!$D$40*'Resumen Capacidad'!$D$76</f>
        <v>1</v>
      </c>
      <c r="K485" s="204">
        <f>'Resumen Capacidad'!$D$40*'Resumen Capacidad'!$D$76</f>
        <v>1</v>
      </c>
      <c r="L485" s="204">
        <f>'Resumen Capacidad'!$D$40*'Resumen Capacidad'!$D$76</f>
        <v>1</v>
      </c>
      <c r="M485" s="204">
        <f>'Resumen Capacidad'!$D$40*'Resumen Capacidad'!$D$76</f>
        <v>1</v>
      </c>
      <c r="N485" s="204">
        <f>'Resumen Capacidad'!$D$40*'Resumen Capacidad'!$D$76</f>
        <v>1</v>
      </c>
      <c r="O485" s="5"/>
      <c r="P485" s="5"/>
      <c r="Q485" s="5"/>
      <c r="R485" s="5"/>
      <c r="S485" s="5"/>
      <c r="T485" s="5"/>
      <c r="U485" s="5"/>
      <c r="V485" s="5"/>
      <c r="W485" s="5"/>
      <c r="X485" s="5"/>
      <c r="Y485" s="5"/>
      <c r="Z485" s="5"/>
    </row>
    <row r="486" ht="12.0" customHeight="1">
      <c r="A486" s="92" t="s">
        <v>642</v>
      </c>
      <c r="B486" s="5"/>
      <c r="C486" s="204">
        <f t="shared" ref="C486:N486" si="143">C484*C485</f>
        <v>192</v>
      </c>
      <c r="D486" s="204">
        <f t="shared" si="143"/>
        <v>192</v>
      </c>
      <c r="E486" s="204">
        <f t="shared" si="143"/>
        <v>192</v>
      </c>
      <c r="F486" s="204">
        <f t="shared" si="143"/>
        <v>192</v>
      </c>
      <c r="G486" s="204">
        <f t="shared" si="143"/>
        <v>192</v>
      </c>
      <c r="H486" s="204">
        <f t="shared" si="143"/>
        <v>192</v>
      </c>
      <c r="I486" s="204">
        <f t="shared" si="143"/>
        <v>192</v>
      </c>
      <c r="J486" s="204">
        <f t="shared" si="143"/>
        <v>192</v>
      </c>
      <c r="K486" s="204">
        <f t="shared" si="143"/>
        <v>192</v>
      </c>
      <c r="L486" s="204">
        <f t="shared" si="143"/>
        <v>192</v>
      </c>
      <c r="M486" s="204">
        <f t="shared" si="143"/>
        <v>192</v>
      </c>
      <c r="N486" s="204">
        <f t="shared" si="143"/>
        <v>192</v>
      </c>
      <c r="O486" s="5"/>
      <c r="P486" s="5"/>
      <c r="Q486" s="5"/>
      <c r="R486" s="5"/>
      <c r="S486" s="5"/>
      <c r="T486" s="5"/>
      <c r="U486" s="5"/>
      <c r="V486" s="5"/>
      <c r="W486" s="5"/>
      <c r="X486" s="5"/>
      <c r="Y486" s="5"/>
      <c r="Z486" s="5"/>
    </row>
    <row r="487" ht="12.0" customHeight="1">
      <c r="A487" s="92" t="s">
        <v>643</v>
      </c>
      <c r="B487" s="5"/>
      <c r="C487" s="206">
        <f t="shared" ref="C487:N487" si="144">IF(C486=0,0,C483/C486)</f>
        <v>0.08895763889</v>
      </c>
      <c r="D487" s="206">
        <f t="shared" si="144"/>
        <v>0.06814236111</v>
      </c>
      <c r="E487" s="206">
        <f t="shared" si="144"/>
        <v>0.06452690972</v>
      </c>
      <c r="F487" s="206">
        <f t="shared" si="144"/>
        <v>0.06200711806</v>
      </c>
      <c r="G487" s="206">
        <f t="shared" si="144"/>
        <v>0.05806319444</v>
      </c>
      <c r="H487" s="206">
        <f t="shared" si="144"/>
        <v>0.0566390625</v>
      </c>
      <c r="I487" s="206">
        <f t="shared" si="144"/>
        <v>0.06058298611</v>
      </c>
      <c r="J487" s="206">
        <f t="shared" si="144"/>
        <v>0.06058298611</v>
      </c>
      <c r="K487" s="206">
        <f t="shared" si="144"/>
        <v>0.06058298611</v>
      </c>
      <c r="L487" s="206">
        <f t="shared" si="144"/>
        <v>0.05915885417</v>
      </c>
      <c r="M487" s="206">
        <f t="shared" si="144"/>
        <v>0.05773472222</v>
      </c>
      <c r="N487" s="206">
        <f t="shared" si="144"/>
        <v>0.09180590278</v>
      </c>
      <c r="O487" s="5"/>
      <c r="P487" s="5"/>
      <c r="Q487" s="5"/>
      <c r="R487" s="5"/>
      <c r="S487" s="5"/>
      <c r="T487" s="5"/>
      <c r="U487" s="5"/>
      <c r="V487" s="5"/>
      <c r="W487" s="5"/>
      <c r="X487" s="5"/>
      <c r="Y487" s="5"/>
      <c r="Z487" s="5"/>
    </row>
    <row r="488" ht="12.0" customHeight="1">
      <c r="A488" s="201" t="s">
        <v>686</v>
      </c>
      <c r="B488" s="202"/>
      <c r="C488" s="202"/>
      <c r="D488" s="202"/>
      <c r="E488" s="202"/>
      <c r="F488" s="202"/>
      <c r="G488" s="202"/>
      <c r="H488" s="202"/>
      <c r="I488" s="202"/>
      <c r="J488" s="202"/>
      <c r="K488" s="202"/>
      <c r="L488" s="202"/>
      <c r="M488" s="202"/>
      <c r="N488" s="202"/>
      <c r="O488" s="5"/>
      <c r="P488" s="5"/>
      <c r="Q488" s="5"/>
      <c r="R488" s="5"/>
      <c r="S488" s="5"/>
      <c r="T488" s="5"/>
      <c r="U488" s="5"/>
      <c r="V488" s="5"/>
      <c r="W488" s="5"/>
      <c r="X488" s="5"/>
      <c r="Y488" s="5"/>
      <c r="Z488" s="5"/>
    </row>
    <row r="489" ht="12.0" customHeight="1">
      <c r="A489" s="201" t="s">
        <v>630</v>
      </c>
      <c r="B489" s="201" t="s">
        <v>631</v>
      </c>
      <c r="C489" s="201" t="s">
        <v>3</v>
      </c>
      <c r="D489" s="201" t="s">
        <v>4</v>
      </c>
      <c r="E489" s="201" t="s">
        <v>5</v>
      </c>
      <c r="F489" s="201" t="s">
        <v>6</v>
      </c>
      <c r="G489" s="201" t="s">
        <v>7</v>
      </c>
      <c r="H489" s="201" t="s">
        <v>8</v>
      </c>
      <c r="I489" s="201" t="s">
        <v>9</v>
      </c>
      <c r="J489" s="201" t="s">
        <v>10</v>
      </c>
      <c r="K489" s="201" t="s">
        <v>11</v>
      </c>
      <c r="L489" s="201" t="s">
        <v>12</v>
      </c>
      <c r="M489" s="201" t="s">
        <v>13</v>
      </c>
      <c r="N489" s="201" t="s">
        <v>14</v>
      </c>
      <c r="O489" s="5"/>
      <c r="P489" s="5"/>
      <c r="Q489" s="5"/>
      <c r="R489" s="5"/>
      <c r="S489" s="5"/>
      <c r="T489" s="5"/>
      <c r="U489" s="5"/>
      <c r="V489" s="5"/>
      <c r="W489" s="5"/>
      <c r="X489" s="5"/>
      <c r="Y489" s="5"/>
      <c r="Z489" s="5"/>
    </row>
    <row r="490" ht="12.0" customHeight="1">
      <c r="A490" s="92" t="s">
        <v>632</v>
      </c>
      <c r="B490" s="92" t="s">
        <v>633</v>
      </c>
      <c r="C490" s="203">
        <f>SUM('2028'!B6:B9)+SUM('2028'!B17:B20)</f>
        <v>2561.98</v>
      </c>
      <c r="D490" s="203">
        <f>SUM('2028'!C6:C9)+SUM('2028'!C17:C20)</f>
        <v>1962.5</v>
      </c>
      <c r="E490" s="203">
        <f>SUM('2028'!D6:D9)+SUM('2028'!D17:D20)</f>
        <v>1858.375</v>
      </c>
      <c r="F490" s="203">
        <f>SUM('2028'!E6:E9)+SUM('2028'!E17:E20)</f>
        <v>1785.805</v>
      </c>
      <c r="G490" s="203">
        <f>SUM('2028'!F6:F9)+SUM('2028'!F17:F20)</f>
        <v>1672.22</v>
      </c>
      <c r="H490" s="203">
        <f>SUM('2028'!G6:G9)+SUM('2028'!G17:G20)</f>
        <v>1631.205</v>
      </c>
      <c r="I490" s="203">
        <f>SUM('2028'!H6:H9)+SUM('2028'!H17:H20)</f>
        <v>1744.79</v>
      </c>
      <c r="J490" s="203">
        <f>SUM('2028'!I6:I9)+SUM('2028'!I17:I20)</f>
        <v>1744.79</v>
      </c>
      <c r="K490" s="203">
        <f>SUM('2028'!J6:J9)+SUM('2028'!J17:J20)</f>
        <v>1744.79</v>
      </c>
      <c r="L490" s="203">
        <f>SUM('2028'!K6:K9)+SUM('2028'!K17:K20)</f>
        <v>1703.775</v>
      </c>
      <c r="M490" s="203">
        <f>SUM('2028'!L6:L9)+SUM('2028'!L17:L20)</f>
        <v>1662.76</v>
      </c>
      <c r="N490" s="203">
        <f>SUM('2028'!M6:M9)+SUM('2028'!M17:M20)</f>
        <v>2644.01</v>
      </c>
      <c r="O490" s="5"/>
      <c r="P490" s="5"/>
      <c r="Q490" s="5"/>
      <c r="R490" s="5"/>
      <c r="S490" s="5"/>
      <c r="T490" s="5"/>
      <c r="U490" s="5"/>
      <c r="V490" s="5"/>
      <c r="W490" s="5"/>
      <c r="X490" s="5"/>
      <c r="Y490" s="5"/>
      <c r="Z490" s="5"/>
    </row>
    <row r="491" ht="12.0" customHeight="1">
      <c r="A491" s="5"/>
      <c r="B491" s="92" t="s">
        <v>634</v>
      </c>
      <c r="C491" s="204">
        <f>C490/Parametros!$B$37</f>
        <v>128.099</v>
      </c>
      <c r="D491" s="204">
        <f>D490/Parametros!$B$37</f>
        <v>98.125</v>
      </c>
      <c r="E491" s="204">
        <f>E490/Parametros!$B$37</f>
        <v>92.91875</v>
      </c>
      <c r="F491" s="204">
        <f>F490/Parametros!$B$37</f>
        <v>89.29025</v>
      </c>
      <c r="G491" s="204">
        <f>G490/Parametros!$B$37</f>
        <v>83.611</v>
      </c>
      <c r="H491" s="204">
        <f>H490/Parametros!$B$37</f>
        <v>81.56025</v>
      </c>
      <c r="I491" s="204">
        <f>I490/Parametros!$B$37</f>
        <v>87.2395</v>
      </c>
      <c r="J491" s="204">
        <f>J490/Parametros!$B$37</f>
        <v>87.2395</v>
      </c>
      <c r="K491" s="204">
        <f>K490/Parametros!$B$37</f>
        <v>87.2395</v>
      </c>
      <c r="L491" s="204">
        <f>L490/Parametros!$B$37</f>
        <v>85.18875</v>
      </c>
      <c r="M491" s="204">
        <f>M490/Parametros!$B$37</f>
        <v>83.138</v>
      </c>
      <c r="N491" s="204">
        <f>N490/Parametros!$B$37</f>
        <v>132.2005</v>
      </c>
      <c r="O491" s="5"/>
      <c r="P491" s="5"/>
      <c r="Q491" s="5"/>
      <c r="R491" s="5"/>
      <c r="S491" s="5"/>
      <c r="T491" s="5"/>
      <c r="U491" s="5"/>
      <c r="V491" s="5"/>
      <c r="W491" s="5"/>
      <c r="X491" s="5"/>
      <c r="Y491" s="5"/>
      <c r="Z491" s="5"/>
    </row>
    <row r="492" ht="12.0" customHeight="1">
      <c r="A492" s="5"/>
      <c r="B492" s="92" t="s">
        <v>635</v>
      </c>
      <c r="C492" s="204">
        <f>C491/Parametros!$J$37</f>
        <v>17.07986667</v>
      </c>
      <c r="D492" s="204">
        <f>D491/Parametros!$J$37</f>
        <v>13.08333333</v>
      </c>
      <c r="E492" s="204">
        <f>E491/Parametros!$J$37</f>
        <v>12.38916667</v>
      </c>
      <c r="F492" s="204">
        <f>F491/Parametros!$J$37</f>
        <v>11.90536667</v>
      </c>
      <c r="G492" s="204">
        <f>G491/Parametros!$J$37</f>
        <v>11.14813333</v>
      </c>
      <c r="H492" s="204">
        <f>H491/Parametros!$J$37</f>
        <v>10.8747</v>
      </c>
      <c r="I492" s="204">
        <f>I491/Parametros!$J$37</f>
        <v>11.63193333</v>
      </c>
      <c r="J492" s="204">
        <f>J491/Parametros!$J$37</f>
        <v>11.63193333</v>
      </c>
      <c r="K492" s="204">
        <f>K491/Parametros!$J$37</f>
        <v>11.63193333</v>
      </c>
      <c r="L492" s="204">
        <f>L491/Parametros!$J$37</f>
        <v>11.3585</v>
      </c>
      <c r="M492" s="204">
        <f>M491/Parametros!$J$37</f>
        <v>11.08506667</v>
      </c>
      <c r="N492" s="204">
        <f>N491/Parametros!$J$37</f>
        <v>17.62673333</v>
      </c>
      <c r="O492" s="5"/>
      <c r="P492" s="5"/>
      <c r="Q492" s="5"/>
      <c r="R492" s="5"/>
      <c r="S492" s="5"/>
      <c r="T492" s="5"/>
      <c r="U492" s="5"/>
      <c r="V492" s="5"/>
      <c r="W492" s="5"/>
      <c r="X492" s="5"/>
      <c r="Y492" s="5"/>
      <c r="Z492" s="5"/>
    </row>
    <row r="493" ht="12.0" customHeight="1">
      <c r="A493" s="92" t="s">
        <v>636</v>
      </c>
      <c r="B493" s="5"/>
      <c r="C493" s="204">
        <f t="shared" ref="C493:N493" si="145">C492</f>
        <v>17.07986667</v>
      </c>
      <c r="D493" s="204">
        <f t="shared" si="145"/>
        <v>13.08333333</v>
      </c>
      <c r="E493" s="204">
        <f t="shared" si="145"/>
        <v>12.38916667</v>
      </c>
      <c r="F493" s="204">
        <f t="shared" si="145"/>
        <v>11.90536667</v>
      </c>
      <c r="G493" s="204">
        <f t="shared" si="145"/>
        <v>11.14813333</v>
      </c>
      <c r="H493" s="204">
        <f t="shared" si="145"/>
        <v>10.8747</v>
      </c>
      <c r="I493" s="204">
        <f t="shared" si="145"/>
        <v>11.63193333</v>
      </c>
      <c r="J493" s="204">
        <f t="shared" si="145"/>
        <v>11.63193333</v>
      </c>
      <c r="K493" s="204">
        <f t="shared" si="145"/>
        <v>11.63193333</v>
      </c>
      <c r="L493" s="204">
        <f t="shared" si="145"/>
        <v>11.3585</v>
      </c>
      <c r="M493" s="204">
        <f t="shared" si="145"/>
        <v>11.08506667</v>
      </c>
      <c r="N493" s="204">
        <f t="shared" si="145"/>
        <v>17.62673333</v>
      </c>
      <c r="O493" s="5"/>
      <c r="P493" s="5"/>
      <c r="Q493" s="5"/>
      <c r="R493" s="5"/>
      <c r="S493" s="5"/>
      <c r="T493" s="5"/>
      <c r="U493" s="5"/>
      <c r="V493" s="5"/>
      <c r="W493" s="5"/>
      <c r="X493" s="5"/>
      <c r="Y493" s="5"/>
      <c r="Z493" s="5"/>
    </row>
    <row r="494" ht="12.0" customHeight="1">
      <c r="A494" s="92" t="s">
        <v>637</v>
      </c>
      <c r="B494" s="5"/>
      <c r="C494" s="205">
        <f>'Resumen Capacidad'!$D$124</f>
        <v>136.0227273</v>
      </c>
      <c r="D494" s="205">
        <f>'Resumen Capacidad'!$D$124</f>
        <v>136.0227273</v>
      </c>
      <c r="E494" s="205">
        <f>'Resumen Capacidad'!$D$124</f>
        <v>136.0227273</v>
      </c>
      <c r="F494" s="205">
        <f>'Resumen Capacidad'!$D$124</f>
        <v>136.0227273</v>
      </c>
      <c r="G494" s="205">
        <f>'Resumen Capacidad'!$D$124</f>
        <v>136.0227273</v>
      </c>
      <c r="H494" s="205">
        <f>'Resumen Capacidad'!$D$124</f>
        <v>136.0227273</v>
      </c>
      <c r="I494" s="205">
        <f>'Resumen Capacidad'!$D$124</f>
        <v>136.0227273</v>
      </c>
      <c r="J494" s="205">
        <f>'Resumen Capacidad'!$D$124</f>
        <v>136.0227273</v>
      </c>
      <c r="K494" s="205">
        <f>'Resumen Capacidad'!$D$124</f>
        <v>136.0227273</v>
      </c>
      <c r="L494" s="205">
        <f>'Resumen Capacidad'!$D$124</f>
        <v>136.0227273</v>
      </c>
      <c r="M494" s="205">
        <f>'Resumen Capacidad'!$D$124</f>
        <v>136.0227273</v>
      </c>
      <c r="N494" s="205">
        <f>'Resumen Capacidad'!$D$124</f>
        <v>136.0227273</v>
      </c>
      <c r="O494" s="5"/>
      <c r="P494" s="5"/>
      <c r="Q494" s="5"/>
      <c r="R494" s="5"/>
      <c r="S494" s="5"/>
      <c r="T494" s="5"/>
      <c r="U494" s="5"/>
      <c r="V494" s="5"/>
      <c r="W494" s="5"/>
      <c r="X494" s="5"/>
      <c r="Y494" s="5"/>
      <c r="Z494" s="5"/>
    </row>
    <row r="495" ht="12.0" customHeight="1">
      <c r="A495" s="92" t="s">
        <v>640</v>
      </c>
      <c r="B495" s="5"/>
      <c r="C495" s="204">
        <f>'Resumen Capacidad'!$D$42*'Resumen Capacidad'!$D$78</f>
        <v>0</v>
      </c>
      <c r="D495" s="204">
        <f>'Resumen Capacidad'!$D$42*'Resumen Capacidad'!$D$78</f>
        <v>0</v>
      </c>
      <c r="E495" s="204">
        <f>'Resumen Capacidad'!$D$42*'Resumen Capacidad'!$D$78</f>
        <v>0</v>
      </c>
      <c r="F495" s="204">
        <f>'Resumen Capacidad'!$D$42*'Resumen Capacidad'!$D$78</f>
        <v>0</v>
      </c>
      <c r="G495" s="204">
        <f>'Resumen Capacidad'!$D$42*'Resumen Capacidad'!$D$78</f>
        <v>0</v>
      </c>
      <c r="H495" s="204">
        <f>'Resumen Capacidad'!$D$42*'Resumen Capacidad'!$D$78</f>
        <v>0</v>
      </c>
      <c r="I495" s="204">
        <f>'Resumen Capacidad'!$D$42*'Resumen Capacidad'!$D$78</f>
        <v>0</v>
      </c>
      <c r="J495" s="204">
        <f>'Resumen Capacidad'!$D$42*'Resumen Capacidad'!$D$78</f>
        <v>0</v>
      </c>
      <c r="K495" s="204">
        <f>'Resumen Capacidad'!$D$42*'Resumen Capacidad'!$D$78</f>
        <v>0</v>
      </c>
      <c r="L495" s="204">
        <f>'Resumen Capacidad'!$D$42*'Resumen Capacidad'!$D$78</f>
        <v>0</v>
      </c>
      <c r="M495" s="204">
        <f>'Resumen Capacidad'!$D$42*'Resumen Capacidad'!$D$78</f>
        <v>0</v>
      </c>
      <c r="N495" s="204">
        <f>'Resumen Capacidad'!$D$42*'Resumen Capacidad'!$D$78</f>
        <v>0</v>
      </c>
      <c r="O495" s="5"/>
      <c r="P495" s="5"/>
      <c r="Q495" s="5"/>
      <c r="R495" s="5"/>
      <c r="S495" s="5"/>
      <c r="T495" s="5"/>
      <c r="U495" s="5"/>
      <c r="V495" s="5"/>
      <c r="W495" s="5"/>
      <c r="X495" s="5"/>
      <c r="Y495" s="5"/>
      <c r="Z495" s="5"/>
    </row>
    <row r="496" ht="12.0" customHeight="1">
      <c r="A496" s="92" t="s">
        <v>642</v>
      </c>
      <c r="B496" s="5"/>
      <c r="C496" s="204">
        <f t="shared" ref="C496:N496" si="146">C494*C495</f>
        <v>0</v>
      </c>
      <c r="D496" s="204">
        <f t="shared" si="146"/>
        <v>0</v>
      </c>
      <c r="E496" s="204">
        <f t="shared" si="146"/>
        <v>0</v>
      </c>
      <c r="F496" s="204">
        <f t="shared" si="146"/>
        <v>0</v>
      </c>
      <c r="G496" s="204">
        <f t="shared" si="146"/>
        <v>0</v>
      </c>
      <c r="H496" s="204">
        <f t="shared" si="146"/>
        <v>0</v>
      </c>
      <c r="I496" s="204">
        <f t="shared" si="146"/>
        <v>0</v>
      </c>
      <c r="J496" s="204">
        <f t="shared" si="146"/>
        <v>0</v>
      </c>
      <c r="K496" s="204">
        <f t="shared" si="146"/>
        <v>0</v>
      </c>
      <c r="L496" s="204">
        <f t="shared" si="146"/>
        <v>0</v>
      </c>
      <c r="M496" s="204">
        <f t="shared" si="146"/>
        <v>0</v>
      </c>
      <c r="N496" s="204">
        <f t="shared" si="146"/>
        <v>0</v>
      </c>
      <c r="O496" s="5"/>
      <c r="P496" s="5"/>
      <c r="Q496" s="5"/>
      <c r="R496" s="5"/>
      <c r="S496" s="5"/>
      <c r="T496" s="5"/>
      <c r="U496" s="5"/>
      <c r="V496" s="5"/>
      <c r="W496" s="5"/>
      <c r="X496" s="5"/>
      <c r="Y496" s="5"/>
      <c r="Z496" s="5"/>
    </row>
    <row r="497" ht="12.0" customHeight="1">
      <c r="A497" s="92" t="s">
        <v>643</v>
      </c>
      <c r="B497" s="5"/>
      <c r="C497" s="206">
        <f t="shared" ref="C497:N497" si="147">IF(C496=0,0,C493/C496)</f>
        <v>0</v>
      </c>
      <c r="D497" s="206">
        <f t="shared" si="147"/>
        <v>0</v>
      </c>
      <c r="E497" s="206">
        <f t="shared" si="147"/>
        <v>0</v>
      </c>
      <c r="F497" s="206">
        <f t="shared" si="147"/>
        <v>0</v>
      </c>
      <c r="G497" s="206">
        <f t="shared" si="147"/>
        <v>0</v>
      </c>
      <c r="H497" s="206">
        <f t="shared" si="147"/>
        <v>0</v>
      </c>
      <c r="I497" s="206">
        <f t="shared" si="147"/>
        <v>0</v>
      </c>
      <c r="J497" s="206">
        <f t="shared" si="147"/>
        <v>0</v>
      </c>
      <c r="K497" s="206">
        <f t="shared" si="147"/>
        <v>0</v>
      </c>
      <c r="L497" s="206">
        <f t="shared" si="147"/>
        <v>0</v>
      </c>
      <c r="M497" s="206">
        <f t="shared" si="147"/>
        <v>0</v>
      </c>
      <c r="N497" s="206">
        <f t="shared" si="147"/>
        <v>0</v>
      </c>
      <c r="O497" s="5"/>
      <c r="P497" s="5"/>
      <c r="Q497" s="5"/>
      <c r="R497" s="5"/>
      <c r="S497" s="5"/>
      <c r="T497" s="5"/>
      <c r="U497" s="5"/>
      <c r="V497" s="5"/>
      <c r="W497" s="5"/>
      <c r="X497" s="5"/>
      <c r="Y497" s="5"/>
      <c r="Z497" s="5"/>
    </row>
    <row r="498" ht="12.0" customHeight="1">
      <c r="A498" s="201" t="s">
        <v>693</v>
      </c>
      <c r="B498" s="202"/>
      <c r="C498" s="202"/>
      <c r="D498" s="202"/>
      <c r="E498" s="202"/>
      <c r="F498" s="202"/>
      <c r="G498" s="202"/>
      <c r="H498" s="202"/>
      <c r="I498" s="202"/>
      <c r="J498" s="202"/>
      <c r="K498" s="202"/>
      <c r="L498" s="202"/>
      <c r="M498" s="202"/>
      <c r="N498" s="202"/>
      <c r="O498" s="5"/>
      <c r="P498" s="5"/>
      <c r="Q498" s="5"/>
      <c r="R498" s="5"/>
      <c r="S498" s="5"/>
      <c r="T498" s="5"/>
      <c r="U498" s="5"/>
      <c r="V498" s="5"/>
      <c r="W498" s="5"/>
      <c r="X498" s="5"/>
      <c r="Y498" s="5"/>
      <c r="Z498" s="5"/>
    </row>
    <row r="499" ht="12.0" customHeight="1">
      <c r="A499" s="201" t="s">
        <v>630</v>
      </c>
      <c r="B499" s="201" t="s">
        <v>631</v>
      </c>
      <c r="C499" s="201" t="s">
        <v>3</v>
      </c>
      <c r="D499" s="201" t="s">
        <v>4</v>
      </c>
      <c r="E499" s="201" t="s">
        <v>5</v>
      </c>
      <c r="F499" s="201" t="s">
        <v>6</v>
      </c>
      <c r="G499" s="201" t="s">
        <v>7</v>
      </c>
      <c r="H499" s="201" t="s">
        <v>8</v>
      </c>
      <c r="I499" s="201" t="s">
        <v>9</v>
      </c>
      <c r="J499" s="201" t="s">
        <v>10</v>
      </c>
      <c r="K499" s="201" t="s">
        <v>11</v>
      </c>
      <c r="L499" s="201" t="s">
        <v>12</v>
      </c>
      <c r="M499" s="201" t="s">
        <v>13</v>
      </c>
      <c r="N499" s="201" t="s">
        <v>14</v>
      </c>
      <c r="O499" s="5"/>
      <c r="P499" s="5"/>
      <c r="Q499" s="5"/>
      <c r="R499" s="5"/>
      <c r="S499" s="5"/>
      <c r="T499" s="5"/>
      <c r="U499" s="5"/>
      <c r="V499" s="5"/>
      <c r="W499" s="5"/>
      <c r="X499" s="5"/>
      <c r="Y499" s="5"/>
      <c r="Z499" s="5"/>
    </row>
    <row r="500" ht="12.0" customHeight="1">
      <c r="A500" s="92" t="s">
        <v>694</v>
      </c>
      <c r="B500" s="92" t="s">
        <v>633</v>
      </c>
      <c r="C500" s="203">
        <f>SUM('2028'!B6:B9)+Parametros!$B$72*C2239</f>
        <v>1532.65</v>
      </c>
      <c r="D500" s="203">
        <f>SUM('2028'!C6:C9)+Parametros!$B$72*D2239</f>
        <v>1191.35</v>
      </c>
      <c r="E500" s="203">
        <f>SUM('2028'!D6:D9)+Parametros!$B$72*E2239</f>
        <v>1168.09</v>
      </c>
      <c r="F500" s="203">
        <f>SUM('2028'!E6:E9)+Parametros!$B$72*F2239</f>
        <v>1133.83</v>
      </c>
      <c r="G500" s="203">
        <f>SUM('2028'!F6:F9)+Parametros!$B$72*G2239</f>
        <v>1067.9</v>
      </c>
      <c r="H500" s="203">
        <f>SUM('2028'!G6:G9)+Parametros!$B$72*H2239</f>
        <v>1027.17</v>
      </c>
      <c r="I500" s="203">
        <f>SUM('2028'!H6:H9)+Parametros!$B$72*I2239</f>
        <v>1102.16</v>
      </c>
      <c r="J500" s="203">
        <f>SUM('2028'!I6:I9)+Parametros!$B$72*J2239</f>
        <v>1102.16</v>
      </c>
      <c r="K500" s="203">
        <f>SUM('2028'!J6:J9)+Parametros!$B$72*K2239</f>
        <v>1097.63</v>
      </c>
      <c r="L500" s="203">
        <f>SUM('2028'!K6:K9)+Parametros!$B$72*L2239</f>
        <v>1056.9</v>
      </c>
      <c r="M500" s="203">
        <f>SUM('2028'!L6:L9)+Parametros!$B$72*M2239</f>
        <v>1020.7</v>
      </c>
      <c r="N500" s="203">
        <f>SUM('2028'!M6:M9)+Parametros!$B$72*N2239</f>
        <v>1591.46</v>
      </c>
      <c r="O500" s="5"/>
      <c r="P500" s="5"/>
      <c r="Q500" s="5"/>
      <c r="R500" s="5"/>
      <c r="S500" s="5"/>
      <c r="T500" s="5"/>
      <c r="U500" s="5"/>
      <c r="V500" s="5"/>
      <c r="W500" s="5"/>
      <c r="X500" s="5"/>
      <c r="Y500" s="5"/>
      <c r="Z500" s="5"/>
    </row>
    <row r="501" ht="12.0" customHeight="1">
      <c r="A501" s="5"/>
      <c r="B501" s="92" t="s">
        <v>634</v>
      </c>
      <c r="C501" s="204">
        <f>C500/Parametros!$B$37</f>
        <v>76.6325</v>
      </c>
      <c r="D501" s="204">
        <f>D500/Parametros!$B$37</f>
        <v>59.5675</v>
      </c>
      <c r="E501" s="204">
        <f>E500/Parametros!$B$37</f>
        <v>58.4045</v>
      </c>
      <c r="F501" s="204">
        <f>F500/Parametros!$B$37</f>
        <v>56.6915</v>
      </c>
      <c r="G501" s="204">
        <f>G500/Parametros!$B$37</f>
        <v>53.395</v>
      </c>
      <c r="H501" s="204">
        <f>H500/Parametros!$B$37</f>
        <v>51.3585</v>
      </c>
      <c r="I501" s="204">
        <f>I500/Parametros!$B$37</f>
        <v>55.108</v>
      </c>
      <c r="J501" s="204">
        <f>J500/Parametros!$B$37</f>
        <v>55.108</v>
      </c>
      <c r="K501" s="204">
        <f>K500/Parametros!$B$37</f>
        <v>54.8815</v>
      </c>
      <c r="L501" s="204">
        <f>L500/Parametros!$B$37</f>
        <v>52.845</v>
      </c>
      <c r="M501" s="204">
        <f>M500/Parametros!$B$37</f>
        <v>51.035</v>
      </c>
      <c r="N501" s="204">
        <f>N500/Parametros!$B$37</f>
        <v>79.573</v>
      </c>
      <c r="O501" s="5"/>
      <c r="P501" s="5"/>
      <c r="Q501" s="5"/>
      <c r="R501" s="5"/>
      <c r="S501" s="5"/>
      <c r="T501" s="5"/>
      <c r="U501" s="5"/>
      <c r="V501" s="5"/>
      <c r="W501" s="5"/>
      <c r="X501" s="5"/>
      <c r="Y501" s="5"/>
      <c r="Z501" s="5"/>
    </row>
    <row r="502" ht="12.0" customHeight="1">
      <c r="A502" s="5"/>
      <c r="B502" s="92" t="s">
        <v>635</v>
      </c>
      <c r="C502" s="204">
        <f>C501/Parametros!$J$37</f>
        <v>10.21766667</v>
      </c>
      <c r="D502" s="204">
        <f>D501/Parametros!$J$37</f>
        <v>7.942333333</v>
      </c>
      <c r="E502" s="204">
        <f>E501/Parametros!$J$37</f>
        <v>7.787266667</v>
      </c>
      <c r="F502" s="204">
        <f>F501/Parametros!$J$37</f>
        <v>7.558866667</v>
      </c>
      <c r="G502" s="204">
        <f>G501/Parametros!$J$37</f>
        <v>7.119333333</v>
      </c>
      <c r="H502" s="204">
        <f>H501/Parametros!$J$37</f>
        <v>6.8478</v>
      </c>
      <c r="I502" s="204">
        <f>I501/Parametros!$J$37</f>
        <v>7.347733333</v>
      </c>
      <c r="J502" s="204">
        <f>J501/Parametros!$J$37</f>
        <v>7.347733333</v>
      </c>
      <c r="K502" s="204">
        <f>K501/Parametros!$J$37</f>
        <v>7.317533333</v>
      </c>
      <c r="L502" s="204">
        <f>L501/Parametros!$J$37</f>
        <v>7.046</v>
      </c>
      <c r="M502" s="204">
        <f>M501/Parametros!$J$37</f>
        <v>6.804666667</v>
      </c>
      <c r="N502" s="204">
        <f>N501/Parametros!$J$37</f>
        <v>10.60973333</v>
      </c>
      <c r="O502" s="5"/>
      <c r="P502" s="5"/>
      <c r="Q502" s="5"/>
      <c r="R502" s="5"/>
      <c r="S502" s="5"/>
      <c r="T502" s="5"/>
      <c r="U502" s="5"/>
      <c r="V502" s="5"/>
      <c r="W502" s="5"/>
      <c r="X502" s="5"/>
      <c r="Y502" s="5"/>
      <c r="Z502" s="5"/>
    </row>
    <row r="503" ht="12.0" customHeight="1">
      <c r="A503" s="92" t="s">
        <v>636</v>
      </c>
      <c r="B503" s="5"/>
      <c r="C503" s="204">
        <f t="shared" ref="C503:N503" si="148">C502</f>
        <v>10.21766667</v>
      </c>
      <c r="D503" s="204">
        <f t="shared" si="148"/>
        <v>7.942333333</v>
      </c>
      <c r="E503" s="204">
        <f t="shared" si="148"/>
        <v>7.787266667</v>
      </c>
      <c r="F503" s="204">
        <f t="shared" si="148"/>
        <v>7.558866667</v>
      </c>
      <c r="G503" s="204">
        <f t="shared" si="148"/>
        <v>7.119333333</v>
      </c>
      <c r="H503" s="204">
        <f t="shared" si="148"/>
        <v>6.8478</v>
      </c>
      <c r="I503" s="204">
        <f t="shared" si="148"/>
        <v>7.347733333</v>
      </c>
      <c r="J503" s="204">
        <f t="shared" si="148"/>
        <v>7.347733333</v>
      </c>
      <c r="K503" s="204">
        <f t="shared" si="148"/>
        <v>7.317533333</v>
      </c>
      <c r="L503" s="204">
        <f t="shared" si="148"/>
        <v>7.046</v>
      </c>
      <c r="M503" s="204">
        <f t="shared" si="148"/>
        <v>6.804666667</v>
      </c>
      <c r="N503" s="204">
        <f t="shared" si="148"/>
        <v>10.60973333</v>
      </c>
      <c r="O503" s="5"/>
      <c r="P503" s="5"/>
      <c r="Q503" s="5"/>
      <c r="R503" s="5"/>
      <c r="S503" s="5"/>
      <c r="T503" s="5"/>
      <c r="U503" s="5"/>
      <c r="V503" s="5"/>
      <c r="W503" s="5"/>
      <c r="X503" s="5"/>
      <c r="Y503" s="5"/>
      <c r="Z503" s="5"/>
    </row>
    <row r="504" ht="12.0" customHeight="1">
      <c r="A504" s="92" t="s">
        <v>637</v>
      </c>
      <c r="B504" s="5"/>
      <c r="C504" s="205">
        <f>'Resumen Capacidad'!$D$125</f>
        <v>60.34285714</v>
      </c>
      <c r="D504" s="205">
        <f>'Resumen Capacidad'!$D$125</f>
        <v>60.34285714</v>
      </c>
      <c r="E504" s="205">
        <f>'Resumen Capacidad'!$D$125</f>
        <v>60.34285714</v>
      </c>
      <c r="F504" s="205">
        <f>'Resumen Capacidad'!$D$125</f>
        <v>60.34285714</v>
      </c>
      <c r="G504" s="205">
        <f>'Resumen Capacidad'!$D$125</f>
        <v>60.34285714</v>
      </c>
      <c r="H504" s="205">
        <f>'Resumen Capacidad'!$D$125</f>
        <v>60.34285714</v>
      </c>
      <c r="I504" s="205">
        <f>'Resumen Capacidad'!$D$125</f>
        <v>60.34285714</v>
      </c>
      <c r="J504" s="205">
        <f>'Resumen Capacidad'!$D$125</f>
        <v>60.34285714</v>
      </c>
      <c r="K504" s="205">
        <f>'Resumen Capacidad'!$D$125</f>
        <v>60.34285714</v>
      </c>
      <c r="L504" s="205">
        <f>'Resumen Capacidad'!$D$125</f>
        <v>60.34285714</v>
      </c>
      <c r="M504" s="205">
        <f>'Resumen Capacidad'!$D$125</f>
        <v>60.34285714</v>
      </c>
      <c r="N504" s="205">
        <f>'Resumen Capacidad'!$D$125</f>
        <v>60.34285714</v>
      </c>
      <c r="O504" s="5"/>
      <c r="P504" s="5"/>
      <c r="Q504" s="5"/>
      <c r="R504" s="5"/>
      <c r="S504" s="5"/>
      <c r="T504" s="5"/>
      <c r="U504" s="5"/>
      <c r="V504" s="5"/>
      <c r="W504" s="5"/>
      <c r="X504" s="5"/>
      <c r="Y504" s="5"/>
      <c r="Z504" s="5"/>
    </row>
    <row r="505" ht="12.0" customHeight="1">
      <c r="A505" s="92" t="s">
        <v>640</v>
      </c>
      <c r="B505" s="5"/>
      <c r="C505" s="204">
        <f>'Resumen Capacidad'!$D$43*'Resumen Capacidad'!$D$79</f>
        <v>1</v>
      </c>
      <c r="D505" s="204">
        <f>'Resumen Capacidad'!$D$43*'Resumen Capacidad'!$D$79</f>
        <v>1</v>
      </c>
      <c r="E505" s="204">
        <f>'Resumen Capacidad'!$D$43*'Resumen Capacidad'!$D$79</f>
        <v>1</v>
      </c>
      <c r="F505" s="204">
        <f>'Resumen Capacidad'!$D$43*'Resumen Capacidad'!$D$79</f>
        <v>1</v>
      </c>
      <c r="G505" s="204">
        <f>'Resumen Capacidad'!$D$43*'Resumen Capacidad'!$D$79</f>
        <v>1</v>
      </c>
      <c r="H505" s="204">
        <f>'Resumen Capacidad'!$D$43*'Resumen Capacidad'!$D$79</f>
        <v>1</v>
      </c>
      <c r="I505" s="204">
        <f>'Resumen Capacidad'!$D$43*'Resumen Capacidad'!$D$79</f>
        <v>1</v>
      </c>
      <c r="J505" s="204">
        <f>'Resumen Capacidad'!$D$43*'Resumen Capacidad'!$D$79</f>
        <v>1</v>
      </c>
      <c r="K505" s="204">
        <f>'Resumen Capacidad'!$D$43*'Resumen Capacidad'!$D$79</f>
        <v>1</v>
      </c>
      <c r="L505" s="204">
        <f>'Resumen Capacidad'!$D$43*'Resumen Capacidad'!$D$79</f>
        <v>1</v>
      </c>
      <c r="M505" s="204">
        <f>'Resumen Capacidad'!$D$43*'Resumen Capacidad'!$D$79</f>
        <v>1</v>
      </c>
      <c r="N505" s="204">
        <f>'Resumen Capacidad'!$D$43*'Resumen Capacidad'!$D$79</f>
        <v>1</v>
      </c>
      <c r="O505" s="5"/>
      <c r="P505" s="5"/>
      <c r="Q505" s="5"/>
      <c r="R505" s="5"/>
      <c r="S505" s="5"/>
      <c r="T505" s="5"/>
      <c r="U505" s="5"/>
      <c r="V505" s="5"/>
      <c r="W505" s="5"/>
      <c r="X505" s="5"/>
      <c r="Y505" s="5"/>
      <c r="Z505" s="5"/>
    </row>
    <row r="506" ht="12.0" customHeight="1">
      <c r="A506" s="92" t="s">
        <v>642</v>
      </c>
      <c r="B506" s="5"/>
      <c r="C506" s="204">
        <f t="shared" ref="C506:N506" si="149">C504*C505</f>
        <v>60.34285714</v>
      </c>
      <c r="D506" s="204">
        <f t="shared" si="149"/>
        <v>60.34285714</v>
      </c>
      <c r="E506" s="204">
        <f t="shared" si="149"/>
        <v>60.34285714</v>
      </c>
      <c r="F506" s="204">
        <f t="shared" si="149"/>
        <v>60.34285714</v>
      </c>
      <c r="G506" s="204">
        <f t="shared" si="149"/>
        <v>60.34285714</v>
      </c>
      <c r="H506" s="204">
        <f t="shared" si="149"/>
        <v>60.34285714</v>
      </c>
      <c r="I506" s="204">
        <f t="shared" si="149"/>
        <v>60.34285714</v>
      </c>
      <c r="J506" s="204">
        <f t="shared" si="149"/>
        <v>60.34285714</v>
      </c>
      <c r="K506" s="204">
        <f t="shared" si="149"/>
        <v>60.34285714</v>
      </c>
      <c r="L506" s="204">
        <f t="shared" si="149"/>
        <v>60.34285714</v>
      </c>
      <c r="M506" s="204">
        <f t="shared" si="149"/>
        <v>60.34285714</v>
      </c>
      <c r="N506" s="204">
        <f t="shared" si="149"/>
        <v>60.34285714</v>
      </c>
      <c r="O506" s="5"/>
      <c r="P506" s="5"/>
      <c r="Q506" s="5"/>
      <c r="R506" s="5"/>
      <c r="S506" s="5"/>
      <c r="T506" s="5"/>
      <c r="U506" s="5"/>
      <c r="V506" s="5"/>
      <c r="W506" s="5"/>
      <c r="X506" s="5"/>
      <c r="Y506" s="5"/>
      <c r="Z506" s="5"/>
    </row>
    <row r="507" ht="12.0" customHeight="1">
      <c r="A507" s="92" t="s">
        <v>643</v>
      </c>
      <c r="B507" s="5"/>
      <c r="C507" s="206">
        <f t="shared" ref="C507:N507" si="150">IF(C506=0,0,C503/C506)</f>
        <v>0.1693268624</v>
      </c>
      <c r="D507" s="206">
        <f t="shared" si="150"/>
        <v>0.1316201073</v>
      </c>
      <c r="E507" s="206">
        <f t="shared" si="150"/>
        <v>0.1290503472</v>
      </c>
      <c r="F507" s="206">
        <f t="shared" si="150"/>
        <v>0.1252653093</v>
      </c>
      <c r="G507" s="206">
        <f t="shared" si="150"/>
        <v>0.1179813763</v>
      </c>
      <c r="H507" s="206">
        <f t="shared" si="150"/>
        <v>0.1134815341</v>
      </c>
      <c r="I507" s="206">
        <f t="shared" si="150"/>
        <v>0.1217664141</v>
      </c>
      <c r="J507" s="206">
        <f t="shared" si="150"/>
        <v>0.1217664141</v>
      </c>
      <c r="K507" s="206">
        <f t="shared" si="150"/>
        <v>0.1212659407</v>
      </c>
      <c r="L507" s="206">
        <f t="shared" si="150"/>
        <v>0.1167660985</v>
      </c>
      <c r="M507" s="206">
        <f t="shared" si="150"/>
        <v>0.1127667298</v>
      </c>
      <c r="N507" s="206">
        <f t="shared" si="150"/>
        <v>0.1758241793</v>
      </c>
      <c r="O507" s="5"/>
      <c r="P507" s="5"/>
      <c r="Q507" s="5"/>
      <c r="R507" s="5"/>
      <c r="S507" s="5"/>
      <c r="T507" s="5"/>
      <c r="U507" s="5"/>
      <c r="V507" s="5"/>
      <c r="W507" s="5"/>
      <c r="X507" s="5"/>
      <c r="Y507" s="5"/>
      <c r="Z507" s="5"/>
    </row>
    <row r="508" ht="12.0" customHeight="1">
      <c r="A508" s="201" t="s">
        <v>695</v>
      </c>
      <c r="B508" s="202"/>
      <c r="C508" s="202"/>
      <c r="D508" s="202"/>
      <c r="E508" s="202"/>
      <c r="F508" s="202"/>
      <c r="G508" s="202"/>
      <c r="H508" s="202"/>
      <c r="I508" s="202"/>
      <c r="J508" s="202"/>
      <c r="K508" s="202"/>
      <c r="L508" s="202"/>
      <c r="M508" s="202"/>
      <c r="N508" s="202"/>
      <c r="O508" s="5"/>
      <c r="P508" s="5"/>
      <c r="Q508" s="5"/>
      <c r="R508" s="5"/>
      <c r="S508" s="5"/>
      <c r="T508" s="5"/>
      <c r="U508" s="5"/>
      <c r="V508" s="5"/>
      <c r="W508" s="5"/>
      <c r="X508" s="5"/>
      <c r="Y508" s="5"/>
      <c r="Z508" s="5"/>
    </row>
    <row r="509" ht="12.0" customHeight="1">
      <c r="A509" s="201" t="s">
        <v>630</v>
      </c>
      <c r="B509" s="201" t="s">
        <v>631</v>
      </c>
      <c r="C509" s="201" t="s">
        <v>3</v>
      </c>
      <c r="D509" s="201" t="s">
        <v>4</v>
      </c>
      <c r="E509" s="201" t="s">
        <v>5</v>
      </c>
      <c r="F509" s="201" t="s">
        <v>6</v>
      </c>
      <c r="G509" s="201" t="s">
        <v>7</v>
      </c>
      <c r="H509" s="201" t="s">
        <v>8</v>
      </c>
      <c r="I509" s="201" t="s">
        <v>9</v>
      </c>
      <c r="J509" s="201" t="s">
        <v>10</v>
      </c>
      <c r="K509" s="201" t="s">
        <v>11</v>
      </c>
      <c r="L509" s="201" t="s">
        <v>12</v>
      </c>
      <c r="M509" s="201" t="s">
        <v>13</v>
      </c>
      <c r="N509" s="201" t="s">
        <v>14</v>
      </c>
      <c r="O509" s="5"/>
      <c r="P509" s="5"/>
      <c r="Q509" s="5"/>
      <c r="R509" s="5"/>
      <c r="S509" s="5"/>
      <c r="T509" s="5"/>
      <c r="U509" s="5"/>
      <c r="V509" s="5"/>
      <c r="W509" s="5"/>
      <c r="X509" s="5"/>
      <c r="Y509" s="5"/>
      <c r="Z509" s="5"/>
    </row>
    <row r="510" ht="12.0" customHeight="1">
      <c r="A510" s="92" t="s">
        <v>694</v>
      </c>
      <c r="B510" s="92" t="s">
        <v>633</v>
      </c>
      <c r="C510" s="203">
        <f>SUM('2028'!B6:B9)+Parametros!$B$72*C2239</f>
        <v>1532.65</v>
      </c>
      <c r="D510" s="203">
        <f>SUM('2028'!C6:C9)+Parametros!$B$72*D2239</f>
        <v>1191.35</v>
      </c>
      <c r="E510" s="203">
        <f>SUM('2028'!D6:D9)+Parametros!$B$72*E2239</f>
        <v>1168.09</v>
      </c>
      <c r="F510" s="203">
        <f>SUM('2028'!E6:E9)+Parametros!$B$72*F2239</f>
        <v>1133.83</v>
      </c>
      <c r="G510" s="203">
        <f>SUM('2028'!F6:F9)+Parametros!$B$72*G2239</f>
        <v>1067.9</v>
      </c>
      <c r="H510" s="203">
        <f>SUM('2028'!G6:G9)+Parametros!$B$72*H2239</f>
        <v>1027.17</v>
      </c>
      <c r="I510" s="203">
        <f>SUM('2028'!H6:H9)+Parametros!$B$72*I2239</f>
        <v>1102.16</v>
      </c>
      <c r="J510" s="203">
        <f>SUM('2028'!I6:I9)+Parametros!$B$72*J2239</f>
        <v>1102.16</v>
      </c>
      <c r="K510" s="203">
        <f>SUM('2028'!J6:J9)+Parametros!$B$72*K2239</f>
        <v>1097.63</v>
      </c>
      <c r="L510" s="203">
        <f>SUM('2028'!K6:K9)+Parametros!$B$72*L2239</f>
        <v>1056.9</v>
      </c>
      <c r="M510" s="203">
        <f>SUM('2028'!L6:L9)+Parametros!$B$72*M2239</f>
        <v>1020.7</v>
      </c>
      <c r="N510" s="203">
        <f>SUM('2028'!M6:M9)+Parametros!$B$72*N2239</f>
        <v>1591.46</v>
      </c>
      <c r="O510" s="5"/>
      <c r="P510" s="5"/>
      <c r="Q510" s="5"/>
      <c r="R510" s="5"/>
      <c r="S510" s="5"/>
      <c r="T510" s="5"/>
      <c r="U510" s="5"/>
      <c r="V510" s="5"/>
      <c r="W510" s="5"/>
      <c r="X510" s="5"/>
      <c r="Y510" s="5"/>
      <c r="Z510" s="5"/>
    </row>
    <row r="511" ht="12.0" customHeight="1">
      <c r="A511" s="5"/>
      <c r="B511" s="92" t="s">
        <v>634</v>
      </c>
      <c r="C511" s="204">
        <f>C510/Parametros!$B$37</f>
        <v>76.6325</v>
      </c>
      <c r="D511" s="204">
        <f>D510/Parametros!$B$37</f>
        <v>59.5675</v>
      </c>
      <c r="E511" s="204">
        <f>E510/Parametros!$B$37</f>
        <v>58.4045</v>
      </c>
      <c r="F511" s="204">
        <f>F510/Parametros!$B$37</f>
        <v>56.6915</v>
      </c>
      <c r="G511" s="204">
        <f>G510/Parametros!$B$37</f>
        <v>53.395</v>
      </c>
      <c r="H511" s="204">
        <f>H510/Parametros!$B$37</f>
        <v>51.3585</v>
      </c>
      <c r="I511" s="204">
        <f>I510/Parametros!$B$37</f>
        <v>55.108</v>
      </c>
      <c r="J511" s="204">
        <f>J510/Parametros!$B$37</f>
        <v>55.108</v>
      </c>
      <c r="K511" s="204">
        <f>K510/Parametros!$B$37</f>
        <v>54.8815</v>
      </c>
      <c r="L511" s="204">
        <f>L510/Parametros!$B$37</f>
        <v>52.845</v>
      </c>
      <c r="M511" s="204">
        <f>M510/Parametros!$B$37</f>
        <v>51.035</v>
      </c>
      <c r="N511" s="204">
        <f>N510/Parametros!$B$37</f>
        <v>79.573</v>
      </c>
      <c r="O511" s="5"/>
      <c r="P511" s="5"/>
      <c r="Q511" s="5"/>
      <c r="R511" s="5"/>
      <c r="S511" s="5"/>
      <c r="T511" s="5"/>
      <c r="U511" s="5"/>
      <c r="V511" s="5"/>
      <c r="W511" s="5"/>
      <c r="X511" s="5"/>
      <c r="Y511" s="5"/>
      <c r="Z511" s="5"/>
    </row>
    <row r="512" ht="12.0" customHeight="1">
      <c r="A512" s="5"/>
      <c r="B512" s="92" t="s">
        <v>635</v>
      </c>
      <c r="C512" s="204">
        <f>C511/Parametros!$J$37</f>
        <v>10.21766667</v>
      </c>
      <c r="D512" s="204">
        <f>D511/Parametros!$J$37</f>
        <v>7.942333333</v>
      </c>
      <c r="E512" s="204">
        <f>E511/Parametros!$J$37</f>
        <v>7.787266667</v>
      </c>
      <c r="F512" s="204">
        <f>F511/Parametros!$J$37</f>
        <v>7.558866667</v>
      </c>
      <c r="G512" s="204">
        <f>G511/Parametros!$J$37</f>
        <v>7.119333333</v>
      </c>
      <c r="H512" s="204">
        <f>H511/Parametros!$J$37</f>
        <v>6.8478</v>
      </c>
      <c r="I512" s="204">
        <f>I511/Parametros!$J$37</f>
        <v>7.347733333</v>
      </c>
      <c r="J512" s="204">
        <f>J511/Parametros!$J$37</f>
        <v>7.347733333</v>
      </c>
      <c r="K512" s="204">
        <f>K511/Parametros!$J$37</f>
        <v>7.317533333</v>
      </c>
      <c r="L512" s="204">
        <f>L511/Parametros!$J$37</f>
        <v>7.046</v>
      </c>
      <c r="M512" s="204">
        <f>M511/Parametros!$J$37</f>
        <v>6.804666667</v>
      </c>
      <c r="N512" s="204">
        <f>N511/Parametros!$J$37</f>
        <v>10.60973333</v>
      </c>
      <c r="O512" s="5"/>
      <c r="P512" s="5"/>
      <c r="Q512" s="5"/>
      <c r="R512" s="5"/>
      <c r="S512" s="5"/>
      <c r="T512" s="5"/>
      <c r="U512" s="5"/>
      <c r="V512" s="5"/>
      <c r="W512" s="5"/>
      <c r="X512" s="5"/>
      <c r="Y512" s="5"/>
      <c r="Z512" s="5"/>
    </row>
    <row r="513" ht="12.0" customHeight="1">
      <c r="A513" s="92" t="s">
        <v>636</v>
      </c>
      <c r="B513" s="5"/>
      <c r="C513" s="204">
        <f t="shared" ref="C513:N513" si="151">C512</f>
        <v>10.21766667</v>
      </c>
      <c r="D513" s="204">
        <f t="shared" si="151"/>
        <v>7.942333333</v>
      </c>
      <c r="E513" s="204">
        <f t="shared" si="151"/>
        <v>7.787266667</v>
      </c>
      <c r="F513" s="204">
        <f t="shared" si="151"/>
        <v>7.558866667</v>
      </c>
      <c r="G513" s="204">
        <f t="shared" si="151"/>
        <v>7.119333333</v>
      </c>
      <c r="H513" s="204">
        <f t="shared" si="151"/>
        <v>6.8478</v>
      </c>
      <c r="I513" s="204">
        <f t="shared" si="151"/>
        <v>7.347733333</v>
      </c>
      <c r="J513" s="204">
        <f t="shared" si="151"/>
        <v>7.347733333</v>
      </c>
      <c r="K513" s="204">
        <f t="shared" si="151"/>
        <v>7.317533333</v>
      </c>
      <c r="L513" s="204">
        <f t="shared" si="151"/>
        <v>7.046</v>
      </c>
      <c r="M513" s="204">
        <f t="shared" si="151"/>
        <v>6.804666667</v>
      </c>
      <c r="N513" s="204">
        <f t="shared" si="151"/>
        <v>10.60973333</v>
      </c>
      <c r="O513" s="5"/>
      <c r="P513" s="5"/>
      <c r="Q513" s="5"/>
      <c r="R513" s="5"/>
      <c r="S513" s="5"/>
      <c r="T513" s="5"/>
      <c r="U513" s="5"/>
      <c r="V513" s="5"/>
      <c r="W513" s="5"/>
      <c r="X513" s="5"/>
      <c r="Y513" s="5"/>
      <c r="Z513" s="5"/>
    </row>
    <row r="514" ht="12.0" customHeight="1">
      <c r="A514" s="92" t="s">
        <v>637</v>
      </c>
      <c r="B514" s="5"/>
      <c r="C514" s="205">
        <f>'Resumen Capacidad'!$D$126</f>
        <v>25.2</v>
      </c>
      <c r="D514" s="205">
        <f>'Resumen Capacidad'!$D$126</f>
        <v>25.2</v>
      </c>
      <c r="E514" s="205">
        <f>'Resumen Capacidad'!$D$126</f>
        <v>25.2</v>
      </c>
      <c r="F514" s="205">
        <f>'Resumen Capacidad'!$D$126</f>
        <v>25.2</v>
      </c>
      <c r="G514" s="205">
        <f>'Resumen Capacidad'!$D$126</f>
        <v>25.2</v>
      </c>
      <c r="H514" s="205">
        <f>'Resumen Capacidad'!$D$126</f>
        <v>25.2</v>
      </c>
      <c r="I514" s="205">
        <f>'Resumen Capacidad'!$D$126</f>
        <v>25.2</v>
      </c>
      <c r="J514" s="205">
        <f>'Resumen Capacidad'!$D$126</f>
        <v>25.2</v>
      </c>
      <c r="K514" s="205">
        <f>'Resumen Capacidad'!$D$126</f>
        <v>25.2</v>
      </c>
      <c r="L514" s="205">
        <f>'Resumen Capacidad'!$D$126</f>
        <v>25.2</v>
      </c>
      <c r="M514" s="205">
        <f>'Resumen Capacidad'!$D$126</f>
        <v>25.2</v>
      </c>
      <c r="N514" s="205">
        <f>'Resumen Capacidad'!$D$126</f>
        <v>25.2</v>
      </c>
      <c r="O514" s="5"/>
      <c r="P514" s="5"/>
      <c r="Q514" s="5"/>
      <c r="R514" s="5"/>
      <c r="S514" s="5"/>
      <c r="T514" s="5"/>
      <c r="U514" s="5"/>
      <c r="V514" s="5"/>
      <c r="W514" s="5"/>
      <c r="X514" s="5"/>
      <c r="Y514" s="5"/>
      <c r="Z514" s="5"/>
    </row>
    <row r="515" ht="12.0" customHeight="1">
      <c r="A515" s="92" t="s">
        <v>640</v>
      </c>
      <c r="B515" s="5"/>
      <c r="C515" s="204">
        <f>'Resumen Capacidad'!$D$44*'Resumen Capacidad'!$D$80</f>
        <v>1</v>
      </c>
      <c r="D515" s="204">
        <f>'Resumen Capacidad'!$D$44*'Resumen Capacidad'!$D$80</f>
        <v>1</v>
      </c>
      <c r="E515" s="204">
        <f>'Resumen Capacidad'!$D$44*'Resumen Capacidad'!$D$80</f>
        <v>1</v>
      </c>
      <c r="F515" s="204">
        <f>'Resumen Capacidad'!$D$44*'Resumen Capacidad'!$D$80</f>
        <v>1</v>
      </c>
      <c r="G515" s="204">
        <f>'Resumen Capacidad'!$D$44*'Resumen Capacidad'!$D$80</f>
        <v>1</v>
      </c>
      <c r="H515" s="204">
        <f>'Resumen Capacidad'!$D$44*'Resumen Capacidad'!$D$80</f>
        <v>1</v>
      </c>
      <c r="I515" s="204">
        <f>'Resumen Capacidad'!$D$44*'Resumen Capacidad'!$D$80</f>
        <v>1</v>
      </c>
      <c r="J515" s="204">
        <f>'Resumen Capacidad'!$D$44*'Resumen Capacidad'!$D$80</f>
        <v>1</v>
      </c>
      <c r="K515" s="204">
        <f>'Resumen Capacidad'!$D$44*'Resumen Capacidad'!$D$80</f>
        <v>1</v>
      </c>
      <c r="L515" s="204">
        <f>'Resumen Capacidad'!$D$44*'Resumen Capacidad'!$D$80</f>
        <v>1</v>
      </c>
      <c r="M515" s="204">
        <f>'Resumen Capacidad'!$D$44*'Resumen Capacidad'!$D$80</f>
        <v>1</v>
      </c>
      <c r="N515" s="204">
        <f>'Resumen Capacidad'!$D$44*'Resumen Capacidad'!$D$80</f>
        <v>1</v>
      </c>
      <c r="O515" s="5"/>
      <c r="P515" s="5"/>
      <c r="Q515" s="5"/>
      <c r="R515" s="5"/>
      <c r="S515" s="5"/>
      <c r="T515" s="5"/>
      <c r="U515" s="5"/>
      <c r="V515" s="5"/>
      <c r="W515" s="5"/>
      <c r="X515" s="5"/>
      <c r="Y515" s="5"/>
      <c r="Z515" s="5"/>
    </row>
    <row r="516" ht="12.0" customHeight="1">
      <c r="A516" s="92" t="s">
        <v>642</v>
      </c>
      <c r="B516" s="5"/>
      <c r="C516" s="204">
        <f t="shared" ref="C516:N516" si="152">C514*C515</f>
        <v>25.2</v>
      </c>
      <c r="D516" s="204">
        <f t="shared" si="152"/>
        <v>25.2</v>
      </c>
      <c r="E516" s="204">
        <f t="shared" si="152"/>
        <v>25.2</v>
      </c>
      <c r="F516" s="204">
        <f t="shared" si="152"/>
        <v>25.2</v>
      </c>
      <c r="G516" s="204">
        <f t="shared" si="152"/>
        <v>25.2</v>
      </c>
      <c r="H516" s="204">
        <f t="shared" si="152"/>
        <v>25.2</v>
      </c>
      <c r="I516" s="204">
        <f t="shared" si="152"/>
        <v>25.2</v>
      </c>
      <c r="J516" s="204">
        <f t="shared" si="152"/>
        <v>25.2</v>
      </c>
      <c r="K516" s="204">
        <f t="shared" si="152"/>
        <v>25.2</v>
      </c>
      <c r="L516" s="204">
        <f t="shared" si="152"/>
        <v>25.2</v>
      </c>
      <c r="M516" s="204">
        <f t="shared" si="152"/>
        <v>25.2</v>
      </c>
      <c r="N516" s="204">
        <f t="shared" si="152"/>
        <v>25.2</v>
      </c>
      <c r="O516" s="5"/>
      <c r="P516" s="5"/>
      <c r="Q516" s="5"/>
      <c r="R516" s="5"/>
      <c r="S516" s="5"/>
      <c r="T516" s="5"/>
      <c r="U516" s="5"/>
      <c r="V516" s="5"/>
      <c r="W516" s="5"/>
      <c r="X516" s="5"/>
      <c r="Y516" s="5"/>
      <c r="Z516" s="5"/>
    </row>
    <row r="517" ht="12.0" customHeight="1">
      <c r="A517" s="92" t="s">
        <v>643</v>
      </c>
      <c r="B517" s="5"/>
      <c r="C517" s="206">
        <f t="shared" ref="C517:N517" si="153">IF(C516=0,0,C513/C516)</f>
        <v>0.405462963</v>
      </c>
      <c r="D517" s="206">
        <f t="shared" si="153"/>
        <v>0.3151719577</v>
      </c>
      <c r="E517" s="206">
        <f t="shared" si="153"/>
        <v>0.3090185185</v>
      </c>
      <c r="F517" s="206">
        <f t="shared" si="153"/>
        <v>0.2999550265</v>
      </c>
      <c r="G517" s="206">
        <f t="shared" si="153"/>
        <v>0.2825132275</v>
      </c>
      <c r="H517" s="206">
        <f t="shared" si="153"/>
        <v>0.2717380952</v>
      </c>
      <c r="I517" s="206">
        <f t="shared" si="153"/>
        <v>0.2915767196</v>
      </c>
      <c r="J517" s="206">
        <f t="shared" si="153"/>
        <v>0.2915767196</v>
      </c>
      <c r="K517" s="206">
        <f t="shared" si="153"/>
        <v>0.2903783069</v>
      </c>
      <c r="L517" s="206">
        <f t="shared" si="153"/>
        <v>0.2796031746</v>
      </c>
      <c r="M517" s="206">
        <f t="shared" si="153"/>
        <v>0.270026455</v>
      </c>
      <c r="N517" s="206">
        <f t="shared" si="153"/>
        <v>0.421021164</v>
      </c>
      <c r="O517" s="5"/>
      <c r="P517" s="5"/>
      <c r="Q517" s="5"/>
      <c r="R517" s="5"/>
      <c r="S517" s="5"/>
      <c r="T517" s="5"/>
      <c r="U517" s="5"/>
      <c r="V517" s="5"/>
      <c r="W517" s="5"/>
      <c r="X517" s="5"/>
      <c r="Y517" s="5"/>
      <c r="Z517" s="5"/>
    </row>
    <row r="518" ht="12.0" customHeight="1">
      <c r="A518" s="201" t="s">
        <v>696</v>
      </c>
      <c r="B518" s="202"/>
      <c r="C518" s="202"/>
      <c r="D518" s="202"/>
      <c r="E518" s="202"/>
      <c r="F518" s="202"/>
      <c r="G518" s="202"/>
      <c r="H518" s="202"/>
      <c r="I518" s="202"/>
      <c r="J518" s="202"/>
      <c r="K518" s="202"/>
      <c r="L518" s="202"/>
      <c r="M518" s="202"/>
      <c r="N518" s="202"/>
      <c r="O518" s="5"/>
      <c r="P518" s="5"/>
      <c r="Q518" s="5"/>
      <c r="R518" s="5"/>
      <c r="S518" s="5"/>
      <c r="T518" s="5"/>
      <c r="U518" s="5"/>
      <c r="V518" s="5"/>
      <c r="W518" s="5"/>
      <c r="X518" s="5"/>
      <c r="Y518" s="5"/>
      <c r="Z518" s="5"/>
    </row>
    <row r="519" ht="12.0" customHeight="1">
      <c r="A519" s="201" t="s">
        <v>630</v>
      </c>
      <c r="B519" s="201" t="s">
        <v>631</v>
      </c>
      <c r="C519" s="201" t="s">
        <v>3</v>
      </c>
      <c r="D519" s="201" t="s">
        <v>4</v>
      </c>
      <c r="E519" s="201" t="s">
        <v>5</v>
      </c>
      <c r="F519" s="201" t="s">
        <v>6</v>
      </c>
      <c r="G519" s="201" t="s">
        <v>7</v>
      </c>
      <c r="H519" s="201" t="s">
        <v>8</v>
      </c>
      <c r="I519" s="201" t="s">
        <v>9</v>
      </c>
      <c r="J519" s="201" t="s">
        <v>10</v>
      </c>
      <c r="K519" s="201" t="s">
        <v>11</v>
      </c>
      <c r="L519" s="201" t="s">
        <v>12</v>
      </c>
      <c r="M519" s="201" t="s">
        <v>13</v>
      </c>
      <c r="N519" s="201" t="s">
        <v>14</v>
      </c>
      <c r="O519" s="5"/>
      <c r="P519" s="5"/>
      <c r="Q519" s="5"/>
      <c r="R519" s="5"/>
      <c r="S519" s="5"/>
      <c r="T519" s="5"/>
      <c r="U519" s="5"/>
      <c r="V519" s="5"/>
      <c r="W519" s="5"/>
      <c r="X519" s="5"/>
      <c r="Y519" s="5"/>
      <c r="Z519" s="5"/>
    </row>
    <row r="520" ht="12.0" customHeight="1">
      <c r="A520" s="92" t="s">
        <v>694</v>
      </c>
      <c r="B520" s="92" t="s">
        <v>633</v>
      </c>
      <c r="C520" s="203">
        <f>SUM('2028'!B6:B9)+Parametros!$B$72*C2239</f>
        <v>1532.65</v>
      </c>
      <c r="D520" s="203">
        <f>SUM('2028'!C6:C9)+Parametros!$B$72*D2239</f>
        <v>1191.35</v>
      </c>
      <c r="E520" s="203">
        <f>SUM('2028'!D6:D9)+Parametros!$B$72*E2239</f>
        <v>1168.09</v>
      </c>
      <c r="F520" s="203">
        <f>SUM('2028'!E6:E9)+Parametros!$B$72*F2239</f>
        <v>1133.83</v>
      </c>
      <c r="G520" s="203">
        <f>SUM('2028'!F6:F9)+Parametros!$B$72*G2239</f>
        <v>1067.9</v>
      </c>
      <c r="H520" s="203">
        <f>SUM('2028'!G6:G9)+Parametros!$B$72*H2239</f>
        <v>1027.17</v>
      </c>
      <c r="I520" s="203">
        <f>SUM('2028'!H6:H9)+Parametros!$B$72*I2239</f>
        <v>1102.16</v>
      </c>
      <c r="J520" s="203">
        <f>SUM('2028'!I6:I9)+Parametros!$B$72*J2239</f>
        <v>1102.16</v>
      </c>
      <c r="K520" s="203">
        <f>SUM('2028'!J6:J9)+Parametros!$B$72*K2239</f>
        <v>1097.63</v>
      </c>
      <c r="L520" s="203">
        <f>SUM('2028'!K6:K9)+Parametros!$B$72*L2239</f>
        <v>1056.9</v>
      </c>
      <c r="M520" s="203">
        <f>SUM('2028'!L6:L9)+Parametros!$B$72*M2239</f>
        <v>1020.7</v>
      </c>
      <c r="N520" s="203">
        <f>SUM('2028'!M6:M9)+Parametros!$B$72*N2239</f>
        <v>1591.46</v>
      </c>
      <c r="O520" s="5"/>
      <c r="P520" s="5"/>
      <c r="Q520" s="5"/>
      <c r="R520" s="5"/>
      <c r="S520" s="5"/>
      <c r="T520" s="5"/>
      <c r="U520" s="5"/>
      <c r="V520" s="5"/>
      <c r="W520" s="5"/>
      <c r="X520" s="5"/>
      <c r="Y520" s="5"/>
      <c r="Z520" s="5"/>
    </row>
    <row r="521" ht="12.0" customHeight="1">
      <c r="A521" s="5"/>
      <c r="B521" s="92" t="s">
        <v>634</v>
      </c>
      <c r="C521" s="204">
        <f>C520/Parametros!$B$37</f>
        <v>76.6325</v>
      </c>
      <c r="D521" s="204">
        <f>D520/Parametros!$B$37</f>
        <v>59.5675</v>
      </c>
      <c r="E521" s="204">
        <f>E520/Parametros!$B$37</f>
        <v>58.4045</v>
      </c>
      <c r="F521" s="204">
        <f>F520/Parametros!$B$37</f>
        <v>56.6915</v>
      </c>
      <c r="G521" s="204">
        <f>G520/Parametros!$B$37</f>
        <v>53.395</v>
      </c>
      <c r="H521" s="204">
        <f>H520/Parametros!$B$37</f>
        <v>51.3585</v>
      </c>
      <c r="I521" s="204">
        <f>I520/Parametros!$B$37</f>
        <v>55.108</v>
      </c>
      <c r="J521" s="204">
        <f>J520/Parametros!$B$37</f>
        <v>55.108</v>
      </c>
      <c r="K521" s="204">
        <f>K520/Parametros!$B$37</f>
        <v>54.8815</v>
      </c>
      <c r="L521" s="204">
        <f>L520/Parametros!$B$37</f>
        <v>52.845</v>
      </c>
      <c r="M521" s="204">
        <f>M520/Parametros!$B$37</f>
        <v>51.035</v>
      </c>
      <c r="N521" s="204">
        <f>N520/Parametros!$B$37</f>
        <v>79.573</v>
      </c>
      <c r="O521" s="5"/>
      <c r="P521" s="5"/>
      <c r="Q521" s="5"/>
      <c r="R521" s="5"/>
      <c r="S521" s="5"/>
      <c r="T521" s="5"/>
      <c r="U521" s="5"/>
      <c r="V521" s="5"/>
      <c r="W521" s="5"/>
      <c r="X521" s="5"/>
      <c r="Y521" s="5"/>
      <c r="Z521" s="5"/>
    </row>
    <row r="522" ht="12.0" customHeight="1">
      <c r="A522" s="5"/>
      <c r="B522" s="92" t="s">
        <v>635</v>
      </c>
      <c r="C522" s="204">
        <f>C521/Parametros!$J$37</f>
        <v>10.21766667</v>
      </c>
      <c r="D522" s="204">
        <f>D521/Parametros!$J$37</f>
        <v>7.942333333</v>
      </c>
      <c r="E522" s="204">
        <f>E521/Parametros!$J$37</f>
        <v>7.787266667</v>
      </c>
      <c r="F522" s="204">
        <f>F521/Parametros!$J$37</f>
        <v>7.558866667</v>
      </c>
      <c r="G522" s="204">
        <f>G521/Parametros!$J$37</f>
        <v>7.119333333</v>
      </c>
      <c r="H522" s="204">
        <f>H521/Parametros!$J$37</f>
        <v>6.8478</v>
      </c>
      <c r="I522" s="204">
        <f>I521/Parametros!$J$37</f>
        <v>7.347733333</v>
      </c>
      <c r="J522" s="204">
        <f>J521/Parametros!$J$37</f>
        <v>7.347733333</v>
      </c>
      <c r="K522" s="204">
        <f>K521/Parametros!$J$37</f>
        <v>7.317533333</v>
      </c>
      <c r="L522" s="204">
        <f>L521/Parametros!$J$37</f>
        <v>7.046</v>
      </c>
      <c r="M522" s="204">
        <f>M521/Parametros!$J$37</f>
        <v>6.804666667</v>
      </c>
      <c r="N522" s="204">
        <f>N521/Parametros!$J$37</f>
        <v>10.60973333</v>
      </c>
      <c r="O522" s="5"/>
      <c r="P522" s="5"/>
      <c r="Q522" s="5"/>
      <c r="R522" s="5"/>
      <c r="S522" s="5"/>
      <c r="T522" s="5"/>
      <c r="U522" s="5"/>
      <c r="V522" s="5"/>
      <c r="W522" s="5"/>
      <c r="X522" s="5"/>
      <c r="Y522" s="5"/>
      <c r="Z522" s="5"/>
    </row>
    <row r="523" ht="12.0" customHeight="1">
      <c r="A523" s="92" t="s">
        <v>636</v>
      </c>
      <c r="B523" s="5"/>
      <c r="C523" s="204">
        <f t="shared" ref="C523:N523" si="154">C522</f>
        <v>10.21766667</v>
      </c>
      <c r="D523" s="204">
        <f t="shared" si="154"/>
        <v>7.942333333</v>
      </c>
      <c r="E523" s="204">
        <f t="shared" si="154"/>
        <v>7.787266667</v>
      </c>
      <c r="F523" s="204">
        <f t="shared" si="154"/>
        <v>7.558866667</v>
      </c>
      <c r="G523" s="204">
        <f t="shared" si="154"/>
        <v>7.119333333</v>
      </c>
      <c r="H523" s="204">
        <f t="shared" si="154"/>
        <v>6.8478</v>
      </c>
      <c r="I523" s="204">
        <f t="shared" si="154"/>
        <v>7.347733333</v>
      </c>
      <c r="J523" s="204">
        <f t="shared" si="154"/>
        <v>7.347733333</v>
      </c>
      <c r="K523" s="204">
        <f t="shared" si="154"/>
        <v>7.317533333</v>
      </c>
      <c r="L523" s="204">
        <f t="shared" si="154"/>
        <v>7.046</v>
      </c>
      <c r="M523" s="204">
        <f t="shared" si="154"/>
        <v>6.804666667</v>
      </c>
      <c r="N523" s="204">
        <f t="shared" si="154"/>
        <v>10.60973333</v>
      </c>
      <c r="O523" s="5"/>
      <c r="P523" s="5"/>
      <c r="Q523" s="5"/>
      <c r="R523" s="5"/>
      <c r="S523" s="5"/>
      <c r="T523" s="5"/>
      <c r="U523" s="5"/>
      <c r="V523" s="5"/>
      <c r="W523" s="5"/>
      <c r="X523" s="5"/>
      <c r="Y523" s="5"/>
      <c r="Z523" s="5"/>
    </row>
    <row r="524" ht="12.0" customHeight="1">
      <c r="A524" s="92" t="s">
        <v>637</v>
      </c>
      <c r="B524" s="5"/>
      <c r="C524" s="205">
        <f>'Resumen Capacidad'!$D$127</f>
        <v>41.53846154</v>
      </c>
      <c r="D524" s="205">
        <f>'Resumen Capacidad'!$D$127</f>
        <v>41.53846154</v>
      </c>
      <c r="E524" s="205">
        <f>'Resumen Capacidad'!$D$127</f>
        <v>41.53846154</v>
      </c>
      <c r="F524" s="205">
        <f>'Resumen Capacidad'!$D$127</f>
        <v>41.53846154</v>
      </c>
      <c r="G524" s="205">
        <f>'Resumen Capacidad'!$D$127</f>
        <v>41.53846154</v>
      </c>
      <c r="H524" s="205">
        <f>'Resumen Capacidad'!$D$127</f>
        <v>41.53846154</v>
      </c>
      <c r="I524" s="205">
        <f>'Resumen Capacidad'!$D$127</f>
        <v>41.53846154</v>
      </c>
      <c r="J524" s="205">
        <f>'Resumen Capacidad'!$D$127</f>
        <v>41.53846154</v>
      </c>
      <c r="K524" s="205">
        <f>'Resumen Capacidad'!$D$127</f>
        <v>41.53846154</v>
      </c>
      <c r="L524" s="205">
        <f>'Resumen Capacidad'!$D$127</f>
        <v>41.53846154</v>
      </c>
      <c r="M524" s="205">
        <f>'Resumen Capacidad'!$D$127</f>
        <v>41.53846154</v>
      </c>
      <c r="N524" s="205">
        <f>'Resumen Capacidad'!$D$127</f>
        <v>41.53846154</v>
      </c>
      <c r="O524" s="5"/>
      <c r="P524" s="5"/>
      <c r="Q524" s="5"/>
      <c r="R524" s="5"/>
      <c r="S524" s="5"/>
      <c r="T524" s="5"/>
      <c r="U524" s="5"/>
      <c r="V524" s="5"/>
      <c r="W524" s="5"/>
      <c r="X524" s="5"/>
      <c r="Y524" s="5"/>
      <c r="Z524" s="5"/>
    </row>
    <row r="525" ht="12.0" customHeight="1">
      <c r="A525" s="92" t="s">
        <v>640</v>
      </c>
      <c r="B525" s="5"/>
      <c r="C525" s="204">
        <f>'Resumen Capacidad'!$D$45*'Resumen Capacidad'!$D$81</f>
        <v>1</v>
      </c>
      <c r="D525" s="204">
        <f>'Resumen Capacidad'!$D$45*'Resumen Capacidad'!$D$81</f>
        <v>1</v>
      </c>
      <c r="E525" s="204">
        <f>'Resumen Capacidad'!$D$45*'Resumen Capacidad'!$D$81</f>
        <v>1</v>
      </c>
      <c r="F525" s="204">
        <f>'Resumen Capacidad'!$D$45*'Resumen Capacidad'!$D$81</f>
        <v>1</v>
      </c>
      <c r="G525" s="204">
        <f>'Resumen Capacidad'!$D$45*'Resumen Capacidad'!$D$81</f>
        <v>1</v>
      </c>
      <c r="H525" s="204">
        <f>'Resumen Capacidad'!$D$45*'Resumen Capacidad'!$D$81</f>
        <v>1</v>
      </c>
      <c r="I525" s="204">
        <f>'Resumen Capacidad'!$D$45*'Resumen Capacidad'!$D$81</f>
        <v>1</v>
      </c>
      <c r="J525" s="204">
        <f>'Resumen Capacidad'!$D$45*'Resumen Capacidad'!$D$81</f>
        <v>1</v>
      </c>
      <c r="K525" s="204">
        <f>'Resumen Capacidad'!$D$45*'Resumen Capacidad'!$D$81</f>
        <v>1</v>
      </c>
      <c r="L525" s="204">
        <f>'Resumen Capacidad'!$D$45*'Resumen Capacidad'!$D$81</f>
        <v>1</v>
      </c>
      <c r="M525" s="204">
        <f>'Resumen Capacidad'!$D$45*'Resumen Capacidad'!$D$81</f>
        <v>1</v>
      </c>
      <c r="N525" s="204">
        <f>'Resumen Capacidad'!$D$45*'Resumen Capacidad'!$D$81</f>
        <v>1</v>
      </c>
      <c r="O525" s="5"/>
      <c r="P525" s="5"/>
      <c r="Q525" s="5"/>
      <c r="R525" s="5"/>
      <c r="S525" s="5"/>
      <c r="T525" s="5"/>
      <c r="U525" s="5"/>
      <c r="V525" s="5"/>
      <c r="W525" s="5"/>
      <c r="X525" s="5"/>
      <c r="Y525" s="5"/>
      <c r="Z525" s="5"/>
    </row>
    <row r="526" ht="12.0" customHeight="1">
      <c r="A526" s="92" t="s">
        <v>642</v>
      </c>
      <c r="B526" s="5"/>
      <c r="C526" s="204">
        <f t="shared" ref="C526:N526" si="155">C524*C525</f>
        <v>41.53846154</v>
      </c>
      <c r="D526" s="204">
        <f t="shared" si="155"/>
        <v>41.53846154</v>
      </c>
      <c r="E526" s="204">
        <f t="shared" si="155"/>
        <v>41.53846154</v>
      </c>
      <c r="F526" s="204">
        <f t="shared" si="155"/>
        <v>41.53846154</v>
      </c>
      <c r="G526" s="204">
        <f t="shared" si="155"/>
        <v>41.53846154</v>
      </c>
      <c r="H526" s="204">
        <f t="shared" si="155"/>
        <v>41.53846154</v>
      </c>
      <c r="I526" s="204">
        <f t="shared" si="155"/>
        <v>41.53846154</v>
      </c>
      <c r="J526" s="204">
        <f t="shared" si="155"/>
        <v>41.53846154</v>
      </c>
      <c r="K526" s="204">
        <f t="shared" si="155"/>
        <v>41.53846154</v>
      </c>
      <c r="L526" s="204">
        <f t="shared" si="155"/>
        <v>41.53846154</v>
      </c>
      <c r="M526" s="204">
        <f t="shared" si="155"/>
        <v>41.53846154</v>
      </c>
      <c r="N526" s="204">
        <f t="shared" si="155"/>
        <v>41.53846154</v>
      </c>
      <c r="O526" s="5"/>
      <c r="P526" s="5"/>
      <c r="Q526" s="5"/>
      <c r="R526" s="5"/>
      <c r="S526" s="5"/>
      <c r="T526" s="5"/>
      <c r="U526" s="5"/>
      <c r="V526" s="5"/>
      <c r="W526" s="5"/>
      <c r="X526" s="5"/>
      <c r="Y526" s="5"/>
      <c r="Z526" s="5"/>
    </row>
    <row r="527" ht="12.0" customHeight="1">
      <c r="A527" s="92" t="s">
        <v>643</v>
      </c>
      <c r="B527" s="5"/>
      <c r="C527" s="206">
        <f t="shared" ref="C527:N527" si="156">IF(C526=0,0,C523/C526)</f>
        <v>0.2459808642</v>
      </c>
      <c r="D527" s="206">
        <f t="shared" si="156"/>
        <v>0.191204321</v>
      </c>
      <c r="E527" s="206">
        <f t="shared" si="156"/>
        <v>0.1874712346</v>
      </c>
      <c r="F527" s="206">
        <f t="shared" si="156"/>
        <v>0.181972716</v>
      </c>
      <c r="G527" s="206">
        <f t="shared" si="156"/>
        <v>0.171391358</v>
      </c>
      <c r="H527" s="206">
        <f t="shared" si="156"/>
        <v>0.1648544444</v>
      </c>
      <c r="I527" s="206">
        <f t="shared" si="156"/>
        <v>0.1768898765</v>
      </c>
      <c r="J527" s="206">
        <f t="shared" si="156"/>
        <v>0.1768898765</v>
      </c>
      <c r="K527" s="206">
        <f t="shared" si="156"/>
        <v>0.1761628395</v>
      </c>
      <c r="L527" s="206">
        <f t="shared" si="156"/>
        <v>0.1696259259</v>
      </c>
      <c r="M527" s="206">
        <f t="shared" si="156"/>
        <v>0.1638160494</v>
      </c>
      <c r="N527" s="206">
        <f t="shared" si="156"/>
        <v>0.2554195062</v>
      </c>
      <c r="O527" s="5"/>
      <c r="P527" s="5"/>
      <c r="Q527" s="5"/>
      <c r="R527" s="5"/>
      <c r="S527" s="5"/>
      <c r="T527" s="5"/>
      <c r="U527" s="5"/>
      <c r="V527" s="5"/>
      <c r="W527" s="5"/>
      <c r="X527" s="5"/>
      <c r="Y527" s="5"/>
      <c r="Z527" s="5"/>
    </row>
    <row r="528" ht="12.0" customHeight="1">
      <c r="A528" s="201" t="s">
        <v>698</v>
      </c>
      <c r="B528" s="202"/>
      <c r="C528" s="202"/>
      <c r="D528" s="202"/>
      <c r="E528" s="202"/>
      <c r="F528" s="202"/>
      <c r="G528" s="202"/>
      <c r="H528" s="202"/>
      <c r="I528" s="202"/>
      <c r="J528" s="202"/>
      <c r="K528" s="202"/>
      <c r="L528" s="202"/>
      <c r="M528" s="202"/>
      <c r="N528" s="202"/>
      <c r="O528" s="5"/>
      <c r="P528" s="5"/>
      <c r="Q528" s="5"/>
      <c r="R528" s="5"/>
      <c r="S528" s="5"/>
      <c r="T528" s="5"/>
      <c r="U528" s="5"/>
      <c r="V528" s="5"/>
      <c r="W528" s="5"/>
      <c r="X528" s="5"/>
      <c r="Y528" s="5"/>
      <c r="Z528" s="5"/>
    </row>
    <row r="529" ht="12.0" customHeight="1">
      <c r="A529" s="201" t="s">
        <v>630</v>
      </c>
      <c r="B529" s="201" t="s">
        <v>631</v>
      </c>
      <c r="C529" s="201" t="s">
        <v>3</v>
      </c>
      <c r="D529" s="201" t="s">
        <v>4</v>
      </c>
      <c r="E529" s="201" t="s">
        <v>5</v>
      </c>
      <c r="F529" s="201" t="s">
        <v>6</v>
      </c>
      <c r="G529" s="201" t="s">
        <v>7</v>
      </c>
      <c r="H529" s="201" t="s">
        <v>8</v>
      </c>
      <c r="I529" s="201" t="s">
        <v>9</v>
      </c>
      <c r="J529" s="201" t="s">
        <v>10</v>
      </c>
      <c r="K529" s="201" t="s">
        <v>11</v>
      </c>
      <c r="L529" s="201" t="s">
        <v>12</v>
      </c>
      <c r="M529" s="201" t="s">
        <v>13</v>
      </c>
      <c r="N529" s="201" t="s">
        <v>14</v>
      </c>
      <c r="O529" s="5"/>
      <c r="P529" s="5"/>
      <c r="Q529" s="5"/>
      <c r="R529" s="5"/>
      <c r="S529" s="5"/>
      <c r="T529" s="5"/>
      <c r="U529" s="5"/>
      <c r="V529" s="5"/>
      <c r="W529" s="5"/>
      <c r="X529" s="5"/>
      <c r="Y529" s="5"/>
      <c r="Z529" s="5"/>
    </row>
    <row r="530" ht="12.0" customHeight="1">
      <c r="A530" s="92" t="s">
        <v>694</v>
      </c>
      <c r="B530" s="92" t="s">
        <v>633</v>
      </c>
      <c r="C530" s="203">
        <f>SUM('2028'!B6:B9)+Parametros!$B$72*C2239</f>
        <v>1532.65</v>
      </c>
      <c r="D530" s="203">
        <f>SUM('2028'!C6:C9)+Parametros!$B$72*D2239</f>
        <v>1191.35</v>
      </c>
      <c r="E530" s="203">
        <f>SUM('2028'!D6:D9)+Parametros!$B$72*E2239</f>
        <v>1168.09</v>
      </c>
      <c r="F530" s="203">
        <f>SUM('2028'!E6:E9)+Parametros!$B$72*F2239</f>
        <v>1133.83</v>
      </c>
      <c r="G530" s="203">
        <f>SUM('2028'!F6:F9)+Parametros!$B$72*G2239</f>
        <v>1067.9</v>
      </c>
      <c r="H530" s="203">
        <f>SUM('2028'!G6:G9)+Parametros!$B$72*H2239</f>
        <v>1027.17</v>
      </c>
      <c r="I530" s="203">
        <f>SUM('2028'!H6:H9)+Parametros!$B$72*I2239</f>
        <v>1102.16</v>
      </c>
      <c r="J530" s="203">
        <f>SUM('2028'!I6:I9)+Parametros!$B$72*J2239</f>
        <v>1102.16</v>
      </c>
      <c r="K530" s="203">
        <f>SUM('2028'!J6:J9)+Parametros!$B$72*K2239</f>
        <v>1097.63</v>
      </c>
      <c r="L530" s="203">
        <f>SUM('2028'!K6:K9)+Parametros!$B$72*L2239</f>
        <v>1056.9</v>
      </c>
      <c r="M530" s="203">
        <f>SUM('2028'!L6:L9)+Parametros!$B$72*M2239</f>
        <v>1020.7</v>
      </c>
      <c r="N530" s="203">
        <f>SUM('2028'!M6:M9)+Parametros!$B$72*N2239</f>
        <v>1591.46</v>
      </c>
      <c r="O530" s="5"/>
      <c r="P530" s="5"/>
      <c r="Q530" s="5"/>
      <c r="R530" s="5"/>
      <c r="S530" s="5"/>
      <c r="T530" s="5"/>
      <c r="U530" s="5"/>
      <c r="V530" s="5"/>
      <c r="W530" s="5"/>
      <c r="X530" s="5"/>
      <c r="Y530" s="5"/>
      <c r="Z530" s="5"/>
    </row>
    <row r="531" ht="12.0" customHeight="1">
      <c r="A531" s="5"/>
      <c r="B531" s="92" t="s">
        <v>634</v>
      </c>
      <c r="C531" s="204">
        <f>C530/Parametros!$B$37</f>
        <v>76.6325</v>
      </c>
      <c r="D531" s="204">
        <f>D530/Parametros!$B$37</f>
        <v>59.5675</v>
      </c>
      <c r="E531" s="204">
        <f>E530/Parametros!$B$37</f>
        <v>58.4045</v>
      </c>
      <c r="F531" s="204">
        <f>F530/Parametros!$B$37</f>
        <v>56.6915</v>
      </c>
      <c r="G531" s="204">
        <f>G530/Parametros!$B$37</f>
        <v>53.395</v>
      </c>
      <c r="H531" s="204">
        <f>H530/Parametros!$B$37</f>
        <v>51.3585</v>
      </c>
      <c r="I531" s="204">
        <f>I530/Parametros!$B$37</f>
        <v>55.108</v>
      </c>
      <c r="J531" s="204">
        <f>J530/Parametros!$B$37</f>
        <v>55.108</v>
      </c>
      <c r="K531" s="204">
        <f>K530/Parametros!$B$37</f>
        <v>54.8815</v>
      </c>
      <c r="L531" s="204">
        <f>L530/Parametros!$B$37</f>
        <v>52.845</v>
      </c>
      <c r="M531" s="204">
        <f>M530/Parametros!$B$37</f>
        <v>51.035</v>
      </c>
      <c r="N531" s="204">
        <f>N530/Parametros!$B$37</f>
        <v>79.573</v>
      </c>
      <c r="O531" s="5"/>
      <c r="P531" s="5"/>
      <c r="Q531" s="5"/>
      <c r="R531" s="5"/>
      <c r="S531" s="5"/>
      <c r="T531" s="5"/>
      <c r="U531" s="5"/>
      <c r="V531" s="5"/>
      <c r="W531" s="5"/>
      <c r="X531" s="5"/>
      <c r="Y531" s="5"/>
      <c r="Z531" s="5"/>
    </row>
    <row r="532" ht="12.0" customHeight="1">
      <c r="A532" s="5"/>
      <c r="B532" s="92" t="s">
        <v>635</v>
      </c>
      <c r="C532" s="204">
        <f>C531/Parametros!$J$37</f>
        <v>10.21766667</v>
      </c>
      <c r="D532" s="204">
        <f>D531/Parametros!$J$37</f>
        <v>7.942333333</v>
      </c>
      <c r="E532" s="204">
        <f>E531/Parametros!$J$37</f>
        <v>7.787266667</v>
      </c>
      <c r="F532" s="204">
        <f>F531/Parametros!$J$37</f>
        <v>7.558866667</v>
      </c>
      <c r="G532" s="204">
        <f>G531/Parametros!$J$37</f>
        <v>7.119333333</v>
      </c>
      <c r="H532" s="204">
        <f>H531/Parametros!$J$37</f>
        <v>6.8478</v>
      </c>
      <c r="I532" s="204">
        <f>I531/Parametros!$J$37</f>
        <v>7.347733333</v>
      </c>
      <c r="J532" s="204">
        <f>J531/Parametros!$J$37</f>
        <v>7.347733333</v>
      </c>
      <c r="K532" s="204">
        <f>K531/Parametros!$J$37</f>
        <v>7.317533333</v>
      </c>
      <c r="L532" s="204">
        <f>L531/Parametros!$J$37</f>
        <v>7.046</v>
      </c>
      <c r="M532" s="204">
        <f>M531/Parametros!$J$37</f>
        <v>6.804666667</v>
      </c>
      <c r="N532" s="204">
        <f>N531/Parametros!$J$37</f>
        <v>10.60973333</v>
      </c>
      <c r="O532" s="5"/>
      <c r="P532" s="5"/>
      <c r="Q532" s="5"/>
      <c r="R532" s="5"/>
      <c r="S532" s="5"/>
      <c r="T532" s="5"/>
      <c r="U532" s="5"/>
      <c r="V532" s="5"/>
      <c r="W532" s="5"/>
      <c r="X532" s="5"/>
      <c r="Y532" s="5"/>
      <c r="Z532" s="5"/>
    </row>
    <row r="533" ht="12.0" customHeight="1">
      <c r="A533" s="92" t="s">
        <v>636</v>
      </c>
      <c r="B533" s="5"/>
      <c r="C533" s="204">
        <f t="shared" ref="C533:N533" si="157">C532</f>
        <v>10.21766667</v>
      </c>
      <c r="D533" s="204">
        <f t="shared" si="157"/>
        <v>7.942333333</v>
      </c>
      <c r="E533" s="204">
        <f t="shared" si="157"/>
        <v>7.787266667</v>
      </c>
      <c r="F533" s="204">
        <f t="shared" si="157"/>
        <v>7.558866667</v>
      </c>
      <c r="G533" s="204">
        <f t="shared" si="157"/>
        <v>7.119333333</v>
      </c>
      <c r="H533" s="204">
        <f t="shared" si="157"/>
        <v>6.8478</v>
      </c>
      <c r="I533" s="204">
        <f t="shared" si="157"/>
        <v>7.347733333</v>
      </c>
      <c r="J533" s="204">
        <f t="shared" si="157"/>
        <v>7.347733333</v>
      </c>
      <c r="K533" s="204">
        <f t="shared" si="157"/>
        <v>7.317533333</v>
      </c>
      <c r="L533" s="204">
        <f t="shared" si="157"/>
        <v>7.046</v>
      </c>
      <c r="M533" s="204">
        <f t="shared" si="157"/>
        <v>6.804666667</v>
      </c>
      <c r="N533" s="204">
        <f t="shared" si="157"/>
        <v>10.60973333</v>
      </c>
      <c r="O533" s="5"/>
      <c r="P533" s="5"/>
      <c r="Q533" s="5"/>
      <c r="R533" s="5"/>
      <c r="S533" s="5"/>
      <c r="T533" s="5"/>
      <c r="U533" s="5"/>
      <c r="V533" s="5"/>
      <c r="W533" s="5"/>
      <c r="X533" s="5"/>
      <c r="Y533" s="5"/>
      <c r="Z533" s="5"/>
    </row>
    <row r="534" ht="12.0" customHeight="1">
      <c r="A534" s="92" t="s">
        <v>637</v>
      </c>
      <c r="B534" s="5"/>
      <c r="C534" s="205">
        <f>'Resumen Capacidad'!$D$128</f>
        <v>45.81818182</v>
      </c>
      <c r="D534" s="205">
        <f>'Resumen Capacidad'!$D$128</f>
        <v>45.81818182</v>
      </c>
      <c r="E534" s="205">
        <f>'Resumen Capacidad'!$D$128</f>
        <v>45.81818182</v>
      </c>
      <c r="F534" s="205">
        <f>'Resumen Capacidad'!$D$128</f>
        <v>45.81818182</v>
      </c>
      <c r="G534" s="205">
        <f>'Resumen Capacidad'!$D$128</f>
        <v>45.81818182</v>
      </c>
      <c r="H534" s="205">
        <f>'Resumen Capacidad'!$D$128</f>
        <v>45.81818182</v>
      </c>
      <c r="I534" s="205">
        <f>'Resumen Capacidad'!$D$128</f>
        <v>45.81818182</v>
      </c>
      <c r="J534" s="205">
        <f>'Resumen Capacidad'!$D$128</f>
        <v>45.81818182</v>
      </c>
      <c r="K534" s="205">
        <f>'Resumen Capacidad'!$D$128</f>
        <v>45.81818182</v>
      </c>
      <c r="L534" s="205">
        <f>'Resumen Capacidad'!$D$128</f>
        <v>45.81818182</v>
      </c>
      <c r="M534" s="205">
        <f>'Resumen Capacidad'!$D$128</f>
        <v>45.81818182</v>
      </c>
      <c r="N534" s="205">
        <f>'Resumen Capacidad'!$D$128</f>
        <v>45.81818182</v>
      </c>
      <c r="O534" s="5"/>
      <c r="P534" s="5"/>
      <c r="Q534" s="5"/>
      <c r="R534" s="5"/>
      <c r="S534" s="5"/>
      <c r="T534" s="5"/>
      <c r="U534" s="5"/>
      <c r="V534" s="5"/>
      <c r="W534" s="5"/>
      <c r="X534" s="5"/>
      <c r="Y534" s="5"/>
      <c r="Z534" s="5"/>
    </row>
    <row r="535" ht="12.0" customHeight="1">
      <c r="A535" s="92" t="s">
        <v>640</v>
      </c>
      <c r="B535" s="5"/>
      <c r="C535" s="204">
        <f>'Resumen Capacidad'!$D$46*'Resumen Capacidad'!$D$82</f>
        <v>1</v>
      </c>
      <c r="D535" s="204">
        <f>'Resumen Capacidad'!$D$46*'Resumen Capacidad'!$D$82</f>
        <v>1</v>
      </c>
      <c r="E535" s="204">
        <f>'Resumen Capacidad'!$D$46*'Resumen Capacidad'!$D$82</f>
        <v>1</v>
      </c>
      <c r="F535" s="204">
        <f>'Resumen Capacidad'!$D$46*'Resumen Capacidad'!$D$82</f>
        <v>1</v>
      </c>
      <c r="G535" s="204">
        <f>'Resumen Capacidad'!$D$46*'Resumen Capacidad'!$D$82</f>
        <v>1</v>
      </c>
      <c r="H535" s="204">
        <f>'Resumen Capacidad'!$D$46*'Resumen Capacidad'!$D$82</f>
        <v>1</v>
      </c>
      <c r="I535" s="204">
        <f>'Resumen Capacidad'!$D$46*'Resumen Capacidad'!$D$82</f>
        <v>1</v>
      </c>
      <c r="J535" s="204">
        <f>'Resumen Capacidad'!$D$46*'Resumen Capacidad'!$D$82</f>
        <v>1</v>
      </c>
      <c r="K535" s="204">
        <f>'Resumen Capacidad'!$D$46*'Resumen Capacidad'!$D$82</f>
        <v>1</v>
      </c>
      <c r="L535" s="204">
        <f>'Resumen Capacidad'!$D$46*'Resumen Capacidad'!$D$82</f>
        <v>1</v>
      </c>
      <c r="M535" s="204">
        <f>'Resumen Capacidad'!$D$46*'Resumen Capacidad'!$D$82</f>
        <v>1</v>
      </c>
      <c r="N535" s="204">
        <f>'Resumen Capacidad'!$D$46*'Resumen Capacidad'!$D$82</f>
        <v>1</v>
      </c>
      <c r="O535" s="5"/>
      <c r="P535" s="5"/>
      <c r="Q535" s="5"/>
      <c r="R535" s="5"/>
      <c r="S535" s="5"/>
      <c r="T535" s="5"/>
      <c r="U535" s="5"/>
      <c r="V535" s="5"/>
      <c r="W535" s="5"/>
      <c r="X535" s="5"/>
      <c r="Y535" s="5"/>
      <c r="Z535" s="5"/>
    </row>
    <row r="536" ht="12.0" customHeight="1">
      <c r="A536" s="92" t="s">
        <v>642</v>
      </c>
      <c r="B536" s="5"/>
      <c r="C536" s="204">
        <f t="shared" ref="C536:N536" si="158">C534*C535</f>
        <v>45.81818182</v>
      </c>
      <c r="D536" s="204">
        <f t="shared" si="158"/>
        <v>45.81818182</v>
      </c>
      <c r="E536" s="204">
        <f t="shared" si="158"/>
        <v>45.81818182</v>
      </c>
      <c r="F536" s="204">
        <f t="shared" si="158"/>
        <v>45.81818182</v>
      </c>
      <c r="G536" s="204">
        <f t="shared" si="158"/>
        <v>45.81818182</v>
      </c>
      <c r="H536" s="204">
        <f t="shared" si="158"/>
        <v>45.81818182</v>
      </c>
      <c r="I536" s="204">
        <f t="shared" si="158"/>
        <v>45.81818182</v>
      </c>
      <c r="J536" s="204">
        <f t="shared" si="158"/>
        <v>45.81818182</v>
      </c>
      <c r="K536" s="204">
        <f t="shared" si="158"/>
        <v>45.81818182</v>
      </c>
      <c r="L536" s="204">
        <f t="shared" si="158"/>
        <v>45.81818182</v>
      </c>
      <c r="M536" s="204">
        <f t="shared" si="158"/>
        <v>45.81818182</v>
      </c>
      <c r="N536" s="204">
        <f t="shared" si="158"/>
        <v>45.81818182</v>
      </c>
      <c r="O536" s="5"/>
      <c r="P536" s="5"/>
      <c r="Q536" s="5"/>
      <c r="R536" s="5"/>
      <c r="S536" s="5"/>
      <c r="T536" s="5"/>
      <c r="U536" s="5"/>
      <c r="V536" s="5"/>
      <c r="W536" s="5"/>
      <c r="X536" s="5"/>
      <c r="Y536" s="5"/>
      <c r="Z536" s="5"/>
    </row>
    <row r="537" ht="12.0" customHeight="1">
      <c r="A537" s="92" t="s">
        <v>643</v>
      </c>
      <c r="B537" s="5"/>
      <c r="C537" s="206">
        <f t="shared" ref="C537:N537" si="159">IF(C536=0,0,C533/C536)</f>
        <v>0.2230046296</v>
      </c>
      <c r="D537" s="206">
        <f t="shared" si="159"/>
        <v>0.1733445767</v>
      </c>
      <c r="E537" s="206">
        <f t="shared" si="159"/>
        <v>0.1699601852</v>
      </c>
      <c r="F537" s="206">
        <f t="shared" si="159"/>
        <v>0.1649752646</v>
      </c>
      <c r="G537" s="206">
        <f t="shared" si="159"/>
        <v>0.1553822751</v>
      </c>
      <c r="H537" s="206">
        <f t="shared" si="159"/>
        <v>0.1494559524</v>
      </c>
      <c r="I537" s="206">
        <f t="shared" si="159"/>
        <v>0.1603671958</v>
      </c>
      <c r="J537" s="206">
        <f t="shared" si="159"/>
        <v>0.1603671958</v>
      </c>
      <c r="K537" s="206">
        <f t="shared" si="159"/>
        <v>0.1597080688</v>
      </c>
      <c r="L537" s="206">
        <f t="shared" si="159"/>
        <v>0.153781746</v>
      </c>
      <c r="M537" s="206">
        <f t="shared" si="159"/>
        <v>0.1485145503</v>
      </c>
      <c r="N537" s="206">
        <f t="shared" si="159"/>
        <v>0.2315616402</v>
      </c>
      <c r="O537" s="5"/>
      <c r="P537" s="5"/>
      <c r="Q537" s="5"/>
      <c r="R537" s="5"/>
      <c r="S537" s="5"/>
      <c r="T537" s="5"/>
      <c r="U537" s="5"/>
      <c r="V537" s="5"/>
      <c r="W537" s="5"/>
      <c r="X537" s="5"/>
      <c r="Y537" s="5"/>
      <c r="Z537" s="5"/>
    </row>
    <row r="538" ht="12.0" customHeight="1">
      <c r="A538" s="201" t="s">
        <v>699</v>
      </c>
      <c r="B538" s="202"/>
      <c r="C538" s="202"/>
      <c r="D538" s="202"/>
      <c r="E538" s="202"/>
      <c r="F538" s="202"/>
      <c r="G538" s="202"/>
      <c r="H538" s="202"/>
      <c r="I538" s="202"/>
      <c r="J538" s="202"/>
      <c r="K538" s="202"/>
      <c r="L538" s="202"/>
      <c r="M538" s="202"/>
      <c r="N538" s="202"/>
      <c r="O538" s="5"/>
      <c r="P538" s="5"/>
      <c r="Q538" s="5"/>
      <c r="R538" s="5"/>
      <c r="S538" s="5"/>
      <c r="T538" s="5"/>
      <c r="U538" s="5"/>
      <c r="V538" s="5"/>
      <c r="W538" s="5"/>
      <c r="X538" s="5"/>
      <c r="Y538" s="5"/>
      <c r="Z538" s="5"/>
    </row>
    <row r="539" ht="12.0" customHeight="1">
      <c r="A539" s="201" t="s">
        <v>630</v>
      </c>
      <c r="B539" s="201" t="s">
        <v>631</v>
      </c>
      <c r="C539" s="201" t="s">
        <v>3</v>
      </c>
      <c r="D539" s="201" t="s">
        <v>4</v>
      </c>
      <c r="E539" s="201" t="s">
        <v>5</v>
      </c>
      <c r="F539" s="201" t="s">
        <v>6</v>
      </c>
      <c r="G539" s="201" t="s">
        <v>7</v>
      </c>
      <c r="H539" s="201" t="s">
        <v>8</v>
      </c>
      <c r="I539" s="201" t="s">
        <v>9</v>
      </c>
      <c r="J539" s="201" t="s">
        <v>10</v>
      </c>
      <c r="K539" s="201" t="s">
        <v>11</v>
      </c>
      <c r="L539" s="201" t="s">
        <v>12</v>
      </c>
      <c r="M539" s="201" t="s">
        <v>13</v>
      </c>
      <c r="N539" s="201" t="s">
        <v>14</v>
      </c>
      <c r="O539" s="5"/>
      <c r="P539" s="5"/>
      <c r="Q539" s="5"/>
      <c r="R539" s="5"/>
      <c r="S539" s="5"/>
      <c r="T539" s="5"/>
      <c r="U539" s="5"/>
      <c r="V539" s="5"/>
      <c r="W539" s="5"/>
      <c r="X539" s="5"/>
      <c r="Y539" s="5"/>
      <c r="Z539" s="5"/>
    </row>
    <row r="540" ht="12.0" customHeight="1">
      <c r="A540" s="92" t="s">
        <v>632</v>
      </c>
      <c r="B540" s="92" t="s">
        <v>633</v>
      </c>
      <c r="C540" s="203">
        <f>SUM('2028'!B6:B9)+SUM('2028'!B17:B20)</f>
        <v>2561.98</v>
      </c>
      <c r="D540" s="203">
        <f>SUM('2028'!C6:C9)+SUM('2028'!C17:C20)</f>
        <v>1962.5</v>
      </c>
      <c r="E540" s="203">
        <f>SUM('2028'!D6:D9)+SUM('2028'!D17:D20)</f>
        <v>1858.375</v>
      </c>
      <c r="F540" s="203">
        <f>SUM('2028'!E6:E9)+SUM('2028'!E17:E20)</f>
        <v>1785.805</v>
      </c>
      <c r="G540" s="203">
        <f>SUM('2028'!F6:F9)+SUM('2028'!F17:F20)</f>
        <v>1672.22</v>
      </c>
      <c r="H540" s="203">
        <f>SUM('2028'!G6:G9)+SUM('2028'!G17:G20)</f>
        <v>1631.205</v>
      </c>
      <c r="I540" s="203">
        <f>SUM('2028'!H6:H9)+SUM('2028'!H17:H20)</f>
        <v>1744.79</v>
      </c>
      <c r="J540" s="203">
        <f>SUM('2028'!I6:I9)+SUM('2028'!I17:I20)</f>
        <v>1744.79</v>
      </c>
      <c r="K540" s="203">
        <f>SUM('2028'!J6:J9)+SUM('2028'!J17:J20)</f>
        <v>1744.79</v>
      </c>
      <c r="L540" s="203">
        <f>SUM('2028'!K6:K9)+SUM('2028'!K17:K20)</f>
        <v>1703.775</v>
      </c>
      <c r="M540" s="203">
        <f>SUM('2028'!L6:L9)+SUM('2028'!L17:L20)</f>
        <v>1662.76</v>
      </c>
      <c r="N540" s="203">
        <f>SUM('2028'!M6:M9)+SUM('2028'!M17:M20)</f>
        <v>2644.01</v>
      </c>
      <c r="O540" s="5"/>
      <c r="P540" s="5"/>
      <c r="Q540" s="5"/>
      <c r="R540" s="5"/>
      <c r="S540" s="5"/>
      <c r="T540" s="5"/>
      <c r="U540" s="5"/>
      <c r="V540" s="5"/>
      <c r="W540" s="5"/>
      <c r="X540" s="5"/>
      <c r="Y540" s="5"/>
      <c r="Z540" s="5"/>
    </row>
    <row r="541" ht="12.0" customHeight="1">
      <c r="A541" s="5"/>
      <c r="B541" s="92" t="s">
        <v>634</v>
      </c>
      <c r="C541" s="204">
        <f>C540/Parametros!$B$37</f>
        <v>128.099</v>
      </c>
      <c r="D541" s="204">
        <f>D540/Parametros!$B$37</f>
        <v>98.125</v>
      </c>
      <c r="E541" s="204">
        <f>E540/Parametros!$B$37</f>
        <v>92.91875</v>
      </c>
      <c r="F541" s="204">
        <f>F540/Parametros!$B$37</f>
        <v>89.29025</v>
      </c>
      <c r="G541" s="204">
        <f>G540/Parametros!$B$37</f>
        <v>83.611</v>
      </c>
      <c r="H541" s="204">
        <f>H540/Parametros!$B$37</f>
        <v>81.56025</v>
      </c>
      <c r="I541" s="204">
        <f>I540/Parametros!$B$37</f>
        <v>87.2395</v>
      </c>
      <c r="J541" s="204">
        <f>J540/Parametros!$B$37</f>
        <v>87.2395</v>
      </c>
      <c r="K541" s="204">
        <f>K540/Parametros!$B$37</f>
        <v>87.2395</v>
      </c>
      <c r="L541" s="204">
        <f>L540/Parametros!$B$37</f>
        <v>85.18875</v>
      </c>
      <c r="M541" s="204">
        <f>M540/Parametros!$B$37</f>
        <v>83.138</v>
      </c>
      <c r="N541" s="204">
        <f>N540/Parametros!$B$37</f>
        <v>132.2005</v>
      </c>
      <c r="O541" s="5"/>
      <c r="P541" s="5"/>
      <c r="Q541" s="5"/>
      <c r="R541" s="5"/>
      <c r="S541" s="5"/>
      <c r="T541" s="5"/>
      <c r="U541" s="5"/>
      <c r="V541" s="5"/>
      <c r="W541" s="5"/>
      <c r="X541" s="5"/>
      <c r="Y541" s="5"/>
      <c r="Z541" s="5"/>
    </row>
    <row r="542" ht="12.0" customHeight="1">
      <c r="A542" s="5"/>
      <c r="B542" s="92" t="s">
        <v>635</v>
      </c>
      <c r="C542" s="204">
        <f>C541/Parametros!$J$37</f>
        <v>17.07986667</v>
      </c>
      <c r="D542" s="204">
        <f>D541/Parametros!$J$37</f>
        <v>13.08333333</v>
      </c>
      <c r="E542" s="204">
        <f>E541/Parametros!$J$37</f>
        <v>12.38916667</v>
      </c>
      <c r="F542" s="204">
        <f>F541/Parametros!$J$37</f>
        <v>11.90536667</v>
      </c>
      <c r="G542" s="204">
        <f>G541/Parametros!$J$37</f>
        <v>11.14813333</v>
      </c>
      <c r="H542" s="204">
        <f>H541/Parametros!$J$37</f>
        <v>10.8747</v>
      </c>
      <c r="I542" s="204">
        <f>I541/Parametros!$J$37</f>
        <v>11.63193333</v>
      </c>
      <c r="J542" s="204">
        <f>J541/Parametros!$J$37</f>
        <v>11.63193333</v>
      </c>
      <c r="K542" s="204">
        <f>K541/Parametros!$J$37</f>
        <v>11.63193333</v>
      </c>
      <c r="L542" s="204">
        <f>L541/Parametros!$J$37</f>
        <v>11.3585</v>
      </c>
      <c r="M542" s="204">
        <f>M541/Parametros!$J$37</f>
        <v>11.08506667</v>
      </c>
      <c r="N542" s="204">
        <f>N541/Parametros!$J$37</f>
        <v>17.62673333</v>
      </c>
      <c r="O542" s="5"/>
      <c r="P542" s="5"/>
      <c r="Q542" s="5"/>
      <c r="R542" s="5"/>
      <c r="S542" s="5"/>
      <c r="T542" s="5"/>
      <c r="U542" s="5"/>
      <c r="V542" s="5"/>
      <c r="W542" s="5"/>
      <c r="X542" s="5"/>
      <c r="Y542" s="5"/>
      <c r="Z542" s="5"/>
    </row>
    <row r="543" ht="12.0" customHeight="1">
      <c r="A543" s="92" t="s">
        <v>636</v>
      </c>
      <c r="B543" s="5"/>
      <c r="C543" s="204">
        <f t="shared" ref="C543:N543" si="160">C542</f>
        <v>17.07986667</v>
      </c>
      <c r="D543" s="204">
        <f t="shared" si="160"/>
        <v>13.08333333</v>
      </c>
      <c r="E543" s="204">
        <f t="shared" si="160"/>
        <v>12.38916667</v>
      </c>
      <c r="F543" s="204">
        <f t="shared" si="160"/>
        <v>11.90536667</v>
      </c>
      <c r="G543" s="204">
        <f t="shared" si="160"/>
        <v>11.14813333</v>
      </c>
      <c r="H543" s="204">
        <f t="shared" si="160"/>
        <v>10.8747</v>
      </c>
      <c r="I543" s="204">
        <f t="shared" si="160"/>
        <v>11.63193333</v>
      </c>
      <c r="J543" s="204">
        <f t="shared" si="160"/>
        <v>11.63193333</v>
      </c>
      <c r="K543" s="204">
        <f t="shared" si="160"/>
        <v>11.63193333</v>
      </c>
      <c r="L543" s="204">
        <f t="shared" si="160"/>
        <v>11.3585</v>
      </c>
      <c r="M543" s="204">
        <f t="shared" si="160"/>
        <v>11.08506667</v>
      </c>
      <c r="N543" s="204">
        <f t="shared" si="160"/>
        <v>17.62673333</v>
      </c>
      <c r="O543" s="5"/>
      <c r="P543" s="5"/>
      <c r="Q543" s="5"/>
      <c r="R543" s="5"/>
      <c r="S543" s="5"/>
      <c r="T543" s="5"/>
      <c r="U543" s="5"/>
      <c r="V543" s="5"/>
      <c r="W543" s="5"/>
      <c r="X543" s="5"/>
      <c r="Y543" s="5"/>
      <c r="Z543" s="5"/>
    </row>
    <row r="544" ht="12.0" customHeight="1">
      <c r="A544" s="92" t="s">
        <v>637</v>
      </c>
      <c r="B544" s="5"/>
      <c r="C544" s="205">
        <f>'Resumen Capacidad'!$D$129</f>
        <v>48.81355932</v>
      </c>
      <c r="D544" s="205">
        <f>'Resumen Capacidad'!$D$129</f>
        <v>48.81355932</v>
      </c>
      <c r="E544" s="205">
        <f>'Resumen Capacidad'!$D$129</f>
        <v>48.81355932</v>
      </c>
      <c r="F544" s="205">
        <f>'Resumen Capacidad'!$D$129</f>
        <v>48.81355932</v>
      </c>
      <c r="G544" s="205">
        <f>'Resumen Capacidad'!$D$129</f>
        <v>48.81355932</v>
      </c>
      <c r="H544" s="205">
        <f>'Resumen Capacidad'!$D$129</f>
        <v>48.81355932</v>
      </c>
      <c r="I544" s="205">
        <f>'Resumen Capacidad'!$D$129</f>
        <v>48.81355932</v>
      </c>
      <c r="J544" s="205">
        <f>'Resumen Capacidad'!$D$129</f>
        <v>48.81355932</v>
      </c>
      <c r="K544" s="205">
        <f>'Resumen Capacidad'!$D$129</f>
        <v>48.81355932</v>
      </c>
      <c r="L544" s="205">
        <f>'Resumen Capacidad'!$D$129</f>
        <v>48.81355932</v>
      </c>
      <c r="M544" s="205">
        <f>'Resumen Capacidad'!$D$129</f>
        <v>48.81355932</v>
      </c>
      <c r="N544" s="205">
        <f>'Resumen Capacidad'!$D$129</f>
        <v>48.81355932</v>
      </c>
      <c r="O544" s="5"/>
      <c r="P544" s="5"/>
      <c r="Q544" s="5"/>
      <c r="R544" s="5"/>
      <c r="S544" s="5"/>
      <c r="T544" s="5"/>
      <c r="U544" s="5"/>
      <c r="V544" s="5"/>
      <c r="W544" s="5"/>
      <c r="X544" s="5"/>
      <c r="Y544" s="5"/>
      <c r="Z544" s="5"/>
    </row>
    <row r="545" ht="12.0" customHeight="1">
      <c r="A545" s="92" t="s">
        <v>640</v>
      </c>
      <c r="B545" s="5"/>
      <c r="C545" s="204">
        <f>'Resumen Capacidad'!$D$47*'Resumen Capacidad'!$D$83</f>
        <v>1</v>
      </c>
      <c r="D545" s="204">
        <f>'Resumen Capacidad'!$D$47*'Resumen Capacidad'!$D$83</f>
        <v>1</v>
      </c>
      <c r="E545" s="204">
        <f>'Resumen Capacidad'!$D$47*'Resumen Capacidad'!$D$83</f>
        <v>1</v>
      </c>
      <c r="F545" s="204">
        <f>'Resumen Capacidad'!$D$47*'Resumen Capacidad'!$D$83</f>
        <v>1</v>
      </c>
      <c r="G545" s="204">
        <f>'Resumen Capacidad'!$D$47*'Resumen Capacidad'!$D$83</f>
        <v>1</v>
      </c>
      <c r="H545" s="204">
        <f>'Resumen Capacidad'!$D$47*'Resumen Capacidad'!$D$83</f>
        <v>1</v>
      </c>
      <c r="I545" s="204">
        <f>'Resumen Capacidad'!$D$47*'Resumen Capacidad'!$D$83</f>
        <v>1</v>
      </c>
      <c r="J545" s="204">
        <f>'Resumen Capacidad'!$D$47*'Resumen Capacidad'!$D$83</f>
        <v>1</v>
      </c>
      <c r="K545" s="204">
        <f>'Resumen Capacidad'!$D$47*'Resumen Capacidad'!$D$83</f>
        <v>1</v>
      </c>
      <c r="L545" s="204">
        <f>'Resumen Capacidad'!$D$47*'Resumen Capacidad'!$D$83</f>
        <v>1</v>
      </c>
      <c r="M545" s="204">
        <f>'Resumen Capacidad'!$D$47*'Resumen Capacidad'!$D$83</f>
        <v>1</v>
      </c>
      <c r="N545" s="204">
        <f>'Resumen Capacidad'!$D$47*'Resumen Capacidad'!$D$83</f>
        <v>1</v>
      </c>
      <c r="O545" s="5"/>
      <c r="P545" s="5"/>
      <c r="Q545" s="5"/>
      <c r="R545" s="5"/>
      <c r="S545" s="5"/>
      <c r="T545" s="5"/>
      <c r="U545" s="5"/>
      <c r="V545" s="5"/>
      <c r="W545" s="5"/>
      <c r="X545" s="5"/>
      <c r="Y545" s="5"/>
      <c r="Z545" s="5"/>
    </row>
    <row r="546" ht="12.0" customHeight="1">
      <c r="A546" s="92" t="s">
        <v>642</v>
      </c>
      <c r="B546" s="5"/>
      <c r="C546" s="204">
        <f t="shared" ref="C546:N546" si="161">C544*C545</f>
        <v>48.81355932</v>
      </c>
      <c r="D546" s="204">
        <f t="shared" si="161"/>
        <v>48.81355932</v>
      </c>
      <c r="E546" s="204">
        <f t="shared" si="161"/>
        <v>48.81355932</v>
      </c>
      <c r="F546" s="204">
        <f t="shared" si="161"/>
        <v>48.81355932</v>
      </c>
      <c r="G546" s="204">
        <f t="shared" si="161"/>
        <v>48.81355932</v>
      </c>
      <c r="H546" s="204">
        <f t="shared" si="161"/>
        <v>48.81355932</v>
      </c>
      <c r="I546" s="204">
        <f t="shared" si="161"/>
        <v>48.81355932</v>
      </c>
      <c r="J546" s="204">
        <f t="shared" si="161"/>
        <v>48.81355932</v>
      </c>
      <c r="K546" s="204">
        <f t="shared" si="161"/>
        <v>48.81355932</v>
      </c>
      <c r="L546" s="204">
        <f t="shared" si="161"/>
        <v>48.81355932</v>
      </c>
      <c r="M546" s="204">
        <f t="shared" si="161"/>
        <v>48.81355932</v>
      </c>
      <c r="N546" s="204">
        <f t="shared" si="161"/>
        <v>48.81355932</v>
      </c>
      <c r="O546" s="5"/>
      <c r="P546" s="5"/>
      <c r="Q546" s="5"/>
      <c r="R546" s="5"/>
      <c r="S546" s="5"/>
      <c r="T546" s="5"/>
      <c r="U546" s="5"/>
      <c r="V546" s="5"/>
      <c r="W546" s="5"/>
      <c r="X546" s="5"/>
      <c r="Y546" s="5"/>
      <c r="Z546" s="5"/>
    </row>
    <row r="547" ht="12.0" customHeight="1">
      <c r="A547" s="92" t="s">
        <v>643</v>
      </c>
      <c r="B547" s="5"/>
      <c r="C547" s="206">
        <f t="shared" ref="C547:N547" si="162">IF(C546=0,0,C543/C546)</f>
        <v>0.3499000463</v>
      </c>
      <c r="D547" s="206">
        <f t="shared" si="162"/>
        <v>0.2680266204</v>
      </c>
      <c r="E547" s="206">
        <f t="shared" si="162"/>
        <v>0.2538058449</v>
      </c>
      <c r="F547" s="206">
        <f t="shared" si="162"/>
        <v>0.2438946644</v>
      </c>
      <c r="G547" s="206">
        <f t="shared" si="162"/>
        <v>0.2283818981</v>
      </c>
      <c r="H547" s="206">
        <f t="shared" si="162"/>
        <v>0.2227803125</v>
      </c>
      <c r="I547" s="206">
        <f t="shared" si="162"/>
        <v>0.2382930787</v>
      </c>
      <c r="J547" s="206">
        <f t="shared" si="162"/>
        <v>0.2382930787</v>
      </c>
      <c r="K547" s="206">
        <f t="shared" si="162"/>
        <v>0.2382930787</v>
      </c>
      <c r="L547" s="206">
        <f t="shared" si="162"/>
        <v>0.2326914931</v>
      </c>
      <c r="M547" s="206">
        <f t="shared" si="162"/>
        <v>0.2270899074</v>
      </c>
      <c r="N547" s="206">
        <f t="shared" si="162"/>
        <v>0.3611032176</v>
      </c>
      <c r="O547" s="5"/>
      <c r="P547" s="5"/>
      <c r="Q547" s="5"/>
      <c r="R547" s="5"/>
      <c r="S547" s="5"/>
      <c r="T547" s="5"/>
      <c r="U547" s="5"/>
      <c r="V547" s="5"/>
      <c r="W547" s="5"/>
      <c r="X547" s="5"/>
      <c r="Y547" s="5"/>
      <c r="Z547" s="5"/>
    </row>
    <row r="548" ht="12.0"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0"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0" customHeight="1">
      <c r="A550" s="207">
        <v>2029.0</v>
      </c>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0" customHeight="1">
      <c r="A551" s="201" t="s">
        <v>629</v>
      </c>
      <c r="B551" s="202"/>
      <c r="C551" s="202"/>
      <c r="D551" s="202"/>
      <c r="E551" s="202"/>
      <c r="F551" s="202"/>
      <c r="G551" s="202"/>
      <c r="H551" s="202"/>
      <c r="I551" s="202"/>
      <c r="J551" s="202"/>
      <c r="K551" s="202"/>
      <c r="L551" s="202"/>
      <c r="M551" s="202"/>
      <c r="N551" s="202"/>
      <c r="O551" s="5"/>
      <c r="P551" s="5"/>
      <c r="Q551" s="5"/>
      <c r="R551" s="5"/>
      <c r="S551" s="5"/>
      <c r="T551" s="5"/>
      <c r="U551" s="5"/>
      <c r="V551" s="5"/>
      <c r="W551" s="5"/>
      <c r="X551" s="5"/>
      <c r="Y551" s="5"/>
      <c r="Z551" s="5"/>
    </row>
    <row r="552" ht="12.0" customHeight="1">
      <c r="A552" s="201" t="s">
        <v>630</v>
      </c>
      <c r="B552" s="201" t="s">
        <v>631</v>
      </c>
      <c r="C552" s="201" t="s">
        <v>3</v>
      </c>
      <c r="D552" s="201" t="s">
        <v>4</v>
      </c>
      <c r="E552" s="201" t="s">
        <v>5</v>
      </c>
      <c r="F552" s="201" t="s">
        <v>6</v>
      </c>
      <c r="G552" s="201" t="s">
        <v>7</v>
      </c>
      <c r="H552" s="201" t="s">
        <v>8</v>
      </c>
      <c r="I552" s="201" t="s">
        <v>9</v>
      </c>
      <c r="J552" s="201" t="s">
        <v>10</v>
      </c>
      <c r="K552" s="201" t="s">
        <v>11</v>
      </c>
      <c r="L552" s="201" t="s">
        <v>12</v>
      </c>
      <c r="M552" s="201" t="s">
        <v>13</v>
      </c>
      <c r="N552" s="201" t="s">
        <v>14</v>
      </c>
      <c r="O552" s="5"/>
      <c r="P552" s="5"/>
      <c r="Q552" s="5"/>
      <c r="R552" s="5"/>
      <c r="S552" s="5"/>
      <c r="T552" s="5"/>
      <c r="U552" s="5"/>
      <c r="V552" s="5"/>
      <c r="W552" s="5"/>
      <c r="X552" s="5"/>
      <c r="Y552" s="5"/>
      <c r="Z552" s="5"/>
    </row>
    <row r="553" ht="12.0" customHeight="1">
      <c r="A553" s="92" t="s">
        <v>632</v>
      </c>
      <c r="B553" s="92" t="s">
        <v>633</v>
      </c>
      <c r="C553" s="203">
        <f>SUM('2029'!B6:B9)+SUM('2029'!B17:B20)</f>
        <v>5738.74</v>
      </c>
      <c r="D553" s="203">
        <f>SUM('2029'!C6:C9)+SUM('2029'!C17:C20)</f>
        <v>4380.02</v>
      </c>
      <c r="E553" s="203">
        <f>SUM('2029'!D6:D9)+SUM('2029'!D17:D20)</f>
        <v>4104.365</v>
      </c>
      <c r="F553" s="203">
        <f>SUM('2029'!E6:E9)+SUM('2029'!E17:E20)</f>
        <v>3928.555</v>
      </c>
      <c r="G553" s="203">
        <f>SUM('2029'!F6:F9)+SUM('2029'!F17:F20)</f>
        <v>3676.78</v>
      </c>
      <c r="H553" s="203">
        <f>SUM('2029'!G6:G9)+SUM('2029'!G17:G20)</f>
        <v>3600.815</v>
      </c>
      <c r="I553" s="203">
        <f>SUM('2029'!H6:H9)+SUM('2029'!H17:H20)</f>
        <v>3852.59</v>
      </c>
      <c r="J553" s="203">
        <f>SUM('2029'!I6:I9)+SUM('2029'!I17:I20)</f>
        <v>3852.59</v>
      </c>
      <c r="K553" s="203">
        <f>SUM('2029'!J6:J9)+SUM('2029'!J17:J20)</f>
        <v>3852.59</v>
      </c>
      <c r="L553" s="203">
        <f>SUM('2029'!K6:K9)+SUM('2029'!K17:K20)</f>
        <v>3776.625</v>
      </c>
      <c r="M553" s="203">
        <f>SUM('2029'!L6:L9)+SUM('2029'!L17:L20)</f>
        <v>3700.66</v>
      </c>
      <c r="N553" s="203">
        <f>SUM('2029'!M6:M9)+SUM('2029'!M17:M20)</f>
        <v>5890.67</v>
      </c>
      <c r="O553" s="5"/>
      <c r="P553" s="5"/>
      <c r="Q553" s="5"/>
      <c r="R553" s="5"/>
      <c r="S553" s="5"/>
      <c r="T553" s="5"/>
      <c r="U553" s="5"/>
      <c r="V553" s="5"/>
      <c r="W553" s="5"/>
      <c r="X553" s="5"/>
      <c r="Y553" s="5"/>
      <c r="Z553" s="5"/>
    </row>
    <row r="554" ht="12.0" customHeight="1">
      <c r="A554" s="5"/>
      <c r="B554" s="92" t="s">
        <v>634</v>
      </c>
      <c r="C554" s="204">
        <f>C553/Parametros!$B$37</f>
        <v>286.937</v>
      </c>
      <c r="D554" s="204">
        <f>D553/Parametros!$B$37</f>
        <v>219.001</v>
      </c>
      <c r="E554" s="204">
        <f>E553/Parametros!$B$37</f>
        <v>205.21825</v>
      </c>
      <c r="F554" s="204">
        <f>F553/Parametros!$B$37</f>
        <v>196.42775</v>
      </c>
      <c r="G554" s="204">
        <f>G553/Parametros!$B$37</f>
        <v>183.839</v>
      </c>
      <c r="H554" s="204">
        <f>H553/Parametros!$B$37</f>
        <v>180.04075</v>
      </c>
      <c r="I554" s="204">
        <f>I553/Parametros!$B$37</f>
        <v>192.6295</v>
      </c>
      <c r="J554" s="204">
        <f>J553/Parametros!$B$37</f>
        <v>192.6295</v>
      </c>
      <c r="K554" s="204">
        <f>K553/Parametros!$B$37</f>
        <v>192.6295</v>
      </c>
      <c r="L554" s="204">
        <f>L553/Parametros!$B$37</f>
        <v>188.83125</v>
      </c>
      <c r="M554" s="204">
        <f>M553/Parametros!$B$37</f>
        <v>185.033</v>
      </c>
      <c r="N554" s="204">
        <f>N553/Parametros!$B$37</f>
        <v>294.5335</v>
      </c>
      <c r="O554" s="5"/>
      <c r="P554" s="5"/>
      <c r="Q554" s="5"/>
      <c r="R554" s="5"/>
      <c r="S554" s="5"/>
      <c r="T554" s="5"/>
      <c r="U554" s="5"/>
      <c r="V554" s="5"/>
      <c r="W554" s="5"/>
      <c r="X554" s="5"/>
      <c r="Y554" s="5"/>
      <c r="Z554" s="5"/>
    </row>
    <row r="555" ht="12.0" customHeight="1">
      <c r="A555" s="5"/>
      <c r="B555" s="92" t="s">
        <v>635</v>
      </c>
      <c r="C555" s="204">
        <f>C554/Parametros!$J$37</f>
        <v>38.25826667</v>
      </c>
      <c r="D555" s="204">
        <f>D554/Parametros!$J$37</f>
        <v>29.20013333</v>
      </c>
      <c r="E555" s="204">
        <f>E554/Parametros!$J$37</f>
        <v>27.36243333</v>
      </c>
      <c r="F555" s="204">
        <f>F554/Parametros!$J$37</f>
        <v>26.19036667</v>
      </c>
      <c r="G555" s="204">
        <f>G554/Parametros!$J$37</f>
        <v>24.51186667</v>
      </c>
      <c r="H555" s="204">
        <f>H554/Parametros!$J$37</f>
        <v>24.00543333</v>
      </c>
      <c r="I555" s="204">
        <f>I554/Parametros!$J$37</f>
        <v>25.68393333</v>
      </c>
      <c r="J555" s="204">
        <f>J554/Parametros!$J$37</f>
        <v>25.68393333</v>
      </c>
      <c r="K555" s="204">
        <f>K554/Parametros!$J$37</f>
        <v>25.68393333</v>
      </c>
      <c r="L555" s="204">
        <f>L554/Parametros!$J$37</f>
        <v>25.1775</v>
      </c>
      <c r="M555" s="204">
        <f>M554/Parametros!$J$37</f>
        <v>24.67106667</v>
      </c>
      <c r="N555" s="204">
        <f>N554/Parametros!$J$37</f>
        <v>39.27113333</v>
      </c>
      <c r="O555" s="5"/>
      <c r="P555" s="5"/>
      <c r="Q555" s="5"/>
      <c r="R555" s="5"/>
      <c r="S555" s="5"/>
      <c r="T555" s="5"/>
      <c r="U555" s="5"/>
      <c r="V555" s="5"/>
      <c r="W555" s="5"/>
      <c r="X555" s="5"/>
      <c r="Y555" s="5"/>
      <c r="Z555" s="5"/>
    </row>
    <row r="556" ht="12.0" customHeight="1">
      <c r="A556" s="92" t="s">
        <v>636</v>
      </c>
      <c r="B556" s="5"/>
      <c r="C556" s="204">
        <f t="shared" ref="C556:N556" si="163">C555</f>
        <v>38.25826667</v>
      </c>
      <c r="D556" s="204">
        <f t="shared" si="163"/>
        <v>29.20013333</v>
      </c>
      <c r="E556" s="204">
        <f t="shared" si="163"/>
        <v>27.36243333</v>
      </c>
      <c r="F556" s="204">
        <f t="shared" si="163"/>
        <v>26.19036667</v>
      </c>
      <c r="G556" s="204">
        <f t="shared" si="163"/>
        <v>24.51186667</v>
      </c>
      <c r="H556" s="204">
        <f t="shared" si="163"/>
        <v>24.00543333</v>
      </c>
      <c r="I556" s="204">
        <f t="shared" si="163"/>
        <v>25.68393333</v>
      </c>
      <c r="J556" s="204">
        <f t="shared" si="163"/>
        <v>25.68393333</v>
      </c>
      <c r="K556" s="204">
        <f t="shared" si="163"/>
        <v>25.68393333</v>
      </c>
      <c r="L556" s="204">
        <f t="shared" si="163"/>
        <v>25.1775</v>
      </c>
      <c r="M556" s="204">
        <f t="shared" si="163"/>
        <v>24.67106667</v>
      </c>
      <c r="N556" s="204">
        <f t="shared" si="163"/>
        <v>39.27113333</v>
      </c>
      <c r="O556" s="5"/>
      <c r="P556" s="5"/>
      <c r="Q556" s="5"/>
      <c r="R556" s="5"/>
      <c r="S556" s="5"/>
      <c r="T556" s="5"/>
      <c r="U556" s="5"/>
      <c r="V556" s="5"/>
      <c r="W556" s="5"/>
      <c r="X556" s="5"/>
      <c r="Y556" s="5"/>
      <c r="Z556" s="5"/>
    </row>
    <row r="557" ht="12.0" customHeight="1">
      <c r="A557" s="92" t="s">
        <v>637</v>
      </c>
      <c r="B557" s="5"/>
      <c r="C557" s="205">
        <f>'Resumen Capacidad'!$E$111</f>
        <v>68</v>
      </c>
      <c r="D557" s="205">
        <f>'Resumen Capacidad'!$E$111</f>
        <v>68</v>
      </c>
      <c r="E557" s="205">
        <f>'Resumen Capacidad'!$E$111</f>
        <v>68</v>
      </c>
      <c r="F557" s="205">
        <f>'Resumen Capacidad'!$E$111</f>
        <v>68</v>
      </c>
      <c r="G557" s="205">
        <f>'Resumen Capacidad'!$E$111</f>
        <v>68</v>
      </c>
      <c r="H557" s="205">
        <f>'Resumen Capacidad'!$E$111</f>
        <v>68</v>
      </c>
      <c r="I557" s="205">
        <f>'Resumen Capacidad'!$E$111</f>
        <v>68</v>
      </c>
      <c r="J557" s="205">
        <f>'Resumen Capacidad'!$E$111</f>
        <v>68</v>
      </c>
      <c r="K557" s="205">
        <f>'Resumen Capacidad'!$E$111</f>
        <v>68</v>
      </c>
      <c r="L557" s="205">
        <f>'Resumen Capacidad'!$E$111</f>
        <v>68</v>
      </c>
      <c r="M557" s="205">
        <f>'Resumen Capacidad'!$E$111</f>
        <v>68</v>
      </c>
      <c r="N557" s="205">
        <f>'Resumen Capacidad'!$E$111</f>
        <v>68</v>
      </c>
      <c r="O557" s="5"/>
      <c r="P557" s="5"/>
      <c r="Q557" s="5"/>
      <c r="R557" s="5"/>
      <c r="S557" s="5"/>
      <c r="T557" s="5"/>
      <c r="U557" s="5"/>
      <c r="V557" s="5"/>
      <c r="W557" s="5"/>
      <c r="X557" s="5"/>
      <c r="Y557" s="5"/>
      <c r="Z557" s="5"/>
    </row>
    <row r="558" ht="12.0" customHeight="1">
      <c r="A558" s="92" t="s">
        <v>640</v>
      </c>
      <c r="B558" s="5"/>
      <c r="C558" s="204">
        <f>'Resumen Capacidad'!$E$29*'Resumen Capacidad'!$E$65</f>
        <v>1</v>
      </c>
      <c r="D558" s="204">
        <f>'Resumen Capacidad'!$E$29*'Resumen Capacidad'!$E$65</f>
        <v>1</v>
      </c>
      <c r="E558" s="204">
        <f>'Resumen Capacidad'!$E$29*'Resumen Capacidad'!$E$65</f>
        <v>1</v>
      </c>
      <c r="F558" s="204">
        <f>'Resumen Capacidad'!$E$29*'Resumen Capacidad'!$E$65</f>
        <v>1</v>
      </c>
      <c r="G558" s="204">
        <f>'Resumen Capacidad'!$E$29*'Resumen Capacidad'!$E$65</f>
        <v>1</v>
      </c>
      <c r="H558" s="204">
        <f>'Resumen Capacidad'!$E$29*'Resumen Capacidad'!$E$65</f>
        <v>1</v>
      </c>
      <c r="I558" s="204">
        <f>'Resumen Capacidad'!$E$29*'Resumen Capacidad'!$E$65</f>
        <v>1</v>
      </c>
      <c r="J558" s="204">
        <f>'Resumen Capacidad'!$E$29*'Resumen Capacidad'!$E$65</f>
        <v>1</v>
      </c>
      <c r="K558" s="204">
        <f>'Resumen Capacidad'!$E$29*'Resumen Capacidad'!$E$65</f>
        <v>1</v>
      </c>
      <c r="L558" s="204">
        <f>'Resumen Capacidad'!$E$29*'Resumen Capacidad'!$E$65</f>
        <v>1</v>
      </c>
      <c r="M558" s="204">
        <f>'Resumen Capacidad'!$E$29*'Resumen Capacidad'!$E$65</f>
        <v>1</v>
      </c>
      <c r="N558" s="204">
        <f>'Resumen Capacidad'!$E$29*'Resumen Capacidad'!$E$65</f>
        <v>1</v>
      </c>
      <c r="O558" s="5"/>
      <c r="P558" s="5"/>
      <c r="Q558" s="5"/>
      <c r="R558" s="5"/>
      <c r="S558" s="5"/>
      <c r="T558" s="5"/>
      <c r="U558" s="5"/>
      <c r="V558" s="5"/>
      <c r="W558" s="5"/>
      <c r="X558" s="5"/>
      <c r="Y558" s="5"/>
      <c r="Z558" s="5"/>
    </row>
    <row r="559" ht="12.0" customHeight="1">
      <c r="A559" s="92" t="s">
        <v>642</v>
      </c>
      <c r="B559" s="5"/>
      <c r="C559" s="204">
        <f t="shared" ref="C559:N559" si="164">C557*C558</f>
        <v>68</v>
      </c>
      <c r="D559" s="204">
        <f t="shared" si="164"/>
        <v>68</v>
      </c>
      <c r="E559" s="204">
        <f t="shared" si="164"/>
        <v>68</v>
      </c>
      <c r="F559" s="204">
        <f t="shared" si="164"/>
        <v>68</v>
      </c>
      <c r="G559" s="204">
        <f t="shared" si="164"/>
        <v>68</v>
      </c>
      <c r="H559" s="204">
        <f t="shared" si="164"/>
        <v>68</v>
      </c>
      <c r="I559" s="204">
        <f t="shared" si="164"/>
        <v>68</v>
      </c>
      <c r="J559" s="204">
        <f t="shared" si="164"/>
        <v>68</v>
      </c>
      <c r="K559" s="204">
        <f t="shared" si="164"/>
        <v>68</v>
      </c>
      <c r="L559" s="204">
        <f t="shared" si="164"/>
        <v>68</v>
      </c>
      <c r="M559" s="204">
        <f t="shared" si="164"/>
        <v>68</v>
      </c>
      <c r="N559" s="204">
        <f t="shared" si="164"/>
        <v>68</v>
      </c>
      <c r="O559" s="5"/>
      <c r="P559" s="5"/>
      <c r="Q559" s="5"/>
      <c r="R559" s="5"/>
      <c r="S559" s="5"/>
      <c r="T559" s="5"/>
      <c r="U559" s="5"/>
      <c r="V559" s="5"/>
      <c r="W559" s="5"/>
      <c r="X559" s="5"/>
      <c r="Y559" s="5"/>
      <c r="Z559" s="5"/>
    </row>
    <row r="560" ht="12.0" customHeight="1">
      <c r="A560" s="92" t="s">
        <v>643</v>
      </c>
      <c r="B560" s="5"/>
      <c r="C560" s="206">
        <f t="shared" ref="C560:N560" si="165">IF(C559=0,0,C556/C559)</f>
        <v>0.5626215686</v>
      </c>
      <c r="D560" s="206">
        <f t="shared" si="165"/>
        <v>0.4294137255</v>
      </c>
      <c r="E560" s="206">
        <f t="shared" si="165"/>
        <v>0.4023887255</v>
      </c>
      <c r="F560" s="206">
        <f t="shared" si="165"/>
        <v>0.385152451</v>
      </c>
      <c r="G560" s="206">
        <f t="shared" si="165"/>
        <v>0.3604686275</v>
      </c>
      <c r="H560" s="206">
        <f t="shared" si="165"/>
        <v>0.3530210784</v>
      </c>
      <c r="I560" s="206">
        <f t="shared" si="165"/>
        <v>0.377704902</v>
      </c>
      <c r="J560" s="206">
        <f t="shared" si="165"/>
        <v>0.377704902</v>
      </c>
      <c r="K560" s="206">
        <f t="shared" si="165"/>
        <v>0.377704902</v>
      </c>
      <c r="L560" s="206">
        <f t="shared" si="165"/>
        <v>0.3702573529</v>
      </c>
      <c r="M560" s="206">
        <f t="shared" si="165"/>
        <v>0.3628098039</v>
      </c>
      <c r="N560" s="206">
        <f t="shared" si="165"/>
        <v>0.5775166667</v>
      </c>
      <c r="O560" s="5"/>
      <c r="P560" s="5"/>
      <c r="Q560" s="5"/>
      <c r="R560" s="5"/>
      <c r="S560" s="5"/>
      <c r="T560" s="5"/>
      <c r="U560" s="5"/>
      <c r="V560" s="5"/>
      <c r="W560" s="5"/>
      <c r="X560" s="5"/>
      <c r="Y560" s="5"/>
      <c r="Z560" s="5"/>
    </row>
    <row r="561" ht="12.0" customHeight="1">
      <c r="A561" s="201" t="s">
        <v>644</v>
      </c>
      <c r="B561" s="202"/>
      <c r="C561" s="202"/>
      <c r="D561" s="202"/>
      <c r="E561" s="202"/>
      <c r="F561" s="202"/>
      <c r="G561" s="202"/>
      <c r="H561" s="202"/>
      <c r="I561" s="202"/>
      <c r="J561" s="202"/>
      <c r="K561" s="202"/>
      <c r="L561" s="202"/>
      <c r="M561" s="202"/>
      <c r="N561" s="202"/>
      <c r="O561" s="5"/>
      <c r="P561" s="5"/>
      <c r="Q561" s="5"/>
      <c r="R561" s="5"/>
      <c r="S561" s="5"/>
      <c r="T561" s="5"/>
      <c r="U561" s="5"/>
      <c r="V561" s="5"/>
      <c r="W561" s="5"/>
      <c r="X561" s="5"/>
      <c r="Y561" s="5"/>
      <c r="Z561" s="5"/>
    </row>
    <row r="562" ht="12.0" customHeight="1">
      <c r="A562" s="201" t="s">
        <v>630</v>
      </c>
      <c r="B562" s="201" t="s">
        <v>631</v>
      </c>
      <c r="C562" s="201" t="s">
        <v>3</v>
      </c>
      <c r="D562" s="201" t="s">
        <v>4</v>
      </c>
      <c r="E562" s="201" t="s">
        <v>5</v>
      </c>
      <c r="F562" s="201" t="s">
        <v>6</v>
      </c>
      <c r="G562" s="201" t="s">
        <v>7</v>
      </c>
      <c r="H562" s="201" t="s">
        <v>8</v>
      </c>
      <c r="I562" s="201" t="s">
        <v>9</v>
      </c>
      <c r="J562" s="201" t="s">
        <v>10</v>
      </c>
      <c r="K562" s="201" t="s">
        <v>11</v>
      </c>
      <c r="L562" s="201" t="s">
        <v>12</v>
      </c>
      <c r="M562" s="201" t="s">
        <v>13</v>
      </c>
      <c r="N562" s="201" t="s">
        <v>14</v>
      </c>
      <c r="O562" s="5"/>
      <c r="P562" s="5"/>
      <c r="Q562" s="5"/>
      <c r="R562" s="5"/>
      <c r="S562" s="5"/>
      <c r="T562" s="5"/>
      <c r="U562" s="5"/>
      <c r="V562" s="5"/>
      <c r="W562" s="5"/>
      <c r="X562" s="5"/>
      <c r="Y562" s="5"/>
      <c r="Z562" s="5"/>
    </row>
    <row r="563" ht="12.0" customHeight="1">
      <c r="A563" s="92" t="s">
        <v>632</v>
      </c>
      <c r="B563" s="92" t="s">
        <v>633</v>
      </c>
      <c r="C563" s="203">
        <f>SUM('2029'!B6:B9)+SUM('2029'!B17:B20)</f>
        <v>5738.74</v>
      </c>
      <c r="D563" s="203">
        <f>SUM('2029'!C6:C9)+SUM('2029'!C17:C20)</f>
        <v>4380.02</v>
      </c>
      <c r="E563" s="203">
        <f>SUM('2029'!D6:D9)+SUM('2029'!D17:D20)</f>
        <v>4104.365</v>
      </c>
      <c r="F563" s="203">
        <f>SUM('2029'!E6:E9)+SUM('2029'!E17:E20)</f>
        <v>3928.555</v>
      </c>
      <c r="G563" s="203">
        <f>SUM('2029'!F6:F9)+SUM('2029'!F17:F20)</f>
        <v>3676.78</v>
      </c>
      <c r="H563" s="203">
        <f>SUM('2029'!G6:G9)+SUM('2029'!G17:G20)</f>
        <v>3600.815</v>
      </c>
      <c r="I563" s="203">
        <f>SUM('2029'!H6:H9)+SUM('2029'!H17:H20)</f>
        <v>3852.59</v>
      </c>
      <c r="J563" s="203">
        <f>SUM('2029'!I6:I9)+SUM('2029'!I17:I20)</f>
        <v>3852.59</v>
      </c>
      <c r="K563" s="203">
        <f>SUM('2029'!J6:J9)+SUM('2029'!J17:J20)</f>
        <v>3852.59</v>
      </c>
      <c r="L563" s="203">
        <f>SUM('2029'!K6:K9)+SUM('2029'!K17:K20)</f>
        <v>3776.625</v>
      </c>
      <c r="M563" s="203">
        <f>SUM('2029'!L6:L9)+SUM('2029'!L17:L20)</f>
        <v>3700.66</v>
      </c>
      <c r="N563" s="203">
        <f>SUM('2029'!M6:M9)+SUM('2029'!M17:M20)</f>
        <v>5890.67</v>
      </c>
      <c r="O563" s="5"/>
      <c r="P563" s="5"/>
      <c r="Q563" s="5"/>
      <c r="R563" s="5"/>
      <c r="S563" s="5"/>
      <c r="T563" s="5"/>
      <c r="U563" s="5"/>
      <c r="V563" s="5"/>
      <c r="W563" s="5"/>
      <c r="X563" s="5"/>
      <c r="Y563" s="5"/>
      <c r="Z563" s="5"/>
    </row>
    <row r="564" ht="12.0" customHeight="1">
      <c r="A564" s="5"/>
      <c r="B564" s="92" t="s">
        <v>634</v>
      </c>
      <c r="C564" s="204">
        <f>C563/Parametros!$B$37</f>
        <v>286.937</v>
      </c>
      <c r="D564" s="204">
        <f>D563/Parametros!$B$37</f>
        <v>219.001</v>
      </c>
      <c r="E564" s="204">
        <f>E563/Parametros!$B$37</f>
        <v>205.21825</v>
      </c>
      <c r="F564" s="204">
        <f>F563/Parametros!$B$37</f>
        <v>196.42775</v>
      </c>
      <c r="G564" s="204">
        <f>G563/Parametros!$B$37</f>
        <v>183.839</v>
      </c>
      <c r="H564" s="204">
        <f>H563/Parametros!$B$37</f>
        <v>180.04075</v>
      </c>
      <c r="I564" s="204">
        <f>I563/Parametros!$B$37</f>
        <v>192.6295</v>
      </c>
      <c r="J564" s="204">
        <f>J563/Parametros!$B$37</f>
        <v>192.6295</v>
      </c>
      <c r="K564" s="204">
        <f>K563/Parametros!$B$37</f>
        <v>192.6295</v>
      </c>
      <c r="L564" s="204">
        <f>L563/Parametros!$B$37</f>
        <v>188.83125</v>
      </c>
      <c r="M564" s="204">
        <f>M563/Parametros!$B$37</f>
        <v>185.033</v>
      </c>
      <c r="N564" s="204">
        <f>N563/Parametros!$B$37</f>
        <v>294.5335</v>
      </c>
      <c r="O564" s="5"/>
      <c r="P564" s="5"/>
      <c r="Q564" s="5"/>
      <c r="R564" s="5"/>
      <c r="S564" s="5"/>
      <c r="T564" s="5"/>
      <c r="U564" s="5"/>
      <c r="V564" s="5"/>
      <c r="W564" s="5"/>
      <c r="X564" s="5"/>
      <c r="Y564" s="5"/>
      <c r="Z564" s="5"/>
    </row>
    <row r="565" ht="12.0" customHeight="1">
      <c r="A565" s="5"/>
      <c r="B565" s="92" t="s">
        <v>635</v>
      </c>
      <c r="C565" s="204">
        <f>C564/Parametros!$J$37</f>
        <v>38.25826667</v>
      </c>
      <c r="D565" s="204">
        <f>D564/Parametros!$J$37</f>
        <v>29.20013333</v>
      </c>
      <c r="E565" s="204">
        <f>E564/Parametros!$J$37</f>
        <v>27.36243333</v>
      </c>
      <c r="F565" s="204">
        <f>F564/Parametros!$J$37</f>
        <v>26.19036667</v>
      </c>
      <c r="G565" s="204">
        <f>G564/Parametros!$J$37</f>
        <v>24.51186667</v>
      </c>
      <c r="H565" s="204">
        <f>H564/Parametros!$J$37</f>
        <v>24.00543333</v>
      </c>
      <c r="I565" s="204">
        <f>I564/Parametros!$J$37</f>
        <v>25.68393333</v>
      </c>
      <c r="J565" s="204">
        <f>J564/Parametros!$J$37</f>
        <v>25.68393333</v>
      </c>
      <c r="K565" s="204">
        <f>K564/Parametros!$J$37</f>
        <v>25.68393333</v>
      </c>
      <c r="L565" s="204">
        <f>L564/Parametros!$J$37</f>
        <v>25.1775</v>
      </c>
      <c r="M565" s="204">
        <f>M564/Parametros!$J$37</f>
        <v>24.67106667</v>
      </c>
      <c r="N565" s="204">
        <f>N564/Parametros!$J$37</f>
        <v>39.27113333</v>
      </c>
      <c r="O565" s="5"/>
      <c r="P565" s="5"/>
      <c r="Q565" s="5"/>
      <c r="R565" s="5"/>
      <c r="S565" s="5"/>
      <c r="T565" s="5"/>
      <c r="U565" s="5"/>
      <c r="V565" s="5"/>
      <c r="W565" s="5"/>
      <c r="X565" s="5"/>
      <c r="Y565" s="5"/>
      <c r="Z565" s="5"/>
    </row>
    <row r="566" ht="12.0" customHeight="1">
      <c r="A566" s="92" t="s">
        <v>636</v>
      </c>
      <c r="B566" s="5"/>
      <c r="C566" s="204">
        <f t="shared" ref="C566:N566" si="166">C565</f>
        <v>38.25826667</v>
      </c>
      <c r="D566" s="204">
        <f t="shared" si="166"/>
        <v>29.20013333</v>
      </c>
      <c r="E566" s="204">
        <f t="shared" si="166"/>
        <v>27.36243333</v>
      </c>
      <c r="F566" s="204">
        <f t="shared" si="166"/>
        <v>26.19036667</v>
      </c>
      <c r="G566" s="204">
        <f t="shared" si="166"/>
        <v>24.51186667</v>
      </c>
      <c r="H566" s="204">
        <f t="shared" si="166"/>
        <v>24.00543333</v>
      </c>
      <c r="I566" s="204">
        <f t="shared" si="166"/>
        <v>25.68393333</v>
      </c>
      <c r="J566" s="204">
        <f t="shared" si="166"/>
        <v>25.68393333</v>
      </c>
      <c r="K566" s="204">
        <f t="shared" si="166"/>
        <v>25.68393333</v>
      </c>
      <c r="L566" s="204">
        <f t="shared" si="166"/>
        <v>25.1775</v>
      </c>
      <c r="M566" s="204">
        <f t="shared" si="166"/>
        <v>24.67106667</v>
      </c>
      <c r="N566" s="204">
        <f t="shared" si="166"/>
        <v>39.27113333</v>
      </c>
      <c r="O566" s="5"/>
      <c r="P566" s="5"/>
      <c r="Q566" s="5"/>
      <c r="R566" s="5"/>
      <c r="S566" s="5"/>
      <c r="T566" s="5"/>
      <c r="U566" s="5"/>
      <c r="V566" s="5"/>
      <c r="W566" s="5"/>
      <c r="X566" s="5"/>
      <c r="Y566" s="5"/>
      <c r="Z566" s="5"/>
    </row>
    <row r="567" ht="12.0" customHeight="1">
      <c r="A567" s="92" t="s">
        <v>637</v>
      </c>
      <c r="B567" s="5"/>
      <c r="C567" s="205">
        <f>'Resumen Capacidad'!$E$112</f>
        <v>90.19362319</v>
      </c>
      <c r="D567" s="205">
        <f>'Resumen Capacidad'!$E$112</f>
        <v>90.19362319</v>
      </c>
      <c r="E567" s="205">
        <f>'Resumen Capacidad'!$E$112</f>
        <v>90.19362319</v>
      </c>
      <c r="F567" s="205">
        <f>'Resumen Capacidad'!$E$112</f>
        <v>90.19362319</v>
      </c>
      <c r="G567" s="205">
        <f>'Resumen Capacidad'!$E$112</f>
        <v>90.19362319</v>
      </c>
      <c r="H567" s="205">
        <f>'Resumen Capacidad'!$E$112</f>
        <v>90.19362319</v>
      </c>
      <c r="I567" s="205">
        <f>'Resumen Capacidad'!$E$112</f>
        <v>90.19362319</v>
      </c>
      <c r="J567" s="205">
        <f>'Resumen Capacidad'!$E$112</f>
        <v>90.19362319</v>
      </c>
      <c r="K567" s="205">
        <f>'Resumen Capacidad'!$E$112</f>
        <v>90.19362319</v>
      </c>
      <c r="L567" s="205">
        <f>'Resumen Capacidad'!$E$112</f>
        <v>90.19362319</v>
      </c>
      <c r="M567" s="205">
        <f>'Resumen Capacidad'!$E$112</f>
        <v>90.19362319</v>
      </c>
      <c r="N567" s="205">
        <f>'Resumen Capacidad'!$E$112</f>
        <v>90.19362319</v>
      </c>
      <c r="O567" s="5"/>
      <c r="P567" s="5"/>
      <c r="Q567" s="5"/>
      <c r="R567" s="5"/>
      <c r="S567" s="5"/>
      <c r="T567" s="5"/>
      <c r="U567" s="5"/>
      <c r="V567" s="5"/>
      <c r="W567" s="5"/>
      <c r="X567" s="5"/>
      <c r="Y567" s="5"/>
      <c r="Z567" s="5"/>
    </row>
    <row r="568" ht="12.0" customHeight="1">
      <c r="A568" s="92" t="s">
        <v>640</v>
      </c>
      <c r="B568" s="5"/>
      <c r="C568" s="204">
        <f>'Resumen Capacidad'!$E$30*'Resumen Capacidad'!$E$66</f>
        <v>1</v>
      </c>
      <c r="D568" s="204">
        <f>'Resumen Capacidad'!$E$30*'Resumen Capacidad'!$E$66</f>
        <v>1</v>
      </c>
      <c r="E568" s="204">
        <f>'Resumen Capacidad'!$E$30*'Resumen Capacidad'!$E$66</f>
        <v>1</v>
      </c>
      <c r="F568" s="204">
        <f>'Resumen Capacidad'!$E$30*'Resumen Capacidad'!$E$66</f>
        <v>1</v>
      </c>
      <c r="G568" s="204">
        <f>'Resumen Capacidad'!$E$30*'Resumen Capacidad'!$E$66</f>
        <v>1</v>
      </c>
      <c r="H568" s="204">
        <f>'Resumen Capacidad'!$E$30*'Resumen Capacidad'!$E$66</f>
        <v>1</v>
      </c>
      <c r="I568" s="204">
        <f>'Resumen Capacidad'!$E$30*'Resumen Capacidad'!$E$66</f>
        <v>1</v>
      </c>
      <c r="J568" s="204">
        <f>'Resumen Capacidad'!$E$30*'Resumen Capacidad'!$E$66</f>
        <v>1</v>
      </c>
      <c r="K568" s="204">
        <f>'Resumen Capacidad'!$E$30*'Resumen Capacidad'!$E$66</f>
        <v>1</v>
      </c>
      <c r="L568" s="204">
        <f>'Resumen Capacidad'!$E$30*'Resumen Capacidad'!$E$66</f>
        <v>1</v>
      </c>
      <c r="M568" s="204">
        <f>'Resumen Capacidad'!$E$30*'Resumen Capacidad'!$E$66</f>
        <v>1</v>
      </c>
      <c r="N568" s="204">
        <f>'Resumen Capacidad'!$E$30*'Resumen Capacidad'!$E$66</f>
        <v>1</v>
      </c>
      <c r="O568" s="5"/>
      <c r="P568" s="5"/>
      <c r="Q568" s="5"/>
      <c r="R568" s="5"/>
      <c r="S568" s="5"/>
      <c r="T568" s="5"/>
      <c r="U568" s="5"/>
      <c r="V568" s="5"/>
      <c r="W568" s="5"/>
      <c r="X568" s="5"/>
      <c r="Y568" s="5"/>
      <c r="Z568" s="5"/>
    </row>
    <row r="569" ht="12.0" customHeight="1">
      <c r="A569" s="92" t="s">
        <v>642</v>
      </c>
      <c r="B569" s="5"/>
      <c r="C569" s="204">
        <f t="shared" ref="C569:N569" si="167">C567*C568</f>
        <v>90.19362319</v>
      </c>
      <c r="D569" s="204">
        <f t="shared" si="167"/>
        <v>90.19362319</v>
      </c>
      <c r="E569" s="204">
        <f t="shared" si="167"/>
        <v>90.19362319</v>
      </c>
      <c r="F569" s="204">
        <f t="shared" si="167"/>
        <v>90.19362319</v>
      </c>
      <c r="G569" s="204">
        <f t="shared" si="167"/>
        <v>90.19362319</v>
      </c>
      <c r="H569" s="204">
        <f t="shared" si="167"/>
        <v>90.19362319</v>
      </c>
      <c r="I569" s="204">
        <f t="shared" si="167"/>
        <v>90.19362319</v>
      </c>
      <c r="J569" s="204">
        <f t="shared" si="167"/>
        <v>90.19362319</v>
      </c>
      <c r="K569" s="204">
        <f t="shared" si="167"/>
        <v>90.19362319</v>
      </c>
      <c r="L569" s="204">
        <f t="shared" si="167"/>
        <v>90.19362319</v>
      </c>
      <c r="M569" s="204">
        <f t="shared" si="167"/>
        <v>90.19362319</v>
      </c>
      <c r="N569" s="204">
        <f t="shared" si="167"/>
        <v>90.19362319</v>
      </c>
      <c r="O569" s="5"/>
      <c r="P569" s="5"/>
      <c r="Q569" s="5"/>
      <c r="R569" s="5"/>
      <c r="S569" s="5"/>
      <c r="T569" s="5"/>
      <c r="U569" s="5"/>
      <c r="V569" s="5"/>
      <c r="W569" s="5"/>
      <c r="X569" s="5"/>
      <c r="Y569" s="5"/>
      <c r="Z569" s="5"/>
    </row>
    <row r="570" ht="12.0" customHeight="1">
      <c r="A570" s="92" t="s">
        <v>643</v>
      </c>
      <c r="B570" s="5"/>
      <c r="C570" s="206">
        <f t="shared" ref="C570:N570" si="168">IF(C569=0,0,C566/C569)</f>
        <v>0.4241792858</v>
      </c>
      <c r="D570" s="206">
        <f t="shared" si="168"/>
        <v>0.3237494215</v>
      </c>
      <c r="E570" s="206">
        <f t="shared" si="168"/>
        <v>0.3033743669</v>
      </c>
      <c r="F570" s="206">
        <f t="shared" si="168"/>
        <v>0.290379361</v>
      </c>
      <c r="G570" s="206">
        <f t="shared" si="168"/>
        <v>0.2717693979</v>
      </c>
      <c r="H570" s="206">
        <f t="shared" si="168"/>
        <v>0.2661544407</v>
      </c>
      <c r="I570" s="206">
        <f t="shared" si="168"/>
        <v>0.2847644038</v>
      </c>
      <c r="J570" s="206">
        <f t="shared" si="168"/>
        <v>0.2847644038</v>
      </c>
      <c r="K570" s="206">
        <f t="shared" si="168"/>
        <v>0.2847644038</v>
      </c>
      <c r="L570" s="206">
        <f t="shared" si="168"/>
        <v>0.2791494466</v>
      </c>
      <c r="M570" s="206">
        <f t="shared" si="168"/>
        <v>0.2735344894</v>
      </c>
      <c r="N570" s="206">
        <f t="shared" si="168"/>
        <v>0.4354092002</v>
      </c>
      <c r="O570" s="5"/>
      <c r="P570" s="5"/>
      <c r="Q570" s="5"/>
      <c r="R570" s="5"/>
      <c r="S570" s="5"/>
      <c r="T570" s="5"/>
      <c r="U570" s="5"/>
      <c r="V570" s="5"/>
      <c r="W570" s="5"/>
      <c r="X570" s="5"/>
      <c r="Y570" s="5"/>
      <c r="Z570" s="5"/>
    </row>
    <row r="571" ht="12.0" customHeight="1">
      <c r="A571" s="201" t="s">
        <v>646</v>
      </c>
      <c r="B571" s="202"/>
      <c r="C571" s="202"/>
      <c r="D571" s="202"/>
      <c r="E571" s="202"/>
      <c r="F571" s="202"/>
      <c r="G571" s="202"/>
      <c r="H571" s="202"/>
      <c r="I571" s="202"/>
      <c r="J571" s="202"/>
      <c r="K571" s="202"/>
      <c r="L571" s="202"/>
      <c r="M571" s="202"/>
      <c r="N571" s="202"/>
      <c r="O571" s="5"/>
      <c r="P571" s="5"/>
      <c r="Q571" s="5"/>
      <c r="R571" s="5"/>
      <c r="S571" s="5"/>
      <c r="T571" s="5"/>
      <c r="U571" s="5"/>
      <c r="V571" s="5"/>
      <c r="W571" s="5"/>
      <c r="X571" s="5"/>
      <c r="Y571" s="5"/>
      <c r="Z571" s="5"/>
    </row>
    <row r="572" ht="12.0" customHeight="1">
      <c r="A572" s="201" t="s">
        <v>630</v>
      </c>
      <c r="B572" s="201" t="s">
        <v>631</v>
      </c>
      <c r="C572" s="201" t="s">
        <v>3</v>
      </c>
      <c r="D572" s="201" t="s">
        <v>4</v>
      </c>
      <c r="E572" s="201" t="s">
        <v>5</v>
      </c>
      <c r="F572" s="201" t="s">
        <v>6</v>
      </c>
      <c r="G572" s="201" t="s">
        <v>7</v>
      </c>
      <c r="H572" s="201" t="s">
        <v>8</v>
      </c>
      <c r="I572" s="201" t="s">
        <v>9</v>
      </c>
      <c r="J572" s="201" t="s">
        <v>10</v>
      </c>
      <c r="K572" s="201" t="s">
        <v>11</v>
      </c>
      <c r="L572" s="201" t="s">
        <v>12</v>
      </c>
      <c r="M572" s="201" t="s">
        <v>13</v>
      </c>
      <c r="N572" s="201" t="s">
        <v>14</v>
      </c>
      <c r="O572" s="5"/>
      <c r="P572" s="5"/>
      <c r="Q572" s="5"/>
      <c r="R572" s="5"/>
      <c r="S572" s="5"/>
      <c r="T572" s="5"/>
      <c r="U572" s="5"/>
      <c r="V572" s="5"/>
      <c r="W572" s="5"/>
      <c r="X572" s="5"/>
      <c r="Y572" s="5"/>
      <c r="Z572" s="5"/>
    </row>
    <row r="573" ht="12.0" customHeight="1">
      <c r="A573" s="92" t="s">
        <v>647</v>
      </c>
      <c r="B573" s="92" t="s">
        <v>633</v>
      </c>
      <c r="C573" s="203">
        <f>(SUM('2029'!B6:B9)+SUM('2029'!B17:B20))*2</f>
        <v>11477.48</v>
      </c>
      <c r="D573" s="203">
        <f>(SUM('2029'!C6:C9)+SUM('2029'!C17:C20))*2</f>
        <v>8760.04</v>
      </c>
      <c r="E573" s="203">
        <f>(SUM('2029'!D6:D9)+SUM('2029'!D17:D20))*2</f>
        <v>8208.73</v>
      </c>
      <c r="F573" s="203">
        <f>(SUM('2029'!E6:E9)+SUM('2029'!E17:E20))*2</f>
        <v>7857.11</v>
      </c>
      <c r="G573" s="203">
        <f>(SUM('2029'!F6:F9)+SUM('2029'!F17:F20))*2</f>
        <v>7353.56</v>
      </c>
      <c r="H573" s="203">
        <f>(SUM('2029'!G6:G9)+SUM('2029'!G17:G20))*2</f>
        <v>7201.63</v>
      </c>
      <c r="I573" s="203">
        <f>(SUM('2029'!H6:H9)+SUM('2029'!H17:H20))*2</f>
        <v>7705.18</v>
      </c>
      <c r="J573" s="203">
        <f>(SUM('2029'!I6:I9)+SUM('2029'!I17:I20))*2</f>
        <v>7705.18</v>
      </c>
      <c r="K573" s="203">
        <f>(SUM('2029'!J6:J9)+SUM('2029'!J17:J20))*2</f>
        <v>7705.18</v>
      </c>
      <c r="L573" s="203">
        <f>(SUM('2029'!K6:K9)+SUM('2029'!K17:K20))*2</f>
        <v>7553.25</v>
      </c>
      <c r="M573" s="203">
        <f>(SUM('2029'!L6:L9)+SUM('2029'!L17:L20))*2</f>
        <v>7401.32</v>
      </c>
      <c r="N573" s="203">
        <f>(SUM('2029'!M6:M9)+SUM('2029'!M17:M20))*2</f>
        <v>11781.34</v>
      </c>
      <c r="O573" s="5"/>
      <c r="P573" s="5"/>
      <c r="Q573" s="5"/>
      <c r="R573" s="5"/>
      <c r="S573" s="5"/>
      <c r="T573" s="5"/>
      <c r="U573" s="5"/>
      <c r="V573" s="5"/>
      <c r="W573" s="5"/>
      <c r="X573" s="5"/>
      <c r="Y573" s="5"/>
      <c r="Z573" s="5"/>
    </row>
    <row r="574" ht="12.0" customHeight="1">
      <c r="A574" s="5"/>
      <c r="B574" s="92" t="s">
        <v>634</v>
      </c>
      <c r="C574" s="204">
        <f>C573/Parametros!$B$37</f>
        <v>573.874</v>
      </c>
      <c r="D574" s="204">
        <f>D573/Parametros!$B$37</f>
        <v>438.002</v>
      </c>
      <c r="E574" s="204">
        <f>E573/Parametros!$B$37</f>
        <v>410.4365</v>
      </c>
      <c r="F574" s="204">
        <f>F573/Parametros!$B$37</f>
        <v>392.8555</v>
      </c>
      <c r="G574" s="204">
        <f>G573/Parametros!$B$37</f>
        <v>367.678</v>
      </c>
      <c r="H574" s="204">
        <f>H573/Parametros!$B$37</f>
        <v>360.0815</v>
      </c>
      <c r="I574" s="204">
        <f>I573/Parametros!$B$37</f>
        <v>385.259</v>
      </c>
      <c r="J574" s="204">
        <f>J573/Parametros!$B$37</f>
        <v>385.259</v>
      </c>
      <c r="K574" s="204">
        <f>K573/Parametros!$B$37</f>
        <v>385.259</v>
      </c>
      <c r="L574" s="204">
        <f>L573/Parametros!$B$37</f>
        <v>377.6625</v>
      </c>
      <c r="M574" s="204">
        <f>M573/Parametros!$B$37</f>
        <v>370.066</v>
      </c>
      <c r="N574" s="204">
        <f>N573/Parametros!$B$37</f>
        <v>589.067</v>
      </c>
      <c r="O574" s="5"/>
      <c r="P574" s="5"/>
      <c r="Q574" s="5"/>
      <c r="R574" s="5"/>
      <c r="S574" s="5"/>
      <c r="T574" s="5"/>
      <c r="U574" s="5"/>
      <c r="V574" s="5"/>
      <c r="W574" s="5"/>
      <c r="X574" s="5"/>
      <c r="Y574" s="5"/>
      <c r="Z574" s="5"/>
    </row>
    <row r="575" ht="12.0" customHeight="1">
      <c r="A575" s="5"/>
      <c r="B575" s="92" t="s">
        <v>635</v>
      </c>
      <c r="C575" s="204">
        <f>C574/Parametros!$J$37</f>
        <v>76.51653333</v>
      </c>
      <c r="D575" s="204">
        <f>D574/Parametros!$J$37</f>
        <v>58.40026667</v>
      </c>
      <c r="E575" s="204">
        <f>E574/Parametros!$J$37</f>
        <v>54.72486667</v>
      </c>
      <c r="F575" s="204">
        <f>F574/Parametros!$J$37</f>
        <v>52.38073333</v>
      </c>
      <c r="G575" s="204">
        <f>G574/Parametros!$J$37</f>
        <v>49.02373333</v>
      </c>
      <c r="H575" s="204">
        <f>H574/Parametros!$J$37</f>
        <v>48.01086667</v>
      </c>
      <c r="I575" s="204">
        <f>I574/Parametros!$J$37</f>
        <v>51.36786667</v>
      </c>
      <c r="J575" s="204">
        <f>J574/Parametros!$J$37</f>
        <v>51.36786667</v>
      </c>
      <c r="K575" s="204">
        <f>K574/Parametros!$J$37</f>
        <v>51.36786667</v>
      </c>
      <c r="L575" s="204">
        <f>L574/Parametros!$J$37</f>
        <v>50.355</v>
      </c>
      <c r="M575" s="204">
        <f>M574/Parametros!$J$37</f>
        <v>49.34213333</v>
      </c>
      <c r="N575" s="204">
        <f>N574/Parametros!$J$37</f>
        <v>78.54226667</v>
      </c>
      <c r="O575" s="5"/>
      <c r="P575" s="5"/>
      <c r="Q575" s="5"/>
      <c r="R575" s="5"/>
      <c r="S575" s="5"/>
      <c r="T575" s="5"/>
      <c r="U575" s="5"/>
      <c r="V575" s="5"/>
      <c r="W575" s="5"/>
      <c r="X575" s="5"/>
      <c r="Y575" s="5"/>
      <c r="Z575" s="5"/>
    </row>
    <row r="576" ht="12.0" customHeight="1">
      <c r="A576" s="92" t="s">
        <v>636</v>
      </c>
      <c r="B576" s="5"/>
      <c r="C576" s="204">
        <f t="shared" ref="C576:N576" si="169">C575</f>
        <v>76.51653333</v>
      </c>
      <c r="D576" s="204">
        <f t="shared" si="169"/>
        <v>58.40026667</v>
      </c>
      <c r="E576" s="204">
        <f t="shared" si="169"/>
        <v>54.72486667</v>
      </c>
      <c r="F576" s="204">
        <f t="shared" si="169"/>
        <v>52.38073333</v>
      </c>
      <c r="G576" s="204">
        <f t="shared" si="169"/>
        <v>49.02373333</v>
      </c>
      <c r="H576" s="204">
        <f t="shared" si="169"/>
        <v>48.01086667</v>
      </c>
      <c r="I576" s="204">
        <f t="shared" si="169"/>
        <v>51.36786667</v>
      </c>
      <c r="J576" s="204">
        <f t="shared" si="169"/>
        <v>51.36786667</v>
      </c>
      <c r="K576" s="204">
        <f t="shared" si="169"/>
        <v>51.36786667</v>
      </c>
      <c r="L576" s="204">
        <f t="shared" si="169"/>
        <v>50.355</v>
      </c>
      <c r="M576" s="204">
        <f t="shared" si="169"/>
        <v>49.34213333</v>
      </c>
      <c r="N576" s="204">
        <f t="shared" si="169"/>
        <v>78.54226667</v>
      </c>
      <c r="O576" s="5"/>
      <c r="P576" s="5"/>
      <c r="Q576" s="5"/>
      <c r="R576" s="5"/>
      <c r="S576" s="5"/>
      <c r="T576" s="5"/>
      <c r="U576" s="5"/>
      <c r="V576" s="5"/>
      <c r="W576" s="5"/>
      <c r="X576" s="5"/>
      <c r="Y576" s="5"/>
      <c r="Z576" s="5"/>
    </row>
    <row r="577" ht="12.0" customHeight="1">
      <c r="A577" s="92" t="s">
        <v>637</v>
      </c>
      <c r="B577" s="5"/>
      <c r="C577" s="205">
        <f>'Resumen Capacidad'!$E$113</f>
        <v>466.5116279</v>
      </c>
      <c r="D577" s="205">
        <f>'Resumen Capacidad'!$E$113</f>
        <v>466.5116279</v>
      </c>
      <c r="E577" s="205">
        <f>'Resumen Capacidad'!$E$113</f>
        <v>466.5116279</v>
      </c>
      <c r="F577" s="205">
        <f>'Resumen Capacidad'!$E$113</f>
        <v>466.5116279</v>
      </c>
      <c r="G577" s="205">
        <f>'Resumen Capacidad'!$E$113</f>
        <v>466.5116279</v>
      </c>
      <c r="H577" s="205">
        <f>'Resumen Capacidad'!$E$113</f>
        <v>466.5116279</v>
      </c>
      <c r="I577" s="205">
        <f>'Resumen Capacidad'!$E$113</f>
        <v>466.5116279</v>
      </c>
      <c r="J577" s="205">
        <f>'Resumen Capacidad'!$E$113</f>
        <v>466.5116279</v>
      </c>
      <c r="K577" s="205">
        <f>'Resumen Capacidad'!$E$113</f>
        <v>466.5116279</v>
      </c>
      <c r="L577" s="205">
        <f>'Resumen Capacidad'!$E$113</f>
        <v>466.5116279</v>
      </c>
      <c r="M577" s="205">
        <f>'Resumen Capacidad'!$E$113</f>
        <v>466.5116279</v>
      </c>
      <c r="N577" s="205">
        <f>'Resumen Capacidad'!$E$113</f>
        <v>466.5116279</v>
      </c>
      <c r="O577" s="5"/>
      <c r="P577" s="5"/>
      <c r="Q577" s="5"/>
      <c r="R577" s="5"/>
      <c r="S577" s="5"/>
      <c r="T577" s="5"/>
      <c r="U577" s="5"/>
      <c r="V577" s="5"/>
      <c r="W577" s="5"/>
      <c r="X577" s="5"/>
      <c r="Y577" s="5"/>
      <c r="Z577" s="5"/>
    </row>
    <row r="578" ht="12.0" customHeight="1">
      <c r="A578" s="92" t="s">
        <v>640</v>
      </c>
      <c r="B578" s="5"/>
      <c r="C578" s="204">
        <f>'Resumen Capacidad'!$E$31*'Resumen Capacidad'!$E$67</f>
        <v>1</v>
      </c>
      <c r="D578" s="204">
        <f>'Resumen Capacidad'!$E$31*'Resumen Capacidad'!$E$67</f>
        <v>1</v>
      </c>
      <c r="E578" s="204">
        <f>'Resumen Capacidad'!$E$31*'Resumen Capacidad'!$E$67</f>
        <v>1</v>
      </c>
      <c r="F578" s="204">
        <f>'Resumen Capacidad'!$E$31*'Resumen Capacidad'!$E$67</f>
        <v>1</v>
      </c>
      <c r="G578" s="204">
        <f>'Resumen Capacidad'!$E$31*'Resumen Capacidad'!$E$67</f>
        <v>1</v>
      </c>
      <c r="H578" s="204">
        <f>'Resumen Capacidad'!$E$31*'Resumen Capacidad'!$E$67</f>
        <v>1</v>
      </c>
      <c r="I578" s="204">
        <f>'Resumen Capacidad'!$E$31*'Resumen Capacidad'!$E$67</f>
        <v>1</v>
      </c>
      <c r="J578" s="204">
        <f>'Resumen Capacidad'!$E$31*'Resumen Capacidad'!$E$67</f>
        <v>1</v>
      </c>
      <c r="K578" s="204">
        <f>'Resumen Capacidad'!$E$31*'Resumen Capacidad'!$E$67</f>
        <v>1</v>
      </c>
      <c r="L578" s="204">
        <f>'Resumen Capacidad'!$E$31*'Resumen Capacidad'!$E$67</f>
        <v>1</v>
      </c>
      <c r="M578" s="204">
        <f>'Resumen Capacidad'!$E$31*'Resumen Capacidad'!$E$67</f>
        <v>1</v>
      </c>
      <c r="N578" s="204">
        <f>'Resumen Capacidad'!$E$31*'Resumen Capacidad'!$E$67</f>
        <v>1</v>
      </c>
      <c r="O578" s="5"/>
      <c r="P578" s="5"/>
      <c r="Q578" s="5"/>
      <c r="R578" s="5"/>
      <c r="S578" s="5"/>
      <c r="T578" s="5"/>
      <c r="U578" s="5"/>
      <c r="V578" s="5"/>
      <c r="W578" s="5"/>
      <c r="X578" s="5"/>
      <c r="Y578" s="5"/>
      <c r="Z578" s="5"/>
    </row>
    <row r="579" ht="12.0" customHeight="1">
      <c r="A579" s="92" t="s">
        <v>642</v>
      </c>
      <c r="B579" s="5"/>
      <c r="C579" s="204">
        <f t="shared" ref="C579:N579" si="170">C577*C578</f>
        <v>466.5116279</v>
      </c>
      <c r="D579" s="204">
        <f t="shared" si="170"/>
        <v>466.5116279</v>
      </c>
      <c r="E579" s="204">
        <f t="shared" si="170"/>
        <v>466.5116279</v>
      </c>
      <c r="F579" s="204">
        <f t="shared" si="170"/>
        <v>466.5116279</v>
      </c>
      <c r="G579" s="204">
        <f t="shared" si="170"/>
        <v>466.5116279</v>
      </c>
      <c r="H579" s="204">
        <f t="shared" si="170"/>
        <v>466.5116279</v>
      </c>
      <c r="I579" s="204">
        <f t="shared" si="170"/>
        <v>466.5116279</v>
      </c>
      <c r="J579" s="204">
        <f t="shared" si="170"/>
        <v>466.5116279</v>
      </c>
      <c r="K579" s="204">
        <f t="shared" si="170"/>
        <v>466.5116279</v>
      </c>
      <c r="L579" s="204">
        <f t="shared" si="170"/>
        <v>466.5116279</v>
      </c>
      <c r="M579" s="204">
        <f t="shared" si="170"/>
        <v>466.5116279</v>
      </c>
      <c r="N579" s="204">
        <f t="shared" si="170"/>
        <v>466.5116279</v>
      </c>
      <c r="O579" s="5"/>
      <c r="P579" s="5"/>
      <c r="Q579" s="5"/>
      <c r="R579" s="5"/>
      <c r="S579" s="5"/>
      <c r="T579" s="5"/>
      <c r="U579" s="5"/>
      <c r="V579" s="5"/>
      <c r="W579" s="5"/>
      <c r="X579" s="5"/>
      <c r="Y579" s="5"/>
      <c r="Z579" s="5"/>
    </row>
    <row r="580" ht="12.0" customHeight="1">
      <c r="A580" s="92" t="s">
        <v>643</v>
      </c>
      <c r="B580" s="5"/>
      <c r="C580" s="206">
        <f t="shared" ref="C580:N580" si="171">IF(C579=0,0,C576/C579)</f>
        <v>0.1640184912</v>
      </c>
      <c r="D580" s="206">
        <f t="shared" si="171"/>
        <v>0.1251850183</v>
      </c>
      <c r="E580" s="206">
        <f t="shared" si="171"/>
        <v>0.1173065437</v>
      </c>
      <c r="F580" s="206">
        <f t="shared" si="171"/>
        <v>0.1122817315</v>
      </c>
      <c r="G580" s="206">
        <f t="shared" si="171"/>
        <v>0.1050857694</v>
      </c>
      <c r="H580" s="206">
        <f t="shared" si="171"/>
        <v>0.1029146195</v>
      </c>
      <c r="I580" s="206">
        <f t="shared" si="171"/>
        <v>0.1101105816</v>
      </c>
      <c r="J580" s="206">
        <f t="shared" si="171"/>
        <v>0.1101105816</v>
      </c>
      <c r="K580" s="206">
        <f t="shared" si="171"/>
        <v>0.1101105816</v>
      </c>
      <c r="L580" s="206">
        <f t="shared" si="171"/>
        <v>0.1079394317</v>
      </c>
      <c r="M580" s="206">
        <f t="shared" si="171"/>
        <v>0.1057682818</v>
      </c>
      <c r="N580" s="206">
        <f t="shared" si="171"/>
        <v>0.168360791</v>
      </c>
      <c r="O580" s="5"/>
      <c r="P580" s="5"/>
      <c r="Q580" s="5"/>
      <c r="R580" s="5"/>
      <c r="S580" s="5"/>
      <c r="T580" s="5"/>
      <c r="U580" s="5"/>
      <c r="V580" s="5"/>
      <c r="W580" s="5"/>
      <c r="X580" s="5"/>
      <c r="Y580" s="5"/>
      <c r="Z580" s="5"/>
    </row>
    <row r="581" ht="12.0" customHeight="1">
      <c r="A581" s="201" t="s">
        <v>649</v>
      </c>
      <c r="B581" s="202"/>
      <c r="C581" s="202"/>
      <c r="D581" s="202"/>
      <c r="E581" s="202"/>
      <c r="F581" s="202"/>
      <c r="G581" s="202"/>
      <c r="H581" s="202"/>
      <c r="I581" s="202"/>
      <c r="J581" s="202"/>
      <c r="K581" s="202"/>
      <c r="L581" s="202"/>
      <c r="M581" s="202"/>
      <c r="N581" s="202"/>
      <c r="O581" s="5"/>
      <c r="P581" s="5"/>
      <c r="Q581" s="5"/>
      <c r="R581" s="5"/>
      <c r="S581" s="5"/>
      <c r="T581" s="5"/>
      <c r="U581" s="5"/>
      <c r="V581" s="5"/>
      <c r="W581" s="5"/>
      <c r="X581" s="5"/>
      <c r="Y581" s="5"/>
      <c r="Z581" s="5"/>
    </row>
    <row r="582" ht="12.0" customHeight="1">
      <c r="A582" s="201" t="s">
        <v>630</v>
      </c>
      <c r="B582" s="201" t="s">
        <v>631</v>
      </c>
      <c r="C582" s="201" t="s">
        <v>3</v>
      </c>
      <c r="D582" s="201" t="s">
        <v>4</v>
      </c>
      <c r="E582" s="201" t="s">
        <v>5</v>
      </c>
      <c r="F582" s="201" t="s">
        <v>6</v>
      </c>
      <c r="G582" s="201" t="s">
        <v>7</v>
      </c>
      <c r="H582" s="201" t="s">
        <v>8</v>
      </c>
      <c r="I582" s="201" t="s">
        <v>9</v>
      </c>
      <c r="J582" s="201" t="s">
        <v>10</v>
      </c>
      <c r="K582" s="201" t="s">
        <v>11</v>
      </c>
      <c r="L582" s="201" t="s">
        <v>12</v>
      </c>
      <c r="M582" s="201" t="s">
        <v>13</v>
      </c>
      <c r="N582" s="201" t="s">
        <v>14</v>
      </c>
      <c r="O582" s="5"/>
      <c r="P582" s="5"/>
      <c r="Q582" s="5"/>
      <c r="R582" s="5"/>
      <c r="S582" s="5"/>
      <c r="T582" s="5"/>
      <c r="U582" s="5"/>
      <c r="V582" s="5"/>
      <c r="W582" s="5"/>
      <c r="X582" s="5"/>
      <c r="Y582" s="5"/>
      <c r="Z582" s="5"/>
    </row>
    <row r="583" ht="12.0" customHeight="1">
      <c r="A583" s="92" t="s">
        <v>632</v>
      </c>
      <c r="B583" s="92" t="s">
        <v>633</v>
      </c>
      <c r="C583" s="203">
        <f>SUM('2029'!B6:B9)+SUM('2029'!B17:B20)</f>
        <v>5738.74</v>
      </c>
      <c r="D583" s="203">
        <f>SUM('2029'!C6:C9)+SUM('2029'!C17:C20)</f>
        <v>4380.02</v>
      </c>
      <c r="E583" s="203">
        <f>SUM('2029'!D6:D9)+SUM('2029'!D17:D20)</f>
        <v>4104.365</v>
      </c>
      <c r="F583" s="203">
        <f>SUM('2029'!E6:E9)+SUM('2029'!E17:E20)</f>
        <v>3928.555</v>
      </c>
      <c r="G583" s="203">
        <f>SUM('2029'!F6:F9)+SUM('2029'!F17:F20)</f>
        <v>3676.78</v>
      </c>
      <c r="H583" s="203">
        <f>SUM('2029'!G6:G9)+SUM('2029'!G17:G20)</f>
        <v>3600.815</v>
      </c>
      <c r="I583" s="203">
        <f>SUM('2029'!H6:H9)+SUM('2029'!H17:H20)</f>
        <v>3852.59</v>
      </c>
      <c r="J583" s="203">
        <f>SUM('2029'!I6:I9)+SUM('2029'!I17:I20)</f>
        <v>3852.59</v>
      </c>
      <c r="K583" s="203">
        <f>SUM('2029'!J6:J9)+SUM('2029'!J17:J20)</f>
        <v>3852.59</v>
      </c>
      <c r="L583" s="203">
        <f>SUM('2029'!K6:K9)+SUM('2029'!K17:K20)</f>
        <v>3776.625</v>
      </c>
      <c r="M583" s="203">
        <f>SUM('2029'!L6:L9)+SUM('2029'!L17:L20)</f>
        <v>3700.66</v>
      </c>
      <c r="N583" s="203">
        <f>SUM('2029'!M6:M9)+SUM('2029'!M17:M20)</f>
        <v>5890.67</v>
      </c>
      <c r="O583" s="5"/>
      <c r="P583" s="5"/>
      <c r="Q583" s="5"/>
      <c r="R583" s="5"/>
      <c r="S583" s="5"/>
      <c r="T583" s="5"/>
      <c r="U583" s="5"/>
      <c r="V583" s="5"/>
      <c r="W583" s="5"/>
      <c r="X583" s="5"/>
      <c r="Y583" s="5"/>
      <c r="Z583" s="5"/>
    </row>
    <row r="584" ht="12.0" customHeight="1">
      <c r="A584" s="5"/>
      <c r="B584" s="92" t="s">
        <v>634</v>
      </c>
      <c r="C584" s="204">
        <f>C583/Parametros!$B$37</f>
        <v>286.937</v>
      </c>
      <c r="D584" s="204">
        <f>D583/Parametros!$B$37</f>
        <v>219.001</v>
      </c>
      <c r="E584" s="204">
        <f>E583/Parametros!$B$37</f>
        <v>205.21825</v>
      </c>
      <c r="F584" s="204">
        <f>F583/Parametros!$B$37</f>
        <v>196.42775</v>
      </c>
      <c r="G584" s="204">
        <f>G583/Parametros!$B$37</f>
        <v>183.839</v>
      </c>
      <c r="H584" s="204">
        <f>H583/Parametros!$B$37</f>
        <v>180.04075</v>
      </c>
      <c r="I584" s="204">
        <f>I583/Parametros!$B$37</f>
        <v>192.6295</v>
      </c>
      <c r="J584" s="204">
        <f>J583/Parametros!$B$37</f>
        <v>192.6295</v>
      </c>
      <c r="K584" s="204">
        <f>K583/Parametros!$B$37</f>
        <v>192.6295</v>
      </c>
      <c r="L584" s="204">
        <f>L583/Parametros!$B$37</f>
        <v>188.83125</v>
      </c>
      <c r="M584" s="204">
        <f>M583/Parametros!$B$37</f>
        <v>185.033</v>
      </c>
      <c r="N584" s="204">
        <f>N583/Parametros!$B$37</f>
        <v>294.5335</v>
      </c>
      <c r="O584" s="5"/>
      <c r="P584" s="5"/>
      <c r="Q584" s="5"/>
      <c r="R584" s="5"/>
      <c r="S584" s="5"/>
      <c r="T584" s="5"/>
      <c r="U584" s="5"/>
      <c r="V584" s="5"/>
      <c r="W584" s="5"/>
      <c r="X584" s="5"/>
      <c r="Y584" s="5"/>
      <c r="Z584" s="5"/>
    </row>
    <row r="585" ht="12.0" customHeight="1">
      <c r="A585" s="5"/>
      <c r="B585" s="92" t="s">
        <v>635</v>
      </c>
      <c r="C585" s="204">
        <f>C584/Parametros!$J$37</f>
        <v>38.25826667</v>
      </c>
      <c r="D585" s="204">
        <f>D584/Parametros!$J$37</f>
        <v>29.20013333</v>
      </c>
      <c r="E585" s="204">
        <f>E584/Parametros!$J$37</f>
        <v>27.36243333</v>
      </c>
      <c r="F585" s="204">
        <f>F584/Parametros!$J$37</f>
        <v>26.19036667</v>
      </c>
      <c r="G585" s="204">
        <f>G584/Parametros!$J$37</f>
        <v>24.51186667</v>
      </c>
      <c r="H585" s="204">
        <f>H584/Parametros!$J$37</f>
        <v>24.00543333</v>
      </c>
      <c r="I585" s="204">
        <f>I584/Parametros!$J$37</f>
        <v>25.68393333</v>
      </c>
      <c r="J585" s="204">
        <f>J584/Parametros!$J$37</f>
        <v>25.68393333</v>
      </c>
      <c r="K585" s="204">
        <f>K584/Parametros!$J$37</f>
        <v>25.68393333</v>
      </c>
      <c r="L585" s="204">
        <f>L584/Parametros!$J$37</f>
        <v>25.1775</v>
      </c>
      <c r="M585" s="204">
        <f>M584/Parametros!$J$37</f>
        <v>24.67106667</v>
      </c>
      <c r="N585" s="204">
        <f>N584/Parametros!$J$37</f>
        <v>39.27113333</v>
      </c>
      <c r="O585" s="5"/>
      <c r="P585" s="5"/>
      <c r="Q585" s="5"/>
      <c r="R585" s="5"/>
      <c r="S585" s="5"/>
      <c r="T585" s="5"/>
      <c r="U585" s="5"/>
      <c r="V585" s="5"/>
      <c r="W585" s="5"/>
      <c r="X585" s="5"/>
      <c r="Y585" s="5"/>
      <c r="Z585" s="5"/>
    </row>
    <row r="586" ht="12.0" customHeight="1">
      <c r="A586" s="92" t="s">
        <v>636</v>
      </c>
      <c r="B586" s="5"/>
      <c r="C586" s="204">
        <f t="shared" ref="C586:N586" si="172">C585</f>
        <v>38.25826667</v>
      </c>
      <c r="D586" s="204">
        <f t="shared" si="172"/>
        <v>29.20013333</v>
      </c>
      <c r="E586" s="204">
        <f t="shared" si="172"/>
        <v>27.36243333</v>
      </c>
      <c r="F586" s="204">
        <f t="shared" si="172"/>
        <v>26.19036667</v>
      </c>
      <c r="G586" s="204">
        <f t="shared" si="172"/>
        <v>24.51186667</v>
      </c>
      <c r="H586" s="204">
        <f t="shared" si="172"/>
        <v>24.00543333</v>
      </c>
      <c r="I586" s="204">
        <f t="shared" si="172"/>
        <v>25.68393333</v>
      </c>
      <c r="J586" s="204">
        <f t="shared" si="172"/>
        <v>25.68393333</v>
      </c>
      <c r="K586" s="204">
        <f t="shared" si="172"/>
        <v>25.68393333</v>
      </c>
      <c r="L586" s="204">
        <f t="shared" si="172"/>
        <v>25.1775</v>
      </c>
      <c r="M586" s="204">
        <f t="shared" si="172"/>
        <v>24.67106667</v>
      </c>
      <c r="N586" s="204">
        <f t="shared" si="172"/>
        <v>39.27113333</v>
      </c>
      <c r="O586" s="5"/>
      <c r="P586" s="5"/>
      <c r="Q586" s="5"/>
      <c r="R586" s="5"/>
      <c r="S586" s="5"/>
      <c r="T586" s="5"/>
      <c r="U586" s="5"/>
      <c r="V586" s="5"/>
      <c r="W586" s="5"/>
      <c r="X586" s="5"/>
      <c r="Y586" s="5"/>
      <c r="Z586" s="5"/>
    </row>
    <row r="587" ht="12.0" customHeight="1">
      <c r="A587" s="92" t="s">
        <v>637</v>
      </c>
      <c r="B587" s="5"/>
      <c r="C587" s="205">
        <f>'Resumen Capacidad'!$E$114</f>
        <v>96</v>
      </c>
      <c r="D587" s="205">
        <f>'Resumen Capacidad'!$E$114</f>
        <v>96</v>
      </c>
      <c r="E587" s="205">
        <f>'Resumen Capacidad'!$E$114</f>
        <v>96</v>
      </c>
      <c r="F587" s="205">
        <f>'Resumen Capacidad'!$E$114</f>
        <v>96</v>
      </c>
      <c r="G587" s="205">
        <f>'Resumen Capacidad'!$E$114</f>
        <v>96</v>
      </c>
      <c r="H587" s="205">
        <f>'Resumen Capacidad'!$E$114</f>
        <v>96</v>
      </c>
      <c r="I587" s="205">
        <f>'Resumen Capacidad'!$E$114</f>
        <v>96</v>
      </c>
      <c r="J587" s="205">
        <f>'Resumen Capacidad'!$E$114</f>
        <v>96</v>
      </c>
      <c r="K587" s="205">
        <f>'Resumen Capacidad'!$E$114</f>
        <v>96</v>
      </c>
      <c r="L587" s="205">
        <f>'Resumen Capacidad'!$E$114</f>
        <v>96</v>
      </c>
      <c r="M587" s="205">
        <f>'Resumen Capacidad'!$E$114</f>
        <v>96</v>
      </c>
      <c r="N587" s="205">
        <f>'Resumen Capacidad'!$E$114</f>
        <v>96</v>
      </c>
      <c r="O587" s="5"/>
      <c r="P587" s="5"/>
      <c r="Q587" s="5"/>
      <c r="R587" s="5"/>
      <c r="S587" s="5"/>
      <c r="T587" s="5"/>
      <c r="U587" s="5"/>
      <c r="V587" s="5"/>
      <c r="W587" s="5"/>
      <c r="X587" s="5"/>
      <c r="Y587" s="5"/>
      <c r="Z587" s="5"/>
    </row>
    <row r="588" ht="12.0" customHeight="1">
      <c r="A588" s="92" t="s">
        <v>640</v>
      </c>
      <c r="B588" s="5"/>
      <c r="C588" s="204">
        <f>'Resumen Capacidad'!$E$32*'Resumen Capacidad'!$E$68</f>
        <v>1</v>
      </c>
      <c r="D588" s="204">
        <f>'Resumen Capacidad'!$E$32*'Resumen Capacidad'!$E$68</f>
        <v>1</v>
      </c>
      <c r="E588" s="204">
        <f>'Resumen Capacidad'!$E$32*'Resumen Capacidad'!$E$68</f>
        <v>1</v>
      </c>
      <c r="F588" s="204">
        <f>'Resumen Capacidad'!$E$32*'Resumen Capacidad'!$E$68</f>
        <v>1</v>
      </c>
      <c r="G588" s="204">
        <f>'Resumen Capacidad'!$E$32*'Resumen Capacidad'!$E$68</f>
        <v>1</v>
      </c>
      <c r="H588" s="204">
        <f>'Resumen Capacidad'!$E$32*'Resumen Capacidad'!$E$68</f>
        <v>1</v>
      </c>
      <c r="I588" s="204">
        <f>'Resumen Capacidad'!$E$32*'Resumen Capacidad'!$E$68</f>
        <v>1</v>
      </c>
      <c r="J588" s="204">
        <f>'Resumen Capacidad'!$E$32*'Resumen Capacidad'!$E$68</f>
        <v>1</v>
      </c>
      <c r="K588" s="204">
        <f>'Resumen Capacidad'!$E$32*'Resumen Capacidad'!$E$68</f>
        <v>1</v>
      </c>
      <c r="L588" s="204">
        <f>'Resumen Capacidad'!$E$32*'Resumen Capacidad'!$E$68</f>
        <v>1</v>
      </c>
      <c r="M588" s="204">
        <f>'Resumen Capacidad'!$E$32*'Resumen Capacidad'!$E$68</f>
        <v>1</v>
      </c>
      <c r="N588" s="204">
        <f>'Resumen Capacidad'!$E$32*'Resumen Capacidad'!$E$68</f>
        <v>1</v>
      </c>
      <c r="O588" s="5"/>
      <c r="P588" s="5"/>
      <c r="Q588" s="5"/>
      <c r="R588" s="5"/>
      <c r="S588" s="5"/>
      <c r="T588" s="5"/>
      <c r="U588" s="5"/>
      <c r="V588" s="5"/>
      <c r="W588" s="5"/>
      <c r="X588" s="5"/>
      <c r="Y588" s="5"/>
      <c r="Z588" s="5"/>
    </row>
    <row r="589" ht="12.0" customHeight="1">
      <c r="A589" s="92" t="s">
        <v>642</v>
      </c>
      <c r="B589" s="5"/>
      <c r="C589" s="204">
        <f t="shared" ref="C589:N589" si="173">C587*C588</f>
        <v>96</v>
      </c>
      <c r="D589" s="204">
        <f t="shared" si="173"/>
        <v>96</v>
      </c>
      <c r="E589" s="204">
        <f t="shared" si="173"/>
        <v>96</v>
      </c>
      <c r="F589" s="204">
        <f t="shared" si="173"/>
        <v>96</v>
      </c>
      <c r="G589" s="204">
        <f t="shared" si="173"/>
        <v>96</v>
      </c>
      <c r="H589" s="204">
        <f t="shared" si="173"/>
        <v>96</v>
      </c>
      <c r="I589" s="204">
        <f t="shared" si="173"/>
        <v>96</v>
      </c>
      <c r="J589" s="204">
        <f t="shared" si="173"/>
        <v>96</v>
      </c>
      <c r="K589" s="204">
        <f t="shared" si="173"/>
        <v>96</v>
      </c>
      <c r="L589" s="204">
        <f t="shared" si="173"/>
        <v>96</v>
      </c>
      <c r="M589" s="204">
        <f t="shared" si="173"/>
        <v>96</v>
      </c>
      <c r="N589" s="204">
        <f t="shared" si="173"/>
        <v>96</v>
      </c>
      <c r="O589" s="5"/>
      <c r="P589" s="5"/>
      <c r="Q589" s="5"/>
      <c r="R589" s="5"/>
      <c r="S589" s="5"/>
      <c r="T589" s="5"/>
      <c r="U589" s="5"/>
      <c r="V589" s="5"/>
      <c r="W589" s="5"/>
      <c r="X589" s="5"/>
      <c r="Y589" s="5"/>
      <c r="Z589" s="5"/>
    </row>
    <row r="590" ht="12.0" customHeight="1">
      <c r="A590" s="92" t="s">
        <v>643</v>
      </c>
      <c r="B590" s="5"/>
      <c r="C590" s="206">
        <f t="shared" ref="C590:N590" si="174">IF(C589=0,0,C586/C589)</f>
        <v>0.3985236111</v>
      </c>
      <c r="D590" s="206">
        <f t="shared" si="174"/>
        <v>0.3041680556</v>
      </c>
      <c r="E590" s="206">
        <f t="shared" si="174"/>
        <v>0.2850253472</v>
      </c>
      <c r="F590" s="206">
        <f t="shared" si="174"/>
        <v>0.2728163194</v>
      </c>
      <c r="G590" s="206">
        <f t="shared" si="174"/>
        <v>0.2553319444</v>
      </c>
      <c r="H590" s="206">
        <f t="shared" si="174"/>
        <v>0.2500565972</v>
      </c>
      <c r="I590" s="206">
        <f t="shared" si="174"/>
        <v>0.2675409722</v>
      </c>
      <c r="J590" s="206">
        <f t="shared" si="174"/>
        <v>0.2675409722</v>
      </c>
      <c r="K590" s="206">
        <f t="shared" si="174"/>
        <v>0.2675409722</v>
      </c>
      <c r="L590" s="206">
        <f t="shared" si="174"/>
        <v>0.262265625</v>
      </c>
      <c r="M590" s="206">
        <f t="shared" si="174"/>
        <v>0.2569902778</v>
      </c>
      <c r="N590" s="206">
        <f t="shared" si="174"/>
        <v>0.4090743056</v>
      </c>
      <c r="O590" s="5"/>
      <c r="P590" s="5"/>
      <c r="Q590" s="5"/>
      <c r="R590" s="5"/>
      <c r="S590" s="5"/>
      <c r="T590" s="5"/>
      <c r="U590" s="5"/>
      <c r="V590" s="5"/>
      <c r="W590" s="5"/>
      <c r="X590" s="5"/>
      <c r="Y590" s="5"/>
      <c r="Z590" s="5"/>
    </row>
    <row r="591" ht="12.0" customHeight="1">
      <c r="A591" s="201" t="s">
        <v>650</v>
      </c>
      <c r="B591" s="202"/>
      <c r="C591" s="202"/>
      <c r="D591" s="202"/>
      <c r="E591" s="202"/>
      <c r="F591" s="202"/>
      <c r="G591" s="202"/>
      <c r="H591" s="202"/>
      <c r="I591" s="202"/>
      <c r="J591" s="202"/>
      <c r="K591" s="202"/>
      <c r="L591" s="202"/>
      <c r="M591" s="202"/>
      <c r="N591" s="202"/>
      <c r="O591" s="5"/>
      <c r="P591" s="5"/>
      <c r="Q591" s="5"/>
      <c r="R591" s="5"/>
      <c r="S591" s="5"/>
      <c r="T591" s="5"/>
      <c r="U591" s="5"/>
      <c r="V591" s="5"/>
      <c r="W591" s="5"/>
      <c r="X591" s="5"/>
      <c r="Y591" s="5"/>
      <c r="Z591" s="5"/>
    </row>
    <row r="592" ht="12.0" customHeight="1">
      <c r="A592" s="201" t="s">
        <v>630</v>
      </c>
      <c r="B592" s="201" t="s">
        <v>631</v>
      </c>
      <c r="C592" s="201" t="s">
        <v>3</v>
      </c>
      <c r="D592" s="201" t="s">
        <v>4</v>
      </c>
      <c r="E592" s="201" t="s">
        <v>5</v>
      </c>
      <c r="F592" s="201" t="s">
        <v>6</v>
      </c>
      <c r="G592" s="201" t="s">
        <v>7</v>
      </c>
      <c r="H592" s="201" t="s">
        <v>8</v>
      </c>
      <c r="I592" s="201" t="s">
        <v>9</v>
      </c>
      <c r="J592" s="201" t="s">
        <v>10</v>
      </c>
      <c r="K592" s="201" t="s">
        <v>11</v>
      </c>
      <c r="L592" s="201" t="s">
        <v>12</v>
      </c>
      <c r="M592" s="201" t="s">
        <v>13</v>
      </c>
      <c r="N592" s="201" t="s">
        <v>14</v>
      </c>
      <c r="O592" s="5"/>
      <c r="P592" s="5"/>
      <c r="Q592" s="5"/>
      <c r="R592" s="5"/>
      <c r="S592" s="5"/>
      <c r="T592" s="5"/>
      <c r="U592" s="5"/>
      <c r="V592" s="5"/>
      <c r="W592" s="5"/>
      <c r="X592" s="5"/>
      <c r="Y592" s="5"/>
      <c r="Z592" s="5"/>
    </row>
    <row r="593" ht="12.0" customHeight="1">
      <c r="A593" s="92" t="s">
        <v>651</v>
      </c>
      <c r="B593" s="92" t="s">
        <v>633</v>
      </c>
      <c r="C593" s="203">
        <f>SUM('2029'!B7:B9)+SUM('2029'!B18:B20)</f>
        <v>1519.3</v>
      </c>
      <c r="D593" s="203">
        <f>SUM('2029'!C7:C9)+SUM('2029'!C18:C20)</f>
        <v>1215.44</v>
      </c>
      <c r="E593" s="203">
        <f>SUM('2029'!D7:D9)+SUM('2029'!D18:D20)</f>
        <v>1291.405</v>
      </c>
      <c r="F593" s="203">
        <f>SUM('2029'!E7:E9)+SUM('2029'!E18:E20)</f>
        <v>1291.405</v>
      </c>
      <c r="G593" s="203">
        <f>SUM('2029'!F7:F9)+SUM('2029'!F18:F20)</f>
        <v>1215.44</v>
      </c>
      <c r="H593" s="203">
        <f>SUM('2029'!G7:G9)+SUM('2029'!G18:G20)</f>
        <v>1139.475</v>
      </c>
      <c r="I593" s="203">
        <f>SUM('2029'!H7:H9)+SUM('2029'!H18:H20)</f>
        <v>1215.44</v>
      </c>
      <c r="J593" s="203">
        <f>SUM('2029'!I7:I9)+SUM('2029'!I18:I20)</f>
        <v>1215.44</v>
      </c>
      <c r="K593" s="203">
        <f>SUM('2029'!J7:J9)+SUM('2029'!J18:J20)</f>
        <v>1215.44</v>
      </c>
      <c r="L593" s="203">
        <f>SUM('2029'!K7:K9)+SUM('2029'!K18:K20)</f>
        <v>1139.475</v>
      </c>
      <c r="M593" s="203">
        <f>SUM('2029'!L7:L9)+SUM('2029'!L18:L20)</f>
        <v>1063.51</v>
      </c>
      <c r="N593" s="203">
        <f>SUM('2029'!M7:M9)+SUM('2029'!M18:M20)</f>
        <v>1671.23</v>
      </c>
      <c r="O593" s="5"/>
      <c r="P593" s="5"/>
      <c r="Q593" s="5"/>
      <c r="R593" s="5"/>
      <c r="S593" s="5"/>
      <c r="T593" s="5"/>
      <c r="U593" s="5"/>
      <c r="V593" s="5"/>
      <c r="W593" s="5"/>
      <c r="X593" s="5"/>
      <c r="Y593" s="5"/>
      <c r="Z593" s="5"/>
    </row>
    <row r="594" ht="12.0" customHeight="1">
      <c r="A594" s="5"/>
      <c r="B594" s="92" t="s">
        <v>634</v>
      </c>
      <c r="C594" s="204">
        <f>C593/Parametros!$B$37</f>
        <v>75.965</v>
      </c>
      <c r="D594" s="204">
        <f>D593/Parametros!$B$37</f>
        <v>60.772</v>
      </c>
      <c r="E594" s="204">
        <f>E593/Parametros!$B$37</f>
        <v>64.57025</v>
      </c>
      <c r="F594" s="204">
        <f>F593/Parametros!$B$37</f>
        <v>64.57025</v>
      </c>
      <c r="G594" s="204">
        <f>G593/Parametros!$B$37</f>
        <v>60.772</v>
      </c>
      <c r="H594" s="204">
        <f>H593/Parametros!$B$37</f>
        <v>56.97375</v>
      </c>
      <c r="I594" s="204">
        <f>I593/Parametros!$B$37</f>
        <v>60.772</v>
      </c>
      <c r="J594" s="204">
        <f>J593/Parametros!$B$37</f>
        <v>60.772</v>
      </c>
      <c r="K594" s="204">
        <f>K593/Parametros!$B$37</f>
        <v>60.772</v>
      </c>
      <c r="L594" s="204">
        <f>L593/Parametros!$B$37</f>
        <v>56.97375</v>
      </c>
      <c r="M594" s="204">
        <f>M593/Parametros!$B$37</f>
        <v>53.1755</v>
      </c>
      <c r="N594" s="204">
        <f>N593/Parametros!$B$37</f>
        <v>83.5615</v>
      </c>
      <c r="O594" s="5"/>
      <c r="P594" s="5"/>
      <c r="Q594" s="5"/>
      <c r="R594" s="5"/>
      <c r="S594" s="5"/>
      <c r="T594" s="5"/>
      <c r="U594" s="5"/>
      <c r="V594" s="5"/>
      <c r="W594" s="5"/>
      <c r="X594" s="5"/>
      <c r="Y594" s="5"/>
      <c r="Z594" s="5"/>
    </row>
    <row r="595" ht="12.0" customHeight="1">
      <c r="A595" s="5"/>
      <c r="B595" s="92" t="s">
        <v>635</v>
      </c>
      <c r="C595" s="204">
        <f>C594/Parametros!$J$37</f>
        <v>10.12866667</v>
      </c>
      <c r="D595" s="204">
        <f>D594/Parametros!$J$37</f>
        <v>8.102933333</v>
      </c>
      <c r="E595" s="204">
        <f>E594/Parametros!$J$37</f>
        <v>8.609366667</v>
      </c>
      <c r="F595" s="204">
        <f>F594/Parametros!$J$37</f>
        <v>8.609366667</v>
      </c>
      <c r="G595" s="204">
        <f>G594/Parametros!$J$37</f>
        <v>8.102933333</v>
      </c>
      <c r="H595" s="204">
        <f>H594/Parametros!$J$37</f>
        <v>7.5965</v>
      </c>
      <c r="I595" s="204">
        <f>I594/Parametros!$J$37</f>
        <v>8.102933333</v>
      </c>
      <c r="J595" s="204">
        <f>J594/Parametros!$J$37</f>
        <v>8.102933333</v>
      </c>
      <c r="K595" s="204">
        <f>K594/Parametros!$J$37</f>
        <v>8.102933333</v>
      </c>
      <c r="L595" s="204">
        <f>L594/Parametros!$J$37</f>
        <v>7.5965</v>
      </c>
      <c r="M595" s="204">
        <f>M594/Parametros!$J$37</f>
        <v>7.090066667</v>
      </c>
      <c r="N595" s="204">
        <f>N594/Parametros!$J$37</f>
        <v>11.14153333</v>
      </c>
      <c r="O595" s="5"/>
      <c r="P595" s="5"/>
      <c r="Q595" s="5"/>
      <c r="R595" s="5"/>
      <c r="S595" s="5"/>
      <c r="T595" s="5"/>
      <c r="U595" s="5"/>
      <c r="V595" s="5"/>
      <c r="W595" s="5"/>
      <c r="X595" s="5"/>
      <c r="Y595" s="5"/>
      <c r="Z595" s="5"/>
    </row>
    <row r="596" ht="12.0" customHeight="1">
      <c r="A596" s="92" t="s">
        <v>636</v>
      </c>
      <c r="B596" s="5"/>
      <c r="C596" s="204">
        <f t="shared" ref="C596:N596" si="175">C595</f>
        <v>10.12866667</v>
      </c>
      <c r="D596" s="204">
        <f t="shared" si="175"/>
        <v>8.102933333</v>
      </c>
      <c r="E596" s="204">
        <f t="shared" si="175"/>
        <v>8.609366667</v>
      </c>
      <c r="F596" s="204">
        <f t="shared" si="175"/>
        <v>8.609366667</v>
      </c>
      <c r="G596" s="204">
        <f t="shared" si="175"/>
        <v>8.102933333</v>
      </c>
      <c r="H596" s="204">
        <f t="shared" si="175"/>
        <v>7.5965</v>
      </c>
      <c r="I596" s="204">
        <f t="shared" si="175"/>
        <v>8.102933333</v>
      </c>
      <c r="J596" s="204">
        <f t="shared" si="175"/>
        <v>8.102933333</v>
      </c>
      <c r="K596" s="204">
        <f t="shared" si="175"/>
        <v>8.102933333</v>
      </c>
      <c r="L596" s="204">
        <f t="shared" si="175"/>
        <v>7.5965</v>
      </c>
      <c r="M596" s="204">
        <f t="shared" si="175"/>
        <v>7.090066667</v>
      </c>
      <c r="N596" s="204">
        <f t="shared" si="175"/>
        <v>11.14153333</v>
      </c>
      <c r="O596" s="5"/>
      <c r="P596" s="5"/>
      <c r="Q596" s="5"/>
      <c r="R596" s="5"/>
      <c r="S596" s="5"/>
      <c r="T596" s="5"/>
      <c r="U596" s="5"/>
      <c r="V596" s="5"/>
      <c r="W596" s="5"/>
      <c r="X596" s="5"/>
      <c r="Y596" s="5"/>
      <c r="Z596" s="5"/>
    </row>
    <row r="597" ht="12.0" customHeight="1">
      <c r="A597" s="92" t="s">
        <v>637</v>
      </c>
      <c r="B597" s="5"/>
      <c r="C597" s="205">
        <f>'Resumen Capacidad'!$E$115</f>
        <v>80.10122449</v>
      </c>
      <c r="D597" s="205">
        <f>'Resumen Capacidad'!$E$115</f>
        <v>80.10122449</v>
      </c>
      <c r="E597" s="205">
        <f>'Resumen Capacidad'!$E$115</f>
        <v>80.10122449</v>
      </c>
      <c r="F597" s="205">
        <f>'Resumen Capacidad'!$E$115</f>
        <v>80.10122449</v>
      </c>
      <c r="G597" s="205">
        <f>'Resumen Capacidad'!$E$115</f>
        <v>80.10122449</v>
      </c>
      <c r="H597" s="205">
        <f>'Resumen Capacidad'!$E$115</f>
        <v>80.10122449</v>
      </c>
      <c r="I597" s="205">
        <f>'Resumen Capacidad'!$E$115</f>
        <v>80.10122449</v>
      </c>
      <c r="J597" s="205">
        <f>'Resumen Capacidad'!$E$115</f>
        <v>80.10122449</v>
      </c>
      <c r="K597" s="205">
        <f>'Resumen Capacidad'!$E$115</f>
        <v>80.10122449</v>
      </c>
      <c r="L597" s="205">
        <f>'Resumen Capacidad'!$E$115</f>
        <v>80.10122449</v>
      </c>
      <c r="M597" s="205">
        <f>'Resumen Capacidad'!$E$115</f>
        <v>80.10122449</v>
      </c>
      <c r="N597" s="205">
        <f>'Resumen Capacidad'!$E$115</f>
        <v>80.10122449</v>
      </c>
      <c r="O597" s="5"/>
      <c r="P597" s="5"/>
      <c r="Q597" s="5"/>
      <c r="R597" s="5"/>
      <c r="S597" s="5"/>
      <c r="T597" s="5"/>
      <c r="U597" s="5"/>
      <c r="V597" s="5"/>
      <c r="W597" s="5"/>
      <c r="X597" s="5"/>
      <c r="Y597" s="5"/>
      <c r="Z597" s="5"/>
    </row>
    <row r="598" ht="12.0" customHeight="1">
      <c r="A598" s="92" t="s">
        <v>640</v>
      </c>
      <c r="B598" s="5"/>
      <c r="C598" s="204">
        <f>'Resumen Capacidad'!$E$33*'Resumen Capacidad'!$E$69</f>
        <v>1</v>
      </c>
      <c r="D598" s="204">
        <f>'Resumen Capacidad'!$E$33*'Resumen Capacidad'!$E$69</f>
        <v>1</v>
      </c>
      <c r="E598" s="204">
        <f>'Resumen Capacidad'!$E$33*'Resumen Capacidad'!$E$69</f>
        <v>1</v>
      </c>
      <c r="F598" s="204">
        <f>'Resumen Capacidad'!$E$33*'Resumen Capacidad'!$E$69</f>
        <v>1</v>
      </c>
      <c r="G598" s="204">
        <f>'Resumen Capacidad'!$E$33*'Resumen Capacidad'!$E$69</f>
        <v>1</v>
      </c>
      <c r="H598" s="204">
        <f>'Resumen Capacidad'!$E$33*'Resumen Capacidad'!$E$69</f>
        <v>1</v>
      </c>
      <c r="I598" s="204">
        <f>'Resumen Capacidad'!$E$33*'Resumen Capacidad'!$E$69</f>
        <v>1</v>
      </c>
      <c r="J598" s="204">
        <f>'Resumen Capacidad'!$E$33*'Resumen Capacidad'!$E$69</f>
        <v>1</v>
      </c>
      <c r="K598" s="204">
        <f>'Resumen Capacidad'!$E$33*'Resumen Capacidad'!$E$69</f>
        <v>1</v>
      </c>
      <c r="L598" s="204">
        <f>'Resumen Capacidad'!$E$33*'Resumen Capacidad'!$E$69</f>
        <v>1</v>
      </c>
      <c r="M598" s="204">
        <f>'Resumen Capacidad'!$E$33*'Resumen Capacidad'!$E$69</f>
        <v>1</v>
      </c>
      <c r="N598" s="204">
        <f>'Resumen Capacidad'!$E$33*'Resumen Capacidad'!$E$69</f>
        <v>1</v>
      </c>
      <c r="O598" s="5"/>
      <c r="P598" s="5"/>
      <c r="Q598" s="5"/>
      <c r="R598" s="5"/>
      <c r="S598" s="5"/>
      <c r="T598" s="5"/>
      <c r="U598" s="5"/>
      <c r="V598" s="5"/>
      <c r="W598" s="5"/>
      <c r="X598" s="5"/>
      <c r="Y598" s="5"/>
      <c r="Z598" s="5"/>
    </row>
    <row r="599" ht="12.0" customHeight="1">
      <c r="A599" s="92" t="s">
        <v>642</v>
      </c>
      <c r="B599" s="5"/>
      <c r="C599" s="204">
        <f t="shared" ref="C599:N599" si="176">C597*C598</f>
        <v>80.10122449</v>
      </c>
      <c r="D599" s="204">
        <f t="shared" si="176"/>
        <v>80.10122449</v>
      </c>
      <c r="E599" s="204">
        <f t="shared" si="176"/>
        <v>80.10122449</v>
      </c>
      <c r="F599" s="204">
        <f t="shared" si="176"/>
        <v>80.10122449</v>
      </c>
      <c r="G599" s="204">
        <f t="shared" si="176"/>
        <v>80.10122449</v>
      </c>
      <c r="H599" s="204">
        <f t="shared" si="176"/>
        <v>80.10122449</v>
      </c>
      <c r="I599" s="204">
        <f t="shared" si="176"/>
        <v>80.10122449</v>
      </c>
      <c r="J599" s="204">
        <f t="shared" si="176"/>
        <v>80.10122449</v>
      </c>
      <c r="K599" s="204">
        <f t="shared" si="176"/>
        <v>80.10122449</v>
      </c>
      <c r="L599" s="204">
        <f t="shared" si="176"/>
        <v>80.10122449</v>
      </c>
      <c r="M599" s="204">
        <f t="shared" si="176"/>
        <v>80.10122449</v>
      </c>
      <c r="N599" s="204">
        <f t="shared" si="176"/>
        <v>80.10122449</v>
      </c>
      <c r="O599" s="5"/>
      <c r="P599" s="5"/>
      <c r="Q599" s="5"/>
      <c r="R599" s="5"/>
      <c r="S599" s="5"/>
      <c r="T599" s="5"/>
      <c r="U599" s="5"/>
      <c r="V599" s="5"/>
      <c r="W599" s="5"/>
      <c r="X599" s="5"/>
      <c r="Y599" s="5"/>
      <c r="Z599" s="5"/>
    </row>
    <row r="600" ht="12.0" customHeight="1">
      <c r="A600" s="92" t="s">
        <v>643</v>
      </c>
      <c r="B600" s="5"/>
      <c r="C600" s="206">
        <f t="shared" ref="C600:N600" si="177">IF(C599=0,0,C596/C599)</f>
        <v>0.1264483375</v>
      </c>
      <c r="D600" s="206">
        <f t="shared" si="177"/>
        <v>0.10115867</v>
      </c>
      <c r="E600" s="206">
        <f t="shared" si="177"/>
        <v>0.1074810869</v>
      </c>
      <c r="F600" s="206">
        <f t="shared" si="177"/>
        <v>0.1074810869</v>
      </c>
      <c r="G600" s="206">
        <f t="shared" si="177"/>
        <v>0.10115867</v>
      </c>
      <c r="H600" s="206">
        <f t="shared" si="177"/>
        <v>0.09483625311</v>
      </c>
      <c r="I600" s="206">
        <f t="shared" si="177"/>
        <v>0.10115867</v>
      </c>
      <c r="J600" s="206">
        <f t="shared" si="177"/>
        <v>0.10115867</v>
      </c>
      <c r="K600" s="206">
        <f t="shared" si="177"/>
        <v>0.10115867</v>
      </c>
      <c r="L600" s="206">
        <f t="shared" si="177"/>
        <v>0.09483625311</v>
      </c>
      <c r="M600" s="206">
        <f t="shared" si="177"/>
        <v>0.08851383623</v>
      </c>
      <c r="N600" s="206">
        <f t="shared" si="177"/>
        <v>0.1390931712</v>
      </c>
      <c r="O600" s="5"/>
      <c r="P600" s="5"/>
      <c r="Q600" s="5"/>
      <c r="R600" s="5"/>
      <c r="S600" s="5"/>
      <c r="T600" s="5"/>
      <c r="U600" s="5"/>
      <c r="V600" s="5"/>
      <c r="W600" s="5"/>
      <c r="X600" s="5"/>
      <c r="Y600" s="5"/>
      <c r="Z600" s="5"/>
    </row>
    <row r="601" ht="12.0" customHeight="1">
      <c r="A601" s="201" t="s">
        <v>656</v>
      </c>
      <c r="B601" s="202"/>
      <c r="C601" s="202"/>
      <c r="D601" s="202"/>
      <c r="E601" s="202"/>
      <c r="F601" s="202"/>
      <c r="G601" s="202"/>
      <c r="H601" s="202"/>
      <c r="I601" s="202"/>
      <c r="J601" s="202"/>
      <c r="K601" s="202"/>
      <c r="L601" s="202"/>
      <c r="M601" s="202"/>
      <c r="N601" s="202"/>
      <c r="O601" s="5"/>
      <c r="P601" s="5"/>
      <c r="Q601" s="5"/>
      <c r="R601" s="5"/>
      <c r="S601" s="5"/>
      <c r="T601" s="5"/>
      <c r="U601" s="5"/>
      <c r="V601" s="5"/>
      <c r="W601" s="5"/>
      <c r="X601" s="5"/>
      <c r="Y601" s="5"/>
      <c r="Z601" s="5"/>
    </row>
    <row r="602" ht="12.0" customHeight="1">
      <c r="A602" s="201" t="s">
        <v>630</v>
      </c>
      <c r="B602" s="201" t="s">
        <v>631</v>
      </c>
      <c r="C602" s="201" t="s">
        <v>3</v>
      </c>
      <c r="D602" s="201" t="s">
        <v>4</v>
      </c>
      <c r="E602" s="201" t="s">
        <v>5</v>
      </c>
      <c r="F602" s="201" t="s">
        <v>6</v>
      </c>
      <c r="G602" s="201" t="s">
        <v>7</v>
      </c>
      <c r="H602" s="201" t="s">
        <v>8</v>
      </c>
      <c r="I602" s="201" t="s">
        <v>9</v>
      </c>
      <c r="J602" s="201" t="s">
        <v>10</v>
      </c>
      <c r="K602" s="201" t="s">
        <v>11</v>
      </c>
      <c r="L602" s="201" t="s">
        <v>12</v>
      </c>
      <c r="M602" s="201" t="s">
        <v>13</v>
      </c>
      <c r="N602" s="201" t="s">
        <v>14</v>
      </c>
      <c r="O602" s="5"/>
      <c r="P602" s="5"/>
      <c r="Q602" s="5"/>
      <c r="R602" s="5"/>
      <c r="S602" s="5"/>
      <c r="T602" s="5"/>
      <c r="U602" s="5"/>
      <c r="V602" s="5"/>
      <c r="W602" s="5"/>
      <c r="X602" s="5"/>
      <c r="Y602" s="5"/>
      <c r="Z602" s="5"/>
    </row>
    <row r="603" ht="12.0" customHeight="1">
      <c r="A603" s="92" t="s">
        <v>651</v>
      </c>
      <c r="B603" s="92" t="s">
        <v>633</v>
      </c>
      <c r="C603" s="203">
        <f>SUM('2029'!B7:B9)+SUM('2029'!B18:B20)</f>
        <v>1519.3</v>
      </c>
      <c r="D603" s="203">
        <f>SUM('2029'!C7:C9)+SUM('2029'!C18:C20)</f>
        <v>1215.44</v>
      </c>
      <c r="E603" s="203">
        <f>SUM('2029'!D7:D9)+SUM('2029'!D18:D20)</f>
        <v>1291.405</v>
      </c>
      <c r="F603" s="203">
        <f>SUM('2029'!E7:E9)+SUM('2029'!E18:E20)</f>
        <v>1291.405</v>
      </c>
      <c r="G603" s="203">
        <f>SUM('2029'!F7:F9)+SUM('2029'!F18:F20)</f>
        <v>1215.44</v>
      </c>
      <c r="H603" s="203">
        <f>SUM('2029'!G7:G9)+SUM('2029'!G18:G20)</f>
        <v>1139.475</v>
      </c>
      <c r="I603" s="203">
        <f>SUM('2029'!H7:H9)+SUM('2029'!H18:H20)</f>
        <v>1215.44</v>
      </c>
      <c r="J603" s="203">
        <f>SUM('2029'!I7:I9)+SUM('2029'!I18:I20)</f>
        <v>1215.44</v>
      </c>
      <c r="K603" s="203">
        <f>SUM('2029'!J7:J9)+SUM('2029'!J18:J20)</f>
        <v>1215.44</v>
      </c>
      <c r="L603" s="203">
        <f>SUM('2029'!K7:K9)+SUM('2029'!K18:K20)</f>
        <v>1139.475</v>
      </c>
      <c r="M603" s="203">
        <f>SUM('2029'!L7:L9)+SUM('2029'!L18:L20)</f>
        <v>1063.51</v>
      </c>
      <c r="N603" s="203">
        <f>SUM('2029'!M7:M9)+SUM('2029'!M18:M20)</f>
        <v>1671.23</v>
      </c>
      <c r="O603" s="5"/>
      <c r="P603" s="5"/>
      <c r="Q603" s="5"/>
      <c r="R603" s="5"/>
      <c r="S603" s="5"/>
      <c r="T603" s="5"/>
      <c r="U603" s="5"/>
      <c r="V603" s="5"/>
      <c r="W603" s="5"/>
      <c r="X603" s="5"/>
      <c r="Y603" s="5"/>
      <c r="Z603" s="5"/>
    </row>
    <row r="604" ht="12.0" customHeight="1">
      <c r="A604" s="5"/>
      <c r="B604" s="92" t="s">
        <v>634</v>
      </c>
      <c r="C604" s="204">
        <f>C603/Parametros!$B$37</f>
        <v>75.965</v>
      </c>
      <c r="D604" s="204">
        <f>D603/Parametros!$B$37</f>
        <v>60.772</v>
      </c>
      <c r="E604" s="204">
        <f>E603/Parametros!$B$37</f>
        <v>64.57025</v>
      </c>
      <c r="F604" s="204">
        <f>F603/Parametros!$B$37</f>
        <v>64.57025</v>
      </c>
      <c r="G604" s="204">
        <f>G603/Parametros!$B$37</f>
        <v>60.772</v>
      </c>
      <c r="H604" s="204">
        <f>H603/Parametros!$B$37</f>
        <v>56.97375</v>
      </c>
      <c r="I604" s="204">
        <f>I603/Parametros!$B$37</f>
        <v>60.772</v>
      </c>
      <c r="J604" s="204">
        <f>J603/Parametros!$B$37</f>
        <v>60.772</v>
      </c>
      <c r="K604" s="204">
        <f>K603/Parametros!$B$37</f>
        <v>60.772</v>
      </c>
      <c r="L604" s="204">
        <f>L603/Parametros!$B$37</f>
        <v>56.97375</v>
      </c>
      <c r="M604" s="204">
        <f>M603/Parametros!$B$37</f>
        <v>53.1755</v>
      </c>
      <c r="N604" s="204">
        <f>N603/Parametros!$B$37</f>
        <v>83.5615</v>
      </c>
      <c r="O604" s="5"/>
      <c r="P604" s="5"/>
      <c r="Q604" s="5"/>
      <c r="R604" s="5"/>
      <c r="S604" s="5"/>
      <c r="T604" s="5"/>
      <c r="U604" s="5"/>
      <c r="V604" s="5"/>
      <c r="W604" s="5"/>
      <c r="X604" s="5"/>
      <c r="Y604" s="5"/>
      <c r="Z604" s="5"/>
    </row>
    <row r="605" ht="12.0" customHeight="1">
      <c r="A605" s="5"/>
      <c r="B605" s="92" t="s">
        <v>635</v>
      </c>
      <c r="C605" s="204">
        <f>C604/Parametros!$J$37</f>
        <v>10.12866667</v>
      </c>
      <c r="D605" s="204">
        <f>D604/Parametros!$J$37</f>
        <v>8.102933333</v>
      </c>
      <c r="E605" s="204">
        <f>E604/Parametros!$J$37</f>
        <v>8.609366667</v>
      </c>
      <c r="F605" s="204">
        <f>F604/Parametros!$J$37</f>
        <v>8.609366667</v>
      </c>
      <c r="G605" s="204">
        <f>G604/Parametros!$J$37</f>
        <v>8.102933333</v>
      </c>
      <c r="H605" s="204">
        <f>H604/Parametros!$J$37</f>
        <v>7.5965</v>
      </c>
      <c r="I605" s="204">
        <f>I604/Parametros!$J$37</f>
        <v>8.102933333</v>
      </c>
      <c r="J605" s="204">
        <f>J604/Parametros!$J$37</f>
        <v>8.102933333</v>
      </c>
      <c r="K605" s="204">
        <f>K604/Parametros!$J$37</f>
        <v>8.102933333</v>
      </c>
      <c r="L605" s="204">
        <f>L604/Parametros!$J$37</f>
        <v>7.5965</v>
      </c>
      <c r="M605" s="204">
        <f>M604/Parametros!$J$37</f>
        <v>7.090066667</v>
      </c>
      <c r="N605" s="204">
        <f>N604/Parametros!$J$37</f>
        <v>11.14153333</v>
      </c>
      <c r="O605" s="5"/>
      <c r="P605" s="5"/>
      <c r="Q605" s="5"/>
      <c r="R605" s="5"/>
      <c r="S605" s="5"/>
      <c r="T605" s="5"/>
      <c r="U605" s="5"/>
      <c r="V605" s="5"/>
      <c r="W605" s="5"/>
      <c r="X605" s="5"/>
      <c r="Y605" s="5"/>
      <c r="Z605" s="5"/>
    </row>
    <row r="606" ht="12.0" customHeight="1">
      <c r="A606" s="92" t="s">
        <v>636</v>
      </c>
      <c r="B606" s="5"/>
      <c r="C606" s="204">
        <f t="shared" ref="C606:N606" si="178">C605</f>
        <v>10.12866667</v>
      </c>
      <c r="D606" s="204">
        <f t="shared" si="178"/>
        <v>8.102933333</v>
      </c>
      <c r="E606" s="204">
        <f t="shared" si="178"/>
        <v>8.609366667</v>
      </c>
      <c r="F606" s="204">
        <f t="shared" si="178"/>
        <v>8.609366667</v>
      </c>
      <c r="G606" s="204">
        <f t="shared" si="178"/>
        <v>8.102933333</v>
      </c>
      <c r="H606" s="204">
        <f t="shared" si="178"/>
        <v>7.5965</v>
      </c>
      <c r="I606" s="204">
        <f t="shared" si="178"/>
        <v>8.102933333</v>
      </c>
      <c r="J606" s="204">
        <f t="shared" si="178"/>
        <v>8.102933333</v>
      </c>
      <c r="K606" s="204">
        <f t="shared" si="178"/>
        <v>8.102933333</v>
      </c>
      <c r="L606" s="204">
        <f t="shared" si="178"/>
        <v>7.5965</v>
      </c>
      <c r="M606" s="204">
        <f t="shared" si="178"/>
        <v>7.090066667</v>
      </c>
      <c r="N606" s="204">
        <f t="shared" si="178"/>
        <v>11.14153333</v>
      </c>
      <c r="O606" s="5"/>
      <c r="P606" s="5"/>
      <c r="Q606" s="5"/>
      <c r="R606" s="5"/>
      <c r="S606" s="5"/>
      <c r="T606" s="5"/>
      <c r="U606" s="5"/>
      <c r="V606" s="5"/>
      <c r="W606" s="5"/>
      <c r="X606" s="5"/>
      <c r="Y606" s="5"/>
      <c r="Z606" s="5"/>
    </row>
    <row r="607" ht="12.0" customHeight="1">
      <c r="A607" s="92" t="s">
        <v>637</v>
      </c>
      <c r="B607" s="5"/>
      <c r="C607" s="205">
        <f>'Resumen Capacidad'!$E$116</f>
        <v>56.576</v>
      </c>
      <c r="D607" s="205">
        <f>'Resumen Capacidad'!$E$116</f>
        <v>56.576</v>
      </c>
      <c r="E607" s="205">
        <f>'Resumen Capacidad'!$E$116</f>
        <v>56.576</v>
      </c>
      <c r="F607" s="205">
        <f>'Resumen Capacidad'!$E$116</f>
        <v>56.576</v>
      </c>
      <c r="G607" s="205">
        <f>'Resumen Capacidad'!$E$116</f>
        <v>56.576</v>
      </c>
      <c r="H607" s="205">
        <f>'Resumen Capacidad'!$E$116</f>
        <v>56.576</v>
      </c>
      <c r="I607" s="205">
        <f>'Resumen Capacidad'!$E$116</f>
        <v>56.576</v>
      </c>
      <c r="J607" s="205">
        <f>'Resumen Capacidad'!$E$116</f>
        <v>56.576</v>
      </c>
      <c r="K607" s="205">
        <f>'Resumen Capacidad'!$E$116</f>
        <v>56.576</v>
      </c>
      <c r="L607" s="205">
        <f>'Resumen Capacidad'!$E$116</f>
        <v>56.576</v>
      </c>
      <c r="M607" s="205">
        <f>'Resumen Capacidad'!$E$116</f>
        <v>56.576</v>
      </c>
      <c r="N607" s="205">
        <f>'Resumen Capacidad'!$E$116</f>
        <v>56.576</v>
      </c>
      <c r="O607" s="5"/>
      <c r="P607" s="5"/>
      <c r="Q607" s="5"/>
      <c r="R607" s="5"/>
      <c r="S607" s="5"/>
      <c r="T607" s="5"/>
      <c r="U607" s="5"/>
      <c r="V607" s="5"/>
      <c r="W607" s="5"/>
      <c r="X607" s="5"/>
      <c r="Y607" s="5"/>
      <c r="Z607" s="5"/>
    </row>
    <row r="608" ht="12.0" customHeight="1">
      <c r="A608" s="92" t="s">
        <v>640</v>
      </c>
      <c r="B608" s="5"/>
      <c r="C608" s="204">
        <f>'Resumen Capacidad'!$E$34*'Resumen Capacidad'!$E$70</f>
        <v>1</v>
      </c>
      <c r="D608" s="204">
        <f>'Resumen Capacidad'!$E$34*'Resumen Capacidad'!$E$70</f>
        <v>1</v>
      </c>
      <c r="E608" s="204">
        <f>'Resumen Capacidad'!$E$34*'Resumen Capacidad'!$E$70</f>
        <v>1</v>
      </c>
      <c r="F608" s="204">
        <f>'Resumen Capacidad'!$E$34*'Resumen Capacidad'!$E$70</f>
        <v>1</v>
      </c>
      <c r="G608" s="204">
        <f>'Resumen Capacidad'!$E$34*'Resumen Capacidad'!$E$70</f>
        <v>1</v>
      </c>
      <c r="H608" s="204">
        <f>'Resumen Capacidad'!$E$34*'Resumen Capacidad'!$E$70</f>
        <v>1</v>
      </c>
      <c r="I608" s="204">
        <f>'Resumen Capacidad'!$E$34*'Resumen Capacidad'!$E$70</f>
        <v>1</v>
      </c>
      <c r="J608" s="204">
        <f>'Resumen Capacidad'!$E$34*'Resumen Capacidad'!$E$70</f>
        <v>1</v>
      </c>
      <c r="K608" s="204">
        <f>'Resumen Capacidad'!$E$34*'Resumen Capacidad'!$E$70</f>
        <v>1</v>
      </c>
      <c r="L608" s="204">
        <f>'Resumen Capacidad'!$E$34*'Resumen Capacidad'!$E$70</f>
        <v>1</v>
      </c>
      <c r="M608" s="204">
        <f>'Resumen Capacidad'!$E$34*'Resumen Capacidad'!$E$70</f>
        <v>1</v>
      </c>
      <c r="N608" s="204">
        <f>'Resumen Capacidad'!$E$34*'Resumen Capacidad'!$E$70</f>
        <v>1</v>
      </c>
      <c r="O608" s="5"/>
      <c r="P608" s="5"/>
      <c r="Q608" s="5"/>
      <c r="R608" s="5"/>
      <c r="S608" s="5"/>
      <c r="T608" s="5"/>
      <c r="U608" s="5"/>
      <c r="V608" s="5"/>
      <c r="W608" s="5"/>
      <c r="X608" s="5"/>
      <c r="Y608" s="5"/>
      <c r="Z608" s="5"/>
    </row>
    <row r="609" ht="12.0" customHeight="1">
      <c r="A609" s="92" t="s">
        <v>642</v>
      </c>
      <c r="B609" s="5"/>
      <c r="C609" s="204">
        <f t="shared" ref="C609:N609" si="179">C607*C608</f>
        <v>56.576</v>
      </c>
      <c r="D609" s="204">
        <f t="shared" si="179"/>
        <v>56.576</v>
      </c>
      <c r="E609" s="204">
        <f t="shared" si="179"/>
        <v>56.576</v>
      </c>
      <c r="F609" s="204">
        <f t="shared" si="179"/>
        <v>56.576</v>
      </c>
      <c r="G609" s="204">
        <f t="shared" si="179"/>
        <v>56.576</v>
      </c>
      <c r="H609" s="204">
        <f t="shared" si="179"/>
        <v>56.576</v>
      </c>
      <c r="I609" s="204">
        <f t="shared" si="179"/>
        <v>56.576</v>
      </c>
      <c r="J609" s="204">
        <f t="shared" si="179"/>
        <v>56.576</v>
      </c>
      <c r="K609" s="204">
        <f t="shared" si="179"/>
        <v>56.576</v>
      </c>
      <c r="L609" s="204">
        <f t="shared" si="179"/>
        <v>56.576</v>
      </c>
      <c r="M609" s="204">
        <f t="shared" si="179"/>
        <v>56.576</v>
      </c>
      <c r="N609" s="204">
        <f t="shared" si="179"/>
        <v>56.576</v>
      </c>
      <c r="O609" s="5"/>
      <c r="P609" s="5"/>
      <c r="Q609" s="5"/>
      <c r="R609" s="5"/>
      <c r="S609" s="5"/>
      <c r="T609" s="5"/>
      <c r="U609" s="5"/>
      <c r="V609" s="5"/>
      <c r="W609" s="5"/>
      <c r="X609" s="5"/>
      <c r="Y609" s="5"/>
      <c r="Z609" s="5"/>
    </row>
    <row r="610" ht="12.0" customHeight="1">
      <c r="A610" s="92" t="s">
        <v>643</v>
      </c>
      <c r="B610" s="5"/>
      <c r="C610" s="206">
        <f t="shared" ref="C610:N610" si="180">IF(C609=0,0,C606/C609)</f>
        <v>0.1790276207</v>
      </c>
      <c r="D610" s="206">
        <f t="shared" si="180"/>
        <v>0.1432220965</v>
      </c>
      <c r="E610" s="206">
        <f t="shared" si="180"/>
        <v>0.1521734776</v>
      </c>
      <c r="F610" s="206">
        <f t="shared" si="180"/>
        <v>0.1521734776</v>
      </c>
      <c r="G610" s="206">
        <f t="shared" si="180"/>
        <v>0.1432220965</v>
      </c>
      <c r="H610" s="206">
        <f t="shared" si="180"/>
        <v>0.1342707155</v>
      </c>
      <c r="I610" s="206">
        <f t="shared" si="180"/>
        <v>0.1432220965</v>
      </c>
      <c r="J610" s="206">
        <f t="shared" si="180"/>
        <v>0.1432220965</v>
      </c>
      <c r="K610" s="206">
        <f t="shared" si="180"/>
        <v>0.1432220965</v>
      </c>
      <c r="L610" s="206">
        <f t="shared" si="180"/>
        <v>0.1342707155</v>
      </c>
      <c r="M610" s="206">
        <f t="shared" si="180"/>
        <v>0.1253193345</v>
      </c>
      <c r="N610" s="206">
        <f t="shared" si="180"/>
        <v>0.1969303827</v>
      </c>
      <c r="O610" s="5"/>
      <c r="P610" s="5"/>
      <c r="Q610" s="5"/>
      <c r="R610" s="5"/>
      <c r="S610" s="5"/>
      <c r="T610" s="5"/>
      <c r="U610" s="5"/>
      <c r="V610" s="5"/>
      <c r="W610" s="5"/>
      <c r="X610" s="5"/>
      <c r="Y610" s="5"/>
      <c r="Z610" s="5"/>
    </row>
    <row r="611" ht="12.0" customHeight="1">
      <c r="A611" s="201" t="s">
        <v>663</v>
      </c>
      <c r="B611" s="202"/>
      <c r="C611" s="202"/>
      <c r="D611" s="202"/>
      <c r="E611" s="202"/>
      <c r="F611" s="202"/>
      <c r="G611" s="202"/>
      <c r="H611" s="202"/>
      <c r="I611" s="202"/>
      <c r="J611" s="202"/>
      <c r="K611" s="202"/>
      <c r="L611" s="202"/>
      <c r="M611" s="202"/>
      <c r="N611" s="202"/>
      <c r="O611" s="5"/>
      <c r="P611" s="5"/>
      <c r="Q611" s="5"/>
      <c r="R611" s="5"/>
      <c r="S611" s="5"/>
      <c r="T611" s="5"/>
      <c r="U611" s="5"/>
      <c r="V611" s="5"/>
      <c r="W611" s="5"/>
      <c r="X611" s="5"/>
      <c r="Y611" s="5"/>
      <c r="Z611" s="5"/>
    </row>
    <row r="612" ht="12.0" customHeight="1">
      <c r="A612" s="201" t="s">
        <v>630</v>
      </c>
      <c r="B612" s="201" t="s">
        <v>631</v>
      </c>
      <c r="C612" s="201" t="s">
        <v>3</v>
      </c>
      <c r="D612" s="201" t="s">
        <v>4</v>
      </c>
      <c r="E612" s="201" t="s">
        <v>5</v>
      </c>
      <c r="F612" s="201" t="s">
        <v>6</v>
      </c>
      <c r="G612" s="201" t="s">
        <v>7</v>
      </c>
      <c r="H612" s="201" t="s">
        <v>8</v>
      </c>
      <c r="I612" s="201" t="s">
        <v>9</v>
      </c>
      <c r="J612" s="201" t="s">
        <v>10</v>
      </c>
      <c r="K612" s="201" t="s">
        <v>11</v>
      </c>
      <c r="L612" s="201" t="s">
        <v>12</v>
      </c>
      <c r="M612" s="201" t="s">
        <v>13</v>
      </c>
      <c r="N612" s="201" t="s">
        <v>14</v>
      </c>
      <c r="O612" s="5"/>
      <c r="P612" s="5"/>
      <c r="Q612" s="5"/>
      <c r="R612" s="5"/>
      <c r="S612" s="5"/>
      <c r="T612" s="5"/>
      <c r="U612" s="5"/>
      <c r="V612" s="5"/>
      <c r="W612" s="5"/>
      <c r="X612" s="5"/>
      <c r="Y612" s="5"/>
      <c r="Z612" s="5"/>
    </row>
    <row r="613" ht="12.0" customHeight="1">
      <c r="A613" s="92" t="s">
        <v>632</v>
      </c>
      <c r="B613" s="92" t="s">
        <v>633</v>
      </c>
      <c r="C613" s="203">
        <f>SUM('2029'!B6:B9)+SUM('2029'!B17:B20)</f>
        <v>5738.74</v>
      </c>
      <c r="D613" s="203">
        <f>SUM('2029'!C6:C9)+SUM('2029'!C17:C20)</f>
        <v>4380.02</v>
      </c>
      <c r="E613" s="203">
        <f>SUM('2029'!D6:D9)+SUM('2029'!D17:D20)</f>
        <v>4104.365</v>
      </c>
      <c r="F613" s="203">
        <f>SUM('2029'!E6:E9)+SUM('2029'!E17:E20)</f>
        <v>3928.555</v>
      </c>
      <c r="G613" s="203">
        <f>SUM('2029'!F6:F9)+SUM('2029'!F17:F20)</f>
        <v>3676.78</v>
      </c>
      <c r="H613" s="203">
        <f>SUM('2029'!G6:G9)+SUM('2029'!G17:G20)</f>
        <v>3600.815</v>
      </c>
      <c r="I613" s="203">
        <f>SUM('2029'!H6:H9)+SUM('2029'!H17:H20)</f>
        <v>3852.59</v>
      </c>
      <c r="J613" s="203">
        <f>SUM('2029'!I6:I9)+SUM('2029'!I17:I20)</f>
        <v>3852.59</v>
      </c>
      <c r="K613" s="203">
        <f>SUM('2029'!J6:J9)+SUM('2029'!J17:J20)</f>
        <v>3852.59</v>
      </c>
      <c r="L613" s="203">
        <f>SUM('2029'!K6:K9)+SUM('2029'!K17:K20)</f>
        <v>3776.625</v>
      </c>
      <c r="M613" s="203">
        <f>SUM('2029'!L6:L9)+SUM('2029'!L17:L20)</f>
        <v>3700.66</v>
      </c>
      <c r="N613" s="203">
        <f>SUM('2029'!M6:M9)+SUM('2029'!M17:M20)</f>
        <v>5890.67</v>
      </c>
      <c r="O613" s="5"/>
      <c r="P613" s="5"/>
      <c r="Q613" s="5"/>
      <c r="R613" s="5"/>
      <c r="S613" s="5"/>
      <c r="T613" s="5"/>
      <c r="U613" s="5"/>
      <c r="V613" s="5"/>
      <c r="W613" s="5"/>
      <c r="X613" s="5"/>
      <c r="Y613" s="5"/>
      <c r="Z613" s="5"/>
    </row>
    <row r="614" ht="12.0" customHeight="1">
      <c r="A614" s="5"/>
      <c r="B614" s="92" t="s">
        <v>634</v>
      </c>
      <c r="C614" s="204">
        <f>C613/Parametros!$B$37</f>
        <v>286.937</v>
      </c>
      <c r="D614" s="204">
        <f>D613/Parametros!$B$37</f>
        <v>219.001</v>
      </c>
      <c r="E614" s="204">
        <f>E613/Parametros!$B$37</f>
        <v>205.21825</v>
      </c>
      <c r="F614" s="204">
        <f>F613/Parametros!$B$37</f>
        <v>196.42775</v>
      </c>
      <c r="G614" s="204">
        <f>G613/Parametros!$B$37</f>
        <v>183.839</v>
      </c>
      <c r="H614" s="204">
        <f>H613/Parametros!$B$37</f>
        <v>180.04075</v>
      </c>
      <c r="I614" s="204">
        <f>I613/Parametros!$B$37</f>
        <v>192.6295</v>
      </c>
      <c r="J614" s="204">
        <f>J613/Parametros!$B$37</f>
        <v>192.6295</v>
      </c>
      <c r="K614" s="204">
        <f>K613/Parametros!$B$37</f>
        <v>192.6295</v>
      </c>
      <c r="L614" s="204">
        <f>L613/Parametros!$B$37</f>
        <v>188.83125</v>
      </c>
      <c r="M614" s="204">
        <f>M613/Parametros!$B$37</f>
        <v>185.033</v>
      </c>
      <c r="N614" s="204">
        <f>N613/Parametros!$B$37</f>
        <v>294.5335</v>
      </c>
      <c r="O614" s="5"/>
      <c r="P614" s="5"/>
      <c r="Q614" s="5"/>
      <c r="R614" s="5"/>
      <c r="S614" s="5"/>
      <c r="T614" s="5"/>
      <c r="U614" s="5"/>
      <c r="V614" s="5"/>
      <c r="W614" s="5"/>
      <c r="X614" s="5"/>
      <c r="Y614" s="5"/>
      <c r="Z614" s="5"/>
    </row>
    <row r="615" ht="12.0" customHeight="1">
      <c r="A615" s="5"/>
      <c r="B615" s="92" t="s">
        <v>635</v>
      </c>
      <c r="C615" s="204">
        <f>C614/Parametros!$J$37</f>
        <v>38.25826667</v>
      </c>
      <c r="D615" s="204">
        <f>D614/Parametros!$J$37</f>
        <v>29.20013333</v>
      </c>
      <c r="E615" s="204">
        <f>E614/Parametros!$J$37</f>
        <v>27.36243333</v>
      </c>
      <c r="F615" s="204">
        <f>F614/Parametros!$J$37</f>
        <v>26.19036667</v>
      </c>
      <c r="G615" s="204">
        <f>G614/Parametros!$J$37</f>
        <v>24.51186667</v>
      </c>
      <c r="H615" s="204">
        <f>H614/Parametros!$J$37</f>
        <v>24.00543333</v>
      </c>
      <c r="I615" s="204">
        <f>I614/Parametros!$J$37</f>
        <v>25.68393333</v>
      </c>
      <c r="J615" s="204">
        <f>J614/Parametros!$J$37</f>
        <v>25.68393333</v>
      </c>
      <c r="K615" s="204">
        <f>K614/Parametros!$J$37</f>
        <v>25.68393333</v>
      </c>
      <c r="L615" s="204">
        <f>L614/Parametros!$J$37</f>
        <v>25.1775</v>
      </c>
      <c r="M615" s="204">
        <f>M614/Parametros!$J$37</f>
        <v>24.67106667</v>
      </c>
      <c r="N615" s="204">
        <f>N614/Parametros!$J$37</f>
        <v>39.27113333</v>
      </c>
      <c r="O615" s="5"/>
      <c r="P615" s="5"/>
      <c r="Q615" s="5"/>
      <c r="R615" s="5"/>
      <c r="S615" s="5"/>
      <c r="T615" s="5"/>
      <c r="U615" s="5"/>
      <c r="V615" s="5"/>
      <c r="W615" s="5"/>
      <c r="X615" s="5"/>
      <c r="Y615" s="5"/>
      <c r="Z615" s="5"/>
    </row>
    <row r="616" ht="12.0" customHeight="1">
      <c r="A616" s="92" t="s">
        <v>636</v>
      </c>
      <c r="B616" s="5"/>
      <c r="C616" s="204">
        <f t="shared" ref="C616:N616" si="181">C615</f>
        <v>38.25826667</v>
      </c>
      <c r="D616" s="204">
        <f t="shared" si="181"/>
        <v>29.20013333</v>
      </c>
      <c r="E616" s="204">
        <f t="shared" si="181"/>
        <v>27.36243333</v>
      </c>
      <c r="F616" s="204">
        <f t="shared" si="181"/>
        <v>26.19036667</v>
      </c>
      <c r="G616" s="204">
        <f t="shared" si="181"/>
        <v>24.51186667</v>
      </c>
      <c r="H616" s="204">
        <f t="shared" si="181"/>
        <v>24.00543333</v>
      </c>
      <c r="I616" s="204">
        <f t="shared" si="181"/>
        <v>25.68393333</v>
      </c>
      <c r="J616" s="204">
        <f t="shared" si="181"/>
        <v>25.68393333</v>
      </c>
      <c r="K616" s="204">
        <f t="shared" si="181"/>
        <v>25.68393333</v>
      </c>
      <c r="L616" s="204">
        <f t="shared" si="181"/>
        <v>25.1775</v>
      </c>
      <c r="M616" s="204">
        <f t="shared" si="181"/>
        <v>24.67106667</v>
      </c>
      <c r="N616" s="204">
        <f t="shared" si="181"/>
        <v>39.27113333</v>
      </c>
      <c r="O616" s="5"/>
      <c r="P616" s="5"/>
      <c r="Q616" s="5"/>
      <c r="R616" s="5"/>
      <c r="S616" s="5"/>
      <c r="T616" s="5"/>
      <c r="U616" s="5"/>
      <c r="V616" s="5"/>
      <c r="W616" s="5"/>
      <c r="X616" s="5"/>
      <c r="Y616" s="5"/>
      <c r="Z616" s="5"/>
    </row>
    <row r="617" ht="12.0" customHeight="1">
      <c r="A617" s="92" t="s">
        <v>637</v>
      </c>
      <c r="B617" s="5"/>
      <c r="C617" s="205">
        <f>'Resumen Capacidad'!$E$117</f>
        <v>60.656</v>
      </c>
      <c r="D617" s="205">
        <f>'Resumen Capacidad'!$E$117</f>
        <v>60.656</v>
      </c>
      <c r="E617" s="205">
        <f>'Resumen Capacidad'!$E$117</f>
        <v>60.656</v>
      </c>
      <c r="F617" s="205">
        <f>'Resumen Capacidad'!$E$117</f>
        <v>60.656</v>
      </c>
      <c r="G617" s="205">
        <f>'Resumen Capacidad'!$E$117</f>
        <v>60.656</v>
      </c>
      <c r="H617" s="205">
        <f>'Resumen Capacidad'!$E$117</f>
        <v>60.656</v>
      </c>
      <c r="I617" s="205">
        <f>'Resumen Capacidad'!$E$117</f>
        <v>60.656</v>
      </c>
      <c r="J617" s="205">
        <f>'Resumen Capacidad'!$E$117</f>
        <v>60.656</v>
      </c>
      <c r="K617" s="205">
        <f>'Resumen Capacidad'!$E$117</f>
        <v>60.656</v>
      </c>
      <c r="L617" s="205">
        <f>'Resumen Capacidad'!$E$117</f>
        <v>60.656</v>
      </c>
      <c r="M617" s="205">
        <f>'Resumen Capacidad'!$E$117</f>
        <v>60.656</v>
      </c>
      <c r="N617" s="205">
        <f>'Resumen Capacidad'!$E$117</f>
        <v>60.656</v>
      </c>
      <c r="O617" s="5"/>
      <c r="P617" s="5"/>
      <c r="Q617" s="5"/>
      <c r="R617" s="5"/>
      <c r="S617" s="5"/>
      <c r="T617" s="5"/>
      <c r="U617" s="5"/>
      <c r="V617" s="5"/>
      <c r="W617" s="5"/>
      <c r="X617" s="5"/>
      <c r="Y617" s="5"/>
      <c r="Z617" s="5"/>
    </row>
    <row r="618" ht="12.0" customHeight="1">
      <c r="A618" s="92" t="s">
        <v>640</v>
      </c>
      <c r="B618" s="5"/>
      <c r="C618" s="204">
        <f>'Resumen Capacidad'!$E$35*'Resumen Capacidad'!$E$71</f>
        <v>1</v>
      </c>
      <c r="D618" s="204">
        <f>'Resumen Capacidad'!$E$35*'Resumen Capacidad'!$E$71</f>
        <v>1</v>
      </c>
      <c r="E618" s="204">
        <f>'Resumen Capacidad'!$E$35*'Resumen Capacidad'!$E$71</f>
        <v>1</v>
      </c>
      <c r="F618" s="204">
        <f>'Resumen Capacidad'!$E$35*'Resumen Capacidad'!$E$71</f>
        <v>1</v>
      </c>
      <c r="G618" s="204">
        <f>'Resumen Capacidad'!$E$35*'Resumen Capacidad'!$E$71</f>
        <v>1</v>
      </c>
      <c r="H618" s="204">
        <f>'Resumen Capacidad'!$E$35*'Resumen Capacidad'!$E$71</f>
        <v>1</v>
      </c>
      <c r="I618" s="204">
        <f>'Resumen Capacidad'!$E$35*'Resumen Capacidad'!$E$71</f>
        <v>1</v>
      </c>
      <c r="J618" s="204">
        <f>'Resumen Capacidad'!$E$35*'Resumen Capacidad'!$E$71</f>
        <v>1</v>
      </c>
      <c r="K618" s="204">
        <f>'Resumen Capacidad'!$E$35*'Resumen Capacidad'!$E$71</f>
        <v>1</v>
      </c>
      <c r="L618" s="204">
        <f>'Resumen Capacidad'!$E$35*'Resumen Capacidad'!$E$71</f>
        <v>1</v>
      </c>
      <c r="M618" s="204">
        <f>'Resumen Capacidad'!$E$35*'Resumen Capacidad'!$E$71</f>
        <v>1</v>
      </c>
      <c r="N618" s="204">
        <f>'Resumen Capacidad'!$E$35*'Resumen Capacidad'!$E$71</f>
        <v>1</v>
      </c>
      <c r="O618" s="5"/>
      <c r="P618" s="5"/>
      <c r="Q618" s="5"/>
      <c r="R618" s="5"/>
      <c r="S618" s="5"/>
      <c r="T618" s="5"/>
      <c r="U618" s="5"/>
      <c r="V618" s="5"/>
      <c r="W618" s="5"/>
      <c r="X618" s="5"/>
      <c r="Y618" s="5"/>
      <c r="Z618" s="5"/>
    </row>
    <row r="619" ht="12.0" customHeight="1">
      <c r="A619" s="92" t="s">
        <v>642</v>
      </c>
      <c r="B619" s="5"/>
      <c r="C619" s="204">
        <f t="shared" ref="C619:N619" si="182">C617*C618</f>
        <v>60.656</v>
      </c>
      <c r="D619" s="204">
        <f t="shared" si="182"/>
        <v>60.656</v>
      </c>
      <c r="E619" s="204">
        <f t="shared" si="182"/>
        <v>60.656</v>
      </c>
      <c r="F619" s="204">
        <f t="shared" si="182"/>
        <v>60.656</v>
      </c>
      <c r="G619" s="204">
        <f t="shared" si="182"/>
        <v>60.656</v>
      </c>
      <c r="H619" s="204">
        <f t="shared" si="182"/>
        <v>60.656</v>
      </c>
      <c r="I619" s="204">
        <f t="shared" si="182"/>
        <v>60.656</v>
      </c>
      <c r="J619" s="204">
        <f t="shared" si="182"/>
        <v>60.656</v>
      </c>
      <c r="K619" s="204">
        <f t="shared" si="182"/>
        <v>60.656</v>
      </c>
      <c r="L619" s="204">
        <f t="shared" si="182"/>
        <v>60.656</v>
      </c>
      <c r="M619" s="204">
        <f t="shared" si="182"/>
        <v>60.656</v>
      </c>
      <c r="N619" s="204">
        <f t="shared" si="182"/>
        <v>60.656</v>
      </c>
      <c r="O619" s="5"/>
      <c r="P619" s="5"/>
      <c r="Q619" s="5"/>
      <c r="R619" s="5"/>
      <c r="S619" s="5"/>
      <c r="T619" s="5"/>
      <c r="U619" s="5"/>
      <c r="V619" s="5"/>
      <c r="W619" s="5"/>
      <c r="X619" s="5"/>
      <c r="Y619" s="5"/>
      <c r="Z619" s="5"/>
    </row>
    <row r="620" ht="12.0" customHeight="1">
      <c r="A620" s="92" t="s">
        <v>643</v>
      </c>
      <c r="B620" s="5"/>
      <c r="C620" s="206">
        <f t="shared" ref="C620:N620" si="183">IF(C619=0,0,C616/C619)</f>
        <v>0.6307416689</v>
      </c>
      <c r="D620" s="206">
        <f t="shared" si="183"/>
        <v>0.4814055218</v>
      </c>
      <c r="E620" s="206">
        <f t="shared" si="183"/>
        <v>0.4511084366</v>
      </c>
      <c r="F620" s="206">
        <f t="shared" si="183"/>
        <v>0.4317852589</v>
      </c>
      <c r="G620" s="206">
        <f t="shared" si="183"/>
        <v>0.404112811</v>
      </c>
      <c r="H620" s="206">
        <f t="shared" si="183"/>
        <v>0.3957635408</v>
      </c>
      <c r="I620" s="206">
        <f t="shared" si="183"/>
        <v>0.4234359887</v>
      </c>
      <c r="J620" s="206">
        <f t="shared" si="183"/>
        <v>0.4234359887</v>
      </c>
      <c r="K620" s="206">
        <f t="shared" si="183"/>
        <v>0.4234359887</v>
      </c>
      <c r="L620" s="206">
        <f t="shared" si="183"/>
        <v>0.4150867185</v>
      </c>
      <c r="M620" s="206">
        <f t="shared" si="183"/>
        <v>0.4067374483</v>
      </c>
      <c r="N620" s="206">
        <f t="shared" si="183"/>
        <v>0.6474402093</v>
      </c>
      <c r="O620" s="5"/>
      <c r="P620" s="5"/>
      <c r="Q620" s="5"/>
      <c r="R620" s="5"/>
      <c r="S620" s="5"/>
      <c r="T620" s="5"/>
      <c r="U620" s="5"/>
      <c r="V620" s="5"/>
      <c r="W620" s="5"/>
      <c r="X620" s="5"/>
      <c r="Y620" s="5"/>
      <c r="Z620" s="5"/>
    </row>
    <row r="621" ht="12.0" customHeight="1">
      <c r="A621" s="201" t="s">
        <v>664</v>
      </c>
      <c r="B621" s="202"/>
      <c r="C621" s="202"/>
      <c r="D621" s="202"/>
      <c r="E621" s="202"/>
      <c r="F621" s="202"/>
      <c r="G621" s="202"/>
      <c r="H621" s="202"/>
      <c r="I621" s="202"/>
      <c r="J621" s="202"/>
      <c r="K621" s="202"/>
      <c r="L621" s="202"/>
      <c r="M621" s="202"/>
      <c r="N621" s="202"/>
      <c r="O621" s="5"/>
      <c r="P621" s="5"/>
      <c r="Q621" s="5"/>
      <c r="R621" s="5"/>
      <c r="S621" s="5"/>
      <c r="T621" s="5"/>
      <c r="U621" s="5"/>
      <c r="V621" s="5"/>
      <c r="W621" s="5"/>
      <c r="X621" s="5"/>
      <c r="Y621" s="5"/>
      <c r="Z621" s="5"/>
    </row>
    <row r="622" ht="12.0" customHeight="1">
      <c r="A622" s="201" t="s">
        <v>630</v>
      </c>
      <c r="B622" s="201" t="s">
        <v>631</v>
      </c>
      <c r="C622" s="201" t="s">
        <v>3</v>
      </c>
      <c r="D622" s="201" t="s">
        <v>4</v>
      </c>
      <c r="E622" s="201" t="s">
        <v>5</v>
      </c>
      <c r="F622" s="201" t="s">
        <v>6</v>
      </c>
      <c r="G622" s="201" t="s">
        <v>7</v>
      </c>
      <c r="H622" s="201" t="s">
        <v>8</v>
      </c>
      <c r="I622" s="201" t="s">
        <v>9</v>
      </c>
      <c r="J622" s="201" t="s">
        <v>10</v>
      </c>
      <c r="K622" s="201" t="s">
        <v>11</v>
      </c>
      <c r="L622" s="201" t="s">
        <v>12</v>
      </c>
      <c r="M622" s="201" t="s">
        <v>13</v>
      </c>
      <c r="N622" s="201" t="s">
        <v>14</v>
      </c>
      <c r="O622" s="5"/>
      <c r="P622" s="5"/>
      <c r="Q622" s="5"/>
      <c r="R622" s="5"/>
      <c r="S622" s="5"/>
      <c r="T622" s="5"/>
      <c r="U622" s="5"/>
      <c r="V622" s="5"/>
      <c r="W622" s="5"/>
      <c r="X622" s="5"/>
      <c r="Y622" s="5"/>
      <c r="Z622" s="5"/>
    </row>
    <row r="623" ht="12.0" customHeight="1">
      <c r="A623" s="92" t="s">
        <v>632</v>
      </c>
      <c r="B623" s="92" t="s">
        <v>633</v>
      </c>
      <c r="C623" s="203">
        <f>SUM('2029'!B6:B9)+SUM('2029'!B17:B20)</f>
        <v>5738.74</v>
      </c>
      <c r="D623" s="203">
        <f>SUM('2029'!C6:C9)+SUM('2029'!C17:C20)</f>
        <v>4380.02</v>
      </c>
      <c r="E623" s="203">
        <f>SUM('2029'!D6:D9)+SUM('2029'!D17:D20)</f>
        <v>4104.365</v>
      </c>
      <c r="F623" s="203">
        <f>SUM('2029'!E6:E9)+SUM('2029'!E17:E20)</f>
        <v>3928.555</v>
      </c>
      <c r="G623" s="203">
        <f>SUM('2029'!F6:F9)+SUM('2029'!F17:F20)</f>
        <v>3676.78</v>
      </c>
      <c r="H623" s="203">
        <f>SUM('2029'!G6:G9)+SUM('2029'!G17:G20)</f>
        <v>3600.815</v>
      </c>
      <c r="I623" s="203">
        <f>SUM('2029'!H6:H9)+SUM('2029'!H17:H20)</f>
        <v>3852.59</v>
      </c>
      <c r="J623" s="203">
        <f>SUM('2029'!I6:I9)+SUM('2029'!I17:I20)</f>
        <v>3852.59</v>
      </c>
      <c r="K623" s="203">
        <f>SUM('2029'!J6:J9)+SUM('2029'!J17:J20)</f>
        <v>3852.59</v>
      </c>
      <c r="L623" s="203">
        <f>SUM('2029'!K6:K9)+SUM('2029'!K17:K20)</f>
        <v>3776.625</v>
      </c>
      <c r="M623" s="203">
        <f>SUM('2029'!L6:L9)+SUM('2029'!L17:L20)</f>
        <v>3700.66</v>
      </c>
      <c r="N623" s="203">
        <f>SUM('2029'!M6:M9)+SUM('2029'!M17:M20)</f>
        <v>5890.67</v>
      </c>
      <c r="O623" s="5"/>
      <c r="P623" s="5"/>
      <c r="Q623" s="5"/>
      <c r="R623" s="5"/>
      <c r="S623" s="5"/>
      <c r="T623" s="5"/>
      <c r="U623" s="5"/>
      <c r="V623" s="5"/>
      <c r="W623" s="5"/>
      <c r="X623" s="5"/>
      <c r="Y623" s="5"/>
      <c r="Z623" s="5"/>
    </row>
    <row r="624" ht="12.0" customHeight="1">
      <c r="A624" s="5"/>
      <c r="B624" s="92" t="s">
        <v>634</v>
      </c>
      <c r="C624" s="204">
        <f>C623/Parametros!$B$37</f>
        <v>286.937</v>
      </c>
      <c r="D624" s="204">
        <f>D623/Parametros!$B$37</f>
        <v>219.001</v>
      </c>
      <c r="E624" s="204">
        <f>E623/Parametros!$B$37</f>
        <v>205.21825</v>
      </c>
      <c r="F624" s="204">
        <f>F623/Parametros!$B$37</f>
        <v>196.42775</v>
      </c>
      <c r="G624" s="204">
        <f>G623/Parametros!$B$37</f>
        <v>183.839</v>
      </c>
      <c r="H624" s="204">
        <f>H623/Parametros!$B$37</f>
        <v>180.04075</v>
      </c>
      <c r="I624" s="204">
        <f>I623/Parametros!$B$37</f>
        <v>192.6295</v>
      </c>
      <c r="J624" s="204">
        <f>J623/Parametros!$B$37</f>
        <v>192.6295</v>
      </c>
      <c r="K624" s="204">
        <f>K623/Parametros!$B$37</f>
        <v>192.6295</v>
      </c>
      <c r="L624" s="204">
        <f>L623/Parametros!$B$37</f>
        <v>188.83125</v>
      </c>
      <c r="M624" s="204">
        <f>M623/Parametros!$B$37</f>
        <v>185.033</v>
      </c>
      <c r="N624" s="204">
        <f>N623/Parametros!$B$37</f>
        <v>294.5335</v>
      </c>
      <c r="O624" s="5"/>
      <c r="P624" s="5"/>
      <c r="Q624" s="5"/>
      <c r="R624" s="5"/>
      <c r="S624" s="5"/>
      <c r="T624" s="5"/>
      <c r="U624" s="5"/>
      <c r="V624" s="5"/>
      <c r="W624" s="5"/>
      <c r="X624" s="5"/>
      <c r="Y624" s="5"/>
      <c r="Z624" s="5"/>
    </row>
    <row r="625" ht="12.0" customHeight="1">
      <c r="A625" s="5"/>
      <c r="B625" s="92" t="s">
        <v>635</v>
      </c>
      <c r="C625" s="204">
        <f>C624/Parametros!$J$37</f>
        <v>38.25826667</v>
      </c>
      <c r="D625" s="204">
        <f>D624/Parametros!$J$37</f>
        <v>29.20013333</v>
      </c>
      <c r="E625" s="204">
        <f>E624/Parametros!$J$37</f>
        <v>27.36243333</v>
      </c>
      <c r="F625" s="204">
        <f>F624/Parametros!$J$37</f>
        <v>26.19036667</v>
      </c>
      <c r="G625" s="204">
        <f>G624/Parametros!$J$37</f>
        <v>24.51186667</v>
      </c>
      <c r="H625" s="204">
        <f>H624/Parametros!$J$37</f>
        <v>24.00543333</v>
      </c>
      <c r="I625" s="204">
        <f>I624/Parametros!$J$37</f>
        <v>25.68393333</v>
      </c>
      <c r="J625" s="204">
        <f>J624/Parametros!$J$37</f>
        <v>25.68393333</v>
      </c>
      <c r="K625" s="204">
        <f>K624/Parametros!$J$37</f>
        <v>25.68393333</v>
      </c>
      <c r="L625" s="204">
        <f>L624/Parametros!$J$37</f>
        <v>25.1775</v>
      </c>
      <c r="M625" s="204">
        <f>M624/Parametros!$J$37</f>
        <v>24.67106667</v>
      </c>
      <c r="N625" s="204">
        <f>N624/Parametros!$J$37</f>
        <v>39.27113333</v>
      </c>
      <c r="O625" s="5"/>
      <c r="P625" s="5"/>
      <c r="Q625" s="5"/>
      <c r="R625" s="5"/>
      <c r="S625" s="5"/>
      <c r="T625" s="5"/>
      <c r="U625" s="5"/>
      <c r="V625" s="5"/>
      <c r="W625" s="5"/>
      <c r="X625" s="5"/>
      <c r="Y625" s="5"/>
      <c r="Z625" s="5"/>
    </row>
    <row r="626" ht="12.0" customHeight="1">
      <c r="A626" s="92" t="s">
        <v>636</v>
      </c>
      <c r="B626" s="5"/>
      <c r="C626" s="204">
        <f t="shared" ref="C626:N626" si="184">C625</f>
        <v>38.25826667</v>
      </c>
      <c r="D626" s="204">
        <f t="shared" si="184"/>
        <v>29.20013333</v>
      </c>
      <c r="E626" s="204">
        <f t="shared" si="184"/>
        <v>27.36243333</v>
      </c>
      <c r="F626" s="204">
        <f t="shared" si="184"/>
        <v>26.19036667</v>
      </c>
      <c r="G626" s="204">
        <f t="shared" si="184"/>
        <v>24.51186667</v>
      </c>
      <c r="H626" s="204">
        <f t="shared" si="184"/>
        <v>24.00543333</v>
      </c>
      <c r="I626" s="204">
        <f t="shared" si="184"/>
        <v>25.68393333</v>
      </c>
      <c r="J626" s="204">
        <f t="shared" si="184"/>
        <v>25.68393333</v>
      </c>
      <c r="K626" s="204">
        <f t="shared" si="184"/>
        <v>25.68393333</v>
      </c>
      <c r="L626" s="204">
        <f t="shared" si="184"/>
        <v>25.1775</v>
      </c>
      <c r="M626" s="204">
        <f t="shared" si="184"/>
        <v>24.67106667</v>
      </c>
      <c r="N626" s="204">
        <f t="shared" si="184"/>
        <v>39.27113333</v>
      </c>
      <c r="O626" s="5"/>
      <c r="P626" s="5"/>
      <c r="Q626" s="5"/>
      <c r="R626" s="5"/>
      <c r="S626" s="5"/>
      <c r="T626" s="5"/>
      <c r="U626" s="5"/>
      <c r="V626" s="5"/>
      <c r="W626" s="5"/>
      <c r="X626" s="5"/>
      <c r="Y626" s="5"/>
      <c r="Z626" s="5"/>
    </row>
    <row r="627" ht="12.0" customHeight="1">
      <c r="A627" s="92" t="s">
        <v>637</v>
      </c>
      <c r="B627" s="5"/>
      <c r="C627" s="205">
        <f>'Resumen Capacidad'!$E$118</f>
        <v>187.425</v>
      </c>
      <c r="D627" s="205">
        <f>'Resumen Capacidad'!$E$118</f>
        <v>187.425</v>
      </c>
      <c r="E627" s="205">
        <f>'Resumen Capacidad'!$E$118</f>
        <v>187.425</v>
      </c>
      <c r="F627" s="205">
        <f>'Resumen Capacidad'!$E$118</f>
        <v>187.425</v>
      </c>
      <c r="G627" s="205">
        <f>'Resumen Capacidad'!$E$118</f>
        <v>187.425</v>
      </c>
      <c r="H627" s="205">
        <f>'Resumen Capacidad'!$E$118</f>
        <v>187.425</v>
      </c>
      <c r="I627" s="205">
        <f>'Resumen Capacidad'!$E$118</f>
        <v>187.425</v>
      </c>
      <c r="J627" s="205">
        <f>'Resumen Capacidad'!$E$118</f>
        <v>187.425</v>
      </c>
      <c r="K627" s="205">
        <f>'Resumen Capacidad'!$E$118</f>
        <v>187.425</v>
      </c>
      <c r="L627" s="205">
        <f>'Resumen Capacidad'!$E$118</f>
        <v>187.425</v>
      </c>
      <c r="M627" s="205">
        <f>'Resumen Capacidad'!$E$118</f>
        <v>187.425</v>
      </c>
      <c r="N627" s="205">
        <f>'Resumen Capacidad'!$E$118</f>
        <v>187.425</v>
      </c>
      <c r="O627" s="5"/>
      <c r="P627" s="5"/>
      <c r="Q627" s="5"/>
      <c r="R627" s="5"/>
      <c r="S627" s="5"/>
      <c r="T627" s="5"/>
      <c r="U627" s="5"/>
      <c r="V627" s="5"/>
      <c r="W627" s="5"/>
      <c r="X627" s="5"/>
      <c r="Y627" s="5"/>
      <c r="Z627" s="5"/>
    </row>
    <row r="628" ht="12.0" customHeight="1">
      <c r="A628" s="92" t="s">
        <v>640</v>
      </c>
      <c r="B628" s="5"/>
      <c r="C628" s="204">
        <f>'Resumen Capacidad'!$E$36*'Resumen Capacidad'!$E$72</f>
        <v>1</v>
      </c>
      <c r="D628" s="204">
        <f>'Resumen Capacidad'!$E$36*'Resumen Capacidad'!$E$72</f>
        <v>1</v>
      </c>
      <c r="E628" s="204">
        <f>'Resumen Capacidad'!$E$36*'Resumen Capacidad'!$E$72</f>
        <v>1</v>
      </c>
      <c r="F628" s="204">
        <f>'Resumen Capacidad'!$E$36*'Resumen Capacidad'!$E$72</f>
        <v>1</v>
      </c>
      <c r="G628" s="204">
        <f>'Resumen Capacidad'!$E$36*'Resumen Capacidad'!$E$72</f>
        <v>1</v>
      </c>
      <c r="H628" s="204">
        <f>'Resumen Capacidad'!$E$36*'Resumen Capacidad'!$E$72</f>
        <v>1</v>
      </c>
      <c r="I628" s="204">
        <f>'Resumen Capacidad'!$E$36*'Resumen Capacidad'!$E$72</f>
        <v>1</v>
      </c>
      <c r="J628" s="204">
        <f>'Resumen Capacidad'!$E$36*'Resumen Capacidad'!$E$72</f>
        <v>1</v>
      </c>
      <c r="K628" s="204">
        <f>'Resumen Capacidad'!$E$36*'Resumen Capacidad'!$E$72</f>
        <v>1</v>
      </c>
      <c r="L628" s="204">
        <f>'Resumen Capacidad'!$E$36*'Resumen Capacidad'!$E$72</f>
        <v>1</v>
      </c>
      <c r="M628" s="204">
        <f>'Resumen Capacidad'!$E$36*'Resumen Capacidad'!$E$72</f>
        <v>1</v>
      </c>
      <c r="N628" s="204">
        <f>'Resumen Capacidad'!$E$36*'Resumen Capacidad'!$E$72</f>
        <v>1</v>
      </c>
      <c r="O628" s="5"/>
      <c r="P628" s="5"/>
      <c r="Q628" s="5"/>
      <c r="R628" s="5"/>
      <c r="S628" s="5"/>
      <c r="T628" s="5"/>
      <c r="U628" s="5"/>
      <c r="V628" s="5"/>
      <c r="W628" s="5"/>
      <c r="X628" s="5"/>
      <c r="Y628" s="5"/>
      <c r="Z628" s="5"/>
    </row>
    <row r="629" ht="12.0" customHeight="1">
      <c r="A629" s="92" t="s">
        <v>642</v>
      </c>
      <c r="B629" s="5"/>
      <c r="C629" s="204">
        <f t="shared" ref="C629:N629" si="185">C627*C628</f>
        <v>187.425</v>
      </c>
      <c r="D629" s="204">
        <f t="shared" si="185"/>
        <v>187.425</v>
      </c>
      <c r="E629" s="204">
        <f t="shared" si="185"/>
        <v>187.425</v>
      </c>
      <c r="F629" s="204">
        <f t="shared" si="185"/>
        <v>187.425</v>
      </c>
      <c r="G629" s="204">
        <f t="shared" si="185"/>
        <v>187.425</v>
      </c>
      <c r="H629" s="204">
        <f t="shared" si="185"/>
        <v>187.425</v>
      </c>
      <c r="I629" s="204">
        <f t="shared" si="185"/>
        <v>187.425</v>
      </c>
      <c r="J629" s="204">
        <f t="shared" si="185"/>
        <v>187.425</v>
      </c>
      <c r="K629" s="204">
        <f t="shared" si="185"/>
        <v>187.425</v>
      </c>
      <c r="L629" s="204">
        <f t="shared" si="185"/>
        <v>187.425</v>
      </c>
      <c r="M629" s="204">
        <f t="shared" si="185"/>
        <v>187.425</v>
      </c>
      <c r="N629" s="204">
        <f t="shared" si="185"/>
        <v>187.425</v>
      </c>
      <c r="O629" s="5"/>
      <c r="P629" s="5"/>
      <c r="Q629" s="5"/>
      <c r="R629" s="5"/>
      <c r="S629" s="5"/>
      <c r="T629" s="5"/>
      <c r="U629" s="5"/>
      <c r="V629" s="5"/>
      <c r="W629" s="5"/>
      <c r="X629" s="5"/>
      <c r="Y629" s="5"/>
      <c r="Z629" s="5"/>
    </row>
    <row r="630" ht="12.0" customHeight="1">
      <c r="A630" s="92" t="s">
        <v>643</v>
      </c>
      <c r="B630" s="5"/>
      <c r="C630" s="206">
        <f t="shared" ref="C630:N630" si="186">IF(C629=0,0,C626/C629)</f>
        <v>0.2041257392</v>
      </c>
      <c r="D630" s="206">
        <f t="shared" si="186"/>
        <v>0.155796363</v>
      </c>
      <c r="E630" s="206">
        <f t="shared" si="186"/>
        <v>0.1459913743</v>
      </c>
      <c r="F630" s="206">
        <f t="shared" si="186"/>
        <v>0.1397378507</v>
      </c>
      <c r="G630" s="206">
        <f t="shared" si="186"/>
        <v>0.1307822685</v>
      </c>
      <c r="H630" s="206">
        <f t="shared" si="186"/>
        <v>0.1280802099</v>
      </c>
      <c r="I630" s="206">
        <f t="shared" si="186"/>
        <v>0.1370357921</v>
      </c>
      <c r="J630" s="206">
        <f t="shared" si="186"/>
        <v>0.1370357921</v>
      </c>
      <c r="K630" s="206">
        <f t="shared" si="186"/>
        <v>0.1370357921</v>
      </c>
      <c r="L630" s="206">
        <f t="shared" si="186"/>
        <v>0.1343337335</v>
      </c>
      <c r="M630" s="206">
        <f t="shared" si="186"/>
        <v>0.1316316749</v>
      </c>
      <c r="N630" s="206">
        <f t="shared" si="186"/>
        <v>0.2095298564</v>
      </c>
      <c r="O630" s="5"/>
      <c r="P630" s="5"/>
      <c r="Q630" s="5"/>
      <c r="R630" s="5"/>
      <c r="S630" s="5"/>
      <c r="T630" s="5"/>
      <c r="U630" s="5"/>
      <c r="V630" s="5"/>
      <c r="W630" s="5"/>
      <c r="X630" s="5"/>
      <c r="Y630" s="5"/>
      <c r="Z630" s="5"/>
    </row>
    <row r="631" ht="12.0" customHeight="1">
      <c r="A631" s="201" t="s">
        <v>665</v>
      </c>
      <c r="B631" s="202"/>
      <c r="C631" s="202"/>
      <c r="D631" s="202"/>
      <c r="E631" s="202"/>
      <c r="F631" s="202"/>
      <c r="G631" s="202"/>
      <c r="H631" s="202"/>
      <c r="I631" s="202"/>
      <c r="J631" s="202"/>
      <c r="K631" s="202"/>
      <c r="L631" s="202"/>
      <c r="M631" s="202"/>
      <c r="N631" s="202"/>
      <c r="O631" s="5"/>
      <c r="P631" s="5"/>
      <c r="Q631" s="5"/>
      <c r="R631" s="5"/>
      <c r="S631" s="5"/>
      <c r="T631" s="5"/>
      <c r="U631" s="5"/>
      <c r="V631" s="5"/>
      <c r="W631" s="5"/>
      <c r="X631" s="5"/>
      <c r="Y631" s="5"/>
      <c r="Z631" s="5"/>
    </row>
    <row r="632" ht="12.0" customHeight="1">
      <c r="A632" s="201" t="s">
        <v>630</v>
      </c>
      <c r="B632" s="201" t="s">
        <v>631</v>
      </c>
      <c r="C632" s="201" t="s">
        <v>3</v>
      </c>
      <c r="D632" s="201" t="s">
        <v>4</v>
      </c>
      <c r="E632" s="201" t="s">
        <v>5</v>
      </c>
      <c r="F632" s="201" t="s">
        <v>6</v>
      </c>
      <c r="G632" s="201" t="s">
        <v>7</v>
      </c>
      <c r="H632" s="201" t="s">
        <v>8</v>
      </c>
      <c r="I632" s="201" t="s">
        <v>9</v>
      </c>
      <c r="J632" s="201" t="s">
        <v>10</v>
      </c>
      <c r="K632" s="201" t="s">
        <v>11</v>
      </c>
      <c r="L632" s="201" t="s">
        <v>12</v>
      </c>
      <c r="M632" s="201" t="s">
        <v>13</v>
      </c>
      <c r="N632" s="201" t="s">
        <v>14</v>
      </c>
      <c r="O632" s="5"/>
      <c r="P632" s="5"/>
      <c r="Q632" s="5"/>
      <c r="R632" s="5"/>
      <c r="S632" s="5"/>
      <c r="T632" s="5"/>
      <c r="U632" s="5"/>
      <c r="V632" s="5"/>
      <c r="W632" s="5"/>
      <c r="X632" s="5"/>
      <c r="Y632" s="5"/>
      <c r="Z632" s="5"/>
    </row>
    <row r="633" ht="12.0" customHeight="1">
      <c r="A633" s="92" t="s">
        <v>632</v>
      </c>
      <c r="B633" s="92" t="s">
        <v>633</v>
      </c>
      <c r="C633" s="203">
        <f>SUM('2029'!B6:B9)+SUM('2029'!B17:B20)</f>
        <v>5738.74</v>
      </c>
      <c r="D633" s="203">
        <f>SUM('2029'!C6:C9)+SUM('2029'!C17:C20)</f>
        <v>4380.02</v>
      </c>
      <c r="E633" s="203">
        <f>SUM('2029'!D6:D9)+SUM('2029'!D17:D20)</f>
        <v>4104.365</v>
      </c>
      <c r="F633" s="203">
        <f>SUM('2029'!E6:E9)+SUM('2029'!E17:E20)</f>
        <v>3928.555</v>
      </c>
      <c r="G633" s="203">
        <f>SUM('2029'!F6:F9)+SUM('2029'!F17:F20)</f>
        <v>3676.78</v>
      </c>
      <c r="H633" s="203">
        <f>SUM('2029'!G6:G9)+SUM('2029'!G17:G20)</f>
        <v>3600.815</v>
      </c>
      <c r="I633" s="203">
        <f>SUM('2029'!H6:H9)+SUM('2029'!H17:H20)</f>
        <v>3852.59</v>
      </c>
      <c r="J633" s="203">
        <f>SUM('2029'!I6:I9)+SUM('2029'!I17:I20)</f>
        <v>3852.59</v>
      </c>
      <c r="K633" s="203">
        <f>SUM('2029'!J6:J9)+SUM('2029'!J17:J20)</f>
        <v>3852.59</v>
      </c>
      <c r="L633" s="203">
        <f>SUM('2029'!K6:K9)+SUM('2029'!K17:K20)</f>
        <v>3776.625</v>
      </c>
      <c r="M633" s="203">
        <f>SUM('2029'!L6:L9)+SUM('2029'!L17:L20)</f>
        <v>3700.66</v>
      </c>
      <c r="N633" s="203">
        <f>SUM('2029'!M6:M9)+SUM('2029'!M17:M20)</f>
        <v>5890.67</v>
      </c>
      <c r="O633" s="5"/>
      <c r="P633" s="5"/>
      <c r="Q633" s="5"/>
      <c r="R633" s="5"/>
      <c r="S633" s="5"/>
      <c r="T633" s="5"/>
      <c r="U633" s="5"/>
      <c r="V633" s="5"/>
      <c r="W633" s="5"/>
      <c r="X633" s="5"/>
      <c r="Y633" s="5"/>
      <c r="Z633" s="5"/>
    </row>
    <row r="634" ht="12.0" customHeight="1">
      <c r="A634" s="5"/>
      <c r="B634" s="92" t="s">
        <v>634</v>
      </c>
      <c r="C634" s="204">
        <f>C633/Parametros!$B$37</f>
        <v>286.937</v>
      </c>
      <c r="D634" s="204">
        <f>D633/Parametros!$B$37</f>
        <v>219.001</v>
      </c>
      <c r="E634" s="204">
        <f>E633/Parametros!$B$37</f>
        <v>205.21825</v>
      </c>
      <c r="F634" s="204">
        <f>F633/Parametros!$B$37</f>
        <v>196.42775</v>
      </c>
      <c r="G634" s="204">
        <f>G633/Parametros!$B$37</f>
        <v>183.839</v>
      </c>
      <c r="H634" s="204">
        <f>H633/Parametros!$B$37</f>
        <v>180.04075</v>
      </c>
      <c r="I634" s="204">
        <f>I633/Parametros!$B$37</f>
        <v>192.6295</v>
      </c>
      <c r="J634" s="204">
        <f>J633/Parametros!$B$37</f>
        <v>192.6295</v>
      </c>
      <c r="K634" s="204">
        <f>K633/Parametros!$B$37</f>
        <v>192.6295</v>
      </c>
      <c r="L634" s="204">
        <f>L633/Parametros!$B$37</f>
        <v>188.83125</v>
      </c>
      <c r="M634" s="204">
        <f>M633/Parametros!$B$37</f>
        <v>185.033</v>
      </c>
      <c r="N634" s="204">
        <f>N633/Parametros!$B$37</f>
        <v>294.5335</v>
      </c>
      <c r="O634" s="5"/>
      <c r="P634" s="5"/>
      <c r="Q634" s="5"/>
      <c r="R634" s="5"/>
      <c r="S634" s="5"/>
      <c r="T634" s="5"/>
      <c r="U634" s="5"/>
      <c r="V634" s="5"/>
      <c r="W634" s="5"/>
      <c r="X634" s="5"/>
      <c r="Y634" s="5"/>
      <c r="Z634" s="5"/>
    </row>
    <row r="635" ht="12.0" customHeight="1">
      <c r="A635" s="5"/>
      <c r="B635" s="92" t="s">
        <v>635</v>
      </c>
      <c r="C635" s="204">
        <f>C634/Parametros!$J$37</f>
        <v>38.25826667</v>
      </c>
      <c r="D635" s="204">
        <f>D634/Parametros!$J$37</f>
        <v>29.20013333</v>
      </c>
      <c r="E635" s="204">
        <f>E634/Parametros!$J$37</f>
        <v>27.36243333</v>
      </c>
      <c r="F635" s="204">
        <f>F634/Parametros!$J$37</f>
        <v>26.19036667</v>
      </c>
      <c r="G635" s="204">
        <f>G634/Parametros!$J$37</f>
        <v>24.51186667</v>
      </c>
      <c r="H635" s="204">
        <f>H634/Parametros!$J$37</f>
        <v>24.00543333</v>
      </c>
      <c r="I635" s="204">
        <f>I634/Parametros!$J$37</f>
        <v>25.68393333</v>
      </c>
      <c r="J635" s="204">
        <f>J634/Parametros!$J$37</f>
        <v>25.68393333</v>
      </c>
      <c r="K635" s="204">
        <f>K634/Parametros!$J$37</f>
        <v>25.68393333</v>
      </c>
      <c r="L635" s="204">
        <f>L634/Parametros!$J$37</f>
        <v>25.1775</v>
      </c>
      <c r="M635" s="204">
        <f>M634/Parametros!$J$37</f>
        <v>24.67106667</v>
      </c>
      <c r="N635" s="204">
        <f>N634/Parametros!$J$37</f>
        <v>39.27113333</v>
      </c>
      <c r="O635" s="5"/>
      <c r="P635" s="5"/>
      <c r="Q635" s="5"/>
      <c r="R635" s="5"/>
      <c r="S635" s="5"/>
      <c r="T635" s="5"/>
      <c r="U635" s="5"/>
      <c r="V635" s="5"/>
      <c r="W635" s="5"/>
      <c r="X635" s="5"/>
      <c r="Y635" s="5"/>
      <c r="Z635" s="5"/>
    </row>
    <row r="636" ht="12.0" customHeight="1">
      <c r="A636" s="92" t="s">
        <v>636</v>
      </c>
      <c r="B636" s="5"/>
      <c r="C636" s="204">
        <f t="shared" ref="C636:N636" si="187">C635</f>
        <v>38.25826667</v>
      </c>
      <c r="D636" s="204">
        <f t="shared" si="187"/>
        <v>29.20013333</v>
      </c>
      <c r="E636" s="204">
        <f t="shared" si="187"/>
        <v>27.36243333</v>
      </c>
      <c r="F636" s="204">
        <f t="shared" si="187"/>
        <v>26.19036667</v>
      </c>
      <c r="G636" s="204">
        <f t="shared" si="187"/>
        <v>24.51186667</v>
      </c>
      <c r="H636" s="204">
        <f t="shared" si="187"/>
        <v>24.00543333</v>
      </c>
      <c r="I636" s="204">
        <f t="shared" si="187"/>
        <v>25.68393333</v>
      </c>
      <c r="J636" s="204">
        <f t="shared" si="187"/>
        <v>25.68393333</v>
      </c>
      <c r="K636" s="204">
        <f t="shared" si="187"/>
        <v>25.68393333</v>
      </c>
      <c r="L636" s="204">
        <f t="shared" si="187"/>
        <v>25.1775</v>
      </c>
      <c r="M636" s="204">
        <f t="shared" si="187"/>
        <v>24.67106667</v>
      </c>
      <c r="N636" s="204">
        <f t="shared" si="187"/>
        <v>39.27113333</v>
      </c>
      <c r="O636" s="5"/>
      <c r="P636" s="5"/>
      <c r="Q636" s="5"/>
      <c r="R636" s="5"/>
      <c r="S636" s="5"/>
      <c r="T636" s="5"/>
      <c r="U636" s="5"/>
      <c r="V636" s="5"/>
      <c r="W636" s="5"/>
      <c r="X636" s="5"/>
      <c r="Y636" s="5"/>
      <c r="Z636" s="5"/>
    </row>
    <row r="637" ht="12.0" customHeight="1">
      <c r="A637" s="92" t="s">
        <v>637</v>
      </c>
      <c r="B637" s="5"/>
      <c r="C637" s="184">
        <f>'Resumen Capacidad'!$E$119</f>
        <v>63.648</v>
      </c>
      <c r="D637" s="184">
        <f>'Resumen Capacidad'!$E$119</f>
        <v>63.648</v>
      </c>
      <c r="E637" s="184">
        <f>'Resumen Capacidad'!$E$119</f>
        <v>63.648</v>
      </c>
      <c r="F637" s="184">
        <f>'Resumen Capacidad'!$E$119</f>
        <v>63.648</v>
      </c>
      <c r="G637" s="184">
        <f>'Resumen Capacidad'!$E$119</f>
        <v>63.648</v>
      </c>
      <c r="H637" s="184">
        <f>'Resumen Capacidad'!$E$119</f>
        <v>63.648</v>
      </c>
      <c r="I637" s="184">
        <f>'Resumen Capacidad'!$E$119</f>
        <v>63.648</v>
      </c>
      <c r="J637" s="184">
        <f>'Resumen Capacidad'!$E$119</f>
        <v>63.648</v>
      </c>
      <c r="K637" s="184">
        <f>'Resumen Capacidad'!$E$119</f>
        <v>63.648</v>
      </c>
      <c r="L637" s="184">
        <f>'Resumen Capacidad'!$E$119</f>
        <v>63.648</v>
      </c>
      <c r="M637" s="184">
        <f>'Resumen Capacidad'!$E$119</f>
        <v>63.648</v>
      </c>
      <c r="N637" s="184">
        <f>'Resumen Capacidad'!$E$119</f>
        <v>63.648</v>
      </c>
      <c r="O637" s="5"/>
      <c r="P637" s="5"/>
      <c r="Q637" s="5"/>
      <c r="R637" s="5"/>
      <c r="S637" s="5"/>
      <c r="T637" s="5"/>
      <c r="U637" s="5"/>
      <c r="V637" s="5"/>
      <c r="W637" s="5"/>
      <c r="X637" s="5"/>
      <c r="Y637" s="5"/>
      <c r="Z637" s="5"/>
    </row>
    <row r="638" ht="12.0" customHeight="1">
      <c r="A638" s="92" t="s">
        <v>640</v>
      </c>
      <c r="B638" s="5"/>
      <c r="C638" s="204">
        <f>'Resumen Capacidad'!$E$37*'Resumen Capacidad'!$E$73</f>
        <v>1</v>
      </c>
      <c r="D638" s="204">
        <f>'Resumen Capacidad'!$E$37*'Resumen Capacidad'!$E$73</f>
        <v>1</v>
      </c>
      <c r="E638" s="204">
        <f>'Resumen Capacidad'!$E$37*'Resumen Capacidad'!$E$73</f>
        <v>1</v>
      </c>
      <c r="F638" s="204">
        <f>'Resumen Capacidad'!$E$37*'Resumen Capacidad'!$E$73</f>
        <v>1</v>
      </c>
      <c r="G638" s="204">
        <f>'Resumen Capacidad'!$E$37*'Resumen Capacidad'!$E$73</f>
        <v>1</v>
      </c>
      <c r="H638" s="204">
        <f>'Resumen Capacidad'!$E$37*'Resumen Capacidad'!$E$73</f>
        <v>1</v>
      </c>
      <c r="I638" s="204">
        <f>'Resumen Capacidad'!$E$37*'Resumen Capacidad'!$E$73</f>
        <v>1</v>
      </c>
      <c r="J638" s="204">
        <f>'Resumen Capacidad'!$E$37*'Resumen Capacidad'!$E$73</f>
        <v>1</v>
      </c>
      <c r="K638" s="204">
        <f>'Resumen Capacidad'!$E$37*'Resumen Capacidad'!$E$73</f>
        <v>1</v>
      </c>
      <c r="L638" s="204">
        <f>'Resumen Capacidad'!$E$37*'Resumen Capacidad'!$E$73</f>
        <v>1</v>
      </c>
      <c r="M638" s="204">
        <f>'Resumen Capacidad'!$E$37*'Resumen Capacidad'!$E$73</f>
        <v>1</v>
      </c>
      <c r="N638" s="204">
        <f>'Resumen Capacidad'!$E$37*'Resumen Capacidad'!$E$73</f>
        <v>1</v>
      </c>
      <c r="O638" s="5"/>
      <c r="P638" s="5"/>
      <c r="Q638" s="5"/>
      <c r="R638" s="5"/>
      <c r="S638" s="5"/>
      <c r="T638" s="5"/>
      <c r="U638" s="5"/>
      <c r="V638" s="5"/>
      <c r="W638" s="5"/>
      <c r="X638" s="5"/>
      <c r="Y638" s="5"/>
      <c r="Z638" s="5"/>
    </row>
    <row r="639" ht="12.0" customHeight="1">
      <c r="A639" s="92" t="s">
        <v>642</v>
      </c>
      <c r="B639" s="5"/>
      <c r="C639" s="204">
        <f t="shared" ref="C639:N639" si="188">C637*C638</f>
        <v>63.648</v>
      </c>
      <c r="D639" s="204">
        <f t="shared" si="188"/>
        <v>63.648</v>
      </c>
      <c r="E639" s="204">
        <f t="shared" si="188"/>
        <v>63.648</v>
      </c>
      <c r="F639" s="204">
        <f t="shared" si="188"/>
        <v>63.648</v>
      </c>
      <c r="G639" s="204">
        <f t="shared" si="188"/>
        <v>63.648</v>
      </c>
      <c r="H639" s="204">
        <f t="shared" si="188"/>
        <v>63.648</v>
      </c>
      <c r="I639" s="204">
        <f t="shared" si="188"/>
        <v>63.648</v>
      </c>
      <c r="J639" s="204">
        <f t="shared" si="188"/>
        <v>63.648</v>
      </c>
      <c r="K639" s="204">
        <f t="shared" si="188"/>
        <v>63.648</v>
      </c>
      <c r="L639" s="204">
        <f t="shared" si="188"/>
        <v>63.648</v>
      </c>
      <c r="M639" s="204">
        <f t="shared" si="188"/>
        <v>63.648</v>
      </c>
      <c r="N639" s="204">
        <f t="shared" si="188"/>
        <v>63.648</v>
      </c>
      <c r="O639" s="5"/>
      <c r="P639" s="5"/>
      <c r="Q639" s="5"/>
      <c r="R639" s="5"/>
      <c r="S639" s="5"/>
      <c r="T639" s="5"/>
      <c r="U639" s="5"/>
      <c r="V639" s="5"/>
      <c r="W639" s="5"/>
      <c r="X639" s="5"/>
      <c r="Y639" s="5"/>
      <c r="Z639" s="5"/>
    </row>
    <row r="640" ht="12.0" customHeight="1">
      <c r="A640" s="92" t="s">
        <v>643</v>
      </c>
      <c r="B640" s="5"/>
      <c r="C640" s="206">
        <f t="shared" ref="C640:N640" si="189">IF(C639=0,0,C636/C639)</f>
        <v>0.6010914195</v>
      </c>
      <c r="D640" s="206">
        <f t="shared" si="189"/>
        <v>0.4587753477</v>
      </c>
      <c r="E640" s="206">
        <f t="shared" si="189"/>
        <v>0.4299024845</v>
      </c>
      <c r="F640" s="206">
        <f t="shared" si="189"/>
        <v>0.4114876613</v>
      </c>
      <c r="G640" s="206">
        <f t="shared" si="189"/>
        <v>0.385116055</v>
      </c>
      <c r="H640" s="206">
        <f t="shared" si="189"/>
        <v>0.3771592718</v>
      </c>
      <c r="I640" s="206">
        <f t="shared" si="189"/>
        <v>0.4035308782</v>
      </c>
      <c r="J640" s="206">
        <f t="shared" si="189"/>
        <v>0.4035308782</v>
      </c>
      <c r="K640" s="206">
        <f t="shared" si="189"/>
        <v>0.4035308782</v>
      </c>
      <c r="L640" s="206">
        <f t="shared" si="189"/>
        <v>0.395574095</v>
      </c>
      <c r="M640" s="206">
        <f t="shared" si="189"/>
        <v>0.3876173119</v>
      </c>
      <c r="N640" s="206">
        <f t="shared" si="189"/>
        <v>0.6170049858</v>
      </c>
      <c r="O640" s="5"/>
      <c r="P640" s="5"/>
      <c r="Q640" s="5"/>
      <c r="R640" s="5"/>
      <c r="S640" s="5"/>
      <c r="T640" s="5"/>
      <c r="U640" s="5"/>
      <c r="V640" s="5"/>
      <c r="W640" s="5"/>
      <c r="X640" s="5"/>
      <c r="Y640" s="5"/>
      <c r="Z640" s="5"/>
    </row>
    <row r="641" ht="12.0" customHeight="1">
      <c r="A641" s="201" t="s">
        <v>666</v>
      </c>
      <c r="B641" s="202"/>
      <c r="C641" s="202"/>
      <c r="D641" s="202"/>
      <c r="E641" s="202"/>
      <c r="F641" s="202"/>
      <c r="G641" s="202"/>
      <c r="H641" s="202"/>
      <c r="I641" s="202"/>
      <c r="J641" s="202"/>
      <c r="K641" s="202"/>
      <c r="L641" s="202"/>
      <c r="M641" s="202"/>
      <c r="N641" s="202"/>
      <c r="O641" s="5"/>
      <c r="P641" s="5"/>
      <c r="Q641" s="5"/>
      <c r="R641" s="5"/>
      <c r="S641" s="5"/>
      <c r="T641" s="5"/>
      <c r="U641" s="5"/>
      <c r="V641" s="5"/>
      <c r="W641" s="5"/>
      <c r="X641" s="5"/>
      <c r="Y641" s="5"/>
      <c r="Z641" s="5"/>
    </row>
    <row r="642" ht="12.0" customHeight="1">
      <c r="A642" s="201" t="s">
        <v>630</v>
      </c>
      <c r="B642" s="201" t="s">
        <v>631</v>
      </c>
      <c r="C642" s="201" t="s">
        <v>3</v>
      </c>
      <c r="D642" s="201" t="s">
        <v>4</v>
      </c>
      <c r="E642" s="201" t="s">
        <v>5</v>
      </c>
      <c r="F642" s="201" t="s">
        <v>6</v>
      </c>
      <c r="G642" s="201" t="s">
        <v>7</v>
      </c>
      <c r="H642" s="201" t="s">
        <v>8</v>
      </c>
      <c r="I642" s="201" t="s">
        <v>9</v>
      </c>
      <c r="J642" s="201" t="s">
        <v>10</v>
      </c>
      <c r="K642" s="201" t="s">
        <v>11</v>
      </c>
      <c r="L642" s="201" t="s">
        <v>12</v>
      </c>
      <c r="M642" s="201" t="s">
        <v>13</v>
      </c>
      <c r="N642" s="201" t="s">
        <v>14</v>
      </c>
      <c r="O642" s="5"/>
      <c r="P642" s="5"/>
      <c r="Q642" s="5"/>
      <c r="R642" s="5"/>
      <c r="S642" s="5"/>
      <c r="T642" s="5"/>
      <c r="U642" s="5"/>
      <c r="V642" s="5"/>
      <c r="W642" s="5"/>
      <c r="X642" s="5"/>
      <c r="Y642" s="5"/>
      <c r="Z642" s="5"/>
    </row>
    <row r="643" ht="12.0" customHeight="1">
      <c r="A643" s="92" t="s">
        <v>632</v>
      </c>
      <c r="B643" s="92" t="s">
        <v>633</v>
      </c>
      <c r="C643" s="203">
        <f>SUM('2029'!B6:B9)+SUM('2029'!B17:B20)</f>
        <v>5738.74</v>
      </c>
      <c r="D643" s="203">
        <f>SUM('2029'!C6:C9)+SUM('2029'!C17:C20)</f>
        <v>4380.02</v>
      </c>
      <c r="E643" s="203">
        <f>SUM('2029'!D6:D9)+SUM('2029'!D17:D20)</f>
        <v>4104.365</v>
      </c>
      <c r="F643" s="203">
        <f>SUM('2029'!E6:E9)+SUM('2029'!E17:E20)</f>
        <v>3928.555</v>
      </c>
      <c r="G643" s="203">
        <f>SUM('2029'!F6:F9)+SUM('2029'!F17:F20)</f>
        <v>3676.78</v>
      </c>
      <c r="H643" s="203">
        <f>SUM('2029'!G6:G9)+SUM('2029'!G17:G20)</f>
        <v>3600.815</v>
      </c>
      <c r="I643" s="203">
        <f>SUM('2029'!H6:H9)+SUM('2029'!H17:H20)</f>
        <v>3852.59</v>
      </c>
      <c r="J643" s="203">
        <f>SUM('2029'!I6:I9)+SUM('2029'!I17:I20)</f>
        <v>3852.59</v>
      </c>
      <c r="K643" s="203">
        <f>SUM('2029'!J6:J9)+SUM('2029'!J17:J20)</f>
        <v>3852.59</v>
      </c>
      <c r="L643" s="203">
        <f>SUM('2029'!K6:K9)+SUM('2029'!K17:K20)</f>
        <v>3776.625</v>
      </c>
      <c r="M643" s="203">
        <f>SUM('2029'!L6:L9)+SUM('2029'!L17:L20)</f>
        <v>3700.66</v>
      </c>
      <c r="N643" s="203">
        <f>SUM('2029'!M6:M9)+SUM('2029'!M17:M20)</f>
        <v>5890.67</v>
      </c>
      <c r="O643" s="5"/>
      <c r="P643" s="5"/>
      <c r="Q643" s="5"/>
      <c r="R643" s="5"/>
      <c r="S643" s="5"/>
      <c r="T643" s="5"/>
      <c r="U643" s="5"/>
      <c r="V643" s="5"/>
      <c r="W643" s="5"/>
      <c r="X643" s="5"/>
      <c r="Y643" s="5"/>
      <c r="Z643" s="5"/>
    </row>
    <row r="644" ht="12.0" customHeight="1">
      <c r="A644" s="5"/>
      <c r="B644" s="92" t="s">
        <v>634</v>
      </c>
      <c r="C644" s="204">
        <f>C643/Parametros!$B$37</f>
        <v>286.937</v>
      </c>
      <c r="D644" s="204">
        <f>D643/Parametros!$B$37</f>
        <v>219.001</v>
      </c>
      <c r="E644" s="204">
        <f>E643/Parametros!$B$37</f>
        <v>205.21825</v>
      </c>
      <c r="F644" s="204">
        <f>F643/Parametros!$B$37</f>
        <v>196.42775</v>
      </c>
      <c r="G644" s="204">
        <f>G643/Parametros!$B$37</f>
        <v>183.839</v>
      </c>
      <c r="H644" s="204">
        <f>H643/Parametros!$B$37</f>
        <v>180.04075</v>
      </c>
      <c r="I644" s="204">
        <f>I643/Parametros!$B$37</f>
        <v>192.6295</v>
      </c>
      <c r="J644" s="204">
        <f>J643/Parametros!$B$37</f>
        <v>192.6295</v>
      </c>
      <c r="K644" s="204">
        <f>K643/Parametros!$B$37</f>
        <v>192.6295</v>
      </c>
      <c r="L644" s="204">
        <f>L643/Parametros!$B$37</f>
        <v>188.83125</v>
      </c>
      <c r="M644" s="204">
        <f>M643/Parametros!$B$37</f>
        <v>185.033</v>
      </c>
      <c r="N644" s="204">
        <f>N643/Parametros!$B$37</f>
        <v>294.5335</v>
      </c>
      <c r="O644" s="5"/>
      <c r="P644" s="5"/>
      <c r="Q644" s="5"/>
      <c r="R644" s="5"/>
      <c r="S644" s="5"/>
      <c r="T644" s="5"/>
      <c r="U644" s="5"/>
      <c r="V644" s="5"/>
      <c r="W644" s="5"/>
      <c r="X644" s="5"/>
      <c r="Y644" s="5"/>
      <c r="Z644" s="5"/>
    </row>
    <row r="645" ht="12.0" customHeight="1">
      <c r="A645" s="5"/>
      <c r="B645" s="92" t="s">
        <v>635</v>
      </c>
      <c r="C645" s="204">
        <f>C644/Parametros!$J$37</f>
        <v>38.25826667</v>
      </c>
      <c r="D645" s="204">
        <f>D644/Parametros!$J$37</f>
        <v>29.20013333</v>
      </c>
      <c r="E645" s="204">
        <f>E644/Parametros!$J$37</f>
        <v>27.36243333</v>
      </c>
      <c r="F645" s="204">
        <f>F644/Parametros!$J$37</f>
        <v>26.19036667</v>
      </c>
      <c r="G645" s="204">
        <f>G644/Parametros!$J$37</f>
        <v>24.51186667</v>
      </c>
      <c r="H645" s="204">
        <f>H644/Parametros!$J$37</f>
        <v>24.00543333</v>
      </c>
      <c r="I645" s="204">
        <f>I644/Parametros!$J$37</f>
        <v>25.68393333</v>
      </c>
      <c r="J645" s="204">
        <f>J644/Parametros!$J$37</f>
        <v>25.68393333</v>
      </c>
      <c r="K645" s="204">
        <f>K644/Parametros!$J$37</f>
        <v>25.68393333</v>
      </c>
      <c r="L645" s="204">
        <f>L644/Parametros!$J$37</f>
        <v>25.1775</v>
      </c>
      <c r="M645" s="204">
        <f>M644/Parametros!$J$37</f>
        <v>24.67106667</v>
      </c>
      <c r="N645" s="204">
        <f>N644/Parametros!$J$37</f>
        <v>39.27113333</v>
      </c>
      <c r="O645" s="5"/>
      <c r="P645" s="5"/>
      <c r="Q645" s="5"/>
      <c r="R645" s="5"/>
      <c r="S645" s="5"/>
      <c r="T645" s="5"/>
      <c r="U645" s="5"/>
      <c r="V645" s="5"/>
      <c r="W645" s="5"/>
      <c r="X645" s="5"/>
      <c r="Y645" s="5"/>
      <c r="Z645" s="5"/>
    </row>
    <row r="646" ht="12.0" customHeight="1">
      <c r="A646" s="92" t="s">
        <v>636</v>
      </c>
      <c r="B646" s="5"/>
      <c r="C646" s="204">
        <f t="shared" ref="C646:N646" si="190">C645</f>
        <v>38.25826667</v>
      </c>
      <c r="D646" s="204">
        <f t="shared" si="190"/>
        <v>29.20013333</v>
      </c>
      <c r="E646" s="204">
        <f t="shared" si="190"/>
        <v>27.36243333</v>
      </c>
      <c r="F646" s="204">
        <f t="shared" si="190"/>
        <v>26.19036667</v>
      </c>
      <c r="G646" s="204">
        <f t="shared" si="190"/>
        <v>24.51186667</v>
      </c>
      <c r="H646" s="204">
        <f t="shared" si="190"/>
        <v>24.00543333</v>
      </c>
      <c r="I646" s="204">
        <f t="shared" si="190"/>
        <v>25.68393333</v>
      </c>
      <c r="J646" s="204">
        <f t="shared" si="190"/>
        <v>25.68393333</v>
      </c>
      <c r="K646" s="204">
        <f t="shared" si="190"/>
        <v>25.68393333</v>
      </c>
      <c r="L646" s="204">
        <f t="shared" si="190"/>
        <v>25.1775</v>
      </c>
      <c r="M646" s="204">
        <f t="shared" si="190"/>
        <v>24.67106667</v>
      </c>
      <c r="N646" s="204">
        <f t="shared" si="190"/>
        <v>39.27113333</v>
      </c>
      <c r="O646" s="5"/>
      <c r="P646" s="5"/>
      <c r="Q646" s="5"/>
      <c r="R646" s="5"/>
      <c r="S646" s="5"/>
      <c r="T646" s="5"/>
      <c r="U646" s="5"/>
      <c r="V646" s="5"/>
      <c r="W646" s="5"/>
      <c r="X646" s="5"/>
      <c r="Y646" s="5"/>
      <c r="Z646" s="5"/>
    </row>
    <row r="647" ht="12.0" customHeight="1">
      <c r="A647" s="92" t="s">
        <v>637</v>
      </c>
      <c r="B647" s="5"/>
      <c r="C647" s="205">
        <f>'Resumen Capacidad'!$E$120</f>
        <v>86.65142857</v>
      </c>
      <c r="D647" s="205">
        <f>'Resumen Capacidad'!$E$120</f>
        <v>86.65142857</v>
      </c>
      <c r="E647" s="205">
        <f>'Resumen Capacidad'!$E$120</f>
        <v>86.65142857</v>
      </c>
      <c r="F647" s="205">
        <f>'Resumen Capacidad'!$E$120</f>
        <v>86.65142857</v>
      </c>
      <c r="G647" s="205">
        <f>'Resumen Capacidad'!$E$120</f>
        <v>86.65142857</v>
      </c>
      <c r="H647" s="205">
        <f>'Resumen Capacidad'!$E$120</f>
        <v>86.65142857</v>
      </c>
      <c r="I647" s="205">
        <f>'Resumen Capacidad'!$E$120</f>
        <v>86.65142857</v>
      </c>
      <c r="J647" s="205">
        <f>'Resumen Capacidad'!$E$120</f>
        <v>86.65142857</v>
      </c>
      <c r="K647" s="205">
        <f>'Resumen Capacidad'!$E$120</f>
        <v>86.65142857</v>
      </c>
      <c r="L647" s="205">
        <f>'Resumen Capacidad'!$E$120</f>
        <v>86.65142857</v>
      </c>
      <c r="M647" s="205">
        <f>'Resumen Capacidad'!$E$120</f>
        <v>86.65142857</v>
      </c>
      <c r="N647" s="205">
        <f>'Resumen Capacidad'!$E$120</f>
        <v>86.65142857</v>
      </c>
      <c r="O647" s="5"/>
      <c r="P647" s="5"/>
      <c r="Q647" s="5"/>
      <c r="R647" s="5"/>
      <c r="S647" s="5"/>
      <c r="T647" s="5"/>
      <c r="U647" s="5"/>
      <c r="V647" s="5"/>
      <c r="W647" s="5"/>
      <c r="X647" s="5"/>
      <c r="Y647" s="5"/>
      <c r="Z647" s="5"/>
    </row>
    <row r="648" ht="12.0" customHeight="1">
      <c r="A648" s="92" t="s">
        <v>640</v>
      </c>
      <c r="B648" s="5"/>
      <c r="C648" s="204">
        <f>'Resumen Capacidad'!$E$38*'Resumen Capacidad'!$E$74</f>
        <v>1</v>
      </c>
      <c r="D648" s="204">
        <f>'Resumen Capacidad'!$E$38*'Resumen Capacidad'!$E$74</f>
        <v>1</v>
      </c>
      <c r="E648" s="204">
        <f>'Resumen Capacidad'!$E$38*'Resumen Capacidad'!$E$74</f>
        <v>1</v>
      </c>
      <c r="F648" s="204">
        <f>'Resumen Capacidad'!$E$38*'Resumen Capacidad'!$E$74</f>
        <v>1</v>
      </c>
      <c r="G648" s="204">
        <f>'Resumen Capacidad'!$E$38*'Resumen Capacidad'!$E$74</f>
        <v>1</v>
      </c>
      <c r="H648" s="204">
        <f>'Resumen Capacidad'!$E$38*'Resumen Capacidad'!$E$74</f>
        <v>1</v>
      </c>
      <c r="I648" s="204">
        <f>'Resumen Capacidad'!$E$38*'Resumen Capacidad'!$E$74</f>
        <v>1</v>
      </c>
      <c r="J648" s="204">
        <f>'Resumen Capacidad'!$E$38*'Resumen Capacidad'!$E$74</f>
        <v>1</v>
      </c>
      <c r="K648" s="204">
        <f>'Resumen Capacidad'!$E$38*'Resumen Capacidad'!$E$74</f>
        <v>1</v>
      </c>
      <c r="L648" s="204">
        <f>'Resumen Capacidad'!$E$38*'Resumen Capacidad'!$E$74</f>
        <v>1</v>
      </c>
      <c r="M648" s="204">
        <f>'Resumen Capacidad'!$E$38*'Resumen Capacidad'!$E$74</f>
        <v>1</v>
      </c>
      <c r="N648" s="204">
        <f>'Resumen Capacidad'!$E$38*'Resumen Capacidad'!$E$74</f>
        <v>1</v>
      </c>
      <c r="O648" s="5"/>
      <c r="P648" s="5"/>
      <c r="Q648" s="5"/>
      <c r="R648" s="5"/>
      <c r="S648" s="5"/>
      <c r="T648" s="5"/>
      <c r="U648" s="5"/>
      <c r="V648" s="5"/>
      <c r="W648" s="5"/>
      <c r="X648" s="5"/>
      <c r="Y648" s="5"/>
      <c r="Z648" s="5"/>
    </row>
    <row r="649" ht="12.0" customHeight="1">
      <c r="A649" s="92" t="s">
        <v>642</v>
      </c>
      <c r="B649" s="5"/>
      <c r="C649" s="204">
        <f t="shared" ref="C649:N649" si="191">C647*C648</f>
        <v>86.65142857</v>
      </c>
      <c r="D649" s="204">
        <f t="shared" si="191"/>
        <v>86.65142857</v>
      </c>
      <c r="E649" s="204">
        <f t="shared" si="191"/>
        <v>86.65142857</v>
      </c>
      <c r="F649" s="204">
        <f t="shared" si="191"/>
        <v>86.65142857</v>
      </c>
      <c r="G649" s="204">
        <f t="shared" si="191"/>
        <v>86.65142857</v>
      </c>
      <c r="H649" s="204">
        <f t="shared" si="191"/>
        <v>86.65142857</v>
      </c>
      <c r="I649" s="204">
        <f t="shared" si="191"/>
        <v>86.65142857</v>
      </c>
      <c r="J649" s="204">
        <f t="shared" si="191"/>
        <v>86.65142857</v>
      </c>
      <c r="K649" s="204">
        <f t="shared" si="191"/>
        <v>86.65142857</v>
      </c>
      <c r="L649" s="204">
        <f t="shared" si="191"/>
        <v>86.65142857</v>
      </c>
      <c r="M649" s="204">
        <f t="shared" si="191"/>
        <v>86.65142857</v>
      </c>
      <c r="N649" s="204">
        <f t="shared" si="191"/>
        <v>86.65142857</v>
      </c>
      <c r="O649" s="5"/>
      <c r="P649" s="5"/>
      <c r="Q649" s="5"/>
      <c r="R649" s="5"/>
      <c r="S649" s="5"/>
      <c r="T649" s="5"/>
      <c r="U649" s="5"/>
      <c r="V649" s="5"/>
      <c r="W649" s="5"/>
      <c r="X649" s="5"/>
      <c r="Y649" s="5"/>
      <c r="Z649" s="5"/>
    </row>
    <row r="650" ht="12.0" customHeight="1">
      <c r="A650" s="92" t="s">
        <v>643</v>
      </c>
      <c r="B650" s="5"/>
      <c r="C650" s="206">
        <f t="shared" ref="C650:N650" si="192">IF(C649=0,0,C646/C649)</f>
        <v>0.4415191682</v>
      </c>
      <c r="D650" s="206">
        <f t="shared" si="192"/>
        <v>0.3369838653</v>
      </c>
      <c r="E650" s="206">
        <f t="shared" si="192"/>
        <v>0.3157759057</v>
      </c>
      <c r="F650" s="206">
        <f t="shared" si="192"/>
        <v>0.3022496813</v>
      </c>
      <c r="G650" s="206">
        <f t="shared" si="192"/>
        <v>0.2828789677</v>
      </c>
      <c r="H650" s="206">
        <f t="shared" si="192"/>
        <v>0.2770344786</v>
      </c>
      <c r="I650" s="206">
        <f t="shared" si="192"/>
        <v>0.2964051921</v>
      </c>
      <c r="J650" s="206">
        <f t="shared" si="192"/>
        <v>0.2964051921</v>
      </c>
      <c r="K650" s="206">
        <f t="shared" si="192"/>
        <v>0.2964051921</v>
      </c>
      <c r="L650" s="206">
        <f t="shared" si="192"/>
        <v>0.290560703</v>
      </c>
      <c r="M650" s="206">
        <f t="shared" si="192"/>
        <v>0.2847162138</v>
      </c>
      <c r="N650" s="206">
        <f t="shared" si="192"/>
        <v>0.4532081465</v>
      </c>
      <c r="O650" s="5"/>
      <c r="P650" s="5"/>
      <c r="Q650" s="5"/>
      <c r="R650" s="5"/>
      <c r="S650" s="5"/>
      <c r="T650" s="5"/>
      <c r="U650" s="5"/>
      <c r="V650" s="5"/>
      <c r="W650" s="5"/>
      <c r="X650" s="5"/>
      <c r="Y650" s="5"/>
      <c r="Z650" s="5"/>
    </row>
    <row r="651" ht="12.0" customHeight="1">
      <c r="A651" s="201" t="s">
        <v>671</v>
      </c>
      <c r="B651" s="202"/>
      <c r="C651" s="202"/>
      <c r="D651" s="202"/>
      <c r="E651" s="202"/>
      <c r="F651" s="202"/>
      <c r="G651" s="202"/>
      <c r="H651" s="202"/>
      <c r="I651" s="202"/>
      <c r="J651" s="202"/>
      <c r="K651" s="202"/>
      <c r="L651" s="202"/>
      <c r="M651" s="202"/>
      <c r="N651" s="202"/>
      <c r="O651" s="5"/>
      <c r="P651" s="5"/>
      <c r="Q651" s="5"/>
      <c r="R651" s="5"/>
      <c r="S651" s="5"/>
      <c r="T651" s="5"/>
      <c r="U651" s="5"/>
      <c r="V651" s="5"/>
      <c r="W651" s="5"/>
      <c r="X651" s="5"/>
      <c r="Y651" s="5"/>
      <c r="Z651" s="5"/>
    </row>
    <row r="652" ht="12.0" customHeight="1">
      <c r="A652" s="201" t="s">
        <v>630</v>
      </c>
      <c r="B652" s="201" t="s">
        <v>631</v>
      </c>
      <c r="C652" s="201" t="s">
        <v>3</v>
      </c>
      <c r="D652" s="201" t="s">
        <v>4</v>
      </c>
      <c r="E652" s="201" t="s">
        <v>5</v>
      </c>
      <c r="F652" s="201" t="s">
        <v>6</v>
      </c>
      <c r="G652" s="201" t="s">
        <v>7</v>
      </c>
      <c r="H652" s="201" t="s">
        <v>8</v>
      </c>
      <c r="I652" s="201" t="s">
        <v>9</v>
      </c>
      <c r="J652" s="201" t="s">
        <v>10</v>
      </c>
      <c r="K652" s="201" t="s">
        <v>11</v>
      </c>
      <c r="L652" s="201" t="s">
        <v>12</v>
      </c>
      <c r="M652" s="201" t="s">
        <v>13</v>
      </c>
      <c r="N652" s="201" t="s">
        <v>14</v>
      </c>
      <c r="O652" s="5"/>
      <c r="P652" s="5"/>
      <c r="Q652" s="5"/>
      <c r="R652" s="5"/>
      <c r="S652" s="5"/>
      <c r="T652" s="5"/>
      <c r="U652" s="5"/>
      <c r="V652" s="5"/>
      <c r="W652" s="5"/>
      <c r="X652" s="5"/>
      <c r="Y652" s="5"/>
      <c r="Z652" s="5"/>
    </row>
    <row r="653" ht="12.0" customHeight="1">
      <c r="A653" s="92" t="s">
        <v>651</v>
      </c>
      <c r="B653" s="92" t="s">
        <v>633</v>
      </c>
      <c r="C653" s="203">
        <f>SUM('2029'!B7:B9)+SUM('2029'!B18:B20)</f>
        <v>1519.3</v>
      </c>
      <c r="D653" s="203">
        <f>SUM('2029'!C7:C9)+SUM('2029'!C18:C20)</f>
        <v>1215.44</v>
      </c>
      <c r="E653" s="203">
        <f>SUM('2029'!D7:D9)+SUM('2029'!D18:D20)</f>
        <v>1291.405</v>
      </c>
      <c r="F653" s="203">
        <f>SUM('2029'!E7:E9)+SUM('2029'!E18:E20)</f>
        <v>1291.405</v>
      </c>
      <c r="G653" s="203">
        <f>SUM('2029'!F7:F9)+SUM('2029'!F18:F20)</f>
        <v>1215.44</v>
      </c>
      <c r="H653" s="203">
        <f>SUM('2029'!G7:G9)+SUM('2029'!G18:G20)</f>
        <v>1139.475</v>
      </c>
      <c r="I653" s="203">
        <f>SUM('2029'!H7:H9)+SUM('2029'!H18:H20)</f>
        <v>1215.44</v>
      </c>
      <c r="J653" s="203">
        <f>SUM('2029'!I7:I9)+SUM('2029'!I18:I20)</f>
        <v>1215.44</v>
      </c>
      <c r="K653" s="203">
        <f>SUM('2029'!J7:J9)+SUM('2029'!J18:J20)</f>
        <v>1215.44</v>
      </c>
      <c r="L653" s="203">
        <f>SUM('2029'!K7:K9)+SUM('2029'!K18:K20)</f>
        <v>1139.475</v>
      </c>
      <c r="M653" s="203">
        <f>SUM('2029'!L7:L9)+SUM('2029'!L18:L20)</f>
        <v>1063.51</v>
      </c>
      <c r="N653" s="203">
        <f>SUM('2029'!M7:M9)+SUM('2029'!M18:M20)</f>
        <v>1671.23</v>
      </c>
      <c r="O653" s="5"/>
      <c r="P653" s="5"/>
      <c r="Q653" s="5"/>
      <c r="R653" s="5"/>
      <c r="S653" s="5"/>
      <c r="T653" s="5"/>
      <c r="U653" s="5"/>
      <c r="V653" s="5"/>
      <c r="W653" s="5"/>
      <c r="X653" s="5"/>
      <c r="Y653" s="5"/>
      <c r="Z653" s="5"/>
    </row>
    <row r="654" ht="12.0" customHeight="1">
      <c r="A654" s="5"/>
      <c r="B654" s="92" t="s">
        <v>634</v>
      </c>
      <c r="C654" s="204">
        <f>C653/Parametros!$B$37</f>
        <v>75.965</v>
      </c>
      <c r="D654" s="204">
        <f>D653/Parametros!$B$37</f>
        <v>60.772</v>
      </c>
      <c r="E654" s="204">
        <f>E653/Parametros!$B$37</f>
        <v>64.57025</v>
      </c>
      <c r="F654" s="204">
        <f>F653/Parametros!$B$37</f>
        <v>64.57025</v>
      </c>
      <c r="G654" s="204">
        <f>G653/Parametros!$B$37</f>
        <v>60.772</v>
      </c>
      <c r="H654" s="204">
        <f>H653/Parametros!$B$37</f>
        <v>56.97375</v>
      </c>
      <c r="I654" s="204">
        <f>I653/Parametros!$B$37</f>
        <v>60.772</v>
      </c>
      <c r="J654" s="204">
        <f>J653/Parametros!$B$37</f>
        <v>60.772</v>
      </c>
      <c r="K654" s="204">
        <f>K653/Parametros!$B$37</f>
        <v>60.772</v>
      </c>
      <c r="L654" s="204">
        <f>L653/Parametros!$B$37</f>
        <v>56.97375</v>
      </c>
      <c r="M654" s="204">
        <f>M653/Parametros!$B$37</f>
        <v>53.1755</v>
      </c>
      <c r="N654" s="204">
        <f>N653/Parametros!$B$37</f>
        <v>83.5615</v>
      </c>
      <c r="O654" s="5"/>
      <c r="P654" s="5"/>
      <c r="Q654" s="5"/>
      <c r="R654" s="5"/>
      <c r="S654" s="5"/>
      <c r="T654" s="5"/>
      <c r="U654" s="5"/>
      <c r="V654" s="5"/>
      <c r="W654" s="5"/>
      <c r="X654" s="5"/>
      <c r="Y654" s="5"/>
      <c r="Z654" s="5"/>
    </row>
    <row r="655" ht="12.0" customHeight="1">
      <c r="A655" s="5"/>
      <c r="B655" s="92" t="s">
        <v>635</v>
      </c>
      <c r="C655" s="204">
        <f>C654/Parametros!$J$37</f>
        <v>10.12866667</v>
      </c>
      <c r="D655" s="204">
        <f>D654/Parametros!$J$37</f>
        <v>8.102933333</v>
      </c>
      <c r="E655" s="204">
        <f>E654/Parametros!$J$37</f>
        <v>8.609366667</v>
      </c>
      <c r="F655" s="204">
        <f>F654/Parametros!$J$37</f>
        <v>8.609366667</v>
      </c>
      <c r="G655" s="204">
        <f>G654/Parametros!$J$37</f>
        <v>8.102933333</v>
      </c>
      <c r="H655" s="204">
        <f>H654/Parametros!$J$37</f>
        <v>7.5965</v>
      </c>
      <c r="I655" s="204">
        <f>I654/Parametros!$J$37</f>
        <v>8.102933333</v>
      </c>
      <c r="J655" s="204">
        <f>J654/Parametros!$J$37</f>
        <v>8.102933333</v>
      </c>
      <c r="K655" s="204">
        <f>K654/Parametros!$J$37</f>
        <v>8.102933333</v>
      </c>
      <c r="L655" s="204">
        <f>L654/Parametros!$J$37</f>
        <v>7.5965</v>
      </c>
      <c r="M655" s="204">
        <f>M654/Parametros!$J$37</f>
        <v>7.090066667</v>
      </c>
      <c r="N655" s="204">
        <f>N654/Parametros!$J$37</f>
        <v>11.14153333</v>
      </c>
      <c r="O655" s="5"/>
      <c r="P655" s="5"/>
      <c r="Q655" s="5"/>
      <c r="R655" s="5"/>
      <c r="S655" s="5"/>
      <c r="T655" s="5"/>
      <c r="U655" s="5"/>
      <c r="V655" s="5"/>
      <c r="W655" s="5"/>
      <c r="X655" s="5"/>
      <c r="Y655" s="5"/>
      <c r="Z655" s="5"/>
    </row>
    <row r="656" ht="12.0" customHeight="1">
      <c r="A656" s="92" t="s">
        <v>636</v>
      </c>
      <c r="B656" s="5"/>
      <c r="C656" s="204">
        <f t="shared" ref="C656:N656" si="193">C655</f>
        <v>10.12866667</v>
      </c>
      <c r="D656" s="204">
        <f t="shared" si="193"/>
        <v>8.102933333</v>
      </c>
      <c r="E656" s="204">
        <f t="shared" si="193"/>
        <v>8.609366667</v>
      </c>
      <c r="F656" s="204">
        <f t="shared" si="193"/>
        <v>8.609366667</v>
      </c>
      <c r="G656" s="204">
        <f t="shared" si="193"/>
        <v>8.102933333</v>
      </c>
      <c r="H656" s="204">
        <f t="shared" si="193"/>
        <v>7.5965</v>
      </c>
      <c r="I656" s="204">
        <f t="shared" si="193"/>
        <v>8.102933333</v>
      </c>
      <c r="J656" s="204">
        <f t="shared" si="193"/>
        <v>8.102933333</v>
      </c>
      <c r="K656" s="204">
        <f t="shared" si="193"/>
        <v>8.102933333</v>
      </c>
      <c r="L656" s="204">
        <f t="shared" si="193"/>
        <v>7.5965</v>
      </c>
      <c r="M656" s="204">
        <f t="shared" si="193"/>
        <v>7.090066667</v>
      </c>
      <c r="N656" s="204">
        <f t="shared" si="193"/>
        <v>11.14153333</v>
      </c>
      <c r="O656" s="5"/>
      <c r="P656" s="5"/>
      <c r="Q656" s="5"/>
      <c r="R656" s="5"/>
      <c r="S656" s="5"/>
      <c r="T656" s="5"/>
      <c r="U656" s="5"/>
      <c r="V656" s="5"/>
      <c r="W656" s="5"/>
      <c r="X656" s="5"/>
      <c r="Y656" s="5"/>
      <c r="Z656" s="5"/>
    </row>
    <row r="657" ht="12.0" customHeight="1">
      <c r="A657" s="92" t="s">
        <v>637</v>
      </c>
      <c r="B657" s="5"/>
      <c r="C657" s="205">
        <f>'Resumen Capacidad'!$E$121</f>
        <v>71.1627907</v>
      </c>
      <c r="D657" s="205">
        <f>'Resumen Capacidad'!$E$121</f>
        <v>71.1627907</v>
      </c>
      <c r="E657" s="205">
        <f>'Resumen Capacidad'!$E$121</f>
        <v>71.1627907</v>
      </c>
      <c r="F657" s="205">
        <f>'Resumen Capacidad'!$E$121</f>
        <v>71.1627907</v>
      </c>
      <c r="G657" s="205">
        <f>'Resumen Capacidad'!$E$121</f>
        <v>71.1627907</v>
      </c>
      <c r="H657" s="205">
        <f>'Resumen Capacidad'!$E$121</f>
        <v>71.1627907</v>
      </c>
      <c r="I657" s="205">
        <f>'Resumen Capacidad'!$E$121</f>
        <v>71.1627907</v>
      </c>
      <c r="J657" s="205">
        <f>'Resumen Capacidad'!$E$121</f>
        <v>71.1627907</v>
      </c>
      <c r="K657" s="205">
        <f>'Resumen Capacidad'!$E$121</f>
        <v>71.1627907</v>
      </c>
      <c r="L657" s="205">
        <f>'Resumen Capacidad'!$E$121</f>
        <v>71.1627907</v>
      </c>
      <c r="M657" s="205">
        <f>'Resumen Capacidad'!$E$121</f>
        <v>71.1627907</v>
      </c>
      <c r="N657" s="205">
        <f>'Resumen Capacidad'!$E$121</f>
        <v>71.1627907</v>
      </c>
      <c r="O657" s="5"/>
      <c r="P657" s="5"/>
      <c r="Q657" s="5"/>
      <c r="R657" s="5"/>
      <c r="S657" s="5"/>
      <c r="T657" s="5"/>
      <c r="U657" s="5"/>
      <c r="V657" s="5"/>
      <c r="W657" s="5"/>
      <c r="X657" s="5"/>
      <c r="Y657" s="5"/>
      <c r="Z657" s="5"/>
    </row>
    <row r="658" ht="12.0" customHeight="1">
      <c r="A658" s="92" t="s">
        <v>640</v>
      </c>
      <c r="B658" s="5"/>
      <c r="C658" s="204">
        <f>'Resumen Capacidad'!$E$39*'Resumen Capacidad'!$E$75</f>
        <v>1</v>
      </c>
      <c r="D658" s="204">
        <f>'Resumen Capacidad'!$E$39*'Resumen Capacidad'!$E$75</f>
        <v>1</v>
      </c>
      <c r="E658" s="204">
        <f>'Resumen Capacidad'!$E$39*'Resumen Capacidad'!$E$75</f>
        <v>1</v>
      </c>
      <c r="F658" s="204">
        <f>'Resumen Capacidad'!$E$39*'Resumen Capacidad'!$E$75</f>
        <v>1</v>
      </c>
      <c r="G658" s="204">
        <f>'Resumen Capacidad'!$E$39*'Resumen Capacidad'!$E$75</f>
        <v>1</v>
      </c>
      <c r="H658" s="204">
        <f>'Resumen Capacidad'!$E$39*'Resumen Capacidad'!$E$75</f>
        <v>1</v>
      </c>
      <c r="I658" s="204">
        <f>'Resumen Capacidad'!$E$39*'Resumen Capacidad'!$E$75</f>
        <v>1</v>
      </c>
      <c r="J658" s="204">
        <f>'Resumen Capacidad'!$E$39*'Resumen Capacidad'!$E$75</f>
        <v>1</v>
      </c>
      <c r="K658" s="204">
        <f>'Resumen Capacidad'!$E$39*'Resumen Capacidad'!$E$75</f>
        <v>1</v>
      </c>
      <c r="L658" s="204">
        <f>'Resumen Capacidad'!$E$39*'Resumen Capacidad'!$E$75</f>
        <v>1</v>
      </c>
      <c r="M658" s="204">
        <f>'Resumen Capacidad'!$E$39*'Resumen Capacidad'!$E$75</f>
        <v>1</v>
      </c>
      <c r="N658" s="204">
        <f>'Resumen Capacidad'!$E$39*'Resumen Capacidad'!$E$75</f>
        <v>1</v>
      </c>
      <c r="O658" s="5"/>
      <c r="P658" s="5"/>
      <c r="Q658" s="5"/>
      <c r="R658" s="5"/>
      <c r="S658" s="5"/>
      <c r="T658" s="5"/>
      <c r="U658" s="5"/>
      <c r="V658" s="5"/>
      <c r="W658" s="5"/>
      <c r="X658" s="5"/>
      <c r="Y658" s="5"/>
      <c r="Z658" s="5"/>
    </row>
    <row r="659" ht="12.0" customHeight="1">
      <c r="A659" s="92" t="s">
        <v>642</v>
      </c>
      <c r="B659" s="5"/>
      <c r="C659" s="204">
        <f t="shared" ref="C659:N659" si="194">C657*C658</f>
        <v>71.1627907</v>
      </c>
      <c r="D659" s="204">
        <f t="shared" si="194"/>
        <v>71.1627907</v>
      </c>
      <c r="E659" s="204">
        <f t="shared" si="194"/>
        <v>71.1627907</v>
      </c>
      <c r="F659" s="204">
        <f t="shared" si="194"/>
        <v>71.1627907</v>
      </c>
      <c r="G659" s="204">
        <f t="shared" si="194"/>
        <v>71.1627907</v>
      </c>
      <c r="H659" s="204">
        <f t="shared" si="194"/>
        <v>71.1627907</v>
      </c>
      <c r="I659" s="204">
        <f t="shared" si="194"/>
        <v>71.1627907</v>
      </c>
      <c r="J659" s="204">
        <f t="shared" si="194"/>
        <v>71.1627907</v>
      </c>
      <c r="K659" s="204">
        <f t="shared" si="194"/>
        <v>71.1627907</v>
      </c>
      <c r="L659" s="204">
        <f t="shared" si="194"/>
        <v>71.1627907</v>
      </c>
      <c r="M659" s="204">
        <f t="shared" si="194"/>
        <v>71.1627907</v>
      </c>
      <c r="N659" s="204">
        <f t="shared" si="194"/>
        <v>71.1627907</v>
      </c>
      <c r="O659" s="5"/>
      <c r="P659" s="5"/>
      <c r="Q659" s="5"/>
      <c r="R659" s="5"/>
      <c r="S659" s="5"/>
      <c r="T659" s="5"/>
      <c r="U659" s="5"/>
      <c r="V659" s="5"/>
      <c r="W659" s="5"/>
      <c r="X659" s="5"/>
      <c r="Y659" s="5"/>
      <c r="Z659" s="5"/>
    </row>
    <row r="660" ht="12.0" customHeight="1">
      <c r="A660" s="92" t="s">
        <v>643</v>
      </c>
      <c r="B660" s="5"/>
      <c r="C660" s="206">
        <f t="shared" ref="C660:N660" si="195">IF(C659=0,0,C656/C659)</f>
        <v>0.1423309368</v>
      </c>
      <c r="D660" s="206">
        <f t="shared" si="195"/>
        <v>0.1138647495</v>
      </c>
      <c r="E660" s="206">
        <f t="shared" si="195"/>
        <v>0.1209812963</v>
      </c>
      <c r="F660" s="206">
        <f t="shared" si="195"/>
        <v>0.1209812963</v>
      </c>
      <c r="G660" s="206">
        <f t="shared" si="195"/>
        <v>0.1138647495</v>
      </c>
      <c r="H660" s="206">
        <f t="shared" si="195"/>
        <v>0.1067482026</v>
      </c>
      <c r="I660" s="206">
        <f t="shared" si="195"/>
        <v>0.1138647495</v>
      </c>
      <c r="J660" s="206">
        <f t="shared" si="195"/>
        <v>0.1138647495</v>
      </c>
      <c r="K660" s="206">
        <f t="shared" si="195"/>
        <v>0.1138647495</v>
      </c>
      <c r="L660" s="206">
        <f t="shared" si="195"/>
        <v>0.1067482026</v>
      </c>
      <c r="M660" s="206">
        <f t="shared" si="195"/>
        <v>0.09963165577</v>
      </c>
      <c r="N660" s="206">
        <f t="shared" si="195"/>
        <v>0.1565640305</v>
      </c>
      <c r="O660" s="5"/>
      <c r="P660" s="5"/>
      <c r="Q660" s="5"/>
      <c r="R660" s="5"/>
      <c r="S660" s="5"/>
      <c r="T660" s="5"/>
      <c r="U660" s="5"/>
      <c r="V660" s="5"/>
      <c r="W660" s="5"/>
      <c r="X660" s="5"/>
      <c r="Y660" s="5"/>
      <c r="Z660" s="5"/>
    </row>
    <row r="661" ht="12.0" customHeight="1">
      <c r="A661" s="201" t="s">
        <v>678</v>
      </c>
      <c r="B661" s="202"/>
      <c r="C661" s="202"/>
      <c r="D661" s="202"/>
      <c r="E661" s="202"/>
      <c r="F661" s="202"/>
      <c r="G661" s="202"/>
      <c r="H661" s="202"/>
      <c r="I661" s="202"/>
      <c r="J661" s="202"/>
      <c r="K661" s="202"/>
      <c r="L661" s="202"/>
      <c r="M661" s="202"/>
      <c r="N661" s="202"/>
      <c r="O661" s="5"/>
      <c r="P661" s="5"/>
      <c r="Q661" s="5"/>
      <c r="R661" s="5"/>
      <c r="S661" s="5"/>
      <c r="T661" s="5"/>
      <c r="U661" s="5"/>
      <c r="V661" s="5"/>
      <c r="W661" s="5"/>
      <c r="X661" s="5"/>
      <c r="Y661" s="5"/>
      <c r="Z661" s="5"/>
    </row>
    <row r="662" ht="12.0" customHeight="1">
      <c r="A662" s="201" t="s">
        <v>630</v>
      </c>
      <c r="B662" s="201" t="s">
        <v>631</v>
      </c>
      <c r="C662" s="201" t="s">
        <v>3</v>
      </c>
      <c r="D662" s="201" t="s">
        <v>4</v>
      </c>
      <c r="E662" s="201" t="s">
        <v>5</v>
      </c>
      <c r="F662" s="201" t="s">
        <v>6</v>
      </c>
      <c r="G662" s="201" t="s">
        <v>7</v>
      </c>
      <c r="H662" s="201" t="s">
        <v>8</v>
      </c>
      <c r="I662" s="201" t="s">
        <v>9</v>
      </c>
      <c r="J662" s="201" t="s">
        <v>10</v>
      </c>
      <c r="K662" s="201" t="s">
        <v>11</v>
      </c>
      <c r="L662" s="201" t="s">
        <v>12</v>
      </c>
      <c r="M662" s="201" t="s">
        <v>13</v>
      </c>
      <c r="N662" s="201" t="s">
        <v>14</v>
      </c>
      <c r="O662" s="5"/>
      <c r="P662" s="5"/>
      <c r="Q662" s="5"/>
      <c r="R662" s="5"/>
      <c r="S662" s="5"/>
      <c r="T662" s="5"/>
      <c r="U662" s="5"/>
      <c r="V662" s="5"/>
      <c r="W662" s="5"/>
      <c r="X662" s="5"/>
      <c r="Y662" s="5"/>
      <c r="Z662" s="5"/>
    </row>
    <row r="663" ht="12.0" customHeight="1">
      <c r="A663" s="92" t="s">
        <v>632</v>
      </c>
      <c r="B663" s="92" t="s">
        <v>633</v>
      </c>
      <c r="C663" s="203">
        <f>SUM('2029'!B6:B9)+SUM('2029'!B17:B20)</f>
        <v>5738.74</v>
      </c>
      <c r="D663" s="203">
        <f>SUM('2029'!C6:C9)+SUM('2029'!C17:C20)</f>
        <v>4380.02</v>
      </c>
      <c r="E663" s="203">
        <f>SUM('2029'!D6:D9)+SUM('2029'!D17:D20)</f>
        <v>4104.365</v>
      </c>
      <c r="F663" s="203">
        <f>SUM('2029'!E6:E9)+SUM('2029'!E17:E20)</f>
        <v>3928.555</v>
      </c>
      <c r="G663" s="203">
        <f>SUM('2029'!F6:F9)+SUM('2029'!F17:F20)</f>
        <v>3676.78</v>
      </c>
      <c r="H663" s="203">
        <f>SUM('2029'!G6:G9)+SUM('2029'!G17:G20)</f>
        <v>3600.815</v>
      </c>
      <c r="I663" s="203">
        <f>SUM('2029'!H6:H9)+SUM('2029'!H17:H20)</f>
        <v>3852.59</v>
      </c>
      <c r="J663" s="203">
        <f>SUM('2029'!I6:I9)+SUM('2029'!I17:I20)</f>
        <v>3852.59</v>
      </c>
      <c r="K663" s="203">
        <f>SUM('2029'!J6:J9)+SUM('2029'!J17:J20)</f>
        <v>3852.59</v>
      </c>
      <c r="L663" s="203">
        <f>SUM('2029'!K6:K9)+SUM('2029'!K17:K20)</f>
        <v>3776.625</v>
      </c>
      <c r="M663" s="203">
        <f>SUM('2029'!L6:L9)+SUM('2029'!L17:L20)</f>
        <v>3700.66</v>
      </c>
      <c r="N663" s="203">
        <f>SUM('2029'!M6:M9)+SUM('2029'!M17:M20)</f>
        <v>5890.67</v>
      </c>
      <c r="O663" s="5"/>
      <c r="P663" s="5"/>
      <c r="Q663" s="5"/>
      <c r="R663" s="5"/>
      <c r="S663" s="5"/>
      <c r="T663" s="5"/>
      <c r="U663" s="5"/>
      <c r="V663" s="5"/>
      <c r="W663" s="5"/>
      <c r="X663" s="5"/>
      <c r="Y663" s="5"/>
      <c r="Z663" s="5"/>
    </row>
    <row r="664" ht="12.0" customHeight="1">
      <c r="A664" s="5"/>
      <c r="B664" s="92" t="s">
        <v>634</v>
      </c>
      <c r="C664" s="204">
        <f>C663/Parametros!$B$37</f>
        <v>286.937</v>
      </c>
      <c r="D664" s="204">
        <f>D663/Parametros!$B$37</f>
        <v>219.001</v>
      </c>
      <c r="E664" s="204">
        <f>E663/Parametros!$B$37</f>
        <v>205.21825</v>
      </c>
      <c r="F664" s="204">
        <f>F663/Parametros!$B$37</f>
        <v>196.42775</v>
      </c>
      <c r="G664" s="204">
        <f>G663/Parametros!$B$37</f>
        <v>183.839</v>
      </c>
      <c r="H664" s="204">
        <f>H663/Parametros!$B$37</f>
        <v>180.04075</v>
      </c>
      <c r="I664" s="204">
        <f>I663/Parametros!$B$37</f>
        <v>192.6295</v>
      </c>
      <c r="J664" s="204">
        <f>J663/Parametros!$B$37</f>
        <v>192.6295</v>
      </c>
      <c r="K664" s="204">
        <f>K663/Parametros!$B$37</f>
        <v>192.6295</v>
      </c>
      <c r="L664" s="204">
        <f>L663/Parametros!$B$37</f>
        <v>188.83125</v>
      </c>
      <c r="M664" s="204">
        <f>M663/Parametros!$B$37</f>
        <v>185.033</v>
      </c>
      <c r="N664" s="204">
        <f>N663/Parametros!$B$37</f>
        <v>294.5335</v>
      </c>
      <c r="O664" s="5"/>
      <c r="P664" s="5"/>
      <c r="Q664" s="5"/>
      <c r="R664" s="5"/>
      <c r="S664" s="5"/>
      <c r="T664" s="5"/>
      <c r="U664" s="5"/>
      <c r="V664" s="5"/>
      <c r="W664" s="5"/>
      <c r="X664" s="5"/>
      <c r="Y664" s="5"/>
      <c r="Z664" s="5"/>
    </row>
    <row r="665" ht="12.0" customHeight="1">
      <c r="A665" s="5"/>
      <c r="B665" s="92" t="s">
        <v>635</v>
      </c>
      <c r="C665" s="204">
        <f>C664/Parametros!$J$37</f>
        <v>38.25826667</v>
      </c>
      <c r="D665" s="204">
        <f>D664/Parametros!$J$37</f>
        <v>29.20013333</v>
      </c>
      <c r="E665" s="204">
        <f>E664/Parametros!$J$37</f>
        <v>27.36243333</v>
      </c>
      <c r="F665" s="204">
        <f>F664/Parametros!$J$37</f>
        <v>26.19036667</v>
      </c>
      <c r="G665" s="204">
        <f>G664/Parametros!$J$37</f>
        <v>24.51186667</v>
      </c>
      <c r="H665" s="204">
        <f>H664/Parametros!$J$37</f>
        <v>24.00543333</v>
      </c>
      <c r="I665" s="204">
        <f>I664/Parametros!$J$37</f>
        <v>25.68393333</v>
      </c>
      <c r="J665" s="204">
        <f>J664/Parametros!$J$37</f>
        <v>25.68393333</v>
      </c>
      <c r="K665" s="204">
        <f>K664/Parametros!$J$37</f>
        <v>25.68393333</v>
      </c>
      <c r="L665" s="204">
        <f>L664/Parametros!$J$37</f>
        <v>25.1775</v>
      </c>
      <c r="M665" s="204">
        <f>M664/Parametros!$J$37</f>
        <v>24.67106667</v>
      </c>
      <c r="N665" s="204">
        <f>N664/Parametros!$J$37</f>
        <v>39.27113333</v>
      </c>
      <c r="O665" s="5"/>
      <c r="P665" s="5"/>
      <c r="Q665" s="5"/>
      <c r="R665" s="5"/>
      <c r="S665" s="5"/>
      <c r="T665" s="5"/>
      <c r="U665" s="5"/>
      <c r="V665" s="5"/>
      <c r="W665" s="5"/>
      <c r="X665" s="5"/>
      <c r="Y665" s="5"/>
      <c r="Z665" s="5"/>
    </row>
    <row r="666" ht="12.0" customHeight="1">
      <c r="A666" s="92" t="s">
        <v>636</v>
      </c>
      <c r="B666" s="5"/>
      <c r="C666" s="204">
        <f t="shared" ref="C666:N666" si="196">C665</f>
        <v>38.25826667</v>
      </c>
      <c r="D666" s="204">
        <f t="shared" si="196"/>
        <v>29.20013333</v>
      </c>
      <c r="E666" s="204">
        <f t="shared" si="196"/>
        <v>27.36243333</v>
      </c>
      <c r="F666" s="204">
        <f t="shared" si="196"/>
        <v>26.19036667</v>
      </c>
      <c r="G666" s="204">
        <f t="shared" si="196"/>
        <v>24.51186667</v>
      </c>
      <c r="H666" s="204">
        <f t="shared" si="196"/>
        <v>24.00543333</v>
      </c>
      <c r="I666" s="204">
        <f t="shared" si="196"/>
        <v>25.68393333</v>
      </c>
      <c r="J666" s="204">
        <f t="shared" si="196"/>
        <v>25.68393333</v>
      </c>
      <c r="K666" s="204">
        <f t="shared" si="196"/>
        <v>25.68393333</v>
      </c>
      <c r="L666" s="204">
        <f t="shared" si="196"/>
        <v>25.1775</v>
      </c>
      <c r="M666" s="204">
        <f t="shared" si="196"/>
        <v>24.67106667</v>
      </c>
      <c r="N666" s="204">
        <f t="shared" si="196"/>
        <v>39.27113333</v>
      </c>
      <c r="O666" s="5"/>
      <c r="P666" s="5"/>
      <c r="Q666" s="5"/>
      <c r="R666" s="5"/>
      <c r="S666" s="5"/>
      <c r="T666" s="5"/>
      <c r="U666" s="5"/>
      <c r="V666" s="5"/>
      <c r="W666" s="5"/>
      <c r="X666" s="5"/>
      <c r="Y666" s="5"/>
      <c r="Z666" s="5"/>
    </row>
    <row r="667" ht="12.0" customHeight="1">
      <c r="A667" s="92" t="s">
        <v>637</v>
      </c>
      <c r="B667" s="5"/>
      <c r="C667" s="205">
        <f>'Resumen Capacidad'!$E$122</f>
        <v>192</v>
      </c>
      <c r="D667" s="205">
        <f>'Resumen Capacidad'!$E$122</f>
        <v>192</v>
      </c>
      <c r="E667" s="205">
        <f>'Resumen Capacidad'!$E$122</f>
        <v>192</v>
      </c>
      <c r="F667" s="205">
        <f>'Resumen Capacidad'!$E$122</f>
        <v>192</v>
      </c>
      <c r="G667" s="205">
        <f>'Resumen Capacidad'!$E$122</f>
        <v>192</v>
      </c>
      <c r="H667" s="205">
        <f>'Resumen Capacidad'!$E$122</f>
        <v>192</v>
      </c>
      <c r="I667" s="205">
        <f>'Resumen Capacidad'!$E$122</f>
        <v>192</v>
      </c>
      <c r="J667" s="205">
        <f>'Resumen Capacidad'!$E$122</f>
        <v>192</v>
      </c>
      <c r="K667" s="205">
        <f>'Resumen Capacidad'!$E$122</f>
        <v>192</v>
      </c>
      <c r="L667" s="205">
        <f>'Resumen Capacidad'!$E$122</f>
        <v>192</v>
      </c>
      <c r="M667" s="205">
        <f>'Resumen Capacidad'!$E$122</f>
        <v>192</v>
      </c>
      <c r="N667" s="205">
        <f>'Resumen Capacidad'!$E$122</f>
        <v>192</v>
      </c>
      <c r="O667" s="5"/>
      <c r="P667" s="5"/>
      <c r="Q667" s="5"/>
      <c r="R667" s="5"/>
      <c r="S667" s="5"/>
      <c r="T667" s="5"/>
      <c r="U667" s="5"/>
      <c r="V667" s="5"/>
      <c r="W667" s="5"/>
      <c r="X667" s="5"/>
      <c r="Y667" s="5"/>
      <c r="Z667" s="5"/>
    </row>
    <row r="668" ht="12.0" customHeight="1">
      <c r="A668" s="92" t="s">
        <v>640</v>
      </c>
      <c r="B668" s="5"/>
      <c r="C668" s="204">
        <f>'Resumen Capacidad'!$E$40*'Resumen Capacidad'!$E$76</f>
        <v>1</v>
      </c>
      <c r="D668" s="204">
        <f>'Resumen Capacidad'!$E$40*'Resumen Capacidad'!$E$76</f>
        <v>1</v>
      </c>
      <c r="E668" s="204">
        <f>'Resumen Capacidad'!$E$40*'Resumen Capacidad'!$E$76</f>
        <v>1</v>
      </c>
      <c r="F668" s="204">
        <f>'Resumen Capacidad'!$E$40*'Resumen Capacidad'!$E$76</f>
        <v>1</v>
      </c>
      <c r="G668" s="204">
        <f>'Resumen Capacidad'!$E$40*'Resumen Capacidad'!$E$76</f>
        <v>1</v>
      </c>
      <c r="H668" s="204">
        <f>'Resumen Capacidad'!$E$40*'Resumen Capacidad'!$E$76</f>
        <v>1</v>
      </c>
      <c r="I668" s="204">
        <f>'Resumen Capacidad'!$E$40*'Resumen Capacidad'!$E$76</f>
        <v>1</v>
      </c>
      <c r="J668" s="204">
        <f>'Resumen Capacidad'!$E$40*'Resumen Capacidad'!$E$76</f>
        <v>1</v>
      </c>
      <c r="K668" s="204">
        <f>'Resumen Capacidad'!$E$40*'Resumen Capacidad'!$E$76</f>
        <v>1</v>
      </c>
      <c r="L668" s="204">
        <f>'Resumen Capacidad'!$E$40*'Resumen Capacidad'!$E$76</f>
        <v>1</v>
      </c>
      <c r="M668" s="204">
        <f>'Resumen Capacidad'!$E$40*'Resumen Capacidad'!$E$76</f>
        <v>1</v>
      </c>
      <c r="N668" s="204">
        <f>'Resumen Capacidad'!$E$40*'Resumen Capacidad'!$E$76</f>
        <v>1</v>
      </c>
      <c r="O668" s="5"/>
      <c r="P668" s="5"/>
      <c r="Q668" s="5"/>
      <c r="R668" s="5"/>
      <c r="S668" s="5"/>
      <c r="T668" s="5"/>
      <c r="U668" s="5"/>
      <c r="V668" s="5"/>
      <c r="W668" s="5"/>
      <c r="X668" s="5"/>
      <c r="Y668" s="5"/>
      <c r="Z668" s="5"/>
    </row>
    <row r="669" ht="12.0" customHeight="1">
      <c r="A669" s="92" t="s">
        <v>642</v>
      </c>
      <c r="B669" s="5"/>
      <c r="C669" s="204">
        <f t="shared" ref="C669:N669" si="197">C667*C668</f>
        <v>192</v>
      </c>
      <c r="D669" s="204">
        <f t="shared" si="197"/>
        <v>192</v>
      </c>
      <c r="E669" s="204">
        <f t="shared" si="197"/>
        <v>192</v>
      </c>
      <c r="F669" s="204">
        <f t="shared" si="197"/>
        <v>192</v>
      </c>
      <c r="G669" s="204">
        <f t="shared" si="197"/>
        <v>192</v>
      </c>
      <c r="H669" s="204">
        <f t="shared" si="197"/>
        <v>192</v>
      </c>
      <c r="I669" s="204">
        <f t="shared" si="197"/>
        <v>192</v>
      </c>
      <c r="J669" s="204">
        <f t="shared" si="197"/>
        <v>192</v>
      </c>
      <c r="K669" s="204">
        <f t="shared" si="197"/>
        <v>192</v>
      </c>
      <c r="L669" s="204">
        <f t="shared" si="197"/>
        <v>192</v>
      </c>
      <c r="M669" s="204">
        <f t="shared" si="197"/>
        <v>192</v>
      </c>
      <c r="N669" s="204">
        <f t="shared" si="197"/>
        <v>192</v>
      </c>
      <c r="O669" s="5"/>
      <c r="P669" s="5"/>
      <c r="Q669" s="5"/>
      <c r="R669" s="5"/>
      <c r="S669" s="5"/>
      <c r="T669" s="5"/>
      <c r="U669" s="5"/>
      <c r="V669" s="5"/>
      <c r="W669" s="5"/>
      <c r="X669" s="5"/>
      <c r="Y669" s="5"/>
      <c r="Z669" s="5"/>
    </row>
    <row r="670" ht="12.0" customHeight="1">
      <c r="A670" s="92" t="s">
        <v>643</v>
      </c>
      <c r="B670" s="5"/>
      <c r="C670" s="206">
        <f t="shared" ref="C670:N670" si="198">IF(C669=0,0,C666/C669)</f>
        <v>0.1992618056</v>
      </c>
      <c r="D670" s="206">
        <f t="shared" si="198"/>
        <v>0.1520840278</v>
      </c>
      <c r="E670" s="206">
        <f t="shared" si="198"/>
        <v>0.1425126736</v>
      </c>
      <c r="F670" s="206">
        <f t="shared" si="198"/>
        <v>0.1364081597</v>
      </c>
      <c r="G670" s="206">
        <f t="shared" si="198"/>
        <v>0.1276659722</v>
      </c>
      <c r="H670" s="206">
        <f t="shared" si="198"/>
        <v>0.1250282986</v>
      </c>
      <c r="I670" s="206">
        <f t="shared" si="198"/>
        <v>0.1337704861</v>
      </c>
      <c r="J670" s="206">
        <f t="shared" si="198"/>
        <v>0.1337704861</v>
      </c>
      <c r="K670" s="206">
        <f t="shared" si="198"/>
        <v>0.1337704861</v>
      </c>
      <c r="L670" s="206">
        <f t="shared" si="198"/>
        <v>0.1311328125</v>
      </c>
      <c r="M670" s="206">
        <f t="shared" si="198"/>
        <v>0.1284951389</v>
      </c>
      <c r="N670" s="206">
        <f t="shared" si="198"/>
        <v>0.2045371528</v>
      </c>
      <c r="O670" s="5"/>
      <c r="P670" s="5"/>
      <c r="Q670" s="5"/>
      <c r="R670" s="5"/>
      <c r="S670" s="5"/>
      <c r="T670" s="5"/>
      <c r="U670" s="5"/>
      <c r="V670" s="5"/>
      <c r="W670" s="5"/>
      <c r="X670" s="5"/>
      <c r="Y670" s="5"/>
      <c r="Z670" s="5"/>
    </row>
    <row r="671" ht="12.0" customHeight="1">
      <c r="A671" s="201" t="s">
        <v>686</v>
      </c>
      <c r="B671" s="202"/>
      <c r="C671" s="202"/>
      <c r="D671" s="202"/>
      <c r="E671" s="202"/>
      <c r="F671" s="202"/>
      <c r="G671" s="202"/>
      <c r="H671" s="202"/>
      <c r="I671" s="202"/>
      <c r="J671" s="202"/>
      <c r="K671" s="202"/>
      <c r="L671" s="202"/>
      <c r="M671" s="202"/>
      <c r="N671" s="202"/>
      <c r="O671" s="5"/>
      <c r="P671" s="5"/>
      <c r="Q671" s="5"/>
      <c r="R671" s="5"/>
      <c r="S671" s="5"/>
      <c r="T671" s="5"/>
      <c r="U671" s="5"/>
      <c r="V671" s="5"/>
      <c r="W671" s="5"/>
      <c r="X671" s="5"/>
      <c r="Y671" s="5"/>
      <c r="Z671" s="5"/>
    </row>
    <row r="672" ht="12.0" customHeight="1">
      <c r="A672" s="201" t="s">
        <v>630</v>
      </c>
      <c r="B672" s="201" t="s">
        <v>631</v>
      </c>
      <c r="C672" s="201" t="s">
        <v>3</v>
      </c>
      <c r="D672" s="201" t="s">
        <v>4</v>
      </c>
      <c r="E672" s="201" t="s">
        <v>5</v>
      </c>
      <c r="F672" s="201" t="s">
        <v>6</v>
      </c>
      <c r="G672" s="201" t="s">
        <v>7</v>
      </c>
      <c r="H672" s="201" t="s">
        <v>8</v>
      </c>
      <c r="I672" s="201" t="s">
        <v>9</v>
      </c>
      <c r="J672" s="201" t="s">
        <v>10</v>
      </c>
      <c r="K672" s="201" t="s">
        <v>11</v>
      </c>
      <c r="L672" s="201" t="s">
        <v>12</v>
      </c>
      <c r="M672" s="201" t="s">
        <v>13</v>
      </c>
      <c r="N672" s="201" t="s">
        <v>14</v>
      </c>
      <c r="O672" s="5"/>
      <c r="P672" s="5"/>
      <c r="Q672" s="5"/>
      <c r="R672" s="5"/>
      <c r="S672" s="5"/>
      <c r="T672" s="5"/>
      <c r="U672" s="5"/>
      <c r="V672" s="5"/>
      <c r="W672" s="5"/>
      <c r="X672" s="5"/>
      <c r="Y672" s="5"/>
      <c r="Z672" s="5"/>
    </row>
    <row r="673" ht="12.0" customHeight="1">
      <c r="A673" s="92" t="s">
        <v>632</v>
      </c>
      <c r="B673" s="92" t="s">
        <v>633</v>
      </c>
      <c r="C673" s="203">
        <f>SUM('2029'!B6:B9)+SUM('2029'!B17:B20)</f>
        <v>5738.74</v>
      </c>
      <c r="D673" s="203">
        <f>SUM('2029'!C6:C9)+SUM('2029'!C17:C20)</f>
        <v>4380.02</v>
      </c>
      <c r="E673" s="203">
        <f>SUM('2029'!D6:D9)+SUM('2029'!D17:D20)</f>
        <v>4104.365</v>
      </c>
      <c r="F673" s="203">
        <f>SUM('2029'!E6:E9)+SUM('2029'!E17:E20)</f>
        <v>3928.555</v>
      </c>
      <c r="G673" s="203">
        <f>SUM('2029'!F6:F9)+SUM('2029'!F17:F20)</f>
        <v>3676.78</v>
      </c>
      <c r="H673" s="203">
        <f>SUM('2029'!G6:G9)+SUM('2029'!G17:G20)</f>
        <v>3600.815</v>
      </c>
      <c r="I673" s="203">
        <f>SUM('2029'!H6:H9)+SUM('2029'!H17:H20)</f>
        <v>3852.59</v>
      </c>
      <c r="J673" s="203">
        <f>SUM('2029'!I6:I9)+SUM('2029'!I17:I20)</f>
        <v>3852.59</v>
      </c>
      <c r="K673" s="203">
        <f>SUM('2029'!J6:J9)+SUM('2029'!J17:J20)</f>
        <v>3852.59</v>
      </c>
      <c r="L673" s="203">
        <f>SUM('2029'!K6:K9)+SUM('2029'!K17:K20)</f>
        <v>3776.625</v>
      </c>
      <c r="M673" s="203">
        <f>SUM('2029'!L6:L9)+SUM('2029'!L17:L20)</f>
        <v>3700.66</v>
      </c>
      <c r="N673" s="203">
        <f>SUM('2029'!M6:M9)+SUM('2029'!M17:M20)</f>
        <v>5890.67</v>
      </c>
      <c r="O673" s="5"/>
      <c r="P673" s="5"/>
      <c r="Q673" s="5"/>
      <c r="R673" s="5"/>
      <c r="S673" s="5"/>
      <c r="T673" s="5"/>
      <c r="U673" s="5"/>
      <c r="V673" s="5"/>
      <c r="W673" s="5"/>
      <c r="X673" s="5"/>
      <c r="Y673" s="5"/>
      <c r="Z673" s="5"/>
    </row>
    <row r="674" ht="12.0" customHeight="1">
      <c r="A674" s="5"/>
      <c r="B674" s="92" t="s">
        <v>634</v>
      </c>
      <c r="C674" s="204">
        <f>C673/Parametros!$B$37</f>
        <v>286.937</v>
      </c>
      <c r="D674" s="204">
        <f>D673/Parametros!$B$37</f>
        <v>219.001</v>
      </c>
      <c r="E674" s="204">
        <f>E673/Parametros!$B$37</f>
        <v>205.21825</v>
      </c>
      <c r="F674" s="204">
        <f>F673/Parametros!$B$37</f>
        <v>196.42775</v>
      </c>
      <c r="G674" s="204">
        <f>G673/Parametros!$B$37</f>
        <v>183.839</v>
      </c>
      <c r="H674" s="204">
        <f>H673/Parametros!$B$37</f>
        <v>180.04075</v>
      </c>
      <c r="I674" s="204">
        <f>I673/Parametros!$B$37</f>
        <v>192.6295</v>
      </c>
      <c r="J674" s="204">
        <f>J673/Parametros!$B$37</f>
        <v>192.6295</v>
      </c>
      <c r="K674" s="204">
        <f>K673/Parametros!$B$37</f>
        <v>192.6295</v>
      </c>
      <c r="L674" s="204">
        <f>L673/Parametros!$B$37</f>
        <v>188.83125</v>
      </c>
      <c r="M674" s="204">
        <f>M673/Parametros!$B$37</f>
        <v>185.033</v>
      </c>
      <c r="N674" s="204">
        <f>N673/Parametros!$B$37</f>
        <v>294.5335</v>
      </c>
      <c r="O674" s="5"/>
      <c r="P674" s="5"/>
      <c r="Q674" s="5"/>
      <c r="R674" s="5"/>
      <c r="S674" s="5"/>
      <c r="T674" s="5"/>
      <c r="U674" s="5"/>
      <c r="V674" s="5"/>
      <c r="W674" s="5"/>
      <c r="X674" s="5"/>
      <c r="Y674" s="5"/>
      <c r="Z674" s="5"/>
    </row>
    <row r="675" ht="12.0" customHeight="1">
      <c r="A675" s="5"/>
      <c r="B675" s="92" t="s">
        <v>635</v>
      </c>
      <c r="C675" s="204">
        <f>C674/Parametros!$J$37</f>
        <v>38.25826667</v>
      </c>
      <c r="D675" s="204">
        <f>D674/Parametros!$J$37</f>
        <v>29.20013333</v>
      </c>
      <c r="E675" s="204">
        <f>E674/Parametros!$J$37</f>
        <v>27.36243333</v>
      </c>
      <c r="F675" s="204">
        <f>F674/Parametros!$J$37</f>
        <v>26.19036667</v>
      </c>
      <c r="G675" s="204">
        <f>G674/Parametros!$J$37</f>
        <v>24.51186667</v>
      </c>
      <c r="H675" s="204">
        <f>H674/Parametros!$J$37</f>
        <v>24.00543333</v>
      </c>
      <c r="I675" s="204">
        <f>I674/Parametros!$J$37</f>
        <v>25.68393333</v>
      </c>
      <c r="J675" s="204">
        <f>J674/Parametros!$J$37</f>
        <v>25.68393333</v>
      </c>
      <c r="K675" s="204">
        <f>K674/Parametros!$J$37</f>
        <v>25.68393333</v>
      </c>
      <c r="L675" s="204">
        <f>L674/Parametros!$J$37</f>
        <v>25.1775</v>
      </c>
      <c r="M675" s="204">
        <f>M674/Parametros!$J$37</f>
        <v>24.67106667</v>
      </c>
      <c r="N675" s="204">
        <f>N674/Parametros!$J$37</f>
        <v>39.27113333</v>
      </c>
      <c r="O675" s="5"/>
      <c r="P675" s="5"/>
      <c r="Q675" s="5"/>
      <c r="R675" s="5"/>
      <c r="S675" s="5"/>
      <c r="T675" s="5"/>
      <c r="U675" s="5"/>
      <c r="V675" s="5"/>
      <c r="W675" s="5"/>
      <c r="X675" s="5"/>
      <c r="Y675" s="5"/>
      <c r="Z675" s="5"/>
    </row>
    <row r="676" ht="12.0" customHeight="1">
      <c r="A676" s="92" t="s">
        <v>636</v>
      </c>
      <c r="B676" s="5"/>
      <c r="C676" s="204">
        <f t="shared" ref="C676:N676" si="199">C675</f>
        <v>38.25826667</v>
      </c>
      <c r="D676" s="204">
        <f t="shared" si="199"/>
        <v>29.20013333</v>
      </c>
      <c r="E676" s="204">
        <f t="shared" si="199"/>
        <v>27.36243333</v>
      </c>
      <c r="F676" s="204">
        <f t="shared" si="199"/>
        <v>26.19036667</v>
      </c>
      <c r="G676" s="204">
        <f t="shared" si="199"/>
        <v>24.51186667</v>
      </c>
      <c r="H676" s="204">
        <f t="shared" si="199"/>
        <v>24.00543333</v>
      </c>
      <c r="I676" s="204">
        <f t="shared" si="199"/>
        <v>25.68393333</v>
      </c>
      <c r="J676" s="204">
        <f t="shared" si="199"/>
        <v>25.68393333</v>
      </c>
      <c r="K676" s="204">
        <f t="shared" si="199"/>
        <v>25.68393333</v>
      </c>
      <c r="L676" s="204">
        <f t="shared" si="199"/>
        <v>25.1775</v>
      </c>
      <c r="M676" s="204">
        <f t="shared" si="199"/>
        <v>24.67106667</v>
      </c>
      <c r="N676" s="204">
        <f t="shared" si="199"/>
        <v>39.27113333</v>
      </c>
      <c r="O676" s="5"/>
      <c r="P676" s="5"/>
      <c r="Q676" s="5"/>
      <c r="R676" s="5"/>
      <c r="S676" s="5"/>
      <c r="T676" s="5"/>
      <c r="U676" s="5"/>
      <c r="V676" s="5"/>
      <c r="W676" s="5"/>
      <c r="X676" s="5"/>
      <c r="Y676" s="5"/>
      <c r="Z676" s="5"/>
    </row>
    <row r="677" ht="12.0" customHeight="1">
      <c r="A677" s="92" t="s">
        <v>637</v>
      </c>
      <c r="B677" s="5"/>
      <c r="C677" s="205">
        <f>'Resumen Capacidad'!$E$124</f>
        <v>136.0227273</v>
      </c>
      <c r="D677" s="205">
        <f>'Resumen Capacidad'!$E$124</f>
        <v>136.0227273</v>
      </c>
      <c r="E677" s="205">
        <f>'Resumen Capacidad'!$E$124</f>
        <v>136.0227273</v>
      </c>
      <c r="F677" s="205">
        <f>'Resumen Capacidad'!$E$124</f>
        <v>136.0227273</v>
      </c>
      <c r="G677" s="205">
        <f>'Resumen Capacidad'!$E$124</f>
        <v>136.0227273</v>
      </c>
      <c r="H677" s="205">
        <f>'Resumen Capacidad'!$E$124</f>
        <v>136.0227273</v>
      </c>
      <c r="I677" s="205">
        <f>'Resumen Capacidad'!$E$124</f>
        <v>136.0227273</v>
      </c>
      <c r="J677" s="205">
        <f>'Resumen Capacidad'!$E$124</f>
        <v>136.0227273</v>
      </c>
      <c r="K677" s="205">
        <f>'Resumen Capacidad'!$E$124</f>
        <v>136.0227273</v>
      </c>
      <c r="L677" s="205">
        <f>'Resumen Capacidad'!$E$124</f>
        <v>136.0227273</v>
      </c>
      <c r="M677" s="205">
        <f>'Resumen Capacidad'!$E$124</f>
        <v>136.0227273</v>
      </c>
      <c r="N677" s="205">
        <f>'Resumen Capacidad'!$E$124</f>
        <v>136.0227273</v>
      </c>
      <c r="O677" s="5"/>
      <c r="P677" s="5"/>
      <c r="Q677" s="5"/>
      <c r="R677" s="5"/>
      <c r="S677" s="5"/>
      <c r="T677" s="5"/>
      <c r="U677" s="5"/>
      <c r="V677" s="5"/>
      <c r="W677" s="5"/>
      <c r="X677" s="5"/>
      <c r="Y677" s="5"/>
      <c r="Z677" s="5"/>
    </row>
    <row r="678" ht="12.0" customHeight="1">
      <c r="A678" s="92" t="s">
        <v>640</v>
      </c>
      <c r="B678" s="5"/>
      <c r="C678" s="204">
        <f>'Resumen Capacidad'!$E$42*'Resumen Capacidad'!$E$78</f>
        <v>1</v>
      </c>
      <c r="D678" s="204">
        <f>'Resumen Capacidad'!$E$42*'Resumen Capacidad'!$E$78</f>
        <v>1</v>
      </c>
      <c r="E678" s="204">
        <f>'Resumen Capacidad'!$E$42*'Resumen Capacidad'!$E$78</f>
        <v>1</v>
      </c>
      <c r="F678" s="204">
        <f>'Resumen Capacidad'!$E$42*'Resumen Capacidad'!$E$78</f>
        <v>1</v>
      </c>
      <c r="G678" s="204">
        <f>'Resumen Capacidad'!$E$42*'Resumen Capacidad'!$E$78</f>
        <v>1</v>
      </c>
      <c r="H678" s="204">
        <f>'Resumen Capacidad'!$E$42*'Resumen Capacidad'!$E$78</f>
        <v>1</v>
      </c>
      <c r="I678" s="204">
        <f>'Resumen Capacidad'!$E$42*'Resumen Capacidad'!$E$78</f>
        <v>1</v>
      </c>
      <c r="J678" s="204">
        <f>'Resumen Capacidad'!$E$42*'Resumen Capacidad'!$E$78</f>
        <v>1</v>
      </c>
      <c r="K678" s="204">
        <f>'Resumen Capacidad'!$E$42*'Resumen Capacidad'!$E$78</f>
        <v>1</v>
      </c>
      <c r="L678" s="204">
        <f>'Resumen Capacidad'!$E$42*'Resumen Capacidad'!$E$78</f>
        <v>1</v>
      </c>
      <c r="M678" s="204">
        <f>'Resumen Capacidad'!$E$42*'Resumen Capacidad'!$E$78</f>
        <v>1</v>
      </c>
      <c r="N678" s="204">
        <f>'Resumen Capacidad'!$E$42*'Resumen Capacidad'!$E$78</f>
        <v>1</v>
      </c>
      <c r="O678" s="5"/>
      <c r="P678" s="5"/>
      <c r="Q678" s="5"/>
      <c r="R678" s="5"/>
      <c r="S678" s="5"/>
      <c r="T678" s="5"/>
      <c r="U678" s="5"/>
      <c r="V678" s="5"/>
      <c r="W678" s="5"/>
      <c r="X678" s="5"/>
      <c r="Y678" s="5"/>
      <c r="Z678" s="5"/>
    </row>
    <row r="679" ht="12.0" customHeight="1">
      <c r="A679" s="92" t="s">
        <v>642</v>
      </c>
      <c r="B679" s="5"/>
      <c r="C679" s="204">
        <f t="shared" ref="C679:N679" si="200">C677*C678</f>
        <v>136.0227273</v>
      </c>
      <c r="D679" s="204">
        <f t="shared" si="200"/>
        <v>136.0227273</v>
      </c>
      <c r="E679" s="204">
        <f t="shared" si="200"/>
        <v>136.0227273</v>
      </c>
      <c r="F679" s="204">
        <f t="shared" si="200"/>
        <v>136.0227273</v>
      </c>
      <c r="G679" s="204">
        <f t="shared" si="200"/>
        <v>136.0227273</v>
      </c>
      <c r="H679" s="204">
        <f t="shared" si="200"/>
        <v>136.0227273</v>
      </c>
      <c r="I679" s="204">
        <f t="shared" si="200"/>
        <v>136.0227273</v>
      </c>
      <c r="J679" s="204">
        <f t="shared" si="200"/>
        <v>136.0227273</v>
      </c>
      <c r="K679" s="204">
        <f t="shared" si="200"/>
        <v>136.0227273</v>
      </c>
      <c r="L679" s="204">
        <f t="shared" si="200"/>
        <v>136.0227273</v>
      </c>
      <c r="M679" s="204">
        <f t="shared" si="200"/>
        <v>136.0227273</v>
      </c>
      <c r="N679" s="204">
        <f t="shared" si="200"/>
        <v>136.0227273</v>
      </c>
      <c r="O679" s="5"/>
      <c r="P679" s="5"/>
      <c r="Q679" s="5"/>
      <c r="R679" s="5"/>
      <c r="S679" s="5"/>
      <c r="T679" s="5"/>
      <c r="U679" s="5"/>
      <c r="V679" s="5"/>
      <c r="W679" s="5"/>
      <c r="X679" s="5"/>
      <c r="Y679" s="5"/>
      <c r="Z679" s="5"/>
    </row>
    <row r="680" ht="12.0" customHeight="1">
      <c r="A680" s="92" t="s">
        <v>643</v>
      </c>
      <c r="B680" s="5"/>
      <c r="C680" s="206">
        <f t="shared" ref="C680:N680" si="201">IF(C679=0,0,C676/C679)</f>
        <v>0.2812637817</v>
      </c>
      <c r="D680" s="206">
        <f t="shared" si="201"/>
        <v>0.2146709886</v>
      </c>
      <c r="E680" s="206">
        <f t="shared" si="201"/>
        <v>0.2011607463</v>
      </c>
      <c r="F680" s="206">
        <f t="shared" si="201"/>
        <v>0.192544049</v>
      </c>
      <c r="G680" s="206">
        <f t="shared" si="201"/>
        <v>0.1802041994</v>
      </c>
      <c r="H680" s="206">
        <f t="shared" si="201"/>
        <v>0.1764810471</v>
      </c>
      <c r="I680" s="206">
        <f t="shared" si="201"/>
        <v>0.1888208967</v>
      </c>
      <c r="J680" s="206">
        <f t="shared" si="201"/>
        <v>0.1888208967</v>
      </c>
      <c r="K680" s="206">
        <f t="shared" si="201"/>
        <v>0.1888208967</v>
      </c>
      <c r="L680" s="206">
        <f t="shared" si="201"/>
        <v>0.1850977444</v>
      </c>
      <c r="M680" s="206">
        <f t="shared" si="201"/>
        <v>0.181374592</v>
      </c>
      <c r="N680" s="206">
        <f t="shared" si="201"/>
        <v>0.2887100863</v>
      </c>
      <c r="O680" s="5"/>
      <c r="P680" s="5"/>
      <c r="Q680" s="5"/>
      <c r="R680" s="5"/>
      <c r="S680" s="5"/>
      <c r="T680" s="5"/>
      <c r="U680" s="5"/>
      <c r="V680" s="5"/>
      <c r="W680" s="5"/>
      <c r="X680" s="5"/>
      <c r="Y680" s="5"/>
      <c r="Z680" s="5"/>
    </row>
    <row r="681" ht="12.0" customHeight="1">
      <c r="A681" s="201" t="s">
        <v>693</v>
      </c>
      <c r="B681" s="202"/>
      <c r="C681" s="202"/>
      <c r="D681" s="202"/>
      <c r="E681" s="202"/>
      <c r="F681" s="202"/>
      <c r="G681" s="202"/>
      <c r="H681" s="202"/>
      <c r="I681" s="202"/>
      <c r="J681" s="202"/>
      <c r="K681" s="202"/>
      <c r="L681" s="202"/>
      <c r="M681" s="202"/>
      <c r="N681" s="202"/>
      <c r="O681" s="5"/>
      <c r="P681" s="5"/>
      <c r="Q681" s="5"/>
      <c r="R681" s="5"/>
      <c r="S681" s="5"/>
      <c r="T681" s="5"/>
      <c r="U681" s="5"/>
      <c r="V681" s="5"/>
      <c r="W681" s="5"/>
      <c r="X681" s="5"/>
      <c r="Y681" s="5"/>
      <c r="Z681" s="5"/>
    </row>
    <row r="682" ht="12.0" customHeight="1">
      <c r="A682" s="201" t="s">
        <v>630</v>
      </c>
      <c r="B682" s="201" t="s">
        <v>631</v>
      </c>
      <c r="C682" s="201" t="s">
        <v>3</v>
      </c>
      <c r="D682" s="201" t="s">
        <v>4</v>
      </c>
      <c r="E682" s="201" t="s">
        <v>5</v>
      </c>
      <c r="F682" s="201" t="s">
        <v>6</v>
      </c>
      <c r="G682" s="201" t="s">
        <v>7</v>
      </c>
      <c r="H682" s="201" t="s">
        <v>8</v>
      </c>
      <c r="I682" s="201" t="s">
        <v>9</v>
      </c>
      <c r="J682" s="201" t="s">
        <v>10</v>
      </c>
      <c r="K682" s="201" t="s">
        <v>11</v>
      </c>
      <c r="L682" s="201" t="s">
        <v>12</v>
      </c>
      <c r="M682" s="201" t="s">
        <v>13</v>
      </c>
      <c r="N682" s="201" t="s">
        <v>14</v>
      </c>
      <c r="O682" s="5"/>
      <c r="P682" s="5"/>
      <c r="Q682" s="5"/>
      <c r="R682" s="5"/>
      <c r="S682" s="5"/>
      <c r="T682" s="5"/>
      <c r="U682" s="5"/>
      <c r="V682" s="5"/>
      <c r="W682" s="5"/>
      <c r="X682" s="5"/>
      <c r="Y682" s="5"/>
      <c r="Z682" s="5"/>
    </row>
    <row r="683" ht="12.0" customHeight="1">
      <c r="A683" s="92" t="s">
        <v>694</v>
      </c>
      <c r="B683" s="92" t="s">
        <v>633</v>
      </c>
      <c r="C683" s="203">
        <f>SUM('2029'!B6:B9)+Parametros!$B$72*C2330</f>
        <v>1986.75</v>
      </c>
      <c r="D683" s="203">
        <f>SUM('2029'!C6:C9)+Parametros!$B$72*D2330</f>
        <v>1547.04</v>
      </c>
      <c r="E683" s="203">
        <f>SUM('2029'!D6:D9)+Parametros!$B$72*E2330</f>
        <v>1523.87</v>
      </c>
      <c r="F683" s="203">
        <f>SUM('2029'!E6:E9)+Parametros!$B$72*F2330</f>
        <v>1481.535</v>
      </c>
      <c r="G683" s="203">
        <f>SUM('2029'!F6:F9)+Parametros!$B$72*G2330</f>
        <v>1395.79</v>
      </c>
      <c r="H683" s="203">
        <f>SUM('2029'!G6:G9)+Parametros!$B$72*H2330</f>
        <v>1340.32</v>
      </c>
      <c r="I683" s="203">
        <f>SUM('2029'!H6:H9)+Parametros!$B$72*I2330</f>
        <v>1438.125</v>
      </c>
      <c r="J683" s="203">
        <f>SUM('2029'!I6:I9)+Parametros!$B$72*J2330</f>
        <v>1438.125</v>
      </c>
      <c r="K683" s="203">
        <f>SUM('2029'!J6:J9)+Parametros!$B$72*K2330</f>
        <v>1432.095</v>
      </c>
      <c r="L683" s="203">
        <f>SUM('2029'!K6:K9)+Parametros!$B$72*L2330</f>
        <v>1376.625</v>
      </c>
      <c r="M683" s="203">
        <f>SUM('2029'!L6:L9)+Parametros!$B$72*M2330</f>
        <v>1327.185</v>
      </c>
      <c r="N683" s="203">
        <f>SUM('2029'!M6:M9)+Parametros!$B$72*N2330</f>
        <v>2067.54</v>
      </c>
      <c r="O683" s="5"/>
      <c r="P683" s="5"/>
      <c r="Q683" s="5"/>
      <c r="R683" s="5"/>
      <c r="S683" s="5"/>
      <c r="T683" s="5"/>
      <c r="U683" s="5"/>
      <c r="V683" s="5"/>
      <c r="W683" s="5"/>
      <c r="X683" s="5"/>
      <c r="Y683" s="5"/>
      <c r="Z683" s="5"/>
    </row>
    <row r="684" ht="12.0" customHeight="1">
      <c r="A684" s="5"/>
      <c r="B684" s="92" t="s">
        <v>634</v>
      </c>
      <c r="C684" s="204">
        <f>C683/Parametros!$B$37</f>
        <v>99.3375</v>
      </c>
      <c r="D684" s="204">
        <f>D683/Parametros!$B$37</f>
        <v>77.352</v>
      </c>
      <c r="E684" s="204">
        <f>E683/Parametros!$B$37</f>
        <v>76.1935</v>
      </c>
      <c r="F684" s="204">
        <f>F683/Parametros!$B$37</f>
        <v>74.07675</v>
      </c>
      <c r="G684" s="204">
        <f>G683/Parametros!$B$37</f>
        <v>69.7895</v>
      </c>
      <c r="H684" s="204">
        <f>H683/Parametros!$B$37</f>
        <v>67.016</v>
      </c>
      <c r="I684" s="204">
        <f>I683/Parametros!$B$37</f>
        <v>71.90625</v>
      </c>
      <c r="J684" s="204">
        <f>J683/Parametros!$B$37</f>
        <v>71.90625</v>
      </c>
      <c r="K684" s="204">
        <f>K683/Parametros!$B$37</f>
        <v>71.60475</v>
      </c>
      <c r="L684" s="204">
        <f>L683/Parametros!$B$37</f>
        <v>68.83125</v>
      </c>
      <c r="M684" s="204">
        <f>M683/Parametros!$B$37</f>
        <v>66.35925</v>
      </c>
      <c r="N684" s="204">
        <f>N683/Parametros!$B$37</f>
        <v>103.377</v>
      </c>
      <c r="O684" s="5"/>
      <c r="P684" s="5"/>
      <c r="Q684" s="5"/>
      <c r="R684" s="5"/>
      <c r="S684" s="5"/>
      <c r="T684" s="5"/>
      <c r="U684" s="5"/>
      <c r="V684" s="5"/>
      <c r="W684" s="5"/>
      <c r="X684" s="5"/>
      <c r="Y684" s="5"/>
      <c r="Z684" s="5"/>
    </row>
    <row r="685" ht="12.0" customHeight="1">
      <c r="A685" s="5"/>
      <c r="B685" s="92" t="s">
        <v>635</v>
      </c>
      <c r="C685" s="204">
        <f>C684/Parametros!$J$37</f>
        <v>13.245</v>
      </c>
      <c r="D685" s="204">
        <f>D684/Parametros!$J$37</f>
        <v>10.3136</v>
      </c>
      <c r="E685" s="204">
        <f>E684/Parametros!$J$37</f>
        <v>10.15913333</v>
      </c>
      <c r="F685" s="204">
        <f>F684/Parametros!$J$37</f>
        <v>9.8769</v>
      </c>
      <c r="G685" s="204">
        <f>G684/Parametros!$J$37</f>
        <v>9.305266667</v>
      </c>
      <c r="H685" s="204">
        <f>H684/Parametros!$J$37</f>
        <v>8.935466667</v>
      </c>
      <c r="I685" s="204">
        <f>I684/Parametros!$J$37</f>
        <v>9.5875</v>
      </c>
      <c r="J685" s="204">
        <f>J684/Parametros!$J$37</f>
        <v>9.5875</v>
      </c>
      <c r="K685" s="204">
        <f>K684/Parametros!$J$37</f>
        <v>9.5473</v>
      </c>
      <c r="L685" s="204">
        <f>L684/Parametros!$J$37</f>
        <v>9.1775</v>
      </c>
      <c r="M685" s="204">
        <f>M684/Parametros!$J$37</f>
        <v>8.8479</v>
      </c>
      <c r="N685" s="204">
        <f>N684/Parametros!$J$37</f>
        <v>13.7836</v>
      </c>
      <c r="O685" s="5"/>
      <c r="P685" s="5"/>
      <c r="Q685" s="5"/>
      <c r="R685" s="5"/>
      <c r="S685" s="5"/>
      <c r="T685" s="5"/>
      <c r="U685" s="5"/>
      <c r="V685" s="5"/>
      <c r="W685" s="5"/>
      <c r="X685" s="5"/>
      <c r="Y685" s="5"/>
      <c r="Z685" s="5"/>
    </row>
    <row r="686" ht="12.0" customHeight="1">
      <c r="A686" s="92" t="s">
        <v>636</v>
      </c>
      <c r="B686" s="5"/>
      <c r="C686" s="204">
        <f t="shared" ref="C686:N686" si="202">C685</f>
        <v>13.245</v>
      </c>
      <c r="D686" s="204">
        <f t="shared" si="202"/>
        <v>10.3136</v>
      </c>
      <c r="E686" s="204">
        <f t="shared" si="202"/>
        <v>10.15913333</v>
      </c>
      <c r="F686" s="204">
        <f t="shared" si="202"/>
        <v>9.8769</v>
      </c>
      <c r="G686" s="204">
        <f t="shared" si="202"/>
        <v>9.305266667</v>
      </c>
      <c r="H686" s="204">
        <f t="shared" si="202"/>
        <v>8.935466667</v>
      </c>
      <c r="I686" s="204">
        <f t="shared" si="202"/>
        <v>9.5875</v>
      </c>
      <c r="J686" s="204">
        <f t="shared" si="202"/>
        <v>9.5875</v>
      </c>
      <c r="K686" s="204">
        <f t="shared" si="202"/>
        <v>9.5473</v>
      </c>
      <c r="L686" s="204">
        <f t="shared" si="202"/>
        <v>9.1775</v>
      </c>
      <c r="M686" s="204">
        <f t="shared" si="202"/>
        <v>8.8479</v>
      </c>
      <c r="N686" s="204">
        <f t="shared" si="202"/>
        <v>13.7836</v>
      </c>
      <c r="O686" s="5"/>
      <c r="P686" s="5"/>
      <c r="Q686" s="5"/>
      <c r="R686" s="5"/>
      <c r="S686" s="5"/>
      <c r="T686" s="5"/>
      <c r="U686" s="5"/>
      <c r="V686" s="5"/>
      <c r="W686" s="5"/>
      <c r="X686" s="5"/>
      <c r="Y686" s="5"/>
      <c r="Z686" s="5"/>
    </row>
    <row r="687" ht="12.0" customHeight="1">
      <c r="A687" s="92" t="s">
        <v>637</v>
      </c>
      <c r="B687" s="5"/>
      <c r="C687" s="205">
        <f>'Resumen Capacidad'!$E$125</f>
        <v>60.34285714</v>
      </c>
      <c r="D687" s="205">
        <f>'Resumen Capacidad'!$E$125</f>
        <v>60.34285714</v>
      </c>
      <c r="E687" s="205">
        <f>'Resumen Capacidad'!$E$125</f>
        <v>60.34285714</v>
      </c>
      <c r="F687" s="205">
        <f>'Resumen Capacidad'!$E$125</f>
        <v>60.34285714</v>
      </c>
      <c r="G687" s="205">
        <f>'Resumen Capacidad'!$E$125</f>
        <v>60.34285714</v>
      </c>
      <c r="H687" s="205">
        <f>'Resumen Capacidad'!$E$125</f>
        <v>60.34285714</v>
      </c>
      <c r="I687" s="205">
        <f>'Resumen Capacidad'!$E$125</f>
        <v>60.34285714</v>
      </c>
      <c r="J687" s="205">
        <f>'Resumen Capacidad'!$E$125</f>
        <v>60.34285714</v>
      </c>
      <c r="K687" s="205">
        <f>'Resumen Capacidad'!$E$125</f>
        <v>60.34285714</v>
      </c>
      <c r="L687" s="205">
        <f>'Resumen Capacidad'!$E$125</f>
        <v>60.34285714</v>
      </c>
      <c r="M687" s="205">
        <f>'Resumen Capacidad'!$E$125</f>
        <v>60.34285714</v>
      </c>
      <c r="N687" s="205">
        <f>'Resumen Capacidad'!$E$125</f>
        <v>60.34285714</v>
      </c>
      <c r="O687" s="5"/>
      <c r="P687" s="5"/>
      <c r="Q687" s="5"/>
      <c r="R687" s="5"/>
      <c r="S687" s="5"/>
      <c r="T687" s="5"/>
      <c r="U687" s="5"/>
      <c r="V687" s="5"/>
      <c r="W687" s="5"/>
      <c r="X687" s="5"/>
      <c r="Y687" s="5"/>
      <c r="Z687" s="5"/>
    </row>
    <row r="688" ht="12.0" customHeight="1">
      <c r="A688" s="92" t="s">
        <v>640</v>
      </c>
      <c r="B688" s="5"/>
      <c r="C688" s="204">
        <f>'Resumen Capacidad'!$E$43*'Resumen Capacidad'!$E$79</f>
        <v>1</v>
      </c>
      <c r="D688" s="204">
        <f>'Resumen Capacidad'!$E$43*'Resumen Capacidad'!$E$79</f>
        <v>1</v>
      </c>
      <c r="E688" s="204">
        <f>'Resumen Capacidad'!$E$43*'Resumen Capacidad'!$E$79</f>
        <v>1</v>
      </c>
      <c r="F688" s="204">
        <f>'Resumen Capacidad'!$E$43*'Resumen Capacidad'!$E$79</f>
        <v>1</v>
      </c>
      <c r="G688" s="204">
        <f>'Resumen Capacidad'!$E$43*'Resumen Capacidad'!$E$79</f>
        <v>1</v>
      </c>
      <c r="H688" s="204">
        <f>'Resumen Capacidad'!$E$43*'Resumen Capacidad'!$E$79</f>
        <v>1</v>
      </c>
      <c r="I688" s="204">
        <f>'Resumen Capacidad'!$E$43*'Resumen Capacidad'!$E$79</f>
        <v>1</v>
      </c>
      <c r="J688" s="204">
        <f>'Resumen Capacidad'!$E$43*'Resumen Capacidad'!$E$79</f>
        <v>1</v>
      </c>
      <c r="K688" s="204">
        <f>'Resumen Capacidad'!$E$43*'Resumen Capacidad'!$E$79</f>
        <v>1</v>
      </c>
      <c r="L688" s="204">
        <f>'Resumen Capacidad'!$E$43*'Resumen Capacidad'!$E$79</f>
        <v>1</v>
      </c>
      <c r="M688" s="204">
        <f>'Resumen Capacidad'!$E$43*'Resumen Capacidad'!$E$79</f>
        <v>1</v>
      </c>
      <c r="N688" s="204">
        <f>'Resumen Capacidad'!$E$43*'Resumen Capacidad'!$E$79</f>
        <v>1</v>
      </c>
      <c r="O688" s="5"/>
      <c r="P688" s="5"/>
      <c r="Q688" s="5"/>
      <c r="R688" s="5"/>
      <c r="S688" s="5"/>
      <c r="T688" s="5"/>
      <c r="U688" s="5"/>
      <c r="V688" s="5"/>
      <c r="W688" s="5"/>
      <c r="X688" s="5"/>
      <c r="Y688" s="5"/>
      <c r="Z688" s="5"/>
    </row>
    <row r="689" ht="12.0" customHeight="1">
      <c r="A689" s="92" t="s">
        <v>642</v>
      </c>
      <c r="B689" s="5"/>
      <c r="C689" s="204">
        <f t="shared" ref="C689:N689" si="203">C687*C688</f>
        <v>60.34285714</v>
      </c>
      <c r="D689" s="204">
        <f t="shared" si="203"/>
        <v>60.34285714</v>
      </c>
      <c r="E689" s="204">
        <f t="shared" si="203"/>
        <v>60.34285714</v>
      </c>
      <c r="F689" s="204">
        <f t="shared" si="203"/>
        <v>60.34285714</v>
      </c>
      <c r="G689" s="204">
        <f t="shared" si="203"/>
        <v>60.34285714</v>
      </c>
      <c r="H689" s="204">
        <f t="shared" si="203"/>
        <v>60.34285714</v>
      </c>
      <c r="I689" s="204">
        <f t="shared" si="203"/>
        <v>60.34285714</v>
      </c>
      <c r="J689" s="204">
        <f t="shared" si="203"/>
        <v>60.34285714</v>
      </c>
      <c r="K689" s="204">
        <f t="shared" si="203"/>
        <v>60.34285714</v>
      </c>
      <c r="L689" s="204">
        <f t="shared" si="203"/>
        <v>60.34285714</v>
      </c>
      <c r="M689" s="204">
        <f t="shared" si="203"/>
        <v>60.34285714</v>
      </c>
      <c r="N689" s="204">
        <f t="shared" si="203"/>
        <v>60.34285714</v>
      </c>
      <c r="O689" s="5"/>
      <c r="P689" s="5"/>
      <c r="Q689" s="5"/>
      <c r="R689" s="5"/>
      <c r="S689" s="5"/>
      <c r="T689" s="5"/>
      <c r="U689" s="5"/>
      <c r="V689" s="5"/>
      <c r="W689" s="5"/>
      <c r="X689" s="5"/>
      <c r="Y689" s="5"/>
      <c r="Z689" s="5"/>
    </row>
    <row r="690" ht="12.0" customHeight="1">
      <c r="A690" s="92" t="s">
        <v>643</v>
      </c>
      <c r="B690" s="5"/>
      <c r="C690" s="206">
        <f t="shared" ref="C690:N690" si="204">IF(C689=0,0,C686/C689)</f>
        <v>0.2194957386</v>
      </c>
      <c r="D690" s="206">
        <f t="shared" si="204"/>
        <v>0.1709166667</v>
      </c>
      <c r="E690" s="206">
        <f t="shared" si="204"/>
        <v>0.1683568497</v>
      </c>
      <c r="F690" s="206">
        <f t="shared" si="204"/>
        <v>0.1636796875</v>
      </c>
      <c r="G690" s="206">
        <f t="shared" si="204"/>
        <v>0.1542065972</v>
      </c>
      <c r="H690" s="206">
        <f t="shared" si="204"/>
        <v>0.1480782828</v>
      </c>
      <c r="I690" s="206">
        <f t="shared" si="204"/>
        <v>0.1588837595</v>
      </c>
      <c r="J690" s="206">
        <f t="shared" si="204"/>
        <v>0.1588837595</v>
      </c>
      <c r="K690" s="206">
        <f t="shared" si="204"/>
        <v>0.1582175663</v>
      </c>
      <c r="L690" s="206">
        <f t="shared" si="204"/>
        <v>0.1520892519</v>
      </c>
      <c r="M690" s="206">
        <f t="shared" si="204"/>
        <v>0.1466271307</v>
      </c>
      <c r="N690" s="206">
        <f t="shared" si="204"/>
        <v>0.2284214015</v>
      </c>
      <c r="O690" s="5"/>
      <c r="P690" s="5"/>
      <c r="Q690" s="5"/>
      <c r="R690" s="5"/>
      <c r="S690" s="5"/>
      <c r="T690" s="5"/>
      <c r="U690" s="5"/>
      <c r="V690" s="5"/>
      <c r="W690" s="5"/>
      <c r="X690" s="5"/>
      <c r="Y690" s="5"/>
      <c r="Z690" s="5"/>
    </row>
    <row r="691" ht="12.0" customHeight="1">
      <c r="A691" s="201" t="s">
        <v>695</v>
      </c>
      <c r="B691" s="202"/>
      <c r="C691" s="202"/>
      <c r="D691" s="202"/>
      <c r="E691" s="202"/>
      <c r="F691" s="202"/>
      <c r="G691" s="202"/>
      <c r="H691" s="202"/>
      <c r="I691" s="202"/>
      <c r="J691" s="202"/>
      <c r="K691" s="202"/>
      <c r="L691" s="202"/>
      <c r="M691" s="202"/>
      <c r="N691" s="202"/>
      <c r="O691" s="5"/>
      <c r="P691" s="5"/>
      <c r="Q691" s="5"/>
      <c r="R691" s="5"/>
      <c r="S691" s="5"/>
      <c r="T691" s="5"/>
      <c r="U691" s="5"/>
      <c r="V691" s="5"/>
      <c r="W691" s="5"/>
      <c r="X691" s="5"/>
      <c r="Y691" s="5"/>
      <c r="Z691" s="5"/>
    </row>
    <row r="692" ht="12.0" customHeight="1">
      <c r="A692" s="201" t="s">
        <v>630</v>
      </c>
      <c r="B692" s="201" t="s">
        <v>631</v>
      </c>
      <c r="C692" s="201" t="s">
        <v>3</v>
      </c>
      <c r="D692" s="201" t="s">
        <v>4</v>
      </c>
      <c r="E692" s="201" t="s">
        <v>5</v>
      </c>
      <c r="F692" s="201" t="s">
        <v>6</v>
      </c>
      <c r="G692" s="201" t="s">
        <v>7</v>
      </c>
      <c r="H692" s="201" t="s">
        <v>8</v>
      </c>
      <c r="I692" s="201" t="s">
        <v>9</v>
      </c>
      <c r="J692" s="201" t="s">
        <v>10</v>
      </c>
      <c r="K692" s="201" t="s">
        <v>11</v>
      </c>
      <c r="L692" s="201" t="s">
        <v>12</v>
      </c>
      <c r="M692" s="201" t="s">
        <v>13</v>
      </c>
      <c r="N692" s="201" t="s">
        <v>14</v>
      </c>
      <c r="O692" s="5"/>
      <c r="P692" s="5"/>
      <c r="Q692" s="5"/>
      <c r="R692" s="5"/>
      <c r="S692" s="5"/>
      <c r="T692" s="5"/>
      <c r="U692" s="5"/>
      <c r="V692" s="5"/>
      <c r="W692" s="5"/>
      <c r="X692" s="5"/>
      <c r="Y692" s="5"/>
      <c r="Z692" s="5"/>
    </row>
    <row r="693" ht="12.0" customHeight="1">
      <c r="A693" s="92" t="s">
        <v>694</v>
      </c>
      <c r="B693" s="92" t="s">
        <v>633</v>
      </c>
      <c r="C693" s="203">
        <f>SUM('2029'!B6:B9)+Parametros!$B$72*C2330</f>
        <v>1986.75</v>
      </c>
      <c r="D693" s="203">
        <f>SUM('2029'!C6:C9)+Parametros!$B$72*D2330</f>
        <v>1547.04</v>
      </c>
      <c r="E693" s="203">
        <f>SUM('2029'!D6:D9)+Parametros!$B$72*E2330</f>
        <v>1523.87</v>
      </c>
      <c r="F693" s="203">
        <f>SUM('2029'!E6:E9)+Parametros!$B$72*F2330</f>
        <v>1481.535</v>
      </c>
      <c r="G693" s="203">
        <f>SUM('2029'!F6:F9)+Parametros!$B$72*G2330</f>
        <v>1395.79</v>
      </c>
      <c r="H693" s="203">
        <f>SUM('2029'!G6:G9)+Parametros!$B$72*H2330</f>
        <v>1340.32</v>
      </c>
      <c r="I693" s="203">
        <f>SUM('2029'!H6:H9)+Parametros!$B$72*I2330</f>
        <v>1438.125</v>
      </c>
      <c r="J693" s="203">
        <f>SUM('2029'!I6:I9)+Parametros!$B$72*J2330</f>
        <v>1438.125</v>
      </c>
      <c r="K693" s="203">
        <f>SUM('2029'!J6:J9)+Parametros!$B$72*K2330</f>
        <v>1432.095</v>
      </c>
      <c r="L693" s="203">
        <f>SUM('2029'!K6:K9)+Parametros!$B$72*L2330</f>
        <v>1376.625</v>
      </c>
      <c r="M693" s="203">
        <f>SUM('2029'!L6:L9)+Parametros!$B$72*M2330</f>
        <v>1327.185</v>
      </c>
      <c r="N693" s="203">
        <f>SUM('2029'!M6:M9)+Parametros!$B$72*N2330</f>
        <v>2067.54</v>
      </c>
      <c r="O693" s="5"/>
      <c r="P693" s="5"/>
      <c r="Q693" s="5"/>
      <c r="R693" s="5"/>
      <c r="S693" s="5"/>
      <c r="T693" s="5"/>
      <c r="U693" s="5"/>
      <c r="V693" s="5"/>
      <c r="W693" s="5"/>
      <c r="X693" s="5"/>
      <c r="Y693" s="5"/>
      <c r="Z693" s="5"/>
    </row>
    <row r="694" ht="12.0" customHeight="1">
      <c r="A694" s="5"/>
      <c r="B694" s="92" t="s">
        <v>634</v>
      </c>
      <c r="C694" s="204">
        <f>C693/Parametros!$B$37</f>
        <v>99.3375</v>
      </c>
      <c r="D694" s="204">
        <f>D693/Parametros!$B$37</f>
        <v>77.352</v>
      </c>
      <c r="E694" s="204">
        <f>E693/Parametros!$B$37</f>
        <v>76.1935</v>
      </c>
      <c r="F694" s="204">
        <f>F693/Parametros!$B$37</f>
        <v>74.07675</v>
      </c>
      <c r="G694" s="204">
        <f>G693/Parametros!$B$37</f>
        <v>69.7895</v>
      </c>
      <c r="H694" s="204">
        <f>H693/Parametros!$B$37</f>
        <v>67.016</v>
      </c>
      <c r="I694" s="204">
        <f>I693/Parametros!$B$37</f>
        <v>71.90625</v>
      </c>
      <c r="J694" s="204">
        <f>J693/Parametros!$B$37</f>
        <v>71.90625</v>
      </c>
      <c r="K694" s="204">
        <f>K693/Parametros!$B$37</f>
        <v>71.60475</v>
      </c>
      <c r="L694" s="204">
        <f>L693/Parametros!$B$37</f>
        <v>68.83125</v>
      </c>
      <c r="M694" s="204">
        <f>M693/Parametros!$B$37</f>
        <v>66.35925</v>
      </c>
      <c r="N694" s="204">
        <f>N693/Parametros!$B$37</f>
        <v>103.377</v>
      </c>
      <c r="O694" s="5"/>
      <c r="P694" s="5"/>
      <c r="Q694" s="5"/>
      <c r="R694" s="5"/>
      <c r="S694" s="5"/>
      <c r="T694" s="5"/>
      <c r="U694" s="5"/>
      <c r="V694" s="5"/>
      <c r="W694" s="5"/>
      <c r="X694" s="5"/>
      <c r="Y694" s="5"/>
      <c r="Z694" s="5"/>
    </row>
    <row r="695" ht="12.0" customHeight="1">
      <c r="A695" s="5"/>
      <c r="B695" s="92" t="s">
        <v>635</v>
      </c>
      <c r="C695" s="204">
        <f>C694/Parametros!$J$37</f>
        <v>13.245</v>
      </c>
      <c r="D695" s="204">
        <f>D694/Parametros!$J$37</f>
        <v>10.3136</v>
      </c>
      <c r="E695" s="204">
        <f>E694/Parametros!$J$37</f>
        <v>10.15913333</v>
      </c>
      <c r="F695" s="204">
        <f>F694/Parametros!$J$37</f>
        <v>9.8769</v>
      </c>
      <c r="G695" s="204">
        <f>G694/Parametros!$J$37</f>
        <v>9.305266667</v>
      </c>
      <c r="H695" s="204">
        <f>H694/Parametros!$J$37</f>
        <v>8.935466667</v>
      </c>
      <c r="I695" s="204">
        <f>I694/Parametros!$J$37</f>
        <v>9.5875</v>
      </c>
      <c r="J695" s="204">
        <f>J694/Parametros!$J$37</f>
        <v>9.5875</v>
      </c>
      <c r="K695" s="204">
        <f>K694/Parametros!$J$37</f>
        <v>9.5473</v>
      </c>
      <c r="L695" s="204">
        <f>L694/Parametros!$J$37</f>
        <v>9.1775</v>
      </c>
      <c r="M695" s="204">
        <f>M694/Parametros!$J$37</f>
        <v>8.8479</v>
      </c>
      <c r="N695" s="204">
        <f>N694/Parametros!$J$37</f>
        <v>13.7836</v>
      </c>
      <c r="O695" s="5"/>
      <c r="P695" s="5"/>
      <c r="Q695" s="5"/>
      <c r="R695" s="5"/>
      <c r="S695" s="5"/>
      <c r="T695" s="5"/>
      <c r="U695" s="5"/>
      <c r="V695" s="5"/>
      <c r="W695" s="5"/>
      <c r="X695" s="5"/>
      <c r="Y695" s="5"/>
      <c r="Z695" s="5"/>
    </row>
    <row r="696" ht="12.0" customHeight="1">
      <c r="A696" s="92" t="s">
        <v>636</v>
      </c>
      <c r="B696" s="5"/>
      <c r="C696" s="204">
        <f t="shared" ref="C696:N696" si="205">C695</f>
        <v>13.245</v>
      </c>
      <c r="D696" s="204">
        <f t="shared" si="205"/>
        <v>10.3136</v>
      </c>
      <c r="E696" s="204">
        <f t="shared" si="205"/>
        <v>10.15913333</v>
      </c>
      <c r="F696" s="204">
        <f t="shared" si="205"/>
        <v>9.8769</v>
      </c>
      <c r="G696" s="204">
        <f t="shared" si="205"/>
        <v>9.305266667</v>
      </c>
      <c r="H696" s="204">
        <f t="shared" si="205"/>
        <v>8.935466667</v>
      </c>
      <c r="I696" s="204">
        <f t="shared" si="205"/>
        <v>9.5875</v>
      </c>
      <c r="J696" s="204">
        <f t="shared" si="205"/>
        <v>9.5875</v>
      </c>
      <c r="K696" s="204">
        <f t="shared" si="205"/>
        <v>9.5473</v>
      </c>
      <c r="L696" s="204">
        <f t="shared" si="205"/>
        <v>9.1775</v>
      </c>
      <c r="M696" s="204">
        <f t="shared" si="205"/>
        <v>8.8479</v>
      </c>
      <c r="N696" s="204">
        <f t="shared" si="205"/>
        <v>13.7836</v>
      </c>
      <c r="O696" s="5"/>
      <c r="P696" s="5"/>
      <c r="Q696" s="5"/>
      <c r="R696" s="5"/>
      <c r="S696" s="5"/>
      <c r="T696" s="5"/>
      <c r="U696" s="5"/>
      <c r="V696" s="5"/>
      <c r="W696" s="5"/>
      <c r="X696" s="5"/>
      <c r="Y696" s="5"/>
      <c r="Z696" s="5"/>
    </row>
    <row r="697" ht="12.0" customHeight="1">
      <c r="A697" s="92" t="s">
        <v>637</v>
      </c>
      <c r="B697" s="5"/>
      <c r="C697" s="205">
        <f>'Resumen Capacidad'!$E$126</f>
        <v>25.2</v>
      </c>
      <c r="D697" s="205">
        <f>'Resumen Capacidad'!$E$126</f>
        <v>25.2</v>
      </c>
      <c r="E697" s="205">
        <f>'Resumen Capacidad'!$E$126</f>
        <v>25.2</v>
      </c>
      <c r="F697" s="205">
        <f>'Resumen Capacidad'!$E$126</f>
        <v>25.2</v>
      </c>
      <c r="G697" s="205">
        <f>'Resumen Capacidad'!$E$126</f>
        <v>25.2</v>
      </c>
      <c r="H697" s="205">
        <f>'Resumen Capacidad'!$E$126</f>
        <v>25.2</v>
      </c>
      <c r="I697" s="205">
        <f>'Resumen Capacidad'!$E$126</f>
        <v>25.2</v>
      </c>
      <c r="J697" s="205">
        <f>'Resumen Capacidad'!$E$126</f>
        <v>25.2</v>
      </c>
      <c r="K697" s="205">
        <f>'Resumen Capacidad'!$E$126</f>
        <v>25.2</v>
      </c>
      <c r="L697" s="205">
        <f>'Resumen Capacidad'!$E$126</f>
        <v>25.2</v>
      </c>
      <c r="M697" s="205">
        <f>'Resumen Capacidad'!$E$126</f>
        <v>25.2</v>
      </c>
      <c r="N697" s="205">
        <f>'Resumen Capacidad'!$E$126</f>
        <v>25.2</v>
      </c>
      <c r="O697" s="5"/>
      <c r="P697" s="5"/>
      <c r="Q697" s="5"/>
      <c r="R697" s="5"/>
      <c r="S697" s="5"/>
      <c r="T697" s="5"/>
      <c r="U697" s="5"/>
      <c r="V697" s="5"/>
      <c r="W697" s="5"/>
      <c r="X697" s="5"/>
      <c r="Y697" s="5"/>
      <c r="Z697" s="5"/>
    </row>
    <row r="698" ht="12.0" customHeight="1">
      <c r="A698" s="92" t="s">
        <v>640</v>
      </c>
      <c r="B698" s="5"/>
      <c r="C698" s="204">
        <f>'Resumen Capacidad'!$E$44*'Resumen Capacidad'!$E$80</f>
        <v>1</v>
      </c>
      <c r="D698" s="204">
        <f>'Resumen Capacidad'!$E$44*'Resumen Capacidad'!$E$80</f>
        <v>1</v>
      </c>
      <c r="E698" s="204">
        <f>'Resumen Capacidad'!$E$44*'Resumen Capacidad'!$E$80</f>
        <v>1</v>
      </c>
      <c r="F698" s="204">
        <f>'Resumen Capacidad'!$E$44*'Resumen Capacidad'!$E$80</f>
        <v>1</v>
      </c>
      <c r="G698" s="204">
        <f>'Resumen Capacidad'!$E$44*'Resumen Capacidad'!$E$80</f>
        <v>1</v>
      </c>
      <c r="H698" s="204">
        <f>'Resumen Capacidad'!$E$44*'Resumen Capacidad'!$E$80</f>
        <v>1</v>
      </c>
      <c r="I698" s="204">
        <f>'Resumen Capacidad'!$E$44*'Resumen Capacidad'!$E$80</f>
        <v>1</v>
      </c>
      <c r="J698" s="204">
        <f>'Resumen Capacidad'!$E$44*'Resumen Capacidad'!$E$80</f>
        <v>1</v>
      </c>
      <c r="K698" s="204">
        <f>'Resumen Capacidad'!$E$44*'Resumen Capacidad'!$E$80</f>
        <v>1</v>
      </c>
      <c r="L698" s="204">
        <f>'Resumen Capacidad'!$E$44*'Resumen Capacidad'!$E$80</f>
        <v>1</v>
      </c>
      <c r="M698" s="204">
        <f>'Resumen Capacidad'!$E$44*'Resumen Capacidad'!$E$80</f>
        <v>1</v>
      </c>
      <c r="N698" s="204">
        <f>'Resumen Capacidad'!$E$44*'Resumen Capacidad'!$E$80</f>
        <v>1</v>
      </c>
      <c r="O698" s="5"/>
      <c r="P698" s="5"/>
      <c r="Q698" s="5"/>
      <c r="R698" s="5"/>
      <c r="S698" s="5"/>
      <c r="T698" s="5"/>
      <c r="U698" s="5"/>
      <c r="V698" s="5"/>
      <c r="W698" s="5"/>
      <c r="X698" s="5"/>
      <c r="Y698" s="5"/>
      <c r="Z698" s="5"/>
    </row>
    <row r="699" ht="12.0" customHeight="1">
      <c r="A699" s="92" t="s">
        <v>642</v>
      </c>
      <c r="B699" s="5"/>
      <c r="C699" s="204">
        <f t="shared" ref="C699:N699" si="206">C697*C698</f>
        <v>25.2</v>
      </c>
      <c r="D699" s="204">
        <f t="shared" si="206"/>
        <v>25.2</v>
      </c>
      <c r="E699" s="204">
        <f t="shared" si="206"/>
        <v>25.2</v>
      </c>
      <c r="F699" s="204">
        <f t="shared" si="206"/>
        <v>25.2</v>
      </c>
      <c r="G699" s="204">
        <f t="shared" si="206"/>
        <v>25.2</v>
      </c>
      <c r="H699" s="204">
        <f t="shared" si="206"/>
        <v>25.2</v>
      </c>
      <c r="I699" s="204">
        <f t="shared" si="206"/>
        <v>25.2</v>
      </c>
      <c r="J699" s="204">
        <f t="shared" si="206"/>
        <v>25.2</v>
      </c>
      <c r="K699" s="204">
        <f t="shared" si="206"/>
        <v>25.2</v>
      </c>
      <c r="L699" s="204">
        <f t="shared" si="206"/>
        <v>25.2</v>
      </c>
      <c r="M699" s="204">
        <f t="shared" si="206"/>
        <v>25.2</v>
      </c>
      <c r="N699" s="204">
        <f t="shared" si="206"/>
        <v>25.2</v>
      </c>
      <c r="O699" s="5"/>
      <c r="P699" s="5"/>
      <c r="Q699" s="5"/>
      <c r="R699" s="5"/>
      <c r="S699" s="5"/>
      <c r="T699" s="5"/>
      <c r="U699" s="5"/>
      <c r="V699" s="5"/>
      <c r="W699" s="5"/>
      <c r="X699" s="5"/>
      <c r="Y699" s="5"/>
      <c r="Z699" s="5"/>
    </row>
    <row r="700" ht="12.0" customHeight="1">
      <c r="A700" s="92" t="s">
        <v>643</v>
      </c>
      <c r="B700" s="5"/>
      <c r="C700" s="206">
        <f t="shared" ref="C700:N700" si="207">IF(C699=0,0,C696/C699)</f>
        <v>0.5255952381</v>
      </c>
      <c r="D700" s="206">
        <f t="shared" si="207"/>
        <v>0.4092698413</v>
      </c>
      <c r="E700" s="206">
        <f t="shared" si="207"/>
        <v>0.4031402116</v>
      </c>
      <c r="F700" s="206">
        <f t="shared" si="207"/>
        <v>0.3919404762</v>
      </c>
      <c r="G700" s="206">
        <f t="shared" si="207"/>
        <v>0.3692566138</v>
      </c>
      <c r="H700" s="206">
        <f t="shared" si="207"/>
        <v>0.3545820106</v>
      </c>
      <c r="I700" s="206">
        <f t="shared" si="207"/>
        <v>0.3804563492</v>
      </c>
      <c r="J700" s="206">
        <f t="shared" si="207"/>
        <v>0.3804563492</v>
      </c>
      <c r="K700" s="206">
        <f t="shared" si="207"/>
        <v>0.3788611111</v>
      </c>
      <c r="L700" s="206">
        <f t="shared" si="207"/>
        <v>0.3641865079</v>
      </c>
      <c r="M700" s="206">
        <f t="shared" si="207"/>
        <v>0.3511071429</v>
      </c>
      <c r="N700" s="206">
        <f t="shared" si="207"/>
        <v>0.546968254</v>
      </c>
      <c r="O700" s="5"/>
      <c r="P700" s="5"/>
      <c r="Q700" s="5"/>
      <c r="R700" s="5"/>
      <c r="S700" s="5"/>
      <c r="T700" s="5"/>
      <c r="U700" s="5"/>
      <c r="V700" s="5"/>
      <c r="W700" s="5"/>
      <c r="X700" s="5"/>
      <c r="Y700" s="5"/>
      <c r="Z700" s="5"/>
    </row>
    <row r="701" ht="12.0" customHeight="1">
      <c r="A701" s="201" t="s">
        <v>696</v>
      </c>
      <c r="B701" s="202"/>
      <c r="C701" s="202"/>
      <c r="D701" s="202"/>
      <c r="E701" s="202"/>
      <c r="F701" s="202"/>
      <c r="G701" s="202"/>
      <c r="H701" s="202"/>
      <c r="I701" s="202"/>
      <c r="J701" s="202"/>
      <c r="K701" s="202"/>
      <c r="L701" s="202"/>
      <c r="M701" s="202"/>
      <c r="N701" s="202"/>
      <c r="O701" s="5"/>
      <c r="P701" s="5"/>
      <c r="Q701" s="5"/>
      <c r="R701" s="5"/>
      <c r="S701" s="5"/>
      <c r="T701" s="5"/>
      <c r="U701" s="5"/>
      <c r="V701" s="5"/>
      <c r="W701" s="5"/>
      <c r="X701" s="5"/>
      <c r="Y701" s="5"/>
      <c r="Z701" s="5"/>
    </row>
    <row r="702" ht="12.0" customHeight="1">
      <c r="A702" s="201" t="s">
        <v>630</v>
      </c>
      <c r="B702" s="201" t="s">
        <v>631</v>
      </c>
      <c r="C702" s="201" t="s">
        <v>3</v>
      </c>
      <c r="D702" s="201" t="s">
        <v>4</v>
      </c>
      <c r="E702" s="201" t="s">
        <v>5</v>
      </c>
      <c r="F702" s="201" t="s">
        <v>6</v>
      </c>
      <c r="G702" s="201" t="s">
        <v>7</v>
      </c>
      <c r="H702" s="201" t="s">
        <v>8</v>
      </c>
      <c r="I702" s="201" t="s">
        <v>9</v>
      </c>
      <c r="J702" s="201" t="s">
        <v>10</v>
      </c>
      <c r="K702" s="201" t="s">
        <v>11</v>
      </c>
      <c r="L702" s="201" t="s">
        <v>12</v>
      </c>
      <c r="M702" s="201" t="s">
        <v>13</v>
      </c>
      <c r="N702" s="201" t="s">
        <v>14</v>
      </c>
      <c r="O702" s="5"/>
      <c r="P702" s="5"/>
      <c r="Q702" s="5"/>
      <c r="R702" s="5"/>
      <c r="S702" s="5"/>
      <c r="T702" s="5"/>
      <c r="U702" s="5"/>
      <c r="V702" s="5"/>
      <c r="W702" s="5"/>
      <c r="X702" s="5"/>
      <c r="Y702" s="5"/>
      <c r="Z702" s="5"/>
    </row>
    <row r="703" ht="12.0" customHeight="1">
      <c r="A703" s="92" t="s">
        <v>694</v>
      </c>
      <c r="B703" s="92" t="s">
        <v>633</v>
      </c>
      <c r="C703" s="203">
        <f>SUM('2029'!B6:B9)+Parametros!$B$72*C2330</f>
        <v>1986.75</v>
      </c>
      <c r="D703" s="203">
        <f>SUM('2029'!C6:C9)+Parametros!$B$72*D2330</f>
        <v>1547.04</v>
      </c>
      <c r="E703" s="203">
        <f>SUM('2029'!D6:D9)+Parametros!$B$72*E2330</f>
        <v>1523.87</v>
      </c>
      <c r="F703" s="203">
        <f>SUM('2029'!E6:E9)+Parametros!$B$72*F2330</f>
        <v>1481.535</v>
      </c>
      <c r="G703" s="203">
        <f>SUM('2029'!F6:F9)+Parametros!$B$72*G2330</f>
        <v>1395.79</v>
      </c>
      <c r="H703" s="203">
        <f>SUM('2029'!G6:G9)+Parametros!$B$72*H2330</f>
        <v>1340.32</v>
      </c>
      <c r="I703" s="203">
        <f>SUM('2029'!H6:H9)+Parametros!$B$72*I2330</f>
        <v>1438.125</v>
      </c>
      <c r="J703" s="203">
        <f>SUM('2029'!I6:I9)+Parametros!$B$72*J2330</f>
        <v>1438.125</v>
      </c>
      <c r="K703" s="203">
        <f>SUM('2029'!J6:J9)+Parametros!$B$72*K2330</f>
        <v>1432.095</v>
      </c>
      <c r="L703" s="203">
        <f>SUM('2029'!K6:K9)+Parametros!$B$72*L2330</f>
        <v>1376.625</v>
      </c>
      <c r="M703" s="203">
        <f>SUM('2029'!L6:L9)+Parametros!$B$72*M2330</f>
        <v>1327.185</v>
      </c>
      <c r="N703" s="203">
        <f>SUM('2029'!M6:M9)+Parametros!$B$72*N2330</f>
        <v>2067.54</v>
      </c>
      <c r="O703" s="5"/>
      <c r="P703" s="5"/>
      <c r="Q703" s="5"/>
      <c r="R703" s="5"/>
      <c r="S703" s="5"/>
      <c r="T703" s="5"/>
      <c r="U703" s="5"/>
      <c r="V703" s="5"/>
      <c r="W703" s="5"/>
      <c r="X703" s="5"/>
      <c r="Y703" s="5"/>
      <c r="Z703" s="5"/>
    </row>
    <row r="704" ht="12.0" customHeight="1">
      <c r="A704" s="5"/>
      <c r="B704" s="92" t="s">
        <v>634</v>
      </c>
      <c r="C704" s="204">
        <f>C703/Parametros!$B$37</f>
        <v>99.3375</v>
      </c>
      <c r="D704" s="204">
        <f>D703/Parametros!$B$37</f>
        <v>77.352</v>
      </c>
      <c r="E704" s="204">
        <f>E703/Parametros!$B$37</f>
        <v>76.1935</v>
      </c>
      <c r="F704" s="204">
        <f>F703/Parametros!$B$37</f>
        <v>74.07675</v>
      </c>
      <c r="G704" s="204">
        <f>G703/Parametros!$B$37</f>
        <v>69.7895</v>
      </c>
      <c r="H704" s="204">
        <f>H703/Parametros!$B$37</f>
        <v>67.016</v>
      </c>
      <c r="I704" s="204">
        <f>I703/Parametros!$B$37</f>
        <v>71.90625</v>
      </c>
      <c r="J704" s="204">
        <f>J703/Parametros!$B$37</f>
        <v>71.90625</v>
      </c>
      <c r="K704" s="204">
        <f>K703/Parametros!$B$37</f>
        <v>71.60475</v>
      </c>
      <c r="L704" s="204">
        <f>L703/Parametros!$B$37</f>
        <v>68.83125</v>
      </c>
      <c r="M704" s="204">
        <f>M703/Parametros!$B$37</f>
        <v>66.35925</v>
      </c>
      <c r="N704" s="204">
        <f>N703/Parametros!$B$37</f>
        <v>103.377</v>
      </c>
      <c r="O704" s="5"/>
      <c r="P704" s="5"/>
      <c r="Q704" s="5"/>
      <c r="R704" s="5"/>
      <c r="S704" s="5"/>
      <c r="T704" s="5"/>
      <c r="U704" s="5"/>
      <c r="V704" s="5"/>
      <c r="W704" s="5"/>
      <c r="X704" s="5"/>
      <c r="Y704" s="5"/>
      <c r="Z704" s="5"/>
    </row>
    <row r="705" ht="12.0" customHeight="1">
      <c r="A705" s="5"/>
      <c r="B705" s="92" t="s">
        <v>635</v>
      </c>
      <c r="C705" s="204">
        <f>C704/Parametros!$J$37</f>
        <v>13.245</v>
      </c>
      <c r="D705" s="204">
        <f>D704/Parametros!$J$37</f>
        <v>10.3136</v>
      </c>
      <c r="E705" s="204">
        <f>E704/Parametros!$J$37</f>
        <v>10.15913333</v>
      </c>
      <c r="F705" s="204">
        <f>F704/Parametros!$J$37</f>
        <v>9.8769</v>
      </c>
      <c r="G705" s="204">
        <f>G704/Parametros!$J$37</f>
        <v>9.305266667</v>
      </c>
      <c r="H705" s="204">
        <f>H704/Parametros!$J$37</f>
        <v>8.935466667</v>
      </c>
      <c r="I705" s="204">
        <f>I704/Parametros!$J$37</f>
        <v>9.5875</v>
      </c>
      <c r="J705" s="204">
        <f>J704/Parametros!$J$37</f>
        <v>9.5875</v>
      </c>
      <c r="K705" s="204">
        <f>K704/Parametros!$J$37</f>
        <v>9.5473</v>
      </c>
      <c r="L705" s="204">
        <f>L704/Parametros!$J$37</f>
        <v>9.1775</v>
      </c>
      <c r="M705" s="204">
        <f>M704/Parametros!$J$37</f>
        <v>8.8479</v>
      </c>
      <c r="N705" s="204">
        <f>N704/Parametros!$J$37</f>
        <v>13.7836</v>
      </c>
      <c r="O705" s="5"/>
      <c r="P705" s="5"/>
      <c r="Q705" s="5"/>
      <c r="R705" s="5"/>
      <c r="S705" s="5"/>
      <c r="T705" s="5"/>
      <c r="U705" s="5"/>
      <c r="V705" s="5"/>
      <c r="W705" s="5"/>
      <c r="X705" s="5"/>
      <c r="Y705" s="5"/>
      <c r="Z705" s="5"/>
    </row>
    <row r="706" ht="12.0" customHeight="1">
      <c r="A706" s="92" t="s">
        <v>636</v>
      </c>
      <c r="B706" s="5"/>
      <c r="C706" s="204">
        <f t="shared" ref="C706:N706" si="208">C705</f>
        <v>13.245</v>
      </c>
      <c r="D706" s="204">
        <f t="shared" si="208"/>
        <v>10.3136</v>
      </c>
      <c r="E706" s="204">
        <f t="shared" si="208"/>
        <v>10.15913333</v>
      </c>
      <c r="F706" s="204">
        <f t="shared" si="208"/>
        <v>9.8769</v>
      </c>
      <c r="G706" s="204">
        <f t="shared" si="208"/>
        <v>9.305266667</v>
      </c>
      <c r="H706" s="204">
        <f t="shared" si="208"/>
        <v>8.935466667</v>
      </c>
      <c r="I706" s="204">
        <f t="shared" si="208"/>
        <v>9.5875</v>
      </c>
      <c r="J706" s="204">
        <f t="shared" si="208"/>
        <v>9.5875</v>
      </c>
      <c r="K706" s="204">
        <f t="shared" si="208"/>
        <v>9.5473</v>
      </c>
      <c r="L706" s="204">
        <f t="shared" si="208"/>
        <v>9.1775</v>
      </c>
      <c r="M706" s="204">
        <f t="shared" si="208"/>
        <v>8.8479</v>
      </c>
      <c r="N706" s="204">
        <f t="shared" si="208"/>
        <v>13.7836</v>
      </c>
      <c r="O706" s="5"/>
      <c r="P706" s="5"/>
      <c r="Q706" s="5"/>
      <c r="R706" s="5"/>
      <c r="S706" s="5"/>
      <c r="T706" s="5"/>
      <c r="U706" s="5"/>
      <c r="V706" s="5"/>
      <c r="W706" s="5"/>
      <c r="X706" s="5"/>
      <c r="Y706" s="5"/>
      <c r="Z706" s="5"/>
    </row>
    <row r="707" ht="12.0" customHeight="1">
      <c r="A707" s="92" t="s">
        <v>637</v>
      </c>
      <c r="B707" s="5"/>
      <c r="C707" s="205">
        <f>'Resumen Capacidad'!$E$127</f>
        <v>41.53846154</v>
      </c>
      <c r="D707" s="205">
        <f>'Resumen Capacidad'!$E$127</f>
        <v>41.53846154</v>
      </c>
      <c r="E707" s="205">
        <f>'Resumen Capacidad'!$E$127</f>
        <v>41.53846154</v>
      </c>
      <c r="F707" s="205">
        <f>'Resumen Capacidad'!$E$127</f>
        <v>41.53846154</v>
      </c>
      <c r="G707" s="205">
        <f>'Resumen Capacidad'!$E$127</f>
        <v>41.53846154</v>
      </c>
      <c r="H707" s="205">
        <f>'Resumen Capacidad'!$E$127</f>
        <v>41.53846154</v>
      </c>
      <c r="I707" s="205">
        <f>'Resumen Capacidad'!$E$127</f>
        <v>41.53846154</v>
      </c>
      <c r="J707" s="205">
        <f>'Resumen Capacidad'!$E$127</f>
        <v>41.53846154</v>
      </c>
      <c r="K707" s="205">
        <f>'Resumen Capacidad'!$E$127</f>
        <v>41.53846154</v>
      </c>
      <c r="L707" s="205">
        <f>'Resumen Capacidad'!$E$127</f>
        <v>41.53846154</v>
      </c>
      <c r="M707" s="205">
        <f>'Resumen Capacidad'!$E$127</f>
        <v>41.53846154</v>
      </c>
      <c r="N707" s="205">
        <f>'Resumen Capacidad'!$E$127</f>
        <v>41.53846154</v>
      </c>
      <c r="O707" s="5"/>
      <c r="P707" s="5"/>
      <c r="Q707" s="5"/>
      <c r="R707" s="5"/>
      <c r="S707" s="5"/>
      <c r="T707" s="5"/>
      <c r="U707" s="5"/>
      <c r="V707" s="5"/>
      <c r="W707" s="5"/>
      <c r="X707" s="5"/>
      <c r="Y707" s="5"/>
      <c r="Z707" s="5"/>
    </row>
    <row r="708" ht="12.0" customHeight="1">
      <c r="A708" s="92" t="s">
        <v>640</v>
      </c>
      <c r="B708" s="5"/>
      <c r="C708" s="204">
        <f>'Resumen Capacidad'!$E$45*'Resumen Capacidad'!$E$81</f>
        <v>1</v>
      </c>
      <c r="D708" s="204">
        <f>'Resumen Capacidad'!$E$45*'Resumen Capacidad'!$E$81</f>
        <v>1</v>
      </c>
      <c r="E708" s="204">
        <f>'Resumen Capacidad'!$E$45*'Resumen Capacidad'!$E$81</f>
        <v>1</v>
      </c>
      <c r="F708" s="204">
        <f>'Resumen Capacidad'!$E$45*'Resumen Capacidad'!$E$81</f>
        <v>1</v>
      </c>
      <c r="G708" s="204">
        <f>'Resumen Capacidad'!$E$45*'Resumen Capacidad'!$E$81</f>
        <v>1</v>
      </c>
      <c r="H708" s="204">
        <f>'Resumen Capacidad'!$E$45*'Resumen Capacidad'!$E$81</f>
        <v>1</v>
      </c>
      <c r="I708" s="204">
        <f>'Resumen Capacidad'!$E$45*'Resumen Capacidad'!$E$81</f>
        <v>1</v>
      </c>
      <c r="J708" s="204">
        <f>'Resumen Capacidad'!$E$45*'Resumen Capacidad'!$E$81</f>
        <v>1</v>
      </c>
      <c r="K708" s="204">
        <f>'Resumen Capacidad'!$E$45*'Resumen Capacidad'!$E$81</f>
        <v>1</v>
      </c>
      <c r="L708" s="204">
        <f>'Resumen Capacidad'!$E$45*'Resumen Capacidad'!$E$81</f>
        <v>1</v>
      </c>
      <c r="M708" s="204">
        <f>'Resumen Capacidad'!$E$45*'Resumen Capacidad'!$E$81</f>
        <v>1</v>
      </c>
      <c r="N708" s="204">
        <f>'Resumen Capacidad'!$E$45*'Resumen Capacidad'!$E$81</f>
        <v>1</v>
      </c>
      <c r="O708" s="5"/>
      <c r="P708" s="5"/>
      <c r="Q708" s="5"/>
      <c r="R708" s="5"/>
      <c r="S708" s="5"/>
      <c r="T708" s="5"/>
      <c r="U708" s="5"/>
      <c r="V708" s="5"/>
      <c r="W708" s="5"/>
      <c r="X708" s="5"/>
      <c r="Y708" s="5"/>
      <c r="Z708" s="5"/>
    </row>
    <row r="709" ht="12.0" customHeight="1">
      <c r="A709" s="92" t="s">
        <v>642</v>
      </c>
      <c r="B709" s="5"/>
      <c r="C709" s="204">
        <f t="shared" ref="C709:N709" si="209">C707*C708</f>
        <v>41.53846154</v>
      </c>
      <c r="D709" s="204">
        <f t="shared" si="209"/>
        <v>41.53846154</v>
      </c>
      <c r="E709" s="204">
        <f t="shared" si="209"/>
        <v>41.53846154</v>
      </c>
      <c r="F709" s="204">
        <f t="shared" si="209"/>
        <v>41.53846154</v>
      </c>
      <c r="G709" s="204">
        <f t="shared" si="209"/>
        <v>41.53846154</v>
      </c>
      <c r="H709" s="204">
        <f t="shared" si="209"/>
        <v>41.53846154</v>
      </c>
      <c r="I709" s="204">
        <f t="shared" si="209"/>
        <v>41.53846154</v>
      </c>
      <c r="J709" s="204">
        <f t="shared" si="209"/>
        <v>41.53846154</v>
      </c>
      <c r="K709" s="204">
        <f t="shared" si="209"/>
        <v>41.53846154</v>
      </c>
      <c r="L709" s="204">
        <f t="shared" si="209"/>
        <v>41.53846154</v>
      </c>
      <c r="M709" s="204">
        <f t="shared" si="209"/>
        <v>41.53846154</v>
      </c>
      <c r="N709" s="204">
        <f t="shared" si="209"/>
        <v>41.53846154</v>
      </c>
      <c r="O709" s="5"/>
      <c r="P709" s="5"/>
      <c r="Q709" s="5"/>
      <c r="R709" s="5"/>
      <c r="S709" s="5"/>
      <c r="T709" s="5"/>
      <c r="U709" s="5"/>
      <c r="V709" s="5"/>
      <c r="W709" s="5"/>
      <c r="X709" s="5"/>
      <c r="Y709" s="5"/>
      <c r="Z709" s="5"/>
    </row>
    <row r="710" ht="12.0" customHeight="1">
      <c r="A710" s="92" t="s">
        <v>643</v>
      </c>
      <c r="B710" s="5"/>
      <c r="C710" s="206">
        <f t="shared" ref="C710:N710" si="210">IF(C709=0,0,C706/C709)</f>
        <v>0.3188611111</v>
      </c>
      <c r="D710" s="206">
        <f t="shared" si="210"/>
        <v>0.2482903704</v>
      </c>
      <c r="E710" s="206">
        <f t="shared" si="210"/>
        <v>0.2445717284</v>
      </c>
      <c r="F710" s="206">
        <f t="shared" si="210"/>
        <v>0.2377772222</v>
      </c>
      <c r="G710" s="206">
        <f t="shared" si="210"/>
        <v>0.224015679</v>
      </c>
      <c r="H710" s="206">
        <f t="shared" si="210"/>
        <v>0.2151130864</v>
      </c>
      <c r="I710" s="206">
        <f t="shared" si="210"/>
        <v>0.2308101852</v>
      </c>
      <c r="J710" s="206">
        <f t="shared" si="210"/>
        <v>0.2308101852</v>
      </c>
      <c r="K710" s="206">
        <f t="shared" si="210"/>
        <v>0.2298424074</v>
      </c>
      <c r="L710" s="206">
        <f t="shared" si="210"/>
        <v>0.2209398148</v>
      </c>
      <c r="M710" s="206">
        <f t="shared" si="210"/>
        <v>0.213005</v>
      </c>
      <c r="N710" s="206">
        <f t="shared" si="210"/>
        <v>0.3318274074</v>
      </c>
      <c r="O710" s="5"/>
      <c r="P710" s="5"/>
      <c r="Q710" s="5"/>
      <c r="R710" s="5"/>
      <c r="S710" s="5"/>
      <c r="T710" s="5"/>
      <c r="U710" s="5"/>
      <c r="V710" s="5"/>
      <c r="W710" s="5"/>
      <c r="X710" s="5"/>
      <c r="Y710" s="5"/>
      <c r="Z710" s="5"/>
    </row>
    <row r="711" ht="12.0" customHeight="1">
      <c r="A711" s="201" t="s">
        <v>698</v>
      </c>
      <c r="B711" s="202"/>
      <c r="C711" s="202"/>
      <c r="D711" s="202"/>
      <c r="E711" s="202"/>
      <c r="F711" s="202"/>
      <c r="G711" s="202"/>
      <c r="H711" s="202"/>
      <c r="I711" s="202"/>
      <c r="J711" s="202"/>
      <c r="K711" s="202"/>
      <c r="L711" s="202"/>
      <c r="M711" s="202"/>
      <c r="N711" s="202"/>
      <c r="O711" s="5"/>
      <c r="P711" s="5"/>
      <c r="Q711" s="5"/>
      <c r="R711" s="5"/>
      <c r="S711" s="5"/>
      <c r="T711" s="5"/>
      <c r="U711" s="5"/>
      <c r="V711" s="5"/>
      <c r="W711" s="5"/>
      <c r="X711" s="5"/>
      <c r="Y711" s="5"/>
      <c r="Z711" s="5"/>
    </row>
    <row r="712" ht="12.0" customHeight="1">
      <c r="A712" s="201" t="s">
        <v>630</v>
      </c>
      <c r="B712" s="201" t="s">
        <v>631</v>
      </c>
      <c r="C712" s="201" t="s">
        <v>3</v>
      </c>
      <c r="D712" s="201" t="s">
        <v>4</v>
      </c>
      <c r="E712" s="201" t="s">
        <v>5</v>
      </c>
      <c r="F712" s="201" t="s">
        <v>6</v>
      </c>
      <c r="G712" s="201" t="s">
        <v>7</v>
      </c>
      <c r="H712" s="201" t="s">
        <v>8</v>
      </c>
      <c r="I712" s="201" t="s">
        <v>9</v>
      </c>
      <c r="J712" s="201" t="s">
        <v>10</v>
      </c>
      <c r="K712" s="201" t="s">
        <v>11</v>
      </c>
      <c r="L712" s="201" t="s">
        <v>12</v>
      </c>
      <c r="M712" s="201" t="s">
        <v>13</v>
      </c>
      <c r="N712" s="201" t="s">
        <v>14</v>
      </c>
      <c r="O712" s="5"/>
      <c r="P712" s="5"/>
      <c r="Q712" s="5"/>
      <c r="R712" s="5"/>
      <c r="S712" s="5"/>
      <c r="T712" s="5"/>
      <c r="U712" s="5"/>
      <c r="V712" s="5"/>
      <c r="W712" s="5"/>
      <c r="X712" s="5"/>
      <c r="Y712" s="5"/>
      <c r="Z712" s="5"/>
    </row>
    <row r="713" ht="12.0" customHeight="1">
      <c r="A713" s="92" t="s">
        <v>694</v>
      </c>
      <c r="B713" s="92" t="s">
        <v>633</v>
      </c>
      <c r="C713" s="203">
        <f>SUM('2029'!B6:B9)+Parametros!$B$72*C2330</f>
        <v>1986.75</v>
      </c>
      <c r="D713" s="203">
        <f>SUM('2029'!C6:C9)+Parametros!$B$72*D2330</f>
        <v>1547.04</v>
      </c>
      <c r="E713" s="203">
        <f>SUM('2029'!D6:D9)+Parametros!$B$72*E2330</f>
        <v>1523.87</v>
      </c>
      <c r="F713" s="203">
        <f>SUM('2029'!E6:E9)+Parametros!$B$72*F2330</f>
        <v>1481.535</v>
      </c>
      <c r="G713" s="203">
        <f>SUM('2029'!F6:F9)+Parametros!$B$72*G2330</f>
        <v>1395.79</v>
      </c>
      <c r="H713" s="203">
        <f>SUM('2029'!G6:G9)+Parametros!$B$72*H2330</f>
        <v>1340.32</v>
      </c>
      <c r="I713" s="203">
        <f>SUM('2029'!H6:H9)+Parametros!$B$72*I2330</f>
        <v>1438.125</v>
      </c>
      <c r="J713" s="203">
        <f>SUM('2029'!I6:I9)+Parametros!$B$72*J2330</f>
        <v>1438.125</v>
      </c>
      <c r="K713" s="203">
        <f>SUM('2029'!J6:J9)+Parametros!$B$72*K2330</f>
        <v>1432.095</v>
      </c>
      <c r="L713" s="203">
        <f>SUM('2029'!K6:K9)+Parametros!$B$72*L2330</f>
        <v>1376.625</v>
      </c>
      <c r="M713" s="203">
        <f>SUM('2029'!L6:L9)+Parametros!$B$72*M2330</f>
        <v>1327.185</v>
      </c>
      <c r="N713" s="203">
        <f>SUM('2029'!M6:M9)+Parametros!$B$72*N2330</f>
        <v>2067.54</v>
      </c>
      <c r="O713" s="5"/>
      <c r="P713" s="5"/>
      <c r="Q713" s="5"/>
      <c r="R713" s="5"/>
      <c r="S713" s="5"/>
      <c r="T713" s="5"/>
      <c r="U713" s="5"/>
      <c r="V713" s="5"/>
      <c r="W713" s="5"/>
      <c r="X713" s="5"/>
      <c r="Y713" s="5"/>
      <c r="Z713" s="5"/>
    </row>
    <row r="714" ht="12.0" customHeight="1">
      <c r="A714" s="5"/>
      <c r="B714" s="92" t="s">
        <v>634</v>
      </c>
      <c r="C714" s="204">
        <f>C713/Parametros!$B$37</f>
        <v>99.3375</v>
      </c>
      <c r="D714" s="204">
        <f>D713/Parametros!$B$37</f>
        <v>77.352</v>
      </c>
      <c r="E714" s="204">
        <f>E713/Parametros!$B$37</f>
        <v>76.1935</v>
      </c>
      <c r="F714" s="204">
        <f>F713/Parametros!$B$37</f>
        <v>74.07675</v>
      </c>
      <c r="G714" s="204">
        <f>G713/Parametros!$B$37</f>
        <v>69.7895</v>
      </c>
      <c r="H714" s="204">
        <f>H713/Parametros!$B$37</f>
        <v>67.016</v>
      </c>
      <c r="I714" s="204">
        <f>I713/Parametros!$B$37</f>
        <v>71.90625</v>
      </c>
      <c r="J714" s="204">
        <f>J713/Parametros!$B$37</f>
        <v>71.90625</v>
      </c>
      <c r="K714" s="204">
        <f>K713/Parametros!$B$37</f>
        <v>71.60475</v>
      </c>
      <c r="L714" s="204">
        <f>L713/Parametros!$B$37</f>
        <v>68.83125</v>
      </c>
      <c r="M714" s="204">
        <f>M713/Parametros!$B$37</f>
        <v>66.35925</v>
      </c>
      <c r="N714" s="204">
        <f>N713/Parametros!$B$37</f>
        <v>103.377</v>
      </c>
      <c r="O714" s="5"/>
      <c r="P714" s="5"/>
      <c r="Q714" s="5"/>
      <c r="R714" s="5"/>
      <c r="S714" s="5"/>
      <c r="T714" s="5"/>
      <c r="U714" s="5"/>
      <c r="V714" s="5"/>
      <c r="W714" s="5"/>
      <c r="X714" s="5"/>
      <c r="Y714" s="5"/>
      <c r="Z714" s="5"/>
    </row>
    <row r="715" ht="12.0" customHeight="1">
      <c r="A715" s="5"/>
      <c r="B715" s="92" t="s">
        <v>635</v>
      </c>
      <c r="C715" s="204">
        <f>C714/Parametros!$J$37</f>
        <v>13.245</v>
      </c>
      <c r="D715" s="204">
        <f>D714/Parametros!$J$37</f>
        <v>10.3136</v>
      </c>
      <c r="E715" s="204">
        <f>E714/Parametros!$J$37</f>
        <v>10.15913333</v>
      </c>
      <c r="F715" s="204">
        <f>F714/Parametros!$J$37</f>
        <v>9.8769</v>
      </c>
      <c r="G715" s="204">
        <f>G714/Parametros!$J$37</f>
        <v>9.305266667</v>
      </c>
      <c r="H715" s="204">
        <f>H714/Parametros!$J$37</f>
        <v>8.935466667</v>
      </c>
      <c r="I715" s="204">
        <f>I714/Parametros!$J$37</f>
        <v>9.5875</v>
      </c>
      <c r="J715" s="204">
        <f>J714/Parametros!$J$37</f>
        <v>9.5875</v>
      </c>
      <c r="K715" s="204">
        <f>K714/Parametros!$J$37</f>
        <v>9.5473</v>
      </c>
      <c r="L715" s="204">
        <f>L714/Parametros!$J$37</f>
        <v>9.1775</v>
      </c>
      <c r="M715" s="204">
        <f>M714/Parametros!$J$37</f>
        <v>8.8479</v>
      </c>
      <c r="N715" s="204">
        <f>N714/Parametros!$J$37</f>
        <v>13.7836</v>
      </c>
      <c r="O715" s="5"/>
      <c r="P715" s="5"/>
      <c r="Q715" s="5"/>
      <c r="R715" s="5"/>
      <c r="S715" s="5"/>
      <c r="T715" s="5"/>
      <c r="U715" s="5"/>
      <c r="V715" s="5"/>
      <c r="W715" s="5"/>
      <c r="X715" s="5"/>
      <c r="Y715" s="5"/>
      <c r="Z715" s="5"/>
    </row>
    <row r="716" ht="12.0" customHeight="1">
      <c r="A716" s="92" t="s">
        <v>636</v>
      </c>
      <c r="B716" s="5"/>
      <c r="C716" s="204">
        <f t="shared" ref="C716:N716" si="211">C715</f>
        <v>13.245</v>
      </c>
      <c r="D716" s="204">
        <f t="shared" si="211"/>
        <v>10.3136</v>
      </c>
      <c r="E716" s="204">
        <f t="shared" si="211"/>
        <v>10.15913333</v>
      </c>
      <c r="F716" s="204">
        <f t="shared" si="211"/>
        <v>9.8769</v>
      </c>
      <c r="G716" s="204">
        <f t="shared" si="211"/>
        <v>9.305266667</v>
      </c>
      <c r="H716" s="204">
        <f t="shared" si="211"/>
        <v>8.935466667</v>
      </c>
      <c r="I716" s="204">
        <f t="shared" si="211"/>
        <v>9.5875</v>
      </c>
      <c r="J716" s="204">
        <f t="shared" si="211"/>
        <v>9.5875</v>
      </c>
      <c r="K716" s="204">
        <f t="shared" si="211"/>
        <v>9.5473</v>
      </c>
      <c r="L716" s="204">
        <f t="shared" si="211"/>
        <v>9.1775</v>
      </c>
      <c r="M716" s="204">
        <f t="shared" si="211"/>
        <v>8.8479</v>
      </c>
      <c r="N716" s="204">
        <f t="shared" si="211"/>
        <v>13.7836</v>
      </c>
      <c r="O716" s="5"/>
      <c r="P716" s="5"/>
      <c r="Q716" s="5"/>
      <c r="R716" s="5"/>
      <c r="S716" s="5"/>
      <c r="T716" s="5"/>
      <c r="U716" s="5"/>
      <c r="V716" s="5"/>
      <c r="W716" s="5"/>
      <c r="X716" s="5"/>
      <c r="Y716" s="5"/>
      <c r="Z716" s="5"/>
    </row>
    <row r="717" ht="12.0" customHeight="1">
      <c r="A717" s="92" t="s">
        <v>637</v>
      </c>
      <c r="B717" s="5"/>
      <c r="C717" s="205">
        <f>'Resumen Capacidad'!$E$128</f>
        <v>45.81818182</v>
      </c>
      <c r="D717" s="205">
        <f>'Resumen Capacidad'!$E$128</f>
        <v>45.81818182</v>
      </c>
      <c r="E717" s="205">
        <f>'Resumen Capacidad'!$E$128</f>
        <v>45.81818182</v>
      </c>
      <c r="F717" s="205">
        <f>'Resumen Capacidad'!$E$128</f>
        <v>45.81818182</v>
      </c>
      <c r="G717" s="205">
        <f>'Resumen Capacidad'!$E$128</f>
        <v>45.81818182</v>
      </c>
      <c r="H717" s="205">
        <f>'Resumen Capacidad'!$E$128</f>
        <v>45.81818182</v>
      </c>
      <c r="I717" s="205">
        <f>'Resumen Capacidad'!$E$128</f>
        <v>45.81818182</v>
      </c>
      <c r="J717" s="205">
        <f>'Resumen Capacidad'!$E$128</f>
        <v>45.81818182</v>
      </c>
      <c r="K717" s="205">
        <f>'Resumen Capacidad'!$E$128</f>
        <v>45.81818182</v>
      </c>
      <c r="L717" s="205">
        <f>'Resumen Capacidad'!$E$128</f>
        <v>45.81818182</v>
      </c>
      <c r="M717" s="205">
        <f>'Resumen Capacidad'!$E$128</f>
        <v>45.81818182</v>
      </c>
      <c r="N717" s="205">
        <f>'Resumen Capacidad'!$E$128</f>
        <v>45.81818182</v>
      </c>
      <c r="O717" s="5"/>
      <c r="P717" s="5"/>
      <c r="Q717" s="5"/>
      <c r="R717" s="5"/>
      <c r="S717" s="5"/>
      <c r="T717" s="5"/>
      <c r="U717" s="5"/>
      <c r="V717" s="5"/>
      <c r="W717" s="5"/>
      <c r="X717" s="5"/>
      <c r="Y717" s="5"/>
      <c r="Z717" s="5"/>
    </row>
    <row r="718" ht="12.0" customHeight="1">
      <c r="A718" s="92" t="s">
        <v>640</v>
      </c>
      <c r="B718" s="5"/>
      <c r="C718" s="204">
        <f>'Resumen Capacidad'!$E$46*'Resumen Capacidad'!$E$82</f>
        <v>1</v>
      </c>
      <c r="D718" s="204">
        <f>'Resumen Capacidad'!$E$46*'Resumen Capacidad'!$E$82</f>
        <v>1</v>
      </c>
      <c r="E718" s="204">
        <f>'Resumen Capacidad'!$E$46*'Resumen Capacidad'!$E$82</f>
        <v>1</v>
      </c>
      <c r="F718" s="204">
        <f>'Resumen Capacidad'!$E$46*'Resumen Capacidad'!$E$82</f>
        <v>1</v>
      </c>
      <c r="G718" s="204">
        <f>'Resumen Capacidad'!$E$46*'Resumen Capacidad'!$E$82</f>
        <v>1</v>
      </c>
      <c r="H718" s="204">
        <f>'Resumen Capacidad'!$E$46*'Resumen Capacidad'!$E$82</f>
        <v>1</v>
      </c>
      <c r="I718" s="204">
        <f>'Resumen Capacidad'!$E$46*'Resumen Capacidad'!$E$82</f>
        <v>1</v>
      </c>
      <c r="J718" s="204">
        <f>'Resumen Capacidad'!$E$46*'Resumen Capacidad'!$E$82</f>
        <v>1</v>
      </c>
      <c r="K718" s="204">
        <f>'Resumen Capacidad'!$E$46*'Resumen Capacidad'!$E$82</f>
        <v>1</v>
      </c>
      <c r="L718" s="204">
        <f>'Resumen Capacidad'!$E$46*'Resumen Capacidad'!$E$82</f>
        <v>1</v>
      </c>
      <c r="M718" s="204">
        <f>'Resumen Capacidad'!$E$46*'Resumen Capacidad'!$E$82</f>
        <v>1</v>
      </c>
      <c r="N718" s="204">
        <f>'Resumen Capacidad'!$E$46*'Resumen Capacidad'!$E$82</f>
        <v>1</v>
      </c>
      <c r="O718" s="5"/>
      <c r="P718" s="5"/>
      <c r="Q718" s="5"/>
      <c r="R718" s="5"/>
      <c r="S718" s="5"/>
      <c r="T718" s="5"/>
      <c r="U718" s="5"/>
      <c r="V718" s="5"/>
      <c r="W718" s="5"/>
      <c r="X718" s="5"/>
      <c r="Y718" s="5"/>
      <c r="Z718" s="5"/>
    </row>
    <row r="719" ht="12.0" customHeight="1">
      <c r="A719" s="92" t="s">
        <v>642</v>
      </c>
      <c r="B719" s="5"/>
      <c r="C719" s="204">
        <f t="shared" ref="C719:N719" si="212">C717*C718</f>
        <v>45.81818182</v>
      </c>
      <c r="D719" s="204">
        <f t="shared" si="212"/>
        <v>45.81818182</v>
      </c>
      <c r="E719" s="204">
        <f t="shared" si="212"/>
        <v>45.81818182</v>
      </c>
      <c r="F719" s="204">
        <f t="shared" si="212"/>
        <v>45.81818182</v>
      </c>
      <c r="G719" s="204">
        <f t="shared" si="212"/>
        <v>45.81818182</v>
      </c>
      <c r="H719" s="204">
        <f t="shared" si="212"/>
        <v>45.81818182</v>
      </c>
      <c r="I719" s="204">
        <f t="shared" si="212"/>
        <v>45.81818182</v>
      </c>
      <c r="J719" s="204">
        <f t="shared" si="212"/>
        <v>45.81818182</v>
      </c>
      <c r="K719" s="204">
        <f t="shared" si="212"/>
        <v>45.81818182</v>
      </c>
      <c r="L719" s="204">
        <f t="shared" si="212"/>
        <v>45.81818182</v>
      </c>
      <c r="M719" s="204">
        <f t="shared" si="212"/>
        <v>45.81818182</v>
      </c>
      <c r="N719" s="204">
        <f t="shared" si="212"/>
        <v>45.81818182</v>
      </c>
      <c r="O719" s="5"/>
      <c r="P719" s="5"/>
      <c r="Q719" s="5"/>
      <c r="R719" s="5"/>
      <c r="S719" s="5"/>
      <c r="T719" s="5"/>
      <c r="U719" s="5"/>
      <c r="V719" s="5"/>
      <c r="W719" s="5"/>
      <c r="X719" s="5"/>
      <c r="Y719" s="5"/>
      <c r="Z719" s="5"/>
    </row>
    <row r="720" ht="12.0" customHeight="1">
      <c r="A720" s="92" t="s">
        <v>643</v>
      </c>
      <c r="B720" s="5"/>
      <c r="C720" s="206">
        <f t="shared" ref="C720:N720" si="213">IF(C719=0,0,C716/C719)</f>
        <v>0.289077381</v>
      </c>
      <c r="D720" s="206">
        <f t="shared" si="213"/>
        <v>0.2250984127</v>
      </c>
      <c r="E720" s="206">
        <f t="shared" si="213"/>
        <v>0.2217271164</v>
      </c>
      <c r="F720" s="206">
        <f t="shared" si="213"/>
        <v>0.2155672619</v>
      </c>
      <c r="G720" s="206">
        <f t="shared" si="213"/>
        <v>0.2030911376</v>
      </c>
      <c r="H720" s="206">
        <f t="shared" si="213"/>
        <v>0.1950201058</v>
      </c>
      <c r="I720" s="206">
        <f t="shared" si="213"/>
        <v>0.2092509921</v>
      </c>
      <c r="J720" s="206">
        <f t="shared" si="213"/>
        <v>0.2092509921</v>
      </c>
      <c r="K720" s="206">
        <f t="shared" si="213"/>
        <v>0.2083736111</v>
      </c>
      <c r="L720" s="206">
        <f t="shared" si="213"/>
        <v>0.2003025794</v>
      </c>
      <c r="M720" s="206">
        <f t="shared" si="213"/>
        <v>0.1931089286</v>
      </c>
      <c r="N720" s="206">
        <f t="shared" si="213"/>
        <v>0.3008325397</v>
      </c>
      <c r="O720" s="5"/>
      <c r="P720" s="5"/>
      <c r="Q720" s="5"/>
      <c r="R720" s="5"/>
      <c r="S720" s="5"/>
      <c r="T720" s="5"/>
      <c r="U720" s="5"/>
      <c r="V720" s="5"/>
      <c r="W720" s="5"/>
      <c r="X720" s="5"/>
      <c r="Y720" s="5"/>
      <c r="Z720" s="5"/>
    </row>
    <row r="721" ht="12.0" customHeight="1">
      <c r="A721" s="201" t="s">
        <v>699</v>
      </c>
      <c r="B721" s="202"/>
      <c r="C721" s="202"/>
      <c r="D721" s="202"/>
      <c r="E721" s="202"/>
      <c r="F721" s="202"/>
      <c r="G721" s="202"/>
      <c r="H721" s="202"/>
      <c r="I721" s="202"/>
      <c r="J721" s="202"/>
      <c r="K721" s="202"/>
      <c r="L721" s="202"/>
      <c r="M721" s="202"/>
      <c r="N721" s="202"/>
      <c r="O721" s="5"/>
      <c r="P721" s="5"/>
      <c r="Q721" s="5"/>
      <c r="R721" s="5"/>
      <c r="S721" s="5"/>
      <c r="T721" s="5"/>
      <c r="U721" s="5"/>
      <c r="V721" s="5"/>
      <c r="W721" s="5"/>
      <c r="X721" s="5"/>
      <c r="Y721" s="5"/>
      <c r="Z721" s="5"/>
    </row>
    <row r="722" ht="12.0" customHeight="1">
      <c r="A722" s="201" t="s">
        <v>630</v>
      </c>
      <c r="B722" s="201" t="s">
        <v>631</v>
      </c>
      <c r="C722" s="201" t="s">
        <v>3</v>
      </c>
      <c r="D722" s="201" t="s">
        <v>4</v>
      </c>
      <c r="E722" s="201" t="s">
        <v>5</v>
      </c>
      <c r="F722" s="201" t="s">
        <v>6</v>
      </c>
      <c r="G722" s="201" t="s">
        <v>7</v>
      </c>
      <c r="H722" s="201" t="s">
        <v>8</v>
      </c>
      <c r="I722" s="201" t="s">
        <v>9</v>
      </c>
      <c r="J722" s="201" t="s">
        <v>10</v>
      </c>
      <c r="K722" s="201" t="s">
        <v>11</v>
      </c>
      <c r="L722" s="201" t="s">
        <v>12</v>
      </c>
      <c r="M722" s="201" t="s">
        <v>13</v>
      </c>
      <c r="N722" s="201" t="s">
        <v>14</v>
      </c>
      <c r="O722" s="5"/>
      <c r="P722" s="5"/>
      <c r="Q722" s="5"/>
      <c r="R722" s="5"/>
      <c r="S722" s="5"/>
      <c r="T722" s="5"/>
      <c r="U722" s="5"/>
      <c r="V722" s="5"/>
      <c r="W722" s="5"/>
      <c r="X722" s="5"/>
      <c r="Y722" s="5"/>
      <c r="Z722" s="5"/>
    </row>
    <row r="723" ht="12.0" customHeight="1">
      <c r="A723" s="92" t="s">
        <v>632</v>
      </c>
      <c r="B723" s="92" t="s">
        <v>633</v>
      </c>
      <c r="C723" s="203">
        <f>SUM('2029'!B6:B9)+SUM('2029'!B17:B20)</f>
        <v>5738.74</v>
      </c>
      <c r="D723" s="203">
        <f>SUM('2029'!C6:C9)+SUM('2029'!C17:C20)</f>
        <v>4380.02</v>
      </c>
      <c r="E723" s="203">
        <f>SUM('2029'!D6:D9)+SUM('2029'!D17:D20)</f>
        <v>4104.365</v>
      </c>
      <c r="F723" s="203">
        <f>SUM('2029'!E6:E9)+SUM('2029'!E17:E20)</f>
        <v>3928.555</v>
      </c>
      <c r="G723" s="203">
        <f>SUM('2029'!F6:F9)+SUM('2029'!F17:F20)</f>
        <v>3676.78</v>
      </c>
      <c r="H723" s="203">
        <f>SUM('2029'!G6:G9)+SUM('2029'!G17:G20)</f>
        <v>3600.815</v>
      </c>
      <c r="I723" s="203">
        <f>SUM('2029'!H6:H9)+SUM('2029'!H17:H20)</f>
        <v>3852.59</v>
      </c>
      <c r="J723" s="203">
        <f>SUM('2029'!I6:I9)+SUM('2029'!I17:I20)</f>
        <v>3852.59</v>
      </c>
      <c r="K723" s="203">
        <f>SUM('2029'!J6:J9)+SUM('2029'!J17:J20)</f>
        <v>3852.59</v>
      </c>
      <c r="L723" s="203">
        <f>SUM('2029'!K6:K9)+SUM('2029'!K17:K20)</f>
        <v>3776.625</v>
      </c>
      <c r="M723" s="203">
        <f>SUM('2029'!L6:L9)+SUM('2029'!L17:L20)</f>
        <v>3700.66</v>
      </c>
      <c r="N723" s="203">
        <f>SUM('2029'!M6:M9)+SUM('2029'!M17:M20)</f>
        <v>5890.67</v>
      </c>
      <c r="O723" s="5"/>
      <c r="P723" s="5"/>
      <c r="Q723" s="5"/>
      <c r="R723" s="5"/>
      <c r="S723" s="5"/>
      <c r="T723" s="5"/>
      <c r="U723" s="5"/>
      <c r="V723" s="5"/>
      <c r="W723" s="5"/>
      <c r="X723" s="5"/>
      <c r="Y723" s="5"/>
      <c r="Z723" s="5"/>
    </row>
    <row r="724" ht="12.0" customHeight="1">
      <c r="A724" s="5"/>
      <c r="B724" s="92" t="s">
        <v>634</v>
      </c>
      <c r="C724" s="204">
        <f>C723/Parametros!$B$37</f>
        <v>286.937</v>
      </c>
      <c r="D724" s="204">
        <f>D723/Parametros!$B$37</f>
        <v>219.001</v>
      </c>
      <c r="E724" s="204">
        <f>E723/Parametros!$B$37</f>
        <v>205.21825</v>
      </c>
      <c r="F724" s="204">
        <f>F723/Parametros!$B$37</f>
        <v>196.42775</v>
      </c>
      <c r="G724" s="204">
        <f>G723/Parametros!$B$37</f>
        <v>183.839</v>
      </c>
      <c r="H724" s="204">
        <f>H723/Parametros!$B$37</f>
        <v>180.04075</v>
      </c>
      <c r="I724" s="204">
        <f>I723/Parametros!$B$37</f>
        <v>192.6295</v>
      </c>
      <c r="J724" s="204">
        <f>J723/Parametros!$B$37</f>
        <v>192.6295</v>
      </c>
      <c r="K724" s="204">
        <f>K723/Parametros!$B$37</f>
        <v>192.6295</v>
      </c>
      <c r="L724" s="204">
        <f>L723/Parametros!$B$37</f>
        <v>188.83125</v>
      </c>
      <c r="M724" s="204">
        <f>M723/Parametros!$B$37</f>
        <v>185.033</v>
      </c>
      <c r="N724" s="204">
        <f>N723/Parametros!$B$37</f>
        <v>294.5335</v>
      </c>
      <c r="O724" s="5"/>
      <c r="P724" s="5"/>
      <c r="Q724" s="5"/>
      <c r="R724" s="5"/>
      <c r="S724" s="5"/>
      <c r="T724" s="5"/>
      <c r="U724" s="5"/>
      <c r="V724" s="5"/>
      <c r="W724" s="5"/>
      <c r="X724" s="5"/>
      <c r="Y724" s="5"/>
      <c r="Z724" s="5"/>
    </row>
    <row r="725" ht="12.0" customHeight="1">
      <c r="A725" s="5"/>
      <c r="B725" s="92" t="s">
        <v>635</v>
      </c>
      <c r="C725" s="204">
        <f>C724/Parametros!$J$37</f>
        <v>38.25826667</v>
      </c>
      <c r="D725" s="204">
        <f>D724/Parametros!$J$37</f>
        <v>29.20013333</v>
      </c>
      <c r="E725" s="204">
        <f>E724/Parametros!$J$37</f>
        <v>27.36243333</v>
      </c>
      <c r="F725" s="204">
        <f>F724/Parametros!$J$37</f>
        <v>26.19036667</v>
      </c>
      <c r="G725" s="204">
        <f>G724/Parametros!$J$37</f>
        <v>24.51186667</v>
      </c>
      <c r="H725" s="204">
        <f>H724/Parametros!$J$37</f>
        <v>24.00543333</v>
      </c>
      <c r="I725" s="204">
        <f>I724/Parametros!$J$37</f>
        <v>25.68393333</v>
      </c>
      <c r="J725" s="204">
        <f>J724/Parametros!$J$37</f>
        <v>25.68393333</v>
      </c>
      <c r="K725" s="204">
        <f>K724/Parametros!$J$37</f>
        <v>25.68393333</v>
      </c>
      <c r="L725" s="204">
        <f>L724/Parametros!$J$37</f>
        <v>25.1775</v>
      </c>
      <c r="M725" s="204">
        <f>M724/Parametros!$J$37</f>
        <v>24.67106667</v>
      </c>
      <c r="N725" s="204">
        <f>N724/Parametros!$J$37</f>
        <v>39.27113333</v>
      </c>
      <c r="O725" s="5"/>
      <c r="P725" s="5"/>
      <c r="Q725" s="5"/>
      <c r="R725" s="5"/>
      <c r="S725" s="5"/>
      <c r="T725" s="5"/>
      <c r="U725" s="5"/>
      <c r="V725" s="5"/>
      <c r="W725" s="5"/>
      <c r="X725" s="5"/>
      <c r="Y725" s="5"/>
      <c r="Z725" s="5"/>
    </row>
    <row r="726" ht="12.0" customHeight="1">
      <c r="A726" s="92" t="s">
        <v>636</v>
      </c>
      <c r="B726" s="5"/>
      <c r="C726" s="204">
        <f t="shared" ref="C726:N726" si="214">C725</f>
        <v>38.25826667</v>
      </c>
      <c r="D726" s="204">
        <f t="shared" si="214"/>
        <v>29.20013333</v>
      </c>
      <c r="E726" s="204">
        <f t="shared" si="214"/>
        <v>27.36243333</v>
      </c>
      <c r="F726" s="204">
        <f t="shared" si="214"/>
        <v>26.19036667</v>
      </c>
      <c r="G726" s="204">
        <f t="shared" si="214"/>
        <v>24.51186667</v>
      </c>
      <c r="H726" s="204">
        <f t="shared" si="214"/>
        <v>24.00543333</v>
      </c>
      <c r="I726" s="204">
        <f t="shared" si="214"/>
        <v>25.68393333</v>
      </c>
      <c r="J726" s="204">
        <f t="shared" si="214"/>
        <v>25.68393333</v>
      </c>
      <c r="K726" s="204">
        <f t="shared" si="214"/>
        <v>25.68393333</v>
      </c>
      <c r="L726" s="204">
        <f t="shared" si="214"/>
        <v>25.1775</v>
      </c>
      <c r="M726" s="204">
        <f t="shared" si="214"/>
        <v>24.67106667</v>
      </c>
      <c r="N726" s="204">
        <f t="shared" si="214"/>
        <v>39.27113333</v>
      </c>
      <c r="O726" s="5"/>
      <c r="P726" s="5"/>
      <c r="Q726" s="5"/>
      <c r="R726" s="5"/>
      <c r="S726" s="5"/>
      <c r="T726" s="5"/>
      <c r="U726" s="5"/>
      <c r="V726" s="5"/>
      <c r="W726" s="5"/>
      <c r="X726" s="5"/>
      <c r="Y726" s="5"/>
      <c r="Z726" s="5"/>
    </row>
    <row r="727" ht="12.0" customHeight="1">
      <c r="A727" s="92" t="s">
        <v>637</v>
      </c>
      <c r="B727" s="5"/>
      <c r="C727" s="205">
        <f>'Resumen Capacidad'!$E$129</f>
        <v>48.81355932</v>
      </c>
      <c r="D727" s="205">
        <f>'Resumen Capacidad'!$E$129</f>
        <v>48.81355932</v>
      </c>
      <c r="E727" s="205">
        <f>'Resumen Capacidad'!$E$129</f>
        <v>48.81355932</v>
      </c>
      <c r="F727" s="205">
        <f>'Resumen Capacidad'!$E$129</f>
        <v>48.81355932</v>
      </c>
      <c r="G727" s="205">
        <f>'Resumen Capacidad'!$E$129</f>
        <v>48.81355932</v>
      </c>
      <c r="H727" s="205">
        <f>'Resumen Capacidad'!$E$129</f>
        <v>48.81355932</v>
      </c>
      <c r="I727" s="205">
        <f>'Resumen Capacidad'!$E$129</f>
        <v>48.81355932</v>
      </c>
      <c r="J727" s="205">
        <f>'Resumen Capacidad'!$E$129</f>
        <v>48.81355932</v>
      </c>
      <c r="K727" s="205">
        <f>'Resumen Capacidad'!$E$129</f>
        <v>48.81355932</v>
      </c>
      <c r="L727" s="205">
        <f>'Resumen Capacidad'!$E$129</f>
        <v>48.81355932</v>
      </c>
      <c r="M727" s="205">
        <f>'Resumen Capacidad'!$E$129</f>
        <v>48.81355932</v>
      </c>
      <c r="N727" s="205">
        <f>'Resumen Capacidad'!$E$129</f>
        <v>48.81355932</v>
      </c>
      <c r="O727" s="5"/>
      <c r="P727" s="5"/>
      <c r="Q727" s="5"/>
      <c r="R727" s="5"/>
      <c r="S727" s="5"/>
      <c r="T727" s="5"/>
      <c r="U727" s="5"/>
      <c r="V727" s="5"/>
      <c r="W727" s="5"/>
      <c r="X727" s="5"/>
      <c r="Y727" s="5"/>
      <c r="Z727" s="5"/>
    </row>
    <row r="728" ht="12.0" customHeight="1">
      <c r="A728" s="92" t="s">
        <v>640</v>
      </c>
      <c r="B728" s="5"/>
      <c r="C728" s="204">
        <f>'Resumen Capacidad'!$E$47*'Resumen Capacidad'!$E$83</f>
        <v>1</v>
      </c>
      <c r="D728" s="204">
        <f>'Resumen Capacidad'!$E$47*'Resumen Capacidad'!$E$83</f>
        <v>1</v>
      </c>
      <c r="E728" s="204">
        <f>'Resumen Capacidad'!$E$47*'Resumen Capacidad'!$E$83</f>
        <v>1</v>
      </c>
      <c r="F728" s="204">
        <f>'Resumen Capacidad'!$E$47*'Resumen Capacidad'!$E$83</f>
        <v>1</v>
      </c>
      <c r="G728" s="204">
        <f>'Resumen Capacidad'!$E$47*'Resumen Capacidad'!$E$83</f>
        <v>1</v>
      </c>
      <c r="H728" s="204">
        <f>'Resumen Capacidad'!$E$47*'Resumen Capacidad'!$E$83</f>
        <v>1</v>
      </c>
      <c r="I728" s="204">
        <f>'Resumen Capacidad'!$E$47*'Resumen Capacidad'!$E$83</f>
        <v>1</v>
      </c>
      <c r="J728" s="204">
        <f>'Resumen Capacidad'!$E$47*'Resumen Capacidad'!$E$83</f>
        <v>1</v>
      </c>
      <c r="K728" s="204">
        <f>'Resumen Capacidad'!$E$47*'Resumen Capacidad'!$E$83</f>
        <v>1</v>
      </c>
      <c r="L728" s="204">
        <f>'Resumen Capacidad'!$E$47*'Resumen Capacidad'!$E$83</f>
        <v>1</v>
      </c>
      <c r="M728" s="204">
        <f>'Resumen Capacidad'!$E$47*'Resumen Capacidad'!$E$83</f>
        <v>1</v>
      </c>
      <c r="N728" s="204">
        <f>'Resumen Capacidad'!$E$47*'Resumen Capacidad'!$E$83</f>
        <v>1</v>
      </c>
      <c r="O728" s="5"/>
      <c r="P728" s="5"/>
      <c r="Q728" s="5"/>
      <c r="R728" s="5"/>
      <c r="S728" s="5"/>
      <c r="T728" s="5"/>
      <c r="U728" s="5"/>
      <c r="V728" s="5"/>
      <c r="W728" s="5"/>
      <c r="X728" s="5"/>
      <c r="Y728" s="5"/>
      <c r="Z728" s="5"/>
    </row>
    <row r="729" ht="12.0" customHeight="1">
      <c r="A729" s="92" t="s">
        <v>642</v>
      </c>
      <c r="B729" s="5"/>
      <c r="C729" s="204">
        <f t="shared" ref="C729:N729" si="215">C727*C728</f>
        <v>48.81355932</v>
      </c>
      <c r="D729" s="204">
        <f t="shared" si="215"/>
        <v>48.81355932</v>
      </c>
      <c r="E729" s="204">
        <f t="shared" si="215"/>
        <v>48.81355932</v>
      </c>
      <c r="F729" s="204">
        <f t="shared" si="215"/>
        <v>48.81355932</v>
      </c>
      <c r="G729" s="204">
        <f t="shared" si="215"/>
        <v>48.81355932</v>
      </c>
      <c r="H729" s="204">
        <f t="shared" si="215"/>
        <v>48.81355932</v>
      </c>
      <c r="I729" s="204">
        <f t="shared" si="215"/>
        <v>48.81355932</v>
      </c>
      <c r="J729" s="204">
        <f t="shared" si="215"/>
        <v>48.81355932</v>
      </c>
      <c r="K729" s="204">
        <f t="shared" si="215"/>
        <v>48.81355932</v>
      </c>
      <c r="L729" s="204">
        <f t="shared" si="215"/>
        <v>48.81355932</v>
      </c>
      <c r="M729" s="204">
        <f t="shared" si="215"/>
        <v>48.81355932</v>
      </c>
      <c r="N729" s="204">
        <f t="shared" si="215"/>
        <v>48.81355932</v>
      </c>
      <c r="O729" s="5"/>
      <c r="P729" s="5"/>
      <c r="Q729" s="5"/>
      <c r="R729" s="5"/>
      <c r="S729" s="5"/>
      <c r="T729" s="5"/>
      <c r="U729" s="5"/>
      <c r="V729" s="5"/>
      <c r="W729" s="5"/>
      <c r="X729" s="5"/>
      <c r="Y729" s="5"/>
      <c r="Z729" s="5"/>
    </row>
    <row r="730" ht="12.0" customHeight="1">
      <c r="A730" s="92" t="s">
        <v>643</v>
      </c>
      <c r="B730" s="5"/>
      <c r="C730" s="206">
        <f t="shared" ref="C730:N730" si="216">IF(C729=0,0,C726/C729)</f>
        <v>0.7837631019</v>
      </c>
      <c r="D730" s="206">
        <f t="shared" si="216"/>
        <v>0.5981971759</v>
      </c>
      <c r="E730" s="206">
        <f t="shared" si="216"/>
        <v>0.5605498495</v>
      </c>
      <c r="F730" s="206">
        <f t="shared" si="216"/>
        <v>0.5365387616</v>
      </c>
      <c r="G730" s="206">
        <f t="shared" si="216"/>
        <v>0.5021528241</v>
      </c>
      <c r="H730" s="206">
        <f t="shared" si="216"/>
        <v>0.4917779745</v>
      </c>
      <c r="I730" s="206">
        <f t="shared" si="216"/>
        <v>0.526163912</v>
      </c>
      <c r="J730" s="206">
        <f t="shared" si="216"/>
        <v>0.526163912</v>
      </c>
      <c r="K730" s="206">
        <f t="shared" si="216"/>
        <v>0.526163912</v>
      </c>
      <c r="L730" s="206">
        <f t="shared" si="216"/>
        <v>0.5157890625</v>
      </c>
      <c r="M730" s="206">
        <f t="shared" si="216"/>
        <v>0.505414213</v>
      </c>
      <c r="N730" s="206">
        <f t="shared" si="216"/>
        <v>0.8045128009</v>
      </c>
      <c r="O730" s="5"/>
      <c r="P730" s="5"/>
      <c r="Q730" s="5"/>
      <c r="R730" s="5"/>
      <c r="S730" s="5"/>
      <c r="T730" s="5"/>
      <c r="U730" s="5"/>
      <c r="V730" s="5"/>
      <c r="W730" s="5"/>
      <c r="X730" s="5"/>
      <c r="Y730" s="5"/>
      <c r="Z730" s="5"/>
    </row>
    <row r="731" ht="12.0"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0"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0" customHeight="1">
      <c r="A733" s="207">
        <v>2030.0</v>
      </c>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0" customHeight="1">
      <c r="A734" s="201" t="s">
        <v>629</v>
      </c>
      <c r="B734" s="202"/>
      <c r="C734" s="202"/>
      <c r="D734" s="202"/>
      <c r="E734" s="202"/>
      <c r="F734" s="202"/>
      <c r="G734" s="202"/>
      <c r="H734" s="202"/>
      <c r="I734" s="202"/>
      <c r="J734" s="202"/>
      <c r="K734" s="202"/>
      <c r="L734" s="202"/>
      <c r="M734" s="202"/>
      <c r="N734" s="202"/>
      <c r="O734" s="5"/>
      <c r="P734" s="5"/>
      <c r="Q734" s="5"/>
      <c r="R734" s="5"/>
      <c r="S734" s="5"/>
      <c r="T734" s="5"/>
      <c r="U734" s="5"/>
      <c r="V734" s="5"/>
      <c r="W734" s="5"/>
      <c r="X734" s="5"/>
      <c r="Y734" s="5"/>
      <c r="Z734" s="5"/>
    </row>
    <row r="735" ht="12.0" customHeight="1">
      <c r="A735" s="201" t="s">
        <v>630</v>
      </c>
      <c r="B735" s="201" t="s">
        <v>631</v>
      </c>
      <c r="C735" s="201" t="s">
        <v>3</v>
      </c>
      <c r="D735" s="201" t="s">
        <v>4</v>
      </c>
      <c r="E735" s="201" t="s">
        <v>5</v>
      </c>
      <c r="F735" s="201" t="s">
        <v>6</v>
      </c>
      <c r="G735" s="201" t="s">
        <v>7</v>
      </c>
      <c r="H735" s="201" t="s">
        <v>8</v>
      </c>
      <c r="I735" s="201" t="s">
        <v>9</v>
      </c>
      <c r="J735" s="201" t="s">
        <v>10</v>
      </c>
      <c r="K735" s="201" t="s">
        <v>11</v>
      </c>
      <c r="L735" s="201" t="s">
        <v>12</v>
      </c>
      <c r="M735" s="201" t="s">
        <v>13</v>
      </c>
      <c r="N735" s="201" t="s">
        <v>14</v>
      </c>
      <c r="O735" s="5"/>
      <c r="P735" s="5"/>
      <c r="Q735" s="5"/>
      <c r="R735" s="5"/>
      <c r="S735" s="5"/>
      <c r="T735" s="5"/>
      <c r="U735" s="5"/>
      <c r="V735" s="5"/>
      <c r="W735" s="5"/>
      <c r="X735" s="5"/>
      <c r="Y735" s="5"/>
      <c r="Z735" s="5"/>
    </row>
    <row r="736" ht="12.0" customHeight="1">
      <c r="A736" s="92" t="s">
        <v>632</v>
      </c>
      <c r="B736" s="92" t="s">
        <v>633</v>
      </c>
      <c r="C736" s="203">
        <f>SUM('2030'!B6:B9)+SUM('2030'!B17:B20)</f>
        <v>10033.02</v>
      </c>
      <c r="D736" s="203">
        <f>SUM('2030'!C6:C9)+SUM('2030'!C17:C20)</f>
        <v>7653.72</v>
      </c>
      <c r="E736" s="203">
        <f>SUM('2030'!D6:D9)+SUM('2030'!D17:D20)</f>
        <v>7161.515</v>
      </c>
      <c r="F736" s="203">
        <f>SUM('2030'!E6:E9)+SUM('2030'!E17:E20)</f>
        <v>6850.935</v>
      </c>
      <c r="G736" s="203">
        <f>SUM('2030'!F6:F9)+SUM('2030'!F17:F20)</f>
        <v>6411.4</v>
      </c>
      <c r="H736" s="203">
        <f>SUM('2030'!G6:G9)+SUM('2030'!G17:G20)</f>
        <v>6282.445</v>
      </c>
      <c r="I736" s="203">
        <f>SUM('2030'!H6:H9)+SUM('2030'!H17:H20)</f>
        <v>6721.98</v>
      </c>
      <c r="J736" s="203">
        <f>SUM('2030'!I6:I9)+SUM('2030'!I17:I20)</f>
        <v>6721.98</v>
      </c>
      <c r="K736" s="203">
        <f>SUM('2030'!J6:J9)+SUM('2030'!J17:J20)</f>
        <v>6721.98</v>
      </c>
      <c r="L736" s="203">
        <f>SUM('2030'!K6:K9)+SUM('2030'!K17:K20)</f>
        <v>6593.025</v>
      </c>
      <c r="M736" s="203">
        <f>SUM('2030'!L6:L9)+SUM('2030'!L17:L20)</f>
        <v>6464.07</v>
      </c>
      <c r="N736" s="203">
        <f>SUM('2030'!M6:M9)+SUM('2030'!M17:M20)</f>
        <v>10290.93</v>
      </c>
      <c r="O736" s="5"/>
      <c r="P736" s="5"/>
      <c r="Q736" s="5"/>
      <c r="R736" s="5"/>
      <c r="S736" s="5"/>
      <c r="T736" s="5"/>
      <c r="U736" s="5"/>
      <c r="V736" s="5"/>
      <c r="W736" s="5"/>
      <c r="X736" s="5"/>
      <c r="Y736" s="5"/>
      <c r="Z736" s="5"/>
    </row>
    <row r="737" ht="12.0" customHeight="1">
      <c r="A737" s="5"/>
      <c r="B737" s="92" t="s">
        <v>634</v>
      </c>
      <c r="C737" s="204">
        <f>C736/Parametros!$B$37</f>
        <v>501.651</v>
      </c>
      <c r="D737" s="204">
        <f>D736/Parametros!$B$37</f>
        <v>382.686</v>
      </c>
      <c r="E737" s="204">
        <f>E736/Parametros!$B$37</f>
        <v>358.07575</v>
      </c>
      <c r="F737" s="204">
        <f>F736/Parametros!$B$37</f>
        <v>342.54675</v>
      </c>
      <c r="G737" s="204">
        <f>G736/Parametros!$B$37</f>
        <v>320.57</v>
      </c>
      <c r="H737" s="204">
        <f>H736/Parametros!$B$37</f>
        <v>314.12225</v>
      </c>
      <c r="I737" s="204">
        <f>I736/Parametros!$B$37</f>
        <v>336.099</v>
      </c>
      <c r="J737" s="204">
        <f>J736/Parametros!$B$37</f>
        <v>336.099</v>
      </c>
      <c r="K737" s="204">
        <f>K736/Parametros!$B$37</f>
        <v>336.099</v>
      </c>
      <c r="L737" s="204">
        <f>L736/Parametros!$B$37</f>
        <v>329.65125</v>
      </c>
      <c r="M737" s="204">
        <f>M736/Parametros!$B$37</f>
        <v>323.2035</v>
      </c>
      <c r="N737" s="204">
        <f>N736/Parametros!$B$37</f>
        <v>514.5465</v>
      </c>
      <c r="O737" s="5"/>
      <c r="P737" s="5"/>
      <c r="Q737" s="5"/>
      <c r="R737" s="5"/>
      <c r="S737" s="5"/>
      <c r="T737" s="5"/>
      <c r="U737" s="5"/>
      <c r="V737" s="5"/>
      <c r="W737" s="5"/>
      <c r="X737" s="5"/>
      <c r="Y737" s="5"/>
      <c r="Z737" s="5"/>
    </row>
    <row r="738" ht="12.0" customHeight="1">
      <c r="A738" s="5"/>
      <c r="B738" s="92" t="s">
        <v>635</v>
      </c>
      <c r="C738" s="204">
        <f>C737/Parametros!$J$37</f>
        <v>66.8868</v>
      </c>
      <c r="D738" s="204">
        <f>D737/Parametros!$J$37</f>
        <v>51.0248</v>
      </c>
      <c r="E738" s="204">
        <f>E737/Parametros!$J$37</f>
        <v>47.74343333</v>
      </c>
      <c r="F738" s="204">
        <f>F737/Parametros!$J$37</f>
        <v>45.6729</v>
      </c>
      <c r="G738" s="204">
        <f>G737/Parametros!$J$37</f>
        <v>42.74266667</v>
      </c>
      <c r="H738" s="204">
        <f>H737/Parametros!$J$37</f>
        <v>41.88296667</v>
      </c>
      <c r="I738" s="204">
        <f>I737/Parametros!$J$37</f>
        <v>44.8132</v>
      </c>
      <c r="J738" s="204">
        <f>J737/Parametros!$J$37</f>
        <v>44.8132</v>
      </c>
      <c r="K738" s="204">
        <f>K737/Parametros!$J$37</f>
        <v>44.8132</v>
      </c>
      <c r="L738" s="204">
        <f>L737/Parametros!$J$37</f>
        <v>43.9535</v>
      </c>
      <c r="M738" s="204">
        <f>M737/Parametros!$J$37</f>
        <v>43.0938</v>
      </c>
      <c r="N738" s="204">
        <f>N737/Parametros!$J$37</f>
        <v>68.6062</v>
      </c>
      <c r="O738" s="5"/>
      <c r="P738" s="5"/>
      <c r="Q738" s="5"/>
      <c r="R738" s="5"/>
      <c r="S738" s="5"/>
      <c r="T738" s="5"/>
      <c r="U738" s="5"/>
      <c r="V738" s="5"/>
      <c r="W738" s="5"/>
      <c r="X738" s="5"/>
      <c r="Y738" s="5"/>
      <c r="Z738" s="5"/>
    </row>
    <row r="739" ht="12.0" customHeight="1">
      <c r="A739" s="92" t="s">
        <v>636</v>
      </c>
      <c r="B739" s="5"/>
      <c r="C739" s="204">
        <f t="shared" ref="C739:N739" si="217">C738</f>
        <v>66.8868</v>
      </c>
      <c r="D739" s="204">
        <f t="shared" si="217"/>
        <v>51.0248</v>
      </c>
      <c r="E739" s="204">
        <f t="shared" si="217"/>
        <v>47.74343333</v>
      </c>
      <c r="F739" s="204">
        <f t="shared" si="217"/>
        <v>45.6729</v>
      </c>
      <c r="G739" s="204">
        <f t="shared" si="217"/>
        <v>42.74266667</v>
      </c>
      <c r="H739" s="204">
        <f t="shared" si="217"/>
        <v>41.88296667</v>
      </c>
      <c r="I739" s="204">
        <f t="shared" si="217"/>
        <v>44.8132</v>
      </c>
      <c r="J739" s="204">
        <f t="shared" si="217"/>
        <v>44.8132</v>
      </c>
      <c r="K739" s="204">
        <f t="shared" si="217"/>
        <v>44.8132</v>
      </c>
      <c r="L739" s="204">
        <f t="shared" si="217"/>
        <v>43.9535</v>
      </c>
      <c r="M739" s="204">
        <f t="shared" si="217"/>
        <v>43.0938</v>
      </c>
      <c r="N739" s="204">
        <f t="shared" si="217"/>
        <v>68.6062</v>
      </c>
      <c r="O739" s="5"/>
      <c r="P739" s="5"/>
      <c r="Q739" s="5"/>
      <c r="R739" s="5"/>
      <c r="S739" s="5"/>
      <c r="T739" s="5"/>
      <c r="U739" s="5"/>
      <c r="V739" s="5"/>
      <c r="W739" s="5"/>
      <c r="X739" s="5"/>
      <c r="Y739" s="5"/>
      <c r="Z739" s="5"/>
    </row>
    <row r="740" ht="12.0" customHeight="1">
      <c r="A740" s="92" t="s">
        <v>637</v>
      </c>
      <c r="B740" s="5"/>
      <c r="C740" s="205">
        <f>'Resumen Capacidad'!$F$111</f>
        <v>68</v>
      </c>
      <c r="D740" s="205">
        <f>'Resumen Capacidad'!$F$111</f>
        <v>68</v>
      </c>
      <c r="E740" s="205">
        <f>'Resumen Capacidad'!$F$111</f>
        <v>68</v>
      </c>
      <c r="F740" s="205">
        <f>'Resumen Capacidad'!$F$111</f>
        <v>68</v>
      </c>
      <c r="G740" s="205">
        <f>'Resumen Capacidad'!$F$111</f>
        <v>68</v>
      </c>
      <c r="H740" s="205">
        <f>'Resumen Capacidad'!$F$111</f>
        <v>68</v>
      </c>
      <c r="I740" s="205">
        <f>'Resumen Capacidad'!$F$111</f>
        <v>68</v>
      </c>
      <c r="J740" s="205">
        <f>'Resumen Capacidad'!$F$111</f>
        <v>68</v>
      </c>
      <c r="K740" s="205">
        <f>'Resumen Capacidad'!$F$111</f>
        <v>68</v>
      </c>
      <c r="L740" s="205">
        <f>'Resumen Capacidad'!$F$111</f>
        <v>68</v>
      </c>
      <c r="M740" s="205">
        <f>'Resumen Capacidad'!$F$111</f>
        <v>68</v>
      </c>
      <c r="N740" s="205">
        <f>'Resumen Capacidad'!$F$111</f>
        <v>68</v>
      </c>
      <c r="O740" s="5"/>
      <c r="P740" s="5"/>
      <c r="Q740" s="5"/>
      <c r="R740" s="5"/>
      <c r="S740" s="5"/>
      <c r="T740" s="5"/>
      <c r="U740" s="5"/>
      <c r="V740" s="5"/>
      <c r="W740" s="5"/>
      <c r="X740" s="5"/>
      <c r="Y740" s="5"/>
      <c r="Z740" s="5"/>
    </row>
    <row r="741" ht="12.0" customHeight="1">
      <c r="A741" s="92" t="s">
        <v>640</v>
      </c>
      <c r="B741" s="5"/>
      <c r="C741" s="204">
        <f>'Resumen Capacidad'!$F$29*'Resumen Capacidad'!$F$65</f>
        <v>2</v>
      </c>
      <c r="D741" s="204">
        <f>'Resumen Capacidad'!$F$29*'Resumen Capacidad'!$F$65</f>
        <v>2</v>
      </c>
      <c r="E741" s="204">
        <f>'Resumen Capacidad'!$F$29*'Resumen Capacidad'!$F$65</f>
        <v>2</v>
      </c>
      <c r="F741" s="204">
        <f>'Resumen Capacidad'!$F$29*'Resumen Capacidad'!$F$65</f>
        <v>2</v>
      </c>
      <c r="G741" s="204">
        <f>'Resumen Capacidad'!$F$29*'Resumen Capacidad'!$F$65</f>
        <v>2</v>
      </c>
      <c r="H741" s="204">
        <f>'Resumen Capacidad'!$F$29*'Resumen Capacidad'!$F$65</f>
        <v>2</v>
      </c>
      <c r="I741" s="204">
        <f>'Resumen Capacidad'!$F$29*'Resumen Capacidad'!$F$65</f>
        <v>2</v>
      </c>
      <c r="J741" s="204">
        <f>'Resumen Capacidad'!$F$29*'Resumen Capacidad'!$F$65</f>
        <v>2</v>
      </c>
      <c r="K741" s="204">
        <f>'Resumen Capacidad'!$F$29*'Resumen Capacidad'!$F$65</f>
        <v>2</v>
      </c>
      <c r="L741" s="204">
        <f>'Resumen Capacidad'!$F$29*'Resumen Capacidad'!$F$65</f>
        <v>2</v>
      </c>
      <c r="M741" s="204">
        <f>'Resumen Capacidad'!$F$29*'Resumen Capacidad'!$F$65</f>
        <v>2</v>
      </c>
      <c r="N741" s="204">
        <f>'Resumen Capacidad'!$F$29*'Resumen Capacidad'!$F$65</f>
        <v>2</v>
      </c>
      <c r="O741" s="5"/>
      <c r="P741" s="5"/>
      <c r="Q741" s="5"/>
      <c r="R741" s="5"/>
      <c r="S741" s="5"/>
      <c r="T741" s="5"/>
      <c r="U741" s="5"/>
      <c r="V741" s="5"/>
      <c r="W741" s="5"/>
      <c r="X741" s="5"/>
      <c r="Y741" s="5"/>
      <c r="Z741" s="5"/>
    </row>
    <row r="742" ht="12.0" customHeight="1">
      <c r="A742" s="92" t="s">
        <v>642</v>
      </c>
      <c r="B742" s="5"/>
      <c r="C742" s="204">
        <f t="shared" ref="C742:N742" si="218">C740*C741</f>
        <v>136</v>
      </c>
      <c r="D742" s="204">
        <f t="shared" si="218"/>
        <v>136</v>
      </c>
      <c r="E742" s="204">
        <f t="shared" si="218"/>
        <v>136</v>
      </c>
      <c r="F742" s="204">
        <f t="shared" si="218"/>
        <v>136</v>
      </c>
      <c r="G742" s="204">
        <f t="shared" si="218"/>
        <v>136</v>
      </c>
      <c r="H742" s="204">
        <f t="shared" si="218"/>
        <v>136</v>
      </c>
      <c r="I742" s="204">
        <f t="shared" si="218"/>
        <v>136</v>
      </c>
      <c r="J742" s="204">
        <f t="shared" si="218"/>
        <v>136</v>
      </c>
      <c r="K742" s="204">
        <f t="shared" si="218"/>
        <v>136</v>
      </c>
      <c r="L742" s="204">
        <f t="shared" si="218"/>
        <v>136</v>
      </c>
      <c r="M742" s="204">
        <f t="shared" si="218"/>
        <v>136</v>
      </c>
      <c r="N742" s="204">
        <f t="shared" si="218"/>
        <v>136</v>
      </c>
      <c r="O742" s="5"/>
      <c r="P742" s="5"/>
      <c r="Q742" s="5"/>
      <c r="R742" s="5"/>
      <c r="S742" s="5"/>
      <c r="T742" s="5"/>
      <c r="U742" s="5"/>
      <c r="V742" s="5"/>
      <c r="W742" s="5"/>
      <c r="X742" s="5"/>
      <c r="Y742" s="5"/>
      <c r="Z742" s="5"/>
    </row>
    <row r="743" ht="12.0" customHeight="1">
      <c r="A743" s="92" t="s">
        <v>643</v>
      </c>
      <c r="B743" s="5"/>
      <c r="C743" s="206">
        <f t="shared" ref="C743:N743" si="219">IF(C742=0,0,C739/C742)</f>
        <v>0.4918147059</v>
      </c>
      <c r="D743" s="206">
        <f t="shared" si="219"/>
        <v>0.3751823529</v>
      </c>
      <c r="E743" s="206">
        <f t="shared" si="219"/>
        <v>0.3510546569</v>
      </c>
      <c r="F743" s="206">
        <f t="shared" si="219"/>
        <v>0.3358301471</v>
      </c>
      <c r="G743" s="206">
        <f t="shared" si="219"/>
        <v>0.3142843137</v>
      </c>
      <c r="H743" s="206">
        <f t="shared" si="219"/>
        <v>0.3079629902</v>
      </c>
      <c r="I743" s="206">
        <f t="shared" si="219"/>
        <v>0.3295088235</v>
      </c>
      <c r="J743" s="206">
        <f t="shared" si="219"/>
        <v>0.3295088235</v>
      </c>
      <c r="K743" s="206">
        <f t="shared" si="219"/>
        <v>0.3295088235</v>
      </c>
      <c r="L743" s="206">
        <f t="shared" si="219"/>
        <v>0.3231875</v>
      </c>
      <c r="M743" s="206">
        <f t="shared" si="219"/>
        <v>0.3168661765</v>
      </c>
      <c r="N743" s="206">
        <f t="shared" si="219"/>
        <v>0.5044573529</v>
      </c>
      <c r="O743" s="5"/>
      <c r="P743" s="5"/>
      <c r="Q743" s="5"/>
      <c r="R743" s="5"/>
      <c r="S743" s="5"/>
      <c r="T743" s="5"/>
      <c r="U743" s="5"/>
      <c r="V743" s="5"/>
      <c r="W743" s="5"/>
      <c r="X743" s="5"/>
      <c r="Y743" s="5"/>
      <c r="Z743" s="5"/>
    </row>
    <row r="744" ht="12.0" customHeight="1">
      <c r="A744" s="201" t="s">
        <v>644</v>
      </c>
      <c r="B744" s="202"/>
      <c r="C744" s="202"/>
      <c r="D744" s="202"/>
      <c r="E744" s="202"/>
      <c r="F744" s="202"/>
      <c r="G744" s="202"/>
      <c r="H744" s="202"/>
      <c r="I744" s="202"/>
      <c r="J744" s="202"/>
      <c r="K744" s="202"/>
      <c r="L744" s="202"/>
      <c r="M744" s="202"/>
      <c r="N744" s="202"/>
      <c r="O744" s="5"/>
      <c r="P744" s="5"/>
      <c r="Q744" s="5"/>
      <c r="R744" s="5"/>
      <c r="S744" s="5"/>
      <c r="T744" s="5"/>
      <c r="U744" s="5"/>
      <c r="V744" s="5"/>
      <c r="W744" s="5"/>
      <c r="X744" s="5"/>
      <c r="Y744" s="5"/>
      <c r="Z744" s="5"/>
    </row>
    <row r="745" ht="12.0" customHeight="1">
      <c r="A745" s="201" t="s">
        <v>630</v>
      </c>
      <c r="B745" s="201" t="s">
        <v>631</v>
      </c>
      <c r="C745" s="201" t="s">
        <v>3</v>
      </c>
      <c r="D745" s="201" t="s">
        <v>4</v>
      </c>
      <c r="E745" s="201" t="s">
        <v>5</v>
      </c>
      <c r="F745" s="201" t="s">
        <v>6</v>
      </c>
      <c r="G745" s="201" t="s">
        <v>7</v>
      </c>
      <c r="H745" s="201" t="s">
        <v>8</v>
      </c>
      <c r="I745" s="201" t="s">
        <v>9</v>
      </c>
      <c r="J745" s="201" t="s">
        <v>10</v>
      </c>
      <c r="K745" s="201" t="s">
        <v>11</v>
      </c>
      <c r="L745" s="201" t="s">
        <v>12</v>
      </c>
      <c r="M745" s="201" t="s">
        <v>13</v>
      </c>
      <c r="N745" s="201" t="s">
        <v>14</v>
      </c>
      <c r="O745" s="5"/>
      <c r="P745" s="5"/>
      <c r="Q745" s="5"/>
      <c r="R745" s="5"/>
      <c r="S745" s="5"/>
      <c r="T745" s="5"/>
      <c r="U745" s="5"/>
      <c r="V745" s="5"/>
      <c r="W745" s="5"/>
      <c r="X745" s="5"/>
      <c r="Y745" s="5"/>
      <c r="Z745" s="5"/>
    </row>
    <row r="746" ht="12.0" customHeight="1">
      <c r="A746" s="92" t="s">
        <v>632</v>
      </c>
      <c r="B746" s="92" t="s">
        <v>633</v>
      </c>
      <c r="C746" s="203">
        <f>SUM('2030'!B6:B9)+SUM('2030'!B17:B20)</f>
        <v>10033.02</v>
      </c>
      <c r="D746" s="203">
        <f>SUM('2030'!C6:C9)+SUM('2030'!C17:C20)</f>
        <v>7653.72</v>
      </c>
      <c r="E746" s="203">
        <f>SUM('2030'!D6:D9)+SUM('2030'!D17:D20)</f>
        <v>7161.515</v>
      </c>
      <c r="F746" s="203">
        <f>SUM('2030'!E6:E9)+SUM('2030'!E17:E20)</f>
        <v>6850.935</v>
      </c>
      <c r="G746" s="203">
        <f>SUM('2030'!F6:F9)+SUM('2030'!F17:F20)</f>
        <v>6411.4</v>
      </c>
      <c r="H746" s="203">
        <f>SUM('2030'!G6:G9)+SUM('2030'!G17:G20)</f>
        <v>6282.445</v>
      </c>
      <c r="I746" s="203">
        <f>SUM('2030'!H6:H9)+SUM('2030'!H17:H20)</f>
        <v>6721.98</v>
      </c>
      <c r="J746" s="203">
        <f>SUM('2030'!I6:I9)+SUM('2030'!I17:I20)</f>
        <v>6721.98</v>
      </c>
      <c r="K746" s="203">
        <f>SUM('2030'!J6:J9)+SUM('2030'!J17:J20)</f>
        <v>6721.98</v>
      </c>
      <c r="L746" s="203">
        <f>SUM('2030'!K6:K9)+SUM('2030'!K17:K20)</f>
        <v>6593.025</v>
      </c>
      <c r="M746" s="203">
        <f>SUM('2030'!L6:L9)+SUM('2030'!L17:L20)</f>
        <v>6464.07</v>
      </c>
      <c r="N746" s="203">
        <f>SUM('2030'!M6:M9)+SUM('2030'!M17:M20)</f>
        <v>10290.93</v>
      </c>
      <c r="O746" s="5"/>
      <c r="P746" s="5"/>
      <c r="Q746" s="5"/>
      <c r="R746" s="5"/>
      <c r="S746" s="5"/>
      <c r="T746" s="5"/>
      <c r="U746" s="5"/>
      <c r="V746" s="5"/>
      <c r="W746" s="5"/>
      <c r="X746" s="5"/>
      <c r="Y746" s="5"/>
      <c r="Z746" s="5"/>
    </row>
    <row r="747" ht="12.0" customHeight="1">
      <c r="A747" s="5"/>
      <c r="B747" s="92" t="s">
        <v>634</v>
      </c>
      <c r="C747" s="204">
        <f>C746/Parametros!$B$37</f>
        <v>501.651</v>
      </c>
      <c r="D747" s="204">
        <f>D746/Parametros!$B$37</f>
        <v>382.686</v>
      </c>
      <c r="E747" s="204">
        <f>E746/Parametros!$B$37</f>
        <v>358.07575</v>
      </c>
      <c r="F747" s="204">
        <f>F746/Parametros!$B$37</f>
        <v>342.54675</v>
      </c>
      <c r="G747" s="204">
        <f>G746/Parametros!$B$37</f>
        <v>320.57</v>
      </c>
      <c r="H747" s="204">
        <f>H746/Parametros!$B$37</f>
        <v>314.12225</v>
      </c>
      <c r="I747" s="204">
        <f>I746/Parametros!$B$37</f>
        <v>336.099</v>
      </c>
      <c r="J747" s="204">
        <f>J746/Parametros!$B$37</f>
        <v>336.099</v>
      </c>
      <c r="K747" s="204">
        <f>K746/Parametros!$B$37</f>
        <v>336.099</v>
      </c>
      <c r="L747" s="204">
        <f>L746/Parametros!$B$37</f>
        <v>329.65125</v>
      </c>
      <c r="M747" s="204">
        <f>M746/Parametros!$B$37</f>
        <v>323.2035</v>
      </c>
      <c r="N747" s="204">
        <f>N746/Parametros!$B$37</f>
        <v>514.5465</v>
      </c>
      <c r="O747" s="5"/>
      <c r="P747" s="5"/>
      <c r="Q747" s="5"/>
      <c r="R747" s="5"/>
      <c r="S747" s="5"/>
      <c r="T747" s="5"/>
      <c r="U747" s="5"/>
      <c r="V747" s="5"/>
      <c r="W747" s="5"/>
      <c r="X747" s="5"/>
      <c r="Y747" s="5"/>
      <c r="Z747" s="5"/>
    </row>
    <row r="748" ht="12.0" customHeight="1">
      <c r="A748" s="5"/>
      <c r="B748" s="92" t="s">
        <v>635</v>
      </c>
      <c r="C748" s="204">
        <f>C747/Parametros!$J$37</f>
        <v>66.8868</v>
      </c>
      <c r="D748" s="204">
        <f>D747/Parametros!$J$37</f>
        <v>51.0248</v>
      </c>
      <c r="E748" s="204">
        <f>E747/Parametros!$J$37</f>
        <v>47.74343333</v>
      </c>
      <c r="F748" s="204">
        <f>F747/Parametros!$J$37</f>
        <v>45.6729</v>
      </c>
      <c r="G748" s="204">
        <f>G747/Parametros!$J$37</f>
        <v>42.74266667</v>
      </c>
      <c r="H748" s="204">
        <f>H747/Parametros!$J$37</f>
        <v>41.88296667</v>
      </c>
      <c r="I748" s="204">
        <f>I747/Parametros!$J$37</f>
        <v>44.8132</v>
      </c>
      <c r="J748" s="204">
        <f>J747/Parametros!$J$37</f>
        <v>44.8132</v>
      </c>
      <c r="K748" s="204">
        <f>K747/Parametros!$J$37</f>
        <v>44.8132</v>
      </c>
      <c r="L748" s="204">
        <f>L747/Parametros!$J$37</f>
        <v>43.9535</v>
      </c>
      <c r="M748" s="204">
        <f>M747/Parametros!$J$37</f>
        <v>43.0938</v>
      </c>
      <c r="N748" s="204">
        <f>N747/Parametros!$J$37</f>
        <v>68.6062</v>
      </c>
      <c r="O748" s="5"/>
      <c r="P748" s="5"/>
      <c r="Q748" s="5"/>
      <c r="R748" s="5"/>
      <c r="S748" s="5"/>
      <c r="T748" s="5"/>
      <c r="U748" s="5"/>
      <c r="V748" s="5"/>
      <c r="W748" s="5"/>
      <c r="X748" s="5"/>
      <c r="Y748" s="5"/>
      <c r="Z748" s="5"/>
    </row>
    <row r="749" ht="12.0" customHeight="1">
      <c r="A749" s="92" t="s">
        <v>636</v>
      </c>
      <c r="B749" s="5"/>
      <c r="C749" s="204">
        <f t="shared" ref="C749:N749" si="220">C748</f>
        <v>66.8868</v>
      </c>
      <c r="D749" s="204">
        <f t="shared" si="220"/>
        <v>51.0248</v>
      </c>
      <c r="E749" s="204">
        <f t="shared" si="220"/>
        <v>47.74343333</v>
      </c>
      <c r="F749" s="204">
        <f t="shared" si="220"/>
        <v>45.6729</v>
      </c>
      <c r="G749" s="204">
        <f t="shared" si="220"/>
        <v>42.74266667</v>
      </c>
      <c r="H749" s="204">
        <f t="shared" si="220"/>
        <v>41.88296667</v>
      </c>
      <c r="I749" s="204">
        <f t="shared" si="220"/>
        <v>44.8132</v>
      </c>
      <c r="J749" s="204">
        <f t="shared" si="220"/>
        <v>44.8132</v>
      </c>
      <c r="K749" s="204">
        <f t="shared" si="220"/>
        <v>44.8132</v>
      </c>
      <c r="L749" s="204">
        <f t="shared" si="220"/>
        <v>43.9535</v>
      </c>
      <c r="M749" s="204">
        <f t="shared" si="220"/>
        <v>43.0938</v>
      </c>
      <c r="N749" s="204">
        <f t="shared" si="220"/>
        <v>68.6062</v>
      </c>
      <c r="O749" s="5"/>
      <c r="P749" s="5"/>
      <c r="Q749" s="5"/>
      <c r="R749" s="5"/>
      <c r="S749" s="5"/>
      <c r="T749" s="5"/>
      <c r="U749" s="5"/>
      <c r="V749" s="5"/>
      <c r="W749" s="5"/>
      <c r="X749" s="5"/>
      <c r="Y749" s="5"/>
      <c r="Z749" s="5"/>
    </row>
    <row r="750" ht="12.0" customHeight="1">
      <c r="A750" s="92" t="s">
        <v>637</v>
      </c>
      <c r="B750" s="5"/>
      <c r="C750" s="205">
        <f>'Resumen Capacidad'!$F$112</f>
        <v>90.19362319</v>
      </c>
      <c r="D750" s="205">
        <f>'Resumen Capacidad'!$F$112</f>
        <v>90.19362319</v>
      </c>
      <c r="E750" s="205">
        <f>'Resumen Capacidad'!$F$112</f>
        <v>90.19362319</v>
      </c>
      <c r="F750" s="205">
        <f>'Resumen Capacidad'!$F$112</f>
        <v>90.19362319</v>
      </c>
      <c r="G750" s="205">
        <f>'Resumen Capacidad'!$F$112</f>
        <v>90.19362319</v>
      </c>
      <c r="H750" s="205">
        <f>'Resumen Capacidad'!$F$112</f>
        <v>90.19362319</v>
      </c>
      <c r="I750" s="205">
        <f>'Resumen Capacidad'!$F$112</f>
        <v>90.19362319</v>
      </c>
      <c r="J750" s="205">
        <f>'Resumen Capacidad'!$F$112</f>
        <v>90.19362319</v>
      </c>
      <c r="K750" s="205">
        <f>'Resumen Capacidad'!$F$112</f>
        <v>90.19362319</v>
      </c>
      <c r="L750" s="205">
        <f>'Resumen Capacidad'!$F$112</f>
        <v>90.19362319</v>
      </c>
      <c r="M750" s="205">
        <f>'Resumen Capacidad'!$F$112</f>
        <v>90.19362319</v>
      </c>
      <c r="N750" s="205">
        <f>'Resumen Capacidad'!$F$112</f>
        <v>90.19362319</v>
      </c>
      <c r="O750" s="5"/>
      <c r="P750" s="5"/>
      <c r="Q750" s="5"/>
      <c r="R750" s="5"/>
      <c r="S750" s="5"/>
      <c r="T750" s="5"/>
      <c r="U750" s="5"/>
      <c r="V750" s="5"/>
      <c r="W750" s="5"/>
      <c r="X750" s="5"/>
      <c r="Y750" s="5"/>
      <c r="Z750" s="5"/>
    </row>
    <row r="751" ht="12.0" customHeight="1">
      <c r="A751" s="92" t="s">
        <v>640</v>
      </c>
      <c r="B751" s="5"/>
      <c r="C751" s="204">
        <f>'Resumen Capacidad'!$F$30*'Resumen Capacidad'!$F$66</f>
        <v>1</v>
      </c>
      <c r="D751" s="204">
        <f>'Resumen Capacidad'!$F$30*'Resumen Capacidad'!$F$66</f>
        <v>1</v>
      </c>
      <c r="E751" s="204">
        <f>'Resumen Capacidad'!$F$30*'Resumen Capacidad'!$F$66</f>
        <v>1</v>
      </c>
      <c r="F751" s="204">
        <f>'Resumen Capacidad'!$F$30*'Resumen Capacidad'!$F$66</f>
        <v>1</v>
      </c>
      <c r="G751" s="204">
        <f>'Resumen Capacidad'!$F$30*'Resumen Capacidad'!$F$66</f>
        <v>1</v>
      </c>
      <c r="H751" s="204">
        <f>'Resumen Capacidad'!$F$30*'Resumen Capacidad'!$F$66</f>
        <v>1</v>
      </c>
      <c r="I751" s="204">
        <f>'Resumen Capacidad'!$F$30*'Resumen Capacidad'!$F$66</f>
        <v>1</v>
      </c>
      <c r="J751" s="204">
        <f>'Resumen Capacidad'!$F$30*'Resumen Capacidad'!$F$66</f>
        <v>1</v>
      </c>
      <c r="K751" s="204">
        <f>'Resumen Capacidad'!$F$30*'Resumen Capacidad'!$F$66</f>
        <v>1</v>
      </c>
      <c r="L751" s="204">
        <f>'Resumen Capacidad'!$F$30*'Resumen Capacidad'!$F$66</f>
        <v>1</v>
      </c>
      <c r="M751" s="204">
        <f>'Resumen Capacidad'!$F$30*'Resumen Capacidad'!$F$66</f>
        <v>1</v>
      </c>
      <c r="N751" s="204">
        <f>'Resumen Capacidad'!$F$30*'Resumen Capacidad'!$F$66</f>
        <v>1</v>
      </c>
      <c r="O751" s="5"/>
      <c r="P751" s="5"/>
      <c r="Q751" s="5"/>
      <c r="R751" s="5"/>
      <c r="S751" s="5"/>
      <c r="T751" s="5"/>
      <c r="U751" s="5"/>
      <c r="V751" s="5"/>
      <c r="W751" s="5"/>
      <c r="X751" s="5"/>
      <c r="Y751" s="5"/>
      <c r="Z751" s="5"/>
    </row>
    <row r="752" ht="12.0" customHeight="1">
      <c r="A752" s="92" t="s">
        <v>642</v>
      </c>
      <c r="B752" s="5"/>
      <c r="C752" s="204">
        <f t="shared" ref="C752:N752" si="221">C750*C751</f>
        <v>90.19362319</v>
      </c>
      <c r="D752" s="204">
        <f t="shared" si="221"/>
        <v>90.19362319</v>
      </c>
      <c r="E752" s="204">
        <f t="shared" si="221"/>
        <v>90.19362319</v>
      </c>
      <c r="F752" s="204">
        <f t="shared" si="221"/>
        <v>90.19362319</v>
      </c>
      <c r="G752" s="204">
        <f t="shared" si="221"/>
        <v>90.19362319</v>
      </c>
      <c r="H752" s="204">
        <f t="shared" si="221"/>
        <v>90.19362319</v>
      </c>
      <c r="I752" s="204">
        <f t="shared" si="221"/>
        <v>90.19362319</v>
      </c>
      <c r="J752" s="204">
        <f t="shared" si="221"/>
        <v>90.19362319</v>
      </c>
      <c r="K752" s="204">
        <f t="shared" si="221"/>
        <v>90.19362319</v>
      </c>
      <c r="L752" s="204">
        <f t="shared" si="221"/>
        <v>90.19362319</v>
      </c>
      <c r="M752" s="204">
        <f t="shared" si="221"/>
        <v>90.19362319</v>
      </c>
      <c r="N752" s="204">
        <f t="shared" si="221"/>
        <v>90.19362319</v>
      </c>
      <c r="O752" s="5"/>
      <c r="P752" s="5"/>
      <c r="Q752" s="5"/>
      <c r="R752" s="5"/>
      <c r="S752" s="5"/>
      <c r="T752" s="5"/>
      <c r="U752" s="5"/>
      <c r="V752" s="5"/>
      <c r="W752" s="5"/>
      <c r="X752" s="5"/>
      <c r="Y752" s="5"/>
      <c r="Z752" s="5"/>
    </row>
    <row r="753" ht="12.0" customHeight="1">
      <c r="A753" s="92" t="s">
        <v>643</v>
      </c>
      <c r="B753" s="5"/>
      <c r="C753" s="206">
        <f t="shared" ref="C753:N753" si="222">IF(C752=0,0,C749/C752)</f>
        <v>0.7415912305</v>
      </c>
      <c r="D753" s="206">
        <f t="shared" si="222"/>
        <v>0.5657251388</v>
      </c>
      <c r="E753" s="206">
        <f t="shared" si="222"/>
        <v>0.5293437789</v>
      </c>
      <c r="F753" s="206">
        <f t="shared" si="222"/>
        <v>0.506387241</v>
      </c>
      <c r="G753" s="206">
        <f t="shared" si="222"/>
        <v>0.473898987</v>
      </c>
      <c r="H753" s="206">
        <f t="shared" si="222"/>
        <v>0.4643672711</v>
      </c>
      <c r="I753" s="206">
        <f t="shared" si="222"/>
        <v>0.496855525</v>
      </c>
      <c r="J753" s="206">
        <f t="shared" si="222"/>
        <v>0.496855525</v>
      </c>
      <c r="K753" s="206">
        <f t="shared" si="222"/>
        <v>0.496855525</v>
      </c>
      <c r="L753" s="206">
        <f t="shared" si="222"/>
        <v>0.487323809</v>
      </c>
      <c r="M753" s="206">
        <f t="shared" si="222"/>
        <v>0.477792093</v>
      </c>
      <c r="N753" s="206">
        <f t="shared" si="222"/>
        <v>0.7606546624</v>
      </c>
      <c r="O753" s="5"/>
      <c r="P753" s="5"/>
      <c r="Q753" s="5"/>
      <c r="R753" s="5"/>
      <c r="S753" s="5"/>
      <c r="T753" s="5"/>
      <c r="U753" s="5"/>
      <c r="V753" s="5"/>
      <c r="W753" s="5"/>
      <c r="X753" s="5"/>
      <c r="Y753" s="5"/>
      <c r="Z753" s="5"/>
    </row>
    <row r="754" ht="12.0" customHeight="1">
      <c r="A754" s="201" t="s">
        <v>646</v>
      </c>
      <c r="B754" s="202"/>
      <c r="C754" s="202"/>
      <c r="D754" s="202"/>
      <c r="E754" s="202"/>
      <c r="F754" s="202"/>
      <c r="G754" s="202"/>
      <c r="H754" s="202"/>
      <c r="I754" s="202"/>
      <c r="J754" s="202"/>
      <c r="K754" s="202"/>
      <c r="L754" s="202"/>
      <c r="M754" s="202"/>
      <c r="N754" s="202"/>
      <c r="O754" s="5"/>
      <c r="P754" s="5"/>
      <c r="Q754" s="5"/>
      <c r="R754" s="5"/>
      <c r="S754" s="5"/>
      <c r="T754" s="5"/>
      <c r="U754" s="5"/>
      <c r="V754" s="5"/>
      <c r="W754" s="5"/>
      <c r="X754" s="5"/>
      <c r="Y754" s="5"/>
      <c r="Z754" s="5"/>
    </row>
    <row r="755" ht="12.0" customHeight="1">
      <c r="A755" s="201" t="s">
        <v>630</v>
      </c>
      <c r="B755" s="201" t="s">
        <v>631</v>
      </c>
      <c r="C755" s="201" t="s">
        <v>3</v>
      </c>
      <c r="D755" s="201" t="s">
        <v>4</v>
      </c>
      <c r="E755" s="201" t="s">
        <v>5</v>
      </c>
      <c r="F755" s="201" t="s">
        <v>6</v>
      </c>
      <c r="G755" s="201" t="s">
        <v>7</v>
      </c>
      <c r="H755" s="201" t="s">
        <v>8</v>
      </c>
      <c r="I755" s="201" t="s">
        <v>9</v>
      </c>
      <c r="J755" s="201" t="s">
        <v>10</v>
      </c>
      <c r="K755" s="201" t="s">
        <v>11</v>
      </c>
      <c r="L755" s="201" t="s">
        <v>12</v>
      </c>
      <c r="M755" s="201" t="s">
        <v>13</v>
      </c>
      <c r="N755" s="201" t="s">
        <v>14</v>
      </c>
      <c r="O755" s="5"/>
      <c r="P755" s="5"/>
      <c r="Q755" s="5"/>
      <c r="R755" s="5"/>
      <c r="S755" s="5"/>
      <c r="T755" s="5"/>
      <c r="U755" s="5"/>
      <c r="V755" s="5"/>
      <c r="W755" s="5"/>
      <c r="X755" s="5"/>
      <c r="Y755" s="5"/>
      <c r="Z755" s="5"/>
    </row>
    <row r="756" ht="12.0" customHeight="1">
      <c r="A756" s="92" t="s">
        <v>647</v>
      </c>
      <c r="B756" s="92" t="s">
        <v>633</v>
      </c>
      <c r="C756" s="203">
        <f>(SUM('2030'!B6:B9)+SUM('2030'!B17:B20))*2</f>
        <v>20066.04</v>
      </c>
      <c r="D756" s="203">
        <f>(SUM('2030'!C6:C9)+SUM('2030'!C17:C20))*2</f>
        <v>15307.44</v>
      </c>
      <c r="E756" s="203">
        <f>(SUM('2030'!D6:D9)+SUM('2030'!D17:D20))*2</f>
        <v>14323.03</v>
      </c>
      <c r="F756" s="203">
        <f>(SUM('2030'!E6:E9)+SUM('2030'!E17:E20))*2</f>
        <v>13701.87</v>
      </c>
      <c r="G756" s="203">
        <f>(SUM('2030'!F6:F9)+SUM('2030'!F17:F20))*2</f>
        <v>12822.8</v>
      </c>
      <c r="H756" s="203">
        <f>(SUM('2030'!G6:G9)+SUM('2030'!G17:G20))*2</f>
        <v>12564.89</v>
      </c>
      <c r="I756" s="203">
        <f>(SUM('2030'!H6:H9)+SUM('2030'!H17:H20))*2</f>
        <v>13443.96</v>
      </c>
      <c r="J756" s="203">
        <f>(SUM('2030'!I6:I9)+SUM('2030'!I17:I20))*2</f>
        <v>13443.96</v>
      </c>
      <c r="K756" s="203">
        <f>(SUM('2030'!J6:J9)+SUM('2030'!J17:J20))*2</f>
        <v>13443.96</v>
      </c>
      <c r="L756" s="203">
        <f>(SUM('2030'!K6:K9)+SUM('2030'!K17:K20))*2</f>
        <v>13186.05</v>
      </c>
      <c r="M756" s="203">
        <f>(SUM('2030'!L6:L9)+SUM('2030'!L17:L20))*2</f>
        <v>12928.14</v>
      </c>
      <c r="N756" s="203">
        <f>(SUM('2030'!M6:M9)+SUM('2030'!M17:M20))*2</f>
        <v>20581.86</v>
      </c>
      <c r="O756" s="5"/>
      <c r="P756" s="5"/>
      <c r="Q756" s="5"/>
      <c r="R756" s="5"/>
      <c r="S756" s="5"/>
      <c r="T756" s="5"/>
      <c r="U756" s="5"/>
      <c r="V756" s="5"/>
      <c r="W756" s="5"/>
      <c r="X756" s="5"/>
      <c r="Y756" s="5"/>
      <c r="Z756" s="5"/>
    </row>
    <row r="757" ht="12.0" customHeight="1">
      <c r="A757" s="5"/>
      <c r="B757" s="92" t="s">
        <v>634</v>
      </c>
      <c r="C757" s="204">
        <f>C756/Parametros!$B$37</f>
        <v>1003.302</v>
      </c>
      <c r="D757" s="204">
        <f>D756/Parametros!$B$37</f>
        <v>765.372</v>
      </c>
      <c r="E757" s="204">
        <f>E756/Parametros!$B$37</f>
        <v>716.1515</v>
      </c>
      <c r="F757" s="204">
        <f>F756/Parametros!$B$37</f>
        <v>685.0935</v>
      </c>
      <c r="G757" s="204">
        <f>G756/Parametros!$B$37</f>
        <v>641.14</v>
      </c>
      <c r="H757" s="204">
        <f>H756/Parametros!$B$37</f>
        <v>628.2445</v>
      </c>
      <c r="I757" s="204">
        <f>I756/Parametros!$B$37</f>
        <v>672.198</v>
      </c>
      <c r="J757" s="204">
        <f>J756/Parametros!$B$37</f>
        <v>672.198</v>
      </c>
      <c r="K757" s="204">
        <f>K756/Parametros!$B$37</f>
        <v>672.198</v>
      </c>
      <c r="L757" s="204">
        <f>L756/Parametros!$B$37</f>
        <v>659.3025</v>
      </c>
      <c r="M757" s="204">
        <f>M756/Parametros!$B$37</f>
        <v>646.407</v>
      </c>
      <c r="N757" s="204">
        <f>N756/Parametros!$B$37</f>
        <v>1029.093</v>
      </c>
      <c r="O757" s="5"/>
      <c r="P757" s="5"/>
      <c r="Q757" s="5"/>
      <c r="R757" s="5"/>
      <c r="S757" s="5"/>
      <c r="T757" s="5"/>
      <c r="U757" s="5"/>
      <c r="V757" s="5"/>
      <c r="W757" s="5"/>
      <c r="X757" s="5"/>
      <c r="Y757" s="5"/>
      <c r="Z757" s="5"/>
    </row>
    <row r="758" ht="12.0" customHeight="1">
      <c r="A758" s="5"/>
      <c r="B758" s="92" t="s">
        <v>635</v>
      </c>
      <c r="C758" s="204">
        <f>C757/Parametros!$J$37</f>
        <v>133.7736</v>
      </c>
      <c r="D758" s="204">
        <f>D757/Parametros!$J$37</f>
        <v>102.0496</v>
      </c>
      <c r="E758" s="204">
        <f>E757/Parametros!$J$37</f>
        <v>95.48686667</v>
      </c>
      <c r="F758" s="204">
        <f>F757/Parametros!$J$37</f>
        <v>91.3458</v>
      </c>
      <c r="G758" s="204">
        <f>G757/Parametros!$J$37</f>
        <v>85.48533333</v>
      </c>
      <c r="H758" s="204">
        <f>H757/Parametros!$J$37</f>
        <v>83.76593333</v>
      </c>
      <c r="I758" s="204">
        <f>I757/Parametros!$J$37</f>
        <v>89.6264</v>
      </c>
      <c r="J758" s="204">
        <f>J757/Parametros!$J$37</f>
        <v>89.6264</v>
      </c>
      <c r="K758" s="204">
        <f>K757/Parametros!$J$37</f>
        <v>89.6264</v>
      </c>
      <c r="L758" s="204">
        <f>L757/Parametros!$J$37</f>
        <v>87.907</v>
      </c>
      <c r="M758" s="204">
        <f>M757/Parametros!$J$37</f>
        <v>86.1876</v>
      </c>
      <c r="N758" s="204">
        <f>N757/Parametros!$J$37</f>
        <v>137.2124</v>
      </c>
      <c r="O758" s="5"/>
      <c r="P758" s="5"/>
      <c r="Q758" s="5"/>
      <c r="R758" s="5"/>
      <c r="S758" s="5"/>
      <c r="T758" s="5"/>
      <c r="U758" s="5"/>
      <c r="V758" s="5"/>
      <c r="W758" s="5"/>
      <c r="X758" s="5"/>
      <c r="Y758" s="5"/>
      <c r="Z758" s="5"/>
    </row>
    <row r="759" ht="12.0" customHeight="1">
      <c r="A759" s="92" t="s">
        <v>636</v>
      </c>
      <c r="B759" s="5"/>
      <c r="C759" s="204">
        <f t="shared" ref="C759:N759" si="223">C758</f>
        <v>133.7736</v>
      </c>
      <c r="D759" s="204">
        <f t="shared" si="223"/>
        <v>102.0496</v>
      </c>
      <c r="E759" s="204">
        <f t="shared" si="223"/>
        <v>95.48686667</v>
      </c>
      <c r="F759" s="204">
        <f t="shared" si="223"/>
        <v>91.3458</v>
      </c>
      <c r="G759" s="204">
        <f t="shared" si="223"/>
        <v>85.48533333</v>
      </c>
      <c r="H759" s="204">
        <f t="shared" si="223"/>
        <v>83.76593333</v>
      </c>
      <c r="I759" s="204">
        <f t="shared" si="223"/>
        <v>89.6264</v>
      </c>
      <c r="J759" s="204">
        <f t="shared" si="223"/>
        <v>89.6264</v>
      </c>
      <c r="K759" s="204">
        <f t="shared" si="223"/>
        <v>89.6264</v>
      </c>
      <c r="L759" s="204">
        <f t="shared" si="223"/>
        <v>87.907</v>
      </c>
      <c r="M759" s="204">
        <f t="shared" si="223"/>
        <v>86.1876</v>
      </c>
      <c r="N759" s="204">
        <f t="shared" si="223"/>
        <v>137.2124</v>
      </c>
      <c r="O759" s="5"/>
      <c r="P759" s="5"/>
      <c r="Q759" s="5"/>
      <c r="R759" s="5"/>
      <c r="S759" s="5"/>
      <c r="T759" s="5"/>
      <c r="U759" s="5"/>
      <c r="V759" s="5"/>
      <c r="W759" s="5"/>
      <c r="X759" s="5"/>
      <c r="Y759" s="5"/>
      <c r="Z759" s="5"/>
    </row>
    <row r="760" ht="12.0" customHeight="1">
      <c r="A760" s="92" t="s">
        <v>637</v>
      </c>
      <c r="B760" s="5"/>
      <c r="C760" s="205">
        <f>'Resumen Capacidad'!$F$113</f>
        <v>466.5116279</v>
      </c>
      <c r="D760" s="205">
        <f>'Resumen Capacidad'!$F$113</f>
        <v>466.5116279</v>
      </c>
      <c r="E760" s="205">
        <f>'Resumen Capacidad'!$F$113</f>
        <v>466.5116279</v>
      </c>
      <c r="F760" s="205">
        <f>'Resumen Capacidad'!$F$113</f>
        <v>466.5116279</v>
      </c>
      <c r="G760" s="205">
        <f>'Resumen Capacidad'!$F$113</f>
        <v>466.5116279</v>
      </c>
      <c r="H760" s="205">
        <f>'Resumen Capacidad'!$F$113</f>
        <v>466.5116279</v>
      </c>
      <c r="I760" s="205">
        <f>'Resumen Capacidad'!$F$113</f>
        <v>466.5116279</v>
      </c>
      <c r="J760" s="205">
        <f>'Resumen Capacidad'!$F$113</f>
        <v>466.5116279</v>
      </c>
      <c r="K760" s="205">
        <f>'Resumen Capacidad'!$F$113</f>
        <v>466.5116279</v>
      </c>
      <c r="L760" s="205">
        <f>'Resumen Capacidad'!$F$113</f>
        <v>466.5116279</v>
      </c>
      <c r="M760" s="205">
        <f>'Resumen Capacidad'!$F$113</f>
        <v>466.5116279</v>
      </c>
      <c r="N760" s="205">
        <f>'Resumen Capacidad'!$F$113</f>
        <v>466.5116279</v>
      </c>
      <c r="O760" s="5"/>
      <c r="P760" s="5"/>
      <c r="Q760" s="5"/>
      <c r="R760" s="5"/>
      <c r="S760" s="5"/>
      <c r="T760" s="5"/>
      <c r="U760" s="5"/>
      <c r="V760" s="5"/>
      <c r="W760" s="5"/>
      <c r="X760" s="5"/>
      <c r="Y760" s="5"/>
      <c r="Z760" s="5"/>
    </row>
    <row r="761" ht="12.0" customHeight="1">
      <c r="A761" s="92" t="s">
        <v>640</v>
      </c>
      <c r="B761" s="5"/>
      <c r="C761" s="204">
        <f>'Resumen Capacidad'!$F$31*'Resumen Capacidad'!$F$67</f>
        <v>1</v>
      </c>
      <c r="D761" s="204">
        <f>'Resumen Capacidad'!$F$31*'Resumen Capacidad'!$F$67</f>
        <v>1</v>
      </c>
      <c r="E761" s="204">
        <f>'Resumen Capacidad'!$F$31*'Resumen Capacidad'!$F$67</f>
        <v>1</v>
      </c>
      <c r="F761" s="204">
        <f>'Resumen Capacidad'!$F$31*'Resumen Capacidad'!$F$67</f>
        <v>1</v>
      </c>
      <c r="G761" s="204">
        <f>'Resumen Capacidad'!$F$31*'Resumen Capacidad'!$F$67</f>
        <v>1</v>
      </c>
      <c r="H761" s="204">
        <f>'Resumen Capacidad'!$F$31*'Resumen Capacidad'!$F$67</f>
        <v>1</v>
      </c>
      <c r="I761" s="204">
        <f>'Resumen Capacidad'!$F$31*'Resumen Capacidad'!$F$67</f>
        <v>1</v>
      </c>
      <c r="J761" s="204">
        <f>'Resumen Capacidad'!$F$31*'Resumen Capacidad'!$F$67</f>
        <v>1</v>
      </c>
      <c r="K761" s="204">
        <f>'Resumen Capacidad'!$F$31*'Resumen Capacidad'!$F$67</f>
        <v>1</v>
      </c>
      <c r="L761" s="204">
        <f>'Resumen Capacidad'!$F$31*'Resumen Capacidad'!$F$67</f>
        <v>1</v>
      </c>
      <c r="M761" s="204">
        <f>'Resumen Capacidad'!$F$31*'Resumen Capacidad'!$F$67</f>
        <v>1</v>
      </c>
      <c r="N761" s="204">
        <f>'Resumen Capacidad'!$F$31*'Resumen Capacidad'!$F$67</f>
        <v>1</v>
      </c>
      <c r="O761" s="5"/>
      <c r="P761" s="5"/>
      <c r="Q761" s="5"/>
      <c r="R761" s="5"/>
      <c r="S761" s="5"/>
      <c r="T761" s="5"/>
      <c r="U761" s="5"/>
      <c r="V761" s="5"/>
      <c r="W761" s="5"/>
      <c r="X761" s="5"/>
      <c r="Y761" s="5"/>
      <c r="Z761" s="5"/>
    </row>
    <row r="762" ht="12.0" customHeight="1">
      <c r="A762" s="92" t="s">
        <v>642</v>
      </c>
      <c r="B762" s="5"/>
      <c r="C762" s="204">
        <f t="shared" ref="C762:N762" si="224">C760*C761</f>
        <v>466.5116279</v>
      </c>
      <c r="D762" s="204">
        <f t="shared" si="224"/>
        <v>466.5116279</v>
      </c>
      <c r="E762" s="204">
        <f t="shared" si="224"/>
        <v>466.5116279</v>
      </c>
      <c r="F762" s="204">
        <f t="shared" si="224"/>
        <v>466.5116279</v>
      </c>
      <c r="G762" s="204">
        <f t="shared" si="224"/>
        <v>466.5116279</v>
      </c>
      <c r="H762" s="204">
        <f t="shared" si="224"/>
        <v>466.5116279</v>
      </c>
      <c r="I762" s="204">
        <f t="shared" si="224"/>
        <v>466.5116279</v>
      </c>
      <c r="J762" s="204">
        <f t="shared" si="224"/>
        <v>466.5116279</v>
      </c>
      <c r="K762" s="204">
        <f t="shared" si="224"/>
        <v>466.5116279</v>
      </c>
      <c r="L762" s="204">
        <f t="shared" si="224"/>
        <v>466.5116279</v>
      </c>
      <c r="M762" s="204">
        <f t="shared" si="224"/>
        <v>466.5116279</v>
      </c>
      <c r="N762" s="204">
        <f t="shared" si="224"/>
        <v>466.5116279</v>
      </c>
      <c r="O762" s="5"/>
      <c r="P762" s="5"/>
      <c r="Q762" s="5"/>
      <c r="R762" s="5"/>
      <c r="S762" s="5"/>
      <c r="T762" s="5"/>
      <c r="U762" s="5"/>
      <c r="V762" s="5"/>
      <c r="W762" s="5"/>
      <c r="X762" s="5"/>
      <c r="Y762" s="5"/>
      <c r="Z762" s="5"/>
    </row>
    <row r="763" ht="12.0" customHeight="1">
      <c r="A763" s="92" t="s">
        <v>643</v>
      </c>
      <c r="B763" s="5"/>
      <c r="C763" s="206">
        <f t="shared" ref="C763:N763" si="225">IF(C762=0,0,C759/C762)</f>
        <v>0.2867529811</v>
      </c>
      <c r="D763" s="206">
        <f t="shared" si="225"/>
        <v>0.2187503888</v>
      </c>
      <c r="E763" s="206">
        <f t="shared" si="225"/>
        <v>0.2046827152</v>
      </c>
      <c r="F763" s="206">
        <f t="shared" si="225"/>
        <v>0.1958060518</v>
      </c>
      <c r="G763" s="206">
        <f t="shared" si="225"/>
        <v>0.1832437355</v>
      </c>
      <c r="H763" s="206">
        <f t="shared" si="225"/>
        <v>0.1795580824</v>
      </c>
      <c r="I763" s="206">
        <f t="shared" si="225"/>
        <v>0.1921203988</v>
      </c>
      <c r="J763" s="206">
        <f t="shared" si="225"/>
        <v>0.1921203988</v>
      </c>
      <c r="K763" s="206">
        <f t="shared" si="225"/>
        <v>0.1921203988</v>
      </c>
      <c r="L763" s="206">
        <f t="shared" si="225"/>
        <v>0.1884347458</v>
      </c>
      <c r="M763" s="206">
        <f t="shared" si="225"/>
        <v>0.1847490927</v>
      </c>
      <c r="N763" s="206">
        <f t="shared" si="225"/>
        <v>0.2941242871</v>
      </c>
      <c r="O763" s="5"/>
      <c r="P763" s="5"/>
      <c r="Q763" s="5"/>
      <c r="R763" s="5"/>
      <c r="S763" s="5"/>
      <c r="T763" s="5"/>
      <c r="U763" s="5"/>
      <c r="V763" s="5"/>
      <c r="W763" s="5"/>
      <c r="X763" s="5"/>
      <c r="Y763" s="5"/>
      <c r="Z763" s="5"/>
    </row>
    <row r="764" ht="12.0" customHeight="1">
      <c r="A764" s="201" t="s">
        <v>649</v>
      </c>
      <c r="B764" s="202"/>
      <c r="C764" s="202"/>
      <c r="D764" s="202"/>
      <c r="E764" s="202"/>
      <c r="F764" s="202"/>
      <c r="G764" s="202"/>
      <c r="H764" s="202"/>
      <c r="I764" s="202"/>
      <c r="J764" s="202"/>
      <c r="K764" s="202"/>
      <c r="L764" s="202"/>
      <c r="M764" s="202"/>
      <c r="N764" s="202"/>
      <c r="O764" s="5"/>
      <c r="P764" s="5"/>
      <c r="Q764" s="5"/>
      <c r="R764" s="5"/>
      <c r="S764" s="5"/>
      <c r="T764" s="5"/>
      <c r="U764" s="5"/>
      <c r="V764" s="5"/>
      <c r="W764" s="5"/>
      <c r="X764" s="5"/>
      <c r="Y764" s="5"/>
      <c r="Z764" s="5"/>
    </row>
    <row r="765" ht="12.0" customHeight="1">
      <c r="A765" s="201" t="s">
        <v>630</v>
      </c>
      <c r="B765" s="201" t="s">
        <v>631</v>
      </c>
      <c r="C765" s="201" t="s">
        <v>3</v>
      </c>
      <c r="D765" s="201" t="s">
        <v>4</v>
      </c>
      <c r="E765" s="201" t="s">
        <v>5</v>
      </c>
      <c r="F765" s="201" t="s">
        <v>6</v>
      </c>
      <c r="G765" s="201" t="s">
        <v>7</v>
      </c>
      <c r="H765" s="201" t="s">
        <v>8</v>
      </c>
      <c r="I765" s="201" t="s">
        <v>9</v>
      </c>
      <c r="J765" s="201" t="s">
        <v>10</v>
      </c>
      <c r="K765" s="201" t="s">
        <v>11</v>
      </c>
      <c r="L765" s="201" t="s">
        <v>12</v>
      </c>
      <c r="M765" s="201" t="s">
        <v>13</v>
      </c>
      <c r="N765" s="201" t="s">
        <v>14</v>
      </c>
      <c r="O765" s="5"/>
      <c r="P765" s="5"/>
      <c r="Q765" s="5"/>
      <c r="R765" s="5"/>
      <c r="S765" s="5"/>
      <c r="T765" s="5"/>
      <c r="U765" s="5"/>
      <c r="V765" s="5"/>
      <c r="W765" s="5"/>
      <c r="X765" s="5"/>
      <c r="Y765" s="5"/>
      <c r="Z765" s="5"/>
    </row>
    <row r="766" ht="12.0" customHeight="1">
      <c r="A766" s="92" t="s">
        <v>632</v>
      </c>
      <c r="B766" s="92" t="s">
        <v>633</v>
      </c>
      <c r="C766" s="203">
        <f>SUM('2030'!B6:B9)+SUM('2030'!B17:B20)</f>
        <v>10033.02</v>
      </c>
      <c r="D766" s="203">
        <f>SUM('2030'!C6:C9)+SUM('2030'!C17:C20)</f>
        <v>7653.72</v>
      </c>
      <c r="E766" s="203">
        <f>SUM('2030'!D6:D9)+SUM('2030'!D17:D20)</f>
        <v>7161.515</v>
      </c>
      <c r="F766" s="203">
        <f>SUM('2030'!E6:E9)+SUM('2030'!E17:E20)</f>
        <v>6850.935</v>
      </c>
      <c r="G766" s="203">
        <f>SUM('2030'!F6:F9)+SUM('2030'!F17:F20)</f>
        <v>6411.4</v>
      </c>
      <c r="H766" s="203">
        <f>SUM('2030'!G6:G9)+SUM('2030'!G17:G20)</f>
        <v>6282.445</v>
      </c>
      <c r="I766" s="203">
        <f>SUM('2030'!H6:H9)+SUM('2030'!H17:H20)</f>
        <v>6721.98</v>
      </c>
      <c r="J766" s="203">
        <f>SUM('2030'!I6:I9)+SUM('2030'!I17:I20)</f>
        <v>6721.98</v>
      </c>
      <c r="K766" s="203">
        <f>SUM('2030'!J6:J9)+SUM('2030'!J17:J20)</f>
        <v>6721.98</v>
      </c>
      <c r="L766" s="203">
        <f>SUM('2030'!K6:K9)+SUM('2030'!K17:K20)</f>
        <v>6593.025</v>
      </c>
      <c r="M766" s="203">
        <f>SUM('2030'!L6:L9)+SUM('2030'!L17:L20)</f>
        <v>6464.07</v>
      </c>
      <c r="N766" s="203">
        <f>SUM('2030'!M6:M9)+SUM('2030'!M17:M20)</f>
        <v>10290.93</v>
      </c>
      <c r="O766" s="5"/>
      <c r="P766" s="5"/>
      <c r="Q766" s="5"/>
      <c r="R766" s="5"/>
      <c r="S766" s="5"/>
      <c r="T766" s="5"/>
      <c r="U766" s="5"/>
      <c r="V766" s="5"/>
      <c r="W766" s="5"/>
      <c r="X766" s="5"/>
      <c r="Y766" s="5"/>
      <c r="Z766" s="5"/>
    </row>
    <row r="767" ht="12.0" customHeight="1">
      <c r="A767" s="5"/>
      <c r="B767" s="92" t="s">
        <v>634</v>
      </c>
      <c r="C767" s="204">
        <f>C766/Parametros!$B$37</f>
        <v>501.651</v>
      </c>
      <c r="D767" s="204">
        <f>D766/Parametros!$B$37</f>
        <v>382.686</v>
      </c>
      <c r="E767" s="204">
        <f>E766/Parametros!$B$37</f>
        <v>358.07575</v>
      </c>
      <c r="F767" s="204">
        <f>F766/Parametros!$B$37</f>
        <v>342.54675</v>
      </c>
      <c r="G767" s="204">
        <f>G766/Parametros!$B$37</f>
        <v>320.57</v>
      </c>
      <c r="H767" s="204">
        <f>H766/Parametros!$B$37</f>
        <v>314.12225</v>
      </c>
      <c r="I767" s="204">
        <f>I766/Parametros!$B$37</f>
        <v>336.099</v>
      </c>
      <c r="J767" s="204">
        <f>J766/Parametros!$B$37</f>
        <v>336.099</v>
      </c>
      <c r="K767" s="204">
        <f>K766/Parametros!$B$37</f>
        <v>336.099</v>
      </c>
      <c r="L767" s="204">
        <f>L766/Parametros!$B$37</f>
        <v>329.65125</v>
      </c>
      <c r="M767" s="204">
        <f>M766/Parametros!$B$37</f>
        <v>323.2035</v>
      </c>
      <c r="N767" s="204">
        <f>N766/Parametros!$B$37</f>
        <v>514.5465</v>
      </c>
      <c r="O767" s="5"/>
      <c r="P767" s="5"/>
      <c r="Q767" s="5"/>
      <c r="R767" s="5"/>
      <c r="S767" s="5"/>
      <c r="T767" s="5"/>
      <c r="U767" s="5"/>
      <c r="V767" s="5"/>
      <c r="W767" s="5"/>
      <c r="X767" s="5"/>
      <c r="Y767" s="5"/>
      <c r="Z767" s="5"/>
    </row>
    <row r="768" ht="12.0" customHeight="1">
      <c r="A768" s="5"/>
      <c r="B768" s="92" t="s">
        <v>635</v>
      </c>
      <c r="C768" s="204">
        <f>C767/Parametros!$J$37</f>
        <v>66.8868</v>
      </c>
      <c r="D768" s="204">
        <f>D767/Parametros!$J$37</f>
        <v>51.0248</v>
      </c>
      <c r="E768" s="204">
        <f>E767/Parametros!$J$37</f>
        <v>47.74343333</v>
      </c>
      <c r="F768" s="204">
        <f>F767/Parametros!$J$37</f>
        <v>45.6729</v>
      </c>
      <c r="G768" s="204">
        <f>G767/Parametros!$J$37</f>
        <v>42.74266667</v>
      </c>
      <c r="H768" s="204">
        <f>H767/Parametros!$J$37</f>
        <v>41.88296667</v>
      </c>
      <c r="I768" s="204">
        <f>I767/Parametros!$J$37</f>
        <v>44.8132</v>
      </c>
      <c r="J768" s="204">
        <f>J767/Parametros!$J$37</f>
        <v>44.8132</v>
      </c>
      <c r="K768" s="204">
        <f>K767/Parametros!$J$37</f>
        <v>44.8132</v>
      </c>
      <c r="L768" s="204">
        <f>L767/Parametros!$J$37</f>
        <v>43.9535</v>
      </c>
      <c r="M768" s="204">
        <f>M767/Parametros!$J$37</f>
        <v>43.0938</v>
      </c>
      <c r="N768" s="204">
        <f>N767/Parametros!$J$37</f>
        <v>68.6062</v>
      </c>
      <c r="O768" s="5"/>
      <c r="P768" s="5"/>
      <c r="Q768" s="5"/>
      <c r="R768" s="5"/>
      <c r="S768" s="5"/>
      <c r="T768" s="5"/>
      <c r="U768" s="5"/>
      <c r="V768" s="5"/>
      <c r="W768" s="5"/>
      <c r="X768" s="5"/>
      <c r="Y768" s="5"/>
      <c r="Z768" s="5"/>
    </row>
    <row r="769" ht="12.0" customHeight="1">
      <c r="A769" s="92" t="s">
        <v>636</v>
      </c>
      <c r="B769" s="5"/>
      <c r="C769" s="204">
        <f t="shared" ref="C769:N769" si="226">C768</f>
        <v>66.8868</v>
      </c>
      <c r="D769" s="204">
        <f t="shared" si="226"/>
        <v>51.0248</v>
      </c>
      <c r="E769" s="204">
        <f t="shared" si="226"/>
        <v>47.74343333</v>
      </c>
      <c r="F769" s="204">
        <f t="shared" si="226"/>
        <v>45.6729</v>
      </c>
      <c r="G769" s="204">
        <f t="shared" si="226"/>
        <v>42.74266667</v>
      </c>
      <c r="H769" s="204">
        <f t="shared" si="226"/>
        <v>41.88296667</v>
      </c>
      <c r="I769" s="204">
        <f t="shared" si="226"/>
        <v>44.8132</v>
      </c>
      <c r="J769" s="204">
        <f t="shared" si="226"/>
        <v>44.8132</v>
      </c>
      <c r="K769" s="204">
        <f t="shared" si="226"/>
        <v>44.8132</v>
      </c>
      <c r="L769" s="204">
        <f t="shared" si="226"/>
        <v>43.9535</v>
      </c>
      <c r="M769" s="204">
        <f t="shared" si="226"/>
        <v>43.0938</v>
      </c>
      <c r="N769" s="204">
        <f t="shared" si="226"/>
        <v>68.6062</v>
      </c>
      <c r="O769" s="5"/>
      <c r="P769" s="5"/>
      <c r="Q769" s="5"/>
      <c r="R769" s="5"/>
      <c r="S769" s="5"/>
      <c r="T769" s="5"/>
      <c r="U769" s="5"/>
      <c r="V769" s="5"/>
      <c r="W769" s="5"/>
      <c r="X769" s="5"/>
      <c r="Y769" s="5"/>
      <c r="Z769" s="5"/>
    </row>
    <row r="770" ht="12.0" customHeight="1">
      <c r="A770" s="92" t="s">
        <v>637</v>
      </c>
      <c r="B770" s="5"/>
      <c r="C770" s="205">
        <f>'Resumen Capacidad'!$F$114</f>
        <v>96</v>
      </c>
      <c r="D770" s="205">
        <f>'Resumen Capacidad'!$F$114</f>
        <v>96</v>
      </c>
      <c r="E770" s="205">
        <f>'Resumen Capacidad'!$F$114</f>
        <v>96</v>
      </c>
      <c r="F770" s="205">
        <f>'Resumen Capacidad'!$F$114</f>
        <v>96</v>
      </c>
      <c r="G770" s="205">
        <f>'Resumen Capacidad'!$F$114</f>
        <v>96</v>
      </c>
      <c r="H770" s="205">
        <f>'Resumen Capacidad'!$F$114</f>
        <v>96</v>
      </c>
      <c r="I770" s="205">
        <f>'Resumen Capacidad'!$F$114</f>
        <v>96</v>
      </c>
      <c r="J770" s="205">
        <f>'Resumen Capacidad'!$F$114</f>
        <v>96</v>
      </c>
      <c r="K770" s="205">
        <f>'Resumen Capacidad'!$F$114</f>
        <v>96</v>
      </c>
      <c r="L770" s="205">
        <f>'Resumen Capacidad'!$F$114</f>
        <v>96</v>
      </c>
      <c r="M770" s="205">
        <f>'Resumen Capacidad'!$F$114</f>
        <v>96</v>
      </c>
      <c r="N770" s="205">
        <f>'Resumen Capacidad'!$F$114</f>
        <v>96</v>
      </c>
      <c r="O770" s="5"/>
      <c r="P770" s="5"/>
      <c r="Q770" s="5"/>
      <c r="R770" s="5"/>
      <c r="S770" s="5"/>
      <c r="T770" s="5"/>
      <c r="U770" s="5"/>
      <c r="V770" s="5"/>
      <c r="W770" s="5"/>
      <c r="X770" s="5"/>
      <c r="Y770" s="5"/>
      <c r="Z770" s="5"/>
    </row>
    <row r="771" ht="12.0" customHeight="1">
      <c r="A771" s="92" t="s">
        <v>640</v>
      </c>
      <c r="B771" s="5"/>
      <c r="C771" s="204">
        <f>'Resumen Capacidad'!$F$32*'Resumen Capacidad'!$F$68</f>
        <v>1</v>
      </c>
      <c r="D771" s="204">
        <f>'Resumen Capacidad'!$F$32*'Resumen Capacidad'!$F$68</f>
        <v>1</v>
      </c>
      <c r="E771" s="204">
        <f>'Resumen Capacidad'!$F$32*'Resumen Capacidad'!$F$68</f>
        <v>1</v>
      </c>
      <c r="F771" s="204">
        <f>'Resumen Capacidad'!$F$32*'Resumen Capacidad'!$F$68</f>
        <v>1</v>
      </c>
      <c r="G771" s="204">
        <f>'Resumen Capacidad'!$F$32*'Resumen Capacidad'!$F$68</f>
        <v>1</v>
      </c>
      <c r="H771" s="204">
        <f>'Resumen Capacidad'!$F$32*'Resumen Capacidad'!$F$68</f>
        <v>1</v>
      </c>
      <c r="I771" s="204">
        <f>'Resumen Capacidad'!$F$32*'Resumen Capacidad'!$F$68</f>
        <v>1</v>
      </c>
      <c r="J771" s="204">
        <f>'Resumen Capacidad'!$F$32*'Resumen Capacidad'!$F$68</f>
        <v>1</v>
      </c>
      <c r="K771" s="204">
        <f>'Resumen Capacidad'!$F$32*'Resumen Capacidad'!$F$68</f>
        <v>1</v>
      </c>
      <c r="L771" s="204">
        <f>'Resumen Capacidad'!$F$32*'Resumen Capacidad'!$F$68</f>
        <v>1</v>
      </c>
      <c r="M771" s="204">
        <f>'Resumen Capacidad'!$F$32*'Resumen Capacidad'!$F$68</f>
        <v>1</v>
      </c>
      <c r="N771" s="204">
        <f>'Resumen Capacidad'!$F$32*'Resumen Capacidad'!$F$68</f>
        <v>1</v>
      </c>
      <c r="O771" s="5"/>
      <c r="P771" s="5"/>
      <c r="Q771" s="5"/>
      <c r="R771" s="5"/>
      <c r="S771" s="5"/>
      <c r="T771" s="5"/>
      <c r="U771" s="5"/>
      <c r="V771" s="5"/>
      <c r="W771" s="5"/>
      <c r="X771" s="5"/>
      <c r="Y771" s="5"/>
      <c r="Z771" s="5"/>
    </row>
    <row r="772" ht="12.0" customHeight="1">
      <c r="A772" s="92" t="s">
        <v>642</v>
      </c>
      <c r="B772" s="5"/>
      <c r="C772" s="204">
        <f t="shared" ref="C772:N772" si="227">C770*C771</f>
        <v>96</v>
      </c>
      <c r="D772" s="204">
        <f t="shared" si="227"/>
        <v>96</v>
      </c>
      <c r="E772" s="204">
        <f t="shared" si="227"/>
        <v>96</v>
      </c>
      <c r="F772" s="204">
        <f t="shared" si="227"/>
        <v>96</v>
      </c>
      <c r="G772" s="204">
        <f t="shared" si="227"/>
        <v>96</v>
      </c>
      <c r="H772" s="204">
        <f t="shared" si="227"/>
        <v>96</v>
      </c>
      <c r="I772" s="204">
        <f t="shared" si="227"/>
        <v>96</v>
      </c>
      <c r="J772" s="204">
        <f t="shared" si="227"/>
        <v>96</v>
      </c>
      <c r="K772" s="204">
        <f t="shared" si="227"/>
        <v>96</v>
      </c>
      <c r="L772" s="204">
        <f t="shared" si="227"/>
        <v>96</v>
      </c>
      <c r="M772" s="204">
        <f t="shared" si="227"/>
        <v>96</v>
      </c>
      <c r="N772" s="204">
        <f t="shared" si="227"/>
        <v>96</v>
      </c>
      <c r="O772" s="5"/>
      <c r="P772" s="5"/>
      <c r="Q772" s="5"/>
      <c r="R772" s="5"/>
      <c r="S772" s="5"/>
      <c r="T772" s="5"/>
      <c r="U772" s="5"/>
      <c r="V772" s="5"/>
      <c r="W772" s="5"/>
      <c r="X772" s="5"/>
      <c r="Y772" s="5"/>
      <c r="Z772" s="5"/>
    </row>
    <row r="773" ht="12.0" customHeight="1">
      <c r="A773" s="92" t="s">
        <v>643</v>
      </c>
      <c r="B773" s="5"/>
      <c r="C773" s="206">
        <f t="shared" ref="C773:N773" si="228">IF(C772=0,0,C769/C772)</f>
        <v>0.6967375</v>
      </c>
      <c r="D773" s="206">
        <f t="shared" si="228"/>
        <v>0.5315083333</v>
      </c>
      <c r="E773" s="206">
        <f t="shared" si="228"/>
        <v>0.4973274306</v>
      </c>
      <c r="F773" s="206">
        <f t="shared" si="228"/>
        <v>0.475759375</v>
      </c>
      <c r="G773" s="206">
        <f t="shared" si="228"/>
        <v>0.4452361111</v>
      </c>
      <c r="H773" s="206">
        <f t="shared" si="228"/>
        <v>0.4362809028</v>
      </c>
      <c r="I773" s="206">
        <f t="shared" si="228"/>
        <v>0.4668041667</v>
      </c>
      <c r="J773" s="206">
        <f t="shared" si="228"/>
        <v>0.4668041667</v>
      </c>
      <c r="K773" s="206">
        <f t="shared" si="228"/>
        <v>0.4668041667</v>
      </c>
      <c r="L773" s="206">
        <f t="shared" si="228"/>
        <v>0.4578489583</v>
      </c>
      <c r="M773" s="206">
        <f t="shared" si="228"/>
        <v>0.44889375</v>
      </c>
      <c r="N773" s="206">
        <f t="shared" si="228"/>
        <v>0.7146479167</v>
      </c>
      <c r="O773" s="5"/>
      <c r="P773" s="5"/>
      <c r="Q773" s="5"/>
      <c r="R773" s="5"/>
      <c r="S773" s="5"/>
      <c r="T773" s="5"/>
      <c r="U773" s="5"/>
      <c r="V773" s="5"/>
      <c r="W773" s="5"/>
      <c r="X773" s="5"/>
      <c r="Y773" s="5"/>
      <c r="Z773" s="5"/>
    </row>
    <row r="774" ht="12.0" customHeight="1">
      <c r="A774" s="201" t="s">
        <v>650</v>
      </c>
      <c r="B774" s="202"/>
      <c r="C774" s="202"/>
      <c r="D774" s="202"/>
      <c r="E774" s="202"/>
      <c r="F774" s="202"/>
      <c r="G774" s="202"/>
      <c r="H774" s="202"/>
      <c r="I774" s="202"/>
      <c r="J774" s="202"/>
      <c r="K774" s="202"/>
      <c r="L774" s="202"/>
      <c r="M774" s="202"/>
      <c r="N774" s="202"/>
      <c r="O774" s="5"/>
      <c r="P774" s="5"/>
      <c r="Q774" s="5"/>
      <c r="R774" s="5"/>
      <c r="S774" s="5"/>
      <c r="T774" s="5"/>
      <c r="U774" s="5"/>
      <c r="V774" s="5"/>
      <c r="W774" s="5"/>
      <c r="X774" s="5"/>
      <c r="Y774" s="5"/>
      <c r="Z774" s="5"/>
    </row>
    <row r="775" ht="12.0" customHeight="1">
      <c r="A775" s="201" t="s">
        <v>630</v>
      </c>
      <c r="B775" s="201" t="s">
        <v>631</v>
      </c>
      <c r="C775" s="201" t="s">
        <v>3</v>
      </c>
      <c r="D775" s="201" t="s">
        <v>4</v>
      </c>
      <c r="E775" s="201" t="s">
        <v>5</v>
      </c>
      <c r="F775" s="201" t="s">
        <v>6</v>
      </c>
      <c r="G775" s="201" t="s">
        <v>7</v>
      </c>
      <c r="H775" s="201" t="s">
        <v>8</v>
      </c>
      <c r="I775" s="201" t="s">
        <v>9</v>
      </c>
      <c r="J775" s="201" t="s">
        <v>10</v>
      </c>
      <c r="K775" s="201" t="s">
        <v>11</v>
      </c>
      <c r="L775" s="201" t="s">
        <v>12</v>
      </c>
      <c r="M775" s="201" t="s">
        <v>13</v>
      </c>
      <c r="N775" s="201" t="s">
        <v>14</v>
      </c>
      <c r="O775" s="5"/>
      <c r="P775" s="5"/>
      <c r="Q775" s="5"/>
      <c r="R775" s="5"/>
      <c r="S775" s="5"/>
      <c r="T775" s="5"/>
      <c r="U775" s="5"/>
      <c r="V775" s="5"/>
      <c r="W775" s="5"/>
      <c r="X775" s="5"/>
      <c r="Y775" s="5"/>
      <c r="Z775" s="5"/>
    </row>
    <row r="776" ht="12.0" customHeight="1">
      <c r="A776" s="92" t="s">
        <v>651</v>
      </c>
      <c r="B776" s="92" t="s">
        <v>633</v>
      </c>
      <c r="C776" s="203">
        <f>SUM('2030'!B7:B9)+SUM('2030'!B18:B20)</f>
        <v>2579.1</v>
      </c>
      <c r="D776" s="203">
        <f>SUM('2030'!C7:C9)+SUM('2030'!C18:C20)</f>
        <v>2063.28</v>
      </c>
      <c r="E776" s="203">
        <f>SUM('2030'!D7:D9)+SUM('2030'!D18:D20)</f>
        <v>2192.235</v>
      </c>
      <c r="F776" s="203">
        <f>SUM('2030'!E7:E9)+SUM('2030'!E18:E20)</f>
        <v>2192.235</v>
      </c>
      <c r="G776" s="203">
        <f>SUM('2030'!F7:F9)+SUM('2030'!F18:F20)</f>
        <v>2063.28</v>
      </c>
      <c r="H776" s="203">
        <f>SUM('2030'!G7:G9)+SUM('2030'!G18:G20)</f>
        <v>1934.325</v>
      </c>
      <c r="I776" s="203">
        <f>SUM('2030'!H7:H9)+SUM('2030'!H18:H20)</f>
        <v>2063.28</v>
      </c>
      <c r="J776" s="203">
        <f>SUM('2030'!I7:I9)+SUM('2030'!I18:I20)</f>
        <v>2063.28</v>
      </c>
      <c r="K776" s="203">
        <f>SUM('2030'!J7:J9)+SUM('2030'!J18:J20)</f>
        <v>2063.28</v>
      </c>
      <c r="L776" s="203">
        <f>SUM('2030'!K7:K9)+SUM('2030'!K18:K20)</f>
        <v>1934.325</v>
      </c>
      <c r="M776" s="203">
        <f>SUM('2030'!L7:L9)+SUM('2030'!L18:L20)</f>
        <v>1805.37</v>
      </c>
      <c r="N776" s="203">
        <f>SUM('2030'!M7:M9)+SUM('2030'!M18:M20)</f>
        <v>2837.01</v>
      </c>
      <c r="O776" s="5"/>
      <c r="P776" s="5"/>
      <c r="Q776" s="5"/>
      <c r="R776" s="5"/>
      <c r="S776" s="5"/>
      <c r="T776" s="5"/>
      <c r="U776" s="5"/>
      <c r="V776" s="5"/>
      <c r="W776" s="5"/>
      <c r="X776" s="5"/>
      <c r="Y776" s="5"/>
      <c r="Z776" s="5"/>
    </row>
    <row r="777" ht="12.0" customHeight="1">
      <c r="A777" s="5"/>
      <c r="B777" s="92" t="s">
        <v>634</v>
      </c>
      <c r="C777" s="204">
        <f>C776/Parametros!$B$37</f>
        <v>128.955</v>
      </c>
      <c r="D777" s="204">
        <f>D776/Parametros!$B$37</f>
        <v>103.164</v>
      </c>
      <c r="E777" s="204">
        <f>E776/Parametros!$B$37</f>
        <v>109.61175</v>
      </c>
      <c r="F777" s="204">
        <f>F776/Parametros!$B$37</f>
        <v>109.61175</v>
      </c>
      <c r="G777" s="204">
        <f>G776/Parametros!$B$37</f>
        <v>103.164</v>
      </c>
      <c r="H777" s="204">
        <f>H776/Parametros!$B$37</f>
        <v>96.71625</v>
      </c>
      <c r="I777" s="204">
        <f>I776/Parametros!$B$37</f>
        <v>103.164</v>
      </c>
      <c r="J777" s="204">
        <f>J776/Parametros!$B$37</f>
        <v>103.164</v>
      </c>
      <c r="K777" s="204">
        <f>K776/Parametros!$B$37</f>
        <v>103.164</v>
      </c>
      <c r="L777" s="204">
        <f>L776/Parametros!$B$37</f>
        <v>96.71625</v>
      </c>
      <c r="M777" s="204">
        <f>M776/Parametros!$B$37</f>
        <v>90.2685</v>
      </c>
      <c r="N777" s="204">
        <f>N776/Parametros!$B$37</f>
        <v>141.8505</v>
      </c>
      <c r="O777" s="5"/>
      <c r="P777" s="5"/>
      <c r="Q777" s="5"/>
      <c r="R777" s="5"/>
      <c r="S777" s="5"/>
      <c r="T777" s="5"/>
      <c r="U777" s="5"/>
      <c r="V777" s="5"/>
      <c r="W777" s="5"/>
      <c r="X777" s="5"/>
      <c r="Y777" s="5"/>
      <c r="Z777" s="5"/>
    </row>
    <row r="778" ht="12.0" customHeight="1">
      <c r="A778" s="5"/>
      <c r="B778" s="92" t="s">
        <v>635</v>
      </c>
      <c r="C778" s="204">
        <f>C777/Parametros!$J$37</f>
        <v>17.194</v>
      </c>
      <c r="D778" s="204">
        <f>D777/Parametros!$J$37</f>
        <v>13.7552</v>
      </c>
      <c r="E778" s="204">
        <f>E777/Parametros!$J$37</f>
        <v>14.6149</v>
      </c>
      <c r="F778" s="204">
        <f>F777/Parametros!$J$37</f>
        <v>14.6149</v>
      </c>
      <c r="G778" s="204">
        <f>G777/Parametros!$J$37</f>
        <v>13.7552</v>
      </c>
      <c r="H778" s="204">
        <f>H777/Parametros!$J$37</f>
        <v>12.8955</v>
      </c>
      <c r="I778" s="204">
        <f>I777/Parametros!$J$37</f>
        <v>13.7552</v>
      </c>
      <c r="J778" s="204">
        <f>J777/Parametros!$J$37</f>
        <v>13.7552</v>
      </c>
      <c r="K778" s="204">
        <f>K777/Parametros!$J$37</f>
        <v>13.7552</v>
      </c>
      <c r="L778" s="204">
        <f>L777/Parametros!$J$37</f>
        <v>12.8955</v>
      </c>
      <c r="M778" s="204">
        <f>M777/Parametros!$J$37</f>
        <v>12.0358</v>
      </c>
      <c r="N778" s="204">
        <f>N777/Parametros!$J$37</f>
        <v>18.9134</v>
      </c>
      <c r="O778" s="5"/>
      <c r="P778" s="5"/>
      <c r="Q778" s="5"/>
      <c r="R778" s="5"/>
      <c r="S778" s="5"/>
      <c r="T778" s="5"/>
      <c r="U778" s="5"/>
      <c r="V778" s="5"/>
      <c r="W778" s="5"/>
      <c r="X778" s="5"/>
      <c r="Y778" s="5"/>
      <c r="Z778" s="5"/>
    </row>
    <row r="779" ht="12.0" customHeight="1">
      <c r="A779" s="92" t="s">
        <v>636</v>
      </c>
      <c r="B779" s="5"/>
      <c r="C779" s="204">
        <f t="shared" ref="C779:N779" si="229">C778</f>
        <v>17.194</v>
      </c>
      <c r="D779" s="204">
        <f t="shared" si="229"/>
        <v>13.7552</v>
      </c>
      <c r="E779" s="204">
        <f t="shared" si="229"/>
        <v>14.6149</v>
      </c>
      <c r="F779" s="204">
        <f t="shared" si="229"/>
        <v>14.6149</v>
      </c>
      <c r="G779" s="204">
        <f t="shared" si="229"/>
        <v>13.7552</v>
      </c>
      <c r="H779" s="204">
        <f t="shared" si="229"/>
        <v>12.8955</v>
      </c>
      <c r="I779" s="204">
        <f t="shared" si="229"/>
        <v>13.7552</v>
      </c>
      <c r="J779" s="204">
        <f t="shared" si="229"/>
        <v>13.7552</v>
      </c>
      <c r="K779" s="204">
        <f t="shared" si="229"/>
        <v>13.7552</v>
      </c>
      <c r="L779" s="204">
        <f t="shared" si="229"/>
        <v>12.8955</v>
      </c>
      <c r="M779" s="204">
        <f t="shared" si="229"/>
        <v>12.0358</v>
      </c>
      <c r="N779" s="204">
        <f t="shared" si="229"/>
        <v>18.9134</v>
      </c>
      <c r="O779" s="5"/>
      <c r="P779" s="5"/>
      <c r="Q779" s="5"/>
      <c r="R779" s="5"/>
      <c r="S779" s="5"/>
      <c r="T779" s="5"/>
      <c r="U779" s="5"/>
      <c r="V779" s="5"/>
      <c r="W779" s="5"/>
      <c r="X779" s="5"/>
      <c r="Y779" s="5"/>
      <c r="Z779" s="5"/>
    </row>
    <row r="780" ht="12.0" customHeight="1">
      <c r="A780" s="92" t="s">
        <v>637</v>
      </c>
      <c r="B780" s="5"/>
      <c r="C780" s="205">
        <f>'Resumen Capacidad'!$F$115</f>
        <v>80.10122449</v>
      </c>
      <c r="D780" s="205">
        <f>'Resumen Capacidad'!$F$115</f>
        <v>80.10122449</v>
      </c>
      <c r="E780" s="205">
        <f>'Resumen Capacidad'!$F$115</f>
        <v>80.10122449</v>
      </c>
      <c r="F780" s="205">
        <f>'Resumen Capacidad'!$F$115</f>
        <v>80.10122449</v>
      </c>
      <c r="G780" s="205">
        <f>'Resumen Capacidad'!$F$115</f>
        <v>80.10122449</v>
      </c>
      <c r="H780" s="205">
        <f>'Resumen Capacidad'!$F$115</f>
        <v>80.10122449</v>
      </c>
      <c r="I780" s="205">
        <f>'Resumen Capacidad'!$F$115</f>
        <v>80.10122449</v>
      </c>
      <c r="J780" s="205">
        <f>'Resumen Capacidad'!$F$115</f>
        <v>80.10122449</v>
      </c>
      <c r="K780" s="205">
        <f>'Resumen Capacidad'!$F$115</f>
        <v>80.10122449</v>
      </c>
      <c r="L780" s="205">
        <f>'Resumen Capacidad'!$F$115</f>
        <v>80.10122449</v>
      </c>
      <c r="M780" s="205">
        <f>'Resumen Capacidad'!$F$115</f>
        <v>80.10122449</v>
      </c>
      <c r="N780" s="205">
        <f>'Resumen Capacidad'!$F$115</f>
        <v>80.10122449</v>
      </c>
      <c r="O780" s="5"/>
      <c r="P780" s="5"/>
      <c r="Q780" s="5"/>
      <c r="R780" s="5"/>
      <c r="S780" s="5"/>
      <c r="T780" s="5"/>
      <c r="U780" s="5"/>
      <c r="V780" s="5"/>
      <c r="W780" s="5"/>
      <c r="X780" s="5"/>
      <c r="Y780" s="5"/>
      <c r="Z780" s="5"/>
    </row>
    <row r="781" ht="12.0" customHeight="1">
      <c r="A781" s="92" t="s">
        <v>640</v>
      </c>
      <c r="B781" s="5"/>
      <c r="C781" s="204">
        <f>'Resumen Capacidad'!$F$33*'Resumen Capacidad'!$F$69</f>
        <v>1</v>
      </c>
      <c r="D781" s="204">
        <f>'Resumen Capacidad'!$F$33*'Resumen Capacidad'!$F$69</f>
        <v>1</v>
      </c>
      <c r="E781" s="204">
        <f>'Resumen Capacidad'!$F$33*'Resumen Capacidad'!$F$69</f>
        <v>1</v>
      </c>
      <c r="F781" s="204">
        <f>'Resumen Capacidad'!$F$33*'Resumen Capacidad'!$F$69</f>
        <v>1</v>
      </c>
      <c r="G781" s="204">
        <f>'Resumen Capacidad'!$F$33*'Resumen Capacidad'!$F$69</f>
        <v>1</v>
      </c>
      <c r="H781" s="204">
        <f>'Resumen Capacidad'!$F$33*'Resumen Capacidad'!$F$69</f>
        <v>1</v>
      </c>
      <c r="I781" s="204">
        <f>'Resumen Capacidad'!$F$33*'Resumen Capacidad'!$F$69</f>
        <v>1</v>
      </c>
      <c r="J781" s="204">
        <f>'Resumen Capacidad'!$F$33*'Resumen Capacidad'!$F$69</f>
        <v>1</v>
      </c>
      <c r="K781" s="204">
        <f>'Resumen Capacidad'!$F$33*'Resumen Capacidad'!$F$69</f>
        <v>1</v>
      </c>
      <c r="L781" s="204">
        <f>'Resumen Capacidad'!$F$33*'Resumen Capacidad'!$F$69</f>
        <v>1</v>
      </c>
      <c r="M781" s="204">
        <f>'Resumen Capacidad'!$F$33*'Resumen Capacidad'!$F$69</f>
        <v>1</v>
      </c>
      <c r="N781" s="204">
        <f>'Resumen Capacidad'!$F$33*'Resumen Capacidad'!$F$69</f>
        <v>1</v>
      </c>
      <c r="O781" s="5"/>
      <c r="P781" s="5"/>
      <c r="Q781" s="5"/>
      <c r="R781" s="5"/>
      <c r="S781" s="5"/>
      <c r="T781" s="5"/>
      <c r="U781" s="5"/>
      <c r="V781" s="5"/>
      <c r="W781" s="5"/>
      <c r="X781" s="5"/>
      <c r="Y781" s="5"/>
      <c r="Z781" s="5"/>
    </row>
    <row r="782" ht="12.0" customHeight="1">
      <c r="A782" s="92" t="s">
        <v>642</v>
      </c>
      <c r="B782" s="5"/>
      <c r="C782" s="204">
        <f t="shared" ref="C782:N782" si="230">C780*C781</f>
        <v>80.10122449</v>
      </c>
      <c r="D782" s="204">
        <f t="shared" si="230"/>
        <v>80.10122449</v>
      </c>
      <c r="E782" s="204">
        <f t="shared" si="230"/>
        <v>80.10122449</v>
      </c>
      <c r="F782" s="204">
        <f t="shared" si="230"/>
        <v>80.10122449</v>
      </c>
      <c r="G782" s="204">
        <f t="shared" si="230"/>
        <v>80.10122449</v>
      </c>
      <c r="H782" s="204">
        <f t="shared" si="230"/>
        <v>80.10122449</v>
      </c>
      <c r="I782" s="204">
        <f t="shared" si="230"/>
        <v>80.10122449</v>
      </c>
      <c r="J782" s="204">
        <f t="shared" si="230"/>
        <v>80.10122449</v>
      </c>
      <c r="K782" s="204">
        <f t="shared" si="230"/>
        <v>80.10122449</v>
      </c>
      <c r="L782" s="204">
        <f t="shared" si="230"/>
        <v>80.10122449</v>
      </c>
      <c r="M782" s="204">
        <f t="shared" si="230"/>
        <v>80.10122449</v>
      </c>
      <c r="N782" s="204">
        <f t="shared" si="230"/>
        <v>80.10122449</v>
      </c>
      <c r="O782" s="5"/>
      <c r="P782" s="5"/>
      <c r="Q782" s="5"/>
      <c r="R782" s="5"/>
      <c r="S782" s="5"/>
      <c r="T782" s="5"/>
      <c r="U782" s="5"/>
      <c r="V782" s="5"/>
      <c r="W782" s="5"/>
      <c r="X782" s="5"/>
      <c r="Y782" s="5"/>
      <c r="Z782" s="5"/>
    </row>
    <row r="783" ht="12.0" customHeight="1">
      <c r="A783" s="92" t="s">
        <v>643</v>
      </c>
      <c r="B783" s="5"/>
      <c r="C783" s="206">
        <f t="shared" ref="C783:N783" si="231">IF(C782=0,0,C779/C782)</f>
        <v>0.2146533977</v>
      </c>
      <c r="D783" s="206">
        <f t="shared" si="231"/>
        <v>0.1717227182</v>
      </c>
      <c r="E783" s="206">
        <f t="shared" si="231"/>
        <v>0.1824553881</v>
      </c>
      <c r="F783" s="206">
        <f t="shared" si="231"/>
        <v>0.1824553881</v>
      </c>
      <c r="G783" s="206">
        <f t="shared" si="231"/>
        <v>0.1717227182</v>
      </c>
      <c r="H783" s="206">
        <f t="shared" si="231"/>
        <v>0.1609900483</v>
      </c>
      <c r="I783" s="206">
        <f t="shared" si="231"/>
        <v>0.1717227182</v>
      </c>
      <c r="J783" s="206">
        <f t="shared" si="231"/>
        <v>0.1717227182</v>
      </c>
      <c r="K783" s="206">
        <f t="shared" si="231"/>
        <v>0.1717227182</v>
      </c>
      <c r="L783" s="206">
        <f t="shared" si="231"/>
        <v>0.1609900483</v>
      </c>
      <c r="M783" s="206">
        <f t="shared" si="231"/>
        <v>0.1502573784</v>
      </c>
      <c r="N783" s="206">
        <f t="shared" si="231"/>
        <v>0.2361187375</v>
      </c>
      <c r="O783" s="5"/>
      <c r="P783" s="5"/>
      <c r="Q783" s="5"/>
      <c r="R783" s="5"/>
      <c r="S783" s="5"/>
      <c r="T783" s="5"/>
      <c r="U783" s="5"/>
      <c r="V783" s="5"/>
      <c r="W783" s="5"/>
      <c r="X783" s="5"/>
      <c r="Y783" s="5"/>
      <c r="Z783" s="5"/>
    </row>
    <row r="784" ht="12.0" customHeight="1">
      <c r="A784" s="201" t="s">
        <v>656</v>
      </c>
      <c r="B784" s="202"/>
      <c r="C784" s="202"/>
      <c r="D784" s="202"/>
      <c r="E784" s="202"/>
      <c r="F784" s="202"/>
      <c r="G784" s="202"/>
      <c r="H784" s="202"/>
      <c r="I784" s="202"/>
      <c r="J784" s="202"/>
      <c r="K784" s="202"/>
      <c r="L784" s="202"/>
      <c r="M784" s="202"/>
      <c r="N784" s="202"/>
      <c r="O784" s="5"/>
      <c r="P784" s="5"/>
      <c r="Q784" s="5"/>
      <c r="R784" s="5"/>
      <c r="S784" s="5"/>
      <c r="T784" s="5"/>
      <c r="U784" s="5"/>
      <c r="V784" s="5"/>
      <c r="W784" s="5"/>
      <c r="X784" s="5"/>
      <c r="Y784" s="5"/>
      <c r="Z784" s="5"/>
    </row>
    <row r="785" ht="12.0" customHeight="1">
      <c r="A785" s="201" t="s">
        <v>630</v>
      </c>
      <c r="B785" s="201" t="s">
        <v>631</v>
      </c>
      <c r="C785" s="201" t="s">
        <v>3</v>
      </c>
      <c r="D785" s="201" t="s">
        <v>4</v>
      </c>
      <c r="E785" s="201" t="s">
        <v>5</v>
      </c>
      <c r="F785" s="201" t="s">
        <v>6</v>
      </c>
      <c r="G785" s="201" t="s">
        <v>7</v>
      </c>
      <c r="H785" s="201" t="s">
        <v>8</v>
      </c>
      <c r="I785" s="201" t="s">
        <v>9</v>
      </c>
      <c r="J785" s="201" t="s">
        <v>10</v>
      </c>
      <c r="K785" s="201" t="s">
        <v>11</v>
      </c>
      <c r="L785" s="201" t="s">
        <v>12</v>
      </c>
      <c r="M785" s="201" t="s">
        <v>13</v>
      </c>
      <c r="N785" s="201" t="s">
        <v>14</v>
      </c>
      <c r="O785" s="5"/>
      <c r="P785" s="5"/>
      <c r="Q785" s="5"/>
      <c r="R785" s="5"/>
      <c r="S785" s="5"/>
      <c r="T785" s="5"/>
      <c r="U785" s="5"/>
      <c r="V785" s="5"/>
      <c r="W785" s="5"/>
      <c r="X785" s="5"/>
      <c r="Y785" s="5"/>
      <c r="Z785" s="5"/>
    </row>
    <row r="786" ht="12.0" customHeight="1">
      <c r="A786" s="92" t="s">
        <v>651</v>
      </c>
      <c r="B786" s="92" t="s">
        <v>633</v>
      </c>
      <c r="C786" s="203">
        <f>SUM('2030'!B7:B9)+SUM('2030'!B18:B20)</f>
        <v>2579.1</v>
      </c>
      <c r="D786" s="203">
        <f>SUM('2030'!C7:C9)+SUM('2030'!C18:C20)</f>
        <v>2063.28</v>
      </c>
      <c r="E786" s="203">
        <f>SUM('2030'!D7:D9)+SUM('2030'!D18:D20)</f>
        <v>2192.235</v>
      </c>
      <c r="F786" s="203">
        <f>SUM('2030'!E7:E9)+SUM('2030'!E18:E20)</f>
        <v>2192.235</v>
      </c>
      <c r="G786" s="203">
        <f>SUM('2030'!F7:F9)+SUM('2030'!F18:F20)</f>
        <v>2063.28</v>
      </c>
      <c r="H786" s="203">
        <f>SUM('2030'!G7:G9)+SUM('2030'!G18:G20)</f>
        <v>1934.325</v>
      </c>
      <c r="I786" s="203">
        <f>SUM('2030'!H7:H9)+SUM('2030'!H18:H20)</f>
        <v>2063.28</v>
      </c>
      <c r="J786" s="203">
        <f>SUM('2030'!I7:I9)+SUM('2030'!I18:I20)</f>
        <v>2063.28</v>
      </c>
      <c r="K786" s="203">
        <f>SUM('2030'!J7:J9)+SUM('2030'!J18:J20)</f>
        <v>2063.28</v>
      </c>
      <c r="L786" s="203">
        <f>SUM('2030'!K7:K9)+SUM('2030'!K18:K20)</f>
        <v>1934.325</v>
      </c>
      <c r="M786" s="203">
        <f>SUM('2030'!L7:L9)+SUM('2030'!L18:L20)</f>
        <v>1805.37</v>
      </c>
      <c r="N786" s="203">
        <f>SUM('2030'!M7:M9)+SUM('2030'!M18:M20)</f>
        <v>2837.01</v>
      </c>
      <c r="O786" s="5"/>
      <c r="P786" s="5"/>
      <c r="Q786" s="5"/>
      <c r="R786" s="5"/>
      <c r="S786" s="5"/>
      <c r="T786" s="5"/>
      <c r="U786" s="5"/>
      <c r="V786" s="5"/>
      <c r="W786" s="5"/>
      <c r="X786" s="5"/>
      <c r="Y786" s="5"/>
      <c r="Z786" s="5"/>
    </row>
    <row r="787" ht="12.0" customHeight="1">
      <c r="A787" s="5"/>
      <c r="B787" s="92" t="s">
        <v>634</v>
      </c>
      <c r="C787" s="204">
        <f>C786/Parametros!$B$37</f>
        <v>128.955</v>
      </c>
      <c r="D787" s="204">
        <f>D786/Parametros!$B$37</f>
        <v>103.164</v>
      </c>
      <c r="E787" s="204">
        <f>E786/Parametros!$B$37</f>
        <v>109.61175</v>
      </c>
      <c r="F787" s="204">
        <f>F786/Parametros!$B$37</f>
        <v>109.61175</v>
      </c>
      <c r="G787" s="204">
        <f>G786/Parametros!$B$37</f>
        <v>103.164</v>
      </c>
      <c r="H787" s="204">
        <f>H786/Parametros!$B$37</f>
        <v>96.71625</v>
      </c>
      <c r="I787" s="204">
        <f>I786/Parametros!$B$37</f>
        <v>103.164</v>
      </c>
      <c r="J787" s="204">
        <f>J786/Parametros!$B$37</f>
        <v>103.164</v>
      </c>
      <c r="K787" s="204">
        <f>K786/Parametros!$B$37</f>
        <v>103.164</v>
      </c>
      <c r="L787" s="204">
        <f>L786/Parametros!$B$37</f>
        <v>96.71625</v>
      </c>
      <c r="M787" s="204">
        <f>M786/Parametros!$B$37</f>
        <v>90.2685</v>
      </c>
      <c r="N787" s="204">
        <f>N786/Parametros!$B$37</f>
        <v>141.8505</v>
      </c>
      <c r="O787" s="5"/>
      <c r="P787" s="5"/>
      <c r="Q787" s="5"/>
      <c r="R787" s="5"/>
      <c r="S787" s="5"/>
      <c r="T787" s="5"/>
      <c r="U787" s="5"/>
      <c r="V787" s="5"/>
      <c r="W787" s="5"/>
      <c r="X787" s="5"/>
      <c r="Y787" s="5"/>
      <c r="Z787" s="5"/>
    </row>
    <row r="788" ht="12.0" customHeight="1">
      <c r="A788" s="5"/>
      <c r="B788" s="92" t="s">
        <v>635</v>
      </c>
      <c r="C788" s="204">
        <f>C787/Parametros!$J$37</f>
        <v>17.194</v>
      </c>
      <c r="D788" s="204">
        <f>D787/Parametros!$J$37</f>
        <v>13.7552</v>
      </c>
      <c r="E788" s="204">
        <f>E787/Parametros!$J$37</f>
        <v>14.6149</v>
      </c>
      <c r="F788" s="204">
        <f>F787/Parametros!$J$37</f>
        <v>14.6149</v>
      </c>
      <c r="G788" s="204">
        <f>G787/Parametros!$J$37</f>
        <v>13.7552</v>
      </c>
      <c r="H788" s="204">
        <f>H787/Parametros!$J$37</f>
        <v>12.8955</v>
      </c>
      <c r="I788" s="204">
        <f>I787/Parametros!$J$37</f>
        <v>13.7552</v>
      </c>
      <c r="J788" s="204">
        <f>J787/Parametros!$J$37</f>
        <v>13.7552</v>
      </c>
      <c r="K788" s="204">
        <f>K787/Parametros!$J$37</f>
        <v>13.7552</v>
      </c>
      <c r="L788" s="204">
        <f>L787/Parametros!$J$37</f>
        <v>12.8955</v>
      </c>
      <c r="M788" s="204">
        <f>M787/Parametros!$J$37</f>
        <v>12.0358</v>
      </c>
      <c r="N788" s="204">
        <f>N787/Parametros!$J$37</f>
        <v>18.9134</v>
      </c>
      <c r="O788" s="5"/>
      <c r="P788" s="5"/>
      <c r="Q788" s="5"/>
      <c r="R788" s="5"/>
      <c r="S788" s="5"/>
      <c r="T788" s="5"/>
      <c r="U788" s="5"/>
      <c r="V788" s="5"/>
      <c r="W788" s="5"/>
      <c r="X788" s="5"/>
      <c r="Y788" s="5"/>
      <c r="Z788" s="5"/>
    </row>
    <row r="789" ht="12.0" customHeight="1">
      <c r="A789" s="92" t="s">
        <v>636</v>
      </c>
      <c r="B789" s="5"/>
      <c r="C789" s="204">
        <f t="shared" ref="C789:N789" si="232">C788</f>
        <v>17.194</v>
      </c>
      <c r="D789" s="204">
        <f t="shared" si="232"/>
        <v>13.7552</v>
      </c>
      <c r="E789" s="204">
        <f t="shared" si="232"/>
        <v>14.6149</v>
      </c>
      <c r="F789" s="204">
        <f t="shared" si="232"/>
        <v>14.6149</v>
      </c>
      <c r="G789" s="204">
        <f t="shared" si="232"/>
        <v>13.7552</v>
      </c>
      <c r="H789" s="204">
        <f t="shared" si="232"/>
        <v>12.8955</v>
      </c>
      <c r="I789" s="204">
        <f t="shared" si="232"/>
        <v>13.7552</v>
      </c>
      <c r="J789" s="204">
        <f t="shared" si="232"/>
        <v>13.7552</v>
      </c>
      <c r="K789" s="204">
        <f t="shared" si="232"/>
        <v>13.7552</v>
      </c>
      <c r="L789" s="204">
        <f t="shared" si="232"/>
        <v>12.8955</v>
      </c>
      <c r="M789" s="204">
        <f t="shared" si="232"/>
        <v>12.0358</v>
      </c>
      <c r="N789" s="204">
        <f t="shared" si="232"/>
        <v>18.9134</v>
      </c>
      <c r="O789" s="5"/>
      <c r="P789" s="5"/>
      <c r="Q789" s="5"/>
      <c r="R789" s="5"/>
      <c r="S789" s="5"/>
      <c r="T789" s="5"/>
      <c r="U789" s="5"/>
      <c r="V789" s="5"/>
      <c r="W789" s="5"/>
      <c r="X789" s="5"/>
      <c r="Y789" s="5"/>
      <c r="Z789" s="5"/>
    </row>
    <row r="790" ht="12.0" customHeight="1">
      <c r="A790" s="92" t="s">
        <v>637</v>
      </c>
      <c r="B790" s="5"/>
      <c r="C790" s="205">
        <f>'Resumen Capacidad'!$F$116</f>
        <v>56.576</v>
      </c>
      <c r="D790" s="205">
        <f>'Resumen Capacidad'!$F$116</f>
        <v>56.576</v>
      </c>
      <c r="E790" s="205">
        <f>'Resumen Capacidad'!$F$116</f>
        <v>56.576</v>
      </c>
      <c r="F790" s="205">
        <f>'Resumen Capacidad'!$F$116</f>
        <v>56.576</v>
      </c>
      <c r="G790" s="205">
        <f>'Resumen Capacidad'!$F$116</f>
        <v>56.576</v>
      </c>
      <c r="H790" s="205">
        <f>'Resumen Capacidad'!$F$116</f>
        <v>56.576</v>
      </c>
      <c r="I790" s="205">
        <f>'Resumen Capacidad'!$F$116</f>
        <v>56.576</v>
      </c>
      <c r="J790" s="205">
        <f>'Resumen Capacidad'!$F$116</f>
        <v>56.576</v>
      </c>
      <c r="K790" s="205">
        <f>'Resumen Capacidad'!$F$116</f>
        <v>56.576</v>
      </c>
      <c r="L790" s="205">
        <f>'Resumen Capacidad'!$F$116</f>
        <v>56.576</v>
      </c>
      <c r="M790" s="205">
        <f>'Resumen Capacidad'!$F$116</f>
        <v>56.576</v>
      </c>
      <c r="N790" s="205">
        <f>'Resumen Capacidad'!$F$116</f>
        <v>56.576</v>
      </c>
      <c r="O790" s="5"/>
      <c r="P790" s="5"/>
      <c r="Q790" s="5"/>
      <c r="R790" s="5"/>
      <c r="S790" s="5"/>
      <c r="T790" s="5"/>
      <c r="U790" s="5"/>
      <c r="V790" s="5"/>
      <c r="W790" s="5"/>
      <c r="X790" s="5"/>
      <c r="Y790" s="5"/>
      <c r="Z790" s="5"/>
    </row>
    <row r="791" ht="12.0" customHeight="1">
      <c r="A791" s="92" t="s">
        <v>640</v>
      </c>
      <c r="B791" s="5"/>
      <c r="C791" s="204">
        <f>'Resumen Capacidad'!$F$34*'Resumen Capacidad'!$F$70</f>
        <v>1</v>
      </c>
      <c r="D791" s="204">
        <f>'Resumen Capacidad'!$F$34*'Resumen Capacidad'!$F$70</f>
        <v>1</v>
      </c>
      <c r="E791" s="204">
        <f>'Resumen Capacidad'!$F$34*'Resumen Capacidad'!$F$70</f>
        <v>1</v>
      </c>
      <c r="F791" s="204">
        <f>'Resumen Capacidad'!$F$34*'Resumen Capacidad'!$F$70</f>
        <v>1</v>
      </c>
      <c r="G791" s="204">
        <f>'Resumen Capacidad'!$F$34*'Resumen Capacidad'!$F$70</f>
        <v>1</v>
      </c>
      <c r="H791" s="204">
        <f>'Resumen Capacidad'!$F$34*'Resumen Capacidad'!$F$70</f>
        <v>1</v>
      </c>
      <c r="I791" s="204">
        <f>'Resumen Capacidad'!$F$34*'Resumen Capacidad'!$F$70</f>
        <v>1</v>
      </c>
      <c r="J791" s="204">
        <f>'Resumen Capacidad'!$F$34*'Resumen Capacidad'!$F$70</f>
        <v>1</v>
      </c>
      <c r="K791" s="204">
        <f>'Resumen Capacidad'!$F$34*'Resumen Capacidad'!$F$70</f>
        <v>1</v>
      </c>
      <c r="L791" s="204">
        <f>'Resumen Capacidad'!$F$34*'Resumen Capacidad'!$F$70</f>
        <v>1</v>
      </c>
      <c r="M791" s="204">
        <f>'Resumen Capacidad'!$F$34*'Resumen Capacidad'!$F$70</f>
        <v>1</v>
      </c>
      <c r="N791" s="204">
        <f>'Resumen Capacidad'!$F$34*'Resumen Capacidad'!$F$70</f>
        <v>1</v>
      </c>
      <c r="O791" s="5"/>
      <c r="P791" s="5"/>
      <c r="Q791" s="5"/>
      <c r="R791" s="5"/>
      <c r="S791" s="5"/>
      <c r="T791" s="5"/>
      <c r="U791" s="5"/>
      <c r="V791" s="5"/>
      <c r="W791" s="5"/>
      <c r="X791" s="5"/>
      <c r="Y791" s="5"/>
      <c r="Z791" s="5"/>
    </row>
    <row r="792" ht="12.0" customHeight="1">
      <c r="A792" s="92" t="s">
        <v>642</v>
      </c>
      <c r="B792" s="5"/>
      <c r="C792" s="204">
        <f t="shared" ref="C792:N792" si="233">C790*C791</f>
        <v>56.576</v>
      </c>
      <c r="D792" s="204">
        <f t="shared" si="233"/>
        <v>56.576</v>
      </c>
      <c r="E792" s="204">
        <f t="shared" si="233"/>
        <v>56.576</v>
      </c>
      <c r="F792" s="204">
        <f t="shared" si="233"/>
        <v>56.576</v>
      </c>
      <c r="G792" s="204">
        <f t="shared" si="233"/>
        <v>56.576</v>
      </c>
      <c r="H792" s="204">
        <f t="shared" si="233"/>
        <v>56.576</v>
      </c>
      <c r="I792" s="204">
        <f t="shared" si="233"/>
        <v>56.576</v>
      </c>
      <c r="J792" s="204">
        <f t="shared" si="233"/>
        <v>56.576</v>
      </c>
      <c r="K792" s="204">
        <f t="shared" si="233"/>
        <v>56.576</v>
      </c>
      <c r="L792" s="204">
        <f t="shared" si="233"/>
        <v>56.576</v>
      </c>
      <c r="M792" s="204">
        <f t="shared" si="233"/>
        <v>56.576</v>
      </c>
      <c r="N792" s="204">
        <f t="shared" si="233"/>
        <v>56.576</v>
      </c>
      <c r="O792" s="5"/>
      <c r="P792" s="5"/>
      <c r="Q792" s="5"/>
      <c r="R792" s="5"/>
      <c r="S792" s="5"/>
      <c r="T792" s="5"/>
      <c r="U792" s="5"/>
      <c r="V792" s="5"/>
      <c r="W792" s="5"/>
      <c r="X792" s="5"/>
      <c r="Y792" s="5"/>
      <c r="Z792" s="5"/>
    </row>
    <row r="793" ht="12.0" customHeight="1">
      <c r="A793" s="92" t="s">
        <v>643</v>
      </c>
      <c r="B793" s="5"/>
      <c r="C793" s="206">
        <f t="shared" ref="C793:N793" si="234">IF(C792=0,0,C789/C792)</f>
        <v>0.3039097851</v>
      </c>
      <c r="D793" s="206">
        <f t="shared" si="234"/>
        <v>0.2431278281</v>
      </c>
      <c r="E793" s="206">
        <f t="shared" si="234"/>
        <v>0.2583233173</v>
      </c>
      <c r="F793" s="206">
        <f t="shared" si="234"/>
        <v>0.2583233173</v>
      </c>
      <c r="G793" s="206">
        <f t="shared" si="234"/>
        <v>0.2431278281</v>
      </c>
      <c r="H793" s="206">
        <f t="shared" si="234"/>
        <v>0.2279323388</v>
      </c>
      <c r="I793" s="206">
        <f t="shared" si="234"/>
        <v>0.2431278281</v>
      </c>
      <c r="J793" s="206">
        <f t="shared" si="234"/>
        <v>0.2431278281</v>
      </c>
      <c r="K793" s="206">
        <f t="shared" si="234"/>
        <v>0.2431278281</v>
      </c>
      <c r="L793" s="206">
        <f t="shared" si="234"/>
        <v>0.2279323388</v>
      </c>
      <c r="M793" s="206">
        <f t="shared" si="234"/>
        <v>0.2127368495</v>
      </c>
      <c r="N793" s="206">
        <f t="shared" si="234"/>
        <v>0.3343007636</v>
      </c>
      <c r="O793" s="5"/>
      <c r="P793" s="5"/>
      <c r="Q793" s="5"/>
      <c r="R793" s="5"/>
      <c r="S793" s="5"/>
      <c r="T793" s="5"/>
      <c r="U793" s="5"/>
      <c r="V793" s="5"/>
      <c r="W793" s="5"/>
      <c r="X793" s="5"/>
      <c r="Y793" s="5"/>
      <c r="Z793" s="5"/>
    </row>
    <row r="794" ht="12.0" customHeight="1">
      <c r="A794" s="201" t="s">
        <v>663</v>
      </c>
      <c r="B794" s="202"/>
      <c r="C794" s="202"/>
      <c r="D794" s="202"/>
      <c r="E794" s="202"/>
      <c r="F794" s="202"/>
      <c r="G794" s="202"/>
      <c r="H794" s="202"/>
      <c r="I794" s="202"/>
      <c r="J794" s="202"/>
      <c r="K794" s="202"/>
      <c r="L794" s="202"/>
      <c r="M794" s="202"/>
      <c r="N794" s="202"/>
      <c r="O794" s="5"/>
      <c r="P794" s="5"/>
      <c r="Q794" s="5"/>
      <c r="R794" s="5"/>
      <c r="S794" s="5"/>
      <c r="T794" s="5"/>
      <c r="U794" s="5"/>
      <c r="V794" s="5"/>
      <c r="W794" s="5"/>
      <c r="X794" s="5"/>
      <c r="Y794" s="5"/>
      <c r="Z794" s="5"/>
    </row>
    <row r="795" ht="12.0" customHeight="1">
      <c r="A795" s="201" t="s">
        <v>630</v>
      </c>
      <c r="B795" s="201" t="s">
        <v>631</v>
      </c>
      <c r="C795" s="201" t="s">
        <v>3</v>
      </c>
      <c r="D795" s="201" t="s">
        <v>4</v>
      </c>
      <c r="E795" s="201" t="s">
        <v>5</v>
      </c>
      <c r="F795" s="201" t="s">
        <v>6</v>
      </c>
      <c r="G795" s="201" t="s">
        <v>7</v>
      </c>
      <c r="H795" s="201" t="s">
        <v>8</v>
      </c>
      <c r="I795" s="201" t="s">
        <v>9</v>
      </c>
      <c r="J795" s="201" t="s">
        <v>10</v>
      </c>
      <c r="K795" s="201" t="s">
        <v>11</v>
      </c>
      <c r="L795" s="201" t="s">
        <v>12</v>
      </c>
      <c r="M795" s="201" t="s">
        <v>13</v>
      </c>
      <c r="N795" s="201" t="s">
        <v>14</v>
      </c>
      <c r="O795" s="5"/>
      <c r="P795" s="5"/>
      <c r="Q795" s="5"/>
      <c r="R795" s="5"/>
      <c r="S795" s="5"/>
      <c r="T795" s="5"/>
      <c r="U795" s="5"/>
      <c r="V795" s="5"/>
      <c r="W795" s="5"/>
      <c r="X795" s="5"/>
      <c r="Y795" s="5"/>
      <c r="Z795" s="5"/>
    </row>
    <row r="796" ht="12.0" customHeight="1">
      <c r="A796" s="92" t="s">
        <v>632</v>
      </c>
      <c r="B796" s="92" t="s">
        <v>633</v>
      </c>
      <c r="C796" s="203">
        <f>SUM('2030'!B6:B9)+SUM('2030'!B17:B20)</f>
        <v>10033.02</v>
      </c>
      <c r="D796" s="203">
        <f>SUM('2030'!C6:C9)+SUM('2030'!C17:C20)</f>
        <v>7653.72</v>
      </c>
      <c r="E796" s="203">
        <f>SUM('2030'!D6:D9)+SUM('2030'!D17:D20)</f>
        <v>7161.515</v>
      </c>
      <c r="F796" s="203">
        <f>SUM('2030'!E6:E9)+SUM('2030'!E17:E20)</f>
        <v>6850.935</v>
      </c>
      <c r="G796" s="203">
        <f>SUM('2030'!F6:F9)+SUM('2030'!F17:F20)</f>
        <v>6411.4</v>
      </c>
      <c r="H796" s="203">
        <f>SUM('2030'!G6:G9)+SUM('2030'!G17:G20)</f>
        <v>6282.445</v>
      </c>
      <c r="I796" s="203">
        <f>SUM('2030'!H6:H9)+SUM('2030'!H17:H20)</f>
        <v>6721.98</v>
      </c>
      <c r="J796" s="203">
        <f>SUM('2030'!I6:I9)+SUM('2030'!I17:I20)</f>
        <v>6721.98</v>
      </c>
      <c r="K796" s="203">
        <f>SUM('2030'!J6:J9)+SUM('2030'!J17:J20)</f>
        <v>6721.98</v>
      </c>
      <c r="L796" s="203">
        <f>SUM('2030'!K6:K9)+SUM('2030'!K17:K20)</f>
        <v>6593.025</v>
      </c>
      <c r="M796" s="203">
        <f>SUM('2030'!L6:L9)+SUM('2030'!L17:L20)</f>
        <v>6464.07</v>
      </c>
      <c r="N796" s="203">
        <f>SUM('2030'!M6:M9)+SUM('2030'!M17:M20)</f>
        <v>10290.93</v>
      </c>
      <c r="O796" s="5"/>
      <c r="P796" s="5"/>
      <c r="Q796" s="5"/>
      <c r="R796" s="5"/>
      <c r="S796" s="5"/>
      <c r="T796" s="5"/>
      <c r="U796" s="5"/>
      <c r="V796" s="5"/>
      <c r="W796" s="5"/>
      <c r="X796" s="5"/>
      <c r="Y796" s="5"/>
      <c r="Z796" s="5"/>
    </row>
    <row r="797" ht="12.0" customHeight="1">
      <c r="A797" s="5"/>
      <c r="B797" s="92" t="s">
        <v>634</v>
      </c>
      <c r="C797" s="204">
        <f>C796/Parametros!$B$37</f>
        <v>501.651</v>
      </c>
      <c r="D797" s="204">
        <f>D796/Parametros!$B$37</f>
        <v>382.686</v>
      </c>
      <c r="E797" s="204">
        <f>E796/Parametros!$B$37</f>
        <v>358.07575</v>
      </c>
      <c r="F797" s="204">
        <f>F796/Parametros!$B$37</f>
        <v>342.54675</v>
      </c>
      <c r="G797" s="204">
        <f>G796/Parametros!$B$37</f>
        <v>320.57</v>
      </c>
      <c r="H797" s="204">
        <f>H796/Parametros!$B$37</f>
        <v>314.12225</v>
      </c>
      <c r="I797" s="204">
        <f>I796/Parametros!$B$37</f>
        <v>336.099</v>
      </c>
      <c r="J797" s="204">
        <f>J796/Parametros!$B$37</f>
        <v>336.099</v>
      </c>
      <c r="K797" s="204">
        <f>K796/Parametros!$B$37</f>
        <v>336.099</v>
      </c>
      <c r="L797" s="204">
        <f>L796/Parametros!$B$37</f>
        <v>329.65125</v>
      </c>
      <c r="M797" s="204">
        <f>M796/Parametros!$B$37</f>
        <v>323.2035</v>
      </c>
      <c r="N797" s="204">
        <f>N796/Parametros!$B$37</f>
        <v>514.5465</v>
      </c>
      <c r="O797" s="5"/>
      <c r="P797" s="5"/>
      <c r="Q797" s="5"/>
      <c r="R797" s="5"/>
      <c r="S797" s="5"/>
      <c r="T797" s="5"/>
      <c r="U797" s="5"/>
      <c r="V797" s="5"/>
      <c r="W797" s="5"/>
      <c r="X797" s="5"/>
      <c r="Y797" s="5"/>
      <c r="Z797" s="5"/>
    </row>
    <row r="798" ht="12.0" customHeight="1">
      <c r="A798" s="5"/>
      <c r="B798" s="92" t="s">
        <v>635</v>
      </c>
      <c r="C798" s="204">
        <f>C797/Parametros!$J$37</f>
        <v>66.8868</v>
      </c>
      <c r="D798" s="204">
        <f>D797/Parametros!$J$37</f>
        <v>51.0248</v>
      </c>
      <c r="E798" s="204">
        <f>E797/Parametros!$J$37</f>
        <v>47.74343333</v>
      </c>
      <c r="F798" s="204">
        <f>F797/Parametros!$J$37</f>
        <v>45.6729</v>
      </c>
      <c r="G798" s="204">
        <f>G797/Parametros!$J$37</f>
        <v>42.74266667</v>
      </c>
      <c r="H798" s="204">
        <f>H797/Parametros!$J$37</f>
        <v>41.88296667</v>
      </c>
      <c r="I798" s="204">
        <f>I797/Parametros!$J$37</f>
        <v>44.8132</v>
      </c>
      <c r="J798" s="204">
        <f>J797/Parametros!$J$37</f>
        <v>44.8132</v>
      </c>
      <c r="K798" s="204">
        <f>K797/Parametros!$J$37</f>
        <v>44.8132</v>
      </c>
      <c r="L798" s="204">
        <f>L797/Parametros!$J$37</f>
        <v>43.9535</v>
      </c>
      <c r="M798" s="204">
        <f>M797/Parametros!$J$37</f>
        <v>43.0938</v>
      </c>
      <c r="N798" s="204">
        <f>N797/Parametros!$J$37</f>
        <v>68.6062</v>
      </c>
      <c r="O798" s="5"/>
      <c r="P798" s="5"/>
      <c r="Q798" s="5"/>
      <c r="R798" s="5"/>
      <c r="S798" s="5"/>
      <c r="T798" s="5"/>
      <c r="U798" s="5"/>
      <c r="V798" s="5"/>
      <c r="W798" s="5"/>
      <c r="X798" s="5"/>
      <c r="Y798" s="5"/>
      <c r="Z798" s="5"/>
    </row>
    <row r="799" ht="12.0" customHeight="1">
      <c r="A799" s="92" t="s">
        <v>636</v>
      </c>
      <c r="B799" s="5"/>
      <c r="C799" s="204">
        <f t="shared" ref="C799:N799" si="235">C798</f>
        <v>66.8868</v>
      </c>
      <c r="D799" s="204">
        <f t="shared" si="235"/>
        <v>51.0248</v>
      </c>
      <c r="E799" s="204">
        <f t="shared" si="235"/>
        <v>47.74343333</v>
      </c>
      <c r="F799" s="204">
        <f t="shared" si="235"/>
        <v>45.6729</v>
      </c>
      <c r="G799" s="204">
        <f t="shared" si="235"/>
        <v>42.74266667</v>
      </c>
      <c r="H799" s="204">
        <f t="shared" si="235"/>
        <v>41.88296667</v>
      </c>
      <c r="I799" s="204">
        <f t="shared" si="235"/>
        <v>44.8132</v>
      </c>
      <c r="J799" s="204">
        <f t="shared" si="235"/>
        <v>44.8132</v>
      </c>
      <c r="K799" s="204">
        <f t="shared" si="235"/>
        <v>44.8132</v>
      </c>
      <c r="L799" s="204">
        <f t="shared" si="235"/>
        <v>43.9535</v>
      </c>
      <c r="M799" s="204">
        <f t="shared" si="235"/>
        <v>43.0938</v>
      </c>
      <c r="N799" s="204">
        <f t="shared" si="235"/>
        <v>68.6062</v>
      </c>
      <c r="O799" s="5"/>
      <c r="P799" s="5"/>
      <c r="Q799" s="5"/>
      <c r="R799" s="5"/>
      <c r="S799" s="5"/>
      <c r="T799" s="5"/>
      <c r="U799" s="5"/>
      <c r="V799" s="5"/>
      <c r="W799" s="5"/>
      <c r="X799" s="5"/>
      <c r="Y799" s="5"/>
      <c r="Z799" s="5"/>
    </row>
    <row r="800" ht="12.0" customHeight="1">
      <c r="A800" s="92" t="s">
        <v>637</v>
      </c>
      <c r="B800" s="5"/>
      <c r="C800" s="205">
        <f>'Resumen Capacidad'!$F$117</f>
        <v>60.656</v>
      </c>
      <c r="D800" s="205">
        <f>'Resumen Capacidad'!$F$117</f>
        <v>60.656</v>
      </c>
      <c r="E800" s="205">
        <f>'Resumen Capacidad'!$F$117</f>
        <v>60.656</v>
      </c>
      <c r="F800" s="205">
        <f>'Resumen Capacidad'!$F$117</f>
        <v>60.656</v>
      </c>
      <c r="G800" s="205">
        <f>'Resumen Capacidad'!$F$117</f>
        <v>60.656</v>
      </c>
      <c r="H800" s="205">
        <f>'Resumen Capacidad'!$F$117</f>
        <v>60.656</v>
      </c>
      <c r="I800" s="205">
        <f>'Resumen Capacidad'!$F$117</f>
        <v>60.656</v>
      </c>
      <c r="J800" s="205">
        <f>'Resumen Capacidad'!$F$117</f>
        <v>60.656</v>
      </c>
      <c r="K800" s="205">
        <f>'Resumen Capacidad'!$F$117</f>
        <v>60.656</v>
      </c>
      <c r="L800" s="205">
        <f>'Resumen Capacidad'!$F$117</f>
        <v>60.656</v>
      </c>
      <c r="M800" s="205">
        <f>'Resumen Capacidad'!$F$117</f>
        <v>60.656</v>
      </c>
      <c r="N800" s="205">
        <f>'Resumen Capacidad'!$F$117</f>
        <v>60.656</v>
      </c>
      <c r="O800" s="5"/>
      <c r="P800" s="5"/>
      <c r="Q800" s="5"/>
      <c r="R800" s="5"/>
      <c r="S800" s="5"/>
      <c r="T800" s="5"/>
      <c r="U800" s="5"/>
      <c r="V800" s="5"/>
      <c r="W800" s="5"/>
      <c r="X800" s="5"/>
      <c r="Y800" s="5"/>
      <c r="Z800" s="5"/>
    </row>
    <row r="801" ht="12.0" customHeight="1">
      <c r="A801" s="92" t="s">
        <v>640</v>
      </c>
      <c r="B801" s="5"/>
      <c r="C801" s="204">
        <f>'Resumen Capacidad'!$F$35*'Resumen Capacidad'!$F$71</f>
        <v>2</v>
      </c>
      <c r="D801" s="204">
        <f>'Resumen Capacidad'!$F$35*'Resumen Capacidad'!$F$71</f>
        <v>2</v>
      </c>
      <c r="E801" s="204">
        <f>'Resumen Capacidad'!$F$35*'Resumen Capacidad'!$F$71</f>
        <v>2</v>
      </c>
      <c r="F801" s="204">
        <f>'Resumen Capacidad'!$F$35*'Resumen Capacidad'!$F$71</f>
        <v>2</v>
      </c>
      <c r="G801" s="204">
        <f>'Resumen Capacidad'!$F$35*'Resumen Capacidad'!$F$71</f>
        <v>2</v>
      </c>
      <c r="H801" s="204">
        <f>'Resumen Capacidad'!$F$35*'Resumen Capacidad'!$F$71</f>
        <v>2</v>
      </c>
      <c r="I801" s="204">
        <f>'Resumen Capacidad'!$F$35*'Resumen Capacidad'!$F$71</f>
        <v>2</v>
      </c>
      <c r="J801" s="204">
        <f>'Resumen Capacidad'!$F$35*'Resumen Capacidad'!$F$71</f>
        <v>2</v>
      </c>
      <c r="K801" s="204">
        <f>'Resumen Capacidad'!$F$35*'Resumen Capacidad'!$F$71</f>
        <v>2</v>
      </c>
      <c r="L801" s="204">
        <f>'Resumen Capacidad'!$F$35*'Resumen Capacidad'!$F$71</f>
        <v>2</v>
      </c>
      <c r="M801" s="204">
        <f>'Resumen Capacidad'!$F$35*'Resumen Capacidad'!$F$71</f>
        <v>2</v>
      </c>
      <c r="N801" s="204">
        <f>'Resumen Capacidad'!$F$35*'Resumen Capacidad'!$F$71</f>
        <v>2</v>
      </c>
      <c r="O801" s="5"/>
      <c r="P801" s="5"/>
      <c r="Q801" s="5"/>
      <c r="R801" s="5"/>
      <c r="S801" s="5"/>
      <c r="T801" s="5"/>
      <c r="U801" s="5"/>
      <c r="V801" s="5"/>
      <c r="W801" s="5"/>
      <c r="X801" s="5"/>
      <c r="Y801" s="5"/>
      <c r="Z801" s="5"/>
    </row>
    <row r="802" ht="12.0" customHeight="1">
      <c r="A802" s="92" t="s">
        <v>642</v>
      </c>
      <c r="B802" s="5"/>
      <c r="C802" s="204">
        <f t="shared" ref="C802:N802" si="236">C800*C801</f>
        <v>121.312</v>
      </c>
      <c r="D802" s="204">
        <f t="shared" si="236"/>
        <v>121.312</v>
      </c>
      <c r="E802" s="204">
        <f t="shared" si="236"/>
        <v>121.312</v>
      </c>
      <c r="F802" s="204">
        <f t="shared" si="236"/>
        <v>121.312</v>
      </c>
      <c r="G802" s="204">
        <f t="shared" si="236"/>
        <v>121.312</v>
      </c>
      <c r="H802" s="204">
        <f t="shared" si="236"/>
        <v>121.312</v>
      </c>
      <c r="I802" s="204">
        <f t="shared" si="236"/>
        <v>121.312</v>
      </c>
      <c r="J802" s="204">
        <f t="shared" si="236"/>
        <v>121.312</v>
      </c>
      <c r="K802" s="204">
        <f t="shared" si="236"/>
        <v>121.312</v>
      </c>
      <c r="L802" s="204">
        <f t="shared" si="236"/>
        <v>121.312</v>
      </c>
      <c r="M802" s="204">
        <f t="shared" si="236"/>
        <v>121.312</v>
      </c>
      <c r="N802" s="204">
        <f t="shared" si="236"/>
        <v>121.312</v>
      </c>
      <c r="O802" s="5"/>
      <c r="P802" s="5"/>
      <c r="Q802" s="5"/>
      <c r="R802" s="5"/>
      <c r="S802" s="5"/>
      <c r="T802" s="5"/>
      <c r="U802" s="5"/>
      <c r="V802" s="5"/>
      <c r="W802" s="5"/>
      <c r="X802" s="5"/>
      <c r="Y802" s="5"/>
      <c r="Z802" s="5"/>
    </row>
    <row r="803" ht="12.0" customHeight="1">
      <c r="A803" s="92" t="s">
        <v>643</v>
      </c>
      <c r="B803" s="5"/>
      <c r="C803" s="206">
        <f t="shared" ref="C803:N803" si="237">IF(C802=0,0,C799/C802)</f>
        <v>0.5513617779</v>
      </c>
      <c r="D803" s="206">
        <f t="shared" si="237"/>
        <v>0.420608019</v>
      </c>
      <c r="E803" s="206">
        <f t="shared" si="237"/>
        <v>0.3935590324</v>
      </c>
      <c r="F803" s="206">
        <f t="shared" si="237"/>
        <v>0.3764911963</v>
      </c>
      <c r="G803" s="206">
        <f t="shared" si="237"/>
        <v>0.3523366746</v>
      </c>
      <c r="H803" s="206">
        <f t="shared" si="237"/>
        <v>0.345249989</v>
      </c>
      <c r="I803" s="206">
        <f t="shared" si="237"/>
        <v>0.3694045107</v>
      </c>
      <c r="J803" s="206">
        <f t="shared" si="237"/>
        <v>0.3694045107</v>
      </c>
      <c r="K803" s="206">
        <f t="shared" si="237"/>
        <v>0.3694045107</v>
      </c>
      <c r="L803" s="206">
        <f t="shared" si="237"/>
        <v>0.3623178251</v>
      </c>
      <c r="M803" s="206">
        <f t="shared" si="237"/>
        <v>0.3552311395</v>
      </c>
      <c r="N803" s="206">
        <f t="shared" si="237"/>
        <v>0.565535149</v>
      </c>
      <c r="O803" s="5"/>
      <c r="P803" s="5"/>
      <c r="Q803" s="5"/>
      <c r="R803" s="5"/>
      <c r="S803" s="5"/>
      <c r="T803" s="5"/>
      <c r="U803" s="5"/>
      <c r="V803" s="5"/>
      <c r="W803" s="5"/>
      <c r="X803" s="5"/>
      <c r="Y803" s="5"/>
      <c r="Z803" s="5"/>
    </row>
    <row r="804" ht="12.0" customHeight="1">
      <c r="A804" s="201" t="s">
        <v>664</v>
      </c>
      <c r="B804" s="202"/>
      <c r="C804" s="202"/>
      <c r="D804" s="202"/>
      <c r="E804" s="202"/>
      <c r="F804" s="202"/>
      <c r="G804" s="202"/>
      <c r="H804" s="202"/>
      <c r="I804" s="202"/>
      <c r="J804" s="202"/>
      <c r="K804" s="202"/>
      <c r="L804" s="202"/>
      <c r="M804" s="202"/>
      <c r="N804" s="202"/>
      <c r="O804" s="5"/>
      <c r="P804" s="5"/>
      <c r="Q804" s="5"/>
      <c r="R804" s="5"/>
      <c r="S804" s="5"/>
      <c r="T804" s="5"/>
      <c r="U804" s="5"/>
      <c r="V804" s="5"/>
      <c r="W804" s="5"/>
      <c r="X804" s="5"/>
      <c r="Y804" s="5"/>
      <c r="Z804" s="5"/>
    </row>
    <row r="805" ht="12.0" customHeight="1">
      <c r="A805" s="201" t="s">
        <v>630</v>
      </c>
      <c r="B805" s="201" t="s">
        <v>631</v>
      </c>
      <c r="C805" s="201" t="s">
        <v>3</v>
      </c>
      <c r="D805" s="201" t="s">
        <v>4</v>
      </c>
      <c r="E805" s="201" t="s">
        <v>5</v>
      </c>
      <c r="F805" s="201" t="s">
        <v>6</v>
      </c>
      <c r="G805" s="201" t="s">
        <v>7</v>
      </c>
      <c r="H805" s="201" t="s">
        <v>8</v>
      </c>
      <c r="I805" s="201" t="s">
        <v>9</v>
      </c>
      <c r="J805" s="201" t="s">
        <v>10</v>
      </c>
      <c r="K805" s="201" t="s">
        <v>11</v>
      </c>
      <c r="L805" s="201" t="s">
        <v>12</v>
      </c>
      <c r="M805" s="201" t="s">
        <v>13</v>
      </c>
      <c r="N805" s="201" t="s">
        <v>14</v>
      </c>
      <c r="O805" s="5"/>
      <c r="P805" s="5"/>
      <c r="Q805" s="5"/>
      <c r="R805" s="5"/>
      <c r="S805" s="5"/>
      <c r="T805" s="5"/>
      <c r="U805" s="5"/>
      <c r="V805" s="5"/>
      <c r="W805" s="5"/>
      <c r="X805" s="5"/>
      <c r="Y805" s="5"/>
      <c r="Z805" s="5"/>
    </row>
    <row r="806" ht="12.0" customHeight="1">
      <c r="A806" s="92" t="s">
        <v>632</v>
      </c>
      <c r="B806" s="92" t="s">
        <v>633</v>
      </c>
      <c r="C806" s="203">
        <f>SUM('2030'!B6:B9)+SUM('2030'!B17:B20)</f>
        <v>10033.02</v>
      </c>
      <c r="D806" s="203">
        <f>SUM('2030'!C6:C9)+SUM('2030'!C17:C20)</f>
        <v>7653.72</v>
      </c>
      <c r="E806" s="203">
        <f>SUM('2030'!D6:D9)+SUM('2030'!D17:D20)</f>
        <v>7161.515</v>
      </c>
      <c r="F806" s="203">
        <f>SUM('2030'!E6:E9)+SUM('2030'!E17:E20)</f>
        <v>6850.935</v>
      </c>
      <c r="G806" s="203">
        <f>SUM('2030'!F6:F9)+SUM('2030'!F17:F20)</f>
        <v>6411.4</v>
      </c>
      <c r="H806" s="203">
        <f>SUM('2030'!G6:G9)+SUM('2030'!G17:G20)</f>
        <v>6282.445</v>
      </c>
      <c r="I806" s="203">
        <f>SUM('2030'!H6:H9)+SUM('2030'!H17:H20)</f>
        <v>6721.98</v>
      </c>
      <c r="J806" s="203">
        <f>SUM('2030'!I6:I9)+SUM('2030'!I17:I20)</f>
        <v>6721.98</v>
      </c>
      <c r="K806" s="203">
        <f>SUM('2030'!J6:J9)+SUM('2030'!J17:J20)</f>
        <v>6721.98</v>
      </c>
      <c r="L806" s="203">
        <f>SUM('2030'!K6:K9)+SUM('2030'!K17:K20)</f>
        <v>6593.025</v>
      </c>
      <c r="M806" s="203">
        <f>SUM('2030'!L6:L9)+SUM('2030'!L17:L20)</f>
        <v>6464.07</v>
      </c>
      <c r="N806" s="203">
        <f>SUM('2030'!M6:M9)+SUM('2030'!M17:M20)</f>
        <v>10290.93</v>
      </c>
      <c r="O806" s="5"/>
      <c r="P806" s="5"/>
      <c r="Q806" s="5"/>
      <c r="R806" s="5"/>
      <c r="S806" s="5"/>
      <c r="T806" s="5"/>
      <c r="U806" s="5"/>
      <c r="V806" s="5"/>
      <c r="W806" s="5"/>
      <c r="X806" s="5"/>
      <c r="Y806" s="5"/>
      <c r="Z806" s="5"/>
    </row>
    <row r="807" ht="12.0" customHeight="1">
      <c r="A807" s="5"/>
      <c r="B807" s="92" t="s">
        <v>634</v>
      </c>
      <c r="C807" s="204">
        <f>C806/Parametros!$B$37</f>
        <v>501.651</v>
      </c>
      <c r="D807" s="204">
        <f>D806/Parametros!$B$37</f>
        <v>382.686</v>
      </c>
      <c r="E807" s="204">
        <f>E806/Parametros!$B$37</f>
        <v>358.07575</v>
      </c>
      <c r="F807" s="204">
        <f>F806/Parametros!$B$37</f>
        <v>342.54675</v>
      </c>
      <c r="G807" s="204">
        <f>G806/Parametros!$B$37</f>
        <v>320.57</v>
      </c>
      <c r="H807" s="204">
        <f>H806/Parametros!$B$37</f>
        <v>314.12225</v>
      </c>
      <c r="I807" s="204">
        <f>I806/Parametros!$B$37</f>
        <v>336.099</v>
      </c>
      <c r="J807" s="204">
        <f>J806/Parametros!$B$37</f>
        <v>336.099</v>
      </c>
      <c r="K807" s="204">
        <f>K806/Parametros!$B$37</f>
        <v>336.099</v>
      </c>
      <c r="L807" s="204">
        <f>L806/Parametros!$B$37</f>
        <v>329.65125</v>
      </c>
      <c r="M807" s="204">
        <f>M806/Parametros!$B$37</f>
        <v>323.2035</v>
      </c>
      <c r="N807" s="204">
        <f>N806/Parametros!$B$37</f>
        <v>514.5465</v>
      </c>
      <c r="O807" s="5"/>
      <c r="P807" s="5"/>
      <c r="Q807" s="5"/>
      <c r="R807" s="5"/>
      <c r="S807" s="5"/>
      <c r="T807" s="5"/>
      <c r="U807" s="5"/>
      <c r="V807" s="5"/>
      <c r="W807" s="5"/>
      <c r="X807" s="5"/>
      <c r="Y807" s="5"/>
      <c r="Z807" s="5"/>
    </row>
    <row r="808" ht="12.0" customHeight="1">
      <c r="A808" s="5"/>
      <c r="B808" s="92" t="s">
        <v>635</v>
      </c>
      <c r="C808" s="204">
        <f>C807/Parametros!$J$37</f>
        <v>66.8868</v>
      </c>
      <c r="D808" s="204">
        <f>D807/Parametros!$J$37</f>
        <v>51.0248</v>
      </c>
      <c r="E808" s="204">
        <f>E807/Parametros!$J$37</f>
        <v>47.74343333</v>
      </c>
      <c r="F808" s="204">
        <f>F807/Parametros!$J$37</f>
        <v>45.6729</v>
      </c>
      <c r="G808" s="204">
        <f>G807/Parametros!$J$37</f>
        <v>42.74266667</v>
      </c>
      <c r="H808" s="204">
        <f>H807/Parametros!$J$37</f>
        <v>41.88296667</v>
      </c>
      <c r="I808" s="204">
        <f>I807/Parametros!$J$37</f>
        <v>44.8132</v>
      </c>
      <c r="J808" s="204">
        <f>J807/Parametros!$J$37</f>
        <v>44.8132</v>
      </c>
      <c r="K808" s="204">
        <f>K807/Parametros!$J$37</f>
        <v>44.8132</v>
      </c>
      <c r="L808" s="204">
        <f>L807/Parametros!$J$37</f>
        <v>43.9535</v>
      </c>
      <c r="M808" s="204">
        <f>M807/Parametros!$J$37</f>
        <v>43.0938</v>
      </c>
      <c r="N808" s="204">
        <f>N807/Parametros!$J$37</f>
        <v>68.6062</v>
      </c>
      <c r="O808" s="5"/>
      <c r="P808" s="5"/>
      <c r="Q808" s="5"/>
      <c r="R808" s="5"/>
      <c r="S808" s="5"/>
      <c r="T808" s="5"/>
      <c r="U808" s="5"/>
      <c r="V808" s="5"/>
      <c r="W808" s="5"/>
      <c r="X808" s="5"/>
      <c r="Y808" s="5"/>
      <c r="Z808" s="5"/>
    </row>
    <row r="809" ht="12.0" customHeight="1">
      <c r="A809" s="92" t="s">
        <v>636</v>
      </c>
      <c r="B809" s="5"/>
      <c r="C809" s="204">
        <f t="shared" ref="C809:N809" si="238">C808</f>
        <v>66.8868</v>
      </c>
      <c r="D809" s="204">
        <f t="shared" si="238"/>
        <v>51.0248</v>
      </c>
      <c r="E809" s="204">
        <f t="shared" si="238"/>
        <v>47.74343333</v>
      </c>
      <c r="F809" s="204">
        <f t="shared" si="238"/>
        <v>45.6729</v>
      </c>
      <c r="G809" s="204">
        <f t="shared" si="238"/>
        <v>42.74266667</v>
      </c>
      <c r="H809" s="204">
        <f t="shared" si="238"/>
        <v>41.88296667</v>
      </c>
      <c r="I809" s="204">
        <f t="shared" si="238"/>
        <v>44.8132</v>
      </c>
      <c r="J809" s="204">
        <f t="shared" si="238"/>
        <v>44.8132</v>
      </c>
      <c r="K809" s="204">
        <f t="shared" si="238"/>
        <v>44.8132</v>
      </c>
      <c r="L809" s="204">
        <f t="shared" si="238"/>
        <v>43.9535</v>
      </c>
      <c r="M809" s="204">
        <f t="shared" si="238"/>
        <v>43.0938</v>
      </c>
      <c r="N809" s="204">
        <f t="shared" si="238"/>
        <v>68.6062</v>
      </c>
      <c r="O809" s="5"/>
      <c r="P809" s="5"/>
      <c r="Q809" s="5"/>
      <c r="R809" s="5"/>
      <c r="S809" s="5"/>
      <c r="T809" s="5"/>
      <c r="U809" s="5"/>
      <c r="V809" s="5"/>
      <c r="W809" s="5"/>
      <c r="X809" s="5"/>
      <c r="Y809" s="5"/>
      <c r="Z809" s="5"/>
    </row>
    <row r="810" ht="12.0" customHeight="1">
      <c r="A810" s="92" t="s">
        <v>637</v>
      </c>
      <c r="B810" s="5"/>
      <c r="C810" s="205">
        <f>'Resumen Capacidad'!$F$118</f>
        <v>187.425</v>
      </c>
      <c r="D810" s="205">
        <f>'Resumen Capacidad'!$F$118</f>
        <v>187.425</v>
      </c>
      <c r="E810" s="205">
        <f>'Resumen Capacidad'!$F$118</f>
        <v>187.425</v>
      </c>
      <c r="F810" s="205">
        <f>'Resumen Capacidad'!$F$118</f>
        <v>187.425</v>
      </c>
      <c r="G810" s="205">
        <f>'Resumen Capacidad'!$F$118</f>
        <v>187.425</v>
      </c>
      <c r="H810" s="205">
        <f>'Resumen Capacidad'!$F$118</f>
        <v>187.425</v>
      </c>
      <c r="I810" s="205">
        <f>'Resumen Capacidad'!$F$118</f>
        <v>187.425</v>
      </c>
      <c r="J810" s="205">
        <f>'Resumen Capacidad'!$F$118</f>
        <v>187.425</v>
      </c>
      <c r="K810" s="205">
        <f>'Resumen Capacidad'!$F$118</f>
        <v>187.425</v>
      </c>
      <c r="L810" s="205">
        <f>'Resumen Capacidad'!$F$118</f>
        <v>187.425</v>
      </c>
      <c r="M810" s="205">
        <f>'Resumen Capacidad'!$F$118</f>
        <v>187.425</v>
      </c>
      <c r="N810" s="205">
        <f>'Resumen Capacidad'!$F$118</f>
        <v>187.425</v>
      </c>
      <c r="O810" s="5"/>
      <c r="P810" s="5"/>
      <c r="Q810" s="5"/>
      <c r="R810" s="5"/>
      <c r="S810" s="5"/>
      <c r="T810" s="5"/>
      <c r="U810" s="5"/>
      <c r="V810" s="5"/>
      <c r="W810" s="5"/>
      <c r="X810" s="5"/>
      <c r="Y810" s="5"/>
      <c r="Z810" s="5"/>
    </row>
    <row r="811" ht="12.0" customHeight="1">
      <c r="A811" s="92" t="s">
        <v>640</v>
      </c>
      <c r="B811" s="5"/>
      <c r="C811" s="204">
        <f>'Resumen Capacidad'!$F$36*'Resumen Capacidad'!$F$72</f>
        <v>1</v>
      </c>
      <c r="D811" s="204">
        <f>'Resumen Capacidad'!$F$36*'Resumen Capacidad'!$F$72</f>
        <v>1</v>
      </c>
      <c r="E811" s="204">
        <f>'Resumen Capacidad'!$F$36*'Resumen Capacidad'!$F$72</f>
        <v>1</v>
      </c>
      <c r="F811" s="204">
        <f>'Resumen Capacidad'!$F$36*'Resumen Capacidad'!$F$72</f>
        <v>1</v>
      </c>
      <c r="G811" s="204">
        <f>'Resumen Capacidad'!$F$36*'Resumen Capacidad'!$F$72</f>
        <v>1</v>
      </c>
      <c r="H811" s="204">
        <f>'Resumen Capacidad'!$F$36*'Resumen Capacidad'!$F$72</f>
        <v>1</v>
      </c>
      <c r="I811" s="204">
        <f>'Resumen Capacidad'!$F$36*'Resumen Capacidad'!$F$72</f>
        <v>1</v>
      </c>
      <c r="J811" s="204">
        <f>'Resumen Capacidad'!$F$36*'Resumen Capacidad'!$F$72</f>
        <v>1</v>
      </c>
      <c r="K811" s="204">
        <f>'Resumen Capacidad'!$F$36*'Resumen Capacidad'!$F$72</f>
        <v>1</v>
      </c>
      <c r="L811" s="204">
        <f>'Resumen Capacidad'!$F$36*'Resumen Capacidad'!$F$72</f>
        <v>1</v>
      </c>
      <c r="M811" s="204">
        <f>'Resumen Capacidad'!$F$36*'Resumen Capacidad'!$F$72</f>
        <v>1</v>
      </c>
      <c r="N811" s="204">
        <f>'Resumen Capacidad'!$F$36*'Resumen Capacidad'!$F$72</f>
        <v>1</v>
      </c>
      <c r="O811" s="5"/>
      <c r="P811" s="5"/>
      <c r="Q811" s="5"/>
      <c r="R811" s="5"/>
      <c r="S811" s="5"/>
      <c r="T811" s="5"/>
      <c r="U811" s="5"/>
      <c r="V811" s="5"/>
      <c r="W811" s="5"/>
      <c r="X811" s="5"/>
      <c r="Y811" s="5"/>
      <c r="Z811" s="5"/>
    </row>
    <row r="812" ht="12.0" customHeight="1">
      <c r="A812" s="92" t="s">
        <v>642</v>
      </c>
      <c r="B812" s="5"/>
      <c r="C812" s="204">
        <f t="shared" ref="C812:N812" si="239">C810*C811</f>
        <v>187.425</v>
      </c>
      <c r="D812" s="204">
        <f t="shared" si="239"/>
        <v>187.425</v>
      </c>
      <c r="E812" s="204">
        <f t="shared" si="239"/>
        <v>187.425</v>
      </c>
      <c r="F812" s="204">
        <f t="shared" si="239"/>
        <v>187.425</v>
      </c>
      <c r="G812" s="204">
        <f t="shared" si="239"/>
        <v>187.425</v>
      </c>
      <c r="H812" s="204">
        <f t="shared" si="239"/>
        <v>187.425</v>
      </c>
      <c r="I812" s="204">
        <f t="shared" si="239"/>
        <v>187.425</v>
      </c>
      <c r="J812" s="204">
        <f t="shared" si="239"/>
        <v>187.425</v>
      </c>
      <c r="K812" s="204">
        <f t="shared" si="239"/>
        <v>187.425</v>
      </c>
      <c r="L812" s="204">
        <f t="shared" si="239"/>
        <v>187.425</v>
      </c>
      <c r="M812" s="204">
        <f t="shared" si="239"/>
        <v>187.425</v>
      </c>
      <c r="N812" s="204">
        <f t="shared" si="239"/>
        <v>187.425</v>
      </c>
      <c r="O812" s="5"/>
      <c r="P812" s="5"/>
      <c r="Q812" s="5"/>
      <c r="R812" s="5"/>
      <c r="S812" s="5"/>
      <c r="T812" s="5"/>
      <c r="U812" s="5"/>
      <c r="V812" s="5"/>
      <c r="W812" s="5"/>
      <c r="X812" s="5"/>
      <c r="Y812" s="5"/>
      <c r="Z812" s="5"/>
    </row>
    <row r="813" ht="12.0" customHeight="1">
      <c r="A813" s="92" t="s">
        <v>643</v>
      </c>
      <c r="B813" s="5"/>
      <c r="C813" s="206">
        <f t="shared" ref="C813:N813" si="240">IF(C812=0,0,C809/C812)</f>
        <v>0.3568723489</v>
      </c>
      <c r="D813" s="206">
        <f t="shared" si="240"/>
        <v>0.2722411631</v>
      </c>
      <c r="E813" s="206">
        <f t="shared" si="240"/>
        <v>0.2547335379</v>
      </c>
      <c r="F813" s="206">
        <f t="shared" si="240"/>
        <v>0.2436862745</v>
      </c>
      <c r="G813" s="206">
        <f t="shared" si="240"/>
        <v>0.2280521097</v>
      </c>
      <c r="H813" s="206">
        <f t="shared" si="240"/>
        <v>0.2234652083</v>
      </c>
      <c r="I813" s="206">
        <f t="shared" si="240"/>
        <v>0.2390993731</v>
      </c>
      <c r="J813" s="206">
        <f t="shared" si="240"/>
        <v>0.2390993731</v>
      </c>
      <c r="K813" s="206">
        <f t="shared" si="240"/>
        <v>0.2390993731</v>
      </c>
      <c r="L813" s="206">
        <f t="shared" si="240"/>
        <v>0.2345124717</v>
      </c>
      <c r="M813" s="206">
        <f t="shared" si="240"/>
        <v>0.2299255702</v>
      </c>
      <c r="N813" s="206">
        <f t="shared" si="240"/>
        <v>0.3660461518</v>
      </c>
      <c r="O813" s="5"/>
      <c r="P813" s="5"/>
      <c r="Q813" s="5"/>
      <c r="R813" s="5"/>
      <c r="S813" s="5"/>
      <c r="T813" s="5"/>
      <c r="U813" s="5"/>
      <c r="V813" s="5"/>
      <c r="W813" s="5"/>
      <c r="X813" s="5"/>
      <c r="Y813" s="5"/>
      <c r="Z813" s="5"/>
    </row>
    <row r="814" ht="12.0" customHeight="1">
      <c r="A814" s="201" t="s">
        <v>665</v>
      </c>
      <c r="B814" s="202"/>
      <c r="C814" s="202"/>
      <c r="D814" s="202"/>
      <c r="E814" s="202"/>
      <c r="F814" s="202"/>
      <c r="G814" s="202"/>
      <c r="H814" s="202"/>
      <c r="I814" s="202"/>
      <c r="J814" s="202"/>
      <c r="K814" s="202"/>
      <c r="L814" s="202"/>
      <c r="M814" s="202"/>
      <c r="N814" s="202"/>
      <c r="O814" s="5"/>
      <c r="P814" s="5"/>
      <c r="Q814" s="5"/>
      <c r="R814" s="5"/>
      <c r="S814" s="5"/>
      <c r="T814" s="5"/>
      <c r="U814" s="5"/>
      <c r="V814" s="5"/>
      <c r="W814" s="5"/>
      <c r="X814" s="5"/>
      <c r="Y814" s="5"/>
      <c r="Z814" s="5"/>
    </row>
    <row r="815" ht="12.0" customHeight="1">
      <c r="A815" s="201" t="s">
        <v>630</v>
      </c>
      <c r="B815" s="201" t="s">
        <v>631</v>
      </c>
      <c r="C815" s="201" t="s">
        <v>3</v>
      </c>
      <c r="D815" s="201" t="s">
        <v>4</v>
      </c>
      <c r="E815" s="201" t="s">
        <v>5</v>
      </c>
      <c r="F815" s="201" t="s">
        <v>6</v>
      </c>
      <c r="G815" s="201" t="s">
        <v>7</v>
      </c>
      <c r="H815" s="201" t="s">
        <v>8</v>
      </c>
      <c r="I815" s="201" t="s">
        <v>9</v>
      </c>
      <c r="J815" s="201" t="s">
        <v>10</v>
      </c>
      <c r="K815" s="201" t="s">
        <v>11</v>
      </c>
      <c r="L815" s="201" t="s">
        <v>12</v>
      </c>
      <c r="M815" s="201" t="s">
        <v>13</v>
      </c>
      <c r="N815" s="201" t="s">
        <v>14</v>
      </c>
      <c r="O815" s="5"/>
      <c r="P815" s="5"/>
      <c r="Q815" s="5"/>
      <c r="R815" s="5"/>
      <c r="S815" s="5"/>
      <c r="T815" s="5"/>
      <c r="U815" s="5"/>
      <c r="V815" s="5"/>
      <c r="W815" s="5"/>
      <c r="X815" s="5"/>
      <c r="Y815" s="5"/>
      <c r="Z815" s="5"/>
    </row>
    <row r="816" ht="12.0" customHeight="1">
      <c r="A816" s="92" t="s">
        <v>632</v>
      </c>
      <c r="B816" s="92" t="s">
        <v>633</v>
      </c>
      <c r="C816" s="203">
        <f>SUM('2030'!B6:B9)+SUM('2030'!B17:B20)</f>
        <v>10033.02</v>
      </c>
      <c r="D816" s="203">
        <f>SUM('2030'!C6:C9)+SUM('2030'!C17:C20)</f>
        <v>7653.72</v>
      </c>
      <c r="E816" s="203">
        <f>SUM('2030'!D6:D9)+SUM('2030'!D17:D20)</f>
        <v>7161.515</v>
      </c>
      <c r="F816" s="203">
        <f>SUM('2030'!E6:E9)+SUM('2030'!E17:E20)</f>
        <v>6850.935</v>
      </c>
      <c r="G816" s="203">
        <f>SUM('2030'!F6:F9)+SUM('2030'!F17:F20)</f>
        <v>6411.4</v>
      </c>
      <c r="H816" s="203">
        <f>SUM('2030'!G6:G9)+SUM('2030'!G17:G20)</f>
        <v>6282.445</v>
      </c>
      <c r="I816" s="203">
        <f>SUM('2030'!H6:H9)+SUM('2030'!H17:H20)</f>
        <v>6721.98</v>
      </c>
      <c r="J816" s="203">
        <f>SUM('2030'!I6:I9)+SUM('2030'!I17:I20)</f>
        <v>6721.98</v>
      </c>
      <c r="K816" s="203">
        <f>SUM('2030'!J6:J9)+SUM('2030'!J17:J20)</f>
        <v>6721.98</v>
      </c>
      <c r="L816" s="203">
        <f>SUM('2030'!K6:K9)+SUM('2030'!K17:K20)</f>
        <v>6593.025</v>
      </c>
      <c r="M816" s="203">
        <f>SUM('2030'!L6:L9)+SUM('2030'!L17:L20)</f>
        <v>6464.07</v>
      </c>
      <c r="N816" s="203">
        <f>SUM('2030'!M6:M9)+SUM('2030'!M17:M20)</f>
        <v>10290.93</v>
      </c>
      <c r="O816" s="5"/>
      <c r="P816" s="5"/>
      <c r="Q816" s="5"/>
      <c r="R816" s="5"/>
      <c r="S816" s="5"/>
      <c r="T816" s="5"/>
      <c r="U816" s="5"/>
      <c r="V816" s="5"/>
      <c r="W816" s="5"/>
      <c r="X816" s="5"/>
      <c r="Y816" s="5"/>
      <c r="Z816" s="5"/>
    </row>
    <row r="817" ht="12.0" customHeight="1">
      <c r="A817" s="5"/>
      <c r="B817" s="92" t="s">
        <v>634</v>
      </c>
      <c r="C817" s="204">
        <f>C816/Parametros!$B$37</f>
        <v>501.651</v>
      </c>
      <c r="D817" s="204">
        <f>D816/Parametros!$B$37</f>
        <v>382.686</v>
      </c>
      <c r="E817" s="204">
        <f>E816/Parametros!$B$37</f>
        <v>358.07575</v>
      </c>
      <c r="F817" s="204">
        <f>F816/Parametros!$B$37</f>
        <v>342.54675</v>
      </c>
      <c r="G817" s="204">
        <f>G816/Parametros!$B$37</f>
        <v>320.57</v>
      </c>
      <c r="H817" s="204">
        <f>H816/Parametros!$B$37</f>
        <v>314.12225</v>
      </c>
      <c r="I817" s="204">
        <f>I816/Parametros!$B$37</f>
        <v>336.099</v>
      </c>
      <c r="J817" s="204">
        <f>J816/Parametros!$B$37</f>
        <v>336.099</v>
      </c>
      <c r="K817" s="204">
        <f>K816/Parametros!$B$37</f>
        <v>336.099</v>
      </c>
      <c r="L817" s="204">
        <f>L816/Parametros!$B$37</f>
        <v>329.65125</v>
      </c>
      <c r="M817" s="204">
        <f>M816/Parametros!$B$37</f>
        <v>323.2035</v>
      </c>
      <c r="N817" s="204">
        <f>N816/Parametros!$B$37</f>
        <v>514.5465</v>
      </c>
      <c r="O817" s="5"/>
      <c r="P817" s="5"/>
      <c r="Q817" s="5"/>
      <c r="R817" s="5"/>
      <c r="S817" s="5"/>
      <c r="T817" s="5"/>
      <c r="U817" s="5"/>
      <c r="V817" s="5"/>
      <c r="W817" s="5"/>
      <c r="X817" s="5"/>
      <c r="Y817" s="5"/>
      <c r="Z817" s="5"/>
    </row>
    <row r="818" ht="12.0" customHeight="1">
      <c r="A818" s="5"/>
      <c r="B818" s="92" t="s">
        <v>635</v>
      </c>
      <c r="C818" s="204">
        <f>C817/Parametros!$J$37</f>
        <v>66.8868</v>
      </c>
      <c r="D818" s="204">
        <f>D817/Parametros!$J$37</f>
        <v>51.0248</v>
      </c>
      <c r="E818" s="204">
        <f>E817/Parametros!$J$37</f>
        <v>47.74343333</v>
      </c>
      <c r="F818" s="204">
        <f>F817/Parametros!$J$37</f>
        <v>45.6729</v>
      </c>
      <c r="G818" s="204">
        <f>G817/Parametros!$J$37</f>
        <v>42.74266667</v>
      </c>
      <c r="H818" s="204">
        <f>H817/Parametros!$J$37</f>
        <v>41.88296667</v>
      </c>
      <c r="I818" s="204">
        <f>I817/Parametros!$J$37</f>
        <v>44.8132</v>
      </c>
      <c r="J818" s="204">
        <f>J817/Parametros!$J$37</f>
        <v>44.8132</v>
      </c>
      <c r="K818" s="204">
        <f>K817/Parametros!$J$37</f>
        <v>44.8132</v>
      </c>
      <c r="L818" s="204">
        <f>L817/Parametros!$J$37</f>
        <v>43.9535</v>
      </c>
      <c r="M818" s="204">
        <f>M817/Parametros!$J$37</f>
        <v>43.0938</v>
      </c>
      <c r="N818" s="204">
        <f>N817/Parametros!$J$37</f>
        <v>68.6062</v>
      </c>
      <c r="O818" s="5"/>
      <c r="P818" s="5"/>
      <c r="Q818" s="5"/>
      <c r="R818" s="5"/>
      <c r="S818" s="5"/>
      <c r="T818" s="5"/>
      <c r="U818" s="5"/>
      <c r="V818" s="5"/>
      <c r="W818" s="5"/>
      <c r="X818" s="5"/>
      <c r="Y818" s="5"/>
      <c r="Z818" s="5"/>
    </row>
    <row r="819" ht="12.0" customHeight="1">
      <c r="A819" s="92" t="s">
        <v>636</v>
      </c>
      <c r="B819" s="5"/>
      <c r="C819" s="204">
        <f t="shared" ref="C819:N819" si="241">C818</f>
        <v>66.8868</v>
      </c>
      <c r="D819" s="204">
        <f t="shared" si="241"/>
        <v>51.0248</v>
      </c>
      <c r="E819" s="204">
        <f t="shared" si="241"/>
        <v>47.74343333</v>
      </c>
      <c r="F819" s="204">
        <f t="shared" si="241"/>
        <v>45.6729</v>
      </c>
      <c r="G819" s="204">
        <f t="shared" si="241"/>
        <v>42.74266667</v>
      </c>
      <c r="H819" s="204">
        <f t="shared" si="241"/>
        <v>41.88296667</v>
      </c>
      <c r="I819" s="204">
        <f t="shared" si="241"/>
        <v>44.8132</v>
      </c>
      <c r="J819" s="204">
        <f t="shared" si="241"/>
        <v>44.8132</v>
      </c>
      <c r="K819" s="204">
        <f t="shared" si="241"/>
        <v>44.8132</v>
      </c>
      <c r="L819" s="204">
        <f t="shared" si="241"/>
        <v>43.9535</v>
      </c>
      <c r="M819" s="204">
        <f t="shared" si="241"/>
        <v>43.0938</v>
      </c>
      <c r="N819" s="204">
        <f t="shared" si="241"/>
        <v>68.6062</v>
      </c>
      <c r="O819" s="5"/>
      <c r="P819" s="5"/>
      <c r="Q819" s="5"/>
      <c r="R819" s="5"/>
      <c r="S819" s="5"/>
      <c r="T819" s="5"/>
      <c r="U819" s="5"/>
      <c r="V819" s="5"/>
      <c r="W819" s="5"/>
      <c r="X819" s="5"/>
      <c r="Y819" s="5"/>
      <c r="Z819" s="5"/>
    </row>
    <row r="820" ht="12.0" customHeight="1">
      <c r="A820" s="92" t="s">
        <v>637</v>
      </c>
      <c r="B820" s="5"/>
      <c r="C820" s="184">
        <f>'Resumen Capacidad'!$F$119</f>
        <v>63.648</v>
      </c>
      <c r="D820" s="184">
        <f>'Resumen Capacidad'!$F$119</f>
        <v>63.648</v>
      </c>
      <c r="E820" s="184">
        <f>'Resumen Capacidad'!$F$119</f>
        <v>63.648</v>
      </c>
      <c r="F820" s="184">
        <f>'Resumen Capacidad'!$F$119</f>
        <v>63.648</v>
      </c>
      <c r="G820" s="184">
        <f>'Resumen Capacidad'!$F$119</f>
        <v>63.648</v>
      </c>
      <c r="H820" s="184">
        <f>'Resumen Capacidad'!$F$119</f>
        <v>63.648</v>
      </c>
      <c r="I820" s="184">
        <f>'Resumen Capacidad'!$F$119</f>
        <v>63.648</v>
      </c>
      <c r="J820" s="184">
        <f>'Resumen Capacidad'!$F$119</f>
        <v>63.648</v>
      </c>
      <c r="K820" s="184">
        <f>'Resumen Capacidad'!$F$119</f>
        <v>63.648</v>
      </c>
      <c r="L820" s="184">
        <f>'Resumen Capacidad'!$F$119</f>
        <v>63.648</v>
      </c>
      <c r="M820" s="184">
        <f>'Resumen Capacidad'!$F$119</f>
        <v>63.648</v>
      </c>
      <c r="N820" s="184">
        <f>'Resumen Capacidad'!$F$119</f>
        <v>63.648</v>
      </c>
      <c r="O820" s="5"/>
      <c r="P820" s="5"/>
      <c r="Q820" s="5"/>
      <c r="R820" s="5"/>
      <c r="S820" s="5"/>
      <c r="T820" s="5"/>
      <c r="U820" s="5"/>
      <c r="V820" s="5"/>
      <c r="W820" s="5"/>
      <c r="X820" s="5"/>
      <c r="Y820" s="5"/>
      <c r="Z820" s="5"/>
    </row>
    <row r="821" ht="12.0" customHeight="1">
      <c r="A821" s="92" t="s">
        <v>640</v>
      </c>
      <c r="B821" s="5"/>
      <c r="C821" s="204">
        <f>'Resumen Capacidad'!$F$37*'Resumen Capacidad'!$F$73</f>
        <v>2</v>
      </c>
      <c r="D821" s="204">
        <f>'Resumen Capacidad'!$F$37*'Resumen Capacidad'!$F$73</f>
        <v>2</v>
      </c>
      <c r="E821" s="204">
        <f>'Resumen Capacidad'!$F$37*'Resumen Capacidad'!$F$73</f>
        <v>2</v>
      </c>
      <c r="F821" s="204">
        <f>'Resumen Capacidad'!$F$37*'Resumen Capacidad'!$F$73</f>
        <v>2</v>
      </c>
      <c r="G821" s="204">
        <f>'Resumen Capacidad'!$F$37*'Resumen Capacidad'!$F$73</f>
        <v>2</v>
      </c>
      <c r="H821" s="204">
        <f>'Resumen Capacidad'!$F$37*'Resumen Capacidad'!$F$73</f>
        <v>2</v>
      </c>
      <c r="I821" s="204">
        <f>'Resumen Capacidad'!$F$37*'Resumen Capacidad'!$F$73</f>
        <v>2</v>
      </c>
      <c r="J821" s="204">
        <f>'Resumen Capacidad'!$F$37*'Resumen Capacidad'!$F$73</f>
        <v>2</v>
      </c>
      <c r="K821" s="204">
        <f>'Resumen Capacidad'!$F$37*'Resumen Capacidad'!$F$73</f>
        <v>2</v>
      </c>
      <c r="L821" s="204">
        <f>'Resumen Capacidad'!$F$37*'Resumen Capacidad'!$F$73</f>
        <v>2</v>
      </c>
      <c r="M821" s="204">
        <f>'Resumen Capacidad'!$F$37*'Resumen Capacidad'!$F$73</f>
        <v>2</v>
      </c>
      <c r="N821" s="204">
        <f>'Resumen Capacidad'!$F$37*'Resumen Capacidad'!$F$73</f>
        <v>2</v>
      </c>
      <c r="O821" s="5"/>
      <c r="P821" s="5"/>
      <c r="Q821" s="5"/>
      <c r="R821" s="5"/>
      <c r="S821" s="5"/>
      <c r="T821" s="5"/>
      <c r="U821" s="5"/>
      <c r="V821" s="5"/>
      <c r="W821" s="5"/>
      <c r="X821" s="5"/>
      <c r="Y821" s="5"/>
      <c r="Z821" s="5"/>
    </row>
    <row r="822" ht="12.0" customHeight="1">
      <c r="A822" s="92" t="s">
        <v>642</v>
      </c>
      <c r="B822" s="5"/>
      <c r="C822" s="204">
        <f t="shared" ref="C822:N822" si="242">C820*C821</f>
        <v>127.296</v>
      </c>
      <c r="D822" s="204">
        <f t="shared" si="242"/>
        <v>127.296</v>
      </c>
      <c r="E822" s="204">
        <f t="shared" si="242"/>
        <v>127.296</v>
      </c>
      <c r="F822" s="204">
        <f t="shared" si="242"/>
        <v>127.296</v>
      </c>
      <c r="G822" s="204">
        <f t="shared" si="242"/>
        <v>127.296</v>
      </c>
      <c r="H822" s="204">
        <f t="shared" si="242"/>
        <v>127.296</v>
      </c>
      <c r="I822" s="204">
        <f t="shared" si="242"/>
        <v>127.296</v>
      </c>
      <c r="J822" s="204">
        <f t="shared" si="242"/>
        <v>127.296</v>
      </c>
      <c r="K822" s="204">
        <f t="shared" si="242"/>
        <v>127.296</v>
      </c>
      <c r="L822" s="204">
        <f t="shared" si="242"/>
        <v>127.296</v>
      </c>
      <c r="M822" s="204">
        <f t="shared" si="242"/>
        <v>127.296</v>
      </c>
      <c r="N822" s="204">
        <f t="shared" si="242"/>
        <v>127.296</v>
      </c>
      <c r="O822" s="5"/>
      <c r="P822" s="5"/>
      <c r="Q822" s="5"/>
      <c r="R822" s="5"/>
      <c r="S822" s="5"/>
      <c r="T822" s="5"/>
      <c r="U822" s="5"/>
      <c r="V822" s="5"/>
      <c r="W822" s="5"/>
      <c r="X822" s="5"/>
      <c r="Y822" s="5"/>
      <c r="Z822" s="5"/>
    </row>
    <row r="823" ht="12.0" customHeight="1">
      <c r="A823" s="92" t="s">
        <v>643</v>
      </c>
      <c r="B823" s="5"/>
      <c r="C823" s="206">
        <f t="shared" ref="C823:N823" si="243">IF(C822=0,0,C819/C822)</f>
        <v>0.5254430618</v>
      </c>
      <c r="D823" s="206">
        <f t="shared" si="243"/>
        <v>0.4008358472</v>
      </c>
      <c r="E823" s="206">
        <f t="shared" si="243"/>
        <v>0.3750583941</v>
      </c>
      <c r="F823" s="206">
        <f t="shared" si="243"/>
        <v>0.3587928922</v>
      </c>
      <c r="G823" s="206">
        <f t="shared" si="243"/>
        <v>0.3357738395</v>
      </c>
      <c r="H823" s="206">
        <f t="shared" si="243"/>
        <v>0.3290202887</v>
      </c>
      <c r="I823" s="206">
        <f t="shared" si="243"/>
        <v>0.3520393414</v>
      </c>
      <c r="J823" s="206">
        <f t="shared" si="243"/>
        <v>0.3520393414</v>
      </c>
      <c r="K823" s="206">
        <f t="shared" si="243"/>
        <v>0.3520393414</v>
      </c>
      <c r="L823" s="206">
        <f t="shared" si="243"/>
        <v>0.3452857906</v>
      </c>
      <c r="M823" s="206">
        <f t="shared" si="243"/>
        <v>0.3385322398</v>
      </c>
      <c r="N823" s="206">
        <f t="shared" si="243"/>
        <v>0.5389501634</v>
      </c>
      <c r="O823" s="5"/>
      <c r="P823" s="5"/>
      <c r="Q823" s="5"/>
      <c r="R823" s="5"/>
      <c r="S823" s="5"/>
      <c r="T823" s="5"/>
      <c r="U823" s="5"/>
      <c r="V823" s="5"/>
      <c r="W823" s="5"/>
      <c r="X823" s="5"/>
      <c r="Y823" s="5"/>
      <c r="Z823" s="5"/>
    </row>
    <row r="824" ht="12.0" customHeight="1">
      <c r="A824" s="201" t="s">
        <v>666</v>
      </c>
      <c r="B824" s="202"/>
      <c r="C824" s="202"/>
      <c r="D824" s="202"/>
      <c r="E824" s="202"/>
      <c r="F824" s="202"/>
      <c r="G824" s="202"/>
      <c r="H824" s="202"/>
      <c r="I824" s="202"/>
      <c r="J824" s="202"/>
      <c r="K824" s="202"/>
      <c r="L824" s="202"/>
      <c r="M824" s="202"/>
      <c r="N824" s="202"/>
      <c r="O824" s="5"/>
      <c r="P824" s="5"/>
      <c r="Q824" s="5"/>
      <c r="R824" s="5"/>
      <c r="S824" s="5"/>
      <c r="T824" s="5"/>
      <c r="U824" s="5"/>
      <c r="V824" s="5"/>
      <c r="W824" s="5"/>
      <c r="X824" s="5"/>
      <c r="Y824" s="5"/>
      <c r="Z824" s="5"/>
    </row>
    <row r="825" ht="12.0" customHeight="1">
      <c r="A825" s="201" t="s">
        <v>630</v>
      </c>
      <c r="B825" s="201" t="s">
        <v>631</v>
      </c>
      <c r="C825" s="201" t="s">
        <v>3</v>
      </c>
      <c r="D825" s="201" t="s">
        <v>4</v>
      </c>
      <c r="E825" s="201" t="s">
        <v>5</v>
      </c>
      <c r="F825" s="201" t="s">
        <v>6</v>
      </c>
      <c r="G825" s="201" t="s">
        <v>7</v>
      </c>
      <c r="H825" s="201" t="s">
        <v>8</v>
      </c>
      <c r="I825" s="201" t="s">
        <v>9</v>
      </c>
      <c r="J825" s="201" t="s">
        <v>10</v>
      </c>
      <c r="K825" s="201" t="s">
        <v>11</v>
      </c>
      <c r="L825" s="201" t="s">
        <v>12</v>
      </c>
      <c r="M825" s="201" t="s">
        <v>13</v>
      </c>
      <c r="N825" s="201" t="s">
        <v>14</v>
      </c>
      <c r="O825" s="5"/>
      <c r="P825" s="5"/>
      <c r="Q825" s="5"/>
      <c r="R825" s="5"/>
      <c r="S825" s="5"/>
      <c r="T825" s="5"/>
      <c r="U825" s="5"/>
      <c r="V825" s="5"/>
      <c r="W825" s="5"/>
      <c r="X825" s="5"/>
      <c r="Y825" s="5"/>
      <c r="Z825" s="5"/>
    </row>
    <row r="826" ht="12.0" customHeight="1">
      <c r="A826" s="92" t="s">
        <v>632</v>
      </c>
      <c r="B826" s="92" t="s">
        <v>633</v>
      </c>
      <c r="C826" s="203">
        <f>SUM('2030'!B6:B9)+SUM('2030'!B17:B20)</f>
        <v>10033.02</v>
      </c>
      <c r="D826" s="203">
        <f>SUM('2030'!C6:C9)+SUM('2030'!C17:C20)</f>
        <v>7653.72</v>
      </c>
      <c r="E826" s="203">
        <f>SUM('2030'!D6:D9)+SUM('2030'!D17:D20)</f>
        <v>7161.515</v>
      </c>
      <c r="F826" s="203">
        <f>SUM('2030'!E6:E9)+SUM('2030'!E17:E20)</f>
        <v>6850.935</v>
      </c>
      <c r="G826" s="203">
        <f>SUM('2030'!F6:F9)+SUM('2030'!F17:F20)</f>
        <v>6411.4</v>
      </c>
      <c r="H826" s="203">
        <f>SUM('2030'!G6:G9)+SUM('2030'!G17:G20)</f>
        <v>6282.445</v>
      </c>
      <c r="I826" s="203">
        <f>SUM('2030'!H6:H9)+SUM('2030'!H17:H20)</f>
        <v>6721.98</v>
      </c>
      <c r="J826" s="203">
        <f>SUM('2030'!I6:I9)+SUM('2030'!I17:I20)</f>
        <v>6721.98</v>
      </c>
      <c r="K826" s="203">
        <f>SUM('2030'!J6:J9)+SUM('2030'!J17:J20)</f>
        <v>6721.98</v>
      </c>
      <c r="L826" s="203">
        <f>SUM('2030'!K6:K9)+SUM('2030'!K17:K20)</f>
        <v>6593.025</v>
      </c>
      <c r="M826" s="203">
        <f>SUM('2030'!L6:L9)+SUM('2030'!L17:L20)</f>
        <v>6464.07</v>
      </c>
      <c r="N826" s="203">
        <f>SUM('2030'!M6:M9)+SUM('2030'!M17:M20)</f>
        <v>10290.93</v>
      </c>
      <c r="O826" s="5"/>
      <c r="P826" s="5"/>
      <c r="Q826" s="5"/>
      <c r="R826" s="5"/>
      <c r="S826" s="5"/>
      <c r="T826" s="5"/>
      <c r="U826" s="5"/>
      <c r="V826" s="5"/>
      <c r="W826" s="5"/>
      <c r="X826" s="5"/>
      <c r="Y826" s="5"/>
      <c r="Z826" s="5"/>
    </row>
    <row r="827" ht="12.0" customHeight="1">
      <c r="A827" s="5"/>
      <c r="B827" s="92" t="s">
        <v>634</v>
      </c>
      <c r="C827" s="204">
        <f>C826/Parametros!$B$37</f>
        <v>501.651</v>
      </c>
      <c r="D827" s="204">
        <f>D826/Parametros!$B$37</f>
        <v>382.686</v>
      </c>
      <c r="E827" s="204">
        <f>E826/Parametros!$B$37</f>
        <v>358.07575</v>
      </c>
      <c r="F827" s="204">
        <f>F826/Parametros!$B$37</f>
        <v>342.54675</v>
      </c>
      <c r="G827" s="204">
        <f>G826/Parametros!$B$37</f>
        <v>320.57</v>
      </c>
      <c r="H827" s="204">
        <f>H826/Parametros!$B$37</f>
        <v>314.12225</v>
      </c>
      <c r="I827" s="204">
        <f>I826/Parametros!$B$37</f>
        <v>336.099</v>
      </c>
      <c r="J827" s="204">
        <f>J826/Parametros!$B$37</f>
        <v>336.099</v>
      </c>
      <c r="K827" s="204">
        <f>K826/Parametros!$B$37</f>
        <v>336.099</v>
      </c>
      <c r="L827" s="204">
        <f>L826/Parametros!$B$37</f>
        <v>329.65125</v>
      </c>
      <c r="M827" s="204">
        <f>M826/Parametros!$B$37</f>
        <v>323.2035</v>
      </c>
      <c r="N827" s="204">
        <f>N826/Parametros!$B$37</f>
        <v>514.5465</v>
      </c>
      <c r="O827" s="5"/>
      <c r="P827" s="5"/>
      <c r="Q827" s="5"/>
      <c r="R827" s="5"/>
      <c r="S827" s="5"/>
      <c r="T827" s="5"/>
      <c r="U827" s="5"/>
      <c r="V827" s="5"/>
      <c r="W827" s="5"/>
      <c r="X827" s="5"/>
      <c r="Y827" s="5"/>
      <c r="Z827" s="5"/>
    </row>
    <row r="828" ht="12.0" customHeight="1">
      <c r="A828" s="5"/>
      <c r="B828" s="92" t="s">
        <v>635</v>
      </c>
      <c r="C828" s="204">
        <f>C827/Parametros!$J$37</f>
        <v>66.8868</v>
      </c>
      <c r="D828" s="204">
        <f>D827/Parametros!$J$37</f>
        <v>51.0248</v>
      </c>
      <c r="E828" s="204">
        <f>E827/Parametros!$J$37</f>
        <v>47.74343333</v>
      </c>
      <c r="F828" s="204">
        <f>F827/Parametros!$J$37</f>
        <v>45.6729</v>
      </c>
      <c r="G828" s="204">
        <f>G827/Parametros!$J$37</f>
        <v>42.74266667</v>
      </c>
      <c r="H828" s="204">
        <f>H827/Parametros!$J$37</f>
        <v>41.88296667</v>
      </c>
      <c r="I828" s="204">
        <f>I827/Parametros!$J$37</f>
        <v>44.8132</v>
      </c>
      <c r="J828" s="204">
        <f>J827/Parametros!$J$37</f>
        <v>44.8132</v>
      </c>
      <c r="K828" s="204">
        <f>K827/Parametros!$J$37</f>
        <v>44.8132</v>
      </c>
      <c r="L828" s="204">
        <f>L827/Parametros!$J$37</f>
        <v>43.9535</v>
      </c>
      <c r="M828" s="204">
        <f>M827/Parametros!$J$37</f>
        <v>43.0938</v>
      </c>
      <c r="N828" s="204">
        <f>N827/Parametros!$J$37</f>
        <v>68.6062</v>
      </c>
      <c r="O828" s="5"/>
      <c r="P828" s="5"/>
      <c r="Q828" s="5"/>
      <c r="R828" s="5"/>
      <c r="S828" s="5"/>
      <c r="T828" s="5"/>
      <c r="U828" s="5"/>
      <c r="V828" s="5"/>
      <c r="W828" s="5"/>
      <c r="X828" s="5"/>
      <c r="Y828" s="5"/>
      <c r="Z828" s="5"/>
    </row>
    <row r="829" ht="12.0" customHeight="1">
      <c r="A829" s="92" t="s">
        <v>636</v>
      </c>
      <c r="B829" s="5"/>
      <c r="C829" s="204">
        <f t="shared" ref="C829:N829" si="244">C828</f>
        <v>66.8868</v>
      </c>
      <c r="D829" s="204">
        <f t="shared" si="244"/>
        <v>51.0248</v>
      </c>
      <c r="E829" s="204">
        <f t="shared" si="244"/>
        <v>47.74343333</v>
      </c>
      <c r="F829" s="204">
        <f t="shared" si="244"/>
        <v>45.6729</v>
      </c>
      <c r="G829" s="204">
        <f t="shared" si="244"/>
        <v>42.74266667</v>
      </c>
      <c r="H829" s="204">
        <f t="shared" si="244"/>
        <v>41.88296667</v>
      </c>
      <c r="I829" s="204">
        <f t="shared" si="244"/>
        <v>44.8132</v>
      </c>
      <c r="J829" s="204">
        <f t="shared" si="244"/>
        <v>44.8132</v>
      </c>
      <c r="K829" s="204">
        <f t="shared" si="244"/>
        <v>44.8132</v>
      </c>
      <c r="L829" s="204">
        <f t="shared" si="244"/>
        <v>43.9535</v>
      </c>
      <c r="M829" s="204">
        <f t="shared" si="244"/>
        <v>43.0938</v>
      </c>
      <c r="N829" s="204">
        <f t="shared" si="244"/>
        <v>68.6062</v>
      </c>
      <c r="O829" s="5"/>
      <c r="P829" s="5"/>
      <c r="Q829" s="5"/>
      <c r="R829" s="5"/>
      <c r="S829" s="5"/>
      <c r="T829" s="5"/>
      <c r="U829" s="5"/>
      <c r="V829" s="5"/>
      <c r="W829" s="5"/>
      <c r="X829" s="5"/>
      <c r="Y829" s="5"/>
      <c r="Z829" s="5"/>
    </row>
    <row r="830" ht="12.0" customHeight="1">
      <c r="A830" s="92" t="s">
        <v>637</v>
      </c>
      <c r="B830" s="5"/>
      <c r="C830" s="205">
        <f>'Resumen Capacidad'!$F$120</f>
        <v>86.65142857</v>
      </c>
      <c r="D830" s="205">
        <f>'Resumen Capacidad'!$F$120</f>
        <v>86.65142857</v>
      </c>
      <c r="E830" s="205">
        <f>'Resumen Capacidad'!$F$120</f>
        <v>86.65142857</v>
      </c>
      <c r="F830" s="205">
        <f>'Resumen Capacidad'!$F$120</f>
        <v>86.65142857</v>
      </c>
      <c r="G830" s="205">
        <f>'Resumen Capacidad'!$F$120</f>
        <v>86.65142857</v>
      </c>
      <c r="H830" s="205">
        <f>'Resumen Capacidad'!$F$120</f>
        <v>86.65142857</v>
      </c>
      <c r="I830" s="205">
        <f>'Resumen Capacidad'!$F$120</f>
        <v>86.65142857</v>
      </c>
      <c r="J830" s="205">
        <f>'Resumen Capacidad'!$F$120</f>
        <v>86.65142857</v>
      </c>
      <c r="K830" s="205">
        <f>'Resumen Capacidad'!$F$120</f>
        <v>86.65142857</v>
      </c>
      <c r="L830" s="205">
        <f>'Resumen Capacidad'!$F$120</f>
        <v>86.65142857</v>
      </c>
      <c r="M830" s="205">
        <f>'Resumen Capacidad'!$F$120</f>
        <v>86.65142857</v>
      </c>
      <c r="N830" s="205">
        <f>'Resumen Capacidad'!$F$120</f>
        <v>86.65142857</v>
      </c>
      <c r="O830" s="5"/>
      <c r="P830" s="5"/>
      <c r="Q830" s="5"/>
      <c r="R830" s="5"/>
      <c r="S830" s="5"/>
      <c r="T830" s="5"/>
      <c r="U830" s="5"/>
      <c r="V830" s="5"/>
      <c r="W830" s="5"/>
      <c r="X830" s="5"/>
      <c r="Y830" s="5"/>
      <c r="Z830" s="5"/>
    </row>
    <row r="831" ht="12.0" customHeight="1">
      <c r="A831" s="92" t="s">
        <v>640</v>
      </c>
      <c r="B831" s="5"/>
      <c r="C831" s="204">
        <f>'Resumen Capacidad'!$F$38*'Resumen Capacidad'!$F$74</f>
        <v>1</v>
      </c>
      <c r="D831" s="204">
        <f>'Resumen Capacidad'!$F$38*'Resumen Capacidad'!$F$74</f>
        <v>1</v>
      </c>
      <c r="E831" s="204">
        <f>'Resumen Capacidad'!$F$38*'Resumen Capacidad'!$F$74</f>
        <v>1</v>
      </c>
      <c r="F831" s="204">
        <f>'Resumen Capacidad'!$F$38*'Resumen Capacidad'!$F$74</f>
        <v>1</v>
      </c>
      <c r="G831" s="204">
        <f>'Resumen Capacidad'!$F$38*'Resumen Capacidad'!$F$74</f>
        <v>1</v>
      </c>
      <c r="H831" s="204">
        <f>'Resumen Capacidad'!$F$38*'Resumen Capacidad'!$F$74</f>
        <v>1</v>
      </c>
      <c r="I831" s="204">
        <f>'Resumen Capacidad'!$F$38*'Resumen Capacidad'!$F$74</f>
        <v>1</v>
      </c>
      <c r="J831" s="204">
        <f>'Resumen Capacidad'!$F$38*'Resumen Capacidad'!$F$74</f>
        <v>1</v>
      </c>
      <c r="K831" s="204">
        <f>'Resumen Capacidad'!$F$38*'Resumen Capacidad'!$F$74</f>
        <v>1</v>
      </c>
      <c r="L831" s="204">
        <f>'Resumen Capacidad'!$F$38*'Resumen Capacidad'!$F$74</f>
        <v>1</v>
      </c>
      <c r="M831" s="204">
        <f>'Resumen Capacidad'!$F$38*'Resumen Capacidad'!$F$74</f>
        <v>1</v>
      </c>
      <c r="N831" s="204">
        <f>'Resumen Capacidad'!$F$38*'Resumen Capacidad'!$F$74</f>
        <v>1</v>
      </c>
      <c r="O831" s="5"/>
      <c r="P831" s="5"/>
      <c r="Q831" s="5"/>
      <c r="R831" s="5"/>
      <c r="S831" s="5"/>
      <c r="T831" s="5"/>
      <c r="U831" s="5"/>
      <c r="V831" s="5"/>
      <c r="W831" s="5"/>
      <c r="X831" s="5"/>
      <c r="Y831" s="5"/>
      <c r="Z831" s="5"/>
    </row>
    <row r="832" ht="12.0" customHeight="1">
      <c r="A832" s="92" t="s">
        <v>642</v>
      </c>
      <c r="B832" s="5"/>
      <c r="C832" s="204">
        <f t="shared" ref="C832:N832" si="245">C830*C831</f>
        <v>86.65142857</v>
      </c>
      <c r="D832" s="204">
        <f t="shared" si="245"/>
        <v>86.65142857</v>
      </c>
      <c r="E832" s="204">
        <f t="shared" si="245"/>
        <v>86.65142857</v>
      </c>
      <c r="F832" s="204">
        <f t="shared" si="245"/>
        <v>86.65142857</v>
      </c>
      <c r="G832" s="204">
        <f t="shared" si="245"/>
        <v>86.65142857</v>
      </c>
      <c r="H832" s="204">
        <f t="shared" si="245"/>
        <v>86.65142857</v>
      </c>
      <c r="I832" s="204">
        <f t="shared" si="245"/>
        <v>86.65142857</v>
      </c>
      <c r="J832" s="204">
        <f t="shared" si="245"/>
        <v>86.65142857</v>
      </c>
      <c r="K832" s="204">
        <f t="shared" si="245"/>
        <v>86.65142857</v>
      </c>
      <c r="L832" s="204">
        <f t="shared" si="245"/>
        <v>86.65142857</v>
      </c>
      <c r="M832" s="204">
        <f t="shared" si="245"/>
        <v>86.65142857</v>
      </c>
      <c r="N832" s="204">
        <f t="shared" si="245"/>
        <v>86.65142857</v>
      </c>
      <c r="O832" s="5"/>
      <c r="P832" s="5"/>
      <c r="Q832" s="5"/>
      <c r="R832" s="5"/>
      <c r="S832" s="5"/>
      <c r="T832" s="5"/>
      <c r="U832" s="5"/>
      <c r="V832" s="5"/>
      <c r="W832" s="5"/>
      <c r="X832" s="5"/>
      <c r="Y832" s="5"/>
      <c r="Z832" s="5"/>
    </row>
    <row r="833" ht="12.0" customHeight="1">
      <c r="A833" s="92" t="s">
        <v>643</v>
      </c>
      <c r="B833" s="5"/>
      <c r="C833" s="206">
        <f t="shared" ref="C833:N833" si="246">IF(C832=0,0,C829/C832)</f>
        <v>0.7719064891</v>
      </c>
      <c r="D833" s="206">
        <f t="shared" si="246"/>
        <v>0.5888512266</v>
      </c>
      <c r="E833" s="206">
        <f t="shared" si="246"/>
        <v>0.5509826453</v>
      </c>
      <c r="F833" s="206">
        <f t="shared" si="246"/>
        <v>0.5270876748</v>
      </c>
      <c r="G833" s="206">
        <f t="shared" si="246"/>
        <v>0.4932713444</v>
      </c>
      <c r="H833" s="206">
        <f t="shared" si="246"/>
        <v>0.4833499846</v>
      </c>
      <c r="I833" s="206">
        <f t="shared" si="246"/>
        <v>0.517166315</v>
      </c>
      <c r="J833" s="206">
        <f t="shared" si="246"/>
        <v>0.517166315</v>
      </c>
      <c r="K833" s="206">
        <f t="shared" si="246"/>
        <v>0.517166315</v>
      </c>
      <c r="L833" s="206">
        <f t="shared" si="246"/>
        <v>0.5072449552</v>
      </c>
      <c r="M833" s="206">
        <f t="shared" si="246"/>
        <v>0.4973235954</v>
      </c>
      <c r="N833" s="206">
        <f t="shared" si="246"/>
        <v>0.7917492087</v>
      </c>
      <c r="O833" s="5"/>
      <c r="P833" s="5"/>
      <c r="Q833" s="5"/>
      <c r="R833" s="5"/>
      <c r="S833" s="5"/>
      <c r="T833" s="5"/>
      <c r="U833" s="5"/>
      <c r="V833" s="5"/>
      <c r="W833" s="5"/>
      <c r="X833" s="5"/>
      <c r="Y833" s="5"/>
      <c r="Z833" s="5"/>
    </row>
    <row r="834" ht="12.0" customHeight="1">
      <c r="A834" s="201" t="s">
        <v>671</v>
      </c>
      <c r="B834" s="202"/>
      <c r="C834" s="202"/>
      <c r="D834" s="202"/>
      <c r="E834" s="202"/>
      <c r="F834" s="202"/>
      <c r="G834" s="202"/>
      <c r="H834" s="202"/>
      <c r="I834" s="202"/>
      <c r="J834" s="202"/>
      <c r="K834" s="202"/>
      <c r="L834" s="202"/>
      <c r="M834" s="202"/>
      <c r="N834" s="202"/>
      <c r="O834" s="5"/>
      <c r="P834" s="5"/>
      <c r="Q834" s="5"/>
      <c r="R834" s="5"/>
      <c r="S834" s="5"/>
      <c r="T834" s="5"/>
      <c r="U834" s="5"/>
      <c r="V834" s="5"/>
      <c r="W834" s="5"/>
      <c r="X834" s="5"/>
      <c r="Y834" s="5"/>
      <c r="Z834" s="5"/>
    </row>
    <row r="835" ht="12.0" customHeight="1">
      <c r="A835" s="201" t="s">
        <v>630</v>
      </c>
      <c r="B835" s="201" t="s">
        <v>631</v>
      </c>
      <c r="C835" s="201" t="s">
        <v>3</v>
      </c>
      <c r="D835" s="201" t="s">
        <v>4</v>
      </c>
      <c r="E835" s="201" t="s">
        <v>5</v>
      </c>
      <c r="F835" s="201" t="s">
        <v>6</v>
      </c>
      <c r="G835" s="201" t="s">
        <v>7</v>
      </c>
      <c r="H835" s="201" t="s">
        <v>8</v>
      </c>
      <c r="I835" s="201" t="s">
        <v>9</v>
      </c>
      <c r="J835" s="201" t="s">
        <v>10</v>
      </c>
      <c r="K835" s="201" t="s">
        <v>11</v>
      </c>
      <c r="L835" s="201" t="s">
        <v>12</v>
      </c>
      <c r="M835" s="201" t="s">
        <v>13</v>
      </c>
      <c r="N835" s="201" t="s">
        <v>14</v>
      </c>
      <c r="O835" s="5"/>
      <c r="P835" s="5"/>
      <c r="Q835" s="5"/>
      <c r="R835" s="5"/>
      <c r="S835" s="5"/>
      <c r="T835" s="5"/>
      <c r="U835" s="5"/>
      <c r="V835" s="5"/>
      <c r="W835" s="5"/>
      <c r="X835" s="5"/>
      <c r="Y835" s="5"/>
      <c r="Z835" s="5"/>
    </row>
    <row r="836" ht="12.0" customHeight="1">
      <c r="A836" s="92" t="s">
        <v>651</v>
      </c>
      <c r="B836" s="92" t="s">
        <v>633</v>
      </c>
      <c r="C836" s="203">
        <f>SUM('2030'!B7:B9)+SUM('2030'!B18:B20)</f>
        <v>2579.1</v>
      </c>
      <c r="D836" s="203">
        <f>SUM('2030'!C7:C9)+SUM('2030'!C18:C20)</f>
        <v>2063.28</v>
      </c>
      <c r="E836" s="203">
        <f>SUM('2030'!D7:D9)+SUM('2030'!D18:D20)</f>
        <v>2192.235</v>
      </c>
      <c r="F836" s="203">
        <f>SUM('2030'!E7:E9)+SUM('2030'!E18:E20)</f>
        <v>2192.235</v>
      </c>
      <c r="G836" s="203">
        <f>SUM('2030'!F7:F9)+SUM('2030'!F18:F20)</f>
        <v>2063.28</v>
      </c>
      <c r="H836" s="203">
        <f>SUM('2030'!G7:G9)+SUM('2030'!G18:G20)</f>
        <v>1934.325</v>
      </c>
      <c r="I836" s="203">
        <f>SUM('2030'!H7:H9)+SUM('2030'!H18:H20)</f>
        <v>2063.28</v>
      </c>
      <c r="J836" s="203">
        <f>SUM('2030'!I7:I9)+SUM('2030'!I18:I20)</f>
        <v>2063.28</v>
      </c>
      <c r="K836" s="203">
        <f>SUM('2030'!J7:J9)+SUM('2030'!J18:J20)</f>
        <v>2063.28</v>
      </c>
      <c r="L836" s="203">
        <f>SUM('2030'!K7:K9)+SUM('2030'!K18:K20)</f>
        <v>1934.325</v>
      </c>
      <c r="M836" s="203">
        <f>SUM('2030'!L7:L9)+SUM('2030'!L18:L20)</f>
        <v>1805.37</v>
      </c>
      <c r="N836" s="203">
        <f>SUM('2030'!M7:M9)+SUM('2030'!M18:M20)</f>
        <v>2837.01</v>
      </c>
      <c r="O836" s="5"/>
      <c r="P836" s="5"/>
      <c r="Q836" s="5"/>
      <c r="R836" s="5"/>
      <c r="S836" s="5"/>
      <c r="T836" s="5"/>
      <c r="U836" s="5"/>
      <c r="V836" s="5"/>
      <c r="W836" s="5"/>
      <c r="X836" s="5"/>
      <c r="Y836" s="5"/>
      <c r="Z836" s="5"/>
    </row>
    <row r="837" ht="12.0" customHeight="1">
      <c r="A837" s="5"/>
      <c r="B837" s="92" t="s">
        <v>634</v>
      </c>
      <c r="C837" s="204">
        <f>C836/Parametros!$B$37</f>
        <v>128.955</v>
      </c>
      <c r="D837" s="204">
        <f>D836/Parametros!$B$37</f>
        <v>103.164</v>
      </c>
      <c r="E837" s="204">
        <f>E836/Parametros!$B$37</f>
        <v>109.61175</v>
      </c>
      <c r="F837" s="204">
        <f>F836/Parametros!$B$37</f>
        <v>109.61175</v>
      </c>
      <c r="G837" s="204">
        <f>G836/Parametros!$B$37</f>
        <v>103.164</v>
      </c>
      <c r="H837" s="204">
        <f>H836/Parametros!$B$37</f>
        <v>96.71625</v>
      </c>
      <c r="I837" s="204">
        <f>I836/Parametros!$B$37</f>
        <v>103.164</v>
      </c>
      <c r="J837" s="204">
        <f>J836/Parametros!$B$37</f>
        <v>103.164</v>
      </c>
      <c r="K837" s="204">
        <f>K836/Parametros!$B$37</f>
        <v>103.164</v>
      </c>
      <c r="L837" s="204">
        <f>L836/Parametros!$B$37</f>
        <v>96.71625</v>
      </c>
      <c r="M837" s="204">
        <f>M836/Parametros!$B$37</f>
        <v>90.2685</v>
      </c>
      <c r="N837" s="204">
        <f>N836/Parametros!$B$37</f>
        <v>141.8505</v>
      </c>
      <c r="O837" s="5"/>
      <c r="P837" s="5"/>
      <c r="Q837" s="5"/>
      <c r="R837" s="5"/>
      <c r="S837" s="5"/>
      <c r="T837" s="5"/>
      <c r="U837" s="5"/>
      <c r="V837" s="5"/>
      <c r="W837" s="5"/>
      <c r="X837" s="5"/>
      <c r="Y837" s="5"/>
      <c r="Z837" s="5"/>
    </row>
    <row r="838" ht="12.0" customHeight="1">
      <c r="A838" s="5"/>
      <c r="B838" s="92" t="s">
        <v>635</v>
      </c>
      <c r="C838" s="204">
        <f>C837/Parametros!$J$37</f>
        <v>17.194</v>
      </c>
      <c r="D838" s="204">
        <f>D837/Parametros!$J$37</f>
        <v>13.7552</v>
      </c>
      <c r="E838" s="204">
        <f>E837/Parametros!$J$37</f>
        <v>14.6149</v>
      </c>
      <c r="F838" s="204">
        <f>F837/Parametros!$J$37</f>
        <v>14.6149</v>
      </c>
      <c r="G838" s="204">
        <f>G837/Parametros!$J$37</f>
        <v>13.7552</v>
      </c>
      <c r="H838" s="204">
        <f>H837/Parametros!$J$37</f>
        <v>12.8955</v>
      </c>
      <c r="I838" s="204">
        <f>I837/Parametros!$J$37</f>
        <v>13.7552</v>
      </c>
      <c r="J838" s="204">
        <f>J837/Parametros!$J$37</f>
        <v>13.7552</v>
      </c>
      <c r="K838" s="204">
        <f>K837/Parametros!$J$37</f>
        <v>13.7552</v>
      </c>
      <c r="L838" s="204">
        <f>L837/Parametros!$J$37</f>
        <v>12.8955</v>
      </c>
      <c r="M838" s="204">
        <f>M837/Parametros!$J$37</f>
        <v>12.0358</v>
      </c>
      <c r="N838" s="204">
        <f>N837/Parametros!$J$37</f>
        <v>18.9134</v>
      </c>
      <c r="O838" s="5"/>
      <c r="P838" s="5"/>
      <c r="Q838" s="5"/>
      <c r="R838" s="5"/>
      <c r="S838" s="5"/>
      <c r="T838" s="5"/>
      <c r="U838" s="5"/>
      <c r="V838" s="5"/>
      <c r="W838" s="5"/>
      <c r="X838" s="5"/>
      <c r="Y838" s="5"/>
      <c r="Z838" s="5"/>
    </row>
    <row r="839" ht="12.0" customHeight="1">
      <c r="A839" s="92" t="s">
        <v>636</v>
      </c>
      <c r="B839" s="5"/>
      <c r="C839" s="204">
        <f t="shared" ref="C839:N839" si="247">C838</f>
        <v>17.194</v>
      </c>
      <c r="D839" s="204">
        <f t="shared" si="247"/>
        <v>13.7552</v>
      </c>
      <c r="E839" s="204">
        <f t="shared" si="247"/>
        <v>14.6149</v>
      </c>
      <c r="F839" s="204">
        <f t="shared" si="247"/>
        <v>14.6149</v>
      </c>
      <c r="G839" s="204">
        <f t="shared" si="247"/>
        <v>13.7552</v>
      </c>
      <c r="H839" s="204">
        <f t="shared" si="247"/>
        <v>12.8955</v>
      </c>
      <c r="I839" s="204">
        <f t="shared" si="247"/>
        <v>13.7552</v>
      </c>
      <c r="J839" s="204">
        <f t="shared" si="247"/>
        <v>13.7552</v>
      </c>
      <c r="K839" s="204">
        <f t="shared" si="247"/>
        <v>13.7552</v>
      </c>
      <c r="L839" s="204">
        <f t="shared" si="247"/>
        <v>12.8955</v>
      </c>
      <c r="M839" s="204">
        <f t="shared" si="247"/>
        <v>12.0358</v>
      </c>
      <c r="N839" s="204">
        <f t="shared" si="247"/>
        <v>18.9134</v>
      </c>
      <c r="O839" s="5"/>
      <c r="P839" s="5"/>
      <c r="Q839" s="5"/>
      <c r="R839" s="5"/>
      <c r="S839" s="5"/>
      <c r="T839" s="5"/>
      <c r="U839" s="5"/>
      <c r="V839" s="5"/>
      <c r="W839" s="5"/>
      <c r="X839" s="5"/>
      <c r="Y839" s="5"/>
      <c r="Z839" s="5"/>
    </row>
    <row r="840" ht="12.0" customHeight="1">
      <c r="A840" s="92" t="s">
        <v>637</v>
      </c>
      <c r="B840" s="5"/>
      <c r="C840" s="205">
        <f>'Resumen Capacidad'!$F$121</f>
        <v>71.1627907</v>
      </c>
      <c r="D840" s="205">
        <f>'Resumen Capacidad'!$F$121</f>
        <v>71.1627907</v>
      </c>
      <c r="E840" s="205">
        <f>'Resumen Capacidad'!$F$121</f>
        <v>71.1627907</v>
      </c>
      <c r="F840" s="205">
        <f>'Resumen Capacidad'!$F$121</f>
        <v>71.1627907</v>
      </c>
      <c r="G840" s="205">
        <f>'Resumen Capacidad'!$F$121</f>
        <v>71.1627907</v>
      </c>
      <c r="H840" s="205">
        <f>'Resumen Capacidad'!$F$121</f>
        <v>71.1627907</v>
      </c>
      <c r="I840" s="205">
        <f>'Resumen Capacidad'!$F$121</f>
        <v>71.1627907</v>
      </c>
      <c r="J840" s="205">
        <f>'Resumen Capacidad'!$F$121</f>
        <v>71.1627907</v>
      </c>
      <c r="K840" s="205">
        <f>'Resumen Capacidad'!$F$121</f>
        <v>71.1627907</v>
      </c>
      <c r="L840" s="205">
        <f>'Resumen Capacidad'!$F$121</f>
        <v>71.1627907</v>
      </c>
      <c r="M840" s="205">
        <f>'Resumen Capacidad'!$F$121</f>
        <v>71.1627907</v>
      </c>
      <c r="N840" s="205">
        <f>'Resumen Capacidad'!$F$121</f>
        <v>71.1627907</v>
      </c>
      <c r="O840" s="5"/>
      <c r="P840" s="5"/>
      <c r="Q840" s="5"/>
      <c r="R840" s="5"/>
      <c r="S840" s="5"/>
      <c r="T840" s="5"/>
      <c r="U840" s="5"/>
      <c r="V840" s="5"/>
      <c r="W840" s="5"/>
      <c r="X840" s="5"/>
      <c r="Y840" s="5"/>
      <c r="Z840" s="5"/>
    </row>
    <row r="841" ht="12.0" customHeight="1">
      <c r="A841" s="92" t="s">
        <v>640</v>
      </c>
      <c r="B841" s="5"/>
      <c r="C841" s="204">
        <f>'Resumen Capacidad'!$F$39*'Resumen Capacidad'!$F$75</f>
        <v>1</v>
      </c>
      <c r="D841" s="204">
        <f>'Resumen Capacidad'!$F$39*'Resumen Capacidad'!$F$75</f>
        <v>1</v>
      </c>
      <c r="E841" s="204">
        <f>'Resumen Capacidad'!$F$39*'Resumen Capacidad'!$F$75</f>
        <v>1</v>
      </c>
      <c r="F841" s="204">
        <f>'Resumen Capacidad'!$F$39*'Resumen Capacidad'!$F$75</f>
        <v>1</v>
      </c>
      <c r="G841" s="204">
        <f>'Resumen Capacidad'!$F$39*'Resumen Capacidad'!$F$75</f>
        <v>1</v>
      </c>
      <c r="H841" s="204">
        <f>'Resumen Capacidad'!$F$39*'Resumen Capacidad'!$F$75</f>
        <v>1</v>
      </c>
      <c r="I841" s="204">
        <f>'Resumen Capacidad'!$F$39*'Resumen Capacidad'!$F$75</f>
        <v>1</v>
      </c>
      <c r="J841" s="204">
        <f>'Resumen Capacidad'!$F$39*'Resumen Capacidad'!$F$75</f>
        <v>1</v>
      </c>
      <c r="K841" s="204">
        <f>'Resumen Capacidad'!$F$39*'Resumen Capacidad'!$F$75</f>
        <v>1</v>
      </c>
      <c r="L841" s="204">
        <f>'Resumen Capacidad'!$F$39*'Resumen Capacidad'!$F$75</f>
        <v>1</v>
      </c>
      <c r="M841" s="204">
        <f>'Resumen Capacidad'!$F$39*'Resumen Capacidad'!$F$75</f>
        <v>1</v>
      </c>
      <c r="N841" s="204">
        <f>'Resumen Capacidad'!$F$39*'Resumen Capacidad'!$F$75</f>
        <v>1</v>
      </c>
      <c r="O841" s="5"/>
      <c r="P841" s="5"/>
      <c r="Q841" s="5"/>
      <c r="R841" s="5"/>
      <c r="S841" s="5"/>
      <c r="T841" s="5"/>
      <c r="U841" s="5"/>
      <c r="V841" s="5"/>
      <c r="W841" s="5"/>
      <c r="X841" s="5"/>
      <c r="Y841" s="5"/>
      <c r="Z841" s="5"/>
    </row>
    <row r="842" ht="12.0" customHeight="1">
      <c r="A842" s="92" t="s">
        <v>642</v>
      </c>
      <c r="B842" s="5"/>
      <c r="C842" s="204">
        <f t="shared" ref="C842:N842" si="248">C840*C841</f>
        <v>71.1627907</v>
      </c>
      <c r="D842" s="204">
        <f t="shared" si="248"/>
        <v>71.1627907</v>
      </c>
      <c r="E842" s="204">
        <f t="shared" si="248"/>
        <v>71.1627907</v>
      </c>
      <c r="F842" s="204">
        <f t="shared" si="248"/>
        <v>71.1627907</v>
      </c>
      <c r="G842" s="204">
        <f t="shared" si="248"/>
        <v>71.1627907</v>
      </c>
      <c r="H842" s="204">
        <f t="shared" si="248"/>
        <v>71.1627907</v>
      </c>
      <c r="I842" s="204">
        <f t="shared" si="248"/>
        <v>71.1627907</v>
      </c>
      <c r="J842" s="204">
        <f t="shared" si="248"/>
        <v>71.1627907</v>
      </c>
      <c r="K842" s="204">
        <f t="shared" si="248"/>
        <v>71.1627907</v>
      </c>
      <c r="L842" s="204">
        <f t="shared" si="248"/>
        <v>71.1627907</v>
      </c>
      <c r="M842" s="204">
        <f t="shared" si="248"/>
        <v>71.1627907</v>
      </c>
      <c r="N842" s="204">
        <f t="shared" si="248"/>
        <v>71.1627907</v>
      </c>
      <c r="O842" s="5"/>
      <c r="P842" s="5"/>
      <c r="Q842" s="5"/>
      <c r="R842" s="5"/>
      <c r="S842" s="5"/>
      <c r="T842" s="5"/>
      <c r="U842" s="5"/>
      <c r="V842" s="5"/>
      <c r="W842" s="5"/>
      <c r="X842" s="5"/>
      <c r="Y842" s="5"/>
      <c r="Z842" s="5"/>
    </row>
    <row r="843" ht="12.0" customHeight="1">
      <c r="A843" s="92" t="s">
        <v>643</v>
      </c>
      <c r="B843" s="5"/>
      <c r="C843" s="206">
        <f t="shared" ref="C843:N843" si="249">IF(C842=0,0,C839/C842)</f>
        <v>0.2416150327</v>
      </c>
      <c r="D843" s="206">
        <f t="shared" si="249"/>
        <v>0.1932920261</v>
      </c>
      <c r="E843" s="206">
        <f t="shared" si="249"/>
        <v>0.2053727778</v>
      </c>
      <c r="F843" s="206">
        <f t="shared" si="249"/>
        <v>0.2053727778</v>
      </c>
      <c r="G843" s="206">
        <f t="shared" si="249"/>
        <v>0.1932920261</v>
      </c>
      <c r="H843" s="206">
        <f t="shared" si="249"/>
        <v>0.1812112745</v>
      </c>
      <c r="I843" s="206">
        <f t="shared" si="249"/>
        <v>0.1932920261</v>
      </c>
      <c r="J843" s="206">
        <f t="shared" si="249"/>
        <v>0.1932920261</v>
      </c>
      <c r="K843" s="206">
        <f t="shared" si="249"/>
        <v>0.1932920261</v>
      </c>
      <c r="L843" s="206">
        <f t="shared" si="249"/>
        <v>0.1812112745</v>
      </c>
      <c r="M843" s="206">
        <f t="shared" si="249"/>
        <v>0.1691305229</v>
      </c>
      <c r="N843" s="206">
        <f t="shared" si="249"/>
        <v>0.2657765359</v>
      </c>
      <c r="O843" s="5"/>
      <c r="P843" s="5"/>
      <c r="Q843" s="5"/>
      <c r="R843" s="5"/>
      <c r="S843" s="5"/>
      <c r="T843" s="5"/>
      <c r="U843" s="5"/>
      <c r="V843" s="5"/>
      <c r="W843" s="5"/>
      <c r="X843" s="5"/>
      <c r="Y843" s="5"/>
      <c r="Z843" s="5"/>
    </row>
    <row r="844" ht="12.0" customHeight="1">
      <c r="A844" s="201" t="s">
        <v>678</v>
      </c>
      <c r="B844" s="202"/>
      <c r="C844" s="202"/>
      <c r="D844" s="202"/>
      <c r="E844" s="202"/>
      <c r="F844" s="202"/>
      <c r="G844" s="202"/>
      <c r="H844" s="202"/>
      <c r="I844" s="202"/>
      <c r="J844" s="202"/>
      <c r="K844" s="202"/>
      <c r="L844" s="202"/>
      <c r="M844" s="202"/>
      <c r="N844" s="202"/>
      <c r="O844" s="5"/>
      <c r="P844" s="5"/>
      <c r="Q844" s="5"/>
      <c r="R844" s="5"/>
      <c r="S844" s="5"/>
      <c r="T844" s="5"/>
      <c r="U844" s="5"/>
      <c r="V844" s="5"/>
      <c r="W844" s="5"/>
      <c r="X844" s="5"/>
      <c r="Y844" s="5"/>
      <c r="Z844" s="5"/>
    </row>
    <row r="845" ht="12.0" customHeight="1">
      <c r="A845" s="201" t="s">
        <v>630</v>
      </c>
      <c r="B845" s="201" t="s">
        <v>631</v>
      </c>
      <c r="C845" s="201" t="s">
        <v>3</v>
      </c>
      <c r="D845" s="201" t="s">
        <v>4</v>
      </c>
      <c r="E845" s="201" t="s">
        <v>5</v>
      </c>
      <c r="F845" s="201" t="s">
        <v>6</v>
      </c>
      <c r="G845" s="201" t="s">
        <v>7</v>
      </c>
      <c r="H845" s="201" t="s">
        <v>8</v>
      </c>
      <c r="I845" s="201" t="s">
        <v>9</v>
      </c>
      <c r="J845" s="201" t="s">
        <v>10</v>
      </c>
      <c r="K845" s="201" t="s">
        <v>11</v>
      </c>
      <c r="L845" s="201" t="s">
        <v>12</v>
      </c>
      <c r="M845" s="201" t="s">
        <v>13</v>
      </c>
      <c r="N845" s="201" t="s">
        <v>14</v>
      </c>
      <c r="O845" s="5"/>
      <c r="P845" s="5"/>
      <c r="Q845" s="5"/>
      <c r="R845" s="5"/>
      <c r="S845" s="5"/>
      <c r="T845" s="5"/>
      <c r="U845" s="5"/>
      <c r="V845" s="5"/>
      <c r="W845" s="5"/>
      <c r="X845" s="5"/>
      <c r="Y845" s="5"/>
      <c r="Z845" s="5"/>
    </row>
    <row r="846" ht="12.0" customHeight="1">
      <c r="A846" s="92" t="s">
        <v>632</v>
      </c>
      <c r="B846" s="92" t="s">
        <v>633</v>
      </c>
      <c r="C846" s="203">
        <f>SUM('2030'!B6:B9)+SUM('2030'!B17:B20)</f>
        <v>10033.02</v>
      </c>
      <c r="D846" s="203">
        <f>SUM('2030'!C6:C9)+SUM('2030'!C17:C20)</f>
        <v>7653.72</v>
      </c>
      <c r="E846" s="203">
        <f>SUM('2030'!D6:D9)+SUM('2030'!D17:D20)</f>
        <v>7161.515</v>
      </c>
      <c r="F846" s="203">
        <f>SUM('2030'!E6:E9)+SUM('2030'!E17:E20)</f>
        <v>6850.935</v>
      </c>
      <c r="G846" s="203">
        <f>SUM('2030'!F6:F9)+SUM('2030'!F17:F20)</f>
        <v>6411.4</v>
      </c>
      <c r="H846" s="203">
        <f>SUM('2030'!G6:G9)+SUM('2030'!G17:G20)</f>
        <v>6282.445</v>
      </c>
      <c r="I846" s="203">
        <f>SUM('2030'!H6:H9)+SUM('2030'!H17:H20)</f>
        <v>6721.98</v>
      </c>
      <c r="J846" s="203">
        <f>SUM('2030'!I6:I9)+SUM('2030'!I17:I20)</f>
        <v>6721.98</v>
      </c>
      <c r="K846" s="203">
        <f>SUM('2030'!J6:J9)+SUM('2030'!J17:J20)</f>
        <v>6721.98</v>
      </c>
      <c r="L846" s="203">
        <f>SUM('2030'!K6:K9)+SUM('2030'!K17:K20)</f>
        <v>6593.025</v>
      </c>
      <c r="M846" s="203">
        <f>SUM('2030'!L6:L9)+SUM('2030'!L17:L20)</f>
        <v>6464.07</v>
      </c>
      <c r="N846" s="203">
        <f>SUM('2030'!M6:M9)+SUM('2030'!M17:M20)</f>
        <v>10290.93</v>
      </c>
      <c r="O846" s="5"/>
      <c r="P846" s="5"/>
      <c r="Q846" s="5"/>
      <c r="R846" s="5"/>
      <c r="S846" s="5"/>
      <c r="T846" s="5"/>
      <c r="U846" s="5"/>
      <c r="V846" s="5"/>
      <c r="W846" s="5"/>
      <c r="X846" s="5"/>
      <c r="Y846" s="5"/>
      <c r="Z846" s="5"/>
    </row>
    <row r="847" ht="12.0" customHeight="1">
      <c r="A847" s="5"/>
      <c r="B847" s="92" t="s">
        <v>634</v>
      </c>
      <c r="C847" s="204">
        <f>C846/Parametros!$B$37</f>
        <v>501.651</v>
      </c>
      <c r="D847" s="204">
        <f>D846/Parametros!$B$37</f>
        <v>382.686</v>
      </c>
      <c r="E847" s="204">
        <f>E846/Parametros!$B$37</f>
        <v>358.07575</v>
      </c>
      <c r="F847" s="204">
        <f>F846/Parametros!$B$37</f>
        <v>342.54675</v>
      </c>
      <c r="G847" s="204">
        <f>G846/Parametros!$B$37</f>
        <v>320.57</v>
      </c>
      <c r="H847" s="204">
        <f>H846/Parametros!$B$37</f>
        <v>314.12225</v>
      </c>
      <c r="I847" s="204">
        <f>I846/Parametros!$B$37</f>
        <v>336.099</v>
      </c>
      <c r="J847" s="204">
        <f>J846/Parametros!$B$37</f>
        <v>336.099</v>
      </c>
      <c r="K847" s="204">
        <f>K846/Parametros!$B$37</f>
        <v>336.099</v>
      </c>
      <c r="L847" s="204">
        <f>L846/Parametros!$B$37</f>
        <v>329.65125</v>
      </c>
      <c r="M847" s="204">
        <f>M846/Parametros!$B$37</f>
        <v>323.2035</v>
      </c>
      <c r="N847" s="204">
        <f>N846/Parametros!$B$37</f>
        <v>514.5465</v>
      </c>
      <c r="O847" s="5"/>
      <c r="P847" s="5"/>
      <c r="Q847" s="5"/>
      <c r="R847" s="5"/>
      <c r="S847" s="5"/>
      <c r="T847" s="5"/>
      <c r="U847" s="5"/>
      <c r="V847" s="5"/>
      <c r="W847" s="5"/>
      <c r="X847" s="5"/>
      <c r="Y847" s="5"/>
      <c r="Z847" s="5"/>
    </row>
    <row r="848" ht="12.0" customHeight="1">
      <c r="A848" s="5"/>
      <c r="B848" s="92" t="s">
        <v>635</v>
      </c>
      <c r="C848" s="204">
        <f>C847/Parametros!$J$37</f>
        <v>66.8868</v>
      </c>
      <c r="D848" s="204">
        <f>D847/Parametros!$J$37</f>
        <v>51.0248</v>
      </c>
      <c r="E848" s="204">
        <f>E847/Parametros!$J$37</f>
        <v>47.74343333</v>
      </c>
      <c r="F848" s="204">
        <f>F847/Parametros!$J$37</f>
        <v>45.6729</v>
      </c>
      <c r="G848" s="204">
        <f>G847/Parametros!$J$37</f>
        <v>42.74266667</v>
      </c>
      <c r="H848" s="204">
        <f>H847/Parametros!$J$37</f>
        <v>41.88296667</v>
      </c>
      <c r="I848" s="204">
        <f>I847/Parametros!$J$37</f>
        <v>44.8132</v>
      </c>
      <c r="J848" s="204">
        <f>J847/Parametros!$J$37</f>
        <v>44.8132</v>
      </c>
      <c r="K848" s="204">
        <f>K847/Parametros!$J$37</f>
        <v>44.8132</v>
      </c>
      <c r="L848" s="204">
        <f>L847/Parametros!$J$37</f>
        <v>43.9535</v>
      </c>
      <c r="M848" s="204">
        <f>M847/Parametros!$J$37</f>
        <v>43.0938</v>
      </c>
      <c r="N848" s="204">
        <f>N847/Parametros!$J$37</f>
        <v>68.6062</v>
      </c>
      <c r="O848" s="5"/>
      <c r="P848" s="5"/>
      <c r="Q848" s="5"/>
      <c r="R848" s="5"/>
      <c r="S848" s="5"/>
      <c r="T848" s="5"/>
      <c r="U848" s="5"/>
      <c r="V848" s="5"/>
      <c r="W848" s="5"/>
      <c r="X848" s="5"/>
      <c r="Y848" s="5"/>
      <c r="Z848" s="5"/>
    </row>
    <row r="849" ht="12.0" customHeight="1">
      <c r="A849" s="92" t="s">
        <v>636</v>
      </c>
      <c r="B849" s="5"/>
      <c r="C849" s="204">
        <f t="shared" ref="C849:N849" si="250">C848</f>
        <v>66.8868</v>
      </c>
      <c r="D849" s="204">
        <f t="shared" si="250"/>
        <v>51.0248</v>
      </c>
      <c r="E849" s="204">
        <f t="shared" si="250"/>
        <v>47.74343333</v>
      </c>
      <c r="F849" s="204">
        <f t="shared" si="250"/>
        <v>45.6729</v>
      </c>
      <c r="G849" s="204">
        <f t="shared" si="250"/>
        <v>42.74266667</v>
      </c>
      <c r="H849" s="204">
        <f t="shared" si="250"/>
        <v>41.88296667</v>
      </c>
      <c r="I849" s="204">
        <f t="shared" si="250"/>
        <v>44.8132</v>
      </c>
      <c r="J849" s="204">
        <f t="shared" si="250"/>
        <v>44.8132</v>
      </c>
      <c r="K849" s="204">
        <f t="shared" si="250"/>
        <v>44.8132</v>
      </c>
      <c r="L849" s="204">
        <f t="shared" si="250"/>
        <v>43.9535</v>
      </c>
      <c r="M849" s="204">
        <f t="shared" si="250"/>
        <v>43.0938</v>
      </c>
      <c r="N849" s="204">
        <f t="shared" si="250"/>
        <v>68.6062</v>
      </c>
      <c r="O849" s="5"/>
      <c r="P849" s="5"/>
      <c r="Q849" s="5"/>
      <c r="R849" s="5"/>
      <c r="S849" s="5"/>
      <c r="T849" s="5"/>
      <c r="U849" s="5"/>
      <c r="V849" s="5"/>
      <c r="W849" s="5"/>
      <c r="X849" s="5"/>
      <c r="Y849" s="5"/>
      <c r="Z849" s="5"/>
    </row>
    <row r="850" ht="12.0" customHeight="1">
      <c r="A850" s="92" t="s">
        <v>637</v>
      </c>
      <c r="B850" s="5"/>
      <c r="C850" s="205">
        <f>'Resumen Capacidad'!$F$122</f>
        <v>192</v>
      </c>
      <c r="D850" s="205">
        <f>'Resumen Capacidad'!$F$122</f>
        <v>192</v>
      </c>
      <c r="E850" s="205">
        <f>'Resumen Capacidad'!$F$122</f>
        <v>192</v>
      </c>
      <c r="F850" s="205">
        <f>'Resumen Capacidad'!$F$122</f>
        <v>192</v>
      </c>
      <c r="G850" s="205">
        <f>'Resumen Capacidad'!$F$122</f>
        <v>192</v>
      </c>
      <c r="H850" s="205">
        <f>'Resumen Capacidad'!$F$122</f>
        <v>192</v>
      </c>
      <c r="I850" s="205">
        <f>'Resumen Capacidad'!$F$122</f>
        <v>192</v>
      </c>
      <c r="J850" s="205">
        <f>'Resumen Capacidad'!$F$122</f>
        <v>192</v>
      </c>
      <c r="K850" s="205">
        <f>'Resumen Capacidad'!$F$122</f>
        <v>192</v>
      </c>
      <c r="L850" s="205">
        <f>'Resumen Capacidad'!$F$122</f>
        <v>192</v>
      </c>
      <c r="M850" s="205">
        <f>'Resumen Capacidad'!$F$122</f>
        <v>192</v>
      </c>
      <c r="N850" s="205">
        <f>'Resumen Capacidad'!$F$122</f>
        <v>192</v>
      </c>
      <c r="O850" s="5"/>
      <c r="P850" s="5"/>
      <c r="Q850" s="5"/>
      <c r="R850" s="5"/>
      <c r="S850" s="5"/>
      <c r="T850" s="5"/>
      <c r="U850" s="5"/>
      <c r="V850" s="5"/>
      <c r="W850" s="5"/>
      <c r="X850" s="5"/>
      <c r="Y850" s="5"/>
      <c r="Z850" s="5"/>
    </row>
    <row r="851" ht="12.0" customHeight="1">
      <c r="A851" s="92" t="s">
        <v>640</v>
      </c>
      <c r="B851" s="5"/>
      <c r="C851" s="204">
        <f>'Resumen Capacidad'!$F$40*'Resumen Capacidad'!$F$76</f>
        <v>1</v>
      </c>
      <c r="D851" s="204">
        <f>'Resumen Capacidad'!$F$40*'Resumen Capacidad'!$F$76</f>
        <v>1</v>
      </c>
      <c r="E851" s="204">
        <f>'Resumen Capacidad'!$F$40*'Resumen Capacidad'!$F$76</f>
        <v>1</v>
      </c>
      <c r="F851" s="204">
        <f>'Resumen Capacidad'!$F$40*'Resumen Capacidad'!$F$76</f>
        <v>1</v>
      </c>
      <c r="G851" s="204">
        <f>'Resumen Capacidad'!$F$40*'Resumen Capacidad'!$F$76</f>
        <v>1</v>
      </c>
      <c r="H851" s="204">
        <f>'Resumen Capacidad'!$F$40*'Resumen Capacidad'!$F$76</f>
        <v>1</v>
      </c>
      <c r="I851" s="204">
        <f>'Resumen Capacidad'!$F$40*'Resumen Capacidad'!$F$76</f>
        <v>1</v>
      </c>
      <c r="J851" s="204">
        <f>'Resumen Capacidad'!$F$40*'Resumen Capacidad'!$F$76</f>
        <v>1</v>
      </c>
      <c r="K851" s="204">
        <f>'Resumen Capacidad'!$F$40*'Resumen Capacidad'!$F$76</f>
        <v>1</v>
      </c>
      <c r="L851" s="204">
        <f>'Resumen Capacidad'!$F$40*'Resumen Capacidad'!$F$76</f>
        <v>1</v>
      </c>
      <c r="M851" s="204">
        <f>'Resumen Capacidad'!$F$40*'Resumen Capacidad'!$F$76</f>
        <v>1</v>
      </c>
      <c r="N851" s="204">
        <f>'Resumen Capacidad'!$F$40*'Resumen Capacidad'!$F$76</f>
        <v>1</v>
      </c>
      <c r="O851" s="5"/>
      <c r="P851" s="5"/>
      <c r="Q851" s="5"/>
      <c r="R851" s="5"/>
      <c r="S851" s="5"/>
      <c r="T851" s="5"/>
      <c r="U851" s="5"/>
      <c r="V851" s="5"/>
      <c r="W851" s="5"/>
      <c r="X851" s="5"/>
      <c r="Y851" s="5"/>
      <c r="Z851" s="5"/>
    </row>
    <row r="852" ht="12.0" customHeight="1">
      <c r="A852" s="92" t="s">
        <v>642</v>
      </c>
      <c r="B852" s="5"/>
      <c r="C852" s="204">
        <f t="shared" ref="C852:N852" si="251">C850*C851</f>
        <v>192</v>
      </c>
      <c r="D852" s="204">
        <f t="shared" si="251"/>
        <v>192</v>
      </c>
      <c r="E852" s="204">
        <f t="shared" si="251"/>
        <v>192</v>
      </c>
      <c r="F852" s="204">
        <f t="shared" si="251"/>
        <v>192</v>
      </c>
      <c r="G852" s="204">
        <f t="shared" si="251"/>
        <v>192</v>
      </c>
      <c r="H852" s="204">
        <f t="shared" si="251"/>
        <v>192</v>
      </c>
      <c r="I852" s="204">
        <f t="shared" si="251"/>
        <v>192</v>
      </c>
      <c r="J852" s="204">
        <f t="shared" si="251"/>
        <v>192</v>
      </c>
      <c r="K852" s="204">
        <f t="shared" si="251"/>
        <v>192</v>
      </c>
      <c r="L852" s="204">
        <f t="shared" si="251"/>
        <v>192</v>
      </c>
      <c r="M852" s="204">
        <f t="shared" si="251"/>
        <v>192</v>
      </c>
      <c r="N852" s="204">
        <f t="shared" si="251"/>
        <v>192</v>
      </c>
      <c r="O852" s="5"/>
      <c r="P852" s="5"/>
      <c r="Q852" s="5"/>
      <c r="R852" s="5"/>
      <c r="S852" s="5"/>
      <c r="T852" s="5"/>
      <c r="U852" s="5"/>
      <c r="V852" s="5"/>
      <c r="W852" s="5"/>
      <c r="X852" s="5"/>
      <c r="Y852" s="5"/>
      <c r="Z852" s="5"/>
    </row>
    <row r="853" ht="12.0" customHeight="1">
      <c r="A853" s="92" t="s">
        <v>643</v>
      </c>
      <c r="B853" s="5"/>
      <c r="C853" s="206">
        <f t="shared" ref="C853:N853" si="252">IF(C852=0,0,C849/C852)</f>
        <v>0.34836875</v>
      </c>
      <c r="D853" s="206">
        <f t="shared" si="252"/>
        <v>0.2657541667</v>
      </c>
      <c r="E853" s="206">
        <f t="shared" si="252"/>
        <v>0.2486637153</v>
      </c>
      <c r="F853" s="206">
        <f t="shared" si="252"/>
        <v>0.2378796875</v>
      </c>
      <c r="G853" s="206">
        <f t="shared" si="252"/>
        <v>0.2226180556</v>
      </c>
      <c r="H853" s="206">
        <f t="shared" si="252"/>
        <v>0.2181404514</v>
      </c>
      <c r="I853" s="206">
        <f t="shared" si="252"/>
        <v>0.2334020833</v>
      </c>
      <c r="J853" s="206">
        <f t="shared" si="252"/>
        <v>0.2334020833</v>
      </c>
      <c r="K853" s="206">
        <f t="shared" si="252"/>
        <v>0.2334020833</v>
      </c>
      <c r="L853" s="206">
        <f t="shared" si="252"/>
        <v>0.2289244792</v>
      </c>
      <c r="M853" s="206">
        <f t="shared" si="252"/>
        <v>0.224446875</v>
      </c>
      <c r="N853" s="206">
        <f t="shared" si="252"/>
        <v>0.3573239583</v>
      </c>
      <c r="O853" s="5"/>
      <c r="P853" s="5"/>
      <c r="Q853" s="5"/>
      <c r="R853" s="5"/>
      <c r="S853" s="5"/>
      <c r="T853" s="5"/>
      <c r="U853" s="5"/>
      <c r="V853" s="5"/>
      <c r="W853" s="5"/>
      <c r="X853" s="5"/>
      <c r="Y853" s="5"/>
      <c r="Z853" s="5"/>
    </row>
    <row r="854" ht="12.0" customHeight="1">
      <c r="A854" s="201" t="s">
        <v>686</v>
      </c>
      <c r="B854" s="202"/>
      <c r="C854" s="202"/>
      <c r="D854" s="202"/>
      <c r="E854" s="202"/>
      <c r="F854" s="202"/>
      <c r="G854" s="202"/>
      <c r="H854" s="202"/>
      <c r="I854" s="202"/>
      <c r="J854" s="202"/>
      <c r="K854" s="202"/>
      <c r="L854" s="202"/>
      <c r="M854" s="202"/>
      <c r="N854" s="202"/>
      <c r="O854" s="5"/>
      <c r="P854" s="5"/>
      <c r="Q854" s="5"/>
      <c r="R854" s="5"/>
      <c r="S854" s="5"/>
      <c r="T854" s="5"/>
      <c r="U854" s="5"/>
      <c r="V854" s="5"/>
      <c r="W854" s="5"/>
      <c r="X854" s="5"/>
      <c r="Y854" s="5"/>
      <c r="Z854" s="5"/>
    </row>
    <row r="855" ht="12.0" customHeight="1">
      <c r="A855" s="201" t="s">
        <v>630</v>
      </c>
      <c r="B855" s="201" t="s">
        <v>631</v>
      </c>
      <c r="C855" s="201" t="s">
        <v>3</v>
      </c>
      <c r="D855" s="201" t="s">
        <v>4</v>
      </c>
      <c r="E855" s="201" t="s">
        <v>5</v>
      </c>
      <c r="F855" s="201" t="s">
        <v>6</v>
      </c>
      <c r="G855" s="201" t="s">
        <v>7</v>
      </c>
      <c r="H855" s="201" t="s">
        <v>8</v>
      </c>
      <c r="I855" s="201" t="s">
        <v>9</v>
      </c>
      <c r="J855" s="201" t="s">
        <v>10</v>
      </c>
      <c r="K855" s="201" t="s">
        <v>11</v>
      </c>
      <c r="L855" s="201" t="s">
        <v>12</v>
      </c>
      <c r="M855" s="201" t="s">
        <v>13</v>
      </c>
      <c r="N855" s="201" t="s">
        <v>14</v>
      </c>
      <c r="O855" s="5"/>
      <c r="P855" s="5"/>
      <c r="Q855" s="5"/>
      <c r="R855" s="5"/>
      <c r="S855" s="5"/>
      <c r="T855" s="5"/>
      <c r="U855" s="5"/>
      <c r="V855" s="5"/>
      <c r="W855" s="5"/>
      <c r="X855" s="5"/>
      <c r="Y855" s="5"/>
      <c r="Z855" s="5"/>
    </row>
    <row r="856" ht="12.0" customHeight="1">
      <c r="A856" s="92" t="s">
        <v>632</v>
      </c>
      <c r="B856" s="92" t="s">
        <v>633</v>
      </c>
      <c r="C856" s="203">
        <f>SUM('2030'!B6:B9)+SUM('2030'!B17:B20)</f>
        <v>10033.02</v>
      </c>
      <c r="D856" s="203">
        <f>SUM('2030'!C6:C9)+SUM('2030'!C17:C20)</f>
        <v>7653.72</v>
      </c>
      <c r="E856" s="203">
        <f>SUM('2030'!D6:D9)+SUM('2030'!D17:D20)</f>
        <v>7161.515</v>
      </c>
      <c r="F856" s="203">
        <f>SUM('2030'!E6:E9)+SUM('2030'!E17:E20)</f>
        <v>6850.935</v>
      </c>
      <c r="G856" s="203">
        <f>SUM('2030'!F6:F9)+SUM('2030'!F17:F20)</f>
        <v>6411.4</v>
      </c>
      <c r="H856" s="203">
        <f>SUM('2030'!G6:G9)+SUM('2030'!G17:G20)</f>
        <v>6282.445</v>
      </c>
      <c r="I856" s="203">
        <f>SUM('2030'!H6:H9)+SUM('2030'!H17:H20)</f>
        <v>6721.98</v>
      </c>
      <c r="J856" s="203">
        <f>SUM('2030'!I6:I9)+SUM('2030'!I17:I20)</f>
        <v>6721.98</v>
      </c>
      <c r="K856" s="203">
        <f>SUM('2030'!J6:J9)+SUM('2030'!J17:J20)</f>
        <v>6721.98</v>
      </c>
      <c r="L856" s="203">
        <f>SUM('2030'!K6:K9)+SUM('2030'!K17:K20)</f>
        <v>6593.025</v>
      </c>
      <c r="M856" s="203">
        <f>SUM('2030'!L6:L9)+SUM('2030'!L17:L20)</f>
        <v>6464.07</v>
      </c>
      <c r="N856" s="203">
        <f>SUM('2030'!M6:M9)+SUM('2030'!M17:M20)</f>
        <v>10290.93</v>
      </c>
      <c r="O856" s="5"/>
      <c r="P856" s="5"/>
      <c r="Q856" s="5"/>
      <c r="R856" s="5"/>
      <c r="S856" s="5"/>
      <c r="T856" s="5"/>
      <c r="U856" s="5"/>
      <c r="V856" s="5"/>
      <c r="W856" s="5"/>
      <c r="X856" s="5"/>
      <c r="Y856" s="5"/>
      <c r="Z856" s="5"/>
    </row>
    <row r="857" ht="12.0" customHeight="1">
      <c r="A857" s="5"/>
      <c r="B857" s="92" t="s">
        <v>634</v>
      </c>
      <c r="C857" s="204">
        <f>C856/Parametros!$B$37</f>
        <v>501.651</v>
      </c>
      <c r="D857" s="204">
        <f>D856/Parametros!$B$37</f>
        <v>382.686</v>
      </c>
      <c r="E857" s="204">
        <f>E856/Parametros!$B$37</f>
        <v>358.07575</v>
      </c>
      <c r="F857" s="204">
        <f>F856/Parametros!$B$37</f>
        <v>342.54675</v>
      </c>
      <c r="G857" s="204">
        <f>G856/Parametros!$B$37</f>
        <v>320.57</v>
      </c>
      <c r="H857" s="204">
        <f>H856/Parametros!$B$37</f>
        <v>314.12225</v>
      </c>
      <c r="I857" s="204">
        <f>I856/Parametros!$B$37</f>
        <v>336.099</v>
      </c>
      <c r="J857" s="204">
        <f>J856/Parametros!$B$37</f>
        <v>336.099</v>
      </c>
      <c r="K857" s="204">
        <f>K856/Parametros!$B$37</f>
        <v>336.099</v>
      </c>
      <c r="L857" s="204">
        <f>L856/Parametros!$B$37</f>
        <v>329.65125</v>
      </c>
      <c r="M857" s="204">
        <f>M856/Parametros!$B$37</f>
        <v>323.2035</v>
      </c>
      <c r="N857" s="204">
        <f>N856/Parametros!$B$37</f>
        <v>514.5465</v>
      </c>
      <c r="O857" s="5"/>
      <c r="P857" s="5"/>
      <c r="Q857" s="5"/>
      <c r="R857" s="5"/>
      <c r="S857" s="5"/>
      <c r="T857" s="5"/>
      <c r="U857" s="5"/>
      <c r="V857" s="5"/>
      <c r="W857" s="5"/>
      <c r="X857" s="5"/>
      <c r="Y857" s="5"/>
      <c r="Z857" s="5"/>
    </row>
    <row r="858" ht="12.0" customHeight="1">
      <c r="A858" s="5"/>
      <c r="B858" s="92" t="s">
        <v>635</v>
      </c>
      <c r="C858" s="204">
        <f>C857/Parametros!$J$37</f>
        <v>66.8868</v>
      </c>
      <c r="D858" s="204">
        <f>D857/Parametros!$J$37</f>
        <v>51.0248</v>
      </c>
      <c r="E858" s="204">
        <f>E857/Parametros!$J$37</f>
        <v>47.74343333</v>
      </c>
      <c r="F858" s="204">
        <f>F857/Parametros!$J$37</f>
        <v>45.6729</v>
      </c>
      <c r="G858" s="204">
        <f>G857/Parametros!$J$37</f>
        <v>42.74266667</v>
      </c>
      <c r="H858" s="204">
        <f>H857/Parametros!$J$37</f>
        <v>41.88296667</v>
      </c>
      <c r="I858" s="204">
        <f>I857/Parametros!$J$37</f>
        <v>44.8132</v>
      </c>
      <c r="J858" s="204">
        <f>J857/Parametros!$J$37</f>
        <v>44.8132</v>
      </c>
      <c r="K858" s="204">
        <f>K857/Parametros!$J$37</f>
        <v>44.8132</v>
      </c>
      <c r="L858" s="204">
        <f>L857/Parametros!$J$37</f>
        <v>43.9535</v>
      </c>
      <c r="M858" s="204">
        <f>M857/Parametros!$J$37</f>
        <v>43.0938</v>
      </c>
      <c r="N858" s="204">
        <f>N857/Parametros!$J$37</f>
        <v>68.6062</v>
      </c>
      <c r="O858" s="5"/>
      <c r="P858" s="5"/>
      <c r="Q858" s="5"/>
      <c r="R858" s="5"/>
      <c r="S858" s="5"/>
      <c r="T858" s="5"/>
      <c r="U858" s="5"/>
      <c r="V858" s="5"/>
      <c r="W858" s="5"/>
      <c r="X858" s="5"/>
      <c r="Y858" s="5"/>
      <c r="Z858" s="5"/>
    </row>
    <row r="859" ht="12.0" customHeight="1">
      <c r="A859" s="92" t="s">
        <v>636</v>
      </c>
      <c r="B859" s="5"/>
      <c r="C859" s="204">
        <f t="shared" ref="C859:N859" si="253">C858</f>
        <v>66.8868</v>
      </c>
      <c r="D859" s="204">
        <f t="shared" si="253"/>
        <v>51.0248</v>
      </c>
      <c r="E859" s="204">
        <f t="shared" si="253"/>
        <v>47.74343333</v>
      </c>
      <c r="F859" s="204">
        <f t="shared" si="253"/>
        <v>45.6729</v>
      </c>
      <c r="G859" s="204">
        <f t="shared" si="253"/>
        <v>42.74266667</v>
      </c>
      <c r="H859" s="204">
        <f t="shared" si="253"/>
        <v>41.88296667</v>
      </c>
      <c r="I859" s="204">
        <f t="shared" si="253"/>
        <v>44.8132</v>
      </c>
      <c r="J859" s="204">
        <f t="shared" si="253"/>
        <v>44.8132</v>
      </c>
      <c r="K859" s="204">
        <f t="shared" si="253"/>
        <v>44.8132</v>
      </c>
      <c r="L859" s="204">
        <f t="shared" si="253"/>
        <v>43.9535</v>
      </c>
      <c r="M859" s="204">
        <f t="shared" si="253"/>
        <v>43.0938</v>
      </c>
      <c r="N859" s="204">
        <f t="shared" si="253"/>
        <v>68.6062</v>
      </c>
      <c r="O859" s="5"/>
      <c r="P859" s="5"/>
      <c r="Q859" s="5"/>
      <c r="R859" s="5"/>
      <c r="S859" s="5"/>
      <c r="T859" s="5"/>
      <c r="U859" s="5"/>
      <c r="V859" s="5"/>
      <c r="W859" s="5"/>
      <c r="X859" s="5"/>
      <c r="Y859" s="5"/>
      <c r="Z859" s="5"/>
    </row>
    <row r="860" ht="12.0" customHeight="1">
      <c r="A860" s="92" t="s">
        <v>637</v>
      </c>
      <c r="B860" s="5"/>
      <c r="C860" s="205">
        <f>'Resumen Capacidad'!$F$124</f>
        <v>136.0227273</v>
      </c>
      <c r="D860" s="205">
        <f>'Resumen Capacidad'!$F$124</f>
        <v>136.0227273</v>
      </c>
      <c r="E860" s="205">
        <f>'Resumen Capacidad'!$F$124</f>
        <v>136.0227273</v>
      </c>
      <c r="F860" s="205">
        <f>'Resumen Capacidad'!$F$124</f>
        <v>136.0227273</v>
      </c>
      <c r="G860" s="205">
        <f>'Resumen Capacidad'!$F$124</f>
        <v>136.0227273</v>
      </c>
      <c r="H860" s="205">
        <f>'Resumen Capacidad'!$F$124</f>
        <v>136.0227273</v>
      </c>
      <c r="I860" s="205">
        <f>'Resumen Capacidad'!$F$124</f>
        <v>136.0227273</v>
      </c>
      <c r="J860" s="205">
        <f>'Resumen Capacidad'!$F$124</f>
        <v>136.0227273</v>
      </c>
      <c r="K860" s="205">
        <f>'Resumen Capacidad'!$F$124</f>
        <v>136.0227273</v>
      </c>
      <c r="L860" s="205">
        <f>'Resumen Capacidad'!$F$124</f>
        <v>136.0227273</v>
      </c>
      <c r="M860" s="205">
        <f>'Resumen Capacidad'!$F$124</f>
        <v>136.0227273</v>
      </c>
      <c r="N860" s="205">
        <f>'Resumen Capacidad'!$F$124</f>
        <v>136.0227273</v>
      </c>
      <c r="O860" s="5"/>
      <c r="P860" s="5"/>
      <c r="Q860" s="5"/>
      <c r="R860" s="5"/>
      <c r="S860" s="5"/>
      <c r="T860" s="5"/>
      <c r="U860" s="5"/>
      <c r="V860" s="5"/>
      <c r="W860" s="5"/>
      <c r="X860" s="5"/>
      <c r="Y860" s="5"/>
      <c r="Z860" s="5"/>
    </row>
    <row r="861" ht="12.0" customHeight="1">
      <c r="A861" s="92" t="s">
        <v>640</v>
      </c>
      <c r="B861" s="5"/>
      <c r="C861" s="204">
        <f>'Resumen Capacidad'!$F$42*'Resumen Capacidad'!$F$78</f>
        <v>1</v>
      </c>
      <c r="D861" s="204">
        <f>'Resumen Capacidad'!$F$42*'Resumen Capacidad'!$F$78</f>
        <v>1</v>
      </c>
      <c r="E861" s="204">
        <f>'Resumen Capacidad'!$F$42*'Resumen Capacidad'!$F$78</f>
        <v>1</v>
      </c>
      <c r="F861" s="204">
        <f>'Resumen Capacidad'!$F$42*'Resumen Capacidad'!$F$78</f>
        <v>1</v>
      </c>
      <c r="G861" s="204">
        <f>'Resumen Capacidad'!$F$42*'Resumen Capacidad'!$F$78</f>
        <v>1</v>
      </c>
      <c r="H861" s="204">
        <f>'Resumen Capacidad'!$F$42*'Resumen Capacidad'!$F$78</f>
        <v>1</v>
      </c>
      <c r="I861" s="204">
        <f>'Resumen Capacidad'!$F$42*'Resumen Capacidad'!$F$78</f>
        <v>1</v>
      </c>
      <c r="J861" s="204">
        <f>'Resumen Capacidad'!$F$42*'Resumen Capacidad'!$F$78</f>
        <v>1</v>
      </c>
      <c r="K861" s="204">
        <f>'Resumen Capacidad'!$F$42*'Resumen Capacidad'!$F$78</f>
        <v>1</v>
      </c>
      <c r="L861" s="204">
        <f>'Resumen Capacidad'!$F$42*'Resumen Capacidad'!$F$78</f>
        <v>1</v>
      </c>
      <c r="M861" s="204">
        <f>'Resumen Capacidad'!$F$42*'Resumen Capacidad'!$F$78</f>
        <v>1</v>
      </c>
      <c r="N861" s="204">
        <f>'Resumen Capacidad'!$F$42*'Resumen Capacidad'!$F$78</f>
        <v>1</v>
      </c>
      <c r="O861" s="5"/>
      <c r="P861" s="5"/>
      <c r="Q861" s="5"/>
      <c r="R861" s="5"/>
      <c r="S861" s="5"/>
      <c r="T861" s="5"/>
      <c r="U861" s="5"/>
      <c r="V861" s="5"/>
      <c r="W861" s="5"/>
      <c r="X861" s="5"/>
      <c r="Y861" s="5"/>
      <c r="Z861" s="5"/>
    </row>
    <row r="862" ht="12.0" customHeight="1">
      <c r="A862" s="92" t="s">
        <v>642</v>
      </c>
      <c r="B862" s="5"/>
      <c r="C862" s="204">
        <f t="shared" ref="C862:N862" si="254">C860*C861</f>
        <v>136.0227273</v>
      </c>
      <c r="D862" s="204">
        <f t="shared" si="254"/>
        <v>136.0227273</v>
      </c>
      <c r="E862" s="204">
        <f t="shared" si="254"/>
        <v>136.0227273</v>
      </c>
      <c r="F862" s="204">
        <f t="shared" si="254"/>
        <v>136.0227273</v>
      </c>
      <c r="G862" s="204">
        <f t="shared" si="254"/>
        <v>136.0227273</v>
      </c>
      <c r="H862" s="204">
        <f t="shared" si="254"/>
        <v>136.0227273</v>
      </c>
      <c r="I862" s="204">
        <f t="shared" si="254"/>
        <v>136.0227273</v>
      </c>
      <c r="J862" s="204">
        <f t="shared" si="254"/>
        <v>136.0227273</v>
      </c>
      <c r="K862" s="204">
        <f t="shared" si="254"/>
        <v>136.0227273</v>
      </c>
      <c r="L862" s="204">
        <f t="shared" si="254"/>
        <v>136.0227273</v>
      </c>
      <c r="M862" s="204">
        <f t="shared" si="254"/>
        <v>136.0227273</v>
      </c>
      <c r="N862" s="204">
        <f t="shared" si="254"/>
        <v>136.0227273</v>
      </c>
      <c r="O862" s="5"/>
      <c r="P862" s="5"/>
      <c r="Q862" s="5"/>
      <c r="R862" s="5"/>
      <c r="S862" s="5"/>
      <c r="T862" s="5"/>
      <c r="U862" s="5"/>
      <c r="V862" s="5"/>
      <c r="W862" s="5"/>
      <c r="X862" s="5"/>
      <c r="Y862" s="5"/>
      <c r="Z862" s="5"/>
    </row>
    <row r="863" ht="12.0" customHeight="1">
      <c r="A863" s="92" t="s">
        <v>643</v>
      </c>
      <c r="B863" s="5"/>
      <c r="C863" s="206">
        <f t="shared" ref="C863:N863" si="255">IF(C862=0,0,C859/C862)</f>
        <v>0.4917325313</v>
      </c>
      <c r="D863" s="206">
        <f t="shared" si="255"/>
        <v>0.3751196658</v>
      </c>
      <c r="E863" s="206">
        <f t="shared" si="255"/>
        <v>0.3509960011</v>
      </c>
      <c r="F863" s="206">
        <f t="shared" si="255"/>
        <v>0.3357740351</v>
      </c>
      <c r="G863" s="206">
        <f t="shared" si="255"/>
        <v>0.3142318017</v>
      </c>
      <c r="H863" s="206">
        <f t="shared" si="255"/>
        <v>0.3079115344</v>
      </c>
      <c r="I863" s="206">
        <f t="shared" si="255"/>
        <v>0.3294537678</v>
      </c>
      <c r="J863" s="206">
        <f t="shared" si="255"/>
        <v>0.3294537678</v>
      </c>
      <c r="K863" s="206">
        <f t="shared" si="255"/>
        <v>0.3294537678</v>
      </c>
      <c r="L863" s="206">
        <f t="shared" si="255"/>
        <v>0.3231335004</v>
      </c>
      <c r="M863" s="206">
        <f t="shared" si="255"/>
        <v>0.3168132331</v>
      </c>
      <c r="N863" s="206">
        <f t="shared" si="255"/>
        <v>0.504373066</v>
      </c>
      <c r="O863" s="5"/>
      <c r="P863" s="5"/>
      <c r="Q863" s="5"/>
      <c r="R863" s="5"/>
      <c r="S863" s="5"/>
      <c r="T863" s="5"/>
      <c r="U863" s="5"/>
      <c r="V863" s="5"/>
      <c r="W863" s="5"/>
      <c r="X863" s="5"/>
      <c r="Y863" s="5"/>
      <c r="Z863" s="5"/>
    </row>
    <row r="864" ht="12.0" customHeight="1">
      <c r="A864" s="201" t="s">
        <v>693</v>
      </c>
      <c r="B864" s="202"/>
      <c r="C864" s="202"/>
      <c r="D864" s="202"/>
      <c r="E864" s="202"/>
      <c r="F864" s="202"/>
      <c r="G864" s="202"/>
      <c r="H864" s="202"/>
      <c r="I864" s="202"/>
      <c r="J864" s="202"/>
      <c r="K864" s="202"/>
      <c r="L864" s="202"/>
      <c r="M864" s="202"/>
      <c r="N864" s="202"/>
      <c r="O864" s="5"/>
      <c r="P864" s="5"/>
      <c r="Q864" s="5"/>
      <c r="R864" s="5"/>
      <c r="S864" s="5"/>
      <c r="T864" s="5"/>
      <c r="U864" s="5"/>
      <c r="V864" s="5"/>
      <c r="W864" s="5"/>
      <c r="X864" s="5"/>
      <c r="Y864" s="5"/>
      <c r="Z864" s="5"/>
    </row>
    <row r="865" ht="12.0" customHeight="1">
      <c r="A865" s="201" t="s">
        <v>630</v>
      </c>
      <c r="B865" s="201" t="s">
        <v>631</v>
      </c>
      <c r="C865" s="201" t="s">
        <v>3</v>
      </c>
      <c r="D865" s="201" t="s">
        <v>4</v>
      </c>
      <c r="E865" s="201" t="s">
        <v>5</v>
      </c>
      <c r="F865" s="201" t="s">
        <v>6</v>
      </c>
      <c r="G865" s="201" t="s">
        <v>7</v>
      </c>
      <c r="H865" s="201" t="s">
        <v>8</v>
      </c>
      <c r="I865" s="201" t="s">
        <v>9</v>
      </c>
      <c r="J865" s="201" t="s">
        <v>10</v>
      </c>
      <c r="K865" s="201" t="s">
        <v>11</v>
      </c>
      <c r="L865" s="201" t="s">
        <v>12</v>
      </c>
      <c r="M865" s="201" t="s">
        <v>13</v>
      </c>
      <c r="N865" s="201" t="s">
        <v>14</v>
      </c>
      <c r="O865" s="5"/>
      <c r="P865" s="5"/>
      <c r="Q865" s="5"/>
      <c r="R865" s="5"/>
      <c r="S865" s="5"/>
      <c r="T865" s="5"/>
      <c r="U865" s="5"/>
      <c r="V865" s="5"/>
      <c r="W865" s="5"/>
      <c r="X865" s="5"/>
      <c r="Y865" s="5"/>
      <c r="Z865" s="5"/>
    </row>
    <row r="866" ht="12.0" customHeight="1">
      <c r="A866" s="92" t="s">
        <v>694</v>
      </c>
      <c r="B866" s="92" t="s">
        <v>633</v>
      </c>
      <c r="C866" s="203">
        <f>SUM('2030'!B6:B9)+Parametros!$B$72*C2421</f>
        <v>3053.985</v>
      </c>
      <c r="D866" s="203">
        <f>SUM('2030'!C6:C9)+Parametros!$B$72*D2421</f>
        <v>2380.185</v>
      </c>
      <c r="E866" s="203">
        <f>SUM('2030'!D6:D9)+Parametros!$B$72*E2421</f>
        <v>2350.08</v>
      </c>
      <c r="F866" s="203">
        <f>SUM('2030'!E6:E9)+Parametros!$B$72*F2421</f>
        <v>2286.675</v>
      </c>
      <c r="G866" s="203">
        <f>SUM('2030'!F6:F9)+Parametros!$B$72*G2421</f>
        <v>2154.6</v>
      </c>
      <c r="H866" s="203">
        <f>SUM('2030'!G6:G9)+Parametros!$B$72*H2421</f>
        <v>2067.24</v>
      </c>
      <c r="I866" s="203">
        <f>SUM('2030'!H6:H9)+Parametros!$B$72*I2421</f>
        <v>2218.005</v>
      </c>
      <c r="J866" s="203">
        <f>SUM('2030'!I6:I9)+Parametros!$B$72*J2421</f>
        <v>2218.005</v>
      </c>
      <c r="K866" s="203">
        <f>SUM('2030'!J6:J9)+Parametros!$B$72*K2421</f>
        <v>2208.66</v>
      </c>
      <c r="L866" s="203">
        <f>SUM('2030'!K6:K9)+Parametros!$B$72*L2421</f>
        <v>2121.3</v>
      </c>
      <c r="M866" s="203">
        <f>SUM('2030'!L6:L9)+Parametros!$B$72*M2421</f>
        <v>2043.285</v>
      </c>
      <c r="N866" s="203">
        <f>SUM('2030'!M6:M9)+Parametros!$B$72*N2421</f>
        <v>3181.98</v>
      </c>
      <c r="O866" s="5"/>
      <c r="P866" s="5"/>
      <c r="Q866" s="5"/>
      <c r="R866" s="5"/>
      <c r="S866" s="5"/>
      <c r="T866" s="5"/>
      <c r="U866" s="5"/>
      <c r="V866" s="5"/>
      <c r="W866" s="5"/>
      <c r="X866" s="5"/>
      <c r="Y866" s="5"/>
      <c r="Z866" s="5"/>
    </row>
    <row r="867" ht="12.0" customHeight="1">
      <c r="A867" s="5"/>
      <c r="B867" s="92" t="s">
        <v>634</v>
      </c>
      <c r="C867" s="204">
        <f>C866/Parametros!$B$37</f>
        <v>152.69925</v>
      </c>
      <c r="D867" s="204">
        <f>D866/Parametros!$B$37</f>
        <v>119.00925</v>
      </c>
      <c r="E867" s="204">
        <f>E866/Parametros!$B$37</f>
        <v>117.504</v>
      </c>
      <c r="F867" s="204">
        <f>F866/Parametros!$B$37</f>
        <v>114.33375</v>
      </c>
      <c r="G867" s="204">
        <f>G866/Parametros!$B$37</f>
        <v>107.73</v>
      </c>
      <c r="H867" s="204">
        <f>H866/Parametros!$B$37</f>
        <v>103.362</v>
      </c>
      <c r="I867" s="204">
        <f>I866/Parametros!$B$37</f>
        <v>110.90025</v>
      </c>
      <c r="J867" s="204">
        <f>J866/Parametros!$B$37</f>
        <v>110.90025</v>
      </c>
      <c r="K867" s="204">
        <f>K866/Parametros!$B$37</f>
        <v>110.433</v>
      </c>
      <c r="L867" s="204">
        <f>L866/Parametros!$B$37</f>
        <v>106.065</v>
      </c>
      <c r="M867" s="204">
        <f>M866/Parametros!$B$37</f>
        <v>102.16425</v>
      </c>
      <c r="N867" s="204">
        <f>N866/Parametros!$B$37</f>
        <v>159.099</v>
      </c>
      <c r="O867" s="5"/>
      <c r="P867" s="5"/>
      <c r="Q867" s="5"/>
      <c r="R867" s="5"/>
      <c r="S867" s="5"/>
      <c r="T867" s="5"/>
      <c r="U867" s="5"/>
      <c r="V867" s="5"/>
      <c r="W867" s="5"/>
      <c r="X867" s="5"/>
      <c r="Y867" s="5"/>
      <c r="Z867" s="5"/>
    </row>
    <row r="868" ht="12.0" customHeight="1">
      <c r="A868" s="5"/>
      <c r="B868" s="92" t="s">
        <v>635</v>
      </c>
      <c r="C868" s="204">
        <f>C867/Parametros!$J$37</f>
        <v>20.3599</v>
      </c>
      <c r="D868" s="204">
        <f>D867/Parametros!$J$37</f>
        <v>15.8679</v>
      </c>
      <c r="E868" s="204">
        <f>E867/Parametros!$J$37</f>
        <v>15.6672</v>
      </c>
      <c r="F868" s="204">
        <f>F867/Parametros!$J$37</f>
        <v>15.2445</v>
      </c>
      <c r="G868" s="204">
        <f>G867/Parametros!$J$37</f>
        <v>14.364</v>
      </c>
      <c r="H868" s="204">
        <f>H867/Parametros!$J$37</f>
        <v>13.7816</v>
      </c>
      <c r="I868" s="204">
        <f>I867/Parametros!$J$37</f>
        <v>14.7867</v>
      </c>
      <c r="J868" s="204">
        <f>J867/Parametros!$J$37</f>
        <v>14.7867</v>
      </c>
      <c r="K868" s="204">
        <f>K867/Parametros!$J$37</f>
        <v>14.7244</v>
      </c>
      <c r="L868" s="204">
        <f>L867/Parametros!$J$37</f>
        <v>14.142</v>
      </c>
      <c r="M868" s="204">
        <f>M867/Parametros!$J$37</f>
        <v>13.6219</v>
      </c>
      <c r="N868" s="204">
        <f>N867/Parametros!$J$37</f>
        <v>21.2132</v>
      </c>
      <c r="O868" s="5"/>
      <c r="P868" s="5"/>
      <c r="Q868" s="5"/>
      <c r="R868" s="5"/>
      <c r="S868" s="5"/>
      <c r="T868" s="5"/>
      <c r="U868" s="5"/>
      <c r="V868" s="5"/>
      <c r="W868" s="5"/>
      <c r="X868" s="5"/>
      <c r="Y868" s="5"/>
      <c r="Z868" s="5"/>
    </row>
    <row r="869" ht="12.0" customHeight="1">
      <c r="A869" s="92" t="s">
        <v>636</v>
      </c>
      <c r="B869" s="5"/>
      <c r="C869" s="204">
        <f t="shared" ref="C869:N869" si="256">C868</f>
        <v>20.3599</v>
      </c>
      <c r="D869" s="204">
        <f t="shared" si="256"/>
        <v>15.8679</v>
      </c>
      <c r="E869" s="204">
        <f t="shared" si="256"/>
        <v>15.6672</v>
      </c>
      <c r="F869" s="204">
        <f t="shared" si="256"/>
        <v>15.2445</v>
      </c>
      <c r="G869" s="204">
        <f t="shared" si="256"/>
        <v>14.364</v>
      </c>
      <c r="H869" s="204">
        <f t="shared" si="256"/>
        <v>13.7816</v>
      </c>
      <c r="I869" s="204">
        <f t="shared" si="256"/>
        <v>14.7867</v>
      </c>
      <c r="J869" s="204">
        <f t="shared" si="256"/>
        <v>14.7867</v>
      </c>
      <c r="K869" s="204">
        <f t="shared" si="256"/>
        <v>14.7244</v>
      </c>
      <c r="L869" s="204">
        <f t="shared" si="256"/>
        <v>14.142</v>
      </c>
      <c r="M869" s="204">
        <f t="shared" si="256"/>
        <v>13.6219</v>
      </c>
      <c r="N869" s="204">
        <f t="shared" si="256"/>
        <v>21.2132</v>
      </c>
      <c r="O869" s="5"/>
      <c r="P869" s="5"/>
      <c r="Q869" s="5"/>
      <c r="R869" s="5"/>
      <c r="S869" s="5"/>
      <c r="T869" s="5"/>
      <c r="U869" s="5"/>
      <c r="V869" s="5"/>
      <c r="W869" s="5"/>
      <c r="X869" s="5"/>
      <c r="Y869" s="5"/>
      <c r="Z869" s="5"/>
    </row>
    <row r="870" ht="12.0" customHeight="1">
      <c r="A870" s="92" t="s">
        <v>637</v>
      </c>
      <c r="B870" s="5"/>
      <c r="C870" s="205">
        <f>'Resumen Capacidad'!$F$125</f>
        <v>60.34285714</v>
      </c>
      <c r="D870" s="205">
        <f>'Resumen Capacidad'!$F$125</f>
        <v>60.34285714</v>
      </c>
      <c r="E870" s="205">
        <f>'Resumen Capacidad'!$F$125</f>
        <v>60.34285714</v>
      </c>
      <c r="F870" s="205">
        <f>'Resumen Capacidad'!$F$125</f>
        <v>60.34285714</v>
      </c>
      <c r="G870" s="205">
        <f>'Resumen Capacidad'!$F$125</f>
        <v>60.34285714</v>
      </c>
      <c r="H870" s="205">
        <f>'Resumen Capacidad'!$F$125</f>
        <v>60.34285714</v>
      </c>
      <c r="I870" s="205">
        <f>'Resumen Capacidad'!$F$125</f>
        <v>60.34285714</v>
      </c>
      <c r="J870" s="205">
        <f>'Resumen Capacidad'!$F$125</f>
        <v>60.34285714</v>
      </c>
      <c r="K870" s="205">
        <f>'Resumen Capacidad'!$F$125</f>
        <v>60.34285714</v>
      </c>
      <c r="L870" s="205">
        <f>'Resumen Capacidad'!$F$125</f>
        <v>60.34285714</v>
      </c>
      <c r="M870" s="205">
        <f>'Resumen Capacidad'!$F$125</f>
        <v>60.34285714</v>
      </c>
      <c r="N870" s="205">
        <f>'Resumen Capacidad'!$F$125</f>
        <v>60.34285714</v>
      </c>
      <c r="O870" s="5"/>
      <c r="P870" s="5"/>
      <c r="Q870" s="5"/>
      <c r="R870" s="5"/>
      <c r="S870" s="5"/>
      <c r="T870" s="5"/>
      <c r="U870" s="5"/>
      <c r="V870" s="5"/>
      <c r="W870" s="5"/>
      <c r="X870" s="5"/>
      <c r="Y870" s="5"/>
      <c r="Z870" s="5"/>
    </row>
    <row r="871" ht="12.0" customHeight="1">
      <c r="A871" s="92" t="s">
        <v>640</v>
      </c>
      <c r="B871" s="5"/>
      <c r="C871" s="204">
        <f>'Resumen Capacidad'!$F$43*'Resumen Capacidad'!$F$79</f>
        <v>1</v>
      </c>
      <c r="D871" s="204">
        <f>'Resumen Capacidad'!$F$43*'Resumen Capacidad'!$F$79</f>
        <v>1</v>
      </c>
      <c r="E871" s="204">
        <f>'Resumen Capacidad'!$F$43*'Resumen Capacidad'!$F$79</f>
        <v>1</v>
      </c>
      <c r="F871" s="204">
        <f>'Resumen Capacidad'!$F$43*'Resumen Capacidad'!$F$79</f>
        <v>1</v>
      </c>
      <c r="G871" s="204">
        <f>'Resumen Capacidad'!$F$43*'Resumen Capacidad'!$F$79</f>
        <v>1</v>
      </c>
      <c r="H871" s="204">
        <f>'Resumen Capacidad'!$F$43*'Resumen Capacidad'!$F$79</f>
        <v>1</v>
      </c>
      <c r="I871" s="204">
        <f>'Resumen Capacidad'!$F$43*'Resumen Capacidad'!$F$79</f>
        <v>1</v>
      </c>
      <c r="J871" s="204">
        <f>'Resumen Capacidad'!$F$43*'Resumen Capacidad'!$F$79</f>
        <v>1</v>
      </c>
      <c r="K871" s="204">
        <f>'Resumen Capacidad'!$F$43*'Resumen Capacidad'!$F$79</f>
        <v>1</v>
      </c>
      <c r="L871" s="204">
        <f>'Resumen Capacidad'!$F$43*'Resumen Capacidad'!$F$79</f>
        <v>1</v>
      </c>
      <c r="M871" s="204">
        <f>'Resumen Capacidad'!$F$43*'Resumen Capacidad'!$F$79</f>
        <v>1</v>
      </c>
      <c r="N871" s="204">
        <f>'Resumen Capacidad'!$F$43*'Resumen Capacidad'!$F$79</f>
        <v>1</v>
      </c>
      <c r="O871" s="5"/>
      <c r="P871" s="5"/>
      <c r="Q871" s="5"/>
      <c r="R871" s="5"/>
      <c r="S871" s="5"/>
      <c r="T871" s="5"/>
      <c r="U871" s="5"/>
      <c r="V871" s="5"/>
      <c r="W871" s="5"/>
      <c r="X871" s="5"/>
      <c r="Y871" s="5"/>
      <c r="Z871" s="5"/>
    </row>
    <row r="872" ht="12.0" customHeight="1">
      <c r="A872" s="92" t="s">
        <v>642</v>
      </c>
      <c r="B872" s="5"/>
      <c r="C872" s="204">
        <f t="shared" ref="C872:N872" si="257">C870*C871</f>
        <v>60.34285714</v>
      </c>
      <c r="D872" s="204">
        <f t="shared" si="257"/>
        <v>60.34285714</v>
      </c>
      <c r="E872" s="204">
        <f t="shared" si="257"/>
        <v>60.34285714</v>
      </c>
      <c r="F872" s="204">
        <f t="shared" si="257"/>
        <v>60.34285714</v>
      </c>
      <c r="G872" s="204">
        <f t="shared" si="257"/>
        <v>60.34285714</v>
      </c>
      <c r="H872" s="204">
        <f t="shared" si="257"/>
        <v>60.34285714</v>
      </c>
      <c r="I872" s="204">
        <f t="shared" si="257"/>
        <v>60.34285714</v>
      </c>
      <c r="J872" s="204">
        <f t="shared" si="257"/>
        <v>60.34285714</v>
      </c>
      <c r="K872" s="204">
        <f t="shared" si="257"/>
        <v>60.34285714</v>
      </c>
      <c r="L872" s="204">
        <f t="shared" si="257"/>
        <v>60.34285714</v>
      </c>
      <c r="M872" s="204">
        <f t="shared" si="257"/>
        <v>60.34285714</v>
      </c>
      <c r="N872" s="204">
        <f t="shared" si="257"/>
        <v>60.34285714</v>
      </c>
      <c r="O872" s="5"/>
      <c r="P872" s="5"/>
      <c r="Q872" s="5"/>
      <c r="R872" s="5"/>
      <c r="S872" s="5"/>
      <c r="T872" s="5"/>
      <c r="U872" s="5"/>
      <c r="V872" s="5"/>
      <c r="W872" s="5"/>
      <c r="X872" s="5"/>
      <c r="Y872" s="5"/>
      <c r="Z872" s="5"/>
    </row>
    <row r="873" ht="12.0" customHeight="1">
      <c r="A873" s="92" t="s">
        <v>643</v>
      </c>
      <c r="B873" s="5"/>
      <c r="C873" s="206">
        <f t="shared" ref="C873:N873" si="258">IF(C872=0,0,C869/C872)</f>
        <v>0.3374036458</v>
      </c>
      <c r="D873" s="206">
        <f t="shared" si="258"/>
        <v>0.262962358</v>
      </c>
      <c r="E873" s="206">
        <f t="shared" si="258"/>
        <v>0.2596363636</v>
      </c>
      <c r="F873" s="206">
        <f t="shared" si="258"/>
        <v>0.252631392</v>
      </c>
      <c r="G873" s="206">
        <f t="shared" si="258"/>
        <v>0.2380397727</v>
      </c>
      <c r="H873" s="206">
        <f t="shared" si="258"/>
        <v>0.2283882576</v>
      </c>
      <c r="I873" s="206">
        <f t="shared" si="258"/>
        <v>0.2450447443</v>
      </c>
      <c r="J873" s="206">
        <f t="shared" si="258"/>
        <v>0.2450447443</v>
      </c>
      <c r="K873" s="206">
        <f t="shared" si="258"/>
        <v>0.2440123106</v>
      </c>
      <c r="L873" s="206">
        <f t="shared" si="258"/>
        <v>0.2343607955</v>
      </c>
      <c r="M873" s="206">
        <f t="shared" si="258"/>
        <v>0.225741714</v>
      </c>
      <c r="N873" s="206">
        <f t="shared" si="258"/>
        <v>0.3515445076</v>
      </c>
      <c r="O873" s="5"/>
      <c r="P873" s="5"/>
      <c r="Q873" s="5"/>
      <c r="R873" s="5"/>
      <c r="S873" s="5"/>
      <c r="T873" s="5"/>
      <c r="U873" s="5"/>
      <c r="V873" s="5"/>
      <c r="W873" s="5"/>
      <c r="X873" s="5"/>
      <c r="Y873" s="5"/>
      <c r="Z873" s="5"/>
    </row>
    <row r="874" ht="12.0" customHeight="1">
      <c r="A874" s="201" t="s">
        <v>695</v>
      </c>
      <c r="B874" s="202"/>
      <c r="C874" s="202"/>
      <c r="D874" s="202"/>
      <c r="E874" s="202"/>
      <c r="F874" s="202"/>
      <c r="G874" s="202"/>
      <c r="H874" s="202"/>
      <c r="I874" s="202"/>
      <c r="J874" s="202"/>
      <c r="K874" s="202"/>
      <c r="L874" s="202"/>
      <c r="M874" s="202"/>
      <c r="N874" s="202"/>
      <c r="O874" s="5"/>
      <c r="P874" s="5"/>
      <c r="Q874" s="5"/>
      <c r="R874" s="5"/>
      <c r="S874" s="5"/>
      <c r="T874" s="5"/>
      <c r="U874" s="5"/>
      <c r="V874" s="5"/>
      <c r="W874" s="5"/>
      <c r="X874" s="5"/>
      <c r="Y874" s="5"/>
      <c r="Z874" s="5"/>
    </row>
    <row r="875" ht="12.0" customHeight="1">
      <c r="A875" s="201" t="s">
        <v>630</v>
      </c>
      <c r="B875" s="201" t="s">
        <v>631</v>
      </c>
      <c r="C875" s="201" t="s">
        <v>3</v>
      </c>
      <c r="D875" s="201" t="s">
        <v>4</v>
      </c>
      <c r="E875" s="201" t="s">
        <v>5</v>
      </c>
      <c r="F875" s="201" t="s">
        <v>6</v>
      </c>
      <c r="G875" s="201" t="s">
        <v>7</v>
      </c>
      <c r="H875" s="201" t="s">
        <v>8</v>
      </c>
      <c r="I875" s="201" t="s">
        <v>9</v>
      </c>
      <c r="J875" s="201" t="s">
        <v>10</v>
      </c>
      <c r="K875" s="201" t="s">
        <v>11</v>
      </c>
      <c r="L875" s="201" t="s">
        <v>12</v>
      </c>
      <c r="M875" s="201" t="s">
        <v>13</v>
      </c>
      <c r="N875" s="201" t="s">
        <v>14</v>
      </c>
      <c r="O875" s="5"/>
      <c r="P875" s="5"/>
      <c r="Q875" s="5"/>
      <c r="R875" s="5"/>
      <c r="S875" s="5"/>
      <c r="T875" s="5"/>
      <c r="U875" s="5"/>
      <c r="V875" s="5"/>
      <c r="W875" s="5"/>
      <c r="X875" s="5"/>
      <c r="Y875" s="5"/>
      <c r="Z875" s="5"/>
    </row>
    <row r="876" ht="12.0" customHeight="1">
      <c r="A876" s="92" t="s">
        <v>694</v>
      </c>
      <c r="B876" s="92" t="s">
        <v>633</v>
      </c>
      <c r="C876" s="203">
        <f>SUM('2030'!B6:B9)+Parametros!$B$72*C2421</f>
        <v>3053.985</v>
      </c>
      <c r="D876" s="203">
        <f>SUM('2030'!C6:C9)+Parametros!$B$72*D2421</f>
        <v>2380.185</v>
      </c>
      <c r="E876" s="203">
        <f>SUM('2030'!D6:D9)+Parametros!$B$72*E2421</f>
        <v>2350.08</v>
      </c>
      <c r="F876" s="203">
        <f>SUM('2030'!E6:E9)+Parametros!$B$72*F2421</f>
        <v>2286.675</v>
      </c>
      <c r="G876" s="203">
        <f>SUM('2030'!F6:F9)+Parametros!$B$72*G2421</f>
        <v>2154.6</v>
      </c>
      <c r="H876" s="203">
        <f>SUM('2030'!G6:G9)+Parametros!$B$72*H2421</f>
        <v>2067.24</v>
      </c>
      <c r="I876" s="203">
        <f>SUM('2030'!H6:H9)+Parametros!$B$72*I2421</f>
        <v>2218.005</v>
      </c>
      <c r="J876" s="203">
        <f>SUM('2030'!I6:I9)+Parametros!$B$72*J2421</f>
        <v>2218.005</v>
      </c>
      <c r="K876" s="203">
        <f>SUM('2030'!J6:J9)+Parametros!$B$72*K2421</f>
        <v>2208.66</v>
      </c>
      <c r="L876" s="203">
        <f>SUM('2030'!K6:K9)+Parametros!$B$72*L2421</f>
        <v>2121.3</v>
      </c>
      <c r="M876" s="203">
        <f>SUM('2030'!L6:L9)+Parametros!$B$72*M2421</f>
        <v>2043.285</v>
      </c>
      <c r="N876" s="203">
        <f>SUM('2030'!M6:M9)+Parametros!$B$72*N2421</f>
        <v>3181.98</v>
      </c>
      <c r="O876" s="5"/>
      <c r="P876" s="5"/>
      <c r="Q876" s="5"/>
      <c r="R876" s="5"/>
      <c r="S876" s="5"/>
      <c r="T876" s="5"/>
      <c r="U876" s="5"/>
      <c r="V876" s="5"/>
      <c r="W876" s="5"/>
      <c r="X876" s="5"/>
      <c r="Y876" s="5"/>
      <c r="Z876" s="5"/>
    </row>
    <row r="877" ht="12.0" customHeight="1">
      <c r="A877" s="5"/>
      <c r="B877" s="92" t="s">
        <v>634</v>
      </c>
      <c r="C877" s="204">
        <f>C876/Parametros!$B$37</f>
        <v>152.69925</v>
      </c>
      <c r="D877" s="204">
        <f>D876/Parametros!$B$37</f>
        <v>119.00925</v>
      </c>
      <c r="E877" s="204">
        <f>E876/Parametros!$B$37</f>
        <v>117.504</v>
      </c>
      <c r="F877" s="204">
        <f>F876/Parametros!$B$37</f>
        <v>114.33375</v>
      </c>
      <c r="G877" s="204">
        <f>G876/Parametros!$B$37</f>
        <v>107.73</v>
      </c>
      <c r="H877" s="204">
        <f>H876/Parametros!$B$37</f>
        <v>103.362</v>
      </c>
      <c r="I877" s="204">
        <f>I876/Parametros!$B$37</f>
        <v>110.90025</v>
      </c>
      <c r="J877" s="204">
        <f>J876/Parametros!$B$37</f>
        <v>110.90025</v>
      </c>
      <c r="K877" s="204">
        <f>K876/Parametros!$B$37</f>
        <v>110.433</v>
      </c>
      <c r="L877" s="204">
        <f>L876/Parametros!$B$37</f>
        <v>106.065</v>
      </c>
      <c r="M877" s="204">
        <f>M876/Parametros!$B$37</f>
        <v>102.16425</v>
      </c>
      <c r="N877" s="204">
        <f>N876/Parametros!$B$37</f>
        <v>159.099</v>
      </c>
      <c r="O877" s="5"/>
      <c r="P877" s="5"/>
      <c r="Q877" s="5"/>
      <c r="R877" s="5"/>
      <c r="S877" s="5"/>
      <c r="T877" s="5"/>
      <c r="U877" s="5"/>
      <c r="V877" s="5"/>
      <c r="W877" s="5"/>
      <c r="X877" s="5"/>
      <c r="Y877" s="5"/>
      <c r="Z877" s="5"/>
    </row>
    <row r="878" ht="12.0" customHeight="1">
      <c r="A878" s="5"/>
      <c r="B878" s="92" t="s">
        <v>635</v>
      </c>
      <c r="C878" s="204">
        <f>C877/Parametros!$J$37</f>
        <v>20.3599</v>
      </c>
      <c r="D878" s="204">
        <f>D877/Parametros!$J$37</f>
        <v>15.8679</v>
      </c>
      <c r="E878" s="204">
        <f>E877/Parametros!$J$37</f>
        <v>15.6672</v>
      </c>
      <c r="F878" s="204">
        <f>F877/Parametros!$J$37</f>
        <v>15.2445</v>
      </c>
      <c r="G878" s="204">
        <f>G877/Parametros!$J$37</f>
        <v>14.364</v>
      </c>
      <c r="H878" s="204">
        <f>H877/Parametros!$J$37</f>
        <v>13.7816</v>
      </c>
      <c r="I878" s="204">
        <f>I877/Parametros!$J$37</f>
        <v>14.7867</v>
      </c>
      <c r="J878" s="204">
        <f>J877/Parametros!$J$37</f>
        <v>14.7867</v>
      </c>
      <c r="K878" s="204">
        <f>K877/Parametros!$J$37</f>
        <v>14.7244</v>
      </c>
      <c r="L878" s="204">
        <f>L877/Parametros!$J$37</f>
        <v>14.142</v>
      </c>
      <c r="M878" s="204">
        <f>M877/Parametros!$J$37</f>
        <v>13.6219</v>
      </c>
      <c r="N878" s="204">
        <f>N877/Parametros!$J$37</f>
        <v>21.2132</v>
      </c>
      <c r="O878" s="5"/>
      <c r="P878" s="5"/>
      <c r="Q878" s="5"/>
      <c r="R878" s="5"/>
      <c r="S878" s="5"/>
      <c r="T878" s="5"/>
      <c r="U878" s="5"/>
      <c r="V878" s="5"/>
      <c r="W878" s="5"/>
      <c r="X878" s="5"/>
      <c r="Y878" s="5"/>
      <c r="Z878" s="5"/>
    </row>
    <row r="879" ht="12.0" customHeight="1">
      <c r="A879" s="92" t="s">
        <v>636</v>
      </c>
      <c r="B879" s="5"/>
      <c r="C879" s="204">
        <f t="shared" ref="C879:N879" si="259">C878</f>
        <v>20.3599</v>
      </c>
      <c r="D879" s="204">
        <f t="shared" si="259"/>
        <v>15.8679</v>
      </c>
      <c r="E879" s="204">
        <f t="shared" si="259"/>
        <v>15.6672</v>
      </c>
      <c r="F879" s="204">
        <f t="shared" si="259"/>
        <v>15.2445</v>
      </c>
      <c r="G879" s="204">
        <f t="shared" si="259"/>
        <v>14.364</v>
      </c>
      <c r="H879" s="204">
        <f t="shared" si="259"/>
        <v>13.7816</v>
      </c>
      <c r="I879" s="204">
        <f t="shared" si="259"/>
        <v>14.7867</v>
      </c>
      <c r="J879" s="204">
        <f t="shared" si="259"/>
        <v>14.7867</v>
      </c>
      <c r="K879" s="204">
        <f t="shared" si="259"/>
        <v>14.7244</v>
      </c>
      <c r="L879" s="204">
        <f t="shared" si="259"/>
        <v>14.142</v>
      </c>
      <c r="M879" s="204">
        <f t="shared" si="259"/>
        <v>13.6219</v>
      </c>
      <c r="N879" s="204">
        <f t="shared" si="259"/>
        <v>21.2132</v>
      </c>
      <c r="O879" s="5"/>
      <c r="P879" s="5"/>
      <c r="Q879" s="5"/>
      <c r="R879" s="5"/>
      <c r="S879" s="5"/>
      <c r="T879" s="5"/>
      <c r="U879" s="5"/>
      <c r="V879" s="5"/>
      <c r="W879" s="5"/>
      <c r="X879" s="5"/>
      <c r="Y879" s="5"/>
      <c r="Z879" s="5"/>
    </row>
    <row r="880" ht="12.0" customHeight="1">
      <c r="A880" s="92" t="s">
        <v>637</v>
      </c>
      <c r="B880" s="5"/>
      <c r="C880" s="205">
        <f>'Resumen Capacidad'!$F$126</f>
        <v>25.2</v>
      </c>
      <c r="D880" s="205">
        <f>'Resumen Capacidad'!$F$126</f>
        <v>25.2</v>
      </c>
      <c r="E880" s="205">
        <f>'Resumen Capacidad'!$F$126</f>
        <v>25.2</v>
      </c>
      <c r="F880" s="205">
        <f>'Resumen Capacidad'!$F$126</f>
        <v>25.2</v>
      </c>
      <c r="G880" s="205">
        <f>'Resumen Capacidad'!$F$126</f>
        <v>25.2</v>
      </c>
      <c r="H880" s="205">
        <f>'Resumen Capacidad'!$F$126</f>
        <v>25.2</v>
      </c>
      <c r="I880" s="205">
        <f>'Resumen Capacidad'!$F$126</f>
        <v>25.2</v>
      </c>
      <c r="J880" s="205">
        <f>'Resumen Capacidad'!$F$126</f>
        <v>25.2</v>
      </c>
      <c r="K880" s="205">
        <f>'Resumen Capacidad'!$F$126</f>
        <v>25.2</v>
      </c>
      <c r="L880" s="205">
        <f>'Resumen Capacidad'!$F$126</f>
        <v>25.2</v>
      </c>
      <c r="M880" s="205">
        <f>'Resumen Capacidad'!$F$126</f>
        <v>25.2</v>
      </c>
      <c r="N880" s="205">
        <f>'Resumen Capacidad'!$F$126</f>
        <v>25.2</v>
      </c>
      <c r="O880" s="5"/>
      <c r="P880" s="5"/>
      <c r="Q880" s="5"/>
      <c r="R880" s="5"/>
      <c r="S880" s="5"/>
      <c r="T880" s="5"/>
      <c r="U880" s="5"/>
      <c r="V880" s="5"/>
      <c r="W880" s="5"/>
      <c r="X880" s="5"/>
      <c r="Y880" s="5"/>
      <c r="Z880" s="5"/>
    </row>
    <row r="881" ht="12.0" customHeight="1">
      <c r="A881" s="92" t="s">
        <v>640</v>
      </c>
      <c r="B881" s="5"/>
      <c r="C881" s="204">
        <f>'Resumen Capacidad'!$F$44*'Resumen Capacidad'!$F$80</f>
        <v>1</v>
      </c>
      <c r="D881" s="204">
        <f>'Resumen Capacidad'!$F$44*'Resumen Capacidad'!$F$80</f>
        <v>1</v>
      </c>
      <c r="E881" s="204">
        <f>'Resumen Capacidad'!$F$44*'Resumen Capacidad'!$F$80</f>
        <v>1</v>
      </c>
      <c r="F881" s="204">
        <f>'Resumen Capacidad'!$F$44*'Resumen Capacidad'!$F$80</f>
        <v>1</v>
      </c>
      <c r="G881" s="204">
        <f>'Resumen Capacidad'!$F$44*'Resumen Capacidad'!$F$80</f>
        <v>1</v>
      </c>
      <c r="H881" s="204">
        <f>'Resumen Capacidad'!$F$44*'Resumen Capacidad'!$F$80</f>
        <v>1</v>
      </c>
      <c r="I881" s="204">
        <f>'Resumen Capacidad'!$F$44*'Resumen Capacidad'!$F$80</f>
        <v>1</v>
      </c>
      <c r="J881" s="204">
        <f>'Resumen Capacidad'!$F$44*'Resumen Capacidad'!$F$80</f>
        <v>1</v>
      </c>
      <c r="K881" s="204">
        <f>'Resumen Capacidad'!$F$44*'Resumen Capacidad'!$F$80</f>
        <v>1</v>
      </c>
      <c r="L881" s="204">
        <f>'Resumen Capacidad'!$F$44*'Resumen Capacidad'!$F$80</f>
        <v>1</v>
      </c>
      <c r="M881" s="204">
        <f>'Resumen Capacidad'!$F$44*'Resumen Capacidad'!$F$80</f>
        <v>1</v>
      </c>
      <c r="N881" s="204">
        <f>'Resumen Capacidad'!$F$44*'Resumen Capacidad'!$F$80</f>
        <v>1</v>
      </c>
      <c r="O881" s="5"/>
      <c r="P881" s="5"/>
      <c r="Q881" s="5"/>
      <c r="R881" s="5"/>
      <c r="S881" s="5"/>
      <c r="T881" s="5"/>
      <c r="U881" s="5"/>
      <c r="V881" s="5"/>
      <c r="W881" s="5"/>
      <c r="X881" s="5"/>
      <c r="Y881" s="5"/>
      <c r="Z881" s="5"/>
    </row>
    <row r="882" ht="12.0" customHeight="1">
      <c r="A882" s="92" t="s">
        <v>642</v>
      </c>
      <c r="B882" s="5"/>
      <c r="C882" s="204">
        <f t="shared" ref="C882:N882" si="260">C880*C881</f>
        <v>25.2</v>
      </c>
      <c r="D882" s="204">
        <f t="shared" si="260"/>
        <v>25.2</v>
      </c>
      <c r="E882" s="204">
        <f t="shared" si="260"/>
        <v>25.2</v>
      </c>
      <c r="F882" s="204">
        <f t="shared" si="260"/>
        <v>25.2</v>
      </c>
      <c r="G882" s="204">
        <f t="shared" si="260"/>
        <v>25.2</v>
      </c>
      <c r="H882" s="204">
        <f t="shared" si="260"/>
        <v>25.2</v>
      </c>
      <c r="I882" s="204">
        <f t="shared" si="260"/>
        <v>25.2</v>
      </c>
      <c r="J882" s="204">
        <f t="shared" si="260"/>
        <v>25.2</v>
      </c>
      <c r="K882" s="204">
        <f t="shared" si="260"/>
        <v>25.2</v>
      </c>
      <c r="L882" s="204">
        <f t="shared" si="260"/>
        <v>25.2</v>
      </c>
      <c r="M882" s="204">
        <f t="shared" si="260"/>
        <v>25.2</v>
      </c>
      <c r="N882" s="204">
        <f t="shared" si="260"/>
        <v>25.2</v>
      </c>
      <c r="O882" s="5"/>
      <c r="P882" s="5"/>
      <c r="Q882" s="5"/>
      <c r="R882" s="5"/>
      <c r="S882" s="5"/>
      <c r="T882" s="5"/>
      <c r="U882" s="5"/>
      <c r="V882" s="5"/>
      <c r="W882" s="5"/>
      <c r="X882" s="5"/>
      <c r="Y882" s="5"/>
      <c r="Z882" s="5"/>
    </row>
    <row r="883" ht="12.0" customHeight="1">
      <c r="A883" s="92" t="s">
        <v>643</v>
      </c>
      <c r="B883" s="5"/>
      <c r="C883" s="206">
        <f t="shared" ref="C883:N883" si="261">IF(C882=0,0,C879/C882)</f>
        <v>0.8079325397</v>
      </c>
      <c r="D883" s="206">
        <f t="shared" si="261"/>
        <v>0.6296785714</v>
      </c>
      <c r="E883" s="206">
        <f t="shared" si="261"/>
        <v>0.6217142857</v>
      </c>
      <c r="F883" s="206">
        <f t="shared" si="261"/>
        <v>0.6049404762</v>
      </c>
      <c r="G883" s="206">
        <f t="shared" si="261"/>
        <v>0.57</v>
      </c>
      <c r="H883" s="206">
        <f t="shared" si="261"/>
        <v>0.5468888889</v>
      </c>
      <c r="I883" s="206">
        <f t="shared" si="261"/>
        <v>0.5867738095</v>
      </c>
      <c r="J883" s="206">
        <f t="shared" si="261"/>
        <v>0.5867738095</v>
      </c>
      <c r="K883" s="206">
        <f t="shared" si="261"/>
        <v>0.5843015873</v>
      </c>
      <c r="L883" s="206">
        <f t="shared" si="261"/>
        <v>0.5611904762</v>
      </c>
      <c r="M883" s="206">
        <f t="shared" si="261"/>
        <v>0.5405515873</v>
      </c>
      <c r="N883" s="206">
        <f t="shared" si="261"/>
        <v>0.8417936508</v>
      </c>
      <c r="O883" s="5"/>
      <c r="P883" s="5"/>
      <c r="Q883" s="5"/>
      <c r="R883" s="5"/>
      <c r="S883" s="5"/>
      <c r="T883" s="5"/>
      <c r="U883" s="5"/>
      <c r="V883" s="5"/>
      <c r="W883" s="5"/>
      <c r="X883" s="5"/>
      <c r="Y883" s="5"/>
      <c r="Z883" s="5"/>
    </row>
    <row r="884" ht="12.0" customHeight="1">
      <c r="A884" s="201" t="s">
        <v>696</v>
      </c>
      <c r="B884" s="202"/>
      <c r="C884" s="202"/>
      <c r="D884" s="202"/>
      <c r="E884" s="202"/>
      <c r="F884" s="202"/>
      <c r="G884" s="202"/>
      <c r="H884" s="202"/>
      <c r="I884" s="202"/>
      <c r="J884" s="202"/>
      <c r="K884" s="202"/>
      <c r="L884" s="202"/>
      <c r="M884" s="202"/>
      <c r="N884" s="202"/>
      <c r="O884" s="5"/>
      <c r="P884" s="5"/>
      <c r="Q884" s="5"/>
      <c r="R884" s="5"/>
      <c r="S884" s="5"/>
      <c r="T884" s="5"/>
      <c r="U884" s="5"/>
      <c r="V884" s="5"/>
      <c r="W884" s="5"/>
      <c r="X884" s="5"/>
      <c r="Y884" s="5"/>
      <c r="Z884" s="5"/>
    </row>
    <row r="885" ht="12.0" customHeight="1">
      <c r="A885" s="201" t="s">
        <v>630</v>
      </c>
      <c r="B885" s="201" t="s">
        <v>631</v>
      </c>
      <c r="C885" s="201" t="s">
        <v>3</v>
      </c>
      <c r="D885" s="201" t="s">
        <v>4</v>
      </c>
      <c r="E885" s="201" t="s">
        <v>5</v>
      </c>
      <c r="F885" s="201" t="s">
        <v>6</v>
      </c>
      <c r="G885" s="201" t="s">
        <v>7</v>
      </c>
      <c r="H885" s="201" t="s">
        <v>8</v>
      </c>
      <c r="I885" s="201" t="s">
        <v>9</v>
      </c>
      <c r="J885" s="201" t="s">
        <v>10</v>
      </c>
      <c r="K885" s="201" t="s">
        <v>11</v>
      </c>
      <c r="L885" s="201" t="s">
        <v>12</v>
      </c>
      <c r="M885" s="201" t="s">
        <v>13</v>
      </c>
      <c r="N885" s="201" t="s">
        <v>14</v>
      </c>
      <c r="O885" s="5"/>
      <c r="P885" s="5"/>
      <c r="Q885" s="5"/>
      <c r="R885" s="5"/>
      <c r="S885" s="5"/>
      <c r="T885" s="5"/>
      <c r="U885" s="5"/>
      <c r="V885" s="5"/>
      <c r="W885" s="5"/>
      <c r="X885" s="5"/>
      <c r="Y885" s="5"/>
      <c r="Z885" s="5"/>
    </row>
    <row r="886" ht="12.0" customHeight="1">
      <c r="A886" s="92" t="s">
        <v>694</v>
      </c>
      <c r="B886" s="92" t="s">
        <v>633</v>
      </c>
      <c r="C886" s="203">
        <f>SUM('2030'!B6:B9)+Parametros!$B$72*C2421</f>
        <v>3053.985</v>
      </c>
      <c r="D886" s="203">
        <f>SUM('2030'!C6:C9)+Parametros!$B$72*D2421</f>
        <v>2380.185</v>
      </c>
      <c r="E886" s="203">
        <f>SUM('2030'!D6:D9)+Parametros!$B$72*E2421</f>
        <v>2350.08</v>
      </c>
      <c r="F886" s="203">
        <f>SUM('2030'!E6:E9)+Parametros!$B$72*F2421</f>
        <v>2286.675</v>
      </c>
      <c r="G886" s="203">
        <f>SUM('2030'!F6:F9)+Parametros!$B$72*G2421</f>
        <v>2154.6</v>
      </c>
      <c r="H886" s="203">
        <f>SUM('2030'!G6:G9)+Parametros!$B$72*H2421</f>
        <v>2067.24</v>
      </c>
      <c r="I886" s="203">
        <f>SUM('2030'!H6:H9)+Parametros!$B$72*I2421</f>
        <v>2218.005</v>
      </c>
      <c r="J886" s="203">
        <f>SUM('2030'!I6:I9)+Parametros!$B$72*J2421</f>
        <v>2218.005</v>
      </c>
      <c r="K886" s="203">
        <f>SUM('2030'!J6:J9)+Parametros!$B$72*K2421</f>
        <v>2208.66</v>
      </c>
      <c r="L886" s="203">
        <f>SUM('2030'!K6:K9)+Parametros!$B$72*L2421</f>
        <v>2121.3</v>
      </c>
      <c r="M886" s="203">
        <f>SUM('2030'!L6:L9)+Parametros!$B$72*M2421</f>
        <v>2043.285</v>
      </c>
      <c r="N886" s="203">
        <f>SUM('2030'!M6:M9)+Parametros!$B$72*N2421</f>
        <v>3181.98</v>
      </c>
      <c r="O886" s="5"/>
      <c r="P886" s="5"/>
      <c r="Q886" s="5"/>
      <c r="R886" s="5"/>
      <c r="S886" s="5"/>
      <c r="T886" s="5"/>
      <c r="U886" s="5"/>
      <c r="V886" s="5"/>
      <c r="W886" s="5"/>
      <c r="X886" s="5"/>
      <c r="Y886" s="5"/>
      <c r="Z886" s="5"/>
    </row>
    <row r="887" ht="12.0" customHeight="1">
      <c r="A887" s="5"/>
      <c r="B887" s="92" t="s">
        <v>634</v>
      </c>
      <c r="C887" s="204">
        <f>C886/Parametros!$B$37</f>
        <v>152.69925</v>
      </c>
      <c r="D887" s="204">
        <f>D886/Parametros!$B$37</f>
        <v>119.00925</v>
      </c>
      <c r="E887" s="204">
        <f>E886/Parametros!$B$37</f>
        <v>117.504</v>
      </c>
      <c r="F887" s="204">
        <f>F886/Parametros!$B$37</f>
        <v>114.33375</v>
      </c>
      <c r="G887" s="204">
        <f>G886/Parametros!$B$37</f>
        <v>107.73</v>
      </c>
      <c r="H887" s="204">
        <f>H886/Parametros!$B$37</f>
        <v>103.362</v>
      </c>
      <c r="I887" s="204">
        <f>I886/Parametros!$B$37</f>
        <v>110.90025</v>
      </c>
      <c r="J887" s="204">
        <f>J886/Parametros!$B$37</f>
        <v>110.90025</v>
      </c>
      <c r="K887" s="204">
        <f>K886/Parametros!$B$37</f>
        <v>110.433</v>
      </c>
      <c r="L887" s="204">
        <f>L886/Parametros!$B$37</f>
        <v>106.065</v>
      </c>
      <c r="M887" s="204">
        <f>M886/Parametros!$B$37</f>
        <v>102.16425</v>
      </c>
      <c r="N887" s="204">
        <f>N886/Parametros!$B$37</f>
        <v>159.099</v>
      </c>
      <c r="O887" s="5"/>
      <c r="P887" s="5"/>
      <c r="Q887" s="5"/>
      <c r="R887" s="5"/>
      <c r="S887" s="5"/>
      <c r="T887" s="5"/>
      <c r="U887" s="5"/>
      <c r="V887" s="5"/>
      <c r="W887" s="5"/>
      <c r="X887" s="5"/>
      <c r="Y887" s="5"/>
      <c r="Z887" s="5"/>
    </row>
    <row r="888" ht="12.0" customHeight="1">
      <c r="A888" s="5"/>
      <c r="B888" s="92" t="s">
        <v>635</v>
      </c>
      <c r="C888" s="204">
        <f>C887/Parametros!$J$37</f>
        <v>20.3599</v>
      </c>
      <c r="D888" s="204">
        <f>D887/Parametros!$J$37</f>
        <v>15.8679</v>
      </c>
      <c r="E888" s="204">
        <f>E887/Parametros!$J$37</f>
        <v>15.6672</v>
      </c>
      <c r="F888" s="204">
        <f>F887/Parametros!$J$37</f>
        <v>15.2445</v>
      </c>
      <c r="G888" s="204">
        <f>G887/Parametros!$J$37</f>
        <v>14.364</v>
      </c>
      <c r="H888" s="204">
        <f>H887/Parametros!$J$37</f>
        <v>13.7816</v>
      </c>
      <c r="I888" s="204">
        <f>I887/Parametros!$J$37</f>
        <v>14.7867</v>
      </c>
      <c r="J888" s="204">
        <f>J887/Parametros!$J$37</f>
        <v>14.7867</v>
      </c>
      <c r="K888" s="204">
        <f>K887/Parametros!$J$37</f>
        <v>14.7244</v>
      </c>
      <c r="L888" s="204">
        <f>L887/Parametros!$J$37</f>
        <v>14.142</v>
      </c>
      <c r="M888" s="204">
        <f>M887/Parametros!$J$37</f>
        <v>13.6219</v>
      </c>
      <c r="N888" s="204">
        <f>N887/Parametros!$J$37</f>
        <v>21.2132</v>
      </c>
      <c r="O888" s="5"/>
      <c r="P888" s="5"/>
      <c r="Q888" s="5"/>
      <c r="R888" s="5"/>
      <c r="S888" s="5"/>
      <c r="T888" s="5"/>
      <c r="U888" s="5"/>
      <c r="V888" s="5"/>
      <c r="W888" s="5"/>
      <c r="X888" s="5"/>
      <c r="Y888" s="5"/>
      <c r="Z888" s="5"/>
    </row>
    <row r="889" ht="12.0" customHeight="1">
      <c r="A889" s="92" t="s">
        <v>636</v>
      </c>
      <c r="B889" s="5"/>
      <c r="C889" s="204">
        <f t="shared" ref="C889:N889" si="262">C888</f>
        <v>20.3599</v>
      </c>
      <c r="D889" s="204">
        <f t="shared" si="262"/>
        <v>15.8679</v>
      </c>
      <c r="E889" s="204">
        <f t="shared" si="262"/>
        <v>15.6672</v>
      </c>
      <c r="F889" s="204">
        <f t="shared" si="262"/>
        <v>15.2445</v>
      </c>
      <c r="G889" s="204">
        <f t="shared" si="262"/>
        <v>14.364</v>
      </c>
      <c r="H889" s="204">
        <f t="shared" si="262"/>
        <v>13.7816</v>
      </c>
      <c r="I889" s="204">
        <f t="shared" si="262"/>
        <v>14.7867</v>
      </c>
      <c r="J889" s="204">
        <f t="shared" si="262"/>
        <v>14.7867</v>
      </c>
      <c r="K889" s="204">
        <f t="shared" si="262"/>
        <v>14.7244</v>
      </c>
      <c r="L889" s="204">
        <f t="shared" si="262"/>
        <v>14.142</v>
      </c>
      <c r="M889" s="204">
        <f t="shared" si="262"/>
        <v>13.6219</v>
      </c>
      <c r="N889" s="204">
        <f t="shared" si="262"/>
        <v>21.2132</v>
      </c>
      <c r="O889" s="5"/>
      <c r="P889" s="5"/>
      <c r="Q889" s="5"/>
      <c r="R889" s="5"/>
      <c r="S889" s="5"/>
      <c r="T889" s="5"/>
      <c r="U889" s="5"/>
      <c r="V889" s="5"/>
      <c r="W889" s="5"/>
      <c r="X889" s="5"/>
      <c r="Y889" s="5"/>
      <c r="Z889" s="5"/>
    </row>
    <row r="890" ht="12.0" customHeight="1">
      <c r="A890" s="92" t="s">
        <v>637</v>
      </c>
      <c r="B890" s="5"/>
      <c r="C890" s="205">
        <f>'Resumen Capacidad'!$F$127</f>
        <v>41.53846154</v>
      </c>
      <c r="D890" s="205">
        <f>'Resumen Capacidad'!$F$127</f>
        <v>41.53846154</v>
      </c>
      <c r="E890" s="205">
        <f>'Resumen Capacidad'!$F$127</f>
        <v>41.53846154</v>
      </c>
      <c r="F890" s="205">
        <f>'Resumen Capacidad'!$F$127</f>
        <v>41.53846154</v>
      </c>
      <c r="G890" s="205">
        <f>'Resumen Capacidad'!$F$127</f>
        <v>41.53846154</v>
      </c>
      <c r="H890" s="205">
        <f>'Resumen Capacidad'!$F$127</f>
        <v>41.53846154</v>
      </c>
      <c r="I890" s="205">
        <f>'Resumen Capacidad'!$F$127</f>
        <v>41.53846154</v>
      </c>
      <c r="J890" s="205">
        <f>'Resumen Capacidad'!$F$127</f>
        <v>41.53846154</v>
      </c>
      <c r="K890" s="205">
        <f>'Resumen Capacidad'!$F$127</f>
        <v>41.53846154</v>
      </c>
      <c r="L890" s="205">
        <f>'Resumen Capacidad'!$F$127</f>
        <v>41.53846154</v>
      </c>
      <c r="M890" s="205">
        <f>'Resumen Capacidad'!$F$127</f>
        <v>41.53846154</v>
      </c>
      <c r="N890" s="205">
        <f>'Resumen Capacidad'!$F$127</f>
        <v>41.53846154</v>
      </c>
      <c r="O890" s="5"/>
      <c r="P890" s="5"/>
      <c r="Q890" s="5"/>
      <c r="R890" s="5"/>
      <c r="S890" s="5"/>
      <c r="T890" s="5"/>
      <c r="U890" s="5"/>
      <c r="V890" s="5"/>
      <c r="W890" s="5"/>
      <c r="X890" s="5"/>
      <c r="Y890" s="5"/>
      <c r="Z890" s="5"/>
    </row>
    <row r="891" ht="12.0" customHeight="1">
      <c r="A891" s="92" t="s">
        <v>640</v>
      </c>
      <c r="B891" s="5"/>
      <c r="C891" s="204">
        <f>'Resumen Capacidad'!$F$45*'Resumen Capacidad'!$F$81</f>
        <v>1</v>
      </c>
      <c r="D891" s="204">
        <f>'Resumen Capacidad'!$F$45*'Resumen Capacidad'!$F$81</f>
        <v>1</v>
      </c>
      <c r="E891" s="204">
        <f>'Resumen Capacidad'!$F$45*'Resumen Capacidad'!$F$81</f>
        <v>1</v>
      </c>
      <c r="F891" s="204">
        <f>'Resumen Capacidad'!$F$45*'Resumen Capacidad'!$F$81</f>
        <v>1</v>
      </c>
      <c r="G891" s="204">
        <f>'Resumen Capacidad'!$F$45*'Resumen Capacidad'!$F$81</f>
        <v>1</v>
      </c>
      <c r="H891" s="204">
        <f>'Resumen Capacidad'!$F$45*'Resumen Capacidad'!$F$81</f>
        <v>1</v>
      </c>
      <c r="I891" s="204">
        <f>'Resumen Capacidad'!$F$45*'Resumen Capacidad'!$F$81</f>
        <v>1</v>
      </c>
      <c r="J891" s="204">
        <f>'Resumen Capacidad'!$F$45*'Resumen Capacidad'!$F$81</f>
        <v>1</v>
      </c>
      <c r="K891" s="204">
        <f>'Resumen Capacidad'!$F$45*'Resumen Capacidad'!$F$81</f>
        <v>1</v>
      </c>
      <c r="L891" s="204">
        <f>'Resumen Capacidad'!$F$45*'Resumen Capacidad'!$F$81</f>
        <v>1</v>
      </c>
      <c r="M891" s="204">
        <f>'Resumen Capacidad'!$F$45*'Resumen Capacidad'!$F$81</f>
        <v>1</v>
      </c>
      <c r="N891" s="204">
        <f>'Resumen Capacidad'!$F$45*'Resumen Capacidad'!$F$81</f>
        <v>1</v>
      </c>
      <c r="O891" s="5"/>
      <c r="P891" s="5"/>
      <c r="Q891" s="5"/>
      <c r="R891" s="5"/>
      <c r="S891" s="5"/>
      <c r="T891" s="5"/>
      <c r="U891" s="5"/>
      <c r="V891" s="5"/>
      <c r="W891" s="5"/>
      <c r="X891" s="5"/>
      <c r="Y891" s="5"/>
      <c r="Z891" s="5"/>
    </row>
    <row r="892" ht="12.0" customHeight="1">
      <c r="A892" s="92" t="s">
        <v>642</v>
      </c>
      <c r="B892" s="5"/>
      <c r="C892" s="204">
        <f t="shared" ref="C892:N892" si="263">C890*C891</f>
        <v>41.53846154</v>
      </c>
      <c r="D892" s="204">
        <f t="shared" si="263"/>
        <v>41.53846154</v>
      </c>
      <c r="E892" s="204">
        <f t="shared" si="263"/>
        <v>41.53846154</v>
      </c>
      <c r="F892" s="204">
        <f t="shared" si="263"/>
        <v>41.53846154</v>
      </c>
      <c r="G892" s="204">
        <f t="shared" si="263"/>
        <v>41.53846154</v>
      </c>
      <c r="H892" s="204">
        <f t="shared" si="263"/>
        <v>41.53846154</v>
      </c>
      <c r="I892" s="204">
        <f t="shared" si="263"/>
        <v>41.53846154</v>
      </c>
      <c r="J892" s="204">
        <f t="shared" si="263"/>
        <v>41.53846154</v>
      </c>
      <c r="K892" s="204">
        <f t="shared" si="263"/>
        <v>41.53846154</v>
      </c>
      <c r="L892" s="204">
        <f t="shared" si="263"/>
        <v>41.53846154</v>
      </c>
      <c r="M892" s="204">
        <f t="shared" si="263"/>
        <v>41.53846154</v>
      </c>
      <c r="N892" s="204">
        <f t="shared" si="263"/>
        <v>41.53846154</v>
      </c>
      <c r="O892" s="5"/>
      <c r="P892" s="5"/>
      <c r="Q892" s="5"/>
      <c r="R892" s="5"/>
      <c r="S892" s="5"/>
      <c r="T892" s="5"/>
      <c r="U892" s="5"/>
      <c r="V892" s="5"/>
      <c r="W892" s="5"/>
      <c r="X892" s="5"/>
      <c r="Y892" s="5"/>
      <c r="Z892" s="5"/>
    </row>
    <row r="893" ht="12.0" customHeight="1">
      <c r="A893" s="92" t="s">
        <v>643</v>
      </c>
      <c r="B893" s="5"/>
      <c r="C893" s="206">
        <f t="shared" ref="C893:N893" si="264">IF(C892=0,0,C889/C892)</f>
        <v>0.4901457407</v>
      </c>
      <c r="D893" s="206">
        <f t="shared" si="264"/>
        <v>0.382005</v>
      </c>
      <c r="E893" s="206">
        <f t="shared" si="264"/>
        <v>0.3771733333</v>
      </c>
      <c r="F893" s="206">
        <f t="shared" si="264"/>
        <v>0.3669972222</v>
      </c>
      <c r="G893" s="206">
        <f t="shared" si="264"/>
        <v>0.3458</v>
      </c>
      <c r="H893" s="206">
        <f t="shared" si="264"/>
        <v>0.3317792593</v>
      </c>
      <c r="I893" s="206">
        <f t="shared" si="264"/>
        <v>0.3559761111</v>
      </c>
      <c r="J893" s="206">
        <f t="shared" si="264"/>
        <v>0.3559761111</v>
      </c>
      <c r="K893" s="206">
        <f t="shared" si="264"/>
        <v>0.3544762963</v>
      </c>
      <c r="L893" s="206">
        <f t="shared" si="264"/>
        <v>0.3404555556</v>
      </c>
      <c r="M893" s="206">
        <f t="shared" si="264"/>
        <v>0.3279346296</v>
      </c>
      <c r="N893" s="206">
        <f t="shared" si="264"/>
        <v>0.5106881481</v>
      </c>
      <c r="O893" s="5"/>
      <c r="P893" s="5"/>
      <c r="Q893" s="5"/>
      <c r="R893" s="5"/>
      <c r="S893" s="5"/>
      <c r="T893" s="5"/>
      <c r="U893" s="5"/>
      <c r="V893" s="5"/>
      <c r="W893" s="5"/>
      <c r="X893" s="5"/>
      <c r="Y893" s="5"/>
      <c r="Z893" s="5"/>
    </row>
    <row r="894" ht="12.0" customHeight="1">
      <c r="A894" s="201" t="s">
        <v>698</v>
      </c>
      <c r="B894" s="202"/>
      <c r="C894" s="202"/>
      <c r="D894" s="202"/>
      <c r="E894" s="202"/>
      <c r="F894" s="202"/>
      <c r="G894" s="202"/>
      <c r="H894" s="202"/>
      <c r="I894" s="202"/>
      <c r="J894" s="202"/>
      <c r="K894" s="202"/>
      <c r="L894" s="202"/>
      <c r="M894" s="202"/>
      <c r="N894" s="202"/>
      <c r="O894" s="5"/>
      <c r="P894" s="5"/>
      <c r="Q894" s="5"/>
      <c r="R894" s="5"/>
      <c r="S894" s="5"/>
      <c r="T894" s="5"/>
      <c r="U894" s="5"/>
      <c r="V894" s="5"/>
      <c r="W894" s="5"/>
      <c r="X894" s="5"/>
      <c r="Y894" s="5"/>
      <c r="Z894" s="5"/>
    </row>
    <row r="895" ht="12.0" customHeight="1">
      <c r="A895" s="201" t="s">
        <v>630</v>
      </c>
      <c r="B895" s="201" t="s">
        <v>631</v>
      </c>
      <c r="C895" s="201" t="s">
        <v>3</v>
      </c>
      <c r="D895" s="201" t="s">
        <v>4</v>
      </c>
      <c r="E895" s="201" t="s">
        <v>5</v>
      </c>
      <c r="F895" s="201" t="s">
        <v>6</v>
      </c>
      <c r="G895" s="201" t="s">
        <v>7</v>
      </c>
      <c r="H895" s="201" t="s">
        <v>8</v>
      </c>
      <c r="I895" s="201" t="s">
        <v>9</v>
      </c>
      <c r="J895" s="201" t="s">
        <v>10</v>
      </c>
      <c r="K895" s="201" t="s">
        <v>11</v>
      </c>
      <c r="L895" s="201" t="s">
        <v>12</v>
      </c>
      <c r="M895" s="201" t="s">
        <v>13</v>
      </c>
      <c r="N895" s="201" t="s">
        <v>14</v>
      </c>
      <c r="O895" s="5"/>
      <c r="P895" s="5"/>
      <c r="Q895" s="5"/>
      <c r="R895" s="5"/>
      <c r="S895" s="5"/>
      <c r="T895" s="5"/>
      <c r="U895" s="5"/>
      <c r="V895" s="5"/>
      <c r="W895" s="5"/>
      <c r="X895" s="5"/>
      <c r="Y895" s="5"/>
      <c r="Z895" s="5"/>
    </row>
    <row r="896" ht="12.0" customHeight="1">
      <c r="A896" s="92" t="s">
        <v>694</v>
      </c>
      <c r="B896" s="92" t="s">
        <v>633</v>
      </c>
      <c r="C896" s="203">
        <f>SUM('2030'!B6:B9)+Parametros!$B$72*C2421</f>
        <v>3053.985</v>
      </c>
      <c r="D896" s="203">
        <f>SUM('2030'!C6:C9)+Parametros!$B$72*D2421</f>
        <v>2380.185</v>
      </c>
      <c r="E896" s="203">
        <f>SUM('2030'!D6:D9)+Parametros!$B$72*E2421</f>
        <v>2350.08</v>
      </c>
      <c r="F896" s="203">
        <f>SUM('2030'!E6:E9)+Parametros!$B$72*F2421</f>
        <v>2286.675</v>
      </c>
      <c r="G896" s="203">
        <f>SUM('2030'!F6:F9)+Parametros!$B$72*G2421</f>
        <v>2154.6</v>
      </c>
      <c r="H896" s="203">
        <f>SUM('2030'!G6:G9)+Parametros!$B$72*H2421</f>
        <v>2067.24</v>
      </c>
      <c r="I896" s="203">
        <f>SUM('2030'!H6:H9)+Parametros!$B$72*I2421</f>
        <v>2218.005</v>
      </c>
      <c r="J896" s="203">
        <f>SUM('2030'!I6:I9)+Parametros!$B$72*J2421</f>
        <v>2218.005</v>
      </c>
      <c r="K896" s="203">
        <f>SUM('2030'!J6:J9)+Parametros!$B$72*K2421</f>
        <v>2208.66</v>
      </c>
      <c r="L896" s="203">
        <f>SUM('2030'!K6:K9)+Parametros!$B$72*L2421</f>
        <v>2121.3</v>
      </c>
      <c r="M896" s="203">
        <f>SUM('2030'!L6:L9)+Parametros!$B$72*M2421</f>
        <v>2043.285</v>
      </c>
      <c r="N896" s="203">
        <f>SUM('2030'!M6:M9)+Parametros!$B$72*N2421</f>
        <v>3181.98</v>
      </c>
      <c r="O896" s="5"/>
      <c r="P896" s="5"/>
      <c r="Q896" s="5"/>
      <c r="R896" s="5"/>
      <c r="S896" s="5"/>
      <c r="T896" s="5"/>
      <c r="U896" s="5"/>
      <c r="V896" s="5"/>
      <c r="W896" s="5"/>
      <c r="X896" s="5"/>
      <c r="Y896" s="5"/>
      <c r="Z896" s="5"/>
    </row>
    <row r="897" ht="12.0" customHeight="1">
      <c r="A897" s="5"/>
      <c r="B897" s="92" t="s">
        <v>634</v>
      </c>
      <c r="C897" s="204">
        <f>C896/Parametros!$B$37</f>
        <v>152.69925</v>
      </c>
      <c r="D897" s="204">
        <f>D896/Parametros!$B$37</f>
        <v>119.00925</v>
      </c>
      <c r="E897" s="204">
        <f>E896/Parametros!$B$37</f>
        <v>117.504</v>
      </c>
      <c r="F897" s="204">
        <f>F896/Parametros!$B$37</f>
        <v>114.33375</v>
      </c>
      <c r="G897" s="204">
        <f>G896/Parametros!$B$37</f>
        <v>107.73</v>
      </c>
      <c r="H897" s="204">
        <f>H896/Parametros!$B$37</f>
        <v>103.362</v>
      </c>
      <c r="I897" s="204">
        <f>I896/Parametros!$B$37</f>
        <v>110.90025</v>
      </c>
      <c r="J897" s="204">
        <f>J896/Parametros!$B$37</f>
        <v>110.90025</v>
      </c>
      <c r="K897" s="204">
        <f>K896/Parametros!$B$37</f>
        <v>110.433</v>
      </c>
      <c r="L897" s="204">
        <f>L896/Parametros!$B$37</f>
        <v>106.065</v>
      </c>
      <c r="M897" s="204">
        <f>M896/Parametros!$B$37</f>
        <v>102.16425</v>
      </c>
      <c r="N897" s="204">
        <f>N896/Parametros!$B$37</f>
        <v>159.099</v>
      </c>
      <c r="O897" s="5"/>
      <c r="P897" s="5"/>
      <c r="Q897" s="5"/>
      <c r="R897" s="5"/>
      <c r="S897" s="5"/>
      <c r="T897" s="5"/>
      <c r="U897" s="5"/>
      <c r="V897" s="5"/>
      <c r="W897" s="5"/>
      <c r="X897" s="5"/>
      <c r="Y897" s="5"/>
      <c r="Z897" s="5"/>
    </row>
    <row r="898" ht="12.0" customHeight="1">
      <c r="A898" s="5"/>
      <c r="B898" s="92" t="s">
        <v>635</v>
      </c>
      <c r="C898" s="204">
        <f>C897/Parametros!$J$37</f>
        <v>20.3599</v>
      </c>
      <c r="D898" s="204">
        <f>D897/Parametros!$J$37</f>
        <v>15.8679</v>
      </c>
      <c r="E898" s="204">
        <f>E897/Parametros!$J$37</f>
        <v>15.6672</v>
      </c>
      <c r="F898" s="204">
        <f>F897/Parametros!$J$37</f>
        <v>15.2445</v>
      </c>
      <c r="G898" s="204">
        <f>G897/Parametros!$J$37</f>
        <v>14.364</v>
      </c>
      <c r="H898" s="204">
        <f>H897/Parametros!$J$37</f>
        <v>13.7816</v>
      </c>
      <c r="I898" s="204">
        <f>I897/Parametros!$J$37</f>
        <v>14.7867</v>
      </c>
      <c r="J898" s="204">
        <f>J897/Parametros!$J$37</f>
        <v>14.7867</v>
      </c>
      <c r="K898" s="204">
        <f>K897/Parametros!$J$37</f>
        <v>14.7244</v>
      </c>
      <c r="L898" s="204">
        <f>L897/Parametros!$J$37</f>
        <v>14.142</v>
      </c>
      <c r="M898" s="204">
        <f>M897/Parametros!$J$37</f>
        <v>13.6219</v>
      </c>
      <c r="N898" s="204">
        <f>N897/Parametros!$J$37</f>
        <v>21.2132</v>
      </c>
      <c r="O898" s="5"/>
      <c r="P898" s="5"/>
      <c r="Q898" s="5"/>
      <c r="R898" s="5"/>
      <c r="S898" s="5"/>
      <c r="T898" s="5"/>
      <c r="U898" s="5"/>
      <c r="V898" s="5"/>
      <c r="W898" s="5"/>
      <c r="X898" s="5"/>
      <c r="Y898" s="5"/>
      <c r="Z898" s="5"/>
    </row>
    <row r="899" ht="12.0" customHeight="1">
      <c r="A899" s="92" t="s">
        <v>636</v>
      </c>
      <c r="B899" s="5"/>
      <c r="C899" s="204">
        <f t="shared" ref="C899:N899" si="265">C898</f>
        <v>20.3599</v>
      </c>
      <c r="D899" s="204">
        <f t="shared" si="265"/>
        <v>15.8679</v>
      </c>
      <c r="E899" s="204">
        <f t="shared" si="265"/>
        <v>15.6672</v>
      </c>
      <c r="F899" s="204">
        <f t="shared" si="265"/>
        <v>15.2445</v>
      </c>
      <c r="G899" s="204">
        <f t="shared" si="265"/>
        <v>14.364</v>
      </c>
      <c r="H899" s="204">
        <f t="shared" si="265"/>
        <v>13.7816</v>
      </c>
      <c r="I899" s="204">
        <f t="shared" si="265"/>
        <v>14.7867</v>
      </c>
      <c r="J899" s="204">
        <f t="shared" si="265"/>
        <v>14.7867</v>
      </c>
      <c r="K899" s="204">
        <f t="shared" si="265"/>
        <v>14.7244</v>
      </c>
      <c r="L899" s="204">
        <f t="shared" si="265"/>
        <v>14.142</v>
      </c>
      <c r="M899" s="204">
        <f t="shared" si="265"/>
        <v>13.6219</v>
      </c>
      <c r="N899" s="204">
        <f t="shared" si="265"/>
        <v>21.2132</v>
      </c>
      <c r="O899" s="5"/>
      <c r="P899" s="5"/>
      <c r="Q899" s="5"/>
      <c r="R899" s="5"/>
      <c r="S899" s="5"/>
      <c r="T899" s="5"/>
      <c r="U899" s="5"/>
      <c r="V899" s="5"/>
      <c r="W899" s="5"/>
      <c r="X899" s="5"/>
      <c r="Y899" s="5"/>
      <c r="Z899" s="5"/>
    </row>
    <row r="900" ht="12.0" customHeight="1">
      <c r="A900" s="92" t="s">
        <v>637</v>
      </c>
      <c r="B900" s="5"/>
      <c r="C900" s="205">
        <f>'Resumen Capacidad'!$F$128</f>
        <v>45.81818182</v>
      </c>
      <c r="D900" s="205">
        <f>'Resumen Capacidad'!$F$128</f>
        <v>45.81818182</v>
      </c>
      <c r="E900" s="205">
        <f>'Resumen Capacidad'!$F$128</f>
        <v>45.81818182</v>
      </c>
      <c r="F900" s="205">
        <f>'Resumen Capacidad'!$F$128</f>
        <v>45.81818182</v>
      </c>
      <c r="G900" s="205">
        <f>'Resumen Capacidad'!$F$128</f>
        <v>45.81818182</v>
      </c>
      <c r="H900" s="205">
        <f>'Resumen Capacidad'!$F$128</f>
        <v>45.81818182</v>
      </c>
      <c r="I900" s="205">
        <f>'Resumen Capacidad'!$F$128</f>
        <v>45.81818182</v>
      </c>
      <c r="J900" s="205">
        <f>'Resumen Capacidad'!$F$128</f>
        <v>45.81818182</v>
      </c>
      <c r="K900" s="205">
        <f>'Resumen Capacidad'!$F$128</f>
        <v>45.81818182</v>
      </c>
      <c r="L900" s="205">
        <f>'Resumen Capacidad'!$F$128</f>
        <v>45.81818182</v>
      </c>
      <c r="M900" s="205">
        <f>'Resumen Capacidad'!$F$128</f>
        <v>45.81818182</v>
      </c>
      <c r="N900" s="205">
        <f>'Resumen Capacidad'!$F$128</f>
        <v>45.81818182</v>
      </c>
      <c r="O900" s="5"/>
      <c r="P900" s="5"/>
      <c r="Q900" s="5"/>
      <c r="R900" s="5"/>
      <c r="S900" s="5"/>
      <c r="T900" s="5"/>
      <c r="U900" s="5"/>
      <c r="V900" s="5"/>
      <c r="W900" s="5"/>
      <c r="X900" s="5"/>
      <c r="Y900" s="5"/>
      <c r="Z900" s="5"/>
    </row>
    <row r="901" ht="12.0" customHeight="1">
      <c r="A901" s="92" t="s">
        <v>640</v>
      </c>
      <c r="B901" s="5"/>
      <c r="C901" s="204">
        <f>'Resumen Capacidad'!$F$46*'Resumen Capacidad'!$F$82</f>
        <v>1</v>
      </c>
      <c r="D901" s="204">
        <f>'Resumen Capacidad'!$F$46*'Resumen Capacidad'!$F$82</f>
        <v>1</v>
      </c>
      <c r="E901" s="204">
        <f>'Resumen Capacidad'!$F$46*'Resumen Capacidad'!$F$82</f>
        <v>1</v>
      </c>
      <c r="F901" s="204">
        <f>'Resumen Capacidad'!$F$46*'Resumen Capacidad'!$F$82</f>
        <v>1</v>
      </c>
      <c r="G901" s="204">
        <f>'Resumen Capacidad'!$F$46*'Resumen Capacidad'!$F$82</f>
        <v>1</v>
      </c>
      <c r="H901" s="204">
        <f>'Resumen Capacidad'!$F$46*'Resumen Capacidad'!$F$82</f>
        <v>1</v>
      </c>
      <c r="I901" s="204">
        <f>'Resumen Capacidad'!$F$46*'Resumen Capacidad'!$F$82</f>
        <v>1</v>
      </c>
      <c r="J901" s="204">
        <f>'Resumen Capacidad'!$F$46*'Resumen Capacidad'!$F$82</f>
        <v>1</v>
      </c>
      <c r="K901" s="204">
        <f>'Resumen Capacidad'!$F$46*'Resumen Capacidad'!$F$82</f>
        <v>1</v>
      </c>
      <c r="L901" s="204">
        <f>'Resumen Capacidad'!$F$46*'Resumen Capacidad'!$F$82</f>
        <v>1</v>
      </c>
      <c r="M901" s="204">
        <f>'Resumen Capacidad'!$F$46*'Resumen Capacidad'!$F$82</f>
        <v>1</v>
      </c>
      <c r="N901" s="204">
        <f>'Resumen Capacidad'!$F$46*'Resumen Capacidad'!$F$82</f>
        <v>1</v>
      </c>
      <c r="O901" s="5"/>
      <c r="P901" s="5"/>
      <c r="Q901" s="5"/>
      <c r="R901" s="5"/>
      <c r="S901" s="5"/>
      <c r="T901" s="5"/>
      <c r="U901" s="5"/>
      <c r="V901" s="5"/>
      <c r="W901" s="5"/>
      <c r="X901" s="5"/>
      <c r="Y901" s="5"/>
      <c r="Z901" s="5"/>
    </row>
    <row r="902" ht="12.0" customHeight="1">
      <c r="A902" s="92" t="s">
        <v>642</v>
      </c>
      <c r="B902" s="5"/>
      <c r="C902" s="204">
        <f t="shared" ref="C902:N902" si="266">C900*C901</f>
        <v>45.81818182</v>
      </c>
      <c r="D902" s="204">
        <f t="shared" si="266"/>
        <v>45.81818182</v>
      </c>
      <c r="E902" s="204">
        <f t="shared" si="266"/>
        <v>45.81818182</v>
      </c>
      <c r="F902" s="204">
        <f t="shared" si="266"/>
        <v>45.81818182</v>
      </c>
      <c r="G902" s="204">
        <f t="shared" si="266"/>
        <v>45.81818182</v>
      </c>
      <c r="H902" s="204">
        <f t="shared" si="266"/>
        <v>45.81818182</v>
      </c>
      <c r="I902" s="204">
        <f t="shared" si="266"/>
        <v>45.81818182</v>
      </c>
      <c r="J902" s="204">
        <f t="shared" si="266"/>
        <v>45.81818182</v>
      </c>
      <c r="K902" s="204">
        <f t="shared" si="266"/>
        <v>45.81818182</v>
      </c>
      <c r="L902" s="204">
        <f t="shared" si="266"/>
        <v>45.81818182</v>
      </c>
      <c r="M902" s="204">
        <f t="shared" si="266"/>
        <v>45.81818182</v>
      </c>
      <c r="N902" s="204">
        <f t="shared" si="266"/>
        <v>45.81818182</v>
      </c>
      <c r="O902" s="5"/>
      <c r="P902" s="5"/>
      <c r="Q902" s="5"/>
      <c r="R902" s="5"/>
      <c r="S902" s="5"/>
      <c r="T902" s="5"/>
      <c r="U902" s="5"/>
      <c r="V902" s="5"/>
      <c r="W902" s="5"/>
      <c r="X902" s="5"/>
      <c r="Y902" s="5"/>
      <c r="Z902" s="5"/>
    </row>
    <row r="903" ht="12.0" customHeight="1">
      <c r="A903" s="92" t="s">
        <v>643</v>
      </c>
      <c r="B903" s="5"/>
      <c r="C903" s="206">
        <f t="shared" ref="C903:N903" si="267">IF(C902=0,0,C899/C902)</f>
        <v>0.4443628968</v>
      </c>
      <c r="D903" s="206">
        <f t="shared" si="267"/>
        <v>0.3463232143</v>
      </c>
      <c r="E903" s="206">
        <f t="shared" si="267"/>
        <v>0.3419428571</v>
      </c>
      <c r="F903" s="206">
        <f t="shared" si="267"/>
        <v>0.3327172619</v>
      </c>
      <c r="G903" s="206">
        <f t="shared" si="267"/>
        <v>0.3135</v>
      </c>
      <c r="H903" s="206">
        <f t="shared" si="267"/>
        <v>0.3007888889</v>
      </c>
      <c r="I903" s="206">
        <f t="shared" si="267"/>
        <v>0.3227255952</v>
      </c>
      <c r="J903" s="206">
        <f t="shared" si="267"/>
        <v>0.3227255952</v>
      </c>
      <c r="K903" s="206">
        <f t="shared" si="267"/>
        <v>0.321365873</v>
      </c>
      <c r="L903" s="206">
        <f t="shared" si="267"/>
        <v>0.3086547619</v>
      </c>
      <c r="M903" s="206">
        <f t="shared" si="267"/>
        <v>0.297303373</v>
      </c>
      <c r="N903" s="206">
        <f t="shared" si="267"/>
        <v>0.4629865079</v>
      </c>
      <c r="O903" s="5"/>
      <c r="P903" s="5"/>
      <c r="Q903" s="5"/>
      <c r="R903" s="5"/>
      <c r="S903" s="5"/>
      <c r="T903" s="5"/>
      <c r="U903" s="5"/>
      <c r="V903" s="5"/>
      <c r="W903" s="5"/>
      <c r="X903" s="5"/>
      <c r="Y903" s="5"/>
      <c r="Z903" s="5"/>
    </row>
    <row r="904" ht="12.0" customHeight="1">
      <c r="A904" s="201" t="s">
        <v>699</v>
      </c>
      <c r="B904" s="202"/>
      <c r="C904" s="202"/>
      <c r="D904" s="202"/>
      <c r="E904" s="202"/>
      <c r="F904" s="202"/>
      <c r="G904" s="202"/>
      <c r="H904" s="202"/>
      <c r="I904" s="202"/>
      <c r="J904" s="202"/>
      <c r="K904" s="202"/>
      <c r="L904" s="202"/>
      <c r="M904" s="202"/>
      <c r="N904" s="202"/>
      <c r="O904" s="5"/>
      <c r="P904" s="5"/>
      <c r="Q904" s="5"/>
      <c r="R904" s="5"/>
      <c r="S904" s="5"/>
      <c r="T904" s="5"/>
      <c r="U904" s="5"/>
      <c r="V904" s="5"/>
      <c r="W904" s="5"/>
      <c r="X904" s="5"/>
      <c r="Y904" s="5"/>
      <c r="Z904" s="5"/>
    </row>
    <row r="905" ht="12.0" customHeight="1">
      <c r="A905" s="201" t="s">
        <v>630</v>
      </c>
      <c r="B905" s="201" t="s">
        <v>631</v>
      </c>
      <c r="C905" s="201" t="s">
        <v>3</v>
      </c>
      <c r="D905" s="201" t="s">
        <v>4</v>
      </c>
      <c r="E905" s="201" t="s">
        <v>5</v>
      </c>
      <c r="F905" s="201" t="s">
        <v>6</v>
      </c>
      <c r="G905" s="201" t="s">
        <v>7</v>
      </c>
      <c r="H905" s="201" t="s">
        <v>8</v>
      </c>
      <c r="I905" s="201" t="s">
        <v>9</v>
      </c>
      <c r="J905" s="201" t="s">
        <v>10</v>
      </c>
      <c r="K905" s="201" t="s">
        <v>11</v>
      </c>
      <c r="L905" s="201" t="s">
        <v>12</v>
      </c>
      <c r="M905" s="201" t="s">
        <v>13</v>
      </c>
      <c r="N905" s="201" t="s">
        <v>14</v>
      </c>
      <c r="O905" s="5"/>
      <c r="P905" s="5"/>
      <c r="Q905" s="5"/>
      <c r="R905" s="5"/>
      <c r="S905" s="5"/>
      <c r="T905" s="5"/>
      <c r="U905" s="5"/>
      <c r="V905" s="5"/>
      <c r="W905" s="5"/>
      <c r="X905" s="5"/>
      <c r="Y905" s="5"/>
      <c r="Z905" s="5"/>
    </row>
    <row r="906" ht="12.0" customHeight="1">
      <c r="A906" s="92" t="s">
        <v>632</v>
      </c>
      <c r="B906" s="92" t="s">
        <v>633</v>
      </c>
      <c r="C906" s="203">
        <f>SUM('2030'!B6:B9)+SUM('2030'!B17:B20)</f>
        <v>10033.02</v>
      </c>
      <c r="D906" s="203">
        <f>SUM('2030'!C6:C9)+SUM('2030'!C17:C20)</f>
        <v>7653.72</v>
      </c>
      <c r="E906" s="203">
        <f>SUM('2030'!D6:D9)+SUM('2030'!D17:D20)</f>
        <v>7161.515</v>
      </c>
      <c r="F906" s="203">
        <f>SUM('2030'!E6:E9)+SUM('2030'!E17:E20)</f>
        <v>6850.935</v>
      </c>
      <c r="G906" s="203">
        <f>SUM('2030'!F6:F9)+SUM('2030'!F17:F20)</f>
        <v>6411.4</v>
      </c>
      <c r="H906" s="203">
        <f>SUM('2030'!G6:G9)+SUM('2030'!G17:G20)</f>
        <v>6282.445</v>
      </c>
      <c r="I906" s="203">
        <f>SUM('2030'!H6:H9)+SUM('2030'!H17:H20)</f>
        <v>6721.98</v>
      </c>
      <c r="J906" s="203">
        <f>SUM('2030'!I6:I9)+SUM('2030'!I17:I20)</f>
        <v>6721.98</v>
      </c>
      <c r="K906" s="203">
        <f>SUM('2030'!J6:J9)+SUM('2030'!J17:J20)</f>
        <v>6721.98</v>
      </c>
      <c r="L906" s="203">
        <f>SUM('2030'!K6:K9)+SUM('2030'!K17:K20)</f>
        <v>6593.025</v>
      </c>
      <c r="M906" s="203">
        <f>SUM('2030'!L6:L9)+SUM('2030'!L17:L20)</f>
        <v>6464.07</v>
      </c>
      <c r="N906" s="203">
        <f>SUM('2030'!M6:M9)+SUM('2030'!M17:M20)</f>
        <v>10290.93</v>
      </c>
      <c r="O906" s="5"/>
      <c r="P906" s="5"/>
      <c r="Q906" s="5"/>
      <c r="R906" s="5"/>
      <c r="S906" s="5"/>
      <c r="T906" s="5"/>
      <c r="U906" s="5"/>
      <c r="V906" s="5"/>
      <c r="W906" s="5"/>
      <c r="X906" s="5"/>
      <c r="Y906" s="5"/>
      <c r="Z906" s="5"/>
    </row>
    <row r="907" ht="12.0" customHeight="1">
      <c r="A907" s="5"/>
      <c r="B907" s="92" t="s">
        <v>634</v>
      </c>
      <c r="C907" s="204">
        <f>C906/Parametros!$B$37</f>
        <v>501.651</v>
      </c>
      <c r="D907" s="204">
        <f>D906/Parametros!$B$37</f>
        <v>382.686</v>
      </c>
      <c r="E907" s="204">
        <f>E906/Parametros!$B$37</f>
        <v>358.07575</v>
      </c>
      <c r="F907" s="204">
        <f>F906/Parametros!$B$37</f>
        <v>342.54675</v>
      </c>
      <c r="G907" s="204">
        <f>G906/Parametros!$B$37</f>
        <v>320.57</v>
      </c>
      <c r="H907" s="204">
        <f>H906/Parametros!$B$37</f>
        <v>314.12225</v>
      </c>
      <c r="I907" s="204">
        <f>I906/Parametros!$B$37</f>
        <v>336.099</v>
      </c>
      <c r="J907" s="204">
        <f>J906/Parametros!$B$37</f>
        <v>336.099</v>
      </c>
      <c r="K907" s="204">
        <f>K906/Parametros!$B$37</f>
        <v>336.099</v>
      </c>
      <c r="L907" s="204">
        <f>L906/Parametros!$B$37</f>
        <v>329.65125</v>
      </c>
      <c r="M907" s="204">
        <f>M906/Parametros!$B$37</f>
        <v>323.2035</v>
      </c>
      <c r="N907" s="204">
        <f>N906/Parametros!$B$37</f>
        <v>514.5465</v>
      </c>
      <c r="O907" s="5"/>
      <c r="P907" s="5"/>
      <c r="Q907" s="5"/>
      <c r="R907" s="5"/>
      <c r="S907" s="5"/>
      <c r="T907" s="5"/>
      <c r="U907" s="5"/>
      <c r="V907" s="5"/>
      <c r="W907" s="5"/>
      <c r="X907" s="5"/>
      <c r="Y907" s="5"/>
      <c r="Z907" s="5"/>
    </row>
    <row r="908" ht="12.0" customHeight="1">
      <c r="A908" s="5"/>
      <c r="B908" s="92" t="s">
        <v>635</v>
      </c>
      <c r="C908" s="204">
        <f>C907/Parametros!$J$37</f>
        <v>66.8868</v>
      </c>
      <c r="D908" s="204">
        <f>D907/Parametros!$J$37</f>
        <v>51.0248</v>
      </c>
      <c r="E908" s="204">
        <f>E907/Parametros!$J$37</f>
        <v>47.74343333</v>
      </c>
      <c r="F908" s="204">
        <f>F907/Parametros!$J$37</f>
        <v>45.6729</v>
      </c>
      <c r="G908" s="204">
        <f>G907/Parametros!$J$37</f>
        <v>42.74266667</v>
      </c>
      <c r="H908" s="204">
        <f>H907/Parametros!$J$37</f>
        <v>41.88296667</v>
      </c>
      <c r="I908" s="204">
        <f>I907/Parametros!$J$37</f>
        <v>44.8132</v>
      </c>
      <c r="J908" s="204">
        <f>J907/Parametros!$J$37</f>
        <v>44.8132</v>
      </c>
      <c r="K908" s="204">
        <f>K907/Parametros!$J$37</f>
        <v>44.8132</v>
      </c>
      <c r="L908" s="204">
        <f>L907/Parametros!$J$37</f>
        <v>43.9535</v>
      </c>
      <c r="M908" s="204">
        <f>M907/Parametros!$J$37</f>
        <v>43.0938</v>
      </c>
      <c r="N908" s="204">
        <f>N907/Parametros!$J$37</f>
        <v>68.6062</v>
      </c>
      <c r="O908" s="5"/>
      <c r="P908" s="5"/>
      <c r="Q908" s="5"/>
      <c r="R908" s="5"/>
      <c r="S908" s="5"/>
      <c r="T908" s="5"/>
      <c r="U908" s="5"/>
      <c r="V908" s="5"/>
      <c r="W908" s="5"/>
      <c r="X908" s="5"/>
      <c r="Y908" s="5"/>
      <c r="Z908" s="5"/>
    </row>
    <row r="909" ht="12.0" customHeight="1">
      <c r="A909" s="92" t="s">
        <v>636</v>
      </c>
      <c r="B909" s="5"/>
      <c r="C909" s="204">
        <f t="shared" ref="C909:N909" si="268">C908</f>
        <v>66.8868</v>
      </c>
      <c r="D909" s="204">
        <f t="shared" si="268"/>
        <v>51.0248</v>
      </c>
      <c r="E909" s="204">
        <f t="shared" si="268"/>
        <v>47.74343333</v>
      </c>
      <c r="F909" s="204">
        <f t="shared" si="268"/>
        <v>45.6729</v>
      </c>
      <c r="G909" s="204">
        <f t="shared" si="268"/>
        <v>42.74266667</v>
      </c>
      <c r="H909" s="204">
        <f t="shared" si="268"/>
        <v>41.88296667</v>
      </c>
      <c r="I909" s="204">
        <f t="shared" si="268"/>
        <v>44.8132</v>
      </c>
      <c r="J909" s="204">
        <f t="shared" si="268"/>
        <v>44.8132</v>
      </c>
      <c r="K909" s="204">
        <f t="shared" si="268"/>
        <v>44.8132</v>
      </c>
      <c r="L909" s="204">
        <f t="shared" si="268"/>
        <v>43.9535</v>
      </c>
      <c r="M909" s="204">
        <f t="shared" si="268"/>
        <v>43.0938</v>
      </c>
      <c r="N909" s="204">
        <f t="shared" si="268"/>
        <v>68.6062</v>
      </c>
      <c r="O909" s="5"/>
      <c r="P909" s="5"/>
      <c r="Q909" s="5"/>
      <c r="R909" s="5"/>
      <c r="S909" s="5"/>
      <c r="T909" s="5"/>
      <c r="U909" s="5"/>
      <c r="V909" s="5"/>
      <c r="W909" s="5"/>
      <c r="X909" s="5"/>
      <c r="Y909" s="5"/>
      <c r="Z909" s="5"/>
    </row>
    <row r="910" ht="12.0" customHeight="1">
      <c r="A910" s="92" t="s">
        <v>637</v>
      </c>
      <c r="B910" s="5"/>
      <c r="C910" s="205">
        <f>'Resumen Capacidad'!$F$129</f>
        <v>48.81355932</v>
      </c>
      <c r="D910" s="205">
        <f>'Resumen Capacidad'!$F$129</f>
        <v>48.81355932</v>
      </c>
      <c r="E910" s="205">
        <f>'Resumen Capacidad'!$F$129</f>
        <v>48.81355932</v>
      </c>
      <c r="F910" s="205">
        <f>'Resumen Capacidad'!$F$129</f>
        <v>48.81355932</v>
      </c>
      <c r="G910" s="205">
        <f>'Resumen Capacidad'!$F$129</f>
        <v>48.81355932</v>
      </c>
      <c r="H910" s="205">
        <f>'Resumen Capacidad'!$F$129</f>
        <v>48.81355932</v>
      </c>
      <c r="I910" s="205">
        <f>'Resumen Capacidad'!$F$129</f>
        <v>48.81355932</v>
      </c>
      <c r="J910" s="205">
        <f>'Resumen Capacidad'!$F$129</f>
        <v>48.81355932</v>
      </c>
      <c r="K910" s="205">
        <f>'Resumen Capacidad'!$F$129</f>
        <v>48.81355932</v>
      </c>
      <c r="L910" s="205">
        <f>'Resumen Capacidad'!$F$129</f>
        <v>48.81355932</v>
      </c>
      <c r="M910" s="205">
        <f>'Resumen Capacidad'!$F$129</f>
        <v>48.81355932</v>
      </c>
      <c r="N910" s="205">
        <f>'Resumen Capacidad'!$F$129</f>
        <v>48.81355932</v>
      </c>
      <c r="O910" s="5"/>
      <c r="P910" s="5"/>
      <c r="Q910" s="5"/>
      <c r="R910" s="5"/>
      <c r="S910" s="5"/>
      <c r="T910" s="5"/>
      <c r="U910" s="5"/>
      <c r="V910" s="5"/>
      <c r="W910" s="5"/>
      <c r="X910" s="5"/>
      <c r="Y910" s="5"/>
      <c r="Z910" s="5"/>
    </row>
    <row r="911" ht="12.0" customHeight="1">
      <c r="A911" s="92" t="s">
        <v>640</v>
      </c>
      <c r="B911" s="5"/>
      <c r="C911" s="204">
        <f>'Resumen Capacidad'!$F$47*'Resumen Capacidad'!$F$83</f>
        <v>2</v>
      </c>
      <c r="D911" s="204">
        <f>'Resumen Capacidad'!$F$47*'Resumen Capacidad'!$F$83</f>
        <v>2</v>
      </c>
      <c r="E911" s="204">
        <f>'Resumen Capacidad'!$F$47*'Resumen Capacidad'!$F$83</f>
        <v>2</v>
      </c>
      <c r="F911" s="204">
        <f>'Resumen Capacidad'!$F$47*'Resumen Capacidad'!$F$83</f>
        <v>2</v>
      </c>
      <c r="G911" s="204">
        <f>'Resumen Capacidad'!$F$47*'Resumen Capacidad'!$F$83</f>
        <v>2</v>
      </c>
      <c r="H911" s="204">
        <f>'Resumen Capacidad'!$F$47*'Resumen Capacidad'!$F$83</f>
        <v>2</v>
      </c>
      <c r="I911" s="204">
        <f>'Resumen Capacidad'!$F$47*'Resumen Capacidad'!$F$83</f>
        <v>2</v>
      </c>
      <c r="J911" s="204">
        <f>'Resumen Capacidad'!$F$47*'Resumen Capacidad'!$F$83</f>
        <v>2</v>
      </c>
      <c r="K911" s="204">
        <f>'Resumen Capacidad'!$F$47*'Resumen Capacidad'!$F$83</f>
        <v>2</v>
      </c>
      <c r="L911" s="204">
        <f>'Resumen Capacidad'!$F$47*'Resumen Capacidad'!$F$83</f>
        <v>2</v>
      </c>
      <c r="M911" s="204">
        <f>'Resumen Capacidad'!$F$47*'Resumen Capacidad'!$F$83</f>
        <v>2</v>
      </c>
      <c r="N911" s="204">
        <f>'Resumen Capacidad'!$F$47*'Resumen Capacidad'!$F$83</f>
        <v>2</v>
      </c>
      <c r="O911" s="5"/>
      <c r="P911" s="5"/>
      <c r="Q911" s="5"/>
      <c r="R911" s="5"/>
      <c r="S911" s="5"/>
      <c r="T911" s="5"/>
      <c r="U911" s="5"/>
      <c r="V911" s="5"/>
      <c r="W911" s="5"/>
      <c r="X911" s="5"/>
      <c r="Y911" s="5"/>
      <c r="Z911" s="5"/>
    </row>
    <row r="912" ht="12.0" customHeight="1">
      <c r="A912" s="92" t="s">
        <v>642</v>
      </c>
      <c r="B912" s="5"/>
      <c r="C912" s="204">
        <f t="shared" ref="C912:N912" si="269">C910*C911</f>
        <v>97.62711864</v>
      </c>
      <c r="D912" s="204">
        <f t="shared" si="269"/>
        <v>97.62711864</v>
      </c>
      <c r="E912" s="204">
        <f t="shared" si="269"/>
        <v>97.62711864</v>
      </c>
      <c r="F912" s="204">
        <f t="shared" si="269"/>
        <v>97.62711864</v>
      </c>
      <c r="G912" s="204">
        <f t="shared" si="269"/>
        <v>97.62711864</v>
      </c>
      <c r="H912" s="204">
        <f t="shared" si="269"/>
        <v>97.62711864</v>
      </c>
      <c r="I912" s="204">
        <f t="shared" si="269"/>
        <v>97.62711864</v>
      </c>
      <c r="J912" s="204">
        <f t="shared" si="269"/>
        <v>97.62711864</v>
      </c>
      <c r="K912" s="204">
        <f t="shared" si="269"/>
        <v>97.62711864</v>
      </c>
      <c r="L912" s="204">
        <f t="shared" si="269"/>
        <v>97.62711864</v>
      </c>
      <c r="M912" s="204">
        <f t="shared" si="269"/>
        <v>97.62711864</v>
      </c>
      <c r="N912" s="204">
        <f t="shared" si="269"/>
        <v>97.62711864</v>
      </c>
      <c r="O912" s="5"/>
      <c r="P912" s="5"/>
      <c r="Q912" s="5"/>
      <c r="R912" s="5"/>
      <c r="S912" s="5"/>
      <c r="T912" s="5"/>
      <c r="U912" s="5"/>
      <c r="V912" s="5"/>
      <c r="W912" s="5"/>
      <c r="X912" s="5"/>
      <c r="Y912" s="5"/>
      <c r="Z912" s="5"/>
    </row>
    <row r="913" ht="12.0" customHeight="1">
      <c r="A913" s="92" t="s">
        <v>643</v>
      </c>
      <c r="B913" s="5"/>
      <c r="C913" s="206">
        <f t="shared" ref="C913:N913" si="270">IF(C912=0,0,C909/C912)</f>
        <v>0.6851252083</v>
      </c>
      <c r="D913" s="206">
        <f t="shared" si="270"/>
        <v>0.5226498611</v>
      </c>
      <c r="E913" s="206">
        <f t="shared" si="270"/>
        <v>0.48903864</v>
      </c>
      <c r="F913" s="206">
        <f t="shared" si="270"/>
        <v>0.4678300521</v>
      </c>
      <c r="G913" s="206">
        <f t="shared" si="270"/>
        <v>0.4378155093</v>
      </c>
      <c r="H913" s="206">
        <f t="shared" si="270"/>
        <v>0.4290095544</v>
      </c>
      <c r="I913" s="206">
        <f t="shared" si="270"/>
        <v>0.4590240972</v>
      </c>
      <c r="J913" s="206">
        <f t="shared" si="270"/>
        <v>0.4590240972</v>
      </c>
      <c r="K913" s="206">
        <f t="shared" si="270"/>
        <v>0.4590240972</v>
      </c>
      <c r="L913" s="206">
        <f t="shared" si="270"/>
        <v>0.4502181424</v>
      </c>
      <c r="M913" s="206">
        <f t="shared" si="270"/>
        <v>0.4414121875</v>
      </c>
      <c r="N913" s="206">
        <f t="shared" si="270"/>
        <v>0.7027371181</v>
      </c>
      <c r="O913" s="5"/>
      <c r="P913" s="5"/>
      <c r="Q913" s="5"/>
      <c r="R913" s="5"/>
      <c r="S913" s="5"/>
      <c r="T913" s="5"/>
      <c r="U913" s="5"/>
      <c r="V913" s="5"/>
      <c r="W913" s="5"/>
      <c r="X913" s="5"/>
      <c r="Y913" s="5"/>
      <c r="Z913" s="5"/>
    </row>
    <row r="914" ht="12.0"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0"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0" customHeight="1">
      <c r="A916" s="207">
        <v>2031.0</v>
      </c>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0" customHeight="1">
      <c r="A917" s="201" t="s">
        <v>629</v>
      </c>
      <c r="B917" s="202"/>
      <c r="C917" s="202"/>
      <c r="D917" s="202"/>
      <c r="E917" s="202"/>
      <c r="F917" s="202"/>
      <c r="G917" s="202"/>
      <c r="H917" s="202"/>
      <c r="I917" s="202"/>
      <c r="J917" s="202"/>
      <c r="K917" s="202"/>
      <c r="L917" s="202"/>
      <c r="M917" s="202"/>
      <c r="N917" s="202"/>
      <c r="O917" s="5"/>
      <c r="P917" s="5"/>
      <c r="Q917" s="5"/>
      <c r="R917" s="5"/>
      <c r="S917" s="5"/>
      <c r="T917" s="5"/>
      <c r="U917" s="5"/>
      <c r="V917" s="5"/>
      <c r="W917" s="5"/>
      <c r="X917" s="5"/>
      <c r="Y917" s="5"/>
      <c r="Z917" s="5"/>
    </row>
    <row r="918" ht="12.0" customHeight="1">
      <c r="A918" s="201" t="s">
        <v>630</v>
      </c>
      <c r="B918" s="201" t="s">
        <v>631</v>
      </c>
      <c r="C918" s="201" t="s">
        <v>3</v>
      </c>
      <c r="D918" s="201" t="s">
        <v>4</v>
      </c>
      <c r="E918" s="201" t="s">
        <v>5</v>
      </c>
      <c r="F918" s="201" t="s">
        <v>6</v>
      </c>
      <c r="G918" s="201" t="s">
        <v>7</v>
      </c>
      <c r="H918" s="201" t="s">
        <v>8</v>
      </c>
      <c r="I918" s="201" t="s">
        <v>9</v>
      </c>
      <c r="J918" s="201" t="s">
        <v>10</v>
      </c>
      <c r="K918" s="201" t="s">
        <v>11</v>
      </c>
      <c r="L918" s="201" t="s">
        <v>12</v>
      </c>
      <c r="M918" s="201" t="s">
        <v>13</v>
      </c>
      <c r="N918" s="201" t="s">
        <v>14</v>
      </c>
      <c r="O918" s="5"/>
      <c r="P918" s="5"/>
      <c r="Q918" s="5"/>
      <c r="R918" s="5"/>
      <c r="S918" s="5"/>
      <c r="T918" s="5"/>
      <c r="U918" s="5"/>
      <c r="V918" s="5"/>
      <c r="W918" s="5"/>
      <c r="X918" s="5"/>
      <c r="Y918" s="5"/>
      <c r="Z918" s="5"/>
    </row>
    <row r="919" ht="12.0" customHeight="1">
      <c r="A919" s="92" t="s">
        <v>632</v>
      </c>
      <c r="B919" s="92" t="s">
        <v>633</v>
      </c>
      <c r="C919" s="203">
        <f>SUM('2031'!B6:B9)+SUM('2031'!B17:B20)</f>
        <v>14097.3</v>
      </c>
      <c r="D919" s="203">
        <f>SUM('2031'!C6:C9)+SUM('2031'!C17:C20)</f>
        <v>10754.04</v>
      </c>
      <c r="E919" s="203">
        <f>SUM('2031'!D6:D9)+SUM('2031'!D17:D20)</f>
        <v>10062.105</v>
      </c>
      <c r="F919" s="203">
        <f>SUM('2031'!E6:E9)+SUM('2031'!E17:E20)</f>
        <v>9625.605</v>
      </c>
      <c r="G919" s="203">
        <f>SUM('2031'!F6:F9)+SUM('2031'!F17:F20)</f>
        <v>9008.04</v>
      </c>
      <c r="H919" s="203">
        <f>SUM('2031'!G6:G9)+SUM('2031'!G17:G20)</f>
        <v>8826.975</v>
      </c>
      <c r="I919" s="203">
        <f>SUM('2031'!H6:H9)+SUM('2031'!H17:H20)</f>
        <v>9444.54</v>
      </c>
      <c r="J919" s="203">
        <f>SUM('2031'!I6:I9)+SUM('2031'!I17:I20)</f>
        <v>9444.54</v>
      </c>
      <c r="K919" s="203">
        <f>SUM('2031'!J6:J9)+SUM('2031'!J17:J20)</f>
        <v>9444.54</v>
      </c>
      <c r="L919" s="203">
        <f>SUM('2031'!K6:K9)+SUM('2031'!K17:K20)</f>
        <v>9263.475</v>
      </c>
      <c r="M919" s="203">
        <f>SUM('2031'!L6:L9)+SUM('2031'!L17:L20)</f>
        <v>9082.41</v>
      </c>
      <c r="N919" s="203">
        <f>SUM('2031'!M6:M9)+SUM('2031'!M17:M20)</f>
        <v>14459.43</v>
      </c>
      <c r="O919" s="5"/>
      <c r="P919" s="5"/>
      <c r="Q919" s="5"/>
      <c r="R919" s="5"/>
      <c r="S919" s="5"/>
      <c r="T919" s="5"/>
      <c r="U919" s="5"/>
      <c r="V919" s="5"/>
      <c r="W919" s="5"/>
      <c r="X919" s="5"/>
      <c r="Y919" s="5"/>
      <c r="Z919" s="5"/>
    </row>
    <row r="920" ht="12.0" customHeight="1">
      <c r="A920" s="5"/>
      <c r="B920" s="92" t="s">
        <v>634</v>
      </c>
      <c r="C920" s="204">
        <f>C919/Parametros!$B$37</f>
        <v>704.865</v>
      </c>
      <c r="D920" s="204">
        <f>D919/Parametros!$B$37</f>
        <v>537.702</v>
      </c>
      <c r="E920" s="204">
        <f>E919/Parametros!$B$37</f>
        <v>503.10525</v>
      </c>
      <c r="F920" s="204">
        <f>F919/Parametros!$B$37</f>
        <v>481.28025</v>
      </c>
      <c r="G920" s="204">
        <f>G919/Parametros!$B$37</f>
        <v>450.402</v>
      </c>
      <c r="H920" s="204">
        <f>H919/Parametros!$B$37</f>
        <v>441.34875</v>
      </c>
      <c r="I920" s="204">
        <f>I919/Parametros!$B$37</f>
        <v>472.227</v>
      </c>
      <c r="J920" s="204">
        <f>J919/Parametros!$B$37</f>
        <v>472.227</v>
      </c>
      <c r="K920" s="204">
        <f>K919/Parametros!$B$37</f>
        <v>472.227</v>
      </c>
      <c r="L920" s="204">
        <f>L919/Parametros!$B$37</f>
        <v>463.17375</v>
      </c>
      <c r="M920" s="204">
        <f>M919/Parametros!$B$37</f>
        <v>454.1205</v>
      </c>
      <c r="N920" s="204">
        <f>N919/Parametros!$B$37</f>
        <v>722.9715</v>
      </c>
      <c r="O920" s="5"/>
      <c r="P920" s="5"/>
      <c r="Q920" s="5"/>
      <c r="R920" s="5"/>
      <c r="S920" s="5"/>
      <c r="T920" s="5"/>
      <c r="U920" s="5"/>
      <c r="V920" s="5"/>
      <c r="W920" s="5"/>
      <c r="X920" s="5"/>
      <c r="Y920" s="5"/>
      <c r="Z920" s="5"/>
    </row>
    <row r="921" ht="12.0" customHeight="1">
      <c r="A921" s="5"/>
      <c r="B921" s="92" t="s">
        <v>635</v>
      </c>
      <c r="C921" s="204">
        <f>C920/Parametros!$J$37</f>
        <v>93.982</v>
      </c>
      <c r="D921" s="204">
        <f>D920/Parametros!$J$37</f>
        <v>71.6936</v>
      </c>
      <c r="E921" s="204">
        <f>E920/Parametros!$J$37</f>
        <v>67.0807</v>
      </c>
      <c r="F921" s="204">
        <f>F920/Parametros!$J$37</f>
        <v>64.1707</v>
      </c>
      <c r="G921" s="204">
        <f>G920/Parametros!$J$37</f>
        <v>60.0536</v>
      </c>
      <c r="H921" s="204">
        <f>H920/Parametros!$J$37</f>
        <v>58.8465</v>
      </c>
      <c r="I921" s="204">
        <f>I920/Parametros!$J$37</f>
        <v>62.9636</v>
      </c>
      <c r="J921" s="204">
        <f>J920/Parametros!$J$37</f>
        <v>62.9636</v>
      </c>
      <c r="K921" s="204">
        <f>K920/Parametros!$J$37</f>
        <v>62.9636</v>
      </c>
      <c r="L921" s="204">
        <f>L920/Parametros!$J$37</f>
        <v>61.7565</v>
      </c>
      <c r="M921" s="204">
        <f>M920/Parametros!$J$37</f>
        <v>60.5494</v>
      </c>
      <c r="N921" s="204">
        <f>N920/Parametros!$J$37</f>
        <v>96.3962</v>
      </c>
      <c r="O921" s="5"/>
      <c r="P921" s="5"/>
      <c r="Q921" s="5"/>
      <c r="R921" s="5"/>
      <c r="S921" s="5"/>
      <c r="T921" s="5"/>
      <c r="U921" s="5"/>
      <c r="V921" s="5"/>
      <c r="W921" s="5"/>
      <c r="X921" s="5"/>
      <c r="Y921" s="5"/>
      <c r="Z921" s="5"/>
    </row>
    <row r="922" ht="12.0" customHeight="1">
      <c r="A922" s="92" t="s">
        <v>636</v>
      </c>
      <c r="B922" s="5"/>
      <c r="C922" s="204">
        <f t="shared" ref="C922:N922" si="271">C921</f>
        <v>93.982</v>
      </c>
      <c r="D922" s="204">
        <f t="shared" si="271"/>
        <v>71.6936</v>
      </c>
      <c r="E922" s="204">
        <f t="shared" si="271"/>
        <v>67.0807</v>
      </c>
      <c r="F922" s="204">
        <f t="shared" si="271"/>
        <v>64.1707</v>
      </c>
      <c r="G922" s="204">
        <f t="shared" si="271"/>
        <v>60.0536</v>
      </c>
      <c r="H922" s="204">
        <f t="shared" si="271"/>
        <v>58.8465</v>
      </c>
      <c r="I922" s="204">
        <f t="shared" si="271"/>
        <v>62.9636</v>
      </c>
      <c r="J922" s="204">
        <f t="shared" si="271"/>
        <v>62.9636</v>
      </c>
      <c r="K922" s="204">
        <f t="shared" si="271"/>
        <v>62.9636</v>
      </c>
      <c r="L922" s="204">
        <f t="shared" si="271"/>
        <v>61.7565</v>
      </c>
      <c r="M922" s="204">
        <f t="shared" si="271"/>
        <v>60.5494</v>
      </c>
      <c r="N922" s="204">
        <f t="shared" si="271"/>
        <v>96.3962</v>
      </c>
      <c r="O922" s="5"/>
      <c r="P922" s="5"/>
      <c r="Q922" s="5"/>
      <c r="R922" s="5"/>
      <c r="S922" s="5"/>
      <c r="T922" s="5"/>
      <c r="U922" s="5"/>
      <c r="V922" s="5"/>
      <c r="W922" s="5"/>
      <c r="X922" s="5"/>
      <c r="Y922" s="5"/>
      <c r="Z922" s="5"/>
    </row>
    <row r="923" ht="12.0" customHeight="1">
      <c r="A923" s="92" t="s">
        <v>637</v>
      </c>
      <c r="B923" s="5"/>
      <c r="C923" s="205">
        <f>'Resumen Capacidad'!$G$111</f>
        <v>68</v>
      </c>
      <c r="D923" s="205">
        <f>'Resumen Capacidad'!$G$111</f>
        <v>68</v>
      </c>
      <c r="E923" s="205">
        <f>'Resumen Capacidad'!$G$111</f>
        <v>68</v>
      </c>
      <c r="F923" s="205">
        <f>'Resumen Capacidad'!$G$111</f>
        <v>68</v>
      </c>
      <c r="G923" s="205">
        <f>'Resumen Capacidad'!$G$111</f>
        <v>68</v>
      </c>
      <c r="H923" s="205">
        <f>'Resumen Capacidad'!$G$111</f>
        <v>68</v>
      </c>
      <c r="I923" s="205">
        <f>'Resumen Capacidad'!$G$111</f>
        <v>68</v>
      </c>
      <c r="J923" s="205">
        <f>'Resumen Capacidad'!$G$111</f>
        <v>68</v>
      </c>
      <c r="K923" s="205">
        <f>'Resumen Capacidad'!$G$111</f>
        <v>68</v>
      </c>
      <c r="L923" s="205">
        <f>'Resumen Capacidad'!$G$111</f>
        <v>68</v>
      </c>
      <c r="M923" s="205">
        <f>'Resumen Capacidad'!$G$111</f>
        <v>68</v>
      </c>
      <c r="N923" s="205">
        <f>'Resumen Capacidad'!$G$111</f>
        <v>68</v>
      </c>
      <c r="O923" s="5"/>
      <c r="P923" s="5"/>
      <c r="Q923" s="5"/>
      <c r="R923" s="5"/>
      <c r="S923" s="5"/>
      <c r="T923" s="5"/>
      <c r="U923" s="5"/>
      <c r="V923" s="5"/>
      <c r="W923" s="5"/>
      <c r="X923" s="5"/>
      <c r="Y923" s="5"/>
      <c r="Z923" s="5"/>
    </row>
    <row r="924" ht="12.0" customHeight="1">
      <c r="A924" s="92" t="s">
        <v>640</v>
      </c>
      <c r="B924" s="5"/>
      <c r="C924" s="204">
        <f>'Resumen Capacidad'!$G$29*'Resumen Capacidad'!$G$65</f>
        <v>2</v>
      </c>
      <c r="D924" s="204">
        <f>'Resumen Capacidad'!$G$29*'Resumen Capacidad'!$G$65</f>
        <v>2</v>
      </c>
      <c r="E924" s="204">
        <f>'Resumen Capacidad'!$G$29*'Resumen Capacidad'!$G$65</f>
        <v>2</v>
      </c>
      <c r="F924" s="204">
        <f>'Resumen Capacidad'!$G$29*'Resumen Capacidad'!$G$65</f>
        <v>2</v>
      </c>
      <c r="G924" s="204">
        <f>'Resumen Capacidad'!$G$29*'Resumen Capacidad'!$G$65</f>
        <v>2</v>
      </c>
      <c r="H924" s="204">
        <f>'Resumen Capacidad'!$G$29*'Resumen Capacidad'!$G$65</f>
        <v>2</v>
      </c>
      <c r="I924" s="204">
        <f>'Resumen Capacidad'!$G$29*'Resumen Capacidad'!$G$65</f>
        <v>2</v>
      </c>
      <c r="J924" s="204">
        <f>'Resumen Capacidad'!$G$29*'Resumen Capacidad'!$G$65</f>
        <v>2</v>
      </c>
      <c r="K924" s="204">
        <f>'Resumen Capacidad'!$G$29*'Resumen Capacidad'!$G$65</f>
        <v>2</v>
      </c>
      <c r="L924" s="204">
        <f>'Resumen Capacidad'!$G$29*'Resumen Capacidad'!$G$65</f>
        <v>2</v>
      </c>
      <c r="M924" s="204">
        <f>'Resumen Capacidad'!$G$29*'Resumen Capacidad'!$G$65</f>
        <v>2</v>
      </c>
      <c r="N924" s="204">
        <f>'Resumen Capacidad'!$G$29*'Resumen Capacidad'!$G$65</f>
        <v>2</v>
      </c>
      <c r="O924" s="5"/>
      <c r="P924" s="5"/>
      <c r="Q924" s="5"/>
      <c r="R924" s="5"/>
      <c r="S924" s="5"/>
      <c r="T924" s="5"/>
      <c r="U924" s="5"/>
      <c r="V924" s="5"/>
      <c r="W924" s="5"/>
      <c r="X924" s="5"/>
      <c r="Y924" s="5"/>
      <c r="Z924" s="5"/>
    </row>
    <row r="925" ht="12.0" customHeight="1">
      <c r="A925" s="92" t="s">
        <v>642</v>
      </c>
      <c r="B925" s="5"/>
      <c r="C925" s="204">
        <f t="shared" ref="C925:N925" si="272">C923*C924</f>
        <v>136</v>
      </c>
      <c r="D925" s="204">
        <f t="shared" si="272"/>
        <v>136</v>
      </c>
      <c r="E925" s="204">
        <f t="shared" si="272"/>
        <v>136</v>
      </c>
      <c r="F925" s="204">
        <f t="shared" si="272"/>
        <v>136</v>
      </c>
      <c r="G925" s="204">
        <f t="shared" si="272"/>
        <v>136</v>
      </c>
      <c r="H925" s="204">
        <f t="shared" si="272"/>
        <v>136</v>
      </c>
      <c r="I925" s="204">
        <f t="shared" si="272"/>
        <v>136</v>
      </c>
      <c r="J925" s="204">
        <f t="shared" si="272"/>
        <v>136</v>
      </c>
      <c r="K925" s="204">
        <f t="shared" si="272"/>
        <v>136</v>
      </c>
      <c r="L925" s="204">
        <f t="shared" si="272"/>
        <v>136</v>
      </c>
      <c r="M925" s="204">
        <f t="shared" si="272"/>
        <v>136</v>
      </c>
      <c r="N925" s="204">
        <f t="shared" si="272"/>
        <v>136</v>
      </c>
      <c r="O925" s="5"/>
      <c r="P925" s="5"/>
      <c r="Q925" s="5"/>
      <c r="R925" s="5"/>
      <c r="S925" s="5"/>
      <c r="T925" s="5"/>
      <c r="U925" s="5"/>
      <c r="V925" s="5"/>
      <c r="W925" s="5"/>
      <c r="X925" s="5"/>
      <c r="Y925" s="5"/>
      <c r="Z925" s="5"/>
    </row>
    <row r="926" ht="12.0" customHeight="1">
      <c r="A926" s="92" t="s">
        <v>643</v>
      </c>
      <c r="B926" s="5"/>
      <c r="C926" s="206">
        <f t="shared" ref="C926:N926" si="273">IF(C925=0,0,C922/C925)</f>
        <v>0.6910441176</v>
      </c>
      <c r="D926" s="206">
        <f t="shared" si="273"/>
        <v>0.5271588235</v>
      </c>
      <c r="E926" s="206">
        <f t="shared" si="273"/>
        <v>0.4932404412</v>
      </c>
      <c r="F926" s="206">
        <f t="shared" si="273"/>
        <v>0.4718433824</v>
      </c>
      <c r="G926" s="206">
        <f t="shared" si="273"/>
        <v>0.4415705882</v>
      </c>
      <c r="H926" s="206">
        <f t="shared" si="273"/>
        <v>0.4326948529</v>
      </c>
      <c r="I926" s="206">
        <f t="shared" si="273"/>
        <v>0.4629676471</v>
      </c>
      <c r="J926" s="206">
        <f t="shared" si="273"/>
        <v>0.4629676471</v>
      </c>
      <c r="K926" s="206">
        <f t="shared" si="273"/>
        <v>0.4629676471</v>
      </c>
      <c r="L926" s="206">
        <f t="shared" si="273"/>
        <v>0.4540919118</v>
      </c>
      <c r="M926" s="206">
        <f t="shared" si="273"/>
        <v>0.4452161765</v>
      </c>
      <c r="N926" s="206">
        <f t="shared" si="273"/>
        <v>0.7087955882</v>
      </c>
      <c r="O926" s="5"/>
      <c r="P926" s="5"/>
      <c r="Q926" s="5"/>
      <c r="R926" s="5"/>
      <c r="S926" s="5"/>
      <c r="T926" s="5"/>
      <c r="U926" s="5"/>
      <c r="V926" s="5"/>
      <c r="W926" s="5"/>
      <c r="X926" s="5"/>
      <c r="Y926" s="5"/>
      <c r="Z926" s="5"/>
    </row>
    <row r="927" ht="12.0" customHeight="1">
      <c r="A927" s="201" t="s">
        <v>644</v>
      </c>
      <c r="B927" s="202"/>
      <c r="C927" s="202"/>
      <c r="D927" s="202"/>
      <c r="E927" s="202"/>
      <c r="F927" s="202"/>
      <c r="G927" s="202"/>
      <c r="H927" s="202"/>
      <c r="I927" s="202"/>
      <c r="J927" s="202"/>
      <c r="K927" s="202"/>
      <c r="L927" s="202"/>
      <c r="M927" s="202"/>
      <c r="N927" s="202"/>
      <c r="O927" s="5"/>
      <c r="P927" s="5"/>
      <c r="Q927" s="5"/>
      <c r="R927" s="5"/>
      <c r="S927" s="5"/>
      <c r="T927" s="5"/>
      <c r="U927" s="5"/>
      <c r="V927" s="5"/>
      <c r="W927" s="5"/>
      <c r="X927" s="5"/>
      <c r="Y927" s="5"/>
      <c r="Z927" s="5"/>
    </row>
    <row r="928" ht="12.0" customHeight="1">
      <c r="A928" s="201" t="s">
        <v>630</v>
      </c>
      <c r="B928" s="201" t="s">
        <v>631</v>
      </c>
      <c r="C928" s="201" t="s">
        <v>3</v>
      </c>
      <c r="D928" s="201" t="s">
        <v>4</v>
      </c>
      <c r="E928" s="201" t="s">
        <v>5</v>
      </c>
      <c r="F928" s="201" t="s">
        <v>6</v>
      </c>
      <c r="G928" s="201" t="s">
        <v>7</v>
      </c>
      <c r="H928" s="201" t="s">
        <v>8</v>
      </c>
      <c r="I928" s="201" t="s">
        <v>9</v>
      </c>
      <c r="J928" s="201" t="s">
        <v>10</v>
      </c>
      <c r="K928" s="201" t="s">
        <v>11</v>
      </c>
      <c r="L928" s="201" t="s">
        <v>12</v>
      </c>
      <c r="M928" s="201" t="s">
        <v>13</v>
      </c>
      <c r="N928" s="201" t="s">
        <v>14</v>
      </c>
      <c r="O928" s="5"/>
      <c r="P928" s="5"/>
      <c r="Q928" s="5"/>
      <c r="R928" s="5"/>
      <c r="S928" s="5"/>
      <c r="T928" s="5"/>
      <c r="U928" s="5"/>
      <c r="V928" s="5"/>
      <c r="W928" s="5"/>
      <c r="X928" s="5"/>
      <c r="Y928" s="5"/>
      <c r="Z928" s="5"/>
    </row>
    <row r="929" ht="12.0" customHeight="1">
      <c r="A929" s="92" t="s">
        <v>632</v>
      </c>
      <c r="B929" s="92" t="s">
        <v>633</v>
      </c>
      <c r="C929" s="203">
        <f>SUM('2031'!B6:B9)+SUM('2031'!B17:B20)</f>
        <v>14097.3</v>
      </c>
      <c r="D929" s="203">
        <f>SUM('2031'!C6:C9)+SUM('2031'!C17:C20)</f>
        <v>10754.04</v>
      </c>
      <c r="E929" s="203">
        <f>SUM('2031'!D6:D9)+SUM('2031'!D17:D20)</f>
        <v>10062.105</v>
      </c>
      <c r="F929" s="203">
        <f>SUM('2031'!E6:E9)+SUM('2031'!E17:E20)</f>
        <v>9625.605</v>
      </c>
      <c r="G929" s="203">
        <f>SUM('2031'!F6:F9)+SUM('2031'!F17:F20)</f>
        <v>9008.04</v>
      </c>
      <c r="H929" s="203">
        <f>SUM('2031'!G6:G9)+SUM('2031'!G17:G20)</f>
        <v>8826.975</v>
      </c>
      <c r="I929" s="203">
        <f>SUM('2031'!H6:H9)+SUM('2031'!H17:H20)</f>
        <v>9444.54</v>
      </c>
      <c r="J929" s="203">
        <f>SUM('2031'!I6:I9)+SUM('2031'!I17:I20)</f>
        <v>9444.54</v>
      </c>
      <c r="K929" s="203">
        <f>SUM('2031'!J6:J9)+SUM('2031'!J17:J20)</f>
        <v>9444.54</v>
      </c>
      <c r="L929" s="203">
        <f>SUM('2031'!K6:K9)+SUM('2031'!K17:K20)</f>
        <v>9263.475</v>
      </c>
      <c r="M929" s="203">
        <f>SUM('2031'!L6:L9)+SUM('2031'!L17:L20)</f>
        <v>9082.41</v>
      </c>
      <c r="N929" s="203">
        <f>SUM('2031'!M6:M9)+SUM('2031'!M17:M20)</f>
        <v>14459.43</v>
      </c>
      <c r="O929" s="5"/>
      <c r="P929" s="5"/>
      <c r="Q929" s="5"/>
      <c r="R929" s="5"/>
      <c r="S929" s="5"/>
      <c r="T929" s="5"/>
      <c r="U929" s="5"/>
      <c r="V929" s="5"/>
      <c r="W929" s="5"/>
      <c r="X929" s="5"/>
      <c r="Y929" s="5"/>
      <c r="Z929" s="5"/>
    </row>
    <row r="930" ht="12.0" customHeight="1">
      <c r="A930" s="5"/>
      <c r="B930" s="92" t="s">
        <v>634</v>
      </c>
      <c r="C930" s="204">
        <f>C929/Parametros!$B$37</f>
        <v>704.865</v>
      </c>
      <c r="D930" s="204">
        <f>D929/Parametros!$B$37</f>
        <v>537.702</v>
      </c>
      <c r="E930" s="204">
        <f>E929/Parametros!$B$37</f>
        <v>503.10525</v>
      </c>
      <c r="F930" s="204">
        <f>F929/Parametros!$B$37</f>
        <v>481.28025</v>
      </c>
      <c r="G930" s="204">
        <f>G929/Parametros!$B$37</f>
        <v>450.402</v>
      </c>
      <c r="H930" s="204">
        <f>H929/Parametros!$B$37</f>
        <v>441.34875</v>
      </c>
      <c r="I930" s="204">
        <f>I929/Parametros!$B$37</f>
        <v>472.227</v>
      </c>
      <c r="J930" s="204">
        <f>J929/Parametros!$B$37</f>
        <v>472.227</v>
      </c>
      <c r="K930" s="204">
        <f>K929/Parametros!$B$37</f>
        <v>472.227</v>
      </c>
      <c r="L930" s="204">
        <f>L929/Parametros!$B$37</f>
        <v>463.17375</v>
      </c>
      <c r="M930" s="204">
        <f>M929/Parametros!$B$37</f>
        <v>454.1205</v>
      </c>
      <c r="N930" s="204">
        <f>N929/Parametros!$B$37</f>
        <v>722.9715</v>
      </c>
      <c r="O930" s="5"/>
      <c r="P930" s="5"/>
      <c r="Q930" s="5"/>
      <c r="R930" s="5"/>
      <c r="S930" s="5"/>
      <c r="T930" s="5"/>
      <c r="U930" s="5"/>
      <c r="V930" s="5"/>
      <c r="W930" s="5"/>
      <c r="X930" s="5"/>
      <c r="Y930" s="5"/>
      <c r="Z930" s="5"/>
    </row>
    <row r="931" ht="12.0" customHeight="1">
      <c r="A931" s="5"/>
      <c r="B931" s="92" t="s">
        <v>635</v>
      </c>
      <c r="C931" s="204">
        <f>C930/Parametros!$J$37</f>
        <v>93.982</v>
      </c>
      <c r="D931" s="204">
        <f>D930/Parametros!$J$37</f>
        <v>71.6936</v>
      </c>
      <c r="E931" s="204">
        <f>E930/Parametros!$J$37</f>
        <v>67.0807</v>
      </c>
      <c r="F931" s="204">
        <f>F930/Parametros!$J$37</f>
        <v>64.1707</v>
      </c>
      <c r="G931" s="204">
        <f>G930/Parametros!$J$37</f>
        <v>60.0536</v>
      </c>
      <c r="H931" s="204">
        <f>H930/Parametros!$J$37</f>
        <v>58.8465</v>
      </c>
      <c r="I931" s="204">
        <f>I930/Parametros!$J$37</f>
        <v>62.9636</v>
      </c>
      <c r="J931" s="204">
        <f>J930/Parametros!$J$37</f>
        <v>62.9636</v>
      </c>
      <c r="K931" s="204">
        <f>K930/Parametros!$J$37</f>
        <v>62.9636</v>
      </c>
      <c r="L931" s="204">
        <f>L930/Parametros!$J$37</f>
        <v>61.7565</v>
      </c>
      <c r="M931" s="204">
        <f>M930/Parametros!$J$37</f>
        <v>60.5494</v>
      </c>
      <c r="N931" s="204">
        <f>N930/Parametros!$J$37</f>
        <v>96.3962</v>
      </c>
      <c r="O931" s="5"/>
      <c r="P931" s="5"/>
      <c r="Q931" s="5"/>
      <c r="R931" s="5"/>
      <c r="S931" s="5"/>
      <c r="T931" s="5"/>
      <c r="U931" s="5"/>
      <c r="V931" s="5"/>
      <c r="W931" s="5"/>
      <c r="X931" s="5"/>
      <c r="Y931" s="5"/>
      <c r="Z931" s="5"/>
    </row>
    <row r="932" ht="12.0" customHeight="1">
      <c r="A932" s="92" t="s">
        <v>636</v>
      </c>
      <c r="B932" s="5"/>
      <c r="C932" s="204">
        <f t="shared" ref="C932:N932" si="274">C931</f>
        <v>93.982</v>
      </c>
      <c r="D932" s="204">
        <f t="shared" si="274"/>
        <v>71.6936</v>
      </c>
      <c r="E932" s="204">
        <f t="shared" si="274"/>
        <v>67.0807</v>
      </c>
      <c r="F932" s="204">
        <f t="shared" si="274"/>
        <v>64.1707</v>
      </c>
      <c r="G932" s="204">
        <f t="shared" si="274"/>
        <v>60.0536</v>
      </c>
      <c r="H932" s="204">
        <f t="shared" si="274"/>
        <v>58.8465</v>
      </c>
      <c r="I932" s="204">
        <f t="shared" si="274"/>
        <v>62.9636</v>
      </c>
      <c r="J932" s="204">
        <f t="shared" si="274"/>
        <v>62.9636</v>
      </c>
      <c r="K932" s="204">
        <f t="shared" si="274"/>
        <v>62.9636</v>
      </c>
      <c r="L932" s="204">
        <f t="shared" si="274"/>
        <v>61.7565</v>
      </c>
      <c r="M932" s="204">
        <f t="shared" si="274"/>
        <v>60.5494</v>
      </c>
      <c r="N932" s="204">
        <f t="shared" si="274"/>
        <v>96.3962</v>
      </c>
      <c r="O932" s="5"/>
      <c r="P932" s="5"/>
      <c r="Q932" s="5"/>
      <c r="R932" s="5"/>
      <c r="S932" s="5"/>
      <c r="T932" s="5"/>
      <c r="U932" s="5"/>
      <c r="V932" s="5"/>
      <c r="W932" s="5"/>
      <c r="X932" s="5"/>
      <c r="Y932" s="5"/>
      <c r="Z932" s="5"/>
    </row>
    <row r="933" ht="12.0" customHeight="1">
      <c r="A933" s="92" t="s">
        <v>637</v>
      </c>
      <c r="B933" s="5"/>
      <c r="C933" s="205">
        <f>'Resumen Capacidad'!$G$112</f>
        <v>90.19362319</v>
      </c>
      <c r="D933" s="205">
        <f>'Resumen Capacidad'!$G$112</f>
        <v>90.19362319</v>
      </c>
      <c r="E933" s="205">
        <f>'Resumen Capacidad'!$G$112</f>
        <v>90.19362319</v>
      </c>
      <c r="F933" s="205">
        <f>'Resumen Capacidad'!$G$112</f>
        <v>90.19362319</v>
      </c>
      <c r="G933" s="205">
        <f>'Resumen Capacidad'!$G$112</f>
        <v>90.19362319</v>
      </c>
      <c r="H933" s="205">
        <f>'Resumen Capacidad'!$G$112</f>
        <v>90.19362319</v>
      </c>
      <c r="I933" s="205">
        <f>'Resumen Capacidad'!$G$112</f>
        <v>90.19362319</v>
      </c>
      <c r="J933" s="205">
        <f>'Resumen Capacidad'!$G$112</f>
        <v>90.19362319</v>
      </c>
      <c r="K933" s="205">
        <f>'Resumen Capacidad'!$G$112</f>
        <v>90.19362319</v>
      </c>
      <c r="L933" s="205">
        <f>'Resumen Capacidad'!$G$112</f>
        <v>90.19362319</v>
      </c>
      <c r="M933" s="205">
        <f>'Resumen Capacidad'!$G$112</f>
        <v>90.19362319</v>
      </c>
      <c r="N933" s="205">
        <f>'Resumen Capacidad'!$G$112</f>
        <v>90.19362319</v>
      </c>
      <c r="O933" s="5"/>
      <c r="P933" s="5"/>
      <c r="Q933" s="5"/>
      <c r="R933" s="5"/>
      <c r="S933" s="5"/>
      <c r="T933" s="5"/>
      <c r="U933" s="5"/>
      <c r="V933" s="5"/>
      <c r="W933" s="5"/>
      <c r="X933" s="5"/>
      <c r="Y933" s="5"/>
      <c r="Z933" s="5"/>
    </row>
    <row r="934" ht="12.0" customHeight="1">
      <c r="A934" s="92" t="s">
        <v>640</v>
      </c>
      <c r="B934" s="5"/>
      <c r="C934" s="204">
        <f>'Resumen Capacidad'!$G$30*'Resumen Capacidad'!$G$66</f>
        <v>2</v>
      </c>
      <c r="D934" s="204">
        <f>'Resumen Capacidad'!$G$30*'Resumen Capacidad'!$G$66</f>
        <v>2</v>
      </c>
      <c r="E934" s="204">
        <f>'Resumen Capacidad'!$G$30*'Resumen Capacidad'!$G$66</f>
        <v>2</v>
      </c>
      <c r="F934" s="204">
        <f>'Resumen Capacidad'!$G$30*'Resumen Capacidad'!$G$66</f>
        <v>2</v>
      </c>
      <c r="G934" s="204">
        <f>'Resumen Capacidad'!$G$30*'Resumen Capacidad'!$G$66</f>
        <v>2</v>
      </c>
      <c r="H934" s="204">
        <f>'Resumen Capacidad'!$G$30*'Resumen Capacidad'!$G$66</f>
        <v>2</v>
      </c>
      <c r="I934" s="204">
        <f>'Resumen Capacidad'!$G$30*'Resumen Capacidad'!$G$66</f>
        <v>2</v>
      </c>
      <c r="J934" s="204">
        <f>'Resumen Capacidad'!$G$30*'Resumen Capacidad'!$G$66</f>
        <v>2</v>
      </c>
      <c r="K934" s="204">
        <f>'Resumen Capacidad'!$G$30*'Resumen Capacidad'!$G$66</f>
        <v>2</v>
      </c>
      <c r="L934" s="204">
        <f>'Resumen Capacidad'!$G$30*'Resumen Capacidad'!$G$66</f>
        <v>2</v>
      </c>
      <c r="M934" s="204">
        <f>'Resumen Capacidad'!$G$30*'Resumen Capacidad'!$G$66</f>
        <v>2</v>
      </c>
      <c r="N934" s="204">
        <f>'Resumen Capacidad'!$G$30*'Resumen Capacidad'!$G$66</f>
        <v>2</v>
      </c>
      <c r="O934" s="5"/>
      <c r="P934" s="5"/>
      <c r="Q934" s="5"/>
      <c r="R934" s="5"/>
      <c r="S934" s="5"/>
      <c r="T934" s="5"/>
      <c r="U934" s="5"/>
      <c r="V934" s="5"/>
      <c r="W934" s="5"/>
      <c r="X934" s="5"/>
      <c r="Y934" s="5"/>
      <c r="Z934" s="5"/>
    </row>
    <row r="935" ht="12.0" customHeight="1">
      <c r="A935" s="92" t="s">
        <v>642</v>
      </c>
      <c r="B935" s="5"/>
      <c r="C935" s="204">
        <f t="shared" ref="C935:N935" si="275">C933*C934</f>
        <v>180.3872464</v>
      </c>
      <c r="D935" s="204">
        <f t="shared" si="275"/>
        <v>180.3872464</v>
      </c>
      <c r="E935" s="204">
        <f t="shared" si="275"/>
        <v>180.3872464</v>
      </c>
      <c r="F935" s="204">
        <f t="shared" si="275"/>
        <v>180.3872464</v>
      </c>
      <c r="G935" s="204">
        <f t="shared" si="275"/>
        <v>180.3872464</v>
      </c>
      <c r="H935" s="204">
        <f t="shared" si="275"/>
        <v>180.3872464</v>
      </c>
      <c r="I935" s="204">
        <f t="shared" si="275"/>
        <v>180.3872464</v>
      </c>
      <c r="J935" s="204">
        <f t="shared" si="275"/>
        <v>180.3872464</v>
      </c>
      <c r="K935" s="204">
        <f t="shared" si="275"/>
        <v>180.3872464</v>
      </c>
      <c r="L935" s="204">
        <f t="shared" si="275"/>
        <v>180.3872464</v>
      </c>
      <c r="M935" s="204">
        <f t="shared" si="275"/>
        <v>180.3872464</v>
      </c>
      <c r="N935" s="204">
        <f t="shared" si="275"/>
        <v>180.3872464</v>
      </c>
      <c r="O935" s="5"/>
      <c r="P935" s="5"/>
      <c r="Q935" s="5"/>
      <c r="R935" s="5"/>
      <c r="S935" s="5"/>
      <c r="T935" s="5"/>
      <c r="U935" s="5"/>
      <c r="V935" s="5"/>
      <c r="W935" s="5"/>
      <c r="X935" s="5"/>
      <c r="Y935" s="5"/>
      <c r="Z935" s="5"/>
    </row>
    <row r="936" ht="12.0" customHeight="1">
      <c r="A936" s="92" t="s">
        <v>643</v>
      </c>
      <c r="B936" s="5"/>
      <c r="C936" s="206">
        <f t="shared" ref="C936:N936" si="276">IF(C935=0,0,C932/C935)</f>
        <v>0.5210013562</v>
      </c>
      <c r="D936" s="206">
        <f t="shared" si="276"/>
        <v>0.3974427319</v>
      </c>
      <c r="E936" s="206">
        <f t="shared" si="276"/>
        <v>0.3718705249</v>
      </c>
      <c r="F936" s="206">
        <f t="shared" si="276"/>
        <v>0.3557385641</v>
      </c>
      <c r="G936" s="206">
        <f t="shared" si="276"/>
        <v>0.3329148884</v>
      </c>
      <c r="H936" s="206">
        <f t="shared" si="276"/>
        <v>0.3262231737</v>
      </c>
      <c r="I936" s="206">
        <f t="shared" si="276"/>
        <v>0.3490468493</v>
      </c>
      <c r="J936" s="206">
        <f t="shared" si="276"/>
        <v>0.3490468493</v>
      </c>
      <c r="K936" s="206">
        <f t="shared" si="276"/>
        <v>0.3490468493</v>
      </c>
      <c r="L936" s="206">
        <f t="shared" si="276"/>
        <v>0.3423551345</v>
      </c>
      <c r="M936" s="206">
        <f t="shared" si="276"/>
        <v>0.3356634198</v>
      </c>
      <c r="N936" s="206">
        <f t="shared" si="276"/>
        <v>0.5343847857</v>
      </c>
      <c r="O936" s="5"/>
      <c r="P936" s="5"/>
      <c r="Q936" s="5"/>
      <c r="R936" s="5"/>
      <c r="S936" s="5"/>
      <c r="T936" s="5"/>
      <c r="U936" s="5"/>
      <c r="V936" s="5"/>
      <c r="W936" s="5"/>
      <c r="X936" s="5"/>
      <c r="Y936" s="5"/>
      <c r="Z936" s="5"/>
    </row>
    <row r="937" ht="12.0" customHeight="1">
      <c r="A937" s="201" t="s">
        <v>646</v>
      </c>
      <c r="B937" s="202"/>
      <c r="C937" s="202"/>
      <c r="D937" s="202"/>
      <c r="E937" s="202"/>
      <c r="F937" s="202"/>
      <c r="G937" s="202"/>
      <c r="H937" s="202"/>
      <c r="I937" s="202"/>
      <c r="J937" s="202"/>
      <c r="K937" s="202"/>
      <c r="L937" s="202"/>
      <c r="M937" s="202"/>
      <c r="N937" s="202"/>
      <c r="O937" s="5"/>
      <c r="P937" s="5"/>
      <c r="Q937" s="5"/>
      <c r="R937" s="5"/>
      <c r="S937" s="5"/>
      <c r="T937" s="5"/>
      <c r="U937" s="5"/>
      <c r="V937" s="5"/>
      <c r="W937" s="5"/>
      <c r="X937" s="5"/>
      <c r="Y937" s="5"/>
      <c r="Z937" s="5"/>
    </row>
    <row r="938" ht="12.0" customHeight="1">
      <c r="A938" s="201" t="s">
        <v>630</v>
      </c>
      <c r="B938" s="201" t="s">
        <v>631</v>
      </c>
      <c r="C938" s="201" t="s">
        <v>3</v>
      </c>
      <c r="D938" s="201" t="s">
        <v>4</v>
      </c>
      <c r="E938" s="201" t="s">
        <v>5</v>
      </c>
      <c r="F938" s="201" t="s">
        <v>6</v>
      </c>
      <c r="G938" s="201" t="s">
        <v>7</v>
      </c>
      <c r="H938" s="201" t="s">
        <v>8</v>
      </c>
      <c r="I938" s="201" t="s">
        <v>9</v>
      </c>
      <c r="J938" s="201" t="s">
        <v>10</v>
      </c>
      <c r="K938" s="201" t="s">
        <v>11</v>
      </c>
      <c r="L938" s="201" t="s">
        <v>12</v>
      </c>
      <c r="M938" s="201" t="s">
        <v>13</v>
      </c>
      <c r="N938" s="201" t="s">
        <v>14</v>
      </c>
      <c r="O938" s="5"/>
      <c r="P938" s="5"/>
      <c r="Q938" s="5"/>
      <c r="R938" s="5"/>
      <c r="S938" s="5"/>
      <c r="T938" s="5"/>
      <c r="U938" s="5"/>
      <c r="V938" s="5"/>
      <c r="W938" s="5"/>
      <c r="X938" s="5"/>
      <c r="Y938" s="5"/>
      <c r="Z938" s="5"/>
    </row>
    <row r="939" ht="12.0" customHeight="1">
      <c r="A939" s="92" t="s">
        <v>647</v>
      </c>
      <c r="B939" s="92" t="s">
        <v>633</v>
      </c>
      <c r="C939" s="203">
        <f>(SUM('2031'!B6:B9)+SUM('2031'!B17:B20))*2</f>
        <v>28194.6</v>
      </c>
      <c r="D939" s="203">
        <f>(SUM('2031'!C6:C9)+SUM('2031'!C17:C20))*2</f>
        <v>21508.08</v>
      </c>
      <c r="E939" s="203">
        <f>(SUM('2031'!D6:D9)+SUM('2031'!D17:D20))*2</f>
        <v>20124.21</v>
      </c>
      <c r="F939" s="203">
        <f>(SUM('2031'!E6:E9)+SUM('2031'!E17:E20))*2</f>
        <v>19251.21</v>
      </c>
      <c r="G939" s="203">
        <f>(SUM('2031'!F6:F9)+SUM('2031'!F17:F20))*2</f>
        <v>18016.08</v>
      </c>
      <c r="H939" s="203">
        <f>(SUM('2031'!G6:G9)+SUM('2031'!G17:G20))*2</f>
        <v>17653.95</v>
      </c>
      <c r="I939" s="203">
        <f>(SUM('2031'!H6:H9)+SUM('2031'!H17:H20))*2</f>
        <v>18889.08</v>
      </c>
      <c r="J939" s="203">
        <f>(SUM('2031'!I6:I9)+SUM('2031'!I17:I20))*2</f>
        <v>18889.08</v>
      </c>
      <c r="K939" s="203">
        <f>(SUM('2031'!J6:J9)+SUM('2031'!J17:J20))*2</f>
        <v>18889.08</v>
      </c>
      <c r="L939" s="203">
        <f>(SUM('2031'!K6:K9)+SUM('2031'!K17:K20))*2</f>
        <v>18526.95</v>
      </c>
      <c r="M939" s="203">
        <f>(SUM('2031'!L6:L9)+SUM('2031'!L17:L20))*2</f>
        <v>18164.82</v>
      </c>
      <c r="N939" s="203">
        <f>(SUM('2031'!M6:M9)+SUM('2031'!M17:M20))*2</f>
        <v>28918.86</v>
      </c>
      <c r="O939" s="5"/>
      <c r="P939" s="5"/>
      <c r="Q939" s="5"/>
      <c r="R939" s="5"/>
      <c r="S939" s="5"/>
      <c r="T939" s="5"/>
      <c r="U939" s="5"/>
      <c r="V939" s="5"/>
      <c r="W939" s="5"/>
      <c r="X939" s="5"/>
      <c r="Y939" s="5"/>
      <c r="Z939" s="5"/>
    </row>
    <row r="940" ht="12.0" customHeight="1">
      <c r="A940" s="5"/>
      <c r="B940" s="92" t="s">
        <v>634</v>
      </c>
      <c r="C940" s="204">
        <f>C939/Parametros!$B$37</f>
        <v>1409.73</v>
      </c>
      <c r="D940" s="204">
        <f>D939/Parametros!$B$37</f>
        <v>1075.404</v>
      </c>
      <c r="E940" s="204">
        <f>E939/Parametros!$B$37</f>
        <v>1006.2105</v>
      </c>
      <c r="F940" s="204">
        <f>F939/Parametros!$B$37</f>
        <v>962.5605</v>
      </c>
      <c r="G940" s="204">
        <f>G939/Parametros!$B$37</f>
        <v>900.804</v>
      </c>
      <c r="H940" s="204">
        <f>H939/Parametros!$B$37</f>
        <v>882.6975</v>
      </c>
      <c r="I940" s="204">
        <f>I939/Parametros!$B$37</f>
        <v>944.454</v>
      </c>
      <c r="J940" s="204">
        <f>J939/Parametros!$B$37</f>
        <v>944.454</v>
      </c>
      <c r="K940" s="204">
        <f>K939/Parametros!$B$37</f>
        <v>944.454</v>
      </c>
      <c r="L940" s="204">
        <f>L939/Parametros!$B$37</f>
        <v>926.3475</v>
      </c>
      <c r="M940" s="204">
        <f>M939/Parametros!$B$37</f>
        <v>908.241</v>
      </c>
      <c r="N940" s="204">
        <f>N939/Parametros!$B$37</f>
        <v>1445.943</v>
      </c>
      <c r="O940" s="5"/>
      <c r="P940" s="5"/>
      <c r="Q940" s="5"/>
      <c r="R940" s="5"/>
      <c r="S940" s="5"/>
      <c r="T940" s="5"/>
      <c r="U940" s="5"/>
      <c r="V940" s="5"/>
      <c r="W940" s="5"/>
      <c r="X940" s="5"/>
      <c r="Y940" s="5"/>
      <c r="Z940" s="5"/>
    </row>
    <row r="941" ht="12.0" customHeight="1">
      <c r="A941" s="5"/>
      <c r="B941" s="92" t="s">
        <v>635</v>
      </c>
      <c r="C941" s="204">
        <f>C940/Parametros!$J$37</f>
        <v>187.964</v>
      </c>
      <c r="D941" s="204">
        <f>D940/Parametros!$J$37</f>
        <v>143.3872</v>
      </c>
      <c r="E941" s="204">
        <f>E940/Parametros!$J$37</f>
        <v>134.1614</v>
      </c>
      <c r="F941" s="204">
        <f>F940/Parametros!$J$37</f>
        <v>128.3414</v>
      </c>
      <c r="G941" s="204">
        <f>G940/Parametros!$J$37</f>
        <v>120.1072</v>
      </c>
      <c r="H941" s="204">
        <f>H940/Parametros!$J$37</f>
        <v>117.693</v>
      </c>
      <c r="I941" s="204">
        <f>I940/Parametros!$J$37</f>
        <v>125.9272</v>
      </c>
      <c r="J941" s="204">
        <f>J940/Parametros!$J$37</f>
        <v>125.9272</v>
      </c>
      <c r="K941" s="204">
        <f>K940/Parametros!$J$37</f>
        <v>125.9272</v>
      </c>
      <c r="L941" s="204">
        <f>L940/Parametros!$J$37</f>
        <v>123.513</v>
      </c>
      <c r="M941" s="204">
        <f>M940/Parametros!$J$37</f>
        <v>121.0988</v>
      </c>
      <c r="N941" s="204">
        <f>N940/Parametros!$J$37</f>
        <v>192.7924</v>
      </c>
      <c r="O941" s="5"/>
      <c r="P941" s="5"/>
      <c r="Q941" s="5"/>
      <c r="R941" s="5"/>
      <c r="S941" s="5"/>
      <c r="T941" s="5"/>
      <c r="U941" s="5"/>
      <c r="V941" s="5"/>
      <c r="W941" s="5"/>
      <c r="X941" s="5"/>
      <c r="Y941" s="5"/>
      <c r="Z941" s="5"/>
    </row>
    <row r="942" ht="12.0" customHeight="1">
      <c r="A942" s="92" t="s">
        <v>636</v>
      </c>
      <c r="B942" s="5"/>
      <c r="C942" s="204">
        <f t="shared" ref="C942:N942" si="277">C941</f>
        <v>187.964</v>
      </c>
      <c r="D942" s="204">
        <f t="shared" si="277"/>
        <v>143.3872</v>
      </c>
      <c r="E942" s="204">
        <f t="shared" si="277"/>
        <v>134.1614</v>
      </c>
      <c r="F942" s="204">
        <f t="shared" si="277"/>
        <v>128.3414</v>
      </c>
      <c r="G942" s="204">
        <f t="shared" si="277"/>
        <v>120.1072</v>
      </c>
      <c r="H942" s="204">
        <f t="shared" si="277"/>
        <v>117.693</v>
      </c>
      <c r="I942" s="204">
        <f t="shared" si="277"/>
        <v>125.9272</v>
      </c>
      <c r="J942" s="204">
        <f t="shared" si="277"/>
        <v>125.9272</v>
      </c>
      <c r="K942" s="204">
        <f t="shared" si="277"/>
        <v>125.9272</v>
      </c>
      <c r="L942" s="204">
        <f t="shared" si="277"/>
        <v>123.513</v>
      </c>
      <c r="M942" s="204">
        <f t="shared" si="277"/>
        <v>121.0988</v>
      </c>
      <c r="N942" s="204">
        <f t="shared" si="277"/>
        <v>192.7924</v>
      </c>
      <c r="O942" s="5"/>
      <c r="P942" s="5"/>
      <c r="Q942" s="5"/>
      <c r="R942" s="5"/>
      <c r="S942" s="5"/>
      <c r="T942" s="5"/>
      <c r="U942" s="5"/>
      <c r="V942" s="5"/>
      <c r="W942" s="5"/>
      <c r="X942" s="5"/>
      <c r="Y942" s="5"/>
      <c r="Z942" s="5"/>
    </row>
    <row r="943" ht="12.0" customHeight="1">
      <c r="A943" s="92" t="s">
        <v>637</v>
      </c>
      <c r="B943" s="5"/>
      <c r="C943" s="205">
        <f>'Resumen Capacidad'!$G$113</f>
        <v>466.5116279</v>
      </c>
      <c r="D943" s="205">
        <f>'Resumen Capacidad'!$G$113</f>
        <v>466.5116279</v>
      </c>
      <c r="E943" s="205">
        <f>'Resumen Capacidad'!$G$113</f>
        <v>466.5116279</v>
      </c>
      <c r="F943" s="205">
        <f>'Resumen Capacidad'!$G$113</f>
        <v>466.5116279</v>
      </c>
      <c r="G943" s="205">
        <f>'Resumen Capacidad'!$G$113</f>
        <v>466.5116279</v>
      </c>
      <c r="H943" s="205">
        <f>'Resumen Capacidad'!$G$113</f>
        <v>466.5116279</v>
      </c>
      <c r="I943" s="205">
        <f>'Resumen Capacidad'!$G$113</f>
        <v>466.5116279</v>
      </c>
      <c r="J943" s="205">
        <f>'Resumen Capacidad'!$G$113</f>
        <v>466.5116279</v>
      </c>
      <c r="K943" s="205">
        <f>'Resumen Capacidad'!$G$113</f>
        <v>466.5116279</v>
      </c>
      <c r="L943" s="205">
        <f>'Resumen Capacidad'!$G$113</f>
        <v>466.5116279</v>
      </c>
      <c r="M943" s="205">
        <f>'Resumen Capacidad'!$G$113</f>
        <v>466.5116279</v>
      </c>
      <c r="N943" s="205">
        <f>'Resumen Capacidad'!$G$113</f>
        <v>466.5116279</v>
      </c>
      <c r="O943" s="5"/>
      <c r="P943" s="5"/>
      <c r="Q943" s="5"/>
      <c r="R943" s="5"/>
      <c r="S943" s="5"/>
      <c r="T943" s="5"/>
      <c r="U943" s="5"/>
      <c r="V943" s="5"/>
      <c r="W943" s="5"/>
      <c r="X943" s="5"/>
      <c r="Y943" s="5"/>
      <c r="Z943" s="5"/>
    </row>
    <row r="944" ht="12.0" customHeight="1">
      <c r="A944" s="92" t="s">
        <v>640</v>
      </c>
      <c r="B944" s="5"/>
      <c r="C944" s="204">
        <f>'Resumen Capacidad'!$G$31*'Resumen Capacidad'!$G$67</f>
        <v>1</v>
      </c>
      <c r="D944" s="204">
        <f>'Resumen Capacidad'!$G$31*'Resumen Capacidad'!$G$67</f>
        <v>1</v>
      </c>
      <c r="E944" s="204">
        <f>'Resumen Capacidad'!$G$31*'Resumen Capacidad'!$G$67</f>
        <v>1</v>
      </c>
      <c r="F944" s="204">
        <f>'Resumen Capacidad'!$G$31*'Resumen Capacidad'!$G$67</f>
        <v>1</v>
      </c>
      <c r="G944" s="204">
        <f>'Resumen Capacidad'!$G$31*'Resumen Capacidad'!$G$67</f>
        <v>1</v>
      </c>
      <c r="H944" s="204">
        <f>'Resumen Capacidad'!$G$31*'Resumen Capacidad'!$G$67</f>
        <v>1</v>
      </c>
      <c r="I944" s="204">
        <f>'Resumen Capacidad'!$G$31*'Resumen Capacidad'!$G$67</f>
        <v>1</v>
      </c>
      <c r="J944" s="204">
        <f>'Resumen Capacidad'!$G$31*'Resumen Capacidad'!$G$67</f>
        <v>1</v>
      </c>
      <c r="K944" s="204">
        <f>'Resumen Capacidad'!$G$31*'Resumen Capacidad'!$G$67</f>
        <v>1</v>
      </c>
      <c r="L944" s="204">
        <f>'Resumen Capacidad'!$G$31*'Resumen Capacidad'!$G$67</f>
        <v>1</v>
      </c>
      <c r="M944" s="204">
        <f>'Resumen Capacidad'!$G$31*'Resumen Capacidad'!$G$67</f>
        <v>1</v>
      </c>
      <c r="N944" s="204">
        <f>'Resumen Capacidad'!$G$31*'Resumen Capacidad'!$G$67</f>
        <v>1</v>
      </c>
      <c r="O944" s="5"/>
      <c r="P944" s="5"/>
      <c r="Q944" s="5"/>
      <c r="R944" s="5"/>
      <c r="S944" s="5"/>
      <c r="T944" s="5"/>
      <c r="U944" s="5"/>
      <c r="V944" s="5"/>
      <c r="W944" s="5"/>
      <c r="X944" s="5"/>
      <c r="Y944" s="5"/>
      <c r="Z944" s="5"/>
    </row>
    <row r="945" ht="12.0" customHeight="1">
      <c r="A945" s="92" t="s">
        <v>642</v>
      </c>
      <c r="B945" s="5"/>
      <c r="C945" s="204">
        <f t="shared" ref="C945:N945" si="278">C943*C944</f>
        <v>466.5116279</v>
      </c>
      <c r="D945" s="204">
        <f t="shared" si="278"/>
        <v>466.5116279</v>
      </c>
      <c r="E945" s="204">
        <f t="shared" si="278"/>
        <v>466.5116279</v>
      </c>
      <c r="F945" s="204">
        <f t="shared" si="278"/>
        <v>466.5116279</v>
      </c>
      <c r="G945" s="204">
        <f t="shared" si="278"/>
        <v>466.5116279</v>
      </c>
      <c r="H945" s="204">
        <f t="shared" si="278"/>
        <v>466.5116279</v>
      </c>
      <c r="I945" s="204">
        <f t="shared" si="278"/>
        <v>466.5116279</v>
      </c>
      <c r="J945" s="204">
        <f t="shared" si="278"/>
        <v>466.5116279</v>
      </c>
      <c r="K945" s="204">
        <f t="shared" si="278"/>
        <v>466.5116279</v>
      </c>
      <c r="L945" s="204">
        <f t="shared" si="278"/>
        <v>466.5116279</v>
      </c>
      <c r="M945" s="204">
        <f t="shared" si="278"/>
        <v>466.5116279</v>
      </c>
      <c r="N945" s="204">
        <f t="shared" si="278"/>
        <v>466.5116279</v>
      </c>
      <c r="O945" s="5"/>
      <c r="P945" s="5"/>
      <c r="Q945" s="5"/>
      <c r="R945" s="5"/>
      <c r="S945" s="5"/>
      <c r="T945" s="5"/>
      <c r="U945" s="5"/>
      <c r="V945" s="5"/>
      <c r="W945" s="5"/>
      <c r="X945" s="5"/>
      <c r="Y945" s="5"/>
      <c r="Z945" s="5"/>
    </row>
    <row r="946" ht="12.0" customHeight="1">
      <c r="A946" s="92" t="s">
        <v>643</v>
      </c>
      <c r="B946" s="5"/>
      <c r="C946" s="206">
        <f t="shared" ref="C946:N946" si="279">IF(C945=0,0,C942/C945)</f>
        <v>0.4029138584</v>
      </c>
      <c r="D946" s="206">
        <f t="shared" si="279"/>
        <v>0.3073603988</v>
      </c>
      <c r="E946" s="206">
        <f t="shared" si="279"/>
        <v>0.2875842572</v>
      </c>
      <c r="F946" s="206">
        <f t="shared" si="279"/>
        <v>0.2751086839</v>
      </c>
      <c r="G946" s="206">
        <f t="shared" si="279"/>
        <v>0.2574581057</v>
      </c>
      <c r="H946" s="206">
        <f t="shared" si="279"/>
        <v>0.2522831007</v>
      </c>
      <c r="I946" s="206">
        <f t="shared" si="279"/>
        <v>0.269933679</v>
      </c>
      <c r="J946" s="206">
        <f t="shared" si="279"/>
        <v>0.269933679</v>
      </c>
      <c r="K946" s="206">
        <f t="shared" si="279"/>
        <v>0.269933679</v>
      </c>
      <c r="L946" s="206">
        <f t="shared" si="279"/>
        <v>0.264758674</v>
      </c>
      <c r="M946" s="206">
        <f t="shared" si="279"/>
        <v>0.259583669</v>
      </c>
      <c r="N946" s="206">
        <f t="shared" si="279"/>
        <v>0.4132638684</v>
      </c>
      <c r="O946" s="5"/>
      <c r="P946" s="5"/>
      <c r="Q946" s="5"/>
      <c r="R946" s="5"/>
      <c r="S946" s="5"/>
      <c r="T946" s="5"/>
      <c r="U946" s="5"/>
      <c r="V946" s="5"/>
      <c r="W946" s="5"/>
      <c r="X946" s="5"/>
      <c r="Y946" s="5"/>
      <c r="Z946" s="5"/>
    </row>
    <row r="947" ht="12.0" customHeight="1">
      <c r="A947" s="201" t="s">
        <v>649</v>
      </c>
      <c r="B947" s="202"/>
      <c r="C947" s="202"/>
      <c r="D947" s="202"/>
      <c r="E947" s="202"/>
      <c r="F947" s="202"/>
      <c r="G947" s="202"/>
      <c r="H947" s="202"/>
      <c r="I947" s="202"/>
      <c r="J947" s="202"/>
      <c r="K947" s="202"/>
      <c r="L947" s="202"/>
      <c r="M947" s="202"/>
      <c r="N947" s="202"/>
      <c r="O947" s="5"/>
      <c r="P947" s="5"/>
      <c r="Q947" s="5"/>
      <c r="R947" s="5"/>
      <c r="S947" s="5"/>
      <c r="T947" s="5"/>
      <c r="U947" s="5"/>
      <c r="V947" s="5"/>
      <c r="W947" s="5"/>
      <c r="X947" s="5"/>
      <c r="Y947" s="5"/>
      <c r="Z947" s="5"/>
    </row>
    <row r="948" ht="12.0" customHeight="1">
      <c r="A948" s="201" t="s">
        <v>630</v>
      </c>
      <c r="B948" s="201" t="s">
        <v>631</v>
      </c>
      <c r="C948" s="201" t="s">
        <v>3</v>
      </c>
      <c r="D948" s="201" t="s">
        <v>4</v>
      </c>
      <c r="E948" s="201" t="s">
        <v>5</v>
      </c>
      <c r="F948" s="201" t="s">
        <v>6</v>
      </c>
      <c r="G948" s="201" t="s">
        <v>7</v>
      </c>
      <c r="H948" s="201" t="s">
        <v>8</v>
      </c>
      <c r="I948" s="201" t="s">
        <v>9</v>
      </c>
      <c r="J948" s="201" t="s">
        <v>10</v>
      </c>
      <c r="K948" s="201" t="s">
        <v>11</v>
      </c>
      <c r="L948" s="201" t="s">
        <v>12</v>
      </c>
      <c r="M948" s="201" t="s">
        <v>13</v>
      </c>
      <c r="N948" s="201" t="s">
        <v>14</v>
      </c>
      <c r="O948" s="5"/>
      <c r="P948" s="5"/>
      <c r="Q948" s="5"/>
      <c r="R948" s="5"/>
      <c r="S948" s="5"/>
      <c r="T948" s="5"/>
      <c r="U948" s="5"/>
      <c r="V948" s="5"/>
      <c r="W948" s="5"/>
      <c r="X948" s="5"/>
      <c r="Y948" s="5"/>
      <c r="Z948" s="5"/>
    </row>
    <row r="949" ht="12.0" customHeight="1">
      <c r="A949" s="92" t="s">
        <v>632</v>
      </c>
      <c r="B949" s="92" t="s">
        <v>633</v>
      </c>
      <c r="C949" s="203">
        <f>SUM('2031'!B6:B9)+SUM('2031'!B17:B20)</f>
        <v>14097.3</v>
      </c>
      <c r="D949" s="203">
        <f>SUM('2031'!C6:C9)+SUM('2031'!C17:C20)</f>
        <v>10754.04</v>
      </c>
      <c r="E949" s="203">
        <f>SUM('2031'!D6:D9)+SUM('2031'!D17:D20)</f>
        <v>10062.105</v>
      </c>
      <c r="F949" s="203">
        <f>SUM('2031'!E6:E9)+SUM('2031'!E17:E20)</f>
        <v>9625.605</v>
      </c>
      <c r="G949" s="203">
        <f>SUM('2031'!F6:F9)+SUM('2031'!F17:F20)</f>
        <v>9008.04</v>
      </c>
      <c r="H949" s="203">
        <f>SUM('2031'!G6:G9)+SUM('2031'!G17:G20)</f>
        <v>8826.975</v>
      </c>
      <c r="I949" s="203">
        <f>SUM('2031'!H6:H9)+SUM('2031'!H17:H20)</f>
        <v>9444.54</v>
      </c>
      <c r="J949" s="203">
        <f>SUM('2031'!I6:I9)+SUM('2031'!I17:I20)</f>
        <v>9444.54</v>
      </c>
      <c r="K949" s="203">
        <f>SUM('2031'!J6:J9)+SUM('2031'!J17:J20)</f>
        <v>9444.54</v>
      </c>
      <c r="L949" s="203">
        <f>SUM('2031'!K6:K9)+SUM('2031'!K17:K20)</f>
        <v>9263.475</v>
      </c>
      <c r="M949" s="203">
        <f>SUM('2031'!L6:L9)+SUM('2031'!L17:L20)</f>
        <v>9082.41</v>
      </c>
      <c r="N949" s="203">
        <f>SUM('2031'!M6:M9)+SUM('2031'!M17:M20)</f>
        <v>14459.43</v>
      </c>
      <c r="O949" s="5"/>
      <c r="P949" s="5"/>
      <c r="Q949" s="5"/>
      <c r="R949" s="5"/>
      <c r="S949" s="5"/>
      <c r="T949" s="5"/>
      <c r="U949" s="5"/>
      <c r="V949" s="5"/>
      <c r="W949" s="5"/>
      <c r="X949" s="5"/>
      <c r="Y949" s="5"/>
      <c r="Z949" s="5"/>
    </row>
    <row r="950" ht="12.0" customHeight="1">
      <c r="A950" s="5"/>
      <c r="B950" s="92" t="s">
        <v>634</v>
      </c>
      <c r="C950" s="204">
        <f>C949/Parametros!$B$37</f>
        <v>704.865</v>
      </c>
      <c r="D950" s="204">
        <f>D949/Parametros!$B$37</f>
        <v>537.702</v>
      </c>
      <c r="E950" s="204">
        <f>E949/Parametros!$B$37</f>
        <v>503.10525</v>
      </c>
      <c r="F950" s="204">
        <f>F949/Parametros!$B$37</f>
        <v>481.28025</v>
      </c>
      <c r="G950" s="204">
        <f>G949/Parametros!$B$37</f>
        <v>450.402</v>
      </c>
      <c r="H950" s="204">
        <f>H949/Parametros!$B$37</f>
        <v>441.34875</v>
      </c>
      <c r="I950" s="204">
        <f>I949/Parametros!$B$37</f>
        <v>472.227</v>
      </c>
      <c r="J950" s="204">
        <f>J949/Parametros!$B$37</f>
        <v>472.227</v>
      </c>
      <c r="K950" s="204">
        <f>K949/Parametros!$B$37</f>
        <v>472.227</v>
      </c>
      <c r="L950" s="204">
        <f>L949/Parametros!$B$37</f>
        <v>463.17375</v>
      </c>
      <c r="M950" s="204">
        <f>M949/Parametros!$B$37</f>
        <v>454.1205</v>
      </c>
      <c r="N950" s="204">
        <f>N949/Parametros!$B$37</f>
        <v>722.9715</v>
      </c>
      <c r="O950" s="5"/>
      <c r="P950" s="5"/>
      <c r="Q950" s="5"/>
      <c r="R950" s="5"/>
      <c r="S950" s="5"/>
      <c r="T950" s="5"/>
      <c r="U950" s="5"/>
      <c r="V950" s="5"/>
      <c r="W950" s="5"/>
      <c r="X950" s="5"/>
      <c r="Y950" s="5"/>
      <c r="Z950" s="5"/>
    </row>
    <row r="951" ht="12.0" customHeight="1">
      <c r="A951" s="5"/>
      <c r="B951" s="92" t="s">
        <v>635</v>
      </c>
      <c r="C951" s="204">
        <f>C950/Parametros!$J$37</f>
        <v>93.982</v>
      </c>
      <c r="D951" s="204">
        <f>D950/Parametros!$J$37</f>
        <v>71.6936</v>
      </c>
      <c r="E951" s="204">
        <f>E950/Parametros!$J$37</f>
        <v>67.0807</v>
      </c>
      <c r="F951" s="204">
        <f>F950/Parametros!$J$37</f>
        <v>64.1707</v>
      </c>
      <c r="G951" s="204">
        <f>G950/Parametros!$J$37</f>
        <v>60.0536</v>
      </c>
      <c r="H951" s="204">
        <f>H950/Parametros!$J$37</f>
        <v>58.8465</v>
      </c>
      <c r="I951" s="204">
        <f>I950/Parametros!$J$37</f>
        <v>62.9636</v>
      </c>
      <c r="J951" s="204">
        <f>J950/Parametros!$J$37</f>
        <v>62.9636</v>
      </c>
      <c r="K951" s="204">
        <f>K950/Parametros!$J$37</f>
        <v>62.9636</v>
      </c>
      <c r="L951" s="204">
        <f>L950/Parametros!$J$37</f>
        <v>61.7565</v>
      </c>
      <c r="M951" s="204">
        <f>M950/Parametros!$J$37</f>
        <v>60.5494</v>
      </c>
      <c r="N951" s="204">
        <f>N950/Parametros!$J$37</f>
        <v>96.3962</v>
      </c>
      <c r="O951" s="5"/>
      <c r="P951" s="5"/>
      <c r="Q951" s="5"/>
      <c r="R951" s="5"/>
      <c r="S951" s="5"/>
      <c r="T951" s="5"/>
      <c r="U951" s="5"/>
      <c r="V951" s="5"/>
      <c r="W951" s="5"/>
      <c r="X951" s="5"/>
      <c r="Y951" s="5"/>
      <c r="Z951" s="5"/>
    </row>
    <row r="952" ht="12.0" customHeight="1">
      <c r="A952" s="92" t="s">
        <v>636</v>
      </c>
      <c r="B952" s="5"/>
      <c r="C952" s="204">
        <f t="shared" ref="C952:N952" si="280">C951</f>
        <v>93.982</v>
      </c>
      <c r="D952" s="204">
        <f t="shared" si="280"/>
        <v>71.6936</v>
      </c>
      <c r="E952" s="204">
        <f t="shared" si="280"/>
        <v>67.0807</v>
      </c>
      <c r="F952" s="204">
        <f t="shared" si="280"/>
        <v>64.1707</v>
      </c>
      <c r="G952" s="204">
        <f t="shared" si="280"/>
        <v>60.0536</v>
      </c>
      <c r="H952" s="204">
        <f t="shared" si="280"/>
        <v>58.8465</v>
      </c>
      <c r="I952" s="204">
        <f t="shared" si="280"/>
        <v>62.9636</v>
      </c>
      <c r="J952" s="204">
        <f t="shared" si="280"/>
        <v>62.9636</v>
      </c>
      <c r="K952" s="204">
        <f t="shared" si="280"/>
        <v>62.9636</v>
      </c>
      <c r="L952" s="204">
        <f t="shared" si="280"/>
        <v>61.7565</v>
      </c>
      <c r="M952" s="204">
        <f t="shared" si="280"/>
        <v>60.5494</v>
      </c>
      <c r="N952" s="204">
        <f t="shared" si="280"/>
        <v>96.3962</v>
      </c>
      <c r="O952" s="5"/>
      <c r="P952" s="5"/>
      <c r="Q952" s="5"/>
      <c r="R952" s="5"/>
      <c r="S952" s="5"/>
      <c r="T952" s="5"/>
      <c r="U952" s="5"/>
      <c r="V952" s="5"/>
      <c r="W952" s="5"/>
      <c r="X952" s="5"/>
      <c r="Y952" s="5"/>
      <c r="Z952" s="5"/>
    </row>
    <row r="953" ht="12.0" customHeight="1">
      <c r="A953" s="92" t="s">
        <v>637</v>
      </c>
      <c r="B953" s="5"/>
      <c r="C953" s="205">
        <f>'Resumen Capacidad'!$G$114</f>
        <v>96</v>
      </c>
      <c r="D953" s="205">
        <f>'Resumen Capacidad'!$G$114</f>
        <v>96</v>
      </c>
      <c r="E953" s="205">
        <f>'Resumen Capacidad'!$G$114</f>
        <v>96</v>
      </c>
      <c r="F953" s="205">
        <f>'Resumen Capacidad'!$G$114</f>
        <v>96</v>
      </c>
      <c r="G953" s="205">
        <f>'Resumen Capacidad'!$G$114</f>
        <v>96</v>
      </c>
      <c r="H953" s="205">
        <f>'Resumen Capacidad'!$G$114</f>
        <v>96</v>
      </c>
      <c r="I953" s="205">
        <f>'Resumen Capacidad'!$G$114</f>
        <v>96</v>
      </c>
      <c r="J953" s="205">
        <f>'Resumen Capacidad'!$G$114</f>
        <v>96</v>
      </c>
      <c r="K953" s="205">
        <f>'Resumen Capacidad'!$G$114</f>
        <v>96</v>
      </c>
      <c r="L953" s="205">
        <f>'Resumen Capacidad'!$G$114</f>
        <v>96</v>
      </c>
      <c r="M953" s="205">
        <f>'Resumen Capacidad'!$G$114</f>
        <v>96</v>
      </c>
      <c r="N953" s="205">
        <f>'Resumen Capacidad'!$G$114</f>
        <v>96</v>
      </c>
      <c r="O953" s="5"/>
      <c r="P953" s="5"/>
      <c r="Q953" s="5"/>
      <c r="R953" s="5"/>
      <c r="S953" s="5"/>
      <c r="T953" s="5"/>
      <c r="U953" s="5"/>
      <c r="V953" s="5"/>
      <c r="W953" s="5"/>
      <c r="X953" s="5"/>
      <c r="Y953" s="5"/>
      <c r="Z953" s="5"/>
    </row>
    <row r="954" ht="12.0" customHeight="1">
      <c r="A954" s="92" t="s">
        <v>640</v>
      </c>
      <c r="B954" s="5"/>
      <c r="C954" s="204">
        <f>'Resumen Capacidad'!$G$32*'Resumen Capacidad'!$G$68</f>
        <v>2</v>
      </c>
      <c r="D954" s="204">
        <f>'Resumen Capacidad'!$G$32*'Resumen Capacidad'!$G$68</f>
        <v>2</v>
      </c>
      <c r="E954" s="204">
        <f>'Resumen Capacidad'!$G$32*'Resumen Capacidad'!$G$68</f>
        <v>2</v>
      </c>
      <c r="F954" s="204">
        <f>'Resumen Capacidad'!$G$32*'Resumen Capacidad'!$G$68</f>
        <v>2</v>
      </c>
      <c r="G954" s="204">
        <f>'Resumen Capacidad'!$G$32*'Resumen Capacidad'!$G$68</f>
        <v>2</v>
      </c>
      <c r="H954" s="204">
        <f>'Resumen Capacidad'!$G$32*'Resumen Capacidad'!$G$68</f>
        <v>2</v>
      </c>
      <c r="I954" s="204">
        <f>'Resumen Capacidad'!$G$32*'Resumen Capacidad'!$G$68</f>
        <v>2</v>
      </c>
      <c r="J954" s="204">
        <f>'Resumen Capacidad'!$G$32*'Resumen Capacidad'!$G$68</f>
        <v>2</v>
      </c>
      <c r="K954" s="204">
        <f>'Resumen Capacidad'!$G$32*'Resumen Capacidad'!$G$68</f>
        <v>2</v>
      </c>
      <c r="L954" s="204">
        <f>'Resumen Capacidad'!$G$32*'Resumen Capacidad'!$G$68</f>
        <v>2</v>
      </c>
      <c r="M954" s="204">
        <f>'Resumen Capacidad'!$G$32*'Resumen Capacidad'!$G$68</f>
        <v>2</v>
      </c>
      <c r="N954" s="204">
        <f>'Resumen Capacidad'!$G$32*'Resumen Capacidad'!$G$68</f>
        <v>2</v>
      </c>
      <c r="O954" s="5"/>
      <c r="P954" s="5"/>
      <c r="Q954" s="5"/>
      <c r="R954" s="5"/>
      <c r="S954" s="5"/>
      <c r="T954" s="5"/>
      <c r="U954" s="5"/>
      <c r="V954" s="5"/>
      <c r="W954" s="5"/>
      <c r="X954" s="5"/>
      <c r="Y954" s="5"/>
      <c r="Z954" s="5"/>
    </row>
    <row r="955" ht="12.0" customHeight="1">
      <c r="A955" s="92" t="s">
        <v>642</v>
      </c>
      <c r="B955" s="5"/>
      <c r="C955" s="204">
        <f t="shared" ref="C955:N955" si="281">C953*C954</f>
        <v>192</v>
      </c>
      <c r="D955" s="204">
        <f t="shared" si="281"/>
        <v>192</v>
      </c>
      <c r="E955" s="204">
        <f t="shared" si="281"/>
        <v>192</v>
      </c>
      <c r="F955" s="204">
        <f t="shared" si="281"/>
        <v>192</v>
      </c>
      <c r="G955" s="204">
        <f t="shared" si="281"/>
        <v>192</v>
      </c>
      <c r="H955" s="204">
        <f t="shared" si="281"/>
        <v>192</v>
      </c>
      <c r="I955" s="204">
        <f t="shared" si="281"/>
        <v>192</v>
      </c>
      <c r="J955" s="204">
        <f t="shared" si="281"/>
        <v>192</v>
      </c>
      <c r="K955" s="204">
        <f t="shared" si="281"/>
        <v>192</v>
      </c>
      <c r="L955" s="204">
        <f t="shared" si="281"/>
        <v>192</v>
      </c>
      <c r="M955" s="204">
        <f t="shared" si="281"/>
        <v>192</v>
      </c>
      <c r="N955" s="204">
        <f t="shared" si="281"/>
        <v>192</v>
      </c>
      <c r="O955" s="5"/>
      <c r="P955" s="5"/>
      <c r="Q955" s="5"/>
      <c r="R955" s="5"/>
      <c r="S955" s="5"/>
      <c r="T955" s="5"/>
      <c r="U955" s="5"/>
      <c r="V955" s="5"/>
      <c r="W955" s="5"/>
      <c r="X955" s="5"/>
      <c r="Y955" s="5"/>
      <c r="Z955" s="5"/>
    </row>
    <row r="956" ht="12.0" customHeight="1">
      <c r="A956" s="92" t="s">
        <v>643</v>
      </c>
      <c r="B956" s="5"/>
      <c r="C956" s="206">
        <f t="shared" ref="C956:N956" si="282">IF(C955=0,0,C952/C955)</f>
        <v>0.4894895833</v>
      </c>
      <c r="D956" s="206">
        <f t="shared" si="282"/>
        <v>0.3734041667</v>
      </c>
      <c r="E956" s="206">
        <f t="shared" si="282"/>
        <v>0.3493786458</v>
      </c>
      <c r="F956" s="206">
        <f t="shared" si="282"/>
        <v>0.3342223958</v>
      </c>
      <c r="G956" s="206">
        <f t="shared" si="282"/>
        <v>0.3127791667</v>
      </c>
      <c r="H956" s="206">
        <f t="shared" si="282"/>
        <v>0.3064921875</v>
      </c>
      <c r="I956" s="206">
        <f t="shared" si="282"/>
        <v>0.3279354167</v>
      </c>
      <c r="J956" s="206">
        <f t="shared" si="282"/>
        <v>0.3279354167</v>
      </c>
      <c r="K956" s="206">
        <f t="shared" si="282"/>
        <v>0.3279354167</v>
      </c>
      <c r="L956" s="206">
        <f t="shared" si="282"/>
        <v>0.3216484375</v>
      </c>
      <c r="M956" s="206">
        <f t="shared" si="282"/>
        <v>0.3153614583</v>
      </c>
      <c r="N956" s="206">
        <f t="shared" si="282"/>
        <v>0.5020635417</v>
      </c>
      <c r="O956" s="5"/>
      <c r="P956" s="5"/>
      <c r="Q956" s="5"/>
      <c r="R956" s="5"/>
      <c r="S956" s="5"/>
      <c r="T956" s="5"/>
      <c r="U956" s="5"/>
      <c r="V956" s="5"/>
      <c r="W956" s="5"/>
      <c r="X956" s="5"/>
      <c r="Y956" s="5"/>
      <c r="Z956" s="5"/>
    </row>
    <row r="957" ht="12.0" customHeight="1">
      <c r="A957" s="201" t="s">
        <v>650</v>
      </c>
      <c r="B957" s="202"/>
      <c r="C957" s="202"/>
      <c r="D957" s="202"/>
      <c r="E957" s="202"/>
      <c r="F957" s="202"/>
      <c r="G957" s="202"/>
      <c r="H957" s="202"/>
      <c r="I957" s="202"/>
      <c r="J957" s="202"/>
      <c r="K957" s="202"/>
      <c r="L957" s="202"/>
      <c r="M957" s="202"/>
      <c r="N957" s="202"/>
      <c r="O957" s="5"/>
      <c r="P957" s="5"/>
      <c r="Q957" s="5"/>
      <c r="R957" s="5"/>
      <c r="S957" s="5"/>
      <c r="T957" s="5"/>
      <c r="U957" s="5"/>
      <c r="V957" s="5"/>
      <c r="W957" s="5"/>
      <c r="X957" s="5"/>
      <c r="Y957" s="5"/>
      <c r="Z957" s="5"/>
    </row>
    <row r="958" ht="12.0" customHeight="1">
      <c r="A958" s="201" t="s">
        <v>630</v>
      </c>
      <c r="B958" s="201" t="s">
        <v>631</v>
      </c>
      <c r="C958" s="201" t="s">
        <v>3</v>
      </c>
      <c r="D958" s="201" t="s">
        <v>4</v>
      </c>
      <c r="E958" s="201" t="s">
        <v>5</v>
      </c>
      <c r="F958" s="201" t="s">
        <v>6</v>
      </c>
      <c r="G958" s="201" t="s">
        <v>7</v>
      </c>
      <c r="H958" s="201" t="s">
        <v>8</v>
      </c>
      <c r="I958" s="201" t="s">
        <v>9</v>
      </c>
      <c r="J958" s="201" t="s">
        <v>10</v>
      </c>
      <c r="K958" s="201" t="s">
        <v>11</v>
      </c>
      <c r="L958" s="201" t="s">
        <v>12</v>
      </c>
      <c r="M958" s="201" t="s">
        <v>13</v>
      </c>
      <c r="N958" s="201" t="s">
        <v>14</v>
      </c>
      <c r="O958" s="5"/>
      <c r="P958" s="5"/>
      <c r="Q958" s="5"/>
      <c r="R958" s="5"/>
      <c r="S958" s="5"/>
      <c r="T958" s="5"/>
      <c r="U958" s="5"/>
      <c r="V958" s="5"/>
      <c r="W958" s="5"/>
      <c r="X958" s="5"/>
      <c r="Y958" s="5"/>
      <c r="Z958" s="5"/>
    </row>
    <row r="959" ht="12.0" customHeight="1">
      <c r="A959" s="92" t="s">
        <v>651</v>
      </c>
      <c r="B959" s="92" t="s">
        <v>633</v>
      </c>
      <c r="C959" s="203">
        <f>SUM('2031'!B7:B9)+SUM('2031'!B18:B20)</f>
        <v>3621.3</v>
      </c>
      <c r="D959" s="203">
        <f>SUM('2031'!C7:C9)+SUM('2031'!C18:C20)</f>
        <v>2897.04</v>
      </c>
      <c r="E959" s="203">
        <f>SUM('2031'!D7:D9)+SUM('2031'!D18:D20)</f>
        <v>3078.105</v>
      </c>
      <c r="F959" s="203">
        <f>SUM('2031'!E7:E9)+SUM('2031'!E18:E20)</f>
        <v>3078.105</v>
      </c>
      <c r="G959" s="203">
        <f>SUM('2031'!F7:F9)+SUM('2031'!F18:F20)</f>
        <v>2897.04</v>
      </c>
      <c r="H959" s="203">
        <f>SUM('2031'!G7:G9)+SUM('2031'!G18:G20)</f>
        <v>2715.975</v>
      </c>
      <c r="I959" s="203">
        <f>SUM('2031'!H7:H9)+SUM('2031'!H18:H20)</f>
        <v>2897.04</v>
      </c>
      <c r="J959" s="203">
        <f>SUM('2031'!I7:I9)+SUM('2031'!I18:I20)</f>
        <v>2897.04</v>
      </c>
      <c r="K959" s="203">
        <f>SUM('2031'!J7:J9)+SUM('2031'!J18:J20)</f>
        <v>2897.04</v>
      </c>
      <c r="L959" s="203">
        <f>SUM('2031'!K7:K9)+SUM('2031'!K18:K20)</f>
        <v>2715.975</v>
      </c>
      <c r="M959" s="203">
        <f>SUM('2031'!L7:L9)+SUM('2031'!L18:L20)</f>
        <v>2534.91</v>
      </c>
      <c r="N959" s="203">
        <f>SUM('2031'!M7:M9)+SUM('2031'!M18:M20)</f>
        <v>3983.43</v>
      </c>
      <c r="O959" s="5"/>
      <c r="P959" s="5"/>
      <c r="Q959" s="5"/>
      <c r="R959" s="5"/>
      <c r="S959" s="5"/>
      <c r="T959" s="5"/>
      <c r="U959" s="5"/>
      <c r="V959" s="5"/>
      <c r="W959" s="5"/>
      <c r="X959" s="5"/>
      <c r="Y959" s="5"/>
      <c r="Z959" s="5"/>
    </row>
    <row r="960" ht="12.0" customHeight="1">
      <c r="A960" s="5"/>
      <c r="B960" s="92" t="s">
        <v>634</v>
      </c>
      <c r="C960" s="204">
        <f>C959/Parametros!$B$37</f>
        <v>181.065</v>
      </c>
      <c r="D960" s="204">
        <f>D959/Parametros!$B$37</f>
        <v>144.852</v>
      </c>
      <c r="E960" s="204">
        <f>E959/Parametros!$B$37</f>
        <v>153.90525</v>
      </c>
      <c r="F960" s="204">
        <f>F959/Parametros!$B$37</f>
        <v>153.90525</v>
      </c>
      <c r="G960" s="204">
        <f>G959/Parametros!$B$37</f>
        <v>144.852</v>
      </c>
      <c r="H960" s="204">
        <f>H959/Parametros!$B$37</f>
        <v>135.79875</v>
      </c>
      <c r="I960" s="204">
        <f>I959/Parametros!$B$37</f>
        <v>144.852</v>
      </c>
      <c r="J960" s="204">
        <f>J959/Parametros!$B$37</f>
        <v>144.852</v>
      </c>
      <c r="K960" s="204">
        <f>K959/Parametros!$B$37</f>
        <v>144.852</v>
      </c>
      <c r="L960" s="204">
        <f>L959/Parametros!$B$37</f>
        <v>135.79875</v>
      </c>
      <c r="M960" s="204">
        <f>M959/Parametros!$B$37</f>
        <v>126.7455</v>
      </c>
      <c r="N960" s="204">
        <f>N959/Parametros!$B$37</f>
        <v>199.1715</v>
      </c>
      <c r="O960" s="5"/>
      <c r="P960" s="5"/>
      <c r="Q960" s="5"/>
      <c r="R960" s="5"/>
      <c r="S960" s="5"/>
      <c r="T960" s="5"/>
      <c r="U960" s="5"/>
      <c r="V960" s="5"/>
      <c r="W960" s="5"/>
      <c r="X960" s="5"/>
      <c r="Y960" s="5"/>
      <c r="Z960" s="5"/>
    </row>
    <row r="961" ht="12.0" customHeight="1">
      <c r="A961" s="5"/>
      <c r="B961" s="92" t="s">
        <v>635</v>
      </c>
      <c r="C961" s="204">
        <f>C960/Parametros!$J$37</f>
        <v>24.142</v>
      </c>
      <c r="D961" s="204">
        <f>D960/Parametros!$J$37</f>
        <v>19.3136</v>
      </c>
      <c r="E961" s="204">
        <f>E960/Parametros!$J$37</f>
        <v>20.5207</v>
      </c>
      <c r="F961" s="204">
        <f>F960/Parametros!$J$37</f>
        <v>20.5207</v>
      </c>
      <c r="G961" s="204">
        <f>G960/Parametros!$J$37</f>
        <v>19.3136</v>
      </c>
      <c r="H961" s="204">
        <f>H960/Parametros!$J$37</f>
        <v>18.1065</v>
      </c>
      <c r="I961" s="204">
        <f>I960/Parametros!$J$37</f>
        <v>19.3136</v>
      </c>
      <c r="J961" s="204">
        <f>J960/Parametros!$J$37</f>
        <v>19.3136</v>
      </c>
      <c r="K961" s="204">
        <f>K960/Parametros!$J$37</f>
        <v>19.3136</v>
      </c>
      <c r="L961" s="204">
        <f>L960/Parametros!$J$37</f>
        <v>18.1065</v>
      </c>
      <c r="M961" s="204">
        <f>M960/Parametros!$J$37</f>
        <v>16.8994</v>
      </c>
      <c r="N961" s="204">
        <f>N960/Parametros!$J$37</f>
        <v>26.5562</v>
      </c>
      <c r="O961" s="5"/>
      <c r="P961" s="5"/>
      <c r="Q961" s="5"/>
      <c r="R961" s="5"/>
      <c r="S961" s="5"/>
      <c r="T961" s="5"/>
      <c r="U961" s="5"/>
      <c r="V961" s="5"/>
      <c r="W961" s="5"/>
      <c r="X961" s="5"/>
      <c r="Y961" s="5"/>
      <c r="Z961" s="5"/>
    </row>
    <row r="962" ht="12.0" customHeight="1">
      <c r="A962" s="92" t="s">
        <v>636</v>
      </c>
      <c r="B962" s="5"/>
      <c r="C962" s="204">
        <f t="shared" ref="C962:N962" si="283">C961</f>
        <v>24.142</v>
      </c>
      <c r="D962" s="204">
        <f t="shared" si="283"/>
        <v>19.3136</v>
      </c>
      <c r="E962" s="204">
        <f t="shared" si="283"/>
        <v>20.5207</v>
      </c>
      <c r="F962" s="204">
        <f t="shared" si="283"/>
        <v>20.5207</v>
      </c>
      <c r="G962" s="204">
        <f t="shared" si="283"/>
        <v>19.3136</v>
      </c>
      <c r="H962" s="204">
        <f t="shared" si="283"/>
        <v>18.1065</v>
      </c>
      <c r="I962" s="204">
        <f t="shared" si="283"/>
        <v>19.3136</v>
      </c>
      <c r="J962" s="204">
        <f t="shared" si="283"/>
        <v>19.3136</v>
      </c>
      <c r="K962" s="204">
        <f t="shared" si="283"/>
        <v>19.3136</v>
      </c>
      <c r="L962" s="204">
        <f t="shared" si="283"/>
        <v>18.1065</v>
      </c>
      <c r="M962" s="204">
        <f t="shared" si="283"/>
        <v>16.8994</v>
      </c>
      <c r="N962" s="204">
        <f t="shared" si="283"/>
        <v>26.5562</v>
      </c>
      <c r="O962" s="5"/>
      <c r="P962" s="5"/>
      <c r="Q962" s="5"/>
      <c r="R962" s="5"/>
      <c r="S962" s="5"/>
      <c r="T962" s="5"/>
      <c r="U962" s="5"/>
      <c r="V962" s="5"/>
      <c r="W962" s="5"/>
      <c r="X962" s="5"/>
      <c r="Y962" s="5"/>
      <c r="Z962" s="5"/>
    </row>
    <row r="963" ht="12.0" customHeight="1">
      <c r="A963" s="92" t="s">
        <v>637</v>
      </c>
      <c r="B963" s="5"/>
      <c r="C963" s="205">
        <f>'Resumen Capacidad'!$G$115</f>
        <v>80.10122449</v>
      </c>
      <c r="D963" s="205">
        <f>'Resumen Capacidad'!$G$115</f>
        <v>80.10122449</v>
      </c>
      <c r="E963" s="205">
        <f>'Resumen Capacidad'!$G$115</f>
        <v>80.10122449</v>
      </c>
      <c r="F963" s="205">
        <f>'Resumen Capacidad'!$G$115</f>
        <v>80.10122449</v>
      </c>
      <c r="G963" s="205">
        <f>'Resumen Capacidad'!$G$115</f>
        <v>80.10122449</v>
      </c>
      <c r="H963" s="205">
        <f>'Resumen Capacidad'!$G$115</f>
        <v>80.10122449</v>
      </c>
      <c r="I963" s="205">
        <f>'Resumen Capacidad'!$G$115</f>
        <v>80.10122449</v>
      </c>
      <c r="J963" s="205">
        <f>'Resumen Capacidad'!$G$115</f>
        <v>80.10122449</v>
      </c>
      <c r="K963" s="205">
        <f>'Resumen Capacidad'!$G$115</f>
        <v>80.10122449</v>
      </c>
      <c r="L963" s="205">
        <f>'Resumen Capacidad'!$G$115</f>
        <v>80.10122449</v>
      </c>
      <c r="M963" s="205">
        <f>'Resumen Capacidad'!$G$115</f>
        <v>80.10122449</v>
      </c>
      <c r="N963" s="205">
        <f>'Resumen Capacidad'!$G$115</f>
        <v>80.10122449</v>
      </c>
      <c r="O963" s="5"/>
      <c r="P963" s="5"/>
      <c r="Q963" s="5"/>
      <c r="R963" s="5"/>
      <c r="S963" s="5"/>
      <c r="T963" s="5"/>
      <c r="U963" s="5"/>
      <c r="V963" s="5"/>
      <c r="W963" s="5"/>
      <c r="X963" s="5"/>
      <c r="Y963" s="5"/>
      <c r="Z963" s="5"/>
    </row>
    <row r="964" ht="12.0" customHeight="1">
      <c r="A964" s="92" t="s">
        <v>640</v>
      </c>
      <c r="B964" s="5"/>
      <c r="C964" s="204">
        <f>'Resumen Capacidad'!$G$33*'Resumen Capacidad'!$G$69</f>
        <v>1</v>
      </c>
      <c r="D964" s="204">
        <f>'Resumen Capacidad'!$G$33*'Resumen Capacidad'!$G$69</f>
        <v>1</v>
      </c>
      <c r="E964" s="204">
        <f>'Resumen Capacidad'!$G$33*'Resumen Capacidad'!$G$69</f>
        <v>1</v>
      </c>
      <c r="F964" s="204">
        <f>'Resumen Capacidad'!$G$33*'Resumen Capacidad'!$G$69</f>
        <v>1</v>
      </c>
      <c r="G964" s="204">
        <f>'Resumen Capacidad'!$G$33*'Resumen Capacidad'!$G$69</f>
        <v>1</v>
      </c>
      <c r="H964" s="204">
        <f>'Resumen Capacidad'!$G$33*'Resumen Capacidad'!$G$69</f>
        <v>1</v>
      </c>
      <c r="I964" s="204">
        <f>'Resumen Capacidad'!$G$33*'Resumen Capacidad'!$G$69</f>
        <v>1</v>
      </c>
      <c r="J964" s="204">
        <f>'Resumen Capacidad'!$G$33*'Resumen Capacidad'!$G$69</f>
        <v>1</v>
      </c>
      <c r="K964" s="204">
        <f>'Resumen Capacidad'!$G$33*'Resumen Capacidad'!$G$69</f>
        <v>1</v>
      </c>
      <c r="L964" s="204">
        <f>'Resumen Capacidad'!$G$33*'Resumen Capacidad'!$G$69</f>
        <v>1</v>
      </c>
      <c r="M964" s="204">
        <f>'Resumen Capacidad'!$G$33*'Resumen Capacidad'!$G$69</f>
        <v>1</v>
      </c>
      <c r="N964" s="204">
        <f>'Resumen Capacidad'!$G$33*'Resumen Capacidad'!$G$69</f>
        <v>1</v>
      </c>
      <c r="O964" s="5"/>
      <c r="P964" s="5"/>
      <c r="Q964" s="5"/>
      <c r="R964" s="5"/>
      <c r="S964" s="5"/>
      <c r="T964" s="5"/>
      <c r="U964" s="5"/>
      <c r="V964" s="5"/>
      <c r="W964" s="5"/>
      <c r="X964" s="5"/>
      <c r="Y964" s="5"/>
      <c r="Z964" s="5"/>
    </row>
    <row r="965" ht="12.0" customHeight="1">
      <c r="A965" s="92" t="s">
        <v>642</v>
      </c>
      <c r="B965" s="5"/>
      <c r="C965" s="204">
        <f t="shared" ref="C965:N965" si="284">C963*C964</f>
        <v>80.10122449</v>
      </c>
      <c r="D965" s="204">
        <f t="shared" si="284"/>
        <v>80.10122449</v>
      </c>
      <c r="E965" s="204">
        <f t="shared" si="284"/>
        <v>80.10122449</v>
      </c>
      <c r="F965" s="204">
        <f t="shared" si="284"/>
        <v>80.10122449</v>
      </c>
      <c r="G965" s="204">
        <f t="shared" si="284"/>
        <v>80.10122449</v>
      </c>
      <c r="H965" s="204">
        <f t="shared" si="284"/>
        <v>80.10122449</v>
      </c>
      <c r="I965" s="204">
        <f t="shared" si="284"/>
        <v>80.10122449</v>
      </c>
      <c r="J965" s="204">
        <f t="shared" si="284"/>
        <v>80.10122449</v>
      </c>
      <c r="K965" s="204">
        <f t="shared" si="284"/>
        <v>80.10122449</v>
      </c>
      <c r="L965" s="204">
        <f t="shared" si="284"/>
        <v>80.10122449</v>
      </c>
      <c r="M965" s="204">
        <f t="shared" si="284"/>
        <v>80.10122449</v>
      </c>
      <c r="N965" s="204">
        <f t="shared" si="284"/>
        <v>80.10122449</v>
      </c>
      <c r="O965" s="5"/>
      <c r="P965" s="5"/>
      <c r="Q965" s="5"/>
      <c r="R965" s="5"/>
      <c r="S965" s="5"/>
      <c r="T965" s="5"/>
      <c r="U965" s="5"/>
      <c r="V965" s="5"/>
      <c r="W965" s="5"/>
      <c r="X965" s="5"/>
      <c r="Y965" s="5"/>
      <c r="Z965" s="5"/>
    </row>
    <row r="966" ht="12.0" customHeight="1">
      <c r="A966" s="92" t="s">
        <v>643</v>
      </c>
      <c r="B966" s="5"/>
      <c r="C966" s="206">
        <f t="shared" ref="C966:N966" si="285">IF(C965=0,0,C962/C965)</f>
        <v>0.3013936448</v>
      </c>
      <c r="D966" s="206">
        <f t="shared" si="285"/>
        <v>0.2411149158</v>
      </c>
      <c r="E966" s="206">
        <f t="shared" si="285"/>
        <v>0.2561845981</v>
      </c>
      <c r="F966" s="206">
        <f t="shared" si="285"/>
        <v>0.2561845981</v>
      </c>
      <c r="G966" s="206">
        <f t="shared" si="285"/>
        <v>0.2411149158</v>
      </c>
      <c r="H966" s="206">
        <f t="shared" si="285"/>
        <v>0.2260452336</v>
      </c>
      <c r="I966" s="206">
        <f t="shared" si="285"/>
        <v>0.2411149158</v>
      </c>
      <c r="J966" s="206">
        <f t="shared" si="285"/>
        <v>0.2411149158</v>
      </c>
      <c r="K966" s="206">
        <f t="shared" si="285"/>
        <v>0.2411149158</v>
      </c>
      <c r="L966" s="206">
        <f t="shared" si="285"/>
        <v>0.2260452336</v>
      </c>
      <c r="M966" s="206">
        <f t="shared" si="285"/>
        <v>0.2109755513</v>
      </c>
      <c r="N966" s="206">
        <f t="shared" si="285"/>
        <v>0.3315330093</v>
      </c>
      <c r="O966" s="5"/>
      <c r="P966" s="5"/>
      <c r="Q966" s="5"/>
      <c r="R966" s="5"/>
      <c r="S966" s="5"/>
      <c r="T966" s="5"/>
      <c r="U966" s="5"/>
      <c r="V966" s="5"/>
      <c r="W966" s="5"/>
      <c r="X966" s="5"/>
      <c r="Y966" s="5"/>
      <c r="Z966" s="5"/>
    </row>
    <row r="967" ht="12.0" customHeight="1">
      <c r="A967" s="201" t="s">
        <v>656</v>
      </c>
      <c r="B967" s="202"/>
      <c r="C967" s="202"/>
      <c r="D967" s="202"/>
      <c r="E967" s="202"/>
      <c r="F967" s="202"/>
      <c r="G967" s="202"/>
      <c r="H967" s="202"/>
      <c r="I967" s="202"/>
      <c r="J967" s="202"/>
      <c r="K967" s="202"/>
      <c r="L967" s="202"/>
      <c r="M967" s="202"/>
      <c r="N967" s="202"/>
      <c r="O967" s="5"/>
      <c r="P967" s="5"/>
      <c r="Q967" s="5"/>
      <c r="R967" s="5"/>
      <c r="S967" s="5"/>
      <c r="T967" s="5"/>
      <c r="U967" s="5"/>
      <c r="V967" s="5"/>
      <c r="W967" s="5"/>
      <c r="X967" s="5"/>
      <c r="Y967" s="5"/>
      <c r="Z967" s="5"/>
    </row>
    <row r="968" ht="12.0" customHeight="1">
      <c r="A968" s="201" t="s">
        <v>630</v>
      </c>
      <c r="B968" s="201" t="s">
        <v>631</v>
      </c>
      <c r="C968" s="201" t="s">
        <v>3</v>
      </c>
      <c r="D968" s="201" t="s">
        <v>4</v>
      </c>
      <c r="E968" s="201" t="s">
        <v>5</v>
      </c>
      <c r="F968" s="201" t="s">
        <v>6</v>
      </c>
      <c r="G968" s="201" t="s">
        <v>7</v>
      </c>
      <c r="H968" s="201" t="s">
        <v>8</v>
      </c>
      <c r="I968" s="201" t="s">
        <v>9</v>
      </c>
      <c r="J968" s="201" t="s">
        <v>10</v>
      </c>
      <c r="K968" s="201" t="s">
        <v>11</v>
      </c>
      <c r="L968" s="201" t="s">
        <v>12</v>
      </c>
      <c r="M968" s="201" t="s">
        <v>13</v>
      </c>
      <c r="N968" s="201" t="s">
        <v>14</v>
      </c>
      <c r="O968" s="5"/>
      <c r="P968" s="5"/>
      <c r="Q968" s="5"/>
      <c r="R968" s="5"/>
      <c r="S968" s="5"/>
      <c r="T968" s="5"/>
      <c r="U968" s="5"/>
      <c r="V968" s="5"/>
      <c r="W968" s="5"/>
      <c r="X968" s="5"/>
      <c r="Y968" s="5"/>
      <c r="Z968" s="5"/>
    </row>
    <row r="969" ht="12.0" customHeight="1">
      <c r="A969" s="92" t="s">
        <v>651</v>
      </c>
      <c r="B969" s="92" t="s">
        <v>633</v>
      </c>
      <c r="C969" s="203">
        <f>SUM('2031'!B7:B9)+SUM('2031'!B18:B20)</f>
        <v>3621.3</v>
      </c>
      <c r="D969" s="203">
        <f>SUM('2031'!C7:C9)+SUM('2031'!C18:C20)</f>
        <v>2897.04</v>
      </c>
      <c r="E969" s="203">
        <f>SUM('2031'!D7:D9)+SUM('2031'!D18:D20)</f>
        <v>3078.105</v>
      </c>
      <c r="F969" s="203">
        <f>SUM('2031'!E7:E9)+SUM('2031'!E18:E20)</f>
        <v>3078.105</v>
      </c>
      <c r="G969" s="203">
        <f>SUM('2031'!F7:F9)+SUM('2031'!F18:F20)</f>
        <v>2897.04</v>
      </c>
      <c r="H969" s="203">
        <f>SUM('2031'!G7:G9)+SUM('2031'!G18:G20)</f>
        <v>2715.975</v>
      </c>
      <c r="I969" s="203">
        <f>SUM('2031'!H7:H9)+SUM('2031'!H18:H20)</f>
        <v>2897.04</v>
      </c>
      <c r="J969" s="203">
        <f>SUM('2031'!I7:I9)+SUM('2031'!I18:I20)</f>
        <v>2897.04</v>
      </c>
      <c r="K969" s="203">
        <f>SUM('2031'!J7:J9)+SUM('2031'!J18:J20)</f>
        <v>2897.04</v>
      </c>
      <c r="L969" s="203">
        <f>SUM('2031'!K7:K9)+SUM('2031'!K18:K20)</f>
        <v>2715.975</v>
      </c>
      <c r="M969" s="203">
        <f>SUM('2031'!L7:L9)+SUM('2031'!L18:L20)</f>
        <v>2534.91</v>
      </c>
      <c r="N969" s="203">
        <f>SUM('2031'!M7:M9)+SUM('2031'!M18:M20)</f>
        <v>3983.43</v>
      </c>
      <c r="O969" s="5"/>
      <c r="P969" s="5"/>
      <c r="Q969" s="5"/>
      <c r="R969" s="5"/>
      <c r="S969" s="5"/>
      <c r="T969" s="5"/>
      <c r="U969" s="5"/>
      <c r="V969" s="5"/>
      <c r="W969" s="5"/>
      <c r="X969" s="5"/>
      <c r="Y969" s="5"/>
      <c r="Z969" s="5"/>
    </row>
    <row r="970" ht="12.0" customHeight="1">
      <c r="A970" s="5"/>
      <c r="B970" s="92" t="s">
        <v>634</v>
      </c>
      <c r="C970" s="204">
        <f>C969/Parametros!$B$37</f>
        <v>181.065</v>
      </c>
      <c r="D970" s="204">
        <f>D969/Parametros!$B$37</f>
        <v>144.852</v>
      </c>
      <c r="E970" s="204">
        <f>E969/Parametros!$B$37</f>
        <v>153.90525</v>
      </c>
      <c r="F970" s="204">
        <f>F969/Parametros!$B$37</f>
        <v>153.90525</v>
      </c>
      <c r="G970" s="204">
        <f>G969/Parametros!$B$37</f>
        <v>144.852</v>
      </c>
      <c r="H970" s="204">
        <f>H969/Parametros!$B$37</f>
        <v>135.79875</v>
      </c>
      <c r="I970" s="204">
        <f>I969/Parametros!$B$37</f>
        <v>144.852</v>
      </c>
      <c r="J970" s="204">
        <f>J969/Parametros!$B$37</f>
        <v>144.852</v>
      </c>
      <c r="K970" s="204">
        <f>K969/Parametros!$B$37</f>
        <v>144.852</v>
      </c>
      <c r="L970" s="204">
        <f>L969/Parametros!$B$37</f>
        <v>135.79875</v>
      </c>
      <c r="M970" s="204">
        <f>M969/Parametros!$B$37</f>
        <v>126.7455</v>
      </c>
      <c r="N970" s="204">
        <f>N969/Parametros!$B$37</f>
        <v>199.1715</v>
      </c>
      <c r="O970" s="5"/>
      <c r="P970" s="5"/>
      <c r="Q970" s="5"/>
      <c r="R970" s="5"/>
      <c r="S970" s="5"/>
      <c r="T970" s="5"/>
      <c r="U970" s="5"/>
      <c r="V970" s="5"/>
      <c r="W970" s="5"/>
      <c r="X970" s="5"/>
      <c r="Y970" s="5"/>
      <c r="Z970" s="5"/>
    </row>
    <row r="971" ht="12.0" customHeight="1">
      <c r="A971" s="5"/>
      <c r="B971" s="92" t="s">
        <v>635</v>
      </c>
      <c r="C971" s="204">
        <f>C970/Parametros!$J$37</f>
        <v>24.142</v>
      </c>
      <c r="D971" s="204">
        <f>D970/Parametros!$J$37</f>
        <v>19.3136</v>
      </c>
      <c r="E971" s="204">
        <f>E970/Parametros!$J$37</f>
        <v>20.5207</v>
      </c>
      <c r="F971" s="204">
        <f>F970/Parametros!$J$37</f>
        <v>20.5207</v>
      </c>
      <c r="G971" s="204">
        <f>G970/Parametros!$J$37</f>
        <v>19.3136</v>
      </c>
      <c r="H971" s="204">
        <f>H970/Parametros!$J$37</f>
        <v>18.1065</v>
      </c>
      <c r="I971" s="204">
        <f>I970/Parametros!$J$37</f>
        <v>19.3136</v>
      </c>
      <c r="J971" s="204">
        <f>J970/Parametros!$J$37</f>
        <v>19.3136</v>
      </c>
      <c r="K971" s="204">
        <f>K970/Parametros!$J$37</f>
        <v>19.3136</v>
      </c>
      <c r="L971" s="204">
        <f>L970/Parametros!$J$37</f>
        <v>18.1065</v>
      </c>
      <c r="M971" s="204">
        <f>M970/Parametros!$J$37</f>
        <v>16.8994</v>
      </c>
      <c r="N971" s="204">
        <f>N970/Parametros!$J$37</f>
        <v>26.5562</v>
      </c>
      <c r="O971" s="5"/>
      <c r="P971" s="5"/>
      <c r="Q971" s="5"/>
      <c r="R971" s="5"/>
      <c r="S971" s="5"/>
      <c r="T971" s="5"/>
      <c r="U971" s="5"/>
      <c r="V971" s="5"/>
      <c r="W971" s="5"/>
      <c r="X971" s="5"/>
      <c r="Y971" s="5"/>
      <c r="Z971" s="5"/>
    </row>
    <row r="972" ht="12.0" customHeight="1">
      <c r="A972" s="92" t="s">
        <v>636</v>
      </c>
      <c r="B972" s="5"/>
      <c r="C972" s="204">
        <f t="shared" ref="C972:N972" si="286">C971</f>
        <v>24.142</v>
      </c>
      <c r="D972" s="204">
        <f t="shared" si="286"/>
        <v>19.3136</v>
      </c>
      <c r="E972" s="204">
        <f t="shared" si="286"/>
        <v>20.5207</v>
      </c>
      <c r="F972" s="204">
        <f t="shared" si="286"/>
        <v>20.5207</v>
      </c>
      <c r="G972" s="204">
        <f t="shared" si="286"/>
        <v>19.3136</v>
      </c>
      <c r="H972" s="204">
        <f t="shared" si="286"/>
        <v>18.1065</v>
      </c>
      <c r="I972" s="204">
        <f t="shared" si="286"/>
        <v>19.3136</v>
      </c>
      <c r="J972" s="204">
        <f t="shared" si="286"/>
        <v>19.3136</v>
      </c>
      <c r="K972" s="204">
        <f t="shared" si="286"/>
        <v>19.3136</v>
      </c>
      <c r="L972" s="204">
        <f t="shared" si="286"/>
        <v>18.1065</v>
      </c>
      <c r="M972" s="204">
        <f t="shared" si="286"/>
        <v>16.8994</v>
      </c>
      <c r="N972" s="204">
        <f t="shared" si="286"/>
        <v>26.5562</v>
      </c>
      <c r="O972" s="5"/>
      <c r="P972" s="5"/>
      <c r="Q972" s="5"/>
      <c r="R972" s="5"/>
      <c r="S972" s="5"/>
      <c r="T972" s="5"/>
      <c r="U972" s="5"/>
      <c r="V972" s="5"/>
      <c r="W972" s="5"/>
      <c r="X972" s="5"/>
      <c r="Y972" s="5"/>
      <c r="Z972" s="5"/>
    </row>
    <row r="973" ht="12.0" customHeight="1">
      <c r="A973" s="92" t="s">
        <v>637</v>
      </c>
      <c r="B973" s="5"/>
      <c r="C973" s="205">
        <f>'Resumen Capacidad'!$G$116</f>
        <v>56.576</v>
      </c>
      <c r="D973" s="205">
        <f>'Resumen Capacidad'!$G$116</f>
        <v>56.576</v>
      </c>
      <c r="E973" s="205">
        <f>'Resumen Capacidad'!$G$116</f>
        <v>56.576</v>
      </c>
      <c r="F973" s="205">
        <f>'Resumen Capacidad'!$G$116</f>
        <v>56.576</v>
      </c>
      <c r="G973" s="205">
        <f>'Resumen Capacidad'!$G$116</f>
        <v>56.576</v>
      </c>
      <c r="H973" s="205">
        <f>'Resumen Capacidad'!$G$116</f>
        <v>56.576</v>
      </c>
      <c r="I973" s="205">
        <f>'Resumen Capacidad'!$G$116</f>
        <v>56.576</v>
      </c>
      <c r="J973" s="205">
        <f>'Resumen Capacidad'!$G$116</f>
        <v>56.576</v>
      </c>
      <c r="K973" s="205">
        <f>'Resumen Capacidad'!$G$116</f>
        <v>56.576</v>
      </c>
      <c r="L973" s="205">
        <f>'Resumen Capacidad'!$G$116</f>
        <v>56.576</v>
      </c>
      <c r="M973" s="205">
        <f>'Resumen Capacidad'!$G$116</f>
        <v>56.576</v>
      </c>
      <c r="N973" s="205">
        <f>'Resumen Capacidad'!$G$116</f>
        <v>56.576</v>
      </c>
      <c r="O973" s="5"/>
      <c r="P973" s="5"/>
      <c r="Q973" s="5"/>
      <c r="R973" s="5"/>
      <c r="S973" s="5"/>
      <c r="T973" s="5"/>
      <c r="U973" s="5"/>
      <c r="V973" s="5"/>
      <c r="W973" s="5"/>
      <c r="X973" s="5"/>
      <c r="Y973" s="5"/>
      <c r="Z973" s="5"/>
    </row>
    <row r="974" ht="12.0" customHeight="1">
      <c r="A974" s="92" t="s">
        <v>640</v>
      </c>
      <c r="B974" s="5"/>
      <c r="C974" s="204">
        <f>'Resumen Capacidad'!$G$34*'Resumen Capacidad'!$G$70</f>
        <v>1</v>
      </c>
      <c r="D974" s="204">
        <f>'Resumen Capacidad'!$G$34*'Resumen Capacidad'!$G$70</f>
        <v>1</v>
      </c>
      <c r="E974" s="204">
        <f>'Resumen Capacidad'!$G$34*'Resumen Capacidad'!$G$70</f>
        <v>1</v>
      </c>
      <c r="F974" s="204">
        <f>'Resumen Capacidad'!$G$34*'Resumen Capacidad'!$G$70</f>
        <v>1</v>
      </c>
      <c r="G974" s="204">
        <f>'Resumen Capacidad'!$G$34*'Resumen Capacidad'!$G$70</f>
        <v>1</v>
      </c>
      <c r="H974" s="204">
        <f>'Resumen Capacidad'!$G$34*'Resumen Capacidad'!$G$70</f>
        <v>1</v>
      </c>
      <c r="I974" s="204">
        <f>'Resumen Capacidad'!$G$34*'Resumen Capacidad'!$G$70</f>
        <v>1</v>
      </c>
      <c r="J974" s="204">
        <f>'Resumen Capacidad'!$G$34*'Resumen Capacidad'!$G$70</f>
        <v>1</v>
      </c>
      <c r="K974" s="204">
        <f>'Resumen Capacidad'!$G$34*'Resumen Capacidad'!$G$70</f>
        <v>1</v>
      </c>
      <c r="L974" s="204">
        <f>'Resumen Capacidad'!$G$34*'Resumen Capacidad'!$G$70</f>
        <v>1</v>
      </c>
      <c r="M974" s="204">
        <f>'Resumen Capacidad'!$G$34*'Resumen Capacidad'!$G$70</f>
        <v>1</v>
      </c>
      <c r="N974" s="204">
        <f>'Resumen Capacidad'!$G$34*'Resumen Capacidad'!$G$70</f>
        <v>1</v>
      </c>
      <c r="O974" s="5"/>
      <c r="P974" s="5"/>
      <c r="Q974" s="5"/>
      <c r="R974" s="5"/>
      <c r="S974" s="5"/>
      <c r="T974" s="5"/>
      <c r="U974" s="5"/>
      <c r="V974" s="5"/>
      <c r="W974" s="5"/>
      <c r="X974" s="5"/>
      <c r="Y974" s="5"/>
      <c r="Z974" s="5"/>
    </row>
    <row r="975" ht="12.0" customHeight="1">
      <c r="A975" s="92" t="s">
        <v>642</v>
      </c>
      <c r="B975" s="5"/>
      <c r="C975" s="204">
        <f t="shared" ref="C975:N975" si="287">C973*C974</f>
        <v>56.576</v>
      </c>
      <c r="D975" s="204">
        <f t="shared" si="287"/>
        <v>56.576</v>
      </c>
      <c r="E975" s="204">
        <f t="shared" si="287"/>
        <v>56.576</v>
      </c>
      <c r="F975" s="204">
        <f t="shared" si="287"/>
        <v>56.576</v>
      </c>
      <c r="G975" s="204">
        <f t="shared" si="287"/>
        <v>56.576</v>
      </c>
      <c r="H975" s="204">
        <f t="shared" si="287"/>
        <v>56.576</v>
      </c>
      <c r="I975" s="204">
        <f t="shared" si="287"/>
        <v>56.576</v>
      </c>
      <c r="J975" s="204">
        <f t="shared" si="287"/>
        <v>56.576</v>
      </c>
      <c r="K975" s="204">
        <f t="shared" si="287"/>
        <v>56.576</v>
      </c>
      <c r="L975" s="204">
        <f t="shared" si="287"/>
        <v>56.576</v>
      </c>
      <c r="M975" s="204">
        <f t="shared" si="287"/>
        <v>56.576</v>
      </c>
      <c r="N975" s="204">
        <f t="shared" si="287"/>
        <v>56.576</v>
      </c>
      <c r="O975" s="5"/>
      <c r="P975" s="5"/>
      <c r="Q975" s="5"/>
      <c r="R975" s="5"/>
      <c r="S975" s="5"/>
      <c r="T975" s="5"/>
      <c r="U975" s="5"/>
      <c r="V975" s="5"/>
      <c r="W975" s="5"/>
      <c r="X975" s="5"/>
      <c r="Y975" s="5"/>
      <c r="Z975" s="5"/>
    </row>
    <row r="976" ht="12.0" customHeight="1">
      <c r="A976" s="92" t="s">
        <v>643</v>
      </c>
      <c r="B976" s="5"/>
      <c r="C976" s="206">
        <f t="shared" ref="C976:N976" si="288">IF(C975=0,0,C972/C975)</f>
        <v>0.426718043</v>
      </c>
      <c r="D976" s="206">
        <f t="shared" si="288"/>
        <v>0.3413744344</v>
      </c>
      <c r="E976" s="206">
        <f t="shared" si="288"/>
        <v>0.3627103365</v>
      </c>
      <c r="F976" s="206">
        <f t="shared" si="288"/>
        <v>0.3627103365</v>
      </c>
      <c r="G976" s="206">
        <f t="shared" si="288"/>
        <v>0.3413744344</v>
      </c>
      <c r="H976" s="206">
        <f t="shared" si="288"/>
        <v>0.3200385322</v>
      </c>
      <c r="I976" s="206">
        <f t="shared" si="288"/>
        <v>0.3413744344</v>
      </c>
      <c r="J976" s="206">
        <f t="shared" si="288"/>
        <v>0.3413744344</v>
      </c>
      <c r="K976" s="206">
        <f t="shared" si="288"/>
        <v>0.3413744344</v>
      </c>
      <c r="L976" s="206">
        <f t="shared" si="288"/>
        <v>0.3200385322</v>
      </c>
      <c r="M976" s="206">
        <f t="shared" si="288"/>
        <v>0.2987026301</v>
      </c>
      <c r="N976" s="206">
        <f t="shared" si="288"/>
        <v>0.4693898473</v>
      </c>
      <c r="O976" s="5"/>
      <c r="P976" s="5"/>
      <c r="Q976" s="5"/>
      <c r="R976" s="5"/>
      <c r="S976" s="5"/>
      <c r="T976" s="5"/>
      <c r="U976" s="5"/>
      <c r="V976" s="5"/>
      <c r="W976" s="5"/>
      <c r="X976" s="5"/>
      <c r="Y976" s="5"/>
      <c r="Z976" s="5"/>
    </row>
    <row r="977" ht="12.0" customHeight="1">
      <c r="A977" s="201" t="s">
        <v>663</v>
      </c>
      <c r="B977" s="202"/>
      <c r="C977" s="202"/>
      <c r="D977" s="202"/>
      <c r="E977" s="202"/>
      <c r="F977" s="202"/>
      <c r="G977" s="202"/>
      <c r="H977" s="202"/>
      <c r="I977" s="202"/>
      <c r="J977" s="202"/>
      <c r="K977" s="202"/>
      <c r="L977" s="202"/>
      <c r="M977" s="202"/>
      <c r="N977" s="202"/>
      <c r="O977" s="5"/>
      <c r="P977" s="5"/>
      <c r="Q977" s="5"/>
      <c r="R977" s="5"/>
      <c r="S977" s="5"/>
      <c r="T977" s="5"/>
      <c r="U977" s="5"/>
      <c r="V977" s="5"/>
      <c r="W977" s="5"/>
      <c r="X977" s="5"/>
      <c r="Y977" s="5"/>
      <c r="Z977" s="5"/>
    </row>
    <row r="978" ht="12.0" customHeight="1">
      <c r="A978" s="201" t="s">
        <v>630</v>
      </c>
      <c r="B978" s="201" t="s">
        <v>631</v>
      </c>
      <c r="C978" s="201" t="s">
        <v>3</v>
      </c>
      <c r="D978" s="201" t="s">
        <v>4</v>
      </c>
      <c r="E978" s="201" t="s">
        <v>5</v>
      </c>
      <c r="F978" s="201" t="s">
        <v>6</v>
      </c>
      <c r="G978" s="201" t="s">
        <v>7</v>
      </c>
      <c r="H978" s="201" t="s">
        <v>8</v>
      </c>
      <c r="I978" s="201" t="s">
        <v>9</v>
      </c>
      <c r="J978" s="201" t="s">
        <v>10</v>
      </c>
      <c r="K978" s="201" t="s">
        <v>11</v>
      </c>
      <c r="L978" s="201" t="s">
        <v>12</v>
      </c>
      <c r="M978" s="201" t="s">
        <v>13</v>
      </c>
      <c r="N978" s="201" t="s">
        <v>14</v>
      </c>
      <c r="O978" s="5"/>
      <c r="P978" s="5"/>
      <c r="Q978" s="5"/>
      <c r="R978" s="5"/>
      <c r="S978" s="5"/>
      <c r="T978" s="5"/>
      <c r="U978" s="5"/>
      <c r="V978" s="5"/>
      <c r="W978" s="5"/>
      <c r="X978" s="5"/>
      <c r="Y978" s="5"/>
      <c r="Z978" s="5"/>
    </row>
    <row r="979" ht="12.0" customHeight="1">
      <c r="A979" s="92" t="s">
        <v>632</v>
      </c>
      <c r="B979" s="92" t="s">
        <v>633</v>
      </c>
      <c r="C979" s="203">
        <f>SUM('2031'!B6:B9)+SUM('2031'!B17:B20)</f>
        <v>14097.3</v>
      </c>
      <c r="D979" s="203">
        <f>SUM('2031'!C6:C9)+SUM('2031'!C17:C20)</f>
        <v>10754.04</v>
      </c>
      <c r="E979" s="203">
        <f>SUM('2031'!D6:D9)+SUM('2031'!D17:D20)</f>
        <v>10062.105</v>
      </c>
      <c r="F979" s="203">
        <f>SUM('2031'!E6:E9)+SUM('2031'!E17:E20)</f>
        <v>9625.605</v>
      </c>
      <c r="G979" s="203">
        <f>SUM('2031'!F6:F9)+SUM('2031'!F17:F20)</f>
        <v>9008.04</v>
      </c>
      <c r="H979" s="203">
        <f>SUM('2031'!G6:G9)+SUM('2031'!G17:G20)</f>
        <v>8826.975</v>
      </c>
      <c r="I979" s="203">
        <f>SUM('2031'!H6:H9)+SUM('2031'!H17:H20)</f>
        <v>9444.54</v>
      </c>
      <c r="J979" s="203">
        <f>SUM('2031'!I6:I9)+SUM('2031'!I17:I20)</f>
        <v>9444.54</v>
      </c>
      <c r="K979" s="203">
        <f>SUM('2031'!J6:J9)+SUM('2031'!J17:J20)</f>
        <v>9444.54</v>
      </c>
      <c r="L979" s="203">
        <f>SUM('2031'!K6:K9)+SUM('2031'!K17:K20)</f>
        <v>9263.475</v>
      </c>
      <c r="M979" s="203">
        <f>SUM('2031'!L6:L9)+SUM('2031'!L17:L20)</f>
        <v>9082.41</v>
      </c>
      <c r="N979" s="203">
        <f>SUM('2031'!M6:M9)+SUM('2031'!M17:M20)</f>
        <v>14459.43</v>
      </c>
      <c r="O979" s="5"/>
      <c r="P979" s="5"/>
      <c r="Q979" s="5"/>
      <c r="R979" s="5"/>
      <c r="S979" s="5"/>
      <c r="T979" s="5"/>
      <c r="U979" s="5"/>
      <c r="V979" s="5"/>
      <c r="W979" s="5"/>
      <c r="X979" s="5"/>
      <c r="Y979" s="5"/>
      <c r="Z979" s="5"/>
    </row>
    <row r="980" ht="12.0" customHeight="1">
      <c r="A980" s="5"/>
      <c r="B980" s="92" t="s">
        <v>634</v>
      </c>
      <c r="C980" s="204">
        <f>C979/Parametros!$B$37</f>
        <v>704.865</v>
      </c>
      <c r="D980" s="204">
        <f>D979/Parametros!$B$37</f>
        <v>537.702</v>
      </c>
      <c r="E980" s="204">
        <f>E979/Parametros!$B$37</f>
        <v>503.10525</v>
      </c>
      <c r="F980" s="204">
        <f>F979/Parametros!$B$37</f>
        <v>481.28025</v>
      </c>
      <c r="G980" s="204">
        <f>G979/Parametros!$B$37</f>
        <v>450.402</v>
      </c>
      <c r="H980" s="204">
        <f>H979/Parametros!$B$37</f>
        <v>441.34875</v>
      </c>
      <c r="I980" s="204">
        <f>I979/Parametros!$B$37</f>
        <v>472.227</v>
      </c>
      <c r="J980" s="204">
        <f>J979/Parametros!$B$37</f>
        <v>472.227</v>
      </c>
      <c r="K980" s="204">
        <f>K979/Parametros!$B$37</f>
        <v>472.227</v>
      </c>
      <c r="L980" s="204">
        <f>L979/Parametros!$B$37</f>
        <v>463.17375</v>
      </c>
      <c r="M980" s="204">
        <f>M979/Parametros!$B$37</f>
        <v>454.1205</v>
      </c>
      <c r="N980" s="204">
        <f>N979/Parametros!$B$37</f>
        <v>722.9715</v>
      </c>
      <c r="O980" s="5"/>
      <c r="P980" s="5"/>
      <c r="Q980" s="5"/>
      <c r="R980" s="5"/>
      <c r="S980" s="5"/>
      <c r="T980" s="5"/>
      <c r="U980" s="5"/>
      <c r="V980" s="5"/>
      <c r="W980" s="5"/>
      <c r="X980" s="5"/>
      <c r="Y980" s="5"/>
      <c r="Z980" s="5"/>
    </row>
    <row r="981" ht="12.0" customHeight="1">
      <c r="A981" s="5"/>
      <c r="B981" s="92" t="s">
        <v>635</v>
      </c>
      <c r="C981" s="204">
        <f>C980/Parametros!$J$37</f>
        <v>93.982</v>
      </c>
      <c r="D981" s="204">
        <f>D980/Parametros!$J$37</f>
        <v>71.6936</v>
      </c>
      <c r="E981" s="204">
        <f>E980/Parametros!$J$37</f>
        <v>67.0807</v>
      </c>
      <c r="F981" s="204">
        <f>F980/Parametros!$J$37</f>
        <v>64.1707</v>
      </c>
      <c r="G981" s="204">
        <f>G980/Parametros!$J$37</f>
        <v>60.0536</v>
      </c>
      <c r="H981" s="204">
        <f>H980/Parametros!$J$37</f>
        <v>58.8465</v>
      </c>
      <c r="I981" s="204">
        <f>I980/Parametros!$J$37</f>
        <v>62.9636</v>
      </c>
      <c r="J981" s="204">
        <f>J980/Parametros!$J$37</f>
        <v>62.9636</v>
      </c>
      <c r="K981" s="204">
        <f>K980/Parametros!$J$37</f>
        <v>62.9636</v>
      </c>
      <c r="L981" s="204">
        <f>L980/Parametros!$J$37</f>
        <v>61.7565</v>
      </c>
      <c r="M981" s="204">
        <f>M980/Parametros!$J$37</f>
        <v>60.5494</v>
      </c>
      <c r="N981" s="204">
        <f>N980/Parametros!$J$37</f>
        <v>96.3962</v>
      </c>
      <c r="O981" s="5"/>
      <c r="P981" s="5"/>
      <c r="Q981" s="5"/>
      <c r="R981" s="5"/>
      <c r="S981" s="5"/>
      <c r="T981" s="5"/>
      <c r="U981" s="5"/>
      <c r="V981" s="5"/>
      <c r="W981" s="5"/>
      <c r="X981" s="5"/>
      <c r="Y981" s="5"/>
      <c r="Z981" s="5"/>
    </row>
    <row r="982" ht="12.0" customHeight="1">
      <c r="A982" s="92" t="s">
        <v>636</v>
      </c>
      <c r="B982" s="5"/>
      <c r="C982" s="204">
        <f t="shared" ref="C982:N982" si="289">C981</f>
        <v>93.982</v>
      </c>
      <c r="D982" s="204">
        <f t="shared" si="289"/>
        <v>71.6936</v>
      </c>
      <c r="E982" s="204">
        <f t="shared" si="289"/>
        <v>67.0807</v>
      </c>
      <c r="F982" s="204">
        <f t="shared" si="289"/>
        <v>64.1707</v>
      </c>
      <c r="G982" s="204">
        <f t="shared" si="289"/>
        <v>60.0536</v>
      </c>
      <c r="H982" s="204">
        <f t="shared" si="289"/>
        <v>58.8465</v>
      </c>
      <c r="I982" s="204">
        <f t="shared" si="289"/>
        <v>62.9636</v>
      </c>
      <c r="J982" s="204">
        <f t="shared" si="289"/>
        <v>62.9636</v>
      </c>
      <c r="K982" s="204">
        <f t="shared" si="289"/>
        <v>62.9636</v>
      </c>
      <c r="L982" s="204">
        <f t="shared" si="289"/>
        <v>61.7565</v>
      </c>
      <c r="M982" s="204">
        <f t="shared" si="289"/>
        <v>60.5494</v>
      </c>
      <c r="N982" s="204">
        <f t="shared" si="289"/>
        <v>96.3962</v>
      </c>
      <c r="O982" s="5"/>
      <c r="P982" s="5"/>
      <c r="Q982" s="5"/>
      <c r="R982" s="5"/>
      <c r="S982" s="5"/>
      <c r="T982" s="5"/>
      <c r="U982" s="5"/>
      <c r="V982" s="5"/>
      <c r="W982" s="5"/>
      <c r="X982" s="5"/>
      <c r="Y982" s="5"/>
      <c r="Z982" s="5"/>
    </row>
    <row r="983" ht="12.0" customHeight="1">
      <c r="A983" s="92" t="s">
        <v>637</v>
      </c>
      <c r="B983" s="5"/>
      <c r="C983" s="205">
        <f>'Resumen Capacidad'!$G$117</f>
        <v>60.656</v>
      </c>
      <c r="D983" s="205">
        <f>'Resumen Capacidad'!$G$117</f>
        <v>60.656</v>
      </c>
      <c r="E983" s="205">
        <f>'Resumen Capacidad'!$G$117</f>
        <v>60.656</v>
      </c>
      <c r="F983" s="205">
        <f>'Resumen Capacidad'!$G$117</f>
        <v>60.656</v>
      </c>
      <c r="G983" s="205">
        <f>'Resumen Capacidad'!$G$117</f>
        <v>60.656</v>
      </c>
      <c r="H983" s="205">
        <f>'Resumen Capacidad'!$G$117</f>
        <v>60.656</v>
      </c>
      <c r="I983" s="205">
        <f>'Resumen Capacidad'!$G$117</f>
        <v>60.656</v>
      </c>
      <c r="J983" s="205">
        <f>'Resumen Capacidad'!$G$117</f>
        <v>60.656</v>
      </c>
      <c r="K983" s="205">
        <f>'Resumen Capacidad'!$G$117</f>
        <v>60.656</v>
      </c>
      <c r="L983" s="205">
        <f>'Resumen Capacidad'!$G$117</f>
        <v>60.656</v>
      </c>
      <c r="M983" s="205">
        <f>'Resumen Capacidad'!$G$117</f>
        <v>60.656</v>
      </c>
      <c r="N983" s="205">
        <f>'Resumen Capacidad'!$G$117</f>
        <v>60.656</v>
      </c>
      <c r="O983" s="5"/>
      <c r="P983" s="5"/>
      <c r="Q983" s="5"/>
      <c r="R983" s="5"/>
      <c r="S983" s="5"/>
      <c r="T983" s="5"/>
      <c r="U983" s="5"/>
      <c r="V983" s="5"/>
      <c r="W983" s="5"/>
      <c r="X983" s="5"/>
      <c r="Y983" s="5"/>
      <c r="Z983" s="5"/>
    </row>
    <row r="984" ht="12.0" customHeight="1">
      <c r="A984" s="92" t="s">
        <v>640</v>
      </c>
      <c r="B984" s="5"/>
      <c r="C984" s="204">
        <f>'Resumen Capacidad'!$G$35*'Resumen Capacidad'!$G$71</f>
        <v>2</v>
      </c>
      <c r="D984" s="204">
        <f>'Resumen Capacidad'!$G$35*'Resumen Capacidad'!$G$71</f>
        <v>2</v>
      </c>
      <c r="E984" s="204">
        <f>'Resumen Capacidad'!$G$35*'Resumen Capacidad'!$G$71</f>
        <v>2</v>
      </c>
      <c r="F984" s="204">
        <f>'Resumen Capacidad'!$G$35*'Resumen Capacidad'!$G$71</f>
        <v>2</v>
      </c>
      <c r="G984" s="204">
        <f>'Resumen Capacidad'!$G$35*'Resumen Capacidad'!$G$71</f>
        <v>2</v>
      </c>
      <c r="H984" s="204">
        <f>'Resumen Capacidad'!$G$35*'Resumen Capacidad'!$G$71</f>
        <v>2</v>
      </c>
      <c r="I984" s="204">
        <f>'Resumen Capacidad'!$G$35*'Resumen Capacidad'!$G$71</f>
        <v>2</v>
      </c>
      <c r="J984" s="204">
        <f>'Resumen Capacidad'!$G$35*'Resumen Capacidad'!$G$71</f>
        <v>2</v>
      </c>
      <c r="K984" s="204">
        <f>'Resumen Capacidad'!$G$35*'Resumen Capacidad'!$G$71</f>
        <v>2</v>
      </c>
      <c r="L984" s="204">
        <f>'Resumen Capacidad'!$G$35*'Resumen Capacidad'!$G$71</f>
        <v>2</v>
      </c>
      <c r="M984" s="204">
        <f>'Resumen Capacidad'!$G$35*'Resumen Capacidad'!$G$71</f>
        <v>2</v>
      </c>
      <c r="N984" s="204">
        <f>'Resumen Capacidad'!$G$35*'Resumen Capacidad'!$G$71</f>
        <v>2</v>
      </c>
      <c r="O984" s="5"/>
      <c r="P984" s="5"/>
      <c r="Q984" s="5"/>
      <c r="R984" s="5"/>
      <c r="S984" s="5"/>
      <c r="T984" s="5"/>
      <c r="U984" s="5"/>
      <c r="V984" s="5"/>
      <c r="W984" s="5"/>
      <c r="X984" s="5"/>
      <c r="Y984" s="5"/>
      <c r="Z984" s="5"/>
    </row>
    <row r="985" ht="12.0" customHeight="1">
      <c r="A985" s="92" t="s">
        <v>642</v>
      </c>
      <c r="B985" s="5"/>
      <c r="C985" s="204">
        <f t="shared" ref="C985:N985" si="290">C983*C984</f>
        <v>121.312</v>
      </c>
      <c r="D985" s="204">
        <f t="shared" si="290"/>
        <v>121.312</v>
      </c>
      <c r="E985" s="204">
        <f t="shared" si="290"/>
        <v>121.312</v>
      </c>
      <c r="F985" s="204">
        <f t="shared" si="290"/>
        <v>121.312</v>
      </c>
      <c r="G985" s="204">
        <f t="shared" si="290"/>
        <v>121.312</v>
      </c>
      <c r="H985" s="204">
        <f t="shared" si="290"/>
        <v>121.312</v>
      </c>
      <c r="I985" s="204">
        <f t="shared" si="290"/>
        <v>121.312</v>
      </c>
      <c r="J985" s="204">
        <f t="shared" si="290"/>
        <v>121.312</v>
      </c>
      <c r="K985" s="204">
        <f t="shared" si="290"/>
        <v>121.312</v>
      </c>
      <c r="L985" s="204">
        <f t="shared" si="290"/>
        <v>121.312</v>
      </c>
      <c r="M985" s="204">
        <f t="shared" si="290"/>
        <v>121.312</v>
      </c>
      <c r="N985" s="204">
        <f t="shared" si="290"/>
        <v>121.312</v>
      </c>
      <c r="O985" s="5"/>
      <c r="P985" s="5"/>
      <c r="Q985" s="5"/>
      <c r="R985" s="5"/>
      <c r="S985" s="5"/>
      <c r="T985" s="5"/>
      <c r="U985" s="5"/>
      <c r="V985" s="5"/>
      <c r="W985" s="5"/>
      <c r="X985" s="5"/>
      <c r="Y985" s="5"/>
      <c r="Z985" s="5"/>
    </row>
    <row r="986" ht="12.0" customHeight="1">
      <c r="A986" s="92" t="s">
        <v>643</v>
      </c>
      <c r="B986" s="5"/>
      <c r="C986" s="206">
        <f t="shared" ref="C986:N986" si="291">IF(C985=0,0,C982/C985)</f>
        <v>0.7747131364</v>
      </c>
      <c r="D986" s="206">
        <f t="shared" si="291"/>
        <v>0.5909852282</v>
      </c>
      <c r="E986" s="206">
        <f t="shared" si="291"/>
        <v>0.5529601358</v>
      </c>
      <c r="F986" s="206">
        <f t="shared" si="291"/>
        <v>0.5289724017</v>
      </c>
      <c r="G986" s="206">
        <f t="shared" si="291"/>
        <v>0.4950342917</v>
      </c>
      <c r="H986" s="206">
        <f t="shared" si="291"/>
        <v>0.4850839159</v>
      </c>
      <c r="I986" s="206">
        <f t="shared" si="291"/>
        <v>0.5190220259</v>
      </c>
      <c r="J986" s="206">
        <f t="shared" si="291"/>
        <v>0.5190220259</v>
      </c>
      <c r="K986" s="206">
        <f t="shared" si="291"/>
        <v>0.5190220259</v>
      </c>
      <c r="L986" s="206">
        <f t="shared" si="291"/>
        <v>0.50907165</v>
      </c>
      <c r="M986" s="206">
        <f t="shared" si="291"/>
        <v>0.4991212741</v>
      </c>
      <c r="N986" s="206">
        <f t="shared" si="291"/>
        <v>0.7946138882</v>
      </c>
      <c r="O986" s="5"/>
      <c r="P986" s="5"/>
      <c r="Q986" s="5"/>
      <c r="R986" s="5"/>
      <c r="S986" s="5"/>
      <c r="T986" s="5"/>
      <c r="U986" s="5"/>
      <c r="V986" s="5"/>
      <c r="W986" s="5"/>
      <c r="X986" s="5"/>
      <c r="Y986" s="5"/>
      <c r="Z986" s="5"/>
    </row>
    <row r="987" ht="12.0" customHeight="1">
      <c r="A987" s="201" t="s">
        <v>664</v>
      </c>
      <c r="B987" s="202"/>
      <c r="C987" s="202"/>
      <c r="D987" s="202"/>
      <c r="E987" s="202"/>
      <c r="F987" s="202"/>
      <c r="G987" s="202"/>
      <c r="H987" s="202"/>
      <c r="I987" s="202"/>
      <c r="J987" s="202"/>
      <c r="K987" s="202"/>
      <c r="L987" s="202"/>
      <c r="M987" s="202"/>
      <c r="N987" s="202"/>
      <c r="O987" s="5"/>
      <c r="P987" s="5"/>
      <c r="Q987" s="5"/>
      <c r="R987" s="5"/>
      <c r="S987" s="5"/>
      <c r="T987" s="5"/>
      <c r="U987" s="5"/>
      <c r="V987" s="5"/>
      <c r="W987" s="5"/>
      <c r="X987" s="5"/>
      <c r="Y987" s="5"/>
      <c r="Z987" s="5"/>
    </row>
    <row r="988" ht="12.0" customHeight="1">
      <c r="A988" s="201" t="s">
        <v>630</v>
      </c>
      <c r="B988" s="201" t="s">
        <v>631</v>
      </c>
      <c r="C988" s="201" t="s">
        <v>3</v>
      </c>
      <c r="D988" s="201" t="s">
        <v>4</v>
      </c>
      <c r="E988" s="201" t="s">
        <v>5</v>
      </c>
      <c r="F988" s="201" t="s">
        <v>6</v>
      </c>
      <c r="G988" s="201" t="s">
        <v>7</v>
      </c>
      <c r="H988" s="201" t="s">
        <v>8</v>
      </c>
      <c r="I988" s="201" t="s">
        <v>9</v>
      </c>
      <c r="J988" s="201" t="s">
        <v>10</v>
      </c>
      <c r="K988" s="201" t="s">
        <v>11</v>
      </c>
      <c r="L988" s="201" t="s">
        <v>12</v>
      </c>
      <c r="M988" s="201" t="s">
        <v>13</v>
      </c>
      <c r="N988" s="201" t="s">
        <v>14</v>
      </c>
      <c r="O988" s="5"/>
      <c r="P988" s="5"/>
      <c r="Q988" s="5"/>
      <c r="R988" s="5"/>
      <c r="S988" s="5"/>
      <c r="T988" s="5"/>
      <c r="U988" s="5"/>
      <c r="V988" s="5"/>
      <c r="W988" s="5"/>
      <c r="X988" s="5"/>
      <c r="Y988" s="5"/>
      <c r="Z988" s="5"/>
    </row>
    <row r="989" ht="12.0" customHeight="1">
      <c r="A989" s="92" t="s">
        <v>632</v>
      </c>
      <c r="B989" s="92" t="s">
        <v>633</v>
      </c>
      <c r="C989" s="203">
        <f>SUM('2031'!B6:B9)+SUM('2031'!B17:B20)</f>
        <v>14097.3</v>
      </c>
      <c r="D989" s="203">
        <f>SUM('2031'!C6:C9)+SUM('2031'!C17:C20)</f>
        <v>10754.04</v>
      </c>
      <c r="E989" s="203">
        <f>SUM('2031'!D6:D9)+SUM('2031'!D17:D20)</f>
        <v>10062.105</v>
      </c>
      <c r="F989" s="203">
        <f>SUM('2031'!E6:E9)+SUM('2031'!E17:E20)</f>
        <v>9625.605</v>
      </c>
      <c r="G989" s="203">
        <f>SUM('2031'!F6:F9)+SUM('2031'!F17:F20)</f>
        <v>9008.04</v>
      </c>
      <c r="H989" s="203">
        <f>SUM('2031'!G6:G9)+SUM('2031'!G17:G20)</f>
        <v>8826.975</v>
      </c>
      <c r="I989" s="203">
        <f>SUM('2031'!H6:H9)+SUM('2031'!H17:H20)</f>
        <v>9444.54</v>
      </c>
      <c r="J989" s="203">
        <f>SUM('2031'!I6:I9)+SUM('2031'!I17:I20)</f>
        <v>9444.54</v>
      </c>
      <c r="K989" s="203">
        <f>SUM('2031'!J6:J9)+SUM('2031'!J17:J20)</f>
        <v>9444.54</v>
      </c>
      <c r="L989" s="203">
        <f>SUM('2031'!K6:K9)+SUM('2031'!K17:K20)</f>
        <v>9263.475</v>
      </c>
      <c r="M989" s="203">
        <f>SUM('2031'!L6:L9)+SUM('2031'!L17:L20)</f>
        <v>9082.41</v>
      </c>
      <c r="N989" s="203">
        <f>SUM('2031'!M6:M9)+SUM('2031'!M17:M20)</f>
        <v>14459.43</v>
      </c>
      <c r="O989" s="5"/>
      <c r="P989" s="5"/>
      <c r="Q989" s="5"/>
      <c r="R989" s="5"/>
      <c r="S989" s="5"/>
      <c r="T989" s="5"/>
      <c r="U989" s="5"/>
      <c r="V989" s="5"/>
      <c r="W989" s="5"/>
      <c r="X989" s="5"/>
      <c r="Y989" s="5"/>
      <c r="Z989" s="5"/>
    </row>
    <row r="990" ht="12.0" customHeight="1">
      <c r="A990" s="5"/>
      <c r="B990" s="92" t="s">
        <v>634</v>
      </c>
      <c r="C990" s="204">
        <f>C989/Parametros!$B$37</f>
        <v>704.865</v>
      </c>
      <c r="D990" s="204">
        <f>D989/Parametros!$B$37</f>
        <v>537.702</v>
      </c>
      <c r="E990" s="204">
        <f>E989/Parametros!$B$37</f>
        <v>503.10525</v>
      </c>
      <c r="F990" s="204">
        <f>F989/Parametros!$B$37</f>
        <v>481.28025</v>
      </c>
      <c r="G990" s="204">
        <f>G989/Parametros!$B$37</f>
        <v>450.402</v>
      </c>
      <c r="H990" s="204">
        <f>H989/Parametros!$B$37</f>
        <v>441.34875</v>
      </c>
      <c r="I990" s="204">
        <f>I989/Parametros!$B$37</f>
        <v>472.227</v>
      </c>
      <c r="J990" s="204">
        <f>J989/Parametros!$B$37</f>
        <v>472.227</v>
      </c>
      <c r="K990" s="204">
        <f>K989/Parametros!$B$37</f>
        <v>472.227</v>
      </c>
      <c r="L990" s="204">
        <f>L989/Parametros!$B$37</f>
        <v>463.17375</v>
      </c>
      <c r="M990" s="204">
        <f>M989/Parametros!$B$37</f>
        <v>454.1205</v>
      </c>
      <c r="N990" s="204">
        <f>N989/Parametros!$B$37</f>
        <v>722.9715</v>
      </c>
      <c r="O990" s="5"/>
      <c r="P990" s="5"/>
      <c r="Q990" s="5"/>
      <c r="R990" s="5"/>
      <c r="S990" s="5"/>
      <c r="T990" s="5"/>
      <c r="U990" s="5"/>
      <c r="V990" s="5"/>
      <c r="W990" s="5"/>
      <c r="X990" s="5"/>
      <c r="Y990" s="5"/>
      <c r="Z990" s="5"/>
    </row>
    <row r="991" ht="12.0" customHeight="1">
      <c r="A991" s="5"/>
      <c r="B991" s="92" t="s">
        <v>635</v>
      </c>
      <c r="C991" s="204">
        <f>C990/Parametros!$J$37</f>
        <v>93.982</v>
      </c>
      <c r="D991" s="204">
        <f>D990/Parametros!$J$37</f>
        <v>71.6936</v>
      </c>
      <c r="E991" s="204">
        <f>E990/Parametros!$J$37</f>
        <v>67.0807</v>
      </c>
      <c r="F991" s="204">
        <f>F990/Parametros!$J$37</f>
        <v>64.1707</v>
      </c>
      <c r="G991" s="204">
        <f>G990/Parametros!$J$37</f>
        <v>60.0536</v>
      </c>
      <c r="H991" s="204">
        <f>H990/Parametros!$J$37</f>
        <v>58.8465</v>
      </c>
      <c r="I991" s="204">
        <f>I990/Parametros!$J$37</f>
        <v>62.9636</v>
      </c>
      <c r="J991" s="204">
        <f>J990/Parametros!$J$37</f>
        <v>62.9636</v>
      </c>
      <c r="K991" s="204">
        <f>K990/Parametros!$J$37</f>
        <v>62.9636</v>
      </c>
      <c r="L991" s="204">
        <f>L990/Parametros!$J$37</f>
        <v>61.7565</v>
      </c>
      <c r="M991" s="204">
        <f>M990/Parametros!$J$37</f>
        <v>60.5494</v>
      </c>
      <c r="N991" s="204">
        <f>N990/Parametros!$J$37</f>
        <v>96.3962</v>
      </c>
      <c r="O991" s="5"/>
      <c r="P991" s="5"/>
      <c r="Q991" s="5"/>
      <c r="R991" s="5"/>
      <c r="S991" s="5"/>
      <c r="T991" s="5"/>
      <c r="U991" s="5"/>
      <c r="V991" s="5"/>
      <c r="W991" s="5"/>
      <c r="X991" s="5"/>
      <c r="Y991" s="5"/>
      <c r="Z991" s="5"/>
    </row>
    <row r="992" ht="12.0" customHeight="1">
      <c r="A992" s="92" t="s">
        <v>636</v>
      </c>
      <c r="B992" s="5"/>
      <c r="C992" s="204">
        <f t="shared" ref="C992:N992" si="292">C991</f>
        <v>93.982</v>
      </c>
      <c r="D992" s="204">
        <f t="shared" si="292"/>
        <v>71.6936</v>
      </c>
      <c r="E992" s="204">
        <f t="shared" si="292"/>
        <v>67.0807</v>
      </c>
      <c r="F992" s="204">
        <f t="shared" si="292"/>
        <v>64.1707</v>
      </c>
      <c r="G992" s="204">
        <f t="shared" si="292"/>
        <v>60.0536</v>
      </c>
      <c r="H992" s="204">
        <f t="shared" si="292"/>
        <v>58.8465</v>
      </c>
      <c r="I992" s="204">
        <f t="shared" si="292"/>
        <v>62.9636</v>
      </c>
      <c r="J992" s="204">
        <f t="shared" si="292"/>
        <v>62.9636</v>
      </c>
      <c r="K992" s="204">
        <f t="shared" si="292"/>
        <v>62.9636</v>
      </c>
      <c r="L992" s="204">
        <f t="shared" si="292"/>
        <v>61.7565</v>
      </c>
      <c r="M992" s="204">
        <f t="shared" si="292"/>
        <v>60.5494</v>
      </c>
      <c r="N992" s="204">
        <f t="shared" si="292"/>
        <v>96.3962</v>
      </c>
      <c r="O992" s="5"/>
      <c r="P992" s="5"/>
      <c r="Q992" s="5"/>
      <c r="R992" s="5"/>
      <c r="S992" s="5"/>
      <c r="T992" s="5"/>
      <c r="U992" s="5"/>
      <c r="V992" s="5"/>
      <c r="W992" s="5"/>
      <c r="X992" s="5"/>
      <c r="Y992" s="5"/>
      <c r="Z992" s="5"/>
    </row>
    <row r="993" ht="12.0" customHeight="1">
      <c r="A993" s="92" t="s">
        <v>637</v>
      </c>
      <c r="B993" s="5"/>
      <c r="C993" s="205">
        <f>'Resumen Capacidad'!$G$118</f>
        <v>187.425</v>
      </c>
      <c r="D993" s="205">
        <f>'Resumen Capacidad'!$G$118</f>
        <v>187.425</v>
      </c>
      <c r="E993" s="205">
        <f>'Resumen Capacidad'!$G$118</f>
        <v>187.425</v>
      </c>
      <c r="F993" s="205">
        <f>'Resumen Capacidad'!$G$118</f>
        <v>187.425</v>
      </c>
      <c r="G993" s="205">
        <f>'Resumen Capacidad'!$G$118</f>
        <v>187.425</v>
      </c>
      <c r="H993" s="205">
        <f>'Resumen Capacidad'!$G$118</f>
        <v>187.425</v>
      </c>
      <c r="I993" s="205">
        <f>'Resumen Capacidad'!$G$118</f>
        <v>187.425</v>
      </c>
      <c r="J993" s="205">
        <f>'Resumen Capacidad'!$G$118</f>
        <v>187.425</v>
      </c>
      <c r="K993" s="205">
        <f>'Resumen Capacidad'!$G$118</f>
        <v>187.425</v>
      </c>
      <c r="L993" s="205">
        <f>'Resumen Capacidad'!$G$118</f>
        <v>187.425</v>
      </c>
      <c r="M993" s="205">
        <f>'Resumen Capacidad'!$G$118</f>
        <v>187.425</v>
      </c>
      <c r="N993" s="205">
        <f>'Resumen Capacidad'!$G$118</f>
        <v>187.425</v>
      </c>
      <c r="O993" s="5"/>
      <c r="P993" s="5"/>
      <c r="Q993" s="5"/>
      <c r="R993" s="5"/>
      <c r="S993" s="5"/>
      <c r="T993" s="5"/>
      <c r="U993" s="5"/>
      <c r="V993" s="5"/>
      <c r="W993" s="5"/>
      <c r="X993" s="5"/>
      <c r="Y993" s="5"/>
      <c r="Z993" s="5"/>
    </row>
    <row r="994" ht="12.0" customHeight="1">
      <c r="A994" s="92" t="s">
        <v>640</v>
      </c>
      <c r="B994" s="5"/>
      <c r="C994" s="204">
        <f>'Resumen Capacidad'!$G$36*'Resumen Capacidad'!$G$72</f>
        <v>1</v>
      </c>
      <c r="D994" s="204">
        <f>'Resumen Capacidad'!$G$36*'Resumen Capacidad'!$G$72</f>
        <v>1</v>
      </c>
      <c r="E994" s="204">
        <f>'Resumen Capacidad'!$G$36*'Resumen Capacidad'!$G$72</f>
        <v>1</v>
      </c>
      <c r="F994" s="204">
        <f>'Resumen Capacidad'!$G$36*'Resumen Capacidad'!$G$72</f>
        <v>1</v>
      </c>
      <c r="G994" s="204">
        <f>'Resumen Capacidad'!$G$36*'Resumen Capacidad'!$G$72</f>
        <v>1</v>
      </c>
      <c r="H994" s="204">
        <f>'Resumen Capacidad'!$G$36*'Resumen Capacidad'!$G$72</f>
        <v>1</v>
      </c>
      <c r="I994" s="204">
        <f>'Resumen Capacidad'!$G$36*'Resumen Capacidad'!$G$72</f>
        <v>1</v>
      </c>
      <c r="J994" s="204">
        <f>'Resumen Capacidad'!$G$36*'Resumen Capacidad'!$G$72</f>
        <v>1</v>
      </c>
      <c r="K994" s="204">
        <f>'Resumen Capacidad'!$G$36*'Resumen Capacidad'!$G$72</f>
        <v>1</v>
      </c>
      <c r="L994" s="204">
        <f>'Resumen Capacidad'!$G$36*'Resumen Capacidad'!$G$72</f>
        <v>1</v>
      </c>
      <c r="M994" s="204">
        <f>'Resumen Capacidad'!$G$36*'Resumen Capacidad'!$G$72</f>
        <v>1</v>
      </c>
      <c r="N994" s="204">
        <f>'Resumen Capacidad'!$G$36*'Resumen Capacidad'!$G$72</f>
        <v>1</v>
      </c>
      <c r="O994" s="5"/>
      <c r="P994" s="5"/>
      <c r="Q994" s="5"/>
      <c r="R994" s="5"/>
      <c r="S994" s="5"/>
      <c r="T994" s="5"/>
      <c r="U994" s="5"/>
      <c r="V994" s="5"/>
      <c r="W994" s="5"/>
      <c r="X994" s="5"/>
      <c r="Y994" s="5"/>
      <c r="Z994" s="5"/>
    </row>
    <row r="995" ht="12.0" customHeight="1">
      <c r="A995" s="92" t="s">
        <v>642</v>
      </c>
      <c r="B995" s="5"/>
      <c r="C995" s="204">
        <f t="shared" ref="C995:N995" si="293">C993*C994</f>
        <v>187.425</v>
      </c>
      <c r="D995" s="204">
        <f t="shared" si="293"/>
        <v>187.425</v>
      </c>
      <c r="E995" s="204">
        <f t="shared" si="293"/>
        <v>187.425</v>
      </c>
      <c r="F995" s="204">
        <f t="shared" si="293"/>
        <v>187.425</v>
      </c>
      <c r="G995" s="204">
        <f t="shared" si="293"/>
        <v>187.425</v>
      </c>
      <c r="H995" s="204">
        <f t="shared" si="293"/>
        <v>187.425</v>
      </c>
      <c r="I995" s="204">
        <f t="shared" si="293"/>
        <v>187.425</v>
      </c>
      <c r="J995" s="204">
        <f t="shared" si="293"/>
        <v>187.425</v>
      </c>
      <c r="K995" s="204">
        <f t="shared" si="293"/>
        <v>187.425</v>
      </c>
      <c r="L995" s="204">
        <f t="shared" si="293"/>
        <v>187.425</v>
      </c>
      <c r="M995" s="204">
        <f t="shared" si="293"/>
        <v>187.425</v>
      </c>
      <c r="N995" s="204">
        <f t="shared" si="293"/>
        <v>187.425</v>
      </c>
      <c r="O995" s="5"/>
      <c r="P995" s="5"/>
      <c r="Q995" s="5"/>
      <c r="R995" s="5"/>
      <c r="S995" s="5"/>
      <c r="T995" s="5"/>
      <c r="U995" s="5"/>
      <c r="V995" s="5"/>
      <c r="W995" s="5"/>
      <c r="X995" s="5"/>
      <c r="Y995" s="5"/>
      <c r="Z995" s="5"/>
    </row>
    <row r="996" ht="12.0" customHeight="1">
      <c r="A996" s="92" t="s">
        <v>643</v>
      </c>
      <c r="B996" s="5"/>
      <c r="C996" s="206">
        <f t="shared" ref="C996:N996" si="294">IF(C995=0,0,C992/C995)</f>
        <v>0.5014379085</v>
      </c>
      <c r="D996" s="206">
        <f t="shared" si="294"/>
        <v>0.3825188742</v>
      </c>
      <c r="E996" s="206">
        <f t="shared" si="294"/>
        <v>0.3579068961</v>
      </c>
      <c r="F996" s="206">
        <f t="shared" si="294"/>
        <v>0.3423806856</v>
      </c>
      <c r="G996" s="206">
        <f t="shared" si="294"/>
        <v>0.3204140323</v>
      </c>
      <c r="H996" s="206">
        <f t="shared" si="294"/>
        <v>0.3139735894</v>
      </c>
      <c r="I996" s="206">
        <f t="shared" si="294"/>
        <v>0.3359402428</v>
      </c>
      <c r="J996" s="206">
        <f t="shared" si="294"/>
        <v>0.3359402428</v>
      </c>
      <c r="K996" s="206">
        <f t="shared" si="294"/>
        <v>0.3359402428</v>
      </c>
      <c r="L996" s="206">
        <f t="shared" si="294"/>
        <v>0.3294997999</v>
      </c>
      <c r="M996" s="206">
        <f t="shared" si="294"/>
        <v>0.3230593571</v>
      </c>
      <c r="N996" s="206">
        <f t="shared" si="294"/>
        <v>0.5143187942</v>
      </c>
      <c r="O996" s="5"/>
      <c r="P996" s="5"/>
      <c r="Q996" s="5"/>
      <c r="R996" s="5"/>
      <c r="S996" s="5"/>
      <c r="T996" s="5"/>
      <c r="U996" s="5"/>
      <c r="V996" s="5"/>
      <c r="W996" s="5"/>
      <c r="X996" s="5"/>
      <c r="Y996" s="5"/>
      <c r="Z996" s="5"/>
    </row>
    <row r="997" ht="12.0" customHeight="1">
      <c r="A997" s="201" t="s">
        <v>665</v>
      </c>
      <c r="B997" s="202"/>
      <c r="C997" s="202"/>
      <c r="D997" s="202"/>
      <c r="E997" s="202"/>
      <c r="F997" s="202"/>
      <c r="G997" s="202"/>
      <c r="H997" s="202"/>
      <c r="I997" s="202"/>
      <c r="J997" s="202"/>
      <c r="K997" s="202"/>
      <c r="L997" s="202"/>
      <c r="M997" s="202"/>
      <c r="N997" s="202"/>
      <c r="O997" s="5"/>
      <c r="P997" s="5"/>
      <c r="Q997" s="5"/>
      <c r="R997" s="5"/>
      <c r="S997" s="5"/>
      <c r="T997" s="5"/>
      <c r="U997" s="5"/>
      <c r="V997" s="5"/>
      <c r="W997" s="5"/>
      <c r="X997" s="5"/>
      <c r="Y997" s="5"/>
      <c r="Z997" s="5"/>
    </row>
    <row r="998" ht="12.0" customHeight="1">
      <c r="A998" s="201" t="s">
        <v>630</v>
      </c>
      <c r="B998" s="201" t="s">
        <v>631</v>
      </c>
      <c r="C998" s="201" t="s">
        <v>3</v>
      </c>
      <c r="D998" s="201" t="s">
        <v>4</v>
      </c>
      <c r="E998" s="201" t="s">
        <v>5</v>
      </c>
      <c r="F998" s="201" t="s">
        <v>6</v>
      </c>
      <c r="G998" s="201" t="s">
        <v>7</v>
      </c>
      <c r="H998" s="201" t="s">
        <v>8</v>
      </c>
      <c r="I998" s="201" t="s">
        <v>9</v>
      </c>
      <c r="J998" s="201" t="s">
        <v>10</v>
      </c>
      <c r="K998" s="201" t="s">
        <v>11</v>
      </c>
      <c r="L998" s="201" t="s">
        <v>12</v>
      </c>
      <c r="M998" s="201" t="s">
        <v>13</v>
      </c>
      <c r="N998" s="201" t="s">
        <v>14</v>
      </c>
      <c r="O998" s="5"/>
      <c r="P998" s="5"/>
      <c r="Q998" s="5"/>
      <c r="R998" s="5"/>
      <c r="S998" s="5"/>
      <c r="T998" s="5"/>
      <c r="U998" s="5"/>
      <c r="V998" s="5"/>
      <c r="W998" s="5"/>
      <c r="X998" s="5"/>
      <c r="Y998" s="5"/>
      <c r="Z998" s="5"/>
    </row>
    <row r="999" ht="12.0" customHeight="1">
      <c r="A999" s="92" t="s">
        <v>632</v>
      </c>
      <c r="B999" s="92" t="s">
        <v>633</v>
      </c>
      <c r="C999" s="203">
        <f>SUM('2031'!B6:B9)+SUM('2031'!B17:B20)</f>
        <v>14097.3</v>
      </c>
      <c r="D999" s="203">
        <f>SUM('2031'!C6:C9)+SUM('2031'!C17:C20)</f>
        <v>10754.04</v>
      </c>
      <c r="E999" s="203">
        <f>SUM('2031'!D6:D9)+SUM('2031'!D17:D20)</f>
        <v>10062.105</v>
      </c>
      <c r="F999" s="203">
        <f>SUM('2031'!E6:E9)+SUM('2031'!E17:E20)</f>
        <v>9625.605</v>
      </c>
      <c r="G999" s="203">
        <f>SUM('2031'!F6:F9)+SUM('2031'!F17:F20)</f>
        <v>9008.04</v>
      </c>
      <c r="H999" s="203">
        <f>SUM('2031'!G6:G9)+SUM('2031'!G17:G20)</f>
        <v>8826.975</v>
      </c>
      <c r="I999" s="203">
        <f>SUM('2031'!H6:H9)+SUM('2031'!H17:H20)</f>
        <v>9444.54</v>
      </c>
      <c r="J999" s="203">
        <f>SUM('2031'!I6:I9)+SUM('2031'!I17:I20)</f>
        <v>9444.54</v>
      </c>
      <c r="K999" s="203">
        <f>SUM('2031'!J6:J9)+SUM('2031'!J17:J20)</f>
        <v>9444.54</v>
      </c>
      <c r="L999" s="203">
        <f>SUM('2031'!K6:K9)+SUM('2031'!K17:K20)</f>
        <v>9263.475</v>
      </c>
      <c r="M999" s="203">
        <f>SUM('2031'!L6:L9)+SUM('2031'!L17:L20)</f>
        <v>9082.41</v>
      </c>
      <c r="N999" s="203">
        <f>SUM('2031'!M6:M9)+SUM('2031'!M17:M20)</f>
        <v>14459.43</v>
      </c>
      <c r="O999" s="5"/>
      <c r="P999" s="5"/>
      <c r="Q999" s="5"/>
      <c r="R999" s="5"/>
      <c r="S999" s="5"/>
      <c r="T999" s="5"/>
      <c r="U999" s="5"/>
      <c r="V999" s="5"/>
      <c r="W999" s="5"/>
      <c r="X999" s="5"/>
      <c r="Y999" s="5"/>
      <c r="Z999" s="5"/>
    </row>
    <row r="1000" ht="12.0" customHeight="1">
      <c r="A1000" s="5"/>
      <c r="B1000" s="92" t="s">
        <v>634</v>
      </c>
      <c r="C1000" s="204">
        <f>C999/Parametros!$B$37</f>
        <v>704.865</v>
      </c>
      <c r="D1000" s="204">
        <f>D999/Parametros!$B$37</f>
        <v>537.702</v>
      </c>
      <c r="E1000" s="204">
        <f>E999/Parametros!$B$37</f>
        <v>503.10525</v>
      </c>
      <c r="F1000" s="204">
        <f>F999/Parametros!$B$37</f>
        <v>481.28025</v>
      </c>
      <c r="G1000" s="204">
        <f>G999/Parametros!$B$37</f>
        <v>450.402</v>
      </c>
      <c r="H1000" s="204">
        <f>H999/Parametros!$B$37</f>
        <v>441.34875</v>
      </c>
      <c r="I1000" s="204">
        <f>I999/Parametros!$B$37</f>
        <v>472.227</v>
      </c>
      <c r="J1000" s="204">
        <f>J999/Parametros!$B$37</f>
        <v>472.227</v>
      </c>
      <c r="K1000" s="204">
        <f>K999/Parametros!$B$37</f>
        <v>472.227</v>
      </c>
      <c r="L1000" s="204">
        <f>L999/Parametros!$B$37</f>
        <v>463.17375</v>
      </c>
      <c r="M1000" s="204">
        <f>M999/Parametros!$B$37</f>
        <v>454.1205</v>
      </c>
      <c r="N1000" s="204">
        <f>N999/Parametros!$B$37</f>
        <v>722.9715</v>
      </c>
      <c r="O1000" s="5"/>
      <c r="P1000" s="5"/>
      <c r="Q1000" s="5"/>
      <c r="R1000" s="5"/>
      <c r="S1000" s="5"/>
      <c r="T1000" s="5"/>
      <c r="U1000" s="5"/>
      <c r="V1000" s="5"/>
      <c r="W1000" s="5"/>
      <c r="X1000" s="5"/>
      <c r="Y1000" s="5"/>
      <c r="Z1000" s="5"/>
    </row>
    <row r="1001" ht="12.0" customHeight="1">
      <c r="A1001" s="5"/>
      <c r="B1001" s="92" t="s">
        <v>635</v>
      </c>
      <c r="C1001" s="204">
        <f>C1000/Parametros!$J$37</f>
        <v>93.982</v>
      </c>
      <c r="D1001" s="204">
        <f>D1000/Parametros!$J$37</f>
        <v>71.6936</v>
      </c>
      <c r="E1001" s="204">
        <f>E1000/Parametros!$J$37</f>
        <v>67.0807</v>
      </c>
      <c r="F1001" s="204">
        <f>F1000/Parametros!$J$37</f>
        <v>64.1707</v>
      </c>
      <c r="G1001" s="204">
        <f>G1000/Parametros!$J$37</f>
        <v>60.0536</v>
      </c>
      <c r="H1001" s="204">
        <f>H1000/Parametros!$J$37</f>
        <v>58.8465</v>
      </c>
      <c r="I1001" s="204">
        <f>I1000/Parametros!$J$37</f>
        <v>62.9636</v>
      </c>
      <c r="J1001" s="204">
        <f>J1000/Parametros!$J$37</f>
        <v>62.9636</v>
      </c>
      <c r="K1001" s="204">
        <f>K1000/Parametros!$J$37</f>
        <v>62.9636</v>
      </c>
      <c r="L1001" s="204">
        <f>L1000/Parametros!$J$37</f>
        <v>61.7565</v>
      </c>
      <c r="M1001" s="204">
        <f>M1000/Parametros!$J$37</f>
        <v>60.5494</v>
      </c>
      <c r="N1001" s="204">
        <f>N1000/Parametros!$J$37</f>
        <v>96.3962</v>
      </c>
      <c r="O1001" s="5"/>
      <c r="P1001" s="5"/>
      <c r="Q1001" s="5"/>
      <c r="R1001" s="5"/>
      <c r="S1001" s="5"/>
      <c r="T1001" s="5"/>
      <c r="U1001" s="5"/>
      <c r="V1001" s="5"/>
      <c r="W1001" s="5"/>
      <c r="X1001" s="5"/>
      <c r="Y1001" s="5"/>
      <c r="Z1001" s="5"/>
    </row>
    <row r="1002" ht="12.0" customHeight="1">
      <c r="A1002" s="92" t="s">
        <v>636</v>
      </c>
      <c r="B1002" s="5"/>
      <c r="C1002" s="204">
        <f t="shared" ref="C1002:N1002" si="295">C1001</f>
        <v>93.982</v>
      </c>
      <c r="D1002" s="204">
        <f t="shared" si="295"/>
        <v>71.6936</v>
      </c>
      <c r="E1002" s="204">
        <f t="shared" si="295"/>
        <v>67.0807</v>
      </c>
      <c r="F1002" s="204">
        <f t="shared" si="295"/>
        <v>64.1707</v>
      </c>
      <c r="G1002" s="204">
        <f t="shared" si="295"/>
        <v>60.0536</v>
      </c>
      <c r="H1002" s="204">
        <f t="shared" si="295"/>
        <v>58.8465</v>
      </c>
      <c r="I1002" s="204">
        <f t="shared" si="295"/>
        <v>62.9636</v>
      </c>
      <c r="J1002" s="204">
        <f t="shared" si="295"/>
        <v>62.9636</v>
      </c>
      <c r="K1002" s="204">
        <f t="shared" si="295"/>
        <v>62.9636</v>
      </c>
      <c r="L1002" s="204">
        <f t="shared" si="295"/>
        <v>61.7565</v>
      </c>
      <c r="M1002" s="204">
        <f t="shared" si="295"/>
        <v>60.5494</v>
      </c>
      <c r="N1002" s="204">
        <f t="shared" si="295"/>
        <v>96.3962</v>
      </c>
      <c r="O1002" s="5"/>
      <c r="P1002" s="5"/>
      <c r="Q1002" s="5"/>
      <c r="R1002" s="5"/>
      <c r="S1002" s="5"/>
      <c r="T1002" s="5"/>
      <c r="U1002" s="5"/>
      <c r="V1002" s="5"/>
      <c r="W1002" s="5"/>
      <c r="X1002" s="5"/>
      <c r="Y1002" s="5"/>
      <c r="Z1002" s="5"/>
    </row>
    <row r="1003" ht="12.0" customHeight="1">
      <c r="A1003" s="92" t="s">
        <v>637</v>
      </c>
      <c r="B1003" s="5"/>
      <c r="C1003" s="184">
        <f>'Resumen Capacidad'!$G$119</f>
        <v>63.648</v>
      </c>
      <c r="D1003" s="184">
        <f>'Resumen Capacidad'!$G$119</f>
        <v>63.648</v>
      </c>
      <c r="E1003" s="184">
        <f>'Resumen Capacidad'!$G$119</f>
        <v>63.648</v>
      </c>
      <c r="F1003" s="184">
        <f>'Resumen Capacidad'!$G$119</f>
        <v>63.648</v>
      </c>
      <c r="G1003" s="184">
        <f>'Resumen Capacidad'!$G$119</f>
        <v>63.648</v>
      </c>
      <c r="H1003" s="184">
        <f>'Resumen Capacidad'!$G$119</f>
        <v>63.648</v>
      </c>
      <c r="I1003" s="184">
        <f>'Resumen Capacidad'!$G$119</f>
        <v>63.648</v>
      </c>
      <c r="J1003" s="184">
        <f>'Resumen Capacidad'!$G$119</f>
        <v>63.648</v>
      </c>
      <c r="K1003" s="184">
        <f>'Resumen Capacidad'!$G$119</f>
        <v>63.648</v>
      </c>
      <c r="L1003" s="184">
        <f>'Resumen Capacidad'!$G$119</f>
        <v>63.648</v>
      </c>
      <c r="M1003" s="184">
        <f>'Resumen Capacidad'!$G$119</f>
        <v>63.648</v>
      </c>
      <c r="N1003" s="184">
        <f>'Resumen Capacidad'!$G$119</f>
        <v>63.648</v>
      </c>
      <c r="O1003" s="5"/>
      <c r="P1003" s="5"/>
      <c r="Q1003" s="5"/>
      <c r="R1003" s="5"/>
      <c r="S1003" s="5"/>
      <c r="T1003" s="5"/>
      <c r="U1003" s="5"/>
      <c r="V1003" s="5"/>
      <c r="W1003" s="5"/>
      <c r="X1003" s="5"/>
      <c r="Y1003" s="5"/>
      <c r="Z1003" s="5"/>
    </row>
    <row r="1004" ht="12.0" customHeight="1">
      <c r="A1004" s="92" t="s">
        <v>640</v>
      </c>
      <c r="B1004" s="5"/>
      <c r="C1004" s="204">
        <f>'Resumen Capacidad'!$G$37*'Resumen Capacidad'!$G$73</f>
        <v>2</v>
      </c>
      <c r="D1004" s="204">
        <f>'Resumen Capacidad'!$G$37*'Resumen Capacidad'!$G$73</f>
        <v>2</v>
      </c>
      <c r="E1004" s="204">
        <f>'Resumen Capacidad'!$G$37*'Resumen Capacidad'!$G$73</f>
        <v>2</v>
      </c>
      <c r="F1004" s="204">
        <f>'Resumen Capacidad'!$G$37*'Resumen Capacidad'!$G$73</f>
        <v>2</v>
      </c>
      <c r="G1004" s="204">
        <f>'Resumen Capacidad'!$G$37*'Resumen Capacidad'!$G$73</f>
        <v>2</v>
      </c>
      <c r="H1004" s="204">
        <f>'Resumen Capacidad'!$G$37*'Resumen Capacidad'!$G$73</f>
        <v>2</v>
      </c>
      <c r="I1004" s="204">
        <f>'Resumen Capacidad'!$G$37*'Resumen Capacidad'!$G$73</f>
        <v>2</v>
      </c>
      <c r="J1004" s="204">
        <f>'Resumen Capacidad'!$G$37*'Resumen Capacidad'!$G$73</f>
        <v>2</v>
      </c>
      <c r="K1004" s="204">
        <f>'Resumen Capacidad'!$G$37*'Resumen Capacidad'!$G$73</f>
        <v>2</v>
      </c>
      <c r="L1004" s="204">
        <f>'Resumen Capacidad'!$G$37*'Resumen Capacidad'!$G$73</f>
        <v>2</v>
      </c>
      <c r="M1004" s="204">
        <f>'Resumen Capacidad'!$G$37*'Resumen Capacidad'!$G$73</f>
        <v>2</v>
      </c>
      <c r="N1004" s="204">
        <f>'Resumen Capacidad'!$G$37*'Resumen Capacidad'!$G$73</f>
        <v>2</v>
      </c>
      <c r="O1004" s="5"/>
      <c r="P1004" s="5"/>
      <c r="Q1004" s="5"/>
      <c r="R1004" s="5"/>
      <c r="S1004" s="5"/>
      <c r="T1004" s="5"/>
      <c r="U1004" s="5"/>
      <c r="V1004" s="5"/>
      <c r="W1004" s="5"/>
      <c r="X1004" s="5"/>
      <c r="Y1004" s="5"/>
      <c r="Z1004" s="5"/>
    </row>
    <row r="1005" ht="12.0" customHeight="1">
      <c r="A1005" s="92" t="s">
        <v>642</v>
      </c>
      <c r="B1005" s="5"/>
      <c r="C1005" s="204">
        <f t="shared" ref="C1005:N1005" si="296">C1003*C1004</f>
        <v>127.296</v>
      </c>
      <c r="D1005" s="204">
        <f t="shared" si="296"/>
        <v>127.296</v>
      </c>
      <c r="E1005" s="204">
        <f t="shared" si="296"/>
        <v>127.296</v>
      </c>
      <c r="F1005" s="204">
        <f t="shared" si="296"/>
        <v>127.296</v>
      </c>
      <c r="G1005" s="204">
        <f t="shared" si="296"/>
        <v>127.296</v>
      </c>
      <c r="H1005" s="204">
        <f t="shared" si="296"/>
        <v>127.296</v>
      </c>
      <c r="I1005" s="204">
        <f t="shared" si="296"/>
        <v>127.296</v>
      </c>
      <c r="J1005" s="204">
        <f t="shared" si="296"/>
        <v>127.296</v>
      </c>
      <c r="K1005" s="204">
        <f t="shared" si="296"/>
        <v>127.296</v>
      </c>
      <c r="L1005" s="204">
        <f t="shared" si="296"/>
        <v>127.296</v>
      </c>
      <c r="M1005" s="204">
        <f t="shared" si="296"/>
        <v>127.296</v>
      </c>
      <c r="N1005" s="204">
        <f t="shared" si="296"/>
        <v>127.296</v>
      </c>
      <c r="O1005" s="5"/>
      <c r="P1005" s="5"/>
      <c r="Q1005" s="5"/>
      <c r="R1005" s="5"/>
      <c r="S1005" s="5"/>
      <c r="T1005" s="5"/>
      <c r="U1005" s="5"/>
      <c r="V1005" s="5"/>
      <c r="W1005" s="5"/>
      <c r="X1005" s="5"/>
      <c r="Y1005" s="5"/>
      <c r="Z1005" s="5"/>
    </row>
    <row r="1006" ht="12.0" customHeight="1">
      <c r="A1006" s="92" t="s">
        <v>643</v>
      </c>
      <c r="B1006" s="5"/>
      <c r="C1006" s="206">
        <f t="shared" ref="C1006:N1006" si="297">IF(C1005=0,0,C1002/C1005)</f>
        <v>0.7382949975</v>
      </c>
      <c r="D1006" s="206">
        <f t="shared" si="297"/>
        <v>0.5632038713</v>
      </c>
      <c r="E1006" s="206">
        <f t="shared" si="297"/>
        <v>0.5269662833</v>
      </c>
      <c r="F1006" s="206">
        <f t="shared" si="297"/>
        <v>0.5041061777</v>
      </c>
      <c r="G1006" s="206">
        <f t="shared" si="297"/>
        <v>0.471763449</v>
      </c>
      <c r="H1006" s="206">
        <f t="shared" si="297"/>
        <v>0.4622808258</v>
      </c>
      <c r="I1006" s="206">
        <f t="shared" si="297"/>
        <v>0.4946235546</v>
      </c>
      <c r="J1006" s="206">
        <f t="shared" si="297"/>
        <v>0.4946235546</v>
      </c>
      <c r="K1006" s="206">
        <f t="shared" si="297"/>
        <v>0.4946235546</v>
      </c>
      <c r="L1006" s="206">
        <f t="shared" si="297"/>
        <v>0.4851409314</v>
      </c>
      <c r="M1006" s="206">
        <f t="shared" si="297"/>
        <v>0.4756583082</v>
      </c>
      <c r="N1006" s="206">
        <f t="shared" si="297"/>
        <v>0.7572602438</v>
      </c>
      <c r="O1006" s="5"/>
      <c r="P1006" s="5"/>
      <c r="Q1006" s="5"/>
      <c r="R1006" s="5"/>
      <c r="S1006" s="5"/>
      <c r="T1006" s="5"/>
      <c r="U1006" s="5"/>
      <c r="V1006" s="5"/>
      <c r="W1006" s="5"/>
      <c r="X1006" s="5"/>
      <c r="Y1006" s="5"/>
      <c r="Z1006" s="5"/>
    </row>
    <row r="1007" ht="12.0" customHeight="1">
      <c r="A1007" s="201" t="s">
        <v>666</v>
      </c>
      <c r="B1007" s="202"/>
      <c r="C1007" s="202"/>
      <c r="D1007" s="202"/>
      <c r="E1007" s="202"/>
      <c r="F1007" s="202"/>
      <c r="G1007" s="202"/>
      <c r="H1007" s="202"/>
      <c r="I1007" s="202"/>
      <c r="J1007" s="202"/>
      <c r="K1007" s="202"/>
      <c r="L1007" s="202"/>
      <c r="M1007" s="202"/>
      <c r="N1007" s="202"/>
      <c r="O1007" s="5"/>
      <c r="P1007" s="5"/>
      <c r="Q1007" s="5"/>
      <c r="R1007" s="5"/>
      <c r="S1007" s="5"/>
      <c r="T1007" s="5"/>
      <c r="U1007" s="5"/>
      <c r="V1007" s="5"/>
      <c r="W1007" s="5"/>
      <c r="X1007" s="5"/>
      <c r="Y1007" s="5"/>
      <c r="Z1007" s="5"/>
    </row>
    <row r="1008" ht="12.0" customHeight="1">
      <c r="A1008" s="201" t="s">
        <v>630</v>
      </c>
      <c r="B1008" s="201" t="s">
        <v>631</v>
      </c>
      <c r="C1008" s="201" t="s">
        <v>3</v>
      </c>
      <c r="D1008" s="201" t="s">
        <v>4</v>
      </c>
      <c r="E1008" s="201" t="s">
        <v>5</v>
      </c>
      <c r="F1008" s="201" t="s">
        <v>6</v>
      </c>
      <c r="G1008" s="201" t="s">
        <v>7</v>
      </c>
      <c r="H1008" s="201" t="s">
        <v>8</v>
      </c>
      <c r="I1008" s="201" t="s">
        <v>9</v>
      </c>
      <c r="J1008" s="201" t="s">
        <v>10</v>
      </c>
      <c r="K1008" s="201" t="s">
        <v>11</v>
      </c>
      <c r="L1008" s="201" t="s">
        <v>12</v>
      </c>
      <c r="M1008" s="201" t="s">
        <v>13</v>
      </c>
      <c r="N1008" s="201" t="s">
        <v>14</v>
      </c>
      <c r="O1008" s="5"/>
      <c r="P1008" s="5"/>
      <c r="Q1008" s="5"/>
      <c r="R1008" s="5"/>
      <c r="S1008" s="5"/>
      <c r="T1008" s="5"/>
      <c r="U1008" s="5"/>
      <c r="V1008" s="5"/>
      <c r="W1008" s="5"/>
      <c r="X1008" s="5"/>
      <c r="Y1008" s="5"/>
      <c r="Z1008" s="5"/>
    </row>
    <row r="1009" ht="12.0" customHeight="1">
      <c r="A1009" s="92" t="s">
        <v>632</v>
      </c>
      <c r="B1009" s="92" t="s">
        <v>633</v>
      </c>
      <c r="C1009" s="203">
        <f>SUM('2031'!B6:B9)+SUM('2031'!B17:B20)</f>
        <v>14097.3</v>
      </c>
      <c r="D1009" s="203">
        <f>SUM('2031'!C6:C9)+SUM('2031'!C17:C20)</f>
        <v>10754.04</v>
      </c>
      <c r="E1009" s="203">
        <f>SUM('2031'!D6:D9)+SUM('2031'!D17:D20)</f>
        <v>10062.105</v>
      </c>
      <c r="F1009" s="203">
        <f>SUM('2031'!E6:E9)+SUM('2031'!E17:E20)</f>
        <v>9625.605</v>
      </c>
      <c r="G1009" s="203">
        <f>SUM('2031'!F6:F9)+SUM('2031'!F17:F20)</f>
        <v>9008.04</v>
      </c>
      <c r="H1009" s="203">
        <f>SUM('2031'!G6:G9)+SUM('2031'!G17:G20)</f>
        <v>8826.975</v>
      </c>
      <c r="I1009" s="203">
        <f>SUM('2031'!H6:H9)+SUM('2031'!H17:H20)</f>
        <v>9444.54</v>
      </c>
      <c r="J1009" s="203">
        <f>SUM('2031'!I6:I9)+SUM('2031'!I17:I20)</f>
        <v>9444.54</v>
      </c>
      <c r="K1009" s="203">
        <f>SUM('2031'!J6:J9)+SUM('2031'!J17:J20)</f>
        <v>9444.54</v>
      </c>
      <c r="L1009" s="203">
        <f>SUM('2031'!K6:K9)+SUM('2031'!K17:K20)</f>
        <v>9263.475</v>
      </c>
      <c r="M1009" s="203">
        <f>SUM('2031'!L6:L9)+SUM('2031'!L17:L20)</f>
        <v>9082.41</v>
      </c>
      <c r="N1009" s="203">
        <f>SUM('2031'!M6:M9)+SUM('2031'!M17:M20)</f>
        <v>14459.43</v>
      </c>
      <c r="O1009" s="5"/>
      <c r="P1009" s="5"/>
      <c r="Q1009" s="5"/>
      <c r="R1009" s="5"/>
      <c r="S1009" s="5"/>
      <c r="T1009" s="5"/>
      <c r="U1009" s="5"/>
      <c r="V1009" s="5"/>
      <c r="W1009" s="5"/>
      <c r="X1009" s="5"/>
      <c r="Y1009" s="5"/>
      <c r="Z1009" s="5"/>
    </row>
    <row r="1010" ht="12.0" customHeight="1">
      <c r="A1010" s="5"/>
      <c r="B1010" s="92" t="s">
        <v>634</v>
      </c>
      <c r="C1010" s="204">
        <f>C1009/Parametros!$B$37</f>
        <v>704.865</v>
      </c>
      <c r="D1010" s="204">
        <f>D1009/Parametros!$B$37</f>
        <v>537.702</v>
      </c>
      <c r="E1010" s="204">
        <f>E1009/Parametros!$B$37</f>
        <v>503.10525</v>
      </c>
      <c r="F1010" s="204">
        <f>F1009/Parametros!$B$37</f>
        <v>481.28025</v>
      </c>
      <c r="G1010" s="204">
        <f>G1009/Parametros!$B$37</f>
        <v>450.402</v>
      </c>
      <c r="H1010" s="204">
        <f>H1009/Parametros!$B$37</f>
        <v>441.34875</v>
      </c>
      <c r="I1010" s="204">
        <f>I1009/Parametros!$B$37</f>
        <v>472.227</v>
      </c>
      <c r="J1010" s="204">
        <f>J1009/Parametros!$B$37</f>
        <v>472.227</v>
      </c>
      <c r="K1010" s="204">
        <f>K1009/Parametros!$B$37</f>
        <v>472.227</v>
      </c>
      <c r="L1010" s="204">
        <f>L1009/Parametros!$B$37</f>
        <v>463.17375</v>
      </c>
      <c r="M1010" s="204">
        <f>M1009/Parametros!$B$37</f>
        <v>454.1205</v>
      </c>
      <c r="N1010" s="204">
        <f>N1009/Parametros!$B$37</f>
        <v>722.9715</v>
      </c>
      <c r="O1010" s="5"/>
      <c r="P1010" s="5"/>
      <c r="Q1010" s="5"/>
      <c r="R1010" s="5"/>
      <c r="S1010" s="5"/>
      <c r="T1010" s="5"/>
      <c r="U1010" s="5"/>
      <c r="V1010" s="5"/>
      <c r="W1010" s="5"/>
      <c r="X1010" s="5"/>
      <c r="Y1010" s="5"/>
      <c r="Z1010" s="5"/>
    </row>
    <row r="1011" ht="12.0" customHeight="1">
      <c r="A1011" s="5"/>
      <c r="B1011" s="92" t="s">
        <v>635</v>
      </c>
      <c r="C1011" s="204">
        <f>C1010/Parametros!$J$37</f>
        <v>93.982</v>
      </c>
      <c r="D1011" s="204">
        <f>D1010/Parametros!$J$37</f>
        <v>71.6936</v>
      </c>
      <c r="E1011" s="204">
        <f>E1010/Parametros!$J$37</f>
        <v>67.0807</v>
      </c>
      <c r="F1011" s="204">
        <f>F1010/Parametros!$J$37</f>
        <v>64.1707</v>
      </c>
      <c r="G1011" s="204">
        <f>G1010/Parametros!$J$37</f>
        <v>60.0536</v>
      </c>
      <c r="H1011" s="204">
        <f>H1010/Parametros!$J$37</f>
        <v>58.8465</v>
      </c>
      <c r="I1011" s="204">
        <f>I1010/Parametros!$J$37</f>
        <v>62.9636</v>
      </c>
      <c r="J1011" s="204">
        <f>J1010/Parametros!$J$37</f>
        <v>62.9636</v>
      </c>
      <c r="K1011" s="204">
        <f>K1010/Parametros!$J$37</f>
        <v>62.9636</v>
      </c>
      <c r="L1011" s="204">
        <f>L1010/Parametros!$J$37</f>
        <v>61.7565</v>
      </c>
      <c r="M1011" s="204">
        <f>M1010/Parametros!$J$37</f>
        <v>60.5494</v>
      </c>
      <c r="N1011" s="204">
        <f>N1010/Parametros!$J$37</f>
        <v>96.3962</v>
      </c>
      <c r="O1011" s="5"/>
      <c r="P1011" s="5"/>
      <c r="Q1011" s="5"/>
      <c r="R1011" s="5"/>
      <c r="S1011" s="5"/>
      <c r="T1011" s="5"/>
      <c r="U1011" s="5"/>
      <c r="V1011" s="5"/>
      <c r="W1011" s="5"/>
      <c r="X1011" s="5"/>
      <c r="Y1011" s="5"/>
      <c r="Z1011" s="5"/>
    </row>
    <row r="1012" ht="12.0" customHeight="1">
      <c r="A1012" s="92" t="s">
        <v>636</v>
      </c>
      <c r="B1012" s="5"/>
      <c r="C1012" s="204">
        <f t="shared" ref="C1012:N1012" si="298">C1011</f>
        <v>93.982</v>
      </c>
      <c r="D1012" s="204">
        <f t="shared" si="298"/>
        <v>71.6936</v>
      </c>
      <c r="E1012" s="204">
        <f t="shared" si="298"/>
        <v>67.0807</v>
      </c>
      <c r="F1012" s="204">
        <f t="shared" si="298"/>
        <v>64.1707</v>
      </c>
      <c r="G1012" s="204">
        <f t="shared" si="298"/>
        <v>60.0536</v>
      </c>
      <c r="H1012" s="204">
        <f t="shared" si="298"/>
        <v>58.8465</v>
      </c>
      <c r="I1012" s="204">
        <f t="shared" si="298"/>
        <v>62.9636</v>
      </c>
      <c r="J1012" s="204">
        <f t="shared" si="298"/>
        <v>62.9636</v>
      </c>
      <c r="K1012" s="204">
        <f t="shared" si="298"/>
        <v>62.9636</v>
      </c>
      <c r="L1012" s="204">
        <f t="shared" si="298"/>
        <v>61.7565</v>
      </c>
      <c r="M1012" s="204">
        <f t="shared" si="298"/>
        <v>60.5494</v>
      </c>
      <c r="N1012" s="204">
        <f t="shared" si="298"/>
        <v>96.3962</v>
      </c>
      <c r="O1012" s="5"/>
      <c r="P1012" s="5"/>
      <c r="Q1012" s="5"/>
      <c r="R1012" s="5"/>
      <c r="S1012" s="5"/>
      <c r="T1012" s="5"/>
      <c r="U1012" s="5"/>
      <c r="V1012" s="5"/>
      <c r="W1012" s="5"/>
      <c r="X1012" s="5"/>
      <c r="Y1012" s="5"/>
      <c r="Z1012" s="5"/>
    </row>
    <row r="1013" ht="12.0" customHeight="1">
      <c r="A1013" s="92" t="s">
        <v>637</v>
      </c>
      <c r="B1013" s="5"/>
      <c r="C1013" s="205">
        <f>'Resumen Capacidad'!$G$120</f>
        <v>86.65142857</v>
      </c>
      <c r="D1013" s="205">
        <f>'Resumen Capacidad'!$G$120</f>
        <v>86.65142857</v>
      </c>
      <c r="E1013" s="205">
        <f>'Resumen Capacidad'!$G$120</f>
        <v>86.65142857</v>
      </c>
      <c r="F1013" s="205">
        <f>'Resumen Capacidad'!$G$120</f>
        <v>86.65142857</v>
      </c>
      <c r="G1013" s="205">
        <f>'Resumen Capacidad'!$G$120</f>
        <v>86.65142857</v>
      </c>
      <c r="H1013" s="205">
        <f>'Resumen Capacidad'!$G$120</f>
        <v>86.65142857</v>
      </c>
      <c r="I1013" s="205">
        <f>'Resumen Capacidad'!$G$120</f>
        <v>86.65142857</v>
      </c>
      <c r="J1013" s="205">
        <f>'Resumen Capacidad'!$G$120</f>
        <v>86.65142857</v>
      </c>
      <c r="K1013" s="205">
        <f>'Resumen Capacidad'!$G$120</f>
        <v>86.65142857</v>
      </c>
      <c r="L1013" s="205">
        <f>'Resumen Capacidad'!$G$120</f>
        <v>86.65142857</v>
      </c>
      <c r="M1013" s="205">
        <f>'Resumen Capacidad'!$G$120</f>
        <v>86.65142857</v>
      </c>
      <c r="N1013" s="205">
        <f>'Resumen Capacidad'!$G$120</f>
        <v>86.65142857</v>
      </c>
      <c r="O1013" s="5"/>
      <c r="P1013" s="5"/>
      <c r="Q1013" s="5"/>
      <c r="R1013" s="5"/>
      <c r="S1013" s="5"/>
      <c r="T1013" s="5"/>
      <c r="U1013" s="5"/>
      <c r="V1013" s="5"/>
      <c r="W1013" s="5"/>
      <c r="X1013" s="5"/>
      <c r="Y1013" s="5"/>
      <c r="Z1013" s="5"/>
    </row>
    <row r="1014" ht="12.0" customHeight="1">
      <c r="A1014" s="92" t="s">
        <v>640</v>
      </c>
      <c r="B1014" s="5"/>
      <c r="C1014" s="204">
        <f>'Resumen Capacidad'!$G$38*'Resumen Capacidad'!$G$74</f>
        <v>2</v>
      </c>
      <c r="D1014" s="204">
        <f>'Resumen Capacidad'!$G$38*'Resumen Capacidad'!$G$74</f>
        <v>2</v>
      </c>
      <c r="E1014" s="204">
        <f>'Resumen Capacidad'!$G$38*'Resumen Capacidad'!$G$74</f>
        <v>2</v>
      </c>
      <c r="F1014" s="204">
        <f>'Resumen Capacidad'!$G$38*'Resumen Capacidad'!$G$74</f>
        <v>2</v>
      </c>
      <c r="G1014" s="204">
        <f>'Resumen Capacidad'!$G$38*'Resumen Capacidad'!$G$74</f>
        <v>2</v>
      </c>
      <c r="H1014" s="204">
        <f>'Resumen Capacidad'!$G$38*'Resumen Capacidad'!$G$74</f>
        <v>2</v>
      </c>
      <c r="I1014" s="204">
        <f>'Resumen Capacidad'!$G$38*'Resumen Capacidad'!$G$74</f>
        <v>2</v>
      </c>
      <c r="J1014" s="204">
        <f>'Resumen Capacidad'!$G$38*'Resumen Capacidad'!$G$74</f>
        <v>2</v>
      </c>
      <c r="K1014" s="204">
        <f>'Resumen Capacidad'!$G$38*'Resumen Capacidad'!$G$74</f>
        <v>2</v>
      </c>
      <c r="L1014" s="204">
        <f>'Resumen Capacidad'!$G$38*'Resumen Capacidad'!$G$74</f>
        <v>2</v>
      </c>
      <c r="M1014" s="204">
        <f>'Resumen Capacidad'!$G$38*'Resumen Capacidad'!$G$74</f>
        <v>2</v>
      </c>
      <c r="N1014" s="204">
        <f>'Resumen Capacidad'!$G$38*'Resumen Capacidad'!$G$74</f>
        <v>2</v>
      </c>
      <c r="O1014" s="5"/>
      <c r="P1014" s="5"/>
      <c r="Q1014" s="5"/>
      <c r="R1014" s="5"/>
      <c r="S1014" s="5"/>
      <c r="T1014" s="5"/>
      <c r="U1014" s="5"/>
      <c r="V1014" s="5"/>
      <c r="W1014" s="5"/>
      <c r="X1014" s="5"/>
      <c r="Y1014" s="5"/>
      <c r="Z1014" s="5"/>
    </row>
    <row r="1015" ht="12.0" customHeight="1">
      <c r="A1015" s="92" t="s">
        <v>642</v>
      </c>
      <c r="B1015" s="5"/>
      <c r="C1015" s="204">
        <f t="shared" ref="C1015:N1015" si="299">C1013*C1014</f>
        <v>173.3028571</v>
      </c>
      <c r="D1015" s="204">
        <f t="shared" si="299"/>
        <v>173.3028571</v>
      </c>
      <c r="E1015" s="204">
        <f t="shared" si="299"/>
        <v>173.3028571</v>
      </c>
      <c r="F1015" s="204">
        <f t="shared" si="299"/>
        <v>173.3028571</v>
      </c>
      <c r="G1015" s="204">
        <f t="shared" si="299"/>
        <v>173.3028571</v>
      </c>
      <c r="H1015" s="204">
        <f t="shared" si="299"/>
        <v>173.3028571</v>
      </c>
      <c r="I1015" s="204">
        <f t="shared" si="299"/>
        <v>173.3028571</v>
      </c>
      <c r="J1015" s="204">
        <f t="shared" si="299"/>
        <v>173.3028571</v>
      </c>
      <c r="K1015" s="204">
        <f t="shared" si="299"/>
        <v>173.3028571</v>
      </c>
      <c r="L1015" s="204">
        <f t="shared" si="299"/>
        <v>173.3028571</v>
      </c>
      <c r="M1015" s="204">
        <f t="shared" si="299"/>
        <v>173.3028571</v>
      </c>
      <c r="N1015" s="204">
        <f t="shared" si="299"/>
        <v>173.3028571</v>
      </c>
      <c r="O1015" s="5"/>
      <c r="P1015" s="5"/>
      <c r="Q1015" s="5"/>
      <c r="R1015" s="5"/>
      <c r="S1015" s="5"/>
      <c r="T1015" s="5"/>
      <c r="U1015" s="5"/>
      <c r="V1015" s="5"/>
      <c r="W1015" s="5"/>
      <c r="X1015" s="5"/>
      <c r="Y1015" s="5"/>
      <c r="Z1015" s="5"/>
    </row>
    <row r="1016" ht="12.0" customHeight="1">
      <c r="A1016" s="92" t="s">
        <v>643</v>
      </c>
      <c r="B1016" s="5"/>
      <c r="C1016" s="206">
        <f t="shared" ref="C1016:N1016" si="300">IF(C1015=0,0,C1012/C1015)</f>
        <v>0.5422991955</v>
      </c>
      <c r="D1016" s="206">
        <f t="shared" si="300"/>
        <v>0.4136896597</v>
      </c>
      <c r="E1016" s="206">
        <f t="shared" si="300"/>
        <v>0.3870720951</v>
      </c>
      <c r="F1016" s="206">
        <f t="shared" si="300"/>
        <v>0.3702806812</v>
      </c>
      <c r="G1016" s="206">
        <f t="shared" si="300"/>
        <v>0.3465240042</v>
      </c>
      <c r="H1016" s="206">
        <f t="shared" si="300"/>
        <v>0.3395587411</v>
      </c>
      <c r="I1016" s="206">
        <f t="shared" si="300"/>
        <v>0.3633154181</v>
      </c>
      <c r="J1016" s="206">
        <f t="shared" si="300"/>
        <v>0.3633154181</v>
      </c>
      <c r="K1016" s="206">
        <f t="shared" si="300"/>
        <v>0.3633154181</v>
      </c>
      <c r="L1016" s="206">
        <f t="shared" si="300"/>
        <v>0.356350155</v>
      </c>
      <c r="M1016" s="206">
        <f t="shared" si="300"/>
        <v>0.3493848918</v>
      </c>
      <c r="N1016" s="206">
        <f t="shared" si="300"/>
        <v>0.5562297217</v>
      </c>
      <c r="O1016" s="5"/>
      <c r="P1016" s="5"/>
      <c r="Q1016" s="5"/>
      <c r="R1016" s="5"/>
      <c r="S1016" s="5"/>
      <c r="T1016" s="5"/>
      <c r="U1016" s="5"/>
      <c r="V1016" s="5"/>
      <c r="W1016" s="5"/>
      <c r="X1016" s="5"/>
      <c r="Y1016" s="5"/>
      <c r="Z1016" s="5"/>
    </row>
    <row r="1017" ht="12.0" customHeight="1">
      <c r="A1017" s="201" t="s">
        <v>671</v>
      </c>
      <c r="B1017" s="202"/>
      <c r="C1017" s="202"/>
      <c r="D1017" s="202"/>
      <c r="E1017" s="202"/>
      <c r="F1017" s="202"/>
      <c r="G1017" s="202"/>
      <c r="H1017" s="202"/>
      <c r="I1017" s="202"/>
      <c r="J1017" s="202"/>
      <c r="K1017" s="202"/>
      <c r="L1017" s="202"/>
      <c r="M1017" s="202"/>
      <c r="N1017" s="202"/>
      <c r="O1017" s="5"/>
      <c r="P1017" s="5"/>
      <c r="Q1017" s="5"/>
      <c r="R1017" s="5"/>
      <c r="S1017" s="5"/>
      <c r="T1017" s="5"/>
      <c r="U1017" s="5"/>
      <c r="V1017" s="5"/>
      <c r="W1017" s="5"/>
      <c r="X1017" s="5"/>
      <c r="Y1017" s="5"/>
      <c r="Z1017" s="5"/>
    </row>
    <row r="1018" ht="12.0" customHeight="1">
      <c r="A1018" s="201" t="s">
        <v>630</v>
      </c>
      <c r="B1018" s="201" t="s">
        <v>631</v>
      </c>
      <c r="C1018" s="201" t="s">
        <v>3</v>
      </c>
      <c r="D1018" s="201" t="s">
        <v>4</v>
      </c>
      <c r="E1018" s="201" t="s">
        <v>5</v>
      </c>
      <c r="F1018" s="201" t="s">
        <v>6</v>
      </c>
      <c r="G1018" s="201" t="s">
        <v>7</v>
      </c>
      <c r="H1018" s="201" t="s">
        <v>8</v>
      </c>
      <c r="I1018" s="201" t="s">
        <v>9</v>
      </c>
      <c r="J1018" s="201" t="s">
        <v>10</v>
      </c>
      <c r="K1018" s="201" t="s">
        <v>11</v>
      </c>
      <c r="L1018" s="201" t="s">
        <v>12</v>
      </c>
      <c r="M1018" s="201" t="s">
        <v>13</v>
      </c>
      <c r="N1018" s="201" t="s">
        <v>14</v>
      </c>
      <c r="O1018" s="5"/>
      <c r="P1018" s="5"/>
      <c r="Q1018" s="5"/>
      <c r="R1018" s="5"/>
      <c r="S1018" s="5"/>
      <c r="T1018" s="5"/>
      <c r="U1018" s="5"/>
      <c r="V1018" s="5"/>
      <c r="W1018" s="5"/>
      <c r="X1018" s="5"/>
      <c r="Y1018" s="5"/>
      <c r="Z1018" s="5"/>
    </row>
    <row r="1019" ht="12.0" customHeight="1">
      <c r="A1019" s="92" t="s">
        <v>651</v>
      </c>
      <c r="B1019" s="92" t="s">
        <v>633</v>
      </c>
      <c r="C1019" s="203">
        <f>SUM('2031'!B7:B9)+SUM('2031'!B18:B20)</f>
        <v>3621.3</v>
      </c>
      <c r="D1019" s="203">
        <f>SUM('2031'!C7:C9)+SUM('2031'!C18:C20)</f>
        <v>2897.04</v>
      </c>
      <c r="E1019" s="203">
        <f>SUM('2031'!D7:D9)+SUM('2031'!D18:D20)</f>
        <v>3078.105</v>
      </c>
      <c r="F1019" s="203">
        <f>SUM('2031'!E7:E9)+SUM('2031'!E18:E20)</f>
        <v>3078.105</v>
      </c>
      <c r="G1019" s="203">
        <f>SUM('2031'!F7:F9)+SUM('2031'!F18:F20)</f>
        <v>2897.04</v>
      </c>
      <c r="H1019" s="203">
        <f>SUM('2031'!G7:G9)+SUM('2031'!G18:G20)</f>
        <v>2715.975</v>
      </c>
      <c r="I1019" s="203">
        <f>SUM('2031'!H7:H9)+SUM('2031'!H18:H20)</f>
        <v>2897.04</v>
      </c>
      <c r="J1019" s="203">
        <f>SUM('2031'!I7:I9)+SUM('2031'!I18:I20)</f>
        <v>2897.04</v>
      </c>
      <c r="K1019" s="203">
        <f>SUM('2031'!J7:J9)+SUM('2031'!J18:J20)</f>
        <v>2897.04</v>
      </c>
      <c r="L1019" s="203">
        <f>SUM('2031'!K7:K9)+SUM('2031'!K18:K20)</f>
        <v>2715.975</v>
      </c>
      <c r="M1019" s="203">
        <f>SUM('2031'!L7:L9)+SUM('2031'!L18:L20)</f>
        <v>2534.91</v>
      </c>
      <c r="N1019" s="203">
        <f>SUM('2031'!M7:M9)+SUM('2031'!M18:M20)</f>
        <v>3983.43</v>
      </c>
      <c r="O1019" s="5"/>
      <c r="P1019" s="5"/>
      <c r="Q1019" s="5"/>
      <c r="R1019" s="5"/>
      <c r="S1019" s="5"/>
      <c r="T1019" s="5"/>
      <c r="U1019" s="5"/>
      <c r="V1019" s="5"/>
      <c r="W1019" s="5"/>
      <c r="X1019" s="5"/>
      <c r="Y1019" s="5"/>
      <c r="Z1019" s="5"/>
    </row>
    <row r="1020" ht="12.0" customHeight="1">
      <c r="A1020" s="5"/>
      <c r="B1020" s="92" t="s">
        <v>634</v>
      </c>
      <c r="C1020" s="204">
        <f>C1019/Parametros!$B$37</f>
        <v>181.065</v>
      </c>
      <c r="D1020" s="204">
        <f>D1019/Parametros!$B$37</f>
        <v>144.852</v>
      </c>
      <c r="E1020" s="204">
        <f>E1019/Parametros!$B$37</f>
        <v>153.90525</v>
      </c>
      <c r="F1020" s="204">
        <f>F1019/Parametros!$B$37</f>
        <v>153.90525</v>
      </c>
      <c r="G1020" s="204">
        <f>G1019/Parametros!$B$37</f>
        <v>144.852</v>
      </c>
      <c r="H1020" s="204">
        <f>H1019/Parametros!$B$37</f>
        <v>135.79875</v>
      </c>
      <c r="I1020" s="204">
        <f>I1019/Parametros!$B$37</f>
        <v>144.852</v>
      </c>
      <c r="J1020" s="204">
        <f>J1019/Parametros!$B$37</f>
        <v>144.852</v>
      </c>
      <c r="K1020" s="204">
        <f>K1019/Parametros!$B$37</f>
        <v>144.852</v>
      </c>
      <c r="L1020" s="204">
        <f>L1019/Parametros!$B$37</f>
        <v>135.79875</v>
      </c>
      <c r="M1020" s="204">
        <f>M1019/Parametros!$B$37</f>
        <v>126.7455</v>
      </c>
      <c r="N1020" s="204">
        <f>N1019/Parametros!$B$37</f>
        <v>199.1715</v>
      </c>
      <c r="O1020" s="5"/>
      <c r="P1020" s="5"/>
      <c r="Q1020" s="5"/>
      <c r="R1020" s="5"/>
      <c r="S1020" s="5"/>
      <c r="T1020" s="5"/>
      <c r="U1020" s="5"/>
      <c r="V1020" s="5"/>
      <c r="W1020" s="5"/>
      <c r="X1020" s="5"/>
      <c r="Y1020" s="5"/>
      <c r="Z1020" s="5"/>
    </row>
    <row r="1021" ht="12.0" customHeight="1">
      <c r="A1021" s="5"/>
      <c r="B1021" s="92" t="s">
        <v>635</v>
      </c>
      <c r="C1021" s="204">
        <f>C1020/Parametros!$J$37</f>
        <v>24.142</v>
      </c>
      <c r="D1021" s="204">
        <f>D1020/Parametros!$J$37</f>
        <v>19.3136</v>
      </c>
      <c r="E1021" s="204">
        <f>E1020/Parametros!$J$37</f>
        <v>20.5207</v>
      </c>
      <c r="F1021" s="204">
        <f>F1020/Parametros!$J$37</f>
        <v>20.5207</v>
      </c>
      <c r="G1021" s="204">
        <f>G1020/Parametros!$J$37</f>
        <v>19.3136</v>
      </c>
      <c r="H1021" s="204">
        <f>H1020/Parametros!$J$37</f>
        <v>18.1065</v>
      </c>
      <c r="I1021" s="204">
        <f>I1020/Parametros!$J$37</f>
        <v>19.3136</v>
      </c>
      <c r="J1021" s="204">
        <f>J1020/Parametros!$J$37</f>
        <v>19.3136</v>
      </c>
      <c r="K1021" s="204">
        <f>K1020/Parametros!$J$37</f>
        <v>19.3136</v>
      </c>
      <c r="L1021" s="204">
        <f>L1020/Parametros!$J$37</f>
        <v>18.1065</v>
      </c>
      <c r="M1021" s="204">
        <f>M1020/Parametros!$J$37</f>
        <v>16.8994</v>
      </c>
      <c r="N1021" s="204">
        <f>N1020/Parametros!$J$37</f>
        <v>26.5562</v>
      </c>
      <c r="O1021" s="5"/>
      <c r="P1021" s="5"/>
      <c r="Q1021" s="5"/>
      <c r="R1021" s="5"/>
      <c r="S1021" s="5"/>
      <c r="T1021" s="5"/>
      <c r="U1021" s="5"/>
      <c r="V1021" s="5"/>
      <c r="W1021" s="5"/>
      <c r="X1021" s="5"/>
      <c r="Y1021" s="5"/>
      <c r="Z1021" s="5"/>
    </row>
    <row r="1022" ht="12.0" customHeight="1">
      <c r="A1022" s="92" t="s">
        <v>636</v>
      </c>
      <c r="B1022" s="5"/>
      <c r="C1022" s="204">
        <f t="shared" ref="C1022:N1022" si="301">C1021</f>
        <v>24.142</v>
      </c>
      <c r="D1022" s="204">
        <f t="shared" si="301"/>
        <v>19.3136</v>
      </c>
      <c r="E1022" s="204">
        <f t="shared" si="301"/>
        <v>20.5207</v>
      </c>
      <c r="F1022" s="204">
        <f t="shared" si="301"/>
        <v>20.5207</v>
      </c>
      <c r="G1022" s="204">
        <f t="shared" si="301"/>
        <v>19.3136</v>
      </c>
      <c r="H1022" s="204">
        <f t="shared" si="301"/>
        <v>18.1065</v>
      </c>
      <c r="I1022" s="204">
        <f t="shared" si="301"/>
        <v>19.3136</v>
      </c>
      <c r="J1022" s="204">
        <f t="shared" si="301"/>
        <v>19.3136</v>
      </c>
      <c r="K1022" s="204">
        <f t="shared" si="301"/>
        <v>19.3136</v>
      </c>
      <c r="L1022" s="204">
        <f t="shared" si="301"/>
        <v>18.1065</v>
      </c>
      <c r="M1022" s="204">
        <f t="shared" si="301"/>
        <v>16.8994</v>
      </c>
      <c r="N1022" s="204">
        <f t="shared" si="301"/>
        <v>26.5562</v>
      </c>
      <c r="O1022" s="5"/>
      <c r="P1022" s="5"/>
      <c r="Q1022" s="5"/>
      <c r="R1022" s="5"/>
      <c r="S1022" s="5"/>
      <c r="T1022" s="5"/>
      <c r="U1022" s="5"/>
      <c r="V1022" s="5"/>
      <c r="W1022" s="5"/>
      <c r="X1022" s="5"/>
      <c r="Y1022" s="5"/>
      <c r="Z1022" s="5"/>
    </row>
    <row r="1023" ht="12.0" customHeight="1">
      <c r="A1023" s="92" t="s">
        <v>637</v>
      </c>
      <c r="B1023" s="5"/>
      <c r="C1023" s="205">
        <f>'Resumen Capacidad'!$G$121</f>
        <v>71.1627907</v>
      </c>
      <c r="D1023" s="205">
        <f>'Resumen Capacidad'!$G$121</f>
        <v>71.1627907</v>
      </c>
      <c r="E1023" s="205">
        <f>'Resumen Capacidad'!$G$121</f>
        <v>71.1627907</v>
      </c>
      <c r="F1023" s="205">
        <f>'Resumen Capacidad'!$G$121</f>
        <v>71.1627907</v>
      </c>
      <c r="G1023" s="205">
        <f>'Resumen Capacidad'!$G$121</f>
        <v>71.1627907</v>
      </c>
      <c r="H1023" s="205">
        <f>'Resumen Capacidad'!$G$121</f>
        <v>71.1627907</v>
      </c>
      <c r="I1023" s="205">
        <f>'Resumen Capacidad'!$G$121</f>
        <v>71.1627907</v>
      </c>
      <c r="J1023" s="205">
        <f>'Resumen Capacidad'!$G$121</f>
        <v>71.1627907</v>
      </c>
      <c r="K1023" s="205">
        <f>'Resumen Capacidad'!$G$121</f>
        <v>71.1627907</v>
      </c>
      <c r="L1023" s="205">
        <f>'Resumen Capacidad'!$G$121</f>
        <v>71.1627907</v>
      </c>
      <c r="M1023" s="205">
        <f>'Resumen Capacidad'!$G$121</f>
        <v>71.1627907</v>
      </c>
      <c r="N1023" s="205">
        <f>'Resumen Capacidad'!$G$121</f>
        <v>71.1627907</v>
      </c>
      <c r="O1023" s="5"/>
      <c r="P1023" s="5"/>
      <c r="Q1023" s="5"/>
      <c r="R1023" s="5"/>
      <c r="S1023" s="5"/>
      <c r="T1023" s="5"/>
      <c r="U1023" s="5"/>
      <c r="V1023" s="5"/>
      <c r="W1023" s="5"/>
      <c r="X1023" s="5"/>
      <c r="Y1023" s="5"/>
      <c r="Z1023" s="5"/>
    </row>
    <row r="1024" ht="12.0" customHeight="1">
      <c r="A1024" s="92" t="s">
        <v>640</v>
      </c>
      <c r="B1024" s="5"/>
      <c r="C1024" s="204">
        <f>'Resumen Capacidad'!$G$39*'Resumen Capacidad'!$G$75</f>
        <v>1</v>
      </c>
      <c r="D1024" s="204">
        <f>'Resumen Capacidad'!$G$39*'Resumen Capacidad'!$G$75</f>
        <v>1</v>
      </c>
      <c r="E1024" s="204">
        <f>'Resumen Capacidad'!$G$39*'Resumen Capacidad'!$G$75</f>
        <v>1</v>
      </c>
      <c r="F1024" s="204">
        <f>'Resumen Capacidad'!$G$39*'Resumen Capacidad'!$G$75</f>
        <v>1</v>
      </c>
      <c r="G1024" s="204">
        <f>'Resumen Capacidad'!$G$39*'Resumen Capacidad'!$G$75</f>
        <v>1</v>
      </c>
      <c r="H1024" s="204">
        <f>'Resumen Capacidad'!$G$39*'Resumen Capacidad'!$G$75</f>
        <v>1</v>
      </c>
      <c r="I1024" s="204">
        <f>'Resumen Capacidad'!$G$39*'Resumen Capacidad'!$G$75</f>
        <v>1</v>
      </c>
      <c r="J1024" s="204">
        <f>'Resumen Capacidad'!$G$39*'Resumen Capacidad'!$G$75</f>
        <v>1</v>
      </c>
      <c r="K1024" s="204">
        <f>'Resumen Capacidad'!$G$39*'Resumen Capacidad'!$G$75</f>
        <v>1</v>
      </c>
      <c r="L1024" s="204">
        <f>'Resumen Capacidad'!$G$39*'Resumen Capacidad'!$G$75</f>
        <v>1</v>
      </c>
      <c r="M1024" s="204">
        <f>'Resumen Capacidad'!$G$39*'Resumen Capacidad'!$G$75</f>
        <v>1</v>
      </c>
      <c r="N1024" s="204">
        <f>'Resumen Capacidad'!$G$39*'Resumen Capacidad'!$G$75</f>
        <v>1</v>
      </c>
      <c r="O1024" s="5"/>
      <c r="P1024" s="5"/>
      <c r="Q1024" s="5"/>
      <c r="R1024" s="5"/>
      <c r="S1024" s="5"/>
      <c r="T1024" s="5"/>
      <c r="U1024" s="5"/>
      <c r="V1024" s="5"/>
      <c r="W1024" s="5"/>
      <c r="X1024" s="5"/>
      <c r="Y1024" s="5"/>
      <c r="Z1024" s="5"/>
    </row>
    <row r="1025" ht="12.0" customHeight="1">
      <c r="A1025" s="92" t="s">
        <v>642</v>
      </c>
      <c r="B1025" s="5"/>
      <c r="C1025" s="204">
        <f t="shared" ref="C1025:N1025" si="302">C1023*C1024</f>
        <v>71.1627907</v>
      </c>
      <c r="D1025" s="204">
        <f t="shared" si="302"/>
        <v>71.1627907</v>
      </c>
      <c r="E1025" s="204">
        <f t="shared" si="302"/>
        <v>71.1627907</v>
      </c>
      <c r="F1025" s="204">
        <f t="shared" si="302"/>
        <v>71.1627907</v>
      </c>
      <c r="G1025" s="204">
        <f t="shared" si="302"/>
        <v>71.1627907</v>
      </c>
      <c r="H1025" s="204">
        <f t="shared" si="302"/>
        <v>71.1627907</v>
      </c>
      <c r="I1025" s="204">
        <f t="shared" si="302"/>
        <v>71.1627907</v>
      </c>
      <c r="J1025" s="204">
        <f t="shared" si="302"/>
        <v>71.1627907</v>
      </c>
      <c r="K1025" s="204">
        <f t="shared" si="302"/>
        <v>71.1627907</v>
      </c>
      <c r="L1025" s="204">
        <f t="shared" si="302"/>
        <v>71.1627907</v>
      </c>
      <c r="M1025" s="204">
        <f t="shared" si="302"/>
        <v>71.1627907</v>
      </c>
      <c r="N1025" s="204">
        <f t="shared" si="302"/>
        <v>71.1627907</v>
      </c>
      <c r="O1025" s="5"/>
      <c r="P1025" s="5"/>
      <c r="Q1025" s="5"/>
      <c r="R1025" s="5"/>
      <c r="S1025" s="5"/>
      <c r="T1025" s="5"/>
      <c r="U1025" s="5"/>
      <c r="V1025" s="5"/>
      <c r="W1025" s="5"/>
      <c r="X1025" s="5"/>
      <c r="Y1025" s="5"/>
      <c r="Z1025" s="5"/>
    </row>
    <row r="1026" ht="12.0" customHeight="1">
      <c r="A1026" s="92" t="s">
        <v>643</v>
      </c>
      <c r="B1026" s="5"/>
      <c r="C1026" s="206">
        <f t="shared" ref="C1026:N1026" si="303">IF(C1025=0,0,C1022/C1025)</f>
        <v>0.3392503268</v>
      </c>
      <c r="D1026" s="206">
        <f t="shared" si="303"/>
        <v>0.2714002614</v>
      </c>
      <c r="E1026" s="206">
        <f t="shared" si="303"/>
        <v>0.2883627778</v>
      </c>
      <c r="F1026" s="206">
        <f t="shared" si="303"/>
        <v>0.2883627778</v>
      </c>
      <c r="G1026" s="206">
        <f t="shared" si="303"/>
        <v>0.2714002614</v>
      </c>
      <c r="H1026" s="206">
        <f t="shared" si="303"/>
        <v>0.2544377451</v>
      </c>
      <c r="I1026" s="206">
        <f t="shared" si="303"/>
        <v>0.2714002614</v>
      </c>
      <c r="J1026" s="206">
        <f t="shared" si="303"/>
        <v>0.2714002614</v>
      </c>
      <c r="K1026" s="206">
        <f t="shared" si="303"/>
        <v>0.2714002614</v>
      </c>
      <c r="L1026" s="206">
        <f t="shared" si="303"/>
        <v>0.2544377451</v>
      </c>
      <c r="M1026" s="206">
        <f t="shared" si="303"/>
        <v>0.2374752288</v>
      </c>
      <c r="N1026" s="206">
        <f t="shared" si="303"/>
        <v>0.3731753595</v>
      </c>
      <c r="O1026" s="5"/>
      <c r="P1026" s="5"/>
      <c r="Q1026" s="5"/>
      <c r="R1026" s="5"/>
      <c r="S1026" s="5"/>
      <c r="T1026" s="5"/>
      <c r="U1026" s="5"/>
      <c r="V1026" s="5"/>
      <c r="W1026" s="5"/>
      <c r="X1026" s="5"/>
      <c r="Y1026" s="5"/>
      <c r="Z1026" s="5"/>
    </row>
    <row r="1027" ht="12.0" customHeight="1">
      <c r="A1027" s="201" t="s">
        <v>678</v>
      </c>
      <c r="B1027" s="202"/>
      <c r="C1027" s="202"/>
      <c r="D1027" s="202"/>
      <c r="E1027" s="202"/>
      <c r="F1027" s="202"/>
      <c r="G1027" s="202"/>
      <c r="H1027" s="202"/>
      <c r="I1027" s="202"/>
      <c r="J1027" s="202"/>
      <c r="K1027" s="202"/>
      <c r="L1027" s="202"/>
      <c r="M1027" s="202"/>
      <c r="N1027" s="202"/>
      <c r="O1027" s="5"/>
      <c r="P1027" s="5"/>
      <c r="Q1027" s="5"/>
      <c r="R1027" s="5"/>
      <c r="S1027" s="5"/>
      <c r="T1027" s="5"/>
      <c r="U1027" s="5"/>
      <c r="V1027" s="5"/>
      <c r="W1027" s="5"/>
      <c r="X1027" s="5"/>
      <c r="Y1027" s="5"/>
      <c r="Z1027" s="5"/>
    </row>
    <row r="1028" ht="12.0" customHeight="1">
      <c r="A1028" s="201" t="s">
        <v>630</v>
      </c>
      <c r="B1028" s="201" t="s">
        <v>631</v>
      </c>
      <c r="C1028" s="201" t="s">
        <v>3</v>
      </c>
      <c r="D1028" s="201" t="s">
        <v>4</v>
      </c>
      <c r="E1028" s="201" t="s">
        <v>5</v>
      </c>
      <c r="F1028" s="201" t="s">
        <v>6</v>
      </c>
      <c r="G1028" s="201" t="s">
        <v>7</v>
      </c>
      <c r="H1028" s="201" t="s">
        <v>8</v>
      </c>
      <c r="I1028" s="201" t="s">
        <v>9</v>
      </c>
      <c r="J1028" s="201" t="s">
        <v>10</v>
      </c>
      <c r="K1028" s="201" t="s">
        <v>11</v>
      </c>
      <c r="L1028" s="201" t="s">
        <v>12</v>
      </c>
      <c r="M1028" s="201" t="s">
        <v>13</v>
      </c>
      <c r="N1028" s="201" t="s">
        <v>14</v>
      </c>
      <c r="O1028" s="5"/>
      <c r="P1028" s="5"/>
      <c r="Q1028" s="5"/>
      <c r="R1028" s="5"/>
      <c r="S1028" s="5"/>
      <c r="T1028" s="5"/>
      <c r="U1028" s="5"/>
      <c r="V1028" s="5"/>
      <c r="W1028" s="5"/>
      <c r="X1028" s="5"/>
      <c r="Y1028" s="5"/>
      <c r="Z1028" s="5"/>
    </row>
    <row r="1029" ht="12.0" customHeight="1">
      <c r="A1029" s="92" t="s">
        <v>632</v>
      </c>
      <c r="B1029" s="92" t="s">
        <v>633</v>
      </c>
      <c r="C1029" s="203">
        <f>SUM('2031'!B6:B9)+SUM('2031'!B17:B20)</f>
        <v>14097.3</v>
      </c>
      <c r="D1029" s="203">
        <f>SUM('2031'!C6:C9)+SUM('2031'!C17:C20)</f>
        <v>10754.04</v>
      </c>
      <c r="E1029" s="203">
        <f>SUM('2031'!D6:D9)+SUM('2031'!D17:D20)</f>
        <v>10062.105</v>
      </c>
      <c r="F1029" s="203">
        <f>SUM('2031'!E6:E9)+SUM('2031'!E17:E20)</f>
        <v>9625.605</v>
      </c>
      <c r="G1029" s="203">
        <f>SUM('2031'!F6:F9)+SUM('2031'!F17:F20)</f>
        <v>9008.04</v>
      </c>
      <c r="H1029" s="203">
        <f>SUM('2031'!G6:G9)+SUM('2031'!G17:G20)</f>
        <v>8826.975</v>
      </c>
      <c r="I1029" s="203">
        <f>SUM('2031'!H6:H9)+SUM('2031'!H17:H20)</f>
        <v>9444.54</v>
      </c>
      <c r="J1029" s="203">
        <f>SUM('2031'!I6:I9)+SUM('2031'!I17:I20)</f>
        <v>9444.54</v>
      </c>
      <c r="K1029" s="203">
        <f>SUM('2031'!J6:J9)+SUM('2031'!J17:J20)</f>
        <v>9444.54</v>
      </c>
      <c r="L1029" s="203">
        <f>SUM('2031'!K6:K9)+SUM('2031'!K17:K20)</f>
        <v>9263.475</v>
      </c>
      <c r="M1029" s="203">
        <f>SUM('2031'!L6:L9)+SUM('2031'!L17:L20)</f>
        <v>9082.41</v>
      </c>
      <c r="N1029" s="203">
        <f>SUM('2031'!M6:M9)+SUM('2031'!M17:M20)</f>
        <v>14459.43</v>
      </c>
      <c r="O1029" s="5"/>
      <c r="P1029" s="5"/>
      <c r="Q1029" s="5"/>
      <c r="R1029" s="5"/>
      <c r="S1029" s="5"/>
      <c r="T1029" s="5"/>
      <c r="U1029" s="5"/>
      <c r="V1029" s="5"/>
      <c r="W1029" s="5"/>
      <c r="X1029" s="5"/>
      <c r="Y1029" s="5"/>
      <c r="Z1029" s="5"/>
    </row>
    <row r="1030" ht="12.0" customHeight="1">
      <c r="A1030" s="5"/>
      <c r="B1030" s="92" t="s">
        <v>634</v>
      </c>
      <c r="C1030" s="204">
        <f>C1029/Parametros!$B$37</f>
        <v>704.865</v>
      </c>
      <c r="D1030" s="204">
        <f>D1029/Parametros!$B$37</f>
        <v>537.702</v>
      </c>
      <c r="E1030" s="204">
        <f>E1029/Parametros!$B$37</f>
        <v>503.10525</v>
      </c>
      <c r="F1030" s="204">
        <f>F1029/Parametros!$B$37</f>
        <v>481.28025</v>
      </c>
      <c r="G1030" s="204">
        <f>G1029/Parametros!$B$37</f>
        <v>450.402</v>
      </c>
      <c r="H1030" s="204">
        <f>H1029/Parametros!$B$37</f>
        <v>441.34875</v>
      </c>
      <c r="I1030" s="204">
        <f>I1029/Parametros!$B$37</f>
        <v>472.227</v>
      </c>
      <c r="J1030" s="204">
        <f>J1029/Parametros!$B$37</f>
        <v>472.227</v>
      </c>
      <c r="K1030" s="204">
        <f>K1029/Parametros!$B$37</f>
        <v>472.227</v>
      </c>
      <c r="L1030" s="204">
        <f>L1029/Parametros!$B$37</f>
        <v>463.17375</v>
      </c>
      <c r="M1030" s="204">
        <f>M1029/Parametros!$B$37</f>
        <v>454.1205</v>
      </c>
      <c r="N1030" s="204">
        <f>N1029/Parametros!$B$37</f>
        <v>722.9715</v>
      </c>
      <c r="O1030" s="5"/>
      <c r="P1030" s="5"/>
      <c r="Q1030" s="5"/>
      <c r="R1030" s="5"/>
      <c r="S1030" s="5"/>
      <c r="T1030" s="5"/>
      <c r="U1030" s="5"/>
      <c r="V1030" s="5"/>
      <c r="W1030" s="5"/>
      <c r="X1030" s="5"/>
      <c r="Y1030" s="5"/>
      <c r="Z1030" s="5"/>
    </row>
    <row r="1031" ht="12.0" customHeight="1">
      <c r="A1031" s="5"/>
      <c r="B1031" s="92" t="s">
        <v>635</v>
      </c>
      <c r="C1031" s="204">
        <f>C1030/Parametros!$J$37</f>
        <v>93.982</v>
      </c>
      <c r="D1031" s="204">
        <f>D1030/Parametros!$J$37</f>
        <v>71.6936</v>
      </c>
      <c r="E1031" s="204">
        <f>E1030/Parametros!$J$37</f>
        <v>67.0807</v>
      </c>
      <c r="F1031" s="204">
        <f>F1030/Parametros!$J$37</f>
        <v>64.1707</v>
      </c>
      <c r="G1031" s="204">
        <f>G1030/Parametros!$J$37</f>
        <v>60.0536</v>
      </c>
      <c r="H1031" s="204">
        <f>H1030/Parametros!$J$37</f>
        <v>58.8465</v>
      </c>
      <c r="I1031" s="204">
        <f>I1030/Parametros!$J$37</f>
        <v>62.9636</v>
      </c>
      <c r="J1031" s="204">
        <f>J1030/Parametros!$J$37</f>
        <v>62.9636</v>
      </c>
      <c r="K1031" s="204">
        <f>K1030/Parametros!$J$37</f>
        <v>62.9636</v>
      </c>
      <c r="L1031" s="204">
        <f>L1030/Parametros!$J$37</f>
        <v>61.7565</v>
      </c>
      <c r="M1031" s="204">
        <f>M1030/Parametros!$J$37</f>
        <v>60.5494</v>
      </c>
      <c r="N1031" s="204">
        <f>N1030/Parametros!$J$37</f>
        <v>96.3962</v>
      </c>
      <c r="O1031" s="5"/>
      <c r="P1031" s="5"/>
      <c r="Q1031" s="5"/>
      <c r="R1031" s="5"/>
      <c r="S1031" s="5"/>
      <c r="T1031" s="5"/>
      <c r="U1031" s="5"/>
      <c r="V1031" s="5"/>
      <c r="W1031" s="5"/>
      <c r="X1031" s="5"/>
      <c r="Y1031" s="5"/>
      <c r="Z1031" s="5"/>
    </row>
    <row r="1032" ht="12.0" customHeight="1">
      <c r="A1032" s="92" t="s">
        <v>636</v>
      </c>
      <c r="B1032" s="5"/>
      <c r="C1032" s="204">
        <f t="shared" ref="C1032:N1032" si="304">C1031</f>
        <v>93.982</v>
      </c>
      <c r="D1032" s="204">
        <f t="shared" si="304"/>
        <v>71.6936</v>
      </c>
      <c r="E1032" s="204">
        <f t="shared" si="304"/>
        <v>67.0807</v>
      </c>
      <c r="F1032" s="204">
        <f t="shared" si="304"/>
        <v>64.1707</v>
      </c>
      <c r="G1032" s="204">
        <f t="shared" si="304"/>
        <v>60.0536</v>
      </c>
      <c r="H1032" s="204">
        <f t="shared" si="304"/>
        <v>58.8465</v>
      </c>
      <c r="I1032" s="204">
        <f t="shared" si="304"/>
        <v>62.9636</v>
      </c>
      <c r="J1032" s="204">
        <f t="shared" si="304"/>
        <v>62.9636</v>
      </c>
      <c r="K1032" s="204">
        <f t="shared" si="304"/>
        <v>62.9636</v>
      </c>
      <c r="L1032" s="204">
        <f t="shared" si="304"/>
        <v>61.7565</v>
      </c>
      <c r="M1032" s="204">
        <f t="shared" si="304"/>
        <v>60.5494</v>
      </c>
      <c r="N1032" s="204">
        <f t="shared" si="304"/>
        <v>96.3962</v>
      </c>
      <c r="O1032" s="5"/>
      <c r="P1032" s="5"/>
      <c r="Q1032" s="5"/>
      <c r="R1032" s="5"/>
      <c r="S1032" s="5"/>
      <c r="T1032" s="5"/>
      <c r="U1032" s="5"/>
      <c r="V1032" s="5"/>
      <c r="W1032" s="5"/>
      <c r="X1032" s="5"/>
      <c r="Y1032" s="5"/>
      <c r="Z1032" s="5"/>
    </row>
    <row r="1033" ht="12.0" customHeight="1">
      <c r="A1033" s="92" t="s">
        <v>637</v>
      </c>
      <c r="B1033" s="5"/>
      <c r="C1033" s="205">
        <f>'Resumen Capacidad'!$G$122</f>
        <v>192</v>
      </c>
      <c r="D1033" s="205">
        <f>'Resumen Capacidad'!$G$122</f>
        <v>192</v>
      </c>
      <c r="E1033" s="205">
        <f>'Resumen Capacidad'!$G$122</f>
        <v>192</v>
      </c>
      <c r="F1033" s="205">
        <f>'Resumen Capacidad'!$G$122</f>
        <v>192</v>
      </c>
      <c r="G1033" s="205">
        <f>'Resumen Capacidad'!$G$122</f>
        <v>192</v>
      </c>
      <c r="H1033" s="205">
        <f>'Resumen Capacidad'!$G$122</f>
        <v>192</v>
      </c>
      <c r="I1033" s="205">
        <f>'Resumen Capacidad'!$G$122</f>
        <v>192</v>
      </c>
      <c r="J1033" s="205">
        <f>'Resumen Capacidad'!$G$122</f>
        <v>192</v>
      </c>
      <c r="K1033" s="205">
        <f>'Resumen Capacidad'!$G$122</f>
        <v>192</v>
      </c>
      <c r="L1033" s="205">
        <f>'Resumen Capacidad'!$G$122</f>
        <v>192</v>
      </c>
      <c r="M1033" s="205">
        <f>'Resumen Capacidad'!$G$122</f>
        <v>192</v>
      </c>
      <c r="N1033" s="205">
        <f>'Resumen Capacidad'!$G$122</f>
        <v>192</v>
      </c>
      <c r="O1033" s="5"/>
      <c r="P1033" s="5"/>
      <c r="Q1033" s="5"/>
      <c r="R1033" s="5"/>
      <c r="S1033" s="5"/>
      <c r="T1033" s="5"/>
      <c r="U1033" s="5"/>
      <c r="V1033" s="5"/>
      <c r="W1033" s="5"/>
      <c r="X1033" s="5"/>
      <c r="Y1033" s="5"/>
      <c r="Z1033" s="5"/>
    </row>
    <row r="1034" ht="12.0" customHeight="1">
      <c r="A1034" s="92" t="s">
        <v>640</v>
      </c>
      <c r="B1034" s="5"/>
      <c r="C1034" s="204">
        <f>'Resumen Capacidad'!$G$40*'Resumen Capacidad'!$G$76</f>
        <v>1</v>
      </c>
      <c r="D1034" s="204">
        <f>'Resumen Capacidad'!$G$40*'Resumen Capacidad'!$G$76</f>
        <v>1</v>
      </c>
      <c r="E1034" s="204">
        <f>'Resumen Capacidad'!$G$40*'Resumen Capacidad'!$G$76</f>
        <v>1</v>
      </c>
      <c r="F1034" s="204">
        <f>'Resumen Capacidad'!$G$40*'Resumen Capacidad'!$G$76</f>
        <v>1</v>
      </c>
      <c r="G1034" s="204">
        <f>'Resumen Capacidad'!$G$40*'Resumen Capacidad'!$G$76</f>
        <v>1</v>
      </c>
      <c r="H1034" s="204">
        <f>'Resumen Capacidad'!$G$40*'Resumen Capacidad'!$G$76</f>
        <v>1</v>
      </c>
      <c r="I1034" s="204">
        <f>'Resumen Capacidad'!$G$40*'Resumen Capacidad'!$G$76</f>
        <v>1</v>
      </c>
      <c r="J1034" s="204">
        <f>'Resumen Capacidad'!$G$40*'Resumen Capacidad'!$G$76</f>
        <v>1</v>
      </c>
      <c r="K1034" s="204">
        <f>'Resumen Capacidad'!$G$40*'Resumen Capacidad'!$G$76</f>
        <v>1</v>
      </c>
      <c r="L1034" s="204">
        <f>'Resumen Capacidad'!$G$40*'Resumen Capacidad'!$G$76</f>
        <v>1</v>
      </c>
      <c r="M1034" s="204">
        <f>'Resumen Capacidad'!$G$40*'Resumen Capacidad'!$G$76</f>
        <v>1</v>
      </c>
      <c r="N1034" s="204">
        <f>'Resumen Capacidad'!$G$40*'Resumen Capacidad'!$G$76</f>
        <v>1</v>
      </c>
      <c r="O1034" s="5"/>
      <c r="P1034" s="5"/>
      <c r="Q1034" s="5"/>
      <c r="R1034" s="5"/>
      <c r="S1034" s="5"/>
      <c r="T1034" s="5"/>
      <c r="U1034" s="5"/>
      <c r="V1034" s="5"/>
      <c r="W1034" s="5"/>
      <c r="X1034" s="5"/>
      <c r="Y1034" s="5"/>
      <c r="Z1034" s="5"/>
    </row>
    <row r="1035" ht="12.0" customHeight="1">
      <c r="A1035" s="92" t="s">
        <v>642</v>
      </c>
      <c r="B1035" s="5"/>
      <c r="C1035" s="204">
        <f t="shared" ref="C1035:N1035" si="305">C1033*C1034</f>
        <v>192</v>
      </c>
      <c r="D1035" s="204">
        <f t="shared" si="305"/>
        <v>192</v>
      </c>
      <c r="E1035" s="204">
        <f t="shared" si="305"/>
        <v>192</v>
      </c>
      <c r="F1035" s="204">
        <f t="shared" si="305"/>
        <v>192</v>
      </c>
      <c r="G1035" s="204">
        <f t="shared" si="305"/>
        <v>192</v>
      </c>
      <c r="H1035" s="204">
        <f t="shared" si="305"/>
        <v>192</v>
      </c>
      <c r="I1035" s="204">
        <f t="shared" si="305"/>
        <v>192</v>
      </c>
      <c r="J1035" s="204">
        <f t="shared" si="305"/>
        <v>192</v>
      </c>
      <c r="K1035" s="204">
        <f t="shared" si="305"/>
        <v>192</v>
      </c>
      <c r="L1035" s="204">
        <f t="shared" si="305"/>
        <v>192</v>
      </c>
      <c r="M1035" s="204">
        <f t="shared" si="305"/>
        <v>192</v>
      </c>
      <c r="N1035" s="204">
        <f t="shared" si="305"/>
        <v>192</v>
      </c>
      <c r="O1035" s="5"/>
      <c r="P1035" s="5"/>
      <c r="Q1035" s="5"/>
      <c r="R1035" s="5"/>
      <c r="S1035" s="5"/>
      <c r="T1035" s="5"/>
      <c r="U1035" s="5"/>
      <c r="V1035" s="5"/>
      <c r="W1035" s="5"/>
      <c r="X1035" s="5"/>
      <c r="Y1035" s="5"/>
      <c r="Z1035" s="5"/>
    </row>
    <row r="1036" ht="12.0" customHeight="1">
      <c r="A1036" s="92" t="s">
        <v>643</v>
      </c>
      <c r="B1036" s="5"/>
      <c r="C1036" s="206">
        <f t="shared" ref="C1036:N1036" si="306">IF(C1035=0,0,C1032/C1035)</f>
        <v>0.4894895833</v>
      </c>
      <c r="D1036" s="206">
        <f t="shared" si="306"/>
        <v>0.3734041667</v>
      </c>
      <c r="E1036" s="206">
        <f t="shared" si="306"/>
        <v>0.3493786458</v>
      </c>
      <c r="F1036" s="206">
        <f t="shared" si="306"/>
        <v>0.3342223958</v>
      </c>
      <c r="G1036" s="206">
        <f t="shared" si="306"/>
        <v>0.3127791667</v>
      </c>
      <c r="H1036" s="206">
        <f t="shared" si="306"/>
        <v>0.3064921875</v>
      </c>
      <c r="I1036" s="206">
        <f t="shared" si="306"/>
        <v>0.3279354167</v>
      </c>
      <c r="J1036" s="206">
        <f t="shared" si="306"/>
        <v>0.3279354167</v>
      </c>
      <c r="K1036" s="206">
        <f t="shared" si="306"/>
        <v>0.3279354167</v>
      </c>
      <c r="L1036" s="206">
        <f t="shared" si="306"/>
        <v>0.3216484375</v>
      </c>
      <c r="M1036" s="206">
        <f t="shared" si="306"/>
        <v>0.3153614583</v>
      </c>
      <c r="N1036" s="206">
        <f t="shared" si="306"/>
        <v>0.5020635417</v>
      </c>
      <c r="O1036" s="5"/>
      <c r="P1036" s="5"/>
      <c r="Q1036" s="5"/>
      <c r="R1036" s="5"/>
      <c r="S1036" s="5"/>
      <c r="T1036" s="5"/>
      <c r="U1036" s="5"/>
      <c r="V1036" s="5"/>
      <c r="W1036" s="5"/>
      <c r="X1036" s="5"/>
      <c r="Y1036" s="5"/>
      <c r="Z1036" s="5"/>
    </row>
    <row r="1037" ht="12.0" customHeight="1">
      <c r="A1037" s="201" t="s">
        <v>686</v>
      </c>
      <c r="B1037" s="202"/>
      <c r="C1037" s="202"/>
      <c r="D1037" s="202"/>
      <c r="E1037" s="202"/>
      <c r="F1037" s="202"/>
      <c r="G1037" s="202"/>
      <c r="H1037" s="202"/>
      <c r="I1037" s="202"/>
      <c r="J1037" s="202"/>
      <c r="K1037" s="202"/>
      <c r="L1037" s="202"/>
      <c r="M1037" s="202"/>
      <c r="N1037" s="202"/>
      <c r="O1037" s="5"/>
      <c r="P1037" s="5"/>
      <c r="Q1037" s="5"/>
      <c r="R1037" s="5"/>
      <c r="S1037" s="5"/>
      <c r="T1037" s="5"/>
      <c r="U1037" s="5"/>
      <c r="V1037" s="5"/>
      <c r="W1037" s="5"/>
      <c r="X1037" s="5"/>
      <c r="Y1037" s="5"/>
      <c r="Z1037" s="5"/>
    </row>
    <row r="1038" ht="12.0" customHeight="1">
      <c r="A1038" s="201" t="s">
        <v>630</v>
      </c>
      <c r="B1038" s="201" t="s">
        <v>631</v>
      </c>
      <c r="C1038" s="201" t="s">
        <v>3</v>
      </c>
      <c r="D1038" s="201" t="s">
        <v>4</v>
      </c>
      <c r="E1038" s="201" t="s">
        <v>5</v>
      </c>
      <c r="F1038" s="201" t="s">
        <v>6</v>
      </c>
      <c r="G1038" s="201" t="s">
        <v>7</v>
      </c>
      <c r="H1038" s="201" t="s">
        <v>8</v>
      </c>
      <c r="I1038" s="201" t="s">
        <v>9</v>
      </c>
      <c r="J1038" s="201" t="s">
        <v>10</v>
      </c>
      <c r="K1038" s="201" t="s">
        <v>11</v>
      </c>
      <c r="L1038" s="201" t="s">
        <v>12</v>
      </c>
      <c r="M1038" s="201" t="s">
        <v>13</v>
      </c>
      <c r="N1038" s="201" t="s">
        <v>14</v>
      </c>
      <c r="O1038" s="5"/>
      <c r="P1038" s="5"/>
      <c r="Q1038" s="5"/>
      <c r="R1038" s="5"/>
      <c r="S1038" s="5"/>
      <c r="T1038" s="5"/>
      <c r="U1038" s="5"/>
      <c r="V1038" s="5"/>
      <c r="W1038" s="5"/>
      <c r="X1038" s="5"/>
      <c r="Y1038" s="5"/>
      <c r="Z1038" s="5"/>
    </row>
    <row r="1039" ht="12.0" customHeight="1">
      <c r="A1039" s="92" t="s">
        <v>632</v>
      </c>
      <c r="B1039" s="92" t="s">
        <v>633</v>
      </c>
      <c r="C1039" s="203">
        <f>SUM('2031'!B6:B9)+SUM('2031'!B17:B20)</f>
        <v>14097.3</v>
      </c>
      <c r="D1039" s="203">
        <f>SUM('2031'!C6:C9)+SUM('2031'!C17:C20)</f>
        <v>10754.04</v>
      </c>
      <c r="E1039" s="203">
        <f>SUM('2031'!D6:D9)+SUM('2031'!D17:D20)</f>
        <v>10062.105</v>
      </c>
      <c r="F1039" s="203">
        <f>SUM('2031'!E6:E9)+SUM('2031'!E17:E20)</f>
        <v>9625.605</v>
      </c>
      <c r="G1039" s="203">
        <f>SUM('2031'!F6:F9)+SUM('2031'!F17:F20)</f>
        <v>9008.04</v>
      </c>
      <c r="H1039" s="203">
        <f>SUM('2031'!G6:G9)+SUM('2031'!G17:G20)</f>
        <v>8826.975</v>
      </c>
      <c r="I1039" s="203">
        <f>SUM('2031'!H6:H9)+SUM('2031'!H17:H20)</f>
        <v>9444.54</v>
      </c>
      <c r="J1039" s="203">
        <f>SUM('2031'!I6:I9)+SUM('2031'!I17:I20)</f>
        <v>9444.54</v>
      </c>
      <c r="K1039" s="203">
        <f>SUM('2031'!J6:J9)+SUM('2031'!J17:J20)</f>
        <v>9444.54</v>
      </c>
      <c r="L1039" s="203">
        <f>SUM('2031'!K6:K9)+SUM('2031'!K17:K20)</f>
        <v>9263.475</v>
      </c>
      <c r="M1039" s="203">
        <f>SUM('2031'!L6:L9)+SUM('2031'!L17:L20)</f>
        <v>9082.41</v>
      </c>
      <c r="N1039" s="203">
        <f>SUM('2031'!M6:M9)+SUM('2031'!M17:M20)</f>
        <v>14459.43</v>
      </c>
      <c r="O1039" s="5"/>
      <c r="P1039" s="5"/>
      <c r="Q1039" s="5"/>
      <c r="R1039" s="5"/>
      <c r="S1039" s="5"/>
      <c r="T1039" s="5"/>
      <c r="U1039" s="5"/>
      <c r="V1039" s="5"/>
      <c r="W1039" s="5"/>
      <c r="X1039" s="5"/>
      <c r="Y1039" s="5"/>
      <c r="Z1039" s="5"/>
    </row>
    <row r="1040" ht="12.0" customHeight="1">
      <c r="A1040" s="5"/>
      <c r="B1040" s="92" t="s">
        <v>634</v>
      </c>
      <c r="C1040" s="204">
        <f>C1039/Parametros!$B$37</f>
        <v>704.865</v>
      </c>
      <c r="D1040" s="204">
        <f>D1039/Parametros!$B$37</f>
        <v>537.702</v>
      </c>
      <c r="E1040" s="204">
        <f>E1039/Parametros!$B$37</f>
        <v>503.10525</v>
      </c>
      <c r="F1040" s="204">
        <f>F1039/Parametros!$B$37</f>
        <v>481.28025</v>
      </c>
      <c r="G1040" s="204">
        <f>G1039/Parametros!$B$37</f>
        <v>450.402</v>
      </c>
      <c r="H1040" s="204">
        <f>H1039/Parametros!$B$37</f>
        <v>441.34875</v>
      </c>
      <c r="I1040" s="204">
        <f>I1039/Parametros!$B$37</f>
        <v>472.227</v>
      </c>
      <c r="J1040" s="204">
        <f>J1039/Parametros!$B$37</f>
        <v>472.227</v>
      </c>
      <c r="K1040" s="204">
        <f>K1039/Parametros!$B$37</f>
        <v>472.227</v>
      </c>
      <c r="L1040" s="204">
        <f>L1039/Parametros!$B$37</f>
        <v>463.17375</v>
      </c>
      <c r="M1040" s="204">
        <f>M1039/Parametros!$B$37</f>
        <v>454.1205</v>
      </c>
      <c r="N1040" s="204">
        <f>N1039/Parametros!$B$37</f>
        <v>722.9715</v>
      </c>
      <c r="O1040" s="5"/>
      <c r="P1040" s="5"/>
      <c r="Q1040" s="5"/>
      <c r="R1040" s="5"/>
      <c r="S1040" s="5"/>
      <c r="T1040" s="5"/>
      <c r="U1040" s="5"/>
      <c r="V1040" s="5"/>
      <c r="W1040" s="5"/>
      <c r="X1040" s="5"/>
      <c r="Y1040" s="5"/>
      <c r="Z1040" s="5"/>
    </row>
    <row r="1041" ht="12.0" customHeight="1">
      <c r="A1041" s="5"/>
      <c r="B1041" s="92" t="s">
        <v>635</v>
      </c>
      <c r="C1041" s="204">
        <f>C1040/Parametros!$J$37</f>
        <v>93.982</v>
      </c>
      <c r="D1041" s="204">
        <f>D1040/Parametros!$J$37</f>
        <v>71.6936</v>
      </c>
      <c r="E1041" s="204">
        <f>E1040/Parametros!$J$37</f>
        <v>67.0807</v>
      </c>
      <c r="F1041" s="204">
        <f>F1040/Parametros!$J$37</f>
        <v>64.1707</v>
      </c>
      <c r="G1041" s="204">
        <f>G1040/Parametros!$J$37</f>
        <v>60.0536</v>
      </c>
      <c r="H1041" s="204">
        <f>H1040/Parametros!$J$37</f>
        <v>58.8465</v>
      </c>
      <c r="I1041" s="204">
        <f>I1040/Parametros!$J$37</f>
        <v>62.9636</v>
      </c>
      <c r="J1041" s="204">
        <f>J1040/Parametros!$J$37</f>
        <v>62.9636</v>
      </c>
      <c r="K1041" s="204">
        <f>K1040/Parametros!$J$37</f>
        <v>62.9636</v>
      </c>
      <c r="L1041" s="204">
        <f>L1040/Parametros!$J$37</f>
        <v>61.7565</v>
      </c>
      <c r="M1041" s="204">
        <f>M1040/Parametros!$J$37</f>
        <v>60.5494</v>
      </c>
      <c r="N1041" s="204">
        <f>N1040/Parametros!$J$37</f>
        <v>96.3962</v>
      </c>
      <c r="O1041" s="5"/>
      <c r="P1041" s="5"/>
      <c r="Q1041" s="5"/>
      <c r="R1041" s="5"/>
      <c r="S1041" s="5"/>
      <c r="T1041" s="5"/>
      <c r="U1041" s="5"/>
      <c r="V1041" s="5"/>
      <c r="W1041" s="5"/>
      <c r="X1041" s="5"/>
      <c r="Y1041" s="5"/>
      <c r="Z1041" s="5"/>
    </row>
    <row r="1042" ht="12.0" customHeight="1">
      <c r="A1042" s="92" t="s">
        <v>636</v>
      </c>
      <c r="B1042" s="5"/>
      <c r="C1042" s="204">
        <f t="shared" ref="C1042:N1042" si="307">C1041</f>
        <v>93.982</v>
      </c>
      <c r="D1042" s="204">
        <f t="shared" si="307"/>
        <v>71.6936</v>
      </c>
      <c r="E1042" s="204">
        <f t="shared" si="307"/>
        <v>67.0807</v>
      </c>
      <c r="F1042" s="204">
        <f t="shared" si="307"/>
        <v>64.1707</v>
      </c>
      <c r="G1042" s="204">
        <f t="shared" si="307"/>
        <v>60.0536</v>
      </c>
      <c r="H1042" s="204">
        <f t="shared" si="307"/>
        <v>58.8465</v>
      </c>
      <c r="I1042" s="204">
        <f t="shared" si="307"/>
        <v>62.9636</v>
      </c>
      <c r="J1042" s="204">
        <f t="shared" si="307"/>
        <v>62.9636</v>
      </c>
      <c r="K1042" s="204">
        <f t="shared" si="307"/>
        <v>62.9636</v>
      </c>
      <c r="L1042" s="204">
        <f t="shared" si="307"/>
        <v>61.7565</v>
      </c>
      <c r="M1042" s="204">
        <f t="shared" si="307"/>
        <v>60.5494</v>
      </c>
      <c r="N1042" s="204">
        <f t="shared" si="307"/>
        <v>96.3962</v>
      </c>
      <c r="O1042" s="5"/>
      <c r="P1042" s="5"/>
      <c r="Q1042" s="5"/>
      <c r="R1042" s="5"/>
      <c r="S1042" s="5"/>
      <c r="T1042" s="5"/>
      <c r="U1042" s="5"/>
      <c r="V1042" s="5"/>
      <c r="W1042" s="5"/>
      <c r="X1042" s="5"/>
      <c r="Y1042" s="5"/>
      <c r="Z1042" s="5"/>
    </row>
    <row r="1043" ht="12.0" customHeight="1">
      <c r="A1043" s="92" t="s">
        <v>637</v>
      </c>
      <c r="B1043" s="5"/>
      <c r="C1043" s="205">
        <f>'Resumen Capacidad'!$G$124</f>
        <v>136.0227273</v>
      </c>
      <c r="D1043" s="205">
        <f>'Resumen Capacidad'!$G$124</f>
        <v>136.0227273</v>
      </c>
      <c r="E1043" s="205">
        <f>'Resumen Capacidad'!$G$124</f>
        <v>136.0227273</v>
      </c>
      <c r="F1043" s="205">
        <f>'Resumen Capacidad'!$G$124</f>
        <v>136.0227273</v>
      </c>
      <c r="G1043" s="205">
        <f>'Resumen Capacidad'!$G$124</f>
        <v>136.0227273</v>
      </c>
      <c r="H1043" s="205">
        <f>'Resumen Capacidad'!$G$124</f>
        <v>136.0227273</v>
      </c>
      <c r="I1043" s="205">
        <f>'Resumen Capacidad'!$G$124</f>
        <v>136.0227273</v>
      </c>
      <c r="J1043" s="205">
        <f>'Resumen Capacidad'!$G$124</f>
        <v>136.0227273</v>
      </c>
      <c r="K1043" s="205">
        <f>'Resumen Capacidad'!$G$124</f>
        <v>136.0227273</v>
      </c>
      <c r="L1043" s="205">
        <f>'Resumen Capacidad'!$G$124</f>
        <v>136.0227273</v>
      </c>
      <c r="M1043" s="205">
        <f>'Resumen Capacidad'!$G$124</f>
        <v>136.0227273</v>
      </c>
      <c r="N1043" s="205">
        <f>'Resumen Capacidad'!$G$124</f>
        <v>136.0227273</v>
      </c>
      <c r="O1043" s="5"/>
      <c r="P1043" s="5"/>
      <c r="Q1043" s="5"/>
      <c r="R1043" s="5"/>
      <c r="S1043" s="5"/>
      <c r="T1043" s="5"/>
      <c r="U1043" s="5"/>
      <c r="V1043" s="5"/>
      <c r="W1043" s="5"/>
      <c r="X1043" s="5"/>
      <c r="Y1043" s="5"/>
      <c r="Z1043" s="5"/>
    </row>
    <row r="1044" ht="12.0" customHeight="1">
      <c r="A1044" s="92" t="s">
        <v>640</v>
      </c>
      <c r="B1044" s="5"/>
      <c r="C1044" s="204">
        <f>'Resumen Capacidad'!$G$42*'Resumen Capacidad'!$G$78</f>
        <v>1</v>
      </c>
      <c r="D1044" s="204">
        <f>'Resumen Capacidad'!$G$42*'Resumen Capacidad'!$G$78</f>
        <v>1</v>
      </c>
      <c r="E1044" s="204">
        <f>'Resumen Capacidad'!$G$42*'Resumen Capacidad'!$G$78</f>
        <v>1</v>
      </c>
      <c r="F1044" s="204">
        <f>'Resumen Capacidad'!$G$42*'Resumen Capacidad'!$G$78</f>
        <v>1</v>
      </c>
      <c r="G1044" s="204">
        <f>'Resumen Capacidad'!$G$42*'Resumen Capacidad'!$G$78</f>
        <v>1</v>
      </c>
      <c r="H1044" s="204">
        <f>'Resumen Capacidad'!$G$42*'Resumen Capacidad'!$G$78</f>
        <v>1</v>
      </c>
      <c r="I1044" s="204">
        <f>'Resumen Capacidad'!$G$42*'Resumen Capacidad'!$G$78</f>
        <v>1</v>
      </c>
      <c r="J1044" s="204">
        <f>'Resumen Capacidad'!$G$42*'Resumen Capacidad'!$G$78</f>
        <v>1</v>
      </c>
      <c r="K1044" s="204">
        <f>'Resumen Capacidad'!$G$42*'Resumen Capacidad'!$G$78</f>
        <v>1</v>
      </c>
      <c r="L1044" s="204">
        <f>'Resumen Capacidad'!$G$42*'Resumen Capacidad'!$G$78</f>
        <v>1</v>
      </c>
      <c r="M1044" s="204">
        <f>'Resumen Capacidad'!$G$42*'Resumen Capacidad'!$G$78</f>
        <v>1</v>
      </c>
      <c r="N1044" s="204">
        <f>'Resumen Capacidad'!$G$42*'Resumen Capacidad'!$G$78</f>
        <v>1</v>
      </c>
      <c r="O1044" s="5"/>
      <c r="P1044" s="5"/>
      <c r="Q1044" s="5"/>
      <c r="R1044" s="5"/>
      <c r="S1044" s="5"/>
      <c r="T1044" s="5"/>
      <c r="U1044" s="5"/>
      <c r="V1044" s="5"/>
      <c r="W1044" s="5"/>
      <c r="X1044" s="5"/>
      <c r="Y1044" s="5"/>
      <c r="Z1044" s="5"/>
    </row>
    <row r="1045" ht="12.0" customHeight="1">
      <c r="A1045" s="92" t="s">
        <v>642</v>
      </c>
      <c r="B1045" s="5"/>
      <c r="C1045" s="204">
        <f t="shared" ref="C1045:N1045" si="308">C1043*C1044</f>
        <v>136.0227273</v>
      </c>
      <c r="D1045" s="204">
        <f t="shared" si="308"/>
        <v>136.0227273</v>
      </c>
      <c r="E1045" s="204">
        <f t="shared" si="308"/>
        <v>136.0227273</v>
      </c>
      <c r="F1045" s="204">
        <f t="shared" si="308"/>
        <v>136.0227273</v>
      </c>
      <c r="G1045" s="204">
        <f t="shared" si="308"/>
        <v>136.0227273</v>
      </c>
      <c r="H1045" s="204">
        <f t="shared" si="308"/>
        <v>136.0227273</v>
      </c>
      <c r="I1045" s="204">
        <f t="shared" si="308"/>
        <v>136.0227273</v>
      </c>
      <c r="J1045" s="204">
        <f t="shared" si="308"/>
        <v>136.0227273</v>
      </c>
      <c r="K1045" s="204">
        <f t="shared" si="308"/>
        <v>136.0227273</v>
      </c>
      <c r="L1045" s="204">
        <f t="shared" si="308"/>
        <v>136.0227273</v>
      </c>
      <c r="M1045" s="204">
        <f t="shared" si="308"/>
        <v>136.0227273</v>
      </c>
      <c r="N1045" s="204">
        <f t="shared" si="308"/>
        <v>136.0227273</v>
      </c>
      <c r="O1045" s="5"/>
      <c r="P1045" s="5"/>
      <c r="Q1045" s="5"/>
      <c r="R1045" s="5"/>
      <c r="S1045" s="5"/>
      <c r="T1045" s="5"/>
      <c r="U1045" s="5"/>
      <c r="V1045" s="5"/>
      <c r="W1045" s="5"/>
      <c r="X1045" s="5"/>
      <c r="Y1045" s="5"/>
      <c r="Z1045" s="5"/>
    </row>
    <row r="1046" ht="12.0" customHeight="1">
      <c r="A1046" s="92" t="s">
        <v>643</v>
      </c>
      <c r="B1046" s="5"/>
      <c r="C1046" s="206">
        <f t="shared" ref="C1046:N1046" si="309">IF(C1045=0,0,C1042/C1045)</f>
        <v>0.690928655</v>
      </c>
      <c r="D1046" s="206">
        <f t="shared" si="309"/>
        <v>0.5270707435</v>
      </c>
      <c r="E1046" s="206">
        <f t="shared" si="309"/>
        <v>0.4931580284</v>
      </c>
      <c r="F1046" s="206">
        <f t="shared" si="309"/>
        <v>0.4717645447</v>
      </c>
      <c r="G1046" s="206">
        <f t="shared" si="309"/>
        <v>0.4414968087</v>
      </c>
      <c r="H1046" s="206">
        <f t="shared" si="309"/>
        <v>0.4326225564</v>
      </c>
      <c r="I1046" s="206">
        <f t="shared" si="309"/>
        <v>0.4628902924</v>
      </c>
      <c r="J1046" s="206">
        <f t="shared" si="309"/>
        <v>0.4628902924</v>
      </c>
      <c r="K1046" s="206">
        <f t="shared" si="309"/>
        <v>0.4628902924</v>
      </c>
      <c r="L1046" s="206">
        <f t="shared" si="309"/>
        <v>0.4540160401</v>
      </c>
      <c r="M1046" s="206">
        <f t="shared" si="309"/>
        <v>0.4451417878</v>
      </c>
      <c r="N1046" s="206">
        <f t="shared" si="309"/>
        <v>0.7086771596</v>
      </c>
      <c r="O1046" s="5"/>
      <c r="P1046" s="5"/>
      <c r="Q1046" s="5"/>
      <c r="R1046" s="5"/>
      <c r="S1046" s="5"/>
      <c r="T1046" s="5"/>
      <c r="U1046" s="5"/>
      <c r="V1046" s="5"/>
      <c r="W1046" s="5"/>
      <c r="X1046" s="5"/>
      <c r="Y1046" s="5"/>
      <c r="Z1046" s="5"/>
    </row>
    <row r="1047" ht="12.0" customHeight="1">
      <c r="A1047" s="201" t="s">
        <v>693</v>
      </c>
      <c r="B1047" s="202"/>
      <c r="C1047" s="202"/>
      <c r="D1047" s="202"/>
      <c r="E1047" s="202"/>
      <c r="F1047" s="202"/>
      <c r="G1047" s="202"/>
      <c r="H1047" s="202"/>
      <c r="I1047" s="202"/>
      <c r="J1047" s="202"/>
      <c r="K1047" s="202"/>
      <c r="L1047" s="202"/>
      <c r="M1047" s="202"/>
      <c r="N1047" s="202"/>
      <c r="O1047" s="5"/>
      <c r="P1047" s="5"/>
      <c r="Q1047" s="5"/>
      <c r="R1047" s="5"/>
      <c r="S1047" s="5"/>
      <c r="T1047" s="5"/>
      <c r="U1047" s="5"/>
      <c r="V1047" s="5"/>
      <c r="W1047" s="5"/>
      <c r="X1047" s="5"/>
      <c r="Y1047" s="5"/>
      <c r="Z1047" s="5"/>
    </row>
    <row r="1048" ht="12.0" customHeight="1">
      <c r="A1048" s="201" t="s">
        <v>630</v>
      </c>
      <c r="B1048" s="201" t="s">
        <v>631</v>
      </c>
      <c r="C1048" s="201" t="s">
        <v>3</v>
      </c>
      <c r="D1048" s="201" t="s">
        <v>4</v>
      </c>
      <c r="E1048" s="201" t="s">
        <v>5</v>
      </c>
      <c r="F1048" s="201" t="s">
        <v>6</v>
      </c>
      <c r="G1048" s="201" t="s">
        <v>7</v>
      </c>
      <c r="H1048" s="201" t="s">
        <v>8</v>
      </c>
      <c r="I1048" s="201" t="s">
        <v>9</v>
      </c>
      <c r="J1048" s="201" t="s">
        <v>10</v>
      </c>
      <c r="K1048" s="201" t="s">
        <v>11</v>
      </c>
      <c r="L1048" s="201" t="s">
        <v>12</v>
      </c>
      <c r="M1048" s="201" t="s">
        <v>13</v>
      </c>
      <c r="N1048" s="201" t="s">
        <v>14</v>
      </c>
      <c r="O1048" s="5"/>
      <c r="P1048" s="5"/>
      <c r="Q1048" s="5"/>
      <c r="R1048" s="5"/>
      <c r="S1048" s="5"/>
      <c r="T1048" s="5"/>
      <c r="U1048" s="5"/>
      <c r="V1048" s="5"/>
      <c r="W1048" s="5"/>
      <c r="X1048" s="5"/>
      <c r="Y1048" s="5"/>
      <c r="Z1048" s="5"/>
    </row>
    <row r="1049" ht="12.0" customHeight="1">
      <c r="A1049" s="92" t="s">
        <v>694</v>
      </c>
      <c r="B1049" s="92" t="s">
        <v>633</v>
      </c>
      <c r="C1049" s="203">
        <f>SUM('2031'!B6:B9)+Parametros!$B$72*C2512</f>
        <v>3963.13</v>
      </c>
      <c r="D1049" s="203">
        <f>SUM('2031'!C6:C9)+Parametros!$B$72*D2512</f>
        <v>3094.55</v>
      </c>
      <c r="E1049" s="203">
        <f>SUM('2031'!D6:D9)+Parametros!$B$72*E2512</f>
        <v>3070.07</v>
      </c>
      <c r="F1049" s="203">
        <f>SUM('2031'!E6:E9)+Parametros!$B$72*F2512</f>
        <v>2991.97</v>
      </c>
      <c r="G1049" s="203">
        <f>SUM('2031'!F6:F9)+Parametros!$B$72*G2512</f>
        <v>2820.22</v>
      </c>
      <c r="H1049" s="203">
        <f>SUM('2031'!G6:G9)+Parametros!$B$72*H2512</f>
        <v>2701.19</v>
      </c>
      <c r="I1049" s="203">
        <f>SUM('2031'!H6:H9)+Parametros!$B$72*I2512</f>
        <v>2898.32</v>
      </c>
      <c r="J1049" s="203">
        <f>SUM('2031'!I6:I9)+Parametros!$B$72*J2512</f>
        <v>2898.32</v>
      </c>
      <c r="K1049" s="203">
        <f>SUM('2031'!J6:J9)+Parametros!$B$72*K2512</f>
        <v>2885.63</v>
      </c>
      <c r="L1049" s="203">
        <f>SUM('2031'!K6:K9)+Parametros!$B$72*L2512</f>
        <v>2766.6</v>
      </c>
      <c r="M1049" s="203">
        <f>SUM('2031'!L6:L9)+Parametros!$B$72*M2512</f>
        <v>2660.26</v>
      </c>
      <c r="N1049" s="203">
        <f>SUM('2031'!M6:M9)+Parametros!$B$72*N2512</f>
        <v>4137.74</v>
      </c>
      <c r="O1049" s="5"/>
      <c r="P1049" s="5"/>
      <c r="Q1049" s="5"/>
      <c r="R1049" s="5"/>
      <c r="S1049" s="5"/>
      <c r="T1049" s="5"/>
      <c r="U1049" s="5"/>
      <c r="V1049" s="5"/>
      <c r="W1049" s="5"/>
      <c r="X1049" s="5"/>
      <c r="Y1049" s="5"/>
      <c r="Z1049" s="5"/>
    </row>
    <row r="1050" ht="12.0" customHeight="1">
      <c r="A1050" s="5"/>
      <c r="B1050" s="92" t="s">
        <v>634</v>
      </c>
      <c r="C1050" s="204">
        <f>C1049/Parametros!$B$37</f>
        <v>198.1565</v>
      </c>
      <c r="D1050" s="204">
        <f>D1049/Parametros!$B$37</f>
        <v>154.7275</v>
      </c>
      <c r="E1050" s="204">
        <f>E1049/Parametros!$B$37</f>
        <v>153.5035</v>
      </c>
      <c r="F1050" s="204">
        <f>F1049/Parametros!$B$37</f>
        <v>149.5985</v>
      </c>
      <c r="G1050" s="204">
        <f>G1049/Parametros!$B$37</f>
        <v>141.011</v>
      </c>
      <c r="H1050" s="204">
        <f>H1049/Parametros!$B$37</f>
        <v>135.0595</v>
      </c>
      <c r="I1050" s="204">
        <f>I1049/Parametros!$B$37</f>
        <v>144.916</v>
      </c>
      <c r="J1050" s="204">
        <f>J1049/Parametros!$B$37</f>
        <v>144.916</v>
      </c>
      <c r="K1050" s="204">
        <f>K1049/Parametros!$B$37</f>
        <v>144.2815</v>
      </c>
      <c r="L1050" s="204">
        <f>L1049/Parametros!$B$37</f>
        <v>138.33</v>
      </c>
      <c r="M1050" s="204">
        <f>M1049/Parametros!$B$37</f>
        <v>133.013</v>
      </c>
      <c r="N1050" s="204">
        <f>N1049/Parametros!$B$37</f>
        <v>206.887</v>
      </c>
      <c r="O1050" s="5"/>
      <c r="P1050" s="5"/>
      <c r="Q1050" s="5"/>
      <c r="R1050" s="5"/>
      <c r="S1050" s="5"/>
      <c r="T1050" s="5"/>
      <c r="U1050" s="5"/>
      <c r="V1050" s="5"/>
      <c r="W1050" s="5"/>
      <c r="X1050" s="5"/>
      <c r="Y1050" s="5"/>
      <c r="Z1050" s="5"/>
    </row>
    <row r="1051" ht="12.0" customHeight="1">
      <c r="A1051" s="5"/>
      <c r="B1051" s="92" t="s">
        <v>635</v>
      </c>
      <c r="C1051" s="204">
        <f>C1050/Parametros!$J$37</f>
        <v>26.42086667</v>
      </c>
      <c r="D1051" s="204">
        <f>D1050/Parametros!$J$37</f>
        <v>20.63033333</v>
      </c>
      <c r="E1051" s="204">
        <f>E1050/Parametros!$J$37</f>
        <v>20.46713333</v>
      </c>
      <c r="F1051" s="204">
        <f>F1050/Parametros!$J$37</f>
        <v>19.94646667</v>
      </c>
      <c r="G1051" s="204">
        <f>G1050/Parametros!$J$37</f>
        <v>18.80146667</v>
      </c>
      <c r="H1051" s="204">
        <f>H1050/Parametros!$J$37</f>
        <v>18.00793333</v>
      </c>
      <c r="I1051" s="204">
        <f>I1050/Parametros!$J$37</f>
        <v>19.32213333</v>
      </c>
      <c r="J1051" s="204">
        <f>J1050/Parametros!$J$37</f>
        <v>19.32213333</v>
      </c>
      <c r="K1051" s="204">
        <f>K1050/Parametros!$J$37</f>
        <v>19.23753333</v>
      </c>
      <c r="L1051" s="204">
        <f>L1050/Parametros!$J$37</f>
        <v>18.444</v>
      </c>
      <c r="M1051" s="204">
        <f>M1050/Parametros!$J$37</f>
        <v>17.73506667</v>
      </c>
      <c r="N1051" s="204">
        <f>N1050/Parametros!$J$37</f>
        <v>27.58493333</v>
      </c>
      <c r="O1051" s="5"/>
      <c r="P1051" s="5"/>
      <c r="Q1051" s="5"/>
      <c r="R1051" s="5"/>
      <c r="S1051" s="5"/>
      <c r="T1051" s="5"/>
      <c r="U1051" s="5"/>
      <c r="V1051" s="5"/>
      <c r="W1051" s="5"/>
      <c r="X1051" s="5"/>
      <c r="Y1051" s="5"/>
      <c r="Z1051" s="5"/>
    </row>
    <row r="1052" ht="12.0" customHeight="1">
      <c r="A1052" s="92" t="s">
        <v>636</v>
      </c>
      <c r="B1052" s="5"/>
      <c r="C1052" s="204">
        <f t="shared" ref="C1052:N1052" si="310">C1051</f>
        <v>26.42086667</v>
      </c>
      <c r="D1052" s="204">
        <f t="shared" si="310"/>
        <v>20.63033333</v>
      </c>
      <c r="E1052" s="204">
        <f t="shared" si="310"/>
        <v>20.46713333</v>
      </c>
      <c r="F1052" s="204">
        <f t="shared" si="310"/>
        <v>19.94646667</v>
      </c>
      <c r="G1052" s="204">
        <f t="shared" si="310"/>
        <v>18.80146667</v>
      </c>
      <c r="H1052" s="204">
        <f t="shared" si="310"/>
        <v>18.00793333</v>
      </c>
      <c r="I1052" s="204">
        <f t="shared" si="310"/>
        <v>19.32213333</v>
      </c>
      <c r="J1052" s="204">
        <f t="shared" si="310"/>
        <v>19.32213333</v>
      </c>
      <c r="K1052" s="204">
        <f t="shared" si="310"/>
        <v>19.23753333</v>
      </c>
      <c r="L1052" s="204">
        <f t="shared" si="310"/>
        <v>18.444</v>
      </c>
      <c r="M1052" s="204">
        <f t="shared" si="310"/>
        <v>17.73506667</v>
      </c>
      <c r="N1052" s="204">
        <f t="shared" si="310"/>
        <v>27.58493333</v>
      </c>
      <c r="O1052" s="5"/>
      <c r="P1052" s="5"/>
      <c r="Q1052" s="5"/>
      <c r="R1052" s="5"/>
      <c r="S1052" s="5"/>
      <c r="T1052" s="5"/>
      <c r="U1052" s="5"/>
      <c r="V1052" s="5"/>
      <c r="W1052" s="5"/>
      <c r="X1052" s="5"/>
      <c r="Y1052" s="5"/>
      <c r="Z1052" s="5"/>
    </row>
    <row r="1053" ht="12.0" customHeight="1">
      <c r="A1053" s="92" t="s">
        <v>637</v>
      </c>
      <c r="B1053" s="5"/>
      <c r="C1053" s="205">
        <f>'Resumen Capacidad'!$G$125</f>
        <v>60.34285714</v>
      </c>
      <c r="D1053" s="205">
        <f>'Resumen Capacidad'!$G$125</f>
        <v>60.34285714</v>
      </c>
      <c r="E1053" s="205">
        <f>'Resumen Capacidad'!$G$125</f>
        <v>60.34285714</v>
      </c>
      <c r="F1053" s="205">
        <f>'Resumen Capacidad'!$G$125</f>
        <v>60.34285714</v>
      </c>
      <c r="G1053" s="205">
        <f>'Resumen Capacidad'!$G$125</f>
        <v>60.34285714</v>
      </c>
      <c r="H1053" s="205">
        <f>'Resumen Capacidad'!$G$125</f>
        <v>60.34285714</v>
      </c>
      <c r="I1053" s="205">
        <f>'Resumen Capacidad'!$G$125</f>
        <v>60.34285714</v>
      </c>
      <c r="J1053" s="205">
        <f>'Resumen Capacidad'!$G$125</f>
        <v>60.34285714</v>
      </c>
      <c r="K1053" s="205">
        <f>'Resumen Capacidad'!$G$125</f>
        <v>60.34285714</v>
      </c>
      <c r="L1053" s="205">
        <f>'Resumen Capacidad'!$G$125</f>
        <v>60.34285714</v>
      </c>
      <c r="M1053" s="205">
        <f>'Resumen Capacidad'!$G$125</f>
        <v>60.34285714</v>
      </c>
      <c r="N1053" s="205">
        <f>'Resumen Capacidad'!$G$125</f>
        <v>60.34285714</v>
      </c>
      <c r="O1053" s="5"/>
      <c r="P1053" s="5"/>
      <c r="Q1053" s="5"/>
      <c r="R1053" s="5"/>
      <c r="S1053" s="5"/>
      <c r="T1053" s="5"/>
      <c r="U1053" s="5"/>
      <c r="V1053" s="5"/>
      <c r="W1053" s="5"/>
      <c r="X1053" s="5"/>
      <c r="Y1053" s="5"/>
      <c r="Z1053" s="5"/>
    </row>
    <row r="1054" ht="12.0" customHeight="1">
      <c r="A1054" s="92" t="s">
        <v>640</v>
      </c>
      <c r="B1054" s="5"/>
      <c r="C1054" s="204">
        <f>'Resumen Capacidad'!$G$43*'Resumen Capacidad'!$G$79</f>
        <v>1</v>
      </c>
      <c r="D1054" s="204">
        <f>'Resumen Capacidad'!$G$43*'Resumen Capacidad'!$G$79</f>
        <v>1</v>
      </c>
      <c r="E1054" s="204">
        <f>'Resumen Capacidad'!$G$43*'Resumen Capacidad'!$G$79</f>
        <v>1</v>
      </c>
      <c r="F1054" s="204">
        <f>'Resumen Capacidad'!$G$43*'Resumen Capacidad'!$G$79</f>
        <v>1</v>
      </c>
      <c r="G1054" s="204">
        <f>'Resumen Capacidad'!$G$43*'Resumen Capacidad'!$G$79</f>
        <v>1</v>
      </c>
      <c r="H1054" s="204">
        <f>'Resumen Capacidad'!$G$43*'Resumen Capacidad'!$G$79</f>
        <v>1</v>
      </c>
      <c r="I1054" s="204">
        <f>'Resumen Capacidad'!$G$43*'Resumen Capacidad'!$G$79</f>
        <v>1</v>
      </c>
      <c r="J1054" s="204">
        <f>'Resumen Capacidad'!$G$43*'Resumen Capacidad'!$G$79</f>
        <v>1</v>
      </c>
      <c r="K1054" s="204">
        <f>'Resumen Capacidad'!$G$43*'Resumen Capacidad'!$G$79</f>
        <v>1</v>
      </c>
      <c r="L1054" s="204">
        <f>'Resumen Capacidad'!$G$43*'Resumen Capacidad'!$G$79</f>
        <v>1</v>
      </c>
      <c r="M1054" s="204">
        <f>'Resumen Capacidad'!$G$43*'Resumen Capacidad'!$G$79</f>
        <v>1</v>
      </c>
      <c r="N1054" s="204">
        <f>'Resumen Capacidad'!$G$43*'Resumen Capacidad'!$G$79</f>
        <v>1</v>
      </c>
      <c r="O1054" s="5"/>
      <c r="P1054" s="5"/>
      <c r="Q1054" s="5"/>
      <c r="R1054" s="5"/>
      <c r="S1054" s="5"/>
      <c r="T1054" s="5"/>
      <c r="U1054" s="5"/>
      <c r="V1054" s="5"/>
      <c r="W1054" s="5"/>
      <c r="X1054" s="5"/>
      <c r="Y1054" s="5"/>
      <c r="Z1054" s="5"/>
    </row>
    <row r="1055" ht="12.0" customHeight="1">
      <c r="A1055" s="92" t="s">
        <v>642</v>
      </c>
      <c r="B1055" s="5"/>
      <c r="C1055" s="204">
        <f t="shared" ref="C1055:N1055" si="311">C1053*C1054</f>
        <v>60.34285714</v>
      </c>
      <c r="D1055" s="204">
        <f t="shared" si="311"/>
        <v>60.34285714</v>
      </c>
      <c r="E1055" s="204">
        <f t="shared" si="311"/>
        <v>60.34285714</v>
      </c>
      <c r="F1055" s="204">
        <f t="shared" si="311"/>
        <v>60.34285714</v>
      </c>
      <c r="G1055" s="204">
        <f t="shared" si="311"/>
        <v>60.34285714</v>
      </c>
      <c r="H1055" s="204">
        <f t="shared" si="311"/>
        <v>60.34285714</v>
      </c>
      <c r="I1055" s="204">
        <f t="shared" si="311"/>
        <v>60.34285714</v>
      </c>
      <c r="J1055" s="204">
        <f t="shared" si="311"/>
        <v>60.34285714</v>
      </c>
      <c r="K1055" s="204">
        <f t="shared" si="311"/>
        <v>60.34285714</v>
      </c>
      <c r="L1055" s="204">
        <f t="shared" si="311"/>
        <v>60.34285714</v>
      </c>
      <c r="M1055" s="204">
        <f t="shared" si="311"/>
        <v>60.34285714</v>
      </c>
      <c r="N1055" s="204">
        <f t="shared" si="311"/>
        <v>60.34285714</v>
      </c>
      <c r="O1055" s="5"/>
      <c r="P1055" s="5"/>
      <c r="Q1055" s="5"/>
      <c r="R1055" s="5"/>
      <c r="S1055" s="5"/>
      <c r="T1055" s="5"/>
      <c r="U1055" s="5"/>
      <c r="V1055" s="5"/>
      <c r="W1055" s="5"/>
      <c r="X1055" s="5"/>
      <c r="Y1055" s="5"/>
      <c r="Z1055" s="5"/>
    </row>
    <row r="1056" ht="12.0" customHeight="1">
      <c r="A1056" s="92" t="s">
        <v>643</v>
      </c>
      <c r="B1056" s="5"/>
      <c r="C1056" s="206">
        <f t="shared" ref="C1056:N1056" si="312">IF(C1055=0,0,C1052/C1055)</f>
        <v>0.4378458018</v>
      </c>
      <c r="D1056" s="206">
        <f t="shared" si="312"/>
        <v>0.3418852588</v>
      </c>
      <c r="E1056" s="206">
        <f t="shared" si="312"/>
        <v>0.3391807134</v>
      </c>
      <c r="F1056" s="206">
        <f t="shared" si="312"/>
        <v>0.3305522412</v>
      </c>
      <c r="G1056" s="206">
        <f t="shared" si="312"/>
        <v>0.3115773359</v>
      </c>
      <c r="H1056" s="206">
        <f t="shared" si="312"/>
        <v>0.2984269255</v>
      </c>
      <c r="I1056" s="206">
        <f t="shared" si="312"/>
        <v>0.3202058081</v>
      </c>
      <c r="J1056" s="206">
        <f t="shared" si="312"/>
        <v>0.3202058081</v>
      </c>
      <c r="K1056" s="206">
        <f t="shared" si="312"/>
        <v>0.3188038194</v>
      </c>
      <c r="L1056" s="206">
        <f t="shared" si="312"/>
        <v>0.3056534091</v>
      </c>
      <c r="M1056" s="206">
        <f t="shared" si="312"/>
        <v>0.2939049874</v>
      </c>
      <c r="N1056" s="206">
        <f t="shared" si="312"/>
        <v>0.4571366793</v>
      </c>
      <c r="O1056" s="5"/>
      <c r="P1056" s="5"/>
      <c r="Q1056" s="5"/>
      <c r="R1056" s="5"/>
      <c r="S1056" s="5"/>
      <c r="T1056" s="5"/>
      <c r="U1056" s="5"/>
      <c r="V1056" s="5"/>
      <c r="W1056" s="5"/>
      <c r="X1056" s="5"/>
      <c r="Y1056" s="5"/>
      <c r="Z1056" s="5"/>
    </row>
    <row r="1057" ht="12.0" customHeight="1">
      <c r="A1057" s="201" t="s">
        <v>695</v>
      </c>
      <c r="B1057" s="202"/>
      <c r="C1057" s="202"/>
      <c r="D1057" s="202"/>
      <c r="E1057" s="202"/>
      <c r="F1057" s="202"/>
      <c r="G1057" s="202"/>
      <c r="H1057" s="202"/>
      <c r="I1057" s="202"/>
      <c r="J1057" s="202"/>
      <c r="K1057" s="202"/>
      <c r="L1057" s="202"/>
      <c r="M1057" s="202"/>
      <c r="N1057" s="202"/>
      <c r="O1057" s="5"/>
      <c r="P1057" s="5"/>
      <c r="Q1057" s="5"/>
      <c r="R1057" s="5"/>
      <c r="S1057" s="5"/>
      <c r="T1057" s="5"/>
      <c r="U1057" s="5"/>
      <c r="V1057" s="5"/>
      <c r="W1057" s="5"/>
      <c r="X1057" s="5"/>
      <c r="Y1057" s="5"/>
      <c r="Z1057" s="5"/>
    </row>
    <row r="1058" ht="12.0" customHeight="1">
      <c r="A1058" s="201" t="s">
        <v>630</v>
      </c>
      <c r="B1058" s="201" t="s">
        <v>631</v>
      </c>
      <c r="C1058" s="201" t="s">
        <v>3</v>
      </c>
      <c r="D1058" s="201" t="s">
        <v>4</v>
      </c>
      <c r="E1058" s="201" t="s">
        <v>5</v>
      </c>
      <c r="F1058" s="201" t="s">
        <v>6</v>
      </c>
      <c r="G1058" s="201" t="s">
        <v>7</v>
      </c>
      <c r="H1058" s="201" t="s">
        <v>8</v>
      </c>
      <c r="I1058" s="201" t="s">
        <v>9</v>
      </c>
      <c r="J1058" s="201" t="s">
        <v>10</v>
      </c>
      <c r="K1058" s="201" t="s">
        <v>11</v>
      </c>
      <c r="L1058" s="201" t="s">
        <v>12</v>
      </c>
      <c r="M1058" s="201" t="s">
        <v>13</v>
      </c>
      <c r="N1058" s="201" t="s">
        <v>14</v>
      </c>
      <c r="O1058" s="5"/>
      <c r="P1058" s="5"/>
      <c r="Q1058" s="5"/>
      <c r="R1058" s="5"/>
      <c r="S1058" s="5"/>
      <c r="T1058" s="5"/>
      <c r="U1058" s="5"/>
      <c r="V1058" s="5"/>
      <c r="W1058" s="5"/>
      <c r="X1058" s="5"/>
      <c r="Y1058" s="5"/>
      <c r="Z1058" s="5"/>
    </row>
    <row r="1059" ht="12.0" customHeight="1">
      <c r="A1059" s="92" t="s">
        <v>694</v>
      </c>
      <c r="B1059" s="92" t="s">
        <v>633</v>
      </c>
      <c r="C1059" s="203">
        <f>SUM('2031'!B6:B9)+Parametros!$B$72*C2512</f>
        <v>3963.13</v>
      </c>
      <c r="D1059" s="203">
        <f>SUM('2031'!C6:C9)+Parametros!$B$72*D2512</f>
        <v>3094.55</v>
      </c>
      <c r="E1059" s="203">
        <f>SUM('2031'!D6:D9)+Parametros!$B$72*E2512</f>
        <v>3070.07</v>
      </c>
      <c r="F1059" s="203">
        <f>SUM('2031'!E6:E9)+Parametros!$B$72*F2512</f>
        <v>2991.97</v>
      </c>
      <c r="G1059" s="203">
        <f>SUM('2031'!F6:F9)+Parametros!$B$72*G2512</f>
        <v>2820.22</v>
      </c>
      <c r="H1059" s="203">
        <f>SUM('2031'!G6:G9)+Parametros!$B$72*H2512</f>
        <v>2701.19</v>
      </c>
      <c r="I1059" s="203">
        <f>SUM('2031'!H6:H9)+Parametros!$B$72*I2512</f>
        <v>2898.32</v>
      </c>
      <c r="J1059" s="203">
        <f>SUM('2031'!I6:I9)+Parametros!$B$72*J2512</f>
        <v>2898.32</v>
      </c>
      <c r="K1059" s="203">
        <f>SUM('2031'!J6:J9)+Parametros!$B$72*K2512</f>
        <v>2885.63</v>
      </c>
      <c r="L1059" s="203">
        <f>SUM('2031'!K6:K9)+Parametros!$B$72*L2512</f>
        <v>2766.6</v>
      </c>
      <c r="M1059" s="203">
        <f>SUM('2031'!L6:L9)+Parametros!$B$72*M2512</f>
        <v>2660.26</v>
      </c>
      <c r="N1059" s="203">
        <f>SUM('2031'!M6:M9)+Parametros!$B$72*N2512</f>
        <v>4137.74</v>
      </c>
      <c r="O1059" s="5"/>
      <c r="P1059" s="5"/>
      <c r="Q1059" s="5"/>
      <c r="R1059" s="5"/>
      <c r="S1059" s="5"/>
      <c r="T1059" s="5"/>
      <c r="U1059" s="5"/>
      <c r="V1059" s="5"/>
      <c r="W1059" s="5"/>
      <c r="X1059" s="5"/>
      <c r="Y1059" s="5"/>
      <c r="Z1059" s="5"/>
    </row>
    <row r="1060" ht="12.0" customHeight="1">
      <c r="A1060" s="5"/>
      <c r="B1060" s="92" t="s">
        <v>634</v>
      </c>
      <c r="C1060" s="204">
        <f>C1059/Parametros!$B$37</f>
        <v>198.1565</v>
      </c>
      <c r="D1060" s="204">
        <f>D1059/Parametros!$B$37</f>
        <v>154.7275</v>
      </c>
      <c r="E1060" s="204">
        <f>E1059/Parametros!$B$37</f>
        <v>153.5035</v>
      </c>
      <c r="F1060" s="204">
        <f>F1059/Parametros!$B$37</f>
        <v>149.5985</v>
      </c>
      <c r="G1060" s="204">
        <f>G1059/Parametros!$B$37</f>
        <v>141.011</v>
      </c>
      <c r="H1060" s="204">
        <f>H1059/Parametros!$B$37</f>
        <v>135.0595</v>
      </c>
      <c r="I1060" s="204">
        <f>I1059/Parametros!$B$37</f>
        <v>144.916</v>
      </c>
      <c r="J1060" s="204">
        <f>J1059/Parametros!$B$37</f>
        <v>144.916</v>
      </c>
      <c r="K1060" s="204">
        <f>K1059/Parametros!$B$37</f>
        <v>144.2815</v>
      </c>
      <c r="L1060" s="204">
        <f>L1059/Parametros!$B$37</f>
        <v>138.33</v>
      </c>
      <c r="M1060" s="204">
        <f>M1059/Parametros!$B$37</f>
        <v>133.013</v>
      </c>
      <c r="N1060" s="204">
        <f>N1059/Parametros!$B$37</f>
        <v>206.887</v>
      </c>
      <c r="O1060" s="5"/>
      <c r="P1060" s="5"/>
      <c r="Q1060" s="5"/>
      <c r="R1060" s="5"/>
      <c r="S1060" s="5"/>
      <c r="T1060" s="5"/>
      <c r="U1060" s="5"/>
      <c r="V1060" s="5"/>
      <c r="W1060" s="5"/>
      <c r="X1060" s="5"/>
      <c r="Y1060" s="5"/>
      <c r="Z1060" s="5"/>
    </row>
    <row r="1061" ht="12.0" customHeight="1">
      <c r="A1061" s="5"/>
      <c r="B1061" s="92" t="s">
        <v>635</v>
      </c>
      <c r="C1061" s="204">
        <f>C1060/Parametros!$J$37</f>
        <v>26.42086667</v>
      </c>
      <c r="D1061" s="204">
        <f>D1060/Parametros!$J$37</f>
        <v>20.63033333</v>
      </c>
      <c r="E1061" s="204">
        <f>E1060/Parametros!$J$37</f>
        <v>20.46713333</v>
      </c>
      <c r="F1061" s="204">
        <f>F1060/Parametros!$J$37</f>
        <v>19.94646667</v>
      </c>
      <c r="G1061" s="204">
        <f>G1060/Parametros!$J$37</f>
        <v>18.80146667</v>
      </c>
      <c r="H1061" s="204">
        <f>H1060/Parametros!$J$37</f>
        <v>18.00793333</v>
      </c>
      <c r="I1061" s="204">
        <f>I1060/Parametros!$J$37</f>
        <v>19.32213333</v>
      </c>
      <c r="J1061" s="204">
        <f>J1060/Parametros!$J$37</f>
        <v>19.32213333</v>
      </c>
      <c r="K1061" s="204">
        <f>K1060/Parametros!$J$37</f>
        <v>19.23753333</v>
      </c>
      <c r="L1061" s="204">
        <f>L1060/Parametros!$J$37</f>
        <v>18.444</v>
      </c>
      <c r="M1061" s="204">
        <f>M1060/Parametros!$J$37</f>
        <v>17.73506667</v>
      </c>
      <c r="N1061" s="204">
        <f>N1060/Parametros!$J$37</f>
        <v>27.58493333</v>
      </c>
      <c r="O1061" s="5"/>
      <c r="P1061" s="5"/>
      <c r="Q1061" s="5"/>
      <c r="R1061" s="5"/>
      <c r="S1061" s="5"/>
      <c r="T1061" s="5"/>
      <c r="U1061" s="5"/>
      <c r="V1061" s="5"/>
      <c r="W1061" s="5"/>
      <c r="X1061" s="5"/>
      <c r="Y1061" s="5"/>
      <c r="Z1061" s="5"/>
    </row>
    <row r="1062" ht="12.0" customHeight="1">
      <c r="A1062" s="92" t="s">
        <v>636</v>
      </c>
      <c r="B1062" s="5"/>
      <c r="C1062" s="204">
        <f t="shared" ref="C1062:N1062" si="313">C1061</f>
        <v>26.42086667</v>
      </c>
      <c r="D1062" s="204">
        <f t="shared" si="313"/>
        <v>20.63033333</v>
      </c>
      <c r="E1062" s="204">
        <f t="shared" si="313"/>
        <v>20.46713333</v>
      </c>
      <c r="F1062" s="204">
        <f t="shared" si="313"/>
        <v>19.94646667</v>
      </c>
      <c r="G1062" s="204">
        <f t="shared" si="313"/>
        <v>18.80146667</v>
      </c>
      <c r="H1062" s="204">
        <f t="shared" si="313"/>
        <v>18.00793333</v>
      </c>
      <c r="I1062" s="204">
        <f t="shared" si="313"/>
        <v>19.32213333</v>
      </c>
      <c r="J1062" s="204">
        <f t="shared" si="313"/>
        <v>19.32213333</v>
      </c>
      <c r="K1062" s="204">
        <f t="shared" si="313"/>
        <v>19.23753333</v>
      </c>
      <c r="L1062" s="204">
        <f t="shared" si="313"/>
        <v>18.444</v>
      </c>
      <c r="M1062" s="204">
        <f t="shared" si="313"/>
        <v>17.73506667</v>
      </c>
      <c r="N1062" s="204">
        <f t="shared" si="313"/>
        <v>27.58493333</v>
      </c>
      <c r="O1062" s="5"/>
      <c r="P1062" s="5"/>
      <c r="Q1062" s="5"/>
      <c r="R1062" s="5"/>
      <c r="S1062" s="5"/>
      <c r="T1062" s="5"/>
      <c r="U1062" s="5"/>
      <c r="V1062" s="5"/>
      <c r="W1062" s="5"/>
      <c r="X1062" s="5"/>
      <c r="Y1062" s="5"/>
      <c r="Z1062" s="5"/>
    </row>
    <row r="1063" ht="12.0" customHeight="1">
      <c r="A1063" s="92" t="s">
        <v>637</v>
      </c>
      <c r="B1063" s="5"/>
      <c r="C1063" s="205">
        <f>'Resumen Capacidad'!$G$126</f>
        <v>25.2</v>
      </c>
      <c r="D1063" s="205">
        <f>'Resumen Capacidad'!$G$126</f>
        <v>25.2</v>
      </c>
      <c r="E1063" s="205">
        <f>'Resumen Capacidad'!$G$126</f>
        <v>25.2</v>
      </c>
      <c r="F1063" s="205">
        <f>'Resumen Capacidad'!$G$126</f>
        <v>25.2</v>
      </c>
      <c r="G1063" s="205">
        <f>'Resumen Capacidad'!$G$126</f>
        <v>25.2</v>
      </c>
      <c r="H1063" s="205">
        <f>'Resumen Capacidad'!$G$126</f>
        <v>25.2</v>
      </c>
      <c r="I1063" s="205">
        <f>'Resumen Capacidad'!$G$126</f>
        <v>25.2</v>
      </c>
      <c r="J1063" s="205">
        <f>'Resumen Capacidad'!$G$126</f>
        <v>25.2</v>
      </c>
      <c r="K1063" s="205">
        <f>'Resumen Capacidad'!$G$126</f>
        <v>25.2</v>
      </c>
      <c r="L1063" s="205">
        <f>'Resumen Capacidad'!$G$126</f>
        <v>25.2</v>
      </c>
      <c r="M1063" s="205">
        <f>'Resumen Capacidad'!$G$126</f>
        <v>25.2</v>
      </c>
      <c r="N1063" s="205">
        <f>'Resumen Capacidad'!$G$126</f>
        <v>25.2</v>
      </c>
      <c r="O1063" s="5"/>
      <c r="P1063" s="5"/>
      <c r="Q1063" s="5"/>
      <c r="R1063" s="5"/>
      <c r="S1063" s="5"/>
      <c r="T1063" s="5"/>
      <c r="U1063" s="5"/>
      <c r="V1063" s="5"/>
      <c r="W1063" s="5"/>
      <c r="X1063" s="5"/>
      <c r="Y1063" s="5"/>
      <c r="Z1063" s="5"/>
    </row>
    <row r="1064" ht="12.0" customHeight="1">
      <c r="A1064" s="92" t="s">
        <v>640</v>
      </c>
      <c r="B1064" s="5"/>
      <c r="C1064" s="204">
        <f>'Resumen Capacidad'!$G$44*'Resumen Capacidad'!$G$80</f>
        <v>2</v>
      </c>
      <c r="D1064" s="204">
        <f>'Resumen Capacidad'!$G$44*'Resumen Capacidad'!$G$80</f>
        <v>2</v>
      </c>
      <c r="E1064" s="204">
        <f>'Resumen Capacidad'!$G$44*'Resumen Capacidad'!$G$80</f>
        <v>2</v>
      </c>
      <c r="F1064" s="204">
        <f>'Resumen Capacidad'!$G$44*'Resumen Capacidad'!$G$80</f>
        <v>2</v>
      </c>
      <c r="G1064" s="204">
        <f>'Resumen Capacidad'!$G$44*'Resumen Capacidad'!$G$80</f>
        <v>2</v>
      </c>
      <c r="H1064" s="204">
        <f>'Resumen Capacidad'!$G$44*'Resumen Capacidad'!$G$80</f>
        <v>2</v>
      </c>
      <c r="I1064" s="204">
        <f>'Resumen Capacidad'!$G$44*'Resumen Capacidad'!$G$80</f>
        <v>2</v>
      </c>
      <c r="J1064" s="204">
        <f>'Resumen Capacidad'!$G$44*'Resumen Capacidad'!$G$80</f>
        <v>2</v>
      </c>
      <c r="K1064" s="204">
        <f>'Resumen Capacidad'!$G$44*'Resumen Capacidad'!$G$80</f>
        <v>2</v>
      </c>
      <c r="L1064" s="204">
        <f>'Resumen Capacidad'!$G$44*'Resumen Capacidad'!$G$80</f>
        <v>2</v>
      </c>
      <c r="M1064" s="204">
        <f>'Resumen Capacidad'!$G$44*'Resumen Capacidad'!$G$80</f>
        <v>2</v>
      </c>
      <c r="N1064" s="204">
        <f>'Resumen Capacidad'!$G$44*'Resumen Capacidad'!$G$80</f>
        <v>2</v>
      </c>
      <c r="O1064" s="5"/>
      <c r="P1064" s="5"/>
      <c r="Q1064" s="5"/>
      <c r="R1064" s="5"/>
      <c r="S1064" s="5"/>
      <c r="T1064" s="5"/>
      <c r="U1064" s="5"/>
      <c r="V1064" s="5"/>
      <c r="W1064" s="5"/>
      <c r="X1064" s="5"/>
      <c r="Y1064" s="5"/>
      <c r="Z1064" s="5"/>
    </row>
    <row r="1065" ht="12.0" customHeight="1">
      <c r="A1065" s="92" t="s">
        <v>642</v>
      </c>
      <c r="B1065" s="5"/>
      <c r="C1065" s="204">
        <f t="shared" ref="C1065:N1065" si="314">C1063*C1064</f>
        <v>50.4</v>
      </c>
      <c r="D1065" s="204">
        <f t="shared" si="314"/>
        <v>50.4</v>
      </c>
      <c r="E1065" s="204">
        <f t="shared" si="314"/>
        <v>50.4</v>
      </c>
      <c r="F1065" s="204">
        <f t="shared" si="314"/>
        <v>50.4</v>
      </c>
      <c r="G1065" s="204">
        <f t="shared" si="314"/>
        <v>50.4</v>
      </c>
      <c r="H1065" s="204">
        <f t="shared" si="314"/>
        <v>50.4</v>
      </c>
      <c r="I1065" s="204">
        <f t="shared" si="314"/>
        <v>50.4</v>
      </c>
      <c r="J1065" s="204">
        <f t="shared" si="314"/>
        <v>50.4</v>
      </c>
      <c r="K1065" s="204">
        <f t="shared" si="314"/>
        <v>50.4</v>
      </c>
      <c r="L1065" s="204">
        <f t="shared" si="314"/>
        <v>50.4</v>
      </c>
      <c r="M1065" s="204">
        <f t="shared" si="314"/>
        <v>50.4</v>
      </c>
      <c r="N1065" s="204">
        <f t="shared" si="314"/>
        <v>50.4</v>
      </c>
      <c r="O1065" s="5"/>
      <c r="P1065" s="5"/>
      <c r="Q1065" s="5"/>
      <c r="R1065" s="5"/>
      <c r="S1065" s="5"/>
      <c r="T1065" s="5"/>
      <c r="U1065" s="5"/>
      <c r="V1065" s="5"/>
      <c r="W1065" s="5"/>
      <c r="X1065" s="5"/>
      <c r="Y1065" s="5"/>
      <c r="Z1065" s="5"/>
    </row>
    <row r="1066" ht="12.0" customHeight="1">
      <c r="A1066" s="92" t="s">
        <v>643</v>
      </c>
      <c r="B1066" s="5"/>
      <c r="C1066" s="206">
        <f t="shared" ref="C1066:N1066" si="315">IF(C1065=0,0,C1062/C1065)</f>
        <v>0.524223545</v>
      </c>
      <c r="D1066" s="206">
        <f t="shared" si="315"/>
        <v>0.4093320106</v>
      </c>
      <c r="E1066" s="206">
        <f t="shared" si="315"/>
        <v>0.4060939153</v>
      </c>
      <c r="F1066" s="206">
        <f t="shared" si="315"/>
        <v>0.3957632275</v>
      </c>
      <c r="G1066" s="206">
        <f t="shared" si="315"/>
        <v>0.3730449735</v>
      </c>
      <c r="H1066" s="206">
        <f t="shared" si="315"/>
        <v>0.3573002646</v>
      </c>
      <c r="I1066" s="206">
        <f t="shared" si="315"/>
        <v>0.3833756614</v>
      </c>
      <c r="J1066" s="206">
        <f t="shared" si="315"/>
        <v>0.3833756614</v>
      </c>
      <c r="K1066" s="206">
        <f t="shared" si="315"/>
        <v>0.3816970899</v>
      </c>
      <c r="L1066" s="206">
        <f t="shared" si="315"/>
        <v>0.365952381</v>
      </c>
      <c r="M1066" s="206">
        <f t="shared" si="315"/>
        <v>0.3518862434</v>
      </c>
      <c r="N1066" s="206">
        <f t="shared" si="315"/>
        <v>0.5473201058</v>
      </c>
      <c r="O1066" s="5"/>
      <c r="P1066" s="5"/>
      <c r="Q1066" s="5"/>
      <c r="R1066" s="5"/>
      <c r="S1066" s="5"/>
      <c r="T1066" s="5"/>
      <c r="U1066" s="5"/>
      <c r="V1066" s="5"/>
      <c r="W1066" s="5"/>
      <c r="X1066" s="5"/>
      <c r="Y1066" s="5"/>
      <c r="Z1066" s="5"/>
    </row>
    <row r="1067" ht="12.0" customHeight="1">
      <c r="A1067" s="201" t="s">
        <v>696</v>
      </c>
      <c r="B1067" s="202"/>
      <c r="C1067" s="202"/>
      <c r="D1067" s="202"/>
      <c r="E1067" s="202"/>
      <c r="F1067" s="202"/>
      <c r="G1067" s="202"/>
      <c r="H1067" s="202"/>
      <c r="I1067" s="202"/>
      <c r="J1067" s="202"/>
      <c r="K1067" s="202"/>
      <c r="L1067" s="202"/>
      <c r="M1067" s="202"/>
      <c r="N1067" s="202"/>
      <c r="O1067" s="5"/>
      <c r="P1067" s="5"/>
      <c r="Q1067" s="5"/>
      <c r="R1067" s="5"/>
      <c r="S1067" s="5"/>
      <c r="T1067" s="5"/>
      <c r="U1067" s="5"/>
      <c r="V1067" s="5"/>
      <c r="W1067" s="5"/>
      <c r="X1067" s="5"/>
      <c r="Y1067" s="5"/>
      <c r="Z1067" s="5"/>
    </row>
    <row r="1068" ht="12.0" customHeight="1">
      <c r="A1068" s="201" t="s">
        <v>630</v>
      </c>
      <c r="B1068" s="201" t="s">
        <v>631</v>
      </c>
      <c r="C1068" s="201" t="s">
        <v>3</v>
      </c>
      <c r="D1068" s="201" t="s">
        <v>4</v>
      </c>
      <c r="E1068" s="201" t="s">
        <v>5</v>
      </c>
      <c r="F1068" s="201" t="s">
        <v>6</v>
      </c>
      <c r="G1068" s="201" t="s">
        <v>7</v>
      </c>
      <c r="H1068" s="201" t="s">
        <v>8</v>
      </c>
      <c r="I1068" s="201" t="s">
        <v>9</v>
      </c>
      <c r="J1068" s="201" t="s">
        <v>10</v>
      </c>
      <c r="K1068" s="201" t="s">
        <v>11</v>
      </c>
      <c r="L1068" s="201" t="s">
        <v>12</v>
      </c>
      <c r="M1068" s="201" t="s">
        <v>13</v>
      </c>
      <c r="N1068" s="201" t="s">
        <v>14</v>
      </c>
      <c r="O1068" s="5"/>
      <c r="P1068" s="5"/>
      <c r="Q1068" s="5"/>
      <c r="R1068" s="5"/>
      <c r="S1068" s="5"/>
      <c r="T1068" s="5"/>
      <c r="U1068" s="5"/>
      <c r="V1068" s="5"/>
      <c r="W1068" s="5"/>
      <c r="X1068" s="5"/>
      <c r="Y1068" s="5"/>
      <c r="Z1068" s="5"/>
    </row>
    <row r="1069" ht="12.0" customHeight="1">
      <c r="A1069" s="92" t="s">
        <v>694</v>
      </c>
      <c r="B1069" s="92" t="s">
        <v>633</v>
      </c>
      <c r="C1069" s="203">
        <f>SUM('2031'!B6:B9)+Parametros!$B$72*C2512</f>
        <v>3963.13</v>
      </c>
      <c r="D1069" s="203">
        <f>SUM('2031'!C6:C9)+Parametros!$B$72*D2512</f>
        <v>3094.55</v>
      </c>
      <c r="E1069" s="203">
        <f>SUM('2031'!D6:D9)+Parametros!$B$72*E2512</f>
        <v>3070.07</v>
      </c>
      <c r="F1069" s="203">
        <f>SUM('2031'!E6:E9)+Parametros!$B$72*F2512</f>
        <v>2991.97</v>
      </c>
      <c r="G1069" s="203">
        <f>SUM('2031'!F6:F9)+Parametros!$B$72*G2512</f>
        <v>2820.22</v>
      </c>
      <c r="H1069" s="203">
        <f>SUM('2031'!G6:G9)+Parametros!$B$72*H2512</f>
        <v>2701.19</v>
      </c>
      <c r="I1069" s="203">
        <f>SUM('2031'!H6:H9)+Parametros!$B$72*I2512</f>
        <v>2898.32</v>
      </c>
      <c r="J1069" s="203">
        <f>SUM('2031'!I6:I9)+Parametros!$B$72*J2512</f>
        <v>2898.32</v>
      </c>
      <c r="K1069" s="203">
        <f>SUM('2031'!J6:J9)+Parametros!$B$72*K2512</f>
        <v>2885.63</v>
      </c>
      <c r="L1069" s="203">
        <f>SUM('2031'!K6:K9)+Parametros!$B$72*L2512</f>
        <v>2766.6</v>
      </c>
      <c r="M1069" s="203">
        <f>SUM('2031'!L6:L9)+Parametros!$B$72*M2512</f>
        <v>2660.26</v>
      </c>
      <c r="N1069" s="203">
        <f>SUM('2031'!M6:M9)+Parametros!$B$72*N2512</f>
        <v>4137.74</v>
      </c>
      <c r="O1069" s="5"/>
      <c r="P1069" s="5"/>
      <c r="Q1069" s="5"/>
      <c r="R1069" s="5"/>
      <c r="S1069" s="5"/>
      <c r="T1069" s="5"/>
      <c r="U1069" s="5"/>
      <c r="V1069" s="5"/>
      <c r="W1069" s="5"/>
      <c r="X1069" s="5"/>
      <c r="Y1069" s="5"/>
      <c r="Z1069" s="5"/>
    </row>
    <row r="1070" ht="12.0" customHeight="1">
      <c r="A1070" s="5"/>
      <c r="B1070" s="92" t="s">
        <v>634</v>
      </c>
      <c r="C1070" s="204">
        <f>C1069/Parametros!$B$37</f>
        <v>198.1565</v>
      </c>
      <c r="D1070" s="204">
        <f>D1069/Parametros!$B$37</f>
        <v>154.7275</v>
      </c>
      <c r="E1070" s="204">
        <f>E1069/Parametros!$B$37</f>
        <v>153.5035</v>
      </c>
      <c r="F1070" s="204">
        <f>F1069/Parametros!$B$37</f>
        <v>149.5985</v>
      </c>
      <c r="G1070" s="204">
        <f>G1069/Parametros!$B$37</f>
        <v>141.011</v>
      </c>
      <c r="H1070" s="204">
        <f>H1069/Parametros!$B$37</f>
        <v>135.0595</v>
      </c>
      <c r="I1070" s="204">
        <f>I1069/Parametros!$B$37</f>
        <v>144.916</v>
      </c>
      <c r="J1070" s="204">
        <f>J1069/Parametros!$B$37</f>
        <v>144.916</v>
      </c>
      <c r="K1070" s="204">
        <f>K1069/Parametros!$B$37</f>
        <v>144.2815</v>
      </c>
      <c r="L1070" s="204">
        <f>L1069/Parametros!$B$37</f>
        <v>138.33</v>
      </c>
      <c r="M1070" s="204">
        <f>M1069/Parametros!$B$37</f>
        <v>133.013</v>
      </c>
      <c r="N1070" s="204">
        <f>N1069/Parametros!$B$37</f>
        <v>206.887</v>
      </c>
      <c r="O1070" s="5"/>
      <c r="P1070" s="5"/>
      <c r="Q1070" s="5"/>
      <c r="R1070" s="5"/>
      <c r="S1070" s="5"/>
      <c r="T1070" s="5"/>
      <c r="U1070" s="5"/>
      <c r="V1070" s="5"/>
      <c r="W1070" s="5"/>
      <c r="X1070" s="5"/>
      <c r="Y1070" s="5"/>
      <c r="Z1070" s="5"/>
    </row>
    <row r="1071" ht="12.0" customHeight="1">
      <c r="A1071" s="5"/>
      <c r="B1071" s="92" t="s">
        <v>635</v>
      </c>
      <c r="C1071" s="204">
        <f>C1070/Parametros!$J$37</f>
        <v>26.42086667</v>
      </c>
      <c r="D1071" s="204">
        <f>D1070/Parametros!$J$37</f>
        <v>20.63033333</v>
      </c>
      <c r="E1071" s="204">
        <f>E1070/Parametros!$J$37</f>
        <v>20.46713333</v>
      </c>
      <c r="F1071" s="204">
        <f>F1070/Parametros!$J$37</f>
        <v>19.94646667</v>
      </c>
      <c r="G1071" s="204">
        <f>G1070/Parametros!$J$37</f>
        <v>18.80146667</v>
      </c>
      <c r="H1071" s="204">
        <f>H1070/Parametros!$J$37</f>
        <v>18.00793333</v>
      </c>
      <c r="I1071" s="204">
        <f>I1070/Parametros!$J$37</f>
        <v>19.32213333</v>
      </c>
      <c r="J1071" s="204">
        <f>J1070/Parametros!$J$37</f>
        <v>19.32213333</v>
      </c>
      <c r="K1071" s="204">
        <f>K1070/Parametros!$J$37</f>
        <v>19.23753333</v>
      </c>
      <c r="L1071" s="204">
        <f>L1070/Parametros!$J$37</f>
        <v>18.444</v>
      </c>
      <c r="M1071" s="204">
        <f>M1070/Parametros!$J$37</f>
        <v>17.73506667</v>
      </c>
      <c r="N1071" s="204">
        <f>N1070/Parametros!$J$37</f>
        <v>27.58493333</v>
      </c>
      <c r="O1071" s="5"/>
      <c r="P1071" s="5"/>
      <c r="Q1071" s="5"/>
      <c r="R1071" s="5"/>
      <c r="S1071" s="5"/>
      <c r="T1071" s="5"/>
      <c r="U1071" s="5"/>
      <c r="V1071" s="5"/>
      <c r="W1071" s="5"/>
      <c r="X1071" s="5"/>
      <c r="Y1071" s="5"/>
      <c r="Z1071" s="5"/>
    </row>
    <row r="1072" ht="12.0" customHeight="1">
      <c r="A1072" s="92" t="s">
        <v>636</v>
      </c>
      <c r="B1072" s="5"/>
      <c r="C1072" s="204">
        <f t="shared" ref="C1072:N1072" si="316">C1071</f>
        <v>26.42086667</v>
      </c>
      <c r="D1072" s="204">
        <f t="shared" si="316"/>
        <v>20.63033333</v>
      </c>
      <c r="E1072" s="204">
        <f t="shared" si="316"/>
        <v>20.46713333</v>
      </c>
      <c r="F1072" s="204">
        <f t="shared" si="316"/>
        <v>19.94646667</v>
      </c>
      <c r="G1072" s="204">
        <f t="shared" si="316"/>
        <v>18.80146667</v>
      </c>
      <c r="H1072" s="204">
        <f t="shared" si="316"/>
        <v>18.00793333</v>
      </c>
      <c r="I1072" s="204">
        <f t="shared" si="316"/>
        <v>19.32213333</v>
      </c>
      <c r="J1072" s="204">
        <f t="shared" si="316"/>
        <v>19.32213333</v>
      </c>
      <c r="K1072" s="204">
        <f t="shared" si="316"/>
        <v>19.23753333</v>
      </c>
      <c r="L1072" s="204">
        <f t="shared" si="316"/>
        <v>18.444</v>
      </c>
      <c r="M1072" s="204">
        <f t="shared" si="316"/>
        <v>17.73506667</v>
      </c>
      <c r="N1072" s="204">
        <f t="shared" si="316"/>
        <v>27.58493333</v>
      </c>
      <c r="O1072" s="5"/>
      <c r="P1072" s="5"/>
      <c r="Q1072" s="5"/>
      <c r="R1072" s="5"/>
      <c r="S1072" s="5"/>
      <c r="T1072" s="5"/>
      <c r="U1072" s="5"/>
      <c r="V1072" s="5"/>
      <c r="W1072" s="5"/>
      <c r="X1072" s="5"/>
      <c r="Y1072" s="5"/>
      <c r="Z1072" s="5"/>
    </row>
    <row r="1073" ht="12.0" customHeight="1">
      <c r="A1073" s="92" t="s">
        <v>637</v>
      </c>
      <c r="B1073" s="5"/>
      <c r="C1073" s="205">
        <f>'Resumen Capacidad'!$G$127</f>
        <v>41.53846154</v>
      </c>
      <c r="D1073" s="205">
        <f>'Resumen Capacidad'!$G$127</f>
        <v>41.53846154</v>
      </c>
      <c r="E1073" s="205">
        <f>'Resumen Capacidad'!$G$127</f>
        <v>41.53846154</v>
      </c>
      <c r="F1073" s="205">
        <f>'Resumen Capacidad'!$G$127</f>
        <v>41.53846154</v>
      </c>
      <c r="G1073" s="205">
        <f>'Resumen Capacidad'!$G$127</f>
        <v>41.53846154</v>
      </c>
      <c r="H1073" s="205">
        <f>'Resumen Capacidad'!$G$127</f>
        <v>41.53846154</v>
      </c>
      <c r="I1073" s="205">
        <f>'Resumen Capacidad'!$G$127</f>
        <v>41.53846154</v>
      </c>
      <c r="J1073" s="205">
        <f>'Resumen Capacidad'!$G$127</f>
        <v>41.53846154</v>
      </c>
      <c r="K1073" s="205">
        <f>'Resumen Capacidad'!$G$127</f>
        <v>41.53846154</v>
      </c>
      <c r="L1073" s="205">
        <f>'Resumen Capacidad'!$G$127</f>
        <v>41.53846154</v>
      </c>
      <c r="M1073" s="205">
        <f>'Resumen Capacidad'!$G$127</f>
        <v>41.53846154</v>
      </c>
      <c r="N1073" s="205">
        <f>'Resumen Capacidad'!$G$127</f>
        <v>41.53846154</v>
      </c>
      <c r="O1073" s="5"/>
      <c r="P1073" s="5"/>
      <c r="Q1073" s="5"/>
      <c r="R1073" s="5"/>
      <c r="S1073" s="5"/>
      <c r="T1073" s="5"/>
      <c r="U1073" s="5"/>
      <c r="V1073" s="5"/>
      <c r="W1073" s="5"/>
      <c r="X1073" s="5"/>
      <c r="Y1073" s="5"/>
      <c r="Z1073" s="5"/>
    </row>
    <row r="1074" ht="12.0" customHeight="1">
      <c r="A1074" s="92" t="s">
        <v>640</v>
      </c>
      <c r="B1074" s="5"/>
      <c r="C1074" s="204">
        <f>'Resumen Capacidad'!$G$45*'Resumen Capacidad'!$G$81</f>
        <v>1</v>
      </c>
      <c r="D1074" s="204">
        <f>'Resumen Capacidad'!$G$45*'Resumen Capacidad'!$G$81</f>
        <v>1</v>
      </c>
      <c r="E1074" s="204">
        <f>'Resumen Capacidad'!$G$45*'Resumen Capacidad'!$G$81</f>
        <v>1</v>
      </c>
      <c r="F1074" s="204">
        <f>'Resumen Capacidad'!$G$45*'Resumen Capacidad'!$G$81</f>
        <v>1</v>
      </c>
      <c r="G1074" s="204">
        <f>'Resumen Capacidad'!$G$45*'Resumen Capacidad'!$G$81</f>
        <v>1</v>
      </c>
      <c r="H1074" s="204">
        <f>'Resumen Capacidad'!$G$45*'Resumen Capacidad'!$G$81</f>
        <v>1</v>
      </c>
      <c r="I1074" s="204">
        <f>'Resumen Capacidad'!$G$45*'Resumen Capacidad'!$G$81</f>
        <v>1</v>
      </c>
      <c r="J1074" s="204">
        <f>'Resumen Capacidad'!$G$45*'Resumen Capacidad'!$G$81</f>
        <v>1</v>
      </c>
      <c r="K1074" s="204">
        <f>'Resumen Capacidad'!$G$45*'Resumen Capacidad'!$G$81</f>
        <v>1</v>
      </c>
      <c r="L1074" s="204">
        <f>'Resumen Capacidad'!$G$45*'Resumen Capacidad'!$G$81</f>
        <v>1</v>
      </c>
      <c r="M1074" s="204">
        <f>'Resumen Capacidad'!$G$45*'Resumen Capacidad'!$G$81</f>
        <v>1</v>
      </c>
      <c r="N1074" s="204">
        <f>'Resumen Capacidad'!$G$45*'Resumen Capacidad'!$G$81</f>
        <v>1</v>
      </c>
      <c r="O1074" s="5"/>
      <c r="P1074" s="5"/>
      <c r="Q1074" s="5"/>
      <c r="R1074" s="5"/>
      <c r="S1074" s="5"/>
      <c r="T1074" s="5"/>
      <c r="U1074" s="5"/>
      <c r="V1074" s="5"/>
      <c r="W1074" s="5"/>
      <c r="X1074" s="5"/>
      <c r="Y1074" s="5"/>
      <c r="Z1074" s="5"/>
    </row>
    <row r="1075" ht="12.0" customHeight="1">
      <c r="A1075" s="92" t="s">
        <v>642</v>
      </c>
      <c r="B1075" s="5"/>
      <c r="C1075" s="204">
        <f t="shared" ref="C1075:N1075" si="317">C1073*C1074</f>
        <v>41.53846154</v>
      </c>
      <c r="D1075" s="204">
        <f t="shared" si="317"/>
        <v>41.53846154</v>
      </c>
      <c r="E1075" s="204">
        <f t="shared" si="317"/>
        <v>41.53846154</v>
      </c>
      <c r="F1075" s="204">
        <f t="shared" si="317"/>
        <v>41.53846154</v>
      </c>
      <c r="G1075" s="204">
        <f t="shared" si="317"/>
        <v>41.53846154</v>
      </c>
      <c r="H1075" s="204">
        <f t="shared" si="317"/>
        <v>41.53846154</v>
      </c>
      <c r="I1075" s="204">
        <f t="shared" si="317"/>
        <v>41.53846154</v>
      </c>
      <c r="J1075" s="204">
        <f t="shared" si="317"/>
        <v>41.53846154</v>
      </c>
      <c r="K1075" s="204">
        <f t="shared" si="317"/>
        <v>41.53846154</v>
      </c>
      <c r="L1075" s="204">
        <f t="shared" si="317"/>
        <v>41.53846154</v>
      </c>
      <c r="M1075" s="204">
        <f t="shared" si="317"/>
        <v>41.53846154</v>
      </c>
      <c r="N1075" s="204">
        <f t="shared" si="317"/>
        <v>41.53846154</v>
      </c>
      <c r="O1075" s="5"/>
      <c r="P1075" s="5"/>
      <c r="Q1075" s="5"/>
      <c r="R1075" s="5"/>
      <c r="S1075" s="5"/>
      <c r="T1075" s="5"/>
      <c r="U1075" s="5"/>
      <c r="V1075" s="5"/>
      <c r="W1075" s="5"/>
      <c r="X1075" s="5"/>
      <c r="Y1075" s="5"/>
      <c r="Z1075" s="5"/>
    </row>
    <row r="1076" ht="12.0" customHeight="1">
      <c r="A1076" s="92" t="s">
        <v>643</v>
      </c>
      <c r="B1076" s="5"/>
      <c r="C1076" s="206">
        <f t="shared" ref="C1076:N1076" si="318">IF(C1075=0,0,C1072/C1075)</f>
        <v>0.6360579012</v>
      </c>
      <c r="D1076" s="206">
        <f t="shared" si="318"/>
        <v>0.4966561728</v>
      </c>
      <c r="E1076" s="206">
        <f t="shared" si="318"/>
        <v>0.492727284</v>
      </c>
      <c r="F1076" s="206">
        <f t="shared" si="318"/>
        <v>0.480192716</v>
      </c>
      <c r="G1076" s="206">
        <f t="shared" si="318"/>
        <v>0.4526279012</v>
      </c>
      <c r="H1076" s="206">
        <f t="shared" si="318"/>
        <v>0.433524321</v>
      </c>
      <c r="I1076" s="206">
        <f t="shared" si="318"/>
        <v>0.4651624691</v>
      </c>
      <c r="J1076" s="206">
        <f t="shared" si="318"/>
        <v>0.4651624691</v>
      </c>
      <c r="K1076" s="206">
        <f t="shared" si="318"/>
        <v>0.4631258025</v>
      </c>
      <c r="L1076" s="206">
        <f t="shared" si="318"/>
        <v>0.4440222222</v>
      </c>
      <c r="M1076" s="206">
        <f t="shared" si="318"/>
        <v>0.4269553086</v>
      </c>
      <c r="N1076" s="206">
        <f t="shared" si="318"/>
        <v>0.6640817284</v>
      </c>
      <c r="O1076" s="5"/>
      <c r="P1076" s="5"/>
      <c r="Q1076" s="5"/>
      <c r="R1076" s="5"/>
      <c r="S1076" s="5"/>
      <c r="T1076" s="5"/>
      <c r="U1076" s="5"/>
      <c r="V1076" s="5"/>
      <c r="W1076" s="5"/>
      <c r="X1076" s="5"/>
      <c r="Y1076" s="5"/>
      <c r="Z1076" s="5"/>
    </row>
    <row r="1077" ht="12.0" customHeight="1">
      <c r="A1077" s="201" t="s">
        <v>698</v>
      </c>
      <c r="B1077" s="202"/>
      <c r="C1077" s="202"/>
      <c r="D1077" s="202"/>
      <c r="E1077" s="202"/>
      <c r="F1077" s="202"/>
      <c r="G1077" s="202"/>
      <c r="H1077" s="202"/>
      <c r="I1077" s="202"/>
      <c r="J1077" s="202"/>
      <c r="K1077" s="202"/>
      <c r="L1077" s="202"/>
      <c r="M1077" s="202"/>
      <c r="N1077" s="202"/>
      <c r="O1077" s="5"/>
      <c r="P1077" s="5"/>
      <c r="Q1077" s="5"/>
      <c r="R1077" s="5"/>
      <c r="S1077" s="5"/>
      <c r="T1077" s="5"/>
      <c r="U1077" s="5"/>
      <c r="V1077" s="5"/>
      <c r="W1077" s="5"/>
      <c r="X1077" s="5"/>
      <c r="Y1077" s="5"/>
      <c r="Z1077" s="5"/>
    </row>
    <row r="1078" ht="12.0" customHeight="1">
      <c r="A1078" s="201" t="s">
        <v>630</v>
      </c>
      <c r="B1078" s="201" t="s">
        <v>631</v>
      </c>
      <c r="C1078" s="201" t="s">
        <v>3</v>
      </c>
      <c r="D1078" s="201" t="s">
        <v>4</v>
      </c>
      <c r="E1078" s="201" t="s">
        <v>5</v>
      </c>
      <c r="F1078" s="201" t="s">
        <v>6</v>
      </c>
      <c r="G1078" s="201" t="s">
        <v>7</v>
      </c>
      <c r="H1078" s="201" t="s">
        <v>8</v>
      </c>
      <c r="I1078" s="201" t="s">
        <v>9</v>
      </c>
      <c r="J1078" s="201" t="s">
        <v>10</v>
      </c>
      <c r="K1078" s="201" t="s">
        <v>11</v>
      </c>
      <c r="L1078" s="201" t="s">
        <v>12</v>
      </c>
      <c r="M1078" s="201" t="s">
        <v>13</v>
      </c>
      <c r="N1078" s="201" t="s">
        <v>14</v>
      </c>
      <c r="O1078" s="5"/>
      <c r="P1078" s="5"/>
      <c r="Q1078" s="5"/>
      <c r="R1078" s="5"/>
      <c r="S1078" s="5"/>
      <c r="T1078" s="5"/>
      <c r="U1078" s="5"/>
      <c r="V1078" s="5"/>
      <c r="W1078" s="5"/>
      <c r="X1078" s="5"/>
      <c r="Y1078" s="5"/>
      <c r="Z1078" s="5"/>
    </row>
    <row r="1079" ht="12.0" customHeight="1">
      <c r="A1079" s="92" t="s">
        <v>694</v>
      </c>
      <c r="B1079" s="92" t="s">
        <v>633</v>
      </c>
      <c r="C1079" s="203">
        <f>SUM('2031'!B6:B9)+Parametros!$B$72*C2512</f>
        <v>3963.13</v>
      </c>
      <c r="D1079" s="203">
        <f>SUM('2031'!C6:C9)+Parametros!$B$72*D2512</f>
        <v>3094.55</v>
      </c>
      <c r="E1079" s="203">
        <f>SUM('2031'!D6:D9)+Parametros!$B$72*E2512</f>
        <v>3070.07</v>
      </c>
      <c r="F1079" s="203">
        <f>SUM('2031'!E6:E9)+Parametros!$B$72*F2512</f>
        <v>2991.97</v>
      </c>
      <c r="G1079" s="203">
        <f>SUM('2031'!F6:F9)+Parametros!$B$72*G2512</f>
        <v>2820.22</v>
      </c>
      <c r="H1079" s="203">
        <f>SUM('2031'!G6:G9)+Parametros!$B$72*H2512</f>
        <v>2701.19</v>
      </c>
      <c r="I1079" s="203">
        <f>SUM('2031'!H6:H9)+Parametros!$B$72*I2512</f>
        <v>2898.32</v>
      </c>
      <c r="J1079" s="203">
        <f>SUM('2031'!I6:I9)+Parametros!$B$72*J2512</f>
        <v>2898.32</v>
      </c>
      <c r="K1079" s="203">
        <f>SUM('2031'!J6:J9)+Parametros!$B$72*K2512</f>
        <v>2885.63</v>
      </c>
      <c r="L1079" s="203">
        <f>SUM('2031'!K6:K9)+Parametros!$B$72*L2512</f>
        <v>2766.6</v>
      </c>
      <c r="M1079" s="203">
        <f>SUM('2031'!L6:L9)+Parametros!$B$72*M2512</f>
        <v>2660.26</v>
      </c>
      <c r="N1079" s="203">
        <f>SUM('2031'!M6:M9)+Parametros!$B$72*N2512</f>
        <v>4137.74</v>
      </c>
      <c r="O1079" s="5"/>
      <c r="P1079" s="5"/>
      <c r="Q1079" s="5"/>
      <c r="R1079" s="5"/>
      <c r="S1079" s="5"/>
      <c r="T1079" s="5"/>
      <c r="U1079" s="5"/>
      <c r="V1079" s="5"/>
      <c r="W1079" s="5"/>
      <c r="X1079" s="5"/>
      <c r="Y1079" s="5"/>
      <c r="Z1079" s="5"/>
    </row>
    <row r="1080" ht="12.0" customHeight="1">
      <c r="A1080" s="5"/>
      <c r="B1080" s="92" t="s">
        <v>634</v>
      </c>
      <c r="C1080" s="204">
        <f>C1079/Parametros!$B$37</f>
        <v>198.1565</v>
      </c>
      <c r="D1080" s="204">
        <f>D1079/Parametros!$B$37</f>
        <v>154.7275</v>
      </c>
      <c r="E1080" s="204">
        <f>E1079/Parametros!$B$37</f>
        <v>153.5035</v>
      </c>
      <c r="F1080" s="204">
        <f>F1079/Parametros!$B$37</f>
        <v>149.5985</v>
      </c>
      <c r="G1080" s="204">
        <f>G1079/Parametros!$B$37</f>
        <v>141.011</v>
      </c>
      <c r="H1080" s="204">
        <f>H1079/Parametros!$B$37</f>
        <v>135.0595</v>
      </c>
      <c r="I1080" s="204">
        <f>I1079/Parametros!$B$37</f>
        <v>144.916</v>
      </c>
      <c r="J1080" s="204">
        <f>J1079/Parametros!$B$37</f>
        <v>144.916</v>
      </c>
      <c r="K1080" s="204">
        <f>K1079/Parametros!$B$37</f>
        <v>144.2815</v>
      </c>
      <c r="L1080" s="204">
        <f>L1079/Parametros!$B$37</f>
        <v>138.33</v>
      </c>
      <c r="M1080" s="204">
        <f>M1079/Parametros!$B$37</f>
        <v>133.013</v>
      </c>
      <c r="N1080" s="204">
        <f>N1079/Parametros!$B$37</f>
        <v>206.887</v>
      </c>
      <c r="O1080" s="5"/>
      <c r="P1080" s="5"/>
      <c r="Q1080" s="5"/>
      <c r="R1080" s="5"/>
      <c r="S1080" s="5"/>
      <c r="T1080" s="5"/>
      <c r="U1080" s="5"/>
      <c r="V1080" s="5"/>
      <c r="W1080" s="5"/>
      <c r="X1080" s="5"/>
      <c r="Y1080" s="5"/>
      <c r="Z1080" s="5"/>
    </row>
    <row r="1081" ht="12.0" customHeight="1">
      <c r="A1081" s="5"/>
      <c r="B1081" s="92" t="s">
        <v>635</v>
      </c>
      <c r="C1081" s="204">
        <f>C1080/Parametros!$J$37</f>
        <v>26.42086667</v>
      </c>
      <c r="D1081" s="204">
        <f>D1080/Parametros!$J$37</f>
        <v>20.63033333</v>
      </c>
      <c r="E1081" s="204">
        <f>E1080/Parametros!$J$37</f>
        <v>20.46713333</v>
      </c>
      <c r="F1081" s="204">
        <f>F1080/Parametros!$J$37</f>
        <v>19.94646667</v>
      </c>
      <c r="G1081" s="204">
        <f>G1080/Parametros!$J$37</f>
        <v>18.80146667</v>
      </c>
      <c r="H1081" s="204">
        <f>H1080/Parametros!$J$37</f>
        <v>18.00793333</v>
      </c>
      <c r="I1081" s="204">
        <f>I1080/Parametros!$J$37</f>
        <v>19.32213333</v>
      </c>
      <c r="J1081" s="204">
        <f>J1080/Parametros!$J$37</f>
        <v>19.32213333</v>
      </c>
      <c r="K1081" s="204">
        <f>K1080/Parametros!$J$37</f>
        <v>19.23753333</v>
      </c>
      <c r="L1081" s="204">
        <f>L1080/Parametros!$J$37</f>
        <v>18.444</v>
      </c>
      <c r="M1081" s="204">
        <f>M1080/Parametros!$J$37</f>
        <v>17.73506667</v>
      </c>
      <c r="N1081" s="204">
        <f>N1080/Parametros!$J$37</f>
        <v>27.58493333</v>
      </c>
      <c r="O1081" s="5"/>
      <c r="P1081" s="5"/>
      <c r="Q1081" s="5"/>
      <c r="R1081" s="5"/>
      <c r="S1081" s="5"/>
      <c r="T1081" s="5"/>
      <c r="U1081" s="5"/>
      <c r="V1081" s="5"/>
      <c r="W1081" s="5"/>
      <c r="X1081" s="5"/>
      <c r="Y1081" s="5"/>
      <c r="Z1081" s="5"/>
    </row>
    <row r="1082" ht="12.0" customHeight="1">
      <c r="A1082" s="92" t="s">
        <v>636</v>
      </c>
      <c r="B1082" s="5"/>
      <c r="C1082" s="204">
        <f t="shared" ref="C1082:N1082" si="319">C1081</f>
        <v>26.42086667</v>
      </c>
      <c r="D1082" s="204">
        <f t="shared" si="319"/>
        <v>20.63033333</v>
      </c>
      <c r="E1082" s="204">
        <f t="shared" si="319"/>
        <v>20.46713333</v>
      </c>
      <c r="F1082" s="204">
        <f t="shared" si="319"/>
        <v>19.94646667</v>
      </c>
      <c r="G1082" s="204">
        <f t="shared" si="319"/>
        <v>18.80146667</v>
      </c>
      <c r="H1082" s="204">
        <f t="shared" si="319"/>
        <v>18.00793333</v>
      </c>
      <c r="I1082" s="204">
        <f t="shared" si="319"/>
        <v>19.32213333</v>
      </c>
      <c r="J1082" s="204">
        <f t="shared" si="319"/>
        <v>19.32213333</v>
      </c>
      <c r="K1082" s="204">
        <f t="shared" si="319"/>
        <v>19.23753333</v>
      </c>
      <c r="L1082" s="204">
        <f t="shared" si="319"/>
        <v>18.444</v>
      </c>
      <c r="M1082" s="204">
        <f t="shared" si="319"/>
        <v>17.73506667</v>
      </c>
      <c r="N1082" s="204">
        <f t="shared" si="319"/>
        <v>27.58493333</v>
      </c>
      <c r="O1082" s="5"/>
      <c r="P1082" s="5"/>
      <c r="Q1082" s="5"/>
      <c r="R1082" s="5"/>
      <c r="S1082" s="5"/>
      <c r="T1082" s="5"/>
      <c r="U1082" s="5"/>
      <c r="V1082" s="5"/>
      <c r="W1082" s="5"/>
      <c r="X1082" s="5"/>
      <c r="Y1082" s="5"/>
      <c r="Z1082" s="5"/>
    </row>
    <row r="1083" ht="12.0" customHeight="1">
      <c r="A1083" s="92" t="s">
        <v>637</v>
      </c>
      <c r="B1083" s="5"/>
      <c r="C1083" s="205">
        <f>'Resumen Capacidad'!$G$128</f>
        <v>45.81818182</v>
      </c>
      <c r="D1083" s="205">
        <f>'Resumen Capacidad'!$G$128</f>
        <v>45.81818182</v>
      </c>
      <c r="E1083" s="205">
        <f>'Resumen Capacidad'!$G$128</f>
        <v>45.81818182</v>
      </c>
      <c r="F1083" s="205">
        <f>'Resumen Capacidad'!$G$128</f>
        <v>45.81818182</v>
      </c>
      <c r="G1083" s="205">
        <f>'Resumen Capacidad'!$G$128</f>
        <v>45.81818182</v>
      </c>
      <c r="H1083" s="205">
        <f>'Resumen Capacidad'!$G$128</f>
        <v>45.81818182</v>
      </c>
      <c r="I1083" s="205">
        <f>'Resumen Capacidad'!$G$128</f>
        <v>45.81818182</v>
      </c>
      <c r="J1083" s="205">
        <f>'Resumen Capacidad'!$G$128</f>
        <v>45.81818182</v>
      </c>
      <c r="K1083" s="205">
        <f>'Resumen Capacidad'!$G$128</f>
        <v>45.81818182</v>
      </c>
      <c r="L1083" s="205">
        <f>'Resumen Capacidad'!$G$128</f>
        <v>45.81818182</v>
      </c>
      <c r="M1083" s="205">
        <f>'Resumen Capacidad'!$G$128</f>
        <v>45.81818182</v>
      </c>
      <c r="N1083" s="205">
        <f>'Resumen Capacidad'!$G$128</f>
        <v>45.81818182</v>
      </c>
      <c r="O1083" s="5"/>
      <c r="P1083" s="5"/>
      <c r="Q1083" s="5"/>
      <c r="R1083" s="5"/>
      <c r="S1083" s="5"/>
      <c r="T1083" s="5"/>
      <c r="U1083" s="5"/>
      <c r="V1083" s="5"/>
      <c r="W1083" s="5"/>
      <c r="X1083" s="5"/>
      <c r="Y1083" s="5"/>
      <c r="Z1083" s="5"/>
    </row>
    <row r="1084" ht="12.0" customHeight="1">
      <c r="A1084" s="92" t="s">
        <v>640</v>
      </c>
      <c r="B1084" s="5"/>
      <c r="C1084" s="204">
        <f>'Resumen Capacidad'!$G$46*'Resumen Capacidad'!$G$82</f>
        <v>1</v>
      </c>
      <c r="D1084" s="204">
        <f>'Resumen Capacidad'!$G$46*'Resumen Capacidad'!$G$82</f>
        <v>1</v>
      </c>
      <c r="E1084" s="204">
        <f>'Resumen Capacidad'!$G$46*'Resumen Capacidad'!$G$82</f>
        <v>1</v>
      </c>
      <c r="F1084" s="204">
        <f>'Resumen Capacidad'!$G$46*'Resumen Capacidad'!$G$82</f>
        <v>1</v>
      </c>
      <c r="G1084" s="204">
        <f>'Resumen Capacidad'!$G$46*'Resumen Capacidad'!$G$82</f>
        <v>1</v>
      </c>
      <c r="H1084" s="204">
        <f>'Resumen Capacidad'!$G$46*'Resumen Capacidad'!$G$82</f>
        <v>1</v>
      </c>
      <c r="I1084" s="204">
        <f>'Resumen Capacidad'!$G$46*'Resumen Capacidad'!$G$82</f>
        <v>1</v>
      </c>
      <c r="J1084" s="204">
        <f>'Resumen Capacidad'!$G$46*'Resumen Capacidad'!$G$82</f>
        <v>1</v>
      </c>
      <c r="K1084" s="204">
        <f>'Resumen Capacidad'!$G$46*'Resumen Capacidad'!$G$82</f>
        <v>1</v>
      </c>
      <c r="L1084" s="204">
        <f>'Resumen Capacidad'!$G$46*'Resumen Capacidad'!$G$82</f>
        <v>1</v>
      </c>
      <c r="M1084" s="204">
        <f>'Resumen Capacidad'!$G$46*'Resumen Capacidad'!$G$82</f>
        <v>1</v>
      </c>
      <c r="N1084" s="204">
        <f>'Resumen Capacidad'!$G$46*'Resumen Capacidad'!$G$82</f>
        <v>1</v>
      </c>
      <c r="O1084" s="5"/>
      <c r="P1084" s="5"/>
      <c r="Q1084" s="5"/>
      <c r="R1084" s="5"/>
      <c r="S1084" s="5"/>
      <c r="T1084" s="5"/>
      <c r="U1084" s="5"/>
      <c r="V1084" s="5"/>
      <c r="W1084" s="5"/>
      <c r="X1084" s="5"/>
      <c r="Y1084" s="5"/>
      <c r="Z1084" s="5"/>
    </row>
    <row r="1085" ht="12.0" customHeight="1">
      <c r="A1085" s="92" t="s">
        <v>642</v>
      </c>
      <c r="B1085" s="5"/>
      <c r="C1085" s="204">
        <f t="shared" ref="C1085:N1085" si="320">C1083*C1084</f>
        <v>45.81818182</v>
      </c>
      <c r="D1085" s="204">
        <f t="shared" si="320"/>
        <v>45.81818182</v>
      </c>
      <c r="E1085" s="204">
        <f t="shared" si="320"/>
        <v>45.81818182</v>
      </c>
      <c r="F1085" s="204">
        <f t="shared" si="320"/>
        <v>45.81818182</v>
      </c>
      <c r="G1085" s="204">
        <f t="shared" si="320"/>
        <v>45.81818182</v>
      </c>
      <c r="H1085" s="204">
        <f t="shared" si="320"/>
        <v>45.81818182</v>
      </c>
      <c r="I1085" s="204">
        <f t="shared" si="320"/>
        <v>45.81818182</v>
      </c>
      <c r="J1085" s="204">
        <f t="shared" si="320"/>
        <v>45.81818182</v>
      </c>
      <c r="K1085" s="204">
        <f t="shared" si="320"/>
        <v>45.81818182</v>
      </c>
      <c r="L1085" s="204">
        <f t="shared" si="320"/>
        <v>45.81818182</v>
      </c>
      <c r="M1085" s="204">
        <f t="shared" si="320"/>
        <v>45.81818182</v>
      </c>
      <c r="N1085" s="204">
        <f t="shared" si="320"/>
        <v>45.81818182</v>
      </c>
      <c r="O1085" s="5"/>
      <c r="P1085" s="5"/>
      <c r="Q1085" s="5"/>
      <c r="R1085" s="5"/>
      <c r="S1085" s="5"/>
      <c r="T1085" s="5"/>
      <c r="U1085" s="5"/>
      <c r="V1085" s="5"/>
      <c r="W1085" s="5"/>
      <c r="X1085" s="5"/>
      <c r="Y1085" s="5"/>
      <c r="Z1085" s="5"/>
    </row>
    <row r="1086" ht="12.0" customHeight="1">
      <c r="A1086" s="92" t="s">
        <v>643</v>
      </c>
      <c r="B1086" s="5"/>
      <c r="C1086" s="206">
        <f t="shared" ref="C1086:N1086" si="321">IF(C1085=0,0,C1082/C1085)</f>
        <v>0.5766458995</v>
      </c>
      <c r="D1086" s="206">
        <f t="shared" si="321"/>
        <v>0.4502652116</v>
      </c>
      <c r="E1086" s="206">
        <f t="shared" si="321"/>
        <v>0.4467033069</v>
      </c>
      <c r="F1086" s="206">
        <f t="shared" si="321"/>
        <v>0.4353395503</v>
      </c>
      <c r="G1086" s="206">
        <f t="shared" si="321"/>
        <v>0.4103494709</v>
      </c>
      <c r="H1086" s="206">
        <f t="shared" si="321"/>
        <v>0.393030291</v>
      </c>
      <c r="I1086" s="206">
        <f t="shared" si="321"/>
        <v>0.4217132275</v>
      </c>
      <c r="J1086" s="206">
        <f t="shared" si="321"/>
        <v>0.4217132275</v>
      </c>
      <c r="K1086" s="206">
        <f t="shared" si="321"/>
        <v>0.4198667989</v>
      </c>
      <c r="L1086" s="206">
        <f t="shared" si="321"/>
        <v>0.402547619</v>
      </c>
      <c r="M1086" s="206">
        <f t="shared" si="321"/>
        <v>0.3870748677</v>
      </c>
      <c r="N1086" s="206">
        <f t="shared" si="321"/>
        <v>0.6020521164</v>
      </c>
      <c r="O1086" s="5"/>
      <c r="P1086" s="5"/>
      <c r="Q1086" s="5"/>
      <c r="R1086" s="5"/>
      <c r="S1086" s="5"/>
      <c r="T1086" s="5"/>
      <c r="U1086" s="5"/>
      <c r="V1086" s="5"/>
      <c r="W1086" s="5"/>
      <c r="X1086" s="5"/>
      <c r="Y1086" s="5"/>
      <c r="Z1086" s="5"/>
    </row>
    <row r="1087" ht="12.0" customHeight="1">
      <c r="A1087" s="201" t="s">
        <v>699</v>
      </c>
      <c r="B1087" s="202"/>
      <c r="C1087" s="202"/>
      <c r="D1087" s="202"/>
      <c r="E1087" s="202"/>
      <c r="F1087" s="202"/>
      <c r="G1087" s="202"/>
      <c r="H1087" s="202"/>
      <c r="I1087" s="202"/>
      <c r="J1087" s="202"/>
      <c r="K1087" s="202"/>
      <c r="L1087" s="202"/>
      <c r="M1087" s="202"/>
      <c r="N1087" s="202"/>
      <c r="O1087" s="5"/>
      <c r="P1087" s="5"/>
      <c r="Q1087" s="5"/>
      <c r="R1087" s="5"/>
      <c r="S1087" s="5"/>
      <c r="T1087" s="5"/>
      <c r="U1087" s="5"/>
      <c r="V1087" s="5"/>
      <c r="W1087" s="5"/>
      <c r="X1087" s="5"/>
      <c r="Y1087" s="5"/>
      <c r="Z1087" s="5"/>
    </row>
    <row r="1088" ht="12.0" customHeight="1">
      <c r="A1088" s="201" t="s">
        <v>630</v>
      </c>
      <c r="B1088" s="201" t="s">
        <v>631</v>
      </c>
      <c r="C1088" s="201" t="s">
        <v>3</v>
      </c>
      <c r="D1088" s="201" t="s">
        <v>4</v>
      </c>
      <c r="E1088" s="201" t="s">
        <v>5</v>
      </c>
      <c r="F1088" s="201" t="s">
        <v>6</v>
      </c>
      <c r="G1088" s="201" t="s">
        <v>7</v>
      </c>
      <c r="H1088" s="201" t="s">
        <v>8</v>
      </c>
      <c r="I1088" s="201" t="s">
        <v>9</v>
      </c>
      <c r="J1088" s="201" t="s">
        <v>10</v>
      </c>
      <c r="K1088" s="201" t="s">
        <v>11</v>
      </c>
      <c r="L1088" s="201" t="s">
        <v>12</v>
      </c>
      <c r="M1088" s="201" t="s">
        <v>13</v>
      </c>
      <c r="N1088" s="201" t="s">
        <v>14</v>
      </c>
      <c r="O1088" s="5"/>
      <c r="P1088" s="5"/>
      <c r="Q1088" s="5"/>
      <c r="R1088" s="5"/>
      <c r="S1088" s="5"/>
      <c r="T1088" s="5"/>
      <c r="U1088" s="5"/>
      <c r="V1088" s="5"/>
      <c r="W1088" s="5"/>
      <c r="X1088" s="5"/>
      <c r="Y1088" s="5"/>
      <c r="Z1088" s="5"/>
    </row>
    <row r="1089" ht="12.0" customHeight="1">
      <c r="A1089" s="92" t="s">
        <v>632</v>
      </c>
      <c r="B1089" s="92" t="s">
        <v>633</v>
      </c>
      <c r="C1089" s="203">
        <f>SUM('2031'!B6:B9)+SUM('2031'!B17:B20)</f>
        <v>14097.3</v>
      </c>
      <c r="D1089" s="203">
        <f>SUM('2031'!C6:C9)+SUM('2031'!C17:C20)</f>
        <v>10754.04</v>
      </c>
      <c r="E1089" s="203">
        <f>SUM('2031'!D6:D9)+SUM('2031'!D17:D20)</f>
        <v>10062.105</v>
      </c>
      <c r="F1089" s="203">
        <f>SUM('2031'!E6:E9)+SUM('2031'!E17:E20)</f>
        <v>9625.605</v>
      </c>
      <c r="G1089" s="203">
        <f>SUM('2031'!F6:F9)+SUM('2031'!F17:F20)</f>
        <v>9008.04</v>
      </c>
      <c r="H1089" s="203">
        <f>SUM('2031'!G6:G9)+SUM('2031'!G17:G20)</f>
        <v>8826.975</v>
      </c>
      <c r="I1089" s="203">
        <f>SUM('2031'!H6:H9)+SUM('2031'!H17:H20)</f>
        <v>9444.54</v>
      </c>
      <c r="J1089" s="203">
        <f>SUM('2031'!I6:I9)+SUM('2031'!I17:I20)</f>
        <v>9444.54</v>
      </c>
      <c r="K1089" s="203">
        <f>SUM('2031'!J6:J9)+SUM('2031'!J17:J20)</f>
        <v>9444.54</v>
      </c>
      <c r="L1089" s="203">
        <f>SUM('2031'!K6:K9)+SUM('2031'!K17:K20)</f>
        <v>9263.475</v>
      </c>
      <c r="M1089" s="203">
        <f>SUM('2031'!L6:L9)+SUM('2031'!L17:L20)</f>
        <v>9082.41</v>
      </c>
      <c r="N1089" s="203">
        <f>SUM('2031'!M6:M9)+SUM('2031'!M17:M20)</f>
        <v>14459.43</v>
      </c>
      <c r="O1089" s="5"/>
      <c r="P1089" s="5"/>
      <c r="Q1089" s="5"/>
      <c r="R1089" s="5"/>
      <c r="S1089" s="5"/>
      <c r="T1089" s="5"/>
      <c r="U1089" s="5"/>
      <c r="V1089" s="5"/>
      <c r="W1089" s="5"/>
      <c r="X1089" s="5"/>
      <c r="Y1089" s="5"/>
      <c r="Z1089" s="5"/>
    </row>
    <row r="1090" ht="12.0" customHeight="1">
      <c r="A1090" s="5"/>
      <c r="B1090" s="92" t="s">
        <v>634</v>
      </c>
      <c r="C1090" s="204">
        <f>C1089/Parametros!$B$37</f>
        <v>704.865</v>
      </c>
      <c r="D1090" s="204">
        <f>D1089/Parametros!$B$37</f>
        <v>537.702</v>
      </c>
      <c r="E1090" s="204">
        <f>E1089/Parametros!$B$37</f>
        <v>503.10525</v>
      </c>
      <c r="F1090" s="204">
        <f>F1089/Parametros!$B$37</f>
        <v>481.28025</v>
      </c>
      <c r="G1090" s="204">
        <f>G1089/Parametros!$B$37</f>
        <v>450.402</v>
      </c>
      <c r="H1090" s="204">
        <f>H1089/Parametros!$B$37</f>
        <v>441.34875</v>
      </c>
      <c r="I1090" s="204">
        <f>I1089/Parametros!$B$37</f>
        <v>472.227</v>
      </c>
      <c r="J1090" s="204">
        <f>J1089/Parametros!$B$37</f>
        <v>472.227</v>
      </c>
      <c r="K1090" s="204">
        <f>K1089/Parametros!$B$37</f>
        <v>472.227</v>
      </c>
      <c r="L1090" s="204">
        <f>L1089/Parametros!$B$37</f>
        <v>463.17375</v>
      </c>
      <c r="M1090" s="204">
        <f>M1089/Parametros!$B$37</f>
        <v>454.1205</v>
      </c>
      <c r="N1090" s="204">
        <f>N1089/Parametros!$B$37</f>
        <v>722.9715</v>
      </c>
      <c r="O1090" s="5"/>
      <c r="P1090" s="5"/>
      <c r="Q1090" s="5"/>
      <c r="R1090" s="5"/>
      <c r="S1090" s="5"/>
      <c r="T1090" s="5"/>
      <c r="U1090" s="5"/>
      <c r="V1090" s="5"/>
      <c r="W1090" s="5"/>
      <c r="X1090" s="5"/>
      <c r="Y1090" s="5"/>
      <c r="Z1090" s="5"/>
    </row>
    <row r="1091" ht="12.0" customHeight="1">
      <c r="A1091" s="5"/>
      <c r="B1091" s="92" t="s">
        <v>635</v>
      </c>
      <c r="C1091" s="204">
        <f>C1090/Parametros!$J$37</f>
        <v>93.982</v>
      </c>
      <c r="D1091" s="204">
        <f>D1090/Parametros!$J$37</f>
        <v>71.6936</v>
      </c>
      <c r="E1091" s="204">
        <f>E1090/Parametros!$J$37</f>
        <v>67.0807</v>
      </c>
      <c r="F1091" s="204">
        <f>F1090/Parametros!$J$37</f>
        <v>64.1707</v>
      </c>
      <c r="G1091" s="204">
        <f>G1090/Parametros!$J$37</f>
        <v>60.0536</v>
      </c>
      <c r="H1091" s="204">
        <f>H1090/Parametros!$J$37</f>
        <v>58.8465</v>
      </c>
      <c r="I1091" s="204">
        <f>I1090/Parametros!$J$37</f>
        <v>62.9636</v>
      </c>
      <c r="J1091" s="204">
        <f>J1090/Parametros!$J$37</f>
        <v>62.9636</v>
      </c>
      <c r="K1091" s="204">
        <f>K1090/Parametros!$J$37</f>
        <v>62.9636</v>
      </c>
      <c r="L1091" s="204">
        <f>L1090/Parametros!$J$37</f>
        <v>61.7565</v>
      </c>
      <c r="M1091" s="204">
        <f>M1090/Parametros!$J$37</f>
        <v>60.5494</v>
      </c>
      <c r="N1091" s="204">
        <f>N1090/Parametros!$J$37</f>
        <v>96.3962</v>
      </c>
      <c r="O1091" s="5"/>
      <c r="P1091" s="5"/>
      <c r="Q1091" s="5"/>
      <c r="R1091" s="5"/>
      <c r="S1091" s="5"/>
      <c r="T1091" s="5"/>
      <c r="U1091" s="5"/>
      <c r="V1091" s="5"/>
      <c r="W1091" s="5"/>
      <c r="X1091" s="5"/>
      <c r="Y1091" s="5"/>
      <c r="Z1091" s="5"/>
    </row>
    <row r="1092" ht="12.0" customHeight="1">
      <c r="A1092" s="92" t="s">
        <v>636</v>
      </c>
      <c r="B1092" s="5"/>
      <c r="C1092" s="204">
        <f t="shared" ref="C1092:N1092" si="322">C1091</f>
        <v>93.982</v>
      </c>
      <c r="D1092" s="204">
        <f t="shared" si="322"/>
        <v>71.6936</v>
      </c>
      <c r="E1092" s="204">
        <f t="shared" si="322"/>
        <v>67.0807</v>
      </c>
      <c r="F1092" s="204">
        <f t="shared" si="322"/>
        <v>64.1707</v>
      </c>
      <c r="G1092" s="204">
        <f t="shared" si="322"/>
        <v>60.0536</v>
      </c>
      <c r="H1092" s="204">
        <f t="shared" si="322"/>
        <v>58.8465</v>
      </c>
      <c r="I1092" s="204">
        <f t="shared" si="322"/>
        <v>62.9636</v>
      </c>
      <c r="J1092" s="204">
        <f t="shared" si="322"/>
        <v>62.9636</v>
      </c>
      <c r="K1092" s="204">
        <f t="shared" si="322"/>
        <v>62.9636</v>
      </c>
      <c r="L1092" s="204">
        <f t="shared" si="322"/>
        <v>61.7565</v>
      </c>
      <c r="M1092" s="204">
        <f t="shared" si="322"/>
        <v>60.5494</v>
      </c>
      <c r="N1092" s="204">
        <f t="shared" si="322"/>
        <v>96.3962</v>
      </c>
      <c r="O1092" s="5"/>
      <c r="P1092" s="5"/>
      <c r="Q1092" s="5"/>
      <c r="R1092" s="5"/>
      <c r="S1092" s="5"/>
      <c r="T1092" s="5"/>
      <c r="U1092" s="5"/>
      <c r="V1092" s="5"/>
      <c r="W1092" s="5"/>
      <c r="X1092" s="5"/>
      <c r="Y1092" s="5"/>
      <c r="Z1092" s="5"/>
    </row>
    <row r="1093" ht="12.0" customHeight="1">
      <c r="A1093" s="92" t="s">
        <v>637</v>
      </c>
      <c r="B1093" s="5"/>
      <c r="C1093" s="205">
        <f>'Resumen Capacidad'!$G$129</f>
        <v>48.81355932</v>
      </c>
      <c r="D1093" s="205">
        <f>'Resumen Capacidad'!$G$129</f>
        <v>48.81355932</v>
      </c>
      <c r="E1093" s="205">
        <f>'Resumen Capacidad'!$G$129</f>
        <v>48.81355932</v>
      </c>
      <c r="F1093" s="205">
        <f>'Resumen Capacidad'!$G$129</f>
        <v>48.81355932</v>
      </c>
      <c r="G1093" s="205">
        <f>'Resumen Capacidad'!$G$129</f>
        <v>48.81355932</v>
      </c>
      <c r="H1093" s="205">
        <f>'Resumen Capacidad'!$G$129</f>
        <v>48.81355932</v>
      </c>
      <c r="I1093" s="205">
        <f>'Resumen Capacidad'!$G$129</f>
        <v>48.81355932</v>
      </c>
      <c r="J1093" s="205">
        <f>'Resumen Capacidad'!$G$129</f>
        <v>48.81355932</v>
      </c>
      <c r="K1093" s="205">
        <f>'Resumen Capacidad'!$G$129</f>
        <v>48.81355932</v>
      </c>
      <c r="L1093" s="205">
        <f>'Resumen Capacidad'!$G$129</f>
        <v>48.81355932</v>
      </c>
      <c r="M1093" s="205">
        <f>'Resumen Capacidad'!$G$129</f>
        <v>48.81355932</v>
      </c>
      <c r="N1093" s="205">
        <f>'Resumen Capacidad'!$G$129</f>
        <v>48.81355932</v>
      </c>
      <c r="O1093" s="5"/>
      <c r="P1093" s="5"/>
      <c r="Q1093" s="5"/>
      <c r="R1093" s="5"/>
      <c r="S1093" s="5"/>
      <c r="T1093" s="5"/>
      <c r="U1093" s="5"/>
      <c r="V1093" s="5"/>
      <c r="W1093" s="5"/>
      <c r="X1093" s="5"/>
      <c r="Y1093" s="5"/>
      <c r="Z1093" s="5"/>
    </row>
    <row r="1094" ht="12.0" customHeight="1">
      <c r="A1094" s="92" t="s">
        <v>640</v>
      </c>
      <c r="B1094" s="5"/>
      <c r="C1094" s="204">
        <f>'Resumen Capacidad'!$G$47*'Resumen Capacidad'!$G$83</f>
        <v>3</v>
      </c>
      <c r="D1094" s="204">
        <f>'Resumen Capacidad'!$G$47*'Resumen Capacidad'!$G$83</f>
        <v>3</v>
      </c>
      <c r="E1094" s="204">
        <f>'Resumen Capacidad'!$G$47*'Resumen Capacidad'!$G$83</f>
        <v>3</v>
      </c>
      <c r="F1094" s="204">
        <f>'Resumen Capacidad'!$G$47*'Resumen Capacidad'!$G$83</f>
        <v>3</v>
      </c>
      <c r="G1094" s="204">
        <f>'Resumen Capacidad'!$G$47*'Resumen Capacidad'!$G$83</f>
        <v>3</v>
      </c>
      <c r="H1094" s="204">
        <f>'Resumen Capacidad'!$G$47*'Resumen Capacidad'!$G$83</f>
        <v>3</v>
      </c>
      <c r="I1094" s="204">
        <f>'Resumen Capacidad'!$G$47*'Resumen Capacidad'!$G$83</f>
        <v>3</v>
      </c>
      <c r="J1094" s="204">
        <f>'Resumen Capacidad'!$G$47*'Resumen Capacidad'!$G$83</f>
        <v>3</v>
      </c>
      <c r="K1094" s="204">
        <f>'Resumen Capacidad'!$G$47*'Resumen Capacidad'!$G$83</f>
        <v>3</v>
      </c>
      <c r="L1094" s="204">
        <f>'Resumen Capacidad'!$G$47*'Resumen Capacidad'!$G$83</f>
        <v>3</v>
      </c>
      <c r="M1094" s="204">
        <f>'Resumen Capacidad'!$G$47*'Resumen Capacidad'!$G$83</f>
        <v>3</v>
      </c>
      <c r="N1094" s="204">
        <f>'Resumen Capacidad'!$G$47*'Resumen Capacidad'!$G$83</f>
        <v>3</v>
      </c>
      <c r="O1094" s="5"/>
      <c r="P1094" s="5"/>
      <c r="Q1094" s="5"/>
      <c r="R1094" s="5"/>
      <c r="S1094" s="5"/>
      <c r="T1094" s="5"/>
      <c r="U1094" s="5"/>
      <c r="V1094" s="5"/>
      <c r="W1094" s="5"/>
      <c r="X1094" s="5"/>
      <c r="Y1094" s="5"/>
      <c r="Z1094" s="5"/>
    </row>
    <row r="1095" ht="12.0" customHeight="1">
      <c r="A1095" s="92" t="s">
        <v>642</v>
      </c>
      <c r="B1095" s="5"/>
      <c r="C1095" s="204">
        <f t="shared" ref="C1095:N1095" si="323">C1093*C1094</f>
        <v>146.440678</v>
      </c>
      <c r="D1095" s="204">
        <f t="shared" si="323"/>
        <v>146.440678</v>
      </c>
      <c r="E1095" s="204">
        <f t="shared" si="323"/>
        <v>146.440678</v>
      </c>
      <c r="F1095" s="204">
        <f t="shared" si="323"/>
        <v>146.440678</v>
      </c>
      <c r="G1095" s="204">
        <f t="shared" si="323"/>
        <v>146.440678</v>
      </c>
      <c r="H1095" s="204">
        <f t="shared" si="323"/>
        <v>146.440678</v>
      </c>
      <c r="I1095" s="204">
        <f t="shared" si="323"/>
        <v>146.440678</v>
      </c>
      <c r="J1095" s="204">
        <f t="shared" si="323"/>
        <v>146.440678</v>
      </c>
      <c r="K1095" s="204">
        <f t="shared" si="323"/>
        <v>146.440678</v>
      </c>
      <c r="L1095" s="204">
        <f t="shared" si="323"/>
        <v>146.440678</v>
      </c>
      <c r="M1095" s="204">
        <f t="shared" si="323"/>
        <v>146.440678</v>
      </c>
      <c r="N1095" s="204">
        <f t="shared" si="323"/>
        <v>146.440678</v>
      </c>
      <c r="O1095" s="5"/>
      <c r="P1095" s="5"/>
      <c r="Q1095" s="5"/>
      <c r="R1095" s="5"/>
      <c r="S1095" s="5"/>
      <c r="T1095" s="5"/>
      <c r="U1095" s="5"/>
      <c r="V1095" s="5"/>
      <c r="W1095" s="5"/>
      <c r="X1095" s="5"/>
      <c r="Y1095" s="5"/>
      <c r="Z1095" s="5"/>
    </row>
    <row r="1096" ht="12.0" customHeight="1">
      <c r="A1096" s="92" t="s">
        <v>643</v>
      </c>
      <c r="B1096" s="5"/>
      <c r="C1096" s="206">
        <f t="shared" ref="C1096:N1096" si="324">IF(C1095=0,0,C1092/C1095)</f>
        <v>0.6417752315</v>
      </c>
      <c r="D1096" s="206">
        <f t="shared" si="324"/>
        <v>0.4895743519</v>
      </c>
      <c r="E1096" s="206">
        <f t="shared" si="324"/>
        <v>0.4580742245</v>
      </c>
      <c r="F1096" s="206">
        <f t="shared" si="324"/>
        <v>0.4382026968</v>
      </c>
      <c r="G1096" s="206">
        <f t="shared" si="324"/>
        <v>0.4100882407</v>
      </c>
      <c r="H1096" s="206">
        <f t="shared" si="324"/>
        <v>0.4018453125</v>
      </c>
      <c r="I1096" s="206">
        <f t="shared" si="324"/>
        <v>0.4299597685</v>
      </c>
      <c r="J1096" s="206">
        <f t="shared" si="324"/>
        <v>0.4299597685</v>
      </c>
      <c r="K1096" s="206">
        <f t="shared" si="324"/>
        <v>0.4299597685</v>
      </c>
      <c r="L1096" s="206">
        <f t="shared" si="324"/>
        <v>0.4217168403</v>
      </c>
      <c r="M1096" s="206">
        <f t="shared" si="324"/>
        <v>0.413473912</v>
      </c>
      <c r="N1096" s="206">
        <f t="shared" si="324"/>
        <v>0.658261088</v>
      </c>
      <c r="O1096" s="5"/>
      <c r="P1096" s="5"/>
      <c r="Q1096" s="5"/>
      <c r="R1096" s="5"/>
      <c r="S1096" s="5"/>
      <c r="T1096" s="5"/>
      <c r="U1096" s="5"/>
      <c r="V1096" s="5"/>
      <c r="W1096" s="5"/>
      <c r="X1096" s="5"/>
      <c r="Y1096" s="5"/>
      <c r="Z1096" s="5"/>
    </row>
    <row r="1097" ht="12.0" customHeight="1">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ht="12.0" customHeight="1">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ht="12.0" customHeight="1">
      <c r="A1099" s="207">
        <v>2032.0</v>
      </c>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ht="12.0" customHeight="1">
      <c r="A1100" s="201" t="s">
        <v>629</v>
      </c>
      <c r="B1100" s="202"/>
      <c r="C1100" s="202"/>
      <c r="D1100" s="202"/>
      <c r="E1100" s="202"/>
      <c r="F1100" s="202"/>
      <c r="G1100" s="202"/>
      <c r="H1100" s="202"/>
      <c r="I1100" s="202"/>
      <c r="J1100" s="202"/>
      <c r="K1100" s="202"/>
      <c r="L1100" s="202"/>
      <c r="M1100" s="202"/>
      <c r="N1100" s="202"/>
      <c r="O1100" s="5"/>
      <c r="P1100" s="5"/>
      <c r="Q1100" s="5"/>
      <c r="R1100" s="5"/>
      <c r="S1100" s="5"/>
      <c r="T1100" s="5"/>
      <c r="U1100" s="5"/>
      <c r="V1100" s="5"/>
      <c r="W1100" s="5"/>
      <c r="X1100" s="5"/>
      <c r="Y1100" s="5"/>
      <c r="Z1100" s="5"/>
    </row>
    <row r="1101" ht="12.0" customHeight="1">
      <c r="A1101" s="201" t="s">
        <v>630</v>
      </c>
      <c r="B1101" s="201" t="s">
        <v>631</v>
      </c>
      <c r="C1101" s="201" t="s">
        <v>3</v>
      </c>
      <c r="D1101" s="201" t="s">
        <v>4</v>
      </c>
      <c r="E1101" s="201" t="s">
        <v>5</v>
      </c>
      <c r="F1101" s="201" t="s">
        <v>6</v>
      </c>
      <c r="G1101" s="201" t="s">
        <v>7</v>
      </c>
      <c r="H1101" s="201" t="s">
        <v>8</v>
      </c>
      <c r="I1101" s="201" t="s">
        <v>9</v>
      </c>
      <c r="J1101" s="201" t="s">
        <v>10</v>
      </c>
      <c r="K1101" s="201" t="s">
        <v>11</v>
      </c>
      <c r="L1101" s="201" t="s">
        <v>12</v>
      </c>
      <c r="M1101" s="201" t="s">
        <v>13</v>
      </c>
      <c r="N1101" s="201" t="s">
        <v>14</v>
      </c>
      <c r="O1101" s="5"/>
      <c r="P1101" s="5"/>
      <c r="Q1101" s="5"/>
      <c r="R1101" s="5"/>
      <c r="S1101" s="5"/>
      <c r="T1101" s="5"/>
      <c r="U1101" s="5"/>
      <c r="V1101" s="5"/>
      <c r="W1101" s="5"/>
      <c r="X1101" s="5"/>
      <c r="Y1101" s="5"/>
      <c r="Z1101" s="5"/>
    </row>
    <row r="1102" ht="12.0" customHeight="1">
      <c r="A1102" s="92" t="s">
        <v>632</v>
      </c>
      <c r="B1102" s="92" t="s">
        <v>633</v>
      </c>
      <c r="C1102" s="203">
        <f>SUM('2032'!B6:B9)+SUM('2032'!B17:B20)</f>
        <v>19483.38</v>
      </c>
      <c r="D1102" s="203">
        <f>SUM('2032'!C6:C9)+SUM('2032'!C17:C20)</f>
        <v>14856.66</v>
      </c>
      <c r="E1102" s="203">
        <f>SUM('2032'!D6:D9)+SUM('2032'!D17:D20)</f>
        <v>13884.045</v>
      </c>
      <c r="F1102" s="203">
        <f>SUM('2032'!E6:E9)+SUM('2032'!E17:E20)</f>
        <v>13275.675</v>
      </c>
      <c r="G1102" s="203">
        <f>SUM('2032'!F6:F9)+SUM('2032'!F17:F20)</f>
        <v>12423.18</v>
      </c>
      <c r="H1102" s="203">
        <f>SUM('2032'!G6:G9)+SUM('2032'!G17:G20)</f>
        <v>12179.055</v>
      </c>
      <c r="I1102" s="203">
        <f>SUM('2032'!H6:H9)+SUM('2032'!H17:H20)</f>
        <v>13031.55</v>
      </c>
      <c r="J1102" s="203">
        <f>SUM('2032'!I6:I9)+SUM('2032'!I17:I20)</f>
        <v>13031.55</v>
      </c>
      <c r="K1102" s="203">
        <f>SUM('2032'!J6:J9)+SUM('2032'!J17:J20)</f>
        <v>13031.55</v>
      </c>
      <c r="L1102" s="203">
        <f>SUM('2032'!K6:K9)+SUM('2032'!K17:K20)</f>
        <v>12787.425</v>
      </c>
      <c r="M1102" s="203">
        <f>SUM('2032'!L6:L9)+SUM('2032'!L17:L20)</f>
        <v>12543.3</v>
      </c>
      <c r="N1102" s="203">
        <f>SUM('2032'!M6:M9)+SUM('2032'!M17:M20)</f>
        <v>19971.63</v>
      </c>
      <c r="O1102" s="5"/>
      <c r="P1102" s="5"/>
      <c r="Q1102" s="5"/>
      <c r="R1102" s="5"/>
      <c r="S1102" s="5"/>
      <c r="T1102" s="5"/>
      <c r="U1102" s="5"/>
      <c r="V1102" s="5"/>
      <c r="W1102" s="5"/>
      <c r="X1102" s="5"/>
      <c r="Y1102" s="5"/>
      <c r="Z1102" s="5"/>
    </row>
    <row r="1103" ht="12.0" customHeight="1">
      <c r="A1103" s="5"/>
      <c r="B1103" s="92" t="s">
        <v>634</v>
      </c>
      <c r="C1103" s="204">
        <f>C1102/Parametros!$B$37</f>
        <v>974.169</v>
      </c>
      <c r="D1103" s="204">
        <f>D1102/Parametros!$B$37</f>
        <v>742.833</v>
      </c>
      <c r="E1103" s="204">
        <f>E1102/Parametros!$B$37</f>
        <v>694.20225</v>
      </c>
      <c r="F1103" s="204">
        <f>F1102/Parametros!$B$37</f>
        <v>663.78375</v>
      </c>
      <c r="G1103" s="204">
        <f>G1102/Parametros!$B$37</f>
        <v>621.159</v>
      </c>
      <c r="H1103" s="204">
        <f>H1102/Parametros!$B$37</f>
        <v>608.95275</v>
      </c>
      <c r="I1103" s="204">
        <f>I1102/Parametros!$B$37</f>
        <v>651.5775</v>
      </c>
      <c r="J1103" s="204">
        <f>J1102/Parametros!$B$37</f>
        <v>651.5775</v>
      </c>
      <c r="K1103" s="204">
        <f>K1102/Parametros!$B$37</f>
        <v>651.5775</v>
      </c>
      <c r="L1103" s="204">
        <f>L1102/Parametros!$B$37</f>
        <v>639.37125</v>
      </c>
      <c r="M1103" s="204">
        <f>M1102/Parametros!$B$37</f>
        <v>627.165</v>
      </c>
      <c r="N1103" s="204">
        <f>N1102/Parametros!$B$37</f>
        <v>998.5815</v>
      </c>
      <c r="O1103" s="5"/>
      <c r="P1103" s="5"/>
      <c r="Q1103" s="5"/>
      <c r="R1103" s="5"/>
      <c r="S1103" s="5"/>
      <c r="T1103" s="5"/>
      <c r="U1103" s="5"/>
      <c r="V1103" s="5"/>
      <c r="W1103" s="5"/>
      <c r="X1103" s="5"/>
      <c r="Y1103" s="5"/>
      <c r="Z1103" s="5"/>
    </row>
    <row r="1104" ht="12.0" customHeight="1">
      <c r="A1104" s="5"/>
      <c r="B1104" s="92" t="s">
        <v>635</v>
      </c>
      <c r="C1104" s="204">
        <f>C1103/Parametros!$J$37</f>
        <v>129.8892</v>
      </c>
      <c r="D1104" s="204">
        <f>D1103/Parametros!$J$37</f>
        <v>99.0444</v>
      </c>
      <c r="E1104" s="204">
        <f>E1103/Parametros!$J$37</f>
        <v>92.5603</v>
      </c>
      <c r="F1104" s="204">
        <f>F1103/Parametros!$J$37</f>
        <v>88.5045</v>
      </c>
      <c r="G1104" s="204">
        <f>G1103/Parametros!$J$37</f>
        <v>82.8212</v>
      </c>
      <c r="H1104" s="204">
        <f>H1103/Parametros!$J$37</f>
        <v>81.1937</v>
      </c>
      <c r="I1104" s="204">
        <f>I1103/Parametros!$J$37</f>
        <v>86.877</v>
      </c>
      <c r="J1104" s="204">
        <f>J1103/Parametros!$J$37</f>
        <v>86.877</v>
      </c>
      <c r="K1104" s="204">
        <f>K1103/Parametros!$J$37</f>
        <v>86.877</v>
      </c>
      <c r="L1104" s="204">
        <f>L1103/Parametros!$J$37</f>
        <v>85.2495</v>
      </c>
      <c r="M1104" s="204">
        <f>M1103/Parametros!$J$37</f>
        <v>83.622</v>
      </c>
      <c r="N1104" s="204">
        <f>N1103/Parametros!$J$37</f>
        <v>133.1442</v>
      </c>
      <c r="O1104" s="5"/>
      <c r="P1104" s="5"/>
      <c r="Q1104" s="5"/>
      <c r="R1104" s="5"/>
      <c r="S1104" s="5"/>
      <c r="T1104" s="5"/>
      <c r="U1104" s="5"/>
      <c r="V1104" s="5"/>
      <c r="W1104" s="5"/>
      <c r="X1104" s="5"/>
      <c r="Y1104" s="5"/>
      <c r="Z1104" s="5"/>
    </row>
    <row r="1105" ht="12.0" customHeight="1">
      <c r="A1105" s="92" t="s">
        <v>636</v>
      </c>
      <c r="B1105" s="5"/>
      <c r="C1105" s="204">
        <f t="shared" ref="C1105:N1105" si="325">C1104</f>
        <v>129.8892</v>
      </c>
      <c r="D1105" s="204">
        <f t="shared" si="325"/>
        <v>99.0444</v>
      </c>
      <c r="E1105" s="204">
        <f t="shared" si="325"/>
        <v>92.5603</v>
      </c>
      <c r="F1105" s="204">
        <f t="shared" si="325"/>
        <v>88.5045</v>
      </c>
      <c r="G1105" s="204">
        <f t="shared" si="325"/>
        <v>82.8212</v>
      </c>
      <c r="H1105" s="204">
        <f t="shared" si="325"/>
        <v>81.1937</v>
      </c>
      <c r="I1105" s="204">
        <f t="shared" si="325"/>
        <v>86.877</v>
      </c>
      <c r="J1105" s="204">
        <f t="shared" si="325"/>
        <v>86.877</v>
      </c>
      <c r="K1105" s="204">
        <f t="shared" si="325"/>
        <v>86.877</v>
      </c>
      <c r="L1105" s="204">
        <f t="shared" si="325"/>
        <v>85.2495</v>
      </c>
      <c r="M1105" s="204">
        <f t="shared" si="325"/>
        <v>83.622</v>
      </c>
      <c r="N1105" s="204">
        <f t="shared" si="325"/>
        <v>133.1442</v>
      </c>
      <c r="O1105" s="5"/>
      <c r="P1105" s="5"/>
      <c r="Q1105" s="5"/>
      <c r="R1105" s="5"/>
      <c r="S1105" s="5"/>
      <c r="T1105" s="5"/>
      <c r="U1105" s="5"/>
      <c r="V1105" s="5"/>
      <c r="W1105" s="5"/>
      <c r="X1105" s="5"/>
      <c r="Y1105" s="5"/>
      <c r="Z1105" s="5"/>
    </row>
    <row r="1106" ht="12.0" customHeight="1">
      <c r="A1106" s="92" t="s">
        <v>637</v>
      </c>
      <c r="B1106" s="5"/>
      <c r="C1106" s="205">
        <f>'Resumen Capacidad'!$H$111</f>
        <v>68</v>
      </c>
      <c r="D1106" s="205">
        <f>'Resumen Capacidad'!$H$111</f>
        <v>68</v>
      </c>
      <c r="E1106" s="205">
        <f>'Resumen Capacidad'!$H$111</f>
        <v>68</v>
      </c>
      <c r="F1106" s="205">
        <f>'Resumen Capacidad'!$H$111</f>
        <v>68</v>
      </c>
      <c r="G1106" s="205">
        <f>'Resumen Capacidad'!$H$111</f>
        <v>68</v>
      </c>
      <c r="H1106" s="205">
        <f>'Resumen Capacidad'!$H$111</f>
        <v>68</v>
      </c>
      <c r="I1106" s="205">
        <f>'Resumen Capacidad'!$H$111</f>
        <v>68</v>
      </c>
      <c r="J1106" s="205">
        <f>'Resumen Capacidad'!$H$111</f>
        <v>68</v>
      </c>
      <c r="K1106" s="205">
        <f>'Resumen Capacidad'!$H$111</f>
        <v>68</v>
      </c>
      <c r="L1106" s="205">
        <f>'Resumen Capacidad'!$H$111</f>
        <v>68</v>
      </c>
      <c r="M1106" s="205">
        <f>'Resumen Capacidad'!$H$111</f>
        <v>68</v>
      </c>
      <c r="N1106" s="205">
        <f>'Resumen Capacidad'!$H$111</f>
        <v>68</v>
      </c>
      <c r="O1106" s="5"/>
      <c r="P1106" s="5"/>
      <c r="Q1106" s="5"/>
      <c r="R1106" s="5"/>
      <c r="S1106" s="5"/>
      <c r="T1106" s="5"/>
      <c r="U1106" s="5"/>
      <c r="V1106" s="5"/>
      <c r="W1106" s="5"/>
      <c r="X1106" s="5"/>
      <c r="Y1106" s="5"/>
      <c r="Z1106" s="5"/>
    </row>
    <row r="1107" ht="12.0" customHeight="1">
      <c r="A1107" s="92" t="s">
        <v>640</v>
      </c>
      <c r="B1107" s="5"/>
      <c r="C1107" s="204">
        <f>'Resumen Capacidad'!$H$29*'Resumen Capacidad'!$H$65</f>
        <v>4</v>
      </c>
      <c r="D1107" s="204">
        <f>'Resumen Capacidad'!$H$29*'Resumen Capacidad'!$H$65</f>
        <v>4</v>
      </c>
      <c r="E1107" s="204">
        <f>'Resumen Capacidad'!$H$29*'Resumen Capacidad'!$H$65</f>
        <v>4</v>
      </c>
      <c r="F1107" s="204">
        <f>'Resumen Capacidad'!$H$29*'Resumen Capacidad'!$H$65</f>
        <v>4</v>
      </c>
      <c r="G1107" s="204">
        <f>'Resumen Capacidad'!$H$29*'Resumen Capacidad'!$H$65</f>
        <v>4</v>
      </c>
      <c r="H1107" s="204">
        <f>'Resumen Capacidad'!$H$29*'Resumen Capacidad'!$H$65</f>
        <v>4</v>
      </c>
      <c r="I1107" s="204">
        <f>'Resumen Capacidad'!$H$29*'Resumen Capacidad'!$H$65</f>
        <v>4</v>
      </c>
      <c r="J1107" s="204">
        <f>'Resumen Capacidad'!$H$29*'Resumen Capacidad'!$H$65</f>
        <v>4</v>
      </c>
      <c r="K1107" s="204">
        <f>'Resumen Capacidad'!$H$29*'Resumen Capacidad'!$H$65</f>
        <v>4</v>
      </c>
      <c r="L1107" s="204">
        <f>'Resumen Capacidad'!$H$29*'Resumen Capacidad'!$H$65</f>
        <v>4</v>
      </c>
      <c r="M1107" s="204">
        <f>'Resumen Capacidad'!$H$29*'Resumen Capacidad'!$H$65</f>
        <v>4</v>
      </c>
      <c r="N1107" s="204">
        <f>'Resumen Capacidad'!$H$29*'Resumen Capacidad'!$H$65</f>
        <v>4</v>
      </c>
      <c r="O1107" s="5"/>
      <c r="P1107" s="5"/>
      <c r="Q1107" s="5"/>
      <c r="R1107" s="5"/>
      <c r="S1107" s="5"/>
      <c r="T1107" s="5"/>
      <c r="U1107" s="5"/>
      <c r="V1107" s="5"/>
      <c r="W1107" s="5"/>
      <c r="X1107" s="5"/>
      <c r="Y1107" s="5"/>
      <c r="Z1107" s="5"/>
    </row>
    <row r="1108" ht="12.0" customHeight="1">
      <c r="A1108" s="92" t="s">
        <v>642</v>
      </c>
      <c r="B1108" s="5"/>
      <c r="C1108" s="204">
        <f t="shared" ref="C1108:N1108" si="326">C1106*C1107</f>
        <v>272</v>
      </c>
      <c r="D1108" s="204">
        <f t="shared" si="326"/>
        <v>272</v>
      </c>
      <c r="E1108" s="204">
        <f t="shared" si="326"/>
        <v>272</v>
      </c>
      <c r="F1108" s="204">
        <f t="shared" si="326"/>
        <v>272</v>
      </c>
      <c r="G1108" s="204">
        <f t="shared" si="326"/>
        <v>272</v>
      </c>
      <c r="H1108" s="204">
        <f t="shared" si="326"/>
        <v>272</v>
      </c>
      <c r="I1108" s="204">
        <f t="shared" si="326"/>
        <v>272</v>
      </c>
      <c r="J1108" s="204">
        <f t="shared" si="326"/>
        <v>272</v>
      </c>
      <c r="K1108" s="204">
        <f t="shared" si="326"/>
        <v>272</v>
      </c>
      <c r="L1108" s="204">
        <f t="shared" si="326"/>
        <v>272</v>
      </c>
      <c r="M1108" s="204">
        <f t="shared" si="326"/>
        <v>272</v>
      </c>
      <c r="N1108" s="204">
        <f t="shared" si="326"/>
        <v>272</v>
      </c>
      <c r="O1108" s="5"/>
      <c r="P1108" s="5"/>
      <c r="Q1108" s="5"/>
      <c r="R1108" s="5"/>
      <c r="S1108" s="5"/>
      <c r="T1108" s="5"/>
      <c r="U1108" s="5"/>
      <c r="V1108" s="5"/>
      <c r="W1108" s="5"/>
      <c r="X1108" s="5"/>
      <c r="Y1108" s="5"/>
      <c r="Z1108" s="5"/>
    </row>
    <row r="1109" ht="12.0" customHeight="1">
      <c r="A1109" s="92" t="s">
        <v>643</v>
      </c>
      <c r="B1109" s="5"/>
      <c r="C1109" s="206">
        <f t="shared" ref="C1109:N1109" si="327">IF(C1108=0,0,C1105/C1108)</f>
        <v>0.4775338235</v>
      </c>
      <c r="D1109" s="206">
        <f t="shared" si="327"/>
        <v>0.3641338235</v>
      </c>
      <c r="E1109" s="206">
        <f t="shared" si="327"/>
        <v>0.3402952206</v>
      </c>
      <c r="F1109" s="206">
        <f t="shared" si="327"/>
        <v>0.3253841912</v>
      </c>
      <c r="G1109" s="206">
        <f t="shared" si="327"/>
        <v>0.3044897059</v>
      </c>
      <c r="H1109" s="206">
        <f t="shared" si="327"/>
        <v>0.29850625</v>
      </c>
      <c r="I1109" s="206">
        <f t="shared" si="327"/>
        <v>0.3194007353</v>
      </c>
      <c r="J1109" s="206">
        <f t="shared" si="327"/>
        <v>0.3194007353</v>
      </c>
      <c r="K1109" s="206">
        <f t="shared" si="327"/>
        <v>0.3194007353</v>
      </c>
      <c r="L1109" s="206">
        <f t="shared" si="327"/>
        <v>0.3134172794</v>
      </c>
      <c r="M1109" s="206">
        <f t="shared" si="327"/>
        <v>0.3074338235</v>
      </c>
      <c r="N1109" s="206">
        <f t="shared" si="327"/>
        <v>0.4895007353</v>
      </c>
      <c r="O1109" s="5"/>
      <c r="P1109" s="5"/>
      <c r="Q1109" s="5"/>
      <c r="R1109" s="5"/>
      <c r="S1109" s="5"/>
      <c r="T1109" s="5"/>
      <c r="U1109" s="5"/>
      <c r="V1109" s="5"/>
      <c r="W1109" s="5"/>
      <c r="X1109" s="5"/>
      <c r="Y1109" s="5"/>
      <c r="Z1109" s="5"/>
    </row>
    <row r="1110" ht="12.0" customHeight="1">
      <c r="A1110" s="201" t="s">
        <v>644</v>
      </c>
      <c r="B1110" s="202"/>
      <c r="C1110" s="202"/>
      <c r="D1110" s="202"/>
      <c r="E1110" s="202"/>
      <c r="F1110" s="202"/>
      <c r="G1110" s="202"/>
      <c r="H1110" s="202"/>
      <c r="I1110" s="202"/>
      <c r="J1110" s="202"/>
      <c r="K1110" s="202"/>
      <c r="L1110" s="202"/>
      <c r="M1110" s="202"/>
      <c r="N1110" s="202"/>
      <c r="O1110" s="5"/>
      <c r="P1110" s="5"/>
      <c r="Q1110" s="5"/>
      <c r="R1110" s="5"/>
      <c r="S1110" s="5"/>
      <c r="T1110" s="5"/>
      <c r="U1110" s="5"/>
      <c r="V1110" s="5"/>
      <c r="W1110" s="5"/>
      <c r="X1110" s="5"/>
      <c r="Y1110" s="5"/>
      <c r="Z1110" s="5"/>
    </row>
    <row r="1111" ht="12.0" customHeight="1">
      <c r="A1111" s="201" t="s">
        <v>630</v>
      </c>
      <c r="B1111" s="201" t="s">
        <v>631</v>
      </c>
      <c r="C1111" s="201" t="s">
        <v>3</v>
      </c>
      <c r="D1111" s="201" t="s">
        <v>4</v>
      </c>
      <c r="E1111" s="201" t="s">
        <v>5</v>
      </c>
      <c r="F1111" s="201" t="s">
        <v>6</v>
      </c>
      <c r="G1111" s="201" t="s">
        <v>7</v>
      </c>
      <c r="H1111" s="201" t="s">
        <v>8</v>
      </c>
      <c r="I1111" s="201" t="s">
        <v>9</v>
      </c>
      <c r="J1111" s="201" t="s">
        <v>10</v>
      </c>
      <c r="K1111" s="201" t="s">
        <v>11</v>
      </c>
      <c r="L1111" s="201" t="s">
        <v>12</v>
      </c>
      <c r="M1111" s="201" t="s">
        <v>13</v>
      </c>
      <c r="N1111" s="201" t="s">
        <v>14</v>
      </c>
      <c r="O1111" s="5"/>
      <c r="P1111" s="5"/>
      <c r="Q1111" s="5"/>
      <c r="R1111" s="5"/>
      <c r="S1111" s="5"/>
      <c r="T1111" s="5"/>
      <c r="U1111" s="5"/>
      <c r="V1111" s="5"/>
      <c r="W1111" s="5"/>
      <c r="X1111" s="5"/>
      <c r="Y1111" s="5"/>
      <c r="Z1111" s="5"/>
    </row>
    <row r="1112" ht="12.0" customHeight="1">
      <c r="A1112" s="92" t="s">
        <v>632</v>
      </c>
      <c r="B1112" s="92" t="s">
        <v>633</v>
      </c>
      <c r="C1112" s="203">
        <f>SUM('2032'!B6:B9)+SUM('2032'!B17:B20)</f>
        <v>19483.38</v>
      </c>
      <c r="D1112" s="203">
        <f>SUM('2032'!C6:C9)+SUM('2032'!C17:C20)</f>
        <v>14856.66</v>
      </c>
      <c r="E1112" s="203">
        <f>SUM('2032'!D6:D9)+SUM('2032'!D17:D20)</f>
        <v>13884.045</v>
      </c>
      <c r="F1112" s="203">
        <f>SUM('2032'!E6:E9)+SUM('2032'!E17:E20)</f>
        <v>13275.675</v>
      </c>
      <c r="G1112" s="203">
        <f>SUM('2032'!F6:F9)+SUM('2032'!F17:F20)</f>
        <v>12423.18</v>
      </c>
      <c r="H1112" s="203">
        <f>SUM('2032'!G6:G9)+SUM('2032'!G17:G20)</f>
        <v>12179.055</v>
      </c>
      <c r="I1112" s="203">
        <f>SUM('2032'!H6:H9)+SUM('2032'!H17:H20)</f>
        <v>13031.55</v>
      </c>
      <c r="J1112" s="203">
        <f>SUM('2032'!I6:I9)+SUM('2032'!I17:I20)</f>
        <v>13031.55</v>
      </c>
      <c r="K1112" s="203">
        <f>SUM('2032'!J6:J9)+SUM('2032'!J17:J20)</f>
        <v>13031.55</v>
      </c>
      <c r="L1112" s="203">
        <f>SUM('2032'!K6:K9)+SUM('2032'!K17:K20)</f>
        <v>12787.425</v>
      </c>
      <c r="M1112" s="203">
        <f>SUM('2032'!L6:L9)+SUM('2032'!L17:L20)</f>
        <v>12543.3</v>
      </c>
      <c r="N1112" s="203">
        <f>SUM('2032'!M6:M9)+SUM('2032'!M17:M20)</f>
        <v>19971.63</v>
      </c>
      <c r="O1112" s="5"/>
      <c r="P1112" s="5"/>
      <c r="Q1112" s="5"/>
      <c r="R1112" s="5"/>
      <c r="S1112" s="5"/>
      <c r="T1112" s="5"/>
      <c r="U1112" s="5"/>
      <c r="V1112" s="5"/>
      <c r="W1112" s="5"/>
      <c r="X1112" s="5"/>
      <c r="Y1112" s="5"/>
      <c r="Z1112" s="5"/>
    </row>
    <row r="1113" ht="12.0" customHeight="1">
      <c r="A1113" s="5"/>
      <c r="B1113" s="92" t="s">
        <v>634</v>
      </c>
      <c r="C1113" s="204">
        <f>C1112/Parametros!$B$37</f>
        <v>974.169</v>
      </c>
      <c r="D1113" s="204">
        <f>D1112/Parametros!$B$37</f>
        <v>742.833</v>
      </c>
      <c r="E1113" s="204">
        <f>E1112/Parametros!$B$37</f>
        <v>694.20225</v>
      </c>
      <c r="F1113" s="204">
        <f>F1112/Parametros!$B$37</f>
        <v>663.78375</v>
      </c>
      <c r="G1113" s="204">
        <f>G1112/Parametros!$B$37</f>
        <v>621.159</v>
      </c>
      <c r="H1113" s="204">
        <f>H1112/Parametros!$B$37</f>
        <v>608.95275</v>
      </c>
      <c r="I1113" s="204">
        <f>I1112/Parametros!$B$37</f>
        <v>651.5775</v>
      </c>
      <c r="J1113" s="204">
        <f>J1112/Parametros!$B$37</f>
        <v>651.5775</v>
      </c>
      <c r="K1113" s="204">
        <f>K1112/Parametros!$B$37</f>
        <v>651.5775</v>
      </c>
      <c r="L1113" s="204">
        <f>L1112/Parametros!$B$37</f>
        <v>639.37125</v>
      </c>
      <c r="M1113" s="204">
        <f>M1112/Parametros!$B$37</f>
        <v>627.165</v>
      </c>
      <c r="N1113" s="204">
        <f>N1112/Parametros!$B$37</f>
        <v>998.5815</v>
      </c>
      <c r="O1113" s="5"/>
      <c r="P1113" s="5"/>
      <c r="Q1113" s="5"/>
      <c r="R1113" s="5"/>
      <c r="S1113" s="5"/>
      <c r="T1113" s="5"/>
      <c r="U1113" s="5"/>
      <c r="V1113" s="5"/>
      <c r="W1113" s="5"/>
      <c r="X1113" s="5"/>
      <c r="Y1113" s="5"/>
      <c r="Z1113" s="5"/>
    </row>
    <row r="1114" ht="12.0" customHeight="1">
      <c r="A1114" s="5"/>
      <c r="B1114" s="92" t="s">
        <v>635</v>
      </c>
      <c r="C1114" s="204">
        <f>C1113/Parametros!$J$37</f>
        <v>129.8892</v>
      </c>
      <c r="D1114" s="204">
        <f>D1113/Parametros!$J$37</f>
        <v>99.0444</v>
      </c>
      <c r="E1114" s="204">
        <f>E1113/Parametros!$J$37</f>
        <v>92.5603</v>
      </c>
      <c r="F1114" s="204">
        <f>F1113/Parametros!$J$37</f>
        <v>88.5045</v>
      </c>
      <c r="G1114" s="204">
        <f>G1113/Parametros!$J$37</f>
        <v>82.8212</v>
      </c>
      <c r="H1114" s="204">
        <f>H1113/Parametros!$J$37</f>
        <v>81.1937</v>
      </c>
      <c r="I1114" s="204">
        <f>I1113/Parametros!$J$37</f>
        <v>86.877</v>
      </c>
      <c r="J1114" s="204">
        <f>J1113/Parametros!$J$37</f>
        <v>86.877</v>
      </c>
      <c r="K1114" s="204">
        <f>K1113/Parametros!$J$37</f>
        <v>86.877</v>
      </c>
      <c r="L1114" s="204">
        <f>L1113/Parametros!$J$37</f>
        <v>85.2495</v>
      </c>
      <c r="M1114" s="204">
        <f>M1113/Parametros!$J$37</f>
        <v>83.622</v>
      </c>
      <c r="N1114" s="204">
        <f>N1113/Parametros!$J$37</f>
        <v>133.1442</v>
      </c>
      <c r="O1114" s="5"/>
      <c r="P1114" s="5"/>
      <c r="Q1114" s="5"/>
      <c r="R1114" s="5"/>
      <c r="S1114" s="5"/>
      <c r="T1114" s="5"/>
      <c r="U1114" s="5"/>
      <c r="V1114" s="5"/>
      <c r="W1114" s="5"/>
      <c r="X1114" s="5"/>
      <c r="Y1114" s="5"/>
      <c r="Z1114" s="5"/>
    </row>
    <row r="1115" ht="12.0" customHeight="1">
      <c r="A1115" s="92" t="s">
        <v>636</v>
      </c>
      <c r="B1115" s="5"/>
      <c r="C1115" s="204">
        <f t="shared" ref="C1115:N1115" si="328">C1114</f>
        <v>129.8892</v>
      </c>
      <c r="D1115" s="204">
        <f t="shared" si="328"/>
        <v>99.0444</v>
      </c>
      <c r="E1115" s="204">
        <f t="shared" si="328"/>
        <v>92.5603</v>
      </c>
      <c r="F1115" s="204">
        <f t="shared" si="328"/>
        <v>88.5045</v>
      </c>
      <c r="G1115" s="204">
        <f t="shared" si="328"/>
        <v>82.8212</v>
      </c>
      <c r="H1115" s="204">
        <f t="shared" si="328"/>
        <v>81.1937</v>
      </c>
      <c r="I1115" s="204">
        <f t="shared" si="328"/>
        <v>86.877</v>
      </c>
      <c r="J1115" s="204">
        <f t="shared" si="328"/>
        <v>86.877</v>
      </c>
      <c r="K1115" s="204">
        <f t="shared" si="328"/>
        <v>86.877</v>
      </c>
      <c r="L1115" s="204">
        <f t="shared" si="328"/>
        <v>85.2495</v>
      </c>
      <c r="M1115" s="204">
        <f t="shared" si="328"/>
        <v>83.622</v>
      </c>
      <c r="N1115" s="204">
        <f t="shared" si="328"/>
        <v>133.1442</v>
      </c>
      <c r="O1115" s="5"/>
      <c r="P1115" s="5"/>
      <c r="Q1115" s="5"/>
      <c r="R1115" s="5"/>
      <c r="S1115" s="5"/>
      <c r="T1115" s="5"/>
      <c r="U1115" s="5"/>
      <c r="V1115" s="5"/>
      <c r="W1115" s="5"/>
      <c r="X1115" s="5"/>
      <c r="Y1115" s="5"/>
      <c r="Z1115" s="5"/>
    </row>
    <row r="1116" ht="12.0" customHeight="1">
      <c r="A1116" s="92" t="s">
        <v>637</v>
      </c>
      <c r="B1116" s="5"/>
      <c r="C1116" s="205">
        <f>'Resumen Capacidad'!$H$112</f>
        <v>90.19362319</v>
      </c>
      <c r="D1116" s="205">
        <f>'Resumen Capacidad'!$H$112</f>
        <v>90.19362319</v>
      </c>
      <c r="E1116" s="205">
        <f>'Resumen Capacidad'!$H$112</f>
        <v>90.19362319</v>
      </c>
      <c r="F1116" s="205">
        <f>'Resumen Capacidad'!$H$112</f>
        <v>90.19362319</v>
      </c>
      <c r="G1116" s="205">
        <f>'Resumen Capacidad'!$H$112</f>
        <v>90.19362319</v>
      </c>
      <c r="H1116" s="205">
        <f>'Resumen Capacidad'!$H$112</f>
        <v>90.19362319</v>
      </c>
      <c r="I1116" s="205">
        <f>'Resumen Capacidad'!$H$112</f>
        <v>90.19362319</v>
      </c>
      <c r="J1116" s="205">
        <f>'Resumen Capacidad'!$H$112</f>
        <v>90.19362319</v>
      </c>
      <c r="K1116" s="205">
        <f>'Resumen Capacidad'!$H$112</f>
        <v>90.19362319</v>
      </c>
      <c r="L1116" s="205">
        <f>'Resumen Capacidad'!$H$112</f>
        <v>90.19362319</v>
      </c>
      <c r="M1116" s="205">
        <f>'Resumen Capacidad'!$H$112</f>
        <v>90.19362319</v>
      </c>
      <c r="N1116" s="205">
        <f>'Resumen Capacidad'!$H$112</f>
        <v>90.19362319</v>
      </c>
      <c r="O1116" s="5"/>
      <c r="P1116" s="5"/>
      <c r="Q1116" s="5"/>
      <c r="R1116" s="5"/>
      <c r="S1116" s="5"/>
      <c r="T1116" s="5"/>
      <c r="U1116" s="5"/>
      <c r="V1116" s="5"/>
      <c r="W1116" s="5"/>
      <c r="X1116" s="5"/>
      <c r="Y1116" s="5"/>
      <c r="Z1116" s="5"/>
    </row>
    <row r="1117" ht="12.0" customHeight="1">
      <c r="A1117" s="92" t="s">
        <v>640</v>
      </c>
      <c r="B1117" s="5"/>
      <c r="C1117" s="204">
        <f>'Resumen Capacidad'!$H$30*'Resumen Capacidad'!$H$66</f>
        <v>2</v>
      </c>
      <c r="D1117" s="204">
        <f>'Resumen Capacidad'!$H$30*'Resumen Capacidad'!$H$66</f>
        <v>2</v>
      </c>
      <c r="E1117" s="204">
        <f>'Resumen Capacidad'!$H$30*'Resumen Capacidad'!$H$66</f>
        <v>2</v>
      </c>
      <c r="F1117" s="204">
        <f>'Resumen Capacidad'!$H$30*'Resumen Capacidad'!$H$66</f>
        <v>2</v>
      </c>
      <c r="G1117" s="204">
        <f>'Resumen Capacidad'!$H$30*'Resumen Capacidad'!$H$66</f>
        <v>2</v>
      </c>
      <c r="H1117" s="204">
        <f>'Resumen Capacidad'!$H$30*'Resumen Capacidad'!$H$66</f>
        <v>2</v>
      </c>
      <c r="I1117" s="204">
        <f>'Resumen Capacidad'!$H$30*'Resumen Capacidad'!$H$66</f>
        <v>2</v>
      </c>
      <c r="J1117" s="204">
        <f>'Resumen Capacidad'!$H$30*'Resumen Capacidad'!$H$66</f>
        <v>2</v>
      </c>
      <c r="K1117" s="204">
        <f>'Resumen Capacidad'!$H$30*'Resumen Capacidad'!$H$66</f>
        <v>2</v>
      </c>
      <c r="L1117" s="204">
        <f>'Resumen Capacidad'!$H$30*'Resumen Capacidad'!$H$66</f>
        <v>2</v>
      </c>
      <c r="M1117" s="204">
        <f>'Resumen Capacidad'!$H$30*'Resumen Capacidad'!$H$66</f>
        <v>2</v>
      </c>
      <c r="N1117" s="204">
        <f>'Resumen Capacidad'!$H$30*'Resumen Capacidad'!$H$66</f>
        <v>2</v>
      </c>
      <c r="O1117" s="5"/>
      <c r="P1117" s="5"/>
      <c r="Q1117" s="5"/>
      <c r="R1117" s="5"/>
      <c r="S1117" s="5"/>
      <c r="T1117" s="5"/>
      <c r="U1117" s="5"/>
      <c r="V1117" s="5"/>
      <c r="W1117" s="5"/>
      <c r="X1117" s="5"/>
      <c r="Y1117" s="5"/>
      <c r="Z1117" s="5"/>
    </row>
    <row r="1118" ht="12.0" customHeight="1">
      <c r="A1118" s="92" t="s">
        <v>642</v>
      </c>
      <c r="B1118" s="5"/>
      <c r="C1118" s="204">
        <f t="shared" ref="C1118:N1118" si="329">C1116*C1117</f>
        <v>180.3872464</v>
      </c>
      <c r="D1118" s="204">
        <f t="shared" si="329"/>
        <v>180.3872464</v>
      </c>
      <c r="E1118" s="204">
        <f t="shared" si="329"/>
        <v>180.3872464</v>
      </c>
      <c r="F1118" s="204">
        <f t="shared" si="329"/>
        <v>180.3872464</v>
      </c>
      <c r="G1118" s="204">
        <f t="shared" si="329"/>
        <v>180.3872464</v>
      </c>
      <c r="H1118" s="204">
        <f t="shared" si="329"/>
        <v>180.3872464</v>
      </c>
      <c r="I1118" s="204">
        <f t="shared" si="329"/>
        <v>180.3872464</v>
      </c>
      <c r="J1118" s="204">
        <f t="shared" si="329"/>
        <v>180.3872464</v>
      </c>
      <c r="K1118" s="204">
        <f t="shared" si="329"/>
        <v>180.3872464</v>
      </c>
      <c r="L1118" s="204">
        <f t="shared" si="329"/>
        <v>180.3872464</v>
      </c>
      <c r="M1118" s="204">
        <f t="shared" si="329"/>
        <v>180.3872464</v>
      </c>
      <c r="N1118" s="204">
        <f t="shared" si="329"/>
        <v>180.3872464</v>
      </c>
      <c r="O1118" s="5"/>
      <c r="P1118" s="5"/>
      <c r="Q1118" s="5"/>
      <c r="R1118" s="5"/>
      <c r="S1118" s="5"/>
      <c r="T1118" s="5"/>
      <c r="U1118" s="5"/>
      <c r="V1118" s="5"/>
      <c r="W1118" s="5"/>
      <c r="X1118" s="5"/>
      <c r="Y1118" s="5"/>
      <c r="Z1118" s="5"/>
    </row>
    <row r="1119" ht="12.0" customHeight="1">
      <c r="A1119" s="92" t="s">
        <v>643</v>
      </c>
      <c r="B1119" s="5"/>
      <c r="C1119" s="206">
        <f t="shared" ref="C1119:N1119" si="330">IF(C1118=0,0,C1115/C1118)</f>
        <v>0.7200575573</v>
      </c>
      <c r="D1119" s="206">
        <f t="shared" si="330"/>
        <v>0.5490654245</v>
      </c>
      <c r="E1119" s="206">
        <f t="shared" si="330"/>
        <v>0.5131199786</v>
      </c>
      <c r="F1119" s="206">
        <f t="shared" si="330"/>
        <v>0.4906361274</v>
      </c>
      <c r="G1119" s="206">
        <f t="shared" si="330"/>
        <v>0.4591300198</v>
      </c>
      <c r="H1119" s="206">
        <f t="shared" si="330"/>
        <v>0.4501077633</v>
      </c>
      <c r="I1119" s="206">
        <f t="shared" si="330"/>
        <v>0.481613871</v>
      </c>
      <c r="J1119" s="206">
        <f t="shared" si="330"/>
        <v>0.481613871</v>
      </c>
      <c r="K1119" s="206">
        <f t="shared" si="330"/>
        <v>0.481613871</v>
      </c>
      <c r="L1119" s="206">
        <f t="shared" si="330"/>
        <v>0.4725916145</v>
      </c>
      <c r="M1119" s="206">
        <f t="shared" si="330"/>
        <v>0.463569358</v>
      </c>
      <c r="N1119" s="206">
        <f t="shared" si="330"/>
        <v>0.7381020703</v>
      </c>
      <c r="O1119" s="5"/>
      <c r="P1119" s="5"/>
      <c r="Q1119" s="5"/>
      <c r="R1119" s="5"/>
      <c r="S1119" s="5"/>
      <c r="T1119" s="5"/>
      <c r="U1119" s="5"/>
      <c r="V1119" s="5"/>
      <c r="W1119" s="5"/>
      <c r="X1119" s="5"/>
      <c r="Y1119" s="5"/>
      <c r="Z1119" s="5"/>
    </row>
    <row r="1120" ht="12.0" customHeight="1">
      <c r="A1120" s="201" t="s">
        <v>646</v>
      </c>
      <c r="B1120" s="202"/>
      <c r="C1120" s="202"/>
      <c r="D1120" s="202"/>
      <c r="E1120" s="202"/>
      <c r="F1120" s="202"/>
      <c r="G1120" s="202"/>
      <c r="H1120" s="202"/>
      <c r="I1120" s="202"/>
      <c r="J1120" s="202"/>
      <c r="K1120" s="202"/>
      <c r="L1120" s="202"/>
      <c r="M1120" s="202"/>
      <c r="N1120" s="202"/>
      <c r="O1120" s="5"/>
      <c r="P1120" s="5"/>
      <c r="Q1120" s="5"/>
      <c r="R1120" s="5"/>
      <c r="S1120" s="5"/>
      <c r="T1120" s="5"/>
      <c r="U1120" s="5"/>
      <c r="V1120" s="5"/>
      <c r="W1120" s="5"/>
      <c r="X1120" s="5"/>
      <c r="Y1120" s="5"/>
      <c r="Z1120" s="5"/>
    </row>
    <row r="1121" ht="12.0" customHeight="1">
      <c r="A1121" s="201" t="s">
        <v>630</v>
      </c>
      <c r="B1121" s="201" t="s">
        <v>631</v>
      </c>
      <c r="C1121" s="201" t="s">
        <v>3</v>
      </c>
      <c r="D1121" s="201" t="s">
        <v>4</v>
      </c>
      <c r="E1121" s="201" t="s">
        <v>5</v>
      </c>
      <c r="F1121" s="201" t="s">
        <v>6</v>
      </c>
      <c r="G1121" s="201" t="s">
        <v>7</v>
      </c>
      <c r="H1121" s="201" t="s">
        <v>8</v>
      </c>
      <c r="I1121" s="201" t="s">
        <v>9</v>
      </c>
      <c r="J1121" s="201" t="s">
        <v>10</v>
      </c>
      <c r="K1121" s="201" t="s">
        <v>11</v>
      </c>
      <c r="L1121" s="201" t="s">
        <v>12</v>
      </c>
      <c r="M1121" s="201" t="s">
        <v>13</v>
      </c>
      <c r="N1121" s="201" t="s">
        <v>14</v>
      </c>
      <c r="O1121" s="5"/>
      <c r="P1121" s="5"/>
      <c r="Q1121" s="5"/>
      <c r="R1121" s="5"/>
      <c r="S1121" s="5"/>
      <c r="T1121" s="5"/>
      <c r="U1121" s="5"/>
      <c r="V1121" s="5"/>
      <c r="W1121" s="5"/>
      <c r="X1121" s="5"/>
      <c r="Y1121" s="5"/>
      <c r="Z1121" s="5"/>
    </row>
    <row r="1122" ht="12.0" customHeight="1">
      <c r="A1122" s="92" t="s">
        <v>647</v>
      </c>
      <c r="B1122" s="92" t="s">
        <v>633</v>
      </c>
      <c r="C1122" s="203">
        <f>(SUM('2032'!B6:B9)+SUM('2032'!B17:B20))*2</f>
        <v>38966.76</v>
      </c>
      <c r="D1122" s="203">
        <f>(SUM('2032'!C6:C9)+SUM('2032'!C17:C20))*2</f>
        <v>29713.32</v>
      </c>
      <c r="E1122" s="203">
        <f>(SUM('2032'!D6:D9)+SUM('2032'!D17:D20))*2</f>
        <v>27768.09</v>
      </c>
      <c r="F1122" s="203">
        <f>(SUM('2032'!E6:E9)+SUM('2032'!E17:E20))*2</f>
        <v>26551.35</v>
      </c>
      <c r="G1122" s="203">
        <f>(SUM('2032'!F6:F9)+SUM('2032'!F17:F20))*2</f>
        <v>24846.36</v>
      </c>
      <c r="H1122" s="203">
        <f>(SUM('2032'!G6:G9)+SUM('2032'!G17:G20))*2</f>
        <v>24358.11</v>
      </c>
      <c r="I1122" s="203">
        <f>(SUM('2032'!H6:H9)+SUM('2032'!H17:H20))*2</f>
        <v>26063.1</v>
      </c>
      <c r="J1122" s="203">
        <f>(SUM('2032'!I6:I9)+SUM('2032'!I17:I20))*2</f>
        <v>26063.1</v>
      </c>
      <c r="K1122" s="203">
        <f>(SUM('2032'!J6:J9)+SUM('2032'!J17:J20))*2</f>
        <v>26063.1</v>
      </c>
      <c r="L1122" s="203">
        <f>(SUM('2032'!K6:K9)+SUM('2032'!K17:K20))*2</f>
        <v>25574.85</v>
      </c>
      <c r="M1122" s="203">
        <f>(SUM('2032'!L6:L9)+SUM('2032'!L17:L20))*2</f>
        <v>25086.6</v>
      </c>
      <c r="N1122" s="203">
        <f>(SUM('2032'!M6:M9)+SUM('2032'!M17:M20))*2</f>
        <v>39943.26</v>
      </c>
      <c r="O1122" s="5"/>
      <c r="P1122" s="5"/>
      <c r="Q1122" s="5"/>
      <c r="R1122" s="5"/>
      <c r="S1122" s="5"/>
      <c r="T1122" s="5"/>
      <c r="U1122" s="5"/>
      <c r="V1122" s="5"/>
      <c r="W1122" s="5"/>
      <c r="X1122" s="5"/>
      <c r="Y1122" s="5"/>
      <c r="Z1122" s="5"/>
    </row>
    <row r="1123" ht="12.0" customHeight="1">
      <c r="A1123" s="5"/>
      <c r="B1123" s="92" t="s">
        <v>634</v>
      </c>
      <c r="C1123" s="204">
        <f>C1122/Parametros!$B$37</f>
        <v>1948.338</v>
      </c>
      <c r="D1123" s="204">
        <f>D1122/Parametros!$B$37</f>
        <v>1485.666</v>
      </c>
      <c r="E1123" s="204">
        <f>E1122/Parametros!$B$37</f>
        <v>1388.4045</v>
      </c>
      <c r="F1123" s="204">
        <f>F1122/Parametros!$B$37</f>
        <v>1327.5675</v>
      </c>
      <c r="G1123" s="204">
        <f>G1122/Parametros!$B$37</f>
        <v>1242.318</v>
      </c>
      <c r="H1123" s="204">
        <f>H1122/Parametros!$B$37</f>
        <v>1217.9055</v>
      </c>
      <c r="I1123" s="204">
        <f>I1122/Parametros!$B$37</f>
        <v>1303.155</v>
      </c>
      <c r="J1123" s="204">
        <f>J1122/Parametros!$B$37</f>
        <v>1303.155</v>
      </c>
      <c r="K1123" s="204">
        <f>K1122/Parametros!$B$37</f>
        <v>1303.155</v>
      </c>
      <c r="L1123" s="204">
        <f>L1122/Parametros!$B$37</f>
        <v>1278.7425</v>
      </c>
      <c r="M1123" s="204">
        <f>M1122/Parametros!$B$37</f>
        <v>1254.33</v>
      </c>
      <c r="N1123" s="204">
        <f>N1122/Parametros!$B$37</f>
        <v>1997.163</v>
      </c>
      <c r="O1123" s="5"/>
      <c r="P1123" s="5"/>
      <c r="Q1123" s="5"/>
      <c r="R1123" s="5"/>
      <c r="S1123" s="5"/>
      <c r="T1123" s="5"/>
      <c r="U1123" s="5"/>
      <c r="V1123" s="5"/>
      <c r="W1123" s="5"/>
      <c r="X1123" s="5"/>
      <c r="Y1123" s="5"/>
      <c r="Z1123" s="5"/>
    </row>
    <row r="1124" ht="12.0" customHeight="1">
      <c r="A1124" s="5"/>
      <c r="B1124" s="92" t="s">
        <v>635</v>
      </c>
      <c r="C1124" s="204">
        <f>C1123/Parametros!$J$37</f>
        <v>259.7784</v>
      </c>
      <c r="D1124" s="204">
        <f>D1123/Parametros!$J$37</f>
        <v>198.0888</v>
      </c>
      <c r="E1124" s="204">
        <f>E1123/Parametros!$J$37</f>
        <v>185.1206</v>
      </c>
      <c r="F1124" s="204">
        <f>F1123/Parametros!$J$37</f>
        <v>177.009</v>
      </c>
      <c r="G1124" s="204">
        <f>G1123/Parametros!$J$37</f>
        <v>165.6424</v>
      </c>
      <c r="H1124" s="204">
        <f>H1123/Parametros!$J$37</f>
        <v>162.3874</v>
      </c>
      <c r="I1124" s="204">
        <f>I1123/Parametros!$J$37</f>
        <v>173.754</v>
      </c>
      <c r="J1124" s="204">
        <f>J1123/Parametros!$J$37</f>
        <v>173.754</v>
      </c>
      <c r="K1124" s="204">
        <f>K1123/Parametros!$J$37</f>
        <v>173.754</v>
      </c>
      <c r="L1124" s="204">
        <f>L1123/Parametros!$J$37</f>
        <v>170.499</v>
      </c>
      <c r="M1124" s="204">
        <f>M1123/Parametros!$J$37</f>
        <v>167.244</v>
      </c>
      <c r="N1124" s="204">
        <f>N1123/Parametros!$J$37</f>
        <v>266.2884</v>
      </c>
      <c r="O1124" s="5"/>
      <c r="P1124" s="5"/>
      <c r="Q1124" s="5"/>
      <c r="R1124" s="5"/>
      <c r="S1124" s="5"/>
      <c r="T1124" s="5"/>
      <c r="U1124" s="5"/>
      <c r="V1124" s="5"/>
      <c r="W1124" s="5"/>
      <c r="X1124" s="5"/>
      <c r="Y1124" s="5"/>
      <c r="Z1124" s="5"/>
    </row>
    <row r="1125" ht="12.0" customHeight="1">
      <c r="A1125" s="92" t="s">
        <v>636</v>
      </c>
      <c r="B1125" s="5"/>
      <c r="C1125" s="204">
        <f t="shared" ref="C1125:N1125" si="331">C1124</f>
        <v>259.7784</v>
      </c>
      <c r="D1125" s="204">
        <f t="shared" si="331"/>
        <v>198.0888</v>
      </c>
      <c r="E1125" s="204">
        <f t="shared" si="331"/>
        <v>185.1206</v>
      </c>
      <c r="F1125" s="204">
        <f t="shared" si="331"/>
        <v>177.009</v>
      </c>
      <c r="G1125" s="204">
        <f t="shared" si="331"/>
        <v>165.6424</v>
      </c>
      <c r="H1125" s="204">
        <f t="shared" si="331"/>
        <v>162.3874</v>
      </c>
      <c r="I1125" s="204">
        <f t="shared" si="331"/>
        <v>173.754</v>
      </c>
      <c r="J1125" s="204">
        <f t="shared" si="331"/>
        <v>173.754</v>
      </c>
      <c r="K1125" s="204">
        <f t="shared" si="331"/>
        <v>173.754</v>
      </c>
      <c r="L1125" s="204">
        <f t="shared" si="331"/>
        <v>170.499</v>
      </c>
      <c r="M1125" s="204">
        <f t="shared" si="331"/>
        <v>167.244</v>
      </c>
      <c r="N1125" s="204">
        <f t="shared" si="331"/>
        <v>266.2884</v>
      </c>
      <c r="O1125" s="5"/>
      <c r="P1125" s="5"/>
      <c r="Q1125" s="5"/>
      <c r="R1125" s="5"/>
      <c r="S1125" s="5"/>
      <c r="T1125" s="5"/>
      <c r="U1125" s="5"/>
      <c r="V1125" s="5"/>
      <c r="W1125" s="5"/>
      <c r="X1125" s="5"/>
      <c r="Y1125" s="5"/>
      <c r="Z1125" s="5"/>
    </row>
    <row r="1126" ht="12.0" customHeight="1">
      <c r="A1126" s="92" t="s">
        <v>637</v>
      </c>
      <c r="B1126" s="5"/>
      <c r="C1126" s="205">
        <f>'Resumen Capacidad'!$H$113</f>
        <v>466.5116279</v>
      </c>
      <c r="D1126" s="205">
        <f>'Resumen Capacidad'!$H$113</f>
        <v>466.5116279</v>
      </c>
      <c r="E1126" s="205">
        <f>'Resumen Capacidad'!$H$113</f>
        <v>466.5116279</v>
      </c>
      <c r="F1126" s="205">
        <f>'Resumen Capacidad'!$H$113</f>
        <v>466.5116279</v>
      </c>
      <c r="G1126" s="205">
        <f>'Resumen Capacidad'!$H$113</f>
        <v>466.5116279</v>
      </c>
      <c r="H1126" s="205">
        <f>'Resumen Capacidad'!$H$113</f>
        <v>466.5116279</v>
      </c>
      <c r="I1126" s="205">
        <f>'Resumen Capacidad'!$H$113</f>
        <v>466.5116279</v>
      </c>
      <c r="J1126" s="205">
        <f>'Resumen Capacidad'!$H$113</f>
        <v>466.5116279</v>
      </c>
      <c r="K1126" s="205">
        <f>'Resumen Capacidad'!$H$113</f>
        <v>466.5116279</v>
      </c>
      <c r="L1126" s="205">
        <f>'Resumen Capacidad'!$H$113</f>
        <v>466.5116279</v>
      </c>
      <c r="M1126" s="205">
        <f>'Resumen Capacidad'!$H$113</f>
        <v>466.5116279</v>
      </c>
      <c r="N1126" s="205">
        <f>'Resumen Capacidad'!$H$113</f>
        <v>466.5116279</v>
      </c>
      <c r="O1126" s="5"/>
      <c r="P1126" s="5"/>
      <c r="Q1126" s="5"/>
      <c r="R1126" s="5"/>
      <c r="S1126" s="5"/>
      <c r="T1126" s="5"/>
      <c r="U1126" s="5"/>
      <c r="V1126" s="5"/>
      <c r="W1126" s="5"/>
      <c r="X1126" s="5"/>
      <c r="Y1126" s="5"/>
      <c r="Z1126" s="5"/>
    </row>
    <row r="1127" ht="12.0" customHeight="1">
      <c r="A1127" s="92" t="s">
        <v>640</v>
      </c>
      <c r="B1127" s="5"/>
      <c r="C1127" s="204">
        <f>'Resumen Capacidad'!$H$31*'Resumen Capacidad'!$H$67</f>
        <v>1</v>
      </c>
      <c r="D1127" s="204">
        <f>'Resumen Capacidad'!$H$31*'Resumen Capacidad'!$H$67</f>
        <v>1</v>
      </c>
      <c r="E1127" s="204">
        <f>'Resumen Capacidad'!$H$31*'Resumen Capacidad'!$H$67</f>
        <v>1</v>
      </c>
      <c r="F1127" s="204">
        <f>'Resumen Capacidad'!$H$31*'Resumen Capacidad'!$H$67</f>
        <v>1</v>
      </c>
      <c r="G1127" s="204">
        <f>'Resumen Capacidad'!$H$31*'Resumen Capacidad'!$H$67</f>
        <v>1</v>
      </c>
      <c r="H1127" s="204">
        <f>'Resumen Capacidad'!$H$31*'Resumen Capacidad'!$H$67</f>
        <v>1</v>
      </c>
      <c r="I1127" s="204">
        <f>'Resumen Capacidad'!$H$31*'Resumen Capacidad'!$H$67</f>
        <v>1</v>
      </c>
      <c r="J1127" s="204">
        <f>'Resumen Capacidad'!$H$31*'Resumen Capacidad'!$H$67</f>
        <v>1</v>
      </c>
      <c r="K1127" s="204">
        <f>'Resumen Capacidad'!$H$31*'Resumen Capacidad'!$H$67</f>
        <v>1</v>
      </c>
      <c r="L1127" s="204">
        <f>'Resumen Capacidad'!$H$31*'Resumen Capacidad'!$H$67</f>
        <v>1</v>
      </c>
      <c r="M1127" s="204">
        <f>'Resumen Capacidad'!$H$31*'Resumen Capacidad'!$H$67</f>
        <v>1</v>
      </c>
      <c r="N1127" s="204">
        <f>'Resumen Capacidad'!$H$31*'Resumen Capacidad'!$H$67</f>
        <v>1</v>
      </c>
      <c r="O1127" s="5"/>
      <c r="P1127" s="5"/>
      <c r="Q1127" s="5"/>
      <c r="R1127" s="5"/>
      <c r="S1127" s="5"/>
      <c r="T1127" s="5"/>
      <c r="U1127" s="5"/>
      <c r="V1127" s="5"/>
      <c r="W1127" s="5"/>
      <c r="X1127" s="5"/>
      <c r="Y1127" s="5"/>
      <c r="Z1127" s="5"/>
    </row>
    <row r="1128" ht="12.0" customHeight="1">
      <c r="A1128" s="92" t="s">
        <v>642</v>
      </c>
      <c r="B1128" s="5"/>
      <c r="C1128" s="204">
        <f t="shared" ref="C1128:N1128" si="332">C1126*C1127</f>
        <v>466.5116279</v>
      </c>
      <c r="D1128" s="204">
        <f t="shared" si="332"/>
        <v>466.5116279</v>
      </c>
      <c r="E1128" s="204">
        <f t="shared" si="332"/>
        <v>466.5116279</v>
      </c>
      <c r="F1128" s="204">
        <f t="shared" si="332"/>
        <v>466.5116279</v>
      </c>
      <c r="G1128" s="204">
        <f t="shared" si="332"/>
        <v>466.5116279</v>
      </c>
      <c r="H1128" s="204">
        <f t="shared" si="332"/>
        <v>466.5116279</v>
      </c>
      <c r="I1128" s="204">
        <f t="shared" si="332"/>
        <v>466.5116279</v>
      </c>
      <c r="J1128" s="204">
        <f t="shared" si="332"/>
        <v>466.5116279</v>
      </c>
      <c r="K1128" s="204">
        <f t="shared" si="332"/>
        <v>466.5116279</v>
      </c>
      <c r="L1128" s="204">
        <f t="shared" si="332"/>
        <v>466.5116279</v>
      </c>
      <c r="M1128" s="204">
        <f t="shared" si="332"/>
        <v>466.5116279</v>
      </c>
      <c r="N1128" s="204">
        <f t="shared" si="332"/>
        <v>466.5116279</v>
      </c>
      <c r="O1128" s="5"/>
      <c r="P1128" s="5"/>
      <c r="Q1128" s="5"/>
      <c r="R1128" s="5"/>
      <c r="S1128" s="5"/>
      <c r="T1128" s="5"/>
      <c r="U1128" s="5"/>
      <c r="V1128" s="5"/>
      <c r="W1128" s="5"/>
      <c r="X1128" s="5"/>
      <c r="Y1128" s="5"/>
      <c r="Z1128" s="5"/>
    </row>
    <row r="1129" ht="12.0" customHeight="1">
      <c r="A1129" s="92" t="s">
        <v>643</v>
      </c>
      <c r="B1129" s="5"/>
      <c r="C1129" s="206">
        <f t="shared" ref="C1129:N1129" si="333">IF(C1128=0,0,C1125/C1128)</f>
        <v>0.556853001</v>
      </c>
      <c r="D1129" s="206">
        <f t="shared" si="333"/>
        <v>0.4246170688</v>
      </c>
      <c r="E1129" s="206">
        <f t="shared" si="333"/>
        <v>0.3968188335</v>
      </c>
      <c r="F1129" s="206">
        <f t="shared" si="333"/>
        <v>0.3794310568</v>
      </c>
      <c r="G1129" s="206">
        <f t="shared" si="333"/>
        <v>0.3550659621</v>
      </c>
      <c r="H1129" s="206">
        <f t="shared" si="333"/>
        <v>0.3480886441</v>
      </c>
      <c r="I1129" s="206">
        <f t="shared" si="333"/>
        <v>0.3724537388</v>
      </c>
      <c r="J1129" s="206">
        <f t="shared" si="333"/>
        <v>0.3724537388</v>
      </c>
      <c r="K1129" s="206">
        <f t="shared" si="333"/>
        <v>0.3724537388</v>
      </c>
      <c r="L1129" s="206">
        <f t="shared" si="333"/>
        <v>0.3654764207</v>
      </c>
      <c r="M1129" s="206">
        <f t="shared" si="333"/>
        <v>0.3584991027</v>
      </c>
      <c r="N1129" s="206">
        <f t="shared" si="333"/>
        <v>0.5708076371</v>
      </c>
      <c r="O1129" s="5"/>
      <c r="P1129" s="5"/>
      <c r="Q1129" s="5"/>
      <c r="R1129" s="5"/>
      <c r="S1129" s="5"/>
      <c r="T1129" s="5"/>
      <c r="U1129" s="5"/>
      <c r="V1129" s="5"/>
      <c r="W1129" s="5"/>
      <c r="X1129" s="5"/>
      <c r="Y1129" s="5"/>
      <c r="Z1129" s="5"/>
    </row>
    <row r="1130" ht="12.0" customHeight="1">
      <c r="A1130" s="201" t="s">
        <v>649</v>
      </c>
      <c r="B1130" s="202"/>
      <c r="C1130" s="202"/>
      <c r="D1130" s="202"/>
      <c r="E1130" s="202"/>
      <c r="F1130" s="202"/>
      <c r="G1130" s="202"/>
      <c r="H1130" s="202"/>
      <c r="I1130" s="202"/>
      <c r="J1130" s="202"/>
      <c r="K1130" s="202"/>
      <c r="L1130" s="202"/>
      <c r="M1130" s="202"/>
      <c r="N1130" s="202"/>
      <c r="O1130" s="5"/>
      <c r="P1130" s="5"/>
      <c r="Q1130" s="5"/>
      <c r="R1130" s="5"/>
      <c r="S1130" s="5"/>
      <c r="T1130" s="5"/>
      <c r="U1130" s="5"/>
      <c r="V1130" s="5"/>
      <c r="W1130" s="5"/>
      <c r="X1130" s="5"/>
      <c r="Y1130" s="5"/>
      <c r="Z1130" s="5"/>
    </row>
    <row r="1131" ht="12.0" customHeight="1">
      <c r="A1131" s="201" t="s">
        <v>630</v>
      </c>
      <c r="B1131" s="201" t="s">
        <v>631</v>
      </c>
      <c r="C1131" s="201" t="s">
        <v>3</v>
      </c>
      <c r="D1131" s="201" t="s">
        <v>4</v>
      </c>
      <c r="E1131" s="201" t="s">
        <v>5</v>
      </c>
      <c r="F1131" s="201" t="s">
        <v>6</v>
      </c>
      <c r="G1131" s="201" t="s">
        <v>7</v>
      </c>
      <c r="H1131" s="201" t="s">
        <v>8</v>
      </c>
      <c r="I1131" s="201" t="s">
        <v>9</v>
      </c>
      <c r="J1131" s="201" t="s">
        <v>10</v>
      </c>
      <c r="K1131" s="201" t="s">
        <v>11</v>
      </c>
      <c r="L1131" s="201" t="s">
        <v>12</v>
      </c>
      <c r="M1131" s="201" t="s">
        <v>13</v>
      </c>
      <c r="N1131" s="201" t="s">
        <v>14</v>
      </c>
      <c r="O1131" s="5"/>
      <c r="P1131" s="5"/>
      <c r="Q1131" s="5"/>
      <c r="R1131" s="5"/>
      <c r="S1131" s="5"/>
      <c r="T1131" s="5"/>
      <c r="U1131" s="5"/>
      <c r="V1131" s="5"/>
      <c r="W1131" s="5"/>
      <c r="X1131" s="5"/>
      <c r="Y1131" s="5"/>
      <c r="Z1131" s="5"/>
    </row>
    <row r="1132" ht="12.0" customHeight="1">
      <c r="A1132" s="92" t="s">
        <v>632</v>
      </c>
      <c r="B1132" s="92" t="s">
        <v>633</v>
      </c>
      <c r="C1132" s="203">
        <f>SUM('2032'!B6:B9)+SUM('2032'!B17:B20)</f>
        <v>19483.38</v>
      </c>
      <c r="D1132" s="203">
        <f>SUM('2032'!C6:C9)+SUM('2032'!C17:C20)</f>
        <v>14856.66</v>
      </c>
      <c r="E1132" s="203">
        <f>SUM('2032'!D6:D9)+SUM('2032'!D17:D20)</f>
        <v>13884.045</v>
      </c>
      <c r="F1132" s="203">
        <f>SUM('2032'!E6:E9)+SUM('2032'!E17:E20)</f>
        <v>13275.675</v>
      </c>
      <c r="G1132" s="203">
        <f>SUM('2032'!F6:F9)+SUM('2032'!F17:F20)</f>
        <v>12423.18</v>
      </c>
      <c r="H1132" s="203">
        <f>SUM('2032'!G6:G9)+SUM('2032'!G17:G20)</f>
        <v>12179.055</v>
      </c>
      <c r="I1132" s="203">
        <f>SUM('2032'!H6:H9)+SUM('2032'!H17:H20)</f>
        <v>13031.55</v>
      </c>
      <c r="J1132" s="203">
        <f>SUM('2032'!I6:I9)+SUM('2032'!I17:I20)</f>
        <v>13031.55</v>
      </c>
      <c r="K1132" s="203">
        <f>SUM('2032'!J6:J9)+SUM('2032'!J17:J20)</f>
        <v>13031.55</v>
      </c>
      <c r="L1132" s="203">
        <f>SUM('2032'!K6:K9)+SUM('2032'!K17:K20)</f>
        <v>12787.425</v>
      </c>
      <c r="M1132" s="203">
        <f>SUM('2032'!L6:L9)+SUM('2032'!L17:L20)</f>
        <v>12543.3</v>
      </c>
      <c r="N1132" s="203">
        <f>SUM('2032'!M6:M9)+SUM('2032'!M17:M20)</f>
        <v>19971.63</v>
      </c>
      <c r="O1132" s="5"/>
      <c r="P1132" s="5"/>
      <c r="Q1132" s="5"/>
      <c r="R1132" s="5"/>
      <c r="S1132" s="5"/>
      <c r="T1132" s="5"/>
      <c r="U1132" s="5"/>
      <c r="V1132" s="5"/>
      <c r="W1132" s="5"/>
      <c r="X1132" s="5"/>
      <c r="Y1132" s="5"/>
      <c r="Z1132" s="5"/>
    </row>
    <row r="1133" ht="12.0" customHeight="1">
      <c r="A1133" s="5"/>
      <c r="B1133" s="92" t="s">
        <v>634</v>
      </c>
      <c r="C1133" s="204">
        <f>C1132/Parametros!$B$37</f>
        <v>974.169</v>
      </c>
      <c r="D1133" s="204">
        <f>D1132/Parametros!$B$37</f>
        <v>742.833</v>
      </c>
      <c r="E1133" s="204">
        <f>E1132/Parametros!$B$37</f>
        <v>694.20225</v>
      </c>
      <c r="F1133" s="204">
        <f>F1132/Parametros!$B$37</f>
        <v>663.78375</v>
      </c>
      <c r="G1133" s="204">
        <f>G1132/Parametros!$B$37</f>
        <v>621.159</v>
      </c>
      <c r="H1133" s="204">
        <f>H1132/Parametros!$B$37</f>
        <v>608.95275</v>
      </c>
      <c r="I1133" s="204">
        <f>I1132/Parametros!$B$37</f>
        <v>651.5775</v>
      </c>
      <c r="J1133" s="204">
        <f>J1132/Parametros!$B$37</f>
        <v>651.5775</v>
      </c>
      <c r="K1133" s="204">
        <f>K1132/Parametros!$B$37</f>
        <v>651.5775</v>
      </c>
      <c r="L1133" s="204">
        <f>L1132/Parametros!$B$37</f>
        <v>639.37125</v>
      </c>
      <c r="M1133" s="204">
        <f>M1132/Parametros!$B$37</f>
        <v>627.165</v>
      </c>
      <c r="N1133" s="204">
        <f>N1132/Parametros!$B$37</f>
        <v>998.5815</v>
      </c>
      <c r="O1133" s="5"/>
      <c r="P1133" s="5"/>
      <c r="Q1133" s="5"/>
      <c r="R1133" s="5"/>
      <c r="S1133" s="5"/>
      <c r="T1133" s="5"/>
      <c r="U1133" s="5"/>
      <c r="V1133" s="5"/>
      <c r="W1133" s="5"/>
      <c r="X1133" s="5"/>
      <c r="Y1133" s="5"/>
      <c r="Z1133" s="5"/>
    </row>
    <row r="1134" ht="12.0" customHeight="1">
      <c r="A1134" s="5"/>
      <c r="B1134" s="92" t="s">
        <v>635</v>
      </c>
      <c r="C1134" s="204">
        <f>C1133/Parametros!$J$37</f>
        <v>129.8892</v>
      </c>
      <c r="D1134" s="204">
        <f>D1133/Parametros!$J$37</f>
        <v>99.0444</v>
      </c>
      <c r="E1134" s="204">
        <f>E1133/Parametros!$J$37</f>
        <v>92.5603</v>
      </c>
      <c r="F1134" s="204">
        <f>F1133/Parametros!$J$37</f>
        <v>88.5045</v>
      </c>
      <c r="G1134" s="204">
        <f>G1133/Parametros!$J$37</f>
        <v>82.8212</v>
      </c>
      <c r="H1134" s="204">
        <f>H1133/Parametros!$J$37</f>
        <v>81.1937</v>
      </c>
      <c r="I1134" s="204">
        <f>I1133/Parametros!$J$37</f>
        <v>86.877</v>
      </c>
      <c r="J1134" s="204">
        <f>J1133/Parametros!$J$37</f>
        <v>86.877</v>
      </c>
      <c r="K1134" s="204">
        <f>K1133/Parametros!$J$37</f>
        <v>86.877</v>
      </c>
      <c r="L1134" s="204">
        <f>L1133/Parametros!$J$37</f>
        <v>85.2495</v>
      </c>
      <c r="M1134" s="204">
        <f>M1133/Parametros!$J$37</f>
        <v>83.622</v>
      </c>
      <c r="N1134" s="204">
        <f>N1133/Parametros!$J$37</f>
        <v>133.1442</v>
      </c>
      <c r="O1134" s="5"/>
      <c r="P1134" s="5"/>
      <c r="Q1134" s="5"/>
      <c r="R1134" s="5"/>
      <c r="S1134" s="5"/>
      <c r="T1134" s="5"/>
      <c r="U1134" s="5"/>
      <c r="V1134" s="5"/>
      <c r="W1134" s="5"/>
      <c r="X1134" s="5"/>
      <c r="Y1134" s="5"/>
      <c r="Z1134" s="5"/>
    </row>
    <row r="1135" ht="12.0" customHeight="1">
      <c r="A1135" s="92" t="s">
        <v>636</v>
      </c>
      <c r="B1135" s="5"/>
      <c r="C1135" s="204">
        <f t="shared" ref="C1135:N1135" si="334">C1134</f>
        <v>129.8892</v>
      </c>
      <c r="D1135" s="204">
        <f t="shared" si="334"/>
        <v>99.0444</v>
      </c>
      <c r="E1135" s="204">
        <f t="shared" si="334"/>
        <v>92.5603</v>
      </c>
      <c r="F1135" s="204">
        <f t="shared" si="334"/>
        <v>88.5045</v>
      </c>
      <c r="G1135" s="204">
        <f t="shared" si="334"/>
        <v>82.8212</v>
      </c>
      <c r="H1135" s="204">
        <f t="shared" si="334"/>
        <v>81.1937</v>
      </c>
      <c r="I1135" s="204">
        <f t="shared" si="334"/>
        <v>86.877</v>
      </c>
      <c r="J1135" s="204">
        <f t="shared" si="334"/>
        <v>86.877</v>
      </c>
      <c r="K1135" s="204">
        <f t="shared" si="334"/>
        <v>86.877</v>
      </c>
      <c r="L1135" s="204">
        <f t="shared" si="334"/>
        <v>85.2495</v>
      </c>
      <c r="M1135" s="204">
        <f t="shared" si="334"/>
        <v>83.622</v>
      </c>
      <c r="N1135" s="204">
        <f t="shared" si="334"/>
        <v>133.1442</v>
      </c>
      <c r="O1135" s="5"/>
      <c r="P1135" s="5"/>
      <c r="Q1135" s="5"/>
      <c r="R1135" s="5"/>
      <c r="S1135" s="5"/>
      <c r="T1135" s="5"/>
      <c r="U1135" s="5"/>
      <c r="V1135" s="5"/>
      <c r="W1135" s="5"/>
      <c r="X1135" s="5"/>
      <c r="Y1135" s="5"/>
      <c r="Z1135" s="5"/>
    </row>
    <row r="1136" ht="12.0" customHeight="1">
      <c r="A1136" s="92" t="s">
        <v>637</v>
      </c>
      <c r="B1136" s="5"/>
      <c r="C1136" s="205">
        <f>'Resumen Capacidad'!$H$114</f>
        <v>96</v>
      </c>
      <c r="D1136" s="205">
        <f>'Resumen Capacidad'!$H$114</f>
        <v>96</v>
      </c>
      <c r="E1136" s="205">
        <f>'Resumen Capacidad'!$H$114</f>
        <v>96</v>
      </c>
      <c r="F1136" s="205">
        <f>'Resumen Capacidad'!$H$114</f>
        <v>96</v>
      </c>
      <c r="G1136" s="205">
        <f>'Resumen Capacidad'!$H$114</f>
        <v>96</v>
      </c>
      <c r="H1136" s="205">
        <f>'Resumen Capacidad'!$H$114</f>
        <v>96</v>
      </c>
      <c r="I1136" s="205">
        <f>'Resumen Capacidad'!$H$114</f>
        <v>96</v>
      </c>
      <c r="J1136" s="205">
        <f>'Resumen Capacidad'!$H$114</f>
        <v>96</v>
      </c>
      <c r="K1136" s="205">
        <f>'Resumen Capacidad'!$H$114</f>
        <v>96</v>
      </c>
      <c r="L1136" s="205">
        <f>'Resumen Capacidad'!$H$114</f>
        <v>96</v>
      </c>
      <c r="M1136" s="205">
        <f>'Resumen Capacidad'!$H$114</f>
        <v>96</v>
      </c>
      <c r="N1136" s="205">
        <f>'Resumen Capacidad'!$H$114</f>
        <v>96</v>
      </c>
      <c r="O1136" s="5"/>
      <c r="P1136" s="5"/>
      <c r="Q1136" s="5"/>
      <c r="R1136" s="5"/>
      <c r="S1136" s="5"/>
      <c r="T1136" s="5"/>
      <c r="U1136" s="5"/>
      <c r="V1136" s="5"/>
      <c r="W1136" s="5"/>
      <c r="X1136" s="5"/>
      <c r="Y1136" s="5"/>
      <c r="Z1136" s="5"/>
    </row>
    <row r="1137" ht="12.0" customHeight="1">
      <c r="A1137" s="92" t="s">
        <v>640</v>
      </c>
      <c r="B1137" s="5"/>
      <c r="C1137" s="204">
        <f>'Resumen Capacidad'!$H$32*'Resumen Capacidad'!$H$68</f>
        <v>2</v>
      </c>
      <c r="D1137" s="204">
        <f>'Resumen Capacidad'!$H$32*'Resumen Capacidad'!$H$68</f>
        <v>2</v>
      </c>
      <c r="E1137" s="204">
        <f>'Resumen Capacidad'!$H$32*'Resumen Capacidad'!$H$68</f>
        <v>2</v>
      </c>
      <c r="F1137" s="204">
        <f>'Resumen Capacidad'!$H$32*'Resumen Capacidad'!$H$68</f>
        <v>2</v>
      </c>
      <c r="G1137" s="204">
        <f>'Resumen Capacidad'!$H$32*'Resumen Capacidad'!$H$68</f>
        <v>2</v>
      </c>
      <c r="H1137" s="204">
        <f>'Resumen Capacidad'!$H$32*'Resumen Capacidad'!$H$68</f>
        <v>2</v>
      </c>
      <c r="I1137" s="204">
        <f>'Resumen Capacidad'!$H$32*'Resumen Capacidad'!$H$68</f>
        <v>2</v>
      </c>
      <c r="J1137" s="204">
        <f>'Resumen Capacidad'!$H$32*'Resumen Capacidad'!$H$68</f>
        <v>2</v>
      </c>
      <c r="K1137" s="204">
        <f>'Resumen Capacidad'!$H$32*'Resumen Capacidad'!$H$68</f>
        <v>2</v>
      </c>
      <c r="L1137" s="204">
        <f>'Resumen Capacidad'!$H$32*'Resumen Capacidad'!$H$68</f>
        <v>2</v>
      </c>
      <c r="M1137" s="204">
        <f>'Resumen Capacidad'!$H$32*'Resumen Capacidad'!$H$68</f>
        <v>2</v>
      </c>
      <c r="N1137" s="204">
        <f>'Resumen Capacidad'!$H$32*'Resumen Capacidad'!$H$68</f>
        <v>2</v>
      </c>
      <c r="O1137" s="5"/>
      <c r="P1137" s="5"/>
      <c r="Q1137" s="5"/>
      <c r="R1137" s="5"/>
      <c r="S1137" s="5"/>
      <c r="T1137" s="5"/>
      <c r="U1137" s="5"/>
      <c r="V1137" s="5"/>
      <c r="W1137" s="5"/>
      <c r="X1137" s="5"/>
      <c r="Y1137" s="5"/>
      <c r="Z1137" s="5"/>
    </row>
    <row r="1138" ht="12.0" customHeight="1">
      <c r="A1138" s="92" t="s">
        <v>642</v>
      </c>
      <c r="B1138" s="5"/>
      <c r="C1138" s="204">
        <f t="shared" ref="C1138:N1138" si="335">C1136*C1137</f>
        <v>192</v>
      </c>
      <c r="D1138" s="204">
        <f t="shared" si="335"/>
        <v>192</v>
      </c>
      <c r="E1138" s="204">
        <f t="shared" si="335"/>
        <v>192</v>
      </c>
      <c r="F1138" s="204">
        <f t="shared" si="335"/>
        <v>192</v>
      </c>
      <c r="G1138" s="204">
        <f t="shared" si="335"/>
        <v>192</v>
      </c>
      <c r="H1138" s="204">
        <f t="shared" si="335"/>
        <v>192</v>
      </c>
      <c r="I1138" s="204">
        <f t="shared" si="335"/>
        <v>192</v>
      </c>
      <c r="J1138" s="204">
        <f t="shared" si="335"/>
        <v>192</v>
      </c>
      <c r="K1138" s="204">
        <f t="shared" si="335"/>
        <v>192</v>
      </c>
      <c r="L1138" s="204">
        <f t="shared" si="335"/>
        <v>192</v>
      </c>
      <c r="M1138" s="204">
        <f t="shared" si="335"/>
        <v>192</v>
      </c>
      <c r="N1138" s="204">
        <f t="shared" si="335"/>
        <v>192</v>
      </c>
      <c r="O1138" s="5"/>
      <c r="P1138" s="5"/>
      <c r="Q1138" s="5"/>
      <c r="R1138" s="5"/>
      <c r="S1138" s="5"/>
      <c r="T1138" s="5"/>
      <c r="U1138" s="5"/>
      <c r="V1138" s="5"/>
      <c r="W1138" s="5"/>
      <c r="X1138" s="5"/>
      <c r="Y1138" s="5"/>
      <c r="Z1138" s="5"/>
    </row>
    <row r="1139" ht="12.0" customHeight="1">
      <c r="A1139" s="92" t="s">
        <v>643</v>
      </c>
      <c r="B1139" s="5"/>
      <c r="C1139" s="206">
        <f t="shared" ref="C1139:N1139" si="336">IF(C1138=0,0,C1135/C1138)</f>
        <v>0.67650625</v>
      </c>
      <c r="D1139" s="206">
        <f t="shared" si="336"/>
        <v>0.51585625</v>
      </c>
      <c r="E1139" s="206">
        <f t="shared" si="336"/>
        <v>0.4820848958</v>
      </c>
      <c r="F1139" s="206">
        <f t="shared" si="336"/>
        <v>0.4609609375</v>
      </c>
      <c r="G1139" s="206">
        <f t="shared" si="336"/>
        <v>0.4313604167</v>
      </c>
      <c r="H1139" s="206">
        <f t="shared" si="336"/>
        <v>0.4228838542</v>
      </c>
      <c r="I1139" s="206">
        <f t="shared" si="336"/>
        <v>0.452484375</v>
      </c>
      <c r="J1139" s="206">
        <f t="shared" si="336"/>
        <v>0.452484375</v>
      </c>
      <c r="K1139" s="206">
        <f t="shared" si="336"/>
        <v>0.452484375</v>
      </c>
      <c r="L1139" s="206">
        <f t="shared" si="336"/>
        <v>0.4440078125</v>
      </c>
      <c r="M1139" s="206">
        <f t="shared" si="336"/>
        <v>0.43553125</v>
      </c>
      <c r="N1139" s="206">
        <f t="shared" si="336"/>
        <v>0.693459375</v>
      </c>
      <c r="O1139" s="5"/>
      <c r="P1139" s="5"/>
      <c r="Q1139" s="5"/>
      <c r="R1139" s="5"/>
      <c r="S1139" s="5"/>
      <c r="T1139" s="5"/>
      <c r="U1139" s="5"/>
      <c r="V1139" s="5"/>
      <c r="W1139" s="5"/>
      <c r="X1139" s="5"/>
      <c r="Y1139" s="5"/>
      <c r="Z1139" s="5"/>
    </row>
    <row r="1140" ht="12.0" customHeight="1">
      <c r="A1140" s="201" t="s">
        <v>650</v>
      </c>
      <c r="B1140" s="202"/>
      <c r="C1140" s="202"/>
      <c r="D1140" s="202"/>
      <c r="E1140" s="202"/>
      <c r="F1140" s="202"/>
      <c r="G1140" s="202"/>
      <c r="H1140" s="202"/>
      <c r="I1140" s="202"/>
      <c r="J1140" s="202"/>
      <c r="K1140" s="202"/>
      <c r="L1140" s="202"/>
      <c r="M1140" s="202"/>
      <c r="N1140" s="202"/>
      <c r="O1140" s="5"/>
      <c r="P1140" s="5"/>
      <c r="Q1140" s="5"/>
      <c r="R1140" s="5"/>
      <c r="S1140" s="5"/>
      <c r="T1140" s="5"/>
      <c r="U1140" s="5"/>
      <c r="V1140" s="5"/>
      <c r="W1140" s="5"/>
      <c r="X1140" s="5"/>
      <c r="Y1140" s="5"/>
      <c r="Z1140" s="5"/>
    </row>
    <row r="1141" ht="12.0" customHeight="1">
      <c r="A1141" s="201" t="s">
        <v>630</v>
      </c>
      <c r="B1141" s="201" t="s">
        <v>631</v>
      </c>
      <c r="C1141" s="201" t="s">
        <v>3</v>
      </c>
      <c r="D1141" s="201" t="s">
        <v>4</v>
      </c>
      <c r="E1141" s="201" t="s">
        <v>5</v>
      </c>
      <c r="F1141" s="201" t="s">
        <v>6</v>
      </c>
      <c r="G1141" s="201" t="s">
        <v>7</v>
      </c>
      <c r="H1141" s="201" t="s">
        <v>8</v>
      </c>
      <c r="I1141" s="201" t="s">
        <v>9</v>
      </c>
      <c r="J1141" s="201" t="s">
        <v>10</v>
      </c>
      <c r="K1141" s="201" t="s">
        <v>11</v>
      </c>
      <c r="L1141" s="201" t="s">
        <v>12</v>
      </c>
      <c r="M1141" s="201" t="s">
        <v>13</v>
      </c>
      <c r="N1141" s="201" t="s">
        <v>14</v>
      </c>
      <c r="O1141" s="5"/>
      <c r="P1141" s="5"/>
      <c r="Q1141" s="5"/>
      <c r="R1141" s="5"/>
      <c r="S1141" s="5"/>
      <c r="T1141" s="5"/>
      <c r="U1141" s="5"/>
      <c r="V1141" s="5"/>
      <c r="W1141" s="5"/>
      <c r="X1141" s="5"/>
      <c r="Y1141" s="5"/>
      <c r="Z1141" s="5"/>
    </row>
    <row r="1142" ht="12.0" customHeight="1">
      <c r="A1142" s="92" t="s">
        <v>651</v>
      </c>
      <c r="B1142" s="92" t="s">
        <v>633</v>
      </c>
      <c r="C1142" s="203">
        <f>SUM('2032'!B7:B9)+SUM('2032'!B18:B20)</f>
        <v>4882.5</v>
      </c>
      <c r="D1142" s="203">
        <f>SUM('2032'!C7:C9)+SUM('2032'!C18:C20)</f>
        <v>3906</v>
      </c>
      <c r="E1142" s="203">
        <f>SUM('2032'!D7:D9)+SUM('2032'!D18:D20)</f>
        <v>4150.125</v>
      </c>
      <c r="F1142" s="203">
        <f>SUM('2032'!E7:E9)+SUM('2032'!E18:E20)</f>
        <v>4150.125</v>
      </c>
      <c r="G1142" s="203">
        <f>SUM('2032'!F7:F9)+SUM('2032'!F18:F20)</f>
        <v>3906</v>
      </c>
      <c r="H1142" s="203">
        <f>SUM('2032'!G7:G9)+SUM('2032'!G18:G20)</f>
        <v>3661.875</v>
      </c>
      <c r="I1142" s="203">
        <f>SUM('2032'!H7:H9)+SUM('2032'!H18:H20)</f>
        <v>3906</v>
      </c>
      <c r="J1142" s="203">
        <f>SUM('2032'!I7:I9)+SUM('2032'!I18:I20)</f>
        <v>3906</v>
      </c>
      <c r="K1142" s="203">
        <f>SUM('2032'!J7:J9)+SUM('2032'!J18:J20)</f>
        <v>3906</v>
      </c>
      <c r="L1142" s="203">
        <f>SUM('2032'!K7:K9)+SUM('2032'!K18:K20)</f>
        <v>3661.875</v>
      </c>
      <c r="M1142" s="203">
        <f>SUM('2032'!L7:L9)+SUM('2032'!L18:L20)</f>
        <v>3417.75</v>
      </c>
      <c r="N1142" s="203">
        <f>SUM('2032'!M7:M9)+SUM('2032'!M18:M20)</f>
        <v>5370.75</v>
      </c>
      <c r="O1142" s="5"/>
      <c r="P1142" s="5"/>
      <c r="Q1142" s="5"/>
      <c r="R1142" s="5"/>
      <c r="S1142" s="5"/>
      <c r="T1142" s="5"/>
      <c r="U1142" s="5"/>
      <c r="V1142" s="5"/>
      <c r="W1142" s="5"/>
      <c r="X1142" s="5"/>
      <c r="Y1142" s="5"/>
      <c r="Z1142" s="5"/>
    </row>
    <row r="1143" ht="12.0" customHeight="1">
      <c r="A1143" s="5"/>
      <c r="B1143" s="92" t="s">
        <v>634</v>
      </c>
      <c r="C1143" s="204">
        <f>C1142/Parametros!$B$37</f>
        <v>244.125</v>
      </c>
      <c r="D1143" s="204">
        <f>D1142/Parametros!$B$37</f>
        <v>195.3</v>
      </c>
      <c r="E1143" s="204">
        <f>E1142/Parametros!$B$37</f>
        <v>207.50625</v>
      </c>
      <c r="F1143" s="204">
        <f>F1142/Parametros!$B$37</f>
        <v>207.50625</v>
      </c>
      <c r="G1143" s="204">
        <f>G1142/Parametros!$B$37</f>
        <v>195.3</v>
      </c>
      <c r="H1143" s="204">
        <f>H1142/Parametros!$B$37</f>
        <v>183.09375</v>
      </c>
      <c r="I1143" s="204">
        <f>I1142/Parametros!$B$37</f>
        <v>195.3</v>
      </c>
      <c r="J1143" s="204">
        <f>J1142/Parametros!$B$37</f>
        <v>195.3</v>
      </c>
      <c r="K1143" s="204">
        <f>K1142/Parametros!$B$37</f>
        <v>195.3</v>
      </c>
      <c r="L1143" s="204">
        <f>L1142/Parametros!$B$37</f>
        <v>183.09375</v>
      </c>
      <c r="M1143" s="204">
        <f>M1142/Parametros!$B$37</f>
        <v>170.8875</v>
      </c>
      <c r="N1143" s="204">
        <f>N1142/Parametros!$B$37</f>
        <v>268.5375</v>
      </c>
      <c r="O1143" s="5"/>
      <c r="P1143" s="5"/>
      <c r="Q1143" s="5"/>
      <c r="R1143" s="5"/>
      <c r="S1143" s="5"/>
      <c r="T1143" s="5"/>
      <c r="U1143" s="5"/>
      <c r="V1143" s="5"/>
      <c r="W1143" s="5"/>
      <c r="X1143" s="5"/>
      <c r="Y1143" s="5"/>
      <c r="Z1143" s="5"/>
    </row>
    <row r="1144" ht="12.0" customHeight="1">
      <c r="A1144" s="5"/>
      <c r="B1144" s="92" t="s">
        <v>635</v>
      </c>
      <c r="C1144" s="204">
        <f>C1143/Parametros!$J$37</f>
        <v>32.55</v>
      </c>
      <c r="D1144" s="204">
        <f>D1143/Parametros!$J$37</f>
        <v>26.04</v>
      </c>
      <c r="E1144" s="204">
        <f>E1143/Parametros!$J$37</f>
        <v>27.6675</v>
      </c>
      <c r="F1144" s="204">
        <f>F1143/Parametros!$J$37</f>
        <v>27.6675</v>
      </c>
      <c r="G1144" s="204">
        <f>G1143/Parametros!$J$37</f>
        <v>26.04</v>
      </c>
      <c r="H1144" s="204">
        <f>H1143/Parametros!$J$37</f>
        <v>24.4125</v>
      </c>
      <c r="I1144" s="204">
        <f>I1143/Parametros!$J$37</f>
        <v>26.04</v>
      </c>
      <c r="J1144" s="204">
        <f>J1143/Parametros!$J$37</f>
        <v>26.04</v>
      </c>
      <c r="K1144" s="204">
        <f>K1143/Parametros!$J$37</f>
        <v>26.04</v>
      </c>
      <c r="L1144" s="204">
        <f>L1143/Parametros!$J$37</f>
        <v>24.4125</v>
      </c>
      <c r="M1144" s="204">
        <f>M1143/Parametros!$J$37</f>
        <v>22.785</v>
      </c>
      <c r="N1144" s="204">
        <f>N1143/Parametros!$J$37</f>
        <v>35.805</v>
      </c>
      <c r="O1144" s="5"/>
      <c r="P1144" s="5"/>
      <c r="Q1144" s="5"/>
      <c r="R1144" s="5"/>
      <c r="S1144" s="5"/>
      <c r="T1144" s="5"/>
      <c r="U1144" s="5"/>
      <c r="V1144" s="5"/>
      <c r="W1144" s="5"/>
      <c r="X1144" s="5"/>
      <c r="Y1144" s="5"/>
      <c r="Z1144" s="5"/>
    </row>
    <row r="1145" ht="12.0" customHeight="1">
      <c r="A1145" s="92" t="s">
        <v>636</v>
      </c>
      <c r="B1145" s="5"/>
      <c r="C1145" s="204">
        <f t="shared" ref="C1145:N1145" si="337">C1144</f>
        <v>32.55</v>
      </c>
      <c r="D1145" s="204">
        <f t="shared" si="337"/>
        <v>26.04</v>
      </c>
      <c r="E1145" s="204">
        <f t="shared" si="337"/>
        <v>27.6675</v>
      </c>
      <c r="F1145" s="204">
        <f t="shared" si="337"/>
        <v>27.6675</v>
      </c>
      <c r="G1145" s="204">
        <f t="shared" si="337"/>
        <v>26.04</v>
      </c>
      <c r="H1145" s="204">
        <f t="shared" si="337"/>
        <v>24.4125</v>
      </c>
      <c r="I1145" s="204">
        <f t="shared" si="337"/>
        <v>26.04</v>
      </c>
      <c r="J1145" s="204">
        <f t="shared" si="337"/>
        <v>26.04</v>
      </c>
      <c r="K1145" s="204">
        <f t="shared" si="337"/>
        <v>26.04</v>
      </c>
      <c r="L1145" s="204">
        <f t="shared" si="337"/>
        <v>24.4125</v>
      </c>
      <c r="M1145" s="204">
        <f t="shared" si="337"/>
        <v>22.785</v>
      </c>
      <c r="N1145" s="204">
        <f t="shared" si="337"/>
        <v>35.805</v>
      </c>
      <c r="O1145" s="5"/>
      <c r="P1145" s="5"/>
      <c r="Q1145" s="5"/>
      <c r="R1145" s="5"/>
      <c r="S1145" s="5"/>
      <c r="T1145" s="5"/>
      <c r="U1145" s="5"/>
      <c r="V1145" s="5"/>
      <c r="W1145" s="5"/>
      <c r="X1145" s="5"/>
      <c r="Y1145" s="5"/>
      <c r="Z1145" s="5"/>
    </row>
    <row r="1146" ht="12.0" customHeight="1">
      <c r="A1146" s="92" t="s">
        <v>637</v>
      </c>
      <c r="B1146" s="5"/>
      <c r="C1146" s="205">
        <f>'Resumen Capacidad'!$H$115</f>
        <v>80.10122449</v>
      </c>
      <c r="D1146" s="205">
        <f>'Resumen Capacidad'!$H$115</f>
        <v>80.10122449</v>
      </c>
      <c r="E1146" s="205">
        <f>'Resumen Capacidad'!$H$115</f>
        <v>80.10122449</v>
      </c>
      <c r="F1146" s="205">
        <f>'Resumen Capacidad'!$H$115</f>
        <v>80.10122449</v>
      </c>
      <c r="G1146" s="205">
        <f>'Resumen Capacidad'!$H$115</f>
        <v>80.10122449</v>
      </c>
      <c r="H1146" s="205">
        <f>'Resumen Capacidad'!$H$115</f>
        <v>80.10122449</v>
      </c>
      <c r="I1146" s="205">
        <f>'Resumen Capacidad'!$H$115</f>
        <v>80.10122449</v>
      </c>
      <c r="J1146" s="205">
        <f>'Resumen Capacidad'!$H$115</f>
        <v>80.10122449</v>
      </c>
      <c r="K1146" s="205">
        <f>'Resumen Capacidad'!$H$115</f>
        <v>80.10122449</v>
      </c>
      <c r="L1146" s="205">
        <f>'Resumen Capacidad'!$H$115</f>
        <v>80.10122449</v>
      </c>
      <c r="M1146" s="205">
        <f>'Resumen Capacidad'!$H$115</f>
        <v>80.10122449</v>
      </c>
      <c r="N1146" s="205">
        <f>'Resumen Capacidad'!$H$115</f>
        <v>80.10122449</v>
      </c>
      <c r="O1146" s="5"/>
      <c r="P1146" s="5"/>
      <c r="Q1146" s="5"/>
      <c r="R1146" s="5"/>
      <c r="S1146" s="5"/>
      <c r="T1146" s="5"/>
      <c r="U1146" s="5"/>
      <c r="V1146" s="5"/>
      <c r="W1146" s="5"/>
      <c r="X1146" s="5"/>
      <c r="Y1146" s="5"/>
      <c r="Z1146" s="5"/>
    </row>
    <row r="1147" ht="12.0" customHeight="1">
      <c r="A1147" s="92" t="s">
        <v>640</v>
      </c>
      <c r="B1147" s="5"/>
      <c r="C1147" s="204">
        <f>'Resumen Capacidad'!$H$33*'Resumen Capacidad'!$H$69</f>
        <v>1</v>
      </c>
      <c r="D1147" s="204">
        <f>'Resumen Capacidad'!$H$33*'Resumen Capacidad'!$H$69</f>
        <v>1</v>
      </c>
      <c r="E1147" s="204">
        <f>'Resumen Capacidad'!$H$33*'Resumen Capacidad'!$H$69</f>
        <v>1</v>
      </c>
      <c r="F1147" s="204">
        <f>'Resumen Capacidad'!$H$33*'Resumen Capacidad'!$H$69</f>
        <v>1</v>
      </c>
      <c r="G1147" s="204">
        <f>'Resumen Capacidad'!$H$33*'Resumen Capacidad'!$H$69</f>
        <v>1</v>
      </c>
      <c r="H1147" s="204">
        <f>'Resumen Capacidad'!$H$33*'Resumen Capacidad'!$H$69</f>
        <v>1</v>
      </c>
      <c r="I1147" s="204">
        <f>'Resumen Capacidad'!$H$33*'Resumen Capacidad'!$H$69</f>
        <v>1</v>
      </c>
      <c r="J1147" s="204">
        <f>'Resumen Capacidad'!$H$33*'Resumen Capacidad'!$H$69</f>
        <v>1</v>
      </c>
      <c r="K1147" s="204">
        <f>'Resumen Capacidad'!$H$33*'Resumen Capacidad'!$H$69</f>
        <v>1</v>
      </c>
      <c r="L1147" s="204">
        <f>'Resumen Capacidad'!$H$33*'Resumen Capacidad'!$H$69</f>
        <v>1</v>
      </c>
      <c r="M1147" s="204">
        <f>'Resumen Capacidad'!$H$33*'Resumen Capacidad'!$H$69</f>
        <v>1</v>
      </c>
      <c r="N1147" s="204">
        <f>'Resumen Capacidad'!$H$33*'Resumen Capacidad'!$H$69</f>
        <v>1</v>
      </c>
      <c r="O1147" s="5"/>
      <c r="P1147" s="5"/>
      <c r="Q1147" s="5"/>
      <c r="R1147" s="5"/>
      <c r="S1147" s="5"/>
      <c r="T1147" s="5"/>
      <c r="U1147" s="5"/>
      <c r="V1147" s="5"/>
      <c r="W1147" s="5"/>
      <c r="X1147" s="5"/>
      <c r="Y1147" s="5"/>
      <c r="Z1147" s="5"/>
    </row>
    <row r="1148" ht="12.0" customHeight="1">
      <c r="A1148" s="92" t="s">
        <v>642</v>
      </c>
      <c r="B1148" s="5"/>
      <c r="C1148" s="204">
        <f t="shared" ref="C1148:N1148" si="338">C1146*C1147</f>
        <v>80.10122449</v>
      </c>
      <c r="D1148" s="204">
        <f t="shared" si="338"/>
        <v>80.10122449</v>
      </c>
      <c r="E1148" s="204">
        <f t="shared" si="338"/>
        <v>80.10122449</v>
      </c>
      <c r="F1148" s="204">
        <f t="shared" si="338"/>
        <v>80.10122449</v>
      </c>
      <c r="G1148" s="204">
        <f t="shared" si="338"/>
        <v>80.10122449</v>
      </c>
      <c r="H1148" s="204">
        <f t="shared" si="338"/>
        <v>80.10122449</v>
      </c>
      <c r="I1148" s="204">
        <f t="shared" si="338"/>
        <v>80.10122449</v>
      </c>
      <c r="J1148" s="204">
        <f t="shared" si="338"/>
        <v>80.10122449</v>
      </c>
      <c r="K1148" s="204">
        <f t="shared" si="338"/>
        <v>80.10122449</v>
      </c>
      <c r="L1148" s="204">
        <f t="shared" si="338"/>
        <v>80.10122449</v>
      </c>
      <c r="M1148" s="204">
        <f t="shared" si="338"/>
        <v>80.10122449</v>
      </c>
      <c r="N1148" s="204">
        <f t="shared" si="338"/>
        <v>80.10122449</v>
      </c>
      <c r="O1148" s="5"/>
      <c r="P1148" s="5"/>
      <c r="Q1148" s="5"/>
      <c r="R1148" s="5"/>
      <c r="S1148" s="5"/>
      <c r="T1148" s="5"/>
      <c r="U1148" s="5"/>
      <c r="V1148" s="5"/>
      <c r="W1148" s="5"/>
      <c r="X1148" s="5"/>
      <c r="Y1148" s="5"/>
      <c r="Z1148" s="5"/>
    </row>
    <row r="1149" ht="12.0" customHeight="1">
      <c r="A1149" s="92" t="s">
        <v>643</v>
      </c>
      <c r="B1149" s="5"/>
      <c r="C1149" s="206">
        <f t="shared" ref="C1149:N1149" si="339">IF(C1148=0,0,C1145/C1148)</f>
        <v>0.4063608292</v>
      </c>
      <c r="D1149" s="206">
        <f t="shared" si="339"/>
        <v>0.3250886633</v>
      </c>
      <c r="E1149" s="206">
        <f t="shared" si="339"/>
        <v>0.3454067048</v>
      </c>
      <c r="F1149" s="206">
        <f t="shared" si="339"/>
        <v>0.3454067048</v>
      </c>
      <c r="G1149" s="206">
        <f t="shared" si="339"/>
        <v>0.3250886633</v>
      </c>
      <c r="H1149" s="206">
        <f t="shared" si="339"/>
        <v>0.3047706219</v>
      </c>
      <c r="I1149" s="206">
        <f t="shared" si="339"/>
        <v>0.3250886633</v>
      </c>
      <c r="J1149" s="206">
        <f t="shared" si="339"/>
        <v>0.3250886633</v>
      </c>
      <c r="K1149" s="206">
        <f t="shared" si="339"/>
        <v>0.3250886633</v>
      </c>
      <c r="L1149" s="206">
        <f t="shared" si="339"/>
        <v>0.3047706219</v>
      </c>
      <c r="M1149" s="206">
        <f t="shared" si="339"/>
        <v>0.2844525804</v>
      </c>
      <c r="N1149" s="206">
        <f t="shared" si="339"/>
        <v>0.4469969121</v>
      </c>
      <c r="O1149" s="5"/>
      <c r="P1149" s="5"/>
      <c r="Q1149" s="5"/>
      <c r="R1149" s="5"/>
      <c r="S1149" s="5"/>
      <c r="T1149" s="5"/>
      <c r="U1149" s="5"/>
      <c r="V1149" s="5"/>
      <c r="W1149" s="5"/>
      <c r="X1149" s="5"/>
      <c r="Y1149" s="5"/>
      <c r="Z1149" s="5"/>
    </row>
    <row r="1150" ht="12.0" customHeight="1">
      <c r="A1150" s="201" t="s">
        <v>656</v>
      </c>
      <c r="B1150" s="202"/>
      <c r="C1150" s="202"/>
      <c r="D1150" s="202"/>
      <c r="E1150" s="202"/>
      <c r="F1150" s="202"/>
      <c r="G1150" s="202"/>
      <c r="H1150" s="202"/>
      <c r="I1150" s="202"/>
      <c r="J1150" s="202"/>
      <c r="K1150" s="202"/>
      <c r="L1150" s="202"/>
      <c r="M1150" s="202"/>
      <c r="N1150" s="202"/>
      <c r="O1150" s="5"/>
      <c r="P1150" s="5"/>
      <c r="Q1150" s="5"/>
      <c r="R1150" s="5"/>
      <c r="S1150" s="5"/>
      <c r="T1150" s="5"/>
      <c r="U1150" s="5"/>
      <c r="V1150" s="5"/>
      <c r="W1150" s="5"/>
      <c r="X1150" s="5"/>
      <c r="Y1150" s="5"/>
      <c r="Z1150" s="5"/>
    </row>
    <row r="1151" ht="12.0" customHeight="1">
      <c r="A1151" s="201" t="s">
        <v>630</v>
      </c>
      <c r="B1151" s="201" t="s">
        <v>631</v>
      </c>
      <c r="C1151" s="201" t="s">
        <v>3</v>
      </c>
      <c r="D1151" s="201" t="s">
        <v>4</v>
      </c>
      <c r="E1151" s="201" t="s">
        <v>5</v>
      </c>
      <c r="F1151" s="201" t="s">
        <v>6</v>
      </c>
      <c r="G1151" s="201" t="s">
        <v>7</v>
      </c>
      <c r="H1151" s="201" t="s">
        <v>8</v>
      </c>
      <c r="I1151" s="201" t="s">
        <v>9</v>
      </c>
      <c r="J1151" s="201" t="s">
        <v>10</v>
      </c>
      <c r="K1151" s="201" t="s">
        <v>11</v>
      </c>
      <c r="L1151" s="201" t="s">
        <v>12</v>
      </c>
      <c r="M1151" s="201" t="s">
        <v>13</v>
      </c>
      <c r="N1151" s="201" t="s">
        <v>14</v>
      </c>
      <c r="O1151" s="5"/>
      <c r="P1151" s="5"/>
      <c r="Q1151" s="5"/>
      <c r="R1151" s="5"/>
      <c r="S1151" s="5"/>
      <c r="T1151" s="5"/>
      <c r="U1151" s="5"/>
      <c r="V1151" s="5"/>
      <c r="W1151" s="5"/>
      <c r="X1151" s="5"/>
      <c r="Y1151" s="5"/>
      <c r="Z1151" s="5"/>
    </row>
    <row r="1152" ht="12.0" customHeight="1">
      <c r="A1152" s="92" t="s">
        <v>651</v>
      </c>
      <c r="B1152" s="92" t="s">
        <v>633</v>
      </c>
      <c r="C1152" s="203">
        <f>SUM('2032'!B7:B9)+SUM('2032'!B18:B20)</f>
        <v>4882.5</v>
      </c>
      <c r="D1152" s="203">
        <f>SUM('2032'!C7:C9)+SUM('2032'!C18:C20)</f>
        <v>3906</v>
      </c>
      <c r="E1152" s="203">
        <f>SUM('2032'!D7:D9)+SUM('2032'!D18:D20)</f>
        <v>4150.125</v>
      </c>
      <c r="F1152" s="203">
        <f>SUM('2032'!E7:E9)+SUM('2032'!E18:E20)</f>
        <v>4150.125</v>
      </c>
      <c r="G1152" s="203">
        <f>SUM('2032'!F7:F9)+SUM('2032'!F18:F20)</f>
        <v>3906</v>
      </c>
      <c r="H1152" s="203">
        <f>SUM('2032'!G7:G9)+SUM('2032'!G18:G20)</f>
        <v>3661.875</v>
      </c>
      <c r="I1152" s="203">
        <f>SUM('2032'!H7:H9)+SUM('2032'!H18:H20)</f>
        <v>3906</v>
      </c>
      <c r="J1152" s="203">
        <f>SUM('2032'!I7:I9)+SUM('2032'!I18:I20)</f>
        <v>3906</v>
      </c>
      <c r="K1152" s="203">
        <f>SUM('2032'!J7:J9)+SUM('2032'!J18:J20)</f>
        <v>3906</v>
      </c>
      <c r="L1152" s="203">
        <f>SUM('2032'!K7:K9)+SUM('2032'!K18:K20)</f>
        <v>3661.875</v>
      </c>
      <c r="M1152" s="203">
        <f>SUM('2032'!L7:L9)+SUM('2032'!L18:L20)</f>
        <v>3417.75</v>
      </c>
      <c r="N1152" s="203">
        <f>SUM('2032'!M7:M9)+SUM('2032'!M18:M20)</f>
        <v>5370.75</v>
      </c>
      <c r="O1152" s="5"/>
      <c r="P1152" s="5"/>
      <c r="Q1152" s="5"/>
      <c r="R1152" s="5"/>
      <c r="S1152" s="5"/>
      <c r="T1152" s="5"/>
      <c r="U1152" s="5"/>
      <c r="V1152" s="5"/>
      <c r="W1152" s="5"/>
      <c r="X1152" s="5"/>
      <c r="Y1152" s="5"/>
      <c r="Z1152" s="5"/>
    </row>
    <row r="1153" ht="12.0" customHeight="1">
      <c r="A1153" s="5"/>
      <c r="B1153" s="92" t="s">
        <v>634</v>
      </c>
      <c r="C1153" s="204">
        <f>C1152/Parametros!$B$37</f>
        <v>244.125</v>
      </c>
      <c r="D1153" s="204">
        <f>D1152/Parametros!$B$37</f>
        <v>195.3</v>
      </c>
      <c r="E1153" s="204">
        <f>E1152/Parametros!$B$37</f>
        <v>207.50625</v>
      </c>
      <c r="F1153" s="204">
        <f>F1152/Parametros!$B$37</f>
        <v>207.50625</v>
      </c>
      <c r="G1153" s="204">
        <f>G1152/Parametros!$B$37</f>
        <v>195.3</v>
      </c>
      <c r="H1153" s="204">
        <f>H1152/Parametros!$B$37</f>
        <v>183.09375</v>
      </c>
      <c r="I1153" s="204">
        <f>I1152/Parametros!$B$37</f>
        <v>195.3</v>
      </c>
      <c r="J1153" s="204">
        <f>J1152/Parametros!$B$37</f>
        <v>195.3</v>
      </c>
      <c r="K1153" s="204">
        <f>K1152/Parametros!$B$37</f>
        <v>195.3</v>
      </c>
      <c r="L1153" s="204">
        <f>L1152/Parametros!$B$37</f>
        <v>183.09375</v>
      </c>
      <c r="M1153" s="204">
        <f>M1152/Parametros!$B$37</f>
        <v>170.8875</v>
      </c>
      <c r="N1153" s="204">
        <f>N1152/Parametros!$B$37</f>
        <v>268.5375</v>
      </c>
      <c r="O1153" s="5"/>
      <c r="P1153" s="5"/>
      <c r="Q1153" s="5"/>
      <c r="R1153" s="5"/>
      <c r="S1153" s="5"/>
      <c r="T1153" s="5"/>
      <c r="U1153" s="5"/>
      <c r="V1153" s="5"/>
      <c r="W1153" s="5"/>
      <c r="X1153" s="5"/>
      <c r="Y1153" s="5"/>
      <c r="Z1153" s="5"/>
    </row>
    <row r="1154" ht="12.0" customHeight="1">
      <c r="A1154" s="5"/>
      <c r="B1154" s="92" t="s">
        <v>635</v>
      </c>
      <c r="C1154" s="204">
        <f>C1153/Parametros!$J$37</f>
        <v>32.55</v>
      </c>
      <c r="D1154" s="204">
        <f>D1153/Parametros!$J$37</f>
        <v>26.04</v>
      </c>
      <c r="E1154" s="204">
        <f>E1153/Parametros!$J$37</f>
        <v>27.6675</v>
      </c>
      <c r="F1154" s="204">
        <f>F1153/Parametros!$J$37</f>
        <v>27.6675</v>
      </c>
      <c r="G1154" s="204">
        <f>G1153/Parametros!$J$37</f>
        <v>26.04</v>
      </c>
      <c r="H1154" s="204">
        <f>H1153/Parametros!$J$37</f>
        <v>24.4125</v>
      </c>
      <c r="I1154" s="204">
        <f>I1153/Parametros!$J$37</f>
        <v>26.04</v>
      </c>
      <c r="J1154" s="204">
        <f>J1153/Parametros!$J$37</f>
        <v>26.04</v>
      </c>
      <c r="K1154" s="204">
        <f>K1153/Parametros!$J$37</f>
        <v>26.04</v>
      </c>
      <c r="L1154" s="204">
        <f>L1153/Parametros!$J$37</f>
        <v>24.4125</v>
      </c>
      <c r="M1154" s="204">
        <f>M1153/Parametros!$J$37</f>
        <v>22.785</v>
      </c>
      <c r="N1154" s="204">
        <f>N1153/Parametros!$J$37</f>
        <v>35.805</v>
      </c>
      <c r="O1154" s="5"/>
      <c r="P1154" s="5"/>
      <c r="Q1154" s="5"/>
      <c r="R1154" s="5"/>
      <c r="S1154" s="5"/>
      <c r="T1154" s="5"/>
      <c r="U1154" s="5"/>
      <c r="V1154" s="5"/>
      <c r="W1154" s="5"/>
      <c r="X1154" s="5"/>
      <c r="Y1154" s="5"/>
      <c r="Z1154" s="5"/>
    </row>
    <row r="1155" ht="12.0" customHeight="1">
      <c r="A1155" s="92" t="s">
        <v>636</v>
      </c>
      <c r="B1155" s="5"/>
      <c r="C1155" s="204">
        <f t="shared" ref="C1155:N1155" si="340">C1154</f>
        <v>32.55</v>
      </c>
      <c r="D1155" s="204">
        <f t="shared" si="340"/>
        <v>26.04</v>
      </c>
      <c r="E1155" s="204">
        <f t="shared" si="340"/>
        <v>27.6675</v>
      </c>
      <c r="F1155" s="204">
        <f t="shared" si="340"/>
        <v>27.6675</v>
      </c>
      <c r="G1155" s="204">
        <f t="shared" si="340"/>
        <v>26.04</v>
      </c>
      <c r="H1155" s="204">
        <f t="shared" si="340"/>
        <v>24.4125</v>
      </c>
      <c r="I1155" s="204">
        <f t="shared" si="340"/>
        <v>26.04</v>
      </c>
      <c r="J1155" s="204">
        <f t="shared" si="340"/>
        <v>26.04</v>
      </c>
      <c r="K1155" s="204">
        <f t="shared" si="340"/>
        <v>26.04</v>
      </c>
      <c r="L1155" s="204">
        <f t="shared" si="340"/>
        <v>24.4125</v>
      </c>
      <c r="M1155" s="204">
        <f t="shared" si="340"/>
        <v>22.785</v>
      </c>
      <c r="N1155" s="204">
        <f t="shared" si="340"/>
        <v>35.805</v>
      </c>
      <c r="O1155" s="5"/>
      <c r="P1155" s="5"/>
      <c r="Q1155" s="5"/>
      <c r="R1155" s="5"/>
      <c r="S1155" s="5"/>
      <c r="T1155" s="5"/>
      <c r="U1155" s="5"/>
      <c r="V1155" s="5"/>
      <c r="W1155" s="5"/>
      <c r="X1155" s="5"/>
      <c r="Y1155" s="5"/>
      <c r="Z1155" s="5"/>
    </row>
    <row r="1156" ht="12.0" customHeight="1">
      <c r="A1156" s="92" t="s">
        <v>637</v>
      </c>
      <c r="B1156" s="5"/>
      <c r="C1156" s="205">
        <f>'Resumen Capacidad'!$H$116</f>
        <v>56.576</v>
      </c>
      <c r="D1156" s="205">
        <f>'Resumen Capacidad'!$H$116</f>
        <v>56.576</v>
      </c>
      <c r="E1156" s="205">
        <f>'Resumen Capacidad'!$H$116</f>
        <v>56.576</v>
      </c>
      <c r="F1156" s="205">
        <f>'Resumen Capacidad'!$H$116</f>
        <v>56.576</v>
      </c>
      <c r="G1156" s="205">
        <f>'Resumen Capacidad'!$H$116</f>
        <v>56.576</v>
      </c>
      <c r="H1156" s="205">
        <f>'Resumen Capacidad'!$H$116</f>
        <v>56.576</v>
      </c>
      <c r="I1156" s="205">
        <f>'Resumen Capacidad'!$H$116</f>
        <v>56.576</v>
      </c>
      <c r="J1156" s="205">
        <f>'Resumen Capacidad'!$H$116</f>
        <v>56.576</v>
      </c>
      <c r="K1156" s="205">
        <f>'Resumen Capacidad'!$H$116</f>
        <v>56.576</v>
      </c>
      <c r="L1156" s="205">
        <f>'Resumen Capacidad'!$H$116</f>
        <v>56.576</v>
      </c>
      <c r="M1156" s="205">
        <f>'Resumen Capacidad'!$H$116</f>
        <v>56.576</v>
      </c>
      <c r="N1156" s="205">
        <f>'Resumen Capacidad'!$H$116</f>
        <v>56.576</v>
      </c>
      <c r="O1156" s="5"/>
      <c r="P1156" s="5"/>
      <c r="Q1156" s="5"/>
      <c r="R1156" s="5"/>
      <c r="S1156" s="5"/>
      <c r="T1156" s="5"/>
      <c r="U1156" s="5"/>
      <c r="V1156" s="5"/>
      <c r="W1156" s="5"/>
      <c r="X1156" s="5"/>
      <c r="Y1156" s="5"/>
      <c r="Z1156" s="5"/>
    </row>
    <row r="1157" ht="12.0" customHeight="1">
      <c r="A1157" s="92" t="s">
        <v>640</v>
      </c>
      <c r="B1157" s="5"/>
      <c r="C1157" s="204">
        <f>'Resumen Capacidad'!$H$34*'Resumen Capacidad'!$H$70</f>
        <v>1</v>
      </c>
      <c r="D1157" s="204">
        <f>'Resumen Capacidad'!$H$34*'Resumen Capacidad'!$H$70</f>
        <v>1</v>
      </c>
      <c r="E1157" s="204">
        <f>'Resumen Capacidad'!$H$34*'Resumen Capacidad'!$H$70</f>
        <v>1</v>
      </c>
      <c r="F1157" s="204">
        <f>'Resumen Capacidad'!$H$34*'Resumen Capacidad'!$H$70</f>
        <v>1</v>
      </c>
      <c r="G1157" s="204">
        <f>'Resumen Capacidad'!$H$34*'Resumen Capacidad'!$H$70</f>
        <v>1</v>
      </c>
      <c r="H1157" s="204">
        <f>'Resumen Capacidad'!$H$34*'Resumen Capacidad'!$H$70</f>
        <v>1</v>
      </c>
      <c r="I1157" s="204">
        <f>'Resumen Capacidad'!$H$34*'Resumen Capacidad'!$H$70</f>
        <v>1</v>
      </c>
      <c r="J1157" s="204">
        <f>'Resumen Capacidad'!$H$34*'Resumen Capacidad'!$H$70</f>
        <v>1</v>
      </c>
      <c r="K1157" s="204">
        <f>'Resumen Capacidad'!$H$34*'Resumen Capacidad'!$H$70</f>
        <v>1</v>
      </c>
      <c r="L1157" s="204">
        <f>'Resumen Capacidad'!$H$34*'Resumen Capacidad'!$H$70</f>
        <v>1</v>
      </c>
      <c r="M1157" s="204">
        <f>'Resumen Capacidad'!$H$34*'Resumen Capacidad'!$H$70</f>
        <v>1</v>
      </c>
      <c r="N1157" s="204">
        <f>'Resumen Capacidad'!$H$34*'Resumen Capacidad'!$H$70</f>
        <v>1</v>
      </c>
      <c r="O1157" s="5"/>
      <c r="P1157" s="5"/>
      <c r="Q1157" s="5"/>
      <c r="R1157" s="5"/>
      <c r="S1157" s="5"/>
      <c r="T1157" s="5"/>
      <c r="U1157" s="5"/>
      <c r="V1157" s="5"/>
      <c r="W1157" s="5"/>
      <c r="X1157" s="5"/>
      <c r="Y1157" s="5"/>
      <c r="Z1157" s="5"/>
    </row>
    <row r="1158" ht="12.0" customHeight="1">
      <c r="A1158" s="92" t="s">
        <v>642</v>
      </c>
      <c r="B1158" s="5"/>
      <c r="C1158" s="204">
        <f t="shared" ref="C1158:N1158" si="341">C1156*C1157</f>
        <v>56.576</v>
      </c>
      <c r="D1158" s="204">
        <f t="shared" si="341"/>
        <v>56.576</v>
      </c>
      <c r="E1158" s="204">
        <f t="shared" si="341"/>
        <v>56.576</v>
      </c>
      <c r="F1158" s="204">
        <f t="shared" si="341"/>
        <v>56.576</v>
      </c>
      <c r="G1158" s="204">
        <f t="shared" si="341"/>
        <v>56.576</v>
      </c>
      <c r="H1158" s="204">
        <f t="shared" si="341"/>
        <v>56.576</v>
      </c>
      <c r="I1158" s="204">
        <f t="shared" si="341"/>
        <v>56.576</v>
      </c>
      <c r="J1158" s="204">
        <f t="shared" si="341"/>
        <v>56.576</v>
      </c>
      <c r="K1158" s="204">
        <f t="shared" si="341"/>
        <v>56.576</v>
      </c>
      <c r="L1158" s="204">
        <f t="shared" si="341"/>
        <v>56.576</v>
      </c>
      <c r="M1158" s="204">
        <f t="shared" si="341"/>
        <v>56.576</v>
      </c>
      <c r="N1158" s="204">
        <f t="shared" si="341"/>
        <v>56.576</v>
      </c>
      <c r="O1158" s="5"/>
      <c r="P1158" s="5"/>
      <c r="Q1158" s="5"/>
      <c r="R1158" s="5"/>
      <c r="S1158" s="5"/>
      <c r="T1158" s="5"/>
      <c r="U1158" s="5"/>
      <c r="V1158" s="5"/>
      <c r="W1158" s="5"/>
      <c r="X1158" s="5"/>
      <c r="Y1158" s="5"/>
      <c r="Z1158" s="5"/>
    </row>
    <row r="1159" ht="12.0" customHeight="1">
      <c r="A1159" s="92" t="s">
        <v>643</v>
      </c>
      <c r="B1159" s="5"/>
      <c r="C1159" s="206">
        <f t="shared" ref="C1159:N1159" si="342">IF(C1158=0,0,C1155/C1158)</f>
        <v>0.5753322964</v>
      </c>
      <c r="D1159" s="206">
        <f t="shared" si="342"/>
        <v>0.4602658371</v>
      </c>
      <c r="E1159" s="206">
        <f t="shared" si="342"/>
        <v>0.4890324519</v>
      </c>
      <c r="F1159" s="206">
        <f t="shared" si="342"/>
        <v>0.4890324519</v>
      </c>
      <c r="G1159" s="206">
        <f t="shared" si="342"/>
        <v>0.4602658371</v>
      </c>
      <c r="H1159" s="206">
        <f t="shared" si="342"/>
        <v>0.4314992223</v>
      </c>
      <c r="I1159" s="206">
        <f t="shared" si="342"/>
        <v>0.4602658371</v>
      </c>
      <c r="J1159" s="206">
        <f t="shared" si="342"/>
        <v>0.4602658371</v>
      </c>
      <c r="K1159" s="206">
        <f t="shared" si="342"/>
        <v>0.4602658371</v>
      </c>
      <c r="L1159" s="206">
        <f t="shared" si="342"/>
        <v>0.4314992223</v>
      </c>
      <c r="M1159" s="206">
        <f t="shared" si="342"/>
        <v>0.4027326075</v>
      </c>
      <c r="N1159" s="206">
        <f t="shared" si="342"/>
        <v>0.632865526</v>
      </c>
      <c r="O1159" s="5"/>
      <c r="P1159" s="5"/>
      <c r="Q1159" s="5"/>
      <c r="R1159" s="5"/>
      <c r="S1159" s="5"/>
      <c r="T1159" s="5"/>
      <c r="U1159" s="5"/>
      <c r="V1159" s="5"/>
      <c r="W1159" s="5"/>
      <c r="X1159" s="5"/>
      <c r="Y1159" s="5"/>
      <c r="Z1159" s="5"/>
    </row>
    <row r="1160" ht="12.0" customHeight="1">
      <c r="A1160" s="201" t="s">
        <v>663</v>
      </c>
      <c r="B1160" s="202"/>
      <c r="C1160" s="202"/>
      <c r="D1160" s="202"/>
      <c r="E1160" s="202"/>
      <c r="F1160" s="202"/>
      <c r="G1160" s="202"/>
      <c r="H1160" s="202"/>
      <c r="I1160" s="202"/>
      <c r="J1160" s="202"/>
      <c r="K1160" s="202"/>
      <c r="L1160" s="202"/>
      <c r="M1160" s="202"/>
      <c r="N1160" s="202"/>
      <c r="O1160" s="5"/>
      <c r="P1160" s="5"/>
      <c r="Q1160" s="5"/>
      <c r="R1160" s="5"/>
      <c r="S1160" s="5"/>
      <c r="T1160" s="5"/>
      <c r="U1160" s="5"/>
      <c r="V1160" s="5"/>
      <c r="W1160" s="5"/>
      <c r="X1160" s="5"/>
      <c r="Y1160" s="5"/>
      <c r="Z1160" s="5"/>
    </row>
    <row r="1161" ht="12.0" customHeight="1">
      <c r="A1161" s="201" t="s">
        <v>630</v>
      </c>
      <c r="B1161" s="201" t="s">
        <v>631</v>
      </c>
      <c r="C1161" s="201" t="s">
        <v>3</v>
      </c>
      <c r="D1161" s="201" t="s">
        <v>4</v>
      </c>
      <c r="E1161" s="201" t="s">
        <v>5</v>
      </c>
      <c r="F1161" s="201" t="s">
        <v>6</v>
      </c>
      <c r="G1161" s="201" t="s">
        <v>7</v>
      </c>
      <c r="H1161" s="201" t="s">
        <v>8</v>
      </c>
      <c r="I1161" s="201" t="s">
        <v>9</v>
      </c>
      <c r="J1161" s="201" t="s">
        <v>10</v>
      </c>
      <c r="K1161" s="201" t="s">
        <v>11</v>
      </c>
      <c r="L1161" s="201" t="s">
        <v>12</v>
      </c>
      <c r="M1161" s="201" t="s">
        <v>13</v>
      </c>
      <c r="N1161" s="201" t="s">
        <v>14</v>
      </c>
      <c r="O1161" s="5"/>
      <c r="P1161" s="5"/>
      <c r="Q1161" s="5"/>
      <c r="R1161" s="5"/>
      <c r="S1161" s="5"/>
      <c r="T1161" s="5"/>
      <c r="U1161" s="5"/>
      <c r="V1161" s="5"/>
      <c r="W1161" s="5"/>
      <c r="X1161" s="5"/>
      <c r="Y1161" s="5"/>
      <c r="Z1161" s="5"/>
    </row>
    <row r="1162" ht="12.0" customHeight="1">
      <c r="A1162" s="92" t="s">
        <v>632</v>
      </c>
      <c r="B1162" s="92" t="s">
        <v>633</v>
      </c>
      <c r="C1162" s="203">
        <f>SUM('2032'!B6:B9)+SUM('2032'!B17:B20)</f>
        <v>19483.38</v>
      </c>
      <c r="D1162" s="203">
        <f>SUM('2032'!C6:C9)+SUM('2032'!C17:C20)</f>
        <v>14856.66</v>
      </c>
      <c r="E1162" s="203">
        <f>SUM('2032'!D6:D9)+SUM('2032'!D17:D20)</f>
        <v>13884.045</v>
      </c>
      <c r="F1162" s="203">
        <f>SUM('2032'!E6:E9)+SUM('2032'!E17:E20)</f>
        <v>13275.675</v>
      </c>
      <c r="G1162" s="203">
        <f>SUM('2032'!F6:F9)+SUM('2032'!F17:F20)</f>
        <v>12423.18</v>
      </c>
      <c r="H1162" s="203">
        <f>SUM('2032'!G6:G9)+SUM('2032'!G17:G20)</f>
        <v>12179.055</v>
      </c>
      <c r="I1162" s="203">
        <f>SUM('2032'!H6:H9)+SUM('2032'!H17:H20)</f>
        <v>13031.55</v>
      </c>
      <c r="J1162" s="203">
        <f>SUM('2032'!I6:I9)+SUM('2032'!I17:I20)</f>
        <v>13031.55</v>
      </c>
      <c r="K1162" s="203">
        <f>SUM('2032'!J6:J9)+SUM('2032'!J17:J20)</f>
        <v>13031.55</v>
      </c>
      <c r="L1162" s="203">
        <f>SUM('2032'!K6:K9)+SUM('2032'!K17:K20)</f>
        <v>12787.425</v>
      </c>
      <c r="M1162" s="203">
        <f>SUM('2032'!L6:L9)+SUM('2032'!L17:L20)</f>
        <v>12543.3</v>
      </c>
      <c r="N1162" s="203">
        <f>SUM('2032'!M6:M9)+SUM('2032'!M17:M20)</f>
        <v>19971.63</v>
      </c>
      <c r="O1162" s="5"/>
      <c r="P1162" s="5"/>
      <c r="Q1162" s="5"/>
      <c r="R1162" s="5"/>
      <c r="S1162" s="5"/>
      <c r="T1162" s="5"/>
      <c r="U1162" s="5"/>
      <c r="V1162" s="5"/>
      <c r="W1162" s="5"/>
      <c r="X1162" s="5"/>
      <c r="Y1162" s="5"/>
      <c r="Z1162" s="5"/>
    </row>
    <row r="1163" ht="12.0" customHeight="1">
      <c r="A1163" s="5"/>
      <c r="B1163" s="92" t="s">
        <v>634</v>
      </c>
      <c r="C1163" s="204">
        <f>C1162/Parametros!$B$37</f>
        <v>974.169</v>
      </c>
      <c r="D1163" s="204">
        <f>D1162/Parametros!$B$37</f>
        <v>742.833</v>
      </c>
      <c r="E1163" s="204">
        <f>E1162/Parametros!$B$37</f>
        <v>694.20225</v>
      </c>
      <c r="F1163" s="204">
        <f>F1162/Parametros!$B$37</f>
        <v>663.78375</v>
      </c>
      <c r="G1163" s="204">
        <f>G1162/Parametros!$B$37</f>
        <v>621.159</v>
      </c>
      <c r="H1163" s="204">
        <f>H1162/Parametros!$B$37</f>
        <v>608.95275</v>
      </c>
      <c r="I1163" s="204">
        <f>I1162/Parametros!$B$37</f>
        <v>651.5775</v>
      </c>
      <c r="J1163" s="204">
        <f>J1162/Parametros!$B$37</f>
        <v>651.5775</v>
      </c>
      <c r="K1163" s="204">
        <f>K1162/Parametros!$B$37</f>
        <v>651.5775</v>
      </c>
      <c r="L1163" s="204">
        <f>L1162/Parametros!$B$37</f>
        <v>639.37125</v>
      </c>
      <c r="M1163" s="204">
        <f>M1162/Parametros!$B$37</f>
        <v>627.165</v>
      </c>
      <c r="N1163" s="204">
        <f>N1162/Parametros!$B$37</f>
        <v>998.5815</v>
      </c>
      <c r="O1163" s="5"/>
      <c r="P1163" s="5"/>
      <c r="Q1163" s="5"/>
      <c r="R1163" s="5"/>
      <c r="S1163" s="5"/>
      <c r="T1163" s="5"/>
      <c r="U1163" s="5"/>
      <c r="V1163" s="5"/>
      <c r="W1163" s="5"/>
      <c r="X1163" s="5"/>
      <c r="Y1163" s="5"/>
      <c r="Z1163" s="5"/>
    </row>
    <row r="1164" ht="12.0" customHeight="1">
      <c r="A1164" s="5"/>
      <c r="B1164" s="92" t="s">
        <v>635</v>
      </c>
      <c r="C1164" s="204">
        <f>C1163/Parametros!$J$37</f>
        <v>129.8892</v>
      </c>
      <c r="D1164" s="204">
        <f>D1163/Parametros!$J$37</f>
        <v>99.0444</v>
      </c>
      <c r="E1164" s="204">
        <f>E1163/Parametros!$J$37</f>
        <v>92.5603</v>
      </c>
      <c r="F1164" s="204">
        <f>F1163/Parametros!$J$37</f>
        <v>88.5045</v>
      </c>
      <c r="G1164" s="204">
        <f>G1163/Parametros!$J$37</f>
        <v>82.8212</v>
      </c>
      <c r="H1164" s="204">
        <f>H1163/Parametros!$J$37</f>
        <v>81.1937</v>
      </c>
      <c r="I1164" s="204">
        <f>I1163/Parametros!$J$37</f>
        <v>86.877</v>
      </c>
      <c r="J1164" s="204">
        <f>J1163/Parametros!$J$37</f>
        <v>86.877</v>
      </c>
      <c r="K1164" s="204">
        <f>K1163/Parametros!$J$37</f>
        <v>86.877</v>
      </c>
      <c r="L1164" s="204">
        <f>L1163/Parametros!$J$37</f>
        <v>85.2495</v>
      </c>
      <c r="M1164" s="204">
        <f>M1163/Parametros!$J$37</f>
        <v>83.622</v>
      </c>
      <c r="N1164" s="204">
        <f>N1163/Parametros!$J$37</f>
        <v>133.1442</v>
      </c>
      <c r="O1164" s="5"/>
      <c r="P1164" s="5"/>
      <c r="Q1164" s="5"/>
      <c r="R1164" s="5"/>
      <c r="S1164" s="5"/>
      <c r="T1164" s="5"/>
      <c r="U1164" s="5"/>
      <c r="V1164" s="5"/>
      <c r="W1164" s="5"/>
      <c r="X1164" s="5"/>
      <c r="Y1164" s="5"/>
      <c r="Z1164" s="5"/>
    </row>
    <row r="1165" ht="12.0" customHeight="1">
      <c r="A1165" s="92" t="s">
        <v>636</v>
      </c>
      <c r="B1165" s="5"/>
      <c r="C1165" s="204">
        <f t="shared" ref="C1165:N1165" si="343">C1164</f>
        <v>129.8892</v>
      </c>
      <c r="D1165" s="204">
        <f t="shared" si="343"/>
        <v>99.0444</v>
      </c>
      <c r="E1165" s="204">
        <f t="shared" si="343"/>
        <v>92.5603</v>
      </c>
      <c r="F1165" s="204">
        <f t="shared" si="343"/>
        <v>88.5045</v>
      </c>
      <c r="G1165" s="204">
        <f t="shared" si="343"/>
        <v>82.8212</v>
      </c>
      <c r="H1165" s="204">
        <f t="shared" si="343"/>
        <v>81.1937</v>
      </c>
      <c r="I1165" s="204">
        <f t="shared" si="343"/>
        <v>86.877</v>
      </c>
      <c r="J1165" s="204">
        <f t="shared" si="343"/>
        <v>86.877</v>
      </c>
      <c r="K1165" s="204">
        <f t="shared" si="343"/>
        <v>86.877</v>
      </c>
      <c r="L1165" s="204">
        <f t="shared" si="343"/>
        <v>85.2495</v>
      </c>
      <c r="M1165" s="204">
        <f t="shared" si="343"/>
        <v>83.622</v>
      </c>
      <c r="N1165" s="204">
        <f t="shared" si="343"/>
        <v>133.1442</v>
      </c>
      <c r="O1165" s="5"/>
      <c r="P1165" s="5"/>
      <c r="Q1165" s="5"/>
      <c r="R1165" s="5"/>
      <c r="S1165" s="5"/>
      <c r="T1165" s="5"/>
      <c r="U1165" s="5"/>
      <c r="V1165" s="5"/>
      <c r="W1165" s="5"/>
      <c r="X1165" s="5"/>
      <c r="Y1165" s="5"/>
      <c r="Z1165" s="5"/>
    </row>
    <row r="1166" ht="12.0" customHeight="1">
      <c r="A1166" s="92" t="s">
        <v>637</v>
      </c>
      <c r="B1166" s="5"/>
      <c r="C1166" s="205">
        <f>'Resumen Capacidad'!$H$117</f>
        <v>60.656</v>
      </c>
      <c r="D1166" s="205">
        <f>'Resumen Capacidad'!$H$117</f>
        <v>60.656</v>
      </c>
      <c r="E1166" s="205">
        <f>'Resumen Capacidad'!$H$117</f>
        <v>60.656</v>
      </c>
      <c r="F1166" s="205">
        <f>'Resumen Capacidad'!$H$117</f>
        <v>60.656</v>
      </c>
      <c r="G1166" s="205">
        <f>'Resumen Capacidad'!$H$117</f>
        <v>60.656</v>
      </c>
      <c r="H1166" s="205">
        <f>'Resumen Capacidad'!$H$117</f>
        <v>60.656</v>
      </c>
      <c r="I1166" s="205">
        <f>'Resumen Capacidad'!$H$117</f>
        <v>60.656</v>
      </c>
      <c r="J1166" s="205">
        <f>'Resumen Capacidad'!$H$117</f>
        <v>60.656</v>
      </c>
      <c r="K1166" s="205">
        <f>'Resumen Capacidad'!$H$117</f>
        <v>60.656</v>
      </c>
      <c r="L1166" s="205">
        <f>'Resumen Capacidad'!$H$117</f>
        <v>60.656</v>
      </c>
      <c r="M1166" s="205">
        <f>'Resumen Capacidad'!$H$117</f>
        <v>60.656</v>
      </c>
      <c r="N1166" s="205">
        <f>'Resumen Capacidad'!$H$117</f>
        <v>60.656</v>
      </c>
      <c r="O1166" s="5"/>
      <c r="P1166" s="5"/>
      <c r="Q1166" s="5"/>
      <c r="R1166" s="5"/>
      <c r="S1166" s="5"/>
      <c r="T1166" s="5"/>
      <c r="U1166" s="5"/>
      <c r="V1166" s="5"/>
      <c r="W1166" s="5"/>
      <c r="X1166" s="5"/>
      <c r="Y1166" s="5"/>
      <c r="Z1166" s="5"/>
    </row>
    <row r="1167" ht="12.0" customHeight="1">
      <c r="A1167" s="92" t="s">
        <v>640</v>
      </c>
      <c r="B1167" s="5"/>
      <c r="C1167" s="204">
        <f>'Resumen Capacidad'!$H$35*'Resumen Capacidad'!$H$71</f>
        <v>4</v>
      </c>
      <c r="D1167" s="204">
        <f>'Resumen Capacidad'!$H$35*'Resumen Capacidad'!$H$71</f>
        <v>4</v>
      </c>
      <c r="E1167" s="204">
        <f>'Resumen Capacidad'!$H$35*'Resumen Capacidad'!$H$71</f>
        <v>4</v>
      </c>
      <c r="F1167" s="204">
        <f>'Resumen Capacidad'!$H$35*'Resumen Capacidad'!$H$71</f>
        <v>4</v>
      </c>
      <c r="G1167" s="204">
        <f>'Resumen Capacidad'!$H$35*'Resumen Capacidad'!$H$71</f>
        <v>4</v>
      </c>
      <c r="H1167" s="204">
        <f>'Resumen Capacidad'!$H$35*'Resumen Capacidad'!$H$71</f>
        <v>4</v>
      </c>
      <c r="I1167" s="204">
        <f>'Resumen Capacidad'!$H$35*'Resumen Capacidad'!$H$71</f>
        <v>4</v>
      </c>
      <c r="J1167" s="204">
        <f>'Resumen Capacidad'!$H$35*'Resumen Capacidad'!$H$71</f>
        <v>4</v>
      </c>
      <c r="K1167" s="204">
        <f>'Resumen Capacidad'!$H$35*'Resumen Capacidad'!$H$71</f>
        <v>4</v>
      </c>
      <c r="L1167" s="204">
        <f>'Resumen Capacidad'!$H$35*'Resumen Capacidad'!$H$71</f>
        <v>4</v>
      </c>
      <c r="M1167" s="204">
        <f>'Resumen Capacidad'!$H$35*'Resumen Capacidad'!$H$71</f>
        <v>4</v>
      </c>
      <c r="N1167" s="204">
        <f>'Resumen Capacidad'!$H$35*'Resumen Capacidad'!$H$71</f>
        <v>4</v>
      </c>
      <c r="O1167" s="5"/>
      <c r="P1167" s="5"/>
      <c r="Q1167" s="5"/>
      <c r="R1167" s="5"/>
      <c r="S1167" s="5"/>
      <c r="T1167" s="5"/>
      <c r="U1167" s="5"/>
      <c r="V1167" s="5"/>
      <c r="W1167" s="5"/>
      <c r="X1167" s="5"/>
      <c r="Y1167" s="5"/>
      <c r="Z1167" s="5"/>
    </row>
    <row r="1168" ht="12.0" customHeight="1">
      <c r="A1168" s="92" t="s">
        <v>642</v>
      </c>
      <c r="B1168" s="5"/>
      <c r="C1168" s="204">
        <f t="shared" ref="C1168:N1168" si="344">C1166*C1167</f>
        <v>242.624</v>
      </c>
      <c r="D1168" s="204">
        <f t="shared" si="344"/>
        <v>242.624</v>
      </c>
      <c r="E1168" s="204">
        <f t="shared" si="344"/>
        <v>242.624</v>
      </c>
      <c r="F1168" s="204">
        <f t="shared" si="344"/>
        <v>242.624</v>
      </c>
      <c r="G1168" s="204">
        <f t="shared" si="344"/>
        <v>242.624</v>
      </c>
      <c r="H1168" s="204">
        <f t="shared" si="344"/>
        <v>242.624</v>
      </c>
      <c r="I1168" s="204">
        <f t="shared" si="344"/>
        <v>242.624</v>
      </c>
      <c r="J1168" s="204">
        <f t="shared" si="344"/>
        <v>242.624</v>
      </c>
      <c r="K1168" s="204">
        <f t="shared" si="344"/>
        <v>242.624</v>
      </c>
      <c r="L1168" s="204">
        <f t="shared" si="344"/>
        <v>242.624</v>
      </c>
      <c r="M1168" s="204">
        <f t="shared" si="344"/>
        <v>242.624</v>
      </c>
      <c r="N1168" s="204">
        <f t="shared" si="344"/>
        <v>242.624</v>
      </c>
      <c r="O1168" s="5"/>
      <c r="P1168" s="5"/>
      <c r="Q1168" s="5"/>
      <c r="R1168" s="5"/>
      <c r="S1168" s="5"/>
      <c r="T1168" s="5"/>
      <c r="U1168" s="5"/>
      <c r="V1168" s="5"/>
      <c r="W1168" s="5"/>
      <c r="X1168" s="5"/>
      <c r="Y1168" s="5"/>
      <c r="Z1168" s="5"/>
    </row>
    <row r="1169" ht="12.0" customHeight="1">
      <c r="A1169" s="92" t="s">
        <v>643</v>
      </c>
      <c r="B1169" s="5"/>
      <c r="C1169" s="206">
        <f t="shared" ref="C1169:N1169" si="345">IF(C1168=0,0,C1165/C1168)</f>
        <v>0.5353518201</v>
      </c>
      <c r="D1169" s="206">
        <f t="shared" si="345"/>
        <v>0.4082217753</v>
      </c>
      <c r="E1169" s="206">
        <f t="shared" si="345"/>
        <v>0.3814968841</v>
      </c>
      <c r="F1169" s="206">
        <f t="shared" si="345"/>
        <v>0.3647804834</v>
      </c>
      <c r="G1169" s="206">
        <f t="shared" si="345"/>
        <v>0.3413561725</v>
      </c>
      <c r="H1169" s="206">
        <f t="shared" si="345"/>
        <v>0.3346482623</v>
      </c>
      <c r="I1169" s="206">
        <f t="shared" si="345"/>
        <v>0.3580725732</v>
      </c>
      <c r="J1169" s="206">
        <f t="shared" si="345"/>
        <v>0.3580725732</v>
      </c>
      <c r="K1169" s="206">
        <f t="shared" si="345"/>
        <v>0.3580725732</v>
      </c>
      <c r="L1169" s="206">
        <f t="shared" si="345"/>
        <v>0.351364663</v>
      </c>
      <c r="M1169" s="206">
        <f t="shared" si="345"/>
        <v>0.3446567528</v>
      </c>
      <c r="N1169" s="206">
        <f t="shared" si="345"/>
        <v>0.5487676405</v>
      </c>
      <c r="O1169" s="5"/>
      <c r="P1169" s="5"/>
      <c r="Q1169" s="5"/>
      <c r="R1169" s="5"/>
      <c r="S1169" s="5"/>
      <c r="T1169" s="5"/>
      <c r="U1169" s="5"/>
      <c r="V1169" s="5"/>
      <c r="W1169" s="5"/>
      <c r="X1169" s="5"/>
      <c r="Y1169" s="5"/>
      <c r="Z1169" s="5"/>
    </row>
    <row r="1170" ht="12.0" customHeight="1">
      <c r="A1170" s="201" t="s">
        <v>664</v>
      </c>
      <c r="B1170" s="202"/>
      <c r="C1170" s="202"/>
      <c r="D1170" s="202"/>
      <c r="E1170" s="202"/>
      <c r="F1170" s="202"/>
      <c r="G1170" s="202"/>
      <c r="H1170" s="202"/>
      <c r="I1170" s="202"/>
      <c r="J1170" s="202"/>
      <c r="K1170" s="202"/>
      <c r="L1170" s="202"/>
      <c r="M1170" s="202"/>
      <c r="N1170" s="202"/>
      <c r="O1170" s="5"/>
      <c r="P1170" s="5"/>
      <c r="Q1170" s="5"/>
      <c r="R1170" s="5"/>
      <c r="S1170" s="5"/>
      <c r="T1170" s="5"/>
      <c r="U1170" s="5"/>
      <c r="V1170" s="5"/>
      <c r="W1170" s="5"/>
      <c r="X1170" s="5"/>
      <c r="Y1170" s="5"/>
      <c r="Z1170" s="5"/>
    </row>
    <row r="1171" ht="12.0" customHeight="1">
      <c r="A1171" s="201" t="s">
        <v>630</v>
      </c>
      <c r="B1171" s="201" t="s">
        <v>631</v>
      </c>
      <c r="C1171" s="201" t="s">
        <v>3</v>
      </c>
      <c r="D1171" s="201" t="s">
        <v>4</v>
      </c>
      <c r="E1171" s="201" t="s">
        <v>5</v>
      </c>
      <c r="F1171" s="201" t="s">
        <v>6</v>
      </c>
      <c r="G1171" s="201" t="s">
        <v>7</v>
      </c>
      <c r="H1171" s="201" t="s">
        <v>8</v>
      </c>
      <c r="I1171" s="201" t="s">
        <v>9</v>
      </c>
      <c r="J1171" s="201" t="s">
        <v>10</v>
      </c>
      <c r="K1171" s="201" t="s">
        <v>11</v>
      </c>
      <c r="L1171" s="201" t="s">
        <v>12</v>
      </c>
      <c r="M1171" s="201" t="s">
        <v>13</v>
      </c>
      <c r="N1171" s="201" t="s">
        <v>14</v>
      </c>
      <c r="O1171" s="5"/>
      <c r="P1171" s="5"/>
      <c r="Q1171" s="5"/>
      <c r="R1171" s="5"/>
      <c r="S1171" s="5"/>
      <c r="T1171" s="5"/>
      <c r="U1171" s="5"/>
      <c r="V1171" s="5"/>
      <c r="W1171" s="5"/>
      <c r="X1171" s="5"/>
      <c r="Y1171" s="5"/>
      <c r="Z1171" s="5"/>
    </row>
    <row r="1172" ht="12.0" customHeight="1">
      <c r="A1172" s="92" t="s">
        <v>632</v>
      </c>
      <c r="B1172" s="92" t="s">
        <v>633</v>
      </c>
      <c r="C1172" s="203">
        <f>SUM('2032'!B6:B9)+SUM('2032'!B17:B20)</f>
        <v>19483.38</v>
      </c>
      <c r="D1172" s="203">
        <f>SUM('2032'!C6:C9)+SUM('2032'!C17:C20)</f>
        <v>14856.66</v>
      </c>
      <c r="E1172" s="203">
        <f>SUM('2032'!D6:D9)+SUM('2032'!D17:D20)</f>
        <v>13884.045</v>
      </c>
      <c r="F1172" s="203">
        <f>SUM('2032'!E6:E9)+SUM('2032'!E17:E20)</f>
        <v>13275.675</v>
      </c>
      <c r="G1172" s="203">
        <f>SUM('2032'!F6:F9)+SUM('2032'!F17:F20)</f>
        <v>12423.18</v>
      </c>
      <c r="H1172" s="203">
        <f>SUM('2032'!G6:G9)+SUM('2032'!G17:G20)</f>
        <v>12179.055</v>
      </c>
      <c r="I1172" s="203">
        <f>SUM('2032'!H6:H9)+SUM('2032'!H17:H20)</f>
        <v>13031.55</v>
      </c>
      <c r="J1172" s="203">
        <f>SUM('2032'!I6:I9)+SUM('2032'!I17:I20)</f>
        <v>13031.55</v>
      </c>
      <c r="K1172" s="203">
        <f>SUM('2032'!J6:J9)+SUM('2032'!J17:J20)</f>
        <v>13031.55</v>
      </c>
      <c r="L1172" s="203">
        <f>SUM('2032'!K6:K9)+SUM('2032'!K17:K20)</f>
        <v>12787.425</v>
      </c>
      <c r="M1172" s="203">
        <f>SUM('2032'!L6:L9)+SUM('2032'!L17:L20)</f>
        <v>12543.3</v>
      </c>
      <c r="N1172" s="203">
        <f>SUM('2032'!M6:M9)+SUM('2032'!M17:M20)</f>
        <v>19971.63</v>
      </c>
      <c r="O1172" s="5"/>
      <c r="P1172" s="5"/>
      <c r="Q1172" s="5"/>
      <c r="R1172" s="5"/>
      <c r="S1172" s="5"/>
      <c r="T1172" s="5"/>
      <c r="U1172" s="5"/>
      <c r="V1172" s="5"/>
      <c r="W1172" s="5"/>
      <c r="X1172" s="5"/>
      <c r="Y1172" s="5"/>
      <c r="Z1172" s="5"/>
    </row>
    <row r="1173" ht="12.0" customHeight="1">
      <c r="A1173" s="5"/>
      <c r="B1173" s="92" t="s">
        <v>634</v>
      </c>
      <c r="C1173" s="204">
        <f>C1172/Parametros!$B$37</f>
        <v>974.169</v>
      </c>
      <c r="D1173" s="204">
        <f>D1172/Parametros!$B$37</f>
        <v>742.833</v>
      </c>
      <c r="E1173" s="204">
        <f>E1172/Parametros!$B$37</f>
        <v>694.20225</v>
      </c>
      <c r="F1173" s="204">
        <f>F1172/Parametros!$B$37</f>
        <v>663.78375</v>
      </c>
      <c r="G1173" s="204">
        <f>G1172/Parametros!$B$37</f>
        <v>621.159</v>
      </c>
      <c r="H1173" s="204">
        <f>H1172/Parametros!$B$37</f>
        <v>608.95275</v>
      </c>
      <c r="I1173" s="204">
        <f>I1172/Parametros!$B$37</f>
        <v>651.5775</v>
      </c>
      <c r="J1173" s="204">
        <f>J1172/Parametros!$B$37</f>
        <v>651.5775</v>
      </c>
      <c r="K1173" s="204">
        <f>K1172/Parametros!$B$37</f>
        <v>651.5775</v>
      </c>
      <c r="L1173" s="204">
        <f>L1172/Parametros!$B$37</f>
        <v>639.37125</v>
      </c>
      <c r="M1173" s="204">
        <f>M1172/Parametros!$B$37</f>
        <v>627.165</v>
      </c>
      <c r="N1173" s="204">
        <f>N1172/Parametros!$B$37</f>
        <v>998.5815</v>
      </c>
      <c r="O1173" s="5"/>
      <c r="P1173" s="5"/>
      <c r="Q1173" s="5"/>
      <c r="R1173" s="5"/>
      <c r="S1173" s="5"/>
      <c r="T1173" s="5"/>
      <c r="U1173" s="5"/>
      <c r="V1173" s="5"/>
      <c r="W1173" s="5"/>
      <c r="X1173" s="5"/>
      <c r="Y1173" s="5"/>
      <c r="Z1173" s="5"/>
    </row>
    <row r="1174" ht="12.0" customHeight="1">
      <c r="A1174" s="5"/>
      <c r="B1174" s="92" t="s">
        <v>635</v>
      </c>
      <c r="C1174" s="204">
        <f>C1173/Parametros!$J$37</f>
        <v>129.8892</v>
      </c>
      <c r="D1174" s="204">
        <f>D1173/Parametros!$J$37</f>
        <v>99.0444</v>
      </c>
      <c r="E1174" s="204">
        <f>E1173/Parametros!$J$37</f>
        <v>92.5603</v>
      </c>
      <c r="F1174" s="204">
        <f>F1173/Parametros!$J$37</f>
        <v>88.5045</v>
      </c>
      <c r="G1174" s="204">
        <f>G1173/Parametros!$J$37</f>
        <v>82.8212</v>
      </c>
      <c r="H1174" s="204">
        <f>H1173/Parametros!$J$37</f>
        <v>81.1937</v>
      </c>
      <c r="I1174" s="204">
        <f>I1173/Parametros!$J$37</f>
        <v>86.877</v>
      </c>
      <c r="J1174" s="204">
        <f>J1173/Parametros!$J$37</f>
        <v>86.877</v>
      </c>
      <c r="K1174" s="204">
        <f>K1173/Parametros!$J$37</f>
        <v>86.877</v>
      </c>
      <c r="L1174" s="204">
        <f>L1173/Parametros!$J$37</f>
        <v>85.2495</v>
      </c>
      <c r="M1174" s="204">
        <f>M1173/Parametros!$J$37</f>
        <v>83.622</v>
      </c>
      <c r="N1174" s="204">
        <f>N1173/Parametros!$J$37</f>
        <v>133.1442</v>
      </c>
      <c r="O1174" s="5"/>
      <c r="P1174" s="5"/>
      <c r="Q1174" s="5"/>
      <c r="R1174" s="5"/>
      <c r="S1174" s="5"/>
      <c r="T1174" s="5"/>
      <c r="U1174" s="5"/>
      <c r="V1174" s="5"/>
      <c r="W1174" s="5"/>
      <c r="X1174" s="5"/>
      <c r="Y1174" s="5"/>
      <c r="Z1174" s="5"/>
    </row>
    <row r="1175" ht="12.0" customHeight="1">
      <c r="A1175" s="92" t="s">
        <v>636</v>
      </c>
      <c r="B1175" s="5"/>
      <c r="C1175" s="204">
        <f t="shared" ref="C1175:N1175" si="346">C1174</f>
        <v>129.8892</v>
      </c>
      <c r="D1175" s="204">
        <f t="shared" si="346"/>
        <v>99.0444</v>
      </c>
      <c r="E1175" s="204">
        <f t="shared" si="346"/>
        <v>92.5603</v>
      </c>
      <c r="F1175" s="204">
        <f t="shared" si="346"/>
        <v>88.5045</v>
      </c>
      <c r="G1175" s="204">
        <f t="shared" si="346"/>
        <v>82.8212</v>
      </c>
      <c r="H1175" s="204">
        <f t="shared" si="346"/>
        <v>81.1937</v>
      </c>
      <c r="I1175" s="204">
        <f t="shared" si="346"/>
        <v>86.877</v>
      </c>
      <c r="J1175" s="204">
        <f t="shared" si="346"/>
        <v>86.877</v>
      </c>
      <c r="K1175" s="204">
        <f t="shared" si="346"/>
        <v>86.877</v>
      </c>
      <c r="L1175" s="204">
        <f t="shared" si="346"/>
        <v>85.2495</v>
      </c>
      <c r="M1175" s="204">
        <f t="shared" si="346"/>
        <v>83.622</v>
      </c>
      <c r="N1175" s="204">
        <f t="shared" si="346"/>
        <v>133.1442</v>
      </c>
      <c r="O1175" s="5"/>
      <c r="P1175" s="5"/>
      <c r="Q1175" s="5"/>
      <c r="R1175" s="5"/>
      <c r="S1175" s="5"/>
      <c r="T1175" s="5"/>
      <c r="U1175" s="5"/>
      <c r="V1175" s="5"/>
      <c r="W1175" s="5"/>
      <c r="X1175" s="5"/>
      <c r="Y1175" s="5"/>
      <c r="Z1175" s="5"/>
    </row>
    <row r="1176" ht="12.0" customHeight="1">
      <c r="A1176" s="92" t="s">
        <v>637</v>
      </c>
      <c r="B1176" s="5"/>
      <c r="C1176" s="205">
        <f>'Resumen Capacidad'!$H$118</f>
        <v>187.425</v>
      </c>
      <c r="D1176" s="205">
        <f>'Resumen Capacidad'!$H$118</f>
        <v>187.425</v>
      </c>
      <c r="E1176" s="205">
        <f>'Resumen Capacidad'!$H$118</f>
        <v>187.425</v>
      </c>
      <c r="F1176" s="205">
        <f>'Resumen Capacidad'!$H$118</f>
        <v>187.425</v>
      </c>
      <c r="G1176" s="205">
        <f>'Resumen Capacidad'!$H$118</f>
        <v>187.425</v>
      </c>
      <c r="H1176" s="205">
        <f>'Resumen Capacidad'!$H$118</f>
        <v>187.425</v>
      </c>
      <c r="I1176" s="205">
        <f>'Resumen Capacidad'!$H$118</f>
        <v>187.425</v>
      </c>
      <c r="J1176" s="205">
        <f>'Resumen Capacidad'!$H$118</f>
        <v>187.425</v>
      </c>
      <c r="K1176" s="205">
        <f>'Resumen Capacidad'!$H$118</f>
        <v>187.425</v>
      </c>
      <c r="L1176" s="205">
        <f>'Resumen Capacidad'!$H$118</f>
        <v>187.425</v>
      </c>
      <c r="M1176" s="205">
        <f>'Resumen Capacidad'!$H$118</f>
        <v>187.425</v>
      </c>
      <c r="N1176" s="205">
        <f>'Resumen Capacidad'!$H$118</f>
        <v>187.425</v>
      </c>
      <c r="O1176" s="5"/>
      <c r="P1176" s="5"/>
      <c r="Q1176" s="5"/>
      <c r="R1176" s="5"/>
      <c r="S1176" s="5"/>
      <c r="T1176" s="5"/>
      <c r="U1176" s="5"/>
      <c r="V1176" s="5"/>
      <c r="W1176" s="5"/>
      <c r="X1176" s="5"/>
      <c r="Y1176" s="5"/>
      <c r="Z1176" s="5"/>
    </row>
    <row r="1177" ht="12.0" customHeight="1">
      <c r="A1177" s="92" t="s">
        <v>640</v>
      </c>
      <c r="B1177" s="5"/>
      <c r="C1177" s="204">
        <f>'Resumen Capacidad'!$H$36*'Resumen Capacidad'!$H$72</f>
        <v>1</v>
      </c>
      <c r="D1177" s="204">
        <f>'Resumen Capacidad'!$H$36*'Resumen Capacidad'!$H$72</f>
        <v>1</v>
      </c>
      <c r="E1177" s="204">
        <f>'Resumen Capacidad'!$H$36*'Resumen Capacidad'!$H$72</f>
        <v>1</v>
      </c>
      <c r="F1177" s="204">
        <f>'Resumen Capacidad'!$H$36*'Resumen Capacidad'!$H$72</f>
        <v>1</v>
      </c>
      <c r="G1177" s="204">
        <f>'Resumen Capacidad'!$H$36*'Resumen Capacidad'!$H$72</f>
        <v>1</v>
      </c>
      <c r="H1177" s="204">
        <f>'Resumen Capacidad'!$H$36*'Resumen Capacidad'!$H$72</f>
        <v>1</v>
      </c>
      <c r="I1177" s="204">
        <f>'Resumen Capacidad'!$H$36*'Resumen Capacidad'!$H$72</f>
        <v>1</v>
      </c>
      <c r="J1177" s="204">
        <f>'Resumen Capacidad'!$H$36*'Resumen Capacidad'!$H$72</f>
        <v>1</v>
      </c>
      <c r="K1177" s="204">
        <f>'Resumen Capacidad'!$H$36*'Resumen Capacidad'!$H$72</f>
        <v>1</v>
      </c>
      <c r="L1177" s="204">
        <f>'Resumen Capacidad'!$H$36*'Resumen Capacidad'!$H$72</f>
        <v>1</v>
      </c>
      <c r="M1177" s="204">
        <f>'Resumen Capacidad'!$H$36*'Resumen Capacidad'!$H$72</f>
        <v>1</v>
      </c>
      <c r="N1177" s="204">
        <f>'Resumen Capacidad'!$H$36*'Resumen Capacidad'!$H$72</f>
        <v>1</v>
      </c>
      <c r="O1177" s="5"/>
      <c r="P1177" s="5"/>
      <c r="Q1177" s="5"/>
      <c r="R1177" s="5"/>
      <c r="S1177" s="5"/>
      <c r="T1177" s="5"/>
      <c r="U1177" s="5"/>
      <c r="V1177" s="5"/>
      <c r="W1177" s="5"/>
      <c r="X1177" s="5"/>
      <c r="Y1177" s="5"/>
      <c r="Z1177" s="5"/>
    </row>
    <row r="1178" ht="12.0" customHeight="1">
      <c r="A1178" s="92" t="s">
        <v>642</v>
      </c>
      <c r="B1178" s="5"/>
      <c r="C1178" s="204">
        <f t="shared" ref="C1178:N1178" si="347">C1176*C1177</f>
        <v>187.425</v>
      </c>
      <c r="D1178" s="204">
        <f t="shared" si="347"/>
        <v>187.425</v>
      </c>
      <c r="E1178" s="204">
        <f t="shared" si="347"/>
        <v>187.425</v>
      </c>
      <c r="F1178" s="204">
        <f t="shared" si="347"/>
        <v>187.425</v>
      </c>
      <c r="G1178" s="204">
        <f t="shared" si="347"/>
        <v>187.425</v>
      </c>
      <c r="H1178" s="204">
        <f t="shared" si="347"/>
        <v>187.425</v>
      </c>
      <c r="I1178" s="204">
        <f t="shared" si="347"/>
        <v>187.425</v>
      </c>
      <c r="J1178" s="204">
        <f t="shared" si="347"/>
        <v>187.425</v>
      </c>
      <c r="K1178" s="204">
        <f t="shared" si="347"/>
        <v>187.425</v>
      </c>
      <c r="L1178" s="204">
        <f t="shared" si="347"/>
        <v>187.425</v>
      </c>
      <c r="M1178" s="204">
        <f t="shared" si="347"/>
        <v>187.425</v>
      </c>
      <c r="N1178" s="204">
        <f t="shared" si="347"/>
        <v>187.425</v>
      </c>
      <c r="O1178" s="5"/>
      <c r="P1178" s="5"/>
      <c r="Q1178" s="5"/>
      <c r="R1178" s="5"/>
      <c r="S1178" s="5"/>
      <c r="T1178" s="5"/>
      <c r="U1178" s="5"/>
      <c r="V1178" s="5"/>
      <c r="W1178" s="5"/>
      <c r="X1178" s="5"/>
      <c r="Y1178" s="5"/>
      <c r="Z1178" s="5"/>
    </row>
    <row r="1179" ht="12.0" customHeight="1">
      <c r="A1179" s="92" t="s">
        <v>643</v>
      </c>
      <c r="B1179" s="5"/>
      <c r="C1179" s="206">
        <f t="shared" ref="C1179:N1179" si="348">IF(C1178=0,0,C1175/C1178)</f>
        <v>0.6930196078</v>
      </c>
      <c r="D1179" s="206">
        <f t="shared" si="348"/>
        <v>0.5284481793</v>
      </c>
      <c r="E1179" s="206">
        <f t="shared" si="348"/>
        <v>0.4938524743</v>
      </c>
      <c r="F1179" s="206">
        <f t="shared" si="348"/>
        <v>0.4722128852</v>
      </c>
      <c r="G1179" s="206">
        <f t="shared" si="348"/>
        <v>0.4418898226</v>
      </c>
      <c r="H1179" s="206">
        <f t="shared" si="348"/>
        <v>0.4332063492</v>
      </c>
      <c r="I1179" s="206">
        <f t="shared" si="348"/>
        <v>0.4635294118</v>
      </c>
      <c r="J1179" s="206">
        <f t="shared" si="348"/>
        <v>0.4635294118</v>
      </c>
      <c r="K1179" s="206">
        <f t="shared" si="348"/>
        <v>0.4635294118</v>
      </c>
      <c r="L1179" s="206">
        <f t="shared" si="348"/>
        <v>0.4548459384</v>
      </c>
      <c r="M1179" s="206">
        <f t="shared" si="348"/>
        <v>0.446162465</v>
      </c>
      <c r="N1179" s="206">
        <f t="shared" si="348"/>
        <v>0.7103865546</v>
      </c>
      <c r="O1179" s="5"/>
      <c r="P1179" s="5"/>
      <c r="Q1179" s="5"/>
      <c r="R1179" s="5"/>
      <c r="S1179" s="5"/>
      <c r="T1179" s="5"/>
      <c r="U1179" s="5"/>
      <c r="V1179" s="5"/>
      <c r="W1179" s="5"/>
      <c r="X1179" s="5"/>
      <c r="Y1179" s="5"/>
      <c r="Z1179" s="5"/>
    </row>
    <row r="1180" ht="12.0" customHeight="1">
      <c r="A1180" s="201" t="s">
        <v>665</v>
      </c>
      <c r="B1180" s="202"/>
      <c r="C1180" s="202"/>
      <c r="D1180" s="202"/>
      <c r="E1180" s="202"/>
      <c r="F1180" s="202"/>
      <c r="G1180" s="202"/>
      <c r="H1180" s="202"/>
      <c r="I1180" s="202"/>
      <c r="J1180" s="202"/>
      <c r="K1180" s="202"/>
      <c r="L1180" s="202"/>
      <c r="M1180" s="202"/>
      <c r="N1180" s="202"/>
      <c r="O1180" s="5"/>
      <c r="P1180" s="5"/>
      <c r="Q1180" s="5"/>
      <c r="R1180" s="5"/>
      <c r="S1180" s="5"/>
      <c r="T1180" s="5"/>
      <c r="U1180" s="5"/>
      <c r="V1180" s="5"/>
      <c r="W1180" s="5"/>
      <c r="X1180" s="5"/>
      <c r="Y1180" s="5"/>
      <c r="Z1180" s="5"/>
    </row>
    <row r="1181" ht="12.0" customHeight="1">
      <c r="A1181" s="201" t="s">
        <v>630</v>
      </c>
      <c r="B1181" s="201" t="s">
        <v>631</v>
      </c>
      <c r="C1181" s="201" t="s">
        <v>3</v>
      </c>
      <c r="D1181" s="201" t="s">
        <v>4</v>
      </c>
      <c r="E1181" s="201" t="s">
        <v>5</v>
      </c>
      <c r="F1181" s="201" t="s">
        <v>6</v>
      </c>
      <c r="G1181" s="201" t="s">
        <v>7</v>
      </c>
      <c r="H1181" s="201" t="s">
        <v>8</v>
      </c>
      <c r="I1181" s="201" t="s">
        <v>9</v>
      </c>
      <c r="J1181" s="201" t="s">
        <v>10</v>
      </c>
      <c r="K1181" s="201" t="s">
        <v>11</v>
      </c>
      <c r="L1181" s="201" t="s">
        <v>12</v>
      </c>
      <c r="M1181" s="201" t="s">
        <v>13</v>
      </c>
      <c r="N1181" s="201" t="s">
        <v>14</v>
      </c>
      <c r="O1181" s="5"/>
      <c r="P1181" s="5"/>
      <c r="Q1181" s="5"/>
      <c r="R1181" s="5"/>
      <c r="S1181" s="5"/>
      <c r="T1181" s="5"/>
      <c r="U1181" s="5"/>
      <c r="V1181" s="5"/>
      <c r="W1181" s="5"/>
      <c r="X1181" s="5"/>
      <c r="Y1181" s="5"/>
      <c r="Z1181" s="5"/>
    </row>
    <row r="1182" ht="12.0" customHeight="1">
      <c r="A1182" s="92" t="s">
        <v>632</v>
      </c>
      <c r="B1182" s="92" t="s">
        <v>633</v>
      </c>
      <c r="C1182" s="203">
        <f>SUM('2032'!B6:B9)+SUM('2032'!B17:B20)</f>
        <v>19483.38</v>
      </c>
      <c r="D1182" s="203">
        <f>SUM('2032'!C6:C9)+SUM('2032'!C17:C20)</f>
        <v>14856.66</v>
      </c>
      <c r="E1182" s="203">
        <f>SUM('2032'!D6:D9)+SUM('2032'!D17:D20)</f>
        <v>13884.045</v>
      </c>
      <c r="F1182" s="203">
        <f>SUM('2032'!E6:E9)+SUM('2032'!E17:E20)</f>
        <v>13275.675</v>
      </c>
      <c r="G1182" s="203">
        <f>SUM('2032'!F6:F9)+SUM('2032'!F17:F20)</f>
        <v>12423.18</v>
      </c>
      <c r="H1182" s="203">
        <f>SUM('2032'!G6:G9)+SUM('2032'!G17:G20)</f>
        <v>12179.055</v>
      </c>
      <c r="I1182" s="203">
        <f>SUM('2032'!H6:H9)+SUM('2032'!H17:H20)</f>
        <v>13031.55</v>
      </c>
      <c r="J1182" s="203">
        <f>SUM('2032'!I6:I9)+SUM('2032'!I17:I20)</f>
        <v>13031.55</v>
      </c>
      <c r="K1182" s="203">
        <f>SUM('2032'!J6:J9)+SUM('2032'!J17:J20)</f>
        <v>13031.55</v>
      </c>
      <c r="L1182" s="203">
        <f>SUM('2032'!K6:K9)+SUM('2032'!K17:K20)</f>
        <v>12787.425</v>
      </c>
      <c r="M1182" s="203">
        <f>SUM('2032'!L6:L9)+SUM('2032'!L17:L20)</f>
        <v>12543.3</v>
      </c>
      <c r="N1182" s="203">
        <f>SUM('2032'!M6:M9)+SUM('2032'!M17:M20)</f>
        <v>19971.63</v>
      </c>
      <c r="O1182" s="5"/>
      <c r="P1182" s="5"/>
      <c r="Q1182" s="5"/>
      <c r="R1182" s="5"/>
      <c r="S1182" s="5"/>
      <c r="T1182" s="5"/>
      <c r="U1182" s="5"/>
      <c r="V1182" s="5"/>
      <c r="W1182" s="5"/>
      <c r="X1182" s="5"/>
      <c r="Y1182" s="5"/>
      <c r="Z1182" s="5"/>
    </row>
    <row r="1183" ht="12.0" customHeight="1">
      <c r="A1183" s="5"/>
      <c r="B1183" s="92" t="s">
        <v>634</v>
      </c>
      <c r="C1183" s="204">
        <f>C1182/Parametros!$B$37</f>
        <v>974.169</v>
      </c>
      <c r="D1183" s="204">
        <f>D1182/Parametros!$B$37</f>
        <v>742.833</v>
      </c>
      <c r="E1183" s="204">
        <f>E1182/Parametros!$B$37</f>
        <v>694.20225</v>
      </c>
      <c r="F1183" s="204">
        <f>F1182/Parametros!$B$37</f>
        <v>663.78375</v>
      </c>
      <c r="G1183" s="204">
        <f>G1182/Parametros!$B$37</f>
        <v>621.159</v>
      </c>
      <c r="H1183" s="204">
        <f>H1182/Parametros!$B$37</f>
        <v>608.95275</v>
      </c>
      <c r="I1183" s="204">
        <f>I1182/Parametros!$B$37</f>
        <v>651.5775</v>
      </c>
      <c r="J1183" s="204">
        <f>J1182/Parametros!$B$37</f>
        <v>651.5775</v>
      </c>
      <c r="K1183" s="204">
        <f>K1182/Parametros!$B$37</f>
        <v>651.5775</v>
      </c>
      <c r="L1183" s="204">
        <f>L1182/Parametros!$B$37</f>
        <v>639.37125</v>
      </c>
      <c r="M1183" s="204">
        <f>M1182/Parametros!$B$37</f>
        <v>627.165</v>
      </c>
      <c r="N1183" s="204">
        <f>N1182/Parametros!$B$37</f>
        <v>998.5815</v>
      </c>
      <c r="O1183" s="5"/>
      <c r="P1183" s="5"/>
      <c r="Q1183" s="5"/>
      <c r="R1183" s="5"/>
      <c r="S1183" s="5"/>
      <c r="T1183" s="5"/>
      <c r="U1183" s="5"/>
      <c r="V1183" s="5"/>
      <c r="W1183" s="5"/>
      <c r="X1183" s="5"/>
      <c r="Y1183" s="5"/>
      <c r="Z1183" s="5"/>
    </row>
    <row r="1184" ht="12.0" customHeight="1">
      <c r="A1184" s="5"/>
      <c r="B1184" s="92" t="s">
        <v>635</v>
      </c>
      <c r="C1184" s="204">
        <f>C1183/Parametros!$J$37</f>
        <v>129.8892</v>
      </c>
      <c r="D1184" s="204">
        <f>D1183/Parametros!$J$37</f>
        <v>99.0444</v>
      </c>
      <c r="E1184" s="204">
        <f>E1183/Parametros!$J$37</f>
        <v>92.5603</v>
      </c>
      <c r="F1184" s="204">
        <f>F1183/Parametros!$J$37</f>
        <v>88.5045</v>
      </c>
      <c r="G1184" s="204">
        <f>G1183/Parametros!$J$37</f>
        <v>82.8212</v>
      </c>
      <c r="H1184" s="204">
        <f>H1183/Parametros!$J$37</f>
        <v>81.1937</v>
      </c>
      <c r="I1184" s="204">
        <f>I1183/Parametros!$J$37</f>
        <v>86.877</v>
      </c>
      <c r="J1184" s="204">
        <f>J1183/Parametros!$J$37</f>
        <v>86.877</v>
      </c>
      <c r="K1184" s="204">
        <f>K1183/Parametros!$J$37</f>
        <v>86.877</v>
      </c>
      <c r="L1184" s="204">
        <f>L1183/Parametros!$J$37</f>
        <v>85.2495</v>
      </c>
      <c r="M1184" s="204">
        <f>M1183/Parametros!$J$37</f>
        <v>83.622</v>
      </c>
      <c r="N1184" s="204">
        <f>N1183/Parametros!$J$37</f>
        <v>133.1442</v>
      </c>
      <c r="O1184" s="5"/>
      <c r="P1184" s="5"/>
      <c r="Q1184" s="5"/>
      <c r="R1184" s="5"/>
      <c r="S1184" s="5"/>
      <c r="T1184" s="5"/>
      <c r="U1184" s="5"/>
      <c r="V1184" s="5"/>
      <c r="W1184" s="5"/>
      <c r="X1184" s="5"/>
      <c r="Y1184" s="5"/>
      <c r="Z1184" s="5"/>
    </row>
    <row r="1185" ht="12.0" customHeight="1">
      <c r="A1185" s="92" t="s">
        <v>636</v>
      </c>
      <c r="B1185" s="5"/>
      <c r="C1185" s="204">
        <f t="shared" ref="C1185:N1185" si="349">C1184</f>
        <v>129.8892</v>
      </c>
      <c r="D1185" s="204">
        <f t="shared" si="349"/>
        <v>99.0444</v>
      </c>
      <c r="E1185" s="204">
        <f t="shared" si="349"/>
        <v>92.5603</v>
      </c>
      <c r="F1185" s="204">
        <f t="shared" si="349"/>
        <v>88.5045</v>
      </c>
      <c r="G1185" s="204">
        <f t="shared" si="349"/>
        <v>82.8212</v>
      </c>
      <c r="H1185" s="204">
        <f t="shared" si="349"/>
        <v>81.1937</v>
      </c>
      <c r="I1185" s="204">
        <f t="shared" si="349"/>
        <v>86.877</v>
      </c>
      <c r="J1185" s="204">
        <f t="shared" si="349"/>
        <v>86.877</v>
      </c>
      <c r="K1185" s="204">
        <f t="shared" si="349"/>
        <v>86.877</v>
      </c>
      <c r="L1185" s="204">
        <f t="shared" si="349"/>
        <v>85.2495</v>
      </c>
      <c r="M1185" s="204">
        <f t="shared" si="349"/>
        <v>83.622</v>
      </c>
      <c r="N1185" s="204">
        <f t="shared" si="349"/>
        <v>133.1442</v>
      </c>
      <c r="O1185" s="5"/>
      <c r="P1185" s="5"/>
      <c r="Q1185" s="5"/>
      <c r="R1185" s="5"/>
      <c r="S1185" s="5"/>
      <c r="T1185" s="5"/>
      <c r="U1185" s="5"/>
      <c r="V1185" s="5"/>
      <c r="W1185" s="5"/>
      <c r="X1185" s="5"/>
      <c r="Y1185" s="5"/>
      <c r="Z1185" s="5"/>
    </row>
    <row r="1186" ht="12.0" customHeight="1">
      <c r="A1186" s="92" t="s">
        <v>637</v>
      </c>
      <c r="B1186" s="5"/>
      <c r="C1186" s="184">
        <f>'Resumen Capacidad'!$H$119</f>
        <v>63.648</v>
      </c>
      <c r="D1186" s="184">
        <f>'Resumen Capacidad'!$H$119</f>
        <v>63.648</v>
      </c>
      <c r="E1186" s="184">
        <f>'Resumen Capacidad'!$H$119</f>
        <v>63.648</v>
      </c>
      <c r="F1186" s="184">
        <f>'Resumen Capacidad'!$H$119</f>
        <v>63.648</v>
      </c>
      <c r="G1186" s="184">
        <f>'Resumen Capacidad'!$H$119</f>
        <v>63.648</v>
      </c>
      <c r="H1186" s="184">
        <f>'Resumen Capacidad'!$H$119</f>
        <v>63.648</v>
      </c>
      <c r="I1186" s="184">
        <f>'Resumen Capacidad'!$H$119</f>
        <v>63.648</v>
      </c>
      <c r="J1186" s="184">
        <f>'Resumen Capacidad'!$H$119</f>
        <v>63.648</v>
      </c>
      <c r="K1186" s="184">
        <f>'Resumen Capacidad'!$H$119</f>
        <v>63.648</v>
      </c>
      <c r="L1186" s="184">
        <f>'Resumen Capacidad'!$H$119</f>
        <v>63.648</v>
      </c>
      <c r="M1186" s="184">
        <f>'Resumen Capacidad'!$H$119</f>
        <v>63.648</v>
      </c>
      <c r="N1186" s="184">
        <f>'Resumen Capacidad'!$H$119</f>
        <v>63.648</v>
      </c>
      <c r="O1186" s="5"/>
      <c r="P1186" s="5"/>
      <c r="Q1186" s="5"/>
      <c r="R1186" s="5"/>
      <c r="S1186" s="5"/>
      <c r="T1186" s="5"/>
      <c r="U1186" s="5"/>
      <c r="V1186" s="5"/>
      <c r="W1186" s="5"/>
      <c r="X1186" s="5"/>
      <c r="Y1186" s="5"/>
      <c r="Z1186" s="5"/>
    </row>
    <row r="1187" ht="12.0" customHeight="1">
      <c r="A1187" s="92" t="s">
        <v>640</v>
      </c>
      <c r="B1187" s="5"/>
      <c r="C1187" s="204">
        <f>'Resumen Capacidad'!$H$37*'Resumen Capacidad'!$H$73</f>
        <v>4</v>
      </c>
      <c r="D1187" s="204">
        <f>'Resumen Capacidad'!$H$37*'Resumen Capacidad'!$H$73</f>
        <v>4</v>
      </c>
      <c r="E1187" s="204">
        <f>'Resumen Capacidad'!$H$37*'Resumen Capacidad'!$H$73</f>
        <v>4</v>
      </c>
      <c r="F1187" s="204">
        <f>'Resumen Capacidad'!$H$37*'Resumen Capacidad'!$H$73</f>
        <v>4</v>
      </c>
      <c r="G1187" s="204">
        <f>'Resumen Capacidad'!$H$37*'Resumen Capacidad'!$H$73</f>
        <v>4</v>
      </c>
      <c r="H1187" s="204">
        <f>'Resumen Capacidad'!$H$37*'Resumen Capacidad'!$H$73</f>
        <v>4</v>
      </c>
      <c r="I1187" s="204">
        <f>'Resumen Capacidad'!$H$37*'Resumen Capacidad'!$H$73</f>
        <v>4</v>
      </c>
      <c r="J1187" s="204">
        <f>'Resumen Capacidad'!$H$37*'Resumen Capacidad'!$H$73</f>
        <v>4</v>
      </c>
      <c r="K1187" s="204">
        <f>'Resumen Capacidad'!$H$37*'Resumen Capacidad'!$H$73</f>
        <v>4</v>
      </c>
      <c r="L1187" s="204">
        <f>'Resumen Capacidad'!$H$37*'Resumen Capacidad'!$H$73</f>
        <v>4</v>
      </c>
      <c r="M1187" s="204">
        <f>'Resumen Capacidad'!$H$37*'Resumen Capacidad'!$H$73</f>
        <v>4</v>
      </c>
      <c r="N1187" s="204">
        <f>'Resumen Capacidad'!$H$37*'Resumen Capacidad'!$H$73</f>
        <v>4</v>
      </c>
      <c r="O1187" s="5"/>
      <c r="P1187" s="5"/>
      <c r="Q1187" s="5"/>
      <c r="R1187" s="5"/>
      <c r="S1187" s="5"/>
      <c r="T1187" s="5"/>
      <c r="U1187" s="5"/>
      <c r="V1187" s="5"/>
      <c r="W1187" s="5"/>
      <c r="X1187" s="5"/>
      <c r="Y1187" s="5"/>
      <c r="Z1187" s="5"/>
    </row>
    <row r="1188" ht="12.0" customHeight="1">
      <c r="A1188" s="92" t="s">
        <v>642</v>
      </c>
      <c r="B1188" s="5"/>
      <c r="C1188" s="204">
        <f t="shared" ref="C1188:N1188" si="350">C1186*C1187</f>
        <v>254.592</v>
      </c>
      <c r="D1188" s="204">
        <f t="shared" si="350"/>
        <v>254.592</v>
      </c>
      <c r="E1188" s="204">
        <f t="shared" si="350"/>
        <v>254.592</v>
      </c>
      <c r="F1188" s="204">
        <f t="shared" si="350"/>
        <v>254.592</v>
      </c>
      <c r="G1188" s="204">
        <f t="shared" si="350"/>
        <v>254.592</v>
      </c>
      <c r="H1188" s="204">
        <f t="shared" si="350"/>
        <v>254.592</v>
      </c>
      <c r="I1188" s="204">
        <f t="shared" si="350"/>
        <v>254.592</v>
      </c>
      <c r="J1188" s="204">
        <f t="shared" si="350"/>
        <v>254.592</v>
      </c>
      <c r="K1188" s="204">
        <f t="shared" si="350"/>
        <v>254.592</v>
      </c>
      <c r="L1188" s="204">
        <f t="shared" si="350"/>
        <v>254.592</v>
      </c>
      <c r="M1188" s="204">
        <f t="shared" si="350"/>
        <v>254.592</v>
      </c>
      <c r="N1188" s="204">
        <f t="shared" si="350"/>
        <v>254.592</v>
      </c>
      <c r="O1188" s="5"/>
      <c r="P1188" s="5"/>
      <c r="Q1188" s="5"/>
      <c r="R1188" s="5"/>
      <c r="S1188" s="5"/>
      <c r="T1188" s="5"/>
      <c r="U1188" s="5"/>
      <c r="V1188" s="5"/>
      <c r="W1188" s="5"/>
      <c r="X1188" s="5"/>
      <c r="Y1188" s="5"/>
      <c r="Z1188" s="5"/>
    </row>
    <row r="1189" ht="12.0" customHeight="1">
      <c r="A1189" s="92" t="s">
        <v>643</v>
      </c>
      <c r="B1189" s="5"/>
      <c r="C1189" s="206">
        <f t="shared" ref="C1189:N1189" si="351">IF(C1188=0,0,C1185/C1188)</f>
        <v>0.5101857089</v>
      </c>
      <c r="D1189" s="206">
        <f t="shared" si="351"/>
        <v>0.3890318627</v>
      </c>
      <c r="E1189" s="206">
        <f t="shared" si="351"/>
        <v>0.3635632699</v>
      </c>
      <c r="F1189" s="206">
        <f t="shared" si="351"/>
        <v>0.3476326829</v>
      </c>
      <c r="G1189" s="206">
        <f t="shared" si="351"/>
        <v>0.3253095148</v>
      </c>
      <c r="H1189" s="206">
        <f t="shared" si="351"/>
        <v>0.3189169338</v>
      </c>
      <c r="I1189" s="206">
        <f t="shared" si="351"/>
        <v>0.3412401018</v>
      </c>
      <c r="J1189" s="206">
        <f t="shared" si="351"/>
        <v>0.3412401018</v>
      </c>
      <c r="K1189" s="206">
        <f t="shared" si="351"/>
        <v>0.3412401018</v>
      </c>
      <c r="L1189" s="206">
        <f t="shared" si="351"/>
        <v>0.3348475207</v>
      </c>
      <c r="M1189" s="206">
        <f t="shared" si="351"/>
        <v>0.3284549397</v>
      </c>
      <c r="N1189" s="206">
        <f t="shared" si="351"/>
        <v>0.522970871</v>
      </c>
      <c r="O1189" s="5"/>
      <c r="P1189" s="5"/>
      <c r="Q1189" s="5"/>
      <c r="R1189" s="5"/>
      <c r="S1189" s="5"/>
      <c r="T1189" s="5"/>
      <c r="U1189" s="5"/>
      <c r="V1189" s="5"/>
      <c r="W1189" s="5"/>
      <c r="X1189" s="5"/>
      <c r="Y1189" s="5"/>
      <c r="Z1189" s="5"/>
    </row>
    <row r="1190" ht="12.0" customHeight="1">
      <c r="A1190" s="201" t="s">
        <v>666</v>
      </c>
      <c r="B1190" s="202"/>
      <c r="C1190" s="202"/>
      <c r="D1190" s="202"/>
      <c r="E1190" s="202"/>
      <c r="F1190" s="202"/>
      <c r="G1190" s="202"/>
      <c r="H1190" s="202"/>
      <c r="I1190" s="202"/>
      <c r="J1190" s="202"/>
      <c r="K1190" s="202"/>
      <c r="L1190" s="202"/>
      <c r="M1190" s="202"/>
      <c r="N1190" s="202"/>
      <c r="O1190" s="5"/>
      <c r="P1190" s="5"/>
      <c r="Q1190" s="5"/>
      <c r="R1190" s="5"/>
      <c r="S1190" s="5"/>
      <c r="T1190" s="5"/>
      <c r="U1190" s="5"/>
      <c r="V1190" s="5"/>
      <c r="W1190" s="5"/>
      <c r="X1190" s="5"/>
      <c r="Y1190" s="5"/>
      <c r="Z1190" s="5"/>
    </row>
    <row r="1191" ht="12.0" customHeight="1">
      <c r="A1191" s="201" t="s">
        <v>630</v>
      </c>
      <c r="B1191" s="201" t="s">
        <v>631</v>
      </c>
      <c r="C1191" s="201" t="s">
        <v>3</v>
      </c>
      <c r="D1191" s="201" t="s">
        <v>4</v>
      </c>
      <c r="E1191" s="201" t="s">
        <v>5</v>
      </c>
      <c r="F1191" s="201" t="s">
        <v>6</v>
      </c>
      <c r="G1191" s="201" t="s">
        <v>7</v>
      </c>
      <c r="H1191" s="201" t="s">
        <v>8</v>
      </c>
      <c r="I1191" s="201" t="s">
        <v>9</v>
      </c>
      <c r="J1191" s="201" t="s">
        <v>10</v>
      </c>
      <c r="K1191" s="201" t="s">
        <v>11</v>
      </c>
      <c r="L1191" s="201" t="s">
        <v>12</v>
      </c>
      <c r="M1191" s="201" t="s">
        <v>13</v>
      </c>
      <c r="N1191" s="201" t="s">
        <v>14</v>
      </c>
      <c r="O1191" s="5"/>
      <c r="P1191" s="5"/>
      <c r="Q1191" s="5"/>
      <c r="R1191" s="5"/>
      <c r="S1191" s="5"/>
      <c r="T1191" s="5"/>
      <c r="U1191" s="5"/>
      <c r="V1191" s="5"/>
      <c r="W1191" s="5"/>
      <c r="X1191" s="5"/>
      <c r="Y1191" s="5"/>
      <c r="Z1191" s="5"/>
    </row>
    <row r="1192" ht="12.0" customHeight="1">
      <c r="A1192" s="92" t="s">
        <v>632</v>
      </c>
      <c r="B1192" s="92" t="s">
        <v>633</v>
      </c>
      <c r="C1192" s="203">
        <f>SUM('2032'!B6:B9)+SUM('2032'!B17:B20)</f>
        <v>19483.38</v>
      </c>
      <c r="D1192" s="203">
        <f>SUM('2032'!C6:C9)+SUM('2032'!C17:C20)</f>
        <v>14856.66</v>
      </c>
      <c r="E1192" s="203">
        <f>SUM('2032'!D6:D9)+SUM('2032'!D17:D20)</f>
        <v>13884.045</v>
      </c>
      <c r="F1192" s="203">
        <f>SUM('2032'!E6:E9)+SUM('2032'!E17:E20)</f>
        <v>13275.675</v>
      </c>
      <c r="G1192" s="203">
        <f>SUM('2032'!F6:F9)+SUM('2032'!F17:F20)</f>
        <v>12423.18</v>
      </c>
      <c r="H1192" s="203">
        <f>SUM('2032'!G6:G9)+SUM('2032'!G17:G20)</f>
        <v>12179.055</v>
      </c>
      <c r="I1192" s="203">
        <f>SUM('2032'!H6:H9)+SUM('2032'!H17:H20)</f>
        <v>13031.55</v>
      </c>
      <c r="J1192" s="203">
        <f>SUM('2032'!I6:I9)+SUM('2032'!I17:I20)</f>
        <v>13031.55</v>
      </c>
      <c r="K1192" s="203">
        <f>SUM('2032'!J6:J9)+SUM('2032'!J17:J20)</f>
        <v>13031.55</v>
      </c>
      <c r="L1192" s="203">
        <f>SUM('2032'!K6:K9)+SUM('2032'!K17:K20)</f>
        <v>12787.425</v>
      </c>
      <c r="M1192" s="203">
        <f>SUM('2032'!L6:L9)+SUM('2032'!L17:L20)</f>
        <v>12543.3</v>
      </c>
      <c r="N1192" s="203">
        <f>SUM('2032'!M6:M9)+SUM('2032'!M17:M20)</f>
        <v>19971.63</v>
      </c>
      <c r="O1192" s="5"/>
      <c r="P1192" s="5"/>
      <c r="Q1192" s="5"/>
      <c r="R1192" s="5"/>
      <c r="S1192" s="5"/>
      <c r="T1192" s="5"/>
      <c r="U1192" s="5"/>
      <c r="V1192" s="5"/>
      <c r="W1192" s="5"/>
      <c r="X1192" s="5"/>
      <c r="Y1192" s="5"/>
      <c r="Z1192" s="5"/>
    </row>
    <row r="1193" ht="12.0" customHeight="1">
      <c r="A1193" s="5"/>
      <c r="B1193" s="92" t="s">
        <v>634</v>
      </c>
      <c r="C1193" s="204">
        <f>C1192/Parametros!$B$37</f>
        <v>974.169</v>
      </c>
      <c r="D1193" s="204">
        <f>D1192/Parametros!$B$37</f>
        <v>742.833</v>
      </c>
      <c r="E1193" s="204">
        <f>E1192/Parametros!$B$37</f>
        <v>694.20225</v>
      </c>
      <c r="F1193" s="204">
        <f>F1192/Parametros!$B$37</f>
        <v>663.78375</v>
      </c>
      <c r="G1193" s="204">
        <f>G1192/Parametros!$B$37</f>
        <v>621.159</v>
      </c>
      <c r="H1193" s="204">
        <f>H1192/Parametros!$B$37</f>
        <v>608.95275</v>
      </c>
      <c r="I1193" s="204">
        <f>I1192/Parametros!$B$37</f>
        <v>651.5775</v>
      </c>
      <c r="J1193" s="204">
        <f>J1192/Parametros!$B$37</f>
        <v>651.5775</v>
      </c>
      <c r="K1193" s="204">
        <f>K1192/Parametros!$B$37</f>
        <v>651.5775</v>
      </c>
      <c r="L1193" s="204">
        <f>L1192/Parametros!$B$37</f>
        <v>639.37125</v>
      </c>
      <c r="M1193" s="204">
        <f>M1192/Parametros!$B$37</f>
        <v>627.165</v>
      </c>
      <c r="N1193" s="204">
        <f>N1192/Parametros!$B$37</f>
        <v>998.5815</v>
      </c>
      <c r="O1193" s="5"/>
      <c r="P1193" s="5"/>
      <c r="Q1193" s="5"/>
      <c r="R1193" s="5"/>
      <c r="S1193" s="5"/>
      <c r="T1193" s="5"/>
      <c r="U1193" s="5"/>
      <c r="V1193" s="5"/>
      <c r="W1193" s="5"/>
      <c r="X1193" s="5"/>
      <c r="Y1193" s="5"/>
      <c r="Z1193" s="5"/>
    </row>
    <row r="1194" ht="12.0" customHeight="1">
      <c r="A1194" s="5"/>
      <c r="B1194" s="92" t="s">
        <v>635</v>
      </c>
      <c r="C1194" s="204">
        <f>C1193/Parametros!$J$37</f>
        <v>129.8892</v>
      </c>
      <c r="D1194" s="204">
        <f>D1193/Parametros!$J$37</f>
        <v>99.0444</v>
      </c>
      <c r="E1194" s="204">
        <f>E1193/Parametros!$J$37</f>
        <v>92.5603</v>
      </c>
      <c r="F1194" s="204">
        <f>F1193/Parametros!$J$37</f>
        <v>88.5045</v>
      </c>
      <c r="G1194" s="204">
        <f>G1193/Parametros!$J$37</f>
        <v>82.8212</v>
      </c>
      <c r="H1194" s="204">
        <f>H1193/Parametros!$J$37</f>
        <v>81.1937</v>
      </c>
      <c r="I1194" s="204">
        <f>I1193/Parametros!$J$37</f>
        <v>86.877</v>
      </c>
      <c r="J1194" s="204">
        <f>J1193/Parametros!$J$37</f>
        <v>86.877</v>
      </c>
      <c r="K1194" s="204">
        <f>K1193/Parametros!$J$37</f>
        <v>86.877</v>
      </c>
      <c r="L1194" s="204">
        <f>L1193/Parametros!$J$37</f>
        <v>85.2495</v>
      </c>
      <c r="M1194" s="204">
        <f>M1193/Parametros!$J$37</f>
        <v>83.622</v>
      </c>
      <c r="N1194" s="204">
        <f>N1193/Parametros!$J$37</f>
        <v>133.1442</v>
      </c>
      <c r="O1194" s="5"/>
      <c r="P1194" s="5"/>
      <c r="Q1194" s="5"/>
      <c r="R1194" s="5"/>
      <c r="S1194" s="5"/>
      <c r="T1194" s="5"/>
      <c r="U1194" s="5"/>
      <c r="V1194" s="5"/>
      <c r="W1194" s="5"/>
      <c r="X1194" s="5"/>
      <c r="Y1194" s="5"/>
      <c r="Z1194" s="5"/>
    </row>
    <row r="1195" ht="12.0" customHeight="1">
      <c r="A1195" s="92" t="s">
        <v>636</v>
      </c>
      <c r="B1195" s="5"/>
      <c r="C1195" s="204">
        <f t="shared" ref="C1195:N1195" si="352">C1194</f>
        <v>129.8892</v>
      </c>
      <c r="D1195" s="204">
        <f t="shared" si="352"/>
        <v>99.0444</v>
      </c>
      <c r="E1195" s="204">
        <f t="shared" si="352"/>
        <v>92.5603</v>
      </c>
      <c r="F1195" s="204">
        <f t="shared" si="352"/>
        <v>88.5045</v>
      </c>
      <c r="G1195" s="204">
        <f t="shared" si="352"/>
        <v>82.8212</v>
      </c>
      <c r="H1195" s="204">
        <f t="shared" si="352"/>
        <v>81.1937</v>
      </c>
      <c r="I1195" s="204">
        <f t="shared" si="352"/>
        <v>86.877</v>
      </c>
      <c r="J1195" s="204">
        <f t="shared" si="352"/>
        <v>86.877</v>
      </c>
      <c r="K1195" s="204">
        <f t="shared" si="352"/>
        <v>86.877</v>
      </c>
      <c r="L1195" s="204">
        <f t="shared" si="352"/>
        <v>85.2495</v>
      </c>
      <c r="M1195" s="204">
        <f t="shared" si="352"/>
        <v>83.622</v>
      </c>
      <c r="N1195" s="204">
        <f t="shared" si="352"/>
        <v>133.1442</v>
      </c>
      <c r="O1195" s="5"/>
      <c r="P1195" s="5"/>
      <c r="Q1195" s="5"/>
      <c r="R1195" s="5"/>
      <c r="S1195" s="5"/>
      <c r="T1195" s="5"/>
      <c r="U1195" s="5"/>
      <c r="V1195" s="5"/>
      <c r="W1195" s="5"/>
      <c r="X1195" s="5"/>
      <c r="Y1195" s="5"/>
      <c r="Z1195" s="5"/>
    </row>
    <row r="1196" ht="12.0" customHeight="1">
      <c r="A1196" s="92" t="s">
        <v>637</v>
      </c>
      <c r="B1196" s="5"/>
      <c r="C1196" s="205">
        <f>'Resumen Capacidad'!$H$120</f>
        <v>86.65142857</v>
      </c>
      <c r="D1196" s="205">
        <f>'Resumen Capacidad'!$H$120</f>
        <v>86.65142857</v>
      </c>
      <c r="E1196" s="205">
        <f>'Resumen Capacidad'!$H$120</f>
        <v>86.65142857</v>
      </c>
      <c r="F1196" s="205">
        <f>'Resumen Capacidad'!$H$120</f>
        <v>86.65142857</v>
      </c>
      <c r="G1196" s="205">
        <f>'Resumen Capacidad'!$H$120</f>
        <v>86.65142857</v>
      </c>
      <c r="H1196" s="205">
        <f>'Resumen Capacidad'!$H$120</f>
        <v>86.65142857</v>
      </c>
      <c r="I1196" s="205">
        <f>'Resumen Capacidad'!$H$120</f>
        <v>86.65142857</v>
      </c>
      <c r="J1196" s="205">
        <f>'Resumen Capacidad'!$H$120</f>
        <v>86.65142857</v>
      </c>
      <c r="K1196" s="205">
        <f>'Resumen Capacidad'!$H$120</f>
        <v>86.65142857</v>
      </c>
      <c r="L1196" s="205">
        <f>'Resumen Capacidad'!$H$120</f>
        <v>86.65142857</v>
      </c>
      <c r="M1196" s="205">
        <f>'Resumen Capacidad'!$H$120</f>
        <v>86.65142857</v>
      </c>
      <c r="N1196" s="205">
        <f>'Resumen Capacidad'!$H$120</f>
        <v>86.65142857</v>
      </c>
      <c r="O1196" s="5"/>
      <c r="P1196" s="5"/>
      <c r="Q1196" s="5"/>
      <c r="R1196" s="5"/>
      <c r="S1196" s="5"/>
      <c r="T1196" s="5"/>
      <c r="U1196" s="5"/>
      <c r="V1196" s="5"/>
      <c r="W1196" s="5"/>
      <c r="X1196" s="5"/>
      <c r="Y1196" s="5"/>
      <c r="Z1196" s="5"/>
    </row>
    <row r="1197" ht="12.0" customHeight="1">
      <c r="A1197" s="92" t="s">
        <v>640</v>
      </c>
      <c r="B1197" s="5"/>
      <c r="C1197" s="204">
        <f>'Resumen Capacidad'!$H$38*'Resumen Capacidad'!$H$74</f>
        <v>2</v>
      </c>
      <c r="D1197" s="204">
        <f>'Resumen Capacidad'!$H$38*'Resumen Capacidad'!$H$74</f>
        <v>2</v>
      </c>
      <c r="E1197" s="204">
        <f>'Resumen Capacidad'!$H$38*'Resumen Capacidad'!$H$74</f>
        <v>2</v>
      </c>
      <c r="F1197" s="204">
        <f>'Resumen Capacidad'!$H$38*'Resumen Capacidad'!$H$74</f>
        <v>2</v>
      </c>
      <c r="G1197" s="204">
        <f>'Resumen Capacidad'!$H$38*'Resumen Capacidad'!$H$74</f>
        <v>2</v>
      </c>
      <c r="H1197" s="204">
        <f>'Resumen Capacidad'!$H$38*'Resumen Capacidad'!$H$74</f>
        <v>2</v>
      </c>
      <c r="I1197" s="204">
        <f>'Resumen Capacidad'!$H$38*'Resumen Capacidad'!$H$74</f>
        <v>2</v>
      </c>
      <c r="J1197" s="204">
        <f>'Resumen Capacidad'!$H$38*'Resumen Capacidad'!$H$74</f>
        <v>2</v>
      </c>
      <c r="K1197" s="204">
        <f>'Resumen Capacidad'!$H$38*'Resumen Capacidad'!$H$74</f>
        <v>2</v>
      </c>
      <c r="L1197" s="204">
        <f>'Resumen Capacidad'!$H$38*'Resumen Capacidad'!$H$74</f>
        <v>2</v>
      </c>
      <c r="M1197" s="204">
        <f>'Resumen Capacidad'!$H$38*'Resumen Capacidad'!$H$74</f>
        <v>2</v>
      </c>
      <c r="N1197" s="204">
        <f>'Resumen Capacidad'!$H$38*'Resumen Capacidad'!$H$74</f>
        <v>2</v>
      </c>
      <c r="O1197" s="5"/>
      <c r="P1197" s="5"/>
      <c r="Q1197" s="5"/>
      <c r="R1197" s="5"/>
      <c r="S1197" s="5"/>
      <c r="T1197" s="5"/>
      <c r="U1197" s="5"/>
      <c r="V1197" s="5"/>
      <c r="W1197" s="5"/>
      <c r="X1197" s="5"/>
      <c r="Y1197" s="5"/>
      <c r="Z1197" s="5"/>
    </row>
    <row r="1198" ht="12.0" customHeight="1">
      <c r="A1198" s="92" t="s">
        <v>642</v>
      </c>
      <c r="B1198" s="5"/>
      <c r="C1198" s="204">
        <f t="shared" ref="C1198:N1198" si="353">C1196*C1197</f>
        <v>173.3028571</v>
      </c>
      <c r="D1198" s="204">
        <f t="shared" si="353"/>
        <v>173.3028571</v>
      </c>
      <c r="E1198" s="204">
        <f t="shared" si="353"/>
        <v>173.3028571</v>
      </c>
      <c r="F1198" s="204">
        <f t="shared" si="353"/>
        <v>173.3028571</v>
      </c>
      <c r="G1198" s="204">
        <f t="shared" si="353"/>
        <v>173.3028571</v>
      </c>
      <c r="H1198" s="204">
        <f t="shared" si="353"/>
        <v>173.3028571</v>
      </c>
      <c r="I1198" s="204">
        <f t="shared" si="353"/>
        <v>173.3028571</v>
      </c>
      <c r="J1198" s="204">
        <f t="shared" si="353"/>
        <v>173.3028571</v>
      </c>
      <c r="K1198" s="204">
        <f t="shared" si="353"/>
        <v>173.3028571</v>
      </c>
      <c r="L1198" s="204">
        <f t="shared" si="353"/>
        <v>173.3028571</v>
      </c>
      <c r="M1198" s="204">
        <f t="shared" si="353"/>
        <v>173.3028571</v>
      </c>
      <c r="N1198" s="204">
        <f t="shared" si="353"/>
        <v>173.3028571</v>
      </c>
      <c r="O1198" s="5"/>
      <c r="P1198" s="5"/>
      <c r="Q1198" s="5"/>
      <c r="R1198" s="5"/>
      <c r="S1198" s="5"/>
      <c r="T1198" s="5"/>
      <c r="U1198" s="5"/>
      <c r="V1198" s="5"/>
      <c r="W1198" s="5"/>
      <c r="X1198" s="5"/>
      <c r="Y1198" s="5"/>
      <c r="Z1198" s="5"/>
    </row>
    <row r="1199" ht="12.0" customHeight="1">
      <c r="A1199" s="92" t="s">
        <v>643</v>
      </c>
      <c r="B1199" s="5"/>
      <c r="C1199" s="206">
        <f t="shared" ref="C1199:N1199" si="354">IF(C1198=0,0,C1195/C1198)</f>
        <v>0.7494925481</v>
      </c>
      <c r="D1199" s="206">
        <f t="shared" si="354"/>
        <v>0.5715104854</v>
      </c>
      <c r="E1199" s="206">
        <f t="shared" si="354"/>
        <v>0.5340956377</v>
      </c>
      <c r="F1199" s="206">
        <f t="shared" si="354"/>
        <v>0.5106926767</v>
      </c>
      <c r="G1199" s="206">
        <f t="shared" si="354"/>
        <v>0.4778986415</v>
      </c>
      <c r="H1199" s="206">
        <f t="shared" si="354"/>
        <v>0.4685075673</v>
      </c>
      <c r="I1199" s="206">
        <f t="shared" si="354"/>
        <v>0.5013016025</v>
      </c>
      <c r="J1199" s="206">
        <f t="shared" si="354"/>
        <v>0.5013016025</v>
      </c>
      <c r="K1199" s="206">
        <f t="shared" si="354"/>
        <v>0.5013016025</v>
      </c>
      <c r="L1199" s="206">
        <f t="shared" si="354"/>
        <v>0.4919105282</v>
      </c>
      <c r="M1199" s="206">
        <f t="shared" si="354"/>
        <v>0.482519454</v>
      </c>
      <c r="N1199" s="206">
        <f t="shared" si="354"/>
        <v>0.7682746966</v>
      </c>
      <c r="O1199" s="5"/>
      <c r="P1199" s="5"/>
      <c r="Q1199" s="5"/>
      <c r="R1199" s="5"/>
      <c r="S1199" s="5"/>
      <c r="T1199" s="5"/>
      <c r="U1199" s="5"/>
      <c r="V1199" s="5"/>
      <c r="W1199" s="5"/>
      <c r="X1199" s="5"/>
      <c r="Y1199" s="5"/>
      <c r="Z1199" s="5"/>
    </row>
    <row r="1200" ht="12.0" customHeight="1">
      <c r="A1200" s="201" t="s">
        <v>671</v>
      </c>
      <c r="B1200" s="202"/>
      <c r="C1200" s="202"/>
      <c r="D1200" s="202"/>
      <c r="E1200" s="202"/>
      <c r="F1200" s="202"/>
      <c r="G1200" s="202"/>
      <c r="H1200" s="202"/>
      <c r="I1200" s="202"/>
      <c r="J1200" s="202"/>
      <c r="K1200" s="202"/>
      <c r="L1200" s="202"/>
      <c r="M1200" s="202"/>
      <c r="N1200" s="202"/>
      <c r="O1200" s="5"/>
      <c r="P1200" s="5"/>
      <c r="Q1200" s="5"/>
      <c r="R1200" s="5"/>
      <c r="S1200" s="5"/>
      <c r="T1200" s="5"/>
      <c r="U1200" s="5"/>
      <c r="V1200" s="5"/>
      <c r="W1200" s="5"/>
      <c r="X1200" s="5"/>
      <c r="Y1200" s="5"/>
      <c r="Z1200" s="5"/>
    </row>
    <row r="1201" ht="12.0" customHeight="1">
      <c r="A1201" s="201" t="s">
        <v>630</v>
      </c>
      <c r="B1201" s="201" t="s">
        <v>631</v>
      </c>
      <c r="C1201" s="201" t="s">
        <v>3</v>
      </c>
      <c r="D1201" s="201" t="s">
        <v>4</v>
      </c>
      <c r="E1201" s="201" t="s">
        <v>5</v>
      </c>
      <c r="F1201" s="201" t="s">
        <v>6</v>
      </c>
      <c r="G1201" s="201" t="s">
        <v>7</v>
      </c>
      <c r="H1201" s="201" t="s">
        <v>8</v>
      </c>
      <c r="I1201" s="201" t="s">
        <v>9</v>
      </c>
      <c r="J1201" s="201" t="s">
        <v>10</v>
      </c>
      <c r="K1201" s="201" t="s">
        <v>11</v>
      </c>
      <c r="L1201" s="201" t="s">
        <v>12</v>
      </c>
      <c r="M1201" s="201" t="s">
        <v>13</v>
      </c>
      <c r="N1201" s="201" t="s">
        <v>14</v>
      </c>
      <c r="O1201" s="5"/>
      <c r="P1201" s="5"/>
      <c r="Q1201" s="5"/>
      <c r="R1201" s="5"/>
      <c r="S1201" s="5"/>
      <c r="T1201" s="5"/>
      <c r="U1201" s="5"/>
      <c r="V1201" s="5"/>
      <c r="W1201" s="5"/>
      <c r="X1201" s="5"/>
      <c r="Y1201" s="5"/>
      <c r="Z1201" s="5"/>
    </row>
    <row r="1202" ht="12.0" customHeight="1">
      <c r="A1202" s="92" t="s">
        <v>651</v>
      </c>
      <c r="B1202" s="92" t="s">
        <v>633</v>
      </c>
      <c r="C1202" s="203">
        <f>SUM('2032'!B7:B9)+SUM('2032'!B18:B20)</f>
        <v>4882.5</v>
      </c>
      <c r="D1202" s="203">
        <f>SUM('2032'!C7:C9)+SUM('2032'!C18:C20)</f>
        <v>3906</v>
      </c>
      <c r="E1202" s="203">
        <f>SUM('2032'!D7:D9)+SUM('2032'!D18:D20)</f>
        <v>4150.125</v>
      </c>
      <c r="F1202" s="203">
        <f>SUM('2032'!E7:E9)+SUM('2032'!E18:E20)</f>
        <v>4150.125</v>
      </c>
      <c r="G1202" s="203">
        <f>SUM('2032'!F7:F9)+SUM('2032'!F18:F20)</f>
        <v>3906</v>
      </c>
      <c r="H1202" s="203">
        <f>SUM('2032'!G7:G9)+SUM('2032'!G18:G20)</f>
        <v>3661.875</v>
      </c>
      <c r="I1202" s="203">
        <f>SUM('2032'!H7:H9)+SUM('2032'!H18:H20)</f>
        <v>3906</v>
      </c>
      <c r="J1202" s="203">
        <f>SUM('2032'!I7:I9)+SUM('2032'!I18:I20)</f>
        <v>3906</v>
      </c>
      <c r="K1202" s="203">
        <f>SUM('2032'!J7:J9)+SUM('2032'!J18:J20)</f>
        <v>3906</v>
      </c>
      <c r="L1202" s="203">
        <f>SUM('2032'!K7:K9)+SUM('2032'!K18:K20)</f>
        <v>3661.875</v>
      </c>
      <c r="M1202" s="203">
        <f>SUM('2032'!L7:L9)+SUM('2032'!L18:L20)</f>
        <v>3417.75</v>
      </c>
      <c r="N1202" s="203">
        <f>SUM('2032'!M7:M9)+SUM('2032'!M18:M20)</f>
        <v>5370.75</v>
      </c>
      <c r="O1202" s="5"/>
      <c r="P1202" s="5"/>
      <c r="Q1202" s="5"/>
      <c r="R1202" s="5"/>
      <c r="S1202" s="5"/>
      <c r="T1202" s="5"/>
      <c r="U1202" s="5"/>
      <c r="V1202" s="5"/>
      <c r="W1202" s="5"/>
      <c r="X1202" s="5"/>
      <c r="Y1202" s="5"/>
      <c r="Z1202" s="5"/>
    </row>
    <row r="1203" ht="12.0" customHeight="1">
      <c r="A1203" s="5"/>
      <c r="B1203" s="92" t="s">
        <v>634</v>
      </c>
      <c r="C1203" s="204">
        <f>C1202/Parametros!$B$37</f>
        <v>244.125</v>
      </c>
      <c r="D1203" s="204">
        <f>D1202/Parametros!$B$37</f>
        <v>195.3</v>
      </c>
      <c r="E1203" s="204">
        <f>E1202/Parametros!$B$37</f>
        <v>207.50625</v>
      </c>
      <c r="F1203" s="204">
        <f>F1202/Parametros!$B$37</f>
        <v>207.50625</v>
      </c>
      <c r="G1203" s="204">
        <f>G1202/Parametros!$B$37</f>
        <v>195.3</v>
      </c>
      <c r="H1203" s="204">
        <f>H1202/Parametros!$B$37</f>
        <v>183.09375</v>
      </c>
      <c r="I1203" s="204">
        <f>I1202/Parametros!$B$37</f>
        <v>195.3</v>
      </c>
      <c r="J1203" s="204">
        <f>J1202/Parametros!$B$37</f>
        <v>195.3</v>
      </c>
      <c r="K1203" s="204">
        <f>K1202/Parametros!$B$37</f>
        <v>195.3</v>
      </c>
      <c r="L1203" s="204">
        <f>L1202/Parametros!$B$37</f>
        <v>183.09375</v>
      </c>
      <c r="M1203" s="204">
        <f>M1202/Parametros!$B$37</f>
        <v>170.8875</v>
      </c>
      <c r="N1203" s="204">
        <f>N1202/Parametros!$B$37</f>
        <v>268.5375</v>
      </c>
      <c r="O1203" s="5"/>
      <c r="P1203" s="5"/>
      <c r="Q1203" s="5"/>
      <c r="R1203" s="5"/>
      <c r="S1203" s="5"/>
      <c r="T1203" s="5"/>
      <c r="U1203" s="5"/>
      <c r="V1203" s="5"/>
      <c r="W1203" s="5"/>
      <c r="X1203" s="5"/>
      <c r="Y1203" s="5"/>
      <c r="Z1203" s="5"/>
    </row>
    <row r="1204" ht="12.0" customHeight="1">
      <c r="A1204" s="5"/>
      <c r="B1204" s="92" t="s">
        <v>635</v>
      </c>
      <c r="C1204" s="204">
        <f>C1203/Parametros!$J$37</f>
        <v>32.55</v>
      </c>
      <c r="D1204" s="204">
        <f>D1203/Parametros!$J$37</f>
        <v>26.04</v>
      </c>
      <c r="E1204" s="204">
        <f>E1203/Parametros!$J$37</f>
        <v>27.6675</v>
      </c>
      <c r="F1204" s="204">
        <f>F1203/Parametros!$J$37</f>
        <v>27.6675</v>
      </c>
      <c r="G1204" s="204">
        <f>G1203/Parametros!$J$37</f>
        <v>26.04</v>
      </c>
      <c r="H1204" s="204">
        <f>H1203/Parametros!$J$37</f>
        <v>24.4125</v>
      </c>
      <c r="I1204" s="204">
        <f>I1203/Parametros!$J$37</f>
        <v>26.04</v>
      </c>
      <c r="J1204" s="204">
        <f>J1203/Parametros!$J$37</f>
        <v>26.04</v>
      </c>
      <c r="K1204" s="204">
        <f>K1203/Parametros!$J$37</f>
        <v>26.04</v>
      </c>
      <c r="L1204" s="204">
        <f>L1203/Parametros!$J$37</f>
        <v>24.4125</v>
      </c>
      <c r="M1204" s="204">
        <f>M1203/Parametros!$J$37</f>
        <v>22.785</v>
      </c>
      <c r="N1204" s="204">
        <f>N1203/Parametros!$J$37</f>
        <v>35.805</v>
      </c>
      <c r="O1204" s="5"/>
      <c r="P1204" s="5"/>
      <c r="Q1204" s="5"/>
      <c r="R1204" s="5"/>
      <c r="S1204" s="5"/>
      <c r="T1204" s="5"/>
      <c r="U1204" s="5"/>
      <c r="V1204" s="5"/>
      <c r="W1204" s="5"/>
      <c r="X1204" s="5"/>
      <c r="Y1204" s="5"/>
      <c r="Z1204" s="5"/>
    </row>
    <row r="1205" ht="12.0" customHeight="1">
      <c r="A1205" s="92" t="s">
        <v>636</v>
      </c>
      <c r="B1205" s="5"/>
      <c r="C1205" s="204">
        <f t="shared" ref="C1205:N1205" si="355">C1204</f>
        <v>32.55</v>
      </c>
      <c r="D1205" s="204">
        <f t="shared" si="355"/>
        <v>26.04</v>
      </c>
      <c r="E1205" s="204">
        <f t="shared" si="355"/>
        <v>27.6675</v>
      </c>
      <c r="F1205" s="204">
        <f t="shared" si="355"/>
        <v>27.6675</v>
      </c>
      <c r="G1205" s="204">
        <f t="shared" si="355"/>
        <v>26.04</v>
      </c>
      <c r="H1205" s="204">
        <f t="shared" si="355"/>
        <v>24.4125</v>
      </c>
      <c r="I1205" s="204">
        <f t="shared" si="355"/>
        <v>26.04</v>
      </c>
      <c r="J1205" s="204">
        <f t="shared" si="355"/>
        <v>26.04</v>
      </c>
      <c r="K1205" s="204">
        <f t="shared" si="355"/>
        <v>26.04</v>
      </c>
      <c r="L1205" s="204">
        <f t="shared" si="355"/>
        <v>24.4125</v>
      </c>
      <c r="M1205" s="204">
        <f t="shared" si="355"/>
        <v>22.785</v>
      </c>
      <c r="N1205" s="204">
        <f t="shared" si="355"/>
        <v>35.805</v>
      </c>
      <c r="O1205" s="5"/>
      <c r="P1205" s="5"/>
      <c r="Q1205" s="5"/>
      <c r="R1205" s="5"/>
      <c r="S1205" s="5"/>
      <c r="T1205" s="5"/>
      <c r="U1205" s="5"/>
      <c r="V1205" s="5"/>
      <c r="W1205" s="5"/>
      <c r="X1205" s="5"/>
      <c r="Y1205" s="5"/>
      <c r="Z1205" s="5"/>
    </row>
    <row r="1206" ht="12.0" customHeight="1">
      <c r="A1206" s="92" t="s">
        <v>637</v>
      </c>
      <c r="B1206" s="5"/>
      <c r="C1206" s="205">
        <f>'Resumen Capacidad'!$H$121</f>
        <v>71.1627907</v>
      </c>
      <c r="D1206" s="205">
        <f>'Resumen Capacidad'!$H$121</f>
        <v>71.1627907</v>
      </c>
      <c r="E1206" s="205">
        <f>'Resumen Capacidad'!$H$121</f>
        <v>71.1627907</v>
      </c>
      <c r="F1206" s="205">
        <f>'Resumen Capacidad'!$H$121</f>
        <v>71.1627907</v>
      </c>
      <c r="G1206" s="205">
        <f>'Resumen Capacidad'!$H$121</f>
        <v>71.1627907</v>
      </c>
      <c r="H1206" s="205">
        <f>'Resumen Capacidad'!$H$121</f>
        <v>71.1627907</v>
      </c>
      <c r="I1206" s="205">
        <f>'Resumen Capacidad'!$H$121</f>
        <v>71.1627907</v>
      </c>
      <c r="J1206" s="205">
        <f>'Resumen Capacidad'!$H$121</f>
        <v>71.1627907</v>
      </c>
      <c r="K1206" s="205">
        <f>'Resumen Capacidad'!$H$121</f>
        <v>71.1627907</v>
      </c>
      <c r="L1206" s="205">
        <f>'Resumen Capacidad'!$H$121</f>
        <v>71.1627907</v>
      </c>
      <c r="M1206" s="205">
        <f>'Resumen Capacidad'!$H$121</f>
        <v>71.1627907</v>
      </c>
      <c r="N1206" s="205">
        <f>'Resumen Capacidad'!$H$121</f>
        <v>71.1627907</v>
      </c>
      <c r="O1206" s="5"/>
      <c r="P1206" s="5"/>
      <c r="Q1206" s="5"/>
      <c r="R1206" s="5"/>
      <c r="S1206" s="5"/>
      <c r="T1206" s="5"/>
      <c r="U1206" s="5"/>
      <c r="V1206" s="5"/>
      <c r="W1206" s="5"/>
      <c r="X1206" s="5"/>
      <c r="Y1206" s="5"/>
      <c r="Z1206" s="5"/>
    </row>
    <row r="1207" ht="12.0" customHeight="1">
      <c r="A1207" s="92" t="s">
        <v>640</v>
      </c>
      <c r="B1207" s="5"/>
      <c r="C1207" s="204">
        <f>'Resumen Capacidad'!$H$39*'Resumen Capacidad'!$H$75</f>
        <v>1</v>
      </c>
      <c r="D1207" s="204">
        <f>'Resumen Capacidad'!$H$39*'Resumen Capacidad'!$H$75</f>
        <v>1</v>
      </c>
      <c r="E1207" s="204">
        <f>'Resumen Capacidad'!$H$39*'Resumen Capacidad'!$H$75</f>
        <v>1</v>
      </c>
      <c r="F1207" s="204">
        <f>'Resumen Capacidad'!$H$39*'Resumen Capacidad'!$H$75</f>
        <v>1</v>
      </c>
      <c r="G1207" s="204">
        <f>'Resumen Capacidad'!$H$39*'Resumen Capacidad'!$H$75</f>
        <v>1</v>
      </c>
      <c r="H1207" s="204">
        <f>'Resumen Capacidad'!$H$39*'Resumen Capacidad'!$H$75</f>
        <v>1</v>
      </c>
      <c r="I1207" s="204">
        <f>'Resumen Capacidad'!$H$39*'Resumen Capacidad'!$H$75</f>
        <v>1</v>
      </c>
      <c r="J1207" s="204">
        <f>'Resumen Capacidad'!$H$39*'Resumen Capacidad'!$H$75</f>
        <v>1</v>
      </c>
      <c r="K1207" s="204">
        <f>'Resumen Capacidad'!$H$39*'Resumen Capacidad'!$H$75</f>
        <v>1</v>
      </c>
      <c r="L1207" s="204">
        <f>'Resumen Capacidad'!$H$39*'Resumen Capacidad'!$H$75</f>
        <v>1</v>
      </c>
      <c r="M1207" s="204">
        <f>'Resumen Capacidad'!$H$39*'Resumen Capacidad'!$H$75</f>
        <v>1</v>
      </c>
      <c r="N1207" s="204">
        <f>'Resumen Capacidad'!$H$39*'Resumen Capacidad'!$H$75</f>
        <v>1</v>
      </c>
      <c r="O1207" s="5"/>
      <c r="P1207" s="5"/>
      <c r="Q1207" s="5"/>
      <c r="R1207" s="5"/>
      <c r="S1207" s="5"/>
      <c r="T1207" s="5"/>
      <c r="U1207" s="5"/>
      <c r="V1207" s="5"/>
      <c r="W1207" s="5"/>
      <c r="X1207" s="5"/>
      <c r="Y1207" s="5"/>
      <c r="Z1207" s="5"/>
    </row>
    <row r="1208" ht="12.0" customHeight="1">
      <c r="A1208" s="92" t="s">
        <v>642</v>
      </c>
      <c r="B1208" s="5"/>
      <c r="C1208" s="204">
        <f t="shared" ref="C1208:N1208" si="356">C1206*C1207</f>
        <v>71.1627907</v>
      </c>
      <c r="D1208" s="204">
        <f t="shared" si="356"/>
        <v>71.1627907</v>
      </c>
      <c r="E1208" s="204">
        <f t="shared" si="356"/>
        <v>71.1627907</v>
      </c>
      <c r="F1208" s="204">
        <f t="shared" si="356"/>
        <v>71.1627907</v>
      </c>
      <c r="G1208" s="204">
        <f t="shared" si="356"/>
        <v>71.1627907</v>
      </c>
      <c r="H1208" s="204">
        <f t="shared" si="356"/>
        <v>71.1627907</v>
      </c>
      <c r="I1208" s="204">
        <f t="shared" si="356"/>
        <v>71.1627907</v>
      </c>
      <c r="J1208" s="204">
        <f t="shared" si="356"/>
        <v>71.1627907</v>
      </c>
      <c r="K1208" s="204">
        <f t="shared" si="356"/>
        <v>71.1627907</v>
      </c>
      <c r="L1208" s="204">
        <f t="shared" si="356"/>
        <v>71.1627907</v>
      </c>
      <c r="M1208" s="204">
        <f t="shared" si="356"/>
        <v>71.1627907</v>
      </c>
      <c r="N1208" s="204">
        <f t="shared" si="356"/>
        <v>71.1627907</v>
      </c>
      <c r="O1208" s="5"/>
      <c r="P1208" s="5"/>
      <c r="Q1208" s="5"/>
      <c r="R1208" s="5"/>
      <c r="S1208" s="5"/>
      <c r="T1208" s="5"/>
      <c r="U1208" s="5"/>
      <c r="V1208" s="5"/>
      <c r="W1208" s="5"/>
      <c r="X1208" s="5"/>
      <c r="Y1208" s="5"/>
      <c r="Z1208" s="5"/>
    </row>
    <row r="1209" ht="12.0" customHeight="1">
      <c r="A1209" s="92" t="s">
        <v>643</v>
      </c>
      <c r="B1209" s="5"/>
      <c r="C1209" s="206">
        <f t="shared" ref="C1209:N1209" si="357">IF(C1208=0,0,C1205/C1208)</f>
        <v>0.4574019608</v>
      </c>
      <c r="D1209" s="206">
        <f t="shared" si="357"/>
        <v>0.3659215686</v>
      </c>
      <c r="E1209" s="206">
        <f t="shared" si="357"/>
        <v>0.3887916667</v>
      </c>
      <c r="F1209" s="206">
        <f t="shared" si="357"/>
        <v>0.3887916667</v>
      </c>
      <c r="G1209" s="206">
        <f t="shared" si="357"/>
        <v>0.3659215686</v>
      </c>
      <c r="H1209" s="206">
        <f t="shared" si="357"/>
        <v>0.3430514706</v>
      </c>
      <c r="I1209" s="206">
        <f t="shared" si="357"/>
        <v>0.3659215686</v>
      </c>
      <c r="J1209" s="206">
        <f t="shared" si="357"/>
        <v>0.3659215686</v>
      </c>
      <c r="K1209" s="206">
        <f t="shared" si="357"/>
        <v>0.3659215686</v>
      </c>
      <c r="L1209" s="206">
        <f t="shared" si="357"/>
        <v>0.3430514706</v>
      </c>
      <c r="M1209" s="206">
        <f t="shared" si="357"/>
        <v>0.3201813725</v>
      </c>
      <c r="N1209" s="206">
        <f t="shared" si="357"/>
        <v>0.5031421569</v>
      </c>
      <c r="O1209" s="5"/>
      <c r="P1209" s="5"/>
      <c r="Q1209" s="5"/>
      <c r="R1209" s="5"/>
      <c r="S1209" s="5"/>
      <c r="T1209" s="5"/>
      <c r="U1209" s="5"/>
      <c r="V1209" s="5"/>
      <c r="W1209" s="5"/>
      <c r="X1209" s="5"/>
      <c r="Y1209" s="5"/>
      <c r="Z1209" s="5"/>
    </row>
    <row r="1210" ht="12.0" customHeight="1">
      <c r="A1210" s="201" t="s">
        <v>678</v>
      </c>
      <c r="B1210" s="202"/>
      <c r="C1210" s="202"/>
      <c r="D1210" s="202"/>
      <c r="E1210" s="202"/>
      <c r="F1210" s="202"/>
      <c r="G1210" s="202"/>
      <c r="H1210" s="202"/>
      <c r="I1210" s="202"/>
      <c r="J1210" s="202"/>
      <c r="K1210" s="202"/>
      <c r="L1210" s="202"/>
      <c r="M1210" s="202"/>
      <c r="N1210" s="202"/>
      <c r="O1210" s="5"/>
      <c r="P1210" s="5"/>
      <c r="Q1210" s="5"/>
      <c r="R1210" s="5"/>
      <c r="S1210" s="5"/>
      <c r="T1210" s="5"/>
      <c r="U1210" s="5"/>
      <c r="V1210" s="5"/>
      <c r="W1210" s="5"/>
      <c r="X1210" s="5"/>
      <c r="Y1210" s="5"/>
      <c r="Z1210" s="5"/>
    </row>
    <row r="1211" ht="12.0" customHeight="1">
      <c r="A1211" s="201" t="s">
        <v>630</v>
      </c>
      <c r="B1211" s="201" t="s">
        <v>631</v>
      </c>
      <c r="C1211" s="201" t="s">
        <v>3</v>
      </c>
      <c r="D1211" s="201" t="s">
        <v>4</v>
      </c>
      <c r="E1211" s="201" t="s">
        <v>5</v>
      </c>
      <c r="F1211" s="201" t="s">
        <v>6</v>
      </c>
      <c r="G1211" s="201" t="s">
        <v>7</v>
      </c>
      <c r="H1211" s="201" t="s">
        <v>8</v>
      </c>
      <c r="I1211" s="201" t="s">
        <v>9</v>
      </c>
      <c r="J1211" s="201" t="s">
        <v>10</v>
      </c>
      <c r="K1211" s="201" t="s">
        <v>11</v>
      </c>
      <c r="L1211" s="201" t="s">
        <v>12</v>
      </c>
      <c r="M1211" s="201" t="s">
        <v>13</v>
      </c>
      <c r="N1211" s="201" t="s">
        <v>14</v>
      </c>
      <c r="O1211" s="5"/>
      <c r="P1211" s="5"/>
      <c r="Q1211" s="5"/>
      <c r="R1211" s="5"/>
      <c r="S1211" s="5"/>
      <c r="T1211" s="5"/>
      <c r="U1211" s="5"/>
      <c r="V1211" s="5"/>
      <c r="W1211" s="5"/>
      <c r="X1211" s="5"/>
      <c r="Y1211" s="5"/>
      <c r="Z1211" s="5"/>
    </row>
    <row r="1212" ht="12.0" customHeight="1">
      <c r="A1212" s="92" t="s">
        <v>632</v>
      </c>
      <c r="B1212" s="92" t="s">
        <v>633</v>
      </c>
      <c r="C1212" s="203">
        <f>SUM('2032'!B6:B9)+SUM('2032'!B17:B20)</f>
        <v>19483.38</v>
      </c>
      <c r="D1212" s="203">
        <f>SUM('2032'!C6:C9)+SUM('2032'!C17:C20)</f>
        <v>14856.66</v>
      </c>
      <c r="E1212" s="203">
        <f>SUM('2032'!D6:D9)+SUM('2032'!D17:D20)</f>
        <v>13884.045</v>
      </c>
      <c r="F1212" s="203">
        <f>SUM('2032'!E6:E9)+SUM('2032'!E17:E20)</f>
        <v>13275.675</v>
      </c>
      <c r="G1212" s="203">
        <f>SUM('2032'!F6:F9)+SUM('2032'!F17:F20)</f>
        <v>12423.18</v>
      </c>
      <c r="H1212" s="203">
        <f>SUM('2032'!G6:G9)+SUM('2032'!G17:G20)</f>
        <v>12179.055</v>
      </c>
      <c r="I1212" s="203">
        <f>SUM('2032'!H6:H9)+SUM('2032'!H17:H20)</f>
        <v>13031.55</v>
      </c>
      <c r="J1212" s="203">
        <f>SUM('2032'!I6:I9)+SUM('2032'!I17:I20)</f>
        <v>13031.55</v>
      </c>
      <c r="K1212" s="203">
        <f>SUM('2032'!J6:J9)+SUM('2032'!J17:J20)</f>
        <v>13031.55</v>
      </c>
      <c r="L1212" s="203">
        <f>SUM('2032'!K6:K9)+SUM('2032'!K17:K20)</f>
        <v>12787.425</v>
      </c>
      <c r="M1212" s="203">
        <f>SUM('2032'!L6:L9)+SUM('2032'!L17:L20)</f>
        <v>12543.3</v>
      </c>
      <c r="N1212" s="203">
        <f>SUM('2032'!M6:M9)+SUM('2032'!M17:M20)</f>
        <v>19971.63</v>
      </c>
      <c r="O1212" s="5"/>
      <c r="P1212" s="5"/>
      <c r="Q1212" s="5"/>
      <c r="R1212" s="5"/>
      <c r="S1212" s="5"/>
      <c r="T1212" s="5"/>
      <c r="U1212" s="5"/>
      <c r="V1212" s="5"/>
      <c r="W1212" s="5"/>
      <c r="X1212" s="5"/>
      <c r="Y1212" s="5"/>
      <c r="Z1212" s="5"/>
    </row>
    <row r="1213" ht="12.0" customHeight="1">
      <c r="A1213" s="5"/>
      <c r="B1213" s="92" t="s">
        <v>634</v>
      </c>
      <c r="C1213" s="204">
        <f>C1212/Parametros!$B$37</f>
        <v>974.169</v>
      </c>
      <c r="D1213" s="204">
        <f>D1212/Parametros!$B$37</f>
        <v>742.833</v>
      </c>
      <c r="E1213" s="204">
        <f>E1212/Parametros!$B$37</f>
        <v>694.20225</v>
      </c>
      <c r="F1213" s="204">
        <f>F1212/Parametros!$B$37</f>
        <v>663.78375</v>
      </c>
      <c r="G1213" s="204">
        <f>G1212/Parametros!$B$37</f>
        <v>621.159</v>
      </c>
      <c r="H1213" s="204">
        <f>H1212/Parametros!$B$37</f>
        <v>608.95275</v>
      </c>
      <c r="I1213" s="204">
        <f>I1212/Parametros!$B$37</f>
        <v>651.5775</v>
      </c>
      <c r="J1213" s="204">
        <f>J1212/Parametros!$B$37</f>
        <v>651.5775</v>
      </c>
      <c r="K1213" s="204">
        <f>K1212/Parametros!$B$37</f>
        <v>651.5775</v>
      </c>
      <c r="L1213" s="204">
        <f>L1212/Parametros!$B$37</f>
        <v>639.37125</v>
      </c>
      <c r="M1213" s="204">
        <f>M1212/Parametros!$B$37</f>
        <v>627.165</v>
      </c>
      <c r="N1213" s="204">
        <f>N1212/Parametros!$B$37</f>
        <v>998.5815</v>
      </c>
      <c r="O1213" s="5"/>
      <c r="P1213" s="5"/>
      <c r="Q1213" s="5"/>
      <c r="R1213" s="5"/>
      <c r="S1213" s="5"/>
      <c r="T1213" s="5"/>
      <c r="U1213" s="5"/>
      <c r="V1213" s="5"/>
      <c r="W1213" s="5"/>
      <c r="X1213" s="5"/>
      <c r="Y1213" s="5"/>
      <c r="Z1213" s="5"/>
    </row>
    <row r="1214" ht="12.0" customHeight="1">
      <c r="A1214" s="5"/>
      <c r="B1214" s="92" t="s">
        <v>635</v>
      </c>
      <c r="C1214" s="204">
        <f>C1213/Parametros!$J$37</f>
        <v>129.8892</v>
      </c>
      <c r="D1214" s="204">
        <f>D1213/Parametros!$J$37</f>
        <v>99.0444</v>
      </c>
      <c r="E1214" s="204">
        <f>E1213/Parametros!$J$37</f>
        <v>92.5603</v>
      </c>
      <c r="F1214" s="204">
        <f>F1213/Parametros!$J$37</f>
        <v>88.5045</v>
      </c>
      <c r="G1214" s="204">
        <f>G1213/Parametros!$J$37</f>
        <v>82.8212</v>
      </c>
      <c r="H1214" s="204">
        <f>H1213/Parametros!$J$37</f>
        <v>81.1937</v>
      </c>
      <c r="I1214" s="204">
        <f>I1213/Parametros!$J$37</f>
        <v>86.877</v>
      </c>
      <c r="J1214" s="204">
        <f>J1213/Parametros!$J$37</f>
        <v>86.877</v>
      </c>
      <c r="K1214" s="204">
        <f>K1213/Parametros!$J$37</f>
        <v>86.877</v>
      </c>
      <c r="L1214" s="204">
        <f>L1213/Parametros!$J$37</f>
        <v>85.2495</v>
      </c>
      <c r="M1214" s="204">
        <f>M1213/Parametros!$J$37</f>
        <v>83.622</v>
      </c>
      <c r="N1214" s="204">
        <f>N1213/Parametros!$J$37</f>
        <v>133.1442</v>
      </c>
      <c r="O1214" s="5"/>
      <c r="P1214" s="5"/>
      <c r="Q1214" s="5"/>
      <c r="R1214" s="5"/>
      <c r="S1214" s="5"/>
      <c r="T1214" s="5"/>
      <c r="U1214" s="5"/>
      <c r="V1214" s="5"/>
      <c r="W1214" s="5"/>
      <c r="X1214" s="5"/>
      <c r="Y1214" s="5"/>
      <c r="Z1214" s="5"/>
    </row>
    <row r="1215" ht="12.0" customHeight="1">
      <c r="A1215" s="92" t="s">
        <v>636</v>
      </c>
      <c r="B1215" s="5"/>
      <c r="C1215" s="204">
        <f t="shared" ref="C1215:N1215" si="358">C1214</f>
        <v>129.8892</v>
      </c>
      <c r="D1215" s="204">
        <f t="shared" si="358"/>
        <v>99.0444</v>
      </c>
      <c r="E1215" s="204">
        <f t="shared" si="358"/>
        <v>92.5603</v>
      </c>
      <c r="F1215" s="204">
        <f t="shared" si="358"/>
        <v>88.5045</v>
      </c>
      <c r="G1215" s="204">
        <f t="shared" si="358"/>
        <v>82.8212</v>
      </c>
      <c r="H1215" s="204">
        <f t="shared" si="358"/>
        <v>81.1937</v>
      </c>
      <c r="I1215" s="204">
        <f t="shared" si="358"/>
        <v>86.877</v>
      </c>
      <c r="J1215" s="204">
        <f t="shared" si="358"/>
        <v>86.877</v>
      </c>
      <c r="K1215" s="204">
        <f t="shared" si="358"/>
        <v>86.877</v>
      </c>
      <c r="L1215" s="204">
        <f t="shared" si="358"/>
        <v>85.2495</v>
      </c>
      <c r="M1215" s="204">
        <f t="shared" si="358"/>
        <v>83.622</v>
      </c>
      <c r="N1215" s="204">
        <f t="shared" si="358"/>
        <v>133.1442</v>
      </c>
      <c r="O1215" s="5"/>
      <c r="P1215" s="5"/>
      <c r="Q1215" s="5"/>
      <c r="R1215" s="5"/>
      <c r="S1215" s="5"/>
      <c r="T1215" s="5"/>
      <c r="U1215" s="5"/>
      <c r="V1215" s="5"/>
      <c r="W1215" s="5"/>
      <c r="X1215" s="5"/>
      <c r="Y1215" s="5"/>
      <c r="Z1215" s="5"/>
    </row>
    <row r="1216" ht="12.0" customHeight="1">
      <c r="A1216" s="92" t="s">
        <v>637</v>
      </c>
      <c r="B1216" s="5"/>
      <c r="C1216" s="205">
        <f>'Resumen Capacidad'!$H$122</f>
        <v>192</v>
      </c>
      <c r="D1216" s="205">
        <f>'Resumen Capacidad'!$H$122</f>
        <v>192</v>
      </c>
      <c r="E1216" s="205">
        <f>'Resumen Capacidad'!$H$122</f>
        <v>192</v>
      </c>
      <c r="F1216" s="205">
        <f>'Resumen Capacidad'!$H$122</f>
        <v>192</v>
      </c>
      <c r="G1216" s="205">
        <f>'Resumen Capacidad'!$H$122</f>
        <v>192</v>
      </c>
      <c r="H1216" s="205">
        <f>'Resumen Capacidad'!$H$122</f>
        <v>192</v>
      </c>
      <c r="I1216" s="205">
        <f>'Resumen Capacidad'!$H$122</f>
        <v>192</v>
      </c>
      <c r="J1216" s="205">
        <f>'Resumen Capacidad'!$H$122</f>
        <v>192</v>
      </c>
      <c r="K1216" s="205">
        <f>'Resumen Capacidad'!$H$122</f>
        <v>192</v>
      </c>
      <c r="L1216" s="205">
        <f>'Resumen Capacidad'!$H$122</f>
        <v>192</v>
      </c>
      <c r="M1216" s="205">
        <f>'Resumen Capacidad'!$H$122</f>
        <v>192</v>
      </c>
      <c r="N1216" s="205">
        <f>'Resumen Capacidad'!$H$122</f>
        <v>192</v>
      </c>
      <c r="O1216" s="5"/>
      <c r="P1216" s="5"/>
      <c r="Q1216" s="5"/>
      <c r="R1216" s="5"/>
      <c r="S1216" s="5"/>
      <c r="T1216" s="5"/>
      <c r="U1216" s="5"/>
      <c r="V1216" s="5"/>
      <c r="W1216" s="5"/>
      <c r="X1216" s="5"/>
      <c r="Y1216" s="5"/>
      <c r="Z1216" s="5"/>
    </row>
    <row r="1217" ht="12.0" customHeight="1">
      <c r="A1217" s="92" t="s">
        <v>640</v>
      </c>
      <c r="B1217" s="5"/>
      <c r="C1217" s="204">
        <f>'Resumen Capacidad'!$H$40*'Resumen Capacidad'!$H$76</f>
        <v>1</v>
      </c>
      <c r="D1217" s="204">
        <f>'Resumen Capacidad'!$H$40*'Resumen Capacidad'!$H$76</f>
        <v>1</v>
      </c>
      <c r="E1217" s="204">
        <f>'Resumen Capacidad'!$H$40*'Resumen Capacidad'!$H$76</f>
        <v>1</v>
      </c>
      <c r="F1217" s="204">
        <f>'Resumen Capacidad'!$H$40*'Resumen Capacidad'!$H$76</f>
        <v>1</v>
      </c>
      <c r="G1217" s="204">
        <f>'Resumen Capacidad'!$H$40*'Resumen Capacidad'!$H$76</f>
        <v>1</v>
      </c>
      <c r="H1217" s="204">
        <f>'Resumen Capacidad'!$H$40*'Resumen Capacidad'!$H$76</f>
        <v>1</v>
      </c>
      <c r="I1217" s="204">
        <f>'Resumen Capacidad'!$H$40*'Resumen Capacidad'!$H$76</f>
        <v>1</v>
      </c>
      <c r="J1217" s="204">
        <f>'Resumen Capacidad'!$H$40*'Resumen Capacidad'!$H$76</f>
        <v>1</v>
      </c>
      <c r="K1217" s="204">
        <f>'Resumen Capacidad'!$H$40*'Resumen Capacidad'!$H$76</f>
        <v>1</v>
      </c>
      <c r="L1217" s="204">
        <f>'Resumen Capacidad'!$H$40*'Resumen Capacidad'!$H$76</f>
        <v>1</v>
      </c>
      <c r="M1217" s="204">
        <f>'Resumen Capacidad'!$H$40*'Resumen Capacidad'!$H$76</f>
        <v>1</v>
      </c>
      <c r="N1217" s="204">
        <f>'Resumen Capacidad'!$H$40*'Resumen Capacidad'!$H$76</f>
        <v>1</v>
      </c>
      <c r="O1217" s="5"/>
      <c r="P1217" s="5"/>
      <c r="Q1217" s="5"/>
      <c r="R1217" s="5"/>
      <c r="S1217" s="5"/>
      <c r="T1217" s="5"/>
      <c r="U1217" s="5"/>
      <c r="V1217" s="5"/>
      <c r="W1217" s="5"/>
      <c r="X1217" s="5"/>
      <c r="Y1217" s="5"/>
      <c r="Z1217" s="5"/>
    </row>
    <row r="1218" ht="12.0" customHeight="1">
      <c r="A1218" s="92" t="s">
        <v>642</v>
      </c>
      <c r="B1218" s="5"/>
      <c r="C1218" s="204">
        <f t="shared" ref="C1218:N1218" si="359">C1216*C1217</f>
        <v>192</v>
      </c>
      <c r="D1218" s="204">
        <f t="shared" si="359"/>
        <v>192</v>
      </c>
      <c r="E1218" s="204">
        <f t="shared" si="359"/>
        <v>192</v>
      </c>
      <c r="F1218" s="204">
        <f t="shared" si="359"/>
        <v>192</v>
      </c>
      <c r="G1218" s="204">
        <f t="shared" si="359"/>
        <v>192</v>
      </c>
      <c r="H1218" s="204">
        <f t="shared" si="359"/>
        <v>192</v>
      </c>
      <c r="I1218" s="204">
        <f t="shared" si="359"/>
        <v>192</v>
      </c>
      <c r="J1218" s="204">
        <f t="shared" si="359"/>
        <v>192</v>
      </c>
      <c r="K1218" s="204">
        <f t="shared" si="359"/>
        <v>192</v>
      </c>
      <c r="L1218" s="204">
        <f t="shared" si="359"/>
        <v>192</v>
      </c>
      <c r="M1218" s="204">
        <f t="shared" si="359"/>
        <v>192</v>
      </c>
      <c r="N1218" s="204">
        <f t="shared" si="359"/>
        <v>192</v>
      </c>
      <c r="O1218" s="5"/>
      <c r="P1218" s="5"/>
      <c r="Q1218" s="5"/>
      <c r="R1218" s="5"/>
      <c r="S1218" s="5"/>
      <c r="T1218" s="5"/>
      <c r="U1218" s="5"/>
      <c r="V1218" s="5"/>
      <c r="W1218" s="5"/>
      <c r="X1218" s="5"/>
      <c r="Y1218" s="5"/>
      <c r="Z1218" s="5"/>
    </row>
    <row r="1219" ht="12.0" customHeight="1">
      <c r="A1219" s="92" t="s">
        <v>643</v>
      </c>
      <c r="B1219" s="5"/>
      <c r="C1219" s="206">
        <f t="shared" ref="C1219:N1219" si="360">IF(C1218=0,0,C1215/C1218)</f>
        <v>0.67650625</v>
      </c>
      <c r="D1219" s="206">
        <f t="shared" si="360"/>
        <v>0.51585625</v>
      </c>
      <c r="E1219" s="206">
        <f t="shared" si="360"/>
        <v>0.4820848958</v>
      </c>
      <c r="F1219" s="206">
        <f t="shared" si="360"/>
        <v>0.4609609375</v>
      </c>
      <c r="G1219" s="206">
        <f t="shared" si="360"/>
        <v>0.4313604167</v>
      </c>
      <c r="H1219" s="206">
        <f t="shared" si="360"/>
        <v>0.4228838542</v>
      </c>
      <c r="I1219" s="206">
        <f t="shared" si="360"/>
        <v>0.452484375</v>
      </c>
      <c r="J1219" s="206">
        <f t="shared" si="360"/>
        <v>0.452484375</v>
      </c>
      <c r="K1219" s="206">
        <f t="shared" si="360"/>
        <v>0.452484375</v>
      </c>
      <c r="L1219" s="206">
        <f t="shared" si="360"/>
        <v>0.4440078125</v>
      </c>
      <c r="M1219" s="206">
        <f t="shared" si="360"/>
        <v>0.43553125</v>
      </c>
      <c r="N1219" s="206">
        <f t="shared" si="360"/>
        <v>0.693459375</v>
      </c>
      <c r="O1219" s="5"/>
      <c r="P1219" s="5"/>
      <c r="Q1219" s="5"/>
      <c r="R1219" s="5"/>
      <c r="S1219" s="5"/>
      <c r="T1219" s="5"/>
      <c r="U1219" s="5"/>
      <c r="V1219" s="5"/>
      <c r="W1219" s="5"/>
      <c r="X1219" s="5"/>
      <c r="Y1219" s="5"/>
      <c r="Z1219" s="5"/>
    </row>
    <row r="1220" ht="12.0" customHeight="1">
      <c r="A1220" s="201" t="s">
        <v>686</v>
      </c>
      <c r="B1220" s="202"/>
      <c r="C1220" s="202"/>
      <c r="D1220" s="202"/>
      <c r="E1220" s="202"/>
      <c r="F1220" s="202"/>
      <c r="G1220" s="202"/>
      <c r="H1220" s="202"/>
      <c r="I1220" s="202"/>
      <c r="J1220" s="202"/>
      <c r="K1220" s="202"/>
      <c r="L1220" s="202"/>
      <c r="M1220" s="202"/>
      <c r="N1220" s="202"/>
      <c r="O1220" s="5"/>
      <c r="P1220" s="5"/>
      <c r="Q1220" s="5"/>
      <c r="R1220" s="5"/>
      <c r="S1220" s="5"/>
      <c r="T1220" s="5"/>
      <c r="U1220" s="5"/>
      <c r="V1220" s="5"/>
      <c r="W1220" s="5"/>
      <c r="X1220" s="5"/>
      <c r="Y1220" s="5"/>
      <c r="Z1220" s="5"/>
    </row>
    <row r="1221" ht="12.0" customHeight="1">
      <c r="A1221" s="201" t="s">
        <v>630</v>
      </c>
      <c r="B1221" s="201" t="s">
        <v>631</v>
      </c>
      <c r="C1221" s="201" t="s">
        <v>3</v>
      </c>
      <c r="D1221" s="201" t="s">
        <v>4</v>
      </c>
      <c r="E1221" s="201" t="s">
        <v>5</v>
      </c>
      <c r="F1221" s="201" t="s">
        <v>6</v>
      </c>
      <c r="G1221" s="201" t="s">
        <v>7</v>
      </c>
      <c r="H1221" s="201" t="s">
        <v>8</v>
      </c>
      <c r="I1221" s="201" t="s">
        <v>9</v>
      </c>
      <c r="J1221" s="201" t="s">
        <v>10</v>
      </c>
      <c r="K1221" s="201" t="s">
        <v>11</v>
      </c>
      <c r="L1221" s="201" t="s">
        <v>12</v>
      </c>
      <c r="M1221" s="201" t="s">
        <v>13</v>
      </c>
      <c r="N1221" s="201" t="s">
        <v>14</v>
      </c>
      <c r="O1221" s="5"/>
      <c r="P1221" s="5"/>
      <c r="Q1221" s="5"/>
      <c r="R1221" s="5"/>
      <c r="S1221" s="5"/>
      <c r="T1221" s="5"/>
      <c r="U1221" s="5"/>
      <c r="V1221" s="5"/>
      <c r="W1221" s="5"/>
      <c r="X1221" s="5"/>
      <c r="Y1221" s="5"/>
      <c r="Z1221" s="5"/>
    </row>
    <row r="1222" ht="12.0" customHeight="1">
      <c r="A1222" s="92" t="s">
        <v>632</v>
      </c>
      <c r="B1222" s="92" t="s">
        <v>633</v>
      </c>
      <c r="C1222" s="203">
        <f>SUM('2032'!B6:B9)+SUM('2032'!B17:B20)</f>
        <v>19483.38</v>
      </c>
      <c r="D1222" s="203">
        <f>SUM('2032'!C6:C9)+SUM('2032'!C17:C20)</f>
        <v>14856.66</v>
      </c>
      <c r="E1222" s="203">
        <f>SUM('2032'!D6:D9)+SUM('2032'!D17:D20)</f>
        <v>13884.045</v>
      </c>
      <c r="F1222" s="203">
        <f>SUM('2032'!E6:E9)+SUM('2032'!E17:E20)</f>
        <v>13275.675</v>
      </c>
      <c r="G1222" s="203">
        <f>SUM('2032'!F6:F9)+SUM('2032'!F17:F20)</f>
        <v>12423.18</v>
      </c>
      <c r="H1222" s="203">
        <f>SUM('2032'!G6:G9)+SUM('2032'!G17:G20)</f>
        <v>12179.055</v>
      </c>
      <c r="I1222" s="203">
        <f>SUM('2032'!H6:H9)+SUM('2032'!H17:H20)</f>
        <v>13031.55</v>
      </c>
      <c r="J1222" s="203">
        <f>SUM('2032'!I6:I9)+SUM('2032'!I17:I20)</f>
        <v>13031.55</v>
      </c>
      <c r="K1222" s="203">
        <f>SUM('2032'!J6:J9)+SUM('2032'!J17:J20)</f>
        <v>13031.55</v>
      </c>
      <c r="L1222" s="203">
        <f>SUM('2032'!K6:K9)+SUM('2032'!K17:K20)</f>
        <v>12787.425</v>
      </c>
      <c r="M1222" s="203">
        <f>SUM('2032'!L6:L9)+SUM('2032'!L17:L20)</f>
        <v>12543.3</v>
      </c>
      <c r="N1222" s="203">
        <f>SUM('2032'!M6:M9)+SUM('2032'!M17:M20)</f>
        <v>19971.63</v>
      </c>
      <c r="O1222" s="5"/>
      <c r="P1222" s="5"/>
      <c r="Q1222" s="5"/>
      <c r="R1222" s="5"/>
      <c r="S1222" s="5"/>
      <c r="T1222" s="5"/>
      <c r="U1222" s="5"/>
      <c r="V1222" s="5"/>
      <c r="W1222" s="5"/>
      <c r="X1222" s="5"/>
      <c r="Y1222" s="5"/>
      <c r="Z1222" s="5"/>
    </row>
    <row r="1223" ht="12.0" customHeight="1">
      <c r="A1223" s="5"/>
      <c r="B1223" s="92" t="s">
        <v>634</v>
      </c>
      <c r="C1223" s="204">
        <f>C1222/Parametros!$B$37</f>
        <v>974.169</v>
      </c>
      <c r="D1223" s="204">
        <f>D1222/Parametros!$B$37</f>
        <v>742.833</v>
      </c>
      <c r="E1223" s="204">
        <f>E1222/Parametros!$B$37</f>
        <v>694.20225</v>
      </c>
      <c r="F1223" s="204">
        <f>F1222/Parametros!$B$37</f>
        <v>663.78375</v>
      </c>
      <c r="G1223" s="204">
        <f>G1222/Parametros!$B$37</f>
        <v>621.159</v>
      </c>
      <c r="H1223" s="204">
        <f>H1222/Parametros!$B$37</f>
        <v>608.95275</v>
      </c>
      <c r="I1223" s="204">
        <f>I1222/Parametros!$B$37</f>
        <v>651.5775</v>
      </c>
      <c r="J1223" s="204">
        <f>J1222/Parametros!$B$37</f>
        <v>651.5775</v>
      </c>
      <c r="K1223" s="204">
        <f>K1222/Parametros!$B$37</f>
        <v>651.5775</v>
      </c>
      <c r="L1223" s="204">
        <f>L1222/Parametros!$B$37</f>
        <v>639.37125</v>
      </c>
      <c r="M1223" s="204">
        <f>M1222/Parametros!$B$37</f>
        <v>627.165</v>
      </c>
      <c r="N1223" s="204">
        <f>N1222/Parametros!$B$37</f>
        <v>998.5815</v>
      </c>
      <c r="O1223" s="5"/>
      <c r="P1223" s="5"/>
      <c r="Q1223" s="5"/>
      <c r="R1223" s="5"/>
      <c r="S1223" s="5"/>
      <c r="T1223" s="5"/>
      <c r="U1223" s="5"/>
      <c r="V1223" s="5"/>
      <c r="W1223" s="5"/>
      <c r="X1223" s="5"/>
      <c r="Y1223" s="5"/>
      <c r="Z1223" s="5"/>
    </row>
    <row r="1224" ht="12.0" customHeight="1">
      <c r="A1224" s="5"/>
      <c r="B1224" s="92" t="s">
        <v>635</v>
      </c>
      <c r="C1224" s="204">
        <f>C1223/Parametros!$J$37</f>
        <v>129.8892</v>
      </c>
      <c r="D1224" s="204">
        <f>D1223/Parametros!$J$37</f>
        <v>99.0444</v>
      </c>
      <c r="E1224" s="204">
        <f>E1223/Parametros!$J$37</f>
        <v>92.5603</v>
      </c>
      <c r="F1224" s="204">
        <f>F1223/Parametros!$J$37</f>
        <v>88.5045</v>
      </c>
      <c r="G1224" s="204">
        <f>G1223/Parametros!$J$37</f>
        <v>82.8212</v>
      </c>
      <c r="H1224" s="204">
        <f>H1223/Parametros!$J$37</f>
        <v>81.1937</v>
      </c>
      <c r="I1224" s="204">
        <f>I1223/Parametros!$J$37</f>
        <v>86.877</v>
      </c>
      <c r="J1224" s="204">
        <f>J1223/Parametros!$J$37</f>
        <v>86.877</v>
      </c>
      <c r="K1224" s="204">
        <f>K1223/Parametros!$J$37</f>
        <v>86.877</v>
      </c>
      <c r="L1224" s="204">
        <f>L1223/Parametros!$J$37</f>
        <v>85.2495</v>
      </c>
      <c r="M1224" s="204">
        <f>M1223/Parametros!$J$37</f>
        <v>83.622</v>
      </c>
      <c r="N1224" s="204">
        <f>N1223/Parametros!$J$37</f>
        <v>133.1442</v>
      </c>
      <c r="O1224" s="5"/>
      <c r="P1224" s="5"/>
      <c r="Q1224" s="5"/>
      <c r="R1224" s="5"/>
      <c r="S1224" s="5"/>
      <c r="T1224" s="5"/>
      <c r="U1224" s="5"/>
      <c r="V1224" s="5"/>
      <c r="W1224" s="5"/>
      <c r="X1224" s="5"/>
      <c r="Y1224" s="5"/>
      <c r="Z1224" s="5"/>
    </row>
    <row r="1225" ht="12.0" customHeight="1">
      <c r="A1225" s="92" t="s">
        <v>636</v>
      </c>
      <c r="B1225" s="5"/>
      <c r="C1225" s="204">
        <f t="shared" ref="C1225:N1225" si="361">C1224</f>
        <v>129.8892</v>
      </c>
      <c r="D1225" s="204">
        <f t="shared" si="361"/>
        <v>99.0444</v>
      </c>
      <c r="E1225" s="204">
        <f t="shared" si="361"/>
        <v>92.5603</v>
      </c>
      <c r="F1225" s="204">
        <f t="shared" si="361"/>
        <v>88.5045</v>
      </c>
      <c r="G1225" s="204">
        <f t="shared" si="361"/>
        <v>82.8212</v>
      </c>
      <c r="H1225" s="204">
        <f t="shared" si="361"/>
        <v>81.1937</v>
      </c>
      <c r="I1225" s="204">
        <f t="shared" si="361"/>
        <v>86.877</v>
      </c>
      <c r="J1225" s="204">
        <f t="shared" si="361"/>
        <v>86.877</v>
      </c>
      <c r="K1225" s="204">
        <f t="shared" si="361"/>
        <v>86.877</v>
      </c>
      <c r="L1225" s="204">
        <f t="shared" si="361"/>
        <v>85.2495</v>
      </c>
      <c r="M1225" s="204">
        <f t="shared" si="361"/>
        <v>83.622</v>
      </c>
      <c r="N1225" s="204">
        <f t="shared" si="361"/>
        <v>133.1442</v>
      </c>
      <c r="O1225" s="5"/>
      <c r="P1225" s="5"/>
      <c r="Q1225" s="5"/>
      <c r="R1225" s="5"/>
      <c r="S1225" s="5"/>
      <c r="T1225" s="5"/>
      <c r="U1225" s="5"/>
      <c r="V1225" s="5"/>
      <c r="W1225" s="5"/>
      <c r="X1225" s="5"/>
      <c r="Y1225" s="5"/>
      <c r="Z1225" s="5"/>
    </row>
    <row r="1226" ht="12.0" customHeight="1">
      <c r="A1226" s="92" t="s">
        <v>637</v>
      </c>
      <c r="B1226" s="5"/>
      <c r="C1226" s="205">
        <f>'Resumen Capacidad'!$H$124</f>
        <v>136.0227273</v>
      </c>
      <c r="D1226" s="205">
        <f>'Resumen Capacidad'!$H$124</f>
        <v>136.0227273</v>
      </c>
      <c r="E1226" s="205">
        <f>'Resumen Capacidad'!$H$124</f>
        <v>136.0227273</v>
      </c>
      <c r="F1226" s="205">
        <f>'Resumen Capacidad'!$H$124</f>
        <v>136.0227273</v>
      </c>
      <c r="G1226" s="205">
        <f>'Resumen Capacidad'!$H$124</f>
        <v>136.0227273</v>
      </c>
      <c r="H1226" s="205">
        <f>'Resumen Capacidad'!$H$124</f>
        <v>136.0227273</v>
      </c>
      <c r="I1226" s="205">
        <f>'Resumen Capacidad'!$H$124</f>
        <v>136.0227273</v>
      </c>
      <c r="J1226" s="205">
        <f>'Resumen Capacidad'!$H$124</f>
        <v>136.0227273</v>
      </c>
      <c r="K1226" s="205">
        <f>'Resumen Capacidad'!$H$124</f>
        <v>136.0227273</v>
      </c>
      <c r="L1226" s="205">
        <f>'Resumen Capacidad'!$H$124</f>
        <v>136.0227273</v>
      </c>
      <c r="M1226" s="205">
        <f>'Resumen Capacidad'!$H$124</f>
        <v>136.0227273</v>
      </c>
      <c r="N1226" s="205">
        <f>'Resumen Capacidad'!$H$124</f>
        <v>136.0227273</v>
      </c>
      <c r="O1226" s="5"/>
      <c r="P1226" s="5"/>
      <c r="Q1226" s="5"/>
      <c r="R1226" s="5"/>
      <c r="S1226" s="5"/>
      <c r="T1226" s="5"/>
      <c r="U1226" s="5"/>
      <c r="V1226" s="5"/>
      <c r="W1226" s="5"/>
      <c r="X1226" s="5"/>
      <c r="Y1226" s="5"/>
      <c r="Z1226" s="5"/>
    </row>
    <row r="1227" ht="12.0" customHeight="1">
      <c r="A1227" s="92" t="s">
        <v>640</v>
      </c>
      <c r="B1227" s="5"/>
      <c r="C1227" s="204">
        <f>'Resumen Capacidad'!$H$42*'Resumen Capacidad'!$H$78</f>
        <v>2</v>
      </c>
      <c r="D1227" s="204">
        <f>'Resumen Capacidad'!$H$42*'Resumen Capacidad'!$H$78</f>
        <v>2</v>
      </c>
      <c r="E1227" s="204">
        <f>'Resumen Capacidad'!$H$42*'Resumen Capacidad'!$H$78</f>
        <v>2</v>
      </c>
      <c r="F1227" s="204">
        <f>'Resumen Capacidad'!$H$42*'Resumen Capacidad'!$H$78</f>
        <v>2</v>
      </c>
      <c r="G1227" s="204">
        <f>'Resumen Capacidad'!$H$42*'Resumen Capacidad'!$H$78</f>
        <v>2</v>
      </c>
      <c r="H1227" s="204">
        <f>'Resumen Capacidad'!$H$42*'Resumen Capacidad'!$H$78</f>
        <v>2</v>
      </c>
      <c r="I1227" s="204">
        <f>'Resumen Capacidad'!$H$42*'Resumen Capacidad'!$H$78</f>
        <v>2</v>
      </c>
      <c r="J1227" s="204">
        <f>'Resumen Capacidad'!$H$42*'Resumen Capacidad'!$H$78</f>
        <v>2</v>
      </c>
      <c r="K1227" s="204">
        <f>'Resumen Capacidad'!$H$42*'Resumen Capacidad'!$H$78</f>
        <v>2</v>
      </c>
      <c r="L1227" s="204">
        <f>'Resumen Capacidad'!$H$42*'Resumen Capacidad'!$H$78</f>
        <v>2</v>
      </c>
      <c r="M1227" s="204">
        <f>'Resumen Capacidad'!$H$42*'Resumen Capacidad'!$H$78</f>
        <v>2</v>
      </c>
      <c r="N1227" s="204">
        <f>'Resumen Capacidad'!$H$42*'Resumen Capacidad'!$H$78</f>
        <v>2</v>
      </c>
      <c r="O1227" s="5"/>
      <c r="P1227" s="5"/>
      <c r="Q1227" s="5"/>
      <c r="R1227" s="5"/>
      <c r="S1227" s="5"/>
      <c r="T1227" s="5"/>
      <c r="U1227" s="5"/>
      <c r="V1227" s="5"/>
      <c r="W1227" s="5"/>
      <c r="X1227" s="5"/>
      <c r="Y1227" s="5"/>
      <c r="Z1227" s="5"/>
    </row>
    <row r="1228" ht="12.0" customHeight="1">
      <c r="A1228" s="92" t="s">
        <v>642</v>
      </c>
      <c r="B1228" s="5"/>
      <c r="C1228" s="204">
        <f t="shared" ref="C1228:N1228" si="362">C1226*C1227</f>
        <v>272.0454545</v>
      </c>
      <c r="D1228" s="204">
        <f t="shared" si="362"/>
        <v>272.0454545</v>
      </c>
      <c r="E1228" s="204">
        <f t="shared" si="362"/>
        <v>272.0454545</v>
      </c>
      <c r="F1228" s="204">
        <f t="shared" si="362"/>
        <v>272.0454545</v>
      </c>
      <c r="G1228" s="204">
        <f t="shared" si="362"/>
        <v>272.0454545</v>
      </c>
      <c r="H1228" s="204">
        <f t="shared" si="362"/>
        <v>272.0454545</v>
      </c>
      <c r="I1228" s="204">
        <f t="shared" si="362"/>
        <v>272.0454545</v>
      </c>
      <c r="J1228" s="204">
        <f t="shared" si="362"/>
        <v>272.0454545</v>
      </c>
      <c r="K1228" s="204">
        <f t="shared" si="362"/>
        <v>272.0454545</v>
      </c>
      <c r="L1228" s="204">
        <f t="shared" si="362"/>
        <v>272.0454545</v>
      </c>
      <c r="M1228" s="204">
        <f t="shared" si="362"/>
        <v>272.0454545</v>
      </c>
      <c r="N1228" s="204">
        <f t="shared" si="362"/>
        <v>272.0454545</v>
      </c>
      <c r="O1228" s="5"/>
      <c r="P1228" s="5"/>
      <c r="Q1228" s="5"/>
      <c r="R1228" s="5"/>
      <c r="S1228" s="5"/>
      <c r="T1228" s="5"/>
      <c r="U1228" s="5"/>
      <c r="V1228" s="5"/>
      <c r="W1228" s="5"/>
      <c r="X1228" s="5"/>
      <c r="Y1228" s="5"/>
      <c r="Z1228" s="5"/>
    </row>
    <row r="1229" ht="12.0" customHeight="1">
      <c r="A1229" s="92" t="s">
        <v>643</v>
      </c>
      <c r="B1229" s="5"/>
      <c r="C1229" s="206">
        <f t="shared" ref="C1229:N1229" si="363">IF(C1228=0,0,C1225/C1228)</f>
        <v>0.4774540351</v>
      </c>
      <c r="D1229" s="206">
        <f t="shared" si="363"/>
        <v>0.3640729825</v>
      </c>
      <c r="E1229" s="206">
        <f t="shared" si="363"/>
        <v>0.3402383626</v>
      </c>
      <c r="F1229" s="206">
        <f t="shared" si="363"/>
        <v>0.3253298246</v>
      </c>
      <c r="G1229" s="206">
        <f t="shared" si="363"/>
        <v>0.3044388304</v>
      </c>
      <c r="H1229" s="206">
        <f t="shared" si="363"/>
        <v>0.2984563743</v>
      </c>
      <c r="I1229" s="206">
        <f t="shared" si="363"/>
        <v>0.3193473684</v>
      </c>
      <c r="J1229" s="206">
        <f t="shared" si="363"/>
        <v>0.3193473684</v>
      </c>
      <c r="K1229" s="206">
        <f t="shared" si="363"/>
        <v>0.3193473684</v>
      </c>
      <c r="L1229" s="206">
        <f t="shared" si="363"/>
        <v>0.3133649123</v>
      </c>
      <c r="M1229" s="206">
        <f t="shared" si="363"/>
        <v>0.3073824561</v>
      </c>
      <c r="N1229" s="206">
        <f t="shared" si="363"/>
        <v>0.4894189474</v>
      </c>
      <c r="O1229" s="5"/>
      <c r="P1229" s="5"/>
      <c r="Q1229" s="5"/>
      <c r="R1229" s="5"/>
      <c r="S1229" s="5"/>
      <c r="T1229" s="5"/>
      <c r="U1229" s="5"/>
      <c r="V1229" s="5"/>
      <c r="W1229" s="5"/>
      <c r="X1229" s="5"/>
      <c r="Y1229" s="5"/>
      <c r="Z1229" s="5"/>
    </row>
    <row r="1230" ht="12.0" customHeight="1">
      <c r="A1230" s="201" t="s">
        <v>693</v>
      </c>
      <c r="B1230" s="202"/>
      <c r="C1230" s="202"/>
      <c r="D1230" s="202"/>
      <c r="E1230" s="202"/>
      <c r="F1230" s="202"/>
      <c r="G1230" s="202"/>
      <c r="H1230" s="202"/>
      <c r="I1230" s="202"/>
      <c r="J1230" s="202"/>
      <c r="K1230" s="202"/>
      <c r="L1230" s="202"/>
      <c r="M1230" s="202"/>
      <c r="N1230" s="202"/>
      <c r="O1230" s="5"/>
      <c r="P1230" s="5"/>
      <c r="Q1230" s="5"/>
      <c r="R1230" s="5"/>
      <c r="S1230" s="5"/>
      <c r="T1230" s="5"/>
      <c r="U1230" s="5"/>
      <c r="V1230" s="5"/>
      <c r="W1230" s="5"/>
      <c r="X1230" s="5"/>
      <c r="Y1230" s="5"/>
      <c r="Z1230" s="5"/>
    </row>
    <row r="1231" ht="12.0" customHeight="1">
      <c r="A1231" s="201" t="s">
        <v>630</v>
      </c>
      <c r="B1231" s="201" t="s">
        <v>631</v>
      </c>
      <c r="C1231" s="201" t="s">
        <v>3</v>
      </c>
      <c r="D1231" s="201" t="s">
        <v>4</v>
      </c>
      <c r="E1231" s="201" t="s">
        <v>5</v>
      </c>
      <c r="F1231" s="201" t="s">
        <v>6</v>
      </c>
      <c r="G1231" s="201" t="s">
        <v>7</v>
      </c>
      <c r="H1231" s="201" t="s">
        <v>8</v>
      </c>
      <c r="I1231" s="201" t="s">
        <v>9</v>
      </c>
      <c r="J1231" s="201" t="s">
        <v>10</v>
      </c>
      <c r="K1231" s="201" t="s">
        <v>11</v>
      </c>
      <c r="L1231" s="201" t="s">
        <v>12</v>
      </c>
      <c r="M1231" s="201" t="s">
        <v>13</v>
      </c>
      <c r="N1231" s="201" t="s">
        <v>14</v>
      </c>
      <c r="O1231" s="5"/>
      <c r="P1231" s="5"/>
      <c r="Q1231" s="5"/>
      <c r="R1231" s="5"/>
      <c r="S1231" s="5"/>
      <c r="T1231" s="5"/>
      <c r="U1231" s="5"/>
      <c r="V1231" s="5"/>
      <c r="W1231" s="5"/>
      <c r="X1231" s="5"/>
      <c r="Y1231" s="5"/>
      <c r="Z1231" s="5"/>
    </row>
    <row r="1232" ht="12.0" customHeight="1">
      <c r="A1232" s="92" t="s">
        <v>694</v>
      </c>
      <c r="B1232" s="92" t="s">
        <v>633</v>
      </c>
      <c r="C1232" s="203">
        <f>SUM('2032'!B6:B9)+Parametros!$B$72*C2603</f>
        <v>5128.71</v>
      </c>
      <c r="D1232" s="203">
        <f>SUM('2032'!C6:C9)+Parametros!$B$72*D2603</f>
        <v>4003.86</v>
      </c>
      <c r="E1232" s="203">
        <f>SUM('2032'!D6:D9)+Parametros!$B$72*E2603</f>
        <v>3970.12</v>
      </c>
      <c r="F1232" s="203">
        <f>SUM('2032'!E6:E9)+Parametros!$B$72*F2603</f>
        <v>3868.455</v>
      </c>
      <c r="G1232" s="203">
        <f>SUM('2032'!F6:F9)+Parametros!$B$72*G2603</f>
        <v>3646.25</v>
      </c>
      <c r="H1232" s="203">
        <f>SUM('2032'!G6:G9)+Parametros!$B$72*H2603</f>
        <v>3493.01</v>
      </c>
      <c r="I1232" s="203">
        <f>SUM('2032'!H6:H9)+Parametros!$B$72*I2603</f>
        <v>3747.915</v>
      </c>
      <c r="J1232" s="203">
        <f>SUM('2032'!I6:I9)+Parametros!$B$72*J2603</f>
        <v>3747.915</v>
      </c>
      <c r="K1232" s="203">
        <f>SUM('2032'!J6:J9)+Parametros!$B$72*K2603</f>
        <v>3731.565</v>
      </c>
      <c r="L1232" s="203">
        <f>SUM('2032'!K6:K9)+Parametros!$B$72*L2603</f>
        <v>3578.325</v>
      </c>
      <c r="M1232" s="203">
        <f>SUM('2032'!L6:L9)+Parametros!$B$72*M2603</f>
        <v>3441.435</v>
      </c>
      <c r="N1232" s="203">
        <f>SUM('2032'!M6:M9)+Parametros!$B$72*N2603</f>
        <v>5353.44</v>
      </c>
      <c r="O1232" s="5"/>
      <c r="P1232" s="5"/>
      <c r="Q1232" s="5"/>
      <c r="R1232" s="5"/>
      <c r="S1232" s="5"/>
      <c r="T1232" s="5"/>
      <c r="U1232" s="5"/>
      <c r="V1232" s="5"/>
      <c r="W1232" s="5"/>
      <c r="X1232" s="5"/>
      <c r="Y1232" s="5"/>
      <c r="Z1232" s="5"/>
    </row>
    <row r="1233" ht="12.0" customHeight="1">
      <c r="A1233" s="5"/>
      <c r="B1233" s="92" t="s">
        <v>634</v>
      </c>
      <c r="C1233" s="204">
        <f>C1232/Parametros!$B$37</f>
        <v>256.4355</v>
      </c>
      <c r="D1233" s="204">
        <f>D1232/Parametros!$B$37</f>
        <v>200.193</v>
      </c>
      <c r="E1233" s="204">
        <f>E1232/Parametros!$B$37</f>
        <v>198.506</v>
      </c>
      <c r="F1233" s="204">
        <f>F1232/Parametros!$B$37</f>
        <v>193.42275</v>
      </c>
      <c r="G1233" s="204">
        <f>G1232/Parametros!$B$37</f>
        <v>182.3125</v>
      </c>
      <c r="H1233" s="204">
        <f>H1232/Parametros!$B$37</f>
        <v>174.6505</v>
      </c>
      <c r="I1233" s="204">
        <f>I1232/Parametros!$B$37</f>
        <v>187.39575</v>
      </c>
      <c r="J1233" s="204">
        <f>J1232/Parametros!$B$37</f>
        <v>187.39575</v>
      </c>
      <c r="K1233" s="204">
        <f>K1232/Parametros!$B$37</f>
        <v>186.57825</v>
      </c>
      <c r="L1233" s="204">
        <f>L1232/Parametros!$B$37</f>
        <v>178.91625</v>
      </c>
      <c r="M1233" s="204">
        <f>M1232/Parametros!$B$37</f>
        <v>172.07175</v>
      </c>
      <c r="N1233" s="204">
        <f>N1232/Parametros!$B$37</f>
        <v>267.672</v>
      </c>
      <c r="O1233" s="5"/>
      <c r="P1233" s="5"/>
      <c r="Q1233" s="5"/>
      <c r="R1233" s="5"/>
      <c r="S1233" s="5"/>
      <c r="T1233" s="5"/>
      <c r="U1233" s="5"/>
      <c r="V1233" s="5"/>
      <c r="W1233" s="5"/>
      <c r="X1233" s="5"/>
      <c r="Y1233" s="5"/>
      <c r="Z1233" s="5"/>
    </row>
    <row r="1234" ht="12.0" customHeight="1">
      <c r="A1234" s="5"/>
      <c r="B1234" s="92" t="s">
        <v>635</v>
      </c>
      <c r="C1234" s="204">
        <f>C1233/Parametros!$J$37</f>
        <v>34.1914</v>
      </c>
      <c r="D1234" s="204">
        <f>D1233/Parametros!$J$37</f>
        <v>26.6924</v>
      </c>
      <c r="E1234" s="204">
        <f>E1233/Parametros!$J$37</f>
        <v>26.46746667</v>
      </c>
      <c r="F1234" s="204">
        <f>F1233/Parametros!$J$37</f>
        <v>25.7897</v>
      </c>
      <c r="G1234" s="204">
        <f>G1233/Parametros!$J$37</f>
        <v>24.30833333</v>
      </c>
      <c r="H1234" s="204">
        <f>H1233/Parametros!$J$37</f>
        <v>23.28673333</v>
      </c>
      <c r="I1234" s="204">
        <f>I1233/Parametros!$J$37</f>
        <v>24.9861</v>
      </c>
      <c r="J1234" s="204">
        <f>J1233/Parametros!$J$37</f>
        <v>24.9861</v>
      </c>
      <c r="K1234" s="204">
        <f>K1233/Parametros!$J$37</f>
        <v>24.8771</v>
      </c>
      <c r="L1234" s="204">
        <f>L1233/Parametros!$J$37</f>
        <v>23.8555</v>
      </c>
      <c r="M1234" s="204">
        <f>M1233/Parametros!$J$37</f>
        <v>22.9429</v>
      </c>
      <c r="N1234" s="204">
        <f>N1233/Parametros!$J$37</f>
        <v>35.6896</v>
      </c>
      <c r="O1234" s="5"/>
      <c r="P1234" s="5"/>
      <c r="Q1234" s="5"/>
      <c r="R1234" s="5"/>
      <c r="S1234" s="5"/>
      <c r="T1234" s="5"/>
      <c r="U1234" s="5"/>
      <c r="V1234" s="5"/>
      <c r="W1234" s="5"/>
      <c r="X1234" s="5"/>
      <c r="Y1234" s="5"/>
      <c r="Z1234" s="5"/>
    </row>
    <row r="1235" ht="12.0" customHeight="1">
      <c r="A1235" s="92" t="s">
        <v>636</v>
      </c>
      <c r="B1235" s="5"/>
      <c r="C1235" s="204">
        <f t="shared" ref="C1235:N1235" si="364">C1234</f>
        <v>34.1914</v>
      </c>
      <c r="D1235" s="204">
        <f t="shared" si="364"/>
        <v>26.6924</v>
      </c>
      <c r="E1235" s="204">
        <f t="shared" si="364"/>
        <v>26.46746667</v>
      </c>
      <c r="F1235" s="204">
        <f t="shared" si="364"/>
        <v>25.7897</v>
      </c>
      <c r="G1235" s="204">
        <f t="shared" si="364"/>
        <v>24.30833333</v>
      </c>
      <c r="H1235" s="204">
        <f t="shared" si="364"/>
        <v>23.28673333</v>
      </c>
      <c r="I1235" s="204">
        <f t="shared" si="364"/>
        <v>24.9861</v>
      </c>
      <c r="J1235" s="204">
        <f t="shared" si="364"/>
        <v>24.9861</v>
      </c>
      <c r="K1235" s="204">
        <f t="shared" si="364"/>
        <v>24.8771</v>
      </c>
      <c r="L1235" s="204">
        <f t="shared" si="364"/>
        <v>23.8555</v>
      </c>
      <c r="M1235" s="204">
        <f t="shared" si="364"/>
        <v>22.9429</v>
      </c>
      <c r="N1235" s="204">
        <f t="shared" si="364"/>
        <v>35.6896</v>
      </c>
      <c r="O1235" s="5"/>
      <c r="P1235" s="5"/>
      <c r="Q1235" s="5"/>
      <c r="R1235" s="5"/>
      <c r="S1235" s="5"/>
      <c r="T1235" s="5"/>
      <c r="U1235" s="5"/>
      <c r="V1235" s="5"/>
      <c r="W1235" s="5"/>
      <c r="X1235" s="5"/>
      <c r="Y1235" s="5"/>
      <c r="Z1235" s="5"/>
    </row>
    <row r="1236" ht="12.0" customHeight="1">
      <c r="A1236" s="92" t="s">
        <v>637</v>
      </c>
      <c r="B1236" s="5"/>
      <c r="C1236" s="205">
        <f>'Resumen Capacidad'!$H$125</f>
        <v>60.34285714</v>
      </c>
      <c r="D1236" s="205">
        <f>'Resumen Capacidad'!$H$125</f>
        <v>60.34285714</v>
      </c>
      <c r="E1236" s="205">
        <f>'Resumen Capacidad'!$H$125</f>
        <v>60.34285714</v>
      </c>
      <c r="F1236" s="205">
        <f>'Resumen Capacidad'!$H$125</f>
        <v>60.34285714</v>
      </c>
      <c r="G1236" s="205">
        <f>'Resumen Capacidad'!$H$125</f>
        <v>60.34285714</v>
      </c>
      <c r="H1236" s="205">
        <f>'Resumen Capacidad'!$H$125</f>
        <v>60.34285714</v>
      </c>
      <c r="I1236" s="205">
        <f>'Resumen Capacidad'!$H$125</f>
        <v>60.34285714</v>
      </c>
      <c r="J1236" s="205">
        <f>'Resumen Capacidad'!$H$125</f>
        <v>60.34285714</v>
      </c>
      <c r="K1236" s="205">
        <f>'Resumen Capacidad'!$H$125</f>
        <v>60.34285714</v>
      </c>
      <c r="L1236" s="205">
        <f>'Resumen Capacidad'!$H$125</f>
        <v>60.34285714</v>
      </c>
      <c r="M1236" s="205">
        <f>'Resumen Capacidad'!$H$125</f>
        <v>60.34285714</v>
      </c>
      <c r="N1236" s="205">
        <f>'Resumen Capacidad'!$H$125</f>
        <v>60.34285714</v>
      </c>
      <c r="O1236" s="5"/>
      <c r="P1236" s="5"/>
      <c r="Q1236" s="5"/>
      <c r="R1236" s="5"/>
      <c r="S1236" s="5"/>
      <c r="T1236" s="5"/>
      <c r="U1236" s="5"/>
      <c r="V1236" s="5"/>
      <c r="W1236" s="5"/>
      <c r="X1236" s="5"/>
      <c r="Y1236" s="5"/>
      <c r="Z1236" s="5"/>
    </row>
    <row r="1237" ht="12.0" customHeight="1">
      <c r="A1237" s="92" t="s">
        <v>640</v>
      </c>
      <c r="B1237" s="5"/>
      <c r="C1237" s="204">
        <f>'Resumen Capacidad'!$H$43*'Resumen Capacidad'!$H$79</f>
        <v>1</v>
      </c>
      <c r="D1237" s="204">
        <f>'Resumen Capacidad'!$H$43*'Resumen Capacidad'!$H$79</f>
        <v>1</v>
      </c>
      <c r="E1237" s="204">
        <f>'Resumen Capacidad'!$H$43*'Resumen Capacidad'!$H$79</f>
        <v>1</v>
      </c>
      <c r="F1237" s="204">
        <f>'Resumen Capacidad'!$H$43*'Resumen Capacidad'!$H$79</f>
        <v>1</v>
      </c>
      <c r="G1237" s="204">
        <f>'Resumen Capacidad'!$H$43*'Resumen Capacidad'!$H$79</f>
        <v>1</v>
      </c>
      <c r="H1237" s="204">
        <f>'Resumen Capacidad'!$H$43*'Resumen Capacidad'!$H$79</f>
        <v>1</v>
      </c>
      <c r="I1237" s="204">
        <f>'Resumen Capacidad'!$H$43*'Resumen Capacidad'!$H$79</f>
        <v>1</v>
      </c>
      <c r="J1237" s="204">
        <f>'Resumen Capacidad'!$H$43*'Resumen Capacidad'!$H$79</f>
        <v>1</v>
      </c>
      <c r="K1237" s="204">
        <f>'Resumen Capacidad'!$H$43*'Resumen Capacidad'!$H$79</f>
        <v>1</v>
      </c>
      <c r="L1237" s="204">
        <f>'Resumen Capacidad'!$H$43*'Resumen Capacidad'!$H$79</f>
        <v>1</v>
      </c>
      <c r="M1237" s="204">
        <f>'Resumen Capacidad'!$H$43*'Resumen Capacidad'!$H$79</f>
        <v>1</v>
      </c>
      <c r="N1237" s="204">
        <f>'Resumen Capacidad'!$H$43*'Resumen Capacidad'!$H$79</f>
        <v>1</v>
      </c>
      <c r="O1237" s="5"/>
      <c r="P1237" s="5"/>
      <c r="Q1237" s="5"/>
      <c r="R1237" s="5"/>
      <c r="S1237" s="5"/>
      <c r="T1237" s="5"/>
      <c r="U1237" s="5"/>
      <c r="V1237" s="5"/>
      <c r="W1237" s="5"/>
      <c r="X1237" s="5"/>
      <c r="Y1237" s="5"/>
      <c r="Z1237" s="5"/>
    </row>
    <row r="1238" ht="12.0" customHeight="1">
      <c r="A1238" s="92" t="s">
        <v>642</v>
      </c>
      <c r="B1238" s="5"/>
      <c r="C1238" s="204">
        <f t="shared" ref="C1238:N1238" si="365">C1236*C1237</f>
        <v>60.34285714</v>
      </c>
      <c r="D1238" s="204">
        <f t="shared" si="365"/>
        <v>60.34285714</v>
      </c>
      <c r="E1238" s="204">
        <f t="shared" si="365"/>
        <v>60.34285714</v>
      </c>
      <c r="F1238" s="204">
        <f t="shared" si="365"/>
        <v>60.34285714</v>
      </c>
      <c r="G1238" s="204">
        <f t="shared" si="365"/>
        <v>60.34285714</v>
      </c>
      <c r="H1238" s="204">
        <f t="shared" si="365"/>
        <v>60.34285714</v>
      </c>
      <c r="I1238" s="204">
        <f t="shared" si="365"/>
        <v>60.34285714</v>
      </c>
      <c r="J1238" s="204">
        <f t="shared" si="365"/>
        <v>60.34285714</v>
      </c>
      <c r="K1238" s="204">
        <f t="shared" si="365"/>
        <v>60.34285714</v>
      </c>
      <c r="L1238" s="204">
        <f t="shared" si="365"/>
        <v>60.34285714</v>
      </c>
      <c r="M1238" s="204">
        <f t="shared" si="365"/>
        <v>60.34285714</v>
      </c>
      <c r="N1238" s="204">
        <f t="shared" si="365"/>
        <v>60.34285714</v>
      </c>
      <c r="O1238" s="5"/>
      <c r="P1238" s="5"/>
      <c r="Q1238" s="5"/>
      <c r="R1238" s="5"/>
      <c r="S1238" s="5"/>
      <c r="T1238" s="5"/>
      <c r="U1238" s="5"/>
      <c r="V1238" s="5"/>
      <c r="W1238" s="5"/>
      <c r="X1238" s="5"/>
      <c r="Y1238" s="5"/>
      <c r="Z1238" s="5"/>
    </row>
    <row r="1239" ht="12.0" customHeight="1">
      <c r="A1239" s="92" t="s">
        <v>643</v>
      </c>
      <c r="B1239" s="5"/>
      <c r="C1239" s="206">
        <f t="shared" ref="C1239:N1239" si="366">IF(C1238=0,0,C1235/C1238)</f>
        <v>0.5666188447</v>
      </c>
      <c r="D1239" s="206">
        <f t="shared" si="366"/>
        <v>0.4423456439</v>
      </c>
      <c r="E1239" s="206">
        <f t="shared" si="366"/>
        <v>0.4386180556</v>
      </c>
      <c r="F1239" s="206">
        <f t="shared" si="366"/>
        <v>0.4273861269</v>
      </c>
      <c r="G1239" s="206">
        <f t="shared" si="366"/>
        <v>0.4028369634</v>
      </c>
      <c r="H1239" s="206">
        <f t="shared" si="366"/>
        <v>0.3859070391</v>
      </c>
      <c r="I1239" s="206">
        <f t="shared" si="366"/>
        <v>0.414068892</v>
      </c>
      <c r="J1239" s="206">
        <f t="shared" si="366"/>
        <v>0.414068892</v>
      </c>
      <c r="K1239" s="206">
        <f t="shared" si="366"/>
        <v>0.4122625473</v>
      </c>
      <c r="L1239" s="206">
        <f t="shared" si="366"/>
        <v>0.3953326231</v>
      </c>
      <c r="M1239" s="206">
        <f t="shared" si="366"/>
        <v>0.3802090436</v>
      </c>
      <c r="N1239" s="206">
        <f t="shared" si="366"/>
        <v>0.5914469697</v>
      </c>
      <c r="O1239" s="5"/>
      <c r="P1239" s="5"/>
      <c r="Q1239" s="5"/>
      <c r="R1239" s="5"/>
      <c r="S1239" s="5"/>
      <c r="T1239" s="5"/>
      <c r="U1239" s="5"/>
      <c r="V1239" s="5"/>
      <c r="W1239" s="5"/>
      <c r="X1239" s="5"/>
      <c r="Y1239" s="5"/>
      <c r="Z1239" s="5"/>
    </row>
    <row r="1240" ht="12.0" customHeight="1">
      <c r="A1240" s="201" t="s">
        <v>695</v>
      </c>
      <c r="B1240" s="202"/>
      <c r="C1240" s="202"/>
      <c r="D1240" s="202"/>
      <c r="E1240" s="202"/>
      <c r="F1240" s="202"/>
      <c r="G1240" s="202"/>
      <c r="H1240" s="202"/>
      <c r="I1240" s="202"/>
      <c r="J1240" s="202"/>
      <c r="K1240" s="202"/>
      <c r="L1240" s="202"/>
      <c r="M1240" s="202"/>
      <c r="N1240" s="202"/>
      <c r="O1240" s="5"/>
      <c r="P1240" s="5"/>
      <c r="Q1240" s="5"/>
      <c r="R1240" s="5"/>
      <c r="S1240" s="5"/>
      <c r="T1240" s="5"/>
      <c r="U1240" s="5"/>
      <c r="V1240" s="5"/>
      <c r="W1240" s="5"/>
      <c r="X1240" s="5"/>
      <c r="Y1240" s="5"/>
      <c r="Z1240" s="5"/>
    </row>
    <row r="1241" ht="12.0" customHeight="1">
      <c r="A1241" s="201" t="s">
        <v>630</v>
      </c>
      <c r="B1241" s="201" t="s">
        <v>631</v>
      </c>
      <c r="C1241" s="201" t="s">
        <v>3</v>
      </c>
      <c r="D1241" s="201" t="s">
        <v>4</v>
      </c>
      <c r="E1241" s="201" t="s">
        <v>5</v>
      </c>
      <c r="F1241" s="201" t="s">
        <v>6</v>
      </c>
      <c r="G1241" s="201" t="s">
        <v>7</v>
      </c>
      <c r="H1241" s="201" t="s">
        <v>8</v>
      </c>
      <c r="I1241" s="201" t="s">
        <v>9</v>
      </c>
      <c r="J1241" s="201" t="s">
        <v>10</v>
      </c>
      <c r="K1241" s="201" t="s">
        <v>11</v>
      </c>
      <c r="L1241" s="201" t="s">
        <v>12</v>
      </c>
      <c r="M1241" s="201" t="s">
        <v>13</v>
      </c>
      <c r="N1241" s="201" t="s">
        <v>14</v>
      </c>
      <c r="O1241" s="5"/>
      <c r="P1241" s="5"/>
      <c r="Q1241" s="5"/>
      <c r="R1241" s="5"/>
      <c r="S1241" s="5"/>
      <c r="T1241" s="5"/>
      <c r="U1241" s="5"/>
      <c r="V1241" s="5"/>
      <c r="W1241" s="5"/>
      <c r="X1241" s="5"/>
      <c r="Y1241" s="5"/>
      <c r="Z1241" s="5"/>
    </row>
    <row r="1242" ht="12.0" customHeight="1">
      <c r="A1242" s="92" t="s">
        <v>694</v>
      </c>
      <c r="B1242" s="92" t="s">
        <v>633</v>
      </c>
      <c r="C1242" s="203">
        <f>SUM('2032'!B6:B9)+Parametros!$B$72*C2603</f>
        <v>5128.71</v>
      </c>
      <c r="D1242" s="203">
        <f>SUM('2032'!C6:C9)+Parametros!$B$72*D2603</f>
        <v>4003.86</v>
      </c>
      <c r="E1242" s="203">
        <f>SUM('2032'!D6:D9)+Parametros!$B$72*E2603</f>
        <v>3970.12</v>
      </c>
      <c r="F1242" s="203">
        <f>SUM('2032'!E6:E9)+Parametros!$B$72*F2603</f>
        <v>3868.455</v>
      </c>
      <c r="G1242" s="203">
        <f>SUM('2032'!F6:F9)+Parametros!$B$72*G2603</f>
        <v>3646.25</v>
      </c>
      <c r="H1242" s="203">
        <f>SUM('2032'!G6:G9)+Parametros!$B$72*H2603</f>
        <v>3493.01</v>
      </c>
      <c r="I1242" s="203">
        <f>SUM('2032'!H6:H9)+Parametros!$B$72*I2603</f>
        <v>3747.915</v>
      </c>
      <c r="J1242" s="203">
        <f>SUM('2032'!I6:I9)+Parametros!$B$72*J2603</f>
        <v>3747.915</v>
      </c>
      <c r="K1242" s="203">
        <f>SUM('2032'!J6:J9)+Parametros!$B$72*K2603</f>
        <v>3731.565</v>
      </c>
      <c r="L1242" s="203">
        <f>SUM('2032'!K6:K9)+Parametros!$B$72*L2603</f>
        <v>3578.325</v>
      </c>
      <c r="M1242" s="203">
        <f>SUM('2032'!L6:L9)+Parametros!$B$72*M2603</f>
        <v>3441.435</v>
      </c>
      <c r="N1242" s="203">
        <f>SUM('2032'!M6:M9)+Parametros!$B$72*N2603</f>
        <v>5353.44</v>
      </c>
      <c r="O1242" s="5"/>
      <c r="P1242" s="5"/>
      <c r="Q1242" s="5"/>
      <c r="R1242" s="5"/>
      <c r="S1242" s="5"/>
      <c r="T1242" s="5"/>
      <c r="U1242" s="5"/>
      <c r="V1242" s="5"/>
      <c r="W1242" s="5"/>
      <c r="X1242" s="5"/>
      <c r="Y1242" s="5"/>
      <c r="Z1242" s="5"/>
    </row>
    <row r="1243" ht="12.0" customHeight="1">
      <c r="A1243" s="5"/>
      <c r="B1243" s="92" t="s">
        <v>634</v>
      </c>
      <c r="C1243" s="204">
        <f>C1242/Parametros!$B$37</f>
        <v>256.4355</v>
      </c>
      <c r="D1243" s="204">
        <f>D1242/Parametros!$B$37</f>
        <v>200.193</v>
      </c>
      <c r="E1243" s="204">
        <f>E1242/Parametros!$B$37</f>
        <v>198.506</v>
      </c>
      <c r="F1243" s="204">
        <f>F1242/Parametros!$B$37</f>
        <v>193.42275</v>
      </c>
      <c r="G1243" s="204">
        <f>G1242/Parametros!$B$37</f>
        <v>182.3125</v>
      </c>
      <c r="H1243" s="204">
        <f>H1242/Parametros!$B$37</f>
        <v>174.6505</v>
      </c>
      <c r="I1243" s="204">
        <f>I1242/Parametros!$B$37</f>
        <v>187.39575</v>
      </c>
      <c r="J1243" s="204">
        <f>J1242/Parametros!$B$37</f>
        <v>187.39575</v>
      </c>
      <c r="K1243" s="204">
        <f>K1242/Parametros!$B$37</f>
        <v>186.57825</v>
      </c>
      <c r="L1243" s="204">
        <f>L1242/Parametros!$B$37</f>
        <v>178.91625</v>
      </c>
      <c r="M1243" s="204">
        <f>M1242/Parametros!$B$37</f>
        <v>172.07175</v>
      </c>
      <c r="N1243" s="204">
        <f>N1242/Parametros!$B$37</f>
        <v>267.672</v>
      </c>
      <c r="O1243" s="5"/>
      <c r="P1243" s="5"/>
      <c r="Q1243" s="5"/>
      <c r="R1243" s="5"/>
      <c r="S1243" s="5"/>
      <c r="T1243" s="5"/>
      <c r="U1243" s="5"/>
      <c r="V1243" s="5"/>
      <c r="W1243" s="5"/>
      <c r="X1243" s="5"/>
      <c r="Y1243" s="5"/>
      <c r="Z1243" s="5"/>
    </row>
    <row r="1244" ht="12.0" customHeight="1">
      <c r="A1244" s="5"/>
      <c r="B1244" s="92" t="s">
        <v>635</v>
      </c>
      <c r="C1244" s="204">
        <f>C1243/Parametros!$J$37</f>
        <v>34.1914</v>
      </c>
      <c r="D1244" s="204">
        <f>D1243/Parametros!$J$37</f>
        <v>26.6924</v>
      </c>
      <c r="E1244" s="204">
        <f>E1243/Parametros!$J$37</f>
        <v>26.46746667</v>
      </c>
      <c r="F1244" s="204">
        <f>F1243/Parametros!$J$37</f>
        <v>25.7897</v>
      </c>
      <c r="G1244" s="204">
        <f>G1243/Parametros!$J$37</f>
        <v>24.30833333</v>
      </c>
      <c r="H1244" s="204">
        <f>H1243/Parametros!$J$37</f>
        <v>23.28673333</v>
      </c>
      <c r="I1244" s="204">
        <f>I1243/Parametros!$J$37</f>
        <v>24.9861</v>
      </c>
      <c r="J1244" s="204">
        <f>J1243/Parametros!$J$37</f>
        <v>24.9861</v>
      </c>
      <c r="K1244" s="204">
        <f>K1243/Parametros!$J$37</f>
        <v>24.8771</v>
      </c>
      <c r="L1244" s="204">
        <f>L1243/Parametros!$J$37</f>
        <v>23.8555</v>
      </c>
      <c r="M1244" s="204">
        <f>M1243/Parametros!$J$37</f>
        <v>22.9429</v>
      </c>
      <c r="N1244" s="204">
        <f>N1243/Parametros!$J$37</f>
        <v>35.6896</v>
      </c>
      <c r="O1244" s="5"/>
      <c r="P1244" s="5"/>
      <c r="Q1244" s="5"/>
      <c r="R1244" s="5"/>
      <c r="S1244" s="5"/>
      <c r="T1244" s="5"/>
      <c r="U1244" s="5"/>
      <c r="V1244" s="5"/>
      <c r="W1244" s="5"/>
      <c r="X1244" s="5"/>
      <c r="Y1244" s="5"/>
      <c r="Z1244" s="5"/>
    </row>
    <row r="1245" ht="12.0" customHeight="1">
      <c r="A1245" s="92" t="s">
        <v>636</v>
      </c>
      <c r="B1245" s="5"/>
      <c r="C1245" s="204">
        <f t="shared" ref="C1245:N1245" si="367">C1244</f>
        <v>34.1914</v>
      </c>
      <c r="D1245" s="204">
        <f t="shared" si="367"/>
        <v>26.6924</v>
      </c>
      <c r="E1245" s="204">
        <f t="shared" si="367"/>
        <v>26.46746667</v>
      </c>
      <c r="F1245" s="204">
        <f t="shared" si="367"/>
        <v>25.7897</v>
      </c>
      <c r="G1245" s="204">
        <f t="shared" si="367"/>
        <v>24.30833333</v>
      </c>
      <c r="H1245" s="204">
        <f t="shared" si="367"/>
        <v>23.28673333</v>
      </c>
      <c r="I1245" s="204">
        <f t="shared" si="367"/>
        <v>24.9861</v>
      </c>
      <c r="J1245" s="204">
        <f t="shared" si="367"/>
        <v>24.9861</v>
      </c>
      <c r="K1245" s="204">
        <f t="shared" si="367"/>
        <v>24.8771</v>
      </c>
      <c r="L1245" s="204">
        <f t="shared" si="367"/>
        <v>23.8555</v>
      </c>
      <c r="M1245" s="204">
        <f t="shared" si="367"/>
        <v>22.9429</v>
      </c>
      <c r="N1245" s="204">
        <f t="shared" si="367"/>
        <v>35.6896</v>
      </c>
      <c r="O1245" s="5"/>
      <c r="P1245" s="5"/>
      <c r="Q1245" s="5"/>
      <c r="R1245" s="5"/>
      <c r="S1245" s="5"/>
      <c r="T1245" s="5"/>
      <c r="U1245" s="5"/>
      <c r="V1245" s="5"/>
      <c r="W1245" s="5"/>
      <c r="X1245" s="5"/>
      <c r="Y1245" s="5"/>
      <c r="Z1245" s="5"/>
    </row>
    <row r="1246" ht="12.0" customHeight="1">
      <c r="A1246" s="92" t="s">
        <v>637</v>
      </c>
      <c r="B1246" s="5"/>
      <c r="C1246" s="205">
        <f>'Resumen Capacidad'!$H$126</f>
        <v>25.2</v>
      </c>
      <c r="D1246" s="205">
        <f>'Resumen Capacidad'!$H$126</f>
        <v>25.2</v>
      </c>
      <c r="E1246" s="205">
        <f>'Resumen Capacidad'!$H$126</f>
        <v>25.2</v>
      </c>
      <c r="F1246" s="205">
        <f>'Resumen Capacidad'!$H$126</f>
        <v>25.2</v>
      </c>
      <c r="G1246" s="205">
        <f>'Resumen Capacidad'!$H$126</f>
        <v>25.2</v>
      </c>
      <c r="H1246" s="205">
        <f>'Resumen Capacidad'!$H$126</f>
        <v>25.2</v>
      </c>
      <c r="I1246" s="205">
        <f>'Resumen Capacidad'!$H$126</f>
        <v>25.2</v>
      </c>
      <c r="J1246" s="205">
        <f>'Resumen Capacidad'!$H$126</f>
        <v>25.2</v>
      </c>
      <c r="K1246" s="205">
        <f>'Resumen Capacidad'!$H$126</f>
        <v>25.2</v>
      </c>
      <c r="L1246" s="205">
        <f>'Resumen Capacidad'!$H$126</f>
        <v>25.2</v>
      </c>
      <c r="M1246" s="205">
        <f>'Resumen Capacidad'!$H$126</f>
        <v>25.2</v>
      </c>
      <c r="N1246" s="205">
        <f>'Resumen Capacidad'!$H$126</f>
        <v>25.2</v>
      </c>
      <c r="O1246" s="5"/>
      <c r="P1246" s="5"/>
      <c r="Q1246" s="5"/>
      <c r="R1246" s="5"/>
      <c r="S1246" s="5"/>
      <c r="T1246" s="5"/>
      <c r="U1246" s="5"/>
      <c r="V1246" s="5"/>
      <c r="W1246" s="5"/>
      <c r="X1246" s="5"/>
      <c r="Y1246" s="5"/>
      <c r="Z1246" s="5"/>
    </row>
    <row r="1247" ht="12.0" customHeight="1">
      <c r="A1247" s="92" t="s">
        <v>640</v>
      </c>
      <c r="B1247" s="5"/>
      <c r="C1247" s="204">
        <f>'Resumen Capacidad'!$H$44*'Resumen Capacidad'!$H$80</f>
        <v>2</v>
      </c>
      <c r="D1247" s="204">
        <f>'Resumen Capacidad'!$H$44*'Resumen Capacidad'!$H$80</f>
        <v>2</v>
      </c>
      <c r="E1247" s="204">
        <f>'Resumen Capacidad'!$H$44*'Resumen Capacidad'!$H$80</f>
        <v>2</v>
      </c>
      <c r="F1247" s="204">
        <f>'Resumen Capacidad'!$H$44*'Resumen Capacidad'!$H$80</f>
        <v>2</v>
      </c>
      <c r="G1247" s="204">
        <f>'Resumen Capacidad'!$H$44*'Resumen Capacidad'!$H$80</f>
        <v>2</v>
      </c>
      <c r="H1247" s="204">
        <f>'Resumen Capacidad'!$H$44*'Resumen Capacidad'!$H$80</f>
        <v>2</v>
      </c>
      <c r="I1247" s="204">
        <f>'Resumen Capacidad'!$H$44*'Resumen Capacidad'!$H$80</f>
        <v>2</v>
      </c>
      <c r="J1247" s="204">
        <f>'Resumen Capacidad'!$H$44*'Resumen Capacidad'!$H$80</f>
        <v>2</v>
      </c>
      <c r="K1247" s="204">
        <f>'Resumen Capacidad'!$H$44*'Resumen Capacidad'!$H$80</f>
        <v>2</v>
      </c>
      <c r="L1247" s="204">
        <f>'Resumen Capacidad'!$H$44*'Resumen Capacidad'!$H$80</f>
        <v>2</v>
      </c>
      <c r="M1247" s="204">
        <f>'Resumen Capacidad'!$H$44*'Resumen Capacidad'!$H$80</f>
        <v>2</v>
      </c>
      <c r="N1247" s="204">
        <f>'Resumen Capacidad'!$H$44*'Resumen Capacidad'!$H$80</f>
        <v>2</v>
      </c>
      <c r="O1247" s="5"/>
      <c r="P1247" s="5"/>
      <c r="Q1247" s="5"/>
      <c r="R1247" s="5"/>
      <c r="S1247" s="5"/>
      <c r="T1247" s="5"/>
      <c r="U1247" s="5"/>
      <c r="V1247" s="5"/>
      <c r="W1247" s="5"/>
      <c r="X1247" s="5"/>
      <c r="Y1247" s="5"/>
      <c r="Z1247" s="5"/>
    </row>
    <row r="1248" ht="12.0" customHeight="1">
      <c r="A1248" s="92" t="s">
        <v>642</v>
      </c>
      <c r="B1248" s="5"/>
      <c r="C1248" s="204">
        <f t="shared" ref="C1248:N1248" si="368">C1246*C1247</f>
        <v>50.4</v>
      </c>
      <c r="D1248" s="204">
        <f t="shared" si="368"/>
        <v>50.4</v>
      </c>
      <c r="E1248" s="204">
        <f t="shared" si="368"/>
        <v>50.4</v>
      </c>
      <c r="F1248" s="204">
        <f t="shared" si="368"/>
        <v>50.4</v>
      </c>
      <c r="G1248" s="204">
        <f t="shared" si="368"/>
        <v>50.4</v>
      </c>
      <c r="H1248" s="204">
        <f t="shared" si="368"/>
        <v>50.4</v>
      </c>
      <c r="I1248" s="204">
        <f t="shared" si="368"/>
        <v>50.4</v>
      </c>
      <c r="J1248" s="204">
        <f t="shared" si="368"/>
        <v>50.4</v>
      </c>
      <c r="K1248" s="204">
        <f t="shared" si="368"/>
        <v>50.4</v>
      </c>
      <c r="L1248" s="204">
        <f t="shared" si="368"/>
        <v>50.4</v>
      </c>
      <c r="M1248" s="204">
        <f t="shared" si="368"/>
        <v>50.4</v>
      </c>
      <c r="N1248" s="204">
        <f t="shared" si="368"/>
        <v>50.4</v>
      </c>
      <c r="O1248" s="5"/>
      <c r="P1248" s="5"/>
      <c r="Q1248" s="5"/>
      <c r="R1248" s="5"/>
      <c r="S1248" s="5"/>
      <c r="T1248" s="5"/>
      <c r="U1248" s="5"/>
      <c r="V1248" s="5"/>
      <c r="W1248" s="5"/>
      <c r="X1248" s="5"/>
      <c r="Y1248" s="5"/>
      <c r="Z1248" s="5"/>
    </row>
    <row r="1249" ht="12.0" customHeight="1">
      <c r="A1249" s="92" t="s">
        <v>643</v>
      </c>
      <c r="B1249" s="5"/>
      <c r="C1249" s="206">
        <f t="shared" ref="C1249:N1249" si="369">IF(C1248=0,0,C1245/C1248)</f>
        <v>0.6784007937</v>
      </c>
      <c r="D1249" s="206">
        <f t="shared" si="369"/>
        <v>0.5296111111</v>
      </c>
      <c r="E1249" s="206">
        <f t="shared" si="369"/>
        <v>0.5251481481</v>
      </c>
      <c r="F1249" s="206">
        <f t="shared" si="369"/>
        <v>0.5117003968</v>
      </c>
      <c r="G1249" s="206">
        <f t="shared" si="369"/>
        <v>0.4823082011</v>
      </c>
      <c r="H1249" s="206">
        <f t="shared" si="369"/>
        <v>0.4620383598</v>
      </c>
      <c r="I1249" s="206">
        <f t="shared" si="369"/>
        <v>0.4957559524</v>
      </c>
      <c r="J1249" s="206">
        <f t="shared" si="369"/>
        <v>0.4957559524</v>
      </c>
      <c r="K1249" s="206">
        <f t="shared" si="369"/>
        <v>0.493593254</v>
      </c>
      <c r="L1249" s="206">
        <f t="shared" si="369"/>
        <v>0.4733234127</v>
      </c>
      <c r="M1249" s="206">
        <f t="shared" si="369"/>
        <v>0.4552162698</v>
      </c>
      <c r="N1249" s="206">
        <f t="shared" si="369"/>
        <v>0.7081269841</v>
      </c>
      <c r="O1249" s="5"/>
      <c r="P1249" s="5"/>
      <c r="Q1249" s="5"/>
      <c r="R1249" s="5"/>
      <c r="S1249" s="5"/>
      <c r="T1249" s="5"/>
      <c r="U1249" s="5"/>
      <c r="V1249" s="5"/>
      <c r="W1249" s="5"/>
      <c r="X1249" s="5"/>
      <c r="Y1249" s="5"/>
      <c r="Z1249" s="5"/>
    </row>
    <row r="1250" ht="12.0" customHeight="1">
      <c r="A1250" s="201" t="s">
        <v>696</v>
      </c>
      <c r="B1250" s="202"/>
      <c r="C1250" s="202"/>
      <c r="D1250" s="202"/>
      <c r="E1250" s="202"/>
      <c r="F1250" s="202"/>
      <c r="G1250" s="202"/>
      <c r="H1250" s="202"/>
      <c r="I1250" s="202"/>
      <c r="J1250" s="202"/>
      <c r="K1250" s="202"/>
      <c r="L1250" s="202"/>
      <c r="M1250" s="202"/>
      <c r="N1250" s="202"/>
      <c r="O1250" s="5"/>
      <c r="P1250" s="5"/>
      <c r="Q1250" s="5"/>
      <c r="R1250" s="5"/>
      <c r="S1250" s="5"/>
      <c r="T1250" s="5"/>
      <c r="U1250" s="5"/>
      <c r="V1250" s="5"/>
      <c r="W1250" s="5"/>
      <c r="X1250" s="5"/>
      <c r="Y1250" s="5"/>
      <c r="Z1250" s="5"/>
    </row>
    <row r="1251" ht="12.0" customHeight="1">
      <c r="A1251" s="201" t="s">
        <v>630</v>
      </c>
      <c r="B1251" s="201" t="s">
        <v>631</v>
      </c>
      <c r="C1251" s="201" t="s">
        <v>3</v>
      </c>
      <c r="D1251" s="201" t="s">
        <v>4</v>
      </c>
      <c r="E1251" s="201" t="s">
        <v>5</v>
      </c>
      <c r="F1251" s="201" t="s">
        <v>6</v>
      </c>
      <c r="G1251" s="201" t="s">
        <v>7</v>
      </c>
      <c r="H1251" s="201" t="s">
        <v>8</v>
      </c>
      <c r="I1251" s="201" t="s">
        <v>9</v>
      </c>
      <c r="J1251" s="201" t="s">
        <v>10</v>
      </c>
      <c r="K1251" s="201" t="s">
        <v>11</v>
      </c>
      <c r="L1251" s="201" t="s">
        <v>12</v>
      </c>
      <c r="M1251" s="201" t="s">
        <v>13</v>
      </c>
      <c r="N1251" s="201" t="s">
        <v>14</v>
      </c>
      <c r="O1251" s="5"/>
      <c r="P1251" s="5"/>
      <c r="Q1251" s="5"/>
      <c r="R1251" s="5"/>
      <c r="S1251" s="5"/>
      <c r="T1251" s="5"/>
      <c r="U1251" s="5"/>
      <c r="V1251" s="5"/>
      <c r="W1251" s="5"/>
      <c r="X1251" s="5"/>
      <c r="Y1251" s="5"/>
      <c r="Z1251" s="5"/>
    </row>
    <row r="1252" ht="12.0" customHeight="1">
      <c r="A1252" s="92" t="s">
        <v>694</v>
      </c>
      <c r="B1252" s="92" t="s">
        <v>633</v>
      </c>
      <c r="C1252" s="203">
        <f>SUM('2032'!B6:B9)+Parametros!$B$72*C2603</f>
        <v>5128.71</v>
      </c>
      <c r="D1252" s="203">
        <f>SUM('2032'!C6:C9)+Parametros!$B$72*D2603</f>
        <v>4003.86</v>
      </c>
      <c r="E1252" s="203">
        <f>SUM('2032'!D6:D9)+Parametros!$B$72*E2603</f>
        <v>3970.12</v>
      </c>
      <c r="F1252" s="203">
        <f>SUM('2032'!E6:E9)+Parametros!$B$72*F2603</f>
        <v>3868.455</v>
      </c>
      <c r="G1252" s="203">
        <f>SUM('2032'!F6:F9)+Parametros!$B$72*G2603</f>
        <v>3646.25</v>
      </c>
      <c r="H1252" s="203">
        <f>SUM('2032'!G6:G9)+Parametros!$B$72*H2603</f>
        <v>3493.01</v>
      </c>
      <c r="I1252" s="203">
        <f>SUM('2032'!H6:H9)+Parametros!$B$72*I2603</f>
        <v>3747.915</v>
      </c>
      <c r="J1252" s="203">
        <f>SUM('2032'!I6:I9)+Parametros!$B$72*J2603</f>
        <v>3747.915</v>
      </c>
      <c r="K1252" s="203">
        <f>SUM('2032'!J6:J9)+Parametros!$B$72*K2603</f>
        <v>3731.565</v>
      </c>
      <c r="L1252" s="203">
        <f>SUM('2032'!K6:K9)+Parametros!$B$72*L2603</f>
        <v>3578.325</v>
      </c>
      <c r="M1252" s="203">
        <f>SUM('2032'!L6:L9)+Parametros!$B$72*M2603</f>
        <v>3441.435</v>
      </c>
      <c r="N1252" s="203">
        <f>SUM('2032'!M6:M9)+Parametros!$B$72*N2603</f>
        <v>5353.44</v>
      </c>
      <c r="O1252" s="5"/>
      <c r="P1252" s="5"/>
      <c r="Q1252" s="5"/>
      <c r="R1252" s="5"/>
      <c r="S1252" s="5"/>
      <c r="T1252" s="5"/>
      <c r="U1252" s="5"/>
      <c r="V1252" s="5"/>
      <c r="W1252" s="5"/>
      <c r="X1252" s="5"/>
      <c r="Y1252" s="5"/>
      <c r="Z1252" s="5"/>
    </row>
    <row r="1253" ht="12.0" customHeight="1">
      <c r="A1253" s="5"/>
      <c r="B1253" s="92" t="s">
        <v>634</v>
      </c>
      <c r="C1253" s="204">
        <f>C1252/Parametros!$B$37</f>
        <v>256.4355</v>
      </c>
      <c r="D1253" s="204">
        <f>D1252/Parametros!$B$37</f>
        <v>200.193</v>
      </c>
      <c r="E1253" s="204">
        <f>E1252/Parametros!$B$37</f>
        <v>198.506</v>
      </c>
      <c r="F1253" s="204">
        <f>F1252/Parametros!$B$37</f>
        <v>193.42275</v>
      </c>
      <c r="G1253" s="204">
        <f>G1252/Parametros!$B$37</f>
        <v>182.3125</v>
      </c>
      <c r="H1253" s="204">
        <f>H1252/Parametros!$B$37</f>
        <v>174.6505</v>
      </c>
      <c r="I1253" s="204">
        <f>I1252/Parametros!$B$37</f>
        <v>187.39575</v>
      </c>
      <c r="J1253" s="204">
        <f>J1252/Parametros!$B$37</f>
        <v>187.39575</v>
      </c>
      <c r="K1253" s="204">
        <f>K1252/Parametros!$B$37</f>
        <v>186.57825</v>
      </c>
      <c r="L1253" s="204">
        <f>L1252/Parametros!$B$37</f>
        <v>178.91625</v>
      </c>
      <c r="M1253" s="204">
        <f>M1252/Parametros!$B$37</f>
        <v>172.07175</v>
      </c>
      <c r="N1253" s="204">
        <f>N1252/Parametros!$B$37</f>
        <v>267.672</v>
      </c>
      <c r="O1253" s="5"/>
      <c r="P1253" s="5"/>
      <c r="Q1253" s="5"/>
      <c r="R1253" s="5"/>
      <c r="S1253" s="5"/>
      <c r="T1253" s="5"/>
      <c r="U1253" s="5"/>
      <c r="V1253" s="5"/>
      <c r="W1253" s="5"/>
      <c r="X1253" s="5"/>
      <c r="Y1253" s="5"/>
      <c r="Z1253" s="5"/>
    </row>
    <row r="1254" ht="12.0" customHeight="1">
      <c r="A1254" s="5"/>
      <c r="B1254" s="92" t="s">
        <v>635</v>
      </c>
      <c r="C1254" s="204">
        <f>C1253/Parametros!$J$37</f>
        <v>34.1914</v>
      </c>
      <c r="D1254" s="204">
        <f>D1253/Parametros!$J$37</f>
        <v>26.6924</v>
      </c>
      <c r="E1254" s="204">
        <f>E1253/Parametros!$J$37</f>
        <v>26.46746667</v>
      </c>
      <c r="F1254" s="204">
        <f>F1253/Parametros!$J$37</f>
        <v>25.7897</v>
      </c>
      <c r="G1254" s="204">
        <f>G1253/Parametros!$J$37</f>
        <v>24.30833333</v>
      </c>
      <c r="H1254" s="204">
        <f>H1253/Parametros!$J$37</f>
        <v>23.28673333</v>
      </c>
      <c r="I1254" s="204">
        <f>I1253/Parametros!$J$37</f>
        <v>24.9861</v>
      </c>
      <c r="J1254" s="204">
        <f>J1253/Parametros!$J$37</f>
        <v>24.9861</v>
      </c>
      <c r="K1254" s="204">
        <f>K1253/Parametros!$J$37</f>
        <v>24.8771</v>
      </c>
      <c r="L1254" s="204">
        <f>L1253/Parametros!$J$37</f>
        <v>23.8555</v>
      </c>
      <c r="M1254" s="204">
        <f>M1253/Parametros!$J$37</f>
        <v>22.9429</v>
      </c>
      <c r="N1254" s="204">
        <f>N1253/Parametros!$J$37</f>
        <v>35.6896</v>
      </c>
      <c r="O1254" s="5"/>
      <c r="P1254" s="5"/>
      <c r="Q1254" s="5"/>
      <c r="R1254" s="5"/>
      <c r="S1254" s="5"/>
      <c r="T1254" s="5"/>
      <c r="U1254" s="5"/>
      <c r="V1254" s="5"/>
      <c r="W1254" s="5"/>
      <c r="X1254" s="5"/>
      <c r="Y1254" s="5"/>
      <c r="Z1254" s="5"/>
    </row>
    <row r="1255" ht="12.0" customHeight="1">
      <c r="A1255" s="92" t="s">
        <v>636</v>
      </c>
      <c r="B1255" s="5"/>
      <c r="C1255" s="204">
        <f t="shared" ref="C1255:N1255" si="370">C1254</f>
        <v>34.1914</v>
      </c>
      <c r="D1255" s="204">
        <f t="shared" si="370"/>
        <v>26.6924</v>
      </c>
      <c r="E1255" s="204">
        <f t="shared" si="370"/>
        <v>26.46746667</v>
      </c>
      <c r="F1255" s="204">
        <f t="shared" si="370"/>
        <v>25.7897</v>
      </c>
      <c r="G1255" s="204">
        <f t="shared" si="370"/>
        <v>24.30833333</v>
      </c>
      <c r="H1255" s="204">
        <f t="shared" si="370"/>
        <v>23.28673333</v>
      </c>
      <c r="I1255" s="204">
        <f t="shared" si="370"/>
        <v>24.9861</v>
      </c>
      <c r="J1255" s="204">
        <f t="shared" si="370"/>
        <v>24.9861</v>
      </c>
      <c r="K1255" s="204">
        <f t="shared" si="370"/>
        <v>24.8771</v>
      </c>
      <c r="L1255" s="204">
        <f t="shared" si="370"/>
        <v>23.8555</v>
      </c>
      <c r="M1255" s="204">
        <f t="shared" si="370"/>
        <v>22.9429</v>
      </c>
      <c r="N1255" s="204">
        <f t="shared" si="370"/>
        <v>35.6896</v>
      </c>
      <c r="O1255" s="5"/>
      <c r="P1255" s="5"/>
      <c r="Q1255" s="5"/>
      <c r="R1255" s="5"/>
      <c r="S1255" s="5"/>
      <c r="T1255" s="5"/>
      <c r="U1255" s="5"/>
      <c r="V1255" s="5"/>
      <c r="W1255" s="5"/>
      <c r="X1255" s="5"/>
      <c r="Y1255" s="5"/>
      <c r="Z1255" s="5"/>
    </row>
    <row r="1256" ht="12.0" customHeight="1">
      <c r="A1256" s="92" t="s">
        <v>637</v>
      </c>
      <c r="B1256" s="5"/>
      <c r="C1256" s="205">
        <f>'Resumen Capacidad'!$H$127</f>
        <v>41.53846154</v>
      </c>
      <c r="D1256" s="205">
        <f>'Resumen Capacidad'!$H$127</f>
        <v>41.53846154</v>
      </c>
      <c r="E1256" s="205">
        <f>'Resumen Capacidad'!$H$127</f>
        <v>41.53846154</v>
      </c>
      <c r="F1256" s="205">
        <f>'Resumen Capacidad'!$H$127</f>
        <v>41.53846154</v>
      </c>
      <c r="G1256" s="205">
        <f>'Resumen Capacidad'!$H$127</f>
        <v>41.53846154</v>
      </c>
      <c r="H1256" s="205">
        <f>'Resumen Capacidad'!$H$127</f>
        <v>41.53846154</v>
      </c>
      <c r="I1256" s="205">
        <f>'Resumen Capacidad'!$H$127</f>
        <v>41.53846154</v>
      </c>
      <c r="J1256" s="205">
        <f>'Resumen Capacidad'!$H$127</f>
        <v>41.53846154</v>
      </c>
      <c r="K1256" s="205">
        <f>'Resumen Capacidad'!$H$127</f>
        <v>41.53846154</v>
      </c>
      <c r="L1256" s="205">
        <f>'Resumen Capacidad'!$H$127</f>
        <v>41.53846154</v>
      </c>
      <c r="M1256" s="205">
        <f>'Resumen Capacidad'!$H$127</f>
        <v>41.53846154</v>
      </c>
      <c r="N1256" s="205">
        <f>'Resumen Capacidad'!$H$127</f>
        <v>41.53846154</v>
      </c>
      <c r="O1256" s="5"/>
      <c r="P1256" s="5"/>
      <c r="Q1256" s="5"/>
      <c r="R1256" s="5"/>
      <c r="S1256" s="5"/>
      <c r="T1256" s="5"/>
      <c r="U1256" s="5"/>
      <c r="V1256" s="5"/>
      <c r="W1256" s="5"/>
      <c r="X1256" s="5"/>
      <c r="Y1256" s="5"/>
      <c r="Z1256" s="5"/>
    </row>
    <row r="1257" ht="12.0" customHeight="1">
      <c r="A1257" s="92" t="s">
        <v>640</v>
      </c>
      <c r="B1257" s="5"/>
      <c r="C1257" s="204">
        <f>'Resumen Capacidad'!$H$45*'Resumen Capacidad'!$H$81</f>
        <v>1</v>
      </c>
      <c r="D1257" s="204">
        <f>'Resumen Capacidad'!$H$45*'Resumen Capacidad'!$H$81</f>
        <v>1</v>
      </c>
      <c r="E1257" s="204">
        <f>'Resumen Capacidad'!$H$45*'Resumen Capacidad'!$H$81</f>
        <v>1</v>
      </c>
      <c r="F1257" s="204">
        <f>'Resumen Capacidad'!$H$45*'Resumen Capacidad'!$H$81</f>
        <v>1</v>
      </c>
      <c r="G1257" s="204">
        <f>'Resumen Capacidad'!$H$45*'Resumen Capacidad'!$H$81</f>
        <v>1</v>
      </c>
      <c r="H1257" s="204">
        <f>'Resumen Capacidad'!$H$45*'Resumen Capacidad'!$H$81</f>
        <v>1</v>
      </c>
      <c r="I1257" s="204">
        <f>'Resumen Capacidad'!$H$45*'Resumen Capacidad'!$H$81</f>
        <v>1</v>
      </c>
      <c r="J1257" s="204">
        <f>'Resumen Capacidad'!$H$45*'Resumen Capacidad'!$H$81</f>
        <v>1</v>
      </c>
      <c r="K1257" s="204">
        <f>'Resumen Capacidad'!$H$45*'Resumen Capacidad'!$H$81</f>
        <v>1</v>
      </c>
      <c r="L1257" s="204">
        <f>'Resumen Capacidad'!$H$45*'Resumen Capacidad'!$H$81</f>
        <v>1</v>
      </c>
      <c r="M1257" s="204">
        <f>'Resumen Capacidad'!$H$45*'Resumen Capacidad'!$H$81</f>
        <v>1</v>
      </c>
      <c r="N1257" s="204">
        <f>'Resumen Capacidad'!$H$45*'Resumen Capacidad'!$H$81</f>
        <v>1</v>
      </c>
      <c r="O1257" s="5"/>
      <c r="P1257" s="5"/>
      <c r="Q1257" s="5"/>
      <c r="R1257" s="5"/>
      <c r="S1257" s="5"/>
      <c r="T1257" s="5"/>
      <c r="U1257" s="5"/>
      <c r="V1257" s="5"/>
      <c r="W1257" s="5"/>
      <c r="X1257" s="5"/>
      <c r="Y1257" s="5"/>
      <c r="Z1257" s="5"/>
    </row>
    <row r="1258" ht="12.0" customHeight="1">
      <c r="A1258" s="92" t="s">
        <v>642</v>
      </c>
      <c r="B1258" s="5"/>
      <c r="C1258" s="204">
        <f t="shared" ref="C1258:N1258" si="371">C1256*C1257</f>
        <v>41.53846154</v>
      </c>
      <c r="D1258" s="204">
        <f t="shared" si="371"/>
        <v>41.53846154</v>
      </c>
      <c r="E1258" s="204">
        <f t="shared" si="371"/>
        <v>41.53846154</v>
      </c>
      <c r="F1258" s="204">
        <f t="shared" si="371"/>
        <v>41.53846154</v>
      </c>
      <c r="G1258" s="204">
        <f t="shared" si="371"/>
        <v>41.53846154</v>
      </c>
      <c r="H1258" s="204">
        <f t="shared" si="371"/>
        <v>41.53846154</v>
      </c>
      <c r="I1258" s="204">
        <f t="shared" si="371"/>
        <v>41.53846154</v>
      </c>
      <c r="J1258" s="204">
        <f t="shared" si="371"/>
        <v>41.53846154</v>
      </c>
      <c r="K1258" s="204">
        <f t="shared" si="371"/>
        <v>41.53846154</v>
      </c>
      <c r="L1258" s="204">
        <f t="shared" si="371"/>
        <v>41.53846154</v>
      </c>
      <c r="M1258" s="204">
        <f t="shared" si="371"/>
        <v>41.53846154</v>
      </c>
      <c r="N1258" s="204">
        <f t="shared" si="371"/>
        <v>41.53846154</v>
      </c>
      <c r="O1258" s="5"/>
      <c r="P1258" s="5"/>
      <c r="Q1258" s="5"/>
      <c r="R1258" s="5"/>
      <c r="S1258" s="5"/>
      <c r="T1258" s="5"/>
      <c r="U1258" s="5"/>
      <c r="V1258" s="5"/>
      <c r="W1258" s="5"/>
      <c r="X1258" s="5"/>
      <c r="Y1258" s="5"/>
      <c r="Z1258" s="5"/>
    </row>
    <row r="1259" ht="12.0" customHeight="1">
      <c r="A1259" s="92" t="s">
        <v>643</v>
      </c>
      <c r="B1259" s="5"/>
      <c r="C1259" s="206">
        <f t="shared" ref="C1259:N1259" si="372">IF(C1258=0,0,C1255/C1258)</f>
        <v>0.8231262963</v>
      </c>
      <c r="D1259" s="206">
        <f t="shared" si="372"/>
        <v>0.6425948148</v>
      </c>
      <c r="E1259" s="206">
        <f t="shared" si="372"/>
        <v>0.6371797531</v>
      </c>
      <c r="F1259" s="206">
        <f t="shared" si="372"/>
        <v>0.6208631481</v>
      </c>
      <c r="G1259" s="206">
        <f t="shared" si="372"/>
        <v>0.5852006173</v>
      </c>
      <c r="H1259" s="206">
        <f t="shared" si="372"/>
        <v>0.5606065432</v>
      </c>
      <c r="I1259" s="206">
        <f t="shared" si="372"/>
        <v>0.6015172222</v>
      </c>
      <c r="J1259" s="206">
        <f t="shared" si="372"/>
        <v>0.6015172222</v>
      </c>
      <c r="K1259" s="206">
        <f t="shared" si="372"/>
        <v>0.5988931481</v>
      </c>
      <c r="L1259" s="206">
        <f t="shared" si="372"/>
        <v>0.5742990741</v>
      </c>
      <c r="M1259" s="206">
        <f t="shared" si="372"/>
        <v>0.5523290741</v>
      </c>
      <c r="N1259" s="206">
        <f t="shared" si="372"/>
        <v>0.8591940741</v>
      </c>
      <c r="O1259" s="5"/>
      <c r="P1259" s="5"/>
      <c r="Q1259" s="5"/>
      <c r="R1259" s="5"/>
      <c r="S1259" s="5"/>
      <c r="T1259" s="5"/>
      <c r="U1259" s="5"/>
      <c r="V1259" s="5"/>
      <c r="W1259" s="5"/>
      <c r="X1259" s="5"/>
      <c r="Y1259" s="5"/>
      <c r="Z1259" s="5"/>
    </row>
    <row r="1260" ht="12.0" customHeight="1">
      <c r="A1260" s="201" t="s">
        <v>698</v>
      </c>
      <c r="B1260" s="202"/>
      <c r="C1260" s="202"/>
      <c r="D1260" s="202"/>
      <c r="E1260" s="202"/>
      <c r="F1260" s="202"/>
      <c r="G1260" s="202"/>
      <c r="H1260" s="202"/>
      <c r="I1260" s="202"/>
      <c r="J1260" s="202"/>
      <c r="K1260" s="202"/>
      <c r="L1260" s="202"/>
      <c r="M1260" s="202"/>
      <c r="N1260" s="202"/>
      <c r="O1260" s="5"/>
      <c r="P1260" s="5"/>
      <c r="Q1260" s="5"/>
      <c r="R1260" s="5"/>
      <c r="S1260" s="5"/>
      <c r="T1260" s="5"/>
      <c r="U1260" s="5"/>
      <c r="V1260" s="5"/>
      <c r="W1260" s="5"/>
      <c r="X1260" s="5"/>
      <c r="Y1260" s="5"/>
      <c r="Z1260" s="5"/>
    </row>
    <row r="1261" ht="12.0" customHeight="1">
      <c r="A1261" s="201" t="s">
        <v>630</v>
      </c>
      <c r="B1261" s="201" t="s">
        <v>631</v>
      </c>
      <c r="C1261" s="201" t="s">
        <v>3</v>
      </c>
      <c r="D1261" s="201" t="s">
        <v>4</v>
      </c>
      <c r="E1261" s="201" t="s">
        <v>5</v>
      </c>
      <c r="F1261" s="201" t="s">
        <v>6</v>
      </c>
      <c r="G1261" s="201" t="s">
        <v>7</v>
      </c>
      <c r="H1261" s="201" t="s">
        <v>8</v>
      </c>
      <c r="I1261" s="201" t="s">
        <v>9</v>
      </c>
      <c r="J1261" s="201" t="s">
        <v>10</v>
      </c>
      <c r="K1261" s="201" t="s">
        <v>11</v>
      </c>
      <c r="L1261" s="201" t="s">
        <v>12</v>
      </c>
      <c r="M1261" s="201" t="s">
        <v>13</v>
      </c>
      <c r="N1261" s="201" t="s">
        <v>14</v>
      </c>
      <c r="O1261" s="5"/>
      <c r="P1261" s="5"/>
      <c r="Q1261" s="5"/>
      <c r="R1261" s="5"/>
      <c r="S1261" s="5"/>
      <c r="T1261" s="5"/>
      <c r="U1261" s="5"/>
      <c r="V1261" s="5"/>
      <c r="W1261" s="5"/>
      <c r="X1261" s="5"/>
      <c r="Y1261" s="5"/>
      <c r="Z1261" s="5"/>
    </row>
    <row r="1262" ht="12.0" customHeight="1">
      <c r="A1262" s="92" t="s">
        <v>694</v>
      </c>
      <c r="B1262" s="92" t="s">
        <v>633</v>
      </c>
      <c r="C1262" s="203">
        <f>SUM('2032'!B6:B9)+Parametros!$B$72*C2603</f>
        <v>5128.71</v>
      </c>
      <c r="D1262" s="203">
        <f>SUM('2032'!C6:C9)+Parametros!$B$72*D2603</f>
        <v>4003.86</v>
      </c>
      <c r="E1262" s="203">
        <f>SUM('2032'!D6:D9)+Parametros!$B$72*E2603</f>
        <v>3970.12</v>
      </c>
      <c r="F1262" s="203">
        <f>SUM('2032'!E6:E9)+Parametros!$B$72*F2603</f>
        <v>3868.455</v>
      </c>
      <c r="G1262" s="203">
        <f>SUM('2032'!F6:F9)+Parametros!$B$72*G2603</f>
        <v>3646.25</v>
      </c>
      <c r="H1262" s="203">
        <f>SUM('2032'!G6:G9)+Parametros!$B$72*H2603</f>
        <v>3493.01</v>
      </c>
      <c r="I1262" s="203">
        <f>SUM('2032'!H6:H9)+Parametros!$B$72*I2603</f>
        <v>3747.915</v>
      </c>
      <c r="J1262" s="203">
        <f>SUM('2032'!I6:I9)+Parametros!$B$72*J2603</f>
        <v>3747.915</v>
      </c>
      <c r="K1262" s="203">
        <f>SUM('2032'!J6:J9)+Parametros!$B$72*K2603</f>
        <v>3731.565</v>
      </c>
      <c r="L1262" s="203">
        <f>SUM('2032'!K6:K9)+Parametros!$B$72*L2603</f>
        <v>3578.325</v>
      </c>
      <c r="M1262" s="203">
        <f>SUM('2032'!L6:L9)+Parametros!$B$72*M2603</f>
        <v>3441.435</v>
      </c>
      <c r="N1262" s="203">
        <f>SUM('2032'!M6:M9)+Parametros!$B$72*N2603</f>
        <v>5353.44</v>
      </c>
      <c r="O1262" s="5"/>
      <c r="P1262" s="5"/>
      <c r="Q1262" s="5"/>
      <c r="R1262" s="5"/>
      <c r="S1262" s="5"/>
      <c r="T1262" s="5"/>
      <c r="U1262" s="5"/>
      <c r="V1262" s="5"/>
      <c r="W1262" s="5"/>
      <c r="X1262" s="5"/>
      <c r="Y1262" s="5"/>
      <c r="Z1262" s="5"/>
    </row>
    <row r="1263" ht="12.0" customHeight="1">
      <c r="A1263" s="5"/>
      <c r="B1263" s="92" t="s">
        <v>634</v>
      </c>
      <c r="C1263" s="204">
        <f>C1262/Parametros!$B$37</f>
        <v>256.4355</v>
      </c>
      <c r="D1263" s="204">
        <f>D1262/Parametros!$B$37</f>
        <v>200.193</v>
      </c>
      <c r="E1263" s="204">
        <f>E1262/Parametros!$B$37</f>
        <v>198.506</v>
      </c>
      <c r="F1263" s="204">
        <f>F1262/Parametros!$B$37</f>
        <v>193.42275</v>
      </c>
      <c r="G1263" s="204">
        <f>G1262/Parametros!$B$37</f>
        <v>182.3125</v>
      </c>
      <c r="H1263" s="204">
        <f>H1262/Parametros!$B$37</f>
        <v>174.6505</v>
      </c>
      <c r="I1263" s="204">
        <f>I1262/Parametros!$B$37</f>
        <v>187.39575</v>
      </c>
      <c r="J1263" s="204">
        <f>J1262/Parametros!$B$37</f>
        <v>187.39575</v>
      </c>
      <c r="K1263" s="204">
        <f>K1262/Parametros!$B$37</f>
        <v>186.57825</v>
      </c>
      <c r="L1263" s="204">
        <f>L1262/Parametros!$B$37</f>
        <v>178.91625</v>
      </c>
      <c r="M1263" s="204">
        <f>M1262/Parametros!$B$37</f>
        <v>172.07175</v>
      </c>
      <c r="N1263" s="204">
        <f>N1262/Parametros!$B$37</f>
        <v>267.672</v>
      </c>
      <c r="O1263" s="5"/>
      <c r="P1263" s="5"/>
      <c r="Q1263" s="5"/>
      <c r="R1263" s="5"/>
      <c r="S1263" s="5"/>
      <c r="T1263" s="5"/>
      <c r="U1263" s="5"/>
      <c r="V1263" s="5"/>
      <c r="W1263" s="5"/>
      <c r="X1263" s="5"/>
      <c r="Y1263" s="5"/>
      <c r="Z1263" s="5"/>
    </row>
    <row r="1264" ht="12.0" customHeight="1">
      <c r="A1264" s="5"/>
      <c r="B1264" s="92" t="s">
        <v>635</v>
      </c>
      <c r="C1264" s="204">
        <f>C1263/Parametros!$J$37</f>
        <v>34.1914</v>
      </c>
      <c r="D1264" s="204">
        <f>D1263/Parametros!$J$37</f>
        <v>26.6924</v>
      </c>
      <c r="E1264" s="204">
        <f>E1263/Parametros!$J$37</f>
        <v>26.46746667</v>
      </c>
      <c r="F1264" s="204">
        <f>F1263/Parametros!$J$37</f>
        <v>25.7897</v>
      </c>
      <c r="G1264" s="204">
        <f>G1263/Parametros!$J$37</f>
        <v>24.30833333</v>
      </c>
      <c r="H1264" s="204">
        <f>H1263/Parametros!$J$37</f>
        <v>23.28673333</v>
      </c>
      <c r="I1264" s="204">
        <f>I1263/Parametros!$J$37</f>
        <v>24.9861</v>
      </c>
      <c r="J1264" s="204">
        <f>J1263/Parametros!$J$37</f>
        <v>24.9861</v>
      </c>
      <c r="K1264" s="204">
        <f>K1263/Parametros!$J$37</f>
        <v>24.8771</v>
      </c>
      <c r="L1264" s="204">
        <f>L1263/Parametros!$J$37</f>
        <v>23.8555</v>
      </c>
      <c r="M1264" s="204">
        <f>M1263/Parametros!$J$37</f>
        <v>22.9429</v>
      </c>
      <c r="N1264" s="204">
        <f>N1263/Parametros!$J$37</f>
        <v>35.6896</v>
      </c>
      <c r="O1264" s="5"/>
      <c r="P1264" s="5"/>
      <c r="Q1264" s="5"/>
      <c r="R1264" s="5"/>
      <c r="S1264" s="5"/>
      <c r="T1264" s="5"/>
      <c r="U1264" s="5"/>
      <c r="V1264" s="5"/>
      <c r="W1264" s="5"/>
      <c r="X1264" s="5"/>
      <c r="Y1264" s="5"/>
      <c r="Z1264" s="5"/>
    </row>
    <row r="1265" ht="12.0" customHeight="1">
      <c r="A1265" s="92" t="s">
        <v>636</v>
      </c>
      <c r="B1265" s="5"/>
      <c r="C1265" s="204">
        <f t="shared" ref="C1265:N1265" si="373">C1264</f>
        <v>34.1914</v>
      </c>
      <c r="D1265" s="204">
        <f t="shared" si="373"/>
        <v>26.6924</v>
      </c>
      <c r="E1265" s="204">
        <f t="shared" si="373"/>
        <v>26.46746667</v>
      </c>
      <c r="F1265" s="204">
        <f t="shared" si="373"/>
        <v>25.7897</v>
      </c>
      <c r="G1265" s="204">
        <f t="shared" si="373"/>
        <v>24.30833333</v>
      </c>
      <c r="H1265" s="204">
        <f t="shared" si="373"/>
        <v>23.28673333</v>
      </c>
      <c r="I1265" s="204">
        <f t="shared" si="373"/>
        <v>24.9861</v>
      </c>
      <c r="J1265" s="204">
        <f t="shared" si="373"/>
        <v>24.9861</v>
      </c>
      <c r="K1265" s="204">
        <f t="shared" si="373"/>
        <v>24.8771</v>
      </c>
      <c r="L1265" s="204">
        <f t="shared" si="373"/>
        <v>23.8555</v>
      </c>
      <c r="M1265" s="204">
        <f t="shared" si="373"/>
        <v>22.9429</v>
      </c>
      <c r="N1265" s="204">
        <f t="shared" si="373"/>
        <v>35.6896</v>
      </c>
      <c r="O1265" s="5"/>
      <c r="P1265" s="5"/>
      <c r="Q1265" s="5"/>
      <c r="R1265" s="5"/>
      <c r="S1265" s="5"/>
      <c r="T1265" s="5"/>
      <c r="U1265" s="5"/>
      <c r="V1265" s="5"/>
      <c r="W1265" s="5"/>
      <c r="X1265" s="5"/>
      <c r="Y1265" s="5"/>
      <c r="Z1265" s="5"/>
    </row>
    <row r="1266" ht="12.0" customHeight="1">
      <c r="A1266" s="92" t="s">
        <v>637</v>
      </c>
      <c r="B1266" s="5"/>
      <c r="C1266" s="205">
        <f>'Resumen Capacidad'!$H$128</f>
        <v>45.81818182</v>
      </c>
      <c r="D1266" s="205">
        <f>'Resumen Capacidad'!$H$128</f>
        <v>45.81818182</v>
      </c>
      <c r="E1266" s="205">
        <f>'Resumen Capacidad'!$H$128</f>
        <v>45.81818182</v>
      </c>
      <c r="F1266" s="205">
        <f>'Resumen Capacidad'!$H$128</f>
        <v>45.81818182</v>
      </c>
      <c r="G1266" s="205">
        <f>'Resumen Capacidad'!$H$128</f>
        <v>45.81818182</v>
      </c>
      <c r="H1266" s="205">
        <f>'Resumen Capacidad'!$H$128</f>
        <v>45.81818182</v>
      </c>
      <c r="I1266" s="205">
        <f>'Resumen Capacidad'!$H$128</f>
        <v>45.81818182</v>
      </c>
      <c r="J1266" s="205">
        <f>'Resumen Capacidad'!$H$128</f>
        <v>45.81818182</v>
      </c>
      <c r="K1266" s="205">
        <f>'Resumen Capacidad'!$H$128</f>
        <v>45.81818182</v>
      </c>
      <c r="L1266" s="205">
        <f>'Resumen Capacidad'!$H$128</f>
        <v>45.81818182</v>
      </c>
      <c r="M1266" s="205">
        <f>'Resumen Capacidad'!$H$128</f>
        <v>45.81818182</v>
      </c>
      <c r="N1266" s="205">
        <f>'Resumen Capacidad'!$H$128</f>
        <v>45.81818182</v>
      </c>
      <c r="O1266" s="5"/>
      <c r="P1266" s="5"/>
      <c r="Q1266" s="5"/>
      <c r="R1266" s="5"/>
      <c r="S1266" s="5"/>
      <c r="T1266" s="5"/>
      <c r="U1266" s="5"/>
      <c r="V1266" s="5"/>
      <c r="W1266" s="5"/>
      <c r="X1266" s="5"/>
      <c r="Y1266" s="5"/>
      <c r="Z1266" s="5"/>
    </row>
    <row r="1267" ht="12.0" customHeight="1">
      <c r="A1267" s="92" t="s">
        <v>640</v>
      </c>
      <c r="B1267" s="5"/>
      <c r="C1267" s="204">
        <f>'Resumen Capacidad'!$H$46*'Resumen Capacidad'!$H$82</f>
        <v>1</v>
      </c>
      <c r="D1267" s="204">
        <f>'Resumen Capacidad'!$H$46*'Resumen Capacidad'!$H$82</f>
        <v>1</v>
      </c>
      <c r="E1267" s="204">
        <f>'Resumen Capacidad'!$H$46*'Resumen Capacidad'!$H$82</f>
        <v>1</v>
      </c>
      <c r="F1267" s="204">
        <f>'Resumen Capacidad'!$H$46*'Resumen Capacidad'!$H$82</f>
        <v>1</v>
      </c>
      <c r="G1267" s="204">
        <f>'Resumen Capacidad'!$H$46*'Resumen Capacidad'!$H$82</f>
        <v>1</v>
      </c>
      <c r="H1267" s="204">
        <f>'Resumen Capacidad'!$H$46*'Resumen Capacidad'!$H$82</f>
        <v>1</v>
      </c>
      <c r="I1267" s="204">
        <f>'Resumen Capacidad'!$H$46*'Resumen Capacidad'!$H$82</f>
        <v>1</v>
      </c>
      <c r="J1267" s="204">
        <f>'Resumen Capacidad'!$H$46*'Resumen Capacidad'!$H$82</f>
        <v>1</v>
      </c>
      <c r="K1267" s="204">
        <f>'Resumen Capacidad'!$H$46*'Resumen Capacidad'!$H$82</f>
        <v>1</v>
      </c>
      <c r="L1267" s="204">
        <f>'Resumen Capacidad'!$H$46*'Resumen Capacidad'!$H$82</f>
        <v>1</v>
      </c>
      <c r="M1267" s="204">
        <f>'Resumen Capacidad'!$H$46*'Resumen Capacidad'!$H$82</f>
        <v>1</v>
      </c>
      <c r="N1267" s="204">
        <f>'Resumen Capacidad'!$H$46*'Resumen Capacidad'!$H$82</f>
        <v>1</v>
      </c>
      <c r="O1267" s="5"/>
      <c r="P1267" s="5"/>
      <c r="Q1267" s="5"/>
      <c r="R1267" s="5"/>
      <c r="S1267" s="5"/>
      <c r="T1267" s="5"/>
      <c r="U1267" s="5"/>
      <c r="V1267" s="5"/>
      <c r="W1267" s="5"/>
      <c r="X1267" s="5"/>
      <c r="Y1267" s="5"/>
      <c r="Z1267" s="5"/>
    </row>
    <row r="1268" ht="12.0" customHeight="1">
      <c r="A1268" s="92" t="s">
        <v>642</v>
      </c>
      <c r="B1268" s="5"/>
      <c r="C1268" s="204">
        <f t="shared" ref="C1268:N1268" si="374">C1266*C1267</f>
        <v>45.81818182</v>
      </c>
      <c r="D1268" s="204">
        <f t="shared" si="374"/>
        <v>45.81818182</v>
      </c>
      <c r="E1268" s="204">
        <f t="shared" si="374"/>
        <v>45.81818182</v>
      </c>
      <c r="F1268" s="204">
        <f t="shared" si="374"/>
        <v>45.81818182</v>
      </c>
      <c r="G1268" s="204">
        <f t="shared" si="374"/>
        <v>45.81818182</v>
      </c>
      <c r="H1268" s="204">
        <f t="shared" si="374"/>
        <v>45.81818182</v>
      </c>
      <c r="I1268" s="204">
        <f t="shared" si="374"/>
        <v>45.81818182</v>
      </c>
      <c r="J1268" s="204">
        <f t="shared" si="374"/>
        <v>45.81818182</v>
      </c>
      <c r="K1268" s="204">
        <f t="shared" si="374"/>
        <v>45.81818182</v>
      </c>
      <c r="L1268" s="204">
        <f t="shared" si="374"/>
        <v>45.81818182</v>
      </c>
      <c r="M1268" s="204">
        <f t="shared" si="374"/>
        <v>45.81818182</v>
      </c>
      <c r="N1268" s="204">
        <f t="shared" si="374"/>
        <v>45.81818182</v>
      </c>
      <c r="O1268" s="5"/>
      <c r="P1268" s="5"/>
      <c r="Q1268" s="5"/>
      <c r="R1268" s="5"/>
      <c r="S1268" s="5"/>
      <c r="T1268" s="5"/>
      <c r="U1268" s="5"/>
      <c r="V1268" s="5"/>
      <c r="W1268" s="5"/>
      <c r="X1268" s="5"/>
      <c r="Y1268" s="5"/>
      <c r="Z1268" s="5"/>
    </row>
    <row r="1269" ht="12.0" customHeight="1">
      <c r="A1269" s="92" t="s">
        <v>643</v>
      </c>
      <c r="B1269" s="5"/>
      <c r="C1269" s="206">
        <f t="shared" ref="C1269:N1269" si="375">IF(C1268=0,0,C1265/C1268)</f>
        <v>0.746240873</v>
      </c>
      <c r="D1269" s="206">
        <f t="shared" si="375"/>
        <v>0.5825722222</v>
      </c>
      <c r="E1269" s="206">
        <f t="shared" si="375"/>
        <v>0.577662963</v>
      </c>
      <c r="F1269" s="206">
        <f t="shared" si="375"/>
        <v>0.5628704365</v>
      </c>
      <c r="G1269" s="206">
        <f t="shared" si="375"/>
        <v>0.5305390212</v>
      </c>
      <c r="H1269" s="206">
        <f t="shared" si="375"/>
        <v>0.5082421958</v>
      </c>
      <c r="I1269" s="206">
        <f t="shared" si="375"/>
        <v>0.5453315476</v>
      </c>
      <c r="J1269" s="206">
        <f t="shared" si="375"/>
        <v>0.5453315476</v>
      </c>
      <c r="K1269" s="206">
        <f t="shared" si="375"/>
        <v>0.5429525794</v>
      </c>
      <c r="L1269" s="206">
        <f t="shared" si="375"/>
        <v>0.520655754</v>
      </c>
      <c r="M1269" s="206">
        <f t="shared" si="375"/>
        <v>0.5007378968</v>
      </c>
      <c r="N1269" s="206">
        <f t="shared" si="375"/>
        <v>0.7789396825</v>
      </c>
      <c r="O1269" s="5"/>
      <c r="P1269" s="5"/>
      <c r="Q1269" s="5"/>
      <c r="R1269" s="5"/>
      <c r="S1269" s="5"/>
      <c r="T1269" s="5"/>
      <c r="U1269" s="5"/>
      <c r="V1269" s="5"/>
      <c r="W1269" s="5"/>
      <c r="X1269" s="5"/>
      <c r="Y1269" s="5"/>
      <c r="Z1269" s="5"/>
    </row>
    <row r="1270" ht="12.0" customHeight="1">
      <c r="A1270" s="201" t="s">
        <v>699</v>
      </c>
      <c r="B1270" s="202"/>
      <c r="C1270" s="202"/>
      <c r="D1270" s="202"/>
      <c r="E1270" s="202"/>
      <c r="F1270" s="202"/>
      <c r="G1270" s="202"/>
      <c r="H1270" s="202"/>
      <c r="I1270" s="202"/>
      <c r="J1270" s="202"/>
      <c r="K1270" s="202"/>
      <c r="L1270" s="202"/>
      <c r="M1270" s="202"/>
      <c r="N1270" s="202"/>
      <c r="O1270" s="5"/>
      <c r="P1270" s="5"/>
      <c r="Q1270" s="5"/>
      <c r="R1270" s="5"/>
      <c r="S1270" s="5"/>
      <c r="T1270" s="5"/>
      <c r="U1270" s="5"/>
      <c r="V1270" s="5"/>
      <c r="W1270" s="5"/>
      <c r="X1270" s="5"/>
      <c r="Y1270" s="5"/>
      <c r="Z1270" s="5"/>
    </row>
    <row r="1271" ht="12.0" customHeight="1">
      <c r="A1271" s="201" t="s">
        <v>630</v>
      </c>
      <c r="B1271" s="201" t="s">
        <v>631</v>
      </c>
      <c r="C1271" s="201" t="s">
        <v>3</v>
      </c>
      <c r="D1271" s="201" t="s">
        <v>4</v>
      </c>
      <c r="E1271" s="201" t="s">
        <v>5</v>
      </c>
      <c r="F1271" s="201" t="s">
        <v>6</v>
      </c>
      <c r="G1271" s="201" t="s">
        <v>7</v>
      </c>
      <c r="H1271" s="201" t="s">
        <v>8</v>
      </c>
      <c r="I1271" s="201" t="s">
        <v>9</v>
      </c>
      <c r="J1271" s="201" t="s">
        <v>10</v>
      </c>
      <c r="K1271" s="201" t="s">
        <v>11</v>
      </c>
      <c r="L1271" s="201" t="s">
        <v>12</v>
      </c>
      <c r="M1271" s="201" t="s">
        <v>13</v>
      </c>
      <c r="N1271" s="201" t="s">
        <v>14</v>
      </c>
      <c r="O1271" s="5"/>
      <c r="P1271" s="5"/>
      <c r="Q1271" s="5"/>
      <c r="R1271" s="5"/>
      <c r="S1271" s="5"/>
      <c r="T1271" s="5"/>
      <c r="U1271" s="5"/>
      <c r="V1271" s="5"/>
      <c r="W1271" s="5"/>
      <c r="X1271" s="5"/>
      <c r="Y1271" s="5"/>
      <c r="Z1271" s="5"/>
    </row>
    <row r="1272" ht="12.0" customHeight="1">
      <c r="A1272" s="92" t="s">
        <v>632</v>
      </c>
      <c r="B1272" s="92" t="s">
        <v>633</v>
      </c>
      <c r="C1272" s="203">
        <f>SUM('2032'!B6:B9)+SUM('2032'!B17:B20)</f>
        <v>19483.38</v>
      </c>
      <c r="D1272" s="203">
        <f>SUM('2032'!C6:C9)+SUM('2032'!C17:C20)</f>
        <v>14856.66</v>
      </c>
      <c r="E1272" s="203">
        <f>SUM('2032'!D6:D9)+SUM('2032'!D17:D20)</f>
        <v>13884.045</v>
      </c>
      <c r="F1272" s="203">
        <f>SUM('2032'!E6:E9)+SUM('2032'!E17:E20)</f>
        <v>13275.675</v>
      </c>
      <c r="G1272" s="203">
        <f>SUM('2032'!F6:F9)+SUM('2032'!F17:F20)</f>
        <v>12423.18</v>
      </c>
      <c r="H1272" s="203">
        <f>SUM('2032'!G6:G9)+SUM('2032'!G17:G20)</f>
        <v>12179.055</v>
      </c>
      <c r="I1272" s="203">
        <f>SUM('2032'!H6:H9)+SUM('2032'!H17:H20)</f>
        <v>13031.55</v>
      </c>
      <c r="J1272" s="203">
        <f>SUM('2032'!I6:I9)+SUM('2032'!I17:I20)</f>
        <v>13031.55</v>
      </c>
      <c r="K1272" s="203">
        <f>SUM('2032'!J6:J9)+SUM('2032'!J17:J20)</f>
        <v>13031.55</v>
      </c>
      <c r="L1272" s="203">
        <f>SUM('2032'!K6:K9)+SUM('2032'!K17:K20)</f>
        <v>12787.425</v>
      </c>
      <c r="M1272" s="203">
        <f>SUM('2032'!L6:L9)+SUM('2032'!L17:L20)</f>
        <v>12543.3</v>
      </c>
      <c r="N1272" s="203">
        <f>SUM('2032'!M6:M9)+SUM('2032'!M17:M20)</f>
        <v>19971.63</v>
      </c>
      <c r="O1272" s="5"/>
      <c r="P1272" s="5"/>
      <c r="Q1272" s="5"/>
      <c r="R1272" s="5"/>
      <c r="S1272" s="5"/>
      <c r="T1272" s="5"/>
      <c r="U1272" s="5"/>
      <c r="V1272" s="5"/>
      <c r="W1272" s="5"/>
      <c r="X1272" s="5"/>
      <c r="Y1272" s="5"/>
      <c r="Z1272" s="5"/>
    </row>
    <row r="1273" ht="12.0" customHeight="1">
      <c r="A1273" s="5"/>
      <c r="B1273" s="92" t="s">
        <v>634</v>
      </c>
      <c r="C1273" s="204">
        <f>C1272/Parametros!$B$37</f>
        <v>974.169</v>
      </c>
      <c r="D1273" s="204">
        <f>D1272/Parametros!$B$37</f>
        <v>742.833</v>
      </c>
      <c r="E1273" s="204">
        <f>E1272/Parametros!$B$37</f>
        <v>694.20225</v>
      </c>
      <c r="F1273" s="204">
        <f>F1272/Parametros!$B$37</f>
        <v>663.78375</v>
      </c>
      <c r="G1273" s="204">
        <f>G1272/Parametros!$B$37</f>
        <v>621.159</v>
      </c>
      <c r="H1273" s="204">
        <f>H1272/Parametros!$B$37</f>
        <v>608.95275</v>
      </c>
      <c r="I1273" s="204">
        <f>I1272/Parametros!$B$37</f>
        <v>651.5775</v>
      </c>
      <c r="J1273" s="204">
        <f>J1272/Parametros!$B$37</f>
        <v>651.5775</v>
      </c>
      <c r="K1273" s="204">
        <f>K1272/Parametros!$B$37</f>
        <v>651.5775</v>
      </c>
      <c r="L1273" s="204">
        <f>L1272/Parametros!$B$37</f>
        <v>639.37125</v>
      </c>
      <c r="M1273" s="204">
        <f>M1272/Parametros!$B$37</f>
        <v>627.165</v>
      </c>
      <c r="N1273" s="204">
        <f>N1272/Parametros!$B$37</f>
        <v>998.5815</v>
      </c>
      <c r="O1273" s="5"/>
      <c r="P1273" s="5"/>
      <c r="Q1273" s="5"/>
      <c r="R1273" s="5"/>
      <c r="S1273" s="5"/>
      <c r="T1273" s="5"/>
      <c r="U1273" s="5"/>
      <c r="V1273" s="5"/>
      <c r="W1273" s="5"/>
      <c r="X1273" s="5"/>
      <c r="Y1273" s="5"/>
      <c r="Z1273" s="5"/>
    </row>
    <row r="1274" ht="12.0" customHeight="1">
      <c r="A1274" s="5"/>
      <c r="B1274" s="92" t="s">
        <v>635</v>
      </c>
      <c r="C1274" s="204">
        <f>C1273/Parametros!$J$37</f>
        <v>129.8892</v>
      </c>
      <c r="D1274" s="204">
        <f>D1273/Parametros!$J$37</f>
        <v>99.0444</v>
      </c>
      <c r="E1274" s="204">
        <f>E1273/Parametros!$J$37</f>
        <v>92.5603</v>
      </c>
      <c r="F1274" s="204">
        <f>F1273/Parametros!$J$37</f>
        <v>88.5045</v>
      </c>
      <c r="G1274" s="204">
        <f>G1273/Parametros!$J$37</f>
        <v>82.8212</v>
      </c>
      <c r="H1274" s="204">
        <f>H1273/Parametros!$J$37</f>
        <v>81.1937</v>
      </c>
      <c r="I1274" s="204">
        <f>I1273/Parametros!$J$37</f>
        <v>86.877</v>
      </c>
      <c r="J1274" s="204">
        <f>J1273/Parametros!$J$37</f>
        <v>86.877</v>
      </c>
      <c r="K1274" s="204">
        <f>K1273/Parametros!$J$37</f>
        <v>86.877</v>
      </c>
      <c r="L1274" s="204">
        <f>L1273/Parametros!$J$37</f>
        <v>85.2495</v>
      </c>
      <c r="M1274" s="204">
        <f>M1273/Parametros!$J$37</f>
        <v>83.622</v>
      </c>
      <c r="N1274" s="204">
        <f>N1273/Parametros!$J$37</f>
        <v>133.1442</v>
      </c>
      <c r="O1274" s="5"/>
      <c r="P1274" s="5"/>
      <c r="Q1274" s="5"/>
      <c r="R1274" s="5"/>
      <c r="S1274" s="5"/>
      <c r="T1274" s="5"/>
      <c r="U1274" s="5"/>
      <c r="V1274" s="5"/>
      <c r="W1274" s="5"/>
      <c r="X1274" s="5"/>
      <c r="Y1274" s="5"/>
      <c r="Z1274" s="5"/>
    </row>
    <row r="1275" ht="12.0" customHeight="1">
      <c r="A1275" s="92" t="s">
        <v>636</v>
      </c>
      <c r="B1275" s="5"/>
      <c r="C1275" s="204">
        <f t="shared" ref="C1275:N1275" si="376">C1274</f>
        <v>129.8892</v>
      </c>
      <c r="D1275" s="204">
        <f t="shared" si="376"/>
        <v>99.0444</v>
      </c>
      <c r="E1275" s="204">
        <f t="shared" si="376"/>
        <v>92.5603</v>
      </c>
      <c r="F1275" s="204">
        <f t="shared" si="376"/>
        <v>88.5045</v>
      </c>
      <c r="G1275" s="204">
        <f t="shared" si="376"/>
        <v>82.8212</v>
      </c>
      <c r="H1275" s="204">
        <f t="shared" si="376"/>
        <v>81.1937</v>
      </c>
      <c r="I1275" s="204">
        <f t="shared" si="376"/>
        <v>86.877</v>
      </c>
      <c r="J1275" s="204">
        <f t="shared" si="376"/>
        <v>86.877</v>
      </c>
      <c r="K1275" s="204">
        <f t="shared" si="376"/>
        <v>86.877</v>
      </c>
      <c r="L1275" s="204">
        <f t="shared" si="376"/>
        <v>85.2495</v>
      </c>
      <c r="M1275" s="204">
        <f t="shared" si="376"/>
        <v>83.622</v>
      </c>
      <c r="N1275" s="204">
        <f t="shared" si="376"/>
        <v>133.1442</v>
      </c>
      <c r="O1275" s="5"/>
      <c r="P1275" s="5"/>
      <c r="Q1275" s="5"/>
      <c r="R1275" s="5"/>
      <c r="S1275" s="5"/>
      <c r="T1275" s="5"/>
      <c r="U1275" s="5"/>
      <c r="V1275" s="5"/>
      <c r="W1275" s="5"/>
      <c r="X1275" s="5"/>
      <c r="Y1275" s="5"/>
      <c r="Z1275" s="5"/>
    </row>
    <row r="1276" ht="12.0" customHeight="1">
      <c r="A1276" s="92" t="s">
        <v>637</v>
      </c>
      <c r="B1276" s="5"/>
      <c r="C1276" s="205">
        <f>'Resumen Capacidad'!$H$129</f>
        <v>48.81355932</v>
      </c>
      <c r="D1276" s="205">
        <f>'Resumen Capacidad'!$H$129</f>
        <v>48.81355932</v>
      </c>
      <c r="E1276" s="205">
        <f>'Resumen Capacidad'!$H$129</f>
        <v>48.81355932</v>
      </c>
      <c r="F1276" s="205">
        <f>'Resumen Capacidad'!$H$129</f>
        <v>48.81355932</v>
      </c>
      <c r="G1276" s="205">
        <f>'Resumen Capacidad'!$H$129</f>
        <v>48.81355932</v>
      </c>
      <c r="H1276" s="205">
        <f>'Resumen Capacidad'!$H$129</f>
        <v>48.81355932</v>
      </c>
      <c r="I1276" s="205">
        <f>'Resumen Capacidad'!$H$129</f>
        <v>48.81355932</v>
      </c>
      <c r="J1276" s="205">
        <f>'Resumen Capacidad'!$H$129</f>
        <v>48.81355932</v>
      </c>
      <c r="K1276" s="205">
        <f>'Resumen Capacidad'!$H$129</f>
        <v>48.81355932</v>
      </c>
      <c r="L1276" s="205">
        <f>'Resumen Capacidad'!$H$129</f>
        <v>48.81355932</v>
      </c>
      <c r="M1276" s="205">
        <f>'Resumen Capacidad'!$H$129</f>
        <v>48.81355932</v>
      </c>
      <c r="N1276" s="205">
        <f>'Resumen Capacidad'!$H$129</f>
        <v>48.81355932</v>
      </c>
      <c r="O1276" s="5"/>
      <c r="P1276" s="5"/>
      <c r="Q1276" s="5"/>
      <c r="R1276" s="5"/>
      <c r="S1276" s="5"/>
      <c r="T1276" s="5"/>
      <c r="U1276" s="5"/>
      <c r="V1276" s="5"/>
      <c r="W1276" s="5"/>
      <c r="X1276" s="5"/>
      <c r="Y1276" s="5"/>
      <c r="Z1276" s="5"/>
    </row>
    <row r="1277" ht="12.0" customHeight="1">
      <c r="A1277" s="92" t="s">
        <v>640</v>
      </c>
      <c r="B1277" s="5"/>
      <c r="C1277" s="204">
        <f>'Resumen Capacidad'!$H$47*'Resumen Capacidad'!$H$83</f>
        <v>6</v>
      </c>
      <c r="D1277" s="204">
        <f>'Resumen Capacidad'!$H$47*'Resumen Capacidad'!$H$83</f>
        <v>6</v>
      </c>
      <c r="E1277" s="204">
        <f>'Resumen Capacidad'!$H$47*'Resumen Capacidad'!$H$83</f>
        <v>6</v>
      </c>
      <c r="F1277" s="204">
        <f>'Resumen Capacidad'!$H$47*'Resumen Capacidad'!$H$83</f>
        <v>6</v>
      </c>
      <c r="G1277" s="204">
        <f>'Resumen Capacidad'!$H$47*'Resumen Capacidad'!$H$83</f>
        <v>6</v>
      </c>
      <c r="H1277" s="204">
        <f>'Resumen Capacidad'!$H$47*'Resumen Capacidad'!$H$83</f>
        <v>6</v>
      </c>
      <c r="I1277" s="204">
        <f>'Resumen Capacidad'!$H$47*'Resumen Capacidad'!$H$83</f>
        <v>6</v>
      </c>
      <c r="J1277" s="204">
        <f>'Resumen Capacidad'!$H$47*'Resumen Capacidad'!$H$83</f>
        <v>6</v>
      </c>
      <c r="K1277" s="204">
        <f>'Resumen Capacidad'!$H$47*'Resumen Capacidad'!$H$83</f>
        <v>6</v>
      </c>
      <c r="L1277" s="204">
        <f>'Resumen Capacidad'!$H$47*'Resumen Capacidad'!$H$83</f>
        <v>6</v>
      </c>
      <c r="M1277" s="204">
        <f>'Resumen Capacidad'!$H$47*'Resumen Capacidad'!$H$83</f>
        <v>6</v>
      </c>
      <c r="N1277" s="204">
        <f>'Resumen Capacidad'!$H$47*'Resumen Capacidad'!$H$83</f>
        <v>6</v>
      </c>
      <c r="O1277" s="5"/>
      <c r="P1277" s="5"/>
      <c r="Q1277" s="5"/>
      <c r="R1277" s="5"/>
      <c r="S1277" s="5"/>
      <c r="T1277" s="5"/>
      <c r="U1277" s="5"/>
      <c r="V1277" s="5"/>
      <c r="W1277" s="5"/>
      <c r="X1277" s="5"/>
      <c r="Y1277" s="5"/>
      <c r="Z1277" s="5"/>
    </row>
    <row r="1278" ht="12.0" customHeight="1">
      <c r="A1278" s="92" t="s">
        <v>642</v>
      </c>
      <c r="B1278" s="5"/>
      <c r="C1278" s="204">
        <f t="shared" ref="C1278:N1278" si="377">C1276*C1277</f>
        <v>292.8813559</v>
      </c>
      <c r="D1278" s="204">
        <f t="shared" si="377"/>
        <v>292.8813559</v>
      </c>
      <c r="E1278" s="204">
        <f t="shared" si="377"/>
        <v>292.8813559</v>
      </c>
      <c r="F1278" s="204">
        <f t="shared" si="377"/>
        <v>292.8813559</v>
      </c>
      <c r="G1278" s="204">
        <f t="shared" si="377"/>
        <v>292.8813559</v>
      </c>
      <c r="H1278" s="204">
        <f t="shared" si="377"/>
        <v>292.8813559</v>
      </c>
      <c r="I1278" s="204">
        <f t="shared" si="377"/>
        <v>292.8813559</v>
      </c>
      <c r="J1278" s="204">
        <f t="shared" si="377"/>
        <v>292.8813559</v>
      </c>
      <c r="K1278" s="204">
        <f t="shared" si="377"/>
        <v>292.8813559</v>
      </c>
      <c r="L1278" s="204">
        <f t="shared" si="377"/>
        <v>292.8813559</v>
      </c>
      <c r="M1278" s="204">
        <f t="shared" si="377"/>
        <v>292.8813559</v>
      </c>
      <c r="N1278" s="204">
        <f t="shared" si="377"/>
        <v>292.8813559</v>
      </c>
      <c r="O1278" s="5"/>
      <c r="P1278" s="5"/>
      <c r="Q1278" s="5"/>
      <c r="R1278" s="5"/>
      <c r="S1278" s="5"/>
      <c r="T1278" s="5"/>
      <c r="U1278" s="5"/>
      <c r="V1278" s="5"/>
      <c r="W1278" s="5"/>
      <c r="X1278" s="5"/>
      <c r="Y1278" s="5"/>
      <c r="Z1278" s="5"/>
    </row>
    <row r="1279" ht="12.0" customHeight="1">
      <c r="A1279" s="92" t="s">
        <v>643</v>
      </c>
      <c r="B1279" s="5"/>
      <c r="C1279" s="206">
        <f t="shared" ref="C1279:N1279" si="378">IF(C1278=0,0,C1275/C1278)</f>
        <v>0.4434874306</v>
      </c>
      <c r="D1279" s="206">
        <f t="shared" si="378"/>
        <v>0.3381724306</v>
      </c>
      <c r="E1279" s="206">
        <f t="shared" si="378"/>
        <v>0.3160334317</v>
      </c>
      <c r="F1279" s="206">
        <f t="shared" si="378"/>
        <v>0.3021855035</v>
      </c>
      <c r="G1279" s="206">
        <f t="shared" si="378"/>
        <v>0.2827807176</v>
      </c>
      <c r="H1279" s="206">
        <f t="shared" si="378"/>
        <v>0.27722386</v>
      </c>
      <c r="I1279" s="206">
        <f t="shared" si="378"/>
        <v>0.2966286458</v>
      </c>
      <c r="J1279" s="206">
        <f t="shared" si="378"/>
        <v>0.2966286458</v>
      </c>
      <c r="K1279" s="206">
        <f t="shared" si="378"/>
        <v>0.2966286458</v>
      </c>
      <c r="L1279" s="206">
        <f t="shared" si="378"/>
        <v>0.2910717882</v>
      </c>
      <c r="M1279" s="206">
        <f t="shared" si="378"/>
        <v>0.2855149306</v>
      </c>
      <c r="N1279" s="206">
        <f t="shared" si="378"/>
        <v>0.4546011458</v>
      </c>
      <c r="O1279" s="5"/>
      <c r="P1279" s="5"/>
      <c r="Q1279" s="5"/>
      <c r="R1279" s="5"/>
      <c r="S1279" s="5"/>
      <c r="T1279" s="5"/>
      <c r="U1279" s="5"/>
      <c r="V1279" s="5"/>
      <c r="W1279" s="5"/>
      <c r="X1279" s="5"/>
      <c r="Y1279" s="5"/>
      <c r="Z1279" s="5"/>
    </row>
    <row r="1280" ht="12.0" customHeight="1">
      <c r="A1280" s="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row>
    <row r="1281" ht="12.0" customHeight="1">
      <c r="A1281" s="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row>
    <row r="1282" ht="12.0" customHeight="1">
      <c r="A1282" s="207">
        <v>2033.0</v>
      </c>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row>
    <row r="1283" ht="12.0" customHeight="1">
      <c r="A1283" s="201" t="s">
        <v>629</v>
      </c>
      <c r="B1283" s="202"/>
      <c r="C1283" s="202"/>
      <c r="D1283" s="202"/>
      <c r="E1283" s="202"/>
      <c r="F1283" s="202"/>
      <c r="G1283" s="202"/>
      <c r="H1283" s="202"/>
      <c r="I1283" s="202"/>
      <c r="J1283" s="202"/>
      <c r="K1283" s="202"/>
      <c r="L1283" s="202"/>
      <c r="M1283" s="202"/>
      <c r="N1283" s="202"/>
      <c r="O1283" s="5"/>
      <c r="P1283" s="5"/>
      <c r="Q1283" s="5"/>
      <c r="R1283" s="5"/>
      <c r="S1283" s="5"/>
      <c r="T1283" s="5"/>
      <c r="U1283" s="5"/>
      <c r="V1283" s="5"/>
      <c r="W1283" s="5"/>
      <c r="X1283" s="5"/>
      <c r="Y1283" s="5"/>
      <c r="Z1283" s="5"/>
    </row>
    <row r="1284" ht="12.0" customHeight="1">
      <c r="A1284" s="201" t="s">
        <v>630</v>
      </c>
      <c r="B1284" s="201" t="s">
        <v>631</v>
      </c>
      <c r="C1284" s="201" t="s">
        <v>3</v>
      </c>
      <c r="D1284" s="201" t="s">
        <v>4</v>
      </c>
      <c r="E1284" s="201" t="s">
        <v>5</v>
      </c>
      <c r="F1284" s="201" t="s">
        <v>6</v>
      </c>
      <c r="G1284" s="201" t="s">
        <v>7</v>
      </c>
      <c r="H1284" s="201" t="s">
        <v>8</v>
      </c>
      <c r="I1284" s="201" t="s">
        <v>9</v>
      </c>
      <c r="J1284" s="201" t="s">
        <v>10</v>
      </c>
      <c r="K1284" s="201" t="s">
        <v>11</v>
      </c>
      <c r="L1284" s="201" t="s">
        <v>12</v>
      </c>
      <c r="M1284" s="201" t="s">
        <v>13</v>
      </c>
      <c r="N1284" s="201" t="s">
        <v>14</v>
      </c>
      <c r="O1284" s="5"/>
      <c r="P1284" s="5"/>
      <c r="Q1284" s="5"/>
      <c r="R1284" s="5"/>
      <c r="S1284" s="5"/>
      <c r="T1284" s="5"/>
      <c r="U1284" s="5"/>
      <c r="V1284" s="5"/>
      <c r="W1284" s="5"/>
      <c r="X1284" s="5"/>
      <c r="Y1284" s="5"/>
      <c r="Z1284" s="5"/>
    </row>
    <row r="1285" ht="12.0" customHeight="1">
      <c r="A1285" s="92" t="s">
        <v>632</v>
      </c>
      <c r="B1285" s="92" t="s">
        <v>633</v>
      </c>
      <c r="C1285" s="203">
        <f>SUM('2033'!B6:B9)+SUM('2033'!B17:B20)</f>
        <v>24917.86</v>
      </c>
      <c r="D1285" s="203">
        <f>SUM('2033'!C6:C9)+SUM('2033'!C17:C20)</f>
        <v>18997.49</v>
      </c>
      <c r="E1285" s="203">
        <f>SUM('2033'!D6:D9)+SUM('2033'!D17:D20)</f>
        <v>17745.255</v>
      </c>
      <c r="F1285" s="203">
        <f>SUM('2033'!E6:E9)+SUM('2033'!E17:E20)</f>
        <v>16964.59</v>
      </c>
      <c r="G1285" s="203">
        <f>SUM('2033'!F6:F9)+SUM('2033'!F17:F20)</f>
        <v>15874.83</v>
      </c>
      <c r="H1285" s="203">
        <f>SUM('2033'!G6:G9)+SUM('2033'!G17:G20)</f>
        <v>15565.735</v>
      </c>
      <c r="I1285" s="203">
        <f>SUM('2033'!H6:H9)+SUM('2033'!H17:H20)</f>
        <v>16655.495</v>
      </c>
      <c r="J1285" s="203">
        <f>SUM('2033'!I6:I9)+SUM('2033'!I17:I20)</f>
        <v>16655.495</v>
      </c>
      <c r="K1285" s="203">
        <f>SUM('2033'!J6:J9)+SUM('2033'!J17:J20)</f>
        <v>16655.495</v>
      </c>
      <c r="L1285" s="203">
        <f>SUM('2033'!K6:K9)+SUM('2033'!K17:K20)</f>
        <v>16346.4</v>
      </c>
      <c r="M1285" s="203">
        <f>SUM('2033'!L6:L9)+SUM('2033'!L17:L20)</f>
        <v>16037.305</v>
      </c>
      <c r="N1285" s="203">
        <f>SUM('2033'!M6:M9)+SUM('2033'!M17:M20)</f>
        <v>25536.05</v>
      </c>
      <c r="O1285" s="5"/>
      <c r="P1285" s="5"/>
      <c r="Q1285" s="5"/>
      <c r="R1285" s="5"/>
      <c r="S1285" s="5"/>
      <c r="T1285" s="5"/>
      <c r="U1285" s="5"/>
      <c r="V1285" s="5"/>
      <c r="W1285" s="5"/>
      <c r="X1285" s="5"/>
      <c r="Y1285" s="5"/>
      <c r="Z1285" s="5"/>
    </row>
    <row r="1286" ht="12.0" customHeight="1">
      <c r="A1286" s="5"/>
      <c r="B1286" s="92" t="s">
        <v>634</v>
      </c>
      <c r="C1286" s="204">
        <f>C1285/Parametros!$B$37</f>
        <v>1245.893</v>
      </c>
      <c r="D1286" s="204">
        <f>D1285/Parametros!$B$37</f>
        <v>949.8745</v>
      </c>
      <c r="E1286" s="204">
        <f>E1285/Parametros!$B$37</f>
        <v>887.26275</v>
      </c>
      <c r="F1286" s="204">
        <f>F1285/Parametros!$B$37</f>
        <v>848.2295</v>
      </c>
      <c r="G1286" s="204">
        <f>G1285/Parametros!$B$37</f>
        <v>793.7415</v>
      </c>
      <c r="H1286" s="204">
        <f>H1285/Parametros!$B$37</f>
        <v>778.28675</v>
      </c>
      <c r="I1286" s="204">
        <f>I1285/Parametros!$B$37</f>
        <v>832.77475</v>
      </c>
      <c r="J1286" s="204">
        <f>J1285/Parametros!$B$37</f>
        <v>832.77475</v>
      </c>
      <c r="K1286" s="204">
        <f>K1285/Parametros!$B$37</f>
        <v>832.77475</v>
      </c>
      <c r="L1286" s="204">
        <f>L1285/Parametros!$B$37</f>
        <v>817.32</v>
      </c>
      <c r="M1286" s="204">
        <f>M1285/Parametros!$B$37</f>
        <v>801.86525</v>
      </c>
      <c r="N1286" s="204">
        <f>N1285/Parametros!$B$37</f>
        <v>1276.8025</v>
      </c>
      <c r="O1286" s="5"/>
      <c r="P1286" s="5"/>
      <c r="Q1286" s="5"/>
      <c r="R1286" s="5"/>
      <c r="S1286" s="5"/>
      <c r="T1286" s="5"/>
      <c r="U1286" s="5"/>
      <c r="V1286" s="5"/>
      <c r="W1286" s="5"/>
      <c r="X1286" s="5"/>
      <c r="Y1286" s="5"/>
      <c r="Z1286" s="5"/>
    </row>
    <row r="1287" ht="12.0" customHeight="1">
      <c r="A1287" s="5"/>
      <c r="B1287" s="92" t="s">
        <v>635</v>
      </c>
      <c r="C1287" s="204">
        <f>C1286/Parametros!$J$37</f>
        <v>166.1190667</v>
      </c>
      <c r="D1287" s="204">
        <f>D1286/Parametros!$J$37</f>
        <v>126.6499333</v>
      </c>
      <c r="E1287" s="204">
        <f>E1286/Parametros!$J$37</f>
        <v>118.3017</v>
      </c>
      <c r="F1287" s="204">
        <f>F1286/Parametros!$J$37</f>
        <v>113.0972667</v>
      </c>
      <c r="G1287" s="204">
        <f>G1286/Parametros!$J$37</f>
        <v>105.8322</v>
      </c>
      <c r="H1287" s="204">
        <f>H1286/Parametros!$J$37</f>
        <v>103.7715667</v>
      </c>
      <c r="I1287" s="204">
        <f>I1286/Parametros!$J$37</f>
        <v>111.0366333</v>
      </c>
      <c r="J1287" s="204">
        <f>J1286/Parametros!$J$37</f>
        <v>111.0366333</v>
      </c>
      <c r="K1287" s="204">
        <f>K1286/Parametros!$J$37</f>
        <v>111.0366333</v>
      </c>
      <c r="L1287" s="204">
        <f>L1286/Parametros!$J$37</f>
        <v>108.976</v>
      </c>
      <c r="M1287" s="204">
        <f>M1286/Parametros!$J$37</f>
        <v>106.9153667</v>
      </c>
      <c r="N1287" s="204">
        <f>N1286/Parametros!$J$37</f>
        <v>170.2403333</v>
      </c>
      <c r="O1287" s="5"/>
      <c r="P1287" s="5"/>
      <c r="Q1287" s="5"/>
      <c r="R1287" s="5"/>
      <c r="S1287" s="5"/>
      <c r="T1287" s="5"/>
      <c r="U1287" s="5"/>
      <c r="V1287" s="5"/>
      <c r="W1287" s="5"/>
      <c r="X1287" s="5"/>
      <c r="Y1287" s="5"/>
      <c r="Z1287" s="5"/>
    </row>
    <row r="1288" ht="12.0" customHeight="1">
      <c r="A1288" s="92" t="s">
        <v>636</v>
      </c>
      <c r="B1288" s="5"/>
      <c r="C1288" s="204">
        <f t="shared" ref="C1288:N1288" si="379">C1287</f>
        <v>166.1190667</v>
      </c>
      <c r="D1288" s="204">
        <f t="shared" si="379"/>
        <v>126.6499333</v>
      </c>
      <c r="E1288" s="204">
        <f t="shared" si="379"/>
        <v>118.3017</v>
      </c>
      <c r="F1288" s="204">
        <f t="shared" si="379"/>
        <v>113.0972667</v>
      </c>
      <c r="G1288" s="204">
        <f t="shared" si="379"/>
        <v>105.8322</v>
      </c>
      <c r="H1288" s="204">
        <f t="shared" si="379"/>
        <v>103.7715667</v>
      </c>
      <c r="I1288" s="204">
        <f t="shared" si="379"/>
        <v>111.0366333</v>
      </c>
      <c r="J1288" s="204">
        <f t="shared" si="379"/>
        <v>111.0366333</v>
      </c>
      <c r="K1288" s="204">
        <f t="shared" si="379"/>
        <v>111.0366333</v>
      </c>
      <c r="L1288" s="204">
        <f t="shared" si="379"/>
        <v>108.976</v>
      </c>
      <c r="M1288" s="204">
        <f t="shared" si="379"/>
        <v>106.9153667</v>
      </c>
      <c r="N1288" s="204">
        <f t="shared" si="379"/>
        <v>170.2403333</v>
      </c>
      <c r="O1288" s="5"/>
      <c r="P1288" s="5"/>
      <c r="Q1288" s="5"/>
      <c r="R1288" s="5"/>
      <c r="S1288" s="5"/>
      <c r="T1288" s="5"/>
      <c r="U1288" s="5"/>
      <c r="V1288" s="5"/>
      <c r="W1288" s="5"/>
      <c r="X1288" s="5"/>
      <c r="Y1288" s="5"/>
      <c r="Z1288" s="5"/>
    </row>
    <row r="1289" ht="12.0" customHeight="1">
      <c r="A1289" s="92" t="s">
        <v>637</v>
      </c>
      <c r="B1289" s="5"/>
      <c r="C1289" s="205">
        <f>'Resumen Capacidad'!$I$111</f>
        <v>68</v>
      </c>
      <c r="D1289" s="205">
        <f>'Resumen Capacidad'!$I$111</f>
        <v>68</v>
      </c>
      <c r="E1289" s="205">
        <f>'Resumen Capacidad'!$I$111</f>
        <v>68</v>
      </c>
      <c r="F1289" s="205">
        <f>'Resumen Capacidad'!$I$111</f>
        <v>68</v>
      </c>
      <c r="G1289" s="205">
        <f>'Resumen Capacidad'!$I$111</f>
        <v>68</v>
      </c>
      <c r="H1289" s="205">
        <f>'Resumen Capacidad'!$I$111</f>
        <v>68</v>
      </c>
      <c r="I1289" s="205">
        <f>'Resumen Capacidad'!$I$111</f>
        <v>68</v>
      </c>
      <c r="J1289" s="205">
        <f>'Resumen Capacidad'!$I$111</f>
        <v>68</v>
      </c>
      <c r="K1289" s="205">
        <f>'Resumen Capacidad'!$I$111</f>
        <v>68</v>
      </c>
      <c r="L1289" s="205">
        <f>'Resumen Capacidad'!$I$111</f>
        <v>68</v>
      </c>
      <c r="M1289" s="205">
        <f>'Resumen Capacidad'!$I$111</f>
        <v>68</v>
      </c>
      <c r="N1289" s="205">
        <f>'Resumen Capacidad'!$I$111</f>
        <v>68</v>
      </c>
      <c r="O1289" s="5"/>
      <c r="P1289" s="5"/>
      <c r="Q1289" s="5"/>
      <c r="R1289" s="5"/>
      <c r="S1289" s="5"/>
      <c r="T1289" s="5"/>
      <c r="U1289" s="5"/>
      <c r="V1289" s="5"/>
      <c r="W1289" s="5"/>
      <c r="X1289" s="5"/>
      <c r="Y1289" s="5"/>
      <c r="Z1289" s="5"/>
    </row>
    <row r="1290" ht="12.0" customHeight="1">
      <c r="A1290" s="92" t="s">
        <v>640</v>
      </c>
      <c r="B1290" s="5"/>
      <c r="C1290" s="204">
        <f>'Resumen Capacidad'!$I$29*'Resumen Capacidad'!$I$65</f>
        <v>4</v>
      </c>
      <c r="D1290" s="204">
        <f>'Resumen Capacidad'!$I$29*'Resumen Capacidad'!$I$65</f>
        <v>4</v>
      </c>
      <c r="E1290" s="204">
        <f>'Resumen Capacidad'!$I$29*'Resumen Capacidad'!$I$65</f>
        <v>4</v>
      </c>
      <c r="F1290" s="204">
        <f>'Resumen Capacidad'!$I$29*'Resumen Capacidad'!$I$65</f>
        <v>4</v>
      </c>
      <c r="G1290" s="204">
        <f>'Resumen Capacidad'!$I$29*'Resumen Capacidad'!$I$65</f>
        <v>4</v>
      </c>
      <c r="H1290" s="204">
        <f>'Resumen Capacidad'!$I$29*'Resumen Capacidad'!$I$65</f>
        <v>4</v>
      </c>
      <c r="I1290" s="204">
        <f>'Resumen Capacidad'!$I$29*'Resumen Capacidad'!$I$65</f>
        <v>4</v>
      </c>
      <c r="J1290" s="204">
        <f>'Resumen Capacidad'!$I$29*'Resumen Capacidad'!$I$65</f>
        <v>4</v>
      </c>
      <c r="K1290" s="204">
        <f>'Resumen Capacidad'!$I$29*'Resumen Capacidad'!$I$65</f>
        <v>4</v>
      </c>
      <c r="L1290" s="204">
        <f>'Resumen Capacidad'!$I$29*'Resumen Capacidad'!$I$65</f>
        <v>4</v>
      </c>
      <c r="M1290" s="204">
        <f>'Resumen Capacidad'!$I$29*'Resumen Capacidad'!$I$65</f>
        <v>4</v>
      </c>
      <c r="N1290" s="204">
        <f>'Resumen Capacidad'!$I$29*'Resumen Capacidad'!$I$65</f>
        <v>4</v>
      </c>
      <c r="O1290" s="5"/>
      <c r="P1290" s="5"/>
      <c r="Q1290" s="5"/>
      <c r="R1290" s="5"/>
      <c r="S1290" s="5"/>
      <c r="T1290" s="5"/>
      <c r="U1290" s="5"/>
      <c r="V1290" s="5"/>
      <c r="W1290" s="5"/>
      <c r="X1290" s="5"/>
      <c r="Y1290" s="5"/>
      <c r="Z1290" s="5"/>
    </row>
    <row r="1291" ht="12.0" customHeight="1">
      <c r="A1291" s="92" t="s">
        <v>642</v>
      </c>
      <c r="B1291" s="5"/>
      <c r="C1291" s="204">
        <f t="shared" ref="C1291:N1291" si="380">C1289*C1290</f>
        <v>272</v>
      </c>
      <c r="D1291" s="204">
        <f t="shared" si="380"/>
        <v>272</v>
      </c>
      <c r="E1291" s="204">
        <f t="shared" si="380"/>
        <v>272</v>
      </c>
      <c r="F1291" s="204">
        <f t="shared" si="380"/>
        <v>272</v>
      </c>
      <c r="G1291" s="204">
        <f t="shared" si="380"/>
        <v>272</v>
      </c>
      <c r="H1291" s="204">
        <f t="shared" si="380"/>
        <v>272</v>
      </c>
      <c r="I1291" s="204">
        <f t="shared" si="380"/>
        <v>272</v>
      </c>
      <c r="J1291" s="204">
        <f t="shared" si="380"/>
        <v>272</v>
      </c>
      <c r="K1291" s="204">
        <f t="shared" si="380"/>
        <v>272</v>
      </c>
      <c r="L1291" s="204">
        <f t="shared" si="380"/>
        <v>272</v>
      </c>
      <c r="M1291" s="204">
        <f t="shared" si="380"/>
        <v>272</v>
      </c>
      <c r="N1291" s="204">
        <f t="shared" si="380"/>
        <v>272</v>
      </c>
      <c r="O1291" s="5"/>
      <c r="P1291" s="5"/>
      <c r="Q1291" s="5"/>
      <c r="R1291" s="5"/>
      <c r="S1291" s="5"/>
      <c r="T1291" s="5"/>
      <c r="U1291" s="5"/>
      <c r="V1291" s="5"/>
      <c r="W1291" s="5"/>
      <c r="X1291" s="5"/>
      <c r="Y1291" s="5"/>
      <c r="Z1291" s="5"/>
    </row>
    <row r="1292" ht="12.0" customHeight="1">
      <c r="A1292" s="92" t="s">
        <v>643</v>
      </c>
      <c r="B1292" s="5"/>
      <c r="C1292" s="206">
        <f t="shared" ref="C1292:N1292" si="381">IF(C1291=0,0,C1288/C1291)</f>
        <v>0.6107318627</v>
      </c>
      <c r="D1292" s="206">
        <f t="shared" si="381"/>
        <v>0.4656247549</v>
      </c>
      <c r="E1292" s="206">
        <f t="shared" si="381"/>
        <v>0.4349327206</v>
      </c>
      <c r="F1292" s="206">
        <f t="shared" si="381"/>
        <v>0.4157987745</v>
      </c>
      <c r="G1292" s="206">
        <f t="shared" si="381"/>
        <v>0.3890889706</v>
      </c>
      <c r="H1292" s="206">
        <f t="shared" si="381"/>
        <v>0.3815131127</v>
      </c>
      <c r="I1292" s="206">
        <f t="shared" si="381"/>
        <v>0.4082229167</v>
      </c>
      <c r="J1292" s="206">
        <f t="shared" si="381"/>
        <v>0.4082229167</v>
      </c>
      <c r="K1292" s="206">
        <f t="shared" si="381"/>
        <v>0.4082229167</v>
      </c>
      <c r="L1292" s="206">
        <f t="shared" si="381"/>
        <v>0.4006470588</v>
      </c>
      <c r="M1292" s="206">
        <f t="shared" si="381"/>
        <v>0.393071201</v>
      </c>
      <c r="N1292" s="206">
        <f t="shared" si="381"/>
        <v>0.6258835784</v>
      </c>
      <c r="O1292" s="5"/>
      <c r="P1292" s="5"/>
      <c r="Q1292" s="5"/>
      <c r="R1292" s="5"/>
      <c r="S1292" s="5"/>
      <c r="T1292" s="5"/>
      <c r="U1292" s="5"/>
      <c r="V1292" s="5"/>
      <c r="W1292" s="5"/>
      <c r="X1292" s="5"/>
      <c r="Y1292" s="5"/>
      <c r="Z1292" s="5"/>
    </row>
    <row r="1293" ht="12.0" customHeight="1">
      <c r="A1293" s="201" t="s">
        <v>644</v>
      </c>
      <c r="B1293" s="202"/>
      <c r="C1293" s="202"/>
      <c r="D1293" s="202"/>
      <c r="E1293" s="202"/>
      <c r="F1293" s="202"/>
      <c r="G1293" s="202"/>
      <c r="H1293" s="202"/>
      <c r="I1293" s="202"/>
      <c r="J1293" s="202"/>
      <c r="K1293" s="202"/>
      <c r="L1293" s="202"/>
      <c r="M1293" s="202"/>
      <c r="N1293" s="202"/>
      <c r="O1293" s="5"/>
      <c r="P1293" s="5"/>
      <c r="Q1293" s="5"/>
      <c r="R1293" s="5"/>
      <c r="S1293" s="5"/>
      <c r="T1293" s="5"/>
      <c r="U1293" s="5"/>
      <c r="V1293" s="5"/>
      <c r="W1293" s="5"/>
      <c r="X1293" s="5"/>
      <c r="Y1293" s="5"/>
      <c r="Z1293" s="5"/>
    </row>
    <row r="1294" ht="12.0" customHeight="1">
      <c r="A1294" s="201" t="s">
        <v>630</v>
      </c>
      <c r="B1294" s="201" t="s">
        <v>631</v>
      </c>
      <c r="C1294" s="201" t="s">
        <v>3</v>
      </c>
      <c r="D1294" s="201" t="s">
        <v>4</v>
      </c>
      <c r="E1294" s="201" t="s">
        <v>5</v>
      </c>
      <c r="F1294" s="201" t="s">
        <v>6</v>
      </c>
      <c r="G1294" s="201" t="s">
        <v>7</v>
      </c>
      <c r="H1294" s="201" t="s">
        <v>8</v>
      </c>
      <c r="I1294" s="201" t="s">
        <v>9</v>
      </c>
      <c r="J1294" s="201" t="s">
        <v>10</v>
      </c>
      <c r="K1294" s="201" t="s">
        <v>11</v>
      </c>
      <c r="L1294" s="201" t="s">
        <v>12</v>
      </c>
      <c r="M1294" s="201" t="s">
        <v>13</v>
      </c>
      <c r="N1294" s="201" t="s">
        <v>14</v>
      </c>
      <c r="O1294" s="5"/>
      <c r="P1294" s="5"/>
      <c r="Q1294" s="5"/>
      <c r="R1294" s="5"/>
      <c r="S1294" s="5"/>
      <c r="T1294" s="5"/>
      <c r="U1294" s="5"/>
      <c r="V1294" s="5"/>
      <c r="W1294" s="5"/>
      <c r="X1294" s="5"/>
      <c r="Y1294" s="5"/>
      <c r="Z1294" s="5"/>
    </row>
    <row r="1295" ht="12.0" customHeight="1">
      <c r="A1295" s="92" t="s">
        <v>632</v>
      </c>
      <c r="B1295" s="92" t="s">
        <v>633</v>
      </c>
      <c r="C1295" s="203">
        <f>SUM('2033'!B6:B9)+SUM('2033'!B17:B20)</f>
        <v>24917.86</v>
      </c>
      <c r="D1295" s="203">
        <f>SUM('2033'!C6:C9)+SUM('2033'!C17:C20)</f>
        <v>18997.49</v>
      </c>
      <c r="E1295" s="203">
        <f>SUM('2033'!D6:D9)+SUM('2033'!D17:D20)</f>
        <v>17745.255</v>
      </c>
      <c r="F1295" s="203">
        <f>SUM('2033'!E6:E9)+SUM('2033'!E17:E20)</f>
        <v>16964.59</v>
      </c>
      <c r="G1295" s="203">
        <f>SUM('2033'!F6:F9)+SUM('2033'!F17:F20)</f>
        <v>15874.83</v>
      </c>
      <c r="H1295" s="203">
        <f>SUM('2033'!G6:G9)+SUM('2033'!G17:G20)</f>
        <v>15565.735</v>
      </c>
      <c r="I1295" s="203">
        <f>SUM('2033'!H6:H9)+SUM('2033'!H17:H20)</f>
        <v>16655.495</v>
      </c>
      <c r="J1295" s="203">
        <f>SUM('2033'!I6:I9)+SUM('2033'!I17:I20)</f>
        <v>16655.495</v>
      </c>
      <c r="K1295" s="203">
        <f>SUM('2033'!J6:J9)+SUM('2033'!J17:J20)</f>
        <v>16655.495</v>
      </c>
      <c r="L1295" s="203">
        <f>SUM('2033'!K6:K9)+SUM('2033'!K17:K20)</f>
        <v>16346.4</v>
      </c>
      <c r="M1295" s="203">
        <f>SUM('2033'!L6:L9)+SUM('2033'!L17:L20)</f>
        <v>16037.305</v>
      </c>
      <c r="N1295" s="203">
        <f>SUM('2033'!M6:M9)+SUM('2033'!M17:M20)</f>
        <v>25536.05</v>
      </c>
      <c r="O1295" s="5"/>
      <c r="P1295" s="5"/>
      <c r="Q1295" s="5"/>
      <c r="R1295" s="5"/>
      <c r="S1295" s="5"/>
      <c r="T1295" s="5"/>
      <c r="U1295" s="5"/>
      <c r="V1295" s="5"/>
      <c r="W1295" s="5"/>
      <c r="X1295" s="5"/>
      <c r="Y1295" s="5"/>
      <c r="Z1295" s="5"/>
    </row>
    <row r="1296" ht="12.0" customHeight="1">
      <c r="A1296" s="5"/>
      <c r="B1296" s="92" t="s">
        <v>634</v>
      </c>
      <c r="C1296" s="204">
        <f>C1295/Parametros!$B$37</f>
        <v>1245.893</v>
      </c>
      <c r="D1296" s="204">
        <f>D1295/Parametros!$B$37</f>
        <v>949.8745</v>
      </c>
      <c r="E1296" s="204">
        <f>E1295/Parametros!$B$37</f>
        <v>887.26275</v>
      </c>
      <c r="F1296" s="204">
        <f>F1295/Parametros!$B$37</f>
        <v>848.2295</v>
      </c>
      <c r="G1296" s="204">
        <f>G1295/Parametros!$B$37</f>
        <v>793.7415</v>
      </c>
      <c r="H1296" s="204">
        <f>H1295/Parametros!$B$37</f>
        <v>778.28675</v>
      </c>
      <c r="I1296" s="204">
        <f>I1295/Parametros!$B$37</f>
        <v>832.77475</v>
      </c>
      <c r="J1296" s="204">
        <f>J1295/Parametros!$B$37</f>
        <v>832.77475</v>
      </c>
      <c r="K1296" s="204">
        <f>K1295/Parametros!$B$37</f>
        <v>832.77475</v>
      </c>
      <c r="L1296" s="204">
        <f>L1295/Parametros!$B$37</f>
        <v>817.32</v>
      </c>
      <c r="M1296" s="204">
        <f>M1295/Parametros!$B$37</f>
        <v>801.86525</v>
      </c>
      <c r="N1296" s="204">
        <f>N1295/Parametros!$B$37</f>
        <v>1276.8025</v>
      </c>
      <c r="O1296" s="5"/>
      <c r="P1296" s="5"/>
      <c r="Q1296" s="5"/>
      <c r="R1296" s="5"/>
      <c r="S1296" s="5"/>
      <c r="T1296" s="5"/>
      <c r="U1296" s="5"/>
      <c r="V1296" s="5"/>
      <c r="W1296" s="5"/>
      <c r="X1296" s="5"/>
      <c r="Y1296" s="5"/>
      <c r="Z1296" s="5"/>
    </row>
    <row r="1297" ht="12.0" customHeight="1">
      <c r="A1297" s="5"/>
      <c r="B1297" s="92" t="s">
        <v>635</v>
      </c>
      <c r="C1297" s="204">
        <f>C1296/Parametros!$J$37</f>
        <v>166.1190667</v>
      </c>
      <c r="D1297" s="204">
        <f>D1296/Parametros!$J$37</f>
        <v>126.6499333</v>
      </c>
      <c r="E1297" s="204">
        <f>E1296/Parametros!$J$37</f>
        <v>118.3017</v>
      </c>
      <c r="F1297" s="204">
        <f>F1296/Parametros!$J$37</f>
        <v>113.0972667</v>
      </c>
      <c r="G1297" s="204">
        <f>G1296/Parametros!$J$37</f>
        <v>105.8322</v>
      </c>
      <c r="H1297" s="204">
        <f>H1296/Parametros!$J$37</f>
        <v>103.7715667</v>
      </c>
      <c r="I1297" s="204">
        <f>I1296/Parametros!$J$37</f>
        <v>111.0366333</v>
      </c>
      <c r="J1297" s="204">
        <f>J1296/Parametros!$J$37</f>
        <v>111.0366333</v>
      </c>
      <c r="K1297" s="204">
        <f>K1296/Parametros!$J$37</f>
        <v>111.0366333</v>
      </c>
      <c r="L1297" s="204">
        <f>L1296/Parametros!$J$37</f>
        <v>108.976</v>
      </c>
      <c r="M1297" s="204">
        <f>M1296/Parametros!$J$37</f>
        <v>106.9153667</v>
      </c>
      <c r="N1297" s="204">
        <f>N1296/Parametros!$J$37</f>
        <v>170.2403333</v>
      </c>
      <c r="O1297" s="5"/>
      <c r="P1297" s="5"/>
      <c r="Q1297" s="5"/>
      <c r="R1297" s="5"/>
      <c r="S1297" s="5"/>
      <c r="T1297" s="5"/>
      <c r="U1297" s="5"/>
      <c r="V1297" s="5"/>
      <c r="W1297" s="5"/>
      <c r="X1297" s="5"/>
      <c r="Y1297" s="5"/>
      <c r="Z1297" s="5"/>
    </row>
    <row r="1298" ht="12.0" customHeight="1">
      <c r="A1298" s="92" t="s">
        <v>636</v>
      </c>
      <c r="B1298" s="5"/>
      <c r="C1298" s="204">
        <f t="shared" ref="C1298:N1298" si="382">C1297</f>
        <v>166.1190667</v>
      </c>
      <c r="D1298" s="204">
        <f t="shared" si="382"/>
        <v>126.6499333</v>
      </c>
      <c r="E1298" s="204">
        <f t="shared" si="382"/>
        <v>118.3017</v>
      </c>
      <c r="F1298" s="204">
        <f t="shared" si="382"/>
        <v>113.0972667</v>
      </c>
      <c r="G1298" s="204">
        <f t="shared" si="382"/>
        <v>105.8322</v>
      </c>
      <c r="H1298" s="204">
        <f t="shared" si="382"/>
        <v>103.7715667</v>
      </c>
      <c r="I1298" s="204">
        <f t="shared" si="382"/>
        <v>111.0366333</v>
      </c>
      <c r="J1298" s="204">
        <f t="shared" si="382"/>
        <v>111.0366333</v>
      </c>
      <c r="K1298" s="204">
        <f t="shared" si="382"/>
        <v>111.0366333</v>
      </c>
      <c r="L1298" s="204">
        <f t="shared" si="382"/>
        <v>108.976</v>
      </c>
      <c r="M1298" s="204">
        <f t="shared" si="382"/>
        <v>106.9153667</v>
      </c>
      <c r="N1298" s="204">
        <f t="shared" si="382"/>
        <v>170.2403333</v>
      </c>
      <c r="O1298" s="5"/>
      <c r="P1298" s="5"/>
      <c r="Q1298" s="5"/>
      <c r="R1298" s="5"/>
      <c r="S1298" s="5"/>
      <c r="T1298" s="5"/>
      <c r="U1298" s="5"/>
      <c r="V1298" s="5"/>
      <c r="W1298" s="5"/>
      <c r="X1298" s="5"/>
      <c r="Y1298" s="5"/>
      <c r="Z1298" s="5"/>
    </row>
    <row r="1299" ht="12.0" customHeight="1">
      <c r="A1299" s="92" t="s">
        <v>637</v>
      </c>
      <c r="B1299" s="5"/>
      <c r="C1299" s="205">
        <f>'Resumen Capacidad'!$I$112</f>
        <v>90.19362319</v>
      </c>
      <c r="D1299" s="205">
        <f>'Resumen Capacidad'!$I$112</f>
        <v>90.19362319</v>
      </c>
      <c r="E1299" s="205">
        <f>'Resumen Capacidad'!$I$112</f>
        <v>90.19362319</v>
      </c>
      <c r="F1299" s="205">
        <f>'Resumen Capacidad'!$I$112</f>
        <v>90.19362319</v>
      </c>
      <c r="G1299" s="205">
        <f>'Resumen Capacidad'!$I$112</f>
        <v>90.19362319</v>
      </c>
      <c r="H1299" s="205">
        <f>'Resumen Capacidad'!$I$112</f>
        <v>90.19362319</v>
      </c>
      <c r="I1299" s="205">
        <f>'Resumen Capacidad'!$I$112</f>
        <v>90.19362319</v>
      </c>
      <c r="J1299" s="205">
        <f>'Resumen Capacidad'!$I$112</f>
        <v>90.19362319</v>
      </c>
      <c r="K1299" s="205">
        <f>'Resumen Capacidad'!$I$112</f>
        <v>90.19362319</v>
      </c>
      <c r="L1299" s="205">
        <f>'Resumen Capacidad'!$I$112</f>
        <v>90.19362319</v>
      </c>
      <c r="M1299" s="205">
        <f>'Resumen Capacidad'!$I$112</f>
        <v>90.19362319</v>
      </c>
      <c r="N1299" s="205">
        <f>'Resumen Capacidad'!$I$112</f>
        <v>90.19362319</v>
      </c>
      <c r="O1299" s="5"/>
      <c r="P1299" s="5"/>
      <c r="Q1299" s="5"/>
      <c r="R1299" s="5"/>
      <c r="S1299" s="5"/>
      <c r="T1299" s="5"/>
      <c r="U1299" s="5"/>
      <c r="V1299" s="5"/>
      <c r="W1299" s="5"/>
      <c r="X1299" s="5"/>
      <c r="Y1299" s="5"/>
      <c r="Z1299" s="5"/>
    </row>
    <row r="1300" ht="12.0" customHeight="1">
      <c r="A1300" s="92" t="s">
        <v>640</v>
      </c>
      <c r="B1300" s="5"/>
      <c r="C1300" s="204">
        <f>'Resumen Capacidad'!$I$30*'Resumen Capacidad'!$I$66</f>
        <v>4</v>
      </c>
      <c r="D1300" s="204">
        <f>'Resumen Capacidad'!$I$30*'Resumen Capacidad'!$I$66</f>
        <v>4</v>
      </c>
      <c r="E1300" s="204">
        <f>'Resumen Capacidad'!$I$30*'Resumen Capacidad'!$I$66</f>
        <v>4</v>
      </c>
      <c r="F1300" s="204">
        <f>'Resumen Capacidad'!$I$30*'Resumen Capacidad'!$I$66</f>
        <v>4</v>
      </c>
      <c r="G1300" s="204">
        <f>'Resumen Capacidad'!$I$30*'Resumen Capacidad'!$I$66</f>
        <v>4</v>
      </c>
      <c r="H1300" s="204">
        <f>'Resumen Capacidad'!$I$30*'Resumen Capacidad'!$I$66</f>
        <v>4</v>
      </c>
      <c r="I1300" s="204">
        <f>'Resumen Capacidad'!$I$30*'Resumen Capacidad'!$I$66</f>
        <v>4</v>
      </c>
      <c r="J1300" s="204">
        <f>'Resumen Capacidad'!$I$30*'Resumen Capacidad'!$I$66</f>
        <v>4</v>
      </c>
      <c r="K1300" s="204">
        <f>'Resumen Capacidad'!$I$30*'Resumen Capacidad'!$I$66</f>
        <v>4</v>
      </c>
      <c r="L1300" s="204">
        <f>'Resumen Capacidad'!$I$30*'Resumen Capacidad'!$I$66</f>
        <v>4</v>
      </c>
      <c r="M1300" s="204">
        <f>'Resumen Capacidad'!$I$30*'Resumen Capacidad'!$I$66</f>
        <v>4</v>
      </c>
      <c r="N1300" s="204">
        <f>'Resumen Capacidad'!$I$30*'Resumen Capacidad'!$I$66</f>
        <v>4</v>
      </c>
      <c r="O1300" s="5"/>
      <c r="P1300" s="5"/>
      <c r="Q1300" s="5"/>
      <c r="R1300" s="5"/>
      <c r="S1300" s="5"/>
      <c r="T1300" s="5"/>
      <c r="U1300" s="5"/>
      <c r="V1300" s="5"/>
      <c r="W1300" s="5"/>
      <c r="X1300" s="5"/>
      <c r="Y1300" s="5"/>
      <c r="Z1300" s="5"/>
    </row>
    <row r="1301" ht="12.0" customHeight="1">
      <c r="A1301" s="92" t="s">
        <v>642</v>
      </c>
      <c r="B1301" s="5"/>
      <c r="C1301" s="204">
        <f t="shared" ref="C1301:N1301" si="383">C1299*C1300</f>
        <v>360.7744928</v>
      </c>
      <c r="D1301" s="204">
        <f t="shared" si="383"/>
        <v>360.7744928</v>
      </c>
      <c r="E1301" s="204">
        <f t="shared" si="383"/>
        <v>360.7744928</v>
      </c>
      <c r="F1301" s="204">
        <f t="shared" si="383"/>
        <v>360.7744928</v>
      </c>
      <c r="G1301" s="204">
        <f t="shared" si="383"/>
        <v>360.7744928</v>
      </c>
      <c r="H1301" s="204">
        <f t="shared" si="383"/>
        <v>360.7744928</v>
      </c>
      <c r="I1301" s="204">
        <f t="shared" si="383"/>
        <v>360.7744928</v>
      </c>
      <c r="J1301" s="204">
        <f t="shared" si="383"/>
        <v>360.7744928</v>
      </c>
      <c r="K1301" s="204">
        <f t="shared" si="383"/>
        <v>360.7744928</v>
      </c>
      <c r="L1301" s="204">
        <f t="shared" si="383"/>
        <v>360.7744928</v>
      </c>
      <c r="M1301" s="204">
        <f t="shared" si="383"/>
        <v>360.7744928</v>
      </c>
      <c r="N1301" s="204">
        <f t="shared" si="383"/>
        <v>360.7744928</v>
      </c>
      <c r="O1301" s="5"/>
      <c r="P1301" s="5"/>
      <c r="Q1301" s="5"/>
      <c r="R1301" s="5"/>
      <c r="S1301" s="5"/>
      <c r="T1301" s="5"/>
      <c r="U1301" s="5"/>
      <c r="V1301" s="5"/>
      <c r="W1301" s="5"/>
      <c r="X1301" s="5"/>
      <c r="Y1301" s="5"/>
      <c r="Z1301" s="5"/>
    </row>
    <row r="1302" ht="12.0" customHeight="1">
      <c r="A1302" s="92" t="s">
        <v>643</v>
      </c>
      <c r="B1302" s="5"/>
      <c r="C1302" s="206">
        <f t="shared" ref="C1302:N1302" si="384">IF(C1301=0,0,C1298/C1301)</f>
        <v>0.4604512514</v>
      </c>
      <c r="D1302" s="206">
        <f t="shared" si="384"/>
        <v>0.3510501321</v>
      </c>
      <c r="E1302" s="206">
        <f t="shared" si="384"/>
        <v>0.3279103772</v>
      </c>
      <c r="F1302" s="206">
        <f t="shared" si="384"/>
        <v>0.313484653</v>
      </c>
      <c r="G1302" s="206">
        <f t="shared" si="384"/>
        <v>0.2933472353</v>
      </c>
      <c r="H1302" s="206">
        <f t="shared" si="384"/>
        <v>0.2876355417</v>
      </c>
      <c r="I1302" s="206">
        <f t="shared" si="384"/>
        <v>0.3077729595</v>
      </c>
      <c r="J1302" s="206">
        <f t="shared" si="384"/>
        <v>0.3077729595</v>
      </c>
      <c r="K1302" s="206">
        <f t="shared" si="384"/>
        <v>0.3077729595</v>
      </c>
      <c r="L1302" s="206">
        <f t="shared" si="384"/>
        <v>0.3020612659</v>
      </c>
      <c r="M1302" s="206">
        <f t="shared" si="384"/>
        <v>0.2963495724</v>
      </c>
      <c r="N1302" s="206">
        <f t="shared" si="384"/>
        <v>0.4718746385</v>
      </c>
      <c r="O1302" s="5"/>
      <c r="P1302" s="5"/>
      <c r="Q1302" s="5"/>
      <c r="R1302" s="5"/>
      <c r="S1302" s="5"/>
      <c r="T1302" s="5"/>
      <c r="U1302" s="5"/>
      <c r="V1302" s="5"/>
      <c r="W1302" s="5"/>
      <c r="X1302" s="5"/>
      <c r="Y1302" s="5"/>
      <c r="Z1302" s="5"/>
    </row>
    <row r="1303" ht="12.0" customHeight="1">
      <c r="A1303" s="201" t="s">
        <v>646</v>
      </c>
      <c r="B1303" s="202"/>
      <c r="C1303" s="202"/>
      <c r="D1303" s="202"/>
      <c r="E1303" s="202"/>
      <c r="F1303" s="202"/>
      <c r="G1303" s="202"/>
      <c r="H1303" s="202"/>
      <c r="I1303" s="202"/>
      <c r="J1303" s="202"/>
      <c r="K1303" s="202"/>
      <c r="L1303" s="202"/>
      <c r="M1303" s="202"/>
      <c r="N1303" s="202"/>
      <c r="O1303" s="5"/>
      <c r="P1303" s="5"/>
      <c r="Q1303" s="5"/>
      <c r="R1303" s="5"/>
      <c r="S1303" s="5"/>
      <c r="T1303" s="5"/>
      <c r="U1303" s="5"/>
      <c r="V1303" s="5"/>
      <c r="W1303" s="5"/>
      <c r="X1303" s="5"/>
      <c r="Y1303" s="5"/>
      <c r="Z1303" s="5"/>
    </row>
    <row r="1304" ht="12.0" customHeight="1">
      <c r="A1304" s="201" t="s">
        <v>630</v>
      </c>
      <c r="B1304" s="201" t="s">
        <v>631</v>
      </c>
      <c r="C1304" s="201" t="s">
        <v>3</v>
      </c>
      <c r="D1304" s="201" t="s">
        <v>4</v>
      </c>
      <c r="E1304" s="201" t="s">
        <v>5</v>
      </c>
      <c r="F1304" s="201" t="s">
        <v>6</v>
      </c>
      <c r="G1304" s="201" t="s">
        <v>7</v>
      </c>
      <c r="H1304" s="201" t="s">
        <v>8</v>
      </c>
      <c r="I1304" s="201" t="s">
        <v>9</v>
      </c>
      <c r="J1304" s="201" t="s">
        <v>10</v>
      </c>
      <c r="K1304" s="201" t="s">
        <v>11</v>
      </c>
      <c r="L1304" s="201" t="s">
        <v>12</v>
      </c>
      <c r="M1304" s="201" t="s">
        <v>13</v>
      </c>
      <c r="N1304" s="201" t="s">
        <v>14</v>
      </c>
      <c r="O1304" s="5"/>
      <c r="P1304" s="5"/>
      <c r="Q1304" s="5"/>
      <c r="R1304" s="5"/>
      <c r="S1304" s="5"/>
      <c r="T1304" s="5"/>
      <c r="U1304" s="5"/>
      <c r="V1304" s="5"/>
      <c r="W1304" s="5"/>
      <c r="X1304" s="5"/>
      <c r="Y1304" s="5"/>
      <c r="Z1304" s="5"/>
    </row>
    <row r="1305" ht="12.0" customHeight="1">
      <c r="A1305" s="92" t="s">
        <v>647</v>
      </c>
      <c r="B1305" s="92" t="s">
        <v>633</v>
      </c>
      <c r="C1305" s="203">
        <f>(SUM('2033'!B6:B9)+SUM('2033'!B17:B20))*2</f>
        <v>49835.72</v>
      </c>
      <c r="D1305" s="203">
        <f>(SUM('2033'!C6:C9)+SUM('2033'!C17:C20))*2</f>
        <v>37994.98</v>
      </c>
      <c r="E1305" s="203">
        <f>(SUM('2033'!D6:D9)+SUM('2033'!D17:D20))*2</f>
        <v>35490.51</v>
      </c>
      <c r="F1305" s="203">
        <f>(SUM('2033'!E6:E9)+SUM('2033'!E17:E20))*2</f>
        <v>33929.18</v>
      </c>
      <c r="G1305" s="203">
        <f>(SUM('2033'!F6:F9)+SUM('2033'!F17:F20))*2</f>
        <v>31749.66</v>
      </c>
      <c r="H1305" s="203">
        <f>(SUM('2033'!G6:G9)+SUM('2033'!G17:G20))*2</f>
        <v>31131.47</v>
      </c>
      <c r="I1305" s="203">
        <f>(SUM('2033'!H6:H9)+SUM('2033'!H17:H20))*2</f>
        <v>33310.99</v>
      </c>
      <c r="J1305" s="203">
        <f>(SUM('2033'!I6:I9)+SUM('2033'!I17:I20))*2</f>
        <v>33310.99</v>
      </c>
      <c r="K1305" s="203">
        <f>(SUM('2033'!J6:J9)+SUM('2033'!J17:J20))*2</f>
        <v>33310.99</v>
      </c>
      <c r="L1305" s="203">
        <f>(SUM('2033'!K6:K9)+SUM('2033'!K17:K20))*2</f>
        <v>32692.8</v>
      </c>
      <c r="M1305" s="203">
        <f>(SUM('2033'!L6:L9)+SUM('2033'!L17:L20))*2</f>
        <v>32074.61</v>
      </c>
      <c r="N1305" s="203">
        <f>(SUM('2033'!M6:M9)+SUM('2033'!M17:M20))*2</f>
        <v>51072.1</v>
      </c>
      <c r="O1305" s="5"/>
      <c r="P1305" s="5"/>
      <c r="Q1305" s="5"/>
      <c r="R1305" s="5"/>
      <c r="S1305" s="5"/>
      <c r="T1305" s="5"/>
      <c r="U1305" s="5"/>
      <c r="V1305" s="5"/>
      <c r="W1305" s="5"/>
      <c r="X1305" s="5"/>
      <c r="Y1305" s="5"/>
      <c r="Z1305" s="5"/>
    </row>
    <row r="1306" ht="12.0" customHeight="1">
      <c r="A1306" s="5"/>
      <c r="B1306" s="92" t="s">
        <v>634</v>
      </c>
      <c r="C1306" s="204">
        <f>C1305/Parametros!$B$37</f>
        <v>2491.786</v>
      </c>
      <c r="D1306" s="204">
        <f>D1305/Parametros!$B$37</f>
        <v>1899.749</v>
      </c>
      <c r="E1306" s="204">
        <f>E1305/Parametros!$B$37</f>
        <v>1774.5255</v>
      </c>
      <c r="F1306" s="204">
        <f>F1305/Parametros!$B$37</f>
        <v>1696.459</v>
      </c>
      <c r="G1306" s="204">
        <f>G1305/Parametros!$B$37</f>
        <v>1587.483</v>
      </c>
      <c r="H1306" s="204">
        <f>H1305/Parametros!$B$37</f>
        <v>1556.5735</v>
      </c>
      <c r="I1306" s="204">
        <f>I1305/Parametros!$B$37</f>
        <v>1665.5495</v>
      </c>
      <c r="J1306" s="204">
        <f>J1305/Parametros!$B$37</f>
        <v>1665.5495</v>
      </c>
      <c r="K1306" s="204">
        <f>K1305/Parametros!$B$37</f>
        <v>1665.5495</v>
      </c>
      <c r="L1306" s="204">
        <f>L1305/Parametros!$B$37</f>
        <v>1634.64</v>
      </c>
      <c r="M1306" s="204">
        <f>M1305/Parametros!$B$37</f>
        <v>1603.7305</v>
      </c>
      <c r="N1306" s="204">
        <f>N1305/Parametros!$B$37</f>
        <v>2553.605</v>
      </c>
      <c r="O1306" s="5"/>
      <c r="P1306" s="5"/>
      <c r="Q1306" s="5"/>
      <c r="R1306" s="5"/>
      <c r="S1306" s="5"/>
      <c r="T1306" s="5"/>
      <c r="U1306" s="5"/>
      <c r="V1306" s="5"/>
      <c r="W1306" s="5"/>
      <c r="X1306" s="5"/>
      <c r="Y1306" s="5"/>
      <c r="Z1306" s="5"/>
    </row>
    <row r="1307" ht="12.0" customHeight="1">
      <c r="A1307" s="5"/>
      <c r="B1307" s="92" t="s">
        <v>635</v>
      </c>
      <c r="C1307" s="204">
        <f>C1306/Parametros!$J$37</f>
        <v>332.2381333</v>
      </c>
      <c r="D1307" s="204">
        <f>D1306/Parametros!$J$37</f>
        <v>253.2998667</v>
      </c>
      <c r="E1307" s="204">
        <f>E1306/Parametros!$J$37</f>
        <v>236.6034</v>
      </c>
      <c r="F1307" s="204">
        <f>F1306/Parametros!$J$37</f>
        <v>226.1945333</v>
      </c>
      <c r="G1307" s="204">
        <f>G1306/Parametros!$J$37</f>
        <v>211.6644</v>
      </c>
      <c r="H1307" s="204">
        <f>H1306/Parametros!$J$37</f>
        <v>207.5431333</v>
      </c>
      <c r="I1307" s="204">
        <f>I1306/Parametros!$J$37</f>
        <v>222.0732667</v>
      </c>
      <c r="J1307" s="204">
        <f>J1306/Parametros!$J$37</f>
        <v>222.0732667</v>
      </c>
      <c r="K1307" s="204">
        <f>K1306/Parametros!$J$37</f>
        <v>222.0732667</v>
      </c>
      <c r="L1307" s="204">
        <f>L1306/Parametros!$J$37</f>
        <v>217.952</v>
      </c>
      <c r="M1307" s="204">
        <f>M1306/Parametros!$J$37</f>
        <v>213.8307333</v>
      </c>
      <c r="N1307" s="204">
        <f>N1306/Parametros!$J$37</f>
        <v>340.4806667</v>
      </c>
      <c r="O1307" s="5"/>
      <c r="P1307" s="5"/>
      <c r="Q1307" s="5"/>
      <c r="R1307" s="5"/>
      <c r="S1307" s="5"/>
      <c r="T1307" s="5"/>
      <c r="U1307" s="5"/>
      <c r="V1307" s="5"/>
      <c r="W1307" s="5"/>
      <c r="X1307" s="5"/>
      <c r="Y1307" s="5"/>
      <c r="Z1307" s="5"/>
    </row>
    <row r="1308" ht="12.0" customHeight="1">
      <c r="A1308" s="92" t="s">
        <v>636</v>
      </c>
      <c r="B1308" s="5"/>
      <c r="C1308" s="204">
        <f t="shared" ref="C1308:N1308" si="385">C1307</f>
        <v>332.2381333</v>
      </c>
      <c r="D1308" s="204">
        <f t="shared" si="385"/>
        <v>253.2998667</v>
      </c>
      <c r="E1308" s="204">
        <f t="shared" si="385"/>
        <v>236.6034</v>
      </c>
      <c r="F1308" s="204">
        <f t="shared" si="385"/>
        <v>226.1945333</v>
      </c>
      <c r="G1308" s="204">
        <f t="shared" si="385"/>
        <v>211.6644</v>
      </c>
      <c r="H1308" s="204">
        <f t="shared" si="385"/>
        <v>207.5431333</v>
      </c>
      <c r="I1308" s="204">
        <f t="shared" si="385"/>
        <v>222.0732667</v>
      </c>
      <c r="J1308" s="204">
        <f t="shared" si="385"/>
        <v>222.0732667</v>
      </c>
      <c r="K1308" s="204">
        <f t="shared" si="385"/>
        <v>222.0732667</v>
      </c>
      <c r="L1308" s="204">
        <f t="shared" si="385"/>
        <v>217.952</v>
      </c>
      <c r="M1308" s="204">
        <f t="shared" si="385"/>
        <v>213.8307333</v>
      </c>
      <c r="N1308" s="204">
        <f t="shared" si="385"/>
        <v>340.4806667</v>
      </c>
      <c r="O1308" s="5"/>
      <c r="P1308" s="5"/>
      <c r="Q1308" s="5"/>
      <c r="R1308" s="5"/>
      <c r="S1308" s="5"/>
      <c r="T1308" s="5"/>
      <c r="U1308" s="5"/>
      <c r="V1308" s="5"/>
      <c r="W1308" s="5"/>
      <c r="X1308" s="5"/>
      <c r="Y1308" s="5"/>
      <c r="Z1308" s="5"/>
    </row>
    <row r="1309" ht="12.0" customHeight="1">
      <c r="A1309" s="92" t="s">
        <v>637</v>
      </c>
      <c r="B1309" s="5"/>
      <c r="C1309" s="205">
        <f>'Resumen Capacidad'!$I$113</f>
        <v>466.5116279</v>
      </c>
      <c r="D1309" s="205">
        <f>'Resumen Capacidad'!$I$113</f>
        <v>466.5116279</v>
      </c>
      <c r="E1309" s="205">
        <f>'Resumen Capacidad'!$I$113</f>
        <v>466.5116279</v>
      </c>
      <c r="F1309" s="205">
        <f>'Resumen Capacidad'!$I$113</f>
        <v>466.5116279</v>
      </c>
      <c r="G1309" s="205">
        <f>'Resumen Capacidad'!$I$113</f>
        <v>466.5116279</v>
      </c>
      <c r="H1309" s="205">
        <f>'Resumen Capacidad'!$I$113</f>
        <v>466.5116279</v>
      </c>
      <c r="I1309" s="205">
        <f>'Resumen Capacidad'!$I$113</f>
        <v>466.5116279</v>
      </c>
      <c r="J1309" s="205">
        <f>'Resumen Capacidad'!$I$113</f>
        <v>466.5116279</v>
      </c>
      <c r="K1309" s="205">
        <f>'Resumen Capacidad'!$I$113</f>
        <v>466.5116279</v>
      </c>
      <c r="L1309" s="205">
        <f>'Resumen Capacidad'!$I$113</f>
        <v>466.5116279</v>
      </c>
      <c r="M1309" s="205">
        <f>'Resumen Capacidad'!$I$113</f>
        <v>466.5116279</v>
      </c>
      <c r="N1309" s="205">
        <f>'Resumen Capacidad'!$I$113</f>
        <v>466.5116279</v>
      </c>
      <c r="O1309" s="5"/>
      <c r="P1309" s="5"/>
      <c r="Q1309" s="5"/>
      <c r="R1309" s="5"/>
      <c r="S1309" s="5"/>
      <c r="T1309" s="5"/>
      <c r="U1309" s="5"/>
      <c r="V1309" s="5"/>
      <c r="W1309" s="5"/>
      <c r="X1309" s="5"/>
      <c r="Y1309" s="5"/>
      <c r="Z1309" s="5"/>
    </row>
    <row r="1310" ht="12.0" customHeight="1">
      <c r="A1310" s="92" t="s">
        <v>640</v>
      </c>
      <c r="B1310" s="5"/>
      <c r="C1310" s="204">
        <f>'Resumen Capacidad'!$I$31*'Resumen Capacidad'!$I$67</f>
        <v>1</v>
      </c>
      <c r="D1310" s="204">
        <f>'Resumen Capacidad'!$I$31*'Resumen Capacidad'!$I$67</f>
        <v>1</v>
      </c>
      <c r="E1310" s="204">
        <f>'Resumen Capacidad'!$I$31*'Resumen Capacidad'!$I$67</f>
        <v>1</v>
      </c>
      <c r="F1310" s="204">
        <f>'Resumen Capacidad'!$I$31*'Resumen Capacidad'!$I$67</f>
        <v>1</v>
      </c>
      <c r="G1310" s="204">
        <f>'Resumen Capacidad'!$I$31*'Resumen Capacidad'!$I$67</f>
        <v>1</v>
      </c>
      <c r="H1310" s="204">
        <f>'Resumen Capacidad'!$I$31*'Resumen Capacidad'!$I$67</f>
        <v>1</v>
      </c>
      <c r="I1310" s="204">
        <f>'Resumen Capacidad'!$I$31*'Resumen Capacidad'!$I$67</f>
        <v>1</v>
      </c>
      <c r="J1310" s="204">
        <f>'Resumen Capacidad'!$I$31*'Resumen Capacidad'!$I$67</f>
        <v>1</v>
      </c>
      <c r="K1310" s="204">
        <f>'Resumen Capacidad'!$I$31*'Resumen Capacidad'!$I$67</f>
        <v>1</v>
      </c>
      <c r="L1310" s="204">
        <f>'Resumen Capacidad'!$I$31*'Resumen Capacidad'!$I$67</f>
        <v>1</v>
      </c>
      <c r="M1310" s="204">
        <f>'Resumen Capacidad'!$I$31*'Resumen Capacidad'!$I$67</f>
        <v>1</v>
      </c>
      <c r="N1310" s="204">
        <f>'Resumen Capacidad'!$I$31*'Resumen Capacidad'!$I$67</f>
        <v>1</v>
      </c>
      <c r="O1310" s="5"/>
      <c r="P1310" s="5"/>
      <c r="Q1310" s="5"/>
      <c r="R1310" s="5"/>
      <c r="S1310" s="5"/>
      <c r="T1310" s="5"/>
      <c r="U1310" s="5"/>
      <c r="V1310" s="5"/>
      <c r="W1310" s="5"/>
      <c r="X1310" s="5"/>
      <c r="Y1310" s="5"/>
      <c r="Z1310" s="5"/>
    </row>
    <row r="1311" ht="12.0" customHeight="1">
      <c r="A1311" s="92" t="s">
        <v>642</v>
      </c>
      <c r="B1311" s="5"/>
      <c r="C1311" s="204">
        <f t="shared" ref="C1311:N1311" si="386">C1309*C1310</f>
        <v>466.5116279</v>
      </c>
      <c r="D1311" s="204">
        <f t="shared" si="386"/>
        <v>466.5116279</v>
      </c>
      <c r="E1311" s="204">
        <f t="shared" si="386"/>
        <v>466.5116279</v>
      </c>
      <c r="F1311" s="204">
        <f t="shared" si="386"/>
        <v>466.5116279</v>
      </c>
      <c r="G1311" s="204">
        <f t="shared" si="386"/>
        <v>466.5116279</v>
      </c>
      <c r="H1311" s="204">
        <f t="shared" si="386"/>
        <v>466.5116279</v>
      </c>
      <c r="I1311" s="204">
        <f t="shared" si="386"/>
        <v>466.5116279</v>
      </c>
      <c r="J1311" s="204">
        <f t="shared" si="386"/>
        <v>466.5116279</v>
      </c>
      <c r="K1311" s="204">
        <f t="shared" si="386"/>
        <v>466.5116279</v>
      </c>
      <c r="L1311" s="204">
        <f t="shared" si="386"/>
        <v>466.5116279</v>
      </c>
      <c r="M1311" s="204">
        <f t="shared" si="386"/>
        <v>466.5116279</v>
      </c>
      <c r="N1311" s="204">
        <f t="shared" si="386"/>
        <v>466.5116279</v>
      </c>
      <c r="O1311" s="5"/>
      <c r="P1311" s="5"/>
      <c r="Q1311" s="5"/>
      <c r="R1311" s="5"/>
      <c r="S1311" s="5"/>
      <c r="T1311" s="5"/>
      <c r="U1311" s="5"/>
      <c r="V1311" s="5"/>
      <c r="W1311" s="5"/>
      <c r="X1311" s="5"/>
      <c r="Y1311" s="5"/>
      <c r="Z1311" s="5"/>
    </row>
    <row r="1312" ht="12.0" customHeight="1">
      <c r="A1312" s="92" t="s">
        <v>643</v>
      </c>
      <c r="B1312" s="5"/>
      <c r="C1312" s="206">
        <f t="shared" ref="C1312:N1312" si="387">IF(C1311=0,0,C1308/C1311)</f>
        <v>0.7121754603</v>
      </c>
      <c r="D1312" s="206">
        <f t="shared" si="387"/>
        <v>0.5429658159</v>
      </c>
      <c r="E1312" s="206">
        <f t="shared" si="387"/>
        <v>0.5071757827</v>
      </c>
      <c r="F1312" s="206">
        <f t="shared" si="387"/>
        <v>0.4848636557</v>
      </c>
      <c r="G1312" s="206">
        <f t="shared" si="387"/>
        <v>0.4537173081</v>
      </c>
      <c r="H1312" s="206">
        <f t="shared" si="387"/>
        <v>0.4448830874</v>
      </c>
      <c r="I1312" s="206">
        <f t="shared" si="387"/>
        <v>0.476029435</v>
      </c>
      <c r="J1312" s="206">
        <f t="shared" si="387"/>
        <v>0.476029435</v>
      </c>
      <c r="K1312" s="206">
        <f t="shared" si="387"/>
        <v>0.476029435</v>
      </c>
      <c r="L1312" s="206">
        <f t="shared" si="387"/>
        <v>0.4671952144</v>
      </c>
      <c r="M1312" s="206">
        <f t="shared" si="387"/>
        <v>0.4583609937</v>
      </c>
      <c r="N1312" s="206">
        <f t="shared" si="387"/>
        <v>0.7298439016</v>
      </c>
      <c r="O1312" s="5"/>
      <c r="P1312" s="5"/>
      <c r="Q1312" s="5"/>
      <c r="R1312" s="5"/>
      <c r="S1312" s="5"/>
      <c r="T1312" s="5"/>
      <c r="U1312" s="5"/>
      <c r="V1312" s="5"/>
      <c r="W1312" s="5"/>
      <c r="X1312" s="5"/>
      <c r="Y1312" s="5"/>
      <c r="Z1312" s="5"/>
    </row>
    <row r="1313" ht="12.0" customHeight="1">
      <c r="A1313" s="201" t="s">
        <v>649</v>
      </c>
      <c r="B1313" s="202"/>
      <c r="C1313" s="202"/>
      <c r="D1313" s="202"/>
      <c r="E1313" s="202"/>
      <c r="F1313" s="202"/>
      <c r="G1313" s="202"/>
      <c r="H1313" s="202"/>
      <c r="I1313" s="202"/>
      <c r="J1313" s="202"/>
      <c r="K1313" s="202"/>
      <c r="L1313" s="202"/>
      <c r="M1313" s="202"/>
      <c r="N1313" s="202"/>
      <c r="O1313" s="5"/>
      <c r="P1313" s="5"/>
      <c r="Q1313" s="5"/>
      <c r="R1313" s="5"/>
      <c r="S1313" s="5"/>
      <c r="T1313" s="5"/>
      <c r="U1313" s="5"/>
      <c r="V1313" s="5"/>
      <c r="W1313" s="5"/>
      <c r="X1313" s="5"/>
      <c r="Y1313" s="5"/>
      <c r="Z1313" s="5"/>
    </row>
    <row r="1314" ht="12.0" customHeight="1">
      <c r="A1314" s="201" t="s">
        <v>630</v>
      </c>
      <c r="B1314" s="201" t="s">
        <v>631</v>
      </c>
      <c r="C1314" s="201" t="s">
        <v>3</v>
      </c>
      <c r="D1314" s="201" t="s">
        <v>4</v>
      </c>
      <c r="E1314" s="201" t="s">
        <v>5</v>
      </c>
      <c r="F1314" s="201" t="s">
        <v>6</v>
      </c>
      <c r="G1314" s="201" t="s">
        <v>7</v>
      </c>
      <c r="H1314" s="201" t="s">
        <v>8</v>
      </c>
      <c r="I1314" s="201" t="s">
        <v>9</v>
      </c>
      <c r="J1314" s="201" t="s">
        <v>10</v>
      </c>
      <c r="K1314" s="201" t="s">
        <v>11</v>
      </c>
      <c r="L1314" s="201" t="s">
        <v>12</v>
      </c>
      <c r="M1314" s="201" t="s">
        <v>13</v>
      </c>
      <c r="N1314" s="201" t="s">
        <v>14</v>
      </c>
      <c r="O1314" s="5"/>
      <c r="P1314" s="5"/>
      <c r="Q1314" s="5"/>
      <c r="R1314" s="5"/>
      <c r="S1314" s="5"/>
      <c r="T1314" s="5"/>
      <c r="U1314" s="5"/>
      <c r="V1314" s="5"/>
      <c r="W1314" s="5"/>
      <c r="X1314" s="5"/>
      <c r="Y1314" s="5"/>
      <c r="Z1314" s="5"/>
    </row>
    <row r="1315" ht="12.0" customHeight="1">
      <c r="A1315" s="92" t="s">
        <v>632</v>
      </c>
      <c r="B1315" s="92" t="s">
        <v>633</v>
      </c>
      <c r="C1315" s="203">
        <f>SUM('2033'!B6:B9)+SUM('2033'!B17:B20)</f>
        <v>24917.86</v>
      </c>
      <c r="D1315" s="203">
        <f>SUM('2033'!C6:C9)+SUM('2033'!C17:C20)</f>
        <v>18997.49</v>
      </c>
      <c r="E1315" s="203">
        <f>SUM('2033'!D6:D9)+SUM('2033'!D17:D20)</f>
        <v>17745.255</v>
      </c>
      <c r="F1315" s="203">
        <f>SUM('2033'!E6:E9)+SUM('2033'!E17:E20)</f>
        <v>16964.59</v>
      </c>
      <c r="G1315" s="203">
        <f>SUM('2033'!F6:F9)+SUM('2033'!F17:F20)</f>
        <v>15874.83</v>
      </c>
      <c r="H1315" s="203">
        <f>SUM('2033'!G6:G9)+SUM('2033'!G17:G20)</f>
        <v>15565.735</v>
      </c>
      <c r="I1315" s="203">
        <f>SUM('2033'!H6:H9)+SUM('2033'!H17:H20)</f>
        <v>16655.495</v>
      </c>
      <c r="J1315" s="203">
        <f>SUM('2033'!I6:I9)+SUM('2033'!I17:I20)</f>
        <v>16655.495</v>
      </c>
      <c r="K1315" s="203">
        <f>SUM('2033'!J6:J9)+SUM('2033'!J17:J20)</f>
        <v>16655.495</v>
      </c>
      <c r="L1315" s="203">
        <f>SUM('2033'!K6:K9)+SUM('2033'!K17:K20)</f>
        <v>16346.4</v>
      </c>
      <c r="M1315" s="203">
        <f>SUM('2033'!L6:L9)+SUM('2033'!L17:L20)</f>
        <v>16037.305</v>
      </c>
      <c r="N1315" s="203">
        <f>SUM('2033'!M6:M9)+SUM('2033'!M17:M20)</f>
        <v>25536.05</v>
      </c>
      <c r="O1315" s="5"/>
      <c r="P1315" s="5"/>
      <c r="Q1315" s="5"/>
      <c r="R1315" s="5"/>
      <c r="S1315" s="5"/>
      <c r="T1315" s="5"/>
      <c r="U1315" s="5"/>
      <c r="V1315" s="5"/>
      <c r="W1315" s="5"/>
      <c r="X1315" s="5"/>
      <c r="Y1315" s="5"/>
      <c r="Z1315" s="5"/>
    </row>
    <row r="1316" ht="12.0" customHeight="1">
      <c r="A1316" s="5"/>
      <c r="B1316" s="92" t="s">
        <v>634</v>
      </c>
      <c r="C1316" s="204">
        <f>C1315/Parametros!$B$37</f>
        <v>1245.893</v>
      </c>
      <c r="D1316" s="204">
        <f>D1315/Parametros!$B$37</f>
        <v>949.8745</v>
      </c>
      <c r="E1316" s="204">
        <f>E1315/Parametros!$B$37</f>
        <v>887.26275</v>
      </c>
      <c r="F1316" s="204">
        <f>F1315/Parametros!$B$37</f>
        <v>848.2295</v>
      </c>
      <c r="G1316" s="204">
        <f>G1315/Parametros!$B$37</f>
        <v>793.7415</v>
      </c>
      <c r="H1316" s="204">
        <f>H1315/Parametros!$B$37</f>
        <v>778.28675</v>
      </c>
      <c r="I1316" s="204">
        <f>I1315/Parametros!$B$37</f>
        <v>832.77475</v>
      </c>
      <c r="J1316" s="204">
        <f>J1315/Parametros!$B$37</f>
        <v>832.77475</v>
      </c>
      <c r="K1316" s="204">
        <f>K1315/Parametros!$B$37</f>
        <v>832.77475</v>
      </c>
      <c r="L1316" s="204">
        <f>L1315/Parametros!$B$37</f>
        <v>817.32</v>
      </c>
      <c r="M1316" s="204">
        <f>M1315/Parametros!$B$37</f>
        <v>801.86525</v>
      </c>
      <c r="N1316" s="204">
        <f>N1315/Parametros!$B$37</f>
        <v>1276.8025</v>
      </c>
      <c r="O1316" s="5"/>
      <c r="P1316" s="5"/>
      <c r="Q1316" s="5"/>
      <c r="R1316" s="5"/>
      <c r="S1316" s="5"/>
      <c r="T1316" s="5"/>
      <c r="U1316" s="5"/>
      <c r="V1316" s="5"/>
      <c r="W1316" s="5"/>
      <c r="X1316" s="5"/>
      <c r="Y1316" s="5"/>
      <c r="Z1316" s="5"/>
    </row>
    <row r="1317" ht="12.0" customHeight="1">
      <c r="A1317" s="5"/>
      <c r="B1317" s="92" t="s">
        <v>635</v>
      </c>
      <c r="C1317" s="204">
        <f>C1316/Parametros!$J$37</f>
        <v>166.1190667</v>
      </c>
      <c r="D1317" s="204">
        <f>D1316/Parametros!$J$37</f>
        <v>126.6499333</v>
      </c>
      <c r="E1317" s="204">
        <f>E1316/Parametros!$J$37</f>
        <v>118.3017</v>
      </c>
      <c r="F1317" s="204">
        <f>F1316/Parametros!$J$37</f>
        <v>113.0972667</v>
      </c>
      <c r="G1317" s="204">
        <f>G1316/Parametros!$J$37</f>
        <v>105.8322</v>
      </c>
      <c r="H1317" s="204">
        <f>H1316/Parametros!$J$37</f>
        <v>103.7715667</v>
      </c>
      <c r="I1317" s="204">
        <f>I1316/Parametros!$J$37</f>
        <v>111.0366333</v>
      </c>
      <c r="J1317" s="204">
        <f>J1316/Parametros!$J$37</f>
        <v>111.0366333</v>
      </c>
      <c r="K1317" s="204">
        <f>K1316/Parametros!$J$37</f>
        <v>111.0366333</v>
      </c>
      <c r="L1317" s="204">
        <f>L1316/Parametros!$J$37</f>
        <v>108.976</v>
      </c>
      <c r="M1317" s="204">
        <f>M1316/Parametros!$J$37</f>
        <v>106.9153667</v>
      </c>
      <c r="N1317" s="204">
        <f>N1316/Parametros!$J$37</f>
        <v>170.2403333</v>
      </c>
      <c r="O1317" s="5"/>
      <c r="P1317" s="5"/>
      <c r="Q1317" s="5"/>
      <c r="R1317" s="5"/>
      <c r="S1317" s="5"/>
      <c r="T1317" s="5"/>
      <c r="U1317" s="5"/>
      <c r="V1317" s="5"/>
      <c r="W1317" s="5"/>
      <c r="X1317" s="5"/>
      <c r="Y1317" s="5"/>
      <c r="Z1317" s="5"/>
    </row>
    <row r="1318" ht="12.0" customHeight="1">
      <c r="A1318" s="92" t="s">
        <v>636</v>
      </c>
      <c r="B1318" s="5"/>
      <c r="C1318" s="204">
        <f t="shared" ref="C1318:N1318" si="388">C1317</f>
        <v>166.1190667</v>
      </c>
      <c r="D1318" s="204">
        <f t="shared" si="388"/>
        <v>126.6499333</v>
      </c>
      <c r="E1318" s="204">
        <f t="shared" si="388"/>
        <v>118.3017</v>
      </c>
      <c r="F1318" s="204">
        <f t="shared" si="388"/>
        <v>113.0972667</v>
      </c>
      <c r="G1318" s="204">
        <f t="shared" si="388"/>
        <v>105.8322</v>
      </c>
      <c r="H1318" s="204">
        <f t="shared" si="388"/>
        <v>103.7715667</v>
      </c>
      <c r="I1318" s="204">
        <f t="shared" si="388"/>
        <v>111.0366333</v>
      </c>
      <c r="J1318" s="204">
        <f t="shared" si="388"/>
        <v>111.0366333</v>
      </c>
      <c r="K1318" s="204">
        <f t="shared" si="388"/>
        <v>111.0366333</v>
      </c>
      <c r="L1318" s="204">
        <f t="shared" si="388"/>
        <v>108.976</v>
      </c>
      <c r="M1318" s="204">
        <f t="shared" si="388"/>
        <v>106.9153667</v>
      </c>
      <c r="N1318" s="204">
        <f t="shared" si="388"/>
        <v>170.2403333</v>
      </c>
      <c r="O1318" s="5"/>
      <c r="P1318" s="5"/>
      <c r="Q1318" s="5"/>
      <c r="R1318" s="5"/>
      <c r="S1318" s="5"/>
      <c r="T1318" s="5"/>
      <c r="U1318" s="5"/>
      <c r="V1318" s="5"/>
      <c r="W1318" s="5"/>
      <c r="X1318" s="5"/>
      <c r="Y1318" s="5"/>
      <c r="Z1318" s="5"/>
    </row>
    <row r="1319" ht="12.0" customHeight="1">
      <c r="A1319" s="92" t="s">
        <v>637</v>
      </c>
      <c r="B1319" s="5"/>
      <c r="C1319" s="205">
        <f>'Resumen Capacidad'!$I$114</f>
        <v>96</v>
      </c>
      <c r="D1319" s="205">
        <f>'Resumen Capacidad'!$I$114</f>
        <v>96</v>
      </c>
      <c r="E1319" s="205">
        <f>'Resumen Capacidad'!$I$114</f>
        <v>96</v>
      </c>
      <c r="F1319" s="205">
        <f>'Resumen Capacidad'!$I$114</f>
        <v>96</v>
      </c>
      <c r="G1319" s="205">
        <f>'Resumen Capacidad'!$I$114</f>
        <v>96</v>
      </c>
      <c r="H1319" s="205">
        <f>'Resumen Capacidad'!$I$114</f>
        <v>96</v>
      </c>
      <c r="I1319" s="205">
        <f>'Resumen Capacidad'!$I$114</f>
        <v>96</v>
      </c>
      <c r="J1319" s="205">
        <f>'Resumen Capacidad'!$I$114</f>
        <v>96</v>
      </c>
      <c r="K1319" s="205">
        <f>'Resumen Capacidad'!$I$114</f>
        <v>96</v>
      </c>
      <c r="L1319" s="205">
        <f>'Resumen Capacidad'!$I$114</f>
        <v>96</v>
      </c>
      <c r="M1319" s="205">
        <f>'Resumen Capacidad'!$I$114</f>
        <v>96</v>
      </c>
      <c r="N1319" s="205">
        <f>'Resumen Capacidad'!$I$114</f>
        <v>96</v>
      </c>
      <c r="O1319" s="5"/>
      <c r="P1319" s="5"/>
      <c r="Q1319" s="5"/>
      <c r="R1319" s="5"/>
      <c r="S1319" s="5"/>
      <c r="T1319" s="5"/>
      <c r="U1319" s="5"/>
      <c r="V1319" s="5"/>
      <c r="W1319" s="5"/>
      <c r="X1319" s="5"/>
      <c r="Y1319" s="5"/>
      <c r="Z1319" s="5"/>
    </row>
    <row r="1320" ht="12.0" customHeight="1">
      <c r="A1320" s="92" t="s">
        <v>640</v>
      </c>
      <c r="B1320" s="5"/>
      <c r="C1320" s="204">
        <f>'Resumen Capacidad'!$I$32*'Resumen Capacidad'!$I$68</f>
        <v>2</v>
      </c>
      <c r="D1320" s="204">
        <f>'Resumen Capacidad'!$I$32*'Resumen Capacidad'!$I$68</f>
        <v>2</v>
      </c>
      <c r="E1320" s="204">
        <f>'Resumen Capacidad'!$I$32*'Resumen Capacidad'!$I$68</f>
        <v>2</v>
      </c>
      <c r="F1320" s="204">
        <f>'Resumen Capacidad'!$I$32*'Resumen Capacidad'!$I$68</f>
        <v>2</v>
      </c>
      <c r="G1320" s="204">
        <f>'Resumen Capacidad'!$I$32*'Resumen Capacidad'!$I$68</f>
        <v>2</v>
      </c>
      <c r="H1320" s="204">
        <f>'Resumen Capacidad'!$I$32*'Resumen Capacidad'!$I$68</f>
        <v>2</v>
      </c>
      <c r="I1320" s="204">
        <f>'Resumen Capacidad'!$I$32*'Resumen Capacidad'!$I$68</f>
        <v>2</v>
      </c>
      <c r="J1320" s="204">
        <f>'Resumen Capacidad'!$I$32*'Resumen Capacidad'!$I$68</f>
        <v>2</v>
      </c>
      <c r="K1320" s="204">
        <f>'Resumen Capacidad'!$I$32*'Resumen Capacidad'!$I$68</f>
        <v>2</v>
      </c>
      <c r="L1320" s="204">
        <f>'Resumen Capacidad'!$I$32*'Resumen Capacidad'!$I$68</f>
        <v>2</v>
      </c>
      <c r="M1320" s="204">
        <f>'Resumen Capacidad'!$I$32*'Resumen Capacidad'!$I$68</f>
        <v>2</v>
      </c>
      <c r="N1320" s="204">
        <f>'Resumen Capacidad'!$I$32*'Resumen Capacidad'!$I$68</f>
        <v>2</v>
      </c>
      <c r="O1320" s="5"/>
      <c r="P1320" s="5"/>
      <c r="Q1320" s="5"/>
      <c r="R1320" s="5"/>
      <c r="S1320" s="5"/>
      <c r="T1320" s="5"/>
      <c r="U1320" s="5"/>
      <c r="V1320" s="5"/>
      <c r="W1320" s="5"/>
      <c r="X1320" s="5"/>
      <c r="Y1320" s="5"/>
      <c r="Z1320" s="5"/>
    </row>
    <row r="1321" ht="12.0" customHeight="1">
      <c r="A1321" s="92" t="s">
        <v>642</v>
      </c>
      <c r="B1321" s="5"/>
      <c r="C1321" s="204">
        <f t="shared" ref="C1321:N1321" si="389">C1319*C1320</f>
        <v>192</v>
      </c>
      <c r="D1321" s="204">
        <f t="shared" si="389"/>
        <v>192</v>
      </c>
      <c r="E1321" s="204">
        <f t="shared" si="389"/>
        <v>192</v>
      </c>
      <c r="F1321" s="204">
        <f t="shared" si="389"/>
        <v>192</v>
      </c>
      <c r="G1321" s="204">
        <f t="shared" si="389"/>
        <v>192</v>
      </c>
      <c r="H1321" s="204">
        <f t="shared" si="389"/>
        <v>192</v>
      </c>
      <c r="I1321" s="204">
        <f t="shared" si="389"/>
        <v>192</v>
      </c>
      <c r="J1321" s="204">
        <f t="shared" si="389"/>
        <v>192</v>
      </c>
      <c r="K1321" s="204">
        <f t="shared" si="389"/>
        <v>192</v>
      </c>
      <c r="L1321" s="204">
        <f t="shared" si="389"/>
        <v>192</v>
      </c>
      <c r="M1321" s="204">
        <f t="shared" si="389"/>
        <v>192</v>
      </c>
      <c r="N1321" s="204">
        <f t="shared" si="389"/>
        <v>192</v>
      </c>
      <c r="O1321" s="5"/>
      <c r="P1321" s="5"/>
      <c r="Q1321" s="5"/>
      <c r="R1321" s="5"/>
      <c r="S1321" s="5"/>
      <c r="T1321" s="5"/>
      <c r="U1321" s="5"/>
      <c r="V1321" s="5"/>
      <c r="W1321" s="5"/>
      <c r="X1321" s="5"/>
      <c r="Y1321" s="5"/>
      <c r="Z1321" s="5"/>
    </row>
    <row r="1322" ht="12.0" customHeight="1">
      <c r="A1322" s="92" t="s">
        <v>643</v>
      </c>
      <c r="B1322" s="5"/>
      <c r="C1322" s="206">
        <f t="shared" ref="C1322:N1322" si="390">IF(C1321=0,0,C1318/C1321)</f>
        <v>0.8652034722</v>
      </c>
      <c r="D1322" s="206">
        <f t="shared" si="390"/>
        <v>0.6596350694</v>
      </c>
      <c r="E1322" s="206">
        <f t="shared" si="390"/>
        <v>0.6161546875</v>
      </c>
      <c r="F1322" s="206">
        <f t="shared" si="390"/>
        <v>0.5890482639</v>
      </c>
      <c r="G1322" s="206">
        <f t="shared" si="390"/>
        <v>0.551209375</v>
      </c>
      <c r="H1322" s="206">
        <f t="shared" si="390"/>
        <v>0.5404769097</v>
      </c>
      <c r="I1322" s="206">
        <f t="shared" si="390"/>
        <v>0.5783157986</v>
      </c>
      <c r="J1322" s="206">
        <f t="shared" si="390"/>
        <v>0.5783157986</v>
      </c>
      <c r="K1322" s="206">
        <f t="shared" si="390"/>
        <v>0.5783157986</v>
      </c>
      <c r="L1322" s="206">
        <f t="shared" si="390"/>
        <v>0.5675833333</v>
      </c>
      <c r="M1322" s="206">
        <f t="shared" si="390"/>
        <v>0.5568508681</v>
      </c>
      <c r="N1322" s="206">
        <f t="shared" si="390"/>
        <v>0.8866684028</v>
      </c>
      <c r="O1322" s="5"/>
      <c r="P1322" s="5"/>
      <c r="Q1322" s="5"/>
      <c r="R1322" s="5"/>
      <c r="S1322" s="5"/>
      <c r="T1322" s="5"/>
      <c r="U1322" s="5"/>
      <c r="V1322" s="5"/>
      <c r="W1322" s="5"/>
      <c r="X1322" s="5"/>
      <c r="Y1322" s="5"/>
      <c r="Z1322" s="5"/>
    </row>
    <row r="1323" ht="12.0" customHeight="1">
      <c r="A1323" s="201" t="s">
        <v>650</v>
      </c>
      <c r="B1323" s="202"/>
      <c r="C1323" s="202"/>
      <c r="D1323" s="202"/>
      <c r="E1323" s="202"/>
      <c r="F1323" s="202"/>
      <c r="G1323" s="202"/>
      <c r="H1323" s="202"/>
      <c r="I1323" s="202"/>
      <c r="J1323" s="202"/>
      <c r="K1323" s="202"/>
      <c r="L1323" s="202"/>
      <c r="M1323" s="202"/>
      <c r="N1323" s="202"/>
      <c r="O1323" s="5"/>
      <c r="P1323" s="5"/>
      <c r="Q1323" s="5"/>
      <c r="R1323" s="5"/>
      <c r="S1323" s="5"/>
      <c r="T1323" s="5"/>
      <c r="U1323" s="5"/>
      <c r="V1323" s="5"/>
      <c r="W1323" s="5"/>
      <c r="X1323" s="5"/>
      <c r="Y1323" s="5"/>
      <c r="Z1323" s="5"/>
    </row>
    <row r="1324" ht="12.0" customHeight="1">
      <c r="A1324" s="201" t="s">
        <v>630</v>
      </c>
      <c r="B1324" s="201" t="s">
        <v>631</v>
      </c>
      <c r="C1324" s="201" t="s">
        <v>3</v>
      </c>
      <c r="D1324" s="201" t="s">
        <v>4</v>
      </c>
      <c r="E1324" s="201" t="s">
        <v>5</v>
      </c>
      <c r="F1324" s="201" t="s">
        <v>6</v>
      </c>
      <c r="G1324" s="201" t="s">
        <v>7</v>
      </c>
      <c r="H1324" s="201" t="s">
        <v>8</v>
      </c>
      <c r="I1324" s="201" t="s">
        <v>9</v>
      </c>
      <c r="J1324" s="201" t="s">
        <v>10</v>
      </c>
      <c r="K1324" s="201" t="s">
        <v>11</v>
      </c>
      <c r="L1324" s="201" t="s">
        <v>12</v>
      </c>
      <c r="M1324" s="201" t="s">
        <v>13</v>
      </c>
      <c r="N1324" s="201" t="s">
        <v>14</v>
      </c>
      <c r="O1324" s="5"/>
      <c r="P1324" s="5"/>
      <c r="Q1324" s="5"/>
      <c r="R1324" s="5"/>
      <c r="S1324" s="5"/>
      <c r="T1324" s="5"/>
      <c r="U1324" s="5"/>
      <c r="V1324" s="5"/>
      <c r="W1324" s="5"/>
      <c r="X1324" s="5"/>
      <c r="Y1324" s="5"/>
      <c r="Z1324" s="5"/>
    </row>
    <row r="1325" ht="12.0" customHeight="1">
      <c r="A1325" s="92" t="s">
        <v>651</v>
      </c>
      <c r="B1325" s="92" t="s">
        <v>633</v>
      </c>
      <c r="C1325" s="203">
        <f>SUM('2033'!B7:B9)+SUM('2033'!B18:B20)</f>
        <v>6181.9</v>
      </c>
      <c r="D1325" s="203">
        <f>SUM('2033'!C7:C9)+SUM('2033'!C18:C20)</f>
        <v>4945.52</v>
      </c>
      <c r="E1325" s="203">
        <f>SUM('2033'!D7:D9)+SUM('2033'!D18:D20)</f>
        <v>5254.615</v>
      </c>
      <c r="F1325" s="203">
        <f>SUM('2033'!E7:E9)+SUM('2033'!E18:E20)</f>
        <v>5254.615</v>
      </c>
      <c r="G1325" s="203">
        <f>SUM('2033'!F7:F9)+SUM('2033'!F18:F20)</f>
        <v>4945.52</v>
      </c>
      <c r="H1325" s="203">
        <f>SUM('2033'!G7:G9)+SUM('2033'!G18:G20)</f>
        <v>4636.425</v>
      </c>
      <c r="I1325" s="203">
        <f>SUM('2033'!H7:H9)+SUM('2033'!H18:H20)</f>
        <v>4945.52</v>
      </c>
      <c r="J1325" s="203">
        <f>SUM('2033'!I7:I9)+SUM('2033'!I18:I20)</f>
        <v>4945.52</v>
      </c>
      <c r="K1325" s="203">
        <f>SUM('2033'!J7:J9)+SUM('2033'!J18:J20)</f>
        <v>4945.52</v>
      </c>
      <c r="L1325" s="203">
        <f>SUM('2033'!K7:K9)+SUM('2033'!K18:K20)</f>
        <v>4636.425</v>
      </c>
      <c r="M1325" s="203">
        <f>SUM('2033'!L7:L9)+SUM('2033'!L18:L20)</f>
        <v>4327.33</v>
      </c>
      <c r="N1325" s="203">
        <f>SUM('2033'!M7:M9)+SUM('2033'!M18:M20)</f>
        <v>6800.09</v>
      </c>
      <c r="O1325" s="5"/>
      <c r="P1325" s="5"/>
      <c r="Q1325" s="5"/>
      <c r="R1325" s="5"/>
      <c r="S1325" s="5"/>
      <c r="T1325" s="5"/>
      <c r="U1325" s="5"/>
      <c r="V1325" s="5"/>
      <c r="W1325" s="5"/>
      <c r="X1325" s="5"/>
      <c r="Y1325" s="5"/>
      <c r="Z1325" s="5"/>
    </row>
    <row r="1326" ht="12.0" customHeight="1">
      <c r="A1326" s="5"/>
      <c r="B1326" s="92" t="s">
        <v>634</v>
      </c>
      <c r="C1326" s="204">
        <f>C1325/Parametros!$B$37</f>
        <v>309.095</v>
      </c>
      <c r="D1326" s="204">
        <f>D1325/Parametros!$B$37</f>
        <v>247.276</v>
      </c>
      <c r="E1326" s="204">
        <f>E1325/Parametros!$B$37</f>
        <v>262.73075</v>
      </c>
      <c r="F1326" s="204">
        <f>F1325/Parametros!$B$37</f>
        <v>262.73075</v>
      </c>
      <c r="G1326" s="204">
        <f>G1325/Parametros!$B$37</f>
        <v>247.276</v>
      </c>
      <c r="H1326" s="204">
        <f>H1325/Parametros!$B$37</f>
        <v>231.82125</v>
      </c>
      <c r="I1326" s="204">
        <f>I1325/Parametros!$B$37</f>
        <v>247.276</v>
      </c>
      <c r="J1326" s="204">
        <f>J1325/Parametros!$B$37</f>
        <v>247.276</v>
      </c>
      <c r="K1326" s="204">
        <f>K1325/Parametros!$B$37</f>
        <v>247.276</v>
      </c>
      <c r="L1326" s="204">
        <f>L1325/Parametros!$B$37</f>
        <v>231.82125</v>
      </c>
      <c r="M1326" s="204">
        <f>M1325/Parametros!$B$37</f>
        <v>216.3665</v>
      </c>
      <c r="N1326" s="204">
        <f>N1325/Parametros!$B$37</f>
        <v>340.0045</v>
      </c>
      <c r="O1326" s="5"/>
      <c r="P1326" s="5"/>
      <c r="Q1326" s="5"/>
      <c r="R1326" s="5"/>
      <c r="S1326" s="5"/>
      <c r="T1326" s="5"/>
      <c r="U1326" s="5"/>
      <c r="V1326" s="5"/>
      <c r="W1326" s="5"/>
      <c r="X1326" s="5"/>
      <c r="Y1326" s="5"/>
      <c r="Z1326" s="5"/>
    </row>
    <row r="1327" ht="12.0" customHeight="1">
      <c r="A1327" s="5"/>
      <c r="B1327" s="92" t="s">
        <v>635</v>
      </c>
      <c r="C1327" s="204">
        <f>C1326/Parametros!$J$37</f>
        <v>41.21266667</v>
      </c>
      <c r="D1327" s="204">
        <f>D1326/Parametros!$J$37</f>
        <v>32.97013333</v>
      </c>
      <c r="E1327" s="204">
        <f>E1326/Parametros!$J$37</f>
        <v>35.03076667</v>
      </c>
      <c r="F1327" s="204">
        <f>F1326/Parametros!$J$37</f>
        <v>35.03076667</v>
      </c>
      <c r="G1327" s="204">
        <f>G1326/Parametros!$J$37</f>
        <v>32.97013333</v>
      </c>
      <c r="H1327" s="204">
        <f>H1326/Parametros!$J$37</f>
        <v>30.9095</v>
      </c>
      <c r="I1327" s="204">
        <f>I1326/Parametros!$J$37</f>
        <v>32.97013333</v>
      </c>
      <c r="J1327" s="204">
        <f>J1326/Parametros!$J$37</f>
        <v>32.97013333</v>
      </c>
      <c r="K1327" s="204">
        <f>K1326/Parametros!$J$37</f>
        <v>32.97013333</v>
      </c>
      <c r="L1327" s="204">
        <f>L1326/Parametros!$J$37</f>
        <v>30.9095</v>
      </c>
      <c r="M1327" s="204">
        <f>M1326/Parametros!$J$37</f>
        <v>28.84886667</v>
      </c>
      <c r="N1327" s="204">
        <f>N1326/Parametros!$J$37</f>
        <v>45.33393333</v>
      </c>
      <c r="O1327" s="5"/>
      <c r="P1327" s="5"/>
      <c r="Q1327" s="5"/>
      <c r="R1327" s="5"/>
      <c r="S1327" s="5"/>
      <c r="T1327" s="5"/>
      <c r="U1327" s="5"/>
      <c r="V1327" s="5"/>
      <c r="W1327" s="5"/>
      <c r="X1327" s="5"/>
      <c r="Y1327" s="5"/>
      <c r="Z1327" s="5"/>
    </row>
    <row r="1328" ht="12.0" customHeight="1">
      <c r="A1328" s="92" t="s">
        <v>636</v>
      </c>
      <c r="B1328" s="5"/>
      <c r="C1328" s="204">
        <f t="shared" ref="C1328:N1328" si="391">C1327</f>
        <v>41.21266667</v>
      </c>
      <c r="D1328" s="204">
        <f t="shared" si="391"/>
        <v>32.97013333</v>
      </c>
      <c r="E1328" s="204">
        <f t="shared" si="391"/>
        <v>35.03076667</v>
      </c>
      <c r="F1328" s="204">
        <f t="shared" si="391"/>
        <v>35.03076667</v>
      </c>
      <c r="G1328" s="204">
        <f t="shared" si="391"/>
        <v>32.97013333</v>
      </c>
      <c r="H1328" s="204">
        <f t="shared" si="391"/>
        <v>30.9095</v>
      </c>
      <c r="I1328" s="204">
        <f t="shared" si="391"/>
        <v>32.97013333</v>
      </c>
      <c r="J1328" s="204">
        <f t="shared" si="391"/>
        <v>32.97013333</v>
      </c>
      <c r="K1328" s="204">
        <f t="shared" si="391"/>
        <v>32.97013333</v>
      </c>
      <c r="L1328" s="204">
        <f t="shared" si="391"/>
        <v>30.9095</v>
      </c>
      <c r="M1328" s="204">
        <f t="shared" si="391"/>
        <v>28.84886667</v>
      </c>
      <c r="N1328" s="204">
        <f t="shared" si="391"/>
        <v>45.33393333</v>
      </c>
      <c r="O1328" s="5"/>
      <c r="P1328" s="5"/>
      <c r="Q1328" s="5"/>
      <c r="R1328" s="5"/>
      <c r="S1328" s="5"/>
      <c r="T1328" s="5"/>
      <c r="U1328" s="5"/>
      <c r="V1328" s="5"/>
      <c r="W1328" s="5"/>
      <c r="X1328" s="5"/>
      <c r="Y1328" s="5"/>
      <c r="Z1328" s="5"/>
    </row>
    <row r="1329" ht="12.0" customHeight="1">
      <c r="A1329" s="92" t="s">
        <v>637</v>
      </c>
      <c r="B1329" s="5"/>
      <c r="C1329" s="205">
        <f>'Resumen Capacidad'!$I$115</f>
        <v>80.10122449</v>
      </c>
      <c r="D1329" s="205">
        <f>'Resumen Capacidad'!$I$115</f>
        <v>80.10122449</v>
      </c>
      <c r="E1329" s="205">
        <f>'Resumen Capacidad'!$I$115</f>
        <v>80.10122449</v>
      </c>
      <c r="F1329" s="205">
        <f>'Resumen Capacidad'!$I$115</f>
        <v>80.10122449</v>
      </c>
      <c r="G1329" s="205">
        <f>'Resumen Capacidad'!$I$115</f>
        <v>80.10122449</v>
      </c>
      <c r="H1329" s="205">
        <f>'Resumen Capacidad'!$I$115</f>
        <v>80.10122449</v>
      </c>
      <c r="I1329" s="205">
        <f>'Resumen Capacidad'!$I$115</f>
        <v>80.10122449</v>
      </c>
      <c r="J1329" s="205">
        <f>'Resumen Capacidad'!$I$115</f>
        <v>80.10122449</v>
      </c>
      <c r="K1329" s="205">
        <f>'Resumen Capacidad'!$I$115</f>
        <v>80.10122449</v>
      </c>
      <c r="L1329" s="205">
        <f>'Resumen Capacidad'!$I$115</f>
        <v>80.10122449</v>
      </c>
      <c r="M1329" s="205">
        <f>'Resumen Capacidad'!$I$115</f>
        <v>80.10122449</v>
      </c>
      <c r="N1329" s="205">
        <f>'Resumen Capacidad'!$I$115</f>
        <v>80.10122449</v>
      </c>
      <c r="O1329" s="5"/>
      <c r="P1329" s="5"/>
      <c r="Q1329" s="5"/>
      <c r="R1329" s="5"/>
      <c r="S1329" s="5"/>
      <c r="T1329" s="5"/>
      <c r="U1329" s="5"/>
      <c r="V1329" s="5"/>
      <c r="W1329" s="5"/>
      <c r="X1329" s="5"/>
      <c r="Y1329" s="5"/>
      <c r="Z1329" s="5"/>
    </row>
    <row r="1330" ht="12.0" customHeight="1">
      <c r="A1330" s="92" t="s">
        <v>640</v>
      </c>
      <c r="B1330" s="5"/>
      <c r="C1330" s="204">
        <f>'Resumen Capacidad'!$I$33*'Resumen Capacidad'!$I$69</f>
        <v>1</v>
      </c>
      <c r="D1330" s="204">
        <f>'Resumen Capacidad'!$I$33*'Resumen Capacidad'!$I$69</f>
        <v>1</v>
      </c>
      <c r="E1330" s="204">
        <f>'Resumen Capacidad'!$I$33*'Resumen Capacidad'!$I$69</f>
        <v>1</v>
      </c>
      <c r="F1330" s="204">
        <f>'Resumen Capacidad'!$I$33*'Resumen Capacidad'!$I$69</f>
        <v>1</v>
      </c>
      <c r="G1330" s="204">
        <f>'Resumen Capacidad'!$I$33*'Resumen Capacidad'!$I$69</f>
        <v>1</v>
      </c>
      <c r="H1330" s="204">
        <f>'Resumen Capacidad'!$I$33*'Resumen Capacidad'!$I$69</f>
        <v>1</v>
      </c>
      <c r="I1330" s="204">
        <f>'Resumen Capacidad'!$I$33*'Resumen Capacidad'!$I$69</f>
        <v>1</v>
      </c>
      <c r="J1330" s="204">
        <f>'Resumen Capacidad'!$I$33*'Resumen Capacidad'!$I$69</f>
        <v>1</v>
      </c>
      <c r="K1330" s="204">
        <f>'Resumen Capacidad'!$I$33*'Resumen Capacidad'!$I$69</f>
        <v>1</v>
      </c>
      <c r="L1330" s="204">
        <f>'Resumen Capacidad'!$I$33*'Resumen Capacidad'!$I$69</f>
        <v>1</v>
      </c>
      <c r="M1330" s="204">
        <f>'Resumen Capacidad'!$I$33*'Resumen Capacidad'!$I$69</f>
        <v>1</v>
      </c>
      <c r="N1330" s="204">
        <f>'Resumen Capacidad'!$I$33*'Resumen Capacidad'!$I$69</f>
        <v>1</v>
      </c>
      <c r="O1330" s="5"/>
      <c r="P1330" s="5"/>
      <c r="Q1330" s="5"/>
      <c r="R1330" s="5"/>
      <c r="S1330" s="5"/>
      <c r="T1330" s="5"/>
      <c r="U1330" s="5"/>
      <c r="V1330" s="5"/>
      <c r="W1330" s="5"/>
      <c r="X1330" s="5"/>
      <c r="Y1330" s="5"/>
      <c r="Z1330" s="5"/>
    </row>
    <row r="1331" ht="12.0" customHeight="1">
      <c r="A1331" s="92" t="s">
        <v>642</v>
      </c>
      <c r="B1331" s="5"/>
      <c r="C1331" s="204">
        <f t="shared" ref="C1331:N1331" si="392">C1329*C1330</f>
        <v>80.10122449</v>
      </c>
      <c r="D1331" s="204">
        <f t="shared" si="392"/>
        <v>80.10122449</v>
      </c>
      <c r="E1331" s="204">
        <f t="shared" si="392"/>
        <v>80.10122449</v>
      </c>
      <c r="F1331" s="204">
        <f t="shared" si="392"/>
        <v>80.10122449</v>
      </c>
      <c r="G1331" s="204">
        <f t="shared" si="392"/>
        <v>80.10122449</v>
      </c>
      <c r="H1331" s="204">
        <f t="shared" si="392"/>
        <v>80.10122449</v>
      </c>
      <c r="I1331" s="204">
        <f t="shared" si="392"/>
        <v>80.10122449</v>
      </c>
      <c r="J1331" s="204">
        <f t="shared" si="392"/>
        <v>80.10122449</v>
      </c>
      <c r="K1331" s="204">
        <f t="shared" si="392"/>
        <v>80.10122449</v>
      </c>
      <c r="L1331" s="204">
        <f t="shared" si="392"/>
        <v>80.10122449</v>
      </c>
      <c r="M1331" s="204">
        <f t="shared" si="392"/>
        <v>80.10122449</v>
      </c>
      <c r="N1331" s="204">
        <f t="shared" si="392"/>
        <v>80.10122449</v>
      </c>
      <c r="O1331" s="5"/>
      <c r="P1331" s="5"/>
      <c r="Q1331" s="5"/>
      <c r="R1331" s="5"/>
      <c r="S1331" s="5"/>
      <c r="T1331" s="5"/>
      <c r="U1331" s="5"/>
      <c r="V1331" s="5"/>
      <c r="W1331" s="5"/>
      <c r="X1331" s="5"/>
      <c r="Y1331" s="5"/>
      <c r="Z1331" s="5"/>
    </row>
    <row r="1332" ht="12.0" customHeight="1">
      <c r="A1332" s="92" t="s">
        <v>643</v>
      </c>
      <c r="B1332" s="5"/>
      <c r="C1332" s="206">
        <f t="shared" ref="C1332:N1332" si="393">IF(C1331=0,0,C1328/C1331)</f>
        <v>0.5145073241</v>
      </c>
      <c r="D1332" s="206">
        <f t="shared" si="393"/>
        <v>0.4116058593</v>
      </c>
      <c r="E1332" s="206">
        <f t="shared" si="393"/>
        <v>0.4373312255</v>
      </c>
      <c r="F1332" s="206">
        <f t="shared" si="393"/>
        <v>0.4373312255</v>
      </c>
      <c r="G1332" s="206">
        <f t="shared" si="393"/>
        <v>0.4116058593</v>
      </c>
      <c r="H1332" s="206">
        <f t="shared" si="393"/>
        <v>0.385880493</v>
      </c>
      <c r="I1332" s="206">
        <f t="shared" si="393"/>
        <v>0.4116058593</v>
      </c>
      <c r="J1332" s="206">
        <f t="shared" si="393"/>
        <v>0.4116058593</v>
      </c>
      <c r="K1332" s="206">
        <f t="shared" si="393"/>
        <v>0.4116058593</v>
      </c>
      <c r="L1332" s="206">
        <f t="shared" si="393"/>
        <v>0.385880493</v>
      </c>
      <c r="M1332" s="206">
        <f t="shared" si="393"/>
        <v>0.3601551268</v>
      </c>
      <c r="N1332" s="206">
        <f t="shared" si="393"/>
        <v>0.5659580565</v>
      </c>
      <c r="O1332" s="5"/>
      <c r="P1332" s="5"/>
      <c r="Q1332" s="5"/>
      <c r="R1332" s="5"/>
      <c r="S1332" s="5"/>
      <c r="T1332" s="5"/>
      <c r="U1332" s="5"/>
      <c r="V1332" s="5"/>
      <c r="W1332" s="5"/>
      <c r="X1332" s="5"/>
      <c r="Y1332" s="5"/>
      <c r="Z1332" s="5"/>
    </row>
    <row r="1333" ht="12.0" customHeight="1">
      <c r="A1333" s="201" t="s">
        <v>656</v>
      </c>
      <c r="B1333" s="202"/>
      <c r="C1333" s="202"/>
      <c r="D1333" s="202"/>
      <c r="E1333" s="202"/>
      <c r="F1333" s="202"/>
      <c r="G1333" s="202"/>
      <c r="H1333" s="202"/>
      <c r="I1333" s="202"/>
      <c r="J1333" s="202"/>
      <c r="K1333" s="202"/>
      <c r="L1333" s="202"/>
      <c r="M1333" s="202"/>
      <c r="N1333" s="202"/>
      <c r="O1333" s="5"/>
      <c r="P1333" s="5"/>
      <c r="Q1333" s="5"/>
      <c r="R1333" s="5"/>
      <c r="S1333" s="5"/>
      <c r="T1333" s="5"/>
      <c r="U1333" s="5"/>
      <c r="V1333" s="5"/>
      <c r="W1333" s="5"/>
      <c r="X1333" s="5"/>
      <c r="Y1333" s="5"/>
      <c r="Z1333" s="5"/>
    </row>
    <row r="1334" ht="12.0" customHeight="1">
      <c r="A1334" s="201" t="s">
        <v>630</v>
      </c>
      <c r="B1334" s="201" t="s">
        <v>631</v>
      </c>
      <c r="C1334" s="201" t="s">
        <v>3</v>
      </c>
      <c r="D1334" s="201" t="s">
        <v>4</v>
      </c>
      <c r="E1334" s="201" t="s">
        <v>5</v>
      </c>
      <c r="F1334" s="201" t="s">
        <v>6</v>
      </c>
      <c r="G1334" s="201" t="s">
        <v>7</v>
      </c>
      <c r="H1334" s="201" t="s">
        <v>8</v>
      </c>
      <c r="I1334" s="201" t="s">
        <v>9</v>
      </c>
      <c r="J1334" s="201" t="s">
        <v>10</v>
      </c>
      <c r="K1334" s="201" t="s">
        <v>11</v>
      </c>
      <c r="L1334" s="201" t="s">
        <v>12</v>
      </c>
      <c r="M1334" s="201" t="s">
        <v>13</v>
      </c>
      <c r="N1334" s="201" t="s">
        <v>14</v>
      </c>
      <c r="O1334" s="5"/>
      <c r="P1334" s="5"/>
      <c r="Q1334" s="5"/>
      <c r="R1334" s="5"/>
      <c r="S1334" s="5"/>
      <c r="T1334" s="5"/>
      <c r="U1334" s="5"/>
      <c r="V1334" s="5"/>
      <c r="W1334" s="5"/>
      <c r="X1334" s="5"/>
      <c r="Y1334" s="5"/>
      <c r="Z1334" s="5"/>
    </row>
    <row r="1335" ht="12.0" customHeight="1">
      <c r="A1335" s="92" t="s">
        <v>651</v>
      </c>
      <c r="B1335" s="92" t="s">
        <v>633</v>
      </c>
      <c r="C1335" s="203">
        <f>SUM('2033'!B7:B9)+SUM('2033'!B18:B20)</f>
        <v>6181.9</v>
      </c>
      <c r="D1335" s="203">
        <f>SUM('2033'!C7:C9)+SUM('2033'!C18:C20)</f>
        <v>4945.52</v>
      </c>
      <c r="E1335" s="203">
        <f>SUM('2033'!D7:D9)+SUM('2033'!D18:D20)</f>
        <v>5254.615</v>
      </c>
      <c r="F1335" s="203">
        <f>SUM('2033'!E7:E9)+SUM('2033'!E18:E20)</f>
        <v>5254.615</v>
      </c>
      <c r="G1335" s="203">
        <f>SUM('2033'!F7:F9)+SUM('2033'!F18:F20)</f>
        <v>4945.52</v>
      </c>
      <c r="H1335" s="203">
        <f>SUM('2033'!G7:G9)+SUM('2033'!G18:G20)</f>
        <v>4636.425</v>
      </c>
      <c r="I1335" s="203">
        <f>SUM('2033'!H7:H9)+SUM('2033'!H18:H20)</f>
        <v>4945.52</v>
      </c>
      <c r="J1335" s="203">
        <f>SUM('2033'!I7:I9)+SUM('2033'!I18:I20)</f>
        <v>4945.52</v>
      </c>
      <c r="K1335" s="203">
        <f>SUM('2033'!J7:J9)+SUM('2033'!J18:J20)</f>
        <v>4945.52</v>
      </c>
      <c r="L1335" s="203">
        <f>SUM('2033'!K7:K9)+SUM('2033'!K18:K20)</f>
        <v>4636.425</v>
      </c>
      <c r="M1335" s="203">
        <f>SUM('2033'!L7:L9)+SUM('2033'!L18:L20)</f>
        <v>4327.33</v>
      </c>
      <c r="N1335" s="203">
        <f>SUM('2033'!M7:M9)+SUM('2033'!M18:M20)</f>
        <v>6800.09</v>
      </c>
      <c r="O1335" s="5"/>
      <c r="P1335" s="5"/>
      <c r="Q1335" s="5"/>
      <c r="R1335" s="5"/>
      <c r="S1335" s="5"/>
      <c r="T1335" s="5"/>
      <c r="U1335" s="5"/>
      <c r="V1335" s="5"/>
      <c r="W1335" s="5"/>
      <c r="X1335" s="5"/>
      <c r="Y1335" s="5"/>
      <c r="Z1335" s="5"/>
    </row>
    <row r="1336" ht="12.0" customHeight="1">
      <c r="A1336" s="5"/>
      <c r="B1336" s="92" t="s">
        <v>634</v>
      </c>
      <c r="C1336" s="204">
        <f>C1335/Parametros!$B$37</f>
        <v>309.095</v>
      </c>
      <c r="D1336" s="204">
        <f>D1335/Parametros!$B$37</f>
        <v>247.276</v>
      </c>
      <c r="E1336" s="204">
        <f>E1335/Parametros!$B$37</f>
        <v>262.73075</v>
      </c>
      <c r="F1336" s="204">
        <f>F1335/Parametros!$B$37</f>
        <v>262.73075</v>
      </c>
      <c r="G1336" s="204">
        <f>G1335/Parametros!$B$37</f>
        <v>247.276</v>
      </c>
      <c r="H1336" s="204">
        <f>H1335/Parametros!$B$37</f>
        <v>231.82125</v>
      </c>
      <c r="I1336" s="204">
        <f>I1335/Parametros!$B$37</f>
        <v>247.276</v>
      </c>
      <c r="J1336" s="204">
        <f>J1335/Parametros!$B$37</f>
        <v>247.276</v>
      </c>
      <c r="K1336" s="204">
        <f>K1335/Parametros!$B$37</f>
        <v>247.276</v>
      </c>
      <c r="L1336" s="204">
        <f>L1335/Parametros!$B$37</f>
        <v>231.82125</v>
      </c>
      <c r="M1336" s="204">
        <f>M1335/Parametros!$B$37</f>
        <v>216.3665</v>
      </c>
      <c r="N1336" s="204">
        <f>N1335/Parametros!$B$37</f>
        <v>340.0045</v>
      </c>
      <c r="O1336" s="5"/>
      <c r="P1336" s="5"/>
      <c r="Q1336" s="5"/>
      <c r="R1336" s="5"/>
      <c r="S1336" s="5"/>
      <c r="T1336" s="5"/>
      <c r="U1336" s="5"/>
      <c r="V1336" s="5"/>
      <c r="W1336" s="5"/>
      <c r="X1336" s="5"/>
      <c r="Y1336" s="5"/>
      <c r="Z1336" s="5"/>
    </row>
    <row r="1337" ht="12.0" customHeight="1">
      <c r="A1337" s="5"/>
      <c r="B1337" s="92" t="s">
        <v>635</v>
      </c>
      <c r="C1337" s="204">
        <f>C1336/Parametros!$J$37</f>
        <v>41.21266667</v>
      </c>
      <c r="D1337" s="204">
        <f>D1336/Parametros!$J$37</f>
        <v>32.97013333</v>
      </c>
      <c r="E1337" s="204">
        <f>E1336/Parametros!$J$37</f>
        <v>35.03076667</v>
      </c>
      <c r="F1337" s="204">
        <f>F1336/Parametros!$J$37</f>
        <v>35.03076667</v>
      </c>
      <c r="G1337" s="204">
        <f>G1336/Parametros!$J$37</f>
        <v>32.97013333</v>
      </c>
      <c r="H1337" s="204">
        <f>H1336/Parametros!$J$37</f>
        <v>30.9095</v>
      </c>
      <c r="I1337" s="204">
        <f>I1336/Parametros!$J$37</f>
        <v>32.97013333</v>
      </c>
      <c r="J1337" s="204">
        <f>J1336/Parametros!$J$37</f>
        <v>32.97013333</v>
      </c>
      <c r="K1337" s="204">
        <f>K1336/Parametros!$J$37</f>
        <v>32.97013333</v>
      </c>
      <c r="L1337" s="204">
        <f>L1336/Parametros!$J$37</f>
        <v>30.9095</v>
      </c>
      <c r="M1337" s="204">
        <f>M1336/Parametros!$J$37</f>
        <v>28.84886667</v>
      </c>
      <c r="N1337" s="204">
        <f>N1336/Parametros!$J$37</f>
        <v>45.33393333</v>
      </c>
      <c r="O1337" s="5"/>
      <c r="P1337" s="5"/>
      <c r="Q1337" s="5"/>
      <c r="R1337" s="5"/>
      <c r="S1337" s="5"/>
      <c r="T1337" s="5"/>
      <c r="U1337" s="5"/>
      <c r="V1337" s="5"/>
      <c r="W1337" s="5"/>
      <c r="X1337" s="5"/>
      <c r="Y1337" s="5"/>
      <c r="Z1337" s="5"/>
    </row>
    <row r="1338" ht="12.0" customHeight="1">
      <c r="A1338" s="92" t="s">
        <v>636</v>
      </c>
      <c r="B1338" s="5"/>
      <c r="C1338" s="204">
        <f t="shared" ref="C1338:N1338" si="394">C1337</f>
        <v>41.21266667</v>
      </c>
      <c r="D1338" s="204">
        <f t="shared" si="394"/>
        <v>32.97013333</v>
      </c>
      <c r="E1338" s="204">
        <f t="shared" si="394"/>
        <v>35.03076667</v>
      </c>
      <c r="F1338" s="204">
        <f t="shared" si="394"/>
        <v>35.03076667</v>
      </c>
      <c r="G1338" s="204">
        <f t="shared" si="394"/>
        <v>32.97013333</v>
      </c>
      <c r="H1338" s="204">
        <f t="shared" si="394"/>
        <v>30.9095</v>
      </c>
      <c r="I1338" s="204">
        <f t="shared" si="394"/>
        <v>32.97013333</v>
      </c>
      <c r="J1338" s="204">
        <f t="shared" si="394"/>
        <v>32.97013333</v>
      </c>
      <c r="K1338" s="204">
        <f t="shared" si="394"/>
        <v>32.97013333</v>
      </c>
      <c r="L1338" s="204">
        <f t="shared" si="394"/>
        <v>30.9095</v>
      </c>
      <c r="M1338" s="204">
        <f t="shared" si="394"/>
        <v>28.84886667</v>
      </c>
      <c r="N1338" s="204">
        <f t="shared" si="394"/>
        <v>45.33393333</v>
      </c>
      <c r="O1338" s="5"/>
      <c r="P1338" s="5"/>
      <c r="Q1338" s="5"/>
      <c r="R1338" s="5"/>
      <c r="S1338" s="5"/>
      <c r="T1338" s="5"/>
      <c r="U1338" s="5"/>
      <c r="V1338" s="5"/>
      <c r="W1338" s="5"/>
      <c r="X1338" s="5"/>
      <c r="Y1338" s="5"/>
      <c r="Z1338" s="5"/>
    </row>
    <row r="1339" ht="12.0" customHeight="1">
      <c r="A1339" s="92" t="s">
        <v>637</v>
      </c>
      <c r="B1339" s="5"/>
      <c r="C1339" s="205">
        <f>'Resumen Capacidad'!$I$116</f>
        <v>56.576</v>
      </c>
      <c r="D1339" s="205">
        <f>'Resumen Capacidad'!$I$116</f>
        <v>56.576</v>
      </c>
      <c r="E1339" s="205">
        <f>'Resumen Capacidad'!$I$116</f>
        <v>56.576</v>
      </c>
      <c r="F1339" s="205">
        <f>'Resumen Capacidad'!$I$116</f>
        <v>56.576</v>
      </c>
      <c r="G1339" s="205">
        <f>'Resumen Capacidad'!$I$116</f>
        <v>56.576</v>
      </c>
      <c r="H1339" s="205">
        <f>'Resumen Capacidad'!$I$116</f>
        <v>56.576</v>
      </c>
      <c r="I1339" s="205">
        <f>'Resumen Capacidad'!$I$116</f>
        <v>56.576</v>
      </c>
      <c r="J1339" s="205">
        <f>'Resumen Capacidad'!$I$116</f>
        <v>56.576</v>
      </c>
      <c r="K1339" s="205">
        <f>'Resumen Capacidad'!$I$116</f>
        <v>56.576</v>
      </c>
      <c r="L1339" s="205">
        <f>'Resumen Capacidad'!$I$116</f>
        <v>56.576</v>
      </c>
      <c r="M1339" s="205">
        <f>'Resumen Capacidad'!$I$116</f>
        <v>56.576</v>
      </c>
      <c r="N1339" s="205">
        <f>'Resumen Capacidad'!$I$116</f>
        <v>56.576</v>
      </c>
      <c r="O1339" s="5"/>
      <c r="P1339" s="5"/>
      <c r="Q1339" s="5"/>
      <c r="R1339" s="5"/>
      <c r="S1339" s="5"/>
      <c r="T1339" s="5"/>
      <c r="U1339" s="5"/>
      <c r="V1339" s="5"/>
      <c r="W1339" s="5"/>
      <c r="X1339" s="5"/>
      <c r="Y1339" s="5"/>
      <c r="Z1339" s="5"/>
    </row>
    <row r="1340" ht="12.0" customHeight="1">
      <c r="A1340" s="92" t="s">
        <v>640</v>
      </c>
      <c r="B1340" s="5"/>
      <c r="C1340" s="204">
        <f>'Resumen Capacidad'!$I$34*'Resumen Capacidad'!$I$70</f>
        <v>1</v>
      </c>
      <c r="D1340" s="204">
        <f>'Resumen Capacidad'!$I$34*'Resumen Capacidad'!$I$70</f>
        <v>1</v>
      </c>
      <c r="E1340" s="204">
        <f>'Resumen Capacidad'!$I$34*'Resumen Capacidad'!$I$70</f>
        <v>1</v>
      </c>
      <c r="F1340" s="204">
        <f>'Resumen Capacidad'!$I$34*'Resumen Capacidad'!$I$70</f>
        <v>1</v>
      </c>
      <c r="G1340" s="204">
        <f>'Resumen Capacidad'!$I$34*'Resumen Capacidad'!$I$70</f>
        <v>1</v>
      </c>
      <c r="H1340" s="204">
        <f>'Resumen Capacidad'!$I$34*'Resumen Capacidad'!$I$70</f>
        <v>1</v>
      </c>
      <c r="I1340" s="204">
        <f>'Resumen Capacidad'!$I$34*'Resumen Capacidad'!$I$70</f>
        <v>1</v>
      </c>
      <c r="J1340" s="204">
        <f>'Resumen Capacidad'!$I$34*'Resumen Capacidad'!$I$70</f>
        <v>1</v>
      </c>
      <c r="K1340" s="204">
        <f>'Resumen Capacidad'!$I$34*'Resumen Capacidad'!$I$70</f>
        <v>1</v>
      </c>
      <c r="L1340" s="204">
        <f>'Resumen Capacidad'!$I$34*'Resumen Capacidad'!$I$70</f>
        <v>1</v>
      </c>
      <c r="M1340" s="204">
        <f>'Resumen Capacidad'!$I$34*'Resumen Capacidad'!$I$70</f>
        <v>1</v>
      </c>
      <c r="N1340" s="204">
        <f>'Resumen Capacidad'!$I$34*'Resumen Capacidad'!$I$70</f>
        <v>1</v>
      </c>
      <c r="O1340" s="5"/>
      <c r="P1340" s="5"/>
      <c r="Q1340" s="5"/>
      <c r="R1340" s="5"/>
      <c r="S1340" s="5"/>
      <c r="T1340" s="5"/>
      <c r="U1340" s="5"/>
      <c r="V1340" s="5"/>
      <c r="W1340" s="5"/>
      <c r="X1340" s="5"/>
      <c r="Y1340" s="5"/>
      <c r="Z1340" s="5"/>
    </row>
    <row r="1341" ht="12.0" customHeight="1">
      <c r="A1341" s="92" t="s">
        <v>642</v>
      </c>
      <c r="B1341" s="5"/>
      <c r="C1341" s="204">
        <f t="shared" ref="C1341:N1341" si="395">C1339*C1340</f>
        <v>56.576</v>
      </c>
      <c r="D1341" s="204">
        <f t="shared" si="395"/>
        <v>56.576</v>
      </c>
      <c r="E1341" s="204">
        <f t="shared" si="395"/>
        <v>56.576</v>
      </c>
      <c r="F1341" s="204">
        <f t="shared" si="395"/>
        <v>56.576</v>
      </c>
      <c r="G1341" s="204">
        <f t="shared" si="395"/>
        <v>56.576</v>
      </c>
      <c r="H1341" s="204">
        <f t="shared" si="395"/>
        <v>56.576</v>
      </c>
      <c r="I1341" s="204">
        <f t="shared" si="395"/>
        <v>56.576</v>
      </c>
      <c r="J1341" s="204">
        <f t="shared" si="395"/>
        <v>56.576</v>
      </c>
      <c r="K1341" s="204">
        <f t="shared" si="395"/>
        <v>56.576</v>
      </c>
      <c r="L1341" s="204">
        <f t="shared" si="395"/>
        <v>56.576</v>
      </c>
      <c r="M1341" s="204">
        <f t="shared" si="395"/>
        <v>56.576</v>
      </c>
      <c r="N1341" s="204">
        <f t="shared" si="395"/>
        <v>56.576</v>
      </c>
      <c r="O1341" s="5"/>
      <c r="P1341" s="5"/>
      <c r="Q1341" s="5"/>
      <c r="R1341" s="5"/>
      <c r="S1341" s="5"/>
      <c r="T1341" s="5"/>
      <c r="U1341" s="5"/>
      <c r="V1341" s="5"/>
      <c r="W1341" s="5"/>
      <c r="X1341" s="5"/>
      <c r="Y1341" s="5"/>
      <c r="Z1341" s="5"/>
    </row>
    <row r="1342" ht="12.0" customHeight="1">
      <c r="A1342" s="92" t="s">
        <v>643</v>
      </c>
      <c r="B1342" s="5"/>
      <c r="C1342" s="206">
        <f t="shared" ref="C1342:N1342" si="396">IF(C1341=0,0,C1338/C1341)</f>
        <v>0.7284478695</v>
      </c>
      <c r="D1342" s="206">
        <f t="shared" si="396"/>
        <v>0.5827582956</v>
      </c>
      <c r="E1342" s="206">
        <f t="shared" si="396"/>
        <v>0.6191806891</v>
      </c>
      <c r="F1342" s="206">
        <f t="shared" si="396"/>
        <v>0.6191806891</v>
      </c>
      <c r="G1342" s="206">
        <f t="shared" si="396"/>
        <v>0.5827582956</v>
      </c>
      <c r="H1342" s="206">
        <f t="shared" si="396"/>
        <v>0.5463359021</v>
      </c>
      <c r="I1342" s="206">
        <f t="shared" si="396"/>
        <v>0.5827582956</v>
      </c>
      <c r="J1342" s="206">
        <f t="shared" si="396"/>
        <v>0.5827582956</v>
      </c>
      <c r="K1342" s="206">
        <f t="shared" si="396"/>
        <v>0.5827582956</v>
      </c>
      <c r="L1342" s="206">
        <f t="shared" si="396"/>
        <v>0.5463359021</v>
      </c>
      <c r="M1342" s="206">
        <f t="shared" si="396"/>
        <v>0.5099135087</v>
      </c>
      <c r="N1342" s="206">
        <f t="shared" si="396"/>
        <v>0.8012926565</v>
      </c>
      <c r="O1342" s="5"/>
      <c r="P1342" s="5"/>
      <c r="Q1342" s="5"/>
      <c r="R1342" s="5"/>
      <c r="S1342" s="5"/>
      <c r="T1342" s="5"/>
      <c r="U1342" s="5"/>
      <c r="V1342" s="5"/>
      <c r="W1342" s="5"/>
      <c r="X1342" s="5"/>
      <c r="Y1342" s="5"/>
      <c r="Z1342" s="5"/>
    </row>
    <row r="1343" ht="12.0" customHeight="1">
      <c r="A1343" s="201" t="s">
        <v>663</v>
      </c>
      <c r="B1343" s="202"/>
      <c r="C1343" s="202"/>
      <c r="D1343" s="202"/>
      <c r="E1343" s="202"/>
      <c r="F1343" s="202"/>
      <c r="G1343" s="202"/>
      <c r="H1343" s="202"/>
      <c r="I1343" s="202"/>
      <c r="J1343" s="202"/>
      <c r="K1343" s="202"/>
      <c r="L1343" s="202"/>
      <c r="M1343" s="202"/>
      <c r="N1343" s="202"/>
      <c r="O1343" s="5"/>
      <c r="P1343" s="5"/>
      <c r="Q1343" s="5"/>
      <c r="R1343" s="5"/>
      <c r="S1343" s="5"/>
      <c r="T1343" s="5"/>
      <c r="U1343" s="5"/>
      <c r="V1343" s="5"/>
      <c r="W1343" s="5"/>
      <c r="X1343" s="5"/>
      <c r="Y1343" s="5"/>
      <c r="Z1343" s="5"/>
    </row>
    <row r="1344" ht="12.0" customHeight="1">
      <c r="A1344" s="201" t="s">
        <v>630</v>
      </c>
      <c r="B1344" s="201" t="s">
        <v>631</v>
      </c>
      <c r="C1344" s="201" t="s">
        <v>3</v>
      </c>
      <c r="D1344" s="201" t="s">
        <v>4</v>
      </c>
      <c r="E1344" s="201" t="s">
        <v>5</v>
      </c>
      <c r="F1344" s="201" t="s">
        <v>6</v>
      </c>
      <c r="G1344" s="201" t="s">
        <v>7</v>
      </c>
      <c r="H1344" s="201" t="s">
        <v>8</v>
      </c>
      <c r="I1344" s="201" t="s">
        <v>9</v>
      </c>
      <c r="J1344" s="201" t="s">
        <v>10</v>
      </c>
      <c r="K1344" s="201" t="s">
        <v>11</v>
      </c>
      <c r="L1344" s="201" t="s">
        <v>12</v>
      </c>
      <c r="M1344" s="201" t="s">
        <v>13</v>
      </c>
      <c r="N1344" s="201" t="s">
        <v>14</v>
      </c>
      <c r="O1344" s="5"/>
      <c r="P1344" s="5"/>
      <c r="Q1344" s="5"/>
      <c r="R1344" s="5"/>
      <c r="S1344" s="5"/>
      <c r="T1344" s="5"/>
      <c r="U1344" s="5"/>
      <c r="V1344" s="5"/>
      <c r="W1344" s="5"/>
      <c r="X1344" s="5"/>
      <c r="Y1344" s="5"/>
      <c r="Z1344" s="5"/>
    </row>
    <row r="1345" ht="12.0" customHeight="1">
      <c r="A1345" s="92" t="s">
        <v>632</v>
      </c>
      <c r="B1345" s="92" t="s">
        <v>633</v>
      </c>
      <c r="C1345" s="203">
        <f>SUM('2033'!B6:B9)+SUM('2033'!B17:B20)</f>
        <v>24917.86</v>
      </c>
      <c r="D1345" s="203">
        <f>SUM('2033'!C6:C9)+SUM('2033'!C17:C20)</f>
        <v>18997.49</v>
      </c>
      <c r="E1345" s="203">
        <f>SUM('2033'!D6:D9)+SUM('2033'!D17:D20)</f>
        <v>17745.255</v>
      </c>
      <c r="F1345" s="203">
        <f>SUM('2033'!E6:E9)+SUM('2033'!E17:E20)</f>
        <v>16964.59</v>
      </c>
      <c r="G1345" s="203">
        <f>SUM('2033'!F6:F9)+SUM('2033'!F17:F20)</f>
        <v>15874.83</v>
      </c>
      <c r="H1345" s="203">
        <f>SUM('2033'!G6:G9)+SUM('2033'!G17:G20)</f>
        <v>15565.735</v>
      </c>
      <c r="I1345" s="203">
        <f>SUM('2033'!H6:H9)+SUM('2033'!H17:H20)</f>
        <v>16655.495</v>
      </c>
      <c r="J1345" s="203">
        <f>SUM('2033'!I6:I9)+SUM('2033'!I17:I20)</f>
        <v>16655.495</v>
      </c>
      <c r="K1345" s="203">
        <f>SUM('2033'!J6:J9)+SUM('2033'!J17:J20)</f>
        <v>16655.495</v>
      </c>
      <c r="L1345" s="203">
        <f>SUM('2033'!K6:K9)+SUM('2033'!K17:K20)</f>
        <v>16346.4</v>
      </c>
      <c r="M1345" s="203">
        <f>SUM('2033'!L6:L9)+SUM('2033'!L17:L20)</f>
        <v>16037.305</v>
      </c>
      <c r="N1345" s="203">
        <f>SUM('2033'!M6:M9)+SUM('2033'!M17:M20)</f>
        <v>25536.05</v>
      </c>
      <c r="O1345" s="5"/>
      <c r="P1345" s="5"/>
      <c r="Q1345" s="5"/>
      <c r="R1345" s="5"/>
      <c r="S1345" s="5"/>
      <c r="T1345" s="5"/>
      <c r="U1345" s="5"/>
      <c r="V1345" s="5"/>
      <c r="W1345" s="5"/>
      <c r="X1345" s="5"/>
      <c r="Y1345" s="5"/>
      <c r="Z1345" s="5"/>
    </row>
    <row r="1346" ht="12.0" customHeight="1">
      <c r="A1346" s="5"/>
      <c r="B1346" s="92" t="s">
        <v>634</v>
      </c>
      <c r="C1346" s="204">
        <f>C1345/Parametros!$B$37</f>
        <v>1245.893</v>
      </c>
      <c r="D1346" s="204">
        <f>D1345/Parametros!$B$37</f>
        <v>949.8745</v>
      </c>
      <c r="E1346" s="204">
        <f>E1345/Parametros!$B$37</f>
        <v>887.26275</v>
      </c>
      <c r="F1346" s="204">
        <f>F1345/Parametros!$B$37</f>
        <v>848.2295</v>
      </c>
      <c r="G1346" s="204">
        <f>G1345/Parametros!$B$37</f>
        <v>793.7415</v>
      </c>
      <c r="H1346" s="204">
        <f>H1345/Parametros!$B$37</f>
        <v>778.28675</v>
      </c>
      <c r="I1346" s="204">
        <f>I1345/Parametros!$B$37</f>
        <v>832.77475</v>
      </c>
      <c r="J1346" s="204">
        <f>J1345/Parametros!$B$37</f>
        <v>832.77475</v>
      </c>
      <c r="K1346" s="204">
        <f>K1345/Parametros!$B$37</f>
        <v>832.77475</v>
      </c>
      <c r="L1346" s="204">
        <f>L1345/Parametros!$B$37</f>
        <v>817.32</v>
      </c>
      <c r="M1346" s="204">
        <f>M1345/Parametros!$B$37</f>
        <v>801.86525</v>
      </c>
      <c r="N1346" s="204">
        <f>N1345/Parametros!$B$37</f>
        <v>1276.8025</v>
      </c>
      <c r="O1346" s="5"/>
      <c r="P1346" s="5"/>
      <c r="Q1346" s="5"/>
      <c r="R1346" s="5"/>
      <c r="S1346" s="5"/>
      <c r="T1346" s="5"/>
      <c r="U1346" s="5"/>
      <c r="V1346" s="5"/>
      <c r="W1346" s="5"/>
      <c r="X1346" s="5"/>
      <c r="Y1346" s="5"/>
      <c r="Z1346" s="5"/>
    </row>
    <row r="1347" ht="12.0" customHeight="1">
      <c r="A1347" s="5"/>
      <c r="B1347" s="92" t="s">
        <v>635</v>
      </c>
      <c r="C1347" s="204">
        <f>C1346/Parametros!$J$37</f>
        <v>166.1190667</v>
      </c>
      <c r="D1347" s="204">
        <f>D1346/Parametros!$J$37</f>
        <v>126.6499333</v>
      </c>
      <c r="E1347" s="204">
        <f>E1346/Parametros!$J$37</f>
        <v>118.3017</v>
      </c>
      <c r="F1347" s="204">
        <f>F1346/Parametros!$J$37</f>
        <v>113.0972667</v>
      </c>
      <c r="G1347" s="204">
        <f>G1346/Parametros!$J$37</f>
        <v>105.8322</v>
      </c>
      <c r="H1347" s="204">
        <f>H1346/Parametros!$J$37</f>
        <v>103.7715667</v>
      </c>
      <c r="I1347" s="204">
        <f>I1346/Parametros!$J$37</f>
        <v>111.0366333</v>
      </c>
      <c r="J1347" s="204">
        <f>J1346/Parametros!$J$37</f>
        <v>111.0366333</v>
      </c>
      <c r="K1347" s="204">
        <f>K1346/Parametros!$J$37</f>
        <v>111.0366333</v>
      </c>
      <c r="L1347" s="204">
        <f>L1346/Parametros!$J$37</f>
        <v>108.976</v>
      </c>
      <c r="M1347" s="204">
        <f>M1346/Parametros!$J$37</f>
        <v>106.9153667</v>
      </c>
      <c r="N1347" s="204">
        <f>N1346/Parametros!$J$37</f>
        <v>170.2403333</v>
      </c>
      <c r="O1347" s="5"/>
      <c r="P1347" s="5"/>
      <c r="Q1347" s="5"/>
      <c r="R1347" s="5"/>
      <c r="S1347" s="5"/>
      <c r="T1347" s="5"/>
      <c r="U1347" s="5"/>
      <c r="V1347" s="5"/>
      <c r="W1347" s="5"/>
      <c r="X1347" s="5"/>
      <c r="Y1347" s="5"/>
      <c r="Z1347" s="5"/>
    </row>
    <row r="1348" ht="12.0" customHeight="1">
      <c r="A1348" s="92" t="s">
        <v>636</v>
      </c>
      <c r="B1348" s="5"/>
      <c r="C1348" s="204">
        <f t="shared" ref="C1348:N1348" si="397">C1347</f>
        <v>166.1190667</v>
      </c>
      <c r="D1348" s="204">
        <f t="shared" si="397"/>
        <v>126.6499333</v>
      </c>
      <c r="E1348" s="204">
        <f t="shared" si="397"/>
        <v>118.3017</v>
      </c>
      <c r="F1348" s="204">
        <f t="shared" si="397"/>
        <v>113.0972667</v>
      </c>
      <c r="G1348" s="204">
        <f t="shared" si="397"/>
        <v>105.8322</v>
      </c>
      <c r="H1348" s="204">
        <f t="shared" si="397"/>
        <v>103.7715667</v>
      </c>
      <c r="I1348" s="204">
        <f t="shared" si="397"/>
        <v>111.0366333</v>
      </c>
      <c r="J1348" s="204">
        <f t="shared" si="397"/>
        <v>111.0366333</v>
      </c>
      <c r="K1348" s="204">
        <f t="shared" si="397"/>
        <v>111.0366333</v>
      </c>
      <c r="L1348" s="204">
        <f t="shared" si="397"/>
        <v>108.976</v>
      </c>
      <c r="M1348" s="204">
        <f t="shared" si="397"/>
        <v>106.9153667</v>
      </c>
      <c r="N1348" s="204">
        <f t="shared" si="397"/>
        <v>170.2403333</v>
      </c>
      <c r="O1348" s="5"/>
      <c r="P1348" s="5"/>
      <c r="Q1348" s="5"/>
      <c r="R1348" s="5"/>
      <c r="S1348" s="5"/>
      <c r="T1348" s="5"/>
      <c r="U1348" s="5"/>
      <c r="V1348" s="5"/>
      <c r="W1348" s="5"/>
      <c r="X1348" s="5"/>
      <c r="Y1348" s="5"/>
      <c r="Z1348" s="5"/>
    </row>
    <row r="1349" ht="12.0" customHeight="1">
      <c r="A1349" s="92" t="s">
        <v>637</v>
      </c>
      <c r="B1349" s="5"/>
      <c r="C1349" s="205">
        <f>'Resumen Capacidad'!$I$117</f>
        <v>60.656</v>
      </c>
      <c r="D1349" s="205">
        <f>'Resumen Capacidad'!$I$117</f>
        <v>60.656</v>
      </c>
      <c r="E1349" s="205">
        <f>'Resumen Capacidad'!$I$117</f>
        <v>60.656</v>
      </c>
      <c r="F1349" s="205">
        <f>'Resumen Capacidad'!$I$117</f>
        <v>60.656</v>
      </c>
      <c r="G1349" s="205">
        <f>'Resumen Capacidad'!$I$117</f>
        <v>60.656</v>
      </c>
      <c r="H1349" s="205">
        <f>'Resumen Capacidad'!$I$117</f>
        <v>60.656</v>
      </c>
      <c r="I1349" s="205">
        <f>'Resumen Capacidad'!$I$117</f>
        <v>60.656</v>
      </c>
      <c r="J1349" s="205">
        <f>'Resumen Capacidad'!$I$117</f>
        <v>60.656</v>
      </c>
      <c r="K1349" s="205">
        <f>'Resumen Capacidad'!$I$117</f>
        <v>60.656</v>
      </c>
      <c r="L1349" s="205">
        <f>'Resumen Capacidad'!$I$117</f>
        <v>60.656</v>
      </c>
      <c r="M1349" s="205">
        <f>'Resumen Capacidad'!$I$117</f>
        <v>60.656</v>
      </c>
      <c r="N1349" s="205">
        <f>'Resumen Capacidad'!$I$117</f>
        <v>60.656</v>
      </c>
      <c r="O1349" s="5"/>
      <c r="P1349" s="5"/>
      <c r="Q1349" s="5"/>
      <c r="R1349" s="5"/>
      <c r="S1349" s="5"/>
      <c r="T1349" s="5"/>
      <c r="U1349" s="5"/>
      <c r="V1349" s="5"/>
      <c r="W1349" s="5"/>
      <c r="X1349" s="5"/>
      <c r="Y1349" s="5"/>
      <c r="Z1349" s="5"/>
    </row>
    <row r="1350" ht="12.0" customHeight="1">
      <c r="A1350" s="92" t="s">
        <v>640</v>
      </c>
      <c r="B1350" s="5"/>
      <c r="C1350" s="204">
        <f>'Resumen Capacidad'!$I$35*'Resumen Capacidad'!$I$71</f>
        <v>4</v>
      </c>
      <c r="D1350" s="204">
        <f>'Resumen Capacidad'!$I$35*'Resumen Capacidad'!$I$71</f>
        <v>4</v>
      </c>
      <c r="E1350" s="204">
        <f>'Resumen Capacidad'!$I$35*'Resumen Capacidad'!$I$71</f>
        <v>4</v>
      </c>
      <c r="F1350" s="204">
        <f>'Resumen Capacidad'!$I$35*'Resumen Capacidad'!$I$71</f>
        <v>4</v>
      </c>
      <c r="G1350" s="204">
        <f>'Resumen Capacidad'!$I$35*'Resumen Capacidad'!$I$71</f>
        <v>4</v>
      </c>
      <c r="H1350" s="204">
        <f>'Resumen Capacidad'!$I$35*'Resumen Capacidad'!$I$71</f>
        <v>4</v>
      </c>
      <c r="I1350" s="204">
        <f>'Resumen Capacidad'!$I$35*'Resumen Capacidad'!$I$71</f>
        <v>4</v>
      </c>
      <c r="J1350" s="204">
        <f>'Resumen Capacidad'!$I$35*'Resumen Capacidad'!$I$71</f>
        <v>4</v>
      </c>
      <c r="K1350" s="204">
        <f>'Resumen Capacidad'!$I$35*'Resumen Capacidad'!$I$71</f>
        <v>4</v>
      </c>
      <c r="L1350" s="204">
        <f>'Resumen Capacidad'!$I$35*'Resumen Capacidad'!$I$71</f>
        <v>4</v>
      </c>
      <c r="M1350" s="204">
        <f>'Resumen Capacidad'!$I$35*'Resumen Capacidad'!$I$71</f>
        <v>4</v>
      </c>
      <c r="N1350" s="204">
        <f>'Resumen Capacidad'!$I$35*'Resumen Capacidad'!$I$71</f>
        <v>4</v>
      </c>
      <c r="O1350" s="5"/>
      <c r="P1350" s="5"/>
      <c r="Q1350" s="5"/>
      <c r="R1350" s="5"/>
      <c r="S1350" s="5"/>
      <c r="T1350" s="5"/>
      <c r="U1350" s="5"/>
      <c r="V1350" s="5"/>
      <c r="W1350" s="5"/>
      <c r="X1350" s="5"/>
      <c r="Y1350" s="5"/>
      <c r="Z1350" s="5"/>
    </row>
    <row r="1351" ht="12.0" customHeight="1">
      <c r="A1351" s="92" t="s">
        <v>642</v>
      </c>
      <c r="B1351" s="5"/>
      <c r="C1351" s="204">
        <f t="shared" ref="C1351:N1351" si="398">C1349*C1350</f>
        <v>242.624</v>
      </c>
      <c r="D1351" s="204">
        <f t="shared" si="398"/>
        <v>242.624</v>
      </c>
      <c r="E1351" s="204">
        <f t="shared" si="398"/>
        <v>242.624</v>
      </c>
      <c r="F1351" s="204">
        <f t="shared" si="398"/>
        <v>242.624</v>
      </c>
      <c r="G1351" s="204">
        <f t="shared" si="398"/>
        <v>242.624</v>
      </c>
      <c r="H1351" s="204">
        <f t="shared" si="398"/>
        <v>242.624</v>
      </c>
      <c r="I1351" s="204">
        <f t="shared" si="398"/>
        <v>242.624</v>
      </c>
      <c r="J1351" s="204">
        <f t="shared" si="398"/>
        <v>242.624</v>
      </c>
      <c r="K1351" s="204">
        <f t="shared" si="398"/>
        <v>242.624</v>
      </c>
      <c r="L1351" s="204">
        <f t="shared" si="398"/>
        <v>242.624</v>
      </c>
      <c r="M1351" s="204">
        <f t="shared" si="398"/>
        <v>242.624</v>
      </c>
      <c r="N1351" s="204">
        <f t="shared" si="398"/>
        <v>242.624</v>
      </c>
      <c r="O1351" s="5"/>
      <c r="P1351" s="5"/>
      <c r="Q1351" s="5"/>
      <c r="R1351" s="5"/>
      <c r="S1351" s="5"/>
      <c r="T1351" s="5"/>
      <c r="U1351" s="5"/>
      <c r="V1351" s="5"/>
      <c r="W1351" s="5"/>
      <c r="X1351" s="5"/>
      <c r="Y1351" s="5"/>
      <c r="Z1351" s="5"/>
    </row>
    <row r="1352" ht="12.0" customHeight="1">
      <c r="A1352" s="92" t="s">
        <v>643</v>
      </c>
      <c r="B1352" s="5"/>
      <c r="C1352" s="206">
        <f t="shared" ref="C1352:N1352" si="399">IF(C1351=0,0,C1348/C1351)</f>
        <v>0.6846769762</v>
      </c>
      <c r="D1352" s="206">
        <f t="shared" si="399"/>
        <v>0.5220008463</v>
      </c>
      <c r="E1352" s="206">
        <f t="shared" si="399"/>
        <v>0.4875927361</v>
      </c>
      <c r="F1352" s="206">
        <f t="shared" si="399"/>
        <v>0.4661421239</v>
      </c>
      <c r="G1352" s="206">
        <f t="shared" si="399"/>
        <v>0.4361983975</v>
      </c>
      <c r="H1352" s="206">
        <f t="shared" si="399"/>
        <v>0.4277052833</v>
      </c>
      <c r="I1352" s="206">
        <f t="shared" si="399"/>
        <v>0.4576490097</v>
      </c>
      <c r="J1352" s="206">
        <f t="shared" si="399"/>
        <v>0.4576490097</v>
      </c>
      <c r="K1352" s="206">
        <f t="shared" si="399"/>
        <v>0.4576490097</v>
      </c>
      <c r="L1352" s="206">
        <f t="shared" si="399"/>
        <v>0.4491558955</v>
      </c>
      <c r="M1352" s="206">
        <f t="shared" si="399"/>
        <v>0.4406627814</v>
      </c>
      <c r="N1352" s="206">
        <f t="shared" si="399"/>
        <v>0.7016632045</v>
      </c>
      <c r="O1352" s="5"/>
      <c r="P1352" s="5"/>
      <c r="Q1352" s="5"/>
      <c r="R1352" s="5"/>
      <c r="S1352" s="5"/>
      <c r="T1352" s="5"/>
      <c r="U1352" s="5"/>
      <c r="V1352" s="5"/>
      <c r="W1352" s="5"/>
      <c r="X1352" s="5"/>
      <c r="Y1352" s="5"/>
      <c r="Z1352" s="5"/>
    </row>
    <row r="1353" ht="12.0" customHeight="1">
      <c r="A1353" s="201" t="s">
        <v>664</v>
      </c>
      <c r="B1353" s="202"/>
      <c r="C1353" s="202"/>
      <c r="D1353" s="202"/>
      <c r="E1353" s="202"/>
      <c r="F1353" s="202"/>
      <c r="G1353" s="202"/>
      <c r="H1353" s="202"/>
      <c r="I1353" s="202"/>
      <c r="J1353" s="202"/>
      <c r="K1353" s="202"/>
      <c r="L1353" s="202"/>
      <c r="M1353" s="202"/>
      <c r="N1353" s="202"/>
      <c r="O1353" s="5"/>
      <c r="P1353" s="5"/>
      <c r="Q1353" s="5"/>
      <c r="R1353" s="5"/>
      <c r="S1353" s="5"/>
      <c r="T1353" s="5"/>
      <c r="U1353" s="5"/>
      <c r="V1353" s="5"/>
      <c r="W1353" s="5"/>
      <c r="X1353" s="5"/>
      <c r="Y1353" s="5"/>
      <c r="Z1353" s="5"/>
    </row>
    <row r="1354" ht="12.0" customHeight="1">
      <c r="A1354" s="201" t="s">
        <v>630</v>
      </c>
      <c r="B1354" s="201" t="s">
        <v>631</v>
      </c>
      <c r="C1354" s="201" t="s">
        <v>3</v>
      </c>
      <c r="D1354" s="201" t="s">
        <v>4</v>
      </c>
      <c r="E1354" s="201" t="s">
        <v>5</v>
      </c>
      <c r="F1354" s="201" t="s">
        <v>6</v>
      </c>
      <c r="G1354" s="201" t="s">
        <v>7</v>
      </c>
      <c r="H1354" s="201" t="s">
        <v>8</v>
      </c>
      <c r="I1354" s="201" t="s">
        <v>9</v>
      </c>
      <c r="J1354" s="201" t="s">
        <v>10</v>
      </c>
      <c r="K1354" s="201" t="s">
        <v>11</v>
      </c>
      <c r="L1354" s="201" t="s">
        <v>12</v>
      </c>
      <c r="M1354" s="201" t="s">
        <v>13</v>
      </c>
      <c r="N1354" s="201" t="s">
        <v>14</v>
      </c>
      <c r="O1354" s="5"/>
      <c r="P1354" s="5"/>
      <c r="Q1354" s="5"/>
      <c r="R1354" s="5"/>
      <c r="S1354" s="5"/>
      <c r="T1354" s="5"/>
      <c r="U1354" s="5"/>
      <c r="V1354" s="5"/>
      <c r="W1354" s="5"/>
      <c r="X1354" s="5"/>
      <c r="Y1354" s="5"/>
      <c r="Z1354" s="5"/>
    </row>
    <row r="1355" ht="12.0" customHeight="1">
      <c r="A1355" s="92" t="s">
        <v>632</v>
      </c>
      <c r="B1355" s="92" t="s">
        <v>633</v>
      </c>
      <c r="C1355" s="203">
        <f>SUM('2033'!B6:B9)+SUM('2033'!B17:B20)</f>
        <v>24917.86</v>
      </c>
      <c r="D1355" s="203">
        <f>SUM('2033'!C6:C9)+SUM('2033'!C17:C20)</f>
        <v>18997.49</v>
      </c>
      <c r="E1355" s="203">
        <f>SUM('2033'!D6:D9)+SUM('2033'!D17:D20)</f>
        <v>17745.255</v>
      </c>
      <c r="F1355" s="203">
        <f>SUM('2033'!E6:E9)+SUM('2033'!E17:E20)</f>
        <v>16964.59</v>
      </c>
      <c r="G1355" s="203">
        <f>SUM('2033'!F6:F9)+SUM('2033'!F17:F20)</f>
        <v>15874.83</v>
      </c>
      <c r="H1355" s="203">
        <f>SUM('2033'!G6:G9)+SUM('2033'!G17:G20)</f>
        <v>15565.735</v>
      </c>
      <c r="I1355" s="203">
        <f>SUM('2033'!H6:H9)+SUM('2033'!H17:H20)</f>
        <v>16655.495</v>
      </c>
      <c r="J1355" s="203">
        <f>SUM('2033'!I6:I9)+SUM('2033'!I17:I20)</f>
        <v>16655.495</v>
      </c>
      <c r="K1355" s="203">
        <f>SUM('2033'!J6:J9)+SUM('2033'!J17:J20)</f>
        <v>16655.495</v>
      </c>
      <c r="L1355" s="203">
        <f>SUM('2033'!K6:K9)+SUM('2033'!K17:K20)</f>
        <v>16346.4</v>
      </c>
      <c r="M1355" s="203">
        <f>SUM('2033'!L6:L9)+SUM('2033'!L17:L20)</f>
        <v>16037.305</v>
      </c>
      <c r="N1355" s="203">
        <f>SUM('2033'!M6:M9)+SUM('2033'!M17:M20)</f>
        <v>25536.05</v>
      </c>
      <c r="O1355" s="5"/>
      <c r="P1355" s="5"/>
      <c r="Q1355" s="5"/>
      <c r="R1355" s="5"/>
      <c r="S1355" s="5"/>
      <c r="T1355" s="5"/>
      <c r="U1355" s="5"/>
      <c r="V1355" s="5"/>
      <c r="W1355" s="5"/>
      <c r="X1355" s="5"/>
      <c r="Y1355" s="5"/>
      <c r="Z1355" s="5"/>
    </row>
    <row r="1356" ht="12.0" customHeight="1">
      <c r="A1356" s="5"/>
      <c r="B1356" s="92" t="s">
        <v>634</v>
      </c>
      <c r="C1356" s="204">
        <f>C1355/Parametros!$B$37</f>
        <v>1245.893</v>
      </c>
      <c r="D1356" s="204">
        <f>D1355/Parametros!$B$37</f>
        <v>949.8745</v>
      </c>
      <c r="E1356" s="204">
        <f>E1355/Parametros!$B$37</f>
        <v>887.26275</v>
      </c>
      <c r="F1356" s="204">
        <f>F1355/Parametros!$B$37</f>
        <v>848.2295</v>
      </c>
      <c r="G1356" s="204">
        <f>G1355/Parametros!$B$37</f>
        <v>793.7415</v>
      </c>
      <c r="H1356" s="204">
        <f>H1355/Parametros!$B$37</f>
        <v>778.28675</v>
      </c>
      <c r="I1356" s="204">
        <f>I1355/Parametros!$B$37</f>
        <v>832.77475</v>
      </c>
      <c r="J1356" s="204">
        <f>J1355/Parametros!$B$37</f>
        <v>832.77475</v>
      </c>
      <c r="K1356" s="204">
        <f>K1355/Parametros!$B$37</f>
        <v>832.77475</v>
      </c>
      <c r="L1356" s="204">
        <f>L1355/Parametros!$B$37</f>
        <v>817.32</v>
      </c>
      <c r="M1356" s="204">
        <f>M1355/Parametros!$B$37</f>
        <v>801.86525</v>
      </c>
      <c r="N1356" s="204">
        <f>N1355/Parametros!$B$37</f>
        <v>1276.8025</v>
      </c>
      <c r="O1356" s="5"/>
      <c r="P1356" s="5"/>
      <c r="Q1356" s="5"/>
      <c r="R1356" s="5"/>
      <c r="S1356" s="5"/>
      <c r="T1356" s="5"/>
      <c r="U1356" s="5"/>
      <c r="V1356" s="5"/>
      <c r="W1356" s="5"/>
      <c r="X1356" s="5"/>
      <c r="Y1356" s="5"/>
      <c r="Z1356" s="5"/>
    </row>
    <row r="1357" ht="12.0" customHeight="1">
      <c r="A1357" s="5"/>
      <c r="B1357" s="92" t="s">
        <v>635</v>
      </c>
      <c r="C1357" s="204">
        <f>C1356/Parametros!$J$37</f>
        <v>166.1190667</v>
      </c>
      <c r="D1357" s="204">
        <f>D1356/Parametros!$J$37</f>
        <v>126.6499333</v>
      </c>
      <c r="E1357" s="204">
        <f>E1356/Parametros!$J$37</f>
        <v>118.3017</v>
      </c>
      <c r="F1357" s="204">
        <f>F1356/Parametros!$J$37</f>
        <v>113.0972667</v>
      </c>
      <c r="G1357" s="204">
        <f>G1356/Parametros!$J$37</f>
        <v>105.8322</v>
      </c>
      <c r="H1357" s="204">
        <f>H1356/Parametros!$J$37</f>
        <v>103.7715667</v>
      </c>
      <c r="I1357" s="204">
        <f>I1356/Parametros!$J$37</f>
        <v>111.0366333</v>
      </c>
      <c r="J1357" s="204">
        <f>J1356/Parametros!$J$37</f>
        <v>111.0366333</v>
      </c>
      <c r="K1357" s="204">
        <f>K1356/Parametros!$J$37</f>
        <v>111.0366333</v>
      </c>
      <c r="L1357" s="204">
        <f>L1356/Parametros!$J$37</f>
        <v>108.976</v>
      </c>
      <c r="M1357" s="204">
        <f>M1356/Parametros!$J$37</f>
        <v>106.9153667</v>
      </c>
      <c r="N1357" s="204">
        <f>N1356/Parametros!$J$37</f>
        <v>170.2403333</v>
      </c>
      <c r="O1357" s="5"/>
      <c r="P1357" s="5"/>
      <c r="Q1357" s="5"/>
      <c r="R1357" s="5"/>
      <c r="S1357" s="5"/>
      <c r="T1357" s="5"/>
      <c r="U1357" s="5"/>
      <c r="V1357" s="5"/>
      <c r="W1357" s="5"/>
      <c r="X1357" s="5"/>
      <c r="Y1357" s="5"/>
      <c r="Z1357" s="5"/>
    </row>
    <row r="1358" ht="12.0" customHeight="1">
      <c r="A1358" s="92" t="s">
        <v>636</v>
      </c>
      <c r="B1358" s="5"/>
      <c r="C1358" s="204">
        <f t="shared" ref="C1358:N1358" si="400">C1357</f>
        <v>166.1190667</v>
      </c>
      <c r="D1358" s="204">
        <f t="shared" si="400"/>
        <v>126.6499333</v>
      </c>
      <c r="E1358" s="204">
        <f t="shared" si="400"/>
        <v>118.3017</v>
      </c>
      <c r="F1358" s="204">
        <f t="shared" si="400"/>
        <v>113.0972667</v>
      </c>
      <c r="G1358" s="204">
        <f t="shared" si="400"/>
        <v>105.8322</v>
      </c>
      <c r="H1358" s="204">
        <f t="shared" si="400"/>
        <v>103.7715667</v>
      </c>
      <c r="I1358" s="204">
        <f t="shared" si="400"/>
        <v>111.0366333</v>
      </c>
      <c r="J1358" s="204">
        <f t="shared" si="400"/>
        <v>111.0366333</v>
      </c>
      <c r="K1358" s="204">
        <f t="shared" si="400"/>
        <v>111.0366333</v>
      </c>
      <c r="L1358" s="204">
        <f t="shared" si="400"/>
        <v>108.976</v>
      </c>
      <c r="M1358" s="204">
        <f t="shared" si="400"/>
        <v>106.9153667</v>
      </c>
      <c r="N1358" s="204">
        <f t="shared" si="400"/>
        <v>170.2403333</v>
      </c>
      <c r="O1358" s="5"/>
      <c r="P1358" s="5"/>
      <c r="Q1358" s="5"/>
      <c r="R1358" s="5"/>
      <c r="S1358" s="5"/>
      <c r="T1358" s="5"/>
      <c r="U1358" s="5"/>
      <c r="V1358" s="5"/>
      <c r="W1358" s="5"/>
      <c r="X1358" s="5"/>
      <c r="Y1358" s="5"/>
      <c r="Z1358" s="5"/>
    </row>
    <row r="1359" ht="12.0" customHeight="1">
      <c r="A1359" s="92" t="s">
        <v>637</v>
      </c>
      <c r="B1359" s="5"/>
      <c r="C1359" s="205">
        <f>'Resumen Capacidad'!$I$118</f>
        <v>187.425</v>
      </c>
      <c r="D1359" s="205">
        <f>'Resumen Capacidad'!$I$118</f>
        <v>187.425</v>
      </c>
      <c r="E1359" s="205">
        <f>'Resumen Capacidad'!$I$118</f>
        <v>187.425</v>
      </c>
      <c r="F1359" s="205">
        <f>'Resumen Capacidad'!$I$118</f>
        <v>187.425</v>
      </c>
      <c r="G1359" s="205">
        <f>'Resumen Capacidad'!$I$118</f>
        <v>187.425</v>
      </c>
      <c r="H1359" s="205">
        <f>'Resumen Capacidad'!$I$118</f>
        <v>187.425</v>
      </c>
      <c r="I1359" s="205">
        <f>'Resumen Capacidad'!$I$118</f>
        <v>187.425</v>
      </c>
      <c r="J1359" s="205">
        <f>'Resumen Capacidad'!$I$118</f>
        <v>187.425</v>
      </c>
      <c r="K1359" s="205">
        <f>'Resumen Capacidad'!$I$118</f>
        <v>187.425</v>
      </c>
      <c r="L1359" s="205">
        <f>'Resumen Capacidad'!$I$118</f>
        <v>187.425</v>
      </c>
      <c r="M1359" s="205">
        <f>'Resumen Capacidad'!$I$118</f>
        <v>187.425</v>
      </c>
      <c r="N1359" s="205">
        <f>'Resumen Capacidad'!$I$118</f>
        <v>187.425</v>
      </c>
      <c r="O1359" s="5"/>
      <c r="P1359" s="5"/>
      <c r="Q1359" s="5"/>
      <c r="R1359" s="5"/>
      <c r="S1359" s="5"/>
      <c r="T1359" s="5"/>
      <c r="U1359" s="5"/>
      <c r="V1359" s="5"/>
      <c r="W1359" s="5"/>
      <c r="X1359" s="5"/>
      <c r="Y1359" s="5"/>
      <c r="Z1359" s="5"/>
    </row>
    <row r="1360" ht="12.0" customHeight="1">
      <c r="A1360" s="92" t="s">
        <v>640</v>
      </c>
      <c r="B1360" s="5"/>
      <c r="C1360" s="204">
        <f>'Resumen Capacidad'!$I$36*'Resumen Capacidad'!$I$72</f>
        <v>2</v>
      </c>
      <c r="D1360" s="204">
        <f>'Resumen Capacidad'!$I$36*'Resumen Capacidad'!$I$72</f>
        <v>2</v>
      </c>
      <c r="E1360" s="204">
        <f>'Resumen Capacidad'!$I$36*'Resumen Capacidad'!$I$72</f>
        <v>2</v>
      </c>
      <c r="F1360" s="204">
        <f>'Resumen Capacidad'!$I$36*'Resumen Capacidad'!$I$72</f>
        <v>2</v>
      </c>
      <c r="G1360" s="204">
        <f>'Resumen Capacidad'!$I$36*'Resumen Capacidad'!$I$72</f>
        <v>2</v>
      </c>
      <c r="H1360" s="204">
        <f>'Resumen Capacidad'!$I$36*'Resumen Capacidad'!$I$72</f>
        <v>2</v>
      </c>
      <c r="I1360" s="204">
        <f>'Resumen Capacidad'!$I$36*'Resumen Capacidad'!$I$72</f>
        <v>2</v>
      </c>
      <c r="J1360" s="204">
        <f>'Resumen Capacidad'!$I$36*'Resumen Capacidad'!$I$72</f>
        <v>2</v>
      </c>
      <c r="K1360" s="204">
        <f>'Resumen Capacidad'!$I$36*'Resumen Capacidad'!$I$72</f>
        <v>2</v>
      </c>
      <c r="L1360" s="204">
        <f>'Resumen Capacidad'!$I$36*'Resumen Capacidad'!$I$72</f>
        <v>2</v>
      </c>
      <c r="M1360" s="204">
        <f>'Resumen Capacidad'!$I$36*'Resumen Capacidad'!$I$72</f>
        <v>2</v>
      </c>
      <c r="N1360" s="204">
        <f>'Resumen Capacidad'!$I$36*'Resumen Capacidad'!$I$72</f>
        <v>2</v>
      </c>
      <c r="O1360" s="5"/>
      <c r="P1360" s="5"/>
      <c r="Q1360" s="5"/>
      <c r="R1360" s="5"/>
      <c r="S1360" s="5"/>
      <c r="T1360" s="5"/>
      <c r="U1360" s="5"/>
      <c r="V1360" s="5"/>
      <c r="W1360" s="5"/>
      <c r="X1360" s="5"/>
      <c r="Y1360" s="5"/>
      <c r="Z1360" s="5"/>
    </row>
    <row r="1361" ht="12.0" customHeight="1">
      <c r="A1361" s="92" t="s">
        <v>642</v>
      </c>
      <c r="B1361" s="5"/>
      <c r="C1361" s="204">
        <f t="shared" ref="C1361:N1361" si="401">C1359*C1360</f>
        <v>374.85</v>
      </c>
      <c r="D1361" s="204">
        <f t="shared" si="401"/>
        <v>374.85</v>
      </c>
      <c r="E1361" s="204">
        <f t="shared" si="401"/>
        <v>374.85</v>
      </c>
      <c r="F1361" s="204">
        <f t="shared" si="401"/>
        <v>374.85</v>
      </c>
      <c r="G1361" s="204">
        <f t="shared" si="401"/>
        <v>374.85</v>
      </c>
      <c r="H1361" s="204">
        <f t="shared" si="401"/>
        <v>374.85</v>
      </c>
      <c r="I1361" s="204">
        <f t="shared" si="401"/>
        <v>374.85</v>
      </c>
      <c r="J1361" s="204">
        <f t="shared" si="401"/>
        <v>374.85</v>
      </c>
      <c r="K1361" s="204">
        <f t="shared" si="401"/>
        <v>374.85</v>
      </c>
      <c r="L1361" s="204">
        <f t="shared" si="401"/>
        <v>374.85</v>
      </c>
      <c r="M1361" s="204">
        <f t="shared" si="401"/>
        <v>374.85</v>
      </c>
      <c r="N1361" s="204">
        <f t="shared" si="401"/>
        <v>374.85</v>
      </c>
      <c r="O1361" s="5"/>
      <c r="P1361" s="5"/>
      <c r="Q1361" s="5"/>
      <c r="R1361" s="5"/>
      <c r="S1361" s="5"/>
      <c r="T1361" s="5"/>
      <c r="U1361" s="5"/>
      <c r="V1361" s="5"/>
      <c r="W1361" s="5"/>
      <c r="X1361" s="5"/>
      <c r="Y1361" s="5"/>
      <c r="Z1361" s="5"/>
    </row>
    <row r="1362" ht="12.0" customHeight="1">
      <c r="A1362" s="92" t="s">
        <v>643</v>
      </c>
      <c r="B1362" s="5"/>
      <c r="C1362" s="206">
        <f t="shared" ref="C1362:N1362" si="402">IF(C1361=0,0,C1358/C1361)</f>
        <v>0.4431614424</v>
      </c>
      <c r="D1362" s="206">
        <f t="shared" si="402"/>
        <v>0.3378683029</v>
      </c>
      <c r="E1362" s="206">
        <f t="shared" si="402"/>
        <v>0.315597439</v>
      </c>
      <c r="F1362" s="206">
        <f t="shared" si="402"/>
        <v>0.3017133965</v>
      </c>
      <c r="G1362" s="206">
        <f t="shared" si="402"/>
        <v>0.2823321329</v>
      </c>
      <c r="H1362" s="206">
        <f t="shared" si="402"/>
        <v>0.2768349117</v>
      </c>
      <c r="I1362" s="206">
        <f t="shared" si="402"/>
        <v>0.2962161754</v>
      </c>
      <c r="J1362" s="206">
        <f t="shared" si="402"/>
        <v>0.2962161754</v>
      </c>
      <c r="K1362" s="206">
        <f t="shared" si="402"/>
        <v>0.2962161754</v>
      </c>
      <c r="L1362" s="206">
        <f t="shared" si="402"/>
        <v>0.2907189542</v>
      </c>
      <c r="M1362" s="206">
        <f t="shared" si="402"/>
        <v>0.2852217331</v>
      </c>
      <c r="N1362" s="206">
        <f t="shared" si="402"/>
        <v>0.4541558846</v>
      </c>
      <c r="O1362" s="5"/>
      <c r="P1362" s="5"/>
      <c r="Q1362" s="5"/>
      <c r="R1362" s="5"/>
      <c r="S1362" s="5"/>
      <c r="T1362" s="5"/>
      <c r="U1362" s="5"/>
      <c r="V1362" s="5"/>
      <c r="W1362" s="5"/>
      <c r="X1362" s="5"/>
      <c r="Y1362" s="5"/>
      <c r="Z1362" s="5"/>
    </row>
    <row r="1363" ht="12.0" customHeight="1">
      <c r="A1363" s="201" t="s">
        <v>665</v>
      </c>
      <c r="B1363" s="202"/>
      <c r="C1363" s="202"/>
      <c r="D1363" s="202"/>
      <c r="E1363" s="202"/>
      <c r="F1363" s="202"/>
      <c r="G1363" s="202"/>
      <c r="H1363" s="202"/>
      <c r="I1363" s="202"/>
      <c r="J1363" s="202"/>
      <c r="K1363" s="202"/>
      <c r="L1363" s="202"/>
      <c r="M1363" s="202"/>
      <c r="N1363" s="202"/>
      <c r="O1363" s="5"/>
      <c r="P1363" s="5"/>
      <c r="Q1363" s="5"/>
      <c r="R1363" s="5"/>
      <c r="S1363" s="5"/>
      <c r="T1363" s="5"/>
      <c r="U1363" s="5"/>
      <c r="V1363" s="5"/>
      <c r="W1363" s="5"/>
      <c r="X1363" s="5"/>
      <c r="Y1363" s="5"/>
      <c r="Z1363" s="5"/>
    </row>
    <row r="1364" ht="12.0" customHeight="1">
      <c r="A1364" s="201" t="s">
        <v>630</v>
      </c>
      <c r="B1364" s="201" t="s">
        <v>631</v>
      </c>
      <c r="C1364" s="201" t="s">
        <v>3</v>
      </c>
      <c r="D1364" s="201" t="s">
        <v>4</v>
      </c>
      <c r="E1364" s="201" t="s">
        <v>5</v>
      </c>
      <c r="F1364" s="201" t="s">
        <v>6</v>
      </c>
      <c r="G1364" s="201" t="s">
        <v>7</v>
      </c>
      <c r="H1364" s="201" t="s">
        <v>8</v>
      </c>
      <c r="I1364" s="201" t="s">
        <v>9</v>
      </c>
      <c r="J1364" s="201" t="s">
        <v>10</v>
      </c>
      <c r="K1364" s="201" t="s">
        <v>11</v>
      </c>
      <c r="L1364" s="201" t="s">
        <v>12</v>
      </c>
      <c r="M1364" s="201" t="s">
        <v>13</v>
      </c>
      <c r="N1364" s="201" t="s">
        <v>14</v>
      </c>
      <c r="O1364" s="5"/>
      <c r="P1364" s="5"/>
      <c r="Q1364" s="5"/>
      <c r="R1364" s="5"/>
      <c r="S1364" s="5"/>
      <c r="T1364" s="5"/>
      <c r="U1364" s="5"/>
      <c r="V1364" s="5"/>
      <c r="W1364" s="5"/>
      <c r="X1364" s="5"/>
      <c r="Y1364" s="5"/>
      <c r="Z1364" s="5"/>
    </row>
    <row r="1365" ht="12.0" customHeight="1">
      <c r="A1365" s="92" t="s">
        <v>632</v>
      </c>
      <c r="B1365" s="92" t="s">
        <v>633</v>
      </c>
      <c r="C1365" s="203">
        <f>SUM('2033'!B6:B9)+SUM('2033'!B17:B20)</f>
        <v>24917.86</v>
      </c>
      <c r="D1365" s="203">
        <f>SUM('2033'!C6:C9)+SUM('2033'!C17:C20)</f>
        <v>18997.49</v>
      </c>
      <c r="E1365" s="203">
        <f>SUM('2033'!D6:D9)+SUM('2033'!D17:D20)</f>
        <v>17745.255</v>
      </c>
      <c r="F1365" s="203">
        <f>SUM('2033'!E6:E9)+SUM('2033'!E17:E20)</f>
        <v>16964.59</v>
      </c>
      <c r="G1365" s="203">
        <f>SUM('2033'!F6:F9)+SUM('2033'!F17:F20)</f>
        <v>15874.83</v>
      </c>
      <c r="H1365" s="203">
        <f>SUM('2033'!G6:G9)+SUM('2033'!G17:G20)</f>
        <v>15565.735</v>
      </c>
      <c r="I1365" s="203">
        <f>SUM('2033'!H6:H9)+SUM('2033'!H17:H20)</f>
        <v>16655.495</v>
      </c>
      <c r="J1365" s="203">
        <f>SUM('2033'!I6:I9)+SUM('2033'!I17:I20)</f>
        <v>16655.495</v>
      </c>
      <c r="K1365" s="203">
        <f>SUM('2033'!J6:J9)+SUM('2033'!J17:J20)</f>
        <v>16655.495</v>
      </c>
      <c r="L1365" s="203">
        <f>SUM('2033'!K6:K9)+SUM('2033'!K17:K20)</f>
        <v>16346.4</v>
      </c>
      <c r="M1365" s="203">
        <f>SUM('2033'!L6:L9)+SUM('2033'!L17:L20)</f>
        <v>16037.305</v>
      </c>
      <c r="N1365" s="203">
        <f>SUM('2033'!M6:M9)+SUM('2033'!M17:M20)</f>
        <v>25536.05</v>
      </c>
      <c r="O1365" s="5"/>
      <c r="P1365" s="5"/>
      <c r="Q1365" s="5"/>
      <c r="R1365" s="5"/>
      <c r="S1365" s="5"/>
      <c r="T1365" s="5"/>
      <c r="U1365" s="5"/>
      <c r="V1365" s="5"/>
      <c r="W1365" s="5"/>
      <c r="X1365" s="5"/>
      <c r="Y1365" s="5"/>
      <c r="Z1365" s="5"/>
    </row>
    <row r="1366" ht="12.0" customHeight="1">
      <c r="A1366" s="5"/>
      <c r="B1366" s="92" t="s">
        <v>634</v>
      </c>
      <c r="C1366" s="204">
        <f>C1365/Parametros!$B$37</f>
        <v>1245.893</v>
      </c>
      <c r="D1366" s="204">
        <f>D1365/Parametros!$B$37</f>
        <v>949.8745</v>
      </c>
      <c r="E1366" s="204">
        <f>E1365/Parametros!$B$37</f>
        <v>887.26275</v>
      </c>
      <c r="F1366" s="204">
        <f>F1365/Parametros!$B$37</f>
        <v>848.2295</v>
      </c>
      <c r="G1366" s="204">
        <f>G1365/Parametros!$B$37</f>
        <v>793.7415</v>
      </c>
      <c r="H1366" s="204">
        <f>H1365/Parametros!$B$37</f>
        <v>778.28675</v>
      </c>
      <c r="I1366" s="204">
        <f>I1365/Parametros!$B$37</f>
        <v>832.77475</v>
      </c>
      <c r="J1366" s="204">
        <f>J1365/Parametros!$B$37</f>
        <v>832.77475</v>
      </c>
      <c r="K1366" s="204">
        <f>K1365/Parametros!$B$37</f>
        <v>832.77475</v>
      </c>
      <c r="L1366" s="204">
        <f>L1365/Parametros!$B$37</f>
        <v>817.32</v>
      </c>
      <c r="M1366" s="204">
        <f>M1365/Parametros!$B$37</f>
        <v>801.86525</v>
      </c>
      <c r="N1366" s="204">
        <f>N1365/Parametros!$B$37</f>
        <v>1276.8025</v>
      </c>
      <c r="O1366" s="5"/>
      <c r="P1366" s="5"/>
      <c r="Q1366" s="5"/>
      <c r="R1366" s="5"/>
      <c r="S1366" s="5"/>
      <c r="T1366" s="5"/>
      <c r="U1366" s="5"/>
      <c r="V1366" s="5"/>
      <c r="W1366" s="5"/>
      <c r="X1366" s="5"/>
      <c r="Y1366" s="5"/>
      <c r="Z1366" s="5"/>
    </row>
    <row r="1367" ht="12.0" customHeight="1">
      <c r="A1367" s="5"/>
      <c r="B1367" s="92" t="s">
        <v>635</v>
      </c>
      <c r="C1367" s="204">
        <f>C1366/Parametros!$J$37</f>
        <v>166.1190667</v>
      </c>
      <c r="D1367" s="204">
        <f>D1366/Parametros!$J$37</f>
        <v>126.6499333</v>
      </c>
      <c r="E1367" s="204">
        <f>E1366/Parametros!$J$37</f>
        <v>118.3017</v>
      </c>
      <c r="F1367" s="204">
        <f>F1366/Parametros!$J$37</f>
        <v>113.0972667</v>
      </c>
      <c r="G1367" s="204">
        <f>G1366/Parametros!$J$37</f>
        <v>105.8322</v>
      </c>
      <c r="H1367" s="204">
        <f>H1366/Parametros!$J$37</f>
        <v>103.7715667</v>
      </c>
      <c r="I1367" s="204">
        <f>I1366/Parametros!$J$37</f>
        <v>111.0366333</v>
      </c>
      <c r="J1367" s="204">
        <f>J1366/Parametros!$J$37</f>
        <v>111.0366333</v>
      </c>
      <c r="K1367" s="204">
        <f>K1366/Parametros!$J$37</f>
        <v>111.0366333</v>
      </c>
      <c r="L1367" s="204">
        <f>L1366/Parametros!$J$37</f>
        <v>108.976</v>
      </c>
      <c r="M1367" s="204">
        <f>M1366/Parametros!$J$37</f>
        <v>106.9153667</v>
      </c>
      <c r="N1367" s="204">
        <f>N1366/Parametros!$J$37</f>
        <v>170.2403333</v>
      </c>
      <c r="O1367" s="5"/>
      <c r="P1367" s="5"/>
      <c r="Q1367" s="5"/>
      <c r="R1367" s="5"/>
      <c r="S1367" s="5"/>
      <c r="T1367" s="5"/>
      <c r="U1367" s="5"/>
      <c r="V1367" s="5"/>
      <c r="W1367" s="5"/>
      <c r="X1367" s="5"/>
      <c r="Y1367" s="5"/>
      <c r="Z1367" s="5"/>
    </row>
    <row r="1368" ht="12.0" customHeight="1">
      <c r="A1368" s="92" t="s">
        <v>636</v>
      </c>
      <c r="B1368" s="5"/>
      <c r="C1368" s="204">
        <f t="shared" ref="C1368:N1368" si="403">C1367</f>
        <v>166.1190667</v>
      </c>
      <c r="D1368" s="204">
        <f t="shared" si="403"/>
        <v>126.6499333</v>
      </c>
      <c r="E1368" s="204">
        <f t="shared" si="403"/>
        <v>118.3017</v>
      </c>
      <c r="F1368" s="204">
        <f t="shared" si="403"/>
        <v>113.0972667</v>
      </c>
      <c r="G1368" s="204">
        <f t="shared" si="403"/>
        <v>105.8322</v>
      </c>
      <c r="H1368" s="204">
        <f t="shared" si="403"/>
        <v>103.7715667</v>
      </c>
      <c r="I1368" s="204">
        <f t="shared" si="403"/>
        <v>111.0366333</v>
      </c>
      <c r="J1368" s="204">
        <f t="shared" si="403"/>
        <v>111.0366333</v>
      </c>
      <c r="K1368" s="204">
        <f t="shared" si="403"/>
        <v>111.0366333</v>
      </c>
      <c r="L1368" s="204">
        <f t="shared" si="403"/>
        <v>108.976</v>
      </c>
      <c r="M1368" s="204">
        <f t="shared" si="403"/>
        <v>106.9153667</v>
      </c>
      <c r="N1368" s="204">
        <f t="shared" si="403"/>
        <v>170.2403333</v>
      </c>
      <c r="O1368" s="5"/>
      <c r="P1368" s="5"/>
      <c r="Q1368" s="5"/>
      <c r="R1368" s="5"/>
      <c r="S1368" s="5"/>
      <c r="T1368" s="5"/>
      <c r="U1368" s="5"/>
      <c r="V1368" s="5"/>
      <c r="W1368" s="5"/>
      <c r="X1368" s="5"/>
      <c r="Y1368" s="5"/>
      <c r="Z1368" s="5"/>
    </row>
    <row r="1369" ht="12.0" customHeight="1">
      <c r="A1369" s="92" t="s">
        <v>637</v>
      </c>
      <c r="B1369" s="5"/>
      <c r="C1369" s="184">
        <f>'Resumen Capacidad'!$I$119</f>
        <v>63.648</v>
      </c>
      <c r="D1369" s="184">
        <f>'Resumen Capacidad'!$I$119</f>
        <v>63.648</v>
      </c>
      <c r="E1369" s="184">
        <f>'Resumen Capacidad'!$I$119</f>
        <v>63.648</v>
      </c>
      <c r="F1369" s="184">
        <f>'Resumen Capacidad'!$I$119</f>
        <v>63.648</v>
      </c>
      <c r="G1369" s="184">
        <f>'Resumen Capacidad'!$I$119</f>
        <v>63.648</v>
      </c>
      <c r="H1369" s="184">
        <f>'Resumen Capacidad'!$I$119</f>
        <v>63.648</v>
      </c>
      <c r="I1369" s="184">
        <f>'Resumen Capacidad'!$I$119</f>
        <v>63.648</v>
      </c>
      <c r="J1369" s="184">
        <f>'Resumen Capacidad'!$I$119</f>
        <v>63.648</v>
      </c>
      <c r="K1369" s="184">
        <f>'Resumen Capacidad'!$I$119</f>
        <v>63.648</v>
      </c>
      <c r="L1369" s="184">
        <f>'Resumen Capacidad'!$I$119</f>
        <v>63.648</v>
      </c>
      <c r="M1369" s="184">
        <f>'Resumen Capacidad'!$I$119</f>
        <v>63.648</v>
      </c>
      <c r="N1369" s="184">
        <f>'Resumen Capacidad'!$I$119</f>
        <v>63.648</v>
      </c>
      <c r="O1369" s="5"/>
      <c r="P1369" s="5"/>
      <c r="Q1369" s="5"/>
      <c r="R1369" s="5"/>
      <c r="S1369" s="5"/>
      <c r="T1369" s="5"/>
      <c r="U1369" s="5"/>
      <c r="V1369" s="5"/>
      <c r="W1369" s="5"/>
      <c r="X1369" s="5"/>
      <c r="Y1369" s="5"/>
      <c r="Z1369" s="5"/>
    </row>
    <row r="1370" ht="12.0" customHeight="1">
      <c r="A1370" s="92" t="s">
        <v>640</v>
      </c>
      <c r="B1370" s="5"/>
      <c r="C1370" s="204">
        <f>'Resumen Capacidad'!$I$37*'Resumen Capacidad'!$I$73</f>
        <v>4</v>
      </c>
      <c r="D1370" s="204">
        <f>'Resumen Capacidad'!$I$37*'Resumen Capacidad'!$I$73</f>
        <v>4</v>
      </c>
      <c r="E1370" s="204">
        <f>'Resumen Capacidad'!$I$37*'Resumen Capacidad'!$I$73</f>
        <v>4</v>
      </c>
      <c r="F1370" s="204">
        <f>'Resumen Capacidad'!$I$37*'Resumen Capacidad'!$I$73</f>
        <v>4</v>
      </c>
      <c r="G1370" s="204">
        <f>'Resumen Capacidad'!$I$37*'Resumen Capacidad'!$I$73</f>
        <v>4</v>
      </c>
      <c r="H1370" s="204">
        <f>'Resumen Capacidad'!$I$37*'Resumen Capacidad'!$I$73</f>
        <v>4</v>
      </c>
      <c r="I1370" s="204">
        <f>'Resumen Capacidad'!$I$37*'Resumen Capacidad'!$I$73</f>
        <v>4</v>
      </c>
      <c r="J1370" s="204">
        <f>'Resumen Capacidad'!$I$37*'Resumen Capacidad'!$I$73</f>
        <v>4</v>
      </c>
      <c r="K1370" s="204">
        <f>'Resumen Capacidad'!$I$37*'Resumen Capacidad'!$I$73</f>
        <v>4</v>
      </c>
      <c r="L1370" s="204">
        <f>'Resumen Capacidad'!$I$37*'Resumen Capacidad'!$I$73</f>
        <v>4</v>
      </c>
      <c r="M1370" s="204">
        <f>'Resumen Capacidad'!$I$37*'Resumen Capacidad'!$I$73</f>
        <v>4</v>
      </c>
      <c r="N1370" s="204">
        <f>'Resumen Capacidad'!$I$37*'Resumen Capacidad'!$I$73</f>
        <v>4</v>
      </c>
      <c r="O1370" s="5"/>
      <c r="P1370" s="5"/>
      <c r="Q1370" s="5"/>
      <c r="R1370" s="5"/>
      <c r="S1370" s="5"/>
      <c r="T1370" s="5"/>
      <c r="U1370" s="5"/>
      <c r="V1370" s="5"/>
      <c r="W1370" s="5"/>
      <c r="X1370" s="5"/>
      <c r="Y1370" s="5"/>
      <c r="Z1370" s="5"/>
    </row>
    <row r="1371" ht="12.0" customHeight="1">
      <c r="A1371" s="92" t="s">
        <v>642</v>
      </c>
      <c r="B1371" s="5"/>
      <c r="C1371" s="204">
        <f t="shared" ref="C1371:N1371" si="404">C1369*C1370</f>
        <v>254.592</v>
      </c>
      <c r="D1371" s="204">
        <f t="shared" si="404"/>
        <v>254.592</v>
      </c>
      <c r="E1371" s="204">
        <f t="shared" si="404"/>
        <v>254.592</v>
      </c>
      <c r="F1371" s="204">
        <f t="shared" si="404"/>
        <v>254.592</v>
      </c>
      <c r="G1371" s="204">
        <f t="shared" si="404"/>
        <v>254.592</v>
      </c>
      <c r="H1371" s="204">
        <f t="shared" si="404"/>
        <v>254.592</v>
      </c>
      <c r="I1371" s="204">
        <f t="shared" si="404"/>
        <v>254.592</v>
      </c>
      <c r="J1371" s="204">
        <f t="shared" si="404"/>
        <v>254.592</v>
      </c>
      <c r="K1371" s="204">
        <f t="shared" si="404"/>
        <v>254.592</v>
      </c>
      <c r="L1371" s="204">
        <f t="shared" si="404"/>
        <v>254.592</v>
      </c>
      <c r="M1371" s="204">
        <f t="shared" si="404"/>
        <v>254.592</v>
      </c>
      <c r="N1371" s="204">
        <f t="shared" si="404"/>
        <v>254.592</v>
      </c>
      <c r="O1371" s="5"/>
      <c r="P1371" s="5"/>
      <c r="Q1371" s="5"/>
      <c r="R1371" s="5"/>
      <c r="S1371" s="5"/>
      <c r="T1371" s="5"/>
      <c r="U1371" s="5"/>
      <c r="V1371" s="5"/>
      <c r="W1371" s="5"/>
      <c r="X1371" s="5"/>
      <c r="Y1371" s="5"/>
      <c r="Z1371" s="5"/>
    </row>
    <row r="1372" ht="12.0" customHeight="1">
      <c r="A1372" s="92" t="s">
        <v>643</v>
      </c>
      <c r="B1372" s="5"/>
      <c r="C1372" s="206">
        <f t="shared" ref="C1372:N1372" si="405">IF(C1371=0,0,C1368/C1371)</f>
        <v>0.6524913064</v>
      </c>
      <c r="D1372" s="206">
        <f t="shared" si="405"/>
        <v>0.497462345</v>
      </c>
      <c r="E1372" s="206">
        <f t="shared" si="405"/>
        <v>0.46467171</v>
      </c>
      <c r="F1372" s="206">
        <f t="shared" si="405"/>
        <v>0.4442294599</v>
      </c>
      <c r="G1372" s="206">
        <f t="shared" si="405"/>
        <v>0.4156933446</v>
      </c>
      <c r="H1372" s="206">
        <f t="shared" si="405"/>
        <v>0.4075994794</v>
      </c>
      <c r="I1372" s="206">
        <f t="shared" si="405"/>
        <v>0.4361355947</v>
      </c>
      <c r="J1372" s="206">
        <f t="shared" si="405"/>
        <v>0.4361355947</v>
      </c>
      <c r="K1372" s="206">
        <f t="shared" si="405"/>
        <v>0.4361355947</v>
      </c>
      <c r="L1372" s="206">
        <f t="shared" si="405"/>
        <v>0.4280417295</v>
      </c>
      <c r="M1372" s="206">
        <f t="shared" si="405"/>
        <v>0.4199478643</v>
      </c>
      <c r="N1372" s="206">
        <f t="shared" si="405"/>
        <v>0.6686790368</v>
      </c>
      <c r="O1372" s="5"/>
      <c r="P1372" s="5"/>
      <c r="Q1372" s="5"/>
      <c r="R1372" s="5"/>
      <c r="S1372" s="5"/>
      <c r="T1372" s="5"/>
      <c r="U1372" s="5"/>
      <c r="V1372" s="5"/>
      <c r="W1372" s="5"/>
      <c r="X1372" s="5"/>
      <c r="Y1372" s="5"/>
      <c r="Z1372" s="5"/>
    </row>
    <row r="1373" ht="12.0" customHeight="1">
      <c r="A1373" s="201" t="s">
        <v>666</v>
      </c>
      <c r="B1373" s="202"/>
      <c r="C1373" s="202"/>
      <c r="D1373" s="202"/>
      <c r="E1373" s="202"/>
      <c r="F1373" s="202"/>
      <c r="G1373" s="202"/>
      <c r="H1373" s="202"/>
      <c r="I1373" s="202"/>
      <c r="J1373" s="202"/>
      <c r="K1373" s="202"/>
      <c r="L1373" s="202"/>
      <c r="M1373" s="202"/>
      <c r="N1373" s="202"/>
      <c r="O1373" s="5"/>
      <c r="P1373" s="5"/>
      <c r="Q1373" s="5"/>
      <c r="R1373" s="5"/>
      <c r="S1373" s="5"/>
      <c r="T1373" s="5"/>
      <c r="U1373" s="5"/>
      <c r="V1373" s="5"/>
      <c r="W1373" s="5"/>
      <c r="X1373" s="5"/>
      <c r="Y1373" s="5"/>
      <c r="Z1373" s="5"/>
    </row>
    <row r="1374" ht="12.0" customHeight="1">
      <c r="A1374" s="201" t="s">
        <v>630</v>
      </c>
      <c r="B1374" s="201" t="s">
        <v>631</v>
      </c>
      <c r="C1374" s="201" t="s">
        <v>3</v>
      </c>
      <c r="D1374" s="201" t="s">
        <v>4</v>
      </c>
      <c r="E1374" s="201" t="s">
        <v>5</v>
      </c>
      <c r="F1374" s="201" t="s">
        <v>6</v>
      </c>
      <c r="G1374" s="201" t="s">
        <v>7</v>
      </c>
      <c r="H1374" s="201" t="s">
        <v>8</v>
      </c>
      <c r="I1374" s="201" t="s">
        <v>9</v>
      </c>
      <c r="J1374" s="201" t="s">
        <v>10</v>
      </c>
      <c r="K1374" s="201" t="s">
        <v>11</v>
      </c>
      <c r="L1374" s="201" t="s">
        <v>12</v>
      </c>
      <c r="M1374" s="201" t="s">
        <v>13</v>
      </c>
      <c r="N1374" s="201" t="s">
        <v>14</v>
      </c>
      <c r="O1374" s="5"/>
      <c r="P1374" s="5"/>
      <c r="Q1374" s="5"/>
      <c r="R1374" s="5"/>
      <c r="S1374" s="5"/>
      <c r="T1374" s="5"/>
      <c r="U1374" s="5"/>
      <c r="V1374" s="5"/>
      <c r="W1374" s="5"/>
      <c r="X1374" s="5"/>
      <c r="Y1374" s="5"/>
      <c r="Z1374" s="5"/>
    </row>
    <row r="1375" ht="12.0" customHeight="1">
      <c r="A1375" s="92" t="s">
        <v>632</v>
      </c>
      <c r="B1375" s="92" t="s">
        <v>633</v>
      </c>
      <c r="C1375" s="203">
        <f>SUM('2033'!B6:B9)+SUM('2033'!B17:B20)</f>
        <v>24917.86</v>
      </c>
      <c r="D1375" s="203">
        <f>SUM('2033'!C6:C9)+SUM('2033'!C17:C20)</f>
        <v>18997.49</v>
      </c>
      <c r="E1375" s="203">
        <f>SUM('2033'!D6:D9)+SUM('2033'!D17:D20)</f>
        <v>17745.255</v>
      </c>
      <c r="F1375" s="203">
        <f>SUM('2033'!E6:E9)+SUM('2033'!E17:E20)</f>
        <v>16964.59</v>
      </c>
      <c r="G1375" s="203">
        <f>SUM('2033'!F6:F9)+SUM('2033'!F17:F20)</f>
        <v>15874.83</v>
      </c>
      <c r="H1375" s="203">
        <f>SUM('2033'!G6:G9)+SUM('2033'!G17:G20)</f>
        <v>15565.735</v>
      </c>
      <c r="I1375" s="203">
        <f>SUM('2033'!H6:H9)+SUM('2033'!H17:H20)</f>
        <v>16655.495</v>
      </c>
      <c r="J1375" s="203">
        <f>SUM('2033'!I6:I9)+SUM('2033'!I17:I20)</f>
        <v>16655.495</v>
      </c>
      <c r="K1375" s="203">
        <f>SUM('2033'!J6:J9)+SUM('2033'!J17:J20)</f>
        <v>16655.495</v>
      </c>
      <c r="L1375" s="203">
        <f>SUM('2033'!K6:K9)+SUM('2033'!K17:K20)</f>
        <v>16346.4</v>
      </c>
      <c r="M1375" s="203">
        <f>SUM('2033'!L6:L9)+SUM('2033'!L17:L20)</f>
        <v>16037.305</v>
      </c>
      <c r="N1375" s="203">
        <f>SUM('2033'!M6:M9)+SUM('2033'!M17:M20)</f>
        <v>25536.05</v>
      </c>
      <c r="O1375" s="5"/>
      <c r="P1375" s="5"/>
      <c r="Q1375" s="5"/>
      <c r="R1375" s="5"/>
      <c r="S1375" s="5"/>
      <c r="T1375" s="5"/>
      <c r="U1375" s="5"/>
      <c r="V1375" s="5"/>
      <c r="W1375" s="5"/>
      <c r="X1375" s="5"/>
      <c r="Y1375" s="5"/>
      <c r="Z1375" s="5"/>
    </row>
    <row r="1376" ht="12.0" customHeight="1">
      <c r="A1376" s="5"/>
      <c r="B1376" s="92" t="s">
        <v>634</v>
      </c>
      <c r="C1376" s="204">
        <f>C1375/Parametros!$B$37</f>
        <v>1245.893</v>
      </c>
      <c r="D1376" s="204">
        <f>D1375/Parametros!$B$37</f>
        <v>949.8745</v>
      </c>
      <c r="E1376" s="204">
        <f>E1375/Parametros!$B$37</f>
        <v>887.26275</v>
      </c>
      <c r="F1376" s="204">
        <f>F1375/Parametros!$B$37</f>
        <v>848.2295</v>
      </c>
      <c r="G1376" s="204">
        <f>G1375/Parametros!$B$37</f>
        <v>793.7415</v>
      </c>
      <c r="H1376" s="204">
        <f>H1375/Parametros!$B$37</f>
        <v>778.28675</v>
      </c>
      <c r="I1376" s="204">
        <f>I1375/Parametros!$B$37</f>
        <v>832.77475</v>
      </c>
      <c r="J1376" s="204">
        <f>J1375/Parametros!$B$37</f>
        <v>832.77475</v>
      </c>
      <c r="K1376" s="204">
        <f>K1375/Parametros!$B$37</f>
        <v>832.77475</v>
      </c>
      <c r="L1376" s="204">
        <f>L1375/Parametros!$B$37</f>
        <v>817.32</v>
      </c>
      <c r="M1376" s="204">
        <f>M1375/Parametros!$B$37</f>
        <v>801.86525</v>
      </c>
      <c r="N1376" s="204">
        <f>N1375/Parametros!$B$37</f>
        <v>1276.8025</v>
      </c>
      <c r="O1376" s="5"/>
      <c r="P1376" s="5"/>
      <c r="Q1376" s="5"/>
      <c r="R1376" s="5"/>
      <c r="S1376" s="5"/>
      <c r="T1376" s="5"/>
      <c r="U1376" s="5"/>
      <c r="V1376" s="5"/>
      <c r="W1376" s="5"/>
      <c r="X1376" s="5"/>
      <c r="Y1376" s="5"/>
      <c r="Z1376" s="5"/>
    </row>
    <row r="1377" ht="12.0" customHeight="1">
      <c r="A1377" s="5"/>
      <c r="B1377" s="92" t="s">
        <v>635</v>
      </c>
      <c r="C1377" s="204">
        <f>C1376/Parametros!$J$37</f>
        <v>166.1190667</v>
      </c>
      <c r="D1377" s="204">
        <f>D1376/Parametros!$J$37</f>
        <v>126.6499333</v>
      </c>
      <c r="E1377" s="204">
        <f>E1376/Parametros!$J$37</f>
        <v>118.3017</v>
      </c>
      <c r="F1377" s="204">
        <f>F1376/Parametros!$J$37</f>
        <v>113.0972667</v>
      </c>
      <c r="G1377" s="204">
        <f>G1376/Parametros!$J$37</f>
        <v>105.8322</v>
      </c>
      <c r="H1377" s="204">
        <f>H1376/Parametros!$J$37</f>
        <v>103.7715667</v>
      </c>
      <c r="I1377" s="204">
        <f>I1376/Parametros!$J$37</f>
        <v>111.0366333</v>
      </c>
      <c r="J1377" s="204">
        <f>J1376/Parametros!$J$37</f>
        <v>111.0366333</v>
      </c>
      <c r="K1377" s="204">
        <f>K1376/Parametros!$J$37</f>
        <v>111.0366333</v>
      </c>
      <c r="L1377" s="204">
        <f>L1376/Parametros!$J$37</f>
        <v>108.976</v>
      </c>
      <c r="M1377" s="204">
        <f>M1376/Parametros!$J$37</f>
        <v>106.9153667</v>
      </c>
      <c r="N1377" s="204">
        <f>N1376/Parametros!$J$37</f>
        <v>170.2403333</v>
      </c>
      <c r="O1377" s="5"/>
      <c r="P1377" s="5"/>
      <c r="Q1377" s="5"/>
      <c r="R1377" s="5"/>
      <c r="S1377" s="5"/>
      <c r="T1377" s="5"/>
      <c r="U1377" s="5"/>
      <c r="V1377" s="5"/>
      <c r="W1377" s="5"/>
      <c r="X1377" s="5"/>
      <c r="Y1377" s="5"/>
      <c r="Z1377" s="5"/>
    </row>
    <row r="1378" ht="12.0" customHeight="1">
      <c r="A1378" s="92" t="s">
        <v>636</v>
      </c>
      <c r="B1378" s="5"/>
      <c r="C1378" s="204">
        <f t="shared" ref="C1378:N1378" si="406">C1377</f>
        <v>166.1190667</v>
      </c>
      <c r="D1378" s="204">
        <f t="shared" si="406"/>
        <v>126.6499333</v>
      </c>
      <c r="E1378" s="204">
        <f t="shared" si="406"/>
        <v>118.3017</v>
      </c>
      <c r="F1378" s="204">
        <f t="shared" si="406"/>
        <v>113.0972667</v>
      </c>
      <c r="G1378" s="204">
        <f t="shared" si="406"/>
        <v>105.8322</v>
      </c>
      <c r="H1378" s="204">
        <f t="shared" si="406"/>
        <v>103.7715667</v>
      </c>
      <c r="I1378" s="204">
        <f t="shared" si="406"/>
        <v>111.0366333</v>
      </c>
      <c r="J1378" s="204">
        <f t="shared" si="406"/>
        <v>111.0366333</v>
      </c>
      <c r="K1378" s="204">
        <f t="shared" si="406"/>
        <v>111.0366333</v>
      </c>
      <c r="L1378" s="204">
        <f t="shared" si="406"/>
        <v>108.976</v>
      </c>
      <c r="M1378" s="204">
        <f t="shared" si="406"/>
        <v>106.9153667</v>
      </c>
      <c r="N1378" s="204">
        <f t="shared" si="406"/>
        <v>170.2403333</v>
      </c>
      <c r="O1378" s="5"/>
      <c r="P1378" s="5"/>
      <c r="Q1378" s="5"/>
      <c r="R1378" s="5"/>
      <c r="S1378" s="5"/>
      <c r="T1378" s="5"/>
      <c r="U1378" s="5"/>
      <c r="V1378" s="5"/>
      <c r="W1378" s="5"/>
      <c r="X1378" s="5"/>
      <c r="Y1378" s="5"/>
      <c r="Z1378" s="5"/>
    </row>
    <row r="1379" ht="12.0" customHeight="1">
      <c r="A1379" s="92" t="s">
        <v>637</v>
      </c>
      <c r="B1379" s="5"/>
      <c r="C1379" s="205">
        <f>'Resumen Capacidad'!$I$120</f>
        <v>86.65142857</v>
      </c>
      <c r="D1379" s="205">
        <f>'Resumen Capacidad'!$I$120</f>
        <v>86.65142857</v>
      </c>
      <c r="E1379" s="205">
        <f>'Resumen Capacidad'!$I$120</f>
        <v>86.65142857</v>
      </c>
      <c r="F1379" s="205">
        <f>'Resumen Capacidad'!$I$120</f>
        <v>86.65142857</v>
      </c>
      <c r="G1379" s="205">
        <f>'Resumen Capacidad'!$I$120</f>
        <v>86.65142857</v>
      </c>
      <c r="H1379" s="205">
        <f>'Resumen Capacidad'!$I$120</f>
        <v>86.65142857</v>
      </c>
      <c r="I1379" s="205">
        <f>'Resumen Capacidad'!$I$120</f>
        <v>86.65142857</v>
      </c>
      <c r="J1379" s="205">
        <f>'Resumen Capacidad'!$I$120</f>
        <v>86.65142857</v>
      </c>
      <c r="K1379" s="205">
        <f>'Resumen Capacidad'!$I$120</f>
        <v>86.65142857</v>
      </c>
      <c r="L1379" s="205">
        <f>'Resumen Capacidad'!$I$120</f>
        <v>86.65142857</v>
      </c>
      <c r="M1379" s="205">
        <f>'Resumen Capacidad'!$I$120</f>
        <v>86.65142857</v>
      </c>
      <c r="N1379" s="205">
        <f>'Resumen Capacidad'!$I$120</f>
        <v>86.65142857</v>
      </c>
      <c r="O1379" s="5"/>
      <c r="P1379" s="5"/>
      <c r="Q1379" s="5"/>
      <c r="R1379" s="5"/>
      <c r="S1379" s="5"/>
      <c r="T1379" s="5"/>
      <c r="U1379" s="5"/>
      <c r="V1379" s="5"/>
      <c r="W1379" s="5"/>
      <c r="X1379" s="5"/>
      <c r="Y1379" s="5"/>
      <c r="Z1379" s="5"/>
    </row>
    <row r="1380" ht="12.0" customHeight="1">
      <c r="A1380" s="92" t="s">
        <v>640</v>
      </c>
      <c r="B1380" s="5"/>
      <c r="C1380" s="204">
        <f>'Resumen Capacidad'!$I$38*'Resumen Capacidad'!$I$74</f>
        <v>4</v>
      </c>
      <c r="D1380" s="204">
        <f>'Resumen Capacidad'!$I$38*'Resumen Capacidad'!$I$74</f>
        <v>4</v>
      </c>
      <c r="E1380" s="204">
        <f>'Resumen Capacidad'!$I$38*'Resumen Capacidad'!$I$74</f>
        <v>4</v>
      </c>
      <c r="F1380" s="204">
        <f>'Resumen Capacidad'!$I$38*'Resumen Capacidad'!$I$74</f>
        <v>4</v>
      </c>
      <c r="G1380" s="204">
        <f>'Resumen Capacidad'!$I$38*'Resumen Capacidad'!$I$74</f>
        <v>4</v>
      </c>
      <c r="H1380" s="204">
        <f>'Resumen Capacidad'!$I$38*'Resumen Capacidad'!$I$74</f>
        <v>4</v>
      </c>
      <c r="I1380" s="204">
        <f>'Resumen Capacidad'!$I$38*'Resumen Capacidad'!$I$74</f>
        <v>4</v>
      </c>
      <c r="J1380" s="204">
        <f>'Resumen Capacidad'!$I$38*'Resumen Capacidad'!$I$74</f>
        <v>4</v>
      </c>
      <c r="K1380" s="204">
        <f>'Resumen Capacidad'!$I$38*'Resumen Capacidad'!$I$74</f>
        <v>4</v>
      </c>
      <c r="L1380" s="204">
        <f>'Resumen Capacidad'!$I$38*'Resumen Capacidad'!$I$74</f>
        <v>4</v>
      </c>
      <c r="M1380" s="204">
        <f>'Resumen Capacidad'!$I$38*'Resumen Capacidad'!$I$74</f>
        <v>4</v>
      </c>
      <c r="N1380" s="204">
        <f>'Resumen Capacidad'!$I$38*'Resumen Capacidad'!$I$74</f>
        <v>4</v>
      </c>
      <c r="O1380" s="5"/>
      <c r="P1380" s="5"/>
      <c r="Q1380" s="5"/>
      <c r="R1380" s="5"/>
      <c r="S1380" s="5"/>
      <c r="T1380" s="5"/>
      <c r="U1380" s="5"/>
      <c r="V1380" s="5"/>
      <c r="W1380" s="5"/>
      <c r="X1380" s="5"/>
      <c r="Y1380" s="5"/>
      <c r="Z1380" s="5"/>
    </row>
    <row r="1381" ht="12.0" customHeight="1">
      <c r="A1381" s="92" t="s">
        <v>642</v>
      </c>
      <c r="B1381" s="5"/>
      <c r="C1381" s="204">
        <f t="shared" ref="C1381:N1381" si="407">C1379*C1380</f>
        <v>346.6057143</v>
      </c>
      <c r="D1381" s="204">
        <f t="shared" si="407"/>
        <v>346.6057143</v>
      </c>
      <c r="E1381" s="204">
        <f t="shared" si="407"/>
        <v>346.6057143</v>
      </c>
      <c r="F1381" s="204">
        <f t="shared" si="407"/>
        <v>346.6057143</v>
      </c>
      <c r="G1381" s="204">
        <f t="shared" si="407"/>
        <v>346.6057143</v>
      </c>
      <c r="H1381" s="204">
        <f t="shared" si="407"/>
        <v>346.6057143</v>
      </c>
      <c r="I1381" s="204">
        <f t="shared" si="407"/>
        <v>346.6057143</v>
      </c>
      <c r="J1381" s="204">
        <f t="shared" si="407"/>
        <v>346.6057143</v>
      </c>
      <c r="K1381" s="204">
        <f t="shared" si="407"/>
        <v>346.6057143</v>
      </c>
      <c r="L1381" s="204">
        <f t="shared" si="407"/>
        <v>346.6057143</v>
      </c>
      <c r="M1381" s="204">
        <f t="shared" si="407"/>
        <v>346.6057143</v>
      </c>
      <c r="N1381" s="204">
        <f t="shared" si="407"/>
        <v>346.6057143</v>
      </c>
      <c r="O1381" s="5"/>
      <c r="P1381" s="5"/>
      <c r="Q1381" s="5"/>
      <c r="R1381" s="5"/>
      <c r="S1381" s="5"/>
      <c r="T1381" s="5"/>
      <c r="U1381" s="5"/>
      <c r="V1381" s="5"/>
      <c r="W1381" s="5"/>
      <c r="X1381" s="5"/>
      <c r="Y1381" s="5"/>
      <c r="Z1381" s="5"/>
    </row>
    <row r="1382" ht="12.0" customHeight="1">
      <c r="A1382" s="92" t="s">
        <v>643</v>
      </c>
      <c r="B1382" s="5"/>
      <c r="C1382" s="206">
        <f t="shared" ref="C1382:N1382" si="408">IF(C1381=0,0,C1378/C1381)</f>
        <v>0.4792738833</v>
      </c>
      <c r="D1382" s="206">
        <f t="shared" si="408"/>
        <v>0.3654005924</v>
      </c>
      <c r="E1382" s="206">
        <f t="shared" si="408"/>
        <v>0.3413149153</v>
      </c>
      <c r="F1382" s="206">
        <f t="shared" si="408"/>
        <v>0.3262994867</v>
      </c>
      <c r="G1382" s="206">
        <f t="shared" si="408"/>
        <v>0.3053388783</v>
      </c>
      <c r="H1382" s="206">
        <f t="shared" si="408"/>
        <v>0.2993936983</v>
      </c>
      <c r="I1382" s="206">
        <f t="shared" si="408"/>
        <v>0.3203543068</v>
      </c>
      <c r="J1382" s="206">
        <f t="shared" si="408"/>
        <v>0.3203543068</v>
      </c>
      <c r="K1382" s="206">
        <f t="shared" si="408"/>
        <v>0.3203543068</v>
      </c>
      <c r="L1382" s="206">
        <f t="shared" si="408"/>
        <v>0.3144091269</v>
      </c>
      <c r="M1382" s="206">
        <f t="shared" si="408"/>
        <v>0.308463947</v>
      </c>
      <c r="N1382" s="206">
        <f t="shared" si="408"/>
        <v>0.4911642432</v>
      </c>
      <c r="O1382" s="5"/>
      <c r="P1382" s="5"/>
      <c r="Q1382" s="5"/>
      <c r="R1382" s="5"/>
      <c r="S1382" s="5"/>
      <c r="T1382" s="5"/>
      <c r="U1382" s="5"/>
      <c r="V1382" s="5"/>
      <c r="W1382" s="5"/>
      <c r="X1382" s="5"/>
      <c r="Y1382" s="5"/>
      <c r="Z1382" s="5"/>
    </row>
    <row r="1383" ht="12.0" customHeight="1">
      <c r="A1383" s="201" t="s">
        <v>671</v>
      </c>
      <c r="B1383" s="202"/>
      <c r="C1383" s="202"/>
      <c r="D1383" s="202"/>
      <c r="E1383" s="202"/>
      <c r="F1383" s="202"/>
      <c r="G1383" s="202"/>
      <c r="H1383" s="202"/>
      <c r="I1383" s="202"/>
      <c r="J1383" s="202"/>
      <c r="K1383" s="202"/>
      <c r="L1383" s="202"/>
      <c r="M1383" s="202"/>
      <c r="N1383" s="202"/>
      <c r="O1383" s="5"/>
      <c r="P1383" s="5"/>
      <c r="Q1383" s="5"/>
      <c r="R1383" s="5"/>
      <c r="S1383" s="5"/>
      <c r="T1383" s="5"/>
      <c r="U1383" s="5"/>
      <c r="V1383" s="5"/>
      <c r="W1383" s="5"/>
      <c r="X1383" s="5"/>
      <c r="Y1383" s="5"/>
      <c r="Z1383" s="5"/>
    </row>
    <row r="1384" ht="12.0" customHeight="1">
      <c r="A1384" s="201" t="s">
        <v>630</v>
      </c>
      <c r="B1384" s="201" t="s">
        <v>631</v>
      </c>
      <c r="C1384" s="201" t="s">
        <v>3</v>
      </c>
      <c r="D1384" s="201" t="s">
        <v>4</v>
      </c>
      <c r="E1384" s="201" t="s">
        <v>5</v>
      </c>
      <c r="F1384" s="201" t="s">
        <v>6</v>
      </c>
      <c r="G1384" s="201" t="s">
        <v>7</v>
      </c>
      <c r="H1384" s="201" t="s">
        <v>8</v>
      </c>
      <c r="I1384" s="201" t="s">
        <v>9</v>
      </c>
      <c r="J1384" s="201" t="s">
        <v>10</v>
      </c>
      <c r="K1384" s="201" t="s">
        <v>11</v>
      </c>
      <c r="L1384" s="201" t="s">
        <v>12</v>
      </c>
      <c r="M1384" s="201" t="s">
        <v>13</v>
      </c>
      <c r="N1384" s="201" t="s">
        <v>14</v>
      </c>
      <c r="O1384" s="5"/>
      <c r="P1384" s="5"/>
      <c r="Q1384" s="5"/>
      <c r="R1384" s="5"/>
      <c r="S1384" s="5"/>
      <c r="T1384" s="5"/>
      <c r="U1384" s="5"/>
      <c r="V1384" s="5"/>
      <c r="W1384" s="5"/>
      <c r="X1384" s="5"/>
      <c r="Y1384" s="5"/>
      <c r="Z1384" s="5"/>
    </row>
    <row r="1385" ht="12.0" customHeight="1">
      <c r="A1385" s="92" t="s">
        <v>651</v>
      </c>
      <c r="B1385" s="92" t="s">
        <v>633</v>
      </c>
      <c r="C1385" s="203">
        <f>SUM('2033'!B7:B9)+SUM('2033'!B18:B20)</f>
        <v>6181.9</v>
      </c>
      <c r="D1385" s="203">
        <f>SUM('2033'!C7:C9)+SUM('2033'!C18:C20)</f>
        <v>4945.52</v>
      </c>
      <c r="E1385" s="203">
        <f>SUM('2033'!D7:D9)+SUM('2033'!D18:D20)</f>
        <v>5254.615</v>
      </c>
      <c r="F1385" s="203">
        <f>SUM('2033'!E7:E9)+SUM('2033'!E18:E20)</f>
        <v>5254.615</v>
      </c>
      <c r="G1385" s="203">
        <f>SUM('2033'!F7:F9)+SUM('2033'!F18:F20)</f>
        <v>4945.52</v>
      </c>
      <c r="H1385" s="203">
        <f>SUM('2033'!G7:G9)+SUM('2033'!G18:G20)</f>
        <v>4636.425</v>
      </c>
      <c r="I1385" s="203">
        <f>SUM('2033'!H7:H9)+SUM('2033'!H18:H20)</f>
        <v>4945.52</v>
      </c>
      <c r="J1385" s="203">
        <f>SUM('2033'!I7:I9)+SUM('2033'!I18:I20)</f>
        <v>4945.52</v>
      </c>
      <c r="K1385" s="203">
        <f>SUM('2033'!J7:J9)+SUM('2033'!J18:J20)</f>
        <v>4945.52</v>
      </c>
      <c r="L1385" s="203">
        <f>SUM('2033'!K7:K9)+SUM('2033'!K18:K20)</f>
        <v>4636.425</v>
      </c>
      <c r="M1385" s="203">
        <f>SUM('2033'!L7:L9)+SUM('2033'!L18:L20)</f>
        <v>4327.33</v>
      </c>
      <c r="N1385" s="203">
        <f>SUM('2033'!M7:M9)+SUM('2033'!M18:M20)</f>
        <v>6800.09</v>
      </c>
      <c r="O1385" s="5"/>
      <c r="P1385" s="5"/>
      <c r="Q1385" s="5"/>
      <c r="R1385" s="5"/>
      <c r="S1385" s="5"/>
      <c r="T1385" s="5"/>
      <c r="U1385" s="5"/>
      <c r="V1385" s="5"/>
      <c r="W1385" s="5"/>
      <c r="X1385" s="5"/>
      <c r="Y1385" s="5"/>
      <c r="Z1385" s="5"/>
    </row>
    <row r="1386" ht="12.0" customHeight="1">
      <c r="A1386" s="5"/>
      <c r="B1386" s="92" t="s">
        <v>634</v>
      </c>
      <c r="C1386" s="204">
        <f>C1385/Parametros!$B$37</f>
        <v>309.095</v>
      </c>
      <c r="D1386" s="204">
        <f>D1385/Parametros!$B$37</f>
        <v>247.276</v>
      </c>
      <c r="E1386" s="204">
        <f>E1385/Parametros!$B$37</f>
        <v>262.73075</v>
      </c>
      <c r="F1386" s="204">
        <f>F1385/Parametros!$B$37</f>
        <v>262.73075</v>
      </c>
      <c r="G1386" s="204">
        <f>G1385/Parametros!$B$37</f>
        <v>247.276</v>
      </c>
      <c r="H1386" s="204">
        <f>H1385/Parametros!$B$37</f>
        <v>231.82125</v>
      </c>
      <c r="I1386" s="204">
        <f>I1385/Parametros!$B$37</f>
        <v>247.276</v>
      </c>
      <c r="J1386" s="204">
        <f>J1385/Parametros!$B$37</f>
        <v>247.276</v>
      </c>
      <c r="K1386" s="204">
        <f>K1385/Parametros!$B$37</f>
        <v>247.276</v>
      </c>
      <c r="L1386" s="204">
        <f>L1385/Parametros!$B$37</f>
        <v>231.82125</v>
      </c>
      <c r="M1386" s="204">
        <f>M1385/Parametros!$B$37</f>
        <v>216.3665</v>
      </c>
      <c r="N1386" s="204">
        <f>N1385/Parametros!$B$37</f>
        <v>340.0045</v>
      </c>
      <c r="O1386" s="5"/>
      <c r="P1386" s="5"/>
      <c r="Q1386" s="5"/>
      <c r="R1386" s="5"/>
      <c r="S1386" s="5"/>
      <c r="T1386" s="5"/>
      <c r="U1386" s="5"/>
      <c r="V1386" s="5"/>
      <c r="W1386" s="5"/>
      <c r="X1386" s="5"/>
      <c r="Y1386" s="5"/>
      <c r="Z1386" s="5"/>
    </row>
    <row r="1387" ht="12.0" customHeight="1">
      <c r="A1387" s="5"/>
      <c r="B1387" s="92" t="s">
        <v>635</v>
      </c>
      <c r="C1387" s="204">
        <f>C1386/Parametros!$J$37</f>
        <v>41.21266667</v>
      </c>
      <c r="D1387" s="204">
        <f>D1386/Parametros!$J$37</f>
        <v>32.97013333</v>
      </c>
      <c r="E1387" s="204">
        <f>E1386/Parametros!$J$37</f>
        <v>35.03076667</v>
      </c>
      <c r="F1387" s="204">
        <f>F1386/Parametros!$J$37</f>
        <v>35.03076667</v>
      </c>
      <c r="G1387" s="204">
        <f>G1386/Parametros!$J$37</f>
        <v>32.97013333</v>
      </c>
      <c r="H1387" s="204">
        <f>H1386/Parametros!$J$37</f>
        <v>30.9095</v>
      </c>
      <c r="I1387" s="204">
        <f>I1386/Parametros!$J$37</f>
        <v>32.97013333</v>
      </c>
      <c r="J1387" s="204">
        <f>J1386/Parametros!$J$37</f>
        <v>32.97013333</v>
      </c>
      <c r="K1387" s="204">
        <f>K1386/Parametros!$J$37</f>
        <v>32.97013333</v>
      </c>
      <c r="L1387" s="204">
        <f>L1386/Parametros!$J$37</f>
        <v>30.9095</v>
      </c>
      <c r="M1387" s="204">
        <f>M1386/Parametros!$J$37</f>
        <v>28.84886667</v>
      </c>
      <c r="N1387" s="204">
        <f>N1386/Parametros!$J$37</f>
        <v>45.33393333</v>
      </c>
      <c r="O1387" s="5"/>
      <c r="P1387" s="5"/>
      <c r="Q1387" s="5"/>
      <c r="R1387" s="5"/>
      <c r="S1387" s="5"/>
      <c r="T1387" s="5"/>
      <c r="U1387" s="5"/>
      <c r="V1387" s="5"/>
      <c r="W1387" s="5"/>
      <c r="X1387" s="5"/>
      <c r="Y1387" s="5"/>
      <c r="Z1387" s="5"/>
    </row>
    <row r="1388" ht="12.0" customHeight="1">
      <c r="A1388" s="92" t="s">
        <v>636</v>
      </c>
      <c r="B1388" s="5"/>
      <c r="C1388" s="204">
        <f t="shared" ref="C1388:N1388" si="409">C1387</f>
        <v>41.21266667</v>
      </c>
      <c r="D1388" s="204">
        <f t="shared" si="409"/>
        <v>32.97013333</v>
      </c>
      <c r="E1388" s="204">
        <f t="shared" si="409"/>
        <v>35.03076667</v>
      </c>
      <c r="F1388" s="204">
        <f t="shared" si="409"/>
        <v>35.03076667</v>
      </c>
      <c r="G1388" s="204">
        <f t="shared" si="409"/>
        <v>32.97013333</v>
      </c>
      <c r="H1388" s="204">
        <f t="shared" si="409"/>
        <v>30.9095</v>
      </c>
      <c r="I1388" s="204">
        <f t="shared" si="409"/>
        <v>32.97013333</v>
      </c>
      <c r="J1388" s="204">
        <f t="shared" si="409"/>
        <v>32.97013333</v>
      </c>
      <c r="K1388" s="204">
        <f t="shared" si="409"/>
        <v>32.97013333</v>
      </c>
      <c r="L1388" s="204">
        <f t="shared" si="409"/>
        <v>30.9095</v>
      </c>
      <c r="M1388" s="204">
        <f t="shared" si="409"/>
        <v>28.84886667</v>
      </c>
      <c r="N1388" s="204">
        <f t="shared" si="409"/>
        <v>45.33393333</v>
      </c>
      <c r="O1388" s="5"/>
      <c r="P1388" s="5"/>
      <c r="Q1388" s="5"/>
      <c r="R1388" s="5"/>
      <c r="S1388" s="5"/>
      <c r="T1388" s="5"/>
      <c r="U1388" s="5"/>
      <c r="V1388" s="5"/>
      <c r="W1388" s="5"/>
      <c r="X1388" s="5"/>
      <c r="Y1388" s="5"/>
      <c r="Z1388" s="5"/>
    </row>
    <row r="1389" ht="12.0" customHeight="1">
      <c r="A1389" s="92" t="s">
        <v>637</v>
      </c>
      <c r="B1389" s="5"/>
      <c r="C1389" s="205">
        <f>'Resumen Capacidad'!$I$121</f>
        <v>71.1627907</v>
      </c>
      <c r="D1389" s="205">
        <f>'Resumen Capacidad'!$I$121</f>
        <v>71.1627907</v>
      </c>
      <c r="E1389" s="205">
        <f>'Resumen Capacidad'!$I$121</f>
        <v>71.1627907</v>
      </c>
      <c r="F1389" s="205">
        <f>'Resumen Capacidad'!$I$121</f>
        <v>71.1627907</v>
      </c>
      <c r="G1389" s="205">
        <f>'Resumen Capacidad'!$I$121</f>
        <v>71.1627907</v>
      </c>
      <c r="H1389" s="205">
        <f>'Resumen Capacidad'!$I$121</f>
        <v>71.1627907</v>
      </c>
      <c r="I1389" s="205">
        <f>'Resumen Capacidad'!$I$121</f>
        <v>71.1627907</v>
      </c>
      <c r="J1389" s="205">
        <f>'Resumen Capacidad'!$I$121</f>
        <v>71.1627907</v>
      </c>
      <c r="K1389" s="205">
        <f>'Resumen Capacidad'!$I$121</f>
        <v>71.1627907</v>
      </c>
      <c r="L1389" s="205">
        <f>'Resumen Capacidad'!$I$121</f>
        <v>71.1627907</v>
      </c>
      <c r="M1389" s="205">
        <f>'Resumen Capacidad'!$I$121</f>
        <v>71.1627907</v>
      </c>
      <c r="N1389" s="205">
        <f>'Resumen Capacidad'!$I$121</f>
        <v>71.1627907</v>
      </c>
      <c r="O1389" s="5"/>
      <c r="P1389" s="5"/>
      <c r="Q1389" s="5"/>
      <c r="R1389" s="5"/>
      <c r="S1389" s="5"/>
      <c r="T1389" s="5"/>
      <c r="U1389" s="5"/>
      <c r="V1389" s="5"/>
      <c r="W1389" s="5"/>
      <c r="X1389" s="5"/>
      <c r="Y1389" s="5"/>
      <c r="Z1389" s="5"/>
    </row>
    <row r="1390" ht="12.0" customHeight="1">
      <c r="A1390" s="92" t="s">
        <v>640</v>
      </c>
      <c r="B1390" s="5"/>
      <c r="C1390" s="204">
        <f>'Resumen Capacidad'!$I$39*'Resumen Capacidad'!$I$75</f>
        <v>1</v>
      </c>
      <c r="D1390" s="204">
        <f>'Resumen Capacidad'!$I$39*'Resumen Capacidad'!$I$75</f>
        <v>1</v>
      </c>
      <c r="E1390" s="204">
        <f>'Resumen Capacidad'!$I$39*'Resumen Capacidad'!$I$75</f>
        <v>1</v>
      </c>
      <c r="F1390" s="204">
        <f>'Resumen Capacidad'!$I$39*'Resumen Capacidad'!$I$75</f>
        <v>1</v>
      </c>
      <c r="G1390" s="204">
        <f>'Resumen Capacidad'!$I$39*'Resumen Capacidad'!$I$75</f>
        <v>1</v>
      </c>
      <c r="H1390" s="204">
        <f>'Resumen Capacidad'!$I$39*'Resumen Capacidad'!$I$75</f>
        <v>1</v>
      </c>
      <c r="I1390" s="204">
        <f>'Resumen Capacidad'!$I$39*'Resumen Capacidad'!$I$75</f>
        <v>1</v>
      </c>
      <c r="J1390" s="204">
        <f>'Resumen Capacidad'!$I$39*'Resumen Capacidad'!$I$75</f>
        <v>1</v>
      </c>
      <c r="K1390" s="204">
        <f>'Resumen Capacidad'!$I$39*'Resumen Capacidad'!$I$75</f>
        <v>1</v>
      </c>
      <c r="L1390" s="204">
        <f>'Resumen Capacidad'!$I$39*'Resumen Capacidad'!$I$75</f>
        <v>1</v>
      </c>
      <c r="M1390" s="204">
        <f>'Resumen Capacidad'!$I$39*'Resumen Capacidad'!$I$75</f>
        <v>1</v>
      </c>
      <c r="N1390" s="204">
        <f>'Resumen Capacidad'!$I$39*'Resumen Capacidad'!$I$75</f>
        <v>1</v>
      </c>
      <c r="O1390" s="5"/>
      <c r="P1390" s="5"/>
      <c r="Q1390" s="5"/>
      <c r="R1390" s="5"/>
      <c r="S1390" s="5"/>
      <c r="T1390" s="5"/>
      <c r="U1390" s="5"/>
      <c r="V1390" s="5"/>
      <c r="W1390" s="5"/>
      <c r="X1390" s="5"/>
      <c r="Y1390" s="5"/>
      <c r="Z1390" s="5"/>
    </row>
    <row r="1391" ht="12.0" customHeight="1">
      <c r="A1391" s="92" t="s">
        <v>642</v>
      </c>
      <c r="B1391" s="5"/>
      <c r="C1391" s="204">
        <f t="shared" ref="C1391:N1391" si="410">C1389*C1390</f>
        <v>71.1627907</v>
      </c>
      <c r="D1391" s="204">
        <f t="shared" si="410"/>
        <v>71.1627907</v>
      </c>
      <c r="E1391" s="204">
        <f t="shared" si="410"/>
        <v>71.1627907</v>
      </c>
      <c r="F1391" s="204">
        <f t="shared" si="410"/>
        <v>71.1627907</v>
      </c>
      <c r="G1391" s="204">
        <f t="shared" si="410"/>
        <v>71.1627907</v>
      </c>
      <c r="H1391" s="204">
        <f t="shared" si="410"/>
        <v>71.1627907</v>
      </c>
      <c r="I1391" s="204">
        <f t="shared" si="410"/>
        <v>71.1627907</v>
      </c>
      <c r="J1391" s="204">
        <f t="shared" si="410"/>
        <v>71.1627907</v>
      </c>
      <c r="K1391" s="204">
        <f t="shared" si="410"/>
        <v>71.1627907</v>
      </c>
      <c r="L1391" s="204">
        <f t="shared" si="410"/>
        <v>71.1627907</v>
      </c>
      <c r="M1391" s="204">
        <f t="shared" si="410"/>
        <v>71.1627907</v>
      </c>
      <c r="N1391" s="204">
        <f t="shared" si="410"/>
        <v>71.1627907</v>
      </c>
      <c r="O1391" s="5"/>
      <c r="P1391" s="5"/>
      <c r="Q1391" s="5"/>
      <c r="R1391" s="5"/>
      <c r="S1391" s="5"/>
      <c r="T1391" s="5"/>
      <c r="U1391" s="5"/>
      <c r="V1391" s="5"/>
      <c r="W1391" s="5"/>
      <c r="X1391" s="5"/>
      <c r="Y1391" s="5"/>
      <c r="Z1391" s="5"/>
    </row>
    <row r="1392" ht="12.0" customHeight="1">
      <c r="A1392" s="92" t="s">
        <v>643</v>
      </c>
      <c r="B1392" s="5"/>
      <c r="C1392" s="206">
        <f t="shared" ref="C1392:N1392" si="411">IF(C1391=0,0,C1388/C1391)</f>
        <v>0.579132244</v>
      </c>
      <c r="D1392" s="206">
        <f t="shared" si="411"/>
        <v>0.4633057952</v>
      </c>
      <c r="E1392" s="206">
        <f t="shared" si="411"/>
        <v>0.4922624074</v>
      </c>
      <c r="F1392" s="206">
        <f t="shared" si="411"/>
        <v>0.4922624074</v>
      </c>
      <c r="G1392" s="206">
        <f t="shared" si="411"/>
        <v>0.4633057952</v>
      </c>
      <c r="H1392" s="206">
        <f t="shared" si="411"/>
        <v>0.434349183</v>
      </c>
      <c r="I1392" s="206">
        <f t="shared" si="411"/>
        <v>0.4633057952</v>
      </c>
      <c r="J1392" s="206">
        <f t="shared" si="411"/>
        <v>0.4633057952</v>
      </c>
      <c r="K1392" s="206">
        <f t="shared" si="411"/>
        <v>0.4633057952</v>
      </c>
      <c r="L1392" s="206">
        <f t="shared" si="411"/>
        <v>0.434349183</v>
      </c>
      <c r="M1392" s="206">
        <f t="shared" si="411"/>
        <v>0.4053925708</v>
      </c>
      <c r="N1392" s="206">
        <f t="shared" si="411"/>
        <v>0.6370454684</v>
      </c>
      <c r="O1392" s="5"/>
      <c r="P1392" s="5"/>
      <c r="Q1392" s="5"/>
      <c r="R1392" s="5"/>
      <c r="S1392" s="5"/>
      <c r="T1392" s="5"/>
      <c r="U1392" s="5"/>
      <c r="V1392" s="5"/>
      <c r="W1392" s="5"/>
      <c r="X1392" s="5"/>
      <c r="Y1392" s="5"/>
      <c r="Z1392" s="5"/>
    </row>
    <row r="1393" ht="12.0" customHeight="1">
      <c r="A1393" s="201" t="s">
        <v>678</v>
      </c>
      <c r="B1393" s="202"/>
      <c r="C1393" s="202"/>
      <c r="D1393" s="202"/>
      <c r="E1393" s="202"/>
      <c r="F1393" s="202"/>
      <c r="G1393" s="202"/>
      <c r="H1393" s="202"/>
      <c r="I1393" s="202"/>
      <c r="J1393" s="202"/>
      <c r="K1393" s="202"/>
      <c r="L1393" s="202"/>
      <c r="M1393" s="202"/>
      <c r="N1393" s="202"/>
      <c r="O1393" s="5"/>
      <c r="P1393" s="5"/>
      <c r="Q1393" s="5"/>
      <c r="R1393" s="5"/>
      <c r="S1393" s="5"/>
      <c r="T1393" s="5"/>
      <c r="U1393" s="5"/>
      <c r="V1393" s="5"/>
      <c r="W1393" s="5"/>
      <c r="X1393" s="5"/>
      <c r="Y1393" s="5"/>
      <c r="Z1393" s="5"/>
    </row>
    <row r="1394" ht="12.0" customHeight="1">
      <c r="A1394" s="201" t="s">
        <v>630</v>
      </c>
      <c r="B1394" s="201" t="s">
        <v>631</v>
      </c>
      <c r="C1394" s="201" t="s">
        <v>3</v>
      </c>
      <c r="D1394" s="201" t="s">
        <v>4</v>
      </c>
      <c r="E1394" s="201" t="s">
        <v>5</v>
      </c>
      <c r="F1394" s="201" t="s">
        <v>6</v>
      </c>
      <c r="G1394" s="201" t="s">
        <v>7</v>
      </c>
      <c r="H1394" s="201" t="s">
        <v>8</v>
      </c>
      <c r="I1394" s="201" t="s">
        <v>9</v>
      </c>
      <c r="J1394" s="201" t="s">
        <v>10</v>
      </c>
      <c r="K1394" s="201" t="s">
        <v>11</v>
      </c>
      <c r="L1394" s="201" t="s">
        <v>12</v>
      </c>
      <c r="M1394" s="201" t="s">
        <v>13</v>
      </c>
      <c r="N1394" s="201" t="s">
        <v>14</v>
      </c>
      <c r="O1394" s="5"/>
      <c r="P1394" s="5"/>
      <c r="Q1394" s="5"/>
      <c r="R1394" s="5"/>
      <c r="S1394" s="5"/>
      <c r="T1394" s="5"/>
      <c r="U1394" s="5"/>
      <c r="V1394" s="5"/>
      <c r="W1394" s="5"/>
      <c r="X1394" s="5"/>
      <c r="Y1394" s="5"/>
      <c r="Z1394" s="5"/>
    </row>
    <row r="1395" ht="12.0" customHeight="1">
      <c r="A1395" s="92" t="s">
        <v>632</v>
      </c>
      <c r="B1395" s="92" t="s">
        <v>633</v>
      </c>
      <c r="C1395" s="203">
        <f>SUM('2033'!B6:B9)+SUM('2033'!B17:B20)</f>
        <v>24917.86</v>
      </c>
      <c r="D1395" s="203">
        <f>SUM('2033'!C6:C9)+SUM('2033'!C17:C20)</f>
        <v>18997.49</v>
      </c>
      <c r="E1395" s="203">
        <f>SUM('2033'!D6:D9)+SUM('2033'!D17:D20)</f>
        <v>17745.255</v>
      </c>
      <c r="F1395" s="203">
        <f>SUM('2033'!E6:E9)+SUM('2033'!E17:E20)</f>
        <v>16964.59</v>
      </c>
      <c r="G1395" s="203">
        <f>SUM('2033'!F6:F9)+SUM('2033'!F17:F20)</f>
        <v>15874.83</v>
      </c>
      <c r="H1395" s="203">
        <f>SUM('2033'!G6:G9)+SUM('2033'!G17:G20)</f>
        <v>15565.735</v>
      </c>
      <c r="I1395" s="203">
        <f>SUM('2033'!H6:H9)+SUM('2033'!H17:H20)</f>
        <v>16655.495</v>
      </c>
      <c r="J1395" s="203">
        <f>SUM('2033'!I6:I9)+SUM('2033'!I17:I20)</f>
        <v>16655.495</v>
      </c>
      <c r="K1395" s="203">
        <f>SUM('2033'!J6:J9)+SUM('2033'!J17:J20)</f>
        <v>16655.495</v>
      </c>
      <c r="L1395" s="203">
        <f>SUM('2033'!K6:K9)+SUM('2033'!K17:K20)</f>
        <v>16346.4</v>
      </c>
      <c r="M1395" s="203">
        <f>SUM('2033'!L6:L9)+SUM('2033'!L17:L20)</f>
        <v>16037.305</v>
      </c>
      <c r="N1395" s="203">
        <f>SUM('2033'!M6:M9)+SUM('2033'!M17:M20)</f>
        <v>25536.05</v>
      </c>
      <c r="O1395" s="5"/>
      <c r="P1395" s="5"/>
      <c r="Q1395" s="5"/>
      <c r="R1395" s="5"/>
      <c r="S1395" s="5"/>
      <c r="T1395" s="5"/>
      <c r="U1395" s="5"/>
      <c r="V1395" s="5"/>
      <c r="W1395" s="5"/>
      <c r="X1395" s="5"/>
      <c r="Y1395" s="5"/>
      <c r="Z1395" s="5"/>
    </row>
    <row r="1396" ht="12.0" customHeight="1">
      <c r="A1396" s="5"/>
      <c r="B1396" s="92" t="s">
        <v>634</v>
      </c>
      <c r="C1396" s="204">
        <f>C1395/Parametros!$B$37</f>
        <v>1245.893</v>
      </c>
      <c r="D1396" s="204">
        <f>D1395/Parametros!$B$37</f>
        <v>949.8745</v>
      </c>
      <c r="E1396" s="204">
        <f>E1395/Parametros!$B$37</f>
        <v>887.26275</v>
      </c>
      <c r="F1396" s="204">
        <f>F1395/Parametros!$B$37</f>
        <v>848.2295</v>
      </c>
      <c r="G1396" s="204">
        <f>G1395/Parametros!$B$37</f>
        <v>793.7415</v>
      </c>
      <c r="H1396" s="204">
        <f>H1395/Parametros!$B$37</f>
        <v>778.28675</v>
      </c>
      <c r="I1396" s="204">
        <f>I1395/Parametros!$B$37</f>
        <v>832.77475</v>
      </c>
      <c r="J1396" s="204">
        <f>J1395/Parametros!$B$37</f>
        <v>832.77475</v>
      </c>
      <c r="K1396" s="204">
        <f>K1395/Parametros!$B$37</f>
        <v>832.77475</v>
      </c>
      <c r="L1396" s="204">
        <f>L1395/Parametros!$B$37</f>
        <v>817.32</v>
      </c>
      <c r="M1396" s="204">
        <f>M1395/Parametros!$B$37</f>
        <v>801.86525</v>
      </c>
      <c r="N1396" s="204">
        <f>N1395/Parametros!$B$37</f>
        <v>1276.8025</v>
      </c>
      <c r="O1396" s="5"/>
      <c r="P1396" s="5"/>
      <c r="Q1396" s="5"/>
      <c r="R1396" s="5"/>
      <c r="S1396" s="5"/>
      <c r="T1396" s="5"/>
      <c r="U1396" s="5"/>
      <c r="V1396" s="5"/>
      <c r="W1396" s="5"/>
      <c r="X1396" s="5"/>
      <c r="Y1396" s="5"/>
      <c r="Z1396" s="5"/>
    </row>
    <row r="1397" ht="12.0" customHeight="1">
      <c r="A1397" s="5"/>
      <c r="B1397" s="92" t="s">
        <v>635</v>
      </c>
      <c r="C1397" s="204">
        <f>C1396/Parametros!$J$37</f>
        <v>166.1190667</v>
      </c>
      <c r="D1397" s="204">
        <f>D1396/Parametros!$J$37</f>
        <v>126.6499333</v>
      </c>
      <c r="E1397" s="204">
        <f>E1396/Parametros!$J$37</f>
        <v>118.3017</v>
      </c>
      <c r="F1397" s="204">
        <f>F1396/Parametros!$J$37</f>
        <v>113.0972667</v>
      </c>
      <c r="G1397" s="204">
        <f>G1396/Parametros!$J$37</f>
        <v>105.8322</v>
      </c>
      <c r="H1397" s="204">
        <f>H1396/Parametros!$J$37</f>
        <v>103.7715667</v>
      </c>
      <c r="I1397" s="204">
        <f>I1396/Parametros!$J$37</f>
        <v>111.0366333</v>
      </c>
      <c r="J1397" s="204">
        <f>J1396/Parametros!$J$37</f>
        <v>111.0366333</v>
      </c>
      <c r="K1397" s="204">
        <f>K1396/Parametros!$J$37</f>
        <v>111.0366333</v>
      </c>
      <c r="L1397" s="204">
        <f>L1396/Parametros!$J$37</f>
        <v>108.976</v>
      </c>
      <c r="M1397" s="204">
        <f>M1396/Parametros!$J$37</f>
        <v>106.9153667</v>
      </c>
      <c r="N1397" s="204">
        <f>N1396/Parametros!$J$37</f>
        <v>170.2403333</v>
      </c>
      <c r="O1397" s="5"/>
      <c r="P1397" s="5"/>
      <c r="Q1397" s="5"/>
      <c r="R1397" s="5"/>
      <c r="S1397" s="5"/>
      <c r="T1397" s="5"/>
      <c r="U1397" s="5"/>
      <c r="V1397" s="5"/>
      <c r="W1397" s="5"/>
      <c r="X1397" s="5"/>
      <c r="Y1397" s="5"/>
      <c r="Z1397" s="5"/>
    </row>
    <row r="1398" ht="12.0" customHeight="1">
      <c r="A1398" s="92" t="s">
        <v>636</v>
      </c>
      <c r="B1398" s="5"/>
      <c r="C1398" s="204">
        <f t="shared" ref="C1398:N1398" si="412">C1397</f>
        <v>166.1190667</v>
      </c>
      <c r="D1398" s="204">
        <f t="shared" si="412"/>
        <v>126.6499333</v>
      </c>
      <c r="E1398" s="204">
        <f t="shared" si="412"/>
        <v>118.3017</v>
      </c>
      <c r="F1398" s="204">
        <f t="shared" si="412"/>
        <v>113.0972667</v>
      </c>
      <c r="G1398" s="204">
        <f t="shared" si="412"/>
        <v>105.8322</v>
      </c>
      <c r="H1398" s="204">
        <f t="shared" si="412"/>
        <v>103.7715667</v>
      </c>
      <c r="I1398" s="204">
        <f t="shared" si="412"/>
        <v>111.0366333</v>
      </c>
      <c r="J1398" s="204">
        <f t="shared" si="412"/>
        <v>111.0366333</v>
      </c>
      <c r="K1398" s="204">
        <f t="shared" si="412"/>
        <v>111.0366333</v>
      </c>
      <c r="L1398" s="204">
        <f t="shared" si="412"/>
        <v>108.976</v>
      </c>
      <c r="M1398" s="204">
        <f t="shared" si="412"/>
        <v>106.9153667</v>
      </c>
      <c r="N1398" s="204">
        <f t="shared" si="412"/>
        <v>170.2403333</v>
      </c>
      <c r="O1398" s="5"/>
      <c r="P1398" s="5"/>
      <c r="Q1398" s="5"/>
      <c r="R1398" s="5"/>
      <c r="S1398" s="5"/>
      <c r="T1398" s="5"/>
      <c r="U1398" s="5"/>
      <c r="V1398" s="5"/>
      <c r="W1398" s="5"/>
      <c r="X1398" s="5"/>
      <c r="Y1398" s="5"/>
      <c r="Z1398" s="5"/>
    </row>
    <row r="1399" ht="12.0" customHeight="1">
      <c r="A1399" s="92" t="s">
        <v>637</v>
      </c>
      <c r="B1399" s="5"/>
      <c r="C1399" s="205">
        <f>'Resumen Capacidad'!$I$122</f>
        <v>192</v>
      </c>
      <c r="D1399" s="205">
        <f>'Resumen Capacidad'!$I$122</f>
        <v>192</v>
      </c>
      <c r="E1399" s="205">
        <f>'Resumen Capacidad'!$I$122</f>
        <v>192</v>
      </c>
      <c r="F1399" s="205">
        <f>'Resumen Capacidad'!$I$122</f>
        <v>192</v>
      </c>
      <c r="G1399" s="205">
        <f>'Resumen Capacidad'!$I$122</f>
        <v>192</v>
      </c>
      <c r="H1399" s="205">
        <f>'Resumen Capacidad'!$I$122</f>
        <v>192</v>
      </c>
      <c r="I1399" s="205">
        <f>'Resumen Capacidad'!$I$122</f>
        <v>192</v>
      </c>
      <c r="J1399" s="205">
        <f>'Resumen Capacidad'!$I$122</f>
        <v>192</v>
      </c>
      <c r="K1399" s="205">
        <f>'Resumen Capacidad'!$I$122</f>
        <v>192</v>
      </c>
      <c r="L1399" s="205">
        <f>'Resumen Capacidad'!$I$122</f>
        <v>192</v>
      </c>
      <c r="M1399" s="205">
        <f>'Resumen Capacidad'!$I$122</f>
        <v>192</v>
      </c>
      <c r="N1399" s="205">
        <f>'Resumen Capacidad'!$I$122</f>
        <v>192</v>
      </c>
      <c r="O1399" s="5"/>
      <c r="P1399" s="5"/>
      <c r="Q1399" s="5"/>
      <c r="R1399" s="5"/>
      <c r="S1399" s="5"/>
      <c r="T1399" s="5"/>
      <c r="U1399" s="5"/>
      <c r="V1399" s="5"/>
      <c r="W1399" s="5"/>
      <c r="X1399" s="5"/>
      <c r="Y1399" s="5"/>
      <c r="Z1399" s="5"/>
    </row>
    <row r="1400" ht="12.0" customHeight="1">
      <c r="A1400" s="92" t="s">
        <v>640</v>
      </c>
      <c r="B1400" s="5"/>
      <c r="C1400" s="204">
        <f>'Resumen Capacidad'!$I$40*'Resumen Capacidad'!$I$76</f>
        <v>1</v>
      </c>
      <c r="D1400" s="204">
        <f>'Resumen Capacidad'!$I$40*'Resumen Capacidad'!$I$76</f>
        <v>1</v>
      </c>
      <c r="E1400" s="204">
        <f>'Resumen Capacidad'!$I$40*'Resumen Capacidad'!$I$76</f>
        <v>1</v>
      </c>
      <c r="F1400" s="204">
        <f>'Resumen Capacidad'!$I$40*'Resumen Capacidad'!$I$76</f>
        <v>1</v>
      </c>
      <c r="G1400" s="204">
        <f>'Resumen Capacidad'!$I$40*'Resumen Capacidad'!$I$76</f>
        <v>1</v>
      </c>
      <c r="H1400" s="204">
        <f>'Resumen Capacidad'!$I$40*'Resumen Capacidad'!$I$76</f>
        <v>1</v>
      </c>
      <c r="I1400" s="204">
        <f>'Resumen Capacidad'!$I$40*'Resumen Capacidad'!$I$76</f>
        <v>1</v>
      </c>
      <c r="J1400" s="204">
        <f>'Resumen Capacidad'!$I$40*'Resumen Capacidad'!$I$76</f>
        <v>1</v>
      </c>
      <c r="K1400" s="204">
        <f>'Resumen Capacidad'!$I$40*'Resumen Capacidad'!$I$76</f>
        <v>1</v>
      </c>
      <c r="L1400" s="204">
        <f>'Resumen Capacidad'!$I$40*'Resumen Capacidad'!$I$76</f>
        <v>1</v>
      </c>
      <c r="M1400" s="204">
        <f>'Resumen Capacidad'!$I$40*'Resumen Capacidad'!$I$76</f>
        <v>1</v>
      </c>
      <c r="N1400" s="204">
        <f>'Resumen Capacidad'!$I$40*'Resumen Capacidad'!$I$76</f>
        <v>1</v>
      </c>
      <c r="O1400" s="5"/>
      <c r="P1400" s="5"/>
      <c r="Q1400" s="5"/>
      <c r="R1400" s="5"/>
      <c r="S1400" s="5"/>
      <c r="T1400" s="5"/>
      <c r="U1400" s="5"/>
      <c r="V1400" s="5"/>
      <c r="W1400" s="5"/>
      <c r="X1400" s="5"/>
      <c r="Y1400" s="5"/>
      <c r="Z1400" s="5"/>
    </row>
    <row r="1401" ht="12.0" customHeight="1">
      <c r="A1401" s="92" t="s">
        <v>642</v>
      </c>
      <c r="B1401" s="5"/>
      <c r="C1401" s="204">
        <f t="shared" ref="C1401:N1401" si="413">C1399*C1400</f>
        <v>192</v>
      </c>
      <c r="D1401" s="204">
        <f t="shared" si="413"/>
        <v>192</v>
      </c>
      <c r="E1401" s="204">
        <f t="shared" si="413"/>
        <v>192</v>
      </c>
      <c r="F1401" s="204">
        <f t="shared" si="413"/>
        <v>192</v>
      </c>
      <c r="G1401" s="204">
        <f t="shared" si="413"/>
        <v>192</v>
      </c>
      <c r="H1401" s="204">
        <f t="shared" si="413"/>
        <v>192</v>
      </c>
      <c r="I1401" s="204">
        <f t="shared" si="413"/>
        <v>192</v>
      </c>
      <c r="J1401" s="204">
        <f t="shared" si="413"/>
        <v>192</v>
      </c>
      <c r="K1401" s="204">
        <f t="shared" si="413"/>
        <v>192</v>
      </c>
      <c r="L1401" s="204">
        <f t="shared" si="413"/>
        <v>192</v>
      </c>
      <c r="M1401" s="204">
        <f t="shared" si="413"/>
        <v>192</v>
      </c>
      <c r="N1401" s="204">
        <f t="shared" si="413"/>
        <v>192</v>
      </c>
      <c r="O1401" s="5"/>
      <c r="P1401" s="5"/>
      <c r="Q1401" s="5"/>
      <c r="R1401" s="5"/>
      <c r="S1401" s="5"/>
      <c r="T1401" s="5"/>
      <c r="U1401" s="5"/>
      <c r="V1401" s="5"/>
      <c r="W1401" s="5"/>
      <c r="X1401" s="5"/>
      <c r="Y1401" s="5"/>
      <c r="Z1401" s="5"/>
    </row>
    <row r="1402" ht="12.0" customHeight="1">
      <c r="A1402" s="92" t="s">
        <v>643</v>
      </c>
      <c r="B1402" s="5"/>
      <c r="C1402" s="206">
        <f t="shared" ref="C1402:N1402" si="414">IF(C1401=0,0,C1398/C1401)</f>
        <v>0.8652034722</v>
      </c>
      <c r="D1402" s="206">
        <f t="shared" si="414"/>
        <v>0.6596350694</v>
      </c>
      <c r="E1402" s="206">
        <f t="shared" si="414"/>
        <v>0.6161546875</v>
      </c>
      <c r="F1402" s="206">
        <f t="shared" si="414"/>
        <v>0.5890482639</v>
      </c>
      <c r="G1402" s="206">
        <f t="shared" si="414"/>
        <v>0.551209375</v>
      </c>
      <c r="H1402" s="206">
        <f t="shared" si="414"/>
        <v>0.5404769097</v>
      </c>
      <c r="I1402" s="206">
        <f t="shared" si="414"/>
        <v>0.5783157986</v>
      </c>
      <c r="J1402" s="206">
        <f t="shared" si="414"/>
        <v>0.5783157986</v>
      </c>
      <c r="K1402" s="206">
        <f t="shared" si="414"/>
        <v>0.5783157986</v>
      </c>
      <c r="L1402" s="206">
        <f t="shared" si="414"/>
        <v>0.5675833333</v>
      </c>
      <c r="M1402" s="206">
        <f t="shared" si="414"/>
        <v>0.5568508681</v>
      </c>
      <c r="N1402" s="206">
        <f t="shared" si="414"/>
        <v>0.8866684028</v>
      </c>
      <c r="O1402" s="5"/>
      <c r="P1402" s="5"/>
      <c r="Q1402" s="5"/>
      <c r="R1402" s="5"/>
      <c r="S1402" s="5"/>
      <c r="T1402" s="5"/>
      <c r="U1402" s="5"/>
      <c r="V1402" s="5"/>
      <c r="W1402" s="5"/>
      <c r="X1402" s="5"/>
      <c r="Y1402" s="5"/>
      <c r="Z1402" s="5"/>
    </row>
    <row r="1403" ht="12.0" customHeight="1">
      <c r="A1403" s="201" t="s">
        <v>686</v>
      </c>
      <c r="B1403" s="202"/>
      <c r="C1403" s="202"/>
      <c r="D1403" s="202"/>
      <c r="E1403" s="202"/>
      <c r="F1403" s="202"/>
      <c r="G1403" s="202"/>
      <c r="H1403" s="202"/>
      <c r="I1403" s="202"/>
      <c r="J1403" s="202"/>
      <c r="K1403" s="202"/>
      <c r="L1403" s="202"/>
      <c r="M1403" s="202"/>
      <c r="N1403" s="202"/>
      <c r="O1403" s="5"/>
      <c r="P1403" s="5"/>
      <c r="Q1403" s="5"/>
      <c r="R1403" s="5"/>
      <c r="S1403" s="5"/>
      <c r="T1403" s="5"/>
      <c r="U1403" s="5"/>
      <c r="V1403" s="5"/>
      <c r="W1403" s="5"/>
      <c r="X1403" s="5"/>
      <c r="Y1403" s="5"/>
      <c r="Z1403" s="5"/>
    </row>
    <row r="1404" ht="12.0" customHeight="1">
      <c r="A1404" s="201" t="s">
        <v>630</v>
      </c>
      <c r="B1404" s="201" t="s">
        <v>631</v>
      </c>
      <c r="C1404" s="201" t="s">
        <v>3</v>
      </c>
      <c r="D1404" s="201" t="s">
        <v>4</v>
      </c>
      <c r="E1404" s="201" t="s">
        <v>5</v>
      </c>
      <c r="F1404" s="201" t="s">
        <v>6</v>
      </c>
      <c r="G1404" s="201" t="s">
        <v>7</v>
      </c>
      <c r="H1404" s="201" t="s">
        <v>8</v>
      </c>
      <c r="I1404" s="201" t="s">
        <v>9</v>
      </c>
      <c r="J1404" s="201" t="s">
        <v>10</v>
      </c>
      <c r="K1404" s="201" t="s">
        <v>11</v>
      </c>
      <c r="L1404" s="201" t="s">
        <v>12</v>
      </c>
      <c r="M1404" s="201" t="s">
        <v>13</v>
      </c>
      <c r="N1404" s="201" t="s">
        <v>14</v>
      </c>
      <c r="O1404" s="5"/>
      <c r="P1404" s="5"/>
      <c r="Q1404" s="5"/>
      <c r="R1404" s="5"/>
      <c r="S1404" s="5"/>
      <c r="T1404" s="5"/>
      <c r="U1404" s="5"/>
      <c r="V1404" s="5"/>
      <c r="W1404" s="5"/>
      <c r="X1404" s="5"/>
      <c r="Y1404" s="5"/>
      <c r="Z1404" s="5"/>
    </row>
    <row r="1405" ht="12.0" customHeight="1">
      <c r="A1405" s="92" t="s">
        <v>632</v>
      </c>
      <c r="B1405" s="92" t="s">
        <v>633</v>
      </c>
      <c r="C1405" s="203">
        <f>SUM('2033'!B6:B9)+SUM('2033'!B17:B20)</f>
        <v>24917.86</v>
      </c>
      <c r="D1405" s="203">
        <f>SUM('2033'!C6:C9)+SUM('2033'!C17:C20)</f>
        <v>18997.49</v>
      </c>
      <c r="E1405" s="203">
        <f>SUM('2033'!D6:D9)+SUM('2033'!D17:D20)</f>
        <v>17745.255</v>
      </c>
      <c r="F1405" s="203">
        <f>SUM('2033'!E6:E9)+SUM('2033'!E17:E20)</f>
        <v>16964.59</v>
      </c>
      <c r="G1405" s="203">
        <f>SUM('2033'!F6:F9)+SUM('2033'!F17:F20)</f>
        <v>15874.83</v>
      </c>
      <c r="H1405" s="203">
        <f>SUM('2033'!G6:G9)+SUM('2033'!G17:G20)</f>
        <v>15565.735</v>
      </c>
      <c r="I1405" s="203">
        <f>SUM('2033'!H6:H9)+SUM('2033'!H17:H20)</f>
        <v>16655.495</v>
      </c>
      <c r="J1405" s="203">
        <f>SUM('2033'!I6:I9)+SUM('2033'!I17:I20)</f>
        <v>16655.495</v>
      </c>
      <c r="K1405" s="203">
        <f>SUM('2033'!J6:J9)+SUM('2033'!J17:J20)</f>
        <v>16655.495</v>
      </c>
      <c r="L1405" s="203">
        <f>SUM('2033'!K6:K9)+SUM('2033'!K17:K20)</f>
        <v>16346.4</v>
      </c>
      <c r="M1405" s="203">
        <f>SUM('2033'!L6:L9)+SUM('2033'!L17:L20)</f>
        <v>16037.305</v>
      </c>
      <c r="N1405" s="203">
        <f>SUM('2033'!M6:M9)+SUM('2033'!M17:M20)</f>
        <v>25536.05</v>
      </c>
      <c r="O1405" s="5"/>
      <c r="P1405" s="5"/>
      <c r="Q1405" s="5"/>
      <c r="R1405" s="5"/>
      <c r="S1405" s="5"/>
      <c r="T1405" s="5"/>
      <c r="U1405" s="5"/>
      <c r="V1405" s="5"/>
      <c r="W1405" s="5"/>
      <c r="X1405" s="5"/>
      <c r="Y1405" s="5"/>
      <c r="Z1405" s="5"/>
    </row>
    <row r="1406" ht="12.0" customHeight="1">
      <c r="A1406" s="5"/>
      <c r="B1406" s="92" t="s">
        <v>634</v>
      </c>
      <c r="C1406" s="204">
        <f>C1405/Parametros!$B$37</f>
        <v>1245.893</v>
      </c>
      <c r="D1406" s="204">
        <f>D1405/Parametros!$B$37</f>
        <v>949.8745</v>
      </c>
      <c r="E1406" s="204">
        <f>E1405/Parametros!$B$37</f>
        <v>887.26275</v>
      </c>
      <c r="F1406" s="204">
        <f>F1405/Parametros!$B$37</f>
        <v>848.2295</v>
      </c>
      <c r="G1406" s="204">
        <f>G1405/Parametros!$B$37</f>
        <v>793.7415</v>
      </c>
      <c r="H1406" s="204">
        <f>H1405/Parametros!$B$37</f>
        <v>778.28675</v>
      </c>
      <c r="I1406" s="204">
        <f>I1405/Parametros!$B$37</f>
        <v>832.77475</v>
      </c>
      <c r="J1406" s="204">
        <f>J1405/Parametros!$B$37</f>
        <v>832.77475</v>
      </c>
      <c r="K1406" s="204">
        <f>K1405/Parametros!$B$37</f>
        <v>832.77475</v>
      </c>
      <c r="L1406" s="204">
        <f>L1405/Parametros!$B$37</f>
        <v>817.32</v>
      </c>
      <c r="M1406" s="204">
        <f>M1405/Parametros!$B$37</f>
        <v>801.86525</v>
      </c>
      <c r="N1406" s="204">
        <f>N1405/Parametros!$B$37</f>
        <v>1276.8025</v>
      </c>
      <c r="O1406" s="5"/>
      <c r="P1406" s="5"/>
      <c r="Q1406" s="5"/>
      <c r="R1406" s="5"/>
      <c r="S1406" s="5"/>
      <c r="T1406" s="5"/>
      <c r="U1406" s="5"/>
      <c r="V1406" s="5"/>
      <c r="W1406" s="5"/>
      <c r="X1406" s="5"/>
      <c r="Y1406" s="5"/>
      <c r="Z1406" s="5"/>
    </row>
    <row r="1407" ht="12.0" customHeight="1">
      <c r="A1407" s="5"/>
      <c r="B1407" s="92" t="s">
        <v>635</v>
      </c>
      <c r="C1407" s="204">
        <f>C1406/Parametros!$J$37</f>
        <v>166.1190667</v>
      </c>
      <c r="D1407" s="204">
        <f>D1406/Parametros!$J$37</f>
        <v>126.6499333</v>
      </c>
      <c r="E1407" s="204">
        <f>E1406/Parametros!$J$37</f>
        <v>118.3017</v>
      </c>
      <c r="F1407" s="204">
        <f>F1406/Parametros!$J$37</f>
        <v>113.0972667</v>
      </c>
      <c r="G1407" s="204">
        <f>G1406/Parametros!$J$37</f>
        <v>105.8322</v>
      </c>
      <c r="H1407" s="204">
        <f>H1406/Parametros!$J$37</f>
        <v>103.7715667</v>
      </c>
      <c r="I1407" s="204">
        <f>I1406/Parametros!$J$37</f>
        <v>111.0366333</v>
      </c>
      <c r="J1407" s="204">
        <f>J1406/Parametros!$J$37</f>
        <v>111.0366333</v>
      </c>
      <c r="K1407" s="204">
        <f>K1406/Parametros!$J$37</f>
        <v>111.0366333</v>
      </c>
      <c r="L1407" s="204">
        <f>L1406/Parametros!$J$37</f>
        <v>108.976</v>
      </c>
      <c r="M1407" s="204">
        <f>M1406/Parametros!$J$37</f>
        <v>106.9153667</v>
      </c>
      <c r="N1407" s="204">
        <f>N1406/Parametros!$J$37</f>
        <v>170.2403333</v>
      </c>
      <c r="O1407" s="5"/>
      <c r="P1407" s="5"/>
      <c r="Q1407" s="5"/>
      <c r="R1407" s="5"/>
      <c r="S1407" s="5"/>
      <c r="T1407" s="5"/>
      <c r="U1407" s="5"/>
      <c r="V1407" s="5"/>
      <c r="W1407" s="5"/>
      <c r="X1407" s="5"/>
      <c r="Y1407" s="5"/>
      <c r="Z1407" s="5"/>
    </row>
    <row r="1408" ht="12.0" customHeight="1">
      <c r="A1408" s="92" t="s">
        <v>636</v>
      </c>
      <c r="B1408" s="5"/>
      <c r="C1408" s="204">
        <f t="shared" ref="C1408:N1408" si="415">C1407</f>
        <v>166.1190667</v>
      </c>
      <c r="D1408" s="204">
        <f t="shared" si="415"/>
        <v>126.6499333</v>
      </c>
      <c r="E1408" s="204">
        <f t="shared" si="415"/>
        <v>118.3017</v>
      </c>
      <c r="F1408" s="204">
        <f t="shared" si="415"/>
        <v>113.0972667</v>
      </c>
      <c r="G1408" s="204">
        <f t="shared" si="415"/>
        <v>105.8322</v>
      </c>
      <c r="H1408" s="204">
        <f t="shared" si="415"/>
        <v>103.7715667</v>
      </c>
      <c r="I1408" s="204">
        <f t="shared" si="415"/>
        <v>111.0366333</v>
      </c>
      <c r="J1408" s="204">
        <f t="shared" si="415"/>
        <v>111.0366333</v>
      </c>
      <c r="K1408" s="204">
        <f t="shared" si="415"/>
        <v>111.0366333</v>
      </c>
      <c r="L1408" s="204">
        <f t="shared" si="415"/>
        <v>108.976</v>
      </c>
      <c r="M1408" s="204">
        <f t="shared" si="415"/>
        <v>106.9153667</v>
      </c>
      <c r="N1408" s="204">
        <f t="shared" si="415"/>
        <v>170.2403333</v>
      </c>
      <c r="O1408" s="5"/>
      <c r="P1408" s="5"/>
      <c r="Q1408" s="5"/>
      <c r="R1408" s="5"/>
      <c r="S1408" s="5"/>
      <c r="T1408" s="5"/>
      <c r="U1408" s="5"/>
      <c r="V1408" s="5"/>
      <c r="W1408" s="5"/>
      <c r="X1408" s="5"/>
      <c r="Y1408" s="5"/>
      <c r="Z1408" s="5"/>
    </row>
    <row r="1409" ht="12.0" customHeight="1">
      <c r="A1409" s="92" t="s">
        <v>637</v>
      </c>
      <c r="B1409" s="5"/>
      <c r="C1409" s="205">
        <f>'Resumen Capacidad'!$I$124</f>
        <v>136.0227273</v>
      </c>
      <c r="D1409" s="205">
        <f>'Resumen Capacidad'!$I$124</f>
        <v>136.0227273</v>
      </c>
      <c r="E1409" s="205">
        <f>'Resumen Capacidad'!$I$124</f>
        <v>136.0227273</v>
      </c>
      <c r="F1409" s="205">
        <f>'Resumen Capacidad'!$I$124</f>
        <v>136.0227273</v>
      </c>
      <c r="G1409" s="205">
        <f>'Resumen Capacidad'!$I$124</f>
        <v>136.0227273</v>
      </c>
      <c r="H1409" s="205">
        <f>'Resumen Capacidad'!$I$124</f>
        <v>136.0227273</v>
      </c>
      <c r="I1409" s="205">
        <f>'Resumen Capacidad'!$I$124</f>
        <v>136.0227273</v>
      </c>
      <c r="J1409" s="205">
        <f>'Resumen Capacidad'!$I$124</f>
        <v>136.0227273</v>
      </c>
      <c r="K1409" s="205">
        <f>'Resumen Capacidad'!$I$124</f>
        <v>136.0227273</v>
      </c>
      <c r="L1409" s="205">
        <f>'Resumen Capacidad'!$I$124</f>
        <v>136.0227273</v>
      </c>
      <c r="M1409" s="205">
        <f>'Resumen Capacidad'!$I$124</f>
        <v>136.0227273</v>
      </c>
      <c r="N1409" s="205">
        <f>'Resumen Capacidad'!$I$124</f>
        <v>136.0227273</v>
      </c>
      <c r="O1409" s="5"/>
      <c r="P1409" s="5"/>
      <c r="Q1409" s="5"/>
      <c r="R1409" s="5"/>
      <c r="S1409" s="5"/>
      <c r="T1409" s="5"/>
      <c r="U1409" s="5"/>
      <c r="V1409" s="5"/>
      <c r="W1409" s="5"/>
      <c r="X1409" s="5"/>
      <c r="Y1409" s="5"/>
      <c r="Z1409" s="5"/>
    </row>
    <row r="1410" ht="12.0" customHeight="1">
      <c r="A1410" s="92" t="s">
        <v>640</v>
      </c>
      <c r="B1410" s="5"/>
      <c r="C1410" s="204">
        <f>'Resumen Capacidad'!$I$42*'Resumen Capacidad'!$I$78</f>
        <v>2</v>
      </c>
      <c r="D1410" s="204">
        <f>'Resumen Capacidad'!$I$42*'Resumen Capacidad'!$I$78</f>
        <v>2</v>
      </c>
      <c r="E1410" s="204">
        <f>'Resumen Capacidad'!$I$42*'Resumen Capacidad'!$I$78</f>
        <v>2</v>
      </c>
      <c r="F1410" s="204">
        <f>'Resumen Capacidad'!$I$42*'Resumen Capacidad'!$I$78</f>
        <v>2</v>
      </c>
      <c r="G1410" s="204">
        <f>'Resumen Capacidad'!$I$42*'Resumen Capacidad'!$I$78</f>
        <v>2</v>
      </c>
      <c r="H1410" s="204">
        <f>'Resumen Capacidad'!$I$42*'Resumen Capacidad'!$I$78</f>
        <v>2</v>
      </c>
      <c r="I1410" s="204">
        <f>'Resumen Capacidad'!$I$42*'Resumen Capacidad'!$I$78</f>
        <v>2</v>
      </c>
      <c r="J1410" s="204">
        <f>'Resumen Capacidad'!$I$42*'Resumen Capacidad'!$I$78</f>
        <v>2</v>
      </c>
      <c r="K1410" s="204">
        <f>'Resumen Capacidad'!$I$42*'Resumen Capacidad'!$I$78</f>
        <v>2</v>
      </c>
      <c r="L1410" s="204">
        <f>'Resumen Capacidad'!$I$42*'Resumen Capacidad'!$I$78</f>
        <v>2</v>
      </c>
      <c r="M1410" s="204">
        <f>'Resumen Capacidad'!$I$42*'Resumen Capacidad'!$I$78</f>
        <v>2</v>
      </c>
      <c r="N1410" s="204">
        <f>'Resumen Capacidad'!$I$42*'Resumen Capacidad'!$I$78</f>
        <v>2</v>
      </c>
      <c r="O1410" s="5"/>
      <c r="P1410" s="5"/>
      <c r="Q1410" s="5"/>
      <c r="R1410" s="5"/>
      <c r="S1410" s="5"/>
      <c r="T1410" s="5"/>
      <c r="U1410" s="5"/>
      <c r="V1410" s="5"/>
      <c r="W1410" s="5"/>
      <c r="X1410" s="5"/>
      <c r="Y1410" s="5"/>
      <c r="Z1410" s="5"/>
    </row>
    <row r="1411" ht="12.0" customHeight="1">
      <c r="A1411" s="92" t="s">
        <v>642</v>
      </c>
      <c r="B1411" s="5"/>
      <c r="C1411" s="204">
        <f t="shared" ref="C1411:N1411" si="416">C1409*C1410</f>
        <v>272.0454545</v>
      </c>
      <c r="D1411" s="204">
        <f t="shared" si="416"/>
        <v>272.0454545</v>
      </c>
      <c r="E1411" s="204">
        <f t="shared" si="416"/>
        <v>272.0454545</v>
      </c>
      <c r="F1411" s="204">
        <f t="shared" si="416"/>
        <v>272.0454545</v>
      </c>
      <c r="G1411" s="204">
        <f t="shared" si="416"/>
        <v>272.0454545</v>
      </c>
      <c r="H1411" s="204">
        <f t="shared" si="416"/>
        <v>272.0454545</v>
      </c>
      <c r="I1411" s="204">
        <f t="shared" si="416"/>
        <v>272.0454545</v>
      </c>
      <c r="J1411" s="204">
        <f t="shared" si="416"/>
        <v>272.0454545</v>
      </c>
      <c r="K1411" s="204">
        <f t="shared" si="416"/>
        <v>272.0454545</v>
      </c>
      <c r="L1411" s="204">
        <f t="shared" si="416"/>
        <v>272.0454545</v>
      </c>
      <c r="M1411" s="204">
        <f t="shared" si="416"/>
        <v>272.0454545</v>
      </c>
      <c r="N1411" s="204">
        <f t="shared" si="416"/>
        <v>272.0454545</v>
      </c>
      <c r="O1411" s="5"/>
      <c r="P1411" s="5"/>
      <c r="Q1411" s="5"/>
      <c r="R1411" s="5"/>
      <c r="S1411" s="5"/>
      <c r="T1411" s="5"/>
      <c r="U1411" s="5"/>
      <c r="V1411" s="5"/>
      <c r="W1411" s="5"/>
      <c r="X1411" s="5"/>
      <c r="Y1411" s="5"/>
      <c r="Z1411" s="5"/>
    </row>
    <row r="1412" ht="12.0" customHeight="1">
      <c r="A1412" s="92" t="s">
        <v>643</v>
      </c>
      <c r="B1412" s="5"/>
      <c r="C1412" s="206">
        <f t="shared" ref="C1412:N1412" si="417">IF(C1411=0,0,C1408/C1411)</f>
        <v>0.610629819</v>
      </c>
      <c r="D1412" s="206">
        <f t="shared" si="417"/>
        <v>0.4655469563</v>
      </c>
      <c r="E1412" s="206">
        <f t="shared" si="417"/>
        <v>0.4348600501</v>
      </c>
      <c r="F1412" s="206">
        <f t="shared" si="417"/>
        <v>0.415729301</v>
      </c>
      <c r="G1412" s="206">
        <f t="shared" si="417"/>
        <v>0.3890239599</v>
      </c>
      <c r="H1412" s="206">
        <f t="shared" si="417"/>
        <v>0.3814493679</v>
      </c>
      <c r="I1412" s="206">
        <f t="shared" si="417"/>
        <v>0.408154709</v>
      </c>
      <c r="J1412" s="206">
        <f t="shared" si="417"/>
        <v>0.408154709</v>
      </c>
      <c r="K1412" s="206">
        <f t="shared" si="417"/>
        <v>0.408154709</v>
      </c>
      <c r="L1412" s="206">
        <f t="shared" si="417"/>
        <v>0.400580117</v>
      </c>
      <c r="M1412" s="206">
        <f t="shared" si="417"/>
        <v>0.3930055249</v>
      </c>
      <c r="N1412" s="206">
        <f t="shared" si="417"/>
        <v>0.6257790031</v>
      </c>
      <c r="O1412" s="5"/>
      <c r="P1412" s="5"/>
      <c r="Q1412" s="5"/>
      <c r="R1412" s="5"/>
      <c r="S1412" s="5"/>
      <c r="T1412" s="5"/>
      <c r="U1412" s="5"/>
      <c r="V1412" s="5"/>
      <c r="W1412" s="5"/>
      <c r="X1412" s="5"/>
      <c r="Y1412" s="5"/>
      <c r="Z1412" s="5"/>
    </row>
    <row r="1413" ht="12.0" customHeight="1">
      <c r="A1413" s="201" t="s">
        <v>693</v>
      </c>
      <c r="B1413" s="202"/>
      <c r="C1413" s="202"/>
      <c r="D1413" s="202"/>
      <c r="E1413" s="202"/>
      <c r="F1413" s="202"/>
      <c r="G1413" s="202"/>
      <c r="H1413" s="202"/>
      <c r="I1413" s="202"/>
      <c r="J1413" s="202"/>
      <c r="K1413" s="202"/>
      <c r="L1413" s="202"/>
      <c r="M1413" s="202"/>
      <c r="N1413" s="202"/>
      <c r="O1413" s="5"/>
      <c r="P1413" s="5"/>
      <c r="Q1413" s="5"/>
      <c r="R1413" s="5"/>
      <c r="S1413" s="5"/>
      <c r="T1413" s="5"/>
      <c r="U1413" s="5"/>
      <c r="V1413" s="5"/>
      <c r="W1413" s="5"/>
      <c r="X1413" s="5"/>
      <c r="Y1413" s="5"/>
      <c r="Z1413" s="5"/>
    </row>
    <row r="1414" ht="12.0" customHeight="1">
      <c r="A1414" s="201" t="s">
        <v>630</v>
      </c>
      <c r="B1414" s="201" t="s">
        <v>631</v>
      </c>
      <c r="C1414" s="201" t="s">
        <v>3</v>
      </c>
      <c r="D1414" s="201" t="s">
        <v>4</v>
      </c>
      <c r="E1414" s="201" t="s">
        <v>5</v>
      </c>
      <c r="F1414" s="201" t="s">
        <v>6</v>
      </c>
      <c r="G1414" s="201" t="s">
        <v>7</v>
      </c>
      <c r="H1414" s="201" t="s">
        <v>8</v>
      </c>
      <c r="I1414" s="201" t="s">
        <v>9</v>
      </c>
      <c r="J1414" s="201" t="s">
        <v>10</v>
      </c>
      <c r="K1414" s="201" t="s">
        <v>11</v>
      </c>
      <c r="L1414" s="201" t="s">
        <v>12</v>
      </c>
      <c r="M1414" s="201" t="s">
        <v>13</v>
      </c>
      <c r="N1414" s="201" t="s">
        <v>14</v>
      </c>
      <c r="O1414" s="5"/>
      <c r="P1414" s="5"/>
      <c r="Q1414" s="5"/>
      <c r="R1414" s="5"/>
      <c r="S1414" s="5"/>
      <c r="T1414" s="5"/>
      <c r="U1414" s="5"/>
      <c r="V1414" s="5"/>
      <c r="W1414" s="5"/>
      <c r="X1414" s="5"/>
      <c r="Y1414" s="5"/>
      <c r="Z1414" s="5"/>
    </row>
    <row r="1415" ht="12.0" customHeight="1">
      <c r="A1415" s="92" t="s">
        <v>694</v>
      </c>
      <c r="B1415" s="92" t="s">
        <v>633</v>
      </c>
      <c r="C1415" s="203">
        <f>SUM('2033'!B6:B9)+Parametros!$B$72*C2694</f>
        <v>6347.4</v>
      </c>
      <c r="D1415" s="203">
        <f>SUM('2033'!C6:C9)+Parametros!$B$72*D2694</f>
        <v>4955.52</v>
      </c>
      <c r="E1415" s="203">
        <f>SUM('2033'!D6:D9)+Parametros!$B$72*E2694</f>
        <v>4914.38</v>
      </c>
      <c r="F1415" s="203">
        <f>SUM('2033'!E6:E9)+Parametros!$B$72*F2694</f>
        <v>4788.72</v>
      </c>
      <c r="G1415" s="203">
        <f>SUM('2033'!F6:F9)+Parametros!$B$72*G2694</f>
        <v>4513.72</v>
      </c>
      <c r="H1415" s="203">
        <f>SUM('2033'!G6:G9)+Parametros!$B$72*H2694</f>
        <v>4323.82</v>
      </c>
      <c r="I1415" s="203">
        <f>SUM('2033'!H6:H9)+Parametros!$B$72*I2694</f>
        <v>4639.38</v>
      </c>
      <c r="J1415" s="203">
        <f>SUM('2033'!I6:I9)+Parametros!$B$72*J2694</f>
        <v>4639.38</v>
      </c>
      <c r="K1415" s="203">
        <f>SUM('2033'!J6:J9)+Parametros!$B$72*K2694</f>
        <v>4619.1</v>
      </c>
      <c r="L1415" s="203">
        <f>SUM('2033'!K6:K9)+Parametros!$B$72*L2694</f>
        <v>4429.2</v>
      </c>
      <c r="M1415" s="203">
        <f>SUM('2033'!L6:L9)+Parametros!$B$72*M2694</f>
        <v>4259.58</v>
      </c>
      <c r="N1415" s="203">
        <f>SUM('2033'!M6:M9)+Parametros!$B$72*N2694</f>
        <v>6625.8</v>
      </c>
      <c r="O1415" s="5"/>
      <c r="P1415" s="5"/>
      <c r="Q1415" s="5"/>
      <c r="R1415" s="5"/>
      <c r="S1415" s="5"/>
      <c r="T1415" s="5"/>
      <c r="U1415" s="5"/>
      <c r="V1415" s="5"/>
      <c r="W1415" s="5"/>
      <c r="X1415" s="5"/>
      <c r="Y1415" s="5"/>
      <c r="Z1415" s="5"/>
    </row>
    <row r="1416" ht="12.0" customHeight="1">
      <c r="A1416" s="5"/>
      <c r="B1416" s="92" t="s">
        <v>634</v>
      </c>
      <c r="C1416" s="204">
        <f>C1415/Parametros!$B$37</f>
        <v>317.37</v>
      </c>
      <c r="D1416" s="204">
        <f>D1415/Parametros!$B$37</f>
        <v>247.776</v>
      </c>
      <c r="E1416" s="204">
        <f>E1415/Parametros!$B$37</f>
        <v>245.719</v>
      </c>
      <c r="F1416" s="204">
        <f>F1415/Parametros!$B$37</f>
        <v>239.436</v>
      </c>
      <c r="G1416" s="204">
        <f>G1415/Parametros!$B$37</f>
        <v>225.686</v>
      </c>
      <c r="H1416" s="204">
        <f>H1415/Parametros!$B$37</f>
        <v>216.191</v>
      </c>
      <c r="I1416" s="204">
        <f>I1415/Parametros!$B$37</f>
        <v>231.969</v>
      </c>
      <c r="J1416" s="204">
        <f>J1415/Parametros!$B$37</f>
        <v>231.969</v>
      </c>
      <c r="K1416" s="204">
        <f>K1415/Parametros!$B$37</f>
        <v>230.955</v>
      </c>
      <c r="L1416" s="204">
        <f>L1415/Parametros!$B$37</f>
        <v>221.46</v>
      </c>
      <c r="M1416" s="204">
        <f>M1415/Parametros!$B$37</f>
        <v>212.979</v>
      </c>
      <c r="N1416" s="204">
        <f>N1415/Parametros!$B$37</f>
        <v>331.29</v>
      </c>
      <c r="O1416" s="5"/>
      <c r="P1416" s="5"/>
      <c r="Q1416" s="5"/>
      <c r="R1416" s="5"/>
      <c r="S1416" s="5"/>
      <c r="T1416" s="5"/>
      <c r="U1416" s="5"/>
      <c r="V1416" s="5"/>
      <c r="W1416" s="5"/>
      <c r="X1416" s="5"/>
      <c r="Y1416" s="5"/>
      <c r="Z1416" s="5"/>
    </row>
    <row r="1417" ht="12.0" customHeight="1">
      <c r="A1417" s="5"/>
      <c r="B1417" s="92" t="s">
        <v>635</v>
      </c>
      <c r="C1417" s="204">
        <f>C1416/Parametros!$J$37</f>
        <v>42.316</v>
      </c>
      <c r="D1417" s="204">
        <f>D1416/Parametros!$J$37</f>
        <v>33.0368</v>
      </c>
      <c r="E1417" s="204">
        <f>E1416/Parametros!$J$37</f>
        <v>32.76253333</v>
      </c>
      <c r="F1417" s="204">
        <f>F1416/Parametros!$J$37</f>
        <v>31.9248</v>
      </c>
      <c r="G1417" s="204">
        <f>G1416/Parametros!$J$37</f>
        <v>30.09146667</v>
      </c>
      <c r="H1417" s="204">
        <f>H1416/Parametros!$J$37</f>
        <v>28.82546667</v>
      </c>
      <c r="I1417" s="204">
        <f>I1416/Parametros!$J$37</f>
        <v>30.9292</v>
      </c>
      <c r="J1417" s="204">
        <f>J1416/Parametros!$J$37</f>
        <v>30.9292</v>
      </c>
      <c r="K1417" s="204">
        <f>K1416/Parametros!$J$37</f>
        <v>30.794</v>
      </c>
      <c r="L1417" s="204">
        <f>L1416/Parametros!$J$37</f>
        <v>29.528</v>
      </c>
      <c r="M1417" s="204">
        <f>M1416/Parametros!$J$37</f>
        <v>28.3972</v>
      </c>
      <c r="N1417" s="204">
        <f>N1416/Parametros!$J$37</f>
        <v>44.172</v>
      </c>
      <c r="O1417" s="5"/>
      <c r="P1417" s="5"/>
      <c r="Q1417" s="5"/>
      <c r="R1417" s="5"/>
      <c r="S1417" s="5"/>
      <c r="T1417" s="5"/>
      <c r="U1417" s="5"/>
      <c r="V1417" s="5"/>
      <c r="W1417" s="5"/>
      <c r="X1417" s="5"/>
      <c r="Y1417" s="5"/>
      <c r="Z1417" s="5"/>
    </row>
    <row r="1418" ht="12.0" customHeight="1">
      <c r="A1418" s="92" t="s">
        <v>636</v>
      </c>
      <c r="B1418" s="5"/>
      <c r="C1418" s="204">
        <f t="shared" ref="C1418:N1418" si="418">C1417</f>
        <v>42.316</v>
      </c>
      <c r="D1418" s="204">
        <f t="shared" si="418"/>
        <v>33.0368</v>
      </c>
      <c r="E1418" s="204">
        <f t="shared" si="418"/>
        <v>32.76253333</v>
      </c>
      <c r="F1418" s="204">
        <f t="shared" si="418"/>
        <v>31.9248</v>
      </c>
      <c r="G1418" s="204">
        <f t="shared" si="418"/>
        <v>30.09146667</v>
      </c>
      <c r="H1418" s="204">
        <f t="shared" si="418"/>
        <v>28.82546667</v>
      </c>
      <c r="I1418" s="204">
        <f t="shared" si="418"/>
        <v>30.9292</v>
      </c>
      <c r="J1418" s="204">
        <f t="shared" si="418"/>
        <v>30.9292</v>
      </c>
      <c r="K1418" s="204">
        <f t="shared" si="418"/>
        <v>30.794</v>
      </c>
      <c r="L1418" s="204">
        <f t="shared" si="418"/>
        <v>29.528</v>
      </c>
      <c r="M1418" s="204">
        <f t="shared" si="418"/>
        <v>28.3972</v>
      </c>
      <c r="N1418" s="204">
        <f t="shared" si="418"/>
        <v>44.172</v>
      </c>
      <c r="O1418" s="5"/>
      <c r="P1418" s="5"/>
      <c r="Q1418" s="5"/>
      <c r="R1418" s="5"/>
      <c r="S1418" s="5"/>
      <c r="T1418" s="5"/>
      <c r="U1418" s="5"/>
      <c r="V1418" s="5"/>
      <c r="W1418" s="5"/>
      <c r="X1418" s="5"/>
      <c r="Y1418" s="5"/>
      <c r="Z1418" s="5"/>
    </row>
    <row r="1419" ht="12.0" customHeight="1">
      <c r="A1419" s="92" t="s">
        <v>637</v>
      </c>
      <c r="B1419" s="5"/>
      <c r="C1419" s="205">
        <f>'Resumen Capacidad'!$I$125</f>
        <v>60.34285714</v>
      </c>
      <c r="D1419" s="205">
        <f>'Resumen Capacidad'!$I$125</f>
        <v>60.34285714</v>
      </c>
      <c r="E1419" s="205">
        <f>'Resumen Capacidad'!$I$125</f>
        <v>60.34285714</v>
      </c>
      <c r="F1419" s="205">
        <f>'Resumen Capacidad'!$I$125</f>
        <v>60.34285714</v>
      </c>
      <c r="G1419" s="205">
        <f>'Resumen Capacidad'!$I$125</f>
        <v>60.34285714</v>
      </c>
      <c r="H1419" s="205">
        <f>'Resumen Capacidad'!$I$125</f>
        <v>60.34285714</v>
      </c>
      <c r="I1419" s="205">
        <f>'Resumen Capacidad'!$I$125</f>
        <v>60.34285714</v>
      </c>
      <c r="J1419" s="205">
        <f>'Resumen Capacidad'!$I$125</f>
        <v>60.34285714</v>
      </c>
      <c r="K1419" s="205">
        <f>'Resumen Capacidad'!$I$125</f>
        <v>60.34285714</v>
      </c>
      <c r="L1419" s="205">
        <f>'Resumen Capacidad'!$I$125</f>
        <v>60.34285714</v>
      </c>
      <c r="M1419" s="205">
        <f>'Resumen Capacidad'!$I$125</f>
        <v>60.34285714</v>
      </c>
      <c r="N1419" s="205">
        <f>'Resumen Capacidad'!$I$125</f>
        <v>60.34285714</v>
      </c>
      <c r="O1419" s="5"/>
      <c r="P1419" s="5"/>
      <c r="Q1419" s="5"/>
      <c r="R1419" s="5"/>
      <c r="S1419" s="5"/>
      <c r="T1419" s="5"/>
      <c r="U1419" s="5"/>
      <c r="V1419" s="5"/>
      <c r="W1419" s="5"/>
      <c r="X1419" s="5"/>
      <c r="Y1419" s="5"/>
      <c r="Z1419" s="5"/>
    </row>
    <row r="1420" ht="12.0" customHeight="1">
      <c r="A1420" s="92" t="s">
        <v>640</v>
      </c>
      <c r="B1420" s="5"/>
      <c r="C1420" s="204">
        <f>'Resumen Capacidad'!$I$43*'Resumen Capacidad'!$I$79</f>
        <v>1</v>
      </c>
      <c r="D1420" s="204">
        <f>'Resumen Capacidad'!$I$43*'Resumen Capacidad'!$I$79</f>
        <v>1</v>
      </c>
      <c r="E1420" s="204">
        <f>'Resumen Capacidad'!$I$43*'Resumen Capacidad'!$I$79</f>
        <v>1</v>
      </c>
      <c r="F1420" s="204">
        <f>'Resumen Capacidad'!$I$43*'Resumen Capacidad'!$I$79</f>
        <v>1</v>
      </c>
      <c r="G1420" s="204">
        <f>'Resumen Capacidad'!$I$43*'Resumen Capacidad'!$I$79</f>
        <v>1</v>
      </c>
      <c r="H1420" s="204">
        <f>'Resumen Capacidad'!$I$43*'Resumen Capacidad'!$I$79</f>
        <v>1</v>
      </c>
      <c r="I1420" s="204">
        <f>'Resumen Capacidad'!$I$43*'Resumen Capacidad'!$I$79</f>
        <v>1</v>
      </c>
      <c r="J1420" s="204">
        <f>'Resumen Capacidad'!$I$43*'Resumen Capacidad'!$I$79</f>
        <v>1</v>
      </c>
      <c r="K1420" s="204">
        <f>'Resumen Capacidad'!$I$43*'Resumen Capacidad'!$I$79</f>
        <v>1</v>
      </c>
      <c r="L1420" s="204">
        <f>'Resumen Capacidad'!$I$43*'Resumen Capacidad'!$I$79</f>
        <v>1</v>
      </c>
      <c r="M1420" s="204">
        <f>'Resumen Capacidad'!$I$43*'Resumen Capacidad'!$I$79</f>
        <v>1</v>
      </c>
      <c r="N1420" s="204">
        <f>'Resumen Capacidad'!$I$43*'Resumen Capacidad'!$I$79</f>
        <v>1</v>
      </c>
      <c r="O1420" s="5"/>
      <c r="P1420" s="5"/>
      <c r="Q1420" s="5"/>
      <c r="R1420" s="5"/>
      <c r="S1420" s="5"/>
      <c r="T1420" s="5"/>
      <c r="U1420" s="5"/>
      <c r="V1420" s="5"/>
      <c r="W1420" s="5"/>
      <c r="X1420" s="5"/>
      <c r="Y1420" s="5"/>
      <c r="Z1420" s="5"/>
    </row>
    <row r="1421" ht="12.0" customHeight="1">
      <c r="A1421" s="92" t="s">
        <v>642</v>
      </c>
      <c r="B1421" s="5"/>
      <c r="C1421" s="204">
        <f t="shared" ref="C1421:N1421" si="419">C1419*C1420</f>
        <v>60.34285714</v>
      </c>
      <c r="D1421" s="204">
        <f t="shared" si="419"/>
        <v>60.34285714</v>
      </c>
      <c r="E1421" s="204">
        <f t="shared" si="419"/>
        <v>60.34285714</v>
      </c>
      <c r="F1421" s="204">
        <f t="shared" si="419"/>
        <v>60.34285714</v>
      </c>
      <c r="G1421" s="204">
        <f t="shared" si="419"/>
        <v>60.34285714</v>
      </c>
      <c r="H1421" s="204">
        <f t="shared" si="419"/>
        <v>60.34285714</v>
      </c>
      <c r="I1421" s="204">
        <f t="shared" si="419"/>
        <v>60.34285714</v>
      </c>
      <c r="J1421" s="204">
        <f t="shared" si="419"/>
        <v>60.34285714</v>
      </c>
      <c r="K1421" s="204">
        <f t="shared" si="419"/>
        <v>60.34285714</v>
      </c>
      <c r="L1421" s="204">
        <f t="shared" si="419"/>
        <v>60.34285714</v>
      </c>
      <c r="M1421" s="204">
        <f t="shared" si="419"/>
        <v>60.34285714</v>
      </c>
      <c r="N1421" s="204">
        <f t="shared" si="419"/>
        <v>60.34285714</v>
      </c>
      <c r="O1421" s="5"/>
      <c r="P1421" s="5"/>
      <c r="Q1421" s="5"/>
      <c r="R1421" s="5"/>
      <c r="S1421" s="5"/>
      <c r="T1421" s="5"/>
      <c r="U1421" s="5"/>
      <c r="V1421" s="5"/>
      <c r="W1421" s="5"/>
      <c r="X1421" s="5"/>
      <c r="Y1421" s="5"/>
      <c r="Z1421" s="5"/>
    </row>
    <row r="1422" ht="12.0" customHeight="1">
      <c r="A1422" s="92" t="s">
        <v>643</v>
      </c>
      <c r="B1422" s="5"/>
      <c r="C1422" s="206">
        <f t="shared" ref="C1422:N1422" si="420">IF(C1421=0,0,C1418/C1421)</f>
        <v>0.7012594697</v>
      </c>
      <c r="D1422" s="206">
        <f t="shared" si="420"/>
        <v>0.5474848485</v>
      </c>
      <c r="E1422" s="206">
        <f t="shared" si="420"/>
        <v>0.5429397096</v>
      </c>
      <c r="F1422" s="206">
        <f t="shared" si="420"/>
        <v>0.5290568182</v>
      </c>
      <c r="G1422" s="206">
        <f t="shared" si="420"/>
        <v>0.4986748737</v>
      </c>
      <c r="H1422" s="206">
        <f t="shared" si="420"/>
        <v>0.4776947601</v>
      </c>
      <c r="I1422" s="206">
        <f t="shared" si="420"/>
        <v>0.5125577652</v>
      </c>
      <c r="J1422" s="206">
        <f t="shared" si="420"/>
        <v>0.5125577652</v>
      </c>
      <c r="K1422" s="206">
        <f t="shared" si="420"/>
        <v>0.5103172348</v>
      </c>
      <c r="L1422" s="206">
        <f t="shared" si="420"/>
        <v>0.4893371212</v>
      </c>
      <c r="M1422" s="206">
        <f t="shared" si="420"/>
        <v>0.4705975379</v>
      </c>
      <c r="N1422" s="206">
        <f t="shared" si="420"/>
        <v>0.7320170455</v>
      </c>
      <c r="O1422" s="5"/>
      <c r="P1422" s="5"/>
      <c r="Q1422" s="5"/>
      <c r="R1422" s="5"/>
      <c r="S1422" s="5"/>
      <c r="T1422" s="5"/>
      <c r="U1422" s="5"/>
      <c r="V1422" s="5"/>
      <c r="W1422" s="5"/>
      <c r="X1422" s="5"/>
      <c r="Y1422" s="5"/>
      <c r="Z1422" s="5"/>
    </row>
    <row r="1423" ht="12.0" customHeight="1">
      <c r="A1423" s="201" t="s">
        <v>695</v>
      </c>
      <c r="B1423" s="202"/>
      <c r="C1423" s="202"/>
      <c r="D1423" s="202"/>
      <c r="E1423" s="202"/>
      <c r="F1423" s="202"/>
      <c r="G1423" s="202"/>
      <c r="H1423" s="202"/>
      <c r="I1423" s="202"/>
      <c r="J1423" s="202"/>
      <c r="K1423" s="202"/>
      <c r="L1423" s="202"/>
      <c r="M1423" s="202"/>
      <c r="N1423" s="202"/>
      <c r="O1423" s="5"/>
      <c r="P1423" s="5"/>
      <c r="Q1423" s="5"/>
      <c r="R1423" s="5"/>
      <c r="S1423" s="5"/>
      <c r="T1423" s="5"/>
      <c r="U1423" s="5"/>
      <c r="V1423" s="5"/>
      <c r="W1423" s="5"/>
      <c r="X1423" s="5"/>
      <c r="Y1423" s="5"/>
      <c r="Z1423" s="5"/>
    </row>
    <row r="1424" ht="12.0" customHeight="1">
      <c r="A1424" s="201" t="s">
        <v>630</v>
      </c>
      <c r="B1424" s="201" t="s">
        <v>631</v>
      </c>
      <c r="C1424" s="201" t="s">
        <v>3</v>
      </c>
      <c r="D1424" s="201" t="s">
        <v>4</v>
      </c>
      <c r="E1424" s="201" t="s">
        <v>5</v>
      </c>
      <c r="F1424" s="201" t="s">
        <v>6</v>
      </c>
      <c r="G1424" s="201" t="s">
        <v>7</v>
      </c>
      <c r="H1424" s="201" t="s">
        <v>8</v>
      </c>
      <c r="I1424" s="201" t="s">
        <v>9</v>
      </c>
      <c r="J1424" s="201" t="s">
        <v>10</v>
      </c>
      <c r="K1424" s="201" t="s">
        <v>11</v>
      </c>
      <c r="L1424" s="201" t="s">
        <v>12</v>
      </c>
      <c r="M1424" s="201" t="s">
        <v>13</v>
      </c>
      <c r="N1424" s="201" t="s">
        <v>14</v>
      </c>
      <c r="O1424" s="5"/>
      <c r="P1424" s="5"/>
      <c r="Q1424" s="5"/>
      <c r="R1424" s="5"/>
      <c r="S1424" s="5"/>
      <c r="T1424" s="5"/>
      <c r="U1424" s="5"/>
      <c r="V1424" s="5"/>
      <c r="W1424" s="5"/>
      <c r="X1424" s="5"/>
      <c r="Y1424" s="5"/>
      <c r="Z1424" s="5"/>
    </row>
    <row r="1425" ht="12.0" customHeight="1">
      <c r="A1425" s="92" t="s">
        <v>694</v>
      </c>
      <c r="B1425" s="92" t="s">
        <v>633</v>
      </c>
      <c r="C1425" s="203">
        <f>SUM('2033'!B6:B9)+Parametros!$B$72*C2694</f>
        <v>6347.4</v>
      </c>
      <c r="D1425" s="203">
        <f>SUM('2033'!C6:C9)+Parametros!$B$72*D2694</f>
        <v>4955.52</v>
      </c>
      <c r="E1425" s="203">
        <f>SUM('2033'!D6:D9)+Parametros!$B$72*E2694</f>
        <v>4914.38</v>
      </c>
      <c r="F1425" s="203">
        <f>SUM('2033'!E6:E9)+Parametros!$B$72*F2694</f>
        <v>4788.72</v>
      </c>
      <c r="G1425" s="203">
        <f>SUM('2033'!F6:F9)+Parametros!$B$72*G2694</f>
        <v>4513.72</v>
      </c>
      <c r="H1425" s="203">
        <f>SUM('2033'!G6:G9)+Parametros!$B$72*H2694</f>
        <v>4323.82</v>
      </c>
      <c r="I1425" s="203">
        <f>SUM('2033'!H6:H9)+Parametros!$B$72*I2694</f>
        <v>4639.38</v>
      </c>
      <c r="J1425" s="203">
        <f>SUM('2033'!I6:I9)+Parametros!$B$72*J2694</f>
        <v>4639.38</v>
      </c>
      <c r="K1425" s="203">
        <f>SUM('2033'!J6:J9)+Parametros!$B$72*K2694</f>
        <v>4619.1</v>
      </c>
      <c r="L1425" s="203">
        <f>SUM('2033'!K6:K9)+Parametros!$B$72*L2694</f>
        <v>4429.2</v>
      </c>
      <c r="M1425" s="203">
        <f>SUM('2033'!L6:L9)+Parametros!$B$72*M2694</f>
        <v>4259.58</v>
      </c>
      <c r="N1425" s="203">
        <f>SUM('2033'!M6:M9)+Parametros!$B$72*N2694</f>
        <v>6625.8</v>
      </c>
      <c r="O1425" s="5"/>
      <c r="P1425" s="5"/>
      <c r="Q1425" s="5"/>
      <c r="R1425" s="5"/>
      <c r="S1425" s="5"/>
      <c r="T1425" s="5"/>
      <c r="U1425" s="5"/>
      <c r="V1425" s="5"/>
      <c r="W1425" s="5"/>
      <c r="X1425" s="5"/>
      <c r="Y1425" s="5"/>
      <c r="Z1425" s="5"/>
    </row>
    <row r="1426" ht="12.0" customHeight="1">
      <c r="A1426" s="5"/>
      <c r="B1426" s="92" t="s">
        <v>634</v>
      </c>
      <c r="C1426" s="204">
        <f>C1425/Parametros!$B$37</f>
        <v>317.37</v>
      </c>
      <c r="D1426" s="204">
        <f>D1425/Parametros!$B$37</f>
        <v>247.776</v>
      </c>
      <c r="E1426" s="204">
        <f>E1425/Parametros!$B$37</f>
        <v>245.719</v>
      </c>
      <c r="F1426" s="204">
        <f>F1425/Parametros!$B$37</f>
        <v>239.436</v>
      </c>
      <c r="G1426" s="204">
        <f>G1425/Parametros!$B$37</f>
        <v>225.686</v>
      </c>
      <c r="H1426" s="204">
        <f>H1425/Parametros!$B$37</f>
        <v>216.191</v>
      </c>
      <c r="I1426" s="204">
        <f>I1425/Parametros!$B$37</f>
        <v>231.969</v>
      </c>
      <c r="J1426" s="204">
        <f>J1425/Parametros!$B$37</f>
        <v>231.969</v>
      </c>
      <c r="K1426" s="204">
        <f>K1425/Parametros!$B$37</f>
        <v>230.955</v>
      </c>
      <c r="L1426" s="204">
        <f>L1425/Parametros!$B$37</f>
        <v>221.46</v>
      </c>
      <c r="M1426" s="204">
        <f>M1425/Parametros!$B$37</f>
        <v>212.979</v>
      </c>
      <c r="N1426" s="204">
        <f>N1425/Parametros!$B$37</f>
        <v>331.29</v>
      </c>
      <c r="O1426" s="5"/>
      <c r="P1426" s="5"/>
      <c r="Q1426" s="5"/>
      <c r="R1426" s="5"/>
      <c r="S1426" s="5"/>
      <c r="T1426" s="5"/>
      <c r="U1426" s="5"/>
      <c r="V1426" s="5"/>
      <c r="W1426" s="5"/>
      <c r="X1426" s="5"/>
      <c r="Y1426" s="5"/>
      <c r="Z1426" s="5"/>
    </row>
    <row r="1427" ht="12.0" customHeight="1">
      <c r="A1427" s="5"/>
      <c r="B1427" s="92" t="s">
        <v>635</v>
      </c>
      <c r="C1427" s="204">
        <f>C1426/Parametros!$J$37</f>
        <v>42.316</v>
      </c>
      <c r="D1427" s="204">
        <f>D1426/Parametros!$J$37</f>
        <v>33.0368</v>
      </c>
      <c r="E1427" s="204">
        <f>E1426/Parametros!$J$37</f>
        <v>32.76253333</v>
      </c>
      <c r="F1427" s="204">
        <f>F1426/Parametros!$J$37</f>
        <v>31.9248</v>
      </c>
      <c r="G1427" s="204">
        <f>G1426/Parametros!$J$37</f>
        <v>30.09146667</v>
      </c>
      <c r="H1427" s="204">
        <f>H1426/Parametros!$J$37</f>
        <v>28.82546667</v>
      </c>
      <c r="I1427" s="204">
        <f>I1426/Parametros!$J$37</f>
        <v>30.9292</v>
      </c>
      <c r="J1427" s="204">
        <f>J1426/Parametros!$J$37</f>
        <v>30.9292</v>
      </c>
      <c r="K1427" s="204">
        <f>K1426/Parametros!$J$37</f>
        <v>30.794</v>
      </c>
      <c r="L1427" s="204">
        <f>L1426/Parametros!$J$37</f>
        <v>29.528</v>
      </c>
      <c r="M1427" s="204">
        <f>M1426/Parametros!$J$37</f>
        <v>28.3972</v>
      </c>
      <c r="N1427" s="204">
        <f>N1426/Parametros!$J$37</f>
        <v>44.172</v>
      </c>
      <c r="O1427" s="5"/>
      <c r="P1427" s="5"/>
      <c r="Q1427" s="5"/>
      <c r="R1427" s="5"/>
      <c r="S1427" s="5"/>
      <c r="T1427" s="5"/>
      <c r="U1427" s="5"/>
      <c r="V1427" s="5"/>
      <c r="W1427" s="5"/>
      <c r="X1427" s="5"/>
      <c r="Y1427" s="5"/>
      <c r="Z1427" s="5"/>
    </row>
    <row r="1428" ht="12.0" customHeight="1">
      <c r="A1428" s="92" t="s">
        <v>636</v>
      </c>
      <c r="B1428" s="5"/>
      <c r="C1428" s="204">
        <f t="shared" ref="C1428:N1428" si="421">C1427</f>
        <v>42.316</v>
      </c>
      <c r="D1428" s="204">
        <f t="shared" si="421"/>
        <v>33.0368</v>
      </c>
      <c r="E1428" s="204">
        <f t="shared" si="421"/>
        <v>32.76253333</v>
      </c>
      <c r="F1428" s="204">
        <f t="shared" si="421"/>
        <v>31.9248</v>
      </c>
      <c r="G1428" s="204">
        <f t="shared" si="421"/>
        <v>30.09146667</v>
      </c>
      <c r="H1428" s="204">
        <f t="shared" si="421"/>
        <v>28.82546667</v>
      </c>
      <c r="I1428" s="204">
        <f t="shared" si="421"/>
        <v>30.9292</v>
      </c>
      <c r="J1428" s="204">
        <f t="shared" si="421"/>
        <v>30.9292</v>
      </c>
      <c r="K1428" s="204">
        <f t="shared" si="421"/>
        <v>30.794</v>
      </c>
      <c r="L1428" s="204">
        <f t="shared" si="421"/>
        <v>29.528</v>
      </c>
      <c r="M1428" s="204">
        <f t="shared" si="421"/>
        <v>28.3972</v>
      </c>
      <c r="N1428" s="204">
        <f t="shared" si="421"/>
        <v>44.172</v>
      </c>
      <c r="O1428" s="5"/>
      <c r="P1428" s="5"/>
      <c r="Q1428" s="5"/>
      <c r="R1428" s="5"/>
      <c r="S1428" s="5"/>
      <c r="T1428" s="5"/>
      <c r="U1428" s="5"/>
      <c r="V1428" s="5"/>
      <c r="W1428" s="5"/>
      <c r="X1428" s="5"/>
      <c r="Y1428" s="5"/>
      <c r="Z1428" s="5"/>
    </row>
    <row r="1429" ht="12.0" customHeight="1">
      <c r="A1429" s="92" t="s">
        <v>637</v>
      </c>
      <c r="B1429" s="5"/>
      <c r="C1429" s="205">
        <f>'Resumen Capacidad'!$I$126</f>
        <v>25.2</v>
      </c>
      <c r="D1429" s="205">
        <f>'Resumen Capacidad'!$I$126</f>
        <v>25.2</v>
      </c>
      <c r="E1429" s="205">
        <f>'Resumen Capacidad'!$I$126</f>
        <v>25.2</v>
      </c>
      <c r="F1429" s="205">
        <f>'Resumen Capacidad'!$I$126</f>
        <v>25.2</v>
      </c>
      <c r="G1429" s="205">
        <f>'Resumen Capacidad'!$I$126</f>
        <v>25.2</v>
      </c>
      <c r="H1429" s="205">
        <f>'Resumen Capacidad'!$I$126</f>
        <v>25.2</v>
      </c>
      <c r="I1429" s="205">
        <f>'Resumen Capacidad'!$I$126</f>
        <v>25.2</v>
      </c>
      <c r="J1429" s="205">
        <f>'Resumen Capacidad'!$I$126</f>
        <v>25.2</v>
      </c>
      <c r="K1429" s="205">
        <f>'Resumen Capacidad'!$I$126</f>
        <v>25.2</v>
      </c>
      <c r="L1429" s="205">
        <f>'Resumen Capacidad'!$I$126</f>
        <v>25.2</v>
      </c>
      <c r="M1429" s="205">
        <f>'Resumen Capacidad'!$I$126</f>
        <v>25.2</v>
      </c>
      <c r="N1429" s="205">
        <f>'Resumen Capacidad'!$I$126</f>
        <v>25.2</v>
      </c>
      <c r="O1429" s="5"/>
      <c r="P1429" s="5"/>
      <c r="Q1429" s="5"/>
      <c r="R1429" s="5"/>
      <c r="S1429" s="5"/>
      <c r="T1429" s="5"/>
      <c r="U1429" s="5"/>
      <c r="V1429" s="5"/>
      <c r="W1429" s="5"/>
      <c r="X1429" s="5"/>
      <c r="Y1429" s="5"/>
      <c r="Z1429" s="5"/>
    </row>
    <row r="1430" ht="12.0" customHeight="1">
      <c r="A1430" s="92" t="s">
        <v>640</v>
      </c>
      <c r="B1430" s="5"/>
      <c r="C1430" s="204">
        <f>'Resumen Capacidad'!$I$44*'Resumen Capacidad'!$I$80</f>
        <v>2</v>
      </c>
      <c r="D1430" s="204">
        <f>'Resumen Capacidad'!$I$44*'Resumen Capacidad'!$I$80</f>
        <v>2</v>
      </c>
      <c r="E1430" s="204">
        <f>'Resumen Capacidad'!$I$44*'Resumen Capacidad'!$I$80</f>
        <v>2</v>
      </c>
      <c r="F1430" s="204">
        <f>'Resumen Capacidad'!$I$44*'Resumen Capacidad'!$I$80</f>
        <v>2</v>
      </c>
      <c r="G1430" s="204">
        <f>'Resumen Capacidad'!$I$44*'Resumen Capacidad'!$I$80</f>
        <v>2</v>
      </c>
      <c r="H1430" s="204">
        <f>'Resumen Capacidad'!$I$44*'Resumen Capacidad'!$I$80</f>
        <v>2</v>
      </c>
      <c r="I1430" s="204">
        <f>'Resumen Capacidad'!$I$44*'Resumen Capacidad'!$I$80</f>
        <v>2</v>
      </c>
      <c r="J1430" s="204">
        <f>'Resumen Capacidad'!$I$44*'Resumen Capacidad'!$I$80</f>
        <v>2</v>
      </c>
      <c r="K1430" s="204">
        <f>'Resumen Capacidad'!$I$44*'Resumen Capacidad'!$I$80</f>
        <v>2</v>
      </c>
      <c r="L1430" s="204">
        <f>'Resumen Capacidad'!$I$44*'Resumen Capacidad'!$I$80</f>
        <v>2</v>
      </c>
      <c r="M1430" s="204">
        <f>'Resumen Capacidad'!$I$44*'Resumen Capacidad'!$I$80</f>
        <v>2</v>
      </c>
      <c r="N1430" s="204">
        <f>'Resumen Capacidad'!$I$44*'Resumen Capacidad'!$I$80</f>
        <v>2</v>
      </c>
      <c r="O1430" s="5"/>
      <c r="P1430" s="5"/>
      <c r="Q1430" s="5"/>
      <c r="R1430" s="5"/>
      <c r="S1430" s="5"/>
      <c r="T1430" s="5"/>
      <c r="U1430" s="5"/>
      <c r="V1430" s="5"/>
      <c r="W1430" s="5"/>
      <c r="X1430" s="5"/>
      <c r="Y1430" s="5"/>
      <c r="Z1430" s="5"/>
    </row>
    <row r="1431" ht="12.0" customHeight="1">
      <c r="A1431" s="92" t="s">
        <v>642</v>
      </c>
      <c r="B1431" s="5"/>
      <c r="C1431" s="204">
        <f t="shared" ref="C1431:N1431" si="422">C1429*C1430</f>
        <v>50.4</v>
      </c>
      <c r="D1431" s="204">
        <f t="shared" si="422"/>
        <v>50.4</v>
      </c>
      <c r="E1431" s="204">
        <f t="shared" si="422"/>
        <v>50.4</v>
      </c>
      <c r="F1431" s="204">
        <f t="shared" si="422"/>
        <v>50.4</v>
      </c>
      <c r="G1431" s="204">
        <f t="shared" si="422"/>
        <v>50.4</v>
      </c>
      <c r="H1431" s="204">
        <f t="shared" si="422"/>
        <v>50.4</v>
      </c>
      <c r="I1431" s="204">
        <f t="shared" si="422"/>
        <v>50.4</v>
      </c>
      <c r="J1431" s="204">
        <f t="shared" si="422"/>
        <v>50.4</v>
      </c>
      <c r="K1431" s="204">
        <f t="shared" si="422"/>
        <v>50.4</v>
      </c>
      <c r="L1431" s="204">
        <f t="shared" si="422"/>
        <v>50.4</v>
      </c>
      <c r="M1431" s="204">
        <f t="shared" si="422"/>
        <v>50.4</v>
      </c>
      <c r="N1431" s="204">
        <f t="shared" si="422"/>
        <v>50.4</v>
      </c>
      <c r="O1431" s="5"/>
      <c r="P1431" s="5"/>
      <c r="Q1431" s="5"/>
      <c r="R1431" s="5"/>
      <c r="S1431" s="5"/>
      <c r="T1431" s="5"/>
      <c r="U1431" s="5"/>
      <c r="V1431" s="5"/>
      <c r="W1431" s="5"/>
      <c r="X1431" s="5"/>
      <c r="Y1431" s="5"/>
      <c r="Z1431" s="5"/>
    </row>
    <row r="1432" ht="12.0" customHeight="1">
      <c r="A1432" s="92" t="s">
        <v>643</v>
      </c>
      <c r="B1432" s="5"/>
      <c r="C1432" s="206">
        <f t="shared" ref="C1432:N1432" si="423">IF(C1431=0,0,C1428/C1431)</f>
        <v>0.8396031746</v>
      </c>
      <c r="D1432" s="206">
        <f t="shared" si="423"/>
        <v>0.6554920635</v>
      </c>
      <c r="E1432" s="206">
        <f t="shared" si="423"/>
        <v>0.6500502646</v>
      </c>
      <c r="F1432" s="206">
        <f t="shared" si="423"/>
        <v>0.6334285714</v>
      </c>
      <c r="G1432" s="206">
        <f t="shared" si="423"/>
        <v>0.5970529101</v>
      </c>
      <c r="H1432" s="206">
        <f t="shared" si="423"/>
        <v>0.5719338624</v>
      </c>
      <c r="I1432" s="206">
        <f t="shared" si="423"/>
        <v>0.6136746032</v>
      </c>
      <c r="J1432" s="206">
        <f t="shared" si="423"/>
        <v>0.6136746032</v>
      </c>
      <c r="K1432" s="206">
        <f t="shared" si="423"/>
        <v>0.6109920635</v>
      </c>
      <c r="L1432" s="206">
        <f t="shared" si="423"/>
        <v>0.5858730159</v>
      </c>
      <c r="M1432" s="206">
        <f t="shared" si="423"/>
        <v>0.5634365079</v>
      </c>
      <c r="N1432" s="206">
        <f t="shared" si="423"/>
        <v>0.8764285714</v>
      </c>
      <c r="O1432" s="5"/>
      <c r="P1432" s="5"/>
      <c r="Q1432" s="5"/>
      <c r="R1432" s="5"/>
      <c r="S1432" s="5"/>
      <c r="T1432" s="5"/>
      <c r="U1432" s="5"/>
      <c r="V1432" s="5"/>
      <c r="W1432" s="5"/>
      <c r="X1432" s="5"/>
      <c r="Y1432" s="5"/>
      <c r="Z1432" s="5"/>
    </row>
    <row r="1433" ht="12.0" customHeight="1">
      <c r="A1433" s="201" t="s">
        <v>696</v>
      </c>
      <c r="B1433" s="202"/>
      <c r="C1433" s="202"/>
      <c r="D1433" s="202"/>
      <c r="E1433" s="202"/>
      <c r="F1433" s="202"/>
      <c r="G1433" s="202"/>
      <c r="H1433" s="202"/>
      <c r="I1433" s="202"/>
      <c r="J1433" s="202"/>
      <c r="K1433" s="202"/>
      <c r="L1433" s="202"/>
      <c r="M1433" s="202"/>
      <c r="N1433" s="202"/>
      <c r="O1433" s="5"/>
      <c r="P1433" s="5"/>
      <c r="Q1433" s="5"/>
      <c r="R1433" s="5"/>
      <c r="S1433" s="5"/>
      <c r="T1433" s="5"/>
      <c r="U1433" s="5"/>
      <c r="V1433" s="5"/>
      <c r="W1433" s="5"/>
      <c r="X1433" s="5"/>
      <c r="Y1433" s="5"/>
      <c r="Z1433" s="5"/>
    </row>
    <row r="1434" ht="12.0" customHeight="1">
      <c r="A1434" s="201" t="s">
        <v>630</v>
      </c>
      <c r="B1434" s="201" t="s">
        <v>631</v>
      </c>
      <c r="C1434" s="201" t="s">
        <v>3</v>
      </c>
      <c r="D1434" s="201" t="s">
        <v>4</v>
      </c>
      <c r="E1434" s="201" t="s">
        <v>5</v>
      </c>
      <c r="F1434" s="201" t="s">
        <v>6</v>
      </c>
      <c r="G1434" s="201" t="s">
        <v>7</v>
      </c>
      <c r="H1434" s="201" t="s">
        <v>8</v>
      </c>
      <c r="I1434" s="201" t="s">
        <v>9</v>
      </c>
      <c r="J1434" s="201" t="s">
        <v>10</v>
      </c>
      <c r="K1434" s="201" t="s">
        <v>11</v>
      </c>
      <c r="L1434" s="201" t="s">
        <v>12</v>
      </c>
      <c r="M1434" s="201" t="s">
        <v>13</v>
      </c>
      <c r="N1434" s="201" t="s">
        <v>14</v>
      </c>
      <c r="O1434" s="5"/>
      <c r="P1434" s="5"/>
      <c r="Q1434" s="5"/>
      <c r="R1434" s="5"/>
      <c r="S1434" s="5"/>
      <c r="T1434" s="5"/>
      <c r="U1434" s="5"/>
      <c r="V1434" s="5"/>
      <c r="W1434" s="5"/>
      <c r="X1434" s="5"/>
      <c r="Y1434" s="5"/>
      <c r="Z1434" s="5"/>
    </row>
    <row r="1435" ht="12.0" customHeight="1">
      <c r="A1435" s="92" t="s">
        <v>694</v>
      </c>
      <c r="B1435" s="92" t="s">
        <v>633</v>
      </c>
      <c r="C1435" s="203">
        <f>SUM('2033'!B6:B9)+Parametros!$B$72*C2694</f>
        <v>6347.4</v>
      </c>
      <c r="D1435" s="203">
        <f>SUM('2033'!C6:C9)+Parametros!$B$72*D2694</f>
        <v>4955.52</v>
      </c>
      <c r="E1435" s="203">
        <f>SUM('2033'!D6:D9)+Parametros!$B$72*E2694</f>
        <v>4914.38</v>
      </c>
      <c r="F1435" s="203">
        <f>SUM('2033'!E6:E9)+Parametros!$B$72*F2694</f>
        <v>4788.72</v>
      </c>
      <c r="G1435" s="203">
        <f>SUM('2033'!F6:F9)+Parametros!$B$72*G2694</f>
        <v>4513.72</v>
      </c>
      <c r="H1435" s="203">
        <f>SUM('2033'!G6:G9)+Parametros!$B$72*H2694</f>
        <v>4323.82</v>
      </c>
      <c r="I1435" s="203">
        <f>SUM('2033'!H6:H9)+Parametros!$B$72*I2694</f>
        <v>4639.38</v>
      </c>
      <c r="J1435" s="203">
        <f>SUM('2033'!I6:I9)+Parametros!$B$72*J2694</f>
        <v>4639.38</v>
      </c>
      <c r="K1435" s="203">
        <f>SUM('2033'!J6:J9)+Parametros!$B$72*K2694</f>
        <v>4619.1</v>
      </c>
      <c r="L1435" s="203">
        <f>SUM('2033'!K6:K9)+Parametros!$B$72*L2694</f>
        <v>4429.2</v>
      </c>
      <c r="M1435" s="203">
        <f>SUM('2033'!L6:L9)+Parametros!$B$72*M2694</f>
        <v>4259.58</v>
      </c>
      <c r="N1435" s="203">
        <f>SUM('2033'!M6:M9)+Parametros!$B$72*N2694</f>
        <v>6625.8</v>
      </c>
      <c r="O1435" s="5"/>
      <c r="P1435" s="5"/>
      <c r="Q1435" s="5"/>
      <c r="R1435" s="5"/>
      <c r="S1435" s="5"/>
      <c r="T1435" s="5"/>
      <c r="U1435" s="5"/>
      <c r="V1435" s="5"/>
      <c r="W1435" s="5"/>
      <c r="X1435" s="5"/>
      <c r="Y1435" s="5"/>
      <c r="Z1435" s="5"/>
    </row>
    <row r="1436" ht="12.0" customHeight="1">
      <c r="A1436" s="5"/>
      <c r="B1436" s="92" t="s">
        <v>634</v>
      </c>
      <c r="C1436" s="204">
        <f>C1435/Parametros!$B$37</f>
        <v>317.37</v>
      </c>
      <c r="D1436" s="204">
        <f>D1435/Parametros!$B$37</f>
        <v>247.776</v>
      </c>
      <c r="E1436" s="204">
        <f>E1435/Parametros!$B$37</f>
        <v>245.719</v>
      </c>
      <c r="F1436" s="204">
        <f>F1435/Parametros!$B$37</f>
        <v>239.436</v>
      </c>
      <c r="G1436" s="204">
        <f>G1435/Parametros!$B$37</f>
        <v>225.686</v>
      </c>
      <c r="H1436" s="204">
        <f>H1435/Parametros!$B$37</f>
        <v>216.191</v>
      </c>
      <c r="I1436" s="204">
        <f>I1435/Parametros!$B$37</f>
        <v>231.969</v>
      </c>
      <c r="J1436" s="204">
        <f>J1435/Parametros!$B$37</f>
        <v>231.969</v>
      </c>
      <c r="K1436" s="204">
        <f>K1435/Parametros!$B$37</f>
        <v>230.955</v>
      </c>
      <c r="L1436" s="204">
        <f>L1435/Parametros!$B$37</f>
        <v>221.46</v>
      </c>
      <c r="M1436" s="204">
        <f>M1435/Parametros!$B$37</f>
        <v>212.979</v>
      </c>
      <c r="N1436" s="204">
        <f>N1435/Parametros!$B$37</f>
        <v>331.29</v>
      </c>
      <c r="O1436" s="5"/>
      <c r="P1436" s="5"/>
      <c r="Q1436" s="5"/>
      <c r="R1436" s="5"/>
      <c r="S1436" s="5"/>
      <c r="T1436" s="5"/>
      <c r="U1436" s="5"/>
      <c r="V1436" s="5"/>
      <c r="W1436" s="5"/>
      <c r="X1436" s="5"/>
      <c r="Y1436" s="5"/>
      <c r="Z1436" s="5"/>
    </row>
    <row r="1437" ht="12.0" customHeight="1">
      <c r="A1437" s="5"/>
      <c r="B1437" s="92" t="s">
        <v>635</v>
      </c>
      <c r="C1437" s="204">
        <f>C1436/Parametros!$J$37</f>
        <v>42.316</v>
      </c>
      <c r="D1437" s="204">
        <f>D1436/Parametros!$J$37</f>
        <v>33.0368</v>
      </c>
      <c r="E1437" s="204">
        <f>E1436/Parametros!$J$37</f>
        <v>32.76253333</v>
      </c>
      <c r="F1437" s="204">
        <f>F1436/Parametros!$J$37</f>
        <v>31.9248</v>
      </c>
      <c r="G1437" s="204">
        <f>G1436/Parametros!$J$37</f>
        <v>30.09146667</v>
      </c>
      <c r="H1437" s="204">
        <f>H1436/Parametros!$J$37</f>
        <v>28.82546667</v>
      </c>
      <c r="I1437" s="204">
        <f>I1436/Parametros!$J$37</f>
        <v>30.9292</v>
      </c>
      <c r="J1437" s="204">
        <f>J1436/Parametros!$J$37</f>
        <v>30.9292</v>
      </c>
      <c r="K1437" s="204">
        <f>K1436/Parametros!$J$37</f>
        <v>30.794</v>
      </c>
      <c r="L1437" s="204">
        <f>L1436/Parametros!$J$37</f>
        <v>29.528</v>
      </c>
      <c r="M1437" s="204">
        <f>M1436/Parametros!$J$37</f>
        <v>28.3972</v>
      </c>
      <c r="N1437" s="204">
        <f>N1436/Parametros!$J$37</f>
        <v>44.172</v>
      </c>
      <c r="O1437" s="5"/>
      <c r="P1437" s="5"/>
      <c r="Q1437" s="5"/>
      <c r="R1437" s="5"/>
      <c r="S1437" s="5"/>
      <c r="T1437" s="5"/>
      <c r="U1437" s="5"/>
      <c r="V1437" s="5"/>
      <c r="W1437" s="5"/>
      <c r="X1437" s="5"/>
      <c r="Y1437" s="5"/>
      <c r="Z1437" s="5"/>
    </row>
    <row r="1438" ht="12.0" customHeight="1">
      <c r="A1438" s="92" t="s">
        <v>636</v>
      </c>
      <c r="B1438" s="5"/>
      <c r="C1438" s="204">
        <f t="shared" ref="C1438:N1438" si="424">C1437</f>
        <v>42.316</v>
      </c>
      <c r="D1438" s="204">
        <f t="shared" si="424"/>
        <v>33.0368</v>
      </c>
      <c r="E1438" s="204">
        <f t="shared" si="424"/>
        <v>32.76253333</v>
      </c>
      <c r="F1438" s="204">
        <f t="shared" si="424"/>
        <v>31.9248</v>
      </c>
      <c r="G1438" s="204">
        <f t="shared" si="424"/>
        <v>30.09146667</v>
      </c>
      <c r="H1438" s="204">
        <f t="shared" si="424"/>
        <v>28.82546667</v>
      </c>
      <c r="I1438" s="204">
        <f t="shared" si="424"/>
        <v>30.9292</v>
      </c>
      <c r="J1438" s="204">
        <f t="shared" si="424"/>
        <v>30.9292</v>
      </c>
      <c r="K1438" s="204">
        <f t="shared" si="424"/>
        <v>30.794</v>
      </c>
      <c r="L1438" s="204">
        <f t="shared" si="424"/>
        <v>29.528</v>
      </c>
      <c r="M1438" s="204">
        <f t="shared" si="424"/>
        <v>28.3972</v>
      </c>
      <c r="N1438" s="204">
        <f t="shared" si="424"/>
        <v>44.172</v>
      </c>
      <c r="O1438" s="5"/>
      <c r="P1438" s="5"/>
      <c r="Q1438" s="5"/>
      <c r="R1438" s="5"/>
      <c r="S1438" s="5"/>
      <c r="T1438" s="5"/>
      <c r="U1438" s="5"/>
      <c r="V1438" s="5"/>
      <c r="W1438" s="5"/>
      <c r="X1438" s="5"/>
      <c r="Y1438" s="5"/>
      <c r="Z1438" s="5"/>
    </row>
    <row r="1439" ht="12.0" customHeight="1">
      <c r="A1439" s="92" t="s">
        <v>637</v>
      </c>
      <c r="B1439" s="5"/>
      <c r="C1439" s="205">
        <f>'Resumen Capacidad'!$I$127</f>
        <v>41.53846154</v>
      </c>
      <c r="D1439" s="205">
        <f>'Resumen Capacidad'!$I$127</f>
        <v>41.53846154</v>
      </c>
      <c r="E1439" s="205">
        <f>'Resumen Capacidad'!$I$127</f>
        <v>41.53846154</v>
      </c>
      <c r="F1439" s="205">
        <f>'Resumen Capacidad'!$I$127</f>
        <v>41.53846154</v>
      </c>
      <c r="G1439" s="205">
        <f>'Resumen Capacidad'!$I$127</f>
        <v>41.53846154</v>
      </c>
      <c r="H1439" s="205">
        <f>'Resumen Capacidad'!$I$127</f>
        <v>41.53846154</v>
      </c>
      <c r="I1439" s="205">
        <f>'Resumen Capacidad'!$I$127</f>
        <v>41.53846154</v>
      </c>
      <c r="J1439" s="205">
        <f>'Resumen Capacidad'!$I$127</f>
        <v>41.53846154</v>
      </c>
      <c r="K1439" s="205">
        <f>'Resumen Capacidad'!$I$127</f>
        <v>41.53846154</v>
      </c>
      <c r="L1439" s="205">
        <f>'Resumen Capacidad'!$I$127</f>
        <v>41.53846154</v>
      </c>
      <c r="M1439" s="205">
        <f>'Resumen Capacidad'!$I$127</f>
        <v>41.53846154</v>
      </c>
      <c r="N1439" s="205">
        <f>'Resumen Capacidad'!$I$127</f>
        <v>41.53846154</v>
      </c>
      <c r="O1439" s="5"/>
      <c r="P1439" s="5"/>
      <c r="Q1439" s="5"/>
      <c r="R1439" s="5"/>
      <c r="S1439" s="5"/>
      <c r="T1439" s="5"/>
      <c r="U1439" s="5"/>
      <c r="V1439" s="5"/>
      <c r="W1439" s="5"/>
      <c r="X1439" s="5"/>
      <c r="Y1439" s="5"/>
      <c r="Z1439" s="5"/>
    </row>
    <row r="1440" ht="12.0" customHeight="1">
      <c r="A1440" s="92" t="s">
        <v>640</v>
      </c>
      <c r="B1440" s="5"/>
      <c r="C1440" s="204">
        <f>'Resumen Capacidad'!$I$45*'Resumen Capacidad'!$I$81</f>
        <v>2</v>
      </c>
      <c r="D1440" s="204">
        <f>'Resumen Capacidad'!$I$45*'Resumen Capacidad'!$I$81</f>
        <v>2</v>
      </c>
      <c r="E1440" s="204">
        <f>'Resumen Capacidad'!$I$45*'Resumen Capacidad'!$I$81</f>
        <v>2</v>
      </c>
      <c r="F1440" s="204">
        <f>'Resumen Capacidad'!$I$45*'Resumen Capacidad'!$I$81</f>
        <v>2</v>
      </c>
      <c r="G1440" s="204">
        <f>'Resumen Capacidad'!$I$45*'Resumen Capacidad'!$I$81</f>
        <v>2</v>
      </c>
      <c r="H1440" s="204">
        <f>'Resumen Capacidad'!$I$45*'Resumen Capacidad'!$I$81</f>
        <v>2</v>
      </c>
      <c r="I1440" s="204">
        <f>'Resumen Capacidad'!$I$45*'Resumen Capacidad'!$I$81</f>
        <v>2</v>
      </c>
      <c r="J1440" s="204">
        <f>'Resumen Capacidad'!$I$45*'Resumen Capacidad'!$I$81</f>
        <v>2</v>
      </c>
      <c r="K1440" s="204">
        <f>'Resumen Capacidad'!$I$45*'Resumen Capacidad'!$I$81</f>
        <v>2</v>
      </c>
      <c r="L1440" s="204">
        <f>'Resumen Capacidad'!$I$45*'Resumen Capacidad'!$I$81</f>
        <v>2</v>
      </c>
      <c r="M1440" s="204">
        <f>'Resumen Capacidad'!$I$45*'Resumen Capacidad'!$I$81</f>
        <v>2</v>
      </c>
      <c r="N1440" s="204">
        <f>'Resumen Capacidad'!$I$45*'Resumen Capacidad'!$I$81</f>
        <v>2</v>
      </c>
      <c r="O1440" s="5"/>
      <c r="P1440" s="5"/>
      <c r="Q1440" s="5"/>
      <c r="R1440" s="5"/>
      <c r="S1440" s="5"/>
      <c r="T1440" s="5"/>
      <c r="U1440" s="5"/>
      <c r="V1440" s="5"/>
      <c r="W1440" s="5"/>
      <c r="X1440" s="5"/>
      <c r="Y1440" s="5"/>
      <c r="Z1440" s="5"/>
    </row>
    <row r="1441" ht="12.0" customHeight="1">
      <c r="A1441" s="92" t="s">
        <v>642</v>
      </c>
      <c r="B1441" s="5"/>
      <c r="C1441" s="204">
        <f t="shared" ref="C1441:N1441" si="425">C1439*C1440</f>
        <v>83.07692308</v>
      </c>
      <c r="D1441" s="204">
        <f t="shared" si="425"/>
        <v>83.07692308</v>
      </c>
      <c r="E1441" s="204">
        <f t="shared" si="425"/>
        <v>83.07692308</v>
      </c>
      <c r="F1441" s="204">
        <f t="shared" si="425"/>
        <v>83.07692308</v>
      </c>
      <c r="G1441" s="204">
        <f t="shared" si="425"/>
        <v>83.07692308</v>
      </c>
      <c r="H1441" s="204">
        <f t="shared" si="425"/>
        <v>83.07692308</v>
      </c>
      <c r="I1441" s="204">
        <f t="shared" si="425"/>
        <v>83.07692308</v>
      </c>
      <c r="J1441" s="204">
        <f t="shared" si="425"/>
        <v>83.07692308</v>
      </c>
      <c r="K1441" s="204">
        <f t="shared" si="425"/>
        <v>83.07692308</v>
      </c>
      <c r="L1441" s="204">
        <f t="shared" si="425"/>
        <v>83.07692308</v>
      </c>
      <c r="M1441" s="204">
        <f t="shared" si="425"/>
        <v>83.07692308</v>
      </c>
      <c r="N1441" s="204">
        <f t="shared" si="425"/>
        <v>83.07692308</v>
      </c>
      <c r="O1441" s="5"/>
      <c r="P1441" s="5"/>
      <c r="Q1441" s="5"/>
      <c r="R1441" s="5"/>
      <c r="S1441" s="5"/>
      <c r="T1441" s="5"/>
      <c r="U1441" s="5"/>
      <c r="V1441" s="5"/>
      <c r="W1441" s="5"/>
      <c r="X1441" s="5"/>
      <c r="Y1441" s="5"/>
      <c r="Z1441" s="5"/>
    </row>
    <row r="1442" ht="12.0" customHeight="1">
      <c r="A1442" s="92" t="s">
        <v>643</v>
      </c>
      <c r="B1442" s="5"/>
      <c r="C1442" s="206">
        <f t="shared" ref="C1442:N1442" si="426">IF(C1441=0,0,C1438/C1441)</f>
        <v>0.5093592593</v>
      </c>
      <c r="D1442" s="206">
        <f t="shared" si="426"/>
        <v>0.3976651852</v>
      </c>
      <c r="E1442" s="206">
        <f t="shared" si="426"/>
        <v>0.3943638272</v>
      </c>
      <c r="F1442" s="206">
        <f t="shared" si="426"/>
        <v>0.38428</v>
      </c>
      <c r="G1442" s="206">
        <f t="shared" si="426"/>
        <v>0.3622120988</v>
      </c>
      <c r="H1442" s="206">
        <f t="shared" si="426"/>
        <v>0.3469732099</v>
      </c>
      <c r="I1442" s="206">
        <f t="shared" si="426"/>
        <v>0.3722959259</v>
      </c>
      <c r="J1442" s="206">
        <f t="shared" si="426"/>
        <v>0.3722959259</v>
      </c>
      <c r="K1442" s="206">
        <f t="shared" si="426"/>
        <v>0.3706685185</v>
      </c>
      <c r="L1442" s="206">
        <f t="shared" si="426"/>
        <v>0.3554296296</v>
      </c>
      <c r="M1442" s="206">
        <f t="shared" si="426"/>
        <v>0.3418181481</v>
      </c>
      <c r="N1442" s="206">
        <f t="shared" si="426"/>
        <v>0.5317</v>
      </c>
      <c r="O1442" s="5"/>
      <c r="P1442" s="5"/>
      <c r="Q1442" s="5"/>
      <c r="R1442" s="5"/>
      <c r="S1442" s="5"/>
      <c r="T1442" s="5"/>
      <c r="U1442" s="5"/>
      <c r="V1442" s="5"/>
      <c r="W1442" s="5"/>
      <c r="X1442" s="5"/>
      <c r="Y1442" s="5"/>
      <c r="Z1442" s="5"/>
    </row>
    <row r="1443" ht="12.0" customHeight="1">
      <c r="A1443" s="201" t="s">
        <v>698</v>
      </c>
      <c r="B1443" s="202"/>
      <c r="C1443" s="202"/>
      <c r="D1443" s="202"/>
      <c r="E1443" s="202"/>
      <c r="F1443" s="202"/>
      <c r="G1443" s="202"/>
      <c r="H1443" s="202"/>
      <c r="I1443" s="202"/>
      <c r="J1443" s="202"/>
      <c r="K1443" s="202"/>
      <c r="L1443" s="202"/>
      <c r="M1443" s="202"/>
      <c r="N1443" s="202"/>
      <c r="O1443" s="5"/>
      <c r="P1443" s="5"/>
      <c r="Q1443" s="5"/>
      <c r="R1443" s="5"/>
      <c r="S1443" s="5"/>
      <c r="T1443" s="5"/>
      <c r="U1443" s="5"/>
      <c r="V1443" s="5"/>
      <c r="W1443" s="5"/>
      <c r="X1443" s="5"/>
      <c r="Y1443" s="5"/>
      <c r="Z1443" s="5"/>
    </row>
    <row r="1444" ht="12.0" customHeight="1">
      <c r="A1444" s="201" t="s">
        <v>630</v>
      </c>
      <c r="B1444" s="201" t="s">
        <v>631</v>
      </c>
      <c r="C1444" s="201" t="s">
        <v>3</v>
      </c>
      <c r="D1444" s="201" t="s">
        <v>4</v>
      </c>
      <c r="E1444" s="201" t="s">
        <v>5</v>
      </c>
      <c r="F1444" s="201" t="s">
        <v>6</v>
      </c>
      <c r="G1444" s="201" t="s">
        <v>7</v>
      </c>
      <c r="H1444" s="201" t="s">
        <v>8</v>
      </c>
      <c r="I1444" s="201" t="s">
        <v>9</v>
      </c>
      <c r="J1444" s="201" t="s">
        <v>10</v>
      </c>
      <c r="K1444" s="201" t="s">
        <v>11</v>
      </c>
      <c r="L1444" s="201" t="s">
        <v>12</v>
      </c>
      <c r="M1444" s="201" t="s">
        <v>13</v>
      </c>
      <c r="N1444" s="201" t="s">
        <v>14</v>
      </c>
      <c r="O1444" s="5"/>
      <c r="P1444" s="5"/>
      <c r="Q1444" s="5"/>
      <c r="R1444" s="5"/>
      <c r="S1444" s="5"/>
      <c r="T1444" s="5"/>
      <c r="U1444" s="5"/>
      <c r="V1444" s="5"/>
      <c r="W1444" s="5"/>
      <c r="X1444" s="5"/>
      <c r="Y1444" s="5"/>
      <c r="Z1444" s="5"/>
    </row>
    <row r="1445" ht="12.0" customHeight="1">
      <c r="A1445" s="92" t="s">
        <v>694</v>
      </c>
      <c r="B1445" s="92" t="s">
        <v>633</v>
      </c>
      <c r="C1445" s="203">
        <f>SUM('2033'!B6:B9)+Parametros!$B$72*C2694</f>
        <v>6347.4</v>
      </c>
      <c r="D1445" s="203">
        <f>SUM('2033'!C6:C9)+Parametros!$B$72*D2694</f>
        <v>4955.52</v>
      </c>
      <c r="E1445" s="203">
        <f>SUM('2033'!D6:D9)+Parametros!$B$72*E2694</f>
        <v>4914.38</v>
      </c>
      <c r="F1445" s="203">
        <f>SUM('2033'!E6:E9)+Parametros!$B$72*F2694</f>
        <v>4788.72</v>
      </c>
      <c r="G1445" s="203">
        <f>SUM('2033'!F6:F9)+Parametros!$B$72*G2694</f>
        <v>4513.72</v>
      </c>
      <c r="H1445" s="203">
        <f>SUM('2033'!G6:G9)+Parametros!$B$72*H2694</f>
        <v>4323.82</v>
      </c>
      <c r="I1445" s="203">
        <f>SUM('2033'!H6:H9)+Parametros!$B$72*I2694</f>
        <v>4639.38</v>
      </c>
      <c r="J1445" s="203">
        <f>SUM('2033'!I6:I9)+Parametros!$B$72*J2694</f>
        <v>4639.38</v>
      </c>
      <c r="K1445" s="203">
        <f>SUM('2033'!J6:J9)+Parametros!$B$72*K2694</f>
        <v>4619.1</v>
      </c>
      <c r="L1445" s="203">
        <f>SUM('2033'!K6:K9)+Parametros!$B$72*L2694</f>
        <v>4429.2</v>
      </c>
      <c r="M1445" s="203">
        <f>SUM('2033'!L6:L9)+Parametros!$B$72*M2694</f>
        <v>4259.58</v>
      </c>
      <c r="N1445" s="203">
        <f>SUM('2033'!M6:M9)+Parametros!$B$72*N2694</f>
        <v>6625.8</v>
      </c>
      <c r="O1445" s="5"/>
      <c r="P1445" s="5"/>
      <c r="Q1445" s="5"/>
      <c r="R1445" s="5"/>
      <c r="S1445" s="5"/>
      <c r="T1445" s="5"/>
      <c r="U1445" s="5"/>
      <c r="V1445" s="5"/>
      <c r="W1445" s="5"/>
      <c r="X1445" s="5"/>
      <c r="Y1445" s="5"/>
      <c r="Z1445" s="5"/>
    </row>
    <row r="1446" ht="12.0" customHeight="1">
      <c r="A1446" s="5"/>
      <c r="B1446" s="92" t="s">
        <v>634</v>
      </c>
      <c r="C1446" s="204">
        <f>C1445/Parametros!$B$37</f>
        <v>317.37</v>
      </c>
      <c r="D1446" s="204">
        <f>D1445/Parametros!$B$37</f>
        <v>247.776</v>
      </c>
      <c r="E1446" s="204">
        <f>E1445/Parametros!$B$37</f>
        <v>245.719</v>
      </c>
      <c r="F1446" s="204">
        <f>F1445/Parametros!$B$37</f>
        <v>239.436</v>
      </c>
      <c r="G1446" s="204">
        <f>G1445/Parametros!$B$37</f>
        <v>225.686</v>
      </c>
      <c r="H1446" s="204">
        <f>H1445/Parametros!$B$37</f>
        <v>216.191</v>
      </c>
      <c r="I1446" s="204">
        <f>I1445/Parametros!$B$37</f>
        <v>231.969</v>
      </c>
      <c r="J1446" s="204">
        <f>J1445/Parametros!$B$37</f>
        <v>231.969</v>
      </c>
      <c r="K1446" s="204">
        <f>K1445/Parametros!$B$37</f>
        <v>230.955</v>
      </c>
      <c r="L1446" s="204">
        <f>L1445/Parametros!$B$37</f>
        <v>221.46</v>
      </c>
      <c r="M1446" s="204">
        <f>M1445/Parametros!$B$37</f>
        <v>212.979</v>
      </c>
      <c r="N1446" s="204">
        <f>N1445/Parametros!$B$37</f>
        <v>331.29</v>
      </c>
      <c r="O1446" s="5"/>
      <c r="P1446" s="5"/>
      <c r="Q1446" s="5"/>
      <c r="R1446" s="5"/>
      <c r="S1446" s="5"/>
      <c r="T1446" s="5"/>
      <c r="U1446" s="5"/>
      <c r="V1446" s="5"/>
      <c r="W1446" s="5"/>
      <c r="X1446" s="5"/>
      <c r="Y1446" s="5"/>
      <c r="Z1446" s="5"/>
    </row>
    <row r="1447" ht="12.0" customHeight="1">
      <c r="A1447" s="5"/>
      <c r="B1447" s="92" t="s">
        <v>635</v>
      </c>
      <c r="C1447" s="204">
        <f>C1446/Parametros!$J$37</f>
        <v>42.316</v>
      </c>
      <c r="D1447" s="204">
        <f>D1446/Parametros!$J$37</f>
        <v>33.0368</v>
      </c>
      <c r="E1447" s="204">
        <f>E1446/Parametros!$J$37</f>
        <v>32.76253333</v>
      </c>
      <c r="F1447" s="204">
        <f>F1446/Parametros!$J$37</f>
        <v>31.9248</v>
      </c>
      <c r="G1447" s="204">
        <f>G1446/Parametros!$J$37</f>
        <v>30.09146667</v>
      </c>
      <c r="H1447" s="204">
        <f>H1446/Parametros!$J$37</f>
        <v>28.82546667</v>
      </c>
      <c r="I1447" s="204">
        <f>I1446/Parametros!$J$37</f>
        <v>30.9292</v>
      </c>
      <c r="J1447" s="204">
        <f>J1446/Parametros!$J$37</f>
        <v>30.9292</v>
      </c>
      <c r="K1447" s="204">
        <f>K1446/Parametros!$J$37</f>
        <v>30.794</v>
      </c>
      <c r="L1447" s="204">
        <f>L1446/Parametros!$J$37</f>
        <v>29.528</v>
      </c>
      <c r="M1447" s="204">
        <f>M1446/Parametros!$J$37</f>
        <v>28.3972</v>
      </c>
      <c r="N1447" s="204">
        <f>N1446/Parametros!$J$37</f>
        <v>44.172</v>
      </c>
      <c r="O1447" s="5"/>
      <c r="P1447" s="5"/>
      <c r="Q1447" s="5"/>
      <c r="R1447" s="5"/>
      <c r="S1447" s="5"/>
      <c r="T1447" s="5"/>
      <c r="U1447" s="5"/>
      <c r="V1447" s="5"/>
      <c r="W1447" s="5"/>
      <c r="X1447" s="5"/>
      <c r="Y1447" s="5"/>
      <c r="Z1447" s="5"/>
    </row>
    <row r="1448" ht="12.0" customHeight="1">
      <c r="A1448" s="92" t="s">
        <v>636</v>
      </c>
      <c r="B1448" s="5"/>
      <c r="C1448" s="204">
        <f t="shared" ref="C1448:N1448" si="427">C1447</f>
        <v>42.316</v>
      </c>
      <c r="D1448" s="204">
        <f t="shared" si="427"/>
        <v>33.0368</v>
      </c>
      <c r="E1448" s="204">
        <f t="shared" si="427"/>
        <v>32.76253333</v>
      </c>
      <c r="F1448" s="204">
        <f t="shared" si="427"/>
        <v>31.9248</v>
      </c>
      <c r="G1448" s="204">
        <f t="shared" si="427"/>
        <v>30.09146667</v>
      </c>
      <c r="H1448" s="204">
        <f t="shared" si="427"/>
        <v>28.82546667</v>
      </c>
      <c r="I1448" s="204">
        <f t="shared" si="427"/>
        <v>30.9292</v>
      </c>
      <c r="J1448" s="204">
        <f t="shared" si="427"/>
        <v>30.9292</v>
      </c>
      <c r="K1448" s="204">
        <f t="shared" si="427"/>
        <v>30.794</v>
      </c>
      <c r="L1448" s="204">
        <f t="shared" si="427"/>
        <v>29.528</v>
      </c>
      <c r="M1448" s="204">
        <f t="shared" si="427"/>
        <v>28.3972</v>
      </c>
      <c r="N1448" s="204">
        <f t="shared" si="427"/>
        <v>44.172</v>
      </c>
      <c r="O1448" s="5"/>
      <c r="P1448" s="5"/>
      <c r="Q1448" s="5"/>
      <c r="R1448" s="5"/>
      <c r="S1448" s="5"/>
      <c r="T1448" s="5"/>
      <c r="U1448" s="5"/>
      <c r="V1448" s="5"/>
      <c r="W1448" s="5"/>
      <c r="X1448" s="5"/>
      <c r="Y1448" s="5"/>
      <c r="Z1448" s="5"/>
    </row>
    <row r="1449" ht="12.0" customHeight="1">
      <c r="A1449" s="92" t="s">
        <v>637</v>
      </c>
      <c r="B1449" s="5"/>
      <c r="C1449" s="205">
        <f>'Resumen Capacidad'!$I$128</f>
        <v>45.81818182</v>
      </c>
      <c r="D1449" s="205">
        <f>'Resumen Capacidad'!$I$128</f>
        <v>45.81818182</v>
      </c>
      <c r="E1449" s="205">
        <f>'Resumen Capacidad'!$I$128</f>
        <v>45.81818182</v>
      </c>
      <c r="F1449" s="205">
        <f>'Resumen Capacidad'!$I$128</f>
        <v>45.81818182</v>
      </c>
      <c r="G1449" s="205">
        <f>'Resumen Capacidad'!$I$128</f>
        <v>45.81818182</v>
      </c>
      <c r="H1449" s="205">
        <f>'Resumen Capacidad'!$I$128</f>
        <v>45.81818182</v>
      </c>
      <c r="I1449" s="205">
        <f>'Resumen Capacidad'!$I$128</f>
        <v>45.81818182</v>
      </c>
      <c r="J1449" s="205">
        <f>'Resumen Capacidad'!$I$128</f>
        <v>45.81818182</v>
      </c>
      <c r="K1449" s="205">
        <f>'Resumen Capacidad'!$I$128</f>
        <v>45.81818182</v>
      </c>
      <c r="L1449" s="205">
        <f>'Resumen Capacidad'!$I$128</f>
        <v>45.81818182</v>
      </c>
      <c r="M1449" s="205">
        <f>'Resumen Capacidad'!$I$128</f>
        <v>45.81818182</v>
      </c>
      <c r="N1449" s="205">
        <f>'Resumen Capacidad'!$I$128</f>
        <v>45.81818182</v>
      </c>
      <c r="O1449" s="5"/>
      <c r="P1449" s="5"/>
      <c r="Q1449" s="5"/>
      <c r="R1449" s="5"/>
      <c r="S1449" s="5"/>
      <c r="T1449" s="5"/>
      <c r="U1449" s="5"/>
      <c r="V1449" s="5"/>
      <c r="W1449" s="5"/>
      <c r="X1449" s="5"/>
      <c r="Y1449" s="5"/>
      <c r="Z1449" s="5"/>
    </row>
    <row r="1450" ht="12.0" customHeight="1">
      <c r="A1450" s="92" t="s">
        <v>640</v>
      </c>
      <c r="B1450" s="5"/>
      <c r="C1450" s="204">
        <f>'Resumen Capacidad'!$I$46*'Resumen Capacidad'!$I$82</f>
        <v>2</v>
      </c>
      <c r="D1450" s="204">
        <f>'Resumen Capacidad'!$I$46*'Resumen Capacidad'!$I$82</f>
        <v>2</v>
      </c>
      <c r="E1450" s="204">
        <f>'Resumen Capacidad'!$I$46*'Resumen Capacidad'!$I$82</f>
        <v>2</v>
      </c>
      <c r="F1450" s="204">
        <f>'Resumen Capacidad'!$I$46*'Resumen Capacidad'!$I$82</f>
        <v>2</v>
      </c>
      <c r="G1450" s="204">
        <f>'Resumen Capacidad'!$I$46*'Resumen Capacidad'!$I$82</f>
        <v>2</v>
      </c>
      <c r="H1450" s="204">
        <f>'Resumen Capacidad'!$I$46*'Resumen Capacidad'!$I$82</f>
        <v>2</v>
      </c>
      <c r="I1450" s="204">
        <f>'Resumen Capacidad'!$I$46*'Resumen Capacidad'!$I$82</f>
        <v>2</v>
      </c>
      <c r="J1450" s="204">
        <f>'Resumen Capacidad'!$I$46*'Resumen Capacidad'!$I$82</f>
        <v>2</v>
      </c>
      <c r="K1450" s="204">
        <f>'Resumen Capacidad'!$I$46*'Resumen Capacidad'!$I$82</f>
        <v>2</v>
      </c>
      <c r="L1450" s="204">
        <f>'Resumen Capacidad'!$I$46*'Resumen Capacidad'!$I$82</f>
        <v>2</v>
      </c>
      <c r="M1450" s="204">
        <f>'Resumen Capacidad'!$I$46*'Resumen Capacidad'!$I$82</f>
        <v>2</v>
      </c>
      <c r="N1450" s="204">
        <f>'Resumen Capacidad'!$I$46*'Resumen Capacidad'!$I$82</f>
        <v>2</v>
      </c>
      <c r="O1450" s="5"/>
      <c r="P1450" s="5"/>
      <c r="Q1450" s="5"/>
      <c r="R1450" s="5"/>
      <c r="S1450" s="5"/>
      <c r="T1450" s="5"/>
      <c r="U1450" s="5"/>
      <c r="V1450" s="5"/>
      <c r="W1450" s="5"/>
      <c r="X1450" s="5"/>
      <c r="Y1450" s="5"/>
      <c r="Z1450" s="5"/>
    </row>
    <row r="1451" ht="12.0" customHeight="1">
      <c r="A1451" s="92" t="s">
        <v>642</v>
      </c>
      <c r="B1451" s="5"/>
      <c r="C1451" s="204">
        <f t="shared" ref="C1451:N1451" si="428">C1449*C1450</f>
        <v>91.63636364</v>
      </c>
      <c r="D1451" s="204">
        <f t="shared" si="428"/>
        <v>91.63636364</v>
      </c>
      <c r="E1451" s="204">
        <f t="shared" si="428"/>
        <v>91.63636364</v>
      </c>
      <c r="F1451" s="204">
        <f t="shared" si="428"/>
        <v>91.63636364</v>
      </c>
      <c r="G1451" s="204">
        <f t="shared" si="428"/>
        <v>91.63636364</v>
      </c>
      <c r="H1451" s="204">
        <f t="shared" si="428"/>
        <v>91.63636364</v>
      </c>
      <c r="I1451" s="204">
        <f t="shared" si="428"/>
        <v>91.63636364</v>
      </c>
      <c r="J1451" s="204">
        <f t="shared" si="428"/>
        <v>91.63636364</v>
      </c>
      <c r="K1451" s="204">
        <f t="shared" si="428"/>
        <v>91.63636364</v>
      </c>
      <c r="L1451" s="204">
        <f t="shared" si="428"/>
        <v>91.63636364</v>
      </c>
      <c r="M1451" s="204">
        <f t="shared" si="428"/>
        <v>91.63636364</v>
      </c>
      <c r="N1451" s="204">
        <f t="shared" si="428"/>
        <v>91.63636364</v>
      </c>
      <c r="O1451" s="5"/>
      <c r="P1451" s="5"/>
      <c r="Q1451" s="5"/>
      <c r="R1451" s="5"/>
      <c r="S1451" s="5"/>
      <c r="T1451" s="5"/>
      <c r="U1451" s="5"/>
      <c r="V1451" s="5"/>
      <c r="W1451" s="5"/>
      <c r="X1451" s="5"/>
      <c r="Y1451" s="5"/>
      <c r="Z1451" s="5"/>
    </row>
    <row r="1452" ht="12.0" customHeight="1">
      <c r="A1452" s="92" t="s">
        <v>643</v>
      </c>
      <c r="B1452" s="5"/>
      <c r="C1452" s="206">
        <f t="shared" ref="C1452:N1452" si="429">IF(C1451=0,0,C1448/C1451)</f>
        <v>0.461781746</v>
      </c>
      <c r="D1452" s="206">
        <f t="shared" si="429"/>
        <v>0.3605206349</v>
      </c>
      <c r="E1452" s="206">
        <f t="shared" si="429"/>
        <v>0.3575276455</v>
      </c>
      <c r="F1452" s="206">
        <f t="shared" si="429"/>
        <v>0.3483857143</v>
      </c>
      <c r="G1452" s="206">
        <f t="shared" si="429"/>
        <v>0.3283791005</v>
      </c>
      <c r="H1452" s="206">
        <f t="shared" si="429"/>
        <v>0.3145636243</v>
      </c>
      <c r="I1452" s="206">
        <f t="shared" si="429"/>
        <v>0.3375210317</v>
      </c>
      <c r="J1452" s="206">
        <f t="shared" si="429"/>
        <v>0.3375210317</v>
      </c>
      <c r="K1452" s="206">
        <f t="shared" si="429"/>
        <v>0.3360456349</v>
      </c>
      <c r="L1452" s="206">
        <f t="shared" si="429"/>
        <v>0.3222301587</v>
      </c>
      <c r="M1452" s="206">
        <f t="shared" si="429"/>
        <v>0.3098900794</v>
      </c>
      <c r="N1452" s="206">
        <f t="shared" si="429"/>
        <v>0.4820357143</v>
      </c>
      <c r="O1452" s="5"/>
      <c r="P1452" s="5"/>
      <c r="Q1452" s="5"/>
      <c r="R1452" s="5"/>
      <c r="S1452" s="5"/>
      <c r="T1452" s="5"/>
      <c r="U1452" s="5"/>
      <c r="V1452" s="5"/>
      <c r="W1452" s="5"/>
      <c r="X1452" s="5"/>
      <c r="Y1452" s="5"/>
      <c r="Z1452" s="5"/>
    </row>
    <row r="1453" ht="12.0" customHeight="1">
      <c r="A1453" s="201" t="s">
        <v>699</v>
      </c>
      <c r="B1453" s="202"/>
      <c r="C1453" s="202"/>
      <c r="D1453" s="202"/>
      <c r="E1453" s="202"/>
      <c r="F1453" s="202"/>
      <c r="G1453" s="202"/>
      <c r="H1453" s="202"/>
      <c r="I1453" s="202"/>
      <c r="J1453" s="202"/>
      <c r="K1453" s="202"/>
      <c r="L1453" s="202"/>
      <c r="M1453" s="202"/>
      <c r="N1453" s="202"/>
      <c r="O1453" s="5"/>
      <c r="P1453" s="5"/>
      <c r="Q1453" s="5"/>
      <c r="R1453" s="5"/>
      <c r="S1453" s="5"/>
      <c r="T1453" s="5"/>
      <c r="U1453" s="5"/>
      <c r="V1453" s="5"/>
      <c r="W1453" s="5"/>
      <c r="X1453" s="5"/>
      <c r="Y1453" s="5"/>
      <c r="Z1453" s="5"/>
    </row>
    <row r="1454" ht="12.0" customHeight="1">
      <c r="A1454" s="201" t="s">
        <v>630</v>
      </c>
      <c r="B1454" s="201" t="s">
        <v>631</v>
      </c>
      <c r="C1454" s="201" t="s">
        <v>3</v>
      </c>
      <c r="D1454" s="201" t="s">
        <v>4</v>
      </c>
      <c r="E1454" s="201" t="s">
        <v>5</v>
      </c>
      <c r="F1454" s="201" t="s">
        <v>6</v>
      </c>
      <c r="G1454" s="201" t="s">
        <v>7</v>
      </c>
      <c r="H1454" s="201" t="s">
        <v>8</v>
      </c>
      <c r="I1454" s="201" t="s">
        <v>9</v>
      </c>
      <c r="J1454" s="201" t="s">
        <v>10</v>
      </c>
      <c r="K1454" s="201" t="s">
        <v>11</v>
      </c>
      <c r="L1454" s="201" t="s">
        <v>12</v>
      </c>
      <c r="M1454" s="201" t="s">
        <v>13</v>
      </c>
      <c r="N1454" s="201" t="s">
        <v>14</v>
      </c>
      <c r="O1454" s="5"/>
      <c r="P1454" s="5"/>
      <c r="Q1454" s="5"/>
      <c r="R1454" s="5"/>
      <c r="S1454" s="5"/>
      <c r="T1454" s="5"/>
      <c r="U1454" s="5"/>
      <c r="V1454" s="5"/>
      <c r="W1454" s="5"/>
      <c r="X1454" s="5"/>
      <c r="Y1454" s="5"/>
      <c r="Z1454" s="5"/>
    </row>
    <row r="1455" ht="12.0" customHeight="1">
      <c r="A1455" s="92" t="s">
        <v>632</v>
      </c>
      <c r="B1455" s="92" t="s">
        <v>633</v>
      </c>
      <c r="C1455" s="203">
        <f>SUM('2033'!B6:B9)+SUM('2033'!B17:B20)</f>
        <v>24917.86</v>
      </c>
      <c r="D1455" s="203">
        <f>SUM('2033'!C6:C9)+SUM('2033'!C17:C20)</f>
        <v>18997.49</v>
      </c>
      <c r="E1455" s="203">
        <f>SUM('2033'!D6:D9)+SUM('2033'!D17:D20)</f>
        <v>17745.255</v>
      </c>
      <c r="F1455" s="203">
        <f>SUM('2033'!E6:E9)+SUM('2033'!E17:E20)</f>
        <v>16964.59</v>
      </c>
      <c r="G1455" s="203">
        <f>SUM('2033'!F6:F9)+SUM('2033'!F17:F20)</f>
        <v>15874.83</v>
      </c>
      <c r="H1455" s="203">
        <f>SUM('2033'!G6:G9)+SUM('2033'!G17:G20)</f>
        <v>15565.735</v>
      </c>
      <c r="I1455" s="203">
        <f>SUM('2033'!H6:H9)+SUM('2033'!H17:H20)</f>
        <v>16655.495</v>
      </c>
      <c r="J1455" s="203">
        <f>SUM('2033'!I6:I9)+SUM('2033'!I17:I20)</f>
        <v>16655.495</v>
      </c>
      <c r="K1455" s="203">
        <f>SUM('2033'!J6:J9)+SUM('2033'!J17:J20)</f>
        <v>16655.495</v>
      </c>
      <c r="L1455" s="203">
        <f>SUM('2033'!K6:K9)+SUM('2033'!K17:K20)</f>
        <v>16346.4</v>
      </c>
      <c r="M1455" s="203">
        <f>SUM('2033'!L6:L9)+SUM('2033'!L17:L20)</f>
        <v>16037.305</v>
      </c>
      <c r="N1455" s="203">
        <f>SUM('2033'!M6:M9)+SUM('2033'!M17:M20)</f>
        <v>25536.05</v>
      </c>
      <c r="O1455" s="5"/>
      <c r="P1455" s="5"/>
      <c r="Q1455" s="5"/>
      <c r="R1455" s="5"/>
      <c r="S1455" s="5"/>
      <c r="T1455" s="5"/>
      <c r="U1455" s="5"/>
      <c r="V1455" s="5"/>
      <c r="W1455" s="5"/>
      <c r="X1455" s="5"/>
      <c r="Y1455" s="5"/>
      <c r="Z1455" s="5"/>
    </row>
    <row r="1456" ht="12.0" customHeight="1">
      <c r="A1456" s="5"/>
      <c r="B1456" s="92" t="s">
        <v>634</v>
      </c>
      <c r="C1456" s="204">
        <f>C1455/Parametros!$B$37</f>
        <v>1245.893</v>
      </c>
      <c r="D1456" s="204">
        <f>D1455/Parametros!$B$37</f>
        <v>949.8745</v>
      </c>
      <c r="E1456" s="204">
        <f>E1455/Parametros!$B$37</f>
        <v>887.26275</v>
      </c>
      <c r="F1456" s="204">
        <f>F1455/Parametros!$B$37</f>
        <v>848.2295</v>
      </c>
      <c r="G1456" s="204">
        <f>G1455/Parametros!$B$37</f>
        <v>793.7415</v>
      </c>
      <c r="H1456" s="204">
        <f>H1455/Parametros!$B$37</f>
        <v>778.28675</v>
      </c>
      <c r="I1456" s="204">
        <f>I1455/Parametros!$B$37</f>
        <v>832.77475</v>
      </c>
      <c r="J1456" s="204">
        <f>J1455/Parametros!$B$37</f>
        <v>832.77475</v>
      </c>
      <c r="K1456" s="204">
        <f>K1455/Parametros!$B$37</f>
        <v>832.77475</v>
      </c>
      <c r="L1456" s="204">
        <f>L1455/Parametros!$B$37</f>
        <v>817.32</v>
      </c>
      <c r="M1456" s="204">
        <f>M1455/Parametros!$B$37</f>
        <v>801.86525</v>
      </c>
      <c r="N1456" s="204">
        <f>N1455/Parametros!$B$37</f>
        <v>1276.8025</v>
      </c>
      <c r="O1456" s="5"/>
      <c r="P1456" s="5"/>
      <c r="Q1456" s="5"/>
      <c r="R1456" s="5"/>
      <c r="S1456" s="5"/>
      <c r="T1456" s="5"/>
      <c r="U1456" s="5"/>
      <c r="V1456" s="5"/>
      <c r="W1456" s="5"/>
      <c r="X1456" s="5"/>
      <c r="Y1456" s="5"/>
      <c r="Z1456" s="5"/>
    </row>
    <row r="1457" ht="12.0" customHeight="1">
      <c r="A1457" s="5"/>
      <c r="B1457" s="92" t="s">
        <v>635</v>
      </c>
      <c r="C1457" s="204">
        <f>C1456/Parametros!$J$37</f>
        <v>166.1190667</v>
      </c>
      <c r="D1457" s="204">
        <f>D1456/Parametros!$J$37</f>
        <v>126.6499333</v>
      </c>
      <c r="E1457" s="204">
        <f>E1456/Parametros!$J$37</f>
        <v>118.3017</v>
      </c>
      <c r="F1457" s="204">
        <f>F1456/Parametros!$J$37</f>
        <v>113.0972667</v>
      </c>
      <c r="G1457" s="204">
        <f>G1456/Parametros!$J$37</f>
        <v>105.8322</v>
      </c>
      <c r="H1457" s="204">
        <f>H1456/Parametros!$J$37</f>
        <v>103.7715667</v>
      </c>
      <c r="I1457" s="204">
        <f>I1456/Parametros!$J$37</f>
        <v>111.0366333</v>
      </c>
      <c r="J1457" s="204">
        <f>J1456/Parametros!$J$37</f>
        <v>111.0366333</v>
      </c>
      <c r="K1457" s="204">
        <f>K1456/Parametros!$J$37</f>
        <v>111.0366333</v>
      </c>
      <c r="L1457" s="204">
        <f>L1456/Parametros!$J$37</f>
        <v>108.976</v>
      </c>
      <c r="M1457" s="204">
        <f>M1456/Parametros!$J$37</f>
        <v>106.9153667</v>
      </c>
      <c r="N1457" s="204">
        <f>N1456/Parametros!$J$37</f>
        <v>170.2403333</v>
      </c>
      <c r="O1457" s="5"/>
      <c r="P1457" s="5"/>
      <c r="Q1457" s="5"/>
      <c r="R1457" s="5"/>
      <c r="S1457" s="5"/>
      <c r="T1457" s="5"/>
      <c r="U1457" s="5"/>
      <c r="V1457" s="5"/>
      <c r="W1457" s="5"/>
      <c r="X1457" s="5"/>
      <c r="Y1457" s="5"/>
      <c r="Z1457" s="5"/>
    </row>
    <row r="1458" ht="12.0" customHeight="1">
      <c r="A1458" s="92" t="s">
        <v>636</v>
      </c>
      <c r="B1458" s="5"/>
      <c r="C1458" s="204">
        <f t="shared" ref="C1458:N1458" si="430">C1457</f>
        <v>166.1190667</v>
      </c>
      <c r="D1458" s="204">
        <f t="shared" si="430"/>
        <v>126.6499333</v>
      </c>
      <c r="E1458" s="204">
        <f t="shared" si="430"/>
        <v>118.3017</v>
      </c>
      <c r="F1458" s="204">
        <f t="shared" si="430"/>
        <v>113.0972667</v>
      </c>
      <c r="G1458" s="204">
        <f t="shared" si="430"/>
        <v>105.8322</v>
      </c>
      <c r="H1458" s="204">
        <f t="shared" si="430"/>
        <v>103.7715667</v>
      </c>
      <c r="I1458" s="204">
        <f t="shared" si="430"/>
        <v>111.0366333</v>
      </c>
      <c r="J1458" s="204">
        <f t="shared" si="430"/>
        <v>111.0366333</v>
      </c>
      <c r="K1458" s="204">
        <f t="shared" si="430"/>
        <v>111.0366333</v>
      </c>
      <c r="L1458" s="204">
        <f t="shared" si="430"/>
        <v>108.976</v>
      </c>
      <c r="M1458" s="204">
        <f t="shared" si="430"/>
        <v>106.9153667</v>
      </c>
      <c r="N1458" s="204">
        <f t="shared" si="430"/>
        <v>170.2403333</v>
      </c>
      <c r="O1458" s="5"/>
      <c r="P1458" s="5"/>
      <c r="Q1458" s="5"/>
      <c r="R1458" s="5"/>
      <c r="S1458" s="5"/>
      <c r="T1458" s="5"/>
      <c r="U1458" s="5"/>
      <c r="V1458" s="5"/>
      <c r="W1458" s="5"/>
      <c r="X1458" s="5"/>
      <c r="Y1458" s="5"/>
      <c r="Z1458" s="5"/>
    </row>
    <row r="1459" ht="12.0" customHeight="1">
      <c r="A1459" s="92" t="s">
        <v>637</v>
      </c>
      <c r="B1459" s="5"/>
      <c r="C1459" s="205">
        <f>'Resumen Capacidad'!$I$129</f>
        <v>48.81355932</v>
      </c>
      <c r="D1459" s="205">
        <f>'Resumen Capacidad'!$I$129</f>
        <v>48.81355932</v>
      </c>
      <c r="E1459" s="205">
        <f>'Resumen Capacidad'!$I$129</f>
        <v>48.81355932</v>
      </c>
      <c r="F1459" s="205">
        <f>'Resumen Capacidad'!$I$129</f>
        <v>48.81355932</v>
      </c>
      <c r="G1459" s="205">
        <f>'Resumen Capacidad'!$I$129</f>
        <v>48.81355932</v>
      </c>
      <c r="H1459" s="205">
        <f>'Resumen Capacidad'!$I$129</f>
        <v>48.81355932</v>
      </c>
      <c r="I1459" s="205">
        <f>'Resumen Capacidad'!$I$129</f>
        <v>48.81355932</v>
      </c>
      <c r="J1459" s="205">
        <f>'Resumen Capacidad'!$I$129</f>
        <v>48.81355932</v>
      </c>
      <c r="K1459" s="205">
        <f>'Resumen Capacidad'!$I$129</f>
        <v>48.81355932</v>
      </c>
      <c r="L1459" s="205">
        <f>'Resumen Capacidad'!$I$129</f>
        <v>48.81355932</v>
      </c>
      <c r="M1459" s="205">
        <f>'Resumen Capacidad'!$I$129</f>
        <v>48.81355932</v>
      </c>
      <c r="N1459" s="205">
        <f>'Resumen Capacidad'!$I$129</f>
        <v>48.81355932</v>
      </c>
      <c r="O1459" s="5"/>
      <c r="P1459" s="5"/>
      <c r="Q1459" s="5"/>
      <c r="R1459" s="5"/>
      <c r="S1459" s="5"/>
      <c r="T1459" s="5"/>
      <c r="U1459" s="5"/>
      <c r="V1459" s="5"/>
      <c r="W1459" s="5"/>
      <c r="X1459" s="5"/>
      <c r="Y1459" s="5"/>
      <c r="Z1459" s="5"/>
    </row>
    <row r="1460" ht="12.0" customHeight="1">
      <c r="A1460" s="92" t="s">
        <v>640</v>
      </c>
      <c r="B1460" s="5"/>
      <c r="C1460" s="204">
        <f>'Resumen Capacidad'!$I$47*'Resumen Capacidad'!$I$83</f>
        <v>6</v>
      </c>
      <c r="D1460" s="204">
        <f>'Resumen Capacidad'!$I$47*'Resumen Capacidad'!$I$83</f>
        <v>6</v>
      </c>
      <c r="E1460" s="204">
        <f>'Resumen Capacidad'!$I$47*'Resumen Capacidad'!$I$83</f>
        <v>6</v>
      </c>
      <c r="F1460" s="204">
        <f>'Resumen Capacidad'!$I$47*'Resumen Capacidad'!$I$83</f>
        <v>6</v>
      </c>
      <c r="G1460" s="204">
        <f>'Resumen Capacidad'!$I$47*'Resumen Capacidad'!$I$83</f>
        <v>6</v>
      </c>
      <c r="H1460" s="204">
        <f>'Resumen Capacidad'!$I$47*'Resumen Capacidad'!$I$83</f>
        <v>6</v>
      </c>
      <c r="I1460" s="204">
        <f>'Resumen Capacidad'!$I$47*'Resumen Capacidad'!$I$83</f>
        <v>6</v>
      </c>
      <c r="J1460" s="204">
        <f>'Resumen Capacidad'!$I$47*'Resumen Capacidad'!$I$83</f>
        <v>6</v>
      </c>
      <c r="K1460" s="204">
        <f>'Resumen Capacidad'!$I$47*'Resumen Capacidad'!$I$83</f>
        <v>6</v>
      </c>
      <c r="L1460" s="204">
        <f>'Resumen Capacidad'!$I$47*'Resumen Capacidad'!$I$83</f>
        <v>6</v>
      </c>
      <c r="M1460" s="204">
        <f>'Resumen Capacidad'!$I$47*'Resumen Capacidad'!$I$83</f>
        <v>6</v>
      </c>
      <c r="N1460" s="204">
        <f>'Resumen Capacidad'!$I$47*'Resumen Capacidad'!$I$83</f>
        <v>6</v>
      </c>
      <c r="O1460" s="5"/>
      <c r="P1460" s="5"/>
      <c r="Q1460" s="5"/>
      <c r="R1460" s="5"/>
      <c r="S1460" s="5"/>
      <c r="T1460" s="5"/>
      <c r="U1460" s="5"/>
      <c r="V1460" s="5"/>
      <c r="W1460" s="5"/>
      <c r="X1460" s="5"/>
      <c r="Y1460" s="5"/>
      <c r="Z1460" s="5"/>
    </row>
    <row r="1461" ht="12.0" customHeight="1">
      <c r="A1461" s="92" t="s">
        <v>642</v>
      </c>
      <c r="B1461" s="5"/>
      <c r="C1461" s="204">
        <f t="shared" ref="C1461:N1461" si="431">C1459*C1460</f>
        <v>292.8813559</v>
      </c>
      <c r="D1461" s="204">
        <f t="shared" si="431"/>
        <v>292.8813559</v>
      </c>
      <c r="E1461" s="204">
        <f t="shared" si="431"/>
        <v>292.8813559</v>
      </c>
      <c r="F1461" s="204">
        <f t="shared" si="431"/>
        <v>292.8813559</v>
      </c>
      <c r="G1461" s="204">
        <f t="shared" si="431"/>
        <v>292.8813559</v>
      </c>
      <c r="H1461" s="204">
        <f t="shared" si="431"/>
        <v>292.8813559</v>
      </c>
      <c r="I1461" s="204">
        <f t="shared" si="431"/>
        <v>292.8813559</v>
      </c>
      <c r="J1461" s="204">
        <f t="shared" si="431"/>
        <v>292.8813559</v>
      </c>
      <c r="K1461" s="204">
        <f t="shared" si="431"/>
        <v>292.8813559</v>
      </c>
      <c r="L1461" s="204">
        <f t="shared" si="431"/>
        <v>292.8813559</v>
      </c>
      <c r="M1461" s="204">
        <f t="shared" si="431"/>
        <v>292.8813559</v>
      </c>
      <c r="N1461" s="204">
        <f t="shared" si="431"/>
        <v>292.8813559</v>
      </c>
      <c r="O1461" s="5"/>
      <c r="P1461" s="5"/>
      <c r="Q1461" s="5"/>
      <c r="R1461" s="5"/>
      <c r="S1461" s="5"/>
      <c r="T1461" s="5"/>
      <c r="U1461" s="5"/>
      <c r="V1461" s="5"/>
      <c r="W1461" s="5"/>
      <c r="X1461" s="5"/>
      <c r="Y1461" s="5"/>
      <c r="Z1461" s="5"/>
    </row>
    <row r="1462" ht="12.0" customHeight="1">
      <c r="A1462" s="92" t="s">
        <v>643</v>
      </c>
      <c r="B1462" s="5"/>
      <c r="C1462" s="206">
        <f t="shared" ref="C1462:N1462" si="432">IF(C1461=0,0,C1458/C1461)</f>
        <v>0.5671889429</v>
      </c>
      <c r="D1462" s="206">
        <f t="shared" si="432"/>
        <v>0.4324274344</v>
      </c>
      <c r="E1462" s="206">
        <f t="shared" si="432"/>
        <v>0.4039236285</v>
      </c>
      <c r="F1462" s="206">
        <f t="shared" si="432"/>
        <v>0.3861538619</v>
      </c>
      <c r="G1462" s="206">
        <f t="shared" si="432"/>
        <v>0.3613483681</v>
      </c>
      <c r="H1462" s="206">
        <f t="shared" si="432"/>
        <v>0.3543126408</v>
      </c>
      <c r="I1462" s="206">
        <f t="shared" si="432"/>
        <v>0.3791181346</v>
      </c>
      <c r="J1462" s="206">
        <f t="shared" si="432"/>
        <v>0.3791181346</v>
      </c>
      <c r="K1462" s="206">
        <f t="shared" si="432"/>
        <v>0.3791181346</v>
      </c>
      <c r="L1462" s="206">
        <f t="shared" si="432"/>
        <v>0.3720824074</v>
      </c>
      <c r="M1462" s="206">
        <f t="shared" si="432"/>
        <v>0.3650466802</v>
      </c>
      <c r="N1462" s="206">
        <f t="shared" si="432"/>
        <v>0.5812603974</v>
      </c>
      <c r="O1462" s="5"/>
      <c r="P1462" s="5"/>
      <c r="Q1462" s="5"/>
      <c r="R1462" s="5"/>
      <c r="S1462" s="5"/>
      <c r="T1462" s="5"/>
      <c r="U1462" s="5"/>
      <c r="V1462" s="5"/>
      <c r="W1462" s="5"/>
      <c r="X1462" s="5"/>
      <c r="Y1462" s="5"/>
      <c r="Z1462" s="5"/>
    </row>
    <row r="1463" ht="12.0" customHeight="1">
      <c r="A1463" s="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row>
    <row r="1464" ht="12.0" customHeight="1">
      <c r="A1464" s="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row>
    <row r="1465" ht="12.0" customHeight="1">
      <c r="A1465" s="207">
        <v>2034.0</v>
      </c>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row>
    <row r="1466" ht="12.0" customHeight="1">
      <c r="A1466" s="201" t="s">
        <v>629</v>
      </c>
      <c r="B1466" s="202"/>
      <c r="C1466" s="202"/>
      <c r="D1466" s="202"/>
      <c r="E1466" s="202"/>
      <c r="F1466" s="202"/>
      <c r="G1466" s="202"/>
      <c r="H1466" s="202"/>
      <c r="I1466" s="202"/>
      <c r="J1466" s="202"/>
      <c r="K1466" s="202"/>
      <c r="L1466" s="202"/>
      <c r="M1466" s="202"/>
      <c r="N1466" s="202"/>
      <c r="O1466" s="5"/>
      <c r="P1466" s="5"/>
      <c r="Q1466" s="5"/>
      <c r="R1466" s="5"/>
      <c r="S1466" s="5"/>
      <c r="T1466" s="5"/>
      <c r="U1466" s="5"/>
      <c r="V1466" s="5"/>
      <c r="W1466" s="5"/>
      <c r="X1466" s="5"/>
      <c r="Y1466" s="5"/>
      <c r="Z1466" s="5"/>
    </row>
    <row r="1467" ht="12.0" customHeight="1">
      <c r="A1467" s="201" t="s">
        <v>630</v>
      </c>
      <c r="B1467" s="201" t="s">
        <v>631</v>
      </c>
      <c r="C1467" s="201" t="s">
        <v>3</v>
      </c>
      <c r="D1467" s="201" t="s">
        <v>4</v>
      </c>
      <c r="E1467" s="201" t="s">
        <v>5</v>
      </c>
      <c r="F1467" s="201" t="s">
        <v>6</v>
      </c>
      <c r="G1467" s="201" t="s">
        <v>7</v>
      </c>
      <c r="H1467" s="201" t="s">
        <v>8</v>
      </c>
      <c r="I1467" s="201" t="s">
        <v>9</v>
      </c>
      <c r="J1467" s="201" t="s">
        <v>10</v>
      </c>
      <c r="K1467" s="201" t="s">
        <v>11</v>
      </c>
      <c r="L1467" s="201" t="s">
        <v>12</v>
      </c>
      <c r="M1467" s="201" t="s">
        <v>13</v>
      </c>
      <c r="N1467" s="201" t="s">
        <v>14</v>
      </c>
      <c r="O1467" s="5"/>
      <c r="P1467" s="5"/>
      <c r="Q1467" s="5"/>
      <c r="R1467" s="5"/>
      <c r="S1467" s="5"/>
      <c r="T1467" s="5"/>
      <c r="U1467" s="5"/>
      <c r="V1467" s="5"/>
      <c r="W1467" s="5"/>
      <c r="X1467" s="5"/>
      <c r="Y1467" s="5"/>
      <c r="Z1467" s="5"/>
    </row>
    <row r="1468" ht="12.0" customHeight="1">
      <c r="A1468" s="92" t="s">
        <v>632</v>
      </c>
      <c r="B1468" s="92" t="s">
        <v>633</v>
      </c>
      <c r="C1468" s="203">
        <f>SUM('2034'!B6:B9)+SUM('2034'!B17:B20)</f>
        <v>28105.46</v>
      </c>
      <c r="D1468" s="203">
        <f>SUM('2034'!C6:C9)+SUM('2034'!C17:C20)</f>
        <v>21432.01</v>
      </c>
      <c r="E1468" s="203">
        <f>SUM('2034'!D6:D9)+SUM('2034'!D17:D20)</f>
        <v>20030.995</v>
      </c>
      <c r="F1468" s="203">
        <f>SUM('2034'!E6:E9)+SUM('2034'!E17:E20)</f>
        <v>19154.03</v>
      </c>
      <c r="G1468" s="203">
        <f>SUM('2034'!F6:F9)+SUM('2034'!F17:F20)</f>
        <v>17924.15</v>
      </c>
      <c r="H1468" s="203">
        <f>SUM('2034'!G6:G9)+SUM('2034'!G17:G20)</f>
        <v>17571.235</v>
      </c>
      <c r="I1468" s="203">
        <f>SUM('2034'!H6:H9)+SUM('2034'!H17:H20)</f>
        <v>18801.115</v>
      </c>
      <c r="J1468" s="203">
        <f>SUM('2034'!I6:I9)+SUM('2034'!I17:I20)</f>
        <v>18801.115</v>
      </c>
      <c r="K1468" s="203">
        <f>SUM('2034'!J6:J9)+SUM('2034'!J17:J20)</f>
        <v>18801.115</v>
      </c>
      <c r="L1468" s="203">
        <f>SUM('2034'!K6:K9)+SUM('2034'!K17:K20)</f>
        <v>18448.2</v>
      </c>
      <c r="M1468" s="203">
        <f>SUM('2034'!L6:L9)+SUM('2034'!L17:L20)</f>
        <v>18095.285</v>
      </c>
      <c r="N1468" s="203">
        <f>SUM('2034'!M6:M9)+SUM('2034'!M17:M20)</f>
        <v>28811.29</v>
      </c>
      <c r="O1468" s="5"/>
      <c r="P1468" s="5"/>
      <c r="Q1468" s="5"/>
      <c r="R1468" s="5"/>
      <c r="S1468" s="5"/>
      <c r="T1468" s="5"/>
      <c r="U1468" s="5"/>
      <c r="V1468" s="5"/>
      <c r="W1468" s="5"/>
      <c r="X1468" s="5"/>
      <c r="Y1468" s="5"/>
      <c r="Z1468" s="5"/>
    </row>
    <row r="1469" ht="12.0" customHeight="1">
      <c r="A1469" s="5"/>
      <c r="B1469" s="92" t="s">
        <v>634</v>
      </c>
      <c r="C1469" s="204">
        <f>C1468/Parametros!$B$37</f>
        <v>1405.273</v>
      </c>
      <c r="D1469" s="204">
        <f>D1468/Parametros!$B$37</f>
        <v>1071.6005</v>
      </c>
      <c r="E1469" s="204">
        <f>E1468/Parametros!$B$37</f>
        <v>1001.54975</v>
      </c>
      <c r="F1469" s="204">
        <f>F1468/Parametros!$B$37</f>
        <v>957.7015</v>
      </c>
      <c r="G1469" s="204">
        <f>G1468/Parametros!$B$37</f>
        <v>896.2075</v>
      </c>
      <c r="H1469" s="204">
        <f>H1468/Parametros!$B$37</f>
        <v>878.56175</v>
      </c>
      <c r="I1469" s="204">
        <f>I1468/Parametros!$B$37</f>
        <v>940.05575</v>
      </c>
      <c r="J1469" s="204">
        <f>J1468/Parametros!$B$37</f>
        <v>940.05575</v>
      </c>
      <c r="K1469" s="204">
        <f>K1468/Parametros!$B$37</f>
        <v>940.05575</v>
      </c>
      <c r="L1469" s="204">
        <f>L1468/Parametros!$B$37</f>
        <v>922.41</v>
      </c>
      <c r="M1469" s="204">
        <f>M1468/Parametros!$B$37</f>
        <v>904.76425</v>
      </c>
      <c r="N1469" s="204">
        <f>N1468/Parametros!$B$37</f>
        <v>1440.5645</v>
      </c>
      <c r="O1469" s="5"/>
      <c r="P1469" s="5"/>
      <c r="Q1469" s="5"/>
      <c r="R1469" s="5"/>
      <c r="S1469" s="5"/>
      <c r="T1469" s="5"/>
      <c r="U1469" s="5"/>
      <c r="V1469" s="5"/>
      <c r="W1469" s="5"/>
      <c r="X1469" s="5"/>
      <c r="Y1469" s="5"/>
      <c r="Z1469" s="5"/>
    </row>
    <row r="1470" ht="12.0" customHeight="1">
      <c r="A1470" s="5"/>
      <c r="B1470" s="92" t="s">
        <v>635</v>
      </c>
      <c r="C1470" s="204">
        <f>C1469/Parametros!$J$37</f>
        <v>187.3697333</v>
      </c>
      <c r="D1470" s="204">
        <f>D1469/Parametros!$J$37</f>
        <v>142.8800667</v>
      </c>
      <c r="E1470" s="204">
        <f>E1469/Parametros!$J$37</f>
        <v>133.5399667</v>
      </c>
      <c r="F1470" s="204">
        <f>F1469/Parametros!$J$37</f>
        <v>127.6935333</v>
      </c>
      <c r="G1470" s="204">
        <f>G1469/Parametros!$J$37</f>
        <v>119.4943333</v>
      </c>
      <c r="H1470" s="204">
        <f>H1469/Parametros!$J$37</f>
        <v>117.1415667</v>
      </c>
      <c r="I1470" s="204">
        <f>I1469/Parametros!$J$37</f>
        <v>125.3407667</v>
      </c>
      <c r="J1470" s="204">
        <f>J1469/Parametros!$J$37</f>
        <v>125.3407667</v>
      </c>
      <c r="K1470" s="204">
        <f>K1469/Parametros!$J$37</f>
        <v>125.3407667</v>
      </c>
      <c r="L1470" s="204">
        <f>L1469/Parametros!$J$37</f>
        <v>122.988</v>
      </c>
      <c r="M1470" s="204">
        <f>M1469/Parametros!$J$37</f>
        <v>120.6352333</v>
      </c>
      <c r="N1470" s="204">
        <f>N1469/Parametros!$J$37</f>
        <v>192.0752667</v>
      </c>
      <c r="O1470" s="5"/>
      <c r="P1470" s="5"/>
      <c r="Q1470" s="5"/>
      <c r="R1470" s="5"/>
      <c r="S1470" s="5"/>
      <c r="T1470" s="5"/>
      <c r="U1470" s="5"/>
      <c r="V1470" s="5"/>
      <c r="W1470" s="5"/>
      <c r="X1470" s="5"/>
      <c r="Y1470" s="5"/>
      <c r="Z1470" s="5"/>
    </row>
    <row r="1471" ht="12.0" customHeight="1">
      <c r="A1471" s="92" t="s">
        <v>636</v>
      </c>
      <c r="B1471" s="5"/>
      <c r="C1471" s="204">
        <f t="shared" ref="C1471:N1471" si="433">C1470</f>
        <v>187.3697333</v>
      </c>
      <c r="D1471" s="204">
        <f t="shared" si="433"/>
        <v>142.8800667</v>
      </c>
      <c r="E1471" s="204">
        <f t="shared" si="433"/>
        <v>133.5399667</v>
      </c>
      <c r="F1471" s="204">
        <f t="shared" si="433"/>
        <v>127.6935333</v>
      </c>
      <c r="G1471" s="204">
        <f t="shared" si="433"/>
        <v>119.4943333</v>
      </c>
      <c r="H1471" s="204">
        <f t="shared" si="433"/>
        <v>117.1415667</v>
      </c>
      <c r="I1471" s="204">
        <f t="shared" si="433"/>
        <v>125.3407667</v>
      </c>
      <c r="J1471" s="204">
        <f t="shared" si="433"/>
        <v>125.3407667</v>
      </c>
      <c r="K1471" s="204">
        <f t="shared" si="433"/>
        <v>125.3407667</v>
      </c>
      <c r="L1471" s="204">
        <f t="shared" si="433"/>
        <v>122.988</v>
      </c>
      <c r="M1471" s="204">
        <f t="shared" si="433"/>
        <v>120.6352333</v>
      </c>
      <c r="N1471" s="204">
        <f t="shared" si="433"/>
        <v>192.0752667</v>
      </c>
      <c r="O1471" s="5"/>
      <c r="P1471" s="5"/>
      <c r="Q1471" s="5"/>
      <c r="R1471" s="5"/>
      <c r="S1471" s="5"/>
      <c r="T1471" s="5"/>
      <c r="U1471" s="5"/>
      <c r="V1471" s="5"/>
      <c r="W1471" s="5"/>
      <c r="X1471" s="5"/>
      <c r="Y1471" s="5"/>
      <c r="Z1471" s="5"/>
    </row>
    <row r="1472" ht="12.0" customHeight="1">
      <c r="A1472" s="92" t="s">
        <v>637</v>
      </c>
      <c r="B1472" s="5"/>
      <c r="C1472" s="205">
        <f>'Resumen Capacidad'!$J$111</f>
        <v>68</v>
      </c>
      <c r="D1472" s="205">
        <f>'Resumen Capacidad'!$J$111</f>
        <v>68</v>
      </c>
      <c r="E1472" s="205">
        <f>'Resumen Capacidad'!$J$111</f>
        <v>68</v>
      </c>
      <c r="F1472" s="205">
        <f>'Resumen Capacidad'!$J$111</f>
        <v>68</v>
      </c>
      <c r="G1472" s="205">
        <f>'Resumen Capacidad'!$J$111</f>
        <v>68</v>
      </c>
      <c r="H1472" s="205">
        <f>'Resumen Capacidad'!$J$111</f>
        <v>68</v>
      </c>
      <c r="I1472" s="205">
        <f>'Resumen Capacidad'!$J$111</f>
        <v>68</v>
      </c>
      <c r="J1472" s="205">
        <f>'Resumen Capacidad'!$J$111</f>
        <v>68</v>
      </c>
      <c r="K1472" s="205">
        <f>'Resumen Capacidad'!$J$111</f>
        <v>68</v>
      </c>
      <c r="L1472" s="205">
        <f>'Resumen Capacidad'!$J$111</f>
        <v>68</v>
      </c>
      <c r="M1472" s="205">
        <f>'Resumen Capacidad'!$J$111</f>
        <v>68</v>
      </c>
      <c r="N1472" s="205">
        <f>'Resumen Capacidad'!$J$111</f>
        <v>68</v>
      </c>
      <c r="O1472" s="5"/>
      <c r="P1472" s="5"/>
      <c r="Q1472" s="5"/>
      <c r="R1472" s="5"/>
      <c r="S1472" s="5"/>
      <c r="T1472" s="5"/>
      <c r="U1472" s="5"/>
      <c r="V1472" s="5"/>
      <c r="W1472" s="5"/>
      <c r="X1472" s="5"/>
      <c r="Y1472" s="5"/>
      <c r="Z1472" s="5"/>
    </row>
    <row r="1473" ht="12.0" customHeight="1">
      <c r="A1473" s="92" t="s">
        <v>640</v>
      </c>
      <c r="B1473" s="5"/>
      <c r="C1473" s="204">
        <f>'Resumen Capacidad'!$J$29*'Resumen Capacidad'!$J$65</f>
        <v>4</v>
      </c>
      <c r="D1473" s="204">
        <f>'Resumen Capacidad'!$J$29*'Resumen Capacidad'!$J$65</f>
        <v>4</v>
      </c>
      <c r="E1473" s="204">
        <f>'Resumen Capacidad'!$J$29*'Resumen Capacidad'!$J$65</f>
        <v>4</v>
      </c>
      <c r="F1473" s="204">
        <f>'Resumen Capacidad'!$J$29*'Resumen Capacidad'!$J$65</f>
        <v>4</v>
      </c>
      <c r="G1473" s="204">
        <f>'Resumen Capacidad'!$J$29*'Resumen Capacidad'!$J$65</f>
        <v>4</v>
      </c>
      <c r="H1473" s="204">
        <f>'Resumen Capacidad'!$J$29*'Resumen Capacidad'!$J$65</f>
        <v>4</v>
      </c>
      <c r="I1473" s="204">
        <f>'Resumen Capacidad'!$J$29*'Resumen Capacidad'!$J$65</f>
        <v>4</v>
      </c>
      <c r="J1473" s="204">
        <f>'Resumen Capacidad'!$J$29*'Resumen Capacidad'!$J$65</f>
        <v>4</v>
      </c>
      <c r="K1473" s="204">
        <f>'Resumen Capacidad'!$J$29*'Resumen Capacidad'!$J$65</f>
        <v>4</v>
      </c>
      <c r="L1473" s="204">
        <f>'Resumen Capacidad'!$J$29*'Resumen Capacidad'!$J$65</f>
        <v>4</v>
      </c>
      <c r="M1473" s="204">
        <f>'Resumen Capacidad'!$J$29*'Resumen Capacidad'!$J$65</f>
        <v>4</v>
      </c>
      <c r="N1473" s="204">
        <f>'Resumen Capacidad'!$J$29*'Resumen Capacidad'!$J$65</f>
        <v>4</v>
      </c>
      <c r="O1473" s="5"/>
      <c r="P1473" s="5"/>
      <c r="Q1473" s="5"/>
      <c r="R1473" s="5"/>
      <c r="S1473" s="5"/>
      <c r="T1473" s="5"/>
      <c r="U1473" s="5"/>
      <c r="V1473" s="5"/>
      <c r="W1473" s="5"/>
      <c r="X1473" s="5"/>
      <c r="Y1473" s="5"/>
      <c r="Z1473" s="5"/>
    </row>
    <row r="1474" ht="12.0" customHeight="1">
      <c r="A1474" s="92" t="s">
        <v>642</v>
      </c>
      <c r="B1474" s="5"/>
      <c r="C1474" s="204">
        <f t="shared" ref="C1474:N1474" si="434">C1472*C1473</f>
        <v>272</v>
      </c>
      <c r="D1474" s="204">
        <f t="shared" si="434"/>
        <v>272</v>
      </c>
      <c r="E1474" s="204">
        <f t="shared" si="434"/>
        <v>272</v>
      </c>
      <c r="F1474" s="204">
        <f t="shared" si="434"/>
        <v>272</v>
      </c>
      <c r="G1474" s="204">
        <f t="shared" si="434"/>
        <v>272</v>
      </c>
      <c r="H1474" s="204">
        <f t="shared" si="434"/>
        <v>272</v>
      </c>
      <c r="I1474" s="204">
        <f t="shared" si="434"/>
        <v>272</v>
      </c>
      <c r="J1474" s="204">
        <f t="shared" si="434"/>
        <v>272</v>
      </c>
      <c r="K1474" s="204">
        <f t="shared" si="434"/>
        <v>272</v>
      </c>
      <c r="L1474" s="204">
        <f t="shared" si="434"/>
        <v>272</v>
      </c>
      <c r="M1474" s="204">
        <f t="shared" si="434"/>
        <v>272</v>
      </c>
      <c r="N1474" s="204">
        <f t="shared" si="434"/>
        <v>272</v>
      </c>
      <c r="O1474" s="5"/>
      <c r="P1474" s="5"/>
      <c r="Q1474" s="5"/>
      <c r="R1474" s="5"/>
      <c r="S1474" s="5"/>
      <c r="T1474" s="5"/>
      <c r="U1474" s="5"/>
      <c r="V1474" s="5"/>
      <c r="W1474" s="5"/>
      <c r="X1474" s="5"/>
      <c r="Y1474" s="5"/>
      <c r="Z1474" s="5"/>
    </row>
    <row r="1475" ht="12.0" customHeight="1">
      <c r="A1475" s="92" t="s">
        <v>643</v>
      </c>
      <c r="B1475" s="5"/>
      <c r="C1475" s="206">
        <f t="shared" ref="C1475:N1475" si="435">IF(C1474=0,0,C1471/C1474)</f>
        <v>0.6888593137</v>
      </c>
      <c r="D1475" s="206">
        <f t="shared" si="435"/>
        <v>0.5252943627</v>
      </c>
      <c r="E1475" s="206">
        <f t="shared" si="435"/>
        <v>0.4909557598</v>
      </c>
      <c r="F1475" s="206">
        <f t="shared" si="435"/>
        <v>0.4694615196</v>
      </c>
      <c r="G1475" s="206">
        <f t="shared" si="435"/>
        <v>0.439317402</v>
      </c>
      <c r="H1475" s="206">
        <f t="shared" si="435"/>
        <v>0.4306675245</v>
      </c>
      <c r="I1475" s="206">
        <f t="shared" si="435"/>
        <v>0.4608116422</v>
      </c>
      <c r="J1475" s="206">
        <f t="shared" si="435"/>
        <v>0.4608116422</v>
      </c>
      <c r="K1475" s="206">
        <f t="shared" si="435"/>
        <v>0.4608116422</v>
      </c>
      <c r="L1475" s="206">
        <f t="shared" si="435"/>
        <v>0.4521617647</v>
      </c>
      <c r="M1475" s="206">
        <f t="shared" si="435"/>
        <v>0.4435118873</v>
      </c>
      <c r="N1475" s="206">
        <f t="shared" si="435"/>
        <v>0.7061590686</v>
      </c>
      <c r="O1475" s="5"/>
      <c r="P1475" s="5"/>
      <c r="Q1475" s="5"/>
      <c r="R1475" s="5"/>
      <c r="S1475" s="5"/>
      <c r="T1475" s="5"/>
      <c r="U1475" s="5"/>
      <c r="V1475" s="5"/>
      <c r="W1475" s="5"/>
      <c r="X1475" s="5"/>
      <c r="Y1475" s="5"/>
      <c r="Z1475" s="5"/>
    </row>
    <row r="1476" ht="12.0" customHeight="1">
      <c r="A1476" s="201" t="s">
        <v>644</v>
      </c>
      <c r="B1476" s="202"/>
      <c r="C1476" s="202"/>
      <c r="D1476" s="202"/>
      <c r="E1476" s="202"/>
      <c r="F1476" s="202"/>
      <c r="G1476" s="202"/>
      <c r="H1476" s="202"/>
      <c r="I1476" s="202"/>
      <c r="J1476" s="202"/>
      <c r="K1476" s="202"/>
      <c r="L1476" s="202"/>
      <c r="M1476" s="202"/>
      <c r="N1476" s="202"/>
      <c r="O1476" s="5"/>
      <c r="P1476" s="5"/>
      <c r="Q1476" s="5"/>
      <c r="R1476" s="5"/>
      <c r="S1476" s="5"/>
      <c r="T1476" s="5"/>
      <c r="U1476" s="5"/>
      <c r="V1476" s="5"/>
      <c r="W1476" s="5"/>
      <c r="X1476" s="5"/>
      <c r="Y1476" s="5"/>
      <c r="Z1476" s="5"/>
    </row>
    <row r="1477" ht="12.0" customHeight="1">
      <c r="A1477" s="201" t="s">
        <v>630</v>
      </c>
      <c r="B1477" s="201" t="s">
        <v>631</v>
      </c>
      <c r="C1477" s="201" t="s">
        <v>3</v>
      </c>
      <c r="D1477" s="201" t="s">
        <v>4</v>
      </c>
      <c r="E1477" s="201" t="s">
        <v>5</v>
      </c>
      <c r="F1477" s="201" t="s">
        <v>6</v>
      </c>
      <c r="G1477" s="201" t="s">
        <v>7</v>
      </c>
      <c r="H1477" s="201" t="s">
        <v>8</v>
      </c>
      <c r="I1477" s="201" t="s">
        <v>9</v>
      </c>
      <c r="J1477" s="201" t="s">
        <v>10</v>
      </c>
      <c r="K1477" s="201" t="s">
        <v>11</v>
      </c>
      <c r="L1477" s="201" t="s">
        <v>12</v>
      </c>
      <c r="M1477" s="201" t="s">
        <v>13</v>
      </c>
      <c r="N1477" s="201" t="s">
        <v>14</v>
      </c>
      <c r="O1477" s="5"/>
      <c r="P1477" s="5"/>
      <c r="Q1477" s="5"/>
      <c r="R1477" s="5"/>
      <c r="S1477" s="5"/>
      <c r="T1477" s="5"/>
      <c r="U1477" s="5"/>
      <c r="V1477" s="5"/>
      <c r="W1477" s="5"/>
      <c r="X1477" s="5"/>
      <c r="Y1477" s="5"/>
      <c r="Z1477" s="5"/>
    </row>
    <row r="1478" ht="12.0" customHeight="1">
      <c r="A1478" s="92" t="s">
        <v>632</v>
      </c>
      <c r="B1478" s="92" t="s">
        <v>633</v>
      </c>
      <c r="C1478" s="203">
        <f>SUM('2034'!B6:B9)+SUM('2034'!B17:B20)</f>
        <v>28105.46</v>
      </c>
      <c r="D1478" s="203">
        <f>SUM('2034'!C6:C9)+SUM('2034'!C17:C20)</f>
        <v>21432.01</v>
      </c>
      <c r="E1478" s="203">
        <f>SUM('2034'!D6:D9)+SUM('2034'!D17:D20)</f>
        <v>20030.995</v>
      </c>
      <c r="F1478" s="203">
        <f>SUM('2034'!E6:E9)+SUM('2034'!E17:E20)</f>
        <v>19154.03</v>
      </c>
      <c r="G1478" s="203">
        <f>SUM('2034'!F6:F9)+SUM('2034'!F17:F20)</f>
        <v>17924.15</v>
      </c>
      <c r="H1478" s="203">
        <f>SUM('2034'!G6:G9)+SUM('2034'!G17:G20)</f>
        <v>17571.235</v>
      </c>
      <c r="I1478" s="203">
        <f>SUM('2034'!H6:H9)+SUM('2034'!H17:H20)</f>
        <v>18801.115</v>
      </c>
      <c r="J1478" s="203">
        <f>SUM('2034'!I6:I9)+SUM('2034'!I17:I20)</f>
        <v>18801.115</v>
      </c>
      <c r="K1478" s="203">
        <f>SUM('2034'!J6:J9)+SUM('2034'!J17:J20)</f>
        <v>18801.115</v>
      </c>
      <c r="L1478" s="203">
        <f>SUM('2034'!K6:K9)+SUM('2034'!K17:K20)</f>
        <v>18448.2</v>
      </c>
      <c r="M1478" s="203">
        <f>SUM('2034'!L6:L9)+SUM('2034'!L17:L20)</f>
        <v>18095.285</v>
      </c>
      <c r="N1478" s="203">
        <f>SUM('2034'!M6:M9)+SUM('2034'!M17:M20)</f>
        <v>28811.29</v>
      </c>
      <c r="O1478" s="5"/>
      <c r="P1478" s="5"/>
      <c r="Q1478" s="5"/>
      <c r="R1478" s="5"/>
      <c r="S1478" s="5"/>
      <c r="T1478" s="5"/>
      <c r="U1478" s="5"/>
      <c r="V1478" s="5"/>
      <c r="W1478" s="5"/>
      <c r="X1478" s="5"/>
      <c r="Y1478" s="5"/>
      <c r="Z1478" s="5"/>
    </row>
    <row r="1479" ht="12.0" customHeight="1">
      <c r="A1479" s="5"/>
      <c r="B1479" s="92" t="s">
        <v>634</v>
      </c>
      <c r="C1479" s="204">
        <f>C1478/Parametros!$B$37</f>
        <v>1405.273</v>
      </c>
      <c r="D1479" s="204">
        <f>D1478/Parametros!$B$37</f>
        <v>1071.6005</v>
      </c>
      <c r="E1479" s="204">
        <f>E1478/Parametros!$B$37</f>
        <v>1001.54975</v>
      </c>
      <c r="F1479" s="204">
        <f>F1478/Parametros!$B$37</f>
        <v>957.7015</v>
      </c>
      <c r="G1479" s="204">
        <f>G1478/Parametros!$B$37</f>
        <v>896.2075</v>
      </c>
      <c r="H1479" s="204">
        <f>H1478/Parametros!$B$37</f>
        <v>878.56175</v>
      </c>
      <c r="I1479" s="204">
        <f>I1478/Parametros!$B$37</f>
        <v>940.05575</v>
      </c>
      <c r="J1479" s="204">
        <f>J1478/Parametros!$B$37</f>
        <v>940.05575</v>
      </c>
      <c r="K1479" s="204">
        <f>K1478/Parametros!$B$37</f>
        <v>940.05575</v>
      </c>
      <c r="L1479" s="204">
        <f>L1478/Parametros!$B$37</f>
        <v>922.41</v>
      </c>
      <c r="M1479" s="204">
        <f>M1478/Parametros!$B$37</f>
        <v>904.76425</v>
      </c>
      <c r="N1479" s="204">
        <f>N1478/Parametros!$B$37</f>
        <v>1440.5645</v>
      </c>
      <c r="O1479" s="5"/>
      <c r="P1479" s="5"/>
      <c r="Q1479" s="5"/>
      <c r="R1479" s="5"/>
      <c r="S1479" s="5"/>
      <c r="T1479" s="5"/>
      <c r="U1479" s="5"/>
      <c r="V1479" s="5"/>
      <c r="W1479" s="5"/>
      <c r="X1479" s="5"/>
      <c r="Y1479" s="5"/>
      <c r="Z1479" s="5"/>
    </row>
    <row r="1480" ht="12.0" customHeight="1">
      <c r="A1480" s="5"/>
      <c r="B1480" s="92" t="s">
        <v>635</v>
      </c>
      <c r="C1480" s="204">
        <f>C1479/Parametros!$J$37</f>
        <v>187.3697333</v>
      </c>
      <c r="D1480" s="204">
        <f>D1479/Parametros!$J$37</f>
        <v>142.8800667</v>
      </c>
      <c r="E1480" s="204">
        <f>E1479/Parametros!$J$37</f>
        <v>133.5399667</v>
      </c>
      <c r="F1480" s="204">
        <f>F1479/Parametros!$J$37</f>
        <v>127.6935333</v>
      </c>
      <c r="G1480" s="204">
        <f>G1479/Parametros!$J$37</f>
        <v>119.4943333</v>
      </c>
      <c r="H1480" s="204">
        <f>H1479/Parametros!$J$37</f>
        <v>117.1415667</v>
      </c>
      <c r="I1480" s="204">
        <f>I1479/Parametros!$J$37</f>
        <v>125.3407667</v>
      </c>
      <c r="J1480" s="204">
        <f>J1479/Parametros!$J$37</f>
        <v>125.3407667</v>
      </c>
      <c r="K1480" s="204">
        <f>K1479/Parametros!$J$37</f>
        <v>125.3407667</v>
      </c>
      <c r="L1480" s="204">
        <f>L1479/Parametros!$J$37</f>
        <v>122.988</v>
      </c>
      <c r="M1480" s="204">
        <f>M1479/Parametros!$J$37</f>
        <v>120.6352333</v>
      </c>
      <c r="N1480" s="204">
        <f>N1479/Parametros!$J$37</f>
        <v>192.0752667</v>
      </c>
      <c r="O1480" s="5"/>
      <c r="P1480" s="5"/>
      <c r="Q1480" s="5"/>
      <c r="R1480" s="5"/>
      <c r="S1480" s="5"/>
      <c r="T1480" s="5"/>
      <c r="U1480" s="5"/>
      <c r="V1480" s="5"/>
      <c r="W1480" s="5"/>
      <c r="X1480" s="5"/>
      <c r="Y1480" s="5"/>
      <c r="Z1480" s="5"/>
    </row>
    <row r="1481" ht="12.0" customHeight="1">
      <c r="A1481" s="92" t="s">
        <v>636</v>
      </c>
      <c r="B1481" s="5"/>
      <c r="C1481" s="204">
        <f t="shared" ref="C1481:N1481" si="436">C1480</f>
        <v>187.3697333</v>
      </c>
      <c r="D1481" s="204">
        <f t="shared" si="436"/>
        <v>142.8800667</v>
      </c>
      <c r="E1481" s="204">
        <f t="shared" si="436"/>
        <v>133.5399667</v>
      </c>
      <c r="F1481" s="204">
        <f t="shared" si="436"/>
        <v>127.6935333</v>
      </c>
      <c r="G1481" s="204">
        <f t="shared" si="436"/>
        <v>119.4943333</v>
      </c>
      <c r="H1481" s="204">
        <f t="shared" si="436"/>
        <v>117.1415667</v>
      </c>
      <c r="I1481" s="204">
        <f t="shared" si="436"/>
        <v>125.3407667</v>
      </c>
      <c r="J1481" s="204">
        <f t="shared" si="436"/>
        <v>125.3407667</v>
      </c>
      <c r="K1481" s="204">
        <f t="shared" si="436"/>
        <v>125.3407667</v>
      </c>
      <c r="L1481" s="204">
        <f t="shared" si="436"/>
        <v>122.988</v>
      </c>
      <c r="M1481" s="204">
        <f t="shared" si="436"/>
        <v>120.6352333</v>
      </c>
      <c r="N1481" s="204">
        <f t="shared" si="436"/>
        <v>192.0752667</v>
      </c>
      <c r="O1481" s="5"/>
      <c r="P1481" s="5"/>
      <c r="Q1481" s="5"/>
      <c r="R1481" s="5"/>
      <c r="S1481" s="5"/>
      <c r="T1481" s="5"/>
      <c r="U1481" s="5"/>
      <c r="V1481" s="5"/>
      <c r="W1481" s="5"/>
      <c r="X1481" s="5"/>
      <c r="Y1481" s="5"/>
      <c r="Z1481" s="5"/>
    </row>
    <row r="1482" ht="12.0" customHeight="1">
      <c r="A1482" s="92" t="s">
        <v>637</v>
      </c>
      <c r="B1482" s="5"/>
      <c r="C1482" s="205">
        <f>'Resumen Capacidad'!$J$112</f>
        <v>90.19362319</v>
      </c>
      <c r="D1482" s="205">
        <f>'Resumen Capacidad'!$J$112</f>
        <v>90.19362319</v>
      </c>
      <c r="E1482" s="205">
        <f>'Resumen Capacidad'!$J$112</f>
        <v>90.19362319</v>
      </c>
      <c r="F1482" s="205">
        <f>'Resumen Capacidad'!$J$112</f>
        <v>90.19362319</v>
      </c>
      <c r="G1482" s="205">
        <f>'Resumen Capacidad'!$J$112</f>
        <v>90.19362319</v>
      </c>
      <c r="H1482" s="205">
        <f>'Resumen Capacidad'!$J$112</f>
        <v>90.19362319</v>
      </c>
      <c r="I1482" s="205">
        <f>'Resumen Capacidad'!$J$112</f>
        <v>90.19362319</v>
      </c>
      <c r="J1482" s="205">
        <f>'Resumen Capacidad'!$J$112</f>
        <v>90.19362319</v>
      </c>
      <c r="K1482" s="205">
        <f>'Resumen Capacidad'!$J$112</f>
        <v>90.19362319</v>
      </c>
      <c r="L1482" s="205">
        <f>'Resumen Capacidad'!$J$112</f>
        <v>90.19362319</v>
      </c>
      <c r="M1482" s="205">
        <f>'Resumen Capacidad'!$J$112</f>
        <v>90.19362319</v>
      </c>
      <c r="N1482" s="205">
        <f>'Resumen Capacidad'!$J$112</f>
        <v>90.19362319</v>
      </c>
      <c r="O1482" s="5"/>
      <c r="P1482" s="5"/>
      <c r="Q1482" s="5"/>
      <c r="R1482" s="5"/>
      <c r="S1482" s="5"/>
      <c r="T1482" s="5"/>
      <c r="U1482" s="5"/>
      <c r="V1482" s="5"/>
      <c r="W1482" s="5"/>
      <c r="X1482" s="5"/>
      <c r="Y1482" s="5"/>
      <c r="Z1482" s="5"/>
    </row>
    <row r="1483" ht="12.0" customHeight="1">
      <c r="A1483" s="92" t="s">
        <v>640</v>
      </c>
      <c r="B1483" s="5"/>
      <c r="C1483" s="204">
        <f>'Resumen Capacidad'!$J$30*'Resumen Capacidad'!$J$66</f>
        <v>4</v>
      </c>
      <c r="D1483" s="204">
        <f>'Resumen Capacidad'!$J$30*'Resumen Capacidad'!$J$66</f>
        <v>4</v>
      </c>
      <c r="E1483" s="204">
        <f>'Resumen Capacidad'!$J$30*'Resumen Capacidad'!$J$66</f>
        <v>4</v>
      </c>
      <c r="F1483" s="204">
        <f>'Resumen Capacidad'!$J$30*'Resumen Capacidad'!$J$66</f>
        <v>4</v>
      </c>
      <c r="G1483" s="204">
        <f>'Resumen Capacidad'!$J$30*'Resumen Capacidad'!$J$66</f>
        <v>4</v>
      </c>
      <c r="H1483" s="204">
        <f>'Resumen Capacidad'!$J$30*'Resumen Capacidad'!$J$66</f>
        <v>4</v>
      </c>
      <c r="I1483" s="204">
        <f>'Resumen Capacidad'!$J$30*'Resumen Capacidad'!$J$66</f>
        <v>4</v>
      </c>
      <c r="J1483" s="204">
        <f>'Resumen Capacidad'!$J$30*'Resumen Capacidad'!$J$66</f>
        <v>4</v>
      </c>
      <c r="K1483" s="204">
        <f>'Resumen Capacidad'!$J$30*'Resumen Capacidad'!$J$66</f>
        <v>4</v>
      </c>
      <c r="L1483" s="204">
        <f>'Resumen Capacidad'!$J$30*'Resumen Capacidad'!$J$66</f>
        <v>4</v>
      </c>
      <c r="M1483" s="204">
        <f>'Resumen Capacidad'!$J$30*'Resumen Capacidad'!$J$66</f>
        <v>4</v>
      </c>
      <c r="N1483" s="204">
        <f>'Resumen Capacidad'!$J$30*'Resumen Capacidad'!$J$66</f>
        <v>4</v>
      </c>
      <c r="O1483" s="5"/>
      <c r="P1483" s="5"/>
      <c r="Q1483" s="5"/>
      <c r="R1483" s="5"/>
      <c r="S1483" s="5"/>
      <c r="T1483" s="5"/>
      <c r="U1483" s="5"/>
      <c r="V1483" s="5"/>
      <c r="W1483" s="5"/>
      <c r="X1483" s="5"/>
      <c r="Y1483" s="5"/>
      <c r="Z1483" s="5"/>
    </row>
    <row r="1484" ht="12.0" customHeight="1">
      <c r="A1484" s="92" t="s">
        <v>642</v>
      </c>
      <c r="B1484" s="5"/>
      <c r="C1484" s="204">
        <f t="shared" ref="C1484:N1484" si="437">C1482*C1483</f>
        <v>360.7744928</v>
      </c>
      <c r="D1484" s="204">
        <f t="shared" si="437"/>
        <v>360.7744928</v>
      </c>
      <c r="E1484" s="204">
        <f t="shared" si="437"/>
        <v>360.7744928</v>
      </c>
      <c r="F1484" s="204">
        <f t="shared" si="437"/>
        <v>360.7744928</v>
      </c>
      <c r="G1484" s="204">
        <f t="shared" si="437"/>
        <v>360.7744928</v>
      </c>
      <c r="H1484" s="204">
        <f t="shared" si="437"/>
        <v>360.7744928</v>
      </c>
      <c r="I1484" s="204">
        <f t="shared" si="437"/>
        <v>360.7744928</v>
      </c>
      <c r="J1484" s="204">
        <f t="shared" si="437"/>
        <v>360.7744928</v>
      </c>
      <c r="K1484" s="204">
        <f t="shared" si="437"/>
        <v>360.7744928</v>
      </c>
      <c r="L1484" s="204">
        <f t="shared" si="437"/>
        <v>360.7744928</v>
      </c>
      <c r="M1484" s="204">
        <f t="shared" si="437"/>
        <v>360.7744928</v>
      </c>
      <c r="N1484" s="204">
        <f t="shared" si="437"/>
        <v>360.7744928</v>
      </c>
      <c r="O1484" s="5"/>
      <c r="P1484" s="5"/>
      <c r="Q1484" s="5"/>
      <c r="R1484" s="5"/>
      <c r="S1484" s="5"/>
      <c r="T1484" s="5"/>
      <c r="U1484" s="5"/>
      <c r="V1484" s="5"/>
      <c r="W1484" s="5"/>
      <c r="X1484" s="5"/>
      <c r="Y1484" s="5"/>
      <c r="Z1484" s="5"/>
    </row>
    <row r="1485" ht="12.0" customHeight="1">
      <c r="A1485" s="92" t="s">
        <v>643</v>
      </c>
      <c r="B1485" s="5"/>
      <c r="C1485" s="206">
        <f t="shared" ref="C1485:N1485" si="438">IF(C1484=0,0,C1481/C1484)</f>
        <v>0.5193541592</v>
      </c>
      <c r="D1485" s="206">
        <f t="shared" si="438"/>
        <v>0.3960370523</v>
      </c>
      <c r="E1485" s="206">
        <f t="shared" si="438"/>
        <v>0.370148027</v>
      </c>
      <c r="F1485" s="206">
        <f t="shared" si="438"/>
        <v>0.3539427978</v>
      </c>
      <c r="G1485" s="206">
        <f t="shared" si="438"/>
        <v>0.3312161357</v>
      </c>
      <c r="H1485" s="206">
        <f t="shared" si="438"/>
        <v>0.3246947027</v>
      </c>
      <c r="I1485" s="206">
        <f t="shared" si="438"/>
        <v>0.3474213648</v>
      </c>
      <c r="J1485" s="206">
        <f t="shared" si="438"/>
        <v>0.3474213648</v>
      </c>
      <c r="K1485" s="206">
        <f t="shared" si="438"/>
        <v>0.3474213648</v>
      </c>
      <c r="L1485" s="206">
        <f t="shared" si="438"/>
        <v>0.3408999319</v>
      </c>
      <c r="M1485" s="206">
        <f t="shared" si="438"/>
        <v>0.3343784989</v>
      </c>
      <c r="N1485" s="206">
        <f t="shared" si="438"/>
        <v>0.5323970251</v>
      </c>
      <c r="O1485" s="5"/>
      <c r="P1485" s="5"/>
      <c r="Q1485" s="5"/>
      <c r="R1485" s="5"/>
      <c r="S1485" s="5"/>
      <c r="T1485" s="5"/>
      <c r="U1485" s="5"/>
      <c r="V1485" s="5"/>
      <c r="W1485" s="5"/>
      <c r="X1485" s="5"/>
      <c r="Y1485" s="5"/>
      <c r="Z1485" s="5"/>
    </row>
    <row r="1486" ht="12.0" customHeight="1">
      <c r="A1486" s="201" t="s">
        <v>646</v>
      </c>
      <c r="B1486" s="202"/>
      <c r="C1486" s="202"/>
      <c r="D1486" s="202"/>
      <c r="E1486" s="202"/>
      <c r="F1486" s="202"/>
      <c r="G1486" s="202"/>
      <c r="H1486" s="202"/>
      <c r="I1486" s="202"/>
      <c r="J1486" s="202"/>
      <c r="K1486" s="202"/>
      <c r="L1486" s="202"/>
      <c r="M1486" s="202"/>
      <c r="N1486" s="202"/>
      <c r="O1486" s="5"/>
      <c r="P1486" s="5"/>
      <c r="Q1486" s="5"/>
      <c r="R1486" s="5"/>
      <c r="S1486" s="5"/>
      <c r="T1486" s="5"/>
      <c r="U1486" s="5"/>
      <c r="V1486" s="5"/>
      <c r="W1486" s="5"/>
      <c r="X1486" s="5"/>
      <c r="Y1486" s="5"/>
      <c r="Z1486" s="5"/>
    </row>
    <row r="1487" ht="12.0" customHeight="1">
      <c r="A1487" s="201" t="s">
        <v>630</v>
      </c>
      <c r="B1487" s="201" t="s">
        <v>631</v>
      </c>
      <c r="C1487" s="201" t="s">
        <v>3</v>
      </c>
      <c r="D1487" s="201" t="s">
        <v>4</v>
      </c>
      <c r="E1487" s="201" t="s">
        <v>5</v>
      </c>
      <c r="F1487" s="201" t="s">
        <v>6</v>
      </c>
      <c r="G1487" s="201" t="s">
        <v>7</v>
      </c>
      <c r="H1487" s="201" t="s">
        <v>8</v>
      </c>
      <c r="I1487" s="201" t="s">
        <v>9</v>
      </c>
      <c r="J1487" s="201" t="s">
        <v>10</v>
      </c>
      <c r="K1487" s="201" t="s">
        <v>11</v>
      </c>
      <c r="L1487" s="201" t="s">
        <v>12</v>
      </c>
      <c r="M1487" s="201" t="s">
        <v>13</v>
      </c>
      <c r="N1487" s="201" t="s">
        <v>14</v>
      </c>
      <c r="O1487" s="5"/>
      <c r="P1487" s="5"/>
      <c r="Q1487" s="5"/>
      <c r="R1487" s="5"/>
      <c r="S1487" s="5"/>
      <c r="T1487" s="5"/>
      <c r="U1487" s="5"/>
      <c r="V1487" s="5"/>
      <c r="W1487" s="5"/>
      <c r="X1487" s="5"/>
      <c r="Y1487" s="5"/>
      <c r="Z1487" s="5"/>
    </row>
    <row r="1488" ht="12.0" customHeight="1">
      <c r="A1488" s="92" t="s">
        <v>647</v>
      </c>
      <c r="B1488" s="92" t="s">
        <v>633</v>
      </c>
      <c r="C1488" s="203">
        <f>(SUM('2034'!B6:B9)+SUM('2034'!B17:B20))*2</f>
        <v>56210.92</v>
      </c>
      <c r="D1488" s="203">
        <f>(SUM('2034'!C6:C9)+SUM('2034'!C17:C20))*2</f>
        <v>42864.02</v>
      </c>
      <c r="E1488" s="203">
        <f>(SUM('2034'!D6:D9)+SUM('2034'!D17:D20))*2</f>
        <v>40061.99</v>
      </c>
      <c r="F1488" s="203">
        <f>(SUM('2034'!E6:E9)+SUM('2034'!E17:E20))*2</f>
        <v>38308.06</v>
      </c>
      <c r="G1488" s="203">
        <f>(SUM('2034'!F6:F9)+SUM('2034'!F17:F20))*2</f>
        <v>35848.3</v>
      </c>
      <c r="H1488" s="203">
        <f>(SUM('2034'!G6:G9)+SUM('2034'!G17:G20))*2</f>
        <v>35142.47</v>
      </c>
      <c r="I1488" s="203">
        <f>(SUM('2034'!H6:H9)+SUM('2034'!H17:H20))*2</f>
        <v>37602.23</v>
      </c>
      <c r="J1488" s="203">
        <f>(SUM('2034'!I6:I9)+SUM('2034'!I17:I20))*2</f>
        <v>37602.23</v>
      </c>
      <c r="K1488" s="203">
        <f>(SUM('2034'!J6:J9)+SUM('2034'!J17:J20))*2</f>
        <v>37602.23</v>
      </c>
      <c r="L1488" s="203">
        <f>(SUM('2034'!K6:K9)+SUM('2034'!K17:K20))*2</f>
        <v>36896.4</v>
      </c>
      <c r="M1488" s="203">
        <f>(SUM('2034'!L6:L9)+SUM('2034'!L17:L20))*2</f>
        <v>36190.57</v>
      </c>
      <c r="N1488" s="203">
        <f>(SUM('2034'!M6:M9)+SUM('2034'!M17:M20))*2</f>
        <v>57622.58</v>
      </c>
      <c r="O1488" s="5"/>
      <c r="P1488" s="5"/>
      <c r="Q1488" s="5"/>
      <c r="R1488" s="5"/>
      <c r="S1488" s="5"/>
      <c r="T1488" s="5"/>
      <c r="U1488" s="5"/>
      <c r="V1488" s="5"/>
      <c r="W1488" s="5"/>
      <c r="X1488" s="5"/>
      <c r="Y1488" s="5"/>
      <c r="Z1488" s="5"/>
    </row>
    <row r="1489" ht="12.0" customHeight="1">
      <c r="A1489" s="5"/>
      <c r="B1489" s="92" t="s">
        <v>634</v>
      </c>
      <c r="C1489" s="204">
        <f>C1488/Parametros!$B$37</f>
        <v>2810.546</v>
      </c>
      <c r="D1489" s="204">
        <f>D1488/Parametros!$B$37</f>
        <v>2143.201</v>
      </c>
      <c r="E1489" s="204">
        <f>E1488/Parametros!$B$37</f>
        <v>2003.0995</v>
      </c>
      <c r="F1489" s="204">
        <f>F1488/Parametros!$B$37</f>
        <v>1915.403</v>
      </c>
      <c r="G1489" s="204">
        <f>G1488/Parametros!$B$37</f>
        <v>1792.415</v>
      </c>
      <c r="H1489" s="204">
        <f>H1488/Parametros!$B$37</f>
        <v>1757.1235</v>
      </c>
      <c r="I1489" s="204">
        <f>I1488/Parametros!$B$37</f>
        <v>1880.1115</v>
      </c>
      <c r="J1489" s="204">
        <f>J1488/Parametros!$B$37</f>
        <v>1880.1115</v>
      </c>
      <c r="K1489" s="204">
        <f>K1488/Parametros!$B$37</f>
        <v>1880.1115</v>
      </c>
      <c r="L1489" s="204">
        <f>L1488/Parametros!$B$37</f>
        <v>1844.82</v>
      </c>
      <c r="M1489" s="204">
        <f>M1488/Parametros!$B$37</f>
        <v>1809.5285</v>
      </c>
      <c r="N1489" s="204">
        <f>N1488/Parametros!$B$37</f>
        <v>2881.129</v>
      </c>
      <c r="O1489" s="5"/>
      <c r="P1489" s="5"/>
      <c r="Q1489" s="5"/>
      <c r="R1489" s="5"/>
      <c r="S1489" s="5"/>
      <c r="T1489" s="5"/>
      <c r="U1489" s="5"/>
      <c r="V1489" s="5"/>
      <c r="W1489" s="5"/>
      <c r="X1489" s="5"/>
      <c r="Y1489" s="5"/>
      <c r="Z1489" s="5"/>
    </row>
    <row r="1490" ht="12.0" customHeight="1">
      <c r="A1490" s="5"/>
      <c r="B1490" s="92" t="s">
        <v>635</v>
      </c>
      <c r="C1490" s="204">
        <f>C1489/Parametros!$J$37</f>
        <v>374.7394667</v>
      </c>
      <c r="D1490" s="204">
        <f>D1489/Parametros!$J$37</f>
        <v>285.7601333</v>
      </c>
      <c r="E1490" s="204">
        <f>E1489/Parametros!$J$37</f>
        <v>267.0799333</v>
      </c>
      <c r="F1490" s="204">
        <f>F1489/Parametros!$J$37</f>
        <v>255.3870667</v>
      </c>
      <c r="G1490" s="204">
        <f>G1489/Parametros!$J$37</f>
        <v>238.9886667</v>
      </c>
      <c r="H1490" s="204">
        <f>H1489/Parametros!$J$37</f>
        <v>234.2831333</v>
      </c>
      <c r="I1490" s="204">
        <f>I1489/Parametros!$J$37</f>
        <v>250.6815333</v>
      </c>
      <c r="J1490" s="204">
        <f>J1489/Parametros!$J$37</f>
        <v>250.6815333</v>
      </c>
      <c r="K1490" s="204">
        <f>K1489/Parametros!$J$37</f>
        <v>250.6815333</v>
      </c>
      <c r="L1490" s="204">
        <f>L1489/Parametros!$J$37</f>
        <v>245.976</v>
      </c>
      <c r="M1490" s="204">
        <f>M1489/Parametros!$J$37</f>
        <v>241.2704667</v>
      </c>
      <c r="N1490" s="204">
        <f>N1489/Parametros!$J$37</f>
        <v>384.1505333</v>
      </c>
      <c r="O1490" s="5"/>
      <c r="P1490" s="5"/>
      <c r="Q1490" s="5"/>
      <c r="R1490" s="5"/>
      <c r="S1490" s="5"/>
      <c r="T1490" s="5"/>
      <c r="U1490" s="5"/>
      <c r="V1490" s="5"/>
      <c r="W1490" s="5"/>
      <c r="X1490" s="5"/>
      <c r="Y1490" s="5"/>
      <c r="Z1490" s="5"/>
    </row>
    <row r="1491" ht="12.0" customHeight="1">
      <c r="A1491" s="92" t="s">
        <v>636</v>
      </c>
      <c r="B1491" s="5"/>
      <c r="C1491" s="204">
        <f t="shared" ref="C1491:N1491" si="439">C1490</f>
        <v>374.7394667</v>
      </c>
      <c r="D1491" s="204">
        <f t="shared" si="439"/>
        <v>285.7601333</v>
      </c>
      <c r="E1491" s="204">
        <f t="shared" si="439"/>
        <v>267.0799333</v>
      </c>
      <c r="F1491" s="204">
        <f t="shared" si="439"/>
        <v>255.3870667</v>
      </c>
      <c r="G1491" s="204">
        <f t="shared" si="439"/>
        <v>238.9886667</v>
      </c>
      <c r="H1491" s="204">
        <f t="shared" si="439"/>
        <v>234.2831333</v>
      </c>
      <c r="I1491" s="204">
        <f t="shared" si="439"/>
        <v>250.6815333</v>
      </c>
      <c r="J1491" s="204">
        <f t="shared" si="439"/>
        <v>250.6815333</v>
      </c>
      <c r="K1491" s="204">
        <f t="shared" si="439"/>
        <v>250.6815333</v>
      </c>
      <c r="L1491" s="204">
        <f t="shared" si="439"/>
        <v>245.976</v>
      </c>
      <c r="M1491" s="204">
        <f t="shared" si="439"/>
        <v>241.2704667</v>
      </c>
      <c r="N1491" s="204">
        <f t="shared" si="439"/>
        <v>384.1505333</v>
      </c>
      <c r="O1491" s="5"/>
      <c r="P1491" s="5"/>
      <c r="Q1491" s="5"/>
      <c r="R1491" s="5"/>
      <c r="S1491" s="5"/>
      <c r="T1491" s="5"/>
      <c r="U1491" s="5"/>
      <c r="V1491" s="5"/>
      <c r="W1491" s="5"/>
      <c r="X1491" s="5"/>
      <c r="Y1491" s="5"/>
      <c r="Z1491" s="5"/>
    </row>
    <row r="1492" ht="12.0" customHeight="1">
      <c r="A1492" s="92" t="s">
        <v>637</v>
      </c>
      <c r="B1492" s="5"/>
      <c r="C1492" s="205">
        <f>'Resumen Capacidad'!$J$113</f>
        <v>466.5116279</v>
      </c>
      <c r="D1492" s="205">
        <f>'Resumen Capacidad'!$J$113</f>
        <v>466.5116279</v>
      </c>
      <c r="E1492" s="205">
        <f>'Resumen Capacidad'!$J$113</f>
        <v>466.5116279</v>
      </c>
      <c r="F1492" s="205">
        <f>'Resumen Capacidad'!$J$113</f>
        <v>466.5116279</v>
      </c>
      <c r="G1492" s="205">
        <f>'Resumen Capacidad'!$J$113</f>
        <v>466.5116279</v>
      </c>
      <c r="H1492" s="205">
        <f>'Resumen Capacidad'!$J$113</f>
        <v>466.5116279</v>
      </c>
      <c r="I1492" s="205">
        <f>'Resumen Capacidad'!$J$113</f>
        <v>466.5116279</v>
      </c>
      <c r="J1492" s="205">
        <f>'Resumen Capacidad'!$J$113</f>
        <v>466.5116279</v>
      </c>
      <c r="K1492" s="205">
        <f>'Resumen Capacidad'!$J$113</f>
        <v>466.5116279</v>
      </c>
      <c r="L1492" s="205">
        <f>'Resumen Capacidad'!$J$113</f>
        <v>466.5116279</v>
      </c>
      <c r="M1492" s="205">
        <f>'Resumen Capacidad'!$J$113</f>
        <v>466.5116279</v>
      </c>
      <c r="N1492" s="205">
        <f>'Resumen Capacidad'!$J$113</f>
        <v>466.5116279</v>
      </c>
      <c r="O1492" s="5"/>
      <c r="P1492" s="5"/>
      <c r="Q1492" s="5"/>
      <c r="R1492" s="5"/>
      <c r="S1492" s="5"/>
      <c r="T1492" s="5"/>
      <c r="U1492" s="5"/>
      <c r="V1492" s="5"/>
      <c r="W1492" s="5"/>
      <c r="X1492" s="5"/>
      <c r="Y1492" s="5"/>
      <c r="Z1492" s="5"/>
    </row>
    <row r="1493" ht="12.0" customHeight="1">
      <c r="A1493" s="92" t="s">
        <v>640</v>
      </c>
      <c r="B1493" s="5"/>
      <c r="C1493" s="204">
        <f>'Resumen Capacidad'!$J$31*'Resumen Capacidad'!$J$67</f>
        <v>1</v>
      </c>
      <c r="D1493" s="204">
        <f>'Resumen Capacidad'!$J$31*'Resumen Capacidad'!$J$67</f>
        <v>1</v>
      </c>
      <c r="E1493" s="204">
        <f>'Resumen Capacidad'!$J$31*'Resumen Capacidad'!$J$67</f>
        <v>1</v>
      </c>
      <c r="F1493" s="204">
        <f>'Resumen Capacidad'!$J$31*'Resumen Capacidad'!$J$67</f>
        <v>1</v>
      </c>
      <c r="G1493" s="204">
        <f>'Resumen Capacidad'!$J$31*'Resumen Capacidad'!$J$67</f>
        <v>1</v>
      </c>
      <c r="H1493" s="204">
        <f>'Resumen Capacidad'!$J$31*'Resumen Capacidad'!$J$67</f>
        <v>1</v>
      </c>
      <c r="I1493" s="204">
        <f>'Resumen Capacidad'!$J$31*'Resumen Capacidad'!$J$67</f>
        <v>1</v>
      </c>
      <c r="J1493" s="204">
        <f>'Resumen Capacidad'!$J$31*'Resumen Capacidad'!$J$67</f>
        <v>1</v>
      </c>
      <c r="K1493" s="204">
        <f>'Resumen Capacidad'!$J$31*'Resumen Capacidad'!$J$67</f>
        <v>1</v>
      </c>
      <c r="L1493" s="204">
        <f>'Resumen Capacidad'!$J$31*'Resumen Capacidad'!$J$67</f>
        <v>1</v>
      </c>
      <c r="M1493" s="204">
        <f>'Resumen Capacidad'!$J$31*'Resumen Capacidad'!$J$67</f>
        <v>1</v>
      </c>
      <c r="N1493" s="204">
        <f>'Resumen Capacidad'!$J$31*'Resumen Capacidad'!$J$67</f>
        <v>1</v>
      </c>
      <c r="O1493" s="5"/>
      <c r="P1493" s="5"/>
      <c r="Q1493" s="5"/>
      <c r="R1493" s="5"/>
      <c r="S1493" s="5"/>
      <c r="T1493" s="5"/>
      <c r="U1493" s="5"/>
      <c r="V1493" s="5"/>
      <c r="W1493" s="5"/>
      <c r="X1493" s="5"/>
      <c r="Y1493" s="5"/>
      <c r="Z1493" s="5"/>
    </row>
    <row r="1494" ht="12.0" customHeight="1">
      <c r="A1494" s="92" t="s">
        <v>642</v>
      </c>
      <c r="B1494" s="5"/>
      <c r="C1494" s="204">
        <f t="shared" ref="C1494:N1494" si="440">C1492*C1493</f>
        <v>466.5116279</v>
      </c>
      <c r="D1494" s="204">
        <f t="shared" si="440"/>
        <v>466.5116279</v>
      </c>
      <c r="E1494" s="204">
        <f t="shared" si="440"/>
        <v>466.5116279</v>
      </c>
      <c r="F1494" s="204">
        <f t="shared" si="440"/>
        <v>466.5116279</v>
      </c>
      <c r="G1494" s="204">
        <f t="shared" si="440"/>
        <v>466.5116279</v>
      </c>
      <c r="H1494" s="204">
        <f t="shared" si="440"/>
        <v>466.5116279</v>
      </c>
      <c r="I1494" s="204">
        <f t="shared" si="440"/>
        <v>466.5116279</v>
      </c>
      <c r="J1494" s="204">
        <f t="shared" si="440"/>
        <v>466.5116279</v>
      </c>
      <c r="K1494" s="204">
        <f t="shared" si="440"/>
        <v>466.5116279</v>
      </c>
      <c r="L1494" s="204">
        <f t="shared" si="440"/>
        <v>466.5116279</v>
      </c>
      <c r="M1494" s="204">
        <f t="shared" si="440"/>
        <v>466.5116279</v>
      </c>
      <c r="N1494" s="204">
        <f t="shared" si="440"/>
        <v>466.5116279</v>
      </c>
      <c r="O1494" s="5"/>
      <c r="P1494" s="5"/>
      <c r="Q1494" s="5"/>
      <c r="R1494" s="5"/>
      <c r="S1494" s="5"/>
      <c r="T1494" s="5"/>
      <c r="U1494" s="5"/>
      <c r="V1494" s="5"/>
      <c r="W1494" s="5"/>
      <c r="X1494" s="5"/>
      <c r="Y1494" s="5"/>
      <c r="Z1494" s="5"/>
    </row>
    <row r="1495" ht="12.0" customHeight="1">
      <c r="A1495" s="92" t="s">
        <v>643</v>
      </c>
      <c r="B1495" s="5"/>
      <c r="C1495" s="206">
        <f t="shared" ref="C1495:N1495" si="441">IF(C1494=0,0,C1491/C1494)</f>
        <v>0.8032800133</v>
      </c>
      <c r="D1495" s="206">
        <f t="shared" si="441"/>
        <v>0.6125466467</v>
      </c>
      <c r="E1495" s="206">
        <f t="shared" si="441"/>
        <v>0.5725043436</v>
      </c>
      <c r="F1495" s="206">
        <f t="shared" si="441"/>
        <v>0.5474398737</v>
      </c>
      <c r="G1495" s="206">
        <f t="shared" si="441"/>
        <v>0.512288767</v>
      </c>
      <c r="H1495" s="206">
        <f t="shared" si="441"/>
        <v>0.5022021303</v>
      </c>
      <c r="I1495" s="206">
        <f t="shared" si="441"/>
        <v>0.537353237</v>
      </c>
      <c r="J1495" s="206">
        <f t="shared" si="441"/>
        <v>0.537353237</v>
      </c>
      <c r="K1495" s="206">
        <f t="shared" si="441"/>
        <v>0.537353237</v>
      </c>
      <c r="L1495" s="206">
        <f t="shared" si="441"/>
        <v>0.5272666002</v>
      </c>
      <c r="M1495" s="206">
        <f t="shared" si="441"/>
        <v>0.5171799634</v>
      </c>
      <c r="N1495" s="206">
        <f t="shared" si="441"/>
        <v>0.8234532868</v>
      </c>
      <c r="O1495" s="5"/>
      <c r="P1495" s="5"/>
      <c r="Q1495" s="5"/>
      <c r="R1495" s="5"/>
      <c r="S1495" s="5"/>
      <c r="T1495" s="5"/>
      <c r="U1495" s="5"/>
      <c r="V1495" s="5"/>
      <c r="W1495" s="5"/>
      <c r="X1495" s="5"/>
      <c r="Y1495" s="5"/>
      <c r="Z1495" s="5"/>
    </row>
    <row r="1496" ht="12.0" customHeight="1">
      <c r="A1496" s="201" t="s">
        <v>649</v>
      </c>
      <c r="B1496" s="202"/>
      <c r="C1496" s="202"/>
      <c r="D1496" s="202"/>
      <c r="E1496" s="202"/>
      <c r="F1496" s="202"/>
      <c r="G1496" s="202"/>
      <c r="H1496" s="202"/>
      <c r="I1496" s="202"/>
      <c r="J1496" s="202"/>
      <c r="K1496" s="202"/>
      <c r="L1496" s="202"/>
      <c r="M1496" s="202"/>
      <c r="N1496" s="202"/>
      <c r="O1496" s="5"/>
      <c r="P1496" s="5"/>
      <c r="Q1496" s="5"/>
      <c r="R1496" s="5"/>
      <c r="S1496" s="5"/>
      <c r="T1496" s="5"/>
      <c r="U1496" s="5"/>
      <c r="V1496" s="5"/>
      <c r="W1496" s="5"/>
      <c r="X1496" s="5"/>
      <c r="Y1496" s="5"/>
      <c r="Z1496" s="5"/>
    </row>
    <row r="1497" ht="12.0" customHeight="1">
      <c r="A1497" s="201" t="s">
        <v>630</v>
      </c>
      <c r="B1497" s="201" t="s">
        <v>631</v>
      </c>
      <c r="C1497" s="201" t="s">
        <v>3</v>
      </c>
      <c r="D1497" s="201" t="s">
        <v>4</v>
      </c>
      <c r="E1497" s="201" t="s">
        <v>5</v>
      </c>
      <c r="F1497" s="201" t="s">
        <v>6</v>
      </c>
      <c r="G1497" s="201" t="s">
        <v>7</v>
      </c>
      <c r="H1497" s="201" t="s">
        <v>8</v>
      </c>
      <c r="I1497" s="201" t="s">
        <v>9</v>
      </c>
      <c r="J1497" s="201" t="s">
        <v>10</v>
      </c>
      <c r="K1497" s="201" t="s">
        <v>11</v>
      </c>
      <c r="L1497" s="201" t="s">
        <v>12</v>
      </c>
      <c r="M1497" s="201" t="s">
        <v>13</v>
      </c>
      <c r="N1497" s="201" t="s">
        <v>14</v>
      </c>
      <c r="O1497" s="5"/>
      <c r="P1497" s="5"/>
      <c r="Q1497" s="5"/>
      <c r="R1497" s="5"/>
      <c r="S1497" s="5"/>
      <c r="T1497" s="5"/>
      <c r="U1497" s="5"/>
      <c r="V1497" s="5"/>
      <c r="W1497" s="5"/>
      <c r="X1497" s="5"/>
      <c r="Y1497" s="5"/>
      <c r="Z1497" s="5"/>
    </row>
    <row r="1498" ht="12.0" customHeight="1">
      <c r="A1498" s="92" t="s">
        <v>632</v>
      </c>
      <c r="B1498" s="92" t="s">
        <v>633</v>
      </c>
      <c r="C1498" s="203">
        <f>SUM('2034'!B6:B9)+SUM('2034'!B17:B20)</f>
        <v>28105.46</v>
      </c>
      <c r="D1498" s="203">
        <f>SUM('2034'!C6:C9)+SUM('2034'!C17:C20)</f>
        <v>21432.01</v>
      </c>
      <c r="E1498" s="203">
        <f>SUM('2034'!D6:D9)+SUM('2034'!D17:D20)</f>
        <v>20030.995</v>
      </c>
      <c r="F1498" s="203">
        <f>SUM('2034'!E6:E9)+SUM('2034'!E17:E20)</f>
        <v>19154.03</v>
      </c>
      <c r="G1498" s="203">
        <f>SUM('2034'!F6:F9)+SUM('2034'!F17:F20)</f>
        <v>17924.15</v>
      </c>
      <c r="H1498" s="203">
        <f>SUM('2034'!G6:G9)+SUM('2034'!G17:G20)</f>
        <v>17571.235</v>
      </c>
      <c r="I1498" s="203">
        <f>SUM('2034'!H6:H9)+SUM('2034'!H17:H20)</f>
        <v>18801.115</v>
      </c>
      <c r="J1498" s="203">
        <f>SUM('2034'!I6:I9)+SUM('2034'!I17:I20)</f>
        <v>18801.115</v>
      </c>
      <c r="K1498" s="203">
        <f>SUM('2034'!J6:J9)+SUM('2034'!J17:J20)</f>
        <v>18801.115</v>
      </c>
      <c r="L1498" s="203">
        <f>SUM('2034'!K6:K9)+SUM('2034'!K17:K20)</f>
        <v>18448.2</v>
      </c>
      <c r="M1498" s="203">
        <f>SUM('2034'!L6:L9)+SUM('2034'!L17:L20)</f>
        <v>18095.285</v>
      </c>
      <c r="N1498" s="203">
        <f>SUM('2034'!M6:M9)+SUM('2034'!M17:M20)</f>
        <v>28811.29</v>
      </c>
      <c r="O1498" s="5"/>
      <c r="P1498" s="5"/>
      <c r="Q1498" s="5"/>
      <c r="R1498" s="5"/>
      <c r="S1498" s="5"/>
      <c r="T1498" s="5"/>
      <c r="U1498" s="5"/>
      <c r="V1498" s="5"/>
      <c r="W1498" s="5"/>
      <c r="X1498" s="5"/>
      <c r="Y1498" s="5"/>
      <c r="Z1498" s="5"/>
    </row>
    <row r="1499" ht="12.0" customHeight="1">
      <c r="A1499" s="5"/>
      <c r="B1499" s="92" t="s">
        <v>634</v>
      </c>
      <c r="C1499" s="204">
        <f>C1498/Parametros!$B$37</f>
        <v>1405.273</v>
      </c>
      <c r="D1499" s="204">
        <f>D1498/Parametros!$B$37</f>
        <v>1071.6005</v>
      </c>
      <c r="E1499" s="204">
        <f>E1498/Parametros!$B$37</f>
        <v>1001.54975</v>
      </c>
      <c r="F1499" s="204">
        <f>F1498/Parametros!$B$37</f>
        <v>957.7015</v>
      </c>
      <c r="G1499" s="204">
        <f>G1498/Parametros!$B$37</f>
        <v>896.2075</v>
      </c>
      <c r="H1499" s="204">
        <f>H1498/Parametros!$B$37</f>
        <v>878.56175</v>
      </c>
      <c r="I1499" s="204">
        <f>I1498/Parametros!$B$37</f>
        <v>940.05575</v>
      </c>
      <c r="J1499" s="204">
        <f>J1498/Parametros!$B$37</f>
        <v>940.05575</v>
      </c>
      <c r="K1499" s="204">
        <f>K1498/Parametros!$B$37</f>
        <v>940.05575</v>
      </c>
      <c r="L1499" s="204">
        <f>L1498/Parametros!$B$37</f>
        <v>922.41</v>
      </c>
      <c r="M1499" s="204">
        <f>M1498/Parametros!$B$37</f>
        <v>904.76425</v>
      </c>
      <c r="N1499" s="204">
        <f>N1498/Parametros!$B$37</f>
        <v>1440.5645</v>
      </c>
      <c r="O1499" s="5"/>
      <c r="P1499" s="5"/>
      <c r="Q1499" s="5"/>
      <c r="R1499" s="5"/>
      <c r="S1499" s="5"/>
      <c r="T1499" s="5"/>
      <c r="U1499" s="5"/>
      <c r="V1499" s="5"/>
      <c r="W1499" s="5"/>
      <c r="X1499" s="5"/>
      <c r="Y1499" s="5"/>
      <c r="Z1499" s="5"/>
    </row>
    <row r="1500" ht="12.0" customHeight="1">
      <c r="A1500" s="5"/>
      <c r="B1500" s="92" t="s">
        <v>635</v>
      </c>
      <c r="C1500" s="204">
        <f>C1499/Parametros!$J$37</f>
        <v>187.3697333</v>
      </c>
      <c r="D1500" s="204">
        <f>D1499/Parametros!$J$37</f>
        <v>142.8800667</v>
      </c>
      <c r="E1500" s="204">
        <f>E1499/Parametros!$J$37</f>
        <v>133.5399667</v>
      </c>
      <c r="F1500" s="204">
        <f>F1499/Parametros!$J$37</f>
        <v>127.6935333</v>
      </c>
      <c r="G1500" s="204">
        <f>G1499/Parametros!$J$37</f>
        <v>119.4943333</v>
      </c>
      <c r="H1500" s="204">
        <f>H1499/Parametros!$J$37</f>
        <v>117.1415667</v>
      </c>
      <c r="I1500" s="204">
        <f>I1499/Parametros!$J$37</f>
        <v>125.3407667</v>
      </c>
      <c r="J1500" s="204">
        <f>J1499/Parametros!$J$37</f>
        <v>125.3407667</v>
      </c>
      <c r="K1500" s="204">
        <f>K1499/Parametros!$J$37</f>
        <v>125.3407667</v>
      </c>
      <c r="L1500" s="204">
        <f>L1499/Parametros!$J$37</f>
        <v>122.988</v>
      </c>
      <c r="M1500" s="204">
        <f>M1499/Parametros!$J$37</f>
        <v>120.6352333</v>
      </c>
      <c r="N1500" s="204">
        <f>N1499/Parametros!$J$37</f>
        <v>192.0752667</v>
      </c>
      <c r="O1500" s="5"/>
      <c r="P1500" s="5"/>
      <c r="Q1500" s="5"/>
      <c r="R1500" s="5"/>
      <c r="S1500" s="5"/>
      <c r="T1500" s="5"/>
      <c r="U1500" s="5"/>
      <c r="V1500" s="5"/>
      <c r="W1500" s="5"/>
      <c r="X1500" s="5"/>
      <c r="Y1500" s="5"/>
      <c r="Z1500" s="5"/>
    </row>
    <row r="1501" ht="12.0" customHeight="1">
      <c r="A1501" s="92" t="s">
        <v>636</v>
      </c>
      <c r="B1501" s="5"/>
      <c r="C1501" s="204">
        <f t="shared" ref="C1501:N1501" si="442">C1500</f>
        <v>187.3697333</v>
      </c>
      <c r="D1501" s="204">
        <f t="shared" si="442"/>
        <v>142.8800667</v>
      </c>
      <c r="E1501" s="204">
        <f t="shared" si="442"/>
        <v>133.5399667</v>
      </c>
      <c r="F1501" s="204">
        <f t="shared" si="442"/>
        <v>127.6935333</v>
      </c>
      <c r="G1501" s="204">
        <f t="shared" si="442"/>
        <v>119.4943333</v>
      </c>
      <c r="H1501" s="204">
        <f t="shared" si="442"/>
        <v>117.1415667</v>
      </c>
      <c r="I1501" s="204">
        <f t="shared" si="442"/>
        <v>125.3407667</v>
      </c>
      <c r="J1501" s="204">
        <f t="shared" si="442"/>
        <v>125.3407667</v>
      </c>
      <c r="K1501" s="204">
        <f t="shared" si="442"/>
        <v>125.3407667</v>
      </c>
      <c r="L1501" s="204">
        <f t="shared" si="442"/>
        <v>122.988</v>
      </c>
      <c r="M1501" s="204">
        <f t="shared" si="442"/>
        <v>120.6352333</v>
      </c>
      <c r="N1501" s="204">
        <f t="shared" si="442"/>
        <v>192.0752667</v>
      </c>
      <c r="O1501" s="5"/>
      <c r="P1501" s="5"/>
      <c r="Q1501" s="5"/>
      <c r="R1501" s="5"/>
      <c r="S1501" s="5"/>
      <c r="T1501" s="5"/>
      <c r="U1501" s="5"/>
      <c r="V1501" s="5"/>
      <c r="W1501" s="5"/>
      <c r="X1501" s="5"/>
      <c r="Y1501" s="5"/>
      <c r="Z1501" s="5"/>
    </row>
    <row r="1502" ht="12.0" customHeight="1">
      <c r="A1502" s="92" t="s">
        <v>637</v>
      </c>
      <c r="B1502" s="5"/>
      <c r="C1502" s="205">
        <f>'Resumen Capacidad'!$J$114</f>
        <v>96</v>
      </c>
      <c r="D1502" s="205">
        <f>'Resumen Capacidad'!$J$114</f>
        <v>96</v>
      </c>
      <c r="E1502" s="205">
        <f>'Resumen Capacidad'!$J$114</f>
        <v>96</v>
      </c>
      <c r="F1502" s="205">
        <f>'Resumen Capacidad'!$J$114</f>
        <v>96</v>
      </c>
      <c r="G1502" s="205">
        <f>'Resumen Capacidad'!$J$114</f>
        <v>96</v>
      </c>
      <c r="H1502" s="205">
        <f>'Resumen Capacidad'!$J$114</f>
        <v>96</v>
      </c>
      <c r="I1502" s="205">
        <f>'Resumen Capacidad'!$J$114</f>
        <v>96</v>
      </c>
      <c r="J1502" s="205">
        <f>'Resumen Capacidad'!$J$114</f>
        <v>96</v>
      </c>
      <c r="K1502" s="205">
        <f>'Resumen Capacidad'!$J$114</f>
        <v>96</v>
      </c>
      <c r="L1502" s="205">
        <f>'Resumen Capacidad'!$J$114</f>
        <v>96</v>
      </c>
      <c r="M1502" s="205">
        <f>'Resumen Capacidad'!$J$114</f>
        <v>96</v>
      </c>
      <c r="N1502" s="205">
        <f>'Resumen Capacidad'!$J$114</f>
        <v>96</v>
      </c>
      <c r="O1502" s="5"/>
      <c r="P1502" s="5"/>
      <c r="Q1502" s="5"/>
      <c r="R1502" s="5"/>
      <c r="S1502" s="5"/>
      <c r="T1502" s="5"/>
      <c r="U1502" s="5"/>
      <c r="V1502" s="5"/>
      <c r="W1502" s="5"/>
      <c r="X1502" s="5"/>
      <c r="Y1502" s="5"/>
      <c r="Z1502" s="5"/>
    </row>
    <row r="1503" ht="12.0" customHeight="1">
      <c r="A1503" s="92" t="s">
        <v>640</v>
      </c>
      <c r="B1503" s="5"/>
      <c r="C1503" s="204">
        <f>'Resumen Capacidad'!$J$32*'Resumen Capacidad'!$J$68</f>
        <v>4</v>
      </c>
      <c r="D1503" s="204">
        <f>'Resumen Capacidad'!$J$32*'Resumen Capacidad'!$J$68</f>
        <v>4</v>
      </c>
      <c r="E1503" s="204">
        <f>'Resumen Capacidad'!$J$32*'Resumen Capacidad'!$J$68</f>
        <v>4</v>
      </c>
      <c r="F1503" s="204">
        <f>'Resumen Capacidad'!$J$32*'Resumen Capacidad'!$J$68</f>
        <v>4</v>
      </c>
      <c r="G1503" s="204">
        <f>'Resumen Capacidad'!$J$32*'Resumen Capacidad'!$J$68</f>
        <v>4</v>
      </c>
      <c r="H1503" s="204">
        <f>'Resumen Capacidad'!$J$32*'Resumen Capacidad'!$J$68</f>
        <v>4</v>
      </c>
      <c r="I1503" s="204">
        <f>'Resumen Capacidad'!$J$32*'Resumen Capacidad'!$J$68</f>
        <v>4</v>
      </c>
      <c r="J1503" s="204">
        <f>'Resumen Capacidad'!$J$32*'Resumen Capacidad'!$J$68</f>
        <v>4</v>
      </c>
      <c r="K1503" s="204">
        <f>'Resumen Capacidad'!$J$32*'Resumen Capacidad'!$J$68</f>
        <v>4</v>
      </c>
      <c r="L1503" s="204">
        <f>'Resumen Capacidad'!$J$32*'Resumen Capacidad'!$J$68</f>
        <v>4</v>
      </c>
      <c r="M1503" s="204">
        <f>'Resumen Capacidad'!$J$32*'Resumen Capacidad'!$J$68</f>
        <v>4</v>
      </c>
      <c r="N1503" s="204">
        <f>'Resumen Capacidad'!$J$32*'Resumen Capacidad'!$J$68</f>
        <v>4</v>
      </c>
      <c r="O1503" s="5"/>
      <c r="P1503" s="5"/>
      <c r="Q1503" s="5"/>
      <c r="R1503" s="5"/>
      <c r="S1503" s="5"/>
      <c r="T1503" s="5"/>
      <c r="U1503" s="5"/>
      <c r="V1503" s="5"/>
      <c r="W1503" s="5"/>
      <c r="X1503" s="5"/>
      <c r="Y1503" s="5"/>
      <c r="Z1503" s="5"/>
    </row>
    <row r="1504" ht="12.0" customHeight="1">
      <c r="A1504" s="92" t="s">
        <v>642</v>
      </c>
      <c r="B1504" s="5"/>
      <c r="C1504" s="204">
        <f t="shared" ref="C1504:N1504" si="443">C1502*C1503</f>
        <v>384</v>
      </c>
      <c r="D1504" s="204">
        <f t="shared" si="443"/>
        <v>384</v>
      </c>
      <c r="E1504" s="204">
        <f t="shared" si="443"/>
        <v>384</v>
      </c>
      <c r="F1504" s="204">
        <f t="shared" si="443"/>
        <v>384</v>
      </c>
      <c r="G1504" s="204">
        <f t="shared" si="443"/>
        <v>384</v>
      </c>
      <c r="H1504" s="204">
        <f t="shared" si="443"/>
        <v>384</v>
      </c>
      <c r="I1504" s="204">
        <f t="shared" si="443"/>
        <v>384</v>
      </c>
      <c r="J1504" s="204">
        <f t="shared" si="443"/>
        <v>384</v>
      </c>
      <c r="K1504" s="204">
        <f t="shared" si="443"/>
        <v>384</v>
      </c>
      <c r="L1504" s="204">
        <f t="shared" si="443"/>
        <v>384</v>
      </c>
      <c r="M1504" s="204">
        <f t="shared" si="443"/>
        <v>384</v>
      </c>
      <c r="N1504" s="204">
        <f t="shared" si="443"/>
        <v>384</v>
      </c>
      <c r="O1504" s="5"/>
      <c r="P1504" s="5"/>
      <c r="Q1504" s="5"/>
      <c r="R1504" s="5"/>
      <c r="S1504" s="5"/>
      <c r="T1504" s="5"/>
      <c r="U1504" s="5"/>
      <c r="V1504" s="5"/>
      <c r="W1504" s="5"/>
      <c r="X1504" s="5"/>
      <c r="Y1504" s="5"/>
      <c r="Z1504" s="5"/>
    </row>
    <row r="1505" ht="12.0" customHeight="1">
      <c r="A1505" s="92" t="s">
        <v>643</v>
      </c>
      <c r="B1505" s="5"/>
      <c r="C1505" s="206">
        <f t="shared" ref="C1505:N1505" si="444">IF(C1504=0,0,C1501/C1504)</f>
        <v>0.4879420139</v>
      </c>
      <c r="D1505" s="206">
        <f t="shared" si="444"/>
        <v>0.3720835069</v>
      </c>
      <c r="E1505" s="206">
        <f t="shared" si="444"/>
        <v>0.3477603299</v>
      </c>
      <c r="F1505" s="206">
        <f t="shared" si="444"/>
        <v>0.3325352431</v>
      </c>
      <c r="G1505" s="206">
        <f t="shared" si="444"/>
        <v>0.3111831597</v>
      </c>
      <c r="H1505" s="206">
        <f t="shared" si="444"/>
        <v>0.3050561632</v>
      </c>
      <c r="I1505" s="206">
        <f t="shared" si="444"/>
        <v>0.3264082465</v>
      </c>
      <c r="J1505" s="206">
        <f t="shared" si="444"/>
        <v>0.3264082465</v>
      </c>
      <c r="K1505" s="206">
        <f t="shared" si="444"/>
        <v>0.3264082465</v>
      </c>
      <c r="L1505" s="206">
        <f t="shared" si="444"/>
        <v>0.32028125</v>
      </c>
      <c r="M1505" s="206">
        <f t="shared" si="444"/>
        <v>0.3141542535</v>
      </c>
      <c r="N1505" s="206">
        <f t="shared" si="444"/>
        <v>0.5001960069</v>
      </c>
      <c r="O1505" s="5"/>
      <c r="P1505" s="5"/>
      <c r="Q1505" s="5"/>
      <c r="R1505" s="5"/>
      <c r="S1505" s="5"/>
      <c r="T1505" s="5"/>
      <c r="U1505" s="5"/>
      <c r="V1505" s="5"/>
      <c r="W1505" s="5"/>
      <c r="X1505" s="5"/>
      <c r="Y1505" s="5"/>
      <c r="Z1505" s="5"/>
    </row>
    <row r="1506" ht="12.0" customHeight="1">
      <c r="A1506" s="201" t="s">
        <v>650</v>
      </c>
      <c r="B1506" s="202"/>
      <c r="C1506" s="202"/>
      <c r="D1506" s="202"/>
      <c r="E1506" s="202"/>
      <c r="F1506" s="202"/>
      <c r="G1506" s="202"/>
      <c r="H1506" s="202"/>
      <c r="I1506" s="202"/>
      <c r="J1506" s="202"/>
      <c r="K1506" s="202"/>
      <c r="L1506" s="202"/>
      <c r="M1506" s="202"/>
      <c r="N1506" s="202"/>
      <c r="O1506" s="5"/>
      <c r="P1506" s="5"/>
      <c r="Q1506" s="5"/>
      <c r="R1506" s="5"/>
      <c r="S1506" s="5"/>
      <c r="T1506" s="5"/>
      <c r="U1506" s="5"/>
      <c r="V1506" s="5"/>
      <c r="W1506" s="5"/>
      <c r="X1506" s="5"/>
      <c r="Y1506" s="5"/>
      <c r="Z1506" s="5"/>
    </row>
    <row r="1507" ht="12.0" customHeight="1">
      <c r="A1507" s="201" t="s">
        <v>630</v>
      </c>
      <c r="B1507" s="201" t="s">
        <v>631</v>
      </c>
      <c r="C1507" s="201" t="s">
        <v>3</v>
      </c>
      <c r="D1507" s="201" t="s">
        <v>4</v>
      </c>
      <c r="E1507" s="201" t="s">
        <v>5</v>
      </c>
      <c r="F1507" s="201" t="s">
        <v>6</v>
      </c>
      <c r="G1507" s="201" t="s">
        <v>7</v>
      </c>
      <c r="H1507" s="201" t="s">
        <v>8</v>
      </c>
      <c r="I1507" s="201" t="s">
        <v>9</v>
      </c>
      <c r="J1507" s="201" t="s">
        <v>10</v>
      </c>
      <c r="K1507" s="201" t="s">
        <v>11</v>
      </c>
      <c r="L1507" s="201" t="s">
        <v>12</v>
      </c>
      <c r="M1507" s="201" t="s">
        <v>13</v>
      </c>
      <c r="N1507" s="201" t="s">
        <v>14</v>
      </c>
      <c r="O1507" s="5"/>
      <c r="P1507" s="5"/>
      <c r="Q1507" s="5"/>
      <c r="R1507" s="5"/>
      <c r="S1507" s="5"/>
      <c r="T1507" s="5"/>
      <c r="U1507" s="5"/>
      <c r="V1507" s="5"/>
      <c r="W1507" s="5"/>
      <c r="X1507" s="5"/>
      <c r="Y1507" s="5"/>
      <c r="Z1507" s="5"/>
    </row>
    <row r="1508" ht="12.0" customHeight="1">
      <c r="A1508" s="92" t="s">
        <v>651</v>
      </c>
      <c r="B1508" s="92" t="s">
        <v>633</v>
      </c>
      <c r="C1508" s="203">
        <f>SUM('2034'!B7:B9)+SUM('2034'!B18:B20)</f>
        <v>7058.3</v>
      </c>
      <c r="D1508" s="203">
        <f>SUM('2034'!C7:C9)+SUM('2034'!C18:C20)</f>
        <v>5646.64</v>
      </c>
      <c r="E1508" s="203">
        <f>SUM('2034'!D7:D9)+SUM('2034'!D18:D20)</f>
        <v>5999.555</v>
      </c>
      <c r="F1508" s="203">
        <f>SUM('2034'!E7:E9)+SUM('2034'!E18:E20)</f>
        <v>5999.555</v>
      </c>
      <c r="G1508" s="203">
        <f>SUM('2034'!F7:F9)+SUM('2034'!F18:F20)</f>
        <v>5646.64</v>
      </c>
      <c r="H1508" s="203">
        <f>SUM('2034'!G7:G9)+SUM('2034'!G18:G20)</f>
        <v>5293.725</v>
      </c>
      <c r="I1508" s="203">
        <f>SUM('2034'!H7:H9)+SUM('2034'!H18:H20)</f>
        <v>5646.64</v>
      </c>
      <c r="J1508" s="203">
        <f>SUM('2034'!I7:I9)+SUM('2034'!I18:I20)</f>
        <v>5646.64</v>
      </c>
      <c r="K1508" s="203">
        <f>SUM('2034'!J7:J9)+SUM('2034'!J18:J20)</f>
        <v>5646.64</v>
      </c>
      <c r="L1508" s="203">
        <f>SUM('2034'!K7:K9)+SUM('2034'!K18:K20)</f>
        <v>5293.725</v>
      </c>
      <c r="M1508" s="203">
        <f>SUM('2034'!L7:L9)+SUM('2034'!L18:L20)</f>
        <v>4940.81</v>
      </c>
      <c r="N1508" s="203">
        <f>SUM('2034'!M7:M9)+SUM('2034'!M18:M20)</f>
        <v>7764.13</v>
      </c>
      <c r="O1508" s="5"/>
      <c r="P1508" s="5"/>
      <c r="Q1508" s="5"/>
      <c r="R1508" s="5"/>
      <c r="S1508" s="5"/>
      <c r="T1508" s="5"/>
      <c r="U1508" s="5"/>
      <c r="V1508" s="5"/>
      <c r="W1508" s="5"/>
      <c r="X1508" s="5"/>
      <c r="Y1508" s="5"/>
      <c r="Z1508" s="5"/>
    </row>
    <row r="1509" ht="12.0" customHeight="1">
      <c r="A1509" s="5"/>
      <c r="B1509" s="92" t="s">
        <v>634</v>
      </c>
      <c r="C1509" s="204">
        <f>C1508/Parametros!$B$37</f>
        <v>352.915</v>
      </c>
      <c r="D1509" s="204">
        <f>D1508/Parametros!$B$37</f>
        <v>282.332</v>
      </c>
      <c r="E1509" s="204">
        <f>E1508/Parametros!$B$37</f>
        <v>299.97775</v>
      </c>
      <c r="F1509" s="204">
        <f>F1508/Parametros!$B$37</f>
        <v>299.97775</v>
      </c>
      <c r="G1509" s="204">
        <f>G1508/Parametros!$B$37</f>
        <v>282.332</v>
      </c>
      <c r="H1509" s="204">
        <f>H1508/Parametros!$B$37</f>
        <v>264.68625</v>
      </c>
      <c r="I1509" s="204">
        <f>I1508/Parametros!$B$37</f>
        <v>282.332</v>
      </c>
      <c r="J1509" s="204">
        <f>J1508/Parametros!$B$37</f>
        <v>282.332</v>
      </c>
      <c r="K1509" s="204">
        <f>K1508/Parametros!$B$37</f>
        <v>282.332</v>
      </c>
      <c r="L1509" s="204">
        <f>L1508/Parametros!$B$37</f>
        <v>264.68625</v>
      </c>
      <c r="M1509" s="204">
        <f>M1508/Parametros!$B$37</f>
        <v>247.0405</v>
      </c>
      <c r="N1509" s="204">
        <f>N1508/Parametros!$B$37</f>
        <v>388.2065</v>
      </c>
      <c r="O1509" s="5"/>
      <c r="P1509" s="5"/>
      <c r="Q1509" s="5"/>
      <c r="R1509" s="5"/>
      <c r="S1509" s="5"/>
      <c r="T1509" s="5"/>
      <c r="U1509" s="5"/>
      <c r="V1509" s="5"/>
      <c r="W1509" s="5"/>
      <c r="X1509" s="5"/>
      <c r="Y1509" s="5"/>
      <c r="Z1509" s="5"/>
    </row>
    <row r="1510" ht="12.0" customHeight="1">
      <c r="A1510" s="5"/>
      <c r="B1510" s="92" t="s">
        <v>635</v>
      </c>
      <c r="C1510" s="204">
        <f>C1509/Parametros!$J$37</f>
        <v>47.05533333</v>
      </c>
      <c r="D1510" s="204">
        <f>D1509/Parametros!$J$37</f>
        <v>37.64426667</v>
      </c>
      <c r="E1510" s="204">
        <f>E1509/Parametros!$J$37</f>
        <v>39.99703333</v>
      </c>
      <c r="F1510" s="204">
        <f>F1509/Parametros!$J$37</f>
        <v>39.99703333</v>
      </c>
      <c r="G1510" s="204">
        <f>G1509/Parametros!$J$37</f>
        <v>37.64426667</v>
      </c>
      <c r="H1510" s="204">
        <f>H1509/Parametros!$J$37</f>
        <v>35.2915</v>
      </c>
      <c r="I1510" s="204">
        <f>I1509/Parametros!$J$37</f>
        <v>37.64426667</v>
      </c>
      <c r="J1510" s="204">
        <f>J1509/Parametros!$J$37</f>
        <v>37.64426667</v>
      </c>
      <c r="K1510" s="204">
        <f>K1509/Parametros!$J$37</f>
        <v>37.64426667</v>
      </c>
      <c r="L1510" s="204">
        <f>L1509/Parametros!$J$37</f>
        <v>35.2915</v>
      </c>
      <c r="M1510" s="204">
        <f>M1509/Parametros!$J$37</f>
        <v>32.93873333</v>
      </c>
      <c r="N1510" s="204">
        <f>N1509/Parametros!$J$37</f>
        <v>51.76086667</v>
      </c>
      <c r="O1510" s="5"/>
      <c r="P1510" s="5"/>
      <c r="Q1510" s="5"/>
      <c r="R1510" s="5"/>
      <c r="S1510" s="5"/>
      <c r="T1510" s="5"/>
      <c r="U1510" s="5"/>
      <c r="V1510" s="5"/>
      <c r="W1510" s="5"/>
      <c r="X1510" s="5"/>
      <c r="Y1510" s="5"/>
      <c r="Z1510" s="5"/>
    </row>
    <row r="1511" ht="12.0" customHeight="1">
      <c r="A1511" s="92" t="s">
        <v>636</v>
      </c>
      <c r="B1511" s="5"/>
      <c r="C1511" s="204">
        <f t="shared" ref="C1511:N1511" si="445">C1510</f>
        <v>47.05533333</v>
      </c>
      <c r="D1511" s="204">
        <f t="shared" si="445"/>
        <v>37.64426667</v>
      </c>
      <c r="E1511" s="204">
        <f t="shared" si="445"/>
        <v>39.99703333</v>
      </c>
      <c r="F1511" s="204">
        <f t="shared" si="445"/>
        <v>39.99703333</v>
      </c>
      <c r="G1511" s="204">
        <f t="shared" si="445"/>
        <v>37.64426667</v>
      </c>
      <c r="H1511" s="204">
        <f t="shared" si="445"/>
        <v>35.2915</v>
      </c>
      <c r="I1511" s="204">
        <f t="shared" si="445"/>
        <v>37.64426667</v>
      </c>
      <c r="J1511" s="204">
        <f t="shared" si="445"/>
        <v>37.64426667</v>
      </c>
      <c r="K1511" s="204">
        <f t="shared" si="445"/>
        <v>37.64426667</v>
      </c>
      <c r="L1511" s="204">
        <f t="shared" si="445"/>
        <v>35.2915</v>
      </c>
      <c r="M1511" s="204">
        <f t="shared" si="445"/>
        <v>32.93873333</v>
      </c>
      <c r="N1511" s="204">
        <f t="shared" si="445"/>
        <v>51.76086667</v>
      </c>
      <c r="O1511" s="5"/>
      <c r="P1511" s="5"/>
      <c r="Q1511" s="5"/>
      <c r="R1511" s="5"/>
      <c r="S1511" s="5"/>
      <c r="T1511" s="5"/>
      <c r="U1511" s="5"/>
      <c r="V1511" s="5"/>
      <c r="W1511" s="5"/>
      <c r="X1511" s="5"/>
      <c r="Y1511" s="5"/>
      <c r="Z1511" s="5"/>
    </row>
    <row r="1512" ht="12.0" customHeight="1">
      <c r="A1512" s="92" t="s">
        <v>637</v>
      </c>
      <c r="B1512" s="5"/>
      <c r="C1512" s="205">
        <f>'Resumen Capacidad'!$J$115</f>
        <v>80.10122449</v>
      </c>
      <c r="D1512" s="205">
        <f>'Resumen Capacidad'!$J$115</f>
        <v>80.10122449</v>
      </c>
      <c r="E1512" s="205">
        <f>'Resumen Capacidad'!$J$115</f>
        <v>80.10122449</v>
      </c>
      <c r="F1512" s="205">
        <f>'Resumen Capacidad'!$J$115</f>
        <v>80.10122449</v>
      </c>
      <c r="G1512" s="205">
        <f>'Resumen Capacidad'!$J$115</f>
        <v>80.10122449</v>
      </c>
      <c r="H1512" s="205">
        <f>'Resumen Capacidad'!$J$115</f>
        <v>80.10122449</v>
      </c>
      <c r="I1512" s="205">
        <f>'Resumen Capacidad'!$J$115</f>
        <v>80.10122449</v>
      </c>
      <c r="J1512" s="205">
        <f>'Resumen Capacidad'!$J$115</f>
        <v>80.10122449</v>
      </c>
      <c r="K1512" s="205">
        <f>'Resumen Capacidad'!$J$115</f>
        <v>80.10122449</v>
      </c>
      <c r="L1512" s="205">
        <f>'Resumen Capacidad'!$J$115</f>
        <v>80.10122449</v>
      </c>
      <c r="M1512" s="205">
        <f>'Resumen Capacidad'!$J$115</f>
        <v>80.10122449</v>
      </c>
      <c r="N1512" s="205">
        <f>'Resumen Capacidad'!$J$115</f>
        <v>80.10122449</v>
      </c>
      <c r="O1512" s="5"/>
      <c r="P1512" s="5"/>
      <c r="Q1512" s="5"/>
      <c r="R1512" s="5"/>
      <c r="S1512" s="5"/>
      <c r="T1512" s="5"/>
      <c r="U1512" s="5"/>
      <c r="V1512" s="5"/>
      <c r="W1512" s="5"/>
      <c r="X1512" s="5"/>
      <c r="Y1512" s="5"/>
      <c r="Z1512" s="5"/>
    </row>
    <row r="1513" ht="12.0" customHeight="1">
      <c r="A1513" s="92" t="s">
        <v>640</v>
      </c>
      <c r="B1513" s="5"/>
      <c r="C1513" s="204">
        <f>'Resumen Capacidad'!$J$33*'Resumen Capacidad'!$J$69</f>
        <v>1</v>
      </c>
      <c r="D1513" s="204">
        <f>'Resumen Capacidad'!$J$33*'Resumen Capacidad'!$J$69</f>
        <v>1</v>
      </c>
      <c r="E1513" s="204">
        <f>'Resumen Capacidad'!$J$33*'Resumen Capacidad'!$J$69</f>
        <v>1</v>
      </c>
      <c r="F1513" s="204">
        <f>'Resumen Capacidad'!$J$33*'Resumen Capacidad'!$J$69</f>
        <v>1</v>
      </c>
      <c r="G1513" s="204">
        <f>'Resumen Capacidad'!$J$33*'Resumen Capacidad'!$J$69</f>
        <v>1</v>
      </c>
      <c r="H1513" s="204">
        <f>'Resumen Capacidad'!$J$33*'Resumen Capacidad'!$J$69</f>
        <v>1</v>
      </c>
      <c r="I1513" s="204">
        <f>'Resumen Capacidad'!$J$33*'Resumen Capacidad'!$J$69</f>
        <v>1</v>
      </c>
      <c r="J1513" s="204">
        <f>'Resumen Capacidad'!$J$33*'Resumen Capacidad'!$J$69</f>
        <v>1</v>
      </c>
      <c r="K1513" s="204">
        <f>'Resumen Capacidad'!$J$33*'Resumen Capacidad'!$J$69</f>
        <v>1</v>
      </c>
      <c r="L1513" s="204">
        <f>'Resumen Capacidad'!$J$33*'Resumen Capacidad'!$J$69</f>
        <v>1</v>
      </c>
      <c r="M1513" s="204">
        <f>'Resumen Capacidad'!$J$33*'Resumen Capacidad'!$J$69</f>
        <v>1</v>
      </c>
      <c r="N1513" s="204">
        <f>'Resumen Capacidad'!$J$33*'Resumen Capacidad'!$J$69</f>
        <v>1</v>
      </c>
      <c r="O1513" s="5"/>
      <c r="P1513" s="5"/>
      <c r="Q1513" s="5"/>
      <c r="R1513" s="5"/>
      <c r="S1513" s="5"/>
      <c r="T1513" s="5"/>
      <c r="U1513" s="5"/>
      <c r="V1513" s="5"/>
      <c r="W1513" s="5"/>
      <c r="X1513" s="5"/>
      <c r="Y1513" s="5"/>
      <c r="Z1513" s="5"/>
    </row>
    <row r="1514" ht="12.0" customHeight="1">
      <c r="A1514" s="92" t="s">
        <v>642</v>
      </c>
      <c r="B1514" s="5"/>
      <c r="C1514" s="204">
        <f t="shared" ref="C1514:N1514" si="446">C1512*C1513</f>
        <v>80.10122449</v>
      </c>
      <c r="D1514" s="204">
        <f t="shared" si="446"/>
        <v>80.10122449</v>
      </c>
      <c r="E1514" s="204">
        <f t="shared" si="446"/>
        <v>80.10122449</v>
      </c>
      <c r="F1514" s="204">
        <f t="shared" si="446"/>
        <v>80.10122449</v>
      </c>
      <c r="G1514" s="204">
        <f t="shared" si="446"/>
        <v>80.10122449</v>
      </c>
      <c r="H1514" s="204">
        <f t="shared" si="446"/>
        <v>80.10122449</v>
      </c>
      <c r="I1514" s="204">
        <f t="shared" si="446"/>
        <v>80.10122449</v>
      </c>
      <c r="J1514" s="204">
        <f t="shared" si="446"/>
        <v>80.10122449</v>
      </c>
      <c r="K1514" s="204">
        <f t="shared" si="446"/>
        <v>80.10122449</v>
      </c>
      <c r="L1514" s="204">
        <f t="shared" si="446"/>
        <v>80.10122449</v>
      </c>
      <c r="M1514" s="204">
        <f t="shared" si="446"/>
        <v>80.10122449</v>
      </c>
      <c r="N1514" s="204">
        <f t="shared" si="446"/>
        <v>80.10122449</v>
      </c>
      <c r="O1514" s="5"/>
      <c r="P1514" s="5"/>
      <c r="Q1514" s="5"/>
      <c r="R1514" s="5"/>
      <c r="S1514" s="5"/>
      <c r="T1514" s="5"/>
      <c r="U1514" s="5"/>
      <c r="V1514" s="5"/>
      <c r="W1514" s="5"/>
      <c r="X1514" s="5"/>
      <c r="Y1514" s="5"/>
      <c r="Z1514" s="5"/>
    </row>
    <row r="1515" ht="12.0" customHeight="1">
      <c r="A1515" s="92" t="s">
        <v>643</v>
      </c>
      <c r="B1515" s="5"/>
      <c r="C1515" s="206">
        <f t="shared" ref="C1515:N1515" si="447">IF(C1514=0,0,C1511/C1514)</f>
        <v>0.5874483647</v>
      </c>
      <c r="D1515" s="206">
        <f t="shared" si="447"/>
        <v>0.4699586917</v>
      </c>
      <c r="E1515" s="206">
        <f t="shared" si="447"/>
        <v>0.49933111</v>
      </c>
      <c r="F1515" s="206">
        <f t="shared" si="447"/>
        <v>0.49933111</v>
      </c>
      <c r="G1515" s="206">
        <f t="shared" si="447"/>
        <v>0.4699586917</v>
      </c>
      <c r="H1515" s="206">
        <f t="shared" si="447"/>
        <v>0.4405862735</v>
      </c>
      <c r="I1515" s="206">
        <f t="shared" si="447"/>
        <v>0.4699586917</v>
      </c>
      <c r="J1515" s="206">
        <f t="shared" si="447"/>
        <v>0.4699586917</v>
      </c>
      <c r="K1515" s="206">
        <f t="shared" si="447"/>
        <v>0.4699586917</v>
      </c>
      <c r="L1515" s="206">
        <f t="shared" si="447"/>
        <v>0.4405862735</v>
      </c>
      <c r="M1515" s="206">
        <f t="shared" si="447"/>
        <v>0.4112138553</v>
      </c>
      <c r="N1515" s="206">
        <f t="shared" si="447"/>
        <v>0.6461932011</v>
      </c>
      <c r="O1515" s="5"/>
      <c r="P1515" s="5"/>
      <c r="Q1515" s="5"/>
      <c r="R1515" s="5"/>
      <c r="S1515" s="5"/>
      <c r="T1515" s="5"/>
      <c r="U1515" s="5"/>
      <c r="V1515" s="5"/>
      <c r="W1515" s="5"/>
      <c r="X1515" s="5"/>
      <c r="Y1515" s="5"/>
      <c r="Z1515" s="5"/>
    </row>
    <row r="1516" ht="12.0" customHeight="1">
      <c r="A1516" s="201" t="s">
        <v>656</v>
      </c>
      <c r="B1516" s="202"/>
      <c r="C1516" s="202"/>
      <c r="D1516" s="202"/>
      <c r="E1516" s="202"/>
      <c r="F1516" s="202"/>
      <c r="G1516" s="202"/>
      <c r="H1516" s="202"/>
      <c r="I1516" s="202"/>
      <c r="J1516" s="202"/>
      <c r="K1516" s="202"/>
      <c r="L1516" s="202"/>
      <c r="M1516" s="202"/>
      <c r="N1516" s="202"/>
      <c r="O1516" s="5"/>
      <c r="P1516" s="5"/>
      <c r="Q1516" s="5"/>
      <c r="R1516" s="5"/>
      <c r="S1516" s="5"/>
      <c r="T1516" s="5"/>
      <c r="U1516" s="5"/>
      <c r="V1516" s="5"/>
      <c r="W1516" s="5"/>
      <c r="X1516" s="5"/>
      <c r="Y1516" s="5"/>
      <c r="Z1516" s="5"/>
    </row>
    <row r="1517" ht="12.0" customHeight="1">
      <c r="A1517" s="201" t="s">
        <v>630</v>
      </c>
      <c r="B1517" s="201" t="s">
        <v>631</v>
      </c>
      <c r="C1517" s="201" t="s">
        <v>3</v>
      </c>
      <c r="D1517" s="201" t="s">
        <v>4</v>
      </c>
      <c r="E1517" s="201" t="s">
        <v>5</v>
      </c>
      <c r="F1517" s="201" t="s">
        <v>6</v>
      </c>
      <c r="G1517" s="201" t="s">
        <v>7</v>
      </c>
      <c r="H1517" s="201" t="s">
        <v>8</v>
      </c>
      <c r="I1517" s="201" t="s">
        <v>9</v>
      </c>
      <c r="J1517" s="201" t="s">
        <v>10</v>
      </c>
      <c r="K1517" s="201" t="s">
        <v>11</v>
      </c>
      <c r="L1517" s="201" t="s">
        <v>12</v>
      </c>
      <c r="M1517" s="201" t="s">
        <v>13</v>
      </c>
      <c r="N1517" s="201" t="s">
        <v>14</v>
      </c>
      <c r="O1517" s="5"/>
      <c r="P1517" s="5"/>
      <c r="Q1517" s="5"/>
      <c r="R1517" s="5"/>
      <c r="S1517" s="5"/>
      <c r="T1517" s="5"/>
      <c r="U1517" s="5"/>
      <c r="V1517" s="5"/>
      <c r="W1517" s="5"/>
      <c r="X1517" s="5"/>
      <c r="Y1517" s="5"/>
      <c r="Z1517" s="5"/>
    </row>
    <row r="1518" ht="12.0" customHeight="1">
      <c r="A1518" s="92" t="s">
        <v>651</v>
      </c>
      <c r="B1518" s="92" t="s">
        <v>633</v>
      </c>
      <c r="C1518" s="203">
        <f>SUM('2034'!B7:B9)+SUM('2034'!B18:B20)</f>
        <v>7058.3</v>
      </c>
      <c r="D1518" s="203">
        <f>SUM('2034'!C7:C9)+SUM('2034'!C18:C20)</f>
        <v>5646.64</v>
      </c>
      <c r="E1518" s="203">
        <f>SUM('2034'!D7:D9)+SUM('2034'!D18:D20)</f>
        <v>5999.555</v>
      </c>
      <c r="F1518" s="203">
        <f>SUM('2034'!E7:E9)+SUM('2034'!E18:E20)</f>
        <v>5999.555</v>
      </c>
      <c r="G1518" s="203">
        <f>SUM('2034'!F7:F9)+SUM('2034'!F18:F20)</f>
        <v>5646.64</v>
      </c>
      <c r="H1518" s="203">
        <f>SUM('2034'!G7:G9)+SUM('2034'!G18:G20)</f>
        <v>5293.725</v>
      </c>
      <c r="I1518" s="203">
        <f>SUM('2034'!H7:H9)+SUM('2034'!H18:H20)</f>
        <v>5646.64</v>
      </c>
      <c r="J1518" s="203">
        <f>SUM('2034'!I7:I9)+SUM('2034'!I18:I20)</f>
        <v>5646.64</v>
      </c>
      <c r="K1518" s="203">
        <f>SUM('2034'!J7:J9)+SUM('2034'!J18:J20)</f>
        <v>5646.64</v>
      </c>
      <c r="L1518" s="203">
        <f>SUM('2034'!K7:K9)+SUM('2034'!K18:K20)</f>
        <v>5293.725</v>
      </c>
      <c r="M1518" s="203">
        <f>SUM('2034'!L7:L9)+SUM('2034'!L18:L20)</f>
        <v>4940.81</v>
      </c>
      <c r="N1518" s="203">
        <f>SUM('2034'!M7:M9)+SUM('2034'!M18:M20)</f>
        <v>7764.13</v>
      </c>
      <c r="O1518" s="5"/>
      <c r="P1518" s="5"/>
      <c r="Q1518" s="5"/>
      <c r="R1518" s="5"/>
      <c r="S1518" s="5"/>
      <c r="T1518" s="5"/>
      <c r="U1518" s="5"/>
      <c r="V1518" s="5"/>
      <c r="W1518" s="5"/>
      <c r="X1518" s="5"/>
      <c r="Y1518" s="5"/>
      <c r="Z1518" s="5"/>
    </row>
    <row r="1519" ht="12.0" customHeight="1">
      <c r="A1519" s="5"/>
      <c r="B1519" s="92" t="s">
        <v>634</v>
      </c>
      <c r="C1519" s="204">
        <f>C1518/Parametros!$B$37</f>
        <v>352.915</v>
      </c>
      <c r="D1519" s="204">
        <f>D1518/Parametros!$B$37</f>
        <v>282.332</v>
      </c>
      <c r="E1519" s="204">
        <f>E1518/Parametros!$B$37</f>
        <v>299.97775</v>
      </c>
      <c r="F1519" s="204">
        <f>F1518/Parametros!$B$37</f>
        <v>299.97775</v>
      </c>
      <c r="G1519" s="204">
        <f>G1518/Parametros!$B$37</f>
        <v>282.332</v>
      </c>
      <c r="H1519" s="204">
        <f>H1518/Parametros!$B$37</f>
        <v>264.68625</v>
      </c>
      <c r="I1519" s="204">
        <f>I1518/Parametros!$B$37</f>
        <v>282.332</v>
      </c>
      <c r="J1519" s="204">
        <f>J1518/Parametros!$B$37</f>
        <v>282.332</v>
      </c>
      <c r="K1519" s="204">
        <f>K1518/Parametros!$B$37</f>
        <v>282.332</v>
      </c>
      <c r="L1519" s="204">
        <f>L1518/Parametros!$B$37</f>
        <v>264.68625</v>
      </c>
      <c r="M1519" s="204">
        <f>M1518/Parametros!$B$37</f>
        <v>247.0405</v>
      </c>
      <c r="N1519" s="204">
        <f>N1518/Parametros!$B$37</f>
        <v>388.2065</v>
      </c>
      <c r="O1519" s="5"/>
      <c r="P1519" s="5"/>
      <c r="Q1519" s="5"/>
      <c r="R1519" s="5"/>
      <c r="S1519" s="5"/>
      <c r="T1519" s="5"/>
      <c r="U1519" s="5"/>
      <c r="V1519" s="5"/>
      <c r="W1519" s="5"/>
      <c r="X1519" s="5"/>
      <c r="Y1519" s="5"/>
      <c r="Z1519" s="5"/>
    </row>
    <row r="1520" ht="12.0" customHeight="1">
      <c r="A1520" s="5"/>
      <c r="B1520" s="92" t="s">
        <v>635</v>
      </c>
      <c r="C1520" s="204">
        <f>C1519/Parametros!$J$37</f>
        <v>47.05533333</v>
      </c>
      <c r="D1520" s="204">
        <f>D1519/Parametros!$J$37</f>
        <v>37.64426667</v>
      </c>
      <c r="E1520" s="204">
        <f>E1519/Parametros!$J$37</f>
        <v>39.99703333</v>
      </c>
      <c r="F1520" s="204">
        <f>F1519/Parametros!$J$37</f>
        <v>39.99703333</v>
      </c>
      <c r="G1520" s="204">
        <f>G1519/Parametros!$J$37</f>
        <v>37.64426667</v>
      </c>
      <c r="H1520" s="204">
        <f>H1519/Parametros!$J$37</f>
        <v>35.2915</v>
      </c>
      <c r="I1520" s="204">
        <f>I1519/Parametros!$J$37</f>
        <v>37.64426667</v>
      </c>
      <c r="J1520" s="204">
        <f>J1519/Parametros!$J$37</f>
        <v>37.64426667</v>
      </c>
      <c r="K1520" s="204">
        <f>K1519/Parametros!$J$37</f>
        <v>37.64426667</v>
      </c>
      <c r="L1520" s="204">
        <f>L1519/Parametros!$J$37</f>
        <v>35.2915</v>
      </c>
      <c r="M1520" s="204">
        <f>M1519/Parametros!$J$37</f>
        <v>32.93873333</v>
      </c>
      <c r="N1520" s="204">
        <f>N1519/Parametros!$J$37</f>
        <v>51.76086667</v>
      </c>
      <c r="O1520" s="5"/>
      <c r="P1520" s="5"/>
      <c r="Q1520" s="5"/>
      <c r="R1520" s="5"/>
      <c r="S1520" s="5"/>
      <c r="T1520" s="5"/>
      <c r="U1520" s="5"/>
      <c r="V1520" s="5"/>
      <c r="W1520" s="5"/>
      <c r="X1520" s="5"/>
      <c r="Y1520" s="5"/>
      <c r="Z1520" s="5"/>
    </row>
    <row r="1521" ht="12.0" customHeight="1">
      <c r="A1521" s="92" t="s">
        <v>636</v>
      </c>
      <c r="B1521" s="5"/>
      <c r="C1521" s="204">
        <f t="shared" ref="C1521:N1521" si="448">C1520</f>
        <v>47.05533333</v>
      </c>
      <c r="D1521" s="204">
        <f t="shared" si="448"/>
        <v>37.64426667</v>
      </c>
      <c r="E1521" s="204">
        <f t="shared" si="448"/>
        <v>39.99703333</v>
      </c>
      <c r="F1521" s="204">
        <f t="shared" si="448"/>
        <v>39.99703333</v>
      </c>
      <c r="G1521" s="204">
        <f t="shared" si="448"/>
        <v>37.64426667</v>
      </c>
      <c r="H1521" s="204">
        <f t="shared" si="448"/>
        <v>35.2915</v>
      </c>
      <c r="I1521" s="204">
        <f t="shared" si="448"/>
        <v>37.64426667</v>
      </c>
      <c r="J1521" s="204">
        <f t="shared" si="448"/>
        <v>37.64426667</v>
      </c>
      <c r="K1521" s="204">
        <f t="shared" si="448"/>
        <v>37.64426667</v>
      </c>
      <c r="L1521" s="204">
        <f t="shared" si="448"/>
        <v>35.2915</v>
      </c>
      <c r="M1521" s="204">
        <f t="shared" si="448"/>
        <v>32.93873333</v>
      </c>
      <c r="N1521" s="204">
        <f t="shared" si="448"/>
        <v>51.76086667</v>
      </c>
      <c r="O1521" s="5"/>
      <c r="P1521" s="5"/>
      <c r="Q1521" s="5"/>
      <c r="R1521" s="5"/>
      <c r="S1521" s="5"/>
      <c r="T1521" s="5"/>
      <c r="U1521" s="5"/>
      <c r="V1521" s="5"/>
      <c r="W1521" s="5"/>
      <c r="X1521" s="5"/>
      <c r="Y1521" s="5"/>
      <c r="Z1521" s="5"/>
    </row>
    <row r="1522" ht="12.0" customHeight="1">
      <c r="A1522" s="92" t="s">
        <v>637</v>
      </c>
      <c r="B1522" s="5"/>
      <c r="C1522" s="205">
        <f>'Resumen Capacidad'!$J$116</f>
        <v>56.576</v>
      </c>
      <c r="D1522" s="205">
        <f>'Resumen Capacidad'!$J$116</f>
        <v>56.576</v>
      </c>
      <c r="E1522" s="205">
        <f>'Resumen Capacidad'!$J$116</f>
        <v>56.576</v>
      </c>
      <c r="F1522" s="205">
        <f>'Resumen Capacidad'!$J$116</f>
        <v>56.576</v>
      </c>
      <c r="G1522" s="205">
        <f>'Resumen Capacidad'!$J$116</f>
        <v>56.576</v>
      </c>
      <c r="H1522" s="205">
        <f>'Resumen Capacidad'!$J$116</f>
        <v>56.576</v>
      </c>
      <c r="I1522" s="205">
        <f>'Resumen Capacidad'!$J$116</f>
        <v>56.576</v>
      </c>
      <c r="J1522" s="205">
        <f>'Resumen Capacidad'!$J$116</f>
        <v>56.576</v>
      </c>
      <c r="K1522" s="205">
        <f>'Resumen Capacidad'!$J$116</f>
        <v>56.576</v>
      </c>
      <c r="L1522" s="205">
        <f>'Resumen Capacidad'!$J$116</f>
        <v>56.576</v>
      </c>
      <c r="M1522" s="205">
        <f>'Resumen Capacidad'!$J$116</f>
        <v>56.576</v>
      </c>
      <c r="N1522" s="205">
        <f>'Resumen Capacidad'!$J$116</f>
        <v>56.576</v>
      </c>
      <c r="O1522" s="5"/>
      <c r="P1522" s="5"/>
      <c r="Q1522" s="5"/>
      <c r="R1522" s="5"/>
      <c r="S1522" s="5"/>
      <c r="T1522" s="5"/>
      <c r="U1522" s="5"/>
      <c r="V1522" s="5"/>
      <c r="W1522" s="5"/>
      <c r="X1522" s="5"/>
      <c r="Y1522" s="5"/>
      <c r="Z1522" s="5"/>
    </row>
    <row r="1523" ht="12.0" customHeight="1">
      <c r="A1523" s="92" t="s">
        <v>640</v>
      </c>
      <c r="B1523" s="5"/>
      <c r="C1523" s="204">
        <f>'Resumen Capacidad'!$J$34*'Resumen Capacidad'!$J$70</f>
        <v>2</v>
      </c>
      <c r="D1523" s="204">
        <f>'Resumen Capacidad'!$J$34*'Resumen Capacidad'!$J$70</f>
        <v>2</v>
      </c>
      <c r="E1523" s="204">
        <f>'Resumen Capacidad'!$J$34*'Resumen Capacidad'!$J$70</f>
        <v>2</v>
      </c>
      <c r="F1523" s="204">
        <f>'Resumen Capacidad'!$J$34*'Resumen Capacidad'!$J$70</f>
        <v>2</v>
      </c>
      <c r="G1523" s="204">
        <f>'Resumen Capacidad'!$J$34*'Resumen Capacidad'!$J$70</f>
        <v>2</v>
      </c>
      <c r="H1523" s="204">
        <f>'Resumen Capacidad'!$J$34*'Resumen Capacidad'!$J$70</f>
        <v>2</v>
      </c>
      <c r="I1523" s="204">
        <f>'Resumen Capacidad'!$J$34*'Resumen Capacidad'!$J$70</f>
        <v>2</v>
      </c>
      <c r="J1523" s="204">
        <f>'Resumen Capacidad'!$J$34*'Resumen Capacidad'!$J$70</f>
        <v>2</v>
      </c>
      <c r="K1523" s="204">
        <f>'Resumen Capacidad'!$J$34*'Resumen Capacidad'!$J$70</f>
        <v>2</v>
      </c>
      <c r="L1523" s="204">
        <f>'Resumen Capacidad'!$J$34*'Resumen Capacidad'!$J$70</f>
        <v>2</v>
      </c>
      <c r="M1523" s="204">
        <f>'Resumen Capacidad'!$J$34*'Resumen Capacidad'!$J$70</f>
        <v>2</v>
      </c>
      <c r="N1523" s="204">
        <f>'Resumen Capacidad'!$J$34*'Resumen Capacidad'!$J$70</f>
        <v>2</v>
      </c>
      <c r="O1523" s="5"/>
      <c r="P1523" s="5"/>
      <c r="Q1523" s="5"/>
      <c r="R1523" s="5"/>
      <c r="S1523" s="5"/>
      <c r="T1523" s="5"/>
      <c r="U1523" s="5"/>
      <c r="V1523" s="5"/>
      <c r="W1523" s="5"/>
      <c r="X1523" s="5"/>
      <c r="Y1523" s="5"/>
      <c r="Z1523" s="5"/>
    </row>
    <row r="1524" ht="12.0" customHeight="1">
      <c r="A1524" s="92" t="s">
        <v>642</v>
      </c>
      <c r="B1524" s="5"/>
      <c r="C1524" s="204">
        <f t="shared" ref="C1524:N1524" si="449">C1522*C1523</f>
        <v>113.152</v>
      </c>
      <c r="D1524" s="204">
        <f t="shared" si="449"/>
        <v>113.152</v>
      </c>
      <c r="E1524" s="204">
        <f t="shared" si="449"/>
        <v>113.152</v>
      </c>
      <c r="F1524" s="204">
        <f t="shared" si="449"/>
        <v>113.152</v>
      </c>
      <c r="G1524" s="204">
        <f t="shared" si="449"/>
        <v>113.152</v>
      </c>
      <c r="H1524" s="204">
        <f t="shared" si="449"/>
        <v>113.152</v>
      </c>
      <c r="I1524" s="204">
        <f t="shared" si="449"/>
        <v>113.152</v>
      </c>
      <c r="J1524" s="204">
        <f t="shared" si="449"/>
        <v>113.152</v>
      </c>
      <c r="K1524" s="204">
        <f t="shared" si="449"/>
        <v>113.152</v>
      </c>
      <c r="L1524" s="204">
        <f t="shared" si="449"/>
        <v>113.152</v>
      </c>
      <c r="M1524" s="204">
        <f t="shared" si="449"/>
        <v>113.152</v>
      </c>
      <c r="N1524" s="204">
        <f t="shared" si="449"/>
        <v>113.152</v>
      </c>
      <c r="O1524" s="5"/>
      <c r="P1524" s="5"/>
      <c r="Q1524" s="5"/>
      <c r="R1524" s="5"/>
      <c r="S1524" s="5"/>
      <c r="T1524" s="5"/>
      <c r="U1524" s="5"/>
      <c r="V1524" s="5"/>
      <c r="W1524" s="5"/>
      <c r="X1524" s="5"/>
      <c r="Y1524" s="5"/>
      <c r="Z1524" s="5"/>
    </row>
    <row r="1525" ht="12.0" customHeight="1">
      <c r="A1525" s="92" t="s">
        <v>643</v>
      </c>
      <c r="B1525" s="5"/>
      <c r="C1525" s="206">
        <f t="shared" ref="C1525:N1525" si="450">IF(C1524=0,0,C1521/C1524)</f>
        <v>0.4158594928</v>
      </c>
      <c r="D1525" s="206">
        <f t="shared" si="450"/>
        <v>0.3326875943</v>
      </c>
      <c r="E1525" s="206">
        <f t="shared" si="450"/>
        <v>0.3534805689</v>
      </c>
      <c r="F1525" s="206">
        <f t="shared" si="450"/>
        <v>0.3534805689</v>
      </c>
      <c r="G1525" s="206">
        <f t="shared" si="450"/>
        <v>0.3326875943</v>
      </c>
      <c r="H1525" s="206">
        <f t="shared" si="450"/>
        <v>0.3118946196</v>
      </c>
      <c r="I1525" s="206">
        <f t="shared" si="450"/>
        <v>0.3326875943</v>
      </c>
      <c r="J1525" s="206">
        <f t="shared" si="450"/>
        <v>0.3326875943</v>
      </c>
      <c r="K1525" s="206">
        <f t="shared" si="450"/>
        <v>0.3326875943</v>
      </c>
      <c r="L1525" s="206">
        <f t="shared" si="450"/>
        <v>0.3118946196</v>
      </c>
      <c r="M1525" s="206">
        <f t="shared" si="450"/>
        <v>0.291101645</v>
      </c>
      <c r="N1525" s="206">
        <f t="shared" si="450"/>
        <v>0.4574454421</v>
      </c>
      <c r="O1525" s="5"/>
      <c r="P1525" s="5"/>
      <c r="Q1525" s="5"/>
      <c r="R1525" s="5"/>
      <c r="S1525" s="5"/>
      <c r="T1525" s="5"/>
      <c r="U1525" s="5"/>
      <c r="V1525" s="5"/>
      <c r="W1525" s="5"/>
      <c r="X1525" s="5"/>
      <c r="Y1525" s="5"/>
      <c r="Z1525" s="5"/>
    </row>
    <row r="1526" ht="12.0" customHeight="1">
      <c r="A1526" s="201" t="s">
        <v>663</v>
      </c>
      <c r="B1526" s="202"/>
      <c r="C1526" s="202"/>
      <c r="D1526" s="202"/>
      <c r="E1526" s="202"/>
      <c r="F1526" s="202"/>
      <c r="G1526" s="202"/>
      <c r="H1526" s="202"/>
      <c r="I1526" s="202"/>
      <c r="J1526" s="202"/>
      <c r="K1526" s="202"/>
      <c r="L1526" s="202"/>
      <c r="M1526" s="202"/>
      <c r="N1526" s="202"/>
      <c r="O1526" s="5"/>
      <c r="P1526" s="5"/>
      <c r="Q1526" s="5"/>
      <c r="R1526" s="5"/>
      <c r="S1526" s="5"/>
      <c r="T1526" s="5"/>
      <c r="U1526" s="5"/>
      <c r="V1526" s="5"/>
      <c r="W1526" s="5"/>
      <c r="X1526" s="5"/>
      <c r="Y1526" s="5"/>
      <c r="Z1526" s="5"/>
    </row>
    <row r="1527" ht="12.0" customHeight="1">
      <c r="A1527" s="201" t="s">
        <v>630</v>
      </c>
      <c r="B1527" s="201" t="s">
        <v>631</v>
      </c>
      <c r="C1527" s="201" t="s">
        <v>3</v>
      </c>
      <c r="D1527" s="201" t="s">
        <v>4</v>
      </c>
      <c r="E1527" s="201" t="s">
        <v>5</v>
      </c>
      <c r="F1527" s="201" t="s">
        <v>6</v>
      </c>
      <c r="G1527" s="201" t="s">
        <v>7</v>
      </c>
      <c r="H1527" s="201" t="s">
        <v>8</v>
      </c>
      <c r="I1527" s="201" t="s">
        <v>9</v>
      </c>
      <c r="J1527" s="201" t="s">
        <v>10</v>
      </c>
      <c r="K1527" s="201" t="s">
        <v>11</v>
      </c>
      <c r="L1527" s="201" t="s">
        <v>12</v>
      </c>
      <c r="M1527" s="201" t="s">
        <v>13</v>
      </c>
      <c r="N1527" s="201" t="s">
        <v>14</v>
      </c>
      <c r="O1527" s="5"/>
      <c r="P1527" s="5"/>
      <c r="Q1527" s="5"/>
      <c r="R1527" s="5"/>
      <c r="S1527" s="5"/>
      <c r="T1527" s="5"/>
      <c r="U1527" s="5"/>
      <c r="V1527" s="5"/>
      <c r="W1527" s="5"/>
      <c r="X1527" s="5"/>
      <c r="Y1527" s="5"/>
      <c r="Z1527" s="5"/>
    </row>
    <row r="1528" ht="12.0" customHeight="1">
      <c r="A1528" s="92" t="s">
        <v>632</v>
      </c>
      <c r="B1528" s="92" t="s">
        <v>633</v>
      </c>
      <c r="C1528" s="203">
        <f>SUM('2034'!B6:B9)+SUM('2034'!B17:B20)</f>
        <v>28105.46</v>
      </c>
      <c r="D1528" s="203">
        <f>SUM('2034'!C6:C9)+SUM('2034'!C17:C20)</f>
        <v>21432.01</v>
      </c>
      <c r="E1528" s="203">
        <f>SUM('2034'!D6:D9)+SUM('2034'!D17:D20)</f>
        <v>20030.995</v>
      </c>
      <c r="F1528" s="203">
        <f>SUM('2034'!E6:E9)+SUM('2034'!E17:E20)</f>
        <v>19154.03</v>
      </c>
      <c r="G1528" s="203">
        <f>SUM('2034'!F6:F9)+SUM('2034'!F17:F20)</f>
        <v>17924.15</v>
      </c>
      <c r="H1528" s="203">
        <f>SUM('2034'!G6:G9)+SUM('2034'!G17:G20)</f>
        <v>17571.235</v>
      </c>
      <c r="I1528" s="203">
        <f>SUM('2034'!H6:H9)+SUM('2034'!H17:H20)</f>
        <v>18801.115</v>
      </c>
      <c r="J1528" s="203">
        <f>SUM('2034'!I6:I9)+SUM('2034'!I17:I20)</f>
        <v>18801.115</v>
      </c>
      <c r="K1528" s="203">
        <f>SUM('2034'!J6:J9)+SUM('2034'!J17:J20)</f>
        <v>18801.115</v>
      </c>
      <c r="L1528" s="203">
        <f>SUM('2034'!K6:K9)+SUM('2034'!K17:K20)</f>
        <v>18448.2</v>
      </c>
      <c r="M1528" s="203">
        <f>SUM('2034'!L6:L9)+SUM('2034'!L17:L20)</f>
        <v>18095.285</v>
      </c>
      <c r="N1528" s="203">
        <f>SUM('2034'!M6:M9)+SUM('2034'!M17:M20)</f>
        <v>28811.29</v>
      </c>
      <c r="O1528" s="5"/>
      <c r="P1528" s="5"/>
      <c r="Q1528" s="5"/>
      <c r="R1528" s="5"/>
      <c r="S1528" s="5"/>
      <c r="T1528" s="5"/>
      <c r="U1528" s="5"/>
      <c r="V1528" s="5"/>
      <c r="W1528" s="5"/>
      <c r="X1528" s="5"/>
      <c r="Y1528" s="5"/>
      <c r="Z1528" s="5"/>
    </row>
    <row r="1529" ht="12.0" customHeight="1">
      <c r="A1529" s="5"/>
      <c r="B1529" s="92" t="s">
        <v>634</v>
      </c>
      <c r="C1529" s="204">
        <f>C1528/Parametros!$B$37</f>
        <v>1405.273</v>
      </c>
      <c r="D1529" s="204">
        <f>D1528/Parametros!$B$37</f>
        <v>1071.6005</v>
      </c>
      <c r="E1529" s="204">
        <f>E1528/Parametros!$B$37</f>
        <v>1001.54975</v>
      </c>
      <c r="F1529" s="204">
        <f>F1528/Parametros!$B$37</f>
        <v>957.7015</v>
      </c>
      <c r="G1529" s="204">
        <f>G1528/Parametros!$B$37</f>
        <v>896.2075</v>
      </c>
      <c r="H1529" s="204">
        <f>H1528/Parametros!$B$37</f>
        <v>878.56175</v>
      </c>
      <c r="I1529" s="204">
        <f>I1528/Parametros!$B$37</f>
        <v>940.05575</v>
      </c>
      <c r="J1529" s="204">
        <f>J1528/Parametros!$B$37</f>
        <v>940.05575</v>
      </c>
      <c r="K1529" s="204">
        <f>K1528/Parametros!$B$37</f>
        <v>940.05575</v>
      </c>
      <c r="L1529" s="204">
        <f>L1528/Parametros!$B$37</f>
        <v>922.41</v>
      </c>
      <c r="M1529" s="204">
        <f>M1528/Parametros!$B$37</f>
        <v>904.76425</v>
      </c>
      <c r="N1529" s="204">
        <f>N1528/Parametros!$B$37</f>
        <v>1440.5645</v>
      </c>
      <c r="O1529" s="5"/>
      <c r="P1529" s="5"/>
      <c r="Q1529" s="5"/>
      <c r="R1529" s="5"/>
      <c r="S1529" s="5"/>
      <c r="T1529" s="5"/>
      <c r="U1529" s="5"/>
      <c r="V1529" s="5"/>
      <c r="W1529" s="5"/>
      <c r="X1529" s="5"/>
      <c r="Y1529" s="5"/>
      <c r="Z1529" s="5"/>
    </row>
    <row r="1530" ht="12.0" customHeight="1">
      <c r="A1530" s="5"/>
      <c r="B1530" s="92" t="s">
        <v>635</v>
      </c>
      <c r="C1530" s="204">
        <f>C1529/Parametros!$J$37</f>
        <v>187.3697333</v>
      </c>
      <c r="D1530" s="204">
        <f>D1529/Parametros!$J$37</f>
        <v>142.8800667</v>
      </c>
      <c r="E1530" s="204">
        <f>E1529/Parametros!$J$37</f>
        <v>133.5399667</v>
      </c>
      <c r="F1530" s="204">
        <f>F1529/Parametros!$J$37</f>
        <v>127.6935333</v>
      </c>
      <c r="G1530" s="204">
        <f>G1529/Parametros!$J$37</f>
        <v>119.4943333</v>
      </c>
      <c r="H1530" s="204">
        <f>H1529/Parametros!$J$37</f>
        <v>117.1415667</v>
      </c>
      <c r="I1530" s="204">
        <f>I1529/Parametros!$J$37</f>
        <v>125.3407667</v>
      </c>
      <c r="J1530" s="204">
        <f>J1529/Parametros!$J$37</f>
        <v>125.3407667</v>
      </c>
      <c r="K1530" s="204">
        <f>K1529/Parametros!$J$37</f>
        <v>125.3407667</v>
      </c>
      <c r="L1530" s="204">
        <f>L1529/Parametros!$J$37</f>
        <v>122.988</v>
      </c>
      <c r="M1530" s="204">
        <f>M1529/Parametros!$J$37</f>
        <v>120.6352333</v>
      </c>
      <c r="N1530" s="204">
        <f>N1529/Parametros!$J$37</f>
        <v>192.0752667</v>
      </c>
      <c r="O1530" s="5"/>
      <c r="P1530" s="5"/>
      <c r="Q1530" s="5"/>
      <c r="R1530" s="5"/>
      <c r="S1530" s="5"/>
      <c r="T1530" s="5"/>
      <c r="U1530" s="5"/>
      <c r="V1530" s="5"/>
      <c r="W1530" s="5"/>
      <c r="X1530" s="5"/>
      <c r="Y1530" s="5"/>
      <c r="Z1530" s="5"/>
    </row>
    <row r="1531" ht="12.0" customHeight="1">
      <c r="A1531" s="92" t="s">
        <v>636</v>
      </c>
      <c r="B1531" s="5"/>
      <c r="C1531" s="204">
        <f t="shared" ref="C1531:N1531" si="451">C1530</f>
        <v>187.3697333</v>
      </c>
      <c r="D1531" s="204">
        <f t="shared" si="451"/>
        <v>142.8800667</v>
      </c>
      <c r="E1531" s="204">
        <f t="shared" si="451"/>
        <v>133.5399667</v>
      </c>
      <c r="F1531" s="204">
        <f t="shared" si="451"/>
        <v>127.6935333</v>
      </c>
      <c r="G1531" s="204">
        <f t="shared" si="451"/>
        <v>119.4943333</v>
      </c>
      <c r="H1531" s="204">
        <f t="shared" si="451"/>
        <v>117.1415667</v>
      </c>
      <c r="I1531" s="204">
        <f t="shared" si="451"/>
        <v>125.3407667</v>
      </c>
      <c r="J1531" s="204">
        <f t="shared" si="451"/>
        <v>125.3407667</v>
      </c>
      <c r="K1531" s="204">
        <f t="shared" si="451"/>
        <v>125.3407667</v>
      </c>
      <c r="L1531" s="204">
        <f t="shared" si="451"/>
        <v>122.988</v>
      </c>
      <c r="M1531" s="204">
        <f t="shared" si="451"/>
        <v>120.6352333</v>
      </c>
      <c r="N1531" s="204">
        <f t="shared" si="451"/>
        <v>192.0752667</v>
      </c>
      <c r="O1531" s="5"/>
      <c r="P1531" s="5"/>
      <c r="Q1531" s="5"/>
      <c r="R1531" s="5"/>
      <c r="S1531" s="5"/>
      <c r="T1531" s="5"/>
      <c r="U1531" s="5"/>
      <c r="V1531" s="5"/>
      <c r="W1531" s="5"/>
      <c r="X1531" s="5"/>
      <c r="Y1531" s="5"/>
      <c r="Z1531" s="5"/>
    </row>
    <row r="1532" ht="12.0" customHeight="1">
      <c r="A1532" s="92" t="s">
        <v>637</v>
      </c>
      <c r="B1532" s="5"/>
      <c r="C1532" s="205">
        <f>'Resumen Capacidad'!$J$117</f>
        <v>60.656</v>
      </c>
      <c r="D1532" s="205">
        <f>'Resumen Capacidad'!$J$117</f>
        <v>60.656</v>
      </c>
      <c r="E1532" s="205">
        <f>'Resumen Capacidad'!$J$117</f>
        <v>60.656</v>
      </c>
      <c r="F1532" s="205">
        <f>'Resumen Capacidad'!$J$117</f>
        <v>60.656</v>
      </c>
      <c r="G1532" s="205">
        <f>'Resumen Capacidad'!$J$117</f>
        <v>60.656</v>
      </c>
      <c r="H1532" s="205">
        <f>'Resumen Capacidad'!$J$117</f>
        <v>60.656</v>
      </c>
      <c r="I1532" s="205">
        <f>'Resumen Capacidad'!$J$117</f>
        <v>60.656</v>
      </c>
      <c r="J1532" s="205">
        <f>'Resumen Capacidad'!$J$117</f>
        <v>60.656</v>
      </c>
      <c r="K1532" s="205">
        <f>'Resumen Capacidad'!$J$117</f>
        <v>60.656</v>
      </c>
      <c r="L1532" s="205">
        <f>'Resumen Capacidad'!$J$117</f>
        <v>60.656</v>
      </c>
      <c r="M1532" s="205">
        <f>'Resumen Capacidad'!$J$117</f>
        <v>60.656</v>
      </c>
      <c r="N1532" s="205">
        <f>'Resumen Capacidad'!$J$117</f>
        <v>60.656</v>
      </c>
      <c r="O1532" s="5"/>
      <c r="P1532" s="5"/>
      <c r="Q1532" s="5"/>
      <c r="R1532" s="5"/>
      <c r="S1532" s="5"/>
      <c r="T1532" s="5"/>
      <c r="U1532" s="5"/>
      <c r="V1532" s="5"/>
      <c r="W1532" s="5"/>
      <c r="X1532" s="5"/>
      <c r="Y1532" s="5"/>
      <c r="Z1532" s="5"/>
    </row>
    <row r="1533" ht="12.0" customHeight="1">
      <c r="A1533" s="92" t="s">
        <v>640</v>
      </c>
      <c r="B1533" s="5"/>
      <c r="C1533" s="204">
        <f>'Resumen Capacidad'!$J$35*'Resumen Capacidad'!$J$71</f>
        <v>4</v>
      </c>
      <c r="D1533" s="204">
        <f>'Resumen Capacidad'!$J$35*'Resumen Capacidad'!$J$71</f>
        <v>4</v>
      </c>
      <c r="E1533" s="204">
        <f>'Resumen Capacidad'!$J$35*'Resumen Capacidad'!$J$71</f>
        <v>4</v>
      </c>
      <c r="F1533" s="204">
        <f>'Resumen Capacidad'!$J$35*'Resumen Capacidad'!$J$71</f>
        <v>4</v>
      </c>
      <c r="G1533" s="204">
        <f>'Resumen Capacidad'!$J$35*'Resumen Capacidad'!$J$71</f>
        <v>4</v>
      </c>
      <c r="H1533" s="204">
        <f>'Resumen Capacidad'!$J$35*'Resumen Capacidad'!$J$71</f>
        <v>4</v>
      </c>
      <c r="I1533" s="204">
        <f>'Resumen Capacidad'!$J$35*'Resumen Capacidad'!$J$71</f>
        <v>4</v>
      </c>
      <c r="J1533" s="204">
        <f>'Resumen Capacidad'!$J$35*'Resumen Capacidad'!$J$71</f>
        <v>4</v>
      </c>
      <c r="K1533" s="204">
        <f>'Resumen Capacidad'!$J$35*'Resumen Capacidad'!$J$71</f>
        <v>4</v>
      </c>
      <c r="L1533" s="204">
        <f>'Resumen Capacidad'!$J$35*'Resumen Capacidad'!$J$71</f>
        <v>4</v>
      </c>
      <c r="M1533" s="204">
        <f>'Resumen Capacidad'!$J$35*'Resumen Capacidad'!$J$71</f>
        <v>4</v>
      </c>
      <c r="N1533" s="204">
        <f>'Resumen Capacidad'!$J$35*'Resumen Capacidad'!$J$71</f>
        <v>4</v>
      </c>
      <c r="O1533" s="5"/>
      <c r="P1533" s="5"/>
      <c r="Q1533" s="5"/>
      <c r="R1533" s="5"/>
      <c r="S1533" s="5"/>
      <c r="T1533" s="5"/>
      <c r="U1533" s="5"/>
      <c r="V1533" s="5"/>
      <c r="W1533" s="5"/>
      <c r="X1533" s="5"/>
      <c r="Y1533" s="5"/>
      <c r="Z1533" s="5"/>
    </row>
    <row r="1534" ht="12.0" customHeight="1">
      <c r="A1534" s="92" t="s">
        <v>642</v>
      </c>
      <c r="B1534" s="5"/>
      <c r="C1534" s="204">
        <f t="shared" ref="C1534:N1534" si="452">C1532*C1533</f>
        <v>242.624</v>
      </c>
      <c r="D1534" s="204">
        <f t="shared" si="452"/>
        <v>242.624</v>
      </c>
      <c r="E1534" s="204">
        <f t="shared" si="452"/>
        <v>242.624</v>
      </c>
      <c r="F1534" s="204">
        <f t="shared" si="452"/>
        <v>242.624</v>
      </c>
      <c r="G1534" s="204">
        <f t="shared" si="452"/>
        <v>242.624</v>
      </c>
      <c r="H1534" s="204">
        <f t="shared" si="452"/>
        <v>242.624</v>
      </c>
      <c r="I1534" s="204">
        <f t="shared" si="452"/>
        <v>242.624</v>
      </c>
      <c r="J1534" s="204">
        <f t="shared" si="452"/>
        <v>242.624</v>
      </c>
      <c r="K1534" s="204">
        <f t="shared" si="452"/>
        <v>242.624</v>
      </c>
      <c r="L1534" s="204">
        <f t="shared" si="452"/>
        <v>242.624</v>
      </c>
      <c r="M1534" s="204">
        <f t="shared" si="452"/>
        <v>242.624</v>
      </c>
      <c r="N1534" s="204">
        <f t="shared" si="452"/>
        <v>242.624</v>
      </c>
      <c r="O1534" s="5"/>
      <c r="P1534" s="5"/>
      <c r="Q1534" s="5"/>
      <c r="R1534" s="5"/>
      <c r="S1534" s="5"/>
      <c r="T1534" s="5"/>
      <c r="U1534" s="5"/>
      <c r="V1534" s="5"/>
      <c r="W1534" s="5"/>
      <c r="X1534" s="5"/>
      <c r="Y1534" s="5"/>
      <c r="Z1534" s="5"/>
    </row>
    <row r="1535" ht="12.0" customHeight="1">
      <c r="A1535" s="92" t="s">
        <v>643</v>
      </c>
      <c r="B1535" s="5"/>
      <c r="C1535" s="206">
        <f t="shared" ref="C1535:N1535" si="453">IF(C1534=0,0,C1531/C1534)</f>
        <v>0.7722638046</v>
      </c>
      <c r="D1535" s="206">
        <f t="shared" si="453"/>
        <v>0.5888950255</v>
      </c>
      <c r="E1535" s="206">
        <f t="shared" si="453"/>
        <v>0.5503988339</v>
      </c>
      <c r="F1535" s="206">
        <f t="shared" si="453"/>
        <v>0.526302152</v>
      </c>
      <c r="G1535" s="206">
        <f t="shared" si="453"/>
        <v>0.4925082982</v>
      </c>
      <c r="H1535" s="206">
        <f t="shared" si="453"/>
        <v>0.4828111261</v>
      </c>
      <c r="I1535" s="206">
        <f t="shared" si="453"/>
        <v>0.51660498</v>
      </c>
      <c r="J1535" s="206">
        <f t="shared" si="453"/>
        <v>0.51660498</v>
      </c>
      <c r="K1535" s="206">
        <f t="shared" si="453"/>
        <v>0.51660498</v>
      </c>
      <c r="L1535" s="206">
        <f t="shared" si="453"/>
        <v>0.506907808</v>
      </c>
      <c r="M1535" s="206">
        <f t="shared" si="453"/>
        <v>0.4972106359</v>
      </c>
      <c r="N1535" s="206">
        <f t="shared" si="453"/>
        <v>0.7916581487</v>
      </c>
      <c r="O1535" s="5"/>
      <c r="P1535" s="5"/>
      <c r="Q1535" s="5"/>
      <c r="R1535" s="5"/>
      <c r="S1535" s="5"/>
      <c r="T1535" s="5"/>
      <c r="U1535" s="5"/>
      <c r="V1535" s="5"/>
      <c r="W1535" s="5"/>
      <c r="X1535" s="5"/>
      <c r="Y1535" s="5"/>
      <c r="Z1535" s="5"/>
    </row>
    <row r="1536" ht="12.0" customHeight="1">
      <c r="A1536" s="201" t="s">
        <v>664</v>
      </c>
      <c r="B1536" s="202"/>
      <c r="C1536" s="202"/>
      <c r="D1536" s="202"/>
      <c r="E1536" s="202"/>
      <c r="F1536" s="202"/>
      <c r="G1536" s="202"/>
      <c r="H1536" s="202"/>
      <c r="I1536" s="202"/>
      <c r="J1536" s="202"/>
      <c r="K1536" s="202"/>
      <c r="L1536" s="202"/>
      <c r="M1536" s="202"/>
      <c r="N1536" s="202"/>
      <c r="O1536" s="5"/>
      <c r="P1536" s="5"/>
      <c r="Q1536" s="5"/>
      <c r="R1536" s="5"/>
      <c r="S1536" s="5"/>
      <c r="T1536" s="5"/>
      <c r="U1536" s="5"/>
      <c r="V1536" s="5"/>
      <c r="W1536" s="5"/>
      <c r="X1536" s="5"/>
      <c r="Y1536" s="5"/>
      <c r="Z1536" s="5"/>
    </row>
    <row r="1537" ht="12.0" customHeight="1">
      <c r="A1537" s="201" t="s">
        <v>630</v>
      </c>
      <c r="B1537" s="201" t="s">
        <v>631</v>
      </c>
      <c r="C1537" s="201" t="s">
        <v>3</v>
      </c>
      <c r="D1537" s="201" t="s">
        <v>4</v>
      </c>
      <c r="E1537" s="201" t="s">
        <v>5</v>
      </c>
      <c r="F1537" s="201" t="s">
        <v>6</v>
      </c>
      <c r="G1537" s="201" t="s">
        <v>7</v>
      </c>
      <c r="H1537" s="201" t="s">
        <v>8</v>
      </c>
      <c r="I1537" s="201" t="s">
        <v>9</v>
      </c>
      <c r="J1537" s="201" t="s">
        <v>10</v>
      </c>
      <c r="K1537" s="201" t="s">
        <v>11</v>
      </c>
      <c r="L1537" s="201" t="s">
        <v>12</v>
      </c>
      <c r="M1537" s="201" t="s">
        <v>13</v>
      </c>
      <c r="N1537" s="201" t="s">
        <v>14</v>
      </c>
      <c r="O1537" s="5"/>
      <c r="P1537" s="5"/>
      <c r="Q1537" s="5"/>
      <c r="R1537" s="5"/>
      <c r="S1537" s="5"/>
      <c r="T1537" s="5"/>
      <c r="U1537" s="5"/>
      <c r="V1537" s="5"/>
      <c r="W1537" s="5"/>
      <c r="X1537" s="5"/>
      <c r="Y1537" s="5"/>
      <c r="Z1537" s="5"/>
    </row>
    <row r="1538" ht="12.0" customHeight="1">
      <c r="A1538" s="92" t="s">
        <v>632</v>
      </c>
      <c r="B1538" s="92" t="s">
        <v>633</v>
      </c>
      <c r="C1538" s="203">
        <f>SUM('2034'!B6:B9)+SUM('2034'!B17:B20)</f>
        <v>28105.46</v>
      </c>
      <c r="D1538" s="203">
        <f>SUM('2034'!C6:C9)+SUM('2034'!C17:C20)</f>
        <v>21432.01</v>
      </c>
      <c r="E1538" s="203">
        <f>SUM('2034'!D6:D9)+SUM('2034'!D17:D20)</f>
        <v>20030.995</v>
      </c>
      <c r="F1538" s="203">
        <f>SUM('2034'!E6:E9)+SUM('2034'!E17:E20)</f>
        <v>19154.03</v>
      </c>
      <c r="G1538" s="203">
        <f>SUM('2034'!F6:F9)+SUM('2034'!F17:F20)</f>
        <v>17924.15</v>
      </c>
      <c r="H1538" s="203">
        <f>SUM('2034'!G6:G9)+SUM('2034'!G17:G20)</f>
        <v>17571.235</v>
      </c>
      <c r="I1538" s="203">
        <f>SUM('2034'!H6:H9)+SUM('2034'!H17:H20)</f>
        <v>18801.115</v>
      </c>
      <c r="J1538" s="203">
        <f>SUM('2034'!I6:I9)+SUM('2034'!I17:I20)</f>
        <v>18801.115</v>
      </c>
      <c r="K1538" s="203">
        <f>SUM('2034'!J6:J9)+SUM('2034'!J17:J20)</f>
        <v>18801.115</v>
      </c>
      <c r="L1538" s="203">
        <f>SUM('2034'!K6:K9)+SUM('2034'!K17:K20)</f>
        <v>18448.2</v>
      </c>
      <c r="M1538" s="203">
        <f>SUM('2034'!L6:L9)+SUM('2034'!L17:L20)</f>
        <v>18095.285</v>
      </c>
      <c r="N1538" s="203">
        <f>SUM('2034'!M6:M9)+SUM('2034'!M17:M20)</f>
        <v>28811.29</v>
      </c>
      <c r="O1538" s="5"/>
      <c r="P1538" s="5"/>
      <c r="Q1538" s="5"/>
      <c r="R1538" s="5"/>
      <c r="S1538" s="5"/>
      <c r="T1538" s="5"/>
      <c r="U1538" s="5"/>
      <c r="V1538" s="5"/>
      <c r="W1538" s="5"/>
      <c r="X1538" s="5"/>
      <c r="Y1538" s="5"/>
      <c r="Z1538" s="5"/>
    </row>
    <row r="1539" ht="12.0" customHeight="1">
      <c r="A1539" s="5"/>
      <c r="B1539" s="92" t="s">
        <v>634</v>
      </c>
      <c r="C1539" s="204">
        <f>C1538/Parametros!$B$37</f>
        <v>1405.273</v>
      </c>
      <c r="D1539" s="204">
        <f>D1538/Parametros!$B$37</f>
        <v>1071.6005</v>
      </c>
      <c r="E1539" s="204">
        <f>E1538/Parametros!$B$37</f>
        <v>1001.54975</v>
      </c>
      <c r="F1539" s="204">
        <f>F1538/Parametros!$B$37</f>
        <v>957.7015</v>
      </c>
      <c r="G1539" s="204">
        <f>G1538/Parametros!$B$37</f>
        <v>896.2075</v>
      </c>
      <c r="H1539" s="204">
        <f>H1538/Parametros!$B$37</f>
        <v>878.56175</v>
      </c>
      <c r="I1539" s="204">
        <f>I1538/Parametros!$B$37</f>
        <v>940.05575</v>
      </c>
      <c r="J1539" s="204">
        <f>J1538/Parametros!$B$37</f>
        <v>940.05575</v>
      </c>
      <c r="K1539" s="204">
        <f>K1538/Parametros!$B$37</f>
        <v>940.05575</v>
      </c>
      <c r="L1539" s="204">
        <f>L1538/Parametros!$B$37</f>
        <v>922.41</v>
      </c>
      <c r="M1539" s="204">
        <f>M1538/Parametros!$B$37</f>
        <v>904.76425</v>
      </c>
      <c r="N1539" s="204">
        <f>N1538/Parametros!$B$37</f>
        <v>1440.5645</v>
      </c>
      <c r="O1539" s="5"/>
      <c r="P1539" s="5"/>
      <c r="Q1539" s="5"/>
      <c r="R1539" s="5"/>
      <c r="S1539" s="5"/>
      <c r="T1539" s="5"/>
      <c r="U1539" s="5"/>
      <c r="V1539" s="5"/>
      <c r="W1539" s="5"/>
      <c r="X1539" s="5"/>
      <c r="Y1539" s="5"/>
      <c r="Z1539" s="5"/>
    </row>
    <row r="1540" ht="12.0" customHeight="1">
      <c r="A1540" s="5"/>
      <c r="B1540" s="92" t="s">
        <v>635</v>
      </c>
      <c r="C1540" s="204">
        <f>C1539/Parametros!$J$37</f>
        <v>187.3697333</v>
      </c>
      <c r="D1540" s="204">
        <f>D1539/Parametros!$J$37</f>
        <v>142.8800667</v>
      </c>
      <c r="E1540" s="204">
        <f>E1539/Parametros!$J$37</f>
        <v>133.5399667</v>
      </c>
      <c r="F1540" s="204">
        <f>F1539/Parametros!$J$37</f>
        <v>127.6935333</v>
      </c>
      <c r="G1540" s="204">
        <f>G1539/Parametros!$J$37</f>
        <v>119.4943333</v>
      </c>
      <c r="H1540" s="204">
        <f>H1539/Parametros!$J$37</f>
        <v>117.1415667</v>
      </c>
      <c r="I1540" s="204">
        <f>I1539/Parametros!$J$37</f>
        <v>125.3407667</v>
      </c>
      <c r="J1540" s="204">
        <f>J1539/Parametros!$J$37</f>
        <v>125.3407667</v>
      </c>
      <c r="K1540" s="204">
        <f>K1539/Parametros!$J$37</f>
        <v>125.3407667</v>
      </c>
      <c r="L1540" s="204">
        <f>L1539/Parametros!$J$37</f>
        <v>122.988</v>
      </c>
      <c r="M1540" s="204">
        <f>M1539/Parametros!$J$37</f>
        <v>120.6352333</v>
      </c>
      <c r="N1540" s="204">
        <f>N1539/Parametros!$J$37</f>
        <v>192.0752667</v>
      </c>
      <c r="O1540" s="5"/>
      <c r="P1540" s="5"/>
      <c r="Q1540" s="5"/>
      <c r="R1540" s="5"/>
      <c r="S1540" s="5"/>
      <c r="T1540" s="5"/>
      <c r="U1540" s="5"/>
      <c r="V1540" s="5"/>
      <c r="W1540" s="5"/>
      <c r="X1540" s="5"/>
      <c r="Y1540" s="5"/>
      <c r="Z1540" s="5"/>
    </row>
    <row r="1541" ht="12.0" customHeight="1">
      <c r="A1541" s="92" t="s">
        <v>636</v>
      </c>
      <c r="B1541" s="5"/>
      <c r="C1541" s="204">
        <f t="shared" ref="C1541:N1541" si="454">C1540</f>
        <v>187.3697333</v>
      </c>
      <c r="D1541" s="204">
        <f t="shared" si="454"/>
        <v>142.8800667</v>
      </c>
      <c r="E1541" s="204">
        <f t="shared" si="454"/>
        <v>133.5399667</v>
      </c>
      <c r="F1541" s="204">
        <f t="shared" si="454"/>
        <v>127.6935333</v>
      </c>
      <c r="G1541" s="204">
        <f t="shared" si="454"/>
        <v>119.4943333</v>
      </c>
      <c r="H1541" s="204">
        <f t="shared" si="454"/>
        <v>117.1415667</v>
      </c>
      <c r="I1541" s="204">
        <f t="shared" si="454"/>
        <v>125.3407667</v>
      </c>
      <c r="J1541" s="204">
        <f t="shared" si="454"/>
        <v>125.3407667</v>
      </c>
      <c r="K1541" s="204">
        <f t="shared" si="454"/>
        <v>125.3407667</v>
      </c>
      <c r="L1541" s="204">
        <f t="shared" si="454"/>
        <v>122.988</v>
      </c>
      <c r="M1541" s="204">
        <f t="shared" si="454"/>
        <v>120.6352333</v>
      </c>
      <c r="N1541" s="204">
        <f t="shared" si="454"/>
        <v>192.0752667</v>
      </c>
      <c r="O1541" s="5"/>
      <c r="P1541" s="5"/>
      <c r="Q1541" s="5"/>
      <c r="R1541" s="5"/>
      <c r="S1541" s="5"/>
      <c r="T1541" s="5"/>
      <c r="U1541" s="5"/>
      <c r="V1541" s="5"/>
      <c r="W1541" s="5"/>
      <c r="X1541" s="5"/>
      <c r="Y1541" s="5"/>
      <c r="Z1541" s="5"/>
    </row>
    <row r="1542" ht="12.0" customHeight="1">
      <c r="A1542" s="92" t="s">
        <v>637</v>
      </c>
      <c r="B1542" s="5"/>
      <c r="C1542" s="205">
        <f>'Resumen Capacidad'!$J$118</f>
        <v>187.425</v>
      </c>
      <c r="D1542" s="205">
        <f>'Resumen Capacidad'!$J$118</f>
        <v>187.425</v>
      </c>
      <c r="E1542" s="205">
        <f>'Resumen Capacidad'!$J$118</f>
        <v>187.425</v>
      </c>
      <c r="F1542" s="205">
        <f>'Resumen Capacidad'!$J$118</f>
        <v>187.425</v>
      </c>
      <c r="G1542" s="205">
        <f>'Resumen Capacidad'!$J$118</f>
        <v>187.425</v>
      </c>
      <c r="H1542" s="205">
        <f>'Resumen Capacidad'!$J$118</f>
        <v>187.425</v>
      </c>
      <c r="I1542" s="205">
        <f>'Resumen Capacidad'!$J$118</f>
        <v>187.425</v>
      </c>
      <c r="J1542" s="205">
        <f>'Resumen Capacidad'!$J$118</f>
        <v>187.425</v>
      </c>
      <c r="K1542" s="205">
        <f>'Resumen Capacidad'!$J$118</f>
        <v>187.425</v>
      </c>
      <c r="L1542" s="205">
        <f>'Resumen Capacidad'!$J$118</f>
        <v>187.425</v>
      </c>
      <c r="M1542" s="205">
        <f>'Resumen Capacidad'!$J$118</f>
        <v>187.425</v>
      </c>
      <c r="N1542" s="205">
        <f>'Resumen Capacidad'!$J$118</f>
        <v>187.425</v>
      </c>
      <c r="O1542" s="5"/>
      <c r="P1542" s="5"/>
      <c r="Q1542" s="5"/>
      <c r="R1542" s="5"/>
      <c r="S1542" s="5"/>
      <c r="T1542" s="5"/>
      <c r="U1542" s="5"/>
      <c r="V1542" s="5"/>
      <c r="W1542" s="5"/>
      <c r="X1542" s="5"/>
      <c r="Y1542" s="5"/>
      <c r="Z1542" s="5"/>
    </row>
    <row r="1543" ht="12.0" customHeight="1">
      <c r="A1543" s="92" t="s">
        <v>640</v>
      </c>
      <c r="B1543" s="5"/>
      <c r="C1543" s="204">
        <f>'Resumen Capacidad'!$J$36*'Resumen Capacidad'!$J$72</f>
        <v>2</v>
      </c>
      <c r="D1543" s="204">
        <f>'Resumen Capacidad'!$J$36*'Resumen Capacidad'!$J$72</f>
        <v>2</v>
      </c>
      <c r="E1543" s="204">
        <f>'Resumen Capacidad'!$J$36*'Resumen Capacidad'!$J$72</f>
        <v>2</v>
      </c>
      <c r="F1543" s="204">
        <f>'Resumen Capacidad'!$J$36*'Resumen Capacidad'!$J$72</f>
        <v>2</v>
      </c>
      <c r="G1543" s="204">
        <f>'Resumen Capacidad'!$J$36*'Resumen Capacidad'!$J$72</f>
        <v>2</v>
      </c>
      <c r="H1543" s="204">
        <f>'Resumen Capacidad'!$J$36*'Resumen Capacidad'!$J$72</f>
        <v>2</v>
      </c>
      <c r="I1543" s="204">
        <f>'Resumen Capacidad'!$J$36*'Resumen Capacidad'!$J$72</f>
        <v>2</v>
      </c>
      <c r="J1543" s="204">
        <f>'Resumen Capacidad'!$J$36*'Resumen Capacidad'!$J$72</f>
        <v>2</v>
      </c>
      <c r="K1543" s="204">
        <f>'Resumen Capacidad'!$J$36*'Resumen Capacidad'!$J$72</f>
        <v>2</v>
      </c>
      <c r="L1543" s="204">
        <f>'Resumen Capacidad'!$J$36*'Resumen Capacidad'!$J$72</f>
        <v>2</v>
      </c>
      <c r="M1543" s="204">
        <f>'Resumen Capacidad'!$J$36*'Resumen Capacidad'!$J$72</f>
        <v>2</v>
      </c>
      <c r="N1543" s="204">
        <f>'Resumen Capacidad'!$J$36*'Resumen Capacidad'!$J$72</f>
        <v>2</v>
      </c>
      <c r="O1543" s="5"/>
      <c r="P1543" s="5"/>
      <c r="Q1543" s="5"/>
      <c r="R1543" s="5"/>
      <c r="S1543" s="5"/>
      <c r="T1543" s="5"/>
      <c r="U1543" s="5"/>
      <c r="V1543" s="5"/>
      <c r="W1543" s="5"/>
      <c r="X1543" s="5"/>
      <c r="Y1543" s="5"/>
      <c r="Z1543" s="5"/>
    </row>
    <row r="1544" ht="12.0" customHeight="1">
      <c r="A1544" s="92" t="s">
        <v>642</v>
      </c>
      <c r="B1544" s="5"/>
      <c r="C1544" s="204">
        <f t="shared" ref="C1544:N1544" si="455">C1542*C1543</f>
        <v>374.85</v>
      </c>
      <c r="D1544" s="204">
        <f t="shared" si="455"/>
        <v>374.85</v>
      </c>
      <c r="E1544" s="204">
        <f t="shared" si="455"/>
        <v>374.85</v>
      </c>
      <c r="F1544" s="204">
        <f t="shared" si="455"/>
        <v>374.85</v>
      </c>
      <c r="G1544" s="204">
        <f t="shared" si="455"/>
        <v>374.85</v>
      </c>
      <c r="H1544" s="204">
        <f t="shared" si="455"/>
        <v>374.85</v>
      </c>
      <c r="I1544" s="204">
        <f t="shared" si="455"/>
        <v>374.85</v>
      </c>
      <c r="J1544" s="204">
        <f t="shared" si="455"/>
        <v>374.85</v>
      </c>
      <c r="K1544" s="204">
        <f t="shared" si="455"/>
        <v>374.85</v>
      </c>
      <c r="L1544" s="204">
        <f t="shared" si="455"/>
        <v>374.85</v>
      </c>
      <c r="M1544" s="204">
        <f t="shared" si="455"/>
        <v>374.85</v>
      </c>
      <c r="N1544" s="204">
        <f t="shared" si="455"/>
        <v>374.85</v>
      </c>
      <c r="O1544" s="5"/>
      <c r="P1544" s="5"/>
      <c r="Q1544" s="5"/>
      <c r="R1544" s="5"/>
      <c r="S1544" s="5"/>
      <c r="T1544" s="5"/>
      <c r="U1544" s="5"/>
      <c r="V1544" s="5"/>
      <c r="W1544" s="5"/>
      <c r="X1544" s="5"/>
      <c r="Y1544" s="5"/>
      <c r="Z1544" s="5"/>
    </row>
    <row r="1545" ht="12.0" customHeight="1">
      <c r="A1545" s="92" t="s">
        <v>643</v>
      </c>
      <c r="B1545" s="5"/>
      <c r="C1545" s="206">
        <f t="shared" ref="C1545:N1545" si="456">IF(C1544=0,0,C1541/C1544)</f>
        <v>0.4998525632</v>
      </c>
      <c r="D1545" s="206">
        <f t="shared" si="456"/>
        <v>0.3811659775</v>
      </c>
      <c r="E1545" s="206">
        <f t="shared" si="456"/>
        <v>0.3562490774</v>
      </c>
      <c r="F1545" s="206">
        <f t="shared" si="456"/>
        <v>0.3406523498</v>
      </c>
      <c r="G1545" s="206">
        <f t="shared" si="456"/>
        <v>0.3187790672</v>
      </c>
      <c r="H1545" s="206">
        <f t="shared" si="456"/>
        <v>0.3125025121</v>
      </c>
      <c r="I1545" s="206">
        <f t="shared" si="456"/>
        <v>0.3343757948</v>
      </c>
      <c r="J1545" s="206">
        <f t="shared" si="456"/>
        <v>0.3343757948</v>
      </c>
      <c r="K1545" s="206">
        <f t="shared" si="456"/>
        <v>0.3343757948</v>
      </c>
      <c r="L1545" s="206">
        <f t="shared" si="456"/>
        <v>0.3280992397</v>
      </c>
      <c r="M1545" s="206">
        <f t="shared" si="456"/>
        <v>0.3218226846</v>
      </c>
      <c r="N1545" s="206">
        <f t="shared" si="456"/>
        <v>0.5124056734</v>
      </c>
      <c r="O1545" s="5"/>
      <c r="P1545" s="5"/>
      <c r="Q1545" s="5"/>
      <c r="R1545" s="5"/>
      <c r="S1545" s="5"/>
      <c r="T1545" s="5"/>
      <c r="U1545" s="5"/>
      <c r="V1545" s="5"/>
      <c r="W1545" s="5"/>
      <c r="X1545" s="5"/>
      <c r="Y1545" s="5"/>
      <c r="Z1545" s="5"/>
    </row>
    <row r="1546" ht="12.0" customHeight="1">
      <c r="A1546" s="201" t="s">
        <v>665</v>
      </c>
      <c r="B1546" s="202"/>
      <c r="C1546" s="202"/>
      <c r="D1546" s="202"/>
      <c r="E1546" s="202"/>
      <c r="F1546" s="202"/>
      <c r="G1546" s="202"/>
      <c r="H1546" s="202"/>
      <c r="I1546" s="202"/>
      <c r="J1546" s="202"/>
      <c r="K1546" s="202"/>
      <c r="L1546" s="202"/>
      <c r="M1546" s="202"/>
      <c r="N1546" s="202"/>
      <c r="O1546" s="5"/>
      <c r="P1546" s="5"/>
      <c r="Q1546" s="5"/>
      <c r="R1546" s="5"/>
      <c r="S1546" s="5"/>
      <c r="T1546" s="5"/>
      <c r="U1546" s="5"/>
      <c r="V1546" s="5"/>
      <c r="W1546" s="5"/>
      <c r="X1546" s="5"/>
      <c r="Y1546" s="5"/>
      <c r="Z1546" s="5"/>
    </row>
    <row r="1547" ht="12.0" customHeight="1">
      <c r="A1547" s="201" t="s">
        <v>630</v>
      </c>
      <c r="B1547" s="201" t="s">
        <v>631</v>
      </c>
      <c r="C1547" s="201" t="s">
        <v>3</v>
      </c>
      <c r="D1547" s="201" t="s">
        <v>4</v>
      </c>
      <c r="E1547" s="201" t="s">
        <v>5</v>
      </c>
      <c r="F1547" s="201" t="s">
        <v>6</v>
      </c>
      <c r="G1547" s="201" t="s">
        <v>7</v>
      </c>
      <c r="H1547" s="201" t="s">
        <v>8</v>
      </c>
      <c r="I1547" s="201" t="s">
        <v>9</v>
      </c>
      <c r="J1547" s="201" t="s">
        <v>10</v>
      </c>
      <c r="K1547" s="201" t="s">
        <v>11</v>
      </c>
      <c r="L1547" s="201" t="s">
        <v>12</v>
      </c>
      <c r="M1547" s="201" t="s">
        <v>13</v>
      </c>
      <c r="N1547" s="201" t="s">
        <v>14</v>
      </c>
      <c r="O1547" s="5"/>
      <c r="P1547" s="5"/>
      <c r="Q1547" s="5"/>
      <c r="R1547" s="5"/>
      <c r="S1547" s="5"/>
      <c r="T1547" s="5"/>
      <c r="U1547" s="5"/>
      <c r="V1547" s="5"/>
      <c r="W1547" s="5"/>
      <c r="X1547" s="5"/>
      <c r="Y1547" s="5"/>
      <c r="Z1547" s="5"/>
    </row>
    <row r="1548" ht="12.0" customHeight="1">
      <c r="A1548" s="92" t="s">
        <v>632</v>
      </c>
      <c r="B1548" s="92" t="s">
        <v>633</v>
      </c>
      <c r="C1548" s="203">
        <f>SUM('2034'!B6:B9)+SUM('2034'!B17:B20)</f>
        <v>28105.46</v>
      </c>
      <c r="D1548" s="203">
        <f>SUM('2034'!C6:C9)+SUM('2034'!C17:C20)</f>
        <v>21432.01</v>
      </c>
      <c r="E1548" s="203">
        <f>SUM('2034'!D6:D9)+SUM('2034'!D17:D20)</f>
        <v>20030.995</v>
      </c>
      <c r="F1548" s="203">
        <f>SUM('2034'!E6:E9)+SUM('2034'!E17:E20)</f>
        <v>19154.03</v>
      </c>
      <c r="G1548" s="203">
        <f>SUM('2034'!F6:F9)+SUM('2034'!F17:F20)</f>
        <v>17924.15</v>
      </c>
      <c r="H1548" s="203">
        <f>SUM('2034'!G6:G9)+SUM('2034'!G17:G20)</f>
        <v>17571.235</v>
      </c>
      <c r="I1548" s="203">
        <f>SUM('2034'!H6:H9)+SUM('2034'!H17:H20)</f>
        <v>18801.115</v>
      </c>
      <c r="J1548" s="203">
        <f>SUM('2034'!I6:I9)+SUM('2034'!I17:I20)</f>
        <v>18801.115</v>
      </c>
      <c r="K1548" s="203">
        <f>SUM('2034'!J6:J9)+SUM('2034'!J17:J20)</f>
        <v>18801.115</v>
      </c>
      <c r="L1548" s="203">
        <f>SUM('2034'!K6:K9)+SUM('2034'!K17:K20)</f>
        <v>18448.2</v>
      </c>
      <c r="M1548" s="203">
        <f>SUM('2034'!L6:L9)+SUM('2034'!L17:L20)</f>
        <v>18095.285</v>
      </c>
      <c r="N1548" s="203">
        <f>SUM('2034'!M6:M9)+SUM('2034'!M17:M20)</f>
        <v>28811.29</v>
      </c>
      <c r="O1548" s="5"/>
      <c r="P1548" s="5"/>
      <c r="Q1548" s="5"/>
      <c r="R1548" s="5"/>
      <c r="S1548" s="5"/>
      <c r="T1548" s="5"/>
      <c r="U1548" s="5"/>
      <c r="V1548" s="5"/>
      <c r="W1548" s="5"/>
      <c r="X1548" s="5"/>
      <c r="Y1548" s="5"/>
      <c r="Z1548" s="5"/>
    </row>
    <row r="1549" ht="12.0" customHeight="1">
      <c r="A1549" s="5"/>
      <c r="B1549" s="92" t="s">
        <v>634</v>
      </c>
      <c r="C1549" s="204">
        <f>C1548/Parametros!$B$37</f>
        <v>1405.273</v>
      </c>
      <c r="D1549" s="204">
        <f>D1548/Parametros!$B$37</f>
        <v>1071.6005</v>
      </c>
      <c r="E1549" s="204">
        <f>E1548/Parametros!$B$37</f>
        <v>1001.54975</v>
      </c>
      <c r="F1549" s="204">
        <f>F1548/Parametros!$B$37</f>
        <v>957.7015</v>
      </c>
      <c r="G1549" s="204">
        <f>G1548/Parametros!$B$37</f>
        <v>896.2075</v>
      </c>
      <c r="H1549" s="204">
        <f>H1548/Parametros!$B$37</f>
        <v>878.56175</v>
      </c>
      <c r="I1549" s="204">
        <f>I1548/Parametros!$B$37</f>
        <v>940.05575</v>
      </c>
      <c r="J1549" s="204">
        <f>J1548/Parametros!$B$37</f>
        <v>940.05575</v>
      </c>
      <c r="K1549" s="204">
        <f>K1548/Parametros!$B$37</f>
        <v>940.05575</v>
      </c>
      <c r="L1549" s="204">
        <f>L1548/Parametros!$B$37</f>
        <v>922.41</v>
      </c>
      <c r="M1549" s="204">
        <f>M1548/Parametros!$B$37</f>
        <v>904.76425</v>
      </c>
      <c r="N1549" s="204">
        <f>N1548/Parametros!$B$37</f>
        <v>1440.5645</v>
      </c>
      <c r="O1549" s="5"/>
      <c r="P1549" s="5"/>
      <c r="Q1549" s="5"/>
      <c r="R1549" s="5"/>
      <c r="S1549" s="5"/>
      <c r="T1549" s="5"/>
      <c r="U1549" s="5"/>
      <c r="V1549" s="5"/>
      <c r="W1549" s="5"/>
      <c r="X1549" s="5"/>
      <c r="Y1549" s="5"/>
      <c r="Z1549" s="5"/>
    </row>
    <row r="1550" ht="12.0" customHeight="1">
      <c r="A1550" s="5"/>
      <c r="B1550" s="92" t="s">
        <v>635</v>
      </c>
      <c r="C1550" s="204">
        <f>C1549/Parametros!$J$37</f>
        <v>187.3697333</v>
      </c>
      <c r="D1550" s="204">
        <f>D1549/Parametros!$J$37</f>
        <v>142.8800667</v>
      </c>
      <c r="E1550" s="204">
        <f>E1549/Parametros!$J$37</f>
        <v>133.5399667</v>
      </c>
      <c r="F1550" s="204">
        <f>F1549/Parametros!$J$37</f>
        <v>127.6935333</v>
      </c>
      <c r="G1550" s="204">
        <f>G1549/Parametros!$J$37</f>
        <v>119.4943333</v>
      </c>
      <c r="H1550" s="204">
        <f>H1549/Parametros!$J$37</f>
        <v>117.1415667</v>
      </c>
      <c r="I1550" s="204">
        <f>I1549/Parametros!$J$37</f>
        <v>125.3407667</v>
      </c>
      <c r="J1550" s="204">
        <f>J1549/Parametros!$J$37</f>
        <v>125.3407667</v>
      </c>
      <c r="K1550" s="204">
        <f>K1549/Parametros!$J$37</f>
        <v>125.3407667</v>
      </c>
      <c r="L1550" s="204">
        <f>L1549/Parametros!$J$37</f>
        <v>122.988</v>
      </c>
      <c r="M1550" s="204">
        <f>M1549/Parametros!$J$37</f>
        <v>120.6352333</v>
      </c>
      <c r="N1550" s="204">
        <f>N1549/Parametros!$J$37</f>
        <v>192.0752667</v>
      </c>
      <c r="O1550" s="5"/>
      <c r="P1550" s="5"/>
      <c r="Q1550" s="5"/>
      <c r="R1550" s="5"/>
      <c r="S1550" s="5"/>
      <c r="T1550" s="5"/>
      <c r="U1550" s="5"/>
      <c r="V1550" s="5"/>
      <c r="W1550" s="5"/>
      <c r="X1550" s="5"/>
      <c r="Y1550" s="5"/>
      <c r="Z1550" s="5"/>
    </row>
    <row r="1551" ht="12.0" customHeight="1">
      <c r="A1551" s="92" t="s">
        <v>636</v>
      </c>
      <c r="B1551" s="5"/>
      <c r="C1551" s="204">
        <f t="shared" ref="C1551:N1551" si="457">C1550</f>
        <v>187.3697333</v>
      </c>
      <c r="D1551" s="204">
        <f t="shared" si="457"/>
        <v>142.8800667</v>
      </c>
      <c r="E1551" s="204">
        <f t="shared" si="457"/>
        <v>133.5399667</v>
      </c>
      <c r="F1551" s="204">
        <f t="shared" si="457"/>
        <v>127.6935333</v>
      </c>
      <c r="G1551" s="204">
        <f t="shared" si="457"/>
        <v>119.4943333</v>
      </c>
      <c r="H1551" s="204">
        <f t="shared" si="457"/>
        <v>117.1415667</v>
      </c>
      <c r="I1551" s="204">
        <f t="shared" si="457"/>
        <v>125.3407667</v>
      </c>
      <c r="J1551" s="204">
        <f t="shared" si="457"/>
        <v>125.3407667</v>
      </c>
      <c r="K1551" s="204">
        <f t="shared" si="457"/>
        <v>125.3407667</v>
      </c>
      <c r="L1551" s="204">
        <f t="shared" si="457"/>
        <v>122.988</v>
      </c>
      <c r="M1551" s="204">
        <f t="shared" si="457"/>
        <v>120.6352333</v>
      </c>
      <c r="N1551" s="204">
        <f t="shared" si="457"/>
        <v>192.0752667</v>
      </c>
      <c r="O1551" s="5"/>
      <c r="P1551" s="5"/>
      <c r="Q1551" s="5"/>
      <c r="R1551" s="5"/>
      <c r="S1551" s="5"/>
      <c r="T1551" s="5"/>
      <c r="U1551" s="5"/>
      <c r="V1551" s="5"/>
      <c r="W1551" s="5"/>
      <c r="X1551" s="5"/>
      <c r="Y1551" s="5"/>
      <c r="Z1551" s="5"/>
    </row>
    <row r="1552" ht="12.0" customHeight="1">
      <c r="A1552" s="92" t="s">
        <v>637</v>
      </c>
      <c r="B1552" s="5"/>
      <c r="C1552" s="184">
        <f>'Resumen Capacidad'!$J$119</f>
        <v>63.648</v>
      </c>
      <c r="D1552" s="184">
        <f>'Resumen Capacidad'!$J$119</f>
        <v>63.648</v>
      </c>
      <c r="E1552" s="184">
        <f>'Resumen Capacidad'!$J$119</f>
        <v>63.648</v>
      </c>
      <c r="F1552" s="184">
        <f>'Resumen Capacidad'!$J$119</f>
        <v>63.648</v>
      </c>
      <c r="G1552" s="184">
        <f>'Resumen Capacidad'!$J$119</f>
        <v>63.648</v>
      </c>
      <c r="H1552" s="184">
        <f>'Resumen Capacidad'!$J$119</f>
        <v>63.648</v>
      </c>
      <c r="I1552" s="184">
        <f>'Resumen Capacidad'!$J$119</f>
        <v>63.648</v>
      </c>
      <c r="J1552" s="184">
        <f>'Resumen Capacidad'!$J$119</f>
        <v>63.648</v>
      </c>
      <c r="K1552" s="184">
        <f>'Resumen Capacidad'!$J$119</f>
        <v>63.648</v>
      </c>
      <c r="L1552" s="184">
        <f>'Resumen Capacidad'!$J$119</f>
        <v>63.648</v>
      </c>
      <c r="M1552" s="184">
        <f>'Resumen Capacidad'!$J$119</f>
        <v>63.648</v>
      </c>
      <c r="N1552" s="184">
        <f>'Resumen Capacidad'!$J$119</f>
        <v>63.648</v>
      </c>
      <c r="O1552" s="5"/>
      <c r="P1552" s="5"/>
      <c r="Q1552" s="5"/>
      <c r="R1552" s="5"/>
      <c r="S1552" s="5"/>
      <c r="T1552" s="5"/>
      <c r="U1552" s="5"/>
      <c r="V1552" s="5"/>
      <c r="W1552" s="5"/>
      <c r="X1552" s="5"/>
      <c r="Y1552" s="5"/>
      <c r="Z1552" s="5"/>
    </row>
    <row r="1553" ht="12.0" customHeight="1">
      <c r="A1553" s="92" t="s">
        <v>640</v>
      </c>
      <c r="B1553" s="5"/>
      <c r="C1553" s="204">
        <f>'Resumen Capacidad'!$J$37*'Resumen Capacidad'!$J$73</f>
        <v>4</v>
      </c>
      <c r="D1553" s="204">
        <f>'Resumen Capacidad'!$J$37*'Resumen Capacidad'!$J$73</f>
        <v>4</v>
      </c>
      <c r="E1553" s="204">
        <f>'Resumen Capacidad'!$J$37*'Resumen Capacidad'!$J$73</f>
        <v>4</v>
      </c>
      <c r="F1553" s="204">
        <f>'Resumen Capacidad'!$J$37*'Resumen Capacidad'!$J$73</f>
        <v>4</v>
      </c>
      <c r="G1553" s="204">
        <f>'Resumen Capacidad'!$J$37*'Resumen Capacidad'!$J$73</f>
        <v>4</v>
      </c>
      <c r="H1553" s="204">
        <f>'Resumen Capacidad'!$J$37*'Resumen Capacidad'!$J$73</f>
        <v>4</v>
      </c>
      <c r="I1553" s="204">
        <f>'Resumen Capacidad'!$J$37*'Resumen Capacidad'!$J$73</f>
        <v>4</v>
      </c>
      <c r="J1553" s="204">
        <f>'Resumen Capacidad'!$J$37*'Resumen Capacidad'!$J$73</f>
        <v>4</v>
      </c>
      <c r="K1553" s="204">
        <f>'Resumen Capacidad'!$J$37*'Resumen Capacidad'!$J$73</f>
        <v>4</v>
      </c>
      <c r="L1553" s="204">
        <f>'Resumen Capacidad'!$J$37*'Resumen Capacidad'!$J$73</f>
        <v>4</v>
      </c>
      <c r="M1553" s="204">
        <f>'Resumen Capacidad'!$J$37*'Resumen Capacidad'!$J$73</f>
        <v>4</v>
      </c>
      <c r="N1553" s="204">
        <f>'Resumen Capacidad'!$J$37*'Resumen Capacidad'!$J$73</f>
        <v>4</v>
      </c>
      <c r="O1553" s="5"/>
      <c r="P1553" s="5"/>
      <c r="Q1553" s="5"/>
      <c r="R1553" s="5"/>
      <c r="S1553" s="5"/>
      <c r="T1553" s="5"/>
      <c r="U1553" s="5"/>
      <c r="V1553" s="5"/>
      <c r="W1553" s="5"/>
      <c r="X1553" s="5"/>
      <c r="Y1553" s="5"/>
      <c r="Z1553" s="5"/>
    </row>
    <row r="1554" ht="12.0" customHeight="1">
      <c r="A1554" s="92" t="s">
        <v>642</v>
      </c>
      <c r="B1554" s="5"/>
      <c r="C1554" s="204">
        <f t="shared" ref="C1554:N1554" si="458">C1552*C1553</f>
        <v>254.592</v>
      </c>
      <c r="D1554" s="204">
        <f t="shared" si="458"/>
        <v>254.592</v>
      </c>
      <c r="E1554" s="204">
        <f t="shared" si="458"/>
        <v>254.592</v>
      </c>
      <c r="F1554" s="204">
        <f t="shared" si="458"/>
        <v>254.592</v>
      </c>
      <c r="G1554" s="204">
        <f t="shared" si="458"/>
        <v>254.592</v>
      </c>
      <c r="H1554" s="204">
        <f t="shared" si="458"/>
        <v>254.592</v>
      </c>
      <c r="I1554" s="204">
        <f t="shared" si="458"/>
        <v>254.592</v>
      </c>
      <c r="J1554" s="204">
        <f t="shared" si="458"/>
        <v>254.592</v>
      </c>
      <c r="K1554" s="204">
        <f t="shared" si="458"/>
        <v>254.592</v>
      </c>
      <c r="L1554" s="204">
        <f t="shared" si="458"/>
        <v>254.592</v>
      </c>
      <c r="M1554" s="204">
        <f t="shared" si="458"/>
        <v>254.592</v>
      </c>
      <c r="N1554" s="204">
        <f t="shared" si="458"/>
        <v>254.592</v>
      </c>
      <c r="O1554" s="5"/>
      <c r="P1554" s="5"/>
      <c r="Q1554" s="5"/>
      <c r="R1554" s="5"/>
      <c r="S1554" s="5"/>
      <c r="T1554" s="5"/>
      <c r="U1554" s="5"/>
      <c r="V1554" s="5"/>
      <c r="W1554" s="5"/>
      <c r="X1554" s="5"/>
      <c r="Y1554" s="5"/>
      <c r="Z1554" s="5"/>
    </row>
    <row r="1555" ht="12.0" customHeight="1">
      <c r="A1555" s="92" t="s">
        <v>643</v>
      </c>
      <c r="B1555" s="5"/>
      <c r="C1555" s="206">
        <f t="shared" ref="C1555:N1555" si="459">IF(C1554=0,0,C1551/C1554)</f>
        <v>0.7359608053</v>
      </c>
      <c r="D1555" s="206">
        <f t="shared" si="459"/>
        <v>0.561211926</v>
      </c>
      <c r="E1555" s="206">
        <f t="shared" si="459"/>
        <v>0.5245253844</v>
      </c>
      <c r="F1555" s="206">
        <f t="shared" si="459"/>
        <v>0.5015614526</v>
      </c>
      <c r="G1555" s="206">
        <f t="shared" si="459"/>
        <v>0.4693561987</v>
      </c>
      <c r="H1555" s="206">
        <f t="shared" si="459"/>
        <v>0.4601148766</v>
      </c>
      <c r="I1555" s="206">
        <f t="shared" si="459"/>
        <v>0.4923201305</v>
      </c>
      <c r="J1555" s="206">
        <f t="shared" si="459"/>
        <v>0.4923201305</v>
      </c>
      <c r="K1555" s="206">
        <f t="shared" si="459"/>
        <v>0.4923201305</v>
      </c>
      <c r="L1555" s="206">
        <f t="shared" si="459"/>
        <v>0.4830788084</v>
      </c>
      <c r="M1555" s="206">
        <f t="shared" si="459"/>
        <v>0.4738374864</v>
      </c>
      <c r="N1555" s="206">
        <f t="shared" si="459"/>
        <v>0.7544434494</v>
      </c>
      <c r="O1555" s="5"/>
      <c r="P1555" s="5"/>
      <c r="Q1555" s="5"/>
      <c r="R1555" s="5"/>
      <c r="S1555" s="5"/>
      <c r="T1555" s="5"/>
      <c r="U1555" s="5"/>
      <c r="V1555" s="5"/>
      <c r="W1555" s="5"/>
      <c r="X1555" s="5"/>
      <c r="Y1555" s="5"/>
      <c r="Z1555" s="5"/>
    </row>
    <row r="1556" ht="12.0" customHeight="1">
      <c r="A1556" s="201" t="s">
        <v>666</v>
      </c>
      <c r="B1556" s="202"/>
      <c r="C1556" s="202"/>
      <c r="D1556" s="202"/>
      <c r="E1556" s="202"/>
      <c r="F1556" s="202"/>
      <c r="G1556" s="202"/>
      <c r="H1556" s="202"/>
      <c r="I1556" s="202"/>
      <c r="J1556" s="202"/>
      <c r="K1556" s="202"/>
      <c r="L1556" s="202"/>
      <c r="M1556" s="202"/>
      <c r="N1556" s="202"/>
      <c r="O1556" s="5"/>
      <c r="P1556" s="5"/>
      <c r="Q1556" s="5"/>
      <c r="R1556" s="5"/>
      <c r="S1556" s="5"/>
      <c r="T1556" s="5"/>
      <c r="U1556" s="5"/>
      <c r="V1556" s="5"/>
      <c r="W1556" s="5"/>
      <c r="X1556" s="5"/>
      <c r="Y1556" s="5"/>
      <c r="Z1556" s="5"/>
    </row>
    <row r="1557" ht="12.0" customHeight="1">
      <c r="A1557" s="201" t="s">
        <v>630</v>
      </c>
      <c r="B1557" s="201" t="s">
        <v>631</v>
      </c>
      <c r="C1557" s="201" t="s">
        <v>3</v>
      </c>
      <c r="D1557" s="201" t="s">
        <v>4</v>
      </c>
      <c r="E1557" s="201" t="s">
        <v>5</v>
      </c>
      <c r="F1557" s="201" t="s">
        <v>6</v>
      </c>
      <c r="G1557" s="201" t="s">
        <v>7</v>
      </c>
      <c r="H1557" s="201" t="s">
        <v>8</v>
      </c>
      <c r="I1557" s="201" t="s">
        <v>9</v>
      </c>
      <c r="J1557" s="201" t="s">
        <v>10</v>
      </c>
      <c r="K1557" s="201" t="s">
        <v>11</v>
      </c>
      <c r="L1557" s="201" t="s">
        <v>12</v>
      </c>
      <c r="M1557" s="201" t="s">
        <v>13</v>
      </c>
      <c r="N1557" s="201" t="s">
        <v>14</v>
      </c>
      <c r="O1557" s="5"/>
      <c r="P1557" s="5"/>
      <c r="Q1557" s="5"/>
      <c r="R1557" s="5"/>
      <c r="S1557" s="5"/>
      <c r="T1557" s="5"/>
      <c r="U1557" s="5"/>
      <c r="V1557" s="5"/>
      <c r="W1557" s="5"/>
      <c r="X1557" s="5"/>
      <c r="Y1557" s="5"/>
      <c r="Z1557" s="5"/>
    </row>
    <row r="1558" ht="12.0" customHeight="1">
      <c r="A1558" s="92" t="s">
        <v>632</v>
      </c>
      <c r="B1558" s="92" t="s">
        <v>633</v>
      </c>
      <c r="C1558" s="203">
        <f>SUM('2034'!B6:B9)+SUM('2034'!B17:B20)</f>
        <v>28105.46</v>
      </c>
      <c r="D1558" s="203">
        <f>SUM('2034'!C6:C9)+SUM('2034'!C17:C20)</f>
        <v>21432.01</v>
      </c>
      <c r="E1558" s="203">
        <f>SUM('2034'!D6:D9)+SUM('2034'!D17:D20)</f>
        <v>20030.995</v>
      </c>
      <c r="F1558" s="203">
        <f>SUM('2034'!E6:E9)+SUM('2034'!E17:E20)</f>
        <v>19154.03</v>
      </c>
      <c r="G1558" s="203">
        <f>SUM('2034'!F6:F9)+SUM('2034'!F17:F20)</f>
        <v>17924.15</v>
      </c>
      <c r="H1558" s="203">
        <f>SUM('2034'!G6:G9)+SUM('2034'!G17:G20)</f>
        <v>17571.235</v>
      </c>
      <c r="I1558" s="203">
        <f>SUM('2034'!H6:H9)+SUM('2034'!H17:H20)</f>
        <v>18801.115</v>
      </c>
      <c r="J1558" s="203">
        <f>SUM('2034'!I6:I9)+SUM('2034'!I17:I20)</f>
        <v>18801.115</v>
      </c>
      <c r="K1558" s="203">
        <f>SUM('2034'!J6:J9)+SUM('2034'!J17:J20)</f>
        <v>18801.115</v>
      </c>
      <c r="L1558" s="203">
        <f>SUM('2034'!K6:K9)+SUM('2034'!K17:K20)</f>
        <v>18448.2</v>
      </c>
      <c r="M1558" s="203">
        <f>SUM('2034'!L6:L9)+SUM('2034'!L17:L20)</f>
        <v>18095.285</v>
      </c>
      <c r="N1558" s="203">
        <f>SUM('2034'!M6:M9)+SUM('2034'!M17:M20)</f>
        <v>28811.29</v>
      </c>
      <c r="O1558" s="5"/>
      <c r="P1558" s="5"/>
      <c r="Q1558" s="5"/>
      <c r="R1558" s="5"/>
      <c r="S1558" s="5"/>
      <c r="T1558" s="5"/>
      <c r="U1558" s="5"/>
      <c r="V1558" s="5"/>
      <c r="W1558" s="5"/>
      <c r="X1558" s="5"/>
      <c r="Y1558" s="5"/>
      <c r="Z1558" s="5"/>
    </row>
    <row r="1559" ht="12.0" customHeight="1">
      <c r="A1559" s="5"/>
      <c r="B1559" s="92" t="s">
        <v>634</v>
      </c>
      <c r="C1559" s="204">
        <f>C1558/Parametros!$B$37</f>
        <v>1405.273</v>
      </c>
      <c r="D1559" s="204">
        <f>D1558/Parametros!$B$37</f>
        <v>1071.6005</v>
      </c>
      <c r="E1559" s="204">
        <f>E1558/Parametros!$B$37</f>
        <v>1001.54975</v>
      </c>
      <c r="F1559" s="204">
        <f>F1558/Parametros!$B$37</f>
        <v>957.7015</v>
      </c>
      <c r="G1559" s="204">
        <f>G1558/Parametros!$B$37</f>
        <v>896.2075</v>
      </c>
      <c r="H1559" s="204">
        <f>H1558/Parametros!$B$37</f>
        <v>878.56175</v>
      </c>
      <c r="I1559" s="204">
        <f>I1558/Parametros!$B$37</f>
        <v>940.05575</v>
      </c>
      <c r="J1559" s="204">
        <f>J1558/Parametros!$B$37</f>
        <v>940.05575</v>
      </c>
      <c r="K1559" s="204">
        <f>K1558/Parametros!$B$37</f>
        <v>940.05575</v>
      </c>
      <c r="L1559" s="204">
        <f>L1558/Parametros!$B$37</f>
        <v>922.41</v>
      </c>
      <c r="M1559" s="204">
        <f>M1558/Parametros!$B$37</f>
        <v>904.76425</v>
      </c>
      <c r="N1559" s="204">
        <f>N1558/Parametros!$B$37</f>
        <v>1440.5645</v>
      </c>
      <c r="O1559" s="5"/>
      <c r="P1559" s="5"/>
      <c r="Q1559" s="5"/>
      <c r="R1559" s="5"/>
      <c r="S1559" s="5"/>
      <c r="T1559" s="5"/>
      <c r="U1559" s="5"/>
      <c r="V1559" s="5"/>
      <c r="W1559" s="5"/>
      <c r="X1559" s="5"/>
      <c r="Y1559" s="5"/>
      <c r="Z1559" s="5"/>
    </row>
    <row r="1560" ht="12.0" customHeight="1">
      <c r="A1560" s="5"/>
      <c r="B1560" s="92" t="s">
        <v>635</v>
      </c>
      <c r="C1560" s="204">
        <f>C1559/Parametros!$J$37</f>
        <v>187.3697333</v>
      </c>
      <c r="D1560" s="204">
        <f>D1559/Parametros!$J$37</f>
        <v>142.8800667</v>
      </c>
      <c r="E1560" s="204">
        <f>E1559/Parametros!$J$37</f>
        <v>133.5399667</v>
      </c>
      <c r="F1560" s="204">
        <f>F1559/Parametros!$J$37</f>
        <v>127.6935333</v>
      </c>
      <c r="G1560" s="204">
        <f>G1559/Parametros!$J$37</f>
        <v>119.4943333</v>
      </c>
      <c r="H1560" s="204">
        <f>H1559/Parametros!$J$37</f>
        <v>117.1415667</v>
      </c>
      <c r="I1560" s="204">
        <f>I1559/Parametros!$J$37</f>
        <v>125.3407667</v>
      </c>
      <c r="J1560" s="204">
        <f>J1559/Parametros!$J$37</f>
        <v>125.3407667</v>
      </c>
      <c r="K1560" s="204">
        <f>K1559/Parametros!$J$37</f>
        <v>125.3407667</v>
      </c>
      <c r="L1560" s="204">
        <f>L1559/Parametros!$J$37</f>
        <v>122.988</v>
      </c>
      <c r="M1560" s="204">
        <f>M1559/Parametros!$J$37</f>
        <v>120.6352333</v>
      </c>
      <c r="N1560" s="204">
        <f>N1559/Parametros!$J$37</f>
        <v>192.0752667</v>
      </c>
      <c r="O1560" s="5"/>
      <c r="P1560" s="5"/>
      <c r="Q1560" s="5"/>
      <c r="R1560" s="5"/>
      <c r="S1560" s="5"/>
      <c r="T1560" s="5"/>
      <c r="U1560" s="5"/>
      <c r="V1560" s="5"/>
      <c r="W1560" s="5"/>
      <c r="X1560" s="5"/>
      <c r="Y1560" s="5"/>
      <c r="Z1560" s="5"/>
    </row>
    <row r="1561" ht="12.0" customHeight="1">
      <c r="A1561" s="92" t="s">
        <v>636</v>
      </c>
      <c r="B1561" s="5"/>
      <c r="C1561" s="204">
        <f t="shared" ref="C1561:N1561" si="460">C1560</f>
        <v>187.3697333</v>
      </c>
      <c r="D1561" s="204">
        <f t="shared" si="460"/>
        <v>142.8800667</v>
      </c>
      <c r="E1561" s="204">
        <f t="shared" si="460"/>
        <v>133.5399667</v>
      </c>
      <c r="F1561" s="204">
        <f t="shared" si="460"/>
        <v>127.6935333</v>
      </c>
      <c r="G1561" s="204">
        <f t="shared" si="460"/>
        <v>119.4943333</v>
      </c>
      <c r="H1561" s="204">
        <f t="shared" si="460"/>
        <v>117.1415667</v>
      </c>
      <c r="I1561" s="204">
        <f t="shared" si="460"/>
        <v>125.3407667</v>
      </c>
      <c r="J1561" s="204">
        <f t="shared" si="460"/>
        <v>125.3407667</v>
      </c>
      <c r="K1561" s="204">
        <f t="shared" si="460"/>
        <v>125.3407667</v>
      </c>
      <c r="L1561" s="204">
        <f t="shared" si="460"/>
        <v>122.988</v>
      </c>
      <c r="M1561" s="204">
        <f t="shared" si="460"/>
        <v>120.6352333</v>
      </c>
      <c r="N1561" s="204">
        <f t="shared" si="460"/>
        <v>192.0752667</v>
      </c>
      <c r="O1561" s="5"/>
      <c r="P1561" s="5"/>
      <c r="Q1561" s="5"/>
      <c r="R1561" s="5"/>
      <c r="S1561" s="5"/>
      <c r="T1561" s="5"/>
      <c r="U1561" s="5"/>
      <c r="V1561" s="5"/>
      <c r="W1561" s="5"/>
      <c r="X1561" s="5"/>
      <c r="Y1561" s="5"/>
      <c r="Z1561" s="5"/>
    </row>
    <row r="1562" ht="12.0" customHeight="1">
      <c r="A1562" s="92" t="s">
        <v>637</v>
      </c>
      <c r="B1562" s="5"/>
      <c r="C1562" s="205">
        <f>'Resumen Capacidad'!$J$120</f>
        <v>86.65142857</v>
      </c>
      <c r="D1562" s="205">
        <f>'Resumen Capacidad'!$J$120</f>
        <v>86.65142857</v>
      </c>
      <c r="E1562" s="205">
        <f>'Resumen Capacidad'!$J$120</f>
        <v>86.65142857</v>
      </c>
      <c r="F1562" s="205">
        <f>'Resumen Capacidad'!$J$120</f>
        <v>86.65142857</v>
      </c>
      <c r="G1562" s="205">
        <f>'Resumen Capacidad'!$J$120</f>
        <v>86.65142857</v>
      </c>
      <c r="H1562" s="205">
        <f>'Resumen Capacidad'!$J$120</f>
        <v>86.65142857</v>
      </c>
      <c r="I1562" s="205">
        <f>'Resumen Capacidad'!$J$120</f>
        <v>86.65142857</v>
      </c>
      <c r="J1562" s="205">
        <f>'Resumen Capacidad'!$J$120</f>
        <v>86.65142857</v>
      </c>
      <c r="K1562" s="205">
        <f>'Resumen Capacidad'!$J$120</f>
        <v>86.65142857</v>
      </c>
      <c r="L1562" s="205">
        <f>'Resumen Capacidad'!$J$120</f>
        <v>86.65142857</v>
      </c>
      <c r="M1562" s="205">
        <f>'Resumen Capacidad'!$J$120</f>
        <v>86.65142857</v>
      </c>
      <c r="N1562" s="205">
        <f>'Resumen Capacidad'!$J$120</f>
        <v>86.65142857</v>
      </c>
      <c r="O1562" s="5"/>
      <c r="P1562" s="5"/>
      <c r="Q1562" s="5"/>
      <c r="R1562" s="5"/>
      <c r="S1562" s="5"/>
      <c r="T1562" s="5"/>
      <c r="U1562" s="5"/>
      <c r="V1562" s="5"/>
      <c r="W1562" s="5"/>
      <c r="X1562" s="5"/>
      <c r="Y1562" s="5"/>
      <c r="Z1562" s="5"/>
    </row>
    <row r="1563" ht="12.0" customHeight="1">
      <c r="A1563" s="92" t="s">
        <v>640</v>
      </c>
      <c r="B1563" s="5"/>
      <c r="C1563" s="204">
        <f>'Resumen Capacidad'!$J$38*'Resumen Capacidad'!$J$74</f>
        <v>4</v>
      </c>
      <c r="D1563" s="204">
        <f>'Resumen Capacidad'!$J$38*'Resumen Capacidad'!$J$74</f>
        <v>4</v>
      </c>
      <c r="E1563" s="204">
        <f>'Resumen Capacidad'!$J$38*'Resumen Capacidad'!$J$74</f>
        <v>4</v>
      </c>
      <c r="F1563" s="204">
        <f>'Resumen Capacidad'!$J$38*'Resumen Capacidad'!$J$74</f>
        <v>4</v>
      </c>
      <c r="G1563" s="204">
        <f>'Resumen Capacidad'!$J$38*'Resumen Capacidad'!$J$74</f>
        <v>4</v>
      </c>
      <c r="H1563" s="204">
        <f>'Resumen Capacidad'!$J$38*'Resumen Capacidad'!$J$74</f>
        <v>4</v>
      </c>
      <c r="I1563" s="204">
        <f>'Resumen Capacidad'!$J$38*'Resumen Capacidad'!$J$74</f>
        <v>4</v>
      </c>
      <c r="J1563" s="204">
        <f>'Resumen Capacidad'!$J$38*'Resumen Capacidad'!$J$74</f>
        <v>4</v>
      </c>
      <c r="K1563" s="204">
        <f>'Resumen Capacidad'!$J$38*'Resumen Capacidad'!$J$74</f>
        <v>4</v>
      </c>
      <c r="L1563" s="204">
        <f>'Resumen Capacidad'!$J$38*'Resumen Capacidad'!$J$74</f>
        <v>4</v>
      </c>
      <c r="M1563" s="204">
        <f>'Resumen Capacidad'!$J$38*'Resumen Capacidad'!$J$74</f>
        <v>4</v>
      </c>
      <c r="N1563" s="204">
        <f>'Resumen Capacidad'!$J$38*'Resumen Capacidad'!$J$74</f>
        <v>4</v>
      </c>
      <c r="O1563" s="5"/>
      <c r="P1563" s="5"/>
      <c r="Q1563" s="5"/>
      <c r="R1563" s="5"/>
      <c r="S1563" s="5"/>
      <c r="T1563" s="5"/>
      <c r="U1563" s="5"/>
      <c r="V1563" s="5"/>
      <c r="W1563" s="5"/>
      <c r="X1563" s="5"/>
      <c r="Y1563" s="5"/>
      <c r="Z1563" s="5"/>
    </row>
    <row r="1564" ht="12.0" customHeight="1">
      <c r="A1564" s="92" t="s">
        <v>642</v>
      </c>
      <c r="B1564" s="5"/>
      <c r="C1564" s="204">
        <f t="shared" ref="C1564:N1564" si="461">C1562*C1563</f>
        <v>346.6057143</v>
      </c>
      <c r="D1564" s="204">
        <f t="shared" si="461"/>
        <v>346.6057143</v>
      </c>
      <c r="E1564" s="204">
        <f t="shared" si="461"/>
        <v>346.6057143</v>
      </c>
      <c r="F1564" s="204">
        <f t="shared" si="461"/>
        <v>346.6057143</v>
      </c>
      <c r="G1564" s="204">
        <f t="shared" si="461"/>
        <v>346.6057143</v>
      </c>
      <c r="H1564" s="204">
        <f t="shared" si="461"/>
        <v>346.6057143</v>
      </c>
      <c r="I1564" s="204">
        <f t="shared" si="461"/>
        <v>346.6057143</v>
      </c>
      <c r="J1564" s="204">
        <f t="shared" si="461"/>
        <v>346.6057143</v>
      </c>
      <c r="K1564" s="204">
        <f t="shared" si="461"/>
        <v>346.6057143</v>
      </c>
      <c r="L1564" s="204">
        <f t="shared" si="461"/>
        <v>346.6057143</v>
      </c>
      <c r="M1564" s="204">
        <f t="shared" si="461"/>
        <v>346.6057143</v>
      </c>
      <c r="N1564" s="204">
        <f t="shared" si="461"/>
        <v>346.6057143</v>
      </c>
      <c r="O1564" s="5"/>
      <c r="P1564" s="5"/>
      <c r="Q1564" s="5"/>
      <c r="R1564" s="5"/>
      <c r="S1564" s="5"/>
      <c r="T1564" s="5"/>
      <c r="U1564" s="5"/>
      <c r="V1564" s="5"/>
      <c r="W1564" s="5"/>
      <c r="X1564" s="5"/>
      <c r="Y1564" s="5"/>
      <c r="Z1564" s="5"/>
    </row>
    <row r="1565" ht="12.0" customHeight="1">
      <c r="A1565" s="92" t="s">
        <v>643</v>
      </c>
      <c r="B1565" s="5"/>
      <c r="C1565" s="206">
        <f t="shared" ref="C1565:N1565" si="462">IF(C1564=0,0,C1561/C1564)</f>
        <v>0.5405846632</v>
      </c>
      <c r="D1565" s="206">
        <f t="shared" si="462"/>
        <v>0.4122265178</v>
      </c>
      <c r="E1565" s="206">
        <f t="shared" si="462"/>
        <v>0.3852791837</v>
      </c>
      <c r="F1565" s="206">
        <f t="shared" si="462"/>
        <v>0.3684115064</v>
      </c>
      <c r="G1565" s="206">
        <f t="shared" si="462"/>
        <v>0.3447558087</v>
      </c>
      <c r="H1565" s="206">
        <f t="shared" si="462"/>
        <v>0.3379677883</v>
      </c>
      <c r="I1565" s="206">
        <f t="shared" si="462"/>
        <v>0.361623486</v>
      </c>
      <c r="J1565" s="206">
        <f t="shared" si="462"/>
        <v>0.361623486</v>
      </c>
      <c r="K1565" s="206">
        <f t="shared" si="462"/>
        <v>0.361623486</v>
      </c>
      <c r="L1565" s="206">
        <f t="shared" si="462"/>
        <v>0.3548354656</v>
      </c>
      <c r="M1565" s="206">
        <f t="shared" si="462"/>
        <v>0.3480474452</v>
      </c>
      <c r="N1565" s="206">
        <f t="shared" si="462"/>
        <v>0.5541607041</v>
      </c>
      <c r="O1565" s="5"/>
      <c r="P1565" s="5"/>
      <c r="Q1565" s="5"/>
      <c r="R1565" s="5"/>
      <c r="S1565" s="5"/>
      <c r="T1565" s="5"/>
      <c r="U1565" s="5"/>
      <c r="V1565" s="5"/>
      <c r="W1565" s="5"/>
      <c r="X1565" s="5"/>
      <c r="Y1565" s="5"/>
      <c r="Z1565" s="5"/>
    </row>
    <row r="1566" ht="12.0" customHeight="1">
      <c r="A1566" s="201" t="s">
        <v>671</v>
      </c>
      <c r="B1566" s="202"/>
      <c r="C1566" s="202"/>
      <c r="D1566" s="202"/>
      <c r="E1566" s="202"/>
      <c r="F1566" s="202"/>
      <c r="G1566" s="202"/>
      <c r="H1566" s="202"/>
      <c r="I1566" s="202"/>
      <c r="J1566" s="202"/>
      <c r="K1566" s="202"/>
      <c r="L1566" s="202"/>
      <c r="M1566" s="202"/>
      <c r="N1566" s="202"/>
      <c r="O1566" s="5"/>
      <c r="P1566" s="5"/>
      <c r="Q1566" s="5"/>
      <c r="R1566" s="5"/>
      <c r="S1566" s="5"/>
      <c r="T1566" s="5"/>
      <c r="U1566" s="5"/>
      <c r="V1566" s="5"/>
      <c r="W1566" s="5"/>
      <c r="X1566" s="5"/>
      <c r="Y1566" s="5"/>
      <c r="Z1566" s="5"/>
    </row>
    <row r="1567" ht="12.0" customHeight="1">
      <c r="A1567" s="201" t="s">
        <v>630</v>
      </c>
      <c r="B1567" s="201" t="s">
        <v>631</v>
      </c>
      <c r="C1567" s="201" t="s">
        <v>3</v>
      </c>
      <c r="D1567" s="201" t="s">
        <v>4</v>
      </c>
      <c r="E1567" s="201" t="s">
        <v>5</v>
      </c>
      <c r="F1567" s="201" t="s">
        <v>6</v>
      </c>
      <c r="G1567" s="201" t="s">
        <v>7</v>
      </c>
      <c r="H1567" s="201" t="s">
        <v>8</v>
      </c>
      <c r="I1567" s="201" t="s">
        <v>9</v>
      </c>
      <c r="J1567" s="201" t="s">
        <v>10</v>
      </c>
      <c r="K1567" s="201" t="s">
        <v>11</v>
      </c>
      <c r="L1567" s="201" t="s">
        <v>12</v>
      </c>
      <c r="M1567" s="201" t="s">
        <v>13</v>
      </c>
      <c r="N1567" s="201" t="s">
        <v>14</v>
      </c>
      <c r="O1567" s="5"/>
      <c r="P1567" s="5"/>
      <c r="Q1567" s="5"/>
      <c r="R1567" s="5"/>
      <c r="S1567" s="5"/>
      <c r="T1567" s="5"/>
      <c r="U1567" s="5"/>
      <c r="V1567" s="5"/>
      <c r="W1567" s="5"/>
      <c r="X1567" s="5"/>
      <c r="Y1567" s="5"/>
      <c r="Z1567" s="5"/>
    </row>
    <row r="1568" ht="12.0" customHeight="1">
      <c r="A1568" s="92" t="s">
        <v>651</v>
      </c>
      <c r="B1568" s="92" t="s">
        <v>633</v>
      </c>
      <c r="C1568" s="203">
        <f>SUM('2034'!B7:B9)+SUM('2034'!B18:B20)</f>
        <v>7058.3</v>
      </c>
      <c r="D1568" s="203">
        <f>SUM('2034'!C7:C9)+SUM('2034'!C18:C20)</f>
        <v>5646.64</v>
      </c>
      <c r="E1568" s="203">
        <f>SUM('2034'!D7:D9)+SUM('2034'!D18:D20)</f>
        <v>5999.555</v>
      </c>
      <c r="F1568" s="203">
        <f>SUM('2034'!E7:E9)+SUM('2034'!E18:E20)</f>
        <v>5999.555</v>
      </c>
      <c r="G1568" s="203">
        <f>SUM('2034'!F7:F9)+SUM('2034'!F18:F20)</f>
        <v>5646.64</v>
      </c>
      <c r="H1568" s="203">
        <f>SUM('2034'!G7:G9)+SUM('2034'!G18:G20)</f>
        <v>5293.725</v>
      </c>
      <c r="I1568" s="203">
        <f>SUM('2034'!H7:H9)+SUM('2034'!H18:H20)</f>
        <v>5646.64</v>
      </c>
      <c r="J1568" s="203">
        <f>SUM('2034'!I7:I9)+SUM('2034'!I18:I20)</f>
        <v>5646.64</v>
      </c>
      <c r="K1568" s="203">
        <f>SUM('2034'!J7:J9)+SUM('2034'!J18:J20)</f>
        <v>5646.64</v>
      </c>
      <c r="L1568" s="203">
        <f>SUM('2034'!K7:K9)+SUM('2034'!K18:K20)</f>
        <v>5293.725</v>
      </c>
      <c r="M1568" s="203">
        <f>SUM('2034'!L7:L9)+SUM('2034'!L18:L20)</f>
        <v>4940.81</v>
      </c>
      <c r="N1568" s="203">
        <f>SUM('2034'!M7:M9)+SUM('2034'!M18:M20)</f>
        <v>7764.13</v>
      </c>
      <c r="O1568" s="5"/>
      <c r="P1568" s="5"/>
      <c r="Q1568" s="5"/>
      <c r="R1568" s="5"/>
      <c r="S1568" s="5"/>
      <c r="T1568" s="5"/>
      <c r="U1568" s="5"/>
      <c r="V1568" s="5"/>
      <c r="W1568" s="5"/>
      <c r="X1568" s="5"/>
      <c r="Y1568" s="5"/>
      <c r="Z1568" s="5"/>
    </row>
    <row r="1569" ht="12.0" customHeight="1">
      <c r="A1569" s="5"/>
      <c r="B1569" s="92" t="s">
        <v>634</v>
      </c>
      <c r="C1569" s="204">
        <f>C1568/Parametros!$B$37</f>
        <v>352.915</v>
      </c>
      <c r="D1569" s="204">
        <f>D1568/Parametros!$B$37</f>
        <v>282.332</v>
      </c>
      <c r="E1569" s="204">
        <f>E1568/Parametros!$B$37</f>
        <v>299.97775</v>
      </c>
      <c r="F1569" s="204">
        <f>F1568/Parametros!$B$37</f>
        <v>299.97775</v>
      </c>
      <c r="G1569" s="204">
        <f>G1568/Parametros!$B$37</f>
        <v>282.332</v>
      </c>
      <c r="H1569" s="204">
        <f>H1568/Parametros!$B$37</f>
        <v>264.68625</v>
      </c>
      <c r="I1569" s="204">
        <f>I1568/Parametros!$B$37</f>
        <v>282.332</v>
      </c>
      <c r="J1569" s="204">
        <f>J1568/Parametros!$B$37</f>
        <v>282.332</v>
      </c>
      <c r="K1569" s="204">
        <f>K1568/Parametros!$B$37</f>
        <v>282.332</v>
      </c>
      <c r="L1569" s="204">
        <f>L1568/Parametros!$B$37</f>
        <v>264.68625</v>
      </c>
      <c r="M1569" s="204">
        <f>M1568/Parametros!$B$37</f>
        <v>247.0405</v>
      </c>
      <c r="N1569" s="204">
        <f>N1568/Parametros!$B$37</f>
        <v>388.2065</v>
      </c>
      <c r="O1569" s="5"/>
      <c r="P1569" s="5"/>
      <c r="Q1569" s="5"/>
      <c r="R1569" s="5"/>
      <c r="S1569" s="5"/>
      <c r="T1569" s="5"/>
      <c r="U1569" s="5"/>
      <c r="V1569" s="5"/>
      <c r="W1569" s="5"/>
      <c r="X1569" s="5"/>
      <c r="Y1569" s="5"/>
      <c r="Z1569" s="5"/>
    </row>
    <row r="1570" ht="12.0" customHeight="1">
      <c r="A1570" s="5"/>
      <c r="B1570" s="92" t="s">
        <v>635</v>
      </c>
      <c r="C1570" s="204">
        <f>C1569/Parametros!$J$37</f>
        <v>47.05533333</v>
      </c>
      <c r="D1570" s="204">
        <f>D1569/Parametros!$J$37</f>
        <v>37.64426667</v>
      </c>
      <c r="E1570" s="204">
        <f>E1569/Parametros!$J$37</f>
        <v>39.99703333</v>
      </c>
      <c r="F1570" s="204">
        <f>F1569/Parametros!$J$37</f>
        <v>39.99703333</v>
      </c>
      <c r="G1570" s="204">
        <f>G1569/Parametros!$J$37</f>
        <v>37.64426667</v>
      </c>
      <c r="H1570" s="204">
        <f>H1569/Parametros!$J$37</f>
        <v>35.2915</v>
      </c>
      <c r="I1570" s="204">
        <f>I1569/Parametros!$J$37</f>
        <v>37.64426667</v>
      </c>
      <c r="J1570" s="204">
        <f>J1569/Parametros!$J$37</f>
        <v>37.64426667</v>
      </c>
      <c r="K1570" s="204">
        <f>K1569/Parametros!$J$37</f>
        <v>37.64426667</v>
      </c>
      <c r="L1570" s="204">
        <f>L1569/Parametros!$J$37</f>
        <v>35.2915</v>
      </c>
      <c r="M1570" s="204">
        <f>M1569/Parametros!$J$37</f>
        <v>32.93873333</v>
      </c>
      <c r="N1570" s="204">
        <f>N1569/Parametros!$J$37</f>
        <v>51.76086667</v>
      </c>
      <c r="O1570" s="5"/>
      <c r="P1570" s="5"/>
      <c r="Q1570" s="5"/>
      <c r="R1570" s="5"/>
      <c r="S1570" s="5"/>
      <c r="T1570" s="5"/>
      <c r="U1570" s="5"/>
      <c r="V1570" s="5"/>
      <c r="W1570" s="5"/>
      <c r="X1570" s="5"/>
      <c r="Y1570" s="5"/>
      <c r="Z1570" s="5"/>
    </row>
    <row r="1571" ht="12.0" customHeight="1">
      <c r="A1571" s="92" t="s">
        <v>636</v>
      </c>
      <c r="B1571" s="5"/>
      <c r="C1571" s="204">
        <f t="shared" ref="C1571:N1571" si="463">C1570</f>
        <v>47.05533333</v>
      </c>
      <c r="D1571" s="204">
        <f t="shared" si="463"/>
        <v>37.64426667</v>
      </c>
      <c r="E1571" s="204">
        <f t="shared" si="463"/>
        <v>39.99703333</v>
      </c>
      <c r="F1571" s="204">
        <f t="shared" si="463"/>
        <v>39.99703333</v>
      </c>
      <c r="G1571" s="204">
        <f t="shared" si="463"/>
        <v>37.64426667</v>
      </c>
      <c r="H1571" s="204">
        <f t="shared" si="463"/>
        <v>35.2915</v>
      </c>
      <c r="I1571" s="204">
        <f t="shared" si="463"/>
        <v>37.64426667</v>
      </c>
      <c r="J1571" s="204">
        <f t="shared" si="463"/>
        <v>37.64426667</v>
      </c>
      <c r="K1571" s="204">
        <f t="shared" si="463"/>
        <v>37.64426667</v>
      </c>
      <c r="L1571" s="204">
        <f t="shared" si="463"/>
        <v>35.2915</v>
      </c>
      <c r="M1571" s="204">
        <f t="shared" si="463"/>
        <v>32.93873333</v>
      </c>
      <c r="N1571" s="204">
        <f t="shared" si="463"/>
        <v>51.76086667</v>
      </c>
      <c r="O1571" s="5"/>
      <c r="P1571" s="5"/>
      <c r="Q1571" s="5"/>
      <c r="R1571" s="5"/>
      <c r="S1571" s="5"/>
      <c r="T1571" s="5"/>
      <c r="U1571" s="5"/>
      <c r="V1571" s="5"/>
      <c r="W1571" s="5"/>
      <c r="X1571" s="5"/>
      <c r="Y1571" s="5"/>
      <c r="Z1571" s="5"/>
    </row>
    <row r="1572" ht="12.0" customHeight="1">
      <c r="A1572" s="92" t="s">
        <v>637</v>
      </c>
      <c r="B1572" s="5"/>
      <c r="C1572" s="205">
        <f>'Resumen Capacidad'!$J$121</f>
        <v>71.1627907</v>
      </c>
      <c r="D1572" s="205">
        <f>'Resumen Capacidad'!$J$121</f>
        <v>71.1627907</v>
      </c>
      <c r="E1572" s="205">
        <f>'Resumen Capacidad'!$J$121</f>
        <v>71.1627907</v>
      </c>
      <c r="F1572" s="205">
        <f>'Resumen Capacidad'!$J$121</f>
        <v>71.1627907</v>
      </c>
      <c r="G1572" s="205">
        <f>'Resumen Capacidad'!$J$121</f>
        <v>71.1627907</v>
      </c>
      <c r="H1572" s="205">
        <f>'Resumen Capacidad'!$J$121</f>
        <v>71.1627907</v>
      </c>
      <c r="I1572" s="205">
        <f>'Resumen Capacidad'!$J$121</f>
        <v>71.1627907</v>
      </c>
      <c r="J1572" s="205">
        <f>'Resumen Capacidad'!$J$121</f>
        <v>71.1627907</v>
      </c>
      <c r="K1572" s="205">
        <f>'Resumen Capacidad'!$J$121</f>
        <v>71.1627907</v>
      </c>
      <c r="L1572" s="205">
        <f>'Resumen Capacidad'!$J$121</f>
        <v>71.1627907</v>
      </c>
      <c r="M1572" s="205">
        <f>'Resumen Capacidad'!$J$121</f>
        <v>71.1627907</v>
      </c>
      <c r="N1572" s="205">
        <f>'Resumen Capacidad'!$J$121</f>
        <v>71.1627907</v>
      </c>
      <c r="O1572" s="5"/>
      <c r="P1572" s="5"/>
      <c r="Q1572" s="5"/>
      <c r="R1572" s="5"/>
      <c r="S1572" s="5"/>
      <c r="T1572" s="5"/>
      <c r="U1572" s="5"/>
      <c r="V1572" s="5"/>
      <c r="W1572" s="5"/>
      <c r="X1572" s="5"/>
      <c r="Y1572" s="5"/>
      <c r="Z1572" s="5"/>
    </row>
    <row r="1573" ht="12.0" customHeight="1">
      <c r="A1573" s="92" t="s">
        <v>640</v>
      </c>
      <c r="B1573" s="5"/>
      <c r="C1573" s="204">
        <f>'Resumen Capacidad'!$J$39*'Resumen Capacidad'!$J$75</f>
        <v>1</v>
      </c>
      <c r="D1573" s="204">
        <f>'Resumen Capacidad'!$J$39*'Resumen Capacidad'!$J$75</f>
        <v>1</v>
      </c>
      <c r="E1573" s="204">
        <f>'Resumen Capacidad'!$J$39*'Resumen Capacidad'!$J$75</f>
        <v>1</v>
      </c>
      <c r="F1573" s="204">
        <f>'Resumen Capacidad'!$J$39*'Resumen Capacidad'!$J$75</f>
        <v>1</v>
      </c>
      <c r="G1573" s="204">
        <f>'Resumen Capacidad'!$J$39*'Resumen Capacidad'!$J$75</f>
        <v>1</v>
      </c>
      <c r="H1573" s="204">
        <f>'Resumen Capacidad'!$J$39*'Resumen Capacidad'!$J$75</f>
        <v>1</v>
      </c>
      <c r="I1573" s="204">
        <f>'Resumen Capacidad'!$J$39*'Resumen Capacidad'!$J$75</f>
        <v>1</v>
      </c>
      <c r="J1573" s="204">
        <f>'Resumen Capacidad'!$J$39*'Resumen Capacidad'!$J$75</f>
        <v>1</v>
      </c>
      <c r="K1573" s="204">
        <f>'Resumen Capacidad'!$J$39*'Resumen Capacidad'!$J$75</f>
        <v>1</v>
      </c>
      <c r="L1573" s="204">
        <f>'Resumen Capacidad'!$J$39*'Resumen Capacidad'!$J$75</f>
        <v>1</v>
      </c>
      <c r="M1573" s="204">
        <f>'Resumen Capacidad'!$J$39*'Resumen Capacidad'!$J$75</f>
        <v>1</v>
      </c>
      <c r="N1573" s="204">
        <f>'Resumen Capacidad'!$J$39*'Resumen Capacidad'!$J$75</f>
        <v>1</v>
      </c>
      <c r="O1573" s="5"/>
      <c r="P1573" s="5"/>
      <c r="Q1573" s="5"/>
      <c r="R1573" s="5"/>
      <c r="S1573" s="5"/>
      <c r="T1573" s="5"/>
      <c r="U1573" s="5"/>
      <c r="V1573" s="5"/>
      <c r="W1573" s="5"/>
      <c r="X1573" s="5"/>
      <c r="Y1573" s="5"/>
      <c r="Z1573" s="5"/>
    </row>
    <row r="1574" ht="12.0" customHeight="1">
      <c r="A1574" s="92" t="s">
        <v>642</v>
      </c>
      <c r="B1574" s="5"/>
      <c r="C1574" s="204">
        <f t="shared" ref="C1574:N1574" si="464">C1572*C1573</f>
        <v>71.1627907</v>
      </c>
      <c r="D1574" s="204">
        <f t="shared" si="464"/>
        <v>71.1627907</v>
      </c>
      <c r="E1574" s="204">
        <f t="shared" si="464"/>
        <v>71.1627907</v>
      </c>
      <c r="F1574" s="204">
        <f t="shared" si="464"/>
        <v>71.1627907</v>
      </c>
      <c r="G1574" s="204">
        <f t="shared" si="464"/>
        <v>71.1627907</v>
      </c>
      <c r="H1574" s="204">
        <f t="shared" si="464"/>
        <v>71.1627907</v>
      </c>
      <c r="I1574" s="204">
        <f t="shared" si="464"/>
        <v>71.1627907</v>
      </c>
      <c r="J1574" s="204">
        <f t="shared" si="464"/>
        <v>71.1627907</v>
      </c>
      <c r="K1574" s="204">
        <f t="shared" si="464"/>
        <v>71.1627907</v>
      </c>
      <c r="L1574" s="204">
        <f t="shared" si="464"/>
        <v>71.1627907</v>
      </c>
      <c r="M1574" s="204">
        <f t="shared" si="464"/>
        <v>71.1627907</v>
      </c>
      <c r="N1574" s="204">
        <f t="shared" si="464"/>
        <v>71.1627907</v>
      </c>
      <c r="O1574" s="5"/>
      <c r="P1574" s="5"/>
      <c r="Q1574" s="5"/>
      <c r="R1574" s="5"/>
      <c r="S1574" s="5"/>
      <c r="T1574" s="5"/>
      <c r="U1574" s="5"/>
      <c r="V1574" s="5"/>
      <c r="W1574" s="5"/>
      <c r="X1574" s="5"/>
      <c r="Y1574" s="5"/>
      <c r="Z1574" s="5"/>
    </row>
    <row r="1575" ht="12.0" customHeight="1">
      <c r="A1575" s="92" t="s">
        <v>643</v>
      </c>
      <c r="B1575" s="5"/>
      <c r="C1575" s="206">
        <f t="shared" ref="C1575:N1575" si="465">IF(C1574=0,0,C1571/C1574)</f>
        <v>0.6612350763</v>
      </c>
      <c r="D1575" s="206">
        <f t="shared" si="465"/>
        <v>0.528988061</v>
      </c>
      <c r="E1575" s="206">
        <f t="shared" si="465"/>
        <v>0.5620498148</v>
      </c>
      <c r="F1575" s="206">
        <f t="shared" si="465"/>
        <v>0.5620498148</v>
      </c>
      <c r="G1575" s="206">
        <f t="shared" si="465"/>
        <v>0.528988061</v>
      </c>
      <c r="H1575" s="206">
        <f t="shared" si="465"/>
        <v>0.4959263072</v>
      </c>
      <c r="I1575" s="206">
        <f t="shared" si="465"/>
        <v>0.528988061</v>
      </c>
      <c r="J1575" s="206">
        <f t="shared" si="465"/>
        <v>0.528988061</v>
      </c>
      <c r="K1575" s="206">
        <f t="shared" si="465"/>
        <v>0.528988061</v>
      </c>
      <c r="L1575" s="206">
        <f t="shared" si="465"/>
        <v>0.4959263072</v>
      </c>
      <c r="M1575" s="206">
        <f t="shared" si="465"/>
        <v>0.4628645534</v>
      </c>
      <c r="N1575" s="206">
        <f t="shared" si="465"/>
        <v>0.7273585839</v>
      </c>
      <c r="O1575" s="5"/>
      <c r="P1575" s="5"/>
      <c r="Q1575" s="5"/>
      <c r="R1575" s="5"/>
      <c r="S1575" s="5"/>
      <c r="T1575" s="5"/>
      <c r="U1575" s="5"/>
      <c r="V1575" s="5"/>
      <c r="W1575" s="5"/>
      <c r="X1575" s="5"/>
      <c r="Y1575" s="5"/>
      <c r="Z1575" s="5"/>
    </row>
    <row r="1576" ht="12.0" customHeight="1">
      <c r="A1576" s="201" t="s">
        <v>678</v>
      </c>
      <c r="B1576" s="202"/>
      <c r="C1576" s="202"/>
      <c r="D1576" s="202"/>
      <c r="E1576" s="202"/>
      <c r="F1576" s="202"/>
      <c r="G1576" s="202"/>
      <c r="H1576" s="202"/>
      <c r="I1576" s="202"/>
      <c r="J1576" s="202"/>
      <c r="K1576" s="202"/>
      <c r="L1576" s="202"/>
      <c r="M1576" s="202"/>
      <c r="N1576" s="202"/>
      <c r="O1576" s="5"/>
      <c r="P1576" s="5"/>
      <c r="Q1576" s="5"/>
      <c r="R1576" s="5"/>
      <c r="S1576" s="5"/>
      <c r="T1576" s="5"/>
      <c r="U1576" s="5"/>
      <c r="V1576" s="5"/>
      <c r="W1576" s="5"/>
      <c r="X1576" s="5"/>
      <c r="Y1576" s="5"/>
      <c r="Z1576" s="5"/>
    </row>
    <row r="1577" ht="12.0" customHeight="1">
      <c r="A1577" s="201" t="s">
        <v>630</v>
      </c>
      <c r="B1577" s="201" t="s">
        <v>631</v>
      </c>
      <c r="C1577" s="201" t="s">
        <v>3</v>
      </c>
      <c r="D1577" s="201" t="s">
        <v>4</v>
      </c>
      <c r="E1577" s="201" t="s">
        <v>5</v>
      </c>
      <c r="F1577" s="201" t="s">
        <v>6</v>
      </c>
      <c r="G1577" s="201" t="s">
        <v>7</v>
      </c>
      <c r="H1577" s="201" t="s">
        <v>8</v>
      </c>
      <c r="I1577" s="201" t="s">
        <v>9</v>
      </c>
      <c r="J1577" s="201" t="s">
        <v>10</v>
      </c>
      <c r="K1577" s="201" t="s">
        <v>11</v>
      </c>
      <c r="L1577" s="201" t="s">
        <v>12</v>
      </c>
      <c r="M1577" s="201" t="s">
        <v>13</v>
      </c>
      <c r="N1577" s="201" t="s">
        <v>14</v>
      </c>
      <c r="O1577" s="5"/>
      <c r="P1577" s="5"/>
      <c r="Q1577" s="5"/>
      <c r="R1577" s="5"/>
      <c r="S1577" s="5"/>
      <c r="T1577" s="5"/>
      <c r="U1577" s="5"/>
      <c r="V1577" s="5"/>
      <c r="W1577" s="5"/>
      <c r="X1577" s="5"/>
      <c r="Y1577" s="5"/>
      <c r="Z1577" s="5"/>
    </row>
    <row r="1578" ht="12.0" customHeight="1">
      <c r="A1578" s="92" t="s">
        <v>632</v>
      </c>
      <c r="B1578" s="92" t="s">
        <v>633</v>
      </c>
      <c r="C1578" s="203">
        <f>SUM('2034'!B6:B9)+SUM('2034'!B17:B20)</f>
        <v>28105.46</v>
      </c>
      <c r="D1578" s="203">
        <f>SUM('2034'!C6:C9)+SUM('2034'!C17:C20)</f>
        <v>21432.01</v>
      </c>
      <c r="E1578" s="203">
        <f>SUM('2034'!D6:D9)+SUM('2034'!D17:D20)</f>
        <v>20030.995</v>
      </c>
      <c r="F1578" s="203">
        <f>SUM('2034'!E6:E9)+SUM('2034'!E17:E20)</f>
        <v>19154.03</v>
      </c>
      <c r="G1578" s="203">
        <f>SUM('2034'!F6:F9)+SUM('2034'!F17:F20)</f>
        <v>17924.15</v>
      </c>
      <c r="H1578" s="203">
        <f>SUM('2034'!G6:G9)+SUM('2034'!G17:G20)</f>
        <v>17571.235</v>
      </c>
      <c r="I1578" s="203">
        <f>SUM('2034'!H6:H9)+SUM('2034'!H17:H20)</f>
        <v>18801.115</v>
      </c>
      <c r="J1578" s="203">
        <f>SUM('2034'!I6:I9)+SUM('2034'!I17:I20)</f>
        <v>18801.115</v>
      </c>
      <c r="K1578" s="203">
        <f>SUM('2034'!J6:J9)+SUM('2034'!J17:J20)</f>
        <v>18801.115</v>
      </c>
      <c r="L1578" s="203">
        <f>SUM('2034'!K6:K9)+SUM('2034'!K17:K20)</f>
        <v>18448.2</v>
      </c>
      <c r="M1578" s="203">
        <f>SUM('2034'!L6:L9)+SUM('2034'!L17:L20)</f>
        <v>18095.285</v>
      </c>
      <c r="N1578" s="203">
        <f>SUM('2034'!M6:M9)+SUM('2034'!M17:M20)</f>
        <v>28811.29</v>
      </c>
      <c r="O1578" s="5"/>
      <c r="P1578" s="5"/>
      <c r="Q1578" s="5"/>
      <c r="R1578" s="5"/>
      <c r="S1578" s="5"/>
      <c r="T1578" s="5"/>
      <c r="U1578" s="5"/>
      <c r="V1578" s="5"/>
      <c r="W1578" s="5"/>
      <c r="X1578" s="5"/>
      <c r="Y1578" s="5"/>
      <c r="Z1578" s="5"/>
    </row>
    <row r="1579" ht="12.0" customHeight="1">
      <c r="A1579" s="5"/>
      <c r="B1579" s="92" t="s">
        <v>634</v>
      </c>
      <c r="C1579" s="204">
        <f>C1578/Parametros!$B$37</f>
        <v>1405.273</v>
      </c>
      <c r="D1579" s="204">
        <f>D1578/Parametros!$B$37</f>
        <v>1071.6005</v>
      </c>
      <c r="E1579" s="204">
        <f>E1578/Parametros!$B$37</f>
        <v>1001.54975</v>
      </c>
      <c r="F1579" s="204">
        <f>F1578/Parametros!$B$37</f>
        <v>957.7015</v>
      </c>
      <c r="G1579" s="204">
        <f>G1578/Parametros!$B$37</f>
        <v>896.2075</v>
      </c>
      <c r="H1579" s="204">
        <f>H1578/Parametros!$B$37</f>
        <v>878.56175</v>
      </c>
      <c r="I1579" s="204">
        <f>I1578/Parametros!$B$37</f>
        <v>940.05575</v>
      </c>
      <c r="J1579" s="204">
        <f>J1578/Parametros!$B$37</f>
        <v>940.05575</v>
      </c>
      <c r="K1579" s="204">
        <f>K1578/Parametros!$B$37</f>
        <v>940.05575</v>
      </c>
      <c r="L1579" s="204">
        <f>L1578/Parametros!$B$37</f>
        <v>922.41</v>
      </c>
      <c r="M1579" s="204">
        <f>M1578/Parametros!$B$37</f>
        <v>904.76425</v>
      </c>
      <c r="N1579" s="204">
        <f>N1578/Parametros!$B$37</f>
        <v>1440.5645</v>
      </c>
      <c r="O1579" s="5"/>
      <c r="P1579" s="5"/>
      <c r="Q1579" s="5"/>
      <c r="R1579" s="5"/>
      <c r="S1579" s="5"/>
      <c r="T1579" s="5"/>
      <c r="U1579" s="5"/>
      <c r="V1579" s="5"/>
      <c r="W1579" s="5"/>
      <c r="X1579" s="5"/>
      <c r="Y1579" s="5"/>
      <c r="Z1579" s="5"/>
    </row>
    <row r="1580" ht="12.0" customHeight="1">
      <c r="A1580" s="5"/>
      <c r="B1580" s="92" t="s">
        <v>635</v>
      </c>
      <c r="C1580" s="204">
        <f>C1579/Parametros!$J$37</f>
        <v>187.3697333</v>
      </c>
      <c r="D1580" s="204">
        <f>D1579/Parametros!$J$37</f>
        <v>142.8800667</v>
      </c>
      <c r="E1580" s="204">
        <f>E1579/Parametros!$J$37</f>
        <v>133.5399667</v>
      </c>
      <c r="F1580" s="204">
        <f>F1579/Parametros!$J$37</f>
        <v>127.6935333</v>
      </c>
      <c r="G1580" s="204">
        <f>G1579/Parametros!$J$37</f>
        <v>119.4943333</v>
      </c>
      <c r="H1580" s="204">
        <f>H1579/Parametros!$J$37</f>
        <v>117.1415667</v>
      </c>
      <c r="I1580" s="204">
        <f>I1579/Parametros!$J$37</f>
        <v>125.3407667</v>
      </c>
      <c r="J1580" s="204">
        <f>J1579/Parametros!$J$37</f>
        <v>125.3407667</v>
      </c>
      <c r="K1580" s="204">
        <f>K1579/Parametros!$J$37</f>
        <v>125.3407667</v>
      </c>
      <c r="L1580" s="204">
        <f>L1579/Parametros!$J$37</f>
        <v>122.988</v>
      </c>
      <c r="M1580" s="204">
        <f>M1579/Parametros!$J$37</f>
        <v>120.6352333</v>
      </c>
      <c r="N1580" s="204">
        <f>N1579/Parametros!$J$37</f>
        <v>192.0752667</v>
      </c>
      <c r="O1580" s="5"/>
      <c r="P1580" s="5"/>
      <c r="Q1580" s="5"/>
      <c r="R1580" s="5"/>
      <c r="S1580" s="5"/>
      <c r="T1580" s="5"/>
      <c r="U1580" s="5"/>
      <c r="V1580" s="5"/>
      <c r="W1580" s="5"/>
      <c r="X1580" s="5"/>
      <c r="Y1580" s="5"/>
      <c r="Z1580" s="5"/>
    </row>
    <row r="1581" ht="12.0" customHeight="1">
      <c r="A1581" s="92" t="s">
        <v>636</v>
      </c>
      <c r="B1581" s="5"/>
      <c r="C1581" s="204">
        <f t="shared" ref="C1581:N1581" si="466">C1580</f>
        <v>187.3697333</v>
      </c>
      <c r="D1581" s="204">
        <f t="shared" si="466"/>
        <v>142.8800667</v>
      </c>
      <c r="E1581" s="204">
        <f t="shared" si="466"/>
        <v>133.5399667</v>
      </c>
      <c r="F1581" s="204">
        <f t="shared" si="466"/>
        <v>127.6935333</v>
      </c>
      <c r="G1581" s="204">
        <f t="shared" si="466"/>
        <v>119.4943333</v>
      </c>
      <c r="H1581" s="204">
        <f t="shared" si="466"/>
        <v>117.1415667</v>
      </c>
      <c r="I1581" s="204">
        <f t="shared" si="466"/>
        <v>125.3407667</v>
      </c>
      <c r="J1581" s="204">
        <f t="shared" si="466"/>
        <v>125.3407667</v>
      </c>
      <c r="K1581" s="204">
        <f t="shared" si="466"/>
        <v>125.3407667</v>
      </c>
      <c r="L1581" s="204">
        <f t="shared" si="466"/>
        <v>122.988</v>
      </c>
      <c r="M1581" s="204">
        <f t="shared" si="466"/>
        <v>120.6352333</v>
      </c>
      <c r="N1581" s="204">
        <f t="shared" si="466"/>
        <v>192.0752667</v>
      </c>
      <c r="O1581" s="5"/>
      <c r="P1581" s="5"/>
      <c r="Q1581" s="5"/>
      <c r="R1581" s="5"/>
      <c r="S1581" s="5"/>
      <c r="T1581" s="5"/>
      <c r="U1581" s="5"/>
      <c r="V1581" s="5"/>
      <c r="W1581" s="5"/>
      <c r="X1581" s="5"/>
      <c r="Y1581" s="5"/>
      <c r="Z1581" s="5"/>
    </row>
    <row r="1582" ht="12.0" customHeight="1">
      <c r="A1582" s="92" t="s">
        <v>637</v>
      </c>
      <c r="B1582" s="5"/>
      <c r="C1582" s="205">
        <f>'Resumen Capacidad'!$J$122</f>
        <v>192</v>
      </c>
      <c r="D1582" s="205">
        <f>'Resumen Capacidad'!$J$122</f>
        <v>192</v>
      </c>
      <c r="E1582" s="205">
        <f>'Resumen Capacidad'!$J$122</f>
        <v>192</v>
      </c>
      <c r="F1582" s="205">
        <f>'Resumen Capacidad'!$J$122</f>
        <v>192</v>
      </c>
      <c r="G1582" s="205">
        <f>'Resumen Capacidad'!$J$122</f>
        <v>192</v>
      </c>
      <c r="H1582" s="205">
        <f>'Resumen Capacidad'!$J$122</f>
        <v>192</v>
      </c>
      <c r="I1582" s="205">
        <f>'Resumen Capacidad'!$J$122</f>
        <v>192</v>
      </c>
      <c r="J1582" s="205">
        <f>'Resumen Capacidad'!$J$122</f>
        <v>192</v>
      </c>
      <c r="K1582" s="205">
        <f>'Resumen Capacidad'!$J$122</f>
        <v>192</v>
      </c>
      <c r="L1582" s="205">
        <f>'Resumen Capacidad'!$J$122</f>
        <v>192</v>
      </c>
      <c r="M1582" s="205">
        <f>'Resumen Capacidad'!$J$122</f>
        <v>192</v>
      </c>
      <c r="N1582" s="205">
        <f>'Resumen Capacidad'!$J$122</f>
        <v>192</v>
      </c>
      <c r="O1582" s="5"/>
      <c r="P1582" s="5"/>
      <c r="Q1582" s="5"/>
      <c r="R1582" s="5"/>
      <c r="S1582" s="5"/>
      <c r="T1582" s="5"/>
      <c r="U1582" s="5"/>
      <c r="V1582" s="5"/>
      <c r="W1582" s="5"/>
      <c r="X1582" s="5"/>
      <c r="Y1582" s="5"/>
      <c r="Z1582" s="5"/>
    </row>
    <row r="1583" ht="12.0" customHeight="1">
      <c r="A1583" s="92" t="s">
        <v>640</v>
      </c>
      <c r="B1583" s="5"/>
      <c r="C1583" s="204">
        <f>'Resumen Capacidad'!$J$40*'Resumen Capacidad'!$J$76</f>
        <v>2</v>
      </c>
      <c r="D1583" s="204">
        <f>'Resumen Capacidad'!$J$40*'Resumen Capacidad'!$J$76</f>
        <v>2</v>
      </c>
      <c r="E1583" s="204">
        <f>'Resumen Capacidad'!$J$40*'Resumen Capacidad'!$J$76</f>
        <v>2</v>
      </c>
      <c r="F1583" s="204">
        <f>'Resumen Capacidad'!$J$40*'Resumen Capacidad'!$J$76</f>
        <v>2</v>
      </c>
      <c r="G1583" s="204">
        <f>'Resumen Capacidad'!$J$40*'Resumen Capacidad'!$J$76</f>
        <v>2</v>
      </c>
      <c r="H1583" s="204">
        <f>'Resumen Capacidad'!$J$40*'Resumen Capacidad'!$J$76</f>
        <v>2</v>
      </c>
      <c r="I1583" s="204">
        <f>'Resumen Capacidad'!$J$40*'Resumen Capacidad'!$J$76</f>
        <v>2</v>
      </c>
      <c r="J1583" s="204">
        <f>'Resumen Capacidad'!$J$40*'Resumen Capacidad'!$J$76</f>
        <v>2</v>
      </c>
      <c r="K1583" s="204">
        <f>'Resumen Capacidad'!$J$40*'Resumen Capacidad'!$J$76</f>
        <v>2</v>
      </c>
      <c r="L1583" s="204">
        <f>'Resumen Capacidad'!$J$40*'Resumen Capacidad'!$J$76</f>
        <v>2</v>
      </c>
      <c r="M1583" s="204">
        <f>'Resumen Capacidad'!$J$40*'Resumen Capacidad'!$J$76</f>
        <v>2</v>
      </c>
      <c r="N1583" s="204">
        <f>'Resumen Capacidad'!$J$40*'Resumen Capacidad'!$J$76</f>
        <v>2</v>
      </c>
      <c r="O1583" s="5"/>
      <c r="P1583" s="5"/>
      <c r="Q1583" s="5"/>
      <c r="R1583" s="5"/>
      <c r="S1583" s="5"/>
      <c r="T1583" s="5"/>
      <c r="U1583" s="5"/>
      <c r="V1583" s="5"/>
      <c r="W1583" s="5"/>
      <c r="X1583" s="5"/>
      <c r="Y1583" s="5"/>
      <c r="Z1583" s="5"/>
    </row>
    <row r="1584" ht="12.0" customHeight="1">
      <c r="A1584" s="92" t="s">
        <v>642</v>
      </c>
      <c r="B1584" s="5"/>
      <c r="C1584" s="204">
        <f t="shared" ref="C1584:N1584" si="467">C1582*C1583</f>
        <v>384</v>
      </c>
      <c r="D1584" s="204">
        <f t="shared" si="467"/>
        <v>384</v>
      </c>
      <c r="E1584" s="204">
        <f t="shared" si="467"/>
        <v>384</v>
      </c>
      <c r="F1584" s="204">
        <f t="shared" si="467"/>
        <v>384</v>
      </c>
      <c r="G1584" s="204">
        <f t="shared" si="467"/>
        <v>384</v>
      </c>
      <c r="H1584" s="204">
        <f t="shared" si="467"/>
        <v>384</v>
      </c>
      <c r="I1584" s="204">
        <f t="shared" si="467"/>
        <v>384</v>
      </c>
      <c r="J1584" s="204">
        <f t="shared" si="467"/>
        <v>384</v>
      </c>
      <c r="K1584" s="204">
        <f t="shared" si="467"/>
        <v>384</v>
      </c>
      <c r="L1584" s="204">
        <f t="shared" si="467"/>
        <v>384</v>
      </c>
      <c r="M1584" s="204">
        <f t="shared" si="467"/>
        <v>384</v>
      </c>
      <c r="N1584" s="204">
        <f t="shared" si="467"/>
        <v>384</v>
      </c>
      <c r="O1584" s="5"/>
      <c r="P1584" s="5"/>
      <c r="Q1584" s="5"/>
      <c r="R1584" s="5"/>
      <c r="S1584" s="5"/>
      <c r="T1584" s="5"/>
      <c r="U1584" s="5"/>
      <c r="V1584" s="5"/>
      <c r="W1584" s="5"/>
      <c r="X1584" s="5"/>
      <c r="Y1584" s="5"/>
      <c r="Z1584" s="5"/>
    </row>
    <row r="1585" ht="12.0" customHeight="1">
      <c r="A1585" s="92" t="s">
        <v>643</v>
      </c>
      <c r="B1585" s="5"/>
      <c r="C1585" s="206">
        <f t="shared" ref="C1585:N1585" si="468">IF(C1584=0,0,C1581/C1584)</f>
        <v>0.4879420139</v>
      </c>
      <c r="D1585" s="206">
        <f t="shared" si="468"/>
        <v>0.3720835069</v>
      </c>
      <c r="E1585" s="206">
        <f t="shared" si="468"/>
        <v>0.3477603299</v>
      </c>
      <c r="F1585" s="206">
        <f t="shared" si="468"/>
        <v>0.3325352431</v>
      </c>
      <c r="G1585" s="206">
        <f t="shared" si="468"/>
        <v>0.3111831597</v>
      </c>
      <c r="H1585" s="206">
        <f t="shared" si="468"/>
        <v>0.3050561632</v>
      </c>
      <c r="I1585" s="206">
        <f t="shared" si="468"/>
        <v>0.3264082465</v>
      </c>
      <c r="J1585" s="206">
        <f t="shared" si="468"/>
        <v>0.3264082465</v>
      </c>
      <c r="K1585" s="206">
        <f t="shared" si="468"/>
        <v>0.3264082465</v>
      </c>
      <c r="L1585" s="206">
        <f t="shared" si="468"/>
        <v>0.32028125</v>
      </c>
      <c r="M1585" s="206">
        <f t="shared" si="468"/>
        <v>0.3141542535</v>
      </c>
      <c r="N1585" s="206">
        <f t="shared" si="468"/>
        <v>0.5001960069</v>
      </c>
      <c r="O1585" s="5"/>
      <c r="P1585" s="5"/>
      <c r="Q1585" s="5"/>
      <c r="R1585" s="5"/>
      <c r="S1585" s="5"/>
      <c r="T1585" s="5"/>
      <c r="U1585" s="5"/>
      <c r="V1585" s="5"/>
      <c r="W1585" s="5"/>
      <c r="X1585" s="5"/>
      <c r="Y1585" s="5"/>
      <c r="Z1585" s="5"/>
    </row>
    <row r="1586" ht="12.0" customHeight="1">
      <c r="A1586" s="201" t="s">
        <v>686</v>
      </c>
      <c r="B1586" s="202"/>
      <c r="C1586" s="202"/>
      <c r="D1586" s="202"/>
      <c r="E1586" s="202"/>
      <c r="F1586" s="202"/>
      <c r="G1586" s="202"/>
      <c r="H1586" s="202"/>
      <c r="I1586" s="202"/>
      <c r="J1586" s="202"/>
      <c r="K1586" s="202"/>
      <c r="L1586" s="202"/>
      <c r="M1586" s="202"/>
      <c r="N1586" s="202"/>
      <c r="O1586" s="5"/>
      <c r="P1586" s="5"/>
      <c r="Q1586" s="5"/>
      <c r="R1586" s="5"/>
      <c r="S1586" s="5"/>
      <c r="T1586" s="5"/>
      <c r="U1586" s="5"/>
      <c r="V1586" s="5"/>
      <c r="W1586" s="5"/>
      <c r="X1586" s="5"/>
      <c r="Y1586" s="5"/>
      <c r="Z1586" s="5"/>
    </row>
    <row r="1587" ht="12.0" customHeight="1">
      <c r="A1587" s="201" t="s">
        <v>630</v>
      </c>
      <c r="B1587" s="201" t="s">
        <v>631</v>
      </c>
      <c r="C1587" s="201" t="s">
        <v>3</v>
      </c>
      <c r="D1587" s="201" t="s">
        <v>4</v>
      </c>
      <c r="E1587" s="201" t="s">
        <v>5</v>
      </c>
      <c r="F1587" s="201" t="s">
        <v>6</v>
      </c>
      <c r="G1587" s="201" t="s">
        <v>7</v>
      </c>
      <c r="H1587" s="201" t="s">
        <v>8</v>
      </c>
      <c r="I1587" s="201" t="s">
        <v>9</v>
      </c>
      <c r="J1587" s="201" t="s">
        <v>10</v>
      </c>
      <c r="K1587" s="201" t="s">
        <v>11</v>
      </c>
      <c r="L1587" s="201" t="s">
        <v>12</v>
      </c>
      <c r="M1587" s="201" t="s">
        <v>13</v>
      </c>
      <c r="N1587" s="201" t="s">
        <v>14</v>
      </c>
      <c r="O1587" s="5"/>
      <c r="P1587" s="5"/>
      <c r="Q1587" s="5"/>
      <c r="R1587" s="5"/>
      <c r="S1587" s="5"/>
      <c r="T1587" s="5"/>
      <c r="U1587" s="5"/>
      <c r="V1587" s="5"/>
      <c r="W1587" s="5"/>
      <c r="X1587" s="5"/>
      <c r="Y1587" s="5"/>
      <c r="Z1587" s="5"/>
    </row>
    <row r="1588" ht="12.0" customHeight="1">
      <c r="A1588" s="92" t="s">
        <v>632</v>
      </c>
      <c r="B1588" s="92" t="s">
        <v>633</v>
      </c>
      <c r="C1588" s="203">
        <f>SUM('2034'!B6:B9)+SUM('2034'!B17:B20)</f>
        <v>28105.46</v>
      </c>
      <c r="D1588" s="203">
        <f>SUM('2034'!C6:C9)+SUM('2034'!C17:C20)</f>
        <v>21432.01</v>
      </c>
      <c r="E1588" s="203">
        <f>SUM('2034'!D6:D9)+SUM('2034'!D17:D20)</f>
        <v>20030.995</v>
      </c>
      <c r="F1588" s="203">
        <f>SUM('2034'!E6:E9)+SUM('2034'!E17:E20)</f>
        <v>19154.03</v>
      </c>
      <c r="G1588" s="203">
        <f>SUM('2034'!F6:F9)+SUM('2034'!F17:F20)</f>
        <v>17924.15</v>
      </c>
      <c r="H1588" s="203">
        <f>SUM('2034'!G6:G9)+SUM('2034'!G17:G20)</f>
        <v>17571.235</v>
      </c>
      <c r="I1588" s="203">
        <f>SUM('2034'!H6:H9)+SUM('2034'!H17:H20)</f>
        <v>18801.115</v>
      </c>
      <c r="J1588" s="203">
        <f>SUM('2034'!I6:I9)+SUM('2034'!I17:I20)</f>
        <v>18801.115</v>
      </c>
      <c r="K1588" s="203">
        <f>SUM('2034'!J6:J9)+SUM('2034'!J17:J20)</f>
        <v>18801.115</v>
      </c>
      <c r="L1588" s="203">
        <f>SUM('2034'!K6:K9)+SUM('2034'!K17:K20)</f>
        <v>18448.2</v>
      </c>
      <c r="M1588" s="203">
        <f>SUM('2034'!L6:L9)+SUM('2034'!L17:L20)</f>
        <v>18095.285</v>
      </c>
      <c r="N1588" s="203">
        <f>SUM('2034'!M6:M9)+SUM('2034'!M17:M20)</f>
        <v>28811.29</v>
      </c>
      <c r="O1588" s="5"/>
      <c r="P1588" s="5"/>
      <c r="Q1588" s="5"/>
      <c r="R1588" s="5"/>
      <c r="S1588" s="5"/>
      <c r="T1588" s="5"/>
      <c r="U1588" s="5"/>
      <c r="V1588" s="5"/>
      <c r="W1588" s="5"/>
      <c r="X1588" s="5"/>
      <c r="Y1588" s="5"/>
      <c r="Z1588" s="5"/>
    </row>
    <row r="1589" ht="12.0" customHeight="1">
      <c r="A1589" s="5"/>
      <c r="B1589" s="92" t="s">
        <v>634</v>
      </c>
      <c r="C1589" s="204">
        <f>C1588/Parametros!$B$37</f>
        <v>1405.273</v>
      </c>
      <c r="D1589" s="204">
        <f>D1588/Parametros!$B$37</f>
        <v>1071.6005</v>
      </c>
      <c r="E1589" s="204">
        <f>E1588/Parametros!$B$37</f>
        <v>1001.54975</v>
      </c>
      <c r="F1589" s="204">
        <f>F1588/Parametros!$B$37</f>
        <v>957.7015</v>
      </c>
      <c r="G1589" s="204">
        <f>G1588/Parametros!$B$37</f>
        <v>896.2075</v>
      </c>
      <c r="H1589" s="204">
        <f>H1588/Parametros!$B$37</f>
        <v>878.56175</v>
      </c>
      <c r="I1589" s="204">
        <f>I1588/Parametros!$B$37</f>
        <v>940.05575</v>
      </c>
      <c r="J1589" s="204">
        <f>J1588/Parametros!$B$37</f>
        <v>940.05575</v>
      </c>
      <c r="K1589" s="204">
        <f>K1588/Parametros!$B$37</f>
        <v>940.05575</v>
      </c>
      <c r="L1589" s="204">
        <f>L1588/Parametros!$B$37</f>
        <v>922.41</v>
      </c>
      <c r="M1589" s="204">
        <f>M1588/Parametros!$B$37</f>
        <v>904.76425</v>
      </c>
      <c r="N1589" s="204">
        <f>N1588/Parametros!$B$37</f>
        <v>1440.5645</v>
      </c>
      <c r="O1589" s="5"/>
      <c r="P1589" s="5"/>
      <c r="Q1589" s="5"/>
      <c r="R1589" s="5"/>
      <c r="S1589" s="5"/>
      <c r="T1589" s="5"/>
      <c r="U1589" s="5"/>
      <c r="V1589" s="5"/>
      <c r="W1589" s="5"/>
      <c r="X1589" s="5"/>
      <c r="Y1589" s="5"/>
      <c r="Z1589" s="5"/>
    </row>
    <row r="1590" ht="12.0" customHeight="1">
      <c r="A1590" s="5"/>
      <c r="B1590" s="92" t="s">
        <v>635</v>
      </c>
      <c r="C1590" s="204">
        <f>C1589/Parametros!$J$37</f>
        <v>187.3697333</v>
      </c>
      <c r="D1590" s="204">
        <f>D1589/Parametros!$J$37</f>
        <v>142.8800667</v>
      </c>
      <c r="E1590" s="204">
        <f>E1589/Parametros!$J$37</f>
        <v>133.5399667</v>
      </c>
      <c r="F1590" s="204">
        <f>F1589/Parametros!$J$37</f>
        <v>127.6935333</v>
      </c>
      <c r="G1590" s="204">
        <f>G1589/Parametros!$J$37</f>
        <v>119.4943333</v>
      </c>
      <c r="H1590" s="204">
        <f>H1589/Parametros!$J$37</f>
        <v>117.1415667</v>
      </c>
      <c r="I1590" s="204">
        <f>I1589/Parametros!$J$37</f>
        <v>125.3407667</v>
      </c>
      <c r="J1590" s="204">
        <f>J1589/Parametros!$J$37</f>
        <v>125.3407667</v>
      </c>
      <c r="K1590" s="204">
        <f>K1589/Parametros!$J$37</f>
        <v>125.3407667</v>
      </c>
      <c r="L1590" s="204">
        <f>L1589/Parametros!$J$37</f>
        <v>122.988</v>
      </c>
      <c r="M1590" s="204">
        <f>M1589/Parametros!$J$37</f>
        <v>120.6352333</v>
      </c>
      <c r="N1590" s="204">
        <f>N1589/Parametros!$J$37</f>
        <v>192.0752667</v>
      </c>
      <c r="O1590" s="5"/>
      <c r="P1590" s="5"/>
      <c r="Q1590" s="5"/>
      <c r="R1590" s="5"/>
      <c r="S1590" s="5"/>
      <c r="T1590" s="5"/>
      <c r="U1590" s="5"/>
      <c r="V1590" s="5"/>
      <c r="W1590" s="5"/>
      <c r="X1590" s="5"/>
      <c r="Y1590" s="5"/>
      <c r="Z1590" s="5"/>
    </row>
    <row r="1591" ht="12.0" customHeight="1">
      <c r="A1591" s="92" t="s">
        <v>636</v>
      </c>
      <c r="B1591" s="5"/>
      <c r="C1591" s="204">
        <f t="shared" ref="C1591:N1591" si="469">C1590</f>
        <v>187.3697333</v>
      </c>
      <c r="D1591" s="204">
        <f t="shared" si="469"/>
        <v>142.8800667</v>
      </c>
      <c r="E1591" s="204">
        <f t="shared" si="469"/>
        <v>133.5399667</v>
      </c>
      <c r="F1591" s="204">
        <f t="shared" si="469"/>
        <v>127.6935333</v>
      </c>
      <c r="G1591" s="204">
        <f t="shared" si="469"/>
        <v>119.4943333</v>
      </c>
      <c r="H1591" s="204">
        <f t="shared" si="469"/>
        <v>117.1415667</v>
      </c>
      <c r="I1591" s="204">
        <f t="shared" si="469"/>
        <v>125.3407667</v>
      </c>
      <c r="J1591" s="204">
        <f t="shared" si="469"/>
        <v>125.3407667</v>
      </c>
      <c r="K1591" s="204">
        <f t="shared" si="469"/>
        <v>125.3407667</v>
      </c>
      <c r="L1591" s="204">
        <f t="shared" si="469"/>
        <v>122.988</v>
      </c>
      <c r="M1591" s="204">
        <f t="shared" si="469"/>
        <v>120.6352333</v>
      </c>
      <c r="N1591" s="204">
        <f t="shared" si="469"/>
        <v>192.0752667</v>
      </c>
      <c r="O1591" s="5"/>
      <c r="P1591" s="5"/>
      <c r="Q1591" s="5"/>
      <c r="R1591" s="5"/>
      <c r="S1591" s="5"/>
      <c r="T1591" s="5"/>
      <c r="U1591" s="5"/>
      <c r="V1591" s="5"/>
      <c r="W1591" s="5"/>
      <c r="X1591" s="5"/>
      <c r="Y1591" s="5"/>
      <c r="Z1591" s="5"/>
    </row>
    <row r="1592" ht="12.0" customHeight="1">
      <c r="A1592" s="92" t="s">
        <v>637</v>
      </c>
      <c r="B1592" s="5"/>
      <c r="C1592" s="205">
        <f>'Resumen Capacidad'!$J$124</f>
        <v>136.0227273</v>
      </c>
      <c r="D1592" s="205">
        <f>'Resumen Capacidad'!$J$124</f>
        <v>136.0227273</v>
      </c>
      <c r="E1592" s="205">
        <f>'Resumen Capacidad'!$J$124</f>
        <v>136.0227273</v>
      </c>
      <c r="F1592" s="205">
        <f>'Resumen Capacidad'!$J$124</f>
        <v>136.0227273</v>
      </c>
      <c r="G1592" s="205">
        <f>'Resumen Capacidad'!$J$124</f>
        <v>136.0227273</v>
      </c>
      <c r="H1592" s="205">
        <f>'Resumen Capacidad'!$J$124</f>
        <v>136.0227273</v>
      </c>
      <c r="I1592" s="205">
        <f>'Resumen Capacidad'!$J$124</f>
        <v>136.0227273</v>
      </c>
      <c r="J1592" s="205">
        <f>'Resumen Capacidad'!$J$124</f>
        <v>136.0227273</v>
      </c>
      <c r="K1592" s="205">
        <f>'Resumen Capacidad'!$J$124</f>
        <v>136.0227273</v>
      </c>
      <c r="L1592" s="205">
        <f>'Resumen Capacidad'!$J$124</f>
        <v>136.0227273</v>
      </c>
      <c r="M1592" s="205">
        <f>'Resumen Capacidad'!$J$124</f>
        <v>136.0227273</v>
      </c>
      <c r="N1592" s="205">
        <f>'Resumen Capacidad'!$J$124</f>
        <v>136.0227273</v>
      </c>
      <c r="O1592" s="5"/>
      <c r="P1592" s="5"/>
      <c r="Q1592" s="5"/>
      <c r="R1592" s="5"/>
      <c r="S1592" s="5"/>
      <c r="T1592" s="5"/>
      <c r="U1592" s="5"/>
      <c r="V1592" s="5"/>
      <c r="W1592" s="5"/>
      <c r="X1592" s="5"/>
      <c r="Y1592" s="5"/>
      <c r="Z1592" s="5"/>
    </row>
    <row r="1593" ht="12.0" customHeight="1">
      <c r="A1593" s="92" t="s">
        <v>640</v>
      </c>
      <c r="B1593" s="5"/>
      <c r="C1593" s="204">
        <f>'Resumen Capacidad'!$J$42*'Resumen Capacidad'!$J$78</f>
        <v>2</v>
      </c>
      <c r="D1593" s="204">
        <f>'Resumen Capacidad'!$J$42*'Resumen Capacidad'!$J$78</f>
        <v>2</v>
      </c>
      <c r="E1593" s="204">
        <f>'Resumen Capacidad'!$J$42*'Resumen Capacidad'!$J$78</f>
        <v>2</v>
      </c>
      <c r="F1593" s="204">
        <f>'Resumen Capacidad'!$J$42*'Resumen Capacidad'!$J$78</f>
        <v>2</v>
      </c>
      <c r="G1593" s="204">
        <f>'Resumen Capacidad'!$J$42*'Resumen Capacidad'!$J$78</f>
        <v>2</v>
      </c>
      <c r="H1593" s="204">
        <f>'Resumen Capacidad'!$J$42*'Resumen Capacidad'!$J$78</f>
        <v>2</v>
      </c>
      <c r="I1593" s="204">
        <f>'Resumen Capacidad'!$J$42*'Resumen Capacidad'!$J$78</f>
        <v>2</v>
      </c>
      <c r="J1593" s="204">
        <f>'Resumen Capacidad'!$J$42*'Resumen Capacidad'!$J$78</f>
        <v>2</v>
      </c>
      <c r="K1593" s="204">
        <f>'Resumen Capacidad'!$J$42*'Resumen Capacidad'!$J$78</f>
        <v>2</v>
      </c>
      <c r="L1593" s="204">
        <f>'Resumen Capacidad'!$J$42*'Resumen Capacidad'!$J$78</f>
        <v>2</v>
      </c>
      <c r="M1593" s="204">
        <f>'Resumen Capacidad'!$J$42*'Resumen Capacidad'!$J$78</f>
        <v>2</v>
      </c>
      <c r="N1593" s="204">
        <f>'Resumen Capacidad'!$J$42*'Resumen Capacidad'!$J$78</f>
        <v>2</v>
      </c>
      <c r="O1593" s="5"/>
      <c r="P1593" s="5"/>
      <c r="Q1593" s="5"/>
      <c r="R1593" s="5"/>
      <c r="S1593" s="5"/>
      <c r="T1593" s="5"/>
      <c r="U1593" s="5"/>
      <c r="V1593" s="5"/>
      <c r="W1593" s="5"/>
      <c r="X1593" s="5"/>
      <c r="Y1593" s="5"/>
      <c r="Z1593" s="5"/>
    </row>
    <row r="1594" ht="12.0" customHeight="1">
      <c r="A1594" s="92" t="s">
        <v>642</v>
      </c>
      <c r="B1594" s="5"/>
      <c r="C1594" s="204">
        <f t="shared" ref="C1594:N1594" si="470">C1592*C1593</f>
        <v>272.0454545</v>
      </c>
      <c r="D1594" s="204">
        <f t="shared" si="470"/>
        <v>272.0454545</v>
      </c>
      <c r="E1594" s="204">
        <f t="shared" si="470"/>
        <v>272.0454545</v>
      </c>
      <c r="F1594" s="204">
        <f t="shared" si="470"/>
        <v>272.0454545</v>
      </c>
      <c r="G1594" s="204">
        <f t="shared" si="470"/>
        <v>272.0454545</v>
      </c>
      <c r="H1594" s="204">
        <f t="shared" si="470"/>
        <v>272.0454545</v>
      </c>
      <c r="I1594" s="204">
        <f t="shared" si="470"/>
        <v>272.0454545</v>
      </c>
      <c r="J1594" s="204">
        <f t="shared" si="470"/>
        <v>272.0454545</v>
      </c>
      <c r="K1594" s="204">
        <f t="shared" si="470"/>
        <v>272.0454545</v>
      </c>
      <c r="L1594" s="204">
        <f t="shared" si="470"/>
        <v>272.0454545</v>
      </c>
      <c r="M1594" s="204">
        <f t="shared" si="470"/>
        <v>272.0454545</v>
      </c>
      <c r="N1594" s="204">
        <f t="shared" si="470"/>
        <v>272.0454545</v>
      </c>
      <c r="O1594" s="5"/>
      <c r="P1594" s="5"/>
      <c r="Q1594" s="5"/>
      <c r="R1594" s="5"/>
      <c r="S1594" s="5"/>
      <c r="T1594" s="5"/>
      <c r="U1594" s="5"/>
      <c r="V1594" s="5"/>
      <c r="W1594" s="5"/>
      <c r="X1594" s="5"/>
      <c r="Y1594" s="5"/>
      <c r="Z1594" s="5"/>
    </row>
    <row r="1595" ht="12.0" customHeight="1">
      <c r="A1595" s="92" t="s">
        <v>643</v>
      </c>
      <c r="B1595" s="5"/>
      <c r="C1595" s="206">
        <f t="shared" ref="C1595:N1595" si="471">IF(C1594=0,0,C1591/C1594)</f>
        <v>0.6887442161</v>
      </c>
      <c r="D1595" s="206">
        <f t="shared" si="471"/>
        <v>0.5252065943</v>
      </c>
      <c r="E1595" s="206">
        <f t="shared" si="471"/>
        <v>0.4908737288</v>
      </c>
      <c r="F1595" s="206">
        <f t="shared" si="471"/>
        <v>0.4693830799</v>
      </c>
      <c r="G1595" s="206">
        <f t="shared" si="471"/>
        <v>0.4392439989</v>
      </c>
      <c r="H1595" s="206">
        <f t="shared" si="471"/>
        <v>0.4305955667</v>
      </c>
      <c r="I1595" s="206">
        <f t="shared" si="471"/>
        <v>0.4607346477</v>
      </c>
      <c r="J1595" s="206">
        <f t="shared" si="471"/>
        <v>0.4607346477</v>
      </c>
      <c r="K1595" s="206">
        <f t="shared" si="471"/>
        <v>0.4607346477</v>
      </c>
      <c r="L1595" s="206">
        <f t="shared" si="471"/>
        <v>0.4520862155</v>
      </c>
      <c r="M1595" s="206">
        <f t="shared" si="471"/>
        <v>0.4434377833</v>
      </c>
      <c r="N1595" s="206">
        <f t="shared" si="471"/>
        <v>0.7060410805</v>
      </c>
      <c r="O1595" s="5"/>
      <c r="P1595" s="5"/>
      <c r="Q1595" s="5"/>
      <c r="R1595" s="5"/>
      <c r="S1595" s="5"/>
      <c r="T1595" s="5"/>
      <c r="U1595" s="5"/>
      <c r="V1595" s="5"/>
      <c r="W1595" s="5"/>
      <c r="X1595" s="5"/>
      <c r="Y1595" s="5"/>
      <c r="Z1595" s="5"/>
    </row>
    <row r="1596" ht="12.0" customHeight="1">
      <c r="A1596" s="201" t="s">
        <v>693</v>
      </c>
      <c r="B1596" s="202"/>
      <c r="C1596" s="202"/>
      <c r="D1596" s="202"/>
      <c r="E1596" s="202"/>
      <c r="F1596" s="202"/>
      <c r="G1596" s="202"/>
      <c r="H1596" s="202"/>
      <c r="I1596" s="202"/>
      <c r="J1596" s="202"/>
      <c r="K1596" s="202"/>
      <c r="L1596" s="202"/>
      <c r="M1596" s="202"/>
      <c r="N1596" s="202"/>
      <c r="O1596" s="5"/>
      <c r="P1596" s="5"/>
      <c r="Q1596" s="5"/>
      <c r="R1596" s="5"/>
      <c r="S1596" s="5"/>
      <c r="T1596" s="5"/>
      <c r="U1596" s="5"/>
      <c r="V1596" s="5"/>
      <c r="W1596" s="5"/>
      <c r="X1596" s="5"/>
      <c r="Y1596" s="5"/>
      <c r="Z1596" s="5"/>
    </row>
    <row r="1597" ht="12.0" customHeight="1">
      <c r="A1597" s="201" t="s">
        <v>630</v>
      </c>
      <c r="B1597" s="201" t="s">
        <v>631</v>
      </c>
      <c r="C1597" s="201" t="s">
        <v>3</v>
      </c>
      <c r="D1597" s="201" t="s">
        <v>4</v>
      </c>
      <c r="E1597" s="201" t="s">
        <v>5</v>
      </c>
      <c r="F1597" s="201" t="s">
        <v>6</v>
      </c>
      <c r="G1597" s="201" t="s">
        <v>7</v>
      </c>
      <c r="H1597" s="201" t="s">
        <v>8</v>
      </c>
      <c r="I1597" s="201" t="s">
        <v>9</v>
      </c>
      <c r="J1597" s="201" t="s">
        <v>10</v>
      </c>
      <c r="K1597" s="201" t="s">
        <v>11</v>
      </c>
      <c r="L1597" s="201" t="s">
        <v>12</v>
      </c>
      <c r="M1597" s="201" t="s">
        <v>13</v>
      </c>
      <c r="N1597" s="201" t="s">
        <v>14</v>
      </c>
      <c r="O1597" s="5"/>
      <c r="P1597" s="5"/>
      <c r="Q1597" s="5"/>
      <c r="R1597" s="5"/>
      <c r="S1597" s="5"/>
      <c r="T1597" s="5"/>
      <c r="U1597" s="5"/>
      <c r="V1597" s="5"/>
      <c r="W1597" s="5"/>
      <c r="X1597" s="5"/>
      <c r="Y1597" s="5"/>
      <c r="Z1597" s="5"/>
    </row>
    <row r="1598" ht="12.0" customHeight="1">
      <c r="A1598" s="92" t="s">
        <v>694</v>
      </c>
      <c r="B1598" s="92" t="s">
        <v>633</v>
      </c>
      <c r="C1598" s="203">
        <f>SUM('2034'!B6:B9)+Parametros!$B$72*C2785</f>
        <v>7307.63</v>
      </c>
      <c r="D1598" s="203">
        <f>SUM('2034'!C6:C9)+Parametros!$B$72*D2785</f>
        <v>5707.72</v>
      </c>
      <c r="E1598" s="203">
        <f>SUM('2034'!D6:D9)+Parametros!$B$72*E2785</f>
        <v>5666.695</v>
      </c>
      <c r="F1598" s="203">
        <f>SUM('2034'!E6:E9)+Parametros!$B$72*F2785</f>
        <v>5523.83</v>
      </c>
      <c r="G1598" s="203">
        <f>SUM('2034'!F6:F9)+Parametros!$B$72*G2785</f>
        <v>5207.09</v>
      </c>
      <c r="H1598" s="203">
        <f>SUM('2034'!G6:G9)+Parametros!$B$72*H2785</f>
        <v>4985.995</v>
      </c>
      <c r="I1598" s="203">
        <f>SUM('2034'!H6:H9)+Parametros!$B$72*I2785</f>
        <v>5349.955</v>
      </c>
      <c r="J1598" s="203">
        <f>SUM('2034'!I6:I9)+Parametros!$B$72*J2785</f>
        <v>5349.955</v>
      </c>
      <c r="K1598" s="203">
        <f>SUM('2034'!J6:J9)+Parametros!$B$72*K2785</f>
        <v>5326.345</v>
      </c>
      <c r="L1598" s="203">
        <f>SUM('2034'!K6:K9)+Parametros!$B$72*L2785</f>
        <v>5105.25</v>
      </c>
      <c r="M1598" s="203">
        <f>SUM('2034'!L6:L9)+Parametros!$B$72*M2785</f>
        <v>4907.765</v>
      </c>
      <c r="N1598" s="203">
        <f>SUM('2034'!M6:M9)+Parametros!$B$72*N2785</f>
        <v>7631.77</v>
      </c>
      <c r="O1598" s="5"/>
      <c r="P1598" s="5"/>
      <c r="Q1598" s="5"/>
      <c r="R1598" s="5"/>
      <c r="S1598" s="5"/>
      <c r="T1598" s="5"/>
      <c r="U1598" s="5"/>
      <c r="V1598" s="5"/>
      <c r="W1598" s="5"/>
      <c r="X1598" s="5"/>
      <c r="Y1598" s="5"/>
      <c r="Z1598" s="5"/>
    </row>
    <row r="1599" ht="12.0" customHeight="1">
      <c r="A1599" s="5"/>
      <c r="B1599" s="92" t="s">
        <v>634</v>
      </c>
      <c r="C1599" s="204">
        <f>C1598/Parametros!$B$37</f>
        <v>365.3815</v>
      </c>
      <c r="D1599" s="204">
        <f>D1598/Parametros!$B$37</f>
        <v>285.386</v>
      </c>
      <c r="E1599" s="204">
        <f>E1598/Parametros!$B$37</f>
        <v>283.33475</v>
      </c>
      <c r="F1599" s="204">
        <f>F1598/Parametros!$B$37</f>
        <v>276.1915</v>
      </c>
      <c r="G1599" s="204">
        <f>G1598/Parametros!$B$37</f>
        <v>260.3545</v>
      </c>
      <c r="H1599" s="204">
        <f>H1598/Parametros!$B$37</f>
        <v>249.29975</v>
      </c>
      <c r="I1599" s="204">
        <f>I1598/Parametros!$B$37</f>
        <v>267.49775</v>
      </c>
      <c r="J1599" s="204">
        <f>J1598/Parametros!$B$37</f>
        <v>267.49775</v>
      </c>
      <c r="K1599" s="204">
        <f>K1598/Parametros!$B$37</f>
        <v>266.31725</v>
      </c>
      <c r="L1599" s="204">
        <f>L1598/Parametros!$B$37</f>
        <v>255.2625</v>
      </c>
      <c r="M1599" s="204">
        <f>M1598/Parametros!$B$37</f>
        <v>245.38825</v>
      </c>
      <c r="N1599" s="204">
        <f>N1598/Parametros!$B$37</f>
        <v>381.5885</v>
      </c>
      <c r="O1599" s="5"/>
      <c r="P1599" s="5"/>
      <c r="Q1599" s="5"/>
      <c r="R1599" s="5"/>
      <c r="S1599" s="5"/>
      <c r="T1599" s="5"/>
      <c r="U1599" s="5"/>
      <c r="V1599" s="5"/>
      <c r="W1599" s="5"/>
      <c r="X1599" s="5"/>
      <c r="Y1599" s="5"/>
      <c r="Z1599" s="5"/>
    </row>
    <row r="1600" ht="12.0" customHeight="1">
      <c r="A1600" s="5"/>
      <c r="B1600" s="92" t="s">
        <v>635</v>
      </c>
      <c r="C1600" s="204">
        <f>C1599/Parametros!$J$37</f>
        <v>48.71753333</v>
      </c>
      <c r="D1600" s="204">
        <f>D1599/Parametros!$J$37</f>
        <v>38.05146667</v>
      </c>
      <c r="E1600" s="204">
        <f>E1599/Parametros!$J$37</f>
        <v>37.77796667</v>
      </c>
      <c r="F1600" s="204">
        <f>F1599/Parametros!$J$37</f>
        <v>36.82553333</v>
      </c>
      <c r="G1600" s="204">
        <f>G1599/Parametros!$J$37</f>
        <v>34.71393333</v>
      </c>
      <c r="H1600" s="204">
        <f>H1599/Parametros!$J$37</f>
        <v>33.23996667</v>
      </c>
      <c r="I1600" s="204">
        <f>I1599/Parametros!$J$37</f>
        <v>35.66636667</v>
      </c>
      <c r="J1600" s="204">
        <f>J1599/Parametros!$J$37</f>
        <v>35.66636667</v>
      </c>
      <c r="K1600" s="204">
        <f>K1599/Parametros!$J$37</f>
        <v>35.50896667</v>
      </c>
      <c r="L1600" s="204">
        <f>L1599/Parametros!$J$37</f>
        <v>34.035</v>
      </c>
      <c r="M1600" s="204">
        <f>M1599/Parametros!$J$37</f>
        <v>32.71843333</v>
      </c>
      <c r="N1600" s="204">
        <f>N1599/Parametros!$J$37</f>
        <v>50.87846667</v>
      </c>
      <c r="O1600" s="5"/>
      <c r="P1600" s="5"/>
      <c r="Q1600" s="5"/>
      <c r="R1600" s="5"/>
      <c r="S1600" s="5"/>
      <c r="T1600" s="5"/>
      <c r="U1600" s="5"/>
      <c r="V1600" s="5"/>
      <c r="W1600" s="5"/>
      <c r="X1600" s="5"/>
      <c r="Y1600" s="5"/>
      <c r="Z1600" s="5"/>
    </row>
    <row r="1601" ht="12.0" customHeight="1">
      <c r="A1601" s="92" t="s">
        <v>636</v>
      </c>
      <c r="B1601" s="5"/>
      <c r="C1601" s="204">
        <f t="shared" ref="C1601:N1601" si="472">C1600</f>
        <v>48.71753333</v>
      </c>
      <c r="D1601" s="204">
        <f t="shared" si="472"/>
        <v>38.05146667</v>
      </c>
      <c r="E1601" s="204">
        <f t="shared" si="472"/>
        <v>37.77796667</v>
      </c>
      <c r="F1601" s="204">
        <f t="shared" si="472"/>
        <v>36.82553333</v>
      </c>
      <c r="G1601" s="204">
        <f t="shared" si="472"/>
        <v>34.71393333</v>
      </c>
      <c r="H1601" s="204">
        <f t="shared" si="472"/>
        <v>33.23996667</v>
      </c>
      <c r="I1601" s="204">
        <f t="shared" si="472"/>
        <v>35.66636667</v>
      </c>
      <c r="J1601" s="204">
        <f t="shared" si="472"/>
        <v>35.66636667</v>
      </c>
      <c r="K1601" s="204">
        <f t="shared" si="472"/>
        <v>35.50896667</v>
      </c>
      <c r="L1601" s="204">
        <f t="shared" si="472"/>
        <v>34.035</v>
      </c>
      <c r="M1601" s="204">
        <f t="shared" si="472"/>
        <v>32.71843333</v>
      </c>
      <c r="N1601" s="204">
        <f t="shared" si="472"/>
        <v>50.87846667</v>
      </c>
      <c r="O1601" s="5"/>
      <c r="P1601" s="5"/>
      <c r="Q1601" s="5"/>
      <c r="R1601" s="5"/>
      <c r="S1601" s="5"/>
      <c r="T1601" s="5"/>
      <c r="U1601" s="5"/>
      <c r="V1601" s="5"/>
      <c r="W1601" s="5"/>
      <c r="X1601" s="5"/>
      <c r="Y1601" s="5"/>
      <c r="Z1601" s="5"/>
    </row>
    <row r="1602" ht="12.0" customHeight="1">
      <c r="A1602" s="92" t="s">
        <v>637</v>
      </c>
      <c r="B1602" s="5"/>
      <c r="C1602" s="205">
        <f>'Resumen Capacidad'!$J$125</f>
        <v>60.34285714</v>
      </c>
      <c r="D1602" s="205">
        <f>'Resumen Capacidad'!$J$125</f>
        <v>60.34285714</v>
      </c>
      <c r="E1602" s="205">
        <f>'Resumen Capacidad'!$J$125</f>
        <v>60.34285714</v>
      </c>
      <c r="F1602" s="205">
        <f>'Resumen Capacidad'!$J$125</f>
        <v>60.34285714</v>
      </c>
      <c r="G1602" s="205">
        <f>'Resumen Capacidad'!$J$125</f>
        <v>60.34285714</v>
      </c>
      <c r="H1602" s="205">
        <f>'Resumen Capacidad'!$J$125</f>
        <v>60.34285714</v>
      </c>
      <c r="I1602" s="205">
        <f>'Resumen Capacidad'!$J$125</f>
        <v>60.34285714</v>
      </c>
      <c r="J1602" s="205">
        <f>'Resumen Capacidad'!$J$125</f>
        <v>60.34285714</v>
      </c>
      <c r="K1602" s="205">
        <f>'Resumen Capacidad'!$J$125</f>
        <v>60.34285714</v>
      </c>
      <c r="L1602" s="205">
        <f>'Resumen Capacidad'!$J$125</f>
        <v>60.34285714</v>
      </c>
      <c r="M1602" s="205">
        <f>'Resumen Capacidad'!$J$125</f>
        <v>60.34285714</v>
      </c>
      <c r="N1602" s="205">
        <f>'Resumen Capacidad'!$J$125</f>
        <v>60.34285714</v>
      </c>
      <c r="O1602" s="5"/>
      <c r="P1602" s="5"/>
      <c r="Q1602" s="5"/>
      <c r="R1602" s="5"/>
      <c r="S1602" s="5"/>
      <c r="T1602" s="5"/>
      <c r="U1602" s="5"/>
      <c r="V1602" s="5"/>
      <c r="W1602" s="5"/>
      <c r="X1602" s="5"/>
      <c r="Y1602" s="5"/>
      <c r="Z1602" s="5"/>
    </row>
    <row r="1603" ht="12.0" customHeight="1">
      <c r="A1603" s="92" t="s">
        <v>640</v>
      </c>
      <c r="B1603" s="5"/>
      <c r="C1603" s="204">
        <f>'Resumen Capacidad'!$J$43*'Resumen Capacidad'!$J$79</f>
        <v>1</v>
      </c>
      <c r="D1603" s="204">
        <f>'Resumen Capacidad'!$J$43*'Resumen Capacidad'!$J$79</f>
        <v>1</v>
      </c>
      <c r="E1603" s="204">
        <f>'Resumen Capacidad'!$J$43*'Resumen Capacidad'!$J$79</f>
        <v>1</v>
      </c>
      <c r="F1603" s="204">
        <f>'Resumen Capacidad'!$J$43*'Resumen Capacidad'!$J$79</f>
        <v>1</v>
      </c>
      <c r="G1603" s="204">
        <f>'Resumen Capacidad'!$J$43*'Resumen Capacidad'!$J$79</f>
        <v>1</v>
      </c>
      <c r="H1603" s="204">
        <f>'Resumen Capacidad'!$J$43*'Resumen Capacidad'!$J$79</f>
        <v>1</v>
      </c>
      <c r="I1603" s="204">
        <f>'Resumen Capacidad'!$J$43*'Resumen Capacidad'!$J$79</f>
        <v>1</v>
      </c>
      <c r="J1603" s="204">
        <f>'Resumen Capacidad'!$J$43*'Resumen Capacidad'!$J$79</f>
        <v>1</v>
      </c>
      <c r="K1603" s="204">
        <f>'Resumen Capacidad'!$J$43*'Resumen Capacidad'!$J$79</f>
        <v>1</v>
      </c>
      <c r="L1603" s="204">
        <f>'Resumen Capacidad'!$J$43*'Resumen Capacidad'!$J$79</f>
        <v>1</v>
      </c>
      <c r="M1603" s="204">
        <f>'Resumen Capacidad'!$J$43*'Resumen Capacidad'!$J$79</f>
        <v>1</v>
      </c>
      <c r="N1603" s="204">
        <f>'Resumen Capacidad'!$J$43*'Resumen Capacidad'!$J$79</f>
        <v>1</v>
      </c>
      <c r="O1603" s="5"/>
      <c r="P1603" s="5"/>
      <c r="Q1603" s="5"/>
      <c r="R1603" s="5"/>
      <c r="S1603" s="5"/>
      <c r="T1603" s="5"/>
      <c r="U1603" s="5"/>
      <c r="V1603" s="5"/>
      <c r="W1603" s="5"/>
      <c r="X1603" s="5"/>
      <c r="Y1603" s="5"/>
      <c r="Z1603" s="5"/>
    </row>
    <row r="1604" ht="12.0" customHeight="1">
      <c r="A1604" s="92" t="s">
        <v>642</v>
      </c>
      <c r="B1604" s="5"/>
      <c r="C1604" s="204">
        <f t="shared" ref="C1604:N1604" si="473">C1602*C1603</f>
        <v>60.34285714</v>
      </c>
      <c r="D1604" s="204">
        <f t="shared" si="473"/>
        <v>60.34285714</v>
      </c>
      <c r="E1604" s="204">
        <f t="shared" si="473"/>
        <v>60.34285714</v>
      </c>
      <c r="F1604" s="204">
        <f t="shared" si="473"/>
        <v>60.34285714</v>
      </c>
      <c r="G1604" s="204">
        <f t="shared" si="473"/>
        <v>60.34285714</v>
      </c>
      <c r="H1604" s="204">
        <f t="shared" si="473"/>
        <v>60.34285714</v>
      </c>
      <c r="I1604" s="204">
        <f t="shared" si="473"/>
        <v>60.34285714</v>
      </c>
      <c r="J1604" s="204">
        <f t="shared" si="473"/>
        <v>60.34285714</v>
      </c>
      <c r="K1604" s="204">
        <f t="shared" si="473"/>
        <v>60.34285714</v>
      </c>
      <c r="L1604" s="204">
        <f t="shared" si="473"/>
        <v>60.34285714</v>
      </c>
      <c r="M1604" s="204">
        <f t="shared" si="473"/>
        <v>60.34285714</v>
      </c>
      <c r="N1604" s="204">
        <f t="shared" si="473"/>
        <v>60.34285714</v>
      </c>
      <c r="O1604" s="5"/>
      <c r="P1604" s="5"/>
      <c r="Q1604" s="5"/>
      <c r="R1604" s="5"/>
      <c r="S1604" s="5"/>
      <c r="T1604" s="5"/>
      <c r="U1604" s="5"/>
      <c r="V1604" s="5"/>
      <c r="W1604" s="5"/>
      <c r="X1604" s="5"/>
      <c r="Y1604" s="5"/>
      <c r="Z1604" s="5"/>
    </row>
    <row r="1605" ht="12.0" customHeight="1">
      <c r="A1605" s="92" t="s">
        <v>643</v>
      </c>
      <c r="B1605" s="5"/>
      <c r="C1605" s="206">
        <f t="shared" ref="C1605:N1605" si="474">IF(C1604=0,0,C1601/C1604)</f>
        <v>0.8073454861</v>
      </c>
      <c r="D1605" s="206">
        <f t="shared" si="474"/>
        <v>0.6305877525</v>
      </c>
      <c r="E1605" s="206">
        <f t="shared" si="474"/>
        <v>0.6260553188</v>
      </c>
      <c r="F1605" s="206">
        <f t="shared" si="474"/>
        <v>0.6102716225</v>
      </c>
      <c r="G1605" s="206">
        <f t="shared" si="474"/>
        <v>0.5752782513</v>
      </c>
      <c r="H1605" s="206">
        <f t="shared" si="474"/>
        <v>0.5508517203</v>
      </c>
      <c r="I1605" s="206">
        <f t="shared" si="474"/>
        <v>0.5910619476</v>
      </c>
      <c r="J1605" s="206">
        <f t="shared" si="474"/>
        <v>0.5910619476</v>
      </c>
      <c r="K1605" s="206">
        <f t="shared" si="474"/>
        <v>0.5884535196</v>
      </c>
      <c r="L1605" s="206">
        <f t="shared" si="474"/>
        <v>0.5640269886</v>
      </c>
      <c r="M1605" s="206">
        <f t="shared" si="474"/>
        <v>0.5422088857</v>
      </c>
      <c r="N1605" s="206">
        <f t="shared" si="474"/>
        <v>0.8431564078</v>
      </c>
      <c r="O1605" s="5"/>
      <c r="P1605" s="5"/>
      <c r="Q1605" s="5"/>
      <c r="R1605" s="5"/>
      <c r="S1605" s="5"/>
      <c r="T1605" s="5"/>
      <c r="U1605" s="5"/>
      <c r="V1605" s="5"/>
      <c r="W1605" s="5"/>
      <c r="X1605" s="5"/>
      <c r="Y1605" s="5"/>
      <c r="Z1605" s="5"/>
    </row>
    <row r="1606" ht="12.0" customHeight="1">
      <c r="A1606" s="201" t="s">
        <v>695</v>
      </c>
      <c r="B1606" s="202"/>
      <c r="C1606" s="202"/>
      <c r="D1606" s="202"/>
      <c r="E1606" s="202"/>
      <c r="F1606" s="202"/>
      <c r="G1606" s="202"/>
      <c r="H1606" s="202"/>
      <c r="I1606" s="202"/>
      <c r="J1606" s="202"/>
      <c r="K1606" s="202"/>
      <c r="L1606" s="202"/>
      <c r="M1606" s="202"/>
      <c r="N1606" s="202"/>
      <c r="O1606" s="5"/>
      <c r="P1606" s="5"/>
      <c r="Q1606" s="5"/>
      <c r="R1606" s="5"/>
      <c r="S1606" s="5"/>
      <c r="T1606" s="5"/>
      <c r="U1606" s="5"/>
      <c r="V1606" s="5"/>
      <c r="W1606" s="5"/>
      <c r="X1606" s="5"/>
      <c r="Y1606" s="5"/>
      <c r="Z1606" s="5"/>
    </row>
    <row r="1607" ht="12.0" customHeight="1">
      <c r="A1607" s="201" t="s">
        <v>630</v>
      </c>
      <c r="B1607" s="201" t="s">
        <v>631</v>
      </c>
      <c r="C1607" s="201" t="s">
        <v>3</v>
      </c>
      <c r="D1607" s="201" t="s">
        <v>4</v>
      </c>
      <c r="E1607" s="201" t="s">
        <v>5</v>
      </c>
      <c r="F1607" s="201" t="s">
        <v>6</v>
      </c>
      <c r="G1607" s="201" t="s">
        <v>7</v>
      </c>
      <c r="H1607" s="201" t="s">
        <v>8</v>
      </c>
      <c r="I1607" s="201" t="s">
        <v>9</v>
      </c>
      <c r="J1607" s="201" t="s">
        <v>10</v>
      </c>
      <c r="K1607" s="201" t="s">
        <v>11</v>
      </c>
      <c r="L1607" s="201" t="s">
        <v>12</v>
      </c>
      <c r="M1607" s="201" t="s">
        <v>13</v>
      </c>
      <c r="N1607" s="201" t="s">
        <v>14</v>
      </c>
      <c r="O1607" s="5"/>
      <c r="P1607" s="5"/>
      <c r="Q1607" s="5"/>
      <c r="R1607" s="5"/>
      <c r="S1607" s="5"/>
      <c r="T1607" s="5"/>
      <c r="U1607" s="5"/>
      <c r="V1607" s="5"/>
      <c r="W1607" s="5"/>
      <c r="X1607" s="5"/>
      <c r="Y1607" s="5"/>
      <c r="Z1607" s="5"/>
    </row>
    <row r="1608" ht="12.0" customHeight="1">
      <c r="A1608" s="92" t="s">
        <v>694</v>
      </c>
      <c r="B1608" s="92" t="s">
        <v>633</v>
      </c>
      <c r="C1608" s="203">
        <f>SUM('2034'!B6:B9)+Parametros!$B$72*C2785</f>
        <v>7307.63</v>
      </c>
      <c r="D1608" s="203">
        <f>SUM('2034'!C6:C9)+Parametros!$B$72*D2785</f>
        <v>5707.72</v>
      </c>
      <c r="E1608" s="203">
        <f>SUM('2034'!D6:D9)+Parametros!$B$72*E2785</f>
        <v>5666.695</v>
      </c>
      <c r="F1608" s="203">
        <f>SUM('2034'!E6:E9)+Parametros!$B$72*F2785</f>
        <v>5523.83</v>
      </c>
      <c r="G1608" s="203">
        <f>SUM('2034'!F6:F9)+Parametros!$B$72*G2785</f>
        <v>5207.09</v>
      </c>
      <c r="H1608" s="203">
        <f>SUM('2034'!G6:G9)+Parametros!$B$72*H2785</f>
        <v>4985.995</v>
      </c>
      <c r="I1608" s="203">
        <f>SUM('2034'!H6:H9)+Parametros!$B$72*I2785</f>
        <v>5349.955</v>
      </c>
      <c r="J1608" s="203">
        <f>SUM('2034'!I6:I9)+Parametros!$B$72*J2785</f>
        <v>5349.955</v>
      </c>
      <c r="K1608" s="203">
        <f>SUM('2034'!J6:J9)+Parametros!$B$72*K2785</f>
        <v>5326.345</v>
      </c>
      <c r="L1608" s="203">
        <f>SUM('2034'!K6:K9)+Parametros!$B$72*L2785</f>
        <v>5105.25</v>
      </c>
      <c r="M1608" s="203">
        <f>SUM('2034'!L6:L9)+Parametros!$B$72*M2785</f>
        <v>4907.765</v>
      </c>
      <c r="N1608" s="203">
        <f>SUM('2034'!M6:M9)+Parametros!$B$72*N2785</f>
        <v>7631.77</v>
      </c>
      <c r="O1608" s="5"/>
      <c r="P1608" s="5"/>
      <c r="Q1608" s="5"/>
      <c r="R1608" s="5"/>
      <c r="S1608" s="5"/>
      <c r="T1608" s="5"/>
      <c r="U1608" s="5"/>
      <c r="V1608" s="5"/>
      <c r="W1608" s="5"/>
      <c r="X1608" s="5"/>
      <c r="Y1608" s="5"/>
      <c r="Z1608" s="5"/>
    </row>
    <row r="1609" ht="12.0" customHeight="1">
      <c r="A1609" s="5"/>
      <c r="B1609" s="92" t="s">
        <v>634</v>
      </c>
      <c r="C1609" s="204">
        <f>C1608/Parametros!$B$37</f>
        <v>365.3815</v>
      </c>
      <c r="D1609" s="204">
        <f>D1608/Parametros!$B$37</f>
        <v>285.386</v>
      </c>
      <c r="E1609" s="204">
        <f>E1608/Parametros!$B$37</f>
        <v>283.33475</v>
      </c>
      <c r="F1609" s="204">
        <f>F1608/Parametros!$B$37</f>
        <v>276.1915</v>
      </c>
      <c r="G1609" s="204">
        <f>G1608/Parametros!$B$37</f>
        <v>260.3545</v>
      </c>
      <c r="H1609" s="204">
        <f>H1608/Parametros!$B$37</f>
        <v>249.29975</v>
      </c>
      <c r="I1609" s="204">
        <f>I1608/Parametros!$B$37</f>
        <v>267.49775</v>
      </c>
      <c r="J1609" s="204">
        <f>J1608/Parametros!$B$37</f>
        <v>267.49775</v>
      </c>
      <c r="K1609" s="204">
        <f>K1608/Parametros!$B$37</f>
        <v>266.31725</v>
      </c>
      <c r="L1609" s="204">
        <f>L1608/Parametros!$B$37</f>
        <v>255.2625</v>
      </c>
      <c r="M1609" s="204">
        <f>M1608/Parametros!$B$37</f>
        <v>245.38825</v>
      </c>
      <c r="N1609" s="204">
        <f>N1608/Parametros!$B$37</f>
        <v>381.5885</v>
      </c>
      <c r="O1609" s="5"/>
      <c r="P1609" s="5"/>
      <c r="Q1609" s="5"/>
      <c r="R1609" s="5"/>
      <c r="S1609" s="5"/>
      <c r="T1609" s="5"/>
      <c r="U1609" s="5"/>
      <c r="V1609" s="5"/>
      <c r="W1609" s="5"/>
      <c r="X1609" s="5"/>
      <c r="Y1609" s="5"/>
      <c r="Z1609" s="5"/>
    </row>
    <row r="1610" ht="12.0" customHeight="1">
      <c r="A1610" s="5"/>
      <c r="B1610" s="92" t="s">
        <v>635</v>
      </c>
      <c r="C1610" s="204">
        <f>C1609/Parametros!$J$37</f>
        <v>48.71753333</v>
      </c>
      <c r="D1610" s="204">
        <f>D1609/Parametros!$J$37</f>
        <v>38.05146667</v>
      </c>
      <c r="E1610" s="204">
        <f>E1609/Parametros!$J$37</f>
        <v>37.77796667</v>
      </c>
      <c r="F1610" s="204">
        <f>F1609/Parametros!$J$37</f>
        <v>36.82553333</v>
      </c>
      <c r="G1610" s="204">
        <f>G1609/Parametros!$J$37</f>
        <v>34.71393333</v>
      </c>
      <c r="H1610" s="204">
        <f>H1609/Parametros!$J$37</f>
        <v>33.23996667</v>
      </c>
      <c r="I1610" s="204">
        <f>I1609/Parametros!$J$37</f>
        <v>35.66636667</v>
      </c>
      <c r="J1610" s="204">
        <f>J1609/Parametros!$J$37</f>
        <v>35.66636667</v>
      </c>
      <c r="K1610" s="204">
        <f>K1609/Parametros!$J$37</f>
        <v>35.50896667</v>
      </c>
      <c r="L1610" s="204">
        <f>L1609/Parametros!$J$37</f>
        <v>34.035</v>
      </c>
      <c r="M1610" s="204">
        <f>M1609/Parametros!$J$37</f>
        <v>32.71843333</v>
      </c>
      <c r="N1610" s="204">
        <f>N1609/Parametros!$J$37</f>
        <v>50.87846667</v>
      </c>
      <c r="O1610" s="5"/>
      <c r="P1610" s="5"/>
      <c r="Q1610" s="5"/>
      <c r="R1610" s="5"/>
      <c r="S1610" s="5"/>
      <c r="T1610" s="5"/>
      <c r="U1610" s="5"/>
      <c r="V1610" s="5"/>
      <c r="W1610" s="5"/>
      <c r="X1610" s="5"/>
      <c r="Y1610" s="5"/>
      <c r="Z1610" s="5"/>
    </row>
    <row r="1611" ht="12.0" customHeight="1">
      <c r="A1611" s="92" t="s">
        <v>636</v>
      </c>
      <c r="B1611" s="5"/>
      <c r="C1611" s="204">
        <f t="shared" ref="C1611:N1611" si="475">C1610</f>
        <v>48.71753333</v>
      </c>
      <c r="D1611" s="204">
        <f t="shared" si="475"/>
        <v>38.05146667</v>
      </c>
      <c r="E1611" s="204">
        <f t="shared" si="475"/>
        <v>37.77796667</v>
      </c>
      <c r="F1611" s="204">
        <f t="shared" si="475"/>
        <v>36.82553333</v>
      </c>
      <c r="G1611" s="204">
        <f t="shared" si="475"/>
        <v>34.71393333</v>
      </c>
      <c r="H1611" s="204">
        <f t="shared" si="475"/>
        <v>33.23996667</v>
      </c>
      <c r="I1611" s="204">
        <f t="shared" si="475"/>
        <v>35.66636667</v>
      </c>
      <c r="J1611" s="204">
        <f t="shared" si="475"/>
        <v>35.66636667</v>
      </c>
      <c r="K1611" s="204">
        <f t="shared" si="475"/>
        <v>35.50896667</v>
      </c>
      <c r="L1611" s="204">
        <f t="shared" si="475"/>
        <v>34.035</v>
      </c>
      <c r="M1611" s="204">
        <f t="shared" si="475"/>
        <v>32.71843333</v>
      </c>
      <c r="N1611" s="204">
        <f t="shared" si="475"/>
        <v>50.87846667</v>
      </c>
      <c r="O1611" s="5"/>
      <c r="P1611" s="5"/>
      <c r="Q1611" s="5"/>
      <c r="R1611" s="5"/>
      <c r="S1611" s="5"/>
      <c r="T1611" s="5"/>
      <c r="U1611" s="5"/>
      <c r="V1611" s="5"/>
      <c r="W1611" s="5"/>
      <c r="X1611" s="5"/>
      <c r="Y1611" s="5"/>
      <c r="Z1611" s="5"/>
    </row>
    <row r="1612" ht="12.0" customHeight="1">
      <c r="A1612" s="92" t="s">
        <v>637</v>
      </c>
      <c r="B1612" s="5"/>
      <c r="C1612" s="205">
        <f>'Resumen Capacidad'!$J$126</f>
        <v>25.2</v>
      </c>
      <c r="D1612" s="205">
        <f>'Resumen Capacidad'!$J$126</f>
        <v>25.2</v>
      </c>
      <c r="E1612" s="205">
        <f>'Resumen Capacidad'!$J$126</f>
        <v>25.2</v>
      </c>
      <c r="F1612" s="205">
        <f>'Resumen Capacidad'!$J$126</f>
        <v>25.2</v>
      </c>
      <c r="G1612" s="205">
        <f>'Resumen Capacidad'!$J$126</f>
        <v>25.2</v>
      </c>
      <c r="H1612" s="205">
        <f>'Resumen Capacidad'!$J$126</f>
        <v>25.2</v>
      </c>
      <c r="I1612" s="205">
        <f>'Resumen Capacidad'!$J$126</f>
        <v>25.2</v>
      </c>
      <c r="J1612" s="205">
        <f>'Resumen Capacidad'!$J$126</f>
        <v>25.2</v>
      </c>
      <c r="K1612" s="205">
        <f>'Resumen Capacidad'!$J$126</f>
        <v>25.2</v>
      </c>
      <c r="L1612" s="205">
        <f>'Resumen Capacidad'!$J$126</f>
        <v>25.2</v>
      </c>
      <c r="M1612" s="205">
        <f>'Resumen Capacidad'!$J$126</f>
        <v>25.2</v>
      </c>
      <c r="N1612" s="205">
        <f>'Resumen Capacidad'!$J$126</f>
        <v>25.2</v>
      </c>
      <c r="O1612" s="5"/>
      <c r="P1612" s="5"/>
      <c r="Q1612" s="5"/>
      <c r="R1612" s="5"/>
      <c r="S1612" s="5"/>
      <c r="T1612" s="5"/>
      <c r="U1612" s="5"/>
      <c r="V1612" s="5"/>
      <c r="W1612" s="5"/>
      <c r="X1612" s="5"/>
      <c r="Y1612" s="5"/>
      <c r="Z1612" s="5"/>
    </row>
    <row r="1613" ht="12.0" customHeight="1">
      <c r="A1613" s="92" t="s">
        <v>640</v>
      </c>
      <c r="B1613" s="5"/>
      <c r="C1613" s="204">
        <f>'Resumen Capacidad'!$J$44*'Resumen Capacidad'!$J$80</f>
        <v>4</v>
      </c>
      <c r="D1613" s="204">
        <f>'Resumen Capacidad'!$J$44*'Resumen Capacidad'!$J$80</f>
        <v>4</v>
      </c>
      <c r="E1613" s="204">
        <f>'Resumen Capacidad'!$J$44*'Resumen Capacidad'!$J$80</f>
        <v>4</v>
      </c>
      <c r="F1613" s="204">
        <f>'Resumen Capacidad'!$J$44*'Resumen Capacidad'!$J$80</f>
        <v>4</v>
      </c>
      <c r="G1613" s="204">
        <f>'Resumen Capacidad'!$J$44*'Resumen Capacidad'!$J$80</f>
        <v>4</v>
      </c>
      <c r="H1613" s="204">
        <f>'Resumen Capacidad'!$J$44*'Resumen Capacidad'!$J$80</f>
        <v>4</v>
      </c>
      <c r="I1613" s="204">
        <f>'Resumen Capacidad'!$J$44*'Resumen Capacidad'!$J$80</f>
        <v>4</v>
      </c>
      <c r="J1613" s="204">
        <f>'Resumen Capacidad'!$J$44*'Resumen Capacidad'!$J$80</f>
        <v>4</v>
      </c>
      <c r="K1613" s="204">
        <f>'Resumen Capacidad'!$J$44*'Resumen Capacidad'!$J$80</f>
        <v>4</v>
      </c>
      <c r="L1613" s="204">
        <f>'Resumen Capacidad'!$J$44*'Resumen Capacidad'!$J$80</f>
        <v>4</v>
      </c>
      <c r="M1613" s="204">
        <f>'Resumen Capacidad'!$J$44*'Resumen Capacidad'!$J$80</f>
        <v>4</v>
      </c>
      <c r="N1613" s="204">
        <f>'Resumen Capacidad'!$J$44*'Resumen Capacidad'!$J$80</f>
        <v>4</v>
      </c>
      <c r="O1613" s="5"/>
      <c r="P1613" s="5"/>
      <c r="Q1613" s="5"/>
      <c r="R1613" s="5"/>
      <c r="S1613" s="5"/>
      <c r="T1613" s="5"/>
      <c r="U1613" s="5"/>
      <c r="V1613" s="5"/>
      <c r="W1613" s="5"/>
      <c r="X1613" s="5"/>
      <c r="Y1613" s="5"/>
      <c r="Z1613" s="5"/>
    </row>
    <row r="1614" ht="12.0" customHeight="1">
      <c r="A1614" s="92" t="s">
        <v>642</v>
      </c>
      <c r="B1614" s="5"/>
      <c r="C1614" s="204">
        <f t="shared" ref="C1614:N1614" si="476">C1612*C1613</f>
        <v>100.8</v>
      </c>
      <c r="D1614" s="204">
        <f t="shared" si="476"/>
        <v>100.8</v>
      </c>
      <c r="E1614" s="204">
        <f t="shared" si="476"/>
        <v>100.8</v>
      </c>
      <c r="F1614" s="204">
        <f t="shared" si="476"/>
        <v>100.8</v>
      </c>
      <c r="G1614" s="204">
        <f t="shared" si="476"/>
        <v>100.8</v>
      </c>
      <c r="H1614" s="204">
        <f t="shared" si="476"/>
        <v>100.8</v>
      </c>
      <c r="I1614" s="204">
        <f t="shared" si="476"/>
        <v>100.8</v>
      </c>
      <c r="J1614" s="204">
        <f t="shared" si="476"/>
        <v>100.8</v>
      </c>
      <c r="K1614" s="204">
        <f t="shared" si="476"/>
        <v>100.8</v>
      </c>
      <c r="L1614" s="204">
        <f t="shared" si="476"/>
        <v>100.8</v>
      </c>
      <c r="M1614" s="204">
        <f t="shared" si="476"/>
        <v>100.8</v>
      </c>
      <c r="N1614" s="204">
        <f t="shared" si="476"/>
        <v>100.8</v>
      </c>
      <c r="O1614" s="5"/>
      <c r="P1614" s="5"/>
      <c r="Q1614" s="5"/>
      <c r="R1614" s="5"/>
      <c r="S1614" s="5"/>
      <c r="T1614" s="5"/>
      <c r="U1614" s="5"/>
      <c r="V1614" s="5"/>
      <c r="W1614" s="5"/>
      <c r="X1614" s="5"/>
      <c r="Y1614" s="5"/>
      <c r="Z1614" s="5"/>
    </row>
    <row r="1615" ht="12.0" customHeight="1">
      <c r="A1615" s="92" t="s">
        <v>643</v>
      </c>
      <c r="B1615" s="5"/>
      <c r="C1615" s="206">
        <f t="shared" ref="C1615:N1615" si="477">IF(C1614=0,0,C1611/C1614)</f>
        <v>0.4833088624</v>
      </c>
      <c r="D1615" s="206">
        <f t="shared" si="477"/>
        <v>0.377494709</v>
      </c>
      <c r="E1615" s="206">
        <f t="shared" si="477"/>
        <v>0.3747814153</v>
      </c>
      <c r="F1615" s="206">
        <f t="shared" si="477"/>
        <v>0.365332672</v>
      </c>
      <c r="G1615" s="206">
        <f t="shared" si="477"/>
        <v>0.3443842593</v>
      </c>
      <c r="H1615" s="206">
        <f t="shared" si="477"/>
        <v>0.3297615741</v>
      </c>
      <c r="I1615" s="206">
        <f t="shared" si="477"/>
        <v>0.3538330026</v>
      </c>
      <c r="J1615" s="206">
        <f t="shared" si="477"/>
        <v>0.3538330026</v>
      </c>
      <c r="K1615" s="206">
        <f t="shared" si="477"/>
        <v>0.3522714947</v>
      </c>
      <c r="L1615" s="206">
        <f t="shared" si="477"/>
        <v>0.3376488095</v>
      </c>
      <c r="M1615" s="206">
        <f t="shared" si="477"/>
        <v>0.3245876323</v>
      </c>
      <c r="N1615" s="206">
        <f t="shared" si="477"/>
        <v>0.5047466931</v>
      </c>
      <c r="O1615" s="5"/>
      <c r="P1615" s="5"/>
      <c r="Q1615" s="5"/>
      <c r="R1615" s="5"/>
      <c r="S1615" s="5"/>
      <c r="T1615" s="5"/>
      <c r="U1615" s="5"/>
      <c r="V1615" s="5"/>
      <c r="W1615" s="5"/>
      <c r="X1615" s="5"/>
      <c r="Y1615" s="5"/>
      <c r="Z1615" s="5"/>
    </row>
    <row r="1616" ht="12.0" customHeight="1">
      <c r="A1616" s="201" t="s">
        <v>696</v>
      </c>
      <c r="B1616" s="202"/>
      <c r="C1616" s="202"/>
      <c r="D1616" s="202"/>
      <c r="E1616" s="202"/>
      <c r="F1616" s="202"/>
      <c r="G1616" s="202"/>
      <c r="H1616" s="202"/>
      <c r="I1616" s="202"/>
      <c r="J1616" s="202"/>
      <c r="K1616" s="202"/>
      <c r="L1616" s="202"/>
      <c r="M1616" s="202"/>
      <c r="N1616" s="202"/>
      <c r="O1616" s="5"/>
      <c r="P1616" s="5"/>
      <c r="Q1616" s="5"/>
      <c r="R1616" s="5"/>
      <c r="S1616" s="5"/>
      <c r="T1616" s="5"/>
      <c r="U1616" s="5"/>
      <c r="V1616" s="5"/>
      <c r="W1616" s="5"/>
      <c r="X1616" s="5"/>
      <c r="Y1616" s="5"/>
      <c r="Z1616" s="5"/>
    </row>
    <row r="1617" ht="12.0" customHeight="1">
      <c r="A1617" s="201" t="s">
        <v>630</v>
      </c>
      <c r="B1617" s="201" t="s">
        <v>631</v>
      </c>
      <c r="C1617" s="201" t="s">
        <v>3</v>
      </c>
      <c r="D1617" s="201" t="s">
        <v>4</v>
      </c>
      <c r="E1617" s="201" t="s">
        <v>5</v>
      </c>
      <c r="F1617" s="201" t="s">
        <v>6</v>
      </c>
      <c r="G1617" s="201" t="s">
        <v>7</v>
      </c>
      <c r="H1617" s="201" t="s">
        <v>8</v>
      </c>
      <c r="I1617" s="201" t="s">
        <v>9</v>
      </c>
      <c r="J1617" s="201" t="s">
        <v>10</v>
      </c>
      <c r="K1617" s="201" t="s">
        <v>11</v>
      </c>
      <c r="L1617" s="201" t="s">
        <v>12</v>
      </c>
      <c r="M1617" s="201" t="s">
        <v>13</v>
      </c>
      <c r="N1617" s="201" t="s">
        <v>14</v>
      </c>
      <c r="O1617" s="5"/>
      <c r="P1617" s="5"/>
      <c r="Q1617" s="5"/>
      <c r="R1617" s="5"/>
      <c r="S1617" s="5"/>
      <c r="T1617" s="5"/>
      <c r="U1617" s="5"/>
      <c r="V1617" s="5"/>
      <c r="W1617" s="5"/>
      <c r="X1617" s="5"/>
      <c r="Y1617" s="5"/>
      <c r="Z1617" s="5"/>
    </row>
    <row r="1618" ht="12.0" customHeight="1">
      <c r="A1618" s="92" t="s">
        <v>694</v>
      </c>
      <c r="B1618" s="92" t="s">
        <v>633</v>
      </c>
      <c r="C1618" s="203">
        <f>SUM('2034'!B6:B9)+Parametros!$B$72*C2785</f>
        <v>7307.63</v>
      </c>
      <c r="D1618" s="203">
        <f>SUM('2034'!C6:C9)+Parametros!$B$72*D2785</f>
        <v>5707.72</v>
      </c>
      <c r="E1618" s="203">
        <f>SUM('2034'!D6:D9)+Parametros!$B$72*E2785</f>
        <v>5666.695</v>
      </c>
      <c r="F1618" s="203">
        <f>SUM('2034'!E6:E9)+Parametros!$B$72*F2785</f>
        <v>5523.83</v>
      </c>
      <c r="G1618" s="203">
        <f>SUM('2034'!F6:F9)+Parametros!$B$72*G2785</f>
        <v>5207.09</v>
      </c>
      <c r="H1618" s="203">
        <f>SUM('2034'!G6:G9)+Parametros!$B$72*H2785</f>
        <v>4985.995</v>
      </c>
      <c r="I1618" s="203">
        <f>SUM('2034'!H6:H9)+Parametros!$B$72*I2785</f>
        <v>5349.955</v>
      </c>
      <c r="J1618" s="203">
        <f>SUM('2034'!I6:I9)+Parametros!$B$72*J2785</f>
        <v>5349.955</v>
      </c>
      <c r="K1618" s="203">
        <f>SUM('2034'!J6:J9)+Parametros!$B$72*K2785</f>
        <v>5326.345</v>
      </c>
      <c r="L1618" s="203">
        <f>SUM('2034'!K6:K9)+Parametros!$B$72*L2785</f>
        <v>5105.25</v>
      </c>
      <c r="M1618" s="203">
        <f>SUM('2034'!L6:L9)+Parametros!$B$72*M2785</f>
        <v>4907.765</v>
      </c>
      <c r="N1618" s="203">
        <f>SUM('2034'!M6:M9)+Parametros!$B$72*N2785</f>
        <v>7631.77</v>
      </c>
      <c r="O1618" s="5"/>
      <c r="P1618" s="5"/>
      <c r="Q1618" s="5"/>
      <c r="R1618" s="5"/>
      <c r="S1618" s="5"/>
      <c r="T1618" s="5"/>
      <c r="U1618" s="5"/>
      <c r="V1618" s="5"/>
      <c r="W1618" s="5"/>
      <c r="X1618" s="5"/>
      <c r="Y1618" s="5"/>
      <c r="Z1618" s="5"/>
    </row>
    <row r="1619" ht="12.0" customHeight="1">
      <c r="A1619" s="5"/>
      <c r="B1619" s="92" t="s">
        <v>634</v>
      </c>
      <c r="C1619" s="204">
        <f>C1618/Parametros!$B$37</f>
        <v>365.3815</v>
      </c>
      <c r="D1619" s="204">
        <f>D1618/Parametros!$B$37</f>
        <v>285.386</v>
      </c>
      <c r="E1619" s="204">
        <f>E1618/Parametros!$B$37</f>
        <v>283.33475</v>
      </c>
      <c r="F1619" s="204">
        <f>F1618/Parametros!$B$37</f>
        <v>276.1915</v>
      </c>
      <c r="G1619" s="204">
        <f>G1618/Parametros!$B$37</f>
        <v>260.3545</v>
      </c>
      <c r="H1619" s="204">
        <f>H1618/Parametros!$B$37</f>
        <v>249.29975</v>
      </c>
      <c r="I1619" s="204">
        <f>I1618/Parametros!$B$37</f>
        <v>267.49775</v>
      </c>
      <c r="J1619" s="204">
        <f>J1618/Parametros!$B$37</f>
        <v>267.49775</v>
      </c>
      <c r="K1619" s="204">
        <f>K1618/Parametros!$B$37</f>
        <v>266.31725</v>
      </c>
      <c r="L1619" s="204">
        <f>L1618/Parametros!$B$37</f>
        <v>255.2625</v>
      </c>
      <c r="M1619" s="204">
        <f>M1618/Parametros!$B$37</f>
        <v>245.38825</v>
      </c>
      <c r="N1619" s="204">
        <f>N1618/Parametros!$B$37</f>
        <v>381.5885</v>
      </c>
      <c r="O1619" s="5"/>
      <c r="P1619" s="5"/>
      <c r="Q1619" s="5"/>
      <c r="R1619" s="5"/>
      <c r="S1619" s="5"/>
      <c r="T1619" s="5"/>
      <c r="U1619" s="5"/>
      <c r="V1619" s="5"/>
      <c r="W1619" s="5"/>
      <c r="X1619" s="5"/>
      <c r="Y1619" s="5"/>
      <c r="Z1619" s="5"/>
    </row>
    <row r="1620" ht="12.0" customHeight="1">
      <c r="A1620" s="5"/>
      <c r="B1620" s="92" t="s">
        <v>635</v>
      </c>
      <c r="C1620" s="204">
        <f>C1619/Parametros!$J$37</f>
        <v>48.71753333</v>
      </c>
      <c r="D1620" s="204">
        <f>D1619/Parametros!$J$37</f>
        <v>38.05146667</v>
      </c>
      <c r="E1620" s="204">
        <f>E1619/Parametros!$J$37</f>
        <v>37.77796667</v>
      </c>
      <c r="F1620" s="204">
        <f>F1619/Parametros!$J$37</f>
        <v>36.82553333</v>
      </c>
      <c r="G1620" s="204">
        <f>G1619/Parametros!$J$37</f>
        <v>34.71393333</v>
      </c>
      <c r="H1620" s="204">
        <f>H1619/Parametros!$J$37</f>
        <v>33.23996667</v>
      </c>
      <c r="I1620" s="204">
        <f>I1619/Parametros!$J$37</f>
        <v>35.66636667</v>
      </c>
      <c r="J1620" s="204">
        <f>J1619/Parametros!$J$37</f>
        <v>35.66636667</v>
      </c>
      <c r="K1620" s="204">
        <f>K1619/Parametros!$J$37</f>
        <v>35.50896667</v>
      </c>
      <c r="L1620" s="204">
        <f>L1619/Parametros!$J$37</f>
        <v>34.035</v>
      </c>
      <c r="M1620" s="204">
        <f>M1619/Parametros!$J$37</f>
        <v>32.71843333</v>
      </c>
      <c r="N1620" s="204">
        <f>N1619/Parametros!$J$37</f>
        <v>50.87846667</v>
      </c>
      <c r="O1620" s="5"/>
      <c r="P1620" s="5"/>
      <c r="Q1620" s="5"/>
      <c r="R1620" s="5"/>
      <c r="S1620" s="5"/>
      <c r="T1620" s="5"/>
      <c r="U1620" s="5"/>
      <c r="V1620" s="5"/>
      <c r="W1620" s="5"/>
      <c r="X1620" s="5"/>
      <c r="Y1620" s="5"/>
      <c r="Z1620" s="5"/>
    </row>
    <row r="1621" ht="12.0" customHeight="1">
      <c r="A1621" s="92" t="s">
        <v>636</v>
      </c>
      <c r="B1621" s="5"/>
      <c r="C1621" s="204">
        <f t="shared" ref="C1621:N1621" si="478">C1620</f>
        <v>48.71753333</v>
      </c>
      <c r="D1621" s="204">
        <f t="shared" si="478"/>
        <v>38.05146667</v>
      </c>
      <c r="E1621" s="204">
        <f t="shared" si="478"/>
        <v>37.77796667</v>
      </c>
      <c r="F1621" s="204">
        <f t="shared" si="478"/>
        <v>36.82553333</v>
      </c>
      <c r="G1621" s="204">
        <f t="shared" si="478"/>
        <v>34.71393333</v>
      </c>
      <c r="H1621" s="204">
        <f t="shared" si="478"/>
        <v>33.23996667</v>
      </c>
      <c r="I1621" s="204">
        <f t="shared" si="478"/>
        <v>35.66636667</v>
      </c>
      <c r="J1621" s="204">
        <f t="shared" si="478"/>
        <v>35.66636667</v>
      </c>
      <c r="K1621" s="204">
        <f t="shared" si="478"/>
        <v>35.50896667</v>
      </c>
      <c r="L1621" s="204">
        <f t="shared" si="478"/>
        <v>34.035</v>
      </c>
      <c r="M1621" s="204">
        <f t="shared" si="478"/>
        <v>32.71843333</v>
      </c>
      <c r="N1621" s="204">
        <f t="shared" si="478"/>
        <v>50.87846667</v>
      </c>
      <c r="O1621" s="5"/>
      <c r="P1621" s="5"/>
      <c r="Q1621" s="5"/>
      <c r="R1621" s="5"/>
      <c r="S1621" s="5"/>
      <c r="T1621" s="5"/>
      <c r="U1621" s="5"/>
      <c r="V1621" s="5"/>
      <c r="W1621" s="5"/>
      <c r="X1621" s="5"/>
      <c r="Y1621" s="5"/>
      <c r="Z1621" s="5"/>
    </row>
    <row r="1622" ht="12.0" customHeight="1">
      <c r="A1622" s="92" t="s">
        <v>637</v>
      </c>
      <c r="B1622" s="5"/>
      <c r="C1622" s="205">
        <f>'Resumen Capacidad'!$J$127</f>
        <v>41.53846154</v>
      </c>
      <c r="D1622" s="205">
        <f>'Resumen Capacidad'!$J$127</f>
        <v>41.53846154</v>
      </c>
      <c r="E1622" s="205">
        <f>'Resumen Capacidad'!$J$127</f>
        <v>41.53846154</v>
      </c>
      <c r="F1622" s="205">
        <f>'Resumen Capacidad'!$J$127</f>
        <v>41.53846154</v>
      </c>
      <c r="G1622" s="205">
        <f>'Resumen Capacidad'!$J$127</f>
        <v>41.53846154</v>
      </c>
      <c r="H1622" s="205">
        <f>'Resumen Capacidad'!$J$127</f>
        <v>41.53846154</v>
      </c>
      <c r="I1622" s="205">
        <f>'Resumen Capacidad'!$J$127</f>
        <v>41.53846154</v>
      </c>
      <c r="J1622" s="205">
        <f>'Resumen Capacidad'!$J$127</f>
        <v>41.53846154</v>
      </c>
      <c r="K1622" s="205">
        <f>'Resumen Capacidad'!$J$127</f>
        <v>41.53846154</v>
      </c>
      <c r="L1622" s="205">
        <f>'Resumen Capacidad'!$J$127</f>
        <v>41.53846154</v>
      </c>
      <c r="M1622" s="205">
        <f>'Resumen Capacidad'!$J$127</f>
        <v>41.53846154</v>
      </c>
      <c r="N1622" s="205">
        <f>'Resumen Capacidad'!$J$127</f>
        <v>41.53846154</v>
      </c>
      <c r="O1622" s="5"/>
      <c r="P1622" s="5"/>
      <c r="Q1622" s="5"/>
      <c r="R1622" s="5"/>
      <c r="S1622" s="5"/>
      <c r="T1622" s="5"/>
      <c r="U1622" s="5"/>
      <c r="V1622" s="5"/>
      <c r="W1622" s="5"/>
      <c r="X1622" s="5"/>
      <c r="Y1622" s="5"/>
      <c r="Z1622" s="5"/>
    </row>
    <row r="1623" ht="12.0" customHeight="1">
      <c r="A1623" s="92" t="s">
        <v>640</v>
      </c>
      <c r="B1623" s="5"/>
      <c r="C1623" s="204">
        <f>'Resumen Capacidad'!$J$45*'Resumen Capacidad'!$J$81</f>
        <v>2</v>
      </c>
      <c r="D1623" s="204">
        <f>'Resumen Capacidad'!$J$45*'Resumen Capacidad'!$J$81</f>
        <v>2</v>
      </c>
      <c r="E1623" s="204">
        <f>'Resumen Capacidad'!$J$45*'Resumen Capacidad'!$J$81</f>
        <v>2</v>
      </c>
      <c r="F1623" s="204">
        <f>'Resumen Capacidad'!$J$45*'Resumen Capacidad'!$J$81</f>
        <v>2</v>
      </c>
      <c r="G1623" s="204">
        <f>'Resumen Capacidad'!$J$45*'Resumen Capacidad'!$J$81</f>
        <v>2</v>
      </c>
      <c r="H1623" s="204">
        <f>'Resumen Capacidad'!$J$45*'Resumen Capacidad'!$J$81</f>
        <v>2</v>
      </c>
      <c r="I1623" s="204">
        <f>'Resumen Capacidad'!$J$45*'Resumen Capacidad'!$J$81</f>
        <v>2</v>
      </c>
      <c r="J1623" s="204">
        <f>'Resumen Capacidad'!$J$45*'Resumen Capacidad'!$J$81</f>
        <v>2</v>
      </c>
      <c r="K1623" s="204">
        <f>'Resumen Capacidad'!$J$45*'Resumen Capacidad'!$J$81</f>
        <v>2</v>
      </c>
      <c r="L1623" s="204">
        <f>'Resumen Capacidad'!$J$45*'Resumen Capacidad'!$J$81</f>
        <v>2</v>
      </c>
      <c r="M1623" s="204">
        <f>'Resumen Capacidad'!$J$45*'Resumen Capacidad'!$J$81</f>
        <v>2</v>
      </c>
      <c r="N1623" s="204">
        <f>'Resumen Capacidad'!$J$45*'Resumen Capacidad'!$J$81</f>
        <v>2</v>
      </c>
      <c r="O1623" s="5"/>
      <c r="P1623" s="5"/>
      <c r="Q1623" s="5"/>
      <c r="R1623" s="5"/>
      <c r="S1623" s="5"/>
      <c r="T1623" s="5"/>
      <c r="U1623" s="5"/>
      <c r="V1623" s="5"/>
      <c r="W1623" s="5"/>
      <c r="X1623" s="5"/>
      <c r="Y1623" s="5"/>
      <c r="Z1623" s="5"/>
    </row>
    <row r="1624" ht="12.0" customHeight="1">
      <c r="A1624" s="92" t="s">
        <v>642</v>
      </c>
      <c r="B1624" s="5"/>
      <c r="C1624" s="204">
        <f t="shared" ref="C1624:N1624" si="479">C1622*C1623</f>
        <v>83.07692308</v>
      </c>
      <c r="D1624" s="204">
        <f t="shared" si="479"/>
        <v>83.07692308</v>
      </c>
      <c r="E1624" s="204">
        <f t="shared" si="479"/>
        <v>83.07692308</v>
      </c>
      <c r="F1624" s="204">
        <f t="shared" si="479"/>
        <v>83.07692308</v>
      </c>
      <c r="G1624" s="204">
        <f t="shared" si="479"/>
        <v>83.07692308</v>
      </c>
      <c r="H1624" s="204">
        <f t="shared" si="479"/>
        <v>83.07692308</v>
      </c>
      <c r="I1624" s="204">
        <f t="shared" si="479"/>
        <v>83.07692308</v>
      </c>
      <c r="J1624" s="204">
        <f t="shared" si="479"/>
        <v>83.07692308</v>
      </c>
      <c r="K1624" s="204">
        <f t="shared" si="479"/>
        <v>83.07692308</v>
      </c>
      <c r="L1624" s="204">
        <f t="shared" si="479"/>
        <v>83.07692308</v>
      </c>
      <c r="M1624" s="204">
        <f t="shared" si="479"/>
        <v>83.07692308</v>
      </c>
      <c r="N1624" s="204">
        <f t="shared" si="479"/>
        <v>83.07692308</v>
      </c>
      <c r="O1624" s="5"/>
      <c r="P1624" s="5"/>
      <c r="Q1624" s="5"/>
      <c r="R1624" s="5"/>
      <c r="S1624" s="5"/>
      <c r="T1624" s="5"/>
      <c r="U1624" s="5"/>
      <c r="V1624" s="5"/>
      <c r="W1624" s="5"/>
      <c r="X1624" s="5"/>
      <c r="Y1624" s="5"/>
      <c r="Z1624" s="5"/>
    </row>
    <row r="1625" ht="12.0" customHeight="1">
      <c r="A1625" s="92" t="s">
        <v>643</v>
      </c>
      <c r="B1625" s="5"/>
      <c r="C1625" s="206">
        <f t="shared" ref="C1625:N1625" si="480">IF(C1624=0,0,C1621/C1624)</f>
        <v>0.5864147531</v>
      </c>
      <c r="D1625" s="206">
        <f t="shared" si="480"/>
        <v>0.4580269136</v>
      </c>
      <c r="E1625" s="206">
        <f t="shared" si="480"/>
        <v>0.454734784</v>
      </c>
      <c r="F1625" s="206">
        <f t="shared" si="480"/>
        <v>0.4432703086</v>
      </c>
      <c r="G1625" s="206">
        <f t="shared" si="480"/>
        <v>0.4178529012</v>
      </c>
      <c r="H1625" s="206">
        <f t="shared" si="480"/>
        <v>0.4001107099</v>
      </c>
      <c r="I1625" s="206">
        <f t="shared" si="480"/>
        <v>0.4293173765</v>
      </c>
      <c r="J1625" s="206">
        <f t="shared" si="480"/>
        <v>0.4293173765</v>
      </c>
      <c r="K1625" s="206">
        <f t="shared" si="480"/>
        <v>0.4274227469</v>
      </c>
      <c r="L1625" s="206">
        <f t="shared" si="480"/>
        <v>0.4096805556</v>
      </c>
      <c r="M1625" s="206">
        <f t="shared" si="480"/>
        <v>0.3938329938</v>
      </c>
      <c r="N1625" s="206">
        <f t="shared" si="480"/>
        <v>0.6124259877</v>
      </c>
      <c r="O1625" s="5"/>
      <c r="P1625" s="5"/>
      <c r="Q1625" s="5"/>
      <c r="R1625" s="5"/>
      <c r="S1625" s="5"/>
      <c r="T1625" s="5"/>
      <c r="U1625" s="5"/>
      <c r="V1625" s="5"/>
      <c r="W1625" s="5"/>
      <c r="X1625" s="5"/>
      <c r="Y1625" s="5"/>
      <c r="Z1625" s="5"/>
    </row>
    <row r="1626" ht="12.0" customHeight="1">
      <c r="A1626" s="201" t="s">
        <v>698</v>
      </c>
      <c r="B1626" s="202"/>
      <c r="C1626" s="202"/>
      <c r="D1626" s="202"/>
      <c r="E1626" s="202"/>
      <c r="F1626" s="202"/>
      <c r="G1626" s="202"/>
      <c r="H1626" s="202"/>
      <c r="I1626" s="202"/>
      <c r="J1626" s="202"/>
      <c r="K1626" s="202"/>
      <c r="L1626" s="202"/>
      <c r="M1626" s="202"/>
      <c r="N1626" s="202"/>
      <c r="O1626" s="5"/>
      <c r="P1626" s="5"/>
      <c r="Q1626" s="5"/>
      <c r="R1626" s="5"/>
      <c r="S1626" s="5"/>
      <c r="T1626" s="5"/>
      <c r="U1626" s="5"/>
      <c r="V1626" s="5"/>
      <c r="W1626" s="5"/>
      <c r="X1626" s="5"/>
      <c r="Y1626" s="5"/>
      <c r="Z1626" s="5"/>
    </row>
    <row r="1627" ht="12.0" customHeight="1">
      <c r="A1627" s="201" t="s">
        <v>630</v>
      </c>
      <c r="B1627" s="201" t="s">
        <v>631</v>
      </c>
      <c r="C1627" s="201" t="s">
        <v>3</v>
      </c>
      <c r="D1627" s="201" t="s">
        <v>4</v>
      </c>
      <c r="E1627" s="201" t="s">
        <v>5</v>
      </c>
      <c r="F1627" s="201" t="s">
        <v>6</v>
      </c>
      <c r="G1627" s="201" t="s">
        <v>7</v>
      </c>
      <c r="H1627" s="201" t="s">
        <v>8</v>
      </c>
      <c r="I1627" s="201" t="s">
        <v>9</v>
      </c>
      <c r="J1627" s="201" t="s">
        <v>10</v>
      </c>
      <c r="K1627" s="201" t="s">
        <v>11</v>
      </c>
      <c r="L1627" s="201" t="s">
        <v>12</v>
      </c>
      <c r="M1627" s="201" t="s">
        <v>13</v>
      </c>
      <c r="N1627" s="201" t="s">
        <v>14</v>
      </c>
      <c r="O1627" s="5"/>
      <c r="P1627" s="5"/>
      <c r="Q1627" s="5"/>
      <c r="R1627" s="5"/>
      <c r="S1627" s="5"/>
      <c r="T1627" s="5"/>
      <c r="U1627" s="5"/>
      <c r="V1627" s="5"/>
      <c r="W1627" s="5"/>
      <c r="X1627" s="5"/>
      <c r="Y1627" s="5"/>
      <c r="Z1627" s="5"/>
    </row>
    <row r="1628" ht="12.0" customHeight="1">
      <c r="A1628" s="92" t="s">
        <v>694</v>
      </c>
      <c r="B1628" s="92" t="s">
        <v>633</v>
      </c>
      <c r="C1628" s="203">
        <f>SUM('2034'!B6:B9)+Parametros!$B$72*C2785</f>
        <v>7307.63</v>
      </c>
      <c r="D1628" s="203">
        <f>SUM('2034'!C6:C9)+Parametros!$B$72*D2785</f>
        <v>5707.72</v>
      </c>
      <c r="E1628" s="203">
        <f>SUM('2034'!D6:D9)+Parametros!$B$72*E2785</f>
        <v>5666.695</v>
      </c>
      <c r="F1628" s="203">
        <f>SUM('2034'!E6:E9)+Parametros!$B$72*F2785</f>
        <v>5523.83</v>
      </c>
      <c r="G1628" s="203">
        <f>SUM('2034'!F6:F9)+Parametros!$B$72*G2785</f>
        <v>5207.09</v>
      </c>
      <c r="H1628" s="203">
        <f>SUM('2034'!G6:G9)+Parametros!$B$72*H2785</f>
        <v>4985.995</v>
      </c>
      <c r="I1628" s="203">
        <f>SUM('2034'!H6:H9)+Parametros!$B$72*I2785</f>
        <v>5349.955</v>
      </c>
      <c r="J1628" s="203">
        <f>SUM('2034'!I6:I9)+Parametros!$B$72*J2785</f>
        <v>5349.955</v>
      </c>
      <c r="K1628" s="203">
        <f>SUM('2034'!J6:J9)+Parametros!$B$72*K2785</f>
        <v>5326.345</v>
      </c>
      <c r="L1628" s="203">
        <f>SUM('2034'!K6:K9)+Parametros!$B$72*L2785</f>
        <v>5105.25</v>
      </c>
      <c r="M1628" s="203">
        <f>SUM('2034'!L6:L9)+Parametros!$B$72*M2785</f>
        <v>4907.765</v>
      </c>
      <c r="N1628" s="203">
        <f>SUM('2034'!M6:M9)+Parametros!$B$72*N2785</f>
        <v>7631.77</v>
      </c>
      <c r="O1628" s="5"/>
      <c r="P1628" s="5"/>
      <c r="Q1628" s="5"/>
      <c r="R1628" s="5"/>
      <c r="S1628" s="5"/>
      <c r="T1628" s="5"/>
      <c r="U1628" s="5"/>
      <c r="V1628" s="5"/>
      <c r="W1628" s="5"/>
      <c r="X1628" s="5"/>
      <c r="Y1628" s="5"/>
      <c r="Z1628" s="5"/>
    </row>
    <row r="1629" ht="12.0" customHeight="1">
      <c r="A1629" s="5"/>
      <c r="B1629" s="92" t="s">
        <v>634</v>
      </c>
      <c r="C1629" s="204">
        <f>C1628/Parametros!$B$37</f>
        <v>365.3815</v>
      </c>
      <c r="D1629" s="204">
        <f>D1628/Parametros!$B$37</f>
        <v>285.386</v>
      </c>
      <c r="E1629" s="204">
        <f>E1628/Parametros!$B$37</f>
        <v>283.33475</v>
      </c>
      <c r="F1629" s="204">
        <f>F1628/Parametros!$B$37</f>
        <v>276.1915</v>
      </c>
      <c r="G1629" s="204">
        <f>G1628/Parametros!$B$37</f>
        <v>260.3545</v>
      </c>
      <c r="H1629" s="204">
        <f>H1628/Parametros!$B$37</f>
        <v>249.29975</v>
      </c>
      <c r="I1629" s="204">
        <f>I1628/Parametros!$B$37</f>
        <v>267.49775</v>
      </c>
      <c r="J1629" s="204">
        <f>J1628/Parametros!$B$37</f>
        <v>267.49775</v>
      </c>
      <c r="K1629" s="204">
        <f>K1628/Parametros!$B$37</f>
        <v>266.31725</v>
      </c>
      <c r="L1629" s="204">
        <f>L1628/Parametros!$B$37</f>
        <v>255.2625</v>
      </c>
      <c r="M1629" s="204">
        <f>M1628/Parametros!$B$37</f>
        <v>245.38825</v>
      </c>
      <c r="N1629" s="204">
        <f>N1628/Parametros!$B$37</f>
        <v>381.5885</v>
      </c>
      <c r="O1629" s="5"/>
      <c r="P1629" s="5"/>
      <c r="Q1629" s="5"/>
      <c r="R1629" s="5"/>
      <c r="S1629" s="5"/>
      <c r="T1629" s="5"/>
      <c r="U1629" s="5"/>
      <c r="V1629" s="5"/>
      <c r="W1629" s="5"/>
      <c r="X1629" s="5"/>
      <c r="Y1629" s="5"/>
      <c r="Z1629" s="5"/>
    </row>
    <row r="1630" ht="12.0" customHeight="1">
      <c r="A1630" s="5"/>
      <c r="B1630" s="92" t="s">
        <v>635</v>
      </c>
      <c r="C1630" s="204">
        <f>C1629/Parametros!$J$37</f>
        <v>48.71753333</v>
      </c>
      <c r="D1630" s="204">
        <f>D1629/Parametros!$J$37</f>
        <v>38.05146667</v>
      </c>
      <c r="E1630" s="204">
        <f>E1629/Parametros!$J$37</f>
        <v>37.77796667</v>
      </c>
      <c r="F1630" s="204">
        <f>F1629/Parametros!$J$37</f>
        <v>36.82553333</v>
      </c>
      <c r="G1630" s="204">
        <f>G1629/Parametros!$J$37</f>
        <v>34.71393333</v>
      </c>
      <c r="H1630" s="204">
        <f>H1629/Parametros!$J$37</f>
        <v>33.23996667</v>
      </c>
      <c r="I1630" s="204">
        <f>I1629/Parametros!$J$37</f>
        <v>35.66636667</v>
      </c>
      <c r="J1630" s="204">
        <f>J1629/Parametros!$J$37</f>
        <v>35.66636667</v>
      </c>
      <c r="K1630" s="204">
        <f>K1629/Parametros!$J$37</f>
        <v>35.50896667</v>
      </c>
      <c r="L1630" s="204">
        <f>L1629/Parametros!$J$37</f>
        <v>34.035</v>
      </c>
      <c r="M1630" s="204">
        <f>M1629/Parametros!$J$37</f>
        <v>32.71843333</v>
      </c>
      <c r="N1630" s="204">
        <f>N1629/Parametros!$J$37</f>
        <v>50.87846667</v>
      </c>
      <c r="O1630" s="5"/>
      <c r="P1630" s="5"/>
      <c r="Q1630" s="5"/>
      <c r="R1630" s="5"/>
      <c r="S1630" s="5"/>
      <c r="T1630" s="5"/>
      <c r="U1630" s="5"/>
      <c r="V1630" s="5"/>
      <c r="W1630" s="5"/>
      <c r="X1630" s="5"/>
      <c r="Y1630" s="5"/>
      <c r="Z1630" s="5"/>
    </row>
    <row r="1631" ht="12.0" customHeight="1">
      <c r="A1631" s="92" t="s">
        <v>636</v>
      </c>
      <c r="B1631" s="5"/>
      <c r="C1631" s="204">
        <f t="shared" ref="C1631:N1631" si="481">C1630</f>
        <v>48.71753333</v>
      </c>
      <c r="D1631" s="204">
        <f t="shared" si="481"/>
        <v>38.05146667</v>
      </c>
      <c r="E1631" s="204">
        <f t="shared" si="481"/>
        <v>37.77796667</v>
      </c>
      <c r="F1631" s="204">
        <f t="shared" si="481"/>
        <v>36.82553333</v>
      </c>
      <c r="G1631" s="204">
        <f t="shared" si="481"/>
        <v>34.71393333</v>
      </c>
      <c r="H1631" s="204">
        <f t="shared" si="481"/>
        <v>33.23996667</v>
      </c>
      <c r="I1631" s="204">
        <f t="shared" si="481"/>
        <v>35.66636667</v>
      </c>
      <c r="J1631" s="204">
        <f t="shared" si="481"/>
        <v>35.66636667</v>
      </c>
      <c r="K1631" s="204">
        <f t="shared" si="481"/>
        <v>35.50896667</v>
      </c>
      <c r="L1631" s="204">
        <f t="shared" si="481"/>
        <v>34.035</v>
      </c>
      <c r="M1631" s="204">
        <f t="shared" si="481"/>
        <v>32.71843333</v>
      </c>
      <c r="N1631" s="204">
        <f t="shared" si="481"/>
        <v>50.87846667</v>
      </c>
      <c r="O1631" s="5"/>
      <c r="P1631" s="5"/>
      <c r="Q1631" s="5"/>
      <c r="R1631" s="5"/>
      <c r="S1631" s="5"/>
      <c r="T1631" s="5"/>
      <c r="U1631" s="5"/>
      <c r="V1631" s="5"/>
      <c r="W1631" s="5"/>
      <c r="X1631" s="5"/>
      <c r="Y1631" s="5"/>
      <c r="Z1631" s="5"/>
    </row>
    <row r="1632" ht="12.0" customHeight="1">
      <c r="A1632" s="92" t="s">
        <v>637</v>
      </c>
      <c r="B1632" s="5"/>
      <c r="C1632" s="205">
        <f>'Resumen Capacidad'!$J$128</f>
        <v>45.81818182</v>
      </c>
      <c r="D1632" s="205">
        <f>'Resumen Capacidad'!$J$128</f>
        <v>45.81818182</v>
      </c>
      <c r="E1632" s="205">
        <f>'Resumen Capacidad'!$J$128</f>
        <v>45.81818182</v>
      </c>
      <c r="F1632" s="205">
        <f>'Resumen Capacidad'!$J$128</f>
        <v>45.81818182</v>
      </c>
      <c r="G1632" s="205">
        <f>'Resumen Capacidad'!$J$128</f>
        <v>45.81818182</v>
      </c>
      <c r="H1632" s="205">
        <f>'Resumen Capacidad'!$J$128</f>
        <v>45.81818182</v>
      </c>
      <c r="I1632" s="205">
        <f>'Resumen Capacidad'!$J$128</f>
        <v>45.81818182</v>
      </c>
      <c r="J1632" s="205">
        <f>'Resumen Capacidad'!$J$128</f>
        <v>45.81818182</v>
      </c>
      <c r="K1632" s="205">
        <f>'Resumen Capacidad'!$J$128</f>
        <v>45.81818182</v>
      </c>
      <c r="L1632" s="205">
        <f>'Resumen Capacidad'!$J$128</f>
        <v>45.81818182</v>
      </c>
      <c r="M1632" s="205">
        <f>'Resumen Capacidad'!$J$128</f>
        <v>45.81818182</v>
      </c>
      <c r="N1632" s="205">
        <f>'Resumen Capacidad'!$J$128</f>
        <v>45.81818182</v>
      </c>
      <c r="O1632" s="5"/>
      <c r="P1632" s="5"/>
      <c r="Q1632" s="5"/>
      <c r="R1632" s="5"/>
      <c r="S1632" s="5"/>
      <c r="T1632" s="5"/>
      <c r="U1632" s="5"/>
      <c r="V1632" s="5"/>
      <c r="W1632" s="5"/>
      <c r="X1632" s="5"/>
      <c r="Y1632" s="5"/>
      <c r="Z1632" s="5"/>
    </row>
    <row r="1633" ht="12.0" customHeight="1">
      <c r="A1633" s="92" t="s">
        <v>640</v>
      </c>
      <c r="B1633" s="5"/>
      <c r="C1633" s="204">
        <f>'Resumen Capacidad'!$J$46*'Resumen Capacidad'!$J$82</f>
        <v>2</v>
      </c>
      <c r="D1633" s="204">
        <f>'Resumen Capacidad'!$J$46*'Resumen Capacidad'!$J$82</f>
        <v>2</v>
      </c>
      <c r="E1633" s="204">
        <f>'Resumen Capacidad'!$J$46*'Resumen Capacidad'!$J$82</f>
        <v>2</v>
      </c>
      <c r="F1633" s="204">
        <f>'Resumen Capacidad'!$J$46*'Resumen Capacidad'!$J$82</f>
        <v>2</v>
      </c>
      <c r="G1633" s="204">
        <f>'Resumen Capacidad'!$J$46*'Resumen Capacidad'!$J$82</f>
        <v>2</v>
      </c>
      <c r="H1633" s="204">
        <f>'Resumen Capacidad'!$J$46*'Resumen Capacidad'!$J$82</f>
        <v>2</v>
      </c>
      <c r="I1633" s="204">
        <f>'Resumen Capacidad'!$J$46*'Resumen Capacidad'!$J$82</f>
        <v>2</v>
      </c>
      <c r="J1633" s="204">
        <f>'Resumen Capacidad'!$J$46*'Resumen Capacidad'!$J$82</f>
        <v>2</v>
      </c>
      <c r="K1633" s="204">
        <f>'Resumen Capacidad'!$J$46*'Resumen Capacidad'!$J$82</f>
        <v>2</v>
      </c>
      <c r="L1633" s="204">
        <f>'Resumen Capacidad'!$J$46*'Resumen Capacidad'!$J$82</f>
        <v>2</v>
      </c>
      <c r="M1633" s="204">
        <f>'Resumen Capacidad'!$J$46*'Resumen Capacidad'!$J$82</f>
        <v>2</v>
      </c>
      <c r="N1633" s="204">
        <f>'Resumen Capacidad'!$J$46*'Resumen Capacidad'!$J$82</f>
        <v>2</v>
      </c>
      <c r="O1633" s="5"/>
      <c r="P1633" s="5"/>
      <c r="Q1633" s="5"/>
      <c r="R1633" s="5"/>
      <c r="S1633" s="5"/>
      <c r="T1633" s="5"/>
      <c r="U1633" s="5"/>
      <c r="V1633" s="5"/>
      <c r="W1633" s="5"/>
      <c r="X1633" s="5"/>
      <c r="Y1633" s="5"/>
      <c r="Z1633" s="5"/>
    </row>
    <row r="1634" ht="12.0" customHeight="1">
      <c r="A1634" s="92" t="s">
        <v>642</v>
      </c>
      <c r="B1634" s="5"/>
      <c r="C1634" s="204">
        <f t="shared" ref="C1634:N1634" si="482">C1632*C1633</f>
        <v>91.63636364</v>
      </c>
      <c r="D1634" s="204">
        <f t="shared" si="482"/>
        <v>91.63636364</v>
      </c>
      <c r="E1634" s="204">
        <f t="shared" si="482"/>
        <v>91.63636364</v>
      </c>
      <c r="F1634" s="204">
        <f t="shared" si="482"/>
        <v>91.63636364</v>
      </c>
      <c r="G1634" s="204">
        <f t="shared" si="482"/>
        <v>91.63636364</v>
      </c>
      <c r="H1634" s="204">
        <f t="shared" si="482"/>
        <v>91.63636364</v>
      </c>
      <c r="I1634" s="204">
        <f t="shared" si="482"/>
        <v>91.63636364</v>
      </c>
      <c r="J1634" s="204">
        <f t="shared" si="482"/>
        <v>91.63636364</v>
      </c>
      <c r="K1634" s="204">
        <f t="shared" si="482"/>
        <v>91.63636364</v>
      </c>
      <c r="L1634" s="204">
        <f t="shared" si="482"/>
        <v>91.63636364</v>
      </c>
      <c r="M1634" s="204">
        <f t="shared" si="482"/>
        <v>91.63636364</v>
      </c>
      <c r="N1634" s="204">
        <f t="shared" si="482"/>
        <v>91.63636364</v>
      </c>
      <c r="O1634" s="5"/>
      <c r="P1634" s="5"/>
      <c r="Q1634" s="5"/>
      <c r="R1634" s="5"/>
      <c r="S1634" s="5"/>
      <c r="T1634" s="5"/>
      <c r="U1634" s="5"/>
      <c r="V1634" s="5"/>
      <c r="W1634" s="5"/>
      <c r="X1634" s="5"/>
      <c r="Y1634" s="5"/>
      <c r="Z1634" s="5"/>
    </row>
    <row r="1635" ht="12.0" customHeight="1">
      <c r="A1635" s="92" t="s">
        <v>643</v>
      </c>
      <c r="B1635" s="5"/>
      <c r="C1635" s="206">
        <f t="shared" ref="C1635:N1635" si="483">IF(C1634=0,0,C1631/C1634)</f>
        <v>0.5316397487</v>
      </c>
      <c r="D1635" s="206">
        <f t="shared" si="483"/>
        <v>0.4152441799</v>
      </c>
      <c r="E1635" s="206">
        <f t="shared" si="483"/>
        <v>0.4122595569</v>
      </c>
      <c r="F1635" s="206">
        <f t="shared" si="483"/>
        <v>0.4018659392</v>
      </c>
      <c r="G1635" s="206">
        <f t="shared" si="483"/>
        <v>0.3788226852</v>
      </c>
      <c r="H1635" s="206">
        <f t="shared" si="483"/>
        <v>0.3627377315</v>
      </c>
      <c r="I1635" s="206">
        <f t="shared" si="483"/>
        <v>0.3892163029</v>
      </c>
      <c r="J1635" s="206">
        <f t="shared" si="483"/>
        <v>0.3892163029</v>
      </c>
      <c r="K1635" s="206">
        <f t="shared" si="483"/>
        <v>0.3874986442</v>
      </c>
      <c r="L1635" s="206">
        <f t="shared" si="483"/>
        <v>0.3714136905</v>
      </c>
      <c r="M1635" s="206">
        <f t="shared" si="483"/>
        <v>0.3570463955</v>
      </c>
      <c r="N1635" s="206">
        <f t="shared" si="483"/>
        <v>0.5552213624</v>
      </c>
      <c r="O1635" s="5"/>
      <c r="P1635" s="5"/>
      <c r="Q1635" s="5"/>
      <c r="R1635" s="5"/>
      <c r="S1635" s="5"/>
      <c r="T1635" s="5"/>
      <c r="U1635" s="5"/>
      <c r="V1635" s="5"/>
      <c r="W1635" s="5"/>
      <c r="X1635" s="5"/>
      <c r="Y1635" s="5"/>
      <c r="Z1635" s="5"/>
    </row>
    <row r="1636" ht="12.0" customHeight="1">
      <c r="A1636" s="201" t="s">
        <v>699</v>
      </c>
      <c r="B1636" s="202"/>
      <c r="C1636" s="202"/>
      <c r="D1636" s="202"/>
      <c r="E1636" s="202"/>
      <c r="F1636" s="202"/>
      <c r="G1636" s="202"/>
      <c r="H1636" s="202"/>
      <c r="I1636" s="202"/>
      <c r="J1636" s="202"/>
      <c r="K1636" s="202"/>
      <c r="L1636" s="202"/>
      <c r="M1636" s="202"/>
      <c r="N1636" s="202"/>
      <c r="O1636" s="5"/>
      <c r="P1636" s="5"/>
      <c r="Q1636" s="5"/>
      <c r="R1636" s="5"/>
      <c r="S1636" s="5"/>
      <c r="T1636" s="5"/>
      <c r="U1636" s="5"/>
      <c r="V1636" s="5"/>
      <c r="W1636" s="5"/>
      <c r="X1636" s="5"/>
      <c r="Y1636" s="5"/>
      <c r="Z1636" s="5"/>
    </row>
    <row r="1637" ht="12.0" customHeight="1">
      <c r="A1637" s="201" t="s">
        <v>630</v>
      </c>
      <c r="B1637" s="201" t="s">
        <v>631</v>
      </c>
      <c r="C1637" s="201" t="s">
        <v>3</v>
      </c>
      <c r="D1637" s="201" t="s">
        <v>4</v>
      </c>
      <c r="E1637" s="201" t="s">
        <v>5</v>
      </c>
      <c r="F1637" s="201" t="s">
        <v>6</v>
      </c>
      <c r="G1637" s="201" t="s">
        <v>7</v>
      </c>
      <c r="H1637" s="201" t="s">
        <v>8</v>
      </c>
      <c r="I1637" s="201" t="s">
        <v>9</v>
      </c>
      <c r="J1637" s="201" t="s">
        <v>10</v>
      </c>
      <c r="K1637" s="201" t="s">
        <v>11</v>
      </c>
      <c r="L1637" s="201" t="s">
        <v>12</v>
      </c>
      <c r="M1637" s="201" t="s">
        <v>13</v>
      </c>
      <c r="N1637" s="201" t="s">
        <v>14</v>
      </c>
      <c r="O1637" s="5"/>
      <c r="P1637" s="5"/>
      <c r="Q1637" s="5"/>
      <c r="R1637" s="5"/>
      <c r="S1637" s="5"/>
      <c r="T1637" s="5"/>
      <c r="U1637" s="5"/>
      <c r="V1637" s="5"/>
      <c r="W1637" s="5"/>
      <c r="X1637" s="5"/>
      <c r="Y1637" s="5"/>
      <c r="Z1637" s="5"/>
    </row>
    <row r="1638" ht="12.0" customHeight="1">
      <c r="A1638" s="92" t="s">
        <v>632</v>
      </c>
      <c r="B1638" s="92" t="s">
        <v>633</v>
      </c>
      <c r="C1638" s="203">
        <f>SUM('2034'!B6:B9)+SUM('2034'!B17:B20)</f>
        <v>28105.46</v>
      </c>
      <c r="D1638" s="203">
        <f>SUM('2034'!C6:C9)+SUM('2034'!C17:C20)</f>
        <v>21432.01</v>
      </c>
      <c r="E1638" s="203">
        <f>SUM('2034'!D6:D9)+SUM('2034'!D17:D20)</f>
        <v>20030.995</v>
      </c>
      <c r="F1638" s="203">
        <f>SUM('2034'!E6:E9)+SUM('2034'!E17:E20)</f>
        <v>19154.03</v>
      </c>
      <c r="G1638" s="203">
        <f>SUM('2034'!F6:F9)+SUM('2034'!F17:F20)</f>
        <v>17924.15</v>
      </c>
      <c r="H1638" s="203">
        <f>SUM('2034'!G6:G9)+SUM('2034'!G17:G20)</f>
        <v>17571.235</v>
      </c>
      <c r="I1638" s="203">
        <f>SUM('2034'!H6:H9)+SUM('2034'!H17:H20)</f>
        <v>18801.115</v>
      </c>
      <c r="J1638" s="203">
        <f>SUM('2034'!I6:I9)+SUM('2034'!I17:I20)</f>
        <v>18801.115</v>
      </c>
      <c r="K1638" s="203">
        <f>SUM('2034'!J6:J9)+SUM('2034'!J17:J20)</f>
        <v>18801.115</v>
      </c>
      <c r="L1638" s="203">
        <f>SUM('2034'!K6:K9)+SUM('2034'!K17:K20)</f>
        <v>18448.2</v>
      </c>
      <c r="M1638" s="203">
        <f>SUM('2034'!L6:L9)+SUM('2034'!L17:L20)</f>
        <v>18095.285</v>
      </c>
      <c r="N1638" s="203">
        <f>SUM('2034'!M6:M9)+SUM('2034'!M17:M20)</f>
        <v>28811.29</v>
      </c>
      <c r="O1638" s="5"/>
      <c r="P1638" s="5"/>
      <c r="Q1638" s="5"/>
      <c r="R1638" s="5"/>
      <c r="S1638" s="5"/>
      <c r="T1638" s="5"/>
      <c r="U1638" s="5"/>
      <c r="V1638" s="5"/>
      <c r="W1638" s="5"/>
      <c r="X1638" s="5"/>
      <c r="Y1638" s="5"/>
      <c r="Z1638" s="5"/>
    </row>
    <row r="1639" ht="12.0" customHeight="1">
      <c r="A1639" s="5"/>
      <c r="B1639" s="92" t="s">
        <v>634</v>
      </c>
      <c r="C1639" s="204">
        <f>C1638/Parametros!$B$37</f>
        <v>1405.273</v>
      </c>
      <c r="D1639" s="204">
        <f>D1638/Parametros!$B$37</f>
        <v>1071.6005</v>
      </c>
      <c r="E1639" s="204">
        <f>E1638/Parametros!$B$37</f>
        <v>1001.54975</v>
      </c>
      <c r="F1639" s="204">
        <f>F1638/Parametros!$B$37</f>
        <v>957.7015</v>
      </c>
      <c r="G1639" s="204">
        <f>G1638/Parametros!$B$37</f>
        <v>896.2075</v>
      </c>
      <c r="H1639" s="204">
        <f>H1638/Parametros!$B$37</f>
        <v>878.56175</v>
      </c>
      <c r="I1639" s="204">
        <f>I1638/Parametros!$B$37</f>
        <v>940.05575</v>
      </c>
      <c r="J1639" s="204">
        <f>J1638/Parametros!$B$37</f>
        <v>940.05575</v>
      </c>
      <c r="K1639" s="204">
        <f>K1638/Parametros!$B$37</f>
        <v>940.05575</v>
      </c>
      <c r="L1639" s="204">
        <f>L1638/Parametros!$B$37</f>
        <v>922.41</v>
      </c>
      <c r="M1639" s="204">
        <f>M1638/Parametros!$B$37</f>
        <v>904.76425</v>
      </c>
      <c r="N1639" s="204">
        <f>N1638/Parametros!$B$37</f>
        <v>1440.5645</v>
      </c>
      <c r="O1639" s="5"/>
      <c r="P1639" s="5"/>
      <c r="Q1639" s="5"/>
      <c r="R1639" s="5"/>
      <c r="S1639" s="5"/>
      <c r="T1639" s="5"/>
      <c r="U1639" s="5"/>
      <c r="V1639" s="5"/>
      <c r="W1639" s="5"/>
      <c r="X1639" s="5"/>
      <c r="Y1639" s="5"/>
      <c r="Z1639" s="5"/>
    </row>
    <row r="1640" ht="12.0" customHeight="1">
      <c r="A1640" s="5"/>
      <c r="B1640" s="92" t="s">
        <v>635</v>
      </c>
      <c r="C1640" s="204">
        <f>C1639/Parametros!$J$37</f>
        <v>187.3697333</v>
      </c>
      <c r="D1640" s="204">
        <f>D1639/Parametros!$J$37</f>
        <v>142.8800667</v>
      </c>
      <c r="E1640" s="204">
        <f>E1639/Parametros!$J$37</f>
        <v>133.5399667</v>
      </c>
      <c r="F1640" s="204">
        <f>F1639/Parametros!$J$37</f>
        <v>127.6935333</v>
      </c>
      <c r="G1640" s="204">
        <f>G1639/Parametros!$J$37</f>
        <v>119.4943333</v>
      </c>
      <c r="H1640" s="204">
        <f>H1639/Parametros!$J$37</f>
        <v>117.1415667</v>
      </c>
      <c r="I1640" s="204">
        <f>I1639/Parametros!$J$37</f>
        <v>125.3407667</v>
      </c>
      <c r="J1640" s="204">
        <f>J1639/Parametros!$J$37</f>
        <v>125.3407667</v>
      </c>
      <c r="K1640" s="204">
        <f>K1639/Parametros!$J$37</f>
        <v>125.3407667</v>
      </c>
      <c r="L1640" s="204">
        <f>L1639/Parametros!$J$37</f>
        <v>122.988</v>
      </c>
      <c r="M1640" s="204">
        <f>M1639/Parametros!$J$37</f>
        <v>120.6352333</v>
      </c>
      <c r="N1640" s="204">
        <f>N1639/Parametros!$J$37</f>
        <v>192.0752667</v>
      </c>
      <c r="O1640" s="5"/>
      <c r="P1640" s="5"/>
      <c r="Q1640" s="5"/>
      <c r="R1640" s="5"/>
      <c r="S1640" s="5"/>
      <c r="T1640" s="5"/>
      <c r="U1640" s="5"/>
      <c r="V1640" s="5"/>
      <c r="W1640" s="5"/>
      <c r="X1640" s="5"/>
      <c r="Y1640" s="5"/>
      <c r="Z1640" s="5"/>
    </row>
    <row r="1641" ht="12.0" customHeight="1">
      <c r="A1641" s="92" t="s">
        <v>636</v>
      </c>
      <c r="B1641" s="5"/>
      <c r="C1641" s="204">
        <f t="shared" ref="C1641:N1641" si="484">C1640</f>
        <v>187.3697333</v>
      </c>
      <c r="D1641" s="204">
        <f t="shared" si="484"/>
        <v>142.8800667</v>
      </c>
      <c r="E1641" s="204">
        <f t="shared" si="484"/>
        <v>133.5399667</v>
      </c>
      <c r="F1641" s="204">
        <f t="shared" si="484"/>
        <v>127.6935333</v>
      </c>
      <c r="G1641" s="204">
        <f t="shared" si="484"/>
        <v>119.4943333</v>
      </c>
      <c r="H1641" s="204">
        <f t="shared" si="484"/>
        <v>117.1415667</v>
      </c>
      <c r="I1641" s="204">
        <f t="shared" si="484"/>
        <v>125.3407667</v>
      </c>
      <c r="J1641" s="204">
        <f t="shared" si="484"/>
        <v>125.3407667</v>
      </c>
      <c r="K1641" s="204">
        <f t="shared" si="484"/>
        <v>125.3407667</v>
      </c>
      <c r="L1641" s="204">
        <f t="shared" si="484"/>
        <v>122.988</v>
      </c>
      <c r="M1641" s="204">
        <f t="shared" si="484"/>
        <v>120.6352333</v>
      </c>
      <c r="N1641" s="204">
        <f t="shared" si="484"/>
        <v>192.0752667</v>
      </c>
      <c r="O1641" s="5"/>
      <c r="P1641" s="5"/>
      <c r="Q1641" s="5"/>
      <c r="R1641" s="5"/>
      <c r="S1641" s="5"/>
      <c r="T1641" s="5"/>
      <c r="U1641" s="5"/>
      <c r="V1641" s="5"/>
      <c r="W1641" s="5"/>
      <c r="X1641" s="5"/>
      <c r="Y1641" s="5"/>
      <c r="Z1641" s="5"/>
    </row>
    <row r="1642" ht="12.0" customHeight="1">
      <c r="A1642" s="92" t="s">
        <v>637</v>
      </c>
      <c r="B1642" s="5"/>
      <c r="C1642" s="205">
        <f>'Resumen Capacidad'!$J$129</f>
        <v>48.81355932</v>
      </c>
      <c r="D1642" s="205">
        <f>'Resumen Capacidad'!$J$129</f>
        <v>48.81355932</v>
      </c>
      <c r="E1642" s="205">
        <f>'Resumen Capacidad'!$J$129</f>
        <v>48.81355932</v>
      </c>
      <c r="F1642" s="205">
        <f>'Resumen Capacidad'!$J$129</f>
        <v>48.81355932</v>
      </c>
      <c r="G1642" s="205">
        <f>'Resumen Capacidad'!$J$129</f>
        <v>48.81355932</v>
      </c>
      <c r="H1642" s="205">
        <f>'Resumen Capacidad'!$J$129</f>
        <v>48.81355932</v>
      </c>
      <c r="I1642" s="205">
        <f>'Resumen Capacidad'!$J$129</f>
        <v>48.81355932</v>
      </c>
      <c r="J1642" s="205">
        <f>'Resumen Capacidad'!$J$129</f>
        <v>48.81355932</v>
      </c>
      <c r="K1642" s="205">
        <f>'Resumen Capacidad'!$J$129</f>
        <v>48.81355932</v>
      </c>
      <c r="L1642" s="205">
        <f>'Resumen Capacidad'!$J$129</f>
        <v>48.81355932</v>
      </c>
      <c r="M1642" s="205">
        <f>'Resumen Capacidad'!$J$129</f>
        <v>48.81355932</v>
      </c>
      <c r="N1642" s="205">
        <f>'Resumen Capacidad'!$J$129</f>
        <v>48.81355932</v>
      </c>
      <c r="O1642" s="5"/>
      <c r="P1642" s="5"/>
      <c r="Q1642" s="5"/>
      <c r="R1642" s="5"/>
      <c r="S1642" s="5"/>
      <c r="T1642" s="5"/>
      <c r="U1642" s="5"/>
      <c r="V1642" s="5"/>
      <c r="W1642" s="5"/>
      <c r="X1642" s="5"/>
      <c r="Y1642" s="5"/>
      <c r="Z1642" s="5"/>
    </row>
    <row r="1643" ht="12.0" customHeight="1">
      <c r="A1643" s="92" t="s">
        <v>640</v>
      </c>
      <c r="B1643" s="5"/>
      <c r="C1643" s="204">
        <f>'Resumen Capacidad'!$J$47*'Resumen Capacidad'!$J$83</f>
        <v>6</v>
      </c>
      <c r="D1643" s="204">
        <f>'Resumen Capacidad'!$J$47*'Resumen Capacidad'!$J$83</f>
        <v>6</v>
      </c>
      <c r="E1643" s="204">
        <f>'Resumen Capacidad'!$J$47*'Resumen Capacidad'!$J$83</f>
        <v>6</v>
      </c>
      <c r="F1643" s="204">
        <f>'Resumen Capacidad'!$J$47*'Resumen Capacidad'!$J$83</f>
        <v>6</v>
      </c>
      <c r="G1643" s="204">
        <f>'Resumen Capacidad'!$J$47*'Resumen Capacidad'!$J$83</f>
        <v>6</v>
      </c>
      <c r="H1643" s="204">
        <f>'Resumen Capacidad'!$J$47*'Resumen Capacidad'!$J$83</f>
        <v>6</v>
      </c>
      <c r="I1643" s="204">
        <f>'Resumen Capacidad'!$J$47*'Resumen Capacidad'!$J$83</f>
        <v>6</v>
      </c>
      <c r="J1643" s="204">
        <f>'Resumen Capacidad'!$J$47*'Resumen Capacidad'!$J$83</f>
        <v>6</v>
      </c>
      <c r="K1643" s="204">
        <f>'Resumen Capacidad'!$J$47*'Resumen Capacidad'!$J$83</f>
        <v>6</v>
      </c>
      <c r="L1643" s="204">
        <f>'Resumen Capacidad'!$J$47*'Resumen Capacidad'!$J$83</f>
        <v>6</v>
      </c>
      <c r="M1643" s="204">
        <f>'Resumen Capacidad'!$J$47*'Resumen Capacidad'!$J$83</f>
        <v>6</v>
      </c>
      <c r="N1643" s="204">
        <f>'Resumen Capacidad'!$J$47*'Resumen Capacidad'!$J$83</f>
        <v>6</v>
      </c>
      <c r="O1643" s="5"/>
      <c r="P1643" s="5"/>
      <c r="Q1643" s="5"/>
      <c r="R1643" s="5"/>
      <c r="S1643" s="5"/>
      <c r="T1643" s="5"/>
      <c r="U1643" s="5"/>
      <c r="V1643" s="5"/>
      <c r="W1643" s="5"/>
      <c r="X1643" s="5"/>
      <c r="Y1643" s="5"/>
      <c r="Z1643" s="5"/>
    </row>
    <row r="1644" ht="12.0" customHeight="1">
      <c r="A1644" s="92" t="s">
        <v>642</v>
      </c>
      <c r="B1644" s="5"/>
      <c r="C1644" s="204">
        <f t="shared" ref="C1644:N1644" si="485">C1642*C1643</f>
        <v>292.8813559</v>
      </c>
      <c r="D1644" s="204">
        <f t="shared" si="485"/>
        <v>292.8813559</v>
      </c>
      <c r="E1644" s="204">
        <f t="shared" si="485"/>
        <v>292.8813559</v>
      </c>
      <c r="F1644" s="204">
        <f t="shared" si="485"/>
        <v>292.8813559</v>
      </c>
      <c r="G1644" s="204">
        <f t="shared" si="485"/>
        <v>292.8813559</v>
      </c>
      <c r="H1644" s="204">
        <f t="shared" si="485"/>
        <v>292.8813559</v>
      </c>
      <c r="I1644" s="204">
        <f t="shared" si="485"/>
        <v>292.8813559</v>
      </c>
      <c r="J1644" s="204">
        <f t="shared" si="485"/>
        <v>292.8813559</v>
      </c>
      <c r="K1644" s="204">
        <f t="shared" si="485"/>
        <v>292.8813559</v>
      </c>
      <c r="L1644" s="204">
        <f t="shared" si="485"/>
        <v>292.8813559</v>
      </c>
      <c r="M1644" s="204">
        <f t="shared" si="485"/>
        <v>292.8813559</v>
      </c>
      <c r="N1644" s="204">
        <f t="shared" si="485"/>
        <v>292.8813559</v>
      </c>
      <c r="O1644" s="5"/>
      <c r="P1644" s="5"/>
      <c r="Q1644" s="5"/>
      <c r="R1644" s="5"/>
      <c r="S1644" s="5"/>
      <c r="T1644" s="5"/>
      <c r="U1644" s="5"/>
      <c r="V1644" s="5"/>
      <c r="W1644" s="5"/>
      <c r="X1644" s="5"/>
      <c r="Y1644" s="5"/>
      <c r="Z1644" s="5"/>
    </row>
    <row r="1645" ht="12.0" customHeight="1">
      <c r="A1645" s="92" t="s">
        <v>643</v>
      </c>
      <c r="B1645" s="5"/>
      <c r="C1645" s="206">
        <f t="shared" ref="C1645:N1645" si="486">IF(C1644=0,0,C1641/C1644)</f>
        <v>0.639746196</v>
      </c>
      <c r="D1645" s="206">
        <f t="shared" si="486"/>
        <v>0.4878428202</v>
      </c>
      <c r="E1645" s="206">
        <f t="shared" si="486"/>
        <v>0.4559524325</v>
      </c>
      <c r="F1645" s="206">
        <f t="shared" si="486"/>
        <v>0.435990652</v>
      </c>
      <c r="G1645" s="206">
        <f t="shared" si="486"/>
        <v>0.4079956983</v>
      </c>
      <c r="H1645" s="206">
        <f t="shared" si="486"/>
        <v>0.3999625251</v>
      </c>
      <c r="I1645" s="206">
        <f t="shared" si="486"/>
        <v>0.4279574788</v>
      </c>
      <c r="J1645" s="206">
        <f t="shared" si="486"/>
        <v>0.4279574788</v>
      </c>
      <c r="K1645" s="206">
        <f t="shared" si="486"/>
        <v>0.4279574788</v>
      </c>
      <c r="L1645" s="206">
        <f t="shared" si="486"/>
        <v>0.4199243056</v>
      </c>
      <c r="M1645" s="206">
        <f t="shared" si="486"/>
        <v>0.4118911323</v>
      </c>
      <c r="N1645" s="206">
        <f t="shared" si="486"/>
        <v>0.6558125424</v>
      </c>
      <c r="O1645" s="5"/>
      <c r="P1645" s="5"/>
      <c r="Q1645" s="5"/>
      <c r="R1645" s="5"/>
      <c r="S1645" s="5"/>
      <c r="T1645" s="5"/>
      <c r="U1645" s="5"/>
      <c r="V1645" s="5"/>
      <c r="W1645" s="5"/>
      <c r="X1645" s="5"/>
      <c r="Y1645" s="5"/>
      <c r="Z1645" s="5"/>
    </row>
    <row r="1646" ht="12.0" customHeight="1">
      <c r="A1646" s="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row>
    <row r="1647" ht="12.0" customHeight="1">
      <c r="A1647" s="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row>
    <row r="1648" ht="12.0" customHeight="1">
      <c r="A1648" s="207">
        <v>2035.0</v>
      </c>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row>
    <row r="1649" ht="12.0" customHeight="1">
      <c r="A1649" s="201" t="s">
        <v>629</v>
      </c>
      <c r="B1649" s="202"/>
      <c r="C1649" s="202"/>
      <c r="D1649" s="202"/>
      <c r="E1649" s="202"/>
      <c r="F1649" s="202"/>
      <c r="G1649" s="202"/>
      <c r="H1649" s="202"/>
      <c r="I1649" s="202"/>
      <c r="J1649" s="202"/>
      <c r="K1649" s="202"/>
      <c r="L1649" s="202"/>
      <c r="M1649" s="202"/>
      <c r="N1649" s="202"/>
      <c r="O1649" s="5"/>
      <c r="P1649" s="5"/>
      <c r="Q1649" s="5"/>
      <c r="R1649" s="5"/>
      <c r="S1649" s="5"/>
      <c r="T1649" s="5"/>
      <c r="U1649" s="5"/>
      <c r="V1649" s="5"/>
      <c r="W1649" s="5"/>
      <c r="X1649" s="5"/>
      <c r="Y1649" s="5"/>
      <c r="Z1649" s="5"/>
    </row>
    <row r="1650" ht="12.0" customHeight="1">
      <c r="A1650" s="201" t="s">
        <v>630</v>
      </c>
      <c r="B1650" s="201" t="s">
        <v>631</v>
      </c>
      <c r="C1650" s="201" t="s">
        <v>3</v>
      </c>
      <c r="D1650" s="201" t="s">
        <v>4</v>
      </c>
      <c r="E1650" s="201" t="s">
        <v>5</v>
      </c>
      <c r="F1650" s="201" t="s">
        <v>6</v>
      </c>
      <c r="G1650" s="201" t="s">
        <v>7</v>
      </c>
      <c r="H1650" s="201" t="s">
        <v>8</v>
      </c>
      <c r="I1650" s="201" t="s">
        <v>9</v>
      </c>
      <c r="J1650" s="201" t="s">
        <v>10</v>
      </c>
      <c r="K1650" s="201" t="s">
        <v>11</v>
      </c>
      <c r="L1650" s="201" t="s">
        <v>12</v>
      </c>
      <c r="M1650" s="201" t="s">
        <v>13</v>
      </c>
      <c r="N1650" s="201" t="s">
        <v>14</v>
      </c>
      <c r="O1650" s="5"/>
      <c r="P1650" s="5"/>
      <c r="Q1650" s="5"/>
      <c r="R1650" s="5"/>
      <c r="S1650" s="5"/>
      <c r="T1650" s="5"/>
      <c r="U1650" s="5"/>
      <c r="V1650" s="5"/>
      <c r="W1650" s="5"/>
      <c r="X1650" s="5"/>
      <c r="Y1650" s="5"/>
      <c r="Z1650" s="5"/>
    </row>
    <row r="1651" ht="12.0" customHeight="1">
      <c r="A1651" s="92" t="s">
        <v>632</v>
      </c>
      <c r="B1651" s="92" t="s">
        <v>633</v>
      </c>
      <c r="C1651" s="203">
        <f>SUM('2035'!B6:B9)+SUM('2035'!B17:B20)</f>
        <v>32475.72</v>
      </c>
      <c r="D1651" s="203">
        <f>SUM('2035'!C6:C9)+SUM('2035'!C17:C20)</f>
        <v>24764.85</v>
      </c>
      <c r="E1651" s="203">
        <f>SUM('2035'!D6:D9)+SUM('2035'!D17:D20)</f>
        <v>23146.7</v>
      </c>
      <c r="F1651" s="203">
        <f>SUM('2035'!E6:E9)+SUM('2035'!E17:E20)</f>
        <v>22133.595</v>
      </c>
      <c r="G1651" s="203">
        <f>SUM('2035'!F6:F9)+SUM('2035'!F17:F20)</f>
        <v>20712.43</v>
      </c>
      <c r="H1651" s="203">
        <f>SUM('2035'!G6:G9)+SUM('2035'!G17:G20)</f>
        <v>20304.37</v>
      </c>
      <c r="I1651" s="203">
        <f>SUM('2035'!H6:H9)+SUM('2035'!H17:H20)</f>
        <v>21725.535</v>
      </c>
      <c r="J1651" s="203">
        <f>SUM('2035'!I6:I9)+SUM('2035'!I17:I20)</f>
        <v>21725.535</v>
      </c>
      <c r="K1651" s="203">
        <f>SUM('2035'!J6:J9)+SUM('2035'!J17:J20)</f>
        <v>21725.535</v>
      </c>
      <c r="L1651" s="203">
        <f>SUM('2035'!K6:K9)+SUM('2035'!K17:K20)</f>
        <v>21317.475</v>
      </c>
      <c r="M1651" s="203">
        <f>SUM('2035'!L6:L9)+SUM('2035'!L17:L20)</f>
        <v>20909.415</v>
      </c>
      <c r="N1651" s="203">
        <f>SUM('2035'!M6:M9)+SUM('2035'!M17:M20)</f>
        <v>33291.84</v>
      </c>
      <c r="O1651" s="5"/>
      <c r="P1651" s="5"/>
      <c r="Q1651" s="5"/>
      <c r="R1651" s="5"/>
      <c r="S1651" s="5"/>
      <c r="T1651" s="5"/>
      <c r="U1651" s="5"/>
      <c r="V1651" s="5"/>
      <c r="W1651" s="5"/>
      <c r="X1651" s="5"/>
      <c r="Y1651" s="5"/>
      <c r="Z1651" s="5"/>
    </row>
    <row r="1652" ht="12.0" customHeight="1">
      <c r="A1652" s="5"/>
      <c r="B1652" s="92" t="s">
        <v>634</v>
      </c>
      <c r="C1652" s="204">
        <f>C1651/Parametros!$B$37</f>
        <v>1623.786</v>
      </c>
      <c r="D1652" s="204">
        <f>D1651/Parametros!$B$37</f>
        <v>1238.2425</v>
      </c>
      <c r="E1652" s="204">
        <f>E1651/Parametros!$B$37</f>
        <v>1157.335</v>
      </c>
      <c r="F1652" s="204">
        <f>F1651/Parametros!$B$37</f>
        <v>1106.67975</v>
      </c>
      <c r="G1652" s="204">
        <f>G1651/Parametros!$B$37</f>
        <v>1035.6215</v>
      </c>
      <c r="H1652" s="204">
        <f>H1651/Parametros!$B$37</f>
        <v>1015.2185</v>
      </c>
      <c r="I1652" s="204">
        <f>I1651/Parametros!$B$37</f>
        <v>1086.27675</v>
      </c>
      <c r="J1652" s="204">
        <f>J1651/Parametros!$B$37</f>
        <v>1086.27675</v>
      </c>
      <c r="K1652" s="204">
        <f>K1651/Parametros!$B$37</f>
        <v>1086.27675</v>
      </c>
      <c r="L1652" s="204">
        <f>L1651/Parametros!$B$37</f>
        <v>1065.87375</v>
      </c>
      <c r="M1652" s="204">
        <f>M1651/Parametros!$B$37</f>
        <v>1045.47075</v>
      </c>
      <c r="N1652" s="204">
        <f>N1651/Parametros!$B$37</f>
        <v>1664.592</v>
      </c>
      <c r="O1652" s="5"/>
      <c r="P1652" s="5"/>
      <c r="Q1652" s="5"/>
      <c r="R1652" s="5"/>
      <c r="S1652" s="5"/>
      <c r="T1652" s="5"/>
      <c r="U1652" s="5"/>
      <c r="V1652" s="5"/>
      <c r="W1652" s="5"/>
      <c r="X1652" s="5"/>
      <c r="Y1652" s="5"/>
      <c r="Z1652" s="5"/>
    </row>
    <row r="1653" ht="12.0" customHeight="1">
      <c r="A1653" s="5"/>
      <c r="B1653" s="92" t="s">
        <v>635</v>
      </c>
      <c r="C1653" s="204">
        <f>C1652/Parametros!$J$37</f>
        <v>216.5048</v>
      </c>
      <c r="D1653" s="204">
        <f>D1652/Parametros!$J$37</f>
        <v>165.099</v>
      </c>
      <c r="E1653" s="204">
        <f>E1652/Parametros!$J$37</f>
        <v>154.3113333</v>
      </c>
      <c r="F1653" s="204">
        <f>F1652/Parametros!$J$37</f>
        <v>147.5573</v>
      </c>
      <c r="G1653" s="204">
        <f>G1652/Parametros!$J$37</f>
        <v>138.0828667</v>
      </c>
      <c r="H1653" s="204">
        <f>H1652/Parametros!$J$37</f>
        <v>135.3624667</v>
      </c>
      <c r="I1653" s="204">
        <f>I1652/Parametros!$J$37</f>
        <v>144.8369</v>
      </c>
      <c r="J1653" s="204">
        <f>J1652/Parametros!$J$37</f>
        <v>144.8369</v>
      </c>
      <c r="K1653" s="204">
        <f>K1652/Parametros!$J$37</f>
        <v>144.8369</v>
      </c>
      <c r="L1653" s="204">
        <f>L1652/Parametros!$J$37</f>
        <v>142.1165</v>
      </c>
      <c r="M1653" s="204">
        <f>M1652/Parametros!$J$37</f>
        <v>139.3961</v>
      </c>
      <c r="N1653" s="204">
        <f>N1652/Parametros!$J$37</f>
        <v>221.9456</v>
      </c>
      <c r="O1653" s="5"/>
      <c r="P1653" s="5"/>
      <c r="Q1653" s="5"/>
      <c r="R1653" s="5"/>
      <c r="S1653" s="5"/>
      <c r="T1653" s="5"/>
      <c r="U1653" s="5"/>
      <c r="V1653" s="5"/>
      <c r="W1653" s="5"/>
      <c r="X1653" s="5"/>
      <c r="Y1653" s="5"/>
      <c r="Z1653" s="5"/>
    </row>
    <row r="1654" ht="12.0" customHeight="1">
      <c r="A1654" s="92" t="s">
        <v>636</v>
      </c>
      <c r="B1654" s="5"/>
      <c r="C1654" s="204">
        <f t="shared" ref="C1654:N1654" si="487">C1653</f>
        <v>216.5048</v>
      </c>
      <c r="D1654" s="204">
        <f t="shared" si="487"/>
        <v>165.099</v>
      </c>
      <c r="E1654" s="204">
        <f t="shared" si="487"/>
        <v>154.3113333</v>
      </c>
      <c r="F1654" s="204">
        <f t="shared" si="487"/>
        <v>147.5573</v>
      </c>
      <c r="G1654" s="204">
        <f t="shared" si="487"/>
        <v>138.0828667</v>
      </c>
      <c r="H1654" s="204">
        <f t="shared" si="487"/>
        <v>135.3624667</v>
      </c>
      <c r="I1654" s="204">
        <f t="shared" si="487"/>
        <v>144.8369</v>
      </c>
      <c r="J1654" s="204">
        <f t="shared" si="487"/>
        <v>144.8369</v>
      </c>
      <c r="K1654" s="204">
        <f t="shared" si="487"/>
        <v>144.8369</v>
      </c>
      <c r="L1654" s="204">
        <f t="shared" si="487"/>
        <v>142.1165</v>
      </c>
      <c r="M1654" s="204">
        <f t="shared" si="487"/>
        <v>139.3961</v>
      </c>
      <c r="N1654" s="204">
        <f t="shared" si="487"/>
        <v>221.9456</v>
      </c>
      <c r="O1654" s="5"/>
      <c r="P1654" s="5"/>
      <c r="Q1654" s="5"/>
      <c r="R1654" s="5"/>
      <c r="S1654" s="5"/>
      <c r="T1654" s="5"/>
      <c r="U1654" s="5"/>
      <c r="V1654" s="5"/>
      <c r="W1654" s="5"/>
      <c r="X1654" s="5"/>
      <c r="Y1654" s="5"/>
      <c r="Z1654" s="5"/>
    </row>
    <row r="1655" ht="12.0" customHeight="1">
      <c r="A1655" s="92" t="s">
        <v>637</v>
      </c>
      <c r="B1655" s="5"/>
      <c r="C1655" s="205">
        <f>'Resumen Capacidad'!$K$111</f>
        <v>68</v>
      </c>
      <c r="D1655" s="205">
        <f>'Resumen Capacidad'!$K$111</f>
        <v>68</v>
      </c>
      <c r="E1655" s="205">
        <f>'Resumen Capacidad'!$K$111</f>
        <v>68</v>
      </c>
      <c r="F1655" s="205">
        <f>'Resumen Capacidad'!$K$111</f>
        <v>68</v>
      </c>
      <c r="G1655" s="205">
        <f>'Resumen Capacidad'!$K$111</f>
        <v>68</v>
      </c>
      <c r="H1655" s="205">
        <f>'Resumen Capacidad'!$K$111</f>
        <v>68</v>
      </c>
      <c r="I1655" s="205">
        <f>'Resumen Capacidad'!$K$111</f>
        <v>68</v>
      </c>
      <c r="J1655" s="205">
        <f>'Resumen Capacidad'!$K$111</f>
        <v>68</v>
      </c>
      <c r="K1655" s="205">
        <f>'Resumen Capacidad'!$K$111</f>
        <v>68</v>
      </c>
      <c r="L1655" s="205">
        <f>'Resumen Capacidad'!$K$111</f>
        <v>68</v>
      </c>
      <c r="M1655" s="205">
        <f>'Resumen Capacidad'!$K$111</f>
        <v>68</v>
      </c>
      <c r="N1655" s="205">
        <f>'Resumen Capacidad'!$K$111</f>
        <v>68</v>
      </c>
      <c r="O1655" s="5"/>
      <c r="P1655" s="5"/>
      <c r="Q1655" s="5"/>
      <c r="R1655" s="5"/>
      <c r="S1655" s="5"/>
      <c r="T1655" s="5"/>
      <c r="U1655" s="5"/>
      <c r="V1655" s="5"/>
      <c r="W1655" s="5"/>
      <c r="X1655" s="5"/>
      <c r="Y1655" s="5"/>
      <c r="Z1655" s="5"/>
    </row>
    <row r="1656" ht="12.0" customHeight="1">
      <c r="A1656" s="92" t="s">
        <v>640</v>
      </c>
      <c r="B1656" s="5"/>
      <c r="C1656" s="204">
        <f>'Resumen Capacidad'!$K$29*'Resumen Capacidad'!$K$65</f>
        <v>4</v>
      </c>
      <c r="D1656" s="204">
        <f>'Resumen Capacidad'!$K$29*'Resumen Capacidad'!$K$65</f>
        <v>4</v>
      </c>
      <c r="E1656" s="204">
        <f>'Resumen Capacidad'!$K$29*'Resumen Capacidad'!$K$65</f>
        <v>4</v>
      </c>
      <c r="F1656" s="204">
        <f>'Resumen Capacidad'!$K$29*'Resumen Capacidad'!$K$65</f>
        <v>4</v>
      </c>
      <c r="G1656" s="204">
        <f>'Resumen Capacidad'!$K$29*'Resumen Capacidad'!$K$65</f>
        <v>4</v>
      </c>
      <c r="H1656" s="204">
        <f>'Resumen Capacidad'!$K$29*'Resumen Capacidad'!$K$65</f>
        <v>4</v>
      </c>
      <c r="I1656" s="204">
        <f>'Resumen Capacidad'!$K$29*'Resumen Capacidad'!$K$65</f>
        <v>4</v>
      </c>
      <c r="J1656" s="204">
        <f>'Resumen Capacidad'!$K$29*'Resumen Capacidad'!$K$65</f>
        <v>4</v>
      </c>
      <c r="K1656" s="204">
        <f>'Resumen Capacidad'!$K$29*'Resumen Capacidad'!$K$65</f>
        <v>4</v>
      </c>
      <c r="L1656" s="204">
        <f>'Resumen Capacidad'!$K$29*'Resumen Capacidad'!$K$65</f>
        <v>4</v>
      </c>
      <c r="M1656" s="204">
        <f>'Resumen Capacidad'!$K$29*'Resumen Capacidad'!$K$65</f>
        <v>4</v>
      </c>
      <c r="N1656" s="204">
        <f>'Resumen Capacidad'!$K$29*'Resumen Capacidad'!$K$65</f>
        <v>4</v>
      </c>
      <c r="O1656" s="5"/>
      <c r="P1656" s="5"/>
      <c r="Q1656" s="5"/>
      <c r="R1656" s="5"/>
      <c r="S1656" s="5"/>
      <c r="T1656" s="5"/>
      <c r="U1656" s="5"/>
      <c r="V1656" s="5"/>
      <c r="W1656" s="5"/>
      <c r="X1656" s="5"/>
      <c r="Y1656" s="5"/>
      <c r="Z1656" s="5"/>
    </row>
    <row r="1657" ht="12.0" customHeight="1">
      <c r="A1657" s="92" t="s">
        <v>642</v>
      </c>
      <c r="B1657" s="5"/>
      <c r="C1657" s="204">
        <f t="shared" ref="C1657:N1657" si="488">C1655*C1656</f>
        <v>272</v>
      </c>
      <c r="D1657" s="204">
        <f t="shared" si="488"/>
        <v>272</v>
      </c>
      <c r="E1657" s="204">
        <f t="shared" si="488"/>
        <v>272</v>
      </c>
      <c r="F1657" s="204">
        <f t="shared" si="488"/>
        <v>272</v>
      </c>
      <c r="G1657" s="204">
        <f t="shared" si="488"/>
        <v>272</v>
      </c>
      <c r="H1657" s="204">
        <f t="shared" si="488"/>
        <v>272</v>
      </c>
      <c r="I1657" s="204">
        <f t="shared" si="488"/>
        <v>272</v>
      </c>
      <c r="J1657" s="204">
        <f t="shared" si="488"/>
        <v>272</v>
      </c>
      <c r="K1657" s="204">
        <f t="shared" si="488"/>
        <v>272</v>
      </c>
      <c r="L1657" s="204">
        <f t="shared" si="488"/>
        <v>272</v>
      </c>
      <c r="M1657" s="204">
        <f t="shared" si="488"/>
        <v>272</v>
      </c>
      <c r="N1657" s="204">
        <f t="shared" si="488"/>
        <v>272</v>
      </c>
      <c r="O1657" s="5"/>
      <c r="P1657" s="5"/>
      <c r="Q1657" s="5"/>
      <c r="R1657" s="5"/>
      <c r="S1657" s="5"/>
      <c r="T1657" s="5"/>
      <c r="U1657" s="5"/>
      <c r="V1657" s="5"/>
      <c r="W1657" s="5"/>
      <c r="X1657" s="5"/>
      <c r="Y1657" s="5"/>
      <c r="Z1657" s="5"/>
    </row>
    <row r="1658" ht="12.0" customHeight="1">
      <c r="A1658" s="92" t="s">
        <v>643</v>
      </c>
      <c r="B1658" s="5"/>
      <c r="C1658" s="206">
        <f t="shared" ref="C1658:N1658" si="489">IF(C1657=0,0,C1654/C1657)</f>
        <v>0.7959735294</v>
      </c>
      <c r="D1658" s="206">
        <f t="shared" si="489"/>
        <v>0.6069816176</v>
      </c>
      <c r="E1658" s="206">
        <f t="shared" si="489"/>
        <v>0.5673210784</v>
      </c>
      <c r="F1658" s="206">
        <f t="shared" si="489"/>
        <v>0.5424900735</v>
      </c>
      <c r="G1658" s="206">
        <f t="shared" si="489"/>
        <v>0.507657598</v>
      </c>
      <c r="H1658" s="206">
        <f t="shared" si="489"/>
        <v>0.4976561275</v>
      </c>
      <c r="I1658" s="206">
        <f t="shared" si="489"/>
        <v>0.5324886029</v>
      </c>
      <c r="J1658" s="206">
        <f t="shared" si="489"/>
        <v>0.5324886029</v>
      </c>
      <c r="K1658" s="206">
        <f t="shared" si="489"/>
        <v>0.5324886029</v>
      </c>
      <c r="L1658" s="206">
        <f t="shared" si="489"/>
        <v>0.5224871324</v>
      </c>
      <c r="M1658" s="206">
        <f t="shared" si="489"/>
        <v>0.5124856618</v>
      </c>
      <c r="N1658" s="206">
        <f t="shared" si="489"/>
        <v>0.8159764706</v>
      </c>
      <c r="O1658" s="5"/>
      <c r="P1658" s="5"/>
      <c r="Q1658" s="5"/>
      <c r="R1658" s="5"/>
      <c r="S1658" s="5"/>
      <c r="T1658" s="5"/>
      <c r="U1658" s="5"/>
      <c r="V1658" s="5"/>
      <c r="W1658" s="5"/>
      <c r="X1658" s="5"/>
      <c r="Y1658" s="5"/>
      <c r="Z1658" s="5"/>
    </row>
    <row r="1659" ht="12.0" customHeight="1">
      <c r="A1659" s="201" t="s">
        <v>644</v>
      </c>
      <c r="B1659" s="202"/>
      <c r="C1659" s="202"/>
      <c r="D1659" s="202"/>
      <c r="E1659" s="202"/>
      <c r="F1659" s="202"/>
      <c r="G1659" s="202"/>
      <c r="H1659" s="202"/>
      <c r="I1659" s="202"/>
      <c r="J1659" s="202"/>
      <c r="K1659" s="202"/>
      <c r="L1659" s="202"/>
      <c r="M1659" s="202"/>
      <c r="N1659" s="202"/>
      <c r="O1659" s="5"/>
      <c r="P1659" s="5"/>
      <c r="Q1659" s="5"/>
      <c r="R1659" s="5"/>
      <c r="S1659" s="5"/>
      <c r="T1659" s="5"/>
      <c r="U1659" s="5"/>
      <c r="V1659" s="5"/>
      <c r="W1659" s="5"/>
      <c r="X1659" s="5"/>
      <c r="Y1659" s="5"/>
      <c r="Z1659" s="5"/>
    </row>
    <row r="1660" ht="12.0" customHeight="1">
      <c r="A1660" s="201" t="s">
        <v>630</v>
      </c>
      <c r="B1660" s="201" t="s">
        <v>631</v>
      </c>
      <c r="C1660" s="201" t="s">
        <v>3</v>
      </c>
      <c r="D1660" s="201" t="s">
        <v>4</v>
      </c>
      <c r="E1660" s="201" t="s">
        <v>5</v>
      </c>
      <c r="F1660" s="201" t="s">
        <v>6</v>
      </c>
      <c r="G1660" s="201" t="s">
        <v>7</v>
      </c>
      <c r="H1660" s="201" t="s">
        <v>8</v>
      </c>
      <c r="I1660" s="201" t="s">
        <v>9</v>
      </c>
      <c r="J1660" s="201" t="s">
        <v>10</v>
      </c>
      <c r="K1660" s="201" t="s">
        <v>11</v>
      </c>
      <c r="L1660" s="201" t="s">
        <v>12</v>
      </c>
      <c r="M1660" s="201" t="s">
        <v>13</v>
      </c>
      <c r="N1660" s="201" t="s">
        <v>14</v>
      </c>
      <c r="O1660" s="5"/>
      <c r="P1660" s="5"/>
      <c r="Q1660" s="5"/>
      <c r="R1660" s="5"/>
      <c r="S1660" s="5"/>
      <c r="T1660" s="5"/>
      <c r="U1660" s="5"/>
      <c r="V1660" s="5"/>
      <c r="W1660" s="5"/>
      <c r="X1660" s="5"/>
      <c r="Y1660" s="5"/>
      <c r="Z1660" s="5"/>
    </row>
    <row r="1661" ht="12.0" customHeight="1">
      <c r="A1661" s="92" t="s">
        <v>632</v>
      </c>
      <c r="B1661" s="92" t="s">
        <v>633</v>
      </c>
      <c r="C1661" s="203">
        <f>SUM('2035'!B6:B9)+SUM('2035'!B17:B20)</f>
        <v>32475.72</v>
      </c>
      <c r="D1661" s="203">
        <f>SUM('2035'!C6:C9)+SUM('2035'!C17:C20)</f>
        <v>24764.85</v>
      </c>
      <c r="E1661" s="203">
        <f>SUM('2035'!D6:D9)+SUM('2035'!D17:D20)</f>
        <v>23146.7</v>
      </c>
      <c r="F1661" s="203">
        <f>SUM('2035'!E6:E9)+SUM('2035'!E17:E20)</f>
        <v>22133.595</v>
      </c>
      <c r="G1661" s="203">
        <f>SUM('2035'!F6:F9)+SUM('2035'!F17:F20)</f>
        <v>20712.43</v>
      </c>
      <c r="H1661" s="203">
        <f>SUM('2035'!G6:G9)+SUM('2035'!G17:G20)</f>
        <v>20304.37</v>
      </c>
      <c r="I1661" s="203">
        <f>SUM('2035'!H6:H9)+SUM('2035'!H17:H20)</f>
        <v>21725.535</v>
      </c>
      <c r="J1661" s="203">
        <f>SUM('2035'!I6:I9)+SUM('2035'!I17:I20)</f>
        <v>21725.535</v>
      </c>
      <c r="K1661" s="203">
        <f>SUM('2035'!J6:J9)+SUM('2035'!J17:J20)</f>
        <v>21725.535</v>
      </c>
      <c r="L1661" s="203">
        <f>SUM('2035'!K6:K9)+SUM('2035'!K17:K20)</f>
        <v>21317.475</v>
      </c>
      <c r="M1661" s="203">
        <f>SUM('2035'!L6:L9)+SUM('2035'!L17:L20)</f>
        <v>20909.415</v>
      </c>
      <c r="N1661" s="203">
        <f>SUM('2035'!M6:M9)+SUM('2035'!M17:M20)</f>
        <v>33291.84</v>
      </c>
      <c r="O1661" s="5"/>
      <c r="P1661" s="5"/>
      <c r="Q1661" s="5"/>
      <c r="R1661" s="5"/>
      <c r="S1661" s="5"/>
      <c r="T1661" s="5"/>
      <c r="U1661" s="5"/>
      <c r="V1661" s="5"/>
      <c r="W1661" s="5"/>
      <c r="X1661" s="5"/>
      <c r="Y1661" s="5"/>
      <c r="Z1661" s="5"/>
    </row>
    <row r="1662" ht="12.0" customHeight="1">
      <c r="A1662" s="5"/>
      <c r="B1662" s="92" t="s">
        <v>634</v>
      </c>
      <c r="C1662" s="204">
        <f>C1661/Parametros!$B$37</f>
        <v>1623.786</v>
      </c>
      <c r="D1662" s="204">
        <f>D1661/Parametros!$B$37</f>
        <v>1238.2425</v>
      </c>
      <c r="E1662" s="204">
        <f>E1661/Parametros!$B$37</f>
        <v>1157.335</v>
      </c>
      <c r="F1662" s="204">
        <f>F1661/Parametros!$B$37</f>
        <v>1106.67975</v>
      </c>
      <c r="G1662" s="204">
        <f>G1661/Parametros!$B$37</f>
        <v>1035.6215</v>
      </c>
      <c r="H1662" s="204">
        <f>H1661/Parametros!$B$37</f>
        <v>1015.2185</v>
      </c>
      <c r="I1662" s="204">
        <f>I1661/Parametros!$B$37</f>
        <v>1086.27675</v>
      </c>
      <c r="J1662" s="204">
        <f>J1661/Parametros!$B$37</f>
        <v>1086.27675</v>
      </c>
      <c r="K1662" s="204">
        <f>K1661/Parametros!$B$37</f>
        <v>1086.27675</v>
      </c>
      <c r="L1662" s="204">
        <f>L1661/Parametros!$B$37</f>
        <v>1065.87375</v>
      </c>
      <c r="M1662" s="204">
        <f>M1661/Parametros!$B$37</f>
        <v>1045.47075</v>
      </c>
      <c r="N1662" s="204">
        <f>N1661/Parametros!$B$37</f>
        <v>1664.592</v>
      </c>
      <c r="O1662" s="5"/>
      <c r="P1662" s="5"/>
      <c r="Q1662" s="5"/>
      <c r="R1662" s="5"/>
      <c r="S1662" s="5"/>
      <c r="T1662" s="5"/>
      <c r="U1662" s="5"/>
      <c r="V1662" s="5"/>
      <c r="W1662" s="5"/>
      <c r="X1662" s="5"/>
      <c r="Y1662" s="5"/>
      <c r="Z1662" s="5"/>
    </row>
    <row r="1663" ht="12.0" customHeight="1">
      <c r="A1663" s="5"/>
      <c r="B1663" s="92" t="s">
        <v>635</v>
      </c>
      <c r="C1663" s="204">
        <f>C1662/Parametros!$J$37</f>
        <v>216.5048</v>
      </c>
      <c r="D1663" s="204">
        <f>D1662/Parametros!$J$37</f>
        <v>165.099</v>
      </c>
      <c r="E1663" s="204">
        <f>E1662/Parametros!$J$37</f>
        <v>154.3113333</v>
      </c>
      <c r="F1663" s="204">
        <f>F1662/Parametros!$J$37</f>
        <v>147.5573</v>
      </c>
      <c r="G1663" s="204">
        <f>G1662/Parametros!$J$37</f>
        <v>138.0828667</v>
      </c>
      <c r="H1663" s="204">
        <f>H1662/Parametros!$J$37</f>
        <v>135.3624667</v>
      </c>
      <c r="I1663" s="204">
        <f>I1662/Parametros!$J$37</f>
        <v>144.8369</v>
      </c>
      <c r="J1663" s="204">
        <f>J1662/Parametros!$J$37</f>
        <v>144.8369</v>
      </c>
      <c r="K1663" s="204">
        <f>K1662/Parametros!$J$37</f>
        <v>144.8369</v>
      </c>
      <c r="L1663" s="204">
        <f>L1662/Parametros!$J$37</f>
        <v>142.1165</v>
      </c>
      <c r="M1663" s="204">
        <f>M1662/Parametros!$J$37</f>
        <v>139.3961</v>
      </c>
      <c r="N1663" s="204">
        <f>N1662/Parametros!$J$37</f>
        <v>221.9456</v>
      </c>
      <c r="O1663" s="5"/>
      <c r="P1663" s="5"/>
      <c r="Q1663" s="5"/>
      <c r="R1663" s="5"/>
      <c r="S1663" s="5"/>
      <c r="T1663" s="5"/>
      <c r="U1663" s="5"/>
      <c r="V1663" s="5"/>
      <c r="W1663" s="5"/>
      <c r="X1663" s="5"/>
      <c r="Y1663" s="5"/>
      <c r="Z1663" s="5"/>
    </row>
    <row r="1664" ht="12.0" customHeight="1">
      <c r="A1664" s="92" t="s">
        <v>636</v>
      </c>
      <c r="B1664" s="5"/>
      <c r="C1664" s="204">
        <f t="shared" ref="C1664:N1664" si="490">C1663</f>
        <v>216.5048</v>
      </c>
      <c r="D1664" s="204">
        <f t="shared" si="490"/>
        <v>165.099</v>
      </c>
      <c r="E1664" s="204">
        <f t="shared" si="490"/>
        <v>154.3113333</v>
      </c>
      <c r="F1664" s="204">
        <f t="shared" si="490"/>
        <v>147.5573</v>
      </c>
      <c r="G1664" s="204">
        <f t="shared" si="490"/>
        <v>138.0828667</v>
      </c>
      <c r="H1664" s="204">
        <f t="shared" si="490"/>
        <v>135.3624667</v>
      </c>
      <c r="I1664" s="204">
        <f t="shared" si="490"/>
        <v>144.8369</v>
      </c>
      <c r="J1664" s="204">
        <f t="shared" si="490"/>
        <v>144.8369</v>
      </c>
      <c r="K1664" s="204">
        <f t="shared" si="490"/>
        <v>144.8369</v>
      </c>
      <c r="L1664" s="204">
        <f t="shared" si="490"/>
        <v>142.1165</v>
      </c>
      <c r="M1664" s="204">
        <f t="shared" si="490"/>
        <v>139.3961</v>
      </c>
      <c r="N1664" s="204">
        <f t="shared" si="490"/>
        <v>221.9456</v>
      </c>
      <c r="O1664" s="5"/>
      <c r="P1664" s="5"/>
      <c r="Q1664" s="5"/>
      <c r="R1664" s="5"/>
      <c r="S1664" s="5"/>
      <c r="T1664" s="5"/>
      <c r="U1664" s="5"/>
      <c r="V1664" s="5"/>
      <c r="W1664" s="5"/>
      <c r="X1664" s="5"/>
      <c r="Y1664" s="5"/>
      <c r="Z1664" s="5"/>
    </row>
    <row r="1665" ht="12.0" customHeight="1">
      <c r="A1665" s="92" t="s">
        <v>637</v>
      </c>
      <c r="B1665" s="5"/>
      <c r="C1665" s="205">
        <f>'Resumen Capacidad'!$K$112</f>
        <v>90.19362319</v>
      </c>
      <c r="D1665" s="205">
        <f>'Resumen Capacidad'!$K$112</f>
        <v>90.19362319</v>
      </c>
      <c r="E1665" s="205">
        <f>'Resumen Capacidad'!$K$112</f>
        <v>90.19362319</v>
      </c>
      <c r="F1665" s="205">
        <f>'Resumen Capacidad'!$K$112</f>
        <v>90.19362319</v>
      </c>
      <c r="G1665" s="205">
        <f>'Resumen Capacidad'!$K$112</f>
        <v>90.19362319</v>
      </c>
      <c r="H1665" s="205">
        <f>'Resumen Capacidad'!$K$112</f>
        <v>90.19362319</v>
      </c>
      <c r="I1665" s="205">
        <f>'Resumen Capacidad'!$K$112</f>
        <v>90.19362319</v>
      </c>
      <c r="J1665" s="205">
        <f>'Resumen Capacidad'!$K$112</f>
        <v>90.19362319</v>
      </c>
      <c r="K1665" s="205">
        <f>'Resumen Capacidad'!$K$112</f>
        <v>90.19362319</v>
      </c>
      <c r="L1665" s="205">
        <f>'Resumen Capacidad'!$K$112</f>
        <v>90.19362319</v>
      </c>
      <c r="M1665" s="205">
        <f>'Resumen Capacidad'!$K$112</f>
        <v>90.19362319</v>
      </c>
      <c r="N1665" s="205">
        <f>'Resumen Capacidad'!$K$112</f>
        <v>90.19362319</v>
      </c>
      <c r="O1665" s="5"/>
      <c r="P1665" s="5"/>
      <c r="Q1665" s="5"/>
      <c r="R1665" s="5"/>
      <c r="S1665" s="5"/>
      <c r="T1665" s="5"/>
      <c r="U1665" s="5"/>
      <c r="V1665" s="5"/>
      <c r="W1665" s="5"/>
      <c r="X1665" s="5"/>
      <c r="Y1665" s="5"/>
      <c r="Z1665" s="5"/>
    </row>
    <row r="1666" ht="12.0" customHeight="1">
      <c r="A1666" s="92" t="s">
        <v>640</v>
      </c>
      <c r="B1666" s="5"/>
      <c r="C1666" s="204">
        <f>'Resumen Capacidad'!$K$30*'Resumen Capacidad'!$K$66</f>
        <v>4</v>
      </c>
      <c r="D1666" s="204">
        <f>'Resumen Capacidad'!$K$30*'Resumen Capacidad'!$K$66</f>
        <v>4</v>
      </c>
      <c r="E1666" s="204">
        <f>'Resumen Capacidad'!$K$30*'Resumen Capacidad'!$K$66</f>
        <v>4</v>
      </c>
      <c r="F1666" s="204">
        <f>'Resumen Capacidad'!$K$30*'Resumen Capacidad'!$K$66</f>
        <v>4</v>
      </c>
      <c r="G1666" s="204">
        <f>'Resumen Capacidad'!$K$30*'Resumen Capacidad'!$K$66</f>
        <v>4</v>
      </c>
      <c r="H1666" s="204">
        <f>'Resumen Capacidad'!$K$30*'Resumen Capacidad'!$K$66</f>
        <v>4</v>
      </c>
      <c r="I1666" s="204">
        <f>'Resumen Capacidad'!$K$30*'Resumen Capacidad'!$K$66</f>
        <v>4</v>
      </c>
      <c r="J1666" s="204">
        <f>'Resumen Capacidad'!$K$30*'Resumen Capacidad'!$K$66</f>
        <v>4</v>
      </c>
      <c r="K1666" s="204">
        <f>'Resumen Capacidad'!$K$30*'Resumen Capacidad'!$K$66</f>
        <v>4</v>
      </c>
      <c r="L1666" s="204">
        <f>'Resumen Capacidad'!$K$30*'Resumen Capacidad'!$K$66</f>
        <v>4</v>
      </c>
      <c r="M1666" s="204">
        <f>'Resumen Capacidad'!$K$30*'Resumen Capacidad'!$K$66</f>
        <v>4</v>
      </c>
      <c r="N1666" s="204">
        <f>'Resumen Capacidad'!$K$30*'Resumen Capacidad'!$K$66</f>
        <v>4</v>
      </c>
      <c r="O1666" s="5"/>
      <c r="P1666" s="5"/>
      <c r="Q1666" s="5"/>
      <c r="R1666" s="5"/>
      <c r="S1666" s="5"/>
      <c r="T1666" s="5"/>
      <c r="U1666" s="5"/>
      <c r="V1666" s="5"/>
      <c r="W1666" s="5"/>
      <c r="X1666" s="5"/>
      <c r="Y1666" s="5"/>
      <c r="Z1666" s="5"/>
    </row>
    <row r="1667" ht="12.0" customHeight="1">
      <c r="A1667" s="92" t="s">
        <v>642</v>
      </c>
      <c r="B1667" s="5"/>
      <c r="C1667" s="204">
        <f t="shared" ref="C1667:N1667" si="491">C1665*C1666</f>
        <v>360.7744928</v>
      </c>
      <c r="D1667" s="204">
        <f t="shared" si="491"/>
        <v>360.7744928</v>
      </c>
      <c r="E1667" s="204">
        <f t="shared" si="491"/>
        <v>360.7744928</v>
      </c>
      <c r="F1667" s="204">
        <f t="shared" si="491"/>
        <v>360.7744928</v>
      </c>
      <c r="G1667" s="204">
        <f t="shared" si="491"/>
        <v>360.7744928</v>
      </c>
      <c r="H1667" s="204">
        <f t="shared" si="491"/>
        <v>360.7744928</v>
      </c>
      <c r="I1667" s="204">
        <f t="shared" si="491"/>
        <v>360.7744928</v>
      </c>
      <c r="J1667" s="204">
        <f t="shared" si="491"/>
        <v>360.7744928</v>
      </c>
      <c r="K1667" s="204">
        <f t="shared" si="491"/>
        <v>360.7744928</v>
      </c>
      <c r="L1667" s="204">
        <f t="shared" si="491"/>
        <v>360.7744928</v>
      </c>
      <c r="M1667" s="204">
        <f t="shared" si="491"/>
        <v>360.7744928</v>
      </c>
      <c r="N1667" s="204">
        <f t="shared" si="491"/>
        <v>360.7744928</v>
      </c>
      <c r="O1667" s="5"/>
      <c r="P1667" s="5"/>
      <c r="Q1667" s="5"/>
      <c r="R1667" s="5"/>
      <c r="S1667" s="5"/>
      <c r="T1667" s="5"/>
      <c r="U1667" s="5"/>
      <c r="V1667" s="5"/>
      <c r="W1667" s="5"/>
      <c r="X1667" s="5"/>
      <c r="Y1667" s="5"/>
      <c r="Z1667" s="5"/>
    </row>
    <row r="1668" ht="12.0" customHeight="1">
      <c r="A1668" s="92" t="s">
        <v>643</v>
      </c>
      <c r="B1668" s="5"/>
      <c r="C1668" s="206">
        <f t="shared" ref="C1668:N1668" si="492">IF(C1667=0,0,C1664/C1667)</f>
        <v>0.6001111618</v>
      </c>
      <c r="D1668" s="206">
        <f t="shared" si="492"/>
        <v>0.4576238158</v>
      </c>
      <c r="E1668" s="206">
        <f t="shared" si="492"/>
        <v>0.427722404</v>
      </c>
      <c r="F1668" s="206">
        <f t="shared" si="492"/>
        <v>0.4090014759</v>
      </c>
      <c r="G1668" s="206">
        <f t="shared" si="492"/>
        <v>0.3827401034</v>
      </c>
      <c r="H1668" s="206">
        <f t="shared" si="492"/>
        <v>0.375199659</v>
      </c>
      <c r="I1668" s="206">
        <f t="shared" si="492"/>
        <v>0.4014610315</v>
      </c>
      <c r="J1668" s="206">
        <f t="shared" si="492"/>
        <v>0.4014610315</v>
      </c>
      <c r="K1668" s="206">
        <f t="shared" si="492"/>
        <v>0.4014610315</v>
      </c>
      <c r="L1668" s="206">
        <f t="shared" si="492"/>
        <v>0.3939205871</v>
      </c>
      <c r="M1668" s="206">
        <f t="shared" si="492"/>
        <v>0.3863801427</v>
      </c>
      <c r="N1668" s="206">
        <f t="shared" si="492"/>
        <v>0.6151920506</v>
      </c>
      <c r="O1668" s="5"/>
      <c r="P1668" s="5"/>
      <c r="Q1668" s="5"/>
      <c r="R1668" s="5"/>
      <c r="S1668" s="5"/>
      <c r="T1668" s="5"/>
      <c r="U1668" s="5"/>
      <c r="V1668" s="5"/>
      <c r="W1668" s="5"/>
      <c r="X1668" s="5"/>
      <c r="Y1668" s="5"/>
      <c r="Z1668" s="5"/>
    </row>
    <row r="1669" ht="12.0" customHeight="1">
      <c r="A1669" s="201" t="s">
        <v>646</v>
      </c>
      <c r="B1669" s="202"/>
      <c r="C1669" s="202"/>
      <c r="D1669" s="202"/>
      <c r="E1669" s="202"/>
      <c r="F1669" s="202"/>
      <c r="G1669" s="202"/>
      <c r="H1669" s="202"/>
      <c r="I1669" s="202"/>
      <c r="J1669" s="202"/>
      <c r="K1669" s="202"/>
      <c r="L1669" s="202"/>
      <c r="M1669" s="202"/>
      <c r="N1669" s="202"/>
      <c r="O1669" s="5"/>
      <c r="P1669" s="5"/>
      <c r="Q1669" s="5"/>
      <c r="R1669" s="5"/>
      <c r="S1669" s="5"/>
      <c r="T1669" s="5"/>
      <c r="U1669" s="5"/>
      <c r="V1669" s="5"/>
      <c r="W1669" s="5"/>
      <c r="X1669" s="5"/>
      <c r="Y1669" s="5"/>
      <c r="Z1669" s="5"/>
    </row>
    <row r="1670" ht="12.0" customHeight="1">
      <c r="A1670" s="201" t="s">
        <v>630</v>
      </c>
      <c r="B1670" s="201" t="s">
        <v>631</v>
      </c>
      <c r="C1670" s="201" t="s">
        <v>3</v>
      </c>
      <c r="D1670" s="201" t="s">
        <v>4</v>
      </c>
      <c r="E1670" s="201" t="s">
        <v>5</v>
      </c>
      <c r="F1670" s="201" t="s">
        <v>6</v>
      </c>
      <c r="G1670" s="201" t="s">
        <v>7</v>
      </c>
      <c r="H1670" s="201" t="s">
        <v>8</v>
      </c>
      <c r="I1670" s="201" t="s">
        <v>9</v>
      </c>
      <c r="J1670" s="201" t="s">
        <v>10</v>
      </c>
      <c r="K1670" s="201" t="s">
        <v>11</v>
      </c>
      <c r="L1670" s="201" t="s">
        <v>12</v>
      </c>
      <c r="M1670" s="201" t="s">
        <v>13</v>
      </c>
      <c r="N1670" s="201" t="s">
        <v>14</v>
      </c>
      <c r="O1670" s="5"/>
      <c r="P1670" s="5"/>
      <c r="Q1670" s="5"/>
      <c r="R1670" s="5"/>
      <c r="S1670" s="5"/>
      <c r="T1670" s="5"/>
      <c r="U1670" s="5"/>
      <c r="V1670" s="5"/>
      <c r="W1670" s="5"/>
      <c r="X1670" s="5"/>
      <c r="Y1670" s="5"/>
      <c r="Z1670" s="5"/>
    </row>
    <row r="1671" ht="12.0" customHeight="1">
      <c r="A1671" s="92" t="s">
        <v>647</v>
      </c>
      <c r="B1671" s="92" t="s">
        <v>633</v>
      </c>
      <c r="C1671" s="203">
        <f>(SUM('2035'!B6:B9)+SUM('2035'!B17:B20))*2</f>
        <v>64951.44</v>
      </c>
      <c r="D1671" s="203">
        <f>(SUM('2035'!C6:C9)+SUM('2035'!C17:C20))*2</f>
        <v>49529.7</v>
      </c>
      <c r="E1671" s="203">
        <f>(SUM('2035'!D6:D9)+SUM('2035'!D17:D20))*2</f>
        <v>46293.4</v>
      </c>
      <c r="F1671" s="203">
        <f>(SUM('2035'!E6:E9)+SUM('2035'!E17:E20))*2</f>
        <v>44267.19</v>
      </c>
      <c r="G1671" s="203">
        <f>(SUM('2035'!F6:F9)+SUM('2035'!F17:F20))*2</f>
        <v>41424.86</v>
      </c>
      <c r="H1671" s="203">
        <f>(SUM('2035'!G6:G9)+SUM('2035'!G17:G20))*2</f>
        <v>40608.74</v>
      </c>
      <c r="I1671" s="203">
        <f>(SUM('2035'!H6:H9)+SUM('2035'!H17:H20))*2</f>
        <v>43451.07</v>
      </c>
      <c r="J1671" s="203">
        <f>(SUM('2035'!I6:I9)+SUM('2035'!I17:I20))*2</f>
        <v>43451.07</v>
      </c>
      <c r="K1671" s="203">
        <f>(SUM('2035'!J6:J9)+SUM('2035'!J17:J20))*2</f>
        <v>43451.07</v>
      </c>
      <c r="L1671" s="203">
        <f>(SUM('2035'!K6:K9)+SUM('2035'!K17:K20))*2</f>
        <v>42634.95</v>
      </c>
      <c r="M1671" s="203">
        <f>(SUM('2035'!L6:L9)+SUM('2035'!L17:L20))*2</f>
        <v>41818.83</v>
      </c>
      <c r="N1671" s="203">
        <f>(SUM('2035'!M6:M9)+SUM('2035'!M17:M20))*2</f>
        <v>66583.68</v>
      </c>
      <c r="O1671" s="5"/>
      <c r="P1671" s="5"/>
      <c r="Q1671" s="5"/>
      <c r="R1671" s="5"/>
      <c r="S1671" s="5"/>
      <c r="T1671" s="5"/>
      <c r="U1671" s="5"/>
      <c r="V1671" s="5"/>
      <c r="W1671" s="5"/>
      <c r="X1671" s="5"/>
      <c r="Y1671" s="5"/>
      <c r="Z1671" s="5"/>
    </row>
    <row r="1672" ht="12.0" customHeight="1">
      <c r="A1672" s="5"/>
      <c r="B1672" s="92" t="s">
        <v>634</v>
      </c>
      <c r="C1672" s="204">
        <f>C1671/Parametros!$B$37</f>
        <v>3247.572</v>
      </c>
      <c r="D1672" s="204">
        <f>D1671/Parametros!$B$37</f>
        <v>2476.485</v>
      </c>
      <c r="E1672" s="204">
        <f>E1671/Parametros!$B$37</f>
        <v>2314.67</v>
      </c>
      <c r="F1672" s="204">
        <f>F1671/Parametros!$B$37</f>
        <v>2213.3595</v>
      </c>
      <c r="G1672" s="204">
        <f>G1671/Parametros!$B$37</f>
        <v>2071.243</v>
      </c>
      <c r="H1672" s="204">
        <f>H1671/Parametros!$B$37</f>
        <v>2030.437</v>
      </c>
      <c r="I1672" s="204">
        <f>I1671/Parametros!$B$37</f>
        <v>2172.5535</v>
      </c>
      <c r="J1672" s="204">
        <f>J1671/Parametros!$B$37</f>
        <v>2172.5535</v>
      </c>
      <c r="K1672" s="204">
        <f>K1671/Parametros!$B$37</f>
        <v>2172.5535</v>
      </c>
      <c r="L1672" s="204">
        <f>L1671/Parametros!$B$37</f>
        <v>2131.7475</v>
      </c>
      <c r="M1672" s="204">
        <f>M1671/Parametros!$B$37</f>
        <v>2090.9415</v>
      </c>
      <c r="N1672" s="204">
        <f>N1671/Parametros!$B$37</f>
        <v>3329.184</v>
      </c>
      <c r="O1672" s="5"/>
      <c r="P1672" s="5"/>
      <c r="Q1672" s="5"/>
      <c r="R1672" s="5"/>
      <c r="S1672" s="5"/>
      <c r="T1672" s="5"/>
      <c r="U1672" s="5"/>
      <c r="V1672" s="5"/>
      <c r="W1672" s="5"/>
      <c r="X1672" s="5"/>
      <c r="Y1672" s="5"/>
      <c r="Z1672" s="5"/>
    </row>
    <row r="1673" ht="12.0" customHeight="1">
      <c r="A1673" s="5"/>
      <c r="B1673" s="92" t="s">
        <v>635</v>
      </c>
      <c r="C1673" s="204">
        <f>C1672/Parametros!$J$37</f>
        <v>433.0096</v>
      </c>
      <c r="D1673" s="204">
        <f>D1672/Parametros!$J$37</f>
        <v>330.198</v>
      </c>
      <c r="E1673" s="204">
        <f>E1672/Parametros!$J$37</f>
        <v>308.6226667</v>
      </c>
      <c r="F1673" s="204">
        <f>F1672/Parametros!$J$37</f>
        <v>295.1146</v>
      </c>
      <c r="G1673" s="204">
        <f>G1672/Parametros!$J$37</f>
        <v>276.1657333</v>
      </c>
      <c r="H1673" s="204">
        <f>H1672/Parametros!$J$37</f>
        <v>270.7249333</v>
      </c>
      <c r="I1673" s="204">
        <f>I1672/Parametros!$J$37</f>
        <v>289.6738</v>
      </c>
      <c r="J1673" s="204">
        <f>J1672/Parametros!$J$37</f>
        <v>289.6738</v>
      </c>
      <c r="K1673" s="204">
        <f>K1672/Parametros!$J$37</f>
        <v>289.6738</v>
      </c>
      <c r="L1673" s="204">
        <f>L1672/Parametros!$J$37</f>
        <v>284.233</v>
      </c>
      <c r="M1673" s="204">
        <f>M1672/Parametros!$J$37</f>
        <v>278.7922</v>
      </c>
      <c r="N1673" s="204">
        <f>N1672/Parametros!$J$37</f>
        <v>443.8912</v>
      </c>
      <c r="O1673" s="5"/>
      <c r="P1673" s="5"/>
      <c r="Q1673" s="5"/>
      <c r="R1673" s="5"/>
      <c r="S1673" s="5"/>
      <c r="T1673" s="5"/>
      <c r="U1673" s="5"/>
      <c r="V1673" s="5"/>
      <c r="W1673" s="5"/>
      <c r="X1673" s="5"/>
      <c r="Y1673" s="5"/>
      <c r="Z1673" s="5"/>
    </row>
    <row r="1674" ht="12.0" customHeight="1">
      <c r="A1674" s="92" t="s">
        <v>636</v>
      </c>
      <c r="B1674" s="5"/>
      <c r="C1674" s="204">
        <f t="shared" ref="C1674:N1674" si="493">C1673</f>
        <v>433.0096</v>
      </c>
      <c r="D1674" s="204">
        <f t="shared" si="493"/>
        <v>330.198</v>
      </c>
      <c r="E1674" s="204">
        <f t="shared" si="493"/>
        <v>308.6226667</v>
      </c>
      <c r="F1674" s="204">
        <f t="shared" si="493"/>
        <v>295.1146</v>
      </c>
      <c r="G1674" s="204">
        <f t="shared" si="493"/>
        <v>276.1657333</v>
      </c>
      <c r="H1674" s="204">
        <f t="shared" si="493"/>
        <v>270.7249333</v>
      </c>
      <c r="I1674" s="204">
        <f t="shared" si="493"/>
        <v>289.6738</v>
      </c>
      <c r="J1674" s="204">
        <f t="shared" si="493"/>
        <v>289.6738</v>
      </c>
      <c r="K1674" s="204">
        <f t="shared" si="493"/>
        <v>289.6738</v>
      </c>
      <c r="L1674" s="204">
        <f t="shared" si="493"/>
        <v>284.233</v>
      </c>
      <c r="M1674" s="204">
        <f t="shared" si="493"/>
        <v>278.7922</v>
      </c>
      <c r="N1674" s="204">
        <f t="shared" si="493"/>
        <v>443.8912</v>
      </c>
      <c r="O1674" s="5"/>
      <c r="P1674" s="5"/>
      <c r="Q1674" s="5"/>
      <c r="R1674" s="5"/>
      <c r="S1674" s="5"/>
      <c r="T1674" s="5"/>
      <c r="U1674" s="5"/>
      <c r="V1674" s="5"/>
      <c r="W1674" s="5"/>
      <c r="X1674" s="5"/>
      <c r="Y1674" s="5"/>
      <c r="Z1674" s="5"/>
    </row>
    <row r="1675" ht="12.0" customHeight="1">
      <c r="A1675" s="92" t="s">
        <v>637</v>
      </c>
      <c r="B1675" s="5"/>
      <c r="C1675" s="205">
        <f>'Resumen Capacidad'!$K$113</f>
        <v>466.5116279</v>
      </c>
      <c r="D1675" s="205">
        <f>'Resumen Capacidad'!$K$113</f>
        <v>466.5116279</v>
      </c>
      <c r="E1675" s="205">
        <f>'Resumen Capacidad'!$K$113</f>
        <v>466.5116279</v>
      </c>
      <c r="F1675" s="205">
        <f>'Resumen Capacidad'!$K$113</f>
        <v>466.5116279</v>
      </c>
      <c r="G1675" s="205">
        <f>'Resumen Capacidad'!$K$113</f>
        <v>466.5116279</v>
      </c>
      <c r="H1675" s="205">
        <f>'Resumen Capacidad'!$K$113</f>
        <v>466.5116279</v>
      </c>
      <c r="I1675" s="205">
        <f>'Resumen Capacidad'!$K$113</f>
        <v>466.5116279</v>
      </c>
      <c r="J1675" s="205">
        <f>'Resumen Capacidad'!$K$113</f>
        <v>466.5116279</v>
      </c>
      <c r="K1675" s="205">
        <f>'Resumen Capacidad'!$K$113</f>
        <v>466.5116279</v>
      </c>
      <c r="L1675" s="205">
        <f>'Resumen Capacidad'!$K$113</f>
        <v>466.5116279</v>
      </c>
      <c r="M1675" s="205">
        <f>'Resumen Capacidad'!$K$113</f>
        <v>466.5116279</v>
      </c>
      <c r="N1675" s="205">
        <f>'Resumen Capacidad'!$K$113</f>
        <v>466.5116279</v>
      </c>
      <c r="O1675" s="5"/>
      <c r="P1675" s="5"/>
      <c r="Q1675" s="5"/>
      <c r="R1675" s="5"/>
      <c r="S1675" s="5"/>
      <c r="T1675" s="5"/>
      <c r="U1675" s="5"/>
      <c r="V1675" s="5"/>
      <c r="W1675" s="5"/>
      <c r="X1675" s="5"/>
      <c r="Y1675" s="5"/>
      <c r="Z1675" s="5"/>
    </row>
    <row r="1676" ht="12.0" customHeight="1">
      <c r="A1676" s="92" t="s">
        <v>640</v>
      </c>
      <c r="B1676" s="5"/>
      <c r="C1676" s="204">
        <f>'Resumen Capacidad'!$K$31*'Resumen Capacidad'!$K$67</f>
        <v>2</v>
      </c>
      <c r="D1676" s="204">
        <f>'Resumen Capacidad'!$K$31*'Resumen Capacidad'!$K$67</f>
        <v>2</v>
      </c>
      <c r="E1676" s="204">
        <f>'Resumen Capacidad'!$K$31*'Resumen Capacidad'!$K$67</f>
        <v>2</v>
      </c>
      <c r="F1676" s="204">
        <f>'Resumen Capacidad'!$K$31*'Resumen Capacidad'!$K$67</f>
        <v>2</v>
      </c>
      <c r="G1676" s="204">
        <f>'Resumen Capacidad'!$K$31*'Resumen Capacidad'!$K$67</f>
        <v>2</v>
      </c>
      <c r="H1676" s="204">
        <f>'Resumen Capacidad'!$K$31*'Resumen Capacidad'!$K$67</f>
        <v>2</v>
      </c>
      <c r="I1676" s="204">
        <f>'Resumen Capacidad'!$K$31*'Resumen Capacidad'!$K$67</f>
        <v>2</v>
      </c>
      <c r="J1676" s="204">
        <f>'Resumen Capacidad'!$K$31*'Resumen Capacidad'!$K$67</f>
        <v>2</v>
      </c>
      <c r="K1676" s="204">
        <f>'Resumen Capacidad'!$K$31*'Resumen Capacidad'!$K$67</f>
        <v>2</v>
      </c>
      <c r="L1676" s="204">
        <f>'Resumen Capacidad'!$K$31*'Resumen Capacidad'!$K$67</f>
        <v>2</v>
      </c>
      <c r="M1676" s="204">
        <f>'Resumen Capacidad'!$K$31*'Resumen Capacidad'!$K$67</f>
        <v>2</v>
      </c>
      <c r="N1676" s="204">
        <f>'Resumen Capacidad'!$K$31*'Resumen Capacidad'!$K$67</f>
        <v>2</v>
      </c>
      <c r="O1676" s="5"/>
      <c r="P1676" s="5"/>
      <c r="Q1676" s="5"/>
      <c r="R1676" s="5"/>
      <c r="S1676" s="5"/>
      <c r="T1676" s="5"/>
      <c r="U1676" s="5"/>
      <c r="V1676" s="5"/>
      <c r="W1676" s="5"/>
      <c r="X1676" s="5"/>
      <c r="Y1676" s="5"/>
      <c r="Z1676" s="5"/>
    </row>
    <row r="1677" ht="12.0" customHeight="1">
      <c r="A1677" s="92" t="s">
        <v>642</v>
      </c>
      <c r="B1677" s="5"/>
      <c r="C1677" s="204">
        <f t="shared" ref="C1677:N1677" si="494">C1675*C1676</f>
        <v>933.0232558</v>
      </c>
      <c r="D1677" s="204">
        <f t="shared" si="494"/>
        <v>933.0232558</v>
      </c>
      <c r="E1677" s="204">
        <f t="shared" si="494"/>
        <v>933.0232558</v>
      </c>
      <c r="F1677" s="204">
        <f t="shared" si="494"/>
        <v>933.0232558</v>
      </c>
      <c r="G1677" s="204">
        <f t="shared" si="494"/>
        <v>933.0232558</v>
      </c>
      <c r="H1677" s="204">
        <f t="shared" si="494"/>
        <v>933.0232558</v>
      </c>
      <c r="I1677" s="204">
        <f t="shared" si="494"/>
        <v>933.0232558</v>
      </c>
      <c r="J1677" s="204">
        <f t="shared" si="494"/>
        <v>933.0232558</v>
      </c>
      <c r="K1677" s="204">
        <f t="shared" si="494"/>
        <v>933.0232558</v>
      </c>
      <c r="L1677" s="204">
        <f t="shared" si="494"/>
        <v>933.0232558</v>
      </c>
      <c r="M1677" s="204">
        <f t="shared" si="494"/>
        <v>933.0232558</v>
      </c>
      <c r="N1677" s="204">
        <f t="shared" si="494"/>
        <v>933.0232558</v>
      </c>
      <c r="O1677" s="5"/>
      <c r="P1677" s="5"/>
      <c r="Q1677" s="5"/>
      <c r="R1677" s="5"/>
      <c r="S1677" s="5"/>
      <c r="T1677" s="5"/>
      <c r="U1677" s="5"/>
      <c r="V1677" s="5"/>
      <c r="W1677" s="5"/>
      <c r="X1677" s="5"/>
      <c r="Y1677" s="5"/>
      <c r="Z1677" s="5"/>
    </row>
    <row r="1678" ht="12.0" customHeight="1">
      <c r="A1678" s="92" t="s">
        <v>643</v>
      </c>
      <c r="B1678" s="5"/>
      <c r="C1678" s="206">
        <f t="shared" ref="C1678:N1678" si="495">IF(C1677=0,0,C1674/C1677)</f>
        <v>0.4640930409</v>
      </c>
      <c r="D1678" s="206">
        <f t="shared" si="495"/>
        <v>0.3539011466</v>
      </c>
      <c r="E1678" s="206">
        <f t="shared" si="495"/>
        <v>0.3307770356</v>
      </c>
      <c r="F1678" s="206">
        <f t="shared" si="495"/>
        <v>0.3162992971</v>
      </c>
      <c r="G1678" s="206">
        <f t="shared" si="495"/>
        <v>0.2959901928</v>
      </c>
      <c r="H1678" s="206">
        <f t="shared" si="495"/>
        <v>0.2901588269</v>
      </c>
      <c r="I1678" s="206">
        <f t="shared" si="495"/>
        <v>0.3104679312</v>
      </c>
      <c r="J1678" s="206">
        <f t="shared" si="495"/>
        <v>0.3104679312</v>
      </c>
      <c r="K1678" s="206">
        <f t="shared" si="495"/>
        <v>0.3104679312</v>
      </c>
      <c r="L1678" s="206">
        <f t="shared" si="495"/>
        <v>0.3046365653</v>
      </c>
      <c r="M1678" s="206">
        <f t="shared" si="495"/>
        <v>0.2988051994</v>
      </c>
      <c r="N1678" s="206">
        <f t="shared" si="495"/>
        <v>0.4757557727</v>
      </c>
      <c r="O1678" s="5"/>
      <c r="P1678" s="5"/>
      <c r="Q1678" s="5"/>
      <c r="R1678" s="5"/>
      <c r="S1678" s="5"/>
      <c r="T1678" s="5"/>
      <c r="U1678" s="5"/>
      <c r="V1678" s="5"/>
      <c r="W1678" s="5"/>
      <c r="X1678" s="5"/>
      <c r="Y1678" s="5"/>
      <c r="Z1678" s="5"/>
    </row>
    <row r="1679" ht="12.0" customHeight="1">
      <c r="A1679" s="201" t="s">
        <v>649</v>
      </c>
      <c r="B1679" s="202"/>
      <c r="C1679" s="202"/>
      <c r="D1679" s="202"/>
      <c r="E1679" s="202"/>
      <c r="F1679" s="202"/>
      <c r="G1679" s="202"/>
      <c r="H1679" s="202"/>
      <c r="I1679" s="202"/>
      <c r="J1679" s="202"/>
      <c r="K1679" s="202"/>
      <c r="L1679" s="202"/>
      <c r="M1679" s="202"/>
      <c r="N1679" s="202"/>
      <c r="O1679" s="5"/>
      <c r="P1679" s="5"/>
      <c r="Q1679" s="5"/>
      <c r="R1679" s="5"/>
      <c r="S1679" s="5"/>
      <c r="T1679" s="5"/>
      <c r="U1679" s="5"/>
      <c r="V1679" s="5"/>
      <c r="W1679" s="5"/>
      <c r="X1679" s="5"/>
      <c r="Y1679" s="5"/>
      <c r="Z1679" s="5"/>
    </row>
    <row r="1680" ht="12.0" customHeight="1">
      <c r="A1680" s="201" t="s">
        <v>630</v>
      </c>
      <c r="B1680" s="201" t="s">
        <v>631</v>
      </c>
      <c r="C1680" s="201" t="s">
        <v>3</v>
      </c>
      <c r="D1680" s="201" t="s">
        <v>4</v>
      </c>
      <c r="E1680" s="201" t="s">
        <v>5</v>
      </c>
      <c r="F1680" s="201" t="s">
        <v>6</v>
      </c>
      <c r="G1680" s="201" t="s">
        <v>7</v>
      </c>
      <c r="H1680" s="201" t="s">
        <v>8</v>
      </c>
      <c r="I1680" s="201" t="s">
        <v>9</v>
      </c>
      <c r="J1680" s="201" t="s">
        <v>10</v>
      </c>
      <c r="K1680" s="201" t="s">
        <v>11</v>
      </c>
      <c r="L1680" s="201" t="s">
        <v>12</v>
      </c>
      <c r="M1680" s="201" t="s">
        <v>13</v>
      </c>
      <c r="N1680" s="201" t="s">
        <v>14</v>
      </c>
      <c r="O1680" s="5"/>
      <c r="P1680" s="5"/>
      <c r="Q1680" s="5"/>
      <c r="R1680" s="5"/>
      <c r="S1680" s="5"/>
      <c r="T1680" s="5"/>
      <c r="U1680" s="5"/>
      <c r="V1680" s="5"/>
      <c r="W1680" s="5"/>
      <c r="X1680" s="5"/>
      <c r="Y1680" s="5"/>
      <c r="Z1680" s="5"/>
    </row>
    <row r="1681" ht="12.0" customHeight="1">
      <c r="A1681" s="92" t="s">
        <v>632</v>
      </c>
      <c r="B1681" s="92" t="s">
        <v>633</v>
      </c>
      <c r="C1681" s="203">
        <f>SUM('2035'!B6:B9)+SUM('2035'!B17:B20)</f>
        <v>32475.72</v>
      </c>
      <c r="D1681" s="203">
        <f>SUM('2035'!C6:C9)+SUM('2035'!C17:C20)</f>
        <v>24764.85</v>
      </c>
      <c r="E1681" s="203">
        <f>SUM('2035'!D6:D9)+SUM('2035'!D17:D20)</f>
        <v>23146.7</v>
      </c>
      <c r="F1681" s="203">
        <f>SUM('2035'!E6:E9)+SUM('2035'!E17:E20)</f>
        <v>22133.595</v>
      </c>
      <c r="G1681" s="203">
        <f>SUM('2035'!F6:F9)+SUM('2035'!F17:F20)</f>
        <v>20712.43</v>
      </c>
      <c r="H1681" s="203">
        <f>SUM('2035'!G6:G9)+SUM('2035'!G17:G20)</f>
        <v>20304.37</v>
      </c>
      <c r="I1681" s="203">
        <f>SUM('2035'!H6:H9)+SUM('2035'!H17:H20)</f>
        <v>21725.535</v>
      </c>
      <c r="J1681" s="203">
        <f>SUM('2035'!I6:I9)+SUM('2035'!I17:I20)</f>
        <v>21725.535</v>
      </c>
      <c r="K1681" s="203">
        <f>SUM('2035'!J6:J9)+SUM('2035'!J17:J20)</f>
        <v>21725.535</v>
      </c>
      <c r="L1681" s="203">
        <f>SUM('2035'!K6:K9)+SUM('2035'!K17:K20)</f>
        <v>21317.475</v>
      </c>
      <c r="M1681" s="203">
        <f>SUM('2035'!L6:L9)+SUM('2035'!L17:L20)</f>
        <v>20909.415</v>
      </c>
      <c r="N1681" s="203">
        <f>SUM('2035'!M6:M9)+SUM('2035'!M17:M20)</f>
        <v>33291.84</v>
      </c>
      <c r="O1681" s="5"/>
      <c r="P1681" s="5"/>
      <c r="Q1681" s="5"/>
      <c r="R1681" s="5"/>
      <c r="S1681" s="5"/>
      <c r="T1681" s="5"/>
      <c r="U1681" s="5"/>
      <c r="V1681" s="5"/>
      <c r="W1681" s="5"/>
      <c r="X1681" s="5"/>
      <c r="Y1681" s="5"/>
      <c r="Z1681" s="5"/>
    </row>
    <row r="1682" ht="12.0" customHeight="1">
      <c r="A1682" s="5"/>
      <c r="B1682" s="92" t="s">
        <v>634</v>
      </c>
      <c r="C1682" s="204">
        <f>C1681/Parametros!$B$37</f>
        <v>1623.786</v>
      </c>
      <c r="D1682" s="204">
        <f>D1681/Parametros!$B$37</f>
        <v>1238.2425</v>
      </c>
      <c r="E1682" s="204">
        <f>E1681/Parametros!$B$37</f>
        <v>1157.335</v>
      </c>
      <c r="F1682" s="204">
        <f>F1681/Parametros!$B$37</f>
        <v>1106.67975</v>
      </c>
      <c r="G1682" s="204">
        <f>G1681/Parametros!$B$37</f>
        <v>1035.6215</v>
      </c>
      <c r="H1682" s="204">
        <f>H1681/Parametros!$B$37</f>
        <v>1015.2185</v>
      </c>
      <c r="I1682" s="204">
        <f>I1681/Parametros!$B$37</f>
        <v>1086.27675</v>
      </c>
      <c r="J1682" s="204">
        <f>J1681/Parametros!$B$37</f>
        <v>1086.27675</v>
      </c>
      <c r="K1682" s="204">
        <f>K1681/Parametros!$B$37</f>
        <v>1086.27675</v>
      </c>
      <c r="L1682" s="204">
        <f>L1681/Parametros!$B$37</f>
        <v>1065.87375</v>
      </c>
      <c r="M1682" s="204">
        <f>M1681/Parametros!$B$37</f>
        <v>1045.47075</v>
      </c>
      <c r="N1682" s="204">
        <f>N1681/Parametros!$B$37</f>
        <v>1664.592</v>
      </c>
      <c r="O1682" s="5"/>
      <c r="P1682" s="5"/>
      <c r="Q1682" s="5"/>
      <c r="R1682" s="5"/>
      <c r="S1682" s="5"/>
      <c r="T1682" s="5"/>
      <c r="U1682" s="5"/>
      <c r="V1682" s="5"/>
      <c r="W1682" s="5"/>
      <c r="X1682" s="5"/>
      <c r="Y1682" s="5"/>
      <c r="Z1682" s="5"/>
    </row>
    <row r="1683" ht="12.0" customHeight="1">
      <c r="A1683" s="5"/>
      <c r="B1683" s="92" t="s">
        <v>635</v>
      </c>
      <c r="C1683" s="204">
        <f>C1682/Parametros!$J$37</f>
        <v>216.5048</v>
      </c>
      <c r="D1683" s="204">
        <f>D1682/Parametros!$J$37</f>
        <v>165.099</v>
      </c>
      <c r="E1683" s="204">
        <f>E1682/Parametros!$J$37</f>
        <v>154.3113333</v>
      </c>
      <c r="F1683" s="204">
        <f>F1682/Parametros!$J$37</f>
        <v>147.5573</v>
      </c>
      <c r="G1683" s="204">
        <f>G1682/Parametros!$J$37</f>
        <v>138.0828667</v>
      </c>
      <c r="H1683" s="204">
        <f>H1682/Parametros!$J$37</f>
        <v>135.3624667</v>
      </c>
      <c r="I1683" s="204">
        <f>I1682/Parametros!$J$37</f>
        <v>144.8369</v>
      </c>
      <c r="J1683" s="204">
        <f>J1682/Parametros!$J$37</f>
        <v>144.8369</v>
      </c>
      <c r="K1683" s="204">
        <f>K1682/Parametros!$J$37</f>
        <v>144.8369</v>
      </c>
      <c r="L1683" s="204">
        <f>L1682/Parametros!$J$37</f>
        <v>142.1165</v>
      </c>
      <c r="M1683" s="204">
        <f>M1682/Parametros!$J$37</f>
        <v>139.3961</v>
      </c>
      <c r="N1683" s="204">
        <f>N1682/Parametros!$J$37</f>
        <v>221.9456</v>
      </c>
      <c r="O1683" s="5"/>
      <c r="P1683" s="5"/>
      <c r="Q1683" s="5"/>
      <c r="R1683" s="5"/>
      <c r="S1683" s="5"/>
      <c r="T1683" s="5"/>
      <c r="U1683" s="5"/>
      <c r="V1683" s="5"/>
      <c r="W1683" s="5"/>
      <c r="X1683" s="5"/>
      <c r="Y1683" s="5"/>
      <c r="Z1683" s="5"/>
    </row>
    <row r="1684" ht="12.0" customHeight="1">
      <c r="A1684" s="92" t="s">
        <v>636</v>
      </c>
      <c r="B1684" s="5"/>
      <c r="C1684" s="204">
        <f t="shared" ref="C1684:N1684" si="496">C1683</f>
        <v>216.5048</v>
      </c>
      <c r="D1684" s="204">
        <f t="shared" si="496"/>
        <v>165.099</v>
      </c>
      <c r="E1684" s="204">
        <f t="shared" si="496"/>
        <v>154.3113333</v>
      </c>
      <c r="F1684" s="204">
        <f t="shared" si="496"/>
        <v>147.5573</v>
      </c>
      <c r="G1684" s="204">
        <f t="shared" si="496"/>
        <v>138.0828667</v>
      </c>
      <c r="H1684" s="204">
        <f t="shared" si="496"/>
        <v>135.3624667</v>
      </c>
      <c r="I1684" s="204">
        <f t="shared" si="496"/>
        <v>144.8369</v>
      </c>
      <c r="J1684" s="204">
        <f t="shared" si="496"/>
        <v>144.8369</v>
      </c>
      <c r="K1684" s="204">
        <f t="shared" si="496"/>
        <v>144.8369</v>
      </c>
      <c r="L1684" s="204">
        <f t="shared" si="496"/>
        <v>142.1165</v>
      </c>
      <c r="M1684" s="204">
        <f t="shared" si="496"/>
        <v>139.3961</v>
      </c>
      <c r="N1684" s="204">
        <f t="shared" si="496"/>
        <v>221.9456</v>
      </c>
      <c r="O1684" s="5"/>
      <c r="P1684" s="5"/>
      <c r="Q1684" s="5"/>
      <c r="R1684" s="5"/>
      <c r="S1684" s="5"/>
      <c r="T1684" s="5"/>
      <c r="U1684" s="5"/>
      <c r="V1684" s="5"/>
      <c r="W1684" s="5"/>
      <c r="X1684" s="5"/>
      <c r="Y1684" s="5"/>
      <c r="Z1684" s="5"/>
    </row>
    <row r="1685" ht="12.0" customHeight="1">
      <c r="A1685" s="92" t="s">
        <v>637</v>
      </c>
      <c r="B1685" s="5"/>
      <c r="C1685" s="205">
        <f>'Resumen Capacidad'!$K$114</f>
        <v>96</v>
      </c>
      <c r="D1685" s="205">
        <f>'Resumen Capacidad'!$K$114</f>
        <v>96</v>
      </c>
      <c r="E1685" s="205">
        <f>'Resumen Capacidad'!$K$114</f>
        <v>96</v>
      </c>
      <c r="F1685" s="205">
        <f>'Resumen Capacidad'!$K$114</f>
        <v>96</v>
      </c>
      <c r="G1685" s="205">
        <f>'Resumen Capacidad'!$K$114</f>
        <v>96</v>
      </c>
      <c r="H1685" s="205">
        <f>'Resumen Capacidad'!$K$114</f>
        <v>96</v>
      </c>
      <c r="I1685" s="205">
        <f>'Resumen Capacidad'!$K$114</f>
        <v>96</v>
      </c>
      <c r="J1685" s="205">
        <f>'Resumen Capacidad'!$K$114</f>
        <v>96</v>
      </c>
      <c r="K1685" s="205">
        <f>'Resumen Capacidad'!$K$114</f>
        <v>96</v>
      </c>
      <c r="L1685" s="205">
        <f>'Resumen Capacidad'!$K$114</f>
        <v>96</v>
      </c>
      <c r="M1685" s="205">
        <f>'Resumen Capacidad'!$K$114</f>
        <v>96</v>
      </c>
      <c r="N1685" s="205">
        <f>'Resumen Capacidad'!$K$114</f>
        <v>96</v>
      </c>
      <c r="O1685" s="5"/>
      <c r="P1685" s="5"/>
      <c r="Q1685" s="5"/>
      <c r="R1685" s="5"/>
      <c r="S1685" s="5"/>
      <c r="T1685" s="5"/>
      <c r="U1685" s="5"/>
      <c r="V1685" s="5"/>
      <c r="W1685" s="5"/>
      <c r="X1685" s="5"/>
      <c r="Y1685" s="5"/>
      <c r="Z1685" s="5"/>
    </row>
    <row r="1686" ht="12.0" customHeight="1">
      <c r="A1686" s="92" t="s">
        <v>640</v>
      </c>
      <c r="B1686" s="5"/>
      <c r="C1686" s="204">
        <f>'Resumen Capacidad'!$K$32*'Resumen Capacidad'!$K$68</f>
        <v>4</v>
      </c>
      <c r="D1686" s="204">
        <f>'Resumen Capacidad'!$K$32*'Resumen Capacidad'!$K$68</f>
        <v>4</v>
      </c>
      <c r="E1686" s="204">
        <f>'Resumen Capacidad'!$K$32*'Resumen Capacidad'!$K$68</f>
        <v>4</v>
      </c>
      <c r="F1686" s="204">
        <f>'Resumen Capacidad'!$K$32*'Resumen Capacidad'!$K$68</f>
        <v>4</v>
      </c>
      <c r="G1686" s="204">
        <f>'Resumen Capacidad'!$K$32*'Resumen Capacidad'!$K$68</f>
        <v>4</v>
      </c>
      <c r="H1686" s="204">
        <f>'Resumen Capacidad'!$K$32*'Resumen Capacidad'!$K$68</f>
        <v>4</v>
      </c>
      <c r="I1686" s="204">
        <f>'Resumen Capacidad'!$K$32*'Resumen Capacidad'!$K$68</f>
        <v>4</v>
      </c>
      <c r="J1686" s="204">
        <f>'Resumen Capacidad'!$K$32*'Resumen Capacidad'!$K$68</f>
        <v>4</v>
      </c>
      <c r="K1686" s="204">
        <f>'Resumen Capacidad'!$K$32*'Resumen Capacidad'!$K$68</f>
        <v>4</v>
      </c>
      <c r="L1686" s="204">
        <f>'Resumen Capacidad'!$K$32*'Resumen Capacidad'!$K$68</f>
        <v>4</v>
      </c>
      <c r="M1686" s="204">
        <f>'Resumen Capacidad'!$K$32*'Resumen Capacidad'!$K$68</f>
        <v>4</v>
      </c>
      <c r="N1686" s="204">
        <f>'Resumen Capacidad'!$K$32*'Resumen Capacidad'!$K$68</f>
        <v>4</v>
      </c>
      <c r="O1686" s="5"/>
      <c r="P1686" s="5"/>
      <c r="Q1686" s="5"/>
      <c r="R1686" s="5"/>
      <c r="S1686" s="5"/>
      <c r="T1686" s="5"/>
      <c r="U1686" s="5"/>
      <c r="V1686" s="5"/>
      <c r="W1686" s="5"/>
      <c r="X1686" s="5"/>
      <c r="Y1686" s="5"/>
      <c r="Z1686" s="5"/>
    </row>
    <row r="1687" ht="12.0" customHeight="1">
      <c r="A1687" s="92" t="s">
        <v>642</v>
      </c>
      <c r="B1687" s="5"/>
      <c r="C1687" s="204">
        <f t="shared" ref="C1687:N1687" si="497">C1685*C1686</f>
        <v>384</v>
      </c>
      <c r="D1687" s="204">
        <f t="shared" si="497"/>
        <v>384</v>
      </c>
      <c r="E1687" s="204">
        <f t="shared" si="497"/>
        <v>384</v>
      </c>
      <c r="F1687" s="204">
        <f t="shared" si="497"/>
        <v>384</v>
      </c>
      <c r="G1687" s="204">
        <f t="shared" si="497"/>
        <v>384</v>
      </c>
      <c r="H1687" s="204">
        <f t="shared" si="497"/>
        <v>384</v>
      </c>
      <c r="I1687" s="204">
        <f t="shared" si="497"/>
        <v>384</v>
      </c>
      <c r="J1687" s="204">
        <f t="shared" si="497"/>
        <v>384</v>
      </c>
      <c r="K1687" s="204">
        <f t="shared" si="497"/>
        <v>384</v>
      </c>
      <c r="L1687" s="204">
        <f t="shared" si="497"/>
        <v>384</v>
      </c>
      <c r="M1687" s="204">
        <f t="shared" si="497"/>
        <v>384</v>
      </c>
      <c r="N1687" s="204">
        <f t="shared" si="497"/>
        <v>384</v>
      </c>
      <c r="O1687" s="5"/>
      <c r="P1687" s="5"/>
      <c r="Q1687" s="5"/>
      <c r="R1687" s="5"/>
      <c r="S1687" s="5"/>
      <c r="T1687" s="5"/>
      <c r="U1687" s="5"/>
      <c r="V1687" s="5"/>
      <c r="W1687" s="5"/>
      <c r="X1687" s="5"/>
      <c r="Y1687" s="5"/>
      <c r="Z1687" s="5"/>
    </row>
    <row r="1688" ht="12.0" customHeight="1">
      <c r="A1688" s="92" t="s">
        <v>643</v>
      </c>
      <c r="B1688" s="5"/>
      <c r="C1688" s="206">
        <f t="shared" ref="C1688:N1688" si="498">IF(C1687=0,0,C1684/C1687)</f>
        <v>0.5638145833</v>
      </c>
      <c r="D1688" s="206">
        <f t="shared" si="498"/>
        <v>0.4299453125</v>
      </c>
      <c r="E1688" s="206">
        <f t="shared" si="498"/>
        <v>0.4018524306</v>
      </c>
      <c r="F1688" s="206">
        <f t="shared" si="498"/>
        <v>0.3842638021</v>
      </c>
      <c r="G1688" s="206">
        <f t="shared" si="498"/>
        <v>0.3595907986</v>
      </c>
      <c r="H1688" s="206">
        <f t="shared" si="498"/>
        <v>0.3525064236</v>
      </c>
      <c r="I1688" s="206">
        <f t="shared" si="498"/>
        <v>0.3771794271</v>
      </c>
      <c r="J1688" s="206">
        <f t="shared" si="498"/>
        <v>0.3771794271</v>
      </c>
      <c r="K1688" s="206">
        <f t="shared" si="498"/>
        <v>0.3771794271</v>
      </c>
      <c r="L1688" s="206">
        <f t="shared" si="498"/>
        <v>0.3700950521</v>
      </c>
      <c r="M1688" s="206">
        <f t="shared" si="498"/>
        <v>0.3630106771</v>
      </c>
      <c r="N1688" s="206">
        <f t="shared" si="498"/>
        <v>0.5779833333</v>
      </c>
      <c r="O1688" s="5"/>
      <c r="P1688" s="5"/>
      <c r="Q1688" s="5"/>
      <c r="R1688" s="5"/>
      <c r="S1688" s="5"/>
      <c r="T1688" s="5"/>
      <c r="U1688" s="5"/>
      <c r="V1688" s="5"/>
      <c r="W1688" s="5"/>
      <c r="X1688" s="5"/>
      <c r="Y1688" s="5"/>
      <c r="Z1688" s="5"/>
    </row>
    <row r="1689" ht="12.0" customHeight="1">
      <c r="A1689" s="201" t="s">
        <v>650</v>
      </c>
      <c r="B1689" s="202"/>
      <c r="C1689" s="202"/>
      <c r="D1689" s="202"/>
      <c r="E1689" s="202"/>
      <c r="F1689" s="202"/>
      <c r="G1689" s="202"/>
      <c r="H1689" s="202"/>
      <c r="I1689" s="202"/>
      <c r="J1689" s="202"/>
      <c r="K1689" s="202"/>
      <c r="L1689" s="202"/>
      <c r="M1689" s="202"/>
      <c r="N1689" s="202"/>
      <c r="O1689" s="5"/>
      <c r="P1689" s="5"/>
      <c r="Q1689" s="5"/>
      <c r="R1689" s="5"/>
      <c r="S1689" s="5"/>
      <c r="T1689" s="5"/>
      <c r="U1689" s="5"/>
      <c r="V1689" s="5"/>
      <c r="W1689" s="5"/>
      <c r="X1689" s="5"/>
      <c r="Y1689" s="5"/>
      <c r="Z1689" s="5"/>
    </row>
    <row r="1690" ht="12.0" customHeight="1">
      <c r="A1690" s="201" t="s">
        <v>630</v>
      </c>
      <c r="B1690" s="201" t="s">
        <v>631</v>
      </c>
      <c r="C1690" s="201" t="s">
        <v>3</v>
      </c>
      <c r="D1690" s="201" t="s">
        <v>4</v>
      </c>
      <c r="E1690" s="201" t="s">
        <v>5</v>
      </c>
      <c r="F1690" s="201" t="s">
        <v>6</v>
      </c>
      <c r="G1690" s="201" t="s">
        <v>7</v>
      </c>
      <c r="H1690" s="201" t="s">
        <v>8</v>
      </c>
      <c r="I1690" s="201" t="s">
        <v>9</v>
      </c>
      <c r="J1690" s="201" t="s">
        <v>10</v>
      </c>
      <c r="K1690" s="201" t="s">
        <v>11</v>
      </c>
      <c r="L1690" s="201" t="s">
        <v>12</v>
      </c>
      <c r="M1690" s="201" t="s">
        <v>13</v>
      </c>
      <c r="N1690" s="201" t="s">
        <v>14</v>
      </c>
      <c r="O1690" s="5"/>
      <c r="P1690" s="5"/>
      <c r="Q1690" s="5"/>
      <c r="R1690" s="5"/>
      <c r="S1690" s="5"/>
      <c r="T1690" s="5"/>
      <c r="U1690" s="5"/>
      <c r="V1690" s="5"/>
      <c r="W1690" s="5"/>
      <c r="X1690" s="5"/>
      <c r="Y1690" s="5"/>
      <c r="Z1690" s="5"/>
    </row>
    <row r="1691" ht="12.0" customHeight="1">
      <c r="A1691" s="92" t="s">
        <v>651</v>
      </c>
      <c r="B1691" s="92" t="s">
        <v>633</v>
      </c>
      <c r="C1691" s="203">
        <f>SUM('2035'!B7:B9)+SUM('2035'!B18:B20)</f>
        <v>8161.2</v>
      </c>
      <c r="D1691" s="203">
        <f>SUM('2035'!C7:C9)+SUM('2035'!C18:C20)</f>
        <v>6528.96</v>
      </c>
      <c r="E1691" s="203">
        <f>SUM('2035'!D7:D9)+SUM('2035'!D18:D20)</f>
        <v>6937.02</v>
      </c>
      <c r="F1691" s="203">
        <f>SUM('2035'!E7:E9)+SUM('2035'!E18:E20)</f>
        <v>6937.02</v>
      </c>
      <c r="G1691" s="203">
        <f>SUM('2035'!F7:F9)+SUM('2035'!F18:F20)</f>
        <v>6528.96</v>
      </c>
      <c r="H1691" s="203">
        <f>SUM('2035'!G7:G9)+SUM('2035'!G18:G20)</f>
        <v>6120.9</v>
      </c>
      <c r="I1691" s="203">
        <f>SUM('2035'!H7:H9)+SUM('2035'!H18:H20)</f>
        <v>6528.96</v>
      </c>
      <c r="J1691" s="203">
        <f>SUM('2035'!I7:I9)+SUM('2035'!I18:I20)</f>
        <v>6528.96</v>
      </c>
      <c r="K1691" s="203">
        <f>SUM('2035'!J7:J9)+SUM('2035'!J18:J20)</f>
        <v>6528.96</v>
      </c>
      <c r="L1691" s="203">
        <f>SUM('2035'!K7:K9)+SUM('2035'!K18:K20)</f>
        <v>6120.9</v>
      </c>
      <c r="M1691" s="203">
        <f>SUM('2035'!L7:L9)+SUM('2035'!L18:L20)</f>
        <v>5712.84</v>
      </c>
      <c r="N1691" s="203">
        <f>SUM('2035'!M7:M9)+SUM('2035'!M18:M20)</f>
        <v>8977.32</v>
      </c>
      <c r="O1691" s="5"/>
      <c r="P1691" s="5"/>
      <c r="Q1691" s="5"/>
      <c r="R1691" s="5"/>
      <c r="S1691" s="5"/>
      <c r="T1691" s="5"/>
      <c r="U1691" s="5"/>
      <c r="V1691" s="5"/>
      <c r="W1691" s="5"/>
      <c r="X1691" s="5"/>
      <c r="Y1691" s="5"/>
      <c r="Z1691" s="5"/>
    </row>
    <row r="1692" ht="12.0" customHeight="1">
      <c r="A1692" s="5"/>
      <c r="B1692" s="92" t="s">
        <v>634</v>
      </c>
      <c r="C1692" s="204">
        <f>C1691/Parametros!$B$37</f>
        <v>408.06</v>
      </c>
      <c r="D1692" s="204">
        <f>D1691/Parametros!$B$37</f>
        <v>326.448</v>
      </c>
      <c r="E1692" s="204">
        <f>E1691/Parametros!$B$37</f>
        <v>346.851</v>
      </c>
      <c r="F1692" s="204">
        <f>F1691/Parametros!$B$37</f>
        <v>346.851</v>
      </c>
      <c r="G1692" s="204">
        <f>G1691/Parametros!$B$37</f>
        <v>326.448</v>
      </c>
      <c r="H1692" s="204">
        <f>H1691/Parametros!$B$37</f>
        <v>306.045</v>
      </c>
      <c r="I1692" s="204">
        <f>I1691/Parametros!$B$37</f>
        <v>326.448</v>
      </c>
      <c r="J1692" s="204">
        <f>J1691/Parametros!$B$37</f>
        <v>326.448</v>
      </c>
      <c r="K1692" s="204">
        <f>K1691/Parametros!$B$37</f>
        <v>326.448</v>
      </c>
      <c r="L1692" s="204">
        <f>L1691/Parametros!$B$37</f>
        <v>306.045</v>
      </c>
      <c r="M1692" s="204">
        <f>M1691/Parametros!$B$37</f>
        <v>285.642</v>
      </c>
      <c r="N1692" s="204">
        <f>N1691/Parametros!$B$37</f>
        <v>448.866</v>
      </c>
      <c r="O1692" s="5"/>
      <c r="P1692" s="5"/>
      <c r="Q1692" s="5"/>
      <c r="R1692" s="5"/>
      <c r="S1692" s="5"/>
      <c r="T1692" s="5"/>
      <c r="U1692" s="5"/>
      <c r="V1692" s="5"/>
      <c r="W1692" s="5"/>
      <c r="X1692" s="5"/>
      <c r="Y1692" s="5"/>
      <c r="Z1692" s="5"/>
    </row>
    <row r="1693" ht="12.0" customHeight="1">
      <c r="A1693" s="5"/>
      <c r="B1693" s="92" t="s">
        <v>635</v>
      </c>
      <c r="C1693" s="204">
        <f>C1692/Parametros!$J$37</f>
        <v>54.408</v>
      </c>
      <c r="D1693" s="204">
        <f>D1692/Parametros!$J$37</f>
        <v>43.5264</v>
      </c>
      <c r="E1693" s="204">
        <f>E1692/Parametros!$J$37</f>
        <v>46.2468</v>
      </c>
      <c r="F1693" s="204">
        <f>F1692/Parametros!$J$37</f>
        <v>46.2468</v>
      </c>
      <c r="G1693" s="204">
        <f>G1692/Parametros!$J$37</f>
        <v>43.5264</v>
      </c>
      <c r="H1693" s="204">
        <f>H1692/Parametros!$J$37</f>
        <v>40.806</v>
      </c>
      <c r="I1693" s="204">
        <f>I1692/Parametros!$J$37</f>
        <v>43.5264</v>
      </c>
      <c r="J1693" s="204">
        <f>J1692/Parametros!$J$37</f>
        <v>43.5264</v>
      </c>
      <c r="K1693" s="204">
        <f>K1692/Parametros!$J$37</f>
        <v>43.5264</v>
      </c>
      <c r="L1693" s="204">
        <f>L1692/Parametros!$J$37</f>
        <v>40.806</v>
      </c>
      <c r="M1693" s="204">
        <f>M1692/Parametros!$J$37</f>
        <v>38.0856</v>
      </c>
      <c r="N1693" s="204">
        <f>N1692/Parametros!$J$37</f>
        <v>59.8488</v>
      </c>
      <c r="O1693" s="5"/>
      <c r="P1693" s="5"/>
      <c r="Q1693" s="5"/>
      <c r="R1693" s="5"/>
      <c r="S1693" s="5"/>
      <c r="T1693" s="5"/>
      <c r="U1693" s="5"/>
      <c r="V1693" s="5"/>
      <c r="W1693" s="5"/>
      <c r="X1693" s="5"/>
      <c r="Y1693" s="5"/>
      <c r="Z1693" s="5"/>
    </row>
    <row r="1694" ht="12.0" customHeight="1">
      <c r="A1694" s="92" t="s">
        <v>636</v>
      </c>
      <c r="B1694" s="5"/>
      <c r="C1694" s="204">
        <f t="shared" ref="C1694:N1694" si="499">C1693</f>
        <v>54.408</v>
      </c>
      <c r="D1694" s="204">
        <f t="shared" si="499"/>
        <v>43.5264</v>
      </c>
      <c r="E1694" s="204">
        <f t="shared" si="499"/>
        <v>46.2468</v>
      </c>
      <c r="F1694" s="204">
        <f t="shared" si="499"/>
        <v>46.2468</v>
      </c>
      <c r="G1694" s="204">
        <f t="shared" si="499"/>
        <v>43.5264</v>
      </c>
      <c r="H1694" s="204">
        <f t="shared" si="499"/>
        <v>40.806</v>
      </c>
      <c r="I1694" s="204">
        <f t="shared" si="499"/>
        <v>43.5264</v>
      </c>
      <c r="J1694" s="204">
        <f t="shared" si="499"/>
        <v>43.5264</v>
      </c>
      <c r="K1694" s="204">
        <f t="shared" si="499"/>
        <v>43.5264</v>
      </c>
      <c r="L1694" s="204">
        <f t="shared" si="499"/>
        <v>40.806</v>
      </c>
      <c r="M1694" s="204">
        <f t="shared" si="499"/>
        <v>38.0856</v>
      </c>
      <c r="N1694" s="204">
        <f t="shared" si="499"/>
        <v>59.8488</v>
      </c>
      <c r="O1694" s="5"/>
      <c r="P1694" s="5"/>
      <c r="Q1694" s="5"/>
      <c r="R1694" s="5"/>
      <c r="S1694" s="5"/>
      <c r="T1694" s="5"/>
      <c r="U1694" s="5"/>
      <c r="V1694" s="5"/>
      <c r="W1694" s="5"/>
      <c r="X1694" s="5"/>
      <c r="Y1694" s="5"/>
      <c r="Z1694" s="5"/>
    </row>
    <row r="1695" ht="12.0" customHeight="1">
      <c r="A1695" s="92" t="s">
        <v>637</v>
      </c>
      <c r="B1695" s="5"/>
      <c r="C1695" s="205">
        <f>'Resumen Capacidad'!$K$115</f>
        <v>80.10122449</v>
      </c>
      <c r="D1695" s="205">
        <f>'Resumen Capacidad'!$K$115</f>
        <v>80.10122449</v>
      </c>
      <c r="E1695" s="205">
        <f>'Resumen Capacidad'!$K$115</f>
        <v>80.10122449</v>
      </c>
      <c r="F1695" s="205">
        <f>'Resumen Capacidad'!$K$115</f>
        <v>80.10122449</v>
      </c>
      <c r="G1695" s="205">
        <f>'Resumen Capacidad'!$K$115</f>
        <v>80.10122449</v>
      </c>
      <c r="H1695" s="205">
        <f>'Resumen Capacidad'!$K$115</f>
        <v>80.10122449</v>
      </c>
      <c r="I1695" s="205">
        <f>'Resumen Capacidad'!$K$115</f>
        <v>80.10122449</v>
      </c>
      <c r="J1695" s="205">
        <f>'Resumen Capacidad'!$K$115</f>
        <v>80.10122449</v>
      </c>
      <c r="K1695" s="205">
        <f>'Resumen Capacidad'!$K$115</f>
        <v>80.10122449</v>
      </c>
      <c r="L1695" s="205">
        <f>'Resumen Capacidad'!$K$115</f>
        <v>80.10122449</v>
      </c>
      <c r="M1695" s="205">
        <f>'Resumen Capacidad'!$K$115</f>
        <v>80.10122449</v>
      </c>
      <c r="N1695" s="205">
        <f>'Resumen Capacidad'!$K$115</f>
        <v>80.10122449</v>
      </c>
      <c r="O1695" s="5"/>
      <c r="P1695" s="5"/>
      <c r="Q1695" s="5"/>
      <c r="R1695" s="5"/>
      <c r="S1695" s="5"/>
      <c r="T1695" s="5"/>
      <c r="U1695" s="5"/>
      <c r="V1695" s="5"/>
      <c r="W1695" s="5"/>
      <c r="X1695" s="5"/>
      <c r="Y1695" s="5"/>
      <c r="Z1695" s="5"/>
    </row>
    <row r="1696" ht="12.0" customHeight="1">
      <c r="A1696" s="92" t="s">
        <v>640</v>
      </c>
      <c r="B1696" s="5"/>
      <c r="C1696" s="204">
        <f>'Resumen Capacidad'!$K$33*'Resumen Capacidad'!$K$69</f>
        <v>1</v>
      </c>
      <c r="D1696" s="204">
        <f>'Resumen Capacidad'!$K$33*'Resumen Capacidad'!$K$69</f>
        <v>1</v>
      </c>
      <c r="E1696" s="204">
        <f>'Resumen Capacidad'!$K$33*'Resumen Capacidad'!$K$69</f>
        <v>1</v>
      </c>
      <c r="F1696" s="204">
        <f>'Resumen Capacidad'!$K$33*'Resumen Capacidad'!$K$69</f>
        <v>1</v>
      </c>
      <c r="G1696" s="204">
        <f>'Resumen Capacidad'!$K$33*'Resumen Capacidad'!$K$69</f>
        <v>1</v>
      </c>
      <c r="H1696" s="204">
        <f>'Resumen Capacidad'!$K$33*'Resumen Capacidad'!$K$69</f>
        <v>1</v>
      </c>
      <c r="I1696" s="204">
        <f>'Resumen Capacidad'!$K$33*'Resumen Capacidad'!$K$69</f>
        <v>1</v>
      </c>
      <c r="J1696" s="204">
        <f>'Resumen Capacidad'!$K$33*'Resumen Capacidad'!$K$69</f>
        <v>1</v>
      </c>
      <c r="K1696" s="204">
        <f>'Resumen Capacidad'!$K$33*'Resumen Capacidad'!$K$69</f>
        <v>1</v>
      </c>
      <c r="L1696" s="204">
        <f>'Resumen Capacidad'!$K$33*'Resumen Capacidad'!$K$69</f>
        <v>1</v>
      </c>
      <c r="M1696" s="204">
        <f>'Resumen Capacidad'!$K$33*'Resumen Capacidad'!$K$69</f>
        <v>1</v>
      </c>
      <c r="N1696" s="204">
        <f>'Resumen Capacidad'!$K$33*'Resumen Capacidad'!$K$69</f>
        <v>1</v>
      </c>
      <c r="O1696" s="5"/>
      <c r="P1696" s="5"/>
      <c r="Q1696" s="5"/>
      <c r="R1696" s="5"/>
      <c r="S1696" s="5"/>
      <c r="T1696" s="5"/>
      <c r="U1696" s="5"/>
      <c r="V1696" s="5"/>
      <c r="W1696" s="5"/>
      <c r="X1696" s="5"/>
      <c r="Y1696" s="5"/>
      <c r="Z1696" s="5"/>
    </row>
    <row r="1697" ht="12.0" customHeight="1">
      <c r="A1697" s="92" t="s">
        <v>642</v>
      </c>
      <c r="B1697" s="5"/>
      <c r="C1697" s="204">
        <f t="shared" ref="C1697:N1697" si="500">C1695*C1696</f>
        <v>80.10122449</v>
      </c>
      <c r="D1697" s="204">
        <f t="shared" si="500"/>
        <v>80.10122449</v>
      </c>
      <c r="E1697" s="204">
        <f t="shared" si="500"/>
        <v>80.10122449</v>
      </c>
      <c r="F1697" s="204">
        <f t="shared" si="500"/>
        <v>80.10122449</v>
      </c>
      <c r="G1697" s="204">
        <f t="shared" si="500"/>
        <v>80.10122449</v>
      </c>
      <c r="H1697" s="204">
        <f t="shared" si="500"/>
        <v>80.10122449</v>
      </c>
      <c r="I1697" s="204">
        <f t="shared" si="500"/>
        <v>80.10122449</v>
      </c>
      <c r="J1697" s="204">
        <f t="shared" si="500"/>
        <v>80.10122449</v>
      </c>
      <c r="K1697" s="204">
        <f t="shared" si="500"/>
        <v>80.10122449</v>
      </c>
      <c r="L1697" s="204">
        <f t="shared" si="500"/>
        <v>80.10122449</v>
      </c>
      <c r="M1697" s="204">
        <f t="shared" si="500"/>
        <v>80.10122449</v>
      </c>
      <c r="N1697" s="204">
        <f t="shared" si="500"/>
        <v>80.10122449</v>
      </c>
      <c r="O1697" s="5"/>
      <c r="P1697" s="5"/>
      <c r="Q1697" s="5"/>
      <c r="R1697" s="5"/>
      <c r="S1697" s="5"/>
      <c r="T1697" s="5"/>
      <c r="U1697" s="5"/>
      <c r="V1697" s="5"/>
      <c r="W1697" s="5"/>
      <c r="X1697" s="5"/>
      <c r="Y1697" s="5"/>
      <c r="Z1697" s="5"/>
    </row>
    <row r="1698" ht="12.0" customHeight="1">
      <c r="A1698" s="92" t="s">
        <v>643</v>
      </c>
      <c r="B1698" s="5"/>
      <c r="C1698" s="206">
        <f t="shared" ref="C1698:N1698" si="501">IF(C1697=0,0,C1694/C1697)</f>
        <v>0.6792405528</v>
      </c>
      <c r="D1698" s="206">
        <f t="shared" si="501"/>
        <v>0.5433924422</v>
      </c>
      <c r="E1698" s="206">
        <f t="shared" si="501"/>
        <v>0.5773544699</v>
      </c>
      <c r="F1698" s="206">
        <f t="shared" si="501"/>
        <v>0.5773544699</v>
      </c>
      <c r="G1698" s="206">
        <f t="shared" si="501"/>
        <v>0.5433924422</v>
      </c>
      <c r="H1698" s="206">
        <f t="shared" si="501"/>
        <v>0.5094304146</v>
      </c>
      <c r="I1698" s="206">
        <f t="shared" si="501"/>
        <v>0.5433924422</v>
      </c>
      <c r="J1698" s="206">
        <f t="shared" si="501"/>
        <v>0.5433924422</v>
      </c>
      <c r="K1698" s="206">
        <f t="shared" si="501"/>
        <v>0.5433924422</v>
      </c>
      <c r="L1698" s="206">
        <f t="shared" si="501"/>
        <v>0.5094304146</v>
      </c>
      <c r="M1698" s="206">
        <f t="shared" si="501"/>
        <v>0.4754683869</v>
      </c>
      <c r="N1698" s="206">
        <f t="shared" si="501"/>
        <v>0.747164608</v>
      </c>
      <c r="O1698" s="5"/>
      <c r="P1698" s="5"/>
      <c r="Q1698" s="5"/>
      <c r="R1698" s="5"/>
      <c r="S1698" s="5"/>
      <c r="T1698" s="5"/>
      <c r="U1698" s="5"/>
      <c r="V1698" s="5"/>
      <c r="W1698" s="5"/>
      <c r="X1698" s="5"/>
      <c r="Y1698" s="5"/>
      <c r="Z1698" s="5"/>
    </row>
    <row r="1699" ht="12.0" customHeight="1">
      <c r="A1699" s="201" t="s">
        <v>656</v>
      </c>
      <c r="B1699" s="202"/>
      <c r="C1699" s="202"/>
      <c r="D1699" s="202"/>
      <c r="E1699" s="202"/>
      <c r="F1699" s="202"/>
      <c r="G1699" s="202"/>
      <c r="H1699" s="202"/>
      <c r="I1699" s="202"/>
      <c r="J1699" s="202"/>
      <c r="K1699" s="202"/>
      <c r="L1699" s="202"/>
      <c r="M1699" s="202"/>
      <c r="N1699" s="202"/>
      <c r="O1699" s="5"/>
      <c r="P1699" s="5"/>
      <c r="Q1699" s="5"/>
      <c r="R1699" s="5"/>
      <c r="S1699" s="5"/>
      <c r="T1699" s="5"/>
      <c r="U1699" s="5"/>
      <c r="V1699" s="5"/>
      <c r="W1699" s="5"/>
      <c r="X1699" s="5"/>
      <c r="Y1699" s="5"/>
      <c r="Z1699" s="5"/>
    </row>
    <row r="1700" ht="12.0" customHeight="1">
      <c r="A1700" s="201" t="s">
        <v>630</v>
      </c>
      <c r="B1700" s="201" t="s">
        <v>631</v>
      </c>
      <c r="C1700" s="201" t="s">
        <v>3</v>
      </c>
      <c r="D1700" s="201" t="s">
        <v>4</v>
      </c>
      <c r="E1700" s="201" t="s">
        <v>5</v>
      </c>
      <c r="F1700" s="201" t="s">
        <v>6</v>
      </c>
      <c r="G1700" s="201" t="s">
        <v>7</v>
      </c>
      <c r="H1700" s="201" t="s">
        <v>8</v>
      </c>
      <c r="I1700" s="201" t="s">
        <v>9</v>
      </c>
      <c r="J1700" s="201" t="s">
        <v>10</v>
      </c>
      <c r="K1700" s="201" t="s">
        <v>11</v>
      </c>
      <c r="L1700" s="201" t="s">
        <v>12</v>
      </c>
      <c r="M1700" s="201" t="s">
        <v>13</v>
      </c>
      <c r="N1700" s="201" t="s">
        <v>14</v>
      </c>
      <c r="O1700" s="5"/>
      <c r="P1700" s="5"/>
      <c r="Q1700" s="5"/>
      <c r="R1700" s="5"/>
      <c r="S1700" s="5"/>
      <c r="T1700" s="5"/>
      <c r="U1700" s="5"/>
      <c r="V1700" s="5"/>
      <c r="W1700" s="5"/>
      <c r="X1700" s="5"/>
      <c r="Y1700" s="5"/>
      <c r="Z1700" s="5"/>
    </row>
    <row r="1701" ht="12.0" customHeight="1">
      <c r="A1701" s="92" t="s">
        <v>651</v>
      </c>
      <c r="B1701" s="92" t="s">
        <v>633</v>
      </c>
      <c r="C1701" s="203">
        <f>SUM('2035'!B7:B9)+SUM('2035'!B18:B20)</f>
        <v>8161.2</v>
      </c>
      <c r="D1701" s="203">
        <f>SUM('2035'!C7:C9)+SUM('2035'!C18:C20)</f>
        <v>6528.96</v>
      </c>
      <c r="E1701" s="203">
        <f>SUM('2035'!D7:D9)+SUM('2035'!D18:D20)</f>
        <v>6937.02</v>
      </c>
      <c r="F1701" s="203">
        <f>SUM('2035'!E7:E9)+SUM('2035'!E18:E20)</f>
        <v>6937.02</v>
      </c>
      <c r="G1701" s="203">
        <f>SUM('2035'!F7:F9)+SUM('2035'!F18:F20)</f>
        <v>6528.96</v>
      </c>
      <c r="H1701" s="203">
        <f>SUM('2035'!G7:G9)+SUM('2035'!G18:G20)</f>
        <v>6120.9</v>
      </c>
      <c r="I1701" s="203">
        <f>SUM('2035'!H7:H9)+SUM('2035'!H18:H20)</f>
        <v>6528.96</v>
      </c>
      <c r="J1701" s="203">
        <f>SUM('2035'!I7:I9)+SUM('2035'!I18:I20)</f>
        <v>6528.96</v>
      </c>
      <c r="K1701" s="203">
        <f>SUM('2035'!J7:J9)+SUM('2035'!J18:J20)</f>
        <v>6528.96</v>
      </c>
      <c r="L1701" s="203">
        <f>SUM('2035'!K7:K9)+SUM('2035'!K18:K20)</f>
        <v>6120.9</v>
      </c>
      <c r="M1701" s="203">
        <f>SUM('2035'!L7:L9)+SUM('2035'!L18:L20)</f>
        <v>5712.84</v>
      </c>
      <c r="N1701" s="203">
        <f>SUM('2035'!M7:M9)+SUM('2035'!M18:M20)</f>
        <v>8977.32</v>
      </c>
      <c r="O1701" s="5"/>
      <c r="P1701" s="5"/>
      <c r="Q1701" s="5"/>
      <c r="R1701" s="5"/>
      <c r="S1701" s="5"/>
      <c r="T1701" s="5"/>
      <c r="U1701" s="5"/>
      <c r="V1701" s="5"/>
      <c r="W1701" s="5"/>
      <c r="X1701" s="5"/>
      <c r="Y1701" s="5"/>
      <c r="Z1701" s="5"/>
    </row>
    <row r="1702" ht="12.0" customHeight="1">
      <c r="A1702" s="5"/>
      <c r="B1702" s="92" t="s">
        <v>634</v>
      </c>
      <c r="C1702" s="204">
        <f>C1701/Parametros!$B$37</f>
        <v>408.06</v>
      </c>
      <c r="D1702" s="204">
        <f>D1701/Parametros!$B$37</f>
        <v>326.448</v>
      </c>
      <c r="E1702" s="204">
        <f>E1701/Parametros!$B$37</f>
        <v>346.851</v>
      </c>
      <c r="F1702" s="204">
        <f>F1701/Parametros!$B$37</f>
        <v>346.851</v>
      </c>
      <c r="G1702" s="204">
        <f>G1701/Parametros!$B$37</f>
        <v>326.448</v>
      </c>
      <c r="H1702" s="204">
        <f>H1701/Parametros!$B$37</f>
        <v>306.045</v>
      </c>
      <c r="I1702" s="204">
        <f>I1701/Parametros!$B$37</f>
        <v>326.448</v>
      </c>
      <c r="J1702" s="204">
        <f>J1701/Parametros!$B$37</f>
        <v>326.448</v>
      </c>
      <c r="K1702" s="204">
        <f>K1701/Parametros!$B$37</f>
        <v>326.448</v>
      </c>
      <c r="L1702" s="204">
        <f>L1701/Parametros!$B$37</f>
        <v>306.045</v>
      </c>
      <c r="M1702" s="204">
        <f>M1701/Parametros!$B$37</f>
        <v>285.642</v>
      </c>
      <c r="N1702" s="204">
        <f>N1701/Parametros!$B$37</f>
        <v>448.866</v>
      </c>
      <c r="O1702" s="5"/>
      <c r="P1702" s="5"/>
      <c r="Q1702" s="5"/>
      <c r="R1702" s="5"/>
      <c r="S1702" s="5"/>
      <c r="T1702" s="5"/>
      <c r="U1702" s="5"/>
      <c r="V1702" s="5"/>
      <c r="W1702" s="5"/>
      <c r="X1702" s="5"/>
      <c r="Y1702" s="5"/>
      <c r="Z1702" s="5"/>
    </row>
    <row r="1703" ht="12.0" customHeight="1">
      <c r="A1703" s="5"/>
      <c r="B1703" s="92" t="s">
        <v>635</v>
      </c>
      <c r="C1703" s="204">
        <f>C1702/Parametros!$J$37</f>
        <v>54.408</v>
      </c>
      <c r="D1703" s="204">
        <f>D1702/Parametros!$J$37</f>
        <v>43.5264</v>
      </c>
      <c r="E1703" s="204">
        <f>E1702/Parametros!$J$37</f>
        <v>46.2468</v>
      </c>
      <c r="F1703" s="204">
        <f>F1702/Parametros!$J$37</f>
        <v>46.2468</v>
      </c>
      <c r="G1703" s="204">
        <f>G1702/Parametros!$J$37</f>
        <v>43.5264</v>
      </c>
      <c r="H1703" s="204">
        <f>H1702/Parametros!$J$37</f>
        <v>40.806</v>
      </c>
      <c r="I1703" s="204">
        <f>I1702/Parametros!$J$37</f>
        <v>43.5264</v>
      </c>
      <c r="J1703" s="204">
        <f>J1702/Parametros!$J$37</f>
        <v>43.5264</v>
      </c>
      <c r="K1703" s="204">
        <f>K1702/Parametros!$J$37</f>
        <v>43.5264</v>
      </c>
      <c r="L1703" s="204">
        <f>L1702/Parametros!$J$37</f>
        <v>40.806</v>
      </c>
      <c r="M1703" s="204">
        <f>M1702/Parametros!$J$37</f>
        <v>38.0856</v>
      </c>
      <c r="N1703" s="204">
        <f>N1702/Parametros!$J$37</f>
        <v>59.8488</v>
      </c>
      <c r="O1703" s="5"/>
      <c r="P1703" s="5"/>
      <c r="Q1703" s="5"/>
      <c r="R1703" s="5"/>
      <c r="S1703" s="5"/>
      <c r="T1703" s="5"/>
      <c r="U1703" s="5"/>
      <c r="V1703" s="5"/>
      <c r="W1703" s="5"/>
      <c r="X1703" s="5"/>
      <c r="Y1703" s="5"/>
      <c r="Z1703" s="5"/>
    </row>
    <row r="1704" ht="12.0" customHeight="1">
      <c r="A1704" s="92" t="s">
        <v>636</v>
      </c>
      <c r="B1704" s="5"/>
      <c r="C1704" s="204">
        <f t="shared" ref="C1704:N1704" si="502">C1703</f>
        <v>54.408</v>
      </c>
      <c r="D1704" s="204">
        <f t="shared" si="502"/>
        <v>43.5264</v>
      </c>
      <c r="E1704" s="204">
        <f t="shared" si="502"/>
        <v>46.2468</v>
      </c>
      <c r="F1704" s="204">
        <f t="shared" si="502"/>
        <v>46.2468</v>
      </c>
      <c r="G1704" s="204">
        <f t="shared" si="502"/>
        <v>43.5264</v>
      </c>
      <c r="H1704" s="204">
        <f t="shared" si="502"/>
        <v>40.806</v>
      </c>
      <c r="I1704" s="204">
        <f t="shared" si="502"/>
        <v>43.5264</v>
      </c>
      <c r="J1704" s="204">
        <f t="shared" si="502"/>
        <v>43.5264</v>
      </c>
      <c r="K1704" s="204">
        <f t="shared" si="502"/>
        <v>43.5264</v>
      </c>
      <c r="L1704" s="204">
        <f t="shared" si="502"/>
        <v>40.806</v>
      </c>
      <c r="M1704" s="204">
        <f t="shared" si="502"/>
        <v>38.0856</v>
      </c>
      <c r="N1704" s="204">
        <f t="shared" si="502"/>
        <v>59.8488</v>
      </c>
      <c r="O1704" s="5"/>
      <c r="P1704" s="5"/>
      <c r="Q1704" s="5"/>
      <c r="R1704" s="5"/>
      <c r="S1704" s="5"/>
      <c r="T1704" s="5"/>
      <c r="U1704" s="5"/>
      <c r="V1704" s="5"/>
      <c r="W1704" s="5"/>
      <c r="X1704" s="5"/>
      <c r="Y1704" s="5"/>
      <c r="Z1704" s="5"/>
    </row>
    <row r="1705" ht="12.0" customHeight="1">
      <c r="A1705" s="92" t="s">
        <v>637</v>
      </c>
      <c r="B1705" s="5"/>
      <c r="C1705" s="205">
        <f>'Resumen Capacidad'!$K$116</f>
        <v>56.576</v>
      </c>
      <c r="D1705" s="205">
        <f>'Resumen Capacidad'!$K$116</f>
        <v>56.576</v>
      </c>
      <c r="E1705" s="205">
        <f>'Resumen Capacidad'!$K$116</f>
        <v>56.576</v>
      </c>
      <c r="F1705" s="205">
        <f>'Resumen Capacidad'!$K$116</f>
        <v>56.576</v>
      </c>
      <c r="G1705" s="205">
        <f>'Resumen Capacidad'!$K$116</f>
        <v>56.576</v>
      </c>
      <c r="H1705" s="205">
        <f>'Resumen Capacidad'!$K$116</f>
        <v>56.576</v>
      </c>
      <c r="I1705" s="205">
        <f>'Resumen Capacidad'!$K$116</f>
        <v>56.576</v>
      </c>
      <c r="J1705" s="205">
        <f>'Resumen Capacidad'!$K$116</f>
        <v>56.576</v>
      </c>
      <c r="K1705" s="205">
        <f>'Resumen Capacidad'!$K$116</f>
        <v>56.576</v>
      </c>
      <c r="L1705" s="205">
        <f>'Resumen Capacidad'!$K$116</f>
        <v>56.576</v>
      </c>
      <c r="M1705" s="205">
        <f>'Resumen Capacidad'!$K$116</f>
        <v>56.576</v>
      </c>
      <c r="N1705" s="205">
        <f>'Resumen Capacidad'!$K$116</f>
        <v>56.576</v>
      </c>
      <c r="O1705" s="5"/>
      <c r="P1705" s="5"/>
      <c r="Q1705" s="5"/>
      <c r="R1705" s="5"/>
      <c r="S1705" s="5"/>
      <c r="T1705" s="5"/>
      <c r="U1705" s="5"/>
      <c r="V1705" s="5"/>
      <c r="W1705" s="5"/>
      <c r="X1705" s="5"/>
      <c r="Y1705" s="5"/>
      <c r="Z1705" s="5"/>
    </row>
    <row r="1706" ht="12.0" customHeight="1">
      <c r="A1706" s="92" t="s">
        <v>640</v>
      </c>
      <c r="B1706" s="5"/>
      <c r="C1706" s="204">
        <f>'Resumen Capacidad'!$K$34*'Resumen Capacidad'!$K$70</f>
        <v>2</v>
      </c>
      <c r="D1706" s="204">
        <f>'Resumen Capacidad'!$K$34*'Resumen Capacidad'!$K$70</f>
        <v>2</v>
      </c>
      <c r="E1706" s="204">
        <f>'Resumen Capacidad'!$K$34*'Resumen Capacidad'!$K$70</f>
        <v>2</v>
      </c>
      <c r="F1706" s="204">
        <f>'Resumen Capacidad'!$K$34*'Resumen Capacidad'!$K$70</f>
        <v>2</v>
      </c>
      <c r="G1706" s="204">
        <f>'Resumen Capacidad'!$K$34*'Resumen Capacidad'!$K$70</f>
        <v>2</v>
      </c>
      <c r="H1706" s="204">
        <f>'Resumen Capacidad'!$K$34*'Resumen Capacidad'!$K$70</f>
        <v>2</v>
      </c>
      <c r="I1706" s="204">
        <f>'Resumen Capacidad'!$K$34*'Resumen Capacidad'!$K$70</f>
        <v>2</v>
      </c>
      <c r="J1706" s="204">
        <f>'Resumen Capacidad'!$K$34*'Resumen Capacidad'!$K$70</f>
        <v>2</v>
      </c>
      <c r="K1706" s="204">
        <f>'Resumen Capacidad'!$K$34*'Resumen Capacidad'!$K$70</f>
        <v>2</v>
      </c>
      <c r="L1706" s="204">
        <f>'Resumen Capacidad'!$K$34*'Resumen Capacidad'!$K$70</f>
        <v>2</v>
      </c>
      <c r="M1706" s="204">
        <f>'Resumen Capacidad'!$K$34*'Resumen Capacidad'!$K$70</f>
        <v>2</v>
      </c>
      <c r="N1706" s="204">
        <f>'Resumen Capacidad'!$K$34*'Resumen Capacidad'!$K$70</f>
        <v>2</v>
      </c>
      <c r="O1706" s="5"/>
      <c r="P1706" s="5"/>
      <c r="Q1706" s="5"/>
      <c r="R1706" s="5"/>
      <c r="S1706" s="5"/>
      <c r="T1706" s="5"/>
      <c r="U1706" s="5"/>
      <c r="V1706" s="5"/>
      <c r="W1706" s="5"/>
      <c r="X1706" s="5"/>
      <c r="Y1706" s="5"/>
      <c r="Z1706" s="5"/>
    </row>
    <row r="1707" ht="12.0" customHeight="1">
      <c r="A1707" s="92" t="s">
        <v>642</v>
      </c>
      <c r="B1707" s="5"/>
      <c r="C1707" s="204">
        <f t="shared" ref="C1707:N1707" si="503">C1705*C1706</f>
        <v>113.152</v>
      </c>
      <c r="D1707" s="204">
        <f t="shared" si="503"/>
        <v>113.152</v>
      </c>
      <c r="E1707" s="204">
        <f t="shared" si="503"/>
        <v>113.152</v>
      </c>
      <c r="F1707" s="204">
        <f t="shared" si="503"/>
        <v>113.152</v>
      </c>
      <c r="G1707" s="204">
        <f t="shared" si="503"/>
        <v>113.152</v>
      </c>
      <c r="H1707" s="204">
        <f t="shared" si="503"/>
        <v>113.152</v>
      </c>
      <c r="I1707" s="204">
        <f t="shared" si="503"/>
        <v>113.152</v>
      </c>
      <c r="J1707" s="204">
        <f t="shared" si="503"/>
        <v>113.152</v>
      </c>
      <c r="K1707" s="204">
        <f t="shared" si="503"/>
        <v>113.152</v>
      </c>
      <c r="L1707" s="204">
        <f t="shared" si="503"/>
        <v>113.152</v>
      </c>
      <c r="M1707" s="204">
        <f t="shared" si="503"/>
        <v>113.152</v>
      </c>
      <c r="N1707" s="204">
        <f t="shared" si="503"/>
        <v>113.152</v>
      </c>
      <c r="O1707" s="5"/>
      <c r="P1707" s="5"/>
      <c r="Q1707" s="5"/>
      <c r="R1707" s="5"/>
      <c r="S1707" s="5"/>
      <c r="T1707" s="5"/>
      <c r="U1707" s="5"/>
      <c r="V1707" s="5"/>
      <c r="W1707" s="5"/>
      <c r="X1707" s="5"/>
      <c r="Y1707" s="5"/>
      <c r="Z1707" s="5"/>
    </row>
    <row r="1708" ht="12.0" customHeight="1">
      <c r="A1708" s="92" t="s">
        <v>643</v>
      </c>
      <c r="B1708" s="5"/>
      <c r="C1708" s="206">
        <f t="shared" ref="C1708:N1708" si="504">IF(C1707=0,0,C1704/C1707)</f>
        <v>0.4808399321</v>
      </c>
      <c r="D1708" s="206">
        <f t="shared" si="504"/>
        <v>0.3846719457</v>
      </c>
      <c r="E1708" s="206">
        <f t="shared" si="504"/>
        <v>0.4087139423</v>
      </c>
      <c r="F1708" s="206">
        <f t="shared" si="504"/>
        <v>0.4087139423</v>
      </c>
      <c r="G1708" s="206">
        <f t="shared" si="504"/>
        <v>0.3846719457</v>
      </c>
      <c r="H1708" s="206">
        <f t="shared" si="504"/>
        <v>0.3606299491</v>
      </c>
      <c r="I1708" s="206">
        <f t="shared" si="504"/>
        <v>0.3846719457</v>
      </c>
      <c r="J1708" s="206">
        <f t="shared" si="504"/>
        <v>0.3846719457</v>
      </c>
      <c r="K1708" s="206">
        <f t="shared" si="504"/>
        <v>0.3846719457</v>
      </c>
      <c r="L1708" s="206">
        <f t="shared" si="504"/>
        <v>0.3606299491</v>
      </c>
      <c r="M1708" s="206">
        <f t="shared" si="504"/>
        <v>0.3365879525</v>
      </c>
      <c r="N1708" s="206">
        <f t="shared" si="504"/>
        <v>0.5289239253</v>
      </c>
      <c r="O1708" s="5"/>
      <c r="P1708" s="5"/>
      <c r="Q1708" s="5"/>
      <c r="R1708" s="5"/>
      <c r="S1708" s="5"/>
      <c r="T1708" s="5"/>
      <c r="U1708" s="5"/>
      <c r="V1708" s="5"/>
      <c r="W1708" s="5"/>
      <c r="X1708" s="5"/>
      <c r="Y1708" s="5"/>
      <c r="Z1708" s="5"/>
    </row>
    <row r="1709" ht="12.0" customHeight="1">
      <c r="A1709" s="201" t="s">
        <v>663</v>
      </c>
      <c r="B1709" s="202"/>
      <c r="C1709" s="202"/>
      <c r="D1709" s="202"/>
      <c r="E1709" s="202"/>
      <c r="F1709" s="202"/>
      <c r="G1709" s="202"/>
      <c r="H1709" s="202"/>
      <c r="I1709" s="202"/>
      <c r="J1709" s="202"/>
      <c r="K1709" s="202"/>
      <c r="L1709" s="202"/>
      <c r="M1709" s="202"/>
      <c r="N1709" s="202"/>
      <c r="O1709" s="5"/>
      <c r="P1709" s="5"/>
      <c r="Q1709" s="5"/>
      <c r="R1709" s="5"/>
      <c r="S1709" s="5"/>
      <c r="T1709" s="5"/>
      <c r="U1709" s="5"/>
      <c r="V1709" s="5"/>
      <c r="W1709" s="5"/>
      <c r="X1709" s="5"/>
      <c r="Y1709" s="5"/>
      <c r="Z1709" s="5"/>
    </row>
    <row r="1710" ht="12.0" customHeight="1">
      <c r="A1710" s="201" t="s">
        <v>630</v>
      </c>
      <c r="B1710" s="201" t="s">
        <v>631</v>
      </c>
      <c r="C1710" s="201" t="s">
        <v>3</v>
      </c>
      <c r="D1710" s="201" t="s">
        <v>4</v>
      </c>
      <c r="E1710" s="201" t="s">
        <v>5</v>
      </c>
      <c r="F1710" s="201" t="s">
        <v>6</v>
      </c>
      <c r="G1710" s="201" t="s">
        <v>7</v>
      </c>
      <c r="H1710" s="201" t="s">
        <v>8</v>
      </c>
      <c r="I1710" s="201" t="s">
        <v>9</v>
      </c>
      <c r="J1710" s="201" t="s">
        <v>10</v>
      </c>
      <c r="K1710" s="201" t="s">
        <v>11</v>
      </c>
      <c r="L1710" s="201" t="s">
        <v>12</v>
      </c>
      <c r="M1710" s="201" t="s">
        <v>13</v>
      </c>
      <c r="N1710" s="201" t="s">
        <v>14</v>
      </c>
      <c r="O1710" s="5"/>
      <c r="P1710" s="5"/>
      <c r="Q1710" s="5"/>
      <c r="R1710" s="5"/>
      <c r="S1710" s="5"/>
      <c r="T1710" s="5"/>
      <c r="U1710" s="5"/>
      <c r="V1710" s="5"/>
      <c r="W1710" s="5"/>
      <c r="X1710" s="5"/>
      <c r="Y1710" s="5"/>
      <c r="Z1710" s="5"/>
    </row>
    <row r="1711" ht="12.0" customHeight="1">
      <c r="A1711" s="92" t="s">
        <v>632</v>
      </c>
      <c r="B1711" s="92" t="s">
        <v>633</v>
      </c>
      <c r="C1711" s="203">
        <f>SUM('2035'!B6:B9)+SUM('2035'!B17:B20)</f>
        <v>32475.72</v>
      </c>
      <c r="D1711" s="203">
        <f>SUM('2035'!C6:C9)+SUM('2035'!C17:C20)</f>
        <v>24764.85</v>
      </c>
      <c r="E1711" s="203">
        <f>SUM('2035'!D6:D9)+SUM('2035'!D17:D20)</f>
        <v>23146.7</v>
      </c>
      <c r="F1711" s="203">
        <f>SUM('2035'!E6:E9)+SUM('2035'!E17:E20)</f>
        <v>22133.595</v>
      </c>
      <c r="G1711" s="203">
        <f>SUM('2035'!F6:F9)+SUM('2035'!F17:F20)</f>
        <v>20712.43</v>
      </c>
      <c r="H1711" s="203">
        <f>SUM('2035'!G6:G9)+SUM('2035'!G17:G20)</f>
        <v>20304.37</v>
      </c>
      <c r="I1711" s="203">
        <f>SUM('2035'!H6:H9)+SUM('2035'!H17:H20)</f>
        <v>21725.535</v>
      </c>
      <c r="J1711" s="203">
        <f>SUM('2035'!I6:I9)+SUM('2035'!I17:I20)</f>
        <v>21725.535</v>
      </c>
      <c r="K1711" s="203">
        <f>SUM('2035'!J6:J9)+SUM('2035'!J17:J20)</f>
        <v>21725.535</v>
      </c>
      <c r="L1711" s="203">
        <f>SUM('2035'!K6:K9)+SUM('2035'!K17:K20)</f>
        <v>21317.475</v>
      </c>
      <c r="M1711" s="203">
        <f>SUM('2035'!L6:L9)+SUM('2035'!L17:L20)</f>
        <v>20909.415</v>
      </c>
      <c r="N1711" s="203">
        <f>SUM('2035'!M6:M9)+SUM('2035'!M17:M20)</f>
        <v>33291.84</v>
      </c>
      <c r="O1711" s="5"/>
      <c r="P1711" s="5"/>
      <c r="Q1711" s="5"/>
      <c r="R1711" s="5"/>
      <c r="S1711" s="5"/>
      <c r="T1711" s="5"/>
      <c r="U1711" s="5"/>
      <c r="V1711" s="5"/>
      <c r="W1711" s="5"/>
      <c r="X1711" s="5"/>
      <c r="Y1711" s="5"/>
      <c r="Z1711" s="5"/>
    </row>
    <row r="1712" ht="12.0" customHeight="1">
      <c r="A1712" s="5"/>
      <c r="B1712" s="92" t="s">
        <v>634</v>
      </c>
      <c r="C1712" s="204">
        <f>C1711/Parametros!$B$37</f>
        <v>1623.786</v>
      </c>
      <c r="D1712" s="204">
        <f>D1711/Parametros!$B$37</f>
        <v>1238.2425</v>
      </c>
      <c r="E1712" s="204">
        <f>E1711/Parametros!$B$37</f>
        <v>1157.335</v>
      </c>
      <c r="F1712" s="204">
        <f>F1711/Parametros!$B$37</f>
        <v>1106.67975</v>
      </c>
      <c r="G1712" s="204">
        <f>G1711/Parametros!$B$37</f>
        <v>1035.6215</v>
      </c>
      <c r="H1712" s="204">
        <f>H1711/Parametros!$B$37</f>
        <v>1015.2185</v>
      </c>
      <c r="I1712" s="204">
        <f>I1711/Parametros!$B$37</f>
        <v>1086.27675</v>
      </c>
      <c r="J1712" s="204">
        <f>J1711/Parametros!$B$37</f>
        <v>1086.27675</v>
      </c>
      <c r="K1712" s="204">
        <f>K1711/Parametros!$B$37</f>
        <v>1086.27675</v>
      </c>
      <c r="L1712" s="204">
        <f>L1711/Parametros!$B$37</f>
        <v>1065.87375</v>
      </c>
      <c r="M1712" s="204">
        <f>M1711/Parametros!$B$37</f>
        <v>1045.47075</v>
      </c>
      <c r="N1712" s="204">
        <f>N1711/Parametros!$B$37</f>
        <v>1664.592</v>
      </c>
      <c r="O1712" s="5"/>
      <c r="P1712" s="5"/>
      <c r="Q1712" s="5"/>
      <c r="R1712" s="5"/>
      <c r="S1712" s="5"/>
      <c r="T1712" s="5"/>
      <c r="U1712" s="5"/>
      <c r="V1712" s="5"/>
      <c r="W1712" s="5"/>
      <c r="X1712" s="5"/>
      <c r="Y1712" s="5"/>
      <c r="Z1712" s="5"/>
    </row>
    <row r="1713" ht="12.0" customHeight="1">
      <c r="A1713" s="5"/>
      <c r="B1713" s="92" t="s">
        <v>635</v>
      </c>
      <c r="C1713" s="204">
        <f>C1712/Parametros!$J$37</f>
        <v>216.5048</v>
      </c>
      <c r="D1713" s="204">
        <f>D1712/Parametros!$J$37</f>
        <v>165.099</v>
      </c>
      <c r="E1713" s="204">
        <f>E1712/Parametros!$J$37</f>
        <v>154.3113333</v>
      </c>
      <c r="F1713" s="204">
        <f>F1712/Parametros!$J$37</f>
        <v>147.5573</v>
      </c>
      <c r="G1713" s="204">
        <f>G1712/Parametros!$J$37</f>
        <v>138.0828667</v>
      </c>
      <c r="H1713" s="204">
        <f>H1712/Parametros!$J$37</f>
        <v>135.3624667</v>
      </c>
      <c r="I1713" s="204">
        <f>I1712/Parametros!$J$37</f>
        <v>144.8369</v>
      </c>
      <c r="J1713" s="204">
        <f>J1712/Parametros!$J$37</f>
        <v>144.8369</v>
      </c>
      <c r="K1713" s="204">
        <f>K1712/Parametros!$J$37</f>
        <v>144.8369</v>
      </c>
      <c r="L1713" s="204">
        <f>L1712/Parametros!$J$37</f>
        <v>142.1165</v>
      </c>
      <c r="M1713" s="204">
        <f>M1712/Parametros!$J$37</f>
        <v>139.3961</v>
      </c>
      <c r="N1713" s="204">
        <f>N1712/Parametros!$J$37</f>
        <v>221.9456</v>
      </c>
      <c r="O1713" s="5"/>
      <c r="P1713" s="5"/>
      <c r="Q1713" s="5"/>
      <c r="R1713" s="5"/>
      <c r="S1713" s="5"/>
      <c r="T1713" s="5"/>
      <c r="U1713" s="5"/>
      <c r="V1713" s="5"/>
      <c r="W1713" s="5"/>
      <c r="X1713" s="5"/>
      <c r="Y1713" s="5"/>
      <c r="Z1713" s="5"/>
    </row>
    <row r="1714" ht="12.0" customHeight="1">
      <c r="A1714" s="92" t="s">
        <v>636</v>
      </c>
      <c r="B1714" s="5"/>
      <c r="C1714" s="204">
        <f t="shared" ref="C1714:N1714" si="505">C1713</f>
        <v>216.5048</v>
      </c>
      <c r="D1714" s="204">
        <f t="shared" si="505"/>
        <v>165.099</v>
      </c>
      <c r="E1714" s="204">
        <f t="shared" si="505"/>
        <v>154.3113333</v>
      </c>
      <c r="F1714" s="204">
        <f t="shared" si="505"/>
        <v>147.5573</v>
      </c>
      <c r="G1714" s="204">
        <f t="shared" si="505"/>
        <v>138.0828667</v>
      </c>
      <c r="H1714" s="204">
        <f t="shared" si="505"/>
        <v>135.3624667</v>
      </c>
      <c r="I1714" s="204">
        <f t="shared" si="505"/>
        <v>144.8369</v>
      </c>
      <c r="J1714" s="204">
        <f t="shared" si="505"/>
        <v>144.8369</v>
      </c>
      <c r="K1714" s="204">
        <f t="shared" si="505"/>
        <v>144.8369</v>
      </c>
      <c r="L1714" s="204">
        <f t="shared" si="505"/>
        <v>142.1165</v>
      </c>
      <c r="M1714" s="204">
        <f t="shared" si="505"/>
        <v>139.3961</v>
      </c>
      <c r="N1714" s="204">
        <f t="shared" si="505"/>
        <v>221.9456</v>
      </c>
      <c r="O1714" s="5"/>
      <c r="P1714" s="5"/>
      <c r="Q1714" s="5"/>
      <c r="R1714" s="5"/>
      <c r="S1714" s="5"/>
      <c r="T1714" s="5"/>
      <c r="U1714" s="5"/>
      <c r="V1714" s="5"/>
      <c r="W1714" s="5"/>
      <c r="X1714" s="5"/>
      <c r="Y1714" s="5"/>
      <c r="Z1714" s="5"/>
    </row>
    <row r="1715" ht="12.0" customHeight="1">
      <c r="A1715" s="92" t="s">
        <v>637</v>
      </c>
      <c r="B1715" s="5"/>
      <c r="C1715" s="205">
        <f>'Resumen Capacidad'!$K$117</f>
        <v>60.656</v>
      </c>
      <c r="D1715" s="205">
        <f>'Resumen Capacidad'!$K$117</f>
        <v>60.656</v>
      </c>
      <c r="E1715" s="205">
        <f>'Resumen Capacidad'!$K$117</f>
        <v>60.656</v>
      </c>
      <c r="F1715" s="205">
        <f>'Resumen Capacidad'!$K$117</f>
        <v>60.656</v>
      </c>
      <c r="G1715" s="205">
        <f>'Resumen Capacidad'!$K$117</f>
        <v>60.656</v>
      </c>
      <c r="H1715" s="205">
        <f>'Resumen Capacidad'!$K$117</f>
        <v>60.656</v>
      </c>
      <c r="I1715" s="205">
        <f>'Resumen Capacidad'!$K$117</f>
        <v>60.656</v>
      </c>
      <c r="J1715" s="205">
        <f>'Resumen Capacidad'!$K$117</f>
        <v>60.656</v>
      </c>
      <c r="K1715" s="205">
        <f>'Resumen Capacidad'!$K$117</f>
        <v>60.656</v>
      </c>
      <c r="L1715" s="205">
        <f>'Resumen Capacidad'!$K$117</f>
        <v>60.656</v>
      </c>
      <c r="M1715" s="205">
        <f>'Resumen Capacidad'!$K$117</f>
        <v>60.656</v>
      </c>
      <c r="N1715" s="205">
        <f>'Resumen Capacidad'!$K$117</f>
        <v>60.656</v>
      </c>
      <c r="O1715" s="5"/>
      <c r="P1715" s="5"/>
      <c r="Q1715" s="5"/>
      <c r="R1715" s="5"/>
      <c r="S1715" s="5"/>
      <c r="T1715" s="5"/>
      <c r="U1715" s="5"/>
      <c r="V1715" s="5"/>
      <c r="W1715" s="5"/>
      <c r="X1715" s="5"/>
      <c r="Y1715" s="5"/>
      <c r="Z1715" s="5"/>
    </row>
    <row r="1716" ht="12.0" customHeight="1">
      <c r="A1716" s="92" t="s">
        <v>640</v>
      </c>
      <c r="B1716" s="5"/>
      <c r="C1716" s="204">
        <f>'Resumen Capacidad'!$K$35*'Resumen Capacidad'!$K$71</f>
        <v>6</v>
      </c>
      <c r="D1716" s="204">
        <f>'Resumen Capacidad'!$K$35*'Resumen Capacidad'!$K$71</f>
        <v>6</v>
      </c>
      <c r="E1716" s="204">
        <f>'Resumen Capacidad'!$K$35*'Resumen Capacidad'!$K$71</f>
        <v>6</v>
      </c>
      <c r="F1716" s="204">
        <f>'Resumen Capacidad'!$K$35*'Resumen Capacidad'!$K$71</f>
        <v>6</v>
      </c>
      <c r="G1716" s="204">
        <f>'Resumen Capacidad'!$K$35*'Resumen Capacidad'!$K$71</f>
        <v>6</v>
      </c>
      <c r="H1716" s="204">
        <f>'Resumen Capacidad'!$K$35*'Resumen Capacidad'!$K$71</f>
        <v>6</v>
      </c>
      <c r="I1716" s="204">
        <f>'Resumen Capacidad'!$K$35*'Resumen Capacidad'!$K$71</f>
        <v>6</v>
      </c>
      <c r="J1716" s="204">
        <f>'Resumen Capacidad'!$K$35*'Resumen Capacidad'!$K$71</f>
        <v>6</v>
      </c>
      <c r="K1716" s="204">
        <f>'Resumen Capacidad'!$K$35*'Resumen Capacidad'!$K$71</f>
        <v>6</v>
      </c>
      <c r="L1716" s="204">
        <f>'Resumen Capacidad'!$K$35*'Resumen Capacidad'!$K$71</f>
        <v>6</v>
      </c>
      <c r="M1716" s="204">
        <f>'Resumen Capacidad'!$K$35*'Resumen Capacidad'!$K$71</f>
        <v>6</v>
      </c>
      <c r="N1716" s="204">
        <f>'Resumen Capacidad'!$K$35*'Resumen Capacidad'!$K$71</f>
        <v>6</v>
      </c>
      <c r="O1716" s="5"/>
      <c r="P1716" s="5"/>
      <c r="Q1716" s="5"/>
      <c r="R1716" s="5"/>
      <c r="S1716" s="5"/>
      <c r="T1716" s="5"/>
      <c r="U1716" s="5"/>
      <c r="V1716" s="5"/>
      <c r="W1716" s="5"/>
      <c r="X1716" s="5"/>
      <c r="Y1716" s="5"/>
      <c r="Z1716" s="5"/>
    </row>
    <row r="1717" ht="12.0" customHeight="1">
      <c r="A1717" s="92" t="s">
        <v>642</v>
      </c>
      <c r="B1717" s="5"/>
      <c r="C1717" s="204">
        <f t="shared" ref="C1717:N1717" si="506">C1715*C1716</f>
        <v>363.936</v>
      </c>
      <c r="D1717" s="204">
        <f t="shared" si="506"/>
        <v>363.936</v>
      </c>
      <c r="E1717" s="204">
        <f t="shared" si="506"/>
        <v>363.936</v>
      </c>
      <c r="F1717" s="204">
        <f t="shared" si="506"/>
        <v>363.936</v>
      </c>
      <c r="G1717" s="204">
        <f t="shared" si="506"/>
        <v>363.936</v>
      </c>
      <c r="H1717" s="204">
        <f t="shared" si="506"/>
        <v>363.936</v>
      </c>
      <c r="I1717" s="204">
        <f t="shared" si="506"/>
        <v>363.936</v>
      </c>
      <c r="J1717" s="204">
        <f t="shared" si="506"/>
        <v>363.936</v>
      </c>
      <c r="K1717" s="204">
        <f t="shared" si="506"/>
        <v>363.936</v>
      </c>
      <c r="L1717" s="204">
        <f t="shared" si="506"/>
        <v>363.936</v>
      </c>
      <c r="M1717" s="204">
        <f t="shared" si="506"/>
        <v>363.936</v>
      </c>
      <c r="N1717" s="204">
        <f t="shared" si="506"/>
        <v>363.936</v>
      </c>
      <c r="O1717" s="5"/>
      <c r="P1717" s="5"/>
      <c r="Q1717" s="5"/>
      <c r="R1717" s="5"/>
      <c r="S1717" s="5"/>
      <c r="T1717" s="5"/>
      <c r="U1717" s="5"/>
      <c r="V1717" s="5"/>
      <c r="W1717" s="5"/>
      <c r="X1717" s="5"/>
      <c r="Y1717" s="5"/>
      <c r="Z1717" s="5"/>
    </row>
    <row r="1718" ht="12.0" customHeight="1">
      <c r="A1718" s="92" t="s">
        <v>643</v>
      </c>
      <c r="B1718" s="5"/>
      <c r="C1718" s="206">
        <f t="shared" ref="C1718:N1718" si="507">IF(C1717=0,0,C1714/C1717)</f>
        <v>0.594898004</v>
      </c>
      <c r="D1718" s="206">
        <f t="shared" si="507"/>
        <v>0.4536484437</v>
      </c>
      <c r="E1718" s="206">
        <f t="shared" si="507"/>
        <v>0.4240067851</v>
      </c>
      <c r="F1718" s="206">
        <f t="shared" si="507"/>
        <v>0.4054484854</v>
      </c>
      <c r="G1718" s="206">
        <f t="shared" si="507"/>
        <v>0.3794152452</v>
      </c>
      <c r="H1718" s="206">
        <f t="shared" si="507"/>
        <v>0.3719403045</v>
      </c>
      <c r="I1718" s="206">
        <f t="shared" si="507"/>
        <v>0.3979735448</v>
      </c>
      <c r="J1718" s="206">
        <f t="shared" si="507"/>
        <v>0.3979735448</v>
      </c>
      <c r="K1718" s="206">
        <f t="shared" si="507"/>
        <v>0.3979735448</v>
      </c>
      <c r="L1718" s="206">
        <f t="shared" si="507"/>
        <v>0.3904986042</v>
      </c>
      <c r="M1718" s="206">
        <f t="shared" si="507"/>
        <v>0.3830236635</v>
      </c>
      <c r="N1718" s="206">
        <f t="shared" si="507"/>
        <v>0.6098478853</v>
      </c>
      <c r="O1718" s="5"/>
      <c r="P1718" s="5"/>
      <c r="Q1718" s="5"/>
      <c r="R1718" s="5"/>
      <c r="S1718" s="5"/>
      <c r="T1718" s="5"/>
      <c r="U1718" s="5"/>
      <c r="V1718" s="5"/>
      <c r="W1718" s="5"/>
      <c r="X1718" s="5"/>
      <c r="Y1718" s="5"/>
      <c r="Z1718" s="5"/>
    </row>
    <row r="1719" ht="12.0" customHeight="1">
      <c r="A1719" s="201" t="s">
        <v>664</v>
      </c>
      <c r="B1719" s="202"/>
      <c r="C1719" s="202"/>
      <c r="D1719" s="202"/>
      <c r="E1719" s="202"/>
      <c r="F1719" s="202"/>
      <c r="G1719" s="202"/>
      <c r="H1719" s="202"/>
      <c r="I1719" s="202"/>
      <c r="J1719" s="202"/>
      <c r="K1719" s="202"/>
      <c r="L1719" s="202"/>
      <c r="M1719" s="202"/>
      <c r="N1719" s="202"/>
      <c r="O1719" s="5"/>
      <c r="P1719" s="5"/>
      <c r="Q1719" s="5"/>
      <c r="R1719" s="5"/>
      <c r="S1719" s="5"/>
      <c r="T1719" s="5"/>
      <c r="U1719" s="5"/>
      <c r="V1719" s="5"/>
      <c r="W1719" s="5"/>
      <c r="X1719" s="5"/>
      <c r="Y1719" s="5"/>
      <c r="Z1719" s="5"/>
    </row>
    <row r="1720" ht="12.0" customHeight="1">
      <c r="A1720" s="201" t="s">
        <v>630</v>
      </c>
      <c r="B1720" s="201" t="s">
        <v>631</v>
      </c>
      <c r="C1720" s="201" t="s">
        <v>3</v>
      </c>
      <c r="D1720" s="201" t="s">
        <v>4</v>
      </c>
      <c r="E1720" s="201" t="s">
        <v>5</v>
      </c>
      <c r="F1720" s="201" t="s">
        <v>6</v>
      </c>
      <c r="G1720" s="201" t="s">
        <v>7</v>
      </c>
      <c r="H1720" s="201" t="s">
        <v>8</v>
      </c>
      <c r="I1720" s="201" t="s">
        <v>9</v>
      </c>
      <c r="J1720" s="201" t="s">
        <v>10</v>
      </c>
      <c r="K1720" s="201" t="s">
        <v>11</v>
      </c>
      <c r="L1720" s="201" t="s">
        <v>12</v>
      </c>
      <c r="M1720" s="201" t="s">
        <v>13</v>
      </c>
      <c r="N1720" s="201" t="s">
        <v>14</v>
      </c>
      <c r="O1720" s="5"/>
      <c r="P1720" s="5"/>
      <c r="Q1720" s="5"/>
      <c r="R1720" s="5"/>
      <c r="S1720" s="5"/>
      <c r="T1720" s="5"/>
      <c r="U1720" s="5"/>
      <c r="V1720" s="5"/>
      <c r="W1720" s="5"/>
      <c r="X1720" s="5"/>
      <c r="Y1720" s="5"/>
      <c r="Z1720" s="5"/>
    </row>
    <row r="1721" ht="12.0" customHeight="1">
      <c r="A1721" s="92" t="s">
        <v>632</v>
      </c>
      <c r="B1721" s="92" t="s">
        <v>633</v>
      </c>
      <c r="C1721" s="203">
        <f>SUM('2035'!B6:B9)+SUM('2035'!B17:B20)</f>
        <v>32475.72</v>
      </c>
      <c r="D1721" s="203">
        <f>SUM('2035'!C6:C9)+SUM('2035'!C17:C20)</f>
        <v>24764.85</v>
      </c>
      <c r="E1721" s="203">
        <f>SUM('2035'!D6:D9)+SUM('2035'!D17:D20)</f>
        <v>23146.7</v>
      </c>
      <c r="F1721" s="203">
        <f>SUM('2035'!E6:E9)+SUM('2035'!E17:E20)</f>
        <v>22133.595</v>
      </c>
      <c r="G1721" s="203">
        <f>SUM('2035'!F6:F9)+SUM('2035'!F17:F20)</f>
        <v>20712.43</v>
      </c>
      <c r="H1721" s="203">
        <f>SUM('2035'!G6:G9)+SUM('2035'!G17:G20)</f>
        <v>20304.37</v>
      </c>
      <c r="I1721" s="203">
        <f>SUM('2035'!H6:H9)+SUM('2035'!H17:H20)</f>
        <v>21725.535</v>
      </c>
      <c r="J1721" s="203">
        <f>SUM('2035'!I6:I9)+SUM('2035'!I17:I20)</f>
        <v>21725.535</v>
      </c>
      <c r="K1721" s="203">
        <f>SUM('2035'!J6:J9)+SUM('2035'!J17:J20)</f>
        <v>21725.535</v>
      </c>
      <c r="L1721" s="203">
        <f>SUM('2035'!K6:K9)+SUM('2035'!K17:K20)</f>
        <v>21317.475</v>
      </c>
      <c r="M1721" s="203">
        <f>SUM('2035'!L6:L9)+SUM('2035'!L17:L20)</f>
        <v>20909.415</v>
      </c>
      <c r="N1721" s="203">
        <f>SUM('2035'!M6:M9)+SUM('2035'!M17:M20)</f>
        <v>33291.84</v>
      </c>
      <c r="O1721" s="5"/>
      <c r="P1721" s="5"/>
      <c r="Q1721" s="5"/>
      <c r="R1721" s="5"/>
      <c r="S1721" s="5"/>
      <c r="T1721" s="5"/>
      <c r="U1721" s="5"/>
      <c r="V1721" s="5"/>
      <c r="W1721" s="5"/>
      <c r="X1721" s="5"/>
      <c r="Y1721" s="5"/>
      <c r="Z1721" s="5"/>
    </row>
    <row r="1722" ht="12.0" customHeight="1">
      <c r="A1722" s="5"/>
      <c r="B1722" s="92" t="s">
        <v>634</v>
      </c>
      <c r="C1722" s="204">
        <f>C1721/Parametros!$B$37</f>
        <v>1623.786</v>
      </c>
      <c r="D1722" s="204">
        <f>D1721/Parametros!$B$37</f>
        <v>1238.2425</v>
      </c>
      <c r="E1722" s="204">
        <f>E1721/Parametros!$B$37</f>
        <v>1157.335</v>
      </c>
      <c r="F1722" s="204">
        <f>F1721/Parametros!$B$37</f>
        <v>1106.67975</v>
      </c>
      <c r="G1722" s="204">
        <f>G1721/Parametros!$B$37</f>
        <v>1035.6215</v>
      </c>
      <c r="H1722" s="204">
        <f>H1721/Parametros!$B$37</f>
        <v>1015.2185</v>
      </c>
      <c r="I1722" s="204">
        <f>I1721/Parametros!$B$37</f>
        <v>1086.27675</v>
      </c>
      <c r="J1722" s="204">
        <f>J1721/Parametros!$B$37</f>
        <v>1086.27675</v>
      </c>
      <c r="K1722" s="204">
        <f>K1721/Parametros!$B$37</f>
        <v>1086.27675</v>
      </c>
      <c r="L1722" s="204">
        <f>L1721/Parametros!$B$37</f>
        <v>1065.87375</v>
      </c>
      <c r="M1722" s="204">
        <f>M1721/Parametros!$B$37</f>
        <v>1045.47075</v>
      </c>
      <c r="N1722" s="204">
        <f>N1721/Parametros!$B$37</f>
        <v>1664.592</v>
      </c>
      <c r="O1722" s="5"/>
      <c r="P1722" s="5"/>
      <c r="Q1722" s="5"/>
      <c r="R1722" s="5"/>
      <c r="S1722" s="5"/>
      <c r="T1722" s="5"/>
      <c r="U1722" s="5"/>
      <c r="V1722" s="5"/>
      <c r="W1722" s="5"/>
      <c r="X1722" s="5"/>
      <c r="Y1722" s="5"/>
      <c r="Z1722" s="5"/>
    </row>
    <row r="1723" ht="12.0" customHeight="1">
      <c r="A1723" s="5"/>
      <c r="B1723" s="92" t="s">
        <v>635</v>
      </c>
      <c r="C1723" s="204">
        <f>C1722/Parametros!$J$37</f>
        <v>216.5048</v>
      </c>
      <c r="D1723" s="204">
        <f>D1722/Parametros!$J$37</f>
        <v>165.099</v>
      </c>
      <c r="E1723" s="204">
        <f>E1722/Parametros!$J$37</f>
        <v>154.3113333</v>
      </c>
      <c r="F1723" s="204">
        <f>F1722/Parametros!$J$37</f>
        <v>147.5573</v>
      </c>
      <c r="G1723" s="204">
        <f>G1722/Parametros!$J$37</f>
        <v>138.0828667</v>
      </c>
      <c r="H1723" s="204">
        <f>H1722/Parametros!$J$37</f>
        <v>135.3624667</v>
      </c>
      <c r="I1723" s="204">
        <f>I1722/Parametros!$J$37</f>
        <v>144.8369</v>
      </c>
      <c r="J1723" s="204">
        <f>J1722/Parametros!$J$37</f>
        <v>144.8369</v>
      </c>
      <c r="K1723" s="204">
        <f>K1722/Parametros!$J$37</f>
        <v>144.8369</v>
      </c>
      <c r="L1723" s="204">
        <f>L1722/Parametros!$J$37</f>
        <v>142.1165</v>
      </c>
      <c r="M1723" s="204">
        <f>M1722/Parametros!$J$37</f>
        <v>139.3961</v>
      </c>
      <c r="N1723" s="204">
        <f>N1722/Parametros!$J$37</f>
        <v>221.9456</v>
      </c>
      <c r="O1723" s="5"/>
      <c r="P1723" s="5"/>
      <c r="Q1723" s="5"/>
      <c r="R1723" s="5"/>
      <c r="S1723" s="5"/>
      <c r="T1723" s="5"/>
      <c r="U1723" s="5"/>
      <c r="V1723" s="5"/>
      <c r="W1723" s="5"/>
      <c r="X1723" s="5"/>
      <c r="Y1723" s="5"/>
      <c r="Z1723" s="5"/>
    </row>
    <row r="1724" ht="12.0" customHeight="1">
      <c r="A1724" s="92" t="s">
        <v>636</v>
      </c>
      <c r="B1724" s="5"/>
      <c r="C1724" s="204">
        <f t="shared" ref="C1724:N1724" si="508">C1723</f>
        <v>216.5048</v>
      </c>
      <c r="D1724" s="204">
        <f t="shared" si="508"/>
        <v>165.099</v>
      </c>
      <c r="E1724" s="204">
        <f t="shared" si="508"/>
        <v>154.3113333</v>
      </c>
      <c r="F1724" s="204">
        <f t="shared" si="508"/>
        <v>147.5573</v>
      </c>
      <c r="G1724" s="204">
        <f t="shared" si="508"/>
        <v>138.0828667</v>
      </c>
      <c r="H1724" s="204">
        <f t="shared" si="508"/>
        <v>135.3624667</v>
      </c>
      <c r="I1724" s="204">
        <f t="shared" si="508"/>
        <v>144.8369</v>
      </c>
      <c r="J1724" s="204">
        <f t="shared" si="508"/>
        <v>144.8369</v>
      </c>
      <c r="K1724" s="204">
        <f t="shared" si="508"/>
        <v>144.8369</v>
      </c>
      <c r="L1724" s="204">
        <f t="shared" si="508"/>
        <v>142.1165</v>
      </c>
      <c r="M1724" s="204">
        <f t="shared" si="508"/>
        <v>139.3961</v>
      </c>
      <c r="N1724" s="204">
        <f t="shared" si="508"/>
        <v>221.9456</v>
      </c>
      <c r="O1724" s="5"/>
      <c r="P1724" s="5"/>
      <c r="Q1724" s="5"/>
      <c r="R1724" s="5"/>
      <c r="S1724" s="5"/>
      <c r="T1724" s="5"/>
      <c r="U1724" s="5"/>
      <c r="V1724" s="5"/>
      <c r="W1724" s="5"/>
      <c r="X1724" s="5"/>
      <c r="Y1724" s="5"/>
      <c r="Z1724" s="5"/>
    </row>
    <row r="1725" ht="12.0" customHeight="1">
      <c r="A1725" s="92" t="s">
        <v>637</v>
      </c>
      <c r="B1725" s="5"/>
      <c r="C1725" s="205">
        <f>'Resumen Capacidad'!$K$118</f>
        <v>187.425</v>
      </c>
      <c r="D1725" s="205">
        <f>'Resumen Capacidad'!$K$118</f>
        <v>187.425</v>
      </c>
      <c r="E1725" s="205">
        <f>'Resumen Capacidad'!$K$118</f>
        <v>187.425</v>
      </c>
      <c r="F1725" s="205">
        <f>'Resumen Capacidad'!$K$118</f>
        <v>187.425</v>
      </c>
      <c r="G1725" s="205">
        <f>'Resumen Capacidad'!$K$118</f>
        <v>187.425</v>
      </c>
      <c r="H1725" s="205">
        <f>'Resumen Capacidad'!$K$118</f>
        <v>187.425</v>
      </c>
      <c r="I1725" s="205">
        <f>'Resumen Capacidad'!$K$118</f>
        <v>187.425</v>
      </c>
      <c r="J1725" s="205">
        <f>'Resumen Capacidad'!$K$118</f>
        <v>187.425</v>
      </c>
      <c r="K1725" s="205">
        <f>'Resumen Capacidad'!$K$118</f>
        <v>187.425</v>
      </c>
      <c r="L1725" s="205">
        <f>'Resumen Capacidad'!$K$118</f>
        <v>187.425</v>
      </c>
      <c r="M1725" s="205">
        <f>'Resumen Capacidad'!$K$118</f>
        <v>187.425</v>
      </c>
      <c r="N1725" s="205">
        <f>'Resumen Capacidad'!$K$118</f>
        <v>187.425</v>
      </c>
      <c r="O1725" s="5"/>
      <c r="P1725" s="5"/>
      <c r="Q1725" s="5"/>
      <c r="R1725" s="5"/>
      <c r="S1725" s="5"/>
      <c r="T1725" s="5"/>
      <c r="U1725" s="5"/>
      <c r="V1725" s="5"/>
      <c r="W1725" s="5"/>
      <c r="X1725" s="5"/>
      <c r="Y1725" s="5"/>
      <c r="Z1725" s="5"/>
    </row>
    <row r="1726" ht="12.0" customHeight="1">
      <c r="A1726" s="92" t="s">
        <v>640</v>
      </c>
      <c r="B1726" s="5"/>
      <c r="C1726" s="204">
        <f>'Resumen Capacidad'!$K$36*'Resumen Capacidad'!$K$72</f>
        <v>2</v>
      </c>
      <c r="D1726" s="204">
        <f>'Resumen Capacidad'!$K$36*'Resumen Capacidad'!$K$72</f>
        <v>2</v>
      </c>
      <c r="E1726" s="204">
        <f>'Resumen Capacidad'!$K$36*'Resumen Capacidad'!$K$72</f>
        <v>2</v>
      </c>
      <c r="F1726" s="204">
        <f>'Resumen Capacidad'!$K$36*'Resumen Capacidad'!$K$72</f>
        <v>2</v>
      </c>
      <c r="G1726" s="204">
        <f>'Resumen Capacidad'!$K$36*'Resumen Capacidad'!$K$72</f>
        <v>2</v>
      </c>
      <c r="H1726" s="204">
        <f>'Resumen Capacidad'!$K$36*'Resumen Capacidad'!$K$72</f>
        <v>2</v>
      </c>
      <c r="I1726" s="204">
        <f>'Resumen Capacidad'!$K$36*'Resumen Capacidad'!$K$72</f>
        <v>2</v>
      </c>
      <c r="J1726" s="204">
        <f>'Resumen Capacidad'!$K$36*'Resumen Capacidad'!$K$72</f>
        <v>2</v>
      </c>
      <c r="K1726" s="204">
        <f>'Resumen Capacidad'!$K$36*'Resumen Capacidad'!$K$72</f>
        <v>2</v>
      </c>
      <c r="L1726" s="204">
        <f>'Resumen Capacidad'!$K$36*'Resumen Capacidad'!$K$72</f>
        <v>2</v>
      </c>
      <c r="M1726" s="204">
        <f>'Resumen Capacidad'!$K$36*'Resumen Capacidad'!$K$72</f>
        <v>2</v>
      </c>
      <c r="N1726" s="204">
        <f>'Resumen Capacidad'!$K$36*'Resumen Capacidad'!$K$72</f>
        <v>2</v>
      </c>
      <c r="O1726" s="5"/>
      <c r="P1726" s="5"/>
      <c r="Q1726" s="5"/>
      <c r="R1726" s="5"/>
      <c r="S1726" s="5"/>
      <c r="T1726" s="5"/>
      <c r="U1726" s="5"/>
      <c r="V1726" s="5"/>
      <c r="W1726" s="5"/>
      <c r="X1726" s="5"/>
      <c r="Y1726" s="5"/>
      <c r="Z1726" s="5"/>
    </row>
    <row r="1727" ht="12.0" customHeight="1">
      <c r="A1727" s="92" t="s">
        <v>642</v>
      </c>
      <c r="B1727" s="5"/>
      <c r="C1727" s="204">
        <f t="shared" ref="C1727:N1727" si="509">C1725*C1726</f>
        <v>374.85</v>
      </c>
      <c r="D1727" s="204">
        <f t="shared" si="509"/>
        <v>374.85</v>
      </c>
      <c r="E1727" s="204">
        <f t="shared" si="509"/>
        <v>374.85</v>
      </c>
      <c r="F1727" s="204">
        <f t="shared" si="509"/>
        <v>374.85</v>
      </c>
      <c r="G1727" s="204">
        <f t="shared" si="509"/>
        <v>374.85</v>
      </c>
      <c r="H1727" s="204">
        <f t="shared" si="509"/>
        <v>374.85</v>
      </c>
      <c r="I1727" s="204">
        <f t="shared" si="509"/>
        <v>374.85</v>
      </c>
      <c r="J1727" s="204">
        <f t="shared" si="509"/>
        <v>374.85</v>
      </c>
      <c r="K1727" s="204">
        <f t="shared" si="509"/>
        <v>374.85</v>
      </c>
      <c r="L1727" s="204">
        <f t="shared" si="509"/>
        <v>374.85</v>
      </c>
      <c r="M1727" s="204">
        <f t="shared" si="509"/>
        <v>374.85</v>
      </c>
      <c r="N1727" s="204">
        <f t="shared" si="509"/>
        <v>374.85</v>
      </c>
      <c r="O1727" s="5"/>
      <c r="P1727" s="5"/>
      <c r="Q1727" s="5"/>
      <c r="R1727" s="5"/>
      <c r="S1727" s="5"/>
      <c r="T1727" s="5"/>
      <c r="U1727" s="5"/>
      <c r="V1727" s="5"/>
      <c r="W1727" s="5"/>
      <c r="X1727" s="5"/>
      <c r="Y1727" s="5"/>
      <c r="Z1727" s="5"/>
    </row>
    <row r="1728" ht="12.0" customHeight="1">
      <c r="A1728" s="92" t="s">
        <v>643</v>
      </c>
      <c r="B1728" s="5"/>
      <c r="C1728" s="206">
        <f t="shared" ref="C1728:N1728" si="510">IF(C1727=0,0,C1724/C1727)</f>
        <v>0.5775771642</v>
      </c>
      <c r="D1728" s="206">
        <f t="shared" si="510"/>
        <v>0.4404401761</v>
      </c>
      <c r="E1728" s="206">
        <f t="shared" si="510"/>
        <v>0.4116615535</v>
      </c>
      <c r="F1728" s="206">
        <f t="shared" si="510"/>
        <v>0.3936435908</v>
      </c>
      <c r="G1728" s="206">
        <f t="shared" si="510"/>
        <v>0.3683683251</v>
      </c>
      <c r="H1728" s="206">
        <f t="shared" si="510"/>
        <v>0.3611110222</v>
      </c>
      <c r="I1728" s="206">
        <f t="shared" si="510"/>
        <v>0.3863862878</v>
      </c>
      <c r="J1728" s="206">
        <f t="shared" si="510"/>
        <v>0.3863862878</v>
      </c>
      <c r="K1728" s="206">
        <f t="shared" si="510"/>
        <v>0.3863862878</v>
      </c>
      <c r="L1728" s="206">
        <f t="shared" si="510"/>
        <v>0.3791289849</v>
      </c>
      <c r="M1728" s="206">
        <f t="shared" si="510"/>
        <v>0.371871682</v>
      </c>
      <c r="N1728" s="206">
        <f t="shared" si="510"/>
        <v>0.59209177</v>
      </c>
      <c r="O1728" s="5"/>
      <c r="P1728" s="5"/>
      <c r="Q1728" s="5"/>
      <c r="R1728" s="5"/>
      <c r="S1728" s="5"/>
      <c r="T1728" s="5"/>
      <c r="U1728" s="5"/>
      <c r="V1728" s="5"/>
      <c r="W1728" s="5"/>
      <c r="X1728" s="5"/>
      <c r="Y1728" s="5"/>
      <c r="Z1728" s="5"/>
    </row>
    <row r="1729" ht="12.0" customHeight="1">
      <c r="A1729" s="201" t="s">
        <v>665</v>
      </c>
      <c r="B1729" s="202"/>
      <c r="C1729" s="202"/>
      <c r="D1729" s="202"/>
      <c r="E1729" s="202"/>
      <c r="F1729" s="202"/>
      <c r="G1729" s="202"/>
      <c r="H1729" s="202"/>
      <c r="I1729" s="202"/>
      <c r="J1729" s="202"/>
      <c r="K1729" s="202"/>
      <c r="L1729" s="202"/>
      <c r="M1729" s="202"/>
      <c r="N1729" s="202"/>
      <c r="O1729" s="5"/>
      <c r="P1729" s="5"/>
      <c r="Q1729" s="5"/>
      <c r="R1729" s="5"/>
      <c r="S1729" s="5"/>
      <c r="T1729" s="5"/>
      <c r="U1729" s="5"/>
      <c r="V1729" s="5"/>
      <c r="W1729" s="5"/>
      <c r="X1729" s="5"/>
      <c r="Y1729" s="5"/>
      <c r="Z1729" s="5"/>
    </row>
    <row r="1730" ht="12.0" customHeight="1">
      <c r="A1730" s="201" t="s">
        <v>630</v>
      </c>
      <c r="B1730" s="201" t="s">
        <v>631</v>
      </c>
      <c r="C1730" s="201" t="s">
        <v>3</v>
      </c>
      <c r="D1730" s="201" t="s">
        <v>4</v>
      </c>
      <c r="E1730" s="201" t="s">
        <v>5</v>
      </c>
      <c r="F1730" s="201" t="s">
        <v>6</v>
      </c>
      <c r="G1730" s="201" t="s">
        <v>7</v>
      </c>
      <c r="H1730" s="201" t="s">
        <v>8</v>
      </c>
      <c r="I1730" s="201" t="s">
        <v>9</v>
      </c>
      <c r="J1730" s="201" t="s">
        <v>10</v>
      </c>
      <c r="K1730" s="201" t="s">
        <v>11</v>
      </c>
      <c r="L1730" s="201" t="s">
        <v>12</v>
      </c>
      <c r="M1730" s="201" t="s">
        <v>13</v>
      </c>
      <c r="N1730" s="201" t="s">
        <v>14</v>
      </c>
      <c r="O1730" s="5"/>
      <c r="P1730" s="5"/>
      <c r="Q1730" s="5"/>
      <c r="R1730" s="5"/>
      <c r="S1730" s="5"/>
      <c r="T1730" s="5"/>
      <c r="U1730" s="5"/>
      <c r="V1730" s="5"/>
      <c r="W1730" s="5"/>
      <c r="X1730" s="5"/>
      <c r="Y1730" s="5"/>
      <c r="Z1730" s="5"/>
    </row>
    <row r="1731" ht="12.0" customHeight="1">
      <c r="A1731" s="92" t="s">
        <v>632</v>
      </c>
      <c r="B1731" s="92" t="s">
        <v>633</v>
      </c>
      <c r="C1731" s="203">
        <f>SUM('2035'!B6:B9)+SUM('2035'!B17:B20)</f>
        <v>32475.72</v>
      </c>
      <c r="D1731" s="203">
        <f>SUM('2035'!C6:C9)+SUM('2035'!C17:C20)</f>
        <v>24764.85</v>
      </c>
      <c r="E1731" s="203">
        <f>SUM('2035'!D6:D9)+SUM('2035'!D17:D20)</f>
        <v>23146.7</v>
      </c>
      <c r="F1731" s="203">
        <f>SUM('2035'!E6:E9)+SUM('2035'!E17:E20)</f>
        <v>22133.595</v>
      </c>
      <c r="G1731" s="203">
        <f>SUM('2035'!F6:F9)+SUM('2035'!F17:F20)</f>
        <v>20712.43</v>
      </c>
      <c r="H1731" s="203">
        <f>SUM('2035'!G6:G9)+SUM('2035'!G17:G20)</f>
        <v>20304.37</v>
      </c>
      <c r="I1731" s="203">
        <f>SUM('2035'!H6:H9)+SUM('2035'!H17:H20)</f>
        <v>21725.535</v>
      </c>
      <c r="J1731" s="203">
        <f>SUM('2035'!I6:I9)+SUM('2035'!I17:I20)</f>
        <v>21725.535</v>
      </c>
      <c r="K1731" s="203">
        <f>SUM('2035'!J6:J9)+SUM('2035'!J17:J20)</f>
        <v>21725.535</v>
      </c>
      <c r="L1731" s="203">
        <f>SUM('2035'!K6:K9)+SUM('2035'!K17:K20)</f>
        <v>21317.475</v>
      </c>
      <c r="M1731" s="203">
        <f>SUM('2035'!L6:L9)+SUM('2035'!L17:L20)</f>
        <v>20909.415</v>
      </c>
      <c r="N1731" s="203">
        <f>SUM('2035'!M6:M9)+SUM('2035'!M17:M20)</f>
        <v>33291.84</v>
      </c>
      <c r="O1731" s="5"/>
      <c r="P1731" s="5"/>
      <c r="Q1731" s="5"/>
      <c r="R1731" s="5"/>
      <c r="S1731" s="5"/>
      <c r="T1731" s="5"/>
      <c r="U1731" s="5"/>
      <c r="V1731" s="5"/>
      <c r="W1731" s="5"/>
      <c r="X1731" s="5"/>
      <c r="Y1731" s="5"/>
      <c r="Z1731" s="5"/>
    </row>
    <row r="1732" ht="12.0" customHeight="1">
      <c r="A1732" s="5"/>
      <c r="B1732" s="92" t="s">
        <v>634</v>
      </c>
      <c r="C1732" s="204">
        <f>C1731/Parametros!$B$37</f>
        <v>1623.786</v>
      </c>
      <c r="D1732" s="204">
        <f>D1731/Parametros!$B$37</f>
        <v>1238.2425</v>
      </c>
      <c r="E1732" s="204">
        <f>E1731/Parametros!$B$37</f>
        <v>1157.335</v>
      </c>
      <c r="F1732" s="204">
        <f>F1731/Parametros!$B$37</f>
        <v>1106.67975</v>
      </c>
      <c r="G1732" s="204">
        <f>G1731/Parametros!$B$37</f>
        <v>1035.6215</v>
      </c>
      <c r="H1732" s="204">
        <f>H1731/Parametros!$B$37</f>
        <v>1015.2185</v>
      </c>
      <c r="I1732" s="204">
        <f>I1731/Parametros!$B$37</f>
        <v>1086.27675</v>
      </c>
      <c r="J1732" s="204">
        <f>J1731/Parametros!$B$37</f>
        <v>1086.27675</v>
      </c>
      <c r="K1732" s="204">
        <f>K1731/Parametros!$B$37</f>
        <v>1086.27675</v>
      </c>
      <c r="L1732" s="204">
        <f>L1731/Parametros!$B$37</f>
        <v>1065.87375</v>
      </c>
      <c r="M1732" s="204">
        <f>M1731/Parametros!$B$37</f>
        <v>1045.47075</v>
      </c>
      <c r="N1732" s="204">
        <f>N1731/Parametros!$B$37</f>
        <v>1664.592</v>
      </c>
      <c r="O1732" s="5"/>
      <c r="P1732" s="5"/>
      <c r="Q1732" s="5"/>
      <c r="R1732" s="5"/>
      <c r="S1732" s="5"/>
      <c r="T1732" s="5"/>
      <c r="U1732" s="5"/>
      <c r="V1732" s="5"/>
      <c r="W1732" s="5"/>
      <c r="X1732" s="5"/>
      <c r="Y1732" s="5"/>
      <c r="Z1732" s="5"/>
    </row>
    <row r="1733" ht="12.0" customHeight="1">
      <c r="A1733" s="5"/>
      <c r="B1733" s="92" t="s">
        <v>635</v>
      </c>
      <c r="C1733" s="204">
        <f>C1732/Parametros!$J$37</f>
        <v>216.5048</v>
      </c>
      <c r="D1733" s="204">
        <f>D1732/Parametros!$J$37</f>
        <v>165.099</v>
      </c>
      <c r="E1733" s="204">
        <f>E1732/Parametros!$J$37</f>
        <v>154.3113333</v>
      </c>
      <c r="F1733" s="204">
        <f>F1732/Parametros!$J$37</f>
        <v>147.5573</v>
      </c>
      <c r="G1733" s="204">
        <f>G1732/Parametros!$J$37</f>
        <v>138.0828667</v>
      </c>
      <c r="H1733" s="204">
        <f>H1732/Parametros!$J$37</f>
        <v>135.3624667</v>
      </c>
      <c r="I1733" s="204">
        <f>I1732/Parametros!$J$37</f>
        <v>144.8369</v>
      </c>
      <c r="J1733" s="204">
        <f>J1732/Parametros!$J$37</f>
        <v>144.8369</v>
      </c>
      <c r="K1733" s="204">
        <f>K1732/Parametros!$J$37</f>
        <v>144.8369</v>
      </c>
      <c r="L1733" s="204">
        <f>L1732/Parametros!$J$37</f>
        <v>142.1165</v>
      </c>
      <c r="M1733" s="204">
        <f>M1732/Parametros!$J$37</f>
        <v>139.3961</v>
      </c>
      <c r="N1733" s="204">
        <f>N1732/Parametros!$J$37</f>
        <v>221.9456</v>
      </c>
      <c r="O1733" s="5"/>
      <c r="P1733" s="5"/>
      <c r="Q1733" s="5"/>
      <c r="R1733" s="5"/>
      <c r="S1733" s="5"/>
      <c r="T1733" s="5"/>
      <c r="U1733" s="5"/>
      <c r="V1733" s="5"/>
      <c r="W1733" s="5"/>
      <c r="X1733" s="5"/>
      <c r="Y1733" s="5"/>
      <c r="Z1733" s="5"/>
    </row>
    <row r="1734" ht="12.0" customHeight="1">
      <c r="A1734" s="92" t="s">
        <v>636</v>
      </c>
      <c r="B1734" s="5"/>
      <c r="C1734" s="204">
        <f t="shared" ref="C1734:N1734" si="511">C1733</f>
        <v>216.5048</v>
      </c>
      <c r="D1734" s="204">
        <f t="shared" si="511"/>
        <v>165.099</v>
      </c>
      <c r="E1734" s="204">
        <f t="shared" si="511"/>
        <v>154.3113333</v>
      </c>
      <c r="F1734" s="204">
        <f t="shared" si="511"/>
        <v>147.5573</v>
      </c>
      <c r="G1734" s="204">
        <f t="shared" si="511"/>
        <v>138.0828667</v>
      </c>
      <c r="H1734" s="204">
        <f t="shared" si="511"/>
        <v>135.3624667</v>
      </c>
      <c r="I1734" s="204">
        <f t="shared" si="511"/>
        <v>144.8369</v>
      </c>
      <c r="J1734" s="204">
        <f t="shared" si="511"/>
        <v>144.8369</v>
      </c>
      <c r="K1734" s="204">
        <f t="shared" si="511"/>
        <v>144.8369</v>
      </c>
      <c r="L1734" s="204">
        <f t="shared" si="511"/>
        <v>142.1165</v>
      </c>
      <c r="M1734" s="204">
        <f t="shared" si="511"/>
        <v>139.3961</v>
      </c>
      <c r="N1734" s="204">
        <f t="shared" si="511"/>
        <v>221.9456</v>
      </c>
      <c r="O1734" s="5"/>
      <c r="P1734" s="5"/>
      <c r="Q1734" s="5"/>
      <c r="R1734" s="5"/>
      <c r="S1734" s="5"/>
      <c r="T1734" s="5"/>
      <c r="U1734" s="5"/>
      <c r="V1734" s="5"/>
      <c r="W1734" s="5"/>
      <c r="X1734" s="5"/>
      <c r="Y1734" s="5"/>
      <c r="Z1734" s="5"/>
    </row>
    <row r="1735" ht="12.0" customHeight="1">
      <c r="A1735" s="92" t="s">
        <v>637</v>
      </c>
      <c r="B1735" s="5"/>
      <c r="C1735" s="184">
        <f>'Resumen Capacidad'!$K$119</f>
        <v>63.648</v>
      </c>
      <c r="D1735" s="184">
        <f>'Resumen Capacidad'!$K$119</f>
        <v>63.648</v>
      </c>
      <c r="E1735" s="184">
        <f>'Resumen Capacidad'!$K$119</f>
        <v>63.648</v>
      </c>
      <c r="F1735" s="184">
        <f>'Resumen Capacidad'!$K$119</f>
        <v>63.648</v>
      </c>
      <c r="G1735" s="184">
        <f>'Resumen Capacidad'!$K$119</f>
        <v>63.648</v>
      </c>
      <c r="H1735" s="184">
        <f>'Resumen Capacidad'!$K$119</f>
        <v>63.648</v>
      </c>
      <c r="I1735" s="184">
        <f>'Resumen Capacidad'!$K$119</f>
        <v>63.648</v>
      </c>
      <c r="J1735" s="184">
        <f>'Resumen Capacidad'!$K$119</f>
        <v>63.648</v>
      </c>
      <c r="K1735" s="184">
        <f>'Resumen Capacidad'!$K$119</f>
        <v>63.648</v>
      </c>
      <c r="L1735" s="184">
        <f>'Resumen Capacidad'!$K$119</f>
        <v>63.648</v>
      </c>
      <c r="M1735" s="184">
        <f>'Resumen Capacidad'!$K$119</f>
        <v>63.648</v>
      </c>
      <c r="N1735" s="184">
        <f>'Resumen Capacidad'!$K$119</f>
        <v>63.648</v>
      </c>
      <c r="O1735" s="5"/>
      <c r="P1735" s="5"/>
      <c r="Q1735" s="5"/>
      <c r="R1735" s="5"/>
      <c r="S1735" s="5"/>
      <c r="T1735" s="5"/>
      <c r="U1735" s="5"/>
      <c r="V1735" s="5"/>
      <c r="W1735" s="5"/>
      <c r="X1735" s="5"/>
      <c r="Y1735" s="5"/>
      <c r="Z1735" s="5"/>
    </row>
    <row r="1736" ht="12.0" customHeight="1">
      <c r="A1736" s="92" t="s">
        <v>640</v>
      </c>
      <c r="B1736" s="5"/>
      <c r="C1736" s="204">
        <f>'Resumen Capacidad'!$K$37*'Resumen Capacidad'!$K$73</f>
        <v>4</v>
      </c>
      <c r="D1736" s="204">
        <f>'Resumen Capacidad'!$K$37*'Resumen Capacidad'!$K$73</f>
        <v>4</v>
      </c>
      <c r="E1736" s="204">
        <f>'Resumen Capacidad'!$K$37*'Resumen Capacidad'!$K$73</f>
        <v>4</v>
      </c>
      <c r="F1736" s="204">
        <f>'Resumen Capacidad'!$K$37*'Resumen Capacidad'!$K$73</f>
        <v>4</v>
      </c>
      <c r="G1736" s="204">
        <f>'Resumen Capacidad'!$K$37*'Resumen Capacidad'!$K$73</f>
        <v>4</v>
      </c>
      <c r="H1736" s="204">
        <f>'Resumen Capacidad'!$K$37*'Resumen Capacidad'!$K$73</f>
        <v>4</v>
      </c>
      <c r="I1736" s="204">
        <f>'Resumen Capacidad'!$K$37*'Resumen Capacidad'!$K$73</f>
        <v>4</v>
      </c>
      <c r="J1736" s="204">
        <f>'Resumen Capacidad'!$K$37*'Resumen Capacidad'!$K$73</f>
        <v>4</v>
      </c>
      <c r="K1736" s="204">
        <f>'Resumen Capacidad'!$K$37*'Resumen Capacidad'!$K$73</f>
        <v>4</v>
      </c>
      <c r="L1736" s="204">
        <f>'Resumen Capacidad'!$K$37*'Resumen Capacidad'!$K$73</f>
        <v>4</v>
      </c>
      <c r="M1736" s="204">
        <f>'Resumen Capacidad'!$K$37*'Resumen Capacidad'!$K$73</f>
        <v>4</v>
      </c>
      <c r="N1736" s="204">
        <f>'Resumen Capacidad'!$K$37*'Resumen Capacidad'!$K$73</f>
        <v>4</v>
      </c>
      <c r="O1736" s="5"/>
      <c r="P1736" s="5"/>
      <c r="Q1736" s="5"/>
      <c r="R1736" s="5"/>
      <c r="S1736" s="5"/>
      <c r="T1736" s="5"/>
      <c r="U1736" s="5"/>
      <c r="V1736" s="5"/>
      <c r="W1736" s="5"/>
      <c r="X1736" s="5"/>
      <c r="Y1736" s="5"/>
      <c r="Z1736" s="5"/>
    </row>
    <row r="1737" ht="12.0" customHeight="1">
      <c r="A1737" s="92" t="s">
        <v>642</v>
      </c>
      <c r="B1737" s="5"/>
      <c r="C1737" s="204">
        <f t="shared" ref="C1737:N1737" si="512">C1735*C1736</f>
        <v>254.592</v>
      </c>
      <c r="D1737" s="204">
        <f t="shared" si="512"/>
        <v>254.592</v>
      </c>
      <c r="E1737" s="204">
        <f t="shared" si="512"/>
        <v>254.592</v>
      </c>
      <c r="F1737" s="204">
        <f t="shared" si="512"/>
        <v>254.592</v>
      </c>
      <c r="G1737" s="204">
        <f t="shared" si="512"/>
        <v>254.592</v>
      </c>
      <c r="H1737" s="204">
        <f t="shared" si="512"/>
        <v>254.592</v>
      </c>
      <c r="I1737" s="204">
        <f t="shared" si="512"/>
        <v>254.592</v>
      </c>
      <c r="J1737" s="204">
        <f t="shared" si="512"/>
        <v>254.592</v>
      </c>
      <c r="K1737" s="204">
        <f t="shared" si="512"/>
        <v>254.592</v>
      </c>
      <c r="L1737" s="204">
        <f t="shared" si="512"/>
        <v>254.592</v>
      </c>
      <c r="M1737" s="204">
        <f t="shared" si="512"/>
        <v>254.592</v>
      </c>
      <c r="N1737" s="204">
        <f t="shared" si="512"/>
        <v>254.592</v>
      </c>
      <c r="O1737" s="5"/>
      <c r="P1737" s="5"/>
      <c r="Q1737" s="5"/>
      <c r="R1737" s="5"/>
      <c r="S1737" s="5"/>
      <c r="T1737" s="5"/>
      <c r="U1737" s="5"/>
      <c r="V1737" s="5"/>
      <c r="W1737" s="5"/>
      <c r="X1737" s="5"/>
      <c r="Y1737" s="5"/>
      <c r="Z1737" s="5"/>
    </row>
    <row r="1738" ht="12.0" customHeight="1">
      <c r="A1738" s="92" t="s">
        <v>643</v>
      </c>
      <c r="B1738" s="5"/>
      <c r="C1738" s="206">
        <f t="shared" ref="C1738:N1738" si="513">IF(C1737=0,0,C1734/C1737)</f>
        <v>0.8503990699</v>
      </c>
      <c r="D1738" s="206">
        <f t="shared" si="513"/>
        <v>0.6484846342</v>
      </c>
      <c r="E1738" s="206">
        <f t="shared" si="513"/>
        <v>0.6061122633</v>
      </c>
      <c r="F1738" s="206">
        <f t="shared" si="513"/>
        <v>0.5795834119</v>
      </c>
      <c r="G1738" s="206">
        <f t="shared" si="513"/>
        <v>0.5423692287</v>
      </c>
      <c r="H1738" s="206">
        <f t="shared" si="513"/>
        <v>0.5316838968</v>
      </c>
      <c r="I1738" s="206">
        <f t="shared" si="513"/>
        <v>0.5688980801</v>
      </c>
      <c r="J1738" s="206">
        <f t="shared" si="513"/>
        <v>0.5688980801</v>
      </c>
      <c r="K1738" s="206">
        <f t="shared" si="513"/>
        <v>0.5688980801</v>
      </c>
      <c r="L1738" s="206">
        <f t="shared" si="513"/>
        <v>0.5582127482</v>
      </c>
      <c r="M1738" s="206">
        <f t="shared" si="513"/>
        <v>0.5475274164</v>
      </c>
      <c r="N1738" s="206">
        <f t="shared" si="513"/>
        <v>0.8717697335</v>
      </c>
      <c r="O1738" s="5"/>
      <c r="P1738" s="5"/>
      <c r="Q1738" s="5"/>
      <c r="R1738" s="5"/>
      <c r="S1738" s="5"/>
      <c r="T1738" s="5"/>
      <c r="U1738" s="5"/>
      <c r="V1738" s="5"/>
      <c r="W1738" s="5"/>
      <c r="X1738" s="5"/>
      <c r="Y1738" s="5"/>
      <c r="Z1738" s="5"/>
    </row>
    <row r="1739" ht="12.0" customHeight="1">
      <c r="A1739" s="201" t="s">
        <v>666</v>
      </c>
      <c r="B1739" s="202"/>
      <c r="C1739" s="202"/>
      <c r="D1739" s="202"/>
      <c r="E1739" s="202"/>
      <c r="F1739" s="202"/>
      <c r="G1739" s="202"/>
      <c r="H1739" s="202"/>
      <c r="I1739" s="202"/>
      <c r="J1739" s="202"/>
      <c r="K1739" s="202"/>
      <c r="L1739" s="202"/>
      <c r="M1739" s="202"/>
      <c r="N1739" s="202"/>
      <c r="O1739" s="5"/>
      <c r="P1739" s="5"/>
      <c r="Q1739" s="5"/>
      <c r="R1739" s="5"/>
      <c r="S1739" s="5"/>
      <c r="T1739" s="5"/>
      <c r="U1739" s="5"/>
      <c r="V1739" s="5"/>
      <c r="W1739" s="5"/>
      <c r="X1739" s="5"/>
      <c r="Y1739" s="5"/>
      <c r="Z1739" s="5"/>
    </row>
    <row r="1740" ht="12.0" customHeight="1">
      <c r="A1740" s="201" t="s">
        <v>630</v>
      </c>
      <c r="B1740" s="201" t="s">
        <v>631</v>
      </c>
      <c r="C1740" s="201" t="s">
        <v>3</v>
      </c>
      <c r="D1740" s="201" t="s">
        <v>4</v>
      </c>
      <c r="E1740" s="201" t="s">
        <v>5</v>
      </c>
      <c r="F1740" s="201" t="s">
        <v>6</v>
      </c>
      <c r="G1740" s="201" t="s">
        <v>7</v>
      </c>
      <c r="H1740" s="201" t="s">
        <v>8</v>
      </c>
      <c r="I1740" s="201" t="s">
        <v>9</v>
      </c>
      <c r="J1740" s="201" t="s">
        <v>10</v>
      </c>
      <c r="K1740" s="201" t="s">
        <v>11</v>
      </c>
      <c r="L1740" s="201" t="s">
        <v>12</v>
      </c>
      <c r="M1740" s="201" t="s">
        <v>13</v>
      </c>
      <c r="N1740" s="201" t="s">
        <v>14</v>
      </c>
      <c r="O1740" s="5"/>
      <c r="P1740" s="5"/>
      <c r="Q1740" s="5"/>
      <c r="R1740" s="5"/>
      <c r="S1740" s="5"/>
      <c r="T1740" s="5"/>
      <c r="U1740" s="5"/>
      <c r="V1740" s="5"/>
      <c r="W1740" s="5"/>
      <c r="X1740" s="5"/>
      <c r="Y1740" s="5"/>
      <c r="Z1740" s="5"/>
    </row>
    <row r="1741" ht="12.0" customHeight="1">
      <c r="A1741" s="92" t="s">
        <v>632</v>
      </c>
      <c r="B1741" s="92" t="s">
        <v>633</v>
      </c>
      <c r="C1741" s="203">
        <f>SUM('2035'!B6:B9)+SUM('2035'!B17:B20)</f>
        <v>32475.72</v>
      </c>
      <c r="D1741" s="203">
        <f>SUM('2035'!C6:C9)+SUM('2035'!C17:C20)</f>
        <v>24764.85</v>
      </c>
      <c r="E1741" s="203">
        <f>SUM('2035'!D6:D9)+SUM('2035'!D17:D20)</f>
        <v>23146.7</v>
      </c>
      <c r="F1741" s="203">
        <f>SUM('2035'!E6:E9)+SUM('2035'!E17:E20)</f>
        <v>22133.595</v>
      </c>
      <c r="G1741" s="203">
        <f>SUM('2035'!F6:F9)+SUM('2035'!F17:F20)</f>
        <v>20712.43</v>
      </c>
      <c r="H1741" s="203">
        <f>SUM('2035'!G6:G9)+SUM('2035'!G17:G20)</f>
        <v>20304.37</v>
      </c>
      <c r="I1741" s="203">
        <f>SUM('2035'!H6:H9)+SUM('2035'!H17:H20)</f>
        <v>21725.535</v>
      </c>
      <c r="J1741" s="203">
        <f>SUM('2035'!I6:I9)+SUM('2035'!I17:I20)</f>
        <v>21725.535</v>
      </c>
      <c r="K1741" s="203">
        <f>SUM('2035'!J6:J9)+SUM('2035'!J17:J20)</f>
        <v>21725.535</v>
      </c>
      <c r="L1741" s="203">
        <f>SUM('2035'!K6:K9)+SUM('2035'!K17:K20)</f>
        <v>21317.475</v>
      </c>
      <c r="M1741" s="203">
        <f>SUM('2035'!L6:L9)+SUM('2035'!L17:L20)</f>
        <v>20909.415</v>
      </c>
      <c r="N1741" s="203">
        <f>SUM('2035'!M6:M9)+SUM('2035'!M17:M20)</f>
        <v>33291.84</v>
      </c>
      <c r="O1741" s="5"/>
      <c r="P1741" s="5"/>
      <c r="Q1741" s="5"/>
      <c r="R1741" s="5"/>
      <c r="S1741" s="5"/>
      <c r="T1741" s="5"/>
      <c r="U1741" s="5"/>
      <c r="V1741" s="5"/>
      <c r="W1741" s="5"/>
      <c r="X1741" s="5"/>
      <c r="Y1741" s="5"/>
      <c r="Z1741" s="5"/>
    </row>
    <row r="1742" ht="12.0" customHeight="1">
      <c r="A1742" s="5"/>
      <c r="B1742" s="92" t="s">
        <v>634</v>
      </c>
      <c r="C1742" s="204">
        <f>C1741/Parametros!$B$37</f>
        <v>1623.786</v>
      </c>
      <c r="D1742" s="204">
        <f>D1741/Parametros!$B$37</f>
        <v>1238.2425</v>
      </c>
      <c r="E1742" s="204">
        <f>E1741/Parametros!$B$37</f>
        <v>1157.335</v>
      </c>
      <c r="F1742" s="204">
        <f>F1741/Parametros!$B$37</f>
        <v>1106.67975</v>
      </c>
      <c r="G1742" s="204">
        <f>G1741/Parametros!$B$37</f>
        <v>1035.6215</v>
      </c>
      <c r="H1742" s="204">
        <f>H1741/Parametros!$B$37</f>
        <v>1015.2185</v>
      </c>
      <c r="I1742" s="204">
        <f>I1741/Parametros!$B$37</f>
        <v>1086.27675</v>
      </c>
      <c r="J1742" s="204">
        <f>J1741/Parametros!$B$37</f>
        <v>1086.27675</v>
      </c>
      <c r="K1742" s="204">
        <f>K1741/Parametros!$B$37</f>
        <v>1086.27675</v>
      </c>
      <c r="L1742" s="204">
        <f>L1741/Parametros!$B$37</f>
        <v>1065.87375</v>
      </c>
      <c r="M1742" s="204">
        <f>M1741/Parametros!$B$37</f>
        <v>1045.47075</v>
      </c>
      <c r="N1742" s="204">
        <f>N1741/Parametros!$B$37</f>
        <v>1664.592</v>
      </c>
      <c r="O1742" s="5"/>
      <c r="P1742" s="5"/>
      <c r="Q1742" s="5"/>
      <c r="R1742" s="5"/>
      <c r="S1742" s="5"/>
      <c r="T1742" s="5"/>
      <c r="U1742" s="5"/>
      <c r="V1742" s="5"/>
      <c r="W1742" s="5"/>
      <c r="X1742" s="5"/>
      <c r="Y1742" s="5"/>
      <c r="Z1742" s="5"/>
    </row>
    <row r="1743" ht="12.0" customHeight="1">
      <c r="A1743" s="5"/>
      <c r="B1743" s="92" t="s">
        <v>635</v>
      </c>
      <c r="C1743" s="204">
        <f>C1742/Parametros!$J$37</f>
        <v>216.5048</v>
      </c>
      <c r="D1743" s="204">
        <f>D1742/Parametros!$J$37</f>
        <v>165.099</v>
      </c>
      <c r="E1743" s="204">
        <f>E1742/Parametros!$J$37</f>
        <v>154.3113333</v>
      </c>
      <c r="F1743" s="204">
        <f>F1742/Parametros!$J$37</f>
        <v>147.5573</v>
      </c>
      <c r="G1743" s="204">
        <f>G1742/Parametros!$J$37</f>
        <v>138.0828667</v>
      </c>
      <c r="H1743" s="204">
        <f>H1742/Parametros!$J$37</f>
        <v>135.3624667</v>
      </c>
      <c r="I1743" s="204">
        <f>I1742/Parametros!$J$37</f>
        <v>144.8369</v>
      </c>
      <c r="J1743" s="204">
        <f>J1742/Parametros!$J$37</f>
        <v>144.8369</v>
      </c>
      <c r="K1743" s="204">
        <f>K1742/Parametros!$J$37</f>
        <v>144.8369</v>
      </c>
      <c r="L1743" s="204">
        <f>L1742/Parametros!$J$37</f>
        <v>142.1165</v>
      </c>
      <c r="M1743" s="204">
        <f>M1742/Parametros!$J$37</f>
        <v>139.3961</v>
      </c>
      <c r="N1743" s="204">
        <f>N1742/Parametros!$J$37</f>
        <v>221.9456</v>
      </c>
      <c r="O1743" s="5"/>
      <c r="P1743" s="5"/>
      <c r="Q1743" s="5"/>
      <c r="R1743" s="5"/>
      <c r="S1743" s="5"/>
      <c r="T1743" s="5"/>
      <c r="U1743" s="5"/>
      <c r="V1743" s="5"/>
      <c r="W1743" s="5"/>
      <c r="X1743" s="5"/>
      <c r="Y1743" s="5"/>
      <c r="Z1743" s="5"/>
    </row>
    <row r="1744" ht="12.0" customHeight="1">
      <c r="A1744" s="92" t="s">
        <v>636</v>
      </c>
      <c r="B1744" s="5"/>
      <c r="C1744" s="204">
        <f t="shared" ref="C1744:N1744" si="514">C1743</f>
        <v>216.5048</v>
      </c>
      <c r="D1744" s="204">
        <f t="shared" si="514"/>
        <v>165.099</v>
      </c>
      <c r="E1744" s="204">
        <f t="shared" si="514"/>
        <v>154.3113333</v>
      </c>
      <c r="F1744" s="204">
        <f t="shared" si="514"/>
        <v>147.5573</v>
      </c>
      <c r="G1744" s="204">
        <f t="shared" si="514"/>
        <v>138.0828667</v>
      </c>
      <c r="H1744" s="204">
        <f t="shared" si="514"/>
        <v>135.3624667</v>
      </c>
      <c r="I1744" s="204">
        <f t="shared" si="514"/>
        <v>144.8369</v>
      </c>
      <c r="J1744" s="204">
        <f t="shared" si="514"/>
        <v>144.8369</v>
      </c>
      <c r="K1744" s="204">
        <f t="shared" si="514"/>
        <v>144.8369</v>
      </c>
      <c r="L1744" s="204">
        <f t="shared" si="514"/>
        <v>142.1165</v>
      </c>
      <c r="M1744" s="204">
        <f t="shared" si="514"/>
        <v>139.3961</v>
      </c>
      <c r="N1744" s="204">
        <f t="shared" si="514"/>
        <v>221.9456</v>
      </c>
      <c r="O1744" s="5"/>
      <c r="P1744" s="5"/>
      <c r="Q1744" s="5"/>
      <c r="R1744" s="5"/>
      <c r="S1744" s="5"/>
      <c r="T1744" s="5"/>
      <c r="U1744" s="5"/>
      <c r="V1744" s="5"/>
      <c r="W1744" s="5"/>
      <c r="X1744" s="5"/>
      <c r="Y1744" s="5"/>
      <c r="Z1744" s="5"/>
    </row>
    <row r="1745" ht="12.0" customHeight="1">
      <c r="A1745" s="92" t="s">
        <v>637</v>
      </c>
      <c r="B1745" s="5"/>
      <c r="C1745" s="205">
        <f>'Resumen Capacidad'!$K$120</f>
        <v>86.65142857</v>
      </c>
      <c r="D1745" s="205">
        <f>'Resumen Capacidad'!$K$120</f>
        <v>86.65142857</v>
      </c>
      <c r="E1745" s="205">
        <f>'Resumen Capacidad'!$K$120</f>
        <v>86.65142857</v>
      </c>
      <c r="F1745" s="205">
        <f>'Resumen Capacidad'!$K$120</f>
        <v>86.65142857</v>
      </c>
      <c r="G1745" s="205">
        <f>'Resumen Capacidad'!$K$120</f>
        <v>86.65142857</v>
      </c>
      <c r="H1745" s="205">
        <f>'Resumen Capacidad'!$K$120</f>
        <v>86.65142857</v>
      </c>
      <c r="I1745" s="205">
        <f>'Resumen Capacidad'!$K$120</f>
        <v>86.65142857</v>
      </c>
      <c r="J1745" s="205">
        <f>'Resumen Capacidad'!$K$120</f>
        <v>86.65142857</v>
      </c>
      <c r="K1745" s="205">
        <f>'Resumen Capacidad'!$K$120</f>
        <v>86.65142857</v>
      </c>
      <c r="L1745" s="205">
        <f>'Resumen Capacidad'!$K$120</f>
        <v>86.65142857</v>
      </c>
      <c r="M1745" s="205">
        <f>'Resumen Capacidad'!$K$120</f>
        <v>86.65142857</v>
      </c>
      <c r="N1745" s="205">
        <f>'Resumen Capacidad'!$K$120</f>
        <v>86.65142857</v>
      </c>
      <c r="O1745" s="5"/>
      <c r="P1745" s="5"/>
      <c r="Q1745" s="5"/>
      <c r="R1745" s="5"/>
      <c r="S1745" s="5"/>
      <c r="T1745" s="5"/>
      <c r="U1745" s="5"/>
      <c r="V1745" s="5"/>
      <c r="W1745" s="5"/>
      <c r="X1745" s="5"/>
      <c r="Y1745" s="5"/>
      <c r="Z1745" s="5"/>
    </row>
    <row r="1746" ht="12.0" customHeight="1">
      <c r="A1746" s="92" t="s">
        <v>640</v>
      </c>
      <c r="B1746" s="5"/>
      <c r="C1746" s="204">
        <f>'Resumen Capacidad'!$K$38*'Resumen Capacidad'!$K$74</f>
        <v>4</v>
      </c>
      <c r="D1746" s="204">
        <f>'Resumen Capacidad'!$K$38*'Resumen Capacidad'!$K$74</f>
        <v>4</v>
      </c>
      <c r="E1746" s="204">
        <f>'Resumen Capacidad'!$K$38*'Resumen Capacidad'!$K$74</f>
        <v>4</v>
      </c>
      <c r="F1746" s="204">
        <f>'Resumen Capacidad'!$K$38*'Resumen Capacidad'!$K$74</f>
        <v>4</v>
      </c>
      <c r="G1746" s="204">
        <f>'Resumen Capacidad'!$K$38*'Resumen Capacidad'!$K$74</f>
        <v>4</v>
      </c>
      <c r="H1746" s="204">
        <f>'Resumen Capacidad'!$K$38*'Resumen Capacidad'!$K$74</f>
        <v>4</v>
      </c>
      <c r="I1746" s="204">
        <f>'Resumen Capacidad'!$K$38*'Resumen Capacidad'!$K$74</f>
        <v>4</v>
      </c>
      <c r="J1746" s="204">
        <f>'Resumen Capacidad'!$K$38*'Resumen Capacidad'!$K$74</f>
        <v>4</v>
      </c>
      <c r="K1746" s="204">
        <f>'Resumen Capacidad'!$K$38*'Resumen Capacidad'!$K$74</f>
        <v>4</v>
      </c>
      <c r="L1746" s="204">
        <f>'Resumen Capacidad'!$K$38*'Resumen Capacidad'!$K$74</f>
        <v>4</v>
      </c>
      <c r="M1746" s="204">
        <f>'Resumen Capacidad'!$K$38*'Resumen Capacidad'!$K$74</f>
        <v>4</v>
      </c>
      <c r="N1746" s="204">
        <f>'Resumen Capacidad'!$K$38*'Resumen Capacidad'!$K$74</f>
        <v>4</v>
      </c>
      <c r="O1746" s="5"/>
      <c r="P1746" s="5"/>
      <c r="Q1746" s="5"/>
      <c r="R1746" s="5"/>
      <c r="S1746" s="5"/>
      <c r="T1746" s="5"/>
      <c r="U1746" s="5"/>
      <c r="V1746" s="5"/>
      <c r="W1746" s="5"/>
      <c r="X1746" s="5"/>
      <c r="Y1746" s="5"/>
      <c r="Z1746" s="5"/>
    </row>
    <row r="1747" ht="12.0" customHeight="1">
      <c r="A1747" s="92" t="s">
        <v>642</v>
      </c>
      <c r="B1747" s="5"/>
      <c r="C1747" s="204">
        <f t="shared" ref="C1747:N1747" si="515">C1745*C1746</f>
        <v>346.6057143</v>
      </c>
      <c r="D1747" s="204">
        <f t="shared" si="515"/>
        <v>346.6057143</v>
      </c>
      <c r="E1747" s="204">
        <f t="shared" si="515"/>
        <v>346.6057143</v>
      </c>
      <c r="F1747" s="204">
        <f t="shared" si="515"/>
        <v>346.6057143</v>
      </c>
      <c r="G1747" s="204">
        <f t="shared" si="515"/>
        <v>346.6057143</v>
      </c>
      <c r="H1747" s="204">
        <f t="shared" si="515"/>
        <v>346.6057143</v>
      </c>
      <c r="I1747" s="204">
        <f t="shared" si="515"/>
        <v>346.6057143</v>
      </c>
      <c r="J1747" s="204">
        <f t="shared" si="515"/>
        <v>346.6057143</v>
      </c>
      <c r="K1747" s="204">
        <f t="shared" si="515"/>
        <v>346.6057143</v>
      </c>
      <c r="L1747" s="204">
        <f t="shared" si="515"/>
        <v>346.6057143</v>
      </c>
      <c r="M1747" s="204">
        <f t="shared" si="515"/>
        <v>346.6057143</v>
      </c>
      <c r="N1747" s="204">
        <f t="shared" si="515"/>
        <v>346.6057143</v>
      </c>
      <c r="O1747" s="5"/>
      <c r="P1747" s="5"/>
      <c r="Q1747" s="5"/>
      <c r="R1747" s="5"/>
      <c r="S1747" s="5"/>
      <c r="T1747" s="5"/>
      <c r="U1747" s="5"/>
      <c r="V1747" s="5"/>
      <c r="W1747" s="5"/>
      <c r="X1747" s="5"/>
      <c r="Y1747" s="5"/>
      <c r="Z1747" s="5"/>
    </row>
    <row r="1748" ht="12.0" customHeight="1">
      <c r="A1748" s="92" t="s">
        <v>643</v>
      </c>
      <c r="B1748" s="5"/>
      <c r="C1748" s="206">
        <f t="shared" ref="C1748:N1748" si="516">IF(C1747=0,0,C1744/C1747)</f>
        <v>0.6246429042</v>
      </c>
      <c r="D1748" s="206">
        <f t="shared" si="516"/>
        <v>0.4763308659</v>
      </c>
      <c r="E1748" s="206">
        <f t="shared" si="516"/>
        <v>0.4452071243</v>
      </c>
      <c r="F1748" s="206">
        <f t="shared" si="516"/>
        <v>0.4257209097</v>
      </c>
      <c r="G1748" s="206">
        <f t="shared" si="516"/>
        <v>0.3983860074</v>
      </c>
      <c r="H1748" s="206">
        <f t="shared" si="516"/>
        <v>0.3905373197</v>
      </c>
      <c r="I1748" s="206">
        <f t="shared" si="516"/>
        <v>0.417872222</v>
      </c>
      <c r="J1748" s="206">
        <f t="shared" si="516"/>
        <v>0.417872222</v>
      </c>
      <c r="K1748" s="206">
        <f t="shared" si="516"/>
        <v>0.417872222</v>
      </c>
      <c r="L1748" s="206">
        <f t="shared" si="516"/>
        <v>0.4100235344</v>
      </c>
      <c r="M1748" s="206">
        <f t="shared" si="516"/>
        <v>0.4021748467</v>
      </c>
      <c r="N1748" s="206">
        <f t="shared" si="516"/>
        <v>0.6403402796</v>
      </c>
      <c r="O1748" s="5"/>
      <c r="P1748" s="5"/>
      <c r="Q1748" s="5"/>
      <c r="R1748" s="5"/>
      <c r="S1748" s="5"/>
      <c r="T1748" s="5"/>
      <c r="U1748" s="5"/>
      <c r="V1748" s="5"/>
      <c r="W1748" s="5"/>
      <c r="X1748" s="5"/>
      <c r="Y1748" s="5"/>
      <c r="Z1748" s="5"/>
    </row>
    <row r="1749" ht="12.0" customHeight="1">
      <c r="A1749" s="201" t="s">
        <v>671</v>
      </c>
      <c r="B1749" s="202"/>
      <c r="C1749" s="202"/>
      <c r="D1749" s="202"/>
      <c r="E1749" s="202"/>
      <c r="F1749" s="202"/>
      <c r="G1749" s="202"/>
      <c r="H1749" s="202"/>
      <c r="I1749" s="202"/>
      <c r="J1749" s="202"/>
      <c r="K1749" s="202"/>
      <c r="L1749" s="202"/>
      <c r="M1749" s="202"/>
      <c r="N1749" s="202"/>
      <c r="O1749" s="5"/>
      <c r="P1749" s="5"/>
      <c r="Q1749" s="5"/>
      <c r="R1749" s="5"/>
      <c r="S1749" s="5"/>
      <c r="T1749" s="5"/>
      <c r="U1749" s="5"/>
      <c r="V1749" s="5"/>
      <c r="W1749" s="5"/>
      <c r="X1749" s="5"/>
      <c r="Y1749" s="5"/>
      <c r="Z1749" s="5"/>
    </row>
    <row r="1750" ht="12.0" customHeight="1">
      <c r="A1750" s="201" t="s">
        <v>630</v>
      </c>
      <c r="B1750" s="201" t="s">
        <v>631</v>
      </c>
      <c r="C1750" s="201" t="s">
        <v>3</v>
      </c>
      <c r="D1750" s="201" t="s">
        <v>4</v>
      </c>
      <c r="E1750" s="201" t="s">
        <v>5</v>
      </c>
      <c r="F1750" s="201" t="s">
        <v>6</v>
      </c>
      <c r="G1750" s="201" t="s">
        <v>7</v>
      </c>
      <c r="H1750" s="201" t="s">
        <v>8</v>
      </c>
      <c r="I1750" s="201" t="s">
        <v>9</v>
      </c>
      <c r="J1750" s="201" t="s">
        <v>10</v>
      </c>
      <c r="K1750" s="201" t="s">
        <v>11</v>
      </c>
      <c r="L1750" s="201" t="s">
        <v>12</v>
      </c>
      <c r="M1750" s="201" t="s">
        <v>13</v>
      </c>
      <c r="N1750" s="201" t="s">
        <v>14</v>
      </c>
      <c r="O1750" s="5"/>
      <c r="P1750" s="5"/>
      <c r="Q1750" s="5"/>
      <c r="R1750" s="5"/>
      <c r="S1750" s="5"/>
      <c r="T1750" s="5"/>
      <c r="U1750" s="5"/>
      <c r="V1750" s="5"/>
      <c r="W1750" s="5"/>
      <c r="X1750" s="5"/>
      <c r="Y1750" s="5"/>
      <c r="Z1750" s="5"/>
    </row>
    <row r="1751" ht="12.0" customHeight="1">
      <c r="A1751" s="92" t="s">
        <v>651</v>
      </c>
      <c r="B1751" s="92" t="s">
        <v>633</v>
      </c>
      <c r="C1751" s="203">
        <f>SUM('2035'!B7:B9)+SUM('2035'!B18:B20)</f>
        <v>8161.2</v>
      </c>
      <c r="D1751" s="203">
        <f>SUM('2035'!C7:C9)+SUM('2035'!C18:C20)</f>
        <v>6528.96</v>
      </c>
      <c r="E1751" s="203">
        <f>SUM('2035'!D7:D9)+SUM('2035'!D18:D20)</f>
        <v>6937.02</v>
      </c>
      <c r="F1751" s="203">
        <f>SUM('2035'!E7:E9)+SUM('2035'!E18:E20)</f>
        <v>6937.02</v>
      </c>
      <c r="G1751" s="203">
        <f>SUM('2035'!F7:F9)+SUM('2035'!F18:F20)</f>
        <v>6528.96</v>
      </c>
      <c r="H1751" s="203">
        <f>SUM('2035'!G7:G9)+SUM('2035'!G18:G20)</f>
        <v>6120.9</v>
      </c>
      <c r="I1751" s="203">
        <f>SUM('2035'!H7:H9)+SUM('2035'!H18:H20)</f>
        <v>6528.96</v>
      </c>
      <c r="J1751" s="203">
        <f>SUM('2035'!I7:I9)+SUM('2035'!I18:I20)</f>
        <v>6528.96</v>
      </c>
      <c r="K1751" s="203">
        <f>SUM('2035'!J7:J9)+SUM('2035'!J18:J20)</f>
        <v>6528.96</v>
      </c>
      <c r="L1751" s="203">
        <f>SUM('2035'!K7:K9)+SUM('2035'!K18:K20)</f>
        <v>6120.9</v>
      </c>
      <c r="M1751" s="203">
        <f>SUM('2035'!L7:L9)+SUM('2035'!L18:L20)</f>
        <v>5712.84</v>
      </c>
      <c r="N1751" s="203">
        <f>SUM('2035'!M7:M9)+SUM('2035'!M18:M20)</f>
        <v>8977.32</v>
      </c>
      <c r="O1751" s="5"/>
      <c r="P1751" s="5"/>
      <c r="Q1751" s="5"/>
      <c r="R1751" s="5"/>
      <c r="S1751" s="5"/>
      <c r="T1751" s="5"/>
      <c r="U1751" s="5"/>
      <c r="V1751" s="5"/>
      <c r="W1751" s="5"/>
      <c r="X1751" s="5"/>
      <c r="Y1751" s="5"/>
      <c r="Z1751" s="5"/>
    </row>
    <row r="1752" ht="12.0" customHeight="1">
      <c r="A1752" s="5"/>
      <c r="B1752" s="92" t="s">
        <v>634</v>
      </c>
      <c r="C1752" s="204">
        <f>C1751/Parametros!$B$37</f>
        <v>408.06</v>
      </c>
      <c r="D1752" s="204">
        <f>D1751/Parametros!$B$37</f>
        <v>326.448</v>
      </c>
      <c r="E1752" s="204">
        <f>E1751/Parametros!$B$37</f>
        <v>346.851</v>
      </c>
      <c r="F1752" s="204">
        <f>F1751/Parametros!$B$37</f>
        <v>346.851</v>
      </c>
      <c r="G1752" s="204">
        <f>G1751/Parametros!$B$37</f>
        <v>326.448</v>
      </c>
      <c r="H1752" s="204">
        <f>H1751/Parametros!$B$37</f>
        <v>306.045</v>
      </c>
      <c r="I1752" s="204">
        <f>I1751/Parametros!$B$37</f>
        <v>326.448</v>
      </c>
      <c r="J1752" s="204">
        <f>J1751/Parametros!$B$37</f>
        <v>326.448</v>
      </c>
      <c r="K1752" s="204">
        <f>K1751/Parametros!$B$37</f>
        <v>326.448</v>
      </c>
      <c r="L1752" s="204">
        <f>L1751/Parametros!$B$37</f>
        <v>306.045</v>
      </c>
      <c r="M1752" s="204">
        <f>M1751/Parametros!$B$37</f>
        <v>285.642</v>
      </c>
      <c r="N1752" s="204">
        <f>N1751/Parametros!$B$37</f>
        <v>448.866</v>
      </c>
      <c r="O1752" s="5"/>
      <c r="P1752" s="5"/>
      <c r="Q1752" s="5"/>
      <c r="R1752" s="5"/>
      <c r="S1752" s="5"/>
      <c r="T1752" s="5"/>
      <c r="U1752" s="5"/>
      <c r="V1752" s="5"/>
      <c r="W1752" s="5"/>
      <c r="X1752" s="5"/>
      <c r="Y1752" s="5"/>
      <c r="Z1752" s="5"/>
    </row>
    <row r="1753" ht="12.0" customHeight="1">
      <c r="A1753" s="5"/>
      <c r="B1753" s="92" t="s">
        <v>635</v>
      </c>
      <c r="C1753" s="204">
        <f>C1752/Parametros!$J$37</f>
        <v>54.408</v>
      </c>
      <c r="D1753" s="204">
        <f>D1752/Parametros!$J$37</f>
        <v>43.5264</v>
      </c>
      <c r="E1753" s="204">
        <f>E1752/Parametros!$J$37</f>
        <v>46.2468</v>
      </c>
      <c r="F1753" s="204">
        <f>F1752/Parametros!$J$37</f>
        <v>46.2468</v>
      </c>
      <c r="G1753" s="204">
        <f>G1752/Parametros!$J$37</f>
        <v>43.5264</v>
      </c>
      <c r="H1753" s="204">
        <f>H1752/Parametros!$J$37</f>
        <v>40.806</v>
      </c>
      <c r="I1753" s="204">
        <f>I1752/Parametros!$J$37</f>
        <v>43.5264</v>
      </c>
      <c r="J1753" s="204">
        <f>J1752/Parametros!$J$37</f>
        <v>43.5264</v>
      </c>
      <c r="K1753" s="204">
        <f>K1752/Parametros!$J$37</f>
        <v>43.5264</v>
      </c>
      <c r="L1753" s="204">
        <f>L1752/Parametros!$J$37</f>
        <v>40.806</v>
      </c>
      <c r="M1753" s="204">
        <f>M1752/Parametros!$J$37</f>
        <v>38.0856</v>
      </c>
      <c r="N1753" s="204">
        <f>N1752/Parametros!$J$37</f>
        <v>59.8488</v>
      </c>
      <c r="O1753" s="5"/>
      <c r="P1753" s="5"/>
      <c r="Q1753" s="5"/>
      <c r="R1753" s="5"/>
      <c r="S1753" s="5"/>
      <c r="T1753" s="5"/>
      <c r="U1753" s="5"/>
      <c r="V1753" s="5"/>
      <c r="W1753" s="5"/>
      <c r="X1753" s="5"/>
      <c r="Y1753" s="5"/>
      <c r="Z1753" s="5"/>
    </row>
    <row r="1754" ht="12.0" customHeight="1">
      <c r="A1754" s="92" t="s">
        <v>636</v>
      </c>
      <c r="B1754" s="5"/>
      <c r="C1754" s="204">
        <f t="shared" ref="C1754:N1754" si="517">C1753</f>
        <v>54.408</v>
      </c>
      <c r="D1754" s="204">
        <f t="shared" si="517"/>
        <v>43.5264</v>
      </c>
      <c r="E1754" s="204">
        <f t="shared" si="517"/>
        <v>46.2468</v>
      </c>
      <c r="F1754" s="204">
        <f t="shared" si="517"/>
        <v>46.2468</v>
      </c>
      <c r="G1754" s="204">
        <f t="shared" si="517"/>
        <v>43.5264</v>
      </c>
      <c r="H1754" s="204">
        <f t="shared" si="517"/>
        <v>40.806</v>
      </c>
      <c r="I1754" s="204">
        <f t="shared" si="517"/>
        <v>43.5264</v>
      </c>
      <c r="J1754" s="204">
        <f t="shared" si="517"/>
        <v>43.5264</v>
      </c>
      <c r="K1754" s="204">
        <f t="shared" si="517"/>
        <v>43.5264</v>
      </c>
      <c r="L1754" s="204">
        <f t="shared" si="517"/>
        <v>40.806</v>
      </c>
      <c r="M1754" s="204">
        <f t="shared" si="517"/>
        <v>38.0856</v>
      </c>
      <c r="N1754" s="204">
        <f t="shared" si="517"/>
        <v>59.8488</v>
      </c>
      <c r="O1754" s="5"/>
      <c r="P1754" s="5"/>
      <c r="Q1754" s="5"/>
      <c r="R1754" s="5"/>
      <c r="S1754" s="5"/>
      <c r="T1754" s="5"/>
      <c r="U1754" s="5"/>
      <c r="V1754" s="5"/>
      <c r="W1754" s="5"/>
      <c r="X1754" s="5"/>
      <c r="Y1754" s="5"/>
      <c r="Z1754" s="5"/>
    </row>
    <row r="1755" ht="12.0" customHeight="1">
      <c r="A1755" s="92" t="s">
        <v>637</v>
      </c>
      <c r="B1755" s="5"/>
      <c r="C1755" s="205">
        <f>'Resumen Capacidad'!$K$121</f>
        <v>71.1627907</v>
      </c>
      <c r="D1755" s="205">
        <f>'Resumen Capacidad'!$K$121</f>
        <v>71.1627907</v>
      </c>
      <c r="E1755" s="205">
        <f>'Resumen Capacidad'!$K$121</f>
        <v>71.1627907</v>
      </c>
      <c r="F1755" s="205">
        <f>'Resumen Capacidad'!$K$121</f>
        <v>71.1627907</v>
      </c>
      <c r="G1755" s="205">
        <f>'Resumen Capacidad'!$K$121</f>
        <v>71.1627907</v>
      </c>
      <c r="H1755" s="205">
        <f>'Resumen Capacidad'!$K$121</f>
        <v>71.1627907</v>
      </c>
      <c r="I1755" s="205">
        <f>'Resumen Capacidad'!$K$121</f>
        <v>71.1627907</v>
      </c>
      <c r="J1755" s="205">
        <f>'Resumen Capacidad'!$K$121</f>
        <v>71.1627907</v>
      </c>
      <c r="K1755" s="205">
        <f>'Resumen Capacidad'!$K$121</f>
        <v>71.1627907</v>
      </c>
      <c r="L1755" s="205">
        <f>'Resumen Capacidad'!$K$121</f>
        <v>71.1627907</v>
      </c>
      <c r="M1755" s="205">
        <f>'Resumen Capacidad'!$K$121</f>
        <v>71.1627907</v>
      </c>
      <c r="N1755" s="205">
        <f>'Resumen Capacidad'!$K$121</f>
        <v>71.1627907</v>
      </c>
      <c r="O1755" s="5"/>
      <c r="P1755" s="5"/>
      <c r="Q1755" s="5"/>
      <c r="R1755" s="5"/>
      <c r="S1755" s="5"/>
      <c r="T1755" s="5"/>
      <c r="U1755" s="5"/>
      <c r="V1755" s="5"/>
      <c r="W1755" s="5"/>
      <c r="X1755" s="5"/>
      <c r="Y1755" s="5"/>
      <c r="Z1755" s="5"/>
    </row>
    <row r="1756" ht="12.0" customHeight="1">
      <c r="A1756" s="92" t="s">
        <v>640</v>
      </c>
      <c r="B1756" s="5"/>
      <c r="C1756" s="204">
        <f>'Resumen Capacidad'!$K$39*'Resumen Capacidad'!$K$75</f>
        <v>1</v>
      </c>
      <c r="D1756" s="204">
        <f>'Resumen Capacidad'!$K$39*'Resumen Capacidad'!$K$75</f>
        <v>1</v>
      </c>
      <c r="E1756" s="204">
        <f>'Resumen Capacidad'!$K$39*'Resumen Capacidad'!$K$75</f>
        <v>1</v>
      </c>
      <c r="F1756" s="204">
        <f>'Resumen Capacidad'!$K$39*'Resumen Capacidad'!$K$75</f>
        <v>1</v>
      </c>
      <c r="G1756" s="204">
        <f>'Resumen Capacidad'!$K$39*'Resumen Capacidad'!$K$75</f>
        <v>1</v>
      </c>
      <c r="H1756" s="204">
        <f>'Resumen Capacidad'!$K$39*'Resumen Capacidad'!$K$75</f>
        <v>1</v>
      </c>
      <c r="I1756" s="204">
        <f>'Resumen Capacidad'!$K$39*'Resumen Capacidad'!$K$75</f>
        <v>1</v>
      </c>
      <c r="J1756" s="204">
        <f>'Resumen Capacidad'!$K$39*'Resumen Capacidad'!$K$75</f>
        <v>1</v>
      </c>
      <c r="K1756" s="204">
        <f>'Resumen Capacidad'!$K$39*'Resumen Capacidad'!$K$75</f>
        <v>1</v>
      </c>
      <c r="L1756" s="204">
        <f>'Resumen Capacidad'!$K$39*'Resumen Capacidad'!$K$75</f>
        <v>1</v>
      </c>
      <c r="M1756" s="204">
        <f>'Resumen Capacidad'!$K$39*'Resumen Capacidad'!$K$75</f>
        <v>1</v>
      </c>
      <c r="N1756" s="204">
        <f>'Resumen Capacidad'!$K$39*'Resumen Capacidad'!$K$75</f>
        <v>1</v>
      </c>
      <c r="O1756" s="5"/>
      <c r="P1756" s="5"/>
      <c r="Q1756" s="5"/>
      <c r="R1756" s="5"/>
      <c r="S1756" s="5"/>
      <c r="T1756" s="5"/>
      <c r="U1756" s="5"/>
      <c r="V1756" s="5"/>
      <c r="W1756" s="5"/>
      <c r="X1756" s="5"/>
      <c r="Y1756" s="5"/>
      <c r="Z1756" s="5"/>
    </row>
    <row r="1757" ht="12.0" customHeight="1">
      <c r="A1757" s="92" t="s">
        <v>642</v>
      </c>
      <c r="B1757" s="5"/>
      <c r="C1757" s="204">
        <f t="shared" ref="C1757:N1757" si="518">C1755*C1756</f>
        <v>71.1627907</v>
      </c>
      <c r="D1757" s="204">
        <f t="shared" si="518"/>
        <v>71.1627907</v>
      </c>
      <c r="E1757" s="204">
        <f t="shared" si="518"/>
        <v>71.1627907</v>
      </c>
      <c r="F1757" s="204">
        <f t="shared" si="518"/>
        <v>71.1627907</v>
      </c>
      <c r="G1757" s="204">
        <f t="shared" si="518"/>
        <v>71.1627907</v>
      </c>
      <c r="H1757" s="204">
        <f t="shared" si="518"/>
        <v>71.1627907</v>
      </c>
      <c r="I1757" s="204">
        <f t="shared" si="518"/>
        <v>71.1627907</v>
      </c>
      <c r="J1757" s="204">
        <f t="shared" si="518"/>
        <v>71.1627907</v>
      </c>
      <c r="K1757" s="204">
        <f t="shared" si="518"/>
        <v>71.1627907</v>
      </c>
      <c r="L1757" s="204">
        <f t="shared" si="518"/>
        <v>71.1627907</v>
      </c>
      <c r="M1757" s="204">
        <f t="shared" si="518"/>
        <v>71.1627907</v>
      </c>
      <c r="N1757" s="204">
        <f t="shared" si="518"/>
        <v>71.1627907</v>
      </c>
      <c r="O1757" s="5"/>
      <c r="P1757" s="5"/>
      <c r="Q1757" s="5"/>
      <c r="R1757" s="5"/>
      <c r="S1757" s="5"/>
      <c r="T1757" s="5"/>
      <c r="U1757" s="5"/>
      <c r="V1757" s="5"/>
      <c r="W1757" s="5"/>
      <c r="X1757" s="5"/>
      <c r="Y1757" s="5"/>
      <c r="Z1757" s="5"/>
    </row>
    <row r="1758" ht="12.0" customHeight="1">
      <c r="A1758" s="92" t="s">
        <v>643</v>
      </c>
      <c r="B1758" s="5"/>
      <c r="C1758" s="206">
        <f t="shared" ref="C1758:N1758" si="519">IF(C1757=0,0,C1754/C1757)</f>
        <v>0.7645568627</v>
      </c>
      <c r="D1758" s="206">
        <f t="shared" si="519"/>
        <v>0.6116454902</v>
      </c>
      <c r="E1758" s="206">
        <f t="shared" si="519"/>
        <v>0.6498733333</v>
      </c>
      <c r="F1758" s="206">
        <f t="shared" si="519"/>
        <v>0.6498733333</v>
      </c>
      <c r="G1758" s="206">
        <f t="shared" si="519"/>
        <v>0.6116454902</v>
      </c>
      <c r="H1758" s="206">
        <f t="shared" si="519"/>
        <v>0.5734176471</v>
      </c>
      <c r="I1758" s="206">
        <f t="shared" si="519"/>
        <v>0.6116454902</v>
      </c>
      <c r="J1758" s="206">
        <f t="shared" si="519"/>
        <v>0.6116454902</v>
      </c>
      <c r="K1758" s="206">
        <f t="shared" si="519"/>
        <v>0.6116454902</v>
      </c>
      <c r="L1758" s="206">
        <f t="shared" si="519"/>
        <v>0.5734176471</v>
      </c>
      <c r="M1758" s="206">
        <f t="shared" si="519"/>
        <v>0.5351898039</v>
      </c>
      <c r="N1758" s="206">
        <f t="shared" si="519"/>
        <v>0.841012549</v>
      </c>
      <c r="O1758" s="5"/>
      <c r="P1758" s="5"/>
      <c r="Q1758" s="5"/>
      <c r="R1758" s="5"/>
      <c r="S1758" s="5"/>
      <c r="T1758" s="5"/>
      <c r="U1758" s="5"/>
      <c r="V1758" s="5"/>
      <c r="W1758" s="5"/>
      <c r="X1758" s="5"/>
      <c r="Y1758" s="5"/>
      <c r="Z1758" s="5"/>
    </row>
    <row r="1759" ht="12.0" customHeight="1">
      <c r="A1759" s="201" t="s">
        <v>678</v>
      </c>
      <c r="B1759" s="202"/>
      <c r="C1759" s="202"/>
      <c r="D1759" s="202"/>
      <c r="E1759" s="202"/>
      <c r="F1759" s="202"/>
      <c r="G1759" s="202"/>
      <c r="H1759" s="202"/>
      <c r="I1759" s="202"/>
      <c r="J1759" s="202"/>
      <c r="K1759" s="202"/>
      <c r="L1759" s="202"/>
      <c r="M1759" s="202"/>
      <c r="N1759" s="202"/>
      <c r="O1759" s="5"/>
      <c r="P1759" s="5"/>
      <c r="Q1759" s="5"/>
      <c r="R1759" s="5"/>
      <c r="S1759" s="5"/>
      <c r="T1759" s="5"/>
      <c r="U1759" s="5"/>
      <c r="V1759" s="5"/>
      <c r="W1759" s="5"/>
      <c r="X1759" s="5"/>
      <c r="Y1759" s="5"/>
      <c r="Z1759" s="5"/>
    </row>
    <row r="1760" ht="12.0" customHeight="1">
      <c r="A1760" s="201" t="s">
        <v>630</v>
      </c>
      <c r="B1760" s="201" t="s">
        <v>631</v>
      </c>
      <c r="C1760" s="201" t="s">
        <v>3</v>
      </c>
      <c r="D1760" s="201" t="s">
        <v>4</v>
      </c>
      <c r="E1760" s="201" t="s">
        <v>5</v>
      </c>
      <c r="F1760" s="201" t="s">
        <v>6</v>
      </c>
      <c r="G1760" s="201" t="s">
        <v>7</v>
      </c>
      <c r="H1760" s="201" t="s">
        <v>8</v>
      </c>
      <c r="I1760" s="201" t="s">
        <v>9</v>
      </c>
      <c r="J1760" s="201" t="s">
        <v>10</v>
      </c>
      <c r="K1760" s="201" t="s">
        <v>11</v>
      </c>
      <c r="L1760" s="201" t="s">
        <v>12</v>
      </c>
      <c r="M1760" s="201" t="s">
        <v>13</v>
      </c>
      <c r="N1760" s="201" t="s">
        <v>14</v>
      </c>
      <c r="O1760" s="5"/>
      <c r="P1760" s="5"/>
      <c r="Q1760" s="5"/>
      <c r="R1760" s="5"/>
      <c r="S1760" s="5"/>
      <c r="T1760" s="5"/>
      <c r="U1760" s="5"/>
      <c r="V1760" s="5"/>
      <c r="W1760" s="5"/>
      <c r="X1760" s="5"/>
      <c r="Y1760" s="5"/>
      <c r="Z1760" s="5"/>
    </row>
    <row r="1761" ht="12.0" customHeight="1">
      <c r="A1761" s="92" t="s">
        <v>632</v>
      </c>
      <c r="B1761" s="92" t="s">
        <v>633</v>
      </c>
      <c r="C1761" s="203">
        <f>SUM('2035'!B6:B9)+SUM('2035'!B17:B20)</f>
        <v>32475.72</v>
      </c>
      <c r="D1761" s="203">
        <f>SUM('2035'!C6:C9)+SUM('2035'!C17:C20)</f>
        <v>24764.85</v>
      </c>
      <c r="E1761" s="203">
        <f>SUM('2035'!D6:D9)+SUM('2035'!D17:D20)</f>
        <v>23146.7</v>
      </c>
      <c r="F1761" s="203">
        <f>SUM('2035'!E6:E9)+SUM('2035'!E17:E20)</f>
        <v>22133.595</v>
      </c>
      <c r="G1761" s="203">
        <f>SUM('2035'!F6:F9)+SUM('2035'!F17:F20)</f>
        <v>20712.43</v>
      </c>
      <c r="H1761" s="203">
        <f>SUM('2035'!G6:G9)+SUM('2035'!G17:G20)</f>
        <v>20304.37</v>
      </c>
      <c r="I1761" s="203">
        <f>SUM('2035'!H6:H9)+SUM('2035'!H17:H20)</f>
        <v>21725.535</v>
      </c>
      <c r="J1761" s="203">
        <f>SUM('2035'!I6:I9)+SUM('2035'!I17:I20)</f>
        <v>21725.535</v>
      </c>
      <c r="K1761" s="203">
        <f>SUM('2035'!J6:J9)+SUM('2035'!J17:J20)</f>
        <v>21725.535</v>
      </c>
      <c r="L1761" s="203">
        <f>SUM('2035'!K6:K9)+SUM('2035'!K17:K20)</f>
        <v>21317.475</v>
      </c>
      <c r="M1761" s="203">
        <f>SUM('2035'!L6:L9)+SUM('2035'!L17:L20)</f>
        <v>20909.415</v>
      </c>
      <c r="N1761" s="203">
        <f>SUM('2035'!M6:M9)+SUM('2035'!M17:M20)</f>
        <v>33291.84</v>
      </c>
      <c r="O1761" s="5"/>
      <c r="P1761" s="5"/>
      <c r="Q1761" s="5"/>
      <c r="R1761" s="5"/>
      <c r="S1761" s="5"/>
      <c r="T1761" s="5"/>
      <c r="U1761" s="5"/>
      <c r="V1761" s="5"/>
      <c r="W1761" s="5"/>
      <c r="X1761" s="5"/>
      <c r="Y1761" s="5"/>
      <c r="Z1761" s="5"/>
    </row>
    <row r="1762" ht="12.0" customHeight="1">
      <c r="A1762" s="5"/>
      <c r="B1762" s="92" t="s">
        <v>634</v>
      </c>
      <c r="C1762" s="204">
        <f>C1761/Parametros!$B$37</f>
        <v>1623.786</v>
      </c>
      <c r="D1762" s="204">
        <f>D1761/Parametros!$B$37</f>
        <v>1238.2425</v>
      </c>
      <c r="E1762" s="204">
        <f>E1761/Parametros!$B$37</f>
        <v>1157.335</v>
      </c>
      <c r="F1762" s="204">
        <f>F1761/Parametros!$B$37</f>
        <v>1106.67975</v>
      </c>
      <c r="G1762" s="204">
        <f>G1761/Parametros!$B$37</f>
        <v>1035.6215</v>
      </c>
      <c r="H1762" s="204">
        <f>H1761/Parametros!$B$37</f>
        <v>1015.2185</v>
      </c>
      <c r="I1762" s="204">
        <f>I1761/Parametros!$B$37</f>
        <v>1086.27675</v>
      </c>
      <c r="J1762" s="204">
        <f>J1761/Parametros!$B$37</f>
        <v>1086.27675</v>
      </c>
      <c r="K1762" s="204">
        <f>K1761/Parametros!$B$37</f>
        <v>1086.27675</v>
      </c>
      <c r="L1762" s="204">
        <f>L1761/Parametros!$B$37</f>
        <v>1065.87375</v>
      </c>
      <c r="M1762" s="204">
        <f>M1761/Parametros!$B$37</f>
        <v>1045.47075</v>
      </c>
      <c r="N1762" s="204">
        <f>N1761/Parametros!$B$37</f>
        <v>1664.592</v>
      </c>
      <c r="O1762" s="5"/>
      <c r="P1762" s="5"/>
      <c r="Q1762" s="5"/>
      <c r="R1762" s="5"/>
      <c r="S1762" s="5"/>
      <c r="T1762" s="5"/>
      <c r="U1762" s="5"/>
      <c r="V1762" s="5"/>
      <c r="W1762" s="5"/>
      <c r="X1762" s="5"/>
      <c r="Y1762" s="5"/>
      <c r="Z1762" s="5"/>
    </row>
    <row r="1763" ht="12.0" customHeight="1">
      <c r="A1763" s="5"/>
      <c r="B1763" s="92" t="s">
        <v>635</v>
      </c>
      <c r="C1763" s="204">
        <f>C1762/Parametros!$J$37</f>
        <v>216.5048</v>
      </c>
      <c r="D1763" s="204">
        <f>D1762/Parametros!$J$37</f>
        <v>165.099</v>
      </c>
      <c r="E1763" s="204">
        <f>E1762/Parametros!$J$37</f>
        <v>154.3113333</v>
      </c>
      <c r="F1763" s="204">
        <f>F1762/Parametros!$J$37</f>
        <v>147.5573</v>
      </c>
      <c r="G1763" s="204">
        <f>G1762/Parametros!$J$37</f>
        <v>138.0828667</v>
      </c>
      <c r="H1763" s="204">
        <f>H1762/Parametros!$J$37</f>
        <v>135.3624667</v>
      </c>
      <c r="I1763" s="204">
        <f>I1762/Parametros!$J$37</f>
        <v>144.8369</v>
      </c>
      <c r="J1763" s="204">
        <f>J1762/Parametros!$J$37</f>
        <v>144.8369</v>
      </c>
      <c r="K1763" s="204">
        <f>K1762/Parametros!$J$37</f>
        <v>144.8369</v>
      </c>
      <c r="L1763" s="204">
        <f>L1762/Parametros!$J$37</f>
        <v>142.1165</v>
      </c>
      <c r="M1763" s="204">
        <f>M1762/Parametros!$J$37</f>
        <v>139.3961</v>
      </c>
      <c r="N1763" s="204">
        <f>N1762/Parametros!$J$37</f>
        <v>221.9456</v>
      </c>
      <c r="O1763" s="5"/>
      <c r="P1763" s="5"/>
      <c r="Q1763" s="5"/>
      <c r="R1763" s="5"/>
      <c r="S1763" s="5"/>
      <c r="T1763" s="5"/>
      <c r="U1763" s="5"/>
      <c r="V1763" s="5"/>
      <c r="W1763" s="5"/>
      <c r="X1763" s="5"/>
      <c r="Y1763" s="5"/>
      <c r="Z1763" s="5"/>
    </row>
    <row r="1764" ht="12.0" customHeight="1">
      <c r="A1764" s="92" t="s">
        <v>636</v>
      </c>
      <c r="B1764" s="5"/>
      <c r="C1764" s="204">
        <f t="shared" ref="C1764:N1764" si="520">C1763</f>
        <v>216.5048</v>
      </c>
      <c r="D1764" s="204">
        <f t="shared" si="520"/>
        <v>165.099</v>
      </c>
      <c r="E1764" s="204">
        <f t="shared" si="520"/>
        <v>154.3113333</v>
      </c>
      <c r="F1764" s="204">
        <f t="shared" si="520"/>
        <v>147.5573</v>
      </c>
      <c r="G1764" s="204">
        <f t="shared" si="520"/>
        <v>138.0828667</v>
      </c>
      <c r="H1764" s="204">
        <f t="shared" si="520"/>
        <v>135.3624667</v>
      </c>
      <c r="I1764" s="204">
        <f t="shared" si="520"/>
        <v>144.8369</v>
      </c>
      <c r="J1764" s="204">
        <f t="shared" si="520"/>
        <v>144.8369</v>
      </c>
      <c r="K1764" s="204">
        <f t="shared" si="520"/>
        <v>144.8369</v>
      </c>
      <c r="L1764" s="204">
        <f t="shared" si="520"/>
        <v>142.1165</v>
      </c>
      <c r="M1764" s="204">
        <f t="shared" si="520"/>
        <v>139.3961</v>
      </c>
      <c r="N1764" s="204">
        <f t="shared" si="520"/>
        <v>221.9456</v>
      </c>
      <c r="O1764" s="5"/>
      <c r="P1764" s="5"/>
      <c r="Q1764" s="5"/>
      <c r="R1764" s="5"/>
      <c r="S1764" s="5"/>
      <c r="T1764" s="5"/>
      <c r="U1764" s="5"/>
      <c r="V1764" s="5"/>
      <c r="W1764" s="5"/>
      <c r="X1764" s="5"/>
      <c r="Y1764" s="5"/>
      <c r="Z1764" s="5"/>
    </row>
    <row r="1765" ht="12.0" customHeight="1">
      <c r="A1765" s="92" t="s">
        <v>637</v>
      </c>
      <c r="B1765" s="5"/>
      <c r="C1765" s="205">
        <f>'Resumen Capacidad'!$K$122</f>
        <v>192</v>
      </c>
      <c r="D1765" s="205">
        <f>'Resumen Capacidad'!$K$122</f>
        <v>192</v>
      </c>
      <c r="E1765" s="205">
        <f>'Resumen Capacidad'!$K$122</f>
        <v>192</v>
      </c>
      <c r="F1765" s="205">
        <f>'Resumen Capacidad'!$K$122</f>
        <v>192</v>
      </c>
      <c r="G1765" s="205">
        <f>'Resumen Capacidad'!$K$122</f>
        <v>192</v>
      </c>
      <c r="H1765" s="205">
        <f>'Resumen Capacidad'!$K$122</f>
        <v>192</v>
      </c>
      <c r="I1765" s="205">
        <f>'Resumen Capacidad'!$K$122</f>
        <v>192</v>
      </c>
      <c r="J1765" s="205">
        <f>'Resumen Capacidad'!$K$122</f>
        <v>192</v>
      </c>
      <c r="K1765" s="205">
        <f>'Resumen Capacidad'!$K$122</f>
        <v>192</v>
      </c>
      <c r="L1765" s="205">
        <f>'Resumen Capacidad'!$K$122</f>
        <v>192</v>
      </c>
      <c r="M1765" s="205">
        <f>'Resumen Capacidad'!$K$122</f>
        <v>192</v>
      </c>
      <c r="N1765" s="205">
        <f>'Resumen Capacidad'!$K$122</f>
        <v>192</v>
      </c>
      <c r="O1765" s="5"/>
      <c r="P1765" s="5"/>
      <c r="Q1765" s="5"/>
      <c r="R1765" s="5"/>
      <c r="S1765" s="5"/>
      <c r="T1765" s="5"/>
      <c r="U1765" s="5"/>
      <c r="V1765" s="5"/>
      <c r="W1765" s="5"/>
      <c r="X1765" s="5"/>
      <c r="Y1765" s="5"/>
      <c r="Z1765" s="5"/>
    </row>
    <row r="1766" ht="12.0" customHeight="1">
      <c r="A1766" s="92" t="s">
        <v>640</v>
      </c>
      <c r="B1766" s="5"/>
      <c r="C1766" s="204">
        <f>'Resumen Capacidad'!$K$40*'Resumen Capacidad'!$K$76</f>
        <v>2</v>
      </c>
      <c r="D1766" s="204">
        <f>'Resumen Capacidad'!$K$40*'Resumen Capacidad'!$K$76</f>
        <v>2</v>
      </c>
      <c r="E1766" s="204">
        <f>'Resumen Capacidad'!$K$40*'Resumen Capacidad'!$K$76</f>
        <v>2</v>
      </c>
      <c r="F1766" s="204">
        <f>'Resumen Capacidad'!$K$40*'Resumen Capacidad'!$K$76</f>
        <v>2</v>
      </c>
      <c r="G1766" s="204">
        <f>'Resumen Capacidad'!$K$40*'Resumen Capacidad'!$K$76</f>
        <v>2</v>
      </c>
      <c r="H1766" s="204">
        <f>'Resumen Capacidad'!$K$40*'Resumen Capacidad'!$K$76</f>
        <v>2</v>
      </c>
      <c r="I1766" s="204">
        <f>'Resumen Capacidad'!$K$40*'Resumen Capacidad'!$K$76</f>
        <v>2</v>
      </c>
      <c r="J1766" s="204">
        <f>'Resumen Capacidad'!$K$40*'Resumen Capacidad'!$K$76</f>
        <v>2</v>
      </c>
      <c r="K1766" s="204">
        <f>'Resumen Capacidad'!$K$40*'Resumen Capacidad'!$K$76</f>
        <v>2</v>
      </c>
      <c r="L1766" s="204">
        <f>'Resumen Capacidad'!$K$40*'Resumen Capacidad'!$K$76</f>
        <v>2</v>
      </c>
      <c r="M1766" s="204">
        <f>'Resumen Capacidad'!$K$40*'Resumen Capacidad'!$K$76</f>
        <v>2</v>
      </c>
      <c r="N1766" s="204">
        <f>'Resumen Capacidad'!$K$40*'Resumen Capacidad'!$K$76</f>
        <v>2</v>
      </c>
      <c r="O1766" s="5"/>
      <c r="P1766" s="5"/>
      <c r="Q1766" s="5"/>
      <c r="R1766" s="5"/>
      <c r="S1766" s="5"/>
      <c r="T1766" s="5"/>
      <c r="U1766" s="5"/>
      <c r="V1766" s="5"/>
      <c r="W1766" s="5"/>
      <c r="X1766" s="5"/>
      <c r="Y1766" s="5"/>
      <c r="Z1766" s="5"/>
    </row>
    <row r="1767" ht="12.0" customHeight="1">
      <c r="A1767" s="92" t="s">
        <v>642</v>
      </c>
      <c r="B1767" s="5"/>
      <c r="C1767" s="204">
        <f t="shared" ref="C1767:N1767" si="521">C1765*C1766</f>
        <v>384</v>
      </c>
      <c r="D1767" s="204">
        <f t="shared" si="521"/>
        <v>384</v>
      </c>
      <c r="E1767" s="204">
        <f t="shared" si="521"/>
        <v>384</v>
      </c>
      <c r="F1767" s="204">
        <f t="shared" si="521"/>
        <v>384</v>
      </c>
      <c r="G1767" s="204">
        <f t="shared" si="521"/>
        <v>384</v>
      </c>
      <c r="H1767" s="204">
        <f t="shared" si="521"/>
        <v>384</v>
      </c>
      <c r="I1767" s="204">
        <f t="shared" si="521"/>
        <v>384</v>
      </c>
      <c r="J1767" s="204">
        <f t="shared" si="521"/>
        <v>384</v>
      </c>
      <c r="K1767" s="204">
        <f t="shared" si="521"/>
        <v>384</v>
      </c>
      <c r="L1767" s="204">
        <f t="shared" si="521"/>
        <v>384</v>
      </c>
      <c r="M1767" s="204">
        <f t="shared" si="521"/>
        <v>384</v>
      </c>
      <c r="N1767" s="204">
        <f t="shared" si="521"/>
        <v>384</v>
      </c>
      <c r="O1767" s="5"/>
      <c r="P1767" s="5"/>
      <c r="Q1767" s="5"/>
      <c r="R1767" s="5"/>
      <c r="S1767" s="5"/>
      <c r="T1767" s="5"/>
      <c r="U1767" s="5"/>
      <c r="V1767" s="5"/>
      <c r="W1767" s="5"/>
      <c r="X1767" s="5"/>
      <c r="Y1767" s="5"/>
      <c r="Z1767" s="5"/>
    </row>
    <row r="1768" ht="12.0" customHeight="1">
      <c r="A1768" s="92" t="s">
        <v>643</v>
      </c>
      <c r="B1768" s="5"/>
      <c r="C1768" s="206">
        <f t="shared" ref="C1768:N1768" si="522">IF(C1767=0,0,C1764/C1767)</f>
        <v>0.5638145833</v>
      </c>
      <c r="D1768" s="206">
        <f t="shared" si="522"/>
        <v>0.4299453125</v>
      </c>
      <c r="E1768" s="206">
        <f t="shared" si="522"/>
        <v>0.4018524306</v>
      </c>
      <c r="F1768" s="206">
        <f t="shared" si="522"/>
        <v>0.3842638021</v>
      </c>
      <c r="G1768" s="206">
        <f t="shared" si="522"/>
        <v>0.3595907986</v>
      </c>
      <c r="H1768" s="206">
        <f t="shared" si="522"/>
        <v>0.3525064236</v>
      </c>
      <c r="I1768" s="206">
        <f t="shared" si="522"/>
        <v>0.3771794271</v>
      </c>
      <c r="J1768" s="206">
        <f t="shared" si="522"/>
        <v>0.3771794271</v>
      </c>
      <c r="K1768" s="206">
        <f t="shared" si="522"/>
        <v>0.3771794271</v>
      </c>
      <c r="L1768" s="206">
        <f t="shared" si="522"/>
        <v>0.3700950521</v>
      </c>
      <c r="M1768" s="206">
        <f t="shared" si="522"/>
        <v>0.3630106771</v>
      </c>
      <c r="N1768" s="206">
        <f t="shared" si="522"/>
        <v>0.5779833333</v>
      </c>
      <c r="O1768" s="5"/>
      <c r="P1768" s="5"/>
      <c r="Q1768" s="5"/>
      <c r="R1768" s="5"/>
      <c r="S1768" s="5"/>
      <c r="T1768" s="5"/>
      <c r="U1768" s="5"/>
      <c r="V1768" s="5"/>
      <c r="W1768" s="5"/>
      <c r="X1768" s="5"/>
      <c r="Y1768" s="5"/>
      <c r="Z1768" s="5"/>
    </row>
    <row r="1769" ht="12.0" customHeight="1">
      <c r="A1769" s="201" t="s">
        <v>686</v>
      </c>
      <c r="B1769" s="202"/>
      <c r="C1769" s="202"/>
      <c r="D1769" s="202"/>
      <c r="E1769" s="202"/>
      <c r="F1769" s="202"/>
      <c r="G1769" s="202"/>
      <c r="H1769" s="202"/>
      <c r="I1769" s="202"/>
      <c r="J1769" s="202"/>
      <c r="K1769" s="202"/>
      <c r="L1769" s="202"/>
      <c r="M1769" s="202"/>
      <c r="N1769" s="202"/>
      <c r="O1769" s="5"/>
      <c r="P1769" s="5"/>
      <c r="Q1769" s="5"/>
      <c r="R1769" s="5"/>
      <c r="S1769" s="5"/>
      <c r="T1769" s="5"/>
      <c r="U1769" s="5"/>
      <c r="V1769" s="5"/>
      <c r="W1769" s="5"/>
      <c r="X1769" s="5"/>
      <c r="Y1769" s="5"/>
      <c r="Z1769" s="5"/>
    </row>
    <row r="1770" ht="12.0" customHeight="1">
      <c r="A1770" s="201" t="s">
        <v>630</v>
      </c>
      <c r="B1770" s="201" t="s">
        <v>631</v>
      </c>
      <c r="C1770" s="201" t="s">
        <v>3</v>
      </c>
      <c r="D1770" s="201" t="s">
        <v>4</v>
      </c>
      <c r="E1770" s="201" t="s">
        <v>5</v>
      </c>
      <c r="F1770" s="201" t="s">
        <v>6</v>
      </c>
      <c r="G1770" s="201" t="s">
        <v>7</v>
      </c>
      <c r="H1770" s="201" t="s">
        <v>8</v>
      </c>
      <c r="I1770" s="201" t="s">
        <v>9</v>
      </c>
      <c r="J1770" s="201" t="s">
        <v>10</v>
      </c>
      <c r="K1770" s="201" t="s">
        <v>11</v>
      </c>
      <c r="L1770" s="201" t="s">
        <v>12</v>
      </c>
      <c r="M1770" s="201" t="s">
        <v>13</v>
      </c>
      <c r="N1770" s="201" t="s">
        <v>14</v>
      </c>
      <c r="O1770" s="5"/>
      <c r="P1770" s="5"/>
      <c r="Q1770" s="5"/>
      <c r="R1770" s="5"/>
      <c r="S1770" s="5"/>
      <c r="T1770" s="5"/>
      <c r="U1770" s="5"/>
      <c r="V1770" s="5"/>
      <c r="W1770" s="5"/>
      <c r="X1770" s="5"/>
      <c r="Y1770" s="5"/>
      <c r="Z1770" s="5"/>
    </row>
    <row r="1771" ht="12.0" customHeight="1">
      <c r="A1771" s="92" t="s">
        <v>632</v>
      </c>
      <c r="B1771" s="92" t="s">
        <v>633</v>
      </c>
      <c r="C1771" s="203">
        <f>SUM('2035'!B6:B9)+SUM('2035'!B17:B20)</f>
        <v>32475.72</v>
      </c>
      <c r="D1771" s="203">
        <f>SUM('2035'!C6:C9)+SUM('2035'!C17:C20)</f>
        <v>24764.85</v>
      </c>
      <c r="E1771" s="203">
        <f>SUM('2035'!D6:D9)+SUM('2035'!D17:D20)</f>
        <v>23146.7</v>
      </c>
      <c r="F1771" s="203">
        <f>SUM('2035'!E6:E9)+SUM('2035'!E17:E20)</f>
        <v>22133.595</v>
      </c>
      <c r="G1771" s="203">
        <f>SUM('2035'!F6:F9)+SUM('2035'!F17:F20)</f>
        <v>20712.43</v>
      </c>
      <c r="H1771" s="203">
        <f>SUM('2035'!G6:G9)+SUM('2035'!G17:G20)</f>
        <v>20304.37</v>
      </c>
      <c r="I1771" s="203">
        <f>SUM('2035'!H6:H9)+SUM('2035'!H17:H20)</f>
        <v>21725.535</v>
      </c>
      <c r="J1771" s="203">
        <f>SUM('2035'!I6:I9)+SUM('2035'!I17:I20)</f>
        <v>21725.535</v>
      </c>
      <c r="K1771" s="203">
        <f>SUM('2035'!J6:J9)+SUM('2035'!J17:J20)</f>
        <v>21725.535</v>
      </c>
      <c r="L1771" s="203">
        <f>SUM('2035'!K6:K9)+SUM('2035'!K17:K20)</f>
        <v>21317.475</v>
      </c>
      <c r="M1771" s="203">
        <f>SUM('2035'!L6:L9)+SUM('2035'!L17:L20)</f>
        <v>20909.415</v>
      </c>
      <c r="N1771" s="203">
        <f>SUM('2035'!M6:M9)+SUM('2035'!M17:M20)</f>
        <v>33291.84</v>
      </c>
      <c r="O1771" s="5"/>
      <c r="P1771" s="5"/>
      <c r="Q1771" s="5"/>
      <c r="R1771" s="5"/>
      <c r="S1771" s="5"/>
      <c r="T1771" s="5"/>
      <c r="U1771" s="5"/>
      <c r="V1771" s="5"/>
      <c r="W1771" s="5"/>
      <c r="X1771" s="5"/>
      <c r="Y1771" s="5"/>
      <c r="Z1771" s="5"/>
    </row>
    <row r="1772" ht="12.0" customHeight="1">
      <c r="A1772" s="5"/>
      <c r="B1772" s="92" t="s">
        <v>634</v>
      </c>
      <c r="C1772" s="204">
        <f>C1771/Parametros!$B$37</f>
        <v>1623.786</v>
      </c>
      <c r="D1772" s="204">
        <f>D1771/Parametros!$B$37</f>
        <v>1238.2425</v>
      </c>
      <c r="E1772" s="204">
        <f>E1771/Parametros!$B$37</f>
        <v>1157.335</v>
      </c>
      <c r="F1772" s="204">
        <f>F1771/Parametros!$B$37</f>
        <v>1106.67975</v>
      </c>
      <c r="G1772" s="204">
        <f>G1771/Parametros!$B$37</f>
        <v>1035.6215</v>
      </c>
      <c r="H1772" s="204">
        <f>H1771/Parametros!$B$37</f>
        <v>1015.2185</v>
      </c>
      <c r="I1772" s="204">
        <f>I1771/Parametros!$B$37</f>
        <v>1086.27675</v>
      </c>
      <c r="J1772" s="204">
        <f>J1771/Parametros!$B$37</f>
        <v>1086.27675</v>
      </c>
      <c r="K1772" s="204">
        <f>K1771/Parametros!$B$37</f>
        <v>1086.27675</v>
      </c>
      <c r="L1772" s="204">
        <f>L1771/Parametros!$B$37</f>
        <v>1065.87375</v>
      </c>
      <c r="M1772" s="204">
        <f>M1771/Parametros!$B$37</f>
        <v>1045.47075</v>
      </c>
      <c r="N1772" s="204">
        <f>N1771/Parametros!$B$37</f>
        <v>1664.592</v>
      </c>
      <c r="O1772" s="5"/>
      <c r="P1772" s="5"/>
      <c r="Q1772" s="5"/>
      <c r="R1772" s="5"/>
      <c r="S1772" s="5"/>
      <c r="T1772" s="5"/>
      <c r="U1772" s="5"/>
      <c r="V1772" s="5"/>
      <c r="W1772" s="5"/>
      <c r="X1772" s="5"/>
      <c r="Y1772" s="5"/>
      <c r="Z1772" s="5"/>
    </row>
    <row r="1773" ht="12.0" customHeight="1">
      <c r="A1773" s="5"/>
      <c r="B1773" s="92" t="s">
        <v>635</v>
      </c>
      <c r="C1773" s="204">
        <f>C1772/Parametros!$J$37</f>
        <v>216.5048</v>
      </c>
      <c r="D1773" s="204">
        <f>D1772/Parametros!$J$37</f>
        <v>165.099</v>
      </c>
      <c r="E1773" s="204">
        <f>E1772/Parametros!$J$37</f>
        <v>154.3113333</v>
      </c>
      <c r="F1773" s="204">
        <f>F1772/Parametros!$J$37</f>
        <v>147.5573</v>
      </c>
      <c r="G1773" s="204">
        <f>G1772/Parametros!$J$37</f>
        <v>138.0828667</v>
      </c>
      <c r="H1773" s="204">
        <f>H1772/Parametros!$J$37</f>
        <v>135.3624667</v>
      </c>
      <c r="I1773" s="204">
        <f>I1772/Parametros!$J$37</f>
        <v>144.8369</v>
      </c>
      <c r="J1773" s="204">
        <f>J1772/Parametros!$J$37</f>
        <v>144.8369</v>
      </c>
      <c r="K1773" s="204">
        <f>K1772/Parametros!$J$37</f>
        <v>144.8369</v>
      </c>
      <c r="L1773" s="204">
        <f>L1772/Parametros!$J$37</f>
        <v>142.1165</v>
      </c>
      <c r="M1773" s="204">
        <f>M1772/Parametros!$J$37</f>
        <v>139.3961</v>
      </c>
      <c r="N1773" s="204">
        <f>N1772/Parametros!$J$37</f>
        <v>221.9456</v>
      </c>
      <c r="O1773" s="5"/>
      <c r="P1773" s="5"/>
      <c r="Q1773" s="5"/>
      <c r="R1773" s="5"/>
      <c r="S1773" s="5"/>
      <c r="T1773" s="5"/>
      <c r="U1773" s="5"/>
      <c r="V1773" s="5"/>
      <c r="W1773" s="5"/>
      <c r="X1773" s="5"/>
      <c r="Y1773" s="5"/>
      <c r="Z1773" s="5"/>
    </row>
    <row r="1774" ht="12.0" customHeight="1">
      <c r="A1774" s="92" t="s">
        <v>636</v>
      </c>
      <c r="B1774" s="5"/>
      <c r="C1774" s="204">
        <f t="shared" ref="C1774:N1774" si="523">C1773</f>
        <v>216.5048</v>
      </c>
      <c r="D1774" s="204">
        <f t="shared" si="523"/>
        <v>165.099</v>
      </c>
      <c r="E1774" s="204">
        <f t="shared" si="523"/>
        <v>154.3113333</v>
      </c>
      <c r="F1774" s="204">
        <f t="shared" si="523"/>
        <v>147.5573</v>
      </c>
      <c r="G1774" s="204">
        <f t="shared" si="523"/>
        <v>138.0828667</v>
      </c>
      <c r="H1774" s="204">
        <f t="shared" si="523"/>
        <v>135.3624667</v>
      </c>
      <c r="I1774" s="204">
        <f t="shared" si="523"/>
        <v>144.8369</v>
      </c>
      <c r="J1774" s="204">
        <f t="shared" si="523"/>
        <v>144.8369</v>
      </c>
      <c r="K1774" s="204">
        <f t="shared" si="523"/>
        <v>144.8369</v>
      </c>
      <c r="L1774" s="204">
        <f t="shared" si="523"/>
        <v>142.1165</v>
      </c>
      <c r="M1774" s="204">
        <f t="shared" si="523"/>
        <v>139.3961</v>
      </c>
      <c r="N1774" s="204">
        <f t="shared" si="523"/>
        <v>221.9456</v>
      </c>
      <c r="O1774" s="5"/>
      <c r="P1774" s="5"/>
      <c r="Q1774" s="5"/>
      <c r="R1774" s="5"/>
      <c r="S1774" s="5"/>
      <c r="T1774" s="5"/>
      <c r="U1774" s="5"/>
      <c r="V1774" s="5"/>
      <c r="W1774" s="5"/>
      <c r="X1774" s="5"/>
      <c r="Y1774" s="5"/>
      <c r="Z1774" s="5"/>
    </row>
    <row r="1775" ht="12.0" customHeight="1">
      <c r="A1775" s="92" t="s">
        <v>637</v>
      </c>
      <c r="B1775" s="5"/>
      <c r="C1775" s="205">
        <f>'Resumen Capacidad'!$K$124</f>
        <v>136.0227273</v>
      </c>
      <c r="D1775" s="205">
        <f>'Resumen Capacidad'!$K$124</f>
        <v>136.0227273</v>
      </c>
      <c r="E1775" s="205">
        <f>'Resumen Capacidad'!$K$124</f>
        <v>136.0227273</v>
      </c>
      <c r="F1775" s="205">
        <f>'Resumen Capacidad'!$K$124</f>
        <v>136.0227273</v>
      </c>
      <c r="G1775" s="205">
        <f>'Resumen Capacidad'!$K$124</f>
        <v>136.0227273</v>
      </c>
      <c r="H1775" s="205">
        <f>'Resumen Capacidad'!$K$124</f>
        <v>136.0227273</v>
      </c>
      <c r="I1775" s="205">
        <f>'Resumen Capacidad'!$K$124</f>
        <v>136.0227273</v>
      </c>
      <c r="J1775" s="205">
        <f>'Resumen Capacidad'!$K$124</f>
        <v>136.0227273</v>
      </c>
      <c r="K1775" s="205">
        <f>'Resumen Capacidad'!$K$124</f>
        <v>136.0227273</v>
      </c>
      <c r="L1775" s="205">
        <f>'Resumen Capacidad'!$K$124</f>
        <v>136.0227273</v>
      </c>
      <c r="M1775" s="205">
        <f>'Resumen Capacidad'!$K$124</f>
        <v>136.0227273</v>
      </c>
      <c r="N1775" s="205">
        <f>'Resumen Capacidad'!$K$124</f>
        <v>136.0227273</v>
      </c>
      <c r="O1775" s="5"/>
      <c r="P1775" s="5"/>
      <c r="Q1775" s="5"/>
      <c r="R1775" s="5"/>
      <c r="S1775" s="5"/>
      <c r="T1775" s="5"/>
      <c r="U1775" s="5"/>
      <c r="V1775" s="5"/>
      <c r="W1775" s="5"/>
      <c r="X1775" s="5"/>
      <c r="Y1775" s="5"/>
      <c r="Z1775" s="5"/>
    </row>
    <row r="1776" ht="12.0" customHeight="1">
      <c r="A1776" s="92" t="s">
        <v>640</v>
      </c>
      <c r="B1776" s="5"/>
      <c r="C1776" s="204">
        <f>'Resumen Capacidad'!$K$42*'Resumen Capacidad'!$K$78</f>
        <v>2</v>
      </c>
      <c r="D1776" s="204">
        <f>'Resumen Capacidad'!$K$42*'Resumen Capacidad'!$K$78</f>
        <v>2</v>
      </c>
      <c r="E1776" s="204">
        <f>'Resumen Capacidad'!$K$42*'Resumen Capacidad'!$K$78</f>
        <v>2</v>
      </c>
      <c r="F1776" s="204">
        <f>'Resumen Capacidad'!$K$42*'Resumen Capacidad'!$K$78</f>
        <v>2</v>
      </c>
      <c r="G1776" s="204">
        <f>'Resumen Capacidad'!$K$42*'Resumen Capacidad'!$K$78</f>
        <v>2</v>
      </c>
      <c r="H1776" s="204">
        <f>'Resumen Capacidad'!$K$42*'Resumen Capacidad'!$K$78</f>
        <v>2</v>
      </c>
      <c r="I1776" s="204">
        <f>'Resumen Capacidad'!$K$42*'Resumen Capacidad'!$K$78</f>
        <v>2</v>
      </c>
      <c r="J1776" s="204">
        <f>'Resumen Capacidad'!$K$42*'Resumen Capacidad'!$K$78</f>
        <v>2</v>
      </c>
      <c r="K1776" s="204">
        <f>'Resumen Capacidad'!$K$42*'Resumen Capacidad'!$K$78</f>
        <v>2</v>
      </c>
      <c r="L1776" s="204">
        <f>'Resumen Capacidad'!$K$42*'Resumen Capacidad'!$K$78</f>
        <v>2</v>
      </c>
      <c r="M1776" s="204">
        <f>'Resumen Capacidad'!$K$42*'Resumen Capacidad'!$K$78</f>
        <v>2</v>
      </c>
      <c r="N1776" s="204">
        <f>'Resumen Capacidad'!$K$42*'Resumen Capacidad'!$K$78</f>
        <v>2</v>
      </c>
      <c r="O1776" s="5"/>
      <c r="P1776" s="5"/>
      <c r="Q1776" s="5"/>
      <c r="R1776" s="5"/>
      <c r="S1776" s="5"/>
      <c r="T1776" s="5"/>
      <c r="U1776" s="5"/>
      <c r="V1776" s="5"/>
      <c r="W1776" s="5"/>
      <c r="X1776" s="5"/>
      <c r="Y1776" s="5"/>
      <c r="Z1776" s="5"/>
    </row>
    <row r="1777" ht="12.0" customHeight="1">
      <c r="A1777" s="92" t="s">
        <v>642</v>
      </c>
      <c r="B1777" s="5"/>
      <c r="C1777" s="204">
        <f t="shared" ref="C1777:N1777" si="524">C1775*C1776</f>
        <v>272.0454545</v>
      </c>
      <c r="D1777" s="204">
        <f t="shared" si="524"/>
        <v>272.0454545</v>
      </c>
      <c r="E1777" s="204">
        <f t="shared" si="524"/>
        <v>272.0454545</v>
      </c>
      <c r="F1777" s="204">
        <f t="shared" si="524"/>
        <v>272.0454545</v>
      </c>
      <c r="G1777" s="204">
        <f t="shared" si="524"/>
        <v>272.0454545</v>
      </c>
      <c r="H1777" s="204">
        <f t="shared" si="524"/>
        <v>272.0454545</v>
      </c>
      <c r="I1777" s="204">
        <f t="shared" si="524"/>
        <v>272.0454545</v>
      </c>
      <c r="J1777" s="204">
        <f t="shared" si="524"/>
        <v>272.0454545</v>
      </c>
      <c r="K1777" s="204">
        <f t="shared" si="524"/>
        <v>272.0454545</v>
      </c>
      <c r="L1777" s="204">
        <f t="shared" si="524"/>
        <v>272.0454545</v>
      </c>
      <c r="M1777" s="204">
        <f t="shared" si="524"/>
        <v>272.0454545</v>
      </c>
      <c r="N1777" s="204">
        <f t="shared" si="524"/>
        <v>272.0454545</v>
      </c>
      <c r="O1777" s="5"/>
      <c r="P1777" s="5"/>
      <c r="Q1777" s="5"/>
      <c r="R1777" s="5"/>
      <c r="S1777" s="5"/>
      <c r="T1777" s="5"/>
      <c r="U1777" s="5"/>
      <c r="V1777" s="5"/>
      <c r="W1777" s="5"/>
      <c r="X1777" s="5"/>
      <c r="Y1777" s="5"/>
      <c r="Z1777" s="5"/>
    </row>
    <row r="1778" ht="12.0" customHeight="1">
      <c r="A1778" s="92" t="s">
        <v>643</v>
      </c>
      <c r="B1778" s="5"/>
      <c r="C1778" s="206">
        <f t="shared" ref="C1778:N1778" si="525">IF(C1777=0,0,C1774/C1777)</f>
        <v>0.7958405347</v>
      </c>
      <c r="D1778" s="206">
        <f t="shared" si="525"/>
        <v>0.6068802005</v>
      </c>
      <c r="E1778" s="206">
        <f t="shared" si="525"/>
        <v>0.5672262879</v>
      </c>
      <c r="F1778" s="206">
        <f t="shared" si="525"/>
        <v>0.5423994319</v>
      </c>
      <c r="G1778" s="206">
        <f t="shared" si="525"/>
        <v>0.5075727764</v>
      </c>
      <c r="H1778" s="206">
        <f t="shared" si="525"/>
        <v>0.4975729769</v>
      </c>
      <c r="I1778" s="206">
        <f t="shared" si="525"/>
        <v>0.5323996324</v>
      </c>
      <c r="J1778" s="206">
        <f t="shared" si="525"/>
        <v>0.5323996324</v>
      </c>
      <c r="K1778" s="206">
        <f t="shared" si="525"/>
        <v>0.5323996324</v>
      </c>
      <c r="L1778" s="206">
        <f t="shared" si="525"/>
        <v>0.5223998329</v>
      </c>
      <c r="M1778" s="206">
        <f t="shared" si="525"/>
        <v>0.5124000334</v>
      </c>
      <c r="N1778" s="206">
        <f t="shared" si="525"/>
        <v>0.8158401337</v>
      </c>
      <c r="O1778" s="5"/>
      <c r="P1778" s="5"/>
      <c r="Q1778" s="5"/>
      <c r="R1778" s="5"/>
      <c r="S1778" s="5"/>
      <c r="T1778" s="5"/>
      <c r="U1778" s="5"/>
      <c r="V1778" s="5"/>
      <c r="W1778" s="5"/>
      <c r="X1778" s="5"/>
      <c r="Y1778" s="5"/>
      <c r="Z1778" s="5"/>
    </row>
    <row r="1779" ht="12.0" customHeight="1">
      <c r="A1779" s="201" t="s">
        <v>693</v>
      </c>
      <c r="B1779" s="202"/>
      <c r="C1779" s="202"/>
      <c r="D1779" s="202"/>
      <c r="E1779" s="202"/>
      <c r="F1779" s="202"/>
      <c r="G1779" s="202"/>
      <c r="H1779" s="202"/>
      <c r="I1779" s="202"/>
      <c r="J1779" s="202"/>
      <c r="K1779" s="202"/>
      <c r="L1779" s="202"/>
      <c r="M1779" s="202"/>
      <c r="N1779" s="202"/>
      <c r="O1779" s="5"/>
      <c r="P1779" s="5"/>
      <c r="Q1779" s="5"/>
      <c r="R1779" s="5"/>
      <c r="S1779" s="5"/>
      <c r="T1779" s="5"/>
      <c r="U1779" s="5"/>
      <c r="V1779" s="5"/>
      <c r="W1779" s="5"/>
      <c r="X1779" s="5"/>
      <c r="Y1779" s="5"/>
      <c r="Z1779" s="5"/>
    </row>
    <row r="1780" ht="12.0" customHeight="1">
      <c r="A1780" s="201" t="s">
        <v>630</v>
      </c>
      <c r="B1780" s="201" t="s">
        <v>631</v>
      </c>
      <c r="C1780" s="201" t="s">
        <v>3</v>
      </c>
      <c r="D1780" s="201" t="s">
        <v>4</v>
      </c>
      <c r="E1780" s="201" t="s">
        <v>5</v>
      </c>
      <c r="F1780" s="201" t="s">
        <v>6</v>
      </c>
      <c r="G1780" s="201" t="s">
        <v>7</v>
      </c>
      <c r="H1780" s="201" t="s">
        <v>8</v>
      </c>
      <c r="I1780" s="201" t="s">
        <v>9</v>
      </c>
      <c r="J1780" s="201" t="s">
        <v>10</v>
      </c>
      <c r="K1780" s="201" t="s">
        <v>11</v>
      </c>
      <c r="L1780" s="201" t="s">
        <v>12</v>
      </c>
      <c r="M1780" s="201" t="s">
        <v>13</v>
      </c>
      <c r="N1780" s="201" t="s">
        <v>14</v>
      </c>
      <c r="O1780" s="5"/>
      <c r="P1780" s="5"/>
      <c r="Q1780" s="5"/>
      <c r="R1780" s="5"/>
      <c r="S1780" s="5"/>
      <c r="T1780" s="5"/>
      <c r="U1780" s="5"/>
      <c r="V1780" s="5"/>
      <c r="W1780" s="5"/>
      <c r="X1780" s="5"/>
      <c r="Y1780" s="5"/>
      <c r="Z1780" s="5"/>
    </row>
    <row r="1781" ht="12.0" customHeight="1">
      <c r="A1781" s="92" t="s">
        <v>694</v>
      </c>
      <c r="B1781" s="92" t="s">
        <v>633</v>
      </c>
      <c r="C1781" s="203">
        <f>SUM('2035'!B6:B9)+Parametros!$B$72*C2876</f>
        <v>8312.775</v>
      </c>
      <c r="D1781" s="203">
        <f>SUM('2035'!C6:C9)+Parametros!$B$72*D2876</f>
        <v>6495.855</v>
      </c>
      <c r="E1781" s="203">
        <f>SUM('2035'!D6:D9)+Parametros!$B$72*E2876</f>
        <v>6456.795</v>
      </c>
      <c r="F1781" s="203">
        <f>SUM('2035'!E6:E9)+Parametros!$B$72*F2876</f>
        <v>6296.43</v>
      </c>
      <c r="G1781" s="203">
        <f>SUM('2035'!F6:F9)+Parametros!$B$72*G2876</f>
        <v>5935.98</v>
      </c>
      <c r="H1781" s="203">
        <f>SUM('2035'!G6:G9)+Parametros!$B$72*H2876</f>
        <v>5681.505</v>
      </c>
      <c r="I1781" s="203">
        <f>SUM('2035'!H6:H9)+Parametros!$B$72*I2876</f>
        <v>6096.345</v>
      </c>
      <c r="J1781" s="203">
        <f>SUM('2035'!I6:I9)+Parametros!$B$72*J2876</f>
        <v>6096.345</v>
      </c>
      <c r="K1781" s="203">
        <f>SUM('2035'!J6:J9)+Parametros!$B$72*K2876</f>
        <v>6069.15</v>
      </c>
      <c r="L1781" s="203">
        <f>SUM('2035'!K6:K9)+Parametros!$B$72*L2876</f>
        <v>5814.675</v>
      </c>
      <c r="M1781" s="203">
        <f>SUM('2035'!L6:L9)+Parametros!$B$72*M2876</f>
        <v>5587.395</v>
      </c>
      <c r="N1781" s="203">
        <f>SUM('2035'!M6:M9)+Parametros!$B$72*N2876</f>
        <v>8685.75</v>
      </c>
      <c r="O1781" s="5"/>
      <c r="P1781" s="5"/>
      <c r="Q1781" s="5"/>
      <c r="R1781" s="5"/>
      <c r="S1781" s="5"/>
      <c r="T1781" s="5"/>
      <c r="U1781" s="5"/>
      <c r="V1781" s="5"/>
      <c r="W1781" s="5"/>
      <c r="X1781" s="5"/>
      <c r="Y1781" s="5"/>
      <c r="Z1781" s="5"/>
    </row>
    <row r="1782" ht="12.0" customHeight="1">
      <c r="A1782" s="5"/>
      <c r="B1782" s="92" t="s">
        <v>634</v>
      </c>
      <c r="C1782" s="204">
        <f>C1781/Parametros!$B$37</f>
        <v>415.63875</v>
      </c>
      <c r="D1782" s="204">
        <f>D1781/Parametros!$B$37</f>
        <v>324.79275</v>
      </c>
      <c r="E1782" s="204">
        <f>E1781/Parametros!$B$37</f>
        <v>322.83975</v>
      </c>
      <c r="F1782" s="204">
        <f>F1781/Parametros!$B$37</f>
        <v>314.8215</v>
      </c>
      <c r="G1782" s="204">
        <f>G1781/Parametros!$B$37</f>
        <v>296.799</v>
      </c>
      <c r="H1782" s="204">
        <f>H1781/Parametros!$B$37</f>
        <v>284.07525</v>
      </c>
      <c r="I1782" s="204">
        <f>I1781/Parametros!$B$37</f>
        <v>304.81725</v>
      </c>
      <c r="J1782" s="204">
        <f>J1781/Parametros!$B$37</f>
        <v>304.81725</v>
      </c>
      <c r="K1782" s="204">
        <f>K1781/Parametros!$B$37</f>
        <v>303.4575</v>
      </c>
      <c r="L1782" s="204">
        <f>L1781/Parametros!$B$37</f>
        <v>290.73375</v>
      </c>
      <c r="M1782" s="204">
        <f>M1781/Parametros!$B$37</f>
        <v>279.36975</v>
      </c>
      <c r="N1782" s="204">
        <f>N1781/Parametros!$B$37</f>
        <v>434.2875</v>
      </c>
      <c r="O1782" s="5"/>
      <c r="P1782" s="5"/>
      <c r="Q1782" s="5"/>
      <c r="R1782" s="5"/>
      <c r="S1782" s="5"/>
      <c r="T1782" s="5"/>
      <c r="U1782" s="5"/>
      <c r="V1782" s="5"/>
      <c r="W1782" s="5"/>
      <c r="X1782" s="5"/>
      <c r="Y1782" s="5"/>
      <c r="Z1782" s="5"/>
    </row>
    <row r="1783" ht="12.0" customHeight="1">
      <c r="A1783" s="5"/>
      <c r="B1783" s="92" t="s">
        <v>635</v>
      </c>
      <c r="C1783" s="204">
        <f>C1782/Parametros!$J$37</f>
        <v>55.4185</v>
      </c>
      <c r="D1783" s="204">
        <f>D1782/Parametros!$J$37</f>
        <v>43.3057</v>
      </c>
      <c r="E1783" s="204">
        <f>E1782/Parametros!$J$37</f>
        <v>43.0453</v>
      </c>
      <c r="F1783" s="204">
        <f>F1782/Parametros!$J$37</f>
        <v>41.9762</v>
      </c>
      <c r="G1783" s="204">
        <f>G1782/Parametros!$J$37</f>
        <v>39.5732</v>
      </c>
      <c r="H1783" s="204">
        <f>H1782/Parametros!$J$37</f>
        <v>37.8767</v>
      </c>
      <c r="I1783" s="204">
        <f>I1782/Parametros!$J$37</f>
        <v>40.6423</v>
      </c>
      <c r="J1783" s="204">
        <f>J1782/Parametros!$J$37</f>
        <v>40.6423</v>
      </c>
      <c r="K1783" s="204">
        <f>K1782/Parametros!$J$37</f>
        <v>40.461</v>
      </c>
      <c r="L1783" s="204">
        <f>L1782/Parametros!$J$37</f>
        <v>38.7645</v>
      </c>
      <c r="M1783" s="204">
        <f>M1782/Parametros!$J$37</f>
        <v>37.2493</v>
      </c>
      <c r="N1783" s="204">
        <f>N1782/Parametros!$J$37</f>
        <v>57.905</v>
      </c>
      <c r="O1783" s="5"/>
      <c r="P1783" s="5"/>
      <c r="Q1783" s="5"/>
      <c r="R1783" s="5"/>
      <c r="S1783" s="5"/>
      <c r="T1783" s="5"/>
      <c r="U1783" s="5"/>
      <c r="V1783" s="5"/>
      <c r="W1783" s="5"/>
      <c r="X1783" s="5"/>
      <c r="Y1783" s="5"/>
      <c r="Z1783" s="5"/>
    </row>
    <row r="1784" ht="12.0" customHeight="1">
      <c r="A1784" s="92" t="s">
        <v>636</v>
      </c>
      <c r="B1784" s="5"/>
      <c r="C1784" s="204">
        <f t="shared" ref="C1784:N1784" si="526">C1783</f>
        <v>55.4185</v>
      </c>
      <c r="D1784" s="204">
        <f t="shared" si="526"/>
        <v>43.3057</v>
      </c>
      <c r="E1784" s="204">
        <f t="shared" si="526"/>
        <v>43.0453</v>
      </c>
      <c r="F1784" s="204">
        <f t="shared" si="526"/>
        <v>41.9762</v>
      </c>
      <c r="G1784" s="204">
        <f t="shared" si="526"/>
        <v>39.5732</v>
      </c>
      <c r="H1784" s="204">
        <f t="shared" si="526"/>
        <v>37.8767</v>
      </c>
      <c r="I1784" s="204">
        <f t="shared" si="526"/>
        <v>40.6423</v>
      </c>
      <c r="J1784" s="204">
        <f t="shared" si="526"/>
        <v>40.6423</v>
      </c>
      <c r="K1784" s="204">
        <f t="shared" si="526"/>
        <v>40.461</v>
      </c>
      <c r="L1784" s="204">
        <f t="shared" si="526"/>
        <v>38.7645</v>
      </c>
      <c r="M1784" s="204">
        <f t="shared" si="526"/>
        <v>37.2493</v>
      </c>
      <c r="N1784" s="204">
        <f t="shared" si="526"/>
        <v>57.905</v>
      </c>
      <c r="O1784" s="5"/>
      <c r="P1784" s="5"/>
      <c r="Q1784" s="5"/>
      <c r="R1784" s="5"/>
      <c r="S1784" s="5"/>
      <c r="T1784" s="5"/>
      <c r="U1784" s="5"/>
      <c r="V1784" s="5"/>
      <c r="W1784" s="5"/>
      <c r="X1784" s="5"/>
      <c r="Y1784" s="5"/>
      <c r="Z1784" s="5"/>
    </row>
    <row r="1785" ht="12.0" customHeight="1">
      <c r="A1785" s="92" t="s">
        <v>637</v>
      </c>
      <c r="B1785" s="5"/>
      <c r="C1785" s="205">
        <f>'Resumen Capacidad'!$K$125</f>
        <v>60.34285714</v>
      </c>
      <c r="D1785" s="205">
        <f>'Resumen Capacidad'!$K$125</f>
        <v>60.34285714</v>
      </c>
      <c r="E1785" s="205">
        <f>'Resumen Capacidad'!$K$125</f>
        <v>60.34285714</v>
      </c>
      <c r="F1785" s="205">
        <f>'Resumen Capacidad'!$K$125</f>
        <v>60.34285714</v>
      </c>
      <c r="G1785" s="205">
        <f>'Resumen Capacidad'!$K$125</f>
        <v>60.34285714</v>
      </c>
      <c r="H1785" s="205">
        <f>'Resumen Capacidad'!$K$125</f>
        <v>60.34285714</v>
      </c>
      <c r="I1785" s="205">
        <f>'Resumen Capacidad'!$K$125</f>
        <v>60.34285714</v>
      </c>
      <c r="J1785" s="205">
        <f>'Resumen Capacidad'!$K$125</f>
        <v>60.34285714</v>
      </c>
      <c r="K1785" s="205">
        <f>'Resumen Capacidad'!$K$125</f>
        <v>60.34285714</v>
      </c>
      <c r="L1785" s="205">
        <f>'Resumen Capacidad'!$K$125</f>
        <v>60.34285714</v>
      </c>
      <c r="M1785" s="205">
        <f>'Resumen Capacidad'!$K$125</f>
        <v>60.34285714</v>
      </c>
      <c r="N1785" s="205">
        <f>'Resumen Capacidad'!$K$125</f>
        <v>60.34285714</v>
      </c>
      <c r="O1785" s="5"/>
      <c r="P1785" s="5"/>
      <c r="Q1785" s="5"/>
      <c r="R1785" s="5"/>
      <c r="S1785" s="5"/>
      <c r="T1785" s="5"/>
      <c r="U1785" s="5"/>
      <c r="V1785" s="5"/>
      <c r="W1785" s="5"/>
      <c r="X1785" s="5"/>
      <c r="Y1785" s="5"/>
      <c r="Z1785" s="5"/>
    </row>
    <row r="1786" ht="12.0" customHeight="1">
      <c r="A1786" s="92" t="s">
        <v>640</v>
      </c>
      <c r="B1786" s="5"/>
      <c r="C1786" s="204">
        <f>'Resumen Capacidad'!$K$43*'Resumen Capacidad'!$K$79</f>
        <v>2</v>
      </c>
      <c r="D1786" s="204">
        <f>'Resumen Capacidad'!$K$43*'Resumen Capacidad'!$K$79</f>
        <v>2</v>
      </c>
      <c r="E1786" s="204">
        <f>'Resumen Capacidad'!$K$43*'Resumen Capacidad'!$K$79</f>
        <v>2</v>
      </c>
      <c r="F1786" s="204">
        <f>'Resumen Capacidad'!$K$43*'Resumen Capacidad'!$K$79</f>
        <v>2</v>
      </c>
      <c r="G1786" s="204">
        <f>'Resumen Capacidad'!$K$43*'Resumen Capacidad'!$K$79</f>
        <v>2</v>
      </c>
      <c r="H1786" s="204">
        <f>'Resumen Capacidad'!$K$43*'Resumen Capacidad'!$K$79</f>
        <v>2</v>
      </c>
      <c r="I1786" s="204">
        <f>'Resumen Capacidad'!$K$43*'Resumen Capacidad'!$K$79</f>
        <v>2</v>
      </c>
      <c r="J1786" s="204">
        <f>'Resumen Capacidad'!$K$43*'Resumen Capacidad'!$K$79</f>
        <v>2</v>
      </c>
      <c r="K1786" s="204">
        <f>'Resumen Capacidad'!$K$43*'Resumen Capacidad'!$K$79</f>
        <v>2</v>
      </c>
      <c r="L1786" s="204">
        <f>'Resumen Capacidad'!$K$43*'Resumen Capacidad'!$K$79</f>
        <v>2</v>
      </c>
      <c r="M1786" s="204">
        <f>'Resumen Capacidad'!$K$43*'Resumen Capacidad'!$K$79</f>
        <v>2</v>
      </c>
      <c r="N1786" s="204">
        <f>'Resumen Capacidad'!$K$43*'Resumen Capacidad'!$K$79</f>
        <v>2</v>
      </c>
      <c r="O1786" s="5"/>
      <c r="P1786" s="5"/>
      <c r="Q1786" s="5"/>
      <c r="R1786" s="5"/>
      <c r="S1786" s="5"/>
      <c r="T1786" s="5"/>
      <c r="U1786" s="5"/>
      <c r="V1786" s="5"/>
      <c r="W1786" s="5"/>
      <c r="X1786" s="5"/>
      <c r="Y1786" s="5"/>
      <c r="Z1786" s="5"/>
    </row>
    <row r="1787" ht="12.0" customHeight="1">
      <c r="A1787" s="92" t="s">
        <v>642</v>
      </c>
      <c r="B1787" s="5"/>
      <c r="C1787" s="204">
        <f t="shared" ref="C1787:N1787" si="527">C1785*C1786</f>
        <v>120.6857143</v>
      </c>
      <c r="D1787" s="204">
        <f t="shared" si="527"/>
        <v>120.6857143</v>
      </c>
      <c r="E1787" s="204">
        <f t="shared" si="527"/>
        <v>120.6857143</v>
      </c>
      <c r="F1787" s="204">
        <f t="shared" si="527"/>
        <v>120.6857143</v>
      </c>
      <c r="G1787" s="204">
        <f t="shared" si="527"/>
        <v>120.6857143</v>
      </c>
      <c r="H1787" s="204">
        <f t="shared" si="527"/>
        <v>120.6857143</v>
      </c>
      <c r="I1787" s="204">
        <f t="shared" si="527"/>
        <v>120.6857143</v>
      </c>
      <c r="J1787" s="204">
        <f t="shared" si="527"/>
        <v>120.6857143</v>
      </c>
      <c r="K1787" s="204">
        <f t="shared" si="527"/>
        <v>120.6857143</v>
      </c>
      <c r="L1787" s="204">
        <f t="shared" si="527"/>
        <v>120.6857143</v>
      </c>
      <c r="M1787" s="204">
        <f t="shared" si="527"/>
        <v>120.6857143</v>
      </c>
      <c r="N1787" s="204">
        <f t="shared" si="527"/>
        <v>120.6857143</v>
      </c>
      <c r="O1787" s="5"/>
      <c r="P1787" s="5"/>
      <c r="Q1787" s="5"/>
      <c r="R1787" s="5"/>
      <c r="S1787" s="5"/>
      <c r="T1787" s="5"/>
      <c r="U1787" s="5"/>
      <c r="V1787" s="5"/>
      <c r="W1787" s="5"/>
      <c r="X1787" s="5"/>
      <c r="Y1787" s="5"/>
      <c r="Z1787" s="5"/>
    </row>
    <row r="1788" ht="12.0" customHeight="1">
      <c r="A1788" s="92" t="s">
        <v>643</v>
      </c>
      <c r="B1788" s="5"/>
      <c r="C1788" s="206">
        <f t="shared" ref="C1788:N1788" si="528">IF(C1787=0,0,C1784/C1787)</f>
        <v>0.4591968513</v>
      </c>
      <c r="D1788" s="206">
        <f t="shared" si="528"/>
        <v>0.3588303741</v>
      </c>
      <c r="E1788" s="206">
        <f t="shared" si="528"/>
        <v>0.3566727036</v>
      </c>
      <c r="F1788" s="206">
        <f t="shared" si="528"/>
        <v>0.3478141572</v>
      </c>
      <c r="G1788" s="206">
        <f t="shared" si="528"/>
        <v>0.3279029356</v>
      </c>
      <c r="H1788" s="206">
        <f t="shared" si="528"/>
        <v>0.3138457623</v>
      </c>
      <c r="I1788" s="206">
        <f t="shared" si="528"/>
        <v>0.336761482</v>
      </c>
      <c r="J1788" s="206">
        <f t="shared" si="528"/>
        <v>0.336761482</v>
      </c>
      <c r="K1788" s="206">
        <f t="shared" si="528"/>
        <v>0.335259233</v>
      </c>
      <c r="L1788" s="206">
        <f t="shared" si="528"/>
        <v>0.3212020597</v>
      </c>
      <c r="M1788" s="206">
        <f t="shared" si="528"/>
        <v>0.3086471354</v>
      </c>
      <c r="N1788" s="206">
        <f t="shared" si="528"/>
        <v>0.4797999527</v>
      </c>
      <c r="O1788" s="5"/>
      <c r="P1788" s="5"/>
      <c r="Q1788" s="5"/>
      <c r="R1788" s="5"/>
      <c r="S1788" s="5"/>
      <c r="T1788" s="5"/>
      <c r="U1788" s="5"/>
      <c r="V1788" s="5"/>
      <c r="W1788" s="5"/>
      <c r="X1788" s="5"/>
      <c r="Y1788" s="5"/>
      <c r="Z1788" s="5"/>
    </row>
    <row r="1789" ht="12.0" customHeight="1">
      <c r="A1789" s="201" t="s">
        <v>695</v>
      </c>
      <c r="B1789" s="202"/>
      <c r="C1789" s="202"/>
      <c r="D1789" s="202"/>
      <c r="E1789" s="202"/>
      <c r="F1789" s="202"/>
      <c r="G1789" s="202"/>
      <c r="H1789" s="202"/>
      <c r="I1789" s="202"/>
      <c r="J1789" s="202"/>
      <c r="K1789" s="202"/>
      <c r="L1789" s="202"/>
      <c r="M1789" s="202"/>
      <c r="N1789" s="202"/>
      <c r="O1789" s="5"/>
      <c r="P1789" s="5"/>
      <c r="Q1789" s="5"/>
      <c r="R1789" s="5"/>
      <c r="S1789" s="5"/>
      <c r="T1789" s="5"/>
      <c r="U1789" s="5"/>
      <c r="V1789" s="5"/>
      <c r="W1789" s="5"/>
      <c r="X1789" s="5"/>
      <c r="Y1789" s="5"/>
      <c r="Z1789" s="5"/>
    </row>
    <row r="1790" ht="12.0" customHeight="1">
      <c r="A1790" s="201" t="s">
        <v>630</v>
      </c>
      <c r="B1790" s="201" t="s">
        <v>631</v>
      </c>
      <c r="C1790" s="201" t="s">
        <v>3</v>
      </c>
      <c r="D1790" s="201" t="s">
        <v>4</v>
      </c>
      <c r="E1790" s="201" t="s">
        <v>5</v>
      </c>
      <c r="F1790" s="201" t="s">
        <v>6</v>
      </c>
      <c r="G1790" s="201" t="s">
        <v>7</v>
      </c>
      <c r="H1790" s="201" t="s">
        <v>8</v>
      </c>
      <c r="I1790" s="201" t="s">
        <v>9</v>
      </c>
      <c r="J1790" s="201" t="s">
        <v>10</v>
      </c>
      <c r="K1790" s="201" t="s">
        <v>11</v>
      </c>
      <c r="L1790" s="201" t="s">
        <v>12</v>
      </c>
      <c r="M1790" s="201" t="s">
        <v>13</v>
      </c>
      <c r="N1790" s="201" t="s">
        <v>14</v>
      </c>
      <c r="O1790" s="5"/>
      <c r="P1790" s="5"/>
      <c r="Q1790" s="5"/>
      <c r="R1790" s="5"/>
      <c r="S1790" s="5"/>
      <c r="T1790" s="5"/>
      <c r="U1790" s="5"/>
      <c r="V1790" s="5"/>
      <c r="W1790" s="5"/>
      <c r="X1790" s="5"/>
      <c r="Y1790" s="5"/>
      <c r="Z1790" s="5"/>
    </row>
    <row r="1791" ht="12.0" customHeight="1">
      <c r="A1791" s="92" t="s">
        <v>694</v>
      </c>
      <c r="B1791" s="92" t="s">
        <v>633</v>
      </c>
      <c r="C1791" s="203">
        <f>SUM('2035'!B6:B9)+Parametros!$B$72*C2876</f>
        <v>8312.775</v>
      </c>
      <c r="D1791" s="203">
        <f>SUM('2035'!C6:C9)+Parametros!$B$72*D2876</f>
        <v>6495.855</v>
      </c>
      <c r="E1791" s="203">
        <f>SUM('2035'!D6:D9)+Parametros!$B$72*E2876</f>
        <v>6456.795</v>
      </c>
      <c r="F1791" s="203">
        <f>SUM('2035'!E6:E9)+Parametros!$B$72*F2876</f>
        <v>6296.43</v>
      </c>
      <c r="G1791" s="203">
        <f>SUM('2035'!F6:F9)+Parametros!$B$72*G2876</f>
        <v>5935.98</v>
      </c>
      <c r="H1791" s="203">
        <f>SUM('2035'!G6:G9)+Parametros!$B$72*H2876</f>
        <v>5681.505</v>
      </c>
      <c r="I1791" s="203">
        <f>SUM('2035'!H6:H9)+Parametros!$B$72*I2876</f>
        <v>6096.345</v>
      </c>
      <c r="J1791" s="203">
        <f>SUM('2035'!I6:I9)+Parametros!$B$72*J2876</f>
        <v>6096.345</v>
      </c>
      <c r="K1791" s="203">
        <f>SUM('2035'!J6:J9)+Parametros!$B$72*K2876</f>
        <v>6069.15</v>
      </c>
      <c r="L1791" s="203">
        <f>SUM('2035'!K6:K9)+Parametros!$B$72*L2876</f>
        <v>5814.675</v>
      </c>
      <c r="M1791" s="203">
        <f>SUM('2035'!L6:L9)+Parametros!$B$72*M2876</f>
        <v>5587.395</v>
      </c>
      <c r="N1791" s="203">
        <f>SUM('2035'!M6:M9)+Parametros!$B$72*N2876</f>
        <v>8685.75</v>
      </c>
      <c r="O1791" s="5"/>
      <c r="P1791" s="5"/>
      <c r="Q1791" s="5"/>
      <c r="R1791" s="5"/>
      <c r="S1791" s="5"/>
      <c r="T1791" s="5"/>
      <c r="U1791" s="5"/>
      <c r="V1791" s="5"/>
      <c r="W1791" s="5"/>
      <c r="X1791" s="5"/>
      <c r="Y1791" s="5"/>
      <c r="Z1791" s="5"/>
    </row>
    <row r="1792" ht="12.0" customHeight="1">
      <c r="A1792" s="5"/>
      <c r="B1792" s="92" t="s">
        <v>634</v>
      </c>
      <c r="C1792" s="204">
        <f>C1791/Parametros!$B$37</f>
        <v>415.63875</v>
      </c>
      <c r="D1792" s="204">
        <f>D1791/Parametros!$B$37</f>
        <v>324.79275</v>
      </c>
      <c r="E1792" s="204">
        <f>E1791/Parametros!$B$37</f>
        <v>322.83975</v>
      </c>
      <c r="F1792" s="204">
        <f>F1791/Parametros!$B$37</f>
        <v>314.8215</v>
      </c>
      <c r="G1792" s="204">
        <f>G1791/Parametros!$B$37</f>
        <v>296.799</v>
      </c>
      <c r="H1792" s="204">
        <f>H1791/Parametros!$B$37</f>
        <v>284.07525</v>
      </c>
      <c r="I1792" s="204">
        <f>I1791/Parametros!$B$37</f>
        <v>304.81725</v>
      </c>
      <c r="J1792" s="204">
        <f>J1791/Parametros!$B$37</f>
        <v>304.81725</v>
      </c>
      <c r="K1792" s="204">
        <f>K1791/Parametros!$B$37</f>
        <v>303.4575</v>
      </c>
      <c r="L1792" s="204">
        <f>L1791/Parametros!$B$37</f>
        <v>290.73375</v>
      </c>
      <c r="M1792" s="204">
        <f>M1791/Parametros!$B$37</f>
        <v>279.36975</v>
      </c>
      <c r="N1792" s="204">
        <f>N1791/Parametros!$B$37</f>
        <v>434.2875</v>
      </c>
      <c r="O1792" s="5"/>
      <c r="P1792" s="5"/>
      <c r="Q1792" s="5"/>
      <c r="R1792" s="5"/>
      <c r="S1792" s="5"/>
      <c r="T1792" s="5"/>
      <c r="U1792" s="5"/>
      <c r="V1792" s="5"/>
      <c r="W1792" s="5"/>
      <c r="X1792" s="5"/>
      <c r="Y1792" s="5"/>
      <c r="Z1792" s="5"/>
    </row>
    <row r="1793" ht="12.0" customHeight="1">
      <c r="A1793" s="5"/>
      <c r="B1793" s="92" t="s">
        <v>635</v>
      </c>
      <c r="C1793" s="204">
        <f>C1792/Parametros!$J$37</f>
        <v>55.4185</v>
      </c>
      <c r="D1793" s="204">
        <f>D1792/Parametros!$J$37</f>
        <v>43.3057</v>
      </c>
      <c r="E1793" s="204">
        <f>E1792/Parametros!$J$37</f>
        <v>43.0453</v>
      </c>
      <c r="F1793" s="204">
        <f>F1792/Parametros!$J$37</f>
        <v>41.9762</v>
      </c>
      <c r="G1793" s="204">
        <f>G1792/Parametros!$J$37</f>
        <v>39.5732</v>
      </c>
      <c r="H1793" s="204">
        <f>H1792/Parametros!$J$37</f>
        <v>37.8767</v>
      </c>
      <c r="I1793" s="204">
        <f>I1792/Parametros!$J$37</f>
        <v>40.6423</v>
      </c>
      <c r="J1793" s="204">
        <f>J1792/Parametros!$J$37</f>
        <v>40.6423</v>
      </c>
      <c r="K1793" s="204">
        <f>K1792/Parametros!$J$37</f>
        <v>40.461</v>
      </c>
      <c r="L1793" s="204">
        <f>L1792/Parametros!$J$37</f>
        <v>38.7645</v>
      </c>
      <c r="M1793" s="204">
        <f>M1792/Parametros!$J$37</f>
        <v>37.2493</v>
      </c>
      <c r="N1793" s="204">
        <f>N1792/Parametros!$J$37</f>
        <v>57.905</v>
      </c>
      <c r="O1793" s="5"/>
      <c r="P1793" s="5"/>
      <c r="Q1793" s="5"/>
      <c r="R1793" s="5"/>
      <c r="S1793" s="5"/>
      <c r="T1793" s="5"/>
      <c r="U1793" s="5"/>
      <c r="V1793" s="5"/>
      <c r="W1793" s="5"/>
      <c r="X1793" s="5"/>
      <c r="Y1793" s="5"/>
      <c r="Z1793" s="5"/>
    </row>
    <row r="1794" ht="12.0" customHeight="1">
      <c r="A1794" s="92" t="s">
        <v>636</v>
      </c>
      <c r="B1794" s="5"/>
      <c r="C1794" s="204">
        <f t="shared" ref="C1794:N1794" si="529">C1793</f>
        <v>55.4185</v>
      </c>
      <c r="D1794" s="204">
        <f t="shared" si="529"/>
        <v>43.3057</v>
      </c>
      <c r="E1794" s="204">
        <f t="shared" si="529"/>
        <v>43.0453</v>
      </c>
      <c r="F1794" s="204">
        <f t="shared" si="529"/>
        <v>41.9762</v>
      </c>
      <c r="G1794" s="204">
        <f t="shared" si="529"/>
        <v>39.5732</v>
      </c>
      <c r="H1794" s="204">
        <f t="shared" si="529"/>
        <v>37.8767</v>
      </c>
      <c r="I1794" s="204">
        <f t="shared" si="529"/>
        <v>40.6423</v>
      </c>
      <c r="J1794" s="204">
        <f t="shared" si="529"/>
        <v>40.6423</v>
      </c>
      <c r="K1794" s="204">
        <f t="shared" si="529"/>
        <v>40.461</v>
      </c>
      <c r="L1794" s="204">
        <f t="shared" si="529"/>
        <v>38.7645</v>
      </c>
      <c r="M1794" s="204">
        <f t="shared" si="529"/>
        <v>37.2493</v>
      </c>
      <c r="N1794" s="204">
        <f t="shared" si="529"/>
        <v>57.905</v>
      </c>
      <c r="O1794" s="5"/>
      <c r="P1794" s="5"/>
      <c r="Q1794" s="5"/>
      <c r="R1794" s="5"/>
      <c r="S1794" s="5"/>
      <c r="T1794" s="5"/>
      <c r="U1794" s="5"/>
      <c r="V1794" s="5"/>
      <c r="W1794" s="5"/>
      <c r="X1794" s="5"/>
      <c r="Y1794" s="5"/>
      <c r="Z1794" s="5"/>
    </row>
    <row r="1795" ht="12.0" customHeight="1">
      <c r="A1795" s="92" t="s">
        <v>637</v>
      </c>
      <c r="B1795" s="5"/>
      <c r="C1795" s="205">
        <f>'Resumen Capacidad'!$K$126</f>
        <v>25.2</v>
      </c>
      <c r="D1795" s="205">
        <f>'Resumen Capacidad'!$K$126</f>
        <v>25.2</v>
      </c>
      <c r="E1795" s="205">
        <f>'Resumen Capacidad'!$K$126</f>
        <v>25.2</v>
      </c>
      <c r="F1795" s="205">
        <f>'Resumen Capacidad'!$K$126</f>
        <v>25.2</v>
      </c>
      <c r="G1795" s="205">
        <f>'Resumen Capacidad'!$K$126</f>
        <v>25.2</v>
      </c>
      <c r="H1795" s="205">
        <f>'Resumen Capacidad'!$K$126</f>
        <v>25.2</v>
      </c>
      <c r="I1795" s="205">
        <f>'Resumen Capacidad'!$K$126</f>
        <v>25.2</v>
      </c>
      <c r="J1795" s="205">
        <f>'Resumen Capacidad'!$K$126</f>
        <v>25.2</v>
      </c>
      <c r="K1795" s="205">
        <f>'Resumen Capacidad'!$K$126</f>
        <v>25.2</v>
      </c>
      <c r="L1795" s="205">
        <f>'Resumen Capacidad'!$K$126</f>
        <v>25.2</v>
      </c>
      <c r="M1795" s="205">
        <f>'Resumen Capacidad'!$K$126</f>
        <v>25.2</v>
      </c>
      <c r="N1795" s="205">
        <f>'Resumen Capacidad'!$K$126</f>
        <v>25.2</v>
      </c>
      <c r="O1795" s="5"/>
      <c r="P1795" s="5"/>
      <c r="Q1795" s="5"/>
      <c r="R1795" s="5"/>
      <c r="S1795" s="5"/>
      <c r="T1795" s="5"/>
      <c r="U1795" s="5"/>
      <c r="V1795" s="5"/>
      <c r="W1795" s="5"/>
      <c r="X1795" s="5"/>
      <c r="Y1795" s="5"/>
      <c r="Z1795" s="5"/>
    </row>
    <row r="1796" ht="12.0" customHeight="1">
      <c r="A1796" s="92" t="s">
        <v>640</v>
      </c>
      <c r="B1796" s="5"/>
      <c r="C1796" s="204">
        <f>'Resumen Capacidad'!$K$44*'Resumen Capacidad'!$K$80</f>
        <v>4</v>
      </c>
      <c r="D1796" s="204">
        <f>'Resumen Capacidad'!$K$44*'Resumen Capacidad'!$K$80</f>
        <v>4</v>
      </c>
      <c r="E1796" s="204">
        <f>'Resumen Capacidad'!$K$44*'Resumen Capacidad'!$K$80</f>
        <v>4</v>
      </c>
      <c r="F1796" s="204">
        <f>'Resumen Capacidad'!$K$44*'Resumen Capacidad'!$K$80</f>
        <v>4</v>
      </c>
      <c r="G1796" s="204">
        <f>'Resumen Capacidad'!$K$44*'Resumen Capacidad'!$K$80</f>
        <v>4</v>
      </c>
      <c r="H1796" s="204">
        <f>'Resumen Capacidad'!$K$44*'Resumen Capacidad'!$K$80</f>
        <v>4</v>
      </c>
      <c r="I1796" s="204">
        <f>'Resumen Capacidad'!$K$44*'Resumen Capacidad'!$K$80</f>
        <v>4</v>
      </c>
      <c r="J1796" s="204">
        <f>'Resumen Capacidad'!$K$44*'Resumen Capacidad'!$K$80</f>
        <v>4</v>
      </c>
      <c r="K1796" s="204">
        <f>'Resumen Capacidad'!$K$44*'Resumen Capacidad'!$K$80</f>
        <v>4</v>
      </c>
      <c r="L1796" s="204">
        <f>'Resumen Capacidad'!$K$44*'Resumen Capacidad'!$K$80</f>
        <v>4</v>
      </c>
      <c r="M1796" s="204">
        <f>'Resumen Capacidad'!$K$44*'Resumen Capacidad'!$K$80</f>
        <v>4</v>
      </c>
      <c r="N1796" s="204">
        <f>'Resumen Capacidad'!$K$44*'Resumen Capacidad'!$K$80</f>
        <v>4</v>
      </c>
      <c r="O1796" s="5"/>
      <c r="P1796" s="5"/>
      <c r="Q1796" s="5"/>
      <c r="R1796" s="5"/>
      <c r="S1796" s="5"/>
      <c r="T1796" s="5"/>
      <c r="U1796" s="5"/>
      <c r="V1796" s="5"/>
      <c r="W1796" s="5"/>
      <c r="X1796" s="5"/>
      <c r="Y1796" s="5"/>
      <c r="Z1796" s="5"/>
    </row>
    <row r="1797" ht="12.0" customHeight="1">
      <c r="A1797" s="92" t="s">
        <v>642</v>
      </c>
      <c r="B1797" s="5"/>
      <c r="C1797" s="204">
        <f t="shared" ref="C1797:N1797" si="530">C1795*C1796</f>
        <v>100.8</v>
      </c>
      <c r="D1797" s="204">
        <f t="shared" si="530"/>
        <v>100.8</v>
      </c>
      <c r="E1797" s="204">
        <f t="shared" si="530"/>
        <v>100.8</v>
      </c>
      <c r="F1797" s="204">
        <f t="shared" si="530"/>
        <v>100.8</v>
      </c>
      <c r="G1797" s="204">
        <f t="shared" si="530"/>
        <v>100.8</v>
      </c>
      <c r="H1797" s="204">
        <f t="shared" si="530"/>
        <v>100.8</v>
      </c>
      <c r="I1797" s="204">
        <f t="shared" si="530"/>
        <v>100.8</v>
      </c>
      <c r="J1797" s="204">
        <f t="shared" si="530"/>
        <v>100.8</v>
      </c>
      <c r="K1797" s="204">
        <f t="shared" si="530"/>
        <v>100.8</v>
      </c>
      <c r="L1797" s="204">
        <f t="shared" si="530"/>
        <v>100.8</v>
      </c>
      <c r="M1797" s="204">
        <f t="shared" si="530"/>
        <v>100.8</v>
      </c>
      <c r="N1797" s="204">
        <f t="shared" si="530"/>
        <v>100.8</v>
      </c>
      <c r="O1797" s="5"/>
      <c r="P1797" s="5"/>
      <c r="Q1797" s="5"/>
      <c r="R1797" s="5"/>
      <c r="S1797" s="5"/>
      <c r="T1797" s="5"/>
      <c r="U1797" s="5"/>
      <c r="V1797" s="5"/>
      <c r="W1797" s="5"/>
      <c r="X1797" s="5"/>
      <c r="Y1797" s="5"/>
      <c r="Z1797" s="5"/>
    </row>
    <row r="1798" ht="12.0" customHeight="1">
      <c r="A1798" s="92" t="s">
        <v>643</v>
      </c>
      <c r="B1798" s="5"/>
      <c r="C1798" s="206">
        <f t="shared" ref="C1798:N1798" si="531">IF(C1797=0,0,C1794/C1797)</f>
        <v>0.5497867063</v>
      </c>
      <c r="D1798" s="206">
        <f t="shared" si="531"/>
        <v>0.4296200397</v>
      </c>
      <c r="E1798" s="206">
        <f t="shared" si="531"/>
        <v>0.4270367063</v>
      </c>
      <c r="F1798" s="206">
        <f t="shared" si="531"/>
        <v>0.4164305556</v>
      </c>
      <c r="G1798" s="206">
        <f t="shared" si="531"/>
        <v>0.3925912698</v>
      </c>
      <c r="H1798" s="206">
        <f t="shared" si="531"/>
        <v>0.3757609127</v>
      </c>
      <c r="I1798" s="206">
        <f t="shared" si="531"/>
        <v>0.4031974206</v>
      </c>
      <c r="J1798" s="206">
        <f t="shared" si="531"/>
        <v>0.4031974206</v>
      </c>
      <c r="K1798" s="206">
        <f t="shared" si="531"/>
        <v>0.4013988095</v>
      </c>
      <c r="L1798" s="206">
        <f t="shared" si="531"/>
        <v>0.3845684524</v>
      </c>
      <c r="M1798" s="206">
        <f t="shared" si="531"/>
        <v>0.3695367063</v>
      </c>
      <c r="N1798" s="206">
        <f t="shared" si="531"/>
        <v>0.5744543651</v>
      </c>
      <c r="O1798" s="5"/>
      <c r="P1798" s="5"/>
      <c r="Q1798" s="5"/>
      <c r="R1798" s="5"/>
      <c r="S1798" s="5"/>
      <c r="T1798" s="5"/>
      <c r="U1798" s="5"/>
      <c r="V1798" s="5"/>
      <c r="W1798" s="5"/>
      <c r="X1798" s="5"/>
      <c r="Y1798" s="5"/>
      <c r="Z1798" s="5"/>
    </row>
    <row r="1799" ht="12.0" customHeight="1">
      <c r="A1799" s="201" t="s">
        <v>696</v>
      </c>
      <c r="B1799" s="202"/>
      <c r="C1799" s="202"/>
      <c r="D1799" s="202"/>
      <c r="E1799" s="202"/>
      <c r="F1799" s="202"/>
      <c r="G1799" s="202"/>
      <c r="H1799" s="202"/>
      <c r="I1799" s="202"/>
      <c r="J1799" s="202"/>
      <c r="K1799" s="202"/>
      <c r="L1799" s="202"/>
      <c r="M1799" s="202"/>
      <c r="N1799" s="202"/>
      <c r="O1799" s="5"/>
      <c r="P1799" s="5"/>
      <c r="Q1799" s="5"/>
      <c r="R1799" s="5"/>
      <c r="S1799" s="5"/>
      <c r="T1799" s="5"/>
      <c r="U1799" s="5"/>
      <c r="V1799" s="5"/>
      <c r="W1799" s="5"/>
      <c r="X1799" s="5"/>
      <c r="Y1799" s="5"/>
      <c r="Z1799" s="5"/>
    </row>
    <row r="1800" ht="12.0" customHeight="1">
      <c r="A1800" s="201" t="s">
        <v>630</v>
      </c>
      <c r="B1800" s="201" t="s">
        <v>631</v>
      </c>
      <c r="C1800" s="201" t="s">
        <v>3</v>
      </c>
      <c r="D1800" s="201" t="s">
        <v>4</v>
      </c>
      <c r="E1800" s="201" t="s">
        <v>5</v>
      </c>
      <c r="F1800" s="201" t="s">
        <v>6</v>
      </c>
      <c r="G1800" s="201" t="s">
        <v>7</v>
      </c>
      <c r="H1800" s="201" t="s">
        <v>8</v>
      </c>
      <c r="I1800" s="201" t="s">
        <v>9</v>
      </c>
      <c r="J1800" s="201" t="s">
        <v>10</v>
      </c>
      <c r="K1800" s="201" t="s">
        <v>11</v>
      </c>
      <c r="L1800" s="201" t="s">
        <v>12</v>
      </c>
      <c r="M1800" s="201" t="s">
        <v>13</v>
      </c>
      <c r="N1800" s="201" t="s">
        <v>14</v>
      </c>
      <c r="O1800" s="5"/>
      <c r="P1800" s="5"/>
      <c r="Q1800" s="5"/>
      <c r="R1800" s="5"/>
      <c r="S1800" s="5"/>
      <c r="T1800" s="5"/>
      <c r="U1800" s="5"/>
      <c r="V1800" s="5"/>
      <c r="W1800" s="5"/>
      <c r="X1800" s="5"/>
      <c r="Y1800" s="5"/>
      <c r="Z1800" s="5"/>
    </row>
    <row r="1801" ht="12.0" customHeight="1">
      <c r="A1801" s="92" t="s">
        <v>694</v>
      </c>
      <c r="B1801" s="92" t="s">
        <v>633</v>
      </c>
      <c r="C1801" s="203">
        <f>SUM('2035'!B6:B9)+Parametros!$B$72*C2876</f>
        <v>8312.775</v>
      </c>
      <c r="D1801" s="203">
        <f>SUM('2035'!C6:C9)+Parametros!$B$72*D2876</f>
        <v>6495.855</v>
      </c>
      <c r="E1801" s="203">
        <f>SUM('2035'!D6:D9)+Parametros!$B$72*E2876</f>
        <v>6456.795</v>
      </c>
      <c r="F1801" s="203">
        <f>SUM('2035'!E6:E9)+Parametros!$B$72*F2876</f>
        <v>6296.43</v>
      </c>
      <c r="G1801" s="203">
        <f>SUM('2035'!F6:F9)+Parametros!$B$72*G2876</f>
        <v>5935.98</v>
      </c>
      <c r="H1801" s="203">
        <f>SUM('2035'!G6:G9)+Parametros!$B$72*H2876</f>
        <v>5681.505</v>
      </c>
      <c r="I1801" s="203">
        <f>SUM('2035'!H6:H9)+Parametros!$B$72*I2876</f>
        <v>6096.345</v>
      </c>
      <c r="J1801" s="203">
        <f>SUM('2035'!I6:I9)+Parametros!$B$72*J2876</f>
        <v>6096.345</v>
      </c>
      <c r="K1801" s="203">
        <f>SUM('2035'!J6:J9)+Parametros!$B$72*K2876</f>
        <v>6069.15</v>
      </c>
      <c r="L1801" s="203">
        <f>SUM('2035'!K6:K9)+Parametros!$B$72*L2876</f>
        <v>5814.675</v>
      </c>
      <c r="M1801" s="203">
        <f>SUM('2035'!L6:L9)+Parametros!$B$72*M2876</f>
        <v>5587.395</v>
      </c>
      <c r="N1801" s="203">
        <f>SUM('2035'!M6:M9)+Parametros!$B$72*N2876</f>
        <v>8685.75</v>
      </c>
      <c r="O1801" s="5"/>
      <c r="P1801" s="5"/>
      <c r="Q1801" s="5"/>
      <c r="R1801" s="5"/>
      <c r="S1801" s="5"/>
      <c r="T1801" s="5"/>
      <c r="U1801" s="5"/>
      <c r="V1801" s="5"/>
      <c r="W1801" s="5"/>
      <c r="X1801" s="5"/>
      <c r="Y1801" s="5"/>
      <c r="Z1801" s="5"/>
    </row>
    <row r="1802" ht="12.0" customHeight="1">
      <c r="A1802" s="5"/>
      <c r="B1802" s="92" t="s">
        <v>634</v>
      </c>
      <c r="C1802" s="204">
        <f>C1801/Parametros!$B$37</f>
        <v>415.63875</v>
      </c>
      <c r="D1802" s="204">
        <f>D1801/Parametros!$B$37</f>
        <v>324.79275</v>
      </c>
      <c r="E1802" s="204">
        <f>E1801/Parametros!$B$37</f>
        <v>322.83975</v>
      </c>
      <c r="F1802" s="204">
        <f>F1801/Parametros!$B$37</f>
        <v>314.8215</v>
      </c>
      <c r="G1802" s="204">
        <f>G1801/Parametros!$B$37</f>
        <v>296.799</v>
      </c>
      <c r="H1802" s="204">
        <f>H1801/Parametros!$B$37</f>
        <v>284.07525</v>
      </c>
      <c r="I1802" s="204">
        <f>I1801/Parametros!$B$37</f>
        <v>304.81725</v>
      </c>
      <c r="J1802" s="204">
        <f>J1801/Parametros!$B$37</f>
        <v>304.81725</v>
      </c>
      <c r="K1802" s="204">
        <f>K1801/Parametros!$B$37</f>
        <v>303.4575</v>
      </c>
      <c r="L1802" s="204">
        <f>L1801/Parametros!$B$37</f>
        <v>290.73375</v>
      </c>
      <c r="M1802" s="204">
        <f>M1801/Parametros!$B$37</f>
        <v>279.36975</v>
      </c>
      <c r="N1802" s="204">
        <f>N1801/Parametros!$B$37</f>
        <v>434.2875</v>
      </c>
      <c r="O1802" s="5"/>
      <c r="P1802" s="5"/>
      <c r="Q1802" s="5"/>
      <c r="R1802" s="5"/>
      <c r="S1802" s="5"/>
      <c r="T1802" s="5"/>
      <c r="U1802" s="5"/>
      <c r="V1802" s="5"/>
      <c r="W1802" s="5"/>
      <c r="X1802" s="5"/>
      <c r="Y1802" s="5"/>
      <c r="Z1802" s="5"/>
    </row>
    <row r="1803" ht="12.0" customHeight="1">
      <c r="A1803" s="5"/>
      <c r="B1803" s="92" t="s">
        <v>635</v>
      </c>
      <c r="C1803" s="204">
        <f>C1802/Parametros!$J$37</f>
        <v>55.4185</v>
      </c>
      <c r="D1803" s="204">
        <f>D1802/Parametros!$J$37</f>
        <v>43.3057</v>
      </c>
      <c r="E1803" s="204">
        <f>E1802/Parametros!$J$37</f>
        <v>43.0453</v>
      </c>
      <c r="F1803" s="204">
        <f>F1802/Parametros!$J$37</f>
        <v>41.9762</v>
      </c>
      <c r="G1803" s="204">
        <f>G1802/Parametros!$J$37</f>
        <v>39.5732</v>
      </c>
      <c r="H1803" s="204">
        <f>H1802/Parametros!$J$37</f>
        <v>37.8767</v>
      </c>
      <c r="I1803" s="204">
        <f>I1802/Parametros!$J$37</f>
        <v>40.6423</v>
      </c>
      <c r="J1803" s="204">
        <f>J1802/Parametros!$J$37</f>
        <v>40.6423</v>
      </c>
      <c r="K1803" s="204">
        <f>K1802/Parametros!$J$37</f>
        <v>40.461</v>
      </c>
      <c r="L1803" s="204">
        <f>L1802/Parametros!$J$37</f>
        <v>38.7645</v>
      </c>
      <c r="M1803" s="204">
        <f>M1802/Parametros!$J$37</f>
        <v>37.2493</v>
      </c>
      <c r="N1803" s="204">
        <f>N1802/Parametros!$J$37</f>
        <v>57.905</v>
      </c>
      <c r="O1803" s="5"/>
      <c r="P1803" s="5"/>
      <c r="Q1803" s="5"/>
      <c r="R1803" s="5"/>
      <c r="S1803" s="5"/>
      <c r="T1803" s="5"/>
      <c r="U1803" s="5"/>
      <c r="V1803" s="5"/>
      <c r="W1803" s="5"/>
      <c r="X1803" s="5"/>
      <c r="Y1803" s="5"/>
      <c r="Z1803" s="5"/>
    </row>
    <row r="1804" ht="12.0" customHeight="1">
      <c r="A1804" s="92" t="s">
        <v>636</v>
      </c>
      <c r="B1804" s="5"/>
      <c r="C1804" s="204">
        <f t="shared" ref="C1804:N1804" si="532">C1803</f>
        <v>55.4185</v>
      </c>
      <c r="D1804" s="204">
        <f t="shared" si="532"/>
        <v>43.3057</v>
      </c>
      <c r="E1804" s="204">
        <f t="shared" si="532"/>
        <v>43.0453</v>
      </c>
      <c r="F1804" s="204">
        <f t="shared" si="532"/>
        <v>41.9762</v>
      </c>
      <c r="G1804" s="204">
        <f t="shared" si="532"/>
        <v>39.5732</v>
      </c>
      <c r="H1804" s="204">
        <f t="shared" si="532"/>
        <v>37.8767</v>
      </c>
      <c r="I1804" s="204">
        <f t="shared" si="532"/>
        <v>40.6423</v>
      </c>
      <c r="J1804" s="204">
        <f t="shared" si="532"/>
        <v>40.6423</v>
      </c>
      <c r="K1804" s="204">
        <f t="shared" si="532"/>
        <v>40.461</v>
      </c>
      <c r="L1804" s="204">
        <f t="shared" si="532"/>
        <v>38.7645</v>
      </c>
      <c r="M1804" s="204">
        <f t="shared" si="532"/>
        <v>37.2493</v>
      </c>
      <c r="N1804" s="204">
        <f t="shared" si="532"/>
        <v>57.905</v>
      </c>
      <c r="O1804" s="5"/>
      <c r="P1804" s="5"/>
      <c r="Q1804" s="5"/>
      <c r="R1804" s="5"/>
      <c r="S1804" s="5"/>
      <c r="T1804" s="5"/>
      <c r="U1804" s="5"/>
      <c r="V1804" s="5"/>
      <c r="W1804" s="5"/>
      <c r="X1804" s="5"/>
      <c r="Y1804" s="5"/>
      <c r="Z1804" s="5"/>
    </row>
    <row r="1805" ht="12.0" customHeight="1">
      <c r="A1805" s="92" t="s">
        <v>637</v>
      </c>
      <c r="B1805" s="5"/>
      <c r="C1805" s="205">
        <f>'Resumen Capacidad'!$K$127</f>
        <v>41.53846154</v>
      </c>
      <c r="D1805" s="205">
        <f>'Resumen Capacidad'!$K$127</f>
        <v>41.53846154</v>
      </c>
      <c r="E1805" s="205">
        <f>'Resumen Capacidad'!$K$127</f>
        <v>41.53846154</v>
      </c>
      <c r="F1805" s="205">
        <f>'Resumen Capacidad'!$K$127</f>
        <v>41.53846154</v>
      </c>
      <c r="G1805" s="205">
        <f>'Resumen Capacidad'!$K$127</f>
        <v>41.53846154</v>
      </c>
      <c r="H1805" s="205">
        <f>'Resumen Capacidad'!$K$127</f>
        <v>41.53846154</v>
      </c>
      <c r="I1805" s="205">
        <f>'Resumen Capacidad'!$K$127</f>
        <v>41.53846154</v>
      </c>
      <c r="J1805" s="205">
        <f>'Resumen Capacidad'!$K$127</f>
        <v>41.53846154</v>
      </c>
      <c r="K1805" s="205">
        <f>'Resumen Capacidad'!$K$127</f>
        <v>41.53846154</v>
      </c>
      <c r="L1805" s="205">
        <f>'Resumen Capacidad'!$K$127</f>
        <v>41.53846154</v>
      </c>
      <c r="M1805" s="205">
        <f>'Resumen Capacidad'!$K$127</f>
        <v>41.53846154</v>
      </c>
      <c r="N1805" s="205">
        <f>'Resumen Capacidad'!$K$127</f>
        <v>41.53846154</v>
      </c>
      <c r="O1805" s="5"/>
      <c r="P1805" s="5"/>
      <c r="Q1805" s="5"/>
      <c r="R1805" s="5"/>
      <c r="S1805" s="5"/>
      <c r="T1805" s="5"/>
      <c r="U1805" s="5"/>
      <c r="V1805" s="5"/>
      <c r="W1805" s="5"/>
      <c r="X1805" s="5"/>
      <c r="Y1805" s="5"/>
      <c r="Z1805" s="5"/>
    </row>
    <row r="1806" ht="12.0" customHeight="1">
      <c r="A1806" s="92" t="s">
        <v>640</v>
      </c>
      <c r="B1806" s="5"/>
      <c r="C1806" s="204">
        <f>'Resumen Capacidad'!$K$45*'Resumen Capacidad'!$K$81</f>
        <v>2</v>
      </c>
      <c r="D1806" s="204">
        <f>'Resumen Capacidad'!$K$45*'Resumen Capacidad'!$K$81</f>
        <v>2</v>
      </c>
      <c r="E1806" s="204">
        <f>'Resumen Capacidad'!$K$45*'Resumen Capacidad'!$K$81</f>
        <v>2</v>
      </c>
      <c r="F1806" s="204">
        <f>'Resumen Capacidad'!$K$45*'Resumen Capacidad'!$K$81</f>
        <v>2</v>
      </c>
      <c r="G1806" s="204">
        <f>'Resumen Capacidad'!$K$45*'Resumen Capacidad'!$K$81</f>
        <v>2</v>
      </c>
      <c r="H1806" s="204">
        <f>'Resumen Capacidad'!$K$45*'Resumen Capacidad'!$K$81</f>
        <v>2</v>
      </c>
      <c r="I1806" s="204">
        <f>'Resumen Capacidad'!$K$45*'Resumen Capacidad'!$K$81</f>
        <v>2</v>
      </c>
      <c r="J1806" s="204">
        <f>'Resumen Capacidad'!$K$45*'Resumen Capacidad'!$K$81</f>
        <v>2</v>
      </c>
      <c r="K1806" s="204">
        <f>'Resumen Capacidad'!$K$45*'Resumen Capacidad'!$K$81</f>
        <v>2</v>
      </c>
      <c r="L1806" s="204">
        <f>'Resumen Capacidad'!$K$45*'Resumen Capacidad'!$K$81</f>
        <v>2</v>
      </c>
      <c r="M1806" s="204">
        <f>'Resumen Capacidad'!$K$45*'Resumen Capacidad'!$K$81</f>
        <v>2</v>
      </c>
      <c r="N1806" s="204">
        <f>'Resumen Capacidad'!$K$45*'Resumen Capacidad'!$K$81</f>
        <v>2</v>
      </c>
      <c r="O1806" s="5"/>
      <c r="P1806" s="5"/>
      <c r="Q1806" s="5"/>
      <c r="R1806" s="5"/>
      <c r="S1806" s="5"/>
      <c r="T1806" s="5"/>
      <c r="U1806" s="5"/>
      <c r="V1806" s="5"/>
      <c r="W1806" s="5"/>
      <c r="X1806" s="5"/>
      <c r="Y1806" s="5"/>
      <c r="Z1806" s="5"/>
    </row>
    <row r="1807" ht="12.0" customHeight="1">
      <c r="A1807" s="92" t="s">
        <v>642</v>
      </c>
      <c r="B1807" s="5"/>
      <c r="C1807" s="204">
        <f t="shared" ref="C1807:N1807" si="533">C1805*C1806</f>
        <v>83.07692308</v>
      </c>
      <c r="D1807" s="204">
        <f t="shared" si="533"/>
        <v>83.07692308</v>
      </c>
      <c r="E1807" s="204">
        <f t="shared" si="533"/>
        <v>83.07692308</v>
      </c>
      <c r="F1807" s="204">
        <f t="shared" si="533"/>
        <v>83.07692308</v>
      </c>
      <c r="G1807" s="204">
        <f t="shared" si="533"/>
        <v>83.07692308</v>
      </c>
      <c r="H1807" s="204">
        <f t="shared" si="533"/>
        <v>83.07692308</v>
      </c>
      <c r="I1807" s="204">
        <f t="shared" si="533"/>
        <v>83.07692308</v>
      </c>
      <c r="J1807" s="204">
        <f t="shared" si="533"/>
        <v>83.07692308</v>
      </c>
      <c r="K1807" s="204">
        <f t="shared" si="533"/>
        <v>83.07692308</v>
      </c>
      <c r="L1807" s="204">
        <f t="shared" si="533"/>
        <v>83.07692308</v>
      </c>
      <c r="M1807" s="204">
        <f t="shared" si="533"/>
        <v>83.07692308</v>
      </c>
      <c r="N1807" s="204">
        <f t="shared" si="533"/>
        <v>83.07692308</v>
      </c>
      <c r="O1807" s="5"/>
      <c r="P1807" s="5"/>
      <c r="Q1807" s="5"/>
      <c r="R1807" s="5"/>
      <c r="S1807" s="5"/>
      <c r="T1807" s="5"/>
      <c r="U1807" s="5"/>
      <c r="V1807" s="5"/>
      <c r="W1807" s="5"/>
      <c r="X1807" s="5"/>
      <c r="Y1807" s="5"/>
      <c r="Z1807" s="5"/>
    </row>
    <row r="1808" ht="12.0" customHeight="1">
      <c r="A1808" s="92" t="s">
        <v>643</v>
      </c>
      <c r="B1808" s="5"/>
      <c r="C1808" s="206">
        <f t="shared" ref="C1808:N1808" si="534">IF(C1807=0,0,C1804/C1807)</f>
        <v>0.667074537</v>
      </c>
      <c r="D1808" s="206">
        <f t="shared" si="534"/>
        <v>0.5212723148</v>
      </c>
      <c r="E1808" s="206">
        <f t="shared" si="534"/>
        <v>0.5181378704</v>
      </c>
      <c r="F1808" s="206">
        <f t="shared" si="534"/>
        <v>0.5052690741</v>
      </c>
      <c r="G1808" s="206">
        <f t="shared" si="534"/>
        <v>0.4763440741</v>
      </c>
      <c r="H1808" s="206">
        <f t="shared" si="534"/>
        <v>0.4559232407</v>
      </c>
      <c r="I1808" s="206">
        <f t="shared" si="534"/>
        <v>0.4892128704</v>
      </c>
      <c r="J1808" s="206">
        <f t="shared" si="534"/>
        <v>0.4892128704</v>
      </c>
      <c r="K1808" s="206">
        <f t="shared" si="534"/>
        <v>0.4870305556</v>
      </c>
      <c r="L1808" s="206">
        <f t="shared" si="534"/>
        <v>0.4666097222</v>
      </c>
      <c r="M1808" s="206">
        <f t="shared" si="534"/>
        <v>0.4483712037</v>
      </c>
      <c r="N1808" s="206">
        <f t="shared" si="534"/>
        <v>0.6970046296</v>
      </c>
      <c r="O1808" s="5"/>
      <c r="P1808" s="5"/>
      <c r="Q1808" s="5"/>
      <c r="R1808" s="5"/>
      <c r="S1808" s="5"/>
      <c r="T1808" s="5"/>
      <c r="U1808" s="5"/>
      <c r="V1808" s="5"/>
      <c r="W1808" s="5"/>
      <c r="X1808" s="5"/>
      <c r="Y1808" s="5"/>
      <c r="Z1808" s="5"/>
    </row>
    <row r="1809" ht="12.0" customHeight="1">
      <c r="A1809" s="201" t="s">
        <v>698</v>
      </c>
      <c r="B1809" s="202"/>
      <c r="C1809" s="202"/>
      <c r="D1809" s="202"/>
      <c r="E1809" s="202"/>
      <c r="F1809" s="202"/>
      <c r="G1809" s="202"/>
      <c r="H1809" s="202"/>
      <c r="I1809" s="202"/>
      <c r="J1809" s="202"/>
      <c r="K1809" s="202"/>
      <c r="L1809" s="202"/>
      <c r="M1809" s="202"/>
      <c r="N1809" s="202"/>
      <c r="O1809" s="5"/>
      <c r="P1809" s="5"/>
      <c r="Q1809" s="5"/>
      <c r="R1809" s="5"/>
      <c r="S1809" s="5"/>
      <c r="T1809" s="5"/>
      <c r="U1809" s="5"/>
      <c r="V1809" s="5"/>
      <c r="W1809" s="5"/>
      <c r="X1809" s="5"/>
      <c r="Y1809" s="5"/>
      <c r="Z1809" s="5"/>
    </row>
    <row r="1810" ht="12.0" customHeight="1">
      <c r="A1810" s="201" t="s">
        <v>630</v>
      </c>
      <c r="B1810" s="201" t="s">
        <v>631</v>
      </c>
      <c r="C1810" s="201" t="s">
        <v>3</v>
      </c>
      <c r="D1810" s="201" t="s">
        <v>4</v>
      </c>
      <c r="E1810" s="201" t="s">
        <v>5</v>
      </c>
      <c r="F1810" s="201" t="s">
        <v>6</v>
      </c>
      <c r="G1810" s="201" t="s">
        <v>7</v>
      </c>
      <c r="H1810" s="201" t="s">
        <v>8</v>
      </c>
      <c r="I1810" s="201" t="s">
        <v>9</v>
      </c>
      <c r="J1810" s="201" t="s">
        <v>10</v>
      </c>
      <c r="K1810" s="201" t="s">
        <v>11</v>
      </c>
      <c r="L1810" s="201" t="s">
        <v>12</v>
      </c>
      <c r="M1810" s="201" t="s">
        <v>13</v>
      </c>
      <c r="N1810" s="201" t="s">
        <v>14</v>
      </c>
      <c r="O1810" s="5"/>
      <c r="P1810" s="5"/>
      <c r="Q1810" s="5"/>
      <c r="R1810" s="5"/>
      <c r="S1810" s="5"/>
      <c r="T1810" s="5"/>
      <c r="U1810" s="5"/>
      <c r="V1810" s="5"/>
      <c r="W1810" s="5"/>
      <c r="X1810" s="5"/>
      <c r="Y1810" s="5"/>
      <c r="Z1810" s="5"/>
    </row>
    <row r="1811" ht="12.0" customHeight="1">
      <c r="A1811" s="92" t="s">
        <v>694</v>
      </c>
      <c r="B1811" s="92" t="s">
        <v>633</v>
      </c>
      <c r="C1811" s="203">
        <f>SUM('2035'!B6:B9)+Parametros!$B$72*C2876</f>
        <v>8312.775</v>
      </c>
      <c r="D1811" s="203">
        <f>SUM('2035'!C6:C9)+Parametros!$B$72*D2876</f>
        <v>6495.855</v>
      </c>
      <c r="E1811" s="203">
        <f>SUM('2035'!D6:D9)+Parametros!$B$72*E2876</f>
        <v>6456.795</v>
      </c>
      <c r="F1811" s="203">
        <f>SUM('2035'!E6:E9)+Parametros!$B$72*F2876</f>
        <v>6296.43</v>
      </c>
      <c r="G1811" s="203">
        <f>SUM('2035'!F6:F9)+Parametros!$B$72*G2876</f>
        <v>5935.98</v>
      </c>
      <c r="H1811" s="203">
        <f>SUM('2035'!G6:G9)+Parametros!$B$72*H2876</f>
        <v>5681.505</v>
      </c>
      <c r="I1811" s="203">
        <f>SUM('2035'!H6:H9)+Parametros!$B$72*I2876</f>
        <v>6096.345</v>
      </c>
      <c r="J1811" s="203">
        <f>SUM('2035'!I6:I9)+Parametros!$B$72*J2876</f>
        <v>6096.345</v>
      </c>
      <c r="K1811" s="203">
        <f>SUM('2035'!J6:J9)+Parametros!$B$72*K2876</f>
        <v>6069.15</v>
      </c>
      <c r="L1811" s="203">
        <f>SUM('2035'!K6:K9)+Parametros!$B$72*L2876</f>
        <v>5814.675</v>
      </c>
      <c r="M1811" s="203">
        <f>SUM('2035'!L6:L9)+Parametros!$B$72*M2876</f>
        <v>5587.395</v>
      </c>
      <c r="N1811" s="203">
        <f>SUM('2035'!M6:M9)+Parametros!$B$72*N2876</f>
        <v>8685.75</v>
      </c>
      <c r="O1811" s="5"/>
      <c r="P1811" s="5"/>
      <c r="Q1811" s="5"/>
      <c r="R1811" s="5"/>
      <c r="S1811" s="5"/>
      <c r="T1811" s="5"/>
      <c r="U1811" s="5"/>
      <c r="V1811" s="5"/>
      <c r="W1811" s="5"/>
      <c r="X1811" s="5"/>
      <c r="Y1811" s="5"/>
      <c r="Z1811" s="5"/>
    </row>
    <row r="1812" ht="12.0" customHeight="1">
      <c r="A1812" s="5"/>
      <c r="B1812" s="92" t="s">
        <v>634</v>
      </c>
      <c r="C1812" s="204">
        <f>C1811/Parametros!$B$37</f>
        <v>415.63875</v>
      </c>
      <c r="D1812" s="204">
        <f>D1811/Parametros!$B$37</f>
        <v>324.79275</v>
      </c>
      <c r="E1812" s="204">
        <f>E1811/Parametros!$B$37</f>
        <v>322.83975</v>
      </c>
      <c r="F1812" s="204">
        <f>F1811/Parametros!$B$37</f>
        <v>314.8215</v>
      </c>
      <c r="G1812" s="204">
        <f>G1811/Parametros!$B$37</f>
        <v>296.799</v>
      </c>
      <c r="H1812" s="204">
        <f>H1811/Parametros!$B$37</f>
        <v>284.07525</v>
      </c>
      <c r="I1812" s="204">
        <f>I1811/Parametros!$B$37</f>
        <v>304.81725</v>
      </c>
      <c r="J1812" s="204">
        <f>J1811/Parametros!$B$37</f>
        <v>304.81725</v>
      </c>
      <c r="K1812" s="204">
        <f>K1811/Parametros!$B$37</f>
        <v>303.4575</v>
      </c>
      <c r="L1812" s="204">
        <f>L1811/Parametros!$B$37</f>
        <v>290.73375</v>
      </c>
      <c r="M1812" s="204">
        <f>M1811/Parametros!$B$37</f>
        <v>279.36975</v>
      </c>
      <c r="N1812" s="204">
        <f>N1811/Parametros!$B$37</f>
        <v>434.2875</v>
      </c>
      <c r="O1812" s="5"/>
      <c r="P1812" s="5"/>
      <c r="Q1812" s="5"/>
      <c r="R1812" s="5"/>
      <c r="S1812" s="5"/>
      <c r="T1812" s="5"/>
      <c r="U1812" s="5"/>
      <c r="V1812" s="5"/>
      <c r="W1812" s="5"/>
      <c r="X1812" s="5"/>
      <c r="Y1812" s="5"/>
      <c r="Z1812" s="5"/>
    </row>
    <row r="1813" ht="12.0" customHeight="1">
      <c r="A1813" s="5"/>
      <c r="B1813" s="92" t="s">
        <v>635</v>
      </c>
      <c r="C1813" s="204">
        <f>C1812/Parametros!$J$37</f>
        <v>55.4185</v>
      </c>
      <c r="D1813" s="204">
        <f>D1812/Parametros!$J$37</f>
        <v>43.3057</v>
      </c>
      <c r="E1813" s="204">
        <f>E1812/Parametros!$J$37</f>
        <v>43.0453</v>
      </c>
      <c r="F1813" s="204">
        <f>F1812/Parametros!$J$37</f>
        <v>41.9762</v>
      </c>
      <c r="G1813" s="204">
        <f>G1812/Parametros!$J$37</f>
        <v>39.5732</v>
      </c>
      <c r="H1813" s="204">
        <f>H1812/Parametros!$J$37</f>
        <v>37.8767</v>
      </c>
      <c r="I1813" s="204">
        <f>I1812/Parametros!$J$37</f>
        <v>40.6423</v>
      </c>
      <c r="J1813" s="204">
        <f>J1812/Parametros!$J$37</f>
        <v>40.6423</v>
      </c>
      <c r="K1813" s="204">
        <f>K1812/Parametros!$J$37</f>
        <v>40.461</v>
      </c>
      <c r="L1813" s="204">
        <f>L1812/Parametros!$J$37</f>
        <v>38.7645</v>
      </c>
      <c r="M1813" s="204">
        <f>M1812/Parametros!$J$37</f>
        <v>37.2493</v>
      </c>
      <c r="N1813" s="204">
        <f>N1812/Parametros!$J$37</f>
        <v>57.905</v>
      </c>
      <c r="O1813" s="5"/>
      <c r="P1813" s="5"/>
      <c r="Q1813" s="5"/>
      <c r="R1813" s="5"/>
      <c r="S1813" s="5"/>
      <c r="T1813" s="5"/>
      <c r="U1813" s="5"/>
      <c r="V1813" s="5"/>
      <c r="W1813" s="5"/>
      <c r="X1813" s="5"/>
      <c r="Y1813" s="5"/>
      <c r="Z1813" s="5"/>
    </row>
    <row r="1814" ht="12.0" customHeight="1">
      <c r="A1814" s="92" t="s">
        <v>636</v>
      </c>
      <c r="B1814" s="5"/>
      <c r="C1814" s="204">
        <f t="shared" ref="C1814:N1814" si="535">C1813</f>
        <v>55.4185</v>
      </c>
      <c r="D1814" s="204">
        <f t="shared" si="535"/>
        <v>43.3057</v>
      </c>
      <c r="E1814" s="204">
        <f t="shared" si="535"/>
        <v>43.0453</v>
      </c>
      <c r="F1814" s="204">
        <f t="shared" si="535"/>
        <v>41.9762</v>
      </c>
      <c r="G1814" s="204">
        <f t="shared" si="535"/>
        <v>39.5732</v>
      </c>
      <c r="H1814" s="204">
        <f t="shared" si="535"/>
        <v>37.8767</v>
      </c>
      <c r="I1814" s="204">
        <f t="shared" si="535"/>
        <v>40.6423</v>
      </c>
      <c r="J1814" s="204">
        <f t="shared" si="535"/>
        <v>40.6423</v>
      </c>
      <c r="K1814" s="204">
        <f t="shared" si="535"/>
        <v>40.461</v>
      </c>
      <c r="L1814" s="204">
        <f t="shared" si="535"/>
        <v>38.7645</v>
      </c>
      <c r="M1814" s="204">
        <f t="shared" si="535"/>
        <v>37.2493</v>
      </c>
      <c r="N1814" s="204">
        <f t="shared" si="535"/>
        <v>57.905</v>
      </c>
      <c r="O1814" s="5"/>
      <c r="P1814" s="5"/>
      <c r="Q1814" s="5"/>
      <c r="R1814" s="5"/>
      <c r="S1814" s="5"/>
      <c r="T1814" s="5"/>
      <c r="U1814" s="5"/>
      <c r="V1814" s="5"/>
      <c r="W1814" s="5"/>
      <c r="X1814" s="5"/>
      <c r="Y1814" s="5"/>
      <c r="Z1814" s="5"/>
    </row>
    <row r="1815" ht="12.0" customHeight="1">
      <c r="A1815" s="92" t="s">
        <v>637</v>
      </c>
      <c r="B1815" s="5"/>
      <c r="C1815" s="205">
        <f>'Resumen Capacidad'!$K$128</f>
        <v>45.81818182</v>
      </c>
      <c r="D1815" s="205">
        <f>'Resumen Capacidad'!$K$128</f>
        <v>45.81818182</v>
      </c>
      <c r="E1815" s="205">
        <f>'Resumen Capacidad'!$K$128</f>
        <v>45.81818182</v>
      </c>
      <c r="F1815" s="205">
        <f>'Resumen Capacidad'!$K$128</f>
        <v>45.81818182</v>
      </c>
      <c r="G1815" s="205">
        <f>'Resumen Capacidad'!$K$128</f>
        <v>45.81818182</v>
      </c>
      <c r="H1815" s="205">
        <f>'Resumen Capacidad'!$K$128</f>
        <v>45.81818182</v>
      </c>
      <c r="I1815" s="205">
        <f>'Resumen Capacidad'!$K$128</f>
        <v>45.81818182</v>
      </c>
      <c r="J1815" s="205">
        <f>'Resumen Capacidad'!$K$128</f>
        <v>45.81818182</v>
      </c>
      <c r="K1815" s="205">
        <f>'Resumen Capacidad'!$K$128</f>
        <v>45.81818182</v>
      </c>
      <c r="L1815" s="205">
        <f>'Resumen Capacidad'!$K$128</f>
        <v>45.81818182</v>
      </c>
      <c r="M1815" s="205">
        <f>'Resumen Capacidad'!$K$128</f>
        <v>45.81818182</v>
      </c>
      <c r="N1815" s="205">
        <f>'Resumen Capacidad'!$K$128</f>
        <v>45.81818182</v>
      </c>
      <c r="O1815" s="5"/>
      <c r="P1815" s="5"/>
      <c r="Q1815" s="5"/>
      <c r="R1815" s="5"/>
      <c r="S1815" s="5"/>
      <c r="T1815" s="5"/>
      <c r="U1815" s="5"/>
      <c r="V1815" s="5"/>
      <c r="W1815" s="5"/>
      <c r="X1815" s="5"/>
      <c r="Y1815" s="5"/>
      <c r="Z1815" s="5"/>
    </row>
    <row r="1816" ht="12.0" customHeight="1">
      <c r="A1816" s="92" t="s">
        <v>640</v>
      </c>
      <c r="B1816" s="5"/>
      <c r="C1816" s="204">
        <f>'Resumen Capacidad'!$K$46*'Resumen Capacidad'!$K$82</f>
        <v>2</v>
      </c>
      <c r="D1816" s="204">
        <f>'Resumen Capacidad'!$K$46*'Resumen Capacidad'!$K$82</f>
        <v>2</v>
      </c>
      <c r="E1816" s="204">
        <f>'Resumen Capacidad'!$K$46*'Resumen Capacidad'!$K$82</f>
        <v>2</v>
      </c>
      <c r="F1816" s="204">
        <f>'Resumen Capacidad'!$K$46*'Resumen Capacidad'!$K$82</f>
        <v>2</v>
      </c>
      <c r="G1816" s="204">
        <f>'Resumen Capacidad'!$K$46*'Resumen Capacidad'!$K$82</f>
        <v>2</v>
      </c>
      <c r="H1816" s="204">
        <f>'Resumen Capacidad'!$K$46*'Resumen Capacidad'!$K$82</f>
        <v>2</v>
      </c>
      <c r="I1816" s="204">
        <f>'Resumen Capacidad'!$K$46*'Resumen Capacidad'!$K$82</f>
        <v>2</v>
      </c>
      <c r="J1816" s="204">
        <f>'Resumen Capacidad'!$K$46*'Resumen Capacidad'!$K$82</f>
        <v>2</v>
      </c>
      <c r="K1816" s="204">
        <f>'Resumen Capacidad'!$K$46*'Resumen Capacidad'!$K$82</f>
        <v>2</v>
      </c>
      <c r="L1816" s="204">
        <f>'Resumen Capacidad'!$K$46*'Resumen Capacidad'!$K$82</f>
        <v>2</v>
      </c>
      <c r="M1816" s="204">
        <f>'Resumen Capacidad'!$K$46*'Resumen Capacidad'!$K$82</f>
        <v>2</v>
      </c>
      <c r="N1816" s="204">
        <f>'Resumen Capacidad'!$K$46*'Resumen Capacidad'!$K$82</f>
        <v>2</v>
      </c>
      <c r="O1816" s="5"/>
      <c r="P1816" s="5"/>
      <c r="Q1816" s="5"/>
      <c r="R1816" s="5"/>
      <c r="S1816" s="5"/>
      <c r="T1816" s="5"/>
      <c r="U1816" s="5"/>
      <c r="V1816" s="5"/>
      <c r="W1816" s="5"/>
      <c r="X1816" s="5"/>
      <c r="Y1816" s="5"/>
      <c r="Z1816" s="5"/>
    </row>
    <row r="1817" ht="12.0" customHeight="1">
      <c r="A1817" s="92" t="s">
        <v>642</v>
      </c>
      <c r="B1817" s="5"/>
      <c r="C1817" s="204">
        <f t="shared" ref="C1817:N1817" si="536">C1815*C1816</f>
        <v>91.63636364</v>
      </c>
      <c r="D1817" s="204">
        <f t="shared" si="536"/>
        <v>91.63636364</v>
      </c>
      <c r="E1817" s="204">
        <f t="shared" si="536"/>
        <v>91.63636364</v>
      </c>
      <c r="F1817" s="204">
        <f t="shared" si="536"/>
        <v>91.63636364</v>
      </c>
      <c r="G1817" s="204">
        <f t="shared" si="536"/>
        <v>91.63636364</v>
      </c>
      <c r="H1817" s="204">
        <f t="shared" si="536"/>
        <v>91.63636364</v>
      </c>
      <c r="I1817" s="204">
        <f t="shared" si="536"/>
        <v>91.63636364</v>
      </c>
      <c r="J1817" s="204">
        <f t="shared" si="536"/>
        <v>91.63636364</v>
      </c>
      <c r="K1817" s="204">
        <f t="shared" si="536"/>
        <v>91.63636364</v>
      </c>
      <c r="L1817" s="204">
        <f t="shared" si="536"/>
        <v>91.63636364</v>
      </c>
      <c r="M1817" s="204">
        <f t="shared" si="536"/>
        <v>91.63636364</v>
      </c>
      <c r="N1817" s="204">
        <f t="shared" si="536"/>
        <v>91.63636364</v>
      </c>
      <c r="O1817" s="5"/>
      <c r="P1817" s="5"/>
      <c r="Q1817" s="5"/>
      <c r="R1817" s="5"/>
      <c r="S1817" s="5"/>
      <c r="T1817" s="5"/>
      <c r="U1817" s="5"/>
      <c r="V1817" s="5"/>
      <c r="W1817" s="5"/>
      <c r="X1817" s="5"/>
      <c r="Y1817" s="5"/>
      <c r="Z1817" s="5"/>
    </row>
    <row r="1818" ht="12.0" customHeight="1">
      <c r="A1818" s="92" t="s">
        <v>643</v>
      </c>
      <c r="B1818" s="5"/>
      <c r="C1818" s="206">
        <f t="shared" ref="C1818:N1818" si="537">IF(C1817=0,0,C1814/C1817)</f>
        <v>0.604765377</v>
      </c>
      <c r="D1818" s="206">
        <f t="shared" si="537"/>
        <v>0.4725820437</v>
      </c>
      <c r="E1818" s="206">
        <f t="shared" si="537"/>
        <v>0.469740377</v>
      </c>
      <c r="F1818" s="206">
        <f t="shared" si="537"/>
        <v>0.4580736111</v>
      </c>
      <c r="G1818" s="206">
        <f t="shared" si="537"/>
        <v>0.4318503968</v>
      </c>
      <c r="H1818" s="206">
        <f t="shared" si="537"/>
        <v>0.413337004</v>
      </c>
      <c r="I1818" s="206">
        <f t="shared" si="537"/>
        <v>0.4435171627</v>
      </c>
      <c r="J1818" s="206">
        <f t="shared" si="537"/>
        <v>0.4435171627</v>
      </c>
      <c r="K1818" s="206">
        <f t="shared" si="537"/>
        <v>0.4415386905</v>
      </c>
      <c r="L1818" s="206">
        <f t="shared" si="537"/>
        <v>0.4230252976</v>
      </c>
      <c r="M1818" s="206">
        <f t="shared" si="537"/>
        <v>0.406490377</v>
      </c>
      <c r="N1818" s="206">
        <f t="shared" si="537"/>
        <v>0.6318998016</v>
      </c>
      <c r="O1818" s="5"/>
      <c r="P1818" s="5"/>
      <c r="Q1818" s="5"/>
      <c r="R1818" s="5"/>
      <c r="S1818" s="5"/>
      <c r="T1818" s="5"/>
      <c r="U1818" s="5"/>
      <c r="V1818" s="5"/>
      <c r="W1818" s="5"/>
      <c r="X1818" s="5"/>
      <c r="Y1818" s="5"/>
      <c r="Z1818" s="5"/>
    </row>
    <row r="1819" ht="12.0" customHeight="1">
      <c r="A1819" s="201" t="s">
        <v>699</v>
      </c>
      <c r="B1819" s="202"/>
      <c r="C1819" s="202"/>
      <c r="D1819" s="202"/>
      <c r="E1819" s="202"/>
      <c r="F1819" s="202"/>
      <c r="G1819" s="202"/>
      <c r="H1819" s="202"/>
      <c r="I1819" s="202"/>
      <c r="J1819" s="202"/>
      <c r="K1819" s="202"/>
      <c r="L1819" s="202"/>
      <c r="M1819" s="202"/>
      <c r="N1819" s="202"/>
      <c r="O1819" s="5"/>
      <c r="P1819" s="5"/>
      <c r="Q1819" s="5"/>
      <c r="R1819" s="5"/>
      <c r="S1819" s="5"/>
      <c r="T1819" s="5"/>
      <c r="U1819" s="5"/>
      <c r="V1819" s="5"/>
      <c r="W1819" s="5"/>
      <c r="X1819" s="5"/>
      <c r="Y1819" s="5"/>
      <c r="Z1819" s="5"/>
    </row>
    <row r="1820" ht="12.0" customHeight="1">
      <c r="A1820" s="201" t="s">
        <v>630</v>
      </c>
      <c r="B1820" s="201" t="s">
        <v>631</v>
      </c>
      <c r="C1820" s="201" t="s">
        <v>3</v>
      </c>
      <c r="D1820" s="201" t="s">
        <v>4</v>
      </c>
      <c r="E1820" s="201" t="s">
        <v>5</v>
      </c>
      <c r="F1820" s="201" t="s">
        <v>6</v>
      </c>
      <c r="G1820" s="201" t="s">
        <v>7</v>
      </c>
      <c r="H1820" s="201" t="s">
        <v>8</v>
      </c>
      <c r="I1820" s="201" t="s">
        <v>9</v>
      </c>
      <c r="J1820" s="201" t="s">
        <v>10</v>
      </c>
      <c r="K1820" s="201" t="s">
        <v>11</v>
      </c>
      <c r="L1820" s="201" t="s">
        <v>12</v>
      </c>
      <c r="M1820" s="201" t="s">
        <v>13</v>
      </c>
      <c r="N1820" s="201" t="s">
        <v>14</v>
      </c>
      <c r="O1820" s="5"/>
      <c r="P1820" s="5"/>
      <c r="Q1820" s="5"/>
      <c r="R1820" s="5"/>
      <c r="S1820" s="5"/>
      <c r="T1820" s="5"/>
      <c r="U1820" s="5"/>
      <c r="V1820" s="5"/>
      <c r="W1820" s="5"/>
      <c r="X1820" s="5"/>
      <c r="Y1820" s="5"/>
      <c r="Z1820" s="5"/>
    </row>
    <row r="1821" ht="12.0" customHeight="1">
      <c r="A1821" s="92" t="s">
        <v>632</v>
      </c>
      <c r="B1821" s="92" t="s">
        <v>633</v>
      </c>
      <c r="C1821" s="203">
        <f>SUM('2035'!B6:B9)+SUM('2035'!B17:B20)</f>
        <v>32475.72</v>
      </c>
      <c r="D1821" s="203">
        <f>SUM('2035'!C6:C9)+SUM('2035'!C17:C20)</f>
        <v>24764.85</v>
      </c>
      <c r="E1821" s="203">
        <f>SUM('2035'!D6:D9)+SUM('2035'!D17:D20)</f>
        <v>23146.7</v>
      </c>
      <c r="F1821" s="203">
        <f>SUM('2035'!E6:E9)+SUM('2035'!E17:E20)</f>
        <v>22133.595</v>
      </c>
      <c r="G1821" s="203">
        <f>SUM('2035'!F6:F9)+SUM('2035'!F17:F20)</f>
        <v>20712.43</v>
      </c>
      <c r="H1821" s="203">
        <f>SUM('2035'!G6:G9)+SUM('2035'!G17:G20)</f>
        <v>20304.37</v>
      </c>
      <c r="I1821" s="203">
        <f>SUM('2035'!H6:H9)+SUM('2035'!H17:H20)</f>
        <v>21725.535</v>
      </c>
      <c r="J1821" s="203">
        <f>SUM('2035'!I6:I9)+SUM('2035'!I17:I20)</f>
        <v>21725.535</v>
      </c>
      <c r="K1821" s="203">
        <f>SUM('2035'!J6:J9)+SUM('2035'!J17:J20)</f>
        <v>21725.535</v>
      </c>
      <c r="L1821" s="203">
        <f>SUM('2035'!K6:K9)+SUM('2035'!K17:K20)</f>
        <v>21317.475</v>
      </c>
      <c r="M1821" s="203">
        <f>SUM('2035'!L6:L9)+SUM('2035'!L17:L20)</f>
        <v>20909.415</v>
      </c>
      <c r="N1821" s="203">
        <f>SUM('2035'!M6:M9)+SUM('2035'!M17:M20)</f>
        <v>33291.84</v>
      </c>
      <c r="O1821" s="5"/>
      <c r="P1821" s="5"/>
      <c r="Q1821" s="5"/>
      <c r="R1821" s="5"/>
      <c r="S1821" s="5"/>
      <c r="T1821" s="5"/>
      <c r="U1821" s="5"/>
      <c r="V1821" s="5"/>
      <c r="W1821" s="5"/>
      <c r="X1821" s="5"/>
      <c r="Y1821" s="5"/>
      <c r="Z1821" s="5"/>
    </row>
    <row r="1822" ht="12.0" customHeight="1">
      <c r="A1822" s="5"/>
      <c r="B1822" s="92" t="s">
        <v>634</v>
      </c>
      <c r="C1822" s="204">
        <f>C1821/Parametros!$B$37</f>
        <v>1623.786</v>
      </c>
      <c r="D1822" s="204">
        <f>D1821/Parametros!$B$37</f>
        <v>1238.2425</v>
      </c>
      <c r="E1822" s="204">
        <f>E1821/Parametros!$B$37</f>
        <v>1157.335</v>
      </c>
      <c r="F1822" s="204">
        <f>F1821/Parametros!$B$37</f>
        <v>1106.67975</v>
      </c>
      <c r="G1822" s="204">
        <f>G1821/Parametros!$B$37</f>
        <v>1035.6215</v>
      </c>
      <c r="H1822" s="204">
        <f>H1821/Parametros!$B$37</f>
        <v>1015.2185</v>
      </c>
      <c r="I1822" s="204">
        <f>I1821/Parametros!$B$37</f>
        <v>1086.27675</v>
      </c>
      <c r="J1822" s="204">
        <f>J1821/Parametros!$B$37</f>
        <v>1086.27675</v>
      </c>
      <c r="K1822" s="204">
        <f>K1821/Parametros!$B$37</f>
        <v>1086.27675</v>
      </c>
      <c r="L1822" s="204">
        <f>L1821/Parametros!$B$37</f>
        <v>1065.87375</v>
      </c>
      <c r="M1822" s="204">
        <f>M1821/Parametros!$B$37</f>
        <v>1045.47075</v>
      </c>
      <c r="N1822" s="204">
        <f>N1821/Parametros!$B$37</f>
        <v>1664.592</v>
      </c>
      <c r="O1822" s="5"/>
      <c r="P1822" s="5"/>
      <c r="Q1822" s="5"/>
      <c r="R1822" s="5"/>
      <c r="S1822" s="5"/>
      <c r="T1822" s="5"/>
      <c r="U1822" s="5"/>
      <c r="V1822" s="5"/>
      <c r="W1822" s="5"/>
      <c r="X1822" s="5"/>
      <c r="Y1822" s="5"/>
      <c r="Z1822" s="5"/>
    </row>
    <row r="1823" ht="12.0" customHeight="1">
      <c r="A1823" s="5"/>
      <c r="B1823" s="92" t="s">
        <v>635</v>
      </c>
      <c r="C1823" s="204">
        <f>C1822/Parametros!$J$37</f>
        <v>216.5048</v>
      </c>
      <c r="D1823" s="204">
        <f>D1822/Parametros!$J$37</f>
        <v>165.099</v>
      </c>
      <c r="E1823" s="204">
        <f>E1822/Parametros!$J$37</f>
        <v>154.3113333</v>
      </c>
      <c r="F1823" s="204">
        <f>F1822/Parametros!$J$37</f>
        <v>147.5573</v>
      </c>
      <c r="G1823" s="204">
        <f>G1822/Parametros!$J$37</f>
        <v>138.0828667</v>
      </c>
      <c r="H1823" s="204">
        <f>H1822/Parametros!$J$37</f>
        <v>135.3624667</v>
      </c>
      <c r="I1823" s="204">
        <f>I1822/Parametros!$J$37</f>
        <v>144.8369</v>
      </c>
      <c r="J1823" s="204">
        <f>J1822/Parametros!$J$37</f>
        <v>144.8369</v>
      </c>
      <c r="K1823" s="204">
        <f>K1822/Parametros!$J$37</f>
        <v>144.8369</v>
      </c>
      <c r="L1823" s="204">
        <f>L1822/Parametros!$J$37</f>
        <v>142.1165</v>
      </c>
      <c r="M1823" s="204">
        <f>M1822/Parametros!$J$37</f>
        <v>139.3961</v>
      </c>
      <c r="N1823" s="204">
        <f>N1822/Parametros!$J$37</f>
        <v>221.9456</v>
      </c>
      <c r="O1823" s="5"/>
      <c r="P1823" s="5"/>
      <c r="Q1823" s="5"/>
      <c r="R1823" s="5"/>
      <c r="S1823" s="5"/>
      <c r="T1823" s="5"/>
      <c r="U1823" s="5"/>
      <c r="V1823" s="5"/>
      <c r="W1823" s="5"/>
      <c r="X1823" s="5"/>
      <c r="Y1823" s="5"/>
      <c r="Z1823" s="5"/>
    </row>
    <row r="1824" ht="12.0" customHeight="1">
      <c r="A1824" s="92" t="s">
        <v>636</v>
      </c>
      <c r="B1824" s="5"/>
      <c r="C1824" s="204">
        <f t="shared" ref="C1824:N1824" si="538">C1823</f>
        <v>216.5048</v>
      </c>
      <c r="D1824" s="204">
        <f t="shared" si="538"/>
        <v>165.099</v>
      </c>
      <c r="E1824" s="204">
        <f t="shared" si="538"/>
        <v>154.3113333</v>
      </c>
      <c r="F1824" s="204">
        <f t="shared" si="538"/>
        <v>147.5573</v>
      </c>
      <c r="G1824" s="204">
        <f t="shared" si="538"/>
        <v>138.0828667</v>
      </c>
      <c r="H1824" s="204">
        <f t="shared" si="538"/>
        <v>135.3624667</v>
      </c>
      <c r="I1824" s="204">
        <f t="shared" si="538"/>
        <v>144.8369</v>
      </c>
      <c r="J1824" s="204">
        <f t="shared" si="538"/>
        <v>144.8369</v>
      </c>
      <c r="K1824" s="204">
        <f t="shared" si="538"/>
        <v>144.8369</v>
      </c>
      <c r="L1824" s="204">
        <f t="shared" si="538"/>
        <v>142.1165</v>
      </c>
      <c r="M1824" s="204">
        <f t="shared" si="538"/>
        <v>139.3961</v>
      </c>
      <c r="N1824" s="204">
        <f t="shared" si="538"/>
        <v>221.9456</v>
      </c>
      <c r="O1824" s="5"/>
      <c r="P1824" s="5"/>
      <c r="Q1824" s="5"/>
      <c r="R1824" s="5"/>
      <c r="S1824" s="5"/>
      <c r="T1824" s="5"/>
      <c r="U1824" s="5"/>
      <c r="V1824" s="5"/>
      <c r="W1824" s="5"/>
      <c r="X1824" s="5"/>
      <c r="Y1824" s="5"/>
      <c r="Z1824" s="5"/>
    </row>
    <row r="1825" ht="12.0" customHeight="1">
      <c r="A1825" s="92" t="s">
        <v>637</v>
      </c>
      <c r="B1825" s="5"/>
      <c r="C1825" s="205">
        <f>'Resumen Capacidad'!$K$129</f>
        <v>48.81355932</v>
      </c>
      <c r="D1825" s="205">
        <f>'Resumen Capacidad'!$K$129</f>
        <v>48.81355932</v>
      </c>
      <c r="E1825" s="205">
        <f>'Resumen Capacidad'!$K$129</f>
        <v>48.81355932</v>
      </c>
      <c r="F1825" s="205">
        <f>'Resumen Capacidad'!$K$129</f>
        <v>48.81355932</v>
      </c>
      <c r="G1825" s="205">
        <f>'Resumen Capacidad'!$K$129</f>
        <v>48.81355932</v>
      </c>
      <c r="H1825" s="205">
        <f>'Resumen Capacidad'!$K$129</f>
        <v>48.81355932</v>
      </c>
      <c r="I1825" s="205">
        <f>'Resumen Capacidad'!$K$129</f>
        <v>48.81355932</v>
      </c>
      <c r="J1825" s="205">
        <f>'Resumen Capacidad'!$K$129</f>
        <v>48.81355932</v>
      </c>
      <c r="K1825" s="205">
        <f>'Resumen Capacidad'!$K$129</f>
        <v>48.81355932</v>
      </c>
      <c r="L1825" s="205">
        <f>'Resumen Capacidad'!$K$129</f>
        <v>48.81355932</v>
      </c>
      <c r="M1825" s="205">
        <f>'Resumen Capacidad'!$K$129</f>
        <v>48.81355932</v>
      </c>
      <c r="N1825" s="205">
        <f>'Resumen Capacidad'!$K$129</f>
        <v>48.81355932</v>
      </c>
      <c r="O1825" s="5"/>
      <c r="P1825" s="5"/>
      <c r="Q1825" s="5"/>
      <c r="R1825" s="5"/>
      <c r="S1825" s="5"/>
      <c r="T1825" s="5"/>
      <c r="U1825" s="5"/>
      <c r="V1825" s="5"/>
      <c r="W1825" s="5"/>
      <c r="X1825" s="5"/>
      <c r="Y1825" s="5"/>
      <c r="Z1825" s="5"/>
    </row>
    <row r="1826" ht="12.0" customHeight="1">
      <c r="A1826" s="92" t="s">
        <v>640</v>
      </c>
      <c r="B1826" s="5"/>
      <c r="C1826" s="204">
        <f>'Resumen Capacidad'!$K$47*'Resumen Capacidad'!$K$83</f>
        <v>6</v>
      </c>
      <c r="D1826" s="204">
        <f>'Resumen Capacidad'!$K$47*'Resumen Capacidad'!$K$83</f>
        <v>6</v>
      </c>
      <c r="E1826" s="204">
        <f>'Resumen Capacidad'!$K$47*'Resumen Capacidad'!$K$83</f>
        <v>6</v>
      </c>
      <c r="F1826" s="204">
        <f>'Resumen Capacidad'!$K$47*'Resumen Capacidad'!$K$83</f>
        <v>6</v>
      </c>
      <c r="G1826" s="204">
        <f>'Resumen Capacidad'!$K$47*'Resumen Capacidad'!$K$83</f>
        <v>6</v>
      </c>
      <c r="H1826" s="204">
        <f>'Resumen Capacidad'!$K$47*'Resumen Capacidad'!$K$83</f>
        <v>6</v>
      </c>
      <c r="I1826" s="204">
        <f>'Resumen Capacidad'!$K$47*'Resumen Capacidad'!$K$83</f>
        <v>6</v>
      </c>
      <c r="J1826" s="204">
        <f>'Resumen Capacidad'!$K$47*'Resumen Capacidad'!$K$83</f>
        <v>6</v>
      </c>
      <c r="K1826" s="204">
        <f>'Resumen Capacidad'!$K$47*'Resumen Capacidad'!$K$83</f>
        <v>6</v>
      </c>
      <c r="L1826" s="204">
        <f>'Resumen Capacidad'!$K$47*'Resumen Capacidad'!$K$83</f>
        <v>6</v>
      </c>
      <c r="M1826" s="204">
        <f>'Resumen Capacidad'!$K$47*'Resumen Capacidad'!$K$83</f>
        <v>6</v>
      </c>
      <c r="N1826" s="204">
        <f>'Resumen Capacidad'!$K$47*'Resumen Capacidad'!$K$83</f>
        <v>6</v>
      </c>
      <c r="O1826" s="5"/>
      <c r="P1826" s="5"/>
      <c r="Q1826" s="5"/>
      <c r="R1826" s="5"/>
      <c r="S1826" s="5"/>
      <c r="T1826" s="5"/>
      <c r="U1826" s="5"/>
      <c r="V1826" s="5"/>
      <c r="W1826" s="5"/>
      <c r="X1826" s="5"/>
      <c r="Y1826" s="5"/>
      <c r="Z1826" s="5"/>
    </row>
    <row r="1827" ht="12.0" customHeight="1">
      <c r="A1827" s="92" t="s">
        <v>642</v>
      </c>
      <c r="B1827" s="5"/>
      <c r="C1827" s="204">
        <f t="shared" ref="C1827:N1827" si="539">C1825*C1826</f>
        <v>292.8813559</v>
      </c>
      <c r="D1827" s="204">
        <f t="shared" si="539"/>
        <v>292.8813559</v>
      </c>
      <c r="E1827" s="204">
        <f t="shared" si="539"/>
        <v>292.8813559</v>
      </c>
      <c r="F1827" s="204">
        <f t="shared" si="539"/>
        <v>292.8813559</v>
      </c>
      <c r="G1827" s="204">
        <f t="shared" si="539"/>
        <v>292.8813559</v>
      </c>
      <c r="H1827" s="204">
        <f t="shared" si="539"/>
        <v>292.8813559</v>
      </c>
      <c r="I1827" s="204">
        <f t="shared" si="539"/>
        <v>292.8813559</v>
      </c>
      <c r="J1827" s="204">
        <f t="shared" si="539"/>
        <v>292.8813559</v>
      </c>
      <c r="K1827" s="204">
        <f t="shared" si="539"/>
        <v>292.8813559</v>
      </c>
      <c r="L1827" s="204">
        <f t="shared" si="539"/>
        <v>292.8813559</v>
      </c>
      <c r="M1827" s="204">
        <f t="shared" si="539"/>
        <v>292.8813559</v>
      </c>
      <c r="N1827" s="204">
        <f t="shared" si="539"/>
        <v>292.8813559</v>
      </c>
      <c r="O1827" s="5"/>
      <c r="P1827" s="5"/>
      <c r="Q1827" s="5"/>
      <c r="R1827" s="5"/>
      <c r="S1827" s="5"/>
      <c r="T1827" s="5"/>
      <c r="U1827" s="5"/>
      <c r="V1827" s="5"/>
      <c r="W1827" s="5"/>
      <c r="X1827" s="5"/>
      <c r="Y1827" s="5"/>
      <c r="Z1827" s="5"/>
    </row>
    <row r="1828" ht="12.0" customHeight="1">
      <c r="A1828" s="92" t="s">
        <v>643</v>
      </c>
      <c r="B1828" s="5"/>
      <c r="C1828" s="206">
        <f t="shared" ref="C1828:N1828" si="540">IF(C1827=0,0,C1824/C1827)</f>
        <v>0.7392235648</v>
      </c>
      <c r="D1828" s="206">
        <f t="shared" si="540"/>
        <v>0.5637060764</v>
      </c>
      <c r="E1828" s="206">
        <f t="shared" si="540"/>
        <v>0.5268731867</v>
      </c>
      <c r="F1828" s="206">
        <f t="shared" si="540"/>
        <v>0.5038125405</v>
      </c>
      <c r="G1828" s="206">
        <f t="shared" si="540"/>
        <v>0.4714634915</v>
      </c>
      <c r="H1828" s="206">
        <f t="shared" si="540"/>
        <v>0.4621750887</v>
      </c>
      <c r="I1828" s="206">
        <f t="shared" si="540"/>
        <v>0.4945241377</v>
      </c>
      <c r="J1828" s="206">
        <f t="shared" si="540"/>
        <v>0.4945241377</v>
      </c>
      <c r="K1828" s="206">
        <f t="shared" si="540"/>
        <v>0.4945241377</v>
      </c>
      <c r="L1828" s="206">
        <f t="shared" si="540"/>
        <v>0.485235735</v>
      </c>
      <c r="M1828" s="206">
        <f t="shared" si="540"/>
        <v>0.4759473322</v>
      </c>
      <c r="N1828" s="206">
        <f t="shared" si="540"/>
        <v>0.7578003704</v>
      </c>
      <c r="O1828" s="5"/>
      <c r="P1828" s="5"/>
      <c r="Q1828" s="5"/>
      <c r="R1828" s="5"/>
      <c r="S1828" s="5"/>
      <c r="T1828" s="5"/>
      <c r="U1828" s="5"/>
      <c r="V1828" s="5"/>
      <c r="W1828" s="5"/>
      <c r="X1828" s="5"/>
      <c r="Y1828" s="5"/>
      <c r="Z1828" s="5"/>
    </row>
    <row r="1829" ht="12.0" customHeight="1">
      <c r="A1829" s="92"/>
      <c r="B1829" s="5"/>
      <c r="C1829" s="206"/>
      <c r="D1829" s="206"/>
      <c r="E1829" s="206"/>
      <c r="F1829" s="206"/>
      <c r="G1829" s="206"/>
      <c r="H1829" s="206"/>
      <c r="I1829" s="206"/>
      <c r="J1829" s="206"/>
      <c r="K1829" s="206"/>
      <c r="L1829" s="206"/>
      <c r="M1829" s="206"/>
      <c r="N1829" s="206"/>
      <c r="O1829" s="5"/>
      <c r="P1829" s="5"/>
      <c r="Q1829" s="5"/>
      <c r="R1829" s="5"/>
      <c r="S1829" s="5"/>
      <c r="T1829" s="5"/>
      <c r="U1829" s="5"/>
      <c r="V1829" s="5"/>
      <c r="W1829" s="5"/>
      <c r="X1829" s="5"/>
      <c r="Y1829" s="5"/>
      <c r="Z1829" s="5"/>
    </row>
    <row r="1830" ht="12.0" customHeight="1">
      <c r="A1830" s="92"/>
      <c r="B1830" s="5"/>
      <c r="C1830" s="206"/>
      <c r="D1830" s="206"/>
      <c r="E1830" s="206"/>
      <c r="F1830" s="206"/>
      <c r="G1830" s="206"/>
      <c r="H1830" s="206"/>
      <c r="I1830" s="206"/>
      <c r="J1830" s="206"/>
      <c r="K1830" s="206"/>
      <c r="L1830" s="206"/>
      <c r="M1830" s="206"/>
      <c r="N1830" s="206"/>
      <c r="O1830" s="5"/>
      <c r="P1830" s="5"/>
      <c r="Q1830" s="5"/>
      <c r="R1830" s="5"/>
      <c r="S1830" s="5"/>
      <c r="T1830" s="5"/>
      <c r="U1830" s="5"/>
      <c r="V1830" s="5"/>
      <c r="W1830" s="5"/>
      <c r="X1830" s="5"/>
      <c r="Y1830" s="5"/>
      <c r="Z1830" s="5"/>
    </row>
    <row r="1831" ht="12.0" customHeight="1">
      <c r="A1831" s="284" t="s">
        <v>1619</v>
      </c>
      <c r="B1831" s="11"/>
      <c r="C1831" s="285"/>
      <c r="D1831" s="285"/>
      <c r="E1831" s="285"/>
      <c r="F1831" s="285"/>
      <c r="G1831" s="285"/>
      <c r="H1831" s="285"/>
      <c r="I1831" s="285"/>
      <c r="J1831" s="285"/>
      <c r="K1831" s="285"/>
      <c r="L1831" s="285"/>
      <c r="M1831" s="285"/>
      <c r="N1831" s="285"/>
      <c r="O1831" s="5"/>
      <c r="P1831" s="5"/>
      <c r="Q1831" s="5"/>
      <c r="R1831" s="5"/>
      <c r="S1831" s="5"/>
      <c r="T1831" s="5"/>
      <c r="U1831" s="5"/>
      <c r="V1831" s="5"/>
      <c r="W1831" s="5"/>
      <c r="X1831" s="5"/>
      <c r="Y1831" s="5"/>
      <c r="Z1831" s="5"/>
    </row>
    <row r="1832" ht="12.0" customHeight="1">
      <c r="A1832" s="177" t="s">
        <v>1620</v>
      </c>
      <c r="B1832" s="178"/>
      <c r="C1832" s="178"/>
      <c r="D1832" s="178"/>
      <c r="E1832" s="178"/>
      <c r="F1832" s="178"/>
      <c r="G1832" s="178"/>
      <c r="H1832" s="178"/>
      <c r="I1832" s="178"/>
      <c r="J1832" s="178"/>
      <c r="K1832" s="178"/>
      <c r="L1832" s="178"/>
      <c r="M1832" s="178"/>
      <c r="N1832" s="179"/>
      <c r="O1832" s="5"/>
      <c r="P1832" s="5"/>
      <c r="Q1832" s="5"/>
      <c r="R1832" s="5"/>
      <c r="S1832" s="5"/>
      <c r="T1832" s="5"/>
      <c r="U1832" s="5"/>
      <c r="V1832" s="5"/>
      <c r="W1832" s="5"/>
      <c r="X1832" s="5"/>
      <c r="Y1832" s="5"/>
      <c r="Z1832" s="5"/>
    </row>
    <row r="1833" ht="12.0" customHeight="1">
      <c r="A1833" s="180" t="s">
        <v>630</v>
      </c>
      <c r="B1833" s="180" t="s">
        <v>631</v>
      </c>
      <c r="C1833" s="286" t="s">
        <v>3</v>
      </c>
      <c r="D1833" s="286" t="s">
        <v>4</v>
      </c>
      <c r="E1833" s="286" t="s">
        <v>5</v>
      </c>
      <c r="F1833" s="286" t="s">
        <v>6</v>
      </c>
      <c r="G1833" s="286" t="s">
        <v>7</v>
      </c>
      <c r="H1833" s="286" t="s">
        <v>8</v>
      </c>
      <c r="I1833" s="286" t="s">
        <v>9</v>
      </c>
      <c r="J1833" s="286" t="s">
        <v>10</v>
      </c>
      <c r="K1833" s="286" t="s">
        <v>11</v>
      </c>
      <c r="L1833" s="286" t="s">
        <v>12</v>
      </c>
      <c r="M1833" s="286" t="s">
        <v>13</v>
      </c>
      <c r="N1833" s="286" t="s">
        <v>14</v>
      </c>
      <c r="O1833" s="5"/>
      <c r="P1833" s="5"/>
      <c r="Q1833" s="5"/>
      <c r="R1833" s="5"/>
      <c r="S1833" s="5"/>
      <c r="T1833" s="5"/>
      <c r="U1833" s="5"/>
      <c r="V1833" s="5"/>
      <c r="W1833" s="5"/>
      <c r="X1833" s="5"/>
      <c r="Y1833" s="5"/>
      <c r="Z1833" s="5"/>
    </row>
    <row r="1834" ht="12.0" customHeight="1">
      <c r="A1834" s="181" t="s">
        <v>1621</v>
      </c>
      <c r="B1834" s="125" t="s">
        <v>633</v>
      </c>
      <c r="C1834" s="182">
        <f>(SUM('2026'!B6:B9)+SUM('2026'!B17:B20))*0.05</f>
        <v>38.289</v>
      </c>
      <c r="D1834" s="182">
        <f>(SUM('2026'!C6:C9)+SUM('2026'!C17:C20))*0.05</f>
        <v>29.3775</v>
      </c>
      <c r="E1834" s="182">
        <f>(SUM('2026'!D6:D9)+SUM('2026'!D17:D20))*0.05</f>
        <v>27.94875</v>
      </c>
      <c r="F1834" s="182">
        <f>(SUM('2026'!E6:E9)+SUM('2026'!E17:E20))*0.05</f>
        <v>26.904</v>
      </c>
      <c r="G1834" s="182">
        <f>(SUM('2026'!F6:F9)+SUM('2026'!F17:F20))*0.05</f>
        <v>25.1985</v>
      </c>
      <c r="H1834" s="182">
        <f>(SUM('2026'!G6:G9)+SUM('2026'!G17:G20))*0.05</f>
        <v>24.53775</v>
      </c>
      <c r="I1834" s="182">
        <f>(SUM('2026'!H6:H9)+SUM('2026'!H17:H20))*0.05</f>
        <v>26.24325</v>
      </c>
      <c r="J1834" s="182">
        <f>(SUM('2026'!I6:I9)+SUM('2026'!I17:I20))*0.05</f>
        <v>26.24325</v>
      </c>
      <c r="K1834" s="182">
        <f>(SUM('2026'!J6:J9)+SUM('2026'!J17:J20))*0.05</f>
        <v>26.24325</v>
      </c>
      <c r="L1834" s="182">
        <f>(SUM('2026'!K6:K9)+SUM('2026'!K17:K20))*0.05</f>
        <v>25.5825</v>
      </c>
      <c r="M1834" s="182">
        <f>(SUM('2026'!L6:L9)+SUM('2026'!L17:L20))*0.05</f>
        <v>24.92175</v>
      </c>
      <c r="N1834" s="182">
        <f>(SUM('2026'!M6:M9)+SUM('2026'!M17:M20))*0.05</f>
        <v>39.6105</v>
      </c>
      <c r="O1834" s="5"/>
      <c r="P1834" s="5"/>
      <c r="Q1834" s="5"/>
      <c r="R1834" s="5"/>
      <c r="S1834" s="5"/>
      <c r="T1834" s="5"/>
      <c r="U1834" s="5"/>
      <c r="V1834" s="5"/>
      <c r="W1834" s="5"/>
      <c r="X1834" s="5"/>
      <c r="Y1834" s="5"/>
      <c r="Z1834" s="5"/>
    </row>
    <row r="1835" ht="12.0" customHeight="1">
      <c r="A1835" s="183"/>
      <c r="B1835" s="125" t="s">
        <v>634</v>
      </c>
      <c r="C1835" s="184">
        <f>C1834/Parametros!$B$37</f>
        <v>1.91445</v>
      </c>
      <c r="D1835" s="184">
        <f>D1834/Parametros!$B$37</f>
        <v>1.468875</v>
      </c>
      <c r="E1835" s="184">
        <f>E1834/Parametros!$B$37</f>
        <v>1.3974375</v>
      </c>
      <c r="F1835" s="184">
        <f>F1834/Parametros!$B$37</f>
        <v>1.3452</v>
      </c>
      <c r="G1835" s="184">
        <f>G1834/Parametros!$B$37</f>
        <v>1.259925</v>
      </c>
      <c r="H1835" s="184">
        <f>H1834/Parametros!$B$37</f>
        <v>1.2268875</v>
      </c>
      <c r="I1835" s="184">
        <f>I1834/Parametros!$B$37</f>
        <v>1.3121625</v>
      </c>
      <c r="J1835" s="184">
        <f>J1834/Parametros!$B$37</f>
        <v>1.3121625</v>
      </c>
      <c r="K1835" s="184">
        <f>K1834/Parametros!$B$37</f>
        <v>1.3121625</v>
      </c>
      <c r="L1835" s="184">
        <f>L1834/Parametros!$B$37</f>
        <v>1.279125</v>
      </c>
      <c r="M1835" s="184">
        <f>M1834/Parametros!$B$37</f>
        <v>1.2460875</v>
      </c>
      <c r="N1835" s="184">
        <f>N1834/Parametros!$B$37</f>
        <v>1.980525</v>
      </c>
      <c r="O1835" s="5"/>
      <c r="P1835" s="5"/>
      <c r="Q1835" s="5"/>
      <c r="R1835" s="5"/>
      <c r="S1835" s="5"/>
      <c r="T1835" s="5"/>
      <c r="U1835" s="5"/>
      <c r="V1835" s="5"/>
      <c r="W1835" s="5"/>
      <c r="X1835" s="5"/>
      <c r="Y1835" s="5"/>
      <c r="Z1835" s="5"/>
    </row>
    <row r="1836" ht="12.0" customHeight="1">
      <c r="A1836" s="185"/>
      <c r="B1836" s="125" t="s">
        <v>635</v>
      </c>
      <c r="C1836" s="287">
        <f>C1835/Parametros!$J$37</f>
        <v>0.25526</v>
      </c>
      <c r="D1836" s="287">
        <f>D1835/Parametros!$J$37</f>
        <v>0.19585</v>
      </c>
      <c r="E1836" s="287">
        <f>E1835/Parametros!$J$37</f>
        <v>0.186325</v>
      </c>
      <c r="F1836" s="287">
        <f>F1835/Parametros!$J$37</f>
        <v>0.17936</v>
      </c>
      <c r="G1836" s="287">
        <f>G1835/Parametros!$J$37</f>
        <v>0.16799</v>
      </c>
      <c r="H1836" s="287">
        <f>H1835/Parametros!$J$37</f>
        <v>0.163585</v>
      </c>
      <c r="I1836" s="287">
        <f>I1835/Parametros!$J$37</f>
        <v>0.174955</v>
      </c>
      <c r="J1836" s="287">
        <f>J1835/Parametros!$J$37</f>
        <v>0.174955</v>
      </c>
      <c r="K1836" s="287">
        <f>K1835/Parametros!$J$37</f>
        <v>0.174955</v>
      </c>
      <c r="L1836" s="287">
        <f>L1835/Parametros!$J$37</f>
        <v>0.17055</v>
      </c>
      <c r="M1836" s="287">
        <f>M1835/Parametros!$J$37</f>
        <v>0.166145</v>
      </c>
      <c r="N1836" s="287">
        <f>N1835/Parametros!$J$37</f>
        <v>0.26407</v>
      </c>
      <c r="O1836" s="5"/>
      <c r="P1836" s="5"/>
      <c r="Q1836" s="5"/>
      <c r="R1836" s="5"/>
      <c r="S1836" s="5"/>
      <c r="T1836" s="5"/>
      <c r="U1836" s="5"/>
      <c r="V1836" s="5"/>
      <c r="W1836" s="5"/>
      <c r="X1836" s="5"/>
      <c r="Y1836" s="5"/>
      <c r="Z1836" s="5"/>
    </row>
    <row r="1837" ht="12.0" customHeight="1">
      <c r="A1837" s="186" t="s">
        <v>636</v>
      </c>
      <c r="B1837" s="4"/>
      <c r="C1837" s="287">
        <f t="shared" ref="C1837:N1837" si="541">C1836</f>
        <v>0.25526</v>
      </c>
      <c r="D1837" s="287">
        <f t="shared" si="541"/>
        <v>0.19585</v>
      </c>
      <c r="E1837" s="287">
        <f t="shared" si="541"/>
        <v>0.186325</v>
      </c>
      <c r="F1837" s="287">
        <f t="shared" si="541"/>
        <v>0.17936</v>
      </c>
      <c r="G1837" s="287">
        <f t="shared" si="541"/>
        <v>0.16799</v>
      </c>
      <c r="H1837" s="287">
        <f t="shared" si="541"/>
        <v>0.163585</v>
      </c>
      <c r="I1837" s="287">
        <f t="shared" si="541"/>
        <v>0.174955</v>
      </c>
      <c r="J1837" s="287">
        <f t="shared" si="541"/>
        <v>0.174955</v>
      </c>
      <c r="K1837" s="287">
        <f t="shared" si="541"/>
        <v>0.174955</v>
      </c>
      <c r="L1837" s="287">
        <f t="shared" si="541"/>
        <v>0.17055</v>
      </c>
      <c r="M1837" s="287">
        <f t="shared" si="541"/>
        <v>0.166145</v>
      </c>
      <c r="N1837" s="287">
        <f t="shared" si="541"/>
        <v>0.26407</v>
      </c>
      <c r="O1837" s="5"/>
      <c r="P1837" s="5"/>
      <c r="Q1837" s="5"/>
      <c r="R1837" s="5"/>
      <c r="S1837" s="5"/>
      <c r="T1837" s="5"/>
      <c r="U1837" s="5"/>
      <c r="V1837" s="5"/>
      <c r="W1837" s="5"/>
      <c r="X1837" s="5"/>
      <c r="Y1837" s="5"/>
      <c r="Z1837" s="5"/>
    </row>
    <row r="1838" ht="12.0" customHeight="1">
      <c r="A1838" s="186" t="s">
        <v>637</v>
      </c>
      <c r="B1838" s="4"/>
      <c r="C1838" s="274">
        <f>'Resumen Capacidad'!$B$123</f>
        <v>20.51162791</v>
      </c>
      <c r="D1838" s="274">
        <f>'Resumen Capacidad'!$B$123</f>
        <v>20.51162791</v>
      </c>
      <c r="E1838" s="274">
        <f>'Resumen Capacidad'!$B$123</f>
        <v>20.51162791</v>
      </c>
      <c r="F1838" s="274">
        <f>'Resumen Capacidad'!$B$123</f>
        <v>20.51162791</v>
      </c>
      <c r="G1838" s="274">
        <f>'Resumen Capacidad'!$B$123</f>
        <v>20.51162791</v>
      </c>
      <c r="H1838" s="274">
        <f>'Resumen Capacidad'!$B$123</f>
        <v>20.51162791</v>
      </c>
      <c r="I1838" s="274">
        <f>'Resumen Capacidad'!$B$123</f>
        <v>20.51162791</v>
      </c>
      <c r="J1838" s="274">
        <f>'Resumen Capacidad'!$B$123</f>
        <v>20.51162791</v>
      </c>
      <c r="K1838" s="274">
        <f>'Resumen Capacidad'!$B$123</f>
        <v>20.51162791</v>
      </c>
      <c r="L1838" s="274">
        <f>'Resumen Capacidad'!$B$123</f>
        <v>20.51162791</v>
      </c>
      <c r="M1838" s="274">
        <f>'Resumen Capacidad'!$B$123</f>
        <v>20.51162791</v>
      </c>
      <c r="N1838" s="274">
        <f>'Resumen Capacidad'!$B$123</f>
        <v>20.51162791</v>
      </c>
      <c r="O1838" s="5"/>
      <c r="P1838" s="5"/>
      <c r="Q1838" s="5"/>
      <c r="R1838" s="5"/>
      <c r="S1838" s="5"/>
      <c r="T1838" s="5"/>
      <c r="U1838" s="5"/>
      <c r="V1838" s="5"/>
      <c r="W1838" s="5"/>
      <c r="X1838" s="5"/>
      <c r="Y1838" s="5"/>
      <c r="Z1838" s="5"/>
    </row>
    <row r="1839" ht="12.0" customHeight="1">
      <c r="A1839" s="186" t="s">
        <v>640</v>
      </c>
      <c r="B1839" s="4"/>
      <c r="C1839" s="148">
        <f>'Resumen Capacidad'!$B$41*'Resumen Capacidad'!$B$77</f>
        <v>1</v>
      </c>
      <c r="D1839" s="148">
        <f>'Resumen Capacidad'!$B$41*'Resumen Capacidad'!$B$77</f>
        <v>1</v>
      </c>
      <c r="E1839" s="148">
        <f>'Resumen Capacidad'!$B$41*'Resumen Capacidad'!$B$77</f>
        <v>1</v>
      </c>
      <c r="F1839" s="148">
        <f>'Resumen Capacidad'!$B$41*'Resumen Capacidad'!$B$77</f>
        <v>1</v>
      </c>
      <c r="G1839" s="148">
        <f>'Resumen Capacidad'!$B$41*'Resumen Capacidad'!$B$77</f>
        <v>1</v>
      </c>
      <c r="H1839" s="148">
        <f>'Resumen Capacidad'!$B$41*'Resumen Capacidad'!$B$77</f>
        <v>1</v>
      </c>
      <c r="I1839" s="148">
        <f>'Resumen Capacidad'!$B$41*'Resumen Capacidad'!$B$77</f>
        <v>1</v>
      </c>
      <c r="J1839" s="148">
        <f>'Resumen Capacidad'!$B$41*'Resumen Capacidad'!$B$77</f>
        <v>1</v>
      </c>
      <c r="K1839" s="148">
        <f>'Resumen Capacidad'!$B$41*'Resumen Capacidad'!$B$77</f>
        <v>1</v>
      </c>
      <c r="L1839" s="148">
        <f>'Resumen Capacidad'!$B$41*'Resumen Capacidad'!$B$77</f>
        <v>1</v>
      </c>
      <c r="M1839" s="148">
        <f>'Resumen Capacidad'!$B$41*'Resumen Capacidad'!$B$77</f>
        <v>1</v>
      </c>
      <c r="N1839" s="148">
        <f>'Resumen Capacidad'!$B$41*'Resumen Capacidad'!$B$77</f>
        <v>1</v>
      </c>
      <c r="O1839" s="5"/>
      <c r="P1839" s="5"/>
      <c r="Q1839" s="5"/>
      <c r="R1839" s="5"/>
      <c r="S1839" s="5"/>
      <c r="T1839" s="5"/>
      <c r="U1839" s="5"/>
      <c r="V1839" s="5"/>
      <c r="W1839" s="5"/>
      <c r="X1839" s="5"/>
      <c r="Y1839" s="5"/>
      <c r="Z1839" s="5"/>
    </row>
    <row r="1840" ht="12.0" customHeight="1">
      <c r="A1840" s="186" t="s">
        <v>642</v>
      </c>
      <c r="B1840" s="4"/>
      <c r="C1840" s="184">
        <f t="shared" ref="C1840:N1840" si="542">C1838*C1839</f>
        <v>20.51162791</v>
      </c>
      <c r="D1840" s="184">
        <f t="shared" si="542"/>
        <v>20.51162791</v>
      </c>
      <c r="E1840" s="184">
        <f t="shared" si="542"/>
        <v>20.51162791</v>
      </c>
      <c r="F1840" s="184">
        <f t="shared" si="542"/>
        <v>20.51162791</v>
      </c>
      <c r="G1840" s="184">
        <f t="shared" si="542"/>
        <v>20.51162791</v>
      </c>
      <c r="H1840" s="184">
        <f t="shared" si="542"/>
        <v>20.51162791</v>
      </c>
      <c r="I1840" s="184">
        <f t="shared" si="542"/>
        <v>20.51162791</v>
      </c>
      <c r="J1840" s="184">
        <f t="shared" si="542"/>
        <v>20.51162791</v>
      </c>
      <c r="K1840" s="184">
        <f t="shared" si="542"/>
        <v>20.51162791</v>
      </c>
      <c r="L1840" s="184">
        <f t="shared" si="542"/>
        <v>20.51162791</v>
      </c>
      <c r="M1840" s="184">
        <f t="shared" si="542"/>
        <v>20.51162791</v>
      </c>
      <c r="N1840" s="184">
        <f t="shared" si="542"/>
        <v>20.51162791</v>
      </c>
      <c r="O1840" s="5"/>
      <c r="P1840" s="5"/>
      <c r="Q1840" s="5"/>
      <c r="R1840" s="5"/>
      <c r="S1840" s="5"/>
      <c r="T1840" s="5"/>
      <c r="U1840" s="5"/>
      <c r="V1840" s="5"/>
      <c r="W1840" s="5"/>
      <c r="X1840" s="5"/>
      <c r="Y1840" s="5"/>
      <c r="Z1840" s="5"/>
    </row>
    <row r="1841" ht="12.0" customHeight="1">
      <c r="A1841" s="186" t="s">
        <v>643</v>
      </c>
      <c r="B1841" s="4"/>
      <c r="C1841" s="148">
        <f t="shared" ref="C1841:N1841" si="543">IF(C1840=0,0,C1837/C1840)</f>
        <v>0.01244464853</v>
      </c>
      <c r="D1841" s="148">
        <f t="shared" si="543"/>
        <v>0.00954824263</v>
      </c>
      <c r="E1841" s="148">
        <f t="shared" si="543"/>
        <v>0.009083871882</v>
      </c>
      <c r="F1841" s="148">
        <f t="shared" si="543"/>
        <v>0.00874430839</v>
      </c>
      <c r="G1841" s="148">
        <f t="shared" si="543"/>
        <v>0.008189988662</v>
      </c>
      <c r="H1841" s="148">
        <f t="shared" si="543"/>
        <v>0.007975232426</v>
      </c>
      <c r="I1841" s="148">
        <f t="shared" si="543"/>
        <v>0.008529552154</v>
      </c>
      <c r="J1841" s="148">
        <f t="shared" si="543"/>
        <v>0.008529552154</v>
      </c>
      <c r="K1841" s="148">
        <f t="shared" si="543"/>
        <v>0.008529552154</v>
      </c>
      <c r="L1841" s="148">
        <f t="shared" si="543"/>
        <v>0.008314795918</v>
      </c>
      <c r="M1841" s="148">
        <f t="shared" si="543"/>
        <v>0.008100039683</v>
      </c>
      <c r="N1841" s="148">
        <f t="shared" si="543"/>
        <v>0.012874161</v>
      </c>
      <c r="O1841" s="5"/>
      <c r="P1841" s="5"/>
      <c r="Q1841" s="5"/>
      <c r="R1841" s="5"/>
      <c r="S1841" s="5"/>
      <c r="T1841" s="5"/>
      <c r="U1841" s="5"/>
      <c r="V1841" s="5"/>
      <c r="W1841" s="5"/>
      <c r="X1841" s="5"/>
      <c r="Y1841" s="5"/>
      <c r="Z1841" s="5"/>
    </row>
    <row r="1842" ht="12.0" customHeight="1">
      <c r="A1842" s="177" t="s">
        <v>1622</v>
      </c>
      <c r="B1842" s="178"/>
      <c r="C1842" s="178"/>
      <c r="D1842" s="178"/>
      <c r="E1842" s="178"/>
      <c r="F1842" s="178"/>
      <c r="G1842" s="178"/>
      <c r="H1842" s="178"/>
      <c r="I1842" s="178"/>
      <c r="J1842" s="178"/>
      <c r="K1842" s="178"/>
      <c r="L1842" s="178"/>
      <c r="M1842" s="178"/>
      <c r="N1842" s="179"/>
      <c r="O1842" s="5"/>
      <c r="P1842" s="5"/>
      <c r="Q1842" s="5"/>
      <c r="R1842" s="5"/>
      <c r="S1842" s="5"/>
      <c r="T1842" s="5"/>
      <c r="U1842" s="5"/>
      <c r="V1842" s="5"/>
      <c r="W1842" s="5"/>
      <c r="X1842" s="5"/>
      <c r="Y1842" s="5"/>
      <c r="Z1842" s="5"/>
    </row>
    <row r="1843" ht="12.0" customHeight="1">
      <c r="A1843" s="180" t="s">
        <v>630</v>
      </c>
      <c r="B1843" s="180" t="s">
        <v>631</v>
      </c>
      <c r="C1843" s="286" t="s">
        <v>3</v>
      </c>
      <c r="D1843" s="286" t="s">
        <v>4</v>
      </c>
      <c r="E1843" s="286" t="s">
        <v>5</v>
      </c>
      <c r="F1843" s="286" t="s">
        <v>6</v>
      </c>
      <c r="G1843" s="286" t="s">
        <v>7</v>
      </c>
      <c r="H1843" s="286" t="s">
        <v>8</v>
      </c>
      <c r="I1843" s="286" t="s">
        <v>9</v>
      </c>
      <c r="J1843" s="286" t="s">
        <v>10</v>
      </c>
      <c r="K1843" s="286" t="s">
        <v>11</v>
      </c>
      <c r="L1843" s="286" t="s">
        <v>12</v>
      </c>
      <c r="M1843" s="286" t="s">
        <v>13</v>
      </c>
      <c r="N1843" s="286" t="s">
        <v>14</v>
      </c>
      <c r="O1843" s="5"/>
      <c r="P1843" s="5"/>
      <c r="Q1843" s="5"/>
      <c r="R1843" s="5"/>
      <c r="S1843" s="5"/>
      <c r="T1843" s="5"/>
      <c r="U1843" s="5"/>
      <c r="V1843" s="5"/>
      <c r="W1843" s="5"/>
      <c r="X1843" s="5"/>
      <c r="Y1843" s="5"/>
      <c r="Z1843" s="5"/>
    </row>
    <row r="1844" ht="12.0" customHeight="1">
      <c r="A1844" s="181" t="s">
        <v>1623</v>
      </c>
      <c r="B1844" s="125" t="s">
        <v>633</v>
      </c>
      <c r="C1844" s="182">
        <f>'2026'!B6+'2026'!B17</f>
        <v>501.48</v>
      </c>
      <c r="D1844" s="182">
        <f>'2026'!C6+'2026'!C17</f>
        <v>376.11</v>
      </c>
      <c r="E1844" s="182">
        <f>'2026'!D6+'2026'!D17</f>
        <v>334.32</v>
      </c>
      <c r="F1844" s="182">
        <f>'2026'!E6+'2026'!E17</f>
        <v>313.425</v>
      </c>
      <c r="G1844" s="182">
        <f>'2026'!F6+'2026'!F17</f>
        <v>292.53</v>
      </c>
      <c r="H1844" s="182">
        <f>'2026'!G6+'2026'!G17</f>
        <v>292.53</v>
      </c>
      <c r="I1844" s="182">
        <f>'2026'!H6+'2026'!H17</f>
        <v>313.425</v>
      </c>
      <c r="J1844" s="182">
        <f>'2026'!I6+'2026'!I17</f>
        <v>313.425</v>
      </c>
      <c r="K1844" s="182">
        <f>'2026'!J6+'2026'!J17</f>
        <v>313.425</v>
      </c>
      <c r="L1844" s="182">
        <f>'2026'!K6+'2026'!K17</f>
        <v>313.425</v>
      </c>
      <c r="M1844" s="182">
        <f>'2026'!L6+'2026'!L17</f>
        <v>313.425</v>
      </c>
      <c r="N1844" s="182">
        <f>'2026'!M6+'2026'!M17</f>
        <v>501.48</v>
      </c>
      <c r="O1844" s="5"/>
      <c r="P1844" s="5"/>
      <c r="Q1844" s="5"/>
      <c r="R1844" s="5"/>
      <c r="S1844" s="5"/>
      <c r="T1844" s="5"/>
      <c r="U1844" s="5"/>
      <c r="V1844" s="5"/>
      <c r="W1844" s="5"/>
      <c r="X1844" s="5"/>
      <c r="Y1844" s="5"/>
      <c r="Z1844" s="5"/>
    </row>
    <row r="1845" ht="12.0" customHeight="1">
      <c r="A1845" s="183"/>
      <c r="B1845" s="125" t="s">
        <v>634</v>
      </c>
      <c r="C1845" s="184">
        <f>C1844/Parametros!$B$37</f>
        <v>25.074</v>
      </c>
      <c r="D1845" s="184">
        <f>D1844/Parametros!$B$37</f>
        <v>18.8055</v>
      </c>
      <c r="E1845" s="184">
        <f>E1844/Parametros!$B$37</f>
        <v>16.716</v>
      </c>
      <c r="F1845" s="184">
        <f>F1844/Parametros!$B$37</f>
        <v>15.67125</v>
      </c>
      <c r="G1845" s="184">
        <f>G1844/Parametros!$B$37</f>
        <v>14.6265</v>
      </c>
      <c r="H1845" s="184">
        <f>H1844/Parametros!$B$37</f>
        <v>14.6265</v>
      </c>
      <c r="I1845" s="184">
        <f>I1844/Parametros!$B$37</f>
        <v>15.67125</v>
      </c>
      <c r="J1845" s="184">
        <f>J1844/Parametros!$B$37</f>
        <v>15.67125</v>
      </c>
      <c r="K1845" s="184">
        <f>K1844/Parametros!$B$37</f>
        <v>15.67125</v>
      </c>
      <c r="L1845" s="184">
        <f>L1844/Parametros!$B$37</f>
        <v>15.67125</v>
      </c>
      <c r="M1845" s="184">
        <f>M1844/Parametros!$B$37</f>
        <v>15.67125</v>
      </c>
      <c r="N1845" s="184">
        <f>N1844/Parametros!$B$37</f>
        <v>25.074</v>
      </c>
      <c r="O1845" s="5"/>
      <c r="P1845" s="5"/>
      <c r="Q1845" s="5"/>
      <c r="R1845" s="5"/>
      <c r="S1845" s="5"/>
      <c r="T1845" s="5"/>
      <c r="U1845" s="5"/>
      <c r="V1845" s="5"/>
      <c r="W1845" s="5"/>
      <c r="X1845" s="5"/>
      <c r="Y1845" s="5"/>
      <c r="Z1845" s="5"/>
    </row>
    <row r="1846" ht="12.0" customHeight="1">
      <c r="A1846" s="185"/>
      <c r="B1846" s="125" t="s">
        <v>635</v>
      </c>
      <c r="C1846" s="184">
        <f>C1845/Parametros!$J$37</f>
        <v>3.3432</v>
      </c>
      <c r="D1846" s="184">
        <f>D1845/Parametros!$J$37</f>
        <v>2.5074</v>
      </c>
      <c r="E1846" s="184">
        <f>E1845/Parametros!$J$37</f>
        <v>2.2288</v>
      </c>
      <c r="F1846" s="184">
        <f>F1845/Parametros!$J$37</f>
        <v>2.0895</v>
      </c>
      <c r="G1846" s="184">
        <f>G1845/Parametros!$J$37</f>
        <v>1.9502</v>
      </c>
      <c r="H1846" s="184">
        <f>H1845/Parametros!$J$37</f>
        <v>1.9502</v>
      </c>
      <c r="I1846" s="184">
        <f>I1845/Parametros!$J$37</f>
        <v>2.0895</v>
      </c>
      <c r="J1846" s="184">
        <f>J1845/Parametros!$J$37</f>
        <v>2.0895</v>
      </c>
      <c r="K1846" s="184">
        <f>K1845/Parametros!$J$37</f>
        <v>2.0895</v>
      </c>
      <c r="L1846" s="184">
        <f>L1845/Parametros!$J$37</f>
        <v>2.0895</v>
      </c>
      <c r="M1846" s="184">
        <f>M1845/Parametros!$J$37</f>
        <v>2.0895</v>
      </c>
      <c r="N1846" s="184">
        <f>N1845/Parametros!$J$37</f>
        <v>3.3432</v>
      </c>
      <c r="O1846" s="5"/>
      <c r="P1846" s="5"/>
      <c r="Q1846" s="5"/>
      <c r="R1846" s="5"/>
      <c r="S1846" s="5"/>
      <c r="T1846" s="5"/>
      <c r="U1846" s="5"/>
      <c r="V1846" s="5"/>
      <c r="W1846" s="5"/>
      <c r="X1846" s="5"/>
      <c r="Y1846" s="5"/>
      <c r="Z1846" s="5"/>
    </row>
    <row r="1847" ht="12.0" customHeight="1">
      <c r="A1847" s="186" t="s">
        <v>636</v>
      </c>
      <c r="B1847" s="4"/>
      <c r="C1847" s="184">
        <f t="shared" ref="C1847:N1847" si="544">C1846</f>
        <v>3.3432</v>
      </c>
      <c r="D1847" s="184">
        <f t="shared" si="544"/>
        <v>2.5074</v>
      </c>
      <c r="E1847" s="184">
        <f t="shared" si="544"/>
        <v>2.2288</v>
      </c>
      <c r="F1847" s="184">
        <f t="shared" si="544"/>
        <v>2.0895</v>
      </c>
      <c r="G1847" s="184">
        <f t="shared" si="544"/>
        <v>1.9502</v>
      </c>
      <c r="H1847" s="184">
        <f t="shared" si="544"/>
        <v>1.9502</v>
      </c>
      <c r="I1847" s="184">
        <f t="shared" si="544"/>
        <v>2.0895</v>
      </c>
      <c r="J1847" s="184">
        <f t="shared" si="544"/>
        <v>2.0895</v>
      </c>
      <c r="K1847" s="184">
        <f t="shared" si="544"/>
        <v>2.0895</v>
      </c>
      <c r="L1847" s="184">
        <f t="shared" si="544"/>
        <v>2.0895</v>
      </c>
      <c r="M1847" s="184">
        <f t="shared" si="544"/>
        <v>2.0895</v>
      </c>
      <c r="N1847" s="184">
        <f t="shared" si="544"/>
        <v>3.3432</v>
      </c>
      <c r="O1847" s="5"/>
      <c r="P1847" s="5"/>
      <c r="Q1847" s="5"/>
      <c r="R1847" s="5"/>
      <c r="S1847" s="5"/>
      <c r="T1847" s="5"/>
      <c r="U1847" s="5"/>
      <c r="V1847" s="5"/>
      <c r="W1847" s="5"/>
      <c r="X1847" s="5"/>
      <c r="Y1847" s="5"/>
      <c r="Z1847" s="5"/>
    </row>
    <row r="1848" ht="12.0" customHeight="1">
      <c r="A1848" s="186" t="s">
        <v>637</v>
      </c>
      <c r="B1848" s="4"/>
      <c r="C1848" s="274">
        <f>'Resumen Capacidad'!$B$130</f>
        <v>75.21428571</v>
      </c>
      <c r="D1848" s="274">
        <f>'Resumen Capacidad'!$B$130</f>
        <v>75.21428571</v>
      </c>
      <c r="E1848" s="274">
        <f>'Resumen Capacidad'!$B$130</f>
        <v>75.21428571</v>
      </c>
      <c r="F1848" s="274">
        <f>'Resumen Capacidad'!$B$130</f>
        <v>75.21428571</v>
      </c>
      <c r="G1848" s="274">
        <f>'Resumen Capacidad'!$B$130</f>
        <v>75.21428571</v>
      </c>
      <c r="H1848" s="274">
        <f>'Resumen Capacidad'!$B$130</f>
        <v>75.21428571</v>
      </c>
      <c r="I1848" s="274">
        <f>'Resumen Capacidad'!$B$130</f>
        <v>75.21428571</v>
      </c>
      <c r="J1848" s="274">
        <f>'Resumen Capacidad'!$B$130</f>
        <v>75.21428571</v>
      </c>
      <c r="K1848" s="274">
        <f>'Resumen Capacidad'!$B$130</f>
        <v>75.21428571</v>
      </c>
      <c r="L1848" s="274">
        <f>'Resumen Capacidad'!$B$130</f>
        <v>75.21428571</v>
      </c>
      <c r="M1848" s="274">
        <f>'Resumen Capacidad'!$B$130</f>
        <v>75.21428571</v>
      </c>
      <c r="N1848" s="274">
        <f>'Resumen Capacidad'!$B$130</f>
        <v>75.21428571</v>
      </c>
      <c r="O1848" s="5"/>
      <c r="P1848" s="5"/>
      <c r="Q1848" s="5"/>
      <c r="R1848" s="5"/>
      <c r="S1848" s="5"/>
      <c r="T1848" s="5"/>
      <c r="U1848" s="5"/>
      <c r="V1848" s="5"/>
      <c r="W1848" s="5"/>
      <c r="X1848" s="5"/>
      <c r="Y1848" s="5"/>
      <c r="Z1848" s="5"/>
    </row>
    <row r="1849" ht="12.0" customHeight="1">
      <c r="A1849" s="186" t="s">
        <v>640</v>
      </c>
      <c r="B1849" s="4"/>
      <c r="C1849" s="148">
        <f>'Resumen Capacidad'!$B$48*'Resumen Capacidad'!$B$84</f>
        <v>1</v>
      </c>
      <c r="D1849" s="148">
        <f>'Resumen Capacidad'!$B$48*'Resumen Capacidad'!$B$84</f>
        <v>1</v>
      </c>
      <c r="E1849" s="148">
        <f>'Resumen Capacidad'!$B$48*'Resumen Capacidad'!$B$84</f>
        <v>1</v>
      </c>
      <c r="F1849" s="148">
        <f>'Resumen Capacidad'!$B$48*'Resumen Capacidad'!$B$84</f>
        <v>1</v>
      </c>
      <c r="G1849" s="148">
        <f>'Resumen Capacidad'!$B$48*'Resumen Capacidad'!$B$84</f>
        <v>1</v>
      </c>
      <c r="H1849" s="148">
        <f>'Resumen Capacidad'!$B$48*'Resumen Capacidad'!$B$84</f>
        <v>1</v>
      </c>
      <c r="I1849" s="148">
        <f>'Resumen Capacidad'!$B$48*'Resumen Capacidad'!$B$84</f>
        <v>1</v>
      </c>
      <c r="J1849" s="148">
        <f>'Resumen Capacidad'!$B$48*'Resumen Capacidad'!$B$84</f>
        <v>1</v>
      </c>
      <c r="K1849" s="148">
        <f>'Resumen Capacidad'!$B$48*'Resumen Capacidad'!$B$84</f>
        <v>1</v>
      </c>
      <c r="L1849" s="148">
        <f>'Resumen Capacidad'!$B$48*'Resumen Capacidad'!$B$84</f>
        <v>1</v>
      </c>
      <c r="M1849" s="148">
        <f>'Resumen Capacidad'!$B$48*'Resumen Capacidad'!$B$84</f>
        <v>1</v>
      </c>
      <c r="N1849" s="148">
        <f>'Resumen Capacidad'!$B$48*'Resumen Capacidad'!$B$84</f>
        <v>1</v>
      </c>
      <c r="O1849" s="5"/>
      <c r="P1849" s="5"/>
      <c r="Q1849" s="5"/>
      <c r="R1849" s="5"/>
      <c r="S1849" s="5"/>
      <c r="T1849" s="5"/>
      <c r="U1849" s="5"/>
      <c r="V1849" s="5"/>
      <c r="W1849" s="5"/>
      <c r="X1849" s="5"/>
      <c r="Y1849" s="5"/>
      <c r="Z1849" s="5"/>
    </row>
    <row r="1850" ht="12.0" customHeight="1">
      <c r="A1850" s="186" t="s">
        <v>642</v>
      </c>
      <c r="B1850" s="4"/>
      <c r="C1850" s="184">
        <f t="shared" ref="C1850:N1850" si="545">C1848*C1849</f>
        <v>75.21428571</v>
      </c>
      <c r="D1850" s="184">
        <f t="shared" si="545"/>
        <v>75.21428571</v>
      </c>
      <c r="E1850" s="184">
        <f t="shared" si="545"/>
        <v>75.21428571</v>
      </c>
      <c r="F1850" s="184">
        <f t="shared" si="545"/>
        <v>75.21428571</v>
      </c>
      <c r="G1850" s="184">
        <f t="shared" si="545"/>
        <v>75.21428571</v>
      </c>
      <c r="H1850" s="184">
        <f t="shared" si="545"/>
        <v>75.21428571</v>
      </c>
      <c r="I1850" s="184">
        <f t="shared" si="545"/>
        <v>75.21428571</v>
      </c>
      <c r="J1850" s="184">
        <f t="shared" si="545"/>
        <v>75.21428571</v>
      </c>
      <c r="K1850" s="184">
        <f t="shared" si="545"/>
        <v>75.21428571</v>
      </c>
      <c r="L1850" s="184">
        <f t="shared" si="545"/>
        <v>75.21428571</v>
      </c>
      <c r="M1850" s="184">
        <f t="shared" si="545"/>
        <v>75.21428571</v>
      </c>
      <c r="N1850" s="184">
        <f t="shared" si="545"/>
        <v>75.21428571</v>
      </c>
      <c r="O1850" s="5"/>
      <c r="P1850" s="5"/>
      <c r="Q1850" s="5"/>
      <c r="R1850" s="5"/>
      <c r="S1850" s="5"/>
      <c r="T1850" s="5"/>
      <c r="U1850" s="5"/>
      <c r="V1850" s="5"/>
      <c r="W1850" s="5"/>
      <c r="X1850" s="5"/>
      <c r="Y1850" s="5"/>
      <c r="Z1850" s="5"/>
    </row>
    <row r="1851" ht="12.0" customHeight="1">
      <c r="A1851" s="186" t="s">
        <v>643</v>
      </c>
      <c r="B1851" s="4"/>
      <c r="C1851" s="148">
        <f t="shared" ref="C1851:N1851" si="546">IF(C1850=0,0,C1847/C1850)</f>
        <v>0.04444900285</v>
      </c>
      <c r="D1851" s="148">
        <f t="shared" si="546"/>
        <v>0.03333675214</v>
      </c>
      <c r="E1851" s="148">
        <f t="shared" si="546"/>
        <v>0.02963266857</v>
      </c>
      <c r="F1851" s="148">
        <f t="shared" si="546"/>
        <v>0.02778062678</v>
      </c>
      <c r="G1851" s="148">
        <f t="shared" si="546"/>
        <v>0.025928585</v>
      </c>
      <c r="H1851" s="148">
        <f t="shared" si="546"/>
        <v>0.025928585</v>
      </c>
      <c r="I1851" s="148">
        <f t="shared" si="546"/>
        <v>0.02778062678</v>
      </c>
      <c r="J1851" s="148">
        <f t="shared" si="546"/>
        <v>0.02778062678</v>
      </c>
      <c r="K1851" s="148">
        <f t="shared" si="546"/>
        <v>0.02778062678</v>
      </c>
      <c r="L1851" s="148">
        <f t="shared" si="546"/>
        <v>0.02778062678</v>
      </c>
      <c r="M1851" s="148">
        <f t="shared" si="546"/>
        <v>0.02778062678</v>
      </c>
      <c r="N1851" s="148">
        <f t="shared" si="546"/>
        <v>0.04444900285</v>
      </c>
      <c r="O1851" s="5"/>
      <c r="P1851" s="5"/>
      <c r="Q1851" s="5"/>
      <c r="R1851" s="5"/>
      <c r="S1851" s="5"/>
      <c r="T1851" s="5"/>
      <c r="U1851" s="5"/>
      <c r="V1851" s="5"/>
      <c r="W1851" s="5"/>
      <c r="X1851" s="5"/>
      <c r="Y1851" s="5"/>
      <c r="Z1851" s="5"/>
    </row>
    <row r="1852" ht="12.0" customHeight="1">
      <c r="A1852" s="11"/>
      <c r="B1852" s="11"/>
      <c r="C1852" s="285"/>
      <c r="D1852" s="285"/>
      <c r="E1852" s="285"/>
      <c r="F1852" s="285"/>
      <c r="G1852" s="285"/>
      <c r="H1852" s="285"/>
      <c r="I1852" s="285"/>
      <c r="J1852" s="285"/>
      <c r="K1852" s="285"/>
      <c r="L1852" s="285"/>
      <c r="M1852" s="285"/>
      <c r="N1852" s="285"/>
      <c r="O1852" s="5"/>
      <c r="P1852" s="5"/>
      <c r="Q1852" s="5"/>
      <c r="R1852" s="5"/>
      <c r="S1852" s="5"/>
      <c r="T1852" s="5"/>
      <c r="U1852" s="5"/>
      <c r="V1852" s="5"/>
      <c r="W1852" s="5"/>
      <c r="X1852" s="5"/>
      <c r="Y1852" s="5"/>
      <c r="Z1852" s="5"/>
    </row>
    <row r="1853" ht="12.0" customHeight="1">
      <c r="A1853" s="284" t="s">
        <v>1624</v>
      </c>
      <c r="B1853" s="11"/>
      <c r="C1853" s="285"/>
      <c r="D1853" s="285"/>
      <c r="E1853" s="285"/>
      <c r="F1853" s="285"/>
      <c r="G1853" s="285"/>
      <c r="H1853" s="285"/>
      <c r="I1853" s="285"/>
      <c r="J1853" s="285"/>
      <c r="K1853" s="285"/>
      <c r="L1853" s="285"/>
      <c r="M1853" s="285"/>
      <c r="N1853" s="285"/>
      <c r="O1853" s="5"/>
      <c r="P1853" s="5"/>
      <c r="Q1853" s="5"/>
      <c r="R1853" s="5"/>
      <c r="S1853" s="5"/>
      <c r="T1853" s="5"/>
      <c r="U1853" s="5"/>
      <c r="V1853" s="5"/>
      <c r="W1853" s="5"/>
      <c r="X1853" s="5"/>
      <c r="Y1853" s="5"/>
      <c r="Z1853" s="5"/>
    </row>
    <row r="1854" ht="12.0" customHeight="1">
      <c r="A1854" s="177" t="s">
        <v>1620</v>
      </c>
      <c r="B1854" s="178"/>
      <c r="C1854" s="178"/>
      <c r="D1854" s="178"/>
      <c r="E1854" s="178"/>
      <c r="F1854" s="178"/>
      <c r="G1854" s="178"/>
      <c r="H1854" s="178"/>
      <c r="I1854" s="178"/>
      <c r="J1854" s="178"/>
      <c r="K1854" s="178"/>
      <c r="L1854" s="178"/>
      <c r="M1854" s="178"/>
      <c r="N1854" s="179"/>
      <c r="O1854" s="5"/>
      <c r="P1854" s="5"/>
      <c r="Q1854" s="5"/>
      <c r="R1854" s="5"/>
      <c r="S1854" s="5"/>
      <c r="T1854" s="5"/>
      <c r="U1854" s="5"/>
      <c r="V1854" s="5"/>
      <c r="W1854" s="5"/>
      <c r="X1854" s="5"/>
      <c r="Y1854" s="5"/>
      <c r="Z1854" s="5"/>
    </row>
    <row r="1855" ht="12.0" customHeight="1">
      <c r="A1855" s="180" t="s">
        <v>630</v>
      </c>
      <c r="B1855" s="180" t="s">
        <v>631</v>
      </c>
      <c r="C1855" s="286" t="s">
        <v>3</v>
      </c>
      <c r="D1855" s="286" t="s">
        <v>4</v>
      </c>
      <c r="E1855" s="286" t="s">
        <v>5</v>
      </c>
      <c r="F1855" s="286" t="s">
        <v>6</v>
      </c>
      <c r="G1855" s="286" t="s">
        <v>7</v>
      </c>
      <c r="H1855" s="286" t="s">
        <v>8</v>
      </c>
      <c r="I1855" s="286" t="s">
        <v>9</v>
      </c>
      <c r="J1855" s="286" t="s">
        <v>10</v>
      </c>
      <c r="K1855" s="286" t="s">
        <v>11</v>
      </c>
      <c r="L1855" s="286" t="s">
        <v>12</v>
      </c>
      <c r="M1855" s="286" t="s">
        <v>13</v>
      </c>
      <c r="N1855" s="286" t="s">
        <v>14</v>
      </c>
      <c r="O1855" s="5"/>
      <c r="P1855" s="5"/>
      <c r="Q1855" s="5"/>
      <c r="R1855" s="5"/>
      <c r="S1855" s="5"/>
      <c r="T1855" s="5"/>
      <c r="U1855" s="5"/>
      <c r="V1855" s="5"/>
      <c r="W1855" s="5"/>
      <c r="X1855" s="5"/>
      <c r="Y1855" s="5"/>
      <c r="Z1855" s="5"/>
    </row>
    <row r="1856" ht="12.0" customHeight="1">
      <c r="A1856" s="181" t="s">
        <v>1621</v>
      </c>
      <c r="B1856" s="125" t="s">
        <v>633</v>
      </c>
      <c r="C1856" s="182">
        <f>(SUM('2027'!B6:B9)+SUM('2027'!B17:B20))*0.05</f>
        <v>59.647</v>
      </c>
      <c r="D1856" s="182">
        <f>(SUM('2027'!C6:C9)+SUM('2027'!C17:C20))*0.05</f>
        <v>45.9185</v>
      </c>
      <c r="E1856" s="182">
        <f>(SUM('2027'!D6:D9)+SUM('2027'!D17:D20))*0.05</f>
        <v>44.10325</v>
      </c>
      <c r="F1856" s="182">
        <f>(SUM('2027'!E6:E9)+SUM('2027'!E17:E20))*0.05</f>
        <v>42.604</v>
      </c>
      <c r="G1856" s="182">
        <f>(SUM('2027'!F6:F9)+SUM('2027'!F17:F20))*0.05</f>
        <v>39.9215</v>
      </c>
      <c r="H1856" s="182">
        <f>(SUM('2027'!G6:G9)+SUM('2027'!G17:G20))*0.05</f>
        <v>38.73825</v>
      </c>
      <c r="I1856" s="182">
        <f>(SUM('2027'!H6:H9)+SUM('2027'!H17:H20))*0.05</f>
        <v>41.42075</v>
      </c>
      <c r="J1856" s="182">
        <f>(SUM('2027'!I6:I9)+SUM('2027'!I17:I20))*0.05</f>
        <v>41.42075</v>
      </c>
      <c r="K1856" s="182">
        <f>(SUM('2027'!J6:J9)+SUM('2027'!J17:J20))*0.05</f>
        <v>41.42075</v>
      </c>
      <c r="L1856" s="182">
        <f>(SUM('2027'!K6:K9)+SUM('2027'!K17:K20))*0.05</f>
        <v>40.2375</v>
      </c>
      <c r="M1856" s="182">
        <f>(SUM('2027'!L6:L9)+SUM('2027'!L17:L20))*0.05</f>
        <v>39.05425</v>
      </c>
      <c r="N1856" s="182">
        <f>(SUM('2027'!M6:M9)+SUM('2027'!M17:M20))*0.05</f>
        <v>62.0135</v>
      </c>
      <c r="O1856" s="5"/>
      <c r="P1856" s="5"/>
      <c r="Q1856" s="5"/>
      <c r="R1856" s="5"/>
      <c r="S1856" s="5"/>
      <c r="T1856" s="5"/>
      <c r="U1856" s="5"/>
      <c r="V1856" s="5"/>
      <c r="W1856" s="5"/>
      <c r="X1856" s="5"/>
      <c r="Y1856" s="5"/>
      <c r="Z1856" s="5"/>
    </row>
    <row r="1857" ht="12.0" customHeight="1">
      <c r="A1857" s="183"/>
      <c r="B1857" s="125" t="s">
        <v>634</v>
      </c>
      <c r="C1857" s="184">
        <f>C1856/Parametros!$B$37</f>
        <v>2.98235</v>
      </c>
      <c r="D1857" s="184">
        <f>D1856/Parametros!$B$37</f>
        <v>2.295925</v>
      </c>
      <c r="E1857" s="184">
        <f>E1856/Parametros!$B$37</f>
        <v>2.2051625</v>
      </c>
      <c r="F1857" s="184">
        <f>F1856/Parametros!$B$37</f>
        <v>2.1302</v>
      </c>
      <c r="G1857" s="184">
        <f>G1856/Parametros!$B$37</f>
        <v>1.996075</v>
      </c>
      <c r="H1857" s="184">
        <f>H1856/Parametros!$B$37</f>
        <v>1.9369125</v>
      </c>
      <c r="I1857" s="184">
        <f>I1856/Parametros!$B$37</f>
        <v>2.0710375</v>
      </c>
      <c r="J1857" s="184">
        <f>J1856/Parametros!$B$37</f>
        <v>2.0710375</v>
      </c>
      <c r="K1857" s="184">
        <f>K1856/Parametros!$B$37</f>
        <v>2.0710375</v>
      </c>
      <c r="L1857" s="184">
        <f>L1856/Parametros!$B$37</f>
        <v>2.011875</v>
      </c>
      <c r="M1857" s="184">
        <f>M1856/Parametros!$B$37</f>
        <v>1.9527125</v>
      </c>
      <c r="N1857" s="184">
        <f>N1856/Parametros!$B$37</f>
        <v>3.100675</v>
      </c>
      <c r="O1857" s="5"/>
      <c r="P1857" s="5"/>
      <c r="Q1857" s="5"/>
      <c r="R1857" s="5"/>
      <c r="S1857" s="5"/>
      <c r="T1857" s="5"/>
      <c r="U1857" s="5"/>
      <c r="V1857" s="5"/>
      <c r="W1857" s="5"/>
      <c r="X1857" s="5"/>
      <c r="Y1857" s="5"/>
      <c r="Z1857" s="5"/>
    </row>
    <row r="1858" ht="12.0" customHeight="1">
      <c r="A1858" s="185"/>
      <c r="B1858" s="125" t="s">
        <v>635</v>
      </c>
      <c r="C1858" s="184">
        <f>C1857/Parametros!$J$37</f>
        <v>0.3976466667</v>
      </c>
      <c r="D1858" s="184">
        <f>D1857/Parametros!$J$37</f>
        <v>0.3061233333</v>
      </c>
      <c r="E1858" s="184">
        <f>E1857/Parametros!$J$37</f>
        <v>0.2940216667</v>
      </c>
      <c r="F1858" s="184">
        <f>F1857/Parametros!$J$37</f>
        <v>0.2840266667</v>
      </c>
      <c r="G1858" s="184">
        <f>G1857/Parametros!$J$37</f>
        <v>0.2661433333</v>
      </c>
      <c r="H1858" s="184">
        <f>H1857/Parametros!$J$37</f>
        <v>0.258255</v>
      </c>
      <c r="I1858" s="184">
        <f>I1857/Parametros!$J$37</f>
        <v>0.2761383333</v>
      </c>
      <c r="J1858" s="184">
        <f>J1857/Parametros!$J$37</f>
        <v>0.2761383333</v>
      </c>
      <c r="K1858" s="184">
        <f>K1857/Parametros!$J$37</f>
        <v>0.2761383333</v>
      </c>
      <c r="L1858" s="184">
        <f>L1857/Parametros!$J$37</f>
        <v>0.26825</v>
      </c>
      <c r="M1858" s="184">
        <f>M1857/Parametros!$J$37</f>
        <v>0.2603616667</v>
      </c>
      <c r="N1858" s="184">
        <f>N1857/Parametros!$J$37</f>
        <v>0.4134233333</v>
      </c>
      <c r="O1858" s="5"/>
      <c r="P1858" s="5"/>
      <c r="Q1858" s="5"/>
      <c r="R1858" s="5"/>
      <c r="S1858" s="5"/>
      <c r="T1858" s="5"/>
      <c r="U1858" s="5"/>
      <c r="V1858" s="5"/>
      <c r="W1858" s="5"/>
      <c r="X1858" s="5"/>
      <c r="Y1858" s="5"/>
      <c r="Z1858" s="5"/>
    </row>
    <row r="1859" ht="12.0" customHeight="1">
      <c r="A1859" s="186" t="s">
        <v>636</v>
      </c>
      <c r="B1859" s="4"/>
      <c r="C1859" s="184">
        <f t="shared" ref="C1859:N1859" si="547">C1858</f>
        <v>0.3976466667</v>
      </c>
      <c r="D1859" s="184">
        <f t="shared" si="547"/>
        <v>0.3061233333</v>
      </c>
      <c r="E1859" s="184">
        <f t="shared" si="547"/>
        <v>0.2940216667</v>
      </c>
      <c r="F1859" s="184">
        <f t="shared" si="547"/>
        <v>0.2840266667</v>
      </c>
      <c r="G1859" s="184">
        <f t="shared" si="547"/>
        <v>0.2661433333</v>
      </c>
      <c r="H1859" s="184">
        <f t="shared" si="547"/>
        <v>0.258255</v>
      </c>
      <c r="I1859" s="184">
        <f t="shared" si="547"/>
        <v>0.2761383333</v>
      </c>
      <c r="J1859" s="184">
        <f t="shared" si="547"/>
        <v>0.2761383333</v>
      </c>
      <c r="K1859" s="184">
        <f t="shared" si="547"/>
        <v>0.2761383333</v>
      </c>
      <c r="L1859" s="184">
        <f t="shared" si="547"/>
        <v>0.26825</v>
      </c>
      <c r="M1859" s="184">
        <f t="shared" si="547"/>
        <v>0.2603616667</v>
      </c>
      <c r="N1859" s="184">
        <f t="shared" si="547"/>
        <v>0.4134233333</v>
      </c>
      <c r="O1859" s="5"/>
      <c r="P1859" s="5"/>
      <c r="Q1859" s="5"/>
      <c r="R1859" s="5"/>
      <c r="S1859" s="5"/>
      <c r="T1859" s="5"/>
      <c r="U1859" s="5"/>
      <c r="V1859" s="5"/>
      <c r="W1859" s="5"/>
      <c r="X1859" s="5"/>
      <c r="Y1859" s="5"/>
      <c r="Z1859" s="5"/>
    </row>
    <row r="1860" ht="12.0" customHeight="1">
      <c r="A1860" s="186" t="s">
        <v>637</v>
      </c>
      <c r="B1860" s="4"/>
      <c r="C1860" s="274">
        <f>'Resumen Capacidad'!$C$123</f>
        <v>20.51162791</v>
      </c>
      <c r="D1860" s="274">
        <f>'Resumen Capacidad'!$C$123</f>
        <v>20.51162791</v>
      </c>
      <c r="E1860" s="274">
        <f>'Resumen Capacidad'!$C$123</f>
        <v>20.51162791</v>
      </c>
      <c r="F1860" s="274">
        <f>'Resumen Capacidad'!$C$123</f>
        <v>20.51162791</v>
      </c>
      <c r="G1860" s="274">
        <f>'Resumen Capacidad'!$C$123</f>
        <v>20.51162791</v>
      </c>
      <c r="H1860" s="274">
        <f>'Resumen Capacidad'!$C$123</f>
        <v>20.51162791</v>
      </c>
      <c r="I1860" s="274">
        <f>'Resumen Capacidad'!$C$123</f>
        <v>20.51162791</v>
      </c>
      <c r="J1860" s="274">
        <f>'Resumen Capacidad'!$C$123</f>
        <v>20.51162791</v>
      </c>
      <c r="K1860" s="274">
        <f>'Resumen Capacidad'!$C$123</f>
        <v>20.51162791</v>
      </c>
      <c r="L1860" s="274">
        <f>'Resumen Capacidad'!$C$123</f>
        <v>20.51162791</v>
      </c>
      <c r="M1860" s="274">
        <f>'Resumen Capacidad'!$C$123</f>
        <v>20.51162791</v>
      </c>
      <c r="N1860" s="274">
        <f>'Resumen Capacidad'!$C$123</f>
        <v>20.51162791</v>
      </c>
      <c r="O1860" s="5"/>
      <c r="P1860" s="5"/>
      <c r="Q1860" s="5"/>
      <c r="R1860" s="5"/>
      <c r="S1860" s="5"/>
      <c r="T1860" s="5"/>
      <c r="U1860" s="5"/>
      <c r="V1860" s="5"/>
      <c r="W1860" s="5"/>
      <c r="X1860" s="5"/>
      <c r="Y1860" s="5"/>
      <c r="Z1860" s="5"/>
    </row>
    <row r="1861" ht="12.0" customHeight="1">
      <c r="A1861" s="186" t="s">
        <v>640</v>
      </c>
      <c r="B1861" s="4"/>
      <c r="C1861" s="148">
        <f>'Resumen Capacidad'!$C$41*'Resumen Capacidad'!$C$77</f>
        <v>1</v>
      </c>
      <c r="D1861" s="148">
        <f>'Resumen Capacidad'!$C$41*'Resumen Capacidad'!$C$77</f>
        <v>1</v>
      </c>
      <c r="E1861" s="148">
        <f>'Resumen Capacidad'!$C$41*'Resumen Capacidad'!$C$77</f>
        <v>1</v>
      </c>
      <c r="F1861" s="148">
        <f>'Resumen Capacidad'!$C$41*'Resumen Capacidad'!$C$77</f>
        <v>1</v>
      </c>
      <c r="G1861" s="148">
        <f>'Resumen Capacidad'!$C$41*'Resumen Capacidad'!$C$77</f>
        <v>1</v>
      </c>
      <c r="H1861" s="148">
        <f>'Resumen Capacidad'!$C$41*'Resumen Capacidad'!$C$77</f>
        <v>1</v>
      </c>
      <c r="I1861" s="148">
        <f>'Resumen Capacidad'!$C$41*'Resumen Capacidad'!$C$77</f>
        <v>1</v>
      </c>
      <c r="J1861" s="148">
        <f>'Resumen Capacidad'!$C$41*'Resumen Capacidad'!$C$77</f>
        <v>1</v>
      </c>
      <c r="K1861" s="148">
        <f>'Resumen Capacidad'!$C$41*'Resumen Capacidad'!$C$77</f>
        <v>1</v>
      </c>
      <c r="L1861" s="148">
        <f>'Resumen Capacidad'!$C$41*'Resumen Capacidad'!$C$77</f>
        <v>1</v>
      </c>
      <c r="M1861" s="148">
        <f>'Resumen Capacidad'!$C$41*'Resumen Capacidad'!$C$77</f>
        <v>1</v>
      </c>
      <c r="N1861" s="148">
        <f>'Resumen Capacidad'!$C$41*'Resumen Capacidad'!$C$77</f>
        <v>1</v>
      </c>
      <c r="O1861" s="5"/>
      <c r="P1861" s="5"/>
      <c r="Q1861" s="5"/>
      <c r="R1861" s="5"/>
      <c r="S1861" s="5"/>
      <c r="T1861" s="5"/>
      <c r="U1861" s="5"/>
      <c r="V1861" s="5"/>
      <c r="W1861" s="5"/>
      <c r="X1861" s="5"/>
      <c r="Y1861" s="5"/>
      <c r="Z1861" s="5"/>
    </row>
    <row r="1862" ht="12.0" customHeight="1">
      <c r="A1862" s="186" t="s">
        <v>642</v>
      </c>
      <c r="B1862" s="4"/>
      <c r="C1862" s="184">
        <f t="shared" ref="C1862:N1862" si="548">C1860*C1861</f>
        <v>20.51162791</v>
      </c>
      <c r="D1862" s="184">
        <f t="shared" si="548"/>
        <v>20.51162791</v>
      </c>
      <c r="E1862" s="184">
        <f t="shared" si="548"/>
        <v>20.51162791</v>
      </c>
      <c r="F1862" s="184">
        <f t="shared" si="548"/>
        <v>20.51162791</v>
      </c>
      <c r="G1862" s="184">
        <f t="shared" si="548"/>
        <v>20.51162791</v>
      </c>
      <c r="H1862" s="184">
        <f t="shared" si="548"/>
        <v>20.51162791</v>
      </c>
      <c r="I1862" s="184">
        <f t="shared" si="548"/>
        <v>20.51162791</v>
      </c>
      <c r="J1862" s="184">
        <f t="shared" si="548"/>
        <v>20.51162791</v>
      </c>
      <c r="K1862" s="184">
        <f t="shared" si="548"/>
        <v>20.51162791</v>
      </c>
      <c r="L1862" s="184">
        <f t="shared" si="548"/>
        <v>20.51162791</v>
      </c>
      <c r="M1862" s="184">
        <f t="shared" si="548"/>
        <v>20.51162791</v>
      </c>
      <c r="N1862" s="184">
        <f t="shared" si="548"/>
        <v>20.51162791</v>
      </c>
      <c r="O1862" s="5"/>
      <c r="P1862" s="5"/>
      <c r="Q1862" s="5"/>
      <c r="R1862" s="5"/>
      <c r="S1862" s="5"/>
      <c r="T1862" s="5"/>
      <c r="U1862" s="5"/>
      <c r="V1862" s="5"/>
      <c r="W1862" s="5"/>
      <c r="X1862" s="5"/>
      <c r="Y1862" s="5"/>
      <c r="Z1862" s="5"/>
    </row>
    <row r="1863" ht="12.0" customHeight="1">
      <c r="A1863" s="186" t="s">
        <v>643</v>
      </c>
      <c r="B1863" s="4"/>
      <c r="C1863" s="148">
        <f t="shared" ref="C1863:N1863" si="549">IF(C1862=0,0,C1859/C1862)</f>
        <v>0.01938640212</v>
      </c>
      <c r="D1863" s="148">
        <f t="shared" si="549"/>
        <v>0.0149243802</v>
      </c>
      <c r="E1863" s="148">
        <f t="shared" si="549"/>
        <v>0.01433438964</v>
      </c>
      <c r="F1863" s="148">
        <f t="shared" si="549"/>
        <v>0.01384710506</v>
      </c>
      <c r="G1863" s="148">
        <f t="shared" si="549"/>
        <v>0.01297524187</v>
      </c>
      <c r="H1863" s="148">
        <f t="shared" si="549"/>
        <v>0.01259066327</v>
      </c>
      <c r="I1863" s="148">
        <f t="shared" si="549"/>
        <v>0.01346252646</v>
      </c>
      <c r="J1863" s="148">
        <f t="shared" si="549"/>
        <v>0.01346252646</v>
      </c>
      <c r="K1863" s="148">
        <f t="shared" si="549"/>
        <v>0.01346252646</v>
      </c>
      <c r="L1863" s="148">
        <f t="shared" si="549"/>
        <v>0.01307794785</v>
      </c>
      <c r="M1863" s="148">
        <f t="shared" si="549"/>
        <v>0.01269336924</v>
      </c>
      <c r="N1863" s="148">
        <f t="shared" si="549"/>
        <v>0.02015555933</v>
      </c>
      <c r="O1863" s="5"/>
      <c r="P1863" s="5"/>
      <c r="Q1863" s="5"/>
      <c r="R1863" s="5"/>
      <c r="S1863" s="5"/>
      <c r="T1863" s="5"/>
      <c r="U1863" s="5"/>
      <c r="V1863" s="5"/>
      <c r="W1863" s="5"/>
      <c r="X1863" s="5"/>
      <c r="Y1863" s="5"/>
      <c r="Z1863" s="5"/>
    </row>
    <row r="1864" ht="12.0" customHeight="1">
      <c r="A1864" s="177" t="s">
        <v>1622</v>
      </c>
      <c r="B1864" s="178"/>
      <c r="C1864" s="178"/>
      <c r="D1864" s="178"/>
      <c r="E1864" s="178"/>
      <c r="F1864" s="178"/>
      <c r="G1864" s="178"/>
      <c r="H1864" s="178"/>
      <c r="I1864" s="178"/>
      <c r="J1864" s="178"/>
      <c r="K1864" s="178"/>
      <c r="L1864" s="178"/>
      <c r="M1864" s="178"/>
      <c r="N1864" s="179"/>
      <c r="O1864" s="5"/>
      <c r="P1864" s="5"/>
      <c r="Q1864" s="5"/>
      <c r="R1864" s="5"/>
      <c r="S1864" s="5"/>
      <c r="T1864" s="5"/>
      <c r="U1864" s="5"/>
      <c r="V1864" s="5"/>
      <c r="W1864" s="5"/>
      <c r="X1864" s="5"/>
      <c r="Y1864" s="5"/>
      <c r="Z1864" s="5"/>
    </row>
    <row r="1865" ht="12.0" customHeight="1">
      <c r="A1865" s="180" t="s">
        <v>630</v>
      </c>
      <c r="B1865" s="180" t="s">
        <v>631</v>
      </c>
      <c r="C1865" s="286" t="s">
        <v>3</v>
      </c>
      <c r="D1865" s="286" t="s">
        <v>4</v>
      </c>
      <c r="E1865" s="286" t="s">
        <v>5</v>
      </c>
      <c r="F1865" s="286" t="s">
        <v>6</v>
      </c>
      <c r="G1865" s="286" t="s">
        <v>7</v>
      </c>
      <c r="H1865" s="286" t="s">
        <v>8</v>
      </c>
      <c r="I1865" s="286" t="s">
        <v>9</v>
      </c>
      <c r="J1865" s="286" t="s">
        <v>10</v>
      </c>
      <c r="K1865" s="286" t="s">
        <v>11</v>
      </c>
      <c r="L1865" s="286" t="s">
        <v>12</v>
      </c>
      <c r="M1865" s="286" t="s">
        <v>13</v>
      </c>
      <c r="N1865" s="286" t="s">
        <v>14</v>
      </c>
      <c r="O1865" s="5"/>
      <c r="P1865" s="5"/>
      <c r="Q1865" s="5"/>
      <c r="R1865" s="5"/>
      <c r="S1865" s="5"/>
      <c r="T1865" s="5"/>
      <c r="U1865" s="5"/>
      <c r="V1865" s="5"/>
      <c r="W1865" s="5"/>
      <c r="X1865" s="5"/>
      <c r="Y1865" s="5"/>
      <c r="Z1865" s="5"/>
    </row>
    <row r="1866" ht="12.0" customHeight="1">
      <c r="A1866" s="181" t="s">
        <v>1623</v>
      </c>
      <c r="B1866" s="125" t="s">
        <v>633</v>
      </c>
      <c r="C1866" s="182">
        <f>'2027'!B6+'2027'!B17</f>
        <v>719.64</v>
      </c>
      <c r="D1866" s="182">
        <f>'2027'!C6+'2027'!C17</f>
        <v>539.73</v>
      </c>
      <c r="E1866" s="182">
        <f>'2027'!D6+'2027'!D17</f>
        <v>479.76</v>
      </c>
      <c r="F1866" s="182">
        <f>'2027'!E6+'2027'!E17</f>
        <v>449.775</v>
      </c>
      <c r="G1866" s="182">
        <f>'2027'!F6+'2027'!F17</f>
        <v>419.79</v>
      </c>
      <c r="H1866" s="182">
        <f>'2027'!G6+'2027'!G17</f>
        <v>419.79</v>
      </c>
      <c r="I1866" s="182">
        <f>'2027'!H6+'2027'!H17</f>
        <v>449.775</v>
      </c>
      <c r="J1866" s="182">
        <f>'2027'!I6+'2027'!I17</f>
        <v>449.775</v>
      </c>
      <c r="K1866" s="182">
        <f>'2027'!J6+'2027'!J17</f>
        <v>449.775</v>
      </c>
      <c r="L1866" s="182">
        <f>'2027'!K6+'2027'!K17</f>
        <v>449.775</v>
      </c>
      <c r="M1866" s="182">
        <f>'2027'!L6+'2027'!L17</f>
        <v>449.775</v>
      </c>
      <c r="N1866" s="182">
        <f>'2027'!M6+'2027'!M17</f>
        <v>719.64</v>
      </c>
      <c r="O1866" s="5"/>
      <c r="P1866" s="5"/>
      <c r="Q1866" s="5"/>
      <c r="R1866" s="5"/>
      <c r="S1866" s="5"/>
      <c r="T1866" s="5"/>
      <c r="U1866" s="5"/>
      <c r="V1866" s="5"/>
      <c r="W1866" s="5"/>
      <c r="X1866" s="5"/>
      <c r="Y1866" s="5"/>
      <c r="Z1866" s="5"/>
    </row>
    <row r="1867" ht="12.0" customHeight="1">
      <c r="A1867" s="183"/>
      <c r="B1867" s="125" t="s">
        <v>634</v>
      </c>
      <c r="C1867" s="184">
        <f>C1866/Parametros!$B$37</f>
        <v>35.982</v>
      </c>
      <c r="D1867" s="184">
        <f>D1866/Parametros!$B$37</f>
        <v>26.9865</v>
      </c>
      <c r="E1867" s="184">
        <f>E1866/Parametros!$B$37</f>
        <v>23.988</v>
      </c>
      <c r="F1867" s="184">
        <f>F1866/Parametros!$B$37</f>
        <v>22.48875</v>
      </c>
      <c r="G1867" s="184">
        <f>G1866/Parametros!$B$37</f>
        <v>20.9895</v>
      </c>
      <c r="H1867" s="184">
        <f>H1866/Parametros!$B$37</f>
        <v>20.9895</v>
      </c>
      <c r="I1867" s="184">
        <f>I1866/Parametros!$B$37</f>
        <v>22.48875</v>
      </c>
      <c r="J1867" s="184">
        <f>J1866/Parametros!$B$37</f>
        <v>22.48875</v>
      </c>
      <c r="K1867" s="184">
        <f>K1866/Parametros!$B$37</f>
        <v>22.48875</v>
      </c>
      <c r="L1867" s="184">
        <f>L1866/Parametros!$B$37</f>
        <v>22.48875</v>
      </c>
      <c r="M1867" s="184">
        <f>M1866/Parametros!$B$37</f>
        <v>22.48875</v>
      </c>
      <c r="N1867" s="184">
        <f>N1866/Parametros!$B$37</f>
        <v>35.982</v>
      </c>
      <c r="O1867" s="5"/>
      <c r="P1867" s="5"/>
      <c r="Q1867" s="5"/>
      <c r="R1867" s="5"/>
      <c r="S1867" s="5"/>
      <c r="T1867" s="5"/>
      <c r="U1867" s="5"/>
      <c r="V1867" s="5"/>
      <c r="W1867" s="5"/>
      <c r="X1867" s="5"/>
      <c r="Y1867" s="5"/>
      <c r="Z1867" s="5"/>
    </row>
    <row r="1868" ht="12.0" customHeight="1">
      <c r="A1868" s="185"/>
      <c r="B1868" s="125" t="s">
        <v>635</v>
      </c>
      <c r="C1868" s="184">
        <f>C1867/Parametros!$J$37</f>
        <v>4.7976</v>
      </c>
      <c r="D1868" s="184">
        <f>D1867/Parametros!$J$37</f>
        <v>3.5982</v>
      </c>
      <c r="E1868" s="184">
        <f>E1867/Parametros!$J$37</f>
        <v>3.1984</v>
      </c>
      <c r="F1868" s="184">
        <f>F1867/Parametros!$J$37</f>
        <v>2.9985</v>
      </c>
      <c r="G1868" s="184">
        <f>G1867/Parametros!$J$37</f>
        <v>2.7986</v>
      </c>
      <c r="H1868" s="184">
        <f>H1867/Parametros!$J$37</f>
        <v>2.7986</v>
      </c>
      <c r="I1868" s="184">
        <f>I1867/Parametros!$J$37</f>
        <v>2.9985</v>
      </c>
      <c r="J1868" s="184">
        <f>J1867/Parametros!$J$37</f>
        <v>2.9985</v>
      </c>
      <c r="K1868" s="184">
        <f>K1867/Parametros!$J$37</f>
        <v>2.9985</v>
      </c>
      <c r="L1868" s="184">
        <f>L1867/Parametros!$J$37</f>
        <v>2.9985</v>
      </c>
      <c r="M1868" s="184">
        <f>M1867/Parametros!$J$37</f>
        <v>2.9985</v>
      </c>
      <c r="N1868" s="184">
        <f>N1867/Parametros!$J$37</f>
        <v>4.7976</v>
      </c>
      <c r="O1868" s="5"/>
      <c r="P1868" s="5"/>
      <c r="Q1868" s="5"/>
      <c r="R1868" s="5"/>
      <c r="S1868" s="5"/>
      <c r="T1868" s="5"/>
      <c r="U1868" s="5"/>
      <c r="V1868" s="5"/>
      <c r="W1868" s="5"/>
      <c r="X1868" s="5"/>
      <c r="Y1868" s="5"/>
      <c r="Z1868" s="5"/>
    </row>
    <row r="1869" ht="12.0" customHeight="1">
      <c r="A1869" s="186" t="s">
        <v>636</v>
      </c>
      <c r="B1869" s="4"/>
      <c r="C1869" s="184">
        <f t="shared" ref="C1869:N1869" si="550">C1868</f>
        <v>4.7976</v>
      </c>
      <c r="D1869" s="184">
        <f t="shared" si="550"/>
        <v>3.5982</v>
      </c>
      <c r="E1869" s="184">
        <f t="shared" si="550"/>
        <v>3.1984</v>
      </c>
      <c r="F1869" s="184">
        <f t="shared" si="550"/>
        <v>2.9985</v>
      </c>
      <c r="G1869" s="184">
        <f t="shared" si="550"/>
        <v>2.7986</v>
      </c>
      <c r="H1869" s="184">
        <f t="shared" si="550"/>
        <v>2.7986</v>
      </c>
      <c r="I1869" s="184">
        <f t="shared" si="550"/>
        <v>2.9985</v>
      </c>
      <c r="J1869" s="184">
        <f t="shared" si="550"/>
        <v>2.9985</v>
      </c>
      <c r="K1869" s="184">
        <f t="shared" si="550"/>
        <v>2.9985</v>
      </c>
      <c r="L1869" s="184">
        <f t="shared" si="550"/>
        <v>2.9985</v>
      </c>
      <c r="M1869" s="184">
        <f t="shared" si="550"/>
        <v>2.9985</v>
      </c>
      <c r="N1869" s="184">
        <f t="shared" si="550"/>
        <v>4.7976</v>
      </c>
      <c r="O1869" s="5"/>
      <c r="P1869" s="5"/>
      <c r="Q1869" s="5"/>
      <c r="R1869" s="5"/>
      <c r="S1869" s="5"/>
      <c r="T1869" s="5"/>
      <c r="U1869" s="5"/>
      <c r="V1869" s="5"/>
      <c r="W1869" s="5"/>
      <c r="X1869" s="5"/>
      <c r="Y1869" s="5"/>
      <c r="Z1869" s="5"/>
    </row>
    <row r="1870" ht="12.0" customHeight="1">
      <c r="A1870" s="186" t="s">
        <v>637</v>
      </c>
      <c r="B1870" s="4"/>
      <c r="C1870" s="274">
        <f>'Resumen Capacidad'!$C$130</f>
        <v>75.21428571</v>
      </c>
      <c r="D1870" s="274">
        <f>'Resumen Capacidad'!$C$130</f>
        <v>75.21428571</v>
      </c>
      <c r="E1870" s="274">
        <f>'Resumen Capacidad'!$C$130</f>
        <v>75.21428571</v>
      </c>
      <c r="F1870" s="274">
        <f>'Resumen Capacidad'!$C$130</f>
        <v>75.21428571</v>
      </c>
      <c r="G1870" s="274">
        <f>'Resumen Capacidad'!$C$130</f>
        <v>75.21428571</v>
      </c>
      <c r="H1870" s="274">
        <f>'Resumen Capacidad'!$C$130</f>
        <v>75.21428571</v>
      </c>
      <c r="I1870" s="274">
        <f>'Resumen Capacidad'!$C$130</f>
        <v>75.21428571</v>
      </c>
      <c r="J1870" s="274">
        <f>'Resumen Capacidad'!$C$130</f>
        <v>75.21428571</v>
      </c>
      <c r="K1870" s="274">
        <f>'Resumen Capacidad'!$C$130</f>
        <v>75.21428571</v>
      </c>
      <c r="L1870" s="274">
        <f>'Resumen Capacidad'!$C$130</f>
        <v>75.21428571</v>
      </c>
      <c r="M1870" s="274">
        <f>'Resumen Capacidad'!$C$130</f>
        <v>75.21428571</v>
      </c>
      <c r="N1870" s="274">
        <f>'Resumen Capacidad'!$C$130</f>
        <v>75.21428571</v>
      </c>
      <c r="O1870" s="5"/>
      <c r="P1870" s="5"/>
      <c r="Q1870" s="5"/>
      <c r="R1870" s="5"/>
      <c r="S1870" s="5"/>
      <c r="T1870" s="5"/>
      <c r="U1870" s="5"/>
      <c r="V1870" s="5"/>
      <c r="W1870" s="5"/>
      <c r="X1870" s="5"/>
      <c r="Y1870" s="5"/>
      <c r="Z1870" s="5"/>
    </row>
    <row r="1871" ht="12.0" customHeight="1">
      <c r="A1871" s="186" t="s">
        <v>640</v>
      </c>
      <c r="B1871" s="4"/>
      <c r="C1871" s="148">
        <f>'Resumen Capacidad'!$C$48*'Resumen Capacidad'!$C$84</f>
        <v>1</v>
      </c>
      <c r="D1871" s="148">
        <f>'Resumen Capacidad'!$C$48*'Resumen Capacidad'!$C$84</f>
        <v>1</v>
      </c>
      <c r="E1871" s="148">
        <f>'Resumen Capacidad'!$C$48*'Resumen Capacidad'!$C$84</f>
        <v>1</v>
      </c>
      <c r="F1871" s="148">
        <f>'Resumen Capacidad'!$C$48*'Resumen Capacidad'!$C$84</f>
        <v>1</v>
      </c>
      <c r="G1871" s="148">
        <f>'Resumen Capacidad'!$C$48*'Resumen Capacidad'!$C$84</f>
        <v>1</v>
      </c>
      <c r="H1871" s="148">
        <f>'Resumen Capacidad'!$C$48*'Resumen Capacidad'!$C$84</f>
        <v>1</v>
      </c>
      <c r="I1871" s="148">
        <f>'Resumen Capacidad'!$C$48*'Resumen Capacidad'!$C$84</f>
        <v>1</v>
      </c>
      <c r="J1871" s="148">
        <f>'Resumen Capacidad'!$C$48*'Resumen Capacidad'!$C$84</f>
        <v>1</v>
      </c>
      <c r="K1871" s="148">
        <f>'Resumen Capacidad'!$C$48*'Resumen Capacidad'!$C$84</f>
        <v>1</v>
      </c>
      <c r="L1871" s="148">
        <f>'Resumen Capacidad'!$C$48*'Resumen Capacidad'!$C$84</f>
        <v>1</v>
      </c>
      <c r="M1871" s="148">
        <f>'Resumen Capacidad'!$C$48*'Resumen Capacidad'!$C$84</f>
        <v>1</v>
      </c>
      <c r="N1871" s="148">
        <f>'Resumen Capacidad'!$C$48*'Resumen Capacidad'!$C$84</f>
        <v>1</v>
      </c>
      <c r="O1871" s="5"/>
      <c r="P1871" s="5"/>
      <c r="Q1871" s="5"/>
      <c r="R1871" s="5"/>
      <c r="S1871" s="5"/>
      <c r="T1871" s="5"/>
      <c r="U1871" s="5"/>
      <c r="V1871" s="5"/>
      <c r="W1871" s="5"/>
      <c r="X1871" s="5"/>
      <c r="Y1871" s="5"/>
      <c r="Z1871" s="5"/>
    </row>
    <row r="1872" ht="12.0" customHeight="1">
      <c r="A1872" s="186" t="s">
        <v>642</v>
      </c>
      <c r="B1872" s="4"/>
      <c r="C1872" s="184">
        <f t="shared" ref="C1872:N1872" si="551">C1870*C1871</f>
        <v>75.21428571</v>
      </c>
      <c r="D1872" s="184">
        <f t="shared" si="551"/>
        <v>75.21428571</v>
      </c>
      <c r="E1872" s="184">
        <f t="shared" si="551"/>
        <v>75.21428571</v>
      </c>
      <c r="F1872" s="184">
        <f t="shared" si="551"/>
        <v>75.21428571</v>
      </c>
      <c r="G1872" s="184">
        <f t="shared" si="551"/>
        <v>75.21428571</v>
      </c>
      <c r="H1872" s="184">
        <f t="shared" si="551"/>
        <v>75.21428571</v>
      </c>
      <c r="I1872" s="184">
        <f t="shared" si="551"/>
        <v>75.21428571</v>
      </c>
      <c r="J1872" s="184">
        <f t="shared" si="551"/>
        <v>75.21428571</v>
      </c>
      <c r="K1872" s="184">
        <f t="shared" si="551"/>
        <v>75.21428571</v>
      </c>
      <c r="L1872" s="184">
        <f t="shared" si="551"/>
        <v>75.21428571</v>
      </c>
      <c r="M1872" s="184">
        <f t="shared" si="551"/>
        <v>75.21428571</v>
      </c>
      <c r="N1872" s="184">
        <f t="shared" si="551"/>
        <v>75.21428571</v>
      </c>
      <c r="O1872" s="5"/>
      <c r="P1872" s="5"/>
      <c r="Q1872" s="5"/>
      <c r="R1872" s="5"/>
      <c r="S1872" s="5"/>
      <c r="T1872" s="5"/>
      <c r="U1872" s="5"/>
      <c r="V1872" s="5"/>
      <c r="W1872" s="5"/>
      <c r="X1872" s="5"/>
      <c r="Y1872" s="5"/>
      <c r="Z1872" s="5"/>
    </row>
    <row r="1873" ht="12.0" customHeight="1">
      <c r="A1873" s="186" t="s">
        <v>643</v>
      </c>
      <c r="B1873" s="4"/>
      <c r="C1873" s="148">
        <f t="shared" ref="C1873:N1873" si="552">IF(C1872=0,0,C1869/C1872)</f>
        <v>0.06378575499</v>
      </c>
      <c r="D1873" s="148">
        <f t="shared" si="552"/>
        <v>0.04783931624</v>
      </c>
      <c r="E1873" s="148">
        <f t="shared" si="552"/>
        <v>0.04252383666</v>
      </c>
      <c r="F1873" s="148">
        <f t="shared" si="552"/>
        <v>0.03986609687</v>
      </c>
      <c r="G1873" s="148">
        <f t="shared" si="552"/>
        <v>0.03720835708</v>
      </c>
      <c r="H1873" s="148">
        <f t="shared" si="552"/>
        <v>0.03720835708</v>
      </c>
      <c r="I1873" s="148">
        <f t="shared" si="552"/>
        <v>0.03986609687</v>
      </c>
      <c r="J1873" s="148">
        <f t="shared" si="552"/>
        <v>0.03986609687</v>
      </c>
      <c r="K1873" s="148">
        <f t="shared" si="552"/>
        <v>0.03986609687</v>
      </c>
      <c r="L1873" s="148">
        <f t="shared" si="552"/>
        <v>0.03986609687</v>
      </c>
      <c r="M1873" s="148">
        <f t="shared" si="552"/>
        <v>0.03986609687</v>
      </c>
      <c r="N1873" s="148">
        <f t="shared" si="552"/>
        <v>0.06378575499</v>
      </c>
      <c r="O1873" s="5"/>
      <c r="P1873" s="5"/>
      <c r="Q1873" s="5"/>
      <c r="R1873" s="5"/>
      <c r="S1873" s="5"/>
      <c r="T1873" s="5"/>
      <c r="U1873" s="5"/>
      <c r="V1873" s="5"/>
      <c r="W1873" s="5"/>
      <c r="X1873" s="5"/>
      <c r="Y1873" s="5"/>
      <c r="Z1873" s="5"/>
    </row>
    <row r="1874" ht="12.0" customHeight="1">
      <c r="A1874" s="11"/>
      <c r="B1874" s="11"/>
      <c r="C1874" s="285"/>
      <c r="D1874" s="285"/>
      <c r="E1874" s="285"/>
      <c r="F1874" s="285"/>
      <c r="G1874" s="285"/>
      <c r="H1874" s="285"/>
      <c r="I1874" s="285"/>
      <c r="J1874" s="285"/>
      <c r="K1874" s="285"/>
      <c r="L1874" s="285"/>
      <c r="M1874" s="285"/>
      <c r="N1874" s="285"/>
      <c r="O1874" s="5"/>
      <c r="P1874" s="5"/>
      <c r="Q1874" s="5"/>
      <c r="R1874" s="5"/>
      <c r="S1874" s="5"/>
      <c r="T1874" s="5"/>
      <c r="U1874" s="5"/>
      <c r="V1874" s="5"/>
      <c r="W1874" s="5"/>
      <c r="X1874" s="5"/>
      <c r="Y1874" s="5"/>
      <c r="Z1874" s="5"/>
    </row>
    <row r="1875" ht="12.0" customHeight="1">
      <c r="A1875" s="284" t="s">
        <v>1625</v>
      </c>
      <c r="B1875" s="11"/>
      <c r="C1875" s="285"/>
      <c r="D1875" s="285"/>
      <c r="E1875" s="285"/>
      <c r="F1875" s="285"/>
      <c r="G1875" s="285"/>
      <c r="H1875" s="285"/>
      <c r="I1875" s="285"/>
      <c r="J1875" s="285"/>
      <c r="K1875" s="285"/>
      <c r="L1875" s="285"/>
      <c r="M1875" s="285"/>
      <c r="N1875" s="285"/>
      <c r="O1875" s="5"/>
      <c r="P1875" s="5"/>
      <c r="Q1875" s="5"/>
      <c r="R1875" s="5"/>
      <c r="S1875" s="5"/>
      <c r="T1875" s="5"/>
      <c r="U1875" s="5"/>
      <c r="V1875" s="5"/>
      <c r="W1875" s="5"/>
      <c r="X1875" s="5"/>
      <c r="Y1875" s="5"/>
      <c r="Z1875" s="5"/>
    </row>
    <row r="1876" ht="12.0" customHeight="1">
      <c r="A1876" s="177" t="s">
        <v>1620</v>
      </c>
      <c r="B1876" s="178"/>
      <c r="C1876" s="178"/>
      <c r="D1876" s="178"/>
      <c r="E1876" s="178"/>
      <c r="F1876" s="178"/>
      <c r="G1876" s="178"/>
      <c r="H1876" s="178"/>
      <c r="I1876" s="178"/>
      <c r="J1876" s="178"/>
      <c r="K1876" s="178"/>
      <c r="L1876" s="178"/>
      <c r="M1876" s="178"/>
      <c r="N1876" s="179"/>
      <c r="O1876" s="5"/>
      <c r="P1876" s="5"/>
      <c r="Q1876" s="5"/>
      <c r="R1876" s="5"/>
      <c r="S1876" s="5"/>
      <c r="T1876" s="5"/>
      <c r="U1876" s="5"/>
      <c r="V1876" s="5"/>
      <c r="W1876" s="5"/>
      <c r="X1876" s="5"/>
      <c r="Y1876" s="5"/>
      <c r="Z1876" s="5"/>
    </row>
    <row r="1877" ht="12.0" customHeight="1">
      <c r="A1877" s="180" t="s">
        <v>630</v>
      </c>
      <c r="B1877" s="180" t="s">
        <v>631</v>
      </c>
      <c r="C1877" s="286" t="s">
        <v>3</v>
      </c>
      <c r="D1877" s="286" t="s">
        <v>4</v>
      </c>
      <c r="E1877" s="286" t="s">
        <v>5</v>
      </c>
      <c r="F1877" s="286" t="s">
        <v>6</v>
      </c>
      <c r="G1877" s="286" t="s">
        <v>7</v>
      </c>
      <c r="H1877" s="286" t="s">
        <v>8</v>
      </c>
      <c r="I1877" s="286" t="s">
        <v>9</v>
      </c>
      <c r="J1877" s="286" t="s">
        <v>10</v>
      </c>
      <c r="K1877" s="286" t="s">
        <v>11</v>
      </c>
      <c r="L1877" s="286" t="s">
        <v>12</v>
      </c>
      <c r="M1877" s="286" t="s">
        <v>13</v>
      </c>
      <c r="N1877" s="286" t="s">
        <v>14</v>
      </c>
      <c r="O1877" s="5"/>
      <c r="P1877" s="5"/>
      <c r="Q1877" s="5"/>
      <c r="R1877" s="5"/>
      <c r="S1877" s="5"/>
      <c r="T1877" s="5"/>
      <c r="U1877" s="5"/>
      <c r="V1877" s="5"/>
      <c r="W1877" s="5"/>
      <c r="X1877" s="5"/>
      <c r="Y1877" s="5"/>
      <c r="Z1877" s="5"/>
    </row>
    <row r="1878" ht="12.0" customHeight="1">
      <c r="A1878" s="181" t="s">
        <v>1621</v>
      </c>
      <c r="B1878" s="125" t="s">
        <v>633</v>
      </c>
      <c r="C1878" s="182">
        <f>(SUM('2028'!B6:B9)+SUM('2028'!B17:B20))*0.05</f>
        <v>128.099</v>
      </c>
      <c r="D1878" s="182">
        <f>(SUM('2028'!C6:C9)+SUM('2028'!C17:C20))*0.05</f>
        <v>98.125</v>
      </c>
      <c r="E1878" s="182">
        <f>(SUM('2028'!D6:D9)+SUM('2028'!D17:D20))*0.05</f>
        <v>92.91875</v>
      </c>
      <c r="F1878" s="182">
        <f>(SUM('2028'!E6:E9)+SUM('2028'!E17:E20))*0.05</f>
        <v>89.29025</v>
      </c>
      <c r="G1878" s="182">
        <f>(SUM('2028'!F6:F9)+SUM('2028'!F17:F20))*0.05</f>
        <v>83.611</v>
      </c>
      <c r="H1878" s="182">
        <f>(SUM('2028'!G6:G9)+SUM('2028'!G17:G20))*0.05</f>
        <v>81.56025</v>
      </c>
      <c r="I1878" s="182">
        <f>(SUM('2028'!H6:H9)+SUM('2028'!H17:H20))*0.05</f>
        <v>87.2395</v>
      </c>
      <c r="J1878" s="182">
        <f>(SUM('2028'!I6:I9)+SUM('2028'!I17:I20))*0.05</f>
        <v>87.2395</v>
      </c>
      <c r="K1878" s="182">
        <f>(SUM('2028'!J6:J9)+SUM('2028'!J17:J20))*0.05</f>
        <v>87.2395</v>
      </c>
      <c r="L1878" s="182">
        <f>(SUM('2028'!K6:K9)+SUM('2028'!K17:K20))*0.05</f>
        <v>85.18875</v>
      </c>
      <c r="M1878" s="182">
        <f>(SUM('2028'!L6:L9)+SUM('2028'!L17:L20))*0.05</f>
        <v>83.138</v>
      </c>
      <c r="N1878" s="182">
        <f>(SUM('2028'!M6:M9)+SUM('2028'!M17:M20))*0.05</f>
        <v>132.2005</v>
      </c>
      <c r="O1878" s="5"/>
      <c r="P1878" s="5"/>
      <c r="Q1878" s="5"/>
      <c r="R1878" s="5"/>
      <c r="S1878" s="5"/>
      <c r="T1878" s="5"/>
      <c r="U1878" s="5"/>
      <c r="V1878" s="5"/>
      <c r="W1878" s="5"/>
      <c r="X1878" s="5"/>
      <c r="Y1878" s="5"/>
      <c r="Z1878" s="5"/>
    </row>
    <row r="1879" ht="12.0" customHeight="1">
      <c r="A1879" s="183"/>
      <c r="B1879" s="125" t="s">
        <v>634</v>
      </c>
      <c r="C1879" s="184">
        <f>C1878/Parametros!$B$37</f>
        <v>6.40495</v>
      </c>
      <c r="D1879" s="184">
        <f>D1878/Parametros!$B$37</f>
        <v>4.90625</v>
      </c>
      <c r="E1879" s="184">
        <f>E1878/Parametros!$B$37</f>
        <v>4.6459375</v>
      </c>
      <c r="F1879" s="184">
        <f>F1878/Parametros!$B$37</f>
        <v>4.4645125</v>
      </c>
      <c r="G1879" s="184">
        <f>G1878/Parametros!$B$37</f>
        <v>4.18055</v>
      </c>
      <c r="H1879" s="184">
        <f>H1878/Parametros!$B$37</f>
        <v>4.0780125</v>
      </c>
      <c r="I1879" s="184">
        <f>I1878/Parametros!$B$37</f>
        <v>4.361975</v>
      </c>
      <c r="J1879" s="184">
        <f>J1878/Parametros!$B$37</f>
        <v>4.361975</v>
      </c>
      <c r="K1879" s="184">
        <f>K1878/Parametros!$B$37</f>
        <v>4.361975</v>
      </c>
      <c r="L1879" s="184">
        <f>L1878/Parametros!$B$37</f>
        <v>4.2594375</v>
      </c>
      <c r="M1879" s="184">
        <f>M1878/Parametros!$B$37</f>
        <v>4.1569</v>
      </c>
      <c r="N1879" s="184">
        <f>N1878/Parametros!$B$37</f>
        <v>6.610025</v>
      </c>
      <c r="O1879" s="5"/>
      <c r="P1879" s="5"/>
      <c r="Q1879" s="5"/>
      <c r="R1879" s="5"/>
      <c r="S1879" s="5"/>
      <c r="T1879" s="5"/>
      <c r="U1879" s="5"/>
      <c r="V1879" s="5"/>
      <c r="W1879" s="5"/>
      <c r="X1879" s="5"/>
      <c r="Y1879" s="5"/>
      <c r="Z1879" s="5"/>
    </row>
    <row r="1880" ht="12.0" customHeight="1">
      <c r="A1880" s="185"/>
      <c r="B1880" s="125" t="s">
        <v>635</v>
      </c>
      <c r="C1880" s="184">
        <f>C1879/Parametros!$J$37</f>
        <v>0.8539933333</v>
      </c>
      <c r="D1880" s="184">
        <f>D1879/Parametros!$J$37</f>
        <v>0.6541666667</v>
      </c>
      <c r="E1880" s="184">
        <f>E1879/Parametros!$J$37</f>
        <v>0.6194583333</v>
      </c>
      <c r="F1880" s="184">
        <f>F1879/Parametros!$J$37</f>
        <v>0.5952683333</v>
      </c>
      <c r="G1880" s="184">
        <f>G1879/Parametros!$J$37</f>
        <v>0.5574066667</v>
      </c>
      <c r="H1880" s="184">
        <f>H1879/Parametros!$J$37</f>
        <v>0.543735</v>
      </c>
      <c r="I1880" s="184">
        <f>I1879/Parametros!$J$37</f>
        <v>0.5815966667</v>
      </c>
      <c r="J1880" s="184">
        <f>J1879/Parametros!$J$37</f>
        <v>0.5815966667</v>
      </c>
      <c r="K1880" s="184">
        <f>K1879/Parametros!$J$37</f>
        <v>0.5815966667</v>
      </c>
      <c r="L1880" s="184">
        <f>L1879/Parametros!$J$37</f>
        <v>0.567925</v>
      </c>
      <c r="M1880" s="184">
        <f>M1879/Parametros!$J$37</f>
        <v>0.5542533333</v>
      </c>
      <c r="N1880" s="184">
        <f>N1879/Parametros!$J$37</f>
        <v>0.8813366667</v>
      </c>
      <c r="O1880" s="5"/>
      <c r="P1880" s="5"/>
      <c r="Q1880" s="5"/>
      <c r="R1880" s="5"/>
      <c r="S1880" s="5"/>
      <c r="T1880" s="5"/>
      <c r="U1880" s="5"/>
      <c r="V1880" s="5"/>
      <c r="W1880" s="5"/>
      <c r="X1880" s="5"/>
      <c r="Y1880" s="5"/>
      <c r="Z1880" s="5"/>
    </row>
    <row r="1881" ht="12.0" customHeight="1">
      <c r="A1881" s="186" t="s">
        <v>636</v>
      </c>
      <c r="B1881" s="4"/>
      <c r="C1881" s="184">
        <f t="shared" ref="C1881:N1881" si="553">C1880</f>
        <v>0.8539933333</v>
      </c>
      <c r="D1881" s="184">
        <f t="shared" si="553"/>
        <v>0.6541666667</v>
      </c>
      <c r="E1881" s="184">
        <f t="shared" si="553"/>
        <v>0.6194583333</v>
      </c>
      <c r="F1881" s="184">
        <f t="shared" si="553"/>
        <v>0.5952683333</v>
      </c>
      <c r="G1881" s="184">
        <f t="shared" si="553"/>
        <v>0.5574066667</v>
      </c>
      <c r="H1881" s="184">
        <f t="shared" si="553"/>
        <v>0.543735</v>
      </c>
      <c r="I1881" s="184">
        <f t="shared" si="553"/>
        <v>0.5815966667</v>
      </c>
      <c r="J1881" s="184">
        <f t="shared" si="553"/>
        <v>0.5815966667</v>
      </c>
      <c r="K1881" s="184">
        <f t="shared" si="553"/>
        <v>0.5815966667</v>
      </c>
      <c r="L1881" s="184">
        <f t="shared" si="553"/>
        <v>0.567925</v>
      </c>
      <c r="M1881" s="184">
        <f t="shared" si="553"/>
        <v>0.5542533333</v>
      </c>
      <c r="N1881" s="184">
        <f t="shared" si="553"/>
        <v>0.8813366667</v>
      </c>
      <c r="O1881" s="5"/>
      <c r="P1881" s="5"/>
      <c r="Q1881" s="5"/>
      <c r="R1881" s="5"/>
      <c r="S1881" s="5"/>
      <c r="T1881" s="5"/>
      <c r="U1881" s="5"/>
      <c r="V1881" s="5"/>
      <c r="W1881" s="5"/>
      <c r="X1881" s="5"/>
      <c r="Y1881" s="5"/>
      <c r="Z1881" s="5"/>
    </row>
    <row r="1882" ht="12.0" customHeight="1">
      <c r="A1882" s="186" t="s">
        <v>637</v>
      </c>
      <c r="B1882" s="4"/>
      <c r="C1882" s="274">
        <f>'Resumen Capacidad'!$D$123</f>
        <v>20.51162791</v>
      </c>
      <c r="D1882" s="274">
        <f>'Resumen Capacidad'!$D$123</f>
        <v>20.51162791</v>
      </c>
      <c r="E1882" s="274">
        <f>'Resumen Capacidad'!$D$123</f>
        <v>20.51162791</v>
      </c>
      <c r="F1882" s="274">
        <f>'Resumen Capacidad'!$D$123</f>
        <v>20.51162791</v>
      </c>
      <c r="G1882" s="274">
        <f>'Resumen Capacidad'!$D$123</f>
        <v>20.51162791</v>
      </c>
      <c r="H1882" s="274">
        <f>'Resumen Capacidad'!$D$123</f>
        <v>20.51162791</v>
      </c>
      <c r="I1882" s="274">
        <f>'Resumen Capacidad'!$D$123</f>
        <v>20.51162791</v>
      </c>
      <c r="J1882" s="274">
        <f>'Resumen Capacidad'!$D$123</f>
        <v>20.51162791</v>
      </c>
      <c r="K1882" s="274">
        <f>'Resumen Capacidad'!$D$123</f>
        <v>20.51162791</v>
      </c>
      <c r="L1882" s="274">
        <f>'Resumen Capacidad'!$D$123</f>
        <v>20.51162791</v>
      </c>
      <c r="M1882" s="274">
        <f>'Resumen Capacidad'!$D$123</f>
        <v>20.51162791</v>
      </c>
      <c r="N1882" s="274">
        <f>'Resumen Capacidad'!$D$123</f>
        <v>20.51162791</v>
      </c>
      <c r="O1882" s="5"/>
      <c r="P1882" s="5"/>
      <c r="Q1882" s="5"/>
      <c r="R1882" s="5"/>
      <c r="S1882" s="5"/>
      <c r="T1882" s="5"/>
      <c r="U1882" s="5"/>
      <c r="V1882" s="5"/>
      <c r="W1882" s="5"/>
      <c r="X1882" s="5"/>
      <c r="Y1882" s="5"/>
      <c r="Z1882" s="5"/>
    </row>
    <row r="1883" ht="12.0" customHeight="1">
      <c r="A1883" s="186" t="s">
        <v>640</v>
      </c>
      <c r="B1883" s="4"/>
      <c r="C1883" s="148">
        <f>'Resumen Capacidad'!$D$41*'Resumen Capacidad'!$D$77</f>
        <v>1</v>
      </c>
      <c r="D1883" s="148">
        <f>'Resumen Capacidad'!$D$41*'Resumen Capacidad'!$D$77</f>
        <v>1</v>
      </c>
      <c r="E1883" s="148">
        <f>'Resumen Capacidad'!$D$41*'Resumen Capacidad'!$D$77</f>
        <v>1</v>
      </c>
      <c r="F1883" s="148">
        <f>'Resumen Capacidad'!$D$41*'Resumen Capacidad'!$D$77</f>
        <v>1</v>
      </c>
      <c r="G1883" s="148">
        <f>'Resumen Capacidad'!$D$41*'Resumen Capacidad'!$D$77</f>
        <v>1</v>
      </c>
      <c r="H1883" s="148">
        <f>'Resumen Capacidad'!$D$41*'Resumen Capacidad'!$D$77</f>
        <v>1</v>
      </c>
      <c r="I1883" s="148">
        <f>'Resumen Capacidad'!$D$41*'Resumen Capacidad'!$D$77</f>
        <v>1</v>
      </c>
      <c r="J1883" s="148">
        <f>'Resumen Capacidad'!$D$41*'Resumen Capacidad'!$D$77</f>
        <v>1</v>
      </c>
      <c r="K1883" s="148">
        <f>'Resumen Capacidad'!$D$41*'Resumen Capacidad'!$D$77</f>
        <v>1</v>
      </c>
      <c r="L1883" s="148">
        <f>'Resumen Capacidad'!$D$41*'Resumen Capacidad'!$D$77</f>
        <v>1</v>
      </c>
      <c r="M1883" s="148">
        <f>'Resumen Capacidad'!$D$41*'Resumen Capacidad'!$D$77</f>
        <v>1</v>
      </c>
      <c r="N1883" s="148">
        <f>'Resumen Capacidad'!$D$41*'Resumen Capacidad'!$D$77</f>
        <v>1</v>
      </c>
      <c r="O1883" s="5"/>
      <c r="P1883" s="5"/>
      <c r="Q1883" s="5"/>
      <c r="R1883" s="5"/>
      <c r="S1883" s="5"/>
      <c r="T1883" s="5"/>
      <c r="U1883" s="5"/>
      <c r="V1883" s="5"/>
      <c r="W1883" s="5"/>
      <c r="X1883" s="5"/>
      <c r="Y1883" s="5"/>
      <c r="Z1883" s="5"/>
    </row>
    <row r="1884" ht="12.0" customHeight="1">
      <c r="A1884" s="186" t="s">
        <v>642</v>
      </c>
      <c r="B1884" s="4"/>
      <c r="C1884" s="184">
        <f t="shared" ref="C1884:N1884" si="554">C1882*C1883</f>
        <v>20.51162791</v>
      </c>
      <c r="D1884" s="184">
        <f t="shared" si="554"/>
        <v>20.51162791</v>
      </c>
      <c r="E1884" s="184">
        <f t="shared" si="554"/>
        <v>20.51162791</v>
      </c>
      <c r="F1884" s="184">
        <f t="shared" si="554"/>
        <v>20.51162791</v>
      </c>
      <c r="G1884" s="184">
        <f t="shared" si="554"/>
        <v>20.51162791</v>
      </c>
      <c r="H1884" s="184">
        <f t="shared" si="554"/>
        <v>20.51162791</v>
      </c>
      <c r="I1884" s="184">
        <f t="shared" si="554"/>
        <v>20.51162791</v>
      </c>
      <c r="J1884" s="184">
        <f t="shared" si="554"/>
        <v>20.51162791</v>
      </c>
      <c r="K1884" s="184">
        <f t="shared" si="554"/>
        <v>20.51162791</v>
      </c>
      <c r="L1884" s="184">
        <f t="shared" si="554"/>
        <v>20.51162791</v>
      </c>
      <c r="M1884" s="184">
        <f t="shared" si="554"/>
        <v>20.51162791</v>
      </c>
      <c r="N1884" s="184">
        <f t="shared" si="554"/>
        <v>20.51162791</v>
      </c>
      <c r="O1884" s="5"/>
      <c r="P1884" s="5"/>
      <c r="Q1884" s="5"/>
      <c r="R1884" s="5"/>
      <c r="S1884" s="5"/>
      <c r="T1884" s="5"/>
      <c r="U1884" s="5"/>
      <c r="V1884" s="5"/>
      <c r="W1884" s="5"/>
      <c r="X1884" s="5"/>
      <c r="Y1884" s="5"/>
      <c r="Z1884" s="5"/>
    </row>
    <row r="1885" ht="12.0" customHeight="1">
      <c r="A1885" s="186" t="s">
        <v>643</v>
      </c>
      <c r="B1885" s="4"/>
      <c r="C1885" s="148">
        <f t="shared" ref="C1885:N1885" si="555">IF(C1884=0,0,C1881/C1884)</f>
        <v>0.04163459562</v>
      </c>
      <c r="D1885" s="148">
        <f t="shared" si="555"/>
        <v>0.03189247921</v>
      </c>
      <c r="E1885" s="148">
        <f t="shared" si="555"/>
        <v>0.03020034958</v>
      </c>
      <c r="F1885" s="148">
        <f t="shared" si="555"/>
        <v>0.02902101852</v>
      </c>
      <c r="G1885" s="148">
        <f t="shared" si="555"/>
        <v>0.02717515495</v>
      </c>
      <c r="H1885" s="148">
        <f t="shared" si="555"/>
        <v>0.02650862245</v>
      </c>
      <c r="I1885" s="148">
        <f t="shared" si="555"/>
        <v>0.02835448602</v>
      </c>
      <c r="J1885" s="148">
        <f t="shared" si="555"/>
        <v>0.02835448602</v>
      </c>
      <c r="K1885" s="148">
        <f t="shared" si="555"/>
        <v>0.02835448602</v>
      </c>
      <c r="L1885" s="148">
        <f t="shared" si="555"/>
        <v>0.02768795351</v>
      </c>
      <c r="M1885" s="148">
        <f t="shared" si="555"/>
        <v>0.02702142101</v>
      </c>
      <c r="N1885" s="148">
        <f t="shared" si="555"/>
        <v>0.04296766062</v>
      </c>
      <c r="O1885" s="5"/>
      <c r="P1885" s="5"/>
      <c r="Q1885" s="5"/>
      <c r="R1885" s="5"/>
      <c r="S1885" s="5"/>
      <c r="T1885" s="5"/>
      <c r="U1885" s="5"/>
      <c r="V1885" s="5"/>
      <c r="W1885" s="5"/>
      <c r="X1885" s="5"/>
      <c r="Y1885" s="5"/>
      <c r="Z1885" s="5"/>
    </row>
    <row r="1886" ht="12.0" customHeight="1">
      <c r="A1886" s="177" t="s">
        <v>1622</v>
      </c>
      <c r="B1886" s="178"/>
      <c r="C1886" s="178"/>
      <c r="D1886" s="178"/>
      <c r="E1886" s="178"/>
      <c r="F1886" s="178"/>
      <c r="G1886" s="178"/>
      <c r="H1886" s="178"/>
      <c r="I1886" s="178"/>
      <c r="J1886" s="178"/>
      <c r="K1886" s="178"/>
      <c r="L1886" s="178"/>
      <c r="M1886" s="178"/>
      <c r="N1886" s="179"/>
      <c r="O1886" s="5"/>
      <c r="P1886" s="5"/>
      <c r="Q1886" s="5"/>
      <c r="R1886" s="5"/>
      <c r="S1886" s="5"/>
      <c r="T1886" s="5"/>
      <c r="U1886" s="5"/>
      <c r="V1886" s="5"/>
      <c r="W1886" s="5"/>
      <c r="X1886" s="5"/>
      <c r="Y1886" s="5"/>
      <c r="Z1886" s="5"/>
    </row>
    <row r="1887" ht="12.0" customHeight="1">
      <c r="A1887" s="180" t="s">
        <v>630</v>
      </c>
      <c r="B1887" s="180" t="s">
        <v>631</v>
      </c>
      <c r="C1887" s="286" t="s">
        <v>3</v>
      </c>
      <c r="D1887" s="286" t="s">
        <v>4</v>
      </c>
      <c r="E1887" s="286" t="s">
        <v>5</v>
      </c>
      <c r="F1887" s="286" t="s">
        <v>6</v>
      </c>
      <c r="G1887" s="286" t="s">
        <v>7</v>
      </c>
      <c r="H1887" s="286" t="s">
        <v>8</v>
      </c>
      <c r="I1887" s="286" t="s">
        <v>9</v>
      </c>
      <c r="J1887" s="286" t="s">
        <v>10</v>
      </c>
      <c r="K1887" s="286" t="s">
        <v>11</v>
      </c>
      <c r="L1887" s="286" t="s">
        <v>12</v>
      </c>
      <c r="M1887" s="286" t="s">
        <v>13</v>
      </c>
      <c r="N1887" s="286" t="s">
        <v>14</v>
      </c>
      <c r="O1887" s="5"/>
      <c r="P1887" s="5"/>
      <c r="Q1887" s="5"/>
      <c r="R1887" s="5"/>
      <c r="S1887" s="5"/>
      <c r="T1887" s="5"/>
      <c r="U1887" s="5"/>
      <c r="V1887" s="5"/>
      <c r="W1887" s="5"/>
      <c r="X1887" s="5"/>
      <c r="Y1887" s="5"/>
      <c r="Z1887" s="5"/>
    </row>
    <row r="1888" ht="12.0" customHeight="1">
      <c r="A1888" s="181" t="s">
        <v>1623</v>
      </c>
      <c r="B1888" s="125" t="s">
        <v>633</v>
      </c>
      <c r="C1888" s="182">
        <f>'2028'!B6+'2028'!B17</f>
        <v>1741.68</v>
      </c>
      <c r="D1888" s="182">
        <f>'2028'!C6+'2028'!C17</f>
        <v>1306.26</v>
      </c>
      <c r="E1888" s="182">
        <f>'2028'!D6+'2028'!D17</f>
        <v>1161.12</v>
      </c>
      <c r="F1888" s="182">
        <f>'2028'!E6+'2028'!E17</f>
        <v>1088.55</v>
      </c>
      <c r="G1888" s="182">
        <f>'2028'!F6+'2028'!F17</f>
        <v>1015.98</v>
      </c>
      <c r="H1888" s="182">
        <f>'2028'!G6+'2028'!G17</f>
        <v>1015.98</v>
      </c>
      <c r="I1888" s="182">
        <f>'2028'!H6+'2028'!H17</f>
        <v>1088.55</v>
      </c>
      <c r="J1888" s="182">
        <f>'2028'!I6+'2028'!I17</f>
        <v>1088.55</v>
      </c>
      <c r="K1888" s="182">
        <f>'2028'!J6+'2028'!J17</f>
        <v>1088.55</v>
      </c>
      <c r="L1888" s="182">
        <f>'2028'!K6+'2028'!K17</f>
        <v>1088.55</v>
      </c>
      <c r="M1888" s="182">
        <f>'2028'!L6+'2028'!L17</f>
        <v>1088.55</v>
      </c>
      <c r="N1888" s="182">
        <f>'2028'!M6+'2028'!M17</f>
        <v>1741.68</v>
      </c>
      <c r="O1888" s="5"/>
      <c r="P1888" s="5"/>
      <c r="Q1888" s="5"/>
      <c r="R1888" s="5"/>
      <c r="S1888" s="5"/>
      <c r="T1888" s="5"/>
      <c r="U1888" s="5"/>
      <c r="V1888" s="5"/>
      <c r="W1888" s="5"/>
      <c r="X1888" s="5"/>
      <c r="Y1888" s="5"/>
      <c r="Z1888" s="5"/>
    </row>
    <row r="1889" ht="12.0" customHeight="1">
      <c r="A1889" s="183"/>
      <c r="B1889" s="125" t="s">
        <v>634</v>
      </c>
      <c r="C1889" s="184">
        <f>C1888/Parametros!$B$37</f>
        <v>87.084</v>
      </c>
      <c r="D1889" s="184">
        <f>D1888/Parametros!$B$37</f>
        <v>65.313</v>
      </c>
      <c r="E1889" s="184">
        <f>E1888/Parametros!$B$37</f>
        <v>58.056</v>
      </c>
      <c r="F1889" s="184">
        <f>F1888/Parametros!$B$37</f>
        <v>54.4275</v>
      </c>
      <c r="G1889" s="184">
        <f>G1888/Parametros!$B$37</f>
        <v>50.799</v>
      </c>
      <c r="H1889" s="184">
        <f>H1888/Parametros!$B$37</f>
        <v>50.799</v>
      </c>
      <c r="I1889" s="184">
        <f>I1888/Parametros!$B$37</f>
        <v>54.4275</v>
      </c>
      <c r="J1889" s="184">
        <f>J1888/Parametros!$B$37</f>
        <v>54.4275</v>
      </c>
      <c r="K1889" s="184">
        <f>K1888/Parametros!$B$37</f>
        <v>54.4275</v>
      </c>
      <c r="L1889" s="184">
        <f>L1888/Parametros!$B$37</f>
        <v>54.4275</v>
      </c>
      <c r="M1889" s="184">
        <f>M1888/Parametros!$B$37</f>
        <v>54.4275</v>
      </c>
      <c r="N1889" s="184">
        <f>N1888/Parametros!$B$37</f>
        <v>87.084</v>
      </c>
      <c r="O1889" s="5"/>
      <c r="P1889" s="5"/>
      <c r="Q1889" s="5"/>
      <c r="R1889" s="5"/>
      <c r="S1889" s="5"/>
      <c r="T1889" s="5"/>
      <c r="U1889" s="5"/>
      <c r="V1889" s="5"/>
      <c r="W1889" s="5"/>
      <c r="X1889" s="5"/>
      <c r="Y1889" s="5"/>
      <c r="Z1889" s="5"/>
    </row>
    <row r="1890" ht="12.0" customHeight="1">
      <c r="A1890" s="185"/>
      <c r="B1890" s="125" t="s">
        <v>635</v>
      </c>
      <c r="C1890" s="184">
        <f>C1889/Parametros!$J$37</f>
        <v>11.6112</v>
      </c>
      <c r="D1890" s="184">
        <f>D1889/Parametros!$J$37</f>
        <v>8.7084</v>
      </c>
      <c r="E1890" s="184">
        <f>E1889/Parametros!$J$37</f>
        <v>7.7408</v>
      </c>
      <c r="F1890" s="184">
        <f>F1889/Parametros!$J$37</f>
        <v>7.257</v>
      </c>
      <c r="G1890" s="184">
        <f>G1889/Parametros!$J$37</f>
        <v>6.7732</v>
      </c>
      <c r="H1890" s="184">
        <f>H1889/Parametros!$J$37</f>
        <v>6.7732</v>
      </c>
      <c r="I1890" s="184">
        <f>I1889/Parametros!$J$37</f>
        <v>7.257</v>
      </c>
      <c r="J1890" s="184">
        <f>J1889/Parametros!$J$37</f>
        <v>7.257</v>
      </c>
      <c r="K1890" s="184">
        <f>K1889/Parametros!$J$37</f>
        <v>7.257</v>
      </c>
      <c r="L1890" s="184">
        <f>L1889/Parametros!$J$37</f>
        <v>7.257</v>
      </c>
      <c r="M1890" s="184">
        <f>M1889/Parametros!$J$37</f>
        <v>7.257</v>
      </c>
      <c r="N1890" s="184">
        <f>N1889/Parametros!$J$37</f>
        <v>11.6112</v>
      </c>
      <c r="O1890" s="5"/>
      <c r="P1890" s="5"/>
      <c r="Q1890" s="5"/>
      <c r="R1890" s="5"/>
      <c r="S1890" s="5"/>
      <c r="T1890" s="5"/>
      <c r="U1890" s="5"/>
      <c r="V1890" s="5"/>
      <c r="W1890" s="5"/>
      <c r="X1890" s="5"/>
      <c r="Y1890" s="5"/>
      <c r="Z1890" s="5"/>
    </row>
    <row r="1891" ht="12.0" customHeight="1">
      <c r="A1891" s="186" t="s">
        <v>636</v>
      </c>
      <c r="B1891" s="4"/>
      <c r="C1891" s="184">
        <f t="shared" ref="C1891:N1891" si="556">C1890</f>
        <v>11.6112</v>
      </c>
      <c r="D1891" s="184">
        <f t="shared" si="556"/>
        <v>8.7084</v>
      </c>
      <c r="E1891" s="184">
        <f t="shared" si="556"/>
        <v>7.7408</v>
      </c>
      <c r="F1891" s="184">
        <f t="shared" si="556"/>
        <v>7.257</v>
      </c>
      <c r="G1891" s="184">
        <f t="shared" si="556"/>
        <v>6.7732</v>
      </c>
      <c r="H1891" s="184">
        <f t="shared" si="556"/>
        <v>6.7732</v>
      </c>
      <c r="I1891" s="184">
        <f t="shared" si="556"/>
        <v>7.257</v>
      </c>
      <c r="J1891" s="184">
        <f t="shared" si="556"/>
        <v>7.257</v>
      </c>
      <c r="K1891" s="184">
        <f t="shared" si="556"/>
        <v>7.257</v>
      </c>
      <c r="L1891" s="184">
        <f t="shared" si="556"/>
        <v>7.257</v>
      </c>
      <c r="M1891" s="184">
        <f t="shared" si="556"/>
        <v>7.257</v>
      </c>
      <c r="N1891" s="184">
        <f t="shared" si="556"/>
        <v>11.6112</v>
      </c>
      <c r="O1891" s="5"/>
      <c r="P1891" s="5"/>
      <c r="Q1891" s="5"/>
      <c r="R1891" s="5"/>
      <c r="S1891" s="5"/>
      <c r="T1891" s="5"/>
      <c r="U1891" s="5"/>
      <c r="V1891" s="5"/>
      <c r="W1891" s="5"/>
      <c r="X1891" s="5"/>
      <c r="Y1891" s="5"/>
      <c r="Z1891" s="5"/>
    </row>
    <row r="1892" ht="12.0" customHeight="1">
      <c r="A1892" s="186" t="s">
        <v>637</v>
      </c>
      <c r="B1892" s="4"/>
      <c r="C1892" s="274">
        <f>'Resumen Capacidad'!$D$130</f>
        <v>75.21428571</v>
      </c>
      <c r="D1892" s="274">
        <f>'Resumen Capacidad'!$D$130</f>
        <v>75.21428571</v>
      </c>
      <c r="E1892" s="274">
        <f>'Resumen Capacidad'!$D$130</f>
        <v>75.21428571</v>
      </c>
      <c r="F1892" s="274">
        <f>'Resumen Capacidad'!$D$130</f>
        <v>75.21428571</v>
      </c>
      <c r="G1892" s="274">
        <f>'Resumen Capacidad'!$D$130</f>
        <v>75.21428571</v>
      </c>
      <c r="H1892" s="274">
        <f>'Resumen Capacidad'!$D$130</f>
        <v>75.21428571</v>
      </c>
      <c r="I1892" s="274">
        <f>'Resumen Capacidad'!$D$130</f>
        <v>75.21428571</v>
      </c>
      <c r="J1892" s="274">
        <f>'Resumen Capacidad'!$D$130</f>
        <v>75.21428571</v>
      </c>
      <c r="K1892" s="274">
        <f>'Resumen Capacidad'!$D$130</f>
        <v>75.21428571</v>
      </c>
      <c r="L1892" s="274">
        <f>'Resumen Capacidad'!$D$130</f>
        <v>75.21428571</v>
      </c>
      <c r="M1892" s="274">
        <f>'Resumen Capacidad'!$D$130</f>
        <v>75.21428571</v>
      </c>
      <c r="N1892" s="274">
        <f>'Resumen Capacidad'!$D$130</f>
        <v>75.21428571</v>
      </c>
      <c r="O1892" s="5"/>
      <c r="P1892" s="5"/>
      <c r="Q1892" s="5"/>
      <c r="R1892" s="5"/>
      <c r="S1892" s="5"/>
      <c r="T1892" s="5"/>
      <c r="U1892" s="5"/>
      <c r="V1892" s="5"/>
      <c r="W1892" s="5"/>
      <c r="X1892" s="5"/>
      <c r="Y1892" s="5"/>
      <c r="Z1892" s="5"/>
    </row>
    <row r="1893" ht="12.0" customHeight="1">
      <c r="A1893" s="186" t="s">
        <v>640</v>
      </c>
      <c r="B1893" s="4"/>
      <c r="C1893" s="148">
        <f>'Resumen Capacidad'!$D$48*'Resumen Capacidad'!$D$84</f>
        <v>1</v>
      </c>
      <c r="D1893" s="148">
        <f>'Resumen Capacidad'!$D$48*'Resumen Capacidad'!$D$84</f>
        <v>1</v>
      </c>
      <c r="E1893" s="148">
        <f>'Resumen Capacidad'!$D$48*'Resumen Capacidad'!$D$84</f>
        <v>1</v>
      </c>
      <c r="F1893" s="148">
        <f>'Resumen Capacidad'!$D$48*'Resumen Capacidad'!$D$84</f>
        <v>1</v>
      </c>
      <c r="G1893" s="148">
        <f>'Resumen Capacidad'!$D$48*'Resumen Capacidad'!$D$84</f>
        <v>1</v>
      </c>
      <c r="H1893" s="148">
        <f>'Resumen Capacidad'!$D$48*'Resumen Capacidad'!$D$84</f>
        <v>1</v>
      </c>
      <c r="I1893" s="148">
        <f>'Resumen Capacidad'!$D$48*'Resumen Capacidad'!$D$84</f>
        <v>1</v>
      </c>
      <c r="J1893" s="148">
        <f>'Resumen Capacidad'!$D$48*'Resumen Capacidad'!$D$84</f>
        <v>1</v>
      </c>
      <c r="K1893" s="148">
        <f>'Resumen Capacidad'!$D$48*'Resumen Capacidad'!$D$84</f>
        <v>1</v>
      </c>
      <c r="L1893" s="148">
        <f>'Resumen Capacidad'!$D$48*'Resumen Capacidad'!$D$84</f>
        <v>1</v>
      </c>
      <c r="M1893" s="148">
        <f>'Resumen Capacidad'!$D$48*'Resumen Capacidad'!$D$84</f>
        <v>1</v>
      </c>
      <c r="N1893" s="148">
        <f>'Resumen Capacidad'!$D$48*'Resumen Capacidad'!$D$84</f>
        <v>1</v>
      </c>
      <c r="O1893" s="5"/>
      <c r="P1893" s="5"/>
      <c r="Q1893" s="5"/>
      <c r="R1893" s="5"/>
      <c r="S1893" s="5"/>
      <c r="T1893" s="5"/>
      <c r="U1893" s="5"/>
      <c r="V1893" s="5"/>
      <c r="W1893" s="5"/>
      <c r="X1893" s="5"/>
      <c r="Y1893" s="5"/>
      <c r="Z1893" s="5"/>
    </row>
    <row r="1894" ht="12.0" customHeight="1">
      <c r="A1894" s="186" t="s">
        <v>642</v>
      </c>
      <c r="B1894" s="4"/>
      <c r="C1894" s="184">
        <f t="shared" ref="C1894:N1894" si="557">C1892*C1893</f>
        <v>75.21428571</v>
      </c>
      <c r="D1894" s="184">
        <f t="shared" si="557"/>
        <v>75.21428571</v>
      </c>
      <c r="E1894" s="184">
        <f t="shared" si="557"/>
        <v>75.21428571</v>
      </c>
      <c r="F1894" s="184">
        <f t="shared" si="557"/>
        <v>75.21428571</v>
      </c>
      <c r="G1894" s="184">
        <f t="shared" si="557"/>
        <v>75.21428571</v>
      </c>
      <c r="H1894" s="184">
        <f t="shared" si="557"/>
        <v>75.21428571</v>
      </c>
      <c r="I1894" s="184">
        <f t="shared" si="557"/>
        <v>75.21428571</v>
      </c>
      <c r="J1894" s="184">
        <f t="shared" si="557"/>
        <v>75.21428571</v>
      </c>
      <c r="K1894" s="184">
        <f t="shared" si="557"/>
        <v>75.21428571</v>
      </c>
      <c r="L1894" s="184">
        <f t="shared" si="557"/>
        <v>75.21428571</v>
      </c>
      <c r="M1894" s="184">
        <f t="shared" si="557"/>
        <v>75.21428571</v>
      </c>
      <c r="N1894" s="184">
        <f t="shared" si="557"/>
        <v>75.21428571</v>
      </c>
      <c r="O1894" s="5"/>
      <c r="P1894" s="5"/>
      <c r="Q1894" s="5"/>
      <c r="R1894" s="5"/>
      <c r="S1894" s="5"/>
      <c r="T1894" s="5"/>
      <c r="U1894" s="5"/>
      <c r="V1894" s="5"/>
      <c r="W1894" s="5"/>
      <c r="X1894" s="5"/>
      <c r="Y1894" s="5"/>
      <c r="Z1894" s="5"/>
    </row>
    <row r="1895" ht="12.0" customHeight="1">
      <c r="A1895" s="186" t="s">
        <v>643</v>
      </c>
      <c r="B1895" s="4"/>
      <c r="C1895" s="148">
        <f t="shared" ref="C1895:N1895" si="558">IF(C1894=0,0,C1891/C1894)</f>
        <v>0.1543749288</v>
      </c>
      <c r="D1895" s="148">
        <f t="shared" si="558"/>
        <v>0.1157811966</v>
      </c>
      <c r="E1895" s="148">
        <f t="shared" si="558"/>
        <v>0.1029166192</v>
      </c>
      <c r="F1895" s="148">
        <f t="shared" si="558"/>
        <v>0.09648433048</v>
      </c>
      <c r="G1895" s="148">
        <f t="shared" si="558"/>
        <v>0.09005204179</v>
      </c>
      <c r="H1895" s="148">
        <f t="shared" si="558"/>
        <v>0.09005204179</v>
      </c>
      <c r="I1895" s="148">
        <f t="shared" si="558"/>
        <v>0.09648433048</v>
      </c>
      <c r="J1895" s="148">
        <f t="shared" si="558"/>
        <v>0.09648433048</v>
      </c>
      <c r="K1895" s="148">
        <f t="shared" si="558"/>
        <v>0.09648433048</v>
      </c>
      <c r="L1895" s="148">
        <f t="shared" si="558"/>
        <v>0.09648433048</v>
      </c>
      <c r="M1895" s="148">
        <f t="shared" si="558"/>
        <v>0.09648433048</v>
      </c>
      <c r="N1895" s="148">
        <f t="shared" si="558"/>
        <v>0.1543749288</v>
      </c>
      <c r="O1895" s="5"/>
      <c r="P1895" s="5"/>
      <c r="Q1895" s="5"/>
      <c r="R1895" s="5"/>
      <c r="S1895" s="5"/>
      <c r="T1895" s="5"/>
      <c r="U1895" s="5"/>
      <c r="V1895" s="5"/>
      <c r="W1895" s="5"/>
      <c r="X1895" s="5"/>
      <c r="Y1895" s="5"/>
      <c r="Z1895" s="5"/>
    </row>
    <row r="1896" ht="12.0" customHeight="1">
      <c r="A1896" s="11"/>
      <c r="B1896" s="11"/>
      <c r="C1896" s="285"/>
      <c r="D1896" s="285"/>
      <c r="E1896" s="285"/>
      <c r="F1896" s="285"/>
      <c r="G1896" s="285"/>
      <c r="H1896" s="285"/>
      <c r="I1896" s="285"/>
      <c r="J1896" s="285"/>
      <c r="K1896" s="285"/>
      <c r="L1896" s="285"/>
      <c r="M1896" s="285"/>
      <c r="N1896" s="285"/>
      <c r="O1896" s="5"/>
      <c r="P1896" s="5"/>
      <c r="Q1896" s="5"/>
      <c r="R1896" s="5"/>
      <c r="S1896" s="5"/>
      <c r="T1896" s="5"/>
      <c r="U1896" s="5"/>
      <c r="V1896" s="5"/>
      <c r="W1896" s="5"/>
      <c r="X1896" s="5"/>
      <c r="Y1896" s="5"/>
      <c r="Z1896" s="5"/>
    </row>
    <row r="1897" ht="12.0" customHeight="1">
      <c r="A1897" s="284" t="s">
        <v>1626</v>
      </c>
      <c r="B1897" s="11"/>
      <c r="C1897" s="285"/>
      <c r="D1897" s="285"/>
      <c r="E1897" s="285"/>
      <c r="F1897" s="285"/>
      <c r="G1897" s="285"/>
      <c r="H1897" s="285"/>
      <c r="I1897" s="285"/>
      <c r="J1897" s="285"/>
      <c r="K1897" s="285"/>
      <c r="L1897" s="285"/>
      <c r="M1897" s="285"/>
      <c r="N1897" s="285"/>
      <c r="O1897" s="5"/>
      <c r="P1897" s="5"/>
      <c r="Q1897" s="5"/>
      <c r="R1897" s="5"/>
      <c r="S1897" s="5"/>
      <c r="T1897" s="5"/>
      <c r="U1897" s="5"/>
      <c r="V1897" s="5"/>
      <c r="W1897" s="5"/>
      <c r="X1897" s="5"/>
      <c r="Y1897" s="5"/>
      <c r="Z1897" s="5"/>
    </row>
    <row r="1898" ht="12.0" customHeight="1">
      <c r="A1898" s="177" t="s">
        <v>1620</v>
      </c>
      <c r="B1898" s="178"/>
      <c r="C1898" s="178"/>
      <c r="D1898" s="178"/>
      <c r="E1898" s="178"/>
      <c r="F1898" s="178"/>
      <c r="G1898" s="178"/>
      <c r="H1898" s="178"/>
      <c r="I1898" s="178"/>
      <c r="J1898" s="178"/>
      <c r="K1898" s="178"/>
      <c r="L1898" s="178"/>
      <c r="M1898" s="178"/>
      <c r="N1898" s="179"/>
      <c r="O1898" s="5"/>
      <c r="P1898" s="5"/>
      <c r="Q1898" s="5"/>
      <c r="R1898" s="5"/>
      <c r="S1898" s="5"/>
      <c r="T1898" s="5"/>
      <c r="U1898" s="5"/>
      <c r="V1898" s="5"/>
      <c r="W1898" s="5"/>
      <c r="X1898" s="5"/>
      <c r="Y1898" s="5"/>
      <c r="Z1898" s="5"/>
    </row>
    <row r="1899" ht="12.0" customHeight="1">
      <c r="A1899" s="180" t="s">
        <v>630</v>
      </c>
      <c r="B1899" s="180" t="s">
        <v>631</v>
      </c>
      <c r="C1899" s="286" t="s">
        <v>3</v>
      </c>
      <c r="D1899" s="286" t="s">
        <v>4</v>
      </c>
      <c r="E1899" s="286" t="s">
        <v>5</v>
      </c>
      <c r="F1899" s="286" t="s">
        <v>6</v>
      </c>
      <c r="G1899" s="286" t="s">
        <v>7</v>
      </c>
      <c r="H1899" s="286" t="s">
        <v>8</v>
      </c>
      <c r="I1899" s="286" t="s">
        <v>9</v>
      </c>
      <c r="J1899" s="286" t="s">
        <v>10</v>
      </c>
      <c r="K1899" s="286" t="s">
        <v>11</v>
      </c>
      <c r="L1899" s="286" t="s">
        <v>12</v>
      </c>
      <c r="M1899" s="286" t="s">
        <v>13</v>
      </c>
      <c r="N1899" s="286" t="s">
        <v>14</v>
      </c>
      <c r="O1899" s="5"/>
      <c r="P1899" s="5"/>
      <c r="Q1899" s="5"/>
      <c r="R1899" s="5"/>
      <c r="S1899" s="5"/>
      <c r="T1899" s="5"/>
      <c r="U1899" s="5"/>
      <c r="V1899" s="5"/>
      <c r="W1899" s="5"/>
      <c r="X1899" s="5"/>
      <c r="Y1899" s="5"/>
      <c r="Z1899" s="5"/>
    </row>
    <row r="1900" ht="12.0" customHeight="1">
      <c r="A1900" s="181" t="s">
        <v>1621</v>
      </c>
      <c r="B1900" s="125" t="s">
        <v>633</v>
      </c>
      <c r="C1900" s="182">
        <f>(SUM('2029'!B6:B9)+SUM('2029'!B17:B20))*0.05</f>
        <v>286.937</v>
      </c>
      <c r="D1900" s="182">
        <f>(SUM('2029'!C6:C9)+SUM('2029'!C17:C20))*0.05</f>
        <v>219.001</v>
      </c>
      <c r="E1900" s="182">
        <f>(SUM('2029'!D6:D9)+SUM('2029'!D17:D20))*0.05</f>
        <v>205.21825</v>
      </c>
      <c r="F1900" s="182">
        <f>(SUM('2029'!E6:E9)+SUM('2029'!E17:E20))*0.05</f>
        <v>196.42775</v>
      </c>
      <c r="G1900" s="182">
        <f>(SUM('2029'!F6:F9)+SUM('2029'!F17:F20))*0.05</f>
        <v>183.839</v>
      </c>
      <c r="H1900" s="182">
        <f>(SUM('2029'!G6:G9)+SUM('2029'!G17:G20))*0.05</f>
        <v>180.04075</v>
      </c>
      <c r="I1900" s="182">
        <f>(SUM('2029'!H6:H9)+SUM('2029'!H17:H20))*0.05</f>
        <v>192.6295</v>
      </c>
      <c r="J1900" s="182">
        <f>(SUM('2029'!I6:I9)+SUM('2029'!I17:I20))*0.05</f>
        <v>192.6295</v>
      </c>
      <c r="K1900" s="182">
        <f>(SUM('2029'!J6:J9)+SUM('2029'!J17:J20))*0.05</f>
        <v>192.6295</v>
      </c>
      <c r="L1900" s="182">
        <f>(SUM('2029'!K6:K9)+SUM('2029'!K17:K20))*0.05</f>
        <v>188.83125</v>
      </c>
      <c r="M1900" s="182">
        <f>(SUM('2029'!L6:L9)+SUM('2029'!L17:L20))*0.05</f>
        <v>185.033</v>
      </c>
      <c r="N1900" s="182">
        <f>(SUM('2029'!M6:M9)+SUM('2029'!M17:M20))*0.05</f>
        <v>294.5335</v>
      </c>
      <c r="O1900" s="5"/>
      <c r="P1900" s="5"/>
      <c r="Q1900" s="5"/>
      <c r="R1900" s="5"/>
      <c r="S1900" s="5"/>
      <c r="T1900" s="5"/>
      <c r="U1900" s="5"/>
      <c r="V1900" s="5"/>
      <c r="W1900" s="5"/>
      <c r="X1900" s="5"/>
      <c r="Y1900" s="5"/>
      <c r="Z1900" s="5"/>
    </row>
    <row r="1901" ht="12.0" customHeight="1">
      <c r="A1901" s="183"/>
      <c r="B1901" s="125" t="s">
        <v>634</v>
      </c>
      <c r="C1901" s="184">
        <f>C1900/Parametros!$B$37</f>
        <v>14.34685</v>
      </c>
      <c r="D1901" s="184">
        <f>D1900/Parametros!$B$37</f>
        <v>10.95005</v>
      </c>
      <c r="E1901" s="184">
        <f>E1900/Parametros!$B$37</f>
        <v>10.2609125</v>
      </c>
      <c r="F1901" s="184">
        <f>F1900/Parametros!$B$37</f>
        <v>9.8213875</v>
      </c>
      <c r="G1901" s="184">
        <f>G1900/Parametros!$B$37</f>
        <v>9.19195</v>
      </c>
      <c r="H1901" s="184">
        <f>H1900/Parametros!$B$37</f>
        <v>9.0020375</v>
      </c>
      <c r="I1901" s="184">
        <f>I1900/Parametros!$B$37</f>
        <v>9.631475</v>
      </c>
      <c r="J1901" s="184">
        <f>J1900/Parametros!$B$37</f>
        <v>9.631475</v>
      </c>
      <c r="K1901" s="184">
        <f>K1900/Parametros!$B$37</f>
        <v>9.631475</v>
      </c>
      <c r="L1901" s="184">
        <f>L1900/Parametros!$B$37</f>
        <v>9.4415625</v>
      </c>
      <c r="M1901" s="184">
        <f>M1900/Parametros!$B$37</f>
        <v>9.25165</v>
      </c>
      <c r="N1901" s="184">
        <f>N1900/Parametros!$B$37</f>
        <v>14.726675</v>
      </c>
      <c r="O1901" s="5"/>
      <c r="P1901" s="5"/>
      <c r="Q1901" s="5"/>
      <c r="R1901" s="5"/>
      <c r="S1901" s="5"/>
      <c r="T1901" s="5"/>
      <c r="U1901" s="5"/>
      <c r="V1901" s="5"/>
      <c r="W1901" s="5"/>
      <c r="X1901" s="5"/>
      <c r="Y1901" s="5"/>
      <c r="Z1901" s="5"/>
    </row>
    <row r="1902" ht="12.0" customHeight="1">
      <c r="A1902" s="185"/>
      <c r="B1902" s="125" t="s">
        <v>635</v>
      </c>
      <c r="C1902" s="184">
        <f>C1901/Parametros!$J$37</f>
        <v>1.912913333</v>
      </c>
      <c r="D1902" s="184">
        <f>D1901/Parametros!$J$37</f>
        <v>1.460006667</v>
      </c>
      <c r="E1902" s="184">
        <f>E1901/Parametros!$J$37</f>
        <v>1.368121667</v>
      </c>
      <c r="F1902" s="184">
        <f>F1901/Parametros!$J$37</f>
        <v>1.309518333</v>
      </c>
      <c r="G1902" s="184">
        <f>G1901/Parametros!$J$37</f>
        <v>1.225593333</v>
      </c>
      <c r="H1902" s="184">
        <f>H1901/Parametros!$J$37</f>
        <v>1.200271667</v>
      </c>
      <c r="I1902" s="184">
        <f>I1901/Parametros!$J$37</f>
        <v>1.284196667</v>
      </c>
      <c r="J1902" s="184">
        <f>J1901/Parametros!$J$37</f>
        <v>1.284196667</v>
      </c>
      <c r="K1902" s="184">
        <f>K1901/Parametros!$J$37</f>
        <v>1.284196667</v>
      </c>
      <c r="L1902" s="184">
        <f>L1901/Parametros!$J$37</f>
        <v>1.258875</v>
      </c>
      <c r="M1902" s="184">
        <f>M1901/Parametros!$J$37</f>
        <v>1.233553333</v>
      </c>
      <c r="N1902" s="184">
        <f>N1901/Parametros!$J$37</f>
        <v>1.963556667</v>
      </c>
      <c r="O1902" s="5"/>
      <c r="P1902" s="5"/>
      <c r="Q1902" s="5"/>
      <c r="R1902" s="5"/>
      <c r="S1902" s="5"/>
      <c r="T1902" s="5"/>
      <c r="U1902" s="5"/>
      <c r="V1902" s="5"/>
      <c r="W1902" s="5"/>
      <c r="X1902" s="5"/>
      <c r="Y1902" s="5"/>
      <c r="Z1902" s="5"/>
    </row>
    <row r="1903" ht="12.0" customHeight="1">
      <c r="A1903" s="186" t="s">
        <v>636</v>
      </c>
      <c r="B1903" s="4"/>
      <c r="C1903" s="184">
        <f t="shared" ref="C1903:N1903" si="559">C1902</f>
        <v>1.912913333</v>
      </c>
      <c r="D1903" s="184">
        <f t="shared" si="559"/>
        <v>1.460006667</v>
      </c>
      <c r="E1903" s="184">
        <f t="shared" si="559"/>
        <v>1.368121667</v>
      </c>
      <c r="F1903" s="184">
        <f t="shared" si="559"/>
        <v>1.309518333</v>
      </c>
      <c r="G1903" s="184">
        <f t="shared" si="559"/>
        <v>1.225593333</v>
      </c>
      <c r="H1903" s="184">
        <f t="shared" si="559"/>
        <v>1.200271667</v>
      </c>
      <c r="I1903" s="184">
        <f t="shared" si="559"/>
        <v>1.284196667</v>
      </c>
      <c r="J1903" s="184">
        <f t="shared" si="559"/>
        <v>1.284196667</v>
      </c>
      <c r="K1903" s="184">
        <f t="shared" si="559"/>
        <v>1.284196667</v>
      </c>
      <c r="L1903" s="184">
        <f t="shared" si="559"/>
        <v>1.258875</v>
      </c>
      <c r="M1903" s="184">
        <f t="shared" si="559"/>
        <v>1.233553333</v>
      </c>
      <c r="N1903" s="184">
        <f t="shared" si="559"/>
        <v>1.963556667</v>
      </c>
      <c r="O1903" s="5"/>
      <c r="P1903" s="5"/>
      <c r="Q1903" s="5"/>
      <c r="R1903" s="5"/>
      <c r="S1903" s="5"/>
      <c r="T1903" s="5"/>
      <c r="U1903" s="5"/>
      <c r="V1903" s="5"/>
      <c r="W1903" s="5"/>
      <c r="X1903" s="5"/>
      <c r="Y1903" s="5"/>
      <c r="Z1903" s="5"/>
    </row>
    <row r="1904" ht="12.0" customHeight="1">
      <c r="A1904" s="186" t="s">
        <v>637</v>
      </c>
      <c r="B1904" s="4"/>
      <c r="C1904" s="274">
        <f>'Resumen Capacidad'!$E$123</f>
        <v>20.51162791</v>
      </c>
      <c r="D1904" s="274">
        <f>'Resumen Capacidad'!$E$123</f>
        <v>20.51162791</v>
      </c>
      <c r="E1904" s="274">
        <f>'Resumen Capacidad'!$E$123</f>
        <v>20.51162791</v>
      </c>
      <c r="F1904" s="274">
        <f>'Resumen Capacidad'!$E$123</f>
        <v>20.51162791</v>
      </c>
      <c r="G1904" s="274">
        <f>'Resumen Capacidad'!$E$123</f>
        <v>20.51162791</v>
      </c>
      <c r="H1904" s="274">
        <f>'Resumen Capacidad'!$E$123</f>
        <v>20.51162791</v>
      </c>
      <c r="I1904" s="274">
        <f>'Resumen Capacidad'!$E$123</f>
        <v>20.51162791</v>
      </c>
      <c r="J1904" s="274">
        <f>'Resumen Capacidad'!$E$123</f>
        <v>20.51162791</v>
      </c>
      <c r="K1904" s="274">
        <f>'Resumen Capacidad'!$E$123</f>
        <v>20.51162791</v>
      </c>
      <c r="L1904" s="274">
        <f>'Resumen Capacidad'!$E$123</f>
        <v>20.51162791</v>
      </c>
      <c r="M1904" s="274">
        <f>'Resumen Capacidad'!$E$123</f>
        <v>20.51162791</v>
      </c>
      <c r="N1904" s="274">
        <f>'Resumen Capacidad'!$E$123</f>
        <v>20.51162791</v>
      </c>
      <c r="O1904" s="5"/>
      <c r="P1904" s="5"/>
      <c r="Q1904" s="5"/>
      <c r="R1904" s="5"/>
      <c r="S1904" s="5"/>
      <c r="T1904" s="5"/>
      <c r="U1904" s="5"/>
      <c r="V1904" s="5"/>
      <c r="W1904" s="5"/>
      <c r="X1904" s="5"/>
      <c r="Y1904" s="5"/>
      <c r="Z1904" s="5"/>
    </row>
    <row r="1905" ht="12.0" customHeight="1">
      <c r="A1905" s="186" t="s">
        <v>640</v>
      </c>
      <c r="B1905" s="4"/>
      <c r="C1905" s="148">
        <f>'Resumen Capacidad'!$E$41*'Resumen Capacidad'!$E$77</f>
        <v>1</v>
      </c>
      <c r="D1905" s="148">
        <f>'Resumen Capacidad'!$E$41*'Resumen Capacidad'!$E$77</f>
        <v>1</v>
      </c>
      <c r="E1905" s="148">
        <f>'Resumen Capacidad'!$E$41*'Resumen Capacidad'!$E$77</f>
        <v>1</v>
      </c>
      <c r="F1905" s="148">
        <f>'Resumen Capacidad'!$E$41*'Resumen Capacidad'!$E$77</f>
        <v>1</v>
      </c>
      <c r="G1905" s="148">
        <f>'Resumen Capacidad'!$E$41*'Resumen Capacidad'!$E$77</f>
        <v>1</v>
      </c>
      <c r="H1905" s="148">
        <f>'Resumen Capacidad'!$E$41*'Resumen Capacidad'!$E$77</f>
        <v>1</v>
      </c>
      <c r="I1905" s="148">
        <f>'Resumen Capacidad'!$E$41*'Resumen Capacidad'!$E$77</f>
        <v>1</v>
      </c>
      <c r="J1905" s="148">
        <f>'Resumen Capacidad'!$E$41*'Resumen Capacidad'!$E$77</f>
        <v>1</v>
      </c>
      <c r="K1905" s="148">
        <f>'Resumen Capacidad'!$E$41*'Resumen Capacidad'!$E$77</f>
        <v>1</v>
      </c>
      <c r="L1905" s="148">
        <f>'Resumen Capacidad'!$E$41*'Resumen Capacidad'!$E$77</f>
        <v>1</v>
      </c>
      <c r="M1905" s="148">
        <f>'Resumen Capacidad'!$E$41*'Resumen Capacidad'!$E$77</f>
        <v>1</v>
      </c>
      <c r="N1905" s="148">
        <f>'Resumen Capacidad'!$E$41*'Resumen Capacidad'!$E$77</f>
        <v>1</v>
      </c>
      <c r="O1905" s="5"/>
      <c r="P1905" s="5"/>
      <c r="Q1905" s="5"/>
      <c r="R1905" s="5"/>
      <c r="S1905" s="5"/>
      <c r="T1905" s="5"/>
      <c r="U1905" s="5"/>
      <c r="V1905" s="5"/>
      <c r="W1905" s="5"/>
      <c r="X1905" s="5"/>
      <c r="Y1905" s="5"/>
      <c r="Z1905" s="5"/>
    </row>
    <row r="1906" ht="12.0" customHeight="1">
      <c r="A1906" s="186" t="s">
        <v>642</v>
      </c>
      <c r="B1906" s="4"/>
      <c r="C1906" s="184">
        <f t="shared" ref="C1906:N1906" si="560">C1904*C1905</f>
        <v>20.51162791</v>
      </c>
      <c r="D1906" s="184">
        <f t="shared" si="560"/>
        <v>20.51162791</v>
      </c>
      <c r="E1906" s="184">
        <f t="shared" si="560"/>
        <v>20.51162791</v>
      </c>
      <c r="F1906" s="184">
        <f t="shared" si="560"/>
        <v>20.51162791</v>
      </c>
      <c r="G1906" s="184">
        <f t="shared" si="560"/>
        <v>20.51162791</v>
      </c>
      <c r="H1906" s="184">
        <f t="shared" si="560"/>
        <v>20.51162791</v>
      </c>
      <c r="I1906" s="184">
        <f t="shared" si="560"/>
        <v>20.51162791</v>
      </c>
      <c r="J1906" s="184">
        <f t="shared" si="560"/>
        <v>20.51162791</v>
      </c>
      <c r="K1906" s="184">
        <f t="shared" si="560"/>
        <v>20.51162791</v>
      </c>
      <c r="L1906" s="184">
        <f t="shared" si="560"/>
        <v>20.51162791</v>
      </c>
      <c r="M1906" s="184">
        <f t="shared" si="560"/>
        <v>20.51162791</v>
      </c>
      <c r="N1906" s="184">
        <f t="shared" si="560"/>
        <v>20.51162791</v>
      </c>
      <c r="O1906" s="5"/>
      <c r="P1906" s="5"/>
      <c r="Q1906" s="5"/>
      <c r="R1906" s="5"/>
      <c r="S1906" s="5"/>
      <c r="T1906" s="5"/>
      <c r="U1906" s="5"/>
      <c r="V1906" s="5"/>
      <c r="W1906" s="5"/>
      <c r="X1906" s="5"/>
      <c r="Y1906" s="5"/>
      <c r="Z1906" s="5"/>
    </row>
    <row r="1907" ht="12.0" customHeight="1">
      <c r="A1907" s="186" t="s">
        <v>643</v>
      </c>
      <c r="B1907" s="4"/>
      <c r="C1907" s="148">
        <f t="shared" ref="C1907:N1907" si="561">IF(C1906=0,0,C1903/C1906)</f>
        <v>0.09325994709</v>
      </c>
      <c r="D1907" s="148">
        <f t="shared" si="561"/>
        <v>0.07117946334</v>
      </c>
      <c r="E1907" s="148">
        <f t="shared" si="561"/>
        <v>0.06669980915</v>
      </c>
      <c r="F1907" s="148">
        <f t="shared" si="561"/>
        <v>0.06384273054</v>
      </c>
      <c r="G1907" s="148">
        <f t="shared" si="561"/>
        <v>0.0597511489</v>
      </c>
      <c r="H1907" s="148">
        <f t="shared" si="561"/>
        <v>0.05851664588</v>
      </c>
      <c r="I1907" s="148">
        <f t="shared" si="561"/>
        <v>0.06260822751</v>
      </c>
      <c r="J1907" s="148">
        <f t="shared" si="561"/>
        <v>0.06260822751</v>
      </c>
      <c r="K1907" s="148">
        <f t="shared" si="561"/>
        <v>0.06260822751</v>
      </c>
      <c r="L1907" s="148">
        <f t="shared" si="561"/>
        <v>0.06137372449</v>
      </c>
      <c r="M1907" s="148">
        <f t="shared" si="561"/>
        <v>0.06013922147</v>
      </c>
      <c r="N1907" s="148">
        <f t="shared" si="561"/>
        <v>0.09572895314</v>
      </c>
      <c r="O1907" s="5"/>
      <c r="P1907" s="5"/>
      <c r="Q1907" s="5"/>
      <c r="R1907" s="5"/>
      <c r="S1907" s="5"/>
      <c r="T1907" s="5"/>
      <c r="U1907" s="5"/>
      <c r="V1907" s="5"/>
      <c r="W1907" s="5"/>
      <c r="X1907" s="5"/>
      <c r="Y1907" s="5"/>
      <c r="Z1907" s="5"/>
    </row>
    <row r="1908" ht="12.0" customHeight="1">
      <c r="A1908" s="177" t="s">
        <v>1622</v>
      </c>
      <c r="B1908" s="178"/>
      <c r="C1908" s="178"/>
      <c r="D1908" s="178"/>
      <c r="E1908" s="178"/>
      <c r="F1908" s="178"/>
      <c r="G1908" s="178"/>
      <c r="H1908" s="178"/>
      <c r="I1908" s="178"/>
      <c r="J1908" s="178"/>
      <c r="K1908" s="178"/>
      <c r="L1908" s="178"/>
      <c r="M1908" s="178"/>
      <c r="N1908" s="179"/>
      <c r="O1908" s="5"/>
      <c r="P1908" s="5"/>
      <c r="Q1908" s="5"/>
      <c r="R1908" s="5"/>
      <c r="S1908" s="5"/>
      <c r="T1908" s="5"/>
      <c r="U1908" s="5"/>
      <c r="V1908" s="5"/>
      <c r="W1908" s="5"/>
      <c r="X1908" s="5"/>
      <c r="Y1908" s="5"/>
      <c r="Z1908" s="5"/>
    </row>
    <row r="1909" ht="12.0" customHeight="1">
      <c r="A1909" s="180" t="s">
        <v>630</v>
      </c>
      <c r="B1909" s="180" t="s">
        <v>631</v>
      </c>
      <c r="C1909" s="286" t="s">
        <v>3</v>
      </c>
      <c r="D1909" s="286" t="s">
        <v>4</v>
      </c>
      <c r="E1909" s="286" t="s">
        <v>5</v>
      </c>
      <c r="F1909" s="286" t="s">
        <v>6</v>
      </c>
      <c r="G1909" s="286" t="s">
        <v>7</v>
      </c>
      <c r="H1909" s="286" t="s">
        <v>8</v>
      </c>
      <c r="I1909" s="286" t="s">
        <v>9</v>
      </c>
      <c r="J1909" s="286" t="s">
        <v>10</v>
      </c>
      <c r="K1909" s="286" t="s">
        <v>11</v>
      </c>
      <c r="L1909" s="286" t="s">
        <v>12</v>
      </c>
      <c r="M1909" s="286" t="s">
        <v>13</v>
      </c>
      <c r="N1909" s="286" t="s">
        <v>14</v>
      </c>
      <c r="O1909" s="5"/>
      <c r="P1909" s="5"/>
      <c r="Q1909" s="5"/>
      <c r="R1909" s="5"/>
      <c r="S1909" s="5"/>
      <c r="T1909" s="5"/>
      <c r="U1909" s="5"/>
      <c r="V1909" s="5"/>
      <c r="W1909" s="5"/>
      <c r="X1909" s="5"/>
      <c r="Y1909" s="5"/>
      <c r="Z1909" s="5"/>
    </row>
    <row r="1910" ht="12.0" customHeight="1">
      <c r="A1910" s="181" t="s">
        <v>1623</v>
      </c>
      <c r="B1910" s="125" t="s">
        <v>633</v>
      </c>
      <c r="C1910" s="182">
        <f>'2029'!B6+'2029'!B17</f>
        <v>4219.44</v>
      </c>
      <c r="D1910" s="182">
        <f>'2029'!C6+'2029'!C17</f>
        <v>3164.58</v>
      </c>
      <c r="E1910" s="182">
        <f>'2029'!D6+'2029'!D17</f>
        <v>2812.96</v>
      </c>
      <c r="F1910" s="182">
        <f>'2029'!E6+'2029'!E17</f>
        <v>2637.15</v>
      </c>
      <c r="G1910" s="182">
        <f>'2029'!F6+'2029'!F17</f>
        <v>2461.34</v>
      </c>
      <c r="H1910" s="182">
        <f>'2029'!G6+'2029'!G17</f>
        <v>2461.34</v>
      </c>
      <c r="I1910" s="182">
        <f>'2029'!H6+'2029'!H17</f>
        <v>2637.15</v>
      </c>
      <c r="J1910" s="182">
        <f>'2029'!I6+'2029'!I17</f>
        <v>2637.15</v>
      </c>
      <c r="K1910" s="182">
        <f>'2029'!J6+'2029'!J17</f>
        <v>2637.15</v>
      </c>
      <c r="L1910" s="182">
        <f>'2029'!K6+'2029'!K17</f>
        <v>2637.15</v>
      </c>
      <c r="M1910" s="182">
        <f>'2029'!L6+'2029'!L17</f>
        <v>2637.15</v>
      </c>
      <c r="N1910" s="182">
        <f>'2029'!M6+'2029'!M17</f>
        <v>4219.44</v>
      </c>
      <c r="O1910" s="5"/>
      <c r="P1910" s="5"/>
      <c r="Q1910" s="5"/>
      <c r="R1910" s="5"/>
      <c r="S1910" s="5"/>
      <c r="T1910" s="5"/>
      <c r="U1910" s="5"/>
      <c r="V1910" s="5"/>
      <c r="W1910" s="5"/>
      <c r="X1910" s="5"/>
      <c r="Y1910" s="5"/>
      <c r="Z1910" s="5"/>
    </row>
    <row r="1911" ht="12.0" customHeight="1">
      <c r="A1911" s="183"/>
      <c r="B1911" s="125" t="s">
        <v>634</v>
      </c>
      <c r="C1911" s="184">
        <f>C1910/Parametros!$B$37</f>
        <v>210.972</v>
      </c>
      <c r="D1911" s="184">
        <f>D1910/Parametros!$B$37</f>
        <v>158.229</v>
      </c>
      <c r="E1911" s="184">
        <f>E1910/Parametros!$B$37</f>
        <v>140.648</v>
      </c>
      <c r="F1911" s="184">
        <f>F1910/Parametros!$B$37</f>
        <v>131.8575</v>
      </c>
      <c r="G1911" s="184">
        <f>G1910/Parametros!$B$37</f>
        <v>123.067</v>
      </c>
      <c r="H1911" s="184">
        <f>H1910/Parametros!$B$37</f>
        <v>123.067</v>
      </c>
      <c r="I1911" s="184">
        <f>I1910/Parametros!$B$37</f>
        <v>131.8575</v>
      </c>
      <c r="J1911" s="184">
        <f>J1910/Parametros!$B$37</f>
        <v>131.8575</v>
      </c>
      <c r="K1911" s="184">
        <f>K1910/Parametros!$B$37</f>
        <v>131.8575</v>
      </c>
      <c r="L1911" s="184">
        <f>L1910/Parametros!$B$37</f>
        <v>131.8575</v>
      </c>
      <c r="M1911" s="184">
        <f>M1910/Parametros!$B$37</f>
        <v>131.8575</v>
      </c>
      <c r="N1911" s="184">
        <f>N1910/Parametros!$B$37</f>
        <v>210.972</v>
      </c>
      <c r="O1911" s="5"/>
      <c r="P1911" s="5"/>
      <c r="Q1911" s="5"/>
      <c r="R1911" s="5"/>
      <c r="S1911" s="5"/>
      <c r="T1911" s="5"/>
      <c r="U1911" s="5"/>
      <c r="V1911" s="5"/>
      <c r="W1911" s="5"/>
      <c r="X1911" s="5"/>
      <c r="Y1911" s="5"/>
      <c r="Z1911" s="5"/>
    </row>
    <row r="1912" ht="12.0" customHeight="1">
      <c r="A1912" s="185"/>
      <c r="B1912" s="125" t="s">
        <v>635</v>
      </c>
      <c r="C1912" s="184">
        <f>C1911/Parametros!$J$37</f>
        <v>28.1296</v>
      </c>
      <c r="D1912" s="184">
        <f>D1911/Parametros!$J$37</f>
        <v>21.0972</v>
      </c>
      <c r="E1912" s="184">
        <f>E1911/Parametros!$J$37</f>
        <v>18.75306667</v>
      </c>
      <c r="F1912" s="184">
        <f>F1911/Parametros!$J$37</f>
        <v>17.581</v>
      </c>
      <c r="G1912" s="184">
        <f>G1911/Parametros!$J$37</f>
        <v>16.40893333</v>
      </c>
      <c r="H1912" s="184">
        <f>H1911/Parametros!$J$37</f>
        <v>16.40893333</v>
      </c>
      <c r="I1912" s="184">
        <f>I1911/Parametros!$J$37</f>
        <v>17.581</v>
      </c>
      <c r="J1912" s="184">
        <f>J1911/Parametros!$J$37</f>
        <v>17.581</v>
      </c>
      <c r="K1912" s="184">
        <f>K1911/Parametros!$J$37</f>
        <v>17.581</v>
      </c>
      <c r="L1912" s="184">
        <f>L1911/Parametros!$J$37</f>
        <v>17.581</v>
      </c>
      <c r="M1912" s="184">
        <f>M1911/Parametros!$J$37</f>
        <v>17.581</v>
      </c>
      <c r="N1912" s="184">
        <f>N1911/Parametros!$J$37</f>
        <v>28.1296</v>
      </c>
      <c r="O1912" s="5"/>
      <c r="P1912" s="5"/>
      <c r="Q1912" s="5"/>
      <c r="R1912" s="5"/>
      <c r="S1912" s="5"/>
      <c r="T1912" s="5"/>
      <c r="U1912" s="5"/>
      <c r="V1912" s="5"/>
      <c r="W1912" s="5"/>
      <c r="X1912" s="5"/>
      <c r="Y1912" s="5"/>
      <c r="Z1912" s="5"/>
    </row>
    <row r="1913" ht="12.0" customHeight="1">
      <c r="A1913" s="186" t="s">
        <v>636</v>
      </c>
      <c r="B1913" s="4"/>
      <c r="C1913" s="184">
        <f t="shared" ref="C1913:N1913" si="562">C1912</f>
        <v>28.1296</v>
      </c>
      <c r="D1913" s="184">
        <f t="shared" si="562"/>
        <v>21.0972</v>
      </c>
      <c r="E1913" s="184">
        <f t="shared" si="562"/>
        <v>18.75306667</v>
      </c>
      <c r="F1913" s="184">
        <f t="shared" si="562"/>
        <v>17.581</v>
      </c>
      <c r="G1913" s="184">
        <f t="shared" si="562"/>
        <v>16.40893333</v>
      </c>
      <c r="H1913" s="184">
        <f t="shared" si="562"/>
        <v>16.40893333</v>
      </c>
      <c r="I1913" s="184">
        <f t="shared" si="562"/>
        <v>17.581</v>
      </c>
      <c r="J1913" s="184">
        <f t="shared" si="562"/>
        <v>17.581</v>
      </c>
      <c r="K1913" s="184">
        <f t="shared" si="562"/>
        <v>17.581</v>
      </c>
      <c r="L1913" s="184">
        <f t="shared" si="562"/>
        <v>17.581</v>
      </c>
      <c r="M1913" s="184">
        <f t="shared" si="562"/>
        <v>17.581</v>
      </c>
      <c r="N1913" s="184">
        <f t="shared" si="562"/>
        <v>28.1296</v>
      </c>
      <c r="O1913" s="5"/>
      <c r="P1913" s="5"/>
      <c r="Q1913" s="5"/>
      <c r="R1913" s="5"/>
      <c r="S1913" s="5"/>
      <c r="T1913" s="5"/>
      <c r="U1913" s="5"/>
      <c r="V1913" s="5"/>
      <c r="W1913" s="5"/>
      <c r="X1913" s="5"/>
      <c r="Y1913" s="5"/>
      <c r="Z1913" s="5"/>
    </row>
    <row r="1914" ht="12.0" customHeight="1">
      <c r="A1914" s="186" t="s">
        <v>637</v>
      </c>
      <c r="B1914" s="4"/>
      <c r="C1914" s="274">
        <f>'Resumen Capacidad'!$E$130</f>
        <v>75.21428571</v>
      </c>
      <c r="D1914" s="274">
        <f>'Resumen Capacidad'!$E$130</f>
        <v>75.21428571</v>
      </c>
      <c r="E1914" s="274">
        <f>'Resumen Capacidad'!$E$130</f>
        <v>75.21428571</v>
      </c>
      <c r="F1914" s="274">
        <f>'Resumen Capacidad'!$E$130</f>
        <v>75.21428571</v>
      </c>
      <c r="G1914" s="274">
        <f>'Resumen Capacidad'!$E$130</f>
        <v>75.21428571</v>
      </c>
      <c r="H1914" s="274">
        <f>'Resumen Capacidad'!$E$130</f>
        <v>75.21428571</v>
      </c>
      <c r="I1914" s="274">
        <f>'Resumen Capacidad'!$E$130</f>
        <v>75.21428571</v>
      </c>
      <c r="J1914" s="274">
        <f>'Resumen Capacidad'!$E$130</f>
        <v>75.21428571</v>
      </c>
      <c r="K1914" s="274">
        <f>'Resumen Capacidad'!$E$130</f>
        <v>75.21428571</v>
      </c>
      <c r="L1914" s="274">
        <f>'Resumen Capacidad'!$E$130</f>
        <v>75.21428571</v>
      </c>
      <c r="M1914" s="274">
        <f>'Resumen Capacidad'!$E$130</f>
        <v>75.21428571</v>
      </c>
      <c r="N1914" s="274">
        <f>'Resumen Capacidad'!$E$130</f>
        <v>75.21428571</v>
      </c>
      <c r="O1914" s="5"/>
      <c r="P1914" s="5"/>
      <c r="Q1914" s="5"/>
      <c r="R1914" s="5"/>
      <c r="S1914" s="5"/>
      <c r="T1914" s="5"/>
      <c r="U1914" s="5"/>
      <c r="V1914" s="5"/>
      <c r="W1914" s="5"/>
      <c r="X1914" s="5"/>
      <c r="Y1914" s="5"/>
      <c r="Z1914" s="5"/>
    </row>
    <row r="1915" ht="12.0" customHeight="1">
      <c r="A1915" s="186" t="s">
        <v>640</v>
      </c>
      <c r="B1915" s="4"/>
      <c r="C1915" s="148">
        <f>'Resumen Capacidad'!$E$48*'Resumen Capacidad'!$E$84</f>
        <v>1</v>
      </c>
      <c r="D1915" s="148">
        <f>'Resumen Capacidad'!$E$48*'Resumen Capacidad'!$E$84</f>
        <v>1</v>
      </c>
      <c r="E1915" s="148">
        <f>'Resumen Capacidad'!$E$48*'Resumen Capacidad'!$E$84</f>
        <v>1</v>
      </c>
      <c r="F1915" s="148">
        <f>'Resumen Capacidad'!$E$48*'Resumen Capacidad'!$E$84</f>
        <v>1</v>
      </c>
      <c r="G1915" s="148">
        <f>'Resumen Capacidad'!$E$48*'Resumen Capacidad'!$E$84</f>
        <v>1</v>
      </c>
      <c r="H1915" s="148">
        <f>'Resumen Capacidad'!$E$48*'Resumen Capacidad'!$E$84</f>
        <v>1</v>
      </c>
      <c r="I1915" s="148">
        <f>'Resumen Capacidad'!$E$48*'Resumen Capacidad'!$E$84</f>
        <v>1</v>
      </c>
      <c r="J1915" s="148">
        <f>'Resumen Capacidad'!$E$48*'Resumen Capacidad'!$E$84</f>
        <v>1</v>
      </c>
      <c r="K1915" s="148">
        <f>'Resumen Capacidad'!$E$48*'Resumen Capacidad'!$E$84</f>
        <v>1</v>
      </c>
      <c r="L1915" s="148">
        <f>'Resumen Capacidad'!$E$48*'Resumen Capacidad'!$E$84</f>
        <v>1</v>
      </c>
      <c r="M1915" s="148">
        <f>'Resumen Capacidad'!$E$48*'Resumen Capacidad'!$E$84</f>
        <v>1</v>
      </c>
      <c r="N1915" s="148">
        <f>'Resumen Capacidad'!$E$48*'Resumen Capacidad'!$E$84</f>
        <v>1</v>
      </c>
      <c r="O1915" s="5"/>
      <c r="P1915" s="5"/>
      <c r="Q1915" s="5"/>
      <c r="R1915" s="5"/>
      <c r="S1915" s="5"/>
      <c r="T1915" s="5"/>
      <c r="U1915" s="5"/>
      <c r="V1915" s="5"/>
      <c r="W1915" s="5"/>
      <c r="X1915" s="5"/>
      <c r="Y1915" s="5"/>
      <c r="Z1915" s="5"/>
    </row>
    <row r="1916" ht="12.0" customHeight="1">
      <c r="A1916" s="186" t="s">
        <v>642</v>
      </c>
      <c r="B1916" s="4"/>
      <c r="C1916" s="184">
        <f t="shared" ref="C1916:N1916" si="563">C1914*C1915</f>
        <v>75.21428571</v>
      </c>
      <c r="D1916" s="184">
        <f t="shared" si="563"/>
        <v>75.21428571</v>
      </c>
      <c r="E1916" s="184">
        <f t="shared" si="563"/>
        <v>75.21428571</v>
      </c>
      <c r="F1916" s="184">
        <f t="shared" si="563"/>
        <v>75.21428571</v>
      </c>
      <c r="G1916" s="184">
        <f t="shared" si="563"/>
        <v>75.21428571</v>
      </c>
      <c r="H1916" s="184">
        <f t="shared" si="563"/>
        <v>75.21428571</v>
      </c>
      <c r="I1916" s="184">
        <f t="shared" si="563"/>
        <v>75.21428571</v>
      </c>
      <c r="J1916" s="184">
        <f t="shared" si="563"/>
        <v>75.21428571</v>
      </c>
      <c r="K1916" s="184">
        <f t="shared" si="563"/>
        <v>75.21428571</v>
      </c>
      <c r="L1916" s="184">
        <f t="shared" si="563"/>
        <v>75.21428571</v>
      </c>
      <c r="M1916" s="184">
        <f t="shared" si="563"/>
        <v>75.21428571</v>
      </c>
      <c r="N1916" s="184">
        <f t="shared" si="563"/>
        <v>75.21428571</v>
      </c>
      <c r="O1916" s="5"/>
      <c r="P1916" s="5"/>
      <c r="Q1916" s="5"/>
      <c r="R1916" s="5"/>
      <c r="S1916" s="5"/>
      <c r="T1916" s="5"/>
      <c r="U1916" s="5"/>
      <c r="V1916" s="5"/>
      <c r="W1916" s="5"/>
      <c r="X1916" s="5"/>
      <c r="Y1916" s="5"/>
      <c r="Z1916" s="5"/>
    </row>
    <row r="1917" ht="12.0" customHeight="1">
      <c r="A1917" s="186" t="s">
        <v>643</v>
      </c>
      <c r="B1917" s="4"/>
      <c r="C1917" s="148">
        <f t="shared" ref="C1917:N1917" si="564">IF(C1916=0,0,C1913/C1916)</f>
        <v>0.3739927825</v>
      </c>
      <c r="D1917" s="148">
        <f t="shared" si="564"/>
        <v>0.2804945869</v>
      </c>
      <c r="E1917" s="148">
        <f t="shared" si="564"/>
        <v>0.2493285217</v>
      </c>
      <c r="F1917" s="148">
        <f t="shared" si="564"/>
        <v>0.2337454891</v>
      </c>
      <c r="G1917" s="148">
        <f t="shared" si="564"/>
        <v>0.2181624565</v>
      </c>
      <c r="H1917" s="148">
        <f t="shared" si="564"/>
        <v>0.2181624565</v>
      </c>
      <c r="I1917" s="148">
        <f t="shared" si="564"/>
        <v>0.2337454891</v>
      </c>
      <c r="J1917" s="148">
        <f t="shared" si="564"/>
        <v>0.2337454891</v>
      </c>
      <c r="K1917" s="148">
        <f t="shared" si="564"/>
        <v>0.2337454891</v>
      </c>
      <c r="L1917" s="148">
        <f t="shared" si="564"/>
        <v>0.2337454891</v>
      </c>
      <c r="M1917" s="148">
        <f t="shared" si="564"/>
        <v>0.2337454891</v>
      </c>
      <c r="N1917" s="148">
        <f t="shared" si="564"/>
        <v>0.3739927825</v>
      </c>
      <c r="O1917" s="5"/>
      <c r="P1917" s="5"/>
      <c r="Q1917" s="5"/>
      <c r="R1917" s="5"/>
      <c r="S1917" s="5"/>
      <c r="T1917" s="5"/>
      <c r="U1917" s="5"/>
      <c r="V1917" s="5"/>
      <c r="W1917" s="5"/>
      <c r="X1917" s="5"/>
      <c r="Y1917" s="5"/>
      <c r="Z1917" s="5"/>
    </row>
    <row r="1918" ht="12.0" customHeight="1">
      <c r="A1918" s="11"/>
      <c r="B1918" s="11"/>
      <c r="C1918" s="285"/>
      <c r="D1918" s="285"/>
      <c r="E1918" s="285"/>
      <c r="F1918" s="285"/>
      <c r="G1918" s="285"/>
      <c r="H1918" s="285"/>
      <c r="I1918" s="285"/>
      <c r="J1918" s="285"/>
      <c r="K1918" s="285"/>
      <c r="L1918" s="285"/>
      <c r="M1918" s="285"/>
      <c r="N1918" s="285"/>
      <c r="O1918" s="5"/>
      <c r="P1918" s="5"/>
      <c r="Q1918" s="5"/>
      <c r="R1918" s="5"/>
      <c r="S1918" s="5"/>
      <c r="T1918" s="5"/>
      <c r="U1918" s="5"/>
      <c r="V1918" s="5"/>
      <c r="W1918" s="5"/>
      <c r="X1918" s="5"/>
      <c r="Y1918" s="5"/>
      <c r="Z1918" s="5"/>
    </row>
    <row r="1919" ht="12.0" customHeight="1">
      <c r="A1919" s="284" t="s">
        <v>1627</v>
      </c>
      <c r="B1919" s="11"/>
      <c r="C1919" s="285"/>
      <c r="D1919" s="285"/>
      <c r="E1919" s="285"/>
      <c r="F1919" s="285"/>
      <c r="G1919" s="285"/>
      <c r="H1919" s="285"/>
      <c r="I1919" s="285"/>
      <c r="J1919" s="285"/>
      <c r="K1919" s="285"/>
      <c r="L1919" s="285"/>
      <c r="M1919" s="285"/>
      <c r="N1919" s="285"/>
      <c r="O1919" s="5"/>
      <c r="P1919" s="5"/>
      <c r="Q1919" s="5"/>
      <c r="R1919" s="5"/>
      <c r="S1919" s="5"/>
      <c r="T1919" s="5"/>
      <c r="U1919" s="5"/>
      <c r="V1919" s="5"/>
      <c r="W1919" s="5"/>
      <c r="X1919" s="5"/>
      <c r="Y1919" s="5"/>
      <c r="Z1919" s="5"/>
    </row>
    <row r="1920" ht="12.0" customHeight="1">
      <c r="A1920" s="177" t="s">
        <v>1620</v>
      </c>
      <c r="B1920" s="178"/>
      <c r="C1920" s="178"/>
      <c r="D1920" s="178"/>
      <c r="E1920" s="178"/>
      <c r="F1920" s="178"/>
      <c r="G1920" s="178"/>
      <c r="H1920" s="178"/>
      <c r="I1920" s="178"/>
      <c r="J1920" s="178"/>
      <c r="K1920" s="178"/>
      <c r="L1920" s="178"/>
      <c r="M1920" s="178"/>
      <c r="N1920" s="179"/>
      <c r="O1920" s="5"/>
      <c r="P1920" s="5"/>
      <c r="Q1920" s="5"/>
      <c r="R1920" s="5"/>
      <c r="S1920" s="5"/>
      <c r="T1920" s="5"/>
      <c r="U1920" s="5"/>
      <c r="V1920" s="5"/>
      <c r="W1920" s="5"/>
      <c r="X1920" s="5"/>
      <c r="Y1920" s="5"/>
      <c r="Z1920" s="5"/>
    </row>
    <row r="1921" ht="12.0" customHeight="1">
      <c r="A1921" s="180" t="s">
        <v>630</v>
      </c>
      <c r="B1921" s="180" t="s">
        <v>631</v>
      </c>
      <c r="C1921" s="286" t="s">
        <v>3</v>
      </c>
      <c r="D1921" s="286" t="s">
        <v>4</v>
      </c>
      <c r="E1921" s="286" t="s">
        <v>5</v>
      </c>
      <c r="F1921" s="286" t="s">
        <v>6</v>
      </c>
      <c r="G1921" s="286" t="s">
        <v>7</v>
      </c>
      <c r="H1921" s="286" t="s">
        <v>8</v>
      </c>
      <c r="I1921" s="286" t="s">
        <v>9</v>
      </c>
      <c r="J1921" s="286" t="s">
        <v>10</v>
      </c>
      <c r="K1921" s="286" t="s">
        <v>11</v>
      </c>
      <c r="L1921" s="286" t="s">
        <v>12</v>
      </c>
      <c r="M1921" s="286" t="s">
        <v>13</v>
      </c>
      <c r="N1921" s="286" t="s">
        <v>14</v>
      </c>
      <c r="O1921" s="5"/>
      <c r="P1921" s="5"/>
      <c r="Q1921" s="5"/>
      <c r="R1921" s="5"/>
      <c r="S1921" s="5"/>
      <c r="T1921" s="5"/>
      <c r="U1921" s="5"/>
      <c r="V1921" s="5"/>
      <c r="W1921" s="5"/>
      <c r="X1921" s="5"/>
      <c r="Y1921" s="5"/>
      <c r="Z1921" s="5"/>
    </row>
    <row r="1922" ht="12.0" customHeight="1">
      <c r="A1922" s="181" t="s">
        <v>1621</v>
      </c>
      <c r="B1922" s="125" t="s">
        <v>633</v>
      </c>
      <c r="C1922" s="182">
        <f>(SUM('2030'!B6:B9)+SUM('2030'!B17:B20))*0.05</f>
        <v>501.651</v>
      </c>
      <c r="D1922" s="182">
        <f>(SUM('2030'!C6:C9)+SUM('2030'!C17:C20))*0.05</f>
        <v>382.686</v>
      </c>
      <c r="E1922" s="182">
        <f>(SUM('2030'!D6:D9)+SUM('2030'!D17:D20))*0.05</f>
        <v>358.07575</v>
      </c>
      <c r="F1922" s="182">
        <f>(SUM('2030'!E6:E9)+SUM('2030'!E17:E20))*0.05</f>
        <v>342.54675</v>
      </c>
      <c r="G1922" s="182">
        <f>(SUM('2030'!F6:F9)+SUM('2030'!F17:F20))*0.05</f>
        <v>320.57</v>
      </c>
      <c r="H1922" s="182">
        <f>(SUM('2030'!G6:G9)+SUM('2030'!G17:G20))*0.05</f>
        <v>314.12225</v>
      </c>
      <c r="I1922" s="182">
        <f>(SUM('2030'!H6:H9)+SUM('2030'!H17:H20))*0.05</f>
        <v>336.099</v>
      </c>
      <c r="J1922" s="182">
        <f>(SUM('2030'!I6:I9)+SUM('2030'!I17:I20))*0.05</f>
        <v>336.099</v>
      </c>
      <c r="K1922" s="182">
        <f>(SUM('2030'!J6:J9)+SUM('2030'!J17:J20))*0.05</f>
        <v>336.099</v>
      </c>
      <c r="L1922" s="182">
        <f>(SUM('2030'!K6:K9)+SUM('2030'!K17:K20))*0.05</f>
        <v>329.65125</v>
      </c>
      <c r="M1922" s="182">
        <f>(SUM('2030'!L6:L9)+SUM('2030'!L17:L20))*0.05</f>
        <v>323.2035</v>
      </c>
      <c r="N1922" s="182">
        <f>(SUM('2030'!M6:M9)+SUM('2030'!M17:M20))*0.05</f>
        <v>514.5465</v>
      </c>
      <c r="O1922" s="5"/>
      <c r="P1922" s="5"/>
      <c r="Q1922" s="5"/>
      <c r="R1922" s="5"/>
      <c r="S1922" s="5"/>
      <c r="T1922" s="5"/>
      <c r="U1922" s="5"/>
      <c r="V1922" s="5"/>
      <c r="W1922" s="5"/>
      <c r="X1922" s="5"/>
      <c r="Y1922" s="5"/>
      <c r="Z1922" s="5"/>
    </row>
    <row r="1923" ht="12.0" customHeight="1">
      <c r="A1923" s="183"/>
      <c r="B1923" s="125" t="s">
        <v>634</v>
      </c>
      <c r="C1923" s="184">
        <f>C1922/Parametros!$B$37</f>
        <v>25.08255</v>
      </c>
      <c r="D1923" s="184">
        <f>D1922/Parametros!$B$37</f>
        <v>19.1343</v>
      </c>
      <c r="E1923" s="184">
        <f>E1922/Parametros!$B$37</f>
        <v>17.9037875</v>
      </c>
      <c r="F1923" s="184">
        <f>F1922/Parametros!$B$37</f>
        <v>17.1273375</v>
      </c>
      <c r="G1923" s="184">
        <f>G1922/Parametros!$B$37</f>
        <v>16.0285</v>
      </c>
      <c r="H1923" s="184">
        <f>H1922/Parametros!$B$37</f>
        <v>15.7061125</v>
      </c>
      <c r="I1923" s="184">
        <f>I1922/Parametros!$B$37</f>
        <v>16.80495</v>
      </c>
      <c r="J1923" s="184">
        <f>J1922/Parametros!$B$37</f>
        <v>16.80495</v>
      </c>
      <c r="K1923" s="184">
        <f>K1922/Parametros!$B$37</f>
        <v>16.80495</v>
      </c>
      <c r="L1923" s="184">
        <f>L1922/Parametros!$B$37</f>
        <v>16.4825625</v>
      </c>
      <c r="M1923" s="184">
        <f>M1922/Parametros!$B$37</f>
        <v>16.160175</v>
      </c>
      <c r="N1923" s="184">
        <f>N1922/Parametros!$B$37</f>
        <v>25.727325</v>
      </c>
      <c r="O1923" s="5"/>
      <c r="P1923" s="5"/>
      <c r="Q1923" s="5"/>
      <c r="R1923" s="5"/>
      <c r="S1923" s="5"/>
      <c r="T1923" s="5"/>
      <c r="U1923" s="5"/>
      <c r="V1923" s="5"/>
      <c r="W1923" s="5"/>
      <c r="X1923" s="5"/>
      <c r="Y1923" s="5"/>
      <c r="Z1923" s="5"/>
    </row>
    <row r="1924" ht="12.0" customHeight="1">
      <c r="A1924" s="185"/>
      <c r="B1924" s="125" t="s">
        <v>635</v>
      </c>
      <c r="C1924" s="184">
        <f>C1923/Parametros!$J$37</f>
        <v>3.34434</v>
      </c>
      <c r="D1924" s="184">
        <f>D1923/Parametros!$J$37</f>
        <v>2.55124</v>
      </c>
      <c r="E1924" s="184">
        <f>E1923/Parametros!$J$37</f>
        <v>2.387171667</v>
      </c>
      <c r="F1924" s="184">
        <f>F1923/Parametros!$J$37</f>
        <v>2.283645</v>
      </c>
      <c r="G1924" s="184">
        <f>G1923/Parametros!$J$37</f>
        <v>2.137133333</v>
      </c>
      <c r="H1924" s="184">
        <f>H1923/Parametros!$J$37</f>
        <v>2.094148333</v>
      </c>
      <c r="I1924" s="184">
        <f>I1923/Parametros!$J$37</f>
        <v>2.24066</v>
      </c>
      <c r="J1924" s="184">
        <f>J1923/Parametros!$J$37</f>
        <v>2.24066</v>
      </c>
      <c r="K1924" s="184">
        <f>K1923/Parametros!$J$37</f>
        <v>2.24066</v>
      </c>
      <c r="L1924" s="184">
        <f>L1923/Parametros!$J$37</f>
        <v>2.197675</v>
      </c>
      <c r="M1924" s="184">
        <f>M1923/Parametros!$J$37</f>
        <v>2.15469</v>
      </c>
      <c r="N1924" s="184">
        <f>N1923/Parametros!$J$37</f>
        <v>3.43031</v>
      </c>
      <c r="O1924" s="5"/>
      <c r="P1924" s="5"/>
      <c r="Q1924" s="5"/>
      <c r="R1924" s="5"/>
      <c r="S1924" s="5"/>
      <c r="T1924" s="5"/>
      <c r="U1924" s="5"/>
      <c r="V1924" s="5"/>
      <c r="W1924" s="5"/>
      <c r="X1924" s="5"/>
      <c r="Y1924" s="5"/>
      <c r="Z1924" s="5"/>
    </row>
    <row r="1925" ht="12.0" customHeight="1">
      <c r="A1925" s="186" t="s">
        <v>636</v>
      </c>
      <c r="B1925" s="4"/>
      <c r="C1925" s="184">
        <f t="shared" ref="C1925:N1925" si="565">C1924</f>
        <v>3.34434</v>
      </c>
      <c r="D1925" s="184">
        <f t="shared" si="565"/>
        <v>2.55124</v>
      </c>
      <c r="E1925" s="184">
        <f t="shared" si="565"/>
        <v>2.387171667</v>
      </c>
      <c r="F1925" s="184">
        <f t="shared" si="565"/>
        <v>2.283645</v>
      </c>
      <c r="G1925" s="184">
        <f t="shared" si="565"/>
        <v>2.137133333</v>
      </c>
      <c r="H1925" s="184">
        <f t="shared" si="565"/>
        <v>2.094148333</v>
      </c>
      <c r="I1925" s="184">
        <f t="shared" si="565"/>
        <v>2.24066</v>
      </c>
      <c r="J1925" s="184">
        <f t="shared" si="565"/>
        <v>2.24066</v>
      </c>
      <c r="K1925" s="184">
        <f t="shared" si="565"/>
        <v>2.24066</v>
      </c>
      <c r="L1925" s="184">
        <f t="shared" si="565"/>
        <v>2.197675</v>
      </c>
      <c r="M1925" s="184">
        <f t="shared" si="565"/>
        <v>2.15469</v>
      </c>
      <c r="N1925" s="184">
        <f t="shared" si="565"/>
        <v>3.43031</v>
      </c>
      <c r="O1925" s="5"/>
      <c r="P1925" s="5"/>
      <c r="Q1925" s="5"/>
      <c r="R1925" s="5"/>
      <c r="S1925" s="5"/>
      <c r="T1925" s="5"/>
      <c r="U1925" s="5"/>
      <c r="V1925" s="5"/>
      <c r="W1925" s="5"/>
      <c r="X1925" s="5"/>
      <c r="Y1925" s="5"/>
      <c r="Z1925" s="5"/>
    </row>
    <row r="1926" ht="12.0" customHeight="1">
      <c r="A1926" s="186" t="s">
        <v>637</v>
      </c>
      <c r="B1926" s="4"/>
      <c r="C1926" s="274">
        <f>'Resumen Capacidad'!$F$123</f>
        <v>20.51162791</v>
      </c>
      <c r="D1926" s="274">
        <f>'Resumen Capacidad'!$F$123</f>
        <v>20.51162791</v>
      </c>
      <c r="E1926" s="274">
        <f>'Resumen Capacidad'!$F$123</f>
        <v>20.51162791</v>
      </c>
      <c r="F1926" s="274">
        <f>'Resumen Capacidad'!$F$123</f>
        <v>20.51162791</v>
      </c>
      <c r="G1926" s="274">
        <f>'Resumen Capacidad'!$F$123</f>
        <v>20.51162791</v>
      </c>
      <c r="H1926" s="274">
        <f>'Resumen Capacidad'!$F$123</f>
        <v>20.51162791</v>
      </c>
      <c r="I1926" s="274">
        <f>'Resumen Capacidad'!$F$123</f>
        <v>20.51162791</v>
      </c>
      <c r="J1926" s="274">
        <f>'Resumen Capacidad'!$F$123</f>
        <v>20.51162791</v>
      </c>
      <c r="K1926" s="274">
        <f>'Resumen Capacidad'!$F$123</f>
        <v>20.51162791</v>
      </c>
      <c r="L1926" s="274">
        <f>'Resumen Capacidad'!$F$123</f>
        <v>20.51162791</v>
      </c>
      <c r="M1926" s="274">
        <f>'Resumen Capacidad'!$F$123</f>
        <v>20.51162791</v>
      </c>
      <c r="N1926" s="274">
        <f>'Resumen Capacidad'!$F$123</f>
        <v>20.51162791</v>
      </c>
      <c r="O1926" s="5"/>
      <c r="P1926" s="5"/>
      <c r="Q1926" s="5"/>
      <c r="R1926" s="5"/>
      <c r="S1926" s="5"/>
      <c r="T1926" s="5"/>
      <c r="U1926" s="5"/>
      <c r="V1926" s="5"/>
      <c r="W1926" s="5"/>
      <c r="X1926" s="5"/>
      <c r="Y1926" s="5"/>
      <c r="Z1926" s="5"/>
    </row>
    <row r="1927" ht="12.0" customHeight="1">
      <c r="A1927" s="186" t="s">
        <v>640</v>
      </c>
      <c r="B1927" s="4"/>
      <c r="C1927" s="148">
        <f>'Resumen Capacidad'!$F$41*'Resumen Capacidad'!$F$77</f>
        <v>1</v>
      </c>
      <c r="D1927" s="148">
        <f>'Resumen Capacidad'!$F$41*'Resumen Capacidad'!$F$77</f>
        <v>1</v>
      </c>
      <c r="E1927" s="148">
        <f>'Resumen Capacidad'!$F$41*'Resumen Capacidad'!$F$77</f>
        <v>1</v>
      </c>
      <c r="F1927" s="148">
        <f>'Resumen Capacidad'!$F$41*'Resumen Capacidad'!$F$77</f>
        <v>1</v>
      </c>
      <c r="G1927" s="148">
        <f>'Resumen Capacidad'!$F$41*'Resumen Capacidad'!$F$77</f>
        <v>1</v>
      </c>
      <c r="H1927" s="148">
        <f>'Resumen Capacidad'!$F$41*'Resumen Capacidad'!$F$77</f>
        <v>1</v>
      </c>
      <c r="I1927" s="148">
        <f>'Resumen Capacidad'!$F$41*'Resumen Capacidad'!$F$77</f>
        <v>1</v>
      </c>
      <c r="J1927" s="148">
        <f>'Resumen Capacidad'!$F$41*'Resumen Capacidad'!$F$77</f>
        <v>1</v>
      </c>
      <c r="K1927" s="148">
        <f>'Resumen Capacidad'!$F$41*'Resumen Capacidad'!$F$77</f>
        <v>1</v>
      </c>
      <c r="L1927" s="148">
        <f>'Resumen Capacidad'!$F$41*'Resumen Capacidad'!$F$77</f>
        <v>1</v>
      </c>
      <c r="M1927" s="148">
        <f>'Resumen Capacidad'!$F$41*'Resumen Capacidad'!$F$77</f>
        <v>1</v>
      </c>
      <c r="N1927" s="148">
        <f>'Resumen Capacidad'!$F$41*'Resumen Capacidad'!$F$77</f>
        <v>1</v>
      </c>
      <c r="O1927" s="5"/>
      <c r="P1927" s="5"/>
      <c r="Q1927" s="5"/>
      <c r="R1927" s="5"/>
      <c r="S1927" s="5"/>
      <c r="T1927" s="5"/>
      <c r="U1927" s="5"/>
      <c r="V1927" s="5"/>
      <c r="W1927" s="5"/>
      <c r="X1927" s="5"/>
      <c r="Y1927" s="5"/>
      <c r="Z1927" s="5"/>
    </row>
    <row r="1928" ht="12.0" customHeight="1">
      <c r="A1928" s="186" t="s">
        <v>642</v>
      </c>
      <c r="B1928" s="4"/>
      <c r="C1928" s="184">
        <f t="shared" ref="C1928:N1928" si="566">C1926*C1927</f>
        <v>20.51162791</v>
      </c>
      <c r="D1928" s="184">
        <f t="shared" si="566"/>
        <v>20.51162791</v>
      </c>
      <c r="E1928" s="184">
        <f t="shared" si="566"/>
        <v>20.51162791</v>
      </c>
      <c r="F1928" s="184">
        <f t="shared" si="566"/>
        <v>20.51162791</v>
      </c>
      <c r="G1928" s="184">
        <f t="shared" si="566"/>
        <v>20.51162791</v>
      </c>
      <c r="H1928" s="184">
        <f t="shared" si="566"/>
        <v>20.51162791</v>
      </c>
      <c r="I1928" s="184">
        <f t="shared" si="566"/>
        <v>20.51162791</v>
      </c>
      <c r="J1928" s="184">
        <f t="shared" si="566"/>
        <v>20.51162791</v>
      </c>
      <c r="K1928" s="184">
        <f t="shared" si="566"/>
        <v>20.51162791</v>
      </c>
      <c r="L1928" s="184">
        <f t="shared" si="566"/>
        <v>20.51162791</v>
      </c>
      <c r="M1928" s="184">
        <f t="shared" si="566"/>
        <v>20.51162791</v>
      </c>
      <c r="N1928" s="184">
        <f t="shared" si="566"/>
        <v>20.51162791</v>
      </c>
      <c r="O1928" s="5"/>
      <c r="P1928" s="5"/>
      <c r="Q1928" s="5"/>
      <c r="R1928" s="5"/>
      <c r="S1928" s="5"/>
      <c r="T1928" s="5"/>
      <c r="U1928" s="5"/>
      <c r="V1928" s="5"/>
      <c r="W1928" s="5"/>
      <c r="X1928" s="5"/>
      <c r="Y1928" s="5"/>
      <c r="Z1928" s="5"/>
    </row>
    <row r="1929" ht="12.0" customHeight="1">
      <c r="A1929" s="186" t="s">
        <v>643</v>
      </c>
      <c r="B1929" s="4"/>
      <c r="C1929" s="148">
        <f t="shared" ref="C1929:N1929" si="567">IF(C1928=0,0,C1925/C1928)</f>
        <v>0.1630460544</v>
      </c>
      <c r="D1929" s="148">
        <f t="shared" si="567"/>
        <v>0.1243801814</v>
      </c>
      <c r="E1929" s="148">
        <f t="shared" si="567"/>
        <v>0.1163813851</v>
      </c>
      <c r="F1929" s="148">
        <f t="shared" si="567"/>
        <v>0.1113341667</v>
      </c>
      <c r="G1929" s="148">
        <f t="shared" si="567"/>
        <v>0.1041913076</v>
      </c>
      <c r="H1929" s="148">
        <f t="shared" si="567"/>
        <v>0.102095667</v>
      </c>
      <c r="I1929" s="148">
        <f t="shared" si="567"/>
        <v>0.1092385261</v>
      </c>
      <c r="J1929" s="148">
        <f t="shared" si="567"/>
        <v>0.1092385261</v>
      </c>
      <c r="K1929" s="148">
        <f t="shared" si="567"/>
        <v>0.1092385261</v>
      </c>
      <c r="L1929" s="148">
        <f t="shared" si="567"/>
        <v>0.1071428855</v>
      </c>
      <c r="M1929" s="148">
        <f t="shared" si="567"/>
        <v>0.1050472449</v>
      </c>
      <c r="N1929" s="148">
        <f t="shared" si="567"/>
        <v>0.1672373356</v>
      </c>
      <c r="O1929" s="5"/>
      <c r="P1929" s="5"/>
      <c r="Q1929" s="5"/>
      <c r="R1929" s="5"/>
      <c r="S1929" s="5"/>
      <c r="T1929" s="5"/>
      <c r="U1929" s="5"/>
      <c r="V1929" s="5"/>
      <c r="W1929" s="5"/>
      <c r="X1929" s="5"/>
      <c r="Y1929" s="5"/>
      <c r="Z1929" s="5"/>
    </row>
    <row r="1930" ht="12.0" customHeight="1">
      <c r="A1930" s="177" t="s">
        <v>1622</v>
      </c>
      <c r="B1930" s="178"/>
      <c r="C1930" s="178"/>
      <c r="D1930" s="178"/>
      <c r="E1930" s="178"/>
      <c r="F1930" s="178"/>
      <c r="G1930" s="178"/>
      <c r="H1930" s="178"/>
      <c r="I1930" s="178"/>
      <c r="J1930" s="178"/>
      <c r="K1930" s="178"/>
      <c r="L1930" s="178"/>
      <c r="M1930" s="178"/>
      <c r="N1930" s="179"/>
      <c r="O1930" s="5"/>
      <c r="P1930" s="5"/>
      <c r="Q1930" s="5"/>
      <c r="R1930" s="5"/>
      <c r="S1930" s="5"/>
      <c r="T1930" s="5"/>
      <c r="U1930" s="5"/>
      <c r="V1930" s="5"/>
      <c r="W1930" s="5"/>
      <c r="X1930" s="5"/>
      <c r="Y1930" s="5"/>
      <c r="Z1930" s="5"/>
    </row>
    <row r="1931" ht="12.0" customHeight="1">
      <c r="A1931" s="180" t="s">
        <v>630</v>
      </c>
      <c r="B1931" s="180" t="s">
        <v>631</v>
      </c>
      <c r="C1931" s="286" t="s">
        <v>3</v>
      </c>
      <c r="D1931" s="286" t="s">
        <v>4</v>
      </c>
      <c r="E1931" s="286" t="s">
        <v>5</v>
      </c>
      <c r="F1931" s="286" t="s">
        <v>6</v>
      </c>
      <c r="G1931" s="286" t="s">
        <v>7</v>
      </c>
      <c r="H1931" s="286" t="s">
        <v>8</v>
      </c>
      <c r="I1931" s="286" t="s">
        <v>9</v>
      </c>
      <c r="J1931" s="286" t="s">
        <v>10</v>
      </c>
      <c r="K1931" s="286" t="s">
        <v>11</v>
      </c>
      <c r="L1931" s="286" t="s">
        <v>12</v>
      </c>
      <c r="M1931" s="286" t="s">
        <v>13</v>
      </c>
      <c r="N1931" s="286" t="s">
        <v>14</v>
      </c>
      <c r="O1931" s="5"/>
      <c r="P1931" s="5"/>
      <c r="Q1931" s="5"/>
      <c r="R1931" s="5"/>
      <c r="S1931" s="5"/>
      <c r="T1931" s="5"/>
      <c r="U1931" s="5"/>
      <c r="V1931" s="5"/>
      <c r="W1931" s="5"/>
      <c r="X1931" s="5"/>
      <c r="Y1931" s="5"/>
      <c r="Z1931" s="5"/>
    </row>
    <row r="1932" ht="12.0" customHeight="1">
      <c r="A1932" s="181" t="s">
        <v>1623</v>
      </c>
      <c r="B1932" s="125" t="s">
        <v>633</v>
      </c>
      <c r="C1932" s="182">
        <f>'2030'!B6+'2030'!B17</f>
        <v>7453.92</v>
      </c>
      <c r="D1932" s="182">
        <f>'2030'!C6+'2030'!C17</f>
        <v>5590.44</v>
      </c>
      <c r="E1932" s="182">
        <f>'2030'!D6+'2030'!D17</f>
        <v>4969.28</v>
      </c>
      <c r="F1932" s="182">
        <f>'2030'!E6+'2030'!E17</f>
        <v>4658.7</v>
      </c>
      <c r="G1932" s="182">
        <f>'2030'!F6+'2030'!F17</f>
        <v>4348.12</v>
      </c>
      <c r="H1932" s="182">
        <f>'2030'!G6+'2030'!G17</f>
        <v>4348.12</v>
      </c>
      <c r="I1932" s="182">
        <f>'2030'!H6+'2030'!H17</f>
        <v>4658.7</v>
      </c>
      <c r="J1932" s="182">
        <f>'2030'!I6+'2030'!I17</f>
        <v>4658.7</v>
      </c>
      <c r="K1932" s="182">
        <f>'2030'!J6+'2030'!J17</f>
        <v>4658.7</v>
      </c>
      <c r="L1932" s="182">
        <f>'2030'!K6+'2030'!K17</f>
        <v>4658.7</v>
      </c>
      <c r="M1932" s="182">
        <f>'2030'!L6+'2030'!L17</f>
        <v>4658.7</v>
      </c>
      <c r="N1932" s="182">
        <f>'2030'!M6+'2030'!M17</f>
        <v>7453.92</v>
      </c>
      <c r="O1932" s="5"/>
      <c r="P1932" s="5"/>
      <c r="Q1932" s="5"/>
      <c r="R1932" s="5"/>
      <c r="S1932" s="5"/>
      <c r="T1932" s="5"/>
      <c r="U1932" s="5"/>
      <c r="V1932" s="5"/>
      <c r="W1932" s="5"/>
      <c r="X1932" s="5"/>
      <c r="Y1932" s="5"/>
      <c r="Z1932" s="5"/>
    </row>
    <row r="1933" ht="12.0" customHeight="1">
      <c r="A1933" s="183"/>
      <c r="B1933" s="125" t="s">
        <v>634</v>
      </c>
      <c r="C1933" s="184">
        <f>C1932/Parametros!$B$37</f>
        <v>372.696</v>
      </c>
      <c r="D1933" s="184">
        <f>D1932/Parametros!$B$37</f>
        <v>279.522</v>
      </c>
      <c r="E1933" s="184">
        <f>E1932/Parametros!$B$37</f>
        <v>248.464</v>
      </c>
      <c r="F1933" s="184">
        <f>F1932/Parametros!$B$37</f>
        <v>232.935</v>
      </c>
      <c r="G1933" s="184">
        <f>G1932/Parametros!$B$37</f>
        <v>217.406</v>
      </c>
      <c r="H1933" s="184">
        <f>H1932/Parametros!$B$37</f>
        <v>217.406</v>
      </c>
      <c r="I1933" s="184">
        <f>I1932/Parametros!$B$37</f>
        <v>232.935</v>
      </c>
      <c r="J1933" s="184">
        <f>J1932/Parametros!$B$37</f>
        <v>232.935</v>
      </c>
      <c r="K1933" s="184">
        <f>K1932/Parametros!$B$37</f>
        <v>232.935</v>
      </c>
      <c r="L1933" s="184">
        <f>L1932/Parametros!$B$37</f>
        <v>232.935</v>
      </c>
      <c r="M1933" s="184">
        <f>M1932/Parametros!$B$37</f>
        <v>232.935</v>
      </c>
      <c r="N1933" s="184">
        <f>N1932/Parametros!$B$37</f>
        <v>372.696</v>
      </c>
      <c r="O1933" s="5"/>
      <c r="P1933" s="5"/>
      <c r="Q1933" s="5"/>
      <c r="R1933" s="5"/>
      <c r="S1933" s="5"/>
      <c r="T1933" s="5"/>
      <c r="U1933" s="5"/>
      <c r="V1933" s="5"/>
      <c r="W1933" s="5"/>
      <c r="X1933" s="5"/>
      <c r="Y1933" s="5"/>
      <c r="Z1933" s="5"/>
    </row>
    <row r="1934" ht="12.0" customHeight="1">
      <c r="A1934" s="185"/>
      <c r="B1934" s="125" t="s">
        <v>635</v>
      </c>
      <c r="C1934" s="184">
        <f>C1933/Parametros!$J$37</f>
        <v>49.6928</v>
      </c>
      <c r="D1934" s="184">
        <f>D1933/Parametros!$J$37</f>
        <v>37.2696</v>
      </c>
      <c r="E1934" s="184">
        <f>E1933/Parametros!$J$37</f>
        <v>33.12853333</v>
      </c>
      <c r="F1934" s="184">
        <f>F1933/Parametros!$J$37</f>
        <v>31.058</v>
      </c>
      <c r="G1934" s="184">
        <f>G1933/Parametros!$J$37</f>
        <v>28.98746667</v>
      </c>
      <c r="H1934" s="184">
        <f>H1933/Parametros!$J$37</f>
        <v>28.98746667</v>
      </c>
      <c r="I1934" s="184">
        <f>I1933/Parametros!$J$37</f>
        <v>31.058</v>
      </c>
      <c r="J1934" s="184">
        <f>J1933/Parametros!$J$37</f>
        <v>31.058</v>
      </c>
      <c r="K1934" s="184">
        <f>K1933/Parametros!$J$37</f>
        <v>31.058</v>
      </c>
      <c r="L1934" s="184">
        <f>L1933/Parametros!$J$37</f>
        <v>31.058</v>
      </c>
      <c r="M1934" s="184">
        <f>M1933/Parametros!$J$37</f>
        <v>31.058</v>
      </c>
      <c r="N1934" s="184">
        <f>N1933/Parametros!$J$37</f>
        <v>49.6928</v>
      </c>
      <c r="O1934" s="5"/>
      <c r="P1934" s="5"/>
      <c r="Q1934" s="5"/>
      <c r="R1934" s="5"/>
      <c r="S1934" s="5"/>
      <c r="T1934" s="5"/>
      <c r="U1934" s="5"/>
      <c r="V1934" s="5"/>
      <c r="W1934" s="5"/>
      <c r="X1934" s="5"/>
      <c r="Y1934" s="5"/>
      <c r="Z1934" s="5"/>
    </row>
    <row r="1935" ht="12.0" customHeight="1">
      <c r="A1935" s="186" t="s">
        <v>636</v>
      </c>
      <c r="B1935" s="4"/>
      <c r="C1935" s="184">
        <f t="shared" ref="C1935:N1935" si="568">C1934</f>
        <v>49.6928</v>
      </c>
      <c r="D1935" s="184">
        <f t="shared" si="568"/>
        <v>37.2696</v>
      </c>
      <c r="E1935" s="184">
        <f t="shared" si="568"/>
        <v>33.12853333</v>
      </c>
      <c r="F1935" s="184">
        <f t="shared" si="568"/>
        <v>31.058</v>
      </c>
      <c r="G1935" s="184">
        <f t="shared" si="568"/>
        <v>28.98746667</v>
      </c>
      <c r="H1935" s="184">
        <f t="shared" si="568"/>
        <v>28.98746667</v>
      </c>
      <c r="I1935" s="184">
        <f t="shared" si="568"/>
        <v>31.058</v>
      </c>
      <c r="J1935" s="184">
        <f t="shared" si="568"/>
        <v>31.058</v>
      </c>
      <c r="K1935" s="184">
        <f t="shared" si="568"/>
        <v>31.058</v>
      </c>
      <c r="L1935" s="184">
        <f t="shared" si="568"/>
        <v>31.058</v>
      </c>
      <c r="M1935" s="184">
        <f t="shared" si="568"/>
        <v>31.058</v>
      </c>
      <c r="N1935" s="184">
        <f t="shared" si="568"/>
        <v>49.6928</v>
      </c>
      <c r="O1935" s="5"/>
      <c r="P1935" s="5"/>
      <c r="Q1935" s="5"/>
      <c r="R1935" s="5"/>
      <c r="S1935" s="5"/>
      <c r="T1935" s="5"/>
      <c r="U1935" s="5"/>
      <c r="V1935" s="5"/>
      <c r="W1935" s="5"/>
      <c r="X1935" s="5"/>
      <c r="Y1935" s="5"/>
      <c r="Z1935" s="5"/>
    </row>
    <row r="1936" ht="12.0" customHeight="1">
      <c r="A1936" s="186" t="s">
        <v>637</v>
      </c>
      <c r="B1936" s="4"/>
      <c r="C1936" s="274">
        <f>'Resumen Capacidad'!$F$130</f>
        <v>75.21428571</v>
      </c>
      <c r="D1936" s="274">
        <f>'Resumen Capacidad'!$F$130</f>
        <v>75.21428571</v>
      </c>
      <c r="E1936" s="274">
        <f>'Resumen Capacidad'!$F$130</f>
        <v>75.21428571</v>
      </c>
      <c r="F1936" s="274">
        <f>'Resumen Capacidad'!$F$130</f>
        <v>75.21428571</v>
      </c>
      <c r="G1936" s="274">
        <f>'Resumen Capacidad'!$F$130</f>
        <v>75.21428571</v>
      </c>
      <c r="H1936" s="274">
        <f>'Resumen Capacidad'!$F$130</f>
        <v>75.21428571</v>
      </c>
      <c r="I1936" s="274">
        <f>'Resumen Capacidad'!$F$130</f>
        <v>75.21428571</v>
      </c>
      <c r="J1936" s="274">
        <f>'Resumen Capacidad'!$F$130</f>
        <v>75.21428571</v>
      </c>
      <c r="K1936" s="274">
        <f>'Resumen Capacidad'!$F$130</f>
        <v>75.21428571</v>
      </c>
      <c r="L1936" s="274">
        <f>'Resumen Capacidad'!$F$130</f>
        <v>75.21428571</v>
      </c>
      <c r="M1936" s="274">
        <f>'Resumen Capacidad'!$F$130</f>
        <v>75.21428571</v>
      </c>
      <c r="N1936" s="274">
        <f>'Resumen Capacidad'!$F$130</f>
        <v>75.21428571</v>
      </c>
      <c r="O1936" s="5"/>
      <c r="P1936" s="5"/>
      <c r="Q1936" s="5"/>
      <c r="R1936" s="5"/>
      <c r="S1936" s="5"/>
      <c r="T1936" s="5"/>
      <c r="U1936" s="5"/>
      <c r="V1936" s="5"/>
      <c r="W1936" s="5"/>
      <c r="X1936" s="5"/>
      <c r="Y1936" s="5"/>
      <c r="Z1936" s="5"/>
    </row>
    <row r="1937" ht="12.0" customHeight="1">
      <c r="A1937" s="186" t="s">
        <v>640</v>
      </c>
      <c r="B1937" s="4"/>
      <c r="C1937" s="148">
        <f>'Resumen Capacidad'!$F$48*'Resumen Capacidad'!$F$84</f>
        <v>1</v>
      </c>
      <c r="D1937" s="148">
        <f>'Resumen Capacidad'!$F$48*'Resumen Capacidad'!$F$84</f>
        <v>1</v>
      </c>
      <c r="E1937" s="148">
        <f>'Resumen Capacidad'!$F$48*'Resumen Capacidad'!$F$84</f>
        <v>1</v>
      </c>
      <c r="F1937" s="148">
        <f>'Resumen Capacidad'!$F$48*'Resumen Capacidad'!$F$84</f>
        <v>1</v>
      </c>
      <c r="G1937" s="148">
        <f>'Resumen Capacidad'!$F$48*'Resumen Capacidad'!$F$84</f>
        <v>1</v>
      </c>
      <c r="H1937" s="148">
        <f>'Resumen Capacidad'!$F$48*'Resumen Capacidad'!$F$84</f>
        <v>1</v>
      </c>
      <c r="I1937" s="148">
        <f>'Resumen Capacidad'!$F$48*'Resumen Capacidad'!$F$84</f>
        <v>1</v>
      </c>
      <c r="J1937" s="148">
        <f>'Resumen Capacidad'!$F$48*'Resumen Capacidad'!$F$84</f>
        <v>1</v>
      </c>
      <c r="K1937" s="148">
        <f>'Resumen Capacidad'!$F$48*'Resumen Capacidad'!$F$84</f>
        <v>1</v>
      </c>
      <c r="L1937" s="148">
        <f>'Resumen Capacidad'!$F$48*'Resumen Capacidad'!$F$84</f>
        <v>1</v>
      </c>
      <c r="M1937" s="148">
        <f>'Resumen Capacidad'!$F$48*'Resumen Capacidad'!$F$84</f>
        <v>1</v>
      </c>
      <c r="N1937" s="148">
        <f>'Resumen Capacidad'!$F$48*'Resumen Capacidad'!$F$84</f>
        <v>1</v>
      </c>
      <c r="O1937" s="5"/>
      <c r="P1937" s="5"/>
      <c r="Q1937" s="5"/>
      <c r="R1937" s="5"/>
      <c r="S1937" s="5"/>
      <c r="T1937" s="5"/>
      <c r="U1937" s="5"/>
      <c r="V1937" s="5"/>
      <c r="W1937" s="5"/>
      <c r="X1937" s="5"/>
      <c r="Y1937" s="5"/>
      <c r="Z1937" s="5"/>
    </row>
    <row r="1938" ht="12.0" customHeight="1">
      <c r="A1938" s="186" t="s">
        <v>642</v>
      </c>
      <c r="B1938" s="4"/>
      <c r="C1938" s="184">
        <f t="shared" ref="C1938:N1938" si="569">C1936*C1937</f>
        <v>75.21428571</v>
      </c>
      <c r="D1938" s="184">
        <f t="shared" si="569"/>
        <v>75.21428571</v>
      </c>
      <c r="E1938" s="184">
        <f t="shared" si="569"/>
        <v>75.21428571</v>
      </c>
      <c r="F1938" s="184">
        <f t="shared" si="569"/>
        <v>75.21428571</v>
      </c>
      <c r="G1938" s="184">
        <f t="shared" si="569"/>
        <v>75.21428571</v>
      </c>
      <c r="H1938" s="184">
        <f t="shared" si="569"/>
        <v>75.21428571</v>
      </c>
      <c r="I1938" s="184">
        <f t="shared" si="569"/>
        <v>75.21428571</v>
      </c>
      <c r="J1938" s="184">
        <f t="shared" si="569"/>
        <v>75.21428571</v>
      </c>
      <c r="K1938" s="184">
        <f t="shared" si="569"/>
        <v>75.21428571</v>
      </c>
      <c r="L1938" s="184">
        <f t="shared" si="569"/>
        <v>75.21428571</v>
      </c>
      <c r="M1938" s="184">
        <f t="shared" si="569"/>
        <v>75.21428571</v>
      </c>
      <c r="N1938" s="184">
        <f t="shared" si="569"/>
        <v>75.21428571</v>
      </c>
      <c r="O1938" s="5"/>
      <c r="P1938" s="5"/>
      <c r="Q1938" s="5"/>
      <c r="R1938" s="5"/>
      <c r="S1938" s="5"/>
      <c r="T1938" s="5"/>
      <c r="U1938" s="5"/>
      <c r="V1938" s="5"/>
      <c r="W1938" s="5"/>
      <c r="X1938" s="5"/>
      <c r="Y1938" s="5"/>
      <c r="Z1938" s="5"/>
    </row>
    <row r="1939" ht="12.0" customHeight="1">
      <c r="A1939" s="186" t="s">
        <v>643</v>
      </c>
      <c r="B1939" s="4"/>
      <c r="C1939" s="148">
        <f t="shared" ref="C1939:N1939" si="570">IF(C1938=0,0,C1935/C1938)</f>
        <v>0.6606830009</v>
      </c>
      <c r="D1939" s="148">
        <f t="shared" si="570"/>
        <v>0.4955122507</v>
      </c>
      <c r="E1939" s="148">
        <f t="shared" si="570"/>
        <v>0.440455334</v>
      </c>
      <c r="F1939" s="148">
        <f t="shared" si="570"/>
        <v>0.4129268756</v>
      </c>
      <c r="G1939" s="148">
        <f t="shared" si="570"/>
        <v>0.3853984172</v>
      </c>
      <c r="H1939" s="148">
        <f t="shared" si="570"/>
        <v>0.3853984172</v>
      </c>
      <c r="I1939" s="148">
        <f t="shared" si="570"/>
        <v>0.4129268756</v>
      </c>
      <c r="J1939" s="148">
        <f t="shared" si="570"/>
        <v>0.4129268756</v>
      </c>
      <c r="K1939" s="148">
        <f t="shared" si="570"/>
        <v>0.4129268756</v>
      </c>
      <c r="L1939" s="148">
        <f t="shared" si="570"/>
        <v>0.4129268756</v>
      </c>
      <c r="M1939" s="148">
        <f t="shared" si="570"/>
        <v>0.4129268756</v>
      </c>
      <c r="N1939" s="148">
        <f t="shared" si="570"/>
        <v>0.6606830009</v>
      </c>
      <c r="O1939" s="5"/>
      <c r="P1939" s="5"/>
      <c r="Q1939" s="5"/>
      <c r="R1939" s="5"/>
      <c r="S1939" s="5"/>
      <c r="T1939" s="5"/>
      <c r="U1939" s="5"/>
      <c r="V1939" s="5"/>
      <c r="W1939" s="5"/>
      <c r="X1939" s="5"/>
      <c r="Y1939" s="5"/>
      <c r="Z1939" s="5"/>
    </row>
    <row r="1940" ht="12.0" customHeight="1">
      <c r="A1940" s="11"/>
      <c r="B1940" s="11"/>
      <c r="C1940" s="285"/>
      <c r="D1940" s="285"/>
      <c r="E1940" s="285"/>
      <c r="F1940" s="285"/>
      <c r="G1940" s="285"/>
      <c r="H1940" s="285"/>
      <c r="I1940" s="285"/>
      <c r="J1940" s="285"/>
      <c r="K1940" s="285"/>
      <c r="L1940" s="285"/>
      <c r="M1940" s="285"/>
      <c r="N1940" s="285"/>
      <c r="O1940" s="5"/>
      <c r="P1940" s="5"/>
      <c r="Q1940" s="5"/>
      <c r="R1940" s="5"/>
      <c r="S1940" s="5"/>
      <c r="T1940" s="5"/>
      <c r="U1940" s="5"/>
      <c r="V1940" s="5"/>
      <c r="W1940" s="5"/>
      <c r="X1940" s="5"/>
      <c r="Y1940" s="5"/>
      <c r="Z1940" s="5"/>
    </row>
    <row r="1941" ht="12.0" customHeight="1">
      <c r="A1941" s="284" t="s">
        <v>1628</v>
      </c>
      <c r="B1941" s="11"/>
      <c r="C1941" s="285"/>
      <c r="D1941" s="285"/>
      <c r="E1941" s="285"/>
      <c r="F1941" s="285"/>
      <c r="G1941" s="285"/>
      <c r="H1941" s="285"/>
      <c r="I1941" s="285"/>
      <c r="J1941" s="285"/>
      <c r="K1941" s="285"/>
      <c r="L1941" s="285"/>
      <c r="M1941" s="285"/>
      <c r="N1941" s="285"/>
      <c r="O1941" s="5"/>
      <c r="P1941" s="5"/>
      <c r="Q1941" s="5"/>
      <c r="R1941" s="5"/>
      <c r="S1941" s="5"/>
      <c r="T1941" s="5"/>
      <c r="U1941" s="5"/>
      <c r="V1941" s="5"/>
      <c r="W1941" s="5"/>
      <c r="X1941" s="5"/>
      <c r="Y1941" s="5"/>
      <c r="Z1941" s="5"/>
    </row>
    <row r="1942" ht="12.0" customHeight="1">
      <c r="A1942" s="177" t="s">
        <v>1620</v>
      </c>
      <c r="B1942" s="178"/>
      <c r="C1942" s="178"/>
      <c r="D1942" s="178"/>
      <c r="E1942" s="178"/>
      <c r="F1942" s="178"/>
      <c r="G1942" s="178"/>
      <c r="H1942" s="178"/>
      <c r="I1942" s="178"/>
      <c r="J1942" s="178"/>
      <c r="K1942" s="178"/>
      <c r="L1942" s="178"/>
      <c r="M1942" s="178"/>
      <c r="N1942" s="179"/>
      <c r="O1942" s="5"/>
      <c r="P1942" s="5"/>
      <c r="Q1942" s="5"/>
      <c r="R1942" s="5"/>
      <c r="S1942" s="5"/>
      <c r="T1942" s="5"/>
      <c r="U1942" s="5"/>
      <c r="V1942" s="5"/>
      <c r="W1942" s="5"/>
      <c r="X1942" s="5"/>
      <c r="Y1942" s="5"/>
      <c r="Z1942" s="5"/>
    </row>
    <row r="1943" ht="12.0" customHeight="1">
      <c r="A1943" s="180" t="s">
        <v>630</v>
      </c>
      <c r="B1943" s="180" t="s">
        <v>631</v>
      </c>
      <c r="C1943" s="286" t="s">
        <v>3</v>
      </c>
      <c r="D1943" s="286" t="s">
        <v>4</v>
      </c>
      <c r="E1943" s="286" t="s">
        <v>5</v>
      </c>
      <c r="F1943" s="286" t="s">
        <v>6</v>
      </c>
      <c r="G1943" s="286" t="s">
        <v>7</v>
      </c>
      <c r="H1943" s="286" t="s">
        <v>8</v>
      </c>
      <c r="I1943" s="286" t="s">
        <v>9</v>
      </c>
      <c r="J1943" s="286" t="s">
        <v>10</v>
      </c>
      <c r="K1943" s="286" t="s">
        <v>11</v>
      </c>
      <c r="L1943" s="286" t="s">
        <v>12</v>
      </c>
      <c r="M1943" s="286" t="s">
        <v>13</v>
      </c>
      <c r="N1943" s="286" t="s">
        <v>14</v>
      </c>
      <c r="O1943" s="5"/>
      <c r="P1943" s="5"/>
      <c r="Q1943" s="5"/>
      <c r="R1943" s="5"/>
      <c r="S1943" s="5"/>
      <c r="T1943" s="5"/>
      <c r="U1943" s="5"/>
      <c r="V1943" s="5"/>
      <c r="W1943" s="5"/>
      <c r="X1943" s="5"/>
      <c r="Y1943" s="5"/>
      <c r="Z1943" s="5"/>
    </row>
    <row r="1944" ht="12.0" customHeight="1">
      <c r="A1944" s="181" t="s">
        <v>1621</v>
      </c>
      <c r="B1944" s="125" t="s">
        <v>633</v>
      </c>
      <c r="C1944" s="182">
        <f>(SUM('2031'!B6:B9)+SUM('2031'!B17:B20))*0.05</f>
        <v>704.865</v>
      </c>
      <c r="D1944" s="182">
        <f>(SUM('2031'!C6:C9)+SUM('2031'!C17:C20))*0.05</f>
        <v>537.702</v>
      </c>
      <c r="E1944" s="182">
        <f>(SUM('2031'!D6:D9)+SUM('2031'!D17:D20))*0.05</f>
        <v>503.10525</v>
      </c>
      <c r="F1944" s="182">
        <f>(SUM('2031'!E6:E9)+SUM('2031'!E17:E20))*0.05</f>
        <v>481.28025</v>
      </c>
      <c r="G1944" s="182">
        <f>(SUM('2031'!F6:F9)+SUM('2031'!F17:F20))*0.05</f>
        <v>450.402</v>
      </c>
      <c r="H1944" s="182">
        <f>(SUM('2031'!G6:G9)+SUM('2031'!G17:G20))*0.05</f>
        <v>441.34875</v>
      </c>
      <c r="I1944" s="182">
        <f>(SUM('2031'!H6:H9)+SUM('2031'!H17:H20))*0.05</f>
        <v>472.227</v>
      </c>
      <c r="J1944" s="182">
        <f>(SUM('2031'!I6:I9)+SUM('2031'!I17:I20))*0.05</f>
        <v>472.227</v>
      </c>
      <c r="K1944" s="182">
        <f>(SUM('2031'!J6:J9)+SUM('2031'!J17:J20))*0.05</f>
        <v>472.227</v>
      </c>
      <c r="L1944" s="182">
        <f>(SUM('2031'!K6:K9)+SUM('2031'!K17:K20))*0.05</f>
        <v>463.17375</v>
      </c>
      <c r="M1944" s="182">
        <f>(SUM('2031'!L6:L9)+SUM('2031'!L17:L20))*0.05</f>
        <v>454.1205</v>
      </c>
      <c r="N1944" s="182">
        <f>(SUM('2031'!M6:M9)+SUM('2031'!M17:M20))*0.05</f>
        <v>722.9715</v>
      </c>
      <c r="O1944" s="5"/>
      <c r="P1944" s="5"/>
      <c r="Q1944" s="5"/>
      <c r="R1944" s="5"/>
      <c r="S1944" s="5"/>
      <c r="T1944" s="5"/>
      <c r="U1944" s="5"/>
      <c r="V1944" s="5"/>
      <c r="W1944" s="5"/>
      <c r="X1944" s="5"/>
      <c r="Y1944" s="5"/>
      <c r="Z1944" s="5"/>
    </row>
    <row r="1945" ht="12.0" customHeight="1">
      <c r="A1945" s="183"/>
      <c r="B1945" s="125" t="s">
        <v>634</v>
      </c>
      <c r="C1945" s="184">
        <f>C1944/Parametros!$B$37</f>
        <v>35.24325</v>
      </c>
      <c r="D1945" s="184">
        <f>D1944/Parametros!$B$37</f>
        <v>26.8851</v>
      </c>
      <c r="E1945" s="184">
        <f>E1944/Parametros!$B$37</f>
        <v>25.1552625</v>
      </c>
      <c r="F1945" s="184">
        <f>F1944/Parametros!$B$37</f>
        <v>24.0640125</v>
      </c>
      <c r="G1945" s="184">
        <f>G1944/Parametros!$B$37</f>
        <v>22.5201</v>
      </c>
      <c r="H1945" s="184">
        <f>H1944/Parametros!$B$37</f>
        <v>22.0674375</v>
      </c>
      <c r="I1945" s="184">
        <f>I1944/Parametros!$B$37</f>
        <v>23.61135</v>
      </c>
      <c r="J1945" s="184">
        <f>J1944/Parametros!$B$37</f>
        <v>23.61135</v>
      </c>
      <c r="K1945" s="184">
        <f>K1944/Parametros!$B$37</f>
        <v>23.61135</v>
      </c>
      <c r="L1945" s="184">
        <f>L1944/Parametros!$B$37</f>
        <v>23.1586875</v>
      </c>
      <c r="M1945" s="184">
        <f>M1944/Parametros!$B$37</f>
        <v>22.706025</v>
      </c>
      <c r="N1945" s="184">
        <f>N1944/Parametros!$B$37</f>
        <v>36.148575</v>
      </c>
      <c r="O1945" s="5"/>
      <c r="P1945" s="5"/>
      <c r="Q1945" s="5"/>
      <c r="R1945" s="5"/>
      <c r="S1945" s="5"/>
      <c r="T1945" s="5"/>
      <c r="U1945" s="5"/>
      <c r="V1945" s="5"/>
      <c r="W1945" s="5"/>
      <c r="X1945" s="5"/>
      <c r="Y1945" s="5"/>
      <c r="Z1945" s="5"/>
    </row>
    <row r="1946" ht="12.0" customHeight="1">
      <c r="A1946" s="185"/>
      <c r="B1946" s="125" t="s">
        <v>635</v>
      </c>
      <c r="C1946" s="184">
        <f>C1945/Parametros!$J$37</f>
        <v>4.6991</v>
      </c>
      <c r="D1946" s="184">
        <f>D1945/Parametros!$J$37</f>
        <v>3.58468</v>
      </c>
      <c r="E1946" s="184">
        <f>E1945/Parametros!$J$37</f>
        <v>3.354035</v>
      </c>
      <c r="F1946" s="184">
        <f>F1945/Parametros!$J$37</f>
        <v>3.208535</v>
      </c>
      <c r="G1946" s="184">
        <f>G1945/Parametros!$J$37</f>
        <v>3.00268</v>
      </c>
      <c r="H1946" s="184">
        <f>H1945/Parametros!$J$37</f>
        <v>2.942325</v>
      </c>
      <c r="I1946" s="184">
        <f>I1945/Parametros!$J$37</f>
        <v>3.14818</v>
      </c>
      <c r="J1946" s="184">
        <f>J1945/Parametros!$J$37</f>
        <v>3.14818</v>
      </c>
      <c r="K1946" s="184">
        <f>K1945/Parametros!$J$37</f>
        <v>3.14818</v>
      </c>
      <c r="L1946" s="184">
        <f>L1945/Parametros!$J$37</f>
        <v>3.087825</v>
      </c>
      <c r="M1946" s="184">
        <f>M1945/Parametros!$J$37</f>
        <v>3.02747</v>
      </c>
      <c r="N1946" s="184">
        <f>N1945/Parametros!$J$37</f>
        <v>4.81981</v>
      </c>
      <c r="O1946" s="5"/>
      <c r="P1946" s="5"/>
      <c r="Q1946" s="5"/>
      <c r="R1946" s="5"/>
      <c r="S1946" s="5"/>
      <c r="T1946" s="5"/>
      <c r="U1946" s="5"/>
      <c r="V1946" s="5"/>
      <c r="W1946" s="5"/>
      <c r="X1946" s="5"/>
      <c r="Y1946" s="5"/>
      <c r="Z1946" s="5"/>
    </row>
    <row r="1947" ht="12.0" customHeight="1">
      <c r="A1947" s="186" t="s">
        <v>636</v>
      </c>
      <c r="B1947" s="4"/>
      <c r="C1947" s="184">
        <f t="shared" ref="C1947:N1947" si="571">C1946</f>
        <v>4.6991</v>
      </c>
      <c r="D1947" s="184">
        <f t="shared" si="571"/>
        <v>3.58468</v>
      </c>
      <c r="E1947" s="184">
        <f t="shared" si="571"/>
        <v>3.354035</v>
      </c>
      <c r="F1947" s="184">
        <f t="shared" si="571"/>
        <v>3.208535</v>
      </c>
      <c r="G1947" s="184">
        <f t="shared" si="571"/>
        <v>3.00268</v>
      </c>
      <c r="H1947" s="184">
        <f t="shared" si="571"/>
        <v>2.942325</v>
      </c>
      <c r="I1947" s="184">
        <f t="shared" si="571"/>
        <v>3.14818</v>
      </c>
      <c r="J1947" s="184">
        <f t="shared" si="571"/>
        <v>3.14818</v>
      </c>
      <c r="K1947" s="184">
        <f t="shared" si="571"/>
        <v>3.14818</v>
      </c>
      <c r="L1947" s="184">
        <f t="shared" si="571"/>
        <v>3.087825</v>
      </c>
      <c r="M1947" s="184">
        <f t="shared" si="571"/>
        <v>3.02747</v>
      </c>
      <c r="N1947" s="184">
        <f t="shared" si="571"/>
        <v>4.81981</v>
      </c>
      <c r="O1947" s="5"/>
      <c r="P1947" s="5"/>
      <c r="Q1947" s="5"/>
      <c r="R1947" s="5"/>
      <c r="S1947" s="5"/>
      <c r="T1947" s="5"/>
      <c r="U1947" s="5"/>
      <c r="V1947" s="5"/>
      <c r="W1947" s="5"/>
      <c r="X1947" s="5"/>
      <c r="Y1947" s="5"/>
      <c r="Z1947" s="5"/>
    </row>
    <row r="1948" ht="12.0" customHeight="1">
      <c r="A1948" s="186" t="s">
        <v>637</v>
      </c>
      <c r="B1948" s="4"/>
      <c r="C1948" s="274">
        <f>'Resumen Capacidad'!$G$123</f>
        <v>20.51162791</v>
      </c>
      <c r="D1948" s="274">
        <f>'Resumen Capacidad'!$G$123</f>
        <v>20.51162791</v>
      </c>
      <c r="E1948" s="274">
        <f>'Resumen Capacidad'!$G$123</f>
        <v>20.51162791</v>
      </c>
      <c r="F1948" s="274">
        <f>'Resumen Capacidad'!$G$123</f>
        <v>20.51162791</v>
      </c>
      <c r="G1948" s="274">
        <f>'Resumen Capacidad'!$G$123</f>
        <v>20.51162791</v>
      </c>
      <c r="H1948" s="274">
        <f>'Resumen Capacidad'!$G$123</f>
        <v>20.51162791</v>
      </c>
      <c r="I1948" s="274">
        <f>'Resumen Capacidad'!$G$123</f>
        <v>20.51162791</v>
      </c>
      <c r="J1948" s="274">
        <f>'Resumen Capacidad'!$G$123</f>
        <v>20.51162791</v>
      </c>
      <c r="K1948" s="274">
        <f>'Resumen Capacidad'!$G$123</f>
        <v>20.51162791</v>
      </c>
      <c r="L1948" s="274">
        <f>'Resumen Capacidad'!$G$123</f>
        <v>20.51162791</v>
      </c>
      <c r="M1948" s="274">
        <f>'Resumen Capacidad'!$G$123</f>
        <v>20.51162791</v>
      </c>
      <c r="N1948" s="274">
        <f>'Resumen Capacidad'!$G$123</f>
        <v>20.51162791</v>
      </c>
      <c r="O1948" s="5"/>
      <c r="P1948" s="5"/>
      <c r="Q1948" s="5"/>
      <c r="R1948" s="5"/>
      <c r="S1948" s="5"/>
      <c r="T1948" s="5"/>
      <c r="U1948" s="5"/>
      <c r="V1948" s="5"/>
      <c r="W1948" s="5"/>
      <c r="X1948" s="5"/>
      <c r="Y1948" s="5"/>
      <c r="Z1948" s="5"/>
    </row>
    <row r="1949" ht="12.0" customHeight="1">
      <c r="A1949" s="186" t="s">
        <v>640</v>
      </c>
      <c r="B1949" s="4"/>
      <c r="C1949" s="148">
        <f>'Resumen Capacidad'!$G$41*'Resumen Capacidad'!$G$77</f>
        <v>1</v>
      </c>
      <c r="D1949" s="148">
        <f>'Resumen Capacidad'!$G$41*'Resumen Capacidad'!$G$77</f>
        <v>1</v>
      </c>
      <c r="E1949" s="148">
        <f>'Resumen Capacidad'!$G$41*'Resumen Capacidad'!$G$77</f>
        <v>1</v>
      </c>
      <c r="F1949" s="148">
        <f>'Resumen Capacidad'!$G$41*'Resumen Capacidad'!$G$77</f>
        <v>1</v>
      </c>
      <c r="G1949" s="148">
        <f>'Resumen Capacidad'!$G$41*'Resumen Capacidad'!$G$77</f>
        <v>1</v>
      </c>
      <c r="H1949" s="148">
        <f>'Resumen Capacidad'!$G$41*'Resumen Capacidad'!$G$77</f>
        <v>1</v>
      </c>
      <c r="I1949" s="148">
        <f>'Resumen Capacidad'!$G$41*'Resumen Capacidad'!$G$77</f>
        <v>1</v>
      </c>
      <c r="J1949" s="148">
        <f>'Resumen Capacidad'!$G$41*'Resumen Capacidad'!$G$77</f>
        <v>1</v>
      </c>
      <c r="K1949" s="148">
        <f>'Resumen Capacidad'!$G$41*'Resumen Capacidad'!$G$77</f>
        <v>1</v>
      </c>
      <c r="L1949" s="148">
        <f>'Resumen Capacidad'!$G$41*'Resumen Capacidad'!$G$77</f>
        <v>1</v>
      </c>
      <c r="M1949" s="148">
        <f>'Resumen Capacidad'!$G$41*'Resumen Capacidad'!$G$77</f>
        <v>1</v>
      </c>
      <c r="N1949" s="148">
        <f>'Resumen Capacidad'!$G$41*'Resumen Capacidad'!$G$77</f>
        <v>1</v>
      </c>
      <c r="O1949" s="5"/>
      <c r="P1949" s="5"/>
      <c r="Q1949" s="5"/>
      <c r="R1949" s="5"/>
      <c r="S1949" s="5"/>
      <c r="T1949" s="5"/>
      <c r="U1949" s="5"/>
      <c r="V1949" s="5"/>
      <c r="W1949" s="5"/>
      <c r="X1949" s="5"/>
      <c r="Y1949" s="5"/>
      <c r="Z1949" s="5"/>
    </row>
    <row r="1950" ht="12.0" customHeight="1">
      <c r="A1950" s="186" t="s">
        <v>642</v>
      </c>
      <c r="B1950" s="4"/>
      <c r="C1950" s="184">
        <f t="shared" ref="C1950:N1950" si="572">C1948*C1949</f>
        <v>20.51162791</v>
      </c>
      <c r="D1950" s="184">
        <f t="shared" si="572"/>
        <v>20.51162791</v>
      </c>
      <c r="E1950" s="184">
        <f t="shared" si="572"/>
        <v>20.51162791</v>
      </c>
      <c r="F1950" s="184">
        <f t="shared" si="572"/>
        <v>20.51162791</v>
      </c>
      <c r="G1950" s="184">
        <f t="shared" si="572"/>
        <v>20.51162791</v>
      </c>
      <c r="H1950" s="184">
        <f t="shared" si="572"/>
        <v>20.51162791</v>
      </c>
      <c r="I1950" s="184">
        <f t="shared" si="572"/>
        <v>20.51162791</v>
      </c>
      <c r="J1950" s="184">
        <f t="shared" si="572"/>
        <v>20.51162791</v>
      </c>
      <c r="K1950" s="184">
        <f t="shared" si="572"/>
        <v>20.51162791</v>
      </c>
      <c r="L1950" s="184">
        <f t="shared" si="572"/>
        <v>20.51162791</v>
      </c>
      <c r="M1950" s="184">
        <f t="shared" si="572"/>
        <v>20.51162791</v>
      </c>
      <c r="N1950" s="184">
        <f t="shared" si="572"/>
        <v>20.51162791</v>
      </c>
      <c r="O1950" s="5"/>
      <c r="P1950" s="5"/>
      <c r="Q1950" s="5"/>
      <c r="R1950" s="5"/>
      <c r="S1950" s="5"/>
      <c r="T1950" s="5"/>
      <c r="U1950" s="5"/>
      <c r="V1950" s="5"/>
      <c r="W1950" s="5"/>
      <c r="X1950" s="5"/>
      <c r="Y1950" s="5"/>
      <c r="Z1950" s="5"/>
    </row>
    <row r="1951" ht="12.0" customHeight="1">
      <c r="A1951" s="186" t="s">
        <v>643</v>
      </c>
      <c r="B1951" s="4"/>
      <c r="C1951" s="148">
        <f t="shared" ref="C1951:N1951" si="573">IF(C1950=0,0,C1947/C1950)</f>
        <v>0.2290944444</v>
      </c>
      <c r="D1951" s="148">
        <f t="shared" si="573"/>
        <v>0.1747633107</v>
      </c>
      <c r="E1951" s="148">
        <f t="shared" si="573"/>
        <v>0.1635187132</v>
      </c>
      <c r="F1951" s="148">
        <f t="shared" si="573"/>
        <v>0.1564251757</v>
      </c>
      <c r="G1951" s="148">
        <f t="shared" si="573"/>
        <v>0.146389161</v>
      </c>
      <c r="H1951" s="148">
        <f t="shared" si="573"/>
        <v>0.1434466837</v>
      </c>
      <c r="I1951" s="148">
        <f t="shared" si="573"/>
        <v>0.1534826984</v>
      </c>
      <c r="J1951" s="148">
        <f t="shared" si="573"/>
        <v>0.1534826984</v>
      </c>
      <c r="K1951" s="148">
        <f t="shared" si="573"/>
        <v>0.1534826984</v>
      </c>
      <c r="L1951" s="148">
        <f t="shared" si="573"/>
        <v>0.1505402211</v>
      </c>
      <c r="M1951" s="148">
        <f t="shared" si="573"/>
        <v>0.1475977438</v>
      </c>
      <c r="N1951" s="148">
        <f t="shared" si="573"/>
        <v>0.2349793991</v>
      </c>
      <c r="O1951" s="5"/>
      <c r="P1951" s="5"/>
      <c r="Q1951" s="5"/>
      <c r="R1951" s="5"/>
      <c r="S1951" s="5"/>
      <c r="T1951" s="5"/>
      <c r="U1951" s="5"/>
      <c r="V1951" s="5"/>
      <c r="W1951" s="5"/>
      <c r="X1951" s="5"/>
      <c r="Y1951" s="5"/>
      <c r="Z1951" s="5"/>
    </row>
    <row r="1952" ht="12.0" customHeight="1">
      <c r="A1952" s="177" t="s">
        <v>1622</v>
      </c>
      <c r="B1952" s="178"/>
      <c r="C1952" s="178"/>
      <c r="D1952" s="178"/>
      <c r="E1952" s="178"/>
      <c r="F1952" s="178"/>
      <c r="G1952" s="178"/>
      <c r="H1952" s="178"/>
      <c r="I1952" s="178"/>
      <c r="J1952" s="178"/>
      <c r="K1952" s="178"/>
      <c r="L1952" s="178"/>
      <c r="M1952" s="178"/>
      <c r="N1952" s="179"/>
      <c r="O1952" s="5"/>
      <c r="P1952" s="5"/>
      <c r="Q1952" s="5"/>
      <c r="R1952" s="5"/>
      <c r="S1952" s="5"/>
      <c r="T1952" s="5"/>
      <c r="U1952" s="5"/>
      <c r="V1952" s="5"/>
      <c r="W1952" s="5"/>
      <c r="X1952" s="5"/>
      <c r="Y1952" s="5"/>
      <c r="Z1952" s="5"/>
    </row>
    <row r="1953" ht="12.0" customHeight="1">
      <c r="A1953" s="180" t="s">
        <v>630</v>
      </c>
      <c r="B1953" s="180" t="s">
        <v>631</v>
      </c>
      <c r="C1953" s="286" t="s">
        <v>3</v>
      </c>
      <c r="D1953" s="286" t="s">
        <v>4</v>
      </c>
      <c r="E1953" s="286" t="s">
        <v>5</v>
      </c>
      <c r="F1953" s="286" t="s">
        <v>6</v>
      </c>
      <c r="G1953" s="286" t="s">
        <v>7</v>
      </c>
      <c r="H1953" s="286" t="s">
        <v>8</v>
      </c>
      <c r="I1953" s="286" t="s">
        <v>9</v>
      </c>
      <c r="J1953" s="286" t="s">
        <v>10</v>
      </c>
      <c r="K1953" s="286" t="s">
        <v>11</v>
      </c>
      <c r="L1953" s="286" t="s">
        <v>12</v>
      </c>
      <c r="M1953" s="286" t="s">
        <v>13</v>
      </c>
      <c r="N1953" s="286" t="s">
        <v>14</v>
      </c>
      <c r="O1953" s="5"/>
      <c r="P1953" s="5"/>
      <c r="Q1953" s="5"/>
      <c r="R1953" s="5"/>
      <c r="S1953" s="5"/>
      <c r="T1953" s="5"/>
      <c r="U1953" s="5"/>
      <c r="V1953" s="5"/>
      <c r="W1953" s="5"/>
      <c r="X1953" s="5"/>
      <c r="Y1953" s="5"/>
      <c r="Z1953" s="5"/>
    </row>
    <row r="1954" ht="12.0" customHeight="1">
      <c r="A1954" s="181" t="s">
        <v>1623</v>
      </c>
      <c r="B1954" s="125" t="s">
        <v>633</v>
      </c>
      <c r="C1954" s="182">
        <f>'2031'!B6+'2031'!B17</f>
        <v>10476</v>
      </c>
      <c r="D1954" s="182">
        <f>'2031'!C6+'2031'!C17</f>
        <v>7857</v>
      </c>
      <c r="E1954" s="182">
        <f>'2031'!D6+'2031'!D17</f>
        <v>6984</v>
      </c>
      <c r="F1954" s="182">
        <f>'2031'!E6+'2031'!E17</f>
        <v>6547.5</v>
      </c>
      <c r="G1954" s="182">
        <f>'2031'!F6+'2031'!F17</f>
        <v>6111</v>
      </c>
      <c r="H1954" s="182">
        <f>'2031'!G6+'2031'!G17</f>
        <v>6111</v>
      </c>
      <c r="I1954" s="182">
        <f>'2031'!H6+'2031'!H17</f>
        <v>6547.5</v>
      </c>
      <c r="J1954" s="182">
        <f>'2031'!I6+'2031'!I17</f>
        <v>6547.5</v>
      </c>
      <c r="K1954" s="182">
        <f>'2031'!J6+'2031'!J17</f>
        <v>6547.5</v>
      </c>
      <c r="L1954" s="182">
        <f>'2031'!K6+'2031'!K17</f>
        <v>6547.5</v>
      </c>
      <c r="M1954" s="182">
        <f>'2031'!L6+'2031'!L17</f>
        <v>6547.5</v>
      </c>
      <c r="N1954" s="182">
        <f>'2031'!M6+'2031'!M17</f>
        <v>10476</v>
      </c>
      <c r="O1954" s="5"/>
      <c r="P1954" s="5"/>
      <c r="Q1954" s="5"/>
      <c r="R1954" s="5"/>
      <c r="S1954" s="5"/>
      <c r="T1954" s="5"/>
      <c r="U1954" s="5"/>
      <c r="V1954" s="5"/>
      <c r="W1954" s="5"/>
      <c r="X1954" s="5"/>
      <c r="Y1954" s="5"/>
      <c r="Z1954" s="5"/>
    </row>
    <row r="1955" ht="12.0" customHeight="1">
      <c r="A1955" s="183"/>
      <c r="B1955" s="125" t="s">
        <v>634</v>
      </c>
      <c r="C1955" s="184">
        <f>C1954/Parametros!$B$37</f>
        <v>523.8</v>
      </c>
      <c r="D1955" s="184">
        <f>D1954/Parametros!$B$37</f>
        <v>392.85</v>
      </c>
      <c r="E1955" s="184">
        <f>E1954/Parametros!$B$37</f>
        <v>349.2</v>
      </c>
      <c r="F1955" s="184">
        <f>F1954/Parametros!$B$37</f>
        <v>327.375</v>
      </c>
      <c r="G1955" s="184">
        <f>G1954/Parametros!$B$37</f>
        <v>305.55</v>
      </c>
      <c r="H1955" s="184">
        <f>H1954/Parametros!$B$37</f>
        <v>305.55</v>
      </c>
      <c r="I1955" s="184">
        <f>I1954/Parametros!$B$37</f>
        <v>327.375</v>
      </c>
      <c r="J1955" s="184">
        <f>J1954/Parametros!$B$37</f>
        <v>327.375</v>
      </c>
      <c r="K1955" s="184">
        <f>K1954/Parametros!$B$37</f>
        <v>327.375</v>
      </c>
      <c r="L1955" s="184">
        <f>L1954/Parametros!$B$37</f>
        <v>327.375</v>
      </c>
      <c r="M1955" s="184">
        <f>M1954/Parametros!$B$37</f>
        <v>327.375</v>
      </c>
      <c r="N1955" s="184">
        <f>N1954/Parametros!$B$37</f>
        <v>523.8</v>
      </c>
      <c r="O1955" s="5"/>
      <c r="P1955" s="5"/>
      <c r="Q1955" s="5"/>
      <c r="R1955" s="5"/>
      <c r="S1955" s="5"/>
      <c r="T1955" s="5"/>
      <c r="U1955" s="5"/>
      <c r="V1955" s="5"/>
      <c r="W1955" s="5"/>
      <c r="X1955" s="5"/>
      <c r="Y1955" s="5"/>
      <c r="Z1955" s="5"/>
    </row>
    <row r="1956" ht="12.0" customHeight="1">
      <c r="A1956" s="185"/>
      <c r="B1956" s="125" t="s">
        <v>635</v>
      </c>
      <c r="C1956" s="184">
        <f>C1955/Parametros!$J$37</f>
        <v>69.84</v>
      </c>
      <c r="D1956" s="184">
        <f>D1955/Parametros!$J$37</f>
        <v>52.38</v>
      </c>
      <c r="E1956" s="184">
        <f>E1955/Parametros!$J$37</f>
        <v>46.56</v>
      </c>
      <c r="F1956" s="184">
        <f>F1955/Parametros!$J$37</f>
        <v>43.65</v>
      </c>
      <c r="G1956" s="184">
        <f>G1955/Parametros!$J$37</f>
        <v>40.74</v>
      </c>
      <c r="H1956" s="184">
        <f>H1955/Parametros!$J$37</f>
        <v>40.74</v>
      </c>
      <c r="I1956" s="184">
        <f>I1955/Parametros!$J$37</f>
        <v>43.65</v>
      </c>
      <c r="J1956" s="184">
        <f>J1955/Parametros!$J$37</f>
        <v>43.65</v>
      </c>
      <c r="K1956" s="184">
        <f>K1955/Parametros!$J$37</f>
        <v>43.65</v>
      </c>
      <c r="L1956" s="184">
        <f>L1955/Parametros!$J$37</f>
        <v>43.65</v>
      </c>
      <c r="M1956" s="184">
        <f>M1955/Parametros!$J$37</f>
        <v>43.65</v>
      </c>
      <c r="N1956" s="184">
        <f>N1955/Parametros!$J$37</f>
        <v>69.84</v>
      </c>
      <c r="O1956" s="5"/>
      <c r="P1956" s="5"/>
      <c r="Q1956" s="5"/>
      <c r="R1956" s="5"/>
      <c r="S1956" s="5"/>
      <c r="T1956" s="5"/>
      <c r="U1956" s="5"/>
      <c r="V1956" s="5"/>
      <c r="W1956" s="5"/>
      <c r="X1956" s="5"/>
      <c r="Y1956" s="5"/>
      <c r="Z1956" s="5"/>
    </row>
    <row r="1957" ht="12.0" customHeight="1">
      <c r="A1957" s="186" t="s">
        <v>636</v>
      </c>
      <c r="B1957" s="4"/>
      <c r="C1957" s="184">
        <f t="shared" ref="C1957:N1957" si="574">C1956</f>
        <v>69.84</v>
      </c>
      <c r="D1957" s="184">
        <f t="shared" si="574"/>
        <v>52.38</v>
      </c>
      <c r="E1957" s="184">
        <f t="shared" si="574"/>
        <v>46.56</v>
      </c>
      <c r="F1957" s="184">
        <f t="shared" si="574"/>
        <v>43.65</v>
      </c>
      <c r="G1957" s="184">
        <f t="shared" si="574"/>
        <v>40.74</v>
      </c>
      <c r="H1957" s="184">
        <f t="shared" si="574"/>
        <v>40.74</v>
      </c>
      <c r="I1957" s="184">
        <f t="shared" si="574"/>
        <v>43.65</v>
      </c>
      <c r="J1957" s="184">
        <f t="shared" si="574"/>
        <v>43.65</v>
      </c>
      <c r="K1957" s="184">
        <f t="shared" si="574"/>
        <v>43.65</v>
      </c>
      <c r="L1957" s="184">
        <f t="shared" si="574"/>
        <v>43.65</v>
      </c>
      <c r="M1957" s="184">
        <f t="shared" si="574"/>
        <v>43.65</v>
      </c>
      <c r="N1957" s="184">
        <f t="shared" si="574"/>
        <v>69.84</v>
      </c>
      <c r="O1957" s="5"/>
      <c r="P1957" s="5"/>
      <c r="Q1957" s="5"/>
      <c r="R1957" s="5"/>
      <c r="S1957" s="5"/>
      <c r="T1957" s="5"/>
      <c r="U1957" s="5"/>
      <c r="V1957" s="5"/>
      <c r="W1957" s="5"/>
      <c r="X1957" s="5"/>
      <c r="Y1957" s="5"/>
      <c r="Z1957" s="5"/>
    </row>
    <row r="1958" ht="12.0" customHeight="1">
      <c r="A1958" s="186" t="s">
        <v>637</v>
      </c>
      <c r="B1958" s="4"/>
      <c r="C1958" s="274">
        <f>'Resumen Capacidad'!$G$130</f>
        <v>75.21428571</v>
      </c>
      <c r="D1958" s="274">
        <f>'Resumen Capacidad'!$G$130</f>
        <v>75.21428571</v>
      </c>
      <c r="E1958" s="274">
        <f>'Resumen Capacidad'!$G$130</f>
        <v>75.21428571</v>
      </c>
      <c r="F1958" s="274">
        <f>'Resumen Capacidad'!$G$130</f>
        <v>75.21428571</v>
      </c>
      <c r="G1958" s="274">
        <f>'Resumen Capacidad'!$G$130</f>
        <v>75.21428571</v>
      </c>
      <c r="H1958" s="274">
        <f>'Resumen Capacidad'!$G$130</f>
        <v>75.21428571</v>
      </c>
      <c r="I1958" s="274">
        <f>'Resumen Capacidad'!$G$130</f>
        <v>75.21428571</v>
      </c>
      <c r="J1958" s="274">
        <f>'Resumen Capacidad'!$G$130</f>
        <v>75.21428571</v>
      </c>
      <c r="K1958" s="274">
        <f>'Resumen Capacidad'!$G$130</f>
        <v>75.21428571</v>
      </c>
      <c r="L1958" s="274">
        <f>'Resumen Capacidad'!$G$130</f>
        <v>75.21428571</v>
      </c>
      <c r="M1958" s="274">
        <f>'Resumen Capacidad'!$G$130</f>
        <v>75.21428571</v>
      </c>
      <c r="N1958" s="274">
        <f>'Resumen Capacidad'!$G$130</f>
        <v>75.21428571</v>
      </c>
      <c r="O1958" s="5"/>
      <c r="P1958" s="5"/>
      <c r="Q1958" s="5"/>
      <c r="R1958" s="5"/>
      <c r="S1958" s="5"/>
      <c r="T1958" s="5"/>
      <c r="U1958" s="5"/>
      <c r="V1958" s="5"/>
      <c r="W1958" s="5"/>
      <c r="X1958" s="5"/>
      <c r="Y1958" s="5"/>
      <c r="Z1958" s="5"/>
    </row>
    <row r="1959" ht="12.0" customHeight="1">
      <c r="A1959" s="186" t="s">
        <v>640</v>
      </c>
      <c r="B1959" s="4"/>
      <c r="C1959" s="148">
        <f>'Resumen Capacidad'!$G$48*'Resumen Capacidad'!$G$84</f>
        <v>2</v>
      </c>
      <c r="D1959" s="148">
        <f>'Resumen Capacidad'!$G$48*'Resumen Capacidad'!$G$84</f>
        <v>2</v>
      </c>
      <c r="E1959" s="148">
        <f>'Resumen Capacidad'!$G$48*'Resumen Capacidad'!$G$84</f>
        <v>2</v>
      </c>
      <c r="F1959" s="148">
        <f>'Resumen Capacidad'!$G$48*'Resumen Capacidad'!$G$84</f>
        <v>2</v>
      </c>
      <c r="G1959" s="148">
        <f>'Resumen Capacidad'!$G$48*'Resumen Capacidad'!$G$84</f>
        <v>2</v>
      </c>
      <c r="H1959" s="148">
        <f>'Resumen Capacidad'!$G$48*'Resumen Capacidad'!$G$84</f>
        <v>2</v>
      </c>
      <c r="I1959" s="148">
        <f>'Resumen Capacidad'!$G$48*'Resumen Capacidad'!$G$84</f>
        <v>2</v>
      </c>
      <c r="J1959" s="148">
        <f>'Resumen Capacidad'!$G$48*'Resumen Capacidad'!$G$84</f>
        <v>2</v>
      </c>
      <c r="K1959" s="148">
        <f>'Resumen Capacidad'!$G$48*'Resumen Capacidad'!$G$84</f>
        <v>2</v>
      </c>
      <c r="L1959" s="148">
        <f>'Resumen Capacidad'!$G$48*'Resumen Capacidad'!$G$84</f>
        <v>2</v>
      </c>
      <c r="M1959" s="148">
        <f>'Resumen Capacidad'!$G$48*'Resumen Capacidad'!$G$84</f>
        <v>2</v>
      </c>
      <c r="N1959" s="148">
        <f>'Resumen Capacidad'!$G$48*'Resumen Capacidad'!$G$84</f>
        <v>2</v>
      </c>
      <c r="O1959" s="5"/>
      <c r="P1959" s="5"/>
      <c r="Q1959" s="5"/>
      <c r="R1959" s="5"/>
      <c r="S1959" s="5"/>
      <c r="T1959" s="5"/>
      <c r="U1959" s="5"/>
      <c r="V1959" s="5"/>
      <c r="W1959" s="5"/>
      <c r="X1959" s="5"/>
      <c r="Y1959" s="5"/>
      <c r="Z1959" s="5"/>
    </row>
    <row r="1960" ht="12.0" customHeight="1">
      <c r="A1960" s="186" t="s">
        <v>642</v>
      </c>
      <c r="B1960" s="4"/>
      <c r="C1960" s="184">
        <f t="shared" ref="C1960:N1960" si="575">C1958*C1959</f>
        <v>150.4285714</v>
      </c>
      <c r="D1960" s="184">
        <f t="shared" si="575"/>
        <v>150.4285714</v>
      </c>
      <c r="E1960" s="184">
        <f t="shared" si="575"/>
        <v>150.4285714</v>
      </c>
      <c r="F1960" s="184">
        <f t="shared" si="575"/>
        <v>150.4285714</v>
      </c>
      <c r="G1960" s="184">
        <f t="shared" si="575"/>
        <v>150.4285714</v>
      </c>
      <c r="H1960" s="184">
        <f t="shared" si="575"/>
        <v>150.4285714</v>
      </c>
      <c r="I1960" s="184">
        <f t="shared" si="575"/>
        <v>150.4285714</v>
      </c>
      <c r="J1960" s="184">
        <f t="shared" si="575"/>
        <v>150.4285714</v>
      </c>
      <c r="K1960" s="184">
        <f t="shared" si="575"/>
        <v>150.4285714</v>
      </c>
      <c r="L1960" s="184">
        <f t="shared" si="575"/>
        <v>150.4285714</v>
      </c>
      <c r="M1960" s="184">
        <f t="shared" si="575"/>
        <v>150.4285714</v>
      </c>
      <c r="N1960" s="184">
        <f t="shared" si="575"/>
        <v>150.4285714</v>
      </c>
      <c r="O1960" s="5"/>
      <c r="P1960" s="5"/>
      <c r="Q1960" s="5"/>
      <c r="R1960" s="5"/>
      <c r="S1960" s="5"/>
      <c r="T1960" s="5"/>
      <c r="U1960" s="5"/>
      <c r="V1960" s="5"/>
      <c r="W1960" s="5"/>
      <c r="X1960" s="5"/>
      <c r="Y1960" s="5"/>
      <c r="Z1960" s="5"/>
    </row>
    <row r="1961" ht="12.0" customHeight="1">
      <c r="A1961" s="186" t="s">
        <v>643</v>
      </c>
      <c r="B1961" s="4"/>
      <c r="C1961" s="148">
        <f t="shared" ref="C1961:N1961" si="576">IF(C1960=0,0,C1957/C1960)</f>
        <v>0.4642735043</v>
      </c>
      <c r="D1961" s="148">
        <f t="shared" si="576"/>
        <v>0.3482051282</v>
      </c>
      <c r="E1961" s="148">
        <f t="shared" si="576"/>
        <v>0.3095156695</v>
      </c>
      <c r="F1961" s="148">
        <f t="shared" si="576"/>
        <v>0.2901709402</v>
      </c>
      <c r="G1961" s="148">
        <f t="shared" si="576"/>
        <v>0.2708262108</v>
      </c>
      <c r="H1961" s="148">
        <f t="shared" si="576"/>
        <v>0.2708262108</v>
      </c>
      <c r="I1961" s="148">
        <f t="shared" si="576"/>
        <v>0.2901709402</v>
      </c>
      <c r="J1961" s="148">
        <f t="shared" si="576"/>
        <v>0.2901709402</v>
      </c>
      <c r="K1961" s="148">
        <f t="shared" si="576"/>
        <v>0.2901709402</v>
      </c>
      <c r="L1961" s="148">
        <f t="shared" si="576"/>
        <v>0.2901709402</v>
      </c>
      <c r="M1961" s="148">
        <f t="shared" si="576"/>
        <v>0.2901709402</v>
      </c>
      <c r="N1961" s="148">
        <f t="shared" si="576"/>
        <v>0.4642735043</v>
      </c>
      <c r="O1961" s="5"/>
      <c r="P1961" s="5"/>
      <c r="Q1961" s="5"/>
      <c r="R1961" s="5"/>
      <c r="S1961" s="5"/>
      <c r="T1961" s="5"/>
      <c r="U1961" s="5"/>
      <c r="V1961" s="5"/>
      <c r="W1961" s="5"/>
      <c r="X1961" s="5"/>
      <c r="Y1961" s="5"/>
      <c r="Z1961" s="5"/>
    </row>
    <row r="1962" ht="12.0" customHeight="1">
      <c r="A1962" s="11"/>
      <c r="B1962" s="11"/>
      <c r="C1962" s="285"/>
      <c r="D1962" s="285"/>
      <c r="E1962" s="285"/>
      <c r="F1962" s="285"/>
      <c r="G1962" s="285"/>
      <c r="H1962" s="285"/>
      <c r="I1962" s="285"/>
      <c r="J1962" s="285"/>
      <c r="K1962" s="285"/>
      <c r="L1962" s="285"/>
      <c r="M1962" s="285"/>
      <c r="N1962" s="285"/>
      <c r="O1962" s="5"/>
      <c r="P1962" s="5"/>
      <c r="Q1962" s="5"/>
      <c r="R1962" s="5"/>
      <c r="S1962" s="5"/>
      <c r="T1962" s="5"/>
      <c r="U1962" s="5"/>
      <c r="V1962" s="5"/>
      <c r="W1962" s="5"/>
      <c r="X1962" s="5"/>
      <c r="Y1962" s="5"/>
      <c r="Z1962" s="5"/>
    </row>
    <row r="1963" ht="12.0" customHeight="1">
      <c r="A1963" s="284" t="s">
        <v>1629</v>
      </c>
      <c r="B1963" s="11"/>
      <c r="C1963" s="285"/>
      <c r="D1963" s="285"/>
      <c r="E1963" s="285"/>
      <c r="F1963" s="285"/>
      <c r="G1963" s="285"/>
      <c r="H1963" s="285"/>
      <c r="I1963" s="285"/>
      <c r="J1963" s="285"/>
      <c r="K1963" s="285"/>
      <c r="L1963" s="285"/>
      <c r="M1963" s="285"/>
      <c r="N1963" s="285"/>
      <c r="O1963" s="5"/>
      <c r="P1963" s="5"/>
      <c r="Q1963" s="5"/>
      <c r="R1963" s="5"/>
      <c r="S1963" s="5"/>
      <c r="T1963" s="5"/>
      <c r="U1963" s="5"/>
      <c r="V1963" s="5"/>
      <c r="W1963" s="5"/>
      <c r="X1963" s="5"/>
      <c r="Y1963" s="5"/>
      <c r="Z1963" s="5"/>
    </row>
    <row r="1964" ht="12.0" customHeight="1">
      <c r="A1964" s="177" t="s">
        <v>1620</v>
      </c>
      <c r="B1964" s="178"/>
      <c r="C1964" s="178"/>
      <c r="D1964" s="178"/>
      <c r="E1964" s="178"/>
      <c r="F1964" s="178"/>
      <c r="G1964" s="178"/>
      <c r="H1964" s="178"/>
      <c r="I1964" s="178"/>
      <c r="J1964" s="178"/>
      <c r="K1964" s="178"/>
      <c r="L1964" s="178"/>
      <c r="M1964" s="178"/>
      <c r="N1964" s="179"/>
      <c r="O1964" s="5"/>
      <c r="P1964" s="5"/>
      <c r="Q1964" s="5"/>
      <c r="R1964" s="5"/>
      <c r="S1964" s="5"/>
      <c r="T1964" s="5"/>
      <c r="U1964" s="5"/>
      <c r="V1964" s="5"/>
      <c r="W1964" s="5"/>
      <c r="X1964" s="5"/>
      <c r="Y1964" s="5"/>
      <c r="Z1964" s="5"/>
    </row>
    <row r="1965" ht="12.0" customHeight="1">
      <c r="A1965" s="180" t="s">
        <v>630</v>
      </c>
      <c r="B1965" s="180" t="s">
        <v>631</v>
      </c>
      <c r="C1965" s="286" t="s">
        <v>3</v>
      </c>
      <c r="D1965" s="286" t="s">
        <v>4</v>
      </c>
      <c r="E1965" s="286" t="s">
        <v>5</v>
      </c>
      <c r="F1965" s="286" t="s">
        <v>6</v>
      </c>
      <c r="G1965" s="286" t="s">
        <v>7</v>
      </c>
      <c r="H1965" s="286" t="s">
        <v>8</v>
      </c>
      <c r="I1965" s="286" t="s">
        <v>9</v>
      </c>
      <c r="J1965" s="286" t="s">
        <v>10</v>
      </c>
      <c r="K1965" s="286" t="s">
        <v>11</v>
      </c>
      <c r="L1965" s="286" t="s">
        <v>12</v>
      </c>
      <c r="M1965" s="286" t="s">
        <v>13</v>
      </c>
      <c r="N1965" s="286" t="s">
        <v>14</v>
      </c>
      <c r="O1965" s="5"/>
      <c r="P1965" s="5"/>
      <c r="Q1965" s="5"/>
      <c r="R1965" s="5"/>
      <c r="S1965" s="5"/>
      <c r="T1965" s="5"/>
      <c r="U1965" s="5"/>
      <c r="V1965" s="5"/>
      <c r="W1965" s="5"/>
      <c r="X1965" s="5"/>
      <c r="Y1965" s="5"/>
      <c r="Z1965" s="5"/>
    </row>
    <row r="1966" ht="12.0" customHeight="1">
      <c r="A1966" s="181" t="s">
        <v>1621</v>
      </c>
      <c r="B1966" s="125" t="s">
        <v>633</v>
      </c>
      <c r="C1966" s="182">
        <f>(SUM('2032'!B6:B9)+SUM('2032'!B17:B20))*0.05</f>
        <v>974.169</v>
      </c>
      <c r="D1966" s="182">
        <f>(SUM('2032'!C6:C9)+SUM('2032'!C17:C20))*0.05</f>
        <v>742.833</v>
      </c>
      <c r="E1966" s="182">
        <f>(SUM('2032'!D6:D9)+SUM('2032'!D17:D20))*0.05</f>
        <v>694.20225</v>
      </c>
      <c r="F1966" s="182">
        <f>(SUM('2032'!E6:E9)+SUM('2032'!E17:E20))*0.05</f>
        <v>663.78375</v>
      </c>
      <c r="G1966" s="182">
        <f>(SUM('2032'!F6:F9)+SUM('2032'!F17:F20))*0.05</f>
        <v>621.159</v>
      </c>
      <c r="H1966" s="182">
        <f>(SUM('2032'!G6:G9)+SUM('2032'!G17:G20))*0.05</f>
        <v>608.95275</v>
      </c>
      <c r="I1966" s="182">
        <f>(SUM('2032'!H6:H9)+SUM('2032'!H17:H20))*0.05</f>
        <v>651.5775</v>
      </c>
      <c r="J1966" s="182">
        <f>(SUM('2032'!I6:I9)+SUM('2032'!I17:I20))*0.05</f>
        <v>651.5775</v>
      </c>
      <c r="K1966" s="182">
        <f>(SUM('2032'!J6:J9)+SUM('2032'!J17:J20))*0.05</f>
        <v>651.5775</v>
      </c>
      <c r="L1966" s="182">
        <f>(SUM('2032'!K6:K9)+SUM('2032'!K17:K20))*0.05</f>
        <v>639.37125</v>
      </c>
      <c r="M1966" s="182">
        <f>(SUM('2032'!L6:L9)+SUM('2032'!L17:L20))*0.05</f>
        <v>627.165</v>
      </c>
      <c r="N1966" s="182">
        <f>(SUM('2032'!M6:M9)+SUM('2032'!M17:M20))*0.05</f>
        <v>998.5815</v>
      </c>
      <c r="O1966" s="5"/>
      <c r="P1966" s="5"/>
      <c r="Q1966" s="5"/>
      <c r="R1966" s="5"/>
      <c r="S1966" s="5"/>
      <c r="T1966" s="5"/>
      <c r="U1966" s="5"/>
      <c r="V1966" s="5"/>
      <c r="W1966" s="5"/>
      <c r="X1966" s="5"/>
      <c r="Y1966" s="5"/>
      <c r="Z1966" s="5"/>
    </row>
    <row r="1967" ht="12.0" customHeight="1">
      <c r="A1967" s="183"/>
      <c r="B1967" s="125" t="s">
        <v>634</v>
      </c>
      <c r="C1967" s="184">
        <f>C1966/Parametros!$B$37</f>
        <v>48.70845</v>
      </c>
      <c r="D1967" s="184">
        <f>D1966/Parametros!$B$37</f>
        <v>37.14165</v>
      </c>
      <c r="E1967" s="184">
        <f>E1966/Parametros!$B$37</f>
        <v>34.7101125</v>
      </c>
      <c r="F1967" s="184">
        <f>F1966/Parametros!$B$37</f>
        <v>33.1891875</v>
      </c>
      <c r="G1967" s="184">
        <f>G1966/Parametros!$B$37</f>
        <v>31.05795</v>
      </c>
      <c r="H1967" s="184">
        <f>H1966/Parametros!$B$37</f>
        <v>30.4476375</v>
      </c>
      <c r="I1967" s="184">
        <f>I1966/Parametros!$B$37</f>
        <v>32.578875</v>
      </c>
      <c r="J1967" s="184">
        <f>J1966/Parametros!$B$37</f>
        <v>32.578875</v>
      </c>
      <c r="K1967" s="184">
        <f>K1966/Parametros!$B$37</f>
        <v>32.578875</v>
      </c>
      <c r="L1967" s="184">
        <f>L1966/Parametros!$B$37</f>
        <v>31.9685625</v>
      </c>
      <c r="M1967" s="184">
        <f>M1966/Parametros!$B$37</f>
        <v>31.35825</v>
      </c>
      <c r="N1967" s="184">
        <f>N1966/Parametros!$B$37</f>
        <v>49.929075</v>
      </c>
      <c r="O1967" s="5"/>
      <c r="P1967" s="5"/>
      <c r="Q1967" s="5"/>
      <c r="R1967" s="5"/>
      <c r="S1967" s="5"/>
      <c r="T1967" s="5"/>
      <c r="U1967" s="5"/>
      <c r="V1967" s="5"/>
      <c r="W1967" s="5"/>
      <c r="X1967" s="5"/>
      <c r="Y1967" s="5"/>
      <c r="Z1967" s="5"/>
    </row>
    <row r="1968" ht="12.0" customHeight="1">
      <c r="A1968" s="185"/>
      <c r="B1968" s="125" t="s">
        <v>635</v>
      </c>
      <c r="C1968" s="184">
        <f>C1967/Parametros!$J$37</f>
        <v>6.49446</v>
      </c>
      <c r="D1968" s="184">
        <f>D1967/Parametros!$J$37</f>
        <v>4.95222</v>
      </c>
      <c r="E1968" s="184">
        <f>E1967/Parametros!$J$37</f>
        <v>4.628015</v>
      </c>
      <c r="F1968" s="184">
        <f>F1967/Parametros!$J$37</f>
        <v>4.425225</v>
      </c>
      <c r="G1968" s="184">
        <f>G1967/Parametros!$J$37</f>
        <v>4.14106</v>
      </c>
      <c r="H1968" s="184">
        <f>H1967/Parametros!$J$37</f>
        <v>4.059685</v>
      </c>
      <c r="I1968" s="184">
        <f>I1967/Parametros!$J$37</f>
        <v>4.34385</v>
      </c>
      <c r="J1968" s="184">
        <f>J1967/Parametros!$J$37</f>
        <v>4.34385</v>
      </c>
      <c r="K1968" s="184">
        <f>K1967/Parametros!$J$37</f>
        <v>4.34385</v>
      </c>
      <c r="L1968" s="184">
        <f>L1967/Parametros!$J$37</f>
        <v>4.262475</v>
      </c>
      <c r="M1968" s="184">
        <f>M1967/Parametros!$J$37</f>
        <v>4.1811</v>
      </c>
      <c r="N1968" s="184">
        <f>N1967/Parametros!$J$37</f>
        <v>6.65721</v>
      </c>
      <c r="O1968" s="5"/>
      <c r="P1968" s="5"/>
      <c r="Q1968" s="5"/>
      <c r="R1968" s="5"/>
      <c r="S1968" s="5"/>
      <c r="T1968" s="5"/>
      <c r="U1968" s="5"/>
      <c r="V1968" s="5"/>
      <c r="W1968" s="5"/>
      <c r="X1968" s="5"/>
      <c r="Y1968" s="5"/>
      <c r="Z1968" s="5"/>
    </row>
    <row r="1969" ht="12.0" customHeight="1">
      <c r="A1969" s="186" t="s">
        <v>636</v>
      </c>
      <c r="B1969" s="4"/>
      <c r="C1969" s="184">
        <f t="shared" ref="C1969:N1969" si="577">C1968</f>
        <v>6.49446</v>
      </c>
      <c r="D1969" s="184">
        <f t="shared" si="577"/>
        <v>4.95222</v>
      </c>
      <c r="E1969" s="184">
        <f t="shared" si="577"/>
        <v>4.628015</v>
      </c>
      <c r="F1969" s="184">
        <f t="shared" si="577"/>
        <v>4.425225</v>
      </c>
      <c r="G1969" s="184">
        <f t="shared" si="577"/>
        <v>4.14106</v>
      </c>
      <c r="H1969" s="184">
        <f t="shared" si="577"/>
        <v>4.059685</v>
      </c>
      <c r="I1969" s="184">
        <f t="shared" si="577"/>
        <v>4.34385</v>
      </c>
      <c r="J1969" s="184">
        <f t="shared" si="577"/>
        <v>4.34385</v>
      </c>
      <c r="K1969" s="184">
        <f t="shared" si="577"/>
        <v>4.34385</v>
      </c>
      <c r="L1969" s="184">
        <f t="shared" si="577"/>
        <v>4.262475</v>
      </c>
      <c r="M1969" s="184">
        <f t="shared" si="577"/>
        <v>4.1811</v>
      </c>
      <c r="N1969" s="184">
        <f t="shared" si="577"/>
        <v>6.65721</v>
      </c>
      <c r="O1969" s="5"/>
      <c r="P1969" s="5"/>
      <c r="Q1969" s="5"/>
      <c r="R1969" s="5"/>
      <c r="S1969" s="5"/>
      <c r="T1969" s="5"/>
      <c r="U1969" s="5"/>
      <c r="V1969" s="5"/>
      <c r="W1969" s="5"/>
      <c r="X1969" s="5"/>
      <c r="Y1969" s="5"/>
      <c r="Z1969" s="5"/>
    </row>
    <row r="1970" ht="12.0" customHeight="1">
      <c r="A1970" s="186" t="s">
        <v>637</v>
      </c>
      <c r="B1970" s="4"/>
      <c r="C1970" s="274">
        <f>'Resumen Capacidad'!$H$123</f>
        <v>20.51162791</v>
      </c>
      <c r="D1970" s="274">
        <f>'Resumen Capacidad'!$H$123</f>
        <v>20.51162791</v>
      </c>
      <c r="E1970" s="274">
        <f>'Resumen Capacidad'!$H$123</f>
        <v>20.51162791</v>
      </c>
      <c r="F1970" s="274">
        <f>'Resumen Capacidad'!$H$123</f>
        <v>20.51162791</v>
      </c>
      <c r="G1970" s="274">
        <f>'Resumen Capacidad'!$H$123</f>
        <v>20.51162791</v>
      </c>
      <c r="H1970" s="274">
        <f>'Resumen Capacidad'!$H$123</f>
        <v>20.51162791</v>
      </c>
      <c r="I1970" s="274">
        <f>'Resumen Capacidad'!$H$123</f>
        <v>20.51162791</v>
      </c>
      <c r="J1970" s="274">
        <f>'Resumen Capacidad'!$H$123</f>
        <v>20.51162791</v>
      </c>
      <c r="K1970" s="274">
        <f>'Resumen Capacidad'!$H$123</f>
        <v>20.51162791</v>
      </c>
      <c r="L1970" s="274">
        <f>'Resumen Capacidad'!$H$123</f>
        <v>20.51162791</v>
      </c>
      <c r="M1970" s="274">
        <f>'Resumen Capacidad'!$H$123</f>
        <v>20.51162791</v>
      </c>
      <c r="N1970" s="274">
        <f>'Resumen Capacidad'!$H$123</f>
        <v>20.51162791</v>
      </c>
      <c r="O1970" s="5"/>
      <c r="P1970" s="5"/>
      <c r="Q1970" s="5"/>
      <c r="R1970" s="5"/>
      <c r="S1970" s="5"/>
      <c r="T1970" s="5"/>
      <c r="U1970" s="5"/>
      <c r="V1970" s="5"/>
      <c r="W1970" s="5"/>
      <c r="X1970" s="5"/>
      <c r="Y1970" s="5"/>
      <c r="Z1970" s="5"/>
    </row>
    <row r="1971" ht="12.0" customHeight="1">
      <c r="A1971" s="186" t="s">
        <v>640</v>
      </c>
      <c r="B1971" s="4"/>
      <c r="C1971" s="148">
        <f>'Resumen Capacidad'!$H$41*'Resumen Capacidad'!$H$77</f>
        <v>1</v>
      </c>
      <c r="D1971" s="148">
        <f>'Resumen Capacidad'!$H$41*'Resumen Capacidad'!$H$77</f>
        <v>1</v>
      </c>
      <c r="E1971" s="148">
        <f>'Resumen Capacidad'!$H$41*'Resumen Capacidad'!$H$77</f>
        <v>1</v>
      </c>
      <c r="F1971" s="148">
        <f>'Resumen Capacidad'!$H$41*'Resumen Capacidad'!$H$77</f>
        <v>1</v>
      </c>
      <c r="G1971" s="148">
        <f>'Resumen Capacidad'!$H$41*'Resumen Capacidad'!$H$77</f>
        <v>1</v>
      </c>
      <c r="H1971" s="148">
        <f>'Resumen Capacidad'!$H$41*'Resumen Capacidad'!$H$77</f>
        <v>1</v>
      </c>
      <c r="I1971" s="148">
        <f>'Resumen Capacidad'!$H$41*'Resumen Capacidad'!$H$77</f>
        <v>1</v>
      </c>
      <c r="J1971" s="148">
        <f>'Resumen Capacidad'!$H$41*'Resumen Capacidad'!$H$77</f>
        <v>1</v>
      </c>
      <c r="K1971" s="148">
        <f>'Resumen Capacidad'!$H$41*'Resumen Capacidad'!$H$77</f>
        <v>1</v>
      </c>
      <c r="L1971" s="148">
        <f>'Resumen Capacidad'!$H$41*'Resumen Capacidad'!$H$77</f>
        <v>1</v>
      </c>
      <c r="M1971" s="148">
        <f>'Resumen Capacidad'!$H$41*'Resumen Capacidad'!$H$77</f>
        <v>1</v>
      </c>
      <c r="N1971" s="148">
        <f>'Resumen Capacidad'!$H$41*'Resumen Capacidad'!$H$77</f>
        <v>1</v>
      </c>
      <c r="O1971" s="5"/>
      <c r="P1971" s="5"/>
      <c r="Q1971" s="5"/>
      <c r="R1971" s="5"/>
      <c r="S1971" s="5"/>
      <c r="T1971" s="5"/>
      <c r="U1971" s="5"/>
      <c r="V1971" s="5"/>
      <c r="W1971" s="5"/>
      <c r="X1971" s="5"/>
      <c r="Y1971" s="5"/>
      <c r="Z1971" s="5"/>
    </row>
    <row r="1972" ht="12.0" customHeight="1">
      <c r="A1972" s="186" t="s">
        <v>642</v>
      </c>
      <c r="B1972" s="4"/>
      <c r="C1972" s="184">
        <f t="shared" ref="C1972:N1972" si="578">C1970*C1971</f>
        <v>20.51162791</v>
      </c>
      <c r="D1972" s="184">
        <f t="shared" si="578"/>
        <v>20.51162791</v>
      </c>
      <c r="E1972" s="184">
        <f t="shared" si="578"/>
        <v>20.51162791</v>
      </c>
      <c r="F1972" s="184">
        <f t="shared" si="578"/>
        <v>20.51162791</v>
      </c>
      <c r="G1972" s="184">
        <f t="shared" si="578"/>
        <v>20.51162791</v>
      </c>
      <c r="H1972" s="184">
        <f t="shared" si="578"/>
        <v>20.51162791</v>
      </c>
      <c r="I1972" s="184">
        <f t="shared" si="578"/>
        <v>20.51162791</v>
      </c>
      <c r="J1972" s="184">
        <f t="shared" si="578"/>
        <v>20.51162791</v>
      </c>
      <c r="K1972" s="184">
        <f t="shared" si="578"/>
        <v>20.51162791</v>
      </c>
      <c r="L1972" s="184">
        <f t="shared" si="578"/>
        <v>20.51162791</v>
      </c>
      <c r="M1972" s="184">
        <f t="shared" si="578"/>
        <v>20.51162791</v>
      </c>
      <c r="N1972" s="184">
        <f t="shared" si="578"/>
        <v>20.51162791</v>
      </c>
      <c r="O1972" s="5"/>
      <c r="P1972" s="5"/>
      <c r="Q1972" s="5"/>
      <c r="R1972" s="5"/>
      <c r="S1972" s="5"/>
      <c r="T1972" s="5"/>
      <c r="U1972" s="5"/>
      <c r="V1972" s="5"/>
      <c r="W1972" s="5"/>
      <c r="X1972" s="5"/>
      <c r="Y1972" s="5"/>
      <c r="Z1972" s="5"/>
    </row>
    <row r="1973" ht="12.0" customHeight="1">
      <c r="A1973" s="186" t="s">
        <v>643</v>
      </c>
      <c r="B1973" s="4"/>
      <c r="C1973" s="148">
        <f t="shared" ref="C1973:N1973" si="579">IF(C1972=0,0,C1969/C1972)</f>
        <v>0.3166233333</v>
      </c>
      <c r="D1973" s="148">
        <f t="shared" si="579"/>
        <v>0.2414347619</v>
      </c>
      <c r="E1973" s="148">
        <f t="shared" si="579"/>
        <v>0.2256288492</v>
      </c>
      <c r="F1973" s="148">
        <f t="shared" si="579"/>
        <v>0.2157422619</v>
      </c>
      <c r="G1973" s="148">
        <f t="shared" si="579"/>
        <v>0.2018884127</v>
      </c>
      <c r="H1973" s="148">
        <f t="shared" si="579"/>
        <v>0.1979211508</v>
      </c>
      <c r="I1973" s="148">
        <f t="shared" si="579"/>
        <v>0.211775</v>
      </c>
      <c r="J1973" s="148">
        <f t="shared" si="579"/>
        <v>0.211775</v>
      </c>
      <c r="K1973" s="148">
        <f t="shared" si="579"/>
        <v>0.211775</v>
      </c>
      <c r="L1973" s="148">
        <f t="shared" si="579"/>
        <v>0.2078077381</v>
      </c>
      <c r="M1973" s="148">
        <f t="shared" si="579"/>
        <v>0.2038404762</v>
      </c>
      <c r="N1973" s="148">
        <f t="shared" si="579"/>
        <v>0.3245578571</v>
      </c>
      <c r="O1973" s="5"/>
      <c r="P1973" s="5"/>
      <c r="Q1973" s="5"/>
      <c r="R1973" s="5"/>
      <c r="S1973" s="5"/>
      <c r="T1973" s="5"/>
      <c r="U1973" s="5"/>
      <c r="V1973" s="5"/>
      <c r="W1973" s="5"/>
      <c r="X1973" s="5"/>
      <c r="Y1973" s="5"/>
      <c r="Z1973" s="5"/>
    </row>
    <row r="1974" ht="12.0" customHeight="1">
      <c r="A1974" s="177" t="s">
        <v>1622</v>
      </c>
      <c r="B1974" s="178"/>
      <c r="C1974" s="178"/>
      <c r="D1974" s="178"/>
      <c r="E1974" s="178"/>
      <c r="F1974" s="178"/>
      <c r="G1974" s="178"/>
      <c r="H1974" s="178"/>
      <c r="I1974" s="178"/>
      <c r="J1974" s="178"/>
      <c r="K1974" s="178"/>
      <c r="L1974" s="178"/>
      <c r="M1974" s="178"/>
      <c r="N1974" s="179"/>
      <c r="O1974" s="5"/>
      <c r="P1974" s="5"/>
      <c r="Q1974" s="5"/>
      <c r="R1974" s="5"/>
      <c r="S1974" s="5"/>
      <c r="T1974" s="5"/>
      <c r="U1974" s="5"/>
      <c r="V1974" s="5"/>
      <c r="W1974" s="5"/>
      <c r="X1974" s="5"/>
      <c r="Y1974" s="5"/>
      <c r="Z1974" s="5"/>
    </row>
    <row r="1975" ht="12.0" customHeight="1">
      <c r="A1975" s="180" t="s">
        <v>630</v>
      </c>
      <c r="B1975" s="180" t="s">
        <v>631</v>
      </c>
      <c r="C1975" s="286" t="s">
        <v>3</v>
      </c>
      <c r="D1975" s="286" t="s">
        <v>4</v>
      </c>
      <c r="E1975" s="286" t="s">
        <v>5</v>
      </c>
      <c r="F1975" s="286" t="s">
        <v>6</v>
      </c>
      <c r="G1975" s="286" t="s">
        <v>7</v>
      </c>
      <c r="H1975" s="286" t="s">
        <v>8</v>
      </c>
      <c r="I1975" s="286" t="s">
        <v>9</v>
      </c>
      <c r="J1975" s="286" t="s">
        <v>10</v>
      </c>
      <c r="K1975" s="286" t="s">
        <v>11</v>
      </c>
      <c r="L1975" s="286" t="s">
        <v>12</v>
      </c>
      <c r="M1975" s="286" t="s">
        <v>13</v>
      </c>
      <c r="N1975" s="286" t="s">
        <v>14</v>
      </c>
      <c r="O1975" s="5"/>
      <c r="P1975" s="5"/>
      <c r="Q1975" s="5"/>
      <c r="R1975" s="5"/>
      <c r="S1975" s="5"/>
      <c r="T1975" s="5"/>
      <c r="U1975" s="5"/>
      <c r="V1975" s="5"/>
      <c r="W1975" s="5"/>
      <c r="X1975" s="5"/>
      <c r="Y1975" s="5"/>
      <c r="Z1975" s="5"/>
    </row>
    <row r="1976" ht="12.0" customHeight="1">
      <c r="A1976" s="181" t="s">
        <v>1623</v>
      </c>
      <c r="B1976" s="125" t="s">
        <v>633</v>
      </c>
      <c r="C1976" s="182">
        <f>'2032'!B6+'2032'!B17</f>
        <v>14600.88</v>
      </c>
      <c r="D1976" s="182">
        <f>'2032'!C6+'2032'!C17</f>
        <v>10950.66</v>
      </c>
      <c r="E1976" s="182">
        <f>'2032'!D6+'2032'!D17</f>
        <v>9733.92</v>
      </c>
      <c r="F1976" s="182">
        <f>'2032'!E6+'2032'!E17</f>
        <v>9125.55</v>
      </c>
      <c r="G1976" s="182">
        <f>'2032'!F6+'2032'!F17</f>
        <v>8517.18</v>
      </c>
      <c r="H1976" s="182">
        <f>'2032'!G6+'2032'!G17</f>
        <v>8517.18</v>
      </c>
      <c r="I1976" s="182">
        <f>'2032'!H6+'2032'!H17</f>
        <v>9125.55</v>
      </c>
      <c r="J1976" s="182">
        <f>'2032'!I6+'2032'!I17</f>
        <v>9125.55</v>
      </c>
      <c r="K1976" s="182">
        <f>'2032'!J6+'2032'!J17</f>
        <v>9125.55</v>
      </c>
      <c r="L1976" s="182">
        <f>'2032'!K6+'2032'!K17</f>
        <v>9125.55</v>
      </c>
      <c r="M1976" s="182">
        <f>'2032'!L6+'2032'!L17</f>
        <v>9125.55</v>
      </c>
      <c r="N1976" s="182">
        <f>'2032'!M6+'2032'!M17</f>
        <v>14600.88</v>
      </c>
      <c r="O1976" s="5"/>
      <c r="P1976" s="5"/>
      <c r="Q1976" s="5"/>
      <c r="R1976" s="5"/>
      <c r="S1976" s="5"/>
      <c r="T1976" s="5"/>
      <c r="U1976" s="5"/>
      <c r="V1976" s="5"/>
      <c r="W1976" s="5"/>
      <c r="X1976" s="5"/>
      <c r="Y1976" s="5"/>
      <c r="Z1976" s="5"/>
    </row>
    <row r="1977" ht="12.0" customHeight="1">
      <c r="A1977" s="183"/>
      <c r="B1977" s="125" t="s">
        <v>634</v>
      </c>
      <c r="C1977" s="184">
        <f>C1976/Parametros!$B$37</f>
        <v>730.044</v>
      </c>
      <c r="D1977" s="184">
        <f>D1976/Parametros!$B$37</f>
        <v>547.533</v>
      </c>
      <c r="E1977" s="184">
        <f>E1976/Parametros!$B$37</f>
        <v>486.696</v>
      </c>
      <c r="F1977" s="184">
        <f>F1976/Parametros!$B$37</f>
        <v>456.2775</v>
      </c>
      <c r="G1977" s="184">
        <f>G1976/Parametros!$B$37</f>
        <v>425.859</v>
      </c>
      <c r="H1977" s="184">
        <f>H1976/Parametros!$B$37</f>
        <v>425.859</v>
      </c>
      <c r="I1977" s="184">
        <f>I1976/Parametros!$B$37</f>
        <v>456.2775</v>
      </c>
      <c r="J1977" s="184">
        <f>J1976/Parametros!$B$37</f>
        <v>456.2775</v>
      </c>
      <c r="K1977" s="184">
        <f>K1976/Parametros!$B$37</f>
        <v>456.2775</v>
      </c>
      <c r="L1977" s="184">
        <f>L1976/Parametros!$B$37</f>
        <v>456.2775</v>
      </c>
      <c r="M1977" s="184">
        <f>M1976/Parametros!$B$37</f>
        <v>456.2775</v>
      </c>
      <c r="N1977" s="184">
        <f>N1976/Parametros!$B$37</f>
        <v>730.044</v>
      </c>
      <c r="O1977" s="5"/>
      <c r="P1977" s="5"/>
      <c r="Q1977" s="5"/>
      <c r="R1977" s="5"/>
      <c r="S1977" s="5"/>
      <c r="T1977" s="5"/>
      <c r="U1977" s="5"/>
      <c r="V1977" s="5"/>
      <c r="W1977" s="5"/>
      <c r="X1977" s="5"/>
      <c r="Y1977" s="5"/>
      <c r="Z1977" s="5"/>
    </row>
    <row r="1978" ht="12.0" customHeight="1">
      <c r="A1978" s="185"/>
      <c r="B1978" s="125" t="s">
        <v>635</v>
      </c>
      <c r="C1978" s="184">
        <f>C1977/Parametros!$J$37</f>
        <v>97.3392</v>
      </c>
      <c r="D1978" s="184">
        <f>D1977/Parametros!$J$37</f>
        <v>73.0044</v>
      </c>
      <c r="E1978" s="184">
        <f>E1977/Parametros!$J$37</f>
        <v>64.8928</v>
      </c>
      <c r="F1978" s="184">
        <f>F1977/Parametros!$J$37</f>
        <v>60.837</v>
      </c>
      <c r="G1978" s="184">
        <f>G1977/Parametros!$J$37</f>
        <v>56.7812</v>
      </c>
      <c r="H1978" s="184">
        <f>H1977/Parametros!$J$37</f>
        <v>56.7812</v>
      </c>
      <c r="I1978" s="184">
        <f>I1977/Parametros!$J$37</f>
        <v>60.837</v>
      </c>
      <c r="J1978" s="184">
        <f>J1977/Parametros!$J$37</f>
        <v>60.837</v>
      </c>
      <c r="K1978" s="184">
        <f>K1977/Parametros!$J$37</f>
        <v>60.837</v>
      </c>
      <c r="L1978" s="184">
        <f>L1977/Parametros!$J$37</f>
        <v>60.837</v>
      </c>
      <c r="M1978" s="184">
        <f>M1977/Parametros!$J$37</f>
        <v>60.837</v>
      </c>
      <c r="N1978" s="184">
        <f>N1977/Parametros!$J$37</f>
        <v>97.3392</v>
      </c>
      <c r="O1978" s="5"/>
      <c r="P1978" s="5"/>
      <c r="Q1978" s="5"/>
      <c r="R1978" s="5"/>
      <c r="S1978" s="5"/>
      <c r="T1978" s="5"/>
      <c r="U1978" s="5"/>
      <c r="V1978" s="5"/>
      <c r="W1978" s="5"/>
      <c r="X1978" s="5"/>
      <c r="Y1978" s="5"/>
      <c r="Z1978" s="5"/>
    </row>
    <row r="1979" ht="12.0" customHeight="1">
      <c r="A1979" s="186" t="s">
        <v>636</v>
      </c>
      <c r="B1979" s="4"/>
      <c r="C1979" s="184">
        <f t="shared" ref="C1979:N1979" si="580">C1978</f>
        <v>97.3392</v>
      </c>
      <c r="D1979" s="184">
        <f t="shared" si="580"/>
        <v>73.0044</v>
      </c>
      <c r="E1979" s="184">
        <f t="shared" si="580"/>
        <v>64.8928</v>
      </c>
      <c r="F1979" s="184">
        <f t="shared" si="580"/>
        <v>60.837</v>
      </c>
      <c r="G1979" s="184">
        <f t="shared" si="580"/>
        <v>56.7812</v>
      </c>
      <c r="H1979" s="184">
        <f t="shared" si="580"/>
        <v>56.7812</v>
      </c>
      <c r="I1979" s="184">
        <f t="shared" si="580"/>
        <v>60.837</v>
      </c>
      <c r="J1979" s="184">
        <f t="shared" si="580"/>
        <v>60.837</v>
      </c>
      <c r="K1979" s="184">
        <f t="shared" si="580"/>
        <v>60.837</v>
      </c>
      <c r="L1979" s="184">
        <f t="shared" si="580"/>
        <v>60.837</v>
      </c>
      <c r="M1979" s="184">
        <f t="shared" si="580"/>
        <v>60.837</v>
      </c>
      <c r="N1979" s="184">
        <f t="shared" si="580"/>
        <v>97.3392</v>
      </c>
      <c r="O1979" s="5"/>
      <c r="P1979" s="5"/>
      <c r="Q1979" s="5"/>
      <c r="R1979" s="5"/>
      <c r="S1979" s="5"/>
      <c r="T1979" s="5"/>
      <c r="U1979" s="5"/>
      <c r="V1979" s="5"/>
      <c r="W1979" s="5"/>
      <c r="X1979" s="5"/>
      <c r="Y1979" s="5"/>
      <c r="Z1979" s="5"/>
    </row>
    <row r="1980" ht="12.0" customHeight="1">
      <c r="A1980" s="186" t="s">
        <v>637</v>
      </c>
      <c r="B1980" s="4"/>
      <c r="C1980" s="274">
        <f>'Resumen Capacidad'!$H$130</f>
        <v>75.21428571</v>
      </c>
      <c r="D1980" s="274">
        <f>'Resumen Capacidad'!$H$130</f>
        <v>75.21428571</v>
      </c>
      <c r="E1980" s="274">
        <f>'Resumen Capacidad'!$H$130</f>
        <v>75.21428571</v>
      </c>
      <c r="F1980" s="274">
        <f>'Resumen Capacidad'!$H$130</f>
        <v>75.21428571</v>
      </c>
      <c r="G1980" s="274">
        <f>'Resumen Capacidad'!$H$130</f>
        <v>75.21428571</v>
      </c>
      <c r="H1980" s="274">
        <f>'Resumen Capacidad'!$H$130</f>
        <v>75.21428571</v>
      </c>
      <c r="I1980" s="274">
        <f>'Resumen Capacidad'!$H$130</f>
        <v>75.21428571</v>
      </c>
      <c r="J1980" s="274">
        <f>'Resumen Capacidad'!$H$130</f>
        <v>75.21428571</v>
      </c>
      <c r="K1980" s="274">
        <f>'Resumen Capacidad'!$H$130</f>
        <v>75.21428571</v>
      </c>
      <c r="L1980" s="274">
        <f>'Resumen Capacidad'!$H$130</f>
        <v>75.21428571</v>
      </c>
      <c r="M1980" s="274">
        <f>'Resumen Capacidad'!$H$130</f>
        <v>75.21428571</v>
      </c>
      <c r="N1980" s="274">
        <f>'Resumen Capacidad'!$H$130</f>
        <v>75.21428571</v>
      </c>
      <c r="O1980" s="5"/>
      <c r="P1980" s="5"/>
      <c r="Q1980" s="5"/>
      <c r="R1980" s="5"/>
      <c r="S1980" s="5"/>
      <c r="T1980" s="5"/>
      <c r="U1980" s="5"/>
      <c r="V1980" s="5"/>
      <c r="W1980" s="5"/>
      <c r="X1980" s="5"/>
      <c r="Y1980" s="5"/>
      <c r="Z1980" s="5"/>
    </row>
    <row r="1981" ht="12.0" customHeight="1">
      <c r="A1981" s="186" t="s">
        <v>640</v>
      </c>
      <c r="B1981" s="4"/>
      <c r="C1981" s="148">
        <f>'Resumen Capacidad'!$H$48*'Resumen Capacidad'!$H$84</f>
        <v>2</v>
      </c>
      <c r="D1981" s="148">
        <f>'Resumen Capacidad'!$H$48*'Resumen Capacidad'!$H$84</f>
        <v>2</v>
      </c>
      <c r="E1981" s="148">
        <f>'Resumen Capacidad'!$H$48*'Resumen Capacidad'!$H$84</f>
        <v>2</v>
      </c>
      <c r="F1981" s="148">
        <f>'Resumen Capacidad'!$H$48*'Resumen Capacidad'!$H$84</f>
        <v>2</v>
      </c>
      <c r="G1981" s="148">
        <f>'Resumen Capacidad'!$H$48*'Resumen Capacidad'!$H$84</f>
        <v>2</v>
      </c>
      <c r="H1981" s="148">
        <f>'Resumen Capacidad'!$H$48*'Resumen Capacidad'!$H$84</f>
        <v>2</v>
      </c>
      <c r="I1981" s="148">
        <f>'Resumen Capacidad'!$H$48*'Resumen Capacidad'!$H$84</f>
        <v>2</v>
      </c>
      <c r="J1981" s="148">
        <f>'Resumen Capacidad'!$H$48*'Resumen Capacidad'!$H$84</f>
        <v>2</v>
      </c>
      <c r="K1981" s="148">
        <f>'Resumen Capacidad'!$H$48*'Resumen Capacidad'!$H$84</f>
        <v>2</v>
      </c>
      <c r="L1981" s="148">
        <f>'Resumen Capacidad'!$H$48*'Resumen Capacidad'!$H$84</f>
        <v>2</v>
      </c>
      <c r="M1981" s="148">
        <f>'Resumen Capacidad'!$H$48*'Resumen Capacidad'!$H$84</f>
        <v>2</v>
      </c>
      <c r="N1981" s="148">
        <f>'Resumen Capacidad'!$H$48*'Resumen Capacidad'!$H$84</f>
        <v>2</v>
      </c>
      <c r="O1981" s="5"/>
      <c r="P1981" s="5"/>
      <c r="Q1981" s="5"/>
      <c r="R1981" s="5"/>
      <c r="S1981" s="5"/>
      <c r="T1981" s="5"/>
      <c r="U1981" s="5"/>
      <c r="V1981" s="5"/>
      <c r="W1981" s="5"/>
      <c r="X1981" s="5"/>
      <c r="Y1981" s="5"/>
      <c r="Z1981" s="5"/>
    </row>
    <row r="1982" ht="12.0" customHeight="1">
      <c r="A1982" s="186" t="s">
        <v>642</v>
      </c>
      <c r="B1982" s="4"/>
      <c r="C1982" s="184">
        <f t="shared" ref="C1982:N1982" si="581">C1980*C1981</f>
        <v>150.4285714</v>
      </c>
      <c r="D1982" s="184">
        <f t="shared" si="581"/>
        <v>150.4285714</v>
      </c>
      <c r="E1982" s="184">
        <f t="shared" si="581"/>
        <v>150.4285714</v>
      </c>
      <c r="F1982" s="184">
        <f t="shared" si="581"/>
        <v>150.4285714</v>
      </c>
      <c r="G1982" s="184">
        <f t="shared" si="581"/>
        <v>150.4285714</v>
      </c>
      <c r="H1982" s="184">
        <f t="shared" si="581"/>
        <v>150.4285714</v>
      </c>
      <c r="I1982" s="184">
        <f t="shared" si="581"/>
        <v>150.4285714</v>
      </c>
      <c r="J1982" s="184">
        <f t="shared" si="581"/>
        <v>150.4285714</v>
      </c>
      <c r="K1982" s="184">
        <f t="shared" si="581"/>
        <v>150.4285714</v>
      </c>
      <c r="L1982" s="184">
        <f t="shared" si="581"/>
        <v>150.4285714</v>
      </c>
      <c r="M1982" s="184">
        <f t="shared" si="581"/>
        <v>150.4285714</v>
      </c>
      <c r="N1982" s="184">
        <f t="shared" si="581"/>
        <v>150.4285714</v>
      </c>
      <c r="O1982" s="5"/>
      <c r="P1982" s="5"/>
      <c r="Q1982" s="5"/>
      <c r="R1982" s="5"/>
      <c r="S1982" s="5"/>
      <c r="T1982" s="5"/>
      <c r="U1982" s="5"/>
      <c r="V1982" s="5"/>
      <c r="W1982" s="5"/>
      <c r="X1982" s="5"/>
      <c r="Y1982" s="5"/>
      <c r="Z1982" s="5"/>
    </row>
    <row r="1983" ht="12.0" customHeight="1">
      <c r="A1983" s="186" t="s">
        <v>643</v>
      </c>
      <c r="B1983" s="4"/>
      <c r="C1983" s="148">
        <f t="shared" ref="C1983:N1983" si="582">IF(C1982=0,0,C1979/C1982)</f>
        <v>0.6470792023</v>
      </c>
      <c r="D1983" s="148">
        <f t="shared" si="582"/>
        <v>0.4853094017</v>
      </c>
      <c r="E1983" s="148">
        <f t="shared" si="582"/>
        <v>0.4313861349</v>
      </c>
      <c r="F1983" s="148">
        <f t="shared" si="582"/>
        <v>0.4044245014</v>
      </c>
      <c r="G1983" s="148">
        <f t="shared" si="582"/>
        <v>0.377462868</v>
      </c>
      <c r="H1983" s="148">
        <f t="shared" si="582"/>
        <v>0.377462868</v>
      </c>
      <c r="I1983" s="148">
        <f t="shared" si="582"/>
        <v>0.4044245014</v>
      </c>
      <c r="J1983" s="148">
        <f t="shared" si="582"/>
        <v>0.4044245014</v>
      </c>
      <c r="K1983" s="148">
        <f t="shared" si="582"/>
        <v>0.4044245014</v>
      </c>
      <c r="L1983" s="148">
        <f t="shared" si="582"/>
        <v>0.4044245014</v>
      </c>
      <c r="M1983" s="148">
        <f t="shared" si="582"/>
        <v>0.4044245014</v>
      </c>
      <c r="N1983" s="148">
        <f t="shared" si="582"/>
        <v>0.6470792023</v>
      </c>
      <c r="O1983" s="5"/>
      <c r="P1983" s="5"/>
      <c r="Q1983" s="5"/>
      <c r="R1983" s="5"/>
      <c r="S1983" s="5"/>
      <c r="T1983" s="5"/>
      <c r="U1983" s="5"/>
      <c r="V1983" s="5"/>
      <c r="W1983" s="5"/>
      <c r="X1983" s="5"/>
      <c r="Y1983" s="5"/>
      <c r="Z1983" s="5"/>
    </row>
    <row r="1984" ht="12.0" customHeight="1">
      <c r="A1984" s="11"/>
      <c r="B1984" s="11"/>
      <c r="C1984" s="285"/>
      <c r="D1984" s="285"/>
      <c r="E1984" s="285"/>
      <c r="F1984" s="285"/>
      <c r="G1984" s="285"/>
      <c r="H1984" s="285"/>
      <c r="I1984" s="285"/>
      <c r="J1984" s="285"/>
      <c r="K1984" s="285"/>
      <c r="L1984" s="285"/>
      <c r="M1984" s="285"/>
      <c r="N1984" s="285"/>
      <c r="O1984" s="5"/>
      <c r="P1984" s="5"/>
      <c r="Q1984" s="5"/>
      <c r="R1984" s="5"/>
      <c r="S1984" s="5"/>
      <c r="T1984" s="5"/>
      <c r="U1984" s="5"/>
      <c r="V1984" s="5"/>
      <c r="W1984" s="5"/>
      <c r="X1984" s="5"/>
      <c r="Y1984" s="5"/>
      <c r="Z1984" s="5"/>
    </row>
    <row r="1985" ht="12.0" customHeight="1">
      <c r="A1985" s="284" t="s">
        <v>1630</v>
      </c>
      <c r="B1985" s="11"/>
      <c r="C1985" s="285"/>
      <c r="D1985" s="285"/>
      <c r="E1985" s="285"/>
      <c r="F1985" s="285"/>
      <c r="G1985" s="285"/>
      <c r="H1985" s="285"/>
      <c r="I1985" s="285"/>
      <c r="J1985" s="285"/>
      <c r="K1985" s="285"/>
      <c r="L1985" s="285"/>
      <c r="M1985" s="285"/>
      <c r="N1985" s="285"/>
      <c r="O1985" s="5"/>
      <c r="P1985" s="5"/>
      <c r="Q1985" s="5"/>
      <c r="R1985" s="5"/>
      <c r="S1985" s="5"/>
      <c r="T1985" s="5"/>
      <c r="U1985" s="5"/>
      <c r="V1985" s="5"/>
      <c r="W1985" s="5"/>
      <c r="X1985" s="5"/>
      <c r="Y1985" s="5"/>
      <c r="Z1985" s="5"/>
    </row>
    <row r="1986" ht="12.0" customHeight="1">
      <c r="A1986" s="177" t="s">
        <v>1620</v>
      </c>
      <c r="B1986" s="178"/>
      <c r="C1986" s="178"/>
      <c r="D1986" s="178"/>
      <c r="E1986" s="178"/>
      <c r="F1986" s="178"/>
      <c r="G1986" s="178"/>
      <c r="H1986" s="178"/>
      <c r="I1986" s="178"/>
      <c r="J1986" s="178"/>
      <c r="K1986" s="178"/>
      <c r="L1986" s="178"/>
      <c r="M1986" s="178"/>
      <c r="N1986" s="179"/>
      <c r="O1986" s="5"/>
      <c r="P1986" s="5"/>
      <c r="Q1986" s="5"/>
      <c r="R1986" s="5"/>
      <c r="S1986" s="5"/>
      <c r="T1986" s="5"/>
      <c r="U1986" s="5"/>
      <c r="V1986" s="5"/>
      <c r="W1986" s="5"/>
      <c r="X1986" s="5"/>
      <c r="Y1986" s="5"/>
      <c r="Z1986" s="5"/>
    </row>
    <row r="1987" ht="12.0" customHeight="1">
      <c r="A1987" s="180" t="s">
        <v>630</v>
      </c>
      <c r="B1987" s="180" t="s">
        <v>631</v>
      </c>
      <c r="C1987" s="286" t="s">
        <v>3</v>
      </c>
      <c r="D1987" s="286" t="s">
        <v>4</v>
      </c>
      <c r="E1987" s="286" t="s">
        <v>5</v>
      </c>
      <c r="F1987" s="286" t="s">
        <v>6</v>
      </c>
      <c r="G1987" s="286" t="s">
        <v>7</v>
      </c>
      <c r="H1987" s="286" t="s">
        <v>8</v>
      </c>
      <c r="I1987" s="286" t="s">
        <v>9</v>
      </c>
      <c r="J1987" s="286" t="s">
        <v>10</v>
      </c>
      <c r="K1987" s="286" t="s">
        <v>11</v>
      </c>
      <c r="L1987" s="286" t="s">
        <v>12</v>
      </c>
      <c r="M1987" s="286" t="s">
        <v>13</v>
      </c>
      <c r="N1987" s="286" t="s">
        <v>14</v>
      </c>
      <c r="O1987" s="5"/>
      <c r="P1987" s="5"/>
      <c r="Q1987" s="5"/>
      <c r="R1987" s="5"/>
      <c r="S1987" s="5"/>
      <c r="T1987" s="5"/>
      <c r="U1987" s="5"/>
      <c r="V1987" s="5"/>
      <c r="W1987" s="5"/>
      <c r="X1987" s="5"/>
      <c r="Y1987" s="5"/>
      <c r="Z1987" s="5"/>
    </row>
    <row r="1988" ht="12.0" customHeight="1">
      <c r="A1988" s="181" t="s">
        <v>1621</v>
      </c>
      <c r="B1988" s="125" t="s">
        <v>633</v>
      </c>
      <c r="C1988" s="182">
        <f>(SUM('2033'!B6:B9)+SUM('2033'!B17:B20))*0.05</f>
        <v>1245.893</v>
      </c>
      <c r="D1988" s="182">
        <f>(SUM('2033'!C6:C9)+SUM('2033'!C17:C20))*0.05</f>
        <v>949.8745</v>
      </c>
      <c r="E1988" s="182">
        <f>(SUM('2033'!D6:D9)+SUM('2033'!D17:D20))*0.05</f>
        <v>887.26275</v>
      </c>
      <c r="F1988" s="182">
        <f>(SUM('2033'!E6:E9)+SUM('2033'!E17:E20))*0.05</f>
        <v>848.2295</v>
      </c>
      <c r="G1988" s="182">
        <f>(SUM('2033'!F6:F9)+SUM('2033'!F17:F20))*0.05</f>
        <v>793.7415</v>
      </c>
      <c r="H1988" s="182">
        <f>(SUM('2033'!G6:G9)+SUM('2033'!G17:G20))*0.05</f>
        <v>778.28675</v>
      </c>
      <c r="I1988" s="182">
        <f>(SUM('2033'!H6:H9)+SUM('2033'!H17:H20))*0.05</f>
        <v>832.77475</v>
      </c>
      <c r="J1988" s="182">
        <f>(SUM('2033'!I6:I9)+SUM('2033'!I17:I20))*0.05</f>
        <v>832.77475</v>
      </c>
      <c r="K1988" s="182">
        <f>(SUM('2033'!J6:J9)+SUM('2033'!J17:J20))*0.05</f>
        <v>832.77475</v>
      </c>
      <c r="L1988" s="182">
        <f>(SUM('2033'!K6:K9)+SUM('2033'!K17:K20))*0.05</f>
        <v>817.32</v>
      </c>
      <c r="M1988" s="182">
        <f>(SUM('2033'!L6:L9)+SUM('2033'!L17:L20))*0.05</f>
        <v>801.86525</v>
      </c>
      <c r="N1988" s="182">
        <f>(SUM('2033'!M6:M9)+SUM('2033'!M17:M20))*0.05</f>
        <v>1276.8025</v>
      </c>
      <c r="O1988" s="5"/>
      <c r="P1988" s="5"/>
      <c r="Q1988" s="5"/>
      <c r="R1988" s="5"/>
      <c r="S1988" s="5"/>
      <c r="T1988" s="5"/>
      <c r="U1988" s="5"/>
      <c r="V1988" s="5"/>
      <c r="W1988" s="5"/>
      <c r="X1988" s="5"/>
      <c r="Y1988" s="5"/>
      <c r="Z1988" s="5"/>
    </row>
    <row r="1989" ht="12.0" customHeight="1">
      <c r="A1989" s="183"/>
      <c r="B1989" s="125" t="s">
        <v>634</v>
      </c>
      <c r="C1989" s="184">
        <f>C1988/Parametros!$B$37</f>
        <v>62.29465</v>
      </c>
      <c r="D1989" s="184">
        <f>D1988/Parametros!$B$37</f>
        <v>47.493725</v>
      </c>
      <c r="E1989" s="184">
        <f>E1988/Parametros!$B$37</f>
        <v>44.3631375</v>
      </c>
      <c r="F1989" s="184">
        <f>F1988/Parametros!$B$37</f>
        <v>42.411475</v>
      </c>
      <c r="G1989" s="184">
        <f>G1988/Parametros!$B$37</f>
        <v>39.687075</v>
      </c>
      <c r="H1989" s="184">
        <f>H1988/Parametros!$B$37</f>
        <v>38.9143375</v>
      </c>
      <c r="I1989" s="184">
        <f>I1988/Parametros!$B$37</f>
        <v>41.6387375</v>
      </c>
      <c r="J1989" s="184">
        <f>J1988/Parametros!$B$37</f>
        <v>41.6387375</v>
      </c>
      <c r="K1989" s="184">
        <f>K1988/Parametros!$B$37</f>
        <v>41.6387375</v>
      </c>
      <c r="L1989" s="184">
        <f>L1988/Parametros!$B$37</f>
        <v>40.866</v>
      </c>
      <c r="M1989" s="184">
        <f>M1988/Parametros!$B$37</f>
        <v>40.0932625</v>
      </c>
      <c r="N1989" s="184">
        <f>N1988/Parametros!$B$37</f>
        <v>63.840125</v>
      </c>
      <c r="O1989" s="5"/>
      <c r="P1989" s="5"/>
      <c r="Q1989" s="5"/>
      <c r="R1989" s="5"/>
      <c r="S1989" s="5"/>
      <c r="T1989" s="5"/>
      <c r="U1989" s="5"/>
      <c r="V1989" s="5"/>
      <c r="W1989" s="5"/>
      <c r="X1989" s="5"/>
      <c r="Y1989" s="5"/>
      <c r="Z1989" s="5"/>
    </row>
    <row r="1990" ht="12.0" customHeight="1">
      <c r="A1990" s="185"/>
      <c r="B1990" s="125" t="s">
        <v>635</v>
      </c>
      <c r="C1990" s="184">
        <f>C1989/Parametros!$J$37</f>
        <v>8.305953333</v>
      </c>
      <c r="D1990" s="184">
        <f>D1989/Parametros!$J$37</f>
        <v>6.332496667</v>
      </c>
      <c r="E1990" s="184">
        <f>E1989/Parametros!$J$37</f>
        <v>5.915085</v>
      </c>
      <c r="F1990" s="184">
        <f>F1989/Parametros!$J$37</f>
        <v>5.654863333</v>
      </c>
      <c r="G1990" s="184">
        <f>G1989/Parametros!$J$37</f>
        <v>5.29161</v>
      </c>
      <c r="H1990" s="184">
        <f>H1989/Parametros!$J$37</f>
        <v>5.188578333</v>
      </c>
      <c r="I1990" s="184">
        <f>I1989/Parametros!$J$37</f>
        <v>5.551831667</v>
      </c>
      <c r="J1990" s="184">
        <f>J1989/Parametros!$J$37</f>
        <v>5.551831667</v>
      </c>
      <c r="K1990" s="184">
        <f>K1989/Parametros!$J$37</f>
        <v>5.551831667</v>
      </c>
      <c r="L1990" s="184">
        <f>L1989/Parametros!$J$37</f>
        <v>5.4488</v>
      </c>
      <c r="M1990" s="184">
        <f>M1989/Parametros!$J$37</f>
        <v>5.345768333</v>
      </c>
      <c r="N1990" s="184">
        <f>N1989/Parametros!$J$37</f>
        <v>8.512016667</v>
      </c>
      <c r="O1990" s="5"/>
      <c r="P1990" s="5"/>
      <c r="Q1990" s="5"/>
      <c r="R1990" s="5"/>
      <c r="S1990" s="5"/>
      <c r="T1990" s="5"/>
      <c r="U1990" s="5"/>
      <c r="V1990" s="5"/>
      <c r="W1990" s="5"/>
      <c r="X1990" s="5"/>
      <c r="Y1990" s="5"/>
      <c r="Z1990" s="5"/>
    </row>
    <row r="1991" ht="12.0" customHeight="1">
      <c r="A1991" s="186" t="s">
        <v>636</v>
      </c>
      <c r="B1991" s="4"/>
      <c r="C1991" s="184">
        <f t="shared" ref="C1991:N1991" si="583">C1990</f>
        <v>8.305953333</v>
      </c>
      <c r="D1991" s="184">
        <f t="shared" si="583"/>
        <v>6.332496667</v>
      </c>
      <c r="E1991" s="184">
        <f t="shared" si="583"/>
        <v>5.915085</v>
      </c>
      <c r="F1991" s="184">
        <f t="shared" si="583"/>
        <v>5.654863333</v>
      </c>
      <c r="G1991" s="184">
        <f t="shared" si="583"/>
        <v>5.29161</v>
      </c>
      <c r="H1991" s="184">
        <f t="shared" si="583"/>
        <v>5.188578333</v>
      </c>
      <c r="I1991" s="184">
        <f t="shared" si="583"/>
        <v>5.551831667</v>
      </c>
      <c r="J1991" s="184">
        <f t="shared" si="583"/>
        <v>5.551831667</v>
      </c>
      <c r="K1991" s="184">
        <f t="shared" si="583"/>
        <v>5.551831667</v>
      </c>
      <c r="L1991" s="184">
        <f t="shared" si="583"/>
        <v>5.4488</v>
      </c>
      <c r="M1991" s="184">
        <f t="shared" si="583"/>
        <v>5.345768333</v>
      </c>
      <c r="N1991" s="184">
        <f t="shared" si="583"/>
        <v>8.512016667</v>
      </c>
      <c r="O1991" s="5"/>
      <c r="P1991" s="5"/>
      <c r="Q1991" s="5"/>
      <c r="R1991" s="5"/>
      <c r="S1991" s="5"/>
      <c r="T1991" s="5"/>
      <c r="U1991" s="5"/>
      <c r="V1991" s="5"/>
      <c r="W1991" s="5"/>
      <c r="X1991" s="5"/>
      <c r="Y1991" s="5"/>
      <c r="Z1991" s="5"/>
    </row>
    <row r="1992" ht="12.0" customHeight="1">
      <c r="A1992" s="186" t="s">
        <v>637</v>
      </c>
      <c r="B1992" s="4"/>
      <c r="C1992" s="274">
        <f>'Resumen Capacidad'!$I$123</f>
        <v>20.51162791</v>
      </c>
      <c r="D1992" s="274">
        <f>'Resumen Capacidad'!$I$123</f>
        <v>20.51162791</v>
      </c>
      <c r="E1992" s="274">
        <f>'Resumen Capacidad'!$I$123</f>
        <v>20.51162791</v>
      </c>
      <c r="F1992" s="274">
        <f>'Resumen Capacidad'!$I$123</f>
        <v>20.51162791</v>
      </c>
      <c r="G1992" s="274">
        <f>'Resumen Capacidad'!$I$123</f>
        <v>20.51162791</v>
      </c>
      <c r="H1992" s="274">
        <f>'Resumen Capacidad'!$I$123</f>
        <v>20.51162791</v>
      </c>
      <c r="I1992" s="274">
        <f>'Resumen Capacidad'!$I$123</f>
        <v>20.51162791</v>
      </c>
      <c r="J1992" s="274">
        <f>'Resumen Capacidad'!$I$123</f>
        <v>20.51162791</v>
      </c>
      <c r="K1992" s="274">
        <f>'Resumen Capacidad'!$I$123</f>
        <v>20.51162791</v>
      </c>
      <c r="L1992" s="274">
        <f>'Resumen Capacidad'!$I$123</f>
        <v>20.51162791</v>
      </c>
      <c r="M1992" s="274">
        <f>'Resumen Capacidad'!$I$123</f>
        <v>20.51162791</v>
      </c>
      <c r="N1992" s="274">
        <f>'Resumen Capacidad'!$I$123</f>
        <v>20.51162791</v>
      </c>
      <c r="O1992" s="5"/>
      <c r="P1992" s="5"/>
      <c r="Q1992" s="5"/>
      <c r="R1992" s="5"/>
      <c r="S1992" s="5"/>
      <c r="T1992" s="5"/>
      <c r="U1992" s="5"/>
      <c r="V1992" s="5"/>
      <c r="W1992" s="5"/>
      <c r="X1992" s="5"/>
      <c r="Y1992" s="5"/>
      <c r="Z1992" s="5"/>
    </row>
    <row r="1993" ht="12.0" customHeight="1">
      <c r="A1993" s="186" t="s">
        <v>640</v>
      </c>
      <c r="B1993" s="4"/>
      <c r="C1993" s="148">
        <f>'Resumen Capacidad'!$I$41*'Resumen Capacidad'!$I$77</f>
        <v>1</v>
      </c>
      <c r="D1993" s="148">
        <f>'Resumen Capacidad'!$I$41*'Resumen Capacidad'!$I$77</f>
        <v>1</v>
      </c>
      <c r="E1993" s="148">
        <f>'Resumen Capacidad'!$I$41*'Resumen Capacidad'!$I$77</f>
        <v>1</v>
      </c>
      <c r="F1993" s="148">
        <f>'Resumen Capacidad'!$I$41*'Resumen Capacidad'!$I$77</f>
        <v>1</v>
      </c>
      <c r="G1993" s="148">
        <f>'Resumen Capacidad'!$I$41*'Resumen Capacidad'!$I$77</f>
        <v>1</v>
      </c>
      <c r="H1993" s="148">
        <f>'Resumen Capacidad'!$I$41*'Resumen Capacidad'!$I$77</f>
        <v>1</v>
      </c>
      <c r="I1993" s="148">
        <f>'Resumen Capacidad'!$I$41*'Resumen Capacidad'!$I$77</f>
        <v>1</v>
      </c>
      <c r="J1993" s="148">
        <f>'Resumen Capacidad'!$I$41*'Resumen Capacidad'!$I$77</f>
        <v>1</v>
      </c>
      <c r="K1993" s="148">
        <f>'Resumen Capacidad'!$I$41*'Resumen Capacidad'!$I$77</f>
        <v>1</v>
      </c>
      <c r="L1993" s="148">
        <f>'Resumen Capacidad'!$I$41*'Resumen Capacidad'!$I$77</f>
        <v>1</v>
      </c>
      <c r="M1993" s="148">
        <f>'Resumen Capacidad'!$I$41*'Resumen Capacidad'!$I$77</f>
        <v>1</v>
      </c>
      <c r="N1993" s="148">
        <f>'Resumen Capacidad'!$I$41*'Resumen Capacidad'!$I$77</f>
        <v>1</v>
      </c>
      <c r="O1993" s="5"/>
      <c r="P1993" s="5"/>
      <c r="Q1993" s="5"/>
      <c r="R1993" s="5"/>
      <c r="S1993" s="5"/>
      <c r="T1993" s="5"/>
      <c r="U1993" s="5"/>
      <c r="V1993" s="5"/>
      <c r="W1993" s="5"/>
      <c r="X1993" s="5"/>
      <c r="Y1993" s="5"/>
      <c r="Z1993" s="5"/>
    </row>
    <row r="1994" ht="12.0" customHeight="1">
      <c r="A1994" s="186" t="s">
        <v>642</v>
      </c>
      <c r="B1994" s="4"/>
      <c r="C1994" s="184">
        <f t="shared" ref="C1994:N1994" si="584">C1992*C1993</f>
        <v>20.51162791</v>
      </c>
      <c r="D1994" s="184">
        <f t="shared" si="584"/>
        <v>20.51162791</v>
      </c>
      <c r="E1994" s="184">
        <f t="shared" si="584"/>
        <v>20.51162791</v>
      </c>
      <c r="F1994" s="184">
        <f t="shared" si="584"/>
        <v>20.51162791</v>
      </c>
      <c r="G1994" s="184">
        <f t="shared" si="584"/>
        <v>20.51162791</v>
      </c>
      <c r="H1994" s="184">
        <f t="shared" si="584"/>
        <v>20.51162791</v>
      </c>
      <c r="I1994" s="184">
        <f t="shared" si="584"/>
        <v>20.51162791</v>
      </c>
      <c r="J1994" s="184">
        <f t="shared" si="584"/>
        <v>20.51162791</v>
      </c>
      <c r="K1994" s="184">
        <f t="shared" si="584"/>
        <v>20.51162791</v>
      </c>
      <c r="L1994" s="184">
        <f t="shared" si="584"/>
        <v>20.51162791</v>
      </c>
      <c r="M1994" s="184">
        <f t="shared" si="584"/>
        <v>20.51162791</v>
      </c>
      <c r="N1994" s="184">
        <f t="shared" si="584"/>
        <v>20.51162791</v>
      </c>
      <c r="O1994" s="5"/>
      <c r="P1994" s="5"/>
      <c r="Q1994" s="5"/>
      <c r="R1994" s="5"/>
      <c r="S1994" s="5"/>
      <c r="T1994" s="5"/>
      <c r="U1994" s="5"/>
      <c r="V1994" s="5"/>
      <c r="W1994" s="5"/>
      <c r="X1994" s="5"/>
      <c r="Y1994" s="5"/>
      <c r="Z1994" s="5"/>
    </row>
    <row r="1995" ht="12.0" customHeight="1">
      <c r="A1995" s="186" t="s">
        <v>643</v>
      </c>
      <c r="B1995" s="4"/>
      <c r="C1995" s="148">
        <f t="shared" ref="C1995:N1995" si="585">IF(C1994=0,0,C1991/C1994)</f>
        <v>0.404938768</v>
      </c>
      <c r="D1995" s="148">
        <f t="shared" si="585"/>
        <v>0.3087271618</v>
      </c>
      <c r="E1995" s="148">
        <f t="shared" si="585"/>
        <v>0.2883771599</v>
      </c>
      <c r="F1995" s="148">
        <f t="shared" si="585"/>
        <v>0.275690616</v>
      </c>
      <c r="G1995" s="148">
        <f t="shared" si="585"/>
        <v>0.2579809864</v>
      </c>
      <c r="H1995" s="148">
        <f t="shared" si="585"/>
        <v>0.2529579006</v>
      </c>
      <c r="I1995" s="148">
        <f t="shared" si="585"/>
        <v>0.2706675302</v>
      </c>
      <c r="J1995" s="148">
        <f t="shared" si="585"/>
        <v>0.2706675302</v>
      </c>
      <c r="K1995" s="148">
        <f t="shared" si="585"/>
        <v>0.2706675302</v>
      </c>
      <c r="L1995" s="148">
        <f t="shared" si="585"/>
        <v>0.2656444444</v>
      </c>
      <c r="M1995" s="148">
        <f t="shared" si="585"/>
        <v>0.2606213587</v>
      </c>
      <c r="N1995" s="148">
        <f t="shared" si="585"/>
        <v>0.4149849395</v>
      </c>
      <c r="O1995" s="5"/>
      <c r="P1995" s="5"/>
      <c r="Q1995" s="5"/>
      <c r="R1995" s="5"/>
      <c r="S1995" s="5"/>
      <c r="T1995" s="5"/>
      <c r="U1995" s="5"/>
      <c r="V1995" s="5"/>
      <c r="W1995" s="5"/>
      <c r="X1995" s="5"/>
      <c r="Y1995" s="5"/>
      <c r="Z1995" s="5"/>
    </row>
    <row r="1996" ht="12.0" customHeight="1">
      <c r="A1996" s="177" t="s">
        <v>1622</v>
      </c>
      <c r="B1996" s="178"/>
      <c r="C1996" s="178"/>
      <c r="D1996" s="178"/>
      <c r="E1996" s="178"/>
      <c r="F1996" s="178"/>
      <c r="G1996" s="178"/>
      <c r="H1996" s="178"/>
      <c r="I1996" s="178"/>
      <c r="J1996" s="178"/>
      <c r="K1996" s="178"/>
      <c r="L1996" s="178"/>
      <c r="M1996" s="178"/>
      <c r="N1996" s="179"/>
      <c r="O1996" s="5"/>
      <c r="P1996" s="5"/>
      <c r="Q1996" s="5"/>
      <c r="R1996" s="5"/>
      <c r="S1996" s="5"/>
      <c r="T1996" s="5"/>
      <c r="U1996" s="5"/>
      <c r="V1996" s="5"/>
      <c r="W1996" s="5"/>
      <c r="X1996" s="5"/>
      <c r="Y1996" s="5"/>
      <c r="Z1996" s="5"/>
    </row>
    <row r="1997" ht="12.0" customHeight="1">
      <c r="A1997" s="180" t="s">
        <v>630</v>
      </c>
      <c r="B1997" s="180" t="s">
        <v>631</v>
      </c>
      <c r="C1997" s="286" t="s">
        <v>3</v>
      </c>
      <c r="D1997" s="286" t="s">
        <v>4</v>
      </c>
      <c r="E1997" s="286" t="s">
        <v>5</v>
      </c>
      <c r="F1997" s="286" t="s">
        <v>6</v>
      </c>
      <c r="G1997" s="286" t="s">
        <v>7</v>
      </c>
      <c r="H1997" s="286" t="s">
        <v>8</v>
      </c>
      <c r="I1997" s="286" t="s">
        <v>9</v>
      </c>
      <c r="J1997" s="286" t="s">
        <v>10</v>
      </c>
      <c r="K1997" s="286" t="s">
        <v>11</v>
      </c>
      <c r="L1997" s="286" t="s">
        <v>12</v>
      </c>
      <c r="M1997" s="286" t="s">
        <v>13</v>
      </c>
      <c r="N1997" s="286" t="s">
        <v>14</v>
      </c>
      <c r="O1997" s="5"/>
      <c r="P1997" s="5"/>
      <c r="Q1997" s="5"/>
      <c r="R1997" s="5"/>
      <c r="S1997" s="5"/>
      <c r="T1997" s="5"/>
      <c r="U1997" s="5"/>
      <c r="V1997" s="5"/>
      <c r="W1997" s="5"/>
      <c r="X1997" s="5"/>
      <c r="Y1997" s="5"/>
      <c r="Z1997" s="5"/>
    </row>
    <row r="1998" ht="12.0" customHeight="1">
      <c r="A1998" s="181" t="s">
        <v>1623</v>
      </c>
      <c r="B1998" s="125" t="s">
        <v>633</v>
      </c>
      <c r="C1998" s="182">
        <f>'2033'!B6+'2033'!B17</f>
        <v>18735.96</v>
      </c>
      <c r="D1998" s="182">
        <f>'2033'!C6+'2033'!C17</f>
        <v>14051.97</v>
      </c>
      <c r="E1998" s="182">
        <f>'2033'!D6+'2033'!D17</f>
        <v>12490.64</v>
      </c>
      <c r="F1998" s="182">
        <f>'2033'!E6+'2033'!E17</f>
        <v>11709.975</v>
      </c>
      <c r="G1998" s="182">
        <f>'2033'!F6+'2033'!F17</f>
        <v>10929.31</v>
      </c>
      <c r="H1998" s="182">
        <f>'2033'!G6+'2033'!G17</f>
        <v>10929.31</v>
      </c>
      <c r="I1998" s="182">
        <f>'2033'!H6+'2033'!H17</f>
        <v>11709.975</v>
      </c>
      <c r="J1998" s="182">
        <f>'2033'!I6+'2033'!I17</f>
        <v>11709.975</v>
      </c>
      <c r="K1998" s="182">
        <f>'2033'!J6+'2033'!J17</f>
        <v>11709.975</v>
      </c>
      <c r="L1998" s="182">
        <f>'2033'!K6+'2033'!K17</f>
        <v>11709.975</v>
      </c>
      <c r="M1998" s="182">
        <f>'2033'!L6+'2033'!L17</f>
        <v>11709.975</v>
      </c>
      <c r="N1998" s="182">
        <f>'2033'!M6+'2033'!M17</f>
        <v>18735.96</v>
      </c>
      <c r="O1998" s="5"/>
      <c r="P1998" s="5"/>
      <c r="Q1998" s="5"/>
      <c r="R1998" s="5"/>
      <c r="S1998" s="5"/>
      <c r="T1998" s="5"/>
      <c r="U1998" s="5"/>
      <c r="V1998" s="5"/>
      <c r="W1998" s="5"/>
      <c r="X1998" s="5"/>
      <c r="Y1998" s="5"/>
      <c r="Z1998" s="5"/>
    </row>
    <row r="1999" ht="12.0" customHeight="1">
      <c r="A1999" s="183"/>
      <c r="B1999" s="125" t="s">
        <v>634</v>
      </c>
      <c r="C1999" s="184">
        <f>C1998/Parametros!$B$37</f>
        <v>936.798</v>
      </c>
      <c r="D1999" s="184">
        <f>D1998/Parametros!$B$37</f>
        <v>702.5985</v>
      </c>
      <c r="E1999" s="184">
        <f>E1998/Parametros!$B$37</f>
        <v>624.532</v>
      </c>
      <c r="F1999" s="184">
        <f>F1998/Parametros!$B$37</f>
        <v>585.49875</v>
      </c>
      <c r="G1999" s="184">
        <f>G1998/Parametros!$B$37</f>
        <v>546.4655</v>
      </c>
      <c r="H1999" s="184">
        <f>H1998/Parametros!$B$37</f>
        <v>546.4655</v>
      </c>
      <c r="I1999" s="184">
        <f>I1998/Parametros!$B$37</f>
        <v>585.49875</v>
      </c>
      <c r="J1999" s="184">
        <f>J1998/Parametros!$B$37</f>
        <v>585.49875</v>
      </c>
      <c r="K1999" s="184">
        <f>K1998/Parametros!$B$37</f>
        <v>585.49875</v>
      </c>
      <c r="L1999" s="184">
        <f>L1998/Parametros!$B$37</f>
        <v>585.49875</v>
      </c>
      <c r="M1999" s="184">
        <f>M1998/Parametros!$B$37</f>
        <v>585.49875</v>
      </c>
      <c r="N1999" s="184">
        <f>N1998/Parametros!$B$37</f>
        <v>936.798</v>
      </c>
      <c r="O1999" s="5"/>
      <c r="P1999" s="5"/>
      <c r="Q1999" s="5"/>
      <c r="R1999" s="5"/>
      <c r="S1999" s="5"/>
      <c r="T1999" s="5"/>
      <c r="U1999" s="5"/>
      <c r="V1999" s="5"/>
      <c r="W1999" s="5"/>
      <c r="X1999" s="5"/>
      <c r="Y1999" s="5"/>
      <c r="Z1999" s="5"/>
    </row>
    <row r="2000" ht="12.0" customHeight="1">
      <c r="A2000" s="185"/>
      <c r="B2000" s="125" t="s">
        <v>635</v>
      </c>
      <c r="C2000" s="184">
        <f>C1999/Parametros!$J$37</f>
        <v>124.9064</v>
      </c>
      <c r="D2000" s="184">
        <f>D1999/Parametros!$J$37</f>
        <v>93.6798</v>
      </c>
      <c r="E2000" s="184">
        <f>E1999/Parametros!$J$37</f>
        <v>83.27093333</v>
      </c>
      <c r="F2000" s="184">
        <f>F1999/Parametros!$J$37</f>
        <v>78.0665</v>
      </c>
      <c r="G2000" s="184">
        <f>G1999/Parametros!$J$37</f>
        <v>72.86206667</v>
      </c>
      <c r="H2000" s="184">
        <f>H1999/Parametros!$J$37</f>
        <v>72.86206667</v>
      </c>
      <c r="I2000" s="184">
        <f>I1999/Parametros!$J$37</f>
        <v>78.0665</v>
      </c>
      <c r="J2000" s="184">
        <f>J1999/Parametros!$J$37</f>
        <v>78.0665</v>
      </c>
      <c r="K2000" s="184">
        <f>K1999/Parametros!$J$37</f>
        <v>78.0665</v>
      </c>
      <c r="L2000" s="184">
        <f>L1999/Parametros!$J$37</f>
        <v>78.0665</v>
      </c>
      <c r="M2000" s="184">
        <f>M1999/Parametros!$J$37</f>
        <v>78.0665</v>
      </c>
      <c r="N2000" s="184">
        <f>N1999/Parametros!$J$37</f>
        <v>124.9064</v>
      </c>
      <c r="O2000" s="5"/>
      <c r="P2000" s="5"/>
      <c r="Q2000" s="5"/>
      <c r="R2000" s="5"/>
      <c r="S2000" s="5"/>
      <c r="T2000" s="5"/>
      <c r="U2000" s="5"/>
      <c r="V2000" s="5"/>
      <c r="W2000" s="5"/>
      <c r="X2000" s="5"/>
      <c r="Y2000" s="5"/>
      <c r="Z2000" s="5"/>
    </row>
    <row r="2001" ht="12.0" customHeight="1">
      <c r="A2001" s="186" t="s">
        <v>636</v>
      </c>
      <c r="B2001" s="4"/>
      <c r="C2001" s="184">
        <f t="shared" ref="C2001:N2001" si="586">C2000</f>
        <v>124.9064</v>
      </c>
      <c r="D2001" s="184">
        <f t="shared" si="586"/>
        <v>93.6798</v>
      </c>
      <c r="E2001" s="184">
        <f t="shared" si="586"/>
        <v>83.27093333</v>
      </c>
      <c r="F2001" s="184">
        <f t="shared" si="586"/>
        <v>78.0665</v>
      </c>
      <c r="G2001" s="184">
        <f t="shared" si="586"/>
        <v>72.86206667</v>
      </c>
      <c r="H2001" s="184">
        <f t="shared" si="586"/>
        <v>72.86206667</v>
      </c>
      <c r="I2001" s="184">
        <f t="shared" si="586"/>
        <v>78.0665</v>
      </c>
      <c r="J2001" s="184">
        <f t="shared" si="586"/>
        <v>78.0665</v>
      </c>
      <c r="K2001" s="184">
        <f t="shared" si="586"/>
        <v>78.0665</v>
      </c>
      <c r="L2001" s="184">
        <f t="shared" si="586"/>
        <v>78.0665</v>
      </c>
      <c r="M2001" s="184">
        <f t="shared" si="586"/>
        <v>78.0665</v>
      </c>
      <c r="N2001" s="184">
        <f t="shared" si="586"/>
        <v>124.9064</v>
      </c>
      <c r="O2001" s="5"/>
      <c r="P2001" s="5"/>
      <c r="Q2001" s="5"/>
      <c r="R2001" s="5"/>
      <c r="S2001" s="5"/>
      <c r="T2001" s="5"/>
      <c r="U2001" s="5"/>
      <c r="V2001" s="5"/>
      <c r="W2001" s="5"/>
      <c r="X2001" s="5"/>
      <c r="Y2001" s="5"/>
      <c r="Z2001" s="5"/>
    </row>
    <row r="2002" ht="12.0" customHeight="1">
      <c r="A2002" s="186" t="s">
        <v>637</v>
      </c>
      <c r="B2002" s="4"/>
      <c r="C2002" s="274">
        <f>'Resumen Capacidad'!$I$130</f>
        <v>75.21428571</v>
      </c>
      <c r="D2002" s="274">
        <f>'Resumen Capacidad'!$I$130</f>
        <v>75.21428571</v>
      </c>
      <c r="E2002" s="274">
        <f>'Resumen Capacidad'!$I$130</f>
        <v>75.21428571</v>
      </c>
      <c r="F2002" s="274">
        <f>'Resumen Capacidad'!$I$130</f>
        <v>75.21428571</v>
      </c>
      <c r="G2002" s="274">
        <f>'Resumen Capacidad'!$I$130</f>
        <v>75.21428571</v>
      </c>
      <c r="H2002" s="274">
        <f>'Resumen Capacidad'!$I$130</f>
        <v>75.21428571</v>
      </c>
      <c r="I2002" s="274">
        <f>'Resumen Capacidad'!$I$130</f>
        <v>75.21428571</v>
      </c>
      <c r="J2002" s="274">
        <f>'Resumen Capacidad'!$I$130</f>
        <v>75.21428571</v>
      </c>
      <c r="K2002" s="274">
        <f>'Resumen Capacidad'!$I$130</f>
        <v>75.21428571</v>
      </c>
      <c r="L2002" s="274">
        <f>'Resumen Capacidad'!$I$130</f>
        <v>75.21428571</v>
      </c>
      <c r="M2002" s="274">
        <f>'Resumen Capacidad'!$I$130</f>
        <v>75.21428571</v>
      </c>
      <c r="N2002" s="274">
        <f>'Resumen Capacidad'!$I$130</f>
        <v>75.21428571</v>
      </c>
      <c r="O2002" s="5"/>
      <c r="P2002" s="5"/>
      <c r="Q2002" s="5"/>
      <c r="R2002" s="5"/>
      <c r="S2002" s="5"/>
      <c r="T2002" s="5"/>
      <c r="U2002" s="5"/>
      <c r="V2002" s="5"/>
      <c r="W2002" s="5"/>
      <c r="X2002" s="5"/>
      <c r="Y2002" s="5"/>
      <c r="Z2002" s="5"/>
    </row>
    <row r="2003" ht="12.0" customHeight="1">
      <c r="A2003" s="186" t="s">
        <v>640</v>
      </c>
      <c r="B2003" s="4"/>
      <c r="C2003" s="148">
        <f>'Resumen Capacidad'!$I$48*'Resumen Capacidad'!$I$84</f>
        <v>2</v>
      </c>
      <c r="D2003" s="148">
        <f>'Resumen Capacidad'!$I$48*'Resumen Capacidad'!$I$84</f>
        <v>2</v>
      </c>
      <c r="E2003" s="148">
        <f>'Resumen Capacidad'!$I$48*'Resumen Capacidad'!$I$84</f>
        <v>2</v>
      </c>
      <c r="F2003" s="148">
        <f>'Resumen Capacidad'!$I$48*'Resumen Capacidad'!$I$84</f>
        <v>2</v>
      </c>
      <c r="G2003" s="148">
        <f>'Resumen Capacidad'!$I$48*'Resumen Capacidad'!$I$84</f>
        <v>2</v>
      </c>
      <c r="H2003" s="148">
        <f>'Resumen Capacidad'!$I$48*'Resumen Capacidad'!$I$84</f>
        <v>2</v>
      </c>
      <c r="I2003" s="148">
        <f>'Resumen Capacidad'!$I$48*'Resumen Capacidad'!$I$84</f>
        <v>2</v>
      </c>
      <c r="J2003" s="148">
        <f>'Resumen Capacidad'!$I$48*'Resumen Capacidad'!$I$84</f>
        <v>2</v>
      </c>
      <c r="K2003" s="148">
        <f>'Resumen Capacidad'!$I$48*'Resumen Capacidad'!$I$84</f>
        <v>2</v>
      </c>
      <c r="L2003" s="148">
        <f>'Resumen Capacidad'!$I$48*'Resumen Capacidad'!$I$84</f>
        <v>2</v>
      </c>
      <c r="M2003" s="148">
        <f>'Resumen Capacidad'!$I$48*'Resumen Capacidad'!$I$84</f>
        <v>2</v>
      </c>
      <c r="N2003" s="148">
        <f>'Resumen Capacidad'!$I$48*'Resumen Capacidad'!$I$84</f>
        <v>2</v>
      </c>
      <c r="O2003" s="5"/>
      <c r="P2003" s="5"/>
      <c r="Q2003" s="5"/>
      <c r="R2003" s="5"/>
      <c r="S2003" s="5"/>
      <c r="T2003" s="5"/>
      <c r="U2003" s="5"/>
      <c r="V2003" s="5"/>
      <c r="W2003" s="5"/>
      <c r="X2003" s="5"/>
      <c r="Y2003" s="5"/>
      <c r="Z2003" s="5"/>
    </row>
    <row r="2004" ht="12.0" customHeight="1">
      <c r="A2004" s="186" t="s">
        <v>642</v>
      </c>
      <c r="B2004" s="4"/>
      <c r="C2004" s="184">
        <f t="shared" ref="C2004:N2004" si="587">C2002*C2003</f>
        <v>150.4285714</v>
      </c>
      <c r="D2004" s="184">
        <f t="shared" si="587"/>
        <v>150.4285714</v>
      </c>
      <c r="E2004" s="184">
        <f t="shared" si="587"/>
        <v>150.4285714</v>
      </c>
      <c r="F2004" s="184">
        <f t="shared" si="587"/>
        <v>150.4285714</v>
      </c>
      <c r="G2004" s="184">
        <f t="shared" si="587"/>
        <v>150.4285714</v>
      </c>
      <c r="H2004" s="184">
        <f t="shared" si="587"/>
        <v>150.4285714</v>
      </c>
      <c r="I2004" s="184">
        <f t="shared" si="587"/>
        <v>150.4285714</v>
      </c>
      <c r="J2004" s="184">
        <f t="shared" si="587"/>
        <v>150.4285714</v>
      </c>
      <c r="K2004" s="184">
        <f t="shared" si="587"/>
        <v>150.4285714</v>
      </c>
      <c r="L2004" s="184">
        <f t="shared" si="587"/>
        <v>150.4285714</v>
      </c>
      <c r="M2004" s="184">
        <f t="shared" si="587"/>
        <v>150.4285714</v>
      </c>
      <c r="N2004" s="184">
        <f t="shared" si="587"/>
        <v>150.4285714</v>
      </c>
      <c r="O2004" s="5"/>
      <c r="P2004" s="5"/>
      <c r="Q2004" s="5"/>
      <c r="R2004" s="5"/>
      <c r="S2004" s="5"/>
      <c r="T2004" s="5"/>
      <c r="U2004" s="5"/>
      <c r="V2004" s="5"/>
      <c r="W2004" s="5"/>
      <c r="X2004" s="5"/>
      <c r="Y2004" s="5"/>
      <c r="Z2004" s="5"/>
    </row>
    <row r="2005" ht="12.0" customHeight="1">
      <c r="A2005" s="186" t="s">
        <v>643</v>
      </c>
      <c r="B2005" s="4"/>
      <c r="C2005" s="148">
        <f t="shared" ref="C2005:N2005" si="588">IF(C2004=0,0,C2001/C2004)</f>
        <v>0.8303369421</v>
      </c>
      <c r="D2005" s="148">
        <f t="shared" si="588"/>
        <v>0.6227527066</v>
      </c>
      <c r="E2005" s="148">
        <f t="shared" si="588"/>
        <v>0.5535579614</v>
      </c>
      <c r="F2005" s="148">
        <f t="shared" si="588"/>
        <v>0.5189605888</v>
      </c>
      <c r="G2005" s="148">
        <f t="shared" si="588"/>
        <v>0.4843632162</v>
      </c>
      <c r="H2005" s="148">
        <f t="shared" si="588"/>
        <v>0.4843632162</v>
      </c>
      <c r="I2005" s="148">
        <f t="shared" si="588"/>
        <v>0.5189605888</v>
      </c>
      <c r="J2005" s="148">
        <f t="shared" si="588"/>
        <v>0.5189605888</v>
      </c>
      <c r="K2005" s="148">
        <f t="shared" si="588"/>
        <v>0.5189605888</v>
      </c>
      <c r="L2005" s="148">
        <f t="shared" si="588"/>
        <v>0.5189605888</v>
      </c>
      <c r="M2005" s="148">
        <f t="shared" si="588"/>
        <v>0.5189605888</v>
      </c>
      <c r="N2005" s="148">
        <f t="shared" si="588"/>
        <v>0.8303369421</v>
      </c>
      <c r="O2005" s="5"/>
      <c r="P2005" s="5"/>
      <c r="Q2005" s="5"/>
      <c r="R2005" s="5"/>
      <c r="S2005" s="5"/>
      <c r="T2005" s="5"/>
      <c r="U2005" s="5"/>
      <c r="V2005" s="5"/>
      <c r="W2005" s="5"/>
      <c r="X2005" s="5"/>
      <c r="Y2005" s="5"/>
      <c r="Z2005" s="5"/>
    </row>
    <row r="2006" ht="12.0" customHeight="1">
      <c r="A2006" s="11"/>
      <c r="B2006" s="11"/>
      <c r="C2006" s="285"/>
      <c r="D2006" s="285"/>
      <c r="E2006" s="285"/>
      <c r="F2006" s="285"/>
      <c r="G2006" s="285"/>
      <c r="H2006" s="285"/>
      <c r="I2006" s="285"/>
      <c r="J2006" s="285"/>
      <c r="K2006" s="285"/>
      <c r="L2006" s="285"/>
      <c r="M2006" s="285"/>
      <c r="N2006" s="285"/>
      <c r="O2006" s="5"/>
      <c r="P2006" s="5"/>
      <c r="Q2006" s="5"/>
      <c r="R2006" s="5"/>
      <c r="S2006" s="5"/>
      <c r="T2006" s="5"/>
      <c r="U2006" s="5"/>
      <c r="V2006" s="5"/>
      <c r="W2006" s="5"/>
      <c r="X2006" s="5"/>
      <c r="Y2006" s="5"/>
      <c r="Z2006" s="5"/>
    </row>
    <row r="2007" ht="12.0" customHeight="1">
      <c r="A2007" s="284" t="s">
        <v>1631</v>
      </c>
      <c r="B2007" s="11"/>
      <c r="C2007" s="285"/>
      <c r="D2007" s="285"/>
      <c r="E2007" s="285"/>
      <c r="F2007" s="285"/>
      <c r="G2007" s="285"/>
      <c r="H2007" s="285"/>
      <c r="I2007" s="285"/>
      <c r="J2007" s="285"/>
      <c r="K2007" s="285"/>
      <c r="L2007" s="285"/>
      <c r="M2007" s="285"/>
      <c r="N2007" s="285"/>
      <c r="O2007" s="5"/>
      <c r="P2007" s="5"/>
      <c r="Q2007" s="5"/>
      <c r="R2007" s="5"/>
      <c r="S2007" s="5"/>
      <c r="T2007" s="5"/>
      <c r="U2007" s="5"/>
      <c r="V2007" s="5"/>
      <c r="W2007" s="5"/>
      <c r="X2007" s="5"/>
      <c r="Y2007" s="5"/>
      <c r="Z2007" s="5"/>
    </row>
    <row r="2008" ht="12.0" customHeight="1">
      <c r="A2008" s="177" t="s">
        <v>1620</v>
      </c>
      <c r="B2008" s="178"/>
      <c r="C2008" s="178"/>
      <c r="D2008" s="178"/>
      <c r="E2008" s="178"/>
      <c r="F2008" s="178"/>
      <c r="G2008" s="178"/>
      <c r="H2008" s="178"/>
      <c r="I2008" s="178"/>
      <c r="J2008" s="178"/>
      <c r="K2008" s="178"/>
      <c r="L2008" s="178"/>
      <c r="M2008" s="178"/>
      <c r="N2008" s="179"/>
      <c r="O2008" s="5"/>
      <c r="P2008" s="5"/>
      <c r="Q2008" s="5"/>
      <c r="R2008" s="5"/>
      <c r="S2008" s="5"/>
      <c r="T2008" s="5"/>
      <c r="U2008" s="5"/>
      <c r="V2008" s="5"/>
      <c r="W2008" s="5"/>
      <c r="X2008" s="5"/>
      <c r="Y2008" s="5"/>
      <c r="Z2008" s="5"/>
    </row>
    <row r="2009" ht="12.0" customHeight="1">
      <c r="A2009" s="180" t="s">
        <v>630</v>
      </c>
      <c r="B2009" s="180" t="s">
        <v>631</v>
      </c>
      <c r="C2009" s="286" t="s">
        <v>3</v>
      </c>
      <c r="D2009" s="286" t="s">
        <v>4</v>
      </c>
      <c r="E2009" s="286" t="s">
        <v>5</v>
      </c>
      <c r="F2009" s="286" t="s">
        <v>6</v>
      </c>
      <c r="G2009" s="286" t="s">
        <v>7</v>
      </c>
      <c r="H2009" s="286" t="s">
        <v>8</v>
      </c>
      <c r="I2009" s="286" t="s">
        <v>9</v>
      </c>
      <c r="J2009" s="286" t="s">
        <v>10</v>
      </c>
      <c r="K2009" s="286" t="s">
        <v>11</v>
      </c>
      <c r="L2009" s="286" t="s">
        <v>12</v>
      </c>
      <c r="M2009" s="286" t="s">
        <v>13</v>
      </c>
      <c r="N2009" s="286" t="s">
        <v>14</v>
      </c>
      <c r="O2009" s="5"/>
      <c r="P2009" s="5"/>
      <c r="Q2009" s="5"/>
      <c r="R2009" s="5"/>
      <c r="S2009" s="5"/>
      <c r="T2009" s="5"/>
      <c r="U2009" s="5"/>
      <c r="V2009" s="5"/>
      <c r="W2009" s="5"/>
      <c r="X2009" s="5"/>
      <c r="Y2009" s="5"/>
      <c r="Z2009" s="5"/>
    </row>
    <row r="2010" ht="12.0" customHeight="1">
      <c r="A2010" s="181" t="s">
        <v>1621</v>
      </c>
      <c r="B2010" s="125" t="s">
        <v>633</v>
      </c>
      <c r="C2010" s="182">
        <f>(SUM('2034'!B6:B9)+SUM('2034'!B17:B20))*0.05</f>
        <v>1405.273</v>
      </c>
      <c r="D2010" s="182">
        <f>(SUM('2034'!C6:C9)+SUM('2034'!C17:C20))*0.05</f>
        <v>1071.6005</v>
      </c>
      <c r="E2010" s="182">
        <f>(SUM('2034'!D6:D9)+SUM('2034'!D17:D20))*0.05</f>
        <v>1001.54975</v>
      </c>
      <c r="F2010" s="182">
        <f>(SUM('2034'!E6:E9)+SUM('2034'!E17:E20))*0.05</f>
        <v>957.7015</v>
      </c>
      <c r="G2010" s="182">
        <f>(SUM('2034'!F6:F9)+SUM('2034'!F17:F20))*0.05</f>
        <v>896.2075</v>
      </c>
      <c r="H2010" s="182">
        <f>(SUM('2034'!G6:G9)+SUM('2034'!G17:G20))*0.05</f>
        <v>878.56175</v>
      </c>
      <c r="I2010" s="182">
        <f>(SUM('2034'!H6:H9)+SUM('2034'!H17:H20))*0.05</f>
        <v>940.05575</v>
      </c>
      <c r="J2010" s="182">
        <f>(SUM('2034'!I6:I9)+SUM('2034'!I17:I20))*0.05</f>
        <v>940.05575</v>
      </c>
      <c r="K2010" s="182">
        <f>(SUM('2034'!J6:J9)+SUM('2034'!J17:J20))*0.05</f>
        <v>940.05575</v>
      </c>
      <c r="L2010" s="182">
        <f>(SUM('2034'!K6:K9)+SUM('2034'!K17:K20))*0.05</f>
        <v>922.41</v>
      </c>
      <c r="M2010" s="182">
        <f>(SUM('2034'!L6:L9)+SUM('2034'!L17:L20))*0.05</f>
        <v>904.76425</v>
      </c>
      <c r="N2010" s="182">
        <f>(SUM('2034'!M6:M9)+SUM('2034'!M17:M20))*0.05</f>
        <v>1440.5645</v>
      </c>
      <c r="O2010" s="5"/>
      <c r="P2010" s="5"/>
      <c r="Q2010" s="5"/>
      <c r="R2010" s="5"/>
      <c r="S2010" s="5"/>
      <c r="T2010" s="5"/>
      <c r="U2010" s="5"/>
      <c r="V2010" s="5"/>
      <c r="W2010" s="5"/>
      <c r="X2010" s="5"/>
      <c r="Y2010" s="5"/>
      <c r="Z2010" s="5"/>
    </row>
    <row r="2011" ht="12.0" customHeight="1">
      <c r="A2011" s="183"/>
      <c r="B2011" s="125" t="s">
        <v>634</v>
      </c>
      <c r="C2011" s="184">
        <f>C2010/Parametros!$B$37</f>
        <v>70.26365</v>
      </c>
      <c r="D2011" s="184">
        <f>D2010/Parametros!$B$37</f>
        <v>53.580025</v>
      </c>
      <c r="E2011" s="184">
        <f>E2010/Parametros!$B$37</f>
        <v>50.0774875</v>
      </c>
      <c r="F2011" s="184">
        <f>F2010/Parametros!$B$37</f>
        <v>47.885075</v>
      </c>
      <c r="G2011" s="184">
        <f>G2010/Parametros!$B$37</f>
        <v>44.810375</v>
      </c>
      <c r="H2011" s="184">
        <f>H2010/Parametros!$B$37</f>
        <v>43.9280875</v>
      </c>
      <c r="I2011" s="184">
        <f>I2010/Parametros!$B$37</f>
        <v>47.0027875</v>
      </c>
      <c r="J2011" s="184">
        <f>J2010/Parametros!$B$37</f>
        <v>47.0027875</v>
      </c>
      <c r="K2011" s="184">
        <f>K2010/Parametros!$B$37</f>
        <v>47.0027875</v>
      </c>
      <c r="L2011" s="184">
        <f>L2010/Parametros!$B$37</f>
        <v>46.1205</v>
      </c>
      <c r="M2011" s="184">
        <f>M2010/Parametros!$B$37</f>
        <v>45.2382125</v>
      </c>
      <c r="N2011" s="184">
        <f>N2010/Parametros!$B$37</f>
        <v>72.028225</v>
      </c>
      <c r="O2011" s="5"/>
      <c r="P2011" s="5"/>
      <c r="Q2011" s="5"/>
      <c r="R2011" s="5"/>
      <c r="S2011" s="5"/>
      <c r="T2011" s="5"/>
      <c r="U2011" s="5"/>
      <c r="V2011" s="5"/>
      <c r="W2011" s="5"/>
      <c r="X2011" s="5"/>
      <c r="Y2011" s="5"/>
      <c r="Z2011" s="5"/>
    </row>
    <row r="2012" ht="12.0" customHeight="1">
      <c r="A2012" s="185"/>
      <c r="B2012" s="125" t="s">
        <v>635</v>
      </c>
      <c r="C2012" s="184">
        <f>C2011/Parametros!$J$37</f>
        <v>9.368486667</v>
      </c>
      <c r="D2012" s="184">
        <f>D2011/Parametros!$J$37</f>
        <v>7.144003333</v>
      </c>
      <c r="E2012" s="184">
        <f>E2011/Parametros!$J$37</f>
        <v>6.676998333</v>
      </c>
      <c r="F2012" s="184">
        <f>F2011/Parametros!$J$37</f>
        <v>6.384676667</v>
      </c>
      <c r="G2012" s="184">
        <f>G2011/Parametros!$J$37</f>
        <v>5.974716667</v>
      </c>
      <c r="H2012" s="184">
        <f>H2011/Parametros!$J$37</f>
        <v>5.857078333</v>
      </c>
      <c r="I2012" s="184">
        <f>I2011/Parametros!$J$37</f>
        <v>6.267038333</v>
      </c>
      <c r="J2012" s="184">
        <f>J2011/Parametros!$J$37</f>
        <v>6.267038333</v>
      </c>
      <c r="K2012" s="184">
        <f>K2011/Parametros!$J$37</f>
        <v>6.267038333</v>
      </c>
      <c r="L2012" s="184">
        <f>L2011/Parametros!$J$37</f>
        <v>6.1494</v>
      </c>
      <c r="M2012" s="184">
        <f>M2011/Parametros!$J$37</f>
        <v>6.031761667</v>
      </c>
      <c r="N2012" s="184">
        <f>N2011/Parametros!$J$37</f>
        <v>9.603763333</v>
      </c>
      <c r="O2012" s="5"/>
      <c r="P2012" s="5"/>
      <c r="Q2012" s="5"/>
      <c r="R2012" s="5"/>
      <c r="S2012" s="5"/>
      <c r="T2012" s="5"/>
      <c r="U2012" s="5"/>
      <c r="V2012" s="5"/>
      <c r="W2012" s="5"/>
      <c r="X2012" s="5"/>
      <c r="Y2012" s="5"/>
      <c r="Z2012" s="5"/>
    </row>
    <row r="2013" ht="12.0" customHeight="1">
      <c r="A2013" s="186" t="s">
        <v>636</v>
      </c>
      <c r="B2013" s="4"/>
      <c r="C2013" s="184">
        <f t="shared" ref="C2013:N2013" si="589">C2012</f>
        <v>9.368486667</v>
      </c>
      <c r="D2013" s="184">
        <f t="shared" si="589"/>
        <v>7.144003333</v>
      </c>
      <c r="E2013" s="184">
        <f t="shared" si="589"/>
        <v>6.676998333</v>
      </c>
      <c r="F2013" s="184">
        <f t="shared" si="589"/>
        <v>6.384676667</v>
      </c>
      <c r="G2013" s="184">
        <f t="shared" si="589"/>
        <v>5.974716667</v>
      </c>
      <c r="H2013" s="184">
        <f t="shared" si="589"/>
        <v>5.857078333</v>
      </c>
      <c r="I2013" s="184">
        <f t="shared" si="589"/>
        <v>6.267038333</v>
      </c>
      <c r="J2013" s="184">
        <f t="shared" si="589"/>
        <v>6.267038333</v>
      </c>
      <c r="K2013" s="184">
        <f t="shared" si="589"/>
        <v>6.267038333</v>
      </c>
      <c r="L2013" s="184">
        <f t="shared" si="589"/>
        <v>6.1494</v>
      </c>
      <c r="M2013" s="184">
        <f t="shared" si="589"/>
        <v>6.031761667</v>
      </c>
      <c r="N2013" s="184">
        <f t="shared" si="589"/>
        <v>9.603763333</v>
      </c>
      <c r="O2013" s="5"/>
      <c r="P2013" s="5"/>
      <c r="Q2013" s="5"/>
      <c r="R2013" s="5"/>
      <c r="S2013" s="5"/>
      <c r="T2013" s="5"/>
      <c r="U2013" s="5"/>
      <c r="V2013" s="5"/>
      <c r="W2013" s="5"/>
      <c r="X2013" s="5"/>
      <c r="Y2013" s="5"/>
      <c r="Z2013" s="5"/>
    </row>
    <row r="2014" ht="12.0" customHeight="1">
      <c r="A2014" s="186" t="s">
        <v>637</v>
      </c>
      <c r="B2014" s="4"/>
      <c r="C2014" s="274">
        <f>'Resumen Capacidad'!$J$123</f>
        <v>20.51162791</v>
      </c>
      <c r="D2014" s="274">
        <f>'Resumen Capacidad'!$J$123</f>
        <v>20.51162791</v>
      </c>
      <c r="E2014" s="274">
        <f>'Resumen Capacidad'!$J$123</f>
        <v>20.51162791</v>
      </c>
      <c r="F2014" s="274">
        <f>'Resumen Capacidad'!$J$123</f>
        <v>20.51162791</v>
      </c>
      <c r="G2014" s="274">
        <f>'Resumen Capacidad'!$J$123</f>
        <v>20.51162791</v>
      </c>
      <c r="H2014" s="274">
        <f>'Resumen Capacidad'!$J$123</f>
        <v>20.51162791</v>
      </c>
      <c r="I2014" s="274">
        <f>'Resumen Capacidad'!$J$123</f>
        <v>20.51162791</v>
      </c>
      <c r="J2014" s="274">
        <f>'Resumen Capacidad'!$J$123</f>
        <v>20.51162791</v>
      </c>
      <c r="K2014" s="274">
        <f>'Resumen Capacidad'!$J$123</f>
        <v>20.51162791</v>
      </c>
      <c r="L2014" s="274">
        <f>'Resumen Capacidad'!$J$123</f>
        <v>20.51162791</v>
      </c>
      <c r="M2014" s="274">
        <f>'Resumen Capacidad'!$J$123</f>
        <v>20.51162791</v>
      </c>
      <c r="N2014" s="274">
        <f>'Resumen Capacidad'!$J$123</f>
        <v>20.51162791</v>
      </c>
      <c r="O2014" s="5"/>
      <c r="P2014" s="5"/>
      <c r="Q2014" s="5"/>
      <c r="R2014" s="5"/>
      <c r="S2014" s="5"/>
      <c r="T2014" s="5"/>
      <c r="U2014" s="5"/>
      <c r="V2014" s="5"/>
      <c r="W2014" s="5"/>
      <c r="X2014" s="5"/>
      <c r="Y2014" s="5"/>
      <c r="Z2014" s="5"/>
    </row>
    <row r="2015" ht="12.0" customHeight="1">
      <c r="A2015" s="186" t="s">
        <v>640</v>
      </c>
      <c r="B2015" s="4"/>
      <c r="C2015" s="148">
        <f>'Resumen Capacidad'!$J$41*'Resumen Capacidad'!$J$77</f>
        <v>1</v>
      </c>
      <c r="D2015" s="148">
        <f>'Resumen Capacidad'!$J$41*'Resumen Capacidad'!$J$77</f>
        <v>1</v>
      </c>
      <c r="E2015" s="148">
        <f>'Resumen Capacidad'!$J$41*'Resumen Capacidad'!$J$77</f>
        <v>1</v>
      </c>
      <c r="F2015" s="148">
        <f>'Resumen Capacidad'!$J$41*'Resumen Capacidad'!$J$77</f>
        <v>1</v>
      </c>
      <c r="G2015" s="148">
        <f>'Resumen Capacidad'!$J$41*'Resumen Capacidad'!$J$77</f>
        <v>1</v>
      </c>
      <c r="H2015" s="148">
        <f>'Resumen Capacidad'!$J$41*'Resumen Capacidad'!$J$77</f>
        <v>1</v>
      </c>
      <c r="I2015" s="148">
        <f>'Resumen Capacidad'!$J$41*'Resumen Capacidad'!$J$77</f>
        <v>1</v>
      </c>
      <c r="J2015" s="148">
        <f>'Resumen Capacidad'!$J$41*'Resumen Capacidad'!$J$77</f>
        <v>1</v>
      </c>
      <c r="K2015" s="148">
        <f>'Resumen Capacidad'!$J$41*'Resumen Capacidad'!$J$77</f>
        <v>1</v>
      </c>
      <c r="L2015" s="148">
        <f>'Resumen Capacidad'!$J$41*'Resumen Capacidad'!$J$77</f>
        <v>1</v>
      </c>
      <c r="M2015" s="148">
        <f>'Resumen Capacidad'!$J$41*'Resumen Capacidad'!$J$77</f>
        <v>1</v>
      </c>
      <c r="N2015" s="148">
        <f>'Resumen Capacidad'!$J$41*'Resumen Capacidad'!$J$77</f>
        <v>1</v>
      </c>
      <c r="O2015" s="5"/>
      <c r="P2015" s="5"/>
      <c r="Q2015" s="5"/>
      <c r="R2015" s="5"/>
      <c r="S2015" s="5"/>
      <c r="T2015" s="5"/>
      <c r="U2015" s="5"/>
      <c r="V2015" s="5"/>
      <c r="W2015" s="5"/>
      <c r="X2015" s="5"/>
      <c r="Y2015" s="5"/>
      <c r="Z2015" s="5"/>
    </row>
    <row r="2016" ht="12.0" customHeight="1">
      <c r="A2016" s="186" t="s">
        <v>642</v>
      </c>
      <c r="B2016" s="4"/>
      <c r="C2016" s="184">
        <f t="shared" ref="C2016:N2016" si="590">C2014*C2015</f>
        <v>20.51162791</v>
      </c>
      <c r="D2016" s="184">
        <f t="shared" si="590"/>
        <v>20.51162791</v>
      </c>
      <c r="E2016" s="184">
        <f t="shared" si="590"/>
        <v>20.51162791</v>
      </c>
      <c r="F2016" s="184">
        <f t="shared" si="590"/>
        <v>20.51162791</v>
      </c>
      <c r="G2016" s="184">
        <f t="shared" si="590"/>
        <v>20.51162791</v>
      </c>
      <c r="H2016" s="184">
        <f t="shared" si="590"/>
        <v>20.51162791</v>
      </c>
      <c r="I2016" s="184">
        <f t="shared" si="590"/>
        <v>20.51162791</v>
      </c>
      <c r="J2016" s="184">
        <f t="shared" si="590"/>
        <v>20.51162791</v>
      </c>
      <c r="K2016" s="184">
        <f t="shared" si="590"/>
        <v>20.51162791</v>
      </c>
      <c r="L2016" s="184">
        <f t="shared" si="590"/>
        <v>20.51162791</v>
      </c>
      <c r="M2016" s="184">
        <f t="shared" si="590"/>
        <v>20.51162791</v>
      </c>
      <c r="N2016" s="184">
        <f t="shared" si="590"/>
        <v>20.51162791</v>
      </c>
      <c r="O2016" s="5"/>
      <c r="P2016" s="5"/>
      <c r="Q2016" s="5"/>
      <c r="R2016" s="5"/>
      <c r="S2016" s="5"/>
      <c r="T2016" s="5"/>
      <c r="U2016" s="5"/>
      <c r="V2016" s="5"/>
      <c r="W2016" s="5"/>
      <c r="X2016" s="5"/>
      <c r="Y2016" s="5"/>
      <c r="Z2016" s="5"/>
    </row>
    <row r="2017" ht="12.0" customHeight="1">
      <c r="A2017" s="186" t="s">
        <v>643</v>
      </c>
      <c r="B2017" s="4"/>
      <c r="C2017" s="148">
        <f t="shared" ref="C2017:N2017" si="591">IF(C2016=0,0,C2013/C2016)</f>
        <v>0.4567402797</v>
      </c>
      <c r="D2017" s="148">
        <f t="shared" si="591"/>
        <v>0.3482904119</v>
      </c>
      <c r="E2017" s="148">
        <f t="shared" si="591"/>
        <v>0.3255225945</v>
      </c>
      <c r="F2017" s="148">
        <f t="shared" si="591"/>
        <v>0.3112710847</v>
      </c>
      <c r="G2017" s="148">
        <f t="shared" si="591"/>
        <v>0.2912843726</v>
      </c>
      <c r="H2017" s="148">
        <f t="shared" si="591"/>
        <v>0.2855491704</v>
      </c>
      <c r="I2017" s="148">
        <f t="shared" si="591"/>
        <v>0.3055358825</v>
      </c>
      <c r="J2017" s="148">
        <f t="shared" si="591"/>
        <v>0.3055358825</v>
      </c>
      <c r="K2017" s="148">
        <f t="shared" si="591"/>
        <v>0.3055358825</v>
      </c>
      <c r="L2017" s="148">
        <f t="shared" si="591"/>
        <v>0.2998006803</v>
      </c>
      <c r="M2017" s="148">
        <f t="shared" si="591"/>
        <v>0.2940654781</v>
      </c>
      <c r="N2017" s="148">
        <f t="shared" si="591"/>
        <v>0.4682106841</v>
      </c>
      <c r="O2017" s="5"/>
      <c r="P2017" s="5"/>
      <c r="Q2017" s="5"/>
      <c r="R2017" s="5"/>
      <c r="S2017" s="5"/>
      <c r="T2017" s="5"/>
      <c r="U2017" s="5"/>
      <c r="V2017" s="5"/>
      <c r="W2017" s="5"/>
      <c r="X2017" s="5"/>
      <c r="Y2017" s="5"/>
      <c r="Z2017" s="5"/>
    </row>
    <row r="2018" ht="12.0" customHeight="1">
      <c r="A2018" s="177" t="s">
        <v>1622</v>
      </c>
      <c r="B2018" s="178"/>
      <c r="C2018" s="178"/>
      <c r="D2018" s="178"/>
      <c r="E2018" s="178"/>
      <c r="F2018" s="178"/>
      <c r="G2018" s="178"/>
      <c r="H2018" s="178"/>
      <c r="I2018" s="178"/>
      <c r="J2018" s="178"/>
      <c r="K2018" s="178"/>
      <c r="L2018" s="178"/>
      <c r="M2018" s="178"/>
      <c r="N2018" s="179"/>
      <c r="O2018" s="5"/>
      <c r="P2018" s="5"/>
      <c r="Q2018" s="5"/>
      <c r="R2018" s="5"/>
      <c r="S2018" s="5"/>
      <c r="T2018" s="5"/>
      <c r="U2018" s="5"/>
      <c r="V2018" s="5"/>
      <c r="W2018" s="5"/>
      <c r="X2018" s="5"/>
      <c r="Y2018" s="5"/>
      <c r="Z2018" s="5"/>
    </row>
    <row r="2019" ht="12.0" customHeight="1">
      <c r="A2019" s="180" t="s">
        <v>630</v>
      </c>
      <c r="B2019" s="180" t="s">
        <v>631</v>
      </c>
      <c r="C2019" s="286" t="s">
        <v>3</v>
      </c>
      <c r="D2019" s="286" t="s">
        <v>4</v>
      </c>
      <c r="E2019" s="286" t="s">
        <v>5</v>
      </c>
      <c r="F2019" s="286" t="s">
        <v>6</v>
      </c>
      <c r="G2019" s="286" t="s">
        <v>7</v>
      </c>
      <c r="H2019" s="286" t="s">
        <v>8</v>
      </c>
      <c r="I2019" s="286" t="s">
        <v>9</v>
      </c>
      <c r="J2019" s="286" t="s">
        <v>10</v>
      </c>
      <c r="K2019" s="286" t="s">
        <v>11</v>
      </c>
      <c r="L2019" s="286" t="s">
        <v>12</v>
      </c>
      <c r="M2019" s="286" t="s">
        <v>13</v>
      </c>
      <c r="N2019" s="286" t="s">
        <v>14</v>
      </c>
      <c r="O2019" s="5"/>
      <c r="P2019" s="5"/>
      <c r="Q2019" s="5"/>
      <c r="R2019" s="5"/>
      <c r="S2019" s="5"/>
      <c r="T2019" s="5"/>
      <c r="U2019" s="5"/>
      <c r="V2019" s="5"/>
      <c r="W2019" s="5"/>
      <c r="X2019" s="5"/>
      <c r="Y2019" s="5"/>
      <c r="Z2019" s="5"/>
    </row>
    <row r="2020" ht="12.0" customHeight="1">
      <c r="A2020" s="181" t="s">
        <v>1623</v>
      </c>
      <c r="B2020" s="125" t="s">
        <v>633</v>
      </c>
      <c r="C2020" s="182">
        <f>'2034'!B6+'2034'!B17</f>
        <v>21047.16</v>
      </c>
      <c r="D2020" s="182">
        <f>'2034'!C6+'2034'!C17</f>
        <v>15785.37</v>
      </c>
      <c r="E2020" s="182">
        <f>'2034'!D6+'2034'!D17</f>
        <v>14031.44</v>
      </c>
      <c r="F2020" s="182">
        <f>'2034'!E6+'2034'!E17</f>
        <v>13154.475</v>
      </c>
      <c r="G2020" s="182">
        <f>'2034'!F6+'2034'!F17</f>
        <v>12277.51</v>
      </c>
      <c r="H2020" s="182">
        <f>'2034'!G6+'2034'!G17</f>
        <v>12277.51</v>
      </c>
      <c r="I2020" s="182">
        <f>'2034'!H6+'2034'!H17</f>
        <v>13154.475</v>
      </c>
      <c r="J2020" s="182">
        <f>'2034'!I6+'2034'!I17</f>
        <v>13154.475</v>
      </c>
      <c r="K2020" s="182">
        <f>'2034'!J6+'2034'!J17</f>
        <v>13154.475</v>
      </c>
      <c r="L2020" s="182">
        <f>'2034'!K6+'2034'!K17</f>
        <v>13154.475</v>
      </c>
      <c r="M2020" s="182">
        <f>'2034'!L6+'2034'!L17</f>
        <v>13154.475</v>
      </c>
      <c r="N2020" s="182">
        <f>'2034'!M6+'2034'!M17</f>
        <v>21047.16</v>
      </c>
      <c r="O2020" s="5"/>
      <c r="P2020" s="5"/>
      <c r="Q2020" s="5"/>
      <c r="R2020" s="5"/>
      <c r="S2020" s="5"/>
      <c r="T2020" s="5"/>
      <c r="U2020" s="5"/>
      <c r="V2020" s="5"/>
      <c r="W2020" s="5"/>
      <c r="X2020" s="5"/>
      <c r="Y2020" s="5"/>
      <c r="Z2020" s="5"/>
    </row>
    <row r="2021" ht="12.0" customHeight="1">
      <c r="A2021" s="183"/>
      <c r="B2021" s="125" t="s">
        <v>634</v>
      </c>
      <c r="C2021" s="184">
        <f>C2020/Parametros!$B$37</f>
        <v>1052.358</v>
      </c>
      <c r="D2021" s="184">
        <f>D2020/Parametros!$B$37</f>
        <v>789.2685</v>
      </c>
      <c r="E2021" s="184">
        <f>E2020/Parametros!$B$37</f>
        <v>701.572</v>
      </c>
      <c r="F2021" s="184">
        <f>F2020/Parametros!$B$37</f>
        <v>657.72375</v>
      </c>
      <c r="G2021" s="184">
        <f>G2020/Parametros!$B$37</f>
        <v>613.8755</v>
      </c>
      <c r="H2021" s="184">
        <f>H2020/Parametros!$B$37</f>
        <v>613.8755</v>
      </c>
      <c r="I2021" s="184">
        <f>I2020/Parametros!$B$37</f>
        <v>657.72375</v>
      </c>
      <c r="J2021" s="184">
        <f>J2020/Parametros!$B$37</f>
        <v>657.72375</v>
      </c>
      <c r="K2021" s="184">
        <f>K2020/Parametros!$B$37</f>
        <v>657.72375</v>
      </c>
      <c r="L2021" s="184">
        <f>L2020/Parametros!$B$37</f>
        <v>657.72375</v>
      </c>
      <c r="M2021" s="184">
        <f>M2020/Parametros!$B$37</f>
        <v>657.72375</v>
      </c>
      <c r="N2021" s="184">
        <f>N2020/Parametros!$B$37</f>
        <v>1052.358</v>
      </c>
      <c r="O2021" s="5"/>
      <c r="P2021" s="5"/>
      <c r="Q2021" s="5"/>
      <c r="R2021" s="5"/>
      <c r="S2021" s="5"/>
      <c r="T2021" s="5"/>
      <c r="U2021" s="5"/>
      <c r="V2021" s="5"/>
      <c r="W2021" s="5"/>
      <c r="X2021" s="5"/>
      <c r="Y2021" s="5"/>
      <c r="Z2021" s="5"/>
    </row>
    <row r="2022" ht="12.0" customHeight="1">
      <c r="A2022" s="185"/>
      <c r="B2022" s="125" t="s">
        <v>635</v>
      </c>
      <c r="C2022" s="184">
        <f>C2021/Parametros!$J$37</f>
        <v>140.3144</v>
      </c>
      <c r="D2022" s="184">
        <f>D2021/Parametros!$J$37</f>
        <v>105.2358</v>
      </c>
      <c r="E2022" s="184">
        <f>E2021/Parametros!$J$37</f>
        <v>93.54293333</v>
      </c>
      <c r="F2022" s="184">
        <f>F2021/Parametros!$J$37</f>
        <v>87.6965</v>
      </c>
      <c r="G2022" s="184">
        <f>G2021/Parametros!$J$37</f>
        <v>81.85006667</v>
      </c>
      <c r="H2022" s="184">
        <f>H2021/Parametros!$J$37</f>
        <v>81.85006667</v>
      </c>
      <c r="I2022" s="184">
        <f>I2021/Parametros!$J$37</f>
        <v>87.6965</v>
      </c>
      <c r="J2022" s="184">
        <f>J2021/Parametros!$J$37</f>
        <v>87.6965</v>
      </c>
      <c r="K2022" s="184">
        <f>K2021/Parametros!$J$37</f>
        <v>87.6965</v>
      </c>
      <c r="L2022" s="184">
        <f>L2021/Parametros!$J$37</f>
        <v>87.6965</v>
      </c>
      <c r="M2022" s="184">
        <f>M2021/Parametros!$J$37</f>
        <v>87.6965</v>
      </c>
      <c r="N2022" s="184">
        <f>N2021/Parametros!$J$37</f>
        <v>140.3144</v>
      </c>
      <c r="O2022" s="5"/>
      <c r="P2022" s="5"/>
      <c r="Q2022" s="5"/>
      <c r="R2022" s="5"/>
      <c r="S2022" s="5"/>
      <c r="T2022" s="5"/>
      <c r="U2022" s="5"/>
      <c r="V2022" s="5"/>
      <c r="W2022" s="5"/>
      <c r="X2022" s="5"/>
      <c r="Y2022" s="5"/>
      <c r="Z2022" s="5"/>
    </row>
    <row r="2023" ht="12.0" customHeight="1">
      <c r="A2023" s="186" t="s">
        <v>636</v>
      </c>
      <c r="B2023" s="4"/>
      <c r="C2023" s="184">
        <f t="shared" ref="C2023:N2023" si="592">C2022</f>
        <v>140.3144</v>
      </c>
      <c r="D2023" s="184">
        <f t="shared" si="592"/>
        <v>105.2358</v>
      </c>
      <c r="E2023" s="184">
        <f t="shared" si="592"/>
        <v>93.54293333</v>
      </c>
      <c r="F2023" s="184">
        <f t="shared" si="592"/>
        <v>87.6965</v>
      </c>
      <c r="G2023" s="184">
        <f t="shared" si="592"/>
        <v>81.85006667</v>
      </c>
      <c r="H2023" s="184">
        <f t="shared" si="592"/>
        <v>81.85006667</v>
      </c>
      <c r="I2023" s="184">
        <f t="shared" si="592"/>
        <v>87.6965</v>
      </c>
      <c r="J2023" s="184">
        <f t="shared" si="592"/>
        <v>87.6965</v>
      </c>
      <c r="K2023" s="184">
        <f t="shared" si="592"/>
        <v>87.6965</v>
      </c>
      <c r="L2023" s="184">
        <f t="shared" si="592"/>
        <v>87.6965</v>
      </c>
      <c r="M2023" s="184">
        <f t="shared" si="592"/>
        <v>87.6965</v>
      </c>
      <c r="N2023" s="184">
        <f t="shared" si="592"/>
        <v>140.3144</v>
      </c>
      <c r="O2023" s="5"/>
      <c r="P2023" s="5"/>
      <c r="Q2023" s="5"/>
      <c r="R2023" s="5"/>
      <c r="S2023" s="5"/>
      <c r="T2023" s="5"/>
      <c r="U2023" s="5"/>
      <c r="V2023" s="5"/>
      <c r="W2023" s="5"/>
      <c r="X2023" s="5"/>
      <c r="Y2023" s="5"/>
      <c r="Z2023" s="5"/>
    </row>
    <row r="2024" ht="12.0" customHeight="1">
      <c r="A2024" s="186" t="s">
        <v>637</v>
      </c>
      <c r="B2024" s="4"/>
      <c r="C2024" s="274">
        <f>'Resumen Capacidad'!$J$130</f>
        <v>75.21428571</v>
      </c>
      <c r="D2024" s="274">
        <f>'Resumen Capacidad'!$J$130</f>
        <v>75.21428571</v>
      </c>
      <c r="E2024" s="274">
        <f>'Resumen Capacidad'!$J$130</f>
        <v>75.21428571</v>
      </c>
      <c r="F2024" s="274">
        <f>'Resumen Capacidad'!$J$130</f>
        <v>75.21428571</v>
      </c>
      <c r="G2024" s="274">
        <f>'Resumen Capacidad'!$J$130</f>
        <v>75.21428571</v>
      </c>
      <c r="H2024" s="274">
        <f>'Resumen Capacidad'!$J$130</f>
        <v>75.21428571</v>
      </c>
      <c r="I2024" s="274">
        <f>'Resumen Capacidad'!$J$130</f>
        <v>75.21428571</v>
      </c>
      <c r="J2024" s="274">
        <f>'Resumen Capacidad'!$J$130</f>
        <v>75.21428571</v>
      </c>
      <c r="K2024" s="274">
        <f>'Resumen Capacidad'!$J$130</f>
        <v>75.21428571</v>
      </c>
      <c r="L2024" s="274">
        <f>'Resumen Capacidad'!$J$130</f>
        <v>75.21428571</v>
      </c>
      <c r="M2024" s="274">
        <f>'Resumen Capacidad'!$J$130</f>
        <v>75.21428571</v>
      </c>
      <c r="N2024" s="274">
        <f>'Resumen Capacidad'!$J$130</f>
        <v>75.21428571</v>
      </c>
      <c r="O2024" s="5"/>
      <c r="P2024" s="5"/>
      <c r="Q2024" s="5"/>
      <c r="R2024" s="5"/>
      <c r="S2024" s="5"/>
      <c r="T2024" s="5"/>
      <c r="U2024" s="5"/>
      <c r="V2024" s="5"/>
      <c r="W2024" s="5"/>
      <c r="X2024" s="5"/>
      <c r="Y2024" s="5"/>
      <c r="Z2024" s="5"/>
    </row>
    <row r="2025" ht="12.0" customHeight="1">
      <c r="A2025" s="186" t="s">
        <v>640</v>
      </c>
      <c r="B2025" s="4"/>
      <c r="C2025" s="148">
        <f>'Resumen Capacidad'!$J$48*'Resumen Capacidad'!$J$84</f>
        <v>4</v>
      </c>
      <c r="D2025" s="148">
        <f>'Resumen Capacidad'!$J$48*'Resumen Capacidad'!$J$84</f>
        <v>4</v>
      </c>
      <c r="E2025" s="148">
        <f>'Resumen Capacidad'!$J$48*'Resumen Capacidad'!$J$84</f>
        <v>4</v>
      </c>
      <c r="F2025" s="148">
        <f>'Resumen Capacidad'!$J$48*'Resumen Capacidad'!$J$84</f>
        <v>4</v>
      </c>
      <c r="G2025" s="148">
        <f>'Resumen Capacidad'!$J$48*'Resumen Capacidad'!$J$84</f>
        <v>4</v>
      </c>
      <c r="H2025" s="148">
        <f>'Resumen Capacidad'!$J$48*'Resumen Capacidad'!$J$84</f>
        <v>4</v>
      </c>
      <c r="I2025" s="148">
        <f>'Resumen Capacidad'!$J$48*'Resumen Capacidad'!$J$84</f>
        <v>4</v>
      </c>
      <c r="J2025" s="148">
        <f>'Resumen Capacidad'!$J$48*'Resumen Capacidad'!$J$84</f>
        <v>4</v>
      </c>
      <c r="K2025" s="148">
        <f>'Resumen Capacidad'!$J$48*'Resumen Capacidad'!$J$84</f>
        <v>4</v>
      </c>
      <c r="L2025" s="148">
        <f>'Resumen Capacidad'!$J$48*'Resumen Capacidad'!$J$84</f>
        <v>4</v>
      </c>
      <c r="M2025" s="148">
        <f>'Resumen Capacidad'!$J$48*'Resumen Capacidad'!$J$84</f>
        <v>4</v>
      </c>
      <c r="N2025" s="148">
        <f>'Resumen Capacidad'!$J$48*'Resumen Capacidad'!$J$84</f>
        <v>4</v>
      </c>
      <c r="O2025" s="5"/>
      <c r="P2025" s="5"/>
      <c r="Q2025" s="5"/>
      <c r="R2025" s="5"/>
      <c r="S2025" s="5"/>
      <c r="T2025" s="5"/>
      <c r="U2025" s="5"/>
      <c r="V2025" s="5"/>
      <c r="W2025" s="5"/>
      <c r="X2025" s="5"/>
      <c r="Y2025" s="5"/>
      <c r="Z2025" s="5"/>
    </row>
    <row r="2026" ht="12.0" customHeight="1">
      <c r="A2026" s="186" t="s">
        <v>642</v>
      </c>
      <c r="B2026" s="4"/>
      <c r="C2026" s="184">
        <f t="shared" ref="C2026:N2026" si="593">C2024*C2025</f>
        <v>300.8571429</v>
      </c>
      <c r="D2026" s="184">
        <f t="shared" si="593"/>
        <v>300.8571429</v>
      </c>
      <c r="E2026" s="184">
        <f t="shared" si="593"/>
        <v>300.8571429</v>
      </c>
      <c r="F2026" s="184">
        <f t="shared" si="593"/>
        <v>300.8571429</v>
      </c>
      <c r="G2026" s="184">
        <f t="shared" si="593"/>
        <v>300.8571429</v>
      </c>
      <c r="H2026" s="184">
        <f t="shared" si="593"/>
        <v>300.8571429</v>
      </c>
      <c r="I2026" s="184">
        <f t="shared" si="593"/>
        <v>300.8571429</v>
      </c>
      <c r="J2026" s="184">
        <f t="shared" si="593"/>
        <v>300.8571429</v>
      </c>
      <c r="K2026" s="184">
        <f t="shared" si="593"/>
        <v>300.8571429</v>
      </c>
      <c r="L2026" s="184">
        <f t="shared" si="593"/>
        <v>300.8571429</v>
      </c>
      <c r="M2026" s="184">
        <f t="shared" si="593"/>
        <v>300.8571429</v>
      </c>
      <c r="N2026" s="184">
        <f t="shared" si="593"/>
        <v>300.8571429</v>
      </c>
      <c r="O2026" s="5"/>
      <c r="P2026" s="5"/>
      <c r="Q2026" s="5"/>
      <c r="R2026" s="5"/>
      <c r="S2026" s="5"/>
      <c r="T2026" s="5"/>
      <c r="U2026" s="5"/>
      <c r="V2026" s="5"/>
      <c r="W2026" s="5"/>
      <c r="X2026" s="5"/>
      <c r="Y2026" s="5"/>
      <c r="Z2026" s="5"/>
    </row>
    <row r="2027" ht="12.0" customHeight="1">
      <c r="A2027" s="186" t="s">
        <v>643</v>
      </c>
      <c r="B2027" s="4"/>
      <c r="C2027" s="148">
        <f t="shared" ref="C2027:N2027" si="594">IF(C2026=0,0,C2023/C2026)</f>
        <v>0.4663821462</v>
      </c>
      <c r="D2027" s="148">
        <f t="shared" si="594"/>
        <v>0.3497866097</v>
      </c>
      <c r="E2027" s="148">
        <f t="shared" si="594"/>
        <v>0.3109214308</v>
      </c>
      <c r="F2027" s="148">
        <f t="shared" si="594"/>
        <v>0.2914888414</v>
      </c>
      <c r="G2027" s="148">
        <f t="shared" si="594"/>
        <v>0.272056252</v>
      </c>
      <c r="H2027" s="148">
        <f t="shared" si="594"/>
        <v>0.272056252</v>
      </c>
      <c r="I2027" s="148">
        <f t="shared" si="594"/>
        <v>0.2914888414</v>
      </c>
      <c r="J2027" s="148">
        <f t="shared" si="594"/>
        <v>0.2914888414</v>
      </c>
      <c r="K2027" s="148">
        <f t="shared" si="594"/>
        <v>0.2914888414</v>
      </c>
      <c r="L2027" s="148">
        <f t="shared" si="594"/>
        <v>0.2914888414</v>
      </c>
      <c r="M2027" s="148">
        <f t="shared" si="594"/>
        <v>0.2914888414</v>
      </c>
      <c r="N2027" s="148">
        <f t="shared" si="594"/>
        <v>0.4663821462</v>
      </c>
      <c r="O2027" s="5"/>
      <c r="P2027" s="5"/>
      <c r="Q2027" s="5"/>
      <c r="R2027" s="5"/>
      <c r="S2027" s="5"/>
      <c r="T2027" s="5"/>
      <c r="U2027" s="5"/>
      <c r="V2027" s="5"/>
      <c r="W2027" s="5"/>
      <c r="X2027" s="5"/>
      <c r="Y2027" s="5"/>
      <c r="Z2027" s="5"/>
    </row>
    <row r="2028" ht="12.0" customHeight="1">
      <c r="A2028" s="11"/>
      <c r="B2028" s="11"/>
      <c r="C2028" s="285"/>
      <c r="D2028" s="285"/>
      <c r="E2028" s="285"/>
      <c r="F2028" s="285"/>
      <c r="G2028" s="285"/>
      <c r="H2028" s="285"/>
      <c r="I2028" s="285"/>
      <c r="J2028" s="285"/>
      <c r="K2028" s="285"/>
      <c r="L2028" s="285"/>
      <c r="M2028" s="285"/>
      <c r="N2028" s="285"/>
      <c r="O2028" s="5"/>
      <c r="P2028" s="5"/>
      <c r="Q2028" s="5"/>
      <c r="R2028" s="5"/>
      <c r="S2028" s="5"/>
      <c r="T2028" s="5"/>
      <c r="U2028" s="5"/>
      <c r="V2028" s="5"/>
      <c r="W2028" s="5"/>
      <c r="X2028" s="5"/>
      <c r="Y2028" s="5"/>
      <c r="Z2028" s="5"/>
    </row>
    <row r="2029" ht="12.0" customHeight="1">
      <c r="A2029" s="284" t="s">
        <v>1632</v>
      </c>
      <c r="B2029" s="11"/>
      <c r="C2029" s="285"/>
      <c r="D2029" s="285"/>
      <c r="E2029" s="285"/>
      <c r="F2029" s="285"/>
      <c r="G2029" s="285"/>
      <c r="H2029" s="285"/>
      <c r="I2029" s="285"/>
      <c r="J2029" s="285"/>
      <c r="K2029" s="285"/>
      <c r="L2029" s="285"/>
      <c r="M2029" s="285"/>
      <c r="N2029" s="285"/>
      <c r="O2029" s="5"/>
      <c r="P2029" s="5"/>
      <c r="Q2029" s="5"/>
      <c r="R2029" s="5"/>
      <c r="S2029" s="5"/>
      <c r="T2029" s="5"/>
      <c r="U2029" s="5"/>
      <c r="V2029" s="5"/>
      <c r="W2029" s="5"/>
      <c r="X2029" s="5"/>
      <c r="Y2029" s="5"/>
      <c r="Z2029" s="5"/>
    </row>
    <row r="2030" ht="12.0" customHeight="1">
      <c r="A2030" s="177" t="s">
        <v>1620</v>
      </c>
      <c r="B2030" s="178"/>
      <c r="C2030" s="178"/>
      <c r="D2030" s="178"/>
      <c r="E2030" s="178"/>
      <c r="F2030" s="178"/>
      <c r="G2030" s="178"/>
      <c r="H2030" s="178"/>
      <c r="I2030" s="178"/>
      <c r="J2030" s="178"/>
      <c r="K2030" s="178"/>
      <c r="L2030" s="178"/>
      <c r="M2030" s="178"/>
      <c r="N2030" s="179"/>
      <c r="O2030" s="5"/>
      <c r="P2030" s="5"/>
      <c r="Q2030" s="5"/>
      <c r="R2030" s="5"/>
      <c r="S2030" s="5"/>
      <c r="T2030" s="5"/>
      <c r="U2030" s="5"/>
      <c r="V2030" s="5"/>
      <c r="W2030" s="5"/>
      <c r="X2030" s="5"/>
      <c r="Y2030" s="5"/>
      <c r="Z2030" s="5"/>
    </row>
    <row r="2031" ht="12.0" customHeight="1">
      <c r="A2031" s="180" t="s">
        <v>630</v>
      </c>
      <c r="B2031" s="180" t="s">
        <v>631</v>
      </c>
      <c r="C2031" s="286" t="s">
        <v>3</v>
      </c>
      <c r="D2031" s="286" t="s">
        <v>4</v>
      </c>
      <c r="E2031" s="286" t="s">
        <v>5</v>
      </c>
      <c r="F2031" s="286" t="s">
        <v>6</v>
      </c>
      <c r="G2031" s="286" t="s">
        <v>7</v>
      </c>
      <c r="H2031" s="286" t="s">
        <v>8</v>
      </c>
      <c r="I2031" s="286" t="s">
        <v>9</v>
      </c>
      <c r="J2031" s="286" t="s">
        <v>10</v>
      </c>
      <c r="K2031" s="286" t="s">
        <v>11</v>
      </c>
      <c r="L2031" s="286" t="s">
        <v>12</v>
      </c>
      <c r="M2031" s="286" t="s">
        <v>13</v>
      </c>
      <c r="N2031" s="286" t="s">
        <v>14</v>
      </c>
      <c r="O2031" s="5"/>
      <c r="P2031" s="5"/>
      <c r="Q2031" s="5"/>
      <c r="R2031" s="5"/>
      <c r="S2031" s="5"/>
      <c r="T2031" s="5"/>
      <c r="U2031" s="5"/>
      <c r="V2031" s="5"/>
      <c r="W2031" s="5"/>
      <c r="X2031" s="5"/>
      <c r="Y2031" s="5"/>
      <c r="Z2031" s="5"/>
    </row>
    <row r="2032" ht="12.0" customHeight="1">
      <c r="A2032" s="181" t="s">
        <v>1621</v>
      </c>
      <c r="B2032" s="125" t="s">
        <v>633</v>
      </c>
      <c r="C2032" s="182">
        <f>(SUM('2035'!B6:B9)+SUM('2035'!B17:B20))*0.05</f>
        <v>1623.786</v>
      </c>
      <c r="D2032" s="182">
        <f>(SUM('2035'!C6:C9)+SUM('2035'!C17:C20))*0.05</f>
        <v>1238.2425</v>
      </c>
      <c r="E2032" s="182">
        <f>(SUM('2035'!D6:D9)+SUM('2035'!D17:D20))*0.05</f>
        <v>1157.335</v>
      </c>
      <c r="F2032" s="182">
        <f>(SUM('2035'!E6:E9)+SUM('2035'!E17:E20))*0.05</f>
        <v>1106.67975</v>
      </c>
      <c r="G2032" s="182">
        <f>(SUM('2035'!F6:F9)+SUM('2035'!F17:F20))*0.05</f>
        <v>1035.6215</v>
      </c>
      <c r="H2032" s="182">
        <f>(SUM('2035'!G6:G9)+SUM('2035'!G17:G20))*0.05</f>
        <v>1015.2185</v>
      </c>
      <c r="I2032" s="182">
        <f>(SUM('2035'!H6:H9)+SUM('2035'!H17:H20))*0.05</f>
        <v>1086.27675</v>
      </c>
      <c r="J2032" s="182">
        <f>(SUM('2035'!I6:I9)+SUM('2035'!I17:I20))*0.05</f>
        <v>1086.27675</v>
      </c>
      <c r="K2032" s="182">
        <f>(SUM('2035'!J6:J9)+SUM('2035'!J17:J20))*0.05</f>
        <v>1086.27675</v>
      </c>
      <c r="L2032" s="182">
        <f>(SUM('2035'!K6:K9)+SUM('2035'!K17:K20))*0.05</f>
        <v>1065.87375</v>
      </c>
      <c r="M2032" s="182">
        <f>(SUM('2035'!L6:L9)+SUM('2035'!L17:L20))*0.05</f>
        <v>1045.47075</v>
      </c>
      <c r="N2032" s="182">
        <f>(SUM('2035'!M6:M9)+SUM('2035'!M17:M20))*0.05</f>
        <v>1664.592</v>
      </c>
      <c r="O2032" s="5"/>
      <c r="P2032" s="5"/>
      <c r="Q2032" s="5"/>
      <c r="R2032" s="5"/>
      <c r="S2032" s="5"/>
      <c r="T2032" s="5"/>
      <c r="U2032" s="5"/>
      <c r="V2032" s="5"/>
      <c r="W2032" s="5"/>
      <c r="X2032" s="5"/>
      <c r="Y2032" s="5"/>
      <c r="Z2032" s="5"/>
    </row>
    <row r="2033" ht="12.0" customHeight="1">
      <c r="A2033" s="183"/>
      <c r="B2033" s="125" t="s">
        <v>634</v>
      </c>
      <c r="C2033" s="184">
        <f>C2032/Parametros!$B$37</f>
        <v>81.1893</v>
      </c>
      <c r="D2033" s="184">
        <f>D2032/Parametros!$B$37</f>
        <v>61.912125</v>
      </c>
      <c r="E2033" s="184">
        <f>E2032/Parametros!$B$37</f>
        <v>57.86675</v>
      </c>
      <c r="F2033" s="184">
        <f>F2032/Parametros!$B$37</f>
        <v>55.3339875</v>
      </c>
      <c r="G2033" s="184">
        <f>G2032/Parametros!$B$37</f>
        <v>51.781075</v>
      </c>
      <c r="H2033" s="184">
        <f>H2032/Parametros!$B$37</f>
        <v>50.760925</v>
      </c>
      <c r="I2033" s="184">
        <f>I2032/Parametros!$B$37</f>
        <v>54.3138375</v>
      </c>
      <c r="J2033" s="184">
        <f>J2032/Parametros!$B$37</f>
        <v>54.3138375</v>
      </c>
      <c r="K2033" s="184">
        <f>K2032/Parametros!$B$37</f>
        <v>54.3138375</v>
      </c>
      <c r="L2033" s="184">
        <f>L2032/Parametros!$B$37</f>
        <v>53.2936875</v>
      </c>
      <c r="M2033" s="184">
        <f>M2032/Parametros!$B$37</f>
        <v>52.2735375</v>
      </c>
      <c r="N2033" s="184">
        <f>N2032/Parametros!$B$37</f>
        <v>83.2296</v>
      </c>
      <c r="O2033" s="5"/>
      <c r="P2033" s="5"/>
      <c r="Q2033" s="5"/>
      <c r="R2033" s="5"/>
      <c r="S2033" s="5"/>
      <c r="T2033" s="5"/>
      <c r="U2033" s="5"/>
      <c r="V2033" s="5"/>
      <c r="W2033" s="5"/>
      <c r="X2033" s="5"/>
      <c r="Y2033" s="5"/>
      <c r="Z2033" s="5"/>
    </row>
    <row r="2034" ht="12.0" customHeight="1">
      <c r="A2034" s="185"/>
      <c r="B2034" s="125" t="s">
        <v>635</v>
      </c>
      <c r="C2034" s="184">
        <f>C2033/Parametros!$J$37</f>
        <v>10.82524</v>
      </c>
      <c r="D2034" s="184">
        <f>D2033/Parametros!$J$37</f>
        <v>8.25495</v>
      </c>
      <c r="E2034" s="184">
        <f>E2033/Parametros!$J$37</f>
        <v>7.715566667</v>
      </c>
      <c r="F2034" s="184">
        <f>F2033/Parametros!$J$37</f>
        <v>7.377865</v>
      </c>
      <c r="G2034" s="184">
        <f>G2033/Parametros!$J$37</f>
        <v>6.904143333</v>
      </c>
      <c r="H2034" s="184">
        <f>H2033/Parametros!$J$37</f>
        <v>6.768123333</v>
      </c>
      <c r="I2034" s="184">
        <f>I2033/Parametros!$J$37</f>
        <v>7.241845</v>
      </c>
      <c r="J2034" s="184">
        <f>J2033/Parametros!$J$37</f>
        <v>7.241845</v>
      </c>
      <c r="K2034" s="184">
        <f>K2033/Parametros!$J$37</f>
        <v>7.241845</v>
      </c>
      <c r="L2034" s="184">
        <f>L2033/Parametros!$J$37</f>
        <v>7.105825</v>
      </c>
      <c r="M2034" s="184">
        <f>M2033/Parametros!$J$37</f>
        <v>6.969805</v>
      </c>
      <c r="N2034" s="184">
        <f>N2033/Parametros!$J$37</f>
        <v>11.09728</v>
      </c>
      <c r="O2034" s="5"/>
      <c r="P2034" s="5"/>
      <c r="Q2034" s="5"/>
      <c r="R2034" s="5"/>
      <c r="S2034" s="5"/>
      <c r="T2034" s="5"/>
      <c r="U2034" s="5"/>
      <c r="V2034" s="5"/>
      <c r="W2034" s="5"/>
      <c r="X2034" s="5"/>
      <c r="Y2034" s="5"/>
      <c r="Z2034" s="5"/>
    </row>
    <row r="2035" ht="12.0" customHeight="1">
      <c r="A2035" s="186" t="s">
        <v>636</v>
      </c>
      <c r="B2035" s="4"/>
      <c r="C2035" s="184">
        <f t="shared" ref="C2035:N2035" si="595">C2034</f>
        <v>10.82524</v>
      </c>
      <c r="D2035" s="184">
        <f t="shared" si="595"/>
        <v>8.25495</v>
      </c>
      <c r="E2035" s="184">
        <f t="shared" si="595"/>
        <v>7.715566667</v>
      </c>
      <c r="F2035" s="184">
        <f t="shared" si="595"/>
        <v>7.377865</v>
      </c>
      <c r="G2035" s="184">
        <f t="shared" si="595"/>
        <v>6.904143333</v>
      </c>
      <c r="H2035" s="184">
        <f t="shared" si="595"/>
        <v>6.768123333</v>
      </c>
      <c r="I2035" s="184">
        <f t="shared" si="595"/>
        <v>7.241845</v>
      </c>
      <c r="J2035" s="184">
        <f t="shared" si="595"/>
        <v>7.241845</v>
      </c>
      <c r="K2035" s="184">
        <f t="shared" si="595"/>
        <v>7.241845</v>
      </c>
      <c r="L2035" s="184">
        <f t="shared" si="595"/>
        <v>7.105825</v>
      </c>
      <c r="M2035" s="184">
        <f t="shared" si="595"/>
        <v>6.969805</v>
      </c>
      <c r="N2035" s="184">
        <f t="shared" si="595"/>
        <v>11.09728</v>
      </c>
      <c r="O2035" s="5"/>
      <c r="P2035" s="5"/>
      <c r="Q2035" s="5"/>
      <c r="R2035" s="5"/>
      <c r="S2035" s="5"/>
      <c r="T2035" s="5"/>
      <c r="U2035" s="5"/>
      <c r="V2035" s="5"/>
      <c r="W2035" s="5"/>
      <c r="X2035" s="5"/>
      <c r="Y2035" s="5"/>
      <c r="Z2035" s="5"/>
    </row>
    <row r="2036" ht="12.0" customHeight="1">
      <c r="A2036" s="186" t="s">
        <v>637</v>
      </c>
      <c r="B2036" s="4"/>
      <c r="C2036" s="274">
        <f>'Resumen Capacidad'!$K$123</f>
        <v>20.51162791</v>
      </c>
      <c r="D2036" s="274">
        <f>'Resumen Capacidad'!$K$123</f>
        <v>20.51162791</v>
      </c>
      <c r="E2036" s="274">
        <f>'Resumen Capacidad'!$K$123</f>
        <v>20.51162791</v>
      </c>
      <c r="F2036" s="274">
        <f>'Resumen Capacidad'!$K$123</f>
        <v>20.51162791</v>
      </c>
      <c r="G2036" s="274">
        <f>'Resumen Capacidad'!$K$123</f>
        <v>20.51162791</v>
      </c>
      <c r="H2036" s="274">
        <f>'Resumen Capacidad'!$K$123</f>
        <v>20.51162791</v>
      </c>
      <c r="I2036" s="274">
        <f>'Resumen Capacidad'!$K$123</f>
        <v>20.51162791</v>
      </c>
      <c r="J2036" s="274">
        <f>'Resumen Capacidad'!$K$123</f>
        <v>20.51162791</v>
      </c>
      <c r="K2036" s="274">
        <f>'Resumen Capacidad'!$K$123</f>
        <v>20.51162791</v>
      </c>
      <c r="L2036" s="274">
        <f>'Resumen Capacidad'!$K$123</f>
        <v>20.51162791</v>
      </c>
      <c r="M2036" s="274">
        <f>'Resumen Capacidad'!$K$123</f>
        <v>20.51162791</v>
      </c>
      <c r="N2036" s="274">
        <f>'Resumen Capacidad'!$K$123</f>
        <v>20.51162791</v>
      </c>
      <c r="O2036" s="5"/>
      <c r="P2036" s="5"/>
      <c r="Q2036" s="5"/>
      <c r="R2036" s="5"/>
      <c r="S2036" s="5"/>
      <c r="T2036" s="5"/>
      <c r="U2036" s="5"/>
      <c r="V2036" s="5"/>
      <c r="W2036" s="5"/>
      <c r="X2036" s="5"/>
      <c r="Y2036" s="5"/>
      <c r="Z2036" s="5"/>
    </row>
    <row r="2037" ht="12.0" customHeight="1">
      <c r="A2037" s="186" t="s">
        <v>640</v>
      </c>
      <c r="B2037" s="4"/>
      <c r="C2037" s="148">
        <f>'Resumen Capacidad'!$K$41*'Resumen Capacidad'!$K$77</f>
        <v>1</v>
      </c>
      <c r="D2037" s="148">
        <f>'Resumen Capacidad'!$K$41*'Resumen Capacidad'!$K$77</f>
        <v>1</v>
      </c>
      <c r="E2037" s="148">
        <f>'Resumen Capacidad'!$K$41*'Resumen Capacidad'!$K$77</f>
        <v>1</v>
      </c>
      <c r="F2037" s="148">
        <f>'Resumen Capacidad'!$K$41*'Resumen Capacidad'!$K$77</f>
        <v>1</v>
      </c>
      <c r="G2037" s="148">
        <f>'Resumen Capacidad'!$K$41*'Resumen Capacidad'!$K$77</f>
        <v>1</v>
      </c>
      <c r="H2037" s="148">
        <f>'Resumen Capacidad'!$K$41*'Resumen Capacidad'!$K$77</f>
        <v>1</v>
      </c>
      <c r="I2037" s="148">
        <f>'Resumen Capacidad'!$K$41*'Resumen Capacidad'!$K$77</f>
        <v>1</v>
      </c>
      <c r="J2037" s="148">
        <f>'Resumen Capacidad'!$K$41*'Resumen Capacidad'!$K$77</f>
        <v>1</v>
      </c>
      <c r="K2037" s="148">
        <f>'Resumen Capacidad'!$K$41*'Resumen Capacidad'!$K$77</f>
        <v>1</v>
      </c>
      <c r="L2037" s="148">
        <f>'Resumen Capacidad'!$K$41*'Resumen Capacidad'!$K$77</f>
        <v>1</v>
      </c>
      <c r="M2037" s="148">
        <f>'Resumen Capacidad'!$K$41*'Resumen Capacidad'!$K$77</f>
        <v>1</v>
      </c>
      <c r="N2037" s="148">
        <f>'Resumen Capacidad'!$K$41*'Resumen Capacidad'!$K$77</f>
        <v>1</v>
      </c>
      <c r="O2037" s="5"/>
      <c r="P2037" s="5"/>
      <c r="Q2037" s="5"/>
      <c r="R2037" s="5"/>
      <c r="S2037" s="5"/>
      <c r="T2037" s="5"/>
      <c r="U2037" s="5"/>
      <c r="V2037" s="5"/>
      <c r="W2037" s="5"/>
      <c r="X2037" s="5"/>
      <c r="Y2037" s="5"/>
      <c r="Z2037" s="5"/>
    </row>
    <row r="2038" ht="12.0" customHeight="1">
      <c r="A2038" s="186" t="s">
        <v>642</v>
      </c>
      <c r="B2038" s="4"/>
      <c r="C2038" s="184">
        <f t="shared" ref="C2038:N2038" si="596">C2036*C2037</f>
        <v>20.51162791</v>
      </c>
      <c r="D2038" s="184">
        <f t="shared" si="596"/>
        <v>20.51162791</v>
      </c>
      <c r="E2038" s="184">
        <f t="shared" si="596"/>
        <v>20.51162791</v>
      </c>
      <c r="F2038" s="184">
        <f t="shared" si="596"/>
        <v>20.51162791</v>
      </c>
      <c r="G2038" s="184">
        <f t="shared" si="596"/>
        <v>20.51162791</v>
      </c>
      <c r="H2038" s="184">
        <f t="shared" si="596"/>
        <v>20.51162791</v>
      </c>
      <c r="I2038" s="184">
        <f t="shared" si="596"/>
        <v>20.51162791</v>
      </c>
      <c r="J2038" s="184">
        <f t="shared" si="596"/>
        <v>20.51162791</v>
      </c>
      <c r="K2038" s="184">
        <f t="shared" si="596"/>
        <v>20.51162791</v>
      </c>
      <c r="L2038" s="184">
        <f t="shared" si="596"/>
        <v>20.51162791</v>
      </c>
      <c r="M2038" s="184">
        <f t="shared" si="596"/>
        <v>20.51162791</v>
      </c>
      <c r="N2038" s="184">
        <f t="shared" si="596"/>
        <v>20.51162791</v>
      </c>
      <c r="O2038" s="5"/>
      <c r="P2038" s="5"/>
      <c r="Q2038" s="5"/>
      <c r="R2038" s="5"/>
      <c r="S2038" s="5"/>
      <c r="T2038" s="5"/>
      <c r="U2038" s="5"/>
      <c r="V2038" s="5"/>
      <c r="W2038" s="5"/>
      <c r="X2038" s="5"/>
      <c r="Y2038" s="5"/>
      <c r="Z2038" s="5"/>
    </row>
    <row r="2039" ht="12.0" customHeight="1">
      <c r="A2039" s="186" t="s">
        <v>643</v>
      </c>
      <c r="B2039" s="4"/>
      <c r="C2039" s="148">
        <f t="shared" ref="C2039:N2039" si="597">IF(C2038=0,0,C2035/C2038)</f>
        <v>0.5277611338</v>
      </c>
      <c r="D2039" s="148">
        <f t="shared" si="597"/>
        <v>0.4024522109</v>
      </c>
      <c r="E2039" s="148">
        <f t="shared" si="597"/>
        <v>0.3761557445</v>
      </c>
      <c r="F2039" s="148">
        <f t="shared" si="597"/>
        <v>0.3596918311</v>
      </c>
      <c r="G2039" s="148">
        <f t="shared" si="597"/>
        <v>0.3365965571</v>
      </c>
      <c r="H2039" s="148">
        <f t="shared" si="597"/>
        <v>0.3299651965</v>
      </c>
      <c r="I2039" s="148">
        <f t="shared" si="597"/>
        <v>0.3530604705</v>
      </c>
      <c r="J2039" s="148">
        <f t="shared" si="597"/>
        <v>0.3530604705</v>
      </c>
      <c r="K2039" s="148">
        <f t="shared" si="597"/>
        <v>0.3530604705</v>
      </c>
      <c r="L2039" s="148">
        <f t="shared" si="597"/>
        <v>0.34642911</v>
      </c>
      <c r="M2039" s="148">
        <f t="shared" si="597"/>
        <v>0.3397977494</v>
      </c>
      <c r="N2039" s="148">
        <f t="shared" si="597"/>
        <v>0.5410238549</v>
      </c>
      <c r="O2039" s="5"/>
      <c r="P2039" s="5"/>
      <c r="Q2039" s="5"/>
      <c r="R2039" s="5"/>
      <c r="S2039" s="5"/>
      <c r="T2039" s="5"/>
      <c r="U2039" s="5"/>
      <c r="V2039" s="5"/>
      <c r="W2039" s="5"/>
      <c r="X2039" s="5"/>
      <c r="Y2039" s="5"/>
      <c r="Z2039" s="5"/>
    </row>
    <row r="2040" ht="12.0" customHeight="1">
      <c r="A2040" s="177" t="s">
        <v>1622</v>
      </c>
      <c r="B2040" s="178"/>
      <c r="C2040" s="178"/>
      <c r="D2040" s="178"/>
      <c r="E2040" s="178"/>
      <c r="F2040" s="178"/>
      <c r="G2040" s="178"/>
      <c r="H2040" s="178"/>
      <c r="I2040" s="178"/>
      <c r="J2040" s="178"/>
      <c r="K2040" s="178"/>
      <c r="L2040" s="178"/>
      <c r="M2040" s="178"/>
      <c r="N2040" s="179"/>
      <c r="O2040" s="5"/>
      <c r="P2040" s="5"/>
      <c r="Q2040" s="5"/>
      <c r="R2040" s="5"/>
      <c r="S2040" s="5"/>
      <c r="T2040" s="5"/>
      <c r="U2040" s="5"/>
      <c r="V2040" s="5"/>
      <c r="W2040" s="5"/>
      <c r="X2040" s="5"/>
      <c r="Y2040" s="5"/>
      <c r="Z2040" s="5"/>
    </row>
    <row r="2041" ht="12.0" customHeight="1">
      <c r="A2041" s="180" t="s">
        <v>630</v>
      </c>
      <c r="B2041" s="180" t="s">
        <v>631</v>
      </c>
      <c r="C2041" s="286" t="s">
        <v>3</v>
      </c>
      <c r="D2041" s="286" t="s">
        <v>4</v>
      </c>
      <c r="E2041" s="286" t="s">
        <v>5</v>
      </c>
      <c r="F2041" s="286" t="s">
        <v>6</v>
      </c>
      <c r="G2041" s="286" t="s">
        <v>7</v>
      </c>
      <c r="H2041" s="286" t="s">
        <v>8</v>
      </c>
      <c r="I2041" s="286" t="s">
        <v>9</v>
      </c>
      <c r="J2041" s="286" t="s">
        <v>10</v>
      </c>
      <c r="K2041" s="286" t="s">
        <v>11</v>
      </c>
      <c r="L2041" s="286" t="s">
        <v>12</v>
      </c>
      <c r="M2041" s="286" t="s">
        <v>13</v>
      </c>
      <c r="N2041" s="286" t="s">
        <v>14</v>
      </c>
      <c r="O2041" s="5"/>
      <c r="P2041" s="5"/>
      <c r="Q2041" s="5"/>
      <c r="R2041" s="5"/>
      <c r="S2041" s="5"/>
      <c r="T2041" s="5"/>
      <c r="U2041" s="5"/>
      <c r="V2041" s="5"/>
      <c r="W2041" s="5"/>
      <c r="X2041" s="5"/>
      <c r="Y2041" s="5"/>
      <c r="Z2041" s="5"/>
    </row>
    <row r="2042" ht="12.0" customHeight="1">
      <c r="A2042" s="181" t="s">
        <v>1623</v>
      </c>
      <c r="B2042" s="125" t="s">
        <v>633</v>
      </c>
      <c r="C2042" s="182">
        <f>'2035'!B6+'2035'!B17</f>
        <v>24314.52</v>
      </c>
      <c r="D2042" s="182">
        <f>'2035'!C6+'2035'!C17</f>
        <v>18235.89</v>
      </c>
      <c r="E2042" s="182">
        <f>'2035'!D6+'2035'!D17</f>
        <v>16209.68</v>
      </c>
      <c r="F2042" s="182">
        <f>'2035'!E6+'2035'!E17</f>
        <v>15196.575</v>
      </c>
      <c r="G2042" s="182">
        <f>'2035'!F6+'2035'!F17</f>
        <v>14183.47</v>
      </c>
      <c r="H2042" s="182">
        <f>'2035'!G6+'2035'!G17</f>
        <v>14183.47</v>
      </c>
      <c r="I2042" s="182">
        <f>'2035'!H6+'2035'!H17</f>
        <v>15196.575</v>
      </c>
      <c r="J2042" s="182">
        <f>'2035'!I6+'2035'!I17</f>
        <v>15196.575</v>
      </c>
      <c r="K2042" s="182">
        <f>'2035'!J6+'2035'!J17</f>
        <v>15196.575</v>
      </c>
      <c r="L2042" s="182">
        <f>'2035'!K6+'2035'!K17</f>
        <v>15196.575</v>
      </c>
      <c r="M2042" s="182">
        <f>'2035'!L6+'2035'!L17</f>
        <v>15196.575</v>
      </c>
      <c r="N2042" s="182">
        <f>'2035'!M6+'2035'!M17</f>
        <v>24314.52</v>
      </c>
      <c r="O2042" s="5"/>
      <c r="P2042" s="5"/>
      <c r="Q2042" s="5"/>
      <c r="R2042" s="5"/>
      <c r="S2042" s="5"/>
      <c r="T2042" s="5"/>
      <c r="U2042" s="5"/>
      <c r="V2042" s="5"/>
      <c r="W2042" s="5"/>
      <c r="X2042" s="5"/>
      <c r="Y2042" s="5"/>
      <c r="Z2042" s="5"/>
    </row>
    <row r="2043" ht="12.0" customHeight="1">
      <c r="A2043" s="183"/>
      <c r="B2043" s="125" t="s">
        <v>634</v>
      </c>
      <c r="C2043" s="184">
        <f>C2042/Parametros!$B$37</f>
        <v>1215.726</v>
      </c>
      <c r="D2043" s="184">
        <f>D2042/Parametros!$B$37</f>
        <v>911.7945</v>
      </c>
      <c r="E2043" s="184">
        <f>E2042/Parametros!$B$37</f>
        <v>810.484</v>
      </c>
      <c r="F2043" s="184">
        <f>F2042/Parametros!$B$37</f>
        <v>759.82875</v>
      </c>
      <c r="G2043" s="184">
        <f>G2042/Parametros!$B$37</f>
        <v>709.1735</v>
      </c>
      <c r="H2043" s="184">
        <f>H2042/Parametros!$B$37</f>
        <v>709.1735</v>
      </c>
      <c r="I2043" s="184">
        <f>I2042/Parametros!$B$37</f>
        <v>759.82875</v>
      </c>
      <c r="J2043" s="184">
        <f>J2042/Parametros!$B$37</f>
        <v>759.82875</v>
      </c>
      <c r="K2043" s="184">
        <f>K2042/Parametros!$B$37</f>
        <v>759.82875</v>
      </c>
      <c r="L2043" s="184">
        <f>L2042/Parametros!$B$37</f>
        <v>759.82875</v>
      </c>
      <c r="M2043" s="184">
        <f>M2042/Parametros!$B$37</f>
        <v>759.82875</v>
      </c>
      <c r="N2043" s="184">
        <f>N2042/Parametros!$B$37</f>
        <v>1215.726</v>
      </c>
      <c r="O2043" s="5"/>
      <c r="P2043" s="5"/>
      <c r="Q2043" s="5"/>
      <c r="R2043" s="5"/>
      <c r="S2043" s="5"/>
      <c r="T2043" s="5"/>
      <c r="U2043" s="5"/>
      <c r="V2043" s="5"/>
      <c r="W2043" s="5"/>
      <c r="X2043" s="5"/>
      <c r="Y2043" s="5"/>
      <c r="Z2043" s="5"/>
    </row>
    <row r="2044" ht="12.0" customHeight="1">
      <c r="A2044" s="185"/>
      <c r="B2044" s="125" t="s">
        <v>635</v>
      </c>
      <c r="C2044" s="184">
        <f>C2043/Parametros!$J$37</f>
        <v>162.0968</v>
      </c>
      <c r="D2044" s="184">
        <f>D2043/Parametros!$J$37</f>
        <v>121.5726</v>
      </c>
      <c r="E2044" s="184">
        <f>E2043/Parametros!$J$37</f>
        <v>108.0645333</v>
      </c>
      <c r="F2044" s="184">
        <f>F2043/Parametros!$J$37</f>
        <v>101.3105</v>
      </c>
      <c r="G2044" s="184">
        <f>G2043/Parametros!$J$37</f>
        <v>94.55646667</v>
      </c>
      <c r="H2044" s="184">
        <f>H2043/Parametros!$J$37</f>
        <v>94.55646667</v>
      </c>
      <c r="I2044" s="184">
        <f>I2043/Parametros!$J$37</f>
        <v>101.3105</v>
      </c>
      <c r="J2044" s="184">
        <f>J2043/Parametros!$J$37</f>
        <v>101.3105</v>
      </c>
      <c r="K2044" s="184">
        <f>K2043/Parametros!$J$37</f>
        <v>101.3105</v>
      </c>
      <c r="L2044" s="184">
        <f>L2043/Parametros!$J$37</f>
        <v>101.3105</v>
      </c>
      <c r="M2044" s="184">
        <f>M2043/Parametros!$J$37</f>
        <v>101.3105</v>
      </c>
      <c r="N2044" s="184">
        <f>N2043/Parametros!$J$37</f>
        <v>162.0968</v>
      </c>
      <c r="O2044" s="5"/>
      <c r="P2044" s="5"/>
      <c r="Q2044" s="5"/>
      <c r="R2044" s="5"/>
      <c r="S2044" s="5"/>
      <c r="T2044" s="5"/>
      <c r="U2044" s="5"/>
      <c r="V2044" s="5"/>
      <c r="W2044" s="5"/>
      <c r="X2044" s="5"/>
      <c r="Y2044" s="5"/>
      <c r="Z2044" s="5"/>
    </row>
    <row r="2045" ht="12.0" customHeight="1">
      <c r="A2045" s="186" t="s">
        <v>636</v>
      </c>
      <c r="B2045" s="4"/>
      <c r="C2045" s="184">
        <f t="shared" ref="C2045:N2045" si="598">C2044</f>
        <v>162.0968</v>
      </c>
      <c r="D2045" s="184">
        <f t="shared" si="598"/>
        <v>121.5726</v>
      </c>
      <c r="E2045" s="184">
        <f t="shared" si="598"/>
        <v>108.0645333</v>
      </c>
      <c r="F2045" s="184">
        <f t="shared" si="598"/>
        <v>101.3105</v>
      </c>
      <c r="G2045" s="184">
        <f t="shared" si="598"/>
        <v>94.55646667</v>
      </c>
      <c r="H2045" s="184">
        <f t="shared" si="598"/>
        <v>94.55646667</v>
      </c>
      <c r="I2045" s="184">
        <f t="shared" si="598"/>
        <v>101.3105</v>
      </c>
      <c r="J2045" s="184">
        <f t="shared" si="598"/>
        <v>101.3105</v>
      </c>
      <c r="K2045" s="184">
        <f t="shared" si="598"/>
        <v>101.3105</v>
      </c>
      <c r="L2045" s="184">
        <f t="shared" si="598"/>
        <v>101.3105</v>
      </c>
      <c r="M2045" s="184">
        <f t="shared" si="598"/>
        <v>101.3105</v>
      </c>
      <c r="N2045" s="184">
        <f t="shared" si="598"/>
        <v>162.0968</v>
      </c>
      <c r="O2045" s="5"/>
      <c r="P2045" s="5"/>
      <c r="Q2045" s="5"/>
      <c r="R2045" s="5"/>
      <c r="S2045" s="5"/>
      <c r="T2045" s="5"/>
      <c r="U2045" s="5"/>
      <c r="V2045" s="5"/>
      <c r="W2045" s="5"/>
      <c r="X2045" s="5"/>
      <c r="Y2045" s="5"/>
      <c r="Z2045" s="5"/>
    </row>
    <row r="2046" ht="12.0" customHeight="1">
      <c r="A2046" s="186" t="s">
        <v>637</v>
      </c>
      <c r="B2046" s="4"/>
      <c r="C2046" s="274">
        <f>'Resumen Capacidad'!$K$130</f>
        <v>75.21428571</v>
      </c>
      <c r="D2046" s="274">
        <f>'Resumen Capacidad'!$K$130</f>
        <v>75.21428571</v>
      </c>
      <c r="E2046" s="274">
        <f>'Resumen Capacidad'!$K$130</f>
        <v>75.21428571</v>
      </c>
      <c r="F2046" s="274">
        <f>'Resumen Capacidad'!$K$130</f>
        <v>75.21428571</v>
      </c>
      <c r="G2046" s="274">
        <f>'Resumen Capacidad'!$K$130</f>
        <v>75.21428571</v>
      </c>
      <c r="H2046" s="274">
        <f>'Resumen Capacidad'!$K$130</f>
        <v>75.21428571</v>
      </c>
      <c r="I2046" s="274">
        <f>'Resumen Capacidad'!$K$130</f>
        <v>75.21428571</v>
      </c>
      <c r="J2046" s="274">
        <f>'Resumen Capacidad'!$K$130</f>
        <v>75.21428571</v>
      </c>
      <c r="K2046" s="274">
        <f>'Resumen Capacidad'!$K$130</f>
        <v>75.21428571</v>
      </c>
      <c r="L2046" s="274">
        <f>'Resumen Capacidad'!$K$130</f>
        <v>75.21428571</v>
      </c>
      <c r="M2046" s="274">
        <f>'Resumen Capacidad'!$K$130</f>
        <v>75.21428571</v>
      </c>
      <c r="N2046" s="274">
        <f>'Resumen Capacidad'!$K$130</f>
        <v>75.21428571</v>
      </c>
      <c r="O2046" s="5"/>
      <c r="P2046" s="5"/>
      <c r="Q2046" s="5"/>
      <c r="R2046" s="5"/>
      <c r="S2046" s="5"/>
      <c r="T2046" s="5"/>
      <c r="U2046" s="5"/>
      <c r="V2046" s="5"/>
      <c r="W2046" s="5"/>
      <c r="X2046" s="5"/>
      <c r="Y2046" s="5"/>
      <c r="Z2046" s="5"/>
    </row>
    <row r="2047" ht="12.0" customHeight="1">
      <c r="A2047" s="186" t="s">
        <v>640</v>
      </c>
      <c r="B2047" s="4"/>
      <c r="C2047" s="148">
        <f>'Resumen Capacidad'!$K$48*'Resumen Capacidad'!$K$84</f>
        <v>4</v>
      </c>
      <c r="D2047" s="148">
        <f>'Resumen Capacidad'!$K$48*'Resumen Capacidad'!$K$84</f>
        <v>4</v>
      </c>
      <c r="E2047" s="148">
        <f>'Resumen Capacidad'!$K$48*'Resumen Capacidad'!$K$84</f>
        <v>4</v>
      </c>
      <c r="F2047" s="148">
        <f>'Resumen Capacidad'!$K$48*'Resumen Capacidad'!$K$84</f>
        <v>4</v>
      </c>
      <c r="G2047" s="148">
        <f>'Resumen Capacidad'!$K$48*'Resumen Capacidad'!$K$84</f>
        <v>4</v>
      </c>
      <c r="H2047" s="148">
        <f>'Resumen Capacidad'!$K$48*'Resumen Capacidad'!$K$84</f>
        <v>4</v>
      </c>
      <c r="I2047" s="148">
        <f>'Resumen Capacidad'!$K$48*'Resumen Capacidad'!$K$84</f>
        <v>4</v>
      </c>
      <c r="J2047" s="148">
        <f>'Resumen Capacidad'!$K$48*'Resumen Capacidad'!$K$84</f>
        <v>4</v>
      </c>
      <c r="K2047" s="148">
        <f>'Resumen Capacidad'!$K$48*'Resumen Capacidad'!$K$84</f>
        <v>4</v>
      </c>
      <c r="L2047" s="148">
        <f>'Resumen Capacidad'!$K$48*'Resumen Capacidad'!$K$84</f>
        <v>4</v>
      </c>
      <c r="M2047" s="148">
        <f>'Resumen Capacidad'!$K$48*'Resumen Capacidad'!$K$84</f>
        <v>4</v>
      </c>
      <c r="N2047" s="148">
        <f>'Resumen Capacidad'!$K$48*'Resumen Capacidad'!$K$84</f>
        <v>4</v>
      </c>
      <c r="O2047" s="5"/>
      <c r="P2047" s="5"/>
      <c r="Q2047" s="5"/>
      <c r="R2047" s="5"/>
      <c r="S2047" s="5"/>
      <c r="T2047" s="5"/>
      <c r="U2047" s="5"/>
      <c r="V2047" s="5"/>
      <c r="W2047" s="5"/>
      <c r="X2047" s="5"/>
      <c r="Y2047" s="5"/>
      <c r="Z2047" s="5"/>
    </row>
    <row r="2048" ht="12.0" customHeight="1">
      <c r="A2048" s="186" t="s">
        <v>642</v>
      </c>
      <c r="B2048" s="4"/>
      <c r="C2048" s="184">
        <f t="shared" ref="C2048:N2048" si="599">C2046*C2047</f>
        <v>300.8571429</v>
      </c>
      <c r="D2048" s="184">
        <f t="shared" si="599"/>
        <v>300.8571429</v>
      </c>
      <c r="E2048" s="184">
        <f t="shared" si="599"/>
        <v>300.8571429</v>
      </c>
      <c r="F2048" s="184">
        <f t="shared" si="599"/>
        <v>300.8571429</v>
      </c>
      <c r="G2048" s="184">
        <f t="shared" si="599"/>
        <v>300.8571429</v>
      </c>
      <c r="H2048" s="184">
        <f t="shared" si="599"/>
        <v>300.8571429</v>
      </c>
      <c r="I2048" s="184">
        <f t="shared" si="599"/>
        <v>300.8571429</v>
      </c>
      <c r="J2048" s="184">
        <f t="shared" si="599"/>
        <v>300.8571429</v>
      </c>
      <c r="K2048" s="184">
        <f t="shared" si="599"/>
        <v>300.8571429</v>
      </c>
      <c r="L2048" s="184">
        <f t="shared" si="599"/>
        <v>300.8571429</v>
      </c>
      <c r="M2048" s="184">
        <f t="shared" si="599"/>
        <v>300.8571429</v>
      </c>
      <c r="N2048" s="184">
        <f t="shared" si="599"/>
        <v>300.8571429</v>
      </c>
      <c r="O2048" s="5"/>
      <c r="P2048" s="5"/>
      <c r="Q2048" s="5"/>
      <c r="R2048" s="5"/>
      <c r="S2048" s="5"/>
      <c r="T2048" s="5"/>
      <c r="U2048" s="5"/>
      <c r="V2048" s="5"/>
      <c r="W2048" s="5"/>
      <c r="X2048" s="5"/>
      <c r="Y2048" s="5"/>
      <c r="Z2048" s="5"/>
    </row>
    <row r="2049" ht="12.0" customHeight="1">
      <c r="A2049" s="186" t="s">
        <v>643</v>
      </c>
      <c r="B2049" s="4"/>
      <c r="C2049" s="148">
        <f t="shared" ref="C2049:N2049" si="600">IF(C2048=0,0,C2045/C2048)</f>
        <v>0.5387832858</v>
      </c>
      <c r="D2049" s="148">
        <f t="shared" si="600"/>
        <v>0.4040874644</v>
      </c>
      <c r="E2049" s="148">
        <f t="shared" si="600"/>
        <v>0.3591888572</v>
      </c>
      <c r="F2049" s="148">
        <f t="shared" si="600"/>
        <v>0.3367395537</v>
      </c>
      <c r="G2049" s="148">
        <f t="shared" si="600"/>
        <v>0.3142902501</v>
      </c>
      <c r="H2049" s="148">
        <f t="shared" si="600"/>
        <v>0.3142902501</v>
      </c>
      <c r="I2049" s="148">
        <f t="shared" si="600"/>
        <v>0.3367395537</v>
      </c>
      <c r="J2049" s="148">
        <f t="shared" si="600"/>
        <v>0.3367395537</v>
      </c>
      <c r="K2049" s="148">
        <f t="shared" si="600"/>
        <v>0.3367395537</v>
      </c>
      <c r="L2049" s="148">
        <f t="shared" si="600"/>
        <v>0.3367395537</v>
      </c>
      <c r="M2049" s="148">
        <f t="shared" si="600"/>
        <v>0.3367395537</v>
      </c>
      <c r="N2049" s="148">
        <f t="shared" si="600"/>
        <v>0.5387832858</v>
      </c>
      <c r="O2049" s="5"/>
      <c r="P2049" s="5"/>
      <c r="Q2049" s="5"/>
      <c r="R2049" s="5"/>
      <c r="S2049" s="5"/>
      <c r="T2049" s="5"/>
      <c r="U2049" s="5"/>
      <c r="V2049" s="5"/>
      <c r="W2049" s="5"/>
      <c r="X2049" s="5"/>
      <c r="Y2049" s="5"/>
      <c r="Z2049" s="5"/>
    </row>
    <row r="2050" ht="12.0" customHeight="1">
      <c r="A2050" s="92"/>
      <c r="B2050" s="5"/>
      <c r="C2050" s="206"/>
      <c r="D2050" s="206"/>
      <c r="E2050" s="206"/>
      <c r="F2050" s="206"/>
      <c r="G2050" s="206"/>
      <c r="H2050" s="206"/>
      <c r="I2050" s="206"/>
      <c r="J2050" s="206"/>
      <c r="K2050" s="206"/>
      <c r="L2050" s="206"/>
      <c r="M2050" s="206"/>
      <c r="N2050" s="206"/>
      <c r="O2050" s="5"/>
      <c r="P2050" s="5"/>
      <c r="Q2050" s="5"/>
      <c r="R2050" s="5"/>
      <c r="S2050" s="5"/>
      <c r="T2050" s="5"/>
      <c r="U2050" s="5"/>
      <c r="V2050" s="5"/>
      <c r="W2050" s="5"/>
      <c r="X2050" s="5"/>
      <c r="Y2050" s="5"/>
      <c r="Z2050" s="5"/>
    </row>
    <row r="2051" ht="12.0" customHeight="1">
      <c r="A2051" s="92"/>
      <c r="B2051" s="5"/>
      <c r="C2051" s="206"/>
      <c r="D2051" s="206"/>
      <c r="E2051" s="206"/>
      <c r="F2051" s="206"/>
      <c r="G2051" s="206"/>
      <c r="H2051" s="206"/>
      <c r="I2051" s="206"/>
      <c r="J2051" s="206"/>
      <c r="K2051" s="206"/>
      <c r="L2051" s="206"/>
      <c r="M2051" s="206"/>
      <c r="N2051" s="206"/>
      <c r="O2051" s="5"/>
      <c r="P2051" s="5"/>
      <c r="Q2051" s="5"/>
      <c r="R2051" s="5"/>
      <c r="S2051" s="5"/>
      <c r="T2051" s="5"/>
      <c r="U2051" s="5"/>
      <c r="V2051" s="5"/>
      <c r="W2051" s="5"/>
      <c r="X2051" s="5"/>
      <c r="Y2051" s="5"/>
      <c r="Z2051" s="5"/>
    </row>
    <row r="2052" ht="12.0" customHeight="1">
      <c r="A2052" s="288" t="s">
        <v>1633</v>
      </c>
      <c r="B2052" s="202"/>
      <c r="C2052" s="289"/>
      <c r="D2052" s="289"/>
      <c r="E2052" s="289"/>
      <c r="F2052" s="289"/>
      <c r="G2052" s="289"/>
      <c r="H2052" s="289"/>
      <c r="I2052" s="289"/>
      <c r="J2052" s="289"/>
      <c r="K2052" s="289"/>
      <c r="L2052" s="289"/>
      <c r="M2052" s="289"/>
      <c r="N2052" s="289"/>
      <c r="O2052" s="202"/>
      <c r="P2052" s="5"/>
      <c r="Q2052" s="5"/>
      <c r="R2052" s="5"/>
      <c r="S2052" s="5"/>
      <c r="T2052" s="5"/>
      <c r="U2052" s="5"/>
      <c r="V2052" s="5"/>
      <c r="W2052" s="5"/>
      <c r="X2052" s="5"/>
      <c r="Y2052" s="5"/>
      <c r="Z2052" s="5"/>
    </row>
    <row r="2053" ht="12.0" customHeight="1">
      <c r="A2053" s="160" t="s">
        <v>188</v>
      </c>
      <c r="B2053" s="160" t="s">
        <v>631</v>
      </c>
      <c r="C2053" s="290" t="s">
        <v>3</v>
      </c>
      <c r="D2053" s="290" t="s">
        <v>4</v>
      </c>
      <c r="E2053" s="290" t="s">
        <v>507</v>
      </c>
      <c r="F2053" s="290" t="s">
        <v>508</v>
      </c>
      <c r="G2053" s="290" t="s">
        <v>509</v>
      </c>
      <c r="H2053" s="290" t="s">
        <v>510</v>
      </c>
      <c r="I2053" s="290" t="s">
        <v>511</v>
      </c>
      <c r="J2053" s="290" t="s">
        <v>512</v>
      </c>
      <c r="K2053" s="290" t="s">
        <v>513</v>
      </c>
      <c r="L2053" s="290" t="s">
        <v>514</v>
      </c>
      <c r="M2053" s="290" t="s">
        <v>515</v>
      </c>
      <c r="N2053" s="290" t="s">
        <v>516</v>
      </c>
      <c r="O2053" s="160" t="s">
        <v>15</v>
      </c>
      <c r="P2053" s="160" t="s">
        <v>1598</v>
      </c>
      <c r="Q2053" s="19" t="s">
        <v>1634</v>
      </c>
      <c r="R2053" s="5"/>
      <c r="S2053" s="5"/>
      <c r="T2053" s="5"/>
      <c r="U2053" s="5"/>
      <c r="V2053" s="5"/>
      <c r="W2053" s="5"/>
      <c r="X2053" s="5"/>
      <c r="Y2053" s="5"/>
      <c r="Z2053" s="5"/>
    </row>
    <row r="2054" ht="12.0" customHeight="1">
      <c r="A2054" s="28" t="s">
        <v>1635</v>
      </c>
      <c r="B2054" s="5" t="s">
        <v>633</v>
      </c>
      <c r="C2054" s="291">
        <f>SUM('2026'!B10:B13)</f>
        <v>11.56</v>
      </c>
      <c r="D2054" s="291">
        <f>SUM('2026'!C10:C13)</f>
        <v>10.2</v>
      </c>
      <c r="E2054" s="291">
        <f>SUM('2026'!D10:D13)</f>
        <v>12.24</v>
      </c>
      <c r="F2054" s="291">
        <f>SUM('2026'!E10:E13)</f>
        <v>12.24</v>
      </c>
      <c r="G2054" s="291">
        <f>SUM('2026'!F10:F13)</f>
        <v>12.24</v>
      </c>
      <c r="H2054" s="291">
        <f>SUM('2026'!G10:G13)</f>
        <v>10.88</v>
      </c>
      <c r="I2054" s="291">
        <f>SUM('2026'!H10:H13)</f>
        <v>12.24</v>
      </c>
      <c r="J2054" s="291">
        <f>SUM('2026'!I10:I13)</f>
        <v>12.24</v>
      </c>
      <c r="K2054" s="291">
        <f>SUM('2026'!J10:J13)</f>
        <v>11.56</v>
      </c>
      <c r="L2054" s="291">
        <f>SUM('2026'!K10:K13)</f>
        <v>10.2</v>
      </c>
      <c r="M2054" s="291">
        <f>SUM('2026'!L10:L13)</f>
        <v>9.52</v>
      </c>
      <c r="N2054" s="291">
        <f>SUM('2026'!M10:M13)</f>
        <v>10.88</v>
      </c>
      <c r="O2054" s="292">
        <f t="shared" ref="O2054:O2059" si="601">SUM(C2054:N2054)</f>
        <v>136</v>
      </c>
      <c r="P2054" s="5"/>
      <c r="Q2054" s="5"/>
      <c r="R2054" s="5"/>
      <c r="S2054" s="5"/>
      <c r="T2054" s="5"/>
      <c r="U2054" s="5"/>
      <c r="V2054" s="5"/>
      <c r="W2054" s="5"/>
      <c r="X2054" s="5"/>
      <c r="Y2054" s="5"/>
      <c r="Z2054" s="5"/>
    </row>
    <row r="2055" ht="12.0" customHeight="1">
      <c r="A2055" s="28" t="s">
        <v>1636</v>
      </c>
      <c r="B2055" s="5" t="s">
        <v>633</v>
      </c>
      <c r="C2055" s="291">
        <f>SUM('2026'!B21:B24)</f>
        <v>0</v>
      </c>
      <c r="D2055" s="291">
        <f>SUM('2026'!C21:C24)</f>
        <v>0</v>
      </c>
      <c r="E2055" s="291">
        <f>SUM('2026'!D21:D24)</f>
        <v>0</v>
      </c>
      <c r="F2055" s="291">
        <f>SUM('2026'!E21:E24)</f>
        <v>0</v>
      </c>
      <c r="G2055" s="291">
        <f>SUM('2026'!F21:F24)</f>
        <v>0</v>
      </c>
      <c r="H2055" s="291">
        <f>SUM('2026'!G21:G24)</f>
        <v>0</v>
      </c>
      <c r="I2055" s="291">
        <f>SUM('2026'!H21:H24)</f>
        <v>0</v>
      </c>
      <c r="J2055" s="291">
        <f>SUM('2026'!I21:I24)</f>
        <v>0</v>
      </c>
      <c r="K2055" s="291">
        <f>SUM('2026'!J21:J24)</f>
        <v>0</v>
      </c>
      <c r="L2055" s="291">
        <f>SUM('2026'!K21:K24)</f>
        <v>0</v>
      </c>
      <c r="M2055" s="291">
        <f>SUM('2026'!L21:L24)</f>
        <v>0</v>
      </c>
      <c r="N2055" s="291">
        <f>SUM('2026'!M21:M24)</f>
        <v>0</v>
      </c>
      <c r="O2055" s="292">
        <f t="shared" si="601"/>
        <v>0</v>
      </c>
      <c r="P2055" s="5"/>
      <c r="Q2055" s="5"/>
      <c r="R2055" s="5"/>
      <c r="S2055" s="5"/>
      <c r="T2055" s="5"/>
      <c r="U2055" s="5"/>
      <c r="V2055" s="5"/>
      <c r="W2055" s="5"/>
      <c r="X2055" s="5"/>
      <c r="Y2055" s="5"/>
      <c r="Z2055" s="5"/>
    </row>
    <row r="2056" ht="12.0" customHeight="1">
      <c r="A2056" s="28" t="s">
        <v>1637</v>
      </c>
      <c r="B2056" s="5" t="s">
        <v>633</v>
      </c>
      <c r="C2056" s="291">
        <f t="shared" ref="C2056:N2056" si="602">C2054+C2055</f>
        <v>11.56</v>
      </c>
      <c r="D2056" s="291">
        <f t="shared" si="602"/>
        <v>10.2</v>
      </c>
      <c r="E2056" s="291">
        <f t="shared" si="602"/>
        <v>12.24</v>
      </c>
      <c r="F2056" s="291">
        <f t="shared" si="602"/>
        <v>12.24</v>
      </c>
      <c r="G2056" s="291">
        <f t="shared" si="602"/>
        <v>12.24</v>
      </c>
      <c r="H2056" s="291">
        <f t="shared" si="602"/>
        <v>10.88</v>
      </c>
      <c r="I2056" s="291">
        <f t="shared" si="602"/>
        <v>12.24</v>
      </c>
      <c r="J2056" s="291">
        <f t="shared" si="602"/>
        <v>12.24</v>
      </c>
      <c r="K2056" s="291">
        <f t="shared" si="602"/>
        <v>11.56</v>
      </c>
      <c r="L2056" s="291">
        <f t="shared" si="602"/>
        <v>10.2</v>
      </c>
      <c r="M2056" s="291">
        <f t="shared" si="602"/>
        <v>9.52</v>
      </c>
      <c r="N2056" s="291">
        <f t="shared" si="602"/>
        <v>10.88</v>
      </c>
      <c r="O2056" s="292">
        <f t="shared" si="601"/>
        <v>136</v>
      </c>
      <c r="P2056" s="5"/>
      <c r="Q2056" s="5"/>
      <c r="R2056" s="5"/>
      <c r="S2056" s="5"/>
      <c r="T2056" s="5"/>
      <c r="U2056" s="5"/>
      <c r="V2056" s="5"/>
      <c r="W2056" s="5"/>
      <c r="X2056" s="5"/>
      <c r="Y2056" s="5"/>
      <c r="Z2056" s="5"/>
    </row>
    <row r="2057" ht="12.0" customHeight="1">
      <c r="A2057" s="28" t="s">
        <v>1638</v>
      </c>
      <c r="B2057" s="5" t="s">
        <v>633</v>
      </c>
      <c r="C2057" s="291">
        <f>$O2054*Parametros!$B$70</f>
        <v>11.56</v>
      </c>
      <c r="D2057" s="291">
        <f>$O2054*Parametros!$C$70</f>
        <v>10.2</v>
      </c>
      <c r="E2057" s="291">
        <f>$O2054*Parametros!$D$70</f>
        <v>12.24</v>
      </c>
      <c r="F2057" s="291">
        <f>$O2054*Parametros!$E$70</f>
        <v>12.24</v>
      </c>
      <c r="G2057" s="291">
        <f>$O2054*Parametros!$F$70</f>
        <v>12.24</v>
      </c>
      <c r="H2057" s="291">
        <f>$O2054*Parametros!$G$70</f>
        <v>10.88</v>
      </c>
      <c r="I2057" s="291">
        <f>$O2054*Parametros!$H$70</f>
        <v>12.24</v>
      </c>
      <c r="J2057" s="291">
        <f>$O2054*Parametros!$I$70</f>
        <v>12.24</v>
      </c>
      <c r="K2057" s="291">
        <f>$O2054*Parametros!$J$70</f>
        <v>11.56</v>
      </c>
      <c r="L2057" s="291">
        <f>$O2054*Parametros!$K$70</f>
        <v>10.2</v>
      </c>
      <c r="M2057" s="291">
        <f>$O2054*Parametros!$L$70</f>
        <v>9.52</v>
      </c>
      <c r="N2057" s="291">
        <f>$O2054*Parametros!$M$70</f>
        <v>10.88</v>
      </c>
      <c r="O2057" s="292">
        <f t="shared" si="601"/>
        <v>136</v>
      </c>
      <c r="P2057" s="5"/>
      <c r="Q2057" s="5"/>
      <c r="R2057" s="5"/>
      <c r="S2057" s="5"/>
      <c r="T2057" s="5"/>
      <c r="U2057" s="5"/>
      <c r="V2057" s="5"/>
      <c r="W2057" s="5"/>
      <c r="X2057" s="5"/>
      <c r="Y2057" s="5"/>
      <c r="Z2057" s="5"/>
    </row>
    <row r="2058" ht="12.0" customHeight="1">
      <c r="A2058" s="28" t="s">
        <v>1639</v>
      </c>
      <c r="B2058" s="5" t="s">
        <v>633</v>
      </c>
      <c r="C2058" s="291">
        <f>$O2055*Parametros!$B$70</f>
        <v>0</v>
      </c>
      <c r="D2058" s="291">
        <f>$O2055*Parametros!$C$70</f>
        <v>0</v>
      </c>
      <c r="E2058" s="291">
        <f>$O2055*Parametros!$D$70</f>
        <v>0</v>
      </c>
      <c r="F2058" s="291">
        <f>$O2055*Parametros!$E$70</f>
        <v>0</v>
      </c>
      <c r="G2058" s="291">
        <f>$O2055*Parametros!$F$70</f>
        <v>0</v>
      </c>
      <c r="H2058" s="291">
        <f>$O2055*Parametros!$G$70</f>
        <v>0</v>
      </c>
      <c r="I2058" s="291">
        <f>$O2055*Parametros!$H$70</f>
        <v>0</v>
      </c>
      <c r="J2058" s="291">
        <f>$O2055*Parametros!$I$70</f>
        <v>0</v>
      </c>
      <c r="K2058" s="291">
        <f>$O2055*Parametros!$J$70</f>
        <v>0</v>
      </c>
      <c r="L2058" s="291">
        <f>$O2055*Parametros!$K$70</f>
        <v>0</v>
      </c>
      <c r="M2058" s="291">
        <f>$O2055*Parametros!$L$70</f>
        <v>0</v>
      </c>
      <c r="N2058" s="291">
        <f>$O2055*Parametros!$M$70</f>
        <v>0</v>
      </c>
      <c r="O2058" s="292">
        <f t="shared" si="601"/>
        <v>0</v>
      </c>
      <c r="P2058" s="5"/>
      <c r="Q2058" s="5"/>
      <c r="R2058" s="5"/>
      <c r="S2058" s="5"/>
      <c r="T2058" s="5"/>
      <c r="U2058" s="5"/>
      <c r="V2058" s="5"/>
      <c r="W2058" s="5"/>
      <c r="X2058" s="5"/>
      <c r="Y2058" s="5"/>
      <c r="Z2058" s="5"/>
    </row>
    <row r="2059" ht="12.0" customHeight="1">
      <c r="A2059" s="10" t="s">
        <v>1640</v>
      </c>
      <c r="B2059" s="5" t="s">
        <v>633</v>
      </c>
      <c r="C2059" s="292">
        <f t="shared" ref="C2059:N2059" si="603">C2057+C2058</f>
        <v>11.56</v>
      </c>
      <c r="D2059" s="292">
        <f t="shared" si="603"/>
        <v>10.2</v>
      </c>
      <c r="E2059" s="292">
        <f t="shared" si="603"/>
        <v>12.24</v>
      </c>
      <c r="F2059" s="292">
        <f t="shared" si="603"/>
        <v>12.24</v>
      </c>
      <c r="G2059" s="292">
        <f t="shared" si="603"/>
        <v>12.24</v>
      </c>
      <c r="H2059" s="292">
        <f t="shared" si="603"/>
        <v>10.88</v>
      </c>
      <c r="I2059" s="292">
        <f t="shared" si="603"/>
        <v>12.24</v>
      </c>
      <c r="J2059" s="292">
        <f t="shared" si="603"/>
        <v>12.24</v>
      </c>
      <c r="K2059" s="292">
        <f t="shared" si="603"/>
        <v>11.56</v>
      </c>
      <c r="L2059" s="292">
        <f t="shared" si="603"/>
        <v>10.2</v>
      </c>
      <c r="M2059" s="292">
        <f t="shared" si="603"/>
        <v>9.52</v>
      </c>
      <c r="N2059" s="292">
        <f t="shared" si="603"/>
        <v>10.88</v>
      </c>
      <c r="O2059" s="292">
        <f t="shared" si="601"/>
        <v>136</v>
      </c>
      <c r="P2059" s="5"/>
      <c r="Q2059" s="5"/>
      <c r="R2059" s="5"/>
      <c r="S2059" s="5"/>
      <c r="T2059" s="5"/>
      <c r="U2059" s="5"/>
      <c r="V2059" s="5"/>
      <c r="W2059" s="5"/>
      <c r="X2059" s="5"/>
      <c r="Y2059" s="5"/>
      <c r="Z2059" s="5"/>
    </row>
    <row r="2060" ht="12.0" customHeight="1">
      <c r="A2060" s="28" t="s">
        <v>967</v>
      </c>
      <c r="B2060" s="5" t="s">
        <v>633</v>
      </c>
      <c r="C2060" s="291">
        <f>C2059-C2056</f>
        <v>0</v>
      </c>
      <c r="D2060" s="291">
        <f t="shared" ref="D2060:N2060" si="604">C2060+D2059-D2056</f>
        <v>0</v>
      </c>
      <c r="E2060" s="291">
        <f t="shared" si="604"/>
        <v>0</v>
      </c>
      <c r="F2060" s="291">
        <f t="shared" si="604"/>
        <v>0</v>
      </c>
      <c r="G2060" s="291">
        <f t="shared" si="604"/>
        <v>0</v>
      </c>
      <c r="H2060" s="291">
        <f t="shared" si="604"/>
        <v>0</v>
      </c>
      <c r="I2060" s="291">
        <f t="shared" si="604"/>
        <v>0</v>
      </c>
      <c r="J2060" s="291">
        <f t="shared" si="604"/>
        <v>0</v>
      </c>
      <c r="K2060" s="291">
        <f t="shared" si="604"/>
        <v>0</v>
      </c>
      <c r="L2060" s="291">
        <f t="shared" si="604"/>
        <v>0</v>
      </c>
      <c r="M2060" s="291">
        <f t="shared" si="604"/>
        <v>0</v>
      </c>
      <c r="N2060" s="291">
        <f t="shared" si="604"/>
        <v>0</v>
      </c>
      <c r="O2060" s="292"/>
      <c r="P2060" s="5"/>
      <c r="Q2060" s="5"/>
      <c r="R2060" s="5"/>
      <c r="S2060" s="5"/>
      <c r="T2060" s="5"/>
      <c r="U2060" s="5"/>
      <c r="V2060" s="5"/>
      <c r="W2060" s="5"/>
      <c r="X2060" s="5"/>
      <c r="Y2060" s="5"/>
      <c r="Z2060" s="5"/>
    </row>
    <row r="2061" ht="12.0" customHeight="1">
      <c r="A2061" s="10" t="s">
        <v>1641</v>
      </c>
      <c r="B2061" s="5" t="s">
        <v>633</v>
      </c>
      <c r="C2061" s="292">
        <f t="shared" ref="C2061:N2061" si="605">C2060-MIN(0,MIN($C2060:$N2060))</f>
        <v>0</v>
      </c>
      <c r="D2061" s="292">
        <f t="shared" si="605"/>
        <v>0</v>
      </c>
      <c r="E2061" s="292">
        <f t="shared" si="605"/>
        <v>0</v>
      </c>
      <c r="F2061" s="292">
        <f t="shared" si="605"/>
        <v>0</v>
      </c>
      <c r="G2061" s="292">
        <f t="shared" si="605"/>
        <v>0</v>
      </c>
      <c r="H2061" s="292">
        <f t="shared" si="605"/>
        <v>0</v>
      </c>
      <c r="I2061" s="292">
        <f t="shared" si="605"/>
        <v>0</v>
      </c>
      <c r="J2061" s="292">
        <f t="shared" si="605"/>
        <v>0</v>
      </c>
      <c r="K2061" s="292">
        <f t="shared" si="605"/>
        <v>0</v>
      </c>
      <c r="L2061" s="292">
        <f t="shared" si="605"/>
        <v>0</v>
      </c>
      <c r="M2061" s="292">
        <f t="shared" si="605"/>
        <v>0</v>
      </c>
      <c r="N2061" s="292">
        <f t="shared" si="605"/>
        <v>0</v>
      </c>
      <c r="O2061" s="292">
        <f>MAX(C2061:N2061)</f>
        <v>0</v>
      </c>
      <c r="P2061" s="292">
        <f>AVERAGE(C2061:N2061)</f>
        <v>0</v>
      </c>
      <c r="Q2061" s="5"/>
      <c r="R2061" s="5"/>
      <c r="S2061" s="5"/>
      <c r="T2061" s="5"/>
      <c r="U2061" s="5"/>
      <c r="V2061" s="5"/>
      <c r="W2061" s="5"/>
      <c r="X2061" s="5"/>
      <c r="Y2061" s="5"/>
      <c r="Z2061" s="5"/>
    </row>
    <row r="2062" ht="12.0" customHeight="1">
      <c r="A2062" s="10" t="s">
        <v>1642</v>
      </c>
      <c r="B2062" s="5"/>
      <c r="C2062" s="206"/>
      <c r="D2062" s="206"/>
      <c r="E2062" s="206"/>
      <c r="F2062" s="206"/>
      <c r="G2062" s="206"/>
      <c r="H2062" s="206"/>
      <c r="I2062" s="206"/>
      <c r="J2062" s="206"/>
      <c r="K2062" s="206"/>
      <c r="L2062" s="206"/>
      <c r="M2062" s="206"/>
      <c r="N2062" s="206"/>
      <c r="O2062" s="5"/>
      <c r="P2062" s="5"/>
      <c r="Q2062" s="5"/>
      <c r="R2062" s="5"/>
      <c r="S2062" s="5"/>
      <c r="T2062" s="5"/>
      <c r="U2062" s="5"/>
      <c r="V2062" s="5"/>
      <c r="W2062" s="5"/>
      <c r="X2062" s="5"/>
      <c r="Y2062" s="5"/>
      <c r="Z2062" s="5"/>
    </row>
    <row r="2063" ht="12.0" customHeight="1">
      <c r="A2063" s="92" t="s">
        <v>630</v>
      </c>
      <c r="B2063" s="5" t="s">
        <v>631</v>
      </c>
      <c r="C2063" s="206" t="s">
        <v>3</v>
      </c>
      <c r="D2063" s="206" t="s">
        <v>4</v>
      </c>
      <c r="E2063" s="206" t="s">
        <v>507</v>
      </c>
      <c r="F2063" s="206" t="s">
        <v>508</v>
      </c>
      <c r="G2063" s="206" t="s">
        <v>509</v>
      </c>
      <c r="H2063" s="206" t="s">
        <v>510</v>
      </c>
      <c r="I2063" s="206" t="s">
        <v>511</v>
      </c>
      <c r="J2063" s="206" t="s">
        <v>512</v>
      </c>
      <c r="K2063" s="206" t="s">
        <v>513</v>
      </c>
      <c r="L2063" s="206" t="s">
        <v>514</v>
      </c>
      <c r="M2063" s="206" t="s">
        <v>515</v>
      </c>
      <c r="N2063" s="206" t="s">
        <v>516</v>
      </c>
      <c r="O2063" s="5"/>
      <c r="P2063" s="5"/>
      <c r="Q2063" s="5"/>
      <c r="R2063" s="5"/>
      <c r="S2063" s="5"/>
      <c r="T2063" s="5"/>
      <c r="U2063" s="5"/>
      <c r="V2063" s="5"/>
      <c r="W2063" s="5"/>
      <c r="X2063" s="5"/>
      <c r="Y2063" s="5"/>
      <c r="Z2063" s="5"/>
    </row>
    <row r="2064" ht="12.0" customHeight="1">
      <c r="A2064" s="92" t="s">
        <v>1643</v>
      </c>
      <c r="B2064" s="5" t="s">
        <v>633</v>
      </c>
      <c r="C2064" s="203">
        <f t="shared" ref="C2064:N2064" si="606">C2059</f>
        <v>11.56</v>
      </c>
      <c r="D2064" s="203">
        <f t="shared" si="606"/>
        <v>10.2</v>
      </c>
      <c r="E2064" s="203">
        <f t="shared" si="606"/>
        <v>12.24</v>
      </c>
      <c r="F2064" s="203">
        <f t="shared" si="606"/>
        <v>12.24</v>
      </c>
      <c r="G2064" s="203">
        <f t="shared" si="606"/>
        <v>12.24</v>
      </c>
      <c r="H2064" s="203">
        <f t="shared" si="606"/>
        <v>10.88</v>
      </c>
      <c r="I2064" s="203">
        <f t="shared" si="606"/>
        <v>12.24</v>
      </c>
      <c r="J2064" s="203">
        <f t="shared" si="606"/>
        <v>12.24</v>
      </c>
      <c r="K2064" s="203">
        <f t="shared" si="606"/>
        <v>11.56</v>
      </c>
      <c r="L2064" s="203">
        <f t="shared" si="606"/>
        <v>10.2</v>
      </c>
      <c r="M2064" s="203">
        <f t="shared" si="606"/>
        <v>9.52</v>
      </c>
      <c r="N2064" s="203">
        <f t="shared" si="606"/>
        <v>10.88</v>
      </c>
      <c r="O2064" s="5"/>
      <c r="P2064" s="5"/>
      <c r="Q2064" s="5"/>
      <c r="R2064" s="5"/>
      <c r="S2064" s="5"/>
      <c r="T2064" s="5"/>
      <c r="U2064" s="5"/>
      <c r="V2064" s="5"/>
      <c r="W2064" s="5"/>
      <c r="X2064" s="5"/>
      <c r="Y2064" s="5"/>
      <c r="Z2064" s="5"/>
    </row>
    <row r="2065" ht="12.0" customHeight="1">
      <c r="A2065" s="92"/>
      <c r="B2065" s="5" t="s">
        <v>634</v>
      </c>
      <c r="C2065" s="293">
        <f>C2064/Parametros!$B$37</f>
        <v>0.578</v>
      </c>
      <c r="D2065" s="293">
        <f>D2064/Parametros!$B$37</f>
        <v>0.51</v>
      </c>
      <c r="E2065" s="293">
        <f>E2064/Parametros!$B$37</f>
        <v>0.612</v>
      </c>
      <c r="F2065" s="293">
        <f>F2064/Parametros!$B$37</f>
        <v>0.612</v>
      </c>
      <c r="G2065" s="293">
        <f>G2064/Parametros!$B$37</f>
        <v>0.612</v>
      </c>
      <c r="H2065" s="293">
        <f>H2064/Parametros!$B$37</f>
        <v>0.544</v>
      </c>
      <c r="I2065" s="293">
        <f>I2064/Parametros!$B$37</f>
        <v>0.612</v>
      </c>
      <c r="J2065" s="293">
        <f>J2064/Parametros!$B$37</f>
        <v>0.612</v>
      </c>
      <c r="K2065" s="293">
        <f>K2064/Parametros!$B$37</f>
        <v>0.578</v>
      </c>
      <c r="L2065" s="293">
        <f>L2064/Parametros!$B$37</f>
        <v>0.51</v>
      </c>
      <c r="M2065" s="293">
        <f>M2064/Parametros!$B$37</f>
        <v>0.476</v>
      </c>
      <c r="N2065" s="293">
        <f>N2064/Parametros!$B$37</f>
        <v>0.544</v>
      </c>
      <c r="O2065" s="5"/>
      <c r="P2065" s="5"/>
      <c r="Q2065" s="5"/>
      <c r="R2065" s="5"/>
      <c r="S2065" s="5"/>
      <c r="T2065" s="5"/>
      <c r="U2065" s="5"/>
      <c r="V2065" s="5"/>
      <c r="W2065" s="5"/>
      <c r="X2065" s="5"/>
      <c r="Y2065" s="5"/>
      <c r="Z2065" s="5"/>
    </row>
    <row r="2066" ht="12.0" customHeight="1">
      <c r="A2066" s="92"/>
      <c r="B2066" s="5" t="s">
        <v>635</v>
      </c>
      <c r="C2066" s="293">
        <f>C2065/Parametros!$J$37</f>
        <v>0.07706666667</v>
      </c>
      <c r="D2066" s="293">
        <f>D2065/Parametros!$J$37</f>
        <v>0.068</v>
      </c>
      <c r="E2066" s="293">
        <f>E2065/Parametros!$J$37</f>
        <v>0.0816</v>
      </c>
      <c r="F2066" s="293">
        <f>F2065/Parametros!$J$37</f>
        <v>0.0816</v>
      </c>
      <c r="G2066" s="293">
        <f>G2065/Parametros!$J$37</f>
        <v>0.0816</v>
      </c>
      <c r="H2066" s="293">
        <f>H2065/Parametros!$J$37</f>
        <v>0.07253333333</v>
      </c>
      <c r="I2066" s="293">
        <f>I2065/Parametros!$J$37</f>
        <v>0.0816</v>
      </c>
      <c r="J2066" s="293">
        <f>J2065/Parametros!$J$37</f>
        <v>0.0816</v>
      </c>
      <c r="K2066" s="293">
        <f>K2065/Parametros!$J$37</f>
        <v>0.07706666667</v>
      </c>
      <c r="L2066" s="293">
        <f>L2065/Parametros!$J$37</f>
        <v>0.068</v>
      </c>
      <c r="M2066" s="293">
        <f>M2065/Parametros!$J$37</f>
        <v>0.06346666667</v>
      </c>
      <c r="N2066" s="293">
        <f>N2065/Parametros!$J$37</f>
        <v>0.07253333333</v>
      </c>
      <c r="O2066" s="5"/>
      <c r="P2066" s="5"/>
      <c r="Q2066" s="5"/>
      <c r="R2066" s="5"/>
      <c r="S2066" s="5"/>
      <c r="T2066" s="5"/>
      <c r="U2066" s="5"/>
      <c r="V2066" s="5"/>
      <c r="W2066" s="5"/>
      <c r="X2066" s="5"/>
      <c r="Y2066" s="5"/>
      <c r="Z2066" s="5"/>
    </row>
    <row r="2067" ht="12.0" customHeight="1">
      <c r="A2067" s="92" t="s">
        <v>636</v>
      </c>
      <c r="B2067" s="5"/>
      <c r="C2067" s="293">
        <f t="shared" ref="C2067:N2067" si="607">C2066</f>
        <v>0.07706666667</v>
      </c>
      <c r="D2067" s="293">
        <f t="shared" si="607"/>
        <v>0.068</v>
      </c>
      <c r="E2067" s="293">
        <f t="shared" si="607"/>
        <v>0.0816</v>
      </c>
      <c r="F2067" s="293">
        <f t="shared" si="607"/>
        <v>0.0816</v>
      </c>
      <c r="G2067" s="293">
        <f t="shared" si="607"/>
        <v>0.0816</v>
      </c>
      <c r="H2067" s="293">
        <f t="shared" si="607"/>
        <v>0.07253333333</v>
      </c>
      <c r="I2067" s="293">
        <f t="shared" si="607"/>
        <v>0.0816</v>
      </c>
      <c r="J2067" s="293">
        <f t="shared" si="607"/>
        <v>0.0816</v>
      </c>
      <c r="K2067" s="293">
        <f t="shared" si="607"/>
        <v>0.07706666667</v>
      </c>
      <c r="L2067" s="293">
        <f t="shared" si="607"/>
        <v>0.068</v>
      </c>
      <c r="M2067" s="293">
        <f t="shared" si="607"/>
        <v>0.06346666667</v>
      </c>
      <c r="N2067" s="293">
        <f t="shared" si="607"/>
        <v>0.07253333333</v>
      </c>
      <c r="O2067" s="5"/>
      <c r="P2067" s="5"/>
      <c r="Q2067" s="5"/>
      <c r="R2067" s="5"/>
      <c r="S2067" s="5"/>
      <c r="T2067" s="5"/>
      <c r="U2067" s="5"/>
      <c r="V2067" s="5"/>
      <c r="W2067" s="5"/>
      <c r="X2067" s="5"/>
      <c r="Y2067" s="5"/>
      <c r="Z2067" s="5"/>
    </row>
    <row r="2068" ht="12.0" customHeight="1">
      <c r="A2068" s="92" t="s">
        <v>637</v>
      </c>
      <c r="B2068" s="5"/>
      <c r="C2068" s="293">
        <f>Parametros!$M$112</f>
        <v>15.69230769</v>
      </c>
      <c r="D2068" s="293">
        <f>Parametros!$M$112</f>
        <v>15.69230769</v>
      </c>
      <c r="E2068" s="293">
        <f>Parametros!$M$112</f>
        <v>15.69230769</v>
      </c>
      <c r="F2068" s="293">
        <f>Parametros!$M$112</f>
        <v>15.69230769</v>
      </c>
      <c r="G2068" s="293">
        <f>Parametros!$M$112</f>
        <v>15.69230769</v>
      </c>
      <c r="H2068" s="293">
        <f>Parametros!$M$112</f>
        <v>15.69230769</v>
      </c>
      <c r="I2068" s="293">
        <f>Parametros!$M$112</f>
        <v>15.69230769</v>
      </c>
      <c r="J2068" s="293">
        <f>Parametros!$M$112</f>
        <v>15.69230769</v>
      </c>
      <c r="K2068" s="293">
        <f>Parametros!$M$112</f>
        <v>15.69230769</v>
      </c>
      <c r="L2068" s="293">
        <f>Parametros!$M$112</f>
        <v>15.69230769</v>
      </c>
      <c r="M2068" s="293">
        <f>Parametros!$M$112</f>
        <v>15.69230769</v>
      </c>
      <c r="N2068" s="293">
        <f>Parametros!$M$112</f>
        <v>15.69230769</v>
      </c>
      <c r="O2068" s="5"/>
      <c r="P2068" s="5"/>
      <c r="Q2068" s="5"/>
      <c r="R2068" s="5"/>
      <c r="S2068" s="5"/>
      <c r="T2068" s="5"/>
      <c r="U2068" s="5"/>
      <c r="V2068" s="5"/>
      <c r="W2068" s="5"/>
      <c r="X2068" s="5"/>
      <c r="Y2068" s="5"/>
      <c r="Z2068" s="5"/>
    </row>
    <row r="2069" ht="12.0" customHeight="1">
      <c r="A2069" s="92" t="s">
        <v>640</v>
      </c>
      <c r="B2069" s="5"/>
      <c r="C2069" s="203">
        <f>'Resumen Capacidad'!$B$220</f>
        <v>1</v>
      </c>
      <c r="D2069" s="203">
        <f>'Resumen Capacidad'!$B$220</f>
        <v>1</v>
      </c>
      <c r="E2069" s="203">
        <f>'Resumen Capacidad'!$B$220</f>
        <v>1</v>
      </c>
      <c r="F2069" s="203">
        <f>'Resumen Capacidad'!$B$220</f>
        <v>1</v>
      </c>
      <c r="G2069" s="203">
        <f>'Resumen Capacidad'!$B$220</f>
        <v>1</v>
      </c>
      <c r="H2069" s="203">
        <f>'Resumen Capacidad'!$B$220</f>
        <v>1</v>
      </c>
      <c r="I2069" s="203">
        <f>'Resumen Capacidad'!$B$220</f>
        <v>1</v>
      </c>
      <c r="J2069" s="203">
        <f>'Resumen Capacidad'!$B$220</f>
        <v>1</v>
      </c>
      <c r="K2069" s="203">
        <f>'Resumen Capacidad'!$B$220</f>
        <v>1</v>
      </c>
      <c r="L2069" s="203">
        <f>'Resumen Capacidad'!$B$220</f>
        <v>1</v>
      </c>
      <c r="M2069" s="203">
        <f>'Resumen Capacidad'!$B$220</f>
        <v>1</v>
      </c>
      <c r="N2069" s="203">
        <f>'Resumen Capacidad'!$B$220</f>
        <v>1</v>
      </c>
      <c r="O2069" s="5"/>
      <c r="P2069" s="5"/>
      <c r="Q2069" s="5"/>
      <c r="R2069" s="5"/>
      <c r="S2069" s="5"/>
      <c r="T2069" s="5"/>
      <c r="U2069" s="5"/>
      <c r="V2069" s="5"/>
      <c r="W2069" s="5"/>
      <c r="X2069" s="5"/>
      <c r="Y2069" s="5"/>
      <c r="Z2069" s="5"/>
    </row>
    <row r="2070" ht="12.0" customHeight="1">
      <c r="A2070" s="92" t="s">
        <v>642</v>
      </c>
      <c r="B2070" s="5"/>
      <c r="C2070" s="203">
        <f t="shared" ref="C2070:N2070" si="608">C2068*C2069</f>
        <v>15.69230769</v>
      </c>
      <c r="D2070" s="203">
        <f t="shared" si="608"/>
        <v>15.69230769</v>
      </c>
      <c r="E2070" s="203">
        <f t="shared" si="608"/>
        <v>15.69230769</v>
      </c>
      <c r="F2070" s="203">
        <f t="shared" si="608"/>
        <v>15.69230769</v>
      </c>
      <c r="G2070" s="203">
        <f t="shared" si="608"/>
        <v>15.69230769</v>
      </c>
      <c r="H2070" s="203">
        <f t="shared" si="608"/>
        <v>15.69230769</v>
      </c>
      <c r="I2070" s="203">
        <f t="shared" si="608"/>
        <v>15.69230769</v>
      </c>
      <c r="J2070" s="203">
        <f t="shared" si="608"/>
        <v>15.69230769</v>
      </c>
      <c r="K2070" s="203">
        <f t="shared" si="608"/>
        <v>15.69230769</v>
      </c>
      <c r="L2070" s="203">
        <f t="shared" si="608"/>
        <v>15.69230769</v>
      </c>
      <c r="M2070" s="203">
        <f t="shared" si="608"/>
        <v>15.69230769</v>
      </c>
      <c r="N2070" s="203">
        <f t="shared" si="608"/>
        <v>15.69230769</v>
      </c>
      <c r="O2070" s="5"/>
      <c r="P2070" s="5"/>
      <c r="Q2070" s="5"/>
      <c r="R2070" s="5"/>
      <c r="S2070" s="5"/>
      <c r="T2070" s="5"/>
      <c r="U2070" s="5"/>
      <c r="V2070" s="5"/>
      <c r="W2070" s="5"/>
      <c r="X2070" s="5"/>
      <c r="Y2070" s="5"/>
      <c r="Z2070" s="5"/>
    </row>
    <row r="2071" ht="12.0" customHeight="1">
      <c r="A2071" s="92" t="s">
        <v>643</v>
      </c>
      <c r="B2071" s="5"/>
      <c r="C2071" s="294">
        <f t="shared" ref="C2071:N2071" si="609">IF(C2070=0,0,C2067/C2070)</f>
        <v>0.004911111111</v>
      </c>
      <c r="D2071" s="294">
        <f t="shared" si="609"/>
        <v>0.004333333333</v>
      </c>
      <c r="E2071" s="294">
        <f t="shared" si="609"/>
        <v>0.0052</v>
      </c>
      <c r="F2071" s="294">
        <f t="shared" si="609"/>
        <v>0.0052</v>
      </c>
      <c r="G2071" s="294">
        <f t="shared" si="609"/>
        <v>0.0052</v>
      </c>
      <c r="H2071" s="294">
        <f t="shared" si="609"/>
        <v>0.004622222222</v>
      </c>
      <c r="I2071" s="294">
        <f t="shared" si="609"/>
        <v>0.0052</v>
      </c>
      <c r="J2071" s="294">
        <f t="shared" si="609"/>
        <v>0.0052</v>
      </c>
      <c r="K2071" s="294">
        <f t="shared" si="609"/>
        <v>0.004911111111</v>
      </c>
      <c r="L2071" s="294">
        <f t="shared" si="609"/>
        <v>0.004333333333</v>
      </c>
      <c r="M2071" s="294">
        <f t="shared" si="609"/>
        <v>0.004044444444</v>
      </c>
      <c r="N2071" s="294">
        <f t="shared" si="609"/>
        <v>0.004622222222</v>
      </c>
      <c r="O2071" s="5"/>
      <c r="P2071" s="5"/>
      <c r="Q2071" s="5"/>
      <c r="R2071" s="5"/>
      <c r="S2071" s="5"/>
      <c r="T2071" s="5"/>
      <c r="U2071" s="5"/>
      <c r="V2071" s="5"/>
      <c r="W2071" s="5"/>
      <c r="X2071" s="5"/>
      <c r="Y2071" s="5"/>
      <c r="Z2071" s="5"/>
    </row>
    <row r="2072" ht="12.0" customHeight="1">
      <c r="A2072" s="10" t="s">
        <v>1644</v>
      </c>
      <c r="B2072" s="5"/>
      <c r="C2072" s="206"/>
      <c r="D2072" s="206"/>
      <c r="E2072" s="206"/>
      <c r="F2072" s="206"/>
      <c r="G2072" s="206"/>
      <c r="H2072" s="206"/>
      <c r="I2072" s="206"/>
      <c r="J2072" s="206"/>
      <c r="K2072" s="206"/>
      <c r="L2072" s="206"/>
      <c r="M2072" s="206"/>
      <c r="N2072" s="206"/>
      <c r="O2072" s="5"/>
      <c r="P2072" s="5"/>
      <c r="Q2072" s="5"/>
      <c r="R2072" s="5"/>
      <c r="S2072" s="5"/>
      <c r="T2072" s="5"/>
      <c r="U2072" s="5"/>
      <c r="V2072" s="5"/>
      <c r="W2072" s="5"/>
      <c r="X2072" s="5"/>
      <c r="Y2072" s="5"/>
      <c r="Z2072" s="5"/>
    </row>
    <row r="2073" ht="12.0" customHeight="1">
      <c r="A2073" s="92" t="s">
        <v>630</v>
      </c>
      <c r="B2073" s="5" t="s">
        <v>631</v>
      </c>
      <c r="C2073" s="206" t="s">
        <v>3</v>
      </c>
      <c r="D2073" s="206" t="s">
        <v>4</v>
      </c>
      <c r="E2073" s="206" t="s">
        <v>507</v>
      </c>
      <c r="F2073" s="206" t="s">
        <v>508</v>
      </c>
      <c r="G2073" s="206" t="s">
        <v>509</v>
      </c>
      <c r="H2073" s="206" t="s">
        <v>510</v>
      </c>
      <c r="I2073" s="206" t="s">
        <v>511</v>
      </c>
      <c r="J2073" s="206" t="s">
        <v>512</v>
      </c>
      <c r="K2073" s="206" t="s">
        <v>513</v>
      </c>
      <c r="L2073" s="206" t="s">
        <v>514</v>
      </c>
      <c r="M2073" s="206" t="s">
        <v>515</v>
      </c>
      <c r="N2073" s="206" t="s">
        <v>516</v>
      </c>
      <c r="O2073" s="5"/>
      <c r="P2073" s="5"/>
      <c r="Q2073" s="5"/>
      <c r="R2073" s="5"/>
      <c r="S2073" s="5"/>
      <c r="T2073" s="5"/>
      <c r="U2073" s="5"/>
      <c r="V2073" s="5"/>
      <c r="W2073" s="5"/>
      <c r="X2073" s="5"/>
      <c r="Y2073" s="5"/>
      <c r="Z2073" s="5"/>
    </row>
    <row r="2074" ht="12.0" customHeight="1">
      <c r="A2074" s="92" t="s">
        <v>1643</v>
      </c>
      <c r="B2074" s="5" t="s">
        <v>633</v>
      </c>
      <c r="C2074" s="203">
        <f t="shared" ref="C2074:N2074" si="610">C2059</f>
        <v>11.56</v>
      </c>
      <c r="D2074" s="203">
        <f t="shared" si="610"/>
        <v>10.2</v>
      </c>
      <c r="E2074" s="203">
        <f t="shared" si="610"/>
        <v>12.24</v>
      </c>
      <c r="F2074" s="203">
        <f t="shared" si="610"/>
        <v>12.24</v>
      </c>
      <c r="G2074" s="203">
        <f t="shared" si="610"/>
        <v>12.24</v>
      </c>
      <c r="H2074" s="203">
        <f t="shared" si="610"/>
        <v>10.88</v>
      </c>
      <c r="I2074" s="203">
        <f t="shared" si="610"/>
        <v>12.24</v>
      </c>
      <c r="J2074" s="203">
        <f t="shared" si="610"/>
        <v>12.24</v>
      </c>
      <c r="K2074" s="203">
        <f t="shared" si="610"/>
        <v>11.56</v>
      </c>
      <c r="L2074" s="203">
        <f t="shared" si="610"/>
        <v>10.2</v>
      </c>
      <c r="M2074" s="203">
        <f t="shared" si="610"/>
        <v>9.52</v>
      </c>
      <c r="N2074" s="203">
        <f t="shared" si="610"/>
        <v>10.88</v>
      </c>
      <c r="O2074" s="5"/>
      <c r="P2074" s="5"/>
      <c r="Q2074" s="5"/>
      <c r="R2074" s="5"/>
      <c r="S2074" s="5"/>
      <c r="T2074" s="5"/>
      <c r="U2074" s="5"/>
      <c r="V2074" s="5"/>
      <c r="W2074" s="5"/>
      <c r="X2074" s="5"/>
      <c r="Y2074" s="5"/>
      <c r="Z2074" s="5"/>
    </row>
    <row r="2075" ht="12.0" customHeight="1">
      <c r="A2075" s="92"/>
      <c r="B2075" s="5" t="s">
        <v>634</v>
      </c>
      <c r="C2075" s="293">
        <f>C2074/Parametros!$B$37</f>
        <v>0.578</v>
      </c>
      <c r="D2075" s="293">
        <f>D2074/Parametros!$B$37</f>
        <v>0.51</v>
      </c>
      <c r="E2075" s="293">
        <f>E2074/Parametros!$B$37</f>
        <v>0.612</v>
      </c>
      <c r="F2075" s="293">
        <f>F2074/Parametros!$B$37</f>
        <v>0.612</v>
      </c>
      <c r="G2075" s="293">
        <f>G2074/Parametros!$B$37</f>
        <v>0.612</v>
      </c>
      <c r="H2075" s="293">
        <f>H2074/Parametros!$B$37</f>
        <v>0.544</v>
      </c>
      <c r="I2075" s="293">
        <f>I2074/Parametros!$B$37</f>
        <v>0.612</v>
      </c>
      <c r="J2075" s="293">
        <f>J2074/Parametros!$B$37</f>
        <v>0.612</v>
      </c>
      <c r="K2075" s="293">
        <f>K2074/Parametros!$B$37</f>
        <v>0.578</v>
      </c>
      <c r="L2075" s="293">
        <f>L2074/Parametros!$B$37</f>
        <v>0.51</v>
      </c>
      <c r="M2075" s="293">
        <f>M2074/Parametros!$B$37</f>
        <v>0.476</v>
      </c>
      <c r="N2075" s="293">
        <f>N2074/Parametros!$B$37</f>
        <v>0.544</v>
      </c>
      <c r="O2075" s="5"/>
      <c r="P2075" s="5"/>
      <c r="Q2075" s="5"/>
      <c r="R2075" s="5"/>
      <c r="S2075" s="5"/>
      <c r="T2075" s="5"/>
      <c r="U2075" s="5"/>
      <c r="V2075" s="5"/>
      <c r="W2075" s="5"/>
      <c r="X2075" s="5"/>
      <c r="Y2075" s="5"/>
      <c r="Z2075" s="5"/>
    </row>
    <row r="2076" ht="12.0" customHeight="1">
      <c r="A2076" s="92"/>
      <c r="B2076" s="5" t="s">
        <v>635</v>
      </c>
      <c r="C2076" s="293">
        <f>C2075/Parametros!$J$37</f>
        <v>0.07706666667</v>
      </c>
      <c r="D2076" s="293">
        <f>D2075/Parametros!$J$37</f>
        <v>0.068</v>
      </c>
      <c r="E2076" s="293">
        <f>E2075/Parametros!$J$37</f>
        <v>0.0816</v>
      </c>
      <c r="F2076" s="293">
        <f>F2075/Parametros!$J$37</f>
        <v>0.0816</v>
      </c>
      <c r="G2076" s="293">
        <f>G2075/Parametros!$J$37</f>
        <v>0.0816</v>
      </c>
      <c r="H2076" s="293">
        <f>H2075/Parametros!$J$37</f>
        <v>0.07253333333</v>
      </c>
      <c r="I2076" s="293">
        <f>I2075/Parametros!$J$37</f>
        <v>0.0816</v>
      </c>
      <c r="J2076" s="293">
        <f>J2075/Parametros!$J$37</f>
        <v>0.0816</v>
      </c>
      <c r="K2076" s="293">
        <f>K2075/Parametros!$J$37</f>
        <v>0.07706666667</v>
      </c>
      <c r="L2076" s="293">
        <f>L2075/Parametros!$J$37</f>
        <v>0.068</v>
      </c>
      <c r="M2076" s="293">
        <f>M2075/Parametros!$J$37</f>
        <v>0.06346666667</v>
      </c>
      <c r="N2076" s="293">
        <f>N2075/Parametros!$J$37</f>
        <v>0.07253333333</v>
      </c>
      <c r="O2076" s="5"/>
      <c r="P2076" s="5"/>
      <c r="Q2076" s="5"/>
      <c r="R2076" s="5"/>
      <c r="S2076" s="5"/>
      <c r="T2076" s="5"/>
      <c r="U2076" s="5"/>
      <c r="V2076" s="5"/>
      <c r="W2076" s="5"/>
      <c r="X2076" s="5"/>
      <c r="Y2076" s="5"/>
      <c r="Z2076" s="5"/>
    </row>
    <row r="2077" ht="12.0" customHeight="1">
      <c r="A2077" s="92" t="s">
        <v>636</v>
      </c>
      <c r="B2077" s="5"/>
      <c r="C2077" s="293">
        <f t="shared" ref="C2077:N2077" si="611">C2076</f>
        <v>0.07706666667</v>
      </c>
      <c r="D2077" s="293">
        <f t="shared" si="611"/>
        <v>0.068</v>
      </c>
      <c r="E2077" s="293">
        <f t="shared" si="611"/>
        <v>0.0816</v>
      </c>
      <c r="F2077" s="293">
        <f t="shared" si="611"/>
        <v>0.0816</v>
      </c>
      <c r="G2077" s="293">
        <f t="shared" si="611"/>
        <v>0.0816</v>
      </c>
      <c r="H2077" s="293">
        <f t="shared" si="611"/>
        <v>0.07253333333</v>
      </c>
      <c r="I2077" s="293">
        <f t="shared" si="611"/>
        <v>0.0816</v>
      </c>
      <c r="J2077" s="293">
        <f t="shared" si="611"/>
        <v>0.0816</v>
      </c>
      <c r="K2077" s="293">
        <f t="shared" si="611"/>
        <v>0.07706666667</v>
      </c>
      <c r="L2077" s="293">
        <f t="shared" si="611"/>
        <v>0.068</v>
      </c>
      <c r="M2077" s="293">
        <f t="shared" si="611"/>
        <v>0.06346666667</v>
      </c>
      <c r="N2077" s="293">
        <f t="shared" si="611"/>
        <v>0.07253333333</v>
      </c>
      <c r="O2077" s="5"/>
      <c r="P2077" s="5"/>
      <c r="Q2077" s="5"/>
      <c r="R2077" s="5"/>
      <c r="S2077" s="5"/>
      <c r="T2077" s="5"/>
      <c r="U2077" s="5"/>
      <c r="V2077" s="5"/>
      <c r="W2077" s="5"/>
      <c r="X2077" s="5"/>
      <c r="Y2077" s="5"/>
      <c r="Z2077" s="5"/>
    </row>
    <row r="2078" ht="12.0" customHeight="1">
      <c r="A2078" s="92" t="s">
        <v>637</v>
      </c>
      <c r="B2078" s="5"/>
      <c r="C2078" s="293">
        <f>Parametros!$M$113</f>
        <v>1.882352941</v>
      </c>
      <c r="D2078" s="293">
        <f>Parametros!$M$113</f>
        <v>1.882352941</v>
      </c>
      <c r="E2078" s="293">
        <f>Parametros!$M$113</f>
        <v>1.882352941</v>
      </c>
      <c r="F2078" s="293">
        <f>Parametros!$M$113</f>
        <v>1.882352941</v>
      </c>
      <c r="G2078" s="293">
        <f>Parametros!$M$113</f>
        <v>1.882352941</v>
      </c>
      <c r="H2078" s="293">
        <f>Parametros!$M$113</f>
        <v>1.882352941</v>
      </c>
      <c r="I2078" s="293">
        <f>Parametros!$M$113</f>
        <v>1.882352941</v>
      </c>
      <c r="J2078" s="293">
        <f>Parametros!$M$113</f>
        <v>1.882352941</v>
      </c>
      <c r="K2078" s="293">
        <f>Parametros!$M$113</f>
        <v>1.882352941</v>
      </c>
      <c r="L2078" s="293">
        <f>Parametros!$M$113</f>
        <v>1.882352941</v>
      </c>
      <c r="M2078" s="293">
        <f>Parametros!$M$113</f>
        <v>1.882352941</v>
      </c>
      <c r="N2078" s="293">
        <f>Parametros!$M$113</f>
        <v>1.882352941</v>
      </c>
      <c r="O2078" s="5"/>
      <c r="P2078" s="5"/>
      <c r="Q2078" s="5"/>
      <c r="R2078" s="5"/>
      <c r="S2078" s="5"/>
      <c r="T2078" s="5"/>
      <c r="U2078" s="5"/>
      <c r="V2078" s="5"/>
      <c r="W2078" s="5"/>
      <c r="X2078" s="5"/>
      <c r="Y2078" s="5"/>
      <c r="Z2078" s="5"/>
    </row>
    <row r="2079" ht="12.0" customHeight="1">
      <c r="A2079" s="92" t="s">
        <v>640</v>
      </c>
      <c r="B2079" s="5"/>
      <c r="C2079" s="203">
        <f>'Resumen Capacidad'!$B$221</f>
        <v>1</v>
      </c>
      <c r="D2079" s="203">
        <f>'Resumen Capacidad'!$B$221</f>
        <v>1</v>
      </c>
      <c r="E2079" s="203">
        <f>'Resumen Capacidad'!$B$221</f>
        <v>1</v>
      </c>
      <c r="F2079" s="203">
        <f>'Resumen Capacidad'!$B$221</f>
        <v>1</v>
      </c>
      <c r="G2079" s="203">
        <f>'Resumen Capacidad'!$B$221</f>
        <v>1</v>
      </c>
      <c r="H2079" s="203">
        <f>'Resumen Capacidad'!$B$221</f>
        <v>1</v>
      </c>
      <c r="I2079" s="203">
        <f>'Resumen Capacidad'!$B$221</f>
        <v>1</v>
      </c>
      <c r="J2079" s="203">
        <f>'Resumen Capacidad'!$B$221</f>
        <v>1</v>
      </c>
      <c r="K2079" s="203">
        <f>'Resumen Capacidad'!$B$221</f>
        <v>1</v>
      </c>
      <c r="L2079" s="203">
        <f>'Resumen Capacidad'!$B$221</f>
        <v>1</v>
      </c>
      <c r="M2079" s="203">
        <f>'Resumen Capacidad'!$B$221</f>
        <v>1</v>
      </c>
      <c r="N2079" s="203">
        <f>'Resumen Capacidad'!$B$221</f>
        <v>1</v>
      </c>
      <c r="O2079" s="5"/>
      <c r="P2079" s="5"/>
      <c r="Q2079" s="5"/>
      <c r="R2079" s="5"/>
      <c r="S2079" s="5"/>
      <c r="T2079" s="5"/>
      <c r="U2079" s="5"/>
      <c r="V2079" s="5"/>
      <c r="W2079" s="5"/>
      <c r="X2079" s="5"/>
      <c r="Y2079" s="5"/>
      <c r="Z2079" s="5"/>
    </row>
    <row r="2080" ht="12.0" customHeight="1">
      <c r="A2080" s="92" t="s">
        <v>642</v>
      </c>
      <c r="B2080" s="5"/>
      <c r="C2080" s="203">
        <f t="shared" ref="C2080:N2080" si="612">C2078*C2079</f>
        <v>1.882352941</v>
      </c>
      <c r="D2080" s="203">
        <f t="shared" si="612"/>
        <v>1.882352941</v>
      </c>
      <c r="E2080" s="203">
        <f t="shared" si="612"/>
        <v>1.882352941</v>
      </c>
      <c r="F2080" s="203">
        <f t="shared" si="612"/>
        <v>1.882352941</v>
      </c>
      <c r="G2080" s="203">
        <f t="shared" si="612"/>
        <v>1.882352941</v>
      </c>
      <c r="H2080" s="203">
        <f t="shared" si="612"/>
        <v>1.882352941</v>
      </c>
      <c r="I2080" s="203">
        <f t="shared" si="612"/>
        <v>1.882352941</v>
      </c>
      <c r="J2080" s="203">
        <f t="shared" si="612"/>
        <v>1.882352941</v>
      </c>
      <c r="K2080" s="203">
        <f t="shared" si="612"/>
        <v>1.882352941</v>
      </c>
      <c r="L2080" s="203">
        <f t="shared" si="612"/>
        <v>1.882352941</v>
      </c>
      <c r="M2080" s="203">
        <f t="shared" si="612"/>
        <v>1.882352941</v>
      </c>
      <c r="N2080" s="203">
        <f t="shared" si="612"/>
        <v>1.882352941</v>
      </c>
      <c r="O2080" s="5"/>
      <c r="P2080" s="5"/>
      <c r="Q2080" s="5"/>
      <c r="R2080" s="5"/>
      <c r="S2080" s="5"/>
      <c r="T2080" s="5"/>
      <c r="U2080" s="5"/>
      <c r="V2080" s="5"/>
      <c r="W2080" s="5"/>
      <c r="X2080" s="5"/>
      <c r="Y2080" s="5"/>
      <c r="Z2080" s="5"/>
    </row>
    <row r="2081" ht="12.0" customHeight="1">
      <c r="A2081" s="92" t="s">
        <v>643</v>
      </c>
      <c r="B2081" s="5"/>
      <c r="C2081" s="294">
        <f t="shared" ref="C2081:N2081" si="613">IF(C2080=0,0,C2077/C2080)</f>
        <v>0.04094166667</v>
      </c>
      <c r="D2081" s="294">
        <f t="shared" si="613"/>
        <v>0.036125</v>
      </c>
      <c r="E2081" s="294">
        <f t="shared" si="613"/>
        <v>0.04335</v>
      </c>
      <c r="F2081" s="294">
        <f t="shared" si="613"/>
        <v>0.04335</v>
      </c>
      <c r="G2081" s="294">
        <f t="shared" si="613"/>
        <v>0.04335</v>
      </c>
      <c r="H2081" s="294">
        <f t="shared" si="613"/>
        <v>0.03853333333</v>
      </c>
      <c r="I2081" s="294">
        <f t="shared" si="613"/>
        <v>0.04335</v>
      </c>
      <c r="J2081" s="294">
        <f t="shared" si="613"/>
        <v>0.04335</v>
      </c>
      <c r="K2081" s="294">
        <f t="shared" si="613"/>
        <v>0.04094166667</v>
      </c>
      <c r="L2081" s="294">
        <f t="shared" si="613"/>
        <v>0.036125</v>
      </c>
      <c r="M2081" s="294">
        <f t="shared" si="613"/>
        <v>0.03371666667</v>
      </c>
      <c r="N2081" s="294">
        <f t="shared" si="613"/>
        <v>0.03853333333</v>
      </c>
      <c r="O2081" s="5"/>
      <c r="P2081" s="5"/>
      <c r="Q2081" s="5"/>
      <c r="R2081" s="5"/>
      <c r="S2081" s="5"/>
      <c r="T2081" s="5"/>
      <c r="U2081" s="5"/>
      <c r="V2081" s="5"/>
      <c r="W2081" s="5"/>
      <c r="X2081" s="5"/>
      <c r="Y2081" s="5"/>
      <c r="Z2081" s="5"/>
    </row>
    <row r="2082" ht="12.0" customHeight="1">
      <c r="A2082" s="10" t="s">
        <v>1645</v>
      </c>
      <c r="B2082" s="5"/>
      <c r="C2082" s="206"/>
      <c r="D2082" s="206"/>
      <c r="E2082" s="206"/>
      <c r="F2082" s="206"/>
      <c r="G2082" s="206"/>
      <c r="H2082" s="206"/>
      <c r="I2082" s="206"/>
      <c r="J2082" s="206"/>
      <c r="K2082" s="206"/>
      <c r="L2082" s="206"/>
      <c r="M2082" s="206"/>
      <c r="N2082" s="206"/>
      <c r="O2082" s="5"/>
      <c r="P2082" s="5"/>
      <c r="Q2082" s="5"/>
      <c r="R2082" s="5"/>
      <c r="S2082" s="5"/>
      <c r="T2082" s="5"/>
      <c r="U2082" s="5"/>
      <c r="V2082" s="5"/>
      <c r="W2082" s="5"/>
      <c r="X2082" s="5"/>
      <c r="Y2082" s="5"/>
      <c r="Z2082" s="5"/>
    </row>
    <row r="2083" ht="12.0" customHeight="1">
      <c r="A2083" s="92" t="s">
        <v>630</v>
      </c>
      <c r="B2083" s="5" t="s">
        <v>631</v>
      </c>
      <c r="C2083" s="206" t="s">
        <v>3</v>
      </c>
      <c r="D2083" s="206" t="s">
        <v>4</v>
      </c>
      <c r="E2083" s="206" t="s">
        <v>507</v>
      </c>
      <c r="F2083" s="206" t="s">
        <v>508</v>
      </c>
      <c r="G2083" s="206" t="s">
        <v>509</v>
      </c>
      <c r="H2083" s="206" t="s">
        <v>510</v>
      </c>
      <c r="I2083" s="206" t="s">
        <v>511</v>
      </c>
      <c r="J2083" s="206" t="s">
        <v>512</v>
      </c>
      <c r="K2083" s="206" t="s">
        <v>513</v>
      </c>
      <c r="L2083" s="206" t="s">
        <v>514</v>
      </c>
      <c r="M2083" s="206" t="s">
        <v>515</v>
      </c>
      <c r="N2083" s="206" t="s">
        <v>516</v>
      </c>
      <c r="O2083" s="5"/>
      <c r="P2083" s="5"/>
      <c r="Q2083" s="5"/>
      <c r="R2083" s="5"/>
      <c r="S2083" s="5"/>
      <c r="T2083" s="5"/>
      <c r="U2083" s="5"/>
      <c r="V2083" s="5"/>
      <c r="W2083" s="5"/>
      <c r="X2083" s="5"/>
      <c r="Y2083" s="5"/>
      <c r="Z2083" s="5"/>
    </row>
    <row r="2084" ht="12.0" customHeight="1">
      <c r="A2084" s="92" t="s">
        <v>1643</v>
      </c>
      <c r="B2084" s="5" t="s">
        <v>633</v>
      </c>
      <c r="C2084" s="203">
        <f t="shared" ref="C2084:N2084" si="614">C2059</f>
        <v>11.56</v>
      </c>
      <c r="D2084" s="203">
        <f t="shared" si="614"/>
        <v>10.2</v>
      </c>
      <c r="E2084" s="203">
        <f t="shared" si="614"/>
        <v>12.24</v>
      </c>
      <c r="F2084" s="203">
        <f t="shared" si="614"/>
        <v>12.24</v>
      </c>
      <c r="G2084" s="203">
        <f t="shared" si="614"/>
        <v>12.24</v>
      </c>
      <c r="H2084" s="203">
        <f t="shared" si="614"/>
        <v>10.88</v>
      </c>
      <c r="I2084" s="203">
        <f t="shared" si="614"/>
        <v>12.24</v>
      </c>
      <c r="J2084" s="203">
        <f t="shared" si="614"/>
        <v>12.24</v>
      </c>
      <c r="K2084" s="203">
        <f t="shared" si="614"/>
        <v>11.56</v>
      </c>
      <c r="L2084" s="203">
        <f t="shared" si="614"/>
        <v>10.2</v>
      </c>
      <c r="M2084" s="203">
        <f t="shared" si="614"/>
        <v>9.52</v>
      </c>
      <c r="N2084" s="203">
        <f t="shared" si="614"/>
        <v>10.88</v>
      </c>
      <c r="O2084" s="5"/>
      <c r="P2084" s="5"/>
      <c r="Q2084" s="5"/>
      <c r="R2084" s="5"/>
      <c r="S2084" s="5"/>
      <c r="T2084" s="5"/>
      <c r="U2084" s="5"/>
      <c r="V2084" s="5"/>
      <c r="W2084" s="5"/>
      <c r="X2084" s="5"/>
      <c r="Y2084" s="5"/>
      <c r="Z2084" s="5"/>
    </row>
    <row r="2085" ht="12.0" customHeight="1">
      <c r="A2085" s="92"/>
      <c r="B2085" s="5" t="s">
        <v>634</v>
      </c>
      <c r="C2085" s="293">
        <f>C2084/Parametros!$B$37</f>
        <v>0.578</v>
      </c>
      <c r="D2085" s="293">
        <f>D2084/Parametros!$B$37</f>
        <v>0.51</v>
      </c>
      <c r="E2085" s="293">
        <f>E2084/Parametros!$B$37</f>
        <v>0.612</v>
      </c>
      <c r="F2085" s="293">
        <f>F2084/Parametros!$B$37</f>
        <v>0.612</v>
      </c>
      <c r="G2085" s="293">
        <f>G2084/Parametros!$B$37</f>
        <v>0.612</v>
      </c>
      <c r="H2085" s="293">
        <f>H2084/Parametros!$B$37</f>
        <v>0.544</v>
      </c>
      <c r="I2085" s="293">
        <f>I2084/Parametros!$B$37</f>
        <v>0.612</v>
      </c>
      <c r="J2085" s="293">
        <f>J2084/Parametros!$B$37</f>
        <v>0.612</v>
      </c>
      <c r="K2085" s="293">
        <f>K2084/Parametros!$B$37</f>
        <v>0.578</v>
      </c>
      <c r="L2085" s="293">
        <f>L2084/Parametros!$B$37</f>
        <v>0.51</v>
      </c>
      <c r="M2085" s="293">
        <f>M2084/Parametros!$B$37</f>
        <v>0.476</v>
      </c>
      <c r="N2085" s="293">
        <f>N2084/Parametros!$B$37</f>
        <v>0.544</v>
      </c>
      <c r="O2085" s="5"/>
      <c r="P2085" s="5"/>
      <c r="Q2085" s="5"/>
      <c r="R2085" s="5"/>
      <c r="S2085" s="5"/>
      <c r="T2085" s="5"/>
      <c r="U2085" s="5"/>
      <c r="V2085" s="5"/>
      <c r="W2085" s="5"/>
      <c r="X2085" s="5"/>
      <c r="Y2085" s="5"/>
      <c r="Z2085" s="5"/>
    </row>
    <row r="2086" ht="12.0" customHeight="1">
      <c r="A2086" s="92"/>
      <c r="B2086" s="5" t="s">
        <v>635</v>
      </c>
      <c r="C2086" s="293">
        <f>C2085/Parametros!$J$37</f>
        <v>0.07706666667</v>
      </c>
      <c r="D2086" s="293">
        <f>D2085/Parametros!$J$37</f>
        <v>0.068</v>
      </c>
      <c r="E2086" s="293">
        <f>E2085/Parametros!$J$37</f>
        <v>0.0816</v>
      </c>
      <c r="F2086" s="293">
        <f>F2085/Parametros!$J$37</f>
        <v>0.0816</v>
      </c>
      <c r="G2086" s="293">
        <f>G2085/Parametros!$J$37</f>
        <v>0.0816</v>
      </c>
      <c r="H2086" s="293">
        <f>H2085/Parametros!$J$37</f>
        <v>0.07253333333</v>
      </c>
      <c r="I2086" s="293">
        <f>I2085/Parametros!$J$37</f>
        <v>0.0816</v>
      </c>
      <c r="J2086" s="293">
        <f>J2085/Parametros!$J$37</f>
        <v>0.0816</v>
      </c>
      <c r="K2086" s="293">
        <f>K2085/Parametros!$J$37</f>
        <v>0.07706666667</v>
      </c>
      <c r="L2086" s="293">
        <f>L2085/Parametros!$J$37</f>
        <v>0.068</v>
      </c>
      <c r="M2086" s="293">
        <f>M2085/Parametros!$J$37</f>
        <v>0.06346666667</v>
      </c>
      <c r="N2086" s="293">
        <f>N2085/Parametros!$J$37</f>
        <v>0.07253333333</v>
      </c>
      <c r="O2086" s="5"/>
      <c r="P2086" s="5"/>
      <c r="Q2086" s="5"/>
      <c r="R2086" s="5"/>
      <c r="S2086" s="5"/>
      <c r="T2086" s="5"/>
      <c r="U2086" s="5"/>
      <c r="V2086" s="5"/>
      <c r="W2086" s="5"/>
      <c r="X2086" s="5"/>
      <c r="Y2086" s="5"/>
      <c r="Z2086" s="5"/>
    </row>
    <row r="2087" ht="12.0" customHeight="1">
      <c r="A2087" s="92" t="s">
        <v>636</v>
      </c>
      <c r="B2087" s="5"/>
      <c r="C2087" s="293">
        <f t="shared" ref="C2087:N2087" si="615">C2086</f>
        <v>0.07706666667</v>
      </c>
      <c r="D2087" s="293">
        <f t="shared" si="615"/>
        <v>0.068</v>
      </c>
      <c r="E2087" s="293">
        <f t="shared" si="615"/>
        <v>0.0816</v>
      </c>
      <c r="F2087" s="293">
        <f t="shared" si="615"/>
        <v>0.0816</v>
      </c>
      <c r="G2087" s="293">
        <f t="shared" si="615"/>
        <v>0.0816</v>
      </c>
      <c r="H2087" s="293">
        <f t="shared" si="615"/>
        <v>0.07253333333</v>
      </c>
      <c r="I2087" s="293">
        <f t="shared" si="615"/>
        <v>0.0816</v>
      </c>
      <c r="J2087" s="293">
        <f t="shared" si="615"/>
        <v>0.0816</v>
      </c>
      <c r="K2087" s="293">
        <f t="shared" si="615"/>
        <v>0.07706666667</v>
      </c>
      <c r="L2087" s="293">
        <f t="shared" si="615"/>
        <v>0.068</v>
      </c>
      <c r="M2087" s="293">
        <f t="shared" si="615"/>
        <v>0.06346666667</v>
      </c>
      <c r="N2087" s="293">
        <f t="shared" si="615"/>
        <v>0.07253333333</v>
      </c>
      <c r="O2087" s="5"/>
      <c r="P2087" s="5"/>
      <c r="Q2087" s="5"/>
      <c r="R2087" s="5"/>
      <c r="S2087" s="5"/>
      <c r="T2087" s="5"/>
      <c r="U2087" s="5"/>
      <c r="V2087" s="5"/>
      <c r="W2087" s="5"/>
      <c r="X2087" s="5"/>
      <c r="Y2087" s="5"/>
      <c r="Z2087" s="5"/>
    </row>
    <row r="2088" ht="12.0" customHeight="1">
      <c r="A2088" s="92" t="s">
        <v>637</v>
      </c>
      <c r="B2088" s="5"/>
      <c r="C2088" s="293">
        <f>Parametros!$M$114</f>
        <v>19.74193548</v>
      </c>
      <c r="D2088" s="293">
        <f>Parametros!$M$114</f>
        <v>19.74193548</v>
      </c>
      <c r="E2088" s="293">
        <f>Parametros!$M$114</f>
        <v>19.74193548</v>
      </c>
      <c r="F2088" s="293">
        <f>Parametros!$M$114</f>
        <v>19.74193548</v>
      </c>
      <c r="G2088" s="293">
        <f>Parametros!$M$114</f>
        <v>19.74193548</v>
      </c>
      <c r="H2088" s="293">
        <f>Parametros!$M$114</f>
        <v>19.74193548</v>
      </c>
      <c r="I2088" s="293">
        <f>Parametros!$M$114</f>
        <v>19.74193548</v>
      </c>
      <c r="J2088" s="293">
        <f>Parametros!$M$114</f>
        <v>19.74193548</v>
      </c>
      <c r="K2088" s="293">
        <f>Parametros!$M$114</f>
        <v>19.74193548</v>
      </c>
      <c r="L2088" s="293">
        <f>Parametros!$M$114</f>
        <v>19.74193548</v>
      </c>
      <c r="M2088" s="293">
        <f>Parametros!$M$114</f>
        <v>19.74193548</v>
      </c>
      <c r="N2088" s="293">
        <f>Parametros!$M$114</f>
        <v>19.74193548</v>
      </c>
      <c r="O2088" s="5"/>
      <c r="P2088" s="5"/>
      <c r="Q2088" s="5"/>
      <c r="R2088" s="5"/>
      <c r="S2088" s="5"/>
      <c r="T2088" s="5"/>
      <c r="U2088" s="5"/>
      <c r="V2088" s="5"/>
      <c r="W2088" s="5"/>
      <c r="X2088" s="5"/>
      <c r="Y2088" s="5"/>
      <c r="Z2088" s="5"/>
    </row>
    <row r="2089" ht="12.0" customHeight="1">
      <c r="A2089" s="92" t="s">
        <v>640</v>
      </c>
      <c r="B2089" s="5"/>
      <c r="C2089" s="203">
        <f>'Resumen Capacidad'!$B$222</f>
        <v>1</v>
      </c>
      <c r="D2089" s="203">
        <f>'Resumen Capacidad'!$B$222</f>
        <v>1</v>
      </c>
      <c r="E2089" s="203">
        <f>'Resumen Capacidad'!$B$222</f>
        <v>1</v>
      </c>
      <c r="F2089" s="203">
        <f>'Resumen Capacidad'!$B$222</f>
        <v>1</v>
      </c>
      <c r="G2089" s="203">
        <f>'Resumen Capacidad'!$B$222</f>
        <v>1</v>
      </c>
      <c r="H2089" s="203">
        <f>'Resumen Capacidad'!$B$222</f>
        <v>1</v>
      </c>
      <c r="I2089" s="203">
        <f>'Resumen Capacidad'!$B$222</f>
        <v>1</v>
      </c>
      <c r="J2089" s="203">
        <f>'Resumen Capacidad'!$B$222</f>
        <v>1</v>
      </c>
      <c r="K2089" s="203">
        <f>'Resumen Capacidad'!$B$222</f>
        <v>1</v>
      </c>
      <c r="L2089" s="203">
        <f>'Resumen Capacidad'!$B$222</f>
        <v>1</v>
      </c>
      <c r="M2089" s="203">
        <f>'Resumen Capacidad'!$B$222</f>
        <v>1</v>
      </c>
      <c r="N2089" s="203">
        <f>'Resumen Capacidad'!$B$222</f>
        <v>1</v>
      </c>
      <c r="O2089" s="5"/>
      <c r="P2089" s="5"/>
      <c r="Q2089" s="5"/>
      <c r="R2089" s="5"/>
      <c r="S2089" s="5"/>
      <c r="T2089" s="5"/>
      <c r="U2089" s="5"/>
      <c r="V2089" s="5"/>
      <c r="W2089" s="5"/>
      <c r="X2089" s="5"/>
      <c r="Y2089" s="5"/>
      <c r="Z2089" s="5"/>
    </row>
    <row r="2090" ht="12.0" customHeight="1">
      <c r="A2090" s="92" t="s">
        <v>642</v>
      </c>
      <c r="B2090" s="5"/>
      <c r="C2090" s="203">
        <f t="shared" ref="C2090:N2090" si="616">C2088*C2089</f>
        <v>19.74193548</v>
      </c>
      <c r="D2090" s="203">
        <f t="shared" si="616"/>
        <v>19.74193548</v>
      </c>
      <c r="E2090" s="203">
        <f t="shared" si="616"/>
        <v>19.74193548</v>
      </c>
      <c r="F2090" s="203">
        <f t="shared" si="616"/>
        <v>19.74193548</v>
      </c>
      <c r="G2090" s="203">
        <f t="shared" si="616"/>
        <v>19.74193548</v>
      </c>
      <c r="H2090" s="203">
        <f t="shared" si="616"/>
        <v>19.74193548</v>
      </c>
      <c r="I2090" s="203">
        <f t="shared" si="616"/>
        <v>19.74193548</v>
      </c>
      <c r="J2090" s="203">
        <f t="shared" si="616"/>
        <v>19.74193548</v>
      </c>
      <c r="K2090" s="203">
        <f t="shared" si="616"/>
        <v>19.74193548</v>
      </c>
      <c r="L2090" s="203">
        <f t="shared" si="616"/>
        <v>19.74193548</v>
      </c>
      <c r="M2090" s="203">
        <f t="shared" si="616"/>
        <v>19.74193548</v>
      </c>
      <c r="N2090" s="203">
        <f t="shared" si="616"/>
        <v>19.74193548</v>
      </c>
      <c r="O2090" s="5"/>
      <c r="P2090" s="5"/>
      <c r="Q2090" s="5"/>
      <c r="R2090" s="5"/>
      <c r="S2090" s="5"/>
      <c r="T2090" s="5"/>
      <c r="U2090" s="5"/>
      <c r="V2090" s="5"/>
      <c r="W2090" s="5"/>
      <c r="X2090" s="5"/>
      <c r="Y2090" s="5"/>
      <c r="Z2090" s="5"/>
    </row>
    <row r="2091" ht="12.0" customHeight="1">
      <c r="A2091" s="92" t="s">
        <v>643</v>
      </c>
      <c r="B2091" s="5"/>
      <c r="C2091" s="294">
        <f t="shared" ref="C2091:N2091" si="617">IF(C2090=0,0,C2087/C2090)</f>
        <v>0.003903703704</v>
      </c>
      <c r="D2091" s="294">
        <f t="shared" si="617"/>
        <v>0.003444444444</v>
      </c>
      <c r="E2091" s="294">
        <f t="shared" si="617"/>
        <v>0.004133333333</v>
      </c>
      <c r="F2091" s="294">
        <f t="shared" si="617"/>
        <v>0.004133333333</v>
      </c>
      <c r="G2091" s="294">
        <f t="shared" si="617"/>
        <v>0.004133333333</v>
      </c>
      <c r="H2091" s="294">
        <f t="shared" si="617"/>
        <v>0.003674074074</v>
      </c>
      <c r="I2091" s="294">
        <f t="shared" si="617"/>
        <v>0.004133333333</v>
      </c>
      <c r="J2091" s="294">
        <f t="shared" si="617"/>
        <v>0.004133333333</v>
      </c>
      <c r="K2091" s="294">
        <f t="shared" si="617"/>
        <v>0.003903703704</v>
      </c>
      <c r="L2091" s="294">
        <f t="shared" si="617"/>
        <v>0.003444444444</v>
      </c>
      <c r="M2091" s="294">
        <f t="shared" si="617"/>
        <v>0.003214814815</v>
      </c>
      <c r="N2091" s="294">
        <f t="shared" si="617"/>
        <v>0.003674074074</v>
      </c>
      <c r="O2091" s="5"/>
      <c r="P2091" s="5"/>
      <c r="Q2091" s="5"/>
      <c r="R2091" s="5"/>
      <c r="S2091" s="5"/>
      <c r="T2091" s="5"/>
      <c r="U2091" s="5"/>
      <c r="V2091" s="5"/>
      <c r="W2091" s="5"/>
      <c r="X2091" s="5"/>
      <c r="Y2091" s="5"/>
      <c r="Z2091" s="5"/>
    </row>
    <row r="2092" ht="12.0" customHeight="1">
      <c r="A2092" s="10" t="s">
        <v>1646</v>
      </c>
      <c r="B2092" s="5"/>
      <c r="C2092" s="206"/>
      <c r="D2092" s="206"/>
      <c r="E2092" s="206"/>
      <c r="F2092" s="206"/>
      <c r="G2092" s="206"/>
      <c r="H2092" s="206"/>
      <c r="I2092" s="206"/>
      <c r="J2092" s="206"/>
      <c r="K2092" s="206"/>
      <c r="L2092" s="206"/>
      <c r="M2092" s="206"/>
      <c r="N2092" s="206"/>
      <c r="O2092" s="5"/>
      <c r="P2092" s="5"/>
      <c r="Q2092" s="5"/>
      <c r="R2092" s="5"/>
      <c r="S2092" s="5"/>
      <c r="T2092" s="5"/>
      <c r="U2092" s="5"/>
      <c r="V2092" s="5"/>
      <c r="W2092" s="5"/>
      <c r="X2092" s="5"/>
      <c r="Y2092" s="5"/>
      <c r="Z2092" s="5"/>
    </row>
    <row r="2093" ht="12.0" customHeight="1">
      <c r="A2093" s="92" t="s">
        <v>630</v>
      </c>
      <c r="B2093" s="5" t="s">
        <v>631</v>
      </c>
      <c r="C2093" s="206" t="s">
        <v>3</v>
      </c>
      <c r="D2093" s="206" t="s">
        <v>4</v>
      </c>
      <c r="E2093" s="206" t="s">
        <v>507</v>
      </c>
      <c r="F2093" s="206" t="s">
        <v>508</v>
      </c>
      <c r="G2093" s="206" t="s">
        <v>509</v>
      </c>
      <c r="H2093" s="206" t="s">
        <v>510</v>
      </c>
      <c r="I2093" s="206" t="s">
        <v>511</v>
      </c>
      <c r="J2093" s="206" t="s">
        <v>512</v>
      </c>
      <c r="K2093" s="206" t="s">
        <v>513</v>
      </c>
      <c r="L2093" s="206" t="s">
        <v>514</v>
      </c>
      <c r="M2093" s="206" t="s">
        <v>515</v>
      </c>
      <c r="N2093" s="206" t="s">
        <v>516</v>
      </c>
      <c r="O2093" s="5"/>
      <c r="P2093" s="5"/>
      <c r="Q2093" s="5"/>
      <c r="R2093" s="5"/>
      <c r="S2093" s="5"/>
      <c r="T2093" s="5"/>
      <c r="U2093" s="5"/>
      <c r="V2093" s="5"/>
      <c r="W2093" s="5"/>
      <c r="X2093" s="5"/>
      <c r="Y2093" s="5"/>
      <c r="Z2093" s="5"/>
    </row>
    <row r="2094" ht="12.0" customHeight="1">
      <c r="A2094" s="92" t="s">
        <v>1643</v>
      </c>
      <c r="B2094" s="5" t="s">
        <v>633</v>
      </c>
      <c r="C2094" s="203">
        <f t="shared" ref="C2094:N2094" si="618">C2059</f>
        <v>11.56</v>
      </c>
      <c r="D2094" s="203">
        <f t="shared" si="618"/>
        <v>10.2</v>
      </c>
      <c r="E2094" s="203">
        <f t="shared" si="618"/>
        <v>12.24</v>
      </c>
      <c r="F2094" s="203">
        <f t="shared" si="618"/>
        <v>12.24</v>
      </c>
      <c r="G2094" s="203">
        <f t="shared" si="618"/>
        <v>12.24</v>
      </c>
      <c r="H2094" s="203">
        <f t="shared" si="618"/>
        <v>10.88</v>
      </c>
      <c r="I2094" s="203">
        <f t="shared" si="618"/>
        <v>12.24</v>
      </c>
      <c r="J2094" s="203">
        <f t="shared" si="618"/>
        <v>12.24</v>
      </c>
      <c r="K2094" s="203">
        <f t="shared" si="618"/>
        <v>11.56</v>
      </c>
      <c r="L2094" s="203">
        <f t="shared" si="618"/>
        <v>10.2</v>
      </c>
      <c r="M2094" s="203">
        <f t="shared" si="618"/>
        <v>9.52</v>
      </c>
      <c r="N2094" s="203">
        <f t="shared" si="618"/>
        <v>10.88</v>
      </c>
      <c r="O2094" s="5"/>
      <c r="P2094" s="5"/>
      <c r="Q2094" s="5"/>
      <c r="R2094" s="5"/>
      <c r="S2094" s="5"/>
      <c r="T2094" s="5"/>
      <c r="U2094" s="5"/>
      <c r="V2094" s="5"/>
      <c r="W2094" s="5"/>
      <c r="X2094" s="5"/>
      <c r="Y2094" s="5"/>
      <c r="Z2094" s="5"/>
    </row>
    <row r="2095" ht="12.0" customHeight="1">
      <c r="A2095" s="92"/>
      <c r="B2095" s="5" t="s">
        <v>634</v>
      </c>
      <c r="C2095" s="293">
        <f>C2094/Parametros!$B$37</f>
        <v>0.578</v>
      </c>
      <c r="D2095" s="293">
        <f>D2094/Parametros!$B$37</f>
        <v>0.51</v>
      </c>
      <c r="E2095" s="293">
        <f>E2094/Parametros!$B$37</f>
        <v>0.612</v>
      </c>
      <c r="F2095" s="293">
        <f>F2094/Parametros!$B$37</f>
        <v>0.612</v>
      </c>
      <c r="G2095" s="293">
        <f>G2094/Parametros!$B$37</f>
        <v>0.612</v>
      </c>
      <c r="H2095" s="293">
        <f>H2094/Parametros!$B$37</f>
        <v>0.544</v>
      </c>
      <c r="I2095" s="293">
        <f>I2094/Parametros!$B$37</f>
        <v>0.612</v>
      </c>
      <c r="J2095" s="293">
        <f>J2094/Parametros!$B$37</f>
        <v>0.612</v>
      </c>
      <c r="K2095" s="293">
        <f>K2094/Parametros!$B$37</f>
        <v>0.578</v>
      </c>
      <c r="L2095" s="293">
        <f>L2094/Parametros!$B$37</f>
        <v>0.51</v>
      </c>
      <c r="M2095" s="293">
        <f>M2094/Parametros!$B$37</f>
        <v>0.476</v>
      </c>
      <c r="N2095" s="293">
        <f>N2094/Parametros!$B$37</f>
        <v>0.544</v>
      </c>
      <c r="O2095" s="5"/>
      <c r="P2095" s="5"/>
      <c r="Q2095" s="5"/>
      <c r="R2095" s="5"/>
      <c r="S2095" s="5"/>
      <c r="T2095" s="5"/>
      <c r="U2095" s="5"/>
      <c r="V2095" s="5"/>
      <c r="W2095" s="5"/>
      <c r="X2095" s="5"/>
      <c r="Y2095" s="5"/>
      <c r="Z2095" s="5"/>
    </row>
    <row r="2096" ht="12.0" customHeight="1">
      <c r="A2096" s="92"/>
      <c r="B2096" s="5" t="s">
        <v>635</v>
      </c>
      <c r="C2096" s="293">
        <f>C2095/Parametros!$J$37</f>
        <v>0.07706666667</v>
      </c>
      <c r="D2096" s="293">
        <f>D2095/Parametros!$J$37</f>
        <v>0.068</v>
      </c>
      <c r="E2096" s="293">
        <f>E2095/Parametros!$J$37</f>
        <v>0.0816</v>
      </c>
      <c r="F2096" s="293">
        <f>F2095/Parametros!$J$37</f>
        <v>0.0816</v>
      </c>
      <c r="G2096" s="293">
        <f>G2095/Parametros!$J$37</f>
        <v>0.0816</v>
      </c>
      <c r="H2096" s="293">
        <f>H2095/Parametros!$J$37</f>
        <v>0.07253333333</v>
      </c>
      <c r="I2096" s="293">
        <f>I2095/Parametros!$J$37</f>
        <v>0.0816</v>
      </c>
      <c r="J2096" s="293">
        <f>J2095/Parametros!$J$37</f>
        <v>0.0816</v>
      </c>
      <c r="K2096" s="293">
        <f>K2095/Parametros!$J$37</f>
        <v>0.07706666667</v>
      </c>
      <c r="L2096" s="293">
        <f>L2095/Parametros!$J$37</f>
        <v>0.068</v>
      </c>
      <c r="M2096" s="293">
        <f>M2095/Parametros!$J$37</f>
        <v>0.06346666667</v>
      </c>
      <c r="N2096" s="293">
        <f>N2095/Parametros!$J$37</f>
        <v>0.07253333333</v>
      </c>
      <c r="O2096" s="5"/>
      <c r="P2096" s="5"/>
      <c r="Q2096" s="5"/>
      <c r="R2096" s="5"/>
      <c r="S2096" s="5"/>
      <c r="T2096" s="5"/>
      <c r="U2096" s="5"/>
      <c r="V2096" s="5"/>
      <c r="W2096" s="5"/>
      <c r="X2096" s="5"/>
      <c r="Y2096" s="5"/>
      <c r="Z2096" s="5"/>
    </row>
    <row r="2097" ht="12.0" customHeight="1">
      <c r="A2097" s="92" t="s">
        <v>636</v>
      </c>
      <c r="B2097" s="5"/>
      <c r="C2097" s="293">
        <f t="shared" ref="C2097:N2097" si="619">C2096</f>
        <v>0.07706666667</v>
      </c>
      <c r="D2097" s="293">
        <f t="shared" si="619"/>
        <v>0.068</v>
      </c>
      <c r="E2097" s="293">
        <f t="shared" si="619"/>
        <v>0.0816</v>
      </c>
      <c r="F2097" s="293">
        <f t="shared" si="619"/>
        <v>0.0816</v>
      </c>
      <c r="G2097" s="293">
        <f t="shared" si="619"/>
        <v>0.0816</v>
      </c>
      <c r="H2097" s="293">
        <f t="shared" si="619"/>
        <v>0.07253333333</v>
      </c>
      <c r="I2097" s="293">
        <f t="shared" si="619"/>
        <v>0.0816</v>
      </c>
      <c r="J2097" s="293">
        <f t="shared" si="619"/>
        <v>0.0816</v>
      </c>
      <c r="K2097" s="293">
        <f t="shared" si="619"/>
        <v>0.07706666667</v>
      </c>
      <c r="L2097" s="293">
        <f t="shared" si="619"/>
        <v>0.068</v>
      </c>
      <c r="M2097" s="293">
        <f t="shared" si="619"/>
        <v>0.06346666667</v>
      </c>
      <c r="N2097" s="293">
        <f t="shared" si="619"/>
        <v>0.07253333333</v>
      </c>
      <c r="O2097" s="5"/>
      <c r="P2097" s="5"/>
      <c r="Q2097" s="5"/>
      <c r="R2097" s="5"/>
      <c r="S2097" s="5"/>
      <c r="T2097" s="5"/>
      <c r="U2097" s="5"/>
      <c r="V2097" s="5"/>
      <c r="W2097" s="5"/>
      <c r="X2097" s="5"/>
      <c r="Y2097" s="5"/>
      <c r="Z2097" s="5"/>
    </row>
    <row r="2098" ht="12.0" customHeight="1">
      <c r="A2098" s="92" t="s">
        <v>637</v>
      </c>
      <c r="B2098" s="5"/>
      <c r="C2098" s="293">
        <f>Parametros!$M$115</f>
        <v>26.60869565</v>
      </c>
      <c r="D2098" s="293">
        <f>Parametros!$M$115</f>
        <v>26.60869565</v>
      </c>
      <c r="E2098" s="293">
        <f>Parametros!$M$115</f>
        <v>26.60869565</v>
      </c>
      <c r="F2098" s="293">
        <f>Parametros!$M$115</f>
        <v>26.60869565</v>
      </c>
      <c r="G2098" s="293">
        <f>Parametros!$M$115</f>
        <v>26.60869565</v>
      </c>
      <c r="H2098" s="293">
        <f>Parametros!$M$115</f>
        <v>26.60869565</v>
      </c>
      <c r="I2098" s="293">
        <f>Parametros!$M$115</f>
        <v>26.60869565</v>
      </c>
      <c r="J2098" s="293">
        <f>Parametros!$M$115</f>
        <v>26.60869565</v>
      </c>
      <c r="K2098" s="293">
        <f>Parametros!$M$115</f>
        <v>26.60869565</v>
      </c>
      <c r="L2098" s="293">
        <f>Parametros!$M$115</f>
        <v>26.60869565</v>
      </c>
      <c r="M2098" s="293">
        <f>Parametros!$M$115</f>
        <v>26.60869565</v>
      </c>
      <c r="N2098" s="293">
        <f>Parametros!$M$115</f>
        <v>26.60869565</v>
      </c>
      <c r="O2098" s="5"/>
      <c r="P2098" s="5"/>
      <c r="Q2098" s="5"/>
      <c r="R2098" s="5"/>
      <c r="S2098" s="5"/>
      <c r="T2098" s="5"/>
      <c r="U2098" s="5"/>
      <c r="V2098" s="5"/>
      <c r="W2098" s="5"/>
      <c r="X2098" s="5"/>
      <c r="Y2098" s="5"/>
      <c r="Z2098" s="5"/>
    </row>
    <row r="2099" ht="12.0" customHeight="1">
      <c r="A2099" s="92" t="s">
        <v>640</v>
      </c>
      <c r="B2099" s="5"/>
      <c r="C2099" s="203">
        <f>'Resumen Capacidad'!$B$223</f>
        <v>1</v>
      </c>
      <c r="D2099" s="203">
        <f>'Resumen Capacidad'!$B$223</f>
        <v>1</v>
      </c>
      <c r="E2099" s="203">
        <f>'Resumen Capacidad'!$B$223</f>
        <v>1</v>
      </c>
      <c r="F2099" s="203">
        <f>'Resumen Capacidad'!$B$223</f>
        <v>1</v>
      </c>
      <c r="G2099" s="203">
        <f>'Resumen Capacidad'!$B$223</f>
        <v>1</v>
      </c>
      <c r="H2099" s="203">
        <f>'Resumen Capacidad'!$B$223</f>
        <v>1</v>
      </c>
      <c r="I2099" s="203">
        <f>'Resumen Capacidad'!$B$223</f>
        <v>1</v>
      </c>
      <c r="J2099" s="203">
        <f>'Resumen Capacidad'!$B$223</f>
        <v>1</v>
      </c>
      <c r="K2099" s="203">
        <f>'Resumen Capacidad'!$B$223</f>
        <v>1</v>
      </c>
      <c r="L2099" s="203">
        <f>'Resumen Capacidad'!$B$223</f>
        <v>1</v>
      </c>
      <c r="M2099" s="203">
        <f>'Resumen Capacidad'!$B$223</f>
        <v>1</v>
      </c>
      <c r="N2099" s="203">
        <f>'Resumen Capacidad'!$B$223</f>
        <v>1</v>
      </c>
      <c r="O2099" s="5"/>
      <c r="P2099" s="5"/>
      <c r="Q2099" s="5"/>
      <c r="R2099" s="5"/>
      <c r="S2099" s="5"/>
      <c r="T2099" s="5"/>
      <c r="U2099" s="5"/>
      <c r="V2099" s="5"/>
      <c r="W2099" s="5"/>
      <c r="X2099" s="5"/>
      <c r="Y2099" s="5"/>
      <c r="Z2099" s="5"/>
    </row>
    <row r="2100" ht="12.0" customHeight="1">
      <c r="A2100" s="92" t="s">
        <v>642</v>
      </c>
      <c r="B2100" s="5"/>
      <c r="C2100" s="203">
        <f t="shared" ref="C2100:N2100" si="620">C2098*C2099</f>
        <v>26.60869565</v>
      </c>
      <c r="D2100" s="203">
        <f t="shared" si="620"/>
        <v>26.60869565</v>
      </c>
      <c r="E2100" s="203">
        <f t="shared" si="620"/>
        <v>26.60869565</v>
      </c>
      <c r="F2100" s="203">
        <f t="shared" si="620"/>
        <v>26.60869565</v>
      </c>
      <c r="G2100" s="203">
        <f t="shared" si="620"/>
        <v>26.60869565</v>
      </c>
      <c r="H2100" s="203">
        <f t="shared" si="620"/>
        <v>26.60869565</v>
      </c>
      <c r="I2100" s="203">
        <f t="shared" si="620"/>
        <v>26.60869565</v>
      </c>
      <c r="J2100" s="203">
        <f t="shared" si="620"/>
        <v>26.60869565</v>
      </c>
      <c r="K2100" s="203">
        <f t="shared" si="620"/>
        <v>26.60869565</v>
      </c>
      <c r="L2100" s="203">
        <f t="shared" si="620"/>
        <v>26.60869565</v>
      </c>
      <c r="M2100" s="203">
        <f t="shared" si="620"/>
        <v>26.60869565</v>
      </c>
      <c r="N2100" s="203">
        <f t="shared" si="620"/>
        <v>26.60869565</v>
      </c>
      <c r="O2100" s="5"/>
      <c r="P2100" s="5"/>
      <c r="Q2100" s="5"/>
      <c r="R2100" s="5"/>
      <c r="S2100" s="5"/>
      <c r="T2100" s="5"/>
      <c r="U2100" s="5"/>
      <c r="V2100" s="5"/>
      <c r="W2100" s="5"/>
      <c r="X2100" s="5"/>
      <c r="Y2100" s="5"/>
      <c r="Z2100" s="5"/>
    </row>
    <row r="2101" ht="12.0" customHeight="1">
      <c r="A2101" s="92" t="s">
        <v>643</v>
      </c>
      <c r="B2101" s="5"/>
      <c r="C2101" s="294">
        <f t="shared" ref="C2101:N2101" si="621">IF(C2100=0,0,C2097/C2100)</f>
        <v>0.002896296296</v>
      </c>
      <c r="D2101" s="294">
        <f t="shared" si="621"/>
        <v>0.002555555556</v>
      </c>
      <c r="E2101" s="294">
        <f t="shared" si="621"/>
        <v>0.003066666667</v>
      </c>
      <c r="F2101" s="294">
        <f t="shared" si="621"/>
        <v>0.003066666667</v>
      </c>
      <c r="G2101" s="294">
        <f t="shared" si="621"/>
        <v>0.003066666667</v>
      </c>
      <c r="H2101" s="294">
        <f t="shared" si="621"/>
        <v>0.002725925926</v>
      </c>
      <c r="I2101" s="294">
        <f t="shared" si="621"/>
        <v>0.003066666667</v>
      </c>
      <c r="J2101" s="294">
        <f t="shared" si="621"/>
        <v>0.003066666667</v>
      </c>
      <c r="K2101" s="294">
        <f t="shared" si="621"/>
        <v>0.002896296296</v>
      </c>
      <c r="L2101" s="294">
        <f t="shared" si="621"/>
        <v>0.002555555556</v>
      </c>
      <c r="M2101" s="294">
        <f t="shared" si="621"/>
        <v>0.002385185185</v>
      </c>
      <c r="N2101" s="294">
        <f t="shared" si="621"/>
        <v>0.002725925926</v>
      </c>
      <c r="O2101" s="5"/>
      <c r="P2101" s="5"/>
      <c r="Q2101" s="5"/>
      <c r="R2101" s="5"/>
      <c r="S2101" s="5"/>
      <c r="T2101" s="5"/>
      <c r="U2101" s="5"/>
      <c r="V2101" s="5"/>
      <c r="W2101" s="5"/>
      <c r="X2101" s="5"/>
      <c r="Y2101" s="5"/>
      <c r="Z2101" s="5"/>
    </row>
    <row r="2102" ht="12.0" customHeight="1">
      <c r="A2102" s="10" t="s">
        <v>1647</v>
      </c>
      <c r="B2102" s="5"/>
      <c r="C2102" s="206"/>
      <c r="D2102" s="206"/>
      <c r="E2102" s="206"/>
      <c r="F2102" s="206"/>
      <c r="G2102" s="206"/>
      <c r="H2102" s="206"/>
      <c r="I2102" s="206"/>
      <c r="J2102" s="206"/>
      <c r="K2102" s="206"/>
      <c r="L2102" s="206"/>
      <c r="M2102" s="206"/>
      <c r="N2102" s="206"/>
      <c r="O2102" s="5"/>
      <c r="P2102" s="5"/>
      <c r="Q2102" s="5"/>
      <c r="R2102" s="5"/>
      <c r="S2102" s="5"/>
      <c r="T2102" s="5"/>
      <c r="U2102" s="5"/>
      <c r="V2102" s="5"/>
      <c r="W2102" s="5"/>
      <c r="X2102" s="5"/>
      <c r="Y2102" s="5"/>
      <c r="Z2102" s="5"/>
    </row>
    <row r="2103" ht="12.0" customHeight="1">
      <c r="A2103" s="92" t="s">
        <v>630</v>
      </c>
      <c r="B2103" s="5" t="s">
        <v>631</v>
      </c>
      <c r="C2103" s="206" t="s">
        <v>3</v>
      </c>
      <c r="D2103" s="206" t="s">
        <v>4</v>
      </c>
      <c r="E2103" s="206" t="s">
        <v>507</v>
      </c>
      <c r="F2103" s="206" t="s">
        <v>508</v>
      </c>
      <c r="G2103" s="206" t="s">
        <v>509</v>
      </c>
      <c r="H2103" s="206" t="s">
        <v>510</v>
      </c>
      <c r="I2103" s="206" t="s">
        <v>511</v>
      </c>
      <c r="J2103" s="206" t="s">
        <v>512</v>
      </c>
      <c r="K2103" s="206" t="s">
        <v>513</v>
      </c>
      <c r="L2103" s="206" t="s">
        <v>514</v>
      </c>
      <c r="M2103" s="206" t="s">
        <v>515</v>
      </c>
      <c r="N2103" s="206" t="s">
        <v>516</v>
      </c>
      <c r="O2103" s="5"/>
      <c r="P2103" s="5"/>
      <c r="Q2103" s="5"/>
      <c r="R2103" s="5"/>
      <c r="S2103" s="5"/>
      <c r="T2103" s="5"/>
      <c r="U2103" s="5"/>
      <c r="V2103" s="5"/>
      <c r="W2103" s="5"/>
      <c r="X2103" s="5"/>
      <c r="Y2103" s="5"/>
      <c r="Z2103" s="5"/>
    </row>
    <row r="2104" ht="12.0" customHeight="1">
      <c r="A2104" s="92" t="s">
        <v>1643</v>
      </c>
      <c r="B2104" s="5" t="s">
        <v>633</v>
      </c>
      <c r="C2104" s="203">
        <f t="shared" ref="C2104:N2104" si="622">C2059</f>
        <v>11.56</v>
      </c>
      <c r="D2104" s="203">
        <f t="shared" si="622"/>
        <v>10.2</v>
      </c>
      <c r="E2104" s="203">
        <f t="shared" si="622"/>
        <v>12.24</v>
      </c>
      <c r="F2104" s="203">
        <f t="shared" si="622"/>
        <v>12.24</v>
      </c>
      <c r="G2104" s="203">
        <f t="shared" si="622"/>
        <v>12.24</v>
      </c>
      <c r="H2104" s="203">
        <f t="shared" si="622"/>
        <v>10.88</v>
      </c>
      <c r="I2104" s="203">
        <f t="shared" si="622"/>
        <v>12.24</v>
      </c>
      <c r="J2104" s="203">
        <f t="shared" si="622"/>
        <v>12.24</v>
      </c>
      <c r="K2104" s="203">
        <f t="shared" si="622"/>
        <v>11.56</v>
      </c>
      <c r="L2104" s="203">
        <f t="shared" si="622"/>
        <v>10.2</v>
      </c>
      <c r="M2104" s="203">
        <f t="shared" si="622"/>
        <v>9.52</v>
      </c>
      <c r="N2104" s="203">
        <f t="shared" si="622"/>
        <v>10.88</v>
      </c>
      <c r="O2104" s="5"/>
      <c r="P2104" s="5"/>
      <c r="Q2104" s="5"/>
      <c r="R2104" s="5"/>
      <c r="S2104" s="5"/>
      <c r="T2104" s="5"/>
      <c r="U2104" s="5"/>
      <c r="V2104" s="5"/>
      <c r="W2104" s="5"/>
      <c r="X2104" s="5"/>
      <c r="Y2104" s="5"/>
      <c r="Z2104" s="5"/>
    </row>
    <row r="2105" ht="12.0" customHeight="1">
      <c r="A2105" s="92"/>
      <c r="B2105" s="5" t="s">
        <v>634</v>
      </c>
      <c r="C2105" s="293">
        <f>C2104/Parametros!$B$37</f>
        <v>0.578</v>
      </c>
      <c r="D2105" s="293">
        <f>D2104/Parametros!$B$37</f>
        <v>0.51</v>
      </c>
      <c r="E2105" s="293">
        <f>E2104/Parametros!$B$37</f>
        <v>0.612</v>
      </c>
      <c r="F2105" s="293">
        <f>F2104/Parametros!$B$37</f>
        <v>0.612</v>
      </c>
      <c r="G2105" s="293">
        <f>G2104/Parametros!$B$37</f>
        <v>0.612</v>
      </c>
      <c r="H2105" s="293">
        <f>H2104/Parametros!$B$37</f>
        <v>0.544</v>
      </c>
      <c r="I2105" s="293">
        <f>I2104/Parametros!$B$37</f>
        <v>0.612</v>
      </c>
      <c r="J2105" s="293">
        <f>J2104/Parametros!$B$37</f>
        <v>0.612</v>
      </c>
      <c r="K2105" s="293">
        <f>K2104/Parametros!$B$37</f>
        <v>0.578</v>
      </c>
      <c r="L2105" s="293">
        <f>L2104/Parametros!$B$37</f>
        <v>0.51</v>
      </c>
      <c r="M2105" s="293">
        <f>M2104/Parametros!$B$37</f>
        <v>0.476</v>
      </c>
      <c r="N2105" s="293">
        <f>N2104/Parametros!$B$37</f>
        <v>0.544</v>
      </c>
      <c r="O2105" s="5"/>
      <c r="P2105" s="5"/>
      <c r="Q2105" s="5"/>
      <c r="R2105" s="5"/>
      <c r="S2105" s="5"/>
      <c r="T2105" s="5"/>
      <c r="U2105" s="5"/>
      <c r="V2105" s="5"/>
      <c r="W2105" s="5"/>
      <c r="X2105" s="5"/>
      <c r="Y2105" s="5"/>
      <c r="Z2105" s="5"/>
    </row>
    <row r="2106" ht="12.0" customHeight="1">
      <c r="A2106" s="92"/>
      <c r="B2106" s="5" t="s">
        <v>635</v>
      </c>
      <c r="C2106" s="293">
        <f>C2105/Parametros!$J$37</f>
        <v>0.07706666667</v>
      </c>
      <c r="D2106" s="293">
        <f>D2105/Parametros!$J$37</f>
        <v>0.068</v>
      </c>
      <c r="E2106" s="293">
        <f>E2105/Parametros!$J$37</f>
        <v>0.0816</v>
      </c>
      <c r="F2106" s="293">
        <f>F2105/Parametros!$J$37</f>
        <v>0.0816</v>
      </c>
      <c r="G2106" s="293">
        <f>G2105/Parametros!$J$37</f>
        <v>0.0816</v>
      </c>
      <c r="H2106" s="293">
        <f>H2105/Parametros!$J$37</f>
        <v>0.07253333333</v>
      </c>
      <c r="I2106" s="293">
        <f>I2105/Parametros!$J$37</f>
        <v>0.0816</v>
      </c>
      <c r="J2106" s="293">
        <f>J2105/Parametros!$J$37</f>
        <v>0.0816</v>
      </c>
      <c r="K2106" s="293">
        <f>K2105/Parametros!$J$37</f>
        <v>0.07706666667</v>
      </c>
      <c r="L2106" s="293">
        <f>L2105/Parametros!$J$37</f>
        <v>0.068</v>
      </c>
      <c r="M2106" s="293">
        <f>M2105/Parametros!$J$37</f>
        <v>0.06346666667</v>
      </c>
      <c r="N2106" s="293">
        <f>N2105/Parametros!$J$37</f>
        <v>0.07253333333</v>
      </c>
      <c r="O2106" s="5"/>
      <c r="P2106" s="5"/>
      <c r="Q2106" s="5"/>
      <c r="R2106" s="5"/>
      <c r="S2106" s="5"/>
      <c r="T2106" s="5"/>
      <c r="U2106" s="5"/>
      <c r="V2106" s="5"/>
      <c r="W2106" s="5"/>
      <c r="X2106" s="5"/>
      <c r="Y2106" s="5"/>
      <c r="Z2106" s="5"/>
    </row>
    <row r="2107" ht="12.0" customHeight="1">
      <c r="A2107" s="92" t="s">
        <v>636</v>
      </c>
      <c r="B2107" s="5"/>
      <c r="C2107" s="293">
        <f t="shared" ref="C2107:N2107" si="623">C2106</f>
        <v>0.07706666667</v>
      </c>
      <c r="D2107" s="293">
        <f t="shared" si="623"/>
        <v>0.068</v>
      </c>
      <c r="E2107" s="293">
        <f t="shared" si="623"/>
        <v>0.0816</v>
      </c>
      <c r="F2107" s="293">
        <f t="shared" si="623"/>
        <v>0.0816</v>
      </c>
      <c r="G2107" s="293">
        <f t="shared" si="623"/>
        <v>0.0816</v>
      </c>
      <c r="H2107" s="293">
        <f t="shared" si="623"/>
        <v>0.07253333333</v>
      </c>
      <c r="I2107" s="293">
        <f t="shared" si="623"/>
        <v>0.0816</v>
      </c>
      <c r="J2107" s="293">
        <f t="shared" si="623"/>
        <v>0.0816</v>
      </c>
      <c r="K2107" s="293">
        <f t="shared" si="623"/>
        <v>0.07706666667</v>
      </c>
      <c r="L2107" s="293">
        <f t="shared" si="623"/>
        <v>0.068</v>
      </c>
      <c r="M2107" s="293">
        <f t="shared" si="623"/>
        <v>0.06346666667</v>
      </c>
      <c r="N2107" s="293">
        <f t="shared" si="623"/>
        <v>0.07253333333</v>
      </c>
      <c r="O2107" s="5"/>
      <c r="P2107" s="5"/>
      <c r="Q2107" s="5"/>
      <c r="R2107" s="5"/>
      <c r="S2107" s="5"/>
      <c r="T2107" s="5"/>
      <c r="U2107" s="5"/>
      <c r="V2107" s="5"/>
      <c r="W2107" s="5"/>
      <c r="X2107" s="5"/>
      <c r="Y2107" s="5"/>
      <c r="Z2107" s="5"/>
    </row>
    <row r="2108" ht="12.0" customHeight="1">
      <c r="A2108" s="92" t="s">
        <v>637</v>
      </c>
      <c r="B2108" s="5"/>
      <c r="C2108" s="293">
        <f>Parametros!$M$116</f>
        <v>38.25</v>
      </c>
      <c r="D2108" s="293">
        <f>Parametros!$M$116</f>
        <v>38.25</v>
      </c>
      <c r="E2108" s="293">
        <f>Parametros!$M$116</f>
        <v>38.25</v>
      </c>
      <c r="F2108" s="293">
        <f>Parametros!$M$116</f>
        <v>38.25</v>
      </c>
      <c r="G2108" s="293">
        <f>Parametros!$M$116</f>
        <v>38.25</v>
      </c>
      <c r="H2108" s="293">
        <f>Parametros!$M$116</f>
        <v>38.25</v>
      </c>
      <c r="I2108" s="293">
        <f>Parametros!$M$116</f>
        <v>38.25</v>
      </c>
      <c r="J2108" s="293">
        <f>Parametros!$M$116</f>
        <v>38.25</v>
      </c>
      <c r="K2108" s="293">
        <f>Parametros!$M$116</f>
        <v>38.25</v>
      </c>
      <c r="L2108" s="293">
        <f>Parametros!$M$116</f>
        <v>38.25</v>
      </c>
      <c r="M2108" s="293">
        <f>Parametros!$M$116</f>
        <v>38.25</v>
      </c>
      <c r="N2108" s="293">
        <f>Parametros!$M$116</f>
        <v>38.25</v>
      </c>
      <c r="O2108" s="5"/>
      <c r="P2108" s="5"/>
      <c r="Q2108" s="5"/>
      <c r="R2108" s="5"/>
      <c r="S2108" s="5"/>
      <c r="T2108" s="5"/>
      <c r="U2108" s="5"/>
      <c r="V2108" s="5"/>
      <c r="W2108" s="5"/>
      <c r="X2108" s="5"/>
      <c r="Y2108" s="5"/>
      <c r="Z2108" s="5"/>
    </row>
    <row r="2109" ht="12.0" customHeight="1">
      <c r="A2109" s="92" t="s">
        <v>640</v>
      </c>
      <c r="B2109" s="5"/>
      <c r="C2109" s="203">
        <f>'Resumen Capacidad'!$B$224</f>
        <v>1</v>
      </c>
      <c r="D2109" s="203">
        <f>'Resumen Capacidad'!$B$224</f>
        <v>1</v>
      </c>
      <c r="E2109" s="203">
        <f>'Resumen Capacidad'!$B$224</f>
        <v>1</v>
      </c>
      <c r="F2109" s="203">
        <f>'Resumen Capacidad'!$B$224</f>
        <v>1</v>
      </c>
      <c r="G2109" s="203">
        <f>'Resumen Capacidad'!$B$224</f>
        <v>1</v>
      </c>
      <c r="H2109" s="203">
        <f>'Resumen Capacidad'!$B$224</f>
        <v>1</v>
      </c>
      <c r="I2109" s="203">
        <f>'Resumen Capacidad'!$B$224</f>
        <v>1</v>
      </c>
      <c r="J2109" s="203">
        <f>'Resumen Capacidad'!$B$224</f>
        <v>1</v>
      </c>
      <c r="K2109" s="203">
        <f>'Resumen Capacidad'!$B$224</f>
        <v>1</v>
      </c>
      <c r="L2109" s="203">
        <f>'Resumen Capacidad'!$B$224</f>
        <v>1</v>
      </c>
      <c r="M2109" s="203">
        <f>'Resumen Capacidad'!$B$224</f>
        <v>1</v>
      </c>
      <c r="N2109" s="203">
        <f>'Resumen Capacidad'!$B$224</f>
        <v>1</v>
      </c>
      <c r="O2109" s="5"/>
      <c r="P2109" s="5"/>
      <c r="Q2109" s="5"/>
      <c r="R2109" s="5"/>
      <c r="S2109" s="5"/>
      <c r="T2109" s="5"/>
      <c r="U2109" s="5"/>
      <c r="V2109" s="5"/>
      <c r="W2109" s="5"/>
      <c r="X2109" s="5"/>
      <c r="Y2109" s="5"/>
      <c r="Z2109" s="5"/>
    </row>
    <row r="2110" ht="12.0" customHeight="1">
      <c r="A2110" s="92" t="s">
        <v>642</v>
      </c>
      <c r="B2110" s="5"/>
      <c r="C2110" s="203">
        <f t="shared" ref="C2110:N2110" si="624">C2108*C2109</f>
        <v>38.25</v>
      </c>
      <c r="D2110" s="203">
        <f t="shared" si="624"/>
        <v>38.25</v>
      </c>
      <c r="E2110" s="203">
        <f t="shared" si="624"/>
        <v>38.25</v>
      </c>
      <c r="F2110" s="203">
        <f t="shared" si="624"/>
        <v>38.25</v>
      </c>
      <c r="G2110" s="203">
        <f t="shared" si="624"/>
        <v>38.25</v>
      </c>
      <c r="H2110" s="203">
        <f t="shared" si="624"/>
        <v>38.25</v>
      </c>
      <c r="I2110" s="203">
        <f t="shared" si="624"/>
        <v>38.25</v>
      </c>
      <c r="J2110" s="203">
        <f t="shared" si="624"/>
        <v>38.25</v>
      </c>
      <c r="K2110" s="203">
        <f t="shared" si="624"/>
        <v>38.25</v>
      </c>
      <c r="L2110" s="203">
        <f t="shared" si="624"/>
        <v>38.25</v>
      </c>
      <c r="M2110" s="203">
        <f t="shared" si="624"/>
        <v>38.25</v>
      </c>
      <c r="N2110" s="203">
        <f t="shared" si="624"/>
        <v>38.25</v>
      </c>
      <c r="O2110" s="5"/>
      <c r="P2110" s="5"/>
      <c r="Q2110" s="5"/>
      <c r="R2110" s="5"/>
      <c r="S2110" s="5"/>
      <c r="T2110" s="5"/>
      <c r="U2110" s="5"/>
      <c r="V2110" s="5"/>
      <c r="W2110" s="5"/>
      <c r="X2110" s="5"/>
      <c r="Y2110" s="5"/>
      <c r="Z2110" s="5"/>
    </row>
    <row r="2111" ht="12.0" customHeight="1">
      <c r="A2111" s="92" t="s">
        <v>643</v>
      </c>
      <c r="B2111" s="5"/>
      <c r="C2111" s="294">
        <f t="shared" ref="C2111:N2111" si="625">IF(C2110=0,0,C2107/C2110)</f>
        <v>0.002014814815</v>
      </c>
      <c r="D2111" s="294">
        <f t="shared" si="625"/>
        <v>0.001777777778</v>
      </c>
      <c r="E2111" s="294">
        <f t="shared" si="625"/>
        <v>0.002133333333</v>
      </c>
      <c r="F2111" s="294">
        <f t="shared" si="625"/>
        <v>0.002133333333</v>
      </c>
      <c r="G2111" s="294">
        <f t="shared" si="625"/>
        <v>0.002133333333</v>
      </c>
      <c r="H2111" s="294">
        <f t="shared" si="625"/>
        <v>0.001896296296</v>
      </c>
      <c r="I2111" s="294">
        <f t="shared" si="625"/>
        <v>0.002133333333</v>
      </c>
      <c r="J2111" s="294">
        <f t="shared" si="625"/>
        <v>0.002133333333</v>
      </c>
      <c r="K2111" s="294">
        <f t="shared" si="625"/>
        <v>0.002014814815</v>
      </c>
      <c r="L2111" s="294">
        <f t="shared" si="625"/>
        <v>0.001777777778</v>
      </c>
      <c r="M2111" s="294">
        <f t="shared" si="625"/>
        <v>0.001659259259</v>
      </c>
      <c r="N2111" s="294">
        <f t="shared" si="625"/>
        <v>0.001896296296</v>
      </c>
      <c r="O2111" s="5"/>
      <c r="P2111" s="5"/>
      <c r="Q2111" s="5"/>
      <c r="R2111" s="5"/>
      <c r="S2111" s="5"/>
      <c r="T2111" s="5"/>
      <c r="U2111" s="5"/>
      <c r="V2111" s="5"/>
      <c r="W2111" s="5"/>
      <c r="X2111" s="5"/>
      <c r="Y2111" s="5"/>
      <c r="Z2111" s="5"/>
    </row>
    <row r="2112" ht="12.0" customHeight="1">
      <c r="A2112" s="10" t="s">
        <v>1648</v>
      </c>
      <c r="B2112" s="5"/>
      <c r="C2112" s="206"/>
      <c r="D2112" s="206"/>
      <c r="E2112" s="206"/>
      <c r="F2112" s="206"/>
      <c r="G2112" s="206"/>
      <c r="H2112" s="206"/>
      <c r="I2112" s="206"/>
      <c r="J2112" s="206"/>
      <c r="K2112" s="206"/>
      <c r="L2112" s="206"/>
      <c r="M2112" s="206"/>
      <c r="N2112" s="206"/>
      <c r="O2112" s="5"/>
      <c r="P2112" s="5"/>
      <c r="Q2112" s="5"/>
      <c r="R2112" s="5"/>
      <c r="S2112" s="5"/>
      <c r="T2112" s="5"/>
      <c r="U2112" s="5"/>
      <c r="V2112" s="5"/>
      <c r="W2112" s="5"/>
      <c r="X2112" s="5"/>
      <c r="Y2112" s="5"/>
      <c r="Z2112" s="5"/>
    </row>
    <row r="2113" ht="12.0" customHeight="1">
      <c r="A2113" s="92" t="s">
        <v>630</v>
      </c>
      <c r="B2113" s="5" t="s">
        <v>631</v>
      </c>
      <c r="C2113" s="206" t="s">
        <v>3</v>
      </c>
      <c r="D2113" s="206" t="s">
        <v>4</v>
      </c>
      <c r="E2113" s="206" t="s">
        <v>507</v>
      </c>
      <c r="F2113" s="206" t="s">
        <v>508</v>
      </c>
      <c r="G2113" s="206" t="s">
        <v>509</v>
      </c>
      <c r="H2113" s="206" t="s">
        <v>510</v>
      </c>
      <c r="I2113" s="206" t="s">
        <v>511</v>
      </c>
      <c r="J2113" s="206" t="s">
        <v>512</v>
      </c>
      <c r="K2113" s="206" t="s">
        <v>513</v>
      </c>
      <c r="L2113" s="206" t="s">
        <v>514</v>
      </c>
      <c r="M2113" s="206" t="s">
        <v>515</v>
      </c>
      <c r="N2113" s="206" t="s">
        <v>516</v>
      </c>
      <c r="O2113" s="5"/>
      <c r="P2113" s="5"/>
      <c r="Q2113" s="5"/>
      <c r="R2113" s="5"/>
      <c r="S2113" s="5"/>
      <c r="T2113" s="5"/>
      <c r="U2113" s="5"/>
      <c r="V2113" s="5"/>
      <c r="W2113" s="5"/>
      <c r="X2113" s="5"/>
      <c r="Y2113" s="5"/>
      <c r="Z2113" s="5"/>
    </row>
    <row r="2114" ht="12.0" customHeight="1">
      <c r="A2114" s="92" t="s">
        <v>1643</v>
      </c>
      <c r="B2114" s="5" t="s">
        <v>633</v>
      </c>
      <c r="C2114" s="203">
        <f t="shared" ref="C2114:N2114" si="626">C2059</f>
        <v>11.56</v>
      </c>
      <c r="D2114" s="203">
        <f t="shared" si="626"/>
        <v>10.2</v>
      </c>
      <c r="E2114" s="203">
        <f t="shared" si="626"/>
        <v>12.24</v>
      </c>
      <c r="F2114" s="203">
        <f t="shared" si="626"/>
        <v>12.24</v>
      </c>
      <c r="G2114" s="203">
        <f t="shared" si="626"/>
        <v>12.24</v>
      </c>
      <c r="H2114" s="203">
        <f t="shared" si="626"/>
        <v>10.88</v>
      </c>
      <c r="I2114" s="203">
        <f t="shared" si="626"/>
        <v>12.24</v>
      </c>
      <c r="J2114" s="203">
        <f t="shared" si="626"/>
        <v>12.24</v>
      </c>
      <c r="K2114" s="203">
        <f t="shared" si="626"/>
        <v>11.56</v>
      </c>
      <c r="L2114" s="203">
        <f t="shared" si="626"/>
        <v>10.2</v>
      </c>
      <c r="M2114" s="203">
        <f t="shared" si="626"/>
        <v>9.52</v>
      </c>
      <c r="N2114" s="203">
        <f t="shared" si="626"/>
        <v>10.88</v>
      </c>
      <c r="O2114" s="5"/>
      <c r="P2114" s="5"/>
      <c r="Q2114" s="5"/>
      <c r="R2114" s="5"/>
      <c r="S2114" s="5"/>
      <c r="T2114" s="5"/>
      <c r="U2114" s="5"/>
      <c r="V2114" s="5"/>
      <c r="W2114" s="5"/>
      <c r="X2114" s="5"/>
      <c r="Y2114" s="5"/>
      <c r="Z2114" s="5"/>
    </row>
    <row r="2115" ht="12.0" customHeight="1">
      <c r="A2115" s="92"/>
      <c r="B2115" s="5" t="s">
        <v>634</v>
      </c>
      <c r="C2115" s="293">
        <f>C2114/Parametros!$B$37</f>
        <v>0.578</v>
      </c>
      <c r="D2115" s="293">
        <f>D2114/Parametros!$B$37</f>
        <v>0.51</v>
      </c>
      <c r="E2115" s="293">
        <f>E2114/Parametros!$B$37</f>
        <v>0.612</v>
      </c>
      <c r="F2115" s="293">
        <f>F2114/Parametros!$B$37</f>
        <v>0.612</v>
      </c>
      <c r="G2115" s="293">
        <f>G2114/Parametros!$B$37</f>
        <v>0.612</v>
      </c>
      <c r="H2115" s="293">
        <f>H2114/Parametros!$B$37</f>
        <v>0.544</v>
      </c>
      <c r="I2115" s="293">
        <f>I2114/Parametros!$B$37</f>
        <v>0.612</v>
      </c>
      <c r="J2115" s="293">
        <f>J2114/Parametros!$B$37</f>
        <v>0.612</v>
      </c>
      <c r="K2115" s="293">
        <f>K2114/Parametros!$B$37</f>
        <v>0.578</v>
      </c>
      <c r="L2115" s="293">
        <f>L2114/Parametros!$B$37</f>
        <v>0.51</v>
      </c>
      <c r="M2115" s="293">
        <f>M2114/Parametros!$B$37</f>
        <v>0.476</v>
      </c>
      <c r="N2115" s="293">
        <f>N2114/Parametros!$B$37</f>
        <v>0.544</v>
      </c>
      <c r="O2115" s="5"/>
      <c r="P2115" s="5"/>
      <c r="Q2115" s="5"/>
      <c r="R2115" s="5"/>
      <c r="S2115" s="5"/>
      <c r="T2115" s="5"/>
      <c r="U2115" s="5"/>
      <c r="V2115" s="5"/>
      <c r="W2115" s="5"/>
      <c r="X2115" s="5"/>
      <c r="Y2115" s="5"/>
      <c r="Z2115" s="5"/>
    </row>
    <row r="2116" ht="12.0" customHeight="1">
      <c r="A2116" s="92"/>
      <c r="B2116" s="5" t="s">
        <v>635</v>
      </c>
      <c r="C2116" s="293">
        <f>C2115/Parametros!$J$37</f>
        <v>0.07706666667</v>
      </c>
      <c r="D2116" s="293">
        <f>D2115/Parametros!$J$37</f>
        <v>0.068</v>
      </c>
      <c r="E2116" s="293">
        <f>E2115/Parametros!$J$37</f>
        <v>0.0816</v>
      </c>
      <c r="F2116" s="293">
        <f>F2115/Parametros!$J$37</f>
        <v>0.0816</v>
      </c>
      <c r="G2116" s="293">
        <f>G2115/Parametros!$J$37</f>
        <v>0.0816</v>
      </c>
      <c r="H2116" s="293">
        <f>H2115/Parametros!$J$37</f>
        <v>0.07253333333</v>
      </c>
      <c r="I2116" s="293">
        <f>I2115/Parametros!$J$37</f>
        <v>0.0816</v>
      </c>
      <c r="J2116" s="293">
        <f>J2115/Parametros!$J$37</f>
        <v>0.0816</v>
      </c>
      <c r="K2116" s="293">
        <f>K2115/Parametros!$J$37</f>
        <v>0.07706666667</v>
      </c>
      <c r="L2116" s="293">
        <f>L2115/Parametros!$J$37</f>
        <v>0.068</v>
      </c>
      <c r="M2116" s="293">
        <f>M2115/Parametros!$J$37</f>
        <v>0.06346666667</v>
      </c>
      <c r="N2116" s="293">
        <f>N2115/Parametros!$J$37</f>
        <v>0.07253333333</v>
      </c>
      <c r="O2116" s="5"/>
      <c r="P2116" s="5"/>
      <c r="Q2116" s="5"/>
      <c r="R2116" s="5"/>
      <c r="S2116" s="5"/>
      <c r="T2116" s="5"/>
      <c r="U2116" s="5"/>
      <c r="V2116" s="5"/>
      <c r="W2116" s="5"/>
      <c r="X2116" s="5"/>
      <c r="Y2116" s="5"/>
      <c r="Z2116" s="5"/>
    </row>
    <row r="2117" ht="12.0" customHeight="1">
      <c r="A2117" s="92" t="s">
        <v>636</v>
      </c>
      <c r="B2117" s="5"/>
      <c r="C2117" s="293">
        <f t="shared" ref="C2117:N2117" si="627">C2116</f>
        <v>0.07706666667</v>
      </c>
      <c r="D2117" s="293">
        <f t="shared" si="627"/>
        <v>0.068</v>
      </c>
      <c r="E2117" s="293">
        <f t="shared" si="627"/>
        <v>0.0816</v>
      </c>
      <c r="F2117" s="293">
        <f t="shared" si="627"/>
        <v>0.0816</v>
      </c>
      <c r="G2117" s="293">
        <f t="shared" si="627"/>
        <v>0.0816</v>
      </c>
      <c r="H2117" s="293">
        <f t="shared" si="627"/>
        <v>0.07253333333</v>
      </c>
      <c r="I2117" s="293">
        <f t="shared" si="627"/>
        <v>0.0816</v>
      </c>
      <c r="J2117" s="293">
        <f t="shared" si="627"/>
        <v>0.0816</v>
      </c>
      <c r="K2117" s="293">
        <f t="shared" si="627"/>
        <v>0.07706666667</v>
      </c>
      <c r="L2117" s="293">
        <f t="shared" si="627"/>
        <v>0.068</v>
      </c>
      <c r="M2117" s="293">
        <f t="shared" si="627"/>
        <v>0.06346666667</v>
      </c>
      <c r="N2117" s="293">
        <f t="shared" si="627"/>
        <v>0.07253333333</v>
      </c>
      <c r="O2117" s="5"/>
      <c r="P2117" s="5"/>
      <c r="Q2117" s="5"/>
      <c r="R2117" s="5"/>
      <c r="S2117" s="5"/>
      <c r="T2117" s="5"/>
      <c r="U2117" s="5"/>
      <c r="V2117" s="5"/>
      <c r="W2117" s="5"/>
      <c r="X2117" s="5"/>
      <c r="Y2117" s="5"/>
      <c r="Z2117" s="5"/>
    </row>
    <row r="2118" ht="12.0" customHeight="1">
      <c r="A2118" s="92" t="s">
        <v>637</v>
      </c>
      <c r="B2118" s="5"/>
      <c r="C2118" s="293">
        <f>Parametros!$M$117</f>
        <v>14.92682927</v>
      </c>
      <c r="D2118" s="293">
        <f>Parametros!$M$117</f>
        <v>14.92682927</v>
      </c>
      <c r="E2118" s="293">
        <f>Parametros!$M$117</f>
        <v>14.92682927</v>
      </c>
      <c r="F2118" s="293">
        <f>Parametros!$M$117</f>
        <v>14.92682927</v>
      </c>
      <c r="G2118" s="293">
        <f>Parametros!$M$117</f>
        <v>14.92682927</v>
      </c>
      <c r="H2118" s="293">
        <f>Parametros!$M$117</f>
        <v>14.92682927</v>
      </c>
      <c r="I2118" s="293">
        <f>Parametros!$M$117</f>
        <v>14.92682927</v>
      </c>
      <c r="J2118" s="293">
        <f>Parametros!$M$117</f>
        <v>14.92682927</v>
      </c>
      <c r="K2118" s="293">
        <f>Parametros!$M$117</f>
        <v>14.92682927</v>
      </c>
      <c r="L2118" s="293">
        <f>Parametros!$M$117</f>
        <v>14.92682927</v>
      </c>
      <c r="M2118" s="293">
        <f>Parametros!$M$117</f>
        <v>14.92682927</v>
      </c>
      <c r="N2118" s="293">
        <f>Parametros!$M$117</f>
        <v>14.92682927</v>
      </c>
      <c r="O2118" s="5"/>
      <c r="P2118" s="5"/>
      <c r="Q2118" s="5"/>
      <c r="R2118" s="5"/>
      <c r="S2118" s="5"/>
      <c r="T2118" s="5"/>
      <c r="U2118" s="5"/>
      <c r="V2118" s="5"/>
      <c r="W2118" s="5"/>
      <c r="X2118" s="5"/>
      <c r="Y2118" s="5"/>
      <c r="Z2118" s="5"/>
    </row>
    <row r="2119" ht="12.0" customHeight="1">
      <c r="A2119" s="92" t="s">
        <v>640</v>
      </c>
      <c r="B2119" s="5"/>
      <c r="C2119" s="203">
        <f>'Resumen Capacidad'!$B$225</f>
        <v>1</v>
      </c>
      <c r="D2119" s="203">
        <f>'Resumen Capacidad'!$B$225</f>
        <v>1</v>
      </c>
      <c r="E2119" s="203">
        <f>'Resumen Capacidad'!$B$225</f>
        <v>1</v>
      </c>
      <c r="F2119" s="203">
        <f>'Resumen Capacidad'!$B$225</f>
        <v>1</v>
      </c>
      <c r="G2119" s="203">
        <f>'Resumen Capacidad'!$B$225</f>
        <v>1</v>
      </c>
      <c r="H2119" s="203">
        <f>'Resumen Capacidad'!$B$225</f>
        <v>1</v>
      </c>
      <c r="I2119" s="203">
        <f>'Resumen Capacidad'!$B$225</f>
        <v>1</v>
      </c>
      <c r="J2119" s="203">
        <f>'Resumen Capacidad'!$B$225</f>
        <v>1</v>
      </c>
      <c r="K2119" s="203">
        <f>'Resumen Capacidad'!$B$225</f>
        <v>1</v>
      </c>
      <c r="L2119" s="203">
        <f>'Resumen Capacidad'!$B$225</f>
        <v>1</v>
      </c>
      <c r="M2119" s="203">
        <f>'Resumen Capacidad'!$B$225</f>
        <v>1</v>
      </c>
      <c r="N2119" s="203">
        <f>'Resumen Capacidad'!$B$225</f>
        <v>1</v>
      </c>
      <c r="O2119" s="5"/>
      <c r="P2119" s="5"/>
      <c r="Q2119" s="5"/>
      <c r="R2119" s="5"/>
      <c r="S2119" s="5"/>
      <c r="T2119" s="5"/>
      <c r="U2119" s="5"/>
      <c r="V2119" s="5"/>
      <c r="W2119" s="5"/>
      <c r="X2119" s="5"/>
      <c r="Y2119" s="5"/>
      <c r="Z2119" s="5"/>
    </row>
    <row r="2120" ht="12.0" customHeight="1">
      <c r="A2120" s="92" t="s">
        <v>642</v>
      </c>
      <c r="B2120" s="5"/>
      <c r="C2120" s="203">
        <f t="shared" ref="C2120:N2120" si="628">C2118*C2119</f>
        <v>14.92682927</v>
      </c>
      <c r="D2120" s="203">
        <f t="shared" si="628"/>
        <v>14.92682927</v>
      </c>
      <c r="E2120" s="203">
        <f t="shared" si="628"/>
        <v>14.92682927</v>
      </c>
      <c r="F2120" s="203">
        <f t="shared" si="628"/>
        <v>14.92682927</v>
      </c>
      <c r="G2120" s="203">
        <f t="shared" si="628"/>
        <v>14.92682927</v>
      </c>
      <c r="H2120" s="203">
        <f t="shared" si="628"/>
        <v>14.92682927</v>
      </c>
      <c r="I2120" s="203">
        <f t="shared" si="628"/>
        <v>14.92682927</v>
      </c>
      <c r="J2120" s="203">
        <f t="shared" si="628"/>
        <v>14.92682927</v>
      </c>
      <c r="K2120" s="203">
        <f t="shared" si="628"/>
        <v>14.92682927</v>
      </c>
      <c r="L2120" s="203">
        <f t="shared" si="628"/>
        <v>14.92682927</v>
      </c>
      <c r="M2120" s="203">
        <f t="shared" si="628"/>
        <v>14.92682927</v>
      </c>
      <c r="N2120" s="203">
        <f t="shared" si="628"/>
        <v>14.92682927</v>
      </c>
      <c r="O2120" s="5"/>
      <c r="P2120" s="5"/>
      <c r="Q2120" s="5"/>
      <c r="R2120" s="5"/>
      <c r="S2120" s="5"/>
      <c r="T2120" s="5"/>
      <c r="U2120" s="5"/>
      <c r="V2120" s="5"/>
      <c r="W2120" s="5"/>
      <c r="X2120" s="5"/>
      <c r="Y2120" s="5"/>
      <c r="Z2120" s="5"/>
    </row>
    <row r="2121" ht="12.0" customHeight="1">
      <c r="A2121" s="92" t="s">
        <v>643</v>
      </c>
      <c r="B2121" s="5"/>
      <c r="C2121" s="294">
        <f t="shared" ref="C2121:N2121" si="629">IF(C2120=0,0,C2117/C2120)</f>
        <v>0.005162962963</v>
      </c>
      <c r="D2121" s="294">
        <f t="shared" si="629"/>
        <v>0.004555555556</v>
      </c>
      <c r="E2121" s="294">
        <f t="shared" si="629"/>
        <v>0.005466666667</v>
      </c>
      <c r="F2121" s="294">
        <f t="shared" si="629"/>
        <v>0.005466666667</v>
      </c>
      <c r="G2121" s="294">
        <f t="shared" si="629"/>
        <v>0.005466666667</v>
      </c>
      <c r="H2121" s="294">
        <f t="shared" si="629"/>
        <v>0.004859259259</v>
      </c>
      <c r="I2121" s="294">
        <f t="shared" si="629"/>
        <v>0.005466666667</v>
      </c>
      <c r="J2121" s="294">
        <f t="shared" si="629"/>
        <v>0.005466666667</v>
      </c>
      <c r="K2121" s="294">
        <f t="shared" si="629"/>
        <v>0.005162962963</v>
      </c>
      <c r="L2121" s="294">
        <f t="shared" si="629"/>
        <v>0.004555555556</v>
      </c>
      <c r="M2121" s="294">
        <f t="shared" si="629"/>
        <v>0.004251851852</v>
      </c>
      <c r="N2121" s="294">
        <f t="shared" si="629"/>
        <v>0.004859259259</v>
      </c>
      <c r="O2121" s="5"/>
      <c r="P2121" s="5"/>
      <c r="Q2121" s="5"/>
      <c r="R2121" s="5"/>
      <c r="S2121" s="5"/>
      <c r="T2121" s="5"/>
      <c r="U2121" s="5"/>
      <c r="V2121" s="5"/>
      <c r="W2121" s="5"/>
      <c r="X2121" s="5"/>
      <c r="Y2121" s="5"/>
      <c r="Z2121" s="5"/>
    </row>
    <row r="2122" ht="12.0" customHeight="1">
      <c r="A2122" s="10" t="s">
        <v>1649</v>
      </c>
      <c r="B2122" s="5"/>
      <c r="C2122" s="206"/>
      <c r="D2122" s="206"/>
      <c r="E2122" s="206"/>
      <c r="F2122" s="206"/>
      <c r="G2122" s="206"/>
      <c r="H2122" s="206"/>
      <c r="I2122" s="206"/>
      <c r="J2122" s="206"/>
      <c r="K2122" s="206"/>
      <c r="L2122" s="206"/>
      <c r="M2122" s="206"/>
      <c r="N2122" s="206"/>
      <c r="O2122" s="5"/>
      <c r="P2122" s="5"/>
      <c r="Q2122" s="5"/>
      <c r="R2122" s="5"/>
      <c r="S2122" s="5"/>
      <c r="T2122" s="5"/>
      <c r="U2122" s="5"/>
      <c r="V2122" s="5"/>
      <c r="W2122" s="5"/>
      <c r="X2122" s="5"/>
      <c r="Y2122" s="5"/>
      <c r="Z2122" s="5"/>
    </row>
    <row r="2123" ht="12.0" customHeight="1">
      <c r="A2123" s="92" t="s">
        <v>630</v>
      </c>
      <c r="B2123" s="5" t="s">
        <v>631</v>
      </c>
      <c r="C2123" s="206" t="s">
        <v>3</v>
      </c>
      <c r="D2123" s="206" t="s">
        <v>4</v>
      </c>
      <c r="E2123" s="206" t="s">
        <v>507</v>
      </c>
      <c r="F2123" s="206" t="s">
        <v>508</v>
      </c>
      <c r="G2123" s="206" t="s">
        <v>509</v>
      </c>
      <c r="H2123" s="206" t="s">
        <v>510</v>
      </c>
      <c r="I2123" s="206" t="s">
        <v>511</v>
      </c>
      <c r="J2123" s="206" t="s">
        <v>512</v>
      </c>
      <c r="K2123" s="206" t="s">
        <v>513</v>
      </c>
      <c r="L2123" s="206" t="s">
        <v>514</v>
      </c>
      <c r="M2123" s="206" t="s">
        <v>515</v>
      </c>
      <c r="N2123" s="206" t="s">
        <v>516</v>
      </c>
      <c r="O2123" s="5"/>
      <c r="P2123" s="5"/>
      <c r="Q2123" s="5"/>
      <c r="R2123" s="5"/>
      <c r="S2123" s="5"/>
      <c r="T2123" s="5"/>
      <c r="U2123" s="5"/>
      <c r="V2123" s="5"/>
      <c r="W2123" s="5"/>
      <c r="X2123" s="5"/>
      <c r="Y2123" s="5"/>
      <c r="Z2123" s="5"/>
    </row>
    <row r="2124" ht="12.0" customHeight="1">
      <c r="A2124" s="92" t="s">
        <v>1643</v>
      </c>
      <c r="B2124" s="5" t="s">
        <v>633</v>
      </c>
      <c r="C2124" s="203">
        <f t="shared" ref="C2124:N2124" si="630">C2059</f>
        <v>11.56</v>
      </c>
      <c r="D2124" s="203">
        <f t="shared" si="630"/>
        <v>10.2</v>
      </c>
      <c r="E2124" s="203">
        <f t="shared" si="630"/>
        <v>12.24</v>
      </c>
      <c r="F2124" s="203">
        <f t="shared" si="630"/>
        <v>12.24</v>
      </c>
      <c r="G2124" s="203">
        <f t="shared" si="630"/>
        <v>12.24</v>
      </c>
      <c r="H2124" s="203">
        <f t="shared" si="630"/>
        <v>10.88</v>
      </c>
      <c r="I2124" s="203">
        <f t="shared" si="630"/>
        <v>12.24</v>
      </c>
      <c r="J2124" s="203">
        <f t="shared" si="630"/>
        <v>12.24</v>
      </c>
      <c r="K2124" s="203">
        <f t="shared" si="630"/>
        <v>11.56</v>
      </c>
      <c r="L2124" s="203">
        <f t="shared" si="630"/>
        <v>10.2</v>
      </c>
      <c r="M2124" s="203">
        <f t="shared" si="630"/>
        <v>9.52</v>
      </c>
      <c r="N2124" s="203">
        <f t="shared" si="630"/>
        <v>10.88</v>
      </c>
      <c r="O2124" s="5"/>
      <c r="P2124" s="5"/>
      <c r="Q2124" s="5"/>
      <c r="R2124" s="5"/>
      <c r="S2124" s="5"/>
      <c r="T2124" s="5"/>
      <c r="U2124" s="5"/>
      <c r="V2124" s="5"/>
      <c r="W2124" s="5"/>
      <c r="X2124" s="5"/>
      <c r="Y2124" s="5"/>
      <c r="Z2124" s="5"/>
    </row>
    <row r="2125" ht="12.0" customHeight="1">
      <c r="A2125" s="92"/>
      <c r="B2125" s="5" t="s">
        <v>634</v>
      </c>
      <c r="C2125" s="293">
        <f>C2124/Parametros!$B$37</f>
        <v>0.578</v>
      </c>
      <c r="D2125" s="293">
        <f>D2124/Parametros!$B$37</f>
        <v>0.51</v>
      </c>
      <c r="E2125" s="293">
        <f>E2124/Parametros!$B$37</f>
        <v>0.612</v>
      </c>
      <c r="F2125" s="293">
        <f>F2124/Parametros!$B$37</f>
        <v>0.612</v>
      </c>
      <c r="G2125" s="293">
        <f>G2124/Parametros!$B$37</f>
        <v>0.612</v>
      </c>
      <c r="H2125" s="293">
        <f>H2124/Parametros!$B$37</f>
        <v>0.544</v>
      </c>
      <c r="I2125" s="293">
        <f>I2124/Parametros!$B$37</f>
        <v>0.612</v>
      </c>
      <c r="J2125" s="293">
        <f>J2124/Parametros!$B$37</f>
        <v>0.612</v>
      </c>
      <c r="K2125" s="293">
        <f>K2124/Parametros!$B$37</f>
        <v>0.578</v>
      </c>
      <c r="L2125" s="293">
        <f>L2124/Parametros!$B$37</f>
        <v>0.51</v>
      </c>
      <c r="M2125" s="293">
        <f>M2124/Parametros!$B$37</f>
        <v>0.476</v>
      </c>
      <c r="N2125" s="293">
        <f>N2124/Parametros!$B$37</f>
        <v>0.544</v>
      </c>
      <c r="O2125" s="5"/>
      <c r="P2125" s="5"/>
      <c r="Q2125" s="5"/>
      <c r="R2125" s="5"/>
      <c r="S2125" s="5"/>
      <c r="T2125" s="5"/>
      <c r="U2125" s="5"/>
      <c r="V2125" s="5"/>
      <c r="W2125" s="5"/>
      <c r="X2125" s="5"/>
      <c r="Y2125" s="5"/>
      <c r="Z2125" s="5"/>
    </row>
    <row r="2126" ht="12.0" customHeight="1">
      <c r="A2126" s="92"/>
      <c r="B2126" s="5" t="s">
        <v>635</v>
      </c>
      <c r="C2126" s="293">
        <f>C2125/Parametros!$J$37</f>
        <v>0.07706666667</v>
      </c>
      <c r="D2126" s="293">
        <f>D2125/Parametros!$J$37</f>
        <v>0.068</v>
      </c>
      <c r="E2126" s="293">
        <f>E2125/Parametros!$J$37</f>
        <v>0.0816</v>
      </c>
      <c r="F2126" s="293">
        <f>F2125/Parametros!$J$37</f>
        <v>0.0816</v>
      </c>
      <c r="G2126" s="293">
        <f>G2125/Parametros!$J$37</f>
        <v>0.0816</v>
      </c>
      <c r="H2126" s="293">
        <f>H2125/Parametros!$J$37</f>
        <v>0.07253333333</v>
      </c>
      <c r="I2126" s="293">
        <f>I2125/Parametros!$J$37</f>
        <v>0.0816</v>
      </c>
      <c r="J2126" s="293">
        <f>J2125/Parametros!$J$37</f>
        <v>0.0816</v>
      </c>
      <c r="K2126" s="293">
        <f>K2125/Parametros!$J$37</f>
        <v>0.07706666667</v>
      </c>
      <c r="L2126" s="293">
        <f>L2125/Parametros!$J$37</f>
        <v>0.068</v>
      </c>
      <c r="M2126" s="293">
        <f>M2125/Parametros!$J$37</f>
        <v>0.06346666667</v>
      </c>
      <c r="N2126" s="293">
        <f>N2125/Parametros!$J$37</f>
        <v>0.07253333333</v>
      </c>
      <c r="O2126" s="5"/>
      <c r="P2126" s="5"/>
      <c r="Q2126" s="5"/>
      <c r="R2126" s="5"/>
      <c r="S2126" s="5"/>
      <c r="T2126" s="5"/>
      <c r="U2126" s="5"/>
      <c r="V2126" s="5"/>
      <c r="W2126" s="5"/>
      <c r="X2126" s="5"/>
      <c r="Y2126" s="5"/>
      <c r="Z2126" s="5"/>
    </row>
    <row r="2127" ht="12.0" customHeight="1">
      <c r="A2127" s="92" t="s">
        <v>636</v>
      </c>
      <c r="B2127" s="5"/>
      <c r="C2127" s="293">
        <f t="shared" ref="C2127:N2127" si="631">C2126</f>
        <v>0.07706666667</v>
      </c>
      <c r="D2127" s="293">
        <f t="shared" si="631"/>
        <v>0.068</v>
      </c>
      <c r="E2127" s="293">
        <f t="shared" si="631"/>
        <v>0.0816</v>
      </c>
      <c r="F2127" s="293">
        <f t="shared" si="631"/>
        <v>0.0816</v>
      </c>
      <c r="G2127" s="293">
        <f t="shared" si="631"/>
        <v>0.0816</v>
      </c>
      <c r="H2127" s="293">
        <f t="shared" si="631"/>
        <v>0.07253333333</v>
      </c>
      <c r="I2127" s="293">
        <f t="shared" si="631"/>
        <v>0.0816</v>
      </c>
      <c r="J2127" s="293">
        <f t="shared" si="631"/>
        <v>0.0816</v>
      </c>
      <c r="K2127" s="293">
        <f t="shared" si="631"/>
        <v>0.07706666667</v>
      </c>
      <c r="L2127" s="293">
        <f t="shared" si="631"/>
        <v>0.068</v>
      </c>
      <c r="M2127" s="293">
        <f t="shared" si="631"/>
        <v>0.06346666667</v>
      </c>
      <c r="N2127" s="293">
        <f t="shared" si="631"/>
        <v>0.07253333333</v>
      </c>
      <c r="O2127" s="5"/>
      <c r="P2127" s="5"/>
      <c r="Q2127" s="5"/>
      <c r="R2127" s="5"/>
      <c r="S2127" s="5"/>
      <c r="T2127" s="5"/>
      <c r="U2127" s="5"/>
      <c r="V2127" s="5"/>
      <c r="W2127" s="5"/>
      <c r="X2127" s="5"/>
      <c r="Y2127" s="5"/>
      <c r="Z2127" s="5"/>
    </row>
    <row r="2128" ht="12.0" customHeight="1">
      <c r="A2128" s="92" t="s">
        <v>637</v>
      </c>
      <c r="B2128" s="5"/>
      <c r="C2128" s="293">
        <f>Parametros!$M$118</f>
        <v>38.25</v>
      </c>
      <c r="D2128" s="293">
        <f>Parametros!$M$118</f>
        <v>38.25</v>
      </c>
      <c r="E2128" s="293">
        <f>Parametros!$M$118</f>
        <v>38.25</v>
      </c>
      <c r="F2128" s="293">
        <f>Parametros!$M$118</f>
        <v>38.25</v>
      </c>
      <c r="G2128" s="293">
        <f>Parametros!$M$118</f>
        <v>38.25</v>
      </c>
      <c r="H2128" s="293">
        <f>Parametros!$M$118</f>
        <v>38.25</v>
      </c>
      <c r="I2128" s="293">
        <f>Parametros!$M$118</f>
        <v>38.25</v>
      </c>
      <c r="J2128" s="293">
        <f>Parametros!$M$118</f>
        <v>38.25</v>
      </c>
      <c r="K2128" s="293">
        <f>Parametros!$M$118</f>
        <v>38.25</v>
      </c>
      <c r="L2128" s="293">
        <f>Parametros!$M$118</f>
        <v>38.25</v>
      </c>
      <c r="M2128" s="293">
        <f>Parametros!$M$118</f>
        <v>38.25</v>
      </c>
      <c r="N2128" s="293">
        <f>Parametros!$M$118</f>
        <v>38.25</v>
      </c>
      <c r="O2128" s="5"/>
      <c r="P2128" s="5"/>
      <c r="Q2128" s="5"/>
      <c r="R2128" s="5"/>
      <c r="S2128" s="5"/>
      <c r="T2128" s="5"/>
      <c r="U2128" s="5"/>
      <c r="V2128" s="5"/>
      <c r="W2128" s="5"/>
      <c r="X2128" s="5"/>
      <c r="Y2128" s="5"/>
      <c r="Z2128" s="5"/>
    </row>
    <row r="2129" ht="12.0" customHeight="1">
      <c r="A2129" s="92" t="s">
        <v>640</v>
      </c>
      <c r="B2129" s="5"/>
      <c r="C2129" s="203">
        <f>'Resumen Capacidad'!$B$226</f>
        <v>1</v>
      </c>
      <c r="D2129" s="203">
        <f>'Resumen Capacidad'!$B$226</f>
        <v>1</v>
      </c>
      <c r="E2129" s="203">
        <f>'Resumen Capacidad'!$B$226</f>
        <v>1</v>
      </c>
      <c r="F2129" s="203">
        <f>'Resumen Capacidad'!$B$226</f>
        <v>1</v>
      </c>
      <c r="G2129" s="203">
        <f>'Resumen Capacidad'!$B$226</f>
        <v>1</v>
      </c>
      <c r="H2129" s="203">
        <f>'Resumen Capacidad'!$B$226</f>
        <v>1</v>
      </c>
      <c r="I2129" s="203">
        <f>'Resumen Capacidad'!$B$226</f>
        <v>1</v>
      </c>
      <c r="J2129" s="203">
        <f>'Resumen Capacidad'!$B$226</f>
        <v>1</v>
      </c>
      <c r="K2129" s="203">
        <f>'Resumen Capacidad'!$B$226</f>
        <v>1</v>
      </c>
      <c r="L2129" s="203">
        <f>'Resumen Capacidad'!$B$226</f>
        <v>1</v>
      </c>
      <c r="M2129" s="203">
        <f>'Resumen Capacidad'!$B$226</f>
        <v>1</v>
      </c>
      <c r="N2129" s="203">
        <f>'Resumen Capacidad'!$B$226</f>
        <v>1</v>
      </c>
      <c r="O2129" s="5"/>
      <c r="P2129" s="5"/>
      <c r="Q2129" s="5"/>
      <c r="R2129" s="5"/>
      <c r="S2129" s="5"/>
      <c r="T2129" s="5"/>
      <c r="U2129" s="5"/>
      <c r="V2129" s="5"/>
      <c r="W2129" s="5"/>
      <c r="X2129" s="5"/>
      <c r="Y2129" s="5"/>
      <c r="Z2129" s="5"/>
    </row>
    <row r="2130" ht="12.0" customHeight="1">
      <c r="A2130" s="92" t="s">
        <v>642</v>
      </c>
      <c r="B2130" s="5"/>
      <c r="C2130" s="203">
        <f t="shared" ref="C2130:N2130" si="632">C2128*C2129</f>
        <v>38.25</v>
      </c>
      <c r="D2130" s="203">
        <f t="shared" si="632"/>
        <v>38.25</v>
      </c>
      <c r="E2130" s="203">
        <f t="shared" si="632"/>
        <v>38.25</v>
      </c>
      <c r="F2130" s="203">
        <f t="shared" si="632"/>
        <v>38.25</v>
      </c>
      <c r="G2130" s="203">
        <f t="shared" si="632"/>
        <v>38.25</v>
      </c>
      <c r="H2130" s="203">
        <f t="shared" si="632"/>
        <v>38.25</v>
      </c>
      <c r="I2130" s="203">
        <f t="shared" si="632"/>
        <v>38.25</v>
      </c>
      <c r="J2130" s="203">
        <f t="shared" si="632"/>
        <v>38.25</v>
      </c>
      <c r="K2130" s="203">
        <f t="shared" si="632"/>
        <v>38.25</v>
      </c>
      <c r="L2130" s="203">
        <f t="shared" si="632"/>
        <v>38.25</v>
      </c>
      <c r="M2130" s="203">
        <f t="shared" si="632"/>
        <v>38.25</v>
      </c>
      <c r="N2130" s="203">
        <f t="shared" si="632"/>
        <v>38.25</v>
      </c>
      <c r="O2130" s="5"/>
      <c r="P2130" s="5"/>
      <c r="Q2130" s="5"/>
      <c r="R2130" s="5"/>
      <c r="S2130" s="5"/>
      <c r="T2130" s="5"/>
      <c r="U2130" s="5"/>
      <c r="V2130" s="5"/>
      <c r="W2130" s="5"/>
      <c r="X2130" s="5"/>
      <c r="Y2130" s="5"/>
      <c r="Z2130" s="5"/>
    </row>
    <row r="2131" ht="12.0" customHeight="1">
      <c r="A2131" s="92" t="s">
        <v>643</v>
      </c>
      <c r="B2131" s="5"/>
      <c r="C2131" s="294">
        <f t="shared" ref="C2131:N2131" si="633">IF(C2130=0,0,C2127/C2130)</f>
        <v>0.002014814815</v>
      </c>
      <c r="D2131" s="294">
        <f t="shared" si="633"/>
        <v>0.001777777778</v>
      </c>
      <c r="E2131" s="294">
        <f t="shared" si="633"/>
        <v>0.002133333333</v>
      </c>
      <c r="F2131" s="294">
        <f t="shared" si="633"/>
        <v>0.002133333333</v>
      </c>
      <c r="G2131" s="294">
        <f t="shared" si="633"/>
        <v>0.002133333333</v>
      </c>
      <c r="H2131" s="294">
        <f t="shared" si="633"/>
        <v>0.001896296296</v>
      </c>
      <c r="I2131" s="294">
        <f t="shared" si="633"/>
        <v>0.002133333333</v>
      </c>
      <c r="J2131" s="294">
        <f t="shared" si="633"/>
        <v>0.002133333333</v>
      </c>
      <c r="K2131" s="294">
        <f t="shared" si="633"/>
        <v>0.002014814815</v>
      </c>
      <c r="L2131" s="294">
        <f t="shared" si="633"/>
        <v>0.001777777778</v>
      </c>
      <c r="M2131" s="294">
        <f t="shared" si="633"/>
        <v>0.001659259259</v>
      </c>
      <c r="N2131" s="294">
        <f t="shared" si="633"/>
        <v>0.001896296296</v>
      </c>
      <c r="O2131" s="5"/>
      <c r="P2131" s="5"/>
      <c r="Q2131" s="5"/>
      <c r="R2131" s="5"/>
      <c r="S2131" s="5"/>
      <c r="T2131" s="5"/>
      <c r="U2131" s="5"/>
      <c r="V2131" s="5"/>
      <c r="W2131" s="5"/>
      <c r="X2131" s="5"/>
      <c r="Y2131" s="5"/>
      <c r="Z2131" s="5"/>
    </row>
    <row r="2132" ht="12.0" customHeight="1">
      <c r="A2132" s="10" t="s">
        <v>1650</v>
      </c>
      <c r="B2132" s="5"/>
      <c r="C2132" s="206"/>
      <c r="D2132" s="206"/>
      <c r="E2132" s="206"/>
      <c r="F2132" s="206"/>
      <c r="G2132" s="206"/>
      <c r="H2132" s="206"/>
      <c r="I2132" s="206"/>
      <c r="J2132" s="206"/>
      <c r="K2132" s="206"/>
      <c r="L2132" s="206"/>
      <c r="M2132" s="206"/>
      <c r="N2132" s="206"/>
      <c r="O2132" s="5"/>
      <c r="P2132" s="5"/>
      <c r="Q2132" s="5"/>
      <c r="R2132" s="5"/>
      <c r="S2132" s="5"/>
      <c r="T2132" s="5"/>
      <c r="U2132" s="5"/>
      <c r="V2132" s="5"/>
      <c r="W2132" s="5"/>
      <c r="X2132" s="5"/>
      <c r="Y2132" s="5"/>
      <c r="Z2132" s="5"/>
    </row>
    <row r="2133" ht="12.0" customHeight="1">
      <c r="A2133" s="92" t="s">
        <v>630</v>
      </c>
      <c r="B2133" s="5" t="s">
        <v>631</v>
      </c>
      <c r="C2133" s="206" t="s">
        <v>3</v>
      </c>
      <c r="D2133" s="206" t="s">
        <v>4</v>
      </c>
      <c r="E2133" s="206" t="s">
        <v>507</v>
      </c>
      <c r="F2133" s="206" t="s">
        <v>508</v>
      </c>
      <c r="G2133" s="206" t="s">
        <v>509</v>
      </c>
      <c r="H2133" s="206" t="s">
        <v>510</v>
      </c>
      <c r="I2133" s="206" t="s">
        <v>511</v>
      </c>
      <c r="J2133" s="206" t="s">
        <v>512</v>
      </c>
      <c r="K2133" s="206" t="s">
        <v>513</v>
      </c>
      <c r="L2133" s="206" t="s">
        <v>514</v>
      </c>
      <c r="M2133" s="206" t="s">
        <v>515</v>
      </c>
      <c r="N2133" s="206" t="s">
        <v>516</v>
      </c>
      <c r="O2133" s="5"/>
      <c r="P2133" s="5"/>
      <c r="Q2133" s="5"/>
      <c r="R2133" s="5"/>
      <c r="S2133" s="5"/>
      <c r="T2133" s="5"/>
      <c r="U2133" s="5"/>
      <c r="V2133" s="5"/>
      <c r="W2133" s="5"/>
      <c r="X2133" s="5"/>
      <c r="Y2133" s="5"/>
      <c r="Z2133" s="5"/>
    </row>
    <row r="2134" ht="12.0" customHeight="1">
      <c r="A2134" s="92" t="s">
        <v>1643</v>
      </c>
      <c r="B2134" s="5" t="s">
        <v>633</v>
      </c>
      <c r="C2134" s="203">
        <f t="shared" ref="C2134:N2134" si="634">C2059</f>
        <v>11.56</v>
      </c>
      <c r="D2134" s="203">
        <f t="shared" si="634"/>
        <v>10.2</v>
      </c>
      <c r="E2134" s="203">
        <f t="shared" si="634"/>
        <v>12.24</v>
      </c>
      <c r="F2134" s="203">
        <f t="shared" si="634"/>
        <v>12.24</v>
      </c>
      <c r="G2134" s="203">
        <f t="shared" si="634"/>
        <v>12.24</v>
      </c>
      <c r="H2134" s="203">
        <f t="shared" si="634"/>
        <v>10.88</v>
      </c>
      <c r="I2134" s="203">
        <f t="shared" si="634"/>
        <v>12.24</v>
      </c>
      <c r="J2134" s="203">
        <f t="shared" si="634"/>
        <v>12.24</v>
      </c>
      <c r="K2134" s="203">
        <f t="shared" si="634"/>
        <v>11.56</v>
      </c>
      <c r="L2134" s="203">
        <f t="shared" si="634"/>
        <v>10.2</v>
      </c>
      <c r="M2134" s="203">
        <f t="shared" si="634"/>
        <v>9.52</v>
      </c>
      <c r="N2134" s="203">
        <f t="shared" si="634"/>
        <v>10.88</v>
      </c>
      <c r="O2134" s="5"/>
      <c r="P2134" s="5"/>
      <c r="Q2134" s="5"/>
      <c r="R2134" s="5"/>
      <c r="S2134" s="5"/>
      <c r="T2134" s="5"/>
      <c r="U2134" s="5"/>
      <c r="V2134" s="5"/>
      <c r="W2134" s="5"/>
      <c r="X2134" s="5"/>
      <c r="Y2134" s="5"/>
      <c r="Z2134" s="5"/>
    </row>
    <row r="2135" ht="12.0" customHeight="1">
      <c r="A2135" s="92"/>
      <c r="B2135" s="5" t="s">
        <v>634</v>
      </c>
      <c r="C2135" s="293">
        <f>C2134/Parametros!$B$37</f>
        <v>0.578</v>
      </c>
      <c r="D2135" s="293">
        <f>D2134/Parametros!$B$37</f>
        <v>0.51</v>
      </c>
      <c r="E2135" s="293">
        <f>E2134/Parametros!$B$37</f>
        <v>0.612</v>
      </c>
      <c r="F2135" s="293">
        <f>F2134/Parametros!$B$37</f>
        <v>0.612</v>
      </c>
      <c r="G2135" s="293">
        <f>G2134/Parametros!$B$37</f>
        <v>0.612</v>
      </c>
      <c r="H2135" s="293">
        <f>H2134/Parametros!$B$37</f>
        <v>0.544</v>
      </c>
      <c r="I2135" s="293">
        <f>I2134/Parametros!$B$37</f>
        <v>0.612</v>
      </c>
      <c r="J2135" s="293">
        <f>J2134/Parametros!$B$37</f>
        <v>0.612</v>
      </c>
      <c r="K2135" s="293">
        <f>K2134/Parametros!$B$37</f>
        <v>0.578</v>
      </c>
      <c r="L2135" s="293">
        <f>L2134/Parametros!$B$37</f>
        <v>0.51</v>
      </c>
      <c r="M2135" s="293">
        <f>M2134/Parametros!$B$37</f>
        <v>0.476</v>
      </c>
      <c r="N2135" s="293">
        <f>N2134/Parametros!$B$37</f>
        <v>0.544</v>
      </c>
      <c r="O2135" s="5"/>
      <c r="P2135" s="5"/>
      <c r="Q2135" s="5"/>
      <c r="R2135" s="5"/>
      <c r="S2135" s="5"/>
      <c r="T2135" s="5"/>
      <c r="U2135" s="5"/>
      <c r="V2135" s="5"/>
      <c r="W2135" s="5"/>
      <c r="X2135" s="5"/>
      <c r="Y2135" s="5"/>
      <c r="Z2135" s="5"/>
    </row>
    <row r="2136" ht="12.0" customHeight="1">
      <c r="A2136" s="92"/>
      <c r="B2136" s="5" t="s">
        <v>635</v>
      </c>
      <c r="C2136" s="293">
        <f>C2135/Parametros!$J$37</f>
        <v>0.07706666667</v>
      </c>
      <c r="D2136" s="293">
        <f>D2135/Parametros!$J$37</f>
        <v>0.068</v>
      </c>
      <c r="E2136" s="293">
        <f>E2135/Parametros!$J$37</f>
        <v>0.0816</v>
      </c>
      <c r="F2136" s="293">
        <f>F2135/Parametros!$J$37</f>
        <v>0.0816</v>
      </c>
      <c r="G2136" s="293">
        <f>G2135/Parametros!$J$37</f>
        <v>0.0816</v>
      </c>
      <c r="H2136" s="293">
        <f>H2135/Parametros!$J$37</f>
        <v>0.07253333333</v>
      </c>
      <c r="I2136" s="293">
        <f>I2135/Parametros!$J$37</f>
        <v>0.0816</v>
      </c>
      <c r="J2136" s="293">
        <f>J2135/Parametros!$J$37</f>
        <v>0.0816</v>
      </c>
      <c r="K2136" s="293">
        <f>K2135/Parametros!$J$37</f>
        <v>0.07706666667</v>
      </c>
      <c r="L2136" s="293">
        <f>L2135/Parametros!$J$37</f>
        <v>0.068</v>
      </c>
      <c r="M2136" s="293">
        <f>M2135/Parametros!$J$37</f>
        <v>0.06346666667</v>
      </c>
      <c r="N2136" s="293">
        <f>N2135/Parametros!$J$37</f>
        <v>0.07253333333</v>
      </c>
      <c r="O2136" s="5"/>
      <c r="P2136" s="5"/>
      <c r="Q2136" s="5"/>
      <c r="R2136" s="5"/>
      <c r="S2136" s="5"/>
      <c r="T2136" s="5"/>
      <c r="U2136" s="5"/>
      <c r="V2136" s="5"/>
      <c r="W2136" s="5"/>
      <c r="X2136" s="5"/>
      <c r="Y2136" s="5"/>
      <c r="Z2136" s="5"/>
    </row>
    <row r="2137" ht="12.0" customHeight="1">
      <c r="A2137" s="92" t="s">
        <v>636</v>
      </c>
      <c r="B2137" s="5"/>
      <c r="C2137" s="293">
        <f t="shared" ref="C2137:N2137" si="635">C2136</f>
        <v>0.07706666667</v>
      </c>
      <c r="D2137" s="293">
        <f t="shared" si="635"/>
        <v>0.068</v>
      </c>
      <c r="E2137" s="293">
        <f t="shared" si="635"/>
        <v>0.0816</v>
      </c>
      <c r="F2137" s="293">
        <f t="shared" si="635"/>
        <v>0.0816</v>
      </c>
      <c r="G2137" s="293">
        <f t="shared" si="635"/>
        <v>0.0816</v>
      </c>
      <c r="H2137" s="293">
        <f t="shared" si="635"/>
        <v>0.07253333333</v>
      </c>
      <c r="I2137" s="293">
        <f t="shared" si="635"/>
        <v>0.0816</v>
      </c>
      <c r="J2137" s="293">
        <f t="shared" si="635"/>
        <v>0.0816</v>
      </c>
      <c r="K2137" s="293">
        <f t="shared" si="635"/>
        <v>0.07706666667</v>
      </c>
      <c r="L2137" s="293">
        <f t="shared" si="635"/>
        <v>0.068</v>
      </c>
      <c r="M2137" s="293">
        <f t="shared" si="635"/>
        <v>0.06346666667</v>
      </c>
      <c r="N2137" s="293">
        <f t="shared" si="635"/>
        <v>0.07253333333</v>
      </c>
      <c r="O2137" s="5"/>
      <c r="P2137" s="5"/>
      <c r="Q2137" s="5"/>
      <c r="R2137" s="5"/>
      <c r="S2137" s="5"/>
      <c r="T2137" s="5"/>
      <c r="U2137" s="5"/>
      <c r="V2137" s="5"/>
      <c r="W2137" s="5"/>
      <c r="X2137" s="5"/>
      <c r="Y2137" s="5"/>
      <c r="Z2137" s="5"/>
    </row>
    <row r="2138" ht="12.0" customHeight="1">
      <c r="A2138" s="92" t="s">
        <v>637</v>
      </c>
      <c r="B2138" s="5"/>
      <c r="C2138" s="293">
        <f>Parametros!$M$119</f>
        <v>5.666666667</v>
      </c>
      <c r="D2138" s="293">
        <f>Parametros!$M$119</f>
        <v>5.666666667</v>
      </c>
      <c r="E2138" s="293">
        <f>Parametros!$M$119</f>
        <v>5.666666667</v>
      </c>
      <c r="F2138" s="293">
        <f>Parametros!$M$119</f>
        <v>5.666666667</v>
      </c>
      <c r="G2138" s="293">
        <f>Parametros!$M$119</f>
        <v>5.666666667</v>
      </c>
      <c r="H2138" s="293">
        <f>Parametros!$M$119</f>
        <v>5.666666667</v>
      </c>
      <c r="I2138" s="293">
        <f>Parametros!$M$119</f>
        <v>5.666666667</v>
      </c>
      <c r="J2138" s="293">
        <f>Parametros!$M$119</f>
        <v>5.666666667</v>
      </c>
      <c r="K2138" s="293">
        <f>Parametros!$M$119</f>
        <v>5.666666667</v>
      </c>
      <c r="L2138" s="293">
        <f>Parametros!$M$119</f>
        <v>5.666666667</v>
      </c>
      <c r="M2138" s="293">
        <f>Parametros!$M$119</f>
        <v>5.666666667</v>
      </c>
      <c r="N2138" s="293">
        <f>Parametros!$M$119</f>
        <v>5.666666667</v>
      </c>
      <c r="O2138" s="5"/>
      <c r="P2138" s="5"/>
      <c r="Q2138" s="5"/>
      <c r="R2138" s="5"/>
      <c r="S2138" s="5"/>
      <c r="T2138" s="5"/>
      <c r="U2138" s="5"/>
      <c r="V2138" s="5"/>
      <c r="W2138" s="5"/>
      <c r="X2138" s="5"/>
      <c r="Y2138" s="5"/>
      <c r="Z2138" s="5"/>
    </row>
    <row r="2139" ht="12.0" customHeight="1">
      <c r="A2139" s="92" t="s">
        <v>640</v>
      </c>
      <c r="B2139" s="5"/>
      <c r="C2139" s="203">
        <f>'Resumen Capacidad'!$B$227</f>
        <v>1</v>
      </c>
      <c r="D2139" s="203">
        <f>'Resumen Capacidad'!$B$227</f>
        <v>1</v>
      </c>
      <c r="E2139" s="203">
        <f>'Resumen Capacidad'!$B$227</f>
        <v>1</v>
      </c>
      <c r="F2139" s="203">
        <f>'Resumen Capacidad'!$B$227</f>
        <v>1</v>
      </c>
      <c r="G2139" s="203">
        <f>'Resumen Capacidad'!$B$227</f>
        <v>1</v>
      </c>
      <c r="H2139" s="203">
        <f>'Resumen Capacidad'!$B$227</f>
        <v>1</v>
      </c>
      <c r="I2139" s="203">
        <f>'Resumen Capacidad'!$B$227</f>
        <v>1</v>
      </c>
      <c r="J2139" s="203">
        <f>'Resumen Capacidad'!$B$227</f>
        <v>1</v>
      </c>
      <c r="K2139" s="203">
        <f>'Resumen Capacidad'!$B$227</f>
        <v>1</v>
      </c>
      <c r="L2139" s="203">
        <f>'Resumen Capacidad'!$B$227</f>
        <v>1</v>
      </c>
      <c r="M2139" s="203">
        <f>'Resumen Capacidad'!$B$227</f>
        <v>1</v>
      </c>
      <c r="N2139" s="203">
        <f>'Resumen Capacidad'!$B$227</f>
        <v>1</v>
      </c>
      <c r="O2139" s="5"/>
      <c r="P2139" s="5"/>
      <c r="Q2139" s="5"/>
      <c r="R2139" s="5"/>
      <c r="S2139" s="5"/>
      <c r="T2139" s="5"/>
      <c r="U2139" s="5"/>
      <c r="V2139" s="5"/>
      <c r="W2139" s="5"/>
      <c r="X2139" s="5"/>
      <c r="Y2139" s="5"/>
      <c r="Z2139" s="5"/>
    </row>
    <row r="2140" ht="12.0" customHeight="1">
      <c r="A2140" s="92" t="s">
        <v>642</v>
      </c>
      <c r="B2140" s="5"/>
      <c r="C2140" s="203">
        <f t="shared" ref="C2140:N2140" si="636">C2138*C2139</f>
        <v>5.666666667</v>
      </c>
      <c r="D2140" s="203">
        <f t="shared" si="636"/>
        <v>5.666666667</v>
      </c>
      <c r="E2140" s="203">
        <f t="shared" si="636"/>
        <v>5.666666667</v>
      </c>
      <c r="F2140" s="203">
        <f t="shared" si="636"/>
        <v>5.666666667</v>
      </c>
      <c r="G2140" s="203">
        <f t="shared" si="636"/>
        <v>5.666666667</v>
      </c>
      <c r="H2140" s="203">
        <f t="shared" si="636"/>
        <v>5.666666667</v>
      </c>
      <c r="I2140" s="203">
        <f t="shared" si="636"/>
        <v>5.666666667</v>
      </c>
      <c r="J2140" s="203">
        <f t="shared" si="636"/>
        <v>5.666666667</v>
      </c>
      <c r="K2140" s="203">
        <f t="shared" si="636"/>
        <v>5.666666667</v>
      </c>
      <c r="L2140" s="203">
        <f t="shared" si="636"/>
        <v>5.666666667</v>
      </c>
      <c r="M2140" s="203">
        <f t="shared" si="636"/>
        <v>5.666666667</v>
      </c>
      <c r="N2140" s="203">
        <f t="shared" si="636"/>
        <v>5.666666667</v>
      </c>
      <c r="O2140" s="5"/>
      <c r="P2140" s="5"/>
      <c r="Q2140" s="5"/>
      <c r="R2140" s="5"/>
      <c r="S2140" s="5"/>
      <c r="T2140" s="5"/>
      <c r="U2140" s="5"/>
      <c r="V2140" s="5"/>
      <c r="W2140" s="5"/>
      <c r="X2140" s="5"/>
      <c r="Y2140" s="5"/>
      <c r="Z2140" s="5"/>
    </row>
    <row r="2141" ht="12.0" customHeight="1">
      <c r="A2141" s="92" t="s">
        <v>643</v>
      </c>
      <c r="B2141" s="5"/>
      <c r="C2141" s="294">
        <f t="shared" ref="C2141:N2141" si="637">IF(C2140=0,0,C2137/C2140)</f>
        <v>0.0136</v>
      </c>
      <c r="D2141" s="294">
        <f t="shared" si="637"/>
        <v>0.012</v>
      </c>
      <c r="E2141" s="294">
        <f t="shared" si="637"/>
        <v>0.0144</v>
      </c>
      <c r="F2141" s="294">
        <f t="shared" si="637"/>
        <v>0.0144</v>
      </c>
      <c r="G2141" s="294">
        <f t="shared" si="637"/>
        <v>0.0144</v>
      </c>
      <c r="H2141" s="294">
        <f t="shared" si="637"/>
        <v>0.0128</v>
      </c>
      <c r="I2141" s="294">
        <f t="shared" si="637"/>
        <v>0.0144</v>
      </c>
      <c r="J2141" s="294">
        <f t="shared" si="637"/>
        <v>0.0144</v>
      </c>
      <c r="K2141" s="294">
        <f t="shared" si="637"/>
        <v>0.0136</v>
      </c>
      <c r="L2141" s="294">
        <f t="shared" si="637"/>
        <v>0.012</v>
      </c>
      <c r="M2141" s="294">
        <f t="shared" si="637"/>
        <v>0.0112</v>
      </c>
      <c r="N2141" s="294">
        <f t="shared" si="637"/>
        <v>0.0128</v>
      </c>
      <c r="O2141" s="5"/>
      <c r="P2141" s="5"/>
      <c r="Q2141" s="5"/>
      <c r="R2141" s="5"/>
      <c r="S2141" s="5"/>
      <c r="T2141" s="5"/>
      <c r="U2141" s="5"/>
      <c r="V2141" s="5"/>
      <c r="W2141" s="5"/>
      <c r="X2141" s="5"/>
      <c r="Y2141" s="5"/>
      <c r="Z2141" s="5"/>
    </row>
    <row r="2142" ht="12.0" customHeight="1">
      <c r="A2142" s="92"/>
      <c r="B2142" s="5"/>
      <c r="C2142" s="206"/>
      <c r="D2142" s="206"/>
      <c r="E2142" s="206"/>
      <c r="F2142" s="206"/>
      <c r="G2142" s="206"/>
      <c r="H2142" s="206"/>
      <c r="I2142" s="206"/>
      <c r="J2142" s="206"/>
      <c r="K2142" s="206"/>
      <c r="L2142" s="206"/>
      <c r="M2142" s="206"/>
      <c r="N2142" s="206"/>
      <c r="O2142" s="5"/>
      <c r="P2142" s="5"/>
      <c r="Q2142" s="5"/>
      <c r="R2142" s="5"/>
      <c r="S2142" s="5"/>
      <c r="T2142" s="5"/>
      <c r="U2142" s="5"/>
      <c r="V2142" s="5"/>
      <c r="W2142" s="5"/>
      <c r="X2142" s="5"/>
      <c r="Y2142" s="5"/>
      <c r="Z2142" s="5"/>
    </row>
    <row r="2143" ht="12.0" customHeight="1">
      <c r="A2143" s="288" t="s">
        <v>1651</v>
      </c>
      <c r="B2143" s="202"/>
      <c r="C2143" s="289"/>
      <c r="D2143" s="289"/>
      <c r="E2143" s="289"/>
      <c r="F2143" s="289"/>
      <c r="G2143" s="289"/>
      <c r="H2143" s="289"/>
      <c r="I2143" s="289"/>
      <c r="J2143" s="289"/>
      <c r="K2143" s="289"/>
      <c r="L2143" s="289"/>
      <c r="M2143" s="289"/>
      <c r="N2143" s="289"/>
      <c r="O2143" s="202"/>
      <c r="P2143" s="5"/>
      <c r="Q2143" s="5"/>
      <c r="R2143" s="5"/>
      <c r="S2143" s="5"/>
      <c r="T2143" s="5"/>
      <c r="U2143" s="5"/>
      <c r="V2143" s="5"/>
      <c r="W2143" s="5"/>
      <c r="X2143" s="5"/>
      <c r="Y2143" s="5"/>
      <c r="Z2143" s="5"/>
    </row>
    <row r="2144" ht="12.0" customHeight="1">
      <c r="A2144" s="160" t="s">
        <v>188</v>
      </c>
      <c r="B2144" s="160" t="s">
        <v>631</v>
      </c>
      <c r="C2144" s="290" t="s">
        <v>3</v>
      </c>
      <c r="D2144" s="290" t="s">
        <v>4</v>
      </c>
      <c r="E2144" s="290" t="s">
        <v>507</v>
      </c>
      <c r="F2144" s="290" t="s">
        <v>508</v>
      </c>
      <c r="G2144" s="290" t="s">
        <v>509</v>
      </c>
      <c r="H2144" s="290" t="s">
        <v>510</v>
      </c>
      <c r="I2144" s="290" t="s">
        <v>511</v>
      </c>
      <c r="J2144" s="290" t="s">
        <v>512</v>
      </c>
      <c r="K2144" s="290" t="s">
        <v>513</v>
      </c>
      <c r="L2144" s="290" t="s">
        <v>514</v>
      </c>
      <c r="M2144" s="290" t="s">
        <v>515</v>
      </c>
      <c r="N2144" s="290" t="s">
        <v>516</v>
      </c>
      <c r="O2144" s="160" t="s">
        <v>15</v>
      </c>
      <c r="P2144" s="160" t="s">
        <v>1598</v>
      </c>
      <c r="Q2144" s="19" t="s">
        <v>1634</v>
      </c>
      <c r="R2144" s="5"/>
      <c r="S2144" s="5"/>
      <c r="T2144" s="5"/>
      <c r="U2144" s="5"/>
      <c r="V2144" s="5"/>
      <c r="W2144" s="5"/>
      <c r="X2144" s="5"/>
      <c r="Y2144" s="5"/>
      <c r="Z2144" s="5"/>
    </row>
    <row r="2145" ht="12.0" customHeight="1">
      <c r="A2145" s="28" t="s">
        <v>1635</v>
      </c>
      <c r="B2145" s="5" t="s">
        <v>633</v>
      </c>
      <c r="C2145" s="291">
        <f>SUM('2027'!B10:B13)</f>
        <v>19.805</v>
      </c>
      <c r="D2145" s="291">
        <f>SUM('2027'!C10:C13)</f>
        <v>17.475</v>
      </c>
      <c r="E2145" s="291">
        <f>SUM('2027'!D10:D13)</f>
        <v>20.97</v>
      </c>
      <c r="F2145" s="291">
        <f>SUM('2027'!E10:E13)</f>
        <v>20.97</v>
      </c>
      <c r="G2145" s="291">
        <f>SUM('2027'!F10:F13)</f>
        <v>20.97</v>
      </c>
      <c r="H2145" s="291">
        <f>SUM('2027'!G10:G13)</f>
        <v>18.64</v>
      </c>
      <c r="I2145" s="291">
        <f>SUM('2027'!H10:H13)</f>
        <v>20.97</v>
      </c>
      <c r="J2145" s="291">
        <f>SUM('2027'!I10:I13)</f>
        <v>20.97</v>
      </c>
      <c r="K2145" s="291">
        <f>SUM('2027'!J10:J13)</f>
        <v>19.805</v>
      </c>
      <c r="L2145" s="291">
        <f>SUM('2027'!K10:K13)</f>
        <v>17.475</v>
      </c>
      <c r="M2145" s="291">
        <f>SUM('2027'!L10:L13)</f>
        <v>16.31</v>
      </c>
      <c r="N2145" s="291">
        <f>SUM('2027'!M10:M13)</f>
        <v>18.64</v>
      </c>
      <c r="O2145" s="292">
        <f t="shared" ref="O2145:O2150" si="638">SUM(C2145:N2145)</f>
        <v>233</v>
      </c>
      <c r="P2145" s="5"/>
      <c r="Q2145" s="5"/>
      <c r="R2145" s="5"/>
      <c r="S2145" s="5"/>
      <c r="T2145" s="5"/>
      <c r="U2145" s="5"/>
      <c r="V2145" s="5"/>
      <c r="W2145" s="5"/>
      <c r="X2145" s="5"/>
      <c r="Y2145" s="5"/>
      <c r="Z2145" s="5"/>
    </row>
    <row r="2146" ht="12.0" customHeight="1">
      <c r="A2146" s="28" t="s">
        <v>1636</v>
      </c>
      <c r="B2146" s="5" t="s">
        <v>633</v>
      </c>
      <c r="C2146" s="291">
        <f>SUM('2027'!B21:B24)</f>
        <v>0</v>
      </c>
      <c r="D2146" s="291">
        <f>SUM('2027'!C21:C24)</f>
        <v>0</v>
      </c>
      <c r="E2146" s="291">
        <f>SUM('2027'!D21:D24)</f>
        <v>0</v>
      </c>
      <c r="F2146" s="291">
        <f>SUM('2027'!E21:E24)</f>
        <v>0</v>
      </c>
      <c r="G2146" s="291">
        <f>SUM('2027'!F21:F24)</f>
        <v>0</v>
      </c>
      <c r="H2146" s="291">
        <f>SUM('2027'!G21:G24)</f>
        <v>0</v>
      </c>
      <c r="I2146" s="291">
        <f>SUM('2027'!H21:H24)</f>
        <v>0</v>
      </c>
      <c r="J2146" s="291">
        <f>SUM('2027'!I21:I24)</f>
        <v>0</v>
      </c>
      <c r="K2146" s="291">
        <f>SUM('2027'!J21:J24)</f>
        <v>0</v>
      </c>
      <c r="L2146" s="291">
        <f>SUM('2027'!K21:K24)</f>
        <v>0</v>
      </c>
      <c r="M2146" s="291">
        <f>SUM('2027'!L21:L24)</f>
        <v>0</v>
      </c>
      <c r="N2146" s="291">
        <f>SUM('2027'!M21:M24)</f>
        <v>0</v>
      </c>
      <c r="O2146" s="292">
        <f t="shared" si="638"/>
        <v>0</v>
      </c>
      <c r="P2146" s="5"/>
      <c r="Q2146" s="5"/>
      <c r="R2146" s="5"/>
      <c r="S2146" s="5"/>
      <c r="T2146" s="5"/>
      <c r="U2146" s="5"/>
      <c r="V2146" s="5"/>
      <c r="W2146" s="5"/>
      <c r="X2146" s="5"/>
      <c r="Y2146" s="5"/>
      <c r="Z2146" s="5"/>
    </row>
    <row r="2147" ht="12.0" customHeight="1">
      <c r="A2147" s="28" t="s">
        <v>1637</v>
      </c>
      <c r="B2147" s="5" t="s">
        <v>633</v>
      </c>
      <c r="C2147" s="291">
        <f t="shared" ref="C2147:N2147" si="639">C2145+C2146</f>
        <v>19.805</v>
      </c>
      <c r="D2147" s="291">
        <f t="shared" si="639"/>
        <v>17.475</v>
      </c>
      <c r="E2147" s="291">
        <f t="shared" si="639"/>
        <v>20.97</v>
      </c>
      <c r="F2147" s="291">
        <f t="shared" si="639"/>
        <v>20.97</v>
      </c>
      <c r="G2147" s="291">
        <f t="shared" si="639"/>
        <v>20.97</v>
      </c>
      <c r="H2147" s="291">
        <f t="shared" si="639"/>
        <v>18.64</v>
      </c>
      <c r="I2147" s="291">
        <f t="shared" si="639"/>
        <v>20.97</v>
      </c>
      <c r="J2147" s="291">
        <f t="shared" si="639"/>
        <v>20.97</v>
      </c>
      <c r="K2147" s="291">
        <f t="shared" si="639"/>
        <v>19.805</v>
      </c>
      <c r="L2147" s="291">
        <f t="shared" si="639"/>
        <v>17.475</v>
      </c>
      <c r="M2147" s="291">
        <f t="shared" si="639"/>
        <v>16.31</v>
      </c>
      <c r="N2147" s="291">
        <f t="shared" si="639"/>
        <v>18.64</v>
      </c>
      <c r="O2147" s="292">
        <f t="shared" si="638"/>
        <v>233</v>
      </c>
      <c r="P2147" s="5"/>
      <c r="Q2147" s="5"/>
      <c r="R2147" s="5"/>
      <c r="S2147" s="5"/>
      <c r="T2147" s="5"/>
      <c r="U2147" s="5"/>
      <c r="V2147" s="5"/>
      <c r="W2147" s="5"/>
      <c r="X2147" s="5"/>
      <c r="Y2147" s="5"/>
      <c r="Z2147" s="5"/>
    </row>
    <row r="2148" ht="12.0" customHeight="1">
      <c r="A2148" s="28" t="s">
        <v>1638</v>
      </c>
      <c r="B2148" s="5" t="s">
        <v>633</v>
      </c>
      <c r="C2148" s="291">
        <f>$O2145*Parametros!$B$70</f>
        <v>19.805</v>
      </c>
      <c r="D2148" s="291">
        <f>$O2145*Parametros!$C$70</f>
        <v>17.475</v>
      </c>
      <c r="E2148" s="291">
        <f>$O2145*Parametros!$D$70</f>
        <v>20.97</v>
      </c>
      <c r="F2148" s="291">
        <f>$O2145*Parametros!$E$70</f>
        <v>20.97</v>
      </c>
      <c r="G2148" s="291">
        <f>$O2145*Parametros!$F$70</f>
        <v>20.97</v>
      </c>
      <c r="H2148" s="291">
        <f>$O2145*Parametros!$G$70</f>
        <v>18.64</v>
      </c>
      <c r="I2148" s="291">
        <f>$O2145*Parametros!$H$70</f>
        <v>20.97</v>
      </c>
      <c r="J2148" s="291">
        <f>$O2145*Parametros!$I$70</f>
        <v>20.97</v>
      </c>
      <c r="K2148" s="291">
        <f>$O2145*Parametros!$J$70</f>
        <v>19.805</v>
      </c>
      <c r="L2148" s="291">
        <f>$O2145*Parametros!$K$70</f>
        <v>17.475</v>
      </c>
      <c r="M2148" s="291">
        <f>$O2145*Parametros!$L$70</f>
        <v>16.31</v>
      </c>
      <c r="N2148" s="291">
        <f>$O2145*Parametros!$M$70</f>
        <v>18.64</v>
      </c>
      <c r="O2148" s="292">
        <f t="shared" si="638"/>
        <v>233</v>
      </c>
      <c r="P2148" s="5"/>
      <c r="Q2148" s="5"/>
      <c r="R2148" s="5"/>
      <c r="S2148" s="5"/>
      <c r="T2148" s="5"/>
      <c r="U2148" s="5"/>
      <c r="V2148" s="5"/>
      <c r="W2148" s="5"/>
      <c r="X2148" s="5"/>
      <c r="Y2148" s="5"/>
      <c r="Z2148" s="5"/>
    </row>
    <row r="2149" ht="12.0" customHeight="1">
      <c r="A2149" s="28" t="s">
        <v>1639</v>
      </c>
      <c r="B2149" s="5" t="s">
        <v>633</v>
      </c>
      <c r="C2149" s="291">
        <f>$O2146*Parametros!$B$70</f>
        <v>0</v>
      </c>
      <c r="D2149" s="291">
        <f>$O2146*Parametros!$C$70</f>
        <v>0</v>
      </c>
      <c r="E2149" s="291">
        <f>$O2146*Parametros!$D$70</f>
        <v>0</v>
      </c>
      <c r="F2149" s="291">
        <f>$O2146*Parametros!$E$70</f>
        <v>0</v>
      </c>
      <c r="G2149" s="291">
        <f>$O2146*Parametros!$F$70</f>
        <v>0</v>
      </c>
      <c r="H2149" s="291">
        <f>$O2146*Parametros!$G$70</f>
        <v>0</v>
      </c>
      <c r="I2149" s="291">
        <f>$O2146*Parametros!$H$70</f>
        <v>0</v>
      </c>
      <c r="J2149" s="291">
        <f>$O2146*Parametros!$I$70</f>
        <v>0</v>
      </c>
      <c r="K2149" s="291">
        <f>$O2146*Parametros!$J$70</f>
        <v>0</v>
      </c>
      <c r="L2149" s="291">
        <f>$O2146*Parametros!$K$70</f>
        <v>0</v>
      </c>
      <c r="M2149" s="291">
        <f>$O2146*Parametros!$L$70</f>
        <v>0</v>
      </c>
      <c r="N2149" s="291">
        <f>$O2146*Parametros!$M$70</f>
        <v>0</v>
      </c>
      <c r="O2149" s="292">
        <f t="shared" si="638"/>
        <v>0</v>
      </c>
      <c r="P2149" s="5"/>
      <c r="Q2149" s="5"/>
      <c r="R2149" s="5"/>
      <c r="S2149" s="5"/>
      <c r="T2149" s="5"/>
      <c r="U2149" s="5"/>
      <c r="V2149" s="5"/>
      <c r="W2149" s="5"/>
      <c r="X2149" s="5"/>
      <c r="Y2149" s="5"/>
      <c r="Z2149" s="5"/>
    </row>
    <row r="2150" ht="12.0" customHeight="1">
      <c r="A2150" s="10" t="s">
        <v>1640</v>
      </c>
      <c r="B2150" s="5" t="s">
        <v>633</v>
      </c>
      <c r="C2150" s="292">
        <f t="shared" ref="C2150:N2150" si="640">C2148+C2149</f>
        <v>19.805</v>
      </c>
      <c r="D2150" s="292">
        <f t="shared" si="640"/>
        <v>17.475</v>
      </c>
      <c r="E2150" s="292">
        <f t="shared" si="640"/>
        <v>20.97</v>
      </c>
      <c r="F2150" s="292">
        <f t="shared" si="640"/>
        <v>20.97</v>
      </c>
      <c r="G2150" s="292">
        <f t="shared" si="640"/>
        <v>20.97</v>
      </c>
      <c r="H2150" s="292">
        <f t="shared" si="640"/>
        <v>18.64</v>
      </c>
      <c r="I2150" s="292">
        <f t="shared" si="640"/>
        <v>20.97</v>
      </c>
      <c r="J2150" s="292">
        <f t="shared" si="640"/>
        <v>20.97</v>
      </c>
      <c r="K2150" s="292">
        <f t="shared" si="640"/>
        <v>19.805</v>
      </c>
      <c r="L2150" s="292">
        <f t="shared" si="640"/>
        <v>17.475</v>
      </c>
      <c r="M2150" s="292">
        <f t="shared" si="640"/>
        <v>16.31</v>
      </c>
      <c r="N2150" s="292">
        <f t="shared" si="640"/>
        <v>18.64</v>
      </c>
      <c r="O2150" s="292">
        <f t="shared" si="638"/>
        <v>233</v>
      </c>
      <c r="P2150" s="5"/>
      <c r="Q2150" s="5"/>
      <c r="R2150" s="5"/>
      <c r="S2150" s="5"/>
      <c r="T2150" s="5"/>
      <c r="U2150" s="5"/>
      <c r="V2150" s="5"/>
      <c r="W2150" s="5"/>
      <c r="X2150" s="5"/>
      <c r="Y2150" s="5"/>
      <c r="Z2150" s="5"/>
    </row>
    <row r="2151" ht="12.0" customHeight="1">
      <c r="A2151" s="28" t="s">
        <v>967</v>
      </c>
      <c r="B2151" s="5" t="s">
        <v>633</v>
      </c>
      <c r="C2151" s="291">
        <f>C2150-C2147</f>
        <v>0</v>
      </c>
      <c r="D2151" s="291">
        <f t="shared" ref="D2151:N2151" si="641">C2151+D2150-D2147</f>
        <v>0</v>
      </c>
      <c r="E2151" s="291">
        <f t="shared" si="641"/>
        <v>0</v>
      </c>
      <c r="F2151" s="291">
        <f t="shared" si="641"/>
        <v>0</v>
      </c>
      <c r="G2151" s="291">
        <f t="shared" si="641"/>
        <v>0</v>
      </c>
      <c r="H2151" s="291">
        <f t="shared" si="641"/>
        <v>0</v>
      </c>
      <c r="I2151" s="291">
        <f t="shared" si="641"/>
        <v>0</v>
      </c>
      <c r="J2151" s="291">
        <f t="shared" si="641"/>
        <v>0</v>
      </c>
      <c r="K2151" s="291">
        <f t="shared" si="641"/>
        <v>0</v>
      </c>
      <c r="L2151" s="291">
        <f t="shared" si="641"/>
        <v>0</v>
      </c>
      <c r="M2151" s="291">
        <f t="shared" si="641"/>
        <v>0</v>
      </c>
      <c r="N2151" s="291">
        <f t="shared" si="641"/>
        <v>0</v>
      </c>
      <c r="O2151" s="292"/>
      <c r="P2151" s="5"/>
      <c r="Q2151" s="5"/>
      <c r="R2151" s="5"/>
      <c r="S2151" s="5"/>
      <c r="T2151" s="5"/>
      <c r="U2151" s="5"/>
      <c r="V2151" s="5"/>
      <c r="W2151" s="5"/>
      <c r="X2151" s="5"/>
      <c r="Y2151" s="5"/>
      <c r="Z2151" s="5"/>
    </row>
    <row r="2152" ht="12.0" customHeight="1">
      <c r="A2152" s="10" t="s">
        <v>1641</v>
      </c>
      <c r="B2152" s="5" t="s">
        <v>633</v>
      </c>
      <c r="C2152" s="292">
        <f t="shared" ref="C2152:N2152" si="642">C2151-MIN(0,MIN($C2151:$N2151))</f>
        <v>0</v>
      </c>
      <c r="D2152" s="292">
        <f t="shared" si="642"/>
        <v>0</v>
      </c>
      <c r="E2152" s="292">
        <f t="shared" si="642"/>
        <v>0</v>
      </c>
      <c r="F2152" s="292">
        <f t="shared" si="642"/>
        <v>0</v>
      </c>
      <c r="G2152" s="292">
        <f t="shared" si="642"/>
        <v>0</v>
      </c>
      <c r="H2152" s="292">
        <f t="shared" si="642"/>
        <v>0</v>
      </c>
      <c r="I2152" s="292">
        <f t="shared" si="642"/>
        <v>0</v>
      </c>
      <c r="J2152" s="292">
        <f t="shared" si="642"/>
        <v>0</v>
      </c>
      <c r="K2152" s="292">
        <f t="shared" si="642"/>
        <v>0</v>
      </c>
      <c r="L2152" s="292">
        <f t="shared" si="642"/>
        <v>0</v>
      </c>
      <c r="M2152" s="292">
        <f t="shared" si="642"/>
        <v>0</v>
      </c>
      <c r="N2152" s="292">
        <f t="shared" si="642"/>
        <v>0</v>
      </c>
      <c r="O2152" s="292">
        <f>MAX(C2152:N2152)</f>
        <v>0</v>
      </c>
      <c r="P2152" s="292">
        <f>AVERAGE(C2152:N2152)</f>
        <v>0</v>
      </c>
      <c r="Q2152" s="5"/>
      <c r="R2152" s="5"/>
      <c r="S2152" s="5"/>
      <c r="T2152" s="5"/>
      <c r="U2152" s="5"/>
      <c r="V2152" s="5"/>
      <c r="W2152" s="5"/>
      <c r="X2152" s="5"/>
      <c r="Y2152" s="5"/>
      <c r="Z2152" s="5"/>
    </row>
    <row r="2153" ht="12.0" customHeight="1">
      <c r="A2153" s="10" t="s">
        <v>1642</v>
      </c>
      <c r="B2153" s="5"/>
      <c r="C2153" s="206"/>
      <c r="D2153" s="206"/>
      <c r="E2153" s="206"/>
      <c r="F2153" s="206"/>
      <c r="G2153" s="206"/>
      <c r="H2153" s="206"/>
      <c r="I2153" s="206"/>
      <c r="J2153" s="206"/>
      <c r="K2153" s="206"/>
      <c r="L2153" s="206"/>
      <c r="M2153" s="206"/>
      <c r="N2153" s="206"/>
      <c r="O2153" s="5"/>
      <c r="P2153" s="5"/>
      <c r="Q2153" s="5"/>
      <c r="R2153" s="5"/>
      <c r="S2153" s="5"/>
      <c r="T2153" s="5"/>
      <c r="U2153" s="5"/>
      <c r="V2153" s="5"/>
      <c r="W2153" s="5"/>
      <c r="X2153" s="5"/>
      <c r="Y2153" s="5"/>
      <c r="Z2153" s="5"/>
    </row>
    <row r="2154" ht="12.0" customHeight="1">
      <c r="A2154" s="92" t="s">
        <v>630</v>
      </c>
      <c r="B2154" s="5" t="s">
        <v>631</v>
      </c>
      <c r="C2154" s="206" t="s">
        <v>3</v>
      </c>
      <c r="D2154" s="206" t="s">
        <v>4</v>
      </c>
      <c r="E2154" s="206" t="s">
        <v>507</v>
      </c>
      <c r="F2154" s="206" t="s">
        <v>508</v>
      </c>
      <c r="G2154" s="206" t="s">
        <v>509</v>
      </c>
      <c r="H2154" s="206" t="s">
        <v>510</v>
      </c>
      <c r="I2154" s="206" t="s">
        <v>511</v>
      </c>
      <c r="J2154" s="206" t="s">
        <v>512</v>
      </c>
      <c r="K2154" s="206" t="s">
        <v>513</v>
      </c>
      <c r="L2154" s="206" t="s">
        <v>514</v>
      </c>
      <c r="M2154" s="206" t="s">
        <v>515</v>
      </c>
      <c r="N2154" s="206" t="s">
        <v>516</v>
      </c>
      <c r="O2154" s="5"/>
      <c r="P2154" s="5"/>
      <c r="Q2154" s="5"/>
      <c r="R2154" s="5"/>
      <c r="S2154" s="5"/>
      <c r="T2154" s="5"/>
      <c r="U2154" s="5"/>
      <c r="V2154" s="5"/>
      <c r="W2154" s="5"/>
      <c r="X2154" s="5"/>
      <c r="Y2154" s="5"/>
      <c r="Z2154" s="5"/>
    </row>
    <row r="2155" ht="12.0" customHeight="1">
      <c r="A2155" s="92" t="s">
        <v>1643</v>
      </c>
      <c r="B2155" s="5" t="s">
        <v>633</v>
      </c>
      <c r="C2155" s="203">
        <f t="shared" ref="C2155:N2155" si="643">C2150</f>
        <v>19.805</v>
      </c>
      <c r="D2155" s="203">
        <f t="shared" si="643"/>
        <v>17.475</v>
      </c>
      <c r="E2155" s="203">
        <f t="shared" si="643"/>
        <v>20.97</v>
      </c>
      <c r="F2155" s="203">
        <f t="shared" si="643"/>
        <v>20.97</v>
      </c>
      <c r="G2155" s="203">
        <f t="shared" si="643"/>
        <v>20.97</v>
      </c>
      <c r="H2155" s="203">
        <f t="shared" si="643"/>
        <v>18.64</v>
      </c>
      <c r="I2155" s="203">
        <f t="shared" si="643"/>
        <v>20.97</v>
      </c>
      <c r="J2155" s="203">
        <f t="shared" si="643"/>
        <v>20.97</v>
      </c>
      <c r="K2155" s="203">
        <f t="shared" si="643"/>
        <v>19.805</v>
      </c>
      <c r="L2155" s="203">
        <f t="shared" si="643"/>
        <v>17.475</v>
      </c>
      <c r="M2155" s="203">
        <f t="shared" si="643"/>
        <v>16.31</v>
      </c>
      <c r="N2155" s="203">
        <f t="shared" si="643"/>
        <v>18.64</v>
      </c>
      <c r="O2155" s="5"/>
      <c r="P2155" s="5"/>
      <c r="Q2155" s="5"/>
      <c r="R2155" s="5"/>
      <c r="S2155" s="5"/>
      <c r="T2155" s="5"/>
      <c r="U2155" s="5"/>
      <c r="V2155" s="5"/>
      <c r="W2155" s="5"/>
      <c r="X2155" s="5"/>
      <c r="Y2155" s="5"/>
      <c r="Z2155" s="5"/>
    </row>
    <row r="2156" ht="12.0" customHeight="1">
      <c r="A2156" s="92"/>
      <c r="B2156" s="5" t="s">
        <v>634</v>
      </c>
      <c r="C2156" s="293">
        <f>C2155/Parametros!$B$37</f>
        <v>0.99025</v>
      </c>
      <c r="D2156" s="293">
        <f>D2155/Parametros!$B$37</f>
        <v>0.87375</v>
      </c>
      <c r="E2156" s="293">
        <f>E2155/Parametros!$B$37</f>
        <v>1.0485</v>
      </c>
      <c r="F2156" s="293">
        <f>F2155/Parametros!$B$37</f>
        <v>1.0485</v>
      </c>
      <c r="G2156" s="293">
        <f>G2155/Parametros!$B$37</f>
        <v>1.0485</v>
      </c>
      <c r="H2156" s="293">
        <f>H2155/Parametros!$B$37</f>
        <v>0.932</v>
      </c>
      <c r="I2156" s="293">
        <f>I2155/Parametros!$B$37</f>
        <v>1.0485</v>
      </c>
      <c r="J2156" s="293">
        <f>J2155/Parametros!$B$37</f>
        <v>1.0485</v>
      </c>
      <c r="K2156" s="293">
        <f>K2155/Parametros!$B$37</f>
        <v>0.99025</v>
      </c>
      <c r="L2156" s="293">
        <f>L2155/Parametros!$B$37</f>
        <v>0.87375</v>
      </c>
      <c r="M2156" s="293">
        <f>M2155/Parametros!$B$37</f>
        <v>0.8155</v>
      </c>
      <c r="N2156" s="293">
        <f>N2155/Parametros!$B$37</f>
        <v>0.932</v>
      </c>
      <c r="O2156" s="5"/>
      <c r="P2156" s="5"/>
      <c r="Q2156" s="5"/>
      <c r="R2156" s="5"/>
      <c r="S2156" s="5"/>
      <c r="T2156" s="5"/>
      <c r="U2156" s="5"/>
      <c r="V2156" s="5"/>
      <c r="W2156" s="5"/>
      <c r="X2156" s="5"/>
      <c r="Y2156" s="5"/>
      <c r="Z2156" s="5"/>
    </row>
    <row r="2157" ht="12.0" customHeight="1">
      <c r="A2157" s="92"/>
      <c r="B2157" s="5" t="s">
        <v>635</v>
      </c>
      <c r="C2157" s="293">
        <f>C2156/Parametros!$J$37</f>
        <v>0.1320333333</v>
      </c>
      <c r="D2157" s="293">
        <f>D2156/Parametros!$J$37</f>
        <v>0.1165</v>
      </c>
      <c r="E2157" s="293">
        <f>E2156/Parametros!$J$37</f>
        <v>0.1398</v>
      </c>
      <c r="F2157" s="293">
        <f>F2156/Parametros!$J$37</f>
        <v>0.1398</v>
      </c>
      <c r="G2157" s="293">
        <f>G2156/Parametros!$J$37</f>
        <v>0.1398</v>
      </c>
      <c r="H2157" s="293">
        <f>H2156/Parametros!$J$37</f>
        <v>0.1242666667</v>
      </c>
      <c r="I2157" s="293">
        <f>I2156/Parametros!$J$37</f>
        <v>0.1398</v>
      </c>
      <c r="J2157" s="293">
        <f>J2156/Parametros!$J$37</f>
        <v>0.1398</v>
      </c>
      <c r="K2157" s="293">
        <f>K2156/Parametros!$J$37</f>
        <v>0.1320333333</v>
      </c>
      <c r="L2157" s="293">
        <f>L2156/Parametros!$J$37</f>
        <v>0.1165</v>
      </c>
      <c r="M2157" s="293">
        <f>M2156/Parametros!$J$37</f>
        <v>0.1087333333</v>
      </c>
      <c r="N2157" s="293">
        <f>N2156/Parametros!$J$37</f>
        <v>0.1242666667</v>
      </c>
      <c r="O2157" s="5"/>
      <c r="P2157" s="5"/>
      <c r="Q2157" s="5"/>
      <c r="R2157" s="5"/>
      <c r="S2157" s="5"/>
      <c r="T2157" s="5"/>
      <c r="U2157" s="5"/>
      <c r="V2157" s="5"/>
      <c r="W2157" s="5"/>
      <c r="X2157" s="5"/>
      <c r="Y2157" s="5"/>
      <c r="Z2157" s="5"/>
    </row>
    <row r="2158" ht="12.0" customHeight="1">
      <c r="A2158" s="92" t="s">
        <v>636</v>
      </c>
      <c r="B2158" s="5"/>
      <c r="C2158" s="293">
        <f t="shared" ref="C2158:N2158" si="644">C2157</f>
        <v>0.1320333333</v>
      </c>
      <c r="D2158" s="293">
        <f t="shared" si="644"/>
        <v>0.1165</v>
      </c>
      <c r="E2158" s="293">
        <f t="shared" si="644"/>
        <v>0.1398</v>
      </c>
      <c r="F2158" s="293">
        <f t="shared" si="644"/>
        <v>0.1398</v>
      </c>
      <c r="G2158" s="293">
        <f t="shared" si="644"/>
        <v>0.1398</v>
      </c>
      <c r="H2158" s="293">
        <f t="shared" si="644"/>
        <v>0.1242666667</v>
      </c>
      <c r="I2158" s="293">
        <f t="shared" si="644"/>
        <v>0.1398</v>
      </c>
      <c r="J2158" s="293">
        <f t="shared" si="644"/>
        <v>0.1398</v>
      </c>
      <c r="K2158" s="293">
        <f t="shared" si="644"/>
        <v>0.1320333333</v>
      </c>
      <c r="L2158" s="293">
        <f t="shared" si="644"/>
        <v>0.1165</v>
      </c>
      <c r="M2158" s="293">
        <f t="shared" si="644"/>
        <v>0.1087333333</v>
      </c>
      <c r="N2158" s="293">
        <f t="shared" si="644"/>
        <v>0.1242666667</v>
      </c>
      <c r="O2158" s="5"/>
      <c r="P2158" s="5"/>
      <c r="Q2158" s="5"/>
      <c r="R2158" s="5"/>
      <c r="S2158" s="5"/>
      <c r="T2158" s="5"/>
      <c r="U2158" s="5"/>
      <c r="V2158" s="5"/>
      <c r="W2158" s="5"/>
      <c r="X2158" s="5"/>
      <c r="Y2158" s="5"/>
      <c r="Z2158" s="5"/>
    </row>
    <row r="2159" ht="12.0" customHeight="1">
      <c r="A2159" s="92" t="s">
        <v>637</v>
      </c>
      <c r="B2159" s="5"/>
      <c r="C2159" s="293">
        <f>Parametros!$M$112</f>
        <v>15.69230769</v>
      </c>
      <c r="D2159" s="293">
        <f>Parametros!$M$112</f>
        <v>15.69230769</v>
      </c>
      <c r="E2159" s="293">
        <f>Parametros!$M$112</f>
        <v>15.69230769</v>
      </c>
      <c r="F2159" s="293">
        <f>Parametros!$M$112</f>
        <v>15.69230769</v>
      </c>
      <c r="G2159" s="293">
        <f>Parametros!$M$112</f>
        <v>15.69230769</v>
      </c>
      <c r="H2159" s="293">
        <f>Parametros!$M$112</f>
        <v>15.69230769</v>
      </c>
      <c r="I2159" s="293">
        <f>Parametros!$M$112</f>
        <v>15.69230769</v>
      </c>
      <c r="J2159" s="293">
        <f>Parametros!$M$112</f>
        <v>15.69230769</v>
      </c>
      <c r="K2159" s="293">
        <f>Parametros!$M$112</f>
        <v>15.69230769</v>
      </c>
      <c r="L2159" s="293">
        <f>Parametros!$M$112</f>
        <v>15.69230769</v>
      </c>
      <c r="M2159" s="293">
        <f>Parametros!$M$112</f>
        <v>15.69230769</v>
      </c>
      <c r="N2159" s="293">
        <f>Parametros!$M$112</f>
        <v>15.69230769</v>
      </c>
      <c r="O2159" s="5"/>
      <c r="P2159" s="5"/>
      <c r="Q2159" s="5"/>
      <c r="R2159" s="5"/>
      <c r="S2159" s="5"/>
      <c r="T2159" s="5"/>
      <c r="U2159" s="5"/>
      <c r="V2159" s="5"/>
      <c r="W2159" s="5"/>
      <c r="X2159" s="5"/>
      <c r="Y2159" s="5"/>
      <c r="Z2159" s="5"/>
    </row>
    <row r="2160" ht="12.0" customHeight="1">
      <c r="A2160" s="92" t="s">
        <v>640</v>
      </c>
      <c r="B2160" s="5"/>
      <c r="C2160" s="203">
        <f>'Resumen Capacidad'!$C$220</f>
        <v>1</v>
      </c>
      <c r="D2160" s="203">
        <f>'Resumen Capacidad'!$C$220</f>
        <v>1</v>
      </c>
      <c r="E2160" s="203">
        <f>'Resumen Capacidad'!$C$220</f>
        <v>1</v>
      </c>
      <c r="F2160" s="203">
        <f>'Resumen Capacidad'!$C$220</f>
        <v>1</v>
      </c>
      <c r="G2160" s="203">
        <f>'Resumen Capacidad'!$C$220</f>
        <v>1</v>
      </c>
      <c r="H2160" s="203">
        <f>'Resumen Capacidad'!$C$220</f>
        <v>1</v>
      </c>
      <c r="I2160" s="203">
        <f>'Resumen Capacidad'!$C$220</f>
        <v>1</v>
      </c>
      <c r="J2160" s="203">
        <f>'Resumen Capacidad'!$C$220</f>
        <v>1</v>
      </c>
      <c r="K2160" s="203">
        <f>'Resumen Capacidad'!$C$220</f>
        <v>1</v>
      </c>
      <c r="L2160" s="203">
        <f>'Resumen Capacidad'!$C$220</f>
        <v>1</v>
      </c>
      <c r="M2160" s="203">
        <f>'Resumen Capacidad'!$C$220</f>
        <v>1</v>
      </c>
      <c r="N2160" s="203">
        <f>'Resumen Capacidad'!$C$220</f>
        <v>1</v>
      </c>
      <c r="O2160" s="5"/>
      <c r="P2160" s="5"/>
      <c r="Q2160" s="5"/>
      <c r="R2160" s="5"/>
      <c r="S2160" s="5"/>
      <c r="T2160" s="5"/>
      <c r="U2160" s="5"/>
      <c r="V2160" s="5"/>
      <c r="W2160" s="5"/>
      <c r="X2160" s="5"/>
      <c r="Y2160" s="5"/>
      <c r="Z2160" s="5"/>
    </row>
    <row r="2161" ht="12.0" customHeight="1">
      <c r="A2161" s="92" t="s">
        <v>642</v>
      </c>
      <c r="B2161" s="5"/>
      <c r="C2161" s="203">
        <f t="shared" ref="C2161:N2161" si="645">C2159*C2160</f>
        <v>15.69230769</v>
      </c>
      <c r="D2161" s="203">
        <f t="shared" si="645"/>
        <v>15.69230769</v>
      </c>
      <c r="E2161" s="203">
        <f t="shared" si="645"/>
        <v>15.69230769</v>
      </c>
      <c r="F2161" s="203">
        <f t="shared" si="645"/>
        <v>15.69230769</v>
      </c>
      <c r="G2161" s="203">
        <f t="shared" si="645"/>
        <v>15.69230769</v>
      </c>
      <c r="H2161" s="203">
        <f t="shared" si="645"/>
        <v>15.69230769</v>
      </c>
      <c r="I2161" s="203">
        <f t="shared" si="645"/>
        <v>15.69230769</v>
      </c>
      <c r="J2161" s="203">
        <f t="shared" si="645"/>
        <v>15.69230769</v>
      </c>
      <c r="K2161" s="203">
        <f t="shared" si="645"/>
        <v>15.69230769</v>
      </c>
      <c r="L2161" s="203">
        <f t="shared" si="645"/>
        <v>15.69230769</v>
      </c>
      <c r="M2161" s="203">
        <f t="shared" si="645"/>
        <v>15.69230769</v>
      </c>
      <c r="N2161" s="203">
        <f t="shared" si="645"/>
        <v>15.69230769</v>
      </c>
      <c r="O2161" s="5"/>
      <c r="P2161" s="5"/>
      <c r="Q2161" s="5"/>
      <c r="R2161" s="5"/>
      <c r="S2161" s="5"/>
      <c r="T2161" s="5"/>
      <c r="U2161" s="5"/>
      <c r="V2161" s="5"/>
      <c r="W2161" s="5"/>
      <c r="X2161" s="5"/>
      <c r="Y2161" s="5"/>
      <c r="Z2161" s="5"/>
    </row>
    <row r="2162" ht="12.0" customHeight="1">
      <c r="A2162" s="92" t="s">
        <v>643</v>
      </c>
      <c r="B2162" s="5"/>
      <c r="C2162" s="294">
        <f t="shared" ref="C2162:N2162" si="646">IF(C2161=0,0,C2158/C2161)</f>
        <v>0.008413888889</v>
      </c>
      <c r="D2162" s="294">
        <f t="shared" si="646"/>
        <v>0.007424019608</v>
      </c>
      <c r="E2162" s="294">
        <f t="shared" si="646"/>
        <v>0.008908823529</v>
      </c>
      <c r="F2162" s="294">
        <f t="shared" si="646"/>
        <v>0.008908823529</v>
      </c>
      <c r="G2162" s="294">
        <f t="shared" si="646"/>
        <v>0.008908823529</v>
      </c>
      <c r="H2162" s="294">
        <f t="shared" si="646"/>
        <v>0.007918954248</v>
      </c>
      <c r="I2162" s="294">
        <f t="shared" si="646"/>
        <v>0.008908823529</v>
      </c>
      <c r="J2162" s="294">
        <f t="shared" si="646"/>
        <v>0.008908823529</v>
      </c>
      <c r="K2162" s="294">
        <f t="shared" si="646"/>
        <v>0.008413888889</v>
      </c>
      <c r="L2162" s="294">
        <f t="shared" si="646"/>
        <v>0.007424019608</v>
      </c>
      <c r="M2162" s="294">
        <f t="shared" si="646"/>
        <v>0.006929084967</v>
      </c>
      <c r="N2162" s="294">
        <f t="shared" si="646"/>
        <v>0.007918954248</v>
      </c>
      <c r="O2162" s="5"/>
      <c r="P2162" s="5"/>
      <c r="Q2162" s="5"/>
      <c r="R2162" s="5"/>
      <c r="S2162" s="5"/>
      <c r="T2162" s="5"/>
      <c r="U2162" s="5"/>
      <c r="V2162" s="5"/>
      <c r="W2162" s="5"/>
      <c r="X2162" s="5"/>
      <c r="Y2162" s="5"/>
      <c r="Z2162" s="5"/>
    </row>
    <row r="2163" ht="12.0" customHeight="1">
      <c r="A2163" s="10" t="s">
        <v>1644</v>
      </c>
      <c r="B2163" s="5"/>
      <c r="C2163" s="206"/>
      <c r="D2163" s="206"/>
      <c r="E2163" s="206"/>
      <c r="F2163" s="206"/>
      <c r="G2163" s="206"/>
      <c r="H2163" s="206"/>
      <c r="I2163" s="206"/>
      <c r="J2163" s="206"/>
      <c r="K2163" s="206"/>
      <c r="L2163" s="206"/>
      <c r="M2163" s="206"/>
      <c r="N2163" s="206"/>
      <c r="O2163" s="5"/>
      <c r="P2163" s="5"/>
      <c r="Q2163" s="5"/>
      <c r="R2163" s="5"/>
      <c r="S2163" s="5"/>
      <c r="T2163" s="5"/>
      <c r="U2163" s="5"/>
      <c r="V2163" s="5"/>
      <c r="W2163" s="5"/>
      <c r="X2163" s="5"/>
      <c r="Y2163" s="5"/>
      <c r="Z2163" s="5"/>
    </row>
    <row r="2164" ht="12.0" customHeight="1">
      <c r="A2164" s="92" t="s">
        <v>630</v>
      </c>
      <c r="B2164" s="5" t="s">
        <v>631</v>
      </c>
      <c r="C2164" s="206" t="s">
        <v>3</v>
      </c>
      <c r="D2164" s="206" t="s">
        <v>4</v>
      </c>
      <c r="E2164" s="206" t="s">
        <v>507</v>
      </c>
      <c r="F2164" s="206" t="s">
        <v>508</v>
      </c>
      <c r="G2164" s="206" t="s">
        <v>509</v>
      </c>
      <c r="H2164" s="206" t="s">
        <v>510</v>
      </c>
      <c r="I2164" s="206" t="s">
        <v>511</v>
      </c>
      <c r="J2164" s="206" t="s">
        <v>512</v>
      </c>
      <c r="K2164" s="206" t="s">
        <v>513</v>
      </c>
      <c r="L2164" s="206" t="s">
        <v>514</v>
      </c>
      <c r="M2164" s="206" t="s">
        <v>515</v>
      </c>
      <c r="N2164" s="206" t="s">
        <v>516</v>
      </c>
      <c r="O2164" s="5"/>
      <c r="P2164" s="5"/>
      <c r="Q2164" s="5"/>
      <c r="R2164" s="5"/>
      <c r="S2164" s="5"/>
      <c r="T2164" s="5"/>
      <c r="U2164" s="5"/>
      <c r="V2164" s="5"/>
      <c r="W2164" s="5"/>
      <c r="X2164" s="5"/>
      <c r="Y2164" s="5"/>
      <c r="Z2164" s="5"/>
    </row>
    <row r="2165" ht="12.0" customHeight="1">
      <c r="A2165" s="92" t="s">
        <v>1643</v>
      </c>
      <c r="B2165" s="5" t="s">
        <v>633</v>
      </c>
      <c r="C2165" s="203">
        <f t="shared" ref="C2165:N2165" si="647">C2150</f>
        <v>19.805</v>
      </c>
      <c r="D2165" s="203">
        <f t="shared" si="647"/>
        <v>17.475</v>
      </c>
      <c r="E2165" s="203">
        <f t="shared" si="647"/>
        <v>20.97</v>
      </c>
      <c r="F2165" s="203">
        <f t="shared" si="647"/>
        <v>20.97</v>
      </c>
      <c r="G2165" s="203">
        <f t="shared" si="647"/>
        <v>20.97</v>
      </c>
      <c r="H2165" s="203">
        <f t="shared" si="647"/>
        <v>18.64</v>
      </c>
      <c r="I2165" s="203">
        <f t="shared" si="647"/>
        <v>20.97</v>
      </c>
      <c r="J2165" s="203">
        <f t="shared" si="647"/>
        <v>20.97</v>
      </c>
      <c r="K2165" s="203">
        <f t="shared" si="647"/>
        <v>19.805</v>
      </c>
      <c r="L2165" s="203">
        <f t="shared" si="647"/>
        <v>17.475</v>
      </c>
      <c r="M2165" s="203">
        <f t="shared" si="647"/>
        <v>16.31</v>
      </c>
      <c r="N2165" s="203">
        <f t="shared" si="647"/>
        <v>18.64</v>
      </c>
      <c r="O2165" s="5"/>
      <c r="P2165" s="5"/>
      <c r="Q2165" s="5"/>
      <c r="R2165" s="5"/>
      <c r="S2165" s="5"/>
      <c r="T2165" s="5"/>
      <c r="U2165" s="5"/>
      <c r="V2165" s="5"/>
      <c r="W2165" s="5"/>
      <c r="X2165" s="5"/>
      <c r="Y2165" s="5"/>
      <c r="Z2165" s="5"/>
    </row>
    <row r="2166" ht="12.0" customHeight="1">
      <c r="A2166" s="92"/>
      <c r="B2166" s="5" t="s">
        <v>634</v>
      </c>
      <c r="C2166" s="293">
        <f>C2165/Parametros!$B$37</f>
        <v>0.99025</v>
      </c>
      <c r="D2166" s="293">
        <f>D2165/Parametros!$B$37</f>
        <v>0.87375</v>
      </c>
      <c r="E2166" s="293">
        <f>E2165/Parametros!$B$37</f>
        <v>1.0485</v>
      </c>
      <c r="F2166" s="293">
        <f>F2165/Parametros!$B$37</f>
        <v>1.0485</v>
      </c>
      <c r="G2166" s="293">
        <f>G2165/Parametros!$B$37</f>
        <v>1.0485</v>
      </c>
      <c r="H2166" s="293">
        <f>H2165/Parametros!$B$37</f>
        <v>0.932</v>
      </c>
      <c r="I2166" s="293">
        <f>I2165/Parametros!$B$37</f>
        <v>1.0485</v>
      </c>
      <c r="J2166" s="293">
        <f>J2165/Parametros!$B$37</f>
        <v>1.0485</v>
      </c>
      <c r="K2166" s="293">
        <f>K2165/Parametros!$B$37</f>
        <v>0.99025</v>
      </c>
      <c r="L2166" s="293">
        <f>L2165/Parametros!$B$37</f>
        <v>0.87375</v>
      </c>
      <c r="M2166" s="293">
        <f>M2165/Parametros!$B$37</f>
        <v>0.8155</v>
      </c>
      <c r="N2166" s="293">
        <f>N2165/Parametros!$B$37</f>
        <v>0.932</v>
      </c>
      <c r="O2166" s="5"/>
      <c r="P2166" s="5"/>
      <c r="Q2166" s="5"/>
      <c r="R2166" s="5"/>
      <c r="S2166" s="5"/>
      <c r="T2166" s="5"/>
      <c r="U2166" s="5"/>
      <c r="V2166" s="5"/>
      <c r="W2166" s="5"/>
      <c r="X2166" s="5"/>
      <c r="Y2166" s="5"/>
      <c r="Z2166" s="5"/>
    </row>
    <row r="2167" ht="12.0" customHeight="1">
      <c r="A2167" s="92"/>
      <c r="B2167" s="5" t="s">
        <v>635</v>
      </c>
      <c r="C2167" s="293">
        <f>C2166/Parametros!$J$37</f>
        <v>0.1320333333</v>
      </c>
      <c r="D2167" s="293">
        <f>D2166/Parametros!$J$37</f>
        <v>0.1165</v>
      </c>
      <c r="E2167" s="293">
        <f>E2166/Parametros!$J$37</f>
        <v>0.1398</v>
      </c>
      <c r="F2167" s="293">
        <f>F2166/Parametros!$J$37</f>
        <v>0.1398</v>
      </c>
      <c r="G2167" s="293">
        <f>G2166/Parametros!$J$37</f>
        <v>0.1398</v>
      </c>
      <c r="H2167" s="293">
        <f>H2166/Parametros!$J$37</f>
        <v>0.1242666667</v>
      </c>
      <c r="I2167" s="293">
        <f>I2166/Parametros!$J$37</f>
        <v>0.1398</v>
      </c>
      <c r="J2167" s="293">
        <f>J2166/Parametros!$J$37</f>
        <v>0.1398</v>
      </c>
      <c r="K2167" s="293">
        <f>K2166/Parametros!$J$37</f>
        <v>0.1320333333</v>
      </c>
      <c r="L2167" s="293">
        <f>L2166/Parametros!$J$37</f>
        <v>0.1165</v>
      </c>
      <c r="M2167" s="293">
        <f>M2166/Parametros!$J$37</f>
        <v>0.1087333333</v>
      </c>
      <c r="N2167" s="293">
        <f>N2166/Parametros!$J$37</f>
        <v>0.1242666667</v>
      </c>
      <c r="O2167" s="5"/>
      <c r="P2167" s="5"/>
      <c r="Q2167" s="5"/>
      <c r="R2167" s="5"/>
      <c r="S2167" s="5"/>
      <c r="T2167" s="5"/>
      <c r="U2167" s="5"/>
      <c r="V2167" s="5"/>
      <c r="W2167" s="5"/>
      <c r="X2167" s="5"/>
      <c r="Y2167" s="5"/>
      <c r="Z2167" s="5"/>
    </row>
    <row r="2168" ht="12.0" customHeight="1">
      <c r="A2168" s="92" t="s">
        <v>636</v>
      </c>
      <c r="B2168" s="5"/>
      <c r="C2168" s="293">
        <f t="shared" ref="C2168:N2168" si="648">C2167</f>
        <v>0.1320333333</v>
      </c>
      <c r="D2168" s="293">
        <f t="shared" si="648"/>
        <v>0.1165</v>
      </c>
      <c r="E2168" s="293">
        <f t="shared" si="648"/>
        <v>0.1398</v>
      </c>
      <c r="F2168" s="293">
        <f t="shared" si="648"/>
        <v>0.1398</v>
      </c>
      <c r="G2168" s="293">
        <f t="shared" si="648"/>
        <v>0.1398</v>
      </c>
      <c r="H2168" s="293">
        <f t="shared" si="648"/>
        <v>0.1242666667</v>
      </c>
      <c r="I2168" s="293">
        <f t="shared" si="648"/>
        <v>0.1398</v>
      </c>
      <c r="J2168" s="293">
        <f t="shared" si="648"/>
        <v>0.1398</v>
      </c>
      <c r="K2168" s="293">
        <f t="shared" si="648"/>
        <v>0.1320333333</v>
      </c>
      <c r="L2168" s="293">
        <f t="shared" si="648"/>
        <v>0.1165</v>
      </c>
      <c r="M2168" s="293">
        <f t="shared" si="648"/>
        <v>0.1087333333</v>
      </c>
      <c r="N2168" s="293">
        <f t="shared" si="648"/>
        <v>0.1242666667</v>
      </c>
      <c r="O2168" s="5"/>
      <c r="P2168" s="5"/>
      <c r="Q2168" s="5"/>
      <c r="R2168" s="5"/>
      <c r="S2168" s="5"/>
      <c r="T2168" s="5"/>
      <c r="U2168" s="5"/>
      <c r="V2168" s="5"/>
      <c r="W2168" s="5"/>
      <c r="X2168" s="5"/>
      <c r="Y2168" s="5"/>
      <c r="Z2168" s="5"/>
    </row>
    <row r="2169" ht="12.0" customHeight="1">
      <c r="A2169" s="92" t="s">
        <v>637</v>
      </c>
      <c r="B2169" s="5"/>
      <c r="C2169" s="293">
        <f>Parametros!$M$113</f>
        <v>1.882352941</v>
      </c>
      <c r="D2169" s="293">
        <f>Parametros!$M$113</f>
        <v>1.882352941</v>
      </c>
      <c r="E2169" s="293">
        <f>Parametros!$M$113</f>
        <v>1.882352941</v>
      </c>
      <c r="F2169" s="293">
        <f>Parametros!$M$113</f>
        <v>1.882352941</v>
      </c>
      <c r="G2169" s="293">
        <f>Parametros!$M$113</f>
        <v>1.882352941</v>
      </c>
      <c r="H2169" s="293">
        <f>Parametros!$M$113</f>
        <v>1.882352941</v>
      </c>
      <c r="I2169" s="293">
        <f>Parametros!$M$113</f>
        <v>1.882352941</v>
      </c>
      <c r="J2169" s="293">
        <f>Parametros!$M$113</f>
        <v>1.882352941</v>
      </c>
      <c r="K2169" s="293">
        <f>Parametros!$M$113</f>
        <v>1.882352941</v>
      </c>
      <c r="L2169" s="293">
        <f>Parametros!$M$113</f>
        <v>1.882352941</v>
      </c>
      <c r="M2169" s="293">
        <f>Parametros!$M$113</f>
        <v>1.882352941</v>
      </c>
      <c r="N2169" s="293">
        <f>Parametros!$M$113</f>
        <v>1.882352941</v>
      </c>
      <c r="O2169" s="5"/>
      <c r="P2169" s="5"/>
      <c r="Q2169" s="5"/>
      <c r="R2169" s="5"/>
      <c r="S2169" s="5"/>
      <c r="T2169" s="5"/>
      <c r="U2169" s="5"/>
      <c r="V2169" s="5"/>
      <c r="W2169" s="5"/>
      <c r="X2169" s="5"/>
      <c r="Y2169" s="5"/>
      <c r="Z2169" s="5"/>
    </row>
    <row r="2170" ht="12.0" customHeight="1">
      <c r="A2170" s="92" t="s">
        <v>640</v>
      </c>
      <c r="B2170" s="5"/>
      <c r="C2170" s="203">
        <f>'Resumen Capacidad'!$C$221</f>
        <v>1</v>
      </c>
      <c r="D2170" s="203">
        <f>'Resumen Capacidad'!$C$221</f>
        <v>1</v>
      </c>
      <c r="E2170" s="203">
        <f>'Resumen Capacidad'!$C$221</f>
        <v>1</v>
      </c>
      <c r="F2170" s="203">
        <f>'Resumen Capacidad'!$C$221</f>
        <v>1</v>
      </c>
      <c r="G2170" s="203">
        <f>'Resumen Capacidad'!$C$221</f>
        <v>1</v>
      </c>
      <c r="H2170" s="203">
        <f>'Resumen Capacidad'!$C$221</f>
        <v>1</v>
      </c>
      <c r="I2170" s="203">
        <f>'Resumen Capacidad'!$C$221</f>
        <v>1</v>
      </c>
      <c r="J2170" s="203">
        <f>'Resumen Capacidad'!$C$221</f>
        <v>1</v>
      </c>
      <c r="K2170" s="203">
        <f>'Resumen Capacidad'!$C$221</f>
        <v>1</v>
      </c>
      <c r="L2170" s="203">
        <f>'Resumen Capacidad'!$C$221</f>
        <v>1</v>
      </c>
      <c r="M2170" s="203">
        <f>'Resumen Capacidad'!$C$221</f>
        <v>1</v>
      </c>
      <c r="N2170" s="203">
        <f>'Resumen Capacidad'!$C$221</f>
        <v>1</v>
      </c>
      <c r="O2170" s="5"/>
      <c r="P2170" s="5"/>
      <c r="Q2170" s="5"/>
      <c r="R2170" s="5"/>
      <c r="S2170" s="5"/>
      <c r="T2170" s="5"/>
      <c r="U2170" s="5"/>
      <c r="V2170" s="5"/>
      <c r="W2170" s="5"/>
      <c r="X2170" s="5"/>
      <c r="Y2170" s="5"/>
      <c r="Z2170" s="5"/>
    </row>
    <row r="2171" ht="12.0" customHeight="1">
      <c r="A2171" s="92" t="s">
        <v>642</v>
      </c>
      <c r="B2171" s="5"/>
      <c r="C2171" s="203">
        <f t="shared" ref="C2171:N2171" si="649">C2169*C2170</f>
        <v>1.882352941</v>
      </c>
      <c r="D2171" s="203">
        <f t="shared" si="649"/>
        <v>1.882352941</v>
      </c>
      <c r="E2171" s="203">
        <f t="shared" si="649"/>
        <v>1.882352941</v>
      </c>
      <c r="F2171" s="203">
        <f t="shared" si="649"/>
        <v>1.882352941</v>
      </c>
      <c r="G2171" s="203">
        <f t="shared" si="649"/>
        <v>1.882352941</v>
      </c>
      <c r="H2171" s="203">
        <f t="shared" si="649"/>
        <v>1.882352941</v>
      </c>
      <c r="I2171" s="203">
        <f t="shared" si="649"/>
        <v>1.882352941</v>
      </c>
      <c r="J2171" s="203">
        <f t="shared" si="649"/>
        <v>1.882352941</v>
      </c>
      <c r="K2171" s="203">
        <f t="shared" si="649"/>
        <v>1.882352941</v>
      </c>
      <c r="L2171" s="203">
        <f t="shared" si="649"/>
        <v>1.882352941</v>
      </c>
      <c r="M2171" s="203">
        <f t="shared" si="649"/>
        <v>1.882352941</v>
      </c>
      <c r="N2171" s="203">
        <f t="shared" si="649"/>
        <v>1.882352941</v>
      </c>
      <c r="O2171" s="5"/>
      <c r="P2171" s="5"/>
      <c r="Q2171" s="5"/>
      <c r="R2171" s="5"/>
      <c r="S2171" s="5"/>
      <c r="T2171" s="5"/>
      <c r="U2171" s="5"/>
      <c r="V2171" s="5"/>
      <c r="W2171" s="5"/>
      <c r="X2171" s="5"/>
      <c r="Y2171" s="5"/>
      <c r="Z2171" s="5"/>
    </row>
    <row r="2172" ht="12.0" customHeight="1">
      <c r="A2172" s="92" t="s">
        <v>643</v>
      </c>
      <c r="B2172" s="5"/>
      <c r="C2172" s="294">
        <f t="shared" ref="C2172:N2172" si="650">IF(C2171=0,0,C2168/C2171)</f>
        <v>0.07014270833</v>
      </c>
      <c r="D2172" s="294">
        <f t="shared" si="650"/>
        <v>0.061890625</v>
      </c>
      <c r="E2172" s="294">
        <f t="shared" si="650"/>
        <v>0.07426875</v>
      </c>
      <c r="F2172" s="294">
        <f t="shared" si="650"/>
        <v>0.07426875</v>
      </c>
      <c r="G2172" s="294">
        <f t="shared" si="650"/>
        <v>0.07426875</v>
      </c>
      <c r="H2172" s="294">
        <f t="shared" si="650"/>
        <v>0.06601666667</v>
      </c>
      <c r="I2172" s="294">
        <f t="shared" si="650"/>
        <v>0.07426875</v>
      </c>
      <c r="J2172" s="294">
        <f t="shared" si="650"/>
        <v>0.07426875</v>
      </c>
      <c r="K2172" s="294">
        <f t="shared" si="650"/>
        <v>0.07014270833</v>
      </c>
      <c r="L2172" s="294">
        <f t="shared" si="650"/>
        <v>0.061890625</v>
      </c>
      <c r="M2172" s="294">
        <f t="shared" si="650"/>
        <v>0.05776458333</v>
      </c>
      <c r="N2172" s="294">
        <f t="shared" si="650"/>
        <v>0.06601666667</v>
      </c>
      <c r="O2172" s="5"/>
      <c r="P2172" s="5"/>
      <c r="Q2172" s="5"/>
      <c r="R2172" s="5"/>
      <c r="S2172" s="5"/>
      <c r="T2172" s="5"/>
      <c r="U2172" s="5"/>
      <c r="V2172" s="5"/>
      <c r="W2172" s="5"/>
      <c r="X2172" s="5"/>
      <c r="Y2172" s="5"/>
      <c r="Z2172" s="5"/>
    </row>
    <row r="2173" ht="12.0" customHeight="1">
      <c r="A2173" s="10" t="s">
        <v>1645</v>
      </c>
      <c r="B2173" s="5"/>
      <c r="C2173" s="206"/>
      <c r="D2173" s="206"/>
      <c r="E2173" s="206"/>
      <c r="F2173" s="206"/>
      <c r="G2173" s="206"/>
      <c r="H2173" s="206"/>
      <c r="I2173" s="206"/>
      <c r="J2173" s="206"/>
      <c r="K2173" s="206"/>
      <c r="L2173" s="206"/>
      <c r="M2173" s="206"/>
      <c r="N2173" s="206"/>
      <c r="O2173" s="5"/>
      <c r="P2173" s="5"/>
      <c r="Q2173" s="5"/>
      <c r="R2173" s="5"/>
      <c r="S2173" s="5"/>
      <c r="T2173" s="5"/>
      <c r="U2173" s="5"/>
      <c r="V2173" s="5"/>
      <c r="W2173" s="5"/>
      <c r="X2173" s="5"/>
      <c r="Y2173" s="5"/>
      <c r="Z2173" s="5"/>
    </row>
    <row r="2174" ht="12.0" customHeight="1">
      <c r="A2174" s="92" t="s">
        <v>630</v>
      </c>
      <c r="B2174" s="5" t="s">
        <v>631</v>
      </c>
      <c r="C2174" s="206" t="s">
        <v>3</v>
      </c>
      <c r="D2174" s="206" t="s">
        <v>4</v>
      </c>
      <c r="E2174" s="206" t="s">
        <v>507</v>
      </c>
      <c r="F2174" s="206" t="s">
        <v>508</v>
      </c>
      <c r="G2174" s="206" t="s">
        <v>509</v>
      </c>
      <c r="H2174" s="206" t="s">
        <v>510</v>
      </c>
      <c r="I2174" s="206" t="s">
        <v>511</v>
      </c>
      <c r="J2174" s="206" t="s">
        <v>512</v>
      </c>
      <c r="K2174" s="206" t="s">
        <v>513</v>
      </c>
      <c r="L2174" s="206" t="s">
        <v>514</v>
      </c>
      <c r="M2174" s="206" t="s">
        <v>515</v>
      </c>
      <c r="N2174" s="206" t="s">
        <v>516</v>
      </c>
      <c r="O2174" s="5"/>
      <c r="P2174" s="5"/>
      <c r="Q2174" s="5"/>
      <c r="R2174" s="5"/>
      <c r="S2174" s="5"/>
      <c r="T2174" s="5"/>
      <c r="U2174" s="5"/>
      <c r="V2174" s="5"/>
      <c r="W2174" s="5"/>
      <c r="X2174" s="5"/>
      <c r="Y2174" s="5"/>
      <c r="Z2174" s="5"/>
    </row>
    <row r="2175" ht="12.0" customHeight="1">
      <c r="A2175" s="92" t="s">
        <v>1643</v>
      </c>
      <c r="B2175" s="5" t="s">
        <v>633</v>
      </c>
      <c r="C2175" s="203">
        <f t="shared" ref="C2175:N2175" si="651">C2150</f>
        <v>19.805</v>
      </c>
      <c r="D2175" s="203">
        <f t="shared" si="651"/>
        <v>17.475</v>
      </c>
      <c r="E2175" s="203">
        <f t="shared" si="651"/>
        <v>20.97</v>
      </c>
      <c r="F2175" s="203">
        <f t="shared" si="651"/>
        <v>20.97</v>
      </c>
      <c r="G2175" s="203">
        <f t="shared" si="651"/>
        <v>20.97</v>
      </c>
      <c r="H2175" s="203">
        <f t="shared" si="651"/>
        <v>18.64</v>
      </c>
      <c r="I2175" s="203">
        <f t="shared" si="651"/>
        <v>20.97</v>
      </c>
      <c r="J2175" s="203">
        <f t="shared" si="651"/>
        <v>20.97</v>
      </c>
      <c r="K2175" s="203">
        <f t="shared" si="651"/>
        <v>19.805</v>
      </c>
      <c r="L2175" s="203">
        <f t="shared" si="651"/>
        <v>17.475</v>
      </c>
      <c r="M2175" s="203">
        <f t="shared" si="651"/>
        <v>16.31</v>
      </c>
      <c r="N2175" s="203">
        <f t="shared" si="651"/>
        <v>18.64</v>
      </c>
      <c r="O2175" s="5"/>
      <c r="P2175" s="5"/>
      <c r="Q2175" s="5"/>
      <c r="R2175" s="5"/>
      <c r="S2175" s="5"/>
      <c r="T2175" s="5"/>
      <c r="U2175" s="5"/>
      <c r="V2175" s="5"/>
      <c r="W2175" s="5"/>
      <c r="X2175" s="5"/>
      <c r="Y2175" s="5"/>
      <c r="Z2175" s="5"/>
    </row>
    <row r="2176" ht="12.0" customHeight="1">
      <c r="A2176" s="92"/>
      <c r="B2176" s="5" t="s">
        <v>634</v>
      </c>
      <c r="C2176" s="293">
        <f>C2175/Parametros!$B$37</f>
        <v>0.99025</v>
      </c>
      <c r="D2176" s="293">
        <f>D2175/Parametros!$B$37</f>
        <v>0.87375</v>
      </c>
      <c r="E2176" s="293">
        <f>E2175/Parametros!$B$37</f>
        <v>1.0485</v>
      </c>
      <c r="F2176" s="293">
        <f>F2175/Parametros!$B$37</f>
        <v>1.0485</v>
      </c>
      <c r="G2176" s="293">
        <f>G2175/Parametros!$B$37</f>
        <v>1.0485</v>
      </c>
      <c r="H2176" s="293">
        <f>H2175/Parametros!$B$37</f>
        <v>0.932</v>
      </c>
      <c r="I2176" s="293">
        <f>I2175/Parametros!$B$37</f>
        <v>1.0485</v>
      </c>
      <c r="J2176" s="293">
        <f>J2175/Parametros!$B$37</f>
        <v>1.0485</v>
      </c>
      <c r="K2176" s="293">
        <f>K2175/Parametros!$B$37</f>
        <v>0.99025</v>
      </c>
      <c r="L2176" s="293">
        <f>L2175/Parametros!$B$37</f>
        <v>0.87375</v>
      </c>
      <c r="M2176" s="293">
        <f>M2175/Parametros!$B$37</f>
        <v>0.8155</v>
      </c>
      <c r="N2176" s="293">
        <f>N2175/Parametros!$B$37</f>
        <v>0.932</v>
      </c>
      <c r="O2176" s="5"/>
      <c r="P2176" s="5"/>
      <c r="Q2176" s="5"/>
      <c r="R2176" s="5"/>
      <c r="S2176" s="5"/>
      <c r="T2176" s="5"/>
      <c r="U2176" s="5"/>
      <c r="V2176" s="5"/>
      <c r="W2176" s="5"/>
      <c r="X2176" s="5"/>
      <c r="Y2176" s="5"/>
      <c r="Z2176" s="5"/>
    </row>
    <row r="2177" ht="12.0" customHeight="1">
      <c r="A2177" s="92"/>
      <c r="B2177" s="5" t="s">
        <v>635</v>
      </c>
      <c r="C2177" s="293">
        <f>C2176/Parametros!$J$37</f>
        <v>0.1320333333</v>
      </c>
      <c r="D2177" s="293">
        <f>D2176/Parametros!$J$37</f>
        <v>0.1165</v>
      </c>
      <c r="E2177" s="293">
        <f>E2176/Parametros!$J$37</f>
        <v>0.1398</v>
      </c>
      <c r="F2177" s="293">
        <f>F2176/Parametros!$J$37</f>
        <v>0.1398</v>
      </c>
      <c r="G2177" s="293">
        <f>G2176/Parametros!$J$37</f>
        <v>0.1398</v>
      </c>
      <c r="H2177" s="293">
        <f>H2176/Parametros!$J$37</f>
        <v>0.1242666667</v>
      </c>
      <c r="I2177" s="293">
        <f>I2176/Parametros!$J$37</f>
        <v>0.1398</v>
      </c>
      <c r="J2177" s="293">
        <f>J2176/Parametros!$J$37</f>
        <v>0.1398</v>
      </c>
      <c r="K2177" s="293">
        <f>K2176/Parametros!$J$37</f>
        <v>0.1320333333</v>
      </c>
      <c r="L2177" s="293">
        <f>L2176/Parametros!$J$37</f>
        <v>0.1165</v>
      </c>
      <c r="M2177" s="293">
        <f>M2176/Parametros!$J$37</f>
        <v>0.1087333333</v>
      </c>
      <c r="N2177" s="293">
        <f>N2176/Parametros!$J$37</f>
        <v>0.1242666667</v>
      </c>
      <c r="O2177" s="5"/>
      <c r="P2177" s="5"/>
      <c r="Q2177" s="5"/>
      <c r="R2177" s="5"/>
      <c r="S2177" s="5"/>
      <c r="T2177" s="5"/>
      <c r="U2177" s="5"/>
      <c r="V2177" s="5"/>
      <c r="W2177" s="5"/>
      <c r="X2177" s="5"/>
      <c r="Y2177" s="5"/>
      <c r="Z2177" s="5"/>
    </row>
    <row r="2178" ht="12.0" customHeight="1">
      <c r="A2178" s="92" t="s">
        <v>636</v>
      </c>
      <c r="B2178" s="5"/>
      <c r="C2178" s="293">
        <f t="shared" ref="C2178:N2178" si="652">C2177</f>
        <v>0.1320333333</v>
      </c>
      <c r="D2178" s="293">
        <f t="shared" si="652"/>
        <v>0.1165</v>
      </c>
      <c r="E2178" s="293">
        <f t="shared" si="652"/>
        <v>0.1398</v>
      </c>
      <c r="F2178" s="293">
        <f t="shared" si="652"/>
        <v>0.1398</v>
      </c>
      <c r="G2178" s="293">
        <f t="shared" si="652"/>
        <v>0.1398</v>
      </c>
      <c r="H2178" s="293">
        <f t="shared" si="652"/>
        <v>0.1242666667</v>
      </c>
      <c r="I2178" s="293">
        <f t="shared" si="652"/>
        <v>0.1398</v>
      </c>
      <c r="J2178" s="293">
        <f t="shared" si="652"/>
        <v>0.1398</v>
      </c>
      <c r="K2178" s="293">
        <f t="shared" si="652"/>
        <v>0.1320333333</v>
      </c>
      <c r="L2178" s="293">
        <f t="shared" si="652"/>
        <v>0.1165</v>
      </c>
      <c r="M2178" s="293">
        <f t="shared" si="652"/>
        <v>0.1087333333</v>
      </c>
      <c r="N2178" s="293">
        <f t="shared" si="652"/>
        <v>0.1242666667</v>
      </c>
      <c r="O2178" s="5"/>
      <c r="P2178" s="5"/>
      <c r="Q2178" s="5"/>
      <c r="R2178" s="5"/>
      <c r="S2178" s="5"/>
      <c r="T2178" s="5"/>
      <c r="U2178" s="5"/>
      <c r="V2178" s="5"/>
      <c r="W2178" s="5"/>
      <c r="X2178" s="5"/>
      <c r="Y2178" s="5"/>
      <c r="Z2178" s="5"/>
    </row>
    <row r="2179" ht="12.0" customHeight="1">
      <c r="A2179" s="92" t="s">
        <v>637</v>
      </c>
      <c r="B2179" s="5"/>
      <c r="C2179" s="293">
        <f>Parametros!$M$114</f>
        <v>19.74193548</v>
      </c>
      <c r="D2179" s="293">
        <f>Parametros!$M$114</f>
        <v>19.74193548</v>
      </c>
      <c r="E2179" s="293">
        <f>Parametros!$M$114</f>
        <v>19.74193548</v>
      </c>
      <c r="F2179" s="293">
        <f>Parametros!$M$114</f>
        <v>19.74193548</v>
      </c>
      <c r="G2179" s="293">
        <f>Parametros!$M$114</f>
        <v>19.74193548</v>
      </c>
      <c r="H2179" s="293">
        <f>Parametros!$M$114</f>
        <v>19.74193548</v>
      </c>
      <c r="I2179" s="293">
        <f>Parametros!$M$114</f>
        <v>19.74193548</v>
      </c>
      <c r="J2179" s="293">
        <f>Parametros!$M$114</f>
        <v>19.74193548</v>
      </c>
      <c r="K2179" s="293">
        <f>Parametros!$M$114</f>
        <v>19.74193548</v>
      </c>
      <c r="L2179" s="293">
        <f>Parametros!$M$114</f>
        <v>19.74193548</v>
      </c>
      <c r="M2179" s="293">
        <f>Parametros!$M$114</f>
        <v>19.74193548</v>
      </c>
      <c r="N2179" s="293">
        <f>Parametros!$M$114</f>
        <v>19.74193548</v>
      </c>
      <c r="O2179" s="5"/>
      <c r="P2179" s="5"/>
      <c r="Q2179" s="5"/>
      <c r="R2179" s="5"/>
      <c r="S2179" s="5"/>
      <c r="T2179" s="5"/>
      <c r="U2179" s="5"/>
      <c r="V2179" s="5"/>
      <c r="W2179" s="5"/>
      <c r="X2179" s="5"/>
      <c r="Y2179" s="5"/>
      <c r="Z2179" s="5"/>
    </row>
    <row r="2180" ht="12.0" customHeight="1">
      <c r="A2180" s="92" t="s">
        <v>640</v>
      </c>
      <c r="B2180" s="5"/>
      <c r="C2180" s="203">
        <f>'Resumen Capacidad'!$C$222</f>
        <v>1</v>
      </c>
      <c r="D2180" s="203">
        <f>'Resumen Capacidad'!$C$222</f>
        <v>1</v>
      </c>
      <c r="E2180" s="203">
        <f>'Resumen Capacidad'!$C$222</f>
        <v>1</v>
      </c>
      <c r="F2180" s="203">
        <f>'Resumen Capacidad'!$C$222</f>
        <v>1</v>
      </c>
      <c r="G2180" s="203">
        <f>'Resumen Capacidad'!$C$222</f>
        <v>1</v>
      </c>
      <c r="H2180" s="203">
        <f>'Resumen Capacidad'!$C$222</f>
        <v>1</v>
      </c>
      <c r="I2180" s="203">
        <f>'Resumen Capacidad'!$C$222</f>
        <v>1</v>
      </c>
      <c r="J2180" s="203">
        <f>'Resumen Capacidad'!$C$222</f>
        <v>1</v>
      </c>
      <c r="K2180" s="203">
        <f>'Resumen Capacidad'!$C$222</f>
        <v>1</v>
      </c>
      <c r="L2180" s="203">
        <f>'Resumen Capacidad'!$C$222</f>
        <v>1</v>
      </c>
      <c r="M2180" s="203">
        <f>'Resumen Capacidad'!$C$222</f>
        <v>1</v>
      </c>
      <c r="N2180" s="203">
        <f>'Resumen Capacidad'!$C$222</f>
        <v>1</v>
      </c>
      <c r="O2180" s="5"/>
      <c r="P2180" s="5"/>
      <c r="Q2180" s="5"/>
      <c r="R2180" s="5"/>
      <c r="S2180" s="5"/>
      <c r="T2180" s="5"/>
      <c r="U2180" s="5"/>
      <c r="V2180" s="5"/>
      <c r="W2180" s="5"/>
      <c r="X2180" s="5"/>
      <c r="Y2180" s="5"/>
      <c r="Z2180" s="5"/>
    </row>
    <row r="2181" ht="12.0" customHeight="1">
      <c r="A2181" s="92" t="s">
        <v>642</v>
      </c>
      <c r="B2181" s="5"/>
      <c r="C2181" s="203">
        <f t="shared" ref="C2181:N2181" si="653">C2179*C2180</f>
        <v>19.74193548</v>
      </c>
      <c r="D2181" s="203">
        <f t="shared" si="653"/>
        <v>19.74193548</v>
      </c>
      <c r="E2181" s="203">
        <f t="shared" si="653"/>
        <v>19.74193548</v>
      </c>
      <c r="F2181" s="203">
        <f t="shared" si="653"/>
        <v>19.74193548</v>
      </c>
      <c r="G2181" s="203">
        <f t="shared" si="653"/>
        <v>19.74193548</v>
      </c>
      <c r="H2181" s="203">
        <f t="shared" si="653"/>
        <v>19.74193548</v>
      </c>
      <c r="I2181" s="203">
        <f t="shared" si="653"/>
        <v>19.74193548</v>
      </c>
      <c r="J2181" s="203">
        <f t="shared" si="653"/>
        <v>19.74193548</v>
      </c>
      <c r="K2181" s="203">
        <f t="shared" si="653"/>
        <v>19.74193548</v>
      </c>
      <c r="L2181" s="203">
        <f t="shared" si="653"/>
        <v>19.74193548</v>
      </c>
      <c r="M2181" s="203">
        <f t="shared" si="653"/>
        <v>19.74193548</v>
      </c>
      <c r="N2181" s="203">
        <f t="shared" si="653"/>
        <v>19.74193548</v>
      </c>
      <c r="O2181" s="5"/>
      <c r="P2181" s="5"/>
      <c r="Q2181" s="5"/>
      <c r="R2181" s="5"/>
      <c r="S2181" s="5"/>
      <c r="T2181" s="5"/>
      <c r="U2181" s="5"/>
      <c r="V2181" s="5"/>
      <c r="W2181" s="5"/>
      <c r="X2181" s="5"/>
      <c r="Y2181" s="5"/>
      <c r="Z2181" s="5"/>
    </row>
    <row r="2182" ht="12.0" customHeight="1">
      <c r="A2182" s="92" t="s">
        <v>643</v>
      </c>
      <c r="B2182" s="5"/>
      <c r="C2182" s="294">
        <f t="shared" ref="C2182:N2182" si="654">IF(C2181=0,0,C2178/C2181)</f>
        <v>0.006687962963</v>
      </c>
      <c r="D2182" s="294">
        <f t="shared" si="654"/>
        <v>0.005901143791</v>
      </c>
      <c r="E2182" s="294">
        <f t="shared" si="654"/>
        <v>0.007081372549</v>
      </c>
      <c r="F2182" s="294">
        <f t="shared" si="654"/>
        <v>0.007081372549</v>
      </c>
      <c r="G2182" s="294">
        <f t="shared" si="654"/>
        <v>0.007081372549</v>
      </c>
      <c r="H2182" s="294">
        <f t="shared" si="654"/>
        <v>0.006294553377</v>
      </c>
      <c r="I2182" s="294">
        <f t="shared" si="654"/>
        <v>0.007081372549</v>
      </c>
      <c r="J2182" s="294">
        <f t="shared" si="654"/>
        <v>0.007081372549</v>
      </c>
      <c r="K2182" s="294">
        <f t="shared" si="654"/>
        <v>0.006687962963</v>
      </c>
      <c r="L2182" s="294">
        <f t="shared" si="654"/>
        <v>0.005901143791</v>
      </c>
      <c r="M2182" s="294">
        <f t="shared" si="654"/>
        <v>0.005507734205</v>
      </c>
      <c r="N2182" s="294">
        <f t="shared" si="654"/>
        <v>0.006294553377</v>
      </c>
      <c r="O2182" s="5"/>
      <c r="P2182" s="5"/>
      <c r="Q2182" s="5"/>
      <c r="R2182" s="5"/>
      <c r="S2182" s="5"/>
      <c r="T2182" s="5"/>
      <c r="U2182" s="5"/>
      <c r="V2182" s="5"/>
      <c r="W2182" s="5"/>
      <c r="X2182" s="5"/>
      <c r="Y2182" s="5"/>
      <c r="Z2182" s="5"/>
    </row>
    <row r="2183" ht="12.0" customHeight="1">
      <c r="A2183" s="10" t="s">
        <v>1646</v>
      </c>
      <c r="B2183" s="5"/>
      <c r="C2183" s="206"/>
      <c r="D2183" s="206"/>
      <c r="E2183" s="206"/>
      <c r="F2183" s="206"/>
      <c r="G2183" s="206"/>
      <c r="H2183" s="206"/>
      <c r="I2183" s="206"/>
      <c r="J2183" s="206"/>
      <c r="K2183" s="206"/>
      <c r="L2183" s="206"/>
      <c r="M2183" s="206"/>
      <c r="N2183" s="206"/>
      <c r="O2183" s="5"/>
      <c r="P2183" s="5"/>
      <c r="Q2183" s="5"/>
      <c r="R2183" s="5"/>
      <c r="S2183" s="5"/>
      <c r="T2183" s="5"/>
      <c r="U2183" s="5"/>
      <c r="V2183" s="5"/>
      <c r="W2183" s="5"/>
      <c r="X2183" s="5"/>
      <c r="Y2183" s="5"/>
      <c r="Z2183" s="5"/>
    </row>
    <row r="2184" ht="12.0" customHeight="1">
      <c r="A2184" s="92" t="s">
        <v>630</v>
      </c>
      <c r="B2184" s="5" t="s">
        <v>631</v>
      </c>
      <c r="C2184" s="206" t="s">
        <v>3</v>
      </c>
      <c r="D2184" s="206" t="s">
        <v>4</v>
      </c>
      <c r="E2184" s="206" t="s">
        <v>507</v>
      </c>
      <c r="F2184" s="206" t="s">
        <v>508</v>
      </c>
      <c r="G2184" s="206" t="s">
        <v>509</v>
      </c>
      <c r="H2184" s="206" t="s">
        <v>510</v>
      </c>
      <c r="I2184" s="206" t="s">
        <v>511</v>
      </c>
      <c r="J2184" s="206" t="s">
        <v>512</v>
      </c>
      <c r="K2184" s="206" t="s">
        <v>513</v>
      </c>
      <c r="L2184" s="206" t="s">
        <v>514</v>
      </c>
      <c r="M2184" s="206" t="s">
        <v>515</v>
      </c>
      <c r="N2184" s="206" t="s">
        <v>516</v>
      </c>
      <c r="O2184" s="5"/>
      <c r="P2184" s="5"/>
      <c r="Q2184" s="5"/>
      <c r="R2184" s="5"/>
      <c r="S2184" s="5"/>
      <c r="T2184" s="5"/>
      <c r="U2184" s="5"/>
      <c r="V2184" s="5"/>
      <c r="W2184" s="5"/>
      <c r="X2184" s="5"/>
      <c r="Y2184" s="5"/>
      <c r="Z2184" s="5"/>
    </row>
    <row r="2185" ht="12.0" customHeight="1">
      <c r="A2185" s="92" t="s">
        <v>1643</v>
      </c>
      <c r="B2185" s="5" t="s">
        <v>633</v>
      </c>
      <c r="C2185" s="203">
        <f t="shared" ref="C2185:N2185" si="655">C2150</f>
        <v>19.805</v>
      </c>
      <c r="D2185" s="203">
        <f t="shared" si="655"/>
        <v>17.475</v>
      </c>
      <c r="E2185" s="203">
        <f t="shared" si="655"/>
        <v>20.97</v>
      </c>
      <c r="F2185" s="203">
        <f t="shared" si="655"/>
        <v>20.97</v>
      </c>
      <c r="G2185" s="203">
        <f t="shared" si="655"/>
        <v>20.97</v>
      </c>
      <c r="H2185" s="203">
        <f t="shared" si="655"/>
        <v>18.64</v>
      </c>
      <c r="I2185" s="203">
        <f t="shared" si="655"/>
        <v>20.97</v>
      </c>
      <c r="J2185" s="203">
        <f t="shared" si="655"/>
        <v>20.97</v>
      </c>
      <c r="K2185" s="203">
        <f t="shared" si="655"/>
        <v>19.805</v>
      </c>
      <c r="L2185" s="203">
        <f t="shared" si="655"/>
        <v>17.475</v>
      </c>
      <c r="M2185" s="203">
        <f t="shared" si="655"/>
        <v>16.31</v>
      </c>
      <c r="N2185" s="203">
        <f t="shared" si="655"/>
        <v>18.64</v>
      </c>
      <c r="O2185" s="5"/>
      <c r="P2185" s="5"/>
      <c r="Q2185" s="5"/>
      <c r="R2185" s="5"/>
      <c r="S2185" s="5"/>
      <c r="T2185" s="5"/>
      <c r="U2185" s="5"/>
      <c r="V2185" s="5"/>
      <c r="W2185" s="5"/>
      <c r="X2185" s="5"/>
      <c r="Y2185" s="5"/>
      <c r="Z2185" s="5"/>
    </row>
    <row r="2186" ht="12.0" customHeight="1">
      <c r="A2186" s="92"/>
      <c r="B2186" s="5" t="s">
        <v>634</v>
      </c>
      <c r="C2186" s="293">
        <f>C2185/Parametros!$B$37</f>
        <v>0.99025</v>
      </c>
      <c r="D2186" s="293">
        <f>D2185/Parametros!$B$37</f>
        <v>0.87375</v>
      </c>
      <c r="E2186" s="293">
        <f>E2185/Parametros!$B$37</f>
        <v>1.0485</v>
      </c>
      <c r="F2186" s="293">
        <f>F2185/Parametros!$B$37</f>
        <v>1.0485</v>
      </c>
      <c r="G2186" s="293">
        <f>G2185/Parametros!$B$37</f>
        <v>1.0485</v>
      </c>
      <c r="H2186" s="293">
        <f>H2185/Parametros!$B$37</f>
        <v>0.932</v>
      </c>
      <c r="I2186" s="293">
        <f>I2185/Parametros!$B$37</f>
        <v>1.0485</v>
      </c>
      <c r="J2186" s="293">
        <f>J2185/Parametros!$B$37</f>
        <v>1.0485</v>
      </c>
      <c r="K2186" s="293">
        <f>K2185/Parametros!$B$37</f>
        <v>0.99025</v>
      </c>
      <c r="L2186" s="293">
        <f>L2185/Parametros!$B$37</f>
        <v>0.87375</v>
      </c>
      <c r="M2186" s="293">
        <f>M2185/Parametros!$B$37</f>
        <v>0.8155</v>
      </c>
      <c r="N2186" s="293">
        <f>N2185/Parametros!$B$37</f>
        <v>0.932</v>
      </c>
      <c r="O2186" s="5"/>
      <c r="P2186" s="5"/>
      <c r="Q2186" s="5"/>
      <c r="R2186" s="5"/>
      <c r="S2186" s="5"/>
      <c r="T2186" s="5"/>
      <c r="U2186" s="5"/>
      <c r="V2186" s="5"/>
      <c r="W2186" s="5"/>
      <c r="X2186" s="5"/>
      <c r="Y2186" s="5"/>
      <c r="Z2186" s="5"/>
    </row>
    <row r="2187" ht="12.0" customHeight="1">
      <c r="A2187" s="92"/>
      <c r="B2187" s="5" t="s">
        <v>635</v>
      </c>
      <c r="C2187" s="293">
        <f>C2186/Parametros!$J$37</f>
        <v>0.1320333333</v>
      </c>
      <c r="D2187" s="293">
        <f>D2186/Parametros!$J$37</f>
        <v>0.1165</v>
      </c>
      <c r="E2187" s="293">
        <f>E2186/Parametros!$J$37</f>
        <v>0.1398</v>
      </c>
      <c r="F2187" s="293">
        <f>F2186/Parametros!$J$37</f>
        <v>0.1398</v>
      </c>
      <c r="G2187" s="293">
        <f>G2186/Parametros!$J$37</f>
        <v>0.1398</v>
      </c>
      <c r="H2187" s="293">
        <f>H2186/Parametros!$J$37</f>
        <v>0.1242666667</v>
      </c>
      <c r="I2187" s="293">
        <f>I2186/Parametros!$J$37</f>
        <v>0.1398</v>
      </c>
      <c r="J2187" s="293">
        <f>J2186/Parametros!$J$37</f>
        <v>0.1398</v>
      </c>
      <c r="K2187" s="293">
        <f>K2186/Parametros!$J$37</f>
        <v>0.1320333333</v>
      </c>
      <c r="L2187" s="293">
        <f>L2186/Parametros!$J$37</f>
        <v>0.1165</v>
      </c>
      <c r="M2187" s="293">
        <f>M2186/Parametros!$J$37</f>
        <v>0.1087333333</v>
      </c>
      <c r="N2187" s="293">
        <f>N2186/Parametros!$J$37</f>
        <v>0.1242666667</v>
      </c>
      <c r="O2187" s="5"/>
      <c r="P2187" s="5"/>
      <c r="Q2187" s="5"/>
      <c r="R2187" s="5"/>
      <c r="S2187" s="5"/>
      <c r="T2187" s="5"/>
      <c r="U2187" s="5"/>
      <c r="V2187" s="5"/>
      <c r="W2187" s="5"/>
      <c r="X2187" s="5"/>
      <c r="Y2187" s="5"/>
      <c r="Z2187" s="5"/>
    </row>
    <row r="2188" ht="12.0" customHeight="1">
      <c r="A2188" s="92" t="s">
        <v>636</v>
      </c>
      <c r="B2188" s="5"/>
      <c r="C2188" s="293">
        <f t="shared" ref="C2188:N2188" si="656">C2187</f>
        <v>0.1320333333</v>
      </c>
      <c r="D2188" s="293">
        <f t="shared" si="656"/>
        <v>0.1165</v>
      </c>
      <c r="E2188" s="293">
        <f t="shared" si="656"/>
        <v>0.1398</v>
      </c>
      <c r="F2188" s="293">
        <f t="shared" si="656"/>
        <v>0.1398</v>
      </c>
      <c r="G2188" s="293">
        <f t="shared" si="656"/>
        <v>0.1398</v>
      </c>
      <c r="H2188" s="293">
        <f t="shared" si="656"/>
        <v>0.1242666667</v>
      </c>
      <c r="I2188" s="293">
        <f t="shared" si="656"/>
        <v>0.1398</v>
      </c>
      <c r="J2188" s="293">
        <f t="shared" si="656"/>
        <v>0.1398</v>
      </c>
      <c r="K2188" s="293">
        <f t="shared" si="656"/>
        <v>0.1320333333</v>
      </c>
      <c r="L2188" s="293">
        <f t="shared" si="656"/>
        <v>0.1165</v>
      </c>
      <c r="M2188" s="293">
        <f t="shared" si="656"/>
        <v>0.1087333333</v>
      </c>
      <c r="N2188" s="293">
        <f t="shared" si="656"/>
        <v>0.1242666667</v>
      </c>
      <c r="O2188" s="5"/>
      <c r="P2188" s="5"/>
      <c r="Q2188" s="5"/>
      <c r="R2188" s="5"/>
      <c r="S2188" s="5"/>
      <c r="T2188" s="5"/>
      <c r="U2188" s="5"/>
      <c r="V2188" s="5"/>
      <c r="W2188" s="5"/>
      <c r="X2188" s="5"/>
      <c r="Y2188" s="5"/>
      <c r="Z2188" s="5"/>
    </row>
    <row r="2189" ht="12.0" customHeight="1">
      <c r="A2189" s="92" t="s">
        <v>637</v>
      </c>
      <c r="B2189" s="5"/>
      <c r="C2189" s="293">
        <f>Parametros!$M$115</f>
        <v>26.60869565</v>
      </c>
      <c r="D2189" s="293">
        <f>Parametros!$M$115</f>
        <v>26.60869565</v>
      </c>
      <c r="E2189" s="293">
        <f>Parametros!$M$115</f>
        <v>26.60869565</v>
      </c>
      <c r="F2189" s="293">
        <f>Parametros!$M$115</f>
        <v>26.60869565</v>
      </c>
      <c r="G2189" s="293">
        <f>Parametros!$M$115</f>
        <v>26.60869565</v>
      </c>
      <c r="H2189" s="293">
        <f>Parametros!$M$115</f>
        <v>26.60869565</v>
      </c>
      <c r="I2189" s="293">
        <f>Parametros!$M$115</f>
        <v>26.60869565</v>
      </c>
      <c r="J2189" s="293">
        <f>Parametros!$M$115</f>
        <v>26.60869565</v>
      </c>
      <c r="K2189" s="293">
        <f>Parametros!$M$115</f>
        <v>26.60869565</v>
      </c>
      <c r="L2189" s="293">
        <f>Parametros!$M$115</f>
        <v>26.60869565</v>
      </c>
      <c r="M2189" s="293">
        <f>Parametros!$M$115</f>
        <v>26.60869565</v>
      </c>
      <c r="N2189" s="293">
        <f>Parametros!$M$115</f>
        <v>26.60869565</v>
      </c>
      <c r="O2189" s="5"/>
      <c r="P2189" s="5"/>
      <c r="Q2189" s="5"/>
      <c r="R2189" s="5"/>
      <c r="S2189" s="5"/>
      <c r="T2189" s="5"/>
      <c r="U2189" s="5"/>
      <c r="V2189" s="5"/>
      <c r="W2189" s="5"/>
      <c r="X2189" s="5"/>
      <c r="Y2189" s="5"/>
      <c r="Z2189" s="5"/>
    </row>
    <row r="2190" ht="12.0" customHeight="1">
      <c r="A2190" s="92" t="s">
        <v>640</v>
      </c>
      <c r="B2190" s="5"/>
      <c r="C2190" s="203">
        <f>'Resumen Capacidad'!$C$223</f>
        <v>1</v>
      </c>
      <c r="D2190" s="203">
        <f>'Resumen Capacidad'!$C$223</f>
        <v>1</v>
      </c>
      <c r="E2190" s="203">
        <f>'Resumen Capacidad'!$C$223</f>
        <v>1</v>
      </c>
      <c r="F2190" s="203">
        <f>'Resumen Capacidad'!$C$223</f>
        <v>1</v>
      </c>
      <c r="G2190" s="203">
        <f>'Resumen Capacidad'!$C$223</f>
        <v>1</v>
      </c>
      <c r="H2190" s="203">
        <f>'Resumen Capacidad'!$C$223</f>
        <v>1</v>
      </c>
      <c r="I2190" s="203">
        <f>'Resumen Capacidad'!$C$223</f>
        <v>1</v>
      </c>
      <c r="J2190" s="203">
        <f>'Resumen Capacidad'!$C$223</f>
        <v>1</v>
      </c>
      <c r="K2190" s="203">
        <f>'Resumen Capacidad'!$C$223</f>
        <v>1</v>
      </c>
      <c r="L2190" s="203">
        <f>'Resumen Capacidad'!$C$223</f>
        <v>1</v>
      </c>
      <c r="M2190" s="203">
        <f>'Resumen Capacidad'!$C$223</f>
        <v>1</v>
      </c>
      <c r="N2190" s="203">
        <f>'Resumen Capacidad'!$C$223</f>
        <v>1</v>
      </c>
      <c r="O2190" s="5"/>
      <c r="P2190" s="5"/>
      <c r="Q2190" s="5"/>
      <c r="R2190" s="5"/>
      <c r="S2190" s="5"/>
      <c r="T2190" s="5"/>
      <c r="U2190" s="5"/>
      <c r="V2190" s="5"/>
      <c r="W2190" s="5"/>
      <c r="X2190" s="5"/>
      <c r="Y2190" s="5"/>
      <c r="Z2190" s="5"/>
    </row>
    <row r="2191" ht="12.0" customHeight="1">
      <c r="A2191" s="92" t="s">
        <v>642</v>
      </c>
      <c r="B2191" s="5"/>
      <c r="C2191" s="203">
        <f t="shared" ref="C2191:N2191" si="657">C2189*C2190</f>
        <v>26.60869565</v>
      </c>
      <c r="D2191" s="203">
        <f t="shared" si="657"/>
        <v>26.60869565</v>
      </c>
      <c r="E2191" s="203">
        <f t="shared" si="657"/>
        <v>26.60869565</v>
      </c>
      <c r="F2191" s="203">
        <f t="shared" si="657"/>
        <v>26.60869565</v>
      </c>
      <c r="G2191" s="203">
        <f t="shared" si="657"/>
        <v>26.60869565</v>
      </c>
      <c r="H2191" s="203">
        <f t="shared" si="657"/>
        <v>26.60869565</v>
      </c>
      <c r="I2191" s="203">
        <f t="shared" si="657"/>
        <v>26.60869565</v>
      </c>
      <c r="J2191" s="203">
        <f t="shared" si="657"/>
        <v>26.60869565</v>
      </c>
      <c r="K2191" s="203">
        <f t="shared" si="657"/>
        <v>26.60869565</v>
      </c>
      <c r="L2191" s="203">
        <f t="shared" si="657"/>
        <v>26.60869565</v>
      </c>
      <c r="M2191" s="203">
        <f t="shared" si="657"/>
        <v>26.60869565</v>
      </c>
      <c r="N2191" s="203">
        <f t="shared" si="657"/>
        <v>26.60869565</v>
      </c>
      <c r="O2191" s="5"/>
      <c r="P2191" s="5"/>
      <c r="Q2191" s="5"/>
      <c r="R2191" s="5"/>
      <c r="S2191" s="5"/>
      <c r="T2191" s="5"/>
      <c r="U2191" s="5"/>
      <c r="V2191" s="5"/>
      <c r="W2191" s="5"/>
      <c r="X2191" s="5"/>
      <c r="Y2191" s="5"/>
      <c r="Z2191" s="5"/>
    </row>
    <row r="2192" ht="12.0" customHeight="1">
      <c r="A2192" s="92" t="s">
        <v>643</v>
      </c>
      <c r="B2192" s="5"/>
      <c r="C2192" s="294">
        <f t="shared" ref="C2192:N2192" si="658">IF(C2191=0,0,C2188/C2191)</f>
        <v>0.004962037037</v>
      </c>
      <c r="D2192" s="294">
        <f t="shared" si="658"/>
        <v>0.004378267974</v>
      </c>
      <c r="E2192" s="294">
        <f t="shared" si="658"/>
        <v>0.005253921569</v>
      </c>
      <c r="F2192" s="294">
        <f t="shared" si="658"/>
        <v>0.005253921569</v>
      </c>
      <c r="G2192" s="294">
        <f t="shared" si="658"/>
        <v>0.005253921569</v>
      </c>
      <c r="H2192" s="294">
        <f t="shared" si="658"/>
        <v>0.004670152505</v>
      </c>
      <c r="I2192" s="294">
        <f t="shared" si="658"/>
        <v>0.005253921569</v>
      </c>
      <c r="J2192" s="294">
        <f t="shared" si="658"/>
        <v>0.005253921569</v>
      </c>
      <c r="K2192" s="294">
        <f t="shared" si="658"/>
        <v>0.004962037037</v>
      </c>
      <c r="L2192" s="294">
        <f t="shared" si="658"/>
        <v>0.004378267974</v>
      </c>
      <c r="M2192" s="294">
        <f t="shared" si="658"/>
        <v>0.004086383442</v>
      </c>
      <c r="N2192" s="294">
        <f t="shared" si="658"/>
        <v>0.004670152505</v>
      </c>
      <c r="O2192" s="5"/>
      <c r="P2192" s="5"/>
      <c r="Q2192" s="5"/>
      <c r="R2192" s="5"/>
      <c r="S2192" s="5"/>
      <c r="T2192" s="5"/>
      <c r="U2192" s="5"/>
      <c r="V2192" s="5"/>
      <c r="W2192" s="5"/>
      <c r="X2192" s="5"/>
      <c r="Y2192" s="5"/>
      <c r="Z2192" s="5"/>
    </row>
    <row r="2193" ht="12.0" customHeight="1">
      <c r="A2193" s="10" t="s">
        <v>1647</v>
      </c>
      <c r="B2193" s="5"/>
      <c r="C2193" s="206"/>
      <c r="D2193" s="206"/>
      <c r="E2193" s="206"/>
      <c r="F2193" s="206"/>
      <c r="G2193" s="206"/>
      <c r="H2193" s="206"/>
      <c r="I2193" s="206"/>
      <c r="J2193" s="206"/>
      <c r="K2193" s="206"/>
      <c r="L2193" s="206"/>
      <c r="M2193" s="206"/>
      <c r="N2193" s="206"/>
      <c r="O2193" s="5"/>
      <c r="P2193" s="5"/>
      <c r="Q2193" s="5"/>
      <c r="R2193" s="5"/>
      <c r="S2193" s="5"/>
      <c r="T2193" s="5"/>
      <c r="U2193" s="5"/>
      <c r="V2193" s="5"/>
      <c r="W2193" s="5"/>
      <c r="X2193" s="5"/>
      <c r="Y2193" s="5"/>
      <c r="Z2193" s="5"/>
    </row>
    <row r="2194" ht="12.0" customHeight="1">
      <c r="A2194" s="92" t="s">
        <v>630</v>
      </c>
      <c r="B2194" s="5" t="s">
        <v>631</v>
      </c>
      <c r="C2194" s="206" t="s">
        <v>3</v>
      </c>
      <c r="D2194" s="206" t="s">
        <v>4</v>
      </c>
      <c r="E2194" s="206" t="s">
        <v>507</v>
      </c>
      <c r="F2194" s="206" t="s">
        <v>508</v>
      </c>
      <c r="G2194" s="206" t="s">
        <v>509</v>
      </c>
      <c r="H2194" s="206" t="s">
        <v>510</v>
      </c>
      <c r="I2194" s="206" t="s">
        <v>511</v>
      </c>
      <c r="J2194" s="206" t="s">
        <v>512</v>
      </c>
      <c r="K2194" s="206" t="s">
        <v>513</v>
      </c>
      <c r="L2194" s="206" t="s">
        <v>514</v>
      </c>
      <c r="M2194" s="206" t="s">
        <v>515</v>
      </c>
      <c r="N2194" s="206" t="s">
        <v>516</v>
      </c>
      <c r="O2194" s="5"/>
      <c r="P2194" s="5"/>
      <c r="Q2194" s="5"/>
      <c r="R2194" s="5"/>
      <c r="S2194" s="5"/>
      <c r="T2194" s="5"/>
      <c r="U2194" s="5"/>
      <c r="V2194" s="5"/>
      <c r="W2194" s="5"/>
      <c r="X2194" s="5"/>
      <c r="Y2194" s="5"/>
      <c r="Z2194" s="5"/>
    </row>
    <row r="2195" ht="12.0" customHeight="1">
      <c r="A2195" s="92" t="s">
        <v>1643</v>
      </c>
      <c r="B2195" s="5" t="s">
        <v>633</v>
      </c>
      <c r="C2195" s="203">
        <f t="shared" ref="C2195:N2195" si="659">C2150</f>
        <v>19.805</v>
      </c>
      <c r="D2195" s="203">
        <f t="shared" si="659"/>
        <v>17.475</v>
      </c>
      <c r="E2195" s="203">
        <f t="shared" si="659"/>
        <v>20.97</v>
      </c>
      <c r="F2195" s="203">
        <f t="shared" si="659"/>
        <v>20.97</v>
      </c>
      <c r="G2195" s="203">
        <f t="shared" si="659"/>
        <v>20.97</v>
      </c>
      <c r="H2195" s="203">
        <f t="shared" si="659"/>
        <v>18.64</v>
      </c>
      <c r="I2195" s="203">
        <f t="shared" si="659"/>
        <v>20.97</v>
      </c>
      <c r="J2195" s="203">
        <f t="shared" si="659"/>
        <v>20.97</v>
      </c>
      <c r="K2195" s="203">
        <f t="shared" si="659"/>
        <v>19.805</v>
      </c>
      <c r="L2195" s="203">
        <f t="shared" si="659"/>
        <v>17.475</v>
      </c>
      <c r="M2195" s="203">
        <f t="shared" si="659"/>
        <v>16.31</v>
      </c>
      <c r="N2195" s="203">
        <f t="shared" si="659"/>
        <v>18.64</v>
      </c>
      <c r="O2195" s="5"/>
      <c r="P2195" s="5"/>
      <c r="Q2195" s="5"/>
      <c r="R2195" s="5"/>
      <c r="S2195" s="5"/>
      <c r="T2195" s="5"/>
      <c r="U2195" s="5"/>
      <c r="V2195" s="5"/>
      <c r="W2195" s="5"/>
      <c r="X2195" s="5"/>
      <c r="Y2195" s="5"/>
      <c r="Z2195" s="5"/>
    </row>
    <row r="2196" ht="12.0" customHeight="1">
      <c r="A2196" s="92"/>
      <c r="B2196" s="5" t="s">
        <v>634</v>
      </c>
      <c r="C2196" s="293">
        <f>C2195/Parametros!$B$37</f>
        <v>0.99025</v>
      </c>
      <c r="D2196" s="293">
        <f>D2195/Parametros!$B$37</f>
        <v>0.87375</v>
      </c>
      <c r="E2196" s="293">
        <f>E2195/Parametros!$B$37</f>
        <v>1.0485</v>
      </c>
      <c r="F2196" s="293">
        <f>F2195/Parametros!$B$37</f>
        <v>1.0485</v>
      </c>
      <c r="G2196" s="293">
        <f>G2195/Parametros!$B$37</f>
        <v>1.0485</v>
      </c>
      <c r="H2196" s="293">
        <f>H2195/Parametros!$B$37</f>
        <v>0.932</v>
      </c>
      <c r="I2196" s="293">
        <f>I2195/Parametros!$B$37</f>
        <v>1.0485</v>
      </c>
      <c r="J2196" s="293">
        <f>J2195/Parametros!$B$37</f>
        <v>1.0485</v>
      </c>
      <c r="K2196" s="293">
        <f>K2195/Parametros!$B$37</f>
        <v>0.99025</v>
      </c>
      <c r="L2196" s="293">
        <f>L2195/Parametros!$B$37</f>
        <v>0.87375</v>
      </c>
      <c r="M2196" s="293">
        <f>M2195/Parametros!$B$37</f>
        <v>0.8155</v>
      </c>
      <c r="N2196" s="293">
        <f>N2195/Parametros!$B$37</f>
        <v>0.932</v>
      </c>
      <c r="O2196" s="5"/>
      <c r="P2196" s="5"/>
      <c r="Q2196" s="5"/>
      <c r="R2196" s="5"/>
      <c r="S2196" s="5"/>
      <c r="T2196" s="5"/>
      <c r="U2196" s="5"/>
      <c r="V2196" s="5"/>
      <c r="W2196" s="5"/>
      <c r="X2196" s="5"/>
      <c r="Y2196" s="5"/>
      <c r="Z2196" s="5"/>
    </row>
    <row r="2197" ht="12.0" customHeight="1">
      <c r="A2197" s="92"/>
      <c r="B2197" s="5" t="s">
        <v>635</v>
      </c>
      <c r="C2197" s="293">
        <f>C2196/Parametros!$J$37</f>
        <v>0.1320333333</v>
      </c>
      <c r="D2197" s="293">
        <f>D2196/Parametros!$J$37</f>
        <v>0.1165</v>
      </c>
      <c r="E2197" s="293">
        <f>E2196/Parametros!$J$37</f>
        <v>0.1398</v>
      </c>
      <c r="F2197" s="293">
        <f>F2196/Parametros!$J$37</f>
        <v>0.1398</v>
      </c>
      <c r="G2197" s="293">
        <f>G2196/Parametros!$J$37</f>
        <v>0.1398</v>
      </c>
      <c r="H2197" s="293">
        <f>H2196/Parametros!$J$37</f>
        <v>0.1242666667</v>
      </c>
      <c r="I2197" s="293">
        <f>I2196/Parametros!$J$37</f>
        <v>0.1398</v>
      </c>
      <c r="J2197" s="293">
        <f>J2196/Parametros!$J$37</f>
        <v>0.1398</v>
      </c>
      <c r="K2197" s="293">
        <f>K2196/Parametros!$J$37</f>
        <v>0.1320333333</v>
      </c>
      <c r="L2197" s="293">
        <f>L2196/Parametros!$J$37</f>
        <v>0.1165</v>
      </c>
      <c r="M2197" s="293">
        <f>M2196/Parametros!$J$37</f>
        <v>0.1087333333</v>
      </c>
      <c r="N2197" s="293">
        <f>N2196/Parametros!$J$37</f>
        <v>0.1242666667</v>
      </c>
      <c r="O2197" s="5"/>
      <c r="P2197" s="5"/>
      <c r="Q2197" s="5"/>
      <c r="R2197" s="5"/>
      <c r="S2197" s="5"/>
      <c r="T2197" s="5"/>
      <c r="U2197" s="5"/>
      <c r="V2197" s="5"/>
      <c r="W2197" s="5"/>
      <c r="X2197" s="5"/>
      <c r="Y2197" s="5"/>
      <c r="Z2197" s="5"/>
    </row>
    <row r="2198" ht="12.0" customHeight="1">
      <c r="A2198" s="92" t="s">
        <v>636</v>
      </c>
      <c r="B2198" s="5"/>
      <c r="C2198" s="293">
        <f t="shared" ref="C2198:N2198" si="660">C2197</f>
        <v>0.1320333333</v>
      </c>
      <c r="D2198" s="293">
        <f t="shared" si="660"/>
        <v>0.1165</v>
      </c>
      <c r="E2198" s="293">
        <f t="shared" si="660"/>
        <v>0.1398</v>
      </c>
      <c r="F2198" s="293">
        <f t="shared" si="660"/>
        <v>0.1398</v>
      </c>
      <c r="G2198" s="293">
        <f t="shared" si="660"/>
        <v>0.1398</v>
      </c>
      <c r="H2198" s="293">
        <f t="shared" si="660"/>
        <v>0.1242666667</v>
      </c>
      <c r="I2198" s="293">
        <f t="shared" si="660"/>
        <v>0.1398</v>
      </c>
      <c r="J2198" s="293">
        <f t="shared" si="660"/>
        <v>0.1398</v>
      </c>
      <c r="K2198" s="293">
        <f t="shared" si="660"/>
        <v>0.1320333333</v>
      </c>
      <c r="L2198" s="293">
        <f t="shared" si="660"/>
        <v>0.1165</v>
      </c>
      <c r="M2198" s="293">
        <f t="shared" si="660"/>
        <v>0.1087333333</v>
      </c>
      <c r="N2198" s="293">
        <f t="shared" si="660"/>
        <v>0.1242666667</v>
      </c>
      <c r="O2198" s="5"/>
      <c r="P2198" s="5"/>
      <c r="Q2198" s="5"/>
      <c r="R2198" s="5"/>
      <c r="S2198" s="5"/>
      <c r="T2198" s="5"/>
      <c r="U2198" s="5"/>
      <c r="V2198" s="5"/>
      <c r="W2198" s="5"/>
      <c r="X2198" s="5"/>
      <c r="Y2198" s="5"/>
      <c r="Z2198" s="5"/>
    </row>
    <row r="2199" ht="12.0" customHeight="1">
      <c r="A2199" s="92" t="s">
        <v>637</v>
      </c>
      <c r="B2199" s="5"/>
      <c r="C2199" s="293">
        <f>Parametros!$M$116</f>
        <v>38.25</v>
      </c>
      <c r="D2199" s="293">
        <f>Parametros!$M$116</f>
        <v>38.25</v>
      </c>
      <c r="E2199" s="293">
        <f>Parametros!$M$116</f>
        <v>38.25</v>
      </c>
      <c r="F2199" s="293">
        <f>Parametros!$M$116</f>
        <v>38.25</v>
      </c>
      <c r="G2199" s="293">
        <f>Parametros!$M$116</f>
        <v>38.25</v>
      </c>
      <c r="H2199" s="293">
        <f>Parametros!$M$116</f>
        <v>38.25</v>
      </c>
      <c r="I2199" s="293">
        <f>Parametros!$M$116</f>
        <v>38.25</v>
      </c>
      <c r="J2199" s="293">
        <f>Parametros!$M$116</f>
        <v>38.25</v>
      </c>
      <c r="K2199" s="293">
        <f>Parametros!$M$116</f>
        <v>38.25</v>
      </c>
      <c r="L2199" s="293">
        <f>Parametros!$M$116</f>
        <v>38.25</v>
      </c>
      <c r="M2199" s="293">
        <f>Parametros!$M$116</f>
        <v>38.25</v>
      </c>
      <c r="N2199" s="293">
        <f>Parametros!$M$116</f>
        <v>38.25</v>
      </c>
      <c r="O2199" s="5"/>
      <c r="P2199" s="5"/>
      <c r="Q2199" s="5"/>
      <c r="R2199" s="5"/>
      <c r="S2199" s="5"/>
      <c r="T2199" s="5"/>
      <c r="U2199" s="5"/>
      <c r="V2199" s="5"/>
      <c r="W2199" s="5"/>
      <c r="X2199" s="5"/>
      <c r="Y2199" s="5"/>
      <c r="Z2199" s="5"/>
    </row>
    <row r="2200" ht="12.0" customHeight="1">
      <c r="A2200" s="92" t="s">
        <v>640</v>
      </c>
      <c r="B2200" s="5"/>
      <c r="C2200" s="203">
        <f>'Resumen Capacidad'!$C$224</f>
        <v>1</v>
      </c>
      <c r="D2200" s="203">
        <f>'Resumen Capacidad'!$C$224</f>
        <v>1</v>
      </c>
      <c r="E2200" s="203">
        <f>'Resumen Capacidad'!$C$224</f>
        <v>1</v>
      </c>
      <c r="F2200" s="203">
        <f>'Resumen Capacidad'!$C$224</f>
        <v>1</v>
      </c>
      <c r="G2200" s="203">
        <f>'Resumen Capacidad'!$C$224</f>
        <v>1</v>
      </c>
      <c r="H2200" s="203">
        <f>'Resumen Capacidad'!$C$224</f>
        <v>1</v>
      </c>
      <c r="I2200" s="203">
        <f>'Resumen Capacidad'!$C$224</f>
        <v>1</v>
      </c>
      <c r="J2200" s="203">
        <f>'Resumen Capacidad'!$C$224</f>
        <v>1</v>
      </c>
      <c r="K2200" s="203">
        <f>'Resumen Capacidad'!$C$224</f>
        <v>1</v>
      </c>
      <c r="L2200" s="203">
        <f>'Resumen Capacidad'!$C$224</f>
        <v>1</v>
      </c>
      <c r="M2200" s="203">
        <f>'Resumen Capacidad'!$C$224</f>
        <v>1</v>
      </c>
      <c r="N2200" s="203">
        <f>'Resumen Capacidad'!$C$224</f>
        <v>1</v>
      </c>
      <c r="O2200" s="5"/>
      <c r="P2200" s="5"/>
      <c r="Q2200" s="5"/>
      <c r="R2200" s="5"/>
      <c r="S2200" s="5"/>
      <c r="T2200" s="5"/>
      <c r="U2200" s="5"/>
      <c r="V2200" s="5"/>
      <c r="W2200" s="5"/>
      <c r="X2200" s="5"/>
      <c r="Y2200" s="5"/>
      <c r="Z2200" s="5"/>
    </row>
    <row r="2201" ht="12.0" customHeight="1">
      <c r="A2201" s="92" t="s">
        <v>642</v>
      </c>
      <c r="B2201" s="5"/>
      <c r="C2201" s="203">
        <f t="shared" ref="C2201:N2201" si="661">C2199*C2200</f>
        <v>38.25</v>
      </c>
      <c r="D2201" s="203">
        <f t="shared" si="661"/>
        <v>38.25</v>
      </c>
      <c r="E2201" s="203">
        <f t="shared" si="661"/>
        <v>38.25</v>
      </c>
      <c r="F2201" s="203">
        <f t="shared" si="661"/>
        <v>38.25</v>
      </c>
      <c r="G2201" s="203">
        <f t="shared" si="661"/>
        <v>38.25</v>
      </c>
      <c r="H2201" s="203">
        <f t="shared" si="661"/>
        <v>38.25</v>
      </c>
      <c r="I2201" s="203">
        <f t="shared" si="661"/>
        <v>38.25</v>
      </c>
      <c r="J2201" s="203">
        <f t="shared" si="661"/>
        <v>38.25</v>
      </c>
      <c r="K2201" s="203">
        <f t="shared" si="661"/>
        <v>38.25</v>
      </c>
      <c r="L2201" s="203">
        <f t="shared" si="661"/>
        <v>38.25</v>
      </c>
      <c r="M2201" s="203">
        <f t="shared" si="661"/>
        <v>38.25</v>
      </c>
      <c r="N2201" s="203">
        <f t="shared" si="661"/>
        <v>38.25</v>
      </c>
      <c r="O2201" s="5"/>
      <c r="P2201" s="5"/>
      <c r="Q2201" s="5"/>
      <c r="R2201" s="5"/>
      <c r="S2201" s="5"/>
      <c r="T2201" s="5"/>
      <c r="U2201" s="5"/>
      <c r="V2201" s="5"/>
      <c r="W2201" s="5"/>
      <c r="X2201" s="5"/>
      <c r="Y2201" s="5"/>
      <c r="Z2201" s="5"/>
    </row>
    <row r="2202" ht="12.0" customHeight="1">
      <c r="A2202" s="92" t="s">
        <v>643</v>
      </c>
      <c r="B2202" s="5"/>
      <c r="C2202" s="294">
        <f t="shared" ref="C2202:N2202" si="662">IF(C2201=0,0,C2198/C2201)</f>
        <v>0.003451851852</v>
      </c>
      <c r="D2202" s="294">
        <f t="shared" si="662"/>
        <v>0.003045751634</v>
      </c>
      <c r="E2202" s="294">
        <f t="shared" si="662"/>
        <v>0.003654901961</v>
      </c>
      <c r="F2202" s="294">
        <f t="shared" si="662"/>
        <v>0.003654901961</v>
      </c>
      <c r="G2202" s="294">
        <f t="shared" si="662"/>
        <v>0.003654901961</v>
      </c>
      <c r="H2202" s="294">
        <f t="shared" si="662"/>
        <v>0.003248801743</v>
      </c>
      <c r="I2202" s="294">
        <f t="shared" si="662"/>
        <v>0.003654901961</v>
      </c>
      <c r="J2202" s="294">
        <f t="shared" si="662"/>
        <v>0.003654901961</v>
      </c>
      <c r="K2202" s="294">
        <f t="shared" si="662"/>
        <v>0.003451851852</v>
      </c>
      <c r="L2202" s="294">
        <f t="shared" si="662"/>
        <v>0.003045751634</v>
      </c>
      <c r="M2202" s="294">
        <f t="shared" si="662"/>
        <v>0.002842701525</v>
      </c>
      <c r="N2202" s="294">
        <f t="shared" si="662"/>
        <v>0.003248801743</v>
      </c>
      <c r="O2202" s="5"/>
      <c r="P2202" s="5"/>
      <c r="Q2202" s="5"/>
      <c r="R2202" s="5"/>
      <c r="S2202" s="5"/>
      <c r="T2202" s="5"/>
      <c r="U2202" s="5"/>
      <c r="V2202" s="5"/>
      <c r="W2202" s="5"/>
      <c r="X2202" s="5"/>
      <c r="Y2202" s="5"/>
      <c r="Z2202" s="5"/>
    </row>
    <row r="2203" ht="12.0" customHeight="1">
      <c r="A2203" s="10" t="s">
        <v>1648</v>
      </c>
      <c r="B2203" s="5"/>
      <c r="C2203" s="206"/>
      <c r="D2203" s="206"/>
      <c r="E2203" s="206"/>
      <c r="F2203" s="206"/>
      <c r="G2203" s="206"/>
      <c r="H2203" s="206"/>
      <c r="I2203" s="206"/>
      <c r="J2203" s="206"/>
      <c r="K2203" s="206"/>
      <c r="L2203" s="206"/>
      <c r="M2203" s="206"/>
      <c r="N2203" s="206"/>
      <c r="O2203" s="5"/>
      <c r="P2203" s="5"/>
      <c r="Q2203" s="5"/>
      <c r="R2203" s="5"/>
      <c r="S2203" s="5"/>
      <c r="T2203" s="5"/>
      <c r="U2203" s="5"/>
      <c r="V2203" s="5"/>
      <c r="W2203" s="5"/>
      <c r="X2203" s="5"/>
      <c r="Y2203" s="5"/>
      <c r="Z2203" s="5"/>
    </row>
    <row r="2204" ht="12.0" customHeight="1">
      <c r="A2204" s="92" t="s">
        <v>630</v>
      </c>
      <c r="B2204" s="5" t="s">
        <v>631</v>
      </c>
      <c r="C2204" s="206" t="s">
        <v>3</v>
      </c>
      <c r="D2204" s="206" t="s">
        <v>4</v>
      </c>
      <c r="E2204" s="206" t="s">
        <v>507</v>
      </c>
      <c r="F2204" s="206" t="s">
        <v>508</v>
      </c>
      <c r="G2204" s="206" t="s">
        <v>509</v>
      </c>
      <c r="H2204" s="206" t="s">
        <v>510</v>
      </c>
      <c r="I2204" s="206" t="s">
        <v>511</v>
      </c>
      <c r="J2204" s="206" t="s">
        <v>512</v>
      </c>
      <c r="K2204" s="206" t="s">
        <v>513</v>
      </c>
      <c r="L2204" s="206" t="s">
        <v>514</v>
      </c>
      <c r="M2204" s="206" t="s">
        <v>515</v>
      </c>
      <c r="N2204" s="206" t="s">
        <v>516</v>
      </c>
      <c r="O2204" s="5"/>
      <c r="P2204" s="5"/>
      <c r="Q2204" s="5"/>
      <c r="R2204" s="5"/>
      <c r="S2204" s="5"/>
      <c r="T2204" s="5"/>
      <c r="U2204" s="5"/>
      <c r="V2204" s="5"/>
      <c r="W2204" s="5"/>
      <c r="X2204" s="5"/>
      <c r="Y2204" s="5"/>
      <c r="Z2204" s="5"/>
    </row>
    <row r="2205" ht="12.0" customHeight="1">
      <c r="A2205" s="92" t="s">
        <v>1643</v>
      </c>
      <c r="B2205" s="5" t="s">
        <v>633</v>
      </c>
      <c r="C2205" s="203">
        <f t="shared" ref="C2205:N2205" si="663">C2150</f>
        <v>19.805</v>
      </c>
      <c r="D2205" s="203">
        <f t="shared" si="663"/>
        <v>17.475</v>
      </c>
      <c r="E2205" s="203">
        <f t="shared" si="663"/>
        <v>20.97</v>
      </c>
      <c r="F2205" s="203">
        <f t="shared" si="663"/>
        <v>20.97</v>
      </c>
      <c r="G2205" s="203">
        <f t="shared" si="663"/>
        <v>20.97</v>
      </c>
      <c r="H2205" s="203">
        <f t="shared" si="663"/>
        <v>18.64</v>
      </c>
      <c r="I2205" s="203">
        <f t="shared" si="663"/>
        <v>20.97</v>
      </c>
      <c r="J2205" s="203">
        <f t="shared" si="663"/>
        <v>20.97</v>
      </c>
      <c r="K2205" s="203">
        <f t="shared" si="663"/>
        <v>19.805</v>
      </c>
      <c r="L2205" s="203">
        <f t="shared" si="663"/>
        <v>17.475</v>
      </c>
      <c r="M2205" s="203">
        <f t="shared" si="663"/>
        <v>16.31</v>
      </c>
      <c r="N2205" s="203">
        <f t="shared" si="663"/>
        <v>18.64</v>
      </c>
      <c r="O2205" s="5"/>
      <c r="P2205" s="5"/>
      <c r="Q2205" s="5"/>
      <c r="R2205" s="5"/>
      <c r="S2205" s="5"/>
      <c r="T2205" s="5"/>
      <c r="U2205" s="5"/>
      <c r="V2205" s="5"/>
      <c r="W2205" s="5"/>
      <c r="X2205" s="5"/>
      <c r="Y2205" s="5"/>
      <c r="Z2205" s="5"/>
    </row>
    <row r="2206" ht="12.0" customHeight="1">
      <c r="A2206" s="92"/>
      <c r="B2206" s="5" t="s">
        <v>634</v>
      </c>
      <c r="C2206" s="293">
        <f>C2205/Parametros!$B$37</f>
        <v>0.99025</v>
      </c>
      <c r="D2206" s="293">
        <f>D2205/Parametros!$B$37</f>
        <v>0.87375</v>
      </c>
      <c r="E2206" s="293">
        <f>E2205/Parametros!$B$37</f>
        <v>1.0485</v>
      </c>
      <c r="F2206" s="293">
        <f>F2205/Parametros!$B$37</f>
        <v>1.0485</v>
      </c>
      <c r="G2206" s="293">
        <f>G2205/Parametros!$B$37</f>
        <v>1.0485</v>
      </c>
      <c r="H2206" s="293">
        <f>H2205/Parametros!$B$37</f>
        <v>0.932</v>
      </c>
      <c r="I2206" s="293">
        <f>I2205/Parametros!$B$37</f>
        <v>1.0485</v>
      </c>
      <c r="J2206" s="293">
        <f>J2205/Parametros!$B$37</f>
        <v>1.0485</v>
      </c>
      <c r="K2206" s="293">
        <f>K2205/Parametros!$B$37</f>
        <v>0.99025</v>
      </c>
      <c r="L2206" s="293">
        <f>L2205/Parametros!$B$37</f>
        <v>0.87375</v>
      </c>
      <c r="M2206" s="293">
        <f>M2205/Parametros!$B$37</f>
        <v>0.8155</v>
      </c>
      <c r="N2206" s="293">
        <f>N2205/Parametros!$B$37</f>
        <v>0.932</v>
      </c>
      <c r="O2206" s="5"/>
      <c r="P2206" s="5"/>
      <c r="Q2206" s="5"/>
      <c r="R2206" s="5"/>
      <c r="S2206" s="5"/>
      <c r="T2206" s="5"/>
      <c r="U2206" s="5"/>
      <c r="V2206" s="5"/>
      <c r="W2206" s="5"/>
      <c r="X2206" s="5"/>
      <c r="Y2206" s="5"/>
      <c r="Z2206" s="5"/>
    </row>
    <row r="2207" ht="12.0" customHeight="1">
      <c r="A2207" s="92"/>
      <c r="B2207" s="5" t="s">
        <v>635</v>
      </c>
      <c r="C2207" s="293">
        <f>C2206/Parametros!$J$37</f>
        <v>0.1320333333</v>
      </c>
      <c r="D2207" s="293">
        <f>D2206/Parametros!$J$37</f>
        <v>0.1165</v>
      </c>
      <c r="E2207" s="293">
        <f>E2206/Parametros!$J$37</f>
        <v>0.1398</v>
      </c>
      <c r="F2207" s="293">
        <f>F2206/Parametros!$J$37</f>
        <v>0.1398</v>
      </c>
      <c r="G2207" s="293">
        <f>G2206/Parametros!$J$37</f>
        <v>0.1398</v>
      </c>
      <c r="H2207" s="293">
        <f>H2206/Parametros!$J$37</f>
        <v>0.1242666667</v>
      </c>
      <c r="I2207" s="293">
        <f>I2206/Parametros!$J$37</f>
        <v>0.1398</v>
      </c>
      <c r="J2207" s="293">
        <f>J2206/Parametros!$J$37</f>
        <v>0.1398</v>
      </c>
      <c r="K2207" s="293">
        <f>K2206/Parametros!$J$37</f>
        <v>0.1320333333</v>
      </c>
      <c r="L2207" s="293">
        <f>L2206/Parametros!$J$37</f>
        <v>0.1165</v>
      </c>
      <c r="M2207" s="293">
        <f>M2206/Parametros!$J$37</f>
        <v>0.1087333333</v>
      </c>
      <c r="N2207" s="293">
        <f>N2206/Parametros!$J$37</f>
        <v>0.1242666667</v>
      </c>
      <c r="O2207" s="5"/>
      <c r="P2207" s="5"/>
      <c r="Q2207" s="5"/>
      <c r="R2207" s="5"/>
      <c r="S2207" s="5"/>
      <c r="T2207" s="5"/>
      <c r="U2207" s="5"/>
      <c r="V2207" s="5"/>
      <c r="W2207" s="5"/>
      <c r="X2207" s="5"/>
      <c r="Y2207" s="5"/>
      <c r="Z2207" s="5"/>
    </row>
    <row r="2208" ht="12.0" customHeight="1">
      <c r="A2208" s="92" t="s">
        <v>636</v>
      </c>
      <c r="B2208" s="5"/>
      <c r="C2208" s="293">
        <f t="shared" ref="C2208:N2208" si="664">C2207</f>
        <v>0.1320333333</v>
      </c>
      <c r="D2208" s="293">
        <f t="shared" si="664"/>
        <v>0.1165</v>
      </c>
      <c r="E2208" s="293">
        <f t="shared" si="664"/>
        <v>0.1398</v>
      </c>
      <c r="F2208" s="293">
        <f t="shared" si="664"/>
        <v>0.1398</v>
      </c>
      <c r="G2208" s="293">
        <f t="shared" si="664"/>
        <v>0.1398</v>
      </c>
      <c r="H2208" s="293">
        <f t="shared" si="664"/>
        <v>0.1242666667</v>
      </c>
      <c r="I2208" s="293">
        <f t="shared" si="664"/>
        <v>0.1398</v>
      </c>
      <c r="J2208" s="293">
        <f t="shared" si="664"/>
        <v>0.1398</v>
      </c>
      <c r="K2208" s="293">
        <f t="shared" si="664"/>
        <v>0.1320333333</v>
      </c>
      <c r="L2208" s="293">
        <f t="shared" si="664"/>
        <v>0.1165</v>
      </c>
      <c r="M2208" s="293">
        <f t="shared" si="664"/>
        <v>0.1087333333</v>
      </c>
      <c r="N2208" s="293">
        <f t="shared" si="664"/>
        <v>0.1242666667</v>
      </c>
      <c r="O2208" s="5"/>
      <c r="P2208" s="5"/>
      <c r="Q2208" s="5"/>
      <c r="R2208" s="5"/>
      <c r="S2208" s="5"/>
      <c r="T2208" s="5"/>
      <c r="U2208" s="5"/>
      <c r="V2208" s="5"/>
      <c r="W2208" s="5"/>
      <c r="X2208" s="5"/>
      <c r="Y2208" s="5"/>
      <c r="Z2208" s="5"/>
    </row>
    <row r="2209" ht="12.0" customHeight="1">
      <c r="A2209" s="92" t="s">
        <v>637</v>
      </c>
      <c r="B2209" s="5"/>
      <c r="C2209" s="293">
        <f>Parametros!$M$117</f>
        <v>14.92682927</v>
      </c>
      <c r="D2209" s="293">
        <f>Parametros!$M$117</f>
        <v>14.92682927</v>
      </c>
      <c r="E2209" s="293">
        <f>Parametros!$M$117</f>
        <v>14.92682927</v>
      </c>
      <c r="F2209" s="293">
        <f>Parametros!$M$117</f>
        <v>14.92682927</v>
      </c>
      <c r="G2209" s="293">
        <f>Parametros!$M$117</f>
        <v>14.92682927</v>
      </c>
      <c r="H2209" s="293">
        <f>Parametros!$M$117</f>
        <v>14.92682927</v>
      </c>
      <c r="I2209" s="293">
        <f>Parametros!$M$117</f>
        <v>14.92682927</v>
      </c>
      <c r="J2209" s="293">
        <f>Parametros!$M$117</f>
        <v>14.92682927</v>
      </c>
      <c r="K2209" s="293">
        <f>Parametros!$M$117</f>
        <v>14.92682927</v>
      </c>
      <c r="L2209" s="293">
        <f>Parametros!$M$117</f>
        <v>14.92682927</v>
      </c>
      <c r="M2209" s="293">
        <f>Parametros!$M$117</f>
        <v>14.92682927</v>
      </c>
      <c r="N2209" s="293">
        <f>Parametros!$M$117</f>
        <v>14.92682927</v>
      </c>
      <c r="O2209" s="5"/>
      <c r="P2209" s="5"/>
      <c r="Q2209" s="5"/>
      <c r="R2209" s="5"/>
      <c r="S2209" s="5"/>
      <c r="T2209" s="5"/>
      <c r="U2209" s="5"/>
      <c r="V2209" s="5"/>
      <c r="W2209" s="5"/>
      <c r="X2209" s="5"/>
      <c r="Y2209" s="5"/>
      <c r="Z2209" s="5"/>
    </row>
    <row r="2210" ht="12.0" customHeight="1">
      <c r="A2210" s="92" t="s">
        <v>640</v>
      </c>
      <c r="B2210" s="5"/>
      <c r="C2210" s="203">
        <f>'Resumen Capacidad'!$C$225</f>
        <v>1</v>
      </c>
      <c r="D2210" s="203">
        <f>'Resumen Capacidad'!$C$225</f>
        <v>1</v>
      </c>
      <c r="E2210" s="203">
        <f>'Resumen Capacidad'!$C$225</f>
        <v>1</v>
      </c>
      <c r="F2210" s="203">
        <f>'Resumen Capacidad'!$C$225</f>
        <v>1</v>
      </c>
      <c r="G2210" s="203">
        <f>'Resumen Capacidad'!$C$225</f>
        <v>1</v>
      </c>
      <c r="H2210" s="203">
        <f>'Resumen Capacidad'!$C$225</f>
        <v>1</v>
      </c>
      <c r="I2210" s="203">
        <f>'Resumen Capacidad'!$C$225</f>
        <v>1</v>
      </c>
      <c r="J2210" s="203">
        <f>'Resumen Capacidad'!$C$225</f>
        <v>1</v>
      </c>
      <c r="K2210" s="203">
        <f>'Resumen Capacidad'!$C$225</f>
        <v>1</v>
      </c>
      <c r="L2210" s="203">
        <f>'Resumen Capacidad'!$C$225</f>
        <v>1</v>
      </c>
      <c r="M2210" s="203">
        <f>'Resumen Capacidad'!$C$225</f>
        <v>1</v>
      </c>
      <c r="N2210" s="203">
        <f>'Resumen Capacidad'!$C$225</f>
        <v>1</v>
      </c>
      <c r="O2210" s="5"/>
      <c r="P2210" s="5"/>
      <c r="Q2210" s="5"/>
      <c r="R2210" s="5"/>
      <c r="S2210" s="5"/>
      <c r="T2210" s="5"/>
      <c r="U2210" s="5"/>
      <c r="V2210" s="5"/>
      <c r="W2210" s="5"/>
      <c r="X2210" s="5"/>
      <c r="Y2210" s="5"/>
      <c r="Z2210" s="5"/>
    </row>
    <row r="2211" ht="12.0" customHeight="1">
      <c r="A2211" s="92" t="s">
        <v>642</v>
      </c>
      <c r="B2211" s="5"/>
      <c r="C2211" s="203">
        <f t="shared" ref="C2211:N2211" si="665">C2209*C2210</f>
        <v>14.92682927</v>
      </c>
      <c r="D2211" s="203">
        <f t="shared" si="665"/>
        <v>14.92682927</v>
      </c>
      <c r="E2211" s="203">
        <f t="shared" si="665"/>
        <v>14.92682927</v>
      </c>
      <c r="F2211" s="203">
        <f t="shared" si="665"/>
        <v>14.92682927</v>
      </c>
      <c r="G2211" s="203">
        <f t="shared" si="665"/>
        <v>14.92682927</v>
      </c>
      <c r="H2211" s="203">
        <f t="shared" si="665"/>
        <v>14.92682927</v>
      </c>
      <c r="I2211" s="203">
        <f t="shared" si="665"/>
        <v>14.92682927</v>
      </c>
      <c r="J2211" s="203">
        <f t="shared" si="665"/>
        <v>14.92682927</v>
      </c>
      <c r="K2211" s="203">
        <f t="shared" si="665"/>
        <v>14.92682927</v>
      </c>
      <c r="L2211" s="203">
        <f t="shared" si="665"/>
        <v>14.92682927</v>
      </c>
      <c r="M2211" s="203">
        <f t="shared" si="665"/>
        <v>14.92682927</v>
      </c>
      <c r="N2211" s="203">
        <f t="shared" si="665"/>
        <v>14.92682927</v>
      </c>
      <c r="O2211" s="5"/>
      <c r="P2211" s="5"/>
      <c r="Q2211" s="5"/>
      <c r="R2211" s="5"/>
      <c r="S2211" s="5"/>
      <c r="T2211" s="5"/>
      <c r="U2211" s="5"/>
      <c r="V2211" s="5"/>
      <c r="W2211" s="5"/>
      <c r="X2211" s="5"/>
      <c r="Y2211" s="5"/>
      <c r="Z2211" s="5"/>
    </row>
    <row r="2212" ht="12.0" customHeight="1">
      <c r="A2212" s="92" t="s">
        <v>643</v>
      </c>
      <c r="B2212" s="5"/>
      <c r="C2212" s="294">
        <f t="shared" ref="C2212:N2212" si="666">IF(C2211=0,0,C2208/C2211)</f>
        <v>0.00884537037</v>
      </c>
      <c r="D2212" s="294">
        <f t="shared" si="666"/>
        <v>0.007804738562</v>
      </c>
      <c r="E2212" s="294">
        <f t="shared" si="666"/>
        <v>0.009365686275</v>
      </c>
      <c r="F2212" s="294">
        <f t="shared" si="666"/>
        <v>0.009365686275</v>
      </c>
      <c r="G2212" s="294">
        <f t="shared" si="666"/>
        <v>0.009365686275</v>
      </c>
      <c r="H2212" s="294">
        <f t="shared" si="666"/>
        <v>0.008325054466</v>
      </c>
      <c r="I2212" s="294">
        <f t="shared" si="666"/>
        <v>0.009365686275</v>
      </c>
      <c r="J2212" s="294">
        <f t="shared" si="666"/>
        <v>0.009365686275</v>
      </c>
      <c r="K2212" s="294">
        <f t="shared" si="666"/>
        <v>0.00884537037</v>
      </c>
      <c r="L2212" s="294">
        <f t="shared" si="666"/>
        <v>0.007804738562</v>
      </c>
      <c r="M2212" s="294">
        <f t="shared" si="666"/>
        <v>0.007284422658</v>
      </c>
      <c r="N2212" s="294">
        <f t="shared" si="666"/>
        <v>0.008325054466</v>
      </c>
      <c r="O2212" s="5"/>
      <c r="P2212" s="5"/>
      <c r="Q2212" s="5"/>
      <c r="R2212" s="5"/>
      <c r="S2212" s="5"/>
      <c r="T2212" s="5"/>
      <c r="U2212" s="5"/>
      <c r="V2212" s="5"/>
      <c r="W2212" s="5"/>
      <c r="X2212" s="5"/>
      <c r="Y2212" s="5"/>
      <c r="Z2212" s="5"/>
    </row>
    <row r="2213" ht="12.0" customHeight="1">
      <c r="A2213" s="10" t="s">
        <v>1649</v>
      </c>
      <c r="B2213" s="5"/>
      <c r="C2213" s="206"/>
      <c r="D2213" s="206"/>
      <c r="E2213" s="206"/>
      <c r="F2213" s="206"/>
      <c r="G2213" s="206"/>
      <c r="H2213" s="206"/>
      <c r="I2213" s="206"/>
      <c r="J2213" s="206"/>
      <c r="K2213" s="206"/>
      <c r="L2213" s="206"/>
      <c r="M2213" s="206"/>
      <c r="N2213" s="206"/>
      <c r="O2213" s="5"/>
      <c r="P2213" s="5"/>
      <c r="Q2213" s="5"/>
      <c r="R2213" s="5"/>
      <c r="S2213" s="5"/>
      <c r="T2213" s="5"/>
      <c r="U2213" s="5"/>
      <c r="V2213" s="5"/>
      <c r="W2213" s="5"/>
      <c r="X2213" s="5"/>
      <c r="Y2213" s="5"/>
      <c r="Z2213" s="5"/>
    </row>
    <row r="2214" ht="12.0" customHeight="1">
      <c r="A2214" s="92" t="s">
        <v>630</v>
      </c>
      <c r="B2214" s="5" t="s">
        <v>631</v>
      </c>
      <c r="C2214" s="206" t="s">
        <v>3</v>
      </c>
      <c r="D2214" s="206" t="s">
        <v>4</v>
      </c>
      <c r="E2214" s="206" t="s">
        <v>507</v>
      </c>
      <c r="F2214" s="206" t="s">
        <v>508</v>
      </c>
      <c r="G2214" s="206" t="s">
        <v>509</v>
      </c>
      <c r="H2214" s="206" t="s">
        <v>510</v>
      </c>
      <c r="I2214" s="206" t="s">
        <v>511</v>
      </c>
      <c r="J2214" s="206" t="s">
        <v>512</v>
      </c>
      <c r="K2214" s="206" t="s">
        <v>513</v>
      </c>
      <c r="L2214" s="206" t="s">
        <v>514</v>
      </c>
      <c r="M2214" s="206" t="s">
        <v>515</v>
      </c>
      <c r="N2214" s="206" t="s">
        <v>516</v>
      </c>
      <c r="O2214" s="5"/>
      <c r="P2214" s="5"/>
      <c r="Q2214" s="5"/>
      <c r="R2214" s="5"/>
      <c r="S2214" s="5"/>
      <c r="T2214" s="5"/>
      <c r="U2214" s="5"/>
      <c r="V2214" s="5"/>
      <c r="W2214" s="5"/>
      <c r="X2214" s="5"/>
      <c r="Y2214" s="5"/>
      <c r="Z2214" s="5"/>
    </row>
    <row r="2215" ht="12.0" customHeight="1">
      <c r="A2215" s="92" t="s">
        <v>1643</v>
      </c>
      <c r="B2215" s="5" t="s">
        <v>633</v>
      </c>
      <c r="C2215" s="203">
        <f t="shared" ref="C2215:N2215" si="667">C2150</f>
        <v>19.805</v>
      </c>
      <c r="D2215" s="203">
        <f t="shared" si="667"/>
        <v>17.475</v>
      </c>
      <c r="E2215" s="203">
        <f t="shared" si="667"/>
        <v>20.97</v>
      </c>
      <c r="F2215" s="203">
        <f t="shared" si="667"/>
        <v>20.97</v>
      </c>
      <c r="G2215" s="203">
        <f t="shared" si="667"/>
        <v>20.97</v>
      </c>
      <c r="H2215" s="203">
        <f t="shared" si="667"/>
        <v>18.64</v>
      </c>
      <c r="I2215" s="203">
        <f t="shared" si="667"/>
        <v>20.97</v>
      </c>
      <c r="J2215" s="203">
        <f t="shared" si="667"/>
        <v>20.97</v>
      </c>
      <c r="K2215" s="203">
        <f t="shared" si="667"/>
        <v>19.805</v>
      </c>
      <c r="L2215" s="203">
        <f t="shared" si="667"/>
        <v>17.475</v>
      </c>
      <c r="M2215" s="203">
        <f t="shared" si="667"/>
        <v>16.31</v>
      </c>
      <c r="N2215" s="203">
        <f t="shared" si="667"/>
        <v>18.64</v>
      </c>
      <c r="O2215" s="5"/>
      <c r="P2215" s="5"/>
      <c r="Q2215" s="5"/>
      <c r="R2215" s="5"/>
      <c r="S2215" s="5"/>
      <c r="T2215" s="5"/>
      <c r="U2215" s="5"/>
      <c r="V2215" s="5"/>
      <c r="W2215" s="5"/>
      <c r="X2215" s="5"/>
      <c r="Y2215" s="5"/>
      <c r="Z2215" s="5"/>
    </row>
    <row r="2216" ht="12.0" customHeight="1">
      <c r="A2216" s="92"/>
      <c r="B2216" s="5" t="s">
        <v>634</v>
      </c>
      <c r="C2216" s="293">
        <f>C2215/Parametros!$B$37</f>
        <v>0.99025</v>
      </c>
      <c r="D2216" s="293">
        <f>D2215/Parametros!$B$37</f>
        <v>0.87375</v>
      </c>
      <c r="E2216" s="293">
        <f>E2215/Parametros!$B$37</f>
        <v>1.0485</v>
      </c>
      <c r="F2216" s="293">
        <f>F2215/Parametros!$B$37</f>
        <v>1.0485</v>
      </c>
      <c r="G2216" s="293">
        <f>G2215/Parametros!$B$37</f>
        <v>1.0485</v>
      </c>
      <c r="H2216" s="293">
        <f>H2215/Parametros!$B$37</f>
        <v>0.932</v>
      </c>
      <c r="I2216" s="293">
        <f>I2215/Parametros!$B$37</f>
        <v>1.0485</v>
      </c>
      <c r="J2216" s="293">
        <f>J2215/Parametros!$B$37</f>
        <v>1.0485</v>
      </c>
      <c r="K2216" s="293">
        <f>K2215/Parametros!$B$37</f>
        <v>0.99025</v>
      </c>
      <c r="L2216" s="293">
        <f>L2215/Parametros!$B$37</f>
        <v>0.87375</v>
      </c>
      <c r="M2216" s="293">
        <f>M2215/Parametros!$B$37</f>
        <v>0.8155</v>
      </c>
      <c r="N2216" s="293">
        <f>N2215/Parametros!$B$37</f>
        <v>0.932</v>
      </c>
      <c r="O2216" s="5"/>
      <c r="P2216" s="5"/>
      <c r="Q2216" s="5"/>
      <c r="R2216" s="5"/>
      <c r="S2216" s="5"/>
      <c r="T2216" s="5"/>
      <c r="U2216" s="5"/>
      <c r="V2216" s="5"/>
      <c r="W2216" s="5"/>
      <c r="X2216" s="5"/>
      <c r="Y2216" s="5"/>
      <c r="Z2216" s="5"/>
    </row>
    <row r="2217" ht="12.0" customHeight="1">
      <c r="A2217" s="92"/>
      <c r="B2217" s="5" t="s">
        <v>635</v>
      </c>
      <c r="C2217" s="293">
        <f>C2216/Parametros!$J$37</f>
        <v>0.1320333333</v>
      </c>
      <c r="D2217" s="293">
        <f>D2216/Parametros!$J$37</f>
        <v>0.1165</v>
      </c>
      <c r="E2217" s="293">
        <f>E2216/Parametros!$J$37</f>
        <v>0.1398</v>
      </c>
      <c r="F2217" s="293">
        <f>F2216/Parametros!$J$37</f>
        <v>0.1398</v>
      </c>
      <c r="G2217" s="293">
        <f>G2216/Parametros!$J$37</f>
        <v>0.1398</v>
      </c>
      <c r="H2217" s="293">
        <f>H2216/Parametros!$J$37</f>
        <v>0.1242666667</v>
      </c>
      <c r="I2217" s="293">
        <f>I2216/Parametros!$J$37</f>
        <v>0.1398</v>
      </c>
      <c r="J2217" s="293">
        <f>J2216/Parametros!$J$37</f>
        <v>0.1398</v>
      </c>
      <c r="K2217" s="293">
        <f>K2216/Parametros!$J$37</f>
        <v>0.1320333333</v>
      </c>
      <c r="L2217" s="293">
        <f>L2216/Parametros!$J$37</f>
        <v>0.1165</v>
      </c>
      <c r="M2217" s="293">
        <f>M2216/Parametros!$J$37</f>
        <v>0.1087333333</v>
      </c>
      <c r="N2217" s="293">
        <f>N2216/Parametros!$J$37</f>
        <v>0.1242666667</v>
      </c>
      <c r="O2217" s="5"/>
      <c r="P2217" s="5"/>
      <c r="Q2217" s="5"/>
      <c r="R2217" s="5"/>
      <c r="S2217" s="5"/>
      <c r="T2217" s="5"/>
      <c r="U2217" s="5"/>
      <c r="V2217" s="5"/>
      <c r="W2217" s="5"/>
      <c r="X2217" s="5"/>
      <c r="Y2217" s="5"/>
      <c r="Z2217" s="5"/>
    </row>
    <row r="2218" ht="12.0" customHeight="1">
      <c r="A2218" s="92" t="s">
        <v>636</v>
      </c>
      <c r="B2218" s="5"/>
      <c r="C2218" s="293">
        <f t="shared" ref="C2218:N2218" si="668">C2217</f>
        <v>0.1320333333</v>
      </c>
      <c r="D2218" s="293">
        <f t="shared" si="668"/>
        <v>0.1165</v>
      </c>
      <c r="E2218" s="293">
        <f t="shared" si="668"/>
        <v>0.1398</v>
      </c>
      <c r="F2218" s="293">
        <f t="shared" si="668"/>
        <v>0.1398</v>
      </c>
      <c r="G2218" s="293">
        <f t="shared" si="668"/>
        <v>0.1398</v>
      </c>
      <c r="H2218" s="293">
        <f t="shared" si="668"/>
        <v>0.1242666667</v>
      </c>
      <c r="I2218" s="293">
        <f t="shared" si="668"/>
        <v>0.1398</v>
      </c>
      <c r="J2218" s="293">
        <f t="shared" si="668"/>
        <v>0.1398</v>
      </c>
      <c r="K2218" s="293">
        <f t="shared" si="668"/>
        <v>0.1320333333</v>
      </c>
      <c r="L2218" s="293">
        <f t="shared" si="668"/>
        <v>0.1165</v>
      </c>
      <c r="M2218" s="293">
        <f t="shared" si="668"/>
        <v>0.1087333333</v>
      </c>
      <c r="N2218" s="293">
        <f t="shared" si="668"/>
        <v>0.1242666667</v>
      </c>
      <c r="O2218" s="5"/>
      <c r="P2218" s="5"/>
      <c r="Q2218" s="5"/>
      <c r="R2218" s="5"/>
      <c r="S2218" s="5"/>
      <c r="T2218" s="5"/>
      <c r="U2218" s="5"/>
      <c r="V2218" s="5"/>
      <c r="W2218" s="5"/>
      <c r="X2218" s="5"/>
      <c r="Y2218" s="5"/>
      <c r="Z2218" s="5"/>
    </row>
    <row r="2219" ht="12.0" customHeight="1">
      <c r="A2219" s="92" t="s">
        <v>637</v>
      </c>
      <c r="B2219" s="5"/>
      <c r="C2219" s="293">
        <f>Parametros!$M$118</f>
        <v>38.25</v>
      </c>
      <c r="D2219" s="293">
        <f>Parametros!$M$118</f>
        <v>38.25</v>
      </c>
      <c r="E2219" s="293">
        <f>Parametros!$M$118</f>
        <v>38.25</v>
      </c>
      <c r="F2219" s="293">
        <f>Parametros!$M$118</f>
        <v>38.25</v>
      </c>
      <c r="G2219" s="293">
        <f>Parametros!$M$118</f>
        <v>38.25</v>
      </c>
      <c r="H2219" s="293">
        <f>Parametros!$M$118</f>
        <v>38.25</v>
      </c>
      <c r="I2219" s="293">
        <f>Parametros!$M$118</f>
        <v>38.25</v>
      </c>
      <c r="J2219" s="293">
        <f>Parametros!$M$118</f>
        <v>38.25</v>
      </c>
      <c r="K2219" s="293">
        <f>Parametros!$M$118</f>
        <v>38.25</v>
      </c>
      <c r="L2219" s="293">
        <f>Parametros!$M$118</f>
        <v>38.25</v>
      </c>
      <c r="M2219" s="293">
        <f>Parametros!$M$118</f>
        <v>38.25</v>
      </c>
      <c r="N2219" s="293">
        <f>Parametros!$M$118</f>
        <v>38.25</v>
      </c>
      <c r="O2219" s="5"/>
      <c r="P2219" s="5"/>
      <c r="Q2219" s="5"/>
      <c r="R2219" s="5"/>
      <c r="S2219" s="5"/>
      <c r="T2219" s="5"/>
      <c r="U2219" s="5"/>
      <c r="V2219" s="5"/>
      <c r="W2219" s="5"/>
      <c r="X2219" s="5"/>
      <c r="Y2219" s="5"/>
      <c r="Z2219" s="5"/>
    </row>
    <row r="2220" ht="12.0" customHeight="1">
      <c r="A2220" s="92" t="s">
        <v>640</v>
      </c>
      <c r="B2220" s="5"/>
      <c r="C2220" s="203">
        <f>'Resumen Capacidad'!$C$226</f>
        <v>1</v>
      </c>
      <c r="D2220" s="203">
        <f>'Resumen Capacidad'!$C$226</f>
        <v>1</v>
      </c>
      <c r="E2220" s="203">
        <f>'Resumen Capacidad'!$C$226</f>
        <v>1</v>
      </c>
      <c r="F2220" s="203">
        <f>'Resumen Capacidad'!$C$226</f>
        <v>1</v>
      </c>
      <c r="G2220" s="203">
        <f>'Resumen Capacidad'!$C$226</f>
        <v>1</v>
      </c>
      <c r="H2220" s="203">
        <f>'Resumen Capacidad'!$C$226</f>
        <v>1</v>
      </c>
      <c r="I2220" s="203">
        <f>'Resumen Capacidad'!$C$226</f>
        <v>1</v>
      </c>
      <c r="J2220" s="203">
        <f>'Resumen Capacidad'!$C$226</f>
        <v>1</v>
      </c>
      <c r="K2220" s="203">
        <f>'Resumen Capacidad'!$C$226</f>
        <v>1</v>
      </c>
      <c r="L2220" s="203">
        <f>'Resumen Capacidad'!$C$226</f>
        <v>1</v>
      </c>
      <c r="M2220" s="203">
        <f>'Resumen Capacidad'!$C$226</f>
        <v>1</v>
      </c>
      <c r="N2220" s="203">
        <f>'Resumen Capacidad'!$C$226</f>
        <v>1</v>
      </c>
      <c r="O2220" s="5"/>
      <c r="P2220" s="5"/>
      <c r="Q2220" s="5"/>
      <c r="R2220" s="5"/>
      <c r="S2220" s="5"/>
      <c r="T2220" s="5"/>
      <c r="U2220" s="5"/>
      <c r="V2220" s="5"/>
      <c r="W2220" s="5"/>
      <c r="X2220" s="5"/>
      <c r="Y2220" s="5"/>
      <c r="Z2220" s="5"/>
    </row>
    <row r="2221" ht="12.0" customHeight="1">
      <c r="A2221" s="92" t="s">
        <v>642</v>
      </c>
      <c r="B2221" s="5"/>
      <c r="C2221" s="203">
        <f t="shared" ref="C2221:N2221" si="669">C2219*C2220</f>
        <v>38.25</v>
      </c>
      <c r="D2221" s="203">
        <f t="shared" si="669"/>
        <v>38.25</v>
      </c>
      <c r="E2221" s="203">
        <f t="shared" si="669"/>
        <v>38.25</v>
      </c>
      <c r="F2221" s="203">
        <f t="shared" si="669"/>
        <v>38.25</v>
      </c>
      <c r="G2221" s="203">
        <f t="shared" si="669"/>
        <v>38.25</v>
      </c>
      <c r="H2221" s="203">
        <f t="shared" si="669"/>
        <v>38.25</v>
      </c>
      <c r="I2221" s="203">
        <f t="shared" si="669"/>
        <v>38.25</v>
      </c>
      <c r="J2221" s="203">
        <f t="shared" si="669"/>
        <v>38.25</v>
      </c>
      <c r="K2221" s="203">
        <f t="shared" si="669"/>
        <v>38.25</v>
      </c>
      <c r="L2221" s="203">
        <f t="shared" si="669"/>
        <v>38.25</v>
      </c>
      <c r="M2221" s="203">
        <f t="shared" si="669"/>
        <v>38.25</v>
      </c>
      <c r="N2221" s="203">
        <f t="shared" si="669"/>
        <v>38.25</v>
      </c>
      <c r="O2221" s="5"/>
      <c r="P2221" s="5"/>
      <c r="Q2221" s="5"/>
      <c r="R2221" s="5"/>
      <c r="S2221" s="5"/>
      <c r="T2221" s="5"/>
      <c r="U2221" s="5"/>
      <c r="V2221" s="5"/>
      <c r="W2221" s="5"/>
      <c r="X2221" s="5"/>
      <c r="Y2221" s="5"/>
      <c r="Z2221" s="5"/>
    </row>
    <row r="2222" ht="12.0" customHeight="1">
      <c r="A2222" s="92" t="s">
        <v>643</v>
      </c>
      <c r="B2222" s="5"/>
      <c r="C2222" s="294">
        <f t="shared" ref="C2222:N2222" si="670">IF(C2221=0,0,C2218/C2221)</f>
        <v>0.003451851852</v>
      </c>
      <c r="D2222" s="294">
        <f t="shared" si="670"/>
        <v>0.003045751634</v>
      </c>
      <c r="E2222" s="294">
        <f t="shared" si="670"/>
        <v>0.003654901961</v>
      </c>
      <c r="F2222" s="294">
        <f t="shared" si="670"/>
        <v>0.003654901961</v>
      </c>
      <c r="G2222" s="294">
        <f t="shared" si="670"/>
        <v>0.003654901961</v>
      </c>
      <c r="H2222" s="294">
        <f t="shared" si="670"/>
        <v>0.003248801743</v>
      </c>
      <c r="I2222" s="294">
        <f t="shared" si="670"/>
        <v>0.003654901961</v>
      </c>
      <c r="J2222" s="294">
        <f t="shared" si="670"/>
        <v>0.003654901961</v>
      </c>
      <c r="K2222" s="294">
        <f t="shared" si="670"/>
        <v>0.003451851852</v>
      </c>
      <c r="L2222" s="294">
        <f t="shared" si="670"/>
        <v>0.003045751634</v>
      </c>
      <c r="M2222" s="294">
        <f t="shared" si="670"/>
        <v>0.002842701525</v>
      </c>
      <c r="N2222" s="294">
        <f t="shared" si="670"/>
        <v>0.003248801743</v>
      </c>
      <c r="O2222" s="5"/>
      <c r="P2222" s="5"/>
      <c r="Q2222" s="5"/>
      <c r="R2222" s="5"/>
      <c r="S2222" s="5"/>
      <c r="T2222" s="5"/>
      <c r="U2222" s="5"/>
      <c r="V2222" s="5"/>
      <c r="W2222" s="5"/>
      <c r="X2222" s="5"/>
      <c r="Y2222" s="5"/>
      <c r="Z2222" s="5"/>
    </row>
    <row r="2223" ht="12.0" customHeight="1">
      <c r="A2223" s="10" t="s">
        <v>1650</v>
      </c>
      <c r="B2223" s="5"/>
      <c r="C2223" s="206"/>
      <c r="D2223" s="206"/>
      <c r="E2223" s="206"/>
      <c r="F2223" s="206"/>
      <c r="G2223" s="206"/>
      <c r="H2223" s="206"/>
      <c r="I2223" s="206"/>
      <c r="J2223" s="206"/>
      <c r="K2223" s="206"/>
      <c r="L2223" s="206"/>
      <c r="M2223" s="206"/>
      <c r="N2223" s="206"/>
      <c r="O2223" s="5"/>
      <c r="P2223" s="5"/>
      <c r="Q2223" s="5"/>
      <c r="R2223" s="5"/>
      <c r="S2223" s="5"/>
      <c r="T2223" s="5"/>
      <c r="U2223" s="5"/>
      <c r="V2223" s="5"/>
      <c r="W2223" s="5"/>
      <c r="X2223" s="5"/>
      <c r="Y2223" s="5"/>
      <c r="Z2223" s="5"/>
    </row>
    <row r="2224" ht="12.0" customHeight="1">
      <c r="A2224" s="92" t="s">
        <v>630</v>
      </c>
      <c r="B2224" s="5" t="s">
        <v>631</v>
      </c>
      <c r="C2224" s="206" t="s">
        <v>3</v>
      </c>
      <c r="D2224" s="206" t="s">
        <v>4</v>
      </c>
      <c r="E2224" s="206" t="s">
        <v>507</v>
      </c>
      <c r="F2224" s="206" t="s">
        <v>508</v>
      </c>
      <c r="G2224" s="206" t="s">
        <v>509</v>
      </c>
      <c r="H2224" s="206" t="s">
        <v>510</v>
      </c>
      <c r="I2224" s="206" t="s">
        <v>511</v>
      </c>
      <c r="J2224" s="206" t="s">
        <v>512</v>
      </c>
      <c r="K2224" s="206" t="s">
        <v>513</v>
      </c>
      <c r="L2224" s="206" t="s">
        <v>514</v>
      </c>
      <c r="M2224" s="206" t="s">
        <v>515</v>
      </c>
      <c r="N2224" s="206" t="s">
        <v>516</v>
      </c>
      <c r="O2224" s="5"/>
      <c r="P2224" s="5"/>
      <c r="Q2224" s="5"/>
      <c r="R2224" s="5"/>
      <c r="S2224" s="5"/>
      <c r="T2224" s="5"/>
      <c r="U2224" s="5"/>
      <c r="V2224" s="5"/>
      <c r="W2224" s="5"/>
      <c r="X2224" s="5"/>
      <c r="Y2224" s="5"/>
      <c r="Z2224" s="5"/>
    </row>
    <row r="2225" ht="12.0" customHeight="1">
      <c r="A2225" s="92" t="s">
        <v>1643</v>
      </c>
      <c r="B2225" s="5" t="s">
        <v>633</v>
      </c>
      <c r="C2225" s="203">
        <f t="shared" ref="C2225:N2225" si="671">C2150</f>
        <v>19.805</v>
      </c>
      <c r="D2225" s="203">
        <f t="shared" si="671"/>
        <v>17.475</v>
      </c>
      <c r="E2225" s="203">
        <f t="shared" si="671"/>
        <v>20.97</v>
      </c>
      <c r="F2225" s="203">
        <f t="shared" si="671"/>
        <v>20.97</v>
      </c>
      <c r="G2225" s="203">
        <f t="shared" si="671"/>
        <v>20.97</v>
      </c>
      <c r="H2225" s="203">
        <f t="shared" si="671"/>
        <v>18.64</v>
      </c>
      <c r="I2225" s="203">
        <f t="shared" si="671"/>
        <v>20.97</v>
      </c>
      <c r="J2225" s="203">
        <f t="shared" si="671"/>
        <v>20.97</v>
      </c>
      <c r="K2225" s="203">
        <f t="shared" si="671"/>
        <v>19.805</v>
      </c>
      <c r="L2225" s="203">
        <f t="shared" si="671"/>
        <v>17.475</v>
      </c>
      <c r="M2225" s="203">
        <f t="shared" si="671"/>
        <v>16.31</v>
      </c>
      <c r="N2225" s="203">
        <f t="shared" si="671"/>
        <v>18.64</v>
      </c>
      <c r="O2225" s="5"/>
      <c r="P2225" s="5"/>
      <c r="Q2225" s="5"/>
      <c r="R2225" s="5"/>
      <c r="S2225" s="5"/>
      <c r="T2225" s="5"/>
      <c r="U2225" s="5"/>
      <c r="V2225" s="5"/>
      <c r="W2225" s="5"/>
      <c r="X2225" s="5"/>
      <c r="Y2225" s="5"/>
      <c r="Z2225" s="5"/>
    </row>
    <row r="2226" ht="12.0" customHeight="1">
      <c r="A2226" s="92"/>
      <c r="B2226" s="5" t="s">
        <v>634</v>
      </c>
      <c r="C2226" s="293">
        <f>C2225/Parametros!$B$37</f>
        <v>0.99025</v>
      </c>
      <c r="D2226" s="293">
        <f>D2225/Parametros!$B$37</f>
        <v>0.87375</v>
      </c>
      <c r="E2226" s="293">
        <f>E2225/Parametros!$B$37</f>
        <v>1.0485</v>
      </c>
      <c r="F2226" s="293">
        <f>F2225/Parametros!$B$37</f>
        <v>1.0485</v>
      </c>
      <c r="G2226" s="293">
        <f>G2225/Parametros!$B$37</f>
        <v>1.0485</v>
      </c>
      <c r="H2226" s="293">
        <f>H2225/Parametros!$B$37</f>
        <v>0.932</v>
      </c>
      <c r="I2226" s="293">
        <f>I2225/Parametros!$B$37</f>
        <v>1.0485</v>
      </c>
      <c r="J2226" s="293">
        <f>J2225/Parametros!$B$37</f>
        <v>1.0485</v>
      </c>
      <c r="K2226" s="293">
        <f>K2225/Parametros!$B$37</f>
        <v>0.99025</v>
      </c>
      <c r="L2226" s="293">
        <f>L2225/Parametros!$B$37</f>
        <v>0.87375</v>
      </c>
      <c r="M2226" s="293">
        <f>M2225/Parametros!$B$37</f>
        <v>0.8155</v>
      </c>
      <c r="N2226" s="293">
        <f>N2225/Parametros!$B$37</f>
        <v>0.932</v>
      </c>
      <c r="O2226" s="5"/>
      <c r="P2226" s="5"/>
      <c r="Q2226" s="5"/>
      <c r="R2226" s="5"/>
      <c r="S2226" s="5"/>
      <c r="T2226" s="5"/>
      <c r="U2226" s="5"/>
      <c r="V2226" s="5"/>
      <c r="W2226" s="5"/>
      <c r="X2226" s="5"/>
      <c r="Y2226" s="5"/>
      <c r="Z2226" s="5"/>
    </row>
    <row r="2227" ht="12.0" customHeight="1">
      <c r="A2227" s="92"/>
      <c r="B2227" s="5" t="s">
        <v>635</v>
      </c>
      <c r="C2227" s="293">
        <f>C2226/Parametros!$J$37</f>
        <v>0.1320333333</v>
      </c>
      <c r="D2227" s="293">
        <f>D2226/Parametros!$J$37</f>
        <v>0.1165</v>
      </c>
      <c r="E2227" s="293">
        <f>E2226/Parametros!$J$37</f>
        <v>0.1398</v>
      </c>
      <c r="F2227" s="293">
        <f>F2226/Parametros!$J$37</f>
        <v>0.1398</v>
      </c>
      <c r="G2227" s="293">
        <f>G2226/Parametros!$J$37</f>
        <v>0.1398</v>
      </c>
      <c r="H2227" s="293">
        <f>H2226/Parametros!$J$37</f>
        <v>0.1242666667</v>
      </c>
      <c r="I2227" s="293">
        <f>I2226/Parametros!$J$37</f>
        <v>0.1398</v>
      </c>
      <c r="J2227" s="293">
        <f>J2226/Parametros!$J$37</f>
        <v>0.1398</v>
      </c>
      <c r="K2227" s="293">
        <f>K2226/Parametros!$J$37</f>
        <v>0.1320333333</v>
      </c>
      <c r="L2227" s="293">
        <f>L2226/Parametros!$J$37</f>
        <v>0.1165</v>
      </c>
      <c r="M2227" s="293">
        <f>M2226/Parametros!$J$37</f>
        <v>0.1087333333</v>
      </c>
      <c r="N2227" s="293">
        <f>N2226/Parametros!$J$37</f>
        <v>0.1242666667</v>
      </c>
      <c r="O2227" s="5"/>
      <c r="P2227" s="5"/>
      <c r="Q2227" s="5"/>
      <c r="R2227" s="5"/>
      <c r="S2227" s="5"/>
      <c r="T2227" s="5"/>
      <c r="U2227" s="5"/>
      <c r="V2227" s="5"/>
      <c r="W2227" s="5"/>
      <c r="X2227" s="5"/>
      <c r="Y2227" s="5"/>
      <c r="Z2227" s="5"/>
    </row>
    <row r="2228" ht="12.0" customHeight="1">
      <c r="A2228" s="92" t="s">
        <v>636</v>
      </c>
      <c r="B2228" s="5"/>
      <c r="C2228" s="293">
        <f t="shared" ref="C2228:N2228" si="672">C2227</f>
        <v>0.1320333333</v>
      </c>
      <c r="D2228" s="293">
        <f t="shared" si="672"/>
        <v>0.1165</v>
      </c>
      <c r="E2228" s="293">
        <f t="shared" si="672"/>
        <v>0.1398</v>
      </c>
      <c r="F2228" s="293">
        <f t="shared" si="672"/>
        <v>0.1398</v>
      </c>
      <c r="G2228" s="293">
        <f t="shared" si="672"/>
        <v>0.1398</v>
      </c>
      <c r="H2228" s="293">
        <f t="shared" si="672"/>
        <v>0.1242666667</v>
      </c>
      <c r="I2228" s="293">
        <f t="shared" si="672"/>
        <v>0.1398</v>
      </c>
      <c r="J2228" s="293">
        <f t="shared" si="672"/>
        <v>0.1398</v>
      </c>
      <c r="K2228" s="293">
        <f t="shared" si="672"/>
        <v>0.1320333333</v>
      </c>
      <c r="L2228" s="293">
        <f t="shared" si="672"/>
        <v>0.1165</v>
      </c>
      <c r="M2228" s="293">
        <f t="shared" si="672"/>
        <v>0.1087333333</v>
      </c>
      <c r="N2228" s="293">
        <f t="shared" si="672"/>
        <v>0.1242666667</v>
      </c>
      <c r="O2228" s="5"/>
      <c r="P2228" s="5"/>
      <c r="Q2228" s="5"/>
      <c r="R2228" s="5"/>
      <c r="S2228" s="5"/>
      <c r="T2228" s="5"/>
      <c r="U2228" s="5"/>
      <c r="V2228" s="5"/>
      <c r="W2228" s="5"/>
      <c r="X2228" s="5"/>
      <c r="Y2228" s="5"/>
      <c r="Z2228" s="5"/>
    </row>
    <row r="2229" ht="12.0" customHeight="1">
      <c r="A2229" s="92" t="s">
        <v>637</v>
      </c>
      <c r="B2229" s="5"/>
      <c r="C2229" s="293">
        <f>Parametros!$M$119</f>
        <v>5.666666667</v>
      </c>
      <c r="D2229" s="293">
        <f>Parametros!$M$119</f>
        <v>5.666666667</v>
      </c>
      <c r="E2229" s="293">
        <f>Parametros!$M$119</f>
        <v>5.666666667</v>
      </c>
      <c r="F2229" s="293">
        <f>Parametros!$M$119</f>
        <v>5.666666667</v>
      </c>
      <c r="G2229" s="293">
        <f>Parametros!$M$119</f>
        <v>5.666666667</v>
      </c>
      <c r="H2229" s="293">
        <f>Parametros!$M$119</f>
        <v>5.666666667</v>
      </c>
      <c r="I2229" s="293">
        <f>Parametros!$M$119</f>
        <v>5.666666667</v>
      </c>
      <c r="J2229" s="293">
        <f>Parametros!$M$119</f>
        <v>5.666666667</v>
      </c>
      <c r="K2229" s="293">
        <f>Parametros!$M$119</f>
        <v>5.666666667</v>
      </c>
      <c r="L2229" s="293">
        <f>Parametros!$M$119</f>
        <v>5.666666667</v>
      </c>
      <c r="M2229" s="293">
        <f>Parametros!$M$119</f>
        <v>5.666666667</v>
      </c>
      <c r="N2229" s="293">
        <f>Parametros!$M$119</f>
        <v>5.666666667</v>
      </c>
      <c r="O2229" s="5"/>
      <c r="P2229" s="5"/>
      <c r="Q2229" s="5"/>
      <c r="R2229" s="5"/>
      <c r="S2229" s="5"/>
      <c r="T2229" s="5"/>
      <c r="U2229" s="5"/>
      <c r="V2229" s="5"/>
      <c r="W2229" s="5"/>
      <c r="X2229" s="5"/>
      <c r="Y2229" s="5"/>
      <c r="Z2229" s="5"/>
    </row>
    <row r="2230" ht="12.0" customHeight="1">
      <c r="A2230" s="92" t="s">
        <v>640</v>
      </c>
      <c r="B2230" s="5"/>
      <c r="C2230" s="203">
        <f>'Resumen Capacidad'!$C$227</f>
        <v>1</v>
      </c>
      <c r="D2230" s="203">
        <f>'Resumen Capacidad'!$C$227</f>
        <v>1</v>
      </c>
      <c r="E2230" s="203">
        <f>'Resumen Capacidad'!$C$227</f>
        <v>1</v>
      </c>
      <c r="F2230" s="203">
        <f>'Resumen Capacidad'!$C$227</f>
        <v>1</v>
      </c>
      <c r="G2230" s="203">
        <f>'Resumen Capacidad'!$C$227</f>
        <v>1</v>
      </c>
      <c r="H2230" s="203">
        <f>'Resumen Capacidad'!$C$227</f>
        <v>1</v>
      </c>
      <c r="I2230" s="203">
        <f>'Resumen Capacidad'!$C$227</f>
        <v>1</v>
      </c>
      <c r="J2230" s="203">
        <f>'Resumen Capacidad'!$C$227</f>
        <v>1</v>
      </c>
      <c r="K2230" s="203">
        <f>'Resumen Capacidad'!$C$227</f>
        <v>1</v>
      </c>
      <c r="L2230" s="203">
        <f>'Resumen Capacidad'!$C$227</f>
        <v>1</v>
      </c>
      <c r="M2230" s="203">
        <f>'Resumen Capacidad'!$C$227</f>
        <v>1</v>
      </c>
      <c r="N2230" s="203">
        <f>'Resumen Capacidad'!$C$227</f>
        <v>1</v>
      </c>
      <c r="O2230" s="5"/>
      <c r="P2230" s="5"/>
      <c r="Q2230" s="5"/>
      <c r="R2230" s="5"/>
      <c r="S2230" s="5"/>
      <c r="T2230" s="5"/>
      <c r="U2230" s="5"/>
      <c r="V2230" s="5"/>
      <c r="W2230" s="5"/>
      <c r="X2230" s="5"/>
      <c r="Y2230" s="5"/>
      <c r="Z2230" s="5"/>
    </row>
    <row r="2231" ht="12.0" customHeight="1">
      <c r="A2231" s="92" t="s">
        <v>642</v>
      </c>
      <c r="B2231" s="5"/>
      <c r="C2231" s="203">
        <f t="shared" ref="C2231:N2231" si="673">C2229*C2230</f>
        <v>5.666666667</v>
      </c>
      <c r="D2231" s="203">
        <f t="shared" si="673"/>
        <v>5.666666667</v>
      </c>
      <c r="E2231" s="203">
        <f t="shared" si="673"/>
        <v>5.666666667</v>
      </c>
      <c r="F2231" s="203">
        <f t="shared" si="673"/>
        <v>5.666666667</v>
      </c>
      <c r="G2231" s="203">
        <f t="shared" si="673"/>
        <v>5.666666667</v>
      </c>
      <c r="H2231" s="203">
        <f t="shared" si="673"/>
        <v>5.666666667</v>
      </c>
      <c r="I2231" s="203">
        <f t="shared" si="673"/>
        <v>5.666666667</v>
      </c>
      <c r="J2231" s="203">
        <f t="shared" si="673"/>
        <v>5.666666667</v>
      </c>
      <c r="K2231" s="203">
        <f t="shared" si="673"/>
        <v>5.666666667</v>
      </c>
      <c r="L2231" s="203">
        <f t="shared" si="673"/>
        <v>5.666666667</v>
      </c>
      <c r="M2231" s="203">
        <f t="shared" si="673"/>
        <v>5.666666667</v>
      </c>
      <c r="N2231" s="203">
        <f t="shared" si="673"/>
        <v>5.666666667</v>
      </c>
      <c r="O2231" s="5"/>
      <c r="P2231" s="5"/>
      <c r="Q2231" s="5"/>
      <c r="R2231" s="5"/>
      <c r="S2231" s="5"/>
      <c r="T2231" s="5"/>
      <c r="U2231" s="5"/>
      <c r="V2231" s="5"/>
      <c r="W2231" s="5"/>
      <c r="X2231" s="5"/>
      <c r="Y2231" s="5"/>
      <c r="Z2231" s="5"/>
    </row>
    <row r="2232" ht="12.0" customHeight="1">
      <c r="A2232" s="92" t="s">
        <v>643</v>
      </c>
      <c r="B2232" s="5"/>
      <c r="C2232" s="294">
        <f t="shared" ref="C2232:N2232" si="674">IF(C2231=0,0,C2228/C2231)</f>
        <v>0.0233</v>
      </c>
      <c r="D2232" s="294">
        <f t="shared" si="674"/>
        <v>0.02055882353</v>
      </c>
      <c r="E2232" s="294">
        <f t="shared" si="674"/>
        <v>0.02467058824</v>
      </c>
      <c r="F2232" s="294">
        <f t="shared" si="674"/>
        <v>0.02467058824</v>
      </c>
      <c r="G2232" s="294">
        <f t="shared" si="674"/>
        <v>0.02467058824</v>
      </c>
      <c r="H2232" s="294">
        <f t="shared" si="674"/>
        <v>0.02192941176</v>
      </c>
      <c r="I2232" s="294">
        <f t="shared" si="674"/>
        <v>0.02467058824</v>
      </c>
      <c r="J2232" s="294">
        <f t="shared" si="674"/>
        <v>0.02467058824</v>
      </c>
      <c r="K2232" s="294">
        <f t="shared" si="674"/>
        <v>0.0233</v>
      </c>
      <c r="L2232" s="294">
        <f t="shared" si="674"/>
        <v>0.02055882353</v>
      </c>
      <c r="M2232" s="294">
        <f t="shared" si="674"/>
        <v>0.01918823529</v>
      </c>
      <c r="N2232" s="294">
        <f t="shared" si="674"/>
        <v>0.02192941176</v>
      </c>
      <c r="O2232" s="5"/>
      <c r="P2232" s="5"/>
      <c r="Q2232" s="5"/>
      <c r="R2232" s="5"/>
      <c r="S2232" s="5"/>
      <c r="T2232" s="5"/>
      <c r="U2232" s="5"/>
      <c r="V2232" s="5"/>
      <c r="W2232" s="5"/>
      <c r="X2232" s="5"/>
      <c r="Y2232" s="5"/>
      <c r="Z2232" s="5"/>
    </row>
    <row r="2233" ht="12.0" customHeight="1">
      <c r="A2233" s="92"/>
      <c r="B2233" s="5"/>
      <c r="C2233" s="206"/>
      <c r="D2233" s="206"/>
      <c r="E2233" s="206"/>
      <c r="F2233" s="206"/>
      <c r="G2233" s="206"/>
      <c r="H2233" s="206"/>
      <c r="I2233" s="206"/>
      <c r="J2233" s="206"/>
      <c r="K2233" s="206"/>
      <c r="L2233" s="206"/>
      <c r="M2233" s="206"/>
      <c r="N2233" s="206"/>
      <c r="O2233" s="5"/>
      <c r="P2233" s="5"/>
      <c r="Q2233" s="5"/>
      <c r="R2233" s="5"/>
      <c r="S2233" s="5"/>
      <c r="T2233" s="5"/>
      <c r="U2233" s="5"/>
      <c r="V2233" s="5"/>
      <c r="W2233" s="5"/>
      <c r="X2233" s="5"/>
      <c r="Y2233" s="5"/>
      <c r="Z2233" s="5"/>
    </row>
    <row r="2234" ht="12.0" customHeight="1">
      <c r="A2234" s="288" t="s">
        <v>1652</v>
      </c>
      <c r="B2234" s="202"/>
      <c r="C2234" s="289"/>
      <c r="D2234" s="289"/>
      <c r="E2234" s="289"/>
      <c r="F2234" s="289"/>
      <c r="G2234" s="289"/>
      <c r="H2234" s="289"/>
      <c r="I2234" s="289"/>
      <c r="J2234" s="289"/>
      <c r="K2234" s="289"/>
      <c r="L2234" s="289"/>
      <c r="M2234" s="289"/>
      <c r="N2234" s="289"/>
      <c r="O2234" s="202"/>
      <c r="P2234" s="5"/>
      <c r="Q2234" s="5"/>
      <c r="R2234" s="5"/>
      <c r="S2234" s="5"/>
      <c r="T2234" s="5"/>
      <c r="U2234" s="5"/>
      <c r="V2234" s="5"/>
      <c r="W2234" s="5"/>
      <c r="X2234" s="5"/>
      <c r="Y2234" s="5"/>
      <c r="Z2234" s="5"/>
    </row>
    <row r="2235" ht="12.0" customHeight="1">
      <c r="A2235" s="160" t="s">
        <v>188</v>
      </c>
      <c r="B2235" s="160" t="s">
        <v>631</v>
      </c>
      <c r="C2235" s="290" t="s">
        <v>3</v>
      </c>
      <c r="D2235" s="290" t="s">
        <v>4</v>
      </c>
      <c r="E2235" s="290" t="s">
        <v>507</v>
      </c>
      <c r="F2235" s="290" t="s">
        <v>508</v>
      </c>
      <c r="G2235" s="290" t="s">
        <v>509</v>
      </c>
      <c r="H2235" s="290" t="s">
        <v>510</v>
      </c>
      <c r="I2235" s="290" t="s">
        <v>511</v>
      </c>
      <c r="J2235" s="290" t="s">
        <v>512</v>
      </c>
      <c r="K2235" s="290" t="s">
        <v>513</v>
      </c>
      <c r="L2235" s="290" t="s">
        <v>514</v>
      </c>
      <c r="M2235" s="290" t="s">
        <v>515</v>
      </c>
      <c r="N2235" s="290" t="s">
        <v>516</v>
      </c>
      <c r="O2235" s="160" t="s">
        <v>15</v>
      </c>
      <c r="P2235" s="160" t="s">
        <v>1598</v>
      </c>
      <c r="Q2235" s="19" t="s">
        <v>1634</v>
      </c>
      <c r="R2235" s="5"/>
      <c r="S2235" s="5"/>
      <c r="T2235" s="5"/>
      <c r="U2235" s="5"/>
      <c r="V2235" s="5"/>
      <c r="W2235" s="5"/>
      <c r="X2235" s="5"/>
      <c r="Y2235" s="5"/>
      <c r="Z2235" s="5"/>
    </row>
    <row r="2236" ht="12.0" customHeight="1">
      <c r="A2236" s="28" t="s">
        <v>1635</v>
      </c>
      <c r="B2236" s="5" t="s">
        <v>633</v>
      </c>
      <c r="C2236" s="291">
        <f>SUM('2028'!B10:B13)</f>
        <v>25.67</v>
      </c>
      <c r="D2236" s="291">
        <f>SUM('2028'!C10:C13)</f>
        <v>22.65</v>
      </c>
      <c r="E2236" s="291">
        <f>SUM('2028'!D10:D13)</f>
        <v>27.18</v>
      </c>
      <c r="F2236" s="291">
        <f>SUM('2028'!E10:E13)</f>
        <v>27.18</v>
      </c>
      <c r="G2236" s="291">
        <f>SUM('2028'!F10:F13)</f>
        <v>27.18</v>
      </c>
      <c r="H2236" s="291">
        <f>SUM('2028'!G10:G13)</f>
        <v>24.16</v>
      </c>
      <c r="I2236" s="291">
        <f>SUM('2028'!H10:H13)</f>
        <v>27.18</v>
      </c>
      <c r="J2236" s="291">
        <f>SUM('2028'!I10:I13)</f>
        <v>27.18</v>
      </c>
      <c r="K2236" s="291">
        <f>SUM('2028'!J10:J13)</f>
        <v>25.67</v>
      </c>
      <c r="L2236" s="291">
        <f>SUM('2028'!K10:K13)</f>
        <v>22.65</v>
      </c>
      <c r="M2236" s="291">
        <f>SUM('2028'!L10:L13)</f>
        <v>21.14</v>
      </c>
      <c r="N2236" s="291">
        <f>SUM('2028'!M10:M13)</f>
        <v>24.16</v>
      </c>
      <c r="O2236" s="292">
        <f t="shared" ref="O2236:O2241" si="675">SUM(C2236:N2236)</f>
        <v>302</v>
      </c>
      <c r="P2236" s="5"/>
      <c r="Q2236" s="5"/>
      <c r="R2236" s="5"/>
      <c r="S2236" s="5"/>
      <c r="T2236" s="5"/>
      <c r="U2236" s="5"/>
      <c r="V2236" s="5"/>
      <c r="W2236" s="5"/>
      <c r="X2236" s="5"/>
      <c r="Y2236" s="5"/>
      <c r="Z2236" s="5"/>
    </row>
    <row r="2237" ht="12.0" customHeight="1">
      <c r="A2237" s="28" t="s">
        <v>1636</v>
      </c>
      <c r="B2237" s="5" t="s">
        <v>633</v>
      </c>
      <c r="C2237" s="291">
        <f>SUM('2028'!B21:B24)</f>
        <v>4.93</v>
      </c>
      <c r="D2237" s="291">
        <f>SUM('2028'!C21:C24)</f>
        <v>4.35</v>
      </c>
      <c r="E2237" s="291">
        <f>SUM('2028'!D21:D24)</f>
        <v>5.22</v>
      </c>
      <c r="F2237" s="291">
        <f>SUM('2028'!E21:E24)</f>
        <v>5.22</v>
      </c>
      <c r="G2237" s="291">
        <f>SUM('2028'!F21:F24)</f>
        <v>5.22</v>
      </c>
      <c r="H2237" s="291">
        <f>SUM('2028'!G21:G24)</f>
        <v>4.64</v>
      </c>
      <c r="I2237" s="291">
        <f>SUM('2028'!H21:H24)</f>
        <v>5.22</v>
      </c>
      <c r="J2237" s="291">
        <f>SUM('2028'!I21:I24)</f>
        <v>5.22</v>
      </c>
      <c r="K2237" s="291">
        <f>SUM('2028'!J21:J24)</f>
        <v>4.93</v>
      </c>
      <c r="L2237" s="291">
        <f>SUM('2028'!K21:K24)</f>
        <v>4.35</v>
      </c>
      <c r="M2237" s="291">
        <f>SUM('2028'!L21:L24)</f>
        <v>4.06</v>
      </c>
      <c r="N2237" s="291">
        <f>SUM('2028'!M21:M24)</f>
        <v>4.64</v>
      </c>
      <c r="O2237" s="292">
        <f t="shared" si="675"/>
        <v>58</v>
      </c>
      <c r="P2237" s="5"/>
      <c r="Q2237" s="5"/>
      <c r="R2237" s="5"/>
      <c r="S2237" s="5"/>
      <c r="T2237" s="5"/>
      <c r="U2237" s="5"/>
      <c r="V2237" s="5"/>
      <c r="W2237" s="5"/>
      <c r="X2237" s="5"/>
      <c r="Y2237" s="5"/>
      <c r="Z2237" s="5"/>
    </row>
    <row r="2238" ht="12.0" customHeight="1">
      <c r="A2238" s="28" t="s">
        <v>1637</v>
      </c>
      <c r="B2238" s="5" t="s">
        <v>633</v>
      </c>
      <c r="C2238" s="291">
        <f t="shared" ref="C2238:N2238" si="676">C2236+C2237</f>
        <v>30.6</v>
      </c>
      <c r="D2238" s="291">
        <f t="shared" si="676"/>
        <v>27</v>
      </c>
      <c r="E2238" s="291">
        <f t="shared" si="676"/>
        <v>32.4</v>
      </c>
      <c r="F2238" s="291">
        <f t="shared" si="676"/>
        <v>32.4</v>
      </c>
      <c r="G2238" s="291">
        <f t="shared" si="676"/>
        <v>32.4</v>
      </c>
      <c r="H2238" s="291">
        <f t="shared" si="676"/>
        <v>28.8</v>
      </c>
      <c r="I2238" s="291">
        <f t="shared" si="676"/>
        <v>32.4</v>
      </c>
      <c r="J2238" s="291">
        <f t="shared" si="676"/>
        <v>32.4</v>
      </c>
      <c r="K2238" s="291">
        <f t="shared" si="676"/>
        <v>30.6</v>
      </c>
      <c r="L2238" s="291">
        <f t="shared" si="676"/>
        <v>27</v>
      </c>
      <c r="M2238" s="291">
        <f t="shared" si="676"/>
        <v>25.2</v>
      </c>
      <c r="N2238" s="291">
        <f t="shared" si="676"/>
        <v>28.8</v>
      </c>
      <c r="O2238" s="292">
        <f t="shared" si="675"/>
        <v>360</v>
      </c>
      <c r="P2238" s="5"/>
      <c r="Q2238" s="5"/>
      <c r="R2238" s="5"/>
      <c r="S2238" s="5"/>
      <c r="T2238" s="5"/>
      <c r="U2238" s="5"/>
      <c r="V2238" s="5"/>
      <c r="W2238" s="5"/>
      <c r="X2238" s="5"/>
      <c r="Y2238" s="5"/>
      <c r="Z2238" s="5"/>
    </row>
    <row r="2239" ht="12.0" customHeight="1">
      <c r="A2239" s="28" t="s">
        <v>1638</v>
      </c>
      <c r="B2239" s="5" t="s">
        <v>633</v>
      </c>
      <c r="C2239" s="291">
        <f>$O2236*Parametros!$B$70</f>
        <v>25.67</v>
      </c>
      <c r="D2239" s="291">
        <f>$O2236*Parametros!$C$70</f>
        <v>22.65</v>
      </c>
      <c r="E2239" s="291">
        <f>$O2236*Parametros!$D$70</f>
        <v>27.18</v>
      </c>
      <c r="F2239" s="291">
        <f>$O2236*Parametros!$E$70</f>
        <v>27.18</v>
      </c>
      <c r="G2239" s="291">
        <f>$O2236*Parametros!$F$70</f>
        <v>27.18</v>
      </c>
      <c r="H2239" s="291">
        <f>$O2236*Parametros!$G$70</f>
        <v>24.16</v>
      </c>
      <c r="I2239" s="291">
        <f>$O2236*Parametros!$H$70</f>
        <v>27.18</v>
      </c>
      <c r="J2239" s="291">
        <f>$O2236*Parametros!$I$70</f>
        <v>27.18</v>
      </c>
      <c r="K2239" s="291">
        <f>$O2236*Parametros!$J$70</f>
        <v>25.67</v>
      </c>
      <c r="L2239" s="291">
        <f>$O2236*Parametros!$K$70</f>
        <v>22.65</v>
      </c>
      <c r="M2239" s="291">
        <f>$O2236*Parametros!$L$70</f>
        <v>21.14</v>
      </c>
      <c r="N2239" s="291">
        <f>$O2236*Parametros!$M$70</f>
        <v>24.16</v>
      </c>
      <c r="O2239" s="292">
        <f t="shared" si="675"/>
        <v>302</v>
      </c>
      <c r="P2239" s="5"/>
      <c r="Q2239" s="5"/>
      <c r="R2239" s="5"/>
      <c r="S2239" s="5"/>
      <c r="T2239" s="5"/>
      <c r="U2239" s="5"/>
      <c r="V2239" s="5"/>
      <c r="W2239" s="5"/>
      <c r="X2239" s="5"/>
      <c r="Y2239" s="5"/>
      <c r="Z2239" s="5"/>
    </row>
    <row r="2240" ht="12.0" customHeight="1">
      <c r="A2240" s="28" t="s">
        <v>1639</v>
      </c>
      <c r="B2240" s="5" t="s">
        <v>633</v>
      </c>
      <c r="C2240" s="291">
        <f>$O2237*Parametros!$B$70</f>
        <v>4.93</v>
      </c>
      <c r="D2240" s="291">
        <f>$O2237*Parametros!$C$70</f>
        <v>4.35</v>
      </c>
      <c r="E2240" s="291">
        <f>$O2237*Parametros!$D$70</f>
        <v>5.22</v>
      </c>
      <c r="F2240" s="291">
        <f>$O2237*Parametros!$E$70</f>
        <v>5.22</v>
      </c>
      <c r="G2240" s="291">
        <f>$O2237*Parametros!$F$70</f>
        <v>5.22</v>
      </c>
      <c r="H2240" s="291">
        <f>$O2237*Parametros!$G$70</f>
        <v>4.64</v>
      </c>
      <c r="I2240" s="291">
        <f>$O2237*Parametros!$H$70</f>
        <v>5.22</v>
      </c>
      <c r="J2240" s="291">
        <f>$O2237*Parametros!$I$70</f>
        <v>5.22</v>
      </c>
      <c r="K2240" s="291">
        <f>$O2237*Parametros!$J$70</f>
        <v>4.93</v>
      </c>
      <c r="L2240" s="291">
        <f>$O2237*Parametros!$K$70</f>
        <v>4.35</v>
      </c>
      <c r="M2240" s="291">
        <f>$O2237*Parametros!$L$70</f>
        <v>4.06</v>
      </c>
      <c r="N2240" s="291">
        <f>$O2237*Parametros!$M$70</f>
        <v>4.64</v>
      </c>
      <c r="O2240" s="292">
        <f t="shared" si="675"/>
        <v>58</v>
      </c>
      <c r="P2240" s="5"/>
      <c r="Q2240" s="5"/>
      <c r="R2240" s="5"/>
      <c r="S2240" s="5"/>
      <c r="T2240" s="5"/>
      <c r="U2240" s="5"/>
      <c r="V2240" s="5"/>
      <c r="W2240" s="5"/>
      <c r="X2240" s="5"/>
      <c r="Y2240" s="5"/>
      <c r="Z2240" s="5"/>
    </row>
    <row r="2241" ht="12.0" customHeight="1">
      <c r="A2241" s="10" t="s">
        <v>1640</v>
      </c>
      <c r="B2241" s="5" t="s">
        <v>633</v>
      </c>
      <c r="C2241" s="292">
        <f t="shared" ref="C2241:N2241" si="677">C2239+C2240</f>
        <v>30.6</v>
      </c>
      <c r="D2241" s="292">
        <f t="shared" si="677"/>
        <v>27</v>
      </c>
      <c r="E2241" s="292">
        <f t="shared" si="677"/>
        <v>32.4</v>
      </c>
      <c r="F2241" s="292">
        <f t="shared" si="677"/>
        <v>32.4</v>
      </c>
      <c r="G2241" s="292">
        <f t="shared" si="677"/>
        <v>32.4</v>
      </c>
      <c r="H2241" s="292">
        <f t="shared" si="677"/>
        <v>28.8</v>
      </c>
      <c r="I2241" s="292">
        <f t="shared" si="677"/>
        <v>32.4</v>
      </c>
      <c r="J2241" s="292">
        <f t="shared" si="677"/>
        <v>32.4</v>
      </c>
      <c r="K2241" s="292">
        <f t="shared" si="677"/>
        <v>30.6</v>
      </c>
      <c r="L2241" s="292">
        <f t="shared" si="677"/>
        <v>27</v>
      </c>
      <c r="M2241" s="292">
        <f t="shared" si="677"/>
        <v>25.2</v>
      </c>
      <c r="N2241" s="292">
        <f t="shared" si="677"/>
        <v>28.8</v>
      </c>
      <c r="O2241" s="292">
        <f t="shared" si="675"/>
        <v>360</v>
      </c>
      <c r="P2241" s="5"/>
      <c r="Q2241" s="5"/>
      <c r="R2241" s="5"/>
      <c r="S2241" s="5"/>
      <c r="T2241" s="5"/>
      <c r="U2241" s="5"/>
      <c r="V2241" s="5"/>
      <c r="W2241" s="5"/>
      <c r="X2241" s="5"/>
      <c r="Y2241" s="5"/>
      <c r="Z2241" s="5"/>
    </row>
    <row r="2242" ht="12.0" customHeight="1">
      <c r="A2242" s="28" t="s">
        <v>967</v>
      </c>
      <c r="B2242" s="5" t="s">
        <v>633</v>
      </c>
      <c r="C2242" s="291">
        <f>C2241-C2238</f>
        <v>0</v>
      </c>
      <c r="D2242" s="291">
        <f t="shared" ref="D2242:N2242" si="678">C2242+D2241-D2238</f>
        <v>0</v>
      </c>
      <c r="E2242" s="291">
        <f t="shared" si="678"/>
        <v>0</v>
      </c>
      <c r="F2242" s="291">
        <f t="shared" si="678"/>
        <v>0</v>
      </c>
      <c r="G2242" s="291">
        <f t="shared" si="678"/>
        <v>0</v>
      </c>
      <c r="H2242" s="291">
        <f t="shared" si="678"/>
        <v>0</v>
      </c>
      <c r="I2242" s="291">
        <f t="shared" si="678"/>
        <v>0</v>
      </c>
      <c r="J2242" s="291">
        <f t="shared" si="678"/>
        <v>0</v>
      </c>
      <c r="K2242" s="291">
        <f t="shared" si="678"/>
        <v>0</v>
      </c>
      <c r="L2242" s="291">
        <f t="shared" si="678"/>
        <v>0</v>
      </c>
      <c r="M2242" s="291">
        <f t="shared" si="678"/>
        <v>0</v>
      </c>
      <c r="N2242" s="291">
        <f t="shared" si="678"/>
        <v>0</v>
      </c>
      <c r="O2242" s="292"/>
      <c r="P2242" s="5"/>
      <c r="Q2242" s="5"/>
      <c r="R2242" s="5"/>
      <c r="S2242" s="5"/>
      <c r="T2242" s="5"/>
      <c r="U2242" s="5"/>
      <c r="V2242" s="5"/>
      <c r="W2242" s="5"/>
      <c r="X2242" s="5"/>
      <c r="Y2242" s="5"/>
      <c r="Z2242" s="5"/>
    </row>
    <row r="2243" ht="12.0" customHeight="1">
      <c r="A2243" s="10" t="s">
        <v>1641</v>
      </c>
      <c r="B2243" s="5" t="s">
        <v>633</v>
      </c>
      <c r="C2243" s="292">
        <f t="shared" ref="C2243:N2243" si="679">C2242-MIN(0,MIN($C2242:$N2242))</f>
        <v>0</v>
      </c>
      <c r="D2243" s="292">
        <f t="shared" si="679"/>
        <v>0</v>
      </c>
      <c r="E2243" s="292">
        <f t="shared" si="679"/>
        <v>0</v>
      </c>
      <c r="F2243" s="292">
        <f t="shared" si="679"/>
        <v>0</v>
      </c>
      <c r="G2243" s="292">
        <f t="shared" si="679"/>
        <v>0</v>
      </c>
      <c r="H2243" s="292">
        <f t="shared" si="679"/>
        <v>0</v>
      </c>
      <c r="I2243" s="292">
        <f t="shared" si="679"/>
        <v>0</v>
      </c>
      <c r="J2243" s="292">
        <f t="shared" si="679"/>
        <v>0</v>
      </c>
      <c r="K2243" s="292">
        <f t="shared" si="679"/>
        <v>0</v>
      </c>
      <c r="L2243" s="292">
        <f t="shared" si="679"/>
        <v>0</v>
      </c>
      <c r="M2243" s="292">
        <f t="shared" si="679"/>
        <v>0</v>
      </c>
      <c r="N2243" s="292">
        <f t="shared" si="679"/>
        <v>0</v>
      </c>
      <c r="O2243" s="292">
        <f>MAX(C2243:N2243)</f>
        <v>0</v>
      </c>
      <c r="P2243" s="292">
        <f>AVERAGE(C2243:N2243)</f>
        <v>0</v>
      </c>
      <c r="Q2243" s="5"/>
      <c r="R2243" s="5"/>
      <c r="S2243" s="5"/>
      <c r="T2243" s="5"/>
      <c r="U2243" s="5"/>
      <c r="V2243" s="5"/>
      <c r="W2243" s="5"/>
      <c r="X2243" s="5"/>
      <c r="Y2243" s="5"/>
      <c r="Z2243" s="5"/>
    </row>
    <row r="2244" ht="12.0" customHeight="1">
      <c r="A2244" s="10" t="s">
        <v>1642</v>
      </c>
      <c r="B2244" s="5"/>
      <c r="C2244" s="206"/>
      <c r="D2244" s="206"/>
      <c r="E2244" s="206"/>
      <c r="F2244" s="206"/>
      <c r="G2244" s="206"/>
      <c r="H2244" s="206"/>
      <c r="I2244" s="206"/>
      <c r="J2244" s="206"/>
      <c r="K2244" s="206"/>
      <c r="L2244" s="206"/>
      <c r="M2244" s="206"/>
      <c r="N2244" s="206"/>
      <c r="O2244" s="5"/>
      <c r="P2244" s="5"/>
      <c r="Q2244" s="5"/>
      <c r="R2244" s="5"/>
      <c r="S2244" s="5"/>
      <c r="T2244" s="5"/>
      <c r="U2244" s="5"/>
      <c r="V2244" s="5"/>
      <c r="W2244" s="5"/>
      <c r="X2244" s="5"/>
      <c r="Y2244" s="5"/>
      <c r="Z2244" s="5"/>
    </row>
    <row r="2245" ht="12.0" customHeight="1">
      <c r="A2245" s="92" t="s">
        <v>630</v>
      </c>
      <c r="B2245" s="5" t="s">
        <v>631</v>
      </c>
      <c r="C2245" s="206" t="s">
        <v>3</v>
      </c>
      <c r="D2245" s="206" t="s">
        <v>4</v>
      </c>
      <c r="E2245" s="206" t="s">
        <v>507</v>
      </c>
      <c r="F2245" s="206" t="s">
        <v>508</v>
      </c>
      <c r="G2245" s="206" t="s">
        <v>509</v>
      </c>
      <c r="H2245" s="206" t="s">
        <v>510</v>
      </c>
      <c r="I2245" s="206" t="s">
        <v>511</v>
      </c>
      <c r="J2245" s="206" t="s">
        <v>512</v>
      </c>
      <c r="K2245" s="206" t="s">
        <v>513</v>
      </c>
      <c r="L2245" s="206" t="s">
        <v>514</v>
      </c>
      <c r="M2245" s="206" t="s">
        <v>515</v>
      </c>
      <c r="N2245" s="206" t="s">
        <v>516</v>
      </c>
      <c r="O2245" s="5"/>
      <c r="P2245" s="5"/>
      <c r="Q2245" s="5"/>
      <c r="R2245" s="5"/>
      <c r="S2245" s="5"/>
      <c r="T2245" s="5"/>
      <c r="U2245" s="5"/>
      <c r="V2245" s="5"/>
      <c r="W2245" s="5"/>
      <c r="X2245" s="5"/>
      <c r="Y2245" s="5"/>
      <c r="Z2245" s="5"/>
    </row>
    <row r="2246" ht="12.0" customHeight="1">
      <c r="A2246" s="92" t="s">
        <v>1643</v>
      </c>
      <c r="B2246" s="5" t="s">
        <v>633</v>
      </c>
      <c r="C2246" s="203">
        <f t="shared" ref="C2246:N2246" si="680">C2241</f>
        <v>30.6</v>
      </c>
      <c r="D2246" s="203">
        <f t="shared" si="680"/>
        <v>27</v>
      </c>
      <c r="E2246" s="203">
        <f t="shared" si="680"/>
        <v>32.4</v>
      </c>
      <c r="F2246" s="203">
        <f t="shared" si="680"/>
        <v>32.4</v>
      </c>
      <c r="G2246" s="203">
        <f t="shared" si="680"/>
        <v>32.4</v>
      </c>
      <c r="H2246" s="203">
        <f t="shared" si="680"/>
        <v>28.8</v>
      </c>
      <c r="I2246" s="203">
        <f t="shared" si="680"/>
        <v>32.4</v>
      </c>
      <c r="J2246" s="203">
        <f t="shared" si="680"/>
        <v>32.4</v>
      </c>
      <c r="K2246" s="203">
        <f t="shared" si="680"/>
        <v>30.6</v>
      </c>
      <c r="L2246" s="203">
        <f t="shared" si="680"/>
        <v>27</v>
      </c>
      <c r="M2246" s="203">
        <f t="shared" si="680"/>
        <v>25.2</v>
      </c>
      <c r="N2246" s="203">
        <f t="shared" si="680"/>
        <v>28.8</v>
      </c>
      <c r="O2246" s="5"/>
      <c r="P2246" s="5"/>
      <c r="Q2246" s="5"/>
      <c r="R2246" s="5"/>
      <c r="S2246" s="5"/>
      <c r="T2246" s="5"/>
      <c r="U2246" s="5"/>
      <c r="V2246" s="5"/>
      <c r="W2246" s="5"/>
      <c r="X2246" s="5"/>
      <c r="Y2246" s="5"/>
      <c r="Z2246" s="5"/>
    </row>
    <row r="2247" ht="12.0" customHeight="1">
      <c r="A2247" s="92"/>
      <c r="B2247" s="5" t="s">
        <v>634</v>
      </c>
      <c r="C2247" s="293">
        <f>C2246/Parametros!$B$37</f>
        <v>1.53</v>
      </c>
      <c r="D2247" s="293">
        <f>D2246/Parametros!$B$37</f>
        <v>1.35</v>
      </c>
      <c r="E2247" s="293">
        <f>E2246/Parametros!$B$37</f>
        <v>1.62</v>
      </c>
      <c r="F2247" s="293">
        <f>F2246/Parametros!$B$37</f>
        <v>1.62</v>
      </c>
      <c r="G2247" s="293">
        <f>G2246/Parametros!$B$37</f>
        <v>1.62</v>
      </c>
      <c r="H2247" s="293">
        <f>H2246/Parametros!$B$37</f>
        <v>1.44</v>
      </c>
      <c r="I2247" s="293">
        <f>I2246/Parametros!$B$37</f>
        <v>1.62</v>
      </c>
      <c r="J2247" s="293">
        <f>J2246/Parametros!$B$37</f>
        <v>1.62</v>
      </c>
      <c r="K2247" s="293">
        <f>K2246/Parametros!$B$37</f>
        <v>1.53</v>
      </c>
      <c r="L2247" s="293">
        <f>L2246/Parametros!$B$37</f>
        <v>1.35</v>
      </c>
      <c r="M2247" s="293">
        <f>M2246/Parametros!$B$37</f>
        <v>1.26</v>
      </c>
      <c r="N2247" s="293">
        <f>N2246/Parametros!$B$37</f>
        <v>1.44</v>
      </c>
      <c r="O2247" s="5"/>
      <c r="P2247" s="5"/>
      <c r="Q2247" s="5"/>
      <c r="R2247" s="5"/>
      <c r="S2247" s="5"/>
      <c r="T2247" s="5"/>
      <c r="U2247" s="5"/>
      <c r="V2247" s="5"/>
      <c r="W2247" s="5"/>
      <c r="X2247" s="5"/>
      <c r="Y2247" s="5"/>
      <c r="Z2247" s="5"/>
    </row>
    <row r="2248" ht="12.0" customHeight="1">
      <c r="A2248" s="92"/>
      <c r="B2248" s="5" t="s">
        <v>635</v>
      </c>
      <c r="C2248" s="293">
        <f>C2247/Parametros!$J$37</f>
        <v>0.204</v>
      </c>
      <c r="D2248" s="293">
        <f>D2247/Parametros!$J$37</f>
        <v>0.18</v>
      </c>
      <c r="E2248" s="293">
        <f>E2247/Parametros!$J$37</f>
        <v>0.216</v>
      </c>
      <c r="F2248" s="293">
        <f>F2247/Parametros!$J$37</f>
        <v>0.216</v>
      </c>
      <c r="G2248" s="293">
        <f>G2247/Parametros!$J$37</f>
        <v>0.216</v>
      </c>
      <c r="H2248" s="293">
        <f>H2247/Parametros!$J$37</f>
        <v>0.192</v>
      </c>
      <c r="I2248" s="293">
        <f>I2247/Parametros!$J$37</f>
        <v>0.216</v>
      </c>
      <c r="J2248" s="293">
        <f>J2247/Parametros!$J$37</f>
        <v>0.216</v>
      </c>
      <c r="K2248" s="293">
        <f>K2247/Parametros!$J$37</f>
        <v>0.204</v>
      </c>
      <c r="L2248" s="293">
        <f>L2247/Parametros!$J$37</f>
        <v>0.18</v>
      </c>
      <c r="M2248" s="293">
        <f>M2247/Parametros!$J$37</f>
        <v>0.168</v>
      </c>
      <c r="N2248" s="293">
        <f>N2247/Parametros!$J$37</f>
        <v>0.192</v>
      </c>
      <c r="O2248" s="5"/>
      <c r="P2248" s="5"/>
      <c r="Q2248" s="5"/>
      <c r="R2248" s="5"/>
      <c r="S2248" s="5"/>
      <c r="T2248" s="5"/>
      <c r="U2248" s="5"/>
      <c r="V2248" s="5"/>
      <c r="W2248" s="5"/>
      <c r="X2248" s="5"/>
      <c r="Y2248" s="5"/>
      <c r="Z2248" s="5"/>
    </row>
    <row r="2249" ht="12.0" customHeight="1">
      <c r="A2249" s="92" t="s">
        <v>636</v>
      </c>
      <c r="B2249" s="5"/>
      <c r="C2249" s="293">
        <f t="shared" ref="C2249:N2249" si="681">C2248</f>
        <v>0.204</v>
      </c>
      <c r="D2249" s="293">
        <f t="shared" si="681"/>
        <v>0.18</v>
      </c>
      <c r="E2249" s="293">
        <f t="shared" si="681"/>
        <v>0.216</v>
      </c>
      <c r="F2249" s="293">
        <f t="shared" si="681"/>
        <v>0.216</v>
      </c>
      <c r="G2249" s="293">
        <f t="shared" si="681"/>
        <v>0.216</v>
      </c>
      <c r="H2249" s="293">
        <f t="shared" si="681"/>
        <v>0.192</v>
      </c>
      <c r="I2249" s="293">
        <f t="shared" si="681"/>
        <v>0.216</v>
      </c>
      <c r="J2249" s="293">
        <f t="shared" si="681"/>
        <v>0.216</v>
      </c>
      <c r="K2249" s="293">
        <f t="shared" si="681"/>
        <v>0.204</v>
      </c>
      <c r="L2249" s="293">
        <f t="shared" si="681"/>
        <v>0.18</v>
      </c>
      <c r="M2249" s="293">
        <f t="shared" si="681"/>
        <v>0.168</v>
      </c>
      <c r="N2249" s="293">
        <f t="shared" si="681"/>
        <v>0.192</v>
      </c>
      <c r="O2249" s="5"/>
      <c r="P2249" s="5"/>
      <c r="Q2249" s="5"/>
      <c r="R2249" s="5"/>
      <c r="S2249" s="5"/>
      <c r="T2249" s="5"/>
      <c r="U2249" s="5"/>
      <c r="V2249" s="5"/>
      <c r="W2249" s="5"/>
      <c r="X2249" s="5"/>
      <c r="Y2249" s="5"/>
      <c r="Z2249" s="5"/>
    </row>
    <row r="2250" ht="12.0" customHeight="1">
      <c r="A2250" s="92" t="s">
        <v>637</v>
      </c>
      <c r="B2250" s="5"/>
      <c r="C2250" s="293">
        <f>Parametros!$M$112</f>
        <v>15.69230769</v>
      </c>
      <c r="D2250" s="293">
        <f>Parametros!$M$112</f>
        <v>15.69230769</v>
      </c>
      <c r="E2250" s="293">
        <f>Parametros!$M$112</f>
        <v>15.69230769</v>
      </c>
      <c r="F2250" s="293">
        <f>Parametros!$M$112</f>
        <v>15.69230769</v>
      </c>
      <c r="G2250" s="293">
        <f>Parametros!$M$112</f>
        <v>15.69230769</v>
      </c>
      <c r="H2250" s="293">
        <f>Parametros!$M$112</f>
        <v>15.69230769</v>
      </c>
      <c r="I2250" s="293">
        <f>Parametros!$M$112</f>
        <v>15.69230769</v>
      </c>
      <c r="J2250" s="293">
        <f>Parametros!$M$112</f>
        <v>15.69230769</v>
      </c>
      <c r="K2250" s="293">
        <f>Parametros!$M$112</f>
        <v>15.69230769</v>
      </c>
      <c r="L2250" s="293">
        <f>Parametros!$M$112</f>
        <v>15.69230769</v>
      </c>
      <c r="M2250" s="293">
        <f>Parametros!$M$112</f>
        <v>15.69230769</v>
      </c>
      <c r="N2250" s="293">
        <f>Parametros!$M$112</f>
        <v>15.69230769</v>
      </c>
      <c r="O2250" s="5"/>
      <c r="P2250" s="5"/>
      <c r="Q2250" s="5"/>
      <c r="R2250" s="5"/>
      <c r="S2250" s="5"/>
      <c r="T2250" s="5"/>
      <c r="U2250" s="5"/>
      <c r="V2250" s="5"/>
      <c r="W2250" s="5"/>
      <c r="X2250" s="5"/>
      <c r="Y2250" s="5"/>
      <c r="Z2250" s="5"/>
    </row>
    <row r="2251" ht="12.0" customHeight="1">
      <c r="A2251" s="92" t="s">
        <v>640</v>
      </c>
      <c r="B2251" s="5"/>
      <c r="C2251" s="203">
        <f>'Resumen Capacidad'!$D$220</f>
        <v>1</v>
      </c>
      <c r="D2251" s="203">
        <f>'Resumen Capacidad'!$D$220</f>
        <v>1</v>
      </c>
      <c r="E2251" s="203">
        <f>'Resumen Capacidad'!$D$220</f>
        <v>1</v>
      </c>
      <c r="F2251" s="203">
        <f>'Resumen Capacidad'!$D$220</f>
        <v>1</v>
      </c>
      <c r="G2251" s="203">
        <f>'Resumen Capacidad'!$D$220</f>
        <v>1</v>
      </c>
      <c r="H2251" s="203">
        <f>'Resumen Capacidad'!$D$220</f>
        <v>1</v>
      </c>
      <c r="I2251" s="203">
        <f>'Resumen Capacidad'!$D$220</f>
        <v>1</v>
      </c>
      <c r="J2251" s="203">
        <f>'Resumen Capacidad'!$D$220</f>
        <v>1</v>
      </c>
      <c r="K2251" s="203">
        <f>'Resumen Capacidad'!$D$220</f>
        <v>1</v>
      </c>
      <c r="L2251" s="203">
        <f>'Resumen Capacidad'!$D$220</f>
        <v>1</v>
      </c>
      <c r="M2251" s="203">
        <f>'Resumen Capacidad'!$D$220</f>
        <v>1</v>
      </c>
      <c r="N2251" s="203">
        <f>'Resumen Capacidad'!$D$220</f>
        <v>1</v>
      </c>
      <c r="O2251" s="5"/>
      <c r="P2251" s="5"/>
      <c r="Q2251" s="5"/>
      <c r="R2251" s="5"/>
      <c r="S2251" s="5"/>
      <c r="T2251" s="5"/>
      <c r="U2251" s="5"/>
      <c r="V2251" s="5"/>
      <c r="W2251" s="5"/>
      <c r="X2251" s="5"/>
      <c r="Y2251" s="5"/>
      <c r="Z2251" s="5"/>
    </row>
    <row r="2252" ht="12.0" customHeight="1">
      <c r="A2252" s="92" t="s">
        <v>642</v>
      </c>
      <c r="B2252" s="5"/>
      <c r="C2252" s="203">
        <f t="shared" ref="C2252:N2252" si="682">C2250*C2251</f>
        <v>15.69230769</v>
      </c>
      <c r="D2252" s="203">
        <f t="shared" si="682"/>
        <v>15.69230769</v>
      </c>
      <c r="E2252" s="203">
        <f t="shared" si="682"/>
        <v>15.69230769</v>
      </c>
      <c r="F2252" s="203">
        <f t="shared" si="682"/>
        <v>15.69230769</v>
      </c>
      <c r="G2252" s="203">
        <f t="shared" si="682"/>
        <v>15.69230769</v>
      </c>
      <c r="H2252" s="203">
        <f t="shared" si="682"/>
        <v>15.69230769</v>
      </c>
      <c r="I2252" s="203">
        <f t="shared" si="682"/>
        <v>15.69230769</v>
      </c>
      <c r="J2252" s="203">
        <f t="shared" si="682"/>
        <v>15.69230769</v>
      </c>
      <c r="K2252" s="203">
        <f t="shared" si="682"/>
        <v>15.69230769</v>
      </c>
      <c r="L2252" s="203">
        <f t="shared" si="682"/>
        <v>15.69230769</v>
      </c>
      <c r="M2252" s="203">
        <f t="shared" si="682"/>
        <v>15.69230769</v>
      </c>
      <c r="N2252" s="203">
        <f t="shared" si="682"/>
        <v>15.69230769</v>
      </c>
      <c r="O2252" s="5"/>
      <c r="P2252" s="5"/>
      <c r="Q2252" s="5"/>
      <c r="R2252" s="5"/>
      <c r="S2252" s="5"/>
      <c r="T2252" s="5"/>
      <c r="U2252" s="5"/>
      <c r="V2252" s="5"/>
      <c r="W2252" s="5"/>
      <c r="X2252" s="5"/>
      <c r="Y2252" s="5"/>
      <c r="Z2252" s="5"/>
    </row>
    <row r="2253" ht="12.0" customHeight="1">
      <c r="A2253" s="92" t="s">
        <v>643</v>
      </c>
      <c r="B2253" s="5"/>
      <c r="C2253" s="294">
        <f t="shared" ref="C2253:N2253" si="683">IF(C2252=0,0,C2249/C2252)</f>
        <v>0.013</v>
      </c>
      <c r="D2253" s="294">
        <f t="shared" si="683"/>
        <v>0.01147058824</v>
      </c>
      <c r="E2253" s="294">
        <f t="shared" si="683"/>
        <v>0.01376470588</v>
      </c>
      <c r="F2253" s="294">
        <f t="shared" si="683"/>
        <v>0.01376470588</v>
      </c>
      <c r="G2253" s="294">
        <f t="shared" si="683"/>
        <v>0.01376470588</v>
      </c>
      <c r="H2253" s="294">
        <f t="shared" si="683"/>
        <v>0.01223529412</v>
      </c>
      <c r="I2253" s="294">
        <f t="shared" si="683"/>
        <v>0.01376470588</v>
      </c>
      <c r="J2253" s="294">
        <f t="shared" si="683"/>
        <v>0.01376470588</v>
      </c>
      <c r="K2253" s="294">
        <f t="shared" si="683"/>
        <v>0.013</v>
      </c>
      <c r="L2253" s="294">
        <f t="shared" si="683"/>
        <v>0.01147058824</v>
      </c>
      <c r="M2253" s="294">
        <f t="shared" si="683"/>
        <v>0.01070588235</v>
      </c>
      <c r="N2253" s="294">
        <f t="shared" si="683"/>
        <v>0.01223529412</v>
      </c>
      <c r="O2253" s="5"/>
      <c r="P2253" s="5"/>
      <c r="Q2253" s="5"/>
      <c r="R2253" s="5"/>
      <c r="S2253" s="5"/>
      <c r="T2253" s="5"/>
      <c r="U2253" s="5"/>
      <c r="V2253" s="5"/>
      <c r="W2253" s="5"/>
      <c r="X2253" s="5"/>
      <c r="Y2253" s="5"/>
      <c r="Z2253" s="5"/>
    </row>
    <row r="2254" ht="12.0" customHeight="1">
      <c r="A2254" s="10" t="s">
        <v>1644</v>
      </c>
      <c r="B2254" s="5"/>
      <c r="C2254" s="206"/>
      <c r="D2254" s="206"/>
      <c r="E2254" s="206"/>
      <c r="F2254" s="206"/>
      <c r="G2254" s="206"/>
      <c r="H2254" s="206"/>
      <c r="I2254" s="206"/>
      <c r="J2254" s="206"/>
      <c r="K2254" s="206"/>
      <c r="L2254" s="206"/>
      <c r="M2254" s="206"/>
      <c r="N2254" s="206"/>
      <c r="O2254" s="5"/>
      <c r="P2254" s="5"/>
      <c r="Q2254" s="5"/>
      <c r="R2254" s="5"/>
      <c r="S2254" s="5"/>
      <c r="T2254" s="5"/>
      <c r="U2254" s="5"/>
      <c r="V2254" s="5"/>
      <c r="W2254" s="5"/>
      <c r="X2254" s="5"/>
      <c r="Y2254" s="5"/>
      <c r="Z2254" s="5"/>
    </row>
    <row r="2255" ht="12.0" customHeight="1">
      <c r="A2255" s="92" t="s">
        <v>630</v>
      </c>
      <c r="B2255" s="5" t="s">
        <v>631</v>
      </c>
      <c r="C2255" s="206" t="s">
        <v>3</v>
      </c>
      <c r="D2255" s="206" t="s">
        <v>4</v>
      </c>
      <c r="E2255" s="206" t="s">
        <v>507</v>
      </c>
      <c r="F2255" s="206" t="s">
        <v>508</v>
      </c>
      <c r="G2255" s="206" t="s">
        <v>509</v>
      </c>
      <c r="H2255" s="206" t="s">
        <v>510</v>
      </c>
      <c r="I2255" s="206" t="s">
        <v>511</v>
      </c>
      <c r="J2255" s="206" t="s">
        <v>512</v>
      </c>
      <c r="K2255" s="206" t="s">
        <v>513</v>
      </c>
      <c r="L2255" s="206" t="s">
        <v>514</v>
      </c>
      <c r="M2255" s="206" t="s">
        <v>515</v>
      </c>
      <c r="N2255" s="206" t="s">
        <v>516</v>
      </c>
      <c r="O2255" s="5"/>
      <c r="P2255" s="5"/>
      <c r="Q2255" s="5"/>
      <c r="R2255" s="5"/>
      <c r="S2255" s="5"/>
      <c r="T2255" s="5"/>
      <c r="U2255" s="5"/>
      <c r="V2255" s="5"/>
      <c r="W2255" s="5"/>
      <c r="X2255" s="5"/>
      <c r="Y2255" s="5"/>
      <c r="Z2255" s="5"/>
    </row>
    <row r="2256" ht="12.0" customHeight="1">
      <c r="A2256" s="92" t="s">
        <v>1643</v>
      </c>
      <c r="B2256" s="5" t="s">
        <v>633</v>
      </c>
      <c r="C2256" s="203">
        <f t="shared" ref="C2256:N2256" si="684">C2241</f>
        <v>30.6</v>
      </c>
      <c r="D2256" s="203">
        <f t="shared" si="684"/>
        <v>27</v>
      </c>
      <c r="E2256" s="203">
        <f t="shared" si="684"/>
        <v>32.4</v>
      </c>
      <c r="F2256" s="203">
        <f t="shared" si="684"/>
        <v>32.4</v>
      </c>
      <c r="G2256" s="203">
        <f t="shared" si="684"/>
        <v>32.4</v>
      </c>
      <c r="H2256" s="203">
        <f t="shared" si="684"/>
        <v>28.8</v>
      </c>
      <c r="I2256" s="203">
        <f t="shared" si="684"/>
        <v>32.4</v>
      </c>
      <c r="J2256" s="203">
        <f t="shared" si="684"/>
        <v>32.4</v>
      </c>
      <c r="K2256" s="203">
        <f t="shared" si="684"/>
        <v>30.6</v>
      </c>
      <c r="L2256" s="203">
        <f t="shared" si="684"/>
        <v>27</v>
      </c>
      <c r="M2256" s="203">
        <f t="shared" si="684"/>
        <v>25.2</v>
      </c>
      <c r="N2256" s="203">
        <f t="shared" si="684"/>
        <v>28.8</v>
      </c>
      <c r="O2256" s="5"/>
      <c r="P2256" s="5"/>
      <c r="Q2256" s="5"/>
      <c r="R2256" s="5"/>
      <c r="S2256" s="5"/>
      <c r="T2256" s="5"/>
      <c r="U2256" s="5"/>
      <c r="V2256" s="5"/>
      <c r="W2256" s="5"/>
      <c r="X2256" s="5"/>
      <c r="Y2256" s="5"/>
      <c r="Z2256" s="5"/>
    </row>
    <row r="2257" ht="12.0" customHeight="1">
      <c r="A2257" s="92"/>
      <c r="B2257" s="5" t="s">
        <v>634</v>
      </c>
      <c r="C2257" s="293">
        <f>C2256/Parametros!$B$37</f>
        <v>1.53</v>
      </c>
      <c r="D2257" s="293">
        <f>D2256/Parametros!$B$37</f>
        <v>1.35</v>
      </c>
      <c r="E2257" s="293">
        <f>E2256/Parametros!$B$37</f>
        <v>1.62</v>
      </c>
      <c r="F2257" s="293">
        <f>F2256/Parametros!$B$37</f>
        <v>1.62</v>
      </c>
      <c r="G2257" s="293">
        <f>G2256/Parametros!$B$37</f>
        <v>1.62</v>
      </c>
      <c r="H2257" s="293">
        <f>H2256/Parametros!$B$37</f>
        <v>1.44</v>
      </c>
      <c r="I2257" s="293">
        <f>I2256/Parametros!$B$37</f>
        <v>1.62</v>
      </c>
      <c r="J2257" s="293">
        <f>J2256/Parametros!$B$37</f>
        <v>1.62</v>
      </c>
      <c r="K2257" s="293">
        <f>K2256/Parametros!$B$37</f>
        <v>1.53</v>
      </c>
      <c r="L2257" s="293">
        <f>L2256/Parametros!$B$37</f>
        <v>1.35</v>
      </c>
      <c r="M2257" s="293">
        <f>M2256/Parametros!$B$37</f>
        <v>1.26</v>
      </c>
      <c r="N2257" s="293">
        <f>N2256/Parametros!$B$37</f>
        <v>1.44</v>
      </c>
      <c r="O2257" s="5"/>
      <c r="P2257" s="5"/>
      <c r="Q2257" s="5"/>
      <c r="R2257" s="5"/>
      <c r="S2257" s="5"/>
      <c r="T2257" s="5"/>
      <c r="U2257" s="5"/>
      <c r="V2257" s="5"/>
      <c r="W2257" s="5"/>
      <c r="X2257" s="5"/>
      <c r="Y2257" s="5"/>
      <c r="Z2257" s="5"/>
    </row>
    <row r="2258" ht="12.0" customHeight="1">
      <c r="A2258" s="92"/>
      <c r="B2258" s="5" t="s">
        <v>635</v>
      </c>
      <c r="C2258" s="293">
        <f>C2257/Parametros!$J$37</f>
        <v>0.204</v>
      </c>
      <c r="D2258" s="293">
        <f>D2257/Parametros!$J$37</f>
        <v>0.18</v>
      </c>
      <c r="E2258" s="293">
        <f>E2257/Parametros!$J$37</f>
        <v>0.216</v>
      </c>
      <c r="F2258" s="293">
        <f>F2257/Parametros!$J$37</f>
        <v>0.216</v>
      </c>
      <c r="G2258" s="293">
        <f>G2257/Parametros!$J$37</f>
        <v>0.216</v>
      </c>
      <c r="H2258" s="293">
        <f>H2257/Parametros!$J$37</f>
        <v>0.192</v>
      </c>
      <c r="I2258" s="293">
        <f>I2257/Parametros!$J$37</f>
        <v>0.216</v>
      </c>
      <c r="J2258" s="293">
        <f>J2257/Parametros!$J$37</f>
        <v>0.216</v>
      </c>
      <c r="K2258" s="293">
        <f>K2257/Parametros!$J$37</f>
        <v>0.204</v>
      </c>
      <c r="L2258" s="293">
        <f>L2257/Parametros!$J$37</f>
        <v>0.18</v>
      </c>
      <c r="M2258" s="293">
        <f>M2257/Parametros!$J$37</f>
        <v>0.168</v>
      </c>
      <c r="N2258" s="293">
        <f>N2257/Parametros!$J$37</f>
        <v>0.192</v>
      </c>
      <c r="O2258" s="5"/>
      <c r="P2258" s="5"/>
      <c r="Q2258" s="5"/>
      <c r="R2258" s="5"/>
      <c r="S2258" s="5"/>
      <c r="T2258" s="5"/>
      <c r="U2258" s="5"/>
      <c r="V2258" s="5"/>
      <c r="W2258" s="5"/>
      <c r="X2258" s="5"/>
      <c r="Y2258" s="5"/>
      <c r="Z2258" s="5"/>
    </row>
    <row r="2259" ht="12.0" customHeight="1">
      <c r="A2259" s="92" t="s">
        <v>636</v>
      </c>
      <c r="B2259" s="5"/>
      <c r="C2259" s="293">
        <f t="shared" ref="C2259:N2259" si="685">C2258</f>
        <v>0.204</v>
      </c>
      <c r="D2259" s="293">
        <f t="shared" si="685"/>
        <v>0.18</v>
      </c>
      <c r="E2259" s="293">
        <f t="shared" si="685"/>
        <v>0.216</v>
      </c>
      <c r="F2259" s="293">
        <f t="shared" si="685"/>
        <v>0.216</v>
      </c>
      <c r="G2259" s="293">
        <f t="shared" si="685"/>
        <v>0.216</v>
      </c>
      <c r="H2259" s="293">
        <f t="shared" si="685"/>
        <v>0.192</v>
      </c>
      <c r="I2259" s="293">
        <f t="shared" si="685"/>
        <v>0.216</v>
      </c>
      <c r="J2259" s="293">
        <f t="shared" si="685"/>
        <v>0.216</v>
      </c>
      <c r="K2259" s="293">
        <f t="shared" si="685"/>
        <v>0.204</v>
      </c>
      <c r="L2259" s="293">
        <f t="shared" si="685"/>
        <v>0.18</v>
      </c>
      <c r="M2259" s="293">
        <f t="shared" si="685"/>
        <v>0.168</v>
      </c>
      <c r="N2259" s="293">
        <f t="shared" si="685"/>
        <v>0.192</v>
      </c>
      <c r="O2259" s="5"/>
      <c r="P2259" s="5"/>
      <c r="Q2259" s="5"/>
      <c r="R2259" s="5"/>
      <c r="S2259" s="5"/>
      <c r="T2259" s="5"/>
      <c r="U2259" s="5"/>
      <c r="V2259" s="5"/>
      <c r="W2259" s="5"/>
      <c r="X2259" s="5"/>
      <c r="Y2259" s="5"/>
      <c r="Z2259" s="5"/>
    </row>
    <row r="2260" ht="12.0" customHeight="1">
      <c r="A2260" s="92" t="s">
        <v>637</v>
      </c>
      <c r="B2260" s="5"/>
      <c r="C2260" s="293">
        <f>Parametros!$M$113</f>
        <v>1.882352941</v>
      </c>
      <c r="D2260" s="293">
        <f>Parametros!$M$113</f>
        <v>1.882352941</v>
      </c>
      <c r="E2260" s="293">
        <f>Parametros!$M$113</f>
        <v>1.882352941</v>
      </c>
      <c r="F2260" s="293">
        <f>Parametros!$M$113</f>
        <v>1.882352941</v>
      </c>
      <c r="G2260" s="293">
        <f>Parametros!$M$113</f>
        <v>1.882352941</v>
      </c>
      <c r="H2260" s="293">
        <f>Parametros!$M$113</f>
        <v>1.882352941</v>
      </c>
      <c r="I2260" s="293">
        <f>Parametros!$M$113</f>
        <v>1.882352941</v>
      </c>
      <c r="J2260" s="293">
        <f>Parametros!$M$113</f>
        <v>1.882352941</v>
      </c>
      <c r="K2260" s="293">
        <f>Parametros!$M$113</f>
        <v>1.882352941</v>
      </c>
      <c r="L2260" s="293">
        <f>Parametros!$M$113</f>
        <v>1.882352941</v>
      </c>
      <c r="M2260" s="293">
        <f>Parametros!$M$113</f>
        <v>1.882352941</v>
      </c>
      <c r="N2260" s="293">
        <f>Parametros!$M$113</f>
        <v>1.882352941</v>
      </c>
      <c r="O2260" s="5"/>
      <c r="P2260" s="5"/>
      <c r="Q2260" s="5"/>
      <c r="R2260" s="5"/>
      <c r="S2260" s="5"/>
      <c r="T2260" s="5"/>
      <c r="U2260" s="5"/>
      <c r="V2260" s="5"/>
      <c r="W2260" s="5"/>
      <c r="X2260" s="5"/>
      <c r="Y2260" s="5"/>
      <c r="Z2260" s="5"/>
    </row>
    <row r="2261" ht="12.0" customHeight="1">
      <c r="A2261" s="92" t="s">
        <v>640</v>
      </c>
      <c r="B2261" s="5"/>
      <c r="C2261" s="203">
        <f>'Resumen Capacidad'!$D$221</f>
        <v>1</v>
      </c>
      <c r="D2261" s="203">
        <f>'Resumen Capacidad'!$D$221</f>
        <v>1</v>
      </c>
      <c r="E2261" s="203">
        <f>'Resumen Capacidad'!$D$221</f>
        <v>1</v>
      </c>
      <c r="F2261" s="203">
        <f>'Resumen Capacidad'!$D$221</f>
        <v>1</v>
      </c>
      <c r="G2261" s="203">
        <f>'Resumen Capacidad'!$D$221</f>
        <v>1</v>
      </c>
      <c r="H2261" s="203">
        <f>'Resumen Capacidad'!$D$221</f>
        <v>1</v>
      </c>
      <c r="I2261" s="203">
        <f>'Resumen Capacidad'!$D$221</f>
        <v>1</v>
      </c>
      <c r="J2261" s="203">
        <f>'Resumen Capacidad'!$D$221</f>
        <v>1</v>
      </c>
      <c r="K2261" s="203">
        <f>'Resumen Capacidad'!$D$221</f>
        <v>1</v>
      </c>
      <c r="L2261" s="203">
        <f>'Resumen Capacidad'!$D$221</f>
        <v>1</v>
      </c>
      <c r="M2261" s="203">
        <f>'Resumen Capacidad'!$D$221</f>
        <v>1</v>
      </c>
      <c r="N2261" s="203">
        <f>'Resumen Capacidad'!$D$221</f>
        <v>1</v>
      </c>
      <c r="O2261" s="5"/>
      <c r="P2261" s="5"/>
      <c r="Q2261" s="5"/>
      <c r="R2261" s="5"/>
      <c r="S2261" s="5"/>
      <c r="T2261" s="5"/>
      <c r="U2261" s="5"/>
      <c r="V2261" s="5"/>
      <c r="W2261" s="5"/>
      <c r="X2261" s="5"/>
      <c r="Y2261" s="5"/>
      <c r="Z2261" s="5"/>
    </row>
    <row r="2262" ht="12.0" customHeight="1">
      <c r="A2262" s="92" t="s">
        <v>642</v>
      </c>
      <c r="B2262" s="5"/>
      <c r="C2262" s="203">
        <f t="shared" ref="C2262:N2262" si="686">C2260*C2261</f>
        <v>1.882352941</v>
      </c>
      <c r="D2262" s="203">
        <f t="shared" si="686"/>
        <v>1.882352941</v>
      </c>
      <c r="E2262" s="203">
        <f t="shared" si="686"/>
        <v>1.882352941</v>
      </c>
      <c r="F2262" s="203">
        <f t="shared" si="686"/>
        <v>1.882352941</v>
      </c>
      <c r="G2262" s="203">
        <f t="shared" si="686"/>
        <v>1.882352941</v>
      </c>
      <c r="H2262" s="203">
        <f t="shared" si="686"/>
        <v>1.882352941</v>
      </c>
      <c r="I2262" s="203">
        <f t="shared" si="686"/>
        <v>1.882352941</v>
      </c>
      <c r="J2262" s="203">
        <f t="shared" si="686"/>
        <v>1.882352941</v>
      </c>
      <c r="K2262" s="203">
        <f t="shared" si="686"/>
        <v>1.882352941</v>
      </c>
      <c r="L2262" s="203">
        <f t="shared" si="686"/>
        <v>1.882352941</v>
      </c>
      <c r="M2262" s="203">
        <f t="shared" si="686"/>
        <v>1.882352941</v>
      </c>
      <c r="N2262" s="203">
        <f t="shared" si="686"/>
        <v>1.882352941</v>
      </c>
      <c r="O2262" s="5"/>
      <c r="P2262" s="5"/>
      <c r="Q2262" s="5"/>
      <c r="R2262" s="5"/>
      <c r="S2262" s="5"/>
      <c r="T2262" s="5"/>
      <c r="U2262" s="5"/>
      <c r="V2262" s="5"/>
      <c r="W2262" s="5"/>
      <c r="X2262" s="5"/>
      <c r="Y2262" s="5"/>
      <c r="Z2262" s="5"/>
    </row>
    <row r="2263" ht="12.0" customHeight="1">
      <c r="A2263" s="92" t="s">
        <v>643</v>
      </c>
      <c r="B2263" s="5"/>
      <c r="C2263" s="294">
        <f t="shared" ref="C2263:N2263" si="687">IF(C2262=0,0,C2259/C2262)</f>
        <v>0.108375</v>
      </c>
      <c r="D2263" s="294">
        <f t="shared" si="687"/>
        <v>0.095625</v>
      </c>
      <c r="E2263" s="294">
        <f t="shared" si="687"/>
        <v>0.11475</v>
      </c>
      <c r="F2263" s="294">
        <f t="shared" si="687"/>
        <v>0.11475</v>
      </c>
      <c r="G2263" s="294">
        <f t="shared" si="687"/>
        <v>0.11475</v>
      </c>
      <c r="H2263" s="294">
        <f t="shared" si="687"/>
        <v>0.102</v>
      </c>
      <c r="I2263" s="294">
        <f t="shared" si="687"/>
        <v>0.11475</v>
      </c>
      <c r="J2263" s="294">
        <f t="shared" si="687"/>
        <v>0.11475</v>
      </c>
      <c r="K2263" s="294">
        <f t="shared" si="687"/>
        <v>0.108375</v>
      </c>
      <c r="L2263" s="294">
        <f t="shared" si="687"/>
        <v>0.095625</v>
      </c>
      <c r="M2263" s="294">
        <f t="shared" si="687"/>
        <v>0.08925</v>
      </c>
      <c r="N2263" s="294">
        <f t="shared" si="687"/>
        <v>0.102</v>
      </c>
      <c r="O2263" s="5"/>
      <c r="P2263" s="5"/>
      <c r="Q2263" s="5"/>
      <c r="R2263" s="5"/>
      <c r="S2263" s="5"/>
      <c r="T2263" s="5"/>
      <c r="U2263" s="5"/>
      <c r="V2263" s="5"/>
      <c r="W2263" s="5"/>
      <c r="X2263" s="5"/>
      <c r="Y2263" s="5"/>
      <c r="Z2263" s="5"/>
    </row>
    <row r="2264" ht="12.0" customHeight="1">
      <c r="A2264" s="10" t="s">
        <v>1645</v>
      </c>
      <c r="B2264" s="5"/>
      <c r="C2264" s="206"/>
      <c r="D2264" s="206"/>
      <c r="E2264" s="206"/>
      <c r="F2264" s="206"/>
      <c r="G2264" s="206"/>
      <c r="H2264" s="206"/>
      <c r="I2264" s="206"/>
      <c r="J2264" s="206"/>
      <c r="K2264" s="206"/>
      <c r="L2264" s="206"/>
      <c r="M2264" s="206"/>
      <c r="N2264" s="206"/>
      <c r="O2264" s="5"/>
      <c r="P2264" s="5"/>
      <c r="Q2264" s="5"/>
      <c r="R2264" s="5"/>
      <c r="S2264" s="5"/>
      <c r="T2264" s="5"/>
      <c r="U2264" s="5"/>
      <c r="V2264" s="5"/>
      <c r="W2264" s="5"/>
      <c r="X2264" s="5"/>
      <c r="Y2264" s="5"/>
      <c r="Z2264" s="5"/>
    </row>
    <row r="2265" ht="12.0" customHeight="1">
      <c r="A2265" s="92" t="s">
        <v>630</v>
      </c>
      <c r="B2265" s="5" t="s">
        <v>631</v>
      </c>
      <c r="C2265" s="206" t="s">
        <v>3</v>
      </c>
      <c r="D2265" s="206" t="s">
        <v>4</v>
      </c>
      <c r="E2265" s="206" t="s">
        <v>507</v>
      </c>
      <c r="F2265" s="206" t="s">
        <v>508</v>
      </c>
      <c r="G2265" s="206" t="s">
        <v>509</v>
      </c>
      <c r="H2265" s="206" t="s">
        <v>510</v>
      </c>
      <c r="I2265" s="206" t="s">
        <v>511</v>
      </c>
      <c r="J2265" s="206" t="s">
        <v>512</v>
      </c>
      <c r="K2265" s="206" t="s">
        <v>513</v>
      </c>
      <c r="L2265" s="206" t="s">
        <v>514</v>
      </c>
      <c r="M2265" s="206" t="s">
        <v>515</v>
      </c>
      <c r="N2265" s="206" t="s">
        <v>516</v>
      </c>
      <c r="O2265" s="5"/>
      <c r="P2265" s="5"/>
      <c r="Q2265" s="5"/>
      <c r="R2265" s="5"/>
      <c r="S2265" s="5"/>
      <c r="T2265" s="5"/>
      <c r="U2265" s="5"/>
      <c r="V2265" s="5"/>
      <c r="W2265" s="5"/>
      <c r="X2265" s="5"/>
      <c r="Y2265" s="5"/>
      <c r="Z2265" s="5"/>
    </row>
    <row r="2266" ht="12.0" customHeight="1">
      <c r="A2266" s="92" t="s">
        <v>1643</v>
      </c>
      <c r="B2266" s="5" t="s">
        <v>633</v>
      </c>
      <c r="C2266" s="203">
        <f t="shared" ref="C2266:N2266" si="688">C2241</f>
        <v>30.6</v>
      </c>
      <c r="D2266" s="203">
        <f t="shared" si="688"/>
        <v>27</v>
      </c>
      <c r="E2266" s="203">
        <f t="shared" si="688"/>
        <v>32.4</v>
      </c>
      <c r="F2266" s="203">
        <f t="shared" si="688"/>
        <v>32.4</v>
      </c>
      <c r="G2266" s="203">
        <f t="shared" si="688"/>
        <v>32.4</v>
      </c>
      <c r="H2266" s="203">
        <f t="shared" si="688"/>
        <v>28.8</v>
      </c>
      <c r="I2266" s="203">
        <f t="shared" si="688"/>
        <v>32.4</v>
      </c>
      <c r="J2266" s="203">
        <f t="shared" si="688"/>
        <v>32.4</v>
      </c>
      <c r="K2266" s="203">
        <f t="shared" si="688"/>
        <v>30.6</v>
      </c>
      <c r="L2266" s="203">
        <f t="shared" si="688"/>
        <v>27</v>
      </c>
      <c r="M2266" s="203">
        <f t="shared" si="688"/>
        <v>25.2</v>
      </c>
      <c r="N2266" s="203">
        <f t="shared" si="688"/>
        <v>28.8</v>
      </c>
      <c r="O2266" s="5"/>
      <c r="P2266" s="5"/>
      <c r="Q2266" s="5"/>
      <c r="R2266" s="5"/>
      <c r="S2266" s="5"/>
      <c r="T2266" s="5"/>
      <c r="U2266" s="5"/>
      <c r="V2266" s="5"/>
      <c r="W2266" s="5"/>
      <c r="X2266" s="5"/>
      <c r="Y2266" s="5"/>
      <c r="Z2266" s="5"/>
    </row>
    <row r="2267" ht="12.0" customHeight="1">
      <c r="A2267" s="92"/>
      <c r="B2267" s="5" t="s">
        <v>634</v>
      </c>
      <c r="C2267" s="293">
        <f>C2266/Parametros!$B$37</f>
        <v>1.53</v>
      </c>
      <c r="D2267" s="293">
        <f>D2266/Parametros!$B$37</f>
        <v>1.35</v>
      </c>
      <c r="E2267" s="293">
        <f>E2266/Parametros!$B$37</f>
        <v>1.62</v>
      </c>
      <c r="F2267" s="293">
        <f>F2266/Parametros!$B$37</f>
        <v>1.62</v>
      </c>
      <c r="G2267" s="293">
        <f>G2266/Parametros!$B$37</f>
        <v>1.62</v>
      </c>
      <c r="H2267" s="293">
        <f>H2266/Parametros!$B$37</f>
        <v>1.44</v>
      </c>
      <c r="I2267" s="293">
        <f>I2266/Parametros!$B$37</f>
        <v>1.62</v>
      </c>
      <c r="J2267" s="293">
        <f>J2266/Parametros!$B$37</f>
        <v>1.62</v>
      </c>
      <c r="K2267" s="293">
        <f>K2266/Parametros!$B$37</f>
        <v>1.53</v>
      </c>
      <c r="L2267" s="293">
        <f>L2266/Parametros!$B$37</f>
        <v>1.35</v>
      </c>
      <c r="M2267" s="293">
        <f>M2266/Parametros!$B$37</f>
        <v>1.26</v>
      </c>
      <c r="N2267" s="293">
        <f>N2266/Parametros!$B$37</f>
        <v>1.44</v>
      </c>
      <c r="O2267" s="5"/>
      <c r="P2267" s="5"/>
      <c r="Q2267" s="5"/>
      <c r="R2267" s="5"/>
      <c r="S2267" s="5"/>
      <c r="T2267" s="5"/>
      <c r="U2267" s="5"/>
      <c r="V2267" s="5"/>
      <c r="W2267" s="5"/>
      <c r="X2267" s="5"/>
      <c r="Y2267" s="5"/>
      <c r="Z2267" s="5"/>
    </row>
    <row r="2268" ht="12.0" customHeight="1">
      <c r="A2268" s="92"/>
      <c r="B2268" s="5" t="s">
        <v>635</v>
      </c>
      <c r="C2268" s="293">
        <f>C2267/Parametros!$J$37</f>
        <v>0.204</v>
      </c>
      <c r="D2268" s="293">
        <f>D2267/Parametros!$J$37</f>
        <v>0.18</v>
      </c>
      <c r="E2268" s="293">
        <f>E2267/Parametros!$J$37</f>
        <v>0.216</v>
      </c>
      <c r="F2268" s="293">
        <f>F2267/Parametros!$J$37</f>
        <v>0.216</v>
      </c>
      <c r="G2268" s="293">
        <f>G2267/Parametros!$J$37</f>
        <v>0.216</v>
      </c>
      <c r="H2268" s="293">
        <f>H2267/Parametros!$J$37</f>
        <v>0.192</v>
      </c>
      <c r="I2268" s="293">
        <f>I2267/Parametros!$J$37</f>
        <v>0.216</v>
      </c>
      <c r="J2268" s="293">
        <f>J2267/Parametros!$J$37</f>
        <v>0.216</v>
      </c>
      <c r="K2268" s="293">
        <f>K2267/Parametros!$J$37</f>
        <v>0.204</v>
      </c>
      <c r="L2268" s="293">
        <f>L2267/Parametros!$J$37</f>
        <v>0.18</v>
      </c>
      <c r="M2268" s="293">
        <f>M2267/Parametros!$J$37</f>
        <v>0.168</v>
      </c>
      <c r="N2268" s="293">
        <f>N2267/Parametros!$J$37</f>
        <v>0.192</v>
      </c>
      <c r="O2268" s="5"/>
      <c r="P2268" s="5"/>
      <c r="Q2268" s="5"/>
      <c r="R2268" s="5"/>
      <c r="S2268" s="5"/>
      <c r="T2268" s="5"/>
      <c r="U2268" s="5"/>
      <c r="V2268" s="5"/>
      <c r="W2268" s="5"/>
      <c r="X2268" s="5"/>
      <c r="Y2268" s="5"/>
      <c r="Z2268" s="5"/>
    </row>
    <row r="2269" ht="12.0" customHeight="1">
      <c r="A2269" s="92" t="s">
        <v>636</v>
      </c>
      <c r="B2269" s="5"/>
      <c r="C2269" s="293">
        <f t="shared" ref="C2269:N2269" si="689">C2268</f>
        <v>0.204</v>
      </c>
      <c r="D2269" s="293">
        <f t="shared" si="689"/>
        <v>0.18</v>
      </c>
      <c r="E2269" s="293">
        <f t="shared" si="689"/>
        <v>0.216</v>
      </c>
      <c r="F2269" s="293">
        <f t="shared" si="689"/>
        <v>0.216</v>
      </c>
      <c r="G2269" s="293">
        <f t="shared" si="689"/>
        <v>0.216</v>
      </c>
      <c r="H2269" s="293">
        <f t="shared" si="689"/>
        <v>0.192</v>
      </c>
      <c r="I2269" s="293">
        <f t="shared" si="689"/>
        <v>0.216</v>
      </c>
      <c r="J2269" s="293">
        <f t="shared" si="689"/>
        <v>0.216</v>
      </c>
      <c r="K2269" s="293">
        <f t="shared" si="689"/>
        <v>0.204</v>
      </c>
      <c r="L2269" s="293">
        <f t="shared" si="689"/>
        <v>0.18</v>
      </c>
      <c r="M2269" s="293">
        <f t="shared" si="689"/>
        <v>0.168</v>
      </c>
      <c r="N2269" s="293">
        <f t="shared" si="689"/>
        <v>0.192</v>
      </c>
      <c r="O2269" s="5"/>
      <c r="P2269" s="5"/>
      <c r="Q2269" s="5"/>
      <c r="R2269" s="5"/>
      <c r="S2269" s="5"/>
      <c r="T2269" s="5"/>
      <c r="U2269" s="5"/>
      <c r="V2269" s="5"/>
      <c r="W2269" s="5"/>
      <c r="X2269" s="5"/>
      <c r="Y2269" s="5"/>
      <c r="Z2269" s="5"/>
    </row>
    <row r="2270" ht="12.0" customHeight="1">
      <c r="A2270" s="92" t="s">
        <v>637</v>
      </c>
      <c r="B2270" s="5"/>
      <c r="C2270" s="293">
        <f>Parametros!$M$114</f>
        <v>19.74193548</v>
      </c>
      <c r="D2270" s="293">
        <f>Parametros!$M$114</f>
        <v>19.74193548</v>
      </c>
      <c r="E2270" s="293">
        <f>Parametros!$M$114</f>
        <v>19.74193548</v>
      </c>
      <c r="F2270" s="293">
        <f>Parametros!$M$114</f>
        <v>19.74193548</v>
      </c>
      <c r="G2270" s="293">
        <f>Parametros!$M$114</f>
        <v>19.74193548</v>
      </c>
      <c r="H2270" s="293">
        <f>Parametros!$M$114</f>
        <v>19.74193548</v>
      </c>
      <c r="I2270" s="293">
        <f>Parametros!$M$114</f>
        <v>19.74193548</v>
      </c>
      <c r="J2270" s="293">
        <f>Parametros!$M$114</f>
        <v>19.74193548</v>
      </c>
      <c r="K2270" s="293">
        <f>Parametros!$M$114</f>
        <v>19.74193548</v>
      </c>
      <c r="L2270" s="293">
        <f>Parametros!$M$114</f>
        <v>19.74193548</v>
      </c>
      <c r="M2270" s="293">
        <f>Parametros!$M$114</f>
        <v>19.74193548</v>
      </c>
      <c r="N2270" s="293">
        <f>Parametros!$M$114</f>
        <v>19.74193548</v>
      </c>
      <c r="O2270" s="5"/>
      <c r="P2270" s="5"/>
      <c r="Q2270" s="5"/>
      <c r="R2270" s="5"/>
      <c r="S2270" s="5"/>
      <c r="T2270" s="5"/>
      <c r="U2270" s="5"/>
      <c r="V2270" s="5"/>
      <c r="W2270" s="5"/>
      <c r="X2270" s="5"/>
      <c r="Y2270" s="5"/>
      <c r="Z2270" s="5"/>
    </row>
    <row r="2271" ht="12.0" customHeight="1">
      <c r="A2271" s="92" t="s">
        <v>640</v>
      </c>
      <c r="B2271" s="5"/>
      <c r="C2271" s="203">
        <f>'Resumen Capacidad'!$D$222</f>
        <v>1</v>
      </c>
      <c r="D2271" s="203">
        <f>'Resumen Capacidad'!$D$222</f>
        <v>1</v>
      </c>
      <c r="E2271" s="203">
        <f>'Resumen Capacidad'!$D$222</f>
        <v>1</v>
      </c>
      <c r="F2271" s="203">
        <f>'Resumen Capacidad'!$D$222</f>
        <v>1</v>
      </c>
      <c r="G2271" s="203">
        <f>'Resumen Capacidad'!$D$222</f>
        <v>1</v>
      </c>
      <c r="H2271" s="203">
        <f>'Resumen Capacidad'!$D$222</f>
        <v>1</v>
      </c>
      <c r="I2271" s="203">
        <f>'Resumen Capacidad'!$D$222</f>
        <v>1</v>
      </c>
      <c r="J2271" s="203">
        <f>'Resumen Capacidad'!$D$222</f>
        <v>1</v>
      </c>
      <c r="K2271" s="203">
        <f>'Resumen Capacidad'!$D$222</f>
        <v>1</v>
      </c>
      <c r="L2271" s="203">
        <f>'Resumen Capacidad'!$D$222</f>
        <v>1</v>
      </c>
      <c r="M2271" s="203">
        <f>'Resumen Capacidad'!$D$222</f>
        <v>1</v>
      </c>
      <c r="N2271" s="203">
        <f>'Resumen Capacidad'!$D$222</f>
        <v>1</v>
      </c>
      <c r="O2271" s="5"/>
      <c r="P2271" s="5"/>
      <c r="Q2271" s="5"/>
      <c r="R2271" s="5"/>
      <c r="S2271" s="5"/>
      <c r="T2271" s="5"/>
      <c r="U2271" s="5"/>
      <c r="V2271" s="5"/>
      <c r="W2271" s="5"/>
      <c r="X2271" s="5"/>
      <c r="Y2271" s="5"/>
      <c r="Z2271" s="5"/>
    </row>
    <row r="2272" ht="12.0" customHeight="1">
      <c r="A2272" s="92" t="s">
        <v>642</v>
      </c>
      <c r="B2272" s="5"/>
      <c r="C2272" s="203">
        <f t="shared" ref="C2272:N2272" si="690">C2270*C2271</f>
        <v>19.74193548</v>
      </c>
      <c r="D2272" s="203">
        <f t="shared" si="690"/>
        <v>19.74193548</v>
      </c>
      <c r="E2272" s="203">
        <f t="shared" si="690"/>
        <v>19.74193548</v>
      </c>
      <c r="F2272" s="203">
        <f t="shared" si="690"/>
        <v>19.74193548</v>
      </c>
      <c r="G2272" s="203">
        <f t="shared" si="690"/>
        <v>19.74193548</v>
      </c>
      <c r="H2272" s="203">
        <f t="shared" si="690"/>
        <v>19.74193548</v>
      </c>
      <c r="I2272" s="203">
        <f t="shared" si="690"/>
        <v>19.74193548</v>
      </c>
      <c r="J2272" s="203">
        <f t="shared" si="690"/>
        <v>19.74193548</v>
      </c>
      <c r="K2272" s="203">
        <f t="shared" si="690"/>
        <v>19.74193548</v>
      </c>
      <c r="L2272" s="203">
        <f t="shared" si="690"/>
        <v>19.74193548</v>
      </c>
      <c r="M2272" s="203">
        <f t="shared" si="690"/>
        <v>19.74193548</v>
      </c>
      <c r="N2272" s="203">
        <f t="shared" si="690"/>
        <v>19.74193548</v>
      </c>
      <c r="O2272" s="5"/>
      <c r="P2272" s="5"/>
      <c r="Q2272" s="5"/>
      <c r="R2272" s="5"/>
      <c r="S2272" s="5"/>
      <c r="T2272" s="5"/>
      <c r="U2272" s="5"/>
      <c r="V2272" s="5"/>
      <c r="W2272" s="5"/>
      <c r="X2272" s="5"/>
      <c r="Y2272" s="5"/>
      <c r="Z2272" s="5"/>
    </row>
    <row r="2273" ht="12.0" customHeight="1">
      <c r="A2273" s="92" t="s">
        <v>643</v>
      </c>
      <c r="B2273" s="5"/>
      <c r="C2273" s="294">
        <f t="shared" ref="C2273:N2273" si="691">IF(C2272=0,0,C2269/C2272)</f>
        <v>0.01033333333</v>
      </c>
      <c r="D2273" s="294">
        <f t="shared" si="691"/>
        <v>0.009117647059</v>
      </c>
      <c r="E2273" s="294">
        <f t="shared" si="691"/>
        <v>0.01094117647</v>
      </c>
      <c r="F2273" s="294">
        <f t="shared" si="691"/>
        <v>0.01094117647</v>
      </c>
      <c r="G2273" s="294">
        <f t="shared" si="691"/>
        <v>0.01094117647</v>
      </c>
      <c r="H2273" s="294">
        <f t="shared" si="691"/>
        <v>0.009725490196</v>
      </c>
      <c r="I2273" s="294">
        <f t="shared" si="691"/>
        <v>0.01094117647</v>
      </c>
      <c r="J2273" s="294">
        <f t="shared" si="691"/>
        <v>0.01094117647</v>
      </c>
      <c r="K2273" s="294">
        <f t="shared" si="691"/>
        <v>0.01033333333</v>
      </c>
      <c r="L2273" s="294">
        <f t="shared" si="691"/>
        <v>0.009117647059</v>
      </c>
      <c r="M2273" s="294">
        <f t="shared" si="691"/>
        <v>0.008509803922</v>
      </c>
      <c r="N2273" s="294">
        <f t="shared" si="691"/>
        <v>0.009725490196</v>
      </c>
      <c r="O2273" s="5"/>
      <c r="P2273" s="5"/>
      <c r="Q2273" s="5"/>
      <c r="R2273" s="5"/>
      <c r="S2273" s="5"/>
      <c r="T2273" s="5"/>
      <c r="U2273" s="5"/>
      <c r="V2273" s="5"/>
      <c r="W2273" s="5"/>
      <c r="X2273" s="5"/>
      <c r="Y2273" s="5"/>
      <c r="Z2273" s="5"/>
    </row>
    <row r="2274" ht="12.0" customHeight="1">
      <c r="A2274" s="10" t="s">
        <v>1646</v>
      </c>
      <c r="B2274" s="5"/>
      <c r="C2274" s="206"/>
      <c r="D2274" s="206"/>
      <c r="E2274" s="206"/>
      <c r="F2274" s="206"/>
      <c r="G2274" s="206"/>
      <c r="H2274" s="206"/>
      <c r="I2274" s="206"/>
      <c r="J2274" s="206"/>
      <c r="K2274" s="206"/>
      <c r="L2274" s="206"/>
      <c r="M2274" s="206"/>
      <c r="N2274" s="206"/>
      <c r="O2274" s="5"/>
      <c r="P2274" s="5"/>
      <c r="Q2274" s="5"/>
      <c r="R2274" s="5"/>
      <c r="S2274" s="5"/>
      <c r="T2274" s="5"/>
      <c r="U2274" s="5"/>
      <c r="V2274" s="5"/>
      <c r="W2274" s="5"/>
      <c r="X2274" s="5"/>
      <c r="Y2274" s="5"/>
      <c r="Z2274" s="5"/>
    </row>
    <row r="2275" ht="12.0" customHeight="1">
      <c r="A2275" s="92" t="s">
        <v>630</v>
      </c>
      <c r="B2275" s="5" t="s">
        <v>631</v>
      </c>
      <c r="C2275" s="206" t="s">
        <v>3</v>
      </c>
      <c r="D2275" s="206" t="s">
        <v>4</v>
      </c>
      <c r="E2275" s="206" t="s">
        <v>507</v>
      </c>
      <c r="F2275" s="206" t="s">
        <v>508</v>
      </c>
      <c r="G2275" s="206" t="s">
        <v>509</v>
      </c>
      <c r="H2275" s="206" t="s">
        <v>510</v>
      </c>
      <c r="I2275" s="206" t="s">
        <v>511</v>
      </c>
      <c r="J2275" s="206" t="s">
        <v>512</v>
      </c>
      <c r="K2275" s="206" t="s">
        <v>513</v>
      </c>
      <c r="L2275" s="206" t="s">
        <v>514</v>
      </c>
      <c r="M2275" s="206" t="s">
        <v>515</v>
      </c>
      <c r="N2275" s="206" t="s">
        <v>516</v>
      </c>
      <c r="O2275" s="5"/>
      <c r="P2275" s="5"/>
      <c r="Q2275" s="5"/>
      <c r="R2275" s="5"/>
      <c r="S2275" s="5"/>
      <c r="T2275" s="5"/>
      <c r="U2275" s="5"/>
      <c r="V2275" s="5"/>
      <c r="W2275" s="5"/>
      <c r="X2275" s="5"/>
      <c r="Y2275" s="5"/>
      <c r="Z2275" s="5"/>
    </row>
    <row r="2276" ht="12.0" customHeight="1">
      <c r="A2276" s="92" t="s">
        <v>1643</v>
      </c>
      <c r="B2276" s="5" t="s">
        <v>633</v>
      </c>
      <c r="C2276" s="203">
        <f t="shared" ref="C2276:N2276" si="692">C2241</f>
        <v>30.6</v>
      </c>
      <c r="D2276" s="203">
        <f t="shared" si="692"/>
        <v>27</v>
      </c>
      <c r="E2276" s="203">
        <f t="shared" si="692"/>
        <v>32.4</v>
      </c>
      <c r="F2276" s="203">
        <f t="shared" si="692"/>
        <v>32.4</v>
      </c>
      <c r="G2276" s="203">
        <f t="shared" si="692"/>
        <v>32.4</v>
      </c>
      <c r="H2276" s="203">
        <f t="shared" si="692"/>
        <v>28.8</v>
      </c>
      <c r="I2276" s="203">
        <f t="shared" si="692"/>
        <v>32.4</v>
      </c>
      <c r="J2276" s="203">
        <f t="shared" si="692"/>
        <v>32.4</v>
      </c>
      <c r="K2276" s="203">
        <f t="shared" si="692"/>
        <v>30.6</v>
      </c>
      <c r="L2276" s="203">
        <f t="shared" si="692"/>
        <v>27</v>
      </c>
      <c r="M2276" s="203">
        <f t="shared" si="692"/>
        <v>25.2</v>
      </c>
      <c r="N2276" s="203">
        <f t="shared" si="692"/>
        <v>28.8</v>
      </c>
      <c r="O2276" s="5"/>
      <c r="P2276" s="5"/>
      <c r="Q2276" s="5"/>
      <c r="R2276" s="5"/>
      <c r="S2276" s="5"/>
      <c r="T2276" s="5"/>
      <c r="U2276" s="5"/>
      <c r="V2276" s="5"/>
      <c r="W2276" s="5"/>
      <c r="X2276" s="5"/>
      <c r="Y2276" s="5"/>
      <c r="Z2276" s="5"/>
    </row>
    <row r="2277" ht="12.0" customHeight="1">
      <c r="A2277" s="92"/>
      <c r="B2277" s="5" t="s">
        <v>634</v>
      </c>
      <c r="C2277" s="293">
        <f>C2276/Parametros!$B$37</f>
        <v>1.53</v>
      </c>
      <c r="D2277" s="293">
        <f>D2276/Parametros!$B$37</f>
        <v>1.35</v>
      </c>
      <c r="E2277" s="293">
        <f>E2276/Parametros!$B$37</f>
        <v>1.62</v>
      </c>
      <c r="F2277" s="293">
        <f>F2276/Parametros!$B$37</f>
        <v>1.62</v>
      </c>
      <c r="G2277" s="293">
        <f>G2276/Parametros!$B$37</f>
        <v>1.62</v>
      </c>
      <c r="H2277" s="293">
        <f>H2276/Parametros!$B$37</f>
        <v>1.44</v>
      </c>
      <c r="I2277" s="293">
        <f>I2276/Parametros!$B$37</f>
        <v>1.62</v>
      </c>
      <c r="J2277" s="293">
        <f>J2276/Parametros!$B$37</f>
        <v>1.62</v>
      </c>
      <c r="K2277" s="293">
        <f>K2276/Parametros!$B$37</f>
        <v>1.53</v>
      </c>
      <c r="L2277" s="293">
        <f>L2276/Parametros!$B$37</f>
        <v>1.35</v>
      </c>
      <c r="M2277" s="293">
        <f>M2276/Parametros!$B$37</f>
        <v>1.26</v>
      </c>
      <c r="N2277" s="293">
        <f>N2276/Parametros!$B$37</f>
        <v>1.44</v>
      </c>
      <c r="O2277" s="5"/>
      <c r="P2277" s="5"/>
      <c r="Q2277" s="5"/>
      <c r="R2277" s="5"/>
      <c r="S2277" s="5"/>
      <c r="T2277" s="5"/>
      <c r="U2277" s="5"/>
      <c r="V2277" s="5"/>
      <c r="W2277" s="5"/>
      <c r="X2277" s="5"/>
      <c r="Y2277" s="5"/>
      <c r="Z2277" s="5"/>
    </row>
    <row r="2278" ht="12.0" customHeight="1">
      <c r="A2278" s="92"/>
      <c r="B2278" s="5" t="s">
        <v>635</v>
      </c>
      <c r="C2278" s="293">
        <f>C2277/Parametros!$J$37</f>
        <v>0.204</v>
      </c>
      <c r="D2278" s="293">
        <f>D2277/Parametros!$J$37</f>
        <v>0.18</v>
      </c>
      <c r="E2278" s="293">
        <f>E2277/Parametros!$J$37</f>
        <v>0.216</v>
      </c>
      <c r="F2278" s="293">
        <f>F2277/Parametros!$J$37</f>
        <v>0.216</v>
      </c>
      <c r="G2278" s="293">
        <f>G2277/Parametros!$J$37</f>
        <v>0.216</v>
      </c>
      <c r="H2278" s="293">
        <f>H2277/Parametros!$J$37</f>
        <v>0.192</v>
      </c>
      <c r="I2278" s="293">
        <f>I2277/Parametros!$J$37</f>
        <v>0.216</v>
      </c>
      <c r="J2278" s="293">
        <f>J2277/Parametros!$J$37</f>
        <v>0.216</v>
      </c>
      <c r="K2278" s="293">
        <f>K2277/Parametros!$J$37</f>
        <v>0.204</v>
      </c>
      <c r="L2278" s="293">
        <f>L2277/Parametros!$J$37</f>
        <v>0.18</v>
      </c>
      <c r="M2278" s="293">
        <f>M2277/Parametros!$J$37</f>
        <v>0.168</v>
      </c>
      <c r="N2278" s="293">
        <f>N2277/Parametros!$J$37</f>
        <v>0.192</v>
      </c>
      <c r="O2278" s="5"/>
      <c r="P2278" s="5"/>
      <c r="Q2278" s="5"/>
      <c r="R2278" s="5"/>
      <c r="S2278" s="5"/>
      <c r="T2278" s="5"/>
      <c r="U2278" s="5"/>
      <c r="V2278" s="5"/>
      <c r="W2278" s="5"/>
      <c r="X2278" s="5"/>
      <c r="Y2278" s="5"/>
      <c r="Z2278" s="5"/>
    </row>
    <row r="2279" ht="12.0" customHeight="1">
      <c r="A2279" s="92" t="s">
        <v>636</v>
      </c>
      <c r="B2279" s="5"/>
      <c r="C2279" s="293">
        <f t="shared" ref="C2279:N2279" si="693">C2278</f>
        <v>0.204</v>
      </c>
      <c r="D2279" s="293">
        <f t="shared" si="693"/>
        <v>0.18</v>
      </c>
      <c r="E2279" s="293">
        <f t="shared" si="693"/>
        <v>0.216</v>
      </c>
      <c r="F2279" s="293">
        <f t="shared" si="693"/>
        <v>0.216</v>
      </c>
      <c r="G2279" s="293">
        <f t="shared" si="693"/>
        <v>0.216</v>
      </c>
      <c r="H2279" s="293">
        <f t="shared" si="693"/>
        <v>0.192</v>
      </c>
      <c r="I2279" s="293">
        <f t="shared" si="693"/>
        <v>0.216</v>
      </c>
      <c r="J2279" s="293">
        <f t="shared" si="693"/>
        <v>0.216</v>
      </c>
      <c r="K2279" s="293">
        <f t="shared" si="693"/>
        <v>0.204</v>
      </c>
      <c r="L2279" s="293">
        <f t="shared" si="693"/>
        <v>0.18</v>
      </c>
      <c r="M2279" s="293">
        <f t="shared" si="693"/>
        <v>0.168</v>
      </c>
      <c r="N2279" s="293">
        <f t="shared" si="693"/>
        <v>0.192</v>
      </c>
      <c r="O2279" s="5"/>
      <c r="P2279" s="5"/>
      <c r="Q2279" s="5"/>
      <c r="R2279" s="5"/>
      <c r="S2279" s="5"/>
      <c r="T2279" s="5"/>
      <c r="U2279" s="5"/>
      <c r="V2279" s="5"/>
      <c r="W2279" s="5"/>
      <c r="X2279" s="5"/>
      <c r="Y2279" s="5"/>
      <c r="Z2279" s="5"/>
    </row>
    <row r="2280" ht="12.0" customHeight="1">
      <c r="A2280" s="92" t="s">
        <v>637</v>
      </c>
      <c r="B2280" s="5"/>
      <c r="C2280" s="293">
        <f>Parametros!$M$115</f>
        <v>26.60869565</v>
      </c>
      <c r="D2280" s="293">
        <f>Parametros!$M$115</f>
        <v>26.60869565</v>
      </c>
      <c r="E2280" s="293">
        <f>Parametros!$M$115</f>
        <v>26.60869565</v>
      </c>
      <c r="F2280" s="293">
        <f>Parametros!$M$115</f>
        <v>26.60869565</v>
      </c>
      <c r="G2280" s="293">
        <f>Parametros!$M$115</f>
        <v>26.60869565</v>
      </c>
      <c r="H2280" s="293">
        <f>Parametros!$M$115</f>
        <v>26.60869565</v>
      </c>
      <c r="I2280" s="293">
        <f>Parametros!$M$115</f>
        <v>26.60869565</v>
      </c>
      <c r="J2280" s="293">
        <f>Parametros!$M$115</f>
        <v>26.60869565</v>
      </c>
      <c r="K2280" s="293">
        <f>Parametros!$M$115</f>
        <v>26.60869565</v>
      </c>
      <c r="L2280" s="293">
        <f>Parametros!$M$115</f>
        <v>26.60869565</v>
      </c>
      <c r="M2280" s="293">
        <f>Parametros!$M$115</f>
        <v>26.60869565</v>
      </c>
      <c r="N2280" s="293">
        <f>Parametros!$M$115</f>
        <v>26.60869565</v>
      </c>
      <c r="O2280" s="5"/>
      <c r="P2280" s="5"/>
      <c r="Q2280" s="5"/>
      <c r="R2280" s="5"/>
      <c r="S2280" s="5"/>
      <c r="T2280" s="5"/>
      <c r="U2280" s="5"/>
      <c r="V2280" s="5"/>
      <c r="W2280" s="5"/>
      <c r="X2280" s="5"/>
      <c r="Y2280" s="5"/>
      <c r="Z2280" s="5"/>
    </row>
    <row r="2281" ht="12.0" customHeight="1">
      <c r="A2281" s="92" t="s">
        <v>640</v>
      </c>
      <c r="B2281" s="5"/>
      <c r="C2281" s="203">
        <f>'Resumen Capacidad'!$D$223</f>
        <v>1</v>
      </c>
      <c r="D2281" s="203">
        <f>'Resumen Capacidad'!$D$223</f>
        <v>1</v>
      </c>
      <c r="E2281" s="203">
        <f>'Resumen Capacidad'!$D$223</f>
        <v>1</v>
      </c>
      <c r="F2281" s="203">
        <f>'Resumen Capacidad'!$D$223</f>
        <v>1</v>
      </c>
      <c r="G2281" s="203">
        <f>'Resumen Capacidad'!$D$223</f>
        <v>1</v>
      </c>
      <c r="H2281" s="203">
        <f>'Resumen Capacidad'!$D$223</f>
        <v>1</v>
      </c>
      <c r="I2281" s="203">
        <f>'Resumen Capacidad'!$D$223</f>
        <v>1</v>
      </c>
      <c r="J2281" s="203">
        <f>'Resumen Capacidad'!$D$223</f>
        <v>1</v>
      </c>
      <c r="K2281" s="203">
        <f>'Resumen Capacidad'!$D$223</f>
        <v>1</v>
      </c>
      <c r="L2281" s="203">
        <f>'Resumen Capacidad'!$D$223</f>
        <v>1</v>
      </c>
      <c r="M2281" s="203">
        <f>'Resumen Capacidad'!$D$223</f>
        <v>1</v>
      </c>
      <c r="N2281" s="203">
        <f>'Resumen Capacidad'!$D$223</f>
        <v>1</v>
      </c>
      <c r="O2281" s="5"/>
      <c r="P2281" s="5"/>
      <c r="Q2281" s="5"/>
      <c r="R2281" s="5"/>
      <c r="S2281" s="5"/>
      <c r="T2281" s="5"/>
      <c r="U2281" s="5"/>
      <c r="V2281" s="5"/>
      <c r="W2281" s="5"/>
      <c r="X2281" s="5"/>
      <c r="Y2281" s="5"/>
      <c r="Z2281" s="5"/>
    </row>
    <row r="2282" ht="12.0" customHeight="1">
      <c r="A2282" s="92" t="s">
        <v>642</v>
      </c>
      <c r="B2282" s="5"/>
      <c r="C2282" s="203">
        <f t="shared" ref="C2282:N2282" si="694">C2280*C2281</f>
        <v>26.60869565</v>
      </c>
      <c r="D2282" s="203">
        <f t="shared" si="694"/>
        <v>26.60869565</v>
      </c>
      <c r="E2282" s="203">
        <f t="shared" si="694"/>
        <v>26.60869565</v>
      </c>
      <c r="F2282" s="203">
        <f t="shared" si="694"/>
        <v>26.60869565</v>
      </c>
      <c r="G2282" s="203">
        <f t="shared" si="694"/>
        <v>26.60869565</v>
      </c>
      <c r="H2282" s="203">
        <f t="shared" si="694"/>
        <v>26.60869565</v>
      </c>
      <c r="I2282" s="203">
        <f t="shared" si="694"/>
        <v>26.60869565</v>
      </c>
      <c r="J2282" s="203">
        <f t="shared" si="694"/>
        <v>26.60869565</v>
      </c>
      <c r="K2282" s="203">
        <f t="shared" si="694"/>
        <v>26.60869565</v>
      </c>
      <c r="L2282" s="203">
        <f t="shared" si="694"/>
        <v>26.60869565</v>
      </c>
      <c r="M2282" s="203">
        <f t="shared" si="694"/>
        <v>26.60869565</v>
      </c>
      <c r="N2282" s="203">
        <f t="shared" si="694"/>
        <v>26.60869565</v>
      </c>
      <c r="O2282" s="5"/>
      <c r="P2282" s="5"/>
      <c r="Q2282" s="5"/>
      <c r="R2282" s="5"/>
      <c r="S2282" s="5"/>
      <c r="T2282" s="5"/>
      <c r="U2282" s="5"/>
      <c r="V2282" s="5"/>
      <c r="W2282" s="5"/>
      <c r="X2282" s="5"/>
      <c r="Y2282" s="5"/>
      <c r="Z2282" s="5"/>
    </row>
    <row r="2283" ht="12.0" customHeight="1">
      <c r="A2283" s="92" t="s">
        <v>643</v>
      </c>
      <c r="B2283" s="5"/>
      <c r="C2283" s="294">
        <f t="shared" ref="C2283:N2283" si="695">IF(C2282=0,0,C2279/C2282)</f>
        <v>0.007666666667</v>
      </c>
      <c r="D2283" s="294">
        <f t="shared" si="695"/>
        <v>0.006764705882</v>
      </c>
      <c r="E2283" s="294">
        <f t="shared" si="695"/>
        <v>0.008117647059</v>
      </c>
      <c r="F2283" s="294">
        <f t="shared" si="695"/>
        <v>0.008117647059</v>
      </c>
      <c r="G2283" s="294">
        <f t="shared" si="695"/>
        <v>0.008117647059</v>
      </c>
      <c r="H2283" s="294">
        <f t="shared" si="695"/>
        <v>0.007215686275</v>
      </c>
      <c r="I2283" s="294">
        <f t="shared" si="695"/>
        <v>0.008117647059</v>
      </c>
      <c r="J2283" s="294">
        <f t="shared" si="695"/>
        <v>0.008117647059</v>
      </c>
      <c r="K2283" s="294">
        <f t="shared" si="695"/>
        <v>0.007666666667</v>
      </c>
      <c r="L2283" s="294">
        <f t="shared" si="695"/>
        <v>0.006764705882</v>
      </c>
      <c r="M2283" s="294">
        <f t="shared" si="695"/>
        <v>0.00631372549</v>
      </c>
      <c r="N2283" s="294">
        <f t="shared" si="695"/>
        <v>0.007215686275</v>
      </c>
      <c r="O2283" s="5"/>
      <c r="P2283" s="5"/>
      <c r="Q2283" s="5"/>
      <c r="R2283" s="5"/>
      <c r="S2283" s="5"/>
      <c r="T2283" s="5"/>
      <c r="U2283" s="5"/>
      <c r="V2283" s="5"/>
      <c r="W2283" s="5"/>
      <c r="X2283" s="5"/>
      <c r="Y2283" s="5"/>
      <c r="Z2283" s="5"/>
    </row>
    <row r="2284" ht="12.0" customHeight="1">
      <c r="A2284" s="10" t="s">
        <v>1647</v>
      </c>
      <c r="B2284" s="5"/>
      <c r="C2284" s="206"/>
      <c r="D2284" s="206"/>
      <c r="E2284" s="206"/>
      <c r="F2284" s="206"/>
      <c r="G2284" s="206"/>
      <c r="H2284" s="206"/>
      <c r="I2284" s="206"/>
      <c r="J2284" s="206"/>
      <c r="K2284" s="206"/>
      <c r="L2284" s="206"/>
      <c r="M2284" s="206"/>
      <c r="N2284" s="206"/>
      <c r="O2284" s="5"/>
      <c r="P2284" s="5"/>
      <c r="Q2284" s="5"/>
      <c r="R2284" s="5"/>
      <c r="S2284" s="5"/>
      <c r="T2284" s="5"/>
      <c r="U2284" s="5"/>
      <c r="V2284" s="5"/>
      <c r="W2284" s="5"/>
      <c r="X2284" s="5"/>
      <c r="Y2284" s="5"/>
      <c r="Z2284" s="5"/>
    </row>
    <row r="2285" ht="12.0" customHeight="1">
      <c r="A2285" s="92" t="s">
        <v>630</v>
      </c>
      <c r="B2285" s="5" t="s">
        <v>631</v>
      </c>
      <c r="C2285" s="206" t="s">
        <v>3</v>
      </c>
      <c r="D2285" s="206" t="s">
        <v>4</v>
      </c>
      <c r="E2285" s="206" t="s">
        <v>507</v>
      </c>
      <c r="F2285" s="206" t="s">
        <v>508</v>
      </c>
      <c r="G2285" s="206" t="s">
        <v>509</v>
      </c>
      <c r="H2285" s="206" t="s">
        <v>510</v>
      </c>
      <c r="I2285" s="206" t="s">
        <v>511</v>
      </c>
      <c r="J2285" s="206" t="s">
        <v>512</v>
      </c>
      <c r="K2285" s="206" t="s">
        <v>513</v>
      </c>
      <c r="L2285" s="206" t="s">
        <v>514</v>
      </c>
      <c r="M2285" s="206" t="s">
        <v>515</v>
      </c>
      <c r="N2285" s="206" t="s">
        <v>516</v>
      </c>
      <c r="O2285" s="5"/>
      <c r="P2285" s="5"/>
      <c r="Q2285" s="5"/>
      <c r="R2285" s="5"/>
      <c r="S2285" s="5"/>
      <c r="T2285" s="5"/>
      <c r="U2285" s="5"/>
      <c r="V2285" s="5"/>
      <c r="W2285" s="5"/>
      <c r="X2285" s="5"/>
      <c r="Y2285" s="5"/>
      <c r="Z2285" s="5"/>
    </row>
    <row r="2286" ht="12.0" customHeight="1">
      <c r="A2286" s="92" t="s">
        <v>1643</v>
      </c>
      <c r="B2286" s="5" t="s">
        <v>633</v>
      </c>
      <c r="C2286" s="203">
        <f t="shared" ref="C2286:N2286" si="696">C2241</f>
        <v>30.6</v>
      </c>
      <c r="D2286" s="203">
        <f t="shared" si="696"/>
        <v>27</v>
      </c>
      <c r="E2286" s="203">
        <f t="shared" si="696"/>
        <v>32.4</v>
      </c>
      <c r="F2286" s="203">
        <f t="shared" si="696"/>
        <v>32.4</v>
      </c>
      <c r="G2286" s="203">
        <f t="shared" si="696"/>
        <v>32.4</v>
      </c>
      <c r="H2286" s="203">
        <f t="shared" si="696"/>
        <v>28.8</v>
      </c>
      <c r="I2286" s="203">
        <f t="shared" si="696"/>
        <v>32.4</v>
      </c>
      <c r="J2286" s="203">
        <f t="shared" si="696"/>
        <v>32.4</v>
      </c>
      <c r="K2286" s="203">
        <f t="shared" si="696"/>
        <v>30.6</v>
      </c>
      <c r="L2286" s="203">
        <f t="shared" si="696"/>
        <v>27</v>
      </c>
      <c r="M2286" s="203">
        <f t="shared" si="696"/>
        <v>25.2</v>
      </c>
      <c r="N2286" s="203">
        <f t="shared" si="696"/>
        <v>28.8</v>
      </c>
      <c r="O2286" s="5"/>
      <c r="P2286" s="5"/>
      <c r="Q2286" s="5"/>
      <c r="R2286" s="5"/>
      <c r="S2286" s="5"/>
      <c r="T2286" s="5"/>
      <c r="U2286" s="5"/>
      <c r="V2286" s="5"/>
      <c r="W2286" s="5"/>
      <c r="X2286" s="5"/>
      <c r="Y2286" s="5"/>
      <c r="Z2286" s="5"/>
    </row>
    <row r="2287" ht="12.0" customHeight="1">
      <c r="A2287" s="92"/>
      <c r="B2287" s="5" t="s">
        <v>634</v>
      </c>
      <c r="C2287" s="293">
        <f>C2286/Parametros!$B$37</f>
        <v>1.53</v>
      </c>
      <c r="D2287" s="293">
        <f>D2286/Parametros!$B$37</f>
        <v>1.35</v>
      </c>
      <c r="E2287" s="293">
        <f>E2286/Parametros!$B$37</f>
        <v>1.62</v>
      </c>
      <c r="F2287" s="293">
        <f>F2286/Parametros!$B$37</f>
        <v>1.62</v>
      </c>
      <c r="G2287" s="293">
        <f>G2286/Parametros!$B$37</f>
        <v>1.62</v>
      </c>
      <c r="H2287" s="293">
        <f>H2286/Parametros!$B$37</f>
        <v>1.44</v>
      </c>
      <c r="I2287" s="293">
        <f>I2286/Parametros!$B$37</f>
        <v>1.62</v>
      </c>
      <c r="J2287" s="293">
        <f>J2286/Parametros!$B$37</f>
        <v>1.62</v>
      </c>
      <c r="K2287" s="293">
        <f>K2286/Parametros!$B$37</f>
        <v>1.53</v>
      </c>
      <c r="L2287" s="293">
        <f>L2286/Parametros!$B$37</f>
        <v>1.35</v>
      </c>
      <c r="M2287" s="293">
        <f>M2286/Parametros!$B$37</f>
        <v>1.26</v>
      </c>
      <c r="N2287" s="293">
        <f>N2286/Parametros!$B$37</f>
        <v>1.44</v>
      </c>
      <c r="O2287" s="5"/>
      <c r="P2287" s="5"/>
      <c r="Q2287" s="5"/>
      <c r="R2287" s="5"/>
      <c r="S2287" s="5"/>
      <c r="T2287" s="5"/>
      <c r="U2287" s="5"/>
      <c r="V2287" s="5"/>
      <c r="W2287" s="5"/>
      <c r="X2287" s="5"/>
      <c r="Y2287" s="5"/>
      <c r="Z2287" s="5"/>
    </row>
    <row r="2288" ht="12.0" customHeight="1">
      <c r="A2288" s="92"/>
      <c r="B2288" s="5" t="s">
        <v>635</v>
      </c>
      <c r="C2288" s="293">
        <f>C2287/Parametros!$J$37</f>
        <v>0.204</v>
      </c>
      <c r="D2288" s="293">
        <f>D2287/Parametros!$J$37</f>
        <v>0.18</v>
      </c>
      <c r="E2288" s="293">
        <f>E2287/Parametros!$J$37</f>
        <v>0.216</v>
      </c>
      <c r="F2288" s="293">
        <f>F2287/Parametros!$J$37</f>
        <v>0.216</v>
      </c>
      <c r="G2288" s="293">
        <f>G2287/Parametros!$J$37</f>
        <v>0.216</v>
      </c>
      <c r="H2288" s="293">
        <f>H2287/Parametros!$J$37</f>
        <v>0.192</v>
      </c>
      <c r="I2288" s="293">
        <f>I2287/Parametros!$J$37</f>
        <v>0.216</v>
      </c>
      <c r="J2288" s="293">
        <f>J2287/Parametros!$J$37</f>
        <v>0.216</v>
      </c>
      <c r="K2288" s="293">
        <f>K2287/Parametros!$J$37</f>
        <v>0.204</v>
      </c>
      <c r="L2288" s="293">
        <f>L2287/Parametros!$J$37</f>
        <v>0.18</v>
      </c>
      <c r="M2288" s="293">
        <f>M2287/Parametros!$J$37</f>
        <v>0.168</v>
      </c>
      <c r="N2288" s="293">
        <f>N2287/Parametros!$J$37</f>
        <v>0.192</v>
      </c>
      <c r="O2288" s="5"/>
      <c r="P2288" s="5"/>
      <c r="Q2288" s="5"/>
      <c r="R2288" s="5"/>
      <c r="S2288" s="5"/>
      <c r="T2288" s="5"/>
      <c r="U2288" s="5"/>
      <c r="V2288" s="5"/>
      <c r="W2288" s="5"/>
      <c r="X2288" s="5"/>
      <c r="Y2288" s="5"/>
      <c r="Z2288" s="5"/>
    </row>
    <row r="2289" ht="12.0" customHeight="1">
      <c r="A2289" s="92" t="s">
        <v>636</v>
      </c>
      <c r="B2289" s="5"/>
      <c r="C2289" s="293">
        <f t="shared" ref="C2289:N2289" si="697">C2288</f>
        <v>0.204</v>
      </c>
      <c r="D2289" s="293">
        <f t="shared" si="697"/>
        <v>0.18</v>
      </c>
      <c r="E2289" s="293">
        <f t="shared" si="697"/>
        <v>0.216</v>
      </c>
      <c r="F2289" s="293">
        <f t="shared" si="697"/>
        <v>0.216</v>
      </c>
      <c r="G2289" s="293">
        <f t="shared" si="697"/>
        <v>0.216</v>
      </c>
      <c r="H2289" s="293">
        <f t="shared" si="697"/>
        <v>0.192</v>
      </c>
      <c r="I2289" s="293">
        <f t="shared" si="697"/>
        <v>0.216</v>
      </c>
      <c r="J2289" s="293">
        <f t="shared" si="697"/>
        <v>0.216</v>
      </c>
      <c r="K2289" s="293">
        <f t="shared" si="697"/>
        <v>0.204</v>
      </c>
      <c r="L2289" s="293">
        <f t="shared" si="697"/>
        <v>0.18</v>
      </c>
      <c r="M2289" s="293">
        <f t="shared" si="697"/>
        <v>0.168</v>
      </c>
      <c r="N2289" s="293">
        <f t="shared" si="697"/>
        <v>0.192</v>
      </c>
      <c r="O2289" s="5"/>
      <c r="P2289" s="5"/>
      <c r="Q2289" s="5"/>
      <c r="R2289" s="5"/>
      <c r="S2289" s="5"/>
      <c r="T2289" s="5"/>
      <c r="U2289" s="5"/>
      <c r="V2289" s="5"/>
      <c r="W2289" s="5"/>
      <c r="X2289" s="5"/>
      <c r="Y2289" s="5"/>
      <c r="Z2289" s="5"/>
    </row>
    <row r="2290" ht="12.0" customHeight="1">
      <c r="A2290" s="92" t="s">
        <v>637</v>
      </c>
      <c r="B2290" s="5"/>
      <c r="C2290" s="293">
        <f>Parametros!$M$116</f>
        <v>38.25</v>
      </c>
      <c r="D2290" s="293">
        <f>Parametros!$M$116</f>
        <v>38.25</v>
      </c>
      <c r="E2290" s="293">
        <f>Parametros!$M$116</f>
        <v>38.25</v>
      </c>
      <c r="F2290" s="293">
        <f>Parametros!$M$116</f>
        <v>38.25</v>
      </c>
      <c r="G2290" s="293">
        <f>Parametros!$M$116</f>
        <v>38.25</v>
      </c>
      <c r="H2290" s="293">
        <f>Parametros!$M$116</f>
        <v>38.25</v>
      </c>
      <c r="I2290" s="293">
        <f>Parametros!$M$116</f>
        <v>38.25</v>
      </c>
      <c r="J2290" s="293">
        <f>Parametros!$M$116</f>
        <v>38.25</v>
      </c>
      <c r="K2290" s="293">
        <f>Parametros!$M$116</f>
        <v>38.25</v>
      </c>
      <c r="L2290" s="293">
        <f>Parametros!$M$116</f>
        <v>38.25</v>
      </c>
      <c r="M2290" s="293">
        <f>Parametros!$M$116</f>
        <v>38.25</v>
      </c>
      <c r="N2290" s="293">
        <f>Parametros!$M$116</f>
        <v>38.25</v>
      </c>
      <c r="O2290" s="5"/>
      <c r="P2290" s="5"/>
      <c r="Q2290" s="5"/>
      <c r="R2290" s="5"/>
      <c r="S2290" s="5"/>
      <c r="T2290" s="5"/>
      <c r="U2290" s="5"/>
      <c r="V2290" s="5"/>
      <c r="W2290" s="5"/>
      <c r="X2290" s="5"/>
      <c r="Y2290" s="5"/>
      <c r="Z2290" s="5"/>
    </row>
    <row r="2291" ht="12.0" customHeight="1">
      <c r="A2291" s="92" t="s">
        <v>640</v>
      </c>
      <c r="B2291" s="5"/>
      <c r="C2291" s="203">
        <f>'Resumen Capacidad'!$D$224</f>
        <v>1</v>
      </c>
      <c r="D2291" s="203">
        <f>'Resumen Capacidad'!$D$224</f>
        <v>1</v>
      </c>
      <c r="E2291" s="203">
        <f>'Resumen Capacidad'!$D$224</f>
        <v>1</v>
      </c>
      <c r="F2291" s="203">
        <f>'Resumen Capacidad'!$D$224</f>
        <v>1</v>
      </c>
      <c r="G2291" s="203">
        <f>'Resumen Capacidad'!$D$224</f>
        <v>1</v>
      </c>
      <c r="H2291" s="203">
        <f>'Resumen Capacidad'!$D$224</f>
        <v>1</v>
      </c>
      <c r="I2291" s="203">
        <f>'Resumen Capacidad'!$D$224</f>
        <v>1</v>
      </c>
      <c r="J2291" s="203">
        <f>'Resumen Capacidad'!$D$224</f>
        <v>1</v>
      </c>
      <c r="K2291" s="203">
        <f>'Resumen Capacidad'!$D$224</f>
        <v>1</v>
      </c>
      <c r="L2291" s="203">
        <f>'Resumen Capacidad'!$D$224</f>
        <v>1</v>
      </c>
      <c r="M2291" s="203">
        <f>'Resumen Capacidad'!$D$224</f>
        <v>1</v>
      </c>
      <c r="N2291" s="203">
        <f>'Resumen Capacidad'!$D$224</f>
        <v>1</v>
      </c>
      <c r="O2291" s="5"/>
      <c r="P2291" s="5"/>
      <c r="Q2291" s="5"/>
      <c r="R2291" s="5"/>
      <c r="S2291" s="5"/>
      <c r="T2291" s="5"/>
      <c r="U2291" s="5"/>
      <c r="V2291" s="5"/>
      <c r="W2291" s="5"/>
      <c r="X2291" s="5"/>
      <c r="Y2291" s="5"/>
      <c r="Z2291" s="5"/>
    </row>
    <row r="2292" ht="12.0" customHeight="1">
      <c r="A2292" s="92" t="s">
        <v>642</v>
      </c>
      <c r="B2292" s="5"/>
      <c r="C2292" s="203">
        <f t="shared" ref="C2292:N2292" si="698">C2290*C2291</f>
        <v>38.25</v>
      </c>
      <c r="D2292" s="203">
        <f t="shared" si="698"/>
        <v>38.25</v>
      </c>
      <c r="E2292" s="203">
        <f t="shared" si="698"/>
        <v>38.25</v>
      </c>
      <c r="F2292" s="203">
        <f t="shared" si="698"/>
        <v>38.25</v>
      </c>
      <c r="G2292" s="203">
        <f t="shared" si="698"/>
        <v>38.25</v>
      </c>
      <c r="H2292" s="203">
        <f t="shared" si="698"/>
        <v>38.25</v>
      </c>
      <c r="I2292" s="203">
        <f t="shared" si="698"/>
        <v>38.25</v>
      </c>
      <c r="J2292" s="203">
        <f t="shared" si="698"/>
        <v>38.25</v>
      </c>
      <c r="K2292" s="203">
        <f t="shared" si="698"/>
        <v>38.25</v>
      </c>
      <c r="L2292" s="203">
        <f t="shared" si="698"/>
        <v>38.25</v>
      </c>
      <c r="M2292" s="203">
        <f t="shared" si="698"/>
        <v>38.25</v>
      </c>
      <c r="N2292" s="203">
        <f t="shared" si="698"/>
        <v>38.25</v>
      </c>
      <c r="O2292" s="5"/>
      <c r="P2292" s="5"/>
      <c r="Q2292" s="5"/>
      <c r="R2292" s="5"/>
      <c r="S2292" s="5"/>
      <c r="T2292" s="5"/>
      <c r="U2292" s="5"/>
      <c r="V2292" s="5"/>
      <c r="W2292" s="5"/>
      <c r="X2292" s="5"/>
      <c r="Y2292" s="5"/>
      <c r="Z2292" s="5"/>
    </row>
    <row r="2293" ht="12.0" customHeight="1">
      <c r="A2293" s="92" t="s">
        <v>643</v>
      </c>
      <c r="B2293" s="5"/>
      <c r="C2293" s="294">
        <f t="shared" ref="C2293:N2293" si="699">IF(C2292=0,0,C2289/C2292)</f>
        <v>0.005333333333</v>
      </c>
      <c r="D2293" s="294">
        <f t="shared" si="699"/>
        <v>0.004705882353</v>
      </c>
      <c r="E2293" s="294">
        <f t="shared" si="699"/>
        <v>0.005647058824</v>
      </c>
      <c r="F2293" s="294">
        <f t="shared" si="699"/>
        <v>0.005647058824</v>
      </c>
      <c r="G2293" s="294">
        <f t="shared" si="699"/>
        <v>0.005647058824</v>
      </c>
      <c r="H2293" s="294">
        <f t="shared" si="699"/>
        <v>0.005019607843</v>
      </c>
      <c r="I2293" s="294">
        <f t="shared" si="699"/>
        <v>0.005647058824</v>
      </c>
      <c r="J2293" s="294">
        <f t="shared" si="699"/>
        <v>0.005647058824</v>
      </c>
      <c r="K2293" s="294">
        <f t="shared" si="699"/>
        <v>0.005333333333</v>
      </c>
      <c r="L2293" s="294">
        <f t="shared" si="699"/>
        <v>0.004705882353</v>
      </c>
      <c r="M2293" s="294">
        <f t="shared" si="699"/>
        <v>0.004392156863</v>
      </c>
      <c r="N2293" s="294">
        <f t="shared" si="699"/>
        <v>0.005019607843</v>
      </c>
      <c r="O2293" s="5"/>
      <c r="P2293" s="5"/>
      <c r="Q2293" s="5"/>
      <c r="R2293" s="5"/>
      <c r="S2293" s="5"/>
      <c r="T2293" s="5"/>
      <c r="U2293" s="5"/>
      <c r="V2293" s="5"/>
      <c r="W2293" s="5"/>
      <c r="X2293" s="5"/>
      <c r="Y2293" s="5"/>
      <c r="Z2293" s="5"/>
    </row>
    <row r="2294" ht="12.0" customHeight="1">
      <c r="A2294" s="10" t="s">
        <v>1648</v>
      </c>
      <c r="B2294" s="5"/>
      <c r="C2294" s="206"/>
      <c r="D2294" s="206"/>
      <c r="E2294" s="206"/>
      <c r="F2294" s="206"/>
      <c r="G2294" s="206"/>
      <c r="H2294" s="206"/>
      <c r="I2294" s="206"/>
      <c r="J2294" s="206"/>
      <c r="K2294" s="206"/>
      <c r="L2294" s="206"/>
      <c r="M2294" s="206"/>
      <c r="N2294" s="206"/>
      <c r="O2294" s="5"/>
      <c r="P2294" s="5"/>
      <c r="Q2294" s="5"/>
      <c r="R2294" s="5"/>
      <c r="S2294" s="5"/>
      <c r="T2294" s="5"/>
      <c r="U2294" s="5"/>
      <c r="V2294" s="5"/>
      <c r="W2294" s="5"/>
      <c r="X2294" s="5"/>
      <c r="Y2294" s="5"/>
      <c r="Z2294" s="5"/>
    </row>
    <row r="2295" ht="12.0" customHeight="1">
      <c r="A2295" s="92" t="s">
        <v>630</v>
      </c>
      <c r="B2295" s="5" t="s">
        <v>631</v>
      </c>
      <c r="C2295" s="206" t="s">
        <v>3</v>
      </c>
      <c r="D2295" s="206" t="s">
        <v>4</v>
      </c>
      <c r="E2295" s="206" t="s">
        <v>507</v>
      </c>
      <c r="F2295" s="206" t="s">
        <v>508</v>
      </c>
      <c r="G2295" s="206" t="s">
        <v>509</v>
      </c>
      <c r="H2295" s="206" t="s">
        <v>510</v>
      </c>
      <c r="I2295" s="206" t="s">
        <v>511</v>
      </c>
      <c r="J2295" s="206" t="s">
        <v>512</v>
      </c>
      <c r="K2295" s="206" t="s">
        <v>513</v>
      </c>
      <c r="L2295" s="206" t="s">
        <v>514</v>
      </c>
      <c r="M2295" s="206" t="s">
        <v>515</v>
      </c>
      <c r="N2295" s="206" t="s">
        <v>516</v>
      </c>
      <c r="O2295" s="5"/>
      <c r="P2295" s="5"/>
      <c r="Q2295" s="5"/>
      <c r="R2295" s="5"/>
      <c r="S2295" s="5"/>
      <c r="T2295" s="5"/>
      <c r="U2295" s="5"/>
      <c r="V2295" s="5"/>
      <c r="W2295" s="5"/>
      <c r="X2295" s="5"/>
      <c r="Y2295" s="5"/>
      <c r="Z2295" s="5"/>
    </row>
    <row r="2296" ht="12.0" customHeight="1">
      <c r="A2296" s="92" t="s">
        <v>1643</v>
      </c>
      <c r="B2296" s="5" t="s">
        <v>633</v>
      </c>
      <c r="C2296" s="203">
        <f t="shared" ref="C2296:N2296" si="700">C2241</f>
        <v>30.6</v>
      </c>
      <c r="D2296" s="203">
        <f t="shared" si="700"/>
        <v>27</v>
      </c>
      <c r="E2296" s="203">
        <f t="shared" si="700"/>
        <v>32.4</v>
      </c>
      <c r="F2296" s="203">
        <f t="shared" si="700"/>
        <v>32.4</v>
      </c>
      <c r="G2296" s="203">
        <f t="shared" si="700"/>
        <v>32.4</v>
      </c>
      <c r="H2296" s="203">
        <f t="shared" si="700"/>
        <v>28.8</v>
      </c>
      <c r="I2296" s="203">
        <f t="shared" si="700"/>
        <v>32.4</v>
      </c>
      <c r="J2296" s="203">
        <f t="shared" si="700"/>
        <v>32.4</v>
      </c>
      <c r="K2296" s="203">
        <f t="shared" si="700"/>
        <v>30.6</v>
      </c>
      <c r="L2296" s="203">
        <f t="shared" si="700"/>
        <v>27</v>
      </c>
      <c r="M2296" s="203">
        <f t="shared" si="700"/>
        <v>25.2</v>
      </c>
      <c r="N2296" s="203">
        <f t="shared" si="700"/>
        <v>28.8</v>
      </c>
      <c r="O2296" s="5"/>
      <c r="P2296" s="5"/>
      <c r="Q2296" s="5"/>
      <c r="R2296" s="5"/>
      <c r="S2296" s="5"/>
      <c r="T2296" s="5"/>
      <c r="U2296" s="5"/>
      <c r="V2296" s="5"/>
      <c r="W2296" s="5"/>
      <c r="X2296" s="5"/>
      <c r="Y2296" s="5"/>
      <c r="Z2296" s="5"/>
    </row>
    <row r="2297" ht="12.0" customHeight="1">
      <c r="A2297" s="92"/>
      <c r="B2297" s="5" t="s">
        <v>634</v>
      </c>
      <c r="C2297" s="293">
        <f>C2296/Parametros!$B$37</f>
        <v>1.53</v>
      </c>
      <c r="D2297" s="293">
        <f>D2296/Parametros!$B$37</f>
        <v>1.35</v>
      </c>
      <c r="E2297" s="293">
        <f>E2296/Parametros!$B$37</f>
        <v>1.62</v>
      </c>
      <c r="F2297" s="293">
        <f>F2296/Parametros!$B$37</f>
        <v>1.62</v>
      </c>
      <c r="G2297" s="293">
        <f>G2296/Parametros!$B$37</f>
        <v>1.62</v>
      </c>
      <c r="H2297" s="293">
        <f>H2296/Parametros!$B$37</f>
        <v>1.44</v>
      </c>
      <c r="I2297" s="293">
        <f>I2296/Parametros!$B$37</f>
        <v>1.62</v>
      </c>
      <c r="J2297" s="293">
        <f>J2296/Parametros!$B$37</f>
        <v>1.62</v>
      </c>
      <c r="K2297" s="293">
        <f>K2296/Parametros!$B$37</f>
        <v>1.53</v>
      </c>
      <c r="L2297" s="293">
        <f>L2296/Parametros!$B$37</f>
        <v>1.35</v>
      </c>
      <c r="M2297" s="293">
        <f>M2296/Parametros!$B$37</f>
        <v>1.26</v>
      </c>
      <c r="N2297" s="293">
        <f>N2296/Parametros!$B$37</f>
        <v>1.44</v>
      </c>
      <c r="O2297" s="5"/>
      <c r="P2297" s="5"/>
      <c r="Q2297" s="5"/>
      <c r="R2297" s="5"/>
      <c r="S2297" s="5"/>
      <c r="T2297" s="5"/>
      <c r="U2297" s="5"/>
      <c r="V2297" s="5"/>
      <c r="W2297" s="5"/>
      <c r="X2297" s="5"/>
      <c r="Y2297" s="5"/>
      <c r="Z2297" s="5"/>
    </row>
    <row r="2298" ht="12.0" customHeight="1">
      <c r="A2298" s="92"/>
      <c r="B2298" s="5" t="s">
        <v>635</v>
      </c>
      <c r="C2298" s="293">
        <f>C2297/Parametros!$J$37</f>
        <v>0.204</v>
      </c>
      <c r="D2298" s="293">
        <f>D2297/Parametros!$J$37</f>
        <v>0.18</v>
      </c>
      <c r="E2298" s="293">
        <f>E2297/Parametros!$J$37</f>
        <v>0.216</v>
      </c>
      <c r="F2298" s="293">
        <f>F2297/Parametros!$J$37</f>
        <v>0.216</v>
      </c>
      <c r="G2298" s="293">
        <f>G2297/Parametros!$J$37</f>
        <v>0.216</v>
      </c>
      <c r="H2298" s="293">
        <f>H2297/Parametros!$J$37</f>
        <v>0.192</v>
      </c>
      <c r="I2298" s="293">
        <f>I2297/Parametros!$J$37</f>
        <v>0.216</v>
      </c>
      <c r="J2298" s="293">
        <f>J2297/Parametros!$J$37</f>
        <v>0.216</v>
      </c>
      <c r="K2298" s="293">
        <f>K2297/Parametros!$J$37</f>
        <v>0.204</v>
      </c>
      <c r="L2298" s="293">
        <f>L2297/Parametros!$J$37</f>
        <v>0.18</v>
      </c>
      <c r="M2298" s="293">
        <f>M2297/Parametros!$J$37</f>
        <v>0.168</v>
      </c>
      <c r="N2298" s="293">
        <f>N2297/Parametros!$J$37</f>
        <v>0.192</v>
      </c>
      <c r="O2298" s="5"/>
      <c r="P2298" s="5"/>
      <c r="Q2298" s="5"/>
      <c r="R2298" s="5"/>
      <c r="S2298" s="5"/>
      <c r="T2298" s="5"/>
      <c r="U2298" s="5"/>
      <c r="V2298" s="5"/>
      <c r="W2298" s="5"/>
      <c r="X2298" s="5"/>
      <c r="Y2298" s="5"/>
      <c r="Z2298" s="5"/>
    </row>
    <row r="2299" ht="12.0" customHeight="1">
      <c r="A2299" s="92" t="s">
        <v>636</v>
      </c>
      <c r="B2299" s="5"/>
      <c r="C2299" s="293">
        <f t="shared" ref="C2299:N2299" si="701">C2298</f>
        <v>0.204</v>
      </c>
      <c r="D2299" s="293">
        <f t="shared" si="701"/>
        <v>0.18</v>
      </c>
      <c r="E2299" s="293">
        <f t="shared" si="701"/>
        <v>0.216</v>
      </c>
      <c r="F2299" s="293">
        <f t="shared" si="701"/>
        <v>0.216</v>
      </c>
      <c r="G2299" s="293">
        <f t="shared" si="701"/>
        <v>0.216</v>
      </c>
      <c r="H2299" s="293">
        <f t="shared" si="701"/>
        <v>0.192</v>
      </c>
      <c r="I2299" s="293">
        <f t="shared" si="701"/>
        <v>0.216</v>
      </c>
      <c r="J2299" s="293">
        <f t="shared" si="701"/>
        <v>0.216</v>
      </c>
      <c r="K2299" s="293">
        <f t="shared" si="701"/>
        <v>0.204</v>
      </c>
      <c r="L2299" s="293">
        <f t="shared" si="701"/>
        <v>0.18</v>
      </c>
      <c r="M2299" s="293">
        <f t="shared" si="701"/>
        <v>0.168</v>
      </c>
      <c r="N2299" s="293">
        <f t="shared" si="701"/>
        <v>0.192</v>
      </c>
      <c r="O2299" s="5"/>
      <c r="P2299" s="5"/>
      <c r="Q2299" s="5"/>
      <c r="R2299" s="5"/>
      <c r="S2299" s="5"/>
      <c r="T2299" s="5"/>
      <c r="U2299" s="5"/>
      <c r="V2299" s="5"/>
      <c r="W2299" s="5"/>
      <c r="X2299" s="5"/>
      <c r="Y2299" s="5"/>
      <c r="Z2299" s="5"/>
    </row>
    <row r="2300" ht="12.0" customHeight="1">
      <c r="A2300" s="92" t="s">
        <v>637</v>
      </c>
      <c r="B2300" s="5"/>
      <c r="C2300" s="293">
        <f>Parametros!$M$117</f>
        <v>14.92682927</v>
      </c>
      <c r="D2300" s="293">
        <f>Parametros!$M$117</f>
        <v>14.92682927</v>
      </c>
      <c r="E2300" s="293">
        <f>Parametros!$M$117</f>
        <v>14.92682927</v>
      </c>
      <c r="F2300" s="293">
        <f>Parametros!$M$117</f>
        <v>14.92682927</v>
      </c>
      <c r="G2300" s="293">
        <f>Parametros!$M$117</f>
        <v>14.92682927</v>
      </c>
      <c r="H2300" s="293">
        <f>Parametros!$M$117</f>
        <v>14.92682927</v>
      </c>
      <c r="I2300" s="293">
        <f>Parametros!$M$117</f>
        <v>14.92682927</v>
      </c>
      <c r="J2300" s="293">
        <f>Parametros!$M$117</f>
        <v>14.92682927</v>
      </c>
      <c r="K2300" s="293">
        <f>Parametros!$M$117</f>
        <v>14.92682927</v>
      </c>
      <c r="L2300" s="293">
        <f>Parametros!$M$117</f>
        <v>14.92682927</v>
      </c>
      <c r="M2300" s="293">
        <f>Parametros!$M$117</f>
        <v>14.92682927</v>
      </c>
      <c r="N2300" s="293">
        <f>Parametros!$M$117</f>
        <v>14.92682927</v>
      </c>
      <c r="O2300" s="5"/>
      <c r="P2300" s="5"/>
      <c r="Q2300" s="5"/>
      <c r="R2300" s="5"/>
      <c r="S2300" s="5"/>
      <c r="T2300" s="5"/>
      <c r="U2300" s="5"/>
      <c r="V2300" s="5"/>
      <c r="W2300" s="5"/>
      <c r="X2300" s="5"/>
      <c r="Y2300" s="5"/>
      <c r="Z2300" s="5"/>
    </row>
    <row r="2301" ht="12.0" customHeight="1">
      <c r="A2301" s="92" t="s">
        <v>640</v>
      </c>
      <c r="B2301" s="5"/>
      <c r="C2301" s="203">
        <f>'Resumen Capacidad'!$D$225</f>
        <v>1</v>
      </c>
      <c r="D2301" s="203">
        <f>'Resumen Capacidad'!$D$225</f>
        <v>1</v>
      </c>
      <c r="E2301" s="203">
        <f>'Resumen Capacidad'!$D$225</f>
        <v>1</v>
      </c>
      <c r="F2301" s="203">
        <f>'Resumen Capacidad'!$D$225</f>
        <v>1</v>
      </c>
      <c r="G2301" s="203">
        <f>'Resumen Capacidad'!$D$225</f>
        <v>1</v>
      </c>
      <c r="H2301" s="203">
        <f>'Resumen Capacidad'!$D$225</f>
        <v>1</v>
      </c>
      <c r="I2301" s="203">
        <f>'Resumen Capacidad'!$D$225</f>
        <v>1</v>
      </c>
      <c r="J2301" s="203">
        <f>'Resumen Capacidad'!$D$225</f>
        <v>1</v>
      </c>
      <c r="K2301" s="203">
        <f>'Resumen Capacidad'!$D$225</f>
        <v>1</v>
      </c>
      <c r="L2301" s="203">
        <f>'Resumen Capacidad'!$D$225</f>
        <v>1</v>
      </c>
      <c r="M2301" s="203">
        <f>'Resumen Capacidad'!$D$225</f>
        <v>1</v>
      </c>
      <c r="N2301" s="203">
        <f>'Resumen Capacidad'!$D$225</f>
        <v>1</v>
      </c>
      <c r="O2301" s="5"/>
      <c r="P2301" s="5"/>
      <c r="Q2301" s="5"/>
      <c r="R2301" s="5"/>
      <c r="S2301" s="5"/>
      <c r="T2301" s="5"/>
      <c r="U2301" s="5"/>
      <c r="V2301" s="5"/>
      <c r="W2301" s="5"/>
      <c r="X2301" s="5"/>
      <c r="Y2301" s="5"/>
      <c r="Z2301" s="5"/>
    </row>
    <row r="2302" ht="12.0" customHeight="1">
      <c r="A2302" s="92" t="s">
        <v>642</v>
      </c>
      <c r="B2302" s="5"/>
      <c r="C2302" s="203">
        <f t="shared" ref="C2302:N2302" si="702">C2300*C2301</f>
        <v>14.92682927</v>
      </c>
      <c r="D2302" s="203">
        <f t="shared" si="702"/>
        <v>14.92682927</v>
      </c>
      <c r="E2302" s="203">
        <f t="shared" si="702"/>
        <v>14.92682927</v>
      </c>
      <c r="F2302" s="203">
        <f t="shared" si="702"/>
        <v>14.92682927</v>
      </c>
      <c r="G2302" s="203">
        <f t="shared" si="702"/>
        <v>14.92682927</v>
      </c>
      <c r="H2302" s="203">
        <f t="shared" si="702"/>
        <v>14.92682927</v>
      </c>
      <c r="I2302" s="203">
        <f t="shared" si="702"/>
        <v>14.92682927</v>
      </c>
      <c r="J2302" s="203">
        <f t="shared" si="702"/>
        <v>14.92682927</v>
      </c>
      <c r="K2302" s="203">
        <f t="shared" si="702"/>
        <v>14.92682927</v>
      </c>
      <c r="L2302" s="203">
        <f t="shared" si="702"/>
        <v>14.92682927</v>
      </c>
      <c r="M2302" s="203">
        <f t="shared" si="702"/>
        <v>14.92682927</v>
      </c>
      <c r="N2302" s="203">
        <f t="shared" si="702"/>
        <v>14.92682927</v>
      </c>
      <c r="O2302" s="5"/>
      <c r="P2302" s="5"/>
      <c r="Q2302" s="5"/>
      <c r="R2302" s="5"/>
      <c r="S2302" s="5"/>
      <c r="T2302" s="5"/>
      <c r="U2302" s="5"/>
      <c r="V2302" s="5"/>
      <c r="W2302" s="5"/>
      <c r="X2302" s="5"/>
      <c r="Y2302" s="5"/>
      <c r="Z2302" s="5"/>
    </row>
    <row r="2303" ht="12.0" customHeight="1">
      <c r="A2303" s="92" t="s">
        <v>643</v>
      </c>
      <c r="B2303" s="5"/>
      <c r="C2303" s="294">
        <f t="shared" ref="C2303:N2303" si="703">IF(C2302=0,0,C2299/C2302)</f>
        <v>0.01366666667</v>
      </c>
      <c r="D2303" s="294">
        <f t="shared" si="703"/>
        <v>0.01205882353</v>
      </c>
      <c r="E2303" s="294">
        <f t="shared" si="703"/>
        <v>0.01447058824</v>
      </c>
      <c r="F2303" s="294">
        <f t="shared" si="703"/>
        <v>0.01447058824</v>
      </c>
      <c r="G2303" s="294">
        <f t="shared" si="703"/>
        <v>0.01447058824</v>
      </c>
      <c r="H2303" s="294">
        <f t="shared" si="703"/>
        <v>0.0128627451</v>
      </c>
      <c r="I2303" s="294">
        <f t="shared" si="703"/>
        <v>0.01447058824</v>
      </c>
      <c r="J2303" s="294">
        <f t="shared" si="703"/>
        <v>0.01447058824</v>
      </c>
      <c r="K2303" s="294">
        <f t="shared" si="703"/>
        <v>0.01366666667</v>
      </c>
      <c r="L2303" s="294">
        <f t="shared" si="703"/>
        <v>0.01205882353</v>
      </c>
      <c r="M2303" s="294">
        <f t="shared" si="703"/>
        <v>0.01125490196</v>
      </c>
      <c r="N2303" s="294">
        <f t="shared" si="703"/>
        <v>0.0128627451</v>
      </c>
      <c r="O2303" s="5"/>
      <c r="P2303" s="5"/>
      <c r="Q2303" s="5"/>
      <c r="R2303" s="5"/>
      <c r="S2303" s="5"/>
      <c r="T2303" s="5"/>
      <c r="U2303" s="5"/>
      <c r="V2303" s="5"/>
      <c r="W2303" s="5"/>
      <c r="X2303" s="5"/>
      <c r="Y2303" s="5"/>
      <c r="Z2303" s="5"/>
    </row>
    <row r="2304" ht="12.0" customHeight="1">
      <c r="A2304" s="10" t="s">
        <v>1649</v>
      </c>
      <c r="B2304" s="5"/>
      <c r="C2304" s="206"/>
      <c r="D2304" s="206"/>
      <c r="E2304" s="206"/>
      <c r="F2304" s="206"/>
      <c r="G2304" s="206"/>
      <c r="H2304" s="206"/>
      <c r="I2304" s="206"/>
      <c r="J2304" s="206"/>
      <c r="K2304" s="206"/>
      <c r="L2304" s="206"/>
      <c r="M2304" s="206"/>
      <c r="N2304" s="206"/>
      <c r="O2304" s="5"/>
      <c r="P2304" s="5"/>
      <c r="Q2304" s="5"/>
      <c r="R2304" s="5"/>
      <c r="S2304" s="5"/>
      <c r="T2304" s="5"/>
      <c r="U2304" s="5"/>
      <c r="V2304" s="5"/>
      <c r="W2304" s="5"/>
      <c r="X2304" s="5"/>
      <c r="Y2304" s="5"/>
      <c r="Z2304" s="5"/>
    </row>
    <row r="2305" ht="12.0" customHeight="1">
      <c r="A2305" s="92" t="s">
        <v>630</v>
      </c>
      <c r="B2305" s="5" t="s">
        <v>631</v>
      </c>
      <c r="C2305" s="206" t="s">
        <v>3</v>
      </c>
      <c r="D2305" s="206" t="s">
        <v>4</v>
      </c>
      <c r="E2305" s="206" t="s">
        <v>507</v>
      </c>
      <c r="F2305" s="206" t="s">
        <v>508</v>
      </c>
      <c r="G2305" s="206" t="s">
        <v>509</v>
      </c>
      <c r="H2305" s="206" t="s">
        <v>510</v>
      </c>
      <c r="I2305" s="206" t="s">
        <v>511</v>
      </c>
      <c r="J2305" s="206" t="s">
        <v>512</v>
      </c>
      <c r="K2305" s="206" t="s">
        <v>513</v>
      </c>
      <c r="L2305" s="206" t="s">
        <v>514</v>
      </c>
      <c r="M2305" s="206" t="s">
        <v>515</v>
      </c>
      <c r="N2305" s="206" t="s">
        <v>516</v>
      </c>
      <c r="O2305" s="5"/>
      <c r="P2305" s="5"/>
      <c r="Q2305" s="5"/>
      <c r="R2305" s="5"/>
      <c r="S2305" s="5"/>
      <c r="T2305" s="5"/>
      <c r="U2305" s="5"/>
      <c r="V2305" s="5"/>
      <c r="W2305" s="5"/>
      <c r="X2305" s="5"/>
      <c r="Y2305" s="5"/>
      <c r="Z2305" s="5"/>
    </row>
    <row r="2306" ht="12.0" customHeight="1">
      <c r="A2306" s="92" t="s">
        <v>1643</v>
      </c>
      <c r="B2306" s="5" t="s">
        <v>633</v>
      </c>
      <c r="C2306" s="203">
        <f t="shared" ref="C2306:N2306" si="704">C2241</f>
        <v>30.6</v>
      </c>
      <c r="D2306" s="203">
        <f t="shared" si="704"/>
        <v>27</v>
      </c>
      <c r="E2306" s="203">
        <f t="shared" si="704"/>
        <v>32.4</v>
      </c>
      <c r="F2306" s="203">
        <f t="shared" si="704"/>
        <v>32.4</v>
      </c>
      <c r="G2306" s="203">
        <f t="shared" si="704"/>
        <v>32.4</v>
      </c>
      <c r="H2306" s="203">
        <f t="shared" si="704"/>
        <v>28.8</v>
      </c>
      <c r="I2306" s="203">
        <f t="shared" si="704"/>
        <v>32.4</v>
      </c>
      <c r="J2306" s="203">
        <f t="shared" si="704"/>
        <v>32.4</v>
      </c>
      <c r="K2306" s="203">
        <f t="shared" si="704"/>
        <v>30.6</v>
      </c>
      <c r="L2306" s="203">
        <f t="shared" si="704"/>
        <v>27</v>
      </c>
      <c r="M2306" s="203">
        <f t="shared" si="704"/>
        <v>25.2</v>
      </c>
      <c r="N2306" s="203">
        <f t="shared" si="704"/>
        <v>28.8</v>
      </c>
      <c r="O2306" s="5"/>
      <c r="P2306" s="5"/>
      <c r="Q2306" s="5"/>
      <c r="R2306" s="5"/>
      <c r="S2306" s="5"/>
      <c r="T2306" s="5"/>
      <c r="U2306" s="5"/>
      <c r="V2306" s="5"/>
      <c r="W2306" s="5"/>
      <c r="X2306" s="5"/>
      <c r="Y2306" s="5"/>
      <c r="Z2306" s="5"/>
    </row>
    <row r="2307" ht="12.0" customHeight="1">
      <c r="A2307" s="92"/>
      <c r="B2307" s="5" t="s">
        <v>634</v>
      </c>
      <c r="C2307" s="293">
        <f>C2306/Parametros!$B$37</f>
        <v>1.53</v>
      </c>
      <c r="D2307" s="293">
        <f>D2306/Parametros!$B$37</f>
        <v>1.35</v>
      </c>
      <c r="E2307" s="293">
        <f>E2306/Parametros!$B$37</f>
        <v>1.62</v>
      </c>
      <c r="F2307" s="293">
        <f>F2306/Parametros!$B$37</f>
        <v>1.62</v>
      </c>
      <c r="G2307" s="293">
        <f>G2306/Parametros!$B$37</f>
        <v>1.62</v>
      </c>
      <c r="H2307" s="293">
        <f>H2306/Parametros!$B$37</f>
        <v>1.44</v>
      </c>
      <c r="I2307" s="293">
        <f>I2306/Parametros!$B$37</f>
        <v>1.62</v>
      </c>
      <c r="J2307" s="293">
        <f>J2306/Parametros!$B$37</f>
        <v>1.62</v>
      </c>
      <c r="K2307" s="293">
        <f>K2306/Parametros!$B$37</f>
        <v>1.53</v>
      </c>
      <c r="L2307" s="293">
        <f>L2306/Parametros!$B$37</f>
        <v>1.35</v>
      </c>
      <c r="M2307" s="293">
        <f>M2306/Parametros!$B$37</f>
        <v>1.26</v>
      </c>
      <c r="N2307" s="293">
        <f>N2306/Parametros!$B$37</f>
        <v>1.44</v>
      </c>
      <c r="O2307" s="5"/>
      <c r="P2307" s="5"/>
      <c r="Q2307" s="5"/>
      <c r="R2307" s="5"/>
      <c r="S2307" s="5"/>
      <c r="T2307" s="5"/>
      <c r="U2307" s="5"/>
      <c r="V2307" s="5"/>
      <c r="W2307" s="5"/>
      <c r="X2307" s="5"/>
      <c r="Y2307" s="5"/>
      <c r="Z2307" s="5"/>
    </row>
    <row r="2308" ht="12.0" customHeight="1">
      <c r="A2308" s="92"/>
      <c r="B2308" s="5" t="s">
        <v>635</v>
      </c>
      <c r="C2308" s="293">
        <f>C2307/Parametros!$J$37</f>
        <v>0.204</v>
      </c>
      <c r="D2308" s="293">
        <f>D2307/Parametros!$J$37</f>
        <v>0.18</v>
      </c>
      <c r="E2308" s="293">
        <f>E2307/Parametros!$J$37</f>
        <v>0.216</v>
      </c>
      <c r="F2308" s="293">
        <f>F2307/Parametros!$J$37</f>
        <v>0.216</v>
      </c>
      <c r="G2308" s="293">
        <f>G2307/Parametros!$J$37</f>
        <v>0.216</v>
      </c>
      <c r="H2308" s="293">
        <f>H2307/Parametros!$J$37</f>
        <v>0.192</v>
      </c>
      <c r="I2308" s="293">
        <f>I2307/Parametros!$J$37</f>
        <v>0.216</v>
      </c>
      <c r="J2308" s="293">
        <f>J2307/Parametros!$J$37</f>
        <v>0.216</v>
      </c>
      <c r="K2308" s="293">
        <f>K2307/Parametros!$J$37</f>
        <v>0.204</v>
      </c>
      <c r="L2308" s="293">
        <f>L2307/Parametros!$J$37</f>
        <v>0.18</v>
      </c>
      <c r="M2308" s="293">
        <f>M2307/Parametros!$J$37</f>
        <v>0.168</v>
      </c>
      <c r="N2308" s="293">
        <f>N2307/Parametros!$J$37</f>
        <v>0.192</v>
      </c>
      <c r="O2308" s="5"/>
      <c r="P2308" s="5"/>
      <c r="Q2308" s="5"/>
      <c r="R2308" s="5"/>
      <c r="S2308" s="5"/>
      <c r="T2308" s="5"/>
      <c r="U2308" s="5"/>
      <c r="V2308" s="5"/>
      <c r="W2308" s="5"/>
      <c r="X2308" s="5"/>
      <c r="Y2308" s="5"/>
      <c r="Z2308" s="5"/>
    </row>
    <row r="2309" ht="12.0" customHeight="1">
      <c r="A2309" s="92" t="s">
        <v>636</v>
      </c>
      <c r="B2309" s="5"/>
      <c r="C2309" s="293">
        <f t="shared" ref="C2309:N2309" si="705">C2308</f>
        <v>0.204</v>
      </c>
      <c r="D2309" s="293">
        <f t="shared" si="705"/>
        <v>0.18</v>
      </c>
      <c r="E2309" s="293">
        <f t="shared" si="705"/>
        <v>0.216</v>
      </c>
      <c r="F2309" s="293">
        <f t="shared" si="705"/>
        <v>0.216</v>
      </c>
      <c r="G2309" s="293">
        <f t="shared" si="705"/>
        <v>0.216</v>
      </c>
      <c r="H2309" s="293">
        <f t="shared" si="705"/>
        <v>0.192</v>
      </c>
      <c r="I2309" s="293">
        <f t="shared" si="705"/>
        <v>0.216</v>
      </c>
      <c r="J2309" s="293">
        <f t="shared" si="705"/>
        <v>0.216</v>
      </c>
      <c r="K2309" s="293">
        <f t="shared" si="705"/>
        <v>0.204</v>
      </c>
      <c r="L2309" s="293">
        <f t="shared" si="705"/>
        <v>0.18</v>
      </c>
      <c r="M2309" s="293">
        <f t="shared" si="705"/>
        <v>0.168</v>
      </c>
      <c r="N2309" s="293">
        <f t="shared" si="705"/>
        <v>0.192</v>
      </c>
      <c r="O2309" s="5"/>
      <c r="P2309" s="5"/>
      <c r="Q2309" s="5"/>
      <c r="R2309" s="5"/>
      <c r="S2309" s="5"/>
      <c r="T2309" s="5"/>
      <c r="U2309" s="5"/>
      <c r="V2309" s="5"/>
      <c r="W2309" s="5"/>
      <c r="X2309" s="5"/>
      <c r="Y2309" s="5"/>
      <c r="Z2309" s="5"/>
    </row>
    <row r="2310" ht="12.0" customHeight="1">
      <c r="A2310" s="92" t="s">
        <v>637</v>
      </c>
      <c r="B2310" s="5"/>
      <c r="C2310" s="293">
        <f>Parametros!$M$118</f>
        <v>38.25</v>
      </c>
      <c r="D2310" s="293">
        <f>Parametros!$M$118</f>
        <v>38.25</v>
      </c>
      <c r="E2310" s="293">
        <f>Parametros!$M$118</f>
        <v>38.25</v>
      </c>
      <c r="F2310" s="293">
        <f>Parametros!$M$118</f>
        <v>38.25</v>
      </c>
      <c r="G2310" s="293">
        <f>Parametros!$M$118</f>
        <v>38.25</v>
      </c>
      <c r="H2310" s="293">
        <f>Parametros!$M$118</f>
        <v>38.25</v>
      </c>
      <c r="I2310" s="293">
        <f>Parametros!$M$118</f>
        <v>38.25</v>
      </c>
      <c r="J2310" s="293">
        <f>Parametros!$M$118</f>
        <v>38.25</v>
      </c>
      <c r="K2310" s="293">
        <f>Parametros!$M$118</f>
        <v>38.25</v>
      </c>
      <c r="L2310" s="293">
        <f>Parametros!$M$118</f>
        <v>38.25</v>
      </c>
      <c r="M2310" s="293">
        <f>Parametros!$M$118</f>
        <v>38.25</v>
      </c>
      <c r="N2310" s="293">
        <f>Parametros!$M$118</f>
        <v>38.25</v>
      </c>
      <c r="O2310" s="5"/>
      <c r="P2310" s="5"/>
      <c r="Q2310" s="5"/>
      <c r="R2310" s="5"/>
      <c r="S2310" s="5"/>
      <c r="T2310" s="5"/>
      <c r="U2310" s="5"/>
      <c r="V2310" s="5"/>
      <c r="W2310" s="5"/>
      <c r="X2310" s="5"/>
      <c r="Y2310" s="5"/>
      <c r="Z2310" s="5"/>
    </row>
    <row r="2311" ht="12.0" customHeight="1">
      <c r="A2311" s="92" t="s">
        <v>640</v>
      </c>
      <c r="B2311" s="5"/>
      <c r="C2311" s="203">
        <f>'Resumen Capacidad'!$D$226</f>
        <v>1</v>
      </c>
      <c r="D2311" s="203">
        <f>'Resumen Capacidad'!$D$226</f>
        <v>1</v>
      </c>
      <c r="E2311" s="203">
        <f>'Resumen Capacidad'!$D$226</f>
        <v>1</v>
      </c>
      <c r="F2311" s="203">
        <f>'Resumen Capacidad'!$D$226</f>
        <v>1</v>
      </c>
      <c r="G2311" s="203">
        <f>'Resumen Capacidad'!$D$226</f>
        <v>1</v>
      </c>
      <c r="H2311" s="203">
        <f>'Resumen Capacidad'!$D$226</f>
        <v>1</v>
      </c>
      <c r="I2311" s="203">
        <f>'Resumen Capacidad'!$D$226</f>
        <v>1</v>
      </c>
      <c r="J2311" s="203">
        <f>'Resumen Capacidad'!$D$226</f>
        <v>1</v>
      </c>
      <c r="K2311" s="203">
        <f>'Resumen Capacidad'!$D$226</f>
        <v>1</v>
      </c>
      <c r="L2311" s="203">
        <f>'Resumen Capacidad'!$D$226</f>
        <v>1</v>
      </c>
      <c r="M2311" s="203">
        <f>'Resumen Capacidad'!$D$226</f>
        <v>1</v>
      </c>
      <c r="N2311" s="203">
        <f>'Resumen Capacidad'!$D$226</f>
        <v>1</v>
      </c>
      <c r="O2311" s="5"/>
      <c r="P2311" s="5"/>
      <c r="Q2311" s="5"/>
      <c r="R2311" s="5"/>
      <c r="S2311" s="5"/>
      <c r="T2311" s="5"/>
      <c r="U2311" s="5"/>
      <c r="V2311" s="5"/>
      <c r="W2311" s="5"/>
      <c r="X2311" s="5"/>
      <c r="Y2311" s="5"/>
      <c r="Z2311" s="5"/>
    </row>
    <row r="2312" ht="12.0" customHeight="1">
      <c r="A2312" s="92" t="s">
        <v>642</v>
      </c>
      <c r="B2312" s="5"/>
      <c r="C2312" s="203">
        <f t="shared" ref="C2312:N2312" si="706">C2310*C2311</f>
        <v>38.25</v>
      </c>
      <c r="D2312" s="203">
        <f t="shared" si="706"/>
        <v>38.25</v>
      </c>
      <c r="E2312" s="203">
        <f t="shared" si="706"/>
        <v>38.25</v>
      </c>
      <c r="F2312" s="203">
        <f t="shared" si="706"/>
        <v>38.25</v>
      </c>
      <c r="G2312" s="203">
        <f t="shared" si="706"/>
        <v>38.25</v>
      </c>
      <c r="H2312" s="203">
        <f t="shared" si="706"/>
        <v>38.25</v>
      </c>
      <c r="I2312" s="203">
        <f t="shared" si="706"/>
        <v>38.25</v>
      </c>
      <c r="J2312" s="203">
        <f t="shared" si="706"/>
        <v>38.25</v>
      </c>
      <c r="K2312" s="203">
        <f t="shared" si="706"/>
        <v>38.25</v>
      </c>
      <c r="L2312" s="203">
        <f t="shared" si="706"/>
        <v>38.25</v>
      </c>
      <c r="M2312" s="203">
        <f t="shared" si="706"/>
        <v>38.25</v>
      </c>
      <c r="N2312" s="203">
        <f t="shared" si="706"/>
        <v>38.25</v>
      </c>
      <c r="O2312" s="5"/>
      <c r="P2312" s="5"/>
      <c r="Q2312" s="5"/>
      <c r="R2312" s="5"/>
      <c r="S2312" s="5"/>
      <c r="T2312" s="5"/>
      <c r="U2312" s="5"/>
      <c r="V2312" s="5"/>
      <c r="W2312" s="5"/>
      <c r="X2312" s="5"/>
      <c r="Y2312" s="5"/>
      <c r="Z2312" s="5"/>
    </row>
    <row r="2313" ht="12.0" customHeight="1">
      <c r="A2313" s="92" t="s">
        <v>643</v>
      </c>
      <c r="B2313" s="5"/>
      <c r="C2313" s="294">
        <f t="shared" ref="C2313:N2313" si="707">IF(C2312=0,0,C2309/C2312)</f>
        <v>0.005333333333</v>
      </c>
      <c r="D2313" s="294">
        <f t="shared" si="707"/>
        <v>0.004705882353</v>
      </c>
      <c r="E2313" s="294">
        <f t="shared" si="707"/>
        <v>0.005647058824</v>
      </c>
      <c r="F2313" s="294">
        <f t="shared" si="707"/>
        <v>0.005647058824</v>
      </c>
      <c r="G2313" s="294">
        <f t="shared" si="707"/>
        <v>0.005647058824</v>
      </c>
      <c r="H2313" s="294">
        <f t="shared" si="707"/>
        <v>0.005019607843</v>
      </c>
      <c r="I2313" s="294">
        <f t="shared" si="707"/>
        <v>0.005647058824</v>
      </c>
      <c r="J2313" s="294">
        <f t="shared" si="707"/>
        <v>0.005647058824</v>
      </c>
      <c r="K2313" s="294">
        <f t="shared" si="707"/>
        <v>0.005333333333</v>
      </c>
      <c r="L2313" s="294">
        <f t="shared" si="707"/>
        <v>0.004705882353</v>
      </c>
      <c r="M2313" s="294">
        <f t="shared" si="707"/>
        <v>0.004392156863</v>
      </c>
      <c r="N2313" s="294">
        <f t="shared" si="707"/>
        <v>0.005019607843</v>
      </c>
      <c r="O2313" s="5"/>
      <c r="P2313" s="5"/>
      <c r="Q2313" s="5"/>
      <c r="R2313" s="5"/>
      <c r="S2313" s="5"/>
      <c r="T2313" s="5"/>
      <c r="U2313" s="5"/>
      <c r="V2313" s="5"/>
      <c r="W2313" s="5"/>
      <c r="X2313" s="5"/>
      <c r="Y2313" s="5"/>
      <c r="Z2313" s="5"/>
    </row>
    <row r="2314" ht="12.0" customHeight="1">
      <c r="A2314" s="10" t="s">
        <v>1650</v>
      </c>
      <c r="B2314" s="5"/>
      <c r="C2314" s="206"/>
      <c r="D2314" s="206"/>
      <c r="E2314" s="206"/>
      <c r="F2314" s="206"/>
      <c r="G2314" s="206"/>
      <c r="H2314" s="206"/>
      <c r="I2314" s="206"/>
      <c r="J2314" s="206"/>
      <c r="K2314" s="206"/>
      <c r="L2314" s="206"/>
      <c r="M2314" s="206"/>
      <c r="N2314" s="206"/>
      <c r="O2314" s="5"/>
      <c r="P2314" s="5"/>
      <c r="Q2314" s="5"/>
      <c r="R2314" s="5"/>
      <c r="S2314" s="5"/>
      <c r="T2314" s="5"/>
      <c r="U2314" s="5"/>
      <c r="V2314" s="5"/>
      <c r="W2314" s="5"/>
      <c r="X2314" s="5"/>
      <c r="Y2314" s="5"/>
      <c r="Z2314" s="5"/>
    </row>
    <row r="2315" ht="12.0" customHeight="1">
      <c r="A2315" s="92" t="s">
        <v>630</v>
      </c>
      <c r="B2315" s="5" t="s">
        <v>631</v>
      </c>
      <c r="C2315" s="206" t="s">
        <v>3</v>
      </c>
      <c r="D2315" s="206" t="s">
        <v>4</v>
      </c>
      <c r="E2315" s="206" t="s">
        <v>507</v>
      </c>
      <c r="F2315" s="206" t="s">
        <v>508</v>
      </c>
      <c r="G2315" s="206" t="s">
        <v>509</v>
      </c>
      <c r="H2315" s="206" t="s">
        <v>510</v>
      </c>
      <c r="I2315" s="206" t="s">
        <v>511</v>
      </c>
      <c r="J2315" s="206" t="s">
        <v>512</v>
      </c>
      <c r="K2315" s="206" t="s">
        <v>513</v>
      </c>
      <c r="L2315" s="206" t="s">
        <v>514</v>
      </c>
      <c r="M2315" s="206" t="s">
        <v>515</v>
      </c>
      <c r="N2315" s="206" t="s">
        <v>516</v>
      </c>
      <c r="O2315" s="5"/>
      <c r="P2315" s="5"/>
      <c r="Q2315" s="5"/>
      <c r="R2315" s="5"/>
      <c r="S2315" s="5"/>
      <c r="T2315" s="5"/>
      <c r="U2315" s="5"/>
      <c r="V2315" s="5"/>
      <c r="W2315" s="5"/>
      <c r="X2315" s="5"/>
      <c r="Y2315" s="5"/>
      <c r="Z2315" s="5"/>
    </row>
    <row r="2316" ht="12.0" customHeight="1">
      <c r="A2316" s="92" t="s">
        <v>1643</v>
      </c>
      <c r="B2316" s="5" t="s">
        <v>633</v>
      </c>
      <c r="C2316" s="203">
        <f t="shared" ref="C2316:N2316" si="708">C2241</f>
        <v>30.6</v>
      </c>
      <c r="D2316" s="203">
        <f t="shared" si="708"/>
        <v>27</v>
      </c>
      <c r="E2316" s="203">
        <f t="shared" si="708"/>
        <v>32.4</v>
      </c>
      <c r="F2316" s="203">
        <f t="shared" si="708"/>
        <v>32.4</v>
      </c>
      <c r="G2316" s="203">
        <f t="shared" si="708"/>
        <v>32.4</v>
      </c>
      <c r="H2316" s="203">
        <f t="shared" si="708"/>
        <v>28.8</v>
      </c>
      <c r="I2316" s="203">
        <f t="shared" si="708"/>
        <v>32.4</v>
      </c>
      <c r="J2316" s="203">
        <f t="shared" si="708"/>
        <v>32.4</v>
      </c>
      <c r="K2316" s="203">
        <f t="shared" si="708"/>
        <v>30.6</v>
      </c>
      <c r="L2316" s="203">
        <f t="shared" si="708"/>
        <v>27</v>
      </c>
      <c r="M2316" s="203">
        <f t="shared" si="708"/>
        <v>25.2</v>
      </c>
      <c r="N2316" s="203">
        <f t="shared" si="708"/>
        <v>28.8</v>
      </c>
      <c r="O2316" s="5"/>
      <c r="P2316" s="5"/>
      <c r="Q2316" s="5"/>
      <c r="R2316" s="5"/>
      <c r="S2316" s="5"/>
      <c r="T2316" s="5"/>
      <c r="U2316" s="5"/>
      <c r="V2316" s="5"/>
      <c r="W2316" s="5"/>
      <c r="X2316" s="5"/>
      <c r="Y2316" s="5"/>
      <c r="Z2316" s="5"/>
    </row>
    <row r="2317" ht="12.0" customHeight="1">
      <c r="A2317" s="92"/>
      <c r="B2317" s="5" t="s">
        <v>634</v>
      </c>
      <c r="C2317" s="293">
        <f>C2316/Parametros!$B$37</f>
        <v>1.53</v>
      </c>
      <c r="D2317" s="293">
        <f>D2316/Parametros!$B$37</f>
        <v>1.35</v>
      </c>
      <c r="E2317" s="293">
        <f>E2316/Parametros!$B$37</f>
        <v>1.62</v>
      </c>
      <c r="F2317" s="293">
        <f>F2316/Parametros!$B$37</f>
        <v>1.62</v>
      </c>
      <c r="G2317" s="293">
        <f>G2316/Parametros!$B$37</f>
        <v>1.62</v>
      </c>
      <c r="H2317" s="293">
        <f>H2316/Parametros!$B$37</f>
        <v>1.44</v>
      </c>
      <c r="I2317" s="293">
        <f>I2316/Parametros!$B$37</f>
        <v>1.62</v>
      </c>
      <c r="J2317" s="293">
        <f>J2316/Parametros!$B$37</f>
        <v>1.62</v>
      </c>
      <c r="K2317" s="293">
        <f>K2316/Parametros!$B$37</f>
        <v>1.53</v>
      </c>
      <c r="L2317" s="293">
        <f>L2316/Parametros!$B$37</f>
        <v>1.35</v>
      </c>
      <c r="M2317" s="293">
        <f>M2316/Parametros!$B$37</f>
        <v>1.26</v>
      </c>
      <c r="N2317" s="293">
        <f>N2316/Parametros!$B$37</f>
        <v>1.44</v>
      </c>
      <c r="O2317" s="5"/>
      <c r="P2317" s="5"/>
      <c r="Q2317" s="5"/>
      <c r="R2317" s="5"/>
      <c r="S2317" s="5"/>
      <c r="T2317" s="5"/>
      <c r="U2317" s="5"/>
      <c r="V2317" s="5"/>
      <c r="W2317" s="5"/>
      <c r="X2317" s="5"/>
      <c r="Y2317" s="5"/>
      <c r="Z2317" s="5"/>
    </row>
    <row r="2318" ht="12.0" customHeight="1">
      <c r="A2318" s="92"/>
      <c r="B2318" s="5" t="s">
        <v>635</v>
      </c>
      <c r="C2318" s="293">
        <f>C2317/Parametros!$J$37</f>
        <v>0.204</v>
      </c>
      <c r="D2318" s="293">
        <f>D2317/Parametros!$J$37</f>
        <v>0.18</v>
      </c>
      <c r="E2318" s="293">
        <f>E2317/Parametros!$J$37</f>
        <v>0.216</v>
      </c>
      <c r="F2318" s="293">
        <f>F2317/Parametros!$J$37</f>
        <v>0.216</v>
      </c>
      <c r="G2318" s="293">
        <f>G2317/Parametros!$J$37</f>
        <v>0.216</v>
      </c>
      <c r="H2318" s="293">
        <f>H2317/Parametros!$J$37</f>
        <v>0.192</v>
      </c>
      <c r="I2318" s="293">
        <f>I2317/Parametros!$J$37</f>
        <v>0.216</v>
      </c>
      <c r="J2318" s="293">
        <f>J2317/Parametros!$J$37</f>
        <v>0.216</v>
      </c>
      <c r="K2318" s="293">
        <f>K2317/Parametros!$J$37</f>
        <v>0.204</v>
      </c>
      <c r="L2318" s="293">
        <f>L2317/Parametros!$J$37</f>
        <v>0.18</v>
      </c>
      <c r="M2318" s="293">
        <f>M2317/Parametros!$J$37</f>
        <v>0.168</v>
      </c>
      <c r="N2318" s="293">
        <f>N2317/Parametros!$J$37</f>
        <v>0.192</v>
      </c>
      <c r="O2318" s="5"/>
      <c r="P2318" s="5"/>
      <c r="Q2318" s="5"/>
      <c r="R2318" s="5"/>
      <c r="S2318" s="5"/>
      <c r="T2318" s="5"/>
      <c r="U2318" s="5"/>
      <c r="V2318" s="5"/>
      <c r="W2318" s="5"/>
      <c r="X2318" s="5"/>
      <c r="Y2318" s="5"/>
      <c r="Z2318" s="5"/>
    </row>
    <row r="2319" ht="12.0" customHeight="1">
      <c r="A2319" s="92" t="s">
        <v>636</v>
      </c>
      <c r="B2319" s="5"/>
      <c r="C2319" s="293">
        <f t="shared" ref="C2319:N2319" si="709">C2318</f>
        <v>0.204</v>
      </c>
      <c r="D2319" s="293">
        <f t="shared" si="709"/>
        <v>0.18</v>
      </c>
      <c r="E2319" s="293">
        <f t="shared" si="709"/>
        <v>0.216</v>
      </c>
      <c r="F2319" s="293">
        <f t="shared" si="709"/>
        <v>0.216</v>
      </c>
      <c r="G2319" s="293">
        <f t="shared" si="709"/>
        <v>0.216</v>
      </c>
      <c r="H2319" s="293">
        <f t="shared" si="709"/>
        <v>0.192</v>
      </c>
      <c r="I2319" s="293">
        <f t="shared" si="709"/>
        <v>0.216</v>
      </c>
      <c r="J2319" s="293">
        <f t="shared" si="709"/>
        <v>0.216</v>
      </c>
      <c r="K2319" s="293">
        <f t="shared" si="709"/>
        <v>0.204</v>
      </c>
      <c r="L2319" s="293">
        <f t="shared" si="709"/>
        <v>0.18</v>
      </c>
      <c r="M2319" s="293">
        <f t="shared" si="709"/>
        <v>0.168</v>
      </c>
      <c r="N2319" s="293">
        <f t="shared" si="709"/>
        <v>0.192</v>
      </c>
      <c r="O2319" s="5"/>
      <c r="P2319" s="5"/>
      <c r="Q2319" s="5"/>
      <c r="R2319" s="5"/>
      <c r="S2319" s="5"/>
      <c r="T2319" s="5"/>
      <c r="U2319" s="5"/>
      <c r="V2319" s="5"/>
      <c r="W2319" s="5"/>
      <c r="X2319" s="5"/>
      <c r="Y2319" s="5"/>
      <c r="Z2319" s="5"/>
    </row>
    <row r="2320" ht="12.0" customHeight="1">
      <c r="A2320" s="92" t="s">
        <v>637</v>
      </c>
      <c r="B2320" s="5"/>
      <c r="C2320" s="293">
        <f>Parametros!$M$119</f>
        <v>5.666666667</v>
      </c>
      <c r="D2320" s="293">
        <f>Parametros!$M$119</f>
        <v>5.666666667</v>
      </c>
      <c r="E2320" s="293">
        <f>Parametros!$M$119</f>
        <v>5.666666667</v>
      </c>
      <c r="F2320" s="293">
        <f>Parametros!$M$119</f>
        <v>5.666666667</v>
      </c>
      <c r="G2320" s="293">
        <f>Parametros!$M$119</f>
        <v>5.666666667</v>
      </c>
      <c r="H2320" s="293">
        <f>Parametros!$M$119</f>
        <v>5.666666667</v>
      </c>
      <c r="I2320" s="293">
        <f>Parametros!$M$119</f>
        <v>5.666666667</v>
      </c>
      <c r="J2320" s="293">
        <f>Parametros!$M$119</f>
        <v>5.666666667</v>
      </c>
      <c r="K2320" s="293">
        <f>Parametros!$M$119</f>
        <v>5.666666667</v>
      </c>
      <c r="L2320" s="293">
        <f>Parametros!$M$119</f>
        <v>5.666666667</v>
      </c>
      <c r="M2320" s="293">
        <f>Parametros!$M$119</f>
        <v>5.666666667</v>
      </c>
      <c r="N2320" s="293">
        <f>Parametros!$M$119</f>
        <v>5.666666667</v>
      </c>
      <c r="O2320" s="5"/>
      <c r="P2320" s="5"/>
      <c r="Q2320" s="5"/>
      <c r="R2320" s="5"/>
      <c r="S2320" s="5"/>
      <c r="T2320" s="5"/>
      <c r="U2320" s="5"/>
      <c r="V2320" s="5"/>
      <c r="W2320" s="5"/>
      <c r="X2320" s="5"/>
      <c r="Y2320" s="5"/>
      <c r="Z2320" s="5"/>
    </row>
    <row r="2321" ht="12.0" customHeight="1">
      <c r="A2321" s="92" t="s">
        <v>640</v>
      </c>
      <c r="B2321" s="5"/>
      <c r="C2321" s="203">
        <f>'Resumen Capacidad'!$D$227</f>
        <v>1</v>
      </c>
      <c r="D2321" s="203">
        <f>'Resumen Capacidad'!$D$227</f>
        <v>1</v>
      </c>
      <c r="E2321" s="203">
        <f>'Resumen Capacidad'!$D$227</f>
        <v>1</v>
      </c>
      <c r="F2321" s="203">
        <f>'Resumen Capacidad'!$D$227</f>
        <v>1</v>
      </c>
      <c r="G2321" s="203">
        <f>'Resumen Capacidad'!$D$227</f>
        <v>1</v>
      </c>
      <c r="H2321" s="203">
        <f>'Resumen Capacidad'!$D$227</f>
        <v>1</v>
      </c>
      <c r="I2321" s="203">
        <f>'Resumen Capacidad'!$D$227</f>
        <v>1</v>
      </c>
      <c r="J2321" s="203">
        <f>'Resumen Capacidad'!$D$227</f>
        <v>1</v>
      </c>
      <c r="K2321" s="203">
        <f>'Resumen Capacidad'!$D$227</f>
        <v>1</v>
      </c>
      <c r="L2321" s="203">
        <f>'Resumen Capacidad'!$D$227</f>
        <v>1</v>
      </c>
      <c r="M2321" s="203">
        <f>'Resumen Capacidad'!$D$227</f>
        <v>1</v>
      </c>
      <c r="N2321" s="203">
        <f>'Resumen Capacidad'!$D$227</f>
        <v>1</v>
      </c>
      <c r="O2321" s="5"/>
      <c r="P2321" s="5"/>
      <c r="Q2321" s="5"/>
      <c r="R2321" s="5"/>
      <c r="S2321" s="5"/>
      <c r="T2321" s="5"/>
      <c r="U2321" s="5"/>
      <c r="V2321" s="5"/>
      <c r="W2321" s="5"/>
      <c r="X2321" s="5"/>
      <c r="Y2321" s="5"/>
      <c r="Z2321" s="5"/>
    </row>
    <row r="2322" ht="12.0" customHeight="1">
      <c r="A2322" s="92" t="s">
        <v>642</v>
      </c>
      <c r="B2322" s="5"/>
      <c r="C2322" s="203">
        <f t="shared" ref="C2322:N2322" si="710">C2320*C2321</f>
        <v>5.666666667</v>
      </c>
      <c r="D2322" s="203">
        <f t="shared" si="710"/>
        <v>5.666666667</v>
      </c>
      <c r="E2322" s="203">
        <f t="shared" si="710"/>
        <v>5.666666667</v>
      </c>
      <c r="F2322" s="203">
        <f t="shared" si="710"/>
        <v>5.666666667</v>
      </c>
      <c r="G2322" s="203">
        <f t="shared" si="710"/>
        <v>5.666666667</v>
      </c>
      <c r="H2322" s="203">
        <f t="shared" si="710"/>
        <v>5.666666667</v>
      </c>
      <c r="I2322" s="203">
        <f t="shared" si="710"/>
        <v>5.666666667</v>
      </c>
      <c r="J2322" s="203">
        <f t="shared" si="710"/>
        <v>5.666666667</v>
      </c>
      <c r="K2322" s="203">
        <f t="shared" si="710"/>
        <v>5.666666667</v>
      </c>
      <c r="L2322" s="203">
        <f t="shared" si="710"/>
        <v>5.666666667</v>
      </c>
      <c r="M2322" s="203">
        <f t="shared" si="710"/>
        <v>5.666666667</v>
      </c>
      <c r="N2322" s="203">
        <f t="shared" si="710"/>
        <v>5.666666667</v>
      </c>
      <c r="O2322" s="5"/>
      <c r="P2322" s="5"/>
      <c r="Q2322" s="5"/>
      <c r="R2322" s="5"/>
      <c r="S2322" s="5"/>
      <c r="T2322" s="5"/>
      <c r="U2322" s="5"/>
      <c r="V2322" s="5"/>
      <c r="W2322" s="5"/>
      <c r="X2322" s="5"/>
      <c r="Y2322" s="5"/>
      <c r="Z2322" s="5"/>
    </row>
    <row r="2323" ht="12.0" customHeight="1">
      <c r="A2323" s="92" t="s">
        <v>643</v>
      </c>
      <c r="B2323" s="5"/>
      <c r="C2323" s="294">
        <f t="shared" ref="C2323:N2323" si="711">IF(C2322=0,0,C2319/C2322)</f>
        <v>0.036</v>
      </c>
      <c r="D2323" s="294">
        <f t="shared" si="711"/>
        <v>0.03176470588</v>
      </c>
      <c r="E2323" s="294">
        <f t="shared" si="711"/>
        <v>0.03811764706</v>
      </c>
      <c r="F2323" s="294">
        <f t="shared" si="711"/>
        <v>0.03811764706</v>
      </c>
      <c r="G2323" s="294">
        <f t="shared" si="711"/>
        <v>0.03811764706</v>
      </c>
      <c r="H2323" s="294">
        <f t="shared" si="711"/>
        <v>0.03388235294</v>
      </c>
      <c r="I2323" s="294">
        <f t="shared" si="711"/>
        <v>0.03811764706</v>
      </c>
      <c r="J2323" s="294">
        <f t="shared" si="711"/>
        <v>0.03811764706</v>
      </c>
      <c r="K2323" s="294">
        <f t="shared" si="711"/>
        <v>0.036</v>
      </c>
      <c r="L2323" s="294">
        <f t="shared" si="711"/>
        <v>0.03176470588</v>
      </c>
      <c r="M2323" s="294">
        <f t="shared" si="711"/>
        <v>0.02964705882</v>
      </c>
      <c r="N2323" s="294">
        <f t="shared" si="711"/>
        <v>0.03388235294</v>
      </c>
      <c r="O2323" s="5"/>
      <c r="P2323" s="5"/>
      <c r="Q2323" s="5"/>
      <c r="R2323" s="5"/>
      <c r="S2323" s="5"/>
      <c r="T2323" s="5"/>
      <c r="U2323" s="5"/>
      <c r="V2323" s="5"/>
      <c r="W2323" s="5"/>
      <c r="X2323" s="5"/>
      <c r="Y2323" s="5"/>
      <c r="Z2323" s="5"/>
    </row>
    <row r="2324" ht="12.0" customHeight="1">
      <c r="A2324" s="92"/>
      <c r="B2324" s="5"/>
      <c r="C2324" s="206"/>
      <c r="D2324" s="206"/>
      <c r="E2324" s="206"/>
      <c r="F2324" s="206"/>
      <c r="G2324" s="206"/>
      <c r="H2324" s="206"/>
      <c r="I2324" s="206"/>
      <c r="J2324" s="206"/>
      <c r="K2324" s="206"/>
      <c r="L2324" s="206"/>
      <c r="M2324" s="206"/>
      <c r="N2324" s="206"/>
      <c r="O2324" s="5"/>
      <c r="P2324" s="5"/>
      <c r="Q2324" s="5"/>
      <c r="R2324" s="5"/>
      <c r="S2324" s="5"/>
      <c r="T2324" s="5"/>
      <c r="U2324" s="5"/>
      <c r="V2324" s="5"/>
      <c r="W2324" s="5"/>
      <c r="X2324" s="5"/>
      <c r="Y2324" s="5"/>
      <c r="Z2324" s="5"/>
    </row>
    <row r="2325" ht="12.0" customHeight="1">
      <c r="A2325" s="288" t="s">
        <v>1653</v>
      </c>
      <c r="B2325" s="202"/>
      <c r="C2325" s="289"/>
      <c r="D2325" s="289"/>
      <c r="E2325" s="289"/>
      <c r="F2325" s="289"/>
      <c r="G2325" s="289"/>
      <c r="H2325" s="289"/>
      <c r="I2325" s="289"/>
      <c r="J2325" s="289"/>
      <c r="K2325" s="289"/>
      <c r="L2325" s="289"/>
      <c r="M2325" s="289"/>
      <c r="N2325" s="289"/>
      <c r="O2325" s="202"/>
      <c r="P2325" s="5"/>
      <c r="Q2325" s="5"/>
      <c r="R2325" s="5"/>
      <c r="S2325" s="5"/>
      <c r="T2325" s="5"/>
      <c r="U2325" s="5"/>
      <c r="V2325" s="5"/>
      <c r="W2325" s="5"/>
      <c r="X2325" s="5"/>
      <c r="Y2325" s="5"/>
      <c r="Z2325" s="5"/>
    </row>
    <row r="2326" ht="12.0" customHeight="1">
      <c r="A2326" s="160" t="s">
        <v>188</v>
      </c>
      <c r="B2326" s="160" t="s">
        <v>631</v>
      </c>
      <c r="C2326" s="290" t="s">
        <v>3</v>
      </c>
      <c r="D2326" s="290" t="s">
        <v>4</v>
      </c>
      <c r="E2326" s="290" t="s">
        <v>507</v>
      </c>
      <c r="F2326" s="290" t="s">
        <v>508</v>
      </c>
      <c r="G2326" s="290" t="s">
        <v>509</v>
      </c>
      <c r="H2326" s="290" t="s">
        <v>510</v>
      </c>
      <c r="I2326" s="290" t="s">
        <v>511</v>
      </c>
      <c r="J2326" s="290" t="s">
        <v>512</v>
      </c>
      <c r="K2326" s="290" t="s">
        <v>513</v>
      </c>
      <c r="L2326" s="290" t="s">
        <v>514</v>
      </c>
      <c r="M2326" s="290" t="s">
        <v>515</v>
      </c>
      <c r="N2326" s="290" t="s">
        <v>516</v>
      </c>
      <c r="O2326" s="160" t="s">
        <v>15</v>
      </c>
      <c r="P2326" s="160" t="s">
        <v>1598</v>
      </c>
      <c r="Q2326" s="19" t="s">
        <v>1634</v>
      </c>
      <c r="R2326" s="5"/>
      <c r="S2326" s="5"/>
      <c r="T2326" s="5"/>
      <c r="U2326" s="5"/>
      <c r="V2326" s="5"/>
      <c r="W2326" s="5"/>
      <c r="X2326" s="5"/>
      <c r="Y2326" s="5"/>
      <c r="Z2326" s="5"/>
    </row>
    <row r="2327" ht="12.0" customHeight="1">
      <c r="A2327" s="28" t="s">
        <v>1635</v>
      </c>
      <c r="B2327" s="5" t="s">
        <v>633</v>
      </c>
      <c r="C2327" s="291">
        <f>SUM('2029'!B10:B13)</f>
        <v>34.17</v>
      </c>
      <c r="D2327" s="291">
        <f>SUM('2029'!C10:C13)</f>
        <v>30.15</v>
      </c>
      <c r="E2327" s="291">
        <f>SUM('2029'!D10:D13)</f>
        <v>36.18</v>
      </c>
      <c r="F2327" s="291">
        <f>SUM('2029'!E10:E13)</f>
        <v>36.18</v>
      </c>
      <c r="G2327" s="291">
        <f>SUM('2029'!F10:F13)</f>
        <v>36.18</v>
      </c>
      <c r="H2327" s="291">
        <f>SUM('2029'!G10:G13)</f>
        <v>32.16</v>
      </c>
      <c r="I2327" s="291">
        <f>SUM('2029'!H10:H13)</f>
        <v>36.18</v>
      </c>
      <c r="J2327" s="291">
        <f>SUM('2029'!I10:I13)</f>
        <v>36.18</v>
      </c>
      <c r="K2327" s="291">
        <f>SUM('2029'!J10:J13)</f>
        <v>34.17</v>
      </c>
      <c r="L2327" s="291">
        <f>SUM('2029'!K10:K13)</f>
        <v>30.15</v>
      </c>
      <c r="M2327" s="291">
        <f>SUM('2029'!L10:L13)</f>
        <v>28.14</v>
      </c>
      <c r="N2327" s="291">
        <f>SUM('2029'!M10:M13)</f>
        <v>32.16</v>
      </c>
      <c r="O2327" s="292">
        <f t="shared" ref="O2327:O2332" si="712">SUM(C2327:N2327)</f>
        <v>402</v>
      </c>
      <c r="P2327" s="5"/>
      <c r="Q2327" s="5"/>
      <c r="R2327" s="5"/>
      <c r="S2327" s="5"/>
      <c r="T2327" s="5"/>
      <c r="U2327" s="5"/>
      <c r="V2327" s="5"/>
      <c r="W2327" s="5"/>
      <c r="X2327" s="5"/>
      <c r="Y2327" s="5"/>
      <c r="Z2327" s="5"/>
    </row>
    <row r="2328" ht="12.0" customHeight="1">
      <c r="A2328" s="28" t="s">
        <v>1636</v>
      </c>
      <c r="B2328" s="5" t="s">
        <v>633</v>
      </c>
      <c r="C2328" s="291">
        <f>SUM('2029'!B21:B24)</f>
        <v>17.085</v>
      </c>
      <c r="D2328" s="291">
        <f>SUM('2029'!C21:C24)</f>
        <v>15.075</v>
      </c>
      <c r="E2328" s="291">
        <f>SUM('2029'!D21:D24)</f>
        <v>18.09</v>
      </c>
      <c r="F2328" s="291">
        <f>SUM('2029'!E21:E24)</f>
        <v>18.09</v>
      </c>
      <c r="G2328" s="291">
        <f>SUM('2029'!F21:F24)</f>
        <v>18.09</v>
      </c>
      <c r="H2328" s="291">
        <f>SUM('2029'!G21:G24)</f>
        <v>16.08</v>
      </c>
      <c r="I2328" s="291">
        <f>SUM('2029'!H21:H24)</f>
        <v>18.09</v>
      </c>
      <c r="J2328" s="291">
        <f>SUM('2029'!I21:I24)</f>
        <v>18.09</v>
      </c>
      <c r="K2328" s="291">
        <f>SUM('2029'!J21:J24)</f>
        <v>17.085</v>
      </c>
      <c r="L2328" s="291">
        <f>SUM('2029'!K21:K24)</f>
        <v>15.075</v>
      </c>
      <c r="M2328" s="291">
        <f>SUM('2029'!L21:L24)</f>
        <v>14.07</v>
      </c>
      <c r="N2328" s="291">
        <f>SUM('2029'!M21:M24)</f>
        <v>16.08</v>
      </c>
      <c r="O2328" s="292">
        <f t="shared" si="712"/>
        <v>201</v>
      </c>
      <c r="P2328" s="5"/>
      <c r="Q2328" s="5"/>
      <c r="R2328" s="5"/>
      <c r="S2328" s="5"/>
      <c r="T2328" s="5"/>
      <c r="U2328" s="5"/>
      <c r="V2328" s="5"/>
      <c r="W2328" s="5"/>
      <c r="X2328" s="5"/>
      <c r="Y2328" s="5"/>
      <c r="Z2328" s="5"/>
    </row>
    <row r="2329" ht="12.0" customHeight="1">
      <c r="A2329" s="28" t="s">
        <v>1637</v>
      </c>
      <c r="B2329" s="5" t="s">
        <v>633</v>
      </c>
      <c r="C2329" s="291">
        <f t="shared" ref="C2329:N2329" si="713">C2327+C2328</f>
        <v>51.255</v>
      </c>
      <c r="D2329" s="291">
        <f t="shared" si="713"/>
        <v>45.225</v>
      </c>
      <c r="E2329" s="291">
        <f t="shared" si="713"/>
        <v>54.27</v>
      </c>
      <c r="F2329" s="291">
        <f t="shared" si="713"/>
        <v>54.27</v>
      </c>
      <c r="G2329" s="291">
        <f t="shared" si="713"/>
        <v>54.27</v>
      </c>
      <c r="H2329" s="291">
        <f t="shared" si="713"/>
        <v>48.24</v>
      </c>
      <c r="I2329" s="291">
        <f t="shared" si="713"/>
        <v>54.27</v>
      </c>
      <c r="J2329" s="291">
        <f t="shared" si="713"/>
        <v>54.27</v>
      </c>
      <c r="K2329" s="291">
        <f t="shared" si="713"/>
        <v>51.255</v>
      </c>
      <c r="L2329" s="291">
        <f t="shared" si="713"/>
        <v>45.225</v>
      </c>
      <c r="M2329" s="291">
        <f t="shared" si="713"/>
        <v>42.21</v>
      </c>
      <c r="N2329" s="291">
        <f t="shared" si="713"/>
        <v>48.24</v>
      </c>
      <c r="O2329" s="292">
        <f t="shared" si="712"/>
        <v>603</v>
      </c>
      <c r="P2329" s="5"/>
      <c r="Q2329" s="5"/>
      <c r="R2329" s="5"/>
      <c r="S2329" s="5"/>
      <c r="T2329" s="5"/>
      <c r="U2329" s="5"/>
      <c r="V2329" s="5"/>
      <c r="W2329" s="5"/>
      <c r="X2329" s="5"/>
      <c r="Y2329" s="5"/>
      <c r="Z2329" s="5"/>
    </row>
    <row r="2330" ht="12.0" customHeight="1">
      <c r="A2330" s="28" t="s">
        <v>1638</v>
      </c>
      <c r="B2330" s="5" t="s">
        <v>633</v>
      </c>
      <c r="C2330" s="291">
        <f>$O2327*Parametros!$B$70</f>
        <v>34.17</v>
      </c>
      <c r="D2330" s="291">
        <f>$O2327*Parametros!$C$70</f>
        <v>30.15</v>
      </c>
      <c r="E2330" s="291">
        <f>$O2327*Parametros!$D$70</f>
        <v>36.18</v>
      </c>
      <c r="F2330" s="291">
        <f>$O2327*Parametros!$E$70</f>
        <v>36.18</v>
      </c>
      <c r="G2330" s="291">
        <f>$O2327*Parametros!$F$70</f>
        <v>36.18</v>
      </c>
      <c r="H2330" s="291">
        <f>$O2327*Parametros!$G$70</f>
        <v>32.16</v>
      </c>
      <c r="I2330" s="291">
        <f>$O2327*Parametros!$H$70</f>
        <v>36.18</v>
      </c>
      <c r="J2330" s="291">
        <f>$O2327*Parametros!$I$70</f>
        <v>36.18</v>
      </c>
      <c r="K2330" s="291">
        <f>$O2327*Parametros!$J$70</f>
        <v>34.17</v>
      </c>
      <c r="L2330" s="291">
        <f>$O2327*Parametros!$K$70</f>
        <v>30.15</v>
      </c>
      <c r="M2330" s="291">
        <f>$O2327*Parametros!$L$70</f>
        <v>28.14</v>
      </c>
      <c r="N2330" s="291">
        <f>$O2327*Parametros!$M$70</f>
        <v>32.16</v>
      </c>
      <c r="O2330" s="292">
        <f t="shared" si="712"/>
        <v>402</v>
      </c>
      <c r="P2330" s="5"/>
      <c r="Q2330" s="5"/>
      <c r="R2330" s="5"/>
      <c r="S2330" s="5"/>
      <c r="T2330" s="5"/>
      <c r="U2330" s="5"/>
      <c r="V2330" s="5"/>
      <c r="W2330" s="5"/>
      <c r="X2330" s="5"/>
      <c r="Y2330" s="5"/>
      <c r="Z2330" s="5"/>
    </row>
    <row r="2331" ht="12.0" customHeight="1">
      <c r="A2331" s="28" t="s">
        <v>1639</v>
      </c>
      <c r="B2331" s="5" t="s">
        <v>633</v>
      </c>
      <c r="C2331" s="291">
        <f>$O2328*Parametros!$B$70</f>
        <v>17.085</v>
      </c>
      <c r="D2331" s="291">
        <f>$O2328*Parametros!$C$70</f>
        <v>15.075</v>
      </c>
      <c r="E2331" s="291">
        <f>$O2328*Parametros!$D$70</f>
        <v>18.09</v>
      </c>
      <c r="F2331" s="291">
        <f>$O2328*Parametros!$E$70</f>
        <v>18.09</v>
      </c>
      <c r="G2331" s="291">
        <f>$O2328*Parametros!$F$70</f>
        <v>18.09</v>
      </c>
      <c r="H2331" s="291">
        <f>$O2328*Parametros!$G$70</f>
        <v>16.08</v>
      </c>
      <c r="I2331" s="291">
        <f>$O2328*Parametros!$H$70</f>
        <v>18.09</v>
      </c>
      <c r="J2331" s="291">
        <f>$O2328*Parametros!$I$70</f>
        <v>18.09</v>
      </c>
      <c r="K2331" s="291">
        <f>$O2328*Parametros!$J$70</f>
        <v>17.085</v>
      </c>
      <c r="L2331" s="291">
        <f>$O2328*Parametros!$K$70</f>
        <v>15.075</v>
      </c>
      <c r="M2331" s="291">
        <f>$O2328*Parametros!$L$70</f>
        <v>14.07</v>
      </c>
      <c r="N2331" s="291">
        <f>$O2328*Parametros!$M$70</f>
        <v>16.08</v>
      </c>
      <c r="O2331" s="292">
        <f t="shared" si="712"/>
        <v>201</v>
      </c>
      <c r="P2331" s="5"/>
      <c r="Q2331" s="5"/>
      <c r="R2331" s="5"/>
      <c r="S2331" s="5"/>
      <c r="T2331" s="5"/>
      <c r="U2331" s="5"/>
      <c r="V2331" s="5"/>
      <c r="W2331" s="5"/>
      <c r="X2331" s="5"/>
      <c r="Y2331" s="5"/>
      <c r="Z2331" s="5"/>
    </row>
    <row r="2332" ht="12.0" customHeight="1">
      <c r="A2332" s="10" t="s">
        <v>1640</v>
      </c>
      <c r="B2332" s="5" t="s">
        <v>633</v>
      </c>
      <c r="C2332" s="292">
        <f t="shared" ref="C2332:N2332" si="714">C2330+C2331</f>
        <v>51.255</v>
      </c>
      <c r="D2332" s="292">
        <f t="shared" si="714"/>
        <v>45.225</v>
      </c>
      <c r="E2332" s="292">
        <f t="shared" si="714"/>
        <v>54.27</v>
      </c>
      <c r="F2332" s="292">
        <f t="shared" si="714"/>
        <v>54.27</v>
      </c>
      <c r="G2332" s="292">
        <f t="shared" si="714"/>
        <v>54.27</v>
      </c>
      <c r="H2332" s="292">
        <f t="shared" si="714"/>
        <v>48.24</v>
      </c>
      <c r="I2332" s="292">
        <f t="shared" si="714"/>
        <v>54.27</v>
      </c>
      <c r="J2332" s="292">
        <f t="shared" si="714"/>
        <v>54.27</v>
      </c>
      <c r="K2332" s="292">
        <f t="shared" si="714"/>
        <v>51.255</v>
      </c>
      <c r="L2332" s="292">
        <f t="shared" si="714"/>
        <v>45.225</v>
      </c>
      <c r="M2332" s="292">
        <f t="shared" si="714"/>
        <v>42.21</v>
      </c>
      <c r="N2332" s="292">
        <f t="shared" si="714"/>
        <v>48.24</v>
      </c>
      <c r="O2332" s="292">
        <f t="shared" si="712"/>
        <v>603</v>
      </c>
      <c r="P2332" s="5"/>
      <c r="Q2332" s="5"/>
      <c r="R2332" s="5"/>
      <c r="S2332" s="5"/>
      <c r="T2332" s="5"/>
      <c r="U2332" s="5"/>
      <c r="V2332" s="5"/>
      <c r="W2332" s="5"/>
      <c r="X2332" s="5"/>
      <c r="Y2332" s="5"/>
      <c r="Z2332" s="5"/>
    </row>
    <row r="2333" ht="12.0" customHeight="1">
      <c r="A2333" s="28" t="s">
        <v>967</v>
      </c>
      <c r="B2333" s="5" t="s">
        <v>633</v>
      </c>
      <c r="C2333" s="291">
        <f>C2332-C2329</f>
        <v>0</v>
      </c>
      <c r="D2333" s="291">
        <f t="shared" ref="D2333:N2333" si="715">C2333+D2332-D2329</f>
        <v>0</v>
      </c>
      <c r="E2333" s="291">
        <f t="shared" si="715"/>
        <v>0</v>
      </c>
      <c r="F2333" s="291">
        <f t="shared" si="715"/>
        <v>0</v>
      </c>
      <c r="G2333" s="291">
        <f t="shared" si="715"/>
        <v>0</v>
      </c>
      <c r="H2333" s="291">
        <f t="shared" si="715"/>
        <v>0</v>
      </c>
      <c r="I2333" s="291">
        <f t="shared" si="715"/>
        <v>0</v>
      </c>
      <c r="J2333" s="291">
        <f t="shared" si="715"/>
        <v>0</v>
      </c>
      <c r="K2333" s="291">
        <f t="shared" si="715"/>
        <v>0</v>
      </c>
      <c r="L2333" s="291">
        <f t="shared" si="715"/>
        <v>0</v>
      </c>
      <c r="M2333" s="291">
        <f t="shared" si="715"/>
        <v>0</v>
      </c>
      <c r="N2333" s="291">
        <f t="shared" si="715"/>
        <v>0</v>
      </c>
      <c r="O2333" s="292"/>
      <c r="P2333" s="5"/>
      <c r="Q2333" s="5"/>
      <c r="R2333" s="5"/>
      <c r="S2333" s="5"/>
      <c r="T2333" s="5"/>
      <c r="U2333" s="5"/>
      <c r="V2333" s="5"/>
      <c r="W2333" s="5"/>
      <c r="X2333" s="5"/>
      <c r="Y2333" s="5"/>
      <c r="Z2333" s="5"/>
    </row>
    <row r="2334" ht="12.0" customHeight="1">
      <c r="A2334" s="10" t="s">
        <v>1641</v>
      </c>
      <c r="B2334" s="5" t="s">
        <v>633</v>
      </c>
      <c r="C2334" s="292">
        <f t="shared" ref="C2334:N2334" si="716">C2333-MIN(0,MIN($C2333:$N2333))</f>
        <v>0</v>
      </c>
      <c r="D2334" s="292">
        <f t="shared" si="716"/>
        <v>0</v>
      </c>
      <c r="E2334" s="292">
        <f t="shared" si="716"/>
        <v>0</v>
      </c>
      <c r="F2334" s="292">
        <f t="shared" si="716"/>
        <v>0</v>
      </c>
      <c r="G2334" s="292">
        <f t="shared" si="716"/>
        <v>0</v>
      </c>
      <c r="H2334" s="292">
        <f t="shared" si="716"/>
        <v>0</v>
      </c>
      <c r="I2334" s="292">
        <f t="shared" si="716"/>
        <v>0</v>
      </c>
      <c r="J2334" s="292">
        <f t="shared" si="716"/>
        <v>0</v>
      </c>
      <c r="K2334" s="292">
        <f t="shared" si="716"/>
        <v>0</v>
      </c>
      <c r="L2334" s="292">
        <f t="shared" si="716"/>
        <v>0</v>
      </c>
      <c r="M2334" s="292">
        <f t="shared" si="716"/>
        <v>0</v>
      </c>
      <c r="N2334" s="292">
        <f t="shared" si="716"/>
        <v>0</v>
      </c>
      <c r="O2334" s="292">
        <f>MAX(C2334:N2334)</f>
        <v>0</v>
      </c>
      <c r="P2334" s="292">
        <f>AVERAGE(C2334:N2334)</f>
        <v>0</v>
      </c>
      <c r="Q2334" s="5"/>
      <c r="R2334" s="5"/>
      <c r="S2334" s="5"/>
      <c r="T2334" s="5"/>
      <c r="U2334" s="5"/>
      <c r="V2334" s="5"/>
      <c r="W2334" s="5"/>
      <c r="X2334" s="5"/>
      <c r="Y2334" s="5"/>
      <c r="Z2334" s="5"/>
    </row>
    <row r="2335" ht="12.0" customHeight="1">
      <c r="A2335" s="10" t="s">
        <v>1642</v>
      </c>
      <c r="B2335" s="5"/>
      <c r="C2335" s="206"/>
      <c r="D2335" s="206"/>
      <c r="E2335" s="206"/>
      <c r="F2335" s="206"/>
      <c r="G2335" s="206"/>
      <c r="H2335" s="206"/>
      <c r="I2335" s="206"/>
      <c r="J2335" s="206"/>
      <c r="K2335" s="206"/>
      <c r="L2335" s="206"/>
      <c r="M2335" s="206"/>
      <c r="N2335" s="206"/>
      <c r="O2335" s="5"/>
      <c r="P2335" s="5"/>
      <c r="Q2335" s="5"/>
      <c r="R2335" s="5"/>
      <c r="S2335" s="5"/>
      <c r="T2335" s="5"/>
      <c r="U2335" s="5"/>
      <c r="V2335" s="5"/>
      <c r="W2335" s="5"/>
      <c r="X2335" s="5"/>
      <c r="Y2335" s="5"/>
      <c r="Z2335" s="5"/>
    </row>
    <row r="2336" ht="12.0" customHeight="1">
      <c r="A2336" s="92" t="s">
        <v>630</v>
      </c>
      <c r="B2336" s="5" t="s">
        <v>631</v>
      </c>
      <c r="C2336" s="206" t="s">
        <v>3</v>
      </c>
      <c r="D2336" s="206" t="s">
        <v>4</v>
      </c>
      <c r="E2336" s="206" t="s">
        <v>507</v>
      </c>
      <c r="F2336" s="206" t="s">
        <v>508</v>
      </c>
      <c r="G2336" s="206" t="s">
        <v>509</v>
      </c>
      <c r="H2336" s="206" t="s">
        <v>510</v>
      </c>
      <c r="I2336" s="206" t="s">
        <v>511</v>
      </c>
      <c r="J2336" s="206" t="s">
        <v>512</v>
      </c>
      <c r="K2336" s="206" t="s">
        <v>513</v>
      </c>
      <c r="L2336" s="206" t="s">
        <v>514</v>
      </c>
      <c r="M2336" s="206" t="s">
        <v>515</v>
      </c>
      <c r="N2336" s="206" t="s">
        <v>516</v>
      </c>
      <c r="O2336" s="5"/>
      <c r="P2336" s="5"/>
      <c r="Q2336" s="5"/>
      <c r="R2336" s="5"/>
      <c r="S2336" s="5"/>
      <c r="T2336" s="5"/>
      <c r="U2336" s="5"/>
      <c r="V2336" s="5"/>
      <c r="W2336" s="5"/>
      <c r="X2336" s="5"/>
      <c r="Y2336" s="5"/>
      <c r="Z2336" s="5"/>
    </row>
    <row r="2337" ht="12.0" customHeight="1">
      <c r="A2337" s="92" t="s">
        <v>1643</v>
      </c>
      <c r="B2337" s="5" t="s">
        <v>633</v>
      </c>
      <c r="C2337" s="203">
        <f t="shared" ref="C2337:N2337" si="717">C2332</f>
        <v>51.255</v>
      </c>
      <c r="D2337" s="203">
        <f t="shared" si="717"/>
        <v>45.225</v>
      </c>
      <c r="E2337" s="203">
        <f t="shared" si="717"/>
        <v>54.27</v>
      </c>
      <c r="F2337" s="203">
        <f t="shared" si="717"/>
        <v>54.27</v>
      </c>
      <c r="G2337" s="203">
        <f t="shared" si="717"/>
        <v>54.27</v>
      </c>
      <c r="H2337" s="203">
        <f t="shared" si="717"/>
        <v>48.24</v>
      </c>
      <c r="I2337" s="203">
        <f t="shared" si="717"/>
        <v>54.27</v>
      </c>
      <c r="J2337" s="203">
        <f t="shared" si="717"/>
        <v>54.27</v>
      </c>
      <c r="K2337" s="203">
        <f t="shared" si="717"/>
        <v>51.255</v>
      </c>
      <c r="L2337" s="203">
        <f t="shared" si="717"/>
        <v>45.225</v>
      </c>
      <c r="M2337" s="203">
        <f t="shared" si="717"/>
        <v>42.21</v>
      </c>
      <c r="N2337" s="203">
        <f t="shared" si="717"/>
        <v>48.24</v>
      </c>
      <c r="O2337" s="5"/>
      <c r="P2337" s="5"/>
      <c r="Q2337" s="5"/>
      <c r="R2337" s="5"/>
      <c r="S2337" s="5"/>
      <c r="T2337" s="5"/>
      <c r="U2337" s="5"/>
      <c r="V2337" s="5"/>
      <c r="W2337" s="5"/>
      <c r="X2337" s="5"/>
      <c r="Y2337" s="5"/>
      <c r="Z2337" s="5"/>
    </row>
    <row r="2338" ht="12.0" customHeight="1">
      <c r="A2338" s="92"/>
      <c r="B2338" s="5" t="s">
        <v>634</v>
      </c>
      <c r="C2338" s="293">
        <f>C2337/Parametros!$B$37</f>
        <v>2.56275</v>
      </c>
      <c r="D2338" s="293">
        <f>D2337/Parametros!$B$37</f>
        <v>2.26125</v>
      </c>
      <c r="E2338" s="293">
        <f>E2337/Parametros!$B$37</f>
        <v>2.7135</v>
      </c>
      <c r="F2338" s="293">
        <f>F2337/Parametros!$B$37</f>
        <v>2.7135</v>
      </c>
      <c r="G2338" s="293">
        <f>G2337/Parametros!$B$37</f>
        <v>2.7135</v>
      </c>
      <c r="H2338" s="293">
        <f>H2337/Parametros!$B$37</f>
        <v>2.412</v>
      </c>
      <c r="I2338" s="293">
        <f>I2337/Parametros!$B$37</f>
        <v>2.7135</v>
      </c>
      <c r="J2338" s="293">
        <f>J2337/Parametros!$B$37</f>
        <v>2.7135</v>
      </c>
      <c r="K2338" s="293">
        <f>K2337/Parametros!$B$37</f>
        <v>2.56275</v>
      </c>
      <c r="L2338" s="293">
        <f>L2337/Parametros!$B$37</f>
        <v>2.26125</v>
      </c>
      <c r="M2338" s="293">
        <f>M2337/Parametros!$B$37</f>
        <v>2.1105</v>
      </c>
      <c r="N2338" s="293">
        <f>N2337/Parametros!$B$37</f>
        <v>2.412</v>
      </c>
      <c r="O2338" s="5"/>
      <c r="P2338" s="5"/>
      <c r="Q2338" s="5"/>
      <c r="R2338" s="5"/>
      <c r="S2338" s="5"/>
      <c r="T2338" s="5"/>
      <c r="U2338" s="5"/>
      <c r="V2338" s="5"/>
      <c r="W2338" s="5"/>
      <c r="X2338" s="5"/>
      <c r="Y2338" s="5"/>
      <c r="Z2338" s="5"/>
    </row>
    <row r="2339" ht="12.0" customHeight="1">
      <c r="A2339" s="92"/>
      <c r="B2339" s="5" t="s">
        <v>635</v>
      </c>
      <c r="C2339" s="293">
        <f>C2338/Parametros!$J$37</f>
        <v>0.3417</v>
      </c>
      <c r="D2339" s="293">
        <f>D2338/Parametros!$J$37</f>
        <v>0.3015</v>
      </c>
      <c r="E2339" s="293">
        <f>E2338/Parametros!$J$37</f>
        <v>0.3618</v>
      </c>
      <c r="F2339" s="293">
        <f>F2338/Parametros!$J$37</f>
        <v>0.3618</v>
      </c>
      <c r="G2339" s="293">
        <f>G2338/Parametros!$J$37</f>
        <v>0.3618</v>
      </c>
      <c r="H2339" s="293">
        <f>H2338/Parametros!$J$37</f>
        <v>0.3216</v>
      </c>
      <c r="I2339" s="293">
        <f>I2338/Parametros!$J$37</f>
        <v>0.3618</v>
      </c>
      <c r="J2339" s="293">
        <f>J2338/Parametros!$J$37</f>
        <v>0.3618</v>
      </c>
      <c r="K2339" s="293">
        <f>K2338/Parametros!$J$37</f>
        <v>0.3417</v>
      </c>
      <c r="L2339" s="293">
        <f>L2338/Parametros!$J$37</f>
        <v>0.3015</v>
      </c>
      <c r="M2339" s="293">
        <f>M2338/Parametros!$J$37</f>
        <v>0.2814</v>
      </c>
      <c r="N2339" s="293">
        <f>N2338/Parametros!$J$37</f>
        <v>0.3216</v>
      </c>
      <c r="O2339" s="5"/>
      <c r="P2339" s="5"/>
      <c r="Q2339" s="5"/>
      <c r="R2339" s="5"/>
      <c r="S2339" s="5"/>
      <c r="T2339" s="5"/>
      <c r="U2339" s="5"/>
      <c r="V2339" s="5"/>
      <c r="W2339" s="5"/>
      <c r="X2339" s="5"/>
      <c r="Y2339" s="5"/>
      <c r="Z2339" s="5"/>
    </row>
    <row r="2340" ht="12.0" customHeight="1">
      <c r="A2340" s="92" t="s">
        <v>636</v>
      </c>
      <c r="B2340" s="5"/>
      <c r="C2340" s="293">
        <f t="shared" ref="C2340:N2340" si="718">C2339</f>
        <v>0.3417</v>
      </c>
      <c r="D2340" s="293">
        <f t="shared" si="718"/>
        <v>0.3015</v>
      </c>
      <c r="E2340" s="293">
        <f t="shared" si="718"/>
        <v>0.3618</v>
      </c>
      <c r="F2340" s="293">
        <f t="shared" si="718"/>
        <v>0.3618</v>
      </c>
      <c r="G2340" s="293">
        <f t="shared" si="718"/>
        <v>0.3618</v>
      </c>
      <c r="H2340" s="293">
        <f t="shared" si="718"/>
        <v>0.3216</v>
      </c>
      <c r="I2340" s="293">
        <f t="shared" si="718"/>
        <v>0.3618</v>
      </c>
      <c r="J2340" s="293">
        <f t="shared" si="718"/>
        <v>0.3618</v>
      </c>
      <c r="K2340" s="293">
        <f t="shared" si="718"/>
        <v>0.3417</v>
      </c>
      <c r="L2340" s="293">
        <f t="shared" si="718"/>
        <v>0.3015</v>
      </c>
      <c r="M2340" s="293">
        <f t="shared" si="718"/>
        <v>0.2814</v>
      </c>
      <c r="N2340" s="293">
        <f t="shared" si="718"/>
        <v>0.3216</v>
      </c>
      <c r="O2340" s="5"/>
      <c r="P2340" s="5"/>
      <c r="Q2340" s="5"/>
      <c r="R2340" s="5"/>
      <c r="S2340" s="5"/>
      <c r="T2340" s="5"/>
      <c r="U2340" s="5"/>
      <c r="V2340" s="5"/>
      <c r="W2340" s="5"/>
      <c r="X2340" s="5"/>
      <c r="Y2340" s="5"/>
      <c r="Z2340" s="5"/>
    </row>
    <row r="2341" ht="12.0" customHeight="1">
      <c r="A2341" s="92" t="s">
        <v>637</v>
      </c>
      <c r="B2341" s="5"/>
      <c r="C2341" s="293">
        <f>Parametros!$M$112</f>
        <v>15.69230769</v>
      </c>
      <c r="D2341" s="293">
        <f>Parametros!$M$112</f>
        <v>15.69230769</v>
      </c>
      <c r="E2341" s="293">
        <f>Parametros!$M$112</f>
        <v>15.69230769</v>
      </c>
      <c r="F2341" s="293">
        <f>Parametros!$M$112</f>
        <v>15.69230769</v>
      </c>
      <c r="G2341" s="293">
        <f>Parametros!$M$112</f>
        <v>15.69230769</v>
      </c>
      <c r="H2341" s="293">
        <f>Parametros!$M$112</f>
        <v>15.69230769</v>
      </c>
      <c r="I2341" s="293">
        <f>Parametros!$M$112</f>
        <v>15.69230769</v>
      </c>
      <c r="J2341" s="293">
        <f>Parametros!$M$112</f>
        <v>15.69230769</v>
      </c>
      <c r="K2341" s="293">
        <f>Parametros!$M$112</f>
        <v>15.69230769</v>
      </c>
      <c r="L2341" s="293">
        <f>Parametros!$M$112</f>
        <v>15.69230769</v>
      </c>
      <c r="M2341" s="293">
        <f>Parametros!$M$112</f>
        <v>15.69230769</v>
      </c>
      <c r="N2341" s="293">
        <f>Parametros!$M$112</f>
        <v>15.69230769</v>
      </c>
      <c r="O2341" s="5"/>
      <c r="P2341" s="5"/>
      <c r="Q2341" s="5"/>
      <c r="R2341" s="5"/>
      <c r="S2341" s="5"/>
      <c r="T2341" s="5"/>
      <c r="U2341" s="5"/>
      <c r="V2341" s="5"/>
      <c r="W2341" s="5"/>
      <c r="X2341" s="5"/>
      <c r="Y2341" s="5"/>
      <c r="Z2341" s="5"/>
    </row>
    <row r="2342" ht="12.0" customHeight="1">
      <c r="A2342" s="92" t="s">
        <v>640</v>
      </c>
      <c r="B2342" s="5"/>
      <c r="C2342" s="203">
        <f>'Resumen Capacidad'!$E$220</f>
        <v>1</v>
      </c>
      <c r="D2342" s="203">
        <f>'Resumen Capacidad'!$E$220</f>
        <v>1</v>
      </c>
      <c r="E2342" s="203">
        <f>'Resumen Capacidad'!$E$220</f>
        <v>1</v>
      </c>
      <c r="F2342" s="203">
        <f>'Resumen Capacidad'!$E$220</f>
        <v>1</v>
      </c>
      <c r="G2342" s="203">
        <f>'Resumen Capacidad'!$E$220</f>
        <v>1</v>
      </c>
      <c r="H2342" s="203">
        <f>'Resumen Capacidad'!$E$220</f>
        <v>1</v>
      </c>
      <c r="I2342" s="203">
        <f>'Resumen Capacidad'!$E$220</f>
        <v>1</v>
      </c>
      <c r="J2342" s="203">
        <f>'Resumen Capacidad'!$E$220</f>
        <v>1</v>
      </c>
      <c r="K2342" s="203">
        <f>'Resumen Capacidad'!$E$220</f>
        <v>1</v>
      </c>
      <c r="L2342" s="203">
        <f>'Resumen Capacidad'!$E$220</f>
        <v>1</v>
      </c>
      <c r="M2342" s="203">
        <f>'Resumen Capacidad'!$E$220</f>
        <v>1</v>
      </c>
      <c r="N2342" s="203">
        <f>'Resumen Capacidad'!$E$220</f>
        <v>1</v>
      </c>
      <c r="O2342" s="5"/>
      <c r="P2342" s="5"/>
      <c r="Q2342" s="5"/>
      <c r="R2342" s="5"/>
      <c r="S2342" s="5"/>
      <c r="T2342" s="5"/>
      <c r="U2342" s="5"/>
      <c r="V2342" s="5"/>
      <c r="W2342" s="5"/>
      <c r="X2342" s="5"/>
      <c r="Y2342" s="5"/>
      <c r="Z2342" s="5"/>
    </row>
    <row r="2343" ht="12.0" customHeight="1">
      <c r="A2343" s="92" t="s">
        <v>642</v>
      </c>
      <c r="B2343" s="5"/>
      <c r="C2343" s="203">
        <f t="shared" ref="C2343:N2343" si="719">C2341*C2342</f>
        <v>15.69230769</v>
      </c>
      <c r="D2343" s="203">
        <f t="shared" si="719"/>
        <v>15.69230769</v>
      </c>
      <c r="E2343" s="203">
        <f t="shared" si="719"/>
        <v>15.69230769</v>
      </c>
      <c r="F2343" s="203">
        <f t="shared" si="719"/>
        <v>15.69230769</v>
      </c>
      <c r="G2343" s="203">
        <f t="shared" si="719"/>
        <v>15.69230769</v>
      </c>
      <c r="H2343" s="203">
        <f t="shared" si="719"/>
        <v>15.69230769</v>
      </c>
      <c r="I2343" s="203">
        <f t="shared" si="719"/>
        <v>15.69230769</v>
      </c>
      <c r="J2343" s="203">
        <f t="shared" si="719"/>
        <v>15.69230769</v>
      </c>
      <c r="K2343" s="203">
        <f t="shared" si="719"/>
        <v>15.69230769</v>
      </c>
      <c r="L2343" s="203">
        <f t="shared" si="719"/>
        <v>15.69230769</v>
      </c>
      <c r="M2343" s="203">
        <f t="shared" si="719"/>
        <v>15.69230769</v>
      </c>
      <c r="N2343" s="203">
        <f t="shared" si="719"/>
        <v>15.69230769</v>
      </c>
      <c r="O2343" s="5"/>
      <c r="P2343" s="5"/>
      <c r="Q2343" s="5"/>
      <c r="R2343" s="5"/>
      <c r="S2343" s="5"/>
      <c r="T2343" s="5"/>
      <c r="U2343" s="5"/>
      <c r="V2343" s="5"/>
      <c r="W2343" s="5"/>
      <c r="X2343" s="5"/>
      <c r="Y2343" s="5"/>
      <c r="Z2343" s="5"/>
    </row>
    <row r="2344" ht="12.0" customHeight="1">
      <c r="A2344" s="92" t="s">
        <v>643</v>
      </c>
      <c r="B2344" s="5"/>
      <c r="C2344" s="294">
        <f t="shared" ref="C2344:N2344" si="720">IF(C2343=0,0,C2340/C2343)</f>
        <v>0.021775</v>
      </c>
      <c r="D2344" s="294">
        <f t="shared" si="720"/>
        <v>0.01921323529</v>
      </c>
      <c r="E2344" s="294">
        <f t="shared" si="720"/>
        <v>0.02305588235</v>
      </c>
      <c r="F2344" s="294">
        <f t="shared" si="720"/>
        <v>0.02305588235</v>
      </c>
      <c r="G2344" s="294">
        <f t="shared" si="720"/>
        <v>0.02305588235</v>
      </c>
      <c r="H2344" s="294">
        <f t="shared" si="720"/>
        <v>0.02049411765</v>
      </c>
      <c r="I2344" s="294">
        <f t="shared" si="720"/>
        <v>0.02305588235</v>
      </c>
      <c r="J2344" s="294">
        <f t="shared" si="720"/>
        <v>0.02305588235</v>
      </c>
      <c r="K2344" s="294">
        <f t="shared" si="720"/>
        <v>0.021775</v>
      </c>
      <c r="L2344" s="294">
        <f t="shared" si="720"/>
        <v>0.01921323529</v>
      </c>
      <c r="M2344" s="294">
        <f t="shared" si="720"/>
        <v>0.01793235294</v>
      </c>
      <c r="N2344" s="294">
        <f t="shared" si="720"/>
        <v>0.02049411765</v>
      </c>
      <c r="O2344" s="5"/>
      <c r="P2344" s="5"/>
      <c r="Q2344" s="5"/>
      <c r="R2344" s="5"/>
      <c r="S2344" s="5"/>
      <c r="T2344" s="5"/>
      <c r="U2344" s="5"/>
      <c r="V2344" s="5"/>
      <c r="W2344" s="5"/>
      <c r="X2344" s="5"/>
      <c r="Y2344" s="5"/>
      <c r="Z2344" s="5"/>
    </row>
    <row r="2345" ht="12.0" customHeight="1">
      <c r="A2345" s="10" t="s">
        <v>1644</v>
      </c>
      <c r="B2345" s="5"/>
      <c r="C2345" s="206"/>
      <c r="D2345" s="206"/>
      <c r="E2345" s="206"/>
      <c r="F2345" s="206"/>
      <c r="G2345" s="206"/>
      <c r="H2345" s="206"/>
      <c r="I2345" s="206"/>
      <c r="J2345" s="206"/>
      <c r="K2345" s="206"/>
      <c r="L2345" s="206"/>
      <c r="M2345" s="206"/>
      <c r="N2345" s="206"/>
      <c r="O2345" s="5"/>
      <c r="P2345" s="5"/>
      <c r="Q2345" s="5"/>
      <c r="R2345" s="5"/>
      <c r="S2345" s="5"/>
      <c r="T2345" s="5"/>
      <c r="U2345" s="5"/>
      <c r="V2345" s="5"/>
      <c r="W2345" s="5"/>
      <c r="X2345" s="5"/>
      <c r="Y2345" s="5"/>
      <c r="Z2345" s="5"/>
    </row>
    <row r="2346" ht="12.0" customHeight="1">
      <c r="A2346" s="92" t="s">
        <v>630</v>
      </c>
      <c r="B2346" s="5" t="s">
        <v>631</v>
      </c>
      <c r="C2346" s="206" t="s">
        <v>3</v>
      </c>
      <c r="D2346" s="206" t="s">
        <v>4</v>
      </c>
      <c r="E2346" s="206" t="s">
        <v>507</v>
      </c>
      <c r="F2346" s="206" t="s">
        <v>508</v>
      </c>
      <c r="G2346" s="206" t="s">
        <v>509</v>
      </c>
      <c r="H2346" s="206" t="s">
        <v>510</v>
      </c>
      <c r="I2346" s="206" t="s">
        <v>511</v>
      </c>
      <c r="J2346" s="206" t="s">
        <v>512</v>
      </c>
      <c r="K2346" s="206" t="s">
        <v>513</v>
      </c>
      <c r="L2346" s="206" t="s">
        <v>514</v>
      </c>
      <c r="M2346" s="206" t="s">
        <v>515</v>
      </c>
      <c r="N2346" s="206" t="s">
        <v>516</v>
      </c>
      <c r="O2346" s="5"/>
      <c r="P2346" s="5"/>
      <c r="Q2346" s="5"/>
      <c r="R2346" s="5"/>
      <c r="S2346" s="5"/>
      <c r="T2346" s="5"/>
      <c r="U2346" s="5"/>
      <c r="V2346" s="5"/>
      <c r="W2346" s="5"/>
      <c r="X2346" s="5"/>
      <c r="Y2346" s="5"/>
      <c r="Z2346" s="5"/>
    </row>
    <row r="2347" ht="12.0" customHeight="1">
      <c r="A2347" s="92" t="s">
        <v>1643</v>
      </c>
      <c r="B2347" s="5" t="s">
        <v>633</v>
      </c>
      <c r="C2347" s="203">
        <f t="shared" ref="C2347:N2347" si="721">C2332</f>
        <v>51.255</v>
      </c>
      <c r="D2347" s="203">
        <f t="shared" si="721"/>
        <v>45.225</v>
      </c>
      <c r="E2347" s="203">
        <f t="shared" si="721"/>
        <v>54.27</v>
      </c>
      <c r="F2347" s="203">
        <f t="shared" si="721"/>
        <v>54.27</v>
      </c>
      <c r="G2347" s="203">
        <f t="shared" si="721"/>
        <v>54.27</v>
      </c>
      <c r="H2347" s="203">
        <f t="shared" si="721"/>
        <v>48.24</v>
      </c>
      <c r="I2347" s="203">
        <f t="shared" si="721"/>
        <v>54.27</v>
      </c>
      <c r="J2347" s="203">
        <f t="shared" si="721"/>
        <v>54.27</v>
      </c>
      <c r="K2347" s="203">
        <f t="shared" si="721"/>
        <v>51.255</v>
      </c>
      <c r="L2347" s="203">
        <f t="shared" si="721"/>
        <v>45.225</v>
      </c>
      <c r="M2347" s="203">
        <f t="shared" si="721"/>
        <v>42.21</v>
      </c>
      <c r="N2347" s="203">
        <f t="shared" si="721"/>
        <v>48.24</v>
      </c>
      <c r="O2347" s="5"/>
      <c r="P2347" s="5"/>
      <c r="Q2347" s="5"/>
      <c r="R2347" s="5"/>
      <c r="S2347" s="5"/>
      <c r="T2347" s="5"/>
      <c r="U2347" s="5"/>
      <c r="V2347" s="5"/>
      <c r="W2347" s="5"/>
      <c r="X2347" s="5"/>
      <c r="Y2347" s="5"/>
      <c r="Z2347" s="5"/>
    </row>
    <row r="2348" ht="12.0" customHeight="1">
      <c r="A2348" s="92"/>
      <c r="B2348" s="5" t="s">
        <v>634</v>
      </c>
      <c r="C2348" s="293">
        <f>C2347/Parametros!$B$37</f>
        <v>2.56275</v>
      </c>
      <c r="D2348" s="293">
        <f>D2347/Parametros!$B$37</f>
        <v>2.26125</v>
      </c>
      <c r="E2348" s="293">
        <f>E2347/Parametros!$B$37</f>
        <v>2.7135</v>
      </c>
      <c r="F2348" s="293">
        <f>F2347/Parametros!$B$37</f>
        <v>2.7135</v>
      </c>
      <c r="G2348" s="293">
        <f>G2347/Parametros!$B$37</f>
        <v>2.7135</v>
      </c>
      <c r="H2348" s="293">
        <f>H2347/Parametros!$B$37</f>
        <v>2.412</v>
      </c>
      <c r="I2348" s="293">
        <f>I2347/Parametros!$B$37</f>
        <v>2.7135</v>
      </c>
      <c r="J2348" s="293">
        <f>J2347/Parametros!$B$37</f>
        <v>2.7135</v>
      </c>
      <c r="K2348" s="293">
        <f>K2347/Parametros!$B$37</f>
        <v>2.56275</v>
      </c>
      <c r="L2348" s="293">
        <f>L2347/Parametros!$B$37</f>
        <v>2.26125</v>
      </c>
      <c r="M2348" s="293">
        <f>M2347/Parametros!$B$37</f>
        <v>2.1105</v>
      </c>
      <c r="N2348" s="293">
        <f>N2347/Parametros!$B$37</f>
        <v>2.412</v>
      </c>
      <c r="O2348" s="5"/>
      <c r="P2348" s="5"/>
      <c r="Q2348" s="5"/>
      <c r="R2348" s="5"/>
      <c r="S2348" s="5"/>
      <c r="T2348" s="5"/>
      <c r="U2348" s="5"/>
      <c r="V2348" s="5"/>
      <c r="W2348" s="5"/>
      <c r="X2348" s="5"/>
      <c r="Y2348" s="5"/>
      <c r="Z2348" s="5"/>
    </row>
    <row r="2349" ht="12.0" customHeight="1">
      <c r="A2349" s="92"/>
      <c r="B2349" s="5" t="s">
        <v>635</v>
      </c>
      <c r="C2349" s="293">
        <f>C2348/Parametros!$J$37</f>
        <v>0.3417</v>
      </c>
      <c r="D2349" s="293">
        <f>D2348/Parametros!$J$37</f>
        <v>0.3015</v>
      </c>
      <c r="E2349" s="293">
        <f>E2348/Parametros!$J$37</f>
        <v>0.3618</v>
      </c>
      <c r="F2349" s="293">
        <f>F2348/Parametros!$J$37</f>
        <v>0.3618</v>
      </c>
      <c r="G2349" s="293">
        <f>G2348/Parametros!$J$37</f>
        <v>0.3618</v>
      </c>
      <c r="H2349" s="293">
        <f>H2348/Parametros!$J$37</f>
        <v>0.3216</v>
      </c>
      <c r="I2349" s="293">
        <f>I2348/Parametros!$J$37</f>
        <v>0.3618</v>
      </c>
      <c r="J2349" s="293">
        <f>J2348/Parametros!$J$37</f>
        <v>0.3618</v>
      </c>
      <c r="K2349" s="293">
        <f>K2348/Parametros!$J$37</f>
        <v>0.3417</v>
      </c>
      <c r="L2349" s="293">
        <f>L2348/Parametros!$J$37</f>
        <v>0.3015</v>
      </c>
      <c r="M2349" s="293">
        <f>M2348/Parametros!$J$37</f>
        <v>0.2814</v>
      </c>
      <c r="N2349" s="293">
        <f>N2348/Parametros!$J$37</f>
        <v>0.3216</v>
      </c>
      <c r="O2349" s="5"/>
      <c r="P2349" s="5"/>
      <c r="Q2349" s="5"/>
      <c r="R2349" s="5"/>
      <c r="S2349" s="5"/>
      <c r="T2349" s="5"/>
      <c r="U2349" s="5"/>
      <c r="V2349" s="5"/>
      <c r="W2349" s="5"/>
      <c r="X2349" s="5"/>
      <c r="Y2349" s="5"/>
      <c r="Z2349" s="5"/>
    </row>
    <row r="2350" ht="12.0" customHeight="1">
      <c r="A2350" s="92" t="s">
        <v>636</v>
      </c>
      <c r="B2350" s="5"/>
      <c r="C2350" s="293">
        <f t="shared" ref="C2350:N2350" si="722">C2349</f>
        <v>0.3417</v>
      </c>
      <c r="D2350" s="293">
        <f t="shared" si="722"/>
        <v>0.3015</v>
      </c>
      <c r="E2350" s="293">
        <f t="shared" si="722"/>
        <v>0.3618</v>
      </c>
      <c r="F2350" s="293">
        <f t="shared" si="722"/>
        <v>0.3618</v>
      </c>
      <c r="G2350" s="293">
        <f t="shared" si="722"/>
        <v>0.3618</v>
      </c>
      <c r="H2350" s="293">
        <f t="shared" si="722"/>
        <v>0.3216</v>
      </c>
      <c r="I2350" s="293">
        <f t="shared" si="722"/>
        <v>0.3618</v>
      </c>
      <c r="J2350" s="293">
        <f t="shared" si="722"/>
        <v>0.3618</v>
      </c>
      <c r="K2350" s="293">
        <f t="shared" si="722"/>
        <v>0.3417</v>
      </c>
      <c r="L2350" s="293">
        <f t="shared" si="722"/>
        <v>0.3015</v>
      </c>
      <c r="M2350" s="293">
        <f t="shared" si="722"/>
        <v>0.2814</v>
      </c>
      <c r="N2350" s="293">
        <f t="shared" si="722"/>
        <v>0.3216</v>
      </c>
      <c r="O2350" s="5"/>
      <c r="P2350" s="5"/>
      <c r="Q2350" s="5"/>
      <c r="R2350" s="5"/>
      <c r="S2350" s="5"/>
      <c r="T2350" s="5"/>
      <c r="U2350" s="5"/>
      <c r="V2350" s="5"/>
      <c r="W2350" s="5"/>
      <c r="X2350" s="5"/>
      <c r="Y2350" s="5"/>
      <c r="Z2350" s="5"/>
    </row>
    <row r="2351" ht="12.0" customHeight="1">
      <c r="A2351" s="92" t="s">
        <v>637</v>
      </c>
      <c r="B2351" s="5"/>
      <c r="C2351" s="293">
        <f>Parametros!$M$113</f>
        <v>1.882352941</v>
      </c>
      <c r="D2351" s="293">
        <f>Parametros!$M$113</f>
        <v>1.882352941</v>
      </c>
      <c r="E2351" s="293">
        <f>Parametros!$M$113</f>
        <v>1.882352941</v>
      </c>
      <c r="F2351" s="293">
        <f>Parametros!$M$113</f>
        <v>1.882352941</v>
      </c>
      <c r="G2351" s="293">
        <f>Parametros!$M$113</f>
        <v>1.882352941</v>
      </c>
      <c r="H2351" s="293">
        <f>Parametros!$M$113</f>
        <v>1.882352941</v>
      </c>
      <c r="I2351" s="293">
        <f>Parametros!$M$113</f>
        <v>1.882352941</v>
      </c>
      <c r="J2351" s="293">
        <f>Parametros!$M$113</f>
        <v>1.882352941</v>
      </c>
      <c r="K2351" s="293">
        <f>Parametros!$M$113</f>
        <v>1.882352941</v>
      </c>
      <c r="L2351" s="293">
        <f>Parametros!$M$113</f>
        <v>1.882352941</v>
      </c>
      <c r="M2351" s="293">
        <f>Parametros!$M$113</f>
        <v>1.882352941</v>
      </c>
      <c r="N2351" s="293">
        <f>Parametros!$M$113</f>
        <v>1.882352941</v>
      </c>
      <c r="O2351" s="5"/>
      <c r="P2351" s="5"/>
      <c r="Q2351" s="5"/>
      <c r="R2351" s="5"/>
      <c r="S2351" s="5"/>
      <c r="T2351" s="5"/>
      <c r="U2351" s="5"/>
      <c r="V2351" s="5"/>
      <c r="W2351" s="5"/>
      <c r="X2351" s="5"/>
      <c r="Y2351" s="5"/>
      <c r="Z2351" s="5"/>
    </row>
    <row r="2352" ht="12.0" customHeight="1">
      <c r="A2352" s="92" t="s">
        <v>640</v>
      </c>
      <c r="B2352" s="5"/>
      <c r="C2352" s="203">
        <f>'Resumen Capacidad'!$E$221</f>
        <v>1</v>
      </c>
      <c r="D2352" s="203">
        <f>'Resumen Capacidad'!$E$221</f>
        <v>1</v>
      </c>
      <c r="E2352" s="203">
        <f>'Resumen Capacidad'!$E$221</f>
        <v>1</v>
      </c>
      <c r="F2352" s="203">
        <f>'Resumen Capacidad'!$E$221</f>
        <v>1</v>
      </c>
      <c r="G2352" s="203">
        <f>'Resumen Capacidad'!$E$221</f>
        <v>1</v>
      </c>
      <c r="H2352" s="203">
        <f>'Resumen Capacidad'!$E$221</f>
        <v>1</v>
      </c>
      <c r="I2352" s="203">
        <f>'Resumen Capacidad'!$E$221</f>
        <v>1</v>
      </c>
      <c r="J2352" s="203">
        <f>'Resumen Capacidad'!$E$221</f>
        <v>1</v>
      </c>
      <c r="K2352" s="203">
        <f>'Resumen Capacidad'!$E$221</f>
        <v>1</v>
      </c>
      <c r="L2352" s="203">
        <f>'Resumen Capacidad'!$E$221</f>
        <v>1</v>
      </c>
      <c r="M2352" s="203">
        <f>'Resumen Capacidad'!$E$221</f>
        <v>1</v>
      </c>
      <c r="N2352" s="203">
        <f>'Resumen Capacidad'!$E$221</f>
        <v>1</v>
      </c>
      <c r="O2352" s="5"/>
      <c r="P2352" s="5"/>
      <c r="Q2352" s="5"/>
      <c r="R2352" s="5"/>
      <c r="S2352" s="5"/>
      <c r="T2352" s="5"/>
      <c r="U2352" s="5"/>
      <c r="V2352" s="5"/>
      <c r="W2352" s="5"/>
      <c r="X2352" s="5"/>
      <c r="Y2352" s="5"/>
      <c r="Z2352" s="5"/>
    </row>
    <row r="2353" ht="12.0" customHeight="1">
      <c r="A2353" s="92" t="s">
        <v>642</v>
      </c>
      <c r="B2353" s="5"/>
      <c r="C2353" s="203">
        <f t="shared" ref="C2353:N2353" si="723">C2351*C2352</f>
        <v>1.882352941</v>
      </c>
      <c r="D2353" s="203">
        <f t="shared" si="723"/>
        <v>1.882352941</v>
      </c>
      <c r="E2353" s="203">
        <f t="shared" si="723"/>
        <v>1.882352941</v>
      </c>
      <c r="F2353" s="203">
        <f t="shared" si="723"/>
        <v>1.882352941</v>
      </c>
      <c r="G2353" s="203">
        <f t="shared" si="723"/>
        <v>1.882352941</v>
      </c>
      <c r="H2353" s="203">
        <f t="shared" si="723"/>
        <v>1.882352941</v>
      </c>
      <c r="I2353" s="203">
        <f t="shared" si="723"/>
        <v>1.882352941</v>
      </c>
      <c r="J2353" s="203">
        <f t="shared" si="723"/>
        <v>1.882352941</v>
      </c>
      <c r="K2353" s="203">
        <f t="shared" si="723"/>
        <v>1.882352941</v>
      </c>
      <c r="L2353" s="203">
        <f t="shared" si="723"/>
        <v>1.882352941</v>
      </c>
      <c r="M2353" s="203">
        <f t="shared" si="723"/>
        <v>1.882352941</v>
      </c>
      <c r="N2353" s="203">
        <f t="shared" si="723"/>
        <v>1.882352941</v>
      </c>
      <c r="O2353" s="5"/>
      <c r="P2353" s="5"/>
      <c r="Q2353" s="5"/>
      <c r="R2353" s="5"/>
      <c r="S2353" s="5"/>
      <c r="T2353" s="5"/>
      <c r="U2353" s="5"/>
      <c r="V2353" s="5"/>
      <c r="W2353" s="5"/>
      <c r="X2353" s="5"/>
      <c r="Y2353" s="5"/>
      <c r="Z2353" s="5"/>
    </row>
    <row r="2354" ht="12.0" customHeight="1">
      <c r="A2354" s="92" t="s">
        <v>643</v>
      </c>
      <c r="B2354" s="5"/>
      <c r="C2354" s="294">
        <f t="shared" ref="C2354:N2354" si="724">IF(C2353=0,0,C2350/C2353)</f>
        <v>0.181528125</v>
      </c>
      <c r="D2354" s="294">
        <f t="shared" si="724"/>
        <v>0.160171875</v>
      </c>
      <c r="E2354" s="294">
        <f t="shared" si="724"/>
        <v>0.19220625</v>
      </c>
      <c r="F2354" s="294">
        <f t="shared" si="724"/>
        <v>0.19220625</v>
      </c>
      <c r="G2354" s="294">
        <f t="shared" si="724"/>
        <v>0.19220625</v>
      </c>
      <c r="H2354" s="294">
        <f t="shared" si="724"/>
        <v>0.17085</v>
      </c>
      <c r="I2354" s="294">
        <f t="shared" si="724"/>
        <v>0.19220625</v>
      </c>
      <c r="J2354" s="294">
        <f t="shared" si="724"/>
        <v>0.19220625</v>
      </c>
      <c r="K2354" s="294">
        <f t="shared" si="724"/>
        <v>0.181528125</v>
      </c>
      <c r="L2354" s="294">
        <f t="shared" si="724"/>
        <v>0.160171875</v>
      </c>
      <c r="M2354" s="294">
        <f t="shared" si="724"/>
        <v>0.14949375</v>
      </c>
      <c r="N2354" s="294">
        <f t="shared" si="724"/>
        <v>0.17085</v>
      </c>
      <c r="O2354" s="5"/>
      <c r="P2354" s="5"/>
      <c r="Q2354" s="5"/>
      <c r="R2354" s="5"/>
      <c r="S2354" s="5"/>
      <c r="T2354" s="5"/>
      <c r="U2354" s="5"/>
      <c r="V2354" s="5"/>
      <c r="W2354" s="5"/>
      <c r="X2354" s="5"/>
      <c r="Y2354" s="5"/>
      <c r="Z2354" s="5"/>
    </row>
    <row r="2355" ht="12.0" customHeight="1">
      <c r="A2355" s="10" t="s">
        <v>1645</v>
      </c>
      <c r="B2355" s="5"/>
      <c r="C2355" s="206"/>
      <c r="D2355" s="206"/>
      <c r="E2355" s="206"/>
      <c r="F2355" s="206"/>
      <c r="G2355" s="206"/>
      <c r="H2355" s="206"/>
      <c r="I2355" s="206"/>
      <c r="J2355" s="206"/>
      <c r="K2355" s="206"/>
      <c r="L2355" s="206"/>
      <c r="M2355" s="206"/>
      <c r="N2355" s="206"/>
      <c r="O2355" s="5"/>
      <c r="P2355" s="5"/>
      <c r="Q2355" s="5"/>
      <c r="R2355" s="5"/>
      <c r="S2355" s="5"/>
      <c r="T2355" s="5"/>
      <c r="U2355" s="5"/>
      <c r="V2355" s="5"/>
      <c r="W2355" s="5"/>
      <c r="X2355" s="5"/>
      <c r="Y2355" s="5"/>
      <c r="Z2355" s="5"/>
    </row>
    <row r="2356" ht="12.0" customHeight="1">
      <c r="A2356" s="92" t="s">
        <v>630</v>
      </c>
      <c r="B2356" s="5" t="s">
        <v>631</v>
      </c>
      <c r="C2356" s="206" t="s">
        <v>3</v>
      </c>
      <c r="D2356" s="206" t="s">
        <v>4</v>
      </c>
      <c r="E2356" s="206" t="s">
        <v>507</v>
      </c>
      <c r="F2356" s="206" t="s">
        <v>508</v>
      </c>
      <c r="G2356" s="206" t="s">
        <v>509</v>
      </c>
      <c r="H2356" s="206" t="s">
        <v>510</v>
      </c>
      <c r="I2356" s="206" t="s">
        <v>511</v>
      </c>
      <c r="J2356" s="206" t="s">
        <v>512</v>
      </c>
      <c r="K2356" s="206" t="s">
        <v>513</v>
      </c>
      <c r="L2356" s="206" t="s">
        <v>514</v>
      </c>
      <c r="M2356" s="206" t="s">
        <v>515</v>
      </c>
      <c r="N2356" s="206" t="s">
        <v>516</v>
      </c>
      <c r="O2356" s="5"/>
      <c r="P2356" s="5"/>
      <c r="Q2356" s="5"/>
      <c r="R2356" s="5"/>
      <c r="S2356" s="5"/>
      <c r="T2356" s="5"/>
      <c r="U2356" s="5"/>
      <c r="V2356" s="5"/>
      <c r="W2356" s="5"/>
      <c r="X2356" s="5"/>
      <c r="Y2356" s="5"/>
      <c r="Z2356" s="5"/>
    </row>
    <row r="2357" ht="12.0" customHeight="1">
      <c r="A2357" s="92" t="s">
        <v>1643</v>
      </c>
      <c r="B2357" s="5" t="s">
        <v>633</v>
      </c>
      <c r="C2357" s="203">
        <f t="shared" ref="C2357:N2357" si="725">C2332</f>
        <v>51.255</v>
      </c>
      <c r="D2357" s="203">
        <f t="shared" si="725"/>
        <v>45.225</v>
      </c>
      <c r="E2357" s="203">
        <f t="shared" si="725"/>
        <v>54.27</v>
      </c>
      <c r="F2357" s="203">
        <f t="shared" si="725"/>
        <v>54.27</v>
      </c>
      <c r="G2357" s="203">
        <f t="shared" si="725"/>
        <v>54.27</v>
      </c>
      <c r="H2357" s="203">
        <f t="shared" si="725"/>
        <v>48.24</v>
      </c>
      <c r="I2357" s="203">
        <f t="shared" si="725"/>
        <v>54.27</v>
      </c>
      <c r="J2357" s="203">
        <f t="shared" si="725"/>
        <v>54.27</v>
      </c>
      <c r="K2357" s="203">
        <f t="shared" si="725"/>
        <v>51.255</v>
      </c>
      <c r="L2357" s="203">
        <f t="shared" si="725"/>
        <v>45.225</v>
      </c>
      <c r="M2357" s="203">
        <f t="shared" si="725"/>
        <v>42.21</v>
      </c>
      <c r="N2357" s="203">
        <f t="shared" si="725"/>
        <v>48.24</v>
      </c>
      <c r="O2357" s="5"/>
      <c r="P2357" s="5"/>
      <c r="Q2357" s="5"/>
      <c r="R2357" s="5"/>
      <c r="S2357" s="5"/>
      <c r="T2357" s="5"/>
      <c r="U2357" s="5"/>
      <c r="V2357" s="5"/>
      <c r="W2357" s="5"/>
      <c r="X2357" s="5"/>
      <c r="Y2357" s="5"/>
      <c r="Z2357" s="5"/>
    </row>
    <row r="2358" ht="12.0" customHeight="1">
      <c r="A2358" s="92"/>
      <c r="B2358" s="5" t="s">
        <v>634</v>
      </c>
      <c r="C2358" s="293">
        <f>C2357/Parametros!$B$37</f>
        <v>2.56275</v>
      </c>
      <c r="D2358" s="293">
        <f>D2357/Parametros!$B$37</f>
        <v>2.26125</v>
      </c>
      <c r="E2358" s="293">
        <f>E2357/Parametros!$B$37</f>
        <v>2.7135</v>
      </c>
      <c r="F2358" s="293">
        <f>F2357/Parametros!$B$37</f>
        <v>2.7135</v>
      </c>
      <c r="G2358" s="293">
        <f>G2357/Parametros!$B$37</f>
        <v>2.7135</v>
      </c>
      <c r="H2358" s="293">
        <f>H2357/Parametros!$B$37</f>
        <v>2.412</v>
      </c>
      <c r="I2358" s="293">
        <f>I2357/Parametros!$B$37</f>
        <v>2.7135</v>
      </c>
      <c r="J2358" s="293">
        <f>J2357/Parametros!$B$37</f>
        <v>2.7135</v>
      </c>
      <c r="K2358" s="293">
        <f>K2357/Parametros!$B$37</f>
        <v>2.56275</v>
      </c>
      <c r="L2358" s="293">
        <f>L2357/Parametros!$B$37</f>
        <v>2.26125</v>
      </c>
      <c r="M2358" s="293">
        <f>M2357/Parametros!$B$37</f>
        <v>2.1105</v>
      </c>
      <c r="N2358" s="293">
        <f>N2357/Parametros!$B$37</f>
        <v>2.412</v>
      </c>
      <c r="O2358" s="5"/>
      <c r="P2358" s="5"/>
      <c r="Q2358" s="5"/>
      <c r="R2358" s="5"/>
      <c r="S2358" s="5"/>
      <c r="T2358" s="5"/>
      <c r="U2358" s="5"/>
      <c r="V2358" s="5"/>
      <c r="W2358" s="5"/>
      <c r="X2358" s="5"/>
      <c r="Y2358" s="5"/>
      <c r="Z2358" s="5"/>
    </row>
    <row r="2359" ht="12.0" customHeight="1">
      <c r="A2359" s="92"/>
      <c r="B2359" s="5" t="s">
        <v>635</v>
      </c>
      <c r="C2359" s="293">
        <f>C2358/Parametros!$J$37</f>
        <v>0.3417</v>
      </c>
      <c r="D2359" s="293">
        <f>D2358/Parametros!$J$37</f>
        <v>0.3015</v>
      </c>
      <c r="E2359" s="293">
        <f>E2358/Parametros!$J$37</f>
        <v>0.3618</v>
      </c>
      <c r="F2359" s="293">
        <f>F2358/Parametros!$J$37</f>
        <v>0.3618</v>
      </c>
      <c r="G2359" s="293">
        <f>G2358/Parametros!$J$37</f>
        <v>0.3618</v>
      </c>
      <c r="H2359" s="293">
        <f>H2358/Parametros!$J$37</f>
        <v>0.3216</v>
      </c>
      <c r="I2359" s="293">
        <f>I2358/Parametros!$J$37</f>
        <v>0.3618</v>
      </c>
      <c r="J2359" s="293">
        <f>J2358/Parametros!$J$37</f>
        <v>0.3618</v>
      </c>
      <c r="K2359" s="293">
        <f>K2358/Parametros!$J$37</f>
        <v>0.3417</v>
      </c>
      <c r="L2359" s="293">
        <f>L2358/Parametros!$J$37</f>
        <v>0.3015</v>
      </c>
      <c r="M2359" s="293">
        <f>M2358/Parametros!$J$37</f>
        <v>0.2814</v>
      </c>
      <c r="N2359" s="293">
        <f>N2358/Parametros!$J$37</f>
        <v>0.3216</v>
      </c>
      <c r="O2359" s="5"/>
      <c r="P2359" s="5"/>
      <c r="Q2359" s="5"/>
      <c r="R2359" s="5"/>
      <c r="S2359" s="5"/>
      <c r="T2359" s="5"/>
      <c r="U2359" s="5"/>
      <c r="V2359" s="5"/>
      <c r="W2359" s="5"/>
      <c r="X2359" s="5"/>
      <c r="Y2359" s="5"/>
      <c r="Z2359" s="5"/>
    </row>
    <row r="2360" ht="12.0" customHeight="1">
      <c r="A2360" s="92" t="s">
        <v>636</v>
      </c>
      <c r="B2360" s="5"/>
      <c r="C2360" s="293">
        <f t="shared" ref="C2360:N2360" si="726">C2359</f>
        <v>0.3417</v>
      </c>
      <c r="D2360" s="293">
        <f t="shared" si="726"/>
        <v>0.3015</v>
      </c>
      <c r="E2360" s="293">
        <f t="shared" si="726"/>
        <v>0.3618</v>
      </c>
      <c r="F2360" s="293">
        <f t="shared" si="726"/>
        <v>0.3618</v>
      </c>
      <c r="G2360" s="293">
        <f t="shared" si="726"/>
        <v>0.3618</v>
      </c>
      <c r="H2360" s="293">
        <f t="shared" si="726"/>
        <v>0.3216</v>
      </c>
      <c r="I2360" s="293">
        <f t="shared" si="726"/>
        <v>0.3618</v>
      </c>
      <c r="J2360" s="293">
        <f t="shared" si="726"/>
        <v>0.3618</v>
      </c>
      <c r="K2360" s="293">
        <f t="shared" si="726"/>
        <v>0.3417</v>
      </c>
      <c r="L2360" s="293">
        <f t="shared" si="726"/>
        <v>0.3015</v>
      </c>
      <c r="M2360" s="293">
        <f t="shared" si="726"/>
        <v>0.2814</v>
      </c>
      <c r="N2360" s="293">
        <f t="shared" si="726"/>
        <v>0.3216</v>
      </c>
      <c r="O2360" s="5"/>
      <c r="P2360" s="5"/>
      <c r="Q2360" s="5"/>
      <c r="R2360" s="5"/>
      <c r="S2360" s="5"/>
      <c r="T2360" s="5"/>
      <c r="U2360" s="5"/>
      <c r="V2360" s="5"/>
      <c r="W2360" s="5"/>
      <c r="X2360" s="5"/>
      <c r="Y2360" s="5"/>
      <c r="Z2360" s="5"/>
    </row>
    <row r="2361" ht="12.0" customHeight="1">
      <c r="A2361" s="92" t="s">
        <v>637</v>
      </c>
      <c r="B2361" s="5"/>
      <c r="C2361" s="293">
        <f>Parametros!$M$114</f>
        <v>19.74193548</v>
      </c>
      <c r="D2361" s="293">
        <f>Parametros!$M$114</f>
        <v>19.74193548</v>
      </c>
      <c r="E2361" s="293">
        <f>Parametros!$M$114</f>
        <v>19.74193548</v>
      </c>
      <c r="F2361" s="293">
        <f>Parametros!$M$114</f>
        <v>19.74193548</v>
      </c>
      <c r="G2361" s="293">
        <f>Parametros!$M$114</f>
        <v>19.74193548</v>
      </c>
      <c r="H2361" s="293">
        <f>Parametros!$M$114</f>
        <v>19.74193548</v>
      </c>
      <c r="I2361" s="293">
        <f>Parametros!$M$114</f>
        <v>19.74193548</v>
      </c>
      <c r="J2361" s="293">
        <f>Parametros!$M$114</f>
        <v>19.74193548</v>
      </c>
      <c r="K2361" s="293">
        <f>Parametros!$M$114</f>
        <v>19.74193548</v>
      </c>
      <c r="L2361" s="293">
        <f>Parametros!$M$114</f>
        <v>19.74193548</v>
      </c>
      <c r="M2361" s="293">
        <f>Parametros!$M$114</f>
        <v>19.74193548</v>
      </c>
      <c r="N2361" s="293">
        <f>Parametros!$M$114</f>
        <v>19.74193548</v>
      </c>
      <c r="O2361" s="5"/>
      <c r="P2361" s="5"/>
      <c r="Q2361" s="5"/>
      <c r="R2361" s="5"/>
      <c r="S2361" s="5"/>
      <c r="T2361" s="5"/>
      <c r="U2361" s="5"/>
      <c r="V2361" s="5"/>
      <c r="W2361" s="5"/>
      <c r="X2361" s="5"/>
      <c r="Y2361" s="5"/>
      <c r="Z2361" s="5"/>
    </row>
    <row r="2362" ht="12.0" customHeight="1">
      <c r="A2362" s="92" t="s">
        <v>640</v>
      </c>
      <c r="B2362" s="5"/>
      <c r="C2362" s="203">
        <f>'Resumen Capacidad'!$E$222</f>
        <v>1</v>
      </c>
      <c r="D2362" s="203">
        <f>'Resumen Capacidad'!$E$222</f>
        <v>1</v>
      </c>
      <c r="E2362" s="203">
        <f>'Resumen Capacidad'!$E$222</f>
        <v>1</v>
      </c>
      <c r="F2362" s="203">
        <f>'Resumen Capacidad'!$E$222</f>
        <v>1</v>
      </c>
      <c r="G2362" s="203">
        <f>'Resumen Capacidad'!$E$222</f>
        <v>1</v>
      </c>
      <c r="H2362" s="203">
        <f>'Resumen Capacidad'!$E$222</f>
        <v>1</v>
      </c>
      <c r="I2362" s="203">
        <f>'Resumen Capacidad'!$E$222</f>
        <v>1</v>
      </c>
      <c r="J2362" s="203">
        <f>'Resumen Capacidad'!$E$222</f>
        <v>1</v>
      </c>
      <c r="K2362" s="203">
        <f>'Resumen Capacidad'!$E$222</f>
        <v>1</v>
      </c>
      <c r="L2362" s="203">
        <f>'Resumen Capacidad'!$E$222</f>
        <v>1</v>
      </c>
      <c r="M2362" s="203">
        <f>'Resumen Capacidad'!$E$222</f>
        <v>1</v>
      </c>
      <c r="N2362" s="203">
        <f>'Resumen Capacidad'!$E$222</f>
        <v>1</v>
      </c>
      <c r="O2362" s="5"/>
      <c r="P2362" s="5"/>
      <c r="Q2362" s="5"/>
      <c r="R2362" s="5"/>
      <c r="S2362" s="5"/>
      <c r="T2362" s="5"/>
      <c r="U2362" s="5"/>
      <c r="V2362" s="5"/>
      <c r="W2362" s="5"/>
      <c r="X2362" s="5"/>
      <c r="Y2362" s="5"/>
      <c r="Z2362" s="5"/>
    </row>
    <row r="2363" ht="12.0" customHeight="1">
      <c r="A2363" s="92" t="s">
        <v>642</v>
      </c>
      <c r="B2363" s="5"/>
      <c r="C2363" s="203">
        <f t="shared" ref="C2363:N2363" si="727">C2361*C2362</f>
        <v>19.74193548</v>
      </c>
      <c r="D2363" s="203">
        <f t="shared" si="727"/>
        <v>19.74193548</v>
      </c>
      <c r="E2363" s="203">
        <f t="shared" si="727"/>
        <v>19.74193548</v>
      </c>
      <c r="F2363" s="203">
        <f t="shared" si="727"/>
        <v>19.74193548</v>
      </c>
      <c r="G2363" s="203">
        <f t="shared" si="727"/>
        <v>19.74193548</v>
      </c>
      <c r="H2363" s="203">
        <f t="shared" si="727"/>
        <v>19.74193548</v>
      </c>
      <c r="I2363" s="203">
        <f t="shared" si="727"/>
        <v>19.74193548</v>
      </c>
      <c r="J2363" s="203">
        <f t="shared" si="727"/>
        <v>19.74193548</v>
      </c>
      <c r="K2363" s="203">
        <f t="shared" si="727"/>
        <v>19.74193548</v>
      </c>
      <c r="L2363" s="203">
        <f t="shared" si="727"/>
        <v>19.74193548</v>
      </c>
      <c r="M2363" s="203">
        <f t="shared" si="727"/>
        <v>19.74193548</v>
      </c>
      <c r="N2363" s="203">
        <f t="shared" si="727"/>
        <v>19.74193548</v>
      </c>
      <c r="O2363" s="5"/>
      <c r="P2363" s="5"/>
      <c r="Q2363" s="5"/>
      <c r="R2363" s="5"/>
      <c r="S2363" s="5"/>
      <c r="T2363" s="5"/>
      <c r="U2363" s="5"/>
      <c r="V2363" s="5"/>
      <c r="W2363" s="5"/>
      <c r="X2363" s="5"/>
      <c r="Y2363" s="5"/>
      <c r="Z2363" s="5"/>
    </row>
    <row r="2364" ht="12.0" customHeight="1">
      <c r="A2364" s="92" t="s">
        <v>643</v>
      </c>
      <c r="B2364" s="5"/>
      <c r="C2364" s="294">
        <f t="shared" ref="C2364:N2364" si="728">IF(C2363=0,0,C2360/C2363)</f>
        <v>0.01730833333</v>
      </c>
      <c r="D2364" s="294">
        <f t="shared" si="728"/>
        <v>0.01527205882</v>
      </c>
      <c r="E2364" s="294">
        <f t="shared" si="728"/>
        <v>0.01832647059</v>
      </c>
      <c r="F2364" s="294">
        <f t="shared" si="728"/>
        <v>0.01832647059</v>
      </c>
      <c r="G2364" s="294">
        <f t="shared" si="728"/>
        <v>0.01832647059</v>
      </c>
      <c r="H2364" s="294">
        <f t="shared" si="728"/>
        <v>0.01629019608</v>
      </c>
      <c r="I2364" s="294">
        <f t="shared" si="728"/>
        <v>0.01832647059</v>
      </c>
      <c r="J2364" s="294">
        <f t="shared" si="728"/>
        <v>0.01832647059</v>
      </c>
      <c r="K2364" s="294">
        <f t="shared" si="728"/>
        <v>0.01730833333</v>
      </c>
      <c r="L2364" s="294">
        <f t="shared" si="728"/>
        <v>0.01527205882</v>
      </c>
      <c r="M2364" s="294">
        <f t="shared" si="728"/>
        <v>0.01425392157</v>
      </c>
      <c r="N2364" s="294">
        <f t="shared" si="728"/>
        <v>0.01629019608</v>
      </c>
      <c r="O2364" s="5"/>
      <c r="P2364" s="5"/>
      <c r="Q2364" s="5"/>
      <c r="R2364" s="5"/>
      <c r="S2364" s="5"/>
      <c r="T2364" s="5"/>
      <c r="U2364" s="5"/>
      <c r="V2364" s="5"/>
      <c r="W2364" s="5"/>
      <c r="X2364" s="5"/>
      <c r="Y2364" s="5"/>
      <c r="Z2364" s="5"/>
    </row>
    <row r="2365" ht="12.0" customHeight="1">
      <c r="A2365" s="10" t="s">
        <v>1646</v>
      </c>
      <c r="B2365" s="5"/>
      <c r="C2365" s="206"/>
      <c r="D2365" s="206"/>
      <c r="E2365" s="206"/>
      <c r="F2365" s="206"/>
      <c r="G2365" s="206"/>
      <c r="H2365" s="206"/>
      <c r="I2365" s="206"/>
      <c r="J2365" s="206"/>
      <c r="K2365" s="206"/>
      <c r="L2365" s="206"/>
      <c r="M2365" s="206"/>
      <c r="N2365" s="206"/>
      <c r="O2365" s="5"/>
      <c r="P2365" s="5"/>
      <c r="Q2365" s="5"/>
      <c r="R2365" s="5"/>
      <c r="S2365" s="5"/>
      <c r="T2365" s="5"/>
      <c r="U2365" s="5"/>
      <c r="V2365" s="5"/>
      <c r="W2365" s="5"/>
      <c r="X2365" s="5"/>
      <c r="Y2365" s="5"/>
      <c r="Z2365" s="5"/>
    </row>
    <row r="2366" ht="12.0" customHeight="1">
      <c r="A2366" s="92" t="s">
        <v>630</v>
      </c>
      <c r="B2366" s="5" t="s">
        <v>631</v>
      </c>
      <c r="C2366" s="206" t="s">
        <v>3</v>
      </c>
      <c r="D2366" s="206" t="s">
        <v>4</v>
      </c>
      <c r="E2366" s="206" t="s">
        <v>507</v>
      </c>
      <c r="F2366" s="206" t="s">
        <v>508</v>
      </c>
      <c r="G2366" s="206" t="s">
        <v>509</v>
      </c>
      <c r="H2366" s="206" t="s">
        <v>510</v>
      </c>
      <c r="I2366" s="206" t="s">
        <v>511</v>
      </c>
      <c r="J2366" s="206" t="s">
        <v>512</v>
      </c>
      <c r="K2366" s="206" t="s">
        <v>513</v>
      </c>
      <c r="L2366" s="206" t="s">
        <v>514</v>
      </c>
      <c r="M2366" s="206" t="s">
        <v>515</v>
      </c>
      <c r="N2366" s="206" t="s">
        <v>516</v>
      </c>
      <c r="O2366" s="5"/>
      <c r="P2366" s="5"/>
      <c r="Q2366" s="5"/>
      <c r="R2366" s="5"/>
      <c r="S2366" s="5"/>
      <c r="T2366" s="5"/>
      <c r="U2366" s="5"/>
      <c r="V2366" s="5"/>
      <c r="W2366" s="5"/>
      <c r="X2366" s="5"/>
      <c r="Y2366" s="5"/>
      <c r="Z2366" s="5"/>
    </row>
    <row r="2367" ht="12.0" customHeight="1">
      <c r="A2367" s="92" t="s">
        <v>1643</v>
      </c>
      <c r="B2367" s="5" t="s">
        <v>633</v>
      </c>
      <c r="C2367" s="203">
        <f t="shared" ref="C2367:N2367" si="729">C2332</f>
        <v>51.255</v>
      </c>
      <c r="D2367" s="203">
        <f t="shared" si="729"/>
        <v>45.225</v>
      </c>
      <c r="E2367" s="203">
        <f t="shared" si="729"/>
        <v>54.27</v>
      </c>
      <c r="F2367" s="203">
        <f t="shared" si="729"/>
        <v>54.27</v>
      </c>
      <c r="G2367" s="203">
        <f t="shared" si="729"/>
        <v>54.27</v>
      </c>
      <c r="H2367" s="203">
        <f t="shared" si="729"/>
        <v>48.24</v>
      </c>
      <c r="I2367" s="203">
        <f t="shared" si="729"/>
        <v>54.27</v>
      </c>
      <c r="J2367" s="203">
        <f t="shared" si="729"/>
        <v>54.27</v>
      </c>
      <c r="K2367" s="203">
        <f t="shared" si="729"/>
        <v>51.255</v>
      </c>
      <c r="L2367" s="203">
        <f t="shared" si="729"/>
        <v>45.225</v>
      </c>
      <c r="M2367" s="203">
        <f t="shared" si="729"/>
        <v>42.21</v>
      </c>
      <c r="N2367" s="203">
        <f t="shared" si="729"/>
        <v>48.24</v>
      </c>
      <c r="O2367" s="5"/>
      <c r="P2367" s="5"/>
      <c r="Q2367" s="5"/>
      <c r="R2367" s="5"/>
      <c r="S2367" s="5"/>
      <c r="T2367" s="5"/>
      <c r="U2367" s="5"/>
      <c r="V2367" s="5"/>
      <c r="W2367" s="5"/>
      <c r="X2367" s="5"/>
      <c r="Y2367" s="5"/>
      <c r="Z2367" s="5"/>
    </row>
    <row r="2368" ht="12.0" customHeight="1">
      <c r="A2368" s="92"/>
      <c r="B2368" s="5" t="s">
        <v>634</v>
      </c>
      <c r="C2368" s="293">
        <f>C2367/Parametros!$B$37</f>
        <v>2.56275</v>
      </c>
      <c r="D2368" s="293">
        <f>D2367/Parametros!$B$37</f>
        <v>2.26125</v>
      </c>
      <c r="E2368" s="293">
        <f>E2367/Parametros!$B$37</f>
        <v>2.7135</v>
      </c>
      <c r="F2368" s="293">
        <f>F2367/Parametros!$B$37</f>
        <v>2.7135</v>
      </c>
      <c r="G2368" s="293">
        <f>G2367/Parametros!$B$37</f>
        <v>2.7135</v>
      </c>
      <c r="H2368" s="293">
        <f>H2367/Parametros!$B$37</f>
        <v>2.412</v>
      </c>
      <c r="I2368" s="293">
        <f>I2367/Parametros!$B$37</f>
        <v>2.7135</v>
      </c>
      <c r="J2368" s="293">
        <f>J2367/Parametros!$B$37</f>
        <v>2.7135</v>
      </c>
      <c r="K2368" s="293">
        <f>K2367/Parametros!$B$37</f>
        <v>2.56275</v>
      </c>
      <c r="L2368" s="293">
        <f>L2367/Parametros!$B$37</f>
        <v>2.26125</v>
      </c>
      <c r="M2368" s="293">
        <f>M2367/Parametros!$B$37</f>
        <v>2.1105</v>
      </c>
      <c r="N2368" s="293">
        <f>N2367/Parametros!$B$37</f>
        <v>2.412</v>
      </c>
      <c r="O2368" s="5"/>
      <c r="P2368" s="5"/>
      <c r="Q2368" s="5"/>
      <c r="R2368" s="5"/>
      <c r="S2368" s="5"/>
      <c r="T2368" s="5"/>
      <c r="U2368" s="5"/>
      <c r="V2368" s="5"/>
      <c r="W2368" s="5"/>
      <c r="X2368" s="5"/>
      <c r="Y2368" s="5"/>
      <c r="Z2368" s="5"/>
    </row>
    <row r="2369" ht="12.0" customHeight="1">
      <c r="A2369" s="92"/>
      <c r="B2369" s="5" t="s">
        <v>635</v>
      </c>
      <c r="C2369" s="293">
        <f>C2368/Parametros!$J$37</f>
        <v>0.3417</v>
      </c>
      <c r="D2369" s="293">
        <f>D2368/Parametros!$J$37</f>
        <v>0.3015</v>
      </c>
      <c r="E2369" s="293">
        <f>E2368/Parametros!$J$37</f>
        <v>0.3618</v>
      </c>
      <c r="F2369" s="293">
        <f>F2368/Parametros!$J$37</f>
        <v>0.3618</v>
      </c>
      <c r="G2369" s="293">
        <f>G2368/Parametros!$J$37</f>
        <v>0.3618</v>
      </c>
      <c r="H2369" s="293">
        <f>H2368/Parametros!$J$37</f>
        <v>0.3216</v>
      </c>
      <c r="I2369" s="293">
        <f>I2368/Parametros!$J$37</f>
        <v>0.3618</v>
      </c>
      <c r="J2369" s="293">
        <f>J2368/Parametros!$J$37</f>
        <v>0.3618</v>
      </c>
      <c r="K2369" s="293">
        <f>K2368/Parametros!$J$37</f>
        <v>0.3417</v>
      </c>
      <c r="L2369" s="293">
        <f>L2368/Parametros!$J$37</f>
        <v>0.3015</v>
      </c>
      <c r="M2369" s="293">
        <f>M2368/Parametros!$J$37</f>
        <v>0.2814</v>
      </c>
      <c r="N2369" s="293">
        <f>N2368/Parametros!$J$37</f>
        <v>0.3216</v>
      </c>
      <c r="O2369" s="5"/>
      <c r="P2369" s="5"/>
      <c r="Q2369" s="5"/>
      <c r="R2369" s="5"/>
      <c r="S2369" s="5"/>
      <c r="T2369" s="5"/>
      <c r="U2369" s="5"/>
      <c r="V2369" s="5"/>
      <c r="W2369" s="5"/>
      <c r="X2369" s="5"/>
      <c r="Y2369" s="5"/>
      <c r="Z2369" s="5"/>
    </row>
    <row r="2370" ht="12.0" customHeight="1">
      <c r="A2370" s="92" t="s">
        <v>636</v>
      </c>
      <c r="B2370" s="5"/>
      <c r="C2370" s="293">
        <f t="shared" ref="C2370:N2370" si="730">C2369</f>
        <v>0.3417</v>
      </c>
      <c r="D2370" s="293">
        <f t="shared" si="730"/>
        <v>0.3015</v>
      </c>
      <c r="E2370" s="293">
        <f t="shared" si="730"/>
        <v>0.3618</v>
      </c>
      <c r="F2370" s="293">
        <f t="shared" si="730"/>
        <v>0.3618</v>
      </c>
      <c r="G2370" s="293">
        <f t="shared" si="730"/>
        <v>0.3618</v>
      </c>
      <c r="H2370" s="293">
        <f t="shared" si="730"/>
        <v>0.3216</v>
      </c>
      <c r="I2370" s="293">
        <f t="shared" si="730"/>
        <v>0.3618</v>
      </c>
      <c r="J2370" s="293">
        <f t="shared" si="730"/>
        <v>0.3618</v>
      </c>
      <c r="K2370" s="293">
        <f t="shared" si="730"/>
        <v>0.3417</v>
      </c>
      <c r="L2370" s="293">
        <f t="shared" si="730"/>
        <v>0.3015</v>
      </c>
      <c r="M2370" s="293">
        <f t="shared" si="730"/>
        <v>0.2814</v>
      </c>
      <c r="N2370" s="293">
        <f t="shared" si="730"/>
        <v>0.3216</v>
      </c>
      <c r="O2370" s="5"/>
      <c r="P2370" s="5"/>
      <c r="Q2370" s="5"/>
      <c r="R2370" s="5"/>
      <c r="S2370" s="5"/>
      <c r="T2370" s="5"/>
      <c r="U2370" s="5"/>
      <c r="V2370" s="5"/>
      <c r="W2370" s="5"/>
      <c r="X2370" s="5"/>
      <c r="Y2370" s="5"/>
      <c r="Z2370" s="5"/>
    </row>
    <row r="2371" ht="12.0" customHeight="1">
      <c r="A2371" s="92" t="s">
        <v>637</v>
      </c>
      <c r="B2371" s="5"/>
      <c r="C2371" s="293">
        <f>Parametros!$M$115</f>
        <v>26.60869565</v>
      </c>
      <c r="D2371" s="293">
        <f>Parametros!$M$115</f>
        <v>26.60869565</v>
      </c>
      <c r="E2371" s="293">
        <f>Parametros!$M$115</f>
        <v>26.60869565</v>
      </c>
      <c r="F2371" s="293">
        <f>Parametros!$M$115</f>
        <v>26.60869565</v>
      </c>
      <c r="G2371" s="293">
        <f>Parametros!$M$115</f>
        <v>26.60869565</v>
      </c>
      <c r="H2371" s="293">
        <f>Parametros!$M$115</f>
        <v>26.60869565</v>
      </c>
      <c r="I2371" s="293">
        <f>Parametros!$M$115</f>
        <v>26.60869565</v>
      </c>
      <c r="J2371" s="293">
        <f>Parametros!$M$115</f>
        <v>26.60869565</v>
      </c>
      <c r="K2371" s="293">
        <f>Parametros!$M$115</f>
        <v>26.60869565</v>
      </c>
      <c r="L2371" s="293">
        <f>Parametros!$M$115</f>
        <v>26.60869565</v>
      </c>
      <c r="M2371" s="293">
        <f>Parametros!$M$115</f>
        <v>26.60869565</v>
      </c>
      <c r="N2371" s="293">
        <f>Parametros!$M$115</f>
        <v>26.60869565</v>
      </c>
      <c r="O2371" s="5"/>
      <c r="P2371" s="5"/>
      <c r="Q2371" s="5"/>
      <c r="R2371" s="5"/>
      <c r="S2371" s="5"/>
      <c r="T2371" s="5"/>
      <c r="U2371" s="5"/>
      <c r="V2371" s="5"/>
      <c r="W2371" s="5"/>
      <c r="X2371" s="5"/>
      <c r="Y2371" s="5"/>
      <c r="Z2371" s="5"/>
    </row>
    <row r="2372" ht="12.0" customHeight="1">
      <c r="A2372" s="92" t="s">
        <v>640</v>
      </c>
      <c r="B2372" s="5"/>
      <c r="C2372" s="203">
        <f>'Resumen Capacidad'!$E$223</f>
        <v>1</v>
      </c>
      <c r="D2372" s="203">
        <f>'Resumen Capacidad'!$E$223</f>
        <v>1</v>
      </c>
      <c r="E2372" s="203">
        <f>'Resumen Capacidad'!$E$223</f>
        <v>1</v>
      </c>
      <c r="F2372" s="203">
        <f>'Resumen Capacidad'!$E$223</f>
        <v>1</v>
      </c>
      <c r="G2372" s="203">
        <f>'Resumen Capacidad'!$E$223</f>
        <v>1</v>
      </c>
      <c r="H2372" s="203">
        <f>'Resumen Capacidad'!$E$223</f>
        <v>1</v>
      </c>
      <c r="I2372" s="203">
        <f>'Resumen Capacidad'!$E$223</f>
        <v>1</v>
      </c>
      <c r="J2372" s="203">
        <f>'Resumen Capacidad'!$E$223</f>
        <v>1</v>
      </c>
      <c r="K2372" s="203">
        <f>'Resumen Capacidad'!$E$223</f>
        <v>1</v>
      </c>
      <c r="L2372" s="203">
        <f>'Resumen Capacidad'!$E$223</f>
        <v>1</v>
      </c>
      <c r="M2372" s="203">
        <f>'Resumen Capacidad'!$E$223</f>
        <v>1</v>
      </c>
      <c r="N2372" s="203">
        <f>'Resumen Capacidad'!$E$223</f>
        <v>1</v>
      </c>
      <c r="O2372" s="5"/>
      <c r="P2372" s="5"/>
      <c r="Q2372" s="5"/>
      <c r="R2372" s="5"/>
      <c r="S2372" s="5"/>
      <c r="T2372" s="5"/>
      <c r="U2372" s="5"/>
      <c r="V2372" s="5"/>
      <c r="W2372" s="5"/>
      <c r="X2372" s="5"/>
      <c r="Y2372" s="5"/>
      <c r="Z2372" s="5"/>
    </row>
    <row r="2373" ht="12.0" customHeight="1">
      <c r="A2373" s="92" t="s">
        <v>642</v>
      </c>
      <c r="B2373" s="5"/>
      <c r="C2373" s="203">
        <f t="shared" ref="C2373:N2373" si="731">C2371*C2372</f>
        <v>26.60869565</v>
      </c>
      <c r="D2373" s="203">
        <f t="shared" si="731"/>
        <v>26.60869565</v>
      </c>
      <c r="E2373" s="203">
        <f t="shared" si="731"/>
        <v>26.60869565</v>
      </c>
      <c r="F2373" s="203">
        <f t="shared" si="731"/>
        <v>26.60869565</v>
      </c>
      <c r="G2373" s="203">
        <f t="shared" si="731"/>
        <v>26.60869565</v>
      </c>
      <c r="H2373" s="203">
        <f t="shared" si="731"/>
        <v>26.60869565</v>
      </c>
      <c r="I2373" s="203">
        <f t="shared" si="731"/>
        <v>26.60869565</v>
      </c>
      <c r="J2373" s="203">
        <f t="shared" si="731"/>
        <v>26.60869565</v>
      </c>
      <c r="K2373" s="203">
        <f t="shared" si="731"/>
        <v>26.60869565</v>
      </c>
      <c r="L2373" s="203">
        <f t="shared" si="731"/>
        <v>26.60869565</v>
      </c>
      <c r="M2373" s="203">
        <f t="shared" si="731"/>
        <v>26.60869565</v>
      </c>
      <c r="N2373" s="203">
        <f t="shared" si="731"/>
        <v>26.60869565</v>
      </c>
      <c r="O2373" s="5"/>
      <c r="P2373" s="5"/>
      <c r="Q2373" s="5"/>
      <c r="R2373" s="5"/>
      <c r="S2373" s="5"/>
      <c r="T2373" s="5"/>
      <c r="U2373" s="5"/>
      <c r="V2373" s="5"/>
      <c r="W2373" s="5"/>
      <c r="X2373" s="5"/>
      <c r="Y2373" s="5"/>
      <c r="Z2373" s="5"/>
    </row>
    <row r="2374" ht="12.0" customHeight="1">
      <c r="A2374" s="92" t="s">
        <v>643</v>
      </c>
      <c r="B2374" s="5"/>
      <c r="C2374" s="294">
        <f t="shared" ref="C2374:N2374" si="732">IF(C2373=0,0,C2370/C2373)</f>
        <v>0.01284166667</v>
      </c>
      <c r="D2374" s="294">
        <f t="shared" si="732"/>
        <v>0.01133088235</v>
      </c>
      <c r="E2374" s="294">
        <f t="shared" si="732"/>
        <v>0.01359705882</v>
      </c>
      <c r="F2374" s="294">
        <f t="shared" si="732"/>
        <v>0.01359705882</v>
      </c>
      <c r="G2374" s="294">
        <f t="shared" si="732"/>
        <v>0.01359705882</v>
      </c>
      <c r="H2374" s="294">
        <f t="shared" si="732"/>
        <v>0.01208627451</v>
      </c>
      <c r="I2374" s="294">
        <f t="shared" si="732"/>
        <v>0.01359705882</v>
      </c>
      <c r="J2374" s="294">
        <f t="shared" si="732"/>
        <v>0.01359705882</v>
      </c>
      <c r="K2374" s="294">
        <f t="shared" si="732"/>
        <v>0.01284166667</v>
      </c>
      <c r="L2374" s="294">
        <f t="shared" si="732"/>
        <v>0.01133088235</v>
      </c>
      <c r="M2374" s="294">
        <f t="shared" si="732"/>
        <v>0.0105754902</v>
      </c>
      <c r="N2374" s="294">
        <f t="shared" si="732"/>
        <v>0.01208627451</v>
      </c>
      <c r="O2374" s="5"/>
      <c r="P2374" s="5"/>
      <c r="Q2374" s="5"/>
      <c r="R2374" s="5"/>
      <c r="S2374" s="5"/>
      <c r="T2374" s="5"/>
      <c r="U2374" s="5"/>
      <c r="V2374" s="5"/>
      <c r="W2374" s="5"/>
      <c r="X2374" s="5"/>
      <c r="Y2374" s="5"/>
      <c r="Z2374" s="5"/>
    </row>
    <row r="2375" ht="12.0" customHeight="1">
      <c r="A2375" s="10" t="s">
        <v>1647</v>
      </c>
      <c r="B2375" s="5"/>
      <c r="C2375" s="206"/>
      <c r="D2375" s="206"/>
      <c r="E2375" s="206"/>
      <c r="F2375" s="206"/>
      <c r="G2375" s="206"/>
      <c r="H2375" s="206"/>
      <c r="I2375" s="206"/>
      <c r="J2375" s="206"/>
      <c r="K2375" s="206"/>
      <c r="L2375" s="206"/>
      <c r="M2375" s="206"/>
      <c r="N2375" s="206"/>
      <c r="O2375" s="5"/>
      <c r="P2375" s="5"/>
      <c r="Q2375" s="5"/>
      <c r="R2375" s="5"/>
      <c r="S2375" s="5"/>
      <c r="T2375" s="5"/>
      <c r="U2375" s="5"/>
      <c r="V2375" s="5"/>
      <c r="W2375" s="5"/>
      <c r="X2375" s="5"/>
      <c r="Y2375" s="5"/>
      <c r="Z2375" s="5"/>
    </row>
    <row r="2376" ht="12.0" customHeight="1">
      <c r="A2376" s="92" t="s">
        <v>630</v>
      </c>
      <c r="B2376" s="5" t="s">
        <v>631</v>
      </c>
      <c r="C2376" s="206" t="s">
        <v>3</v>
      </c>
      <c r="D2376" s="206" t="s">
        <v>4</v>
      </c>
      <c r="E2376" s="206" t="s">
        <v>507</v>
      </c>
      <c r="F2376" s="206" t="s">
        <v>508</v>
      </c>
      <c r="G2376" s="206" t="s">
        <v>509</v>
      </c>
      <c r="H2376" s="206" t="s">
        <v>510</v>
      </c>
      <c r="I2376" s="206" t="s">
        <v>511</v>
      </c>
      <c r="J2376" s="206" t="s">
        <v>512</v>
      </c>
      <c r="K2376" s="206" t="s">
        <v>513</v>
      </c>
      <c r="L2376" s="206" t="s">
        <v>514</v>
      </c>
      <c r="M2376" s="206" t="s">
        <v>515</v>
      </c>
      <c r="N2376" s="206" t="s">
        <v>516</v>
      </c>
      <c r="O2376" s="5"/>
      <c r="P2376" s="5"/>
      <c r="Q2376" s="5"/>
      <c r="R2376" s="5"/>
      <c r="S2376" s="5"/>
      <c r="T2376" s="5"/>
      <c r="U2376" s="5"/>
      <c r="V2376" s="5"/>
      <c r="W2376" s="5"/>
      <c r="X2376" s="5"/>
      <c r="Y2376" s="5"/>
      <c r="Z2376" s="5"/>
    </row>
    <row r="2377" ht="12.0" customHeight="1">
      <c r="A2377" s="92" t="s">
        <v>1643</v>
      </c>
      <c r="B2377" s="5" t="s">
        <v>633</v>
      </c>
      <c r="C2377" s="203">
        <f t="shared" ref="C2377:N2377" si="733">C2332</f>
        <v>51.255</v>
      </c>
      <c r="D2377" s="203">
        <f t="shared" si="733"/>
        <v>45.225</v>
      </c>
      <c r="E2377" s="203">
        <f t="shared" si="733"/>
        <v>54.27</v>
      </c>
      <c r="F2377" s="203">
        <f t="shared" si="733"/>
        <v>54.27</v>
      </c>
      <c r="G2377" s="203">
        <f t="shared" si="733"/>
        <v>54.27</v>
      </c>
      <c r="H2377" s="203">
        <f t="shared" si="733"/>
        <v>48.24</v>
      </c>
      <c r="I2377" s="203">
        <f t="shared" si="733"/>
        <v>54.27</v>
      </c>
      <c r="J2377" s="203">
        <f t="shared" si="733"/>
        <v>54.27</v>
      </c>
      <c r="K2377" s="203">
        <f t="shared" si="733"/>
        <v>51.255</v>
      </c>
      <c r="L2377" s="203">
        <f t="shared" si="733"/>
        <v>45.225</v>
      </c>
      <c r="M2377" s="203">
        <f t="shared" si="733"/>
        <v>42.21</v>
      </c>
      <c r="N2377" s="203">
        <f t="shared" si="733"/>
        <v>48.24</v>
      </c>
      <c r="O2377" s="5"/>
      <c r="P2377" s="5"/>
      <c r="Q2377" s="5"/>
      <c r="R2377" s="5"/>
      <c r="S2377" s="5"/>
      <c r="T2377" s="5"/>
      <c r="U2377" s="5"/>
      <c r="V2377" s="5"/>
      <c r="W2377" s="5"/>
      <c r="X2377" s="5"/>
      <c r="Y2377" s="5"/>
      <c r="Z2377" s="5"/>
    </row>
    <row r="2378" ht="12.0" customHeight="1">
      <c r="A2378" s="92"/>
      <c r="B2378" s="5" t="s">
        <v>634</v>
      </c>
      <c r="C2378" s="293">
        <f>C2377/Parametros!$B$37</f>
        <v>2.56275</v>
      </c>
      <c r="D2378" s="293">
        <f>D2377/Parametros!$B$37</f>
        <v>2.26125</v>
      </c>
      <c r="E2378" s="293">
        <f>E2377/Parametros!$B$37</f>
        <v>2.7135</v>
      </c>
      <c r="F2378" s="293">
        <f>F2377/Parametros!$B$37</f>
        <v>2.7135</v>
      </c>
      <c r="G2378" s="293">
        <f>G2377/Parametros!$B$37</f>
        <v>2.7135</v>
      </c>
      <c r="H2378" s="293">
        <f>H2377/Parametros!$B$37</f>
        <v>2.412</v>
      </c>
      <c r="I2378" s="293">
        <f>I2377/Parametros!$B$37</f>
        <v>2.7135</v>
      </c>
      <c r="J2378" s="293">
        <f>J2377/Parametros!$B$37</f>
        <v>2.7135</v>
      </c>
      <c r="K2378" s="293">
        <f>K2377/Parametros!$B$37</f>
        <v>2.56275</v>
      </c>
      <c r="L2378" s="293">
        <f>L2377/Parametros!$B$37</f>
        <v>2.26125</v>
      </c>
      <c r="M2378" s="293">
        <f>M2377/Parametros!$B$37</f>
        <v>2.1105</v>
      </c>
      <c r="N2378" s="293">
        <f>N2377/Parametros!$B$37</f>
        <v>2.412</v>
      </c>
      <c r="O2378" s="5"/>
      <c r="P2378" s="5"/>
      <c r="Q2378" s="5"/>
      <c r="R2378" s="5"/>
      <c r="S2378" s="5"/>
      <c r="T2378" s="5"/>
      <c r="U2378" s="5"/>
      <c r="V2378" s="5"/>
      <c r="W2378" s="5"/>
      <c r="X2378" s="5"/>
      <c r="Y2378" s="5"/>
      <c r="Z2378" s="5"/>
    </row>
    <row r="2379" ht="12.0" customHeight="1">
      <c r="A2379" s="92"/>
      <c r="B2379" s="5" t="s">
        <v>635</v>
      </c>
      <c r="C2379" s="293">
        <f>C2378/Parametros!$J$37</f>
        <v>0.3417</v>
      </c>
      <c r="D2379" s="293">
        <f>D2378/Parametros!$J$37</f>
        <v>0.3015</v>
      </c>
      <c r="E2379" s="293">
        <f>E2378/Parametros!$J$37</f>
        <v>0.3618</v>
      </c>
      <c r="F2379" s="293">
        <f>F2378/Parametros!$J$37</f>
        <v>0.3618</v>
      </c>
      <c r="G2379" s="293">
        <f>G2378/Parametros!$J$37</f>
        <v>0.3618</v>
      </c>
      <c r="H2379" s="293">
        <f>H2378/Parametros!$J$37</f>
        <v>0.3216</v>
      </c>
      <c r="I2379" s="293">
        <f>I2378/Parametros!$J$37</f>
        <v>0.3618</v>
      </c>
      <c r="J2379" s="293">
        <f>J2378/Parametros!$J$37</f>
        <v>0.3618</v>
      </c>
      <c r="K2379" s="293">
        <f>K2378/Parametros!$J$37</f>
        <v>0.3417</v>
      </c>
      <c r="L2379" s="293">
        <f>L2378/Parametros!$J$37</f>
        <v>0.3015</v>
      </c>
      <c r="M2379" s="293">
        <f>M2378/Parametros!$J$37</f>
        <v>0.2814</v>
      </c>
      <c r="N2379" s="293">
        <f>N2378/Parametros!$J$37</f>
        <v>0.3216</v>
      </c>
      <c r="O2379" s="5"/>
      <c r="P2379" s="5"/>
      <c r="Q2379" s="5"/>
      <c r="R2379" s="5"/>
      <c r="S2379" s="5"/>
      <c r="T2379" s="5"/>
      <c r="U2379" s="5"/>
      <c r="V2379" s="5"/>
      <c r="W2379" s="5"/>
      <c r="X2379" s="5"/>
      <c r="Y2379" s="5"/>
      <c r="Z2379" s="5"/>
    </row>
    <row r="2380" ht="12.0" customHeight="1">
      <c r="A2380" s="92" t="s">
        <v>636</v>
      </c>
      <c r="B2380" s="5"/>
      <c r="C2380" s="293">
        <f t="shared" ref="C2380:N2380" si="734">C2379</f>
        <v>0.3417</v>
      </c>
      <c r="D2380" s="293">
        <f t="shared" si="734"/>
        <v>0.3015</v>
      </c>
      <c r="E2380" s="293">
        <f t="shared" si="734"/>
        <v>0.3618</v>
      </c>
      <c r="F2380" s="293">
        <f t="shared" si="734"/>
        <v>0.3618</v>
      </c>
      <c r="G2380" s="293">
        <f t="shared" si="734"/>
        <v>0.3618</v>
      </c>
      <c r="H2380" s="293">
        <f t="shared" si="734"/>
        <v>0.3216</v>
      </c>
      <c r="I2380" s="293">
        <f t="shared" si="734"/>
        <v>0.3618</v>
      </c>
      <c r="J2380" s="293">
        <f t="shared" si="734"/>
        <v>0.3618</v>
      </c>
      <c r="K2380" s="293">
        <f t="shared" si="734"/>
        <v>0.3417</v>
      </c>
      <c r="L2380" s="293">
        <f t="shared" si="734"/>
        <v>0.3015</v>
      </c>
      <c r="M2380" s="293">
        <f t="shared" si="734"/>
        <v>0.2814</v>
      </c>
      <c r="N2380" s="293">
        <f t="shared" si="734"/>
        <v>0.3216</v>
      </c>
      <c r="O2380" s="5"/>
      <c r="P2380" s="5"/>
      <c r="Q2380" s="5"/>
      <c r="R2380" s="5"/>
      <c r="S2380" s="5"/>
      <c r="T2380" s="5"/>
      <c r="U2380" s="5"/>
      <c r="V2380" s="5"/>
      <c r="W2380" s="5"/>
      <c r="X2380" s="5"/>
      <c r="Y2380" s="5"/>
      <c r="Z2380" s="5"/>
    </row>
    <row r="2381" ht="12.0" customHeight="1">
      <c r="A2381" s="92" t="s">
        <v>637</v>
      </c>
      <c r="B2381" s="5"/>
      <c r="C2381" s="293">
        <f>Parametros!$M$116</f>
        <v>38.25</v>
      </c>
      <c r="D2381" s="293">
        <f>Parametros!$M$116</f>
        <v>38.25</v>
      </c>
      <c r="E2381" s="293">
        <f>Parametros!$M$116</f>
        <v>38.25</v>
      </c>
      <c r="F2381" s="293">
        <f>Parametros!$M$116</f>
        <v>38.25</v>
      </c>
      <c r="G2381" s="293">
        <f>Parametros!$M$116</f>
        <v>38.25</v>
      </c>
      <c r="H2381" s="293">
        <f>Parametros!$M$116</f>
        <v>38.25</v>
      </c>
      <c r="I2381" s="293">
        <f>Parametros!$M$116</f>
        <v>38.25</v>
      </c>
      <c r="J2381" s="293">
        <f>Parametros!$M$116</f>
        <v>38.25</v>
      </c>
      <c r="K2381" s="293">
        <f>Parametros!$M$116</f>
        <v>38.25</v>
      </c>
      <c r="L2381" s="293">
        <f>Parametros!$M$116</f>
        <v>38.25</v>
      </c>
      <c r="M2381" s="293">
        <f>Parametros!$M$116</f>
        <v>38.25</v>
      </c>
      <c r="N2381" s="293">
        <f>Parametros!$M$116</f>
        <v>38.25</v>
      </c>
      <c r="O2381" s="5"/>
      <c r="P2381" s="5"/>
      <c r="Q2381" s="5"/>
      <c r="R2381" s="5"/>
      <c r="S2381" s="5"/>
      <c r="T2381" s="5"/>
      <c r="U2381" s="5"/>
      <c r="V2381" s="5"/>
      <c r="W2381" s="5"/>
      <c r="X2381" s="5"/>
      <c r="Y2381" s="5"/>
      <c r="Z2381" s="5"/>
    </row>
    <row r="2382" ht="12.0" customHeight="1">
      <c r="A2382" s="92" t="s">
        <v>640</v>
      </c>
      <c r="B2382" s="5"/>
      <c r="C2382" s="203">
        <f>'Resumen Capacidad'!$E$224</f>
        <v>1</v>
      </c>
      <c r="D2382" s="203">
        <f>'Resumen Capacidad'!$E$224</f>
        <v>1</v>
      </c>
      <c r="E2382" s="203">
        <f>'Resumen Capacidad'!$E$224</f>
        <v>1</v>
      </c>
      <c r="F2382" s="203">
        <f>'Resumen Capacidad'!$E$224</f>
        <v>1</v>
      </c>
      <c r="G2382" s="203">
        <f>'Resumen Capacidad'!$E$224</f>
        <v>1</v>
      </c>
      <c r="H2382" s="203">
        <f>'Resumen Capacidad'!$E$224</f>
        <v>1</v>
      </c>
      <c r="I2382" s="203">
        <f>'Resumen Capacidad'!$E$224</f>
        <v>1</v>
      </c>
      <c r="J2382" s="203">
        <f>'Resumen Capacidad'!$E$224</f>
        <v>1</v>
      </c>
      <c r="K2382" s="203">
        <f>'Resumen Capacidad'!$E$224</f>
        <v>1</v>
      </c>
      <c r="L2382" s="203">
        <f>'Resumen Capacidad'!$E$224</f>
        <v>1</v>
      </c>
      <c r="M2382" s="203">
        <f>'Resumen Capacidad'!$E$224</f>
        <v>1</v>
      </c>
      <c r="N2382" s="203">
        <f>'Resumen Capacidad'!$E$224</f>
        <v>1</v>
      </c>
      <c r="O2382" s="5"/>
      <c r="P2382" s="5"/>
      <c r="Q2382" s="5"/>
      <c r="R2382" s="5"/>
      <c r="S2382" s="5"/>
      <c r="T2382" s="5"/>
      <c r="U2382" s="5"/>
      <c r="V2382" s="5"/>
      <c r="W2382" s="5"/>
      <c r="X2382" s="5"/>
      <c r="Y2382" s="5"/>
      <c r="Z2382" s="5"/>
    </row>
    <row r="2383" ht="12.0" customHeight="1">
      <c r="A2383" s="92" t="s">
        <v>642</v>
      </c>
      <c r="B2383" s="5"/>
      <c r="C2383" s="203">
        <f t="shared" ref="C2383:N2383" si="735">C2381*C2382</f>
        <v>38.25</v>
      </c>
      <c r="D2383" s="203">
        <f t="shared" si="735"/>
        <v>38.25</v>
      </c>
      <c r="E2383" s="203">
        <f t="shared" si="735"/>
        <v>38.25</v>
      </c>
      <c r="F2383" s="203">
        <f t="shared" si="735"/>
        <v>38.25</v>
      </c>
      <c r="G2383" s="203">
        <f t="shared" si="735"/>
        <v>38.25</v>
      </c>
      <c r="H2383" s="203">
        <f t="shared" si="735"/>
        <v>38.25</v>
      </c>
      <c r="I2383" s="203">
        <f t="shared" si="735"/>
        <v>38.25</v>
      </c>
      <c r="J2383" s="203">
        <f t="shared" si="735"/>
        <v>38.25</v>
      </c>
      <c r="K2383" s="203">
        <f t="shared" si="735"/>
        <v>38.25</v>
      </c>
      <c r="L2383" s="203">
        <f t="shared" si="735"/>
        <v>38.25</v>
      </c>
      <c r="M2383" s="203">
        <f t="shared" si="735"/>
        <v>38.25</v>
      </c>
      <c r="N2383" s="203">
        <f t="shared" si="735"/>
        <v>38.25</v>
      </c>
      <c r="O2383" s="5"/>
      <c r="P2383" s="5"/>
      <c r="Q2383" s="5"/>
      <c r="R2383" s="5"/>
      <c r="S2383" s="5"/>
      <c r="T2383" s="5"/>
      <c r="U2383" s="5"/>
      <c r="V2383" s="5"/>
      <c r="W2383" s="5"/>
      <c r="X2383" s="5"/>
      <c r="Y2383" s="5"/>
      <c r="Z2383" s="5"/>
    </row>
    <row r="2384" ht="12.0" customHeight="1">
      <c r="A2384" s="92" t="s">
        <v>643</v>
      </c>
      <c r="B2384" s="5"/>
      <c r="C2384" s="294">
        <f t="shared" ref="C2384:N2384" si="736">IF(C2383=0,0,C2380/C2383)</f>
        <v>0.008933333333</v>
      </c>
      <c r="D2384" s="294">
        <f t="shared" si="736"/>
        <v>0.007882352941</v>
      </c>
      <c r="E2384" s="294">
        <f t="shared" si="736"/>
        <v>0.009458823529</v>
      </c>
      <c r="F2384" s="294">
        <f t="shared" si="736"/>
        <v>0.009458823529</v>
      </c>
      <c r="G2384" s="294">
        <f t="shared" si="736"/>
        <v>0.009458823529</v>
      </c>
      <c r="H2384" s="294">
        <f t="shared" si="736"/>
        <v>0.008407843137</v>
      </c>
      <c r="I2384" s="294">
        <f t="shared" si="736"/>
        <v>0.009458823529</v>
      </c>
      <c r="J2384" s="294">
        <f t="shared" si="736"/>
        <v>0.009458823529</v>
      </c>
      <c r="K2384" s="294">
        <f t="shared" si="736"/>
        <v>0.008933333333</v>
      </c>
      <c r="L2384" s="294">
        <f t="shared" si="736"/>
        <v>0.007882352941</v>
      </c>
      <c r="M2384" s="294">
        <f t="shared" si="736"/>
        <v>0.007356862745</v>
      </c>
      <c r="N2384" s="294">
        <f t="shared" si="736"/>
        <v>0.008407843137</v>
      </c>
      <c r="O2384" s="5"/>
      <c r="P2384" s="5"/>
      <c r="Q2384" s="5"/>
      <c r="R2384" s="5"/>
      <c r="S2384" s="5"/>
      <c r="T2384" s="5"/>
      <c r="U2384" s="5"/>
      <c r="V2384" s="5"/>
      <c r="W2384" s="5"/>
      <c r="X2384" s="5"/>
      <c r="Y2384" s="5"/>
      <c r="Z2384" s="5"/>
    </row>
    <row r="2385" ht="12.0" customHeight="1">
      <c r="A2385" s="10" t="s">
        <v>1648</v>
      </c>
      <c r="B2385" s="5"/>
      <c r="C2385" s="206"/>
      <c r="D2385" s="206"/>
      <c r="E2385" s="206"/>
      <c r="F2385" s="206"/>
      <c r="G2385" s="206"/>
      <c r="H2385" s="206"/>
      <c r="I2385" s="206"/>
      <c r="J2385" s="206"/>
      <c r="K2385" s="206"/>
      <c r="L2385" s="206"/>
      <c r="M2385" s="206"/>
      <c r="N2385" s="206"/>
      <c r="O2385" s="5"/>
      <c r="P2385" s="5"/>
      <c r="Q2385" s="5"/>
      <c r="R2385" s="5"/>
      <c r="S2385" s="5"/>
      <c r="T2385" s="5"/>
      <c r="U2385" s="5"/>
      <c r="V2385" s="5"/>
      <c r="W2385" s="5"/>
      <c r="X2385" s="5"/>
      <c r="Y2385" s="5"/>
      <c r="Z2385" s="5"/>
    </row>
    <row r="2386" ht="12.0" customHeight="1">
      <c r="A2386" s="92" t="s">
        <v>630</v>
      </c>
      <c r="B2386" s="5" t="s">
        <v>631</v>
      </c>
      <c r="C2386" s="206" t="s">
        <v>3</v>
      </c>
      <c r="D2386" s="206" t="s">
        <v>4</v>
      </c>
      <c r="E2386" s="206" t="s">
        <v>507</v>
      </c>
      <c r="F2386" s="206" t="s">
        <v>508</v>
      </c>
      <c r="G2386" s="206" t="s">
        <v>509</v>
      </c>
      <c r="H2386" s="206" t="s">
        <v>510</v>
      </c>
      <c r="I2386" s="206" t="s">
        <v>511</v>
      </c>
      <c r="J2386" s="206" t="s">
        <v>512</v>
      </c>
      <c r="K2386" s="206" t="s">
        <v>513</v>
      </c>
      <c r="L2386" s="206" t="s">
        <v>514</v>
      </c>
      <c r="M2386" s="206" t="s">
        <v>515</v>
      </c>
      <c r="N2386" s="206" t="s">
        <v>516</v>
      </c>
      <c r="O2386" s="5"/>
      <c r="P2386" s="5"/>
      <c r="Q2386" s="5"/>
      <c r="R2386" s="5"/>
      <c r="S2386" s="5"/>
      <c r="T2386" s="5"/>
      <c r="U2386" s="5"/>
      <c r="V2386" s="5"/>
      <c r="W2386" s="5"/>
      <c r="X2386" s="5"/>
      <c r="Y2386" s="5"/>
      <c r="Z2386" s="5"/>
    </row>
    <row r="2387" ht="12.0" customHeight="1">
      <c r="A2387" s="92" t="s">
        <v>1643</v>
      </c>
      <c r="B2387" s="5" t="s">
        <v>633</v>
      </c>
      <c r="C2387" s="203">
        <f t="shared" ref="C2387:N2387" si="737">C2332</f>
        <v>51.255</v>
      </c>
      <c r="D2387" s="203">
        <f t="shared" si="737"/>
        <v>45.225</v>
      </c>
      <c r="E2387" s="203">
        <f t="shared" si="737"/>
        <v>54.27</v>
      </c>
      <c r="F2387" s="203">
        <f t="shared" si="737"/>
        <v>54.27</v>
      </c>
      <c r="G2387" s="203">
        <f t="shared" si="737"/>
        <v>54.27</v>
      </c>
      <c r="H2387" s="203">
        <f t="shared" si="737"/>
        <v>48.24</v>
      </c>
      <c r="I2387" s="203">
        <f t="shared" si="737"/>
        <v>54.27</v>
      </c>
      <c r="J2387" s="203">
        <f t="shared" si="737"/>
        <v>54.27</v>
      </c>
      <c r="K2387" s="203">
        <f t="shared" si="737"/>
        <v>51.255</v>
      </c>
      <c r="L2387" s="203">
        <f t="shared" si="737"/>
        <v>45.225</v>
      </c>
      <c r="M2387" s="203">
        <f t="shared" si="737"/>
        <v>42.21</v>
      </c>
      <c r="N2387" s="203">
        <f t="shared" si="737"/>
        <v>48.24</v>
      </c>
      <c r="O2387" s="5"/>
      <c r="P2387" s="5"/>
      <c r="Q2387" s="5"/>
      <c r="R2387" s="5"/>
      <c r="S2387" s="5"/>
      <c r="T2387" s="5"/>
      <c r="U2387" s="5"/>
      <c r="V2387" s="5"/>
      <c r="W2387" s="5"/>
      <c r="X2387" s="5"/>
      <c r="Y2387" s="5"/>
      <c r="Z2387" s="5"/>
    </row>
    <row r="2388" ht="12.0" customHeight="1">
      <c r="A2388" s="92"/>
      <c r="B2388" s="5" t="s">
        <v>634</v>
      </c>
      <c r="C2388" s="293">
        <f>C2387/Parametros!$B$37</f>
        <v>2.56275</v>
      </c>
      <c r="D2388" s="293">
        <f>D2387/Parametros!$B$37</f>
        <v>2.26125</v>
      </c>
      <c r="E2388" s="293">
        <f>E2387/Parametros!$B$37</f>
        <v>2.7135</v>
      </c>
      <c r="F2388" s="293">
        <f>F2387/Parametros!$B$37</f>
        <v>2.7135</v>
      </c>
      <c r="G2388" s="293">
        <f>G2387/Parametros!$B$37</f>
        <v>2.7135</v>
      </c>
      <c r="H2388" s="293">
        <f>H2387/Parametros!$B$37</f>
        <v>2.412</v>
      </c>
      <c r="I2388" s="293">
        <f>I2387/Parametros!$B$37</f>
        <v>2.7135</v>
      </c>
      <c r="J2388" s="293">
        <f>J2387/Parametros!$B$37</f>
        <v>2.7135</v>
      </c>
      <c r="K2388" s="293">
        <f>K2387/Parametros!$B$37</f>
        <v>2.56275</v>
      </c>
      <c r="L2388" s="293">
        <f>L2387/Parametros!$B$37</f>
        <v>2.26125</v>
      </c>
      <c r="M2388" s="293">
        <f>M2387/Parametros!$B$37</f>
        <v>2.1105</v>
      </c>
      <c r="N2388" s="293">
        <f>N2387/Parametros!$B$37</f>
        <v>2.412</v>
      </c>
      <c r="O2388" s="5"/>
      <c r="P2388" s="5"/>
      <c r="Q2388" s="5"/>
      <c r="R2388" s="5"/>
      <c r="S2388" s="5"/>
      <c r="T2388" s="5"/>
      <c r="U2388" s="5"/>
      <c r="V2388" s="5"/>
      <c r="W2388" s="5"/>
      <c r="X2388" s="5"/>
      <c r="Y2388" s="5"/>
      <c r="Z2388" s="5"/>
    </row>
    <row r="2389" ht="12.0" customHeight="1">
      <c r="A2389" s="92"/>
      <c r="B2389" s="5" t="s">
        <v>635</v>
      </c>
      <c r="C2389" s="293">
        <f>C2388/Parametros!$J$37</f>
        <v>0.3417</v>
      </c>
      <c r="D2389" s="293">
        <f>D2388/Parametros!$J$37</f>
        <v>0.3015</v>
      </c>
      <c r="E2389" s="293">
        <f>E2388/Parametros!$J$37</f>
        <v>0.3618</v>
      </c>
      <c r="F2389" s="293">
        <f>F2388/Parametros!$J$37</f>
        <v>0.3618</v>
      </c>
      <c r="G2389" s="293">
        <f>G2388/Parametros!$J$37</f>
        <v>0.3618</v>
      </c>
      <c r="H2389" s="293">
        <f>H2388/Parametros!$J$37</f>
        <v>0.3216</v>
      </c>
      <c r="I2389" s="293">
        <f>I2388/Parametros!$J$37</f>
        <v>0.3618</v>
      </c>
      <c r="J2389" s="293">
        <f>J2388/Parametros!$J$37</f>
        <v>0.3618</v>
      </c>
      <c r="K2389" s="293">
        <f>K2388/Parametros!$J$37</f>
        <v>0.3417</v>
      </c>
      <c r="L2389" s="293">
        <f>L2388/Parametros!$J$37</f>
        <v>0.3015</v>
      </c>
      <c r="M2389" s="293">
        <f>M2388/Parametros!$J$37</f>
        <v>0.2814</v>
      </c>
      <c r="N2389" s="293">
        <f>N2388/Parametros!$J$37</f>
        <v>0.3216</v>
      </c>
      <c r="O2389" s="5"/>
      <c r="P2389" s="5"/>
      <c r="Q2389" s="5"/>
      <c r="R2389" s="5"/>
      <c r="S2389" s="5"/>
      <c r="T2389" s="5"/>
      <c r="U2389" s="5"/>
      <c r="V2389" s="5"/>
      <c r="W2389" s="5"/>
      <c r="X2389" s="5"/>
      <c r="Y2389" s="5"/>
      <c r="Z2389" s="5"/>
    </row>
    <row r="2390" ht="12.0" customHeight="1">
      <c r="A2390" s="92" t="s">
        <v>636</v>
      </c>
      <c r="B2390" s="5"/>
      <c r="C2390" s="293">
        <f t="shared" ref="C2390:N2390" si="738">C2389</f>
        <v>0.3417</v>
      </c>
      <c r="D2390" s="293">
        <f t="shared" si="738"/>
        <v>0.3015</v>
      </c>
      <c r="E2390" s="293">
        <f t="shared" si="738"/>
        <v>0.3618</v>
      </c>
      <c r="F2390" s="293">
        <f t="shared" si="738"/>
        <v>0.3618</v>
      </c>
      <c r="G2390" s="293">
        <f t="shared" si="738"/>
        <v>0.3618</v>
      </c>
      <c r="H2390" s="293">
        <f t="shared" si="738"/>
        <v>0.3216</v>
      </c>
      <c r="I2390" s="293">
        <f t="shared" si="738"/>
        <v>0.3618</v>
      </c>
      <c r="J2390" s="293">
        <f t="shared" si="738"/>
        <v>0.3618</v>
      </c>
      <c r="K2390" s="293">
        <f t="shared" si="738"/>
        <v>0.3417</v>
      </c>
      <c r="L2390" s="293">
        <f t="shared" si="738"/>
        <v>0.3015</v>
      </c>
      <c r="M2390" s="293">
        <f t="shared" si="738"/>
        <v>0.2814</v>
      </c>
      <c r="N2390" s="293">
        <f t="shared" si="738"/>
        <v>0.3216</v>
      </c>
      <c r="O2390" s="5"/>
      <c r="P2390" s="5"/>
      <c r="Q2390" s="5"/>
      <c r="R2390" s="5"/>
      <c r="S2390" s="5"/>
      <c r="T2390" s="5"/>
      <c r="U2390" s="5"/>
      <c r="V2390" s="5"/>
      <c r="W2390" s="5"/>
      <c r="X2390" s="5"/>
      <c r="Y2390" s="5"/>
      <c r="Z2390" s="5"/>
    </row>
    <row r="2391" ht="12.0" customHeight="1">
      <c r="A2391" s="92" t="s">
        <v>637</v>
      </c>
      <c r="B2391" s="5"/>
      <c r="C2391" s="293">
        <f>Parametros!$M$117</f>
        <v>14.92682927</v>
      </c>
      <c r="D2391" s="293">
        <f>Parametros!$M$117</f>
        <v>14.92682927</v>
      </c>
      <c r="E2391" s="293">
        <f>Parametros!$M$117</f>
        <v>14.92682927</v>
      </c>
      <c r="F2391" s="293">
        <f>Parametros!$M$117</f>
        <v>14.92682927</v>
      </c>
      <c r="G2391" s="293">
        <f>Parametros!$M$117</f>
        <v>14.92682927</v>
      </c>
      <c r="H2391" s="293">
        <f>Parametros!$M$117</f>
        <v>14.92682927</v>
      </c>
      <c r="I2391" s="293">
        <f>Parametros!$M$117</f>
        <v>14.92682927</v>
      </c>
      <c r="J2391" s="293">
        <f>Parametros!$M$117</f>
        <v>14.92682927</v>
      </c>
      <c r="K2391" s="293">
        <f>Parametros!$M$117</f>
        <v>14.92682927</v>
      </c>
      <c r="L2391" s="293">
        <f>Parametros!$M$117</f>
        <v>14.92682927</v>
      </c>
      <c r="M2391" s="293">
        <f>Parametros!$M$117</f>
        <v>14.92682927</v>
      </c>
      <c r="N2391" s="293">
        <f>Parametros!$M$117</f>
        <v>14.92682927</v>
      </c>
      <c r="O2391" s="5"/>
      <c r="P2391" s="5"/>
      <c r="Q2391" s="5"/>
      <c r="R2391" s="5"/>
      <c r="S2391" s="5"/>
      <c r="T2391" s="5"/>
      <c r="U2391" s="5"/>
      <c r="V2391" s="5"/>
      <c r="W2391" s="5"/>
      <c r="X2391" s="5"/>
      <c r="Y2391" s="5"/>
      <c r="Z2391" s="5"/>
    </row>
    <row r="2392" ht="12.0" customHeight="1">
      <c r="A2392" s="92" t="s">
        <v>640</v>
      </c>
      <c r="B2392" s="5"/>
      <c r="C2392" s="203">
        <f>'Resumen Capacidad'!$E$225</f>
        <v>1</v>
      </c>
      <c r="D2392" s="203">
        <f>'Resumen Capacidad'!$E$225</f>
        <v>1</v>
      </c>
      <c r="E2392" s="203">
        <f>'Resumen Capacidad'!$E$225</f>
        <v>1</v>
      </c>
      <c r="F2392" s="203">
        <f>'Resumen Capacidad'!$E$225</f>
        <v>1</v>
      </c>
      <c r="G2392" s="203">
        <f>'Resumen Capacidad'!$E$225</f>
        <v>1</v>
      </c>
      <c r="H2392" s="203">
        <f>'Resumen Capacidad'!$E$225</f>
        <v>1</v>
      </c>
      <c r="I2392" s="203">
        <f>'Resumen Capacidad'!$E$225</f>
        <v>1</v>
      </c>
      <c r="J2392" s="203">
        <f>'Resumen Capacidad'!$E$225</f>
        <v>1</v>
      </c>
      <c r="K2392" s="203">
        <f>'Resumen Capacidad'!$E$225</f>
        <v>1</v>
      </c>
      <c r="L2392" s="203">
        <f>'Resumen Capacidad'!$E$225</f>
        <v>1</v>
      </c>
      <c r="M2392" s="203">
        <f>'Resumen Capacidad'!$E$225</f>
        <v>1</v>
      </c>
      <c r="N2392" s="203">
        <f>'Resumen Capacidad'!$E$225</f>
        <v>1</v>
      </c>
      <c r="O2392" s="5"/>
      <c r="P2392" s="5"/>
      <c r="Q2392" s="5"/>
      <c r="R2392" s="5"/>
      <c r="S2392" s="5"/>
      <c r="T2392" s="5"/>
      <c r="U2392" s="5"/>
      <c r="V2392" s="5"/>
      <c r="W2392" s="5"/>
      <c r="X2392" s="5"/>
      <c r="Y2392" s="5"/>
      <c r="Z2392" s="5"/>
    </row>
    <row r="2393" ht="12.0" customHeight="1">
      <c r="A2393" s="92" t="s">
        <v>642</v>
      </c>
      <c r="B2393" s="5"/>
      <c r="C2393" s="203">
        <f t="shared" ref="C2393:N2393" si="739">C2391*C2392</f>
        <v>14.92682927</v>
      </c>
      <c r="D2393" s="203">
        <f t="shared" si="739"/>
        <v>14.92682927</v>
      </c>
      <c r="E2393" s="203">
        <f t="shared" si="739"/>
        <v>14.92682927</v>
      </c>
      <c r="F2393" s="203">
        <f t="shared" si="739"/>
        <v>14.92682927</v>
      </c>
      <c r="G2393" s="203">
        <f t="shared" si="739"/>
        <v>14.92682927</v>
      </c>
      <c r="H2393" s="203">
        <f t="shared" si="739"/>
        <v>14.92682927</v>
      </c>
      <c r="I2393" s="203">
        <f t="shared" si="739"/>
        <v>14.92682927</v>
      </c>
      <c r="J2393" s="203">
        <f t="shared" si="739"/>
        <v>14.92682927</v>
      </c>
      <c r="K2393" s="203">
        <f t="shared" si="739"/>
        <v>14.92682927</v>
      </c>
      <c r="L2393" s="203">
        <f t="shared" si="739"/>
        <v>14.92682927</v>
      </c>
      <c r="M2393" s="203">
        <f t="shared" si="739"/>
        <v>14.92682927</v>
      </c>
      <c r="N2393" s="203">
        <f t="shared" si="739"/>
        <v>14.92682927</v>
      </c>
      <c r="O2393" s="5"/>
      <c r="P2393" s="5"/>
      <c r="Q2393" s="5"/>
      <c r="R2393" s="5"/>
      <c r="S2393" s="5"/>
      <c r="T2393" s="5"/>
      <c r="U2393" s="5"/>
      <c r="V2393" s="5"/>
      <c r="W2393" s="5"/>
      <c r="X2393" s="5"/>
      <c r="Y2393" s="5"/>
      <c r="Z2393" s="5"/>
    </row>
    <row r="2394" ht="12.0" customHeight="1">
      <c r="A2394" s="92" t="s">
        <v>643</v>
      </c>
      <c r="B2394" s="5"/>
      <c r="C2394" s="294">
        <f t="shared" ref="C2394:N2394" si="740">IF(C2393=0,0,C2390/C2393)</f>
        <v>0.02289166667</v>
      </c>
      <c r="D2394" s="294">
        <f t="shared" si="740"/>
        <v>0.02019852941</v>
      </c>
      <c r="E2394" s="294">
        <f t="shared" si="740"/>
        <v>0.02423823529</v>
      </c>
      <c r="F2394" s="294">
        <f t="shared" si="740"/>
        <v>0.02423823529</v>
      </c>
      <c r="G2394" s="294">
        <f t="shared" si="740"/>
        <v>0.02423823529</v>
      </c>
      <c r="H2394" s="294">
        <f t="shared" si="740"/>
        <v>0.02154509804</v>
      </c>
      <c r="I2394" s="294">
        <f t="shared" si="740"/>
        <v>0.02423823529</v>
      </c>
      <c r="J2394" s="294">
        <f t="shared" si="740"/>
        <v>0.02423823529</v>
      </c>
      <c r="K2394" s="294">
        <f t="shared" si="740"/>
        <v>0.02289166667</v>
      </c>
      <c r="L2394" s="294">
        <f t="shared" si="740"/>
        <v>0.02019852941</v>
      </c>
      <c r="M2394" s="294">
        <f t="shared" si="740"/>
        <v>0.01885196078</v>
      </c>
      <c r="N2394" s="294">
        <f t="shared" si="740"/>
        <v>0.02154509804</v>
      </c>
      <c r="O2394" s="5"/>
      <c r="P2394" s="5"/>
      <c r="Q2394" s="5"/>
      <c r="R2394" s="5"/>
      <c r="S2394" s="5"/>
      <c r="T2394" s="5"/>
      <c r="U2394" s="5"/>
      <c r="V2394" s="5"/>
      <c r="W2394" s="5"/>
      <c r="X2394" s="5"/>
      <c r="Y2394" s="5"/>
      <c r="Z2394" s="5"/>
    </row>
    <row r="2395" ht="12.0" customHeight="1">
      <c r="A2395" s="10" t="s">
        <v>1649</v>
      </c>
      <c r="B2395" s="5"/>
      <c r="C2395" s="206"/>
      <c r="D2395" s="206"/>
      <c r="E2395" s="206"/>
      <c r="F2395" s="206"/>
      <c r="G2395" s="206"/>
      <c r="H2395" s="206"/>
      <c r="I2395" s="206"/>
      <c r="J2395" s="206"/>
      <c r="K2395" s="206"/>
      <c r="L2395" s="206"/>
      <c r="M2395" s="206"/>
      <c r="N2395" s="206"/>
      <c r="O2395" s="5"/>
      <c r="P2395" s="5"/>
      <c r="Q2395" s="5"/>
      <c r="R2395" s="5"/>
      <c r="S2395" s="5"/>
      <c r="T2395" s="5"/>
      <c r="U2395" s="5"/>
      <c r="V2395" s="5"/>
      <c r="W2395" s="5"/>
      <c r="X2395" s="5"/>
      <c r="Y2395" s="5"/>
      <c r="Z2395" s="5"/>
    </row>
    <row r="2396" ht="12.0" customHeight="1">
      <c r="A2396" s="92" t="s">
        <v>630</v>
      </c>
      <c r="B2396" s="5" t="s">
        <v>631</v>
      </c>
      <c r="C2396" s="206" t="s">
        <v>3</v>
      </c>
      <c r="D2396" s="206" t="s">
        <v>4</v>
      </c>
      <c r="E2396" s="206" t="s">
        <v>507</v>
      </c>
      <c r="F2396" s="206" t="s">
        <v>508</v>
      </c>
      <c r="G2396" s="206" t="s">
        <v>509</v>
      </c>
      <c r="H2396" s="206" t="s">
        <v>510</v>
      </c>
      <c r="I2396" s="206" t="s">
        <v>511</v>
      </c>
      <c r="J2396" s="206" t="s">
        <v>512</v>
      </c>
      <c r="K2396" s="206" t="s">
        <v>513</v>
      </c>
      <c r="L2396" s="206" t="s">
        <v>514</v>
      </c>
      <c r="M2396" s="206" t="s">
        <v>515</v>
      </c>
      <c r="N2396" s="206" t="s">
        <v>516</v>
      </c>
      <c r="O2396" s="5"/>
      <c r="P2396" s="5"/>
      <c r="Q2396" s="5"/>
      <c r="R2396" s="5"/>
      <c r="S2396" s="5"/>
      <c r="T2396" s="5"/>
      <c r="U2396" s="5"/>
      <c r="V2396" s="5"/>
      <c r="W2396" s="5"/>
      <c r="X2396" s="5"/>
      <c r="Y2396" s="5"/>
      <c r="Z2396" s="5"/>
    </row>
    <row r="2397" ht="12.0" customHeight="1">
      <c r="A2397" s="92" t="s">
        <v>1643</v>
      </c>
      <c r="B2397" s="5" t="s">
        <v>633</v>
      </c>
      <c r="C2397" s="203">
        <f t="shared" ref="C2397:N2397" si="741">C2332</f>
        <v>51.255</v>
      </c>
      <c r="D2397" s="203">
        <f t="shared" si="741"/>
        <v>45.225</v>
      </c>
      <c r="E2397" s="203">
        <f t="shared" si="741"/>
        <v>54.27</v>
      </c>
      <c r="F2397" s="203">
        <f t="shared" si="741"/>
        <v>54.27</v>
      </c>
      <c r="G2397" s="203">
        <f t="shared" si="741"/>
        <v>54.27</v>
      </c>
      <c r="H2397" s="203">
        <f t="shared" si="741"/>
        <v>48.24</v>
      </c>
      <c r="I2397" s="203">
        <f t="shared" si="741"/>
        <v>54.27</v>
      </c>
      <c r="J2397" s="203">
        <f t="shared" si="741"/>
        <v>54.27</v>
      </c>
      <c r="K2397" s="203">
        <f t="shared" si="741"/>
        <v>51.255</v>
      </c>
      <c r="L2397" s="203">
        <f t="shared" si="741"/>
        <v>45.225</v>
      </c>
      <c r="M2397" s="203">
        <f t="shared" si="741"/>
        <v>42.21</v>
      </c>
      <c r="N2397" s="203">
        <f t="shared" si="741"/>
        <v>48.24</v>
      </c>
      <c r="O2397" s="5"/>
      <c r="P2397" s="5"/>
      <c r="Q2397" s="5"/>
      <c r="R2397" s="5"/>
      <c r="S2397" s="5"/>
      <c r="T2397" s="5"/>
      <c r="U2397" s="5"/>
      <c r="V2397" s="5"/>
      <c r="W2397" s="5"/>
      <c r="X2397" s="5"/>
      <c r="Y2397" s="5"/>
      <c r="Z2397" s="5"/>
    </row>
    <row r="2398" ht="12.0" customHeight="1">
      <c r="A2398" s="92"/>
      <c r="B2398" s="5" t="s">
        <v>634</v>
      </c>
      <c r="C2398" s="293">
        <f>C2397/Parametros!$B$37</f>
        <v>2.56275</v>
      </c>
      <c r="D2398" s="293">
        <f>D2397/Parametros!$B$37</f>
        <v>2.26125</v>
      </c>
      <c r="E2398" s="293">
        <f>E2397/Parametros!$B$37</f>
        <v>2.7135</v>
      </c>
      <c r="F2398" s="293">
        <f>F2397/Parametros!$B$37</f>
        <v>2.7135</v>
      </c>
      <c r="G2398" s="293">
        <f>G2397/Parametros!$B$37</f>
        <v>2.7135</v>
      </c>
      <c r="H2398" s="293">
        <f>H2397/Parametros!$B$37</f>
        <v>2.412</v>
      </c>
      <c r="I2398" s="293">
        <f>I2397/Parametros!$B$37</f>
        <v>2.7135</v>
      </c>
      <c r="J2398" s="293">
        <f>J2397/Parametros!$B$37</f>
        <v>2.7135</v>
      </c>
      <c r="K2398" s="293">
        <f>K2397/Parametros!$B$37</f>
        <v>2.56275</v>
      </c>
      <c r="L2398" s="293">
        <f>L2397/Parametros!$B$37</f>
        <v>2.26125</v>
      </c>
      <c r="M2398" s="293">
        <f>M2397/Parametros!$B$37</f>
        <v>2.1105</v>
      </c>
      <c r="N2398" s="293">
        <f>N2397/Parametros!$B$37</f>
        <v>2.412</v>
      </c>
      <c r="O2398" s="5"/>
      <c r="P2398" s="5"/>
      <c r="Q2398" s="5"/>
      <c r="R2398" s="5"/>
      <c r="S2398" s="5"/>
      <c r="T2398" s="5"/>
      <c r="U2398" s="5"/>
      <c r="V2398" s="5"/>
      <c r="W2398" s="5"/>
      <c r="X2398" s="5"/>
      <c r="Y2398" s="5"/>
      <c r="Z2398" s="5"/>
    </row>
    <row r="2399" ht="12.0" customHeight="1">
      <c r="A2399" s="92"/>
      <c r="B2399" s="5" t="s">
        <v>635</v>
      </c>
      <c r="C2399" s="293">
        <f>C2398/Parametros!$J$37</f>
        <v>0.3417</v>
      </c>
      <c r="D2399" s="293">
        <f>D2398/Parametros!$J$37</f>
        <v>0.3015</v>
      </c>
      <c r="E2399" s="293">
        <f>E2398/Parametros!$J$37</f>
        <v>0.3618</v>
      </c>
      <c r="F2399" s="293">
        <f>F2398/Parametros!$J$37</f>
        <v>0.3618</v>
      </c>
      <c r="G2399" s="293">
        <f>G2398/Parametros!$J$37</f>
        <v>0.3618</v>
      </c>
      <c r="H2399" s="293">
        <f>H2398/Parametros!$J$37</f>
        <v>0.3216</v>
      </c>
      <c r="I2399" s="293">
        <f>I2398/Parametros!$J$37</f>
        <v>0.3618</v>
      </c>
      <c r="J2399" s="293">
        <f>J2398/Parametros!$J$37</f>
        <v>0.3618</v>
      </c>
      <c r="K2399" s="293">
        <f>K2398/Parametros!$J$37</f>
        <v>0.3417</v>
      </c>
      <c r="L2399" s="293">
        <f>L2398/Parametros!$J$37</f>
        <v>0.3015</v>
      </c>
      <c r="M2399" s="293">
        <f>M2398/Parametros!$J$37</f>
        <v>0.2814</v>
      </c>
      <c r="N2399" s="293">
        <f>N2398/Parametros!$J$37</f>
        <v>0.3216</v>
      </c>
      <c r="O2399" s="5"/>
      <c r="P2399" s="5"/>
      <c r="Q2399" s="5"/>
      <c r="R2399" s="5"/>
      <c r="S2399" s="5"/>
      <c r="T2399" s="5"/>
      <c r="U2399" s="5"/>
      <c r="V2399" s="5"/>
      <c r="W2399" s="5"/>
      <c r="X2399" s="5"/>
      <c r="Y2399" s="5"/>
      <c r="Z2399" s="5"/>
    </row>
    <row r="2400" ht="12.0" customHeight="1">
      <c r="A2400" s="92" t="s">
        <v>636</v>
      </c>
      <c r="B2400" s="5"/>
      <c r="C2400" s="293">
        <f t="shared" ref="C2400:N2400" si="742">C2399</f>
        <v>0.3417</v>
      </c>
      <c r="D2400" s="293">
        <f t="shared" si="742"/>
        <v>0.3015</v>
      </c>
      <c r="E2400" s="293">
        <f t="shared" si="742"/>
        <v>0.3618</v>
      </c>
      <c r="F2400" s="293">
        <f t="shared" si="742"/>
        <v>0.3618</v>
      </c>
      <c r="G2400" s="293">
        <f t="shared" si="742"/>
        <v>0.3618</v>
      </c>
      <c r="H2400" s="293">
        <f t="shared" si="742"/>
        <v>0.3216</v>
      </c>
      <c r="I2400" s="293">
        <f t="shared" si="742"/>
        <v>0.3618</v>
      </c>
      <c r="J2400" s="293">
        <f t="shared" si="742"/>
        <v>0.3618</v>
      </c>
      <c r="K2400" s="293">
        <f t="shared" si="742"/>
        <v>0.3417</v>
      </c>
      <c r="L2400" s="293">
        <f t="shared" si="742"/>
        <v>0.3015</v>
      </c>
      <c r="M2400" s="293">
        <f t="shared" si="742"/>
        <v>0.2814</v>
      </c>
      <c r="N2400" s="293">
        <f t="shared" si="742"/>
        <v>0.3216</v>
      </c>
      <c r="O2400" s="5"/>
      <c r="P2400" s="5"/>
      <c r="Q2400" s="5"/>
      <c r="R2400" s="5"/>
      <c r="S2400" s="5"/>
      <c r="T2400" s="5"/>
      <c r="U2400" s="5"/>
      <c r="V2400" s="5"/>
      <c r="W2400" s="5"/>
      <c r="X2400" s="5"/>
      <c r="Y2400" s="5"/>
      <c r="Z2400" s="5"/>
    </row>
    <row r="2401" ht="12.0" customHeight="1">
      <c r="A2401" s="92" t="s">
        <v>637</v>
      </c>
      <c r="B2401" s="5"/>
      <c r="C2401" s="293">
        <f>Parametros!$M$118</f>
        <v>38.25</v>
      </c>
      <c r="D2401" s="293">
        <f>Parametros!$M$118</f>
        <v>38.25</v>
      </c>
      <c r="E2401" s="293">
        <f>Parametros!$M$118</f>
        <v>38.25</v>
      </c>
      <c r="F2401" s="293">
        <f>Parametros!$M$118</f>
        <v>38.25</v>
      </c>
      <c r="G2401" s="293">
        <f>Parametros!$M$118</f>
        <v>38.25</v>
      </c>
      <c r="H2401" s="293">
        <f>Parametros!$M$118</f>
        <v>38.25</v>
      </c>
      <c r="I2401" s="293">
        <f>Parametros!$M$118</f>
        <v>38.25</v>
      </c>
      <c r="J2401" s="293">
        <f>Parametros!$M$118</f>
        <v>38.25</v>
      </c>
      <c r="K2401" s="293">
        <f>Parametros!$M$118</f>
        <v>38.25</v>
      </c>
      <c r="L2401" s="293">
        <f>Parametros!$M$118</f>
        <v>38.25</v>
      </c>
      <c r="M2401" s="293">
        <f>Parametros!$M$118</f>
        <v>38.25</v>
      </c>
      <c r="N2401" s="293">
        <f>Parametros!$M$118</f>
        <v>38.25</v>
      </c>
      <c r="O2401" s="5"/>
      <c r="P2401" s="5"/>
      <c r="Q2401" s="5"/>
      <c r="R2401" s="5"/>
      <c r="S2401" s="5"/>
      <c r="T2401" s="5"/>
      <c r="U2401" s="5"/>
      <c r="V2401" s="5"/>
      <c r="W2401" s="5"/>
      <c r="X2401" s="5"/>
      <c r="Y2401" s="5"/>
      <c r="Z2401" s="5"/>
    </row>
    <row r="2402" ht="12.0" customHeight="1">
      <c r="A2402" s="92" t="s">
        <v>640</v>
      </c>
      <c r="B2402" s="5"/>
      <c r="C2402" s="203">
        <f>'Resumen Capacidad'!$E$226</f>
        <v>1</v>
      </c>
      <c r="D2402" s="203">
        <f>'Resumen Capacidad'!$E$226</f>
        <v>1</v>
      </c>
      <c r="E2402" s="203">
        <f>'Resumen Capacidad'!$E$226</f>
        <v>1</v>
      </c>
      <c r="F2402" s="203">
        <f>'Resumen Capacidad'!$E$226</f>
        <v>1</v>
      </c>
      <c r="G2402" s="203">
        <f>'Resumen Capacidad'!$E$226</f>
        <v>1</v>
      </c>
      <c r="H2402" s="203">
        <f>'Resumen Capacidad'!$E$226</f>
        <v>1</v>
      </c>
      <c r="I2402" s="203">
        <f>'Resumen Capacidad'!$E$226</f>
        <v>1</v>
      </c>
      <c r="J2402" s="203">
        <f>'Resumen Capacidad'!$E$226</f>
        <v>1</v>
      </c>
      <c r="K2402" s="203">
        <f>'Resumen Capacidad'!$E$226</f>
        <v>1</v>
      </c>
      <c r="L2402" s="203">
        <f>'Resumen Capacidad'!$E$226</f>
        <v>1</v>
      </c>
      <c r="M2402" s="203">
        <f>'Resumen Capacidad'!$E$226</f>
        <v>1</v>
      </c>
      <c r="N2402" s="203">
        <f>'Resumen Capacidad'!$E$226</f>
        <v>1</v>
      </c>
      <c r="O2402" s="5"/>
      <c r="P2402" s="5"/>
      <c r="Q2402" s="5"/>
      <c r="R2402" s="5"/>
      <c r="S2402" s="5"/>
      <c r="T2402" s="5"/>
      <c r="U2402" s="5"/>
      <c r="V2402" s="5"/>
      <c r="W2402" s="5"/>
      <c r="X2402" s="5"/>
      <c r="Y2402" s="5"/>
      <c r="Z2402" s="5"/>
    </row>
    <row r="2403" ht="12.0" customHeight="1">
      <c r="A2403" s="92" t="s">
        <v>642</v>
      </c>
      <c r="B2403" s="5"/>
      <c r="C2403" s="203">
        <f t="shared" ref="C2403:N2403" si="743">C2401*C2402</f>
        <v>38.25</v>
      </c>
      <c r="D2403" s="203">
        <f t="shared" si="743"/>
        <v>38.25</v>
      </c>
      <c r="E2403" s="203">
        <f t="shared" si="743"/>
        <v>38.25</v>
      </c>
      <c r="F2403" s="203">
        <f t="shared" si="743"/>
        <v>38.25</v>
      </c>
      <c r="G2403" s="203">
        <f t="shared" si="743"/>
        <v>38.25</v>
      </c>
      <c r="H2403" s="203">
        <f t="shared" si="743"/>
        <v>38.25</v>
      </c>
      <c r="I2403" s="203">
        <f t="shared" si="743"/>
        <v>38.25</v>
      </c>
      <c r="J2403" s="203">
        <f t="shared" si="743"/>
        <v>38.25</v>
      </c>
      <c r="K2403" s="203">
        <f t="shared" si="743"/>
        <v>38.25</v>
      </c>
      <c r="L2403" s="203">
        <f t="shared" si="743"/>
        <v>38.25</v>
      </c>
      <c r="M2403" s="203">
        <f t="shared" si="743"/>
        <v>38.25</v>
      </c>
      <c r="N2403" s="203">
        <f t="shared" si="743"/>
        <v>38.25</v>
      </c>
      <c r="O2403" s="5"/>
      <c r="P2403" s="5"/>
      <c r="Q2403" s="5"/>
      <c r="R2403" s="5"/>
      <c r="S2403" s="5"/>
      <c r="T2403" s="5"/>
      <c r="U2403" s="5"/>
      <c r="V2403" s="5"/>
      <c r="W2403" s="5"/>
      <c r="X2403" s="5"/>
      <c r="Y2403" s="5"/>
      <c r="Z2403" s="5"/>
    </row>
    <row r="2404" ht="12.0" customHeight="1">
      <c r="A2404" s="92" t="s">
        <v>643</v>
      </c>
      <c r="B2404" s="5"/>
      <c r="C2404" s="294">
        <f t="shared" ref="C2404:N2404" si="744">IF(C2403=0,0,C2400/C2403)</f>
        <v>0.008933333333</v>
      </c>
      <c r="D2404" s="294">
        <f t="shared" si="744"/>
        <v>0.007882352941</v>
      </c>
      <c r="E2404" s="294">
        <f t="shared" si="744"/>
        <v>0.009458823529</v>
      </c>
      <c r="F2404" s="294">
        <f t="shared" si="744"/>
        <v>0.009458823529</v>
      </c>
      <c r="G2404" s="294">
        <f t="shared" si="744"/>
        <v>0.009458823529</v>
      </c>
      <c r="H2404" s="294">
        <f t="shared" si="744"/>
        <v>0.008407843137</v>
      </c>
      <c r="I2404" s="294">
        <f t="shared" si="744"/>
        <v>0.009458823529</v>
      </c>
      <c r="J2404" s="294">
        <f t="shared" si="744"/>
        <v>0.009458823529</v>
      </c>
      <c r="K2404" s="294">
        <f t="shared" si="744"/>
        <v>0.008933333333</v>
      </c>
      <c r="L2404" s="294">
        <f t="shared" si="744"/>
        <v>0.007882352941</v>
      </c>
      <c r="M2404" s="294">
        <f t="shared" si="744"/>
        <v>0.007356862745</v>
      </c>
      <c r="N2404" s="294">
        <f t="shared" si="744"/>
        <v>0.008407843137</v>
      </c>
      <c r="O2404" s="5"/>
      <c r="P2404" s="5"/>
      <c r="Q2404" s="5"/>
      <c r="R2404" s="5"/>
      <c r="S2404" s="5"/>
      <c r="T2404" s="5"/>
      <c r="U2404" s="5"/>
      <c r="V2404" s="5"/>
      <c r="W2404" s="5"/>
      <c r="X2404" s="5"/>
      <c r="Y2404" s="5"/>
      <c r="Z2404" s="5"/>
    </row>
    <row r="2405" ht="12.0" customHeight="1">
      <c r="A2405" s="10" t="s">
        <v>1650</v>
      </c>
      <c r="B2405" s="5"/>
      <c r="C2405" s="206"/>
      <c r="D2405" s="206"/>
      <c r="E2405" s="206"/>
      <c r="F2405" s="206"/>
      <c r="G2405" s="206"/>
      <c r="H2405" s="206"/>
      <c r="I2405" s="206"/>
      <c r="J2405" s="206"/>
      <c r="K2405" s="206"/>
      <c r="L2405" s="206"/>
      <c r="M2405" s="206"/>
      <c r="N2405" s="206"/>
      <c r="O2405" s="5"/>
      <c r="P2405" s="5"/>
      <c r="Q2405" s="5"/>
      <c r="R2405" s="5"/>
      <c r="S2405" s="5"/>
      <c r="T2405" s="5"/>
      <c r="U2405" s="5"/>
      <c r="V2405" s="5"/>
      <c r="W2405" s="5"/>
      <c r="X2405" s="5"/>
      <c r="Y2405" s="5"/>
      <c r="Z2405" s="5"/>
    </row>
    <row r="2406" ht="12.0" customHeight="1">
      <c r="A2406" s="92" t="s">
        <v>630</v>
      </c>
      <c r="B2406" s="5" t="s">
        <v>631</v>
      </c>
      <c r="C2406" s="206" t="s">
        <v>3</v>
      </c>
      <c r="D2406" s="206" t="s">
        <v>4</v>
      </c>
      <c r="E2406" s="206" t="s">
        <v>507</v>
      </c>
      <c r="F2406" s="206" t="s">
        <v>508</v>
      </c>
      <c r="G2406" s="206" t="s">
        <v>509</v>
      </c>
      <c r="H2406" s="206" t="s">
        <v>510</v>
      </c>
      <c r="I2406" s="206" t="s">
        <v>511</v>
      </c>
      <c r="J2406" s="206" t="s">
        <v>512</v>
      </c>
      <c r="K2406" s="206" t="s">
        <v>513</v>
      </c>
      <c r="L2406" s="206" t="s">
        <v>514</v>
      </c>
      <c r="M2406" s="206" t="s">
        <v>515</v>
      </c>
      <c r="N2406" s="206" t="s">
        <v>516</v>
      </c>
      <c r="O2406" s="5"/>
      <c r="P2406" s="5"/>
      <c r="Q2406" s="5"/>
      <c r="R2406" s="5"/>
      <c r="S2406" s="5"/>
      <c r="T2406" s="5"/>
      <c r="U2406" s="5"/>
      <c r="V2406" s="5"/>
      <c r="W2406" s="5"/>
      <c r="X2406" s="5"/>
      <c r="Y2406" s="5"/>
      <c r="Z2406" s="5"/>
    </row>
    <row r="2407" ht="12.0" customHeight="1">
      <c r="A2407" s="92" t="s">
        <v>1643</v>
      </c>
      <c r="B2407" s="5" t="s">
        <v>633</v>
      </c>
      <c r="C2407" s="203">
        <f t="shared" ref="C2407:N2407" si="745">C2332</f>
        <v>51.255</v>
      </c>
      <c r="D2407" s="203">
        <f t="shared" si="745"/>
        <v>45.225</v>
      </c>
      <c r="E2407" s="203">
        <f t="shared" si="745"/>
        <v>54.27</v>
      </c>
      <c r="F2407" s="203">
        <f t="shared" si="745"/>
        <v>54.27</v>
      </c>
      <c r="G2407" s="203">
        <f t="shared" si="745"/>
        <v>54.27</v>
      </c>
      <c r="H2407" s="203">
        <f t="shared" si="745"/>
        <v>48.24</v>
      </c>
      <c r="I2407" s="203">
        <f t="shared" si="745"/>
        <v>54.27</v>
      </c>
      <c r="J2407" s="203">
        <f t="shared" si="745"/>
        <v>54.27</v>
      </c>
      <c r="K2407" s="203">
        <f t="shared" si="745"/>
        <v>51.255</v>
      </c>
      <c r="L2407" s="203">
        <f t="shared" si="745"/>
        <v>45.225</v>
      </c>
      <c r="M2407" s="203">
        <f t="shared" si="745"/>
        <v>42.21</v>
      </c>
      <c r="N2407" s="203">
        <f t="shared" si="745"/>
        <v>48.24</v>
      </c>
      <c r="O2407" s="5"/>
      <c r="P2407" s="5"/>
      <c r="Q2407" s="5"/>
      <c r="R2407" s="5"/>
      <c r="S2407" s="5"/>
      <c r="T2407" s="5"/>
      <c r="U2407" s="5"/>
      <c r="V2407" s="5"/>
      <c r="W2407" s="5"/>
      <c r="X2407" s="5"/>
      <c r="Y2407" s="5"/>
      <c r="Z2407" s="5"/>
    </row>
    <row r="2408" ht="12.0" customHeight="1">
      <c r="A2408" s="92"/>
      <c r="B2408" s="5" t="s">
        <v>634</v>
      </c>
      <c r="C2408" s="293">
        <f>C2407/Parametros!$B$37</f>
        <v>2.56275</v>
      </c>
      <c r="D2408" s="293">
        <f>D2407/Parametros!$B$37</f>
        <v>2.26125</v>
      </c>
      <c r="E2408" s="293">
        <f>E2407/Parametros!$B$37</f>
        <v>2.7135</v>
      </c>
      <c r="F2408" s="293">
        <f>F2407/Parametros!$B$37</f>
        <v>2.7135</v>
      </c>
      <c r="G2408" s="293">
        <f>G2407/Parametros!$B$37</f>
        <v>2.7135</v>
      </c>
      <c r="H2408" s="293">
        <f>H2407/Parametros!$B$37</f>
        <v>2.412</v>
      </c>
      <c r="I2408" s="293">
        <f>I2407/Parametros!$B$37</f>
        <v>2.7135</v>
      </c>
      <c r="J2408" s="293">
        <f>J2407/Parametros!$B$37</f>
        <v>2.7135</v>
      </c>
      <c r="K2408" s="293">
        <f>K2407/Parametros!$B$37</f>
        <v>2.56275</v>
      </c>
      <c r="L2408" s="293">
        <f>L2407/Parametros!$B$37</f>
        <v>2.26125</v>
      </c>
      <c r="M2408" s="293">
        <f>M2407/Parametros!$B$37</f>
        <v>2.1105</v>
      </c>
      <c r="N2408" s="293">
        <f>N2407/Parametros!$B$37</f>
        <v>2.412</v>
      </c>
      <c r="O2408" s="5"/>
      <c r="P2408" s="5"/>
      <c r="Q2408" s="5"/>
      <c r="R2408" s="5"/>
      <c r="S2408" s="5"/>
      <c r="T2408" s="5"/>
      <c r="U2408" s="5"/>
      <c r="V2408" s="5"/>
      <c r="W2408" s="5"/>
      <c r="X2408" s="5"/>
      <c r="Y2408" s="5"/>
      <c r="Z2408" s="5"/>
    </row>
    <row r="2409" ht="12.0" customHeight="1">
      <c r="A2409" s="92"/>
      <c r="B2409" s="5" t="s">
        <v>635</v>
      </c>
      <c r="C2409" s="293">
        <f>C2408/Parametros!$J$37</f>
        <v>0.3417</v>
      </c>
      <c r="D2409" s="293">
        <f>D2408/Parametros!$J$37</f>
        <v>0.3015</v>
      </c>
      <c r="E2409" s="293">
        <f>E2408/Parametros!$J$37</f>
        <v>0.3618</v>
      </c>
      <c r="F2409" s="293">
        <f>F2408/Parametros!$J$37</f>
        <v>0.3618</v>
      </c>
      <c r="G2409" s="293">
        <f>G2408/Parametros!$J$37</f>
        <v>0.3618</v>
      </c>
      <c r="H2409" s="293">
        <f>H2408/Parametros!$J$37</f>
        <v>0.3216</v>
      </c>
      <c r="I2409" s="293">
        <f>I2408/Parametros!$J$37</f>
        <v>0.3618</v>
      </c>
      <c r="J2409" s="293">
        <f>J2408/Parametros!$J$37</f>
        <v>0.3618</v>
      </c>
      <c r="K2409" s="293">
        <f>K2408/Parametros!$J$37</f>
        <v>0.3417</v>
      </c>
      <c r="L2409" s="293">
        <f>L2408/Parametros!$J$37</f>
        <v>0.3015</v>
      </c>
      <c r="M2409" s="293">
        <f>M2408/Parametros!$J$37</f>
        <v>0.2814</v>
      </c>
      <c r="N2409" s="293">
        <f>N2408/Parametros!$J$37</f>
        <v>0.3216</v>
      </c>
      <c r="O2409" s="5"/>
      <c r="P2409" s="5"/>
      <c r="Q2409" s="5"/>
      <c r="R2409" s="5"/>
      <c r="S2409" s="5"/>
      <c r="T2409" s="5"/>
      <c r="U2409" s="5"/>
      <c r="V2409" s="5"/>
      <c r="W2409" s="5"/>
      <c r="X2409" s="5"/>
      <c r="Y2409" s="5"/>
      <c r="Z2409" s="5"/>
    </row>
    <row r="2410" ht="12.0" customHeight="1">
      <c r="A2410" s="92" t="s">
        <v>636</v>
      </c>
      <c r="B2410" s="5"/>
      <c r="C2410" s="293">
        <f t="shared" ref="C2410:N2410" si="746">C2409</f>
        <v>0.3417</v>
      </c>
      <c r="D2410" s="293">
        <f t="shared" si="746"/>
        <v>0.3015</v>
      </c>
      <c r="E2410" s="293">
        <f t="shared" si="746"/>
        <v>0.3618</v>
      </c>
      <c r="F2410" s="293">
        <f t="shared" si="746"/>
        <v>0.3618</v>
      </c>
      <c r="G2410" s="293">
        <f t="shared" si="746"/>
        <v>0.3618</v>
      </c>
      <c r="H2410" s="293">
        <f t="shared" si="746"/>
        <v>0.3216</v>
      </c>
      <c r="I2410" s="293">
        <f t="shared" si="746"/>
        <v>0.3618</v>
      </c>
      <c r="J2410" s="293">
        <f t="shared" si="746"/>
        <v>0.3618</v>
      </c>
      <c r="K2410" s="293">
        <f t="shared" si="746"/>
        <v>0.3417</v>
      </c>
      <c r="L2410" s="293">
        <f t="shared" si="746"/>
        <v>0.3015</v>
      </c>
      <c r="M2410" s="293">
        <f t="shared" si="746"/>
        <v>0.2814</v>
      </c>
      <c r="N2410" s="293">
        <f t="shared" si="746"/>
        <v>0.3216</v>
      </c>
      <c r="O2410" s="5"/>
      <c r="P2410" s="5"/>
      <c r="Q2410" s="5"/>
      <c r="R2410" s="5"/>
      <c r="S2410" s="5"/>
      <c r="T2410" s="5"/>
      <c r="U2410" s="5"/>
      <c r="V2410" s="5"/>
      <c r="W2410" s="5"/>
      <c r="X2410" s="5"/>
      <c r="Y2410" s="5"/>
      <c r="Z2410" s="5"/>
    </row>
    <row r="2411" ht="12.0" customHeight="1">
      <c r="A2411" s="92" t="s">
        <v>637</v>
      </c>
      <c r="B2411" s="5"/>
      <c r="C2411" s="293">
        <f>Parametros!$M$119</f>
        <v>5.666666667</v>
      </c>
      <c r="D2411" s="293">
        <f>Parametros!$M$119</f>
        <v>5.666666667</v>
      </c>
      <c r="E2411" s="293">
        <f>Parametros!$M$119</f>
        <v>5.666666667</v>
      </c>
      <c r="F2411" s="293">
        <f>Parametros!$M$119</f>
        <v>5.666666667</v>
      </c>
      <c r="G2411" s="293">
        <f>Parametros!$M$119</f>
        <v>5.666666667</v>
      </c>
      <c r="H2411" s="293">
        <f>Parametros!$M$119</f>
        <v>5.666666667</v>
      </c>
      <c r="I2411" s="293">
        <f>Parametros!$M$119</f>
        <v>5.666666667</v>
      </c>
      <c r="J2411" s="293">
        <f>Parametros!$M$119</f>
        <v>5.666666667</v>
      </c>
      <c r="K2411" s="293">
        <f>Parametros!$M$119</f>
        <v>5.666666667</v>
      </c>
      <c r="L2411" s="293">
        <f>Parametros!$M$119</f>
        <v>5.666666667</v>
      </c>
      <c r="M2411" s="293">
        <f>Parametros!$M$119</f>
        <v>5.666666667</v>
      </c>
      <c r="N2411" s="293">
        <f>Parametros!$M$119</f>
        <v>5.666666667</v>
      </c>
      <c r="O2411" s="5"/>
      <c r="P2411" s="5"/>
      <c r="Q2411" s="5"/>
      <c r="R2411" s="5"/>
      <c r="S2411" s="5"/>
      <c r="T2411" s="5"/>
      <c r="U2411" s="5"/>
      <c r="V2411" s="5"/>
      <c r="W2411" s="5"/>
      <c r="X2411" s="5"/>
      <c r="Y2411" s="5"/>
      <c r="Z2411" s="5"/>
    </row>
    <row r="2412" ht="12.0" customHeight="1">
      <c r="A2412" s="92" t="s">
        <v>640</v>
      </c>
      <c r="B2412" s="5"/>
      <c r="C2412" s="203">
        <f>'Resumen Capacidad'!$E$227</f>
        <v>1</v>
      </c>
      <c r="D2412" s="203">
        <f>'Resumen Capacidad'!$E$227</f>
        <v>1</v>
      </c>
      <c r="E2412" s="203">
        <f>'Resumen Capacidad'!$E$227</f>
        <v>1</v>
      </c>
      <c r="F2412" s="203">
        <f>'Resumen Capacidad'!$E$227</f>
        <v>1</v>
      </c>
      <c r="G2412" s="203">
        <f>'Resumen Capacidad'!$E$227</f>
        <v>1</v>
      </c>
      <c r="H2412" s="203">
        <f>'Resumen Capacidad'!$E$227</f>
        <v>1</v>
      </c>
      <c r="I2412" s="203">
        <f>'Resumen Capacidad'!$E$227</f>
        <v>1</v>
      </c>
      <c r="J2412" s="203">
        <f>'Resumen Capacidad'!$E$227</f>
        <v>1</v>
      </c>
      <c r="K2412" s="203">
        <f>'Resumen Capacidad'!$E$227</f>
        <v>1</v>
      </c>
      <c r="L2412" s="203">
        <f>'Resumen Capacidad'!$E$227</f>
        <v>1</v>
      </c>
      <c r="M2412" s="203">
        <f>'Resumen Capacidad'!$E$227</f>
        <v>1</v>
      </c>
      <c r="N2412" s="203">
        <f>'Resumen Capacidad'!$E$227</f>
        <v>1</v>
      </c>
      <c r="O2412" s="5"/>
      <c r="P2412" s="5"/>
      <c r="Q2412" s="5"/>
      <c r="R2412" s="5"/>
      <c r="S2412" s="5"/>
      <c r="T2412" s="5"/>
      <c r="U2412" s="5"/>
      <c r="V2412" s="5"/>
      <c r="W2412" s="5"/>
      <c r="X2412" s="5"/>
      <c r="Y2412" s="5"/>
      <c r="Z2412" s="5"/>
    </row>
    <row r="2413" ht="12.0" customHeight="1">
      <c r="A2413" s="92" t="s">
        <v>642</v>
      </c>
      <c r="B2413" s="5"/>
      <c r="C2413" s="203">
        <f t="shared" ref="C2413:N2413" si="747">C2411*C2412</f>
        <v>5.666666667</v>
      </c>
      <c r="D2413" s="203">
        <f t="shared" si="747"/>
        <v>5.666666667</v>
      </c>
      <c r="E2413" s="203">
        <f t="shared" si="747"/>
        <v>5.666666667</v>
      </c>
      <c r="F2413" s="203">
        <f t="shared" si="747"/>
        <v>5.666666667</v>
      </c>
      <c r="G2413" s="203">
        <f t="shared" si="747"/>
        <v>5.666666667</v>
      </c>
      <c r="H2413" s="203">
        <f t="shared" si="747"/>
        <v>5.666666667</v>
      </c>
      <c r="I2413" s="203">
        <f t="shared" si="747"/>
        <v>5.666666667</v>
      </c>
      <c r="J2413" s="203">
        <f t="shared" si="747"/>
        <v>5.666666667</v>
      </c>
      <c r="K2413" s="203">
        <f t="shared" si="747"/>
        <v>5.666666667</v>
      </c>
      <c r="L2413" s="203">
        <f t="shared" si="747"/>
        <v>5.666666667</v>
      </c>
      <c r="M2413" s="203">
        <f t="shared" si="747"/>
        <v>5.666666667</v>
      </c>
      <c r="N2413" s="203">
        <f t="shared" si="747"/>
        <v>5.666666667</v>
      </c>
      <c r="O2413" s="5"/>
      <c r="P2413" s="5"/>
      <c r="Q2413" s="5"/>
      <c r="R2413" s="5"/>
      <c r="S2413" s="5"/>
      <c r="T2413" s="5"/>
      <c r="U2413" s="5"/>
      <c r="V2413" s="5"/>
      <c r="W2413" s="5"/>
      <c r="X2413" s="5"/>
      <c r="Y2413" s="5"/>
      <c r="Z2413" s="5"/>
    </row>
    <row r="2414" ht="12.0" customHeight="1">
      <c r="A2414" s="92" t="s">
        <v>643</v>
      </c>
      <c r="B2414" s="5"/>
      <c r="C2414" s="294">
        <f t="shared" ref="C2414:N2414" si="748">IF(C2413=0,0,C2410/C2413)</f>
        <v>0.0603</v>
      </c>
      <c r="D2414" s="294">
        <f t="shared" si="748"/>
        <v>0.05320588235</v>
      </c>
      <c r="E2414" s="294">
        <f t="shared" si="748"/>
        <v>0.06384705882</v>
      </c>
      <c r="F2414" s="294">
        <f t="shared" si="748"/>
        <v>0.06384705882</v>
      </c>
      <c r="G2414" s="294">
        <f t="shared" si="748"/>
        <v>0.06384705882</v>
      </c>
      <c r="H2414" s="294">
        <f t="shared" si="748"/>
        <v>0.05675294118</v>
      </c>
      <c r="I2414" s="294">
        <f t="shared" si="748"/>
        <v>0.06384705882</v>
      </c>
      <c r="J2414" s="294">
        <f t="shared" si="748"/>
        <v>0.06384705882</v>
      </c>
      <c r="K2414" s="294">
        <f t="shared" si="748"/>
        <v>0.0603</v>
      </c>
      <c r="L2414" s="294">
        <f t="shared" si="748"/>
        <v>0.05320588235</v>
      </c>
      <c r="M2414" s="294">
        <f t="shared" si="748"/>
        <v>0.04965882353</v>
      </c>
      <c r="N2414" s="294">
        <f t="shared" si="748"/>
        <v>0.05675294118</v>
      </c>
      <c r="O2414" s="5"/>
      <c r="P2414" s="5"/>
      <c r="Q2414" s="5"/>
      <c r="R2414" s="5"/>
      <c r="S2414" s="5"/>
      <c r="T2414" s="5"/>
      <c r="U2414" s="5"/>
      <c r="V2414" s="5"/>
      <c r="W2414" s="5"/>
      <c r="X2414" s="5"/>
      <c r="Y2414" s="5"/>
      <c r="Z2414" s="5"/>
    </row>
    <row r="2415" ht="12.0" customHeight="1">
      <c r="A2415" s="92"/>
      <c r="B2415" s="5"/>
      <c r="C2415" s="206"/>
      <c r="D2415" s="206"/>
      <c r="E2415" s="206"/>
      <c r="F2415" s="206"/>
      <c r="G2415" s="206"/>
      <c r="H2415" s="206"/>
      <c r="I2415" s="206"/>
      <c r="J2415" s="206"/>
      <c r="K2415" s="206"/>
      <c r="L2415" s="206"/>
      <c r="M2415" s="206"/>
      <c r="N2415" s="206"/>
      <c r="O2415" s="5"/>
      <c r="P2415" s="5"/>
      <c r="Q2415" s="5"/>
      <c r="R2415" s="5"/>
      <c r="S2415" s="5"/>
      <c r="T2415" s="5"/>
      <c r="U2415" s="5"/>
      <c r="V2415" s="5"/>
      <c r="W2415" s="5"/>
      <c r="X2415" s="5"/>
      <c r="Y2415" s="5"/>
      <c r="Z2415" s="5"/>
    </row>
    <row r="2416" ht="12.0" customHeight="1">
      <c r="A2416" s="288" t="s">
        <v>1654</v>
      </c>
      <c r="B2416" s="202"/>
      <c r="C2416" s="289"/>
      <c r="D2416" s="289"/>
      <c r="E2416" s="289"/>
      <c r="F2416" s="289"/>
      <c r="G2416" s="289"/>
      <c r="H2416" s="289"/>
      <c r="I2416" s="289"/>
      <c r="J2416" s="289"/>
      <c r="K2416" s="289"/>
      <c r="L2416" s="289"/>
      <c r="M2416" s="289"/>
      <c r="N2416" s="289"/>
      <c r="O2416" s="202"/>
      <c r="P2416" s="5"/>
      <c r="Q2416" s="5"/>
      <c r="R2416" s="5"/>
      <c r="S2416" s="5"/>
      <c r="T2416" s="5"/>
      <c r="U2416" s="5"/>
      <c r="V2416" s="5"/>
      <c r="W2416" s="5"/>
      <c r="X2416" s="5"/>
      <c r="Y2416" s="5"/>
      <c r="Z2416" s="5"/>
    </row>
    <row r="2417" ht="12.0" customHeight="1">
      <c r="A2417" s="160" t="s">
        <v>188</v>
      </c>
      <c r="B2417" s="160" t="s">
        <v>631</v>
      </c>
      <c r="C2417" s="290" t="s">
        <v>3</v>
      </c>
      <c r="D2417" s="290" t="s">
        <v>4</v>
      </c>
      <c r="E2417" s="290" t="s">
        <v>507</v>
      </c>
      <c r="F2417" s="290" t="s">
        <v>508</v>
      </c>
      <c r="G2417" s="290" t="s">
        <v>509</v>
      </c>
      <c r="H2417" s="290" t="s">
        <v>510</v>
      </c>
      <c r="I2417" s="290" t="s">
        <v>511</v>
      </c>
      <c r="J2417" s="290" t="s">
        <v>512</v>
      </c>
      <c r="K2417" s="290" t="s">
        <v>513</v>
      </c>
      <c r="L2417" s="290" t="s">
        <v>514</v>
      </c>
      <c r="M2417" s="290" t="s">
        <v>515</v>
      </c>
      <c r="N2417" s="290" t="s">
        <v>516</v>
      </c>
      <c r="O2417" s="160" t="s">
        <v>15</v>
      </c>
      <c r="P2417" s="160" t="s">
        <v>1598</v>
      </c>
      <c r="Q2417" s="19" t="s">
        <v>1634</v>
      </c>
      <c r="R2417" s="5"/>
      <c r="S2417" s="5"/>
      <c r="T2417" s="5"/>
      <c r="U2417" s="5"/>
      <c r="V2417" s="5"/>
      <c r="W2417" s="5"/>
      <c r="X2417" s="5"/>
      <c r="Y2417" s="5"/>
      <c r="Z2417" s="5"/>
    </row>
    <row r="2418" ht="12.0" customHeight="1">
      <c r="A2418" s="28" t="s">
        <v>1635</v>
      </c>
      <c r="B2418" s="5" t="s">
        <v>633</v>
      </c>
      <c r="C2418" s="291">
        <f>SUM('2030'!B10:B13)</f>
        <v>52.955</v>
      </c>
      <c r="D2418" s="291">
        <f>SUM('2030'!C10:C13)</f>
        <v>46.725</v>
      </c>
      <c r="E2418" s="291">
        <f>SUM('2030'!D10:D13)</f>
        <v>56.07</v>
      </c>
      <c r="F2418" s="291">
        <f>SUM('2030'!E10:E13)</f>
        <v>56.07</v>
      </c>
      <c r="G2418" s="291">
        <f>SUM('2030'!F10:F13)</f>
        <v>56.07</v>
      </c>
      <c r="H2418" s="291">
        <f>SUM('2030'!G10:G13)</f>
        <v>49.84</v>
      </c>
      <c r="I2418" s="291">
        <f>SUM('2030'!H10:H13)</f>
        <v>56.07</v>
      </c>
      <c r="J2418" s="291">
        <f>SUM('2030'!I10:I13)</f>
        <v>56.07</v>
      </c>
      <c r="K2418" s="291">
        <f>SUM('2030'!J10:J13)</f>
        <v>52.955</v>
      </c>
      <c r="L2418" s="291">
        <f>SUM('2030'!K10:K13)</f>
        <v>46.725</v>
      </c>
      <c r="M2418" s="291">
        <f>SUM('2030'!L10:L13)</f>
        <v>43.61</v>
      </c>
      <c r="N2418" s="291">
        <f>SUM('2030'!M10:M13)</f>
        <v>49.84</v>
      </c>
      <c r="O2418" s="292">
        <f t="shared" ref="O2418:O2423" si="749">SUM(C2418:N2418)</f>
        <v>623</v>
      </c>
      <c r="P2418" s="5"/>
      <c r="Q2418" s="5"/>
      <c r="R2418" s="5"/>
      <c r="S2418" s="5"/>
      <c r="T2418" s="5"/>
      <c r="U2418" s="5"/>
      <c r="V2418" s="5"/>
      <c r="W2418" s="5"/>
      <c r="X2418" s="5"/>
      <c r="Y2418" s="5"/>
      <c r="Z2418" s="5"/>
    </row>
    <row r="2419" ht="12.0" customHeight="1">
      <c r="A2419" s="28" t="s">
        <v>1636</v>
      </c>
      <c r="B2419" s="5" t="s">
        <v>633</v>
      </c>
      <c r="C2419" s="291">
        <f>SUM('2030'!B21:B24)</f>
        <v>31.705</v>
      </c>
      <c r="D2419" s="291">
        <f>SUM('2030'!C21:C24)</f>
        <v>27.975</v>
      </c>
      <c r="E2419" s="291">
        <f>SUM('2030'!D21:D24)</f>
        <v>33.57</v>
      </c>
      <c r="F2419" s="291">
        <f>SUM('2030'!E21:E24)</f>
        <v>33.57</v>
      </c>
      <c r="G2419" s="291">
        <f>SUM('2030'!F21:F24)</f>
        <v>33.57</v>
      </c>
      <c r="H2419" s="291">
        <f>SUM('2030'!G21:G24)</f>
        <v>29.84</v>
      </c>
      <c r="I2419" s="291">
        <f>SUM('2030'!H21:H24)</f>
        <v>33.57</v>
      </c>
      <c r="J2419" s="291">
        <f>SUM('2030'!I21:I24)</f>
        <v>33.57</v>
      </c>
      <c r="K2419" s="291">
        <f>SUM('2030'!J21:J24)</f>
        <v>31.705</v>
      </c>
      <c r="L2419" s="291">
        <f>SUM('2030'!K21:K24)</f>
        <v>27.975</v>
      </c>
      <c r="M2419" s="291">
        <f>SUM('2030'!L21:L24)</f>
        <v>26.11</v>
      </c>
      <c r="N2419" s="291">
        <f>SUM('2030'!M21:M24)</f>
        <v>29.84</v>
      </c>
      <c r="O2419" s="292">
        <f t="shared" si="749"/>
        <v>373</v>
      </c>
      <c r="P2419" s="5"/>
      <c r="Q2419" s="5"/>
      <c r="R2419" s="5"/>
      <c r="S2419" s="5"/>
      <c r="T2419" s="5"/>
      <c r="U2419" s="5"/>
      <c r="V2419" s="5"/>
      <c r="W2419" s="5"/>
      <c r="X2419" s="5"/>
      <c r="Y2419" s="5"/>
      <c r="Z2419" s="5"/>
    </row>
    <row r="2420" ht="12.0" customHeight="1">
      <c r="A2420" s="28" t="s">
        <v>1637</v>
      </c>
      <c r="B2420" s="5" t="s">
        <v>633</v>
      </c>
      <c r="C2420" s="291">
        <f t="shared" ref="C2420:N2420" si="750">C2418+C2419</f>
        <v>84.66</v>
      </c>
      <c r="D2420" s="291">
        <f t="shared" si="750"/>
        <v>74.7</v>
      </c>
      <c r="E2420" s="291">
        <f t="shared" si="750"/>
        <v>89.64</v>
      </c>
      <c r="F2420" s="291">
        <f t="shared" si="750"/>
        <v>89.64</v>
      </c>
      <c r="G2420" s="291">
        <f t="shared" si="750"/>
        <v>89.64</v>
      </c>
      <c r="H2420" s="291">
        <f t="shared" si="750"/>
        <v>79.68</v>
      </c>
      <c r="I2420" s="291">
        <f t="shared" si="750"/>
        <v>89.64</v>
      </c>
      <c r="J2420" s="291">
        <f t="shared" si="750"/>
        <v>89.64</v>
      </c>
      <c r="K2420" s="291">
        <f t="shared" si="750"/>
        <v>84.66</v>
      </c>
      <c r="L2420" s="291">
        <f t="shared" si="750"/>
        <v>74.7</v>
      </c>
      <c r="M2420" s="291">
        <f t="shared" si="750"/>
        <v>69.72</v>
      </c>
      <c r="N2420" s="291">
        <f t="shared" si="750"/>
        <v>79.68</v>
      </c>
      <c r="O2420" s="292">
        <f t="shared" si="749"/>
        <v>996</v>
      </c>
      <c r="P2420" s="5"/>
      <c r="Q2420" s="5"/>
      <c r="R2420" s="5"/>
      <c r="S2420" s="5"/>
      <c r="T2420" s="5"/>
      <c r="U2420" s="5"/>
      <c r="V2420" s="5"/>
      <c r="W2420" s="5"/>
      <c r="X2420" s="5"/>
      <c r="Y2420" s="5"/>
      <c r="Z2420" s="5"/>
    </row>
    <row r="2421" ht="12.0" customHeight="1">
      <c r="A2421" s="28" t="s">
        <v>1638</v>
      </c>
      <c r="B2421" s="5" t="s">
        <v>633</v>
      </c>
      <c r="C2421" s="291">
        <f>$O2418*Parametros!$B$70</f>
        <v>52.955</v>
      </c>
      <c r="D2421" s="291">
        <f>$O2418*Parametros!$C$70</f>
        <v>46.725</v>
      </c>
      <c r="E2421" s="291">
        <f>$O2418*Parametros!$D$70</f>
        <v>56.07</v>
      </c>
      <c r="F2421" s="291">
        <f>$O2418*Parametros!$E$70</f>
        <v>56.07</v>
      </c>
      <c r="G2421" s="291">
        <f>$O2418*Parametros!$F$70</f>
        <v>56.07</v>
      </c>
      <c r="H2421" s="291">
        <f>$O2418*Parametros!$G$70</f>
        <v>49.84</v>
      </c>
      <c r="I2421" s="291">
        <f>$O2418*Parametros!$H$70</f>
        <v>56.07</v>
      </c>
      <c r="J2421" s="291">
        <f>$O2418*Parametros!$I$70</f>
        <v>56.07</v>
      </c>
      <c r="K2421" s="291">
        <f>$O2418*Parametros!$J$70</f>
        <v>52.955</v>
      </c>
      <c r="L2421" s="291">
        <f>$O2418*Parametros!$K$70</f>
        <v>46.725</v>
      </c>
      <c r="M2421" s="291">
        <f>$O2418*Parametros!$L$70</f>
        <v>43.61</v>
      </c>
      <c r="N2421" s="291">
        <f>$O2418*Parametros!$M$70</f>
        <v>49.84</v>
      </c>
      <c r="O2421" s="292">
        <f t="shared" si="749"/>
        <v>623</v>
      </c>
      <c r="P2421" s="5"/>
      <c r="Q2421" s="5"/>
      <c r="R2421" s="5"/>
      <c r="S2421" s="5"/>
      <c r="T2421" s="5"/>
      <c r="U2421" s="5"/>
      <c r="V2421" s="5"/>
      <c r="W2421" s="5"/>
      <c r="X2421" s="5"/>
      <c r="Y2421" s="5"/>
      <c r="Z2421" s="5"/>
    </row>
    <row r="2422" ht="12.0" customHeight="1">
      <c r="A2422" s="28" t="s">
        <v>1639</v>
      </c>
      <c r="B2422" s="5" t="s">
        <v>633</v>
      </c>
      <c r="C2422" s="291">
        <f>$O2419*Parametros!$B$70</f>
        <v>31.705</v>
      </c>
      <c r="D2422" s="291">
        <f>$O2419*Parametros!$C$70</f>
        <v>27.975</v>
      </c>
      <c r="E2422" s="291">
        <f>$O2419*Parametros!$D$70</f>
        <v>33.57</v>
      </c>
      <c r="F2422" s="291">
        <f>$O2419*Parametros!$E$70</f>
        <v>33.57</v>
      </c>
      <c r="G2422" s="291">
        <f>$O2419*Parametros!$F$70</f>
        <v>33.57</v>
      </c>
      <c r="H2422" s="291">
        <f>$O2419*Parametros!$G$70</f>
        <v>29.84</v>
      </c>
      <c r="I2422" s="291">
        <f>$O2419*Parametros!$H$70</f>
        <v>33.57</v>
      </c>
      <c r="J2422" s="291">
        <f>$O2419*Parametros!$I$70</f>
        <v>33.57</v>
      </c>
      <c r="K2422" s="291">
        <f>$O2419*Parametros!$J$70</f>
        <v>31.705</v>
      </c>
      <c r="L2422" s="291">
        <f>$O2419*Parametros!$K$70</f>
        <v>27.975</v>
      </c>
      <c r="M2422" s="291">
        <f>$O2419*Parametros!$L$70</f>
        <v>26.11</v>
      </c>
      <c r="N2422" s="291">
        <f>$O2419*Parametros!$M$70</f>
        <v>29.84</v>
      </c>
      <c r="O2422" s="292">
        <f t="shared" si="749"/>
        <v>373</v>
      </c>
      <c r="P2422" s="5"/>
      <c r="Q2422" s="5"/>
      <c r="R2422" s="5"/>
      <c r="S2422" s="5"/>
      <c r="T2422" s="5"/>
      <c r="U2422" s="5"/>
      <c r="V2422" s="5"/>
      <c r="W2422" s="5"/>
      <c r="X2422" s="5"/>
      <c r="Y2422" s="5"/>
      <c r="Z2422" s="5"/>
    </row>
    <row r="2423" ht="12.0" customHeight="1">
      <c r="A2423" s="10" t="s">
        <v>1640</v>
      </c>
      <c r="B2423" s="5" t="s">
        <v>633</v>
      </c>
      <c r="C2423" s="292">
        <f t="shared" ref="C2423:N2423" si="751">C2421+C2422</f>
        <v>84.66</v>
      </c>
      <c r="D2423" s="292">
        <f t="shared" si="751"/>
        <v>74.7</v>
      </c>
      <c r="E2423" s="292">
        <f t="shared" si="751"/>
        <v>89.64</v>
      </c>
      <c r="F2423" s="292">
        <f t="shared" si="751"/>
        <v>89.64</v>
      </c>
      <c r="G2423" s="292">
        <f t="shared" si="751"/>
        <v>89.64</v>
      </c>
      <c r="H2423" s="292">
        <f t="shared" si="751"/>
        <v>79.68</v>
      </c>
      <c r="I2423" s="292">
        <f t="shared" si="751"/>
        <v>89.64</v>
      </c>
      <c r="J2423" s="292">
        <f t="shared" si="751"/>
        <v>89.64</v>
      </c>
      <c r="K2423" s="292">
        <f t="shared" si="751"/>
        <v>84.66</v>
      </c>
      <c r="L2423" s="292">
        <f t="shared" si="751"/>
        <v>74.7</v>
      </c>
      <c r="M2423" s="292">
        <f t="shared" si="751"/>
        <v>69.72</v>
      </c>
      <c r="N2423" s="292">
        <f t="shared" si="751"/>
        <v>79.68</v>
      </c>
      <c r="O2423" s="292">
        <f t="shared" si="749"/>
        <v>996</v>
      </c>
      <c r="P2423" s="5"/>
      <c r="Q2423" s="5"/>
      <c r="R2423" s="5"/>
      <c r="S2423" s="5"/>
      <c r="T2423" s="5"/>
      <c r="U2423" s="5"/>
      <c r="V2423" s="5"/>
      <c r="W2423" s="5"/>
      <c r="X2423" s="5"/>
      <c r="Y2423" s="5"/>
      <c r="Z2423" s="5"/>
    </row>
    <row r="2424" ht="12.0" customHeight="1">
      <c r="A2424" s="28" t="s">
        <v>967</v>
      </c>
      <c r="B2424" s="5" t="s">
        <v>633</v>
      </c>
      <c r="C2424" s="291">
        <f>C2423-C2420</f>
        <v>0</v>
      </c>
      <c r="D2424" s="291">
        <f t="shared" ref="D2424:N2424" si="752">C2424+D2423-D2420</f>
        <v>0</v>
      </c>
      <c r="E2424" s="291">
        <f t="shared" si="752"/>
        <v>0</v>
      </c>
      <c r="F2424" s="291">
        <f t="shared" si="752"/>
        <v>0</v>
      </c>
      <c r="G2424" s="291">
        <f t="shared" si="752"/>
        <v>0</v>
      </c>
      <c r="H2424" s="291">
        <f t="shared" si="752"/>
        <v>0</v>
      </c>
      <c r="I2424" s="291">
        <f t="shared" si="752"/>
        <v>0</v>
      </c>
      <c r="J2424" s="291">
        <f t="shared" si="752"/>
        <v>0</v>
      </c>
      <c r="K2424" s="291">
        <f t="shared" si="752"/>
        <v>0</v>
      </c>
      <c r="L2424" s="291">
        <f t="shared" si="752"/>
        <v>0</v>
      </c>
      <c r="M2424" s="291">
        <f t="shared" si="752"/>
        <v>0</v>
      </c>
      <c r="N2424" s="291">
        <f t="shared" si="752"/>
        <v>0</v>
      </c>
      <c r="O2424" s="292"/>
      <c r="P2424" s="5"/>
      <c r="Q2424" s="5"/>
      <c r="R2424" s="5"/>
      <c r="S2424" s="5"/>
      <c r="T2424" s="5"/>
      <c r="U2424" s="5"/>
      <c r="V2424" s="5"/>
      <c r="W2424" s="5"/>
      <c r="X2424" s="5"/>
      <c r="Y2424" s="5"/>
      <c r="Z2424" s="5"/>
    </row>
    <row r="2425" ht="12.0" customHeight="1">
      <c r="A2425" s="10" t="s">
        <v>1641</v>
      </c>
      <c r="B2425" s="5" t="s">
        <v>633</v>
      </c>
      <c r="C2425" s="292">
        <f t="shared" ref="C2425:N2425" si="753">C2424-MIN(0,MIN($C2424:$N2424))</f>
        <v>0</v>
      </c>
      <c r="D2425" s="292">
        <f t="shared" si="753"/>
        <v>0</v>
      </c>
      <c r="E2425" s="292">
        <f t="shared" si="753"/>
        <v>0</v>
      </c>
      <c r="F2425" s="292">
        <f t="shared" si="753"/>
        <v>0</v>
      </c>
      <c r="G2425" s="292">
        <f t="shared" si="753"/>
        <v>0</v>
      </c>
      <c r="H2425" s="292">
        <f t="shared" si="753"/>
        <v>0</v>
      </c>
      <c r="I2425" s="292">
        <f t="shared" si="753"/>
        <v>0</v>
      </c>
      <c r="J2425" s="292">
        <f t="shared" si="753"/>
        <v>0</v>
      </c>
      <c r="K2425" s="292">
        <f t="shared" si="753"/>
        <v>0</v>
      </c>
      <c r="L2425" s="292">
        <f t="shared" si="753"/>
        <v>0</v>
      </c>
      <c r="M2425" s="292">
        <f t="shared" si="753"/>
        <v>0</v>
      </c>
      <c r="N2425" s="292">
        <f t="shared" si="753"/>
        <v>0</v>
      </c>
      <c r="O2425" s="292">
        <f>MAX(C2425:N2425)</f>
        <v>0</v>
      </c>
      <c r="P2425" s="292">
        <f>AVERAGE(C2425:N2425)</f>
        <v>0</v>
      </c>
      <c r="Q2425" s="5"/>
      <c r="R2425" s="5"/>
      <c r="S2425" s="5"/>
      <c r="T2425" s="5"/>
      <c r="U2425" s="5"/>
      <c r="V2425" s="5"/>
      <c r="W2425" s="5"/>
      <c r="X2425" s="5"/>
      <c r="Y2425" s="5"/>
      <c r="Z2425" s="5"/>
    </row>
    <row r="2426" ht="12.0" customHeight="1">
      <c r="A2426" s="10" t="s">
        <v>1642</v>
      </c>
      <c r="B2426" s="5"/>
      <c r="C2426" s="206"/>
      <c r="D2426" s="206"/>
      <c r="E2426" s="206"/>
      <c r="F2426" s="206"/>
      <c r="G2426" s="206"/>
      <c r="H2426" s="206"/>
      <c r="I2426" s="206"/>
      <c r="J2426" s="206"/>
      <c r="K2426" s="206"/>
      <c r="L2426" s="206"/>
      <c r="M2426" s="206"/>
      <c r="N2426" s="206"/>
      <c r="O2426" s="5"/>
      <c r="P2426" s="5"/>
      <c r="Q2426" s="5"/>
      <c r="R2426" s="5"/>
      <c r="S2426" s="5"/>
      <c r="T2426" s="5"/>
      <c r="U2426" s="5"/>
      <c r="V2426" s="5"/>
      <c r="W2426" s="5"/>
      <c r="X2426" s="5"/>
      <c r="Y2426" s="5"/>
      <c r="Z2426" s="5"/>
    </row>
    <row r="2427" ht="12.0" customHeight="1">
      <c r="A2427" s="92" t="s">
        <v>630</v>
      </c>
      <c r="B2427" s="5" t="s">
        <v>631</v>
      </c>
      <c r="C2427" s="206" t="s">
        <v>3</v>
      </c>
      <c r="D2427" s="206" t="s">
        <v>4</v>
      </c>
      <c r="E2427" s="206" t="s">
        <v>507</v>
      </c>
      <c r="F2427" s="206" t="s">
        <v>508</v>
      </c>
      <c r="G2427" s="206" t="s">
        <v>509</v>
      </c>
      <c r="H2427" s="206" t="s">
        <v>510</v>
      </c>
      <c r="I2427" s="206" t="s">
        <v>511</v>
      </c>
      <c r="J2427" s="206" t="s">
        <v>512</v>
      </c>
      <c r="K2427" s="206" t="s">
        <v>513</v>
      </c>
      <c r="L2427" s="206" t="s">
        <v>514</v>
      </c>
      <c r="M2427" s="206" t="s">
        <v>515</v>
      </c>
      <c r="N2427" s="206" t="s">
        <v>516</v>
      </c>
      <c r="O2427" s="5"/>
      <c r="P2427" s="5"/>
      <c r="Q2427" s="5"/>
      <c r="R2427" s="5"/>
      <c r="S2427" s="5"/>
      <c r="T2427" s="5"/>
      <c r="U2427" s="5"/>
      <c r="V2427" s="5"/>
      <c r="W2427" s="5"/>
      <c r="X2427" s="5"/>
      <c r="Y2427" s="5"/>
      <c r="Z2427" s="5"/>
    </row>
    <row r="2428" ht="12.0" customHeight="1">
      <c r="A2428" s="92" t="s">
        <v>1643</v>
      </c>
      <c r="B2428" s="5" t="s">
        <v>633</v>
      </c>
      <c r="C2428" s="203">
        <f t="shared" ref="C2428:N2428" si="754">C2423</f>
        <v>84.66</v>
      </c>
      <c r="D2428" s="203">
        <f t="shared" si="754"/>
        <v>74.7</v>
      </c>
      <c r="E2428" s="203">
        <f t="shared" si="754"/>
        <v>89.64</v>
      </c>
      <c r="F2428" s="203">
        <f t="shared" si="754"/>
        <v>89.64</v>
      </c>
      <c r="G2428" s="203">
        <f t="shared" si="754"/>
        <v>89.64</v>
      </c>
      <c r="H2428" s="203">
        <f t="shared" si="754"/>
        <v>79.68</v>
      </c>
      <c r="I2428" s="203">
        <f t="shared" si="754"/>
        <v>89.64</v>
      </c>
      <c r="J2428" s="203">
        <f t="shared" si="754"/>
        <v>89.64</v>
      </c>
      <c r="K2428" s="203">
        <f t="shared" si="754"/>
        <v>84.66</v>
      </c>
      <c r="L2428" s="203">
        <f t="shared" si="754"/>
        <v>74.7</v>
      </c>
      <c r="M2428" s="203">
        <f t="shared" si="754"/>
        <v>69.72</v>
      </c>
      <c r="N2428" s="203">
        <f t="shared" si="754"/>
        <v>79.68</v>
      </c>
      <c r="O2428" s="5"/>
      <c r="P2428" s="5"/>
      <c r="Q2428" s="5"/>
      <c r="R2428" s="5"/>
      <c r="S2428" s="5"/>
      <c r="T2428" s="5"/>
      <c r="U2428" s="5"/>
      <c r="V2428" s="5"/>
      <c r="W2428" s="5"/>
      <c r="X2428" s="5"/>
      <c r="Y2428" s="5"/>
      <c r="Z2428" s="5"/>
    </row>
    <row r="2429" ht="12.0" customHeight="1">
      <c r="A2429" s="92"/>
      <c r="B2429" s="5" t="s">
        <v>634</v>
      </c>
      <c r="C2429" s="293">
        <f>C2428/Parametros!$B$37</f>
        <v>4.233</v>
      </c>
      <c r="D2429" s="293">
        <f>D2428/Parametros!$B$37</f>
        <v>3.735</v>
      </c>
      <c r="E2429" s="293">
        <f>E2428/Parametros!$B$37</f>
        <v>4.482</v>
      </c>
      <c r="F2429" s="293">
        <f>F2428/Parametros!$B$37</f>
        <v>4.482</v>
      </c>
      <c r="G2429" s="293">
        <f>G2428/Parametros!$B$37</f>
        <v>4.482</v>
      </c>
      <c r="H2429" s="293">
        <f>H2428/Parametros!$B$37</f>
        <v>3.984</v>
      </c>
      <c r="I2429" s="293">
        <f>I2428/Parametros!$B$37</f>
        <v>4.482</v>
      </c>
      <c r="J2429" s="293">
        <f>J2428/Parametros!$B$37</f>
        <v>4.482</v>
      </c>
      <c r="K2429" s="293">
        <f>K2428/Parametros!$B$37</f>
        <v>4.233</v>
      </c>
      <c r="L2429" s="293">
        <f>L2428/Parametros!$B$37</f>
        <v>3.735</v>
      </c>
      <c r="M2429" s="293">
        <f>M2428/Parametros!$B$37</f>
        <v>3.486</v>
      </c>
      <c r="N2429" s="293">
        <f>N2428/Parametros!$B$37</f>
        <v>3.984</v>
      </c>
      <c r="O2429" s="5"/>
      <c r="P2429" s="5"/>
      <c r="Q2429" s="5"/>
      <c r="R2429" s="5"/>
      <c r="S2429" s="5"/>
      <c r="T2429" s="5"/>
      <c r="U2429" s="5"/>
      <c r="V2429" s="5"/>
      <c r="W2429" s="5"/>
      <c r="X2429" s="5"/>
      <c r="Y2429" s="5"/>
      <c r="Z2429" s="5"/>
    </row>
    <row r="2430" ht="12.0" customHeight="1">
      <c r="A2430" s="92"/>
      <c r="B2430" s="5" t="s">
        <v>635</v>
      </c>
      <c r="C2430" s="293">
        <f>C2429/Parametros!$J$37</f>
        <v>0.5644</v>
      </c>
      <c r="D2430" s="293">
        <f>D2429/Parametros!$J$37</f>
        <v>0.498</v>
      </c>
      <c r="E2430" s="293">
        <f>E2429/Parametros!$J$37</f>
        <v>0.5976</v>
      </c>
      <c r="F2430" s="293">
        <f>F2429/Parametros!$J$37</f>
        <v>0.5976</v>
      </c>
      <c r="G2430" s="293">
        <f>G2429/Parametros!$J$37</f>
        <v>0.5976</v>
      </c>
      <c r="H2430" s="293">
        <f>H2429/Parametros!$J$37</f>
        <v>0.5312</v>
      </c>
      <c r="I2430" s="293">
        <f>I2429/Parametros!$J$37</f>
        <v>0.5976</v>
      </c>
      <c r="J2430" s="293">
        <f>J2429/Parametros!$J$37</f>
        <v>0.5976</v>
      </c>
      <c r="K2430" s="293">
        <f>K2429/Parametros!$J$37</f>
        <v>0.5644</v>
      </c>
      <c r="L2430" s="293">
        <f>L2429/Parametros!$J$37</f>
        <v>0.498</v>
      </c>
      <c r="M2430" s="293">
        <f>M2429/Parametros!$J$37</f>
        <v>0.4648</v>
      </c>
      <c r="N2430" s="293">
        <f>N2429/Parametros!$J$37</f>
        <v>0.5312</v>
      </c>
      <c r="O2430" s="5"/>
      <c r="P2430" s="5"/>
      <c r="Q2430" s="5"/>
      <c r="R2430" s="5"/>
      <c r="S2430" s="5"/>
      <c r="T2430" s="5"/>
      <c r="U2430" s="5"/>
      <c r="V2430" s="5"/>
      <c r="W2430" s="5"/>
      <c r="X2430" s="5"/>
      <c r="Y2430" s="5"/>
      <c r="Z2430" s="5"/>
    </row>
    <row r="2431" ht="12.0" customHeight="1">
      <c r="A2431" s="92" t="s">
        <v>636</v>
      </c>
      <c r="B2431" s="5"/>
      <c r="C2431" s="293">
        <f t="shared" ref="C2431:N2431" si="755">C2430</f>
        <v>0.5644</v>
      </c>
      <c r="D2431" s="293">
        <f t="shared" si="755"/>
        <v>0.498</v>
      </c>
      <c r="E2431" s="293">
        <f t="shared" si="755"/>
        <v>0.5976</v>
      </c>
      <c r="F2431" s="293">
        <f t="shared" si="755"/>
        <v>0.5976</v>
      </c>
      <c r="G2431" s="293">
        <f t="shared" si="755"/>
        <v>0.5976</v>
      </c>
      <c r="H2431" s="293">
        <f t="shared" si="755"/>
        <v>0.5312</v>
      </c>
      <c r="I2431" s="293">
        <f t="shared" si="755"/>
        <v>0.5976</v>
      </c>
      <c r="J2431" s="293">
        <f t="shared" si="755"/>
        <v>0.5976</v>
      </c>
      <c r="K2431" s="293">
        <f t="shared" si="755"/>
        <v>0.5644</v>
      </c>
      <c r="L2431" s="293">
        <f t="shared" si="755"/>
        <v>0.498</v>
      </c>
      <c r="M2431" s="293">
        <f t="shared" si="755"/>
        <v>0.4648</v>
      </c>
      <c r="N2431" s="293">
        <f t="shared" si="755"/>
        <v>0.5312</v>
      </c>
      <c r="O2431" s="5"/>
      <c r="P2431" s="5"/>
      <c r="Q2431" s="5"/>
      <c r="R2431" s="5"/>
      <c r="S2431" s="5"/>
      <c r="T2431" s="5"/>
      <c r="U2431" s="5"/>
      <c r="V2431" s="5"/>
      <c r="W2431" s="5"/>
      <c r="X2431" s="5"/>
      <c r="Y2431" s="5"/>
      <c r="Z2431" s="5"/>
    </row>
    <row r="2432" ht="12.0" customHeight="1">
      <c r="A2432" s="92" t="s">
        <v>637</v>
      </c>
      <c r="B2432" s="5"/>
      <c r="C2432" s="293">
        <f>Parametros!$M$112</f>
        <v>15.69230769</v>
      </c>
      <c r="D2432" s="293">
        <f>Parametros!$M$112</f>
        <v>15.69230769</v>
      </c>
      <c r="E2432" s="293">
        <f>Parametros!$M$112</f>
        <v>15.69230769</v>
      </c>
      <c r="F2432" s="293">
        <f>Parametros!$M$112</f>
        <v>15.69230769</v>
      </c>
      <c r="G2432" s="293">
        <f>Parametros!$M$112</f>
        <v>15.69230769</v>
      </c>
      <c r="H2432" s="293">
        <f>Parametros!$M$112</f>
        <v>15.69230769</v>
      </c>
      <c r="I2432" s="293">
        <f>Parametros!$M$112</f>
        <v>15.69230769</v>
      </c>
      <c r="J2432" s="293">
        <f>Parametros!$M$112</f>
        <v>15.69230769</v>
      </c>
      <c r="K2432" s="293">
        <f>Parametros!$M$112</f>
        <v>15.69230769</v>
      </c>
      <c r="L2432" s="293">
        <f>Parametros!$M$112</f>
        <v>15.69230769</v>
      </c>
      <c r="M2432" s="293">
        <f>Parametros!$M$112</f>
        <v>15.69230769</v>
      </c>
      <c r="N2432" s="293">
        <f>Parametros!$M$112</f>
        <v>15.69230769</v>
      </c>
      <c r="O2432" s="5"/>
      <c r="P2432" s="5"/>
      <c r="Q2432" s="5"/>
      <c r="R2432" s="5"/>
      <c r="S2432" s="5"/>
      <c r="T2432" s="5"/>
      <c r="U2432" s="5"/>
      <c r="V2432" s="5"/>
      <c r="W2432" s="5"/>
      <c r="X2432" s="5"/>
      <c r="Y2432" s="5"/>
      <c r="Z2432" s="5"/>
    </row>
    <row r="2433" ht="12.0" customHeight="1">
      <c r="A2433" s="92" t="s">
        <v>640</v>
      </c>
      <c r="B2433" s="5"/>
      <c r="C2433" s="203">
        <f>'Resumen Capacidad'!$F$220</f>
        <v>1</v>
      </c>
      <c r="D2433" s="203">
        <f>'Resumen Capacidad'!$F$220</f>
        <v>1</v>
      </c>
      <c r="E2433" s="203">
        <f>'Resumen Capacidad'!$F$220</f>
        <v>1</v>
      </c>
      <c r="F2433" s="203">
        <f>'Resumen Capacidad'!$F$220</f>
        <v>1</v>
      </c>
      <c r="G2433" s="203">
        <f>'Resumen Capacidad'!$F$220</f>
        <v>1</v>
      </c>
      <c r="H2433" s="203">
        <f>'Resumen Capacidad'!$F$220</f>
        <v>1</v>
      </c>
      <c r="I2433" s="203">
        <f>'Resumen Capacidad'!$F$220</f>
        <v>1</v>
      </c>
      <c r="J2433" s="203">
        <f>'Resumen Capacidad'!$F$220</f>
        <v>1</v>
      </c>
      <c r="K2433" s="203">
        <f>'Resumen Capacidad'!$F$220</f>
        <v>1</v>
      </c>
      <c r="L2433" s="203">
        <f>'Resumen Capacidad'!$F$220</f>
        <v>1</v>
      </c>
      <c r="M2433" s="203">
        <f>'Resumen Capacidad'!$F$220</f>
        <v>1</v>
      </c>
      <c r="N2433" s="203">
        <f>'Resumen Capacidad'!$F$220</f>
        <v>1</v>
      </c>
      <c r="O2433" s="5"/>
      <c r="P2433" s="5"/>
      <c r="Q2433" s="5"/>
      <c r="R2433" s="5"/>
      <c r="S2433" s="5"/>
      <c r="T2433" s="5"/>
      <c r="U2433" s="5"/>
      <c r="V2433" s="5"/>
      <c r="W2433" s="5"/>
      <c r="X2433" s="5"/>
      <c r="Y2433" s="5"/>
      <c r="Z2433" s="5"/>
    </row>
    <row r="2434" ht="12.0" customHeight="1">
      <c r="A2434" s="92" t="s">
        <v>642</v>
      </c>
      <c r="B2434" s="5"/>
      <c r="C2434" s="203">
        <f t="shared" ref="C2434:N2434" si="756">C2432*C2433</f>
        <v>15.69230769</v>
      </c>
      <c r="D2434" s="203">
        <f t="shared" si="756"/>
        <v>15.69230769</v>
      </c>
      <c r="E2434" s="203">
        <f t="shared" si="756"/>
        <v>15.69230769</v>
      </c>
      <c r="F2434" s="203">
        <f t="shared" si="756"/>
        <v>15.69230769</v>
      </c>
      <c r="G2434" s="203">
        <f t="shared" si="756"/>
        <v>15.69230769</v>
      </c>
      <c r="H2434" s="203">
        <f t="shared" si="756"/>
        <v>15.69230769</v>
      </c>
      <c r="I2434" s="203">
        <f t="shared" si="756"/>
        <v>15.69230769</v>
      </c>
      <c r="J2434" s="203">
        <f t="shared" si="756"/>
        <v>15.69230769</v>
      </c>
      <c r="K2434" s="203">
        <f t="shared" si="756"/>
        <v>15.69230769</v>
      </c>
      <c r="L2434" s="203">
        <f t="shared" si="756"/>
        <v>15.69230769</v>
      </c>
      <c r="M2434" s="203">
        <f t="shared" si="756"/>
        <v>15.69230769</v>
      </c>
      <c r="N2434" s="203">
        <f t="shared" si="756"/>
        <v>15.69230769</v>
      </c>
      <c r="O2434" s="5"/>
      <c r="P2434" s="5"/>
      <c r="Q2434" s="5"/>
      <c r="R2434" s="5"/>
      <c r="S2434" s="5"/>
      <c r="T2434" s="5"/>
      <c r="U2434" s="5"/>
      <c r="V2434" s="5"/>
      <c r="W2434" s="5"/>
      <c r="X2434" s="5"/>
      <c r="Y2434" s="5"/>
      <c r="Z2434" s="5"/>
    </row>
    <row r="2435" ht="12.0" customHeight="1">
      <c r="A2435" s="92" t="s">
        <v>643</v>
      </c>
      <c r="B2435" s="5"/>
      <c r="C2435" s="294">
        <f t="shared" ref="C2435:N2435" si="757">IF(C2434=0,0,C2431/C2434)</f>
        <v>0.03596666667</v>
      </c>
      <c r="D2435" s="294">
        <f t="shared" si="757"/>
        <v>0.03173529412</v>
      </c>
      <c r="E2435" s="294">
        <f t="shared" si="757"/>
        <v>0.03808235294</v>
      </c>
      <c r="F2435" s="294">
        <f t="shared" si="757"/>
        <v>0.03808235294</v>
      </c>
      <c r="G2435" s="294">
        <f t="shared" si="757"/>
        <v>0.03808235294</v>
      </c>
      <c r="H2435" s="294">
        <f t="shared" si="757"/>
        <v>0.03385098039</v>
      </c>
      <c r="I2435" s="294">
        <f t="shared" si="757"/>
        <v>0.03808235294</v>
      </c>
      <c r="J2435" s="294">
        <f t="shared" si="757"/>
        <v>0.03808235294</v>
      </c>
      <c r="K2435" s="294">
        <f t="shared" si="757"/>
        <v>0.03596666667</v>
      </c>
      <c r="L2435" s="294">
        <f t="shared" si="757"/>
        <v>0.03173529412</v>
      </c>
      <c r="M2435" s="294">
        <f t="shared" si="757"/>
        <v>0.02961960784</v>
      </c>
      <c r="N2435" s="294">
        <f t="shared" si="757"/>
        <v>0.03385098039</v>
      </c>
      <c r="O2435" s="5"/>
      <c r="P2435" s="5"/>
      <c r="Q2435" s="5"/>
      <c r="R2435" s="5"/>
      <c r="S2435" s="5"/>
      <c r="T2435" s="5"/>
      <c r="U2435" s="5"/>
      <c r="V2435" s="5"/>
      <c r="W2435" s="5"/>
      <c r="X2435" s="5"/>
      <c r="Y2435" s="5"/>
      <c r="Z2435" s="5"/>
    </row>
    <row r="2436" ht="12.0" customHeight="1">
      <c r="A2436" s="10" t="s">
        <v>1644</v>
      </c>
      <c r="B2436" s="5"/>
      <c r="C2436" s="206"/>
      <c r="D2436" s="206"/>
      <c r="E2436" s="206"/>
      <c r="F2436" s="206"/>
      <c r="G2436" s="206"/>
      <c r="H2436" s="206"/>
      <c r="I2436" s="206"/>
      <c r="J2436" s="206"/>
      <c r="K2436" s="206"/>
      <c r="L2436" s="206"/>
      <c r="M2436" s="206"/>
      <c r="N2436" s="206"/>
      <c r="O2436" s="5"/>
      <c r="P2436" s="5"/>
      <c r="Q2436" s="5"/>
      <c r="R2436" s="5"/>
      <c r="S2436" s="5"/>
      <c r="T2436" s="5"/>
      <c r="U2436" s="5"/>
      <c r="V2436" s="5"/>
      <c r="W2436" s="5"/>
      <c r="X2436" s="5"/>
      <c r="Y2436" s="5"/>
      <c r="Z2436" s="5"/>
    </row>
    <row r="2437" ht="12.0" customHeight="1">
      <c r="A2437" s="92" t="s">
        <v>630</v>
      </c>
      <c r="B2437" s="5" t="s">
        <v>631</v>
      </c>
      <c r="C2437" s="206" t="s">
        <v>3</v>
      </c>
      <c r="D2437" s="206" t="s">
        <v>4</v>
      </c>
      <c r="E2437" s="206" t="s">
        <v>507</v>
      </c>
      <c r="F2437" s="206" t="s">
        <v>508</v>
      </c>
      <c r="G2437" s="206" t="s">
        <v>509</v>
      </c>
      <c r="H2437" s="206" t="s">
        <v>510</v>
      </c>
      <c r="I2437" s="206" t="s">
        <v>511</v>
      </c>
      <c r="J2437" s="206" t="s">
        <v>512</v>
      </c>
      <c r="K2437" s="206" t="s">
        <v>513</v>
      </c>
      <c r="L2437" s="206" t="s">
        <v>514</v>
      </c>
      <c r="M2437" s="206" t="s">
        <v>515</v>
      </c>
      <c r="N2437" s="206" t="s">
        <v>516</v>
      </c>
      <c r="O2437" s="5"/>
      <c r="P2437" s="5"/>
      <c r="Q2437" s="5"/>
      <c r="R2437" s="5"/>
      <c r="S2437" s="5"/>
      <c r="T2437" s="5"/>
      <c r="U2437" s="5"/>
      <c r="V2437" s="5"/>
      <c r="W2437" s="5"/>
      <c r="X2437" s="5"/>
      <c r="Y2437" s="5"/>
      <c r="Z2437" s="5"/>
    </row>
    <row r="2438" ht="12.0" customHeight="1">
      <c r="A2438" s="92" t="s">
        <v>1643</v>
      </c>
      <c r="B2438" s="5" t="s">
        <v>633</v>
      </c>
      <c r="C2438" s="203">
        <f t="shared" ref="C2438:N2438" si="758">C2423</f>
        <v>84.66</v>
      </c>
      <c r="D2438" s="203">
        <f t="shared" si="758"/>
        <v>74.7</v>
      </c>
      <c r="E2438" s="203">
        <f t="shared" si="758"/>
        <v>89.64</v>
      </c>
      <c r="F2438" s="203">
        <f t="shared" si="758"/>
        <v>89.64</v>
      </c>
      <c r="G2438" s="203">
        <f t="shared" si="758"/>
        <v>89.64</v>
      </c>
      <c r="H2438" s="203">
        <f t="shared" si="758"/>
        <v>79.68</v>
      </c>
      <c r="I2438" s="203">
        <f t="shared" si="758"/>
        <v>89.64</v>
      </c>
      <c r="J2438" s="203">
        <f t="shared" si="758"/>
        <v>89.64</v>
      </c>
      <c r="K2438" s="203">
        <f t="shared" si="758"/>
        <v>84.66</v>
      </c>
      <c r="L2438" s="203">
        <f t="shared" si="758"/>
        <v>74.7</v>
      </c>
      <c r="M2438" s="203">
        <f t="shared" si="758"/>
        <v>69.72</v>
      </c>
      <c r="N2438" s="203">
        <f t="shared" si="758"/>
        <v>79.68</v>
      </c>
      <c r="O2438" s="5"/>
      <c r="P2438" s="5"/>
      <c r="Q2438" s="5"/>
      <c r="R2438" s="5"/>
      <c r="S2438" s="5"/>
      <c r="T2438" s="5"/>
      <c r="U2438" s="5"/>
      <c r="V2438" s="5"/>
      <c r="W2438" s="5"/>
      <c r="X2438" s="5"/>
      <c r="Y2438" s="5"/>
      <c r="Z2438" s="5"/>
    </row>
    <row r="2439" ht="12.0" customHeight="1">
      <c r="A2439" s="92"/>
      <c r="B2439" s="5" t="s">
        <v>634</v>
      </c>
      <c r="C2439" s="293">
        <f>C2438/Parametros!$B$37</f>
        <v>4.233</v>
      </c>
      <c r="D2439" s="293">
        <f>D2438/Parametros!$B$37</f>
        <v>3.735</v>
      </c>
      <c r="E2439" s="293">
        <f>E2438/Parametros!$B$37</f>
        <v>4.482</v>
      </c>
      <c r="F2439" s="293">
        <f>F2438/Parametros!$B$37</f>
        <v>4.482</v>
      </c>
      <c r="G2439" s="293">
        <f>G2438/Parametros!$B$37</f>
        <v>4.482</v>
      </c>
      <c r="H2439" s="293">
        <f>H2438/Parametros!$B$37</f>
        <v>3.984</v>
      </c>
      <c r="I2439" s="293">
        <f>I2438/Parametros!$B$37</f>
        <v>4.482</v>
      </c>
      <c r="J2439" s="293">
        <f>J2438/Parametros!$B$37</f>
        <v>4.482</v>
      </c>
      <c r="K2439" s="293">
        <f>K2438/Parametros!$B$37</f>
        <v>4.233</v>
      </c>
      <c r="L2439" s="293">
        <f>L2438/Parametros!$B$37</f>
        <v>3.735</v>
      </c>
      <c r="M2439" s="293">
        <f>M2438/Parametros!$B$37</f>
        <v>3.486</v>
      </c>
      <c r="N2439" s="293">
        <f>N2438/Parametros!$B$37</f>
        <v>3.984</v>
      </c>
      <c r="O2439" s="5"/>
      <c r="P2439" s="5"/>
      <c r="Q2439" s="5"/>
      <c r="R2439" s="5"/>
      <c r="S2439" s="5"/>
      <c r="T2439" s="5"/>
      <c r="U2439" s="5"/>
      <c r="V2439" s="5"/>
      <c r="W2439" s="5"/>
      <c r="X2439" s="5"/>
      <c r="Y2439" s="5"/>
      <c r="Z2439" s="5"/>
    </row>
    <row r="2440" ht="12.0" customHeight="1">
      <c r="A2440" s="92"/>
      <c r="B2440" s="5" t="s">
        <v>635</v>
      </c>
      <c r="C2440" s="293">
        <f>C2439/Parametros!$J$37</f>
        <v>0.5644</v>
      </c>
      <c r="D2440" s="293">
        <f>D2439/Parametros!$J$37</f>
        <v>0.498</v>
      </c>
      <c r="E2440" s="293">
        <f>E2439/Parametros!$J$37</f>
        <v>0.5976</v>
      </c>
      <c r="F2440" s="293">
        <f>F2439/Parametros!$J$37</f>
        <v>0.5976</v>
      </c>
      <c r="G2440" s="293">
        <f>G2439/Parametros!$J$37</f>
        <v>0.5976</v>
      </c>
      <c r="H2440" s="293">
        <f>H2439/Parametros!$J$37</f>
        <v>0.5312</v>
      </c>
      <c r="I2440" s="293">
        <f>I2439/Parametros!$J$37</f>
        <v>0.5976</v>
      </c>
      <c r="J2440" s="293">
        <f>J2439/Parametros!$J$37</f>
        <v>0.5976</v>
      </c>
      <c r="K2440" s="293">
        <f>K2439/Parametros!$J$37</f>
        <v>0.5644</v>
      </c>
      <c r="L2440" s="293">
        <f>L2439/Parametros!$J$37</f>
        <v>0.498</v>
      </c>
      <c r="M2440" s="293">
        <f>M2439/Parametros!$J$37</f>
        <v>0.4648</v>
      </c>
      <c r="N2440" s="293">
        <f>N2439/Parametros!$J$37</f>
        <v>0.5312</v>
      </c>
      <c r="O2440" s="5"/>
      <c r="P2440" s="5"/>
      <c r="Q2440" s="5"/>
      <c r="R2440" s="5"/>
      <c r="S2440" s="5"/>
      <c r="T2440" s="5"/>
      <c r="U2440" s="5"/>
      <c r="V2440" s="5"/>
      <c r="W2440" s="5"/>
      <c r="X2440" s="5"/>
      <c r="Y2440" s="5"/>
      <c r="Z2440" s="5"/>
    </row>
    <row r="2441" ht="12.0" customHeight="1">
      <c r="A2441" s="92" t="s">
        <v>636</v>
      </c>
      <c r="B2441" s="5"/>
      <c r="C2441" s="293">
        <f t="shared" ref="C2441:N2441" si="759">C2440</f>
        <v>0.5644</v>
      </c>
      <c r="D2441" s="293">
        <f t="shared" si="759"/>
        <v>0.498</v>
      </c>
      <c r="E2441" s="293">
        <f t="shared" si="759"/>
        <v>0.5976</v>
      </c>
      <c r="F2441" s="293">
        <f t="shared" si="759"/>
        <v>0.5976</v>
      </c>
      <c r="G2441" s="293">
        <f t="shared" si="759"/>
        <v>0.5976</v>
      </c>
      <c r="H2441" s="293">
        <f t="shared" si="759"/>
        <v>0.5312</v>
      </c>
      <c r="I2441" s="293">
        <f t="shared" si="759"/>
        <v>0.5976</v>
      </c>
      <c r="J2441" s="293">
        <f t="shared" si="759"/>
        <v>0.5976</v>
      </c>
      <c r="K2441" s="293">
        <f t="shared" si="759"/>
        <v>0.5644</v>
      </c>
      <c r="L2441" s="293">
        <f t="shared" si="759"/>
        <v>0.498</v>
      </c>
      <c r="M2441" s="293">
        <f t="shared" si="759"/>
        <v>0.4648</v>
      </c>
      <c r="N2441" s="293">
        <f t="shared" si="759"/>
        <v>0.5312</v>
      </c>
      <c r="O2441" s="5"/>
      <c r="P2441" s="5"/>
      <c r="Q2441" s="5"/>
      <c r="R2441" s="5"/>
      <c r="S2441" s="5"/>
      <c r="T2441" s="5"/>
      <c r="U2441" s="5"/>
      <c r="V2441" s="5"/>
      <c r="W2441" s="5"/>
      <c r="X2441" s="5"/>
      <c r="Y2441" s="5"/>
      <c r="Z2441" s="5"/>
    </row>
    <row r="2442" ht="12.0" customHeight="1">
      <c r="A2442" s="92" t="s">
        <v>637</v>
      </c>
      <c r="B2442" s="5"/>
      <c r="C2442" s="293">
        <f>Parametros!$M$113</f>
        <v>1.882352941</v>
      </c>
      <c r="D2442" s="293">
        <f>Parametros!$M$113</f>
        <v>1.882352941</v>
      </c>
      <c r="E2442" s="293">
        <f>Parametros!$M$113</f>
        <v>1.882352941</v>
      </c>
      <c r="F2442" s="293">
        <f>Parametros!$M$113</f>
        <v>1.882352941</v>
      </c>
      <c r="G2442" s="293">
        <f>Parametros!$M$113</f>
        <v>1.882352941</v>
      </c>
      <c r="H2442" s="293">
        <f>Parametros!$M$113</f>
        <v>1.882352941</v>
      </c>
      <c r="I2442" s="293">
        <f>Parametros!$M$113</f>
        <v>1.882352941</v>
      </c>
      <c r="J2442" s="293">
        <f>Parametros!$M$113</f>
        <v>1.882352941</v>
      </c>
      <c r="K2442" s="293">
        <f>Parametros!$M$113</f>
        <v>1.882352941</v>
      </c>
      <c r="L2442" s="293">
        <f>Parametros!$M$113</f>
        <v>1.882352941</v>
      </c>
      <c r="M2442" s="293">
        <f>Parametros!$M$113</f>
        <v>1.882352941</v>
      </c>
      <c r="N2442" s="293">
        <f>Parametros!$M$113</f>
        <v>1.882352941</v>
      </c>
      <c r="O2442" s="5"/>
      <c r="P2442" s="5"/>
      <c r="Q2442" s="5"/>
      <c r="R2442" s="5"/>
      <c r="S2442" s="5"/>
      <c r="T2442" s="5"/>
      <c r="U2442" s="5"/>
      <c r="V2442" s="5"/>
      <c r="W2442" s="5"/>
      <c r="X2442" s="5"/>
      <c r="Y2442" s="5"/>
      <c r="Z2442" s="5"/>
    </row>
    <row r="2443" ht="12.0" customHeight="1">
      <c r="A2443" s="92" t="s">
        <v>640</v>
      </c>
      <c r="B2443" s="5"/>
      <c r="C2443" s="203">
        <f>'Resumen Capacidad'!$F$221</f>
        <v>1</v>
      </c>
      <c r="D2443" s="203">
        <f>'Resumen Capacidad'!$F$221</f>
        <v>1</v>
      </c>
      <c r="E2443" s="203">
        <f>'Resumen Capacidad'!$F$221</f>
        <v>1</v>
      </c>
      <c r="F2443" s="203">
        <f>'Resumen Capacidad'!$F$221</f>
        <v>1</v>
      </c>
      <c r="G2443" s="203">
        <f>'Resumen Capacidad'!$F$221</f>
        <v>1</v>
      </c>
      <c r="H2443" s="203">
        <f>'Resumen Capacidad'!$F$221</f>
        <v>1</v>
      </c>
      <c r="I2443" s="203">
        <f>'Resumen Capacidad'!$F$221</f>
        <v>1</v>
      </c>
      <c r="J2443" s="203">
        <f>'Resumen Capacidad'!$F$221</f>
        <v>1</v>
      </c>
      <c r="K2443" s="203">
        <f>'Resumen Capacidad'!$F$221</f>
        <v>1</v>
      </c>
      <c r="L2443" s="203">
        <f>'Resumen Capacidad'!$F$221</f>
        <v>1</v>
      </c>
      <c r="M2443" s="203">
        <f>'Resumen Capacidad'!$F$221</f>
        <v>1</v>
      </c>
      <c r="N2443" s="203">
        <f>'Resumen Capacidad'!$F$221</f>
        <v>1</v>
      </c>
      <c r="O2443" s="5"/>
      <c r="P2443" s="5"/>
      <c r="Q2443" s="5"/>
      <c r="R2443" s="5"/>
      <c r="S2443" s="5"/>
      <c r="T2443" s="5"/>
      <c r="U2443" s="5"/>
      <c r="V2443" s="5"/>
      <c r="W2443" s="5"/>
      <c r="X2443" s="5"/>
      <c r="Y2443" s="5"/>
      <c r="Z2443" s="5"/>
    </row>
    <row r="2444" ht="12.0" customHeight="1">
      <c r="A2444" s="92" t="s">
        <v>642</v>
      </c>
      <c r="B2444" s="5"/>
      <c r="C2444" s="203">
        <f t="shared" ref="C2444:N2444" si="760">C2442*C2443</f>
        <v>1.882352941</v>
      </c>
      <c r="D2444" s="203">
        <f t="shared" si="760"/>
        <v>1.882352941</v>
      </c>
      <c r="E2444" s="203">
        <f t="shared" si="760"/>
        <v>1.882352941</v>
      </c>
      <c r="F2444" s="203">
        <f t="shared" si="760"/>
        <v>1.882352941</v>
      </c>
      <c r="G2444" s="203">
        <f t="shared" si="760"/>
        <v>1.882352941</v>
      </c>
      <c r="H2444" s="203">
        <f t="shared" si="760"/>
        <v>1.882352941</v>
      </c>
      <c r="I2444" s="203">
        <f t="shared" si="760"/>
        <v>1.882352941</v>
      </c>
      <c r="J2444" s="203">
        <f t="shared" si="760"/>
        <v>1.882352941</v>
      </c>
      <c r="K2444" s="203">
        <f t="shared" si="760"/>
        <v>1.882352941</v>
      </c>
      <c r="L2444" s="203">
        <f t="shared" si="760"/>
        <v>1.882352941</v>
      </c>
      <c r="M2444" s="203">
        <f t="shared" si="760"/>
        <v>1.882352941</v>
      </c>
      <c r="N2444" s="203">
        <f t="shared" si="760"/>
        <v>1.882352941</v>
      </c>
      <c r="O2444" s="5"/>
      <c r="P2444" s="5"/>
      <c r="Q2444" s="5"/>
      <c r="R2444" s="5"/>
      <c r="S2444" s="5"/>
      <c r="T2444" s="5"/>
      <c r="U2444" s="5"/>
      <c r="V2444" s="5"/>
      <c r="W2444" s="5"/>
      <c r="X2444" s="5"/>
      <c r="Y2444" s="5"/>
      <c r="Z2444" s="5"/>
    </row>
    <row r="2445" ht="12.0" customHeight="1">
      <c r="A2445" s="92" t="s">
        <v>643</v>
      </c>
      <c r="B2445" s="5"/>
      <c r="C2445" s="294">
        <f t="shared" ref="C2445:N2445" si="761">IF(C2444=0,0,C2441/C2444)</f>
        <v>0.2998375</v>
      </c>
      <c r="D2445" s="294">
        <f t="shared" si="761"/>
        <v>0.2645625</v>
      </c>
      <c r="E2445" s="294">
        <f t="shared" si="761"/>
        <v>0.317475</v>
      </c>
      <c r="F2445" s="294">
        <f t="shared" si="761"/>
        <v>0.317475</v>
      </c>
      <c r="G2445" s="294">
        <f t="shared" si="761"/>
        <v>0.317475</v>
      </c>
      <c r="H2445" s="294">
        <f t="shared" si="761"/>
        <v>0.2822</v>
      </c>
      <c r="I2445" s="294">
        <f t="shared" si="761"/>
        <v>0.317475</v>
      </c>
      <c r="J2445" s="294">
        <f t="shared" si="761"/>
        <v>0.317475</v>
      </c>
      <c r="K2445" s="294">
        <f t="shared" si="761"/>
        <v>0.2998375</v>
      </c>
      <c r="L2445" s="294">
        <f t="shared" si="761"/>
        <v>0.2645625</v>
      </c>
      <c r="M2445" s="294">
        <f t="shared" si="761"/>
        <v>0.246925</v>
      </c>
      <c r="N2445" s="294">
        <f t="shared" si="761"/>
        <v>0.2822</v>
      </c>
      <c r="O2445" s="5"/>
      <c r="P2445" s="5"/>
      <c r="Q2445" s="5"/>
      <c r="R2445" s="5"/>
      <c r="S2445" s="5"/>
      <c r="T2445" s="5"/>
      <c r="U2445" s="5"/>
      <c r="V2445" s="5"/>
      <c r="W2445" s="5"/>
      <c r="X2445" s="5"/>
      <c r="Y2445" s="5"/>
      <c r="Z2445" s="5"/>
    </row>
    <row r="2446" ht="12.0" customHeight="1">
      <c r="A2446" s="10" t="s">
        <v>1645</v>
      </c>
      <c r="B2446" s="5"/>
      <c r="C2446" s="206"/>
      <c r="D2446" s="206"/>
      <c r="E2446" s="206"/>
      <c r="F2446" s="206"/>
      <c r="G2446" s="206"/>
      <c r="H2446" s="206"/>
      <c r="I2446" s="206"/>
      <c r="J2446" s="206"/>
      <c r="K2446" s="206"/>
      <c r="L2446" s="206"/>
      <c r="M2446" s="206"/>
      <c r="N2446" s="206"/>
      <c r="O2446" s="5"/>
      <c r="P2446" s="5"/>
      <c r="Q2446" s="5"/>
      <c r="R2446" s="5"/>
      <c r="S2446" s="5"/>
      <c r="T2446" s="5"/>
      <c r="U2446" s="5"/>
      <c r="V2446" s="5"/>
      <c r="W2446" s="5"/>
      <c r="X2446" s="5"/>
      <c r="Y2446" s="5"/>
      <c r="Z2446" s="5"/>
    </row>
    <row r="2447" ht="12.0" customHeight="1">
      <c r="A2447" s="92" t="s">
        <v>630</v>
      </c>
      <c r="B2447" s="5" t="s">
        <v>631</v>
      </c>
      <c r="C2447" s="206" t="s">
        <v>3</v>
      </c>
      <c r="D2447" s="206" t="s">
        <v>4</v>
      </c>
      <c r="E2447" s="206" t="s">
        <v>507</v>
      </c>
      <c r="F2447" s="206" t="s">
        <v>508</v>
      </c>
      <c r="G2447" s="206" t="s">
        <v>509</v>
      </c>
      <c r="H2447" s="206" t="s">
        <v>510</v>
      </c>
      <c r="I2447" s="206" t="s">
        <v>511</v>
      </c>
      <c r="J2447" s="206" t="s">
        <v>512</v>
      </c>
      <c r="K2447" s="206" t="s">
        <v>513</v>
      </c>
      <c r="L2447" s="206" t="s">
        <v>514</v>
      </c>
      <c r="M2447" s="206" t="s">
        <v>515</v>
      </c>
      <c r="N2447" s="206" t="s">
        <v>516</v>
      </c>
      <c r="O2447" s="5"/>
      <c r="P2447" s="5"/>
      <c r="Q2447" s="5"/>
      <c r="R2447" s="5"/>
      <c r="S2447" s="5"/>
      <c r="T2447" s="5"/>
      <c r="U2447" s="5"/>
      <c r="V2447" s="5"/>
      <c r="W2447" s="5"/>
      <c r="X2447" s="5"/>
      <c r="Y2447" s="5"/>
      <c r="Z2447" s="5"/>
    </row>
    <row r="2448" ht="12.0" customHeight="1">
      <c r="A2448" s="92" t="s">
        <v>1643</v>
      </c>
      <c r="B2448" s="5" t="s">
        <v>633</v>
      </c>
      <c r="C2448" s="203">
        <f t="shared" ref="C2448:N2448" si="762">C2423</f>
        <v>84.66</v>
      </c>
      <c r="D2448" s="203">
        <f t="shared" si="762"/>
        <v>74.7</v>
      </c>
      <c r="E2448" s="203">
        <f t="shared" si="762"/>
        <v>89.64</v>
      </c>
      <c r="F2448" s="203">
        <f t="shared" si="762"/>
        <v>89.64</v>
      </c>
      <c r="G2448" s="203">
        <f t="shared" si="762"/>
        <v>89.64</v>
      </c>
      <c r="H2448" s="203">
        <f t="shared" si="762"/>
        <v>79.68</v>
      </c>
      <c r="I2448" s="203">
        <f t="shared" si="762"/>
        <v>89.64</v>
      </c>
      <c r="J2448" s="203">
        <f t="shared" si="762"/>
        <v>89.64</v>
      </c>
      <c r="K2448" s="203">
        <f t="shared" si="762"/>
        <v>84.66</v>
      </c>
      <c r="L2448" s="203">
        <f t="shared" si="762"/>
        <v>74.7</v>
      </c>
      <c r="M2448" s="203">
        <f t="shared" si="762"/>
        <v>69.72</v>
      </c>
      <c r="N2448" s="203">
        <f t="shared" si="762"/>
        <v>79.68</v>
      </c>
      <c r="O2448" s="5"/>
      <c r="P2448" s="5"/>
      <c r="Q2448" s="5"/>
      <c r="R2448" s="5"/>
      <c r="S2448" s="5"/>
      <c r="T2448" s="5"/>
      <c r="U2448" s="5"/>
      <c r="V2448" s="5"/>
      <c r="W2448" s="5"/>
      <c r="X2448" s="5"/>
      <c r="Y2448" s="5"/>
      <c r="Z2448" s="5"/>
    </row>
    <row r="2449" ht="12.0" customHeight="1">
      <c r="A2449" s="92"/>
      <c r="B2449" s="5" t="s">
        <v>634</v>
      </c>
      <c r="C2449" s="293">
        <f>C2448/Parametros!$B$37</f>
        <v>4.233</v>
      </c>
      <c r="D2449" s="293">
        <f>D2448/Parametros!$B$37</f>
        <v>3.735</v>
      </c>
      <c r="E2449" s="293">
        <f>E2448/Parametros!$B$37</f>
        <v>4.482</v>
      </c>
      <c r="F2449" s="293">
        <f>F2448/Parametros!$B$37</f>
        <v>4.482</v>
      </c>
      <c r="G2449" s="293">
        <f>G2448/Parametros!$B$37</f>
        <v>4.482</v>
      </c>
      <c r="H2449" s="293">
        <f>H2448/Parametros!$B$37</f>
        <v>3.984</v>
      </c>
      <c r="I2449" s="293">
        <f>I2448/Parametros!$B$37</f>
        <v>4.482</v>
      </c>
      <c r="J2449" s="293">
        <f>J2448/Parametros!$B$37</f>
        <v>4.482</v>
      </c>
      <c r="K2449" s="293">
        <f>K2448/Parametros!$B$37</f>
        <v>4.233</v>
      </c>
      <c r="L2449" s="293">
        <f>L2448/Parametros!$B$37</f>
        <v>3.735</v>
      </c>
      <c r="M2449" s="293">
        <f>M2448/Parametros!$B$37</f>
        <v>3.486</v>
      </c>
      <c r="N2449" s="293">
        <f>N2448/Parametros!$B$37</f>
        <v>3.984</v>
      </c>
      <c r="O2449" s="5"/>
      <c r="P2449" s="5"/>
      <c r="Q2449" s="5"/>
      <c r="R2449" s="5"/>
      <c r="S2449" s="5"/>
      <c r="T2449" s="5"/>
      <c r="U2449" s="5"/>
      <c r="V2449" s="5"/>
      <c r="W2449" s="5"/>
      <c r="X2449" s="5"/>
      <c r="Y2449" s="5"/>
      <c r="Z2449" s="5"/>
    </row>
    <row r="2450" ht="12.0" customHeight="1">
      <c r="A2450" s="92"/>
      <c r="B2450" s="5" t="s">
        <v>635</v>
      </c>
      <c r="C2450" s="293">
        <f>C2449/Parametros!$J$37</f>
        <v>0.5644</v>
      </c>
      <c r="D2450" s="293">
        <f>D2449/Parametros!$J$37</f>
        <v>0.498</v>
      </c>
      <c r="E2450" s="293">
        <f>E2449/Parametros!$J$37</f>
        <v>0.5976</v>
      </c>
      <c r="F2450" s="293">
        <f>F2449/Parametros!$J$37</f>
        <v>0.5976</v>
      </c>
      <c r="G2450" s="293">
        <f>G2449/Parametros!$J$37</f>
        <v>0.5976</v>
      </c>
      <c r="H2450" s="293">
        <f>H2449/Parametros!$J$37</f>
        <v>0.5312</v>
      </c>
      <c r="I2450" s="293">
        <f>I2449/Parametros!$J$37</f>
        <v>0.5976</v>
      </c>
      <c r="J2450" s="293">
        <f>J2449/Parametros!$J$37</f>
        <v>0.5976</v>
      </c>
      <c r="K2450" s="293">
        <f>K2449/Parametros!$J$37</f>
        <v>0.5644</v>
      </c>
      <c r="L2450" s="293">
        <f>L2449/Parametros!$J$37</f>
        <v>0.498</v>
      </c>
      <c r="M2450" s="293">
        <f>M2449/Parametros!$J$37</f>
        <v>0.4648</v>
      </c>
      <c r="N2450" s="293">
        <f>N2449/Parametros!$J$37</f>
        <v>0.5312</v>
      </c>
      <c r="O2450" s="5"/>
      <c r="P2450" s="5"/>
      <c r="Q2450" s="5"/>
      <c r="R2450" s="5"/>
      <c r="S2450" s="5"/>
      <c r="T2450" s="5"/>
      <c r="U2450" s="5"/>
      <c r="V2450" s="5"/>
      <c r="W2450" s="5"/>
      <c r="X2450" s="5"/>
      <c r="Y2450" s="5"/>
      <c r="Z2450" s="5"/>
    </row>
    <row r="2451" ht="12.0" customHeight="1">
      <c r="A2451" s="92" t="s">
        <v>636</v>
      </c>
      <c r="B2451" s="5"/>
      <c r="C2451" s="293">
        <f t="shared" ref="C2451:N2451" si="763">C2450</f>
        <v>0.5644</v>
      </c>
      <c r="D2451" s="293">
        <f t="shared" si="763"/>
        <v>0.498</v>
      </c>
      <c r="E2451" s="293">
        <f t="shared" si="763"/>
        <v>0.5976</v>
      </c>
      <c r="F2451" s="293">
        <f t="shared" si="763"/>
        <v>0.5976</v>
      </c>
      <c r="G2451" s="293">
        <f t="shared" si="763"/>
        <v>0.5976</v>
      </c>
      <c r="H2451" s="293">
        <f t="shared" si="763"/>
        <v>0.5312</v>
      </c>
      <c r="I2451" s="293">
        <f t="shared" si="763"/>
        <v>0.5976</v>
      </c>
      <c r="J2451" s="293">
        <f t="shared" si="763"/>
        <v>0.5976</v>
      </c>
      <c r="K2451" s="293">
        <f t="shared" si="763"/>
        <v>0.5644</v>
      </c>
      <c r="L2451" s="293">
        <f t="shared" si="763"/>
        <v>0.498</v>
      </c>
      <c r="M2451" s="293">
        <f t="shared" si="763"/>
        <v>0.4648</v>
      </c>
      <c r="N2451" s="293">
        <f t="shared" si="763"/>
        <v>0.5312</v>
      </c>
      <c r="O2451" s="5"/>
      <c r="P2451" s="5"/>
      <c r="Q2451" s="5"/>
      <c r="R2451" s="5"/>
      <c r="S2451" s="5"/>
      <c r="T2451" s="5"/>
      <c r="U2451" s="5"/>
      <c r="V2451" s="5"/>
      <c r="W2451" s="5"/>
      <c r="X2451" s="5"/>
      <c r="Y2451" s="5"/>
      <c r="Z2451" s="5"/>
    </row>
    <row r="2452" ht="12.0" customHeight="1">
      <c r="A2452" s="92" t="s">
        <v>637</v>
      </c>
      <c r="B2452" s="5"/>
      <c r="C2452" s="293">
        <f>Parametros!$M$114</f>
        <v>19.74193548</v>
      </c>
      <c r="D2452" s="293">
        <f>Parametros!$M$114</f>
        <v>19.74193548</v>
      </c>
      <c r="E2452" s="293">
        <f>Parametros!$M$114</f>
        <v>19.74193548</v>
      </c>
      <c r="F2452" s="293">
        <f>Parametros!$M$114</f>
        <v>19.74193548</v>
      </c>
      <c r="G2452" s="293">
        <f>Parametros!$M$114</f>
        <v>19.74193548</v>
      </c>
      <c r="H2452" s="293">
        <f>Parametros!$M$114</f>
        <v>19.74193548</v>
      </c>
      <c r="I2452" s="293">
        <f>Parametros!$M$114</f>
        <v>19.74193548</v>
      </c>
      <c r="J2452" s="293">
        <f>Parametros!$M$114</f>
        <v>19.74193548</v>
      </c>
      <c r="K2452" s="293">
        <f>Parametros!$M$114</f>
        <v>19.74193548</v>
      </c>
      <c r="L2452" s="293">
        <f>Parametros!$M$114</f>
        <v>19.74193548</v>
      </c>
      <c r="M2452" s="293">
        <f>Parametros!$M$114</f>
        <v>19.74193548</v>
      </c>
      <c r="N2452" s="293">
        <f>Parametros!$M$114</f>
        <v>19.74193548</v>
      </c>
      <c r="O2452" s="5"/>
      <c r="P2452" s="5"/>
      <c r="Q2452" s="5"/>
      <c r="R2452" s="5"/>
      <c r="S2452" s="5"/>
      <c r="T2452" s="5"/>
      <c r="U2452" s="5"/>
      <c r="V2452" s="5"/>
      <c r="W2452" s="5"/>
      <c r="X2452" s="5"/>
      <c r="Y2452" s="5"/>
      <c r="Z2452" s="5"/>
    </row>
    <row r="2453" ht="12.0" customHeight="1">
      <c r="A2453" s="92" t="s">
        <v>640</v>
      </c>
      <c r="B2453" s="5"/>
      <c r="C2453" s="203">
        <f>'Resumen Capacidad'!$F$222</f>
        <v>1</v>
      </c>
      <c r="D2453" s="203">
        <f>'Resumen Capacidad'!$F$222</f>
        <v>1</v>
      </c>
      <c r="E2453" s="203">
        <f>'Resumen Capacidad'!$F$222</f>
        <v>1</v>
      </c>
      <c r="F2453" s="203">
        <f>'Resumen Capacidad'!$F$222</f>
        <v>1</v>
      </c>
      <c r="G2453" s="203">
        <f>'Resumen Capacidad'!$F$222</f>
        <v>1</v>
      </c>
      <c r="H2453" s="203">
        <f>'Resumen Capacidad'!$F$222</f>
        <v>1</v>
      </c>
      <c r="I2453" s="203">
        <f>'Resumen Capacidad'!$F$222</f>
        <v>1</v>
      </c>
      <c r="J2453" s="203">
        <f>'Resumen Capacidad'!$F$222</f>
        <v>1</v>
      </c>
      <c r="K2453" s="203">
        <f>'Resumen Capacidad'!$F$222</f>
        <v>1</v>
      </c>
      <c r="L2453" s="203">
        <f>'Resumen Capacidad'!$F$222</f>
        <v>1</v>
      </c>
      <c r="M2453" s="203">
        <f>'Resumen Capacidad'!$F$222</f>
        <v>1</v>
      </c>
      <c r="N2453" s="203">
        <f>'Resumen Capacidad'!$F$222</f>
        <v>1</v>
      </c>
      <c r="O2453" s="5"/>
      <c r="P2453" s="5"/>
      <c r="Q2453" s="5"/>
      <c r="R2453" s="5"/>
      <c r="S2453" s="5"/>
      <c r="T2453" s="5"/>
      <c r="U2453" s="5"/>
      <c r="V2453" s="5"/>
      <c r="W2453" s="5"/>
      <c r="X2453" s="5"/>
      <c r="Y2453" s="5"/>
      <c r="Z2453" s="5"/>
    </row>
    <row r="2454" ht="12.0" customHeight="1">
      <c r="A2454" s="92" t="s">
        <v>642</v>
      </c>
      <c r="B2454" s="5"/>
      <c r="C2454" s="203">
        <f t="shared" ref="C2454:N2454" si="764">C2452*C2453</f>
        <v>19.74193548</v>
      </c>
      <c r="D2454" s="203">
        <f t="shared" si="764"/>
        <v>19.74193548</v>
      </c>
      <c r="E2454" s="203">
        <f t="shared" si="764"/>
        <v>19.74193548</v>
      </c>
      <c r="F2454" s="203">
        <f t="shared" si="764"/>
        <v>19.74193548</v>
      </c>
      <c r="G2454" s="203">
        <f t="shared" si="764"/>
        <v>19.74193548</v>
      </c>
      <c r="H2454" s="203">
        <f t="shared" si="764"/>
        <v>19.74193548</v>
      </c>
      <c r="I2454" s="203">
        <f t="shared" si="764"/>
        <v>19.74193548</v>
      </c>
      <c r="J2454" s="203">
        <f t="shared" si="764"/>
        <v>19.74193548</v>
      </c>
      <c r="K2454" s="203">
        <f t="shared" si="764"/>
        <v>19.74193548</v>
      </c>
      <c r="L2454" s="203">
        <f t="shared" si="764"/>
        <v>19.74193548</v>
      </c>
      <c r="M2454" s="203">
        <f t="shared" si="764"/>
        <v>19.74193548</v>
      </c>
      <c r="N2454" s="203">
        <f t="shared" si="764"/>
        <v>19.74193548</v>
      </c>
      <c r="O2454" s="5"/>
      <c r="P2454" s="5"/>
      <c r="Q2454" s="5"/>
      <c r="R2454" s="5"/>
      <c r="S2454" s="5"/>
      <c r="T2454" s="5"/>
      <c r="U2454" s="5"/>
      <c r="V2454" s="5"/>
      <c r="W2454" s="5"/>
      <c r="X2454" s="5"/>
      <c r="Y2454" s="5"/>
      <c r="Z2454" s="5"/>
    </row>
    <row r="2455" ht="12.0" customHeight="1">
      <c r="A2455" s="92" t="s">
        <v>643</v>
      </c>
      <c r="B2455" s="5"/>
      <c r="C2455" s="294">
        <f t="shared" ref="C2455:N2455" si="765">IF(C2454=0,0,C2451/C2454)</f>
        <v>0.02858888889</v>
      </c>
      <c r="D2455" s="294">
        <f t="shared" si="765"/>
        <v>0.0252254902</v>
      </c>
      <c r="E2455" s="294">
        <f t="shared" si="765"/>
        <v>0.03027058824</v>
      </c>
      <c r="F2455" s="294">
        <f t="shared" si="765"/>
        <v>0.03027058824</v>
      </c>
      <c r="G2455" s="294">
        <f t="shared" si="765"/>
        <v>0.03027058824</v>
      </c>
      <c r="H2455" s="294">
        <f t="shared" si="765"/>
        <v>0.02690718954</v>
      </c>
      <c r="I2455" s="294">
        <f t="shared" si="765"/>
        <v>0.03027058824</v>
      </c>
      <c r="J2455" s="294">
        <f t="shared" si="765"/>
        <v>0.03027058824</v>
      </c>
      <c r="K2455" s="294">
        <f t="shared" si="765"/>
        <v>0.02858888889</v>
      </c>
      <c r="L2455" s="294">
        <f t="shared" si="765"/>
        <v>0.0252254902</v>
      </c>
      <c r="M2455" s="294">
        <f t="shared" si="765"/>
        <v>0.02354379085</v>
      </c>
      <c r="N2455" s="294">
        <f t="shared" si="765"/>
        <v>0.02690718954</v>
      </c>
      <c r="O2455" s="5"/>
      <c r="P2455" s="5"/>
      <c r="Q2455" s="5"/>
      <c r="R2455" s="5"/>
      <c r="S2455" s="5"/>
      <c r="T2455" s="5"/>
      <c r="U2455" s="5"/>
      <c r="V2455" s="5"/>
      <c r="W2455" s="5"/>
      <c r="X2455" s="5"/>
      <c r="Y2455" s="5"/>
      <c r="Z2455" s="5"/>
    </row>
    <row r="2456" ht="12.0" customHeight="1">
      <c r="A2456" s="10" t="s">
        <v>1646</v>
      </c>
      <c r="B2456" s="5"/>
      <c r="C2456" s="206"/>
      <c r="D2456" s="206"/>
      <c r="E2456" s="206"/>
      <c r="F2456" s="206"/>
      <c r="G2456" s="206"/>
      <c r="H2456" s="206"/>
      <c r="I2456" s="206"/>
      <c r="J2456" s="206"/>
      <c r="K2456" s="206"/>
      <c r="L2456" s="206"/>
      <c r="M2456" s="206"/>
      <c r="N2456" s="206"/>
      <c r="O2456" s="5"/>
      <c r="P2456" s="5"/>
      <c r="Q2456" s="5"/>
      <c r="R2456" s="5"/>
      <c r="S2456" s="5"/>
      <c r="T2456" s="5"/>
      <c r="U2456" s="5"/>
      <c r="V2456" s="5"/>
      <c r="W2456" s="5"/>
      <c r="X2456" s="5"/>
      <c r="Y2456" s="5"/>
      <c r="Z2456" s="5"/>
    </row>
    <row r="2457" ht="12.0" customHeight="1">
      <c r="A2457" s="92" t="s">
        <v>630</v>
      </c>
      <c r="B2457" s="5" t="s">
        <v>631</v>
      </c>
      <c r="C2457" s="206" t="s">
        <v>3</v>
      </c>
      <c r="D2457" s="206" t="s">
        <v>4</v>
      </c>
      <c r="E2457" s="206" t="s">
        <v>507</v>
      </c>
      <c r="F2457" s="206" t="s">
        <v>508</v>
      </c>
      <c r="G2457" s="206" t="s">
        <v>509</v>
      </c>
      <c r="H2457" s="206" t="s">
        <v>510</v>
      </c>
      <c r="I2457" s="206" t="s">
        <v>511</v>
      </c>
      <c r="J2457" s="206" t="s">
        <v>512</v>
      </c>
      <c r="K2457" s="206" t="s">
        <v>513</v>
      </c>
      <c r="L2457" s="206" t="s">
        <v>514</v>
      </c>
      <c r="M2457" s="206" t="s">
        <v>515</v>
      </c>
      <c r="N2457" s="206" t="s">
        <v>516</v>
      </c>
      <c r="O2457" s="5"/>
      <c r="P2457" s="5"/>
      <c r="Q2457" s="5"/>
      <c r="R2457" s="5"/>
      <c r="S2457" s="5"/>
      <c r="T2457" s="5"/>
      <c r="U2457" s="5"/>
      <c r="V2457" s="5"/>
      <c r="W2457" s="5"/>
      <c r="X2457" s="5"/>
      <c r="Y2457" s="5"/>
      <c r="Z2457" s="5"/>
    </row>
    <row r="2458" ht="12.0" customHeight="1">
      <c r="A2458" s="92" t="s">
        <v>1643</v>
      </c>
      <c r="B2458" s="5" t="s">
        <v>633</v>
      </c>
      <c r="C2458" s="203">
        <f t="shared" ref="C2458:N2458" si="766">C2423</f>
        <v>84.66</v>
      </c>
      <c r="D2458" s="203">
        <f t="shared" si="766"/>
        <v>74.7</v>
      </c>
      <c r="E2458" s="203">
        <f t="shared" si="766"/>
        <v>89.64</v>
      </c>
      <c r="F2458" s="203">
        <f t="shared" si="766"/>
        <v>89.64</v>
      </c>
      <c r="G2458" s="203">
        <f t="shared" si="766"/>
        <v>89.64</v>
      </c>
      <c r="H2458" s="203">
        <f t="shared" si="766"/>
        <v>79.68</v>
      </c>
      <c r="I2458" s="203">
        <f t="shared" si="766"/>
        <v>89.64</v>
      </c>
      <c r="J2458" s="203">
        <f t="shared" si="766"/>
        <v>89.64</v>
      </c>
      <c r="K2458" s="203">
        <f t="shared" si="766"/>
        <v>84.66</v>
      </c>
      <c r="L2458" s="203">
        <f t="shared" si="766"/>
        <v>74.7</v>
      </c>
      <c r="M2458" s="203">
        <f t="shared" si="766"/>
        <v>69.72</v>
      </c>
      <c r="N2458" s="203">
        <f t="shared" si="766"/>
        <v>79.68</v>
      </c>
      <c r="O2458" s="5"/>
      <c r="P2458" s="5"/>
      <c r="Q2458" s="5"/>
      <c r="R2458" s="5"/>
      <c r="S2458" s="5"/>
      <c r="T2458" s="5"/>
      <c r="U2458" s="5"/>
      <c r="V2458" s="5"/>
      <c r="W2458" s="5"/>
      <c r="X2458" s="5"/>
      <c r="Y2458" s="5"/>
      <c r="Z2458" s="5"/>
    </row>
    <row r="2459" ht="12.0" customHeight="1">
      <c r="A2459" s="92"/>
      <c r="B2459" s="5" t="s">
        <v>634</v>
      </c>
      <c r="C2459" s="293">
        <f>C2458/Parametros!$B$37</f>
        <v>4.233</v>
      </c>
      <c r="D2459" s="293">
        <f>D2458/Parametros!$B$37</f>
        <v>3.735</v>
      </c>
      <c r="E2459" s="293">
        <f>E2458/Parametros!$B$37</f>
        <v>4.482</v>
      </c>
      <c r="F2459" s="293">
        <f>F2458/Parametros!$B$37</f>
        <v>4.482</v>
      </c>
      <c r="G2459" s="293">
        <f>G2458/Parametros!$B$37</f>
        <v>4.482</v>
      </c>
      <c r="H2459" s="293">
        <f>H2458/Parametros!$B$37</f>
        <v>3.984</v>
      </c>
      <c r="I2459" s="293">
        <f>I2458/Parametros!$B$37</f>
        <v>4.482</v>
      </c>
      <c r="J2459" s="293">
        <f>J2458/Parametros!$B$37</f>
        <v>4.482</v>
      </c>
      <c r="K2459" s="293">
        <f>K2458/Parametros!$B$37</f>
        <v>4.233</v>
      </c>
      <c r="L2459" s="293">
        <f>L2458/Parametros!$B$37</f>
        <v>3.735</v>
      </c>
      <c r="M2459" s="293">
        <f>M2458/Parametros!$B$37</f>
        <v>3.486</v>
      </c>
      <c r="N2459" s="293">
        <f>N2458/Parametros!$B$37</f>
        <v>3.984</v>
      </c>
      <c r="O2459" s="5"/>
      <c r="P2459" s="5"/>
      <c r="Q2459" s="5"/>
      <c r="R2459" s="5"/>
      <c r="S2459" s="5"/>
      <c r="T2459" s="5"/>
      <c r="U2459" s="5"/>
      <c r="V2459" s="5"/>
      <c r="W2459" s="5"/>
      <c r="X2459" s="5"/>
      <c r="Y2459" s="5"/>
      <c r="Z2459" s="5"/>
    </row>
    <row r="2460" ht="12.0" customHeight="1">
      <c r="A2460" s="92"/>
      <c r="B2460" s="5" t="s">
        <v>635</v>
      </c>
      <c r="C2460" s="293">
        <f>C2459/Parametros!$J$37</f>
        <v>0.5644</v>
      </c>
      <c r="D2460" s="293">
        <f>D2459/Parametros!$J$37</f>
        <v>0.498</v>
      </c>
      <c r="E2460" s="293">
        <f>E2459/Parametros!$J$37</f>
        <v>0.5976</v>
      </c>
      <c r="F2460" s="293">
        <f>F2459/Parametros!$J$37</f>
        <v>0.5976</v>
      </c>
      <c r="G2460" s="293">
        <f>G2459/Parametros!$J$37</f>
        <v>0.5976</v>
      </c>
      <c r="H2460" s="293">
        <f>H2459/Parametros!$J$37</f>
        <v>0.5312</v>
      </c>
      <c r="I2460" s="293">
        <f>I2459/Parametros!$J$37</f>
        <v>0.5976</v>
      </c>
      <c r="J2460" s="293">
        <f>J2459/Parametros!$J$37</f>
        <v>0.5976</v>
      </c>
      <c r="K2460" s="293">
        <f>K2459/Parametros!$J$37</f>
        <v>0.5644</v>
      </c>
      <c r="L2460" s="293">
        <f>L2459/Parametros!$J$37</f>
        <v>0.498</v>
      </c>
      <c r="M2460" s="293">
        <f>M2459/Parametros!$J$37</f>
        <v>0.4648</v>
      </c>
      <c r="N2460" s="293">
        <f>N2459/Parametros!$J$37</f>
        <v>0.5312</v>
      </c>
      <c r="O2460" s="5"/>
      <c r="P2460" s="5"/>
      <c r="Q2460" s="5"/>
      <c r="R2460" s="5"/>
      <c r="S2460" s="5"/>
      <c r="T2460" s="5"/>
      <c r="U2460" s="5"/>
      <c r="V2460" s="5"/>
      <c r="W2460" s="5"/>
      <c r="X2460" s="5"/>
      <c r="Y2460" s="5"/>
      <c r="Z2460" s="5"/>
    </row>
    <row r="2461" ht="12.0" customHeight="1">
      <c r="A2461" s="92" t="s">
        <v>636</v>
      </c>
      <c r="B2461" s="5"/>
      <c r="C2461" s="293">
        <f t="shared" ref="C2461:N2461" si="767">C2460</f>
        <v>0.5644</v>
      </c>
      <c r="D2461" s="293">
        <f t="shared" si="767"/>
        <v>0.498</v>
      </c>
      <c r="E2461" s="293">
        <f t="shared" si="767"/>
        <v>0.5976</v>
      </c>
      <c r="F2461" s="293">
        <f t="shared" si="767"/>
        <v>0.5976</v>
      </c>
      <c r="G2461" s="293">
        <f t="shared" si="767"/>
        <v>0.5976</v>
      </c>
      <c r="H2461" s="293">
        <f t="shared" si="767"/>
        <v>0.5312</v>
      </c>
      <c r="I2461" s="293">
        <f t="shared" si="767"/>
        <v>0.5976</v>
      </c>
      <c r="J2461" s="293">
        <f t="shared" si="767"/>
        <v>0.5976</v>
      </c>
      <c r="K2461" s="293">
        <f t="shared" si="767"/>
        <v>0.5644</v>
      </c>
      <c r="L2461" s="293">
        <f t="shared" si="767"/>
        <v>0.498</v>
      </c>
      <c r="M2461" s="293">
        <f t="shared" si="767"/>
        <v>0.4648</v>
      </c>
      <c r="N2461" s="293">
        <f t="shared" si="767"/>
        <v>0.5312</v>
      </c>
      <c r="O2461" s="5"/>
      <c r="P2461" s="5"/>
      <c r="Q2461" s="5"/>
      <c r="R2461" s="5"/>
      <c r="S2461" s="5"/>
      <c r="T2461" s="5"/>
      <c r="U2461" s="5"/>
      <c r="V2461" s="5"/>
      <c r="W2461" s="5"/>
      <c r="X2461" s="5"/>
      <c r="Y2461" s="5"/>
      <c r="Z2461" s="5"/>
    </row>
    <row r="2462" ht="12.0" customHeight="1">
      <c r="A2462" s="92" t="s">
        <v>637</v>
      </c>
      <c r="B2462" s="5"/>
      <c r="C2462" s="293">
        <f>Parametros!$M$115</f>
        <v>26.60869565</v>
      </c>
      <c r="D2462" s="293">
        <f>Parametros!$M$115</f>
        <v>26.60869565</v>
      </c>
      <c r="E2462" s="293">
        <f>Parametros!$M$115</f>
        <v>26.60869565</v>
      </c>
      <c r="F2462" s="293">
        <f>Parametros!$M$115</f>
        <v>26.60869565</v>
      </c>
      <c r="G2462" s="293">
        <f>Parametros!$M$115</f>
        <v>26.60869565</v>
      </c>
      <c r="H2462" s="293">
        <f>Parametros!$M$115</f>
        <v>26.60869565</v>
      </c>
      <c r="I2462" s="293">
        <f>Parametros!$M$115</f>
        <v>26.60869565</v>
      </c>
      <c r="J2462" s="293">
        <f>Parametros!$M$115</f>
        <v>26.60869565</v>
      </c>
      <c r="K2462" s="293">
        <f>Parametros!$M$115</f>
        <v>26.60869565</v>
      </c>
      <c r="L2462" s="293">
        <f>Parametros!$M$115</f>
        <v>26.60869565</v>
      </c>
      <c r="M2462" s="293">
        <f>Parametros!$M$115</f>
        <v>26.60869565</v>
      </c>
      <c r="N2462" s="293">
        <f>Parametros!$M$115</f>
        <v>26.60869565</v>
      </c>
      <c r="O2462" s="5"/>
      <c r="P2462" s="5"/>
      <c r="Q2462" s="5"/>
      <c r="R2462" s="5"/>
      <c r="S2462" s="5"/>
      <c r="T2462" s="5"/>
      <c r="U2462" s="5"/>
      <c r="V2462" s="5"/>
      <c r="W2462" s="5"/>
      <c r="X2462" s="5"/>
      <c r="Y2462" s="5"/>
      <c r="Z2462" s="5"/>
    </row>
    <row r="2463" ht="12.0" customHeight="1">
      <c r="A2463" s="92" t="s">
        <v>640</v>
      </c>
      <c r="B2463" s="5"/>
      <c r="C2463" s="203">
        <f>'Resumen Capacidad'!$F$223</f>
        <v>1</v>
      </c>
      <c r="D2463" s="203">
        <f>'Resumen Capacidad'!$F$223</f>
        <v>1</v>
      </c>
      <c r="E2463" s="203">
        <f>'Resumen Capacidad'!$F$223</f>
        <v>1</v>
      </c>
      <c r="F2463" s="203">
        <f>'Resumen Capacidad'!$F$223</f>
        <v>1</v>
      </c>
      <c r="G2463" s="203">
        <f>'Resumen Capacidad'!$F$223</f>
        <v>1</v>
      </c>
      <c r="H2463" s="203">
        <f>'Resumen Capacidad'!$F$223</f>
        <v>1</v>
      </c>
      <c r="I2463" s="203">
        <f>'Resumen Capacidad'!$F$223</f>
        <v>1</v>
      </c>
      <c r="J2463" s="203">
        <f>'Resumen Capacidad'!$F$223</f>
        <v>1</v>
      </c>
      <c r="K2463" s="203">
        <f>'Resumen Capacidad'!$F$223</f>
        <v>1</v>
      </c>
      <c r="L2463" s="203">
        <f>'Resumen Capacidad'!$F$223</f>
        <v>1</v>
      </c>
      <c r="M2463" s="203">
        <f>'Resumen Capacidad'!$F$223</f>
        <v>1</v>
      </c>
      <c r="N2463" s="203">
        <f>'Resumen Capacidad'!$F$223</f>
        <v>1</v>
      </c>
      <c r="O2463" s="5"/>
      <c r="P2463" s="5"/>
      <c r="Q2463" s="5"/>
      <c r="R2463" s="5"/>
      <c r="S2463" s="5"/>
      <c r="T2463" s="5"/>
      <c r="U2463" s="5"/>
      <c r="V2463" s="5"/>
      <c r="W2463" s="5"/>
      <c r="X2463" s="5"/>
      <c r="Y2463" s="5"/>
      <c r="Z2463" s="5"/>
    </row>
    <row r="2464" ht="12.0" customHeight="1">
      <c r="A2464" s="92" t="s">
        <v>642</v>
      </c>
      <c r="B2464" s="5"/>
      <c r="C2464" s="203">
        <f t="shared" ref="C2464:N2464" si="768">C2462*C2463</f>
        <v>26.60869565</v>
      </c>
      <c r="D2464" s="203">
        <f t="shared" si="768"/>
        <v>26.60869565</v>
      </c>
      <c r="E2464" s="203">
        <f t="shared" si="768"/>
        <v>26.60869565</v>
      </c>
      <c r="F2464" s="203">
        <f t="shared" si="768"/>
        <v>26.60869565</v>
      </c>
      <c r="G2464" s="203">
        <f t="shared" si="768"/>
        <v>26.60869565</v>
      </c>
      <c r="H2464" s="203">
        <f t="shared" si="768"/>
        <v>26.60869565</v>
      </c>
      <c r="I2464" s="203">
        <f t="shared" si="768"/>
        <v>26.60869565</v>
      </c>
      <c r="J2464" s="203">
        <f t="shared" si="768"/>
        <v>26.60869565</v>
      </c>
      <c r="K2464" s="203">
        <f t="shared" si="768"/>
        <v>26.60869565</v>
      </c>
      <c r="L2464" s="203">
        <f t="shared" si="768"/>
        <v>26.60869565</v>
      </c>
      <c r="M2464" s="203">
        <f t="shared" si="768"/>
        <v>26.60869565</v>
      </c>
      <c r="N2464" s="203">
        <f t="shared" si="768"/>
        <v>26.60869565</v>
      </c>
      <c r="O2464" s="5"/>
      <c r="P2464" s="5"/>
      <c r="Q2464" s="5"/>
      <c r="R2464" s="5"/>
      <c r="S2464" s="5"/>
      <c r="T2464" s="5"/>
      <c r="U2464" s="5"/>
      <c r="V2464" s="5"/>
      <c r="W2464" s="5"/>
      <c r="X2464" s="5"/>
      <c r="Y2464" s="5"/>
      <c r="Z2464" s="5"/>
    </row>
    <row r="2465" ht="12.0" customHeight="1">
      <c r="A2465" s="92" t="s">
        <v>643</v>
      </c>
      <c r="B2465" s="5"/>
      <c r="C2465" s="294">
        <f t="shared" ref="C2465:N2465" si="769">IF(C2464=0,0,C2461/C2464)</f>
        <v>0.02121111111</v>
      </c>
      <c r="D2465" s="294">
        <f t="shared" si="769"/>
        <v>0.01871568627</v>
      </c>
      <c r="E2465" s="294">
        <f t="shared" si="769"/>
        <v>0.02245882353</v>
      </c>
      <c r="F2465" s="294">
        <f t="shared" si="769"/>
        <v>0.02245882353</v>
      </c>
      <c r="G2465" s="294">
        <f t="shared" si="769"/>
        <v>0.02245882353</v>
      </c>
      <c r="H2465" s="294">
        <f t="shared" si="769"/>
        <v>0.01996339869</v>
      </c>
      <c r="I2465" s="294">
        <f t="shared" si="769"/>
        <v>0.02245882353</v>
      </c>
      <c r="J2465" s="294">
        <f t="shared" si="769"/>
        <v>0.02245882353</v>
      </c>
      <c r="K2465" s="294">
        <f t="shared" si="769"/>
        <v>0.02121111111</v>
      </c>
      <c r="L2465" s="294">
        <f t="shared" si="769"/>
        <v>0.01871568627</v>
      </c>
      <c r="M2465" s="294">
        <f t="shared" si="769"/>
        <v>0.01746797386</v>
      </c>
      <c r="N2465" s="294">
        <f t="shared" si="769"/>
        <v>0.01996339869</v>
      </c>
      <c r="O2465" s="5"/>
      <c r="P2465" s="5"/>
      <c r="Q2465" s="5"/>
      <c r="R2465" s="5"/>
      <c r="S2465" s="5"/>
      <c r="T2465" s="5"/>
      <c r="U2465" s="5"/>
      <c r="V2465" s="5"/>
      <c r="W2465" s="5"/>
      <c r="X2465" s="5"/>
      <c r="Y2465" s="5"/>
      <c r="Z2465" s="5"/>
    </row>
    <row r="2466" ht="12.0" customHeight="1">
      <c r="A2466" s="10" t="s">
        <v>1647</v>
      </c>
      <c r="B2466" s="5"/>
      <c r="C2466" s="206"/>
      <c r="D2466" s="206"/>
      <c r="E2466" s="206"/>
      <c r="F2466" s="206"/>
      <c r="G2466" s="206"/>
      <c r="H2466" s="206"/>
      <c r="I2466" s="206"/>
      <c r="J2466" s="206"/>
      <c r="K2466" s="206"/>
      <c r="L2466" s="206"/>
      <c r="M2466" s="206"/>
      <c r="N2466" s="206"/>
      <c r="O2466" s="5"/>
      <c r="P2466" s="5"/>
      <c r="Q2466" s="5"/>
      <c r="R2466" s="5"/>
      <c r="S2466" s="5"/>
      <c r="T2466" s="5"/>
      <c r="U2466" s="5"/>
      <c r="V2466" s="5"/>
      <c r="W2466" s="5"/>
      <c r="X2466" s="5"/>
      <c r="Y2466" s="5"/>
      <c r="Z2466" s="5"/>
    </row>
    <row r="2467" ht="12.0" customHeight="1">
      <c r="A2467" s="92" t="s">
        <v>630</v>
      </c>
      <c r="B2467" s="5" t="s">
        <v>631</v>
      </c>
      <c r="C2467" s="206" t="s">
        <v>3</v>
      </c>
      <c r="D2467" s="206" t="s">
        <v>4</v>
      </c>
      <c r="E2467" s="206" t="s">
        <v>507</v>
      </c>
      <c r="F2467" s="206" t="s">
        <v>508</v>
      </c>
      <c r="G2467" s="206" t="s">
        <v>509</v>
      </c>
      <c r="H2467" s="206" t="s">
        <v>510</v>
      </c>
      <c r="I2467" s="206" t="s">
        <v>511</v>
      </c>
      <c r="J2467" s="206" t="s">
        <v>512</v>
      </c>
      <c r="K2467" s="206" t="s">
        <v>513</v>
      </c>
      <c r="L2467" s="206" t="s">
        <v>514</v>
      </c>
      <c r="M2467" s="206" t="s">
        <v>515</v>
      </c>
      <c r="N2467" s="206" t="s">
        <v>516</v>
      </c>
      <c r="O2467" s="5"/>
      <c r="P2467" s="5"/>
      <c r="Q2467" s="5"/>
      <c r="R2467" s="5"/>
      <c r="S2467" s="5"/>
      <c r="T2467" s="5"/>
      <c r="U2467" s="5"/>
      <c r="V2467" s="5"/>
      <c r="W2467" s="5"/>
      <c r="X2467" s="5"/>
      <c r="Y2467" s="5"/>
      <c r="Z2467" s="5"/>
    </row>
    <row r="2468" ht="12.0" customHeight="1">
      <c r="A2468" s="92" t="s">
        <v>1643</v>
      </c>
      <c r="B2468" s="5" t="s">
        <v>633</v>
      </c>
      <c r="C2468" s="203">
        <f t="shared" ref="C2468:N2468" si="770">C2423</f>
        <v>84.66</v>
      </c>
      <c r="D2468" s="203">
        <f t="shared" si="770"/>
        <v>74.7</v>
      </c>
      <c r="E2468" s="203">
        <f t="shared" si="770"/>
        <v>89.64</v>
      </c>
      <c r="F2468" s="203">
        <f t="shared" si="770"/>
        <v>89.64</v>
      </c>
      <c r="G2468" s="203">
        <f t="shared" si="770"/>
        <v>89.64</v>
      </c>
      <c r="H2468" s="203">
        <f t="shared" si="770"/>
        <v>79.68</v>
      </c>
      <c r="I2468" s="203">
        <f t="shared" si="770"/>
        <v>89.64</v>
      </c>
      <c r="J2468" s="203">
        <f t="shared" si="770"/>
        <v>89.64</v>
      </c>
      <c r="K2468" s="203">
        <f t="shared" si="770"/>
        <v>84.66</v>
      </c>
      <c r="L2468" s="203">
        <f t="shared" si="770"/>
        <v>74.7</v>
      </c>
      <c r="M2468" s="203">
        <f t="shared" si="770"/>
        <v>69.72</v>
      </c>
      <c r="N2468" s="203">
        <f t="shared" si="770"/>
        <v>79.68</v>
      </c>
      <c r="O2468" s="5"/>
      <c r="P2468" s="5"/>
      <c r="Q2468" s="5"/>
      <c r="R2468" s="5"/>
      <c r="S2468" s="5"/>
      <c r="T2468" s="5"/>
      <c r="U2468" s="5"/>
      <c r="V2468" s="5"/>
      <c r="W2468" s="5"/>
      <c r="X2468" s="5"/>
      <c r="Y2468" s="5"/>
      <c r="Z2468" s="5"/>
    </row>
    <row r="2469" ht="12.0" customHeight="1">
      <c r="A2469" s="92"/>
      <c r="B2469" s="5" t="s">
        <v>634</v>
      </c>
      <c r="C2469" s="293">
        <f>C2468/Parametros!$B$37</f>
        <v>4.233</v>
      </c>
      <c r="D2469" s="293">
        <f>D2468/Parametros!$B$37</f>
        <v>3.735</v>
      </c>
      <c r="E2469" s="293">
        <f>E2468/Parametros!$B$37</f>
        <v>4.482</v>
      </c>
      <c r="F2469" s="293">
        <f>F2468/Parametros!$B$37</f>
        <v>4.482</v>
      </c>
      <c r="G2469" s="293">
        <f>G2468/Parametros!$B$37</f>
        <v>4.482</v>
      </c>
      <c r="H2469" s="293">
        <f>H2468/Parametros!$B$37</f>
        <v>3.984</v>
      </c>
      <c r="I2469" s="293">
        <f>I2468/Parametros!$B$37</f>
        <v>4.482</v>
      </c>
      <c r="J2469" s="293">
        <f>J2468/Parametros!$B$37</f>
        <v>4.482</v>
      </c>
      <c r="K2469" s="293">
        <f>K2468/Parametros!$B$37</f>
        <v>4.233</v>
      </c>
      <c r="L2469" s="293">
        <f>L2468/Parametros!$B$37</f>
        <v>3.735</v>
      </c>
      <c r="M2469" s="293">
        <f>M2468/Parametros!$B$37</f>
        <v>3.486</v>
      </c>
      <c r="N2469" s="293">
        <f>N2468/Parametros!$B$37</f>
        <v>3.984</v>
      </c>
      <c r="O2469" s="5"/>
      <c r="P2469" s="5"/>
      <c r="Q2469" s="5"/>
      <c r="R2469" s="5"/>
      <c r="S2469" s="5"/>
      <c r="T2469" s="5"/>
      <c r="U2469" s="5"/>
      <c r="V2469" s="5"/>
      <c r="W2469" s="5"/>
      <c r="X2469" s="5"/>
      <c r="Y2469" s="5"/>
      <c r="Z2469" s="5"/>
    </row>
    <row r="2470" ht="12.0" customHeight="1">
      <c r="A2470" s="92"/>
      <c r="B2470" s="5" t="s">
        <v>635</v>
      </c>
      <c r="C2470" s="293">
        <f>C2469/Parametros!$J$37</f>
        <v>0.5644</v>
      </c>
      <c r="D2470" s="293">
        <f>D2469/Parametros!$J$37</f>
        <v>0.498</v>
      </c>
      <c r="E2470" s="293">
        <f>E2469/Parametros!$J$37</f>
        <v>0.5976</v>
      </c>
      <c r="F2470" s="293">
        <f>F2469/Parametros!$J$37</f>
        <v>0.5976</v>
      </c>
      <c r="G2470" s="293">
        <f>G2469/Parametros!$J$37</f>
        <v>0.5976</v>
      </c>
      <c r="H2470" s="293">
        <f>H2469/Parametros!$J$37</f>
        <v>0.5312</v>
      </c>
      <c r="I2470" s="293">
        <f>I2469/Parametros!$J$37</f>
        <v>0.5976</v>
      </c>
      <c r="J2470" s="293">
        <f>J2469/Parametros!$J$37</f>
        <v>0.5976</v>
      </c>
      <c r="K2470" s="293">
        <f>K2469/Parametros!$J$37</f>
        <v>0.5644</v>
      </c>
      <c r="L2470" s="293">
        <f>L2469/Parametros!$J$37</f>
        <v>0.498</v>
      </c>
      <c r="M2470" s="293">
        <f>M2469/Parametros!$J$37</f>
        <v>0.4648</v>
      </c>
      <c r="N2470" s="293">
        <f>N2469/Parametros!$J$37</f>
        <v>0.5312</v>
      </c>
      <c r="O2470" s="5"/>
      <c r="P2470" s="5"/>
      <c r="Q2470" s="5"/>
      <c r="R2470" s="5"/>
      <c r="S2470" s="5"/>
      <c r="T2470" s="5"/>
      <c r="U2470" s="5"/>
      <c r="V2470" s="5"/>
      <c r="W2470" s="5"/>
      <c r="X2470" s="5"/>
      <c r="Y2470" s="5"/>
      <c r="Z2470" s="5"/>
    </row>
    <row r="2471" ht="12.0" customHeight="1">
      <c r="A2471" s="92" t="s">
        <v>636</v>
      </c>
      <c r="B2471" s="5"/>
      <c r="C2471" s="293">
        <f t="shared" ref="C2471:N2471" si="771">C2470</f>
        <v>0.5644</v>
      </c>
      <c r="D2471" s="293">
        <f t="shared" si="771"/>
        <v>0.498</v>
      </c>
      <c r="E2471" s="293">
        <f t="shared" si="771"/>
        <v>0.5976</v>
      </c>
      <c r="F2471" s="293">
        <f t="shared" si="771"/>
        <v>0.5976</v>
      </c>
      <c r="G2471" s="293">
        <f t="shared" si="771"/>
        <v>0.5976</v>
      </c>
      <c r="H2471" s="293">
        <f t="shared" si="771"/>
        <v>0.5312</v>
      </c>
      <c r="I2471" s="293">
        <f t="shared" si="771"/>
        <v>0.5976</v>
      </c>
      <c r="J2471" s="293">
        <f t="shared" si="771"/>
        <v>0.5976</v>
      </c>
      <c r="K2471" s="293">
        <f t="shared" si="771"/>
        <v>0.5644</v>
      </c>
      <c r="L2471" s="293">
        <f t="shared" si="771"/>
        <v>0.498</v>
      </c>
      <c r="M2471" s="293">
        <f t="shared" si="771"/>
        <v>0.4648</v>
      </c>
      <c r="N2471" s="293">
        <f t="shared" si="771"/>
        <v>0.5312</v>
      </c>
      <c r="O2471" s="5"/>
      <c r="P2471" s="5"/>
      <c r="Q2471" s="5"/>
      <c r="R2471" s="5"/>
      <c r="S2471" s="5"/>
      <c r="T2471" s="5"/>
      <c r="U2471" s="5"/>
      <c r="V2471" s="5"/>
      <c r="W2471" s="5"/>
      <c r="X2471" s="5"/>
      <c r="Y2471" s="5"/>
      <c r="Z2471" s="5"/>
    </row>
    <row r="2472" ht="12.0" customHeight="1">
      <c r="A2472" s="92" t="s">
        <v>637</v>
      </c>
      <c r="B2472" s="5"/>
      <c r="C2472" s="293">
        <f>Parametros!$M$116</f>
        <v>38.25</v>
      </c>
      <c r="D2472" s="293">
        <f>Parametros!$M$116</f>
        <v>38.25</v>
      </c>
      <c r="E2472" s="293">
        <f>Parametros!$M$116</f>
        <v>38.25</v>
      </c>
      <c r="F2472" s="293">
        <f>Parametros!$M$116</f>
        <v>38.25</v>
      </c>
      <c r="G2472" s="293">
        <f>Parametros!$M$116</f>
        <v>38.25</v>
      </c>
      <c r="H2472" s="293">
        <f>Parametros!$M$116</f>
        <v>38.25</v>
      </c>
      <c r="I2472" s="293">
        <f>Parametros!$M$116</f>
        <v>38.25</v>
      </c>
      <c r="J2472" s="293">
        <f>Parametros!$M$116</f>
        <v>38.25</v>
      </c>
      <c r="K2472" s="293">
        <f>Parametros!$M$116</f>
        <v>38.25</v>
      </c>
      <c r="L2472" s="293">
        <f>Parametros!$M$116</f>
        <v>38.25</v>
      </c>
      <c r="M2472" s="293">
        <f>Parametros!$M$116</f>
        <v>38.25</v>
      </c>
      <c r="N2472" s="293">
        <f>Parametros!$M$116</f>
        <v>38.25</v>
      </c>
      <c r="O2472" s="5"/>
      <c r="P2472" s="5"/>
      <c r="Q2472" s="5"/>
      <c r="R2472" s="5"/>
      <c r="S2472" s="5"/>
      <c r="T2472" s="5"/>
      <c r="U2472" s="5"/>
      <c r="V2472" s="5"/>
      <c r="W2472" s="5"/>
      <c r="X2472" s="5"/>
      <c r="Y2472" s="5"/>
      <c r="Z2472" s="5"/>
    </row>
    <row r="2473" ht="12.0" customHeight="1">
      <c r="A2473" s="92" t="s">
        <v>640</v>
      </c>
      <c r="B2473" s="5"/>
      <c r="C2473" s="203">
        <f>'Resumen Capacidad'!$F$224</f>
        <v>1</v>
      </c>
      <c r="D2473" s="203">
        <f>'Resumen Capacidad'!$F$224</f>
        <v>1</v>
      </c>
      <c r="E2473" s="203">
        <f>'Resumen Capacidad'!$F$224</f>
        <v>1</v>
      </c>
      <c r="F2473" s="203">
        <f>'Resumen Capacidad'!$F$224</f>
        <v>1</v>
      </c>
      <c r="G2473" s="203">
        <f>'Resumen Capacidad'!$F$224</f>
        <v>1</v>
      </c>
      <c r="H2473" s="203">
        <f>'Resumen Capacidad'!$F$224</f>
        <v>1</v>
      </c>
      <c r="I2473" s="203">
        <f>'Resumen Capacidad'!$F$224</f>
        <v>1</v>
      </c>
      <c r="J2473" s="203">
        <f>'Resumen Capacidad'!$F$224</f>
        <v>1</v>
      </c>
      <c r="K2473" s="203">
        <f>'Resumen Capacidad'!$F$224</f>
        <v>1</v>
      </c>
      <c r="L2473" s="203">
        <f>'Resumen Capacidad'!$F$224</f>
        <v>1</v>
      </c>
      <c r="M2473" s="203">
        <f>'Resumen Capacidad'!$F$224</f>
        <v>1</v>
      </c>
      <c r="N2473" s="203">
        <f>'Resumen Capacidad'!$F$224</f>
        <v>1</v>
      </c>
      <c r="O2473" s="5"/>
      <c r="P2473" s="5"/>
      <c r="Q2473" s="5"/>
      <c r="R2473" s="5"/>
      <c r="S2473" s="5"/>
      <c r="T2473" s="5"/>
      <c r="U2473" s="5"/>
      <c r="V2473" s="5"/>
      <c r="W2473" s="5"/>
      <c r="X2473" s="5"/>
      <c r="Y2473" s="5"/>
      <c r="Z2473" s="5"/>
    </row>
    <row r="2474" ht="12.0" customHeight="1">
      <c r="A2474" s="92" t="s">
        <v>642</v>
      </c>
      <c r="B2474" s="5"/>
      <c r="C2474" s="203">
        <f t="shared" ref="C2474:N2474" si="772">C2472*C2473</f>
        <v>38.25</v>
      </c>
      <c r="D2474" s="203">
        <f t="shared" si="772"/>
        <v>38.25</v>
      </c>
      <c r="E2474" s="203">
        <f t="shared" si="772"/>
        <v>38.25</v>
      </c>
      <c r="F2474" s="203">
        <f t="shared" si="772"/>
        <v>38.25</v>
      </c>
      <c r="G2474" s="203">
        <f t="shared" si="772"/>
        <v>38.25</v>
      </c>
      <c r="H2474" s="203">
        <f t="shared" si="772"/>
        <v>38.25</v>
      </c>
      <c r="I2474" s="203">
        <f t="shared" si="772"/>
        <v>38.25</v>
      </c>
      <c r="J2474" s="203">
        <f t="shared" si="772"/>
        <v>38.25</v>
      </c>
      <c r="K2474" s="203">
        <f t="shared" si="772"/>
        <v>38.25</v>
      </c>
      <c r="L2474" s="203">
        <f t="shared" si="772"/>
        <v>38.25</v>
      </c>
      <c r="M2474" s="203">
        <f t="shared" si="772"/>
        <v>38.25</v>
      </c>
      <c r="N2474" s="203">
        <f t="shared" si="772"/>
        <v>38.25</v>
      </c>
      <c r="O2474" s="5"/>
      <c r="P2474" s="5"/>
      <c r="Q2474" s="5"/>
      <c r="R2474" s="5"/>
      <c r="S2474" s="5"/>
      <c r="T2474" s="5"/>
      <c r="U2474" s="5"/>
      <c r="V2474" s="5"/>
      <c r="W2474" s="5"/>
      <c r="X2474" s="5"/>
      <c r="Y2474" s="5"/>
      <c r="Z2474" s="5"/>
    </row>
    <row r="2475" ht="12.0" customHeight="1">
      <c r="A2475" s="92" t="s">
        <v>643</v>
      </c>
      <c r="B2475" s="5"/>
      <c r="C2475" s="294">
        <f t="shared" ref="C2475:N2475" si="773">IF(C2474=0,0,C2471/C2474)</f>
        <v>0.01475555556</v>
      </c>
      <c r="D2475" s="294">
        <f t="shared" si="773"/>
        <v>0.01301960784</v>
      </c>
      <c r="E2475" s="294">
        <f t="shared" si="773"/>
        <v>0.01562352941</v>
      </c>
      <c r="F2475" s="294">
        <f t="shared" si="773"/>
        <v>0.01562352941</v>
      </c>
      <c r="G2475" s="294">
        <f t="shared" si="773"/>
        <v>0.01562352941</v>
      </c>
      <c r="H2475" s="294">
        <f t="shared" si="773"/>
        <v>0.0138875817</v>
      </c>
      <c r="I2475" s="294">
        <f t="shared" si="773"/>
        <v>0.01562352941</v>
      </c>
      <c r="J2475" s="294">
        <f t="shared" si="773"/>
        <v>0.01562352941</v>
      </c>
      <c r="K2475" s="294">
        <f t="shared" si="773"/>
        <v>0.01475555556</v>
      </c>
      <c r="L2475" s="294">
        <f t="shared" si="773"/>
        <v>0.01301960784</v>
      </c>
      <c r="M2475" s="294">
        <f t="shared" si="773"/>
        <v>0.01215163399</v>
      </c>
      <c r="N2475" s="294">
        <f t="shared" si="773"/>
        <v>0.0138875817</v>
      </c>
      <c r="O2475" s="5"/>
      <c r="P2475" s="5"/>
      <c r="Q2475" s="5"/>
      <c r="R2475" s="5"/>
      <c r="S2475" s="5"/>
      <c r="T2475" s="5"/>
      <c r="U2475" s="5"/>
      <c r="V2475" s="5"/>
      <c r="W2475" s="5"/>
      <c r="X2475" s="5"/>
      <c r="Y2475" s="5"/>
      <c r="Z2475" s="5"/>
    </row>
    <row r="2476" ht="12.0" customHeight="1">
      <c r="A2476" s="10" t="s">
        <v>1648</v>
      </c>
      <c r="B2476" s="5"/>
      <c r="C2476" s="206"/>
      <c r="D2476" s="206"/>
      <c r="E2476" s="206"/>
      <c r="F2476" s="206"/>
      <c r="G2476" s="206"/>
      <c r="H2476" s="206"/>
      <c r="I2476" s="206"/>
      <c r="J2476" s="206"/>
      <c r="K2476" s="206"/>
      <c r="L2476" s="206"/>
      <c r="M2476" s="206"/>
      <c r="N2476" s="206"/>
      <c r="O2476" s="5"/>
      <c r="P2476" s="5"/>
      <c r="Q2476" s="5"/>
      <c r="R2476" s="5"/>
      <c r="S2476" s="5"/>
      <c r="T2476" s="5"/>
      <c r="U2476" s="5"/>
      <c r="V2476" s="5"/>
      <c r="W2476" s="5"/>
      <c r="X2476" s="5"/>
      <c r="Y2476" s="5"/>
      <c r="Z2476" s="5"/>
    </row>
    <row r="2477" ht="12.0" customHeight="1">
      <c r="A2477" s="92" t="s">
        <v>630</v>
      </c>
      <c r="B2477" s="5" t="s">
        <v>631</v>
      </c>
      <c r="C2477" s="206" t="s">
        <v>3</v>
      </c>
      <c r="D2477" s="206" t="s">
        <v>4</v>
      </c>
      <c r="E2477" s="206" t="s">
        <v>507</v>
      </c>
      <c r="F2477" s="206" t="s">
        <v>508</v>
      </c>
      <c r="G2477" s="206" t="s">
        <v>509</v>
      </c>
      <c r="H2477" s="206" t="s">
        <v>510</v>
      </c>
      <c r="I2477" s="206" t="s">
        <v>511</v>
      </c>
      <c r="J2477" s="206" t="s">
        <v>512</v>
      </c>
      <c r="K2477" s="206" t="s">
        <v>513</v>
      </c>
      <c r="L2477" s="206" t="s">
        <v>514</v>
      </c>
      <c r="M2477" s="206" t="s">
        <v>515</v>
      </c>
      <c r="N2477" s="206" t="s">
        <v>516</v>
      </c>
      <c r="O2477" s="5"/>
      <c r="P2477" s="5"/>
      <c r="Q2477" s="5"/>
      <c r="R2477" s="5"/>
      <c r="S2477" s="5"/>
      <c r="T2477" s="5"/>
      <c r="U2477" s="5"/>
      <c r="V2477" s="5"/>
      <c r="W2477" s="5"/>
      <c r="X2477" s="5"/>
      <c r="Y2477" s="5"/>
      <c r="Z2477" s="5"/>
    </row>
    <row r="2478" ht="12.0" customHeight="1">
      <c r="A2478" s="92" t="s">
        <v>1643</v>
      </c>
      <c r="B2478" s="5" t="s">
        <v>633</v>
      </c>
      <c r="C2478" s="203">
        <f t="shared" ref="C2478:N2478" si="774">C2423</f>
        <v>84.66</v>
      </c>
      <c r="D2478" s="203">
        <f t="shared" si="774"/>
        <v>74.7</v>
      </c>
      <c r="E2478" s="203">
        <f t="shared" si="774"/>
        <v>89.64</v>
      </c>
      <c r="F2478" s="203">
        <f t="shared" si="774"/>
        <v>89.64</v>
      </c>
      <c r="G2478" s="203">
        <f t="shared" si="774"/>
        <v>89.64</v>
      </c>
      <c r="H2478" s="203">
        <f t="shared" si="774"/>
        <v>79.68</v>
      </c>
      <c r="I2478" s="203">
        <f t="shared" si="774"/>
        <v>89.64</v>
      </c>
      <c r="J2478" s="203">
        <f t="shared" si="774"/>
        <v>89.64</v>
      </c>
      <c r="K2478" s="203">
        <f t="shared" si="774"/>
        <v>84.66</v>
      </c>
      <c r="L2478" s="203">
        <f t="shared" si="774"/>
        <v>74.7</v>
      </c>
      <c r="M2478" s="203">
        <f t="shared" si="774"/>
        <v>69.72</v>
      </c>
      <c r="N2478" s="203">
        <f t="shared" si="774"/>
        <v>79.68</v>
      </c>
      <c r="O2478" s="5"/>
      <c r="P2478" s="5"/>
      <c r="Q2478" s="5"/>
      <c r="R2478" s="5"/>
      <c r="S2478" s="5"/>
      <c r="T2478" s="5"/>
      <c r="U2478" s="5"/>
      <c r="V2478" s="5"/>
      <c r="W2478" s="5"/>
      <c r="X2478" s="5"/>
      <c r="Y2478" s="5"/>
      <c r="Z2478" s="5"/>
    </row>
    <row r="2479" ht="12.0" customHeight="1">
      <c r="A2479" s="92"/>
      <c r="B2479" s="5" t="s">
        <v>634</v>
      </c>
      <c r="C2479" s="293">
        <f>C2478/Parametros!$B$37</f>
        <v>4.233</v>
      </c>
      <c r="D2479" s="293">
        <f>D2478/Parametros!$B$37</f>
        <v>3.735</v>
      </c>
      <c r="E2479" s="293">
        <f>E2478/Parametros!$B$37</f>
        <v>4.482</v>
      </c>
      <c r="F2479" s="293">
        <f>F2478/Parametros!$B$37</f>
        <v>4.482</v>
      </c>
      <c r="G2479" s="293">
        <f>G2478/Parametros!$B$37</f>
        <v>4.482</v>
      </c>
      <c r="H2479" s="293">
        <f>H2478/Parametros!$B$37</f>
        <v>3.984</v>
      </c>
      <c r="I2479" s="293">
        <f>I2478/Parametros!$B$37</f>
        <v>4.482</v>
      </c>
      <c r="J2479" s="293">
        <f>J2478/Parametros!$B$37</f>
        <v>4.482</v>
      </c>
      <c r="K2479" s="293">
        <f>K2478/Parametros!$B$37</f>
        <v>4.233</v>
      </c>
      <c r="L2479" s="293">
        <f>L2478/Parametros!$B$37</f>
        <v>3.735</v>
      </c>
      <c r="M2479" s="293">
        <f>M2478/Parametros!$B$37</f>
        <v>3.486</v>
      </c>
      <c r="N2479" s="293">
        <f>N2478/Parametros!$B$37</f>
        <v>3.984</v>
      </c>
      <c r="O2479" s="5"/>
      <c r="P2479" s="5"/>
      <c r="Q2479" s="5"/>
      <c r="R2479" s="5"/>
      <c r="S2479" s="5"/>
      <c r="T2479" s="5"/>
      <c r="U2479" s="5"/>
      <c r="V2479" s="5"/>
      <c r="W2479" s="5"/>
      <c r="X2479" s="5"/>
      <c r="Y2479" s="5"/>
      <c r="Z2479" s="5"/>
    </row>
    <row r="2480" ht="12.0" customHeight="1">
      <c r="A2480" s="92"/>
      <c r="B2480" s="5" t="s">
        <v>635</v>
      </c>
      <c r="C2480" s="293">
        <f>C2479/Parametros!$J$37</f>
        <v>0.5644</v>
      </c>
      <c r="D2480" s="293">
        <f>D2479/Parametros!$J$37</f>
        <v>0.498</v>
      </c>
      <c r="E2480" s="293">
        <f>E2479/Parametros!$J$37</f>
        <v>0.5976</v>
      </c>
      <c r="F2480" s="293">
        <f>F2479/Parametros!$J$37</f>
        <v>0.5976</v>
      </c>
      <c r="G2480" s="293">
        <f>G2479/Parametros!$J$37</f>
        <v>0.5976</v>
      </c>
      <c r="H2480" s="293">
        <f>H2479/Parametros!$J$37</f>
        <v>0.5312</v>
      </c>
      <c r="I2480" s="293">
        <f>I2479/Parametros!$J$37</f>
        <v>0.5976</v>
      </c>
      <c r="J2480" s="293">
        <f>J2479/Parametros!$J$37</f>
        <v>0.5976</v>
      </c>
      <c r="K2480" s="293">
        <f>K2479/Parametros!$J$37</f>
        <v>0.5644</v>
      </c>
      <c r="L2480" s="293">
        <f>L2479/Parametros!$J$37</f>
        <v>0.498</v>
      </c>
      <c r="M2480" s="293">
        <f>M2479/Parametros!$J$37</f>
        <v>0.4648</v>
      </c>
      <c r="N2480" s="293">
        <f>N2479/Parametros!$J$37</f>
        <v>0.5312</v>
      </c>
      <c r="O2480" s="5"/>
      <c r="P2480" s="5"/>
      <c r="Q2480" s="5"/>
      <c r="R2480" s="5"/>
      <c r="S2480" s="5"/>
      <c r="T2480" s="5"/>
      <c r="U2480" s="5"/>
      <c r="V2480" s="5"/>
      <c r="W2480" s="5"/>
      <c r="X2480" s="5"/>
      <c r="Y2480" s="5"/>
      <c r="Z2480" s="5"/>
    </row>
    <row r="2481" ht="12.0" customHeight="1">
      <c r="A2481" s="92" t="s">
        <v>636</v>
      </c>
      <c r="B2481" s="5"/>
      <c r="C2481" s="293">
        <f t="shared" ref="C2481:N2481" si="775">C2480</f>
        <v>0.5644</v>
      </c>
      <c r="D2481" s="293">
        <f t="shared" si="775"/>
        <v>0.498</v>
      </c>
      <c r="E2481" s="293">
        <f t="shared" si="775"/>
        <v>0.5976</v>
      </c>
      <c r="F2481" s="293">
        <f t="shared" si="775"/>
        <v>0.5976</v>
      </c>
      <c r="G2481" s="293">
        <f t="shared" si="775"/>
        <v>0.5976</v>
      </c>
      <c r="H2481" s="293">
        <f t="shared" si="775"/>
        <v>0.5312</v>
      </c>
      <c r="I2481" s="293">
        <f t="shared" si="775"/>
        <v>0.5976</v>
      </c>
      <c r="J2481" s="293">
        <f t="shared" si="775"/>
        <v>0.5976</v>
      </c>
      <c r="K2481" s="293">
        <f t="shared" si="775"/>
        <v>0.5644</v>
      </c>
      <c r="L2481" s="293">
        <f t="shared" si="775"/>
        <v>0.498</v>
      </c>
      <c r="M2481" s="293">
        <f t="shared" si="775"/>
        <v>0.4648</v>
      </c>
      <c r="N2481" s="293">
        <f t="shared" si="775"/>
        <v>0.5312</v>
      </c>
      <c r="O2481" s="5"/>
      <c r="P2481" s="5"/>
      <c r="Q2481" s="5"/>
      <c r="R2481" s="5"/>
      <c r="S2481" s="5"/>
      <c r="T2481" s="5"/>
      <c r="U2481" s="5"/>
      <c r="V2481" s="5"/>
      <c r="W2481" s="5"/>
      <c r="X2481" s="5"/>
      <c r="Y2481" s="5"/>
      <c r="Z2481" s="5"/>
    </row>
    <row r="2482" ht="12.0" customHeight="1">
      <c r="A2482" s="92" t="s">
        <v>637</v>
      </c>
      <c r="B2482" s="5"/>
      <c r="C2482" s="293">
        <f>Parametros!$M$117</f>
        <v>14.92682927</v>
      </c>
      <c r="D2482" s="293">
        <f>Parametros!$M$117</f>
        <v>14.92682927</v>
      </c>
      <c r="E2482" s="293">
        <f>Parametros!$M$117</f>
        <v>14.92682927</v>
      </c>
      <c r="F2482" s="293">
        <f>Parametros!$M$117</f>
        <v>14.92682927</v>
      </c>
      <c r="G2482" s="293">
        <f>Parametros!$M$117</f>
        <v>14.92682927</v>
      </c>
      <c r="H2482" s="293">
        <f>Parametros!$M$117</f>
        <v>14.92682927</v>
      </c>
      <c r="I2482" s="293">
        <f>Parametros!$M$117</f>
        <v>14.92682927</v>
      </c>
      <c r="J2482" s="293">
        <f>Parametros!$M$117</f>
        <v>14.92682927</v>
      </c>
      <c r="K2482" s="293">
        <f>Parametros!$M$117</f>
        <v>14.92682927</v>
      </c>
      <c r="L2482" s="293">
        <f>Parametros!$M$117</f>
        <v>14.92682927</v>
      </c>
      <c r="M2482" s="293">
        <f>Parametros!$M$117</f>
        <v>14.92682927</v>
      </c>
      <c r="N2482" s="293">
        <f>Parametros!$M$117</f>
        <v>14.92682927</v>
      </c>
      <c r="O2482" s="5"/>
      <c r="P2482" s="5"/>
      <c r="Q2482" s="5"/>
      <c r="R2482" s="5"/>
      <c r="S2482" s="5"/>
      <c r="T2482" s="5"/>
      <c r="U2482" s="5"/>
      <c r="V2482" s="5"/>
      <c r="W2482" s="5"/>
      <c r="X2482" s="5"/>
      <c r="Y2482" s="5"/>
      <c r="Z2482" s="5"/>
    </row>
    <row r="2483" ht="12.0" customHeight="1">
      <c r="A2483" s="92" t="s">
        <v>640</v>
      </c>
      <c r="B2483" s="5"/>
      <c r="C2483" s="203">
        <f>'Resumen Capacidad'!$F$225</f>
        <v>1</v>
      </c>
      <c r="D2483" s="203">
        <f>'Resumen Capacidad'!$F$225</f>
        <v>1</v>
      </c>
      <c r="E2483" s="203">
        <f>'Resumen Capacidad'!$F$225</f>
        <v>1</v>
      </c>
      <c r="F2483" s="203">
        <f>'Resumen Capacidad'!$F$225</f>
        <v>1</v>
      </c>
      <c r="G2483" s="203">
        <f>'Resumen Capacidad'!$F$225</f>
        <v>1</v>
      </c>
      <c r="H2483" s="203">
        <f>'Resumen Capacidad'!$F$225</f>
        <v>1</v>
      </c>
      <c r="I2483" s="203">
        <f>'Resumen Capacidad'!$F$225</f>
        <v>1</v>
      </c>
      <c r="J2483" s="203">
        <f>'Resumen Capacidad'!$F$225</f>
        <v>1</v>
      </c>
      <c r="K2483" s="203">
        <f>'Resumen Capacidad'!$F$225</f>
        <v>1</v>
      </c>
      <c r="L2483" s="203">
        <f>'Resumen Capacidad'!$F$225</f>
        <v>1</v>
      </c>
      <c r="M2483" s="203">
        <f>'Resumen Capacidad'!$F$225</f>
        <v>1</v>
      </c>
      <c r="N2483" s="203">
        <f>'Resumen Capacidad'!$F$225</f>
        <v>1</v>
      </c>
      <c r="O2483" s="5"/>
      <c r="P2483" s="5"/>
      <c r="Q2483" s="5"/>
      <c r="R2483" s="5"/>
      <c r="S2483" s="5"/>
      <c r="T2483" s="5"/>
      <c r="U2483" s="5"/>
      <c r="V2483" s="5"/>
      <c r="W2483" s="5"/>
      <c r="X2483" s="5"/>
      <c r="Y2483" s="5"/>
      <c r="Z2483" s="5"/>
    </row>
    <row r="2484" ht="12.0" customHeight="1">
      <c r="A2484" s="92" t="s">
        <v>642</v>
      </c>
      <c r="B2484" s="5"/>
      <c r="C2484" s="203">
        <f t="shared" ref="C2484:N2484" si="776">C2482*C2483</f>
        <v>14.92682927</v>
      </c>
      <c r="D2484" s="203">
        <f t="shared" si="776"/>
        <v>14.92682927</v>
      </c>
      <c r="E2484" s="203">
        <f t="shared" si="776"/>
        <v>14.92682927</v>
      </c>
      <c r="F2484" s="203">
        <f t="shared" si="776"/>
        <v>14.92682927</v>
      </c>
      <c r="G2484" s="203">
        <f t="shared" si="776"/>
        <v>14.92682927</v>
      </c>
      <c r="H2484" s="203">
        <f t="shared" si="776"/>
        <v>14.92682927</v>
      </c>
      <c r="I2484" s="203">
        <f t="shared" si="776"/>
        <v>14.92682927</v>
      </c>
      <c r="J2484" s="203">
        <f t="shared" si="776"/>
        <v>14.92682927</v>
      </c>
      <c r="K2484" s="203">
        <f t="shared" si="776"/>
        <v>14.92682927</v>
      </c>
      <c r="L2484" s="203">
        <f t="shared" si="776"/>
        <v>14.92682927</v>
      </c>
      <c r="M2484" s="203">
        <f t="shared" si="776"/>
        <v>14.92682927</v>
      </c>
      <c r="N2484" s="203">
        <f t="shared" si="776"/>
        <v>14.92682927</v>
      </c>
      <c r="O2484" s="5"/>
      <c r="P2484" s="5"/>
      <c r="Q2484" s="5"/>
      <c r="R2484" s="5"/>
      <c r="S2484" s="5"/>
      <c r="T2484" s="5"/>
      <c r="U2484" s="5"/>
      <c r="V2484" s="5"/>
      <c r="W2484" s="5"/>
      <c r="X2484" s="5"/>
      <c r="Y2484" s="5"/>
      <c r="Z2484" s="5"/>
    </row>
    <row r="2485" ht="12.0" customHeight="1">
      <c r="A2485" s="92" t="s">
        <v>643</v>
      </c>
      <c r="B2485" s="5"/>
      <c r="C2485" s="294">
        <f t="shared" ref="C2485:N2485" si="777">IF(C2484=0,0,C2481/C2484)</f>
        <v>0.03781111111</v>
      </c>
      <c r="D2485" s="294">
        <f t="shared" si="777"/>
        <v>0.0333627451</v>
      </c>
      <c r="E2485" s="294">
        <f t="shared" si="777"/>
        <v>0.04003529412</v>
      </c>
      <c r="F2485" s="294">
        <f t="shared" si="777"/>
        <v>0.04003529412</v>
      </c>
      <c r="G2485" s="294">
        <f t="shared" si="777"/>
        <v>0.04003529412</v>
      </c>
      <c r="H2485" s="294">
        <f t="shared" si="777"/>
        <v>0.0355869281</v>
      </c>
      <c r="I2485" s="294">
        <f t="shared" si="777"/>
        <v>0.04003529412</v>
      </c>
      <c r="J2485" s="294">
        <f t="shared" si="777"/>
        <v>0.04003529412</v>
      </c>
      <c r="K2485" s="294">
        <f t="shared" si="777"/>
        <v>0.03781111111</v>
      </c>
      <c r="L2485" s="294">
        <f t="shared" si="777"/>
        <v>0.0333627451</v>
      </c>
      <c r="M2485" s="294">
        <f t="shared" si="777"/>
        <v>0.03113856209</v>
      </c>
      <c r="N2485" s="294">
        <f t="shared" si="777"/>
        <v>0.0355869281</v>
      </c>
      <c r="O2485" s="5"/>
      <c r="P2485" s="5"/>
      <c r="Q2485" s="5"/>
      <c r="R2485" s="5"/>
      <c r="S2485" s="5"/>
      <c r="T2485" s="5"/>
      <c r="U2485" s="5"/>
      <c r="V2485" s="5"/>
      <c r="W2485" s="5"/>
      <c r="X2485" s="5"/>
      <c r="Y2485" s="5"/>
      <c r="Z2485" s="5"/>
    </row>
    <row r="2486" ht="12.0" customHeight="1">
      <c r="A2486" s="10" t="s">
        <v>1649</v>
      </c>
      <c r="B2486" s="5"/>
      <c r="C2486" s="206"/>
      <c r="D2486" s="206"/>
      <c r="E2486" s="206"/>
      <c r="F2486" s="206"/>
      <c r="G2486" s="206"/>
      <c r="H2486" s="206"/>
      <c r="I2486" s="206"/>
      <c r="J2486" s="206"/>
      <c r="K2486" s="206"/>
      <c r="L2486" s="206"/>
      <c r="M2486" s="206"/>
      <c r="N2486" s="206"/>
      <c r="O2486" s="5"/>
      <c r="P2486" s="5"/>
      <c r="Q2486" s="5"/>
      <c r="R2486" s="5"/>
      <c r="S2486" s="5"/>
      <c r="T2486" s="5"/>
      <c r="U2486" s="5"/>
      <c r="V2486" s="5"/>
      <c r="W2486" s="5"/>
      <c r="X2486" s="5"/>
      <c r="Y2486" s="5"/>
      <c r="Z2486" s="5"/>
    </row>
    <row r="2487" ht="12.0" customHeight="1">
      <c r="A2487" s="92" t="s">
        <v>630</v>
      </c>
      <c r="B2487" s="5" t="s">
        <v>631</v>
      </c>
      <c r="C2487" s="206" t="s">
        <v>3</v>
      </c>
      <c r="D2487" s="206" t="s">
        <v>4</v>
      </c>
      <c r="E2487" s="206" t="s">
        <v>507</v>
      </c>
      <c r="F2487" s="206" t="s">
        <v>508</v>
      </c>
      <c r="G2487" s="206" t="s">
        <v>509</v>
      </c>
      <c r="H2487" s="206" t="s">
        <v>510</v>
      </c>
      <c r="I2487" s="206" t="s">
        <v>511</v>
      </c>
      <c r="J2487" s="206" t="s">
        <v>512</v>
      </c>
      <c r="K2487" s="206" t="s">
        <v>513</v>
      </c>
      <c r="L2487" s="206" t="s">
        <v>514</v>
      </c>
      <c r="M2487" s="206" t="s">
        <v>515</v>
      </c>
      <c r="N2487" s="206" t="s">
        <v>516</v>
      </c>
      <c r="O2487" s="5"/>
      <c r="P2487" s="5"/>
      <c r="Q2487" s="5"/>
      <c r="R2487" s="5"/>
      <c r="S2487" s="5"/>
      <c r="T2487" s="5"/>
      <c r="U2487" s="5"/>
      <c r="V2487" s="5"/>
      <c r="W2487" s="5"/>
      <c r="X2487" s="5"/>
      <c r="Y2487" s="5"/>
      <c r="Z2487" s="5"/>
    </row>
    <row r="2488" ht="12.0" customHeight="1">
      <c r="A2488" s="92" t="s">
        <v>1643</v>
      </c>
      <c r="B2488" s="5" t="s">
        <v>633</v>
      </c>
      <c r="C2488" s="203">
        <f t="shared" ref="C2488:N2488" si="778">C2423</f>
        <v>84.66</v>
      </c>
      <c r="D2488" s="203">
        <f t="shared" si="778"/>
        <v>74.7</v>
      </c>
      <c r="E2488" s="203">
        <f t="shared" si="778"/>
        <v>89.64</v>
      </c>
      <c r="F2488" s="203">
        <f t="shared" si="778"/>
        <v>89.64</v>
      </c>
      <c r="G2488" s="203">
        <f t="shared" si="778"/>
        <v>89.64</v>
      </c>
      <c r="H2488" s="203">
        <f t="shared" si="778"/>
        <v>79.68</v>
      </c>
      <c r="I2488" s="203">
        <f t="shared" si="778"/>
        <v>89.64</v>
      </c>
      <c r="J2488" s="203">
        <f t="shared" si="778"/>
        <v>89.64</v>
      </c>
      <c r="K2488" s="203">
        <f t="shared" si="778"/>
        <v>84.66</v>
      </c>
      <c r="L2488" s="203">
        <f t="shared" si="778"/>
        <v>74.7</v>
      </c>
      <c r="M2488" s="203">
        <f t="shared" si="778"/>
        <v>69.72</v>
      </c>
      <c r="N2488" s="203">
        <f t="shared" si="778"/>
        <v>79.68</v>
      </c>
      <c r="O2488" s="5"/>
      <c r="P2488" s="5"/>
      <c r="Q2488" s="5"/>
      <c r="R2488" s="5"/>
      <c r="S2488" s="5"/>
      <c r="T2488" s="5"/>
      <c r="U2488" s="5"/>
      <c r="V2488" s="5"/>
      <c r="W2488" s="5"/>
      <c r="X2488" s="5"/>
      <c r="Y2488" s="5"/>
      <c r="Z2488" s="5"/>
    </row>
    <row r="2489" ht="12.0" customHeight="1">
      <c r="A2489" s="92"/>
      <c r="B2489" s="5" t="s">
        <v>634</v>
      </c>
      <c r="C2489" s="293">
        <f>C2488/Parametros!$B$37</f>
        <v>4.233</v>
      </c>
      <c r="D2489" s="293">
        <f>D2488/Parametros!$B$37</f>
        <v>3.735</v>
      </c>
      <c r="E2489" s="293">
        <f>E2488/Parametros!$B$37</f>
        <v>4.482</v>
      </c>
      <c r="F2489" s="293">
        <f>F2488/Parametros!$B$37</f>
        <v>4.482</v>
      </c>
      <c r="G2489" s="293">
        <f>G2488/Parametros!$B$37</f>
        <v>4.482</v>
      </c>
      <c r="H2489" s="293">
        <f>H2488/Parametros!$B$37</f>
        <v>3.984</v>
      </c>
      <c r="I2489" s="293">
        <f>I2488/Parametros!$B$37</f>
        <v>4.482</v>
      </c>
      <c r="J2489" s="293">
        <f>J2488/Parametros!$B$37</f>
        <v>4.482</v>
      </c>
      <c r="K2489" s="293">
        <f>K2488/Parametros!$B$37</f>
        <v>4.233</v>
      </c>
      <c r="L2489" s="293">
        <f>L2488/Parametros!$B$37</f>
        <v>3.735</v>
      </c>
      <c r="M2489" s="293">
        <f>M2488/Parametros!$B$37</f>
        <v>3.486</v>
      </c>
      <c r="N2489" s="293">
        <f>N2488/Parametros!$B$37</f>
        <v>3.984</v>
      </c>
      <c r="O2489" s="5"/>
      <c r="P2489" s="5"/>
      <c r="Q2489" s="5"/>
      <c r="R2489" s="5"/>
      <c r="S2489" s="5"/>
      <c r="T2489" s="5"/>
      <c r="U2489" s="5"/>
      <c r="V2489" s="5"/>
      <c r="W2489" s="5"/>
      <c r="X2489" s="5"/>
      <c r="Y2489" s="5"/>
      <c r="Z2489" s="5"/>
    </row>
    <row r="2490" ht="12.0" customHeight="1">
      <c r="A2490" s="92"/>
      <c r="B2490" s="5" t="s">
        <v>635</v>
      </c>
      <c r="C2490" s="293">
        <f>C2489/Parametros!$J$37</f>
        <v>0.5644</v>
      </c>
      <c r="D2490" s="293">
        <f>D2489/Parametros!$J$37</f>
        <v>0.498</v>
      </c>
      <c r="E2490" s="293">
        <f>E2489/Parametros!$J$37</f>
        <v>0.5976</v>
      </c>
      <c r="F2490" s="293">
        <f>F2489/Parametros!$J$37</f>
        <v>0.5976</v>
      </c>
      <c r="G2490" s="293">
        <f>G2489/Parametros!$J$37</f>
        <v>0.5976</v>
      </c>
      <c r="H2490" s="293">
        <f>H2489/Parametros!$J$37</f>
        <v>0.5312</v>
      </c>
      <c r="I2490" s="293">
        <f>I2489/Parametros!$J$37</f>
        <v>0.5976</v>
      </c>
      <c r="J2490" s="293">
        <f>J2489/Parametros!$J$37</f>
        <v>0.5976</v>
      </c>
      <c r="K2490" s="293">
        <f>K2489/Parametros!$J$37</f>
        <v>0.5644</v>
      </c>
      <c r="L2490" s="293">
        <f>L2489/Parametros!$J$37</f>
        <v>0.498</v>
      </c>
      <c r="M2490" s="293">
        <f>M2489/Parametros!$J$37</f>
        <v>0.4648</v>
      </c>
      <c r="N2490" s="293">
        <f>N2489/Parametros!$J$37</f>
        <v>0.5312</v>
      </c>
      <c r="O2490" s="5"/>
      <c r="P2490" s="5"/>
      <c r="Q2490" s="5"/>
      <c r="R2490" s="5"/>
      <c r="S2490" s="5"/>
      <c r="T2490" s="5"/>
      <c r="U2490" s="5"/>
      <c r="V2490" s="5"/>
      <c r="W2490" s="5"/>
      <c r="X2490" s="5"/>
      <c r="Y2490" s="5"/>
      <c r="Z2490" s="5"/>
    </row>
    <row r="2491" ht="12.0" customHeight="1">
      <c r="A2491" s="92" t="s">
        <v>636</v>
      </c>
      <c r="B2491" s="5"/>
      <c r="C2491" s="293">
        <f t="shared" ref="C2491:N2491" si="779">C2490</f>
        <v>0.5644</v>
      </c>
      <c r="D2491" s="293">
        <f t="shared" si="779"/>
        <v>0.498</v>
      </c>
      <c r="E2491" s="293">
        <f t="shared" si="779"/>
        <v>0.5976</v>
      </c>
      <c r="F2491" s="293">
        <f t="shared" si="779"/>
        <v>0.5976</v>
      </c>
      <c r="G2491" s="293">
        <f t="shared" si="779"/>
        <v>0.5976</v>
      </c>
      <c r="H2491" s="293">
        <f t="shared" si="779"/>
        <v>0.5312</v>
      </c>
      <c r="I2491" s="293">
        <f t="shared" si="779"/>
        <v>0.5976</v>
      </c>
      <c r="J2491" s="293">
        <f t="shared" si="779"/>
        <v>0.5976</v>
      </c>
      <c r="K2491" s="293">
        <f t="shared" si="779"/>
        <v>0.5644</v>
      </c>
      <c r="L2491" s="293">
        <f t="shared" si="779"/>
        <v>0.498</v>
      </c>
      <c r="M2491" s="293">
        <f t="shared" si="779"/>
        <v>0.4648</v>
      </c>
      <c r="N2491" s="293">
        <f t="shared" si="779"/>
        <v>0.5312</v>
      </c>
      <c r="O2491" s="5"/>
      <c r="P2491" s="5"/>
      <c r="Q2491" s="5"/>
      <c r="R2491" s="5"/>
      <c r="S2491" s="5"/>
      <c r="T2491" s="5"/>
      <c r="U2491" s="5"/>
      <c r="V2491" s="5"/>
      <c r="W2491" s="5"/>
      <c r="X2491" s="5"/>
      <c r="Y2491" s="5"/>
      <c r="Z2491" s="5"/>
    </row>
    <row r="2492" ht="12.0" customHeight="1">
      <c r="A2492" s="92" t="s">
        <v>637</v>
      </c>
      <c r="B2492" s="5"/>
      <c r="C2492" s="293">
        <f>Parametros!$M$118</f>
        <v>38.25</v>
      </c>
      <c r="D2492" s="293">
        <f>Parametros!$M$118</f>
        <v>38.25</v>
      </c>
      <c r="E2492" s="293">
        <f>Parametros!$M$118</f>
        <v>38.25</v>
      </c>
      <c r="F2492" s="293">
        <f>Parametros!$M$118</f>
        <v>38.25</v>
      </c>
      <c r="G2492" s="293">
        <f>Parametros!$M$118</f>
        <v>38.25</v>
      </c>
      <c r="H2492" s="293">
        <f>Parametros!$M$118</f>
        <v>38.25</v>
      </c>
      <c r="I2492" s="293">
        <f>Parametros!$M$118</f>
        <v>38.25</v>
      </c>
      <c r="J2492" s="293">
        <f>Parametros!$M$118</f>
        <v>38.25</v>
      </c>
      <c r="K2492" s="293">
        <f>Parametros!$M$118</f>
        <v>38.25</v>
      </c>
      <c r="L2492" s="293">
        <f>Parametros!$M$118</f>
        <v>38.25</v>
      </c>
      <c r="M2492" s="293">
        <f>Parametros!$M$118</f>
        <v>38.25</v>
      </c>
      <c r="N2492" s="293">
        <f>Parametros!$M$118</f>
        <v>38.25</v>
      </c>
      <c r="O2492" s="5"/>
      <c r="P2492" s="5"/>
      <c r="Q2492" s="5"/>
      <c r="R2492" s="5"/>
      <c r="S2492" s="5"/>
      <c r="T2492" s="5"/>
      <c r="U2492" s="5"/>
      <c r="V2492" s="5"/>
      <c r="W2492" s="5"/>
      <c r="X2492" s="5"/>
      <c r="Y2492" s="5"/>
      <c r="Z2492" s="5"/>
    </row>
    <row r="2493" ht="12.0" customHeight="1">
      <c r="A2493" s="92" t="s">
        <v>640</v>
      </c>
      <c r="B2493" s="5"/>
      <c r="C2493" s="203">
        <f>'Resumen Capacidad'!$F$226</f>
        <v>1</v>
      </c>
      <c r="D2493" s="203">
        <f>'Resumen Capacidad'!$F$226</f>
        <v>1</v>
      </c>
      <c r="E2493" s="203">
        <f>'Resumen Capacidad'!$F$226</f>
        <v>1</v>
      </c>
      <c r="F2493" s="203">
        <f>'Resumen Capacidad'!$F$226</f>
        <v>1</v>
      </c>
      <c r="G2493" s="203">
        <f>'Resumen Capacidad'!$F$226</f>
        <v>1</v>
      </c>
      <c r="H2493" s="203">
        <f>'Resumen Capacidad'!$F$226</f>
        <v>1</v>
      </c>
      <c r="I2493" s="203">
        <f>'Resumen Capacidad'!$F$226</f>
        <v>1</v>
      </c>
      <c r="J2493" s="203">
        <f>'Resumen Capacidad'!$F$226</f>
        <v>1</v>
      </c>
      <c r="K2493" s="203">
        <f>'Resumen Capacidad'!$F$226</f>
        <v>1</v>
      </c>
      <c r="L2493" s="203">
        <f>'Resumen Capacidad'!$F$226</f>
        <v>1</v>
      </c>
      <c r="M2493" s="203">
        <f>'Resumen Capacidad'!$F$226</f>
        <v>1</v>
      </c>
      <c r="N2493" s="203">
        <f>'Resumen Capacidad'!$F$226</f>
        <v>1</v>
      </c>
      <c r="O2493" s="5"/>
      <c r="P2493" s="5"/>
      <c r="Q2493" s="5"/>
      <c r="R2493" s="5"/>
      <c r="S2493" s="5"/>
      <c r="T2493" s="5"/>
      <c r="U2493" s="5"/>
      <c r="V2493" s="5"/>
      <c r="W2493" s="5"/>
      <c r="X2493" s="5"/>
      <c r="Y2493" s="5"/>
      <c r="Z2493" s="5"/>
    </row>
    <row r="2494" ht="12.0" customHeight="1">
      <c r="A2494" s="92" t="s">
        <v>642</v>
      </c>
      <c r="B2494" s="5"/>
      <c r="C2494" s="203">
        <f t="shared" ref="C2494:N2494" si="780">C2492*C2493</f>
        <v>38.25</v>
      </c>
      <c r="D2494" s="203">
        <f t="shared" si="780"/>
        <v>38.25</v>
      </c>
      <c r="E2494" s="203">
        <f t="shared" si="780"/>
        <v>38.25</v>
      </c>
      <c r="F2494" s="203">
        <f t="shared" si="780"/>
        <v>38.25</v>
      </c>
      <c r="G2494" s="203">
        <f t="shared" si="780"/>
        <v>38.25</v>
      </c>
      <c r="H2494" s="203">
        <f t="shared" si="780"/>
        <v>38.25</v>
      </c>
      <c r="I2494" s="203">
        <f t="shared" si="780"/>
        <v>38.25</v>
      </c>
      <c r="J2494" s="203">
        <f t="shared" si="780"/>
        <v>38.25</v>
      </c>
      <c r="K2494" s="203">
        <f t="shared" si="780"/>
        <v>38.25</v>
      </c>
      <c r="L2494" s="203">
        <f t="shared" si="780"/>
        <v>38.25</v>
      </c>
      <c r="M2494" s="203">
        <f t="shared" si="780"/>
        <v>38.25</v>
      </c>
      <c r="N2494" s="203">
        <f t="shared" si="780"/>
        <v>38.25</v>
      </c>
      <c r="O2494" s="5"/>
      <c r="P2494" s="5"/>
      <c r="Q2494" s="5"/>
      <c r="R2494" s="5"/>
      <c r="S2494" s="5"/>
      <c r="T2494" s="5"/>
      <c r="U2494" s="5"/>
      <c r="V2494" s="5"/>
      <c r="W2494" s="5"/>
      <c r="X2494" s="5"/>
      <c r="Y2494" s="5"/>
      <c r="Z2494" s="5"/>
    </row>
    <row r="2495" ht="12.0" customHeight="1">
      <c r="A2495" s="92" t="s">
        <v>643</v>
      </c>
      <c r="B2495" s="5"/>
      <c r="C2495" s="294">
        <f t="shared" ref="C2495:N2495" si="781">IF(C2494=0,0,C2491/C2494)</f>
        <v>0.01475555556</v>
      </c>
      <c r="D2495" s="294">
        <f t="shared" si="781"/>
        <v>0.01301960784</v>
      </c>
      <c r="E2495" s="294">
        <f t="shared" si="781"/>
        <v>0.01562352941</v>
      </c>
      <c r="F2495" s="294">
        <f t="shared" si="781"/>
        <v>0.01562352941</v>
      </c>
      <c r="G2495" s="294">
        <f t="shared" si="781"/>
        <v>0.01562352941</v>
      </c>
      <c r="H2495" s="294">
        <f t="shared" si="781"/>
        <v>0.0138875817</v>
      </c>
      <c r="I2495" s="294">
        <f t="shared" si="781"/>
        <v>0.01562352941</v>
      </c>
      <c r="J2495" s="294">
        <f t="shared" si="781"/>
        <v>0.01562352941</v>
      </c>
      <c r="K2495" s="294">
        <f t="shared" si="781"/>
        <v>0.01475555556</v>
      </c>
      <c r="L2495" s="294">
        <f t="shared" si="781"/>
        <v>0.01301960784</v>
      </c>
      <c r="M2495" s="294">
        <f t="shared" si="781"/>
        <v>0.01215163399</v>
      </c>
      <c r="N2495" s="294">
        <f t="shared" si="781"/>
        <v>0.0138875817</v>
      </c>
      <c r="O2495" s="5"/>
      <c r="P2495" s="5"/>
      <c r="Q2495" s="5"/>
      <c r="R2495" s="5"/>
      <c r="S2495" s="5"/>
      <c r="T2495" s="5"/>
      <c r="U2495" s="5"/>
      <c r="V2495" s="5"/>
      <c r="W2495" s="5"/>
      <c r="X2495" s="5"/>
      <c r="Y2495" s="5"/>
      <c r="Z2495" s="5"/>
    </row>
    <row r="2496" ht="12.0" customHeight="1">
      <c r="A2496" s="10" t="s">
        <v>1650</v>
      </c>
      <c r="B2496" s="5"/>
      <c r="C2496" s="206"/>
      <c r="D2496" s="206"/>
      <c r="E2496" s="206"/>
      <c r="F2496" s="206"/>
      <c r="G2496" s="206"/>
      <c r="H2496" s="206"/>
      <c r="I2496" s="206"/>
      <c r="J2496" s="206"/>
      <c r="K2496" s="206"/>
      <c r="L2496" s="206"/>
      <c r="M2496" s="206"/>
      <c r="N2496" s="206"/>
      <c r="O2496" s="5"/>
      <c r="P2496" s="5"/>
      <c r="Q2496" s="5"/>
      <c r="R2496" s="5"/>
      <c r="S2496" s="5"/>
      <c r="T2496" s="5"/>
      <c r="U2496" s="5"/>
      <c r="V2496" s="5"/>
      <c r="W2496" s="5"/>
      <c r="X2496" s="5"/>
      <c r="Y2496" s="5"/>
      <c r="Z2496" s="5"/>
    </row>
    <row r="2497" ht="12.0" customHeight="1">
      <c r="A2497" s="92" t="s">
        <v>630</v>
      </c>
      <c r="B2497" s="5" t="s">
        <v>631</v>
      </c>
      <c r="C2497" s="206" t="s">
        <v>3</v>
      </c>
      <c r="D2497" s="206" t="s">
        <v>4</v>
      </c>
      <c r="E2497" s="206" t="s">
        <v>507</v>
      </c>
      <c r="F2497" s="206" t="s">
        <v>508</v>
      </c>
      <c r="G2497" s="206" t="s">
        <v>509</v>
      </c>
      <c r="H2497" s="206" t="s">
        <v>510</v>
      </c>
      <c r="I2497" s="206" t="s">
        <v>511</v>
      </c>
      <c r="J2497" s="206" t="s">
        <v>512</v>
      </c>
      <c r="K2497" s="206" t="s">
        <v>513</v>
      </c>
      <c r="L2497" s="206" t="s">
        <v>514</v>
      </c>
      <c r="M2497" s="206" t="s">
        <v>515</v>
      </c>
      <c r="N2497" s="206" t="s">
        <v>516</v>
      </c>
      <c r="O2497" s="5"/>
      <c r="P2497" s="5"/>
      <c r="Q2497" s="5"/>
      <c r="R2497" s="5"/>
      <c r="S2497" s="5"/>
      <c r="T2497" s="5"/>
      <c r="U2497" s="5"/>
      <c r="V2497" s="5"/>
      <c r="W2497" s="5"/>
      <c r="X2497" s="5"/>
      <c r="Y2497" s="5"/>
      <c r="Z2497" s="5"/>
    </row>
    <row r="2498" ht="12.0" customHeight="1">
      <c r="A2498" s="92" t="s">
        <v>1643</v>
      </c>
      <c r="B2498" s="5" t="s">
        <v>633</v>
      </c>
      <c r="C2498" s="203">
        <f t="shared" ref="C2498:N2498" si="782">C2423</f>
        <v>84.66</v>
      </c>
      <c r="D2498" s="203">
        <f t="shared" si="782"/>
        <v>74.7</v>
      </c>
      <c r="E2498" s="203">
        <f t="shared" si="782"/>
        <v>89.64</v>
      </c>
      <c r="F2498" s="203">
        <f t="shared" si="782"/>
        <v>89.64</v>
      </c>
      <c r="G2498" s="203">
        <f t="shared" si="782"/>
        <v>89.64</v>
      </c>
      <c r="H2498" s="203">
        <f t="shared" si="782"/>
        <v>79.68</v>
      </c>
      <c r="I2498" s="203">
        <f t="shared" si="782"/>
        <v>89.64</v>
      </c>
      <c r="J2498" s="203">
        <f t="shared" si="782"/>
        <v>89.64</v>
      </c>
      <c r="K2498" s="203">
        <f t="shared" si="782"/>
        <v>84.66</v>
      </c>
      <c r="L2498" s="203">
        <f t="shared" si="782"/>
        <v>74.7</v>
      </c>
      <c r="M2498" s="203">
        <f t="shared" si="782"/>
        <v>69.72</v>
      </c>
      <c r="N2498" s="203">
        <f t="shared" si="782"/>
        <v>79.68</v>
      </c>
      <c r="O2498" s="5"/>
      <c r="P2498" s="5"/>
      <c r="Q2498" s="5"/>
      <c r="R2498" s="5"/>
      <c r="S2498" s="5"/>
      <c r="T2498" s="5"/>
      <c r="U2498" s="5"/>
      <c r="V2498" s="5"/>
      <c r="W2498" s="5"/>
      <c r="X2498" s="5"/>
      <c r="Y2498" s="5"/>
      <c r="Z2498" s="5"/>
    </row>
    <row r="2499" ht="12.0" customHeight="1">
      <c r="A2499" s="92"/>
      <c r="B2499" s="5" t="s">
        <v>634</v>
      </c>
      <c r="C2499" s="293">
        <f>C2498/Parametros!$B$37</f>
        <v>4.233</v>
      </c>
      <c r="D2499" s="293">
        <f>D2498/Parametros!$B$37</f>
        <v>3.735</v>
      </c>
      <c r="E2499" s="293">
        <f>E2498/Parametros!$B$37</f>
        <v>4.482</v>
      </c>
      <c r="F2499" s="293">
        <f>F2498/Parametros!$B$37</f>
        <v>4.482</v>
      </c>
      <c r="G2499" s="293">
        <f>G2498/Parametros!$B$37</f>
        <v>4.482</v>
      </c>
      <c r="H2499" s="293">
        <f>H2498/Parametros!$B$37</f>
        <v>3.984</v>
      </c>
      <c r="I2499" s="293">
        <f>I2498/Parametros!$B$37</f>
        <v>4.482</v>
      </c>
      <c r="J2499" s="293">
        <f>J2498/Parametros!$B$37</f>
        <v>4.482</v>
      </c>
      <c r="K2499" s="293">
        <f>K2498/Parametros!$B$37</f>
        <v>4.233</v>
      </c>
      <c r="L2499" s="293">
        <f>L2498/Parametros!$B$37</f>
        <v>3.735</v>
      </c>
      <c r="M2499" s="293">
        <f>M2498/Parametros!$B$37</f>
        <v>3.486</v>
      </c>
      <c r="N2499" s="293">
        <f>N2498/Parametros!$B$37</f>
        <v>3.984</v>
      </c>
      <c r="O2499" s="5"/>
      <c r="P2499" s="5"/>
      <c r="Q2499" s="5"/>
      <c r="R2499" s="5"/>
      <c r="S2499" s="5"/>
      <c r="T2499" s="5"/>
      <c r="U2499" s="5"/>
      <c r="V2499" s="5"/>
      <c r="W2499" s="5"/>
      <c r="X2499" s="5"/>
      <c r="Y2499" s="5"/>
      <c r="Z2499" s="5"/>
    </row>
    <row r="2500" ht="12.0" customHeight="1">
      <c r="A2500" s="92"/>
      <c r="B2500" s="5" t="s">
        <v>635</v>
      </c>
      <c r="C2500" s="293">
        <f>C2499/Parametros!$J$37</f>
        <v>0.5644</v>
      </c>
      <c r="D2500" s="293">
        <f>D2499/Parametros!$J$37</f>
        <v>0.498</v>
      </c>
      <c r="E2500" s="293">
        <f>E2499/Parametros!$J$37</f>
        <v>0.5976</v>
      </c>
      <c r="F2500" s="293">
        <f>F2499/Parametros!$J$37</f>
        <v>0.5976</v>
      </c>
      <c r="G2500" s="293">
        <f>G2499/Parametros!$J$37</f>
        <v>0.5976</v>
      </c>
      <c r="H2500" s="293">
        <f>H2499/Parametros!$J$37</f>
        <v>0.5312</v>
      </c>
      <c r="I2500" s="293">
        <f>I2499/Parametros!$J$37</f>
        <v>0.5976</v>
      </c>
      <c r="J2500" s="293">
        <f>J2499/Parametros!$J$37</f>
        <v>0.5976</v>
      </c>
      <c r="K2500" s="293">
        <f>K2499/Parametros!$J$37</f>
        <v>0.5644</v>
      </c>
      <c r="L2500" s="293">
        <f>L2499/Parametros!$J$37</f>
        <v>0.498</v>
      </c>
      <c r="M2500" s="293">
        <f>M2499/Parametros!$J$37</f>
        <v>0.4648</v>
      </c>
      <c r="N2500" s="293">
        <f>N2499/Parametros!$J$37</f>
        <v>0.5312</v>
      </c>
      <c r="O2500" s="5"/>
      <c r="P2500" s="5"/>
      <c r="Q2500" s="5"/>
      <c r="R2500" s="5"/>
      <c r="S2500" s="5"/>
      <c r="T2500" s="5"/>
      <c r="U2500" s="5"/>
      <c r="V2500" s="5"/>
      <c r="W2500" s="5"/>
      <c r="X2500" s="5"/>
      <c r="Y2500" s="5"/>
      <c r="Z2500" s="5"/>
    </row>
    <row r="2501" ht="12.0" customHeight="1">
      <c r="A2501" s="92" t="s">
        <v>636</v>
      </c>
      <c r="B2501" s="5"/>
      <c r="C2501" s="293">
        <f t="shared" ref="C2501:N2501" si="783">C2500</f>
        <v>0.5644</v>
      </c>
      <c r="D2501" s="293">
        <f t="shared" si="783"/>
        <v>0.498</v>
      </c>
      <c r="E2501" s="293">
        <f t="shared" si="783"/>
        <v>0.5976</v>
      </c>
      <c r="F2501" s="293">
        <f t="shared" si="783"/>
        <v>0.5976</v>
      </c>
      <c r="G2501" s="293">
        <f t="shared" si="783"/>
        <v>0.5976</v>
      </c>
      <c r="H2501" s="293">
        <f t="shared" si="783"/>
        <v>0.5312</v>
      </c>
      <c r="I2501" s="293">
        <f t="shared" si="783"/>
        <v>0.5976</v>
      </c>
      <c r="J2501" s="293">
        <f t="shared" si="783"/>
        <v>0.5976</v>
      </c>
      <c r="K2501" s="293">
        <f t="shared" si="783"/>
        <v>0.5644</v>
      </c>
      <c r="L2501" s="293">
        <f t="shared" si="783"/>
        <v>0.498</v>
      </c>
      <c r="M2501" s="293">
        <f t="shared" si="783"/>
        <v>0.4648</v>
      </c>
      <c r="N2501" s="293">
        <f t="shared" si="783"/>
        <v>0.5312</v>
      </c>
      <c r="O2501" s="5"/>
      <c r="P2501" s="5"/>
      <c r="Q2501" s="5"/>
      <c r="R2501" s="5"/>
      <c r="S2501" s="5"/>
      <c r="T2501" s="5"/>
      <c r="U2501" s="5"/>
      <c r="V2501" s="5"/>
      <c r="W2501" s="5"/>
      <c r="X2501" s="5"/>
      <c r="Y2501" s="5"/>
      <c r="Z2501" s="5"/>
    </row>
    <row r="2502" ht="12.0" customHeight="1">
      <c r="A2502" s="92" t="s">
        <v>637</v>
      </c>
      <c r="B2502" s="5"/>
      <c r="C2502" s="293">
        <f>Parametros!$M$119</f>
        <v>5.666666667</v>
      </c>
      <c r="D2502" s="293">
        <f>Parametros!$M$119</f>
        <v>5.666666667</v>
      </c>
      <c r="E2502" s="293">
        <f>Parametros!$M$119</f>
        <v>5.666666667</v>
      </c>
      <c r="F2502" s="293">
        <f>Parametros!$M$119</f>
        <v>5.666666667</v>
      </c>
      <c r="G2502" s="293">
        <f>Parametros!$M$119</f>
        <v>5.666666667</v>
      </c>
      <c r="H2502" s="293">
        <f>Parametros!$M$119</f>
        <v>5.666666667</v>
      </c>
      <c r="I2502" s="293">
        <f>Parametros!$M$119</f>
        <v>5.666666667</v>
      </c>
      <c r="J2502" s="293">
        <f>Parametros!$M$119</f>
        <v>5.666666667</v>
      </c>
      <c r="K2502" s="293">
        <f>Parametros!$M$119</f>
        <v>5.666666667</v>
      </c>
      <c r="L2502" s="293">
        <f>Parametros!$M$119</f>
        <v>5.666666667</v>
      </c>
      <c r="M2502" s="293">
        <f>Parametros!$M$119</f>
        <v>5.666666667</v>
      </c>
      <c r="N2502" s="293">
        <f>Parametros!$M$119</f>
        <v>5.666666667</v>
      </c>
      <c r="O2502" s="5"/>
      <c r="P2502" s="5"/>
      <c r="Q2502" s="5"/>
      <c r="R2502" s="5"/>
      <c r="S2502" s="5"/>
      <c r="T2502" s="5"/>
      <c r="U2502" s="5"/>
      <c r="V2502" s="5"/>
      <c r="W2502" s="5"/>
      <c r="X2502" s="5"/>
      <c r="Y2502" s="5"/>
      <c r="Z2502" s="5"/>
    </row>
    <row r="2503" ht="12.0" customHeight="1">
      <c r="A2503" s="92" t="s">
        <v>640</v>
      </c>
      <c r="B2503" s="5"/>
      <c r="C2503" s="203">
        <f>'Resumen Capacidad'!$F$227</f>
        <v>1</v>
      </c>
      <c r="D2503" s="203">
        <f>'Resumen Capacidad'!$F$227</f>
        <v>1</v>
      </c>
      <c r="E2503" s="203">
        <f>'Resumen Capacidad'!$F$227</f>
        <v>1</v>
      </c>
      <c r="F2503" s="203">
        <f>'Resumen Capacidad'!$F$227</f>
        <v>1</v>
      </c>
      <c r="G2503" s="203">
        <f>'Resumen Capacidad'!$F$227</f>
        <v>1</v>
      </c>
      <c r="H2503" s="203">
        <f>'Resumen Capacidad'!$F$227</f>
        <v>1</v>
      </c>
      <c r="I2503" s="203">
        <f>'Resumen Capacidad'!$F$227</f>
        <v>1</v>
      </c>
      <c r="J2503" s="203">
        <f>'Resumen Capacidad'!$F$227</f>
        <v>1</v>
      </c>
      <c r="K2503" s="203">
        <f>'Resumen Capacidad'!$F$227</f>
        <v>1</v>
      </c>
      <c r="L2503" s="203">
        <f>'Resumen Capacidad'!$F$227</f>
        <v>1</v>
      </c>
      <c r="M2503" s="203">
        <f>'Resumen Capacidad'!$F$227</f>
        <v>1</v>
      </c>
      <c r="N2503" s="203">
        <f>'Resumen Capacidad'!$F$227</f>
        <v>1</v>
      </c>
      <c r="O2503" s="5"/>
      <c r="P2503" s="5"/>
      <c r="Q2503" s="5"/>
      <c r="R2503" s="5"/>
      <c r="S2503" s="5"/>
      <c r="T2503" s="5"/>
      <c r="U2503" s="5"/>
      <c r="V2503" s="5"/>
      <c r="W2503" s="5"/>
      <c r="X2503" s="5"/>
      <c r="Y2503" s="5"/>
      <c r="Z2503" s="5"/>
    </row>
    <row r="2504" ht="12.0" customHeight="1">
      <c r="A2504" s="92" t="s">
        <v>642</v>
      </c>
      <c r="B2504" s="5"/>
      <c r="C2504" s="203">
        <f t="shared" ref="C2504:N2504" si="784">C2502*C2503</f>
        <v>5.666666667</v>
      </c>
      <c r="D2504" s="203">
        <f t="shared" si="784"/>
        <v>5.666666667</v>
      </c>
      <c r="E2504" s="203">
        <f t="shared" si="784"/>
        <v>5.666666667</v>
      </c>
      <c r="F2504" s="203">
        <f t="shared" si="784"/>
        <v>5.666666667</v>
      </c>
      <c r="G2504" s="203">
        <f t="shared" si="784"/>
        <v>5.666666667</v>
      </c>
      <c r="H2504" s="203">
        <f t="shared" si="784"/>
        <v>5.666666667</v>
      </c>
      <c r="I2504" s="203">
        <f t="shared" si="784"/>
        <v>5.666666667</v>
      </c>
      <c r="J2504" s="203">
        <f t="shared" si="784"/>
        <v>5.666666667</v>
      </c>
      <c r="K2504" s="203">
        <f t="shared" si="784"/>
        <v>5.666666667</v>
      </c>
      <c r="L2504" s="203">
        <f t="shared" si="784"/>
        <v>5.666666667</v>
      </c>
      <c r="M2504" s="203">
        <f t="shared" si="784"/>
        <v>5.666666667</v>
      </c>
      <c r="N2504" s="203">
        <f t="shared" si="784"/>
        <v>5.666666667</v>
      </c>
      <c r="O2504" s="5"/>
      <c r="P2504" s="5"/>
      <c r="Q2504" s="5"/>
      <c r="R2504" s="5"/>
      <c r="S2504" s="5"/>
      <c r="T2504" s="5"/>
      <c r="U2504" s="5"/>
      <c r="V2504" s="5"/>
      <c r="W2504" s="5"/>
      <c r="X2504" s="5"/>
      <c r="Y2504" s="5"/>
      <c r="Z2504" s="5"/>
    </row>
    <row r="2505" ht="12.0" customHeight="1">
      <c r="A2505" s="92" t="s">
        <v>643</v>
      </c>
      <c r="B2505" s="5"/>
      <c r="C2505" s="294">
        <f t="shared" ref="C2505:N2505" si="785">IF(C2504=0,0,C2501/C2504)</f>
        <v>0.0996</v>
      </c>
      <c r="D2505" s="294">
        <f t="shared" si="785"/>
        <v>0.08788235294</v>
      </c>
      <c r="E2505" s="294">
        <f t="shared" si="785"/>
        <v>0.1054588235</v>
      </c>
      <c r="F2505" s="294">
        <f t="shared" si="785"/>
        <v>0.1054588235</v>
      </c>
      <c r="G2505" s="294">
        <f t="shared" si="785"/>
        <v>0.1054588235</v>
      </c>
      <c r="H2505" s="294">
        <f t="shared" si="785"/>
        <v>0.09374117647</v>
      </c>
      <c r="I2505" s="294">
        <f t="shared" si="785"/>
        <v>0.1054588235</v>
      </c>
      <c r="J2505" s="294">
        <f t="shared" si="785"/>
        <v>0.1054588235</v>
      </c>
      <c r="K2505" s="294">
        <f t="shared" si="785"/>
        <v>0.0996</v>
      </c>
      <c r="L2505" s="294">
        <f t="shared" si="785"/>
        <v>0.08788235294</v>
      </c>
      <c r="M2505" s="294">
        <f t="shared" si="785"/>
        <v>0.08202352941</v>
      </c>
      <c r="N2505" s="294">
        <f t="shared" si="785"/>
        <v>0.09374117647</v>
      </c>
      <c r="O2505" s="5"/>
      <c r="P2505" s="5"/>
      <c r="Q2505" s="5"/>
      <c r="R2505" s="5"/>
      <c r="S2505" s="5"/>
      <c r="T2505" s="5"/>
      <c r="U2505" s="5"/>
      <c r="V2505" s="5"/>
      <c r="W2505" s="5"/>
      <c r="X2505" s="5"/>
      <c r="Y2505" s="5"/>
      <c r="Z2505" s="5"/>
    </row>
    <row r="2506" ht="12.0" customHeight="1">
      <c r="A2506" s="92"/>
      <c r="B2506" s="5"/>
      <c r="C2506" s="206"/>
      <c r="D2506" s="206"/>
      <c r="E2506" s="206"/>
      <c r="F2506" s="206"/>
      <c r="G2506" s="206"/>
      <c r="H2506" s="206"/>
      <c r="I2506" s="206"/>
      <c r="J2506" s="206"/>
      <c r="K2506" s="206"/>
      <c r="L2506" s="206"/>
      <c r="M2506" s="206"/>
      <c r="N2506" s="206"/>
      <c r="O2506" s="5"/>
      <c r="P2506" s="5"/>
      <c r="Q2506" s="5"/>
      <c r="R2506" s="5"/>
      <c r="S2506" s="5"/>
      <c r="T2506" s="5"/>
      <c r="U2506" s="5"/>
      <c r="V2506" s="5"/>
      <c r="W2506" s="5"/>
      <c r="X2506" s="5"/>
      <c r="Y2506" s="5"/>
      <c r="Z2506" s="5"/>
    </row>
    <row r="2507" ht="12.0" customHeight="1">
      <c r="A2507" s="288" t="s">
        <v>1655</v>
      </c>
      <c r="B2507" s="202"/>
      <c r="C2507" s="289"/>
      <c r="D2507" s="289"/>
      <c r="E2507" s="289"/>
      <c r="F2507" s="289"/>
      <c r="G2507" s="289"/>
      <c r="H2507" s="289"/>
      <c r="I2507" s="289"/>
      <c r="J2507" s="289"/>
      <c r="K2507" s="289"/>
      <c r="L2507" s="289"/>
      <c r="M2507" s="289"/>
      <c r="N2507" s="289"/>
      <c r="O2507" s="202"/>
      <c r="P2507" s="5"/>
      <c r="Q2507" s="5"/>
      <c r="R2507" s="5"/>
      <c r="S2507" s="5"/>
      <c r="T2507" s="5"/>
      <c r="U2507" s="5"/>
      <c r="V2507" s="5"/>
      <c r="W2507" s="5"/>
      <c r="X2507" s="5"/>
      <c r="Y2507" s="5"/>
      <c r="Z2507" s="5"/>
    </row>
    <row r="2508" ht="12.0" customHeight="1">
      <c r="A2508" s="160" t="s">
        <v>188</v>
      </c>
      <c r="B2508" s="160" t="s">
        <v>631</v>
      </c>
      <c r="C2508" s="290" t="s">
        <v>3</v>
      </c>
      <c r="D2508" s="290" t="s">
        <v>4</v>
      </c>
      <c r="E2508" s="290" t="s">
        <v>507</v>
      </c>
      <c r="F2508" s="290" t="s">
        <v>508</v>
      </c>
      <c r="G2508" s="290" t="s">
        <v>509</v>
      </c>
      <c r="H2508" s="290" t="s">
        <v>510</v>
      </c>
      <c r="I2508" s="290" t="s">
        <v>511</v>
      </c>
      <c r="J2508" s="290" t="s">
        <v>512</v>
      </c>
      <c r="K2508" s="290" t="s">
        <v>513</v>
      </c>
      <c r="L2508" s="290" t="s">
        <v>514</v>
      </c>
      <c r="M2508" s="290" t="s">
        <v>515</v>
      </c>
      <c r="N2508" s="290" t="s">
        <v>516</v>
      </c>
      <c r="O2508" s="160" t="s">
        <v>15</v>
      </c>
      <c r="P2508" s="160" t="s">
        <v>1598</v>
      </c>
      <c r="Q2508" s="19" t="s">
        <v>1634</v>
      </c>
      <c r="R2508" s="5"/>
      <c r="S2508" s="5"/>
      <c r="T2508" s="5"/>
      <c r="U2508" s="5"/>
      <c r="V2508" s="5"/>
      <c r="W2508" s="5"/>
      <c r="X2508" s="5"/>
      <c r="Y2508" s="5"/>
      <c r="Z2508" s="5"/>
    </row>
    <row r="2509" ht="12.0" customHeight="1">
      <c r="A2509" s="28" t="s">
        <v>1635</v>
      </c>
      <c r="B2509" s="5" t="s">
        <v>633</v>
      </c>
      <c r="C2509" s="291">
        <f>SUM('2031'!B10:B13)</f>
        <v>71.91</v>
      </c>
      <c r="D2509" s="291">
        <f>SUM('2031'!C10:C13)</f>
        <v>63.45</v>
      </c>
      <c r="E2509" s="291">
        <f>SUM('2031'!D10:D13)</f>
        <v>76.14</v>
      </c>
      <c r="F2509" s="291">
        <f>SUM('2031'!E10:E13)</f>
        <v>76.14</v>
      </c>
      <c r="G2509" s="291">
        <f>SUM('2031'!F10:F13)</f>
        <v>76.14</v>
      </c>
      <c r="H2509" s="291">
        <f>SUM('2031'!G10:G13)</f>
        <v>67.68</v>
      </c>
      <c r="I2509" s="291">
        <f>SUM('2031'!H10:H13)</f>
        <v>76.14</v>
      </c>
      <c r="J2509" s="291">
        <f>SUM('2031'!I10:I13)</f>
        <v>76.14</v>
      </c>
      <c r="K2509" s="291">
        <f>SUM('2031'!J10:J13)</f>
        <v>71.91</v>
      </c>
      <c r="L2509" s="291">
        <f>SUM('2031'!K10:K13)</f>
        <v>63.45</v>
      </c>
      <c r="M2509" s="291">
        <f>SUM('2031'!L10:L13)</f>
        <v>59.22</v>
      </c>
      <c r="N2509" s="291">
        <f>SUM('2031'!M10:M13)</f>
        <v>67.68</v>
      </c>
      <c r="O2509" s="292">
        <f t="shared" ref="O2509:O2514" si="786">SUM(C2509:N2509)</f>
        <v>846</v>
      </c>
      <c r="P2509" s="5"/>
      <c r="Q2509" s="5"/>
      <c r="R2509" s="5"/>
      <c r="S2509" s="5"/>
      <c r="T2509" s="5"/>
      <c r="U2509" s="5"/>
      <c r="V2509" s="5"/>
      <c r="W2509" s="5"/>
      <c r="X2509" s="5"/>
      <c r="Y2509" s="5"/>
      <c r="Z2509" s="5"/>
    </row>
    <row r="2510" ht="12.0" customHeight="1">
      <c r="A2510" s="28" t="s">
        <v>1636</v>
      </c>
      <c r="B2510" s="5" t="s">
        <v>633</v>
      </c>
      <c r="C2510" s="291">
        <f>SUM('2031'!B21:B24)</f>
        <v>45.985</v>
      </c>
      <c r="D2510" s="291">
        <f>SUM('2031'!C21:C24)</f>
        <v>40.575</v>
      </c>
      <c r="E2510" s="291">
        <f>SUM('2031'!D21:D24)</f>
        <v>48.69</v>
      </c>
      <c r="F2510" s="291">
        <f>SUM('2031'!E21:E24)</f>
        <v>48.69</v>
      </c>
      <c r="G2510" s="291">
        <f>SUM('2031'!F21:F24)</f>
        <v>48.69</v>
      </c>
      <c r="H2510" s="291">
        <f>SUM('2031'!G21:G24)</f>
        <v>43.28</v>
      </c>
      <c r="I2510" s="291">
        <f>SUM('2031'!H21:H24)</f>
        <v>48.69</v>
      </c>
      <c r="J2510" s="291">
        <f>SUM('2031'!I21:I24)</f>
        <v>48.69</v>
      </c>
      <c r="K2510" s="291">
        <f>SUM('2031'!J21:J24)</f>
        <v>45.985</v>
      </c>
      <c r="L2510" s="291">
        <f>SUM('2031'!K21:K24)</f>
        <v>40.575</v>
      </c>
      <c r="M2510" s="291">
        <f>SUM('2031'!L21:L24)</f>
        <v>37.87</v>
      </c>
      <c r="N2510" s="291">
        <f>SUM('2031'!M21:M24)</f>
        <v>43.28</v>
      </c>
      <c r="O2510" s="292">
        <f t="shared" si="786"/>
        <v>541</v>
      </c>
      <c r="P2510" s="5"/>
      <c r="Q2510" s="5"/>
      <c r="R2510" s="5"/>
      <c r="S2510" s="5"/>
      <c r="T2510" s="5"/>
      <c r="U2510" s="5"/>
      <c r="V2510" s="5"/>
      <c r="W2510" s="5"/>
      <c r="X2510" s="5"/>
      <c r="Y2510" s="5"/>
      <c r="Z2510" s="5"/>
    </row>
    <row r="2511" ht="12.0" customHeight="1">
      <c r="A2511" s="28" t="s">
        <v>1637</v>
      </c>
      <c r="B2511" s="5" t="s">
        <v>633</v>
      </c>
      <c r="C2511" s="291">
        <f t="shared" ref="C2511:N2511" si="787">C2509+C2510</f>
        <v>117.895</v>
      </c>
      <c r="D2511" s="291">
        <f t="shared" si="787"/>
        <v>104.025</v>
      </c>
      <c r="E2511" s="291">
        <f t="shared" si="787"/>
        <v>124.83</v>
      </c>
      <c r="F2511" s="291">
        <f t="shared" si="787"/>
        <v>124.83</v>
      </c>
      <c r="G2511" s="291">
        <f t="shared" si="787"/>
        <v>124.83</v>
      </c>
      <c r="H2511" s="291">
        <f t="shared" si="787"/>
        <v>110.96</v>
      </c>
      <c r="I2511" s="291">
        <f t="shared" si="787"/>
        <v>124.83</v>
      </c>
      <c r="J2511" s="291">
        <f t="shared" si="787"/>
        <v>124.83</v>
      </c>
      <c r="K2511" s="291">
        <f t="shared" si="787"/>
        <v>117.895</v>
      </c>
      <c r="L2511" s="291">
        <f t="shared" si="787"/>
        <v>104.025</v>
      </c>
      <c r="M2511" s="291">
        <f t="shared" si="787"/>
        <v>97.09</v>
      </c>
      <c r="N2511" s="291">
        <f t="shared" si="787"/>
        <v>110.96</v>
      </c>
      <c r="O2511" s="292">
        <f t="shared" si="786"/>
        <v>1387</v>
      </c>
      <c r="P2511" s="5"/>
      <c r="Q2511" s="5"/>
      <c r="R2511" s="5"/>
      <c r="S2511" s="5"/>
      <c r="T2511" s="5"/>
      <c r="U2511" s="5"/>
      <c r="V2511" s="5"/>
      <c r="W2511" s="5"/>
      <c r="X2511" s="5"/>
      <c r="Y2511" s="5"/>
      <c r="Z2511" s="5"/>
    </row>
    <row r="2512" ht="12.0" customHeight="1">
      <c r="A2512" s="28" t="s">
        <v>1638</v>
      </c>
      <c r="B2512" s="5" t="s">
        <v>633</v>
      </c>
      <c r="C2512" s="291">
        <f>$O2509*Parametros!$B$70</f>
        <v>71.91</v>
      </c>
      <c r="D2512" s="291">
        <f>$O2509*Parametros!$C$70</f>
        <v>63.45</v>
      </c>
      <c r="E2512" s="291">
        <f>$O2509*Parametros!$D$70</f>
        <v>76.14</v>
      </c>
      <c r="F2512" s="291">
        <f>$O2509*Parametros!$E$70</f>
        <v>76.14</v>
      </c>
      <c r="G2512" s="291">
        <f>$O2509*Parametros!$F$70</f>
        <v>76.14</v>
      </c>
      <c r="H2512" s="291">
        <f>$O2509*Parametros!$G$70</f>
        <v>67.68</v>
      </c>
      <c r="I2512" s="291">
        <f>$O2509*Parametros!$H$70</f>
        <v>76.14</v>
      </c>
      <c r="J2512" s="291">
        <f>$O2509*Parametros!$I$70</f>
        <v>76.14</v>
      </c>
      <c r="K2512" s="291">
        <f>$O2509*Parametros!$J$70</f>
        <v>71.91</v>
      </c>
      <c r="L2512" s="291">
        <f>$O2509*Parametros!$K$70</f>
        <v>63.45</v>
      </c>
      <c r="M2512" s="291">
        <f>$O2509*Parametros!$L$70</f>
        <v>59.22</v>
      </c>
      <c r="N2512" s="291">
        <f>$O2509*Parametros!$M$70</f>
        <v>67.68</v>
      </c>
      <c r="O2512" s="292">
        <f t="shared" si="786"/>
        <v>846</v>
      </c>
      <c r="P2512" s="5"/>
      <c r="Q2512" s="5"/>
      <c r="R2512" s="5"/>
      <c r="S2512" s="5"/>
      <c r="T2512" s="5"/>
      <c r="U2512" s="5"/>
      <c r="V2512" s="5"/>
      <c r="W2512" s="5"/>
      <c r="X2512" s="5"/>
      <c r="Y2512" s="5"/>
      <c r="Z2512" s="5"/>
    </row>
    <row r="2513" ht="12.0" customHeight="1">
      <c r="A2513" s="28" t="s">
        <v>1639</v>
      </c>
      <c r="B2513" s="5" t="s">
        <v>633</v>
      </c>
      <c r="C2513" s="291">
        <f>$O2510*Parametros!$B$70</f>
        <v>45.985</v>
      </c>
      <c r="D2513" s="291">
        <f>$O2510*Parametros!$C$70</f>
        <v>40.575</v>
      </c>
      <c r="E2513" s="291">
        <f>$O2510*Parametros!$D$70</f>
        <v>48.69</v>
      </c>
      <c r="F2513" s="291">
        <f>$O2510*Parametros!$E$70</f>
        <v>48.69</v>
      </c>
      <c r="G2513" s="291">
        <f>$O2510*Parametros!$F$70</f>
        <v>48.69</v>
      </c>
      <c r="H2513" s="291">
        <f>$O2510*Parametros!$G$70</f>
        <v>43.28</v>
      </c>
      <c r="I2513" s="291">
        <f>$O2510*Parametros!$H$70</f>
        <v>48.69</v>
      </c>
      <c r="J2513" s="291">
        <f>$O2510*Parametros!$I$70</f>
        <v>48.69</v>
      </c>
      <c r="K2513" s="291">
        <f>$O2510*Parametros!$J$70</f>
        <v>45.985</v>
      </c>
      <c r="L2513" s="291">
        <f>$O2510*Parametros!$K$70</f>
        <v>40.575</v>
      </c>
      <c r="M2513" s="291">
        <f>$O2510*Parametros!$L$70</f>
        <v>37.87</v>
      </c>
      <c r="N2513" s="291">
        <f>$O2510*Parametros!$M$70</f>
        <v>43.28</v>
      </c>
      <c r="O2513" s="292">
        <f t="shared" si="786"/>
        <v>541</v>
      </c>
      <c r="P2513" s="5"/>
      <c r="Q2513" s="5"/>
      <c r="R2513" s="5"/>
      <c r="S2513" s="5"/>
      <c r="T2513" s="5"/>
      <c r="U2513" s="5"/>
      <c r="V2513" s="5"/>
      <c r="W2513" s="5"/>
      <c r="X2513" s="5"/>
      <c r="Y2513" s="5"/>
      <c r="Z2513" s="5"/>
    </row>
    <row r="2514" ht="12.0" customHeight="1">
      <c r="A2514" s="10" t="s">
        <v>1640</v>
      </c>
      <c r="B2514" s="5" t="s">
        <v>633</v>
      </c>
      <c r="C2514" s="292">
        <f t="shared" ref="C2514:N2514" si="788">C2512+C2513</f>
        <v>117.895</v>
      </c>
      <c r="D2514" s="292">
        <f t="shared" si="788"/>
        <v>104.025</v>
      </c>
      <c r="E2514" s="292">
        <f t="shared" si="788"/>
        <v>124.83</v>
      </c>
      <c r="F2514" s="292">
        <f t="shared" si="788"/>
        <v>124.83</v>
      </c>
      <c r="G2514" s="292">
        <f t="shared" si="788"/>
        <v>124.83</v>
      </c>
      <c r="H2514" s="292">
        <f t="shared" si="788"/>
        <v>110.96</v>
      </c>
      <c r="I2514" s="292">
        <f t="shared" si="788"/>
        <v>124.83</v>
      </c>
      <c r="J2514" s="292">
        <f t="shared" si="788"/>
        <v>124.83</v>
      </c>
      <c r="K2514" s="292">
        <f t="shared" si="788"/>
        <v>117.895</v>
      </c>
      <c r="L2514" s="292">
        <f t="shared" si="788"/>
        <v>104.025</v>
      </c>
      <c r="M2514" s="292">
        <f t="shared" si="788"/>
        <v>97.09</v>
      </c>
      <c r="N2514" s="292">
        <f t="shared" si="788"/>
        <v>110.96</v>
      </c>
      <c r="O2514" s="292">
        <f t="shared" si="786"/>
        <v>1387</v>
      </c>
      <c r="P2514" s="5"/>
      <c r="Q2514" s="5"/>
      <c r="R2514" s="5"/>
      <c r="S2514" s="5"/>
      <c r="T2514" s="5"/>
      <c r="U2514" s="5"/>
      <c r="V2514" s="5"/>
      <c r="W2514" s="5"/>
      <c r="X2514" s="5"/>
      <c r="Y2514" s="5"/>
      <c r="Z2514" s="5"/>
    </row>
    <row r="2515" ht="12.0" customHeight="1">
      <c r="A2515" s="28" t="s">
        <v>967</v>
      </c>
      <c r="B2515" s="5" t="s">
        <v>633</v>
      </c>
      <c r="C2515" s="291">
        <f>C2514-C2511</f>
        <v>0</v>
      </c>
      <c r="D2515" s="291">
        <f t="shared" ref="D2515:N2515" si="789">C2515+D2514-D2511</f>
        <v>0</v>
      </c>
      <c r="E2515" s="291">
        <f t="shared" si="789"/>
        <v>0</v>
      </c>
      <c r="F2515" s="291">
        <f t="shared" si="789"/>
        <v>0</v>
      </c>
      <c r="G2515" s="291">
        <f t="shared" si="789"/>
        <v>0</v>
      </c>
      <c r="H2515" s="291">
        <f t="shared" si="789"/>
        <v>0</v>
      </c>
      <c r="I2515" s="291">
        <f t="shared" si="789"/>
        <v>0</v>
      </c>
      <c r="J2515" s="291">
        <f t="shared" si="789"/>
        <v>0</v>
      </c>
      <c r="K2515" s="291">
        <f t="shared" si="789"/>
        <v>0</v>
      </c>
      <c r="L2515" s="291">
        <f t="shared" si="789"/>
        <v>0</v>
      </c>
      <c r="M2515" s="291">
        <f t="shared" si="789"/>
        <v>0</v>
      </c>
      <c r="N2515" s="291">
        <f t="shared" si="789"/>
        <v>0</v>
      </c>
      <c r="O2515" s="292"/>
      <c r="P2515" s="5"/>
      <c r="Q2515" s="5"/>
      <c r="R2515" s="5"/>
      <c r="S2515" s="5"/>
      <c r="T2515" s="5"/>
      <c r="U2515" s="5"/>
      <c r="V2515" s="5"/>
      <c r="W2515" s="5"/>
      <c r="X2515" s="5"/>
      <c r="Y2515" s="5"/>
      <c r="Z2515" s="5"/>
    </row>
    <row r="2516" ht="12.0" customHeight="1">
      <c r="A2516" s="10" t="s">
        <v>1641</v>
      </c>
      <c r="B2516" s="5" t="s">
        <v>633</v>
      </c>
      <c r="C2516" s="292">
        <f t="shared" ref="C2516:N2516" si="790">C2515-MIN(0,MIN($C2515:$N2515))</f>
        <v>0</v>
      </c>
      <c r="D2516" s="292">
        <f t="shared" si="790"/>
        <v>0</v>
      </c>
      <c r="E2516" s="292">
        <f t="shared" si="790"/>
        <v>0</v>
      </c>
      <c r="F2516" s="292">
        <f t="shared" si="790"/>
        <v>0</v>
      </c>
      <c r="G2516" s="292">
        <f t="shared" si="790"/>
        <v>0</v>
      </c>
      <c r="H2516" s="292">
        <f t="shared" si="790"/>
        <v>0</v>
      </c>
      <c r="I2516" s="292">
        <f t="shared" si="790"/>
        <v>0</v>
      </c>
      <c r="J2516" s="292">
        <f t="shared" si="790"/>
        <v>0</v>
      </c>
      <c r="K2516" s="292">
        <f t="shared" si="790"/>
        <v>0</v>
      </c>
      <c r="L2516" s="292">
        <f t="shared" si="790"/>
        <v>0</v>
      </c>
      <c r="M2516" s="292">
        <f t="shared" si="790"/>
        <v>0</v>
      </c>
      <c r="N2516" s="292">
        <f t="shared" si="790"/>
        <v>0</v>
      </c>
      <c r="O2516" s="292">
        <f>MAX(C2516:N2516)</f>
        <v>0</v>
      </c>
      <c r="P2516" s="292">
        <f>AVERAGE(C2516:N2516)</f>
        <v>0</v>
      </c>
      <c r="Q2516" s="5"/>
      <c r="R2516" s="5"/>
      <c r="S2516" s="5"/>
      <c r="T2516" s="5"/>
      <c r="U2516" s="5"/>
      <c r="V2516" s="5"/>
      <c r="W2516" s="5"/>
      <c r="X2516" s="5"/>
      <c r="Y2516" s="5"/>
      <c r="Z2516" s="5"/>
    </row>
    <row r="2517" ht="12.0" customHeight="1">
      <c r="A2517" s="10" t="s">
        <v>1642</v>
      </c>
      <c r="B2517" s="5"/>
      <c r="C2517" s="206"/>
      <c r="D2517" s="206"/>
      <c r="E2517" s="206"/>
      <c r="F2517" s="206"/>
      <c r="G2517" s="206"/>
      <c r="H2517" s="206"/>
      <c r="I2517" s="206"/>
      <c r="J2517" s="206"/>
      <c r="K2517" s="206"/>
      <c r="L2517" s="206"/>
      <c r="M2517" s="206"/>
      <c r="N2517" s="206"/>
      <c r="O2517" s="5"/>
      <c r="P2517" s="5"/>
      <c r="Q2517" s="5"/>
      <c r="R2517" s="5"/>
      <c r="S2517" s="5"/>
      <c r="T2517" s="5"/>
      <c r="U2517" s="5"/>
      <c r="V2517" s="5"/>
      <c r="W2517" s="5"/>
      <c r="X2517" s="5"/>
      <c r="Y2517" s="5"/>
      <c r="Z2517" s="5"/>
    </row>
    <row r="2518" ht="12.0" customHeight="1">
      <c r="A2518" s="92" t="s">
        <v>630</v>
      </c>
      <c r="B2518" s="5" t="s">
        <v>631</v>
      </c>
      <c r="C2518" s="206" t="s">
        <v>3</v>
      </c>
      <c r="D2518" s="206" t="s">
        <v>4</v>
      </c>
      <c r="E2518" s="206" t="s">
        <v>507</v>
      </c>
      <c r="F2518" s="206" t="s">
        <v>508</v>
      </c>
      <c r="G2518" s="206" t="s">
        <v>509</v>
      </c>
      <c r="H2518" s="206" t="s">
        <v>510</v>
      </c>
      <c r="I2518" s="206" t="s">
        <v>511</v>
      </c>
      <c r="J2518" s="206" t="s">
        <v>512</v>
      </c>
      <c r="K2518" s="206" t="s">
        <v>513</v>
      </c>
      <c r="L2518" s="206" t="s">
        <v>514</v>
      </c>
      <c r="M2518" s="206" t="s">
        <v>515</v>
      </c>
      <c r="N2518" s="206" t="s">
        <v>516</v>
      </c>
      <c r="O2518" s="5"/>
      <c r="P2518" s="5"/>
      <c r="Q2518" s="5"/>
      <c r="R2518" s="5"/>
      <c r="S2518" s="5"/>
      <c r="T2518" s="5"/>
      <c r="U2518" s="5"/>
      <c r="V2518" s="5"/>
      <c r="W2518" s="5"/>
      <c r="X2518" s="5"/>
      <c r="Y2518" s="5"/>
      <c r="Z2518" s="5"/>
    </row>
    <row r="2519" ht="12.0" customHeight="1">
      <c r="A2519" s="92" t="s">
        <v>1643</v>
      </c>
      <c r="B2519" s="5" t="s">
        <v>633</v>
      </c>
      <c r="C2519" s="203">
        <f t="shared" ref="C2519:N2519" si="791">C2514</f>
        <v>117.895</v>
      </c>
      <c r="D2519" s="203">
        <f t="shared" si="791"/>
        <v>104.025</v>
      </c>
      <c r="E2519" s="203">
        <f t="shared" si="791"/>
        <v>124.83</v>
      </c>
      <c r="F2519" s="203">
        <f t="shared" si="791"/>
        <v>124.83</v>
      </c>
      <c r="G2519" s="203">
        <f t="shared" si="791"/>
        <v>124.83</v>
      </c>
      <c r="H2519" s="203">
        <f t="shared" si="791"/>
        <v>110.96</v>
      </c>
      <c r="I2519" s="203">
        <f t="shared" si="791"/>
        <v>124.83</v>
      </c>
      <c r="J2519" s="203">
        <f t="shared" si="791"/>
        <v>124.83</v>
      </c>
      <c r="K2519" s="203">
        <f t="shared" si="791"/>
        <v>117.895</v>
      </c>
      <c r="L2519" s="203">
        <f t="shared" si="791"/>
        <v>104.025</v>
      </c>
      <c r="M2519" s="203">
        <f t="shared" si="791"/>
        <v>97.09</v>
      </c>
      <c r="N2519" s="203">
        <f t="shared" si="791"/>
        <v>110.96</v>
      </c>
      <c r="O2519" s="5"/>
      <c r="P2519" s="5"/>
      <c r="Q2519" s="5"/>
      <c r="R2519" s="5"/>
      <c r="S2519" s="5"/>
      <c r="T2519" s="5"/>
      <c r="U2519" s="5"/>
      <c r="V2519" s="5"/>
      <c r="W2519" s="5"/>
      <c r="X2519" s="5"/>
      <c r="Y2519" s="5"/>
      <c r="Z2519" s="5"/>
    </row>
    <row r="2520" ht="12.0" customHeight="1">
      <c r="A2520" s="92"/>
      <c r="B2520" s="5" t="s">
        <v>634</v>
      </c>
      <c r="C2520" s="293">
        <f>C2519/Parametros!$B$37</f>
        <v>5.89475</v>
      </c>
      <c r="D2520" s="293">
        <f>D2519/Parametros!$B$37</f>
        <v>5.20125</v>
      </c>
      <c r="E2520" s="293">
        <f>E2519/Parametros!$B$37</f>
        <v>6.2415</v>
      </c>
      <c r="F2520" s="293">
        <f>F2519/Parametros!$B$37</f>
        <v>6.2415</v>
      </c>
      <c r="G2520" s="293">
        <f>G2519/Parametros!$B$37</f>
        <v>6.2415</v>
      </c>
      <c r="H2520" s="293">
        <f>H2519/Parametros!$B$37</f>
        <v>5.548</v>
      </c>
      <c r="I2520" s="293">
        <f>I2519/Parametros!$B$37</f>
        <v>6.2415</v>
      </c>
      <c r="J2520" s="293">
        <f>J2519/Parametros!$B$37</f>
        <v>6.2415</v>
      </c>
      <c r="K2520" s="293">
        <f>K2519/Parametros!$B$37</f>
        <v>5.89475</v>
      </c>
      <c r="L2520" s="293">
        <f>L2519/Parametros!$B$37</f>
        <v>5.20125</v>
      </c>
      <c r="M2520" s="293">
        <f>M2519/Parametros!$B$37</f>
        <v>4.8545</v>
      </c>
      <c r="N2520" s="293">
        <f>N2519/Parametros!$B$37</f>
        <v>5.548</v>
      </c>
      <c r="O2520" s="5"/>
      <c r="P2520" s="5"/>
      <c r="Q2520" s="5"/>
      <c r="R2520" s="5"/>
      <c r="S2520" s="5"/>
      <c r="T2520" s="5"/>
      <c r="U2520" s="5"/>
      <c r="V2520" s="5"/>
      <c r="W2520" s="5"/>
      <c r="X2520" s="5"/>
      <c r="Y2520" s="5"/>
      <c r="Z2520" s="5"/>
    </row>
    <row r="2521" ht="12.0" customHeight="1">
      <c r="A2521" s="92"/>
      <c r="B2521" s="5" t="s">
        <v>635</v>
      </c>
      <c r="C2521" s="293">
        <f>C2520/Parametros!$J$37</f>
        <v>0.7859666667</v>
      </c>
      <c r="D2521" s="293">
        <f>D2520/Parametros!$J$37</f>
        <v>0.6935</v>
      </c>
      <c r="E2521" s="293">
        <f>E2520/Parametros!$J$37</f>
        <v>0.8322</v>
      </c>
      <c r="F2521" s="293">
        <f>F2520/Parametros!$J$37</f>
        <v>0.8322</v>
      </c>
      <c r="G2521" s="293">
        <f>G2520/Parametros!$J$37</f>
        <v>0.8322</v>
      </c>
      <c r="H2521" s="293">
        <f>H2520/Parametros!$J$37</f>
        <v>0.7397333333</v>
      </c>
      <c r="I2521" s="293">
        <f>I2520/Parametros!$J$37</f>
        <v>0.8322</v>
      </c>
      <c r="J2521" s="293">
        <f>J2520/Parametros!$J$37</f>
        <v>0.8322</v>
      </c>
      <c r="K2521" s="293">
        <f>K2520/Parametros!$J$37</f>
        <v>0.7859666667</v>
      </c>
      <c r="L2521" s="293">
        <f>L2520/Parametros!$J$37</f>
        <v>0.6935</v>
      </c>
      <c r="M2521" s="293">
        <f>M2520/Parametros!$J$37</f>
        <v>0.6472666667</v>
      </c>
      <c r="N2521" s="293">
        <f>N2520/Parametros!$J$37</f>
        <v>0.7397333333</v>
      </c>
      <c r="O2521" s="5"/>
      <c r="P2521" s="5"/>
      <c r="Q2521" s="5"/>
      <c r="R2521" s="5"/>
      <c r="S2521" s="5"/>
      <c r="T2521" s="5"/>
      <c r="U2521" s="5"/>
      <c r="V2521" s="5"/>
      <c r="W2521" s="5"/>
      <c r="X2521" s="5"/>
      <c r="Y2521" s="5"/>
      <c r="Z2521" s="5"/>
    </row>
    <row r="2522" ht="12.0" customHeight="1">
      <c r="A2522" s="92" t="s">
        <v>636</v>
      </c>
      <c r="B2522" s="5"/>
      <c r="C2522" s="293">
        <f t="shared" ref="C2522:N2522" si="792">C2521</f>
        <v>0.7859666667</v>
      </c>
      <c r="D2522" s="293">
        <f t="shared" si="792"/>
        <v>0.6935</v>
      </c>
      <c r="E2522" s="293">
        <f t="shared" si="792"/>
        <v>0.8322</v>
      </c>
      <c r="F2522" s="293">
        <f t="shared" si="792"/>
        <v>0.8322</v>
      </c>
      <c r="G2522" s="293">
        <f t="shared" si="792"/>
        <v>0.8322</v>
      </c>
      <c r="H2522" s="293">
        <f t="shared" si="792"/>
        <v>0.7397333333</v>
      </c>
      <c r="I2522" s="293">
        <f t="shared" si="792"/>
        <v>0.8322</v>
      </c>
      <c r="J2522" s="293">
        <f t="shared" si="792"/>
        <v>0.8322</v>
      </c>
      <c r="K2522" s="293">
        <f t="shared" si="792"/>
        <v>0.7859666667</v>
      </c>
      <c r="L2522" s="293">
        <f t="shared" si="792"/>
        <v>0.6935</v>
      </c>
      <c r="M2522" s="293">
        <f t="shared" si="792"/>
        <v>0.6472666667</v>
      </c>
      <c r="N2522" s="293">
        <f t="shared" si="792"/>
        <v>0.7397333333</v>
      </c>
      <c r="O2522" s="5"/>
      <c r="P2522" s="5"/>
      <c r="Q2522" s="5"/>
      <c r="R2522" s="5"/>
      <c r="S2522" s="5"/>
      <c r="T2522" s="5"/>
      <c r="U2522" s="5"/>
      <c r="V2522" s="5"/>
      <c r="W2522" s="5"/>
      <c r="X2522" s="5"/>
      <c r="Y2522" s="5"/>
      <c r="Z2522" s="5"/>
    </row>
    <row r="2523" ht="12.0" customHeight="1">
      <c r="A2523" s="92" t="s">
        <v>637</v>
      </c>
      <c r="B2523" s="5"/>
      <c r="C2523" s="293">
        <f>Parametros!$M$112</f>
        <v>15.69230769</v>
      </c>
      <c r="D2523" s="293">
        <f>Parametros!$M$112</f>
        <v>15.69230769</v>
      </c>
      <c r="E2523" s="293">
        <f>Parametros!$M$112</f>
        <v>15.69230769</v>
      </c>
      <c r="F2523" s="293">
        <f>Parametros!$M$112</f>
        <v>15.69230769</v>
      </c>
      <c r="G2523" s="293">
        <f>Parametros!$M$112</f>
        <v>15.69230769</v>
      </c>
      <c r="H2523" s="293">
        <f>Parametros!$M$112</f>
        <v>15.69230769</v>
      </c>
      <c r="I2523" s="293">
        <f>Parametros!$M$112</f>
        <v>15.69230769</v>
      </c>
      <c r="J2523" s="293">
        <f>Parametros!$M$112</f>
        <v>15.69230769</v>
      </c>
      <c r="K2523" s="293">
        <f>Parametros!$M$112</f>
        <v>15.69230769</v>
      </c>
      <c r="L2523" s="293">
        <f>Parametros!$M$112</f>
        <v>15.69230769</v>
      </c>
      <c r="M2523" s="293">
        <f>Parametros!$M$112</f>
        <v>15.69230769</v>
      </c>
      <c r="N2523" s="293">
        <f>Parametros!$M$112</f>
        <v>15.69230769</v>
      </c>
      <c r="O2523" s="5"/>
      <c r="P2523" s="5"/>
      <c r="Q2523" s="5"/>
      <c r="R2523" s="5"/>
      <c r="S2523" s="5"/>
      <c r="T2523" s="5"/>
      <c r="U2523" s="5"/>
      <c r="V2523" s="5"/>
      <c r="W2523" s="5"/>
      <c r="X2523" s="5"/>
      <c r="Y2523" s="5"/>
      <c r="Z2523" s="5"/>
    </row>
    <row r="2524" ht="12.0" customHeight="1">
      <c r="A2524" s="92" t="s">
        <v>640</v>
      </c>
      <c r="B2524" s="5"/>
      <c r="C2524" s="203">
        <f>'Resumen Capacidad'!$G$220</f>
        <v>1</v>
      </c>
      <c r="D2524" s="203">
        <f>'Resumen Capacidad'!$G$220</f>
        <v>1</v>
      </c>
      <c r="E2524" s="203">
        <f>'Resumen Capacidad'!$G$220</f>
        <v>1</v>
      </c>
      <c r="F2524" s="203">
        <f>'Resumen Capacidad'!$G$220</f>
        <v>1</v>
      </c>
      <c r="G2524" s="203">
        <f>'Resumen Capacidad'!$G$220</f>
        <v>1</v>
      </c>
      <c r="H2524" s="203">
        <f>'Resumen Capacidad'!$G$220</f>
        <v>1</v>
      </c>
      <c r="I2524" s="203">
        <f>'Resumen Capacidad'!$G$220</f>
        <v>1</v>
      </c>
      <c r="J2524" s="203">
        <f>'Resumen Capacidad'!$G$220</f>
        <v>1</v>
      </c>
      <c r="K2524" s="203">
        <f>'Resumen Capacidad'!$G$220</f>
        <v>1</v>
      </c>
      <c r="L2524" s="203">
        <f>'Resumen Capacidad'!$G$220</f>
        <v>1</v>
      </c>
      <c r="M2524" s="203">
        <f>'Resumen Capacidad'!$G$220</f>
        <v>1</v>
      </c>
      <c r="N2524" s="203">
        <f>'Resumen Capacidad'!$G$220</f>
        <v>1</v>
      </c>
      <c r="O2524" s="5"/>
      <c r="P2524" s="5"/>
      <c r="Q2524" s="5"/>
      <c r="R2524" s="5"/>
      <c r="S2524" s="5"/>
      <c r="T2524" s="5"/>
      <c r="U2524" s="5"/>
      <c r="V2524" s="5"/>
      <c r="W2524" s="5"/>
      <c r="X2524" s="5"/>
      <c r="Y2524" s="5"/>
      <c r="Z2524" s="5"/>
    </row>
    <row r="2525" ht="12.0" customHeight="1">
      <c r="A2525" s="92" t="s">
        <v>642</v>
      </c>
      <c r="B2525" s="5"/>
      <c r="C2525" s="203">
        <f t="shared" ref="C2525:N2525" si="793">C2523*C2524</f>
        <v>15.69230769</v>
      </c>
      <c r="D2525" s="203">
        <f t="shared" si="793"/>
        <v>15.69230769</v>
      </c>
      <c r="E2525" s="203">
        <f t="shared" si="793"/>
        <v>15.69230769</v>
      </c>
      <c r="F2525" s="203">
        <f t="shared" si="793"/>
        <v>15.69230769</v>
      </c>
      <c r="G2525" s="203">
        <f t="shared" si="793"/>
        <v>15.69230769</v>
      </c>
      <c r="H2525" s="203">
        <f t="shared" si="793"/>
        <v>15.69230769</v>
      </c>
      <c r="I2525" s="203">
        <f t="shared" si="793"/>
        <v>15.69230769</v>
      </c>
      <c r="J2525" s="203">
        <f t="shared" si="793"/>
        <v>15.69230769</v>
      </c>
      <c r="K2525" s="203">
        <f t="shared" si="793"/>
        <v>15.69230769</v>
      </c>
      <c r="L2525" s="203">
        <f t="shared" si="793"/>
        <v>15.69230769</v>
      </c>
      <c r="M2525" s="203">
        <f t="shared" si="793"/>
        <v>15.69230769</v>
      </c>
      <c r="N2525" s="203">
        <f t="shared" si="793"/>
        <v>15.69230769</v>
      </c>
      <c r="O2525" s="5"/>
      <c r="P2525" s="5"/>
      <c r="Q2525" s="5"/>
      <c r="R2525" s="5"/>
      <c r="S2525" s="5"/>
      <c r="T2525" s="5"/>
      <c r="U2525" s="5"/>
      <c r="V2525" s="5"/>
      <c r="W2525" s="5"/>
      <c r="X2525" s="5"/>
      <c r="Y2525" s="5"/>
      <c r="Z2525" s="5"/>
    </row>
    <row r="2526" ht="12.0" customHeight="1">
      <c r="A2526" s="92" t="s">
        <v>643</v>
      </c>
      <c r="B2526" s="5"/>
      <c r="C2526" s="294">
        <f t="shared" ref="C2526:N2526" si="794">IF(C2525=0,0,C2522/C2525)</f>
        <v>0.05008611111</v>
      </c>
      <c r="D2526" s="294">
        <f t="shared" si="794"/>
        <v>0.04419362745</v>
      </c>
      <c r="E2526" s="294">
        <f t="shared" si="794"/>
        <v>0.05303235294</v>
      </c>
      <c r="F2526" s="294">
        <f t="shared" si="794"/>
        <v>0.05303235294</v>
      </c>
      <c r="G2526" s="294">
        <f t="shared" si="794"/>
        <v>0.05303235294</v>
      </c>
      <c r="H2526" s="294">
        <f t="shared" si="794"/>
        <v>0.04713986928</v>
      </c>
      <c r="I2526" s="294">
        <f t="shared" si="794"/>
        <v>0.05303235294</v>
      </c>
      <c r="J2526" s="294">
        <f t="shared" si="794"/>
        <v>0.05303235294</v>
      </c>
      <c r="K2526" s="294">
        <f t="shared" si="794"/>
        <v>0.05008611111</v>
      </c>
      <c r="L2526" s="294">
        <f t="shared" si="794"/>
        <v>0.04419362745</v>
      </c>
      <c r="M2526" s="294">
        <f t="shared" si="794"/>
        <v>0.04124738562</v>
      </c>
      <c r="N2526" s="294">
        <f t="shared" si="794"/>
        <v>0.04713986928</v>
      </c>
      <c r="O2526" s="5"/>
      <c r="P2526" s="5"/>
      <c r="Q2526" s="5"/>
      <c r="R2526" s="5"/>
      <c r="S2526" s="5"/>
      <c r="T2526" s="5"/>
      <c r="U2526" s="5"/>
      <c r="V2526" s="5"/>
      <c r="W2526" s="5"/>
      <c r="X2526" s="5"/>
      <c r="Y2526" s="5"/>
      <c r="Z2526" s="5"/>
    </row>
    <row r="2527" ht="12.0" customHeight="1">
      <c r="A2527" s="10" t="s">
        <v>1644</v>
      </c>
      <c r="B2527" s="5"/>
      <c r="C2527" s="206"/>
      <c r="D2527" s="206"/>
      <c r="E2527" s="206"/>
      <c r="F2527" s="206"/>
      <c r="G2527" s="206"/>
      <c r="H2527" s="206"/>
      <c r="I2527" s="206"/>
      <c r="J2527" s="206"/>
      <c r="K2527" s="206"/>
      <c r="L2527" s="206"/>
      <c r="M2527" s="206"/>
      <c r="N2527" s="206"/>
      <c r="O2527" s="5"/>
      <c r="P2527" s="5"/>
      <c r="Q2527" s="5"/>
      <c r="R2527" s="5"/>
      <c r="S2527" s="5"/>
      <c r="T2527" s="5"/>
      <c r="U2527" s="5"/>
      <c r="V2527" s="5"/>
      <c r="W2527" s="5"/>
      <c r="X2527" s="5"/>
      <c r="Y2527" s="5"/>
      <c r="Z2527" s="5"/>
    </row>
    <row r="2528" ht="12.0" customHeight="1">
      <c r="A2528" s="92" t="s">
        <v>630</v>
      </c>
      <c r="B2528" s="5" t="s">
        <v>631</v>
      </c>
      <c r="C2528" s="206" t="s">
        <v>3</v>
      </c>
      <c r="D2528" s="206" t="s">
        <v>4</v>
      </c>
      <c r="E2528" s="206" t="s">
        <v>507</v>
      </c>
      <c r="F2528" s="206" t="s">
        <v>508</v>
      </c>
      <c r="G2528" s="206" t="s">
        <v>509</v>
      </c>
      <c r="H2528" s="206" t="s">
        <v>510</v>
      </c>
      <c r="I2528" s="206" t="s">
        <v>511</v>
      </c>
      <c r="J2528" s="206" t="s">
        <v>512</v>
      </c>
      <c r="K2528" s="206" t="s">
        <v>513</v>
      </c>
      <c r="L2528" s="206" t="s">
        <v>514</v>
      </c>
      <c r="M2528" s="206" t="s">
        <v>515</v>
      </c>
      <c r="N2528" s="206" t="s">
        <v>516</v>
      </c>
      <c r="O2528" s="5"/>
      <c r="P2528" s="5"/>
      <c r="Q2528" s="5"/>
      <c r="R2528" s="5"/>
      <c r="S2528" s="5"/>
      <c r="T2528" s="5"/>
      <c r="U2528" s="5"/>
      <c r="V2528" s="5"/>
      <c r="W2528" s="5"/>
      <c r="X2528" s="5"/>
      <c r="Y2528" s="5"/>
      <c r="Z2528" s="5"/>
    </row>
    <row r="2529" ht="12.0" customHeight="1">
      <c r="A2529" s="92" t="s">
        <v>1643</v>
      </c>
      <c r="B2529" s="5" t="s">
        <v>633</v>
      </c>
      <c r="C2529" s="203">
        <f t="shared" ref="C2529:N2529" si="795">C2514</f>
        <v>117.895</v>
      </c>
      <c r="D2529" s="203">
        <f t="shared" si="795"/>
        <v>104.025</v>
      </c>
      <c r="E2529" s="203">
        <f t="shared" si="795"/>
        <v>124.83</v>
      </c>
      <c r="F2529" s="203">
        <f t="shared" si="795"/>
        <v>124.83</v>
      </c>
      <c r="G2529" s="203">
        <f t="shared" si="795"/>
        <v>124.83</v>
      </c>
      <c r="H2529" s="203">
        <f t="shared" si="795"/>
        <v>110.96</v>
      </c>
      <c r="I2529" s="203">
        <f t="shared" si="795"/>
        <v>124.83</v>
      </c>
      <c r="J2529" s="203">
        <f t="shared" si="795"/>
        <v>124.83</v>
      </c>
      <c r="K2529" s="203">
        <f t="shared" si="795"/>
        <v>117.895</v>
      </c>
      <c r="L2529" s="203">
        <f t="shared" si="795"/>
        <v>104.025</v>
      </c>
      <c r="M2529" s="203">
        <f t="shared" si="795"/>
        <v>97.09</v>
      </c>
      <c r="N2529" s="203">
        <f t="shared" si="795"/>
        <v>110.96</v>
      </c>
      <c r="O2529" s="5"/>
      <c r="P2529" s="5"/>
      <c r="Q2529" s="5"/>
      <c r="R2529" s="5"/>
      <c r="S2529" s="5"/>
      <c r="T2529" s="5"/>
      <c r="U2529" s="5"/>
      <c r="V2529" s="5"/>
      <c r="W2529" s="5"/>
      <c r="X2529" s="5"/>
      <c r="Y2529" s="5"/>
      <c r="Z2529" s="5"/>
    </row>
    <row r="2530" ht="12.0" customHeight="1">
      <c r="A2530" s="92"/>
      <c r="B2530" s="5" t="s">
        <v>634</v>
      </c>
      <c r="C2530" s="293">
        <f>C2529/Parametros!$B$37</f>
        <v>5.89475</v>
      </c>
      <c r="D2530" s="293">
        <f>D2529/Parametros!$B$37</f>
        <v>5.20125</v>
      </c>
      <c r="E2530" s="293">
        <f>E2529/Parametros!$B$37</f>
        <v>6.2415</v>
      </c>
      <c r="F2530" s="293">
        <f>F2529/Parametros!$B$37</f>
        <v>6.2415</v>
      </c>
      <c r="G2530" s="293">
        <f>G2529/Parametros!$B$37</f>
        <v>6.2415</v>
      </c>
      <c r="H2530" s="293">
        <f>H2529/Parametros!$B$37</f>
        <v>5.548</v>
      </c>
      <c r="I2530" s="293">
        <f>I2529/Parametros!$B$37</f>
        <v>6.2415</v>
      </c>
      <c r="J2530" s="293">
        <f>J2529/Parametros!$B$37</f>
        <v>6.2415</v>
      </c>
      <c r="K2530" s="293">
        <f>K2529/Parametros!$B$37</f>
        <v>5.89475</v>
      </c>
      <c r="L2530" s="293">
        <f>L2529/Parametros!$B$37</f>
        <v>5.20125</v>
      </c>
      <c r="M2530" s="293">
        <f>M2529/Parametros!$B$37</f>
        <v>4.8545</v>
      </c>
      <c r="N2530" s="293">
        <f>N2529/Parametros!$B$37</f>
        <v>5.548</v>
      </c>
      <c r="O2530" s="5"/>
      <c r="P2530" s="5"/>
      <c r="Q2530" s="5"/>
      <c r="R2530" s="5"/>
      <c r="S2530" s="5"/>
      <c r="T2530" s="5"/>
      <c r="U2530" s="5"/>
      <c r="V2530" s="5"/>
      <c r="W2530" s="5"/>
      <c r="X2530" s="5"/>
      <c r="Y2530" s="5"/>
      <c r="Z2530" s="5"/>
    </row>
    <row r="2531" ht="12.0" customHeight="1">
      <c r="A2531" s="92"/>
      <c r="B2531" s="5" t="s">
        <v>635</v>
      </c>
      <c r="C2531" s="293">
        <f>C2530/Parametros!$J$37</f>
        <v>0.7859666667</v>
      </c>
      <c r="D2531" s="293">
        <f>D2530/Parametros!$J$37</f>
        <v>0.6935</v>
      </c>
      <c r="E2531" s="293">
        <f>E2530/Parametros!$J$37</f>
        <v>0.8322</v>
      </c>
      <c r="F2531" s="293">
        <f>F2530/Parametros!$J$37</f>
        <v>0.8322</v>
      </c>
      <c r="G2531" s="293">
        <f>G2530/Parametros!$J$37</f>
        <v>0.8322</v>
      </c>
      <c r="H2531" s="293">
        <f>H2530/Parametros!$J$37</f>
        <v>0.7397333333</v>
      </c>
      <c r="I2531" s="293">
        <f>I2530/Parametros!$J$37</f>
        <v>0.8322</v>
      </c>
      <c r="J2531" s="293">
        <f>J2530/Parametros!$J$37</f>
        <v>0.8322</v>
      </c>
      <c r="K2531" s="293">
        <f>K2530/Parametros!$J$37</f>
        <v>0.7859666667</v>
      </c>
      <c r="L2531" s="293">
        <f>L2530/Parametros!$J$37</f>
        <v>0.6935</v>
      </c>
      <c r="M2531" s="293">
        <f>M2530/Parametros!$J$37</f>
        <v>0.6472666667</v>
      </c>
      <c r="N2531" s="293">
        <f>N2530/Parametros!$J$37</f>
        <v>0.7397333333</v>
      </c>
      <c r="O2531" s="5"/>
      <c r="P2531" s="5"/>
      <c r="Q2531" s="5"/>
      <c r="R2531" s="5"/>
      <c r="S2531" s="5"/>
      <c r="T2531" s="5"/>
      <c r="U2531" s="5"/>
      <c r="V2531" s="5"/>
      <c r="W2531" s="5"/>
      <c r="X2531" s="5"/>
      <c r="Y2531" s="5"/>
      <c r="Z2531" s="5"/>
    </row>
    <row r="2532" ht="12.0" customHeight="1">
      <c r="A2532" s="92" t="s">
        <v>636</v>
      </c>
      <c r="B2532" s="5"/>
      <c r="C2532" s="293">
        <f t="shared" ref="C2532:N2532" si="796">C2531</f>
        <v>0.7859666667</v>
      </c>
      <c r="D2532" s="293">
        <f t="shared" si="796"/>
        <v>0.6935</v>
      </c>
      <c r="E2532" s="293">
        <f t="shared" si="796"/>
        <v>0.8322</v>
      </c>
      <c r="F2532" s="293">
        <f t="shared" si="796"/>
        <v>0.8322</v>
      </c>
      <c r="G2532" s="293">
        <f t="shared" si="796"/>
        <v>0.8322</v>
      </c>
      <c r="H2532" s="293">
        <f t="shared" si="796"/>
        <v>0.7397333333</v>
      </c>
      <c r="I2532" s="293">
        <f t="shared" si="796"/>
        <v>0.8322</v>
      </c>
      <c r="J2532" s="293">
        <f t="shared" si="796"/>
        <v>0.8322</v>
      </c>
      <c r="K2532" s="293">
        <f t="shared" si="796"/>
        <v>0.7859666667</v>
      </c>
      <c r="L2532" s="293">
        <f t="shared" si="796"/>
        <v>0.6935</v>
      </c>
      <c r="M2532" s="293">
        <f t="shared" si="796"/>
        <v>0.6472666667</v>
      </c>
      <c r="N2532" s="293">
        <f t="shared" si="796"/>
        <v>0.7397333333</v>
      </c>
      <c r="O2532" s="5"/>
      <c r="P2532" s="5"/>
      <c r="Q2532" s="5"/>
      <c r="R2532" s="5"/>
      <c r="S2532" s="5"/>
      <c r="T2532" s="5"/>
      <c r="U2532" s="5"/>
      <c r="V2532" s="5"/>
      <c r="W2532" s="5"/>
      <c r="X2532" s="5"/>
      <c r="Y2532" s="5"/>
      <c r="Z2532" s="5"/>
    </row>
    <row r="2533" ht="12.0" customHeight="1">
      <c r="A2533" s="92" t="s">
        <v>637</v>
      </c>
      <c r="B2533" s="5"/>
      <c r="C2533" s="293">
        <f>Parametros!$M$113</f>
        <v>1.882352941</v>
      </c>
      <c r="D2533" s="293">
        <f>Parametros!$M$113</f>
        <v>1.882352941</v>
      </c>
      <c r="E2533" s="293">
        <f>Parametros!$M$113</f>
        <v>1.882352941</v>
      </c>
      <c r="F2533" s="293">
        <f>Parametros!$M$113</f>
        <v>1.882352941</v>
      </c>
      <c r="G2533" s="293">
        <f>Parametros!$M$113</f>
        <v>1.882352941</v>
      </c>
      <c r="H2533" s="293">
        <f>Parametros!$M$113</f>
        <v>1.882352941</v>
      </c>
      <c r="I2533" s="293">
        <f>Parametros!$M$113</f>
        <v>1.882352941</v>
      </c>
      <c r="J2533" s="293">
        <f>Parametros!$M$113</f>
        <v>1.882352941</v>
      </c>
      <c r="K2533" s="293">
        <f>Parametros!$M$113</f>
        <v>1.882352941</v>
      </c>
      <c r="L2533" s="293">
        <f>Parametros!$M$113</f>
        <v>1.882352941</v>
      </c>
      <c r="M2533" s="293">
        <f>Parametros!$M$113</f>
        <v>1.882352941</v>
      </c>
      <c r="N2533" s="293">
        <f>Parametros!$M$113</f>
        <v>1.882352941</v>
      </c>
      <c r="O2533" s="5"/>
      <c r="P2533" s="5"/>
      <c r="Q2533" s="5"/>
      <c r="R2533" s="5"/>
      <c r="S2533" s="5"/>
      <c r="T2533" s="5"/>
      <c r="U2533" s="5"/>
      <c r="V2533" s="5"/>
      <c r="W2533" s="5"/>
      <c r="X2533" s="5"/>
      <c r="Y2533" s="5"/>
      <c r="Z2533" s="5"/>
    </row>
    <row r="2534" ht="12.0" customHeight="1">
      <c r="A2534" s="92" t="s">
        <v>640</v>
      </c>
      <c r="B2534" s="5"/>
      <c r="C2534" s="203">
        <f>'Resumen Capacidad'!$G$221</f>
        <v>1</v>
      </c>
      <c r="D2534" s="203">
        <f>'Resumen Capacidad'!$G$221</f>
        <v>1</v>
      </c>
      <c r="E2534" s="203">
        <f>'Resumen Capacidad'!$G$221</f>
        <v>1</v>
      </c>
      <c r="F2534" s="203">
        <f>'Resumen Capacidad'!$G$221</f>
        <v>1</v>
      </c>
      <c r="G2534" s="203">
        <f>'Resumen Capacidad'!$G$221</f>
        <v>1</v>
      </c>
      <c r="H2534" s="203">
        <f>'Resumen Capacidad'!$G$221</f>
        <v>1</v>
      </c>
      <c r="I2534" s="203">
        <f>'Resumen Capacidad'!$G$221</f>
        <v>1</v>
      </c>
      <c r="J2534" s="203">
        <f>'Resumen Capacidad'!$G$221</f>
        <v>1</v>
      </c>
      <c r="K2534" s="203">
        <f>'Resumen Capacidad'!$G$221</f>
        <v>1</v>
      </c>
      <c r="L2534" s="203">
        <f>'Resumen Capacidad'!$G$221</f>
        <v>1</v>
      </c>
      <c r="M2534" s="203">
        <f>'Resumen Capacidad'!$G$221</f>
        <v>1</v>
      </c>
      <c r="N2534" s="203">
        <f>'Resumen Capacidad'!$G$221</f>
        <v>1</v>
      </c>
      <c r="O2534" s="5"/>
      <c r="P2534" s="5"/>
      <c r="Q2534" s="5"/>
      <c r="R2534" s="5"/>
      <c r="S2534" s="5"/>
      <c r="T2534" s="5"/>
      <c r="U2534" s="5"/>
      <c r="V2534" s="5"/>
      <c r="W2534" s="5"/>
      <c r="X2534" s="5"/>
      <c r="Y2534" s="5"/>
      <c r="Z2534" s="5"/>
    </row>
    <row r="2535" ht="12.0" customHeight="1">
      <c r="A2535" s="92" t="s">
        <v>642</v>
      </c>
      <c r="B2535" s="5"/>
      <c r="C2535" s="203">
        <f t="shared" ref="C2535:N2535" si="797">C2533*C2534</f>
        <v>1.882352941</v>
      </c>
      <c r="D2535" s="203">
        <f t="shared" si="797"/>
        <v>1.882352941</v>
      </c>
      <c r="E2535" s="203">
        <f t="shared" si="797"/>
        <v>1.882352941</v>
      </c>
      <c r="F2535" s="203">
        <f t="shared" si="797"/>
        <v>1.882352941</v>
      </c>
      <c r="G2535" s="203">
        <f t="shared" si="797"/>
        <v>1.882352941</v>
      </c>
      <c r="H2535" s="203">
        <f t="shared" si="797"/>
        <v>1.882352941</v>
      </c>
      <c r="I2535" s="203">
        <f t="shared" si="797"/>
        <v>1.882352941</v>
      </c>
      <c r="J2535" s="203">
        <f t="shared" si="797"/>
        <v>1.882352941</v>
      </c>
      <c r="K2535" s="203">
        <f t="shared" si="797"/>
        <v>1.882352941</v>
      </c>
      <c r="L2535" s="203">
        <f t="shared" si="797"/>
        <v>1.882352941</v>
      </c>
      <c r="M2535" s="203">
        <f t="shared" si="797"/>
        <v>1.882352941</v>
      </c>
      <c r="N2535" s="203">
        <f t="shared" si="797"/>
        <v>1.882352941</v>
      </c>
      <c r="O2535" s="5"/>
      <c r="P2535" s="5"/>
      <c r="Q2535" s="5"/>
      <c r="R2535" s="5"/>
      <c r="S2535" s="5"/>
      <c r="T2535" s="5"/>
      <c r="U2535" s="5"/>
      <c r="V2535" s="5"/>
      <c r="W2535" s="5"/>
      <c r="X2535" s="5"/>
      <c r="Y2535" s="5"/>
      <c r="Z2535" s="5"/>
    </row>
    <row r="2536" ht="12.0" customHeight="1">
      <c r="A2536" s="92" t="s">
        <v>643</v>
      </c>
      <c r="B2536" s="5"/>
      <c r="C2536" s="294">
        <f t="shared" ref="C2536:N2536" si="798">IF(C2535=0,0,C2532/C2535)</f>
        <v>0.4175447917</v>
      </c>
      <c r="D2536" s="294">
        <f t="shared" si="798"/>
        <v>0.368421875</v>
      </c>
      <c r="E2536" s="294">
        <f t="shared" si="798"/>
        <v>0.44210625</v>
      </c>
      <c r="F2536" s="294">
        <f t="shared" si="798"/>
        <v>0.44210625</v>
      </c>
      <c r="G2536" s="294">
        <f t="shared" si="798"/>
        <v>0.44210625</v>
      </c>
      <c r="H2536" s="294">
        <f t="shared" si="798"/>
        <v>0.3929833333</v>
      </c>
      <c r="I2536" s="294">
        <f t="shared" si="798"/>
        <v>0.44210625</v>
      </c>
      <c r="J2536" s="294">
        <f t="shared" si="798"/>
        <v>0.44210625</v>
      </c>
      <c r="K2536" s="294">
        <f t="shared" si="798"/>
        <v>0.4175447917</v>
      </c>
      <c r="L2536" s="294">
        <f t="shared" si="798"/>
        <v>0.368421875</v>
      </c>
      <c r="M2536" s="294">
        <f t="shared" si="798"/>
        <v>0.3438604167</v>
      </c>
      <c r="N2536" s="294">
        <f t="shared" si="798"/>
        <v>0.3929833333</v>
      </c>
      <c r="O2536" s="5"/>
      <c r="P2536" s="5"/>
      <c r="Q2536" s="5"/>
      <c r="R2536" s="5"/>
      <c r="S2536" s="5"/>
      <c r="T2536" s="5"/>
      <c r="U2536" s="5"/>
      <c r="V2536" s="5"/>
      <c r="W2536" s="5"/>
      <c r="X2536" s="5"/>
      <c r="Y2536" s="5"/>
      <c r="Z2536" s="5"/>
    </row>
    <row r="2537" ht="12.0" customHeight="1">
      <c r="A2537" s="10" t="s">
        <v>1645</v>
      </c>
      <c r="B2537" s="5"/>
      <c r="C2537" s="206"/>
      <c r="D2537" s="206"/>
      <c r="E2537" s="206"/>
      <c r="F2537" s="206"/>
      <c r="G2537" s="206"/>
      <c r="H2537" s="206"/>
      <c r="I2537" s="206"/>
      <c r="J2537" s="206"/>
      <c r="K2537" s="206"/>
      <c r="L2537" s="206"/>
      <c r="M2537" s="206"/>
      <c r="N2537" s="206"/>
      <c r="O2537" s="5"/>
      <c r="P2537" s="5"/>
      <c r="Q2537" s="5"/>
      <c r="R2537" s="5"/>
      <c r="S2537" s="5"/>
      <c r="T2537" s="5"/>
      <c r="U2537" s="5"/>
      <c r="V2537" s="5"/>
      <c r="W2537" s="5"/>
      <c r="X2537" s="5"/>
      <c r="Y2537" s="5"/>
      <c r="Z2537" s="5"/>
    </row>
    <row r="2538" ht="12.0" customHeight="1">
      <c r="A2538" s="92" t="s">
        <v>630</v>
      </c>
      <c r="B2538" s="5" t="s">
        <v>631</v>
      </c>
      <c r="C2538" s="206" t="s">
        <v>3</v>
      </c>
      <c r="D2538" s="206" t="s">
        <v>4</v>
      </c>
      <c r="E2538" s="206" t="s">
        <v>507</v>
      </c>
      <c r="F2538" s="206" t="s">
        <v>508</v>
      </c>
      <c r="G2538" s="206" t="s">
        <v>509</v>
      </c>
      <c r="H2538" s="206" t="s">
        <v>510</v>
      </c>
      <c r="I2538" s="206" t="s">
        <v>511</v>
      </c>
      <c r="J2538" s="206" t="s">
        <v>512</v>
      </c>
      <c r="K2538" s="206" t="s">
        <v>513</v>
      </c>
      <c r="L2538" s="206" t="s">
        <v>514</v>
      </c>
      <c r="M2538" s="206" t="s">
        <v>515</v>
      </c>
      <c r="N2538" s="206" t="s">
        <v>516</v>
      </c>
      <c r="O2538" s="5"/>
      <c r="P2538" s="5"/>
      <c r="Q2538" s="5"/>
      <c r="R2538" s="5"/>
      <c r="S2538" s="5"/>
      <c r="T2538" s="5"/>
      <c r="U2538" s="5"/>
      <c r="V2538" s="5"/>
      <c r="W2538" s="5"/>
      <c r="X2538" s="5"/>
      <c r="Y2538" s="5"/>
      <c r="Z2538" s="5"/>
    </row>
    <row r="2539" ht="12.0" customHeight="1">
      <c r="A2539" s="92" t="s">
        <v>1643</v>
      </c>
      <c r="B2539" s="5" t="s">
        <v>633</v>
      </c>
      <c r="C2539" s="203">
        <f t="shared" ref="C2539:N2539" si="799">C2514</f>
        <v>117.895</v>
      </c>
      <c r="D2539" s="203">
        <f t="shared" si="799"/>
        <v>104.025</v>
      </c>
      <c r="E2539" s="203">
        <f t="shared" si="799"/>
        <v>124.83</v>
      </c>
      <c r="F2539" s="203">
        <f t="shared" si="799"/>
        <v>124.83</v>
      </c>
      <c r="G2539" s="203">
        <f t="shared" si="799"/>
        <v>124.83</v>
      </c>
      <c r="H2539" s="203">
        <f t="shared" si="799"/>
        <v>110.96</v>
      </c>
      <c r="I2539" s="203">
        <f t="shared" si="799"/>
        <v>124.83</v>
      </c>
      <c r="J2539" s="203">
        <f t="shared" si="799"/>
        <v>124.83</v>
      </c>
      <c r="K2539" s="203">
        <f t="shared" si="799"/>
        <v>117.895</v>
      </c>
      <c r="L2539" s="203">
        <f t="shared" si="799"/>
        <v>104.025</v>
      </c>
      <c r="M2539" s="203">
        <f t="shared" si="799"/>
        <v>97.09</v>
      </c>
      <c r="N2539" s="203">
        <f t="shared" si="799"/>
        <v>110.96</v>
      </c>
      <c r="O2539" s="5"/>
      <c r="P2539" s="5"/>
      <c r="Q2539" s="5"/>
      <c r="R2539" s="5"/>
      <c r="S2539" s="5"/>
      <c r="T2539" s="5"/>
      <c r="U2539" s="5"/>
      <c r="V2539" s="5"/>
      <c r="W2539" s="5"/>
      <c r="X2539" s="5"/>
      <c r="Y2539" s="5"/>
      <c r="Z2539" s="5"/>
    </row>
    <row r="2540" ht="12.0" customHeight="1">
      <c r="A2540" s="92"/>
      <c r="B2540" s="5" t="s">
        <v>634</v>
      </c>
      <c r="C2540" s="293">
        <f>C2539/Parametros!$B$37</f>
        <v>5.89475</v>
      </c>
      <c r="D2540" s="293">
        <f>D2539/Parametros!$B$37</f>
        <v>5.20125</v>
      </c>
      <c r="E2540" s="293">
        <f>E2539/Parametros!$B$37</f>
        <v>6.2415</v>
      </c>
      <c r="F2540" s="293">
        <f>F2539/Parametros!$B$37</f>
        <v>6.2415</v>
      </c>
      <c r="G2540" s="293">
        <f>G2539/Parametros!$B$37</f>
        <v>6.2415</v>
      </c>
      <c r="H2540" s="293">
        <f>H2539/Parametros!$B$37</f>
        <v>5.548</v>
      </c>
      <c r="I2540" s="293">
        <f>I2539/Parametros!$B$37</f>
        <v>6.2415</v>
      </c>
      <c r="J2540" s="293">
        <f>J2539/Parametros!$B$37</f>
        <v>6.2415</v>
      </c>
      <c r="K2540" s="293">
        <f>K2539/Parametros!$B$37</f>
        <v>5.89475</v>
      </c>
      <c r="L2540" s="293">
        <f>L2539/Parametros!$B$37</f>
        <v>5.20125</v>
      </c>
      <c r="M2540" s="293">
        <f>M2539/Parametros!$B$37</f>
        <v>4.8545</v>
      </c>
      <c r="N2540" s="293">
        <f>N2539/Parametros!$B$37</f>
        <v>5.548</v>
      </c>
      <c r="O2540" s="5"/>
      <c r="P2540" s="5"/>
      <c r="Q2540" s="5"/>
      <c r="R2540" s="5"/>
      <c r="S2540" s="5"/>
      <c r="T2540" s="5"/>
      <c r="U2540" s="5"/>
      <c r="V2540" s="5"/>
      <c r="W2540" s="5"/>
      <c r="X2540" s="5"/>
      <c r="Y2540" s="5"/>
      <c r="Z2540" s="5"/>
    </row>
    <row r="2541" ht="12.0" customHeight="1">
      <c r="A2541" s="92"/>
      <c r="B2541" s="5" t="s">
        <v>635</v>
      </c>
      <c r="C2541" s="293">
        <f>C2540/Parametros!$J$37</f>
        <v>0.7859666667</v>
      </c>
      <c r="D2541" s="293">
        <f>D2540/Parametros!$J$37</f>
        <v>0.6935</v>
      </c>
      <c r="E2541" s="293">
        <f>E2540/Parametros!$J$37</f>
        <v>0.8322</v>
      </c>
      <c r="F2541" s="293">
        <f>F2540/Parametros!$J$37</f>
        <v>0.8322</v>
      </c>
      <c r="G2541" s="293">
        <f>G2540/Parametros!$J$37</f>
        <v>0.8322</v>
      </c>
      <c r="H2541" s="293">
        <f>H2540/Parametros!$J$37</f>
        <v>0.7397333333</v>
      </c>
      <c r="I2541" s="293">
        <f>I2540/Parametros!$J$37</f>
        <v>0.8322</v>
      </c>
      <c r="J2541" s="293">
        <f>J2540/Parametros!$J$37</f>
        <v>0.8322</v>
      </c>
      <c r="K2541" s="293">
        <f>K2540/Parametros!$J$37</f>
        <v>0.7859666667</v>
      </c>
      <c r="L2541" s="293">
        <f>L2540/Parametros!$J$37</f>
        <v>0.6935</v>
      </c>
      <c r="M2541" s="293">
        <f>M2540/Parametros!$J$37</f>
        <v>0.6472666667</v>
      </c>
      <c r="N2541" s="293">
        <f>N2540/Parametros!$J$37</f>
        <v>0.7397333333</v>
      </c>
      <c r="O2541" s="5"/>
      <c r="P2541" s="5"/>
      <c r="Q2541" s="5"/>
      <c r="R2541" s="5"/>
      <c r="S2541" s="5"/>
      <c r="T2541" s="5"/>
      <c r="U2541" s="5"/>
      <c r="V2541" s="5"/>
      <c r="W2541" s="5"/>
      <c r="X2541" s="5"/>
      <c r="Y2541" s="5"/>
      <c r="Z2541" s="5"/>
    </row>
    <row r="2542" ht="12.0" customHeight="1">
      <c r="A2542" s="92" t="s">
        <v>636</v>
      </c>
      <c r="B2542" s="5"/>
      <c r="C2542" s="293">
        <f t="shared" ref="C2542:N2542" si="800">C2541</f>
        <v>0.7859666667</v>
      </c>
      <c r="D2542" s="293">
        <f t="shared" si="800"/>
        <v>0.6935</v>
      </c>
      <c r="E2542" s="293">
        <f t="shared" si="800"/>
        <v>0.8322</v>
      </c>
      <c r="F2542" s="293">
        <f t="shared" si="800"/>
        <v>0.8322</v>
      </c>
      <c r="G2542" s="293">
        <f t="shared" si="800"/>
        <v>0.8322</v>
      </c>
      <c r="H2542" s="293">
        <f t="shared" si="800"/>
        <v>0.7397333333</v>
      </c>
      <c r="I2542" s="293">
        <f t="shared" si="800"/>
        <v>0.8322</v>
      </c>
      <c r="J2542" s="293">
        <f t="shared" si="800"/>
        <v>0.8322</v>
      </c>
      <c r="K2542" s="293">
        <f t="shared" si="800"/>
        <v>0.7859666667</v>
      </c>
      <c r="L2542" s="293">
        <f t="shared" si="800"/>
        <v>0.6935</v>
      </c>
      <c r="M2542" s="293">
        <f t="shared" si="800"/>
        <v>0.6472666667</v>
      </c>
      <c r="N2542" s="293">
        <f t="shared" si="800"/>
        <v>0.7397333333</v>
      </c>
      <c r="O2542" s="5"/>
      <c r="P2542" s="5"/>
      <c r="Q2542" s="5"/>
      <c r="R2542" s="5"/>
      <c r="S2542" s="5"/>
      <c r="T2542" s="5"/>
      <c r="U2542" s="5"/>
      <c r="V2542" s="5"/>
      <c r="W2542" s="5"/>
      <c r="X2542" s="5"/>
      <c r="Y2542" s="5"/>
      <c r="Z2542" s="5"/>
    </row>
    <row r="2543" ht="12.0" customHeight="1">
      <c r="A2543" s="92" t="s">
        <v>637</v>
      </c>
      <c r="B2543" s="5"/>
      <c r="C2543" s="293">
        <f>Parametros!$M$114</f>
        <v>19.74193548</v>
      </c>
      <c r="D2543" s="293">
        <f>Parametros!$M$114</f>
        <v>19.74193548</v>
      </c>
      <c r="E2543" s="293">
        <f>Parametros!$M$114</f>
        <v>19.74193548</v>
      </c>
      <c r="F2543" s="293">
        <f>Parametros!$M$114</f>
        <v>19.74193548</v>
      </c>
      <c r="G2543" s="293">
        <f>Parametros!$M$114</f>
        <v>19.74193548</v>
      </c>
      <c r="H2543" s="293">
        <f>Parametros!$M$114</f>
        <v>19.74193548</v>
      </c>
      <c r="I2543" s="293">
        <f>Parametros!$M$114</f>
        <v>19.74193548</v>
      </c>
      <c r="J2543" s="293">
        <f>Parametros!$M$114</f>
        <v>19.74193548</v>
      </c>
      <c r="K2543" s="293">
        <f>Parametros!$M$114</f>
        <v>19.74193548</v>
      </c>
      <c r="L2543" s="293">
        <f>Parametros!$M$114</f>
        <v>19.74193548</v>
      </c>
      <c r="M2543" s="293">
        <f>Parametros!$M$114</f>
        <v>19.74193548</v>
      </c>
      <c r="N2543" s="293">
        <f>Parametros!$M$114</f>
        <v>19.74193548</v>
      </c>
      <c r="O2543" s="5"/>
      <c r="P2543" s="5"/>
      <c r="Q2543" s="5"/>
      <c r="R2543" s="5"/>
      <c r="S2543" s="5"/>
      <c r="T2543" s="5"/>
      <c r="U2543" s="5"/>
      <c r="V2543" s="5"/>
      <c r="W2543" s="5"/>
      <c r="X2543" s="5"/>
      <c r="Y2543" s="5"/>
      <c r="Z2543" s="5"/>
    </row>
    <row r="2544" ht="12.0" customHeight="1">
      <c r="A2544" s="92" t="s">
        <v>640</v>
      </c>
      <c r="B2544" s="5"/>
      <c r="C2544" s="203">
        <f>'Resumen Capacidad'!$G$222</f>
        <v>1</v>
      </c>
      <c r="D2544" s="203">
        <f>'Resumen Capacidad'!$G$222</f>
        <v>1</v>
      </c>
      <c r="E2544" s="203">
        <f>'Resumen Capacidad'!$G$222</f>
        <v>1</v>
      </c>
      <c r="F2544" s="203">
        <f>'Resumen Capacidad'!$G$222</f>
        <v>1</v>
      </c>
      <c r="G2544" s="203">
        <f>'Resumen Capacidad'!$G$222</f>
        <v>1</v>
      </c>
      <c r="H2544" s="203">
        <f>'Resumen Capacidad'!$G$222</f>
        <v>1</v>
      </c>
      <c r="I2544" s="203">
        <f>'Resumen Capacidad'!$G$222</f>
        <v>1</v>
      </c>
      <c r="J2544" s="203">
        <f>'Resumen Capacidad'!$G$222</f>
        <v>1</v>
      </c>
      <c r="K2544" s="203">
        <f>'Resumen Capacidad'!$G$222</f>
        <v>1</v>
      </c>
      <c r="L2544" s="203">
        <f>'Resumen Capacidad'!$G$222</f>
        <v>1</v>
      </c>
      <c r="M2544" s="203">
        <f>'Resumen Capacidad'!$G$222</f>
        <v>1</v>
      </c>
      <c r="N2544" s="203">
        <f>'Resumen Capacidad'!$G$222</f>
        <v>1</v>
      </c>
      <c r="O2544" s="5"/>
      <c r="P2544" s="5"/>
      <c r="Q2544" s="5"/>
      <c r="R2544" s="5"/>
      <c r="S2544" s="5"/>
      <c r="T2544" s="5"/>
      <c r="U2544" s="5"/>
      <c r="V2544" s="5"/>
      <c r="W2544" s="5"/>
      <c r="X2544" s="5"/>
      <c r="Y2544" s="5"/>
      <c r="Z2544" s="5"/>
    </row>
    <row r="2545" ht="12.0" customHeight="1">
      <c r="A2545" s="92" t="s">
        <v>642</v>
      </c>
      <c r="B2545" s="5"/>
      <c r="C2545" s="203">
        <f t="shared" ref="C2545:N2545" si="801">C2543*C2544</f>
        <v>19.74193548</v>
      </c>
      <c r="D2545" s="203">
        <f t="shared" si="801"/>
        <v>19.74193548</v>
      </c>
      <c r="E2545" s="203">
        <f t="shared" si="801"/>
        <v>19.74193548</v>
      </c>
      <c r="F2545" s="203">
        <f t="shared" si="801"/>
        <v>19.74193548</v>
      </c>
      <c r="G2545" s="203">
        <f t="shared" si="801"/>
        <v>19.74193548</v>
      </c>
      <c r="H2545" s="203">
        <f t="shared" si="801"/>
        <v>19.74193548</v>
      </c>
      <c r="I2545" s="203">
        <f t="shared" si="801"/>
        <v>19.74193548</v>
      </c>
      <c r="J2545" s="203">
        <f t="shared" si="801"/>
        <v>19.74193548</v>
      </c>
      <c r="K2545" s="203">
        <f t="shared" si="801"/>
        <v>19.74193548</v>
      </c>
      <c r="L2545" s="203">
        <f t="shared" si="801"/>
        <v>19.74193548</v>
      </c>
      <c r="M2545" s="203">
        <f t="shared" si="801"/>
        <v>19.74193548</v>
      </c>
      <c r="N2545" s="203">
        <f t="shared" si="801"/>
        <v>19.74193548</v>
      </c>
      <c r="O2545" s="5"/>
      <c r="P2545" s="5"/>
      <c r="Q2545" s="5"/>
      <c r="R2545" s="5"/>
      <c r="S2545" s="5"/>
      <c r="T2545" s="5"/>
      <c r="U2545" s="5"/>
      <c r="V2545" s="5"/>
      <c r="W2545" s="5"/>
      <c r="X2545" s="5"/>
      <c r="Y2545" s="5"/>
      <c r="Z2545" s="5"/>
    </row>
    <row r="2546" ht="12.0" customHeight="1">
      <c r="A2546" s="92" t="s">
        <v>643</v>
      </c>
      <c r="B2546" s="5"/>
      <c r="C2546" s="294">
        <f t="shared" ref="C2546:N2546" si="802">IF(C2545=0,0,C2542/C2545)</f>
        <v>0.03981203704</v>
      </c>
      <c r="D2546" s="294">
        <f t="shared" si="802"/>
        <v>0.03512826797</v>
      </c>
      <c r="E2546" s="294">
        <f t="shared" si="802"/>
        <v>0.04215392157</v>
      </c>
      <c r="F2546" s="294">
        <f t="shared" si="802"/>
        <v>0.04215392157</v>
      </c>
      <c r="G2546" s="294">
        <f t="shared" si="802"/>
        <v>0.04215392157</v>
      </c>
      <c r="H2546" s="294">
        <f t="shared" si="802"/>
        <v>0.03747015251</v>
      </c>
      <c r="I2546" s="294">
        <f t="shared" si="802"/>
        <v>0.04215392157</v>
      </c>
      <c r="J2546" s="294">
        <f t="shared" si="802"/>
        <v>0.04215392157</v>
      </c>
      <c r="K2546" s="294">
        <f t="shared" si="802"/>
        <v>0.03981203704</v>
      </c>
      <c r="L2546" s="294">
        <f t="shared" si="802"/>
        <v>0.03512826797</v>
      </c>
      <c r="M2546" s="294">
        <f t="shared" si="802"/>
        <v>0.03278638344</v>
      </c>
      <c r="N2546" s="294">
        <f t="shared" si="802"/>
        <v>0.03747015251</v>
      </c>
      <c r="O2546" s="5"/>
      <c r="P2546" s="5"/>
      <c r="Q2546" s="5"/>
      <c r="R2546" s="5"/>
      <c r="S2546" s="5"/>
      <c r="T2546" s="5"/>
      <c r="U2546" s="5"/>
      <c r="V2546" s="5"/>
      <c r="W2546" s="5"/>
      <c r="X2546" s="5"/>
      <c r="Y2546" s="5"/>
      <c r="Z2546" s="5"/>
    </row>
    <row r="2547" ht="12.0" customHeight="1">
      <c r="A2547" s="10" t="s">
        <v>1646</v>
      </c>
      <c r="B2547" s="5"/>
      <c r="C2547" s="206"/>
      <c r="D2547" s="206"/>
      <c r="E2547" s="206"/>
      <c r="F2547" s="206"/>
      <c r="G2547" s="206"/>
      <c r="H2547" s="206"/>
      <c r="I2547" s="206"/>
      <c r="J2547" s="206"/>
      <c r="K2547" s="206"/>
      <c r="L2547" s="206"/>
      <c r="M2547" s="206"/>
      <c r="N2547" s="206"/>
      <c r="O2547" s="5"/>
      <c r="P2547" s="5"/>
      <c r="Q2547" s="5"/>
      <c r="R2547" s="5"/>
      <c r="S2547" s="5"/>
      <c r="T2547" s="5"/>
      <c r="U2547" s="5"/>
      <c r="V2547" s="5"/>
      <c r="W2547" s="5"/>
      <c r="X2547" s="5"/>
      <c r="Y2547" s="5"/>
      <c r="Z2547" s="5"/>
    </row>
    <row r="2548" ht="12.0" customHeight="1">
      <c r="A2548" s="92" t="s">
        <v>630</v>
      </c>
      <c r="B2548" s="5" t="s">
        <v>631</v>
      </c>
      <c r="C2548" s="206" t="s">
        <v>3</v>
      </c>
      <c r="D2548" s="206" t="s">
        <v>4</v>
      </c>
      <c r="E2548" s="206" t="s">
        <v>507</v>
      </c>
      <c r="F2548" s="206" t="s">
        <v>508</v>
      </c>
      <c r="G2548" s="206" t="s">
        <v>509</v>
      </c>
      <c r="H2548" s="206" t="s">
        <v>510</v>
      </c>
      <c r="I2548" s="206" t="s">
        <v>511</v>
      </c>
      <c r="J2548" s="206" t="s">
        <v>512</v>
      </c>
      <c r="K2548" s="206" t="s">
        <v>513</v>
      </c>
      <c r="L2548" s="206" t="s">
        <v>514</v>
      </c>
      <c r="M2548" s="206" t="s">
        <v>515</v>
      </c>
      <c r="N2548" s="206" t="s">
        <v>516</v>
      </c>
      <c r="O2548" s="5"/>
      <c r="P2548" s="5"/>
      <c r="Q2548" s="5"/>
      <c r="R2548" s="5"/>
      <c r="S2548" s="5"/>
      <c r="T2548" s="5"/>
      <c r="U2548" s="5"/>
      <c r="V2548" s="5"/>
      <c r="W2548" s="5"/>
      <c r="X2548" s="5"/>
      <c r="Y2548" s="5"/>
      <c r="Z2548" s="5"/>
    </row>
    <row r="2549" ht="12.0" customHeight="1">
      <c r="A2549" s="92" t="s">
        <v>1643</v>
      </c>
      <c r="B2549" s="5" t="s">
        <v>633</v>
      </c>
      <c r="C2549" s="203">
        <f t="shared" ref="C2549:N2549" si="803">C2514</f>
        <v>117.895</v>
      </c>
      <c r="D2549" s="203">
        <f t="shared" si="803"/>
        <v>104.025</v>
      </c>
      <c r="E2549" s="203">
        <f t="shared" si="803"/>
        <v>124.83</v>
      </c>
      <c r="F2549" s="203">
        <f t="shared" si="803"/>
        <v>124.83</v>
      </c>
      <c r="G2549" s="203">
        <f t="shared" si="803"/>
        <v>124.83</v>
      </c>
      <c r="H2549" s="203">
        <f t="shared" si="803"/>
        <v>110.96</v>
      </c>
      <c r="I2549" s="203">
        <f t="shared" si="803"/>
        <v>124.83</v>
      </c>
      <c r="J2549" s="203">
        <f t="shared" si="803"/>
        <v>124.83</v>
      </c>
      <c r="K2549" s="203">
        <f t="shared" si="803"/>
        <v>117.895</v>
      </c>
      <c r="L2549" s="203">
        <f t="shared" si="803"/>
        <v>104.025</v>
      </c>
      <c r="M2549" s="203">
        <f t="shared" si="803"/>
        <v>97.09</v>
      </c>
      <c r="N2549" s="203">
        <f t="shared" si="803"/>
        <v>110.96</v>
      </c>
      <c r="O2549" s="5"/>
      <c r="P2549" s="5"/>
      <c r="Q2549" s="5"/>
      <c r="R2549" s="5"/>
      <c r="S2549" s="5"/>
      <c r="T2549" s="5"/>
      <c r="U2549" s="5"/>
      <c r="V2549" s="5"/>
      <c r="W2549" s="5"/>
      <c r="X2549" s="5"/>
      <c r="Y2549" s="5"/>
      <c r="Z2549" s="5"/>
    </row>
    <row r="2550" ht="12.0" customHeight="1">
      <c r="A2550" s="92"/>
      <c r="B2550" s="5" t="s">
        <v>634</v>
      </c>
      <c r="C2550" s="293">
        <f>C2549/Parametros!$B$37</f>
        <v>5.89475</v>
      </c>
      <c r="D2550" s="293">
        <f>D2549/Parametros!$B$37</f>
        <v>5.20125</v>
      </c>
      <c r="E2550" s="293">
        <f>E2549/Parametros!$B$37</f>
        <v>6.2415</v>
      </c>
      <c r="F2550" s="293">
        <f>F2549/Parametros!$B$37</f>
        <v>6.2415</v>
      </c>
      <c r="G2550" s="293">
        <f>G2549/Parametros!$B$37</f>
        <v>6.2415</v>
      </c>
      <c r="H2550" s="293">
        <f>H2549/Parametros!$B$37</f>
        <v>5.548</v>
      </c>
      <c r="I2550" s="293">
        <f>I2549/Parametros!$B$37</f>
        <v>6.2415</v>
      </c>
      <c r="J2550" s="293">
        <f>J2549/Parametros!$B$37</f>
        <v>6.2415</v>
      </c>
      <c r="K2550" s="293">
        <f>K2549/Parametros!$B$37</f>
        <v>5.89475</v>
      </c>
      <c r="L2550" s="293">
        <f>L2549/Parametros!$B$37</f>
        <v>5.20125</v>
      </c>
      <c r="M2550" s="293">
        <f>M2549/Parametros!$B$37</f>
        <v>4.8545</v>
      </c>
      <c r="N2550" s="293">
        <f>N2549/Parametros!$B$37</f>
        <v>5.548</v>
      </c>
      <c r="O2550" s="5"/>
      <c r="P2550" s="5"/>
      <c r="Q2550" s="5"/>
      <c r="R2550" s="5"/>
      <c r="S2550" s="5"/>
      <c r="T2550" s="5"/>
      <c r="U2550" s="5"/>
      <c r="V2550" s="5"/>
      <c r="W2550" s="5"/>
      <c r="X2550" s="5"/>
      <c r="Y2550" s="5"/>
      <c r="Z2550" s="5"/>
    </row>
    <row r="2551" ht="12.0" customHeight="1">
      <c r="A2551" s="92"/>
      <c r="B2551" s="5" t="s">
        <v>635</v>
      </c>
      <c r="C2551" s="293">
        <f>C2550/Parametros!$J$37</f>
        <v>0.7859666667</v>
      </c>
      <c r="D2551" s="293">
        <f>D2550/Parametros!$J$37</f>
        <v>0.6935</v>
      </c>
      <c r="E2551" s="293">
        <f>E2550/Parametros!$J$37</f>
        <v>0.8322</v>
      </c>
      <c r="F2551" s="293">
        <f>F2550/Parametros!$J$37</f>
        <v>0.8322</v>
      </c>
      <c r="G2551" s="293">
        <f>G2550/Parametros!$J$37</f>
        <v>0.8322</v>
      </c>
      <c r="H2551" s="293">
        <f>H2550/Parametros!$J$37</f>
        <v>0.7397333333</v>
      </c>
      <c r="I2551" s="293">
        <f>I2550/Parametros!$J$37</f>
        <v>0.8322</v>
      </c>
      <c r="J2551" s="293">
        <f>J2550/Parametros!$J$37</f>
        <v>0.8322</v>
      </c>
      <c r="K2551" s="293">
        <f>K2550/Parametros!$J$37</f>
        <v>0.7859666667</v>
      </c>
      <c r="L2551" s="293">
        <f>L2550/Parametros!$J$37</f>
        <v>0.6935</v>
      </c>
      <c r="M2551" s="293">
        <f>M2550/Parametros!$J$37</f>
        <v>0.6472666667</v>
      </c>
      <c r="N2551" s="293">
        <f>N2550/Parametros!$J$37</f>
        <v>0.7397333333</v>
      </c>
      <c r="O2551" s="5"/>
      <c r="P2551" s="5"/>
      <c r="Q2551" s="5"/>
      <c r="R2551" s="5"/>
      <c r="S2551" s="5"/>
      <c r="T2551" s="5"/>
      <c r="U2551" s="5"/>
      <c r="V2551" s="5"/>
      <c r="W2551" s="5"/>
      <c r="X2551" s="5"/>
      <c r="Y2551" s="5"/>
      <c r="Z2551" s="5"/>
    </row>
    <row r="2552" ht="12.0" customHeight="1">
      <c r="A2552" s="92" t="s">
        <v>636</v>
      </c>
      <c r="B2552" s="5"/>
      <c r="C2552" s="293">
        <f t="shared" ref="C2552:N2552" si="804">C2551</f>
        <v>0.7859666667</v>
      </c>
      <c r="D2552" s="293">
        <f t="shared" si="804"/>
        <v>0.6935</v>
      </c>
      <c r="E2552" s="293">
        <f t="shared" si="804"/>
        <v>0.8322</v>
      </c>
      <c r="F2552" s="293">
        <f t="shared" si="804"/>
        <v>0.8322</v>
      </c>
      <c r="G2552" s="293">
        <f t="shared" si="804"/>
        <v>0.8322</v>
      </c>
      <c r="H2552" s="293">
        <f t="shared" si="804"/>
        <v>0.7397333333</v>
      </c>
      <c r="I2552" s="293">
        <f t="shared" si="804"/>
        <v>0.8322</v>
      </c>
      <c r="J2552" s="293">
        <f t="shared" si="804"/>
        <v>0.8322</v>
      </c>
      <c r="K2552" s="293">
        <f t="shared" si="804"/>
        <v>0.7859666667</v>
      </c>
      <c r="L2552" s="293">
        <f t="shared" si="804"/>
        <v>0.6935</v>
      </c>
      <c r="M2552" s="293">
        <f t="shared" si="804"/>
        <v>0.6472666667</v>
      </c>
      <c r="N2552" s="293">
        <f t="shared" si="804"/>
        <v>0.7397333333</v>
      </c>
      <c r="O2552" s="5"/>
      <c r="P2552" s="5"/>
      <c r="Q2552" s="5"/>
      <c r="R2552" s="5"/>
      <c r="S2552" s="5"/>
      <c r="T2552" s="5"/>
      <c r="U2552" s="5"/>
      <c r="V2552" s="5"/>
      <c r="W2552" s="5"/>
      <c r="X2552" s="5"/>
      <c r="Y2552" s="5"/>
      <c r="Z2552" s="5"/>
    </row>
    <row r="2553" ht="12.0" customHeight="1">
      <c r="A2553" s="92" t="s">
        <v>637</v>
      </c>
      <c r="B2553" s="5"/>
      <c r="C2553" s="293">
        <f>Parametros!$M$115</f>
        <v>26.60869565</v>
      </c>
      <c r="D2553" s="293">
        <f>Parametros!$M$115</f>
        <v>26.60869565</v>
      </c>
      <c r="E2553" s="293">
        <f>Parametros!$M$115</f>
        <v>26.60869565</v>
      </c>
      <c r="F2553" s="293">
        <f>Parametros!$M$115</f>
        <v>26.60869565</v>
      </c>
      <c r="G2553" s="293">
        <f>Parametros!$M$115</f>
        <v>26.60869565</v>
      </c>
      <c r="H2553" s="293">
        <f>Parametros!$M$115</f>
        <v>26.60869565</v>
      </c>
      <c r="I2553" s="293">
        <f>Parametros!$M$115</f>
        <v>26.60869565</v>
      </c>
      <c r="J2553" s="293">
        <f>Parametros!$M$115</f>
        <v>26.60869565</v>
      </c>
      <c r="K2553" s="293">
        <f>Parametros!$M$115</f>
        <v>26.60869565</v>
      </c>
      <c r="L2553" s="293">
        <f>Parametros!$M$115</f>
        <v>26.60869565</v>
      </c>
      <c r="M2553" s="293">
        <f>Parametros!$M$115</f>
        <v>26.60869565</v>
      </c>
      <c r="N2553" s="293">
        <f>Parametros!$M$115</f>
        <v>26.60869565</v>
      </c>
      <c r="O2553" s="5"/>
      <c r="P2553" s="5"/>
      <c r="Q2553" s="5"/>
      <c r="R2553" s="5"/>
      <c r="S2553" s="5"/>
      <c r="T2553" s="5"/>
      <c r="U2553" s="5"/>
      <c r="V2553" s="5"/>
      <c r="W2553" s="5"/>
      <c r="X2553" s="5"/>
      <c r="Y2553" s="5"/>
      <c r="Z2553" s="5"/>
    </row>
    <row r="2554" ht="12.0" customHeight="1">
      <c r="A2554" s="92" t="s">
        <v>640</v>
      </c>
      <c r="B2554" s="5"/>
      <c r="C2554" s="203">
        <f>'Resumen Capacidad'!$G$223</f>
        <v>1</v>
      </c>
      <c r="D2554" s="203">
        <f>'Resumen Capacidad'!$G$223</f>
        <v>1</v>
      </c>
      <c r="E2554" s="203">
        <f>'Resumen Capacidad'!$G$223</f>
        <v>1</v>
      </c>
      <c r="F2554" s="203">
        <f>'Resumen Capacidad'!$G$223</f>
        <v>1</v>
      </c>
      <c r="G2554" s="203">
        <f>'Resumen Capacidad'!$G$223</f>
        <v>1</v>
      </c>
      <c r="H2554" s="203">
        <f>'Resumen Capacidad'!$G$223</f>
        <v>1</v>
      </c>
      <c r="I2554" s="203">
        <f>'Resumen Capacidad'!$G$223</f>
        <v>1</v>
      </c>
      <c r="J2554" s="203">
        <f>'Resumen Capacidad'!$G$223</f>
        <v>1</v>
      </c>
      <c r="K2554" s="203">
        <f>'Resumen Capacidad'!$G$223</f>
        <v>1</v>
      </c>
      <c r="L2554" s="203">
        <f>'Resumen Capacidad'!$G$223</f>
        <v>1</v>
      </c>
      <c r="M2554" s="203">
        <f>'Resumen Capacidad'!$G$223</f>
        <v>1</v>
      </c>
      <c r="N2554" s="203">
        <f>'Resumen Capacidad'!$G$223</f>
        <v>1</v>
      </c>
      <c r="O2554" s="5"/>
      <c r="P2554" s="5"/>
      <c r="Q2554" s="5"/>
      <c r="R2554" s="5"/>
      <c r="S2554" s="5"/>
      <c r="T2554" s="5"/>
      <c r="U2554" s="5"/>
      <c r="V2554" s="5"/>
      <c r="W2554" s="5"/>
      <c r="X2554" s="5"/>
      <c r="Y2554" s="5"/>
      <c r="Z2554" s="5"/>
    </row>
    <row r="2555" ht="12.0" customHeight="1">
      <c r="A2555" s="92" t="s">
        <v>642</v>
      </c>
      <c r="B2555" s="5"/>
      <c r="C2555" s="203">
        <f t="shared" ref="C2555:N2555" si="805">C2553*C2554</f>
        <v>26.60869565</v>
      </c>
      <c r="D2555" s="203">
        <f t="shared" si="805"/>
        <v>26.60869565</v>
      </c>
      <c r="E2555" s="203">
        <f t="shared" si="805"/>
        <v>26.60869565</v>
      </c>
      <c r="F2555" s="203">
        <f t="shared" si="805"/>
        <v>26.60869565</v>
      </c>
      <c r="G2555" s="203">
        <f t="shared" si="805"/>
        <v>26.60869565</v>
      </c>
      <c r="H2555" s="203">
        <f t="shared" si="805"/>
        <v>26.60869565</v>
      </c>
      <c r="I2555" s="203">
        <f t="shared" si="805"/>
        <v>26.60869565</v>
      </c>
      <c r="J2555" s="203">
        <f t="shared" si="805"/>
        <v>26.60869565</v>
      </c>
      <c r="K2555" s="203">
        <f t="shared" si="805"/>
        <v>26.60869565</v>
      </c>
      <c r="L2555" s="203">
        <f t="shared" si="805"/>
        <v>26.60869565</v>
      </c>
      <c r="M2555" s="203">
        <f t="shared" si="805"/>
        <v>26.60869565</v>
      </c>
      <c r="N2555" s="203">
        <f t="shared" si="805"/>
        <v>26.60869565</v>
      </c>
      <c r="O2555" s="5"/>
      <c r="P2555" s="5"/>
      <c r="Q2555" s="5"/>
      <c r="R2555" s="5"/>
      <c r="S2555" s="5"/>
      <c r="T2555" s="5"/>
      <c r="U2555" s="5"/>
      <c r="V2555" s="5"/>
      <c r="W2555" s="5"/>
      <c r="X2555" s="5"/>
      <c r="Y2555" s="5"/>
      <c r="Z2555" s="5"/>
    </row>
    <row r="2556" ht="12.0" customHeight="1">
      <c r="A2556" s="92" t="s">
        <v>643</v>
      </c>
      <c r="B2556" s="5"/>
      <c r="C2556" s="294">
        <f t="shared" ref="C2556:N2556" si="806">IF(C2555=0,0,C2552/C2555)</f>
        <v>0.02953796296</v>
      </c>
      <c r="D2556" s="294">
        <f t="shared" si="806"/>
        <v>0.0260629085</v>
      </c>
      <c r="E2556" s="294">
        <f t="shared" si="806"/>
        <v>0.0312754902</v>
      </c>
      <c r="F2556" s="294">
        <f t="shared" si="806"/>
        <v>0.0312754902</v>
      </c>
      <c r="G2556" s="294">
        <f t="shared" si="806"/>
        <v>0.0312754902</v>
      </c>
      <c r="H2556" s="294">
        <f t="shared" si="806"/>
        <v>0.02780043573</v>
      </c>
      <c r="I2556" s="294">
        <f t="shared" si="806"/>
        <v>0.0312754902</v>
      </c>
      <c r="J2556" s="294">
        <f t="shared" si="806"/>
        <v>0.0312754902</v>
      </c>
      <c r="K2556" s="294">
        <f t="shared" si="806"/>
        <v>0.02953796296</v>
      </c>
      <c r="L2556" s="294">
        <f t="shared" si="806"/>
        <v>0.0260629085</v>
      </c>
      <c r="M2556" s="294">
        <f t="shared" si="806"/>
        <v>0.02432538126</v>
      </c>
      <c r="N2556" s="294">
        <f t="shared" si="806"/>
        <v>0.02780043573</v>
      </c>
      <c r="O2556" s="5"/>
      <c r="P2556" s="5"/>
      <c r="Q2556" s="5"/>
      <c r="R2556" s="5"/>
      <c r="S2556" s="5"/>
      <c r="T2556" s="5"/>
      <c r="U2556" s="5"/>
      <c r="V2556" s="5"/>
      <c r="W2556" s="5"/>
      <c r="X2556" s="5"/>
      <c r="Y2556" s="5"/>
      <c r="Z2556" s="5"/>
    </row>
    <row r="2557" ht="12.0" customHeight="1">
      <c r="A2557" s="10" t="s">
        <v>1647</v>
      </c>
      <c r="B2557" s="5"/>
      <c r="C2557" s="206"/>
      <c r="D2557" s="206"/>
      <c r="E2557" s="206"/>
      <c r="F2557" s="206"/>
      <c r="G2557" s="206"/>
      <c r="H2557" s="206"/>
      <c r="I2557" s="206"/>
      <c r="J2557" s="206"/>
      <c r="K2557" s="206"/>
      <c r="L2557" s="206"/>
      <c r="M2557" s="206"/>
      <c r="N2557" s="206"/>
      <c r="O2557" s="5"/>
      <c r="P2557" s="5"/>
      <c r="Q2557" s="5"/>
      <c r="R2557" s="5"/>
      <c r="S2557" s="5"/>
      <c r="T2557" s="5"/>
      <c r="U2557" s="5"/>
      <c r="V2557" s="5"/>
      <c r="W2557" s="5"/>
      <c r="X2557" s="5"/>
      <c r="Y2557" s="5"/>
      <c r="Z2557" s="5"/>
    </row>
    <row r="2558" ht="12.0" customHeight="1">
      <c r="A2558" s="92" t="s">
        <v>630</v>
      </c>
      <c r="B2558" s="5" t="s">
        <v>631</v>
      </c>
      <c r="C2558" s="206" t="s">
        <v>3</v>
      </c>
      <c r="D2558" s="206" t="s">
        <v>4</v>
      </c>
      <c r="E2558" s="206" t="s">
        <v>507</v>
      </c>
      <c r="F2558" s="206" t="s">
        <v>508</v>
      </c>
      <c r="G2558" s="206" t="s">
        <v>509</v>
      </c>
      <c r="H2558" s="206" t="s">
        <v>510</v>
      </c>
      <c r="I2558" s="206" t="s">
        <v>511</v>
      </c>
      <c r="J2558" s="206" t="s">
        <v>512</v>
      </c>
      <c r="K2558" s="206" t="s">
        <v>513</v>
      </c>
      <c r="L2558" s="206" t="s">
        <v>514</v>
      </c>
      <c r="M2558" s="206" t="s">
        <v>515</v>
      </c>
      <c r="N2558" s="206" t="s">
        <v>516</v>
      </c>
      <c r="O2558" s="5"/>
      <c r="P2558" s="5"/>
      <c r="Q2558" s="5"/>
      <c r="R2558" s="5"/>
      <c r="S2558" s="5"/>
      <c r="T2558" s="5"/>
      <c r="U2558" s="5"/>
      <c r="V2558" s="5"/>
      <c r="W2558" s="5"/>
      <c r="X2558" s="5"/>
      <c r="Y2558" s="5"/>
      <c r="Z2558" s="5"/>
    </row>
    <row r="2559" ht="12.0" customHeight="1">
      <c r="A2559" s="92" t="s">
        <v>1643</v>
      </c>
      <c r="B2559" s="5" t="s">
        <v>633</v>
      </c>
      <c r="C2559" s="203">
        <f t="shared" ref="C2559:N2559" si="807">C2514</f>
        <v>117.895</v>
      </c>
      <c r="D2559" s="203">
        <f t="shared" si="807"/>
        <v>104.025</v>
      </c>
      <c r="E2559" s="203">
        <f t="shared" si="807"/>
        <v>124.83</v>
      </c>
      <c r="F2559" s="203">
        <f t="shared" si="807"/>
        <v>124.83</v>
      </c>
      <c r="G2559" s="203">
        <f t="shared" si="807"/>
        <v>124.83</v>
      </c>
      <c r="H2559" s="203">
        <f t="shared" si="807"/>
        <v>110.96</v>
      </c>
      <c r="I2559" s="203">
        <f t="shared" si="807"/>
        <v>124.83</v>
      </c>
      <c r="J2559" s="203">
        <f t="shared" si="807"/>
        <v>124.83</v>
      </c>
      <c r="K2559" s="203">
        <f t="shared" si="807"/>
        <v>117.895</v>
      </c>
      <c r="L2559" s="203">
        <f t="shared" si="807"/>
        <v>104.025</v>
      </c>
      <c r="M2559" s="203">
        <f t="shared" si="807"/>
        <v>97.09</v>
      </c>
      <c r="N2559" s="203">
        <f t="shared" si="807"/>
        <v>110.96</v>
      </c>
      <c r="O2559" s="5"/>
      <c r="P2559" s="5"/>
      <c r="Q2559" s="5"/>
      <c r="R2559" s="5"/>
      <c r="S2559" s="5"/>
      <c r="T2559" s="5"/>
      <c r="U2559" s="5"/>
      <c r="V2559" s="5"/>
      <c r="W2559" s="5"/>
      <c r="X2559" s="5"/>
      <c r="Y2559" s="5"/>
      <c r="Z2559" s="5"/>
    </row>
    <row r="2560" ht="12.0" customHeight="1">
      <c r="A2560" s="92"/>
      <c r="B2560" s="5" t="s">
        <v>634</v>
      </c>
      <c r="C2560" s="293">
        <f>C2559/Parametros!$B$37</f>
        <v>5.89475</v>
      </c>
      <c r="D2560" s="293">
        <f>D2559/Parametros!$B$37</f>
        <v>5.20125</v>
      </c>
      <c r="E2560" s="293">
        <f>E2559/Parametros!$B$37</f>
        <v>6.2415</v>
      </c>
      <c r="F2560" s="293">
        <f>F2559/Parametros!$B$37</f>
        <v>6.2415</v>
      </c>
      <c r="G2560" s="293">
        <f>G2559/Parametros!$B$37</f>
        <v>6.2415</v>
      </c>
      <c r="H2560" s="293">
        <f>H2559/Parametros!$B$37</f>
        <v>5.548</v>
      </c>
      <c r="I2560" s="293">
        <f>I2559/Parametros!$B$37</f>
        <v>6.2415</v>
      </c>
      <c r="J2560" s="293">
        <f>J2559/Parametros!$B$37</f>
        <v>6.2415</v>
      </c>
      <c r="K2560" s="293">
        <f>K2559/Parametros!$B$37</f>
        <v>5.89475</v>
      </c>
      <c r="L2560" s="293">
        <f>L2559/Parametros!$B$37</f>
        <v>5.20125</v>
      </c>
      <c r="M2560" s="293">
        <f>M2559/Parametros!$B$37</f>
        <v>4.8545</v>
      </c>
      <c r="N2560" s="293">
        <f>N2559/Parametros!$B$37</f>
        <v>5.548</v>
      </c>
      <c r="O2560" s="5"/>
      <c r="P2560" s="5"/>
      <c r="Q2560" s="5"/>
      <c r="R2560" s="5"/>
      <c r="S2560" s="5"/>
      <c r="T2560" s="5"/>
      <c r="U2560" s="5"/>
      <c r="V2560" s="5"/>
      <c r="W2560" s="5"/>
      <c r="X2560" s="5"/>
      <c r="Y2560" s="5"/>
      <c r="Z2560" s="5"/>
    </row>
    <row r="2561" ht="12.0" customHeight="1">
      <c r="A2561" s="92"/>
      <c r="B2561" s="5" t="s">
        <v>635</v>
      </c>
      <c r="C2561" s="293">
        <f>C2560/Parametros!$J$37</f>
        <v>0.7859666667</v>
      </c>
      <c r="D2561" s="293">
        <f>D2560/Parametros!$J$37</f>
        <v>0.6935</v>
      </c>
      <c r="E2561" s="293">
        <f>E2560/Parametros!$J$37</f>
        <v>0.8322</v>
      </c>
      <c r="F2561" s="293">
        <f>F2560/Parametros!$J$37</f>
        <v>0.8322</v>
      </c>
      <c r="G2561" s="293">
        <f>G2560/Parametros!$J$37</f>
        <v>0.8322</v>
      </c>
      <c r="H2561" s="293">
        <f>H2560/Parametros!$J$37</f>
        <v>0.7397333333</v>
      </c>
      <c r="I2561" s="293">
        <f>I2560/Parametros!$J$37</f>
        <v>0.8322</v>
      </c>
      <c r="J2561" s="293">
        <f>J2560/Parametros!$J$37</f>
        <v>0.8322</v>
      </c>
      <c r="K2561" s="293">
        <f>K2560/Parametros!$J$37</f>
        <v>0.7859666667</v>
      </c>
      <c r="L2561" s="293">
        <f>L2560/Parametros!$J$37</f>
        <v>0.6935</v>
      </c>
      <c r="M2561" s="293">
        <f>M2560/Parametros!$J$37</f>
        <v>0.6472666667</v>
      </c>
      <c r="N2561" s="293">
        <f>N2560/Parametros!$J$37</f>
        <v>0.7397333333</v>
      </c>
      <c r="O2561" s="5"/>
      <c r="P2561" s="5"/>
      <c r="Q2561" s="5"/>
      <c r="R2561" s="5"/>
      <c r="S2561" s="5"/>
      <c r="T2561" s="5"/>
      <c r="U2561" s="5"/>
      <c r="V2561" s="5"/>
      <c r="W2561" s="5"/>
      <c r="X2561" s="5"/>
      <c r="Y2561" s="5"/>
      <c r="Z2561" s="5"/>
    </row>
    <row r="2562" ht="12.0" customHeight="1">
      <c r="A2562" s="92" t="s">
        <v>636</v>
      </c>
      <c r="B2562" s="5"/>
      <c r="C2562" s="293">
        <f t="shared" ref="C2562:N2562" si="808">C2561</f>
        <v>0.7859666667</v>
      </c>
      <c r="D2562" s="293">
        <f t="shared" si="808"/>
        <v>0.6935</v>
      </c>
      <c r="E2562" s="293">
        <f t="shared" si="808"/>
        <v>0.8322</v>
      </c>
      <c r="F2562" s="293">
        <f t="shared" si="808"/>
        <v>0.8322</v>
      </c>
      <c r="G2562" s="293">
        <f t="shared" si="808"/>
        <v>0.8322</v>
      </c>
      <c r="H2562" s="293">
        <f t="shared" si="808"/>
        <v>0.7397333333</v>
      </c>
      <c r="I2562" s="293">
        <f t="shared" si="808"/>
        <v>0.8322</v>
      </c>
      <c r="J2562" s="293">
        <f t="shared" si="808"/>
        <v>0.8322</v>
      </c>
      <c r="K2562" s="293">
        <f t="shared" si="808"/>
        <v>0.7859666667</v>
      </c>
      <c r="L2562" s="293">
        <f t="shared" si="808"/>
        <v>0.6935</v>
      </c>
      <c r="M2562" s="293">
        <f t="shared" si="808"/>
        <v>0.6472666667</v>
      </c>
      <c r="N2562" s="293">
        <f t="shared" si="808"/>
        <v>0.7397333333</v>
      </c>
      <c r="O2562" s="5"/>
      <c r="P2562" s="5"/>
      <c r="Q2562" s="5"/>
      <c r="R2562" s="5"/>
      <c r="S2562" s="5"/>
      <c r="T2562" s="5"/>
      <c r="U2562" s="5"/>
      <c r="V2562" s="5"/>
      <c r="W2562" s="5"/>
      <c r="X2562" s="5"/>
      <c r="Y2562" s="5"/>
      <c r="Z2562" s="5"/>
    </row>
    <row r="2563" ht="12.0" customHeight="1">
      <c r="A2563" s="92" t="s">
        <v>637</v>
      </c>
      <c r="B2563" s="5"/>
      <c r="C2563" s="293">
        <f>Parametros!$M$116</f>
        <v>38.25</v>
      </c>
      <c r="D2563" s="293">
        <f>Parametros!$M$116</f>
        <v>38.25</v>
      </c>
      <c r="E2563" s="293">
        <f>Parametros!$M$116</f>
        <v>38.25</v>
      </c>
      <c r="F2563" s="293">
        <f>Parametros!$M$116</f>
        <v>38.25</v>
      </c>
      <c r="G2563" s="293">
        <f>Parametros!$M$116</f>
        <v>38.25</v>
      </c>
      <c r="H2563" s="293">
        <f>Parametros!$M$116</f>
        <v>38.25</v>
      </c>
      <c r="I2563" s="293">
        <f>Parametros!$M$116</f>
        <v>38.25</v>
      </c>
      <c r="J2563" s="293">
        <f>Parametros!$M$116</f>
        <v>38.25</v>
      </c>
      <c r="K2563" s="293">
        <f>Parametros!$M$116</f>
        <v>38.25</v>
      </c>
      <c r="L2563" s="293">
        <f>Parametros!$M$116</f>
        <v>38.25</v>
      </c>
      <c r="M2563" s="293">
        <f>Parametros!$M$116</f>
        <v>38.25</v>
      </c>
      <c r="N2563" s="293">
        <f>Parametros!$M$116</f>
        <v>38.25</v>
      </c>
      <c r="O2563" s="5"/>
      <c r="P2563" s="5"/>
      <c r="Q2563" s="5"/>
      <c r="R2563" s="5"/>
      <c r="S2563" s="5"/>
      <c r="T2563" s="5"/>
      <c r="U2563" s="5"/>
      <c r="V2563" s="5"/>
      <c r="W2563" s="5"/>
      <c r="X2563" s="5"/>
      <c r="Y2563" s="5"/>
      <c r="Z2563" s="5"/>
    </row>
    <row r="2564" ht="12.0" customHeight="1">
      <c r="A2564" s="92" t="s">
        <v>640</v>
      </c>
      <c r="B2564" s="5"/>
      <c r="C2564" s="203">
        <f>'Resumen Capacidad'!$G$224</f>
        <v>1</v>
      </c>
      <c r="D2564" s="203">
        <f>'Resumen Capacidad'!$G$224</f>
        <v>1</v>
      </c>
      <c r="E2564" s="203">
        <f>'Resumen Capacidad'!$G$224</f>
        <v>1</v>
      </c>
      <c r="F2564" s="203">
        <f>'Resumen Capacidad'!$G$224</f>
        <v>1</v>
      </c>
      <c r="G2564" s="203">
        <f>'Resumen Capacidad'!$G$224</f>
        <v>1</v>
      </c>
      <c r="H2564" s="203">
        <f>'Resumen Capacidad'!$G$224</f>
        <v>1</v>
      </c>
      <c r="I2564" s="203">
        <f>'Resumen Capacidad'!$G$224</f>
        <v>1</v>
      </c>
      <c r="J2564" s="203">
        <f>'Resumen Capacidad'!$G$224</f>
        <v>1</v>
      </c>
      <c r="K2564" s="203">
        <f>'Resumen Capacidad'!$G$224</f>
        <v>1</v>
      </c>
      <c r="L2564" s="203">
        <f>'Resumen Capacidad'!$G$224</f>
        <v>1</v>
      </c>
      <c r="M2564" s="203">
        <f>'Resumen Capacidad'!$G$224</f>
        <v>1</v>
      </c>
      <c r="N2564" s="203">
        <f>'Resumen Capacidad'!$G$224</f>
        <v>1</v>
      </c>
      <c r="O2564" s="5"/>
      <c r="P2564" s="5"/>
      <c r="Q2564" s="5"/>
      <c r="R2564" s="5"/>
      <c r="S2564" s="5"/>
      <c r="T2564" s="5"/>
      <c r="U2564" s="5"/>
      <c r="V2564" s="5"/>
      <c r="W2564" s="5"/>
      <c r="X2564" s="5"/>
      <c r="Y2564" s="5"/>
      <c r="Z2564" s="5"/>
    </row>
    <row r="2565" ht="12.0" customHeight="1">
      <c r="A2565" s="92" t="s">
        <v>642</v>
      </c>
      <c r="B2565" s="5"/>
      <c r="C2565" s="203">
        <f t="shared" ref="C2565:N2565" si="809">C2563*C2564</f>
        <v>38.25</v>
      </c>
      <c r="D2565" s="203">
        <f t="shared" si="809"/>
        <v>38.25</v>
      </c>
      <c r="E2565" s="203">
        <f t="shared" si="809"/>
        <v>38.25</v>
      </c>
      <c r="F2565" s="203">
        <f t="shared" si="809"/>
        <v>38.25</v>
      </c>
      <c r="G2565" s="203">
        <f t="shared" si="809"/>
        <v>38.25</v>
      </c>
      <c r="H2565" s="203">
        <f t="shared" si="809"/>
        <v>38.25</v>
      </c>
      <c r="I2565" s="203">
        <f t="shared" si="809"/>
        <v>38.25</v>
      </c>
      <c r="J2565" s="203">
        <f t="shared" si="809"/>
        <v>38.25</v>
      </c>
      <c r="K2565" s="203">
        <f t="shared" si="809"/>
        <v>38.25</v>
      </c>
      <c r="L2565" s="203">
        <f t="shared" si="809"/>
        <v>38.25</v>
      </c>
      <c r="M2565" s="203">
        <f t="shared" si="809"/>
        <v>38.25</v>
      </c>
      <c r="N2565" s="203">
        <f t="shared" si="809"/>
        <v>38.25</v>
      </c>
      <c r="O2565" s="5"/>
      <c r="P2565" s="5"/>
      <c r="Q2565" s="5"/>
      <c r="R2565" s="5"/>
      <c r="S2565" s="5"/>
      <c r="T2565" s="5"/>
      <c r="U2565" s="5"/>
      <c r="V2565" s="5"/>
      <c r="W2565" s="5"/>
      <c r="X2565" s="5"/>
      <c r="Y2565" s="5"/>
      <c r="Z2565" s="5"/>
    </row>
    <row r="2566" ht="12.0" customHeight="1">
      <c r="A2566" s="92" t="s">
        <v>643</v>
      </c>
      <c r="B2566" s="5"/>
      <c r="C2566" s="294">
        <f t="shared" ref="C2566:N2566" si="810">IF(C2565=0,0,C2562/C2565)</f>
        <v>0.02054814815</v>
      </c>
      <c r="D2566" s="294">
        <f t="shared" si="810"/>
        <v>0.01813071895</v>
      </c>
      <c r="E2566" s="294">
        <f t="shared" si="810"/>
        <v>0.02175686275</v>
      </c>
      <c r="F2566" s="294">
        <f t="shared" si="810"/>
        <v>0.02175686275</v>
      </c>
      <c r="G2566" s="294">
        <f t="shared" si="810"/>
        <v>0.02175686275</v>
      </c>
      <c r="H2566" s="294">
        <f t="shared" si="810"/>
        <v>0.01933943355</v>
      </c>
      <c r="I2566" s="294">
        <f t="shared" si="810"/>
        <v>0.02175686275</v>
      </c>
      <c r="J2566" s="294">
        <f t="shared" si="810"/>
        <v>0.02175686275</v>
      </c>
      <c r="K2566" s="294">
        <f t="shared" si="810"/>
        <v>0.02054814815</v>
      </c>
      <c r="L2566" s="294">
        <f t="shared" si="810"/>
        <v>0.01813071895</v>
      </c>
      <c r="M2566" s="294">
        <f t="shared" si="810"/>
        <v>0.01692200436</v>
      </c>
      <c r="N2566" s="294">
        <f t="shared" si="810"/>
        <v>0.01933943355</v>
      </c>
      <c r="O2566" s="5"/>
      <c r="P2566" s="5"/>
      <c r="Q2566" s="5"/>
      <c r="R2566" s="5"/>
      <c r="S2566" s="5"/>
      <c r="T2566" s="5"/>
      <c r="U2566" s="5"/>
      <c r="V2566" s="5"/>
      <c r="W2566" s="5"/>
      <c r="X2566" s="5"/>
      <c r="Y2566" s="5"/>
      <c r="Z2566" s="5"/>
    </row>
    <row r="2567" ht="12.0" customHeight="1">
      <c r="A2567" s="10" t="s">
        <v>1648</v>
      </c>
      <c r="B2567" s="5"/>
      <c r="C2567" s="206"/>
      <c r="D2567" s="206"/>
      <c r="E2567" s="206"/>
      <c r="F2567" s="206"/>
      <c r="G2567" s="206"/>
      <c r="H2567" s="206"/>
      <c r="I2567" s="206"/>
      <c r="J2567" s="206"/>
      <c r="K2567" s="206"/>
      <c r="L2567" s="206"/>
      <c r="M2567" s="206"/>
      <c r="N2567" s="206"/>
      <c r="O2567" s="5"/>
      <c r="P2567" s="5"/>
      <c r="Q2567" s="5"/>
      <c r="R2567" s="5"/>
      <c r="S2567" s="5"/>
      <c r="T2567" s="5"/>
      <c r="U2567" s="5"/>
      <c r="V2567" s="5"/>
      <c r="W2567" s="5"/>
      <c r="X2567" s="5"/>
      <c r="Y2567" s="5"/>
      <c r="Z2567" s="5"/>
    </row>
    <row r="2568" ht="12.0" customHeight="1">
      <c r="A2568" s="92" t="s">
        <v>630</v>
      </c>
      <c r="B2568" s="5" t="s">
        <v>631</v>
      </c>
      <c r="C2568" s="206" t="s">
        <v>3</v>
      </c>
      <c r="D2568" s="206" t="s">
        <v>4</v>
      </c>
      <c r="E2568" s="206" t="s">
        <v>507</v>
      </c>
      <c r="F2568" s="206" t="s">
        <v>508</v>
      </c>
      <c r="G2568" s="206" t="s">
        <v>509</v>
      </c>
      <c r="H2568" s="206" t="s">
        <v>510</v>
      </c>
      <c r="I2568" s="206" t="s">
        <v>511</v>
      </c>
      <c r="J2568" s="206" t="s">
        <v>512</v>
      </c>
      <c r="K2568" s="206" t="s">
        <v>513</v>
      </c>
      <c r="L2568" s="206" t="s">
        <v>514</v>
      </c>
      <c r="M2568" s="206" t="s">
        <v>515</v>
      </c>
      <c r="N2568" s="206" t="s">
        <v>516</v>
      </c>
      <c r="O2568" s="5"/>
      <c r="P2568" s="5"/>
      <c r="Q2568" s="5"/>
      <c r="R2568" s="5"/>
      <c r="S2568" s="5"/>
      <c r="T2568" s="5"/>
      <c r="U2568" s="5"/>
      <c r="V2568" s="5"/>
      <c r="W2568" s="5"/>
      <c r="X2568" s="5"/>
      <c r="Y2568" s="5"/>
      <c r="Z2568" s="5"/>
    </row>
    <row r="2569" ht="12.0" customHeight="1">
      <c r="A2569" s="92" t="s">
        <v>1643</v>
      </c>
      <c r="B2569" s="5" t="s">
        <v>633</v>
      </c>
      <c r="C2569" s="203">
        <f t="shared" ref="C2569:N2569" si="811">C2514</f>
        <v>117.895</v>
      </c>
      <c r="D2569" s="203">
        <f t="shared" si="811"/>
        <v>104.025</v>
      </c>
      <c r="E2569" s="203">
        <f t="shared" si="811"/>
        <v>124.83</v>
      </c>
      <c r="F2569" s="203">
        <f t="shared" si="811"/>
        <v>124.83</v>
      </c>
      <c r="G2569" s="203">
        <f t="shared" si="811"/>
        <v>124.83</v>
      </c>
      <c r="H2569" s="203">
        <f t="shared" si="811"/>
        <v>110.96</v>
      </c>
      <c r="I2569" s="203">
        <f t="shared" si="811"/>
        <v>124.83</v>
      </c>
      <c r="J2569" s="203">
        <f t="shared" si="811"/>
        <v>124.83</v>
      </c>
      <c r="K2569" s="203">
        <f t="shared" si="811"/>
        <v>117.895</v>
      </c>
      <c r="L2569" s="203">
        <f t="shared" si="811"/>
        <v>104.025</v>
      </c>
      <c r="M2569" s="203">
        <f t="shared" si="811"/>
        <v>97.09</v>
      </c>
      <c r="N2569" s="203">
        <f t="shared" si="811"/>
        <v>110.96</v>
      </c>
      <c r="O2569" s="5"/>
      <c r="P2569" s="5"/>
      <c r="Q2569" s="5"/>
      <c r="R2569" s="5"/>
      <c r="S2569" s="5"/>
      <c r="T2569" s="5"/>
      <c r="U2569" s="5"/>
      <c r="V2569" s="5"/>
      <c r="W2569" s="5"/>
      <c r="X2569" s="5"/>
      <c r="Y2569" s="5"/>
      <c r="Z2569" s="5"/>
    </row>
    <row r="2570" ht="12.0" customHeight="1">
      <c r="A2570" s="92"/>
      <c r="B2570" s="5" t="s">
        <v>634</v>
      </c>
      <c r="C2570" s="293">
        <f>C2569/Parametros!$B$37</f>
        <v>5.89475</v>
      </c>
      <c r="D2570" s="293">
        <f>D2569/Parametros!$B$37</f>
        <v>5.20125</v>
      </c>
      <c r="E2570" s="293">
        <f>E2569/Parametros!$B$37</f>
        <v>6.2415</v>
      </c>
      <c r="F2570" s="293">
        <f>F2569/Parametros!$B$37</f>
        <v>6.2415</v>
      </c>
      <c r="G2570" s="293">
        <f>G2569/Parametros!$B$37</f>
        <v>6.2415</v>
      </c>
      <c r="H2570" s="293">
        <f>H2569/Parametros!$B$37</f>
        <v>5.548</v>
      </c>
      <c r="I2570" s="293">
        <f>I2569/Parametros!$B$37</f>
        <v>6.2415</v>
      </c>
      <c r="J2570" s="293">
        <f>J2569/Parametros!$B$37</f>
        <v>6.2415</v>
      </c>
      <c r="K2570" s="293">
        <f>K2569/Parametros!$B$37</f>
        <v>5.89475</v>
      </c>
      <c r="L2570" s="293">
        <f>L2569/Parametros!$B$37</f>
        <v>5.20125</v>
      </c>
      <c r="M2570" s="293">
        <f>M2569/Parametros!$B$37</f>
        <v>4.8545</v>
      </c>
      <c r="N2570" s="293">
        <f>N2569/Parametros!$B$37</f>
        <v>5.548</v>
      </c>
      <c r="O2570" s="5"/>
      <c r="P2570" s="5"/>
      <c r="Q2570" s="5"/>
      <c r="R2570" s="5"/>
      <c r="S2570" s="5"/>
      <c r="T2570" s="5"/>
      <c r="U2570" s="5"/>
      <c r="V2570" s="5"/>
      <c r="W2570" s="5"/>
      <c r="X2570" s="5"/>
      <c r="Y2570" s="5"/>
      <c r="Z2570" s="5"/>
    </row>
    <row r="2571" ht="12.0" customHeight="1">
      <c r="A2571" s="92"/>
      <c r="B2571" s="5" t="s">
        <v>635</v>
      </c>
      <c r="C2571" s="293">
        <f>C2570/Parametros!$J$37</f>
        <v>0.7859666667</v>
      </c>
      <c r="D2571" s="293">
        <f>D2570/Parametros!$J$37</f>
        <v>0.6935</v>
      </c>
      <c r="E2571" s="293">
        <f>E2570/Parametros!$J$37</f>
        <v>0.8322</v>
      </c>
      <c r="F2571" s="293">
        <f>F2570/Parametros!$J$37</f>
        <v>0.8322</v>
      </c>
      <c r="G2571" s="293">
        <f>G2570/Parametros!$J$37</f>
        <v>0.8322</v>
      </c>
      <c r="H2571" s="293">
        <f>H2570/Parametros!$J$37</f>
        <v>0.7397333333</v>
      </c>
      <c r="I2571" s="293">
        <f>I2570/Parametros!$J$37</f>
        <v>0.8322</v>
      </c>
      <c r="J2571" s="293">
        <f>J2570/Parametros!$J$37</f>
        <v>0.8322</v>
      </c>
      <c r="K2571" s="293">
        <f>K2570/Parametros!$J$37</f>
        <v>0.7859666667</v>
      </c>
      <c r="L2571" s="293">
        <f>L2570/Parametros!$J$37</f>
        <v>0.6935</v>
      </c>
      <c r="M2571" s="293">
        <f>M2570/Parametros!$J$37</f>
        <v>0.6472666667</v>
      </c>
      <c r="N2571" s="293">
        <f>N2570/Parametros!$J$37</f>
        <v>0.7397333333</v>
      </c>
      <c r="O2571" s="5"/>
      <c r="P2571" s="5"/>
      <c r="Q2571" s="5"/>
      <c r="R2571" s="5"/>
      <c r="S2571" s="5"/>
      <c r="T2571" s="5"/>
      <c r="U2571" s="5"/>
      <c r="V2571" s="5"/>
      <c r="W2571" s="5"/>
      <c r="X2571" s="5"/>
      <c r="Y2571" s="5"/>
      <c r="Z2571" s="5"/>
    </row>
    <row r="2572" ht="12.0" customHeight="1">
      <c r="A2572" s="92" t="s">
        <v>636</v>
      </c>
      <c r="B2572" s="5"/>
      <c r="C2572" s="293">
        <f t="shared" ref="C2572:N2572" si="812">C2571</f>
        <v>0.7859666667</v>
      </c>
      <c r="D2572" s="293">
        <f t="shared" si="812"/>
        <v>0.6935</v>
      </c>
      <c r="E2572" s="293">
        <f t="shared" si="812"/>
        <v>0.8322</v>
      </c>
      <c r="F2572" s="293">
        <f t="shared" si="812"/>
        <v>0.8322</v>
      </c>
      <c r="G2572" s="293">
        <f t="shared" si="812"/>
        <v>0.8322</v>
      </c>
      <c r="H2572" s="293">
        <f t="shared" si="812"/>
        <v>0.7397333333</v>
      </c>
      <c r="I2572" s="293">
        <f t="shared" si="812"/>
        <v>0.8322</v>
      </c>
      <c r="J2572" s="293">
        <f t="shared" si="812"/>
        <v>0.8322</v>
      </c>
      <c r="K2572" s="293">
        <f t="shared" si="812"/>
        <v>0.7859666667</v>
      </c>
      <c r="L2572" s="293">
        <f t="shared" si="812"/>
        <v>0.6935</v>
      </c>
      <c r="M2572" s="293">
        <f t="shared" si="812"/>
        <v>0.6472666667</v>
      </c>
      <c r="N2572" s="293">
        <f t="shared" si="812"/>
        <v>0.7397333333</v>
      </c>
      <c r="O2572" s="5"/>
      <c r="P2572" s="5"/>
      <c r="Q2572" s="5"/>
      <c r="R2572" s="5"/>
      <c r="S2572" s="5"/>
      <c r="T2572" s="5"/>
      <c r="U2572" s="5"/>
      <c r="V2572" s="5"/>
      <c r="W2572" s="5"/>
      <c r="X2572" s="5"/>
      <c r="Y2572" s="5"/>
      <c r="Z2572" s="5"/>
    </row>
    <row r="2573" ht="12.0" customHeight="1">
      <c r="A2573" s="92" t="s">
        <v>637</v>
      </c>
      <c r="B2573" s="5"/>
      <c r="C2573" s="293">
        <f>Parametros!$M$117</f>
        <v>14.92682927</v>
      </c>
      <c r="D2573" s="293">
        <f>Parametros!$M$117</f>
        <v>14.92682927</v>
      </c>
      <c r="E2573" s="293">
        <f>Parametros!$M$117</f>
        <v>14.92682927</v>
      </c>
      <c r="F2573" s="293">
        <f>Parametros!$M$117</f>
        <v>14.92682927</v>
      </c>
      <c r="G2573" s="293">
        <f>Parametros!$M$117</f>
        <v>14.92682927</v>
      </c>
      <c r="H2573" s="293">
        <f>Parametros!$M$117</f>
        <v>14.92682927</v>
      </c>
      <c r="I2573" s="293">
        <f>Parametros!$M$117</f>
        <v>14.92682927</v>
      </c>
      <c r="J2573" s="293">
        <f>Parametros!$M$117</f>
        <v>14.92682927</v>
      </c>
      <c r="K2573" s="293">
        <f>Parametros!$M$117</f>
        <v>14.92682927</v>
      </c>
      <c r="L2573" s="293">
        <f>Parametros!$M$117</f>
        <v>14.92682927</v>
      </c>
      <c r="M2573" s="293">
        <f>Parametros!$M$117</f>
        <v>14.92682927</v>
      </c>
      <c r="N2573" s="293">
        <f>Parametros!$M$117</f>
        <v>14.92682927</v>
      </c>
      <c r="O2573" s="5"/>
      <c r="P2573" s="5"/>
      <c r="Q2573" s="5"/>
      <c r="R2573" s="5"/>
      <c r="S2573" s="5"/>
      <c r="T2573" s="5"/>
      <c r="U2573" s="5"/>
      <c r="V2573" s="5"/>
      <c r="W2573" s="5"/>
      <c r="X2573" s="5"/>
      <c r="Y2573" s="5"/>
      <c r="Z2573" s="5"/>
    </row>
    <row r="2574" ht="12.0" customHeight="1">
      <c r="A2574" s="92" t="s">
        <v>640</v>
      </c>
      <c r="B2574" s="5"/>
      <c r="C2574" s="203">
        <f>'Resumen Capacidad'!$G$225</f>
        <v>1</v>
      </c>
      <c r="D2574" s="203">
        <f>'Resumen Capacidad'!$G$225</f>
        <v>1</v>
      </c>
      <c r="E2574" s="203">
        <f>'Resumen Capacidad'!$G$225</f>
        <v>1</v>
      </c>
      <c r="F2574" s="203">
        <f>'Resumen Capacidad'!$G$225</f>
        <v>1</v>
      </c>
      <c r="G2574" s="203">
        <f>'Resumen Capacidad'!$G$225</f>
        <v>1</v>
      </c>
      <c r="H2574" s="203">
        <f>'Resumen Capacidad'!$G$225</f>
        <v>1</v>
      </c>
      <c r="I2574" s="203">
        <f>'Resumen Capacidad'!$G$225</f>
        <v>1</v>
      </c>
      <c r="J2574" s="203">
        <f>'Resumen Capacidad'!$G$225</f>
        <v>1</v>
      </c>
      <c r="K2574" s="203">
        <f>'Resumen Capacidad'!$G$225</f>
        <v>1</v>
      </c>
      <c r="L2574" s="203">
        <f>'Resumen Capacidad'!$G$225</f>
        <v>1</v>
      </c>
      <c r="M2574" s="203">
        <f>'Resumen Capacidad'!$G$225</f>
        <v>1</v>
      </c>
      <c r="N2574" s="203">
        <f>'Resumen Capacidad'!$G$225</f>
        <v>1</v>
      </c>
      <c r="O2574" s="5"/>
      <c r="P2574" s="5"/>
      <c r="Q2574" s="5"/>
      <c r="R2574" s="5"/>
      <c r="S2574" s="5"/>
      <c r="T2574" s="5"/>
      <c r="U2574" s="5"/>
      <c r="V2574" s="5"/>
      <c r="W2574" s="5"/>
      <c r="X2574" s="5"/>
      <c r="Y2574" s="5"/>
      <c r="Z2574" s="5"/>
    </row>
    <row r="2575" ht="12.0" customHeight="1">
      <c r="A2575" s="92" t="s">
        <v>642</v>
      </c>
      <c r="B2575" s="5"/>
      <c r="C2575" s="203">
        <f t="shared" ref="C2575:N2575" si="813">C2573*C2574</f>
        <v>14.92682927</v>
      </c>
      <c r="D2575" s="203">
        <f t="shared" si="813"/>
        <v>14.92682927</v>
      </c>
      <c r="E2575" s="203">
        <f t="shared" si="813"/>
        <v>14.92682927</v>
      </c>
      <c r="F2575" s="203">
        <f t="shared" si="813"/>
        <v>14.92682927</v>
      </c>
      <c r="G2575" s="203">
        <f t="shared" si="813"/>
        <v>14.92682927</v>
      </c>
      <c r="H2575" s="203">
        <f t="shared" si="813"/>
        <v>14.92682927</v>
      </c>
      <c r="I2575" s="203">
        <f t="shared" si="813"/>
        <v>14.92682927</v>
      </c>
      <c r="J2575" s="203">
        <f t="shared" si="813"/>
        <v>14.92682927</v>
      </c>
      <c r="K2575" s="203">
        <f t="shared" si="813"/>
        <v>14.92682927</v>
      </c>
      <c r="L2575" s="203">
        <f t="shared" si="813"/>
        <v>14.92682927</v>
      </c>
      <c r="M2575" s="203">
        <f t="shared" si="813"/>
        <v>14.92682927</v>
      </c>
      <c r="N2575" s="203">
        <f t="shared" si="813"/>
        <v>14.92682927</v>
      </c>
      <c r="O2575" s="5"/>
      <c r="P2575" s="5"/>
      <c r="Q2575" s="5"/>
      <c r="R2575" s="5"/>
      <c r="S2575" s="5"/>
      <c r="T2575" s="5"/>
      <c r="U2575" s="5"/>
      <c r="V2575" s="5"/>
      <c r="W2575" s="5"/>
      <c r="X2575" s="5"/>
      <c r="Y2575" s="5"/>
      <c r="Z2575" s="5"/>
    </row>
    <row r="2576" ht="12.0" customHeight="1">
      <c r="A2576" s="92" t="s">
        <v>643</v>
      </c>
      <c r="B2576" s="5"/>
      <c r="C2576" s="294">
        <f t="shared" ref="C2576:N2576" si="814">IF(C2575=0,0,C2572/C2575)</f>
        <v>0.05265462963</v>
      </c>
      <c r="D2576" s="294">
        <f t="shared" si="814"/>
        <v>0.04645996732</v>
      </c>
      <c r="E2576" s="294">
        <f t="shared" si="814"/>
        <v>0.05575196078</v>
      </c>
      <c r="F2576" s="294">
        <f t="shared" si="814"/>
        <v>0.05575196078</v>
      </c>
      <c r="G2576" s="294">
        <f t="shared" si="814"/>
        <v>0.05575196078</v>
      </c>
      <c r="H2576" s="294">
        <f t="shared" si="814"/>
        <v>0.04955729847</v>
      </c>
      <c r="I2576" s="294">
        <f t="shared" si="814"/>
        <v>0.05575196078</v>
      </c>
      <c r="J2576" s="294">
        <f t="shared" si="814"/>
        <v>0.05575196078</v>
      </c>
      <c r="K2576" s="294">
        <f t="shared" si="814"/>
        <v>0.05265462963</v>
      </c>
      <c r="L2576" s="294">
        <f t="shared" si="814"/>
        <v>0.04645996732</v>
      </c>
      <c r="M2576" s="294">
        <f t="shared" si="814"/>
        <v>0.04336263617</v>
      </c>
      <c r="N2576" s="294">
        <f t="shared" si="814"/>
        <v>0.04955729847</v>
      </c>
      <c r="O2576" s="5"/>
      <c r="P2576" s="5"/>
      <c r="Q2576" s="5"/>
      <c r="R2576" s="5"/>
      <c r="S2576" s="5"/>
      <c r="T2576" s="5"/>
      <c r="U2576" s="5"/>
      <c r="V2576" s="5"/>
      <c r="W2576" s="5"/>
      <c r="X2576" s="5"/>
      <c r="Y2576" s="5"/>
      <c r="Z2576" s="5"/>
    </row>
    <row r="2577" ht="12.0" customHeight="1">
      <c r="A2577" s="10" t="s">
        <v>1649</v>
      </c>
      <c r="B2577" s="5"/>
      <c r="C2577" s="206"/>
      <c r="D2577" s="206"/>
      <c r="E2577" s="206"/>
      <c r="F2577" s="206"/>
      <c r="G2577" s="206"/>
      <c r="H2577" s="206"/>
      <c r="I2577" s="206"/>
      <c r="J2577" s="206"/>
      <c r="K2577" s="206"/>
      <c r="L2577" s="206"/>
      <c r="M2577" s="206"/>
      <c r="N2577" s="206"/>
      <c r="O2577" s="5"/>
      <c r="P2577" s="5"/>
      <c r="Q2577" s="5"/>
      <c r="R2577" s="5"/>
      <c r="S2577" s="5"/>
      <c r="T2577" s="5"/>
      <c r="U2577" s="5"/>
      <c r="V2577" s="5"/>
      <c r="W2577" s="5"/>
      <c r="X2577" s="5"/>
      <c r="Y2577" s="5"/>
      <c r="Z2577" s="5"/>
    </row>
    <row r="2578" ht="12.0" customHeight="1">
      <c r="A2578" s="92" t="s">
        <v>630</v>
      </c>
      <c r="B2578" s="5" t="s">
        <v>631</v>
      </c>
      <c r="C2578" s="206" t="s">
        <v>3</v>
      </c>
      <c r="D2578" s="206" t="s">
        <v>4</v>
      </c>
      <c r="E2578" s="206" t="s">
        <v>507</v>
      </c>
      <c r="F2578" s="206" t="s">
        <v>508</v>
      </c>
      <c r="G2578" s="206" t="s">
        <v>509</v>
      </c>
      <c r="H2578" s="206" t="s">
        <v>510</v>
      </c>
      <c r="I2578" s="206" t="s">
        <v>511</v>
      </c>
      <c r="J2578" s="206" t="s">
        <v>512</v>
      </c>
      <c r="K2578" s="206" t="s">
        <v>513</v>
      </c>
      <c r="L2578" s="206" t="s">
        <v>514</v>
      </c>
      <c r="M2578" s="206" t="s">
        <v>515</v>
      </c>
      <c r="N2578" s="206" t="s">
        <v>516</v>
      </c>
      <c r="O2578" s="5"/>
      <c r="P2578" s="5"/>
      <c r="Q2578" s="5"/>
      <c r="R2578" s="5"/>
      <c r="S2578" s="5"/>
      <c r="T2578" s="5"/>
      <c r="U2578" s="5"/>
      <c r="V2578" s="5"/>
      <c r="W2578" s="5"/>
      <c r="X2578" s="5"/>
      <c r="Y2578" s="5"/>
      <c r="Z2578" s="5"/>
    </row>
    <row r="2579" ht="12.0" customHeight="1">
      <c r="A2579" s="92" t="s">
        <v>1643</v>
      </c>
      <c r="B2579" s="5" t="s">
        <v>633</v>
      </c>
      <c r="C2579" s="203">
        <f t="shared" ref="C2579:N2579" si="815">C2514</f>
        <v>117.895</v>
      </c>
      <c r="D2579" s="203">
        <f t="shared" si="815"/>
        <v>104.025</v>
      </c>
      <c r="E2579" s="203">
        <f t="shared" si="815"/>
        <v>124.83</v>
      </c>
      <c r="F2579" s="203">
        <f t="shared" si="815"/>
        <v>124.83</v>
      </c>
      <c r="G2579" s="203">
        <f t="shared" si="815"/>
        <v>124.83</v>
      </c>
      <c r="H2579" s="203">
        <f t="shared" si="815"/>
        <v>110.96</v>
      </c>
      <c r="I2579" s="203">
        <f t="shared" si="815"/>
        <v>124.83</v>
      </c>
      <c r="J2579" s="203">
        <f t="shared" si="815"/>
        <v>124.83</v>
      </c>
      <c r="K2579" s="203">
        <f t="shared" si="815"/>
        <v>117.895</v>
      </c>
      <c r="L2579" s="203">
        <f t="shared" si="815"/>
        <v>104.025</v>
      </c>
      <c r="M2579" s="203">
        <f t="shared" si="815"/>
        <v>97.09</v>
      </c>
      <c r="N2579" s="203">
        <f t="shared" si="815"/>
        <v>110.96</v>
      </c>
      <c r="O2579" s="5"/>
      <c r="P2579" s="5"/>
      <c r="Q2579" s="5"/>
      <c r="R2579" s="5"/>
      <c r="S2579" s="5"/>
      <c r="T2579" s="5"/>
      <c r="U2579" s="5"/>
      <c r="V2579" s="5"/>
      <c r="W2579" s="5"/>
      <c r="X2579" s="5"/>
      <c r="Y2579" s="5"/>
      <c r="Z2579" s="5"/>
    </row>
    <row r="2580" ht="12.0" customHeight="1">
      <c r="A2580" s="92"/>
      <c r="B2580" s="5" t="s">
        <v>634</v>
      </c>
      <c r="C2580" s="293">
        <f>C2579/Parametros!$B$37</f>
        <v>5.89475</v>
      </c>
      <c r="D2580" s="293">
        <f>D2579/Parametros!$B$37</f>
        <v>5.20125</v>
      </c>
      <c r="E2580" s="293">
        <f>E2579/Parametros!$B$37</f>
        <v>6.2415</v>
      </c>
      <c r="F2580" s="293">
        <f>F2579/Parametros!$B$37</f>
        <v>6.2415</v>
      </c>
      <c r="G2580" s="293">
        <f>G2579/Parametros!$B$37</f>
        <v>6.2415</v>
      </c>
      <c r="H2580" s="293">
        <f>H2579/Parametros!$B$37</f>
        <v>5.548</v>
      </c>
      <c r="I2580" s="293">
        <f>I2579/Parametros!$B$37</f>
        <v>6.2415</v>
      </c>
      <c r="J2580" s="293">
        <f>J2579/Parametros!$B$37</f>
        <v>6.2415</v>
      </c>
      <c r="K2580" s="293">
        <f>K2579/Parametros!$B$37</f>
        <v>5.89475</v>
      </c>
      <c r="L2580" s="293">
        <f>L2579/Parametros!$B$37</f>
        <v>5.20125</v>
      </c>
      <c r="M2580" s="293">
        <f>M2579/Parametros!$B$37</f>
        <v>4.8545</v>
      </c>
      <c r="N2580" s="293">
        <f>N2579/Parametros!$B$37</f>
        <v>5.548</v>
      </c>
      <c r="O2580" s="5"/>
      <c r="P2580" s="5"/>
      <c r="Q2580" s="5"/>
      <c r="R2580" s="5"/>
      <c r="S2580" s="5"/>
      <c r="T2580" s="5"/>
      <c r="U2580" s="5"/>
      <c r="V2580" s="5"/>
      <c r="W2580" s="5"/>
      <c r="X2580" s="5"/>
      <c r="Y2580" s="5"/>
      <c r="Z2580" s="5"/>
    </row>
    <row r="2581" ht="12.0" customHeight="1">
      <c r="A2581" s="92"/>
      <c r="B2581" s="5" t="s">
        <v>635</v>
      </c>
      <c r="C2581" s="293">
        <f>C2580/Parametros!$J$37</f>
        <v>0.7859666667</v>
      </c>
      <c r="D2581" s="293">
        <f>D2580/Parametros!$J$37</f>
        <v>0.6935</v>
      </c>
      <c r="E2581" s="293">
        <f>E2580/Parametros!$J$37</f>
        <v>0.8322</v>
      </c>
      <c r="F2581" s="293">
        <f>F2580/Parametros!$J$37</f>
        <v>0.8322</v>
      </c>
      <c r="G2581" s="293">
        <f>G2580/Parametros!$J$37</f>
        <v>0.8322</v>
      </c>
      <c r="H2581" s="293">
        <f>H2580/Parametros!$J$37</f>
        <v>0.7397333333</v>
      </c>
      <c r="I2581" s="293">
        <f>I2580/Parametros!$J$37</f>
        <v>0.8322</v>
      </c>
      <c r="J2581" s="293">
        <f>J2580/Parametros!$J$37</f>
        <v>0.8322</v>
      </c>
      <c r="K2581" s="293">
        <f>K2580/Parametros!$J$37</f>
        <v>0.7859666667</v>
      </c>
      <c r="L2581" s="293">
        <f>L2580/Parametros!$J$37</f>
        <v>0.6935</v>
      </c>
      <c r="M2581" s="293">
        <f>M2580/Parametros!$J$37</f>
        <v>0.6472666667</v>
      </c>
      <c r="N2581" s="293">
        <f>N2580/Parametros!$J$37</f>
        <v>0.7397333333</v>
      </c>
      <c r="O2581" s="5"/>
      <c r="P2581" s="5"/>
      <c r="Q2581" s="5"/>
      <c r="R2581" s="5"/>
      <c r="S2581" s="5"/>
      <c r="T2581" s="5"/>
      <c r="U2581" s="5"/>
      <c r="V2581" s="5"/>
      <c r="W2581" s="5"/>
      <c r="X2581" s="5"/>
      <c r="Y2581" s="5"/>
      <c r="Z2581" s="5"/>
    </row>
    <row r="2582" ht="12.0" customHeight="1">
      <c r="A2582" s="92" t="s">
        <v>636</v>
      </c>
      <c r="B2582" s="5"/>
      <c r="C2582" s="293">
        <f t="shared" ref="C2582:N2582" si="816">C2581</f>
        <v>0.7859666667</v>
      </c>
      <c r="D2582" s="293">
        <f t="shared" si="816"/>
        <v>0.6935</v>
      </c>
      <c r="E2582" s="293">
        <f t="shared" si="816"/>
        <v>0.8322</v>
      </c>
      <c r="F2582" s="293">
        <f t="shared" si="816"/>
        <v>0.8322</v>
      </c>
      <c r="G2582" s="293">
        <f t="shared" si="816"/>
        <v>0.8322</v>
      </c>
      <c r="H2582" s="293">
        <f t="shared" si="816"/>
        <v>0.7397333333</v>
      </c>
      <c r="I2582" s="293">
        <f t="shared" si="816"/>
        <v>0.8322</v>
      </c>
      <c r="J2582" s="293">
        <f t="shared" si="816"/>
        <v>0.8322</v>
      </c>
      <c r="K2582" s="293">
        <f t="shared" si="816"/>
        <v>0.7859666667</v>
      </c>
      <c r="L2582" s="293">
        <f t="shared" si="816"/>
        <v>0.6935</v>
      </c>
      <c r="M2582" s="293">
        <f t="shared" si="816"/>
        <v>0.6472666667</v>
      </c>
      <c r="N2582" s="293">
        <f t="shared" si="816"/>
        <v>0.7397333333</v>
      </c>
      <c r="O2582" s="5"/>
      <c r="P2582" s="5"/>
      <c r="Q2582" s="5"/>
      <c r="R2582" s="5"/>
      <c r="S2582" s="5"/>
      <c r="T2582" s="5"/>
      <c r="U2582" s="5"/>
      <c r="V2582" s="5"/>
      <c r="W2582" s="5"/>
      <c r="X2582" s="5"/>
      <c r="Y2582" s="5"/>
      <c r="Z2582" s="5"/>
    </row>
    <row r="2583" ht="12.0" customHeight="1">
      <c r="A2583" s="92" t="s">
        <v>637</v>
      </c>
      <c r="B2583" s="5"/>
      <c r="C2583" s="293">
        <f>Parametros!$M$118</f>
        <v>38.25</v>
      </c>
      <c r="D2583" s="293">
        <f>Parametros!$M$118</f>
        <v>38.25</v>
      </c>
      <c r="E2583" s="293">
        <f>Parametros!$M$118</f>
        <v>38.25</v>
      </c>
      <c r="F2583" s="293">
        <f>Parametros!$M$118</f>
        <v>38.25</v>
      </c>
      <c r="G2583" s="293">
        <f>Parametros!$M$118</f>
        <v>38.25</v>
      </c>
      <c r="H2583" s="293">
        <f>Parametros!$M$118</f>
        <v>38.25</v>
      </c>
      <c r="I2583" s="293">
        <f>Parametros!$M$118</f>
        <v>38.25</v>
      </c>
      <c r="J2583" s="293">
        <f>Parametros!$M$118</f>
        <v>38.25</v>
      </c>
      <c r="K2583" s="293">
        <f>Parametros!$M$118</f>
        <v>38.25</v>
      </c>
      <c r="L2583" s="293">
        <f>Parametros!$M$118</f>
        <v>38.25</v>
      </c>
      <c r="M2583" s="293">
        <f>Parametros!$M$118</f>
        <v>38.25</v>
      </c>
      <c r="N2583" s="293">
        <f>Parametros!$M$118</f>
        <v>38.25</v>
      </c>
      <c r="O2583" s="5"/>
      <c r="P2583" s="5"/>
      <c r="Q2583" s="5"/>
      <c r="R2583" s="5"/>
      <c r="S2583" s="5"/>
      <c r="T2583" s="5"/>
      <c r="U2583" s="5"/>
      <c r="V2583" s="5"/>
      <c r="W2583" s="5"/>
      <c r="X2583" s="5"/>
      <c r="Y2583" s="5"/>
      <c r="Z2583" s="5"/>
    </row>
    <row r="2584" ht="12.0" customHeight="1">
      <c r="A2584" s="92" t="s">
        <v>640</v>
      </c>
      <c r="B2584" s="5"/>
      <c r="C2584" s="203">
        <f>'Resumen Capacidad'!$G$226</f>
        <v>1</v>
      </c>
      <c r="D2584" s="203">
        <f>'Resumen Capacidad'!$G$226</f>
        <v>1</v>
      </c>
      <c r="E2584" s="203">
        <f>'Resumen Capacidad'!$G$226</f>
        <v>1</v>
      </c>
      <c r="F2584" s="203">
        <f>'Resumen Capacidad'!$G$226</f>
        <v>1</v>
      </c>
      <c r="G2584" s="203">
        <f>'Resumen Capacidad'!$G$226</f>
        <v>1</v>
      </c>
      <c r="H2584" s="203">
        <f>'Resumen Capacidad'!$G$226</f>
        <v>1</v>
      </c>
      <c r="I2584" s="203">
        <f>'Resumen Capacidad'!$G$226</f>
        <v>1</v>
      </c>
      <c r="J2584" s="203">
        <f>'Resumen Capacidad'!$G$226</f>
        <v>1</v>
      </c>
      <c r="K2584" s="203">
        <f>'Resumen Capacidad'!$G$226</f>
        <v>1</v>
      </c>
      <c r="L2584" s="203">
        <f>'Resumen Capacidad'!$G$226</f>
        <v>1</v>
      </c>
      <c r="M2584" s="203">
        <f>'Resumen Capacidad'!$G$226</f>
        <v>1</v>
      </c>
      <c r="N2584" s="203">
        <f>'Resumen Capacidad'!$G$226</f>
        <v>1</v>
      </c>
      <c r="O2584" s="5"/>
      <c r="P2584" s="5"/>
      <c r="Q2584" s="5"/>
      <c r="R2584" s="5"/>
      <c r="S2584" s="5"/>
      <c r="T2584" s="5"/>
      <c r="U2584" s="5"/>
      <c r="V2584" s="5"/>
      <c r="W2584" s="5"/>
      <c r="X2584" s="5"/>
      <c r="Y2584" s="5"/>
      <c r="Z2584" s="5"/>
    </row>
    <row r="2585" ht="12.0" customHeight="1">
      <c r="A2585" s="92" t="s">
        <v>642</v>
      </c>
      <c r="B2585" s="5"/>
      <c r="C2585" s="203">
        <f t="shared" ref="C2585:N2585" si="817">C2583*C2584</f>
        <v>38.25</v>
      </c>
      <c r="D2585" s="203">
        <f t="shared" si="817"/>
        <v>38.25</v>
      </c>
      <c r="E2585" s="203">
        <f t="shared" si="817"/>
        <v>38.25</v>
      </c>
      <c r="F2585" s="203">
        <f t="shared" si="817"/>
        <v>38.25</v>
      </c>
      <c r="G2585" s="203">
        <f t="shared" si="817"/>
        <v>38.25</v>
      </c>
      <c r="H2585" s="203">
        <f t="shared" si="817"/>
        <v>38.25</v>
      </c>
      <c r="I2585" s="203">
        <f t="shared" si="817"/>
        <v>38.25</v>
      </c>
      <c r="J2585" s="203">
        <f t="shared" si="817"/>
        <v>38.25</v>
      </c>
      <c r="K2585" s="203">
        <f t="shared" si="817"/>
        <v>38.25</v>
      </c>
      <c r="L2585" s="203">
        <f t="shared" si="817"/>
        <v>38.25</v>
      </c>
      <c r="M2585" s="203">
        <f t="shared" si="817"/>
        <v>38.25</v>
      </c>
      <c r="N2585" s="203">
        <f t="shared" si="817"/>
        <v>38.25</v>
      </c>
      <c r="O2585" s="5"/>
      <c r="P2585" s="5"/>
      <c r="Q2585" s="5"/>
      <c r="R2585" s="5"/>
      <c r="S2585" s="5"/>
      <c r="T2585" s="5"/>
      <c r="U2585" s="5"/>
      <c r="V2585" s="5"/>
      <c r="W2585" s="5"/>
      <c r="X2585" s="5"/>
      <c r="Y2585" s="5"/>
      <c r="Z2585" s="5"/>
    </row>
    <row r="2586" ht="12.0" customHeight="1">
      <c r="A2586" s="92" t="s">
        <v>643</v>
      </c>
      <c r="B2586" s="5"/>
      <c r="C2586" s="294">
        <f t="shared" ref="C2586:N2586" si="818">IF(C2585=0,0,C2582/C2585)</f>
        <v>0.02054814815</v>
      </c>
      <c r="D2586" s="294">
        <f t="shared" si="818"/>
        <v>0.01813071895</v>
      </c>
      <c r="E2586" s="294">
        <f t="shared" si="818"/>
        <v>0.02175686275</v>
      </c>
      <c r="F2586" s="294">
        <f t="shared" si="818"/>
        <v>0.02175686275</v>
      </c>
      <c r="G2586" s="294">
        <f t="shared" si="818"/>
        <v>0.02175686275</v>
      </c>
      <c r="H2586" s="294">
        <f t="shared" si="818"/>
        <v>0.01933943355</v>
      </c>
      <c r="I2586" s="294">
        <f t="shared" si="818"/>
        <v>0.02175686275</v>
      </c>
      <c r="J2586" s="294">
        <f t="shared" si="818"/>
        <v>0.02175686275</v>
      </c>
      <c r="K2586" s="294">
        <f t="shared" si="818"/>
        <v>0.02054814815</v>
      </c>
      <c r="L2586" s="294">
        <f t="shared" si="818"/>
        <v>0.01813071895</v>
      </c>
      <c r="M2586" s="294">
        <f t="shared" si="818"/>
        <v>0.01692200436</v>
      </c>
      <c r="N2586" s="294">
        <f t="shared" si="818"/>
        <v>0.01933943355</v>
      </c>
      <c r="O2586" s="5"/>
      <c r="P2586" s="5"/>
      <c r="Q2586" s="5"/>
      <c r="R2586" s="5"/>
      <c r="S2586" s="5"/>
      <c r="T2586" s="5"/>
      <c r="U2586" s="5"/>
      <c r="V2586" s="5"/>
      <c r="W2586" s="5"/>
      <c r="X2586" s="5"/>
      <c r="Y2586" s="5"/>
      <c r="Z2586" s="5"/>
    </row>
    <row r="2587" ht="12.0" customHeight="1">
      <c r="A2587" s="10" t="s">
        <v>1650</v>
      </c>
      <c r="B2587" s="5"/>
      <c r="C2587" s="206"/>
      <c r="D2587" s="206"/>
      <c r="E2587" s="206"/>
      <c r="F2587" s="206"/>
      <c r="G2587" s="206"/>
      <c r="H2587" s="206"/>
      <c r="I2587" s="206"/>
      <c r="J2587" s="206"/>
      <c r="K2587" s="206"/>
      <c r="L2587" s="206"/>
      <c r="M2587" s="206"/>
      <c r="N2587" s="206"/>
      <c r="O2587" s="5"/>
      <c r="P2587" s="5"/>
      <c r="Q2587" s="5"/>
      <c r="R2587" s="5"/>
      <c r="S2587" s="5"/>
      <c r="T2587" s="5"/>
      <c r="U2587" s="5"/>
      <c r="V2587" s="5"/>
      <c r="W2587" s="5"/>
      <c r="X2587" s="5"/>
      <c r="Y2587" s="5"/>
      <c r="Z2587" s="5"/>
    </row>
    <row r="2588" ht="12.0" customHeight="1">
      <c r="A2588" s="92" t="s">
        <v>630</v>
      </c>
      <c r="B2588" s="5" t="s">
        <v>631</v>
      </c>
      <c r="C2588" s="206" t="s">
        <v>3</v>
      </c>
      <c r="D2588" s="206" t="s">
        <v>4</v>
      </c>
      <c r="E2588" s="206" t="s">
        <v>507</v>
      </c>
      <c r="F2588" s="206" t="s">
        <v>508</v>
      </c>
      <c r="G2588" s="206" t="s">
        <v>509</v>
      </c>
      <c r="H2588" s="206" t="s">
        <v>510</v>
      </c>
      <c r="I2588" s="206" t="s">
        <v>511</v>
      </c>
      <c r="J2588" s="206" t="s">
        <v>512</v>
      </c>
      <c r="K2588" s="206" t="s">
        <v>513</v>
      </c>
      <c r="L2588" s="206" t="s">
        <v>514</v>
      </c>
      <c r="M2588" s="206" t="s">
        <v>515</v>
      </c>
      <c r="N2588" s="206" t="s">
        <v>516</v>
      </c>
      <c r="O2588" s="5"/>
      <c r="P2588" s="5"/>
      <c r="Q2588" s="5"/>
      <c r="R2588" s="5"/>
      <c r="S2588" s="5"/>
      <c r="T2588" s="5"/>
      <c r="U2588" s="5"/>
      <c r="V2588" s="5"/>
      <c r="W2588" s="5"/>
      <c r="X2588" s="5"/>
      <c r="Y2588" s="5"/>
      <c r="Z2588" s="5"/>
    </row>
    <row r="2589" ht="12.0" customHeight="1">
      <c r="A2589" s="92" t="s">
        <v>1643</v>
      </c>
      <c r="B2589" s="5" t="s">
        <v>633</v>
      </c>
      <c r="C2589" s="203">
        <f t="shared" ref="C2589:N2589" si="819">C2514</f>
        <v>117.895</v>
      </c>
      <c r="D2589" s="203">
        <f t="shared" si="819"/>
        <v>104.025</v>
      </c>
      <c r="E2589" s="203">
        <f t="shared" si="819"/>
        <v>124.83</v>
      </c>
      <c r="F2589" s="203">
        <f t="shared" si="819"/>
        <v>124.83</v>
      </c>
      <c r="G2589" s="203">
        <f t="shared" si="819"/>
        <v>124.83</v>
      </c>
      <c r="H2589" s="203">
        <f t="shared" si="819"/>
        <v>110.96</v>
      </c>
      <c r="I2589" s="203">
        <f t="shared" si="819"/>
        <v>124.83</v>
      </c>
      <c r="J2589" s="203">
        <f t="shared" si="819"/>
        <v>124.83</v>
      </c>
      <c r="K2589" s="203">
        <f t="shared" si="819"/>
        <v>117.895</v>
      </c>
      <c r="L2589" s="203">
        <f t="shared" si="819"/>
        <v>104.025</v>
      </c>
      <c r="M2589" s="203">
        <f t="shared" si="819"/>
        <v>97.09</v>
      </c>
      <c r="N2589" s="203">
        <f t="shared" si="819"/>
        <v>110.96</v>
      </c>
      <c r="O2589" s="5"/>
      <c r="P2589" s="5"/>
      <c r="Q2589" s="5"/>
      <c r="R2589" s="5"/>
      <c r="S2589" s="5"/>
      <c r="T2589" s="5"/>
      <c r="U2589" s="5"/>
      <c r="V2589" s="5"/>
      <c r="W2589" s="5"/>
      <c r="X2589" s="5"/>
      <c r="Y2589" s="5"/>
      <c r="Z2589" s="5"/>
    </row>
    <row r="2590" ht="12.0" customHeight="1">
      <c r="A2590" s="92"/>
      <c r="B2590" s="5" t="s">
        <v>634</v>
      </c>
      <c r="C2590" s="293">
        <f>C2589/Parametros!$B$37</f>
        <v>5.89475</v>
      </c>
      <c r="D2590" s="293">
        <f>D2589/Parametros!$B$37</f>
        <v>5.20125</v>
      </c>
      <c r="E2590" s="293">
        <f>E2589/Parametros!$B$37</f>
        <v>6.2415</v>
      </c>
      <c r="F2590" s="293">
        <f>F2589/Parametros!$B$37</f>
        <v>6.2415</v>
      </c>
      <c r="G2590" s="293">
        <f>G2589/Parametros!$B$37</f>
        <v>6.2415</v>
      </c>
      <c r="H2590" s="293">
        <f>H2589/Parametros!$B$37</f>
        <v>5.548</v>
      </c>
      <c r="I2590" s="293">
        <f>I2589/Parametros!$B$37</f>
        <v>6.2415</v>
      </c>
      <c r="J2590" s="293">
        <f>J2589/Parametros!$B$37</f>
        <v>6.2415</v>
      </c>
      <c r="K2590" s="293">
        <f>K2589/Parametros!$B$37</f>
        <v>5.89475</v>
      </c>
      <c r="L2590" s="293">
        <f>L2589/Parametros!$B$37</f>
        <v>5.20125</v>
      </c>
      <c r="M2590" s="293">
        <f>M2589/Parametros!$B$37</f>
        <v>4.8545</v>
      </c>
      <c r="N2590" s="293">
        <f>N2589/Parametros!$B$37</f>
        <v>5.548</v>
      </c>
      <c r="O2590" s="5"/>
      <c r="P2590" s="5"/>
      <c r="Q2590" s="5"/>
      <c r="R2590" s="5"/>
      <c r="S2590" s="5"/>
      <c r="T2590" s="5"/>
      <c r="U2590" s="5"/>
      <c r="V2590" s="5"/>
      <c r="W2590" s="5"/>
      <c r="X2590" s="5"/>
      <c r="Y2590" s="5"/>
      <c r="Z2590" s="5"/>
    </row>
    <row r="2591" ht="12.0" customHeight="1">
      <c r="A2591" s="92"/>
      <c r="B2591" s="5" t="s">
        <v>635</v>
      </c>
      <c r="C2591" s="293">
        <f>C2590/Parametros!$J$37</f>
        <v>0.7859666667</v>
      </c>
      <c r="D2591" s="293">
        <f>D2590/Parametros!$J$37</f>
        <v>0.6935</v>
      </c>
      <c r="E2591" s="293">
        <f>E2590/Parametros!$J$37</f>
        <v>0.8322</v>
      </c>
      <c r="F2591" s="293">
        <f>F2590/Parametros!$J$37</f>
        <v>0.8322</v>
      </c>
      <c r="G2591" s="293">
        <f>G2590/Parametros!$J$37</f>
        <v>0.8322</v>
      </c>
      <c r="H2591" s="293">
        <f>H2590/Parametros!$J$37</f>
        <v>0.7397333333</v>
      </c>
      <c r="I2591" s="293">
        <f>I2590/Parametros!$J$37</f>
        <v>0.8322</v>
      </c>
      <c r="J2591" s="293">
        <f>J2590/Parametros!$J$37</f>
        <v>0.8322</v>
      </c>
      <c r="K2591" s="293">
        <f>K2590/Parametros!$J$37</f>
        <v>0.7859666667</v>
      </c>
      <c r="L2591" s="293">
        <f>L2590/Parametros!$J$37</f>
        <v>0.6935</v>
      </c>
      <c r="M2591" s="293">
        <f>M2590/Parametros!$J$37</f>
        <v>0.6472666667</v>
      </c>
      <c r="N2591" s="293">
        <f>N2590/Parametros!$J$37</f>
        <v>0.7397333333</v>
      </c>
      <c r="O2591" s="5"/>
      <c r="P2591" s="5"/>
      <c r="Q2591" s="5"/>
      <c r="R2591" s="5"/>
      <c r="S2591" s="5"/>
      <c r="T2591" s="5"/>
      <c r="U2591" s="5"/>
      <c r="V2591" s="5"/>
      <c r="W2591" s="5"/>
      <c r="X2591" s="5"/>
      <c r="Y2591" s="5"/>
      <c r="Z2591" s="5"/>
    </row>
    <row r="2592" ht="12.0" customHeight="1">
      <c r="A2592" s="92" t="s">
        <v>636</v>
      </c>
      <c r="B2592" s="5"/>
      <c r="C2592" s="293">
        <f t="shared" ref="C2592:N2592" si="820">C2591</f>
        <v>0.7859666667</v>
      </c>
      <c r="D2592" s="293">
        <f t="shared" si="820"/>
        <v>0.6935</v>
      </c>
      <c r="E2592" s="293">
        <f t="shared" si="820"/>
        <v>0.8322</v>
      </c>
      <c r="F2592" s="293">
        <f t="shared" si="820"/>
        <v>0.8322</v>
      </c>
      <c r="G2592" s="293">
        <f t="shared" si="820"/>
        <v>0.8322</v>
      </c>
      <c r="H2592" s="293">
        <f t="shared" si="820"/>
        <v>0.7397333333</v>
      </c>
      <c r="I2592" s="293">
        <f t="shared" si="820"/>
        <v>0.8322</v>
      </c>
      <c r="J2592" s="293">
        <f t="shared" si="820"/>
        <v>0.8322</v>
      </c>
      <c r="K2592" s="293">
        <f t="shared" si="820"/>
        <v>0.7859666667</v>
      </c>
      <c r="L2592" s="293">
        <f t="shared" si="820"/>
        <v>0.6935</v>
      </c>
      <c r="M2592" s="293">
        <f t="shared" si="820"/>
        <v>0.6472666667</v>
      </c>
      <c r="N2592" s="293">
        <f t="shared" si="820"/>
        <v>0.7397333333</v>
      </c>
      <c r="O2592" s="5"/>
      <c r="P2592" s="5"/>
      <c r="Q2592" s="5"/>
      <c r="R2592" s="5"/>
      <c r="S2592" s="5"/>
      <c r="T2592" s="5"/>
      <c r="U2592" s="5"/>
      <c r="V2592" s="5"/>
      <c r="W2592" s="5"/>
      <c r="X2592" s="5"/>
      <c r="Y2592" s="5"/>
      <c r="Z2592" s="5"/>
    </row>
    <row r="2593" ht="12.0" customHeight="1">
      <c r="A2593" s="92" t="s">
        <v>637</v>
      </c>
      <c r="B2593" s="5"/>
      <c r="C2593" s="293">
        <f>Parametros!$M$119</f>
        <v>5.666666667</v>
      </c>
      <c r="D2593" s="293">
        <f>Parametros!$M$119</f>
        <v>5.666666667</v>
      </c>
      <c r="E2593" s="293">
        <f>Parametros!$M$119</f>
        <v>5.666666667</v>
      </c>
      <c r="F2593" s="293">
        <f>Parametros!$M$119</f>
        <v>5.666666667</v>
      </c>
      <c r="G2593" s="293">
        <f>Parametros!$M$119</f>
        <v>5.666666667</v>
      </c>
      <c r="H2593" s="293">
        <f>Parametros!$M$119</f>
        <v>5.666666667</v>
      </c>
      <c r="I2593" s="293">
        <f>Parametros!$M$119</f>
        <v>5.666666667</v>
      </c>
      <c r="J2593" s="293">
        <f>Parametros!$M$119</f>
        <v>5.666666667</v>
      </c>
      <c r="K2593" s="293">
        <f>Parametros!$M$119</f>
        <v>5.666666667</v>
      </c>
      <c r="L2593" s="293">
        <f>Parametros!$M$119</f>
        <v>5.666666667</v>
      </c>
      <c r="M2593" s="293">
        <f>Parametros!$M$119</f>
        <v>5.666666667</v>
      </c>
      <c r="N2593" s="293">
        <f>Parametros!$M$119</f>
        <v>5.666666667</v>
      </c>
      <c r="O2593" s="5"/>
      <c r="P2593" s="5"/>
      <c r="Q2593" s="5"/>
      <c r="R2593" s="5"/>
      <c r="S2593" s="5"/>
      <c r="T2593" s="5"/>
      <c r="U2593" s="5"/>
      <c r="V2593" s="5"/>
      <c r="W2593" s="5"/>
      <c r="X2593" s="5"/>
      <c r="Y2593" s="5"/>
      <c r="Z2593" s="5"/>
    </row>
    <row r="2594" ht="12.0" customHeight="1">
      <c r="A2594" s="92" t="s">
        <v>640</v>
      </c>
      <c r="B2594" s="5"/>
      <c r="C2594" s="203">
        <f>'Resumen Capacidad'!$G$227</f>
        <v>1</v>
      </c>
      <c r="D2594" s="203">
        <f>'Resumen Capacidad'!$G$227</f>
        <v>1</v>
      </c>
      <c r="E2594" s="203">
        <f>'Resumen Capacidad'!$G$227</f>
        <v>1</v>
      </c>
      <c r="F2594" s="203">
        <f>'Resumen Capacidad'!$G$227</f>
        <v>1</v>
      </c>
      <c r="G2594" s="203">
        <f>'Resumen Capacidad'!$G$227</f>
        <v>1</v>
      </c>
      <c r="H2594" s="203">
        <f>'Resumen Capacidad'!$G$227</f>
        <v>1</v>
      </c>
      <c r="I2594" s="203">
        <f>'Resumen Capacidad'!$G$227</f>
        <v>1</v>
      </c>
      <c r="J2594" s="203">
        <f>'Resumen Capacidad'!$G$227</f>
        <v>1</v>
      </c>
      <c r="K2594" s="203">
        <f>'Resumen Capacidad'!$G$227</f>
        <v>1</v>
      </c>
      <c r="L2594" s="203">
        <f>'Resumen Capacidad'!$G$227</f>
        <v>1</v>
      </c>
      <c r="M2594" s="203">
        <f>'Resumen Capacidad'!$G$227</f>
        <v>1</v>
      </c>
      <c r="N2594" s="203">
        <f>'Resumen Capacidad'!$G$227</f>
        <v>1</v>
      </c>
      <c r="O2594" s="5"/>
      <c r="P2594" s="5"/>
      <c r="Q2594" s="5"/>
      <c r="R2594" s="5"/>
      <c r="S2594" s="5"/>
      <c r="T2594" s="5"/>
      <c r="U2594" s="5"/>
      <c r="V2594" s="5"/>
      <c r="W2594" s="5"/>
      <c r="X2594" s="5"/>
      <c r="Y2594" s="5"/>
      <c r="Z2594" s="5"/>
    </row>
    <row r="2595" ht="12.0" customHeight="1">
      <c r="A2595" s="92" t="s">
        <v>642</v>
      </c>
      <c r="B2595" s="5"/>
      <c r="C2595" s="203">
        <f t="shared" ref="C2595:N2595" si="821">C2593*C2594</f>
        <v>5.666666667</v>
      </c>
      <c r="D2595" s="203">
        <f t="shared" si="821"/>
        <v>5.666666667</v>
      </c>
      <c r="E2595" s="203">
        <f t="shared" si="821"/>
        <v>5.666666667</v>
      </c>
      <c r="F2595" s="203">
        <f t="shared" si="821"/>
        <v>5.666666667</v>
      </c>
      <c r="G2595" s="203">
        <f t="shared" si="821"/>
        <v>5.666666667</v>
      </c>
      <c r="H2595" s="203">
        <f t="shared" si="821"/>
        <v>5.666666667</v>
      </c>
      <c r="I2595" s="203">
        <f t="shared" si="821"/>
        <v>5.666666667</v>
      </c>
      <c r="J2595" s="203">
        <f t="shared" si="821"/>
        <v>5.666666667</v>
      </c>
      <c r="K2595" s="203">
        <f t="shared" si="821"/>
        <v>5.666666667</v>
      </c>
      <c r="L2595" s="203">
        <f t="shared" si="821"/>
        <v>5.666666667</v>
      </c>
      <c r="M2595" s="203">
        <f t="shared" si="821"/>
        <v>5.666666667</v>
      </c>
      <c r="N2595" s="203">
        <f t="shared" si="821"/>
        <v>5.666666667</v>
      </c>
      <c r="O2595" s="5"/>
      <c r="P2595" s="5"/>
      <c r="Q2595" s="5"/>
      <c r="R2595" s="5"/>
      <c r="S2595" s="5"/>
      <c r="T2595" s="5"/>
      <c r="U2595" s="5"/>
      <c r="V2595" s="5"/>
      <c r="W2595" s="5"/>
      <c r="X2595" s="5"/>
      <c r="Y2595" s="5"/>
      <c r="Z2595" s="5"/>
    </row>
    <row r="2596" ht="12.0" customHeight="1">
      <c r="A2596" s="92" t="s">
        <v>643</v>
      </c>
      <c r="B2596" s="5"/>
      <c r="C2596" s="294">
        <f t="shared" ref="C2596:N2596" si="822">IF(C2595=0,0,C2592/C2595)</f>
        <v>0.1387</v>
      </c>
      <c r="D2596" s="294">
        <f t="shared" si="822"/>
        <v>0.1223823529</v>
      </c>
      <c r="E2596" s="294">
        <f t="shared" si="822"/>
        <v>0.1468588235</v>
      </c>
      <c r="F2596" s="294">
        <f t="shared" si="822"/>
        <v>0.1468588235</v>
      </c>
      <c r="G2596" s="294">
        <f t="shared" si="822"/>
        <v>0.1468588235</v>
      </c>
      <c r="H2596" s="294">
        <f t="shared" si="822"/>
        <v>0.1305411765</v>
      </c>
      <c r="I2596" s="294">
        <f t="shared" si="822"/>
        <v>0.1468588235</v>
      </c>
      <c r="J2596" s="294">
        <f t="shared" si="822"/>
        <v>0.1468588235</v>
      </c>
      <c r="K2596" s="294">
        <f t="shared" si="822"/>
        <v>0.1387</v>
      </c>
      <c r="L2596" s="294">
        <f t="shared" si="822"/>
        <v>0.1223823529</v>
      </c>
      <c r="M2596" s="294">
        <f t="shared" si="822"/>
        <v>0.1142235294</v>
      </c>
      <c r="N2596" s="294">
        <f t="shared" si="822"/>
        <v>0.1305411765</v>
      </c>
      <c r="O2596" s="5"/>
      <c r="P2596" s="5"/>
      <c r="Q2596" s="5"/>
      <c r="R2596" s="5"/>
      <c r="S2596" s="5"/>
      <c r="T2596" s="5"/>
      <c r="U2596" s="5"/>
      <c r="V2596" s="5"/>
      <c r="W2596" s="5"/>
      <c r="X2596" s="5"/>
      <c r="Y2596" s="5"/>
      <c r="Z2596" s="5"/>
    </row>
    <row r="2597" ht="12.0" customHeight="1">
      <c r="A2597" s="92"/>
      <c r="B2597" s="5"/>
      <c r="C2597" s="206"/>
      <c r="D2597" s="206"/>
      <c r="E2597" s="206"/>
      <c r="F2597" s="206"/>
      <c r="G2597" s="206"/>
      <c r="H2597" s="206"/>
      <c r="I2597" s="206"/>
      <c r="J2597" s="206"/>
      <c r="K2597" s="206"/>
      <c r="L2597" s="206"/>
      <c r="M2597" s="206"/>
      <c r="N2597" s="206"/>
      <c r="O2597" s="5"/>
      <c r="P2597" s="5"/>
      <c r="Q2597" s="5"/>
      <c r="R2597" s="5"/>
      <c r="S2597" s="5"/>
      <c r="T2597" s="5"/>
      <c r="U2597" s="5"/>
      <c r="V2597" s="5"/>
      <c r="W2597" s="5"/>
      <c r="X2597" s="5"/>
      <c r="Y2597" s="5"/>
      <c r="Z2597" s="5"/>
    </row>
    <row r="2598" ht="12.0" customHeight="1">
      <c r="A2598" s="288" t="s">
        <v>1656</v>
      </c>
      <c r="B2598" s="202"/>
      <c r="C2598" s="289"/>
      <c r="D2598" s="289"/>
      <c r="E2598" s="289"/>
      <c r="F2598" s="289"/>
      <c r="G2598" s="289"/>
      <c r="H2598" s="289"/>
      <c r="I2598" s="289"/>
      <c r="J2598" s="289"/>
      <c r="K2598" s="289"/>
      <c r="L2598" s="289"/>
      <c r="M2598" s="289"/>
      <c r="N2598" s="289"/>
      <c r="O2598" s="202"/>
      <c r="P2598" s="5"/>
      <c r="Q2598" s="5"/>
      <c r="R2598" s="5"/>
      <c r="S2598" s="5"/>
      <c r="T2598" s="5"/>
      <c r="U2598" s="5"/>
      <c r="V2598" s="5"/>
      <c r="W2598" s="5"/>
      <c r="X2598" s="5"/>
      <c r="Y2598" s="5"/>
      <c r="Z2598" s="5"/>
    </row>
    <row r="2599" ht="12.0" customHeight="1">
      <c r="A2599" s="160" t="s">
        <v>188</v>
      </c>
      <c r="B2599" s="160" t="s">
        <v>631</v>
      </c>
      <c r="C2599" s="290" t="s">
        <v>3</v>
      </c>
      <c r="D2599" s="290" t="s">
        <v>4</v>
      </c>
      <c r="E2599" s="290" t="s">
        <v>507</v>
      </c>
      <c r="F2599" s="290" t="s">
        <v>508</v>
      </c>
      <c r="G2599" s="290" t="s">
        <v>509</v>
      </c>
      <c r="H2599" s="290" t="s">
        <v>510</v>
      </c>
      <c r="I2599" s="290" t="s">
        <v>511</v>
      </c>
      <c r="J2599" s="290" t="s">
        <v>512</v>
      </c>
      <c r="K2599" s="290" t="s">
        <v>513</v>
      </c>
      <c r="L2599" s="290" t="s">
        <v>514</v>
      </c>
      <c r="M2599" s="290" t="s">
        <v>515</v>
      </c>
      <c r="N2599" s="290" t="s">
        <v>516</v>
      </c>
      <c r="O2599" s="160" t="s">
        <v>15</v>
      </c>
      <c r="P2599" s="160" t="s">
        <v>1598</v>
      </c>
      <c r="Q2599" s="19" t="s">
        <v>1634</v>
      </c>
      <c r="R2599" s="5"/>
      <c r="S2599" s="5"/>
      <c r="T2599" s="5"/>
      <c r="U2599" s="5"/>
      <c r="V2599" s="5"/>
      <c r="W2599" s="5"/>
      <c r="X2599" s="5"/>
      <c r="Y2599" s="5"/>
      <c r="Z2599" s="5"/>
    </row>
    <row r="2600" ht="12.0" customHeight="1">
      <c r="A2600" s="28" t="s">
        <v>1635</v>
      </c>
      <c r="B2600" s="5" t="s">
        <v>633</v>
      </c>
      <c r="C2600" s="291">
        <f>SUM('2032'!B10:B13)</f>
        <v>92.65</v>
      </c>
      <c r="D2600" s="291">
        <f>SUM('2032'!C10:C13)</f>
        <v>81.75</v>
      </c>
      <c r="E2600" s="291">
        <f>SUM('2032'!D10:D13)</f>
        <v>98.1</v>
      </c>
      <c r="F2600" s="291">
        <f>SUM('2032'!E10:E13)</f>
        <v>98.1</v>
      </c>
      <c r="G2600" s="291">
        <f>SUM('2032'!F10:F13)</f>
        <v>98.1</v>
      </c>
      <c r="H2600" s="291">
        <f>SUM('2032'!G10:G13)</f>
        <v>87.2</v>
      </c>
      <c r="I2600" s="291">
        <f>SUM('2032'!H10:H13)</f>
        <v>98.1</v>
      </c>
      <c r="J2600" s="291">
        <f>SUM('2032'!I10:I13)</f>
        <v>98.1</v>
      </c>
      <c r="K2600" s="291">
        <f>SUM('2032'!J10:J13)</f>
        <v>92.65</v>
      </c>
      <c r="L2600" s="291">
        <f>SUM('2032'!K10:K13)</f>
        <v>81.75</v>
      </c>
      <c r="M2600" s="291">
        <f>SUM('2032'!L10:L13)</f>
        <v>76.3</v>
      </c>
      <c r="N2600" s="291">
        <f>SUM('2032'!M10:M13)</f>
        <v>87.2</v>
      </c>
      <c r="O2600" s="292">
        <f t="shared" ref="O2600:O2605" si="823">SUM(C2600:N2600)</f>
        <v>1090</v>
      </c>
      <c r="P2600" s="5"/>
      <c r="Q2600" s="5"/>
      <c r="R2600" s="5"/>
      <c r="S2600" s="5"/>
      <c r="T2600" s="5"/>
      <c r="U2600" s="5"/>
      <c r="V2600" s="5"/>
      <c r="W2600" s="5"/>
      <c r="X2600" s="5"/>
      <c r="Y2600" s="5"/>
      <c r="Z2600" s="5"/>
    </row>
    <row r="2601" ht="12.0" customHeight="1">
      <c r="A2601" s="28" t="s">
        <v>1636</v>
      </c>
      <c r="B2601" s="5" t="s">
        <v>633</v>
      </c>
      <c r="C2601" s="291">
        <f>SUM('2032'!B21:B24)</f>
        <v>64.94</v>
      </c>
      <c r="D2601" s="291">
        <f>SUM('2032'!C21:C24)</f>
        <v>57.3</v>
      </c>
      <c r="E2601" s="291">
        <f>SUM('2032'!D21:D24)</f>
        <v>68.76</v>
      </c>
      <c r="F2601" s="291">
        <f>SUM('2032'!E21:E24)</f>
        <v>68.76</v>
      </c>
      <c r="G2601" s="291">
        <f>SUM('2032'!F21:F24)</f>
        <v>68.76</v>
      </c>
      <c r="H2601" s="291">
        <f>SUM('2032'!G21:G24)</f>
        <v>61.12</v>
      </c>
      <c r="I2601" s="291">
        <f>SUM('2032'!H21:H24)</f>
        <v>68.76</v>
      </c>
      <c r="J2601" s="291">
        <f>SUM('2032'!I21:I24)</f>
        <v>68.76</v>
      </c>
      <c r="K2601" s="291">
        <f>SUM('2032'!J21:J24)</f>
        <v>64.94</v>
      </c>
      <c r="L2601" s="291">
        <f>SUM('2032'!K21:K24)</f>
        <v>57.3</v>
      </c>
      <c r="M2601" s="291">
        <f>SUM('2032'!L21:L24)</f>
        <v>53.48</v>
      </c>
      <c r="N2601" s="291">
        <f>SUM('2032'!M21:M24)</f>
        <v>61.12</v>
      </c>
      <c r="O2601" s="292">
        <f t="shared" si="823"/>
        <v>764</v>
      </c>
      <c r="P2601" s="5"/>
      <c r="Q2601" s="5"/>
      <c r="R2601" s="5"/>
      <c r="S2601" s="5"/>
      <c r="T2601" s="5"/>
      <c r="U2601" s="5"/>
      <c r="V2601" s="5"/>
      <c r="W2601" s="5"/>
      <c r="X2601" s="5"/>
      <c r="Y2601" s="5"/>
      <c r="Z2601" s="5"/>
    </row>
    <row r="2602" ht="12.0" customHeight="1">
      <c r="A2602" s="28" t="s">
        <v>1637</v>
      </c>
      <c r="B2602" s="5" t="s">
        <v>633</v>
      </c>
      <c r="C2602" s="291">
        <f t="shared" ref="C2602:N2602" si="824">C2600+C2601</f>
        <v>157.59</v>
      </c>
      <c r="D2602" s="291">
        <f t="shared" si="824"/>
        <v>139.05</v>
      </c>
      <c r="E2602" s="291">
        <f t="shared" si="824"/>
        <v>166.86</v>
      </c>
      <c r="F2602" s="291">
        <f t="shared" si="824"/>
        <v>166.86</v>
      </c>
      <c r="G2602" s="291">
        <f t="shared" si="824"/>
        <v>166.86</v>
      </c>
      <c r="H2602" s="291">
        <f t="shared" si="824"/>
        <v>148.32</v>
      </c>
      <c r="I2602" s="291">
        <f t="shared" si="824"/>
        <v>166.86</v>
      </c>
      <c r="J2602" s="291">
        <f t="shared" si="824"/>
        <v>166.86</v>
      </c>
      <c r="K2602" s="291">
        <f t="shared" si="824"/>
        <v>157.59</v>
      </c>
      <c r="L2602" s="291">
        <f t="shared" si="824"/>
        <v>139.05</v>
      </c>
      <c r="M2602" s="291">
        <f t="shared" si="824"/>
        <v>129.78</v>
      </c>
      <c r="N2602" s="291">
        <f t="shared" si="824"/>
        <v>148.32</v>
      </c>
      <c r="O2602" s="292">
        <f t="shared" si="823"/>
        <v>1854</v>
      </c>
      <c r="P2602" s="5"/>
      <c r="Q2602" s="5"/>
      <c r="R2602" s="5"/>
      <c r="S2602" s="5"/>
      <c r="T2602" s="5"/>
      <c r="U2602" s="5"/>
      <c r="V2602" s="5"/>
      <c r="W2602" s="5"/>
      <c r="X2602" s="5"/>
      <c r="Y2602" s="5"/>
      <c r="Z2602" s="5"/>
    </row>
    <row r="2603" ht="12.0" customHeight="1">
      <c r="A2603" s="28" t="s">
        <v>1638</v>
      </c>
      <c r="B2603" s="5" t="s">
        <v>633</v>
      </c>
      <c r="C2603" s="291">
        <f>$O2600*Parametros!$B$70</f>
        <v>92.65</v>
      </c>
      <c r="D2603" s="291">
        <f>$O2600*Parametros!$C$70</f>
        <v>81.75</v>
      </c>
      <c r="E2603" s="291">
        <f>$O2600*Parametros!$D$70</f>
        <v>98.1</v>
      </c>
      <c r="F2603" s="291">
        <f>$O2600*Parametros!$E$70</f>
        <v>98.1</v>
      </c>
      <c r="G2603" s="291">
        <f>$O2600*Parametros!$F$70</f>
        <v>98.1</v>
      </c>
      <c r="H2603" s="291">
        <f>$O2600*Parametros!$G$70</f>
        <v>87.2</v>
      </c>
      <c r="I2603" s="291">
        <f>$O2600*Parametros!$H$70</f>
        <v>98.1</v>
      </c>
      <c r="J2603" s="291">
        <f>$O2600*Parametros!$I$70</f>
        <v>98.1</v>
      </c>
      <c r="K2603" s="291">
        <f>$O2600*Parametros!$J$70</f>
        <v>92.65</v>
      </c>
      <c r="L2603" s="291">
        <f>$O2600*Parametros!$K$70</f>
        <v>81.75</v>
      </c>
      <c r="M2603" s="291">
        <f>$O2600*Parametros!$L$70</f>
        <v>76.3</v>
      </c>
      <c r="N2603" s="291">
        <f>$O2600*Parametros!$M$70</f>
        <v>87.2</v>
      </c>
      <c r="O2603" s="292">
        <f t="shared" si="823"/>
        <v>1090</v>
      </c>
      <c r="P2603" s="5"/>
      <c r="Q2603" s="5"/>
      <c r="R2603" s="5"/>
      <c r="S2603" s="5"/>
      <c r="T2603" s="5"/>
      <c r="U2603" s="5"/>
      <c r="V2603" s="5"/>
      <c r="W2603" s="5"/>
      <c r="X2603" s="5"/>
      <c r="Y2603" s="5"/>
      <c r="Z2603" s="5"/>
    </row>
    <row r="2604" ht="12.0" customHeight="1">
      <c r="A2604" s="28" t="s">
        <v>1639</v>
      </c>
      <c r="B2604" s="5" t="s">
        <v>633</v>
      </c>
      <c r="C2604" s="291">
        <f>$O2601*Parametros!$B$70</f>
        <v>64.94</v>
      </c>
      <c r="D2604" s="291">
        <f>$O2601*Parametros!$C$70</f>
        <v>57.3</v>
      </c>
      <c r="E2604" s="291">
        <f>$O2601*Parametros!$D$70</f>
        <v>68.76</v>
      </c>
      <c r="F2604" s="291">
        <f>$O2601*Parametros!$E$70</f>
        <v>68.76</v>
      </c>
      <c r="G2604" s="291">
        <f>$O2601*Parametros!$F$70</f>
        <v>68.76</v>
      </c>
      <c r="H2604" s="291">
        <f>$O2601*Parametros!$G$70</f>
        <v>61.12</v>
      </c>
      <c r="I2604" s="291">
        <f>$O2601*Parametros!$H$70</f>
        <v>68.76</v>
      </c>
      <c r="J2604" s="291">
        <f>$O2601*Parametros!$I$70</f>
        <v>68.76</v>
      </c>
      <c r="K2604" s="291">
        <f>$O2601*Parametros!$J$70</f>
        <v>64.94</v>
      </c>
      <c r="L2604" s="291">
        <f>$O2601*Parametros!$K$70</f>
        <v>57.3</v>
      </c>
      <c r="M2604" s="291">
        <f>$O2601*Parametros!$L$70</f>
        <v>53.48</v>
      </c>
      <c r="N2604" s="291">
        <f>$O2601*Parametros!$M$70</f>
        <v>61.12</v>
      </c>
      <c r="O2604" s="292">
        <f t="shared" si="823"/>
        <v>764</v>
      </c>
      <c r="P2604" s="5"/>
      <c r="Q2604" s="5"/>
      <c r="R2604" s="5"/>
      <c r="S2604" s="5"/>
      <c r="T2604" s="5"/>
      <c r="U2604" s="5"/>
      <c r="V2604" s="5"/>
      <c r="W2604" s="5"/>
      <c r="X2604" s="5"/>
      <c r="Y2604" s="5"/>
      <c r="Z2604" s="5"/>
    </row>
    <row r="2605" ht="12.0" customHeight="1">
      <c r="A2605" s="10" t="s">
        <v>1640</v>
      </c>
      <c r="B2605" s="5" t="s">
        <v>633</v>
      </c>
      <c r="C2605" s="292">
        <f t="shared" ref="C2605:N2605" si="825">C2603+C2604</f>
        <v>157.59</v>
      </c>
      <c r="D2605" s="292">
        <f t="shared" si="825"/>
        <v>139.05</v>
      </c>
      <c r="E2605" s="292">
        <f t="shared" si="825"/>
        <v>166.86</v>
      </c>
      <c r="F2605" s="292">
        <f t="shared" si="825"/>
        <v>166.86</v>
      </c>
      <c r="G2605" s="292">
        <f t="shared" si="825"/>
        <v>166.86</v>
      </c>
      <c r="H2605" s="292">
        <f t="shared" si="825"/>
        <v>148.32</v>
      </c>
      <c r="I2605" s="292">
        <f t="shared" si="825"/>
        <v>166.86</v>
      </c>
      <c r="J2605" s="292">
        <f t="shared" si="825"/>
        <v>166.86</v>
      </c>
      <c r="K2605" s="292">
        <f t="shared" si="825"/>
        <v>157.59</v>
      </c>
      <c r="L2605" s="292">
        <f t="shared" si="825"/>
        <v>139.05</v>
      </c>
      <c r="M2605" s="292">
        <f t="shared" si="825"/>
        <v>129.78</v>
      </c>
      <c r="N2605" s="292">
        <f t="shared" si="825"/>
        <v>148.32</v>
      </c>
      <c r="O2605" s="292">
        <f t="shared" si="823"/>
        <v>1854</v>
      </c>
      <c r="P2605" s="5"/>
      <c r="Q2605" s="5"/>
      <c r="R2605" s="5"/>
      <c r="S2605" s="5"/>
      <c r="T2605" s="5"/>
      <c r="U2605" s="5"/>
      <c r="V2605" s="5"/>
      <c r="W2605" s="5"/>
      <c r="X2605" s="5"/>
      <c r="Y2605" s="5"/>
      <c r="Z2605" s="5"/>
    </row>
    <row r="2606" ht="12.0" customHeight="1">
      <c r="A2606" s="28" t="s">
        <v>967</v>
      </c>
      <c r="B2606" s="5" t="s">
        <v>633</v>
      </c>
      <c r="C2606" s="291">
        <f>C2605-C2602</f>
        <v>0</v>
      </c>
      <c r="D2606" s="291">
        <f t="shared" ref="D2606:N2606" si="826">C2606+D2605-D2602</f>
        <v>0</v>
      </c>
      <c r="E2606" s="291">
        <f t="shared" si="826"/>
        <v>0</v>
      </c>
      <c r="F2606" s="291">
        <f t="shared" si="826"/>
        <v>0</v>
      </c>
      <c r="G2606" s="291">
        <f t="shared" si="826"/>
        <v>0</v>
      </c>
      <c r="H2606" s="291">
        <f t="shared" si="826"/>
        <v>0</v>
      </c>
      <c r="I2606" s="291">
        <f t="shared" si="826"/>
        <v>0</v>
      </c>
      <c r="J2606" s="291">
        <f t="shared" si="826"/>
        <v>0</v>
      </c>
      <c r="K2606" s="291">
        <f t="shared" si="826"/>
        <v>0</v>
      </c>
      <c r="L2606" s="291">
        <f t="shared" si="826"/>
        <v>0</v>
      </c>
      <c r="M2606" s="291">
        <f t="shared" si="826"/>
        <v>0</v>
      </c>
      <c r="N2606" s="291">
        <f t="shared" si="826"/>
        <v>0</v>
      </c>
      <c r="O2606" s="292"/>
      <c r="P2606" s="5"/>
      <c r="Q2606" s="5"/>
      <c r="R2606" s="5"/>
      <c r="S2606" s="5"/>
      <c r="T2606" s="5"/>
      <c r="U2606" s="5"/>
      <c r="V2606" s="5"/>
      <c r="W2606" s="5"/>
      <c r="X2606" s="5"/>
      <c r="Y2606" s="5"/>
      <c r="Z2606" s="5"/>
    </row>
    <row r="2607" ht="12.0" customHeight="1">
      <c r="A2607" s="10" t="s">
        <v>1641</v>
      </c>
      <c r="B2607" s="5" t="s">
        <v>633</v>
      </c>
      <c r="C2607" s="292">
        <f t="shared" ref="C2607:N2607" si="827">C2606-MIN(0,MIN($C2606:$N2606))</f>
        <v>0</v>
      </c>
      <c r="D2607" s="292">
        <f t="shared" si="827"/>
        <v>0</v>
      </c>
      <c r="E2607" s="292">
        <f t="shared" si="827"/>
        <v>0</v>
      </c>
      <c r="F2607" s="292">
        <f t="shared" si="827"/>
        <v>0</v>
      </c>
      <c r="G2607" s="292">
        <f t="shared" si="827"/>
        <v>0</v>
      </c>
      <c r="H2607" s="292">
        <f t="shared" si="827"/>
        <v>0</v>
      </c>
      <c r="I2607" s="292">
        <f t="shared" si="827"/>
        <v>0</v>
      </c>
      <c r="J2607" s="292">
        <f t="shared" si="827"/>
        <v>0</v>
      </c>
      <c r="K2607" s="292">
        <f t="shared" si="827"/>
        <v>0</v>
      </c>
      <c r="L2607" s="292">
        <f t="shared" si="827"/>
        <v>0</v>
      </c>
      <c r="M2607" s="292">
        <f t="shared" si="827"/>
        <v>0</v>
      </c>
      <c r="N2607" s="292">
        <f t="shared" si="827"/>
        <v>0</v>
      </c>
      <c r="O2607" s="292">
        <f>MAX(C2607:N2607)</f>
        <v>0</v>
      </c>
      <c r="P2607" s="292">
        <f>AVERAGE(C2607:N2607)</f>
        <v>0</v>
      </c>
      <c r="Q2607" s="5"/>
      <c r="R2607" s="5"/>
      <c r="S2607" s="5"/>
      <c r="T2607" s="5"/>
      <c r="U2607" s="5"/>
      <c r="V2607" s="5"/>
      <c r="W2607" s="5"/>
      <c r="X2607" s="5"/>
      <c r="Y2607" s="5"/>
      <c r="Z2607" s="5"/>
    </row>
    <row r="2608" ht="12.0" customHeight="1">
      <c r="A2608" s="10" t="s">
        <v>1642</v>
      </c>
      <c r="B2608" s="5"/>
      <c r="C2608" s="206"/>
      <c r="D2608" s="206"/>
      <c r="E2608" s="206"/>
      <c r="F2608" s="206"/>
      <c r="G2608" s="206"/>
      <c r="H2608" s="206"/>
      <c r="I2608" s="206"/>
      <c r="J2608" s="206"/>
      <c r="K2608" s="206"/>
      <c r="L2608" s="206"/>
      <c r="M2608" s="206"/>
      <c r="N2608" s="206"/>
      <c r="O2608" s="5"/>
      <c r="P2608" s="5"/>
      <c r="Q2608" s="5"/>
      <c r="R2608" s="5"/>
      <c r="S2608" s="5"/>
      <c r="T2608" s="5"/>
      <c r="U2608" s="5"/>
      <c r="V2608" s="5"/>
      <c r="W2608" s="5"/>
      <c r="X2608" s="5"/>
      <c r="Y2608" s="5"/>
      <c r="Z2608" s="5"/>
    </row>
    <row r="2609" ht="12.0" customHeight="1">
      <c r="A2609" s="92" t="s">
        <v>630</v>
      </c>
      <c r="B2609" s="5" t="s">
        <v>631</v>
      </c>
      <c r="C2609" s="206" t="s">
        <v>3</v>
      </c>
      <c r="D2609" s="206" t="s">
        <v>4</v>
      </c>
      <c r="E2609" s="206" t="s">
        <v>507</v>
      </c>
      <c r="F2609" s="206" t="s">
        <v>508</v>
      </c>
      <c r="G2609" s="206" t="s">
        <v>509</v>
      </c>
      <c r="H2609" s="206" t="s">
        <v>510</v>
      </c>
      <c r="I2609" s="206" t="s">
        <v>511</v>
      </c>
      <c r="J2609" s="206" t="s">
        <v>512</v>
      </c>
      <c r="K2609" s="206" t="s">
        <v>513</v>
      </c>
      <c r="L2609" s="206" t="s">
        <v>514</v>
      </c>
      <c r="M2609" s="206" t="s">
        <v>515</v>
      </c>
      <c r="N2609" s="206" t="s">
        <v>516</v>
      </c>
      <c r="O2609" s="5"/>
      <c r="P2609" s="5"/>
      <c r="Q2609" s="5"/>
      <c r="R2609" s="5"/>
      <c r="S2609" s="5"/>
      <c r="T2609" s="5"/>
      <c r="U2609" s="5"/>
      <c r="V2609" s="5"/>
      <c r="W2609" s="5"/>
      <c r="X2609" s="5"/>
      <c r="Y2609" s="5"/>
      <c r="Z2609" s="5"/>
    </row>
    <row r="2610" ht="12.0" customHeight="1">
      <c r="A2610" s="92" t="s">
        <v>1643</v>
      </c>
      <c r="B2610" s="5" t="s">
        <v>633</v>
      </c>
      <c r="C2610" s="203">
        <f t="shared" ref="C2610:N2610" si="828">C2605</f>
        <v>157.59</v>
      </c>
      <c r="D2610" s="203">
        <f t="shared" si="828"/>
        <v>139.05</v>
      </c>
      <c r="E2610" s="203">
        <f t="shared" si="828"/>
        <v>166.86</v>
      </c>
      <c r="F2610" s="203">
        <f t="shared" si="828"/>
        <v>166.86</v>
      </c>
      <c r="G2610" s="203">
        <f t="shared" si="828"/>
        <v>166.86</v>
      </c>
      <c r="H2610" s="203">
        <f t="shared" si="828"/>
        <v>148.32</v>
      </c>
      <c r="I2610" s="203">
        <f t="shared" si="828"/>
        <v>166.86</v>
      </c>
      <c r="J2610" s="203">
        <f t="shared" si="828"/>
        <v>166.86</v>
      </c>
      <c r="K2610" s="203">
        <f t="shared" si="828"/>
        <v>157.59</v>
      </c>
      <c r="L2610" s="203">
        <f t="shared" si="828"/>
        <v>139.05</v>
      </c>
      <c r="M2610" s="203">
        <f t="shared" si="828"/>
        <v>129.78</v>
      </c>
      <c r="N2610" s="203">
        <f t="shared" si="828"/>
        <v>148.32</v>
      </c>
      <c r="O2610" s="5"/>
      <c r="P2610" s="5"/>
      <c r="Q2610" s="5"/>
      <c r="R2610" s="5"/>
      <c r="S2610" s="5"/>
      <c r="T2610" s="5"/>
      <c r="U2610" s="5"/>
      <c r="V2610" s="5"/>
      <c r="W2610" s="5"/>
      <c r="X2610" s="5"/>
      <c r="Y2610" s="5"/>
      <c r="Z2610" s="5"/>
    </row>
    <row r="2611" ht="12.0" customHeight="1">
      <c r="A2611" s="92"/>
      <c r="B2611" s="5" t="s">
        <v>634</v>
      </c>
      <c r="C2611" s="293">
        <f>C2610/Parametros!$B$37</f>
        <v>7.8795</v>
      </c>
      <c r="D2611" s="293">
        <f>D2610/Parametros!$B$37</f>
        <v>6.9525</v>
      </c>
      <c r="E2611" s="293">
        <f>E2610/Parametros!$B$37</f>
        <v>8.343</v>
      </c>
      <c r="F2611" s="293">
        <f>F2610/Parametros!$B$37</f>
        <v>8.343</v>
      </c>
      <c r="G2611" s="293">
        <f>G2610/Parametros!$B$37</f>
        <v>8.343</v>
      </c>
      <c r="H2611" s="293">
        <f>H2610/Parametros!$B$37</f>
        <v>7.416</v>
      </c>
      <c r="I2611" s="293">
        <f>I2610/Parametros!$B$37</f>
        <v>8.343</v>
      </c>
      <c r="J2611" s="293">
        <f>J2610/Parametros!$B$37</f>
        <v>8.343</v>
      </c>
      <c r="K2611" s="293">
        <f>K2610/Parametros!$B$37</f>
        <v>7.8795</v>
      </c>
      <c r="L2611" s="293">
        <f>L2610/Parametros!$B$37</f>
        <v>6.9525</v>
      </c>
      <c r="M2611" s="293">
        <f>M2610/Parametros!$B$37</f>
        <v>6.489</v>
      </c>
      <c r="N2611" s="293">
        <f>N2610/Parametros!$B$37</f>
        <v>7.416</v>
      </c>
      <c r="O2611" s="5"/>
      <c r="P2611" s="5"/>
      <c r="Q2611" s="5"/>
      <c r="R2611" s="5"/>
      <c r="S2611" s="5"/>
      <c r="T2611" s="5"/>
      <c r="U2611" s="5"/>
      <c r="V2611" s="5"/>
      <c r="W2611" s="5"/>
      <c r="X2611" s="5"/>
      <c r="Y2611" s="5"/>
      <c r="Z2611" s="5"/>
    </row>
    <row r="2612" ht="12.0" customHeight="1">
      <c r="A2612" s="92"/>
      <c r="B2612" s="5" t="s">
        <v>635</v>
      </c>
      <c r="C2612" s="293">
        <f>C2611/Parametros!$J$37</f>
        <v>1.0506</v>
      </c>
      <c r="D2612" s="293">
        <f>D2611/Parametros!$J$37</f>
        <v>0.927</v>
      </c>
      <c r="E2612" s="293">
        <f>E2611/Parametros!$J$37</f>
        <v>1.1124</v>
      </c>
      <c r="F2612" s="293">
        <f>F2611/Parametros!$J$37</f>
        <v>1.1124</v>
      </c>
      <c r="G2612" s="293">
        <f>G2611/Parametros!$J$37</f>
        <v>1.1124</v>
      </c>
      <c r="H2612" s="293">
        <f>H2611/Parametros!$J$37</f>
        <v>0.9888</v>
      </c>
      <c r="I2612" s="293">
        <f>I2611/Parametros!$J$37</f>
        <v>1.1124</v>
      </c>
      <c r="J2612" s="293">
        <f>J2611/Parametros!$J$37</f>
        <v>1.1124</v>
      </c>
      <c r="K2612" s="293">
        <f>K2611/Parametros!$J$37</f>
        <v>1.0506</v>
      </c>
      <c r="L2612" s="293">
        <f>L2611/Parametros!$J$37</f>
        <v>0.927</v>
      </c>
      <c r="M2612" s="293">
        <f>M2611/Parametros!$J$37</f>
        <v>0.8652</v>
      </c>
      <c r="N2612" s="293">
        <f>N2611/Parametros!$J$37</f>
        <v>0.9888</v>
      </c>
      <c r="O2612" s="5"/>
      <c r="P2612" s="5"/>
      <c r="Q2612" s="5"/>
      <c r="R2612" s="5"/>
      <c r="S2612" s="5"/>
      <c r="T2612" s="5"/>
      <c r="U2612" s="5"/>
      <c r="V2612" s="5"/>
      <c r="W2612" s="5"/>
      <c r="X2612" s="5"/>
      <c r="Y2612" s="5"/>
      <c r="Z2612" s="5"/>
    </row>
    <row r="2613" ht="12.0" customHeight="1">
      <c r="A2613" s="92" t="s">
        <v>636</v>
      </c>
      <c r="B2613" s="5"/>
      <c r="C2613" s="293">
        <f t="shared" ref="C2613:N2613" si="829">C2612</f>
        <v>1.0506</v>
      </c>
      <c r="D2613" s="293">
        <f t="shared" si="829"/>
        <v>0.927</v>
      </c>
      <c r="E2613" s="293">
        <f t="shared" si="829"/>
        <v>1.1124</v>
      </c>
      <c r="F2613" s="293">
        <f t="shared" si="829"/>
        <v>1.1124</v>
      </c>
      <c r="G2613" s="293">
        <f t="shared" si="829"/>
        <v>1.1124</v>
      </c>
      <c r="H2613" s="293">
        <f t="shared" si="829"/>
        <v>0.9888</v>
      </c>
      <c r="I2613" s="293">
        <f t="shared" si="829"/>
        <v>1.1124</v>
      </c>
      <c r="J2613" s="293">
        <f t="shared" si="829"/>
        <v>1.1124</v>
      </c>
      <c r="K2613" s="293">
        <f t="shared" si="829"/>
        <v>1.0506</v>
      </c>
      <c r="L2613" s="293">
        <f t="shared" si="829"/>
        <v>0.927</v>
      </c>
      <c r="M2613" s="293">
        <f t="shared" si="829"/>
        <v>0.8652</v>
      </c>
      <c r="N2613" s="293">
        <f t="shared" si="829"/>
        <v>0.9888</v>
      </c>
      <c r="O2613" s="5"/>
      <c r="P2613" s="5"/>
      <c r="Q2613" s="5"/>
      <c r="R2613" s="5"/>
      <c r="S2613" s="5"/>
      <c r="T2613" s="5"/>
      <c r="U2613" s="5"/>
      <c r="V2613" s="5"/>
      <c r="W2613" s="5"/>
      <c r="X2613" s="5"/>
      <c r="Y2613" s="5"/>
      <c r="Z2613" s="5"/>
    </row>
    <row r="2614" ht="12.0" customHeight="1">
      <c r="A2614" s="92" t="s">
        <v>637</v>
      </c>
      <c r="B2614" s="5"/>
      <c r="C2614" s="293">
        <f>Parametros!$M$112</f>
        <v>15.69230769</v>
      </c>
      <c r="D2614" s="293">
        <f>Parametros!$M$112</f>
        <v>15.69230769</v>
      </c>
      <c r="E2614" s="293">
        <f>Parametros!$M$112</f>
        <v>15.69230769</v>
      </c>
      <c r="F2614" s="293">
        <f>Parametros!$M$112</f>
        <v>15.69230769</v>
      </c>
      <c r="G2614" s="293">
        <f>Parametros!$M$112</f>
        <v>15.69230769</v>
      </c>
      <c r="H2614" s="293">
        <f>Parametros!$M$112</f>
        <v>15.69230769</v>
      </c>
      <c r="I2614" s="293">
        <f>Parametros!$M$112</f>
        <v>15.69230769</v>
      </c>
      <c r="J2614" s="293">
        <f>Parametros!$M$112</f>
        <v>15.69230769</v>
      </c>
      <c r="K2614" s="293">
        <f>Parametros!$M$112</f>
        <v>15.69230769</v>
      </c>
      <c r="L2614" s="293">
        <f>Parametros!$M$112</f>
        <v>15.69230769</v>
      </c>
      <c r="M2614" s="293">
        <f>Parametros!$M$112</f>
        <v>15.69230769</v>
      </c>
      <c r="N2614" s="293">
        <f>Parametros!$M$112</f>
        <v>15.69230769</v>
      </c>
      <c r="O2614" s="5"/>
      <c r="P2614" s="5"/>
      <c r="Q2614" s="5"/>
      <c r="R2614" s="5"/>
      <c r="S2614" s="5"/>
      <c r="T2614" s="5"/>
      <c r="U2614" s="5"/>
      <c r="V2614" s="5"/>
      <c r="W2614" s="5"/>
      <c r="X2614" s="5"/>
      <c r="Y2614" s="5"/>
      <c r="Z2614" s="5"/>
    </row>
    <row r="2615" ht="12.0" customHeight="1">
      <c r="A2615" s="92" t="s">
        <v>640</v>
      </c>
      <c r="B2615" s="5"/>
      <c r="C2615" s="203">
        <f>'Resumen Capacidad'!$H$220</f>
        <v>1</v>
      </c>
      <c r="D2615" s="203">
        <f>'Resumen Capacidad'!$H$220</f>
        <v>1</v>
      </c>
      <c r="E2615" s="203">
        <f>'Resumen Capacidad'!$H$220</f>
        <v>1</v>
      </c>
      <c r="F2615" s="203">
        <f>'Resumen Capacidad'!$H$220</f>
        <v>1</v>
      </c>
      <c r="G2615" s="203">
        <f>'Resumen Capacidad'!$H$220</f>
        <v>1</v>
      </c>
      <c r="H2615" s="203">
        <f>'Resumen Capacidad'!$H$220</f>
        <v>1</v>
      </c>
      <c r="I2615" s="203">
        <f>'Resumen Capacidad'!$H$220</f>
        <v>1</v>
      </c>
      <c r="J2615" s="203">
        <f>'Resumen Capacidad'!$H$220</f>
        <v>1</v>
      </c>
      <c r="K2615" s="203">
        <f>'Resumen Capacidad'!$H$220</f>
        <v>1</v>
      </c>
      <c r="L2615" s="203">
        <f>'Resumen Capacidad'!$H$220</f>
        <v>1</v>
      </c>
      <c r="M2615" s="203">
        <f>'Resumen Capacidad'!$H$220</f>
        <v>1</v>
      </c>
      <c r="N2615" s="203">
        <f>'Resumen Capacidad'!$H$220</f>
        <v>1</v>
      </c>
      <c r="O2615" s="5"/>
      <c r="P2615" s="5"/>
      <c r="Q2615" s="5"/>
      <c r="R2615" s="5"/>
      <c r="S2615" s="5"/>
      <c r="T2615" s="5"/>
      <c r="U2615" s="5"/>
      <c r="V2615" s="5"/>
      <c r="W2615" s="5"/>
      <c r="X2615" s="5"/>
      <c r="Y2615" s="5"/>
      <c r="Z2615" s="5"/>
    </row>
    <row r="2616" ht="12.0" customHeight="1">
      <c r="A2616" s="92" t="s">
        <v>642</v>
      </c>
      <c r="B2616" s="5"/>
      <c r="C2616" s="203">
        <f t="shared" ref="C2616:N2616" si="830">C2614*C2615</f>
        <v>15.69230769</v>
      </c>
      <c r="D2616" s="203">
        <f t="shared" si="830"/>
        <v>15.69230769</v>
      </c>
      <c r="E2616" s="203">
        <f t="shared" si="830"/>
        <v>15.69230769</v>
      </c>
      <c r="F2616" s="203">
        <f t="shared" si="830"/>
        <v>15.69230769</v>
      </c>
      <c r="G2616" s="203">
        <f t="shared" si="830"/>
        <v>15.69230769</v>
      </c>
      <c r="H2616" s="203">
        <f t="shared" si="830"/>
        <v>15.69230769</v>
      </c>
      <c r="I2616" s="203">
        <f t="shared" si="830"/>
        <v>15.69230769</v>
      </c>
      <c r="J2616" s="203">
        <f t="shared" si="830"/>
        <v>15.69230769</v>
      </c>
      <c r="K2616" s="203">
        <f t="shared" si="830"/>
        <v>15.69230769</v>
      </c>
      <c r="L2616" s="203">
        <f t="shared" si="830"/>
        <v>15.69230769</v>
      </c>
      <c r="M2616" s="203">
        <f t="shared" si="830"/>
        <v>15.69230769</v>
      </c>
      <c r="N2616" s="203">
        <f t="shared" si="830"/>
        <v>15.69230769</v>
      </c>
      <c r="O2616" s="5"/>
      <c r="P2616" s="5"/>
      <c r="Q2616" s="5"/>
      <c r="R2616" s="5"/>
      <c r="S2616" s="5"/>
      <c r="T2616" s="5"/>
      <c r="U2616" s="5"/>
      <c r="V2616" s="5"/>
      <c r="W2616" s="5"/>
      <c r="X2616" s="5"/>
      <c r="Y2616" s="5"/>
      <c r="Z2616" s="5"/>
    </row>
    <row r="2617" ht="12.0" customHeight="1">
      <c r="A2617" s="92" t="s">
        <v>643</v>
      </c>
      <c r="B2617" s="5"/>
      <c r="C2617" s="294">
        <f t="shared" ref="C2617:N2617" si="831">IF(C2616=0,0,C2613/C2616)</f>
        <v>0.06695</v>
      </c>
      <c r="D2617" s="294">
        <f t="shared" si="831"/>
        <v>0.05907352941</v>
      </c>
      <c r="E2617" s="294">
        <f t="shared" si="831"/>
        <v>0.07088823529</v>
      </c>
      <c r="F2617" s="294">
        <f t="shared" si="831"/>
        <v>0.07088823529</v>
      </c>
      <c r="G2617" s="294">
        <f t="shared" si="831"/>
        <v>0.07088823529</v>
      </c>
      <c r="H2617" s="294">
        <f t="shared" si="831"/>
        <v>0.06301176471</v>
      </c>
      <c r="I2617" s="294">
        <f t="shared" si="831"/>
        <v>0.07088823529</v>
      </c>
      <c r="J2617" s="294">
        <f t="shared" si="831"/>
        <v>0.07088823529</v>
      </c>
      <c r="K2617" s="294">
        <f t="shared" si="831"/>
        <v>0.06695</v>
      </c>
      <c r="L2617" s="294">
        <f t="shared" si="831"/>
        <v>0.05907352941</v>
      </c>
      <c r="M2617" s="294">
        <f t="shared" si="831"/>
        <v>0.05513529412</v>
      </c>
      <c r="N2617" s="294">
        <f t="shared" si="831"/>
        <v>0.06301176471</v>
      </c>
      <c r="O2617" s="5"/>
      <c r="P2617" s="5"/>
      <c r="Q2617" s="5"/>
      <c r="R2617" s="5"/>
      <c r="S2617" s="5"/>
      <c r="T2617" s="5"/>
      <c r="U2617" s="5"/>
      <c r="V2617" s="5"/>
      <c r="W2617" s="5"/>
      <c r="X2617" s="5"/>
      <c r="Y2617" s="5"/>
      <c r="Z2617" s="5"/>
    </row>
    <row r="2618" ht="12.0" customHeight="1">
      <c r="A2618" s="10" t="s">
        <v>1644</v>
      </c>
      <c r="B2618" s="5"/>
      <c r="C2618" s="206"/>
      <c r="D2618" s="206"/>
      <c r="E2618" s="206"/>
      <c r="F2618" s="206"/>
      <c r="G2618" s="206"/>
      <c r="H2618" s="206"/>
      <c r="I2618" s="206"/>
      <c r="J2618" s="206"/>
      <c r="K2618" s="206"/>
      <c r="L2618" s="206"/>
      <c r="M2618" s="206"/>
      <c r="N2618" s="206"/>
      <c r="O2618" s="5"/>
      <c r="P2618" s="5"/>
      <c r="Q2618" s="5"/>
      <c r="R2618" s="5"/>
      <c r="S2618" s="5"/>
      <c r="T2618" s="5"/>
      <c r="U2618" s="5"/>
      <c r="V2618" s="5"/>
      <c r="W2618" s="5"/>
      <c r="X2618" s="5"/>
      <c r="Y2618" s="5"/>
      <c r="Z2618" s="5"/>
    </row>
    <row r="2619" ht="12.0" customHeight="1">
      <c r="A2619" s="92" t="s">
        <v>630</v>
      </c>
      <c r="B2619" s="5" t="s">
        <v>631</v>
      </c>
      <c r="C2619" s="206" t="s">
        <v>3</v>
      </c>
      <c r="D2619" s="206" t="s">
        <v>4</v>
      </c>
      <c r="E2619" s="206" t="s">
        <v>507</v>
      </c>
      <c r="F2619" s="206" t="s">
        <v>508</v>
      </c>
      <c r="G2619" s="206" t="s">
        <v>509</v>
      </c>
      <c r="H2619" s="206" t="s">
        <v>510</v>
      </c>
      <c r="I2619" s="206" t="s">
        <v>511</v>
      </c>
      <c r="J2619" s="206" t="s">
        <v>512</v>
      </c>
      <c r="K2619" s="206" t="s">
        <v>513</v>
      </c>
      <c r="L2619" s="206" t="s">
        <v>514</v>
      </c>
      <c r="M2619" s="206" t="s">
        <v>515</v>
      </c>
      <c r="N2619" s="206" t="s">
        <v>516</v>
      </c>
      <c r="O2619" s="5"/>
      <c r="P2619" s="5"/>
      <c r="Q2619" s="5"/>
      <c r="R2619" s="5"/>
      <c r="S2619" s="5"/>
      <c r="T2619" s="5"/>
      <c r="U2619" s="5"/>
      <c r="V2619" s="5"/>
      <c r="W2619" s="5"/>
      <c r="X2619" s="5"/>
      <c r="Y2619" s="5"/>
      <c r="Z2619" s="5"/>
    </row>
    <row r="2620" ht="12.0" customHeight="1">
      <c r="A2620" s="92" t="s">
        <v>1643</v>
      </c>
      <c r="B2620" s="5" t="s">
        <v>633</v>
      </c>
      <c r="C2620" s="203">
        <f t="shared" ref="C2620:N2620" si="832">C2605</f>
        <v>157.59</v>
      </c>
      <c r="D2620" s="203">
        <f t="shared" si="832"/>
        <v>139.05</v>
      </c>
      <c r="E2620" s="203">
        <f t="shared" si="832"/>
        <v>166.86</v>
      </c>
      <c r="F2620" s="203">
        <f t="shared" si="832"/>
        <v>166.86</v>
      </c>
      <c r="G2620" s="203">
        <f t="shared" si="832"/>
        <v>166.86</v>
      </c>
      <c r="H2620" s="203">
        <f t="shared" si="832"/>
        <v>148.32</v>
      </c>
      <c r="I2620" s="203">
        <f t="shared" si="832"/>
        <v>166.86</v>
      </c>
      <c r="J2620" s="203">
        <f t="shared" si="832"/>
        <v>166.86</v>
      </c>
      <c r="K2620" s="203">
        <f t="shared" si="832"/>
        <v>157.59</v>
      </c>
      <c r="L2620" s="203">
        <f t="shared" si="832"/>
        <v>139.05</v>
      </c>
      <c r="M2620" s="203">
        <f t="shared" si="832"/>
        <v>129.78</v>
      </c>
      <c r="N2620" s="203">
        <f t="shared" si="832"/>
        <v>148.32</v>
      </c>
      <c r="O2620" s="5"/>
      <c r="P2620" s="5"/>
      <c r="Q2620" s="5"/>
      <c r="R2620" s="5"/>
      <c r="S2620" s="5"/>
      <c r="T2620" s="5"/>
      <c r="U2620" s="5"/>
      <c r="V2620" s="5"/>
      <c r="W2620" s="5"/>
      <c r="X2620" s="5"/>
      <c r="Y2620" s="5"/>
      <c r="Z2620" s="5"/>
    </row>
    <row r="2621" ht="12.0" customHeight="1">
      <c r="A2621" s="92"/>
      <c r="B2621" s="5" t="s">
        <v>634</v>
      </c>
      <c r="C2621" s="293">
        <f>C2620/Parametros!$B$37</f>
        <v>7.8795</v>
      </c>
      <c r="D2621" s="293">
        <f>D2620/Parametros!$B$37</f>
        <v>6.9525</v>
      </c>
      <c r="E2621" s="293">
        <f>E2620/Parametros!$B$37</f>
        <v>8.343</v>
      </c>
      <c r="F2621" s="293">
        <f>F2620/Parametros!$B$37</f>
        <v>8.343</v>
      </c>
      <c r="G2621" s="293">
        <f>G2620/Parametros!$B$37</f>
        <v>8.343</v>
      </c>
      <c r="H2621" s="293">
        <f>H2620/Parametros!$B$37</f>
        <v>7.416</v>
      </c>
      <c r="I2621" s="293">
        <f>I2620/Parametros!$B$37</f>
        <v>8.343</v>
      </c>
      <c r="J2621" s="293">
        <f>J2620/Parametros!$B$37</f>
        <v>8.343</v>
      </c>
      <c r="K2621" s="293">
        <f>K2620/Parametros!$B$37</f>
        <v>7.8795</v>
      </c>
      <c r="L2621" s="293">
        <f>L2620/Parametros!$B$37</f>
        <v>6.9525</v>
      </c>
      <c r="M2621" s="293">
        <f>M2620/Parametros!$B$37</f>
        <v>6.489</v>
      </c>
      <c r="N2621" s="293">
        <f>N2620/Parametros!$B$37</f>
        <v>7.416</v>
      </c>
      <c r="O2621" s="5"/>
      <c r="P2621" s="5"/>
      <c r="Q2621" s="5"/>
      <c r="R2621" s="5"/>
      <c r="S2621" s="5"/>
      <c r="T2621" s="5"/>
      <c r="U2621" s="5"/>
      <c r="V2621" s="5"/>
      <c r="W2621" s="5"/>
      <c r="X2621" s="5"/>
      <c r="Y2621" s="5"/>
      <c r="Z2621" s="5"/>
    </row>
    <row r="2622" ht="12.0" customHeight="1">
      <c r="A2622" s="92"/>
      <c r="B2622" s="5" t="s">
        <v>635</v>
      </c>
      <c r="C2622" s="293">
        <f>C2621/Parametros!$J$37</f>
        <v>1.0506</v>
      </c>
      <c r="D2622" s="293">
        <f>D2621/Parametros!$J$37</f>
        <v>0.927</v>
      </c>
      <c r="E2622" s="293">
        <f>E2621/Parametros!$J$37</f>
        <v>1.1124</v>
      </c>
      <c r="F2622" s="293">
        <f>F2621/Parametros!$J$37</f>
        <v>1.1124</v>
      </c>
      <c r="G2622" s="293">
        <f>G2621/Parametros!$J$37</f>
        <v>1.1124</v>
      </c>
      <c r="H2622" s="293">
        <f>H2621/Parametros!$J$37</f>
        <v>0.9888</v>
      </c>
      <c r="I2622" s="293">
        <f>I2621/Parametros!$J$37</f>
        <v>1.1124</v>
      </c>
      <c r="J2622" s="293">
        <f>J2621/Parametros!$J$37</f>
        <v>1.1124</v>
      </c>
      <c r="K2622" s="293">
        <f>K2621/Parametros!$J$37</f>
        <v>1.0506</v>
      </c>
      <c r="L2622" s="293">
        <f>L2621/Parametros!$J$37</f>
        <v>0.927</v>
      </c>
      <c r="M2622" s="293">
        <f>M2621/Parametros!$J$37</f>
        <v>0.8652</v>
      </c>
      <c r="N2622" s="293">
        <f>N2621/Parametros!$J$37</f>
        <v>0.9888</v>
      </c>
      <c r="O2622" s="5"/>
      <c r="P2622" s="5"/>
      <c r="Q2622" s="5"/>
      <c r="R2622" s="5"/>
      <c r="S2622" s="5"/>
      <c r="T2622" s="5"/>
      <c r="U2622" s="5"/>
      <c r="V2622" s="5"/>
      <c r="W2622" s="5"/>
      <c r="X2622" s="5"/>
      <c r="Y2622" s="5"/>
      <c r="Z2622" s="5"/>
    </row>
    <row r="2623" ht="12.0" customHeight="1">
      <c r="A2623" s="92" t="s">
        <v>636</v>
      </c>
      <c r="B2623" s="5"/>
      <c r="C2623" s="293">
        <f t="shared" ref="C2623:N2623" si="833">C2622</f>
        <v>1.0506</v>
      </c>
      <c r="D2623" s="293">
        <f t="shared" si="833"/>
        <v>0.927</v>
      </c>
      <c r="E2623" s="293">
        <f t="shared" si="833"/>
        <v>1.1124</v>
      </c>
      <c r="F2623" s="293">
        <f t="shared" si="833"/>
        <v>1.1124</v>
      </c>
      <c r="G2623" s="293">
        <f t="shared" si="833"/>
        <v>1.1124</v>
      </c>
      <c r="H2623" s="293">
        <f t="shared" si="833"/>
        <v>0.9888</v>
      </c>
      <c r="I2623" s="293">
        <f t="shared" si="833"/>
        <v>1.1124</v>
      </c>
      <c r="J2623" s="293">
        <f t="shared" si="833"/>
        <v>1.1124</v>
      </c>
      <c r="K2623" s="293">
        <f t="shared" si="833"/>
        <v>1.0506</v>
      </c>
      <c r="L2623" s="293">
        <f t="shared" si="833"/>
        <v>0.927</v>
      </c>
      <c r="M2623" s="293">
        <f t="shared" si="833"/>
        <v>0.8652</v>
      </c>
      <c r="N2623" s="293">
        <f t="shared" si="833"/>
        <v>0.9888</v>
      </c>
      <c r="O2623" s="5"/>
      <c r="P2623" s="5"/>
      <c r="Q2623" s="5"/>
      <c r="R2623" s="5"/>
      <c r="S2623" s="5"/>
      <c r="T2623" s="5"/>
      <c r="U2623" s="5"/>
      <c r="V2623" s="5"/>
      <c r="W2623" s="5"/>
      <c r="X2623" s="5"/>
      <c r="Y2623" s="5"/>
      <c r="Z2623" s="5"/>
    </row>
    <row r="2624" ht="12.0" customHeight="1">
      <c r="A2624" s="92" t="s">
        <v>637</v>
      </c>
      <c r="B2624" s="5"/>
      <c r="C2624" s="293">
        <f>Parametros!$M$113</f>
        <v>1.882352941</v>
      </c>
      <c r="D2624" s="293">
        <f>Parametros!$M$113</f>
        <v>1.882352941</v>
      </c>
      <c r="E2624" s="293">
        <f>Parametros!$M$113</f>
        <v>1.882352941</v>
      </c>
      <c r="F2624" s="293">
        <f>Parametros!$M$113</f>
        <v>1.882352941</v>
      </c>
      <c r="G2624" s="293">
        <f>Parametros!$M$113</f>
        <v>1.882352941</v>
      </c>
      <c r="H2624" s="293">
        <f>Parametros!$M$113</f>
        <v>1.882352941</v>
      </c>
      <c r="I2624" s="293">
        <f>Parametros!$M$113</f>
        <v>1.882352941</v>
      </c>
      <c r="J2624" s="293">
        <f>Parametros!$M$113</f>
        <v>1.882352941</v>
      </c>
      <c r="K2624" s="293">
        <f>Parametros!$M$113</f>
        <v>1.882352941</v>
      </c>
      <c r="L2624" s="293">
        <f>Parametros!$M$113</f>
        <v>1.882352941</v>
      </c>
      <c r="M2624" s="293">
        <f>Parametros!$M$113</f>
        <v>1.882352941</v>
      </c>
      <c r="N2624" s="293">
        <f>Parametros!$M$113</f>
        <v>1.882352941</v>
      </c>
      <c r="O2624" s="5"/>
      <c r="P2624" s="5"/>
      <c r="Q2624" s="5"/>
      <c r="R2624" s="5"/>
      <c r="S2624" s="5"/>
      <c r="T2624" s="5"/>
      <c r="U2624" s="5"/>
      <c r="V2624" s="5"/>
      <c r="W2624" s="5"/>
      <c r="X2624" s="5"/>
      <c r="Y2624" s="5"/>
      <c r="Z2624" s="5"/>
    </row>
    <row r="2625" ht="12.0" customHeight="1">
      <c r="A2625" s="92" t="s">
        <v>640</v>
      </c>
      <c r="B2625" s="5"/>
      <c r="C2625" s="203">
        <f>'Resumen Capacidad'!$H$221</f>
        <v>1</v>
      </c>
      <c r="D2625" s="203">
        <f>'Resumen Capacidad'!$H$221</f>
        <v>1</v>
      </c>
      <c r="E2625" s="203">
        <f>'Resumen Capacidad'!$H$221</f>
        <v>1</v>
      </c>
      <c r="F2625" s="203">
        <f>'Resumen Capacidad'!$H$221</f>
        <v>1</v>
      </c>
      <c r="G2625" s="203">
        <f>'Resumen Capacidad'!$H$221</f>
        <v>1</v>
      </c>
      <c r="H2625" s="203">
        <f>'Resumen Capacidad'!$H$221</f>
        <v>1</v>
      </c>
      <c r="I2625" s="203">
        <f>'Resumen Capacidad'!$H$221</f>
        <v>1</v>
      </c>
      <c r="J2625" s="203">
        <f>'Resumen Capacidad'!$H$221</f>
        <v>1</v>
      </c>
      <c r="K2625" s="203">
        <f>'Resumen Capacidad'!$H$221</f>
        <v>1</v>
      </c>
      <c r="L2625" s="203">
        <f>'Resumen Capacidad'!$H$221</f>
        <v>1</v>
      </c>
      <c r="M2625" s="203">
        <f>'Resumen Capacidad'!$H$221</f>
        <v>1</v>
      </c>
      <c r="N2625" s="203">
        <f>'Resumen Capacidad'!$H$221</f>
        <v>1</v>
      </c>
      <c r="O2625" s="5"/>
      <c r="P2625" s="5"/>
      <c r="Q2625" s="5"/>
      <c r="R2625" s="5"/>
      <c r="S2625" s="5"/>
      <c r="T2625" s="5"/>
      <c r="U2625" s="5"/>
      <c r="V2625" s="5"/>
      <c r="W2625" s="5"/>
      <c r="X2625" s="5"/>
      <c r="Y2625" s="5"/>
      <c r="Z2625" s="5"/>
    </row>
    <row r="2626" ht="12.0" customHeight="1">
      <c r="A2626" s="92" t="s">
        <v>642</v>
      </c>
      <c r="B2626" s="5"/>
      <c r="C2626" s="203">
        <f t="shared" ref="C2626:N2626" si="834">C2624*C2625</f>
        <v>1.882352941</v>
      </c>
      <c r="D2626" s="203">
        <f t="shared" si="834"/>
        <v>1.882352941</v>
      </c>
      <c r="E2626" s="203">
        <f t="shared" si="834"/>
        <v>1.882352941</v>
      </c>
      <c r="F2626" s="203">
        <f t="shared" si="834"/>
        <v>1.882352941</v>
      </c>
      <c r="G2626" s="203">
        <f t="shared" si="834"/>
        <v>1.882352941</v>
      </c>
      <c r="H2626" s="203">
        <f t="shared" si="834"/>
        <v>1.882352941</v>
      </c>
      <c r="I2626" s="203">
        <f t="shared" si="834"/>
        <v>1.882352941</v>
      </c>
      <c r="J2626" s="203">
        <f t="shared" si="834"/>
        <v>1.882352941</v>
      </c>
      <c r="K2626" s="203">
        <f t="shared" si="834"/>
        <v>1.882352941</v>
      </c>
      <c r="L2626" s="203">
        <f t="shared" si="834"/>
        <v>1.882352941</v>
      </c>
      <c r="M2626" s="203">
        <f t="shared" si="834"/>
        <v>1.882352941</v>
      </c>
      <c r="N2626" s="203">
        <f t="shared" si="834"/>
        <v>1.882352941</v>
      </c>
      <c r="O2626" s="5"/>
      <c r="P2626" s="5"/>
      <c r="Q2626" s="5"/>
      <c r="R2626" s="5"/>
      <c r="S2626" s="5"/>
      <c r="T2626" s="5"/>
      <c r="U2626" s="5"/>
      <c r="V2626" s="5"/>
      <c r="W2626" s="5"/>
      <c r="X2626" s="5"/>
      <c r="Y2626" s="5"/>
      <c r="Z2626" s="5"/>
    </row>
    <row r="2627" ht="12.0" customHeight="1">
      <c r="A2627" s="92" t="s">
        <v>643</v>
      </c>
      <c r="B2627" s="5"/>
      <c r="C2627" s="294">
        <f t="shared" ref="C2627:N2627" si="835">IF(C2626=0,0,C2623/C2626)</f>
        <v>0.55813125</v>
      </c>
      <c r="D2627" s="294">
        <f t="shared" si="835"/>
        <v>0.49246875</v>
      </c>
      <c r="E2627" s="294">
        <f t="shared" si="835"/>
        <v>0.5909625</v>
      </c>
      <c r="F2627" s="294">
        <f t="shared" si="835"/>
        <v>0.5909625</v>
      </c>
      <c r="G2627" s="294">
        <f t="shared" si="835"/>
        <v>0.5909625</v>
      </c>
      <c r="H2627" s="294">
        <f t="shared" si="835"/>
        <v>0.5253</v>
      </c>
      <c r="I2627" s="294">
        <f t="shared" si="835"/>
        <v>0.5909625</v>
      </c>
      <c r="J2627" s="294">
        <f t="shared" si="835"/>
        <v>0.5909625</v>
      </c>
      <c r="K2627" s="294">
        <f t="shared" si="835"/>
        <v>0.55813125</v>
      </c>
      <c r="L2627" s="294">
        <f t="shared" si="835"/>
        <v>0.49246875</v>
      </c>
      <c r="M2627" s="294">
        <f t="shared" si="835"/>
        <v>0.4596375</v>
      </c>
      <c r="N2627" s="294">
        <f t="shared" si="835"/>
        <v>0.5253</v>
      </c>
      <c r="O2627" s="5"/>
      <c r="P2627" s="5"/>
      <c r="Q2627" s="5"/>
      <c r="R2627" s="5"/>
      <c r="S2627" s="5"/>
      <c r="T2627" s="5"/>
      <c r="U2627" s="5"/>
      <c r="V2627" s="5"/>
      <c r="W2627" s="5"/>
      <c r="X2627" s="5"/>
      <c r="Y2627" s="5"/>
      <c r="Z2627" s="5"/>
    </row>
    <row r="2628" ht="12.0" customHeight="1">
      <c r="A2628" s="10" t="s">
        <v>1645</v>
      </c>
      <c r="B2628" s="5"/>
      <c r="C2628" s="206"/>
      <c r="D2628" s="206"/>
      <c r="E2628" s="206"/>
      <c r="F2628" s="206"/>
      <c r="G2628" s="206"/>
      <c r="H2628" s="206"/>
      <c r="I2628" s="206"/>
      <c r="J2628" s="206"/>
      <c r="K2628" s="206"/>
      <c r="L2628" s="206"/>
      <c r="M2628" s="206"/>
      <c r="N2628" s="206"/>
      <c r="O2628" s="5"/>
      <c r="P2628" s="5"/>
      <c r="Q2628" s="5"/>
      <c r="R2628" s="5"/>
      <c r="S2628" s="5"/>
      <c r="T2628" s="5"/>
      <c r="U2628" s="5"/>
      <c r="V2628" s="5"/>
      <c r="W2628" s="5"/>
      <c r="X2628" s="5"/>
      <c r="Y2628" s="5"/>
      <c r="Z2628" s="5"/>
    </row>
    <row r="2629" ht="12.0" customHeight="1">
      <c r="A2629" s="92" t="s">
        <v>630</v>
      </c>
      <c r="B2629" s="5" t="s">
        <v>631</v>
      </c>
      <c r="C2629" s="206" t="s">
        <v>3</v>
      </c>
      <c r="D2629" s="206" t="s">
        <v>4</v>
      </c>
      <c r="E2629" s="206" t="s">
        <v>507</v>
      </c>
      <c r="F2629" s="206" t="s">
        <v>508</v>
      </c>
      <c r="G2629" s="206" t="s">
        <v>509</v>
      </c>
      <c r="H2629" s="206" t="s">
        <v>510</v>
      </c>
      <c r="I2629" s="206" t="s">
        <v>511</v>
      </c>
      <c r="J2629" s="206" t="s">
        <v>512</v>
      </c>
      <c r="K2629" s="206" t="s">
        <v>513</v>
      </c>
      <c r="L2629" s="206" t="s">
        <v>514</v>
      </c>
      <c r="M2629" s="206" t="s">
        <v>515</v>
      </c>
      <c r="N2629" s="206" t="s">
        <v>516</v>
      </c>
      <c r="O2629" s="5"/>
      <c r="P2629" s="5"/>
      <c r="Q2629" s="5"/>
      <c r="R2629" s="5"/>
      <c r="S2629" s="5"/>
      <c r="T2629" s="5"/>
      <c r="U2629" s="5"/>
      <c r="V2629" s="5"/>
      <c r="W2629" s="5"/>
      <c r="X2629" s="5"/>
      <c r="Y2629" s="5"/>
      <c r="Z2629" s="5"/>
    </row>
    <row r="2630" ht="12.0" customHeight="1">
      <c r="A2630" s="92" t="s">
        <v>1643</v>
      </c>
      <c r="B2630" s="5" t="s">
        <v>633</v>
      </c>
      <c r="C2630" s="203">
        <f t="shared" ref="C2630:N2630" si="836">C2605</f>
        <v>157.59</v>
      </c>
      <c r="D2630" s="203">
        <f t="shared" si="836"/>
        <v>139.05</v>
      </c>
      <c r="E2630" s="203">
        <f t="shared" si="836"/>
        <v>166.86</v>
      </c>
      <c r="F2630" s="203">
        <f t="shared" si="836"/>
        <v>166.86</v>
      </c>
      <c r="G2630" s="203">
        <f t="shared" si="836"/>
        <v>166.86</v>
      </c>
      <c r="H2630" s="203">
        <f t="shared" si="836"/>
        <v>148.32</v>
      </c>
      <c r="I2630" s="203">
        <f t="shared" si="836"/>
        <v>166.86</v>
      </c>
      <c r="J2630" s="203">
        <f t="shared" si="836"/>
        <v>166.86</v>
      </c>
      <c r="K2630" s="203">
        <f t="shared" si="836"/>
        <v>157.59</v>
      </c>
      <c r="L2630" s="203">
        <f t="shared" si="836"/>
        <v>139.05</v>
      </c>
      <c r="M2630" s="203">
        <f t="shared" si="836"/>
        <v>129.78</v>
      </c>
      <c r="N2630" s="203">
        <f t="shared" si="836"/>
        <v>148.32</v>
      </c>
      <c r="O2630" s="5"/>
      <c r="P2630" s="5"/>
      <c r="Q2630" s="5"/>
      <c r="R2630" s="5"/>
      <c r="S2630" s="5"/>
      <c r="T2630" s="5"/>
      <c r="U2630" s="5"/>
      <c r="V2630" s="5"/>
      <c r="W2630" s="5"/>
      <c r="X2630" s="5"/>
      <c r="Y2630" s="5"/>
      <c r="Z2630" s="5"/>
    </row>
    <row r="2631" ht="12.0" customHeight="1">
      <c r="A2631" s="92"/>
      <c r="B2631" s="5" t="s">
        <v>634</v>
      </c>
      <c r="C2631" s="293">
        <f>C2630/Parametros!$B$37</f>
        <v>7.8795</v>
      </c>
      <c r="D2631" s="293">
        <f>D2630/Parametros!$B$37</f>
        <v>6.9525</v>
      </c>
      <c r="E2631" s="293">
        <f>E2630/Parametros!$B$37</f>
        <v>8.343</v>
      </c>
      <c r="F2631" s="293">
        <f>F2630/Parametros!$B$37</f>
        <v>8.343</v>
      </c>
      <c r="G2631" s="293">
        <f>G2630/Parametros!$B$37</f>
        <v>8.343</v>
      </c>
      <c r="H2631" s="293">
        <f>H2630/Parametros!$B$37</f>
        <v>7.416</v>
      </c>
      <c r="I2631" s="293">
        <f>I2630/Parametros!$B$37</f>
        <v>8.343</v>
      </c>
      <c r="J2631" s="293">
        <f>J2630/Parametros!$B$37</f>
        <v>8.343</v>
      </c>
      <c r="K2631" s="293">
        <f>K2630/Parametros!$B$37</f>
        <v>7.8795</v>
      </c>
      <c r="L2631" s="293">
        <f>L2630/Parametros!$B$37</f>
        <v>6.9525</v>
      </c>
      <c r="M2631" s="293">
        <f>M2630/Parametros!$B$37</f>
        <v>6.489</v>
      </c>
      <c r="N2631" s="293">
        <f>N2630/Parametros!$B$37</f>
        <v>7.416</v>
      </c>
      <c r="O2631" s="5"/>
      <c r="P2631" s="5"/>
      <c r="Q2631" s="5"/>
      <c r="R2631" s="5"/>
      <c r="S2631" s="5"/>
      <c r="T2631" s="5"/>
      <c r="U2631" s="5"/>
      <c r="V2631" s="5"/>
      <c r="W2631" s="5"/>
      <c r="X2631" s="5"/>
      <c r="Y2631" s="5"/>
      <c r="Z2631" s="5"/>
    </row>
    <row r="2632" ht="12.0" customHeight="1">
      <c r="A2632" s="92"/>
      <c r="B2632" s="5" t="s">
        <v>635</v>
      </c>
      <c r="C2632" s="293">
        <f>C2631/Parametros!$J$37</f>
        <v>1.0506</v>
      </c>
      <c r="D2632" s="293">
        <f>D2631/Parametros!$J$37</f>
        <v>0.927</v>
      </c>
      <c r="E2632" s="293">
        <f>E2631/Parametros!$J$37</f>
        <v>1.1124</v>
      </c>
      <c r="F2632" s="293">
        <f>F2631/Parametros!$J$37</f>
        <v>1.1124</v>
      </c>
      <c r="G2632" s="293">
        <f>G2631/Parametros!$J$37</f>
        <v>1.1124</v>
      </c>
      <c r="H2632" s="293">
        <f>H2631/Parametros!$J$37</f>
        <v>0.9888</v>
      </c>
      <c r="I2632" s="293">
        <f>I2631/Parametros!$J$37</f>
        <v>1.1124</v>
      </c>
      <c r="J2632" s="293">
        <f>J2631/Parametros!$J$37</f>
        <v>1.1124</v>
      </c>
      <c r="K2632" s="293">
        <f>K2631/Parametros!$J$37</f>
        <v>1.0506</v>
      </c>
      <c r="L2632" s="293">
        <f>L2631/Parametros!$J$37</f>
        <v>0.927</v>
      </c>
      <c r="M2632" s="293">
        <f>M2631/Parametros!$J$37</f>
        <v>0.8652</v>
      </c>
      <c r="N2632" s="293">
        <f>N2631/Parametros!$J$37</f>
        <v>0.9888</v>
      </c>
      <c r="O2632" s="5"/>
      <c r="P2632" s="5"/>
      <c r="Q2632" s="5"/>
      <c r="R2632" s="5"/>
      <c r="S2632" s="5"/>
      <c r="T2632" s="5"/>
      <c r="U2632" s="5"/>
      <c r="V2632" s="5"/>
      <c r="W2632" s="5"/>
      <c r="X2632" s="5"/>
      <c r="Y2632" s="5"/>
      <c r="Z2632" s="5"/>
    </row>
    <row r="2633" ht="12.0" customHeight="1">
      <c r="A2633" s="92" t="s">
        <v>636</v>
      </c>
      <c r="B2633" s="5"/>
      <c r="C2633" s="293">
        <f t="shared" ref="C2633:N2633" si="837">C2632</f>
        <v>1.0506</v>
      </c>
      <c r="D2633" s="293">
        <f t="shared" si="837"/>
        <v>0.927</v>
      </c>
      <c r="E2633" s="293">
        <f t="shared" si="837"/>
        <v>1.1124</v>
      </c>
      <c r="F2633" s="293">
        <f t="shared" si="837"/>
        <v>1.1124</v>
      </c>
      <c r="G2633" s="293">
        <f t="shared" si="837"/>
        <v>1.1124</v>
      </c>
      <c r="H2633" s="293">
        <f t="shared" si="837"/>
        <v>0.9888</v>
      </c>
      <c r="I2633" s="293">
        <f t="shared" si="837"/>
        <v>1.1124</v>
      </c>
      <c r="J2633" s="293">
        <f t="shared" si="837"/>
        <v>1.1124</v>
      </c>
      <c r="K2633" s="293">
        <f t="shared" si="837"/>
        <v>1.0506</v>
      </c>
      <c r="L2633" s="293">
        <f t="shared" si="837"/>
        <v>0.927</v>
      </c>
      <c r="M2633" s="293">
        <f t="shared" si="837"/>
        <v>0.8652</v>
      </c>
      <c r="N2633" s="293">
        <f t="shared" si="837"/>
        <v>0.9888</v>
      </c>
      <c r="O2633" s="5"/>
      <c r="P2633" s="5"/>
      <c r="Q2633" s="5"/>
      <c r="R2633" s="5"/>
      <c r="S2633" s="5"/>
      <c r="T2633" s="5"/>
      <c r="U2633" s="5"/>
      <c r="V2633" s="5"/>
      <c r="W2633" s="5"/>
      <c r="X2633" s="5"/>
      <c r="Y2633" s="5"/>
      <c r="Z2633" s="5"/>
    </row>
    <row r="2634" ht="12.0" customHeight="1">
      <c r="A2634" s="92" t="s">
        <v>637</v>
      </c>
      <c r="B2634" s="5"/>
      <c r="C2634" s="293">
        <f>Parametros!$M$114</f>
        <v>19.74193548</v>
      </c>
      <c r="D2634" s="293">
        <f>Parametros!$M$114</f>
        <v>19.74193548</v>
      </c>
      <c r="E2634" s="293">
        <f>Parametros!$M$114</f>
        <v>19.74193548</v>
      </c>
      <c r="F2634" s="293">
        <f>Parametros!$M$114</f>
        <v>19.74193548</v>
      </c>
      <c r="G2634" s="293">
        <f>Parametros!$M$114</f>
        <v>19.74193548</v>
      </c>
      <c r="H2634" s="293">
        <f>Parametros!$M$114</f>
        <v>19.74193548</v>
      </c>
      <c r="I2634" s="293">
        <f>Parametros!$M$114</f>
        <v>19.74193548</v>
      </c>
      <c r="J2634" s="293">
        <f>Parametros!$M$114</f>
        <v>19.74193548</v>
      </c>
      <c r="K2634" s="293">
        <f>Parametros!$M$114</f>
        <v>19.74193548</v>
      </c>
      <c r="L2634" s="293">
        <f>Parametros!$M$114</f>
        <v>19.74193548</v>
      </c>
      <c r="M2634" s="293">
        <f>Parametros!$M$114</f>
        <v>19.74193548</v>
      </c>
      <c r="N2634" s="293">
        <f>Parametros!$M$114</f>
        <v>19.74193548</v>
      </c>
      <c r="O2634" s="5"/>
      <c r="P2634" s="5"/>
      <c r="Q2634" s="5"/>
      <c r="R2634" s="5"/>
      <c r="S2634" s="5"/>
      <c r="T2634" s="5"/>
      <c r="U2634" s="5"/>
      <c r="V2634" s="5"/>
      <c r="W2634" s="5"/>
      <c r="X2634" s="5"/>
      <c r="Y2634" s="5"/>
      <c r="Z2634" s="5"/>
    </row>
    <row r="2635" ht="12.0" customHeight="1">
      <c r="A2635" s="92" t="s">
        <v>640</v>
      </c>
      <c r="B2635" s="5"/>
      <c r="C2635" s="203">
        <f>'Resumen Capacidad'!$H$222</f>
        <v>1</v>
      </c>
      <c r="D2635" s="203">
        <f>'Resumen Capacidad'!$H$222</f>
        <v>1</v>
      </c>
      <c r="E2635" s="203">
        <f>'Resumen Capacidad'!$H$222</f>
        <v>1</v>
      </c>
      <c r="F2635" s="203">
        <f>'Resumen Capacidad'!$H$222</f>
        <v>1</v>
      </c>
      <c r="G2635" s="203">
        <f>'Resumen Capacidad'!$H$222</f>
        <v>1</v>
      </c>
      <c r="H2635" s="203">
        <f>'Resumen Capacidad'!$H$222</f>
        <v>1</v>
      </c>
      <c r="I2635" s="203">
        <f>'Resumen Capacidad'!$H$222</f>
        <v>1</v>
      </c>
      <c r="J2635" s="203">
        <f>'Resumen Capacidad'!$H$222</f>
        <v>1</v>
      </c>
      <c r="K2635" s="203">
        <f>'Resumen Capacidad'!$H$222</f>
        <v>1</v>
      </c>
      <c r="L2635" s="203">
        <f>'Resumen Capacidad'!$H$222</f>
        <v>1</v>
      </c>
      <c r="M2635" s="203">
        <f>'Resumen Capacidad'!$H$222</f>
        <v>1</v>
      </c>
      <c r="N2635" s="203">
        <f>'Resumen Capacidad'!$H$222</f>
        <v>1</v>
      </c>
      <c r="O2635" s="5"/>
      <c r="P2635" s="5"/>
      <c r="Q2635" s="5"/>
      <c r="R2635" s="5"/>
      <c r="S2635" s="5"/>
      <c r="T2635" s="5"/>
      <c r="U2635" s="5"/>
      <c r="V2635" s="5"/>
      <c r="W2635" s="5"/>
      <c r="X2635" s="5"/>
      <c r="Y2635" s="5"/>
      <c r="Z2635" s="5"/>
    </row>
    <row r="2636" ht="12.0" customHeight="1">
      <c r="A2636" s="92" t="s">
        <v>642</v>
      </c>
      <c r="B2636" s="5"/>
      <c r="C2636" s="203">
        <f t="shared" ref="C2636:N2636" si="838">C2634*C2635</f>
        <v>19.74193548</v>
      </c>
      <c r="D2636" s="203">
        <f t="shared" si="838"/>
        <v>19.74193548</v>
      </c>
      <c r="E2636" s="203">
        <f t="shared" si="838"/>
        <v>19.74193548</v>
      </c>
      <c r="F2636" s="203">
        <f t="shared" si="838"/>
        <v>19.74193548</v>
      </c>
      <c r="G2636" s="203">
        <f t="shared" si="838"/>
        <v>19.74193548</v>
      </c>
      <c r="H2636" s="203">
        <f t="shared" si="838"/>
        <v>19.74193548</v>
      </c>
      <c r="I2636" s="203">
        <f t="shared" si="838"/>
        <v>19.74193548</v>
      </c>
      <c r="J2636" s="203">
        <f t="shared" si="838"/>
        <v>19.74193548</v>
      </c>
      <c r="K2636" s="203">
        <f t="shared" si="838"/>
        <v>19.74193548</v>
      </c>
      <c r="L2636" s="203">
        <f t="shared" si="838"/>
        <v>19.74193548</v>
      </c>
      <c r="M2636" s="203">
        <f t="shared" si="838"/>
        <v>19.74193548</v>
      </c>
      <c r="N2636" s="203">
        <f t="shared" si="838"/>
        <v>19.74193548</v>
      </c>
      <c r="O2636" s="5"/>
      <c r="P2636" s="5"/>
      <c r="Q2636" s="5"/>
      <c r="R2636" s="5"/>
      <c r="S2636" s="5"/>
      <c r="T2636" s="5"/>
      <c r="U2636" s="5"/>
      <c r="V2636" s="5"/>
      <c r="W2636" s="5"/>
      <c r="X2636" s="5"/>
      <c r="Y2636" s="5"/>
      <c r="Z2636" s="5"/>
    </row>
    <row r="2637" ht="12.0" customHeight="1">
      <c r="A2637" s="92" t="s">
        <v>643</v>
      </c>
      <c r="B2637" s="5"/>
      <c r="C2637" s="294">
        <f t="shared" ref="C2637:N2637" si="839">IF(C2636=0,0,C2633/C2636)</f>
        <v>0.05321666667</v>
      </c>
      <c r="D2637" s="294">
        <f t="shared" si="839"/>
        <v>0.04695588235</v>
      </c>
      <c r="E2637" s="294">
        <f t="shared" si="839"/>
        <v>0.05634705882</v>
      </c>
      <c r="F2637" s="294">
        <f t="shared" si="839"/>
        <v>0.05634705882</v>
      </c>
      <c r="G2637" s="294">
        <f t="shared" si="839"/>
        <v>0.05634705882</v>
      </c>
      <c r="H2637" s="294">
        <f t="shared" si="839"/>
        <v>0.05008627451</v>
      </c>
      <c r="I2637" s="294">
        <f t="shared" si="839"/>
        <v>0.05634705882</v>
      </c>
      <c r="J2637" s="294">
        <f t="shared" si="839"/>
        <v>0.05634705882</v>
      </c>
      <c r="K2637" s="294">
        <f t="shared" si="839"/>
        <v>0.05321666667</v>
      </c>
      <c r="L2637" s="294">
        <f t="shared" si="839"/>
        <v>0.04695588235</v>
      </c>
      <c r="M2637" s="294">
        <f t="shared" si="839"/>
        <v>0.0438254902</v>
      </c>
      <c r="N2637" s="294">
        <f t="shared" si="839"/>
        <v>0.05008627451</v>
      </c>
      <c r="O2637" s="5"/>
      <c r="P2637" s="5"/>
      <c r="Q2637" s="5"/>
      <c r="R2637" s="5"/>
      <c r="S2637" s="5"/>
      <c r="T2637" s="5"/>
      <c r="U2637" s="5"/>
      <c r="V2637" s="5"/>
      <c r="W2637" s="5"/>
      <c r="X2637" s="5"/>
      <c r="Y2637" s="5"/>
      <c r="Z2637" s="5"/>
    </row>
    <row r="2638" ht="12.0" customHeight="1">
      <c r="A2638" s="10" t="s">
        <v>1646</v>
      </c>
      <c r="B2638" s="5"/>
      <c r="C2638" s="206"/>
      <c r="D2638" s="206"/>
      <c r="E2638" s="206"/>
      <c r="F2638" s="206"/>
      <c r="G2638" s="206"/>
      <c r="H2638" s="206"/>
      <c r="I2638" s="206"/>
      <c r="J2638" s="206"/>
      <c r="K2638" s="206"/>
      <c r="L2638" s="206"/>
      <c r="M2638" s="206"/>
      <c r="N2638" s="206"/>
      <c r="O2638" s="5"/>
      <c r="P2638" s="5"/>
      <c r="Q2638" s="5"/>
      <c r="R2638" s="5"/>
      <c r="S2638" s="5"/>
      <c r="T2638" s="5"/>
      <c r="U2638" s="5"/>
      <c r="V2638" s="5"/>
      <c r="W2638" s="5"/>
      <c r="X2638" s="5"/>
      <c r="Y2638" s="5"/>
      <c r="Z2638" s="5"/>
    </row>
    <row r="2639" ht="12.0" customHeight="1">
      <c r="A2639" s="92" t="s">
        <v>630</v>
      </c>
      <c r="B2639" s="5" t="s">
        <v>631</v>
      </c>
      <c r="C2639" s="206" t="s">
        <v>3</v>
      </c>
      <c r="D2639" s="206" t="s">
        <v>4</v>
      </c>
      <c r="E2639" s="206" t="s">
        <v>507</v>
      </c>
      <c r="F2639" s="206" t="s">
        <v>508</v>
      </c>
      <c r="G2639" s="206" t="s">
        <v>509</v>
      </c>
      <c r="H2639" s="206" t="s">
        <v>510</v>
      </c>
      <c r="I2639" s="206" t="s">
        <v>511</v>
      </c>
      <c r="J2639" s="206" t="s">
        <v>512</v>
      </c>
      <c r="K2639" s="206" t="s">
        <v>513</v>
      </c>
      <c r="L2639" s="206" t="s">
        <v>514</v>
      </c>
      <c r="M2639" s="206" t="s">
        <v>515</v>
      </c>
      <c r="N2639" s="206" t="s">
        <v>516</v>
      </c>
      <c r="O2639" s="5"/>
      <c r="P2639" s="5"/>
      <c r="Q2639" s="5"/>
      <c r="R2639" s="5"/>
      <c r="S2639" s="5"/>
      <c r="T2639" s="5"/>
      <c r="U2639" s="5"/>
      <c r="V2639" s="5"/>
      <c r="W2639" s="5"/>
      <c r="X2639" s="5"/>
      <c r="Y2639" s="5"/>
      <c r="Z2639" s="5"/>
    </row>
    <row r="2640" ht="12.0" customHeight="1">
      <c r="A2640" s="92" t="s">
        <v>1643</v>
      </c>
      <c r="B2640" s="5" t="s">
        <v>633</v>
      </c>
      <c r="C2640" s="203">
        <f t="shared" ref="C2640:N2640" si="840">C2605</f>
        <v>157.59</v>
      </c>
      <c r="D2640" s="203">
        <f t="shared" si="840"/>
        <v>139.05</v>
      </c>
      <c r="E2640" s="203">
        <f t="shared" si="840"/>
        <v>166.86</v>
      </c>
      <c r="F2640" s="203">
        <f t="shared" si="840"/>
        <v>166.86</v>
      </c>
      <c r="G2640" s="203">
        <f t="shared" si="840"/>
        <v>166.86</v>
      </c>
      <c r="H2640" s="203">
        <f t="shared" si="840"/>
        <v>148.32</v>
      </c>
      <c r="I2640" s="203">
        <f t="shared" si="840"/>
        <v>166.86</v>
      </c>
      <c r="J2640" s="203">
        <f t="shared" si="840"/>
        <v>166.86</v>
      </c>
      <c r="K2640" s="203">
        <f t="shared" si="840"/>
        <v>157.59</v>
      </c>
      <c r="L2640" s="203">
        <f t="shared" si="840"/>
        <v>139.05</v>
      </c>
      <c r="M2640" s="203">
        <f t="shared" si="840"/>
        <v>129.78</v>
      </c>
      <c r="N2640" s="203">
        <f t="shared" si="840"/>
        <v>148.32</v>
      </c>
      <c r="O2640" s="5"/>
      <c r="P2640" s="5"/>
      <c r="Q2640" s="5"/>
      <c r="R2640" s="5"/>
      <c r="S2640" s="5"/>
      <c r="T2640" s="5"/>
      <c r="U2640" s="5"/>
      <c r="V2640" s="5"/>
      <c r="W2640" s="5"/>
      <c r="X2640" s="5"/>
      <c r="Y2640" s="5"/>
      <c r="Z2640" s="5"/>
    </row>
    <row r="2641" ht="12.0" customHeight="1">
      <c r="A2641" s="92"/>
      <c r="B2641" s="5" t="s">
        <v>634</v>
      </c>
      <c r="C2641" s="293">
        <f>C2640/Parametros!$B$37</f>
        <v>7.8795</v>
      </c>
      <c r="D2641" s="293">
        <f>D2640/Parametros!$B$37</f>
        <v>6.9525</v>
      </c>
      <c r="E2641" s="293">
        <f>E2640/Parametros!$B$37</f>
        <v>8.343</v>
      </c>
      <c r="F2641" s="293">
        <f>F2640/Parametros!$B$37</f>
        <v>8.343</v>
      </c>
      <c r="G2641" s="293">
        <f>G2640/Parametros!$B$37</f>
        <v>8.343</v>
      </c>
      <c r="H2641" s="293">
        <f>H2640/Parametros!$B$37</f>
        <v>7.416</v>
      </c>
      <c r="I2641" s="293">
        <f>I2640/Parametros!$B$37</f>
        <v>8.343</v>
      </c>
      <c r="J2641" s="293">
        <f>J2640/Parametros!$B$37</f>
        <v>8.343</v>
      </c>
      <c r="K2641" s="293">
        <f>K2640/Parametros!$B$37</f>
        <v>7.8795</v>
      </c>
      <c r="L2641" s="293">
        <f>L2640/Parametros!$B$37</f>
        <v>6.9525</v>
      </c>
      <c r="M2641" s="293">
        <f>M2640/Parametros!$B$37</f>
        <v>6.489</v>
      </c>
      <c r="N2641" s="293">
        <f>N2640/Parametros!$B$37</f>
        <v>7.416</v>
      </c>
      <c r="O2641" s="5"/>
      <c r="P2641" s="5"/>
      <c r="Q2641" s="5"/>
      <c r="R2641" s="5"/>
      <c r="S2641" s="5"/>
      <c r="T2641" s="5"/>
      <c r="U2641" s="5"/>
      <c r="V2641" s="5"/>
      <c r="W2641" s="5"/>
      <c r="X2641" s="5"/>
      <c r="Y2641" s="5"/>
      <c r="Z2641" s="5"/>
    </row>
    <row r="2642" ht="12.0" customHeight="1">
      <c r="A2642" s="92"/>
      <c r="B2642" s="5" t="s">
        <v>635</v>
      </c>
      <c r="C2642" s="293">
        <f>C2641/Parametros!$J$37</f>
        <v>1.0506</v>
      </c>
      <c r="D2642" s="293">
        <f>D2641/Parametros!$J$37</f>
        <v>0.927</v>
      </c>
      <c r="E2642" s="293">
        <f>E2641/Parametros!$J$37</f>
        <v>1.1124</v>
      </c>
      <c r="F2642" s="293">
        <f>F2641/Parametros!$J$37</f>
        <v>1.1124</v>
      </c>
      <c r="G2642" s="293">
        <f>G2641/Parametros!$J$37</f>
        <v>1.1124</v>
      </c>
      <c r="H2642" s="293">
        <f>H2641/Parametros!$J$37</f>
        <v>0.9888</v>
      </c>
      <c r="I2642" s="293">
        <f>I2641/Parametros!$J$37</f>
        <v>1.1124</v>
      </c>
      <c r="J2642" s="293">
        <f>J2641/Parametros!$J$37</f>
        <v>1.1124</v>
      </c>
      <c r="K2642" s="293">
        <f>K2641/Parametros!$J$37</f>
        <v>1.0506</v>
      </c>
      <c r="L2642" s="293">
        <f>L2641/Parametros!$J$37</f>
        <v>0.927</v>
      </c>
      <c r="M2642" s="293">
        <f>M2641/Parametros!$J$37</f>
        <v>0.8652</v>
      </c>
      <c r="N2642" s="293">
        <f>N2641/Parametros!$J$37</f>
        <v>0.9888</v>
      </c>
      <c r="O2642" s="5"/>
      <c r="P2642" s="5"/>
      <c r="Q2642" s="5"/>
      <c r="R2642" s="5"/>
      <c r="S2642" s="5"/>
      <c r="T2642" s="5"/>
      <c r="U2642" s="5"/>
      <c r="V2642" s="5"/>
      <c r="W2642" s="5"/>
      <c r="X2642" s="5"/>
      <c r="Y2642" s="5"/>
      <c r="Z2642" s="5"/>
    </row>
    <row r="2643" ht="12.0" customHeight="1">
      <c r="A2643" s="92" t="s">
        <v>636</v>
      </c>
      <c r="B2643" s="5"/>
      <c r="C2643" s="293">
        <f t="shared" ref="C2643:N2643" si="841">C2642</f>
        <v>1.0506</v>
      </c>
      <c r="D2643" s="293">
        <f t="shared" si="841"/>
        <v>0.927</v>
      </c>
      <c r="E2643" s="293">
        <f t="shared" si="841"/>
        <v>1.1124</v>
      </c>
      <c r="F2643" s="293">
        <f t="shared" si="841"/>
        <v>1.1124</v>
      </c>
      <c r="G2643" s="293">
        <f t="shared" si="841"/>
        <v>1.1124</v>
      </c>
      <c r="H2643" s="293">
        <f t="shared" si="841"/>
        <v>0.9888</v>
      </c>
      <c r="I2643" s="293">
        <f t="shared" si="841"/>
        <v>1.1124</v>
      </c>
      <c r="J2643" s="293">
        <f t="shared" si="841"/>
        <v>1.1124</v>
      </c>
      <c r="K2643" s="293">
        <f t="shared" si="841"/>
        <v>1.0506</v>
      </c>
      <c r="L2643" s="293">
        <f t="shared" si="841"/>
        <v>0.927</v>
      </c>
      <c r="M2643" s="293">
        <f t="shared" si="841"/>
        <v>0.8652</v>
      </c>
      <c r="N2643" s="293">
        <f t="shared" si="841"/>
        <v>0.9888</v>
      </c>
      <c r="O2643" s="5"/>
      <c r="P2643" s="5"/>
      <c r="Q2643" s="5"/>
      <c r="R2643" s="5"/>
      <c r="S2643" s="5"/>
      <c r="T2643" s="5"/>
      <c r="U2643" s="5"/>
      <c r="V2643" s="5"/>
      <c r="W2643" s="5"/>
      <c r="X2643" s="5"/>
      <c r="Y2643" s="5"/>
      <c r="Z2643" s="5"/>
    </row>
    <row r="2644" ht="12.0" customHeight="1">
      <c r="A2644" s="92" t="s">
        <v>637</v>
      </c>
      <c r="B2644" s="5"/>
      <c r="C2644" s="293">
        <f>Parametros!$M$115</f>
        <v>26.60869565</v>
      </c>
      <c r="D2644" s="293">
        <f>Parametros!$M$115</f>
        <v>26.60869565</v>
      </c>
      <c r="E2644" s="293">
        <f>Parametros!$M$115</f>
        <v>26.60869565</v>
      </c>
      <c r="F2644" s="293">
        <f>Parametros!$M$115</f>
        <v>26.60869565</v>
      </c>
      <c r="G2644" s="293">
        <f>Parametros!$M$115</f>
        <v>26.60869565</v>
      </c>
      <c r="H2644" s="293">
        <f>Parametros!$M$115</f>
        <v>26.60869565</v>
      </c>
      <c r="I2644" s="293">
        <f>Parametros!$M$115</f>
        <v>26.60869565</v>
      </c>
      <c r="J2644" s="293">
        <f>Parametros!$M$115</f>
        <v>26.60869565</v>
      </c>
      <c r="K2644" s="293">
        <f>Parametros!$M$115</f>
        <v>26.60869565</v>
      </c>
      <c r="L2644" s="293">
        <f>Parametros!$M$115</f>
        <v>26.60869565</v>
      </c>
      <c r="M2644" s="293">
        <f>Parametros!$M$115</f>
        <v>26.60869565</v>
      </c>
      <c r="N2644" s="293">
        <f>Parametros!$M$115</f>
        <v>26.60869565</v>
      </c>
      <c r="O2644" s="5"/>
      <c r="P2644" s="5"/>
      <c r="Q2644" s="5"/>
      <c r="R2644" s="5"/>
      <c r="S2644" s="5"/>
      <c r="T2644" s="5"/>
      <c r="U2644" s="5"/>
      <c r="V2644" s="5"/>
      <c r="W2644" s="5"/>
      <c r="X2644" s="5"/>
      <c r="Y2644" s="5"/>
      <c r="Z2644" s="5"/>
    </row>
    <row r="2645" ht="12.0" customHeight="1">
      <c r="A2645" s="92" t="s">
        <v>640</v>
      </c>
      <c r="B2645" s="5"/>
      <c r="C2645" s="203">
        <f>'Resumen Capacidad'!$H$223</f>
        <v>1</v>
      </c>
      <c r="D2645" s="203">
        <f>'Resumen Capacidad'!$H$223</f>
        <v>1</v>
      </c>
      <c r="E2645" s="203">
        <f>'Resumen Capacidad'!$H$223</f>
        <v>1</v>
      </c>
      <c r="F2645" s="203">
        <f>'Resumen Capacidad'!$H$223</f>
        <v>1</v>
      </c>
      <c r="G2645" s="203">
        <f>'Resumen Capacidad'!$H$223</f>
        <v>1</v>
      </c>
      <c r="H2645" s="203">
        <f>'Resumen Capacidad'!$H$223</f>
        <v>1</v>
      </c>
      <c r="I2645" s="203">
        <f>'Resumen Capacidad'!$H$223</f>
        <v>1</v>
      </c>
      <c r="J2645" s="203">
        <f>'Resumen Capacidad'!$H$223</f>
        <v>1</v>
      </c>
      <c r="K2645" s="203">
        <f>'Resumen Capacidad'!$H$223</f>
        <v>1</v>
      </c>
      <c r="L2645" s="203">
        <f>'Resumen Capacidad'!$H$223</f>
        <v>1</v>
      </c>
      <c r="M2645" s="203">
        <f>'Resumen Capacidad'!$H$223</f>
        <v>1</v>
      </c>
      <c r="N2645" s="203">
        <f>'Resumen Capacidad'!$H$223</f>
        <v>1</v>
      </c>
      <c r="O2645" s="5"/>
      <c r="P2645" s="5"/>
      <c r="Q2645" s="5"/>
      <c r="R2645" s="5"/>
      <c r="S2645" s="5"/>
      <c r="T2645" s="5"/>
      <c r="U2645" s="5"/>
      <c r="V2645" s="5"/>
      <c r="W2645" s="5"/>
      <c r="X2645" s="5"/>
      <c r="Y2645" s="5"/>
      <c r="Z2645" s="5"/>
    </row>
    <row r="2646" ht="12.0" customHeight="1">
      <c r="A2646" s="92" t="s">
        <v>642</v>
      </c>
      <c r="B2646" s="5"/>
      <c r="C2646" s="203">
        <f t="shared" ref="C2646:N2646" si="842">C2644*C2645</f>
        <v>26.60869565</v>
      </c>
      <c r="D2646" s="203">
        <f t="shared" si="842"/>
        <v>26.60869565</v>
      </c>
      <c r="E2646" s="203">
        <f t="shared" si="842"/>
        <v>26.60869565</v>
      </c>
      <c r="F2646" s="203">
        <f t="shared" si="842"/>
        <v>26.60869565</v>
      </c>
      <c r="G2646" s="203">
        <f t="shared" si="842"/>
        <v>26.60869565</v>
      </c>
      <c r="H2646" s="203">
        <f t="shared" si="842"/>
        <v>26.60869565</v>
      </c>
      <c r="I2646" s="203">
        <f t="shared" si="842"/>
        <v>26.60869565</v>
      </c>
      <c r="J2646" s="203">
        <f t="shared" si="842"/>
        <v>26.60869565</v>
      </c>
      <c r="K2646" s="203">
        <f t="shared" si="842"/>
        <v>26.60869565</v>
      </c>
      <c r="L2646" s="203">
        <f t="shared" si="842"/>
        <v>26.60869565</v>
      </c>
      <c r="M2646" s="203">
        <f t="shared" si="842"/>
        <v>26.60869565</v>
      </c>
      <c r="N2646" s="203">
        <f t="shared" si="842"/>
        <v>26.60869565</v>
      </c>
      <c r="O2646" s="5"/>
      <c r="P2646" s="5"/>
      <c r="Q2646" s="5"/>
      <c r="R2646" s="5"/>
      <c r="S2646" s="5"/>
      <c r="T2646" s="5"/>
      <c r="U2646" s="5"/>
      <c r="V2646" s="5"/>
      <c r="W2646" s="5"/>
      <c r="X2646" s="5"/>
      <c r="Y2646" s="5"/>
      <c r="Z2646" s="5"/>
    </row>
    <row r="2647" ht="12.0" customHeight="1">
      <c r="A2647" s="92" t="s">
        <v>643</v>
      </c>
      <c r="B2647" s="5"/>
      <c r="C2647" s="294">
        <f t="shared" ref="C2647:N2647" si="843">IF(C2646=0,0,C2643/C2646)</f>
        <v>0.03948333333</v>
      </c>
      <c r="D2647" s="294">
        <f t="shared" si="843"/>
        <v>0.03483823529</v>
      </c>
      <c r="E2647" s="294">
        <f t="shared" si="843"/>
        <v>0.04180588235</v>
      </c>
      <c r="F2647" s="294">
        <f t="shared" si="843"/>
        <v>0.04180588235</v>
      </c>
      <c r="G2647" s="294">
        <f t="shared" si="843"/>
        <v>0.04180588235</v>
      </c>
      <c r="H2647" s="294">
        <f t="shared" si="843"/>
        <v>0.03716078431</v>
      </c>
      <c r="I2647" s="294">
        <f t="shared" si="843"/>
        <v>0.04180588235</v>
      </c>
      <c r="J2647" s="294">
        <f t="shared" si="843"/>
        <v>0.04180588235</v>
      </c>
      <c r="K2647" s="294">
        <f t="shared" si="843"/>
        <v>0.03948333333</v>
      </c>
      <c r="L2647" s="294">
        <f t="shared" si="843"/>
        <v>0.03483823529</v>
      </c>
      <c r="M2647" s="294">
        <f t="shared" si="843"/>
        <v>0.03251568627</v>
      </c>
      <c r="N2647" s="294">
        <f t="shared" si="843"/>
        <v>0.03716078431</v>
      </c>
      <c r="O2647" s="5"/>
      <c r="P2647" s="5"/>
      <c r="Q2647" s="5"/>
      <c r="R2647" s="5"/>
      <c r="S2647" s="5"/>
      <c r="T2647" s="5"/>
      <c r="U2647" s="5"/>
      <c r="V2647" s="5"/>
      <c r="W2647" s="5"/>
      <c r="X2647" s="5"/>
      <c r="Y2647" s="5"/>
      <c r="Z2647" s="5"/>
    </row>
    <row r="2648" ht="12.0" customHeight="1">
      <c r="A2648" s="10" t="s">
        <v>1647</v>
      </c>
      <c r="B2648" s="5"/>
      <c r="C2648" s="206"/>
      <c r="D2648" s="206"/>
      <c r="E2648" s="206"/>
      <c r="F2648" s="206"/>
      <c r="G2648" s="206"/>
      <c r="H2648" s="206"/>
      <c r="I2648" s="206"/>
      <c r="J2648" s="206"/>
      <c r="K2648" s="206"/>
      <c r="L2648" s="206"/>
      <c r="M2648" s="206"/>
      <c r="N2648" s="206"/>
      <c r="O2648" s="5"/>
      <c r="P2648" s="5"/>
      <c r="Q2648" s="5"/>
      <c r="R2648" s="5"/>
      <c r="S2648" s="5"/>
      <c r="T2648" s="5"/>
      <c r="U2648" s="5"/>
      <c r="V2648" s="5"/>
      <c r="W2648" s="5"/>
      <c r="X2648" s="5"/>
      <c r="Y2648" s="5"/>
      <c r="Z2648" s="5"/>
    </row>
    <row r="2649" ht="12.0" customHeight="1">
      <c r="A2649" s="92" t="s">
        <v>630</v>
      </c>
      <c r="B2649" s="5" t="s">
        <v>631</v>
      </c>
      <c r="C2649" s="206" t="s">
        <v>3</v>
      </c>
      <c r="D2649" s="206" t="s">
        <v>4</v>
      </c>
      <c r="E2649" s="206" t="s">
        <v>507</v>
      </c>
      <c r="F2649" s="206" t="s">
        <v>508</v>
      </c>
      <c r="G2649" s="206" t="s">
        <v>509</v>
      </c>
      <c r="H2649" s="206" t="s">
        <v>510</v>
      </c>
      <c r="I2649" s="206" t="s">
        <v>511</v>
      </c>
      <c r="J2649" s="206" t="s">
        <v>512</v>
      </c>
      <c r="K2649" s="206" t="s">
        <v>513</v>
      </c>
      <c r="L2649" s="206" t="s">
        <v>514</v>
      </c>
      <c r="M2649" s="206" t="s">
        <v>515</v>
      </c>
      <c r="N2649" s="206" t="s">
        <v>516</v>
      </c>
      <c r="O2649" s="5"/>
      <c r="P2649" s="5"/>
      <c r="Q2649" s="5"/>
      <c r="R2649" s="5"/>
      <c r="S2649" s="5"/>
      <c r="T2649" s="5"/>
      <c r="U2649" s="5"/>
      <c r="V2649" s="5"/>
      <c r="W2649" s="5"/>
      <c r="X2649" s="5"/>
      <c r="Y2649" s="5"/>
      <c r="Z2649" s="5"/>
    </row>
    <row r="2650" ht="12.0" customHeight="1">
      <c r="A2650" s="92" t="s">
        <v>1643</v>
      </c>
      <c r="B2650" s="5" t="s">
        <v>633</v>
      </c>
      <c r="C2650" s="203">
        <f t="shared" ref="C2650:N2650" si="844">C2605</f>
        <v>157.59</v>
      </c>
      <c r="D2650" s="203">
        <f t="shared" si="844"/>
        <v>139.05</v>
      </c>
      <c r="E2650" s="203">
        <f t="shared" si="844"/>
        <v>166.86</v>
      </c>
      <c r="F2650" s="203">
        <f t="shared" si="844"/>
        <v>166.86</v>
      </c>
      <c r="G2650" s="203">
        <f t="shared" si="844"/>
        <v>166.86</v>
      </c>
      <c r="H2650" s="203">
        <f t="shared" si="844"/>
        <v>148.32</v>
      </c>
      <c r="I2650" s="203">
        <f t="shared" si="844"/>
        <v>166.86</v>
      </c>
      <c r="J2650" s="203">
        <f t="shared" si="844"/>
        <v>166.86</v>
      </c>
      <c r="K2650" s="203">
        <f t="shared" si="844"/>
        <v>157.59</v>
      </c>
      <c r="L2650" s="203">
        <f t="shared" si="844"/>
        <v>139.05</v>
      </c>
      <c r="M2650" s="203">
        <f t="shared" si="844"/>
        <v>129.78</v>
      </c>
      <c r="N2650" s="203">
        <f t="shared" si="844"/>
        <v>148.32</v>
      </c>
      <c r="O2650" s="5"/>
      <c r="P2650" s="5"/>
      <c r="Q2650" s="5"/>
      <c r="R2650" s="5"/>
      <c r="S2650" s="5"/>
      <c r="T2650" s="5"/>
      <c r="U2650" s="5"/>
      <c r="V2650" s="5"/>
      <c r="W2650" s="5"/>
      <c r="X2650" s="5"/>
      <c r="Y2650" s="5"/>
      <c r="Z2650" s="5"/>
    </row>
    <row r="2651" ht="12.0" customHeight="1">
      <c r="A2651" s="92"/>
      <c r="B2651" s="5" t="s">
        <v>634</v>
      </c>
      <c r="C2651" s="293">
        <f>C2650/Parametros!$B$37</f>
        <v>7.8795</v>
      </c>
      <c r="D2651" s="293">
        <f>D2650/Parametros!$B$37</f>
        <v>6.9525</v>
      </c>
      <c r="E2651" s="293">
        <f>E2650/Parametros!$B$37</f>
        <v>8.343</v>
      </c>
      <c r="F2651" s="293">
        <f>F2650/Parametros!$B$37</f>
        <v>8.343</v>
      </c>
      <c r="G2651" s="293">
        <f>G2650/Parametros!$B$37</f>
        <v>8.343</v>
      </c>
      <c r="H2651" s="293">
        <f>H2650/Parametros!$B$37</f>
        <v>7.416</v>
      </c>
      <c r="I2651" s="293">
        <f>I2650/Parametros!$B$37</f>
        <v>8.343</v>
      </c>
      <c r="J2651" s="293">
        <f>J2650/Parametros!$B$37</f>
        <v>8.343</v>
      </c>
      <c r="K2651" s="293">
        <f>K2650/Parametros!$B$37</f>
        <v>7.8795</v>
      </c>
      <c r="L2651" s="293">
        <f>L2650/Parametros!$B$37</f>
        <v>6.9525</v>
      </c>
      <c r="M2651" s="293">
        <f>M2650/Parametros!$B$37</f>
        <v>6.489</v>
      </c>
      <c r="N2651" s="293">
        <f>N2650/Parametros!$B$37</f>
        <v>7.416</v>
      </c>
      <c r="O2651" s="5"/>
      <c r="P2651" s="5"/>
      <c r="Q2651" s="5"/>
      <c r="R2651" s="5"/>
      <c r="S2651" s="5"/>
      <c r="T2651" s="5"/>
      <c r="U2651" s="5"/>
      <c r="V2651" s="5"/>
      <c r="W2651" s="5"/>
      <c r="X2651" s="5"/>
      <c r="Y2651" s="5"/>
      <c r="Z2651" s="5"/>
    </row>
    <row r="2652" ht="12.0" customHeight="1">
      <c r="A2652" s="92"/>
      <c r="B2652" s="5" t="s">
        <v>635</v>
      </c>
      <c r="C2652" s="293">
        <f>C2651/Parametros!$J$37</f>
        <v>1.0506</v>
      </c>
      <c r="D2652" s="293">
        <f>D2651/Parametros!$J$37</f>
        <v>0.927</v>
      </c>
      <c r="E2652" s="293">
        <f>E2651/Parametros!$J$37</f>
        <v>1.1124</v>
      </c>
      <c r="F2652" s="293">
        <f>F2651/Parametros!$J$37</f>
        <v>1.1124</v>
      </c>
      <c r="G2652" s="293">
        <f>G2651/Parametros!$J$37</f>
        <v>1.1124</v>
      </c>
      <c r="H2652" s="293">
        <f>H2651/Parametros!$J$37</f>
        <v>0.9888</v>
      </c>
      <c r="I2652" s="293">
        <f>I2651/Parametros!$J$37</f>
        <v>1.1124</v>
      </c>
      <c r="J2652" s="293">
        <f>J2651/Parametros!$J$37</f>
        <v>1.1124</v>
      </c>
      <c r="K2652" s="293">
        <f>K2651/Parametros!$J$37</f>
        <v>1.0506</v>
      </c>
      <c r="L2652" s="293">
        <f>L2651/Parametros!$J$37</f>
        <v>0.927</v>
      </c>
      <c r="M2652" s="293">
        <f>M2651/Parametros!$J$37</f>
        <v>0.8652</v>
      </c>
      <c r="N2652" s="293">
        <f>N2651/Parametros!$J$37</f>
        <v>0.9888</v>
      </c>
      <c r="O2652" s="5"/>
      <c r="P2652" s="5"/>
      <c r="Q2652" s="5"/>
      <c r="R2652" s="5"/>
      <c r="S2652" s="5"/>
      <c r="T2652" s="5"/>
      <c r="U2652" s="5"/>
      <c r="V2652" s="5"/>
      <c r="W2652" s="5"/>
      <c r="X2652" s="5"/>
      <c r="Y2652" s="5"/>
      <c r="Z2652" s="5"/>
    </row>
    <row r="2653" ht="12.0" customHeight="1">
      <c r="A2653" s="92" t="s">
        <v>636</v>
      </c>
      <c r="B2653" s="5"/>
      <c r="C2653" s="293">
        <f t="shared" ref="C2653:N2653" si="845">C2652</f>
        <v>1.0506</v>
      </c>
      <c r="D2653" s="293">
        <f t="shared" si="845"/>
        <v>0.927</v>
      </c>
      <c r="E2653" s="293">
        <f t="shared" si="845"/>
        <v>1.1124</v>
      </c>
      <c r="F2653" s="293">
        <f t="shared" si="845"/>
        <v>1.1124</v>
      </c>
      <c r="G2653" s="293">
        <f t="shared" si="845"/>
        <v>1.1124</v>
      </c>
      <c r="H2653" s="293">
        <f t="shared" si="845"/>
        <v>0.9888</v>
      </c>
      <c r="I2653" s="293">
        <f t="shared" si="845"/>
        <v>1.1124</v>
      </c>
      <c r="J2653" s="293">
        <f t="shared" si="845"/>
        <v>1.1124</v>
      </c>
      <c r="K2653" s="293">
        <f t="shared" si="845"/>
        <v>1.0506</v>
      </c>
      <c r="L2653" s="293">
        <f t="shared" si="845"/>
        <v>0.927</v>
      </c>
      <c r="M2653" s="293">
        <f t="shared" si="845"/>
        <v>0.8652</v>
      </c>
      <c r="N2653" s="293">
        <f t="shared" si="845"/>
        <v>0.9888</v>
      </c>
      <c r="O2653" s="5"/>
      <c r="P2653" s="5"/>
      <c r="Q2653" s="5"/>
      <c r="R2653" s="5"/>
      <c r="S2653" s="5"/>
      <c r="T2653" s="5"/>
      <c r="U2653" s="5"/>
      <c r="V2653" s="5"/>
      <c r="W2653" s="5"/>
      <c r="X2653" s="5"/>
      <c r="Y2653" s="5"/>
      <c r="Z2653" s="5"/>
    </row>
    <row r="2654" ht="12.0" customHeight="1">
      <c r="A2654" s="92" t="s">
        <v>637</v>
      </c>
      <c r="B2654" s="5"/>
      <c r="C2654" s="293">
        <f>Parametros!$M$116</f>
        <v>38.25</v>
      </c>
      <c r="D2654" s="293">
        <f>Parametros!$M$116</f>
        <v>38.25</v>
      </c>
      <c r="E2654" s="293">
        <f>Parametros!$M$116</f>
        <v>38.25</v>
      </c>
      <c r="F2654" s="293">
        <f>Parametros!$M$116</f>
        <v>38.25</v>
      </c>
      <c r="G2654" s="293">
        <f>Parametros!$M$116</f>
        <v>38.25</v>
      </c>
      <c r="H2654" s="293">
        <f>Parametros!$M$116</f>
        <v>38.25</v>
      </c>
      <c r="I2654" s="293">
        <f>Parametros!$M$116</f>
        <v>38.25</v>
      </c>
      <c r="J2654" s="293">
        <f>Parametros!$M$116</f>
        <v>38.25</v>
      </c>
      <c r="K2654" s="293">
        <f>Parametros!$M$116</f>
        <v>38.25</v>
      </c>
      <c r="L2654" s="293">
        <f>Parametros!$M$116</f>
        <v>38.25</v>
      </c>
      <c r="M2654" s="293">
        <f>Parametros!$M$116</f>
        <v>38.25</v>
      </c>
      <c r="N2654" s="293">
        <f>Parametros!$M$116</f>
        <v>38.25</v>
      </c>
      <c r="O2654" s="5"/>
      <c r="P2654" s="5"/>
      <c r="Q2654" s="5"/>
      <c r="R2654" s="5"/>
      <c r="S2654" s="5"/>
      <c r="T2654" s="5"/>
      <c r="U2654" s="5"/>
      <c r="V2654" s="5"/>
      <c r="W2654" s="5"/>
      <c r="X2654" s="5"/>
      <c r="Y2654" s="5"/>
      <c r="Z2654" s="5"/>
    </row>
    <row r="2655" ht="12.0" customHeight="1">
      <c r="A2655" s="92" t="s">
        <v>640</v>
      </c>
      <c r="B2655" s="5"/>
      <c r="C2655" s="203">
        <f>'Resumen Capacidad'!$H$224</f>
        <v>1</v>
      </c>
      <c r="D2655" s="203">
        <f>'Resumen Capacidad'!$H$224</f>
        <v>1</v>
      </c>
      <c r="E2655" s="203">
        <f>'Resumen Capacidad'!$H$224</f>
        <v>1</v>
      </c>
      <c r="F2655" s="203">
        <f>'Resumen Capacidad'!$H$224</f>
        <v>1</v>
      </c>
      <c r="G2655" s="203">
        <f>'Resumen Capacidad'!$H$224</f>
        <v>1</v>
      </c>
      <c r="H2655" s="203">
        <f>'Resumen Capacidad'!$H$224</f>
        <v>1</v>
      </c>
      <c r="I2655" s="203">
        <f>'Resumen Capacidad'!$H$224</f>
        <v>1</v>
      </c>
      <c r="J2655" s="203">
        <f>'Resumen Capacidad'!$H$224</f>
        <v>1</v>
      </c>
      <c r="K2655" s="203">
        <f>'Resumen Capacidad'!$H$224</f>
        <v>1</v>
      </c>
      <c r="L2655" s="203">
        <f>'Resumen Capacidad'!$H$224</f>
        <v>1</v>
      </c>
      <c r="M2655" s="203">
        <f>'Resumen Capacidad'!$H$224</f>
        <v>1</v>
      </c>
      <c r="N2655" s="203">
        <f>'Resumen Capacidad'!$H$224</f>
        <v>1</v>
      </c>
      <c r="O2655" s="5"/>
      <c r="P2655" s="5"/>
      <c r="Q2655" s="5"/>
      <c r="R2655" s="5"/>
      <c r="S2655" s="5"/>
      <c r="T2655" s="5"/>
      <c r="U2655" s="5"/>
      <c r="V2655" s="5"/>
      <c r="W2655" s="5"/>
      <c r="X2655" s="5"/>
      <c r="Y2655" s="5"/>
      <c r="Z2655" s="5"/>
    </row>
    <row r="2656" ht="12.0" customHeight="1">
      <c r="A2656" s="92" t="s">
        <v>642</v>
      </c>
      <c r="B2656" s="5"/>
      <c r="C2656" s="203">
        <f t="shared" ref="C2656:N2656" si="846">C2654*C2655</f>
        <v>38.25</v>
      </c>
      <c r="D2656" s="203">
        <f t="shared" si="846"/>
        <v>38.25</v>
      </c>
      <c r="E2656" s="203">
        <f t="shared" si="846"/>
        <v>38.25</v>
      </c>
      <c r="F2656" s="203">
        <f t="shared" si="846"/>
        <v>38.25</v>
      </c>
      <c r="G2656" s="203">
        <f t="shared" si="846"/>
        <v>38.25</v>
      </c>
      <c r="H2656" s="203">
        <f t="shared" si="846"/>
        <v>38.25</v>
      </c>
      <c r="I2656" s="203">
        <f t="shared" si="846"/>
        <v>38.25</v>
      </c>
      <c r="J2656" s="203">
        <f t="shared" si="846"/>
        <v>38.25</v>
      </c>
      <c r="K2656" s="203">
        <f t="shared" si="846"/>
        <v>38.25</v>
      </c>
      <c r="L2656" s="203">
        <f t="shared" si="846"/>
        <v>38.25</v>
      </c>
      <c r="M2656" s="203">
        <f t="shared" si="846"/>
        <v>38.25</v>
      </c>
      <c r="N2656" s="203">
        <f t="shared" si="846"/>
        <v>38.25</v>
      </c>
      <c r="O2656" s="5"/>
      <c r="P2656" s="5"/>
      <c r="Q2656" s="5"/>
      <c r="R2656" s="5"/>
      <c r="S2656" s="5"/>
      <c r="T2656" s="5"/>
      <c r="U2656" s="5"/>
      <c r="V2656" s="5"/>
      <c r="W2656" s="5"/>
      <c r="X2656" s="5"/>
      <c r="Y2656" s="5"/>
      <c r="Z2656" s="5"/>
    </row>
    <row r="2657" ht="12.0" customHeight="1">
      <c r="A2657" s="92" t="s">
        <v>643</v>
      </c>
      <c r="B2657" s="5"/>
      <c r="C2657" s="294">
        <f t="shared" ref="C2657:N2657" si="847">IF(C2656=0,0,C2653/C2656)</f>
        <v>0.02746666667</v>
      </c>
      <c r="D2657" s="294">
        <f t="shared" si="847"/>
        <v>0.02423529412</v>
      </c>
      <c r="E2657" s="294">
        <f t="shared" si="847"/>
        <v>0.02908235294</v>
      </c>
      <c r="F2657" s="294">
        <f t="shared" si="847"/>
        <v>0.02908235294</v>
      </c>
      <c r="G2657" s="294">
        <f t="shared" si="847"/>
        <v>0.02908235294</v>
      </c>
      <c r="H2657" s="294">
        <f t="shared" si="847"/>
        <v>0.02585098039</v>
      </c>
      <c r="I2657" s="294">
        <f t="shared" si="847"/>
        <v>0.02908235294</v>
      </c>
      <c r="J2657" s="294">
        <f t="shared" si="847"/>
        <v>0.02908235294</v>
      </c>
      <c r="K2657" s="294">
        <f t="shared" si="847"/>
        <v>0.02746666667</v>
      </c>
      <c r="L2657" s="294">
        <f t="shared" si="847"/>
        <v>0.02423529412</v>
      </c>
      <c r="M2657" s="294">
        <f t="shared" si="847"/>
        <v>0.02261960784</v>
      </c>
      <c r="N2657" s="294">
        <f t="shared" si="847"/>
        <v>0.02585098039</v>
      </c>
      <c r="O2657" s="5"/>
      <c r="P2657" s="5"/>
      <c r="Q2657" s="5"/>
      <c r="R2657" s="5"/>
      <c r="S2657" s="5"/>
      <c r="T2657" s="5"/>
      <c r="U2657" s="5"/>
      <c r="V2657" s="5"/>
      <c r="W2657" s="5"/>
      <c r="X2657" s="5"/>
      <c r="Y2657" s="5"/>
      <c r="Z2657" s="5"/>
    </row>
    <row r="2658" ht="12.0" customHeight="1">
      <c r="A2658" s="10" t="s">
        <v>1648</v>
      </c>
      <c r="B2658" s="5"/>
      <c r="C2658" s="206"/>
      <c r="D2658" s="206"/>
      <c r="E2658" s="206"/>
      <c r="F2658" s="206"/>
      <c r="G2658" s="206"/>
      <c r="H2658" s="206"/>
      <c r="I2658" s="206"/>
      <c r="J2658" s="206"/>
      <c r="K2658" s="206"/>
      <c r="L2658" s="206"/>
      <c r="M2658" s="206"/>
      <c r="N2658" s="206"/>
      <c r="O2658" s="5"/>
      <c r="P2658" s="5"/>
      <c r="Q2658" s="5"/>
      <c r="R2658" s="5"/>
      <c r="S2658" s="5"/>
      <c r="T2658" s="5"/>
      <c r="U2658" s="5"/>
      <c r="V2658" s="5"/>
      <c r="W2658" s="5"/>
      <c r="X2658" s="5"/>
      <c r="Y2658" s="5"/>
      <c r="Z2658" s="5"/>
    </row>
    <row r="2659" ht="12.0" customHeight="1">
      <c r="A2659" s="92" t="s">
        <v>630</v>
      </c>
      <c r="B2659" s="5" t="s">
        <v>631</v>
      </c>
      <c r="C2659" s="206" t="s">
        <v>3</v>
      </c>
      <c r="D2659" s="206" t="s">
        <v>4</v>
      </c>
      <c r="E2659" s="206" t="s">
        <v>507</v>
      </c>
      <c r="F2659" s="206" t="s">
        <v>508</v>
      </c>
      <c r="G2659" s="206" t="s">
        <v>509</v>
      </c>
      <c r="H2659" s="206" t="s">
        <v>510</v>
      </c>
      <c r="I2659" s="206" t="s">
        <v>511</v>
      </c>
      <c r="J2659" s="206" t="s">
        <v>512</v>
      </c>
      <c r="K2659" s="206" t="s">
        <v>513</v>
      </c>
      <c r="L2659" s="206" t="s">
        <v>514</v>
      </c>
      <c r="M2659" s="206" t="s">
        <v>515</v>
      </c>
      <c r="N2659" s="206" t="s">
        <v>516</v>
      </c>
      <c r="O2659" s="5"/>
      <c r="P2659" s="5"/>
      <c r="Q2659" s="5"/>
      <c r="R2659" s="5"/>
      <c r="S2659" s="5"/>
      <c r="T2659" s="5"/>
      <c r="U2659" s="5"/>
      <c r="V2659" s="5"/>
      <c r="W2659" s="5"/>
      <c r="X2659" s="5"/>
      <c r="Y2659" s="5"/>
      <c r="Z2659" s="5"/>
    </row>
    <row r="2660" ht="12.0" customHeight="1">
      <c r="A2660" s="92" t="s">
        <v>1643</v>
      </c>
      <c r="B2660" s="5" t="s">
        <v>633</v>
      </c>
      <c r="C2660" s="203">
        <f t="shared" ref="C2660:N2660" si="848">C2605</f>
        <v>157.59</v>
      </c>
      <c r="D2660" s="203">
        <f t="shared" si="848"/>
        <v>139.05</v>
      </c>
      <c r="E2660" s="203">
        <f t="shared" si="848"/>
        <v>166.86</v>
      </c>
      <c r="F2660" s="203">
        <f t="shared" si="848"/>
        <v>166.86</v>
      </c>
      <c r="G2660" s="203">
        <f t="shared" si="848"/>
        <v>166.86</v>
      </c>
      <c r="H2660" s="203">
        <f t="shared" si="848"/>
        <v>148.32</v>
      </c>
      <c r="I2660" s="203">
        <f t="shared" si="848"/>
        <v>166.86</v>
      </c>
      <c r="J2660" s="203">
        <f t="shared" si="848"/>
        <v>166.86</v>
      </c>
      <c r="K2660" s="203">
        <f t="shared" si="848"/>
        <v>157.59</v>
      </c>
      <c r="L2660" s="203">
        <f t="shared" si="848"/>
        <v>139.05</v>
      </c>
      <c r="M2660" s="203">
        <f t="shared" si="848"/>
        <v>129.78</v>
      </c>
      <c r="N2660" s="203">
        <f t="shared" si="848"/>
        <v>148.32</v>
      </c>
      <c r="O2660" s="5"/>
      <c r="P2660" s="5"/>
      <c r="Q2660" s="5"/>
      <c r="R2660" s="5"/>
      <c r="S2660" s="5"/>
      <c r="T2660" s="5"/>
      <c r="U2660" s="5"/>
      <c r="V2660" s="5"/>
      <c r="W2660" s="5"/>
      <c r="X2660" s="5"/>
      <c r="Y2660" s="5"/>
      <c r="Z2660" s="5"/>
    </row>
    <row r="2661" ht="12.0" customHeight="1">
      <c r="A2661" s="92"/>
      <c r="B2661" s="5" t="s">
        <v>634</v>
      </c>
      <c r="C2661" s="293">
        <f>C2660/Parametros!$B$37</f>
        <v>7.8795</v>
      </c>
      <c r="D2661" s="293">
        <f>D2660/Parametros!$B$37</f>
        <v>6.9525</v>
      </c>
      <c r="E2661" s="293">
        <f>E2660/Parametros!$B$37</f>
        <v>8.343</v>
      </c>
      <c r="F2661" s="293">
        <f>F2660/Parametros!$B$37</f>
        <v>8.343</v>
      </c>
      <c r="G2661" s="293">
        <f>G2660/Parametros!$B$37</f>
        <v>8.343</v>
      </c>
      <c r="H2661" s="293">
        <f>H2660/Parametros!$B$37</f>
        <v>7.416</v>
      </c>
      <c r="I2661" s="293">
        <f>I2660/Parametros!$B$37</f>
        <v>8.343</v>
      </c>
      <c r="J2661" s="293">
        <f>J2660/Parametros!$B$37</f>
        <v>8.343</v>
      </c>
      <c r="K2661" s="293">
        <f>K2660/Parametros!$B$37</f>
        <v>7.8795</v>
      </c>
      <c r="L2661" s="293">
        <f>L2660/Parametros!$B$37</f>
        <v>6.9525</v>
      </c>
      <c r="M2661" s="293">
        <f>M2660/Parametros!$B$37</f>
        <v>6.489</v>
      </c>
      <c r="N2661" s="293">
        <f>N2660/Parametros!$B$37</f>
        <v>7.416</v>
      </c>
      <c r="O2661" s="5"/>
      <c r="P2661" s="5"/>
      <c r="Q2661" s="5"/>
      <c r="R2661" s="5"/>
      <c r="S2661" s="5"/>
      <c r="T2661" s="5"/>
      <c r="U2661" s="5"/>
      <c r="V2661" s="5"/>
      <c r="W2661" s="5"/>
      <c r="X2661" s="5"/>
      <c r="Y2661" s="5"/>
      <c r="Z2661" s="5"/>
    </row>
    <row r="2662" ht="12.0" customHeight="1">
      <c r="A2662" s="92"/>
      <c r="B2662" s="5" t="s">
        <v>635</v>
      </c>
      <c r="C2662" s="293">
        <f>C2661/Parametros!$J$37</f>
        <v>1.0506</v>
      </c>
      <c r="D2662" s="293">
        <f>D2661/Parametros!$J$37</f>
        <v>0.927</v>
      </c>
      <c r="E2662" s="293">
        <f>E2661/Parametros!$J$37</f>
        <v>1.1124</v>
      </c>
      <c r="F2662" s="293">
        <f>F2661/Parametros!$J$37</f>
        <v>1.1124</v>
      </c>
      <c r="G2662" s="293">
        <f>G2661/Parametros!$J$37</f>
        <v>1.1124</v>
      </c>
      <c r="H2662" s="293">
        <f>H2661/Parametros!$J$37</f>
        <v>0.9888</v>
      </c>
      <c r="I2662" s="293">
        <f>I2661/Parametros!$J$37</f>
        <v>1.1124</v>
      </c>
      <c r="J2662" s="293">
        <f>J2661/Parametros!$J$37</f>
        <v>1.1124</v>
      </c>
      <c r="K2662" s="293">
        <f>K2661/Parametros!$J$37</f>
        <v>1.0506</v>
      </c>
      <c r="L2662" s="293">
        <f>L2661/Parametros!$J$37</f>
        <v>0.927</v>
      </c>
      <c r="M2662" s="293">
        <f>M2661/Parametros!$J$37</f>
        <v>0.8652</v>
      </c>
      <c r="N2662" s="293">
        <f>N2661/Parametros!$J$37</f>
        <v>0.9888</v>
      </c>
      <c r="O2662" s="5"/>
      <c r="P2662" s="5"/>
      <c r="Q2662" s="5"/>
      <c r="R2662" s="5"/>
      <c r="S2662" s="5"/>
      <c r="T2662" s="5"/>
      <c r="U2662" s="5"/>
      <c r="V2662" s="5"/>
      <c r="W2662" s="5"/>
      <c r="X2662" s="5"/>
      <c r="Y2662" s="5"/>
      <c r="Z2662" s="5"/>
    </row>
    <row r="2663" ht="12.0" customHeight="1">
      <c r="A2663" s="92" t="s">
        <v>636</v>
      </c>
      <c r="B2663" s="5"/>
      <c r="C2663" s="293">
        <f t="shared" ref="C2663:N2663" si="849">C2662</f>
        <v>1.0506</v>
      </c>
      <c r="D2663" s="293">
        <f t="shared" si="849"/>
        <v>0.927</v>
      </c>
      <c r="E2663" s="293">
        <f t="shared" si="849"/>
        <v>1.1124</v>
      </c>
      <c r="F2663" s="293">
        <f t="shared" si="849"/>
        <v>1.1124</v>
      </c>
      <c r="G2663" s="293">
        <f t="shared" si="849"/>
        <v>1.1124</v>
      </c>
      <c r="H2663" s="293">
        <f t="shared" si="849"/>
        <v>0.9888</v>
      </c>
      <c r="I2663" s="293">
        <f t="shared" si="849"/>
        <v>1.1124</v>
      </c>
      <c r="J2663" s="293">
        <f t="shared" si="849"/>
        <v>1.1124</v>
      </c>
      <c r="K2663" s="293">
        <f t="shared" si="849"/>
        <v>1.0506</v>
      </c>
      <c r="L2663" s="293">
        <f t="shared" si="849"/>
        <v>0.927</v>
      </c>
      <c r="M2663" s="293">
        <f t="shared" si="849"/>
        <v>0.8652</v>
      </c>
      <c r="N2663" s="293">
        <f t="shared" si="849"/>
        <v>0.9888</v>
      </c>
      <c r="O2663" s="5"/>
      <c r="P2663" s="5"/>
      <c r="Q2663" s="5"/>
      <c r="R2663" s="5"/>
      <c r="S2663" s="5"/>
      <c r="T2663" s="5"/>
      <c r="U2663" s="5"/>
      <c r="V2663" s="5"/>
      <c r="W2663" s="5"/>
      <c r="X2663" s="5"/>
      <c r="Y2663" s="5"/>
      <c r="Z2663" s="5"/>
    </row>
    <row r="2664" ht="12.0" customHeight="1">
      <c r="A2664" s="92" t="s">
        <v>637</v>
      </c>
      <c r="B2664" s="5"/>
      <c r="C2664" s="293">
        <f>Parametros!$M$117</f>
        <v>14.92682927</v>
      </c>
      <c r="D2664" s="293">
        <f>Parametros!$M$117</f>
        <v>14.92682927</v>
      </c>
      <c r="E2664" s="293">
        <f>Parametros!$M$117</f>
        <v>14.92682927</v>
      </c>
      <c r="F2664" s="293">
        <f>Parametros!$M$117</f>
        <v>14.92682927</v>
      </c>
      <c r="G2664" s="293">
        <f>Parametros!$M$117</f>
        <v>14.92682927</v>
      </c>
      <c r="H2664" s="293">
        <f>Parametros!$M$117</f>
        <v>14.92682927</v>
      </c>
      <c r="I2664" s="293">
        <f>Parametros!$M$117</f>
        <v>14.92682927</v>
      </c>
      <c r="J2664" s="293">
        <f>Parametros!$M$117</f>
        <v>14.92682927</v>
      </c>
      <c r="K2664" s="293">
        <f>Parametros!$M$117</f>
        <v>14.92682927</v>
      </c>
      <c r="L2664" s="293">
        <f>Parametros!$M$117</f>
        <v>14.92682927</v>
      </c>
      <c r="M2664" s="293">
        <f>Parametros!$M$117</f>
        <v>14.92682927</v>
      </c>
      <c r="N2664" s="293">
        <f>Parametros!$M$117</f>
        <v>14.92682927</v>
      </c>
      <c r="O2664" s="5"/>
      <c r="P2664" s="5"/>
      <c r="Q2664" s="5"/>
      <c r="R2664" s="5"/>
      <c r="S2664" s="5"/>
      <c r="T2664" s="5"/>
      <c r="U2664" s="5"/>
      <c r="V2664" s="5"/>
      <c r="W2664" s="5"/>
      <c r="X2664" s="5"/>
      <c r="Y2664" s="5"/>
      <c r="Z2664" s="5"/>
    </row>
    <row r="2665" ht="12.0" customHeight="1">
      <c r="A2665" s="92" t="s">
        <v>640</v>
      </c>
      <c r="B2665" s="5"/>
      <c r="C2665" s="203">
        <f>'Resumen Capacidad'!$H$225</f>
        <v>1</v>
      </c>
      <c r="D2665" s="203">
        <f>'Resumen Capacidad'!$H$225</f>
        <v>1</v>
      </c>
      <c r="E2665" s="203">
        <f>'Resumen Capacidad'!$H$225</f>
        <v>1</v>
      </c>
      <c r="F2665" s="203">
        <f>'Resumen Capacidad'!$H$225</f>
        <v>1</v>
      </c>
      <c r="G2665" s="203">
        <f>'Resumen Capacidad'!$H$225</f>
        <v>1</v>
      </c>
      <c r="H2665" s="203">
        <f>'Resumen Capacidad'!$H$225</f>
        <v>1</v>
      </c>
      <c r="I2665" s="203">
        <f>'Resumen Capacidad'!$H$225</f>
        <v>1</v>
      </c>
      <c r="J2665" s="203">
        <f>'Resumen Capacidad'!$H$225</f>
        <v>1</v>
      </c>
      <c r="K2665" s="203">
        <f>'Resumen Capacidad'!$H$225</f>
        <v>1</v>
      </c>
      <c r="L2665" s="203">
        <f>'Resumen Capacidad'!$H$225</f>
        <v>1</v>
      </c>
      <c r="M2665" s="203">
        <f>'Resumen Capacidad'!$H$225</f>
        <v>1</v>
      </c>
      <c r="N2665" s="203">
        <f>'Resumen Capacidad'!$H$225</f>
        <v>1</v>
      </c>
      <c r="O2665" s="5"/>
      <c r="P2665" s="5"/>
      <c r="Q2665" s="5"/>
      <c r="R2665" s="5"/>
      <c r="S2665" s="5"/>
      <c r="T2665" s="5"/>
      <c r="U2665" s="5"/>
      <c r="V2665" s="5"/>
      <c r="W2665" s="5"/>
      <c r="X2665" s="5"/>
      <c r="Y2665" s="5"/>
      <c r="Z2665" s="5"/>
    </row>
    <row r="2666" ht="12.0" customHeight="1">
      <c r="A2666" s="92" t="s">
        <v>642</v>
      </c>
      <c r="B2666" s="5"/>
      <c r="C2666" s="203">
        <f t="shared" ref="C2666:N2666" si="850">C2664*C2665</f>
        <v>14.92682927</v>
      </c>
      <c r="D2666" s="203">
        <f t="shared" si="850"/>
        <v>14.92682927</v>
      </c>
      <c r="E2666" s="203">
        <f t="shared" si="850"/>
        <v>14.92682927</v>
      </c>
      <c r="F2666" s="203">
        <f t="shared" si="850"/>
        <v>14.92682927</v>
      </c>
      <c r="G2666" s="203">
        <f t="shared" si="850"/>
        <v>14.92682927</v>
      </c>
      <c r="H2666" s="203">
        <f t="shared" si="850"/>
        <v>14.92682927</v>
      </c>
      <c r="I2666" s="203">
        <f t="shared" si="850"/>
        <v>14.92682927</v>
      </c>
      <c r="J2666" s="203">
        <f t="shared" si="850"/>
        <v>14.92682927</v>
      </c>
      <c r="K2666" s="203">
        <f t="shared" si="850"/>
        <v>14.92682927</v>
      </c>
      <c r="L2666" s="203">
        <f t="shared" si="850"/>
        <v>14.92682927</v>
      </c>
      <c r="M2666" s="203">
        <f t="shared" si="850"/>
        <v>14.92682927</v>
      </c>
      <c r="N2666" s="203">
        <f t="shared" si="850"/>
        <v>14.92682927</v>
      </c>
      <c r="O2666" s="5"/>
      <c r="P2666" s="5"/>
      <c r="Q2666" s="5"/>
      <c r="R2666" s="5"/>
      <c r="S2666" s="5"/>
      <c r="T2666" s="5"/>
      <c r="U2666" s="5"/>
      <c r="V2666" s="5"/>
      <c r="W2666" s="5"/>
      <c r="X2666" s="5"/>
      <c r="Y2666" s="5"/>
      <c r="Z2666" s="5"/>
    </row>
    <row r="2667" ht="12.0" customHeight="1">
      <c r="A2667" s="92" t="s">
        <v>643</v>
      </c>
      <c r="B2667" s="5"/>
      <c r="C2667" s="294">
        <f t="shared" ref="C2667:N2667" si="851">IF(C2666=0,0,C2663/C2666)</f>
        <v>0.07038333333</v>
      </c>
      <c r="D2667" s="294">
        <f t="shared" si="851"/>
        <v>0.06210294118</v>
      </c>
      <c r="E2667" s="294">
        <f t="shared" si="851"/>
        <v>0.07452352941</v>
      </c>
      <c r="F2667" s="294">
        <f t="shared" si="851"/>
        <v>0.07452352941</v>
      </c>
      <c r="G2667" s="294">
        <f t="shared" si="851"/>
        <v>0.07452352941</v>
      </c>
      <c r="H2667" s="294">
        <f t="shared" si="851"/>
        <v>0.06624313725</v>
      </c>
      <c r="I2667" s="294">
        <f t="shared" si="851"/>
        <v>0.07452352941</v>
      </c>
      <c r="J2667" s="294">
        <f t="shared" si="851"/>
        <v>0.07452352941</v>
      </c>
      <c r="K2667" s="294">
        <f t="shared" si="851"/>
        <v>0.07038333333</v>
      </c>
      <c r="L2667" s="294">
        <f t="shared" si="851"/>
        <v>0.06210294118</v>
      </c>
      <c r="M2667" s="294">
        <f t="shared" si="851"/>
        <v>0.0579627451</v>
      </c>
      <c r="N2667" s="294">
        <f t="shared" si="851"/>
        <v>0.06624313725</v>
      </c>
      <c r="O2667" s="5"/>
      <c r="P2667" s="5"/>
      <c r="Q2667" s="5"/>
      <c r="R2667" s="5"/>
      <c r="S2667" s="5"/>
      <c r="T2667" s="5"/>
      <c r="U2667" s="5"/>
      <c r="V2667" s="5"/>
      <c r="W2667" s="5"/>
      <c r="X2667" s="5"/>
      <c r="Y2667" s="5"/>
      <c r="Z2667" s="5"/>
    </row>
    <row r="2668" ht="12.0" customHeight="1">
      <c r="A2668" s="10" t="s">
        <v>1649</v>
      </c>
      <c r="B2668" s="5"/>
      <c r="C2668" s="206"/>
      <c r="D2668" s="206"/>
      <c r="E2668" s="206"/>
      <c r="F2668" s="206"/>
      <c r="G2668" s="206"/>
      <c r="H2668" s="206"/>
      <c r="I2668" s="206"/>
      <c r="J2668" s="206"/>
      <c r="K2668" s="206"/>
      <c r="L2668" s="206"/>
      <c r="M2668" s="206"/>
      <c r="N2668" s="206"/>
      <c r="O2668" s="5"/>
      <c r="P2668" s="5"/>
      <c r="Q2668" s="5"/>
      <c r="R2668" s="5"/>
      <c r="S2668" s="5"/>
      <c r="T2668" s="5"/>
      <c r="U2668" s="5"/>
      <c r="V2668" s="5"/>
      <c r="W2668" s="5"/>
      <c r="X2668" s="5"/>
      <c r="Y2668" s="5"/>
      <c r="Z2668" s="5"/>
    </row>
    <row r="2669" ht="12.0" customHeight="1">
      <c r="A2669" s="92" t="s">
        <v>630</v>
      </c>
      <c r="B2669" s="5" t="s">
        <v>631</v>
      </c>
      <c r="C2669" s="206" t="s">
        <v>3</v>
      </c>
      <c r="D2669" s="206" t="s">
        <v>4</v>
      </c>
      <c r="E2669" s="206" t="s">
        <v>507</v>
      </c>
      <c r="F2669" s="206" t="s">
        <v>508</v>
      </c>
      <c r="G2669" s="206" t="s">
        <v>509</v>
      </c>
      <c r="H2669" s="206" t="s">
        <v>510</v>
      </c>
      <c r="I2669" s="206" t="s">
        <v>511</v>
      </c>
      <c r="J2669" s="206" t="s">
        <v>512</v>
      </c>
      <c r="K2669" s="206" t="s">
        <v>513</v>
      </c>
      <c r="L2669" s="206" t="s">
        <v>514</v>
      </c>
      <c r="M2669" s="206" t="s">
        <v>515</v>
      </c>
      <c r="N2669" s="206" t="s">
        <v>516</v>
      </c>
      <c r="O2669" s="5"/>
      <c r="P2669" s="5"/>
      <c r="Q2669" s="5"/>
      <c r="R2669" s="5"/>
      <c r="S2669" s="5"/>
      <c r="T2669" s="5"/>
      <c r="U2669" s="5"/>
      <c r="V2669" s="5"/>
      <c r="W2669" s="5"/>
      <c r="X2669" s="5"/>
      <c r="Y2669" s="5"/>
      <c r="Z2669" s="5"/>
    </row>
    <row r="2670" ht="12.0" customHeight="1">
      <c r="A2670" s="92" t="s">
        <v>1643</v>
      </c>
      <c r="B2670" s="5" t="s">
        <v>633</v>
      </c>
      <c r="C2670" s="203">
        <f t="shared" ref="C2670:N2670" si="852">C2605</f>
        <v>157.59</v>
      </c>
      <c r="D2670" s="203">
        <f t="shared" si="852"/>
        <v>139.05</v>
      </c>
      <c r="E2670" s="203">
        <f t="shared" si="852"/>
        <v>166.86</v>
      </c>
      <c r="F2670" s="203">
        <f t="shared" si="852"/>
        <v>166.86</v>
      </c>
      <c r="G2670" s="203">
        <f t="shared" si="852"/>
        <v>166.86</v>
      </c>
      <c r="H2670" s="203">
        <f t="shared" si="852"/>
        <v>148.32</v>
      </c>
      <c r="I2670" s="203">
        <f t="shared" si="852"/>
        <v>166.86</v>
      </c>
      <c r="J2670" s="203">
        <f t="shared" si="852"/>
        <v>166.86</v>
      </c>
      <c r="K2670" s="203">
        <f t="shared" si="852"/>
        <v>157.59</v>
      </c>
      <c r="L2670" s="203">
        <f t="shared" si="852"/>
        <v>139.05</v>
      </c>
      <c r="M2670" s="203">
        <f t="shared" si="852"/>
        <v>129.78</v>
      </c>
      <c r="N2670" s="203">
        <f t="shared" si="852"/>
        <v>148.32</v>
      </c>
      <c r="O2670" s="5"/>
      <c r="P2670" s="5"/>
      <c r="Q2670" s="5"/>
      <c r="R2670" s="5"/>
      <c r="S2670" s="5"/>
      <c r="T2670" s="5"/>
      <c r="U2670" s="5"/>
      <c r="V2670" s="5"/>
      <c r="W2670" s="5"/>
      <c r="X2670" s="5"/>
      <c r="Y2670" s="5"/>
      <c r="Z2670" s="5"/>
    </row>
    <row r="2671" ht="12.0" customHeight="1">
      <c r="A2671" s="92"/>
      <c r="B2671" s="5" t="s">
        <v>634</v>
      </c>
      <c r="C2671" s="293">
        <f>C2670/Parametros!$B$37</f>
        <v>7.8795</v>
      </c>
      <c r="D2671" s="293">
        <f>D2670/Parametros!$B$37</f>
        <v>6.9525</v>
      </c>
      <c r="E2671" s="293">
        <f>E2670/Parametros!$B$37</f>
        <v>8.343</v>
      </c>
      <c r="F2671" s="293">
        <f>F2670/Parametros!$B$37</f>
        <v>8.343</v>
      </c>
      <c r="G2671" s="293">
        <f>G2670/Parametros!$B$37</f>
        <v>8.343</v>
      </c>
      <c r="H2671" s="293">
        <f>H2670/Parametros!$B$37</f>
        <v>7.416</v>
      </c>
      <c r="I2671" s="293">
        <f>I2670/Parametros!$B$37</f>
        <v>8.343</v>
      </c>
      <c r="J2671" s="293">
        <f>J2670/Parametros!$B$37</f>
        <v>8.343</v>
      </c>
      <c r="K2671" s="293">
        <f>K2670/Parametros!$B$37</f>
        <v>7.8795</v>
      </c>
      <c r="L2671" s="293">
        <f>L2670/Parametros!$B$37</f>
        <v>6.9525</v>
      </c>
      <c r="M2671" s="293">
        <f>M2670/Parametros!$B$37</f>
        <v>6.489</v>
      </c>
      <c r="N2671" s="293">
        <f>N2670/Parametros!$B$37</f>
        <v>7.416</v>
      </c>
      <c r="O2671" s="5"/>
      <c r="P2671" s="5"/>
      <c r="Q2671" s="5"/>
      <c r="R2671" s="5"/>
      <c r="S2671" s="5"/>
      <c r="T2671" s="5"/>
      <c r="U2671" s="5"/>
      <c r="V2671" s="5"/>
      <c r="W2671" s="5"/>
      <c r="X2671" s="5"/>
      <c r="Y2671" s="5"/>
      <c r="Z2671" s="5"/>
    </row>
    <row r="2672" ht="12.0" customHeight="1">
      <c r="A2672" s="92"/>
      <c r="B2672" s="5" t="s">
        <v>635</v>
      </c>
      <c r="C2672" s="293">
        <f>C2671/Parametros!$J$37</f>
        <v>1.0506</v>
      </c>
      <c r="D2672" s="293">
        <f>D2671/Parametros!$J$37</f>
        <v>0.927</v>
      </c>
      <c r="E2672" s="293">
        <f>E2671/Parametros!$J$37</f>
        <v>1.1124</v>
      </c>
      <c r="F2672" s="293">
        <f>F2671/Parametros!$J$37</f>
        <v>1.1124</v>
      </c>
      <c r="G2672" s="293">
        <f>G2671/Parametros!$J$37</f>
        <v>1.1124</v>
      </c>
      <c r="H2672" s="293">
        <f>H2671/Parametros!$J$37</f>
        <v>0.9888</v>
      </c>
      <c r="I2672" s="293">
        <f>I2671/Parametros!$J$37</f>
        <v>1.1124</v>
      </c>
      <c r="J2672" s="293">
        <f>J2671/Parametros!$J$37</f>
        <v>1.1124</v>
      </c>
      <c r="K2672" s="293">
        <f>K2671/Parametros!$J$37</f>
        <v>1.0506</v>
      </c>
      <c r="L2672" s="293">
        <f>L2671/Parametros!$J$37</f>
        <v>0.927</v>
      </c>
      <c r="M2672" s="293">
        <f>M2671/Parametros!$J$37</f>
        <v>0.8652</v>
      </c>
      <c r="N2672" s="293">
        <f>N2671/Parametros!$J$37</f>
        <v>0.9888</v>
      </c>
      <c r="O2672" s="5"/>
      <c r="P2672" s="5"/>
      <c r="Q2672" s="5"/>
      <c r="R2672" s="5"/>
      <c r="S2672" s="5"/>
      <c r="T2672" s="5"/>
      <c r="U2672" s="5"/>
      <c r="V2672" s="5"/>
      <c r="W2672" s="5"/>
      <c r="X2672" s="5"/>
      <c r="Y2672" s="5"/>
      <c r="Z2672" s="5"/>
    </row>
    <row r="2673" ht="12.0" customHeight="1">
      <c r="A2673" s="92" t="s">
        <v>636</v>
      </c>
      <c r="B2673" s="5"/>
      <c r="C2673" s="293">
        <f t="shared" ref="C2673:N2673" si="853">C2672</f>
        <v>1.0506</v>
      </c>
      <c r="D2673" s="293">
        <f t="shared" si="853"/>
        <v>0.927</v>
      </c>
      <c r="E2673" s="293">
        <f t="shared" si="853"/>
        <v>1.1124</v>
      </c>
      <c r="F2673" s="293">
        <f t="shared" si="853"/>
        <v>1.1124</v>
      </c>
      <c r="G2673" s="293">
        <f t="shared" si="853"/>
        <v>1.1124</v>
      </c>
      <c r="H2673" s="293">
        <f t="shared" si="853"/>
        <v>0.9888</v>
      </c>
      <c r="I2673" s="293">
        <f t="shared" si="853"/>
        <v>1.1124</v>
      </c>
      <c r="J2673" s="293">
        <f t="shared" si="853"/>
        <v>1.1124</v>
      </c>
      <c r="K2673" s="293">
        <f t="shared" si="853"/>
        <v>1.0506</v>
      </c>
      <c r="L2673" s="293">
        <f t="shared" si="853"/>
        <v>0.927</v>
      </c>
      <c r="M2673" s="293">
        <f t="shared" si="853"/>
        <v>0.8652</v>
      </c>
      <c r="N2673" s="293">
        <f t="shared" si="853"/>
        <v>0.9888</v>
      </c>
      <c r="O2673" s="5"/>
      <c r="P2673" s="5"/>
      <c r="Q2673" s="5"/>
      <c r="R2673" s="5"/>
      <c r="S2673" s="5"/>
      <c r="T2673" s="5"/>
      <c r="U2673" s="5"/>
      <c r="V2673" s="5"/>
      <c r="W2673" s="5"/>
      <c r="X2673" s="5"/>
      <c r="Y2673" s="5"/>
      <c r="Z2673" s="5"/>
    </row>
    <row r="2674" ht="12.0" customHeight="1">
      <c r="A2674" s="92" t="s">
        <v>637</v>
      </c>
      <c r="B2674" s="5"/>
      <c r="C2674" s="293">
        <f>Parametros!$M$118</f>
        <v>38.25</v>
      </c>
      <c r="D2674" s="293">
        <f>Parametros!$M$118</f>
        <v>38.25</v>
      </c>
      <c r="E2674" s="293">
        <f>Parametros!$M$118</f>
        <v>38.25</v>
      </c>
      <c r="F2674" s="293">
        <f>Parametros!$M$118</f>
        <v>38.25</v>
      </c>
      <c r="G2674" s="293">
        <f>Parametros!$M$118</f>
        <v>38.25</v>
      </c>
      <c r="H2674" s="293">
        <f>Parametros!$M$118</f>
        <v>38.25</v>
      </c>
      <c r="I2674" s="293">
        <f>Parametros!$M$118</f>
        <v>38.25</v>
      </c>
      <c r="J2674" s="293">
        <f>Parametros!$M$118</f>
        <v>38.25</v>
      </c>
      <c r="K2674" s="293">
        <f>Parametros!$M$118</f>
        <v>38.25</v>
      </c>
      <c r="L2674" s="293">
        <f>Parametros!$M$118</f>
        <v>38.25</v>
      </c>
      <c r="M2674" s="293">
        <f>Parametros!$M$118</f>
        <v>38.25</v>
      </c>
      <c r="N2674" s="293">
        <f>Parametros!$M$118</f>
        <v>38.25</v>
      </c>
      <c r="O2674" s="5"/>
      <c r="P2674" s="5"/>
      <c r="Q2674" s="5"/>
      <c r="R2674" s="5"/>
      <c r="S2674" s="5"/>
      <c r="T2674" s="5"/>
      <c r="U2674" s="5"/>
      <c r="V2674" s="5"/>
      <c r="W2674" s="5"/>
      <c r="X2674" s="5"/>
      <c r="Y2674" s="5"/>
      <c r="Z2674" s="5"/>
    </row>
    <row r="2675" ht="12.0" customHeight="1">
      <c r="A2675" s="92" t="s">
        <v>640</v>
      </c>
      <c r="B2675" s="5"/>
      <c r="C2675" s="203">
        <f>'Resumen Capacidad'!$H$226</f>
        <v>1</v>
      </c>
      <c r="D2675" s="203">
        <f>'Resumen Capacidad'!$H$226</f>
        <v>1</v>
      </c>
      <c r="E2675" s="203">
        <f>'Resumen Capacidad'!$H$226</f>
        <v>1</v>
      </c>
      <c r="F2675" s="203">
        <f>'Resumen Capacidad'!$H$226</f>
        <v>1</v>
      </c>
      <c r="G2675" s="203">
        <f>'Resumen Capacidad'!$H$226</f>
        <v>1</v>
      </c>
      <c r="H2675" s="203">
        <f>'Resumen Capacidad'!$H$226</f>
        <v>1</v>
      </c>
      <c r="I2675" s="203">
        <f>'Resumen Capacidad'!$H$226</f>
        <v>1</v>
      </c>
      <c r="J2675" s="203">
        <f>'Resumen Capacidad'!$H$226</f>
        <v>1</v>
      </c>
      <c r="K2675" s="203">
        <f>'Resumen Capacidad'!$H$226</f>
        <v>1</v>
      </c>
      <c r="L2675" s="203">
        <f>'Resumen Capacidad'!$H$226</f>
        <v>1</v>
      </c>
      <c r="M2675" s="203">
        <f>'Resumen Capacidad'!$H$226</f>
        <v>1</v>
      </c>
      <c r="N2675" s="203">
        <f>'Resumen Capacidad'!$H$226</f>
        <v>1</v>
      </c>
      <c r="O2675" s="5"/>
      <c r="P2675" s="5"/>
      <c r="Q2675" s="5"/>
      <c r="R2675" s="5"/>
      <c r="S2675" s="5"/>
      <c r="T2675" s="5"/>
      <c r="U2675" s="5"/>
      <c r="V2675" s="5"/>
      <c r="W2675" s="5"/>
      <c r="X2675" s="5"/>
      <c r="Y2675" s="5"/>
      <c r="Z2675" s="5"/>
    </row>
    <row r="2676" ht="12.0" customHeight="1">
      <c r="A2676" s="92" t="s">
        <v>642</v>
      </c>
      <c r="B2676" s="5"/>
      <c r="C2676" s="203">
        <f t="shared" ref="C2676:N2676" si="854">C2674*C2675</f>
        <v>38.25</v>
      </c>
      <c r="D2676" s="203">
        <f t="shared" si="854"/>
        <v>38.25</v>
      </c>
      <c r="E2676" s="203">
        <f t="shared" si="854"/>
        <v>38.25</v>
      </c>
      <c r="F2676" s="203">
        <f t="shared" si="854"/>
        <v>38.25</v>
      </c>
      <c r="G2676" s="203">
        <f t="shared" si="854"/>
        <v>38.25</v>
      </c>
      <c r="H2676" s="203">
        <f t="shared" si="854"/>
        <v>38.25</v>
      </c>
      <c r="I2676" s="203">
        <f t="shared" si="854"/>
        <v>38.25</v>
      </c>
      <c r="J2676" s="203">
        <f t="shared" si="854"/>
        <v>38.25</v>
      </c>
      <c r="K2676" s="203">
        <f t="shared" si="854"/>
        <v>38.25</v>
      </c>
      <c r="L2676" s="203">
        <f t="shared" si="854"/>
        <v>38.25</v>
      </c>
      <c r="M2676" s="203">
        <f t="shared" si="854"/>
        <v>38.25</v>
      </c>
      <c r="N2676" s="203">
        <f t="shared" si="854"/>
        <v>38.25</v>
      </c>
      <c r="O2676" s="5"/>
      <c r="P2676" s="5"/>
      <c r="Q2676" s="5"/>
      <c r="R2676" s="5"/>
      <c r="S2676" s="5"/>
      <c r="T2676" s="5"/>
      <c r="U2676" s="5"/>
      <c r="V2676" s="5"/>
      <c r="W2676" s="5"/>
      <c r="X2676" s="5"/>
      <c r="Y2676" s="5"/>
      <c r="Z2676" s="5"/>
    </row>
    <row r="2677" ht="12.0" customHeight="1">
      <c r="A2677" s="92" t="s">
        <v>643</v>
      </c>
      <c r="B2677" s="5"/>
      <c r="C2677" s="294">
        <f t="shared" ref="C2677:N2677" si="855">IF(C2676=0,0,C2673/C2676)</f>
        <v>0.02746666667</v>
      </c>
      <c r="D2677" s="294">
        <f t="shared" si="855"/>
        <v>0.02423529412</v>
      </c>
      <c r="E2677" s="294">
        <f t="shared" si="855"/>
        <v>0.02908235294</v>
      </c>
      <c r="F2677" s="294">
        <f t="shared" si="855"/>
        <v>0.02908235294</v>
      </c>
      <c r="G2677" s="294">
        <f t="shared" si="855"/>
        <v>0.02908235294</v>
      </c>
      <c r="H2677" s="294">
        <f t="shared" si="855"/>
        <v>0.02585098039</v>
      </c>
      <c r="I2677" s="294">
        <f t="shared" si="855"/>
        <v>0.02908235294</v>
      </c>
      <c r="J2677" s="294">
        <f t="shared" si="855"/>
        <v>0.02908235294</v>
      </c>
      <c r="K2677" s="294">
        <f t="shared" si="855"/>
        <v>0.02746666667</v>
      </c>
      <c r="L2677" s="294">
        <f t="shared" si="855"/>
        <v>0.02423529412</v>
      </c>
      <c r="M2677" s="294">
        <f t="shared" si="855"/>
        <v>0.02261960784</v>
      </c>
      <c r="N2677" s="294">
        <f t="shared" si="855"/>
        <v>0.02585098039</v>
      </c>
      <c r="O2677" s="5"/>
      <c r="P2677" s="5"/>
      <c r="Q2677" s="5"/>
      <c r="R2677" s="5"/>
      <c r="S2677" s="5"/>
      <c r="T2677" s="5"/>
      <c r="U2677" s="5"/>
      <c r="V2677" s="5"/>
      <c r="W2677" s="5"/>
      <c r="X2677" s="5"/>
      <c r="Y2677" s="5"/>
      <c r="Z2677" s="5"/>
    </row>
    <row r="2678" ht="12.0" customHeight="1">
      <c r="A2678" s="10" t="s">
        <v>1650</v>
      </c>
      <c r="B2678" s="5"/>
      <c r="C2678" s="206"/>
      <c r="D2678" s="206"/>
      <c r="E2678" s="206"/>
      <c r="F2678" s="206"/>
      <c r="G2678" s="206"/>
      <c r="H2678" s="206"/>
      <c r="I2678" s="206"/>
      <c r="J2678" s="206"/>
      <c r="K2678" s="206"/>
      <c r="L2678" s="206"/>
      <c r="M2678" s="206"/>
      <c r="N2678" s="206"/>
      <c r="O2678" s="5"/>
      <c r="P2678" s="5"/>
      <c r="Q2678" s="5"/>
      <c r="R2678" s="5"/>
      <c r="S2678" s="5"/>
      <c r="T2678" s="5"/>
      <c r="U2678" s="5"/>
      <c r="V2678" s="5"/>
      <c r="W2678" s="5"/>
      <c r="X2678" s="5"/>
      <c r="Y2678" s="5"/>
      <c r="Z2678" s="5"/>
    </row>
    <row r="2679" ht="12.0" customHeight="1">
      <c r="A2679" s="92" t="s">
        <v>630</v>
      </c>
      <c r="B2679" s="5" t="s">
        <v>631</v>
      </c>
      <c r="C2679" s="206" t="s">
        <v>3</v>
      </c>
      <c r="D2679" s="206" t="s">
        <v>4</v>
      </c>
      <c r="E2679" s="206" t="s">
        <v>507</v>
      </c>
      <c r="F2679" s="206" t="s">
        <v>508</v>
      </c>
      <c r="G2679" s="206" t="s">
        <v>509</v>
      </c>
      <c r="H2679" s="206" t="s">
        <v>510</v>
      </c>
      <c r="I2679" s="206" t="s">
        <v>511</v>
      </c>
      <c r="J2679" s="206" t="s">
        <v>512</v>
      </c>
      <c r="K2679" s="206" t="s">
        <v>513</v>
      </c>
      <c r="L2679" s="206" t="s">
        <v>514</v>
      </c>
      <c r="M2679" s="206" t="s">
        <v>515</v>
      </c>
      <c r="N2679" s="206" t="s">
        <v>516</v>
      </c>
      <c r="O2679" s="5"/>
      <c r="P2679" s="5"/>
      <c r="Q2679" s="5"/>
      <c r="R2679" s="5"/>
      <c r="S2679" s="5"/>
      <c r="T2679" s="5"/>
      <c r="U2679" s="5"/>
      <c r="V2679" s="5"/>
      <c r="W2679" s="5"/>
      <c r="X2679" s="5"/>
      <c r="Y2679" s="5"/>
      <c r="Z2679" s="5"/>
    </row>
    <row r="2680" ht="12.0" customHeight="1">
      <c r="A2680" s="92" t="s">
        <v>1643</v>
      </c>
      <c r="B2680" s="5" t="s">
        <v>633</v>
      </c>
      <c r="C2680" s="203">
        <f t="shared" ref="C2680:N2680" si="856">C2605</f>
        <v>157.59</v>
      </c>
      <c r="D2680" s="203">
        <f t="shared" si="856"/>
        <v>139.05</v>
      </c>
      <c r="E2680" s="203">
        <f t="shared" si="856"/>
        <v>166.86</v>
      </c>
      <c r="F2680" s="203">
        <f t="shared" si="856"/>
        <v>166.86</v>
      </c>
      <c r="G2680" s="203">
        <f t="shared" si="856"/>
        <v>166.86</v>
      </c>
      <c r="H2680" s="203">
        <f t="shared" si="856"/>
        <v>148.32</v>
      </c>
      <c r="I2680" s="203">
        <f t="shared" si="856"/>
        <v>166.86</v>
      </c>
      <c r="J2680" s="203">
        <f t="shared" si="856"/>
        <v>166.86</v>
      </c>
      <c r="K2680" s="203">
        <f t="shared" si="856"/>
        <v>157.59</v>
      </c>
      <c r="L2680" s="203">
        <f t="shared" si="856"/>
        <v>139.05</v>
      </c>
      <c r="M2680" s="203">
        <f t="shared" si="856"/>
        <v>129.78</v>
      </c>
      <c r="N2680" s="203">
        <f t="shared" si="856"/>
        <v>148.32</v>
      </c>
      <c r="O2680" s="5"/>
      <c r="P2680" s="5"/>
      <c r="Q2680" s="5"/>
      <c r="R2680" s="5"/>
      <c r="S2680" s="5"/>
      <c r="T2680" s="5"/>
      <c r="U2680" s="5"/>
      <c r="V2680" s="5"/>
      <c r="W2680" s="5"/>
      <c r="X2680" s="5"/>
      <c r="Y2680" s="5"/>
      <c r="Z2680" s="5"/>
    </row>
    <row r="2681" ht="12.0" customHeight="1">
      <c r="A2681" s="92"/>
      <c r="B2681" s="5" t="s">
        <v>634</v>
      </c>
      <c r="C2681" s="293">
        <f>C2680/Parametros!$B$37</f>
        <v>7.8795</v>
      </c>
      <c r="D2681" s="293">
        <f>D2680/Parametros!$B$37</f>
        <v>6.9525</v>
      </c>
      <c r="E2681" s="293">
        <f>E2680/Parametros!$B$37</f>
        <v>8.343</v>
      </c>
      <c r="F2681" s="293">
        <f>F2680/Parametros!$B$37</f>
        <v>8.343</v>
      </c>
      <c r="G2681" s="293">
        <f>G2680/Parametros!$B$37</f>
        <v>8.343</v>
      </c>
      <c r="H2681" s="293">
        <f>H2680/Parametros!$B$37</f>
        <v>7.416</v>
      </c>
      <c r="I2681" s="293">
        <f>I2680/Parametros!$B$37</f>
        <v>8.343</v>
      </c>
      <c r="J2681" s="293">
        <f>J2680/Parametros!$B$37</f>
        <v>8.343</v>
      </c>
      <c r="K2681" s="293">
        <f>K2680/Parametros!$B$37</f>
        <v>7.8795</v>
      </c>
      <c r="L2681" s="293">
        <f>L2680/Parametros!$B$37</f>
        <v>6.9525</v>
      </c>
      <c r="M2681" s="293">
        <f>M2680/Parametros!$B$37</f>
        <v>6.489</v>
      </c>
      <c r="N2681" s="293">
        <f>N2680/Parametros!$B$37</f>
        <v>7.416</v>
      </c>
      <c r="O2681" s="5"/>
      <c r="P2681" s="5"/>
      <c r="Q2681" s="5"/>
      <c r="R2681" s="5"/>
      <c r="S2681" s="5"/>
      <c r="T2681" s="5"/>
      <c r="U2681" s="5"/>
      <c r="V2681" s="5"/>
      <c r="W2681" s="5"/>
      <c r="X2681" s="5"/>
      <c r="Y2681" s="5"/>
      <c r="Z2681" s="5"/>
    </row>
    <row r="2682" ht="12.0" customHeight="1">
      <c r="A2682" s="92"/>
      <c r="B2682" s="5" t="s">
        <v>635</v>
      </c>
      <c r="C2682" s="293">
        <f>C2681/Parametros!$J$37</f>
        <v>1.0506</v>
      </c>
      <c r="D2682" s="293">
        <f>D2681/Parametros!$J$37</f>
        <v>0.927</v>
      </c>
      <c r="E2682" s="293">
        <f>E2681/Parametros!$J$37</f>
        <v>1.1124</v>
      </c>
      <c r="F2682" s="293">
        <f>F2681/Parametros!$J$37</f>
        <v>1.1124</v>
      </c>
      <c r="G2682" s="293">
        <f>G2681/Parametros!$J$37</f>
        <v>1.1124</v>
      </c>
      <c r="H2682" s="293">
        <f>H2681/Parametros!$J$37</f>
        <v>0.9888</v>
      </c>
      <c r="I2682" s="293">
        <f>I2681/Parametros!$J$37</f>
        <v>1.1124</v>
      </c>
      <c r="J2682" s="293">
        <f>J2681/Parametros!$J$37</f>
        <v>1.1124</v>
      </c>
      <c r="K2682" s="293">
        <f>K2681/Parametros!$J$37</f>
        <v>1.0506</v>
      </c>
      <c r="L2682" s="293">
        <f>L2681/Parametros!$J$37</f>
        <v>0.927</v>
      </c>
      <c r="M2682" s="293">
        <f>M2681/Parametros!$J$37</f>
        <v>0.8652</v>
      </c>
      <c r="N2682" s="293">
        <f>N2681/Parametros!$J$37</f>
        <v>0.9888</v>
      </c>
      <c r="O2682" s="5"/>
      <c r="P2682" s="5"/>
      <c r="Q2682" s="5"/>
      <c r="R2682" s="5"/>
      <c r="S2682" s="5"/>
      <c r="T2682" s="5"/>
      <c r="U2682" s="5"/>
      <c r="V2682" s="5"/>
      <c r="W2682" s="5"/>
      <c r="X2682" s="5"/>
      <c r="Y2682" s="5"/>
      <c r="Z2682" s="5"/>
    </row>
    <row r="2683" ht="12.0" customHeight="1">
      <c r="A2683" s="92" t="s">
        <v>636</v>
      </c>
      <c r="B2683" s="5"/>
      <c r="C2683" s="293">
        <f t="shared" ref="C2683:N2683" si="857">C2682</f>
        <v>1.0506</v>
      </c>
      <c r="D2683" s="293">
        <f t="shared" si="857"/>
        <v>0.927</v>
      </c>
      <c r="E2683" s="293">
        <f t="shared" si="857"/>
        <v>1.1124</v>
      </c>
      <c r="F2683" s="293">
        <f t="shared" si="857"/>
        <v>1.1124</v>
      </c>
      <c r="G2683" s="293">
        <f t="shared" si="857"/>
        <v>1.1124</v>
      </c>
      <c r="H2683" s="293">
        <f t="shared" si="857"/>
        <v>0.9888</v>
      </c>
      <c r="I2683" s="293">
        <f t="shared" si="857"/>
        <v>1.1124</v>
      </c>
      <c r="J2683" s="293">
        <f t="shared" si="857"/>
        <v>1.1124</v>
      </c>
      <c r="K2683" s="293">
        <f t="shared" si="857"/>
        <v>1.0506</v>
      </c>
      <c r="L2683" s="293">
        <f t="shared" si="857"/>
        <v>0.927</v>
      </c>
      <c r="M2683" s="293">
        <f t="shared" si="857"/>
        <v>0.8652</v>
      </c>
      <c r="N2683" s="293">
        <f t="shared" si="857"/>
        <v>0.9888</v>
      </c>
      <c r="O2683" s="5"/>
      <c r="P2683" s="5"/>
      <c r="Q2683" s="5"/>
      <c r="R2683" s="5"/>
      <c r="S2683" s="5"/>
      <c r="T2683" s="5"/>
      <c r="U2683" s="5"/>
      <c r="V2683" s="5"/>
      <c r="W2683" s="5"/>
      <c r="X2683" s="5"/>
      <c r="Y2683" s="5"/>
      <c r="Z2683" s="5"/>
    </row>
    <row r="2684" ht="12.0" customHeight="1">
      <c r="A2684" s="92" t="s">
        <v>637</v>
      </c>
      <c r="B2684" s="5"/>
      <c r="C2684" s="293">
        <f>Parametros!$M$119</f>
        <v>5.666666667</v>
      </c>
      <c r="D2684" s="293">
        <f>Parametros!$M$119</f>
        <v>5.666666667</v>
      </c>
      <c r="E2684" s="293">
        <f>Parametros!$M$119</f>
        <v>5.666666667</v>
      </c>
      <c r="F2684" s="293">
        <f>Parametros!$M$119</f>
        <v>5.666666667</v>
      </c>
      <c r="G2684" s="293">
        <f>Parametros!$M$119</f>
        <v>5.666666667</v>
      </c>
      <c r="H2684" s="293">
        <f>Parametros!$M$119</f>
        <v>5.666666667</v>
      </c>
      <c r="I2684" s="293">
        <f>Parametros!$M$119</f>
        <v>5.666666667</v>
      </c>
      <c r="J2684" s="293">
        <f>Parametros!$M$119</f>
        <v>5.666666667</v>
      </c>
      <c r="K2684" s="293">
        <f>Parametros!$M$119</f>
        <v>5.666666667</v>
      </c>
      <c r="L2684" s="293">
        <f>Parametros!$M$119</f>
        <v>5.666666667</v>
      </c>
      <c r="M2684" s="293">
        <f>Parametros!$M$119</f>
        <v>5.666666667</v>
      </c>
      <c r="N2684" s="293">
        <f>Parametros!$M$119</f>
        <v>5.666666667</v>
      </c>
      <c r="O2684" s="5"/>
      <c r="P2684" s="5"/>
      <c r="Q2684" s="5"/>
      <c r="R2684" s="5"/>
      <c r="S2684" s="5"/>
      <c r="T2684" s="5"/>
      <c r="U2684" s="5"/>
      <c r="V2684" s="5"/>
      <c r="W2684" s="5"/>
      <c r="X2684" s="5"/>
      <c r="Y2684" s="5"/>
      <c r="Z2684" s="5"/>
    </row>
    <row r="2685" ht="12.0" customHeight="1">
      <c r="A2685" s="92" t="s">
        <v>640</v>
      </c>
      <c r="B2685" s="5"/>
      <c r="C2685" s="203">
        <f>'Resumen Capacidad'!$H$227</f>
        <v>1</v>
      </c>
      <c r="D2685" s="203">
        <f>'Resumen Capacidad'!$H$227</f>
        <v>1</v>
      </c>
      <c r="E2685" s="203">
        <f>'Resumen Capacidad'!$H$227</f>
        <v>1</v>
      </c>
      <c r="F2685" s="203">
        <f>'Resumen Capacidad'!$H$227</f>
        <v>1</v>
      </c>
      <c r="G2685" s="203">
        <f>'Resumen Capacidad'!$H$227</f>
        <v>1</v>
      </c>
      <c r="H2685" s="203">
        <f>'Resumen Capacidad'!$H$227</f>
        <v>1</v>
      </c>
      <c r="I2685" s="203">
        <f>'Resumen Capacidad'!$H$227</f>
        <v>1</v>
      </c>
      <c r="J2685" s="203">
        <f>'Resumen Capacidad'!$H$227</f>
        <v>1</v>
      </c>
      <c r="K2685" s="203">
        <f>'Resumen Capacidad'!$H$227</f>
        <v>1</v>
      </c>
      <c r="L2685" s="203">
        <f>'Resumen Capacidad'!$H$227</f>
        <v>1</v>
      </c>
      <c r="M2685" s="203">
        <f>'Resumen Capacidad'!$H$227</f>
        <v>1</v>
      </c>
      <c r="N2685" s="203">
        <f>'Resumen Capacidad'!$H$227</f>
        <v>1</v>
      </c>
      <c r="O2685" s="5"/>
      <c r="P2685" s="5"/>
      <c r="Q2685" s="5"/>
      <c r="R2685" s="5"/>
      <c r="S2685" s="5"/>
      <c r="T2685" s="5"/>
      <c r="U2685" s="5"/>
      <c r="V2685" s="5"/>
      <c r="W2685" s="5"/>
      <c r="X2685" s="5"/>
      <c r="Y2685" s="5"/>
      <c r="Z2685" s="5"/>
    </row>
    <row r="2686" ht="12.0" customHeight="1">
      <c r="A2686" s="92" t="s">
        <v>642</v>
      </c>
      <c r="B2686" s="5"/>
      <c r="C2686" s="203">
        <f t="shared" ref="C2686:N2686" si="858">C2684*C2685</f>
        <v>5.666666667</v>
      </c>
      <c r="D2686" s="203">
        <f t="shared" si="858"/>
        <v>5.666666667</v>
      </c>
      <c r="E2686" s="203">
        <f t="shared" si="858"/>
        <v>5.666666667</v>
      </c>
      <c r="F2686" s="203">
        <f t="shared" si="858"/>
        <v>5.666666667</v>
      </c>
      <c r="G2686" s="203">
        <f t="shared" si="858"/>
        <v>5.666666667</v>
      </c>
      <c r="H2686" s="203">
        <f t="shared" si="858"/>
        <v>5.666666667</v>
      </c>
      <c r="I2686" s="203">
        <f t="shared" si="858"/>
        <v>5.666666667</v>
      </c>
      <c r="J2686" s="203">
        <f t="shared" si="858"/>
        <v>5.666666667</v>
      </c>
      <c r="K2686" s="203">
        <f t="shared" si="858"/>
        <v>5.666666667</v>
      </c>
      <c r="L2686" s="203">
        <f t="shared" si="858"/>
        <v>5.666666667</v>
      </c>
      <c r="M2686" s="203">
        <f t="shared" si="858"/>
        <v>5.666666667</v>
      </c>
      <c r="N2686" s="203">
        <f t="shared" si="858"/>
        <v>5.666666667</v>
      </c>
      <c r="O2686" s="5"/>
      <c r="P2686" s="5"/>
      <c r="Q2686" s="5"/>
      <c r="R2686" s="5"/>
      <c r="S2686" s="5"/>
      <c r="T2686" s="5"/>
      <c r="U2686" s="5"/>
      <c r="V2686" s="5"/>
      <c r="W2686" s="5"/>
      <c r="X2686" s="5"/>
      <c r="Y2686" s="5"/>
      <c r="Z2686" s="5"/>
    </row>
    <row r="2687" ht="12.0" customHeight="1">
      <c r="A2687" s="92" t="s">
        <v>643</v>
      </c>
      <c r="B2687" s="5"/>
      <c r="C2687" s="294">
        <f t="shared" ref="C2687:N2687" si="859">IF(C2686=0,0,C2683/C2686)</f>
        <v>0.1854</v>
      </c>
      <c r="D2687" s="294">
        <f t="shared" si="859"/>
        <v>0.1635882353</v>
      </c>
      <c r="E2687" s="294">
        <f t="shared" si="859"/>
        <v>0.1963058824</v>
      </c>
      <c r="F2687" s="294">
        <f t="shared" si="859"/>
        <v>0.1963058824</v>
      </c>
      <c r="G2687" s="294">
        <f t="shared" si="859"/>
        <v>0.1963058824</v>
      </c>
      <c r="H2687" s="294">
        <f t="shared" si="859"/>
        <v>0.1744941176</v>
      </c>
      <c r="I2687" s="294">
        <f t="shared" si="859"/>
        <v>0.1963058824</v>
      </c>
      <c r="J2687" s="294">
        <f t="shared" si="859"/>
        <v>0.1963058824</v>
      </c>
      <c r="K2687" s="294">
        <f t="shared" si="859"/>
        <v>0.1854</v>
      </c>
      <c r="L2687" s="294">
        <f t="shared" si="859"/>
        <v>0.1635882353</v>
      </c>
      <c r="M2687" s="294">
        <f t="shared" si="859"/>
        <v>0.1526823529</v>
      </c>
      <c r="N2687" s="294">
        <f t="shared" si="859"/>
        <v>0.1744941176</v>
      </c>
      <c r="O2687" s="5"/>
      <c r="P2687" s="5"/>
      <c r="Q2687" s="5"/>
      <c r="R2687" s="5"/>
      <c r="S2687" s="5"/>
      <c r="T2687" s="5"/>
      <c r="U2687" s="5"/>
      <c r="V2687" s="5"/>
      <c r="W2687" s="5"/>
      <c r="X2687" s="5"/>
      <c r="Y2687" s="5"/>
      <c r="Z2687" s="5"/>
    </row>
    <row r="2688" ht="12.0" customHeight="1">
      <c r="A2688" s="92"/>
      <c r="B2688" s="5"/>
      <c r="C2688" s="206"/>
      <c r="D2688" s="206"/>
      <c r="E2688" s="206"/>
      <c r="F2688" s="206"/>
      <c r="G2688" s="206"/>
      <c r="H2688" s="206"/>
      <c r="I2688" s="206"/>
      <c r="J2688" s="206"/>
      <c r="K2688" s="206"/>
      <c r="L2688" s="206"/>
      <c r="M2688" s="206"/>
      <c r="N2688" s="206"/>
      <c r="O2688" s="5"/>
      <c r="P2688" s="5"/>
      <c r="Q2688" s="5"/>
      <c r="R2688" s="5"/>
      <c r="S2688" s="5"/>
      <c r="T2688" s="5"/>
      <c r="U2688" s="5"/>
      <c r="V2688" s="5"/>
      <c r="W2688" s="5"/>
      <c r="X2688" s="5"/>
      <c r="Y2688" s="5"/>
      <c r="Z2688" s="5"/>
    </row>
    <row r="2689" ht="12.0" customHeight="1">
      <c r="A2689" s="288" t="s">
        <v>1657</v>
      </c>
      <c r="B2689" s="202"/>
      <c r="C2689" s="289"/>
      <c r="D2689" s="289"/>
      <c r="E2689" s="289"/>
      <c r="F2689" s="289"/>
      <c r="G2689" s="289"/>
      <c r="H2689" s="289"/>
      <c r="I2689" s="289"/>
      <c r="J2689" s="289"/>
      <c r="K2689" s="289"/>
      <c r="L2689" s="289"/>
      <c r="M2689" s="289"/>
      <c r="N2689" s="289"/>
      <c r="O2689" s="202"/>
      <c r="P2689" s="5"/>
      <c r="Q2689" s="5"/>
      <c r="R2689" s="5"/>
      <c r="S2689" s="5"/>
      <c r="T2689" s="5"/>
      <c r="U2689" s="5"/>
      <c r="V2689" s="5"/>
      <c r="W2689" s="5"/>
      <c r="X2689" s="5"/>
      <c r="Y2689" s="5"/>
      <c r="Z2689" s="5"/>
    </row>
    <row r="2690" ht="12.0" customHeight="1">
      <c r="A2690" s="160" t="s">
        <v>188</v>
      </c>
      <c r="B2690" s="160" t="s">
        <v>631</v>
      </c>
      <c r="C2690" s="290" t="s">
        <v>3</v>
      </c>
      <c r="D2690" s="290" t="s">
        <v>4</v>
      </c>
      <c r="E2690" s="290" t="s">
        <v>507</v>
      </c>
      <c r="F2690" s="290" t="s">
        <v>508</v>
      </c>
      <c r="G2690" s="290" t="s">
        <v>509</v>
      </c>
      <c r="H2690" s="290" t="s">
        <v>510</v>
      </c>
      <c r="I2690" s="290" t="s">
        <v>511</v>
      </c>
      <c r="J2690" s="290" t="s">
        <v>512</v>
      </c>
      <c r="K2690" s="290" t="s">
        <v>513</v>
      </c>
      <c r="L2690" s="290" t="s">
        <v>514</v>
      </c>
      <c r="M2690" s="290" t="s">
        <v>515</v>
      </c>
      <c r="N2690" s="290" t="s">
        <v>516</v>
      </c>
      <c r="O2690" s="160" t="s">
        <v>15</v>
      </c>
      <c r="P2690" s="160" t="s">
        <v>1598</v>
      </c>
      <c r="Q2690" s="19" t="s">
        <v>1634</v>
      </c>
      <c r="R2690" s="5"/>
      <c r="S2690" s="5"/>
      <c r="T2690" s="5"/>
      <c r="U2690" s="5"/>
      <c r="V2690" s="5"/>
      <c r="W2690" s="5"/>
      <c r="X2690" s="5"/>
      <c r="Y2690" s="5"/>
      <c r="Z2690" s="5"/>
    </row>
    <row r="2691" ht="12.0" customHeight="1">
      <c r="A2691" s="28" t="s">
        <v>1635</v>
      </c>
      <c r="B2691" s="5" t="s">
        <v>633</v>
      </c>
      <c r="C2691" s="291">
        <f>SUM('2033'!B10:B13)</f>
        <v>114.92</v>
      </c>
      <c r="D2691" s="291">
        <f>SUM('2033'!C10:C13)</f>
        <v>101.4</v>
      </c>
      <c r="E2691" s="291">
        <f>SUM('2033'!D10:D13)</f>
        <v>121.68</v>
      </c>
      <c r="F2691" s="291">
        <f>SUM('2033'!E10:E13)</f>
        <v>121.68</v>
      </c>
      <c r="G2691" s="291">
        <f>SUM('2033'!F10:F13)</f>
        <v>121.68</v>
      </c>
      <c r="H2691" s="291">
        <f>SUM('2033'!G10:G13)</f>
        <v>108.16</v>
      </c>
      <c r="I2691" s="291">
        <f>SUM('2033'!H10:H13)</f>
        <v>121.68</v>
      </c>
      <c r="J2691" s="291">
        <f>SUM('2033'!I10:I13)</f>
        <v>121.68</v>
      </c>
      <c r="K2691" s="291">
        <f>SUM('2033'!J10:J13)</f>
        <v>114.92</v>
      </c>
      <c r="L2691" s="291">
        <f>SUM('2033'!K10:K13)</f>
        <v>101.4</v>
      </c>
      <c r="M2691" s="291">
        <f>SUM('2033'!L10:L13)</f>
        <v>94.64</v>
      </c>
      <c r="N2691" s="291">
        <f>SUM('2033'!M10:M13)</f>
        <v>108.16</v>
      </c>
      <c r="O2691" s="292">
        <f t="shared" ref="O2691:O2696" si="860">SUM(C2691:N2691)</f>
        <v>1352</v>
      </c>
      <c r="P2691" s="5"/>
      <c r="Q2691" s="5"/>
      <c r="R2691" s="5"/>
      <c r="S2691" s="5"/>
      <c r="T2691" s="5"/>
      <c r="U2691" s="5"/>
      <c r="V2691" s="5"/>
      <c r="W2691" s="5"/>
      <c r="X2691" s="5"/>
      <c r="Y2691" s="5"/>
      <c r="Z2691" s="5"/>
    </row>
    <row r="2692" ht="12.0" customHeight="1">
      <c r="A2692" s="28" t="s">
        <v>1636</v>
      </c>
      <c r="B2692" s="5" t="s">
        <v>633</v>
      </c>
      <c r="C2692" s="291">
        <f>SUM('2033'!B21:B24)</f>
        <v>83.98</v>
      </c>
      <c r="D2692" s="291">
        <f>SUM('2033'!C21:C24)</f>
        <v>74.1</v>
      </c>
      <c r="E2692" s="291">
        <f>SUM('2033'!D21:D24)</f>
        <v>88.92</v>
      </c>
      <c r="F2692" s="291">
        <f>SUM('2033'!E21:E24)</f>
        <v>88.92</v>
      </c>
      <c r="G2692" s="291">
        <f>SUM('2033'!F21:F24)</f>
        <v>88.92</v>
      </c>
      <c r="H2692" s="291">
        <f>SUM('2033'!G21:G24)</f>
        <v>79.04</v>
      </c>
      <c r="I2692" s="291">
        <f>SUM('2033'!H21:H24)</f>
        <v>88.92</v>
      </c>
      <c r="J2692" s="291">
        <f>SUM('2033'!I21:I24)</f>
        <v>88.92</v>
      </c>
      <c r="K2692" s="291">
        <f>SUM('2033'!J21:J24)</f>
        <v>83.98</v>
      </c>
      <c r="L2692" s="291">
        <f>SUM('2033'!K21:K24)</f>
        <v>74.1</v>
      </c>
      <c r="M2692" s="291">
        <f>SUM('2033'!L21:L24)</f>
        <v>69.16</v>
      </c>
      <c r="N2692" s="291">
        <f>SUM('2033'!M21:M24)</f>
        <v>79.04</v>
      </c>
      <c r="O2692" s="292">
        <f t="shared" si="860"/>
        <v>988</v>
      </c>
      <c r="P2692" s="5"/>
      <c r="Q2692" s="5"/>
      <c r="R2692" s="5"/>
      <c r="S2692" s="5"/>
      <c r="T2692" s="5"/>
      <c r="U2692" s="5"/>
      <c r="V2692" s="5"/>
      <c r="W2692" s="5"/>
      <c r="X2692" s="5"/>
      <c r="Y2692" s="5"/>
      <c r="Z2692" s="5"/>
    </row>
    <row r="2693" ht="12.0" customHeight="1">
      <c r="A2693" s="28" t="s">
        <v>1637</v>
      </c>
      <c r="B2693" s="5" t="s">
        <v>633</v>
      </c>
      <c r="C2693" s="291">
        <f t="shared" ref="C2693:N2693" si="861">C2691+C2692</f>
        <v>198.9</v>
      </c>
      <c r="D2693" s="291">
        <f t="shared" si="861"/>
        <v>175.5</v>
      </c>
      <c r="E2693" s="291">
        <f t="shared" si="861"/>
        <v>210.6</v>
      </c>
      <c r="F2693" s="291">
        <f t="shared" si="861"/>
        <v>210.6</v>
      </c>
      <c r="G2693" s="291">
        <f t="shared" si="861"/>
        <v>210.6</v>
      </c>
      <c r="H2693" s="291">
        <f t="shared" si="861"/>
        <v>187.2</v>
      </c>
      <c r="I2693" s="291">
        <f t="shared" si="861"/>
        <v>210.6</v>
      </c>
      <c r="J2693" s="291">
        <f t="shared" si="861"/>
        <v>210.6</v>
      </c>
      <c r="K2693" s="291">
        <f t="shared" si="861"/>
        <v>198.9</v>
      </c>
      <c r="L2693" s="291">
        <f t="shared" si="861"/>
        <v>175.5</v>
      </c>
      <c r="M2693" s="291">
        <f t="shared" si="861"/>
        <v>163.8</v>
      </c>
      <c r="N2693" s="291">
        <f t="shared" si="861"/>
        <v>187.2</v>
      </c>
      <c r="O2693" s="292">
        <f t="shared" si="860"/>
        <v>2340</v>
      </c>
      <c r="P2693" s="5"/>
      <c r="Q2693" s="5"/>
      <c r="R2693" s="5"/>
      <c r="S2693" s="5"/>
      <c r="T2693" s="5"/>
      <c r="U2693" s="5"/>
      <c r="V2693" s="5"/>
      <c r="W2693" s="5"/>
      <c r="X2693" s="5"/>
      <c r="Y2693" s="5"/>
      <c r="Z2693" s="5"/>
    </row>
    <row r="2694" ht="12.0" customHeight="1">
      <c r="A2694" s="28" t="s">
        <v>1638</v>
      </c>
      <c r="B2694" s="5" t="s">
        <v>633</v>
      </c>
      <c r="C2694" s="291">
        <f>$O2691*Parametros!$B$70</f>
        <v>114.92</v>
      </c>
      <c r="D2694" s="291">
        <f>$O2691*Parametros!$C$70</f>
        <v>101.4</v>
      </c>
      <c r="E2694" s="291">
        <f>$O2691*Parametros!$D$70</f>
        <v>121.68</v>
      </c>
      <c r="F2694" s="291">
        <f>$O2691*Parametros!$E$70</f>
        <v>121.68</v>
      </c>
      <c r="G2694" s="291">
        <f>$O2691*Parametros!$F$70</f>
        <v>121.68</v>
      </c>
      <c r="H2694" s="291">
        <f>$O2691*Parametros!$G$70</f>
        <v>108.16</v>
      </c>
      <c r="I2694" s="291">
        <f>$O2691*Parametros!$H$70</f>
        <v>121.68</v>
      </c>
      <c r="J2694" s="291">
        <f>$O2691*Parametros!$I$70</f>
        <v>121.68</v>
      </c>
      <c r="K2694" s="291">
        <f>$O2691*Parametros!$J$70</f>
        <v>114.92</v>
      </c>
      <c r="L2694" s="291">
        <f>$O2691*Parametros!$K$70</f>
        <v>101.4</v>
      </c>
      <c r="M2694" s="291">
        <f>$O2691*Parametros!$L$70</f>
        <v>94.64</v>
      </c>
      <c r="N2694" s="291">
        <f>$O2691*Parametros!$M$70</f>
        <v>108.16</v>
      </c>
      <c r="O2694" s="292">
        <f t="shared" si="860"/>
        <v>1352</v>
      </c>
      <c r="P2694" s="5"/>
      <c r="Q2694" s="5"/>
      <c r="R2694" s="5"/>
      <c r="S2694" s="5"/>
      <c r="T2694" s="5"/>
      <c r="U2694" s="5"/>
      <c r="V2694" s="5"/>
      <c r="W2694" s="5"/>
      <c r="X2694" s="5"/>
      <c r="Y2694" s="5"/>
      <c r="Z2694" s="5"/>
    </row>
    <row r="2695" ht="12.0" customHeight="1">
      <c r="A2695" s="28" t="s">
        <v>1639</v>
      </c>
      <c r="B2695" s="5" t="s">
        <v>633</v>
      </c>
      <c r="C2695" s="291">
        <f>$O2692*Parametros!$B$70</f>
        <v>83.98</v>
      </c>
      <c r="D2695" s="291">
        <f>$O2692*Parametros!$C$70</f>
        <v>74.1</v>
      </c>
      <c r="E2695" s="291">
        <f>$O2692*Parametros!$D$70</f>
        <v>88.92</v>
      </c>
      <c r="F2695" s="291">
        <f>$O2692*Parametros!$E$70</f>
        <v>88.92</v>
      </c>
      <c r="G2695" s="291">
        <f>$O2692*Parametros!$F$70</f>
        <v>88.92</v>
      </c>
      <c r="H2695" s="291">
        <f>$O2692*Parametros!$G$70</f>
        <v>79.04</v>
      </c>
      <c r="I2695" s="291">
        <f>$O2692*Parametros!$H$70</f>
        <v>88.92</v>
      </c>
      <c r="J2695" s="291">
        <f>$O2692*Parametros!$I$70</f>
        <v>88.92</v>
      </c>
      <c r="K2695" s="291">
        <f>$O2692*Parametros!$J$70</f>
        <v>83.98</v>
      </c>
      <c r="L2695" s="291">
        <f>$O2692*Parametros!$K$70</f>
        <v>74.1</v>
      </c>
      <c r="M2695" s="291">
        <f>$O2692*Parametros!$L$70</f>
        <v>69.16</v>
      </c>
      <c r="N2695" s="291">
        <f>$O2692*Parametros!$M$70</f>
        <v>79.04</v>
      </c>
      <c r="O2695" s="292">
        <f t="shared" si="860"/>
        <v>988</v>
      </c>
      <c r="P2695" s="5"/>
      <c r="Q2695" s="5"/>
      <c r="R2695" s="5"/>
      <c r="S2695" s="5"/>
      <c r="T2695" s="5"/>
      <c r="U2695" s="5"/>
      <c r="V2695" s="5"/>
      <c r="W2695" s="5"/>
      <c r="X2695" s="5"/>
      <c r="Y2695" s="5"/>
      <c r="Z2695" s="5"/>
    </row>
    <row r="2696" ht="12.0" customHeight="1">
      <c r="A2696" s="10" t="s">
        <v>1640</v>
      </c>
      <c r="B2696" s="5" t="s">
        <v>633</v>
      </c>
      <c r="C2696" s="292">
        <f t="shared" ref="C2696:N2696" si="862">C2694+C2695</f>
        <v>198.9</v>
      </c>
      <c r="D2696" s="292">
        <f t="shared" si="862"/>
        <v>175.5</v>
      </c>
      <c r="E2696" s="292">
        <f t="shared" si="862"/>
        <v>210.6</v>
      </c>
      <c r="F2696" s="292">
        <f t="shared" si="862"/>
        <v>210.6</v>
      </c>
      <c r="G2696" s="292">
        <f t="shared" si="862"/>
        <v>210.6</v>
      </c>
      <c r="H2696" s="292">
        <f t="shared" si="862"/>
        <v>187.2</v>
      </c>
      <c r="I2696" s="292">
        <f t="shared" si="862"/>
        <v>210.6</v>
      </c>
      <c r="J2696" s="292">
        <f t="shared" si="862"/>
        <v>210.6</v>
      </c>
      <c r="K2696" s="292">
        <f t="shared" si="862"/>
        <v>198.9</v>
      </c>
      <c r="L2696" s="292">
        <f t="shared" si="862"/>
        <v>175.5</v>
      </c>
      <c r="M2696" s="292">
        <f t="shared" si="862"/>
        <v>163.8</v>
      </c>
      <c r="N2696" s="292">
        <f t="shared" si="862"/>
        <v>187.2</v>
      </c>
      <c r="O2696" s="292">
        <f t="shared" si="860"/>
        <v>2340</v>
      </c>
      <c r="P2696" s="5"/>
      <c r="Q2696" s="5"/>
      <c r="R2696" s="5"/>
      <c r="S2696" s="5"/>
      <c r="T2696" s="5"/>
      <c r="U2696" s="5"/>
      <c r="V2696" s="5"/>
      <c r="W2696" s="5"/>
      <c r="X2696" s="5"/>
      <c r="Y2696" s="5"/>
      <c r="Z2696" s="5"/>
    </row>
    <row r="2697" ht="12.0" customHeight="1">
      <c r="A2697" s="28" t="s">
        <v>967</v>
      </c>
      <c r="B2697" s="5" t="s">
        <v>633</v>
      </c>
      <c r="C2697" s="291">
        <f>C2696-C2693</f>
        <v>0</v>
      </c>
      <c r="D2697" s="291">
        <f t="shared" ref="D2697:N2697" si="863">C2697+D2696-D2693</f>
        <v>0</v>
      </c>
      <c r="E2697" s="291">
        <f t="shared" si="863"/>
        <v>0</v>
      </c>
      <c r="F2697" s="291">
        <f t="shared" si="863"/>
        <v>0</v>
      </c>
      <c r="G2697" s="291">
        <f t="shared" si="863"/>
        <v>0</v>
      </c>
      <c r="H2697" s="291">
        <f t="shared" si="863"/>
        <v>0</v>
      </c>
      <c r="I2697" s="291">
        <f t="shared" si="863"/>
        <v>0</v>
      </c>
      <c r="J2697" s="291">
        <f t="shared" si="863"/>
        <v>0</v>
      </c>
      <c r="K2697" s="291">
        <f t="shared" si="863"/>
        <v>0</v>
      </c>
      <c r="L2697" s="291">
        <f t="shared" si="863"/>
        <v>0</v>
      </c>
      <c r="M2697" s="291">
        <f t="shared" si="863"/>
        <v>0</v>
      </c>
      <c r="N2697" s="291">
        <f t="shared" si="863"/>
        <v>0</v>
      </c>
      <c r="O2697" s="292"/>
      <c r="P2697" s="5"/>
      <c r="Q2697" s="5"/>
      <c r="R2697" s="5"/>
      <c r="S2697" s="5"/>
      <c r="T2697" s="5"/>
      <c r="U2697" s="5"/>
      <c r="V2697" s="5"/>
      <c r="W2697" s="5"/>
      <c r="X2697" s="5"/>
      <c r="Y2697" s="5"/>
      <c r="Z2697" s="5"/>
    </row>
    <row r="2698" ht="12.0" customHeight="1">
      <c r="A2698" s="10" t="s">
        <v>1641</v>
      </c>
      <c r="B2698" s="5" t="s">
        <v>633</v>
      </c>
      <c r="C2698" s="292">
        <f t="shared" ref="C2698:N2698" si="864">C2697-MIN(0,MIN($C2697:$N2697))</f>
        <v>0</v>
      </c>
      <c r="D2698" s="292">
        <f t="shared" si="864"/>
        <v>0</v>
      </c>
      <c r="E2698" s="292">
        <f t="shared" si="864"/>
        <v>0</v>
      </c>
      <c r="F2698" s="292">
        <f t="shared" si="864"/>
        <v>0</v>
      </c>
      <c r="G2698" s="292">
        <f t="shared" si="864"/>
        <v>0</v>
      </c>
      <c r="H2698" s="292">
        <f t="shared" si="864"/>
        <v>0</v>
      </c>
      <c r="I2698" s="292">
        <f t="shared" si="864"/>
        <v>0</v>
      </c>
      <c r="J2698" s="292">
        <f t="shared" si="864"/>
        <v>0</v>
      </c>
      <c r="K2698" s="292">
        <f t="shared" si="864"/>
        <v>0</v>
      </c>
      <c r="L2698" s="292">
        <f t="shared" si="864"/>
        <v>0</v>
      </c>
      <c r="M2698" s="292">
        <f t="shared" si="864"/>
        <v>0</v>
      </c>
      <c r="N2698" s="292">
        <f t="shared" si="864"/>
        <v>0</v>
      </c>
      <c r="O2698" s="292">
        <f>MAX(C2698:N2698)</f>
        <v>0</v>
      </c>
      <c r="P2698" s="292">
        <f>AVERAGE(C2698:N2698)</f>
        <v>0</v>
      </c>
      <c r="Q2698" s="5"/>
      <c r="R2698" s="5"/>
      <c r="S2698" s="5"/>
      <c r="T2698" s="5"/>
      <c r="U2698" s="5"/>
      <c r="V2698" s="5"/>
      <c r="W2698" s="5"/>
      <c r="X2698" s="5"/>
      <c r="Y2698" s="5"/>
      <c r="Z2698" s="5"/>
    </row>
    <row r="2699" ht="12.0" customHeight="1">
      <c r="A2699" s="10" t="s">
        <v>1642</v>
      </c>
      <c r="B2699" s="5"/>
      <c r="C2699" s="206"/>
      <c r="D2699" s="206"/>
      <c r="E2699" s="206"/>
      <c r="F2699" s="206"/>
      <c r="G2699" s="206"/>
      <c r="H2699" s="206"/>
      <c r="I2699" s="206"/>
      <c r="J2699" s="206"/>
      <c r="K2699" s="206"/>
      <c r="L2699" s="206"/>
      <c r="M2699" s="206"/>
      <c r="N2699" s="206"/>
      <c r="O2699" s="5"/>
      <c r="P2699" s="5"/>
      <c r="Q2699" s="5"/>
      <c r="R2699" s="5"/>
      <c r="S2699" s="5"/>
      <c r="T2699" s="5"/>
      <c r="U2699" s="5"/>
      <c r="V2699" s="5"/>
      <c r="W2699" s="5"/>
      <c r="X2699" s="5"/>
      <c r="Y2699" s="5"/>
      <c r="Z2699" s="5"/>
    </row>
    <row r="2700" ht="12.0" customHeight="1">
      <c r="A2700" s="92" t="s">
        <v>630</v>
      </c>
      <c r="B2700" s="5" t="s">
        <v>631</v>
      </c>
      <c r="C2700" s="206" t="s">
        <v>3</v>
      </c>
      <c r="D2700" s="206" t="s">
        <v>4</v>
      </c>
      <c r="E2700" s="206" t="s">
        <v>507</v>
      </c>
      <c r="F2700" s="206" t="s">
        <v>508</v>
      </c>
      <c r="G2700" s="206" t="s">
        <v>509</v>
      </c>
      <c r="H2700" s="206" t="s">
        <v>510</v>
      </c>
      <c r="I2700" s="206" t="s">
        <v>511</v>
      </c>
      <c r="J2700" s="206" t="s">
        <v>512</v>
      </c>
      <c r="K2700" s="206" t="s">
        <v>513</v>
      </c>
      <c r="L2700" s="206" t="s">
        <v>514</v>
      </c>
      <c r="M2700" s="206" t="s">
        <v>515</v>
      </c>
      <c r="N2700" s="206" t="s">
        <v>516</v>
      </c>
      <c r="O2700" s="5"/>
      <c r="P2700" s="5"/>
      <c r="Q2700" s="5"/>
      <c r="R2700" s="5"/>
      <c r="S2700" s="5"/>
      <c r="T2700" s="5"/>
      <c r="U2700" s="5"/>
      <c r="V2700" s="5"/>
      <c r="W2700" s="5"/>
      <c r="X2700" s="5"/>
      <c r="Y2700" s="5"/>
      <c r="Z2700" s="5"/>
    </row>
    <row r="2701" ht="12.0" customHeight="1">
      <c r="A2701" s="92" t="s">
        <v>1643</v>
      </c>
      <c r="B2701" s="5" t="s">
        <v>633</v>
      </c>
      <c r="C2701" s="203">
        <f t="shared" ref="C2701:N2701" si="865">C2696</f>
        <v>198.9</v>
      </c>
      <c r="D2701" s="203">
        <f t="shared" si="865"/>
        <v>175.5</v>
      </c>
      <c r="E2701" s="203">
        <f t="shared" si="865"/>
        <v>210.6</v>
      </c>
      <c r="F2701" s="203">
        <f t="shared" si="865"/>
        <v>210.6</v>
      </c>
      <c r="G2701" s="203">
        <f t="shared" si="865"/>
        <v>210.6</v>
      </c>
      <c r="H2701" s="203">
        <f t="shared" si="865"/>
        <v>187.2</v>
      </c>
      <c r="I2701" s="203">
        <f t="shared" si="865"/>
        <v>210.6</v>
      </c>
      <c r="J2701" s="203">
        <f t="shared" si="865"/>
        <v>210.6</v>
      </c>
      <c r="K2701" s="203">
        <f t="shared" si="865"/>
        <v>198.9</v>
      </c>
      <c r="L2701" s="203">
        <f t="shared" si="865"/>
        <v>175.5</v>
      </c>
      <c r="M2701" s="203">
        <f t="shared" si="865"/>
        <v>163.8</v>
      </c>
      <c r="N2701" s="203">
        <f t="shared" si="865"/>
        <v>187.2</v>
      </c>
      <c r="O2701" s="5"/>
      <c r="P2701" s="5"/>
      <c r="Q2701" s="5"/>
      <c r="R2701" s="5"/>
      <c r="S2701" s="5"/>
      <c r="T2701" s="5"/>
      <c r="U2701" s="5"/>
      <c r="V2701" s="5"/>
      <c r="W2701" s="5"/>
      <c r="X2701" s="5"/>
      <c r="Y2701" s="5"/>
      <c r="Z2701" s="5"/>
    </row>
    <row r="2702" ht="12.0" customHeight="1">
      <c r="A2702" s="92"/>
      <c r="B2702" s="5" t="s">
        <v>634</v>
      </c>
      <c r="C2702" s="293">
        <f>C2701/Parametros!$B$37</f>
        <v>9.945</v>
      </c>
      <c r="D2702" s="293">
        <f>D2701/Parametros!$B$37</f>
        <v>8.775</v>
      </c>
      <c r="E2702" s="293">
        <f>E2701/Parametros!$B$37</f>
        <v>10.53</v>
      </c>
      <c r="F2702" s="293">
        <f>F2701/Parametros!$B$37</f>
        <v>10.53</v>
      </c>
      <c r="G2702" s="293">
        <f>G2701/Parametros!$B$37</f>
        <v>10.53</v>
      </c>
      <c r="H2702" s="293">
        <f>H2701/Parametros!$B$37</f>
        <v>9.36</v>
      </c>
      <c r="I2702" s="293">
        <f>I2701/Parametros!$B$37</f>
        <v>10.53</v>
      </c>
      <c r="J2702" s="293">
        <f>J2701/Parametros!$B$37</f>
        <v>10.53</v>
      </c>
      <c r="K2702" s="293">
        <f>K2701/Parametros!$B$37</f>
        <v>9.945</v>
      </c>
      <c r="L2702" s="293">
        <f>L2701/Parametros!$B$37</f>
        <v>8.775</v>
      </c>
      <c r="M2702" s="293">
        <f>M2701/Parametros!$B$37</f>
        <v>8.19</v>
      </c>
      <c r="N2702" s="293">
        <f>N2701/Parametros!$B$37</f>
        <v>9.36</v>
      </c>
      <c r="O2702" s="5"/>
      <c r="P2702" s="5"/>
      <c r="Q2702" s="5"/>
      <c r="R2702" s="5"/>
      <c r="S2702" s="5"/>
      <c r="T2702" s="5"/>
      <c r="U2702" s="5"/>
      <c r="V2702" s="5"/>
      <c r="W2702" s="5"/>
      <c r="X2702" s="5"/>
      <c r="Y2702" s="5"/>
      <c r="Z2702" s="5"/>
    </row>
    <row r="2703" ht="12.0" customHeight="1">
      <c r="A2703" s="92"/>
      <c r="B2703" s="5" t="s">
        <v>635</v>
      </c>
      <c r="C2703" s="293">
        <f>C2702/Parametros!$J$37</f>
        <v>1.326</v>
      </c>
      <c r="D2703" s="293">
        <f>D2702/Parametros!$J$37</f>
        <v>1.17</v>
      </c>
      <c r="E2703" s="293">
        <f>E2702/Parametros!$J$37</f>
        <v>1.404</v>
      </c>
      <c r="F2703" s="293">
        <f>F2702/Parametros!$J$37</f>
        <v>1.404</v>
      </c>
      <c r="G2703" s="293">
        <f>G2702/Parametros!$J$37</f>
        <v>1.404</v>
      </c>
      <c r="H2703" s="293">
        <f>H2702/Parametros!$J$37</f>
        <v>1.248</v>
      </c>
      <c r="I2703" s="293">
        <f>I2702/Parametros!$J$37</f>
        <v>1.404</v>
      </c>
      <c r="J2703" s="293">
        <f>J2702/Parametros!$J$37</f>
        <v>1.404</v>
      </c>
      <c r="K2703" s="293">
        <f>K2702/Parametros!$J$37</f>
        <v>1.326</v>
      </c>
      <c r="L2703" s="293">
        <f>L2702/Parametros!$J$37</f>
        <v>1.17</v>
      </c>
      <c r="M2703" s="293">
        <f>M2702/Parametros!$J$37</f>
        <v>1.092</v>
      </c>
      <c r="N2703" s="293">
        <f>N2702/Parametros!$J$37</f>
        <v>1.248</v>
      </c>
      <c r="O2703" s="5"/>
      <c r="P2703" s="5"/>
      <c r="Q2703" s="5"/>
      <c r="R2703" s="5"/>
      <c r="S2703" s="5"/>
      <c r="T2703" s="5"/>
      <c r="U2703" s="5"/>
      <c r="V2703" s="5"/>
      <c r="W2703" s="5"/>
      <c r="X2703" s="5"/>
      <c r="Y2703" s="5"/>
      <c r="Z2703" s="5"/>
    </row>
    <row r="2704" ht="12.0" customHeight="1">
      <c r="A2704" s="92" t="s">
        <v>636</v>
      </c>
      <c r="B2704" s="5"/>
      <c r="C2704" s="293">
        <f t="shared" ref="C2704:N2704" si="866">C2703</f>
        <v>1.326</v>
      </c>
      <c r="D2704" s="293">
        <f t="shared" si="866"/>
        <v>1.17</v>
      </c>
      <c r="E2704" s="293">
        <f t="shared" si="866"/>
        <v>1.404</v>
      </c>
      <c r="F2704" s="293">
        <f t="shared" si="866"/>
        <v>1.404</v>
      </c>
      <c r="G2704" s="293">
        <f t="shared" si="866"/>
        <v>1.404</v>
      </c>
      <c r="H2704" s="293">
        <f t="shared" si="866"/>
        <v>1.248</v>
      </c>
      <c r="I2704" s="293">
        <f t="shared" si="866"/>
        <v>1.404</v>
      </c>
      <c r="J2704" s="293">
        <f t="shared" si="866"/>
        <v>1.404</v>
      </c>
      <c r="K2704" s="293">
        <f t="shared" si="866"/>
        <v>1.326</v>
      </c>
      <c r="L2704" s="293">
        <f t="shared" si="866"/>
        <v>1.17</v>
      </c>
      <c r="M2704" s="293">
        <f t="shared" si="866"/>
        <v>1.092</v>
      </c>
      <c r="N2704" s="293">
        <f t="shared" si="866"/>
        <v>1.248</v>
      </c>
      <c r="O2704" s="5"/>
      <c r="P2704" s="5"/>
      <c r="Q2704" s="5"/>
      <c r="R2704" s="5"/>
      <c r="S2704" s="5"/>
      <c r="T2704" s="5"/>
      <c r="U2704" s="5"/>
      <c r="V2704" s="5"/>
      <c r="W2704" s="5"/>
      <c r="X2704" s="5"/>
      <c r="Y2704" s="5"/>
      <c r="Z2704" s="5"/>
    </row>
    <row r="2705" ht="12.0" customHeight="1">
      <c r="A2705" s="92" t="s">
        <v>637</v>
      </c>
      <c r="B2705" s="5"/>
      <c r="C2705" s="293">
        <f>Parametros!$M$112</f>
        <v>15.69230769</v>
      </c>
      <c r="D2705" s="293">
        <f>Parametros!$M$112</f>
        <v>15.69230769</v>
      </c>
      <c r="E2705" s="293">
        <f>Parametros!$M$112</f>
        <v>15.69230769</v>
      </c>
      <c r="F2705" s="293">
        <f>Parametros!$M$112</f>
        <v>15.69230769</v>
      </c>
      <c r="G2705" s="293">
        <f>Parametros!$M$112</f>
        <v>15.69230769</v>
      </c>
      <c r="H2705" s="293">
        <f>Parametros!$M$112</f>
        <v>15.69230769</v>
      </c>
      <c r="I2705" s="293">
        <f>Parametros!$M$112</f>
        <v>15.69230769</v>
      </c>
      <c r="J2705" s="293">
        <f>Parametros!$M$112</f>
        <v>15.69230769</v>
      </c>
      <c r="K2705" s="293">
        <f>Parametros!$M$112</f>
        <v>15.69230769</v>
      </c>
      <c r="L2705" s="293">
        <f>Parametros!$M$112</f>
        <v>15.69230769</v>
      </c>
      <c r="M2705" s="293">
        <f>Parametros!$M$112</f>
        <v>15.69230769</v>
      </c>
      <c r="N2705" s="293">
        <f>Parametros!$M$112</f>
        <v>15.69230769</v>
      </c>
      <c r="O2705" s="5"/>
      <c r="P2705" s="5"/>
      <c r="Q2705" s="5"/>
      <c r="R2705" s="5"/>
      <c r="S2705" s="5"/>
      <c r="T2705" s="5"/>
      <c r="U2705" s="5"/>
      <c r="V2705" s="5"/>
      <c r="W2705" s="5"/>
      <c r="X2705" s="5"/>
      <c r="Y2705" s="5"/>
      <c r="Z2705" s="5"/>
    </row>
    <row r="2706" ht="12.0" customHeight="1">
      <c r="A2706" s="92" t="s">
        <v>640</v>
      </c>
      <c r="B2706" s="5"/>
      <c r="C2706" s="203">
        <f>'Resumen Capacidad'!$I$220</f>
        <v>1</v>
      </c>
      <c r="D2706" s="203">
        <f>'Resumen Capacidad'!$I$220</f>
        <v>1</v>
      </c>
      <c r="E2706" s="203">
        <f>'Resumen Capacidad'!$I$220</f>
        <v>1</v>
      </c>
      <c r="F2706" s="203">
        <f>'Resumen Capacidad'!$I$220</f>
        <v>1</v>
      </c>
      <c r="G2706" s="203">
        <f>'Resumen Capacidad'!$I$220</f>
        <v>1</v>
      </c>
      <c r="H2706" s="203">
        <f>'Resumen Capacidad'!$I$220</f>
        <v>1</v>
      </c>
      <c r="I2706" s="203">
        <f>'Resumen Capacidad'!$I$220</f>
        <v>1</v>
      </c>
      <c r="J2706" s="203">
        <f>'Resumen Capacidad'!$I$220</f>
        <v>1</v>
      </c>
      <c r="K2706" s="203">
        <f>'Resumen Capacidad'!$I$220</f>
        <v>1</v>
      </c>
      <c r="L2706" s="203">
        <f>'Resumen Capacidad'!$I$220</f>
        <v>1</v>
      </c>
      <c r="M2706" s="203">
        <f>'Resumen Capacidad'!$I$220</f>
        <v>1</v>
      </c>
      <c r="N2706" s="203">
        <f>'Resumen Capacidad'!$I$220</f>
        <v>1</v>
      </c>
      <c r="O2706" s="5"/>
      <c r="P2706" s="5"/>
      <c r="Q2706" s="5"/>
      <c r="R2706" s="5"/>
      <c r="S2706" s="5"/>
      <c r="T2706" s="5"/>
      <c r="U2706" s="5"/>
      <c r="V2706" s="5"/>
      <c r="W2706" s="5"/>
      <c r="X2706" s="5"/>
      <c r="Y2706" s="5"/>
      <c r="Z2706" s="5"/>
    </row>
    <row r="2707" ht="12.0" customHeight="1">
      <c r="A2707" s="92" t="s">
        <v>642</v>
      </c>
      <c r="B2707" s="5"/>
      <c r="C2707" s="203">
        <f t="shared" ref="C2707:N2707" si="867">C2705*C2706</f>
        <v>15.69230769</v>
      </c>
      <c r="D2707" s="203">
        <f t="shared" si="867"/>
        <v>15.69230769</v>
      </c>
      <c r="E2707" s="203">
        <f t="shared" si="867"/>
        <v>15.69230769</v>
      </c>
      <c r="F2707" s="203">
        <f t="shared" si="867"/>
        <v>15.69230769</v>
      </c>
      <c r="G2707" s="203">
        <f t="shared" si="867"/>
        <v>15.69230769</v>
      </c>
      <c r="H2707" s="203">
        <f t="shared" si="867"/>
        <v>15.69230769</v>
      </c>
      <c r="I2707" s="203">
        <f t="shared" si="867"/>
        <v>15.69230769</v>
      </c>
      <c r="J2707" s="203">
        <f t="shared" si="867"/>
        <v>15.69230769</v>
      </c>
      <c r="K2707" s="203">
        <f t="shared" si="867"/>
        <v>15.69230769</v>
      </c>
      <c r="L2707" s="203">
        <f t="shared" si="867"/>
        <v>15.69230769</v>
      </c>
      <c r="M2707" s="203">
        <f t="shared" si="867"/>
        <v>15.69230769</v>
      </c>
      <c r="N2707" s="203">
        <f t="shared" si="867"/>
        <v>15.69230769</v>
      </c>
      <c r="O2707" s="5"/>
      <c r="P2707" s="5"/>
      <c r="Q2707" s="5"/>
      <c r="R2707" s="5"/>
      <c r="S2707" s="5"/>
      <c r="T2707" s="5"/>
      <c r="U2707" s="5"/>
      <c r="V2707" s="5"/>
      <c r="W2707" s="5"/>
      <c r="X2707" s="5"/>
      <c r="Y2707" s="5"/>
      <c r="Z2707" s="5"/>
    </row>
    <row r="2708" ht="12.0" customHeight="1">
      <c r="A2708" s="92" t="s">
        <v>643</v>
      </c>
      <c r="B2708" s="5"/>
      <c r="C2708" s="294">
        <f t="shared" ref="C2708:N2708" si="868">IF(C2707=0,0,C2704/C2707)</f>
        <v>0.0845</v>
      </c>
      <c r="D2708" s="294">
        <f t="shared" si="868"/>
        <v>0.07455882353</v>
      </c>
      <c r="E2708" s="294">
        <f t="shared" si="868"/>
        <v>0.08947058824</v>
      </c>
      <c r="F2708" s="294">
        <f t="shared" si="868"/>
        <v>0.08947058824</v>
      </c>
      <c r="G2708" s="294">
        <f t="shared" si="868"/>
        <v>0.08947058824</v>
      </c>
      <c r="H2708" s="294">
        <f t="shared" si="868"/>
        <v>0.07952941176</v>
      </c>
      <c r="I2708" s="294">
        <f t="shared" si="868"/>
        <v>0.08947058824</v>
      </c>
      <c r="J2708" s="294">
        <f t="shared" si="868"/>
        <v>0.08947058824</v>
      </c>
      <c r="K2708" s="294">
        <f t="shared" si="868"/>
        <v>0.0845</v>
      </c>
      <c r="L2708" s="294">
        <f t="shared" si="868"/>
        <v>0.07455882353</v>
      </c>
      <c r="M2708" s="294">
        <f t="shared" si="868"/>
        <v>0.06958823529</v>
      </c>
      <c r="N2708" s="294">
        <f t="shared" si="868"/>
        <v>0.07952941176</v>
      </c>
      <c r="O2708" s="5"/>
      <c r="P2708" s="5"/>
      <c r="Q2708" s="5"/>
      <c r="R2708" s="5"/>
      <c r="S2708" s="5"/>
      <c r="T2708" s="5"/>
      <c r="U2708" s="5"/>
      <c r="V2708" s="5"/>
      <c r="W2708" s="5"/>
      <c r="X2708" s="5"/>
      <c r="Y2708" s="5"/>
      <c r="Z2708" s="5"/>
    </row>
    <row r="2709" ht="12.0" customHeight="1">
      <c r="A2709" s="10" t="s">
        <v>1644</v>
      </c>
      <c r="B2709" s="5"/>
      <c r="C2709" s="206"/>
      <c r="D2709" s="206"/>
      <c r="E2709" s="206"/>
      <c r="F2709" s="206"/>
      <c r="G2709" s="206"/>
      <c r="H2709" s="206"/>
      <c r="I2709" s="206"/>
      <c r="J2709" s="206"/>
      <c r="K2709" s="206"/>
      <c r="L2709" s="206"/>
      <c r="M2709" s="206"/>
      <c r="N2709" s="206"/>
      <c r="O2709" s="5"/>
      <c r="P2709" s="5"/>
      <c r="Q2709" s="5"/>
      <c r="R2709" s="5"/>
      <c r="S2709" s="5"/>
      <c r="T2709" s="5"/>
      <c r="U2709" s="5"/>
      <c r="V2709" s="5"/>
      <c r="W2709" s="5"/>
      <c r="X2709" s="5"/>
      <c r="Y2709" s="5"/>
      <c r="Z2709" s="5"/>
    </row>
    <row r="2710" ht="12.0" customHeight="1">
      <c r="A2710" s="92" t="s">
        <v>630</v>
      </c>
      <c r="B2710" s="5" t="s">
        <v>631</v>
      </c>
      <c r="C2710" s="206" t="s">
        <v>3</v>
      </c>
      <c r="D2710" s="206" t="s">
        <v>4</v>
      </c>
      <c r="E2710" s="206" t="s">
        <v>507</v>
      </c>
      <c r="F2710" s="206" t="s">
        <v>508</v>
      </c>
      <c r="G2710" s="206" t="s">
        <v>509</v>
      </c>
      <c r="H2710" s="206" t="s">
        <v>510</v>
      </c>
      <c r="I2710" s="206" t="s">
        <v>511</v>
      </c>
      <c r="J2710" s="206" t="s">
        <v>512</v>
      </c>
      <c r="K2710" s="206" t="s">
        <v>513</v>
      </c>
      <c r="L2710" s="206" t="s">
        <v>514</v>
      </c>
      <c r="M2710" s="206" t="s">
        <v>515</v>
      </c>
      <c r="N2710" s="206" t="s">
        <v>516</v>
      </c>
      <c r="O2710" s="5"/>
      <c r="P2710" s="5"/>
      <c r="Q2710" s="5"/>
      <c r="R2710" s="5"/>
      <c r="S2710" s="5"/>
      <c r="T2710" s="5"/>
      <c r="U2710" s="5"/>
      <c r="V2710" s="5"/>
      <c r="W2710" s="5"/>
      <c r="X2710" s="5"/>
      <c r="Y2710" s="5"/>
      <c r="Z2710" s="5"/>
    </row>
    <row r="2711" ht="12.0" customHeight="1">
      <c r="A2711" s="92" t="s">
        <v>1643</v>
      </c>
      <c r="B2711" s="5" t="s">
        <v>633</v>
      </c>
      <c r="C2711" s="203">
        <f t="shared" ref="C2711:N2711" si="869">C2696</f>
        <v>198.9</v>
      </c>
      <c r="D2711" s="203">
        <f t="shared" si="869"/>
        <v>175.5</v>
      </c>
      <c r="E2711" s="203">
        <f t="shared" si="869"/>
        <v>210.6</v>
      </c>
      <c r="F2711" s="203">
        <f t="shared" si="869"/>
        <v>210.6</v>
      </c>
      <c r="G2711" s="203">
        <f t="shared" si="869"/>
        <v>210.6</v>
      </c>
      <c r="H2711" s="203">
        <f t="shared" si="869"/>
        <v>187.2</v>
      </c>
      <c r="I2711" s="203">
        <f t="shared" si="869"/>
        <v>210.6</v>
      </c>
      <c r="J2711" s="203">
        <f t="shared" si="869"/>
        <v>210.6</v>
      </c>
      <c r="K2711" s="203">
        <f t="shared" si="869"/>
        <v>198.9</v>
      </c>
      <c r="L2711" s="203">
        <f t="shared" si="869"/>
        <v>175.5</v>
      </c>
      <c r="M2711" s="203">
        <f t="shared" si="869"/>
        <v>163.8</v>
      </c>
      <c r="N2711" s="203">
        <f t="shared" si="869"/>
        <v>187.2</v>
      </c>
      <c r="O2711" s="5"/>
      <c r="P2711" s="5"/>
      <c r="Q2711" s="5"/>
      <c r="R2711" s="5"/>
      <c r="S2711" s="5"/>
      <c r="T2711" s="5"/>
      <c r="U2711" s="5"/>
      <c r="V2711" s="5"/>
      <c r="W2711" s="5"/>
      <c r="X2711" s="5"/>
      <c r="Y2711" s="5"/>
      <c r="Z2711" s="5"/>
    </row>
    <row r="2712" ht="12.0" customHeight="1">
      <c r="A2712" s="92"/>
      <c r="B2712" s="5" t="s">
        <v>634</v>
      </c>
      <c r="C2712" s="293">
        <f>C2711/Parametros!$B$37</f>
        <v>9.945</v>
      </c>
      <c r="D2712" s="293">
        <f>D2711/Parametros!$B$37</f>
        <v>8.775</v>
      </c>
      <c r="E2712" s="293">
        <f>E2711/Parametros!$B$37</f>
        <v>10.53</v>
      </c>
      <c r="F2712" s="293">
        <f>F2711/Parametros!$B$37</f>
        <v>10.53</v>
      </c>
      <c r="G2712" s="293">
        <f>G2711/Parametros!$B$37</f>
        <v>10.53</v>
      </c>
      <c r="H2712" s="293">
        <f>H2711/Parametros!$B$37</f>
        <v>9.36</v>
      </c>
      <c r="I2712" s="293">
        <f>I2711/Parametros!$B$37</f>
        <v>10.53</v>
      </c>
      <c r="J2712" s="293">
        <f>J2711/Parametros!$B$37</f>
        <v>10.53</v>
      </c>
      <c r="K2712" s="293">
        <f>K2711/Parametros!$B$37</f>
        <v>9.945</v>
      </c>
      <c r="L2712" s="293">
        <f>L2711/Parametros!$B$37</f>
        <v>8.775</v>
      </c>
      <c r="M2712" s="293">
        <f>M2711/Parametros!$B$37</f>
        <v>8.19</v>
      </c>
      <c r="N2712" s="293">
        <f>N2711/Parametros!$B$37</f>
        <v>9.36</v>
      </c>
      <c r="O2712" s="5"/>
      <c r="P2712" s="5"/>
      <c r="Q2712" s="5"/>
      <c r="R2712" s="5"/>
      <c r="S2712" s="5"/>
      <c r="T2712" s="5"/>
      <c r="U2712" s="5"/>
      <c r="V2712" s="5"/>
      <c r="W2712" s="5"/>
      <c r="X2712" s="5"/>
      <c r="Y2712" s="5"/>
      <c r="Z2712" s="5"/>
    </row>
    <row r="2713" ht="12.0" customHeight="1">
      <c r="A2713" s="92"/>
      <c r="B2713" s="5" t="s">
        <v>635</v>
      </c>
      <c r="C2713" s="293">
        <f>C2712/Parametros!$J$37</f>
        <v>1.326</v>
      </c>
      <c r="D2713" s="293">
        <f>D2712/Parametros!$J$37</f>
        <v>1.17</v>
      </c>
      <c r="E2713" s="293">
        <f>E2712/Parametros!$J$37</f>
        <v>1.404</v>
      </c>
      <c r="F2713" s="293">
        <f>F2712/Parametros!$J$37</f>
        <v>1.404</v>
      </c>
      <c r="G2713" s="293">
        <f>G2712/Parametros!$J$37</f>
        <v>1.404</v>
      </c>
      <c r="H2713" s="293">
        <f>H2712/Parametros!$J$37</f>
        <v>1.248</v>
      </c>
      <c r="I2713" s="293">
        <f>I2712/Parametros!$J$37</f>
        <v>1.404</v>
      </c>
      <c r="J2713" s="293">
        <f>J2712/Parametros!$J$37</f>
        <v>1.404</v>
      </c>
      <c r="K2713" s="293">
        <f>K2712/Parametros!$J$37</f>
        <v>1.326</v>
      </c>
      <c r="L2713" s="293">
        <f>L2712/Parametros!$J$37</f>
        <v>1.17</v>
      </c>
      <c r="M2713" s="293">
        <f>M2712/Parametros!$J$37</f>
        <v>1.092</v>
      </c>
      <c r="N2713" s="293">
        <f>N2712/Parametros!$J$37</f>
        <v>1.248</v>
      </c>
      <c r="O2713" s="5"/>
      <c r="P2713" s="5"/>
      <c r="Q2713" s="5"/>
      <c r="R2713" s="5"/>
      <c r="S2713" s="5"/>
      <c r="T2713" s="5"/>
      <c r="U2713" s="5"/>
      <c r="V2713" s="5"/>
      <c r="W2713" s="5"/>
      <c r="X2713" s="5"/>
      <c r="Y2713" s="5"/>
      <c r="Z2713" s="5"/>
    </row>
    <row r="2714" ht="12.0" customHeight="1">
      <c r="A2714" s="92" t="s">
        <v>636</v>
      </c>
      <c r="B2714" s="5"/>
      <c r="C2714" s="293">
        <f t="shared" ref="C2714:N2714" si="870">C2713</f>
        <v>1.326</v>
      </c>
      <c r="D2714" s="293">
        <f t="shared" si="870"/>
        <v>1.17</v>
      </c>
      <c r="E2714" s="293">
        <f t="shared" si="870"/>
        <v>1.404</v>
      </c>
      <c r="F2714" s="293">
        <f t="shared" si="870"/>
        <v>1.404</v>
      </c>
      <c r="G2714" s="293">
        <f t="shared" si="870"/>
        <v>1.404</v>
      </c>
      <c r="H2714" s="293">
        <f t="shared" si="870"/>
        <v>1.248</v>
      </c>
      <c r="I2714" s="293">
        <f t="shared" si="870"/>
        <v>1.404</v>
      </c>
      <c r="J2714" s="293">
        <f t="shared" si="870"/>
        <v>1.404</v>
      </c>
      <c r="K2714" s="293">
        <f t="shared" si="870"/>
        <v>1.326</v>
      </c>
      <c r="L2714" s="293">
        <f t="shared" si="870"/>
        <v>1.17</v>
      </c>
      <c r="M2714" s="293">
        <f t="shared" si="870"/>
        <v>1.092</v>
      </c>
      <c r="N2714" s="293">
        <f t="shared" si="870"/>
        <v>1.248</v>
      </c>
      <c r="O2714" s="5"/>
      <c r="P2714" s="5"/>
      <c r="Q2714" s="5"/>
      <c r="R2714" s="5"/>
      <c r="S2714" s="5"/>
      <c r="T2714" s="5"/>
      <c r="U2714" s="5"/>
      <c r="V2714" s="5"/>
      <c r="W2714" s="5"/>
      <c r="X2714" s="5"/>
      <c r="Y2714" s="5"/>
      <c r="Z2714" s="5"/>
    </row>
    <row r="2715" ht="12.0" customHeight="1">
      <c r="A2715" s="92" t="s">
        <v>637</v>
      </c>
      <c r="B2715" s="5"/>
      <c r="C2715" s="293">
        <f>Parametros!$M$113</f>
        <v>1.882352941</v>
      </c>
      <c r="D2715" s="293">
        <f>Parametros!$M$113</f>
        <v>1.882352941</v>
      </c>
      <c r="E2715" s="293">
        <f>Parametros!$M$113</f>
        <v>1.882352941</v>
      </c>
      <c r="F2715" s="293">
        <f>Parametros!$M$113</f>
        <v>1.882352941</v>
      </c>
      <c r="G2715" s="293">
        <f>Parametros!$M$113</f>
        <v>1.882352941</v>
      </c>
      <c r="H2715" s="293">
        <f>Parametros!$M$113</f>
        <v>1.882352941</v>
      </c>
      <c r="I2715" s="293">
        <f>Parametros!$M$113</f>
        <v>1.882352941</v>
      </c>
      <c r="J2715" s="293">
        <f>Parametros!$M$113</f>
        <v>1.882352941</v>
      </c>
      <c r="K2715" s="293">
        <f>Parametros!$M$113</f>
        <v>1.882352941</v>
      </c>
      <c r="L2715" s="293">
        <f>Parametros!$M$113</f>
        <v>1.882352941</v>
      </c>
      <c r="M2715" s="293">
        <f>Parametros!$M$113</f>
        <v>1.882352941</v>
      </c>
      <c r="N2715" s="293">
        <f>Parametros!$M$113</f>
        <v>1.882352941</v>
      </c>
      <c r="O2715" s="5"/>
      <c r="P2715" s="5"/>
      <c r="Q2715" s="5"/>
      <c r="R2715" s="5"/>
      <c r="S2715" s="5"/>
      <c r="T2715" s="5"/>
      <c r="U2715" s="5"/>
      <c r="V2715" s="5"/>
      <c r="W2715" s="5"/>
      <c r="X2715" s="5"/>
      <c r="Y2715" s="5"/>
      <c r="Z2715" s="5"/>
    </row>
    <row r="2716" ht="12.0" customHeight="1">
      <c r="A2716" s="92" t="s">
        <v>640</v>
      </c>
      <c r="B2716" s="5"/>
      <c r="C2716" s="203">
        <f>'Resumen Capacidad'!$I$221</f>
        <v>1</v>
      </c>
      <c r="D2716" s="203">
        <f>'Resumen Capacidad'!$I$221</f>
        <v>1</v>
      </c>
      <c r="E2716" s="203">
        <f>'Resumen Capacidad'!$I$221</f>
        <v>1</v>
      </c>
      <c r="F2716" s="203">
        <f>'Resumen Capacidad'!$I$221</f>
        <v>1</v>
      </c>
      <c r="G2716" s="203">
        <f>'Resumen Capacidad'!$I$221</f>
        <v>1</v>
      </c>
      <c r="H2716" s="203">
        <f>'Resumen Capacidad'!$I$221</f>
        <v>1</v>
      </c>
      <c r="I2716" s="203">
        <f>'Resumen Capacidad'!$I$221</f>
        <v>1</v>
      </c>
      <c r="J2716" s="203">
        <f>'Resumen Capacidad'!$I$221</f>
        <v>1</v>
      </c>
      <c r="K2716" s="203">
        <f>'Resumen Capacidad'!$I$221</f>
        <v>1</v>
      </c>
      <c r="L2716" s="203">
        <f>'Resumen Capacidad'!$I$221</f>
        <v>1</v>
      </c>
      <c r="M2716" s="203">
        <f>'Resumen Capacidad'!$I$221</f>
        <v>1</v>
      </c>
      <c r="N2716" s="203">
        <f>'Resumen Capacidad'!$I$221</f>
        <v>1</v>
      </c>
      <c r="O2716" s="5"/>
      <c r="P2716" s="5"/>
      <c r="Q2716" s="5"/>
      <c r="R2716" s="5"/>
      <c r="S2716" s="5"/>
      <c r="T2716" s="5"/>
      <c r="U2716" s="5"/>
      <c r="V2716" s="5"/>
      <c r="W2716" s="5"/>
      <c r="X2716" s="5"/>
      <c r="Y2716" s="5"/>
      <c r="Z2716" s="5"/>
    </row>
    <row r="2717" ht="12.0" customHeight="1">
      <c r="A2717" s="92" t="s">
        <v>642</v>
      </c>
      <c r="B2717" s="5"/>
      <c r="C2717" s="203">
        <f t="shared" ref="C2717:N2717" si="871">C2715*C2716</f>
        <v>1.882352941</v>
      </c>
      <c r="D2717" s="203">
        <f t="shared" si="871"/>
        <v>1.882352941</v>
      </c>
      <c r="E2717" s="203">
        <f t="shared" si="871"/>
        <v>1.882352941</v>
      </c>
      <c r="F2717" s="203">
        <f t="shared" si="871"/>
        <v>1.882352941</v>
      </c>
      <c r="G2717" s="203">
        <f t="shared" si="871"/>
        <v>1.882352941</v>
      </c>
      <c r="H2717" s="203">
        <f t="shared" si="871"/>
        <v>1.882352941</v>
      </c>
      <c r="I2717" s="203">
        <f t="shared" si="871"/>
        <v>1.882352941</v>
      </c>
      <c r="J2717" s="203">
        <f t="shared" si="871"/>
        <v>1.882352941</v>
      </c>
      <c r="K2717" s="203">
        <f t="shared" si="871"/>
        <v>1.882352941</v>
      </c>
      <c r="L2717" s="203">
        <f t="shared" si="871"/>
        <v>1.882352941</v>
      </c>
      <c r="M2717" s="203">
        <f t="shared" si="871"/>
        <v>1.882352941</v>
      </c>
      <c r="N2717" s="203">
        <f t="shared" si="871"/>
        <v>1.882352941</v>
      </c>
      <c r="O2717" s="5"/>
      <c r="P2717" s="5"/>
      <c r="Q2717" s="5"/>
      <c r="R2717" s="5"/>
      <c r="S2717" s="5"/>
      <c r="T2717" s="5"/>
      <c r="U2717" s="5"/>
      <c r="V2717" s="5"/>
      <c r="W2717" s="5"/>
      <c r="X2717" s="5"/>
      <c r="Y2717" s="5"/>
      <c r="Z2717" s="5"/>
    </row>
    <row r="2718" ht="12.0" customHeight="1">
      <c r="A2718" s="92" t="s">
        <v>643</v>
      </c>
      <c r="B2718" s="5"/>
      <c r="C2718" s="294">
        <f t="shared" ref="C2718:N2718" si="872">IF(C2717=0,0,C2714/C2717)</f>
        <v>0.7044375</v>
      </c>
      <c r="D2718" s="294">
        <f t="shared" si="872"/>
        <v>0.6215625</v>
      </c>
      <c r="E2718" s="294">
        <f t="shared" si="872"/>
        <v>0.745875</v>
      </c>
      <c r="F2718" s="294">
        <f t="shared" si="872"/>
        <v>0.745875</v>
      </c>
      <c r="G2718" s="294">
        <f t="shared" si="872"/>
        <v>0.745875</v>
      </c>
      <c r="H2718" s="294">
        <f t="shared" si="872"/>
        <v>0.663</v>
      </c>
      <c r="I2718" s="294">
        <f t="shared" si="872"/>
        <v>0.745875</v>
      </c>
      <c r="J2718" s="294">
        <f t="shared" si="872"/>
        <v>0.745875</v>
      </c>
      <c r="K2718" s="294">
        <f t="shared" si="872"/>
        <v>0.7044375</v>
      </c>
      <c r="L2718" s="294">
        <f t="shared" si="872"/>
        <v>0.6215625</v>
      </c>
      <c r="M2718" s="294">
        <f t="shared" si="872"/>
        <v>0.580125</v>
      </c>
      <c r="N2718" s="294">
        <f t="shared" si="872"/>
        <v>0.663</v>
      </c>
      <c r="O2718" s="5"/>
      <c r="P2718" s="5"/>
      <c r="Q2718" s="5"/>
      <c r="R2718" s="5"/>
      <c r="S2718" s="5"/>
      <c r="T2718" s="5"/>
      <c r="U2718" s="5"/>
      <c r="V2718" s="5"/>
      <c r="W2718" s="5"/>
      <c r="X2718" s="5"/>
      <c r="Y2718" s="5"/>
      <c r="Z2718" s="5"/>
    </row>
    <row r="2719" ht="12.0" customHeight="1">
      <c r="A2719" s="10" t="s">
        <v>1645</v>
      </c>
      <c r="B2719" s="5"/>
      <c r="C2719" s="206"/>
      <c r="D2719" s="206"/>
      <c r="E2719" s="206"/>
      <c r="F2719" s="206"/>
      <c r="G2719" s="206"/>
      <c r="H2719" s="206"/>
      <c r="I2719" s="206"/>
      <c r="J2719" s="206"/>
      <c r="K2719" s="206"/>
      <c r="L2719" s="206"/>
      <c r="M2719" s="206"/>
      <c r="N2719" s="206"/>
      <c r="O2719" s="5"/>
      <c r="P2719" s="5"/>
      <c r="Q2719" s="5"/>
      <c r="R2719" s="5"/>
      <c r="S2719" s="5"/>
      <c r="T2719" s="5"/>
      <c r="U2719" s="5"/>
      <c r="V2719" s="5"/>
      <c r="W2719" s="5"/>
      <c r="X2719" s="5"/>
      <c r="Y2719" s="5"/>
      <c r="Z2719" s="5"/>
    </row>
    <row r="2720" ht="12.0" customHeight="1">
      <c r="A2720" s="92" t="s">
        <v>630</v>
      </c>
      <c r="B2720" s="5" t="s">
        <v>631</v>
      </c>
      <c r="C2720" s="206" t="s">
        <v>3</v>
      </c>
      <c r="D2720" s="206" t="s">
        <v>4</v>
      </c>
      <c r="E2720" s="206" t="s">
        <v>507</v>
      </c>
      <c r="F2720" s="206" t="s">
        <v>508</v>
      </c>
      <c r="G2720" s="206" t="s">
        <v>509</v>
      </c>
      <c r="H2720" s="206" t="s">
        <v>510</v>
      </c>
      <c r="I2720" s="206" t="s">
        <v>511</v>
      </c>
      <c r="J2720" s="206" t="s">
        <v>512</v>
      </c>
      <c r="K2720" s="206" t="s">
        <v>513</v>
      </c>
      <c r="L2720" s="206" t="s">
        <v>514</v>
      </c>
      <c r="M2720" s="206" t="s">
        <v>515</v>
      </c>
      <c r="N2720" s="206" t="s">
        <v>516</v>
      </c>
      <c r="O2720" s="5"/>
      <c r="P2720" s="5"/>
      <c r="Q2720" s="5"/>
      <c r="R2720" s="5"/>
      <c r="S2720" s="5"/>
      <c r="T2720" s="5"/>
      <c r="U2720" s="5"/>
      <c r="V2720" s="5"/>
      <c r="W2720" s="5"/>
      <c r="X2720" s="5"/>
      <c r="Y2720" s="5"/>
      <c r="Z2720" s="5"/>
    </row>
    <row r="2721" ht="12.0" customHeight="1">
      <c r="A2721" s="92" t="s">
        <v>1643</v>
      </c>
      <c r="B2721" s="5" t="s">
        <v>633</v>
      </c>
      <c r="C2721" s="203">
        <f t="shared" ref="C2721:N2721" si="873">C2696</f>
        <v>198.9</v>
      </c>
      <c r="D2721" s="203">
        <f t="shared" si="873"/>
        <v>175.5</v>
      </c>
      <c r="E2721" s="203">
        <f t="shared" si="873"/>
        <v>210.6</v>
      </c>
      <c r="F2721" s="203">
        <f t="shared" si="873"/>
        <v>210.6</v>
      </c>
      <c r="G2721" s="203">
        <f t="shared" si="873"/>
        <v>210.6</v>
      </c>
      <c r="H2721" s="203">
        <f t="shared" si="873"/>
        <v>187.2</v>
      </c>
      <c r="I2721" s="203">
        <f t="shared" si="873"/>
        <v>210.6</v>
      </c>
      <c r="J2721" s="203">
        <f t="shared" si="873"/>
        <v>210.6</v>
      </c>
      <c r="K2721" s="203">
        <f t="shared" si="873"/>
        <v>198.9</v>
      </c>
      <c r="L2721" s="203">
        <f t="shared" si="873"/>
        <v>175.5</v>
      </c>
      <c r="M2721" s="203">
        <f t="shared" si="873"/>
        <v>163.8</v>
      </c>
      <c r="N2721" s="203">
        <f t="shared" si="873"/>
        <v>187.2</v>
      </c>
      <c r="O2721" s="5"/>
      <c r="P2721" s="5"/>
      <c r="Q2721" s="5"/>
      <c r="R2721" s="5"/>
      <c r="S2721" s="5"/>
      <c r="T2721" s="5"/>
      <c r="U2721" s="5"/>
      <c r="V2721" s="5"/>
      <c r="W2721" s="5"/>
      <c r="X2721" s="5"/>
      <c r="Y2721" s="5"/>
      <c r="Z2721" s="5"/>
    </row>
    <row r="2722" ht="12.0" customHeight="1">
      <c r="A2722" s="92"/>
      <c r="B2722" s="5" t="s">
        <v>634</v>
      </c>
      <c r="C2722" s="293">
        <f>C2721/Parametros!$B$37</f>
        <v>9.945</v>
      </c>
      <c r="D2722" s="293">
        <f>D2721/Parametros!$B$37</f>
        <v>8.775</v>
      </c>
      <c r="E2722" s="293">
        <f>E2721/Parametros!$B$37</f>
        <v>10.53</v>
      </c>
      <c r="F2722" s="293">
        <f>F2721/Parametros!$B$37</f>
        <v>10.53</v>
      </c>
      <c r="G2722" s="293">
        <f>G2721/Parametros!$B$37</f>
        <v>10.53</v>
      </c>
      <c r="H2722" s="293">
        <f>H2721/Parametros!$B$37</f>
        <v>9.36</v>
      </c>
      <c r="I2722" s="293">
        <f>I2721/Parametros!$B$37</f>
        <v>10.53</v>
      </c>
      <c r="J2722" s="293">
        <f>J2721/Parametros!$B$37</f>
        <v>10.53</v>
      </c>
      <c r="K2722" s="293">
        <f>K2721/Parametros!$B$37</f>
        <v>9.945</v>
      </c>
      <c r="L2722" s="293">
        <f>L2721/Parametros!$B$37</f>
        <v>8.775</v>
      </c>
      <c r="M2722" s="293">
        <f>M2721/Parametros!$B$37</f>
        <v>8.19</v>
      </c>
      <c r="N2722" s="293">
        <f>N2721/Parametros!$B$37</f>
        <v>9.36</v>
      </c>
      <c r="O2722" s="5"/>
      <c r="P2722" s="5"/>
      <c r="Q2722" s="5"/>
      <c r="R2722" s="5"/>
      <c r="S2722" s="5"/>
      <c r="T2722" s="5"/>
      <c r="U2722" s="5"/>
      <c r="V2722" s="5"/>
      <c r="W2722" s="5"/>
      <c r="X2722" s="5"/>
      <c r="Y2722" s="5"/>
      <c r="Z2722" s="5"/>
    </row>
    <row r="2723" ht="12.0" customHeight="1">
      <c r="A2723" s="92"/>
      <c r="B2723" s="5" t="s">
        <v>635</v>
      </c>
      <c r="C2723" s="293">
        <f>C2722/Parametros!$J$37</f>
        <v>1.326</v>
      </c>
      <c r="D2723" s="293">
        <f>D2722/Parametros!$J$37</f>
        <v>1.17</v>
      </c>
      <c r="E2723" s="293">
        <f>E2722/Parametros!$J$37</f>
        <v>1.404</v>
      </c>
      <c r="F2723" s="293">
        <f>F2722/Parametros!$J$37</f>
        <v>1.404</v>
      </c>
      <c r="G2723" s="293">
        <f>G2722/Parametros!$J$37</f>
        <v>1.404</v>
      </c>
      <c r="H2723" s="293">
        <f>H2722/Parametros!$J$37</f>
        <v>1.248</v>
      </c>
      <c r="I2723" s="293">
        <f>I2722/Parametros!$J$37</f>
        <v>1.404</v>
      </c>
      <c r="J2723" s="293">
        <f>J2722/Parametros!$J$37</f>
        <v>1.404</v>
      </c>
      <c r="K2723" s="293">
        <f>K2722/Parametros!$J$37</f>
        <v>1.326</v>
      </c>
      <c r="L2723" s="293">
        <f>L2722/Parametros!$J$37</f>
        <v>1.17</v>
      </c>
      <c r="M2723" s="293">
        <f>M2722/Parametros!$J$37</f>
        <v>1.092</v>
      </c>
      <c r="N2723" s="293">
        <f>N2722/Parametros!$J$37</f>
        <v>1.248</v>
      </c>
      <c r="O2723" s="5"/>
      <c r="P2723" s="5"/>
      <c r="Q2723" s="5"/>
      <c r="R2723" s="5"/>
      <c r="S2723" s="5"/>
      <c r="T2723" s="5"/>
      <c r="U2723" s="5"/>
      <c r="V2723" s="5"/>
      <c r="W2723" s="5"/>
      <c r="X2723" s="5"/>
      <c r="Y2723" s="5"/>
      <c r="Z2723" s="5"/>
    </row>
    <row r="2724" ht="12.0" customHeight="1">
      <c r="A2724" s="92" t="s">
        <v>636</v>
      </c>
      <c r="B2724" s="5"/>
      <c r="C2724" s="293">
        <f t="shared" ref="C2724:N2724" si="874">C2723</f>
        <v>1.326</v>
      </c>
      <c r="D2724" s="293">
        <f t="shared" si="874"/>
        <v>1.17</v>
      </c>
      <c r="E2724" s="293">
        <f t="shared" si="874"/>
        <v>1.404</v>
      </c>
      <c r="F2724" s="293">
        <f t="shared" si="874"/>
        <v>1.404</v>
      </c>
      <c r="G2724" s="293">
        <f t="shared" si="874"/>
        <v>1.404</v>
      </c>
      <c r="H2724" s="293">
        <f t="shared" si="874"/>
        <v>1.248</v>
      </c>
      <c r="I2724" s="293">
        <f t="shared" si="874"/>
        <v>1.404</v>
      </c>
      <c r="J2724" s="293">
        <f t="shared" si="874"/>
        <v>1.404</v>
      </c>
      <c r="K2724" s="293">
        <f t="shared" si="874"/>
        <v>1.326</v>
      </c>
      <c r="L2724" s="293">
        <f t="shared" si="874"/>
        <v>1.17</v>
      </c>
      <c r="M2724" s="293">
        <f t="shared" si="874"/>
        <v>1.092</v>
      </c>
      <c r="N2724" s="293">
        <f t="shared" si="874"/>
        <v>1.248</v>
      </c>
      <c r="O2724" s="5"/>
      <c r="P2724" s="5"/>
      <c r="Q2724" s="5"/>
      <c r="R2724" s="5"/>
      <c r="S2724" s="5"/>
      <c r="T2724" s="5"/>
      <c r="U2724" s="5"/>
      <c r="V2724" s="5"/>
      <c r="W2724" s="5"/>
      <c r="X2724" s="5"/>
      <c r="Y2724" s="5"/>
      <c r="Z2724" s="5"/>
    </row>
    <row r="2725" ht="12.0" customHeight="1">
      <c r="A2725" s="92" t="s">
        <v>637</v>
      </c>
      <c r="B2725" s="5"/>
      <c r="C2725" s="293">
        <f>Parametros!$M$114</f>
        <v>19.74193548</v>
      </c>
      <c r="D2725" s="293">
        <f>Parametros!$M$114</f>
        <v>19.74193548</v>
      </c>
      <c r="E2725" s="293">
        <f>Parametros!$M$114</f>
        <v>19.74193548</v>
      </c>
      <c r="F2725" s="293">
        <f>Parametros!$M$114</f>
        <v>19.74193548</v>
      </c>
      <c r="G2725" s="293">
        <f>Parametros!$M$114</f>
        <v>19.74193548</v>
      </c>
      <c r="H2725" s="293">
        <f>Parametros!$M$114</f>
        <v>19.74193548</v>
      </c>
      <c r="I2725" s="293">
        <f>Parametros!$M$114</f>
        <v>19.74193548</v>
      </c>
      <c r="J2725" s="293">
        <f>Parametros!$M$114</f>
        <v>19.74193548</v>
      </c>
      <c r="K2725" s="293">
        <f>Parametros!$M$114</f>
        <v>19.74193548</v>
      </c>
      <c r="L2725" s="293">
        <f>Parametros!$M$114</f>
        <v>19.74193548</v>
      </c>
      <c r="M2725" s="293">
        <f>Parametros!$M$114</f>
        <v>19.74193548</v>
      </c>
      <c r="N2725" s="293">
        <f>Parametros!$M$114</f>
        <v>19.74193548</v>
      </c>
      <c r="O2725" s="5"/>
      <c r="P2725" s="5"/>
      <c r="Q2725" s="5"/>
      <c r="R2725" s="5"/>
      <c r="S2725" s="5"/>
      <c r="T2725" s="5"/>
      <c r="U2725" s="5"/>
      <c r="V2725" s="5"/>
      <c r="W2725" s="5"/>
      <c r="X2725" s="5"/>
      <c r="Y2725" s="5"/>
      <c r="Z2725" s="5"/>
    </row>
    <row r="2726" ht="12.0" customHeight="1">
      <c r="A2726" s="92" t="s">
        <v>640</v>
      </c>
      <c r="B2726" s="5"/>
      <c r="C2726" s="203">
        <f>'Resumen Capacidad'!$I$222</f>
        <v>1</v>
      </c>
      <c r="D2726" s="203">
        <f>'Resumen Capacidad'!$I$222</f>
        <v>1</v>
      </c>
      <c r="E2726" s="203">
        <f>'Resumen Capacidad'!$I$222</f>
        <v>1</v>
      </c>
      <c r="F2726" s="203">
        <f>'Resumen Capacidad'!$I$222</f>
        <v>1</v>
      </c>
      <c r="G2726" s="203">
        <f>'Resumen Capacidad'!$I$222</f>
        <v>1</v>
      </c>
      <c r="H2726" s="203">
        <f>'Resumen Capacidad'!$I$222</f>
        <v>1</v>
      </c>
      <c r="I2726" s="203">
        <f>'Resumen Capacidad'!$I$222</f>
        <v>1</v>
      </c>
      <c r="J2726" s="203">
        <f>'Resumen Capacidad'!$I$222</f>
        <v>1</v>
      </c>
      <c r="K2726" s="203">
        <f>'Resumen Capacidad'!$I$222</f>
        <v>1</v>
      </c>
      <c r="L2726" s="203">
        <f>'Resumen Capacidad'!$I$222</f>
        <v>1</v>
      </c>
      <c r="M2726" s="203">
        <f>'Resumen Capacidad'!$I$222</f>
        <v>1</v>
      </c>
      <c r="N2726" s="203">
        <f>'Resumen Capacidad'!$I$222</f>
        <v>1</v>
      </c>
      <c r="O2726" s="5"/>
      <c r="P2726" s="5"/>
      <c r="Q2726" s="5"/>
      <c r="R2726" s="5"/>
      <c r="S2726" s="5"/>
      <c r="T2726" s="5"/>
      <c r="U2726" s="5"/>
      <c r="V2726" s="5"/>
      <c r="W2726" s="5"/>
      <c r="X2726" s="5"/>
      <c r="Y2726" s="5"/>
      <c r="Z2726" s="5"/>
    </row>
    <row r="2727" ht="12.0" customHeight="1">
      <c r="A2727" s="92" t="s">
        <v>642</v>
      </c>
      <c r="B2727" s="5"/>
      <c r="C2727" s="203">
        <f t="shared" ref="C2727:N2727" si="875">C2725*C2726</f>
        <v>19.74193548</v>
      </c>
      <c r="D2727" s="203">
        <f t="shared" si="875"/>
        <v>19.74193548</v>
      </c>
      <c r="E2727" s="203">
        <f t="shared" si="875"/>
        <v>19.74193548</v>
      </c>
      <c r="F2727" s="203">
        <f t="shared" si="875"/>
        <v>19.74193548</v>
      </c>
      <c r="G2727" s="203">
        <f t="shared" si="875"/>
        <v>19.74193548</v>
      </c>
      <c r="H2727" s="203">
        <f t="shared" si="875"/>
        <v>19.74193548</v>
      </c>
      <c r="I2727" s="203">
        <f t="shared" si="875"/>
        <v>19.74193548</v>
      </c>
      <c r="J2727" s="203">
        <f t="shared" si="875"/>
        <v>19.74193548</v>
      </c>
      <c r="K2727" s="203">
        <f t="shared" si="875"/>
        <v>19.74193548</v>
      </c>
      <c r="L2727" s="203">
        <f t="shared" si="875"/>
        <v>19.74193548</v>
      </c>
      <c r="M2727" s="203">
        <f t="shared" si="875"/>
        <v>19.74193548</v>
      </c>
      <c r="N2727" s="203">
        <f t="shared" si="875"/>
        <v>19.74193548</v>
      </c>
      <c r="O2727" s="5"/>
      <c r="P2727" s="5"/>
      <c r="Q2727" s="5"/>
      <c r="R2727" s="5"/>
      <c r="S2727" s="5"/>
      <c r="T2727" s="5"/>
      <c r="U2727" s="5"/>
      <c r="V2727" s="5"/>
      <c r="W2727" s="5"/>
      <c r="X2727" s="5"/>
      <c r="Y2727" s="5"/>
      <c r="Z2727" s="5"/>
    </row>
    <row r="2728" ht="12.0" customHeight="1">
      <c r="A2728" s="92" t="s">
        <v>643</v>
      </c>
      <c r="B2728" s="5"/>
      <c r="C2728" s="294">
        <f t="shared" ref="C2728:N2728" si="876">IF(C2727=0,0,C2724/C2727)</f>
        <v>0.06716666667</v>
      </c>
      <c r="D2728" s="294">
        <f t="shared" si="876"/>
        <v>0.05926470588</v>
      </c>
      <c r="E2728" s="294">
        <f t="shared" si="876"/>
        <v>0.07111764706</v>
      </c>
      <c r="F2728" s="294">
        <f t="shared" si="876"/>
        <v>0.07111764706</v>
      </c>
      <c r="G2728" s="294">
        <f t="shared" si="876"/>
        <v>0.07111764706</v>
      </c>
      <c r="H2728" s="294">
        <f t="shared" si="876"/>
        <v>0.06321568627</v>
      </c>
      <c r="I2728" s="294">
        <f t="shared" si="876"/>
        <v>0.07111764706</v>
      </c>
      <c r="J2728" s="294">
        <f t="shared" si="876"/>
        <v>0.07111764706</v>
      </c>
      <c r="K2728" s="294">
        <f t="shared" si="876"/>
        <v>0.06716666667</v>
      </c>
      <c r="L2728" s="294">
        <f t="shared" si="876"/>
        <v>0.05926470588</v>
      </c>
      <c r="M2728" s="294">
        <f t="shared" si="876"/>
        <v>0.05531372549</v>
      </c>
      <c r="N2728" s="294">
        <f t="shared" si="876"/>
        <v>0.06321568627</v>
      </c>
      <c r="O2728" s="5"/>
      <c r="P2728" s="5"/>
      <c r="Q2728" s="5"/>
      <c r="R2728" s="5"/>
      <c r="S2728" s="5"/>
      <c r="T2728" s="5"/>
      <c r="U2728" s="5"/>
      <c r="V2728" s="5"/>
      <c r="W2728" s="5"/>
      <c r="X2728" s="5"/>
      <c r="Y2728" s="5"/>
      <c r="Z2728" s="5"/>
    </row>
    <row r="2729" ht="12.0" customHeight="1">
      <c r="A2729" s="10" t="s">
        <v>1646</v>
      </c>
      <c r="B2729" s="5"/>
      <c r="C2729" s="206"/>
      <c r="D2729" s="206"/>
      <c r="E2729" s="206"/>
      <c r="F2729" s="206"/>
      <c r="G2729" s="206"/>
      <c r="H2729" s="206"/>
      <c r="I2729" s="206"/>
      <c r="J2729" s="206"/>
      <c r="K2729" s="206"/>
      <c r="L2729" s="206"/>
      <c r="M2729" s="206"/>
      <c r="N2729" s="206"/>
      <c r="O2729" s="5"/>
      <c r="P2729" s="5"/>
      <c r="Q2729" s="5"/>
      <c r="R2729" s="5"/>
      <c r="S2729" s="5"/>
      <c r="T2729" s="5"/>
      <c r="U2729" s="5"/>
      <c r="V2729" s="5"/>
      <c r="W2729" s="5"/>
      <c r="X2729" s="5"/>
      <c r="Y2729" s="5"/>
      <c r="Z2729" s="5"/>
    </row>
    <row r="2730" ht="12.0" customHeight="1">
      <c r="A2730" s="92" t="s">
        <v>630</v>
      </c>
      <c r="B2730" s="5" t="s">
        <v>631</v>
      </c>
      <c r="C2730" s="206" t="s">
        <v>3</v>
      </c>
      <c r="D2730" s="206" t="s">
        <v>4</v>
      </c>
      <c r="E2730" s="206" t="s">
        <v>507</v>
      </c>
      <c r="F2730" s="206" t="s">
        <v>508</v>
      </c>
      <c r="G2730" s="206" t="s">
        <v>509</v>
      </c>
      <c r="H2730" s="206" t="s">
        <v>510</v>
      </c>
      <c r="I2730" s="206" t="s">
        <v>511</v>
      </c>
      <c r="J2730" s="206" t="s">
        <v>512</v>
      </c>
      <c r="K2730" s="206" t="s">
        <v>513</v>
      </c>
      <c r="L2730" s="206" t="s">
        <v>514</v>
      </c>
      <c r="M2730" s="206" t="s">
        <v>515</v>
      </c>
      <c r="N2730" s="206" t="s">
        <v>516</v>
      </c>
      <c r="O2730" s="5"/>
      <c r="P2730" s="5"/>
      <c r="Q2730" s="5"/>
      <c r="R2730" s="5"/>
      <c r="S2730" s="5"/>
      <c r="T2730" s="5"/>
      <c r="U2730" s="5"/>
      <c r="V2730" s="5"/>
      <c r="W2730" s="5"/>
      <c r="X2730" s="5"/>
      <c r="Y2730" s="5"/>
      <c r="Z2730" s="5"/>
    </row>
    <row r="2731" ht="12.0" customHeight="1">
      <c r="A2731" s="92" t="s">
        <v>1643</v>
      </c>
      <c r="B2731" s="5" t="s">
        <v>633</v>
      </c>
      <c r="C2731" s="203">
        <f t="shared" ref="C2731:N2731" si="877">C2696</f>
        <v>198.9</v>
      </c>
      <c r="D2731" s="203">
        <f t="shared" si="877"/>
        <v>175.5</v>
      </c>
      <c r="E2731" s="203">
        <f t="shared" si="877"/>
        <v>210.6</v>
      </c>
      <c r="F2731" s="203">
        <f t="shared" si="877"/>
        <v>210.6</v>
      </c>
      <c r="G2731" s="203">
        <f t="shared" si="877"/>
        <v>210.6</v>
      </c>
      <c r="H2731" s="203">
        <f t="shared" si="877"/>
        <v>187.2</v>
      </c>
      <c r="I2731" s="203">
        <f t="shared" si="877"/>
        <v>210.6</v>
      </c>
      <c r="J2731" s="203">
        <f t="shared" si="877"/>
        <v>210.6</v>
      </c>
      <c r="K2731" s="203">
        <f t="shared" si="877"/>
        <v>198.9</v>
      </c>
      <c r="L2731" s="203">
        <f t="shared" si="877"/>
        <v>175.5</v>
      </c>
      <c r="M2731" s="203">
        <f t="shared" si="877"/>
        <v>163.8</v>
      </c>
      <c r="N2731" s="203">
        <f t="shared" si="877"/>
        <v>187.2</v>
      </c>
      <c r="O2731" s="5"/>
      <c r="P2731" s="5"/>
      <c r="Q2731" s="5"/>
      <c r="R2731" s="5"/>
      <c r="S2731" s="5"/>
      <c r="T2731" s="5"/>
      <c r="U2731" s="5"/>
      <c r="V2731" s="5"/>
      <c r="W2731" s="5"/>
      <c r="X2731" s="5"/>
      <c r="Y2731" s="5"/>
      <c r="Z2731" s="5"/>
    </row>
    <row r="2732" ht="12.0" customHeight="1">
      <c r="A2732" s="92"/>
      <c r="B2732" s="5" t="s">
        <v>634</v>
      </c>
      <c r="C2732" s="293">
        <f>C2731/Parametros!$B$37</f>
        <v>9.945</v>
      </c>
      <c r="D2732" s="293">
        <f>D2731/Parametros!$B$37</f>
        <v>8.775</v>
      </c>
      <c r="E2732" s="293">
        <f>E2731/Parametros!$B$37</f>
        <v>10.53</v>
      </c>
      <c r="F2732" s="293">
        <f>F2731/Parametros!$B$37</f>
        <v>10.53</v>
      </c>
      <c r="G2732" s="293">
        <f>G2731/Parametros!$B$37</f>
        <v>10.53</v>
      </c>
      <c r="H2732" s="293">
        <f>H2731/Parametros!$B$37</f>
        <v>9.36</v>
      </c>
      <c r="I2732" s="293">
        <f>I2731/Parametros!$B$37</f>
        <v>10.53</v>
      </c>
      <c r="J2732" s="293">
        <f>J2731/Parametros!$B$37</f>
        <v>10.53</v>
      </c>
      <c r="K2732" s="293">
        <f>K2731/Parametros!$B$37</f>
        <v>9.945</v>
      </c>
      <c r="L2732" s="293">
        <f>L2731/Parametros!$B$37</f>
        <v>8.775</v>
      </c>
      <c r="M2732" s="293">
        <f>M2731/Parametros!$B$37</f>
        <v>8.19</v>
      </c>
      <c r="N2732" s="293">
        <f>N2731/Parametros!$B$37</f>
        <v>9.36</v>
      </c>
      <c r="O2732" s="5"/>
      <c r="P2732" s="5"/>
      <c r="Q2732" s="5"/>
      <c r="R2732" s="5"/>
      <c r="S2732" s="5"/>
      <c r="T2732" s="5"/>
      <c r="U2732" s="5"/>
      <c r="V2732" s="5"/>
      <c r="W2732" s="5"/>
      <c r="X2732" s="5"/>
      <c r="Y2732" s="5"/>
      <c r="Z2732" s="5"/>
    </row>
    <row r="2733" ht="12.0" customHeight="1">
      <c r="A2733" s="92"/>
      <c r="B2733" s="5" t="s">
        <v>635</v>
      </c>
      <c r="C2733" s="293">
        <f>C2732/Parametros!$J$37</f>
        <v>1.326</v>
      </c>
      <c r="D2733" s="293">
        <f>D2732/Parametros!$J$37</f>
        <v>1.17</v>
      </c>
      <c r="E2733" s="293">
        <f>E2732/Parametros!$J$37</f>
        <v>1.404</v>
      </c>
      <c r="F2733" s="293">
        <f>F2732/Parametros!$J$37</f>
        <v>1.404</v>
      </c>
      <c r="G2733" s="293">
        <f>G2732/Parametros!$J$37</f>
        <v>1.404</v>
      </c>
      <c r="H2733" s="293">
        <f>H2732/Parametros!$J$37</f>
        <v>1.248</v>
      </c>
      <c r="I2733" s="293">
        <f>I2732/Parametros!$J$37</f>
        <v>1.404</v>
      </c>
      <c r="J2733" s="293">
        <f>J2732/Parametros!$J$37</f>
        <v>1.404</v>
      </c>
      <c r="K2733" s="293">
        <f>K2732/Parametros!$J$37</f>
        <v>1.326</v>
      </c>
      <c r="L2733" s="293">
        <f>L2732/Parametros!$J$37</f>
        <v>1.17</v>
      </c>
      <c r="M2733" s="293">
        <f>M2732/Parametros!$J$37</f>
        <v>1.092</v>
      </c>
      <c r="N2733" s="293">
        <f>N2732/Parametros!$J$37</f>
        <v>1.248</v>
      </c>
      <c r="O2733" s="5"/>
      <c r="P2733" s="5"/>
      <c r="Q2733" s="5"/>
      <c r="R2733" s="5"/>
      <c r="S2733" s="5"/>
      <c r="T2733" s="5"/>
      <c r="U2733" s="5"/>
      <c r="V2733" s="5"/>
      <c r="W2733" s="5"/>
      <c r="X2733" s="5"/>
      <c r="Y2733" s="5"/>
      <c r="Z2733" s="5"/>
    </row>
    <row r="2734" ht="12.0" customHeight="1">
      <c r="A2734" s="92" t="s">
        <v>636</v>
      </c>
      <c r="B2734" s="5"/>
      <c r="C2734" s="293">
        <f t="shared" ref="C2734:N2734" si="878">C2733</f>
        <v>1.326</v>
      </c>
      <c r="D2734" s="293">
        <f t="shared" si="878"/>
        <v>1.17</v>
      </c>
      <c r="E2734" s="293">
        <f t="shared" si="878"/>
        <v>1.404</v>
      </c>
      <c r="F2734" s="293">
        <f t="shared" si="878"/>
        <v>1.404</v>
      </c>
      <c r="G2734" s="293">
        <f t="shared" si="878"/>
        <v>1.404</v>
      </c>
      <c r="H2734" s="293">
        <f t="shared" si="878"/>
        <v>1.248</v>
      </c>
      <c r="I2734" s="293">
        <f t="shared" si="878"/>
        <v>1.404</v>
      </c>
      <c r="J2734" s="293">
        <f t="shared" si="878"/>
        <v>1.404</v>
      </c>
      <c r="K2734" s="293">
        <f t="shared" si="878"/>
        <v>1.326</v>
      </c>
      <c r="L2734" s="293">
        <f t="shared" si="878"/>
        <v>1.17</v>
      </c>
      <c r="M2734" s="293">
        <f t="shared" si="878"/>
        <v>1.092</v>
      </c>
      <c r="N2734" s="293">
        <f t="shared" si="878"/>
        <v>1.248</v>
      </c>
      <c r="O2734" s="5"/>
      <c r="P2734" s="5"/>
      <c r="Q2734" s="5"/>
      <c r="R2734" s="5"/>
      <c r="S2734" s="5"/>
      <c r="T2734" s="5"/>
      <c r="U2734" s="5"/>
      <c r="V2734" s="5"/>
      <c r="W2734" s="5"/>
      <c r="X2734" s="5"/>
      <c r="Y2734" s="5"/>
      <c r="Z2734" s="5"/>
    </row>
    <row r="2735" ht="12.0" customHeight="1">
      <c r="A2735" s="92" t="s">
        <v>637</v>
      </c>
      <c r="B2735" s="5"/>
      <c r="C2735" s="293">
        <f>Parametros!$M$115</f>
        <v>26.60869565</v>
      </c>
      <c r="D2735" s="293">
        <f>Parametros!$M$115</f>
        <v>26.60869565</v>
      </c>
      <c r="E2735" s="293">
        <f>Parametros!$M$115</f>
        <v>26.60869565</v>
      </c>
      <c r="F2735" s="293">
        <f>Parametros!$M$115</f>
        <v>26.60869565</v>
      </c>
      <c r="G2735" s="293">
        <f>Parametros!$M$115</f>
        <v>26.60869565</v>
      </c>
      <c r="H2735" s="293">
        <f>Parametros!$M$115</f>
        <v>26.60869565</v>
      </c>
      <c r="I2735" s="293">
        <f>Parametros!$M$115</f>
        <v>26.60869565</v>
      </c>
      <c r="J2735" s="293">
        <f>Parametros!$M$115</f>
        <v>26.60869565</v>
      </c>
      <c r="K2735" s="293">
        <f>Parametros!$M$115</f>
        <v>26.60869565</v>
      </c>
      <c r="L2735" s="293">
        <f>Parametros!$M$115</f>
        <v>26.60869565</v>
      </c>
      <c r="M2735" s="293">
        <f>Parametros!$M$115</f>
        <v>26.60869565</v>
      </c>
      <c r="N2735" s="293">
        <f>Parametros!$M$115</f>
        <v>26.60869565</v>
      </c>
      <c r="O2735" s="5"/>
      <c r="P2735" s="5"/>
      <c r="Q2735" s="5"/>
      <c r="R2735" s="5"/>
      <c r="S2735" s="5"/>
      <c r="T2735" s="5"/>
      <c r="U2735" s="5"/>
      <c r="V2735" s="5"/>
      <c r="W2735" s="5"/>
      <c r="X2735" s="5"/>
      <c r="Y2735" s="5"/>
      <c r="Z2735" s="5"/>
    </row>
    <row r="2736" ht="12.0" customHeight="1">
      <c r="A2736" s="92" t="s">
        <v>640</v>
      </c>
      <c r="B2736" s="5"/>
      <c r="C2736" s="203">
        <f>'Resumen Capacidad'!$I$223</f>
        <v>1</v>
      </c>
      <c r="D2736" s="203">
        <f>'Resumen Capacidad'!$I$223</f>
        <v>1</v>
      </c>
      <c r="E2736" s="203">
        <f>'Resumen Capacidad'!$I$223</f>
        <v>1</v>
      </c>
      <c r="F2736" s="203">
        <f>'Resumen Capacidad'!$I$223</f>
        <v>1</v>
      </c>
      <c r="G2736" s="203">
        <f>'Resumen Capacidad'!$I$223</f>
        <v>1</v>
      </c>
      <c r="H2736" s="203">
        <f>'Resumen Capacidad'!$I$223</f>
        <v>1</v>
      </c>
      <c r="I2736" s="203">
        <f>'Resumen Capacidad'!$I$223</f>
        <v>1</v>
      </c>
      <c r="J2736" s="203">
        <f>'Resumen Capacidad'!$I$223</f>
        <v>1</v>
      </c>
      <c r="K2736" s="203">
        <f>'Resumen Capacidad'!$I$223</f>
        <v>1</v>
      </c>
      <c r="L2736" s="203">
        <f>'Resumen Capacidad'!$I$223</f>
        <v>1</v>
      </c>
      <c r="M2736" s="203">
        <f>'Resumen Capacidad'!$I$223</f>
        <v>1</v>
      </c>
      <c r="N2736" s="203">
        <f>'Resumen Capacidad'!$I$223</f>
        <v>1</v>
      </c>
      <c r="O2736" s="5"/>
      <c r="P2736" s="5"/>
      <c r="Q2736" s="5"/>
      <c r="R2736" s="5"/>
      <c r="S2736" s="5"/>
      <c r="T2736" s="5"/>
      <c r="U2736" s="5"/>
      <c r="V2736" s="5"/>
      <c r="W2736" s="5"/>
      <c r="X2736" s="5"/>
      <c r="Y2736" s="5"/>
      <c r="Z2736" s="5"/>
    </row>
    <row r="2737" ht="12.0" customHeight="1">
      <c r="A2737" s="92" t="s">
        <v>642</v>
      </c>
      <c r="B2737" s="5"/>
      <c r="C2737" s="203">
        <f t="shared" ref="C2737:N2737" si="879">C2735*C2736</f>
        <v>26.60869565</v>
      </c>
      <c r="D2737" s="203">
        <f t="shared" si="879"/>
        <v>26.60869565</v>
      </c>
      <c r="E2737" s="203">
        <f t="shared" si="879"/>
        <v>26.60869565</v>
      </c>
      <c r="F2737" s="203">
        <f t="shared" si="879"/>
        <v>26.60869565</v>
      </c>
      <c r="G2737" s="203">
        <f t="shared" si="879"/>
        <v>26.60869565</v>
      </c>
      <c r="H2737" s="203">
        <f t="shared" si="879"/>
        <v>26.60869565</v>
      </c>
      <c r="I2737" s="203">
        <f t="shared" si="879"/>
        <v>26.60869565</v>
      </c>
      <c r="J2737" s="203">
        <f t="shared" si="879"/>
        <v>26.60869565</v>
      </c>
      <c r="K2737" s="203">
        <f t="shared" si="879"/>
        <v>26.60869565</v>
      </c>
      <c r="L2737" s="203">
        <f t="shared" si="879"/>
        <v>26.60869565</v>
      </c>
      <c r="M2737" s="203">
        <f t="shared" si="879"/>
        <v>26.60869565</v>
      </c>
      <c r="N2737" s="203">
        <f t="shared" si="879"/>
        <v>26.60869565</v>
      </c>
      <c r="O2737" s="5"/>
      <c r="P2737" s="5"/>
      <c r="Q2737" s="5"/>
      <c r="R2737" s="5"/>
      <c r="S2737" s="5"/>
      <c r="T2737" s="5"/>
      <c r="U2737" s="5"/>
      <c r="V2737" s="5"/>
      <c r="W2737" s="5"/>
      <c r="X2737" s="5"/>
      <c r="Y2737" s="5"/>
      <c r="Z2737" s="5"/>
    </row>
    <row r="2738" ht="12.0" customHeight="1">
      <c r="A2738" s="92" t="s">
        <v>643</v>
      </c>
      <c r="B2738" s="5"/>
      <c r="C2738" s="294">
        <f t="shared" ref="C2738:N2738" si="880">IF(C2737=0,0,C2734/C2737)</f>
        <v>0.04983333333</v>
      </c>
      <c r="D2738" s="294">
        <f t="shared" si="880"/>
        <v>0.04397058824</v>
      </c>
      <c r="E2738" s="294">
        <f t="shared" si="880"/>
        <v>0.05276470588</v>
      </c>
      <c r="F2738" s="294">
        <f t="shared" si="880"/>
        <v>0.05276470588</v>
      </c>
      <c r="G2738" s="294">
        <f t="shared" si="880"/>
        <v>0.05276470588</v>
      </c>
      <c r="H2738" s="294">
        <f t="shared" si="880"/>
        <v>0.04690196078</v>
      </c>
      <c r="I2738" s="294">
        <f t="shared" si="880"/>
        <v>0.05276470588</v>
      </c>
      <c r="J2738" s="294">
        <f t="shared" si="880"/>
        <v>0.05276470588</v>
      </c>
      <c r="K2738" s="294">
        <f t="shared" si="880"/>
        <v>0.04983333333</v>
      </c>
      <c r="L2738" s="294">
        <f t="shared" si="880"/>
        <v>0.04397058824</v>
      </c>
      <c r="M2738" s="294">
        <f t="shared" si="880"/>
        <v>0.04103921569</v>
      </c>
      <c r="N2738" s="294">
        <f t="shared" si="880"/>
        <v>0.04690196078</v>
      </c>
      <c r="O2738" s="5"/>
      <c r="P2738" s="5"/>
      <c r="Q2738" s="5"/>
      <c r="R2738" s="5"/>
      <c r="S2738" s="5"/>
      <c r="T2738" s="5"/>
      <c r="U2738" s="5"/>
      <c r="V2738" s="5"/>
      <c r="W2738" s="5"/>
      <c r="X2738" s="5"/>
      <c r="Y2738" s="5"/>
      <c r="Z2738" s="5"/>
    </row>
    <row r="2739" ht="12.0" customHeight="1">
      <c r="A2739" s="10" t="s">
        <v>1647</v>
      </c>
      <c r="B2739" s="5"/>
      <c r="C2739" s="206"/>
      <c r="D2739" s="206"/>
      <c r="E2739" s="206"/>
      <c r="F2739" s="206"/>
      <c r="G2739" s="206"/>
      <c r="H2739" s="206"/>
      <c r="I2739" s="206"/>
      <c r="J2739" s="206"/>
      <c r="K2739" s="206"/>
      <c r="L2739" s="206"/>
      <c r="M2739" s="206"/>
      <c r="N2739" s="206"/>
      <c r="O2739" s="5"/>
      <c r="P2739" s="5"/>
      <c r="Q2739" s="5"/>
      <c r="R2739" s="5"/>
      <c r="S2739" s="5"/>
      <c r="T2739" s="5"/>
      <c r="U2739" s="5"/>
      <c r="V2739" s="5"/>
      <c r="W2739" s="5"/>
      <c r="X2739" s="5"/>
      <c r="Y2739" s="5"/>
      <c r="Z2739" s="5"/>
    </row>
    <row r="2740" ht="12.0" customHeight="1">
      <c r="A2740" s="92" t="s">
        <v>630</v>
      </c>
      <c r="B2740" s="5" t="s">
        <v>631</v>
      </c>
      <c r="C2740" s="206" t="s">
        <v>3</v>
      </c>
      <c r="D2740" s="206" t="s">
        <v>4</v>
      </c>
      <c r="E2740" s="206" t="s">
        <v>507</v>
      </c>
      <c r="F2740" s="206" t="s">
        <v>508</v>
      </c>
      <c r="G2740" s="206" t="s">
        <v>509</v>
      </c>
      <c r="H2740" s="206" t="s">
        <v>510</v>
      </c>
      <c r="I2740" s="206" t="s">
        <v>511</v>
      </c>
      <c r="J2740" s="206" t="s">
        <v>512</v>
      </c>
      <c r="K2740" s="206" t="s">
        <v>513</v>
      </c>
      <c r="L2740" s="206" t="s">
        <v>514</v>
      </c>
      <c r="M2740" s="206" t="s">
        <v>515</v>
      </c>
      <c r="N2740" s="206" t="s">
        <v>516</v>
      </c>
      <c r="O2740" s="5"/>
      <c r="P2740" s="5"/>
      <c r="Q2740" s="5"/>
      <c r="R2740" s="5"/>
      <c r="S2740" s="5"/>
      <c r="T2740" s="5"/>
      <c r="U2740" s="5"/>
      <c r="V2740" s="5"/>
      <c r="W2740" s="5"/>
      <c r="X2740" s="5"/>
      <c r="Y2740" s="5"/>
      <c r="Z2740" s="5"/>
    </row>
    <row r="2741" ht="12.0" customHeight="1">
      <c r="A2741" s="92" t="s">
        <v>1643</v>
      </c>
      <c r="B2741" s="5" t="s">
        <v>633</v>
      </c>
      <c r="C2741" s="203">
        <f t="shared" ref="C2741:N2741" si="881">C2696</f>
        <v>198.9</v>
      </c>
      <c r="D2741" s="203">
        <f t="shared" si="881"/>
        <v>175.5</v>
      </c>
      <c r="E2741" s="203">
        <f t="shared" si="881"/>
        <v>210.6</v>
      </c>
      <c r="F2741" s="203">
        <f t="shared" si="881"/>
        <v>210.6</v>
      </c>
      <c r="G2741" s="203">
        <f t="shared" si="881"/>
        <v>210.6</v>
      </c>
      <c r="H2741" s="203">
        <f t="shared" si="881"/>
        <v>187.2</v>
      </c>
      <c r="I2741" s="203">
        <f t="shared" si="881"/>
        <v>210.6</v>
      </c>
      <c r="J2741" s="203">
        <f t="shared" si="881"/>
        <v>210.6</v>
      </c>
      <c r="K2741" s="203">
        <f t="shared" si="881"/>
        <v>198.9</v>
      </c>
      <c r="L2741" s="203">
        <f t="shared" si="881"/>
        <v>175.5</v>
      </c>
      <c r="M2741" s="203">
        <f t="shared" si="881"/>
        <v>163.8</v>
      </c>
      <c r="N2741" s="203">
        <f t="shared" si="881"/>
        <v>187.2</v>
      </c>
      <c r="O2741" s="5"/>
      <c r="P2741" s="5"/>
      <c r="Q2741" s="5"/>
      <c r="R2741" s="5"/>
      <c r="S2741" s="5"/>
      <c r="T2741" s="5"/>
      <c r="U2741" s="5"/>
      <c r="V2741" s="5"/>
      <c r="W2741" s="5"/>
      <c r="X2741" s="5"/>
      <c r="Y2741" s="5"/>
      <c r="Z2741" s="5"/>
    </row>
    <row r="2742" ht="12.0" customHeight="1">
      <c r="A2742" s="92"/>
      <c r="B2742" s="5" t="s">
        <v>634</v>
      </c>
      <c r="C2742" s="293">
        <f>C2741/Parametros!$B$37</f>
        <v>9.945</v>
      </c>
      <c r="D2742" s="293">
        <f>D2741/Parametros!$B$37</f>
        <v>8.775</v>
      </c>
      <c r="E2742" s="293">
        <f>E2741/Parametros!$B$37</f>
        <v>10.53</v>
      </c>
      <c r="F2742" s="293">
        <f>F2741/Parametros!$B$37</f>
        <v>10.53</v>
      </c>
      <c r="G2742" s="293">
        <f>G2741/Parametros!$B$37</f>
        <v>10.53</v>
      </c>
      <c r="H2742" s="293">
        <f>H2741/Parametros!$B$37</f>
        <v>9.36</v>
      </c>
      <c r="I2742" s="293">
        <f>I2741/Parametros!$B$37</f>
        <v>10.53</v>
      </c>
      <c r="J2742" s="293">
        <f>J2741/Parametros!$B$37</f>
        <v>10.53</v>
      </c>
      <c r="K2742" s="293">
        <f>K2741/Parametros!$B$37</f>
        <v>9.945</v>
      </c>
      <c r="L2742" s="293">
        <f>L2741/Parametros!$B$37</f>
        <v>8.775</v>
      </c>
      <c r="M2742" s="293">
        <f>M2741/Parametros!$B$37</f>
        <v>8.19</v>
      </c>
      <c r="N2742" s="293">
        <f>N2741/Parametros!$B$37</f>
        <v>9.36</v>
      </c>
      <c r="O2742" s="5"/>
      <c r="P2742" s="5"/>
      <c r="Q2742" s="5"/>
      <c r="R2742" s="5"/>
      <c r="S2742" s="5"/>
      <c r="T2742" s="5"/>
      <c r="U2742" s="5"/>
      <c r="V2742" s="5"/>
      <c r="W2742" s="5"/>
      <c r="X2742" s="5"/>
      <c r="Y2742" s="5"/>
      <c r="Z2742" s="5"/>
    </row>
    <row r="2743" ht="12.0" customHeight="1">
      <c r="A2743" s="92"/>
      <c r="B2743" s="5" t="s">
        <v>635</v>
      </c>
      <c r="C2743" s="293">
        <f>C2742/Parametros!$J$37</f>
        <v>1.326</v>
      </c>
      <c r="D2743" s="293">
        <f>D2742/Parametros!$J$37</f>
        <v>1.17</v>
      </c>
      <c r="E2743" s="293">
        <f>E2742/Parametros!$J$37</f>
        <v>1.404</v>
      </c>
      <c r="F2743" s="293">
        <f>F2742/Parametros!$J$37</f>
        <v>1.404</v>
      </c>
      <c r="G2743" s="293">
        <f>G2742/Parametros!$J$37</f>
        <v>1.404</v>
      </c>
      <c r="H2743" s="293">
        <f>H2742/Parametros!$J$37</f>
        <v>1.248</v>
      </c>
      <c r="I2743" s="293">
        <f>I2742/Parametros!$J$37</f>
        <v>1.404</v>
      </c>
      <c r="J2743" s="293">
        <f>J2742/Parametros!$J$37</f>
        <v>1.404</v>
      </c>
      <c r="K2743" s="293">
        <f>K2742/Parametros!$J$37</f>
        <v>1.326</v>
      </c>
      <c r="L2743" s="293">
        <f>L2742/Parametros!$J$37</f>
        <v>1.17</v>
      </c>
      <c r="M2743" s="293">
        <f>M2742/Parametros!$J$37</f>
        <v>1.092</v>
      </c>
      <c r="N2743" s="293">
        <f>N2742/Parametros!$J$37</f>
        <v>1.248</v>
      </c>
      <c r="O2743" s="5"/>
      <c r="P2743" s="5"/>
      <c r="Q2743" s="5"/>
      <c r="R2743" s="5"/>
      <c r="S2743" s="5"/>
      <c r="T2743" s="5"/>
      <c r="U2743" s="5"/>
      <c r="V2743" s="5"/>
      <c r="W2743" s="5"/>
      <c r="X2743" s="5"/>
      <c r="Y2743" s="5"/>
      <c r="Z2743" s="5"/>
    </row>
    <row r="2744" ht="12.0" customHeight="1">
      <c r="A2744" s="92" t="s">
        <v>636</v>
      </c>
      <c r="B2744" s="5"/>
      <c r="C2744" s="293">
        <f t="shared" ref="C2744:N2744" si="882">C2743</f>
        <v>1.326</v>
      </c>
      <c r="D2744" s="293">
        <f t="shared" si="882"/>
        <v>1.17</v>
      </c>
      <c r="E2744" s="293">
        <f t="shared" si="882"/>
        <v>1.404</v>
      </c>
      <c r="F2744" s="293">
        <f t="shared" si="882"/>
        <v>1.404</v>
      </c>
      <c r="G2744" s="293">
        <f t="shared" si="882"/>
        <v>1.404</v>
      </c>
      <c r="H2744" s="293">
        <f t="shared" si="882"/>
        <v>1.248</v>
      </c>
      <c r="I2744" s="293">
        <f t="shared" si="882"/>
        <v>1.404</v>
      </c>
      <c r="J2744" s="293">
        <f t="shared" si="882"/>
        <v>1.404</v>
      </c>
      <c r="K2744" s="293">
        <f t="shared" si="882"/>
        <v>1.326</v>
      </c>
      <c r="L2744" s="293">
        <f t="shared" si="882"/>
        <v>1.17</v>
      </c>
      <c r="M2744" s="293">
        <f t="shared" si="882"/>
        <v>1.092</v>
      </c>
      <c r="N2744" s="293">
        <f t="shared" si="882"/>
        <v>1.248</v>
      </c>
      <c r="O2744" s="5"/>
      <c r="P2744" s="5"/>
      <c r="Q2744" s="5"/>
      <c r="R2744" s="5"/>
      <c r="S2744" s="5"/>
      <c r="T2744" s="5"/>
      <c r="U2744" s="5"/>
      <c r="V2744" s="5"/>
      <c r="W2744" s="5"/>
      <c r="X2744" s="5"/>
      <c r="Y2744" s="5"/>
      <c r="Z2744" s="5"/>
    </row>
    <row r="2745" ht="12.0" customHeight="1">
      <c r="A2745" s="92" t="s">
        <v>637</v>
      </c>
      <c r="B2745" s="5"/>
      <c r="C2745" s="293">
        <f>Parametros!$M$116</f>
        <v>38.25</v>
      </c>
      <c r="D2745" s="293">
        <f>Parametros!$M$116</f>
        <v>38.25</v>
      </c>
      <c r="E2745" s="293">
        <f>Parametros!$M$116</f>
        <v>38.25</v>
      </c>
      <c r="F2745" s="293">
        <f>Parametros!$M$116</f>
        <v>38.25</v>
      </c>
      <c r="G2745" s="293">
        <f>Parametros!$M$116</f>
        <v>38.25</v>
      </c>
      <c r="H2745" s="293">
        <f>Parametros!$M$116</f>
        <v>38.25</v>
      </c>
      <c r="I2745" s="293">
        <f>Parametros!$M$116</f>
        <v>38.25</v>
      </c>
      <c r="J2745" s="293">
        <f>Parametros!$M$116</f>
        <v>38.25</v>
      </c>
      <c r="K2745" s="293">
        <f>Parametros!$M$116</f>
        <v>38.25</v>
      </c>
      <c r="L2745" s="293">
        <f>Parametros!$M$116</f>
        <v>38.25</v>
      </c>
      <c r="M2745" s="293">
        <f>Parametros!$M$116</f>
        <v>38.25</v>
      </c>
      <c r="N2745" s="293">
        <f>Parametros!$M$116</f>
        <v>38.25</v>
      </c>
      <c r="O2745" s="5"/>
      <c r="P2745" s="5"/>
      <c r="Q2745" s="5"/>
      <c r="R2745" s="5"/>
      <c r="S2745" s="5"/>
      <c r="T2745" s="5"/>
      <c r="U2745" s="5"/>
      <c r="V2745" s="5"/>
      <c r="W2745" s="5"/>
      <c r="X2745" s="5"/>
      <c r="Y2745" s="5"/>
      <c r="Z2745" s="5"/>
    </row>
    <row r="2746" ht="12.0" customHeight="1">
      <c r="A2746" s="92" t="s">
        <v>640</v>
      </c>
      <c r="B2746" s="5"/>
      <c r="C2746" s="203">
        <f>'Resumen Capacidad'!$I$224</f>
        <v>1</v>
      </c>
      <c r="D2746" s="203">
        <f>'Resumen Capacidad'!$I$224</f>
        <v>1</v>
      </c>
      <c r="E2746" s="203">
        <f>'Resumen Capacidad'!$I$224</f>
        <v>1</v>
      </c>
      <c r="F2746" s="203">
        <f>'Resumen Capacidad'!$I$224</f>
        <v>1</v>
      </c>
      <c r="G2746" s="203">
        <f>'Resumen Capacidad'!$I$224</f>
        <v>1</v>
      </c>
      <c r="H2746" s="203">
        <f>'Resumen Capacidad'!$I$224</f>
        <v>1</v>
      </c>
      <c r="I2746" s="203">
        <f>'Resumen Capacidad'!$I$224</f>
        <v>1</v>
      </c>
      <c r="J2746" s="203">
        <f>'Resumen Capacidad'!$I$224</f>
        <v>1</v>
      </c>
      <c r="K2746" s="203">
        <f>'Resumen Capacidad'!$I$224</f>
        <v>1</v>
      </c>
      <c r="L2746" s="203">
        <f>'Resumen Capacidad'!$I$224</f>
        <v>1</v>
      </c>
      <c r="M2746" s="203">
        <f>'Resumen Capacidad'!$I$224</f>
        <v>1</v>
      </c>
      <c r="N2746" s="203">
        <f>'Resumen Capacidad'!$I$224</f>
        <v>1</v>
      </c>
      <c r="O2746" s="5"/>
      <c r="P2746" s="5"/>
      <c r="Q2746" s="5"/>
      <c r="R2746" s="5"/>
      <c r="S2746" s="5"/>
      <c r="T2746" s="5"/>
      <c r="U2746" s="5"/>
      <c r="V2746" s="5"/>
      <c r="W2746" s="5"/>
      <c r="X2746" s="5"/>
      <c r="Y2746" s="5"/>
      <c r="Z2746" s="5"/>
    </row>
    <row r="2747" ht="12.0" customHeight="1">
      <c r="A2747" s="92" t="s">
        <v>642</v>
      </c>
      <c r="B2747" s="5"/>
      <c r="C2747" s="203">
        <f t="shared" ref="C2747:N2747" si="883">C2745*C2746</f>
        <v>38.25</v>
      </c>
      <c r="D2747" s="203">
        <f t="shared" si="883"/>
        <v>38.25</v>
      </c>
      <c r="E2747" s="203">
        <f t="shared" si="883"/>
        <v>38.25</v>
      </c>
      <c r="F2747" s="203">
        <f t="shared" si="883"/>
        <v>38.25</v>
      </c>
      <c r="G2747" s="203">
        <f t="shared" si="883"/>
        <v>38.25</v>
      </c>
      <c r="H2747" s="203">
        <f t="shared" si="883"/>
        <v>38.25</v>
      </c>
      <c r="I2747" s="203">
        <f t="shared" si="883"/>
        <v>38.25</v>
      </c>
      <c r="J2747" s="203">
        <f t="shared" si="883"/>
        <v>38.25</v>
      </c>
      <c r="K2747" s="203">
        <f t="shared" si="883"/>
        <v>38.25</v>
      </c>
      <c r="L2747" s="203">
        <f t="shared" si="883"/>
        <v>38.25</v>
      </c>
      <c r="M2747" s="203">
        <f t="shared" si="883"/>
        <v>38.25</v>
      </c>
      <c r="N2747" s="203">
        <f t="shared" si="883"/>
        <v>38.25</v>
      </c>
      <c r="O2747" s="5"/>
      <c r="P2747" s="5"/>
      <c r="Q2747" s="5"/>
      <c r="R2747" s="5"/>
      <c r="S2747" s="5"/>
      <c r="T2747" s="5"/>
      <c r="U2747" s="5"/>
      <c r="V2747" s="5"/>
      <c r="W2747" s="5"/>
      <c r="X2747" s="5"/>
      <c r="Y2747" s="5"/>
      <c r="Z2747" s="5"/>
    </row>
    <row r="2748" ht="12.0" customHeight="1">
      <c r="A2748" s="92" t="s">
        <v>643</v>
      </c>
      <c r="B2748" s="5"/>
      <c r="C2748" s="294">
        <f t="shared" ref="C2748:N2748" si="884">IF(C2747=0,0,C2744/C2747)</f>
        <v>0.03466666667</v>
      </c>
      <c r="D2748" s="294">
        <f t="shared" si="884"/>
        <v>0.03058823529</v>
      </c>
      <c r="E2748" s="294">
        <f t="shared" si="884"/>
        <v>0.03670588235</v>
      </c>
      <c r="F2748" s="294">
        <f t="shared" si="884"/>
        <v>0.03670588235</v>
      </c>
      <c r="G2748" s="294">
        <f t="shared" si="884"/>
        <v>0.03670588235</v>
      </c>
      <c r="H2748" s="294">
        <f t="shared" si="884"/>
        <v>0.03262745098</v>
      </c>
      <c r="I2748" s="294">
        <f t="shared" si="884"/>
        <v>0.03670588235</v>
      </c>
      <c r="J2748" s="294">
        <f t="shared" si="884"/>
        <v>0.03670588235</v>
      </c>
      <c r="K2748" s="294">
        <f t="shared" si="884"/>
        <v>0.03466666667</v>
      </c>
      <c r="L2748" s="294">
        <f t="shared" si="884"/>
        <v>0.03058823529</v>
      </c>
      <c r="M2748" s="294">
        <f t="shared" si="884"/>
        <v>0.02854901961</v>
      </c>
      <c r="N2748" s="294">
        <f t="shared" si="884"/>
        <v>0.03262745098</v>
      </c>
      <c r="O2748" s="5"/>
      <c r="P2748" s="5"/>
      <c r="Q2748" s="5"/>
      <c r="R2748" s="5"/>
      <c r="S2748" s="5"/>
      <c r="T2748" s="5"/>
      <c r="U2748" s="5"/>
      <c r="V2748" s="5"/>
      <c r="W2748" s="5"/>
      <c r="X2748" s="5"/>
      <c r="Y2748" s="5"/>
      <c r="Z2748" s="5"/>
    </row>
    <row r="2749" ht="12.0" customHeight="1">
      <c r="A2749" s="10" t="s">
        <v>1648</v>
      </c>
      <c r="B2749" s="5"/>
      <c r="C2749" s="206"/>
      <c r="D2749" s="206"/>
      <c r="E2749" s="206"/>
      <c r="F2749" s="206"/>
      <c r="G2749" s="206"/>
      <c r="H2749" s="206"/>
      <c r="I2749" s="206"/>
      <c r="J2749" s="206"/>
      <c r="K2749" s="206"/>
      <c r="L2749" s="206"/>
      <c r="M2749" s="206"/>
      <c r="N2749" s="206"/>
      <c r="O2749" s="5"/>
      <c r="P2749" s="5"/>
      <c r="Q2749" s="5"/>
      <c r="R2749" s="5"/>
      <c r="S2749" s="5"/>
      <c r="T2749" s="5"/>
      <c r="U2749" s="5"/>
      <c r="V2749" s="5"/>
      <c r="W2749" s="5"/>
      <c r="X2749" s="5"/>
      <c r="Y2749" s="5"/>
      <c r="Z2749" s="5"/>
    </row>
    <row r="2750" ht="12.0" customHeight="1">
      <c r="A2750" s="92" t="s">
        <v>630</v>
      </c>
      <c r="B2750" s="5" t="s">
        <v>631</v>
      </c>
      <c r="C2750" s="206" t="s">
        <v>3</v>
      </c>
      <c r="D2750" s="206" t="s">
        <v>4</v>
      </c>
      <c r="E2750" s="206" t="s">
        <v>507</v>
      </c>
      <c r="F2750" s="206" t="s">
        <v>508</v>
      </c>
      <c r="G2750" s="206" t="s">
        <v>509</v>
      </c>
      <c r="H2750" s="206" t="s">
        <v>510</v>
      </c>
      <c r="I2750" s="206" t="s">
        <v>511</v>
      </c>
      <c r="J2750" s="206" t="s">
        <v>512</v>
      </c>
      <c r="K2750" s="206" t="s">
        <v>513</v>
      </c>
      <c r="L2750" s="206" t="s">
        <v>514</v>
      </c>
      <c r="M2750" s="206" t="s">
        <v>515</v>
      </c>
      <c r="N2750" s="206" t="s">
        <v>516</v>
      </c>
      <c r="O2750" s="5"/>
      <c r="P2750" s="5"/>
      <c r="Q2750" s="5"/>
      <c r="R2750" s="5"/>
      <c r="S2750" s="5"/>
      <c r="T2750" s="5"/>
      <c r="U2750" s="5"/>
      <c r="V2750" s="5"/>
      <c r="W2750" s="5"/>
      <c r="X2750" s="5"/>
      <c r="Y2750" s="5"/>
      <c r="Z2750" s="5"/>
    </row>
    <row r="2751" ht="12.0" customHeight="1">
      <c r="A2751" s="92" t="s">
        <v>1643</v>
      </c>
      <c r="B2751" s="5" t="s">
        <v>633</v>
      </c>
      <c r="C2751" s="203">
        <f t="shared" ref="C2751:N2751" si="885">C2696</f>
        <v>198.9</v>
      </c>
      <c r="D2751" s="203">
        <f t="shared" si="885"/>
        <v>175.5</v>
      </c>
      <c r="E2751" s="203">
        <f t="shared" si="885"/>
        <v>210.6</v>
      </c>
      <c r="F2751" s="203">
        <f t="shared" si="885"/>
        <v>210.6</v>
      </c>
      <c r="G2751" s="203">
        <f t="shared" si="885"/>
        <v>210.6</v>
      </c>
      <c r="H2751" s="203">
        <f t="shared" si="885"/>
        <v>187.2</v>
      </c>
      <c r="I2751" s="203">
        <f t="shared" si="885"/>
        <v>210.6</v>
      </c>
      <c r="J2751" s="203">
        <f t="shared" si="885"/>
        <v>210.6</v>
      </c>
      <c r="K2751" s="203">
        <f t="shared" si="885"/>
        <v>198.9</v>
      </c>
      <c r="L2751" s="203">
        <f t="shared" si="885"/>
        <v>175.5</v>
      </c>
      <c r="M2751" s="203">
        <f t="shared" si="885"/>
        <v>163.8</v>
      </c>
      <c r="N2751" s="203">
        <f t="shared" si="885"/>
        <v>187.2</v>
      </c>
      <c r="O2751" s="5"/>
      <c r="P2751" s="5"/>
      <c r="Q2751" s="5"/>
      <c r="R2751" s="5"/>
      <c r="S2751" s="5"/>
      <c r="T2751" s="5"/>
      <c r="U2751" s="5"/>
      <c r="V2751" s="5"/>
      <c r="W2751" s="5"/>
      <c r="X2751" s="5"/>
      <c r="Y2751" s="5"/>
      <c r="Z2751" s="5"/>
    </row>
    <row r="2752" ht="12.0" customHeight="1">
      <c r="A2752" s="92"/>
      <c r="B2752" s="5" t="s">
        <v>634</v>
      </c>
      <c r="C2752" s="293">
        <f>C2751/Parametros!$B$37</f>
        <v>9.945</v>
      </c>
      <c r="D2752" s="293">
        <f>D2751/Parametros!$B$37</f>
        <v>8.775</v>
      </c>
      <c r="E2752" s="293">
        <f>E2751/Parametros!$B$37</f>
        <v>10.53</v>
      </c>
      <c r="F2752" s="293">
        <f>F2751/Parametros!$B$37</f>
        <v>10.53</v>
      </c>
      <c r="G2752" s="293">
        <f>G2751/Parametros!$B$37</f>
        <v>10.53</v>
      </c>
      <c r="H2752" s="293">
        <f>H2751/Parametros!$B$37</f>
        <v>9.36</v>
      </c>
      <c r="I2752" s="293">
        <f>I2751/Parametros!$B$37</f>
        <v>10.53</v>
      </c>
      <c r="J2752" s="293">
        <f>J2751/Parametros!$B$37</f>
        <v>10.53</v>
      </c>
      <c r="K2752" s="293">
        <f>K2751/Parametros!$B$37</f>
        <v>9.945</v>
      </c>
      <c r="L2752" s="293">
        <f>L2751/Parametros!$B$37</f>
        <v>8.775</v>
      </c>
      <c r="M2752" s="293">
        <f>M2751/Parametros!$B$37</f>
        <v>8.19</v>
      </c>
      <c r="N2752" s="293">
        <f>N2751/Parametros!$B$37</f>
        <v>9.36</v>
      </c>
      <c r="O2752" s="5"/>
      <c r="P2752" s="5"/>
      <c r="Q2752" s="5"/>
      <c r="R2752" s="5"/>
      <c r="S2752" s="5"/>
      <c r="T2752" s="5"/>
      <c r="U2752" s="5"/>
      <c r="V2752" s="5"/>
      <c r="W2752" s="5"/>
      <c r="X2752" s="5"/>
      <c r="Y2752" s="5"/>
      <c r="Z2752" s="5"/>
    </row>
    <row r="2753" ht="12.0" customHeight="1">
      <c r="A2753" s="92"/>
      <c r="B2753" s="5" t="s">
        <v>635</v>
      </c>
      <c r="C2753" s="293">
        <f>C2752/Parametros!$J$37</f>
        <v>1.326</v>
      </c>
      <c r="D2753" s="293">
        <f>D2752/Parametros!$J$37</f>
        <v>1.17</v>
      </c>
      <c r="E2753" s="293">
        <f>E2752/Parametros!$J$37</f>
        <v>1.404</v>
      </c>
      <c r="F2753" s="293">
        <f>F2752/Parametros!$J$37</f>
        <v>1.404</v>
      </c>
      <c r="G2753" s="293">
        <f>G2752/Parametros!$J$37</f>
        <v>1.404</v>
      </c>
      <c r="H2753" s="293">
        <f>H2752/Parametros!$J$37</f>
        <v>1.248</v>
      </c>
      <c r="I2753" s="293">
        <f>I2752/Parametros!$J$37</f>
        <v>1.404</v>
      </c>
      <c r="J2753" s="293">
        <f>J2752/Parametros!$J$37</f>
        <v>1.404</v>
      </c>
      <c r="K2753" s="293">
        <f>K2752/Parametros!$J$37</f>
        <v>1.326</v>
      </c>
      <c r="L2753" s="293">
        <f>L2752/Parametros!$J$37</f>
        <v>1.17</v>
      </c>
      <c r="M2753" s="293">
        <f>M2752/Parametros!$J$37</f>
        <v>1.092</v>
      </c>
      <c r="N2753" s="293">
        <f>N2752/Parametros!$J$37</f>
        <v>1.248</v>
      </c>
      <c r="O2753" s="5"/>
      <c r="P2753" s="5"/>
      <c r="Q2753" s="5"/>
      <c r="R2753" s="5"/>
      <c r="S2753" s="5"/>
      <c r="T2753" s="5"/>
      <c r="U2753" s="5"/>
      <c r="V2753" s="5"/>
      <c r="W2753" s="5"/>
      <c r="X2753" s="5"/>
      <c r="Y2753" s="5"/>
      <c r="Z2753" s="5"/>
    </row>
    <row r="2754" ht="12.0" customHeight="1">
      <c r="A2754" s="92" t="s">
        <v>636</v>
      </c>
      <c r="B2754" s="5"/>
      <c r="C2754" s="293">
        <f t="shared" ref="C2754:N2754" si="886">C2753</f>
        <v>1.326</v>
      </c>
      <c r="D2754" s="293">
        <f t="shared" si="886"/>
        <v>1.17</v>
      </c>
      <c r="E2754" s="293">
        <f t="shared" si="886"/>
        <v>1.404</v>
      </c>
      <c r="F2754" s="293">
        <f t="shared" si="886"/>
        <v>1.404</v>
      </c>
      <c r="G2754" s="293">
        <f t="shared" si="886"/>
        <v>1.404</v>
      </c>
      <c r="H2754" s="293">
        <f t="shared" si="886"/>
        <v>1.248</v>
      </c>
      <c r="I2754" s="293">
        <f t="shared" si="886"/>
        <v>1.404</v>
      </c>
      <c r="J2754" s="293">
        <f t="shared" si="886"/>
        <v>1.404</v>
      </c>
      <c r="K2754" s="293">
        <f t="shared" si="886"/>
        <v>1.326</v>
      </c>
      <c r="L2754" s="293">
        <f t="shared" si="886"/>
        <v>1.17</v>
      </c>
      <c r="M2754" s="293">
        <f t="shared" si="886"/>
        <v>1.092</v>
      </c>
      <c r="N2754" s="293">
        <f t="shared" si="886"/>
        <v>1.248</v>
      </c>
      <c r="O2754" s="5"/>
      <c r="P2754" s="5"/>
      <c r="Q2754" s="5"/>
      <c r="R2754" s="5"/>
      <c r="S2754" s="5"/>
      <c r="T2754" s="5"/>
      <c r="U2754" s="5"/>
      <c r="V2754" s="5"/>
      <c r="W2754" s="5"/>
      <c r="X2754" s="5"/>
      <c r="Y2754" s="5"/>
      <c r="Z2754" s="5"/>
    </row>
    <row r="2755" ht="12.0" customHeight="1">
      <c r="A2755" s="92" t="s">
        <v>637</v>
      </c>
      <c r="B2755" s="5"/>
      <c r="C2755" s="293">
        <f>Parametros!$M$117</f>
        <v>14.92682927</v>
      </c>
      <c r="D2755" s="293">
        <f>Parametros!$M$117</f>
        <v>14.92682927</v>
      </c>
      <c r="E2755" s="293">
        <f>Parametros!$M$117</f>
        <v>14.92682927</v>
      </c>
      <c r="F2755" s="293">
        <f>Parametros!$M$117</f>
        <v>14.92682927</v>
      </c>
      <c r="G2755" s="293">
        <f>Parametros!$M$117</f>
        <v>14.92682927</v>
      </c>
      <c r="H2755" s="293">
        <f>Parametros!$M$117</f>
        <v>14.92682927</v>
      </c>
      <c r="I2755" s="293">
        <f>Parametros!$M$117</f>
        <v>14.92682927</v>
      </c>
      <c r="J2755" s="293">
        <f>Parametros!$M$117</f>
        <v>14.92682927</v>
      </c>
      <c r="K2755" s="293">
        <f>Parametros!$M$117</f>
        <v>14.92682927</v>
      </c>
      <c r="L2755" s="293">
        <f>Parametros!$M$117</f>
        <v>14.92682927</v>
      </c>
      <c r="M2755" s="293">
        <f>Parametros!$M$117</f>
        <v>14.92682927</v>
      </c>
      <c r="N2755" s="293">
        <f>Parametros!$M$117</f>
        <v>14.92682927</v>
      </c>
      <c r="O2755" s="5"/>
      <c r="P2755" s="5"/>
      <c r="Q2755" s="5"/>
      <c r="R2755" s="5"/>
      <c r="S2755" s="5"/>
      <c r="T2755" s="5"/>
      <c r="U2755" s="5"/>
      <c r="V2755" s="5"/>
      <c r="W2755" s="5"/>
      <c r="X2755" s="5"/>
      <c r="Y2755" s="5"/>
      <c r="Z2755" s="5"/>
    </row>
    <row r="2756" ht="12.0" customHeight="1">
      <c r="A2756" s="92" t="s">
        <v>640</v>
      </c>
      <c r="B2756" s="5"/>
      <c r="C2756" s="203">
        <f>'Resumen Capacidad'!$I$225</f>
        <v>1</v>
      </c>
      <c r="D2756" s="203">
        <f>'Resumen Capacidad'!$I$225</f>
        <v>1</v>
      </c>
      <c r="E2756" s="203">
        <f>'Resumen Capacidad'!$I$225</f>
        <v>1</v>
      </c>
      <c r="F2756" s="203">
        <f>'Resumen Capacidad'!$I$225</f>
        <v>1</v>
      </c>
      <c r="G2756" s="203">
        <f>'Resumen Capacidad'!$I$225</f>
        <v>1</v>
      </c>
      <c r="H2756" s="203">
        <f>'Resumen Capacidad'!$I$225</f>
        <v>1</v>
      </c>
      <c r="I2756" s="203">
        <f>'Resumen Capacidad'!$I$225</f>
        <v>1</v>
      </c>
      <c r="J2756" s="203">
        <f>'Resumen Capacidad'!$I$225</f>
        <v>1</v>
      </c>
      <c r="K2756" s="203">
        <f>'Resumen Capacidad'!$I$225</f>
        <v>1</v>
      </c>
      <c r="L2756" s="203">
        <f>'Resumen Capacidad'!$I$225</f>
        <v>1</v>
      </c>
      <c r="M2756" s="203">
        <f>'Resumen Capacidad'!$I$225</f>
        <v>1</v>
      </c>
      <c r="N2756" s="203">
        <f>'Resumen Capacidad'!$I$225</f>
        <v>1</v>
      </c>
      <c r="O2756" s="5"/>
      <c r="P2756" s="5"/>
      <c r="Q2756" s="5"/>
      <c r="R2756" s="5"/>
      <c r="S2756" s="5"/>
      <c r="T2756" s="5"/>
      <c r="U2756" s="5"/>
      <c r="V2756" s="5"/>
      <c r="W2756" s="5"/>
      <c r="X2756" s="5"/>
      <c r="Y2756" s="5"/>
      <c r="Z2756" s="5"/>
    </row>
    <row r="2757" ht="12.0" customHeight="1">
      <c r="A2757" s="92" t="s">
        <v>642</v>
      </c>
      <c r="B2757" s="5"/>
      <c r="C2757" s="203">
        <f t="shared" ref="C2757:N2757" si="887">C2755*C2756</f>
        <v>14.92682927</v>
      </c>
      <c r="D2757" s="203">
        <f t="shared" si="887"/>
        <v>14.92682927</v>
      </c>
      <c r="E2757" s="203">
        <f t="shared" si="887"/>
        <v>14.92682927</v>
      </c>
      <c r="F2757" s="203">
        <f t="shared" si="887"/>
        <v>14.92682927</v>
      </c>
      <c r="G2757" s="203">
        <f t="shared" si="887"/>
        <v>14.92682927</v>
      </c>
      <c r="H2757" s="203">
        <f t="shared" si="887"/>
        <v>14.92682927</v>
      </c>
      <c r="I2757" s="203">
        <f t="shared" si="887"/>
        <v>14.92682927</v>
      </c>
      <c r="J2757" s="203">
        <f t="shared" si="887"/>
        <v>14.92682927</v>
      </c>
      <c r="K2757" s="203">
        <f t="shared" si="887"/>
        <v>14.92682927</v>
      </c>
      <c r="L2757" s="203">
        <f t="shared" si="887"/>
        <v>14.92682927</v>
      </c>
      <c r="M2757" s="203">
        <f t="shared" si="887"/>
        <v>14.92682927</v>
      </c>
      <c r="N2757" s="203">
        <f t="shared" si="887"/>
        <v>14.92682927</v>
      </c>
      <c r="O2757" s="5"/>
      <c r="P2757" s="5"/>
      <c r="Q2757" s="5"/>
      <c r="R2757" s="5"/>
      <c r="S2757" s="5"/>
      <c r="T2757" s="5"/>
      <c r="U2757" s="5"/>
      <c r="V2757" s="5"/>
      <c r="W2757" s="5"/>
      <c r="X2757" s="5"/>
      <c r="Y2757" s="5"/>
      <c r="Z2757" s="5"/>
    </row>
    <row r="2758" ht="12.0" customHeight="1">
      <c r="A2758" s="92" t="s">
        <v>643</v>
      </c>
      <c r="B2758" s="5"/>
      <c r="C2758" s="294">
        <f t="shared" ref="C2758:N2758" si="888">IF(C2757=0,0,C2754/C2757)</f>
        <v>0.08883333333</v>
      </c>
      <c r="D2758" s="294">
        <f t="shared" si="888"/>
        <v>0.07838235294</v>
      </c>
      <c r="E2758" s="294">
        <f t="shared" si="888"/>
        <v>0.09405882353</v>
      </c>
      <c r="F2758" s="294">
        <f t="shared" si="888"/>
        <v>0.09405882353</v>
      </c>
      <c r="G2758" s="294">
        <f t="shared" si="888"/>
        <v>0.09405882353</v>
      </c>
      <c r="H2758" s="294">
        <f t="shared" si="888"/>
        <v>0.08360784314</v>
      </c>
      <c r="I2758" s="294">
        <f t="shared" si="888"/>
        <v>0.09405882353</v>
      </c>
      <c r="J2758" s="294">
        <f t="shared" si="888"/>
        <v>0.09405882353</v>
      </c>
      <c r="K2758" s="294">
        <f t="shared" si="888"/>
        <v>0.08883333333</v>
      </c>
      <c r="L2758" s="294">
        <f t="shared" si="888"/>
        <v>0.07838235294</v>
      </c>
      <c r="M2758" s="294">
        <f t="shared" si="888"/>
        <v>0.07315686275</v>
      </c>
      <c r="N2758" s="294">
        <f t="shared" si="888"/>
        <v>0.08360784314</v>
      </c>
      <c r="O2758" s="5"/>
      <c r="P2758" s="5"/>
      <c r="Q2758" s="5"/>
      <c r="R2758" s="5"/>
      <c r="S2758" s="5"/>
      <c r="T2758" s="5"/>
      <c r="U2758" s="5"/>
      <c r="V2758" s="5"/>
      <c r="W2758" s="5"/>
      <c r="X2758" s="5"/>
      <c r="Y2758" s="5"/>
      <c r="Z2758" s="5"/>
    </row>
    <row r="2759" ht="12.0" customHeight="1">
      <c r="A2759" s="10" t="s">
        <v>1649</v>
      </c>
      <c r="B2759" s="5"/>
      <c r="C2759" s="206"/>
      <c r="D2759" s="206"/>
      <c r="E2759" s="206"/>
      <c r="F2759" s="206"/>
      <c r="G2759" s="206"/>
      <c r="H2759" s="206"/>
      <c r="I2759" s="206"/>
      <c r="J2759" s="206"/>
      <c r="K2759" s="206"/>
      <c r="L2759" s="206"/>
      <c r="M2759" s="206"/>
      <c r="N2759" s="206"/>
      <c r="O2759" s="5"/>
      <c r="P2759" s="5"/>
      <c r="Q2759" s="5"/>
      <c r="R2759" s="5"/>
      <c r="S2759" s="5"/>
      <c r="T2759" s="5"/>
      <c r="U2759" s="5"/>
      <c r="V2759" s="5"/>
      <c r="W2759" s="5"/>
      <c r="X2759" s="5"/>
      <c r="Y2759" s="5"/>
      <c r="Z2759" s="5"/>
    </row>
    <row r="2760" ht="12.0" customHeight="1">
      <c r="A2760" s="92" t="s">
        <v>630</v>
      </c>
      <c r="B2760" s="5" t="s">
        <v>631</v>
      </c>
      <c r="C2760" s="206" t="s">
        <v>3</v>
      </c>
      <c r="D2760" s="206" t="s">
        <v>4</v>
      </c>
      <c r="E2760" s="206" t="s">
        <v>507</v>
      </c>
      <c r="F2760" s="206" t="s">
        <v>508</v>
      </c>
      <c r="G2760" s="206" t="s">
        <v>509</v>
      </c>
      <c r="H2760" s="206" t="s">
        <v>510</v>
      </c>
      <c r="I2760" s="206" t="s">
        <v>511</v>
      </c>
      <c r="J2760" s="206" t="s">
        <v>512</v>
      </c>
      <c r="K2760" s="206" t="s">
        <v>513</v>
      </c>
      <c r="L2760" s="206" t="s">
        <v>514</v>
      </c>
      <c r="M2760" s="206" t="s">
        <v>515</v>
      </c>
      <c r="N2760" s="206" t="s">
        <v>516</v>
      </c>
      <c r="O2760" s="5"/>
      <c r="P2760" s="5"/>
      <c r="Q2760" s="5"/>
      <c r="R2760" s="5"/>
      <c r="S2760" s="5"/>
      <c r="T2760" s="5"/>
      <c r="U2760" s="5"/>
      <c r="V2760" s="5"/>
      <c r="W2760" s="5"/>
      <c r="X2760" s="5"/>
      <c r="Y2760" s="5"/>
      <c r="Z2760" s="5"/>
    </row>
    <row r="2761" ht="12.0" customHeight="1">
      <c r="A2761" s="92" t="s">
        <v>1643</v>
      </c>
      <c r="B2761" s="5" t="s">
        <v>633</v>
      </c>
      <c r="C2761" s="203">
        <f t="shared" ref="C2761:N2761" si="889">C2696</f>
        <v>198.9</v>
      </c>
      <c r="D2761" s="203">
        <f t="shared" si="889"/>
        <v>175.5</v>
      </c>
      <c r="E2761" s="203">
        <f t="shared" si="889"/>
        <v>210.6</v>
      </c>
      <c r="F2761" s="203">
        <f t="shared" si="889"/>
        <v>210.6</v>
      </c>
      <c r="G2761" s="203">
        <f t="shared" si="889"/>
        <v>210.6</v>
      </c>
      <c r="H2761" s="203">
        <f t="shared" si="889"/>
        <v>187.2</v>
      </c>
      <c r="I2761" s="203">
        <f t="shared" si="889"/>
        <v>210.6</v>
      </c>
      <c r="J2761" s="203">
        <f t="shared" si="889"/>
        <v>210.6</v>
      </c>
      <c r="K2761" s="203">
        <f t="shared" si="889"/>
        <v>198.9</v>
      </c>
      <c r="L2761" s="203">
        <f t="shared" si="889"/>
        <v>175.5</v>
      </c>
      <c r="M2761" s="203">
        <f t="shared" si="889"/>
        <v>163.8</v>
      </c>
      <c r="N2761" s="203">
        <f t="shared" si="889"/>
        <v>187.2</v>
      </c>
      <c r="O2761" s="5"/>
      <c r="P2761" s="5"/>
      <c r="Q2761" s="5"/>
      <c r="R2761" s="5"/>
      <c r="S2761" s="5"/>
      <c r="T2761" s="5"/>
      <c r="U2761" s="5"/>
      <c r="V2761" s="5"/>
      <c r="W2761" s="5"/>
      <c r="X2761" s="5"/>
      <c r="Y2761" s="5"/>
      <c r="Z2761" s="5"/>
    </row>
    <row r="2762" ht="12.0" customHeight="1">
      <c r="A2762" s="92"/>
      <c r="B2762" s="5" t="s">
        <v>634</v>
      </c>
      <c r="C2762" s="293">
        <f>C2761/Parametros!$B$37</f>
        <v>9.945</v>
      </c>
      <c r="D2762" s="293">
        <f>D2761/Parametros!$B$37</f>
        <v>8.775</v>
      </c>
      <c r="E2762" s="293">
        <f>E2761/Parametros!$B$37</f>
        <v>10.53</v>
      </c>
      <c r="F2762" s="293">
        <f>F2761/Parametros!$B$37</f>
        <v>10.53</v>
      </c>
      <c r="G2762" s="293">
        <f>G2761/Parametros!$B$37</f>
        <v>10.53</v>
      </c>
      <c r="H2762" s="293">
        <f>H2761/Parametros!$B$37</f>
        <v>9.36</v>
      </c>
      <c r="I2762" s="293">
        <f>I2761/Parametros!$B$37</f>
        <v>10.53</v>
      </c>
      <c r="J2762" s="293">
        <f>J2761/Parametros!$B$37</f>
        <v>10.53</v>
      </c>
      <c r="K2762" s="293">
        <f>K2761/Parametros!$B$37</f>
        <v>9.945</v>
      </c>
      <c r="L2762" s="293">
        <f>L2761/Parametros!$B$37</f>
        <v>8.775</v>
      </c>
      <c r="M2762" s="293">
        <f>M2761/Parametros!$B$37</f>
        <v>8.19</v>
      </c>
      <c r="N2762" s="293">
        <f>N2761/Parametros!$B$37</f>
        <v>9.36</v>
      </c>
      <c r="O2762" s="5"/>
      <c r="P2762" s="5"/>
      <c r="Q2762" s="5"/>
      <c r="R2762" s="5"/>
      <c r="S2762" s="5"/>
      <c r="T2762" s="5"/>
      <c r="U2762" s="5"/>
      <c r="V2762" s="5"/>
      <c r="W2762" s="5"/>
      <c r="X2762" s="5"/>
      <c r="Y2762" s="5"/>
      <c r="Z2762" s="5"/>
    </row>
    <row r="2763" ht="12.0" customHeight="1">
      <c r="A2763" s="92"/>
      <c r="B2763" s="5" t="s">
        <v>635</v>
      </c>
      <c r="C2763" s="293">
        <f>C2762/Parametros!$J$37</f>
        <v>1.326</v>
      </c>
      <c r="D2763" s="293">
        <f>D2762/Parametros!$J$37</f>
        <v>1.17</v>
      </c>
      <c r="E2763" s="293">
        <f>E2762/Parametros!$J$37</f>
        <v>1.404</v>
      </c>
      <c r="F2763" s="293">
        <f>F2762/Parametros!$J$37</f>
        <v>1.404</v>
      </c>
      <c r="G2763" s="293">
        <f>G2762/Parametros!$J$37</f>
        <v>1.404</v>
      </c>
      <c r="H2763" s="293">
        <f>H2762/Parametros!$J$37</f>
        <v>1.248</v>
      </c>
      <c r="I2763" s="293">
        <f>I2762/Parametros!$J$37</f>
        <v>1.404</v>
      </c>
      <c r="J2763" s="293">
        <f>J2762/Parametros!$J$37</f>
        <v>1.404</v>
      </c>
      <c r="K2763" s="293">
        <f>K2762/Parametros!$J$37</f>
        <v>1.326</v>
      </c>
      <c r="L2763" s="293">
        <f>L2762/Parametros!$J$37</f>
        <v>1.17</v>
      </c>
      <c r="M2763" s="293">
        <f>M2762/Parametros!$J$37</f>
        <v>1.092</v>
      </c>
      <c r="N2763" s="293">
        <f>N2762/Parametros!$J$37</f>
        <v>1.248</v>
      </c>
      <c r="O2763" s="5"/>
      <c r="P2763" s="5"/>
      <c r="Q2763" s="5"/>
      <c r="R2763" s="5"/>
      <c r="S2763" s="5"/>
      <c r="T2763" s="5"/>
      <c r="U2763" s="5"/>
      <c r="V2763" s="5"/>
      <c r="W2763" s="5"/>
      <c r="X2763" s="5"/>
      <c r="Y2763" s="5"/>
      <c r="Z2763" s="5"/>
    </row>
    <row r="2764" ht="12.0" customHeight="1">
      <c r="A2764" s="92" t="s">
        <v>636</v>
      </c>
      <c r="B2764" s="5"/>
      <c r="C2764" s="293">
        <f t="shared" ref="C2764:N2764" si="890">C2763</f>
        <v>1.326</v>
      </c>
      <c r="D2764" s="293">
        <f t="shared" si="890"/>
        <v>1.17</v>
      </c>
      <c r="E2764" s="293">
        <f t="shared" si="890"/>
        <v>1.404</v>
      </c>
      <c r="F2764" s="293">
        <f t="shared" si="890"/>
        <v>1.404</v>
      </c>
      <c r="G2764" s="293">
        <f t="shared" si="890"/>
        <v>1.404</v>
      </c>
      <c r="H2764" s="293">
        <f t="shared" si="890"/>
        <v>1.248</v>
      </c>
      <c r="I2764" s="293">
        <f t="shared" si="890"/>
        <v>1.404</v>
      </c>
      <c r="J2764" s="293">
        <f t="shared" si="890"/>
        <v>1.404</v>
      </c>
      <c r="K2764" s="293">
        <f t="shared" si="890"/>
        <v>1.326</v>
      </c>
      <c r="L2764" s="293">
        <f t="shared" si="890"/>
        <v>1.17</v>
      </c>
      <c r="M2764" s="293">
        <f t="shared" si="890"/>
        <v>1.092</v>
      </c>
      <c r="N2764" s="293">
        <f t="shared" si="890"/>
        <v>1.248</v>
      </c>
      <c r="O2764" s="5"/>
      <c r="P2764" s="5"/>
      <c r="Q2764" s="5"/>
      <c r="R2764" s="5"/>
      <c r="S2764" s="5"/>
      <c r="T2764" s="5"/>
      <c r="U2764" s="5"/>
      <c r="V2764" s="5"/>
      <c r="W2764" s="5"/>
      <c r="X2764" s="5"/>
      <c r="Y2764" s="5"/>
      <c r="Z2764" s="5"/>
    </row>
    <row r="2765" ht="12.0" customHeight="1">
      <c r="A2765" s="92" t="s">
        <v>637</v>
      </c>
      <c r="B2765" s="5"/>
      <c r="C2765" s="293">
        <f>Parametros!$M$118</f>
        <v>38.25</v>
      </c>
      <c r="D2765" s="293">
        <f>Parametros!$M$118</f>
        <v>38.25</v>
      </c>
      <c r="E2765" s="293">
        <f>Parametros!$M$118</f>
        <v>38.25</v>
      </c>
      <c r="F2765" s="293">
        <f>Parametros!$M$118</f>
        <v>38.25</v>
      </c>
      <c r="G2765" s="293">
        <f>Parametros!$M$118</f>
        <v>38.25</v>
      </c>
      <c r="H2765" s="293">
        <f>Parametros!$M$118</f>
        <v>38.25</v>
      </c>
      <c r="I2765" s="293">
        <f>Parametros!$M$118</f>
        <v>38.25</v>
      </c>
      <c r="J2765" s="293">
        <f>Parametros!$M$118</f>
        <v>38.25</v>
      </c>
      <c r="K2765" s="293">
        <f>Parametros!$M$118</f>
        <v>38.25</v>
      </c>
      <c r="L2765" s="293">
        <f>Parametros!$M$118</f>
        <v>38.25</v>
      </c>
      <c r="M2765" s="293">
        <f>Parametros!$M$118</f>
        <v>38.25</v>
      </c>
      <c r="N2765" s="293">
        <f>Parametros!$M$118</f>
        <v>38.25</v>
      </c>
      <c r="O2765" s="5"/>
      <c r="P2765" s="5"/>
      <c r="Q2765" s="5"/>
      <c r="R2765" s="5"/>
      <c r="S2765" s="5"/>
      <c r="T2765" s="5"/>
      <c r="U2765" s="5"/>
      <c r="V2765" s="5"/>
      <c r="W2765" s="5"/>
      <c r="X2765" s="5"/>
      <c r="Y2765" s="5"/>
      <c r="Z2765" s="5"/>
    </row>
    <row r="2766" ht="12.0" customHeight="1">
      <c r="A2766" s="92" t="s">
        <v>640</v>
      </c>
      <c r="B2766" s="5"/>
      <c r="C2766" s="203">
        <f>'Resumen Capacidad'!$I$226</f>
        <v>1</v>
      </c>
      <c r="D2766" s="203">
        <f>'Resumen Capacidad'!$I$226</f>
        <v>1</v>
      </c>
      <c r="E2766" s="203">
        <f>'Resumen Capacidad'!$I$226</f>
        <v>1</v>
      </c>
      <c r="F2766" s="203">
        <f>'Resumen Capacidad'!$I$226</f>
        <v>1</v>
      </c>
      <c r="G2766" s="203">
        <f>'Resumen Capacidad'!$I$226</f>
        <v>1</v>
      </c>
      <c r="H2766" s="203">
        <f>'Resumen Capacidad'!$I$226</f>
        <v>1</v>
      </c>
      <c r="I2766" s="203">
        <f>'Resumen Capacidad'!$I$226</f>
        <v>1</v>
      </c>
      <c r="J2766" s="203">
        <f>'Resumen Capacidad'!$I$226</f>
        <v>1</v>
      </c>
      <c r="K2766" s="203">
        <f>'Resumen Capacidad'!$I$226</f>
        <v>1</v>
      </c>
      <c r="L2766" s="203">
        <f>'Resumen Capacidad'!$I$226</f>
        <v>1</v>
      </c>
      <c r="M2766" s="203">
        <f>'Resumen Capacidad'!$I$226</f>
        <v>1</v>
      </c>
      <c r="N2766" s="203">
        <f>'Resumen Capacidad'!$I$226</f>
        <v>1</v>
      </c>
      <c r="O2766" s="5"/>
      <c r="P2766" s="5"/>
      <c r="Q2766" s="5"/>
      <c r="R2766" s="5"/>
      <c r="S2766" s="5"/>
      <c r="T2766" s="5"/>
      <c r="U2766" s="5"/>
      <c r="V2766" s="5"/>
      <c r="W2766" s="5"/>
      <c r="X2766" s="5"/>
      <c r="Y2766" s="5"/>
      <c r="Z2766" s="5"/>
    </row>
    <row r="2767" ht="12.0" customHeight="1">
      <c r="A2767" s="92" t="s">
        <v>642</v>
      </c>
      <c r="B2767" s="5"/>
      <c r="C2767" s="203">
        <f t="shared" ref="C2767:N2767" si="891">C2765*C2766</f>
        <v>38.25</v>
      </c>
      <c r="D2767" s="203">
        <f t="shared" si="891"/>
        <v>38.25</v>
      </c>
      <c r="E2767" s="203">
        <f t="shared" si="891"/>
        <v>38.25</v>
      </c>
      <c r="F2767" s="203">
        <f t="shared" si="891"/>
        <v>38.25</v>
      </c>
      <c r="G2767" s="203">
        <f t="shared" si="891"/>
        <v>38.25</v>
      </c>
      <c r="H2767" s="203">
        <f t="shared" si="891"/>
        <v>38.25</v>
      </c>
      <c r="I2767" s="203">
        <f t="shared" si="891"/>
        <v>38.25</v>
      </c>
      <c r="J2767" s="203">
        <f t="shared" si="891"/>
        <v>38.25</v>
      </c>
      <c r="K2767" s="203">
        <f t="shared" si="891"/>
        <v>38.25</v>
      </c>
      <c r="L2767" s="203">
        <f t="shared" si="891"/>
        <v>38.25</v>
      </c>
      <c r="M2767" s="203">
        <f t="shared" si="891"/>
        <v>38.25</v>
      </c>
      <c r="N2767" s="203">
        <f t="shared" si="891"/>
        <v>38.25</v>
      </c>
      <c r="O2767" s="5"/>
      <c r="P2767" s="5"/>
      <c r="Q2767" s="5"/>
      <c r="R2767" s="5"/>
      <c r="S2767" s="5"/>
      <c r="T2767" s="5"/>
      <c r="U2767" s="5"/>
      <c r="V2767" s="5"/>
      <c r="W2767" s="5"/>
      <c r="X2767" s="5"/>
      <c r="Y2767" s="5"/>
      <c r="Z2767" s="5"/>
    </row>
    <row r="2768" ht="12.0" customHeight="1">
      <c r="A2768" s="92" t="s">
        <v>643</v>
      </c>
      <c r="B2768" s="5"/>
      <c r="C2768" s="294">
        <f t="shared" ref="C2768:N2768" si="892">IF(C2767=0,0,C2764/C2767)</f>
        <v>0.03466666667</v>
      </c>
      <c r="D2768" s="294">
        <f t="shared" si="892"/>
        <v>0.03058823529</v>
      </c>
      <c r="E2768" s="294">
        <f t="shared" si="892"/>
        <v>0.03670588235</v>
      </c>
      <c r="F2768" s="294">
        <f t="shared" si="892"/>
        <v>0.03670588235</v>
      </c>
      <c r="G2768" s="294">
        <f t="shared" si="892"/>
        <v>0.03670588235</v>
      </c>
      <c r="H2768" s="294">
        <f t="shared" si="892"/>
        <v>0.03262745098</v>
      </c>
      <c r="I2768" s="294">
        <f t="shared" si="892"/>
        <v>0.03670588235</v>
      </c>
      <c r="J2768" s="294">
        <f t="shared" si="892"/>
        <v>0.03670588235</v>
      </c>
      <c r="K2768" s="294">
        <f t="shared" si="892"/>
        <v>0.03466666667</v>
      </c>
      <c r="L2768" s="294">
        <f t="shared" si="892"/>
        <v>0.03058823529</v>
      </c>
      <c r="M2768" s="294">
        <f t="shared" si="892"/>
        <v>0.02854901961</v>
      </c>
      <c r="N2768" s="294">
        <f t="shared" si="892"/>
        <v>0.03262745098</v>
      </c>
      <c r="O2768" s="5"/>
      <c r="P2768" s="5"/>
      <c r="Q2768" s="5"/>
      <c r="R2768" s="5"/>
      <c r="S2768" s="5"/>
      <c r="T2768" s="5"/>
      <c r="U2768" s="5"/>
      <c r="V2768" s="5"/>
      <c r="W2768" s="5"/>
      <c r="X2768" s="5"/>
      <c r="Y2768" s="5"/>
      <c r="Z2768" s="5"/>
    </row>
    <row r="2769" ht="12.0" customHeight="1">
      <c r="A2769" s="10" t="s">
        <v>1650</v>
      </c>
      <c r="B2769" s="5"/>
      <c r="C2769" s="206"/>
      <c r="D2769" s="206"/>
      <c r="E2769" s="206"/>
      <c r="F2769" s="206"/>
      <c r="G2769" s="206"/>
      <c r="H2769" s="206"/>
      <c r="I2769" s="206"/>
      <c r="J2769" s="206"/>
      <c r="K2769" s="206"/>
      <c r="L2769" s="206"/>
      <c r="M2769" s="206"/>
      <c r="N2769" s="206"/>
      <c r="O2769" s="5"/>
      <c r="P2769" s="5"/>
      <c r="Q2769" s="5"/>
      <c r="R2769" s="5"/>
      <c r="S2769" s="5"/>
      <c r="T2769" s="5"/>
      <c r="U2769" s="5"/>
      <c r="V2769" s="5"/>
      <c r="W2769" s="5"/>
      <c r="X2769" s="5"/>
      <c r="Y2769" s="5"/>
      <c r="Z2769" s="5"/>
    </row>
    <row r="2770" ht="12.0" customHeight="1">
      <c r="A2770" s="92" t="s">
        <v>630</v>
      </c>
      <c r="B2770" s="5" t="s">
        <v>631</v>
      </c>
      <c r="C2770" s="206" t="s">
        <v>3</v>
      </c>
      <c r="D2770" s="206" t="s">
        <v>4</v>
      </c>
      <c r="E2770" s="206" t="s">
        <v>507</v>
      </c>
      <c r="F2770" s="206" t="s">
        <v>508</v>
      </c>
      <c r="G2770" s="206" t="s">
        <v>509</v>
      </c>
      <c r="H2770" s="206" t="s">
        <v>510</v>
      </c>
      <c r="I2770" s="206" t="s">
        <v>511</v>
      </c>
      <c r="J2770" s="206" t="s">
        <v>512</v>
      </c>
      <c r="K2770" s="206" t="s">
        <v>513</v>
      </c>
      <c r="L2770" s="206" t="s">
        <v>514</v>
      </c>
      <c r="M2770" s="206" t="s">
        <v>515</v>
      </c>
      <c r="N2770" s="206" t="s">
        <v>516</v>
      </c>
      <c r="O2770" s="5"/>
      <c r="P2770" s="5"/>
      <c r="Q2770" s="5"/>
      <c r="R2770" s="5"/>
      <c r="S2770" s="5"/>
      <c r="T2770" s="5"/>
      <c r="U2770" s="5"/>
      <c r="V2770" s="5"/>
      <c r="W2770" s="5"/>
      <c r="X2770" s="5"/>
      <c r="Y2770" s="5"/>
      <c r="Z2770" s="5"/>
    </row>
    <row r="2771" ht="12.0" customHeight="1">
      <c r="A2771" s="92" t="s">
        <v>1643</v>
      </c>
      <c r="B2771" s="5" t="s">
        <v>633</v>
      </c>
      <c r="C2771" s="203">
        <f t="shared" ref="C2771:N2771" si="893">C2696</f>
        <v>198.9</v>
      </c>
      <c r="D2771" s="203">
        <f t="shared" si="893"/>
        <v>175.5</v>
      </c>
      <c r="E2771" s="203">
        <f t="shared" si="893"/>
        <v>210.6</v>
      </c>
      <c r="F2771" s="203">
        <f t="shared" si="893"/>
        <v>210.6</v>
      </c>
      <c r="G2771" s="203">
        <f t="shared" si="893"/>
        <v>210.6</v>
      </c>
      <c r="H2771" s="203">
        <f t="shared" si="893"/>
        <v>187.2</v>
      </c>
      <c r="I2771" s="203">
        <f t="shared" si="893"/>
        <v>210.6</v>
      </c>
      <c r="J2771" s="203">
        <f t="shared" si="893"/>
        <v>210.6</v>
      </c>
      <c r="K2771" s="203">
        <f t="shared" si="893"/>
        <v>198.9</v>
      </c>
      <c r="L2771" s="203">
        <f t="shared" si="893"/>
        <v>175.5</v>
      </c>
      <c r="M2771" s="203">
        <f t="shared" si="893"/>
        <v>163.8</v>
      </c>
      <c r="N2771" s="203">
        <f t="shared" si="893"/>
        <v>187.2</v>
      </c>
      <c r="O2771" s="5"/>
      <c r="P2771" s="5"/>
      <c r="Q2771" s="5"/>
      <c r="R2771" s="5"/>
      <c r="S2771" s="5"/>
      <c r="T2771" s="5"/>
      <c r="U2771" s="5"/>
      <c r="V2771" s="5"/>
      <c r="W2771" s="5"/>
      <c r="X2771" s="5"/>
      <c r="Y2771" s="5"/>
      <c r="Z2771" s="5"/>
    </row>
    <row r="2772" ht="12.0" customHeight="1">
      <c r="A2772" s="92"/>
      <c r="B2772" s="5" t="s">
        <v>634</v>
      </c>
      <c r="C2772" s="293">
        <f>C2771/Parametros!$B$37</f>
        <v>9.945</v>
      </c>
      <c r="D2772" s="293">
        <f>D2771/Parametros!$B$37</f>
        <v>8.775</v>
      </c>
      <c r="E2772" s="293">
        <f>E2771/Parametros!$B$37</f>
        <v>10.53</v>
      </c>
      <c r="F2772" s="293">
        <f>F2771/Parametros!$B$37</f>
        <v>10.53</v>
      </c>
      <c r="G2772" s="293">
        <f>G2771/Parametros!$B$37</f>
        <v>10.53</v>
      </c>
      <c r="H2772" s="293">
        <f>H2771/Parametros!$B$37</f>
        <v>9.36</v>
      </c>
      <c r="I2772" s="293">
        <f>I2771/Parametros!$B$37</f>
        <v>10.53</v>
      </c>
      <c r="J2772" s="293">
        <f>J2771/Parametros!$B$37</f>
        <v>10.53</v>
      </c>
      <c r="K2772" s="293">
        <f>K2771/Parametros!$B$37</f>
        <v>9.945</v>
      </c>
      <c r="L2772" s="293">
        <f>L2771/Parametros!$B$37</f>
        <v>8.775</v>
      </c>
      <c r="M2772" s="293">
        <f>M2771/Parametros!$B$37</f>
        <v>8.19</v>
      </c>
      <c r="N2772" s="293">
        <f>N2771/Parametros!$B$37</f>
        <v>9.36</v>
      </c>
      <c r="O2772" s="5"/>
      <c r="P2772" s="5"/>
      <c r="Q2772" s="5"/>
      <c r="R2772" s="5"/>
      <c r="S2772" s="5"/>
      <c r="T2772" s="5"/>
      <c r="U2772" s="5"/>
      <c r="V2772" s="5"/>
      <c r="W2772" s="5"/>
      <c r="X2772" s="5"/>
      <c r="Y2772" s="5"/>
      <c r="Z2772" s="5"/>
    </row>
    <row r="2773" ht="12.0" customHeight="1">
      <c r="A2773" s="92"/>
      <c r="B2773" s="5" t="s">
        <v>635</v>
      </c>
      <c r="C2773" s="293">
        <f>C2772/Parametros!$J$37</f>
        <v>1.326</v>
      </c>
      <c r="D2773" s="293">
        <f>D2772/Parametros!$J$37</f>
        <v>1.17</v>
      </c>
      <c r="E2773" s="293">
        <f>E2772/Parametros!$J$37</f>
        <v>1.404</v>
      </c>
      <c r="F2773" s="293">
        <f>F2772/Parametros!$J$37</f>
        <v>1.404</v>
      </c>
      <c r="G2773" s="293">
        <f>G2772/Parametros!$J$37</f>
        <v>1.404</v>
      </c>
      <c r="H2773" s="293">
        <f>H2772/Parametros!$J$37</f>
        <v>1.248</v>
      </c>
      <c r="I2773" s="293">
        <f>I2772/Parametros!$J$37</f>
        <v>1.404</v>
      </c>
      <c r="J2773" s="293">
        <f>J2772/Parametros!$J$37</f>
        <v>1.404</v>
      </c>
      <c r="K2773" s="293">
        <f>K2772/Parametros!$J$37</f>
        <v>1.326</v>
      </c>
      <c r="L2773" s="293">
        <f>L2772/Parametros!$J$37</f>
        <v>1.17</v>
      </c>
      <c r="M2773" s="293">
        <f>M2772/Parametros!$J$37</f>
        <v>1.092</v>
      </c>
      <c r="N2773" s="293">
        <f>N2772/Parametros!$J$37</f>
        <v>1.248</v>
      </c>
      <c r="O2773" s="5"/>
      <c r="P2773" s="5"/>
      <c r="Q2773" s="5"/>
      <c r="R2773" s="5"/>
      <c r="S2773" s="5"/>
      <c r="T2773" s="5"/>
      <c r="U2773" s="5"/>
      <c r="V2773" s="5"/>
      <c r="W2773" s="5"/>
      <c r="X2773" s="5"/>
      <c r="Y2773" s="5"/>
      <c r="Z2773" s="5"/>
    </row>
    <row r="2774" ht="12.0" customHeight="1">
      <c r="A2774" s="92" t="s">
        <v>636</v>
      </c>
      <c r="B2774" s="5"/>
      <c r="C2774" s="293">
        <f t="shared" ref="C2774:N2774" si="894">C2773</f>
        <v>1.326</v>
      </c>
      <c r="D2774" s="293">
        <f t="shared" si="894"/>
        <v>1.17</v>
      </c>
      <c r="E2774" s="293">
        <f t="shared" si="894"/>
        <v>1.404</v>
      </c>
      <c r="F2774" s="293">
        <f t="shared" si="894"/>
        <v>1.404</v>
      </c>
      <c r="G2774" s="293">
        <f t="shared" si="894"/>
        <v>1.404</v>
      </c>
      <c r="H2774" s="293">
        <f t="shared" si="894"/>
        <v>1.248</v>
      </c>
      <c r="I2774" s="293">
        <f t="shared" si="894"/>
        <v>1.404</v>
      </c>
      <c r="J2774" s="293">
        <f t="shared" si="894"/>
        <v>1.404</v>
      </c>
      <c r="K2774" s="293">
        <f t="shared" si="894"/>
        <v>1.326</v>
      </c>
      <c r="L2774" s="293">
        <f t="shared" si="894"/>
        <v>1.17</v>
      </c>
      <c r="M2774" s="293">
        <f t="shared" si="894"/>
        <v>1.092</v>
      </c>
      <c r="N2774" s="293">
        <f t="shared" si="894"/>
        <v>1.248</v>
      </c>
      <c r="O2774" s="5"/>
      <c r="P2774" s="5"/>
      <c r="Q2774" s="5"/>
      <c r="R2774" s="5"/>
      <c r="S2774" s="5"/>
      <c r="T2774" s="5"/>
      <c r="U2774" s="5"/>
      <c r="V2774" s="5"/>
      <c r="W2774" s="5"/>
      <c r="X2774" s="5"/>
      <c r="Y2774" s="5"/>
      <c r="Z2774" s="5"/>
    </row>
    <row r="2775" ht="12.0" customHeight="1">
      <c r="A2775" s="92" t="s">
        <v>637</v>
      </c>
      <c r="B2775" s="5"/>
      <c r="C2775" s="293">
        <f>Parametros!$M$119</f>
        <v>5.666666667</v>
      </c>
      <c r="D2775" s="293">
        <f>Parametros!$M$119</f>
        <v>5.666666667</v>
      </c>
      <c r="E2775" s="293">
        <f>Parametros!$M$119</f>
        <v>5.666666667</v>
      </c>
      <c r="F2775" s="293">
        <f>Parametros!$M$119</f>
        <v>5.666666667</v>
      </c>
      <c r="G2775" s="293">
        <f>Parametros!$M$119</f>
        <v>5.666666667</v>
      </c>
      <c r="H2775" s="293">
        <f>Parametros!$M$119</f>
        <v>5.666666667</v>
      </c>
      <c r="I2775" s="293">
        <f>Parametros!$M$119</f>
        <v>5.666666667</v>
      </c>
      <c r="J2775" s="293">
        <f>Parametros!$M$119</f>
        <v>5.666666667</v>
      </c>
      <c r="K2775" s="293">
        <f>Parametros!$M$119</f>
        <v>5.666666667</v>
      </c>
      <c r="L2775" s="293">
        <f>Parametros!$M$119</f>
        <v>5.666666667</v>
      </c>
      <c r="M2775" s="293">
        <f>Parametros!$M$119</f>
        <v>5.666666667</v>
      </c>
      <c r="N2775" s="293">
        <f>Parametros!$M$119</f>
        <v>5.666666667</v>
      </c>
      <c r="O2775" s="5"/>
      <c r="P2775" s="5"/>
      <c r="Q2775" s="5"/>
      <c r="R2775" s="5"/>
      <c r="S2775" s="5"/>
      <c r="T2775" s="5"/>
      <c r="U2775" s="5"/>
      <c r="V2775" s="5"/>
      <c r="W2775" s="5"/>
      <c r="X2775" s="5"/>
      <c r="Y2775" s="5"/>
      <c r="Z2775" s="5"/>
    </row>
    <row r="2776" ht="12.0" customHeight="1">
      <c r="A2776" s="92" t="s">
        <v>640</v>
      </c>
      <c r="B2776" s="5"/>
      <c r="C2776" s="203">
        <f>'Resumen Capacidad'!$I$227</f>
        <v>1</v>
      </c>
      <c r="D2776" s="203">
        <f>'Resumen Capacidad'!$I$227</f>
        <v>1</v>
      </c>
      <c r="E2776" s="203">
        <f>'Resumen Capacidad'!$I$227</f>
        <v>1</v>
      </c>
      <c r="F2776" s="203">
        <f>'Resumen Capacidad'!$I$227</f>
        <v>1</v>
      </c>
      <c r="G2776" s="203">
        <f>'Resumen Capacidad'!$I$227</f>
        <v>1</v>
      </c>
      <c r="H2776" s="203">
        <f>'Resumen Capacidad'!$I$227</f>
        <v>1</v>
      </c>
      <c r="I2776" s="203">
        <f>'Resumen Capacidad'!$I$227</f>
        <v>1</v>
      </c>
      <c r="J2776" s="203">
        <f>'Resumen Capacidad'!$I$227</f>
        <v>1</v>
      </c>
      <c r="K2776" s="203">
        <f>'Resumen Capacidad'!$I$227</f>
        <v>1</v>
      </c>
      <c r="L2776" s="203">
        <f>'Resumen Capacidad'!$I$227</f>
        <v>1</v>
      </c>
      <c r="M2776" s="203">
        <f>'Resumen Capacidad'!$I$227</f>
        <v>1</v>
      </c>
      <c r="N2776" s="203">
        <f>'Resumen Capacidad'!$I$227</f>
        <v>1</v>
      </c>
      <c r="O2776" s="5"/>
      <c r="P2776" s="5"/>
      <c r="Q2776" s="5"/>
      <c r="R2776" s="5"/>
      <c r="S2776" s="5"/>
      <c r="T2776" s="5"/>
      <c r="U2776" s="5"/>
      <c r="V2776" s="5"/>
      <c r="W2776" s="5"/>
      <c r="X2776" s="5"/>
      <c r="Y2776" s="5"/>
      <c r="Z2776" s="5"/>
    </row>
    <row r="2777" ht="12.0" customHeight="1">
      <c r="A2777" s="92" t="s">
        <v>642</v>
      </c>
      <c r="B2777" s="5"/>
      <c r="C2777" s="203">
        <f t="shared" ref="C2777:N2777" si="895">C2775*C2776</f>
        <v>5.666666667</v>
      </c>
      <c r="D2777" s="203">
        <f t="shared" si="895"/>
        <v>5.666666667</v>
      </c>
      <c r="E2777" s="203">
        <f t="shared" si="895"/>
        <v>5.666666667</v>
      </c>
      <c r="F2777" s="203">
        <f t="shared" si="895"/>
        <v>5.666666667</v>
      </c>
      <c r="G2777" s="203">
        <f t="shared" si="895"/>
        <v>5.666666667</v>
      </c>
      <c r="H2777" s="203">
        <f t="shared" si="895"/>
        <v>5.666666667</v>
      </c>
      <c r="I2777" s="203">
        <f t="shared" si="895"/>
        <v>5.666666667</v>
      </c>
      <c r="J2777" s="203">
        <f t="shared" si="895"/>
        <v>5.666666667</v>
      </c>
      <c r="K2777" s="203">
        <f t="shared" si="895"/>
        <v>5.666666667</v>
      </c>
      <c r="L2777" s="203">
        <f t="shared" si="895"/>
        <v>5.666666667</v>
      </c>
      <c r="M2777" s="203">
        <f t="shared" si="895"/>
        <v>5.666666667</v>
      </c>
      <c r="N2777" s="203">
        <f t="shared" si="895"/>
        <v>5.666666667</v>
      </c>
      <c r="O2777" s="5"/>
      <c r="P2777" s="5"/>
      <c r="Q2777" s="5"/>
      <c r="R2777" s="5"/>
      <c r="S2777" s="5"/>
      <c r="T2777" s="5"/>
      <c r="U2777" s="5"/>
      <c r="V2777" s="5"/>
      <c r="W2777" s="5"/>
      <c r="X2777" s="5"/>
      <c r="Y2777" s="5"/>
      <c r="Z2777" s="5"/>
    </row>
    <row r="2778" ht="12.0" customHeight="1">
      <c r="A2778" s="92" t="s">
        <v>643</v>
      </c>
      <c r="B2778" s="5"/>
      <c r="C2778" s="294">
        <f t="shared" ref="C2778:N2778" si="896">IF(C2777=0,0,C2774/C2777)</f>
        <v>0.234</v>
      </c>
      <c r="D2778" s="294">
        <f t="shared" si="896"/>
        <v>0.2064705882</v>
      </c>
      <c r="E2778" s="294">
        <f t="shared" si="896"/>
        <v>0.2477647059</v>
      </c>
      <c r="F2778" s="294">
        <f t="shared" si="896"/>
        <v>0.2477647059</v>
      </c>
      <c r="G2778" s="294">
        <f t="shared" si="896"/>
        <v>0.2477647059</v>
      </c>
      <c r="H2778" s="294">
        <f t="shared" si="896"/>
        <v>0.2202352941</v>
      </c>
      <c r="I2778" s="294">
        <f t="shared" si="896"/>
        <v>0.2477647059</v>
      </c>
      <c r="J2778" s="294">
        <f t="shared" si="896"/>
        <v>0.2477647059</v>
      </c>
      <c r="K2778" s="294">
        <f t="shared" si="896"/>
        <v>0.234</v>
      </c>
      <c r="L2778" s="294">
        <f t="shared" si="896"/>
        <v>0.2064705882</v>
      </c>
      <c r="M2778" s="294">
        <f t="shared" si="896"/>
        <v>0.1927058824</v>
      </c>
      <c r="N2778" s="294">
        <f t="shared" si="896"/>
        <v>0.2202352941</v>
      </c>
      <c r="O2778" s="5"/>
      <c r="P2778" s="5"/>
      <c r="Q2778" s="5"/>
      <c r="R2778" s="5"/>
      <c r="S2778" s="5"/>
      <c r="T2778" s="5"/>
      <c r="U2778" s="5"/>
      <c r="V2778" s="5"/>
      <c r="W2778" s="5"/>
      <c r="X2778" s="5"/>
      <c r="Y2778" s="5"/>
      <c r="Z2778" s="5"/>
    </row>
    <row r="2779" ht="12.0" customHeight="1">
      <c r="A2779" s="92"/>
      <c r="B2779" s="5"/>
      <c r="C2779" s="206"/>
      <c r="D2779" s="206"/>
      <c r="E2779" s="206"/>
      <c r="F2779" s="206"/>
      <c r="G2779" s="206"/>
      <c r="H2779" s="206"/>
      <c r="I2779" s="206"/>
      <c r="J2779" s="206"/>
      <c r="K2779" s="206"/>
      <c r="L2779" s="206"/>
      <c r="M2779" s="206"/>
      <c r="N2779" s="206"/>
      <c r="O2779" s="5"/>
      <c r="P2779" s="5"/>
      <c r="Q2779" s="5"/>
      <c r="R2779" s="5"/>
      <c r="S2779" s="5"/>
      <c r="T2779" s="5"/>
      <c r="U2779" s="5"/>
      <c r="V2779" s="5"/>
      <c r="W2779" s="5"/>
      <c r="X2779" s="5"/>
      <c r="Y2779" s="5"/>
      <c r="Z2779" s="5"/>
    </row>
    <row r="2780" ht="12.0" customHeight="1">
      <c r="A2780" s="288" t="s">
        <v>1658</v>
      </c>
      <c r="B2780" s="202"/>
      <c r="C2780" s="289"/>
      <c r="D2780" s="289"/>
      <c r="E2780" s="289"/>
      <c r="F2780" s="289"/>
      <c r="G2780" s="289"/>
      <c r="H2780" s="289"/>
      <c r="I2780" s="289"/>
      <c r="J2780" s="289"/>
      <c r="K2780" s="289"/>
      <c r="L2780" s="289"/>
      <c r="M2780" s="289"/>
      <c r="N2780" s="289"/>
      <c r="O2780" s="202"/>
      <c r="P2780" s="5"/>
      <c r="Q2780" s="5"/>
      <c r="R2780" s="5"/>
      <c r="S2780" s="5"/>
      <c r="T2780" s="5"/>
      <c r="U2780" s="5"/>
      <c r="V2780" s="5"/>
      <c r="W2780" s="5"/>
      <c r="X2780" s="5"/>
      <c r="Y2780" s="5"/>
      <c r="Z2780" s="5"/>
    </row>
    <row r="2781" ht="12.0" customHeight="1">
      <c r="A2781" s="160" t="s">
        <v>188</v>
      </c>
      <c r="B2781" s="160" t="s">
        <v>631</v>
      </c>
      <c r="C2781" s="290" t="s">
        <v>3</v>
      </c>
      <c r="D2781" s="290" t="s">
        <v>4</v>
      </c>
      <c r="E2781" s="290" t="s">
        <v>507</v>
      </c>
      <c r="F2781" s="290" t="s">
        <v>508</v>
      </c>
      <c r="G2781" s="290" t="s">
        <v>509</v>
      </c>
      <c r="H2781" s="290" t="s">
        <v>510</v>
      </c>
      <c r="I2781" s="290" t="s">
        <v>511</v>
      </c>
      <c r="J2781" s="290" t="s">
        <v>512</v>
      </c>
      <c r="K2781" s="290" t="s">
        <v>513</v>
      </c>
      <c r="L2781" s="290" t="s">
        <v>514</v>
      </c>
      <c r="M2781" s="290" t="s">
        <v>515</v>
      </c>
      <c r="N2781" s="290" t="s">
        <v>516</v>
      </c>
      <c r="O2781" s="160" t="s">
        <v>15</v>
      </c>
      <c r="P2781" s="160" t="s">
        <v>1598</v>
      </c>
      <c r="Q2781" s="19" t="s">
        <v>1634</v>
      </c>
      <c r="R2781" s="5"/>
      <c r="S2781" s="5"/>
      <c r="T2781" s="5"/>
      <c r="U2781" s="5"/>
      <c r="V2781" s="5"/>
      <c r="W2781" s="5"/>
      <c r="X2781" s="5"/>
      <c r="Y2781" s="5"/>
      <c r="Z2781" s="5"/>
    </row>
    <row r="2782" ht="12.0" customHeight="1">
      <c r="A2782" s="28" t="s">
        <v>1635</v>
      </c>
      <c r="B2782" s="5" t="s">
        <v>633</v>
      </c>
      <c r="C2782" s="291">
        <f>SUM('2034'!B10:B13)</f>
        <v>133.79</v>
      </c>
      <c r="D2782" s="291">
        <f>SUM('2034'!C10:C13)</f>
        <v>118.05</v>
      </c>
      <c r="E2782" s="291">
        <f>SUM('2034'!D10:D13)</f>
        <v>141.66</v>
      </c>
      <c r="F2782" s="291">
        <f>SUM('2034'!E10:E13)</f>
        <v>141.66</v>
      </c>
      <c r="G2782" s="291">
        <f>SUM('2034'!F10:F13)</f>
        <v>141.66</v>
      </c>
      <c r="H2782" s="291">
        <f>SUM('2034'!G10:G13)</f>
        <v>125.92</v>
      </c>
      <c r="I2782" s="291">
        <f>SUM('2034'!H10:H13)</f>
        <v>141.66</v>
      </c>
      <c r="J2782" s="291">
        <f>SUM('2034'!I10:I13)</f>
        <v>141.66</v>
      </c>
      <c r="K2782" s="291">
        <f>SUM('2034'!J10:J13)</f>
        <v>133.79</v>
      </c>
      <c r="L2782" s="291">
        <f>SUM('2034'!K10:K13)</f>
        <v>118.05</v>
      </c>
      <c r="M2782" s="291">
        <f>SUM('2034'!L10:L13)</f>
        <v>110.18</v>
      </c>
      <c r="N2782" s="291">
        <f>SUM('2034'!M10:M13)</f>
        <v>125.92</v>
      </c>
      <c r="O2782" s="292">
        <f t="shared" ref="O2782:O2787" si="897">SUM(C2782:N2782)</f>
        <v>1574</v>
      </c>
      <c r="P2782" s="5"/>
      <c r="Q2782" s="5"/>
      <c r="R2782" s="5"/>
      <c r="S2782" s="5"/>
      <c r="T2782" s="5"/>
      <c r="U2782" s="5"/>
      <c r="V2782" s="5"/>
      <c r="W2782" s="5"/>
      <c r="X2782" s="5"/>
      <c r="Y2782" s="5"/>
      <c r="Z2782" s="5"/>
    </row>
    <row r="2783" ht="12.0" customHeight="1">
      <c r="A2783" s="28" t="s">
        <v>1636</v>
      </c>
      <c r="B2783" s="5" t="s">
        <v>633</v>
      </c>
      <c r="C2783" s="291">
        <f>SUM('2034'!B21:B24)</f>
        <v>94.18</v>
      </c>
      <c r="D2783" s="291">
        <f>SUM('2034'!C21:C24)</f>
        <v>83.1</v>
      </c>
      <c r="E2783" s="291">
        <f>SUM('2034'!D21:D24)</f>
        <v>99.72</v>
      </c>
      <c r="F2783" s="291">
        <f>SUM('2034'!E21:E24)</f>
        <v>99.72</v>
      </c>
      <c r="G2783" s="291">
        <f>SUM('2034'!F21:F24)</f>
        <v>99.72</v>
      </c>
      <c r="H2783" s="291">
        <f>SUM('2034'!G21:G24)</f>
        <v>88.64</v>
      </c>
      <c r="I2783" s="291">
        <f>SUM('2034'!H21:H24)</f>
        <v>99.72</v>
      </c>
      <c r="J2783" s="291">
        <f>SUM('2034'!I21:I24)</f>
        <v>99.72</v>
      </c>
      <c r="K2783" s="291">
        <f>SUM('2034'!J21:J24)</f>
        <v>94.18</v>
      </c>
      <c r="L2783" s="291">
        <f>SUM('2034'!K21:K24)</f>
        <v>83.1</v>
      </c>
      <c r="M2783" s="291">
        <f>SUM('2034'!L21:L24)</f>
        <v>77.56</v>
      </c>
      <c r="N2783" s="291">
        <f>SUM('2034'!M21:M24)</f>
        <v>88.64</v>
      </c>
      <c r="O2783" s="292">
        <f t="shared" si="897"/>
        <v>1108</v>
      </c>
      <c r="P2783" s="5"/>
      <c r="Q2783" s="5"/>
      <c r="R2783" s="5"/>
      <c r="S2783" s="5"/>
      <c r="T2783" s="5"/>
      <c r="U2783" s="5"/>
      <c r="V2783" s="5"/>
      <c r="W2783" s="5"/>
      <c r="X2783" s="5"/>
      <c r="Y2783" s="5"/>
      <c r="Z2783" s="5"/>
    </row>
    <row r="2784" ht="12.0" customHeight="1">
      <c r="A2784" s="28" t="s">
        <v>1637</v>
      </c>
      <c r="B2784" s="5" t="s">
        <v>633</v>
      </c>
      <c r="C2784" s="291">
        <f t="shared" ref="C2784:N2784" si="898">C2782+C2783</f>
        <v>227.97</v>
      </c>
      <c r="D2784" s="291">
        <f t="shared" si="898"/>
        <v>201.15</v>
      </c>
      <c r="E2784" s="291">
        <f t="shared" si="898"/>
        <v>241.38</v>
      </c>
      <c r="F2784" s="291">
        <f t="shared" si="898"/>
        <v>241.38</v>
      </c>
      <c r="G2784" s="291">
        <f t="shared" si="898"/>
        <v>241.38</v>
      </c>
      <c r="H2784" s="291">
        <f t="shared" si="898"/>
        <v>214.56</v>
      </c>
      <c r="I2784" s="291">
        <f t="shared" si="898"/>
        <v>241.38</v>
      </c>
      <c r="J2784" s="291">
        <f t="shared" si="898"/>
        <v>241.38</v>
      </c>
      <c r="K2784" s="291">
        <f t="shared" si="898"/>
        <v>227.97</v>
      </c>
      <c r="L2784" s="291">
        <f t="shared" si="898"/>
        <v>201.15</v>
      </c>
      <c r="M2784" s="291">
        <f t="shared" si="898"/>
        <v>187.74</v>
      </c>
      <c r="N2784" s="291">
        <f t="shared" si="898"/>
        <v>214.56</v>
      </c>
      <c r="O2784" s="292">
        <f t="shared" si="897"/>
        <v>2682</v>
      </c>
      <c r="P2784" s="5"/>
      <c r="Q2784" s="5"/>
      <c r="R2784" s="5"/>
      <c r="S2784" s="5"/>
      <c r="T2784" s="5"/>
      <c r="U2784" s="5"/>
      <c r="V2784" s="5"/>
      <c r="W2784" s="5"/>
      <c r="X2784" s="5"/>
      <c r="Y2784" s="5"/>
      <c r="Z2784" s="5"/>
    </row>
    <row r="2785" ht="12.0" customHeight="1">
      <c r="A2785" s="28" t="s">
        <v>1638</v>
      </c>
      <c r="B2785" s="5" t="s">
        <v>633</v>
      </c>
      <c r="C2785" s="291">
        <f>$O2782*Parametros!$B$70</f>
        <v>133.79</v>
      </c>
      <c r="D2785" s="291">
        <f>$O2782*Parametros!$C$70</f>
        <v>118.05</v>
      </c>
      <c r="E2785" s="291">
        <f>$O2782*Parametros!$D$70</f>
        <v>141.66</v>
      </c>
      <c r="F2785" s="291">
        <f>$O2782*Parametros!$E$70</f>
        <v>141.66</v>
      </c>
      <c r="G2785" s="291">
        <f>$O2782*Parametros!$F$70</f>
        <v>141.66</v>
      </c>
      <c r="H2785" s="291">
        <f>$O2782*Parametros!$G$70</f>
        <v>125.92</v>
      </c>
      <c r="I2785" s="291">
        <f>$O2782*Parametros!$H$70</f>
        <v>141.66</v>
      </c>
      <c r="J2785" s="291">
        <f>$O2782*Parametros!$I$70</f>
        <v>141.66</v>
      </c>
      <c r="K2785" s="291">
        <f>$O2782*Parametros!$J$70</f>
        <v>133.79</v>
      </c>
      <c r="L2785" s="291">
        <f>$O2782*Parametros!$K$70</f>
        <v>118.05</v>
      </c>
      <c r="M2785" s="291">
        <f>$O2782*Parametros!$L$70</f>
        <v>110.18</v>
      </c>
      <c r="N2785" s="291">
        <f>$O2782*Parametros!$M$70</f>
        <v>125.92</v>
      </c>
      <c r="O2785" s="292">
        <f t="shared" si="897"/>
        <v>1574</v>
      </c>
      <c r="P2785" s="5"/>
      <c r="Q2785" s="5"/>
      <c r="R2785" s="5"/>
      <c r="S2785" s="5"/>
      <c r="T2785" s="5"/>
      <c r="U2785" s="5"/>
      <c r="V2785" s="5"/>
      <c r="W2785" s="5"/>
      <c r="X2785" s="5"/>
      <c r="Y2785" s="5"/>
      <c r="Z2785" s="5"/>
    </row>
    <row r="2786" ht="12.0" customHeight="1">
      <c r="A2786" s="28" t="s">
        <v>1639</v>
      </c>
      <c r="B2786" s="5" t="s">
        <v>633</v>
      </c>
      <c r="C2786" s="291">
        <f>$O2783*Parametros!$B$70</f>
        <v>94.18</v>
      </c>
      <c r="D2786" s="291">
        <f>$O2783*Parametros!$C$70</f>
        <v>83.1</v>
      </c>
      <c r="E2786" s="291">
        <f>$O2783*Parametros!$D$70</f>
        <v>99.72</v>
      </c>
      <c r="F2786" s="291">
        <f>$O2783*Parametros!$E$70</f>
        <v>99.72</v>
      </c>
      <c r="G2786" s="291">
        <f>$O2783*Parametros!$F$70</f>
        <v>99.72</v>
      </c>
      <c r="H2786" s="291">
        <f>$O2783*Parametros!$G$70</f>
        <v>88.64</v>
      </c>
      <c r="I2786" s="291">
        <f>$O2783*Parametros!$H$70</f>
        <v>99.72</v>
      </c>
      <c r="J2786" s="291">
        <f>$O2783*Parametros!$I$70</f>
        <v>99.72</v>
      </c>
      <c r="K2786" s="291">
        <f>$O2783*Parametros!$J$70</f>
        <v>94.18</v>
      </c>
      <c r="L2786" s="291">
        <f>$O2783*Parametros!$K$70</f>
        <v>83.1</v>
      </c>
      <c r="M2786" s="291">
        <f>$O2783*Parametros!$L$70</f>
        <v>77.56</v>
      </c>
      <c r="N2786" s="291">
        <f>$O2783*Parametros!$M$70</f>
        <v>88.64</v>
      </c>
      <c r="O2786" s="292">
        <f t="shared" si="897"/>
        <v>1108</v>
      </c>
      <c r="P2786" s="5"/>
      <c r="Q2786" s="5"/>
      <c r="R2786" s="5"/>
      <c r="S2786" s="5"/>
      <c r="T2786" s="5"/>
      <c r="U2786" s="5"/>
      <c r="V2786" s="5"/>
      <c r="W2786" s="5"/>
      <c r="X2786" s="5"/>
      <c r="Y2786" s="5"/>
      <c r="Z2786" s="5"/>
    </row>
    <row r="2787" ht="12.0" customHeight="1">
      <c r="A2787" s="10" t="s">
        <v>1640</v>
      </c>
      <c r="B2787" s="5" t="s">
        <v>633</v>
      </c>
      <c r="C2787" s="292">
        <f t="shared" ref="C2787:N2787" si="899">C2785+C2786</f>
        <v>227.97</v>
      </c>
      <c r="D2787" s="292">
        <f t="shared" si="899"/>
        <v>201.15</v>
      </c>
      <c r="E2787" s="292">
        <f t="shared" si="899"/>
        <v>241.38</v>
      </c>
      <c r="F2787" s="292">
        <f t="shared" si="899"/>
        <v>241.38</v>
      </c>
      <c r="G2787" s="292">
        <f t="shared" si="899"/>
        <v>241.38</v>
      </c>
      <c r="H2787" s="292">
        <f t="shared" si="899"/>
        <v>214.56</v>
      </c>
      <c r="I2787" s="292">
        <f t="shared" si="899"/>
        <v>241.38</v>
      </c>
      <c r="J2787" s="292">
        <f t="shared" si="899"/>
        <v>241.38</v>
      </c>
      <c r="K2787" s="292">
        <f t="shared" si="899"/>
        <v>227.97</v>
      </c>
      <c r="L2787" s="292">
        <f t="shared" si="899"/>
        <v>201.15</v>
      </c>
      <c r="M2787" s="292">
        <f t="shared" si="899"/>
        <v>187.74</v>
      </c>
      <c r="N2787" s="292">
        <f t="shared" si="899"/>
        <v>214.56</v>
      </c>
      <c r="O2787" s="292">
        <f t="shared" si="897"/>
        <v>2682</v>
      </c>
      <c r="P2787" s="5"/>
      <c r="Q2787" s="5"/>
      <c r="R2787" s="5"/>
      <c r="S2787" s="5"/>
      <c r="T2787" s="5"/>
      <c r="U2787" s="5"/>
      <c r="V2787" s="5"/>
      <c r="W2787" s="5"/>
      <c r="X2787" s="5"/>
      <c r="Y2787" s="5"/>
      <c r="Z2787" s="5"/>
    </row>
    <row r="2788" ht="12.0" customHeight="1">
      <c r="A2788" s="28" t="s">
        <v>967</v>
      </c>
      <c r="B2788" s="5" t="s">
        <v>633</v>
      </c>
      <c r="C2788" s="291">
        <f>C2787-C2784</f>
        <v>0</v>
      </c>
      <c r="D2788" s="291">
        <f t="shared" ref="D2788:N2788" si="900">C2788+D2787-D2784</f>
        <v>0</v>
      </c>
      <c r="E2788" s="291">
        <f t="shared" si="900"/>
        <v>0</v>
      </c>
      <c r="F2788" s="291">
        <f t="shared" si="900"/>
        <v>0</v>
      </c>
      <c r="G2788" s="291">
        <f t="shared" si="900"/>
        <v>0</v>
      </c>
      <c r="H2788" s="291">
        <f t="shared" si="900"/>
        <v>0</v>
      </c>
      <c r="I2788" s="291">
        <f t="shared" si="900"/>
        <v>0</v>
      </c>
      <c r="J2788" s="291">
        <f t="shared" si="900"/>
        <v>0</v>
      </c>
      <c r="K2788" s="291">
        <f t="shared" si="900"/>
        <v>0</v>
      </c>
      <c r="L2788" s="291">
        <f t="shared" si="900"/>
        <v>0</v>
      </c>
      <c r="M2788" s="291">
        <f t="shared" si="900"/>
        <v>0</v>
      </c>
      <c r="N2788" s="291">
        <f t="shared" si="900"/>
        <v>0</v>
      </c>
      <c r="O2788" s="292"/>
      <c r="P2788" s="5"/>
      <c r="Q2788" s="5"/>
      <c r="R2788" s="5"/>
      <c r="S2788" s="5"/>
      <c r="T2788" s="5"/>
      <c r="U2788" s="5"/>
      <c r="V2788" s="5"/>
      <c r="W2788" s="5"/>
      <c r="X2788" s="5"/>
      <c r="Y2788" s="5"/>
      <c r="Z2788" s="5"/>
    </row>
    <row r="2789" ht="12.0" customHeight="1">
      <c r="A2789" s="10" t="s">
        <v>1641</v>
      </c>
      <c r="B2789" s="5" t="s">
        <v>633</v>
      </c>
      <c r="C2789" s="292">
        <f t="shared" ref="C2789:N2789" si="901">C2788-MIN(0,MIN($C2788:$N2788))</f>
        <v>0</v>
      </c>
      <c r="D2789" s="292">
        <f t="shared" si="901"/>
        <v>0</v>
      </c>
      <c r="E2789" s="292">
        <f t="shared" si="901"/>
        <v>0</v>
      </c>
      <c r="F2789" s="292">
        <f t="shared" si="901"/>
        <v>0</v>
      </c>
      <c r="G2789" s="292">
        <f t="shared" si="901"/>
        <v>0</v>
      </c>
      <c r="H2789" s="292">
        <f t="shared" si="901"/>
        <v>0</v>
      </c>
      <c r="I2789" s="292">
        <f t="shared" si="901"/>
        <v>0</v>
      </c>
      <c r="J2789" s="292">
        <f t="shared" si="901"/>
        <v>0</v>
      </c>
      <c r="K2789" s="292">
        <f t="shared" si="901"/>
        <v>0</v>
      </c>
      <c r="L2789" s="292">
        <f t="shared" si="901"/>
        <v>0</v>
      </c>
      <c r="M2789" s="292">
        <f t="shared" si="901"/>
        <v>0</v>
      </c>
      <c r="N2789" s="292">
        <f t="shared" si="901"/>
        <v>0</v>
      </c>
      <c r="O2789" s="292">
        <f>MAX(C2789:N2789)</f>
        <v>0</v>
      </c>
      <c r="P2789" s="292">
        <f>AVERAGE(C2789:N2789)</f>
        <v>0</v>
      </c>
      <c r="Q2789" s="5"/>
      <c r="R2789" s="5"/>
      <c r="S2789" s="5"/>
      <c r="T2789" s="5"/>
      <c r="U2789" s="5"/>
      <c r="V2789" s="5"/>
      <c r="W2789" s="5"/>
      <c r="X2789" s="5"/>
      <c r="Y2789" s="5"/>
      <c r="Z2789" s="5"/>
    </row>
    <row r="2790" ht="12.0" customHeight="1">
      <c r="A2790" s="10" t="s">
        <v>1642</v>
      </c>
      <c r="B2790" s="5"/>
      <c r="C2790" s="206"/>
      <c r="D2790" s="206"/>
      <c r="E2790" s="206"/>
      <c r="F2790" s="206"/>
      <c r="G2790" s="206"/>
      <c r="H2790" s="206"/>
      <c r="I2790" s="206"/>
      <c r="J2790" s="206"/>
      <c r="K2790" s="206"/>
      <c r="L2790" s="206"/>
      <c r="M2790" s="206"/>
      <c r="N2790" s="206"/>
      <c r="O2790" s="5"/>
      <c r="P2790" s="5"/>
      <c r="Q2790" s="5"/>
      <c r="R2790" s="5"/>
      <c r="S2790" s="5"/>
      <c r="T2790" s="5"/>
      <c r="U2790" s="5"/>
      <c r="V2790" s="5"/>
      <c r="W2790" s="5"/>
      <c r="X2790" s="5"/>
      <c r="Y2790" s="5"/>
      <c r="Z2790" s="5"/>
    </row>
    <row r="2791" ht="12.0" customHeight="1">
      <c r="A2791" s="92" t="s">
        <v>630</v>
      </c>
      <c r="B2791" s="5" t="s">
        <v>631</v>
      </c>
      <c r="C2791" s="206" t="s">
        <v>3</v>
      </c>
      <c r="D2791" s="206" t="s">
        <v>4</v>
      </c>
      <c r="E2791" s="206" t="s">
        <v>507</v>
      </c>
      <c r="F2791" s="206" t="s">
        <v>508</v>
      </c>
      <c r="G2791" s="206" t="s">
        <v>509</v>
      </c>
      <c r="H2791" s="206" t="s">
        <v>510</v>
      </c>
      <c r="I2791" s="206" t="s">
        <v>511</v>
      </c>
      <c r="J2791" s="206" t="s">
        <v>512</v>
      </c>
      <c r="K2791" s="206" t="s">
        <v>513</v>
      </c>
      <c r="L2791" s="206" t="s">
        <v>514</v>
      </c>
      <c r="M2791" s="206" t="s">
        <v>515</v>
      </c>
      <c r="N2791" s="206" t="s">
        <v>516</v>
      </c>
      <c r="O2791" s="5"/>
      <c r="P2791" s="5"/>
      <c r="Q2791" s="5"/>
      <c r="R2791" s="5"/>
      <c r="S2791" s="5"/>
      <c r="T2791" s="5"/>
      <c r="U2791" s="5"/>
      <c r="V2791" s="5"/>
      <c r="W2791" s="5"/>
      <c r="X2791" s="5"/>
      <c r="Y2791" s="5"/>
      <c r="Z2791" s="5"/>
    </row>
    <row r="2792" ht="12.0" customHeight="1">
      <c r="A2792" s="92" t="s">
        <v>1643</v>
      </c>
      <c r="B2792" s="5" t="s">
        <v>633</v>
      </c>
      <c r="C2792" s="203">
        <f t="shared" ref="C2792:N2792" si="902">C2787</f>
        <v>227.97</v>
      </c>
      <c r="D2792" s="203">
        <f t="shared" si="902"/>
        <v>201.15</v>
      </c>
      <c r="E2792" s="203">
        <f t="shared" si="902"/>
        <v>241.38</v>
      </c>
      <c r="F2792" s="203">
        <f t="shared" si="902"/>
        <v>241.38</v>
      </c>
      <c r="G2792" s="203">
        <f t="shared" si="902"/>
        <v>241.38</v>
      </c>
      <c r="H2792" s="203">
        <f t="shared" si="902"/>
        <v>214.56</v>
      </c>
      <c r="I2792" s="203">
        <f t="shared" si="902"/>
        <v>241.38</v>
      </c>
      <c r="J2792" s="203">
        <f t="shared" si="902"/>
        <v>241.38</v>
      </c>
      <c r="K2792" s="203">
        <f t="shared" si="902"/>
        <v>227.97</v>
      </c>
      <c r="L2792" s="203">
        <f t="shared" si="902"/>
        <v>201.15</v>
      </c>
      <c r="M2792" s="203">
        <f t="shared" si="902"/>
        <v>187.74</v>
      </c>
      <c r="N2792" s="203">
        <f t="shared" si="902"/>
        <v>214.56</v>
      </c>
      <c r="O2792" s="5"/>
      <c r="P2792" s="5"/>
      <c r="Q2792" s="5"/>
      <c r="R2792" s="5"/>
      <c r="S2792" s="5"/>
      <c r="T2792" s="5"/>
      <c r="U2792" s="5"/>
      <c r="V2792" s="5"/>
      <c r="W2792" s="5"/>
      <c r="X2792" s="5"/>
      <c r="Y2792" s="5"/>
      <c r="Z2792" s="5"/>
    </row>
    <row r="2793" ht="12.0" customHeight="1">
      <c r="A2793" s="92"/>
      <c r="B2793" s="5" t="s">
        <v>634</v>
      </c>
      <c r="C2793" s="293">
        <f>C2792/Parametros!$B$37</f>
        <v>11.3985</v>
      </c>
      <c r="D2793" s="293">
        <f>D2792/Parametros!$B$37</f>
        <v>10.0575</v>
      </c>
      <c r="E2793" s="293">
        <f>E2792/Parametros!$B$37</f>
        <v>12.069</v>
      </c>
      <c r="F2793" s="293">
        <f>F2792/Parametros!$B$37</f>
        <v>12.069</v>
      </c>
      <c r="G2793" s="293">
        <f>G2792/Parametros!$B$37</f>
        <v>12.069</v>
      </c>
      <c r="H2793" s="293">
        <f>H2792/Parametros!$B$37</f>
        <v>10.728</v>
      </c>
      <c r="I2793" s="293">
        <f>I2792/Parametros!$B$37</f>
        <v>12.069</v>
      </c>
      <c r="J2793" s="293">
        <f>J2792/Parametros!$B$37</f>
        <v>12.069</v>
      </c>
      <c r="K2793" s="293">
        <f>K2792/Parametros!$B$37</f>
        <v>11.3985</v>
      </c>
      <c r="L2793" s="293">
        <f>L2792/Parametros!$B$37</f>
        <v>10.0575</v>
      </c>
      <c r="M2793" s="293">
        <f>M2792/Parametros!$B$37</f>
        <v>9.387</v>
      </c>
      <c r="N2793" s="293">
        <f>N2792/Parametros!$B$37</f>
        <v>10.728</v>
      </c>
      <c r="O2793" s="5"/>
      <c r="P2793" s="5"/>
      <c r="Q2793" s="5"/>
      <c r="R2793" s="5"/>
      <c r="S2793" s="5"/>
      <c r="T2793" s="5"/>
      <c r="U2793" s="5"/>
      <c r="V2793" s="5"/>
      <c r="W2793" s="5"/>
      <c r="X2793" s="5"/>
      <c r="Y2793" s="5"/>
      <c r="Z2793" s="5"/>
    </row>
    <row r="2794" ht="12.0" customHeight="1">
      <c r="A2794" s="92"/>
      <c r="B2794" s="5" t="s">
        <v>635</v>
      </c>
      <c r="C2794" s="293">
        <f>C2793/Parametros!$J$37</f>
        <v>1.5198</v>
      </c>
      <c r="D2794" s="293">
        <f>D2793/Parametros!$J$37</f>
        <v>1.341</v>
      </c>
      <c r="E2794" s="293">
        <f>E2793/Parametros!$J$37</f>
        <v>1.6092</v>
      </c>
      <c r="F2794" s="293">
        <f>F2793/Parametros!$J$37</f>
        <v>1.6092</v>
      </c>
      <c r="G2794" s="293">
        <f>G2793/Parametros!$J$37</f>
        <v>1.6092</v>
      </c>
      <c r="H2794" s="293">
        <f>H2793/Parametros!$J$37</f>
        <v>1.4304</v>
      </c>
      <c r="I2794" s="293">
        <f>I2793/Parametros!$J$37</f>
        <v>1.6092</v>
      </c>
      <c r="J2794" s="293">
        <f>J2793/Parametros!$J$37</f>
        <v>1.6092</v>
      </c>
      <c r="K2794" s="293">
        <f>K2793/Parametros!$J$37</f>
        <v>1.5198</v>
      </c>
      <c r="L2794" s="293">
        <f>L2793/Parametros!$J$37</f>
        <v>1.341</v>
      </c>
      <c r="M2794" s="293">
        <f>M2793/Parametros!$J$37</f>
        <v>1.2516</v>
      </c>
      <c r="N2794" s="293">
        <f>N2793/Parametros!$J$37</f>
        <v>1.4304</v>
      </c>
      <c r="O2794" s="5"/>
      <c r="P2794" s="5"/>
      <c r="Q2794" s="5"/>
      <c r="R2794" s="5"/>
      <c r="S2794" s="5"/>
      <c r="T2794" s="5"/>
      <c r="U2794" s="5"/>
      <c r="V2794" s="5"/>
      <c r="W2794" s="5"/>
      <c r="X2794" s="5"/>
      <c r="Y2794" s="5"/>
      <c r="Z2794" s="5"/>
    </row>
    <row r="2795" ht="12.0" customHeight="1">
      <c r="A2795" s="92" t="s">
        <v>636</v>
      </c>
      <c r="B2795" s="5"/>
      <c r="C2795" s="293">
        <f t="shared" ref="C2795:N2795" si="903">C2794</f>
        <v>1.5198</v>
      </c>
      <c r="D2795" s="293">
        <f t="shared" si="903"/>
        <v>1.341</v>
      </c>
      <c r="E2795" s="293">
        <f t="shared" si="903"/>
        <v>1.6092</v>
      </c>
      <c r="F2795" s="293">
        <f t="shared" si="903"/>
        <v>1.6092</v>
      </c>
      <c r="G2795" s="293">
        <f t="shared" si="903"/>
        <v>1.6092</v>
      </c>
      <c r="H2795" s="293">
        <f t="shared" si="903"/>
        <v>1.4304</v>
      </c>
      <c r="I2795" s="293">
        <f t="shared" si="903"/>
        <v>1.6092</v>
      </c>
      <c r="J2795" s="293">
        <f t="shared" si="903"/>
        <v>1.6092</v>
      </c>
      <c r="K2795" s="293">
        <f t="shared" si="903"/>
        <v>1.5198</v>
      </c>
      <c r="L2795" s="293">
        <f t="shared" si="903"/>
        <v>1.341</v>
      </c>
      <c r="M2795" s="293">
        <f t="shared" si="903"/>
        <v>1.2516</v>
      </c>
      <c r="N2795" s="293">
        <f t="shared" si="903"/>
        <v>1.4304</v>
      </c>
      <c r="O2795" s="5"/>
      <c r="P2795" s="5"/>
      <c r="Q2795" s="5"/>
      <c r="R2795" s="5"/>
      <c r="S2795" s="5"/>
      <c r="T2795" s="5"/>
      <c r="U2795" s="5"/>
      <c r="V2795" s="5"/>
      <c r="W2795" s="5"/>
      <c r="X2795" s="5"/>
      <c r="Y2795" s="5"/>
      <c r="Z2795" s="5"/>
    </row>
    <row r="2796" ht="12.0" customHeight="1">
      <c r="A2796" s="92" t="s">
        <v>637</v>
      </c>
      <c r="B2796" s="5"/>
      <c r="C2796" s="293">
        <f>Parametros!$M$112</f>
        <v>15.69230769</v>
      </c>
      <c r="D2796" s="293">
        <f>Parametros!$M$112</f>
        <v>15.69230769</v>
      </c>
      <c r="E2796" s="293">
        <f>Parametros!$M$112</f>
        <v>15.69230769</v>
      </c>
      <c r="F2796" s="293">
        <f>Parametros!$M$112</f>
        <v>15.69230769</v>
      </c>
      <c r="G2796" s="293">
        <f>Parametros!$M$112</f>
        <v>15.69230769</v>
      </c>
      <c r="H2796" s="293">
        <f>Parametros!$M$112</f>
        <v>15.69230769</v>
      </c>
      <c r="I2796" s="293">
        <f>Parametros!$M$112</f>
        <v>15.69230769</v>
      </c>
      <c r="J2796" s="293">
        <f>Parametros!$M$112</f>
        <v>15.69230769</v>
      </c>
      <c r="K2796" s="293">
        <f>Parametros!$M$112</f>
        <v>15.69230769</v>
      </c>
      <c r="L2796" s="293">
        <f>Parametros!$M$112</f>
        <v>15.69230769</v>
      </c>
      <c r="M2796" s="293">
        <f>Parametros!$M$112</f>
        <v>15.69230769</v>
      </c>
      <c r="N2796" s="293">
        <f>Parametros!$M$112</f>
        <v>15.69230769</v>
      </c>
      <c r="O2796" s="5"/>
      <c r="P2796" s="5"/>
      <c r="Q2796" s="5"/>
      <c r="R2796" s="5"/>
      <c r="S2796" s="5"/>
      <c r="T2796" s="5"/>
      <c r="U2796" s="5"/>
      <c r="V2796" s="5"/>
      <c r="W2796" s="5"/>
      <c r="X2796" s="5"/>
      <c r="Y2796" s="5"/>
      <c r="Z2796" s="5"/>
    </row>
    <row r="2797" ht="12.0" customHeight="1">
      <c r="A2797" s="92" t="s">
        <v>640</v>
      </c>
      <c r="B2797" s="5"/>
      <c r="C2797" s="203">
        <f>'Resumen Capacidad'!$J$220</f>
        <v>1</v>
      </c>
      <c r="D2797" s="203">
        <f>'Resumen Capacidad'!$J$220</f>
        <v>1</v>
      </c>
      <c r="E2797" s="203">
        <f>'Resumen Capacidad'!$J$220</f>
        <v>1</v>
      </c>
      <c r="F2797" s="203">
        <f>'Resumen Capacidad'!$J$220</f>
        <v>1</v>
      </c>
      <c r="G2797" s="203">
        <f>'Resumen Capacidad'!$J$220</f>
        <v>1</v>
      </c>
      <c r="H2797" s="203">
        <f>'Resumen Capacidad'!$J$220</f>
        <v>1</v>
      </c>
      <c r="I2797" s="203">
        <f>'Resumen Capacidad'!$J$220</f>
        <v>1</v>
      </c>
      <c r="J2797" s="203">
        <f>'Resumen Capacidad'!$J$220</f>
        <v>1</v>
      </c>
      <c r="K2797" s="203">
        <f>'Resumen Capacidad'!$J$220</f>
        <v>1</v>
      </c>
      <c r="L2797" s="203">
        <f>'Resumen Capacidad'!$J$220</f>
        <v>1</v>
      </c>
      <c r="M2797" s="203">
        <f>'Resumen Capacidad'!$J$220</f>
        <v>1</v>
      </c>
      <c r="N2797" s="203">
        <f>'Resumen Capacidad'!$J$220</f>
        <v>1</v>
      </c>
      <c r="O2797" s="5"/>
      <c r="P2797" s="5"/>
      <c r="Q2797" s="5"/>
      <c r="R2797" s="5"/>
      <c r="S2797" s="5"/>
      <c r="T2797" s="5"/>
      <c r="U2797" s="5"/>
      <c r="V2797" s="5"/>
      <c r="W2797" s="5"/>
      <c r="X2797" s="5"/>
      <c r="Y2797" s="5"/>
      <c r="Z2797" s="5"/>
    </row>
    <row r="2798" ht="12.0" customHeight="1">
      <c r="A2798" s="92" t="s">
        <v>642</v>
      </c>
      <c r="B2798" s="5"/>
      <c r="C2798" s="203">
        <f t="shared" ref="C2798:N2798" si="904">C2796*C2797</f>
        <v>15.69230769</v>
      </c>
      <c r="D2798" s="203">
        <f t="shared" si="904"/>
        <v>15.69230769</v>
      </c>
      <c r="E2798" s="203">
        <f t="shared" si="904"/>
        <v>15.69230769</v>
      </c>
      <c r="F2798" s="203">
        <f t="shared" si="904"/>
        <v>15.69230769</v>
      </c>
      <c r="G2798" s="203">
        <f t="shared" si="904"/>
        <v>15.69230769</v>
      </c>
      <c r="H2798" s="203">
        <f t="shared" si="904"/>
        <v>15.69230769</v>
      </c>
      <c r="I2798" s="203">
        <f t="shared" si="904"/>
        <v>15.69230769</v>
      </c>
      <c r="J2798" s="203">
        <f t="shared" si="904"/>
        <v>15.69230769</v>
      </c>
      <c r="K2798" s="203">
        <f t="shared" si="904"/>
        <v>15.69230769</v>
      </c>
      <c r="L2798" s="203">
        <f t="shared" si="904"/>
        <v>15.69230769</v>
      </c>
      <c r="M2798" s="203">
        <f t="shared" si="904"/>
        <v>15.69230769</v>
      </c>
      <c r="N2798" s="203">
        <f t="shared" si="904"/>
        <v>15.69230769</v>
      </c>
      <c r="O2798" s="5"/>
      <c r="P2798" s="5"/>
      <c r="Q2798" s="5"/>
      <c r="R2798" s="5"/>
      <c r="S2798" s="5"/>
      <c r="T2798" s="5"/>
      <c r="U2798" s="5"/>
      <c r="V2798" s="5"/>
      <c r="W2798" s="5"/>
      <c r="X2798" s="5"/>
      <c r="Y2798" s="5"/>
      <c r="Z2798" s="5"/>
    </row>
    <row r="2799" ht="12.0" customHeight="1">
      <c r="A2799" s="92" t="s">
        <v>643</v>
      </c>
      <c r="B2799" s="5"/>
      <c r="C2799" s="294">
        <f t="shared" ref="C2799:N2799" si="905">IF(C2798=0,0,C2795/C2798)</f>
        <v>0.09685</v>
      </c>
      <c r="D2799" s="294">
        <f t="shared" si="905"/>
        <v>0.08545588235</v>
      </c>
      <c r="E2799" s="294">
        <f t="shared" si="905"/>
        <v>0.1025470588</v>
      </c>
      <c r="F2799" s="294">
        <f t="shared" si="905"/>
        <v>0.1025470588</v>
      </c>
      <c r="G2799" s="294">
        <f t="shared" si="905"/>
        <v>0.1025470588</v>
      </c>
      <c r="H2799" s="294">
        <f t="shared" si="905"/>
        <v>0.09115294118</v>
      </c>
      <c r="I2799" s="294">
        <f t="shared" si="905"/>
        <v>0.1025470588</v>
      </c>
      <c r="J2799" s="294">
        <f t="shared" si="905"/>
        <v>0.1025470588</v>
      </c>
      <c r="K2799" s="294">
        <f t="shared" si="905"/>
        <v>0.09685</v>
      </c>
      <c r="L2799" s="294">
        <f t="shared" si="905"/>
        <v>0.08545588235</v>
      </c>
      <c r="M2799" s="294">
        <f t="shared" si="905"/>
        <v>0.07975882353</v>
      </c>
      <c r="N2799" s="294">
        <f t="shared" si="905"/>
        <v>0.09115294118</v>
      </c>
      <c r="O2799" s="5"/>
      <c r="P2799" s="5"/>
      <c r="Q2799" s="5"/>
      <c r="R2799" s="5"/>
      <c r="S2799" s="5"/>
      <c r="T2799" s="5"/>
      <c r="U2799" s="5"/>
      <c r="V2799" s="5"/>
      <c r="W2799" s="5"/>
      <c r="X2799" s="5"/>
      <c r="Y2799" s="5"/>
      <c r="Z2799" s="5"/>
    </row>
    <row r="2800" ht="12.0" customHeight="1">
      <c r="A2800" s="10" t="s">
        <v>1644</v>
      </c>
      <c r="B2800" s="5"/>
      <c r="C2800" s="206"/>
      <c r="D2800" s="206"/>
      <c r="E2800" s="206"/>
      <c r="F2800" s="206"/>
      <c r="G2800" s="206"/>
      <c r="H2800" s="206"/>
      <c r="I2800" s="206"/>
      <c r="J2800" s="206"/>
      <c r="K2800" s="206"/>
      <c r="L2800" s="206"/>
      <c r="M2800" s="206"/>
      <c r="N2800" s="206"/>
      <c r="O2800" s="5"/>
      <c r="P2800" s="5"/>
      <c r="Q2800" s="5"/>
      <c r="R2800" s="5"/>
      <c r="S2800" s="5"/>
      <c r="T2800" s="5"/>
      <c r="U2800" s="5"/>
      <c r="V2800" s="5"/>
      <c r="W2800" s="5"/>
      <c r="X2800" s="5"/>
      <c r="Y2800" s="5"/>
      <c r="Z2800" s="5"/>
    </row>
    <row r="2801" ht="12.0" customHeight="1">
      <c r="A2801" s="92" t="s">
        <v>630</v>
      </c>
      <c r="B2801" s="5" t="s">
        <v>631</v>
      </c>
      <c r="C2801" s="206" t="s">
        <v>3</v>
      </c>
      <c r="D2801" s="206" t="s">
        <v>4</v>
      </c>
      <c r="E2801" s="206" t="s">
        <v>507</v>
      </c>
      <c r="F2801" s="206" t="s">
        <v>508</v>
      </c>
      <c r="G2801" s="206" t="s">
        <v>509</v>
      </c>
      <c r="H2801" s="206" t="s">
        <v>510</v>
      </c>
      <c r="I2801" s="206" t="s">
        <v>511</v>
      </c>
      <c r="J2801" s="206" t="s">
        <v>512</v>
      </c>
      <c r="K2801" s="206" t="s">
        <v>513</v>
      </c>
      <c r="L2801" s="206" t="s">
        <v>514</v>
      </c>
      <c r="M2801" s="206" t="s">
        <v>515</v>
      </c>
      <c r="N2801" s="206" t="s">
        <v>516</v>
      </c>
      <c r="O2801" s="5"/>
      <c r="P2801" s="5"/>
      <c r="Q2801" s="5"/>
      <c r="R2801" s="5"/>
      <c r="S2801" s="5"/>
      <c r="T2801" s="5"/>
      <c r="U2801" s="5"/>
      <c r="V2801" s="5"/>
      <c r="W2801" s="5"/>
      <c r="X2801" s="5"/>
      <c r="Y2801" s="5"/>
      <c r="Z2801" s="5"/>
    </row>
    <row r="2802" ht="12.0" customHeight="1">
      <c r="A2802" s="92" t="s">
        <v>1643</v>
      </c>
      <c r="B2802" s="5" t="s">
        <v>633</v>
      </c>
      <c r="C2802" s="203">
        <f t="shared" ref="C2802:N2802" si="906">C2787</f>
        <v>227.97</v>
      </c>
      <c r="D2802" s="203">
        <f t="shared" si="906"/>
        <v>201.15</v>
      </c>
      <c r="E2802" s="203">
        <f t="shared" si="906"/>
        <v>241.38</v>
      </c>
      <c r="F2802" s="203">
        <f t="shared" si="906"/>
        <v>241.38</v>
      </c>
      <c r="G2802" s="203">
        <f t="shared" si="906"/>
        <v>241.38</v>
      </c>
      <c r="H2802" s="203">
        <f t="shared" si="906"/>
        <v>214.56</v>
      </c>
      <c r="I2802" s="203">
        <f t="shared" si="906"/>
        <v>241.38</v>
      </c>
      <c r="J2802" s="203">
        <f t="shared" si="906"/>
        <v>241.38</v>
      </c>
      <c r="K2802" s="203">
        <f t="shared" si="906"/>
        <v>227.97</v>
      </c>
      <c r="L2802" s="203">
        <f t="shared" si="906"/>
        <v>201.15</v>
      </c>
      <c r="M2802" s="203">
        <f t="shared" si="906"/>
        <v>187.74</v>
      </c>
      <c r="N2802" s="203">
        <f t="shared" si="906"/>
        <v>214.56</v>
      </c>
      <c r="O2802" s="5"/>
      <c r="P2802" s="5"/>
      <c r="Q2802" s="5"/>
      <c r="R2802" s="5"/>
      <c r="S2802" s="5"/>
      <c r="T2802" s="5"/>
      <c r="U2802" s="5"/>
      <c r="V2802" s="5"/>
      <c r="W2802" s="5"/>
      <c r="X2802" s="5"/>
      <c r="Y2802" s="5"/>
      <c r="Z2802" s="5"/>
    </row>
    <row r="2803" ht="12.0" customHeight="1">
      <c r="A2803" s="92"/>
      <c r="B2803" s="5" t="s">
        <v>634</v>
      </c>
      <c r="C2803" s="293">
        <f>C2802/Parametros!$B$37</f>
        <v>11.3985</v>
      </c>
      <c r="D2803" s="293">
        <f>D2802/Parametros!$B$37</f>
        <v>10.0575</v>
      </c>
      <c r="E2803" s="293">
        <f>E2802/Parametros!$B$37</f>
        <v>12.069</v>
      </c>
      <c r="F2803" s="293">
        <f>F2802/Parametros!$B$37</f>
        <v>12.069</v>
      </c>
      <c r="G2803" s="293">
        <f>G2802/Parametros!$B$37</f>
        <v>12.069</v>
      </c>
      <c r="H2803" s="293">
        <f>H2802/Parametros!$B$37</f>
        <v>10.728</v>
      </c>
      <c r="I2803" s="293">
        <f>I2802/Parametros!$B$37</f>
        <v>12.069</v>
      </c>
      <c r="J2803" s="293">
        <f>J2802/Parametros!$B$37</f>
        <v>12.069</v>
      </c>
      <c r="K2803" s="293">
        <f>K2802/Parametros!$B$37</f>
        <v>11.3985</v>
      </c>
      <c r="L2803" s="293">
        <f>L2802/Parametros!$B$37</f>
        <v>10.0575</v>
      </c>
      <c r="M2803" s="293">
        <f>M2802/Parametros!$B$37</f>
        <v>9.387</v>
      </c>
      <c r="N2803" s="293">
        <f>N2802/Parametros!$B$37</f>
        <v>10.728</v>
      </c>
      <c r="O2803" s="5"/>
      <c r="P2803" s="5"/>
      <c r="Q2803" s="5"/>
      <c r="R2803" s="5"/>
      <c r="S2803" s="5"/>
      <c r="T2803" s="5"/>
      <c r="U2803" s="5"/>
      <c r="V2803" s="5"/>
      <c r="W2803" s="5"/>
      <c r="X2803" s="5"/>
      <c r="Y2803" s="5"/>
      <c r="Z2803" s="5"/>
    </row>
    <row r="2804" ht="12.0" customHeight="1">
      <c r="A2804" s="92"/>
      <c r="B2804" s="5" t="s">
        <v>635</v>
      </c>
      <c r="C2804" s="293">
        <f>C2803/Parametros!$J$37</f>
        <v>1.5198</v>
      </c>
      <c r="D2804" s="293">
        <f>D2803/Parametros!$J$37</f>
        <v>1.341</v>
      </c>
      <c r="E2804" s="293">
        <f>E2803/Parametros!$J$37</f>
        <v>1.6092</v>
      </c>
      <c r="F2804" s="293">
        <f>F2803/Parametros!$J$37</f>
        <v>1.6092</v>
      </c>
      <c r="G2804" s="293">
        <f>G2803/Parametros!$J$37</f>
        <v>1.6092</v>
      </c>
      <c r="H2804" s="293">
        <f>H2803/Parametros!$J$37</f>
        <v>1.4304</v>
      </c>
      <c r="I2804" s="293">
        <f>I2803/Parametros!$J$37</f>
        <v>1.6092</v>
      </c>
      <c r="J2804" s="293">
        <f>J2803/Parametros!$J$37</f>
        <v>1.6092</v>
      </c>
      <c r="K2804" s="293">
        <f>K2803/Parametros!$J$37</f>
        <v>1.5198</v>
      </c>
      <c r="L2804" s="293">
        <f>L2803/Parametros!$J$37</f>
        <v>1.341</v>
      </c>
      <c r="M2804" s="293">
        <f>M2803/Parametros!$J$37</f>
        <v>1.2516</v>
      </c>
      <c r="N2804" s="293">
        <f>N2803/Parametros!$J$37</f>
        <v>1.4304</v>
      </c>
      <c r="O2804" s="5"/>
      <c r="P2804" s="5"/>
      <c r="Q2804" s="5"/>
      <c r="R2804" s="5"/>
      <c r="S2804" s="5"/>
      <c r="T2804" s="5"/>
      <c r="U2804" s="5"/>
      <c r="V2804" s="5"/>
      <c r="W2804" s="5"/>
      <c r="X2804" s="5"/>
      <c r="Y2804" s="5"/>
      <c r="Z2804" s="5"/>
    </row>
    <row r="2805" ht="12.0" customHeight="1">
      <c r="A2805" s="92" t="s">
        <v>636</v>
      </c>
      <c r="B2805" s="5"/>
      <c r="C2805" s="293">
        <f t="shared" ref="C2805:N2805" si="907">C2804</f>
        <v>1.5198</v>
      </c>
      <c r="D2805" s="293">
        <f t="shared" si="907"/>
        <v>1.341</v>
      </c>
      <c r="E2805" s="293">
        <f t="shared" si="907"/>
        <v>1.6092</v>
      </c>
      <c r="F2805" s="293">
        <f t="shared" si="907"/>
        <v>1.6092</v>
      </c>
      <c r="G2805" s="293">
        <f t="shared" si="907"/>
        <v>1.6092</v>
      </c>
      <c r="H2805" s="293">
        <f t="shared" si="907"/>
        <v>1.4304</v>
      </c>
      <c r="I2805" s="293">
        <f t="shared" si="907"/>
        <v>1.6092</v>
      </c>
      <c r="J2805" s="293">
        <f t="shared" si="907"/>
        <v>1.6092</v>
      </c>
      <c r="K2805" s="293">
        <f t="shared" si="907"/>
        <v>1.5198</v>
      </c>
      <c r="L2805" s="293">
        <f t="shared" si="907"/>
        <v>1.341</v>
      </c>
      <c r="M2805" s="293">
        <f t="shared" si="907"/>
        <v>1.2516</v>
      </c>
      <c r="N2805" s="293">
        <f t="shared" si="907"/>
        <v>1.4304</v>
      </c>
      <c r="O2805" s="5"/>
      <c r="P2805" s="5"/>
      <c r="Q2805" s="5"/>
      <c r="R2805" s="5"/>
      <c r="S2805" s="5"/>
      <c r="T2805" s="5"/>
      <c r="U2805" s="5"/>
      <c r="V2805" s="5"/>
      <c r="W2805" s="5"/>
      <c r="X2805" s="5"/>
      <c r="Y2805" s="5"/>
      <c r="Z2805" s="5"/>
    </row>
    <row r="2806" ht="12.0" customHeight="1">
      <c r="A2806" s="92" t="s">
        <v>637</v>
      </c>
      <c r="B2806" s="5"/>
      <c r="C2806" s="293">
        <f>Parametros!$M$113</f>
        <v>1.882352941</v>
      </c>
      <c r="D2806" s="293">
        <f>Parametros!$M$113</f>
        <v>1.882352941</v>
      </c>
      <c r="E2806" s="293">
        <f>Parametros!$M$113</f>
        <v>1.882352941</v>
      </c>
      <c r="F2806" s="293">
        <f>Parametros!$M$113</f>
        <v>1.882352941</v>
      </c>
      <c r="G2806" s="293">
        <f>Parametros!$M$113</f>
        <v>1.882352941</v>
      </c>
      <c r="H2806" s="293">
        <f>Parametros!$M$113</f>
        <v>1.882352941</v>
      </c>
      <c r="I2806" s="293">
        <f>Parametros!$M$113</f>
        <v>1.882352941</v>
      </c>
      <c r="J2806" s="293">
        <f>Parametros!$M$113</f>
        <v>1.882352941</v>
      </c>
      <c r="K2806" s="293">
        <f>Parametros!$M$113</f>
        <v>1.882352941</v>
      </c>
      <c r="L2806" s="293">
        <f>Parametros!$M$113</f>
        <v>1.882352941</v>
      </c>
      <c r="M2806" s="293">
        <f>Parametros!$M$113</f>
        <v>1.882352941</v>
      </c>
      <c r="N2806" s="293">
        <f>Parametros!$M$113</f>
        <v>1.882352941</v>
      </c>
      <c r="O2806" s="5"/>
      <c r="P2806" s="5"/>
      <c r="Q2806" s="5"/>
      <c r="R2806" s="5"/>
      <c r="S2806" s="5"/>
      <c r="T2806" s="5"/>
      <c r="U2806" s="5"/>
      <c r="V2806" s="5"/>
      <c r="W2806" s="5"/>
      <c r="X2806" s="5"/>
      <c r="Y2806" s="5"/>
      <c r="Z2806" s="5"/>
    </row>
    <row r="2807" ht="12.0" customHeight="1">
      <c r="A2807" s="92" t="s">
        <v>640</v>
      </c>
      <c r="B2807" s="5"/>
      <c r="C2807" s="203">
        <f>'Resumen Capacidad'!$J$221</f>
        <v>1</v>
      </c>
      <c r="D2807" s="203">
        <f>'Resumen Capacidad'!$J$221</f>
        <v>1</v>
      </c>
      <c r="E2807" s="203">
        <f>'Resumen Capacidad'!$J$221</f>
        <v>1</v>
      </c>
      <c r="F2807" s="203">
        <f>'Resumen Capacidad'!$J$221</f>
        <v>1</v>
      </c>
      <c r="G2807" s="203">
        <f>'Resumen Capacidad'!$J$221</f>
        <v>1</v>
      </c>
      <c r="H2807" s="203">
        <f>'Resumen Capacidad'!$J$221</f>
        <v>1</v>
      </c>
      <c r="I2807" s="203">
        <f>'Resumen Capacidad'!$J$221</f>
        <v>1</v>
      </c>
      <c r="J2807" s="203">
        <f>'Resumen Capacidad'!$J$221</f>
        <v>1</v>
      </c>
      <c r="K2807" s="203">
        <f>'Resumen Capacidad'!$J$221</f>
        <v>1</v>
      </c>
      <c r="L2807" s="203">
        <f>'Resumen Capacidad'!$J$221</f>
        <v>1</v>
      </c>
      <c r="M2807" s="203">
        <f>'Resumen Capacidad'!$J$221</f>
        <v>1</v>
      </c>
      <c r="N2807" s="203">
        <f>'Resumen Capacidad'!$J$221</f>
        <v>1</v>
      </c>
      <c r="O2807" s="5"/>
      <c r="P2807" s="5"/>
      <c r="Q2807" s="5"/>
      <c r="R2807" s="5"/>
      <c r="S2807" s="5"/>
      <c r="T2807" s="5"/>
      <c r="U2807" s="5"/>
      <c r="V2807" s="5"/>
      <c r="W2807" s="5"/>
      <c r="X2807" s="5"/>
      <c r="Y2807" s="5"/>
      <c r="Z2807" s="5"/>
    </row>
    <row r="2808" ht="12.0" customHeight="1">
      <c r="A2808" s="92" t="s">
        <v>642</v>
      </c>
      <c r="B2808" s="5"/>
      <c r="C2808" s="203">
        <f t="shared" ref="C2808:N2808" si="908">C2806*C2807</f>
        <v>1.882352941</v>
      </c>
      <c r="D2808" s="203">
        <f t="shared" si="908"/>
        <v>1.882352941</v>
      </c>
      <c r="E2808" s="203">
        <f t="shared" si="908"/>
        <v>1.882352941</v>
      </c>
      <c r="F2808" s="203">
        <f t="shared" si="908"/>
        <v>1.882352941</v>
      </c>
      <c r="G2808" s="203">
        <f t="shared" si="908"/>
        <v>1.882352941</v>
      </c>
      <c r="H2808" s="203">
        <f t="shared" si="908"/>
        <v>1.882352941</v>
      </c>
      <c r="I2808" s="203">
        <f t="shared" si="908"/>
        <v>1.882352941</v>
      </c>
      <c r="J2808" s="203">
        <f t="shared" si="908"/>
        <v>1.882352941</v>
      </c>
      <c r="K2808" s="203">
        <f t="shared" si="908"/>
        <v>1.882352941</v>
      </c>
      <c r="L2808" s="203">
        <f t="shared" si="908"/>
        <v>1.882352941</v>
      </c>
      <c r="M2808" s="203">
        <f t="shared" si="908"/>
        <v>1.882352941</v>
      </c>
      <c r="N2808" s="203">
        <f t="shared" si="908"/>
        <v>1.882352941</v>
      </c>
      <c r="O2808" s="5"/>
      <c r="P2808" s="5"/>
      <c r="Q2808" s="5"/>
      <c r="R2808" s="5"/>
      <c r="S2808" s="5"/>
      <c r="T2808" s="5"/>
      <c r="U2808" s="5"/>
      <c r="V2808" s="5"/>
      <c r="W2808" s="5"/>
      <c r="X2808" s="5"/>
      <c r="Y2808" s="5"/>
      <c r="Z2808" s="5"/>
    </row>
    <row r="2809" ht="12.0" customHeight="1">
      <c r="A2809" s="92" t="s">
        <v>643</v>
      </c>
      <c r="B2809" s="5"/>
      <c r="C2809" s="294">
        <f t="shared" ref="C2809:N2809" si="909">IF(C2808=0,0,C2805/C2808)</f>
        <v>0.80739375</v>
      </c>
      <c r="D2809" s="294">
        <f t="shared" si="909"/>
        <v>0.71240625</v>
      </c>
      <c r="E2809" s="294">
        <f t="shared" si="909"/>
        <v>0.8548875</v>
      </c>
      <c r="F2809" s="294">
        <f t="shared" si="909"/>
        <v>0.8548875</v>
      </c>
      <c r="G2809" s="294">
        <f t="shared" si="909"/>
        <v>0.8548875</v>
      </c>
      <c r="H2809" s="294">
        <f t="shared" si="909"/>
        <v>0.7599</v>
      </c>
      <c r="I2809" s="294">
        <f t="shared" si="909"/>
        <v>0.8548875</v>
      </c>
      <c r="J2809" s="294">
        <f t="shared" si="909"/>
        <v>0.8548875</v>
      </c>
      <c r="K2809" s="294">
        <f t="shared" si="909"/>
        <v>0.80739375</v>
      </c>
      <c r="L2809" s="294">
        <f t="shared" si="909"/>
        <v>0.71240625</v>
      </c>
      <c r="M2809" s="294">
        <f t="shared" si="909"/>
        <v>0.6649125</v>
      </c>
      <c r="N2809" s="294">
        <f t="shared" si="909"/>
        <v>0.7599</v>
      </c>
      <c r="O2809" s="5"/>
      <c r="P2809" s="5"/>
      <c r="Q2809" s="5"/>
      <c r="R2809" s="5"/>
      <c r="S2809" s="5"/>
      <c r="T2809" s="5"/>
      <c r="U2809" s="5"/>
      <c r="V2809" s="5"/>
      <c r="W2809" s="5"/>
      <c r="X2809" s="5"/>
      <c r="Y2809" s="5"/>
      <c r="Z2809" s="5"/>
    </row>
    <row r="2810" ht="12.0" customHeight="1">
      <c r="A2810" s="10" t="s">
        <v>1645</v>
      </c>
      <c r="B2810" s="5"/>
      <c r="C2810" s="206"/>
      <c r="D2810" s="206"/>
      <c r="E2810" s="206"/>
      <c r="F2810" s="206"/>
      <c r="G2810" s="206"/>
      <c r="H2810" s="206"/>
      <c r="I2810" s="206"/>
      <c r="J2810" s="206"/>
      <c r="K2810" s="206"/>
      <c r="L2810" s="206"/>
      <c r="M2810" s="206"/>
      <c r="N2810" s="206"/>
      <c r="O2810" s="5"/>
      <c r="P2810" s="5"/>
      <c r="Q2810" s="5"/>
      <c r="R2810" s="5"/>
      <c r="S2810" s="5"/>
      <c r="T2810" s="5"/>
      <c r="U2810" s="5"/>
      <c r="V2810" s="5"/>
      <c r="W2810" s="5"/>
      <c r="X2810" s="5"/>
      <c r="Y2810" s="5"/>
      <c r="Z2810" s="5"/>
    </row>
    <row r="2811" ht="12.0" customHeight="1">
      <c r="A2811" s="92" t="s">
        <v>630</v>
      </c>
      <c r="B2811" s="5" t="s">
        <v>631</v>
      </c>
      <c r="C2811" s="206" t="s">
        <v>3</v>
      </c>
      <c r="D2811" s="206" t="s">
        <v>4</v>
      </c>
      <c r="E2811" s="206" t="s">
        <v>507</v>
      </c>
      <c r="F2811" s="206" t="s">
        <v>508</v>
      </c>
      <c r="G2811" s="206" t="s">
        <v>509</v>
      </c>
      <c r="H2811" s="206" t="s">
        <v>510</v>
      </c>
      <c r="I2811" s="206" t="s">
        <v>511</v>
      </c>
      <c r="J2811" s="206" t="s">
        <v>512</v>
      </c>
      <c r="K2811" s="206" t="s">
        <v>513</v>
      </c>
      <c r="L2811" s="206" t="s">
        <v>514</v>
      </c>
      <c r="M2811" s="206" t="s">
        <v>515</v>
      </c>
      <c r="N2811" s="206" t="s">
        <v>516</v>
      </c>
      <c r="O2811" s="5"/>
      <c r="P2811" s="5"/>
      <c r="Q2811" s="5"/>
      <c r="R2811" s="5"/>
      <c r="S2811" s="5"/>
      <c r="T2811" s="5"/>
      <c r="U2811" s="5"/>
      <c r="V2811" s="5"/>
      <c r="W2811" s="5"/>
      <c r="X2811" s="5"/>
      <c r="Y2811" s="5"/>
      <c r="Z2811" s="5"/>
    </row>
    <row r="2812" ht="12.0" customHeight="1">
      <c r="A2812" s="92" t="s">
        <v>1643</v>
      </c>
      <c r="B2812" s="5" t="s">
        <v>633</v>
      </c>
      <c r="C2812" s="203">
        <f t="shared" ref="C2812:N2812" si="910">C2787</f>
        <v>227.97</v>
      </c>
      <c r="D2812" s="203">
        <f t="shared" si="910"/>
        <v>201.15</v>
      </c>
      <c r="E2812" s="203">
        <f t="shared" si="910"/>
        <v>241.38</v>
      </c>
      <c r="F2812" s="203">
        <f t="shared" si="910"/>
        <v>241.38</v>
      </c>
      <c r="G2812" s="203">
        <f t="shared" si="910"/>
        <v>241.38</v>
      </c>
      <c r="H2812" s="203">
        <f t="shared" si="910"/>
        <v>214.56</v>
      </c>
      <c r="I2812" s="203">
        <f t="shared" si="910"/>
        <v>241.38</v>
      </c>
      <c r="J2812" s="203">
        <f t="shared" si="910"/>
        <v>241.38</v>
      </c>
      <c r="K2812" s="203">
        <f t="shared" si="910"/>
        <v>227.97</v>
      </c>
      <c r="L2812" s="203">
        <f t="shared" si="910"/>
        <v>201.15</v>
      </c>
      <c r="M2812" s="203">
        <f t="shared" si="910"/>
        <v>187.74</v>
      </c>
      <c r="N2812" s="203">
        <f t="shared" si="910"/>
        <v>214.56</v>
      </c>
      <c r="O2812" s="5"/>
      <c r="P2812" s="5"/>
      <c r="Q2812" s="5"/>
      <c r="R2812" s="5"/>
      <c r="S2812" s="5"/>
      <c r="T2812" s="5"/>
      <c r="U2812" s="5"/>
      <c r="V2812" s="5"/>
      <c r="W2812" s="5"/>
      <c r="X2812" s="5"/>
      <c r="Y2812" s="5"/>
      <c r="Z2812" s="5"/>
    </row>
    <row r="2813" ht="12.0" customHeight="1">
      <c r="A2813" s="92"/>
      <c r="B2813" s="5" t="s">
        <v>634</v>
      </c>
      <c r="C2813" s="293">
        <f>C2812/Parametros!$B$37</f>
        <v>11.3985</v>
      </c>
      <c r="D2813" s="293">
        <f>D2812/Parametros!$B$37</f>
        <v>10.0575</v>
      </c>
      <c r="E2813" s="293">
        <f>E2812/Parametros!$B$37</f>
        <v>12.069</v>
      </c>
      <c r="F2813" s="293">
        <f>F2812/Parametros!$B$37</f>
        <v>12.069</v>
      </c>
      <c r="G2813" s="293">
        <f>G2812/Parametros!$B$37</f>
        <v>12.069</v>
      </c>
      <c r="H2813" s="293">
        <f>H2812/Parametros!$B$37</f>
        <v>10.728</v>
      </c>
      <c r="I2813" s="293">
        <f>I2812/Parametros!$B$37</f>
        <v>12.069</v>
      </c>
      <c r="J2813" s="293">
        <f>J2812/Parametros!$B$37</f>
        <v>12.069</v>
      </c>
      <c r="K2813" s="293">
        <f>K2812/Parametros!$B$37</f>
        <v>11.3985</v>
      </c>
      <c r="L2813" s="293">
        <f>L2812/Parametros!$B$37</f>
        <v>10.0575</v>
      </c>
      <c r="M2813" s="293">
        <f>M2812/Parametros!$B$37</f>
        <v>9.387</v>
      </c>
      <c r="N2813" s="293">
        <f>N2812/Parametros!$B$37</f>
        <v>10.728</v>
      </c>
      <c r="O2813" s="5"/>
      <c r="P2813" s="5"/>
      <c r="Q2813" s="5"/>
      <c r="R2813" s="5"/>
      <c r="S2813" s="5"/>
      <c r="T2813" s="5"/>
      <c r="U2813" s="5"/>
      <c r="V2813" s="5"/>
      <c r="W2813" s="5"/>
      <c r="X2813" s="5"/>
      <c r="Y2813" s="5"/>
      <c r="Z2813" s="5"/>
    </row>
    <row r="2814" ht="12.0" customHeight="1">
      <c r="A2814" s="92"/>
      <c r="B2814" s="5" t="s">
        <v>635</v>
      </c>
      <c r="C2814" s="293">
        <f>C2813/Parametros!$J$37</f>
        <v>1.5198</v>
      </c>
      <c r="D2814" s="293">
        <f>D2813/Parametros!$J$37</f>
        <v>1.341</v>
      </c>
      <c r="E2814" s="293">
        <f>E2813/Parametros!$J$37</f>
        <v>1.6092</v>
      </c>
      <c r="F2814" s="293">
        <f>F2813/Parametros!$J$37</f>
        <v>1.6092</v>
      </c>
      <c r="G2814" s="293">
        <f>G2813/Parametros!$J$37</f>
        <v>1.6092</v>
      </c>
      <c r="H2814" s="293">
        <f>H2813/Parametros!$J$37</f>
        <v>1.4304</v>
      </c>
      <c r="I2814" s="293">
        <f>I2813/Parametros!$J$37</f>
        <v>1.6092</v>
      </c>
      <c r="J2814" s="293">
        <f>J2813/Parametros!$J$37</f>
        <v>1.6092</v>
      </c>
      <c r="K2814" s="293">
        <f>K2813/Parametros!$J$37</f>
        <v>1.5198</v>
      </c>
      <c r="L2814" s="293">
        <f>L2813/Parametros!$J$37</f>
        <v>1.341</v>
      </c>
      <c r="M2814" s="293">
        <f>M2813/Parametros!$J$37</f>
        <v>1.2516</v>
      </c>
      <c r="N2814" s="293">
        <f>N2813/Parametros!$J$37</f>
        <v>1.4304</v>
      </c>
      <c r="O2814" s="5"/>
      <c r="P2814" s="5"/>
      <c r="Q2814" s="5"/>
      <c r="R2814" s="5"/>
      <c r="S2814" s="5"/>
      <c r="T2814" s="5"/>
      <c r="U2814" s="5"/>
      <c r="V2814" s="5"/>
      <c r="W2814" s="5"/>
      <c r="X2814" s="5"/>
      <c r="Y2814" s="5"/>
      <c r="Z2814" s="5"/>
    </row>
    <row r="2815" ht="12.0" customHeight="1">
      <c r="A2815" s="92" t="s">
        <v>636</v>
      </c>
      <c r="B2815" s="5"/>
      <c r="C2815" s="293">
        <f t="shared" ref="C2815:N2815" si="911">C2814</f>
        <v>1.5198</v>
      </c>
      <c r="D2815" s="293">
        <f t="shared" si="911"/>
        <v>1.341</v>
      </c>
      <c r="E2815" s="293">
        <f t="shared" si="911"/>
        <v>1.6092</v>
      </c>
      <c r="F2815" s="293">
        <f t="shared" si="911"/>
        <v>1.6092</v>
      </c>
      <c r="G2815" s="293">
        <f t="shared" si="911"/>
        <v>1.6092</v>
      </c>
      <c r="H2815" s="293">
        <f t="shared" si="911"/>
        <v>1.4304</v>
      </c>
      <c r="I2815" s="293">
        <f t="shared" si="911"/>
        <v>1.6092</v>
      </c>
      <c r="J2815" s="293">
        <f t="shared" si="911"/>
        <v>1.6092</v>
      </c>
      <c r="K2815" s="293">
        <f t="shared" si="911"/>
        <v>1.5198</v>
      </c>
      <c r="L2815" s="293">
        <f t="shared" si="911"/>
        <v>1.341</v>
      </c>
      <c r="M2815" s="293">
        <f t="shared" si="911"/>
        <v>1.2516</v>
      </c>
      <c r="N2815" s="293">
        <f t="shared" si="911"/>
        <v>1.4304</v>
      </c>
      <c r="O2815" s="5"/>
      <c r="P2815" s="5"/>
      <c r="Q2815" s="5"/>
      <c r="R2815" s="5"/>
      <c r="S2815" s="5"/>
      <c r="T2815" s="5"/>
      <c r="U2815" s="5"/>
      <c r="V2815" s="5"/>
      <c r="W2815" s="5"/>
      <c r="X2815" s="5"/>
      <c r="Y2815" s="5"/>
      <c r="Z2815" s="5"/>
    </row>
    <row r="2816" ht="12.0" customHeight="1">
      <c r="A2816" s="92" t="s">
        <v>637</v>
      </c>
      <c r="B2816" s="5"/>
      <c r="C2816" s="293">
        <f>Parametros!$M$114</f>
        <v>19.74193548</v>
      </c>
      <c r="D2816" s="293">
        <f>Parametros!$M$114</f>
        <v>19.74193548</v>
      </c>
      <c r="E2816" s="293">
        <f>Parametros!$M$114</f>
        <v>19.74193548</v>
      </c>
      <c r="F2816" s="293">
        <f>Parametros!$M$114</f>
        <v>19.74193548</v>
      </c>
      <c r="G2816" s="293">
        <f>Parametros!$M$114</f>
        <v>19.74193548</v>
      </c>
      <c r="H2816" s="293">
        <f>Parametros!$M$114</f>
        <v>19.74193548</v>
      </c>
      <c r="I2816" s="293">
        <f>Parametros!$M$114</f>
        <v>19.74193548</v>
      </c>
      <c r="J2816" s="293">
        <f>Parametros!$M$114</f>
        <v>19.74193548</v>
      </c>
      <c r="K2816" s="293">
        <f>Parametros!$M$114</f>
        <v>19.74193548</v>
      </c>
      <c r="L2816" s="293">
        <f>Parametros!$M$114</f>
        <v>19.74193548</v>
      </c>
      <c r="M2816" s="293">
        <f>Parametros!$M$114</f>
        <v>19.74193548</v>
      </c>
      <c r="N2816" s="293">
        <f>Parametros!$M$114</f>
        <v>19.74193548</v>
      </c>
      <c r="O2816" s="5"/>
      <c r="P2816" s="5"/>
      <c r="Q2816" s="5"/>
      <c r="R2816" s="5"/>
      <c r="S2816" s="5"/>
      <c r="T2816" s="5"/>
      <c r="U2816" s="5"/>
      <c r="V2816" s="5"/>
      <c r="W2816" s="5"/>
      <c r="X2816" s="5"/>
      <c r="Y2816" s="5"/>
      <c r="Z2816" s="5"/>
    </row>
    <row r="2817" ht="12.0" customHeight="1">
      <c r="A2817" s="92" t="s">
        <v>640</v>
      </c>
      <c r="B2817" s="5"/>
      <c r="C2817" s="203">
        <f>'Resumen Capacidad'!$J$222</f>
        <v>1</v>
      </c>
      <c r="D2817" s="203">
        <f>'Resumen Capacidad'!$J$222</f>
        <v>1</v>
      </c>
      <c r="E2817" s="203">
        <f>'Resumen Capacidad'!$J$222</f>
        <v>1</v>
      </c>
      <c r="F2817" s="203">
        <f>'Resumen Capacidad'!$J$222</f>
        <v>1</v>
      </c>
      <c r="G2817" s="203">
        <f>'Resumen Capacidad'!$J$222</f>
        <v>1</v>
      </c>
      <c r="H2817" s="203">
        <f>'Resumen Capacidad'!$J$222</f>
        <v>1</v>
      </c>
      <c r="I2817" s="203">
        <f>'Resumen Capacidad'!$J$222</f>
        <v>1</v>
      </c>
      <c r="J2817" s="203">
        <f>'Resumen Capacidad'!$J$222</f>
        <v>1</v>
      </c>
      <c r="K2817" s="203">
        <f>'Resumen Capacidad'!$J$222</f>
        <v>1</v>
      </c>
      <c r="L2817" s="203">
        <f>'Resumen Capacidad'!$J$222</f>
        <v>1</v>
      </c>
      <c r="M2817" s="203">
        <f>'Resumen Capacidad'!$J$222</f>
        <v>1</v>
      </c>
      <c r="N2817" s="203">
        <f>'Resumen Capacidad'!$J$222</f>
        <v>1</v>
      </c>
      <c r="O2817" s="5"/>
      <c r="P2817" s="5"/>
      <c r="Q2817" s="5"/>
      <c r="R2817" s="5"/>
      <c r="S2817" s="5"/>
      <c r="T2817" s="5"/>
      <c r="U2817" s="5"/>
      <c r="V2817" s="5"/>
      <c r="W2817" s="5"/>
      <c r="X2817" s="5"/>
      <c r="Y2817" s="5"/>
      <c r="Z2817" s="5"/>
    </row>
    <row r="2818" ht="12.0" customHeight="1">
      <c r="A2818" s="92" t="s">
        <v>642</v>
      </c>
      <c r="B2818" s="5"/>
      <c r="C2818" s="203">
        <f t="shared" ref="C2818:N2818" si="912">C2816*C2817</f>
        <v>19.74193548</v>
      </c>
      <c r="D2818" s="203">
        <f t="shared" si="912"/>
        <v>19.74193548</v>
      </c>
      <c r="E2818" s="203">
        <f t="shared" si="912"/>
        <v>19.74193548</v>
      </c>
      <c r="F2818" s="203">
        <f t="shared" si="912"/>
        <v>19.74193548</v>
      </c>
      <c r="G2818" s="203">
        <f t="shared" si="912"/>
        <v>19.74193548</v>
      </c>
      <c r="H2818" s="203">
        <f t="shared" si="912"/>
        <v>19.74193548</v>
      </c>
      <c r="I2818" s="203">
        <f t="shared" si="912"/>
        <v>19.74193548</v>
      </c>
      <c r="J2818" s="203">
        <f t="shared" si="912"/>
        <v>19.74193548</v>
      </c>
      <c r="K2818" s="203">
        <f t="shared" si="912"/>
        <v>19.74193548</v>
      </c>
      <c r="L2818" s="203">
        <f t="shared" si="912"/>
        <v>19.74193548</v>
      </c>
      <c r="M2818" s="203">
        <f t="shared" si="912"/>
        <v>19.74193548</v>
      </c>
      <c r="N2818" s="203">
        <f t="shared" si="912"/>
        <v>19.74193548</v>
      </c>
      <c r="O2818" s="5"/>
      <c r="P2818" s="5"/>
      <c r="Q2818" s="5"/>
      <c r="R2818" s="5"/>
      <c r="S2818" s="5"/>
      <c r="T2818" s="5"/>
      <c r="U2818" s="5"/>
      <c r="V2818" s="5"/>
      <c r="W2818" s="5"/>
      <c r="X2818" s="5"/>
      <c r="Y2818" s="5"/>
      <c r="Z2818" s="5"/>
    </row>
    <row r="2819" ht="12.0" customHeight="1">
      <c r="A2819" s="92" t="s">
        <v>643</v>
      </c>
      <c r="B2819" s="5"/>
      <c r="C2819" s="294">
        <f t="shared" ref="C2819:N2819" si="913">IF(C2818=0,0,C2815/C2818)</f>
        <v>0.07698333333</v>
      </c>
      <c r="D2819" s="294">
        <f t="shared" si="913"/>
        <v>0.06792647059</v>
      </c>
      <c r="E2819" s="294">
        <f t="shared" si="913"/>
        <v>0.08151176471</v>
      </c>
      <c r="F2819" s="294">
        <f t="shared" si="913"/>
        <v>0.08151176471</v>
      </c>
      <c r="G2819" s="294">
        <f t="shared" si="913"/>
        <v>0.08151176471</v>
      </c>
      <c r="H2819" s="294">
        <f t="shared" si="913"/>
        <v>0.07245490196</v>
      </c>
      <c r="I2819" s="294">
        <f t="shared" si="913"/>
        <v>0.08151176471</v>
      </c>
      <c r="J2819" s="294">
        <f t="shared" si="913"/>
        <v>0.08151176471</v>
      </c>
      <c r="K2819" s="294">
        <f t="shared" si="913"/>
        <v>0.07698333333</v>
      </c>
      <c r="L2819" s="294">
        <f t="shared" si="913"/>
        <v>0.06792647059</v>
      </c>
      <c r="M2819" s="294">
        <f t="shared" si="913"/>
        <v>0.06339803922</v>
      </c>
      <c r="N2819" s="294">
        <f t="shared" si="913"/>
        <v>0.07245490196</v>
      </c>
      <c r="O2819" s="5"/>
      <c r="P2819" s="5"/>
      <c r="Q2819" s="5"/>
      <c r="R2819" s="5"/>
      <c r="S2819" s="5"/>
      <c r="T2819" s="5"/>
      <c r="U2819" s="5"/>
      <c r="V2819" s="5"/>
      <c r="W2819" s="5"/>
      <c r="X2819" s="5"/>
      <c r="Y2819" s="5"/>
      <c r="Z2819" s="5"/>
    </row>
    <row r="2820" ht="12.0" customHeight="1">
      <c r="A2820" s="10" t="s">
        <v>1646</v>
      </c>
      <c r="B2820" s="5"/>
      <c r="C2820" s="206"/>
      <c r="D2820" s="206"/>
      <c r="E2820" s="206"/>
      <c r="F2820" s="206"/>
      <c r="G2820" s="206"/>
      <c r="H2820" s="206"/>
      <c r="I2820" s="206"/>
      <c r="J2820" s="206"/>
      <c r="K2820" s="206"/>
      <c r="L2820" s="206"/>
      <c r="M2820" s="206"/>
      <c r="N2820" s="206"/>
      <c r="O2820" s="5"/>
      <c r="P2820" s="5"/>
      <c r="Q2820" s="5"/>
      <c r="R2820" s="5"/>
      <c r="S2820" s="5"/>
      <c r="T2820" s="5"/>
      <c r="U2820" s="5"/>
      <c r="V2820" s="5"/>
      <c r="W2820" s="5"/>
      <c r="X2820" s="5"/>
      <c r="Y2820" s="5"/>
      <c r="Z2820" s="5"/>
    </row>
    <row r="2821" ht="12.0" customHeight="1">
      <c r="A2821" s="92" t="s">
        <v>630</v>
      </c>
      <c r="B2821" s="5" t="s">
        <v>631</v>
      </c>
      <c r="C2821" s="206" t="s">
        <v>3</v>
      </c>
      <c r="D2821" s="206" t="s">
        <v>4</v>
      </c>
      <c r="E2821" s="206" t="s">
        <v>507</v>
      </c>
      <c r="F2821" s="206" t="s">
        <v>508</v>
      </c>
      <c r="G2821" s="206" t="s">
        <v>509</v>
      </c>
      <c r="H2821" s="206" t="s">
        <v>510</v>
      </c>
      <c r="I2821" s="206" t="s">
        <v>511</v>
      </c>
      <c r="J2821" s="206" t="s">
        <v>512</v>
      </c>
      <c r="K2821" s="206" t="s">
        <v>513</v>
      </c>
      <c r="L2821" s="206" t="s">
        <v>514</v>
      </c>
      <c r="M2821" s="206" t="s">
        <v>515</v>
      </c>
      <c r="N2821" s="206" t="s">
        <v>516</v>
      </c>
      <c r="O2821" s="5"/>
      <c r="P2821" s="5"/>
      <c r="Q2821" s="5"/>
      <c r="R2821" s="5"/>
      <c r="S2821" s="5"/>
      <c r="T2821" s="5"/>
      <c r="U2821" s="5"/>
      <c r="V2821" s="5"/>
      <c r="W2821" s="5"/>
      <c r="X2821" s="5"/>
      <c r="Y2821" s="5"/>
      <c r="Z2821" s="5"/>
    </row>
    <row r="2822" ht="12.0" customHeight="1">
      <c r="A2822" s="92" t="s">
        <v>1643</v>
      </c>
      <c r="B2822" s="5" t="s">
        <v>633</v>
      </c>
      <c r="C2822" s="203">
        <f t="shared" ref="C2822:N2822" si="914">C2787</f>
        <v>227.97</v>
      </c>
      <c r="D2822" s="203">
        <f t="shared" si="914"/>
        <v>201.15</v>
      </c>
      <c r="E2822" s="203">
        <f t="shared" si="914"/>
        <v>241.38</v>
      </c>
      <c r="F2822" s="203">
        <f t="shared" si="914"/>
        <v>241.38</v>
      </c>
      <c r="G2822" s="203">
        <f t="shared" si="914"/>
        <v>241.38</v>
      </c>
      <c r="H2822" s="203">
        <f t="shared" si="914"/>
        <v>214.56</v>
      </c>
      <c r="I2822" s="203">
        <f t="shared" si="914"/>
        <v>241.38</v>
      </c>
      <c r="J2822" s="203">
        <f t="shared" si="914"/>
        <v>241.38</v>
      </c>
      <c r="K2822" s="203">
        <f t="shared" si="914"/>
        <v>227.97</v>
      </c>
      <c r="L2822" s="203">
        <f t="shared" si="914"/>
        <v>201.15</v>
      </c>
      <c r="M2822" s="203">
        <f t="shared" si="914"/>
        <v>187.74</v>
      </c>
      <c r="N2822" s="203">
        <f t="shared" si="914"/>
        <v>214.56</v>
      </c>
      <c r="O2822" s="5"/>
      <c r="P2822" s="5"/>
      <c r="Q2822" s="5"/>
      <c r="R2822" s="5"/>
      <c r="S2822" s="5"/>
      <c r="T2822" s="5"/>
      <c r="U2822" s="5"/>
      <c r="V2822" s="5"/>
      <c r="W2822" s="5"/>
      <c r="X2822" s="5"/>
      <c r="Y2822" s="5"/>
      <c r="Z2822" s="5"/>
    </row>
    <row r="2823" ht="12.0" customHeight="1">
      <c r="A2823" s="92"/>
      <c r="B2823" s="5" t="s">
        <v>634</v>
      </c>
      <c r="C2823" s="293">
        <f>C2822/Parametros!$B$37</f>
        <v>11.3985</v>
      </c>
      <c r="D2823" s="293">
        <f>D2822/Parametros!$B$37</f>
        <v>10.0575</v>
      </c>
      <c r="E2823" s="293">
        <f>E2822/Parametros!$B$37</f>
        <v>12.069</v>
      </c>
      <c r="F2823" s="293">
        <f>F2822/Parametros!$B$37</f>
        <v>12.069</v>
      </c>
      <c r="G2823" s="293">
        <f>G2822/Parametros!$B$37</f>
        <v>12.069</v>
      </c>
      <c r="H2823" s="293">
        <f>H2822/Parametros!$B$37</f>
        <v>10.728</v>
      </c>
      <c r="I2823" s="293">
        <f>I2822/Parametros!$B$37</f>
        <v>12.069</v>
      </c>
      <c r="J2823" s="293">
        <f>J2822/Parametros!$B$37</f>
        <v>12.069</v>
      </c>
      <c r="K2823" s="293">
        <f>K2822/Parametros!$B$37</f>
        <v>11.3985</v>
      </c>
      <c r="L2823" s="293">
        <f>L2822/Parametros!$B$37</f>
        <v>10.0575</v>
      </c>
      <c r="M2823" s="293">
        <f>M2822/Parametros!$B$37</f>
        <v>9.387</v>
      </c>
      <c r="N2823" s="293">
        <f>N2822/Parametros!$B$37</f>
        <v>10.728</v>
      </c>
      <c r="O2823" s="5"/>
      <c r="P2823" s="5"/>
      <c r="Q2823" s="5"/>
      <c r="R2823" s="5"/>
      <c r="S2823" s="5"/>
      <c r="T2823" s="5"/>
      <c r="U2823" s="5"/>
      <c r="V2823" s="5"/>
      <c r="W2823" s="5"/>
      <c r="X2823" s="5"/>
      <c r="Y2823" s="5"/>
      <c r="Z2823" s="5"/>
    </row>
    <row r="2824" ht="12.0" customHeight="1">
      <c r="A2824" s="92"/>
      <c r="B2824" s="5" t="s">
        <v>635</v>
      </c>
      <c r="C2824" s="293">
        <f>C2823/Parametros!$J$37</f>
        <v>1.5198</v>
      </c>
      <c r="D2824" s="293">
        <f>D2823/Parametros!$J$37</f>
        <v>1.341</v>
      </c>
      <c r="E2824" s="293">
        <f>E2823/Parametros!$J$37</f>
        <v>1.6092</v>
      </c>
      <c r="F2824" s="293">
        <f>F2823/Parametros!$J$37</f>
        <v>1.6092</v>
      </c>
      <c r="G2824" s="293">
        <f>G2823/Parametros!$J$37</f>
        <v>1.6092</v>
      </c>
      <c r="H2824" s="293">
        <f>H2823/Parametros!$J$37</f>
        <v>1.4304</v>
      </c>
      <c r="I2824" s="293">
        <f>I2823/Parametros!$J$37</f>
        <v>1.6092</v>
      </c>
      <c r="J2824" s="293">
        <f>J2823/Parametros!$J$37</f>
        <v>1.6092</v>
      </c>
      <c r="K2824" s="293">
        <f>K2823/Parametros!$J$37</f>
        <v>1.5198</v>
      </c>
      <c r="L2824" s="293">
        <f>L2823/Parametros!$J$37</f>
        <v>1.341</v>
      </c>
      <c r="M2824" s="293">
        <f>M2823/Parametros!$J$37</f>
        <v>1.2516</v>
      </c>
      <c r="N2824" s="293">
        <f>N2823/Parametros!$J$37</f>
        <v>1.4304</v>
      </c>
      <c r="O2824" s="5"/>
      <c r="P2824" s="5"/>
      <c r="Q2824" s="5"/>
      <c r="R2824" s="5"/>
      <c r="S2824" s="5"/>
      <c r="T2824" s="5"/>
      <c r="U2824" s="5"/>
      <c r="V2824" s="5"/>
      <c r="W2824" s="5"/>
      <c r="X2824" s="5"/>
      <c r="Y2824" s="5"/>
      <c r="Z2824" s="5"/>
    </row>
    <row r="2825" ht="12.0" customHeight="1">
      <c r="A2825" s="92" t="s">
        <v>636</v>
      </c>
      <c r="B2825" s="5"/>
      <c r="C2825" s="293">
        <f t="shared" ref="C2825:N2825" si="915">C2824</f>
        <v>1.5198</v>
      </c>
      <c r="D2825" s="293">
        <f t="shared" si="915"/>
        <v>1.341</v>
      </c>
      <c r="E2825" s="293">
        <f t="shared" si="915"/>
        <v>1.6092</v>
      </c>
      <c r="F2825" s="293">
        <f t="shared" si="915"/>
        <v>1.6092</v>
      </c>
      <c r="G2825" s="293">
        <f t="shared" si="915"/>
        <v>1.6092</v>
      </c>
      <c r="H2825" s="293">
        <f t="shared" si="915"/>
        <v>1.4304</v>
      </c>
      <c r="I2825" s="293">
        <f t="shared" si="915"/>
        <v>1.6092</v>
      </c>
      <c r="J2825" s="293">
        <f t="shared" si="915"/>
        <v>1.6092</v>
      </c>
      <c r="K2825" s="293">
        <f t="shared" si="915"/>
        <v>1.5198</v>
      </c>
      <c r="L2825" s="293">
        <f t="shared" si="915"/>
        <v>1.341</v>
      </c>
      <c r="M2825" s="293">
        <f t="shared" si="915"/>
        <v>1.2516</v>
      </c>
      <c r="N2825" s="293">
        <f t="shared" si="915"/>
        <v>1.4304</v>
      </c>
      <c r="O2825" s="5"/>
      <c r="P2825" s="5"/>
      <c r="Q2825" s="5"/>
      <c r="R2825" s="5"/>
      <c r="S2825" s="5"/>
      <c r="T2825" s="5"/>
      <c r="U2825" s="5"/>
      <c r="V2825" s="5"/>
      <c r="W2825" s="5"/>
      <c r="X2825" s="5"/>
      <c r="Y2825" s="5"/>
      <c r="Z2825" s="5"/>
    </row>
    <row r="2826" ht="12.0" customHeight="1">
      <c r="A2826" s="92" t="s">
        <v>637</v>
      </c>
      <c r="B2826" s="5"/>
      <c r="C2826" s="293">
        <f>Parametros!$M$115</f>
        <v>26.60869565</v>
      </c>
      <c r="D2826" s="293">
        <f>Parametros!$M$115</f>
        <v>26.60869565</v>
      </c>
      <c r="E2826" s="293">
        <f>Parametros!$M$115</f>
        <v>26.60869565</v>
      </c>
      <c r="F2826" s="293">
        <f>Parametros!$M$115</f>
        <v>26.60869565</v>
      </c>
      <c r="G2826" s="293">
        <f>Parametros!$M$115</f>
        <v>26.60869565</v>
      </c>
      <c r="H2826" s="293">
        <f>Parametros!$M$115</f>
        <v>26.60869565</v>
      </c>
      <c r="I2826" s="293">
        <f>Parametros!$M$115</f>
        <v>26.60869565</v>
      </c>
      <c r="J2826" s="293">
        <f>Parametros!$M$115</f>
        <v>26.60869565</v>
      </c>
      <c r="K2826" s="293">
        <f>Parametros!$M$115</f>
        <v>26.60869565</v>
      </c>
      <c r="L2826" s="293">
        <f>Parametros!$M$115</f>
        <v>26.60869565</v>
      </c>
      <c r="M2826" s="293">
        <f>Parametros!$M$115</f>
        <v>26.60869565</v>
      </c>
      <c r="N2826" s="293">
        <f>Parametros!$M$115</f>
        <v>26.60869565</v>
      </c>
      <c r="O2826" s="5"/>
      <c r="P2826" s="5"/>
      <c r="Q2826" s="5"/>
      <c r="R2826" s="5"/>
      <c r="S2826" s="5"/>
      <c r="T2826" s="5"/>
      <c r="U2826" s="5"/>
      <c r="V2826" s="5"/>
      <c r="W2826" s="5"/>
      <c r="X2826" s="5"/>
      <c r="Y2826" s="5"/>
      <c r="Z2826" s="5"/>
    </row>
    <row r="2827" ht="12.0" customHeight="1">
      <c r="A2827" s="92" t="s">
        <v>640</v>
      </c>
      <c r="B2827" s="5"/>
      <c r="C2827" s="203">
        <f>'Resumen Capacidad'!$J$223</f>
        <v>1</v>
      </c>
      <c r="D2827" s="203">
        <f>'Resumen Capacidad'!$J$223</f>
        <v>1</v>
      </c>
      <c r="E2827" s="203">
        <f>'Resumen Capacidad'!$J$223</f>
        <v>1</v>
      </c>
      <c r="F2827" s="203">
        <f>'Resumen Capacidad'!$J$223</f>
        <v>1</v>
      </c>
      <c r="G2827" s="203">
        <f>'Resumen Capacidad'!$J$223</f>
        <v>1</v>
      </c>
      <c r="H2827" s="203">
        <f>'Resumen Capacidad'!$J$223</f>
        <v>1</v>
      </c>
      <c r="I2827" s="203">
        <f>'Resumen Capacidad'!$J$223</f>
        <v>1</v>
      </c>
      <c r="J2827" s="203">
        <f>'Resumen Capacidad'!$J$223</f>
        <v>1</v>
      </c>
      <c r="K2827" s="203">
        <f>'Resumen Capacidad'!$J$223</f>
        <v>1</v>
      </c>
      <c r="L2827" s="203">
        <f>'Resumen Capacidad'!$J$223</f>
        <v>1</v>
      </c>
      <c r="M2827" s="203">
        <f>'Resumen Capacidad'!$J$223</f>
        <v>1</v>
      </c>
      <c r="N2827" s="203">
        <f>'Resumen Capacidad'!$J$223</f>
        <v>1</v>
      </c>
      <c r="O2827" s="5"/>
      <c r="P2827" s="5"/>
      <c r="Q2827" s="5"/>
      <c r="R2827" s="5"/>
      <c r="S2827" s="5"/>
      <c r="T2827" s="5"/>
      <c r="U2827" s="5"/>
      <c r="V2827" s="5"/>
      <c r="W2827" s="5"/>
      <c r="X2827" s="5"/>
      <c r="Y2827" s="5"/>
      <c r="Z2827" s="5"/>
    </row>
    <row r="2828" ht="12.0" customHeight="1">
      <c r="A2828" s="92" t="s">
        <v>642</v>
      </c>
      <c r="B2828" s="5"/>
      <c r="C2828" s="203">
        <f t="shared" ref="C2828:N2828" si="916">C2826*C2827</f>
        <v>26.60869565</v>
      </c>
      <c r="D2828" s="203">
        <f t="shared" si="916"/>
        <v>26.60869565</v>
      </c>
      <c r="E2828" s="203">
        <f t="shared" si="916"/>
        <v>26.60869565</v>
      </c>
      <c r="F2828" s="203">
        <f t="shared" si="916"/>
        <v>26.60869565</v>
      </c>
      <c r="G2828" s="203">
        <f t="shared" si="916"/>
        <v>26.60869565</v>
      </c>
      <c r="H2828" s="203">
        <f t="shared" si="916"/>
        <v>26.60869565</v>
      </c>
      <c r="I2828" s="203">
        <f t="shared" si="916"/>
        <v>26.60869565</v>
      </c>
      <c r="J2828" s="203">
        <f t="shared" si="916"/>
        <v>26.60869565</v>
      </c>
      <c r="K2828" s="203">
        <f t="shared" si="916"/>
        <v>26.60869565</v>
      </c>
      <c r="L2828" s="203">
        <f t="shared" si="916"/>
        <v>26.60869565</v>
      </c>
      <c r="M2828" s="203">
        <f t="shared" si="916"/>
        <v>26.60869565</v>
      </c>
      <c r="N2828" s="203">
        <f t="shared" si="916"/>
        <v>26.60869565</v>
      </c>
      <c r="O2828" s="5"/>
      <c r="P2828" s="5"/>
      <c r="Q2828" s="5"/>
      <c r="R2828" s="5"/>
      <c r="S2828" s="5"/>
      <c r="T2828" s="5"/>
      <c r="U2828" s="5"/>
      <c r="V2828" s="5"/>
      <c r="W2828" s="5"/>
      <c r="X2828" s="5"/>
      <c r="Y2828" s="5"/>
      <c r="Z2828" s="5"/>
    </row>
    <row r="2829" ht="15.75" customHeight="1">
      <c r="A2829" s="276" t="s">
        <v>643</v>
      </c>
      <c r="C2829" s="295">
        <f t="shared" ref="C2829:N2829" si="917">IF(C2828=0,0,C2825/C2828)</f>
        <v>0.05711666667</v>
      </c>
      <c r="D2829" s="295">
        <f t="shared" si="917"/>
        <v>0.05039705882</v>
      </c>
      <c r="E2829" s="295">
        <f t="shared" si="917"/>
        <v>0.06047647059</v>
      </c>
      <c r="F2829" s="295">
        <f t="shared" si="917"/>
        <v>0.06047647059</v>
      </c>
      <c r="G2829" s="295">
        <f t="shared" si="917"/>
        <v>0.06047647059</v>
      </c>
      <c r="H2829" s="295">
        <f t="shared" si="917"/>
        <v>0.05375686275</v>
      </c>
      <c r="I2829" s="295">
        <f t="shared" si="917"/>
        <v>0.06047647059</v>
      </c>
      <c r="J2829" s="295">
        <f t="shared" si="917"/>
        <v>0.06047647059</v>
      </c>
      <c r="K2829" s="295">
        <f t="shared" si="917"/>
        <v>0.05711666667</v>
      </c>
      <c r="L2829" s="295">
        <f t="shared" si="917"/>
        <v>0.05039705882</v>
      </c>
      <c r="M2829" s="295">
        <f t="shared" si="917"/>
        <v>0.0470372549</v>
      </c>
      <c r="N2829" s="295">
        <f t="shared" si="917"/>
        <v>0.05375686275</v>
      </c>
    </row>
    <row r="2830" ht="15.75" customHeight="1">
      <c r="A2830" s="37" t="s">
        <v>1647</v>
      </c>
    </row>
    <row r="2831" ht="15.75" customHeight="1">
      <c r="A2831" s="276" t="s">
        <v>630</v>
      </c>
      <c r="B2831" s="276" t="s">
        <v>631</v>
      </c>
      <c r="C2831" s="276" t="s">
        <v>3</v>
      </c>
      <c r="D2831" s="276" t="s">
        <v>4</v>
      </c>
      <c r="E2831" s="276" t="s">
        <v>507</v>
      </c>
      <c r="F2831" s="276" t="s">
        <v>508</v>
      </c>
      <c r="G2831" s="296" t="s">
        <v>509</v>
      </c>
      <c r="H2831" s="296" t="s">
        <v>510</v>
      </c>
      <c r="I2831" s="296" t="s">
        <v>511</v>
      </c>
      <c r="J2831" s="296" t="s">
        <v>512</v>
      </c>
      <c r="K2831" s="296" t="s">
        <v>513</v>
      </c>
      <c r="L2831" s="296" t="s">
        <v>514</v>
      </c>
      <c r="M2831" s="296" t="s">
        <v>515</v>
      </c>
      <c r="N2831" s="296" t="s">
        <v>516</v>
      </c>
    </row>
    <row r="2832" ht="15.75" customHeight="1">
      <c r="A2832" s="276" t="s">
        <v>1643</v>
      </c>
      <c r="B2832" s="276" t="s">
        <v>633</v>
      </c>
      <c r="C2832" s="278">
        <f t="shared" ref="C2832:N2832" si="918">C2787</f>
        <v>227.97</v>
      </c>
      <c r="D2832" s="278">
        <f t="shared" si="918"/>
        <v>201.15</v>
      </c>
      <c r="E2832" s="278">
        <f t="shared" si="918"/>
        <v>241.38</v>
      </c>
      <c r="F2832" s="278">
        <f t="shared" si="918"/>
        <v>241.38</v>
      </c>
      <c r="G2832" s="278">
        <f t="shared" si="918"/>
        <v>241.38</v>
      </c>
      <c r="H2832" s="278">
        <f t="shared" si="918"/>
        <v>214.56</v>
      </c>
      <c r="I2832" s="278">
        <f t="shared" si="918"/>
        <v>241.38</v>
      </c>
      <c r="J2832" s="278">
        <f t="shared" si="918"/>
        <v>241.38</v>
      </c>
      <c r="K2832" s="278">
        <f t="shared" si="918"/>
        <v>227.97</v>
      </c>
      <c r="L2832" s="278">
        <f t="shared" si="918"/>
        <v>201.15</v>
      </c>
      <c r="M2832" s="278">
        <f t="shared" si="918"/>
        <v>187.74</v>
      </c>
      <c r="N2832" s="278">
        <f t="shared" si="918"/>
        <v>214.56</v>
      </c>
    </row>
    <row r="2833" ht="15.75" customHeight="1">
      <c r="B2833" s="276" t="s">
        <v>634</v>
      </c>
      <c r="C2833" s="297">
        <f>C2832/Parametros!$B$37</f>
        <v>11.3985</v>
      </c>
      <c r="D2833" s="297">
        <f>D2832/Parametros!$B$37</f>
        <v>10.0575</v>
      </c>
      <c r="E2833" s="297">
        <f>E2832/Parametros!$B$37</f>
        <v>12.069</v>
      </c>
      <c r="F2833" s="297">
        <f>F2832/Parametros!$B$37</f>
        <v>12.069</v>
      </c>
      <c r="G2833" s="297">
        <f>G2832/Parametros!$B$37</f>
        <v>12.069</v>
      </c>
      <c r="H2833" s="297">
        <f>H2832/Parametros!$B$37</f>
        <v>10.728</v>
      </c>
      <c r="I2833" s="297">
        <f>I2832/Parametros!$B$37</f>
        <v>12.069</v>
      </c>
      <c r="J2833" s="297">
        <f>J2832/Parametros!$B$37</f>
        <v>12.069</v>
      </c>
      <c r="K2833" s="297">
        <f>K2832/Parametros!$B$37</f>
        <v>11.3985</v>
      </c>
      <c r="L2833" s="297">
        <f>L2832/Parametros!$B$37</f>
        <v>10.0575</v>
      </c>
      <c r="M2833" s="297">
        <f>M2832/Parametros!$B$37</f>
        <v>9.387</v>
      </c>
      <c r="N2833" s="297">
        <f>N2832/Parametros!$B$37</f>
        <v>10.728</v>
      </c>
    </row>
    <row r="2834" ht="15.75" customHeight="1">
      <c r="B2834" s="276" t="s">
        <v>635</v>
      </c>
      <c r="C2834" s="297">
        <f>C2833/Parametros!$J$37</f>
        <v>1.5198</v>
      </c>
      <c r="D2834" s="297">
        <f>D2833/Parametros!$J$37</f>
        <v>1.341</v>
      </c>
      <c r="E2834" s="297">
        <f>E2833/Parametros!$J$37</f>
        <v>1.6092</v>
      </c>
      <c r="F2834" s="297">
        <f>F2833/Parametros!$J$37</f>
        <v>1.6092</v>
      </c>
      <c r="G2834" s="297">
        <f>G2833/Parametros!$J$37</f>
        <v>1.6092</v>
      </c>
      <c r="H2834" s="297">
        <f>H2833/Parametros!$J$37</f>
        <v>1.4304</v>
      </c>
      <c r="I2834" s="297">
        <f>I2833/Parametros!$J$37</f>
        <v>1.6092</v>
      </c>
      <c r="J2834" s="297">
        <f>J2833/Parametros!$J$37</f>
        <v>1.6092</v>
      </c>
      <c r="K2834" s="297">
        <f>K2833/Parametros!$J$37</f>
        <v>1.5198</v>
      </c>
      <c r="L2834" s="297">
        <f>L2833/Parametros!$J$37</f>
        <v>1.341</v>
      </c>
      <c r="M2834" s="297">
        <f>M2833/Parametros!$J$37</f>
        <v>1.2516</v>
      </c>
      <c r="N2834" s="297">
        <f>N2833/Parametros!$J$37</f>
        <v>1.4304</v>
      </c>
    </row>
    <row r="2835" ht="15.75" customHeight="1">
      <c r="A2835" s="276" t="s">
        <v>636</v>
      </c>
      <c r="C2835" s="297">
        <f t="shared" ref="C2835:N2835" si="919">C2834</f>
        <v>1.5198</v>
      </c>
      <c r="D2835" s="297">
        <f t="shared" si="919"/>
        <v>1.341</v>
      </c>
      <c r="E2835" s="297">
        <f t="shared" si="919"/>
        <v>1.6092</v>
      </c>
      <c r="F2835" s="297">
        <f t="shared" si="919"/>
        <v>1.6092</v>
      </c>
      <c r="G2835" s="297">
        <f t="shared" si="919"/>
        <v>1.6092</v>
      </c>
      <c r="H2835" s="297">
        <f t="shared" si="919"/>
        <v>1.4304</v>
      </c>
      <c r="I2835" s="297">
        <f t="shared" si="919"/>
        <v>1.6092</v>
      </c>
      <c r="J2835" s="297">
        <f t="shared" si="919"/>
        <v>1.6092</v>
      </c>
      <c r="K2835" s="297">
        <f t="shared" si="919"/>
        <v>1.5198</v>
      </c>
      <c r="L2835" s="297">
        <f t="shared" si="919"/>
        <v>1.341</v>
      </c>
      <c r="M2835" s="297">
        <f t="shared" si="919"/>
        <v>1.2516</v>
      </c>
      <c r="N2835" s="297">
        <f t="shared" si="919"/>
        <v>1.4304</v>
      </c>
    </row>
    <row r="2836" ht="15.75" customHeight="1">
      <c r="A2836" s="276" t="s">
        <v>637</v>
      </c>
      <c r="C2836" s="297">
        <f>Parametros!$M$116</f>
        <v>38.25</v>
      </c>
      <c r="D2836" s="297">
        <f>Parametros!$M$116</f>
        <v>38.25</v>
      </c>
      <c r="E2836" s="297">
        <f>Parametros!$M$116</f>
        <v>38.25</v>
      </c>
      <c r="F2836" s="297">
        <f>Parametros!$M$116</f>
        <v>38.25</v>
      </c>
      <c r="G2836" s="297">
        <f>Parametros!$M$116</f>
        <v>38.25</v>
      </c>
      <c r="H2836" s="297">
        <f>Parametros!$M$116</f>
        <v>38.25</v>
      </c>
      <c r="I2836" s="297">
        <f>Parametros!$M$116</f>
        <v>38.25</v>
      </c>
      <c r="J2836" s="297">
        <f>Parametros!$M$116</f>
        <v>38.25</v>
      </c>
      <c r="K2836" s="297">
        <f>Parametros!$M$116</f>
        <v>38.25</v>
      </c>
      <c r="L2836" s="297">
        <f>Parametros!$M$116</f>
        <v>38.25</v>
      </c>
      <c r="M2836" s="297">
        <f>Parametros!$M$116</f>
        <v>38.25</v>
      </c>
      <c r="N2836" s="297">
        <f>Parametros!$M$116</f>
        <v>38.25</v>
      </c>
    </row>
    <row r="2837" ht="15.75" customHeight="1">
      <c r="A2837" s="276" t="s">
        <v>640</v>
      </c>
      <c r="C2837" s="278">
        <f>'Resumen Capacidad'!$J$224</f>
        <v>1</v>
      </c>
      <c r="D2837" s="278">
        <f>'Resumen Capacidad'!$J$224</f>
        <v>1</v>
      </c>
      <c r="E2837" s="278">
        <f>'Resumen Capacidad'!$J$224</f>
        <v>1</v>
      </c>
      <c r="F2837" s="278">
        <f>'Resumen Capacidad'!$J$224</f>
        <v>1</v>
      </c>
      <c r="G2837" s="278">
        <f>'Resumen Capacidad'!$J$224</f>
        <v>1</v>
      </c>
      <c r="H2837" s="278">
        <f>'Resumen Capacidad'!$J$224</f>
        <v>1</v>
      </c>
      <c r="I2837" s="278">
        <f>'Resumen Capacidad'!$J$224</f>
        <v>1</v>
      </c>
      <c r="J2837" s="278">
        <f>'Resumen Capacidad'!$J$224</f>
        <v>1</v>
      </c>
      <c r="K2837" s="278">
        <f>'Resumen Capacidad'!$J$224</f>
        <v>1</v>
      </c>
      <c r="L2837" s="278">
        <f>'Resumen Capacidad'!$J$224</f>
        <v>1</v>
      </c>
      <c r="M2837" s="278">
        <f>'Resumen Capacidad'!$J$224</f>
        <v>1</v>
      </c>
      <c r="N2837" s="278">
        <f>'Resumen Capacidad'!$J$224</f>
        <v>1</v>
      </c>
    </row>
    <row r="2838" ht="15.75" customHeight="1">
      <c r="A2838" s="276" t="s">
        <v>642</v>
      </c>
      <c r="C2838" s="278">
        <f t="shared" ref="C2838:N2838" si="920">C2836*C2837</f>
        <v>38.25</v>
      </c>
      <c r="D2838" s="278">
        <f t="shared" si="920"/>
        <v>38.25</v>
      </c>
      <c r="E2838" s="278">
        <f t="shared" si="920"/>
        <v>38.25</v>
      </c>
      <c r="F2838" s="278">
        <f t="shared" si="920"/>
        <v>38.25</v>
      </c>
      <c r="G2838" s="278">
        <f t="shared" si="920"/>
        <v>38.25</v>
      </c>
      <c r="H2838" s="278">
        <f t="shared" si="920"/>
        <v>38.25</v>
      </c>
      <c r="I2838" s="278">
        <f t="shared" si="920"/>
        <v>38.25</v>
      </c>
      <c r="J2838" s="278">
        <f t="shared" si="920"/>
        <v>38.25</v>
      </c>
      <c r="K2838" s="278">
        <f t="shared" si="920"/>
        <v>38.25</v>
      </c>
      <c r="L2838" s="278">
        <f t="shared" si="920"/>
        <v>38.25</v>
      </c>
      <c r="M2838" s="278">
        <f t="shared" si="920"/>
        <v>38.25</v>
      </c>
      <c r="N2838" s="278">
        <f t="shared" si="920"/>
        <v>38.25</v>
      </c>
    </row>
    <row r="2839" ht="15.75" customHeight="1">
      <c r="A2839" s="276" t="s">
        <v>643</v>
      </c>
      <c r="C2839" s="295">
        <f t="shared" ref="C2839:N2839" si="921">IF(C2838=0,0,C2835/C2838)</f>
        <v>0.03973333333</v>
      </c>
      <c r="D2839" s="295">
        <f t="shared" si="921"/>
        <v>0.03505882353</v>
      </c>
      <c r="E2839" s="295">
        <f t="shared" si="921"/>
        <v>0.04207058824</v>
      </c>
      <c r="F2839" s="295">
        <f t="shared" si="921"/>
        <v>0.04207058824</v>
      </c>
      <c r="G2839" s="295">
        <f t="shared" si="921"/>
        <v>0.04207058824</v>
      </c>
      <c r="H2839" s="295">
        <f t="shared" si="921"/>
        <v>0.03739607843</v>
      </c>
      <c r="I2839" s="295">
        <f t="shared" si="921"/>
        <v>0.04207058824</v>
      </c>
      <c r="J2839" s="295">
        <f t="shared" si="921"/>
        <v>0.04207058824</v>
      </c>
      <c r="K2839" s="295">
        <f t="shared" si="921"/>
        <v>0.03973333333</v>
      </c>
      <c r="L2839" s="295">
        <f t="shared" si="921"/>
        <v>0.03505882353</v>
      </c>
      <c r="M2839" s="295">
        <f t="shared" si="921"/>
        <v>0.03272156863</v>
      </c>
      <c r="N2839" s="295">
        <f t="shared" si="921"/>
        <v>0.03739607843</v>
      </c>
    </row>
    <row r="2840" ht="15.75" customHeight="1">
      <c r="A2840" s="37" t="s">
        <v>1648</v>
      </c>
    </row>
    <row r="2841" ht="15.75" customHeight="1">
      <c r="A2841" s="276" t="s">
        <v>630</v>
      </c>
      <c r="B2841" s="276" t="s">
        <v>631</v>
      </c>
      <c r="C2841" s="276" t="s">
        <v>3</v>
      </c>
      <c r="D2841" s="276" t="s">
        <v>4</v>
      </c>
      <c r="E2841" s="276" t="s">
        <v>507</v>
      </c>
      <c r="F2841" s="276" t="s">
        <v>508</v>
      </c>
      <c r="G2841" s="296" t="s">
        <v>509</v>
      </c>
      <c r="H2841" s="296" t="s">
        <v>510</v>
      </c>
      <c r="I2841" s="296" t="s">
        <v>511</v>
      </c>
      <c r="J2841" s="296" t="s">
        <v>512</v>
      </c>
      <c r="K2841" s="296" t="s">
        <v>513</v>
      </c>
      <c r="L2841" s="296" t="s">
        <v>514</v>
      </c>
      <c r="M2841" s="296" t="s">
        <v>515</v>
      </c>
      <c r="N2841" s="296" t="s">
        <v>516</v>
      </c>
    </row>
    <row r="2842" ht="15.75" customHeight="1">
      <c r="A2842" s="276" t="s">
        <v>1643</v>
      </c>
      <c r="B2842" s="276" t="s">
        <v>633</v>
      </c>
      <c r="C2842" s="278">
        <f t="shared" ref="C2842:N2842" si="922">C2787</f>
        <v>227.97</v>
      </c>
      <c r="D2842" s="278">
        <f t="shared" si="922"/>
        <v>201.15</v>
      </c>
      <c r="E2842" s="278">
        <f t="shared" si="922"/>
        <v>241.38</v>
      </c>
      <c r="F2842" s="278">
        <f t="shared" si="922"/>
        <v>241.38</v>
      </c>
      <c r="G2842" s="278">
        <f t="shared" si="922"/>
        <v>241.38</v>
      </c>
      <c r="H2842" s="278">
        <f t="shared" si="922"/>
        <v>214.56</v>
      </c>
      <c r="I2842" s="278">
        <f t="shared" si="922"/>
        <v>241.38</v>
      </c>
      <c r="J2842" s="278">
        <f t="shared" si="922"/>
        <v>241.38</v>
      </c>
      <c r="K2842" s="278">
        <f t="shared" si="922"/>
        <v>227.97</v>
      </c>
      <c r="L2842" s="278">
        <f t="shared" si="922"/>
        <v>201.15</v>
      </c>
      <c r="M2842" s="278">
        <f t="shared" si="922"/>
        <v>187.74</v>
      </c>
      <c r="N2842" s="278">
        <f t="shared" si="922"/>
        <v>214.56</v>
      </c>
    </row>
    <row r="2843" ht="15.75" customHeight="1">
      <c r="B2843" s="276" t="s">
        <v>634</v>
      </c>
      <c r="C2843" s="297">
        <f>C2842/Parametros!$B$37</f>
        <v>11.3985</v>
      </c>
      <c r="D2843" s="297">
        <f>D2842/Parametros!$B$37</f>
        <v>10.0575</v>
      </c>
      <c r="E2843" s="297">
        <f>E2842/Parametros!$B$37</f>
        <v>12.069</v>
      </c>
      <c r="F2843" s="297">
        <f>F2842/Parametros!$B$37</f>
        <v>12.069</v>
      </c>
      <c r="G2843" s="297">
        <f>G2842/Parametros!$B$37</f>
        <v>12.069</v>
      </c>
      <c r="H2843" s="297">
        <f>H2842/Parametros!$B$37</f>
        <v>10.728</v>
      </c>
      <c r="I2843" s="297">
        <f>I2842/Parametros!$B$37</f>
        <v>12.069</v>
      </c>
      <c r="J2843" s="297">
        <f>J2842/Parametros!$B$37</f>
        <v>12.069</v>
      </c>
      <c r="K2843" s="297">
        <f>K2842/Parametros!$B$37</f>
        <v>11.3985</v>
      </c>
      <c r="L2843" s="297">
        <f>L2842/Parametros!$B$37</f>
        <v>10.0575</v>
      </c>
      <c r="M2843" s="297">
        <f>M2842/Parametros!$B$37</f>
        <v>9.387</v>
      </c>
      <c r="N2843" s="297">
        <f>N2842/Parametros!$B$37</f>
        <v>10.728</v>
      </c>
    </row>
    <row r="2844" ht="15.75" customHeight="1">
      <c r="B2844" s="276" t="s">
        <v>635</v>
      </c>
      <c r="C2844" s="297">
        <f>C2843/Parametros!$J$37</f>
        <v>1.5198</v>
      </c>
      <c r="D2844" s="297">
        <f>D2843/Parametros!$J$37</f>
        <v>1.341</v>
      </c>
      <c r="E2844" s="297">
        <f>E2843/Parametros!$J$37</f>
        <v>1.6092</v>
      </c>
      <c r="F2844" s="297">
        <f>F2843/Parametros!$J$37</f>
        <v>1.6092</v>
      </c>
      <c r="G2844" s="297">
        <f>G2843/Parametros!$J$37</f>
        <v>1.6092</v>
      </c>
      <c r="H2844" s="297">
        <f>H2843/Parametros!$J$37</f>
        <v>1.4304</v>
      </c>
      <c r="I2844" s="297">
        <f>I2843/Parametros!$J$37</f>
        <v>1.6092</v>
      </c>
      <c r="J2844" s="297">
        <f>J2843/Parametros!$J$37</f>
        <v>1.6092</v>
      </c>
      <c r="K2844" s="297">
        <f>K2843/Parametros!$J$37</f>
        <v>1.5198</v>
      </c>
      <c r="L2844" s="297">
        <f>L2843/Parametros!$J$37</f>
        <v>1.341</v>
      </c>
      <c r="M2844" s="297">
        <f>M2843/Parametros!$J$37</f>
        <v>1.2516</v>
      </c>
      <c r="N2844" s="297">
        <f>N2843/Parametros!$J$37</f>
        <v>1.4304</v>
      </c>
    </row>
    <row r="2845" ht="15.75" customHeight="1">
      <c r="A2845" s="276" t="s">
        <v>636</v>
      </c>
      <c r="C2845" s="297">
        <f t="shared" ref="C2845:N2845" si="923">C2844</f>
        <v>1.5198</v>
      </c>
      <c r="D2845" s="297">
        <f t="shared" si="923"/>
        <v>1.341</v>
      </c>
      <c r="E2845" s="297">
        <f t="shared" si="923"/>
        <v>1.6092</v>
      </c>
      <c r="F2845" s="297">
        <f t="shared" si="923"/>
        <v>1.6092</v>
      </c>
      <c r="G2845" s="297">
        <f t="shared" si="923"/>
        <v>1.6092</v>
      </c>
      <c r="H2845" s="297">
        <f t="shared" si="923"/>
        <v>1.4304</v>
      </c>
      <c r="I2845" s="297">
        <f t="shared" si="923"/>
        <v>1.6092</v>
      </c>
      <c r="J2845" s="297">
        <f t="shared" si="923"/>
        <v>1.6092</v>
      </c>
      <c r="K2845" s="297">
        <f t="shared" si="923"/>
        <v>1.5198</v>
      </c>
      <c r="L2845" s="297">
        <f t="shared" si="923"/>
        <v>1.341</v>
      </c>
      <c r="M2845" s="297">
        <f t="shared" si="923"/>
        <v>1.2516</v>
      </c>
      <c r="N2845" s="297">
        <f t="shared" si="923"/>
        <v>1.4304</v>
      </c>
    </row>
    <row r="2846" ht="15.75" customHeight="1">
      <c r="A2846" s="276" t="s">
        <v>637</v>
      </c>
      <c r="C2846" s="297">
        <f>Parametros!$M$117</f>
        <v>14.92682927</v>
      </c>
      <c r="D2846" s="297">
        <f>Parametros!$M$117</f>
        <v>14.92682927</v>
      </c>
      <c r="E2846" s="297">
        <f>Parametros!$M$117</f>
        <v>14.92682927</v>
      </c>
      <c r="F2846" s="297">
        <f>Parametros!$M$117</f>
        <v>14.92682927</v>
      </c>
      <c r="G2846" s="297">
        <f>Parametros!$M$117</f>
        <v>14.92682927</v>
      </c>
      <c r="H2846" s="297">
        <f>Parametros!$M$117</f>
        <v>14.92682927</v>
      </c>
      <c r="I2846" s="297">
        <f>Parametros!$M$117</f>
        <v>14.92682927</v>
      </c>
      <c r="J2846" s="297">
        <f>Parametros!$M$117</f>
        <v>14.92682927</v>
      </c>
      <c r="K2846" s="297">
        <f>Parametros!$M$117</f>
        <v>14.92682927</v>
      </c>
      <c r="L2846" s="297">
        <f>Parametros!$M$117</f>
        <v>14.92682927</v>
      </c>
      <c r="M2846" s="297">
        <f>Parametros!$M$117</f>
        <v>14.92682927</v>
      </c>
      <c r="N2846" s="297">
        <f>Parametros!$M$117</f>
        <v>14.92682927</v>
      </c>
    </row>
    <row r="2847" ht="15.75" customHeight="1">
      <c r="A2847" s="276" t="s">
        <v>640</v>
      </c>
      <c r="C2847" s="278">
        <f>'Resumen Capacidad'!$J$225</f>
        <v>1</v>
      </c>
      <c r="D2847" s="278">
        <f>'Resumen Capacidad'!$J$225</f>
        <v>1</v>
      </c>
      <c r="E2847" s="278">
        <f>'Resumen Capacidad'!$J$225</f>
        <v>1</v>
      </c>
      <c r="F2847" s="278">
        <f>'Resumen Capacidad'!$J$225</f>
        <v>1</v>
      </c>
      <c r="G2847" s="278">
        <f>'Resumen Capacidad'!$J$225</f>
        <v>1</v>
      </c>
      <c r="H2847" s="278">
        <f>'Resumen Capacidad'!$J$225</f>
        <v>1</v>
      </c>
      <c r="I2847" s="278">
        <f>'Resumen Capacidad'!$J$225</f>
        <v>1</v>
      </c>
      <c r="J2847" s="278">
        <f>'Resumen Capacidad'!$J$225</f>
        <v>1</v>
      </c>
      <c r="K2847" s="278">
        <f>'Resumen Capacidad'!$J$225</f>
        <v>1</v>
      </c>
      <c r="L2847" s="278">
        <f>'Resumen Capacidad'!$J$225</f>
        <v>1</v>
      </c>
      <c r="M2847" s="278">
        <f>'Resumen Capacidad'!$J$225</f>
        <v>1</v>
      </c>
      <c r="N2847" s="278">
        <f>'Resumen Capacidad'!$J$225</f>
        <v>1</v>
      </c>
    </row>
    <row r="2848" ht="15.75" customHeight="1">
      <c r="A2848" s="276" t="s">
        <v>642</v>
      </c>
      <c r="C2848" s="278">
        <f t="shared" ref="C2848:N2848" si="924">C2846*C2847</f>
        <v>14.92682927</v>
      </c>
      <c r="D2848" s="278">
        <f t="shared" si="924"/>
        <v>14.92682927</v>
      </c>
      <c r="E2848" s="278">
        <f t="shared" si="924"/>
        <v>14.92682927</v>
      </c>
      <c r="F2848" s="278">
        <f t="shared" si="924"/>
        <v>14.92682927</v>
      </c>
      <c r="G2848" s="278">
        <f t="shared" si="924"/>
        <v>14.92682927</v>
      </c>
      <c r="H2848" s="278">
        <f t="shared" si="924"/>
        <v>14.92682927</v>
      </c>
      <c r="I2848" s="278">
        <f t="shared" si="924"/>
        <v>14.92682927</v>
      </c>
      <c r="J2848" s="278">
        <f t="shared" si="924"/>
        <v>14.92682927</v>
      </c>
      <c r="K2848" s="278">
        <f t="shared" si="924"/>
        <v>14.92682927</v>
      </c>
      <c r="L2848" s="278">
        <f t="shared" si="924"/>
        <v>14.92682927</v>
      </c>
      <c r="M2848" s="278">
        <f t="shared" si="924"/>
        <v>14.92682927</v>
      </c>
      <c r="N2848" s="278">
        <f t="shared" si="924"/>
        <v>14.92682927</v>
      </c>
    </row>
    <row r="2849" ht="15.75" customHeight="1">
      <c r="A2849" s="276" t="s">
        <v>643</v>
      </c>
      <c r="C2849" s="295">
        <f t="shared" ref="C2849:N2849" si="925">IF(C2848=0,0,C2845/C2848)</f>
        <v>0.1018166667</v>
      </c>
      <c r="D2849" s="295">
        <f t="shared" si="925"/>
        <v>0.08983823529</v>
      </c>
      <c r="E2849" s="295">
        <f t="shared" si="925"/>
        <v>0.1078058824</v>
      </c>
      <c r="F2849" s="295">
        <f t="shared" si="925"/>
        <v>0.1078058824</v>
      </c>
      <c r="G2849" s="295">
        <f t="shared" si="925"/>
        <v>0.1078058824</v>
      </c>
      <c r="H2849" s="295">
        <f t="shared" si="925"/>
        <v>0.09582745098</v>
      </c>
      <c r="I2849" s="295">
        <f t="shared" si="925"/>
        <v>0.1078058824</v>
      </c>
      <c r="J2849" s="295">
        <f t="shared" si="925"/>
        <v>0.1078058824</v>
      </c>
      <c r="K2849" s="295">
        <f t="shared" si="925"/>
        <v>0.1018166667</v>
      </c>
      <c r="L2849" s="295">
        <f t="shared" si="925"/>
        <v>0.08983823529</v>
      </c>
      <c r="M2849" s="295">
        <f t="shared" si="925"/>
        <v>0.08384901961</v>
      </c>
      <c r="N2849" s="295">
        <f t="shared" si="925"/>
        <v>0.09582745098</v>
      </c>
    </row>
    <row r="2850" ht="15.75" customHeight="1">
      <c r="A2850" s="37" t="s">
        <v>1649</v>
      </c>
    </row>
    <row r="2851" ht="15.75" customHeight="1">
      <c r="A2851" s="276" t="s">
        <v>630</v>
      </c>
      <c r="B2851" s="276" t="s">
        <v>631</v>
      </c>
      <c r="C2851" s="276" t="s">
        <v>3</v>
      </c>
      <c r="D2851" s="276" t="s">
        <v>4</v>
      </c>
      <c r="E2851" s="276" t="s">
        <v>507</v>
      </c>
      <c r="F2851" s="276" t="s">
        <v>508</v>
      </c>
      <c r="G2851" s="296" t="s">
        <v>509</v>
      </c>
      <c r="H2851" s="296" t="s">
        <v>510</v>
      </c>
      <c r="I2851" s="296" t="s">
        <v>511</v>
      </c>
      <c r="J2851" s="296" t="s">
        <v>512</v>
      </c>
      <c r="K2851" s="296" t="s">
        <v>513</v>
      </c>
      <c r="L2851" s="296" t="s">
        <v>514</v>
      </c>
      <c r="M2851" s="296" t="s">
        <v>515</v>
      </c>
      <c r="N2851" s="296" t="s">
        <v>516</v>
      </c>
    </row>
    <row r="2852" ht="15.75" customHeight="1">
      <c r="A2852" s="276" t="s">
        <v>1643</v>
      </c>
      <c r="B2852" s="276" t="s">
        <v>633</v>
      </c>
      <c r="C2852" s="278">
        <f t="shared" ref="C2852:N2852" si="926">C2787</f>
        <v>227.97</v>
      </c>
      <c r="D2852" s="278">
        <f t="shared" si="926"/>
        <v>201.15</v>
      </c>
      <c r="E2852" s="278">
        <f t="shared" si="926"/>
        <v>241.38</v>
      </c>
      <c r="F2852" s="278">
        <f t="shared" si="926"/>
        <v>241.38</v>
      </c>
      <c r="G2852" s="278">
        <f t="shared" si="926"/>
        <v>241.38</v>
      </c>
      <c r="H2852" s="278">
        <f t="shared" si="926"/>
        <v>214.56</v>
      </c>
      <c r="I2852" s="278">
        <f t="shared" si="926"/>
        <v>241.38</v>
      </c>
      <c r="J2852" s="278">
        <f t="shared" si="926"/>
        <v>241.38</v>
      </c>
      <c r="K2852" s="278">
        <f t="shared" si="926"/>
        <v>227.97</v>
      </c>
      <c r="L2852" s="278">
        <f t="shared" si="926"/>
        <v>201.15</v>
      </c>
      <c r="M2852" s="278">
        <f t="shared" si="926"/>
        <v>187.74</v>
      </c>
      <c r="N2852" s="278">
        <f t="shared" si="926"/>
        <v>214.56</v>
      </c>
    </row>
    <row r="2853" ht="15.75" customHeight="1">
      <c r="B2853" s="276" t="s">
        <v>634</v>
      </c>
      <c r="C2853" s="297">
        <f>C2852/Parametros!$B$37</f>
        <v>11.3985</v>
      </c>
      <c r="D2853" s="297">
        <f>D2852/Parametros!$B$37</f>
        <v>10.0575</v>
      </c>
      <c r="E2853" s="297">
        <f>E2852/Parametros!$B$37</f>
        <v>12.069</v>
      </c>
      <c r="F2853" s="297">
        <f>F2852/Parametros!$B$37</f>
        <v>12.069</v>
      </c>
      <c r="G2853" s="297">
        <f>G2852/Parametros!$B$37</f>
        <v>12.069</v>
      </c>
      <c r="H2853" s="297">
        <f>H2852/Parametros!$B$37</f>
        <v>10.728</v>
      </c>
      <c r="I2853" s="297">
        <f>I2852/Parametros!$B$37</f>
        <v>12.069</v>
      </c>
      <c r="J2853" s="297">
        <f>J2852/Parametros!$B$37</f>
        <v>12.069</v>
      </c>
      <c r="K2853" s="297">
        <f>K2852/Parametros!$B$37</f>
        <v>11.3985</v>
      </c>
      <c r="L2853" s="297">
        <f>L2852/Parametros!$B$37</f>
        <v>10.0575</v>
      </c>
      <c r="M2853" s="297">
        <f>M2852/Parametros!$B$37</f>
        <v>9.387</v>
      </c>
      <c r="N2853" s="297">
        <f>N2852/Parametros!$B$37</f>
        <v>10.728</v>
      </c>
    </row>
    <row r="2854" ht="15.75" customHeight="1">
      <c r="B2854" s="276" t="s">
        <v>635</v>
      </c>
      <c r="C2854" s="297">
        <f>C2853/Parametros!$J$37</f>
        <v>1.5198</v>
      </c>
      <c r="D2854" s="297">
        <f>D2853/Parametros!$J$37</f>
        <v>1.341</v>
      </c>
      <c r="E2854" s="297">
        <f>E2853/Parametros!$J$37</f>
        <v>1.6092</v>
      </c>
      <c r="F2854" s="297">
        <f>F2853/Parametros!$J$37</f>
        <v>1.6092</v>
      </c>
      <c r="G2854" s="297">
        <f>G2853/Parametros!$J$37</f>
        <v>1.6092</v>
      </c>
      <c r="H2854" s="297">
        <f>H2853/Parametros!$J$37</f>
        <v>1.4304</v>
      </c>
      <c r="I2854" s="297">
        <f>I2853/Parametros!$J$37</f>
        <v>1.6092</v>
      </c>
      <c r="J2854" s="297">
        <f>J2853/Parametros!$J$37</f>
        <v>1.6092</v>
      </c>
      <c r="K2854" s="297">
        <f>K2853/Parametros!$J$37</f>
        <v>1.5198</v>
      </c>
      <c r="L2854" s="297">
        <f>L2853/Parametros!$J$37</f>
        <v>1.341</v>
      </c>
      <c r="M2854" s="297">
        <f>M2853/Parametros!$J$37</f>
        <v>1.2516</v>
      </c>
      <c r="N2854" s="297">
        <f>N2853/Parametros!$J$37</f>
        <v>1.4304</v>
      </c>
    </row>
    <row r="2855" ht="15.75" customHeight="1">
      <c r="A2855" s="276" t="s">
        <v>636</v>
      </c>
      <c r="C2855" s="297">
        <f t="shared" ref="C2855:N2855" si="927">C2854</f>
        <v>1.5198</v>
      </c>
      <c r="D2855" s="297">
        <f t="shared" si="927"/>
        <v>1.341</v>
      </c>
      <c r="E2855" s="297">
        <f t="shared" si="927"/>
        <v>1.6092</v>
      </c>
      <c r="F2855" s="297">
        <f t="shared" si="927"/>
        <v>1.6092</v>
      </c>
      <c r="G2855" s="297">
        <f t="shared" si="927"/>
        <v>1.6092</v>
      </c>
      <c r="H2855" s="297">
        <f t="shared" si="927"/>
        <v>1.4304</v>
      </c>
      <c r="I2855" s="297">
        <f t="shared" si="927"/>
        <v>1.6092</v>
      </c>
      <c r="J2855" s="297">
        <f t="shared" si="927"/>
        <v>1.6092</v>
      </c>
      <c r="K2855" s="297">
        <f t="shared" si="927"/>
        <v>1.5198</v>
      </c>
      <c r="L2855" s="297">
        <f t="shared" si="927"/>
        <v>1.341</v>
      </c>
      <c r="M2855" s="297">
        <f t="shared" si="927"/>
        <v>1.2516</v>
      </c>
      <c r="N2855" s="297">
        <f t="shared" si="927"/>
        <v>1.4304</v>
      </c>
    </row>
    <row r="2856" ht="15.75" customHeight="1">
      <c r="A2856" s="276" t="s">
        <v>637</v>
      </c>
      <c r="C2856" s="297">
        <f>Parametros!$M$118</f>
        <v>38.25</v>
      </c>
      <c r="D2856" s="297">
        <f>Parametros!$M$118</f>
        <v>38.25</v>
      </c>
      <c r="E2856" s="297">
        <f>Parametros!$M$118</f>
        <v>38.25</v>
      </c>
      <c r="F2856" s="297">
        <f>Parametros!$M$118</f>
        <v>38.25</v>
      </c>
      <c r="G2856" s="297">
        <f>Parametros!$M$118</f>
        <v>38.25</v>
      </c>
      <c r="H2856" s="297">
        <f>Parametros!$M$118</f>
        <v>38.25</v>
      </c>
      <c r="I2856" s="297">
        <f>Parametros!$M$118</f>
        <v>38.25</v>
      </c>
      <c r="J2856" s="297">
        <f>Parametros!$M$118</f>
        <v>38.25</v>
      </c>
      <c r="K2856" s="297">
        <f>Parametros!$M$118</f>
        <v>38.25</v>
      </c>
      <c r="L2856" s="297">
        <f>Parametros!$M$118</f>
        <v>38.25</v>
      </c>
      <c r="M2856" s="297">
        <f>Parametros!$M$118</f>
        <v>38.25</v>
      </c>
      <c r="N2856" s="297">
        <f>Parametros!$M$118</f>
        <v>38.25</v>
      </c>
    </row>
    <row r="2857" ht="15.75" customHeight="1">
      <c r="A2857" s="276" t="s">
        <v>640</v>
      </c>
      <c r="C2857" s="278">
        <f>'Resumen Capacidad'!$J$226</f>
        <v>1</v>
      </c>
      <c r="D2857" s="278">
        <f>'Resumen Capacidad'!$J$226</f>
        <v>1</v>
      </c>
      <c r="E2857" s="278">
        <f>'Resumen Capacidad'!$J$226</f>
        <v>1</v>
      </c>
      <c r="F2857" s="278">
        <f>'Resumen Capacidad'!$J$226</f>
        <v>1</v>
      </c>
      <c r="G2857" s="278">
        <f>'Resumen Capacidad'!$J$226</f>
        <v>1</v>
      </c>
      <c r="H2857" s="278">
        <f>'Resumen Capacidad'!$J$226</f>
        <v>1</v>
      </c>
      <c r="I2857" s="278">
        <f>'Resumen Capacidad'!$J$226</f>
        <v>1</v>
      </c>
      <c r="J2857" s="278">
        <f>'Resumen Capacidad'!$J$226</f>
        <v>1</v>
      </c>
      <c r="K2857" s="278">
        <f>'Resumen Capacidad'!$J$226</f>
        <v>1</v>
      </c>
      <c r="L2857" s="278">
        <f>'Resumen Capacidad'!$J$226</f>
        <v>1</v>
      </c>
      <c r="M2857" s="278">
        <f>'Resumen Capacidad'!$J$226</f>
        <v>1</v>
      </c>
      <c r="N2857" s="278">
        <f>'Resumen Capacidad'!$J$226</f>
        <v>1</v>
      </c>
    </row>
    <row r="2858" ht="15.75" customHeight="1">
      <c r="A2858" s="276" t="s">
        <v>642</v>
      </c>
      <c r="C2858" s="278">
        <f t="shared" ref="C2858:N2858" si="928">C2856*C2857</f>
        <v>38.25</v>
      </c>
      <c r="D2858" s="278">
        <f t="shared" si="928"/>
        <v>38.25</v>
      </c>
      <c r="E2858" s="278">
        <f t="shared" si="928"/>
        <v>38.25</v>
      </c>
      <c r="F2858" s="278">
        <f t="shared" si="928"/>
        <v>38.25</v>
      </c>
      <c r="G2858" s="278">
        <f t="shared" si="928"/>
        <v>38.25</v>
      </c>
      <c r="H2858" s="278">
        <f t="shared" si="928"/>
        <v>38.25</v>
      </c>
      <c r="I2858" s="278">
        <f t="shared" si="928"/>
        <v>38.25</v>
      </c>
      <c r="J2858" s="278">
        <f t="shared" si="928"/>
        <v>38.25</v>
      </c>
      <c r="K2858" s="278">
        <f t="shared" si="928"/>
        <v>38.25</v>
      </c>
      <c r="L2858" s="278">
        <f t="shared" si="928"/>
        <v>38.25</v>
      </c>
      <c r="M2858" s="278">
        <f t="shared" si="928"/>
        <v>38.25</v>
      </c>
      <c r="N2858" s="278">
        <f t="shared" si="928"/>
        <v>38.25</v>
      </c>
    </row>
    <row r="2859" ht="15.75" customHeight="1">
      <c r="A2859" s="276" t="s">
        <v>643</v>
      </c>
      <c r="C2859" s="295">
        <f t="shared" ref="C2859:N2859" si="929">IF(C2858=0,0,C2855/C2858)</f>
        <v>0.03973333333</v>
      </c>
      <c r="D2859" s="295">
        <f t="shared" si="929"/>
        <v>0.03505882353</v>
      </c>
      <c r="E2859" s="295">
        <f t="shared" si="929"/>
        <v>0.04207058824</v>
      </c>
      <c r="F2859" s="295">
        <f t="shared" si="929"/>
        <v>0.04207058824</v>
      </c>
      <c r="G2859" s="295">
        <f t="shared" si="929"/>
        <v>0.04207058824</v>
      </c>
      <c r="H2859" s="295">
        <f t="shared" si="929"/>
        <v>0.03739607843</v>
      </c>
      <c r="I2859" s="295">
        <f t="shared" si="929"/>
        <v>0.04207058824</v>
      </c>
      <c r="J2859" s="295">
        <f t="shared" si="929"/>
        <v>0.04207058824</v>
      </c>
      <c r="K2859" s="295">
        <f t="shared" si="929"/>
        <v>0.03973333333</v>
      </c>
      <c r="L2859" s="295">
        <f t="shared" si="929"/>
        <v>0.03505882353</v>
      </c>
      <c r="M2859" s="295">
        <f t="shared" si="929"/>
        <v>0.03272156863</v>
      </c>
      <c r="N2859" s="295">
        <f t="shared" si="929"/>
        <v>0.03739607843</v>
      </c>
    </row>
    <row r="2860" ht="15.75" customHeight="1">
      <c r="A2860" s="37" t="s">
        <v>1650</v>
      </c>
    </row>
    <row r="2861" ht="15.75" customHeight="1">
      <c r="A2861" s="276" t="s">
        <v>630</v>
      </c>
      <c r="B2861" s="276" t="s">
        <v>631</v>
      </c>
      <c r="C2861" s="276" t="s">
        <v>3</v>
      </c>
      <c r="D2861" s="276" t="s">
        <v>4</v>
      </c>
      <c r="E2861" s="276" t="s">
        <v>507</v>
      </c>
      <c r="F2861" s="276" t="s">
        <v>508</v>
      </c>
      <c r="G2861" s="296" t="s">
        <v>509</v>
      </c>
      <c r="H2861" s="296" t="s">
        <v>510</v>
      </c>
      <c r="I2861" s="296" t="s">
        <v>511</v>
      </c>
      <c r="J2861" s="296" t="s">
        <v>512</v>
      </c>
      <c r="K2861" s="296" t="s">
        <v>513</v>
      </c>
      <c r="L2861" s="296" t="s">
        <v>514</v>
      </c>
      <c r="M2861" s="296" t="s">
        <v>515</v>
      </c>
      <c r="N2861" s="296" t="s">
        <v>516</v>
      </c>
    </row>
    <row r="2862" ht="15.75" customHeight="1">
      <c r="A2862" s="276" t="s">
        <v>1643</v>
      </c>
      <c r="B2862" s="276" t="s">
        <v>633</v>
      </c>
      <c r="C2862" s="278">
        <f t="shared" ref="C2862:N2862" si="930">C2787</f>
        <v>227.97</v>
      </c>
      <c r="D2862" s="278">
        <f t="shared" si="930"/>
        <v>201.15</v>
      </c>
      <c r="E2862" s="278">
        <f t="shared" si="930"/>
        <v>241.38</v>
      </c>
      <c r="F2862" s="278">
        <f t="shared" si="930"/>
        <v>241.38</v>
      </c>
      <c r="G2862" s="278">
        <f t="shared" si="930"/>
        <v>241.38</v>
      </c>
      <c r="H2862" s="278">
        <f t="shared" si="930"/>
        <v>214.56</v>
      </c>
      <c r="I2862" s="278">
        <f t="shared" si="930"/>
        <v>241.38</v>
      </c>
      <c r="J2862" s="278">
        <f t="shared" si="930"/>
        <v>241.38</v>
      </c>
      <c r="K2862" s="278">
        <f t="shared" si="930"/>
        <v>227.97</v>
      </c>
      <c r="L2862" s="278">
        <f t="shared" si="930"/>
        <v>201.15</v>
      </c>
      <c r="M2862" s="278">
        <f t="shared" si="930"/>
        <v>187.74</v>
      </c>
      <c r="N2862" s="278">
        <f t="shared" si="930"/>
        <v>214.56</v>
      </c>
    </row>
    <row r="2863" ht="15.75" customHeight="1">
      <c r="B2863" s="276" t="s">
        <v>634</v>
      </c>
      <c r="C2863" s="297">
        <f>C2862/Parametros!$B$37</f>
        <v>11.3985</v>
      </c>
      <c r="D2863" s="297">
        <f>D2862/Parametros!$B$37</f>
        <v>10.0575</v>
      </c>
      <c r="E2863" s="297">
        <f>E2862/Parametros!$B$37</f>
        <v>12.069</v>
      </c>
      <c r="F2863" s="297">
        <f>F2862/Parametros!$B$37</f>
        <v>12.069</v>
      </c>
      <c r="G2863" s="297">
        <f>G2862/Parametros!$B$37</f>
        <v>12.069</v>
      </c>
      <c r="H2863" s="297">
        <f>H2862/Parametros!$B$37</f>
        <v>10.728</v>
      </c>
      <c r="I2863" s="297">
        <f>I2862/Parametros!$B$37</f>
        <v>12.069</v>
      </c>
      <c r="J2863" s="297">
        <f>J2862/Parametros!$B$37</f>
        <v>12.069</v>
      </c>
      <c r="K2863" s="297">
        <f>K2862/Parametros!$B$37</f>
        <v>11.3985</v>
      </c>
      <c r="L2863" s="297">
        <f>L2862/Parametros!$B$37</f>
        <v>10.0575</v>
      </c>
      <c r="M2863" s="297">
        <f>M2862/Parametros!$B$37</f>
        <v>9.387</v>
      </c>
      <c r="N2863" s="297">
        <f>N2862/Parametros!$B$37</f>
        <v>10.728</v>
      </c>
    </row>
    <row r="2864" ht="15.75" customHeight="1">
      <c r="B2864" s="276" t="s">
        <v>635</v>
      </c>
      <c r="C2864" s="297">
        <f>C2863/Parametros!$J$37</f>
        <v>1.5198</v>
      </c>
      <c r="D2864" s="297">
        <f>D2863/Parametros!$J$37</f>
        <v>1.341</v>
      </c>
      <c r="E2864" s="297">
        <f>E2863/Parametros!$J$37</f>
        <v>1.6092</v>
      </c>
      <c r="F2864" s="297">
        <f>F2863/Parametros!$J$37</f>
        <v>1.6092</v>
      </c>
      <c r="G2864" s="297">
        <f>G2863/Parametros!$J$37</f>
        <v>1.6092</v>
      </c>
      <c r="H2864" s="297">
        <f>H2863/Parametros!$J$37</f>
        <v>1.4304</v>
      </c>
      <c r="I2864" s="297">
        <f>I2863/Parametros!$J$37</f>
        <v>1.6092</v>
      </c>
      <c r="J2864" s="297">
        <f>J2863/Parametros!$J$37</f>
        <v>1.6092</v>
      </c>
      <c r="K2864" s="297">
        <f>K2863/Parametros!$J$37</f>
        <v>1.5198</v>
      </c>
      <c r="L2864" s="297">
        <f>L2863/Parametros!$J$37</f>
        <v>1.341</v>
      </c>
      <c r="M2864" s="297">
        <f>M2863/Parametros!$J$37</f>
        <v>1.2516</v>
      </c>
      <c r="N2864" s="297">
        <f>N2863/Parametros!$J$37</f>
        <v>1.4304</v>
      </c>
    </row>
    <row r="2865" ht="15.75" customHeight="1">
      <c r="A2865" s="276" t="s">
        <v>636</v>
      </c>
      <c r="C2865" s="297">
        <f t="shared" ref="C2865:N2865" si="931">C2864</f>
        <v>1.5198</v>
      </c>
      <c r="D2865" s="297">
        <f t="shared" si="931"/>
        <v>1.341</v>
      </c>
      <c r="E2865" s="297">
        <f t="shared" si="931"/>
        <v>1.6092</v>
      </c>
      <c r="F2865" s="297">
        <f t="shared" si="931"/>
        <v>1.6092</v>
      </c>
      <c r="G2865" s="297">
        <f t="shared" si="931"/>
        <v>1.6092</v>
      </c>
      <c r="H2865" s="297">
        <f t="shared" si="931"/>
        <v>1.4304</v>
      </c>
      <c r="I2865" s="297">
        <f t="shared" si="931"/>
        <v>1.6092</v>
      </c>
      <c r="J2865" s="297">
        <f t="shared" si="931"/>
        <v>1.6092</v>
      </c>
      <c r="K2865" s="297">
        <f t="shared" si="931"/>
        <v>1.5198</v>
      </c>
      <c r="L2865" s="297">
        <f t="shared" si="931"/>
        <v>1.341</v>
      </c>
      <c r="M2865" s="297">
        <f t="shared" si="931"/>
        <v>1.2516</v>
      </c>
      <c r="N2865" s="297">
        <f t="shared" si="931"/>
        <v>1.4304</v>
      </c>
    </row>
    <row r="2866" ht="15.75" customHeight="1">
      <c r="A2866" s="276" t="s">
        <v>637</v>
      </c>
      <c r="C2866" s="297">
        <f>Parametros!$M$119</f>
        <v>5.666666667</v>
      </c>
      <c r="D2866" s="297">
        <f>Parametros!$M$119</f>
        <v>5.666666667</v>
      </c>
      <c r="E2866" s="297">
        <f>Parametros!$M$119</f>
        <v>5.666666667</v>
      </c>
      <c r="F2866" s="297">
        <f>Parametros!$M$119</f>
        <v>5.666666667</v>
      </c>
      <c r="G2866" s="297">
        <f>Parametros!$M$119</f>
        <v>5.666666667</v>
      </c>
      <c r="H2866" s="297">
        <f>Parametros!$M$119</f>
        <v>5.666666667</v>
      </c>
      <c r="I2866" s="297">
        <f>Parametros!$M$119</f>
        <v>5.666666667</v>
      </c>
      <c r="J2866" s="297">
        <f>Parametros!$M$119</f>
        <v>5.666666667</v>
      </c>
      <c r="K2866" s="297">
        <f>Parametros!$M$119</f>
        <v>5.666666667</v>
      </c>
      <c r="L2866" s="297">
        <f>Parametros!$M$119</f>
        <v>5.666666667</v>
      </c>
      <c r="M2866" s="297">
        <f>Parametros!$M$119</f>
        <v>5.666666667</v>
      </c>
      <c r="N2866" s="297">
        <f>Parametros!$M$119</f>
        <v>5.666666667</v>
      </c>
    </row>
    <row r="2867" ht="15.75" customHeight="1">
      <c r="A2867" s="276" t="s">
        <v>640</v>
      </c>
      <c r="C2867" s="278">
        <f>'Resumen Capacidad'!$J$227</f>
        <v>1</v>
      </c>
      <c r="D2867" s="278">
        <f>'Resumen Capacidad'!$J$227</f>
        <v>1</v>
      </c>
      <c r="E2867" s="278">
        <f>'Resumen Capacidad'!$J$227</f>
        <v>1</v>
      </c>
      <c r="F2867" s="278">
        <f>'Resumen Capacidad'!$J$227</f>
        <v>1</v>
      </c>
      <c r="G2867" s="278">
        <f>'Resumen Capacidad'!$J$227</f>
        <v>1</v>
      </c>
      <c r="H2867" s="278">
        <f>'Resumen Capacidad'!$J$227</f>
        <v>1</v>
      </c>
      <c r="I2867" s="278">
        <f>'Resumen Capacidad'!$J$227</f>
        <v>1</v>
      </c>
      <c r="J2867" s="278">
        <f>'Resumen Capacidad'!$J$227</f>
        <v>1</v>
      </c>
      <c r="K2867" s="278">
        <f>'Resumen Capacidad'!$J$227</f>
        <v>1</v>
      </c>
      <c r="L2867" s="278">
        <f>'Resumen Capacidad'!$J$227</f>
        <v>1</v>
      </c>
      <c r="M2867" s="278">
        <f>'Resumen Capacidad'!$J$227</f>
        <v>1</v>
      </c>
      <c r="N2867" s="278">
        <f>'Resumen Capacidad'!$J$227</f>
        <v>1</v>
      </c>
    </row>
    <row r="2868" ht="15.75" customHeight="1">
      <c r="A2868" s="276" t="s">
        <v>642</v>
      </c>
      <c r="C2868" s="278">
        <f t="shared" ref="C2868:N2868" si="932">C2866*C2867</f>
        <v>5.666666667</v>
      </c>
      <c r="D2868" s="278">
        <f t="shared" si="932"/>
        <v>5.666666667</v>
      </c>
      <c r="E2868" s="278">
        <f t="shared" si="932"/>
        <v>5.666666667</v>
      </c>
      <c r="F2868" s="278">
        <f t="shared" si="932"/>
        <v>5.666666667</v>
      </c>
      <c r="G2868" s="278">
        <f t="shared" si="932"/>
        <v>5.666666667</v>
      </c>
      <c r="H2868" s="278">
        <f t="shared" si="932"/>
        <v>5.666666667</v>
      </c>
      <c r="I2868" s="278">
        <f t="shared" si="932"/>
        <v>5.666666667</v>
      </c>
      <c r="J2868" s="278">
        <f t="shared" si="932"/>
        <v>5.666666667</v>
      </c>
      <c r="K2868" s="278">
        <f t="shared" si="932"/>
        <v>5.666666667</v>
      </c>
      <c r="L2868" s="278">
        <f t="shared" si="932"/>
        <v>5.666666667</v>
      </c>
      <c r="M2868" s="278">
        <f t="shared" si="932"/>
        <v>5.666666667</v>
      </c>
      <c r="N2868" s="278">
        <f t="shared" si="932"/>
        <v>5.666666667</v>
      </c>
    </row>
    <row r="2869" ht="15.75" customHeight="1">
      <c r="A2869" s="276" t="s">
        <v>643</v>
      </c>
      <c r="C2869" s="295">
        <f t="shared" ref="C2869:N2869" si="933">IF(C2868=0,0,C2865/C2868)</f>
        <v>0.2682</v>
      </c>
      <c r="D2869" s="295">
        <f t="shared" si="933"/>
        <v>0.2366470588</v>
      </c>
      <c r="E2869" s="295">
        <f t="shared" si="933"/>
        <v>0.2839764706</v>
      </c>
      <c r="F2869" s="295">
        <f t="shared" si="933"/>
        <v>0.2839764706</v>
      </c>
      <c r="G2869" s="295">
        <f t="shared" si="933"/>
        <v>0.2839764706</v>
      </c>
      <c r="H2869" s="295">
        <f t="shared" si="933"/>
        <v>0.2524235294</v>
      </c>
      <c r="I2869" s="295">
        <f t="shared" si="933"/>
        <v>0.2839764706</v>
      </c>
      <c r="J2869" s="295">
        <f t="shared" si="933"/>
        <v>0.2839764706</v>
      </c>
      <c r="K2869" s="295">
        <f t="shared" si="933"/>
        <v>0.2682</v>
      </c>
      <c r="L2869" s="295">
        <f t="shared" si="933"/>
        <v>0.2366470588</v>
      </c>
      <c r="M2869" s="295">
        <f t="shared" si="933"/>
        <v>0.2208705882</v>
      </c>
      <c r="N2869" s="295">
        <f t="shared" si="933"/>
        <v>0.2524235294</v>
      </c>
    </row>
    <row r="2870" ht="15.75" customHeight="1"/>
    <row r="2871" ht="15.75" customHeight="1">
      <c r="A2871" s="298" t="s">
        <v>1659</v>
      </c>
      <c r="B2871" s="299"/>
      <c r="C2871" s="299"/>
      <c r="D2871" s="299"/>
      <c r="E2871" s="299"/>
      <c r="F2871" s="299"/>
      <c r="G2871" s="299"/>
      <c r="H2871" s="299"/>
      <c r="I2871" s="299"/>
      <c r="J2871" s="299"/>
      <c r="K2871" s="299"/>
      <c r="L2871" s="299"/>
      <c r="M2871" s="299"/>
      <c r="N2871" s="299"/>
      <c r="O2871" s="299"/>
    </row>
    <row r="2872" ht="15.75" customHeight="1">
      <c r="A2872" s="160" t="s">
        <v>188</v>
      </c>
      <c r="B2872" s="160" t="s">
        <v>631</v>
      </c>
      <c r="C2872" s="160" t="s">
        <v>3</v>
      </c>
      <c r="D2872" s="160" t="s">
        <v>4</v>
      </c>
      <c r="E2872" s="160" t="s">
        <v>507</v>
      </c>
      <c r="F2872" s="160" t="s">
        <v>508</v>
      </c>
      <c r="G2872" s="160" t="s">
        <v>509</v>
      </c>
      <c r="H2872" s="160" t="s">
        <v>510</v>
      </c>
      <c r="I2872" s="160" t="s">
        <v>511</v>
      </c>
      <c r="J2872" s="160" t="s">
        <v>512</v>
      </c>
      <c r="K2872" s="160" t="s">
        <v>513</v>
      </c>
      <c r="L2872" s="160" t="s">
        <v>514</v>
      </c>
      <c r="M2872" s="160" t="s">
        <v>515</v>
      </c>
      <c r="N2872" s="160" t="s">
        <v>516</v>
      </c>
      <c r="O2872" s="160" t="s">
        <v>15</v>
      </c>
      <c r="P2872" s="160" t="s">
        <v>1598</v>
      </c>
      <c r="Q2872" s="22" t="s">
        <v>1634</v>
      </c>
    </row>
    <row r="2873" ht="15.75" customHeight="1">
      <c r="A2873" s="300" t="s">
        <v>1635</v>
      </c>
      <c r="B2873" s="276" t="s">
        <v>633</v>
      </c>
      <c r="C2873" s="291">
        <f>SUM('2035'!B10:B13)</f>
        <v>154.105</v>
      </c>
      <c r="D2873" s="291">
        <f>SUM('2035'!C10:C13)</f>
        <v>135.975</v>
      </c>
      <c r="E2873" s="291">
        <f>SUM('2035'!D10:D13)</f>
        <v>163.17</v>
      </c>
      <c r="F2873" s="291">
        <f>SUM('2035'!E10:E13)</f>
        <v>163.17</v>
      </c>
      <c r="G2873" s="291">
        <f>SUM('2035'!F10:F13)</f>
        <v>163.17</v>
      </c>
      <c r="H2873" s="291">
        <f>SUM('2035'!G10:G13)</f>
        <v>145.04</v>
      </c>
      <c r="I2873" s="291">
        <f>SUM('2035'!H10:H13)</f>
        <v>163.17</v>
      </c>
      <c r="J2873" s="291">
        <f>SUM('2035'!I10:I13)</f>
        <v>163.17</v>
      </c>
      <c r="K2873" s="291">
        <f>SUM('2035'!J10:J13)</f>
        <v>154.105</v>
      </c>
      <c r="L2873" s="291">
        <f>SUM('2035'!K10:K13)</f>
        <v>135.975</v>
      </c>
      <c r="M2873" s="291">
        <f>SUM('2035'!L10:L13)</f>
        <v>126.91</v>
      </c>
      <c r="N2873" s="291">
        <f>SUM('2035'!M10:M13)</f>
        <v>145.04</v>
      </c>
      <c r="O2873" s="292">
        <f t="shared" ref="O2873:O2878" si="934">SUM(C2873:N2873)</f>
        <v>1813</v>
      </c>
    </row>
    <row r="2874" ht="15.75" customHeight="1">
      <c r="A2874" s="300" t="s">
        <v>1636</v>
      </c>
      <c r="B2874" s="276" t="s">
        <v>633</v>
      </c>
      <c r="C2874" s="291">
        <f>SUM('2035'!B21:B24)</f>
        <v>109.395</v>
      </c>
      <c r="D2874" s="291">
        <f>SUM('2035'!C21:C24)</f>
        <v>96.525</v>
      </c>
      <c r="E2874" s="291">
        <f>SUM('2035'!D21:D24)</f>
        <v>115.83</v>
      </c>
      <c r="F2874" s="291">
        <f>SUM('2035'!E21:E24)</f>
        <v>115.83</v>
      </c>
      <c r="G2874" s="291">
        <f>SUM('2035'!F21:F24)</f>
        <v>115.83</v>
      </c>
      <c r="H2874" s="291">
        <f>SUM('2035'!G21:G24)</f>
        <v>102.96</v>
      </c>
      <c r="I2874" s="291">
        <f>SUM('2035'!H21:H24)</f>
        <v>115.83</v>
      </c>
      <c r="J2874" s="291">
        <f>SUM('2035'!I21:I24)</f>
        <v>115.83</v>
      </c>
      <c r="K2874" s="291">
        <f>SUM('2035'!J21:J24)</f>
        <v>109.395</v>
      </c>
      <c r="L2874" s="291">
        <f>SUM('2035'!K21:K24)</f>
        <v>96.525</v>
      </c>
      <c r="M2874" s="291">
        <f>SUM('2035'!L21:L24)</f>
        <v>90.09</v>
      </c>
      <c r="N2874" s="291">
        <f>SUM('2035'!M21:M24)</f>
        <v>102.96</v>
      </c>
      <c r="O2874" s="292">
        <f t="shared" si="934"/>
        <v>1287</v>
      </c>
    </row>
    <row r="2875" ht="15.75" customHeight="1">
      <c r="A2875" s="300" t="s">
        <v>1637</v>
      </c>
      <c r="B2875" s="276" t="s">
        <v>633</v>
      </c>
      <c r="C2875" s="291">
        <f t="shared" ref="C2875:N2875" si="935">C2873+C2874</f>
        <v>263.5</v>
      </c>
      <c r="D2875" s="291">
        <f t="shared" si="935"/>
        <v>232.5</v>
      </c>
      <c r="E2875" s="291">
        <f t="shared" si="935"/>
        <v>279</v>
      </c>
      <c r="F2875" s="291">
        <f t="shared" si="935"/>
        <v>279</v>
      </c>
      <c r="G2875" s="291">
        <f t="shared" si="935"/>
        <v>279</v>
      </c>
      <c r="H2875" s="291">
        <f t="shared" si="935"/>
        <v>248</v>
      </c>
      <c r="I2875" s="291">
        <f t="shared" si="935"/>
        <v>279</v>
      </c>
      <c r="J2875" s="291">
        <f t="shared" si="935"/>
        <v>279</v>
      </c>
      <c r="K2875" s="291">
        <f t="shared" si="935"/>
        <v>263.5</v>
      </c>
      <c r="L2875" s="291">
        <f t="shared" si="935"/>
        <v>232.5</v>
      </c>
      <c r="M2875" s="291">
        <f t="shared" si="935"/>
        <v>217</v>
      </c>
      <c r="N2875" s="291">
        <f t="shared" si="935"/>
        <v>248</v>
      </c>
      <c r="O2875" s="292">
        <f t="shared" si="934"/>
        <v>3100</v>
      </c>
    </row>
    <row r="2876" ht="15.75" customHeight="1">
      <c r="A2876" s="300" t="s">
        <v>1638</v>
      </c>
      <c r="B2876" s="276" t="s">
        <v>633</v>
      </c>
      <c r="C2876" s="291">
        <f>$O2873*Parametros!$B$70</f>
        <v>154.105</v>
      </c>
      <c r="D2876" s="291">
        <f>$O2873*Parametros!$C$70</f>
        <v>135.975</v>
      </c>
      <c r="E2876" s="291">
        <f>$O2873*Parametros!$D$70</f>
        <v>163.17</v>
      </c>
      <c r="F2876" s="291">
        <f>$O2873*Parametros!$E$70</f>
        <v>163.17</v>
      </c>
      <c r="G2876" s="291">
        <f>$O2873*Parametros!$F$70</f>
        <v>163.17</v>
      </c>
      <c r="H2876" s="291">
        <f>$O2873*Parametros!$G$70</f>
        <v>145.04</v>
      </c>
      <c r="I2876" s="291">
        <f>$O2873*Parametros!$H$70</f>
        <v>163.17</v>
      </c>
      <c r="J2876" s="291">
        <f>$O2873*Parametros!$I$70</f>
        <v>163.17</v>
      </c>
      <c r="K2876" s="291">
        <f>$O2873*Parametros!$J$70</f>
        <v>154.105</v>
      </c>
      <c r="L2876" s="291">
        <f>$O2873*Parametros!$K$70</f>
        <v>135.975</v>
      </c>
      <c r="M2876" s="291">
        <f>$O2873*Parametros!$L$70</f>
        <v>126.91</v>
      </c>
      <c r="N2876" s="291">
        <f>$O2873*Parametros!$M$70</f>
        <v>145.04</v>
      </c>
      <c r="O2876" s="292">
        <f t="shared" si="934"/>
        <v>1813</v>
      </c>
    </row>
    <row r="2877" ht="15.75" customHeight="1">
      <c r="A2877" s="300" t="s">
        <v>1639</v>
      </c>
      <c r="B2877" s="276" t="s">
        <v>633</v>
      </c>
      <c r="C2877" s="291">
        <f>$O2874*Parametros!$B$70</f>
        <v>109.395</v>
      </c>
      <c r="D2877" s="291">
        <f>$O2874*Parametros!$C$70</f>
        <v>96.525</v>
      </c>
      <c r="E2877" s="291">
        <f>$O2874*Parametros!$D$70</f>
        <v>115.83</v>
      </c>
      <c r="F2877" s="291">
        <f>$O2874*Parametros!$E$70</f>
        <v>115.83</v>
      </c>
      <c r="G2877" s="291">
        <f>$O2874*Parametros!$F$70</f>
        <v>115.83</v>
      </c>
      <c r="H2877" s="291">
        <f>$O2874*Parametros!$G$70</f>
        <v>102.96</v>
      </c>
      <c r="I2877" s="291">
        <f>$O2874*Parametros!$H$70</f>
        <v>115.83</v>
      </c>
      <c r="J2877" s="291">
        <f>$O2874*Parametros!$I$70</f>
        <v>115.83</v>
      </c>
      <c r="K2877" s="291">
        <f>$O2874*Parametros!$J$70</f>
        <v>109.395</v>
      </c>
      <c r="L2877" s="291">
        <f>$O2874*Parametros!$K$70</f>
        <v>96.525</v>
      </c>
      <c r="M2877" s="291">
        <f>$O2874*Parametros!$L$70</f>
        <v>90.09</v>
      </c>
      <c r="N2877" s="291">
        <f>$O2874*Parametros!$M$70</f>
        <v>102.96</v>
      </c>
      <c r="O2877" s="292">
        <f t="shared" si="934"/>
        <v>1287</v>
      </c>
    </row>
    <row r="2878" ht="15.75" customHeight="1">
      <c r="A2878" s="37" t="s">
        <v>1640</v>
      </c>
      <c r="B2878" s="276" t="s">
        <v>633</v>
      </c>
      <c r="C2878" s="292">
        <f t="shared" ref="C2878:N2878" si="936">C2876+C2877</f>
        <v>263.5</v>
      </c>
      <c r="D2878" s="292">
        <f t="shared" si="936"/>
        <v>232.5</v>
      </c>
      <c r="E2878" s="292">
        <f t="shared" si="936"/>
        <v>279</v>
      </c>
      <c r="F2878" s="292">
        <f t="shared" si="936"/>
        <v>279</v>
      </c>
      <c r="G2878" s="292">
        <f t="shared" si="936"/>
        <v>279</v>
      </c>
      <c r="H2878" s="292">
        <f t="shared" si="936"/>
        <v>248</v>
      </c>
      <c r="I2878" s="292">
        <f t="shared" si="936"/>
        <v>279</v>
      </c>
      <c r="J2878" s="292">
        <f t="shared" si="936"/>
        <v>279</v>
      </c>
      <c r="K2878" s="292">
        <f t="shared" si="936"/>
        <v>263.5</v>
      </c>
      <c r="L2878" s="292">
        <f t="shared" si="936"/>
        <v>232.5</v>
      </c>
      <c r="M2878" s="292">
        <f t="shared" si="936"/>
        <v>217</v>
      </c>
      <c r="N2878" s="292">
        <f t="shared" si="936"/>
        <v>248</v>
      </c>
      <c r="O2878" s="292">
        <f t="shared" si="934"/>
        <v>3100</v>
      </c>
    </row>
    <row r="2879" ht="15.75" customHeight="1">
      <c r="A2879" s="300" t="s">
        <v>967</v>
      </c>
      <c r="B2879" s="276" t="s">
        <v>633</v>
      </c>
      <c r="C2879" s="291">
        <f>C2878-C2875</f>
        <v>0</v>
      </c>
      <c r="D2879" s="291">
        <f t="shared" ref="D2879:N2879" si="937">C2879+D2878-D2875</f>
        <v>0</v>
      </c>
      <c r="E2879" s="291">
        <f t="shared" si="937"/>
        <v>0</v>
      </c>
      <c r="F2879" s="291">
        <f t="shared" si="937"/>
        <v>0</v>
      </c>
      <c r="G2879" s="291">
        <f t="shared" si="937"/>
        <v>0</v>
      </c>
      <c r="H2879" s="291">
        <f t="shared" si="937"/>
        <v>0</v>
      </c>
      <c r="I2879" s="291">
        <f t="shared" si="937"/>
        <v>0</v>
      </c>
      <c r="J2879" s="291">
        <f t="shared" si="937"/>
        <v>0</v>
      </c>
      <c r="K2879" s="291">
        <f t="shared" si="937"/>
        <v>0</v>
      </c>
      <c r="L2879" s="291">
        <f t="shared" si="937"/>
        <v>0</v>
      </c>
      <c r="M2879" s="291">
        <f t="shared" si="937"/>
        <v>0</v>
      </c>
      <c r="N2879" s="291">
        <f t="shared" si="937"/>
        <v>0</v>
      </c>
      <c r="O2879" s="292"/>
    </row>
    <row r="2880" ht="15.75" customHeight="1">
      <c r="A2880" s="37" t="s">
        <v>1641</v>
      </c>
      <c r="B2880" s="276" t="s">
        <v>633</v>
      </c>
      <c r="C2880" s="292">
        <f t="shared" ref="C2880:N2880" si="938">C2879-MIN(0,MIN($C2879:$N2879))</f>
        <v>0</v>
      </c>
      <c r="D2880" s="292">
        <f t="shared" si="938"/>
        <v>0</v>
      </c>
      <c r="E2880" s="292">
        <f t="shared" si="938"/>
        <v>0</v>
      </c>
      <c r="F2880" s="292">
        <f t="shared" si="938"/>
        <v>0</v>
      </c>
      <c r="G2880" s="292">
        <f t="shared" si="938"/>
        <v>0</v>
      </c>
      <c r="H2880" s="292">
        <f t="shared" si="938"/>
        <v>0</v>
      </c>
      <c r="I2880" s="292">
        <f t="shared" si="938"/>
        <v>0</v>
      </c>
      <c r="J2880" s="292">
        <f t="shared" si="938"/>
        <v>0</v>
      </c>
      <c r="K2880" s="292">
        <f t="shared" si="938"/>
        <v>0</v>
      </c>
      <c r="L2880" s="292">
        <f t="shared" si="938"/>
        <v>0</v>
      </c>
      <c r="M2880" s="292">
        <f t="shared" si="938"/>
        <v>0</v>
      </c>
      <c r="N2880" s="292">
        <f t="shared" si="938"/>
        <v>0</v>
      </c>
      <c r="O2880" s="292">
        <f>MAX(C2880:N2880)</f>
        <v>0</v>
      </c>
      <c r="P2880" s="292">
        <f>AVERAGE(C2880:N2880)</f>
        <v>0</v>
      </c>
    </row>
    <row r="2881" ht="15.75" customHeight="1">
      <c r="A2881" s="37" t="s">
        <v>1642</v>
      </c>
    </row>
    <row r="2882" ht="15.75" customHeight="1">
      <c r="A2882" s="276" t="s">
        <v>630</v>
      </c>
      <c r="B2882" s="276" t="s">
        <v>631</v>
      </c>
      <c r="C2882" s="276" t="s">
        <v>3</v>
      </c>
      <c r="D2882" s="276" t="s">
        <v>4</v>
      </c>
      <c r="E2882" s="276" t="s">
        <v>507</v>
      </c>
      <c r="F2882" s="276" t="s">
        <v>508</v>
      </c>
      <c r="G2882" s="296" t="s">
        <v>509</v>
      </c>
      <c r="H2882" s="296" t="s">
        <v>510</v>
      </c>
      <c r="I2882" s="296" t="s">
        <v>511</v>
      </c>
      <c r="J2882" s="296" t="s">
        <v>512</v>
      </c>
      <c r="K2882" s="296" t="s">
        <v>513</v>
      </c>
      <c r="L2882" s="296" t="s">
        <v>514</v>
      </c>
      <c r="M2882" s="296" t="s">
        <v>515</v>
      </c>
      <c r="N2882" s="296" t="s">
        <v>516</v>
      </c>
    </row>
    <row r="2883" ht="15.75" customHeight="1">
      <c r="A2883" s="276" t="s">
        <v>1643</v>
      </c>
      <c r="B2883" s="276" t="s">
        <v>633</v>
      </c>
      <c r="C2883" s="278">
        <f t="shared" ref="C2883:N2883" si="939">C2878</f>
        <v>263.5</v>
      </c>
      <c r="D2883" s="278">
        <f t="shared" si="939"/>
        <v>232.5</v>
      </c>
      <c r="E2883" s="278">
        <f t="shared" si="939"/>
        <v>279</v>
      </c>
      <c r="F2883" s="278">
        <f t="shared" si="939"/>
        <v>279</v>
      </c>
      <c r="G2883" s="278">
        <f t="shared" si="939"/>
        <v>279</v>
      </c>
      <c r="H2883" s="278">
        <f t="shared" si="939"/>
        <v>248</v>
      </c>
      <c r="I2883" s="278">
        <f t="shared" si="939"/>
        <v>279</v>
      </c>
      <c r="J2883" s="278">
        <f t="shared" si="939"/>
        <v>279</v>
      </c>
      <c r="K2883" s="278">
        <f t="shared" si="939"/>
        <v>263.5</v>
      </c>
      <c r="L2883" s="278">
        <f t="shared" si="939"/>
        <v>232.5</v>
      </c>
      <c r="M2883" s="278">
        <f t="shared" si="939"/>
        <v>217</v>
      </c>
      <c r="N2883" s="278">
        <f t="shared" si="939"/>
        <v>248</v>
      </c>
    </row>
    <row r="2884" ht="15.75" customHeight="1">
      <c r="B2884" s="276" t="s">
        <v>634</v>
      </c>
      <c r="C2884" s="297">
        <f>C2883/Parametros!$B$37</f>
        <v>13.175</v>
      </c>
      <c r="D2884" s="297">
        <f>D2883/Parametros!$B$37</f>
        <v>11.625</v>
      </c>
      <c r="E2884" s="297">
        <f>E2883/Parametros!$B$37</f>
        <v>13.95</v>
      </c>
      <c r="F2884" s="297">
        <f>F2883/Parametros!$B$37</f>
        <v>13.95</v>
      </c>
      <c r="G2884" s="297">
        <f>G2883/Parametros!$B$37</f>
        <v>13.95</v>
      </c>
      <c r="H2884" s="297">
        <f>H2883/Parametros!$B$37</f>
        <v>12.4</v>
      </c>
      <c r="I2884" s="297">
        <f>I2883/Parametros!$B$37</f>
        <v>13.95</v>
      </c>
      <c r="J2884" s="297">
        <f>J2883/Parametros!$B$37</f>
        <v>13.95</v>
      </c>
      <c r="K2884" s="297">
        <f>K2883/Parametros!$B$37</f>
        <v>13.175</v>
      </c>
      <c r="L2884" s="297">
        <f>L2883/Parametros!$B$37</f>
        <v>11.625</v>
      </c>
      <c r="M2884" s="297">
        <f>M2883/Parametros!$B$37</f>
        <v>10.85</v>
      </c>
      <c r="N2884" s="297">
        <f>N2883/Parametros!$B$37</f>
        <v>12.4</v>
      </c>
    </row>
    <row r="2885" ht="15.75" customHeight="1">
      <c r="B2885" s="276" t="s">
        <v>635</v>
      </c>
      <c r="C2885" s="297">
        <f>C2884/Parametros!$J$37</f>
        <v>1.756666667</v>
      </c>
      <c r="D2885" s="297">
        <f>D2884/Parametros!$J$37</f>
        <v>1.55</v>
      </c>
      <c r="E2885" s="297">
        <f>E2884/Parametros!$J$37</f>
        <v>1.86</v>
      </c>
      <c r="F2885" s="297">
        <f>F2884/Parametros!$J$37</f>
        <v>1.86</v>
      </c>
      <c r="G2885" s="297">
        <f>G2884/Parametros!$J$37</f>
        <v>1.86</v>
      </c>
      <c r="H2885" s="297">
        <f>H2884/Parametros!$J$37</f>
        <v>1.653333333</v>
      </c>
      <c r="I2885" s="297">
        <f>I2884/Parametros!$J$37</f>
        <v>1.86</v>
      </c>
      <c r="J2885" s="297">
        <f>J2884/Parametros!$J$37</f>
        <v>1.86</v>
      </c>
      <c r="K2885" s="297">
        <f>K2884/Parametros!$J$37</f>
        <v>1.756666667</v>
      </c>
      <c r="L2885" s="297">
        <f>L2884/Parametros!$J$37</f>
        <v>1.55</v>
      </c>
      <c r="M2885" s="297">
        <f>M2884/Parametros!$J$37</f>
        <v>1.446666667</v>
      </c>
      <c r="N2885" s="297">
        <f>N2884/Parametros!$J$37</f>
        <v>1.653333333</v>
      </c>
    </row>
    <row r="2886" ht="15.75" customHeight="1">
      <c r="A2886" s="276" t="s">
        <v>636</v>
      </c>
      <c r="C2886" s="297">
        <f t="shared" ref="C2886:N2886" si="940">C2885</f>
        <v>1.756666667</v>
      </c>
      <c r="D2886" s="297">
        <f t="shared" si="940"/>
        <v>1.55</v>
      </c>
      <c r="E2886" s="297">
        <f t="shared" si="940"/>
        <v>1.86</v>
      </c>
      <c r="F2886" s="297">
        <f t="shared" si="940"/>
        <v>1.86</v>
      </c>
      <c r="G2886" s="297">
        <f t="shared" si="940"/>
        <v>1.86</v>
      </c>
      <c r="H2886" s="297">
        <f t="shared" si="940"/>
        <v>1.653333333</v>
      </c>
      <c r="I2886" s="297">
        <f t="shared" si="940"/>
        <v>1.86</v>
      </c>
      <c r="J2886" s="297">
        <f t="shared" si="940"/>
        <v>1.86</v>
      </c>
      <c r="K2886" s="297">
        <f t="shared" si="940"/>
        <v>1.756666667</v>
      </c>
      <c r="L2886" s="297">
        <f t="shared" si="940"/>
        <v>1.55</v>
      </c>
      <c r="M2886" s="297">
        <f t="shared" si="940"/>
        <v>1.446666667</v>
      </c>
      <c r="N2886" s="297">
        <f t="shared" si="940"/>
        <v>1.653333333</v>
      </c>
    </row>
    <row r="2887" ht="15.75" customHeight="1">
      <c r="A2887" s="276" t="s">
        <v>637</v>
      </c>
      <c r="C2887" s="297">
        <f>Parametros!$M$112</f>
        <v>15.69230769</v>
      </c>
      <c r="D2887" s="297">
        <f>Parametros!$M$112</f>
        <v>15.69230769</v>
      </c>
      <c r="E2887" s="297">
        <f>Parametros!$M$112</f>
        <v>15.69230769</v>
      </c>
      <c r="F2887" s="297">
        <f>Parametros!$M$112</f>
        <v>15.69230769</v>
      </c>
      <c r="G2887" s="297">
        <f>Parametros!$M$112</f>
        <v>15.69230769</v>
      </c>
      <c r="H2887" s="297">
        <f>Parametros!$M$112</f>
        <v>15.69230769</v>
      </c>
      <c r="I2887" s="297">
        <f>Parametros!$M$112</f>
        <v>15.69230769</v>
      </c>
      <c r="J2887" s="297">
        <f>Parametros!$M$112</f>
        <v>15.69230769</v>
      </c>
      <c r="K2887" s="297">
        <f>Parametros!$M$112</f>
        <v>15.69230769</v>
      </c>
      <c r="L2887" s="297">
        <f>Parametros!$M$112</f>
        <v>15.69230769</v>
      </c>
      <c r="M2887" s="297">
        <f>Parametros!$M$112</f>
        <v>15.69230769</v>
      </c>
      <c r="N2887" s="297">
        <f>Parametros!$M$112</f>
        <v>15.69230769</v>
      </c>
    </row>
    <row r="2888" ht="15.75" customHeight="1">
      <c r="A2888" s="276" t="s">
        <v>640</v>
      </c>
      <c r="C2888" s="278">
        <f>'Resumen Capacidad'!$K$220</f>
        <v>1</v>
      </c>
      <c r="D2888" s="278">
        <f>'Resumen Capacidad'!$K$220</f>
        <v>1</v>
      </c>
      <c r="E2888" s="278">
        <f>'Resumen Capacidad'!$K$220</f>
        <v>1</v>
      </c>
      <c r="F2888" s="278">
        <f>'Resumen Capacidad'!$K$220</f>
        <v>1</v>
      </c>
      <c r="G2888" s="278">
        <f>'Resumen Capacidad'!$K$220</f>
        <v>1</v>
      </c>
      <c r="H2888" s="278">
        <f>'Resumen Capacidad'!$K$220</f>
        <v>1</v>
      </c>
      <c r="I2888" s="278">
        <f>'Resumen Capacidad'!$K$220</f>
        <v>1</v>
      </c>
      <c r="J2888" s="278">
        <f>'Resumen Capacidad'!$K$220</f>
        <v>1</v>
      </c>
      <c r="K2888" s="278">
        <f>'Resumen Capacidad'!$K$220</f>
        <v>1</v>
      </c>
      <c r="L2888" s="278">
        <f>'Resumen Capacidad'!$K$220</f>
        <v>1</v>
      </c>
      <c r="M2888" s="278">
        <f>'Resumen Capacidad'!$K$220</f>
        <v>1</v>
      </c>
      <c r="N2888" s="278">
        <f>'Resumen Capacidad'!$K$220</f>
        <v>1</v>
      </c>
    </row>
    <row r="2889" ht="15.75" customHeight="1">
      <c r="A2889" s="276" t="s">
        <v>642</v>
      </c>
      <c r="C2889" s="278">
        <f t="shared" ref="C2889:N2889" si="941">C2887*C2888</f>
        <v>15.69230769</v>
      </c>
      <c r="D2889" s="278">
        <f t="shared" si="941"/>
        <v>15.69230769</v>
      </c>
      <c r="E2889" s="278">
        <f t="shared" si="941"/>
        <v>15.69230769</v>
      </c>
      <c r="F2889" s="278">
        <f t="shared" si="941"/>
        <v>15.69230769</v>
      </c>
      <c r="G2889" s="278">
        <f t="shared" si="941"/>
        <v>15.69230769</v>
      </c>
      <c r="H2889" s="278">
        <f t="shared" si="941"/>
        <v>15.69230769</v>
      </c>
      <c r="I2889" s="278">
        <f t="shared" si="941"/>
        <v>15.69230769</v>
      </c>
      <c r="J2889" s="278">
        <f t="shared" si="941"/>
        <v>15.69230769</v>
      </c>
      <c r="K2889" s="278">
        <f t="shared" si="941"/>
        <v>15.69230769</v>
      </c>
      <c r="L2889" s="278">
        <f t="shared" si="941"/>
        <v>15.69230769</v>
      </c>
      <c r="M2889" s="278">
        <f t="shared" si="941"/>
        <v>15.69230769</v>
      </c>
      <c r="N2889" s="278">
        <f t="shared" si="941"/>
        <v>15.69230769</v>
      </c>
    </row>
    <row r="2890" ht="15.75" customHeight="1">
      <c r="A2890" s="276" t="s">
        <v>643</v>
      </c>
      <c r="C2890" s="295">
        <f t="shared" ref="C2890:N2890" si="942">IF(C2889=0,0,C2886/C2889)</f>
        <v>0.1119444444</v>
      </c>
      <c r="D2890" s="295">
        <f t="shared" si="942"/>
        <v>0.0987745098</v>
      </c>
      <c r="E2890" s="295">
        <f t="shared" si="942"/>
        <v>0.1185294118</v>
      </c>
      <c r="F2890" s="295">
        <f t="shared" si="942"/>
        <v>0.1185294118</v>
      </c>
      <c r="G2890" s="295">
        <f t="shared" si="942"/>
        <v>0.1185294118</v>
      </c>
      <c r="H2890" s="295">
        <f t="shared" si="942"/>
        <v>0.1053594771</v>
      </c>
      <c r="I2890" s="295">
        <f t="shared" si="942"/>
        <v>0.1185294118</v>
      </c>
      <c r="J2890" s="295">
        <f t="shared" si="942"/>
        <v>0.1185294118</v>
      </c>
      <c r="K2890" s="295">
        <f t="shared" si="942"/>
        <v>0.1119444444</v>
      </c>
      <c r="L2890" s="295">
        <f t="shared" si="942"/>
        <v>0.0987745098</v>
      </c>
      <c r="M2890" s="295">
        <f t="shared" si="942"/>
        <v>0.09218954248</v>
      </c>
      <c r="N2890" s="295">
        <f t="shared" si="942"/>
        <v>0.1053594771</v>
      </c>
    </row>
    <row r="2891" ht="15.75" customHeight="1">
      <c r="A2891" s="37" t="s">
        <v>1644</v>
      </c>
    </row>
    <row r="2892" ht="15.75" customHeight="1">
      <c r="A2892" s="276" t="s">
        <v>630</v>
      </c>
      <c r="B2892" s="276" t="s">
        <v>631</v>
      </c>
      <c r="C2892" s="276" t="s">
        <v>3</v>
      </c>
      <c r="D2892" s="276" t="s">
        <v>4</v>
      </c>
      <c r="E2892" s="276" t="s">
        <v>507</v>
      </c>
      <c r="F2892" s="276" t="s">
        <v>508</v>
      </c>
      <c r="G2892" s="296" t="s">
        <v>509</v>
      </c>
      <c r="H2892" s="296" t="s">
        <v>510</v>
      </c>
      <c r="I2892" s="296" t="s">
        <v>511</v>
      </c>
      <c r="J2892" s="296" t="s">
        <v>512</v>
      </c>
      <c r="K2892" s="296" t="s">
        <v>513</v>
      </c>
      <c r="L2892" s="296" t="s">
        <v>514</v>
      </c>
      <c r="M2892" s="296" t="s">
        <v>515</v>
      </c>
      <c r="N2892" s="296" t="s">
        <v>516</v>
      </c>
    </row>
    <row r="2893" ht="15.75" customHeight="1">
      <c r="A2893" s="276" t="s">
        <v>1643</v>
      </c>
      <c r="B2893" s="276" t="s">
        <v>633</v>
      </c>
      <c r="C2893" s="278">
        <f t="shared" ref="C2893:N2893" si="943">C2878</f>
        <v>263.5</v>
      </c>
      <c r="D2893" s="278">
        <f t="shared" si="943"/>
        <v>232.5</v>
      </c>
      <c r="E2893" s="278">
        <f t="shared" si="943"/>
        <v>279</v>
      </c>
      <c r="F2893" s="278">
        <f t="shared" si="943"/>
        <v>279</v>
      </c>
      <c r="G2893" s="278">
        <f t="shared" si="943"/>
        <v>279</v>
      </c>
      <c r="H2893" s="278">
        <f t="shared" si="943"/>
        <v>248</v>
      </c>
      <c r="I2893" s="278">
        <f t="shared" si="943"/>
        <v>279</v>
      </c>
      <c r="J2893" s="278">
        <f t="shared" si="943"/>
        <v>279</v>
      </c>
      <c r="K2893" s="278">
        <f t="shared" si="943"/>
        <v>263.5</v>
      </c>
      <c r="L2893" s="278">
        <f t="shared" si="943"/>
        <v>232.5</v>
      </c>
      <c r="M2893" s="278">
        <f t="shared" si="943"/>
        <v>217</v>
      </c>
      <c r="N2893" s="278">
        <f t="shared" si="943"/>
        <v>248</v>
      </c>
    </row>
    <row r="2894" ht="15.75" customHeight="1">
      <c r="B2894" s="276" t="s">
        <v>634</v>
      </c>
      <c r="C2894" s="297">
        <f>C2893/Parametros!$B$37</f>
        <v>13.175</v>
      </c>
      <c r="D2894" s="297">
        <f>D2893/Parametros!$B$37</f>
        <v>11.625</v>
      </c>
      <c r="E2894" s="297">
        <f>E2893/Parametros!$B$37</f>
        <v>13.95</v>
      </c>
      <c r="F2894" s="297">
        <f>F2893/Parametros!$B$37</f>
        <v>13.95</v>
      </c>
      <c r="G2894" s="297">
        <f>G2893/Parametros!$B$37</f>
        <v>13.95</v>
      </c>
      <c r="H2894" s="297">
        <f>H2893/Parametros!$B$37</f>
        <v>12.4</v>
      </c>
      <c r="I2894" s="297">
        <f>I2893/Parametros!$B$37</f>
        <v>13.95</v>
      </c>
      <c r="J2894" s="297">
        <f>J2893/Parametros!$B$37</f>
        <v>13.95</v>
      </c>
      <c r="K2894" s="297">
        <f>K2893/Parametros!$B$37</f>
        <v>13.175</v>
      </c>
      <c r="L2894" s="297">
        <f>L2893/Parametros!$B$37</f>
        <v>11.625</v>
      </c>
      <c r="M2894" s="297">
        <f>M2893/Parametros!$B$37</f>
        <v>10.85</v>
      </c>
      <c r="N2894" s="297">
        <f>N2893/Parametros!$B$37</f>
        <v>12.4</v>
      </c>
    </row>
    <row r="2895" ht="15.75" customHeight="1">
      <c r="B2895" s="276" t="s">
        <v>635</v>
      </c>
      <c r="C2895" s="297">
        <f>C2894/Parametros!$J$37</f>
        <v>1.756666667</v>
      </c>
      <c r="D2895" s="297">
        <f>D2894/Parametros!$J$37</f>
        <v>1.55</v>
      </c>
      <c r="E2895" s="297">
        <f>E2894/Parametros!$J$37</f>
        <v>1.86</v>
      </c>
      <c r="F2895" s="297">
        <f>F2894/Parametros!$J$37</f>
        <v>1.86</v>
      </c>
      <c r="G2895" s="297">
        <f>G2894/Parametros!$J$37</f>
        <v>1.86</v>
      </c>
      <c r="H2895" s="297">
        <f>H2894/Parametros!$J$37</f>
        <v>1.653333333</v>
      </c>
      <c r="I2895" s="297">
        <f>I2894/Parametros!$J$37</f>
        <v>1.86</v>
      </c>
      <c r="J2895" s="297">
        <f>J2894/Parametros!$J$37</f>
        <v>1.86</v>
      </c>
      <c r="K2895" s="297">
        <f>K2894/Parametros!$J$37</f>
        <v>1.756666667</v>
      </c>
      <c r="L2895" s="297">
        <f>L2894/Parametros!$J$37</f>
        <v>1.55</v>
      </c>
      <c r="M2895" s="297">
        <f>M2894/Parametros!$J$37</f>
        <v>1.446666667</v>
      </c>
      <c r="N2895" s="297">
        <f>N2894/Parametros!$J$37</f>
        <v>1.653333333</v>
      </c>
    </row>
    <row r="2896" ht="15.75" customHeight="1">
      <c r="A2896" s="276" t="s">
        <v>636</v>
      </c>
      <c r="C2896" s="297">
        <f t="shared" ref="C2896:N2896" si="944">C2895</f>
        <v>1.756666667</v>
      </c>
      <c r="D2896" s="297">
        <f t="shared" si="944"/>
        <v>1.55</v>
      </c>
      <c r="E2896" s="297">
        <f t="shared" si="944"/>
        <v>1.86</v>
      </c>
      <c r="F2896" s="297">
        <f t="shared" si="944"/>
        <v>1.86</v>
      </c>
      <c r="G2896" s="297">
        <f t="shared" si="944"/>
        <v>1.86</v>
      </c>
      <c r="H2896" s="297">
        <f t="shared" si="944"/>
        <v>1.653333333</v>
      </c>
      <c r="I2896" s="297">
        <f t="shared" si="944"/>
        <v>1.86</v>
      </c>
      <c r="J2896" s="297">
        <f t="shared" si="944"/>
        <v>1.86</v>
      </c>
      <c r="K2896" s="297">
        <f t="shared" si="944"/>
        <v>1.756666667</v>
      </c>
      <c r="L2896" s="297">
        <f t="shared" si="944"/>
        <v>1.55</v>
      </c>
      <c r="M2896" s="297">
        <f t="shared" si="944"/>
        <v>1.446666667</v>
      </c>
      <c r="N2896" s="297">
        <f t="shared" si="944"/>
        <v>1.653333333</v>
      </c>
    </row>
    <row r="2897" ht="15.75" customHeight="1">
      <c r="A2897" s="276" t="s">
        <v>637</v>
      </c>
      <c r="C2897" s="297">
        <f>Parametros!$M$113</f>
        <v>1.882352941</v>
      </c>
      <c r="D2897" s="297">
        <f>Parametros!$M$113</f>
        <v>1.882352941</v>
      </c>
      <c r="E2897" s="297">
        <f>Parametros!$M$113</f>
        <v>1.882352941</v>
      </c>
      <c r="F2897" s="297">
        <f>Parametros!$M$113</f>
        <v>1.882352941</v>
      </c>
      <c r="G2897" s="297">
        <f>Parametros!$M$113</f>
        <v>1.882352941</v>
      </c>
      <c r="H2897" s="297">
        <f>Parametros!$M$113</f>
        <v>1.882352941</v>
      </c>
      <c r="I2897" s="297">
        <f>Parametros!$M$113</f>
        <v>1.882352941</v>
      </c>
      <c r="J2897" s="297">
        <f>Parametros!$M$113</f>
        <v>1.882352941</v>
      </c>
      <c r="K2897" s="297">
        <f>Parametros!$M$113</f>
        <v>1.882352941</v>
      </c>
      <c r="L2897" s="297">
        <f>Parametros!$M$113</f>
        <v>1.882352941</v>
      </c>
      <c r="M2897" s="297">
        <f>Parametros!$M$113</f>
        <v>1.882352941</v>
      </c>
      <c r="N2897" s="297">
        <f>Parametros!$M$113</f>
        <v>1.882352941</v>
      </c>
    </row>
    <row r="2898" ht="15.75" customHeight="1">
      <c r="A2898" s="276" t="s">
        <v>640</v>
      </c>
      <c r="C2898" s="278">
        <f>'Resumen Capacidad'!$K$221</f>
        <v>2</v>
      </c>
      <c r="D2898" s="278">
        <f>'Resumen Capacidad'!$K$221</f>
        <v>2</v>
      </c>
      <c r="E2898" s="278">
        <f>'Resumen Capacidad'!$K$221</f>
        <v>2</v>
      </c>
      <c r="F2898" s="278">
        <f>'Resumen Capacidad'!$K$221</f>
        <v>2</v>
      </c>
      <c r="G2898" s="278">
        <f>'Resumen Capacidad'!$K$221</f>
        <v>2</v>
      </c>
      <c r="H2898" s="278">
        <f>'Resumen Capacidad'!$K$221</f>
        <v>2</v>
      </c>
      <c r="I2898" s="278">
        <f>'Resumen Capacidad'!$K$221</f>
        <v>2</v>
      </c>
      <c r="J2898" s="278">
        <f>'Resumen Capacidad'!$K$221</f>
        <v>2</v>
      </c>
      <c r="K2898" s="278">
        <f>'Resumen Capacidad'!$K$221</f>
        <v>2</v>
      </c>
      <c r="L2898" s="278">
        <f>'Resumen Capacidad'!$K$221</f>
        <v>2</v>
      </c>
      <c r="M2898" s="278">
        <f>'Resumen Capacidad'!$K$221</f>
        <v>2</v>
      </c>
      <c r="N2898" s="278">
        <f>'Resumen Capacidad'!$K$221</f>
        <v>2</v>
      </c>
    </row>
    <row r="2899" ht="15.75" customHeight="1">
      <c r="A2899" s="276" t="s">
        <v>642</v>
      </c>
      <c r="C2899" s="278">
        <f t="shared" ref="C2899:N2899" si="945">C2897*C2898</f>
        <v>3.764705882</v>
      </c>
      <c r="D2899" s="278">
        <f t="shared" si="945"/>
        <v>3.764705882</v>
      </c>
      <c r="E2899" s="278">
        <f t="shared" si="945"/>
        <v>3.764705882</v>
      </c>
      <c r="F2899" s="278">
        <f t="shared" si="945"/>
        <v>3.764705882</v>
      </c>
      <c r="G2899" s="278">
        <f t="shared" si="945"/>
        <v>3.764705882</v>
      </c>
      <c r="H2899" s="278">
        <f t="shared" si="945"/>
        <v>3.764705882</v>
      </c>
      <c r="I2899" s="278">
        <f t="shared" si="945"/>
        <v>3.764705882</v>
      </c>
      <c r="J2899" s="278">
        <f t="shared" si="945"/>
        <v>3.764705882</v>
      </c>
      <c r="K2899" s="278">
        <f t="shared" si="945"/>
        <v>3.764705882</v>
      </c>
      <c r="L2899" s="278">
        <f t="shared" si="945"/>
        <v>3.764705882</v>
      </c>
      <c r="M2899" s="278">
        <f t="shared" si="945"/>
        <v>3.764705882</v>
      </c>
      <c r="N2899" s="278">
        <f t="shared" si="945"/>
        <v>3.764705882</v>
      </c>
    </row>
    <row r="2900" ht="15.75" customHeight="1">
      <c r="A2900" s="276" t="s">
        <v>643</v>
      </c>
      <c r="C2900" s="295">
        <f t="shared" ref="C2900:N2900" si="946">IF(C2899=0,0,C2896/C2899)</f>
        <v>0.4666145833</v>
      </c>
      <c r="D2900" s="295">
        <f t="shared" si="946"/>
        <v>0.41171875</v>
      </c>
      <c r="E2900" s="295">
        <f t="shared" si="946"/>
        <v>0.4940625</v>
      </c>
      <c r="F2900" s="295">
        <f t="shared" si="946"/>
        <v>0.4940625</v>
      </c>
      <c r="G2900" s="295">
        <f t="shared" si="946"/>
        <v>0.4940625</v>
      </c>
      <c r="H2900" s="295">
        <f t="shared" si="946"/>
        <v>0.4391666667</v>
      </c>
      <c r="I2900" s="295">
        <f t="shared" si="946"/>
        <v>0.4940625</v>
      </c>
      <c r="J2900" s="295">
        <f t="shared" si="946"/>
        <v>0.4940625</v>
      </c>
      <c r="K2900" s="295">
        <f t="shared" si="946"/>
        <v>0.4666145833</v>
      </c>
      <c r="L2900" s="295">
        <f t="shared" si="946"/>
        <v>0.41171875</v>
      </c>
      <c r="M2900" s="295">
        <f t="shared" si="946"/>
        <v>0.3842708333</v>
      </c>
      <c r="N2900" s="295">
        <f t="shared" si="946"/>
        <v>0.4391666667</v>
      </c>
    </row>
    <row r="2901" ht="15.75" customHeight="1">
      <c r="A2901" s="37" t="s">
        <v>1645</v>
      </c>
    </row>
    <row r="2902" ht="15.75" customHeight="1">
      <c r="A2902" s="276" t="s">
        <v>630</v>
      </c>
      <c r="B2902" s="276" t="s">
        <v>631</v>
      </c>
      <c r="C2902" s="276" t="s">
        <v>3</v>
      </c>
      <c r="D2902" s="276" t="s">
        <v>4</v>
      </c>
      <c r="E2902" s="276" t="s">
        <v>507</v>
      </c>
      <c r="F2902" s="276" t="s">
        <v>508</v>
      </c>
      <c r="G2902" s="296" t="s">
        <v>509</v>
      </c>
      <c r="H2902" s="296" t="s">
        <v>510</v>
      </c>
      <c r="I2902" s="296" t="s">
        <v>511</v>
      </c>
      <c r="J2902" s="296" t="s">
        <v>512</v>
      </c>
      <c r="K2902" s="296" t="s">
        <v>513</v>
      </c>
      <c r="L2902" s="296" t="s">
        <v>514</v>
      </c>
      <c r="M2902" s="296" t="s">
        <v>515</v>
      </c>
      <c r="N2902" s="296" t="s">
        <v>516</v>
      </c>
    </row>
    <row r="2903" ht="15.75" customHeight="1">
      <c r="A2903" s="276" t="s">
        <v>1643</v>
      </c>
      <c r="B2903" s="276" t="s">
        <v>633</v>
      </c>
      <c r="C2903" s="278">
        <f t="shared" ref="C2903:N2903" si="947">C2878</f>
        <v>263.5</v>
      </c>
      <c r="D2903" s="278">
        <f t="shared" si="947"/>
        <v>232.5</v>
      </c>
      <c r="E2903" s="278">
        <f t="shared" si="947"/>
        <v>279</v>
      </c>
      <c r="F2903" s="278">
        <f t="shared" si="947"/>
        <v>279</v>
      </c>
      <c r="G2903" s="278">
        <f t="shared" si="947"/>
        <v>279</v>
      </c>
      <c r="H2903" s="278">
        <f t="shared" si="947"/>
        <v>248</v>
      </c>
      <c r="I2903" s="278">
        <f t="shared" si="947"/>
        <v>279</v>
      </c>
      <c r="J2903" s="278">
        <f t="shared" si="947"/>
        <v>279</v>
      </c>
      <c r="K2903" s="278">
        <f t="shared" si="947"/>
        <v>263.5</v>
      </c>
      <c r="L2903" s="278">
        <f t="shared" si="947"/>
        <v>232.5</v>
      </c>
      <c r="M2903" s="278">
        <f t="shared" si="947"/>
        <v>217</v>
      </c>
      <c r="N2903" s="278">
        <f t="shared" si="947"/>
        <v>248</v>
      </c>
    </row>
    <row r="2904" ht="15.75" customHeight="1">
      <c r="B2904" s="276" t="s">
        <v>634</v>
      </c>
      <c r="C2904" s="297">
        <f>C2903/Parametros!$B$37</f>
        <v>13.175</v>
      </c>
      <c r="D2904" s="297">
        <f>D2903/Parametros!$B$37</f>
        <v>11.625</v>
      </c>
      <c r="E2904" s="297">
        <f>E2903/Parametros!$B$37</f>
        <v>13.95</v>
      </c>
      <c r="F2904" s="297">
        <f>F2903/Parametros!$B$37</f>
        <v>13.95</v>
      </c>
      <c r="G2904" s="297">
        <f>G2903/Parametros!$B$37</f>
        <v>13.95</v>
      </c>
      <c r="H2904" s="297">
        <f>H2903/Parametros!$B$37</f>
        <v>12.4</v>
      </c>
      <c r="I2904" s="297">
        <f>I2903/Parametros!$B$37</f>
        <v>13.95</v>
      </c>
      <c r="J2904" s="297">
        <f>J2903/Parametros!$B$37</f>
        <v>13.95</v>
      </c>
      <c r="K2904" s="297">
        <f>K2903/Parametros!$B$37</f>
        <v>13.175</v>
      </c>
      <c r="L2904" s="297">
        <f>L2903/Parametros!$B$37</f>
        <v>11.625</v>
      </c>
      <c r="M2904" s="297">
        <f>M2903/Parametros!$B$37</f>
        <v>10.85</v>
      </c>
      <c r="N2904" s="297">
        <f>N2903/Parametros!$B$37</f>
        <v>12.4</v>
      </c>
    </row>
    <row r="2905" ht="15.75" customHeight="1">
      <c r="B2905" s="276" t="s">
        <v>635</v>
      </c>
      <c r="C2905" s="297">
        <f>C2904/Parametros!$J$37</f>
        <v>1.756666667</v>
      </c>
      <c r="D2905" s="297">
        <f>D2904/Parametros!$J$37</f>
        <v>1.55</v>
      </c>
      <c r="E2905" s="297">
        <f>E2904/Parametros!$J$37</f>
        <v>1.86</v>
      </c>
      <c r="F2905" s="297">
        <f>F2904/Parametros!$J$37</f>
        <v>1.86</v>
      </c>
      <c r="G2905" s="297">
        <f>G2904/Parametros!$J$37</f>
        <v>1.86</v>
      </c>
      <c r="H2905" s="297">
        <f>H2904/Parametros!$J$37</f>
        <v>1.653333333</v>
      </c>
      <c r="I2905" s="297">
        <f>I2904/Parametros!$J$37</f>
        <v>1.86</v>
      </c>
      <c r="J2905" s="297">
        <f>J2904/Parametros!$J$37</f>
        <v>1.86</v>
      </c>
      <c r="K2905" s="297">
        <f>K2904/Parametros!$J$37</f>
        <v>1.756666667</v>
      </c>
      <c r="L2905" s="297">
        <f>L2904/Parametros!$J$37</f>
        <v>1.55</v>
      </c>
      <c r="M2905" s="297">
        <f>M2904/Parametros!$J$37</f>
        <v>1.446666667</v>
      </c>
      <c r="N2905" s="297">
        <f>N2904/Parametros!$J$37</f>
        <v>1.653333333</v>
      </c>
    </row>
    <row r="2906" ht="15.75" customHeight="1">
      <c r="A2906" s="276" t="s">
        <v>636</v>
      </c>
      <c r="C2906" s="297">
        <f t="shared" ref="C2906:N2906" si="948">C2905</f>
        <v>1.756666667</v>
      </c>
      <c r="D2906" s="297">
        <f t="shared" si="948"/>
        <v>1.55</v>
      </c>
      <c r="E2906" s="297">
        <f t="shared" si="948"/>
        <v>1.86</v>
      </c>
      <c r="F2906" s="297">
        <f t="shared" si="948"/>
        <v>1.86</v>
      </c>
      <c r="G2906" s="297">
        <f t="shared" si="948"/>
        <v>1.86</v>
      </c>
      <c r="H2906" s="297">
        <f t="shared" si="948"/>
        <v>1.653333333</v>
      </c>
      <c r="I2906" s="297">
        <f t="shared" si="948"/>
        <v>1.86</v>
      </c>
      <c r="J2906" s="297">
        <f t="shared" si="948"/>
        <v>1.86</v>
      </c>
      <c r="K2906" s="297">
        <f t="shared" si="948"/>
        <v>1.756666667</v>
      </c>
      <c r="L2906" s="297">
        <f t="shared" si="948"/>
        <v>1.55</v>
      </c>
      <c r="M2906" s="297">
        <f t="shared" si="948"/>
        <v>1.446666667</v>
      </c>
      <c r="N2906" s="297">
        <f t="shared" si="948"/>
        <v>1.653333333</v>
      </c>
    </row>
    <row r="2907" ht="15.75" customHeight="1">
      <c r="A2907" s="276" t="s">
        <v>637</v>
      </c>
      <c r="C2907" s="297">
        <f>Parametros!$M$114</f>
        <v>19.74193548</v>
      </c>
      <c r="D2907" s="297">
        <f>Parametros!$M$114</f>
        <v>19.74193548</v>
      </c>
      <c r="E2907" s="297">
        <f>Parametros!$M$114</f>
        <v>19.74193548</v>
      </c>
      <c r="F2907" s="297">
        <f>Parametros!$M$114</f>
        <v>19.74193548</v>
      </c>
      <c r="G2907" s="297">
        <f>Parametros!$M$114</f>
        <v>19.74193548</v>
      </c>
      <c r="H2907" s="297">
        <f>Parametros!$M$114</f>
        <v>19.74193548</v>
      </c>
      <c r="I2907" s="297">
        <f>Parametros!$M$114</f>
        <v>19.74193548</v>
      </c>
      <c r="J2907" s="297">
        <f>Parametros!$M$114</f>
        <v>19.74193548</v>
      </c>
      <c r="K2907" s="297">
        <f>Parametros!$M$114</f>
        <v>19.74193548</v>
      </c>
      <c r="L2907" s="297">
        <f>Parametros!$M$114</f>
        <v>19.74193548</v>
      </c>
      <c r="M2907" s="297">
        <f>Parametros!$M$114</f>
        <v>19.74193548</v>
      </c>
      <c r="N2907" s="297">
        <f>Parametros!$M$114</f>
        <v>19.74193548</v>
      </c>
    </row>
    <row r="2908" ht="15.75" customHeight="1">
      <c r="A2908" s="276" t="s">
        <v>640</v>
      </c>
      <c r="C2908" s="278">
        <f>'Resumen Capacidad'!$K$222</f>
        <v>1</v>
      </c>
      <c r="D2908" s="278">
        <f>'Resumen Capacidad'!$K$222</f>
        <v>1</v>
      </c>
      <c r="E2908" s="278">
        <f>'Resumen Capacidad'!$K$222</f>
        <v>1</v>
      </c>
      <c r="F2908" s="278">
        <f>'Resumen Capacidad'!$K$222</f>
        <v>1</v>
      </c>
      <c r="G2908" s="278">
        <f>'Resumen Capacidad'!$K$222</f>
        <v>1</v>
      </c>
      <c r="H2908" s="278">
        <f>'Resumen Capacidad'!$K$222</f>
        <v>1</v>
      </c>
      <c r="I2908" s="278">
        <f>'Resumen Capacidad'!$K$222</f>
        <v>1</v>
      </c>
      <c r="J2908" s="278">
        <f>'Resumen Capacidad'!$K$222</f>
        <v>1</v>
      </c>
      <c r="K2908" s="278">
        <f>'Resumen Capacidad'!$K$222</f>
        <v>1</v>
      </c>
      <c r="L2908" s="278">
        <f>'Resumen Capacidad'!$K$222</f>
        <v>1</v>
      </c>
      <c r="M2908" s="278">
        <f>'Resumen Capacidad'!$K$222</f>
        <v>1</v>
      </c>
      <c r="N2908" s="278">
        <f>'Resumen Capacidad'!$K$222</f>
        <v>1</v>
      </c>
    </row>
    <row r="2909" ht="15.75" customHeight="1">
      <c r="A2909" s="276" t="s">
        <v>642</v>
      </c>
      <c r="C2909" s="278">
        <f t="shared" ref="C2909:N2909" si="949">C2907*C2908</f>
        <v>19.74193548</v>
      </c>
      <c r="D2909" s="278">
        <f t="shared" si="949"/>
        <v>19.74193548</v>
      </c>
      <c r="E2909" s="278">
        <f t="shared" si="949"/>
        <v>19.74193548</v>
      </c>
      <c r="F2909" s="278">
        <f t="shared" si="949"/>
        <v>19.74193548</v>
      </c>
      <c r="G2909" s="278">
        <f t="shared" si="949"/>
        <v>19.74193548</v>
      </c>
      <c r="H2909" s="278">
        <f t="shared" si="949"/>
        <v>19.74193548</v>
      </c>
      <c r="I2909" s="278">
        <f t="shared" si="949"/>
        <v>19.74193548</v>
      </c>
      <c r="J2909" s="278">
        <f t="shared" si="949"/>
        <v>19.74193548</v>
      </c>
      <c r="K2909" s="278">
        <f t="shared" si="949"/>
        <v>19.74193548</v>
      </c>
      <c r="L2909" s="278">
        <f t="shared" si="949"/>
        <v>19.74193548</v>
      </c>
      <c r="M2909" s="278">
        <f t="shared" si="949"/>
        <v>19.74193548</v>
      </c>
      <c r="N2909" s="278">
        <f t="shared" si="949"/>
        <v>19.74193548</v>
      </c>
    </row>
    <row r="2910" ht="15.75" customHeight="1">
      <c r="A2910" s="276" t="s">
        <v>643</v>
      </c>
      <c r="C2910" s="295">
        <f t="shared" ref="C2910:N2910" si="950">IF(C2909=0,0,C2906/C2909)</f>
        <v>0.08898148148</v>
      </c>
      <c r="D2910" s="295">
        <f t="shared" si="950"/>
        <v>0.0785130719</v>
      </c>
      <c r="E2910" s="295">
        <f t="shared" si="950"/>
        <v>0.09421568627</v>
      </c>
      <c r="F2910" s="295">
        <f t="shared" si="950"/>
        <v>0.09421568627</v>
      </c>
      <c r="G2910" s="295">
        <f t="shared" si="950"/>
        <v>0.09421568627</v>
      </c>
      <c r="H2910" s="295">
        <f t="shared" si="950"/>
        <v>0.08374727669</v>
      </c>
      <c r="I2910" s="295">
        <f t="shared" si="950"/>
        <v>0.09421568627</v>
      </c>
      <c r="J2910" s="295">
        <f t="shared" si="950"/>
        <v>0.09421568627</v>
      </c>
      <c r="K2910" s="295">
        <f t="shared" si="950"/>
        <v>0.08898148148</v>
      </c>
      <c r="L2910" s="295">
        <f t="shared" si="950"/>
        <v>0.0785130719</v>
      </c>
      <c r="M2910" s="295">
        <f t="shared" si="950"/>
        <v>0.0732788671</v>
      </c>
      <c r="N2910" s="295">
        <f t="shared" si="950"/>
        <v>0.08374727669</v>
      </c>
    </row>
    <row r="2911" ht="15.75" customHeight="1">
      <c r="A2911" s="37" t="s">
        <v>1646</v>
      </c>
    </row>
    <row r="2912" ht="15.75" customHeight="1">
      <c r="A2912" s="276" t="s">
        <v>630</v>
      </c>
      <c r="B2912" s="276" t="s">
        <v>631</v>
      </c>
      <c r="C2912" s="276" t="s">
        <v>3</v>
      </c>
      <c r="D2912" s="276" t="s">
        <v>4</v>
      </c>
      <c r="E2912" s="276" t="s">
        <v>507</v>
      </c>
      <c r="F2912" s="276" t="s">
        <v>508</v>
      </c>
      <c r="G2912" s="296" t="s">
        <v>509</v>
      </c>
      <c r="H2912" s="296" t="s">
        <v>510</v>
      </c>
      <c r="I2912" s="296" t="s">
        <v>511</v>
      </c>
      <c r="J2912" s="296" t="s">
        <v>512</v>
      </c>
      <c r="K2912" s="296" t="s">
        <v>513</v>
      </c>
      <c r="L2912" s="296" t="s">
        <v>514</v>
      </c>
      <c r="M2912" s="296" t="s">
        <v>515</v>
      </c>
      <c r="N2912" s="296" t="s">
        <v>516</v>
      </c>
    </row>
    <row r="2913" ht="15.75" customHeight="1">
      <c r="A2913" s="276" t="s">
        <v>1643</v>
      </c>
      <c r="B2913" s="276" t="s">
        <v>633</v>
      </c>
      <c r="C2913" s="278">
        <f t="shared" ref="C2913:N2913" si="951">C2878</f>
        <v>263.5</v>
      </c>
      <c r="D2913" s="278">
        <f t="shared" si="951"/>
        <v>232.5</v>
      </c>
      <c r="E2913" s="278">
        <f t="shared" si="951"/>
        <v>279</v>
      </c>
      <c r="F2913" s="278">
        <f t="shared" si="951"/>
        <v>279</v>
      </c>
      <c r="G2913" s="278">
        <f t="shared" si="951"/>
        <v>279</v>
      </c>
      <c r="H2913" s="278">
        <f t="shared" si="951"/>
        <v>248</v>
      </c>
      <c r="I2913" s="278">
        <f t="shared" si="951"/>
        <v>279</v>
      </c>
      <c r="J2913" s="278">
        <f t="shared" si="951"/>
        <v>279</v>
      </c>
      <c r="K2913" s="278">
        <f t="shared" si="951"/>
        <v>263.5</v>
      </c>
      <c r="L2913" s="278">
        <f t="shared" si="951"/>
        <v>232.5</v>
      </c>
      <c r="M2913" s="278">
        <f t="shared" si="951"/>
        <v>217</v>
      </c>
      <c r="N2913" s="278">
        <f t="shared" si="951"/>
        <v>248</v>
      </c>
    </row>
    <row r="2914" ht="15.75" customHeight="1">
      <c r="B2914" s="276" t="s">
        <v>634</v>
      </c>
      <c r="C2914" s="297">
        <f>C2913/Parametros!$B$37</f>
        <v>13.175</v>
      </c>
      <c r="D2914" s="297">
        <f>D2913/Parametros!$B$37</f>
        <v>11.625</v>
      </c>
      <c r="E2914" s="297">
        <f>E2913/Parametros!$B$37</f>
        <v>13.95</v>
      </c>
      <c r="F2914" s="297">
        <f>F2913/Parametros!$B$37</f>
        <v>13.95</v>
      </c>
      <c r="G2914" s="297">
        <f>G2913/Parametros!$B$37</f>
        <v>13.95</v>
      </c>
      <c r="H2914" s="297">
        <f>H2913/Parametros!$B$37</f>
        <v>12.4</v>
      </c>
      <c r="I2914" s="297">
        <f>I2913/Parametros!$B$37</f>
        <v>13.95</v>
      </c>
      <c r="J2914" s="297">
        <f>J2913/Parametros!$B$37</f>
        <v>13.95</v>
      </c>
      <c r="K2914" s="297">
        <f>K2913/Parametros!$B$37</f>
        <v>13.175</v>
      </c>
      <c r="L2914" s="297">
        <f>L2913/Parametros!$B$37</f>
        <v>11.625</v>
      </c>
      <c r="M2914" s="297">
        <f>M2913/Parametros!$B$37</f>
        <v>10.85</v>
      </c>
      <c r="N2914" s="297">
        <f>N2913/Parametros!$B$37</f>
        <v>12.4</v>
      </c>
    </row>
    <row r="2915" ht="15.75" customHeight="1">
      <c r="B2915" s="276" t="s">
        <v>635</v>
      </c>
      <c r="C2915" s="297">
        <f>C2914/Parametros!$J$37</f>
        <v>1.756666667</v>
      </c>
      <c r="D2915" s="297">
        <f>D2914/Parametros!$J$37</f>
        <v>1.55</v>
      </c>
      <c r="E2915" s="297">
        <f>E2914/Parametros!$J$37</f>
        <v>1.86</v>
      </c>
      <c r="F2915" s="297">
        <f>F2914/Parametros!$J$37</f>
        <v>1.86</v>
      </c>
      <c r="G2915" s="297">
        <f>G2914/Parametros!$J$37</f>
        <v>1.86</v>
      </c>
      <c r="H2915" s="297">
        <f>H2914/Parametros!$J$37</f>
        <v>1.653333333</v>
      </c>
      <c r="I2915" s="297">
        <f>I2914/Parametros!$J$37</f>
        <v>1.86</v>
      </c>
      <c r="J2915" s="297">
        <f>J2914/Parametros!$J$37</f>
        <v>1.86</v>
      </c>
      <c r="K2915" s="297">
        <f>K2914/Parametros!$J$37</f>
        <v>1.756666667</v>
      </c>
      <c r="L2915" s="297">
        <f>L2914/Parametros!$J$37</f>
        <v>1.55</v>
      </c>
      <c r="M2915" s="297">
        <f>M2914/Parametros!$J$37</f>
        <v>1.446666667</v>
      </c>
      <c r="N2915" s="297">
        <f>N2914/Parametros!$J$37</f>
        <v>1.653333333</v>
      </c>
    </row>
    <row r="2916" ht="15.75" customHeight="1">
      <c r="A2916" s="276" t="s">
        <v>636</v>
      </c>
      <c r="C2916" s="297">
        <f t="shared" ref="C2916:N2916" si="952">C2915</f>
        <v>1.756666667</v>
      </c>
      <c r="D2916" s="297">
        <f t="shared" si="952"/>
        <v>1.55</v>
      </c>
      <c r="E2916" s="297">
        <f t="shared" si="952"/>
        <v>1.86</v>
      </c>
      <c r="F2916" s="297">
        <f t="shared" si="952"/>
        <v>1.86</v>
      </c>
      <c r="G2916" s="297">
        <f t="shared" si="952"/>
        <v>1.86</v>
      </c>
      <c r="H2916" s="297">
        <f t="shared" si="952"/>
        <v>1.653333333</v>
      </c>
      <c r="I2916" s="297">
        <f t="shared" si="952"/>
        <v>1.86</v>
      </c>
      <c r="J2916" s="297">
        <f t="shared" si="952"/>
        <v>1.86</v>
      </c>
      <c r="K2916" s="297">
        <f t="shared" si="952"/>
        <v>1.756666667</v>
      </c>
      <c r="L2916" s="297">
        <f t="shared" si="952"/>
        <v>1.55</v>
      </c>
      <c r="M2916" s="297">
        <f t="shared" si="952"/>
        <v>1.446666667</v>
      </c>
      <c r="N2916" s="297">
        <f t="shared" si="952"/>
        <v>1.653333333</v>
      </c>
    </row>
    <row r="2917" ht="15.75" customHeight="1">
      <c r="A2917" s="276" t="s">
        <v>637</v>
      </c>
      <c r="C2917" s="297">
        <f>Parametros!$M$115</f>
        <v>26.60869565</v>
      </c>
      <c r="D2917" s="297">
        <f>Parametros!$M$115</f>
        <v>26.60869565</v>
      </c>
      <c r="E2917" s="297">
        <f>Parametros!$M$115</f>
        <v>26.60869565</v>
      </c>
      <c r="F2917" s="297">
        <f>Parametros!$M$115</f>
        <v>26.60869565</v>
      </c>
      <c r="G2917" s="297">
        <f>Parametros!$M$115</f>
        <v>26.60869565</v>
      </c>
      <c r="H2917" s="297">
        <f>Parametros!$M$115</f>
        <v>26.60869565</v>
      </c>
      <c r="I2917" s="297">
        <f>Parametros!$M$115</f>
        <v>26.60869565</v>
      </c>
      <c r="J2917" s="297">
        <f>Parametros!$M$115</f>
        <v>26.60869565</v>
      </c>
      <c r="K2917" s="297">
        <f>Parametros!$M$115</f>
        <v>26.60869565</v>
      </c>
      <c r="L2917" s="297">
        <f>Parametros!$M$115</f>
        <v>26.60869565</v>
      </c>
      <c r="M2917" s="297">
        <f>Parametros!$M$115</f>
        <v>26.60869565</v>
      </c>
      <c r="N2917" s="297">
        <f>Parametros!$M$115</f>
        <v>26.60869565</v>
      </c>
    </row>
    <row r="2918" ht="15.75" customHeight="1">
      <c r="A2918" s="276" t="s">
        <v>640</v>
      </c>
      <c r="C2918" s="278">
        <f>'Resumen Capacidad'!$K$223</f>
        <v>1</v>
      </c>
      <c r="D2918" s="278">
        <f>'Resumen Capacidad'!$K$223</f>
        <v>1</v>
      </c>
      <c r="E2918" s="278">
        <f>'Resumen Capacidad'!$K$223</f>
        <v>1</v>
      </c>
      <c r="F2918" s="278">
        <f>'Resumen Capacidad'!$K$223</f>
        <v>1</v>
      </c>
      <c r="G2918" s="278">
        <f>'Resumen Capacidad'!$K$223</f>
        <v>1</v>
      </c>
      <c r="H2918" s="278">
        <f>'Resumen Capacidad'!$K$223</f>
        <v>1</v>
      </c>
      <c r="I2918" s="278">
        <f>'Resumen Capacidad'!$K$223</f>
        <v>1</v>
      </c>
      <c r="J2918" s="278">
        <f>'Resumen Capacidad'!$K$223</f>
        <v>1</v>
      </c>
      <c r="K2918" s="278">
        <f>'Resumen Capacidad'!$K$223</f>
        <v>1</v>
      </c>
      <c r="L2918" s="278">
        <f>'Resumen Capacidad'!$K$223</f>
        <v>1</v>
      </c>
      <c r="M2918" s="278">
        <f>'Resumen Capacidad'!$K$223</f>
        <v>1</v>
      </c>
      <c r="N2918" s="278">
        <f>'Resumen Capacidad'!$K$223</f>
        <v>1</v>
      </c>
    </row>
    <row r="2919" ht="15.75" customHeight="1">
      <c r="A2919" s="276" t="s">
        <v>642</v>
      </c>
      <c r="C2919" s="278">
        <f t="shared" ref="C2919:N2919" si="953">C2917*C2918</f>
        <v>26.60869565</v>
      </c>
      <c r="D2919" s="278">
        <f t="shared" si="953"/>
        <v>26.60869565</v>
      </c>
      <c r="E2919" s="278">
        <f t="shared" si="953"/>
        <v>26.60869565</v>
      </c>
      <c r="F2919" s="278">
        <f t="shared" si="953"/>
        <v>26.60869565</v>
      </c>
      <c r="G2919" s="278">
        <f t="shared" si="953"/>
        <v>26.60869565</v>
      </c>
      <c r="H2919" s="278">
        <f t="shared" si="953"/>
        <v>26.60869565</v>
      </c>
      <c r="I2919" s="278">
        <f t="shared" si="953"/>
        <v>26.60869565</v>
      </c>
      <c r="J2919" s="278">
        <f t="shared" si="953"/>
        <v>26.60869565</v>
      </c>
      <c r="K2919" s="278">
        <f t="shared" si="953"/>
        <v>26.60869565</v>
      </c>
      <c r="L2919" s="278">
        <f t="shared" si="953"/>
        <v>26.60869565</v>
      </c>
      <c r="M2919" s="278">
        <f t="shared" si="953"/>
        <v>26.60869565</v>
      </c>
      <c r="N2919" s="278">
        <f t="shared" si="953"/>
        <v>26.60869565</v>
      </c>
    </row>
    <row r="2920" ht="15.75" customHeight="1">
      <c r="A2920" s="276" t="s">
        <v>643</v>
      </c>
      <c r="C2920" s="295">
        <f t="shared" ref="C2920:N2920" si="954">IF(C2919=0,0,C2916/C2919)</f>
        <v>0.06601851852</v>
      </c>
      <c r="D2920" s="295">
        <f t="shared" si="954"/>
        <v>0.05825163399</v>
      </c>
      <c r="E2920" s="295">
        <f t="shared" si="954"/>
        <v>0.06990196078</v>
      </c>
      <c r="F2920" s="295">
        <f t="shared" si="954"/>
        <v>0.06990196078</v>
      </c>
      <c r="G2920" s="295">
        <f t="shared" si="954"/>
        <v>0.06990196078</v>
      </c>
      <c r="H2920" s="295">
        <f t="shared" si="954"/>
        <v>0.06213507625</v>
      </c>
      <c r="I2920" s="295">
        <f t="shared" si="954"/>
        <v>0.06990196078</v>
      </c>
      <c r="J2920" s="295">
        <f t="shared" si="954"/>
        <v>0.06990196078</v>
      </c>
      <c r="K2920" s="295">
        <f t="shared" si="954"/>
        <v>0.06601851852</v>
      </c>
      <c r="L2920" s="295">
        <f t="shared" si="954"/>
        <v>0.05825163399</v>
      </c>
      <c r="M2920" s="295">
        <f t="shared" si="954"/>
        <v>0.05436819172</v>
      </c>
      <c r="N2920" s="295">
        <f t="shared" si="954"/>
        <v>0.06213507625</v>
      </c>
    </row>
    <row r="2921" ht="15.75" customHeight="1">
      <c r="A2921" s="37" t="s">
        <v>1647</v>
      </c>
    </row>
    <row r="2922" ht="15.75" customHeight="1">
      <c r="A2922" s="276" t="s">
        <v>630</v>
      </c>
      <c r="B2922" s="276" t="s">
        <v>631</v>
      </c>
      <c r="C2922" s="276" t="s">
        <v>3</v>
      </c>
      <c r="D2922" s="276" t="s">
        <v>4</v>
      </c>
      <c r="E2922" s="276" t="s">
        <v>507</v>
      </c>
      <c r="F2922" s="276" t="s">
        <v>508</v>
      </c>
      <c r="G2922" s="296" t="s">
        <v>509</v>
      </c>
      <c r="H2922" s="296" t="s">
        <v>510</v>
      </c>
      <c r="I2922" s="296" t="s">
        <v>511</v>
      </c>
      <c r="J2922" s="296" t="s">
        <v>512</v>
      </c>
      <c r="K2922" s="296" t="s">
        <v>513</v>
      </c>
      <c r="L2922" s="296" t="s">
        <v>514</v>
      </c>
      <c r="M2922" s="296" t="s">
        <v>515</v>
      </c>
      <c r="N2922" s="296" t="s">
        <v>516</v>
      </c>
    </row>
    <row r="2923" ht="15.75" customHeight="1">
      <c r="A2923" s="276" t="s">
        <v>1643</v>
      </c>
      <c r="B2923" s="276" t="s">
        <v>633</v>
      </c>
      <c r="C2923" s="278">
        <f t="shared" ref="C2923:N2923" si="955">C2878</f>
        <v>263.5</v>
      </c>
      <c r="D2923" s="278">
        <f t="shared" si="955"/>
        <v>232.5</v>
      </c>
      <c r="E2923" s="278">
        <f t="shared" si="955"/>
        <v>279</v>
      </c>
      <c r="F2923" s="278">
        <f t="shared" si="955"/>
        <v>279</v>
      </c>
      <c r="G2923" s="278">
        <f t="shared" si="955"/>
        <v>279</v>
      </c>
      <c r="H2923" s="278">
        <f t="shared" si="955"/>
        <v>248</v>
      </c>
      <c r="I2923" s="278">
        <f t="shared" si="955"/>
        <v>279</v>
      </c>
      <c r="J2923" s="278">
        <f t="shared" si="955"/>
        <v>279</v>
      </c>
      <c r="K2923" s="278">
        <f t="shared" si="955"/>
        <v>263.5</v>
      </c>
      <c r="L2923" s="278">
        <f t="shared" si="955"/>
        <v>232.5</v>
      </c>
      <c r="M2923" s="278">
        <f t="shared" si="955"/>
        <v>217</v>
      </c>
      <c r="N2923" s="278">
        <f t="shared" si="955"/>
        <v>248</v>
      </c>
    </row>
    <row r="2924" ht="15.75" customHeight="1">
      <c r="B2924" s="276" t="s">
        <v>634</v>
      </c>
      <c r="C2924" s="297">
        <f>C2923/Parametros!$B$37</f>
        <v>13.175</v>
      </c>
      <c r="D2924" s="297">
        <f>D2923/Parametros!$B$37</f>
        <v>11.625</v>
      </c>
      <c r="E2924" s="297">
        <f>E2923/Parametros!$B$37</f>
        <v>13.95</v>
      </c>
      <c r="F2924" s="297">
        <f>F2923/Parametros!$B$37</f>
        <v>13.95</v>
      </c>
      <c r="G2924" s="297">
        <f>G2923/Parametros!$B$37</f>
        <v>13.95</v>
      </c>
      <c r="H2924" s="297">
        <f>H2923/Parametros!$B$37</f>
        <v>12.4</v>
      </c>
      <c r="I2924" s="297">
        <f>I2923/Parametros!$B$37</f>
        <v>13.95</v>
      </c>
      <c r="J2924" s="297">
        <f>J2923/Parametros!$B$37</f>
        <v>13.95</v>
      </c>
      <c r="K2924" s="297">
        <f>K2923/Parametros!$B$37</f>
        <v>13.175</v>
      </c>
      <c r="L2924" s="297">
        <f>L2923/Parametros!$B$37</f>
        <v>11.625</v>
      </c>
      <c r="M2924" s="297">
        <f>M2923/Parametros!$B$37</f>
        <v>10.85</v>
      </c>
      <c r="N2924" s="297">
        <f>N2923/Parametros!$B$37</f>
        <v>12.4</v>
      </c>
    </row>
    <row r="2925" ht="15.75" customHeight="1">
      <c r="B2925" s="276" t="s">
        <v>635</v>
      </c>
      <c r="C2925" s="297">
        <f>C2924/Parametros!$J$37</f>
        <v>1.756666667</v>
      </c>
      <c r="D2925" s="297">
        <f>D2924/Parametros!$J$37</f>
        <v>1.55</v>
      </c>
      <c r="E2925" s="297">
        <f>E2924/Parametros!$J$37</f>
        <v>1.86</v>
      </c>
      <c r="F2925" s="297">
        <f>F2924/Parametros!$J$37</f>
        <v>1.86</v>
      </c>
      <c r="G2925" s="297">
        <f>G2924/Parametros!$J$37</f>
        <v>1.86</v>
      </c>
      <c r="H2925" s="297">
        <f>H2924/Parametros!$J$37</f>
        <v>1.653333333</v>
      </c>
      <c r="I2925" s="297">
        <f>I2924/Parametros!$J$37</f>
        <v>1.86</v>
      </c>
      <c r="J2925" s="297">
        <f>J2924/Parametros!$J$37</f>
        <v>1.86</v>
      </c>
      <c r="K2925" s="297">
        <f>K2924/Parametros!$J$37</f>
        <v>1.756666667</v>
      </c>
      <c r="L2925" s="297">
        <f>L2924/Parametros!$J$37</f>
        <v>1.55</v>
      </c>
      <c r="M2925" s="297">
        <f>M2924/Parametros!$J$37</f>
        <v>1.446666667</v>
      </c>
      <c r="N2925" s="297">
        <f>N2924/Parametros!$J$37</f>
        <v>1.653333333</v>
      </c>
    </row>
    <row r="2926" ht="15.75" customHeight="1">
      <c r="A2926" s="276" t="s">
        <v>636</v>
      </c>
      <c r="C2926" s="297">
        <f t="shared" ref="C2926:N2926" si="956">C2925</f>
        <v>1.756666667</v>
      </c>
      <c r="D2926" s="297">
        <f t="shared" si="956"/>
        <v>1.55</v>
      </c>
      <c r="E2926" s="297">
        <f t="shared" si="956"/>
        <v>1.86</v>
      </c>
      <c r="F2926" s="297">
        <f t="shared" si="956"/>
        <v>1.86</v>
      </c>
      <c r="G2926" s="297">
        <f t="shared" si="956"/>
        <v>1.86</v>
      </c>
      <c r="H2926" s="297">
        <f t="shared" si="956"/>
        <v>1.653333333</v>
      </c>
      <c r="I2926" s="297">
        <f t="shared" si="956"/>
        <v>1.86</v>
      </c>
      <c r="J2926" s="297">
        <f t="shared" si="956"/>
        <v>1.86</v>
      </c>
      <c r="K2926" s="297">
        <f t="shared" si="956"/>
        <v>1.756666667</v>
      </c>
      <c r="L2926" s="297">
        <f t="shared" si="956"/>
        <v>1.55</v>
      </c>
      <c r="M2926" s="297">
        <f t="shared" si="956"/>
        <v>1.446666667</v>
      </c>
      <c r="N2926" s="297">
        <f t="shared" si="956"/>
        <v>1.653333333</v>
      </c>
    </row>
    <row r="2927" ht="15.75" customHeight="1">
      <c r="A2927" s="276" t="s">
        <v>637</v>
      </c>
      <c r="C2927" s="297">
        <f>Parametros!$M$116</f>
        <v>38.25</v>
      </c>
      <c r="D2927" s="297">
        <f>Parametros!$M$116</f>
        <v>38.25</v>
      </c>
      <c r="E2927" s="297">
        <f>Parametros!$M$116</f>
        <v>38.25</v>
      </c>
      <c r="F2927" s="297">
        <f>Parametros!$M$116</f>
        <v>38.25</v>
      </c>
      <c r="G2927" s="297">
        <f>Parametros!$M$116</f>
        <v>38.25</v>
      </c>
      <c r="H2927" s="297">
        <f>Parametros!$M$116</f>
        <v>38.25</v>
      </c>
      <c r="I2927" s="297">
        <f>Parametros!$M$116</f>
        <v>38.25</v>
      </c>
      <c r="J2927" s="297">
        <f>Parametros!$M$116</f>
        <v>38.25</v>
      </c>
      <c r="K2927" s="297">
        <f>Parametros!$M$116</f>
        <v>38.25</v>
      </c>
      <c r="L2927" s="297">
        <f>Parametros!$M$116</f>
        <v>38.25</v>
      </c>
      <c r="M2927" s="297">
        <f>Parametros!$M$116</f>
        <v>38.25</v>
      </c>
      <c r="N2927" s="297">
        <f>Parametros!$M$116</f>
        <v>38.25</v>
      </c>
    </row>
    <row r="2928" ht="15.75" customHeight="1">
      <c r="A2928" s="276" t="s">
        <v>640</v>
      </c>
      <c r="C2928" s="278">
        <f>'Resumen Capacidad'!$K$224</f>
        <v>1</v>
      </c>
      <c r="D2928" s="278">
        <f>'Resumen Capacidad'!$K$224</f>
        <v>1</v>
      </c>
      <c r="E2928" s="278">
        <f>'Resumen Capacidad'!$K$224</f>
        <v>1</v>
      </c>
      <c r="F2928" s="278">
        <f>'Resumen Capacidad'!$K$224</f>
        <v>1</v>
      </c>
      <c r="G2928" s="278">
        <f>'Resumen Capacidad'!$K$224</f>
        <v>1</v>
      </c>
      <c r="H2928" s="278">
        <f>'Resumen Capacidad'!$K$224</f>
        <v>1</v>
      </c>
      <c r="I2928" s="278">
        <f>'Resumen Capacidad'!$K$224</f>
        <v>1</v>
      </c>
      <c r="J2928" s="278">
        <f>'Resumen Capacidad'!$K$224</f>
        <v>1</v>
      </c>
      <c r="K2928" s="278">
        <f>'Resumen Capacidad'!$K$224</f>
        <v>1</v>
      </c>
      <c r="L2928" s="278">
        <f>'Resumen Capacidad'!$K$224</f>
        <v>1</v>
      </c>
      <c r="M2928" s="278">
        <f>'Resumen Capacidad'!$K$224</f>
        <v>1</v>
      </c>
      <c r="N2928" s="278">
        <f>'Resumen Capacidad'!$K$224</f>
        <v>1</v>
      </c>
    </row>
    <row r="2929" ht="15.75" customHeight="1">
      <c r="A2929" s="276" t="s">
        <v>642</v>
      </c>
      <c r="C2929" s="278">
        <f t="shared" ref="C2929:N2929" si="957">C2927*C2928</f>
        <v>38.25</v>
      </c>
      <c r="D2929" s="278">
        <f t="shared" si="957"/>
        <v>38.25</v>
      </c>
      <c r="E2929" s="278">
        <f t="shared" si="957"/>
        <v>38.25</v>
      </c>
      <c r="F2929" s="278">
        <f t="shared" si="957"/>
        <v>38.25</v>
      </c>
      <c r="G2929" s="278">
        <f t="shared" si="957"/>
        <v>38.25</v>
      </c>
      <c r="H2929" s="278">
        <f t="shared" si="957"/>
        <v>38.25</v>
      </c>
      <c r="I2929" s="278">
        <f t="shared" si="957"/>
        <v>38.25</v>
      </c>
      <c r="J2929" s="278">
        <f t="shared" si="957"/>
        <v>38.25</v>
      </c>
      <c r="K2929" s="278">
        <f t="shared" si="957"/>
        <v>38.25</v>
      </c>
      <c r="L2929" s="278">
        <f t="shared" si="957"/>
        <v>38.25</v>
      </c>
      <c r="M2929" s="278">
        <f t="shared" si="957"/>
        <v>38.25</v>
      </c>
      <c r="N2929" s="278">
        <f t="shared" si="957"/>
        <v>38.25</v>
      </c>
    </row>
    <row r="2930" ht="15.75" customHeight="1">
      <c r="A2930" s="276" t="s">
        <v>643</v>
      </c>
      <c r="C2930" s="295">
        <f t="shared" ref="C2930:N2930" si="958">IF(C2929=0,0,C2926/C2929)</f>
        <v>0.04592592593</v>
      </c>
      <c r="D2930" s="295">
        <f t="shared" si="958"/>
        <v>0.04052287582</v>
      </c>
      <c r="E2930" s="295">
        <f t="shared" si="958"/>
        <v>0.04862745098</v>
      </c>
      <c r="F2930" s="295">
        <f t="shared" si="958"/>
        <v>0.04862745098</v>
      </c>
      <c r="G2930" s="295">
        <f t="shared" si="958"/>
        <v>0.04862745098</v>
      </c>
      <c r="H2930" s="295">
        <f t="shared" si="958"/>
        <v>0.04322440087</v>
      </c>
      <c r="I2930" s="295">
        <f t="shared" si="958"/>
        <v>0.04862745098</v>
      </c>
      <c r="J2930" s="295">
        <f t="shared" si="958"/>
        <v>0.04862745098</v>
      </c>
      <c r="K2930" s="295">
        <f t="shared" si="958"/>
        <v>0.04592592593</v>
      </c>
      <c r="L2930" s="295">
        <f t="shared" si="958"/>
        <v>0.04052287582</v>
      </c>
      <c r="M2930" s="295">
        <f t="shared" si="958"/>
        <v>0.03782135076</v>
      </c>
      <c r="N2930" s="295">
        <f t="shared" si="958"/>
        <v>0.04322440087</v>
      </c>
    </row>
    <row r="2931" ht="15.75" customHeight="1">
      <c r="A2931" s="37" t="s">
        <v>1648</v>
      </c>
    </row>
    <row r="2932" ht="15.75" customHeight="1">
      <c r="A2932" s="276" t="s">
        <v>630</v>
      </c>
      <c r="B2932" s="276" t="s">
        <v>631</v>
      </c>
      <c r="C2932" s="276" t="s">
        <v>3</v>
      </c>
      <c r="D2932" s="276" t="s">
        <v>4</v>
      </c>
      <c r="E2932" s="276" t="s">
        <v>507</v>
      </c>
      <c r="F2932" s="276" t="s">
        <v>508</v>
      </c>
      <c r="G2932" s="296" t="s">
        <v>509</v>
      </c>
      <c r="H2932" s="296" t="s">
        <v>510</v>
      </c>
      <c r="I2932" s="296" t="s">
        <v>511</v>
      </c>
      <c r="J2932" s="296" t="s">
        <v>512</v>
      </c>
      <c r="K2932" s="296" t="s">
        <v>513</v>
      </c>
      <c r="L2932" s="296" t="s">
        <v>514</v>
      </c>
      <c r="M2932" s="296" t="s">
        <v>515</v>
      </c>
      <c r="N2932" s="296" t="s">
        <v>516</v>
      </c>
    </row>
    <row r="2933" ht="15.75" customHeight="1">
      <c r="A2933" s="276" t="s">
        <v>1643</v>
      </c>
      <c r="B2933" s="276" t="s">
        <v>633</v>
      </c>
      <c r="C2933" s="278">
        <f t="shared" ref="C2933:N2933" si="959">C2878</f>
        <v>263.5</v>
      </c>
      <c r="D2933" s="278">
        <f t="shared" si="959"/>
        <v>232.5</v>
      </c>
      <c r="E2933" s="278">
        <f t="shared" si="959"/>
        <v>279</v>
      </c>
      <c r="F2933" s="278">
        <f t="shared" si="959"/>
        <v>279</v>
      </c>
      <c r="G2933" s="278">
        <f t="shared" si="959"/>
        <v>279</v>
      </c>
      <c r="H2933" s="278">
        <f t="shared" si="959"/>
        <v>248</v>
      </c>
      <c r="I2933" s="278">
        <f t="shared" si="959"/>
        <v>279</v>
      </c>
      <c r="J2933" s="278">
        <f t="shared" si="959"/>
        <v>279</v>
      </c>
      <c r="K2933" s="278">
        <f t="shared" si="959"/>
        <v>263.5</v>
      </c>
      <c r="L2933" s="278">
        <f t="shared" si="959"/>
        <v>232.5</v>
      </c>
      <c r="M2933" s="278">
        <f t="shared" si="959"/>
        <v>217</v>
      </c>
      <c r="N2933" s="278">
        <f t="shared" si="959"/>
        <v>248</v>
      </c>
    </row>
    <row r="2934" ht="15.75" customHeight="1">
      <c r="B2934" s="276" t="s">
        <v>634</v>
      </c>
      <c r="C2934" s="297">
        <f>C2933/Parametros!$B$37</f>
        <v>13.175</v>
      </c>
      <c r="D2934" s="297">
        <f>D2933/Parametros!$B$37</f>
        <v>11.625</v>
      </c>
      <c r="E2934" s="297">
        <f>E2933/Parametros!$B$37</f>
        <v>13.95</v>
      </c>
      <c r="F2934" s="297">
        <f>F2933/Parametros!$B$37</f>
        <v>13.95</v>
      </c>
      <c r="G2934" s="297">
        <f>G2933/Parametros!$B$37</f>
        <v>13.95</v>
      </c>
      <c r="H2934" s="297">
        <f>H2933/Parametros!$B$37</f>
        <v>12.4</v>
      </c>
      <c r="I2934" s="297">
        <f>I2933/Parametros!$B$37</f>
        <v>13.95</v>
      </c>
      <c r="J2934" s="297">
        <f>J2933/Parametros!$B$37</f>
        <v>13.95</v>
      </c>
      <c r="K2934" s="297">
        <f>K2933/Parametros!$B$37</f>
        <v>13.175</v>
      </c>
      <c r="L2934" s="297">
        <f>L2933/Parametros!$B$37</f>
        <v>11.625</v>
      </c>
      <c r="M2934" s="297">
        <f>M2933/Parametros!$B$37</f>
        <v>10.85</v>
      </c>
      <c r="N2934" s="297">
        <f>N2933/Parametros!$B$37</f>
        <v>12.4</v>
      </c>
    </row>
    <row r="2935" ht="15.75" customHeight="1">
      <c r="B2935" s="276" t="s">
        <v>635</v>
      </c>
      <c r="C2935" s="297">
        <f>C2934/Parametros!$J$37</f>
        <v>1.756666667</v>
      </c>
      <c r="D2935" s="297">
        <f>D2934/Parametros!$J$37</f>
        <v>1.55</v>
      </c>
      <c r="E2935" s="297">
        <f>E2934/Parametros!$J$37</f>
        <v>1.86</v>
      </c>
      <c r="F2935" s="297">
        <f>F2934/Parametros!$J$37</f>
        <v>1.86</v>
      </c>
      <c r="G2935" s="297">
        <f>G2934/Parametros!$J$37</f>
        <v>1.86</v>
      </c>
      <c r="H2935" s="297">
        <f>H2934/Parametros!$J$37</f>
        <v>1.653333333</v>
      </c>
      <c r="I2935" s="297">
        <f>I2934/Parametros!$J$37</f>
        <v>1.86</v>
      </c>
      <c r="J2935" s="297">
        <f>J2934/Parametros!$J$37</f>
        <v>1.86</v>
      </c>
      <c r="K2935" s="297">
        <f>K2934/Parametros!$J$37</f>
        <v>1.756666667</v>
      </c>
      <c r="L2935" s="297">
        <f>L2934/Parametros!$J$37</f>
        <v>1.55</v>
      </c>
      <c r="M2935" s="297">
        <f>M2934/Parametros!$J$37</f>
        <v>1.446666667</v>
      </c>
      <c r="N2935" s="297">
        <f>N2934/Parametros!$J$37</f>
        <v>1.653333333</v>
      </c>
    </row>
    <row r="2936" ht="15.75" customHeight="1">
      <c r="A2936" s="276" t="s">
        <v>636</v>
      </c>
      <c r="C2936" s="297">
        <f t="shared" ref="C2936:N2936" si="960">C2935</f>
        <v>1.756666667</v>
      </c>
      <c r="D2936" s="297">
        <f t="shared" si="960"/>
        <v>1.55</v>
      </c>
      <c r="E2936" s="297">
        <f t="shared" si="960"/>
        <v>1.86</v>
      </c>
      <c r="F2936" s="297">
        <f t="shared" si="960"/>
        <v>1.86</v>
      </c>
      <c r="G2936" s="297">
        <f t="shared" si="960"/>
        <v>1.86</v>
      </c>
      <c r="H2936" s="297">
        <f t="shared" si="960"/>
        <v>1.653333333</v>
      </c>
      <c r="I2936" s="297">
        <f t="shared" si="960"/>
        <v>1.86</v>
      </c>
      <c r="J2936" s="297">
        <f t="shared" si="960"/>
        <v>1.86</v>
      </c>
      <c r="K2936" s="297">
        <f t="shared" si="960"/>
        <v>1.756666667</v>
      </c>
      <c r="L2936" s="297">
        <f t="shared" si="960"/>
        <v>1.55</v>
      </c>
      <c r="M2936" s="297">
        <f t="shared" si="960"/>
        <v>1.446666667</v>
      </c>
      <c r="N2936" s="297">
        <f t="shared" si="960"/>
        <v>1.653333333</v>
      </c>
    </row>
    <row r="2937" ht="15.75" customHeight="1">
      <c r="A2937" s="276" t="s">
        <v>637</v>
      </c>
      <c r="C2937" s="297">
        <f>Parametros!$M$117</f>
        <v>14.92682927</v>
      </c>
      <c r="D2937" s="297">
        <f>Parametros!$M$117</f>
        <v>14.92682927</v>
      </c>
      <c r="E2937" s="297">
        <f>Parametros!$M$117</f>
        <v>14.92682927</v>
      </c>
      <c r="F2937" s="297">
        <f>Parametros!$M$117</f>
        <v>14.92682927</v>
      </c>
      <c r="G2937" s="297">
        <f>Parametros!$M$117</f>
        <v>14.92682927</v>
      </c>
      <c r="H2937" s="297">
        <f>Parametros!$M$117</f>
        <v>14.92682927</v>
      </c>
      <c r="I2937" s="297">
        <f>Parametros!$M$117</f>
        <v>14.92682927</v>
      </c>
      <c r="J2937" s="297">
        <f>Parametros!$M$117</f>
        <v>14.92682927</v>
      </c>
      <c r="K2937" s="297">
        <f>Parametros!$M$117</f>
        <v>14.92682927</v>
      </c>
      <c r="L2937" s="297">
        <f>Parametros!$M$117</f>
        <v>14.92682927</v>
      </c>
      <c r="M2937" s="297">
        <f>Parametros!$M$117</f>
        <v>14.92682927</v>
      </c>
      <c r="N2937" s="297">
        <f>Parametros!$M$117</f>
        <v>14.92682927</v>
      </c>
    </row>
    <row r="2938" ht="15.75" customHeight="1">
      <c r="A2938" s="276" t="s">
        <v>640</v>
      </c>
      <c r="C2938" s="278">
        <f>'Resumen Capacidad'!$K$225</f>
        <v>1</v>
      </c>
      <c r="D2938" s="278">
        <f>'Resumen Capacidad'!$K$225</f>
        <v>1</v>
      </c>
      <c r="E2938" s="278">
        <f>'Resumen Capacidad'!$K$225</f>
        <v>1</v>
      </c>
      <c r="F2938" s="278">
        <f>'Resumen Capacidad'!$K$225</f>
        <v>1</v>
      </c>
      <c r="G2938" s="278">
        <f>'Resumen Capacidad'!$K$225</f>
        <v>1</v>
      </c>
      <c r="H2938" s="278">
        <f>'Resumen Capacidad'!$K$225</f>
        <v>1</v>
      </c>
      <c r="I2938" s="278">
        <f>'Resumen Capacidad'!$K$225</f>
        <v>1</v>
      </c>
      <c r="J2938" s="278">
        <f>'Resumen Capacidad'!$K$225</f>
        <v>1</v>
      </c>
      <c r="K2938" s="278">
        <f>'Resumen Capacidad'!$K$225</f>
        <v>1</v>
      </c>
      <c r="L2938" s="278">
        <f>'Resumen Capacidad'!$K$225</f>
        <v>1</v>
      </c>
      <c r="M2938" s="278">
        <f>'Resumen Capacidad'!$K$225</f>
        <v>1</v>
      </c>
      <c r="N2938" s="278">
        <f>'Resumen Capacidad'!$K$225</f>
        <v>1</v>
      </c>
    </row>
    <row r="2939" ht="15.75" customHeight="1">
      <c r="A2939" s="276" t="s">
        <v>642</v>
      </c>
      <c r="C2939" s="278">
        <f t="shared" ref="C2939:N2939" si="961">C2937*C2938</f>
        <v>14.92682927</v>
      </c>
      <c r="D2939" s="278">
        <f t="shared" si="961"/>
        <v>14.92682927</v>
      </c>
      <c r="E2939" s="278">
        <f t="shared" si="961"/>
        <v>14.92682927</v>
      </c>
      <c r="F2939" s="278">
        <f t="shared" si="961"/>
        <v>14.92682927</v>
      </c>
      <c r="G2939" s="278">
        <f t="shared" si="961"/>
        <v>14.92682927</v>
      </c>
      <c r="H2939" s="278">
        <f t="shared" si="961"/>
        <v>14.92682927</v>
      </c>
      <c r="I2939" s="278">
        <f t="shared" si="961"/>
        <v>14.92682927</v>
      </c>
      <c r="J2939" s="278">
        <f t="shared" si="961"/>
        <v>14.92682927</v>
      </c>
      <c r="K2939" s="278">
        <f t="shared" si="961"/>
        <v>14.92682927</v>
      </c>
      <c r="L2939" s="278">
        <f t="shared" si="961"/>
        <v>14.92682927</v>
      </c>
      <c r="M2939" s="278">
        <f t="shared" si="961"/>
        <v>14.92682927</v>
      </c>
      <c r="N2939" s="278">
        <f t="shared" si="961"/>
        <v>14.92682927</v>
      </c>
    </row>
    <row r="2940" ht="15.75" customHeight="1">
      <c r="A2940" s="276" t="s">
        <v>643</v>
      </c>
      <c r="C2940" s="295">
        <f t="shared" ref="C2940:N2940" si="962">IF(C2939=0,0,C2936/C2939)</f>
        <v>0.1176851852</v>
      </c>
      <c r="D2940" s="295">
        <f t="shared" si="962"/>
        <v>0.1038398693</v>
      </c>
      <c r="E2940" s="295">
        <f t="shared" si="962"/>
        <v>0.1246078431</v>
      </c>
      <c r="F2940" s="295">
        <f t="shared" si="962"/>
        <v>0.1246078431</v>
      </c>
      <c r="G2940" s="295">
        <f t="shared" si="962"/>
        <v>0.1246078431</v>
      </c>
      <c r="H2940" s="295">
        <f t="shared" si="962"/>
        <v>0.1107625272</v>
      </c>
      <c r="I2940" s="295">
        <f t="shared" si="962"/>
        <v>0.1246078431</v>
      </c>
      <c r="J2940" s="295">
        <f t="shared" si="962"/>
        <v>0.1246078431</v>
      </c>
      <c r="K2940" s="295">
        <f t="shared" si="962"/>
        <v>0.1176851852</v>
      </c>
      <c r="L2940" s="295">
        <f t="shared" si="962"/>
        <v>0.1038398693</v>
      </c>
      <c r="M2940" s="295">
        <f t="shared" si="962"/>
        <v>0.09691721133</v>
      </c>
      <c r="N2940" s="295">
        <f t="shared" si="962"/>
        <v>0.1107625272</v>
      </c>
    </row>
    <row r="2941" ht="15.75" customHeight="1">
      <c r="A2941" s="37" t="s">
        <v>1649</v>
      </c>
    </row>
    <row r="2942" ht="15.75" customHeight="1">
      <c r="A2942" s="276" t="s">
        <v>630</v>
      </c>
      <c r="B2942" s="276" t="s">
        <v>631</v>
      </c>
      <c r="C2942" s="276" t="s">
        <v>3</v>
      </c>
      <c r="D2942" s="276" t="s">
        <v>4</v>
      </c>
      <c r="E2942" s="276" t="s">
        <v>507</v>
      </c>
      <c r="F2942" s="276" t="s">
        <v>508</v>
      </c>
      <c r="G2942" s="296" t="s">
        <v>509</v>
      </c>
      <c r="H2942" s="296" t="s">
        <v>510</v>
      </c>
      <c r="I2942" s="296" t="s">
        <v>511</v>
      </c>
      <c r="J2942" s="296" t="s">
        <v>512</v>
      </c>
      <c r="K2942" s="296" t="s">
        <v>513</v>
      </c>
      <c r="L2942" s="296" t="s">
        <v>514</v>
      </c>
      <c r="M2942" s="296" t="s">
        <v>515</v>
      </c>
      <c r="N2942" s="296" t="s">
        <v>516</v>
      </c>
    </row>
    <row r="2943" ht="15.75" customHeight="1">
      <c r="A2943" s="276" t="s">
        <v>1643</v>
      </c>
      <c r="B2943" s="276" t="s">
        <v>633</v>
      </c>
      <c r="C2943" s="278">
        <f t="shared" ref="C2943:N2943" si="963">C2878</f>
        <v>263.5</v>
      </c>
      <c r="D2943" s="278">
        <f t="shared" si="963"/>
        <v>232.5</v>
      </c>
      <c r="E2943" s="278">
        <f t="shared" si="963"/>
        <v>279</v>
      </c>
      <c r="F2943" s="278">
        <f t="shared" si="963"/>
        <v>279</v>
      </c>
      <c r="G2943" s="278">
        <f t="shared" si="963"/>
        <v>279</v>
      </c>
      <c r="H2943" s="278">
        <f t="shared" si="963"/>
        <v>248</v>
      </c>
      <c r="I2943" s="278">
        <f t="shared" si="963"/>
        <v>279</v>
      </c>
      <c r="J2943" s="278">
        <f t="shared" si="963"/>
        <v>279</v>
      </c>
      <c r="K2943" s="278">
        <f t="shared" si="963"/>
        <v>263.5</v>
      </c>
      <c r="L2943" s="278">
        <f t="shared" si="963"/>
        <v>232.5</v>
      </c>
      <c r="M2943" s="278">
        <f t="shared" si="963"/>
        <v>217</v>
      </c>
      <c r="N2943" s="278">
        <f t="shared" si="963"/>
        <v>248</v>
      </c>
    </row>
    <row r="2944" ht="15.75" customHeight="1">
      <c r="B2944" s="276" t="s">
        <v>634</v>
      </c>
      <c r="C2944" s="297">
        <f>C2943/Parametros!$B$37</f>
        <v>13.175</v>
      </c>
      <c r="D2944" s="297">
        <f>D2943/Parametros!$B$37</f>
        <v>11.625</v>
      </c>
      <c r="E2944" s="297">
        <f>E2943/Parametros!$B$37</f>
        <v>13.95</v>
      </c>
      <c r="F2944" s="297">
        <f>F2943/Parametros!$B$37</f>
        <v>13.95</v>
      </c>
      <c r="G2944" s="297">
        <f>G2943/Parametros!$B$37</f>
        <v>13.95</v>
      </c>
      <c r="H2944" s="297">
        <f>H2943/Parametros!$B$37</f>
        <v>12.4</v>
      </c>
      <c r="I2944" s="297">
        <f>I2943/Parametros!$B$37</f>
        <v>13.95</v>
      </c>
      <c r="J2944" s="297">
        <f>J2943/Parametros!$B$37</f>
        <v>13.95</v>
      </c>
      <c r="K2944" s="297">
        <f>K2943/Parametros!$B$37</f>
        <v>13.175</v>
      </c>
      <c r="L2944" s="297">
        <f>L2943/Parametros!$B$37</f>
        <v>11.625</v>
      </c>
      <c r="M2944" s="297">
        <f>M2943/Parametros!$B$37</f>
        <v>10.85</v>
      </c>
      <c r="N2944" s="297">
        <f>N2943/Parametros!$B$37</f>
        <v>12.4</v>
      </c>
    </row>
    <row r="2945" ht="15.75" customHeight="1">
      <c r="B2945" s="276" t="s">
        <v>635</v>
      </c>
      <c r="C2945" s="297">
        <f>C2944/Parametros!$J$37</f>
        <v>1.756666667</v>
      </c>
      <c r="D2945" s="297">
        <f>D2944/Parametros!$J$37</f>
        <v>1.55</v>
      </c>
      <c r="E2945" s="297">
        <f>E2944/Parametros!$J$37</f>
        <v>1.86</v>
      </c>
      <c r="F2945" s="297">
        <f>F2944/Parametros!$J$37</f>
        <v>1.86</v>
      </c>
      <c r="G2945" s="297">
        <f>G2944/Parametros!$J$37</f>
        <v>1.86</v>
      </c>
      <c r="H2945" s="297">
        <f>H2944/Parametros!$J$37</f>
        <v>1.653333333</v>
      </c>
      <c r="I2945" s="297">
        <f>I2944/Parametros!$J$37</f>
        <v>1.86</v>
      </c>
      <c r="J2945" s="297">
        <f>J2944/Parametros!$J$37</f>
        <v>1.86</v>
      </c>
      <c r="K2945" s="297">
        <f>K2944/Parametros!$J$37</f>
        <v>1.756666667</v>
      </c>
      <c r="L2945" s="297">
        <f>L2944/Parametros!$J$37</f>
        <v>1.55</v>
      </c>
      <c r="M2945" s="297">
        <f>M2944/Parametros!$J$37</f>
        <v>1.446666667</v>
      </c>
      <c r="N2945" s="297">
        <f>N2944/Parametros!$J$37</f>
        <v>1.653333333</v>
      </c>
    </row>
    <row r="2946" ht="15.75" customHeight="1">
      <c r="A2946" s="276" t="s">
        <v>636</v>
      </c>
      <c r="C2946" s="297">
        <f t="shared" ref="C2946:N2946" si="964">C2945</f>
        <v>1.756666667</v>
      </c>
      <c r="D2946" s="297">
        <f t="shared" si="964"/>
        <v>1.55</v>
      </c>
      <c r="E2946" s="297">
        <f t="shared" si="964"/>
        <v>1.86</v>
      </c>
      <c r="F2946" s="297">
        <f t="shared" si="964"/>
        <v>1.86</v>
      </c>
      <c r="G2946" s="297">
        <f t="shared" si="964"/>
        <v>1.86</v>
      </c>
      <c r="H2946" s="297">
        <f t="shared" si="964"/>
        <v>1.653333333</v>
      </c>
      <c r="I2946" s="297">
        <f t="shared" si="964"/>
        <v>1.86</v>
      </c>
      <c r="J2946" s="297">
        <f t="shared" si="964"/>
        <v>1.86</v>
      </c>
      <c r="K2946" s="297">
        <f t="shared" si="964"/>
        <v>1.756666667</v>
      </c>
      <c r="L2946" s="297">
        <f t="shared" si="964"/>
        <v>1.55</v>
      </c>
      <c r="M2946" s="297">
        <f t="shared" si="964"/>
        <v>1.446666667</v>
      </c>
      <c r="N2946" s="297">
        <f t="shared" si="964"/>
        <v>1.653333333</v>
      </c>
    </row>
    <row r="2947" ht="15.75" customHeight="1">
      <c r="A2947" s="276" t="s">
        <v>637</v>
      </c>
      <c r="C2947" s="297">
        <f>Parametros!$M$118</f>
        <v>38.25</v>
      </c>
      <c r="D2947" s="297">
        <f>Parametros!$M$118</f>
        <v>38.25</v>
      </c>
      <c r="E2947" s="297">
        <f>Parametros!$M$118</f>
        <v>38.25</v>
      </c>
      <c r="F2947" s="297">
        <f>Parametros!$M$118</f>
        <v>38.25</v>
      </c>
      <c r="G2947" s="297">
        <f>Parametros!$M$118</f>
        <v>38.25</v>
      </c>
      <c r="H2947" s="297">
        <f>Parametros!$M$118</f>
        <v>38.25</v>
      </c>
      <c r="I2947" s="297">
        <f>Parametros!$M$118</f>
        <v>38.25</v>
      </c>
      <c r="J2947" s="297">
        <f>Parametros!$M$118</f>
        <v>38.25</v>
      </c>
      <c r="K2947" s="297">
        <f>Parametros!$M$118</f>
        <v>38.25</v>
      </c>
      <c r="L2947" s="297">
        <f>Parametros!$M$118</f>
        <v>38.25</v>
      </c>
      <c r="M2947" s="297">
        <f>Parametros!$M$118</f>
        <v>38.25</v>
      </c>
      <c r="N2947" s="297">
        <f>Parametros!$M$118</f>
        <v>38.25</v>
      </c>
    </row>
    <row r="2948" ht="15.75" customHeight="1">
      <c r="A2948" s="276" t="s">
        <v>640</v>
      </c>
      <c r="C2948" s="278">
        <f>'Resumen Capacidad'!$K$226</f>
        <v>1</v>
      </c>
      <c r="D2948" s="278">
        <f>'Resumen Capacidad'!$K$226</f>
        <v>1</v>
      </c>
      <c r="E2948" s="278">
        <f>'Resumen Capacidad'!$K$226</f>
        <v>1</v>
      </c>
      <c r="F2948" s="278">
        <f>'Resumen Capacidad'!$K$226</f>
        <v>1</v>
      </c>
      <c r="G2948" s="278">
        <f>'Resumen Capacidad'!$K$226</f>
        <v>1</v>
      </c>
      <c r="H2948" s="278">
        <f>'Resumen Capacidad'!$K$226</f>
        <v>1</v>
      </c>
      <c r="I2948" s="278">
        <f>'Resumen Capacidad'!$K$226</f>
        <v>1</v>
      </c>
      <c r="J2948" s="278">
        <f>'Resumen Capacidad'!$K$226</f>
        <v>1</v>
      </c>
      <c r="K2948" s="278">
        <f>'Resumen Capacidad'!$K$226</f>
        <v>1</v>
      </c>
      <c r="L2948" s="278">
        <f>'Resumen Capacidad'!$K$226</f>
        <v>1</v>
      </c>
      <c r="M2948" s="278">
        <f>'Resumen Capacidad'!$K$226</f>
        <v>1</v>
      </c>
      <c r="N2948" s="278">
        <f>'Resumen Capacidad'!$K$226</f>
        <v>1</v>
      </c>
    </row>
    <row r="2949" ht="15.75" customHeight="1">
      <c r="A2949" s="276" t="s">
        <v>642</v>
      </c>
      <c r="C2949" s="278">
        <f t="shared" ref="C2949:N2949" si="965">C2947*C2948</f>
        <v>38.25</v>
      </c>
      <c r="D2949" s="278">
        <f t="shared" si="965"/>
        <v>38.25</v>
      </c>
      <c r="E2949" s="278">
        <f t="shared" si="965"/>
        <v>38.25</v>
      </c>
      <c r="F2949" s="278">
        <f t="shared" si="965"/>
        <v>38.25</v>
      </c>
      <c r="G2949" s="278">
        <f t="shared" si="965"/>
        <v>38.25</v>
      </c>
      <c r="H2949" s="278">
        <f t="shared" si="965"/>
        <v>38.25</v>
      </c>
      <c r="I2949" s="278">
        <f t="shared" si="965"/>
        <v>38.25</v>
      </c>
      <c r="J2949" s="278">
        <f t="shared" si="965"/>
        <v>38.25</v>
      </c>
      <c r="K2949" s="278">
        <f t="shared" si="965"/>
        <v>38.25</v>
      </c>
      <c r="L2949" s="278">
        <f t="shared" si="965"/>
        <v>38.25</v>
      </c>
      <c r="M2949" s="278">
        <f t="shared" si="965"/>
        <v>38.25</v>
      </c>
      <c r="N2949" s="278">
        <f t="shared" si="965"/>
        <v>38.25</v>
      </c>
    </row>
    <row r="2950" ht="15.75" customHeight="1">
      <c r="A2950" s="276" t="s">
        <v>643</v>
      </c>
      <c r="C2950" s="295">
        <f t="shared" ref="C2950:N2950" si="966">IF(C2949=0,0,C2946/C2949)</f>
        <v>0.04592592593</v>
      </c>
      <c r="D2950" s="295">
        <f t="shared" si="966"/>
        <v>0.04052287582</v>
      </c>
      <c r="E2950" s="295">
        <f t="shared" si="966"/>
        <v>0.04862745098</v>
      </c>
      <c r="F2950" s="295">
        <f t="shared" si="966"/>
        <v>0.04862745098</v>
      </c>
      <c r="G2950" s="295">
        <f t="shared" si="966"/>
        <v>0.04862745098</v>
      </c>
      <c r="H2950" s="295">
        <f t="shared" si="966"/>
        <v>0.04322440087</v>
      </c>
      <c r="I2950" s="295">
        <f t="shared" si="966"/>
        <v>0.04862745098</v>
      </c>
      <c r="J2950" s="295">
        <f t="shared" si="966"/>
        <v>0.04862745098</v>
      </c>
      <c r="K2950" s="295">
        <f t="shared" si="966"/>
        <v>0.04592592593</v>
      </c>
      <c r="L2950" s="295">
        <f t="shared" si="966"/>
        <v>0.04052287582</v>
      </c>
      <c r="M2950" s="295">
        <f t="shared" si="966"/>
        <v>0.03782135076</v>
      </c>
      <c r="N2950" s="295">
        <f t="shared" si="966"/>
        <v>0.04322440087</v>
      </c>
    </row>
    <row r="2951" ht="15.75" customHeight="1">
      <c r="A2951" s="37" t="s">
        <v>1650</v>
      </c>
    </row>
    <row r="2952" ht="15.75" customHeight="1">
      <c r="A2952" s="276" t="s">
        <v>630</v>
      </c>
      <c r="B2952" s="276" t="s">
        <v>631</v>
      </c>
      <c r="C2952" s="276" t="s">
        <v>3</v>
      </c>
      <c r="D2952" s="276" t="s">
        <v>4</v>
      </c>
      <c r="E2952" s="276" t="s">
        <v>507</v>
      </c>
      <c r="F2952" s="276" t="s">
        <v>508</v>
      </c>
      <c r="G2952" s="296" t="s">
        <v>509</v>
      </c>
      <c r="H2952" s="296" t="s">
        <v>510</v>
      </c>
      <c r="I2952" s="296" t="s">
        <v>511</v>
      </c>
      <c r="J2952" s="296" t="s">
        <v>512</v>
      </c>
      <c r="K2952" s="296" t="s">
        <v>513</v>
      </c>
      <c r="L2952" s="296" t="s">
        <v>514</v>
      </c>
      <c r="M2952" s="296" t="s">
        <v>515</v>
      </c>
      <c r="N2952" s="296" t="s">
        <v>516</v>
      </c>
    </row>
    <row r="2953" ht="15.75" customHeight="1">
      <c r="A2953" s="276" t="s">
        <v>1643</v>
      </c>
      <c r="B2953" s="276" t="s">
        <v>633</v>
      </c>
      <c r="C2953" s="278">
        <f t="shared" ref="C2953:N2953" si="967">C2878</f>
        <v>263.5</v>
      </c>
      <c r="D2953" s="278">
        <f t="shared" si="967"/>
        <v>232.5</v>
      </c>
      <c r="E2953" s="278">
        <f t="shared" si="967"/>
        <v>279</v>
      </c>
      <c r="F2953" s="278">
        <f t="shared" si="967"/>
        <v>279</v>
      </c>
      <c r="G2953" s="278">
        <f t="shared" si="967"/>
        <v>279</v>
      </c>
      <c r="H2953" s="278">
        <f t="shared" si="967"/>
        <v>248</v>
      </c>
      <c r="I2953" s="278">
        <f t="shared" si="967"/>
        <v>279</v>
      </c>
      <c r="J2953" s="278">
        <f t="shared" si="967"/>
        <v>279</v>
      </c>
      <c r="K2953" s="278">
        <f t="shared" si="967"/>
        <v>263.5</v>
      </c>
      <c r="L2953" s="278">
        <f t="shared" si="967"/>
        <v>232.5</v>
      </c>
      <c r="M2953" s="278">
        <f t="shared" si="967"/>
        <v>217</v>
      </c>
      <c r="N2953" s="278">
        <f t="shared" si="967"/>
        <v>248</v>
      </c>
    </row>
    <row r="2954" ht="15.75" customHeight="1">
      <c r="B2954" s="276" t="s">
        <v>634</v>
      </c>
      <c r="C2954" s="297">
        <f>C2953/Parametros!$B$37</f>
        <v>13.175</v>
      </c>
      <c r="D2954" s="297">
        <f>D2953/Parametros!$B$37</f>
        <v>11.625</v>
      </c>
      <c r="E2954" s="297">
        <f>E2953/Parametros!$B$37</f>
        <v>13.95</v>
      </c>
      <c r="F2954" s="297">
        <f>F2953/Parametros!$B$37</f>
        <v>13.95</v>
      </c>
      <c r="G2954" s="297">
        <f>G2953/Parametros!$B$37</f>
        <v>13.95</v>
      </c>
      <c r="H2954" s="297">
        <f>H2953/Parametros!$B$37</f>
        <v>12.4</v>
      </c>
      <c r="I2954" s="297">
        <f>I2953/Parametros!$B$37</f>
        <v>13.95</v>
      </c>
      <c r="J2954" s="297">
        <f>J2953/Parametros!$B$37</f>
        <v>13.95</v>
      </c>
      <c r="K2954" s="297">
        <f>K2953/Parametros!$B$37</f>
        <v>13.175</v>
      </c>
      <c r="L2954" s="297">
        <f>L2953/Parametros!$B$37</f>
        <v>11.625</v>
      </c>
      <c r="M2954" s="297">
        <f>M2953/Parametros!$B$37</f>
        <v>10.85</v>
      </c>
      <c r="N2954" s="297">
        <f>N2953/Parametros!$B$37</f>
        <v>12.4</v>
      </c>
    </row>
    <row r="2955" ht="15.75" customHeight="1">
      <c r="B2955" s="276" t="s">
        <v>635</v>
      </c>
      <c r="C2955" s="297">
        <f>C2954/Parametros!$J$37</f>
        <v>1.756666667</v>
      </c>
      <c r="D2955" s="297">
        <f>D2954/Parametros!$J$37</f>
        <v>1.55</v>
      </c>
      <c r="E2955" s="297">
        <f>E2954/Parametros!$J$37</f>
        <v>1.86</v>
      </c>
      <c r="F2955" s="297">
        <f>F2954/Parametros!$J$37</f>
        <v>1.86</v>
      </c>
      <c r="G2955" s="297">
        <f>G2954/Parametros!$J$37</f>
        <v>1.86</v>
      </c>
      <c r="H2955" s="297">
        <f>H2954/Parametros!$J$37</f>
        <v>1.653333333</v>
      </c>
      <c r="I2955" s="297">
        <f>I2954/Parametros!$J$37</f>
        <v>1.86</v>
      </c>
      <c r="J2955" s="297">
        <f>J2954/Parametros!$J$37</f>
        <v>1.86</v>
      </c>
      <c r="K2955" s="297">
        <f>K2954/Parametros!$J$37</f>
        <v>1.756666667</v>
      </c>
      <c r="L2955" s="297">
        <f>L2954/Parametros!$J$37</f>
        <v>1.55</v>
      </c>
      <c r="M2955" s="297">
        <f>M2954/Parametros!$J$37</f>
        <v>1.446666667</v>
      </c>
      <c r="N2955" s="297">
        <f>N2954/Parametros!$J$37</f>
        <v>1.653333333</v>
      </c>
    </row>
    <row r="2956" ht="15.75" customHeight="1">
      <c r="A2956" s="276" t="s">
        <v>636</v>
      </c>
      <c r="C2956" s="297">
        <f t="shared" ref="C2956:N2956" si="968">C2955</f>
        <v>1.756666667</v>
      </c>
      <c r="D2956" s="297">
        <f t="shared" si="968"/>
        <v>1.55</v>
      </c>
      <c r="E2956" s="297">
        <f t="shared" si="968"/>
        <v>1.86</v>
      </c>
      <c r="F2956" s="297">
        <f t="shared" si="968"/>
        <v>1.86</v>
      </c>
      <c r="G2956" s="297">
        <f t="shared" si="968"/>
        <v>1.86</v>
      </c>
      <c r="H2956" s="297">
        <f t="shared" si="968"/>
        <v>1.653333333</v>
      </c>
      <c r="I2956" s="297">
        <f t="shared" si="968"/>
        <v>1.86</v>
      </c>
      <c r="J2956" s="297">
        <f t="shared" si="968"/>
        <v>1.86</v>
      </c>
      <c r="K2956" s="297">
        <f t="shared" si="968"/>
        <v>1.756666667</v>
      </c>
      <c r="L2956" s="297">
        <f t="shared" si="968"/>
        <v>1.55</v>
      </c>
      <c r="M2956" s="297">
        <f t="shared" si="968"/>
        <v>1.446666667</v>
      </c>
      <c r="N2956" s="297">
        <f t="shared" si="968"/>
        <v>1.653333333</v>
      </c>
    </row>
    <row r="2957" ht="15.75" customHeight="1">
      <c r="A2957" s="276" t="s">
        <v>637</v>
      </c>
      <c r="C2957" s="297">
        <f>Parametros!$M$119</f>
        <v>5.666666667</v>
      </c>
      <c r="D2957" s="297">
        <f>Parametros!$M$119</f>
        <v>5.666666667</v>
      </c>
      <c r="E2957" s="297">
        <f>Parametros!$M$119</f>
        <v>5.666666667</v>
      </c>
      <c r="F2957" s="297">
        <f>Parametros!$M$119</f>
        <v>5.666666667</v>
      </c>
      <c r="G2957" s="297">
        <f>Parametros!$M$119</f>
        <v>5.666666667</v>
      </c>
      <c r="H2957" s="297">
        <f>Parametros!$M$119</f>
        <v>5.666666667</v>
      </c>
      <c r="I2957" s="297">
        <f>Parametros!$M$119</f>
        <v>5.666666667</v>
      </c>
      <c r="J2957" s="297">
        <f>Parametros!$M$119</f>
        <v>5.666666667</v>
      </c>
      <c r="K2957" s="297">
        <f>Parametros!$M$119</f>
        <v>5.666666667</v>
      </c>
      <c r="L2957" s="297">
        <f>Parametros!$M$119</f>
        <v>5.666666667</v>
      </c>
      <c r="M2957" s="297">
        <f>Parametros!$M$119</f>
        <v>5.666666667</v>
      </c>
      <c r="N2957" s="297">
        <f>Parametros!$M$119</f>
        <v>5.666666667</v>
      </c>
    </row>
    <row r="2958" ht="15.75" customHeight="1">
      <c r="A2958" s="276" t="s">
        <v>640</v>
      </c>
      <c r="C2958" s="278">
        <f>'Resumen Capacidad'!$K$227</f>
        <v>1</v>
      </c>
      <c r="D2958" s="278">
        <f>'Resumen Capacidad'!$K$227</f>
        <v>1</v>
      </c>
      <c r="E2958" s="278">
        <f>'Resumen Capacidad'!$K$227</f>
        <v>1</v>
      </c>
      <c r="F2958" s="278">
        <f>'Resumen Capacidad'!$K$227</f>
        <v>1</v>
      </c>
      <c r="G2958" s="278">
        <f>'Resumen Capacidad'!$K$227</f>
        <v>1</v>
      </c>
      <c r="H2958" s="278">
        <f>'Resumen Capacidad'!$K$227</f>
        <v>1</v>
      </c>
      <c r="I2958" s="278">
        <f>'Resumen Capacidad'!$K$227</f>
        <v>1</v>
      </c>
      <c r="J2958" s="278">
        <f>'Resumen Capacidad'!$K$227</f>
        <v>1</v>
      </c>
      <c r="K2958" s="278">
        <f>'Resumen Capacidad'!$K$227</f>
        <v>1</v>
      </c>
      <c r="L2958" s="278">
        <f>'Resumen Capacidad'!$K$227</f>
        <v>1</v>
      </c>
      <c r="M2958" s="278">
        <f>'Resumen Capacidad'!$K$227</f>
        <v>1</v>
      </c>
      <c r="N2958" s="278">
        <f>'Resumen Capacidad'!$K$227</f>
        <v>1</v>
      </c>
    </row>
    <row r="2959" ht="15.75" customHeight="1">
      <c r="A2959" s="276" t="s">
        <v>642</v>
      </c>
      <c r="C2959" s="278">
        <f t="shared" ref="C2959:N2959" si="969">C2957*C2958</f>
        <v>5.666666667</v>
      </c>
      <c r="D2959" s="278">
        <f t="shared" si="969"/>
        <v>5.666666667</v>
      </c>
      <c r="E2959" s="278">
        <f t="shared" si="969"/>
        <v>5.666666667</v>
      </c>
      <c r="F2959" s="278">
        <f t="shared" si="969"/>
        <v>5.666666667</v>
      </c>
      <c r="G2959" s="278">
        <f t="shared" si="969"/>
        <v>5.666666667</v>
      </c>
      <c r="H2959" s="278">
        <f t="shared" si="969"/>
        <v>5.666666667</v>
      </c>
      <c r="I2959" s="278">
        <f t="shared" si="969"/>
        <v>5.666666667</v>
      </c>
      <c r="J2959" s="278">
        <f t="shared" si="969"/>
        <v>5.666666667</v>
      </c>
      <c r="K2959" s="278">
        <f t="shared" si="969"/>
        <v>5.666666667</v>
      </c>
      <c r="L2959" s="278">
        <f t="shared" si="969"/>
        <v>5.666666667</v>
      </c>
      <c r="M2959" s="278">
        <f t="shared" si="969"/>
        <v>5.666666667</v>
      </c>
      <c r="N2959" s="278">
        <f t="shared" si="969"/>
        <v>5.666666667</v>
      </c>
    </row>
    <row r="2960" ht="15.75" customHeight="1">
      <c r="A2960" s="276" t="s">
        <v>643</v>
      </c>
      <c r="C2960" s="295">
        <f t="shared" ref="C2960:N2960" si="970">IF(C2959=0,0,C2956/C2959)</f>
        <v>0.31</v>
      </c>
      <c r="D2960" s="295">
        <f t="shared" si="970"/>
        <v>0.2735294118</v>
      </c>
      <c r="E2960" s="295">
        <f t="shared" si="970"/>
        <v>0.3282352941</v>
      </c>
      <c r="F2960" s="295">
        <f t="shared" si="970"/>
        <v>0.3282352941</v>
      </c>
      <c r="G2960" s="295">
        <f t="shared" si="970"/>
        <v>0.3282352941</v>
      </c>
      <c r="H2960" s="295">
        <f t="shared" si="970"/>
        <v>0.2917647059</v>
      </c>
      <c r="I2960" s="295">
        <f t="shared" si="970"/>
        <v>0.3282352941</v>
      </c>
      <c r="J2960" s="295">
        <f t="shared" si="970"/>
        <v>0.3282352941</v>
      </c>
      <c r="K2960" s="295">
        <f t="shared" si="970"/>
        <v>0.31</v>
      </c>
      <c r="L2960" s="295">
        <f t="shared" si="970"/>
        <v>0.2735294118</v>
      </c>
      <c r="M2960" s="295">
        <f t="shared" si="970"/>
        <v>0.2552941176</v>
      </c>
      <c r="N2960" s="295">
        <f t="shared" si="970"/>
        <v>0.2917647059</v>
      </c>
    </row>
    <row r="2961" ht="15.75" customHeight="1"/>
    <row r="2962" ht="15.75" customHeight="1"/>
    <row r="2963" ht="15.75" customHeight="1">
      <c r="A2963" s="37" t="s">
        <v>1660</v>
      </c>
    </row>
    <row r="2964" ht="15.75" customHeight="1">
      <c r="A2964" s="301" t="s">
        <v>630</v>
      </c>
      <c r="B2964" s="301" t="s">
        <v>631</v>
      </c>
      <c r="C2964" s="301" t="s">
        <v>3</v>
      </c>
      <c r="D2964" s="301" t="s">
        <v>4</v>
      </c>
      <c r="E2964" s="301" t="s">
        <v>507</v>
      </c>
      <c r="F2964" s="301" t="s">
        <v>508</v>
      </c>
      <c r="G2964" s="301" t="s">
        <v>509</v>
      </c>
      <c r="H2964" s="301" t="s">
        <v>510</v>
      </c>
      <c r="I2964" s="301" t="s">
        <v>511</v>
      </c>
      <c r="J2964" s="301" t="s">
        <v>512</v>
      </c>
      <c r="K2964" s="301" t="s">
        <v>513</v>
      </c>
      <c r="L2964" s="301" t="s">
        <v>514</v>
      </c>
      <c r="M2964" s="301" t="s">
        <v>515</v>
      </c>
      <c r="N2964" s="301" t="s">
        <v>516</v>
      </c>
    </row>
    <row r="2965" ht="15.75" customHeight="1">
      <c r="A2965" s="276" t="s">
        <v>1661</v>
      </c>
      <c r="B2965" s="276" t="s">
        <v>633</v>
      </c>
      <c r="C2965" s="278">
        <f>SUM('2026'!B7:B9)+SUM('2026'!B18:B20)+C2059</f>
        <v>275.86</v>
      </c>
      <c r="D2965" s="278">
        <f>SUM('2026'!C7:C9)+SUM('2026'!C18:C20)+D2059</f>
        <v>221.64</v>
      </c>
      <c r="E2965" s="278">
        <f>SUM('2026'!D7:D9)+SUM('2026'!D18:D20)+E2059</f>
        <v>236.895</v>
      </c>
      <c r="F2965" s="278">
        <f>SUM('2026'!E7:E9)+SUM('2026'!E18:E20)+F2059</f>
        <v>236.895</v>
      </c>
      <c r="G2965" s="278">
        <f>SUM('2026'!F7:F9)+SUM('2026'!F18:F20)+G2059</f>
        <v>223.68</v>
      </c>
      <c r="H2965" s="278">
        <f>SUM('2026'!G7:G9)+SUM('2026'!G18:G20)+H2059</f>
        <v>209.105</v>
      </c>
      <c r="I2965" s="278">
        <f>SUM('2026'!H7:H9)+SUM('2026'!H18:H20)+I2059</f>
        <v>223.68</v>
      </c>
      <c r="J2965" s="278">
        <f>SUM('2026'!I7:I9)+SUM('2026'!I18:I20)+J2059</f>
        <v>223.68</v>
      </c>
      <c r="K2965" s="278">
        <f>SUM('2026'!J7:J9)+SUM('2026'!J18:J20)+K2059</f>
        <v>223</v>
      </c>
      <c r="L2965" s="278">
        <f>SUM('2026'!K7:K9)+SUM('2026'!K18:K20)+L2059</f>
        <v>208.425</v>
      </c>
      <c r="M2965" s="278">
        <f>SUM('2026'!L7:L9)+SUM('2026'!L18:L20)+M2059</f>
        <v>194.53</v>
      </c>
      <c r="N2965" s="278">
        <f>SUM('2026'!M7:M9)+SUM('2026'!M18:M20)+N2059</f>
        <v>301.61</v>
      </c>
    </row>
    <row r="2966" ht="15.75" customHeight="1">
      <c r="B2966" s="276" t="s">
        <v>634</v>
      </c>
      <c r="C2966" s="297">
        <f>C2965/Parametros!$B$37</f>
        <v>13.793</v>
      </c>
      <c r="D2966" s="297">
        <f>D2965/Parametros!$B$37</f>
        <v>11.082</v>
      </c>
      <c r="E2966" s="297">
        <f>E2965/Parametros!$B$37</f>
        <v>11.84475</v>
      </c>
      <c r="F2966" s="297">
        <f>F2965/Parametros!$B$37</f>
        <v>11.84475</v>
      </c>
      <c r="G2966" s="297">
        <f>G2965/Parametros!$B$37</f>
        <v>11.184</v>
      </c>
      <c r="H2966" s="297">
        <f>H2965/Parametros!$B$37</f>
        <v>10.45525</v>
      </c>
      <c r="I2966" s="297">
        <f>I2965/Parametros!$B$37</f>
        <v>11.184</v>
      </c>
      <c r="J2966" s="297">
        <f>J2965/Parametros!$B$37</f>
        <v>11.184</v>
      </c>
      <c r="K2966" s="297">
        <f>K2965/Parametros!$B$37</f>
        <v>11.15</v>
      </c>
      <c r="L2966" s="297">
        <f>L2965/Parametros!$B$37</f>
        <v>10.42125</v>
      </c>
      <c r="M2966" s="297">
        <f>M2965/Parametros!$B$37</f>
        <v>9.7265</v>
      </c>
      <c r="N2966" s="297">
        <f>N2965/Parametros!$B$37</f>
        <v>15.0805</v>
      </c>
    </row>
    <row r="2967" ht="15.75" customHeight="1">
      <c r="B2967" s="276" t="s">
        <v>635</v>
      </c>
      <c r="C2967" s="297">
        <f>C2966/Parametros!$J$37</f>
        <v>1.839066667</v>
      </c>
      <c r="D2967" s="297">
        <f>D2966/Parametros!$J$37</f>
        <v>1.4776</v>
      </c>
      <c r="E2967" s="297">
        <f>E2966/Parametros!$J$37</f>
        <v>1.5793</v>
      </c>
      <c r="F2967" s="297">
        <f>F2966/Parametros!$J$37</f>
        <v>1.5793</v>
      </c>
      <c r="G2967" s="297">
        <f>G2966/Parametros!$J$37</f>
        <v>1.4912</v>
      </c>
      <c r="H2967" s="297">
        <f>H2966/Parametros!$J$37</f>
        <v>1.394033333</v>
      </c>
      <c r="I2967" s="297">
        <f>I2966/Parametros!$J$37</f>
        <v>1.4912</v>
      </c>
      <c r="J2967" s="297">
        <f>J2966/Parametros!$J$37</f>
        <v>1.4912</v>
      </c>
      <c r="K2967" s="297">
        <f>K2966/Parametros!$J$37</f>
        <v>1.486666667</v>
      </c>
      <c r="L2967" s="297">
        <f>L2966/Parametros!$J$37</f>
        <v>1.3895</v>
      </c>
      <c r="M2967" s="297">
        <f>M2966/Parametros!$J$37</f>
        <v>1.296866667</v>
      </c>
      <c r="N2967" s="297">
        <f>N2966/Parametros!$J$37</f>
        <v>2.010733333</v>
      </c>
    </row>
    <row r="2968" ht="15.75" customHeight="1">
      <c r="A2968" s="276" t="s">
        <v>636</v>
      </c>
      <c r="C2968" s="297">
        <f t="shared" ref="C2968:N2968" si="971">C2967</f>
        <v>1.839066667</v>
      </c>
      <c r="D2968" s="297">
        <f t="shared" si="971"/>
        <v>1.4776</v>
      </c>
      <c r="E2968" s="297">
        <f t="shared" si="971"/>
        <v>1.5793</v>
      </c>
      <c r="F2968" s="297">
        <f t="shared" si="971"/>
        <v>1.5793</v>
      </c>
      <c r="G2968" s="297">
        <f t="shared" si="971"/>
        <v>1.4912</v>
      </c>
      <c r="H2968" s="297">
        <f t="shared" si="971"/>
        <v>1.394033333</v>
      </c>
      <c r="I2968" s="297">
        <f t="shared" si="971"/>
        <v>1.4912</v>
      </c>
      <c r="J2968" s="297">
        <f t="shared" si="971"/>
        <v>1.4912</v>
      </c>
      <c r="K2968" s="297">
        <f t="shared" si="971"/>
        <v>1.486666667</v>
      </c>
      <c r="L2968" s="297">
        <f t="shared" si="971"/>
        <v>1.3895</v>
      </c>
      <c r="M2968" s="297">
        <f t="shared" si="971"/>
        <v>1.296866667</v>
      </c>
      <c r="N2968" s="297">
        <f t="shared" si="971"/>
        <v>2.010733333</v>
      </c>
    </row>
    <row r="2969" ht="15.75" customHeight="1">
      <c r="A2969" s="276" t="s">
        <v>637</v>
      </c>
      <c r="C2969" s="297">
        <f>Parametros!$M$90</f>
        <v>124.3970468</v>
      </c>
      <c r="D2969" s="297">
        <f>Parametros!$M$90</f>
        <v>124.3970468</v>
      </c>
      <c r="E2969" s="297">
        <f>Parametros!$M$90</f>
        <v>124.3970468</v>
      </c>
      <c r="F2969" s="297">
        <f>Parametros!$M$90</f>
        <v>124.3970468</v>
      </c>
      <c r="G2969" s="297">
        <f>Parametros!$M$90</f>
        <v>124.3970468</v>
      </c>
      <c r="H2969" s="297">
        <f>Parametros!$M$90</f>
        <v>124.3970468</v>
      </c>
      <c r="I2969" s="297">
        <f>Parametros!$M$90</f>
        <v>124.3970468</v>
      </c>
      <c r="J2969" s="297">
        <f>Parametros!$M$90</f>
        <v>124.3970468</v>
      </c>
      <c r="K2969" s="297">
        <f>Parametros!$M$90</f>
        <v>124.3970468</v>
      </c>
      <c r="L2969" s="297">
        <f>Parametros!$M$90</f>
        <v>124.3970468</v>
      </c>
      <c r="M2969" s="297">
        <f>Parametros!$M$90</f>
        <v>124.3970468</v>
      </c>
      <c r="N2969" s="297">
        <f>Parametros!$M$90</f>
        <v>124.3970468</v>
      </c>
    </row>
    <row r="2970" ht="15.75" customHeight="1">
      <c r="A2970" s="276" t="s">
        <v>640</v>
      </c>
      <c r="C2970" s="278">
        <f>'Resumen Capacidad'!$B$235</f>
        <v>1</v>
      </c>
      <c r="D2970" s="278">
        <f>'Resumen Capacidad'!$B$235</f>
        <v>1</v>
      </c>
      <c r="E2970" s="278">
        <f>'Resumen Capacidad'!$B$235</f>
        <v>1</v>
      </c>
      <c r="F2970" s="278">
        <f>'Resumen Capacidad'!$B$235</f>
        <v>1</v>
      </c>
      <c r="G2970" s="278">
        <f>'Resumen Capacidad'!$B$235</f>
        <v>1</v>
      </c>
      <c r="H2970" s="278">
        <f>'Resumen Capacidad'!$B$235</f>
        <v>1</v>
      </c>
      <c r="I2970" s="278">
        <f>'Resumen Capacidad'!$B$235</f>
        <v>1</v>
      </c>
      <c r="J2970" s="278">
        <f>'Resumen Capacidad'!$B$235</f>
        <v>1</v>
      </c>
      <c r="K2970" s="278">
        <f>'Resumen Capacidad'!$B$235</f>
        <v>1</v>
      </c>
      <c r="L2970" s="278">
        <f>'Resumen Capacidad'!$B$235</f>
        <v>1</v>
      </c>
      <c r="M2970" s="278">
        <f>'Resumen Capacidad'!$B$235</f>
        <v>1</v>
      </c>
      <c r="N2970" s="278">
        <f>'Resumen Capacidad'!$B$235</f>
        <v>1</v>
      </c>
    </row>
    <row r="2971" ht="15.75" customHeight="1">
      <c r="A2971" s="276" t="s">
        <v>642</v>
      </c>
      <c r="C2971" s="278">
        <f t="shared" ref="C2971:N2971" si="972">C2969*C2970</f>
        <v>124.3970468</v>
      </c>
      <c r="D2971" s="278">
        <f t="shared" si="972"/>
        <v>124.3970468</v>
      </c>
      <c r="E2971" s="278">
        <f t="shared" si="972"/>
        <v>124.3970468</v>
      </c>
      <c r="F2971" s="278">
        <f t="shared" si="972"/>
        <v>124.3970468</v>
      </c>
      <c r="G2971" s="278">
        <f t="shared" si="972"/>
        <v>124.3970468</v>
      </c>
      <c r="H2971" s="278">
        <f t="shared" si="972"/>
        <v>124.3970468</v>
      </c>
      <c r="I2971" s="278">
        <f t="shared" si="972"/>
        <v>124.3970468</v>
      </c>
      <c r="J2971" s="278">
        <f t="shared" si="972"/>
        <v>124.3970468</v>
      </c>
      <c r="K2971" s="278">
        <f t="shared" si="972"/>
        <v>124.3970468</v>
      </c>
      <c r="L2971" s="278">
        <f t="shared" si="972"/>
        <v>124.3970468</v>
      </c>
      <c r="M2971" s="278">
        <f t="shared" si="972"/>
        <v>124.3970468</v>
      </c>
      <c r="N2971" s="278">
        <f t="shared" si="972"/>
        <v>124.3970468</v>
      </c>
    </row>
    <row r="2972" ht="15.75" customHeight="1">
      <c r="A2972" s="276" t="s">
        <v>643</v>
      </c>
      <c r="C2972" s="295">
        <f t="shared" ref="C2972:N2972" si="973">IF(C2971=0,0,C2968/C2971)</f>
        <v>0.01478384507</v>
      </c>
      <c r="D2972" s="295">
        <f t="shared" si="973"/>
        <v>0.01187809549</v>
      </c>
      <c r="E2972" s="295">
        <f t="shared" si="973"/>
        <v>0.01269563901</v>
      </c>
      <c r="F2972" s="295">
        <f t="shared" si="973"/>
        <v>0.01269563901</v>
      </c>
      <c r="G2972" s="295">
        <f t="shared" si="973"/>
        <v>0.01198742284</v>
      </c>
      <c r="H2972" s="295">
        <f t="shared" si="973"/>
        <v>0.01120632177</v>
      </c>
      <c r="I2972" s="295">
        <f t="shared" si="973"/>
        <v>0.01198742284</v>
      </c>
      <c r="J2972" s="295">
        <f t="shared" si="973"/>
        <v>0.01198742284</v>
      </c>
      <c r="K2972" s="295">
        <f t="shared" si="973"/>
        <v>0.01195098039</v>
      </c>
      <c r="L2972" s="295">
        <f t="shared" si="973"/>
        <v>0.01116987932</v>
      </c>
      <c r="M2972" s="295">
        <f t="shared" si="973"/>
        <v>0.0104252207</v>
      </c>
      <c r="N2972" s="295">
        <f t="shared" si="973"/>
        <v>0.01616383496</v>
      </c>
    </row>
    <row r="2973" ht="15.75" customHeight="1"/>
    <row r="2974" ht="15.75" customHeight="1">
      <c r="A2974" s="37" t="s">
        <v>1662</v>
      </c>
    </row>
    <row r="2975" ht="15.75" customHeight="1">
      <c r="A2975" s="301" t="s">
        <v>630</v>
      </c>
      <c r="B2975" s="301" t="s">
        <v>631</v>
      </c>
      <c r="C2975" s="301" t="s">
        <v>3</v>
      </c>
      <c r="D2975" s="301" t="s">
        <v>4</v>
      </c>
      <c r="E2975" s="301" t="s">
        <v>507</v>
      </c>
      <c r="F2975" s="301" t="s">
        <v>508</v>
      </c>
      <c r="G2975" s="301" t="s">
        <v>509</v>
      </c>
      <c r="H2975" s="301" t="s">
        <v>510</v>
      </c>
      <c r="I2975" s="301" t="s">
        <v>511</v>
      </c>
      <c r="J2975" s="301" t="s">
        <v>512</v>
      </c>
      <c r="K2975" s="301" t="s">
        <v>513</v>
      </c>
      <c r="L2975" s="301" t="s">
        <v>514</v>
      </c>
      <c r="M2975" s="301" t="s">
        <v>515</v>
      </c>
      <c r="N2975" s="301" t="s">
        <v>516</v>
      </c>
    </row>
    <row r="2976" ht="15.75" customHeight="1">
      <c r="A2976" s="276" t="s">
        <v>1661</v>
      </c>
      <c r="B2976" s="276" t="s">
        <v>633</v>
      </c>
      <c r="C2976" s="278">
        <f>SUM('2027'!B7:B9)+SUM('2027'!B18:B20)+C2150</f>
        <v>493.105</v>
      </c>
      <c r="D2976" s="278">
        <f>SUM('2027'!C7:C9)+SUM('2027'!C18:C20)+D2150</f>
        <v>396.115</v>
      </c>
      <c r="E2976" s="278">
        <f>SUM('2027'!D7:D9)+SUM('2027'!D18:D20)+E2150</f>
        <v>423.275</v>
      </c>
      <c r="F2976" s="278">
        <f>SUM('2027'!E7:E9)+SUM('2027'!E18:E20)+F2150</f>
        <v>423.275</v>
      </c>
      <c r="G2976" s="278">
        <f>SUM('2027'!F7:F9)+SUM('2027'!F18:F20)+G2150</f>
        <v>399.61</v>
      </c>
      <c r="H2976" s="278">
        <f>SUM('2027'!G7:G9)+SUM('2027'!G18:G20)+H2150</f>
        <v>373.615</v>
      </c>
      <c r="I2976" s="278">
        <f>SUM('2027'!H7:H9)+SUM('2027'!H18:H20)+I2150</f>
        <v>399.61</v>
      </c>
      <c r="J2976" s="278">
        <f>SUM('2027'!I7:I9)+SUM('2027'!I18:I20)+J2150</f>
        <v>399.61</v>
      </c>
      <c r="K2976" s="278">
        <f>SUM('2027'!J7:J9)+SUM('2027'!J18:J20)+K2150</f>
        <v>398.445</v>
      </c>
      <c r="L2976" s="278">
        <f>SUM('2027'!K7:K9)+SUM('2027'!K18:K20)+L2150</f>
        <v>372.45</v>
      </c>
      <c r="M2976" s="278">
        <f>SUM('2027'!L7:L9)+SUM('2027'!L18:L20)+M2150</f>
        <v>347.62</v>
      </c>
      <c r="N2976" s="278">
        <f>SUM('2027'!M7:M9)+SUM('2027'!M18:M20)+N2150</f>
        <v>539.27</v>
      </c>
    </row>
    <row r="2977" ht="15.75" customHeight="1">
      <c r="B2977" s="276" t="s">
        <v>634</v>
      </c>
      <c r="C2977" s="297">
        <f>C2976/Parametros!$B$37</f>
        <v>24.65525</v>
      </c>
      <c r="D2977" s="297">
        <f>D2976/Parametros!$B$37</f>
        <v>19.80575</v>
      </c>
      <c r="E2977" s="297">
        <f>E2976/Parametros!$B$37</f>
        <v>21.16375</v>
      </c>
      <c r="F2977" s="297">
        <f>F2976/Parametros!$B$37</f>
        <v>21.16375</v>
      </c>
      <c r="G2977" s="297">
        <f>G2976/Parametros!$B$37</f>
        <v>19.9805</v>
      </c>
      <c r="H2977" s="297">
        <f>H2976/Parametros!$B$37</f>
        <v>18.68075</v>
      </c>
      <c r="I2977" s="297">
        <f>I2976/Parametros!$B$37</f>
        <v>19.9805</v>
      </c>
      <c r="J2977" s="297">
        <f>J2976/Parametros!$B$37</f>
        <v>19.9805</v>
      </c>
      <c r="K2977" s="297">
        <f>K2976/Parametros!$B$37</f>
        <v>19.92225</v>
      </c>
      <c r="L2977" s="297">
        <f>L2976/Parametros!$B$37</f>
        <v>18.6225</v>
      </c>
      <c r="M2977" s="297">
        <f>M2976/Parametros!$B$37</f>
        <v>17.381</v>
      </c>
      <c r="N2977" s="297">
        <f>N2976/Parametros!$B$37</f>
        <v>26.9635</v>
      </c>
    </row>
    <row r="2978" ht="15.75" customHeight="1">
      <c r="B2978" s="276" t="s">
        <v>635</v>
      </c>
      <c r="C2978" s="297">
        <f>C2977/Parametros!$J$37</f>
        <v>3.287366667</v>
      </c>
      <c r="D2978" s="297">
        <f>D2977/Parametros!$J$37</f>
        <v>2.640766667</v>
      </c>
      <c r="E2978" s="297">
        <f>E2977/Parametros!$J$37</f>
        <v>2.821833333</v>
      </c>
      <c r="F2978" s="297">
        <f>F2977/Parametros!$J$37</f>
        <v>2.821833333</v>
      </c>
      <c r="G2978" s="297">
        <f>G2977/Parametros!$J$37</f>
        <v>2.664066667</v>
      </c>
      <c r="H2978" s="297">
        <f>H2977/Parametros!$J$37</f>
        <v>2.490766667</v>
      </c>
      <c r="I2978" s="297">
        <f>I2977/Parametros!$J$37</f>
        <v>2.664066667</v>
      </c>
      <c r="J2978" s="297">
        <f>J2977/Parametros!$J$37</f>
        <v>2.664066667</v>
      </c>
      <c r="K2978" s="297">
        <f>K2977/Parametros!$J$37</f>
        <v>2.6563</v>
      </c>
      <c r="L2978" s="297">
        <f>L2977/Parametros!$J$37</f>
        <v>2.483</v>
      </c>
      <c r="M2978" s="297">
        <f>M2977/Parametros!$J$37</f>
        <v>2.317466667</v>
      </c>
      <c r="N2978" s="297">
        <f>N2977/Parametros!$J$37</f>
        <v>3.595133333</v>
      </c>
    </row>
    <row r="2979" ht="15.75" customHeight="1">
      <c r="A2979" s="276" t="s">
        <v>636</v>
      </c>
      <c r="C2979" s="297">
        <f t="shared" ref="C2979:N2979" si="974">C2978</f>
        <v>3.287366667</v>
      </c>
      <c r="D2979" s="297">
        <f t="shared" si="974"/>
        <v>2.640766667</v>
      </c>
      <c r="E2979" s="297">
        <f t="shared" si="974"/>
        <v>2.821833333</v>
      </c>
      <c r="F2979" s="297">
        <f t="shared" si="974"/>
        <v>2.821833333</v>
      </c>
      <c r="G2979" s="297">
        <f t="shared" si="974"/>
        <v>2.664066667</v>
      </c>
      <c r="H2979" s="297">
        <f t="shared" si="974"/>
        <v>2.490766667</v>
      </c>
      <c r="I2979" s="297">
        <f t="shared" si="974"/>
        <v>2.664066667</v>
      </c>
      <c r="J2979" s="297">
        <f t="shared" si="974"/>
        <v>2.664066667</v>
      </c>
      <c r="K2979" s="297">
        <f t="shared" si="974"/>
        <v>2.6563</v>
      </c>
      <c r="L2979" s="297">
        <f t="shared" si="974"/>
        <v>2.483</v>
      </c>
      <c r="M2979" s="297">
        <f t="shared" si="974"/>
        <v>2.317466667</v>
      </c>
      <c r="N2979" s="297">
        <f t="shared" si="974"/>
        <v>3.595133333</v>
      </c>
    </row>
    <row r="2980" ht="15.75" customHeight="1">
      <c r="A2980" s="276" t="s">
        <v>637</v>
      </c>
      <c r="C2980" s="297">
        <f>Parametros!$M$90</f>
        <v>124.3970468</v>
      </c>
      <c r="D2980" s="297">
        <f>Parametros!$M$90</f>
        <v>124.3970468</v>
      </c>
      <c r="E2980" s="297">
        <f>Parametros!$M$90</f>
        <v>124.3970468</v>
      </c>
      <c r="F2980" s="297">
        <f>Parametros!$M$90</f>
        <v>124.3970468</v>
      </c>
      <c r="G2980" s="297">
        <f>Parametros!$M$90</f>
        <v>124.3970468</v>
      </c>
      <c r="H2980" s="297">
        <f>Parametros!$M$90</f>
        <v>124.3970468</v>
      </c>
      <c r="I2980" s="297">
        <f>Parametros!$M$90</f>
        <v>124.3970468</v>
      </c>
      <c r="J2980" s="297">
        <f>Parametros!$M$90</f>
        <v>124.3970468</v>
      </c>
      <c r="K2980" s="297">
        <f>Parametros!$M$90</f>
        <v>124.3970468</v>
      </c>
      <c r="L2980" s="297">
        <f>Parametros!$M$90</f>
        <v>124.3970468</v>
      </c>
      <c r="M2980" s="297">
        <f>Parametros!$M$90</f>
        <v>124.3970468</v>
      </c>
      <c r="N2980" s="297">
        <f>Parametros!$M$90</f>
        <v>124.3970468</v>
      </c>
    </row>
    <row r="2981" ht="15.75" customHeight="1">
      <c r="A2981" s="276" t="s">
        <v>640</v>
      </c>
      <c r="C2981" s="278">
        <f>'Resumen Capacidad'!$C$235</f>
        <v>1</v>
      </c>
      <c r="D2981" s="278">
        <f>'Resumen Capacidad'!$C$235</f>
        <v>1</v>
      </c>
      <c r="E2981" s="278">
        <f>'Resumen Capacidad'!$C$235</f>
        <v>1</v>
      </c>
      <c r="F2981" s="278">
        <f>'Resumen Capacidad'!$C$235</f>
        <v>1</v>
      </c>
      <c r="G2981" s="278">
        <f>'Resumen Capacidad'!$C$235</f>
        <v>1</v>
      </c>
      <c r="H2981" s="278">
        <f>'Resumen Capacidad'!$C$235</f>
        <v>1</v>
      </c>
      <c r="I2981" s="278">
        <f>'Resumen Capacidad'!$C$235</f>
        <v>1</v>
      </c>
      <c r="J2981" s="278">
        <f>'Resumen Capacidad'!$C$235</f>
        <v>1</v>
      </c>
      <c r="K2981" s="278">
        <f>'Resumen Capacidad'!$C$235</f>
        <v>1</v>
      </c>
      <c r="L2981" s="278">
        <f>'Resumen Capacidad'!$C$235</f>
        <v>1</v>
      </c>
      <c r="M2981" s="278">
        <f>'Resumen Capacidad'!$C$235</f>
        <v>1</v>
      </c>
      <c r="N2981" s="278">
        <f>'Resumen Capacidad'!$C$235</f>
        <v>1</v>
      </c>
    </row>
    <row r="2982" ht="15.75" customHeight="1">
      <c r="A2982" s="276" t="s">
        <v>642</v>
      </c>
      <c r="C2982" s="278">
        <f t="shared" ref="C2982:N2982" si="975">C2980*C2981</f>
        <v>124.3970468</v>
      </c>
      <c r="D2982" s="278">
        <f t="shared" si="975"/>
        <v>124.3970468</v>
      </c>
      <c r="E2982" s="278">
        <f t="shared" si="975"/>
        <v>124.3970468</v>
      </c>
      <c r="F2982" s="278">
        <f t="shared" si="975"/>
        <v>124.3970468</v>
      </c>
      <c r="G2982" s="278">
        <f t="shared" si="975"/>
        <v>124.3970468</v>
      </c>
      <c r="H2982" s="278">
        <f t="shared" si="975"/>
        <v>124.3970468</v>
      </c>
      <c r="I2982" s="278">
        <f t="shared" si="975"/>
        <v>124.3970468</v>
      </c>
      <c r="J2982" s="278">
        <f t="shared" si="975"/>
        <v>124.3970468</v>
      </c>
      <c r="K2982" s="278">
        <f t="shared" si="975"/>
        <v>124.3970468</v>
      </c>
      <c r="L2982" s="278">
        <f t="shared" si="975"/>
        <v>124.3970468</v>
      </c>
      <c r="M2982" s="278">
        <f t="shared" si="975"/>
        <v>124.3970468</v>
      </c>
      <c r="N2982" s="278">
        <f t="shared" si="975"/>
        <v>124.3970468</v>
      </c>
    </row>
    <row r="2983" ht="15.75" customHeight="1">
      <c r="A2983" s="276" t="s">
        <v>643</v>
      </c>
      <c r="C2983" s="295">
        <f t="shared" ref="C2983:N2983" si="976">IF(C2982=0,0,C2979/C2982)</f>
        <v>0.02642640442</v>
      </c>
      <c r="D2983" s="295">
        <f t="shared" si="976"/>
        <v>0.02122853183</v>
      </c>
      <c r="E2983" s="295">
        <f t="shared" si="976"/>
        <v>0.02268408621</v>
      </c>
      <c r="F2983" s="295">
        <f t="shared" si="976"/>
        <v>0.02268408621</v>
      </c>
      <c r="G2983" s="295">
        <f t="shared" si="976"/>
        <v>0.02141583531</v>
      </c>
      <c r="H2983" s="295">
        <f t="shared" si="976"/>
        <v>0.02002271542</v>
      </c>
      <c r="I2983" s="295">
        <f t="shared" si="976"/>
        <v>0.02141583531</v>
      </c>
      <c r="J2983" s="295">
        <f t="shared" si="976"/>
        <v>0.02141583531</v>
      </c>
      <c r="K2983" s="295">
        <f t="shared" si="976"/>
        <v>0.02135340082</v>
      </c>
      <c r="L2983" s="295">
        <f t="shared" si="976"/>
        <v>0.01996028093</v>
      </c>
      <c r="M2983" s="295">
        <f t="shared" si="976"/>
        <v>0.01862959553</v>
      </c>
      <c r="N2983" s="295">
        <f t="shared" si="976"/>
        <v>0.02890047173</v>
      </c>
    </row>
    <row r="2984" ht="15.75" customHeight="1"/>
    <row r="2985" ht="15.75" customHeight="1">
      <c r="A2985" s="37" t="s">
        <v>1663</v>
      </c>
    </row>
    <row r="2986" ht="15.75" customHeight="1">
      <c r="A2986" s="301" t="s">
        <v>630</v>
      </c>
      <c r="B2986" s="301" t="s">
        <v>631</v>
      </c>
      <c r="C2986" s="301" t="s">
        <v>3</v>
      </c>
      <c r="D2986" s="301" t="s">
        <v>4</v>
      </c>
      <c r="E2986" s="301" t="s">
        <v>507</v>
      </c>
      <c r="F2986" s="301" t="s">
        <v>508</v>
      </c>
      <c r="G2986" s="301" t="s">
        <v>509</v>
      </c>
      <c r="H2986" s="301" t="s">
        <v>510</v>
      </c>
      <c r="I2986" s="301" t="s">
        <v>511</v>
      </c>
      <c r="J2986" s="301" t="s">
        <v>512</v>
      </c>
      <c r="K2986" s="301" t="s">
        <v>513</v>
      </c>
      <c r="L2986" s="301" t="s">
        <v>514</v>
      </c>
      <c r="M2986" s="301" t="s">
        <v>515</v>
      </c>
      <c r="N2986" s="301" t="s">
        <v>516</v>
      </c>
    </row>
    <row r="2987" ht="15.75" customHeight="1">
      <c r="A2987" s="276" t="s">
        <v>1661</v>
      </c>
      <c r="B2987" s="276" t="s">
        <v>633</v>
      </c>
      <c r="C2987" s="278">
        <f>SUM('2028'!B7:B9)+SUM('2028'!B18:B20)+C2241</f>
        <v>850.9</v>
      </c>
      <c r="D2987" s="278">
        <f>SUM('2028'!C7:C9)+SUM('2028'!C18:C20)+D2241</f>
        <v>683.24</v>
      </c>
      <c r="E2987" s="278">
        <f>SUM('2028'!D7:D9)+SUM('2028'!D18:D20)+E2241</f>
        <v>729.655</v>
      </c>
      <c r="F2987" s="278">
        <f>SUM('2028'!E7:E9)+SUM('2028'!E18:E20)+F2241</f>
        <v>729.655</v>
      </c>
      <c r="G2987" s="278">
        <f>SUM('2028'!F7:F9)+SUM('2028'!F18:F20)+G2241</f>
        <v>688.64</v>
      </c>
      <c r="H2987" s="278">
        <f>SUM('2028'!G7:G9)+SUM('2028'!G18:G20)+H2241</f>
        <v>644.025</v>
      </c>
      <c r="I2987" s="278">
        <f>SUM('2028'!H7:H9)+SUM('2028'!H18:H20)+I2241</f>
        <v>688.64</v>
      </c>
      <c r="J2987" s="278">
        <f>SUM('2028'!I7:I9)+SUM('2028'!I18:I20)+J2241</f>
        <v>688.64</v>
      </c>
      <c r="K2987" s="278">
        <f>SUM('2028'!J7:J9)+SUM('2028'!J18:J20)+K2241</f>
        <v>686.84</v>
      </c>
      <c r="L2987" s="278">
        <f>SUM('2028'!K7:K9)+SUM('2028'!K18:K20)+L2241</f>
        <v>642.225</v>
      </c>
      <c r="M2987" s="278">
        <f>SUM('2028'!L7:L9)+SUM('2028'!L18:L20)+M2241</f>
        <v>599.41</v>
      </c>
      <c r="N2987" s="278">
        <f>SUM('2028'!M7:M9)+SUM('2028'!M18:M20)+N2241</f>
        <v>931.13</v>
      </c>
    </row>
    <row r="2988" ht="15.75" customHeight="1">
      <c r="B2988" s="276" t="s">
        <v>634</v>
      </c>
      <c r="C2988" s="297">
        <f>C2987/Parametros!$B$37</f>
        <v>42.545</v>
      </c>
      <c r="D2988" s="297">
        <f>D2987/Parametros!$B$37</f>
        <v>34.162</v>
      </c>
      <c r="E2988" s="297">
        <f>E2987/Parametros!$B$37</f>
        <v>36.48275</v>
      </c>
      <c r="F2988" s="297">
        <f>F2987/Parametros!$B$37</f>
        <v>36.48275</v>
      </c>
      <c r="G2988" s="297">
        <f>G2987/Parametros!$B$37</f>
        <v>34.432</v>
      </c>
      <c r="H2988" s="297">
        <f>H2987/Parametros!$B$37</f>
        <v>32.20125</v>
      </c>
      <c r="I2988" s="297">
        <f>I2987/Parametros!$B$37</f>
        <v>34.432</v>
      </c>
      <c r="J2988" s="297">
        <f>J2987/Parametros!$B$37</f>
        <v>34.432</v>
      </c>
      <c r="K2988" s="297">
        <f>K2987/Parametros!$B$37</f>
        <v>34.342</v>
      </c>
      <c r="L2988" s="297">
        <f>L2987/Parametros!$B$37</f>
        <v>32.11125</v>
      </c>
      <c r="M2988" s="297">
        <f>M2987/Parametros!$B$37</f>
        <v>29.9705</v>
      </c>
      <c r="N2988" s="297">
        <f>N2987/Parametros!$B$37</f>
        <v>46.5565</v>
      </c>
    </row>
    <row r="2989" ht="15.75" customHeight="1">
      <c r="B2989" s="276" t="s">
        <v>635</v>
      </c>
      <c r="C2989" s="297">
        <f>C2988/Parametros!$J$37</f>
        <v>5.672666667</v>
      </c>
      <c r="D2989" s="297">
        <f>D2988/Parametros!$J$37</f>
        <v>4.554933333</v>
      </c>
      <c r="E2989" s="297">
        <f>E2988/Parametros!$J$37</f>
        <v>4.864366667</v>
      </c>
      <c r="F2989" s="297">
        <f>F2988/Parametros!$J$37</f>
        <v>4.864366667</v>
      </c>
      <c r="G2989" s="297">
        <f>G2988/Parametros!$J$37</f>
        <v>4.590933333</v>
      </c>
      <c r="H2989" s="297">
        <f>H2988/Parametros!$J$37</f>
        <v>4.2935</v>
      </c>
      <c r="I2989" s="297">
        <f>I2988/Parametros!$J$37</f>
        <v>4.590933333</v>
      </c>
      <c r="J2989" s="297">
        <f>J2988/Parametros!$J$37</f>
        <v>4.590933333</v>
      </c>
      <c r="K2989" s="297">
        <f>K2988/Parametros!$J$37</f>
        <v>4.578933333</v>
      </c>
      <c r="L2989" s="297">
        <f>L2988/Parametros!$J$37</f>
        <v>4.2815</v>
      </c>
      <c r="M2989" s="297">
        <f>M2988/Parametros!$J$37</f>
        <v>3.996066667</v>
      </c>
      <c r="N2989" s="297">
        <f>N2988/Parametros!$J$37</f>
        <v>6.207533333</v>
      </c>
    </row>
    <row r="2990" ht="15.75" customHeight="1">
      <c r="A2990" s="276" t="s">
        <v>636</v>
      </c>
      <c r="C2990" s="297">
        <f t="shared" ref="C2990:N2990" si="977">C2989</f>
        <v>5.672666667</v>
      </c>
      <c r="D2990" s="297">
        <f t="shared" si="977"/>
        <v>4.554933333</v>
      </c>
      <c r="E2990" s="297">
        <f t="shared" si="977"/>
        <v>4.864366667</v>
      </c>
      <c r="F2990" s="297">
        <f t="shared" si="977"/>
        <v>4.864366667</v>
      </c>
      <c r="G2990" s="297">
        <f t="shared" si="977"/>
        <v>4.590933333</v>
      </c>
      <c r="H2990" s="297">
        <f t="shared" si="977"/>
        <v>4.2935</v>
      </c>
      <c r="I2990" s="297">
        <f t="shared" si="977"/>
        <v>4.590933333</v>
      </c>
      <c r="J2990" s="297">
        <f t="shared" si="977"/>
        <v>4.590933333</v>
      </c>
      <c r="K2990" s="297">
        <f t="shared" si="977"/>
        <v>4.578933333</v>
      </c>
      <c r="L2990" s="297">
        <f t="shared" si="977"/>
        <v>4.2815</v>
      </c>
      <c r="M2990" s="297">
        <f t="shared" si="977"/>
        <v>3.996066667</v>
      </c>
      <c r="N2990" s="297">
        <f t="shared" si="977"/>
        <v>6.207533333</v>
      </c>
    </row>
    <row r="2991" ht="15.75" customHeight="1">
      <c r="A2991" s="276" t="s">
        <v>637</v>
      </c>
      <c r="C2991" s="297">
        <f>Parametros!$M$90</f>
        <v>124.3970468</v>
      </c>
      <c r="D2991" s="297">
        <f>Parametros!$M$90</f>
        <v>124.3970468</v>
      </c>
      <c r="E2991" s="297">
        <f>Parametros!$M$90</f>
        <v>124.3970468</v>
      </c>
      <c r="F2991" s="297">
        <f>Parametros!$M$90</f>
        <v>124.3970468</v>
      </c>
      <c r="G2991" s="297">
        <f>Parametros!$M$90</f>
        <v>124.3970468</v>
      </c>
      <c r="H2991" s="297">
        <f>Parametros!$M$90</f>
        <v>124.3970468</v>
      </c>
      <c r="I2991" s="297">
        <f>Parametros!$M$90</f>
        <v>124.3970468</v>
      </c>
      <c r="J2991" s="297">
        <f>Parametros!$M$90</f>
        <v>124.3970468</v>
      </c>
      <c r="K2991" s="297">
        <f>Parametros!$M$90</f>
        <v>124.3970468</v>
      </c>
      <c r="L2991" s="297">
        <f>Parametros!$M$90</f>
        <v>124.3970468</v>
      </c>
      <c r="M2991" s="297">
        <f>Parametros!$M$90</f>
        <v>124.3970468</v>
      </c>
      <c r="N2991" s="297">
        <f>Parametros!$M$90</f>
        <v>124.3970468</v>
      </c>
    </row>
    <row r="2992" ht="15.75" customHeight="1">
      <c r="A2992" s="276" t="s">
        <v>640</v>
      </c>
      <c r="C2992" s="278">
        <f>'Resumen Capacidad'!$D$235</f>
        <v>1</v>
      </c>
      <c r="D2992" s="278">
        <f>'Resumen Capacidad'!$D$235</f>
        <v>1</v>
      </c>
      <c r="E2992" s="278">
        <f>'Resumen Capacidad'!$D$235</f>
        <v>1</v>
      </c>
      <c r="F2992" s="278">
        <f>'Resumen Capacidad'!$D$235</f>
        <v>1</v>
      </c>
      <c r="G2992" s="278">
        <f>'Resumen Capacidad'!$D$235</f>
        <v>1</v>
      </c>
      <c r="H2992" s="278">
        <f>'Resumen Capacidad'!$D$235</f>
        <v>1</v>
      </c>
      <c r="I2992" s="278">
        <f>'Resumen Capacidad'!$D$235</f>
        <v>1</v>
      </c>
      <c r="J2992" s="278">
        <f>'Resumen Capacidad'!$D$235</f>
        <v>1</v>
      </c>
      <c r="K2992" s="278">
        <f>'Resumen Capacidad'!$D$235</f>
        <v>1</v>
      </c>
      <c r="L2992" s="278">
        <f>'Resumen Capacidad'!$D$235</f>
        <v>1</v>
      </c>
      <c r="M2992" s="278">
        <f>'Resumen Capacidad'!$D$235</f>
        <v>1</v>
      </c>
      <c r="N2992" s="278">
        <f>'Resumen Capacidad'!$D$235</f>
        <v>1</v>
      </c>
    </row>
    <row r="2993" ht="15.75" customHeight="1">
      <c r="A2993" s="276" t="s">
        <v>642</v>
      </c>
      <c r="C2993" s="278">
        <f t="shared" ref="C2993:N2993" si="978">C2991*C2992</f>
        <v>124.3970468</v>
      </c>
      <c r="D2993" s="278">
        <f t="shared" si="978"/>
        <v>124.3970468</v>
      </c>
      <c r="E2993" s="278">
        <f t="shared" si="978"/>
        <v>124.3970468</v>
      </c>
      <c r="F2993" s="278">
        <f t="shared" si="978"/>
        <v>124.3970468</v>
      </c>
      <c r="G2993" s="278">
        <f t="shared" si="978"/>
        <v>124.3970468</v>
      </c>
      <c r="H2993" s="278">
        <f t="shared" si="978"/>
        <v>124.3970468</v>
      </c>
      <c r="I2993" s="278">
        <f t="shared" si="978"/>
        <v>124.3970468</v>
      </c>
      <c r="J2993" s="278">
        <f t="shared" si="978"/>
        <v>124.3970468</v>
      </c>
      <c r="K2993" s="278">
        <f t="shared" si="978"/>
        <v>124.3970468</v>
      </c>
      <c r="L2993" s="278">
        <f t="shared" si="978"/>
        <v>124.3970468</v>
      </c>
      <c r="M2993" s="278">
        <f t="shared" si="978"/>
        <v>124.3970468</v>
      </c>
      <c r="N2993" s="278">
        <f t="shared" si="978"/>
        <v>124.3970468</v>
      </c>
    </row>
    <row r="2994" ht="15.75" customHeight="1">
      <c r="A2994" s="276" t="s">
        <v>643</v>
      </c>
      <c r="C2994" s="295">
        <f t="shared" ref="C2994:N2994" si="979">IF(C2993=0,0,C2990/C2993)</f>
        <v>0.04560129693</v>
      </c>
      <c r="D2994" s="295">
        <f t="shared" si="979"/>
        <v>0.03661608898</v>
      </c>
      <c r="E2994" s="295">
        <f t="shared" si="979"/>
        <v>0.03910355425</v>
      </c>
      <c r="F2994" s="295">
        <f t="shared" si="979"/>
        <v>0.03910355425</v>
      </c>
      <c r="G2994" s="295">
        <f t="shared" si="979"/>
        <v>0.03690548492</v>
      </c>
      <c r="H2994" s="295">
        <f t="shared" si="979"/>
        <v>0.03451448496</v>
      </c>
      <c r="I2994" s="295">
        <f t="shared" si="979"/>
        <v>0.03690548492</v>
      </c>
      <c r="J2994" s="295">
        <f t="shared" si="979"/>
        <v>0.03690548492</v>
      </c>
      <c r="K2994" s="295">
        <f t="shared" si="979"/>
        <v>0.03680901961</v>
      </c>
      <c r="L2994" s="295">
        <f t="shared" si="979"/>
        <v>0.03441801965</v>
      </c>
      <c r="M2994" s="295">
        <f t="shared" si="979"/>
        <v>0.03212348501</v>
      </c>
      <c r="N2994" s="295">
        <f t="shared" si="979"/>
        <v>0.04990097028</v>
      </c>
    </row>
    <row r="2995" ht="15.75" customHeight="1"/>
    <row r="2996" ht="15.75" customHeight="1">
      <c r="A2996" s="37" t="s">
        <v>1664</v>
      </c>
    </row>
    <row r="2997" ht="15.75" customHeight="1">
      <c r="A2997" s="301" t="s">
        <v>630</v>
      </c>
      <c r="B2997" s="301" t="s">
        <v>631</v>
      </c>
      <c r="C2997" s="301" t="s">
        <v>3</v>
      </c>
      <c r="D2997" s="301" t="s">
        <v>4</v>
      </c>
      <c r="E2997" s="301" t="s">
        <v>507</v>
      </c>
      <c r="F2997" s="301" t="s">
        <v>508</v>
      </c>
      <c r="G2997" s="301" t="s">
        <v>509</v>
      </c>
      <c r="H2997" s="301" t="s">
        <v>510</v>
      </c>
      <c r="I2997" s="301" t="s">
        <v>511</v>
      </c>
      <c r="J2997" s="301" t="s">
        <v>512</v>
      </c>
      <c r="K2997" s="301" t="s">
        <v>513</v>
      </c>
      <c r="L2997" s="301" t="s">
        <v>514</v>
      </c>
      <c r="M2997" s="301" t="s">
        <v>515</v>
      </c>
      <c r="N2997" s="301" t="s">
        <v>516</v>
      </c>
    </row>
    <row r="2998" ht="15.75" customHeight="1">
      <c r="A2998" s="276" t="s">
        <v>1661</v>
      </c>
      <c r="B2998" s="276" t="s">
        <v>633</v>
      </c>
      <c r="C2998" s="278">
        <f>SUM('2029'!B7:B9)+SUM('2029'!B18:B20)+C2332</f>
        <v>1570.555</v>
      </c>
      <c r="D2998" s="278">
        <f>SUM('2029'!C7:C9)+SUM('2029'!C18:C20)+D2332</f>
        <v>1260.665</v>
      </c>
      <c r="E2998" s="278">
        <f>SUM('2029'!D7:D9)+SUM('2029'!D18:D20)+E2332</f>
        <v>1345.675</v>
      </c>
      <c r="F2998" s="278">
        <f>SUM('2029'!E7:E9)+SUM('2029'!E18:E20)+F2332</f>
        <v>1345.675</v>
      </c>
      <c r="G2998" s="278">
        <f>SUM('2029'!F7:F9)+SUM('2029'!F18:F20)+G2332</f>
        <v>1269.71</v>
      </c>
      <c r="H2998" s="278">
        <f>SUM('2029'!G7:G9)+SUM('2029'!G18:G20)+H2332</f>
        <v>1187.715</v>
      </c>
      <c r="I2998" s="278">
        <f>SUM('2029'!H7:H9)+SUM('2029'!H18:H20)+I2332</f>
        <v>1269.71</v>
      </c>
      <c r="J2998" s="278">
        <f>SUM('2029'!I7:I9)+SUM('2029'!I18:I20)+J2332</f>
        <v>1269.71</v>
      </c>
      <c r="K2998" s="278">
        <f>SUM('2029'!J7:J9)+SUM('2029'!J18:J20)+K2332</f>
        <v>1266.695</v>
      </c>
      <c r="L2998" s="278">
        <f>SUM('2029'!K7:K9)+SUM('2029'!K18:K20)+L2332</f>
        <v>1184.7</v>
      </c>
      <c r="M2998" s="278">
        <f>SUM('2029'!L7:L9)+SUM('2029'!L18:L20)+M2332</f>
        <v>1105.72</v>
      </c>
      <c r="N2998" s="278">
        <f>SUM('2029'!M7:M9)+SUM('2029'!M18:M20)+N2332</f>
        <v>1719.47</v>
      </c>
    </row>
    <row r="2999" ht="15.75" customHeight="1">
      <c r="B2999" s="276" t="s">
        <v>634</v>
      </c>
      <c r="C2999" s="297">
        <f>C2998/Parametros!$B$37</f>
        <v>78.52775</v>
      </c>
      <c r="D2999" s="297">
        <f>D2998/Parametros!$B$37</f>
        <v>63.03325</v>
      </c>
      <c r="E2999" s="297">
        <f>E2998/Parametros!$B$37</f>
        <v>67.28375</v>
      </c>
      <c r="F2999" s="297">
        <f>F2998/Parametros!$B$37</f>
        <v>67.28375</v>
      </c>
      <c r="G2999" s="297">
        <f>G2998/Parametros!$B$37</f>
        <v>63.4855</v>
      </c>
      <c r="H2999" s="297">
        <f>H2998/Parametros!$B$37</f>
        <v>59.38575</v>
      </c>
      <c r="I2999" s="297">
        <f>I2998/Parametros!$B$37</f>
        <v>63.4855</v>
      </c>
      <c r="J2999" s="297">
        <f>J2998/Parametros!$B$37</f>
        <v>63.4855</v>
      </c>
      <c r="K2999" s="297">
        <f>K2998/Parametros!$B$37</f>
        <v>63.33475</v>
      </c>
      <c r="L2999" s="297">
        <f>L2998/Parametros!$B$37</f>
        <v>59.235</v>
      </c>
      <c r="M2999" s="297">
        <f>M2998/Parametros!$B$37</f>
        <v>55.286</v>
      </c>
      <c r="N2999" s="297">
        <f>N2998/Parametros!$B$37</f>
        <v>85.9735</v>
      </c>
    </row>
    <row r="3000" ht="15.75" customHeight="1">
      <c r="B3000" s="276" t="s">
        <v>635</v>
      </c>
      <c r="C3000" s="297">
        <f>C2999/Parametros!$J$37</f>
        <v>10.47036667</v>
      </c>
      <c r="D3000" s="297">
        <f>D2999/Parametros!$J$37</f>
        <v>8.404433333</v>
      </c>
      <c r="E3000" s="297">
        <f>E2999/Parametros!$J$37</f>
        <v>8.971166667</v>
      </c>
      <c r="F3000" s="297">
        <f>F2999/Parametros!$J$37</f>
        <v>8.971166667</v>
      </c>
      <c r="G3000" s="297">
        <f>G2999/Parametros!$J$37</f>
        <v>8.464733333</v>
      </c>
      <c r="H3000" s="297">
        <f>H2999/Parametros!$J$37</f>
        <v>7.9181</v>
      </c>
      <c r="I3000" s="297">
        <f>I2999/Parametros!$J$37</f>
        <v>8.464733333</v>
      </c>
      <c r="J3000" s="297">
        <f>J2999/Parametros!$J$37</f>
        <v>8.464733333</v>
      </c>
      <c r="K3000" s="297">
        <f>K2999/Parametros!$J$37</f>
        <v>8.444633333</v>
      </c>
      <c r="L3000" s="297">
        <f>L2999/Parametros!$J$37</f>
        <v>7.898</v>
      </c>
      <c r="M3000" s="297">
        <f>M2999/Parametros!$J$37</f>
        <v>7.371466667</v>
      </c>
      <c r="N3000" s="297">
        <f>N2999/Parametros!$J$37</f>
        <v>11.46313333</v>
      </c>
    </row>
    <row r="3001" ht="15.75" customHeight="1">
      <c r="A3001" s="276" t="s">
        <v>636</v>
      </c>
      <c r="C3001" s="297">
        <f t="shared" ref="C3001:N3001" si="980">C3000</f>
        <v>10.47036667</v>
      </c>
      <c r="D3001" s="297">
        <f t="shared" si="980"/>
        <v>8.404433333</v>
      </c>
      <c r="E3001" s="297">
        <f t="shared" si="980"/>
        <v>8.971166667</v>
      </c>
      <c r="F3001" s="297">
        <f t="shared" si="980"/>
        <v>8.971166667</v>
      </c>
      <c r="G3001" s="297">
        <f t="shared" si="980"/>
        <v>8.464733333</v>
      </c>
      <c r="H3001" s="297">
        <f t="shared" si="980"/>
        <v>7.9181</v>
      </c>
      <c r="I3001" s="297">
        <f t="shared" si="980"/>
        <v>8.464733333</v>
      </c>
      <c r="J3001" s="297">
        <f t="shared" si="980"/>
        <v>8.464733333</v>
      </c>
      <c r="K3001" s="297">
        <f t="shared" si="980"/>
        <v>8.444633333</v>
      </c>
      <c r="L3001" s="297">
        <f t="shared" si="980"/>
        <v>7.898</v>
      </c>
      <c r="M3001" s="297">
        <f t="shared" si="980"/>
        <v>7.371466667</v>
      </c>
      <c r="N3001" s="297">
        <f t="shared" si="980"/>
        <v>11.46313333</v>
      </c>
    </row>
    <row r="3002" ht="15.75" customHeight="1">
      <c r="A3002" s="276" t="s">
        <v>637</v>
      </c>
      <c r="C3002" s="297">
        <f>Parametros!$M$90</f>
        <v>124.3970468</v>
      </c>
      <c r="D3002" s="297">
        <f>Parametros!$M$90</f>
        <v>124.3970468</v>
      </c>
      <c r="E3002" s="297">
        <f>Parametros!$M$90</f>
        <v>124.3970468</v>
      </c>
      <c r="F3002" s="297">
        <f>Parametros!$M$90</f>
        <v>124.3970468</v>
      </c>
      <c r="G3002" s="297">
        <f>Parametros!$M$90</f>
        <v>124.3970468</v>
      </c>
      <c r="H3002" s="297">
        <f>Parametros!$M$90</f>
        <v>124.3970468</v>
      </c>
      <c r="I3002" s="297">
        <f>Parametros!$M$90</f>
        <v>124.3970468</v>
      </c>
      <c r="J3002" s="297">
        <f>Parametros!$M$90</f>
        <v>124.3970468</v>
      </c>
      <c r="K3002" s="297">
        <f>Parametros!$M$90</f>
        <v>124.3970468</v>
      </c>
      <c r="L3002" s="297">
        <f>Parametros!$M$90</f>
        <v>124.3970468</v>
      </c>
      <c r="M3002" s="297">
        <f>Parametros!$M$90</f>
        <v>124.3970468</v>
      </c>
      <c r="N3002" s="297">
        <f>Parametros!$M$90</f>
        <v>124.3970468</v>
      </c>
    </row>
    <row r="3003" ht="15.75" customHeight="1">
      <c r="A3003" s="276" t="s">
        <v>640</v>
      </c>
      <c r="C3003" s="278">
        <f>'Resumen Capacidad'!$E$235</f>
        <v>1</v>
      </c>
      <c r="D3003" s="278">
        <f>'Resumen Capacidad'!$E$235</f>
        <v>1</v>
      </c>
      <c r="E3003" s="278">
        <f>'Resumen Capacidad'!$E$235</f>
        <v>1</v>
      </c>
      <c r="F3003" s="278">
        <f>'Resumen Capacidad'!$E$235</f>
        <v>1</v>
      </c>
      <c r="G3003" s="278">
        <f>'Resumen Capacidad'!$E$235</f>
        <v>1</v>
      </c>
      <c r="H3003" s="278">
        <f>'Resumen Capacidad'!$E$235</f>
        <v>1</v>
      </c>
      <c r="I3003" s="278">
        <f>'Resumen Capacidad'!$E$235</f>
        <v>1</v>
      </c>
      <c r="J3003" s="278">
        <f>'Resumen Capacidad'!$E$235</f>
        <v>1</v>
      </c>
      <c r="K3003" s="278">
        <f>'Resumen Capacidad'!$E$235</f>
        <v>1</v>
      </c>
      <c r="L3003" s="278">
        <f>'Resumen Capacidad'!$E$235</f>
        <v>1</v>
      </c>
      <c r="M3003" s="278">
        <f>'Resumen Capacidad'!$E$235</f>
        <v>1</v>
      </c>
      <c r="N3003" s="278">
        <f>'Resumen Capacidad'!$E$235</f>
        <v>1</v>
      </c>
    </row>
    <row r="3004" ht="15.75" customHeight="1">
      <c r="A3004" s="276" t="s">
        <v>642</v>
      </c>
      <c r="C3004" s="278">
        <f t="shared" ref="C3004:N3004" si="981">C3002*C3003</f>
        <v>124.3970468</v>
      </c>
      <c r="D3004" s="278">
        <f t="shared" si="981"/>
        <v>124.3970468</v>
      </c>
      <c r="E3004" s="278">
        <f t="shared" si="981"/>
        <v>124.3970468</v>
      </c>
      <c r="F3004" s="278">
        <f t="shared" si="981"/>
        <v>124.3970468</v>
      </c>
      <c r="G3004" s="278">
        <f t="shared" si="981"/>
        <v>124.3970468</v>
      </c>
      <c r="H3004" s="278">
        <f t="shared" si="981"/>
        <v>124.3970468</v>
      </c>
      <c r="I3004" s="278">
        <f t="shared" si="981"/>
        <v>124.3970468</v>
      </c>
      <c r="J3004" s="278">
        <f t="shared" si="981"/>
        <v>124.3970468</v>
      </c>
      <c r="K3004" s="278">
        <f t="shared" si="981"/>
        <v>124.3970468</v>
      </c>
      <c r="L3004" s="278">
        <f t="shared" si="981"/>
        <v>124.3970468</v>
      </c>
      <c r="M3004" s="278">
        <f t="shared" si="981"/>
        <v>124.3970468</v>
      </c>
      <c r="N3004" s="278">
        <f t="shared" si="981"/>
        <v>124.3970468</v>
      </c>
    </row>
    <row r="3005" ht="15.75" customHeight="1">
      <c r="A3005" s="276" t="s">
        <v>643</v>
      </c>
      <c r="C3005" s="295">
        <f t="shared" ref="C3005:N3005" si="982">IF(C3004=0,0,C3001/C3004)</f>
        <v>0.08416893278</v>
      </c>
      <c r="D3005" s="295">
        <f t="shared" si="982"/>
        <v>0.06756135738</v>
      </c>
      <c r="E3005" s="295">
        <f t="shared" si="982"/>
        <v>0.07211719973</v>
      </c>
      <c r="F3005" s="295">
        <f t="shared" si="982"/>
        <v>0.07211719973</v>
      </c>
      <c r="G3005" s="295">
        <f t="shared" si="982"/>
        <v>0.06804609558</v>
      </c>
      <c r="H3005" s="295">
        <f t="shared" si="982"/>
        <v>0.06365183263</v>
      </c>
      <c r="I3005" s="295">
        <f t="shared" si="982"/>
        <v>0.06804609558</v>
      </c>
      <c r="J3005" s="295">
        <f t="shared" si="982"/>
        <v>0.06804609558</v>
      </c>
      <c r="K3005" s="295">
        <f t="shared" si="982"/>
        <v>0.06788451618</v>
      </c>
      <c r="L3005" s="295">
        <f t="shared" si="982"/>
        <v>0.06349025323</v>
      </c>
      <c r="M3005" s="295">
        <f t="shared" si="982"/>
        <v>0.05925756968</v>
      </c>
      <c r="N3005" s="295">
        <f t="shared" si="982"/>
        <v>0.09214956168</v>
      </c>
    </row>
    <row r="3006" ht="15.75" customHeight="1"/>
    <row r="3007" ht="15.75" customHeight="1">
      <c r="A3007" s="37" t="s">
        <v>1665</v>
      </c>
    </row>
    <row r="3008" ht="15.75" customHeight="1">
      <c r="A3008" s="301" t="s">
        <v>630</v>
      </c>
      <c r="B3008" s="301" t="s">
        <v>631</v>
      </c>
      <c r="C3008" s="301" t="s">
        <v>3</v>
      </c>
      <c r="D3008" s="301" t="s">
        <v>4</v>
      </c>
      <c r="E3008" s="301" t="s">
        <v>507</v>
      </c>
      <c r="F3008" s="301" t="s">
        <v>508</v>
      </c>
      <c r="G3008" s="301" t="s">
        <v>509</v>
      </c>
      <c r="H3008" s="301" t="s">
        <v>510</v>
      </c>
      <c r="I3008" s="301" t="s">
        <v>511</v>
      </c>
      <c r="J3008" s="301" t="s">
        <v>512</v>
      </c>
      <c r="K3008" s="301" t="s">
        <v>513</v>
      </c>
      <c r="L3008" s="301" t="s">
        <v>514</v>
      </c>
      <c r="M3008" s="301" t="s">
        <v>515</v>
      </c>
      <c r="N3008" s="301" t="s">
        <v>516</v>
      </c>
    </row>
    <row r="3009" ht="15.75" customHeight="1">
      <c r="A3009" s="276" t="s">
        <v>1661</v>
      </c>
      <c r="B3009" s="276" t="s">
        <v>633</v>
      </c>
      <c r="C3009" s="278">
        <f>SUM('2030'!B7:B9)+SUM('2030'!B18:B20)+C2423</f>
        <v>2663.76</v>
      </c>
      <c r="D3009" s="278">
        <f>SUM('2030'!C7:C9)+SUM('2030'!C18:C20)+D2423</f>
        <v>2137.98</v>
      </c>
      <c r="E3009" s="278">
        <f>SUM('2030'!D7:D9)+SUM('2030'!D18:D20)+E2423</f>
        <v>2281.875</v>
      </c>
      <c r="F3009" s="278">
        <f>SUM('2030'!E7:E9)+SUM('2030'!E18:E20)+F2423</f>
        <v>2281.875</v>
      </c>
      <c r="G3009" s="278">
        <f>SUM('2030'!F7:F9)+SUM('2030'!F18:F20)+G2423</f>
        <v>2152.92</v>
      </c>
      <c r="H3009" s="278">
        <f>SUM('2030'!G7:G9)+SUM('2030'!G18:G20)+H2423</f>
        <v>2014.005</v>
      </c>
      <c r="I3009" s="278">
        <f>SUM('2030'!H7:H9)+SUM('2030'!H18:H20)+I2423</f>
        <v>2152.92</v>
      </c>
      <c r="J3009" s="278">
        <f>SUM('2030'!I7:I9)+SUM('2030'!I18:I20)+J2423</f>
        <v>2152.92</v>
      </c>
      <c r="K3009" s="278">
        <f>SUM('2030'!J7:J9)+SUM('2030'!J18:J20)+K2423</f>
        <v>2147.94</v>
      </c>
      <c r="L3009" s="278">
        <f>SUM('2030'!K7:K9)+SUM('2030'!K18:K20)+L2423</f>
        <v>2009.025</v>
      </c>
      <c r="M3009" s="278">
        <f>SUM('2030'!L7:L9)+SUM('2030'!L18:L20)+M2423</f>
        <v>1875.09</v>
      </c>
      <c r="N3009" s="278">
        <f>SUM('2030'!M7:M9)+SUM('2030'!M18:M20)+N2423</f>
        <v>2916.69</v>
      </c>
    </row>
    <row r="3010" ht="15.75" customHeight="1">
      <c r="B3010" s="276" t="s">
        <v>634</v>
      </c>
      <c r="C3010" s="297">
        <f>C3009/Parametros!$B$37</f>
        <v>133.188</v>
      </c>
      <c r="D3010" s="297">
        <f>D3009/Parametros!$B$37</f>
        <v>106.899</v>
      </c>
      <c r="E3010" s="297">
        <f>E3009/Parametros!$B$37</f>
        <v>114.09375</v>
      </c>
      <c r="F3010" s="297">
        <f>F3009/Parametros!$B$37</f>
        <v>114.09375</v>
      </c>
      <c r="G3010" s="297">
        <f>G3009/Parametros!$B$37</f>
        <v>107.646</v>
      </c>
      <c r="H3010" s="297">
        <f>H3009/Parametros!$B$37</f>
        <v>100.70025</v>
      </c>
      <c r="I3010" s="297">
        <f>I3009/Parametros!$B$37</f>
        <v>107.646</v>
      </c>
      <c r="J3010" s="297">
        <f>J3009/Parametros!$B$37</f>
        <v>107.646</v>
      </c>
      <c r="K3010" s="297">
        <f>K3009/Parametros!$B$37</f>
        <v>107.397</v>
      </c>
      <c r="L3010" s="297">
        <f>L3009/Parametros!$B$37</f>
        <v>100.45125</v>
      </c>
      <c r="M3010" s="297">
        <f>M3009/Parametros!$B$37</f>
        <v>93.7545</v>
      </c>
      <c r="N3010" s="297">
        <f>N3009/Parametros!$B$37</f>
        <v>145.8345</v>
      </c>
    </row>
    <row r="3011" ht="15.75" customHeight="1">
      <c r="B3011" s="276" t="s">
        <v>635</v>
      </c>
      <c r="C3011" s="297">
        <f>C3010/Parametros!$J$37</f>
        <v>17.7584</v>
      </c>
      <c r="D3011" s="297">
        <f>D3010/Parametros!$J$37</f>
        <v>14.2532</v>
      </c>
      <c r="E3011" s="297">
        <f>E3010/Parametros!$J$37</f>
        <v>15.2125</v>
      </c>
      <c r="F3011" s="297">
        <f>F3010/Parametros!$J$37</f>
        <v>15.2125</v>
      </c>
      <c r="G3011" s="297">
        <f>G3010/Parametros!$J$37</f>
        <v>14.3528</v>
      </c>
      <c r="H3011" s="297">
        <f>H3010/Parametros!$J$37</f>
        <v>13.4267</v>
      </c>
      <c r="I3011" s="297">
        <f>I3010/Parametros!$J$37</f>
        <v>14.3528</v>
      </c>
      <c r="J3011" s="297">
        <f>J3010/Parametros!$J$37</f>
        <v>14.3528</v>
      </c>
      <c r="K3011" s="297">
        <f>K3010/Parametros!$J$37</f>
        <v>14.3196</v>
      </c>
      <c r="L3011" s="297">
        <f>L3010/Parametros!$J$37</f>
        <v>13.3935</v>
      </c>
      <c r="M3011" s="297">
        <f>M3010/Parametros!$J$37</f>
        <v>12.5006</v>
      </c>
      <c r="N3011" s="297">
        <f>N3010/Parametros!$J$37</f>
        <v>19.4446</v>
      </c>
    </row>
    <row r="3012" ht="15.75" customHeight="1">
      <c r="A3012" s="276" t="s">
        <v>636</v>
      </c>
      <c r="C3012" s="297">
        <f t="shared" ref="C3012:N3012" si="983">C3011</f>
        <v>17.7584</v>
      </c>
      <c r="D3012" s="297">
        <f t="shared" si="983"/>
        <v>14.2532</v>
      </c>
      <c r="E3012" s="297">
        <f t="shared" si="983"/>
        <v>15.2125</v>
      </c>
      <c r="F3012" s="297">
        <f t="shared" si="983"/>
        <v>15.2125</v>
      </c>
      <c r="G3012" s="297">
        <f t="shared" si="983"/>
        <v>14.3528</v>
      </c>
      <c r="H3012" s="297">
        <f t="shared" si="983"/>
        <v>13.4267</v>
      </c>
      <c r="I3012" s="297">
        <f t="shared" si="983"/>
        <v>14.3528</v>
      </c>
      <c r="J3012" s="297">
        <f t="shared" si="983"/>
        <v>14.3528</v>
      </c>
      <c r="K3012" s="297">
        <f t="shared" si="983"/>
        <v>14.3196</v>
      </c>
      <c r="L3012" s="297">
        <f t="shared" si="983"/>
        <v>13.3935</v>
      </c>
      <c r="M3012" s="297">
        <f t="shared" si="983"/>
        <v>12.5006</v>
      </c>
      <c r="N3012" s="297">
        <f t="shared" si="983"/>
        <v>19.4446</v>
      </c>
    </row>
    <row r="3013" ht="15.75" customHeight="1">
      <c r="A3013" s="276" t="s">
        <v>637</v>
      </c>
      <c r="C3013" s="297">
        <f>Parametros!$M$90</f>
        <v>124.3970468</v>
      </c>
      <c r="D3013" s="297">
        <f>Parametros!$M$90</f>
        <v>124.3970468</v>
      </c>
      <c r="E3013" s="297">
        <f>Parametros!$M$90</f>
        <v>124.3970468</v>
      </c>
      <c r="F3013" s="297">
        <f>Parametros!$M$90</f>
        <v>124.3970468</v>
      </c>
      <c r="G3013" s="297">
        <f>Parametros!$M$90</f>
        <v>124.3970468</v>
      </c>
      <c r="H3013" s="297">
        <f>Parametros!$M$90</f>
        <v>124.3970468</v>
      </c>
      <c r="I3013" s="297">
        <f>Parametros!$M$90</f>
        <v>124.3970468</v>
      </c>
      <c r="J3013" s="297">
        <f>Parametros!$M$90</f>
        <v>124.3970468</v>
      </c>
      <c r="K3013" s="297">
        <f>Parametros!$M$90</f>
        <v>124.3970468</v>
      </c>
      <c r="L3013" s="297">
        <f>Parametros!$M$90</f>
        <v>124.3970468</v>
      </c>
      <c r="M3013" s="297">
        <f>Parametros!$M$90</f>
        <v>124.3970468</v>
      </c>
      <c r="N3013" s="297">
        <f>Parametros!$M$90</f>
        <v>124.3970468</v>
      </c>
    </row>
    <row r="3014" ht="15.75" customHeight="1">
      <c r="A3014" s="276" t="s">
        <v>640</v>
      </c>
      <c r="C3014" s="278">
        <f>'Resumen Capacidad'!$F$235</f>
        <v>1</v>
      </c>
      <c r="D3014" s="278">
        <f>'Resumen Capacidad'!$F$235</f>
        <v>1</v>
      </c>
      <c r="E3014" s="278">
        <f>'Resumen Capacidad'!$F$235</f>
        <v>1</v>
      </c>
      <c r="F3014" s="278">
        <f>'Resumen Capacidad'!$F$235</f>
        <v>1</v>
      </c>
      <c r="G3014" s="278">
        <f>'Resumen Capacidad'!$F$235</f>
        <v>1</v>
      </c>
      <c r="H3014" s="278">
        <f>'Resumen Capacidad'!$F$235</f>
        <v>1</v>
      </c>
      <c r="I3014" s="278">
        <f>'Resumen Capacidad'!$F$235</f>
        <v>1</v>
      </c>
      <c r="J3014" s="278">
        <f>'Resumen Capacidad'!$F$235</f>
        <v>1</v>
      </c>
      <c r="K3014" s="278">
        <f>'Resumen Capacidad'!$F$235</f>
        <v>1</v>
      </c>
      <c r="L3014" s="278">
        <f>'Resumen Capacidad'!$F$235</f>
        <v>1</v>
      </c>
      <c r="M3014" s="278">
        <f>'Resumen Capacidad'!$F$235</f>
        <v>1</v>
      </c>
      <c r="N3014" s="278">
        <f>'Resumen Capacidad'!$F$235</f>
        <v>1</v>
      </c>
    </row>
    <row r="3015" ht="15.75" customHeight="1">
      <c r="A3015" s="276" t="s">
        <v>642</v>
      </c>
      <c r="C3015" s="278">
        <f t="shared" ref="C3015:N3015" si="984">C3013*C3014</f>
        <v>124.3970468</v>
      </c>
      <c r="D3015" s="278">
        <f t="shared" si="984"/>
        <v>124.3970468</v>
      </c>
      <c r="E3015" s="278">
        <f t="shared" si="984"/>
        <v>124.3970468</v>
      </c>
      <c r="F3015" s="278">
        <f t="shared" si="984"/>
        <v>124.3970468</v>
      </c>
      <c r="G3015" s="278">
        <f t="shared" si="984"/>
        <v>124.3970468</v>
      </c>
      <c r="H3015" s="278">
        <f t="shared" si="984"/>
        <v>124.3970468</v>
      </c>
      <c r="I3015" s="278">
        <f t="shared" si="984"/>
        <v>124.3970468</v>
      </c>
      <c r="J3015" s="278">
        <f t="shared" si="984"/>
        <v>124.3970468</v>
      </c>
      <c r="K3015" s="278">
        <f t="shared" si="984"/>
        <v>124.3970468</v>
      </c>
      <c r="L3015" s="278">
        <f t="shared" si="984"/>
        <v>124.3970468</v>
      </c>
      <c r="M3015" s="278">
        <f t="shared" si="984"/>
        <v>124.3970468</v>
      </c>
      <c r="N3015" s="278">
        <f t="shared" si="984"/>
        <v>124.3970468</v>
      </c>
    </row>
    <row r="3016" ht="15.75" customHeight="1">
      <c r="A3016" s="276" t="s">
        <v>643</v>
      </c>
      <c r="C3016" s="295">
        <f t="shared" ref="C3016:N3016" si="985">IF(C3015=0,0,C3012/C3015)</f>
        <v>0.1427558006</v>
      </c>
      <c r="D3016" s="295">
        <f t="shared" si="985"/>
        <v>0.1145782828</v>
      </c>
      <c r="E3016" s="295">
        <f t="shared" si="985"/>
        <v>0.1222898806</v>
      </c>
      <c r="F3016" s="295">
        <f t="shared" si="985"/>
        <v>0.1222898806</v>
      </c>
      <c r="G3016" s="295">
        <f t="shared" si="985"/>
        <v>0.1153789449</v>
      </c>
      <c r="H3016" s="295">
        <f t="shared" si="985"/>
        <v>0.1079342344</v>
      </c>
      <c r="I3016" s="295">
        <f t="shared" si="985"/>
        <v>0.1153789449</v>
      </c>
      <c r="J3016" s="295">
        <f t="shared" si="985"/>
        <v>0.1153789449</v>
      </c>
      <c r="K3016" s="295">
        <f t="shared" si="985"/>
        <v>0.1151120575</v>
      </c>
      <c r="L3016" s="295">
        <f t="shared" si="985"/>
        <v>0.107667347</v>
      </c>
      <c r="M3016" s="295">
        <f t="shared" si="985"/>
        <v>0.1004895239</v>
      </c>
      <c r="N3016" s="295">
        <f t="shared" si="985"/>
        <v>0.1563107848</v>
      </c>
    </row>
    <row r="3017" ht="15.75" customHeight="1"/>
    <row r="3018" ht="15.75" customHeight="1">
      <c r="A3018" s="37" t="s">
        <v>1666</v>
      </c>
    </row>
    <row r="3019" ht="15.75" customHeight="1">
      <c r="A3019" s="301" t="s">
        <v>630</v>
      </c>
      <c r="B3019" s="301" t="s">
        <v>631</v>
      </c>
      <c r="C3019" s="301" t="s">
        <v>3</v>
      </c>
      <c r="D3019" s="301" t="s">
        <v>4</v>
      </c>
      <c r="E3019" s="301" t="s">
        <v>507</v>
      </c>
      <c r="F3019" s="301" t="s">
        <v>508</v>
      </c>
      <c r="G3019" s="301" t="s">
        <v>509</v>
      </c>
      <c r="H3019" s="301" t="s">
        <v>510</v>
      </c>
      <c r="I3019" s="301" t="s">
        <v>511</v>
      </c>
      <c r="J3019" s="301" t="s">
        <v>512</v>
      </c>
      <c r="K3019" s="301" t="s">
        <v>513</v>
      </c>
      <c r="L3019" s="301" t="s">
        <v>514</v>
      </c>
      <c r="M3019" s="301" t="s">
        <v>515</v>
      </c>
      <c r="N3019" s="301" t="s">
        <v>516</v>
      </c>
    </row>
    <row r="3020" ht="15.75" customHeight="1">
      <c r="A3020" s="276" t="s">
        <v>1661</v>
      </c>
      <c r="B3020" s="276" t="s">
        <v>633</v>
      </c>
      <c r="C3020" s="278">
        <f>SUM('2031'!B7:B9)+SUM('2031'!B18:B20)+C2514</f>
        <v>3739.195</v>
      </c>
      <c r="D3020" s="278">
        <f>SUM('2031'!C7:C9)+SUM('2031'!C18:C20)+D2514</f>
        <v>3001.065</v>
      </c>
      <c r="E3020" s="278">
        <f>SUM('2031'!D7:D9)+SUM('2031'!D18:D20)+E2514</f>
        <v>3202.935</v>
      </c>
      <c r="F3020" s="278">
        <f>SUM('2031'!E7:E9)+SUM('2031'!E18:E20)+F2514</f>
        <v>3202.935</v>
      </c>
      <c r="G3020" s="278">
        <f>SUM('2031'!F7:F9)+SUM('2031'!F18:F20)+G2514</f>
        <v>3021.87</v>
      </c>
      <c r="H3020" s="278">
        <f>SUM('2031'!G7:G9)+SUM('2031'!G18:G20)+H2514</f>
        <v>2826.935</v>
      </c>
      <c r="I3020" s="278">
        <f>SUM('2031'!H7:H9)+SUM('2031'!H18:H20)+I2514</f>
        <v>3021.87</v>
      </c>
      <c r="J3020" s="278">
        <f>SUM('2031'!I7:I9)+SUM('2031'!I18:I20)+J2514</f>
        <v>3021.87</v>
      </c>
      <c r="K3020" s="278">
        <f>SUM('2031'!J7:J9)+SUM('2031'!J18:J20)+K2514</f>
        <v>3014.935</v>
      </c>
      <c r="L3020" s="278">
        <f>SUM('2031'!K7:K9)+SUM('2031'!K18:K20)+L2514</f>
        <v>2820</v>
      </c>
      <c r="M3020" s="278">
        <f>SUM('2031'!L7:L9)+SUM('2031'!L18:L20)+M2514</f>
        <v>2632</v>
      </c>
      <c r="N3020" s="278">
        <f>SUM('2031'!M7:M9)+SUM('2031'!M18:M20)+N2514</f>
        <v>4094.39</v>
      </c>
    </row>
    <row r="3021" ht="15.75" customHeight="1">
      <c r="B3021" s="276" t="s">
        <v>634</v>
      </c>
      <c r="C3021" s="297">
        <f>C3020/Parametros!$B$37</f>
        <v>186.95975</v>
      </c>
      <c r="D3021" s="297">
        <f>D3020/Parametros!$B$37</f>
        <v>150.05325</v>
      </c>
      <c r="E3021" s="297">
        <f>E3020/Parametros!$B$37</f>
        <v>160.14675</v>
      </c>
      <c r="F3021" s="297">
        <f>F3020/Parametros!$B$37</f>
        <v>160.14675</v>
      </c>
      <c r="G3021" s="297">
        <f>G3020/Parametros!$B$37</f>
        <v>151.0935</v>
      </c>
      <c r="H3021" s="297">
        <f>H3020/Parametros!$B$37</f>
        <v>141.34675</v>
      </c>
      <c r="I3021" s="297">
        <f>I3020/Parametros!$B$37</f>
        <v>151.0935</v>
      </c>
      <c r="J3021" s="297">
        <f>J3020/Parametros!$B$37</f>
        <v>151.0935</v>
      </c>
      <c r="K3021" s="297">
        <f>K3020/Parametros!$B$37</f>
        <v>150.74675</v>
      </c>
      <c r="L3021" s="297">
        <f>L3020/Parametros!$B$37</f>
        <v>141</v>
      </c>
      <c r="M3021" s="297">
        <f>M3020/Parametros!$B$37</f>
        <v>131.6</v>
      </c>
      <c r="N3021" s="297">
        <f>N3020/Parametros!$B$37</f>
        <v>204.7195</v>
      </c>
    </row>
    <row r="3022" ht="15.75" customHeight="1">
      <c r="B3022" s="276" t="s">
        <v>635</v>
      </c>
      <c r="C3022" s="297">
        <f>C3021/Parametros!$J$37</f>
        <v>24.92796667</v>
      </c>
      <c r="D3022" s="297">
        <f>D3021/Parametros!$J$37</f>
        <v>20.0071</v>
      </c>
      <c r="E3022" s="297">
        <f>E3021/Parametros!$J$37</f>
        <v>21.3529</v>
      </c>
      <c r="F3022" s="297">
        <f>F3021/Parametros!$J$37</f>
        <v>21.3529</v>
      </c>
      <c r="G3022" s="297">
        <f>G3021/Parametros!$J$37</f>
        <v>20.1458</v>
      </c>
      <c r="H3022" s="297">
        <f>H3021/Parametros!$J$37</f>
        <v>18.84623333</v>
      </c>
      <c r="I3022" s="297">
        <f>I3021/Parametros!$J$37</f>
        <v>20.1458</v>
      </c>
      <c r="J3022" s="297">
        <f>J3021/Parametros!$J$37</f>
        <v>20.1458</v>
      </c>
      <c r="K3022" s="297">
        <f>K3021/Parametros!$J$37</f>
        <v>20.09956667</v>
      </c>
      <c r="L3022" s="297">
        <f>L3021/Parametros!$J$37</f>
        <v>18.8</v>
      </c>
      <c r="M3022" s="297">
        <f>M3021/Parametros!$J$37</f>
        <v>17.54666667</v>
      </c>
      <c r="N3022" s="297">
        <f>N3021/Parametros!$J$37</f>
        <v>27.29593333</v>
      </c>
    </row>
    <row r="3023" ht="15.75" customHeight="1">
      <c r="A3023" s="276" t="s">
        <v>636</v>
      </c>
      <c r="C3023" s="297">
        <f t="shared" ref="C3023:N3023" si="986">C3022</f>
        <v>24.92796667</v>
      </c>
      <c r="D3023" s="297">
        <f t="shared" si="986"/>
        <v>20.0071</v>
      </c>
      <c r="E3023" s="297">
        <f t="shared" si="986"/>
        <v>21.3529</v>
      </c>
      <c r="F3023" s="297">
        <f t="shared" si="986"/>
        <v>21.3529</v>
      </c>
      <c r="G3023" s="297">
        <f t="shared" si="986"/>
        <v>20.1458</v>
      </c>
      <c r="H3023" s="297">
        <f t="shared" si="986"/>
        <v>18.84623333</v>
      </c>
      <c r="I3023" s="297">
        <f t="shared" si="986"/>
        <v>20.1458</v>
      </c>
      <c r="J3023" s="297">
        <f t="shared" si="986"/>
        <v>20.1458</v>
      </c>
      <c r="K3023" s="297">
        <f t="shared" si="986"/>
        <v>20.09956667</v>
      </c>
      <c r="L3023" s="297">
        <f t="shared" si="986"/>
        <v>18.8</v>
      </c>
      <c r="M3023" s="297">
        <f t="shared" si="986"/>
        <v>17.54666667</v>
      </c>
      <c r="N3023" s="297">
        <f t="shared" si="986"/>
        <v>27.29593333</v>
      </c>
    </row>
    <row r="3024" ht="15.75" customHeight="1">
      <c r="A3024" s="276" t="s">
        <v>637</v>
      </c>
      <c r="C3024" s="297">
        <f>Parametros!$M$90</f>
        <v>124.3970468</v>
      </c>
      <c r="D3024" s="297">
        <f>Parametros!$M$90</f>
        <v>124.3970468</v>
      </c>
      <c r="E3024" s="297">
        <f>Parametros!$M$90</f>
        <v>124.3970468</v>
      </c>
      <c r="F3024" s="297">
        <f>Parametros!$M$90</f>
        <v>124.3970468</v>
      </c>
      <c r="G3024" s="297">
        <f>Parametros!$M$90</f>
        <v>124.3970468</v>
      </c>
      <c r="H3024" s="297">
        <f>Parametros!$M$90</f>
        <v>124.3970468</v>
      </c>
      <c r="I3024" s="297">
        <f>Parametros!$M$90</f>
        <v>124.3970468</v>
      </c>
      <c r="J3024" s="297">
        <f>Parametros!$M$90</f>
        <v>124.3970468</v>
      </c>
      <c r="K3024" s="297">
        <f>Parametros!$M$90</f>
        <v>124.3970468</v>
      </c>
      <c r="L3024" s="297">
        <f>Parametros!$M$90</f>
        <v>124.3970468</v>
      </c>
      <c r="M3024" s="297">
        <f>Parametros!$M$90</f>
        <v>124.3970468</v>
      </c>
      <c r="N3024" s="297">
        <f>Parametros!$M$90</f>
        <v>124.3970468</v>
      </c>
    </row>
    <row r="3025" ht="15.75" customHeight="1">
      <c r="A3025" s="276" t="s">
        <v>640</v>
      </c>
      <c r="C3025" s="278">
        <f>'Resumen Capacidad'!$G$235</f>
        <v>1</v>
      </c>
      <c r="D3025" s="278">
        <f>'Resumen Capacidad'!$G$235</f>
        <v>1</v>
      </c>
      <c r="E3025" s="278">
        <f>'Resumen Capacidad'!$G$235</f>
        <v>1</v>
      </c>
      <c r="F3025" s="278">
        <f>'Resumen Capacidad'!$G$235</f>
        <v>1</v>
      </c>
      <c r="G3025" s="278">
        <f>'Resumen Capacidad'!$G$235</f>
        <v>1</v>
      </c>
      <c r="H3025" s="278">
        <f>'Resumen Capacidad'!$G$235</f>
        <v>1</v>
      </c>
      <c r="I3025" s="278">
        <f>'Resumen Capacidad'!$G$235</f>
        <v>1</v>
      </c>
      <c r="J3025" s="278">
        <f>'Resumen Capacidad'!$G$235</f>
        <v>1</v>
      </c>
      <c r="K3025" s="278">
        <f>'Resumen Capacidad'!$G$235</f>
        <v>1</v>
      </c>
      <c r="L3025" s="278">
        <f>'Resumen Capacidad'!$G$235</f>
        <v>1</v>
      </c>
      <c r="M3025" s="278">
        <f>'Resumen Capacidad'!$G$235</f>
        <v>1</v>
      </c>
      <c r="N3025" s="278">
        <f>'Resumen Capacidad'!$G$235</f>
        <v>1</v>
      </c>
    </row>
    <row r="3026" ht="15.75" customHeight="1">
      <c r="A3026" s="276" t="s">
        <v>642</v>
      </c>
      <c r="C3026" s="278">
        <f t="shared" ref="C3026:N3026" si="987">C3024*C3025</f>
        <v>124.3970468</v>
      </c>
      <c r="D3026" s="278">
        <f t="shared" si="987"/>
        <v>124.3970468</v>
      </c>
      <c r="E3026" s="278">
        <f t="shared" si="987"/>
        <v>124.3970468</v>
      </c>
      <c r="F3026" s="278">
        <f t="shared" si="987"/>
        <v>124.3970468</v>
      </c>
      <c r="G3026" s="278">
        <f t="shared" si="987"/>
        <v>124.3970468</v>
      </c>
      <c r="H3026" s="278">
        <f t="shared" si="987"/>
        <v>124.3970468</v>
      </c>
      <c r="I3026" s="278">
        <f t="shared" si="987"/>
        <v>124.3970468</v>
      </c>
      <c r="J3026" s="278">
        <f t="shared" si="987"/>
        <v>124.3970468</v>
      </c>
      <c r="K3026" s="278">
        <f t="shared" si="987"/>
        <v>124.3970468</v>
      </c>
      <c r="L3026" s="278">
        <f t="shared" si="987"/>
        <v>124.3970468</v>
      </c>
      <c r="M3026" s="278">
        <f t="shared" si="987"/>
        <v>124.3970468</v>
      </c>
      <c r="N3026" s="278">
        <f t="shared" si="987"/>
        <v>124.3970468</v>
      </c>
    </row>
    <row r="3027" ht="15.75" customHeight="1">
      <c r="A3027" s="276" t="s">
        <v>643</v>
      </c>
      <c r="C3027" s="295">
        <f t="shared" ref="C3027:N3027" si="988">IF(C3026=0,0,C3023/C3026)</f>
        <v>0.2003903414</v>
      </c>
      <c r="D3027" s="295">
        <f t="shared" si="988"/>
        <v>0.1608325963</v>
      </c>
      <c r="E3027" s="295">
        <f t="shared" si="988"/>
        <v>0.1716511811</v>
      </c>
      <c r="F3027" s="295">
        <f t="shared" si="988"/>
        <v>0.1716511811</v>
      </c>
      <c r="G3027" s="295">
        <f t="shared" si="988"/>
        <v>0.1619475745</v>
      </c>
      <c r="H3027" s="295">
        <f t="shared" si="988"/>
        <v>0.1515006491</v>
      </c>
      <c r="I3027" s="295">
        <f t="shared" si="988"/>
        <v>0.1619475745</v>
      </c>
      <c r="J3027" s="295">
        <f t="shared" si="988"/>
        <v>0.1619475745</v>
      </c>
      <c r="K3027" s="295">
        <f t="shared" si="988"/>
        <v>0.1615759151</v>
      </c>
      <c r="L3027" s="295">
        <f t="shared" si="988"/>
        <v>0.1511289897</v>
      </c>
      <c r="M3027" s="295">
        <f t="shared" si="988"/>
        <v>0.1410537237</v>
      </c>
      <c r="N3027" s="295">
        <f t="shared" si="988"/>
        <v>0.2194258951</v>
      </c>
    </row>
    <row r="3028" ht="15.75" customHeight="1"/>
    <row r="3029" ht="15.75" customHeight="1">
      <c r="A3029" s="37" t="s">
        <v>1667</v>
      </c>
    </row>
    <row r="3030" ht="15.75" customHeight="1">
      <c r="A3030" s="301" t="s">
        <v>630</v>
      </c>
      <c r="B3030" s="301" t="s">
        <v>631</v>
      </c>
      <c r="C3030" s="301" t="s">
        <v>3</v>
      </c>
      <c r="D3030" s="301" t="s">
        <v>4</v>
      </c>
      <c r="E3030" s="301" t="s">
        <v>507</v>
      </c>
      <c r="F3030" s="301" t="s">
        <v>508</v>
      </c>
      <c r="G3030" s="301" t="s">
        <v>509</v>
      </c>
      <c r="H3030" s="301" t="s">
        <v>510</v>
      </c>
      <c r="I3030" s="301" t="s">
        <v>511</v>
      </c>
      <c r="J3030" s="301" t="s">
        <v>512</v>
      </c>
      <c r="K3030" s="301" t="s">
        <v>513</v>
      </c>
      <c r="L3030" s="301" t="s">
        <v>514</v>
      </c>
      <c r="M3030" s="301" t="s">
        <v>515</v>
      </c>
      <c r="N3030" s="301" t="s">
        <v>516</v>
      </c>
    </row>
    <row r="3031" ht="15.75" customHeight="1">
      <c r="A3031" s="276" t="s">
        <v>1661</v>
      </c>
      <c r="B3031" s="276" t="s">
        <v>633</v>
      </c>
      <c r="C3031" s="278">
        <f>SUM('2032'!B7:B9)+SUM('2032'!B18:B20)+C2605</f>
        <v>5040.09</v>
      </c>
      <c r="D3031" s="278">
        <f>SUM('2032'!C7:C9)+SUM('2032'!C18:C20)+D2605</f>
        <v>4045.05</v>
      </c>
      <c r="E3031" s="278">
        <f>SUM('2032'!D7:D9)+SUM('2032'!D18:D20)+E2605</f>
        <v>4316.985</v>
      </c>
      <c r="F3031" s="278">
        <f>SUM('2032'!E7:E9)+SUM('2032'!E18:E20)+F2605</f>
        <v>4316.985</v>
      </c>
      <c r="G3031" s="278">
        <f>SUM('2032'!F7:F9)+SUM('2032'!F18:F20)+G2605</f>
        <v>4072.86</v>
      </c>
      <c r="H3031" s="278">
        <f>SUM('2032'!G7:G9)+SUM('2032'!G18:G20)+H2605</f>
        <v>3810.195</v>
      </c>
      <c r="I3031" s="278">
        <f>SUM('2032'!H7:H9)+SUM('2032'!H18:H20)+I2605</f>
        <v>4072.86</v>
      </c>
      <c r="J3031" s="278">
        <f>SUM('2032'!I7:I9)+SUM('2032'!I18:I20)+J2605</f>
        <v>4072.86</v>
      </c>
      <c r="K3031" s="278">
        <f>SUM('2032'!J7:J9)+SUM('2032'!J18:J20)+K2605</f>
        <v>4063.59</v>
      </c>
      <c r="L3031" s="278">
        <f>SUM('2032'!K7:K9)+SUM('2032'!K18:K20)+L2605</f>
        <v>3800.925</v>
      </c>
      <c r="M3031" s="278">
        <f>SUM('2032'!L7:L9)+SUM('2032'!L18:L20)+M2605</f>
        <v>3547.53</v>
      </c>
      <c r="N3031" s="278">
        <f>SUM('2032'!M7:M9)+SUM('2032'!M18:M20)+N2605</f>
        <v>5519.07</v>
      </c>
    </row>
    <row r="3032" ht="15.75" customHeight="1">
      <c r="B3032" s="276" t="s">
        <v>634</v>
      </c>
      <c r="C3032" s="297">
        <f>C3031/Parametros!$B$37</f>
        <v>252.0045</v>
      </c>
      <c r="D3032" s="297">
        <f>D3031/Parametros!$B$37</f>
        <v>202.2525</v>
      </c>
      <c r="E3032" s="297">
        <f>E3031/Parametros!$B$37</f>
        <v>215.84925</v>
      </c>
      <c r="F3032" s="297">
        <f>F3031/Parametros!$B$37</f>
        <v>215.84925</v>
      </c>
      <c r="G3032" s="297">
        <f>G3031/Parametros!$B$37</f>
        <v>203.643</v>
      </c>
      <c r="H3032" s="297">
        <f>H3031/Parametros!$B$37</f>
        <v>190.50975</v>
      </c>
      <c r="I3032" s="297">
        <f>I3031/Parametros!$B$37</f>
        <v>203.643</v>
      </c>
      <c r="J3032" s="297">
        <f>J3031/Parametros!$B$37</f>
        <v>203.643</v>
      </c>
      <c r="K3032" s="297">
        <f>K3031/Parametros!$B$37</f>
        <v>203.1795</v>
      </c>
      <c r="L3032" s="297">
        <f>L3031/Parametros!$B$37</f>
        <v>190.04625</v>
      </c>
      <c r="M3032" s="297">
        <f>M3031/Parametros!$B$37</f>
        <v>177.3765</v>
      </c>
      <c r="N3032" s="297">
        <f>N3031/Parametros!$B$37</f>
        <v>275.9535</v>
      </c>
    </row>
    <row r="3033" ht="15.75" customHeight="1">
      <c r="B3033" s="276" t="s">
        <v>635</v>
      </c>
      <c r="C3033" s="297">
        <f>C3032/Parametros!$J$37</f>
        <v>33.6006</v>
      </c>
      <c r="D3033" s="297">
        <f>D3032/Parametros!$J$37</f>
        <v>26.967</v>
      </c>
      <c r="E3033" s="297">
        <f>E3032/Parametros!$J$37</f>
        <v>28.7799</v>
      </c>
      <c r="F3033" s="297">
        <f>F3032/Parametros!$J$37</f>
        <v>28.7799</v>
      </c>
      <c r="G3033" s="297">
        <f>G3032/Parametros!$J$37</f>
        <v>27.1524</v>
      </c>
      <c r="H3033" s="297">
        <f>H3032/Parametros!$J$37</f>
        <v>25.4013</v>
      </c>
      <c r="I3033" s="297">
        <f>I3032/Parametros!$J$37</f>
        <v>27.1524</v>
      </c>
      <c r="J3033" s="297">
        <f>J3032/Parametros!$J$37</f>
        <v>27.1524</v>
      </c>
      <c r="K3033" s="297">
        <f>K3032/Parametros!$J$37</f>
        <v>27.0906</v>
      </c>
      <c r="L3033" s="297">
        <f>L3032/Parametros!$J$37</f>
        <v>25.3395</v>
      </c>
      <c r="M3033" s="297">
        <f>M3032/Parametros!$J$37</f>
        <v>23.6502</v>
      </c>
      <c r="N3033" s="297">
        <f>N3032/Parametros!$J$37</f>
        <v>36.7938</v>
      </c>
    </row>
    <row r="3034" ht="15.75" customHeight="1">
      <c r="A3034" s="276" t="s">
        <v>636</v>
      </c>
      <c r="C3034" s="297">
        <f t="shared" ref="C3034:N3034" si="989">C3033</f>
        <v>33.6006</v>
      </c>
      <c r="D3034" s="297">
        <f t="shared" si="989"/>
        <v>26.967</v>
      </c>
      <c r="E3034" s="297">
        <f t="shared" si="989"/>
        <v>28.7799</v>
      </c>
      <c r="F3034" s="297">
        <f t="shared" si="989"/>
        <v>28.7799</v>
      </c>
      <c r="G3034" s="297">
        <f t="shared" si="989"/>
        <v>27.1524</v>
      </c>
      <c r="H3034" s="297">
        <f t="shared" si="989"/>
        <v>25.4013</v>
      </c>
      <c r="I3034" s="297">
        <f t="shared" si="989"/>
        <v>27.1524</v>
      </c>
      <c r="J3034" s="297">
        <f t="shared" si="989"/>
        <v>27.1524</v>
      </c>
      <c r="K3034" s="297">
        <f t="shared" si="989"/>
        <v>27.0906</v>
      </c>
      <c r="L3034" s="297">
        <f t="shared" si="989"/>
        <v>25.3395</v>
      </c>
      <c r="M3034" s="297">
        <f t="shared" si="989"/>
        <v>23.6502</v>
      </c>
      <c r="N3034" s="297">
        <f t="shared" si="989"/>
        <v>36.7938</v>
      </c>
    </row>
    <row r="3035" ht="15.75" customHeight="1">
      <c r="A3035" s="276" t="s">
        <v>637</v>
      </c>
      <c r="C3035" s="297">
        <f>Parametros!$M$90</f>
        <v>124.3970468</v>
      </c>
      <c r="D3035" s="297">
        <f>Parametros!$M$90</f>
        <v>124.3970468</v>
      </c>
      <c r="E3035" s="297">
        <f>Parametros!$M$90</f>
        <v>124.3970468</v>
      </c>
      <c r="F3035" s="297">
        <f>Parametros!$M$90</f>
        <v>124.3970468</v>
      </c>
      <c r="G3035" s="297">
        <f>Parametros!$M$90</f>
        <v>124.3970468</v>
      </c>
      <c r="H3035" s="297">
        <f>Parametros!$M$90</f>
        <v>124.3970468</v>
      </c>
      <c r="I3035" s="297">
        <f>Parametros!$M$90</f>
        <v>124.3970468</v>
      </c>
      <c r="J3035" s="297">
        <f>Parametros!$M$90</f>
        <v>124.3970468</v>
      </c>
      <c r="K3035" s="297">
        <f>Parametros!$M$90</f>
        <v>124.3970468</v>
      </c>
      <c r="L3035" s="297">
        <f>Parametros!$M$90</f>
        <v>124.3970468</v>
      </c>
      <c r="M3035" s="297">
        <f>Parametros!$M$90</f>
        <v>124.3970468</v>
      </c>
      <c r="N3035" s="297">
        <f>Parametros!$M$90</f>
        <v>124.3970468</v>
      </c>
    </row>
    <row r="3036" ht="15.75" customHeight="1">
      <c r="A3036" s="276" t="s">
        <v>640</v>
      </c>
      <c r="C3036" s="278">
        <f>'Resumen Capacidad'!$H$235</f>
        <v>1</v>
      </c>
      <c r="D3036" s="278">
        <f>'Resumen Capacidad'!$H$235</f>
        <v>1</v>
      </c>
      <c r="E3036" s="278">
        <f>'Resumen Capacidad'!$H$235</f>
        <v>1</v>
      </c>
      <c r="F3036" s="278">
        <f>'Resumen Capacidad'!$H$235</f>
        <v>1</v>
      </c>
      <c r="G3036" s="278">
        <f>'Resumen Capacidad'!$H$235</f>
        <v>1</v>
      </c>
      <c r="H3036" s="278">
        <f>'Resumen Capacidad'!$H$235</f>
        <v>1</v>
      </c>
      <c r="I3036" s="278">
        <f>'Resumen Capacidad'!$H$235</f>
        <v>1</v>
      </c>
      <c r="J3036" s="278">
        <f>'Resumen Capacidad'!$H$235</f>
        <v>1</v>
      </c>
      <c r="K3036" s="278">
        <f>'Resumen Capacidad'!$H$235</f>
        <v>1</v>
      </c>
      <c r="L3036" s="278">
        <f>'Resumen Capacidad'!$H$235</f>
        <v>1</v>
      </c>
      <c r="M3036" s="278">
        <f>'Resumen Capacidad'!$H$235</f>
        <v>1</v>
      </c>
      <c r="N3036" s="278">
        <f>'Resumen Capacidad'!$H$235</f>
        <v>1</v>
      </c>
    </row>
    <row r="3037" ht="15.75" customHeight="1">
      <c r="A3037" s="276" t="s">
        <v>642</v>
      </c>
      <c r="C3037" s="278">
        <f t="shared" ref="C3037:N3037" si="990">C3035*C3036</f>
        <v>124.3970468</v>
      </c>
      <c r="D3037" s="278">
        <f t="shared" si="990"/>
        <v>124.3970468</v>
      </c>
      <c r="E3037" s="278">
        <f t="shared" si="990"/>
        <v>124.3970468</v>
      </c>
      <c r="F3037" s="278">
        <f t="shared" si="990"/>
        <v>124.3970468</v>
      </c>
      <c r="G3037" s="278">
        <f t="shared" si="990"/>
        <v>124.3970468</v>
      </c>
      <c r="H3037" s="278">
        <f t="shared" si="990"/>
        <v>124.3970468</v>
      </c>
      <c r="I3037" s="278">
        <f t="shared" si="990"/>
        <v>124.3970468</v>
      </c>
      <c r="J3037" s="278">
        <f t="shared" si="990"/>
        <v>124.3970468</v>
      </c>
      <c r="K3037" s="278">
        <f t="shared" si="990"/>
        <v>124.3970468</v>
      </c>
      <c r="L3037" s="278">
        <f t="shared" si="990"/>
        <v>124.3970468</v>
      </c>
      <c r="M3037" s="278">
        <f t="shared" si="990"/>
        <v>124.3970468</v>
      </c>
      <c r="N3037" s="278">
        <f t="shared" si="990"/>
        <v>124.3970468</v>
      </c>
    </row>
    <row r="3038" ht="15.75" customHeight="1">
      <c r="A3038" s="276" t="s">
        <v>643</v>
      </c>
      <c r="C3038" s="295">
        <f t="shared" ref="C3038:N3038" si="991">IF(C3037=0,0,C3034/C3037)</f>
        <v>0.2701076985</v>
      </c>
      <c r="D3038" s="295">
        <f t="shared" si="991"/>
        <v>0.2167816737</v>
      </c>
      <c r="E3038" s="295">
        <f t="shared" si="991"/>
        <v>0.2313551708</v>
      </c>
      <c r="F3038" s="295">
        <f t="shared" si="991"/>
        <v>0.2313551708</v>
      </c>
      <c r="G3038" s="295">
        <f t="shared" si="991"/>
        <v>0.2182720628</v>
      </c>
      <c r="H3038" s="295">
        <f t="shared" si="991"/>
        <v>0.204195362</v>
      </c>
      <c r="I3038" s="295">
        <f t="shared" si="991"/>
        <v>0.2182720628</v>
      </c>
      <c r="J3038" s="295">
        <f t="shared" si="991"/>
        <v>0.2182720628</v>
      </c>
      <c r="K3038" s="295">
        <f t="shared" si="991"/>
        <v>0.2177752664</v>
      </c>
      <c r="L3038" s="295">
        <f t="shared" si="991"/>
        <v>0.2036985657</v>
      </c>
      <c r="M3038" s="295">
        <f t="shared" si="991"/>
        <v>0.1901186613</v>
      </c>
      <c r="N3038" s="295">
        <f t="shared" si="991"/>
        <v>0.2957771182</v>
      </c>
    </row>
    <row r="3039" ht="15.75" customHeight="1"/>
    <row r="3040" ht="15.75" customHeight="1">
      <c r="A3040" s="37" t="s">
        <v>1668</v>
      </c>
    </row>
    <row r="3041" ht="15.75" customHeight="1">
      <c r="A3041" s="301" t="s">
        <v>630</v>
      </c>
      <c r="B3041" s="301" t="s">
        <v>631</v>
      </c>
      <c r="C3041" s="301" t="s">
        <v>3</v>
      </c>
      <c r="D3041" s="301" t="s">
        <v>4</v>
      </c>
      <c r="E3041" s="301" t="s">
        <v>507</v>
      </c>
      <c r="F3041" s="301" t="s">
        <v>508</v>
      </c>
      <c r="G3041" s="301" t="s">
        <v>509</v>
      </c>
      <c r="H3041" s="301" t="s">
        <v>510</v>
      </c>
      <c r="I3041" s="301" t="s">
        <v>511</v>
      </c>
      <c r="J3041" s="301" t="s">
        <v>512</v>
      </c>
      <c r="K3041" s="301" t="s">
        <v>513</v>
      </c>
      <c r="L3041" s="301" t="s">
        <v>514</v>
      </c>
      <c r="M3041" s="301" t="s">
        <v>515</v>
      </c>
      <c r="N3041" s="301" t="s">
        <v>516</v>
      </c>
    </row>
    <row r="3042" ht="15.75" customHeight="1">
      <c r="A3042" s="276" t="s">
        <v>1661</v>
      </c>
      <c r="B3042" s="276" t="s">
        <v>633</v>
      </c>
      <c r="C3042" s="278">
        <f>SUM('2033'!B7:B9)+SUM('2033'!B18:B20)+C2696</f>
        <v>6380.8</v>
      </c>
      <c r="D3042" s="278">
        <f>SUM('2033'!C7:C9)+SUM('2033'!C18:C20)+D2696</f>
        <v>5121.02</v>
      </c>
      <c r="E3042" s="278">
        <f>SUM('2033'!D7:D9)+SUM('2033'!D18:D20)+E2696</f>
        <v>5465.215</v>
      </c>
      <c r="F3042" s="278">
        <f>SUM('2033'!E7:E9)+SUM('2033'!E18:E20)+F2696</f>
        <v>5465.215</v>
      </c>
      <c r="G3042" s="278">
        <f>SUM('2033'!F7:F9)+SUM('2033'!F18:F20)+G2696</f>
        <v>5156.12</v>
      </c>
      <c r="H3042" s="278">
        <f>SUM('2033'!G7:G9)+SUM('2033'!G18:G20)+H2696</f>
        <v>4823.625</v>
      </c>
      <c r="I3042" s="278">
        <f>SUM('2033'!H7:H9)+SUM('2033'!H18:H20)+I2696</f>
        <v>5156.12</v>
      </c>
      <c r="J3042" s="278">
        <f>SUM('2033'!I7:I9)+SUM('2033'!I18:I20)+J2696</f>
        <v>5156.12</v>
      </c>
      <c r="K3042" s="278">
        <f>SUM('2033'!J7:J9)+SUM('2033'!J18:J20)+K2696</f>
        <v>5144.42</v>
      </c>
      <c r="L3042" s="278">
        <f>SUM('2033'!K7:K9)+SUM('2033'!K18:K20)+L2696</f>
        <v>4811.925</v>
      </c>
      <c r="M3042" s="278">
        <f>SUM('2033'!L7:L9)+SUM('2033'!L18:L20)+M2696</f>
        <v>4491.13</v>
      </c>
      <c r="N3042" s="278">
        <f>SUM('2033'!M7:M9)+SUM('2033'!M18:M20)+N2696</f>
        <v>6987.29</v>
      </c>
    </row>
    <row r="3043" ht="15.75" customHeight="1">
      <c r="B3043" s="276" t="s">
        <v>634</v>
      </c>
      <c r="C3043" s="297">
        <f>C3042/Parametros!$B$37</f>
        <v>319.04</v>
      </c>
      <c r="D3043" s="297">
        <f>D3042/Parametros!$B$37</f>
        <v>256.051</v>
      </c>
      <c r="E3043" s="297">
        <f>E3042/Parametros!$B$37</f>
        <v>273.26075</v>
      </c>
      <c r="F3043" s="297">
        <f>F3042/Parametros!$B$37</f>
        <v>273.26075</v>
      </c>
      <c r="G3043" s="297">
        <f>G3042/Parametros!$B$37</f>
        <v>257.806</v>
      </c>
      <c r="H3043" s="297">
        <f>H3042/Parametros!$B$37</f>
        <v>241.18125</v>
      </c>
      <c r="I3043" s="297">
        <f>I3042/Parametros!$B$37</f>
        <v>257.806</v>
      </c>
      <c r="J3043" s="297">
        <f>J3042/Parametros!$B$37</f>
        <v>257.806</v>
      </c>
      <c r="K3043" s="297">
        <f>K3042/Parametros!$B$37</f>
        <v>257.221</v>
      </c>
      <c r="L3043" s="297">
        <f>L3042/Parametros!$B$37</f>
        <v>240.59625</v>
      </c>
      <c r="M3043" s="297">
        <f>M3042/Parametros!$B$37</f>
        <v>224.5565</v>
      </c>
      <c r="N3043" s="297">
        <f>N3042/Parametros!$B$37</f>
        <v>349.3645</v>
      </c>
    </row>
    <row r="3044" ht="15.75" customHeight="1">
      <c r="B3044" s="276" t="s">
        <v>635</v>
      </c>
      <c r="C3044" s="297">
        <f>C3043/Parametros!$J$37</f>
        <v>42.53866667</v>
      </c>
      <c r="D3044" s="297">
        <f>D3043/Parametros!$J$37</f>
        <v>34.14013333</v>
      </c>
      <c r="E3044" s="297">
        <f>E3043/Parametros!$J$37</f>
        <v>36.43476667</v>
      </c>
      <c r="F3044" s="297">
        <f>F3043/Parametros!$J$37</f>
        <v>36.43476667</v>
      </c>
      <c r="G3044" s="297">
        <f>G3043/Parametros!$J$37</f>
        <v>34.37413333</v>
      </c>
      <c r="H3044" s="297">
        <f>H3043/Parametros!$J$37</f>
        <v>32.1575</v>
      </c>
      <c r="I3044" s="297">
        <f>I3043/Parametros!$J$37</f>
        <v>34.37413333</v>
      </c>
      <c r="J3044" s="297">
        <f>J3043/Parametros!$J$37</f>
        <v>34.37413333</v>
      </c>
      <c r="K3044" s="297">
        <f>K3043/Parametros!$J$37</f>
        <v>34.29613333</v>
      </c>
      <c r="L3044" s="297">
        <f>L3043/Parametros!$J$37</f>
        <v>32.0795</v>
      </c>
      <c r="M3044" s="297">
        <f>M3043/Parametros!$J$37</f>
        <v>29.94086667</v>
      </c>
      <c r="N3044" s="297">
        <f>N3043/Parametros!$J$37</f>
        <v>46.58193333</v>
      </c>
    </row>
    <row r="3045" ht="15.75" customHeight="1">
      <c r="A3045" s="276" t="s">
        <v>636</v>
      </c>
      <c r="C3045" s="297">
        <f t="shared" ref="C3045:N3045" si="992">C3044</f>
        <v>42.53866667</v>
      </c>
      <c r="D3045" s="297">
        <f t="shared" si="992"/>
        <v>34.14013333</v>
      </c>
      <c r="E3045" s="297">
        <f t="shared" si="992"/>
        <v>36.43476667</v>
      </c>
      <c r="F3045" s="297">
        <f t="shared" si="992"/>
        <v>36.43476667</v>
      </c>
      <c r="G3045" s="297">
        <f t="shared" si="992"/>
        <v>34.37413333</v>
      </c>
      <c r="H3045" s="297">
        <f t="shared" si="992"/>
        <v>32.1575</v>
      </c>
      <c r="I3045" s="297">
        <f t="shared" si="992"/>
        <v>34.37413333</v>
      </c>
      <c r="J3045" s="297">
        <f t="shared" si="992"/>
        <v>34.37413333</v>
      </c>
      <c r="K3045" s="297">
        <f t="shared" si="992"/>
        <v>34.29613333</v>
      </c>
      <c r="L3045" s="297">
        <f t="shared" si="992"/>
        <v>32.0795</v>
      </c>
      <c r="M3045" s="297">
        <f t="shared" si="992"/>
        <v>29.94086667</v>
      </c>
      <c r="N3045" s="297">
        <f t="shared" si="992"/>
        <v>46.58193333</v>
      </c>
    </row>
    <row r="3046" ht="15.75" customHeight="1">
      <c r="A3046" s="276" t="s">
        <v>637</v>
      </c>
      <c r="C3046" s="297">
        <f>Parametros!$M$90</f>
        <v>124.3970468</v>
      </c>
      <c r="D3046" s="297">
        <f>Parametros!$M$90</f>
        <v>124.3970468</v>
      </c>
      <c r="E3046" s="297">
        <f>Parametros!$M$90</f>
        <v>124.3970468</v>
      </c>
      <c r="F3046" s="297">
        <f>Parametros!$M$90</f>
        <v>124.3970468</v>
      </c>
      <c r="G3046" s="297">
        <f>Parametros!$M$90</f>
        <v>124.3970468</v>
      </c>
      <c r="H3046" s="297">
        <f>Parametros!$M$90</f>
        <v>124.3970468</v>
      </c>
      <c r="I3046" s="297">
        <f>Parametros!$M$90</f>
        <v>124.3970468</v>
      </c>
      <c r="J3046" s="297">
        <f>Parametros!$M$90</f>
        <v>124.3970468</v>
      </c>
      <c r="K3046" s="297">
        <f>Parametros!$M$90</f>
        <v>124.3970468</v>
      </c>
      <c r="L3046" s="297">
        <f>Parametros!$M$90</f>
        <v>124.3970468</v>
      </c>
      <c r="M3046" s="297">
        <f>Parametros!$M$90</f>
        <v>124.3970468</v>
      </c>
      <c r="N3046" s="297">
        <f>Parametros!$M$90</f>
        <v>124.3970468</v>
      </c>
    </row>
    <row r="3047" ht="15.75" customHeight="1">
      <c r="A3047" s="276" t="s">
        <v>640</v>
      </c>
      <c r="C3047" s="278">
        <f>'Resumen Capacidad'!$I$235</f>
        <v>1</v>
      </c>
      <c r="D3047" s="278">
        <f>'Resumen Capacidad'!$I$235</f>
        <v>1</v>
      </c>
      <c r="E3047" s="278">
        <f>'Resumen Capacidad'!$I$235</f>
        <v>1</v>
      </c>
      <c r="F3047" s="278">
        <f>'Resumen Capacidad'!$I$235</f>
        <v>1</v>
      </c>
      <c r="G3047" s="278">
        <f>'Resumen Capacidad'!$I$235</f>
        <v>1</v>
      </c>
      <c r="H3047" s="278">
        <f>'Resumen Capacidad'!$I$235</f>
        <v>1</v>
      </c>
      <c r="I3047" s="278">
        <f>'Resumen Capacidad'!$I$235</f>
        <v>1</v>
      </c>
      <c r="J3047" s="278">
        <f>'Resumen Capacidad'!$I$235</f>
        <v>1</v>
      </c>
      <c r="K3047" s="278">
        <f>'Resumen Capacidad'!$I$235</f>
        <v>1</v>
      </c>
      <c r="L3047" s="278">
        <f>'Resumen Capacidad'!$I$235</f>
        <v>1</v>
      </c>
      <c r="M3047" s="278">
        <f>'Resumen Capacidad'!$I$235</f>
        <v>1</v>
      </c>
      <c r="N3047" s="278">
        <f>'Resumen Capacidad'!$I$235</f>
        <v>1</v>
      </c>
    </row>
    <row r="3048" ht="15.75" customHeight="1">
      <c r="A3048" s="276" t="s">
        <v>642</v>
      </c>
      <c r="C3048" s="278">
        <f t="shared" ref="C3048:N3048" si="993">C3046*C3047</f>
        <v>124.3970468</v>
      </c>
      <c r="D3048" s="278">
        <f t="shared" si="993"/>
        <v>124.3970468</v>
      </c>
      <c r="E3048" s="278">
        <f t="shared" si="993"/>
        <v>124.3970468</v>
      </c>
      <c r="F3048" s="278">
        <f t="shared" si="993"/>
        <v>124.3970468</v>
      </c>
      <c r="G3048" s="278">
        <f t="shared" si="993"/>
        <v>124.3970468</v>
      </c>
      <c r="H3048" s="278">
        <f t="shared" si="993"/>
        <v>124.3970468</v>
      </c>
      <c r="I3048" s="278">
        <f t="shared" si="993"/>
        <v>124.3970468</v>
      </c>
      <c r="J3048" s="278">
        <f t="shared" si="993"/>
        <v>124.3970468</v>
      </c>
      <c r="K3048" s="278">
        <f t="shared" si="993"/>
        <v>124.3970468</v>
      </c>
      <c r="L3048" s="278">
        <f t="shared" si="993"/>
        <v>124.3970468</v>
      </c>
      <c r="M3048" s="278">
        <f t="shared" si="993"/>
        <v>124.3970468</v>
      </c>
      <c r="N3048" s="278">
        <f t="shared" si="993"/>
        <v>124.3970468</v>
      </c>
    </row>
    <row r="3049" ht="15.75" customHeight="1">
      <c r="A3049" s="276" t="s">
        <v>643</v>
      </c>
      <c r="C3049" s="295">
        <f t="shared" ref="C3049:N3049" si="994">IF(C3048=0,0,C3045/C3048)</f>
        <v>0.3419588147</v>
      </c>
      <c r="D3049" s="295">
        <f t="shared" si="994"/>
        <v>0.2744448861</v>
      </c>
      <c r="E3049" s="295">
        <f t="shared" si="994"/>
        <v>0.2928909296</v>
      </c>
      <c r="F3049" s="295">
        <f t="shared" si="994"/>
        <v>0.2928909296</v>
      </c>
      <c r="G3049" s="295">
        <f t="shared" si="994"/>
        <v>0.2763259597</v>
      </c>
      <c r="H3049" s="295">
        <f t="shared" si="994"/>
        <v>0.2585069408</v>
      </c>
      <c r="I3049" s="295">
        <f t="shared" si="994"/>
        <v>0.2763259597</v>
      </c>
      <c r="J3049" s="295">
        <f t="shared" si="994"/>
        <v>0.2763259597</v>
      </c>
      <c r="K3049" s="295">
        <f t="shared" si="994"/>
        <v>0.2756989352</v>
      </c>
      <c r="L3049" s="295">
        <f t="shared" si="994"/>
        <v>0.2578799162</v>
      </c>
      <c r="M3049" s="295">
        <f t="shared" si="994"/>
        <v>0.2406879218</v>
      </c>
      <c r="N3049" s="295">
        <f t="shared" si="994"/>
        <v>0.37446173</v>
      </c>
    </row>
    <row r="3050" ht="15.75" customHeight="1"/>
    <row r="3051" ht="15.75" customHeight="1">
      <c r="A3051" s="37" t="s">
        <v>1669</v>
      </c>
    </row>
    <row r="3052" ht="15.75" customHeight="1">
      <c r="A3052" s="301" t="s">
        <v>630</v>
      </c>
      <c r="B3052" s="301" t="s">
        <v>631</v>
      </c>
      <c r="C3052" s="301" t="s">
        <v>3</v>
      </c>
      <c r="D3052" s="301" t="s">
        <v>4</v>
      </c>
      <c r="E3052" s="301" t="s">
        <v>507</v>
      </c>
      <c r="F3052" s="301" t="s">
        <v>508</v>
      </c>
      <c r="G3052" s="301" t="s">
        <v>509</v>
      </c>
      <c r="H3052" s="301" t="s">
        <v>510</v>
      </c>
      <c r="I3052" s="301" t="s">
        <v>511</v>
      </c>
      <c r="J3052" s="301" t="s">
        <v>512</v>
      </c>
      <c r="K3052" s="301" t="s">
        <v>513</v>
      </c>
      <c r="L3052" s="301" t="s">
        <v>514</v>
      </c>
      <c r="M3052" s="301" t="s">
        <v>515</v>
      </c>
      <c r="N3052" s="301" t="s">
        <v>516</v>
      </c>
    </row>
    <row r="3053" ht="15.75" customHeight="1">
      <c r="A3053" s="276" t="s">
        <v>1661</v>
      </c>
      <c r="B3053" s="276" t="s">
        <v>633</v>
      </c>
      <c r="C3053" s="278">
        <f>SUM('2034'!B7:B9)+SUM('2034'!B18:B20)+C2787</f>
        <v>7286.27</v>
      </c>
      <c r="D3053" s="278">
        <f>SUM('2034'!C7:C9)+SUM('2034'!C18:C20)+D2787</f>
        <v>5847.79</v>
      </c>
      <c r="E3053" s="278">
        <f>SUM('2034'!D7:D9)+SUM('2034'!D18:D20)+E2787</f>
        <v>6240.935</v>
      </c>
      <c r="F3053" s="278">
        <f>SUM('2034'!E7:E9)+SUM('2034'!E18:E20)+F2787</f>
        <v>6240.935</v>
      </c>
      <c r="G3053" s="278">
        <f>SUM('2034'!F7:F9)+SUM('2034'!F18:F20)+G2787</f>
        <v>5888.02</v>
      </c>
      <c r="H3053" s="278">
        <f>SUM('2034'!G7:G9)+SUM('2034'!G18:G20)+H2787</f>
        <v>5508.285</v>
      </c>
      <c r="I3053" s="278">
        <f>SUM('2034'!H7:H9)+SUM('2034'!H18:H20)+I2787</f>
        <v>5888.02</v>
      </c>
      <c r="J3053" s="278">
        <f>SUM('2034'!I7:I9)+SUM('2034'!I18:I20)+J2787</f>
        <v>5888.02</v>
      </c>
      <c r="K3053" s="278">
        <f>SUM('2034'!J7:J9)+SUM('2034'!J18:J20)+K2787</f>
        <v>5874.61</v>
      </c>
      <c r="L3053" s="278">
        <f>SUM('2034'!K7:K9)+SUM('2034'!K18:K20)+L2787</f>
        <v>5494.875</v>
      </c>
      <c r="M3053" s="278">
        <f>SUM('2034'!L7:L9)+SUM('2034'!L18:L20)+M2787</f>
        <v>5128.55</v>
      </c>
      <c r="N3053" s="278">
        <f>SUM('2034'!M7:M9)+SUM('2034'!M18:M20)+N2787</f>
        <v>7978.69</v>
      </c>
    </row>
    <row r="3054" ht="15.75" customHeight="1">
      <c r="B3054" s="276" t="s">
        <v>634</v>
      </c>
      <c r="C3054" s="297">
        <f>C3053/Parametros!$B$37</f>
        <v>364.3135</v>
      </c>
      <c r="D3054" s="297">
        <f>D3053/Parametros!$B$37</f>
        <v>292.3895</v>
      </c>
      <c r="E3054" s="297">
        <f>E3053/Parametros!$B$37</f>
        <v>312.04675</v>
      </c>
      <c r="F3054" s="297">
        <f>F3053/Parametros!$B$37</f>
        <v>312.04675</v>
      </c>
      <c r="G3054" s="297">
        <f>G3053/Parametros!$B$37</f>
        <v>294.401</v>
      </c>
      <c r="H3054" s="297">
        <f>H3053/Parametros!$B$37</f>
        <v>275.41425</v>
      </c>
      <c r="I3054" s="297">
        <f>I3053/Parametros!$B$37</f>
        <v>294.401</v>
      </c>
      <c r="J3054" s="297">
        <f>J3053/Parametros!$B$37</f>
        <v>294.401</v>
      </c>
      <c r="K3054" s="297">
        <f>K3053/Parametros!$B$37</f>
        <v>293.7305</v>
      </c>
      <c r="L3054" s="297">
        <f>L3053/Parametros!$B$37</f>
        <v>274.74375</v>
      </c>
      <c r="M3054" s="297">
        <f>M3053/Parametros!$B$37</f>
        <v>256.4275</v>
      </c>
      <c r="N3054" s="297">
        <f>N3053/Parametros!$B$37</f>
        <v>398.9345</v>
      </c>
    </row>
    <row r="3055" ht="15.75" customHeight="1">
      <c r="B3055" s="276" t="s">
        <v>635</v>
      </c>
      <c r="C3055" s="297">
        <f>C3054/Parametros!$J$37</f>
        <v>48.57513333</v>
      </c>
      <c r="D3055" s="297">
        <f>D3054/Parametros!$J$37</f>
        <v>38.98526667</v>
      </c>
      <c r="E3055" s="297">
        <f>E3054/Parametros!$J$37</f>
        <v>41.60623333</v>
      </c>
      <c r="F3055" s="297">
        <f>F3054/Parametros!$J$37</f>
        <v>41.60623333</v>
      </c>
      <c r="G3055" s="297">
        <f>G3054/Parametros!$J$37</f>
        <v>39.25346667</v>
      </c>
      <c r="H3055" s="297">
        <f>H3054/Parametros!$J$37</f>
        <v>36.7219</v>
      </c>
      <c r="I3055" s="297">
        <f>I3054/Parametros!$J$37</f>
        <v>39.25346667</v>
      </c>
      <c r="J3055" s="297">
        <f>J3054/Parametros!$J$37</f>
        <v>39.25346667</v>
      </c>
      <c r="K3055" s="297">
        <f>K3054/Parametros!$J$37</f>
        <v>39.16406667</v>
      </c>
      <c r="L3055" s="297">
        <f>L3054/Parametros!$J$37</f>
        <v>36.6325</v>
      </c>
      <c r="M3055" s="297">
        <f>M3054/Parametros!$J$37</f>
        <v>34.19033333</v>
      </c>
      <c r="N3055" s="297">
        <f>N3054/Parametros!$J$37</f>
        <v>53.19126667</v>
      </c>
    </row>
    <row r="3056" ht="15.75" customHeight="1">
      <c r="A3056" s="276" t="s">
        <v>636</v>
      </c>
      <c r="C3056" s="297">
        <f t="shared" ref="C3056:N3056" si="995">C3055</f>
        <v>48.57513333</v>
      </c>
      <c r="D3056" s="297">
        <f t="shared" si="995"/>
        <v>38.98526667</v>
      </c>
      <c r="E3056" s="297">
        <f t="shared" si="995"/>
        <v>41.60623333</v>
      </c>
      <c r="F3056" s="297">
        <f t="shared" si="995"/>
        <v>41.60623333</v>
      </c>
      <c r="G3056" s="297">
        <f t="shared" si="995"/>
        <v>39.25346667</v>
      </c>
      <c r="H3056" s="297">
        <f t="shared" si="995"/>
        <v>36.7219</v>
      </c>
      <c r="I3056" s="297">
        <f t="shared" si="995"/>
        <v>39.25346667</v>
      </c>
      <c r="J3056" s="297">
        <f t="shared" si="995"/>
        <v>39.25346667</v>
      </c>
      <c r="K3056" s="297">
        <f t="shared" si="995"/>
        <v>39.16406667</v>
      </c>
      <c r="L3056" s="297">
        <f t="shared" si="995"/>
        <v>36.6325</v>
      </c>
      <c r="M3056" s="297">
        <f t="shared" si="995"/>
        <v>34.19033333</v>
      </c>
      <c r="N3056" s="297">
        <f t="shared" si="995"/>
        <v>53.19126667</v>
      </c>
    </row>
    <row r="3057" ht="15.75" customHeight="1">
      <c r="A3057" s="276" t="s">
        <v>637</v>
      </c>
      <c r="C3057" s="297">
        <f>Parametros!$M$90</f>
        <v>124.3970468</v>
      </c>
      <c r="D3057" s="297">
        <f>Parametros!$M$90</f>
        <v>124.3970468</v>
      </c>
      <c r="E3057" s="297">
        <f>Parametros!$M$90</f>
        <v>124.3970468</v>
      </c>
      <c r="F3057" s="297">
        <f>Parametros!$M$90</f>
        <v>124.3970468</v>
      </c>
      <c r="G3057" s="297">
        <f>Parametros!$M$90</f>
        <v>124.3970468</v>
      </c>
      <c r="H3057" s="297">
        <f>Parametros!$M$90</f>
        <v>124.3970468</v>
      </c>
      <c r="I3057" s="297">
        <f>Parametros!$M$90</f>
        <v>124.3970468</v>
      </c>
      <c r="J3057" s="297">
        <f>Parametros!$M$90</f>
        <v>124.3970468</v>
      </c>
      <c r="K3057" s="297">
        <f>Parametros!$M$90</f>
        <v>124.3970468</v>
      </c>
      <c r="L3057" s="297">
        <f>Parametros!$M$90</f>
        <v>124.3970468</v>
      </c>
      <c r="M3057" s="297">
        <f>Parametros!$M$90</f>
        <v>124.3970468</v>
      </c>
      <c r="N3057" s="297">
        <f>Parametros!$M$90</f>
        <v>124.3970468</v>
      </c>
    </row>
    <row r="3058" ht="15.75" customHeight="1">
      <c r="A3058" s="276" t="s">
        <v>640</v>
      </c>
      <c r="C3058" s="278">
        <f>'Resumen Capacidad'!$J$235</f>
        <v>1</v>
      </c>
      <c r="D3058" s="278">
        <f>'Resumen Capacidad'!$J$235</f>
        <v>1</v>
      </c>
      <c r="E3058" s="278">
        <f>'Resumen Capacidad'!$J$235</f>
        <v>1</v>
      </c>
      <c r="F3058" s="278">
        <f>'Resumen Capacidad'!$J$235</f>
        <v>1</v>
      </c>
      <c r="G3058" s="278">
        <f>'Resumen Capacidad'!$J$235</f>
        <v>1</v>
      </c>
      <c r="H3058" s="278">
        <f>'Resumen Capacidad'!$J$235</f>
        <v>1</v>
      </c>
      <c r="I3058" s="278">
        <f>'Resumen Capacidad'!$J$235</f>
        <v>1</v>
      </c>
      <c r="J3058" s="278">
        <f>'Resumen Capacidad'!$J$235</f>
        <v>1</v>
      </c>
      <c r="K3058" s="278">
        <f>'Resumen Capacidad'!$J$235</f>
        <v>1</v>
      </c>
      <c r="L3058" s="278">
        <f>'Resumen Capacidad'!$J$235</f>
        <v>1</v>
      </c>
      <c r="M3058" s="278">
        <f>'Resumen Capacidad'!$J$235</f>
        <v>1</v>
      </c>
      <c r="N3058" s="278">
        <f>'Resumen Capacidad'!$J$235</f>
        <v>1</v>
      </c>
    </row>
    <row r="3059" ht="15.75" customHeight="1">
      <c r="A3059" s="276" t="s">
        <v>642</v>
      </c>
      <c r="C3059" s="278">
        <f t="shared" ref="C3059:N3059" si="996">C3057*C3058</f>
        <v>124.3970468</v>
      </c>
      <c r="D3059" s="278">
        <f t="shared" si="996"/>
        <v>124.3970468</v>
      </c>
      <c r="E3059" s="278">
        <f t="shared" si="996"/>
        <v>124.3970468</v>
      </c>
      <c r="F3059" s="278">
        <f t="shared" si="996"/>
        <v>124.3970468</v>
      </c>
      <c r="G3059" s="278">
        <f t="shared" si="996"/>
        <v>124.3970468</v>
      </c>
      <c r="H3059" s="278">
        <f t="shared" si="996"/>
        <v>124.3970468</v>
      </c>
      <c r="I3059" s="278">
        <f t="shared" si="996"/>
        <v>124.3970468</v>
      </c>
      <c r="J3059" s="278">
        <f t="shared" si="996"/>
        <v>124.3970468</v>
      </c>
      <c r="K3059" s="278">
        <f t="shared" si="996"/>
        <v>124.3970468</v>
      </c>
      <c r="L3059" s="278">
        <f t="shared" si="996"/>
        <v>124.3970468</v>
      </c>
      <c r="M3059" s="278">
        <f t="shared" si="996"/>
        <v>124.3970468</v>
      </c>
      <c r="N3059" s="278">
        <f t="shared" si="996"/>
        <v>124.3970468</v>
      </c>
    </row>
    <row r="3060" ht="15.75" customHeight="1">
      <c r="A3060" s="276" t="s">
        <v>643</v>
      </c>
      <c r="C3060" s="295">
        <f t="shared" ref="C3060:N3060" si="997">IF(C3059=0,0,C3056/C3059)</f>
        <v>0.3904846184</v>
      </c>
      <c r="D3060" s="295">
        <f t="shared" si="997"/>
        <v>0.3133938279</v>
      </c>
      <c r="E3060" s="295">
        <f t="shared" si="997"/>
        <v>0.334463192</v>
      </c>
      <c r="F3060" s="295">
        <f t="shared" si="997"/>
        <v>0.334463192</v>
      </c>
      <c r="G3060" s="295">
        <f t="shared" si="997"/>
        <v>0.3155498277</v>
      </c>
      <c r="H3060" s="295">
        <f t="shared" si="997"/>
        <v>0.2951991302</v>
      </c>
      <c r="I3060" s="295">
        <f t="shared" si="997"/>
        <v>0.3155498277</v>
      </c>
      <c r="J3060" s="295">
        <f t="shared" si="997"/>
        <v>0.3155498277</v>
      </c>
      <c r="K3060" s="295">
        <f t="shared" si="997"/>
        <v>0.3148311611</v>
      </c>
      <c r="L3060" s="295">
        <f t="shared" si="997"/>
        <v>0.2944804636</v>
      </c>
      <c r="M3060" s="295">
        <f t="shared" si="997"/>
        <v>0.2748484327</v>
      </c>
      <c r="N3060" s="295">
        <f t="shared" si="997"/>
        <v>0.4275926805</v>
      </c>
    </row>
    <row r="3061" ht="15.75" customHeight="1"/>
    <row r="3062" ht="15.75" customHeight="1">
      <c r="A3062" s="37" t="s">
        <v>1670</v>
      </c>
    </row>
    <row r="3063" ht="15.75" customHeight="1">
      <c r="A3063" s="301" t="s">
        <v>630</v>
      </c>
      <c r="B3063" s="301" t="s">
        <v>631</v>
      </c>
      <c r="C3063" s="301" t="s">
        <v>3</v>
      </c>
      <c r="D3063" s="301" t="s">
        <v>4</v>
      </c>
      <c r="E3063" s="301" t="s">
        <v>507</v>
      </c>
      <c r="F3063" s="301" t="s">
        <v>508</v>
      </c>
      <c r="G3063" s="301" t="s">
        <v>509</v>
      </c>
      <c r="H3063" s="301" t="s">
        <v>510</v>
      </c>
      <c r="I3063" s="301" t="s">
        <v>511</v>
      </c>
      <c r="J3063" s="301" t="s">
        <v>512</v>
      </c>
      <c r="K3063" s="301" t="s">
        <v>513</v>
      </c>
      <c r="L3063" s="301" t="s">
        <v>514</v>
      </c>
      <c r="M3063" s="301" t="s">
        <v>515</v>
      </c>
      <c r="N3063" s="301" t="s">
        <v>516</v>
      </c>
    </row>
    <row r="3064" ht="15.75" customHeight="1">
      <c r="A3064" s="276" t="s">
        <v>1661</v>
      </c>
      <c r="B3064" s="276" t="s">
        <v>633</v>
      </c>
      <c r="C3064" s="278">
        <f>SUM('2035'!B7:B9)+SUM('2035'!B18:B20)+C2878</f>
        <v>8424.7</v>
      </c>
      <c r="D3064" s="278">
        <f>SUM('2035'!C7:C9)+SUM('2035'!C18:C20)+D2878</f>
        <v>6761.46</v>
      </c>
      <c r="E3064" s="278">
        <f>SUM('2035'!D7:D9)+SUM('2035'!D18:D20)+E2878</f>
        <v>7216.02</v>
      </c>
      <c r="F3064" s="278">
        <f>SUM('2035'!E7:E9)+SUM('2035'!E18:E20)+F2878</f>
        <v>7216.02</v>
      </c>
      <c r="G3064" s="278">
        <f>SUM('2035'!F7:F9)+SUM('2035'!F18:F20)+G2878</f>
        <v>6807.96</v>
      </c>
      <c r="H3064" s="278">
        <f>SUM('2035'!G7:G9)+SUM('2035'!G18:G20)+H2878</f>
        <v>6368.9</v>
      </c>
      <c r="I3064" s="278">
        <f>SUM('2035'!H7:H9)+SUM('2035'!H18:H20)+I2878</f>
        <v>6807.96</v>
      </c>
      <c r="J3064" s="278">
        <f>SUM('2035'!I7:I9)+SUM('2035'!I18:I20)+J2878</f>
        <v>6807.96</v>
      </c>
      <c r="K3064" s="278">
        <f>SUM('2035'!J7:J9)+SUM('2035'!J18:J20)+K2878</f>
        <v>6792.46</v>
      </c>
      <c r="L3064" s="278">
        <f>SUM('2035'!K7:K9)+SUM('2035'!K18:K20)+L2878</f>
        <v>6353.4</v>
      </c>
      <c r="M3064" s="278">
        <f>SUM('2035'!L7:L9)+SUM('2035'!L18:L20)+M2878</f>
        <v>5929.84</v>
      </c>
      <c r="N3064" s="278">
        <f>SUM('2035'!M7:M9)+SUM('2035'!M18:M20)+N2878</f>
        <v>9225.32</v>
      </c>
    </row>
    <row r="3065" ht="15.75" customHeight="1">
      <c r="B3065" s="276" t="s">
        <v>634</v>
      </c>
      <c r="C3065" s="297">
        <f>C3064/Parametros!$B$37</f>
        <v>421.235</v>
      </c>
      <c r="D3065" s="297">
        <f>D3064/Parametros!$B$37</f>
        <v>338.073</v>
      </c>
      <c r="E3065" s="297">
        <f>E3064/Parametros!$B$37</f>
        <v>360.801</v>
      </c>
      <c r="F3065" s="297">
        <f>F3064/Parametros!$B$37</f>
        <v>360.801</v>
      </c>
      <c r="G3065" s="297">
        <f>G3064/Parametros!$B$37</f>
        <v>340.398</v>
      </c>
      <c r="H3065" s="297">
        <f>H3064/Parametros!$B$37</f>
        <v>318.445</v>
      </c>
      <c r="I3065" s="297">
        <f>I3064/Parametros!$B$37</f>
        <v>340.398</v>
      </c>
      <c r="J3065" s="297">
        <f>J3064/Parametros!$B$37</f>
        <v>340.398</v>
      </c>
      <c r="K3065" s="297">
        <f>K3064/Parametros!$B$37</f>
        <v>339.623</v>
      </c>
      <c r="L3065" s="297">
        <f>L3064/Parametros!$B$37</f>
        <v>317.67</v>
      </c>
      <c r="M3065" s="297">
        <f>M3064/Parametros!$B$37</f>
        <v>296.492</v>
      </c>
      <c r="N3065" s="297">
        <f>N3064/Parametros!$B$37</f>
        <v>461.266</v>
      </c>
    </row>
    <row r="3066" ht="15.75" customHeight="1">
      <c r="B3066" s="276" t="s">
        <v>635</v>
      </c>
      <c r="C3066" s="297">
        <f>C3065/Parametros!$J$37</f>
        <v>56.16466667</v>
      </c>
      <c r="D3066" s="297">
        <f>D3065/Parametros!$J$37</f>
        <v>45.0764</v>
      </c>
      <c r="E3066" s="297">
        <f>E3065/Parametros!$J$37</f>
        <v>48.1068</v>
      </c>
      <c r="F3066" s="297">
        <f>F3065/Parametros!$J$37</f>
        <v>48.1068</v>
      </c>
      <c r="G3066" s="297">
        <f>G3065/Parametros!$J$37</f>
        <v>45.3864</v>
      </c>
      <c r="H3066" s="297">
        <f>H3065/Parametros!$J$37</f>
        <v>42.45933333</v>
      </c>
      <c r="I3066" s="297">
        <f>I3065/Parametros!$J$37</f>
        <v>45.3864</v>
      </c>
      <c r="J3066" s="297">
        <f>J3065/Parametros!$J$37</f>
        <v>45.3864</v>
      </c>
      <c r="K3066" s="297">
        <f>K3065/Parametros!$J$37</f>
        <v>45.28306667</v>
      </c>
      <c r="L3066" s="297">
        <f>L3065/Parametros!$J$37</f>
        <v>42.356</v>
      </c>
      <c r="M3066" s="297">
        <f>M3065/Parametros!$J$37</f>
        <v>39.53226667</v>
      </c>
      <c r="N3066" s="297">
        <f>N3065/Parametros!$J$37</f>
        <v>61.50213333</v>
      </c>
    </row>
    <row r="3067" ht="15.75" customHeight="1">
      <c r="A3067" s="276" t="s">
        <v>636</v>
      </c>
      <c r="C3067" s="297">
        <f t="shared" ref="C3067:N3067" si="998">C3066</f>
        <v>56.16466667</v>
      </c>
      <c r="D3067" s="297">
        <f t="shared" si="998"/>
        <v>45.0764</v>
      </c>
      <c r="E3067" s="297">
        <f t="shared" si="998"/>
        <v>48.1068</v>
      </c>
      <c r="F3067" s="297">
        <f t="shared" si="998"/>
        <v>48.1068</v>
      </c>
      <c r="G3067" s="297">
        <f t="shared" si="998"/>
        <v>45.3864</v>
      </c>
      <c r="H3067" s="297">
        <f t="shared" si="998"/>
        <v>42.45933333</v>
      </c>
      <c r="I3067" s="297">
        <f t="shared" si="998"/>
        <v>45.3864</v>
      </c>
      <c r="J3067" s="297">
        <f t="shared" si="998"/>
        <v>45.3864</v>
      </c>
      <c r="K3067" s="297">
        <f t="shared" si="998"/>
        <v>45.28306667</v>
      </c>
      <c r="L3067" s="297">
        <f t="shared" si="998"/>
        <v>42.356</v>
      </c>
      <c r="M3067" s="297">
        <f t="shared" si="998"/>
        <v>39.53226667</v>
      </c>
      <c r="N3067" s="297">
        <f t="shared" si="998"/>
        <v>61.50213333</v>
      </c>
    </row>
    <row r="3068" ht="15.75" customHeight="1">
      <c r="A3068" s="276" t="s">
        <v>637</v>
      </c>
      <c r="C3068" s="297">
        <f>Parametros!$M$90</f>
        <v>124.3970468</v>
      </c>
      <c r="D3068" s="297">
        <f>Parametros!$M$90</f>
        <v>124.3970468</v>
      </c>
      <c r="E3068" s="297">
        <f>Parametros!$M$90</f>
        <v>124.3970468</v>
      </c>
      <c r="F3068" s="297">
        <f>Parametros!$M$90</f>
        <v>124.3970468</v>
      </c>
      <c r="G3068" s="297">
        <f>Parametros!$M$90</f>
        <v>124.3970468</v>
      </c>
      <c r="H3068" s="297">
        <f>Parametros!$M$90</f>
        <v>124.3970468</v>
      </c>
      <c r="I3068" s="297">
        <f>Parametros!$M$90</f>
        <v>124.3970468</v>
      </c>
      <c r="J3068" s="297">
        <f>Parametros!$M$90</f>
        <v>124.3970468</v>
      </c>
      <c r="K3068" s="297">
        <f>Parametros!$M$90</f>
        <v>124.3970468</v>
      </c>
      <c r="L3068" s="297">
        <f>Parametros!$M$90</f>
        <v>124.3970468</v>
      </c>
      <c r="M3068" s="297">
        <f>Parametros!$M$90</f>
        <v>124.3970468</v>
      </c>
      <c r="N3068" s="297">
        <f>Parametros!$M$90</f>
        <v>124.3970468</v>
      </c>
    </row>
    <row r="3069" ht="15.75" customHeight="1">
      <c r="A3069" s="276" t="s">
        <v>640</v>
      </c>
      <c r="C3069" s="278">
        <f>'Resumen Capacidad'!$K$235</f>
        <v>1</v>
      </c>
      <c r="D3069" s="278">
        <f>'Resumen Capacidad'!$K$235</f>
        <v>1</v>
      </c>
      <c r="E3069" s="278">
        <f>'Resumen Capacidad'!$K$235</f>
        <v>1</v>
      </c>
      <c r="F3069" s="278">
        <f>'Resumen Capacidad'!$K$235</f>
        <v>1</v>
      </c>
      <c r="G3069" s="278">
        <f>'Resumen Capacidad'!$K$235</f>
        <v>1</v>
      </c>
      <c r="H3069" s="278">
        <f>'Resumen Capacidad'!$K$235</f>
        <v>1</v>
      </c>
      <c r="I3069" s="278">
        <f>'Resumen Capacidad'!$K$235</f>
        <v>1</v>
      </c>
      <c r="J3069" s="278">
        <f>'Resumen Capacidad'!$K$235</f>
        <v>1</v>
      </c>
      <c r="K3069" s="278">
        <f>'Resumen Capacidad'!$K$235</f>
        <v>1</v>
      </c>
      <c r="L3069" s="278">
        <f>'Resumen Capacidad'!$K$235</f>
        <v>1</v>
      </c>
      <c r="M3069" s="278">
        <f>'Resumen Capacidad'!$K$235</f>
        <v>1</v>
      </c>
      <c r="N3069" s="278">
        <f>'Resumen Capacidad'!$K$235</f>
        <v>1</v>
      </c>
    </row>
    <row r="3070" ht="15.75" customHeight="1">
      <c r="A3070" s="276" t="s">
        <v>642</v>
      </c>
      <c r="C3070" s="278">
        <f t="shared" ref="C3070:N3070" si="999">C3068*C3069</f>
        <v>124.3970468</v>
      </c>
      <c r="D3070" s="278">
        <f t="shared" si="999"/>
        <v>124.3970468</v>
      </c>
      <c r="E3070" s="278">
        <f t="shared" si="999"/>
        <v>124.3970468</v>
      </c>
      <c r="F3070" s="278">
        <f t="shared" si="999"/>
        <v>124.3970468</v>
      </c>
      <c r="G3070" s="278">
        <f t="shared" si="999"/>
        <v>124.3970468</v>
      </c>
      <c r="H3070" s="278">
        <f t="shared" si="999"/>
        <v>124.3970468</v>
      </c>
      <c r="I3070" s="278">
        <f t="shared" si="999"/>
        <v>124.3970468</v>
      </c>
      <c r="J3070" s="278">
        <f t="shared" si="999"/>
        <v>124.3970468</v>
      </c>
      <c r="K3070" s="278">
        <f t="shared" si="999"/>
        <v>124.3970468</v>
      </c>
      <c r="L3070" s="278">
        <f t="shared" si="999"/>
        <v>124.3970468</v>
      </c>
      <c r="M3070" s="278">
        <f t="shared" si="999"/>
        <v>124.3970468</v>
      </c>
      <c r="N3070" s="278">
        <f t="shared" si="999"/>
        <v>124.3970468</v>
      </c>
    </row>
    <row r="3071" ht="15.75" customHeight="1">
      <c r="A3071" s="276" t="s">
        <v>643</v>
      </c>
      <c r="C3071" s="295">
        <f t="shared" ref="C3071:N3071" si="1000">IF(C3070=0,0,C3067/C3070)</f>
        <v>0.4514951772</v>
      </c>
      <c r="D3071" s="295">
        <f t="shared" si="1000"/>
        <v>0.3623590847</v>
      </c>
      <c r="E3071" s="295">
        <f t="shared" si="1000"/>
        <v>0.3867197916</v>
      </c>
      <c r="F3071" s="295">
        <f t="shared" si="1000"/>
        <v>0.3867197916</v>
      </c>
      <c r="G3071" s="295">
        <f t="shared" si="1000"/>
        <v>0.3648511052</v>
      </c>
      <c r="H3071" s="295">
        <f t="shared" si="1000"/>
        <v>0.3413210718</v>
      </c>
      <c r="I3071" s="295">
        <f t="shared" si="1000"/>
        <v>0.3648511052</v>
      </c>
      <c r="J3071" s="295">
        <f t="shared" si="1000"/>
        <v>0.3648511052</v>
      </c>
      <c r="K3071" s="295">
        <f t="shared" si="1000"/>
        <v>0.3640204317</v>
      </c>
      <c r="L3071" s="295">
        <f t="shared" si="1000"/>
        <v>0.3404903983</v>
      </c>
      <c r="M3071" s="295">
        <f t="shared" si="1000"/>
        <v>0.3177910384</v>
      </c>
      <c r="N3071" s="295">
        <f t="shared" si="1000"/>
        <v>0.4944018764</v>
      </c>
    </row>
  </sheetData>
  <mergeCells count="279">
    <mergeCell ref="A1944:A1946"/>
    <mergeCell ref="A1947:B1947"/>
    <mergeCell ref="A1948:B1948"/>
    <mergeCell ref="A1949:B1949"/>
    <mergeCell ref="A1950:B1950"/>
    <mergeCell ref="A1951:B1951"/>
    <mergeCell ref="A1952:N1952"/>
    <mergeCell ref="A1954:A1956"/>
    <mergeCell ref="A1957:B1957"/>
    <mergeCell ref="A1958:B1958"/>
    <mergeCell ref="A1959:B1959"/>
    <mergeCell ref="A1960:B1960"/>
    <mergeCell ref="A1961:B1961"/>
    <mergeCell ref="A1964:N1964"/>
    <mergeCell ref="A1966:A1968"/>
    <mergeCell ref="A1969:B1969"/>
    <mergeCell ref="A1970:B1970"/>
    <mergeCell ref="A1971:B1971"/>
    <mergeCell ref="A1972:B1972"/>
    <mergeCell ref="A1973:B1973"/>
    <mergeCell ref="A1974:N1974"/>
    <mergeCell ref="A1976:A1978"/>
    <mergeCell ref="A1979:B1979"/>
    <mergeCell ref="A1980:B1980"/>
    <mergeCell ref="A1981:B1981"/>
    <mergeCell ref="A1982:B1982"/>
    <mergeCell ref="A1983:B1983"/>
    <mergeCell ref="A1986:N1986"/>
    <mergeCell ref="A1988:A1990"/>
    <mergeCell ref="A1991:B1991"/>
    <mergeCell ref="A1992:B1992"/>
    <mergeCell ref="A1993:B1993"/>
    <mergeCell ref="A1994:B1994"/>
    <mergeCell ref="A1995:B1995"/>
    <mergeCell ref="A1996:N1996"/>
    <mergeCell ref="A1998:A2000"/>
    <mergeCell ref="A2001:B2001"/>
    <mergeCell ref="A2002:B2002"/>
    <mergeCell ref="A2003:B2003"/>
    <mergeCell ref="A2004:B2004"/>
    <mergeCell ref="A2005:B2005"/>
    <mergeCell ref="A2008:N2008"/>
    <mergeCell ref="A2010:A2012"/>
    <mergeCell ref="A2013:B2013"/>
    <mergeCell ref="A2014:B2014"/>
    <mergeCell ref="A2015:B2015"/>
    <mergeCell ref="A2016:B2016"/>
    <mergeCell ref="A2017:B2017"/>
    <mergeCell ref="A2018:N2018"/>
    <mergeCell ref="A2020:A2022"/>
    <mergeCell ref="A2023:B2023"/>
    <mergeCell ref="A2024:B2024"/>
    <mergeCell ref="A2025:B2025"/>
    <mergeCell ref="A2026:B2026"/>
    <mergeCell ref="A2027:B2027"/>
    <mergeCell ref="A2030:N2030"/>
    <mergeCell ref="A141:B141"/>
    <mergeCell ref="A142:N142"/>
    <mergeCell ref="A144:A146"/>
    <mergeCell ref="A147:B147"/>
    <mergeCell ref="A148:B148"/>
    <mergeCell ref="A149:B149"/>
    <mergeCell ref="A150:B150"/>
    <mergeCell ref="A151:B151"/>
    <mergeCell ref="A152:N152"/>
    <mergeCell ref="A154:A156"/>
    <mergeCell ref="A157:B157"/>
    <mergeCell ref="A158:B158"/>
    <mergeCell ref="A159:B159"/>
    <mergeCell ref="A160:B160"/>
    <mergeCell ref="A161:B161"/>
    <mergeCell ref="A162:N162"/>
    <mergeCell ref="A164:A166"/>
    <mergeCell ref="A167:B167"/>
    <mergeCell ref="A168:B168"/>
    <mergeCell ref="A169:B169"/>
    <mergeCell ref="A170:B170"/>
    <mergeCell ref="A171:B171"/>
    <mergeCell ref="A172:N172"/>
    <mergeCell ref="A174:A176"/>
    <mergeCell ref="A177:B177"/>
    <mergeCell ref="A178:B178"/>
    <mergeCell ref="A179:B179"/>
    <mergeCell ref="A180:B180"/>
    <mergeCell ref="A181:B181"/>
    <mergeCell ref="A184:N184"/>
    <mergeCell ref="A185:N185"/>
    <mergeCell ref="A187:A189"/>
    <mergeCell ref="A190:B190"/>
    <mergeCell ref="A191:B191"/>
    <mergeCell ref="A192:B192"/>
    <mergeCell ref="A193:B193"/>
    <mergeCell ref="A194:B194"/>
    <mergeCell ref="A195:N195"/>
    <mergeCell ref="A197:A199"/>
    <mergeCell ref="A205:N205"/>
    <mergeCell ref="A207:A209"/>
    <mergeCell ref="A1832:N1832"/>
    <mergeCell ref="A2042:A2044"/>
    <mergeCell ref="A2045:B2045"/>
    <mergeCell ref="A2046:B2046"/>
    <mergeCell ref="A2047:B2047"/>
    <mergeCell ref="A2048:B2048"/>
    <mergeCell ref="A2049:B2049"/>
    <mergeCell ref="A2032:A2034"/>
    <mergeCell ref="A2035:B2035"/>
    <mergeCell ref="A2036:B2036"/>
    <mergeCell ref="A2037:B2037"/>
    <mergeCell ref="A2038:B2038"/>
    <mergeCell ref="A2039:B2039"/>
    <mergeCell ref="A2040:N2040"/>
    <mergeCell ref="A1:N1"/>
    <mergeCell ref="A2:N2"/>
    <mergeCell ref="A4:A6"/>
    <mergeCell ref="A7:B7"/>
    <mergeCell ref="A8:B8"/>
    <mergeCell ref="A9:B9"/>
    <mergeCell ref="A10:B10"/>
    <mergeCell ref="A11:B11"/>
    <mergeCell ref="A12:N12"/>
    <mergeCell ref="A14:A16"/>
    <mergeCell ref="A17:B17"/>
    <mergeCell ref="A18:B18"/>
    <mergeCell ref="A19:B19"/>
    <mergeCell ref="A20:B20"/>
    <mergeCell ref="A21:B21"/>
    <mergeCell ref="A22:N22"/>
    <mergeCell ref="A24:A26"/>
    <mergeCell ref="A27:B27"/>
    <mergeCell ref="A28:B28"/>
    <mergeCell ref="A29:B29"/>
    <mergeCell ref="A30:B30"/>
    <mergeCell ref="A31:B31"/>
    <mergeCell ref="A32:N32"/>
    <mergeCell ref="A34:A36"/>
    <mergeCell ref="A37:B37"/>
    <mergeCell ref="A38:B38"/>
    <mergeCell ref="A39:B39"/>
    <mergeCell ref="A40:B40"/>
    <mergeCell ref="A41:B41"/>
    <mergeCell ref="A42:N42"/>
    <mergeCell ref="A44:A46"/>
    <mergeCell ref="A47:B47"/>
    <mergeCell ref="A48:B48"/>
    <mergeCell ref="A49:B49"/>
    <mergeCell ref="A50:B50"/>
    <mergeCell ref="A51:B51"/>
    <mergeCell ref="A52:N52"/>
    <mergeCell ref="A54:A56"/>
    <mergeCell ref="A57:B57"/>
    <mergeCell ref="A58:B58"/>
    <mergeCell ref="A59:B59"/>
    <mergeCell ref="A60:B60"/>
    <mergeCell ref="A61:B61"/>
    <mergeCell ref="A62:N62"/>
    <mergeCell ref="A64:A66"/>
    <mergeCell ref="A67:B67"/>
    <mergeCell ref="A68:B68"/>
    <mergeCell ref="A69:B69"/>
    <mergeCell ref="A70:B70"/>
    <mergeCell ref="A71:B71"/>
    <mergeCell ref="A72:N72"/>
    <mergeCell ref="A74:A76"/>
    <mergeCell ref="A77:B77"/>
    <mergeCell ref="A78:B78"/>
    <mergeCell ref="A79:B79"/>
    <mergeCell ref="A80:B80"/>
    <mergeCell ref="A81:B81"/>
    <mergeCell ref="A82:N82"/>
    <mergeCell ref="A84:A86"/>
    <mergeCell ref="A87:B87"/>
    <mergeCell ref="A88:B88"/>
    <mergeCell ref="A89:B89"/>
    <mergeCell ref="A90:B90"/>
    <mergeCell ref="A91:B91"/>
    <mergeCell ref="A92:N92"/>
    <mergeCell ref="A94:A96"/>
    <mergeCell ref="A97:B97"/>
    <mergeCell ref="A98:B98"/>
    <mergeCell ref="A99:B99"/>
    <mergeCell ref="A100:B100"/>
    <mergeCell ref="A101:B101"/>
    <mergeCell ref="A102:N102"/>
    <mergeCell ref="A104:A106"/>
    <mergeCell ref="A107:B107"/>
    <mergeCell ref="A108:B108"/>
    <mergeCell ref="A109:B109"/>
    <mergeCell ref="A110:B110"/>
    <mergeCell ref="A111:B111"/>
    <mergeCell ref="A112:N112"/>
    <mergeCell ref="A114:A116"/>
    <mergeCell ref="A117:B117"/>
    <mergeCell ref="A118:B118"/>
    <mergeCell ref="A119:B119"/>
    <mergeCell ref="A120:B120"/>
    <mergeCell ref="A121:B121"/>
    <mergeCell ref="A122:N122"/>
    <mergeCell ref="A124:A126"/>
    <mergeCell ref="A127:B127"/>
    <mergeCell ref="A128:B128"/>
    <mergeCell ref="A129:B129"/>
    <mergeCell ref="A130:B130"/>
    <mergeCell ref="A131:B131"/>
    <mergeCell ref="A132:N132"/>
    <mergeCell ref="A134:A136"/>
    <mergeCell ref="A137:B137"/>
    <mergeCell ref="A138:B138"/>
    <mergeCell ref="A139:B139"/>
    <mergeCell ref="A140:B140"/>
    <mergeCell ref="A1834:A1836"/>
    <mergeCell ref="A1837:B1837"/>
    <mergeCell ref="A1838:B1838"/>
    <mergeCell ref="A1839:B1839"/>
    <mergeCell ref="A1840:B1840"/>
    <mergeCell ref="A1841:B1841"/>
    <mergeCell ref="A1842:N1842"/>
    <mergeCell ref="A1844:A1846"/>
    <mergeCell ref="A1847:B1847"/>
    <mergeCell ref="A1848:B1848"/>
    <mergeCell ref="A1849:B1849"/>
    <mergeCell ref="A1850:B1850"/>
    <mergeCell ref="A1851:B1851"/>
    <mergeCell ref="A1854:N1854"/>
    <mergeCell ref="A1856:A1858"/>
    <mergeCell ref="A1859:B1859"/>
    <mergeCell ref="A1860:B1860"/>
    <mergeCell ref="A1861:B1861"/>
    <mergeCell ref="A1862:B1862"/>
    <mergeCell ref="A1863:B1863"/>
    <mergeCell ref="A1864:N1864"/>
    <mergeCell ref="A1866:A1868"/>
    <mergeCell ref="A1869:B1869"/>
    <mergeCell ref="A1870:B1870"/>
    <mergeCell ref="A1871:B1871"/>
    <mergeCell ref="A1872:B1872"/>
    <mergeCell ref="A1873:B1873"/>
    <mergeCell ref="A1876:N1876"/>
    <mergeCell ref="A1878:A1880"/>
    <mergeCell ref="A1881:B1881"/>
    <mergeCell ref="A1882:B1882"/>
    <mergeCell ref="A1883:B1883"/>
    <mergeCell ref="A1884:B1884"/>
    <mergeCell ref="A1885:B1885"/>
    <mergeCell ref="A1886:N1886"/>
    <mergeCell ref="A1888:A1890"/>
    <mergeCell ref="A1891:B1891"/>
    <mergeCell ref="A1892:B1892"/>
    <mergeCell ref="A1893:B1893"/>
    <mergeCell ref="A1894:B1894"/>
    <mergeCell ref="A1895:B1895"/>
    <mergeCell ref="A1898:N1898"/>
    <mergeCell ref="A1900:A1902"/>
    <mergeCell ref="A1903:B1903"/>
    <mergeCell ref="A1904:B1904"/>
    <mergeCell ref="A1905:B1905"/>
    <mergeCell ref="A1906:B1906"/>
    <mergeCell ref="A1907:B1907"/>
    <mergeCell ref="A1908:N1908"/>
    <mergeCell ref="A1910:A1912"/>
    <mergeCell ref="A1913:B1913"/>
    <mergeCell ref="A1914:B1914"/>
    <mergeCell ref="A1915:B1915"/>
    <mergeCell ref="A1916:B1916"/>
    <mergeCell ref="A1917:B1917"/>
    <mergeCell ref="A1920:N1920"/>
    <mergeCell ref="A1922:A1924"/>
    <mergeCell ref="A1925:B1925"/>
    <mergeCell ref="A1926:B1926"/>
    <mergeCell ref="A1927:B1927"/>
    <mergeCell ref="A1928:B1928"/>
    <mergeCell ref="A1929:B1929"/>
    <mergeCell ref="A1930:N1930"/>
    <mergeCell ref="A1932:A1934"/>
    <mergeCell ref="A1935:B1935"/>
    <mergeCell ref="A1936:B1936"/>
    <mergeCell ref="A1937:B1937"/>
    <mergeCell ref="A1938:B1938"/>
    <mergeCell ref="A1939:B1939"/>
    <mergeCell ref="A1942:N1942"/>
  </mergeCells>
  <printOptions/>
  <pageMargins bottom="1.0" footer="0.0" header="0.0" left="0.75" right="0.75" top="1.0"/>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outlineLevelRow="1"/>
  <cols>
    <col customWidth="1" min="1" max="1" width="46.0"/>
    <col customWidth="1" min="2" max="12" width="11.0"/>
    <col customWidth="1" min="13" max="26" width="8.63"/>
  </cols>
  <sheetData>
    <row r="1">
      <c r="A1" s="20" t="s">
        <v>702</v>
      </c>
    </row>
    <row r="2">
      <c r="A2" s="22" t="s">
        <v>703</v>
      </c>
    </row>
    <row r="4">
      <c r="A4" s="24" t="s">
        <v>24</v>
      </c>
      <c r="B4" s="29" t="s">
        <v>27</v>
      </c>
      <c r="D4" s="29" t="s">
        <v>704</v>
      </c>
      <c r="E4" s="29" t="s">
        <v>705</v>
      </c>
    </row>
    <row r="5">
      <c r="A5" s="30" t="s">
        <v>706</v>
      </c>
      <c r="B5" s="208">
        <v>1200.0</v>
      </c>
      <c r="D5" s="209">
        <v>2.0</v>
      </c>
      <c r="E5" s="61">
        <v>2.0</v>
      </c>
    </row>
    <row r="6">
      <c r="A6" s="30" t="s">
        <v>707</v>
      </c>
      <c r="B6" s="31">
        <v>1.0</v>
      </c>
      <c r="D6" s="209">
        <v>9.0</v>
      </c>
      <c r="E6" s="61">
        <v>3.0</v>
      </c>
    </row>
    <row r="7">
      <c r="A7" s="30" t="s">
        <v>708</v>
      </c>
      <c r="B7" s="41">
        <v>0.25</v>
      </c>
      <c r="D7" s="209">
        <v>16.0</v>
      </c>
      <c r="E7" s="61">
        <v>3.0</v>
      </c>
    </row>
    <row r="8">
      <c r="A8" s="30" t="s">
        <v>709</v>
      </c>
      <c r="B8" s="41">
        <v>0.17</v>
      </c>
      <c r="D8" s="209">
        <v>26.0</v>
      </c>
      <c r="E8" s="61">
        <v>5.0</v>
      </c>
    </row>
    <row r="9">
      <c r="A9" s="30" t="s">
        <v>710</v>
      </c>
      <c r="B9" s="32">
        <v>0.1</v>
      </c>
      <c r="D9" s="209">
        <v>51.0</v>
      </c>
      <c r="E9" s="61">
        <v>5.0</v>
      </c>
    </row>
    <row r="10">
      <c r="A10" s="30" t="s">
        <v>711</v>
      </c>
      <c r="B10" s="41">
        <v>0.0</v>
      </c>
      <c r="C10" s="22" t="s">
        <v>712</v>
      </c>
      <c r="D10" s="209">
        <v>91.0</v>
      </c>
      <c r="E10" s="61">
        <v>8.0</v>
      </c>
    </row>
    <row r="11">
      <c r="A11" s="30" t="s">
        <v>713</v>
      </c>
      <c r="B11" s="31">
        <v>7.0</v>
      </c>
      <c r="D11" s="209">
        <v>151.0</v>
      </c>
      <c r="E11" s="61">
        <v>8.0</v>
      </c>
    </row>
    <row r="12">
      <c r="A12" s="30" t="s">
        <v>714</v>
      </c>
      <c r="B12" s="31">
        <v>3.0</v>
      </c>
      <c r="D12" s="209">
        <v>281.0</v>
      </c>
      <c r="E12" s="61">
        <v>13.0</v>
      </c>
    </row>
    <row r="13">
      <c r="A13" s="30" t="s">
        <v>715</v>
      </c>
      <c r="B13" s="208">
        <v>800.0</v>
      </c>
      <c r="D13" s="209">
        <v>501.0</v>
      </c>
      <c r="E13" s="61">
        <v>20.0</v>
      </c>
    </row>
    <row r="14">
      <c r="A14" s="30" t="s">
        <v>716</v>
      </c>
      <c r="B14" s="208">
        <v>280.0</v>
      </c>
      <c r="D14" s="209">
        <v>1201.0</v>
      </c>
      <c r="E14" s="61">
        <v>32.0</v>
      </c>
    </row>
    <row r="15">
      <c r="A15" s="30" t="s">
        <v>717</v>
      </c>
      <c r="B15" s="31">
        <v>15.0</v>
      </c>
      <c r="D15" s="22"/>
    </row>
    <row r="17">
      <c r="A17" s="45" t="s">
        <v>718</v>
      </c>
      <c r="B17" s="39">
        <v>2026.0</v>
      </c>
      <c r="C17" s="39">
        <v>2027.0</v>
      </c>
      <c r="D17" s="39">
        <v>2028.0</v>
      </c>
      <c r="E17" s="39">
        <v>2029.0</v>
      </c>
      <c r="F17" s="39">
        <v>2030.0</v>
      </c>
      <c r="G17" s="39">
        <v>2031.0</v>
      </c>
      <c r="H17" s="39">
        <v>2032.0</v>
      </c>
      <c r="I17" s="39">
        <v>2033.0</v>
      </c>
      <c r="J17" s="39">
        <v>2034.0</v>
      </c>
      <c r="K17" s="39">
        <v>2035.0</v>
      </c>
    </row>
    <row r="18">
      <c r="A18" s="30" t="s">
        <v>719</v>
      </c>
      <c r="B18" s="64">
        <f>datos_base!B3+datos_base!B15</f>
        <v>4179</v>
      </c>
      <c r="C18" s="64">
        <f>datos_base!C3+datos_base!C15</f>
        <v>5997</v>
      </c>
      <c r="D18" s="64">
        <f>datos_base!D3+datos_base!D15</f>
        <v>14514</v>
      </c>
      <c r="E18" s="64">
        <f>datos_base!E3+datos_base!E15</f>
        <v>35162</v>
      </c>
      <c r="F18" s="64">
        <f>datos_base!F3+datos_base!F15</f>
        <v>62116</v>
      </c>
      <c r="G18" s="64">
        <f>datos_base!G3+datos_base!G15</f>
        <v>87300</v>
      </c>
      <c r="H18" s="64">
        <f>datos_base!H3+datos_base!H15</f>
        <v>121674</v>
      </c>
      <c r="I18" s="64">
        <f>datos_base!I3+datos_base!I15</f>
        <v>156133</v>
      </c>
      <c r="J18" s="64">
        <f>datos_base!J3+datos_base!J15</f>
        <v>175393</v>
      </c>
      <c r="K18" s="64">
        <f>datos_base!K3+datos_base!K15</f>
        <v>202621</v>
      </c>
    </row>
    <row r="19">
      <c r="A19" s="30" t="s">
        <v>720</v>
      </c>
      <c r="B19" s="46">
        <f t="shared" ref="B19:K19" si="1">IF(B18=0,0,MAX(ROUNDUP(B18/$B$5,0),ROUNDUP(12/$B$6,0)))</f>
        <v>12</v>
      </c>
      <c r="C19" s="46">
        <f t="shared" si="1"/>
        <v>12</v>
      </c>
      <c r="D19" s="46">
        <f t="shared" si="1"/>
        <v>13</v>
      </c>
      <c r="E19" s="46">
        <f t="shared" si="1"/>
        <v>30</v>
      </c>
      <c r="F19" s="46">
        <f t="shared" si="1"/>
        <v>52</v>
      </c>
      <c r="G19" s="46">
        <f t="shared" si="1"/>
        <v>73</v>
      </c>
      <c r="H19" s="46">
        <f t="shared" si="1"/>
        <v>102</v>
      </c>
      <c r="I19" s="46">
        <f t="shared" si="1"/>
        <v>131</v>
      </c>
      <c r="J19" s="46">
        <f t="shared" si="1"/>
        <v>147</v>
      </c>
      <c r="K19" s="46">
        <f t="shared" si="1"/>
        <v>169</v>
      </c>
    </row>
    <row r="20">
      <c r="A20" s="30" t="s">
        <v>721</v>
      </c>
      <c r="B20" s="64">
        <f t="shared" ref="B20:K20" si="2">IFERROR(B18/B19,0)</f>
        <v>348.25</v>
      </c>
      <c r="C20" s="64">
        <f t="shared" si="2"/>
        <v>499.75</v>
      </c>
      <c r="D20" s="64">
        <f t="shared" si="2"/>
        <v>1116.461538</v>
      </c>
      <c r="E20" s="64">
        <f t="shared" si="2"/>
        <v>1172.066667</v>
      </c>
      <c r="F20" s="64">
        <f t="shared" si="2"/>
        <v>1194.538462</v>
      </c>
      <c r="G20" s="64">
        <f t="shared" si="2"/>
        <v>1195.890411</v>
      </c>
      <c r="H20" s="64">
        <f t="shared" si="2"/>
        <v>1192.882353</v>
      </c>
      <c r="I20" s="64">
        <f t="shared" si="2"/>
        <v>1191.854962</v>
      </c>
      <c r="J20" s="64">
        <f t="shared" si="2"/>
        <v>1193.14966</v>
      </c>
      <c r="K20" s="64">
        <f t="shared" si="2"/>
        <v>1198.940828</v>
      </c>
    </row>
    <row r="21" ht="15.75" customHeight="1">
      <c r="A21" s="30" t="s">
        <v>722</v>
      </c>
      <c r="B21" s="64">
        <f>datos_base!B4+datos_base!B16</f>
        <v>295</v>
      </c>
      <c r="C21" s="64">
        <f>datos_base!C4+datos_base!C16</f>
        <v>709</v>
      </c>
      <c r="D21" s="64">
        <f>datos_base!D4+datos_base!D16</f>
        <v>1287</v>
      </c>
      <c r="E21" s="64">
        <f>datos_base!E4+datos_base!E16</f>
        <v>2545</v>
      </c>
      <c r="F21" s="64">
        <f>datos_base!F4+datos_base!F16</f>
        <v>4245</v>
      </c>
      <c r="G21" s="64">
        <f>datos_base!G4+datos_base!G16</f>
        <v>6055</v>
      </c>
      <c r="H21" s="64">
        <f>datos_base!H4+datos_base!H16</f>
        <v>8066</v>
      </c>
      <c r="I21" s="64">
        <f>datos_base!I4+datos_base!I16</f>
        <v>10228</v>
      </c>
      <c r="J21" s="64">
        <f>datos_base!J4+datos_base!J16</f>
        <v>11936</v>
      </c>
      <c r="K21" s="64">
        <f>datos_base!K4+datos_base!K16</f>
        <v>14094</v>
      </c>
    </row>
    <row r="22" ht="15.75" customHeight="1">
      <c r="A22" s="30" t="s">
        <v>723</v>
      </c>
      <c r="B22" s="46">
        <f t="shared" ref="B22:K22" si="3">IF(B21=0,0,MAX(ROUNDUP(B21/$B$5,0),ROUNDUP(12/$B$6,0)))</f>
        <v>12</v>
      </c>
      <c r="C22" s="46">
        <f t="shared" si="3"/>
        <v>12</v>
      </c>
      <c r="D22" s="46">
        <f t="shared" si="3"/>
        <v>12</v>
      </c>
      <c r="E22" s="46">
        <f t="shared" si="3"/>
        <v>12</v>
      </c>
      <c r="F22" s="46">
        <f t="shared" si="3"/>
        <v>12</v>
      </c>
      <c r="G22" s="46">
        <f t="shared" si="3"/>
        <v>12</v>
      </c>
      <c r="H22" s="46">
        <f t="shared" si="3"/>
        <v>12</v>
      </c>
      <c r="I22" s="46">
        <f t="shared" si="3"/>
        <v>12</v>
      </c>
      <c r="J22" s="46">
        <f t="shared" si="3"/>
        <v>12</v>
      </c>
      <c r="K22" s="46">
        <f t="shared" si="3"/>
        <v>12</v>
      </c>
    </row>
    <row r="23" ht="15.75" customHeight="1">
      <c r="A23" s="30" t="s">
        <v>724</v>
      </c>
      <c r="B23" s="64">
        <f t="shared" ref="B23:K23" si="4">IFERROR(B21/B22,0)</f>
        <v>24.58333333</v>
      </c>
      <c r="C23" s="64">
        <f t="shared" si="4"/>
        <v>59.08333333</v>
      </c>
      <c r="D23" s="64">
        <f t="shared" si="4"/>
        <v>107.25</v>
      </c>
      <c r="E23" s="64">
        <f t="shared" si="4"/>
        <v>212.0833333</v>
      </c>
      <c r="F23" s="64">
        <f t="shared" si="4"/>
        <v>353.75</v>
      </c>
      <c r="G23" s="64">
        <f t="shared" si="4"/>
        <v>504.5833333</v>
      </c>
      <c r="H23" s="64">
        <f t="shared" si="4"/>
        <v>672.1666667</v>
      </c>
      <c r="I23" s="64">
        <f t="shared" si="4"/>
        <v>852.3333333</v>
      </c>
      <c r="J23" s="64">
        <f t="shared" si="4"/>
        <v>994.6666667</v>
      </c>
      <c r="K23" s="64">
        <f t="shared" si="4"/>
        <v>1174.5</v>
      </c>
    </row>
    <row r="24" ht="15.75" customHeight="1">
      <c r="A24" s="30" t="s">
        <v>725</v>
      </c>
      <c r="B24" s="64">
        <f>datos_base!B5+datos_base!B17</f>
        <v>2256</v>
      </c>
      <c r="C24" s="64">
        <f>datos_base!C5+datos_base!C17</f>
        <v>3847</v>
      </c>
      <c r="D24" s="64">
        <f>datos_base!D5+datos_base!D17</f>
        <v>6573</v>
      </c>
      <c r="E24" s="64">
        <f>datos_base!E5+datos_base!E17</f>
        <v>11975</v>
      </c>
      <c r="F24" s="64">
        <f>datos_base!F5+datos_base!F17</f>
        <v>20360</v>
      </c>
      <c r="G24" s="64">
        <f>datos_base!G5+datos_base!G17</f>
        <v>28440</v>
      </c>
      <c r="H24" s="64">
        <f>datos_base!H5+datos_base!H17</f>
        <v>38437</v>
      </c>
      <c r="I24" s="64">
        <f>datos_base!I5+datos_base!I17</f>
        <v>48651</v>
      </c>
      <c r="J24" s="64">
        <f>datos_base!J5+datos_base!J17</f>
        <v>55304</v>
      </c>
      <c r="K24" s="64">
        <f>datos_base!K5+datos_base!K17</f>
        <v>63666</v>
      </c>
    </row>
    <row r="25" ht="15.75" customHeight="1">
      <c r="A25" s="30" t="s">
        <v>726</v>
      </c>
      <c r="B25" s="46">
        <f t="shared" ref="B25:K25" si="5">IF(B24=0,0,MAX(ROUNDUP(B24/$B$5,0),ROUNDUP(12/$B$6,0)))</f>
        <v>12</v>
      </c>
      <c r="C25" s="46">
        <f t="shared" si="5"/>
        <v>12</v>
      </c>
      <c r="D25" s="46">
        <f t="shared" si="5"/>
        <v>12</v>
      </c>
      <c r="E25" s="46">
        <f t="shared" si="5"/>
        <v>12</v>
      </c>
      <c r="F25" s="46">
        <f t="shared" si="5"/>
        <v>17</v>
      </c>
      <c r="G25" s="46">
        <f t="shared" si="5"/>
        <v>24</v>
      </c>
      <c r="H25" s="46">
        <f t="shared" si="5"/>
        <v>33</v>
      </c>
      <c r="I25" s="46">
        <f t="shared" si="5"/>
        <v>41</v>
      </c>
      <c r="J25" s="46">
        <f t="shared" si="5"/>
        <v>47</v>
      </c>
      <c r="K25" s="46">
        <f t="shared" si="5"/>
        <v>54</v>
      </c>
    </row>
    <row r="26" ht="15.75" customHeight="1">
      <c r="A26" s="30" t="s">
        <v>727</v>
      </c>
      <c r="B26" s="64">
        <f t="shared" ref="B26:K26" si="6">IFERROR(B24/B25,0)</f>
        <v>188</v>
      </c>
      <c r="C26" s="64">
        <f t="shared" si="6"/>
        <v>320.5833333</v>
      </c>
      <c r="D26" s="64">
        <f t="shared" si="6"/>
        <v>547.75</v>
      </c>
      <c r="E26" s="64">
        <f t="shared" si="6"/>
        <v>997.9166667</v>
      </c>
      <c r="F26" s="64">
        <f t="shared" si="6"/>
        <v>1197.647059</v>
      </c>
      <c r="G26" s="64">
        <f t="shared" si="6"/>
        <v>1185</v>
      </c>
      <c r="H26" s="64">
        <f t="shared" si="6"/>
        <v>1164.757576</v>
      </c>
      <c r="I26" s="64">
        <f t="shared" si="6"/>
        <v>1186.609756</v>
      </c>
      <c r="J26" s="64">
        <f t="shared" si="6"/>
        <v>1176.680851</v>
      </c>
      <c r="K26" s="64">
        <f t="shared" si="6"/>
        <v>1179</v>
      </c>
    </row>
    <row r="27" ht="15.75" customHeight="1">
      <c r="A27" s="30" t="s">
        <v>728</v>
      </c>
      <c r="B27" s="64">
        <f>datos_base!B6+datos_base!B18</f>
        <v>92</v>
      </c>
      <c r="C27" s="64">
        <f>datos_base!C6+datos_base!C18</f>
        <v>177</v>
      </c>
      <c r="D27" s="64">
        <f>datos_base!D6+datos_base!D18</f>
        <v>343</v>
      </c>
      <c r="E27" s="64">
        <f>datos_base!E6+datos_base!E18</f>
        <v>673</v>
      </c>
      <c r="F27" s="64">
        <f>datos_base!F6+datos_base!F18</f>
        <v>1186</v>
      </c>
      <c r="G27" s="64">
        <f>datos_base!G6+datos_base!G18</f>
        <v>1718</v>
      </c>
      <c r="H27" s="64">
        <f>datos_base!H6+datos_base!H18</f>
        <v>2322</v>
      </c>
      <c r="I27" s="64">
        <f>datos_base!I6+datos_base!I18</f>
        <v>2940</v>
      </c>
      <c r="J27" s="64">
        <f>datos_base!J6+datos_base!J18</f>
        <v>3343</v>
      </c>
      <c r="K27" s="64">
        <f>datos_base!K6+datos_base!K18</f>
        <v>3852</v>
      </c>
    </row>
    <row r="28" ht="15.75" customHeight="1">
      <c r="A28" s="30" t="s">
        <v>729</v>
      </c>
      <c r="B28" s="46">
        <f t="shared" ref="B28:K28" si="7">IF(B27=0,0,MAX(ROUNDUP(B27/$B$5,0),ROUNDUP(12/$B$6,0)))</f>
        <v>12</v>
      </c>
      <c r="C28" s="46">
        <f t="shared" si="7"/>
        <v>12</v>
      </c>
      <c r="D28" s="46">
        <f t="shared" si="7"/>
        <v>12</v>
      </c>
      <c r="E28" s="46">
        <f t="shared" si="7"/>
        <v>12</v>
      </c>
      <c r="F28" s="46">
        <f t="shared" si="7"/>
        <v>12</v>
      </c>
      <c r="G28" s="46">
        <f t="shared" si="7"/>
        <v>12</v>
      </c>
      <c r="H28" s="46">
        <f t="shared" si="7"/>
        <v>12</v>
      </c>
      <c r="I28" s="46">
        <f t="shared" si="7"/>
        <v>12</v>
      </c>
      <c r="J28" s="46">
        <f t="shared" si="7"/>
        <v>12</v>
      </c>
      <c r="K28" s="46">
        <f t="shared" si="7"/>
        <v>12</v>
      </c>
    </row>
    <row r="29" ht="15.75" customHeight="1">
      <c r="A29" s="30" t="s">
        <v>730</v>
      </c>
      <c r="B29" s="64">
        <f t="shared" ref="B29:K29" si="8">IFERROR(B27/B28,0)</f>
        <v>7.666666667</v>
      </c>
      <c r="C29" s="64">
        <f t="shared" si="8"/>
        <v>14.75</v>
      </c>
      <c r="D29" s="64">
        <f t="shared" si="8"/>
        <v>28.58333333</v>
      </c>
      <c r="E29" s="64">
        <f t="shared" si="8"/>
        <v>56.08333333</v>
      </c>
      <c r="F29" s="64">
        <f t="shared" si="8"/>
        <v>98.83333333</v>
      </c>
      <c r="G29" s="64">
        <f t="shared" si="8"/>
        <v>143.1666667</v>
      </c>
      <c r="H29" s="64">
        <f t="shared" si="8"/>
        <v>193.5</v>
      </c>
      <c r="I29" s="64">
        <f t="shared" si="8"/>
        <v>245</v>
      </c>
      <c r="J29" s="64">
        <f t="shared" si="8"/>
        <v>278.5833333</v>
      </c>
      <c r="K29" s="64">
        <f t="shared" si="8"/>
        <v>321</v>
      </c>
    </row>
    <row r="30" ht="15.75" customHeight="1"/>
    <row r="31" ht="15.75" customHeight="1">
      <c r="A31" s="45" t="s">
        <v>731</v>
      </c>
      <c r="B31" s="39">
        <v>2026.0</v>
      </c>
      <c r="C31" s="39">
        <v>2027.0</v>
      </c>
      <c r="D31" s="39">
        <v>2028.0</v>
      </c>
      <c r="E31" s="39">
        <v>2029.0</v>
      </c>
      <c r="F31" s="39">
        <v>2030.0</v>
      </c>
      <c r="G31" s="39">
        <v>2031.0</v>
      </c>
      <c r="H31" s="39">
        <v>2032.0</v>
      </c>
      <c r="I31" s="39">
        <v>2033.0</v>
      </c>
      <c r="J31" s="39">
        <v>2034.0</v>
      </c>
      <c r="K31" s="39">
        <v>2035.0</v>
      </c>
    </row>
    <row r="32" ht="15.75" customHeight="1">
      <c r="A32" s="30" t="s">
        <v>732</v>
      </c>
      <c r="B32" s="64">
        <f>datos_base!B3</f>
        <v>4179</v>
      </c>
      <c r="C32" s="64">
        <f>datos_base!C3</f>
        <v>5997</v>
      </c>
      <c r="D32" s="64">
        <f>datos_base!D3</f>
        <v>6852</v>
      </c>
      <c r="E32" s="64">
        <f>datos_base!E3</f>
        <v>8467</v>
      </c>
      <c r="F32" s="64">
        <f>datos_base!F3</f>
        <v>12681</v>
      </c>
      <c r="G32" s="64">
        <f>datos_base!G3</f>
        <v>15620</v>
      </c>
      <c r="H32" s="64">
        <f>datos_base!H3</f>
        <v>20333</v>
      </c>
      <c r="I32" s="64">
        <f>datos_base!I3</f>
        <v>25132</v>
      </c>
      <c r="J32" s="64">
        <f>datos_base!J3</f>
        <v>28573</v>
      </c>
      <c r="K32" s="64">
        <f>datos_base!K3</f>
        <v>32073</v>
      </c>
    </row>
    <row r="33" ht="15.75" customHeight="1">
      <c r="A33" s="30" t="s">
        <v>720</v>
      </c>
      <c r="B33" s="46">
        <f t="shared" ref="B33:K33" si="9">IF(B32=0,0,MAX(ROUNDUP(B32/$B$5,0),ROUNDUP(12/$B$6,0)))</f>
        <v>12</v>
      </c>
      <c r="C33" s="46">
        <f t="shared" si="9"/>
        <v>12</v>
      </c>
      <c r="D33" s="46">
        <f t="shared" si="9"/>
        <v>12</v>
      </c>
      <c r="E33" s="46">
        <f t="shared" si="9"/>
        <v>12</v>
      </c>
      <c r="F33" s="46">
        <f t="shared" si="9"/>
        <v>12</v>
      </c>
      <c r="G33" s="46">
        <f t="shared" si="9"/>
        <v>14</v>
      </c>
      <c r="H33" s="46">
        <f t="shared" si="9"/>
        <v>17</v>
      </c>
      <c r="I33" s="46">
        <f t="shared" si="9"/>
        <v>21</v>
      </c>
      <c r="J33" s="46">
        <f t="shared" si="9"/>
        <v>24</v>
      </c>
      <c r="K33" s="46">
        <f t="shared" si="9"/>
        <v>27</v>
      </c>
    </row>
    <row r="34" ht="15.75" customHeight="1">
      <c r="A34" s="30" t="s">
        <v>721</v>
      </c>
      <c r="B34" s="64">
        <f t="shared" ref="B34:K34" si="10">IFERROR(B32/B33,0)</f>
        <v>348.25</v>
      </c>
      <c r="C34" s="64">
        <f t="shared" si="10"/>
        <v>499.75</v>
      </c>
      <c r="D34" s="64">
        <f t="shared" si="10"/>
        <v>571</v>
      </c>
      <c r="E34" s="64">
        <f t="shared" si="10"/>
        <v>705.5833333</v>
      </c>
      <c r="F34" s="64">
        <f t="shared" si="10"/>
        <v>1056.75</v>
      </c>
      <c r="G34" s="64">
        <f t="shared" si="10"/>
        <v>1115.714286</v>
      </c>
      <c r="H34" s="64">
        <f t="shared" si="10"/>
        <v>1196.058824</v>
      </c>
      <c r="I34" s="64">
        <f t="shared" si="10"/>
        <v>1196.761905</v>
      </c>
      <c r="J34" s="64">
        <f t="shared" si="10"/>
        <v>1190.541667</v>
      </c>
      <c r="K34" s="64">
        <f t="shared" si="10"/>
        <v>1187.888889</v>
      </c>
    </row>
    <row r="35" ht="15.75" customHeight="1">
      <c r="A35" s="30" t="s">
        <v>733</v>
      </c>
      <c r="B35" s="46">
        <f t="shared" ref="B35:K35" si="11">IF(B34=0,0,MIN(ROUNDUP(B34,0),LOOKUP(MAX(B34,2),$D$5:$D$14,$E$5:$E$14)))</f>
        <v>13</v>
      </c>
      <c r="C35" s="46">
        <f t="shared" si="11"/>
        <v>13</v>
      </c>
      <c r="D35" s="46">
        <f t="shared" si="11"/>
        <v>20</v>
      </c>
      <c r="E35" s="46">
        <f t="shared" si="11"/>
        <v>20</v>
      </c>
      <c r="F35" s="46">
        <f t="shared" si="11"/>
        <v>20</v>
      </c>
      <c r="G35" s="46">
        <f t="shared" si="11"/>
        <v>20</v>
      </c>
      <c r="H35" s="46">
        <f t="shared" si="11"/>
        <v>20</v>
      </c>
      <c r="I35" s="46">
        <f t="shared" si="11"/>
        <v>20</v>
      </c>
      <c r="J35" s="46">
        <f t="shared" si="11"/>
        <v>20</v>
      </c>
      <c r="K35" s="46">
        <f t="shared" si="11"/>
        <v>20</v>
      </c>
    </row>
    <row r="36" ht="15.75" customHeight="1">
      <c r="A36" s="30" t="s">
        <v>734</v>
      </c>
      <c r="B36" s="64">
        <f t="shared" ref="B36:K36" si="12">B33*B35</f>
        <v>156</v>
      </c>
      <c r="C36" s="64">
        <f t="shared" si="12"/>
        <v>156</v>
      </c>
      <c r="D36" s="64">
        <f t="shared" si="12"/>
        <v>240</v>
      </c>
      <c r="E36" s="64">
        <f t="shared" si="12"/>
        <v>240</v>
      </c>
      <c r="F36" s="64">
        <f t="shared" si="12"/>
        <v>240</v>
      </c>
      <c r="G36" s="64">
        <f t="shared" si="12"/>
        <v>280</v>
      </c>
      <c r="H36" s="64">
        <f t="shared" si="12"/>
        <v>340</v>
      </c>
      <c r="I36" s="64">
        <f t="shared" si="12"/>
        <v>420</v>
      </c>
      <c r="J36" s="64">
        <f t="shared" si="12"/>
        <v>480</v>
      </c>
      <c r="K36" s="64">
        <f t="shared" si="12"/>
        <v>540</v>
      </c>
    </row>
    <row r="37" ht="15.75" customHeight="1">
      <c r="A37" s="30" t="s">
        <v>735</v>
      </c>
      <c r="B37" s="64">
        <f>datos_base!B4</f>
        <v>295</v>
      </c>
      <c r="C37" s="64">
        <f>datos_base!C4</f>
        <v>709</v>
      </c>
      <c r="D37" s="64">
        <f>datos_base!D4</f>
        <v>987</v>
      </c>
      <c r="E37" s="64">
        <f>datos_base!E4</f>
        <v>1501</v>
      </c>
      <c r="F37" s="64">
        <f>datos_base!F4</f>
        <v>2312</v>
      </c>
      <c r="G37" s="64">
        <f>datos_base!G4</f>
        <v>3252</v>
      </c>
      <c r="H37" s="64">
        <f>datos_base!H4</f>
        <v>4103</v>
      </c>
      <c r="I37" s="64">
        <f>datos_base!I4</f>
        <v>5105</v>
      </c>
      <c r="J37" s="64">
        <f>datos_base!J4</f>
        <v>6195</v>
      </c>
      <c r="K37" s="64">
        <f>datos_base!K4</f>
        <v>7425</v>
      </c>
    </row>
    <row r="38" ht="15.75" customHeight="1">
      <c r="A38" s="30" t="s">
        <v>723</v>
      </c>
      <c r="B38" s="46">
        <f t="shared" ref="B38:K38" si="13">IF(B37=0,0,MAX(ROUNDUP(B37/$B$5,0),ROUNDUP(12/$B$6,0)))</f>
        <v>12</v>
      </c>
      <c r="C38" s="46">
        <f t="shared" si="13"/>
        <v>12</v>
      </c>
      <c r="D38" s="46">
        <f t="shared" si="13"/>
        <v>12</v>
      </c>
      <c r="E38" s="46">
        <f t="shared" si="13"/>
        <v>12</v>
      </c>
      <c r="F38" s="46">
        <f t="shared" si="13"/>
        <v>12</v>
      </c>
      <c r="G38" s="46">
        <f t="shared" si="13"/>
        <v>12</v>
      </c>
      <c r="H38" s="46">
        <f t="shared" si="13"/>
        <v>12</v>
      </c>
      <c r="I38" s="46">
        <f t="shared" si="13"/>
        <v>12</v>
      </c>
      <c r="J38" s="46">
        <f t="shared" si="13"/>
        <v>12</v>
      </c>
      <c r="K38" s="46">
        <f t="shared" si="13"/>
        <v>12</v>
      </c>
    </row>
    <row r="39" ht="15.75" customHeight="1">
      <c r="A39" s="30" t="s">
        <v>724</v>
      </c>
      <c r="B39" s="64">
        <f t="shared" ref="B39:K39" si="14">IFERROR(B37/B38,0)</f>
        <v>24.58333333</v>
      </c>
      <c r="C39" s="64">
        <f t="shared" si="14"/>
        <v>59.08333333</v>
      </c>
      <c r="D39" s="64">
        <f t="shared" si="14"/>
        <v>82.25</v>
      </c>
      <c r="E39" s="64">
        <f t="shared" si="14"/>
        <v>125.0833333</v>
      </c>
      <c r="F39" s="64">
        <f t="shared" si="14"/>
        <v>192.6666667</v>
      </c>
      <c r="G39" s="64">
        <f t="shared" si="14"/>
        <v>271</v>
      </c>
      <c r="H39" s="64">
        <f t="shared" si="14"/>
        <v>341.9166667</v>
      </c>
      <c r="I39" s="64">
        <f t="shared" si="14"/>
        <v>425.4166667</v>
      </c>
      <c r="J39" s="64">
        <f t="shared" si="14"/>
        <v>516.25</v>
      </c>
      <c r="K39" s="64">
        <f t="shared" si="14"/>
        <v>618.75</v>
      </c>
    </row>
    <row r="40" ht="15.75" customHeight="1">
      <c r="A40" s="30" t="s">
        <v>736</v>
      </c>
      <c r="B40" s="46">
        <f t="shared" ref="B40:K40" si="15">IF(B39=0,0,MIN(ROUNDUP(B39,0),LOOKUP(MAX(B39,2),$D$5:$D$14,$E$5:$E$14)))</f>
        <v>3</v>
      </c>
      <c r="C40" s="46">
        <f t="shared" si="15"/>
        <v>5</v>
      </c>
      <c r="D40" s="46">
        <f t="shared" si="15"/>
        <v>5</v>
      </c>
      <c r="E40" s="46">
        <f t="shared" si="15"/>
        <v>8</v>
      </c>
      <c r="F40" s="46">
        <f t="shared" si="15"/>
        <v>8</v>
      </c>
      <c r="G40" s="46">
        <f t="shared" si="15"/>
        <v>8</v>
      </c>
      <c r="H40" s="46">
        <f t="shared" si="15"/>
        <v>13</v>
      </c>
      <c r="I40" s="46">
        <f t="shared" si="15"/>
        <v>13</v>
      </c>
      <c r="J40" s="46">
        <f t="shared" si="15"/>
        <v>20</v>
      </c>
      <c r="K40" s="46">
        <f t="shared" si="15"/>
        <v>20</v>
      </c>
    </row>
    <row r="41" ht="15.75" customHeight="1">
      <c r="A41" s="30" t="s">
        <v>737</v>
      </c>
      <c r="B41" s="64">
        <f t="shared" ref="B41:K41" si="16">B38*B40</f>
        <v>36</v>
      </c>
      <c r="C41" s="64">
        <f t="shared" si="16"/>
        <v>60</v>
      </c>
      <c r="D41" s="64">
        <f t="shared" si="16"/>
        <v>60</v>
      </c>
      <c r="E41" s="64">
        <f t="shared" si="16"/>
        <v>96</v>
      </c>
      <c r="F41" s="64">
        <f t="shared" si="16"/>
        <v>96</v>
      </c>
      <c r="G41" s="64">
        <f t="shared" si="16"/>
        <v>96</v>
      </c>
      <c r="H41" s="64">
        <f t="shared" si="16"/>
        <v>156</v>
      </c>
      <c r="I41" s="64">
        <f t="shared" si="16"/>
        <v>156</v>
      </c>
      <c r="J41" s="64">
        <f t="shared" si="16"/>
        <v>240</v>
      </c>
      <c r="K41" s="64">
        <f t="shared" si="16"/>
        <v>240</v>
      </c>
    </row>
    <row r="42" ht="15.75" customHeight="1">
      <c r="A42" s="30" t="s">
        <v>738</v>
      </c>
      <c r="B42" s="64">
        <f>datos_base!B5</f>
        <v>2256</v>
      </c>
      <c r="C42" s="64">
        <f>datos_base!C5</f>
        <v>3847</v>
      </c>
      <c r="D42" s="64">
        <f>datos_base!D5</f>
        <v>5094</v>
      </c>
      <c r="E42" s="64">
        <f>datos_base!E5</f>
        <v>6823</v>
      </c>
      <c r="F42" s="64">
        <f>datos_base!F5</f>
        <v>10819</v>
      </c>
      <c r="G42" s="64">
        <f>datos_base!G5</f>
        <v>14606</v>
      </c>
      <c r="H42" s="64">
        <f>datos_base!H5</f>
        <v>18878</v>
      </c>
      <c r="I42" s="64">
        <f>datos_base!I5</f>
        <v>23368</v>
      </c>
      <c r="J42" s="64">
        <f>datos_base!J5</f>
        <v>26968</v>
      </c>
      <c r="K42" s="64">
        <f>datos_base!K5</f>
        <v>30751</v>
      </c>
    </row>
    <row r="43" ht="15.75" customHeight="1">
      <c r="A43" s="30" t="s">
        <v>726</v>
      </c>
      <c r="B43" s="46">
        <f t="shared" ref="B43:K43" si="17">IF(B42=0,0,MAX(ROUNDUP(B42/$B$5,0),ROUNDUP(12/$B$6,0)))</f>
        <v>12</v>
      </c>
      <c r="C43" s="46">
        <f t="shared" si="17"/>
        <v>12</v>
      </c>
      <c r="D43" s="46">
        <f t="shared" si="17"/>
        <v>12</v>
      </c>
      <c r="E43" s="46">
        <f t="shared" si="17"/>
        <v>12</v>
      </c>
      <c r="F43" s="46">
        <f t="shared" si="17"/>
        <v>12</v>
      </c>
      <c r="G43" s="46">
        <f t="shared" si="17"/>
        <v>13</v>
      </c>
      <c r="H43" s="46">
        <f t="shared" si="17"/>
        <v>16</v>
      </c>
      <c r="I43" s="46">
        <f t="shared" si="17"/>
        <v>20</v>
      </c>
      <c r="J43" s="46">
        <f t="shared" si="17"/>
        <v>23</v>
      </c>
      <c r="K43" s="46">
        <f t="shared" si="17"/>
        <v>26</v>
      </c>
    </row>
    <row r="44" ht="15.75" customHeight="1">
      <c r="A44" s="30" t="s">
        <v>727</v>
      </c>
      <c r="B44" s="64">
        <f t="shared" ref="B44:K44" si="18">IFERROR(B42/B43,0)</f>
        <v>188</v>
      </c>
      <c r="C44" s="64">
        <f t="shared" si="18"/>
        <v>320.5833333</v>
      </c>
      <c r="D44" s="64">
        <f t="shared" si="18"/>
        <v>424.5</v>
      </c>
      <c r="E44" s="64">
        <f t="shared" si="18"/>
        <v>568.5833333</v>
      </c>
      <c r="F44" s="64">
        <f t="shared" si="18"/>
        <v>901.5833333</v>
      </c>
      <c r="G44" s="64">
        <f t="shared" si="18"/>
        <v>1123.538462</v>
      </c>
      <c r="H44" s="64">
        <f t="shared" si="18"/>
        <v>1179.875</v>
      </c>
      <c r="I44" s="64">
        <f t="shared" si="18"/>
        <v>1168.4</v>
      </c>
      <c r="J44" s="64">
        <f t="shared" si="18"/>
        <v>1172.521739</v>
      </c>
      <c r="K44" s="64">
        <f t="shared" si="18"/>
        <v>1182.730769</v>
      </c>
    </row>
    <row r="45" ht="15.75" customHeight="1">
      <c r="A45" s="30" t="s">
        <v>739</v>
      </c>
      <c r="B45" s="46">
        <f t="shared" ref="B45:K45" si="19">IF(B44=0,0,MIN(ROUNDUP(B44,0),LOOKUP(MAX(B44,2),$D$5:$D$14,$E$5:$E$14)))</f>
        <v>8</v>
      </c>
      <c r="C45" s="46">
        <f t="shared" si="19"/>
        <v>13</v>
      </c>
      <c r="D45" s="46">
        <f t="shared" si="19"/>
        <v>13</v>
      </c>
      <c r="E45" s="46">
        <f t="shared" si="19"/>
        <v>20</v>
      </c>
      <c r="F45" s="46">
        <f t="shared" si="19"/>
        <v>20</v>
      </c>
      <c r="G45" s="46">
        <f t="shared" si="19"/>
        <v>20</v>
      </c>
      <c r="H45" s="46">
        <f t="shared" si="19"/>
        <v>20</v>
      </c>
      <c r="I45" s="46">
        <f t="shared" si="19"/>
        <v>20</v>
      </c>
      <c r="J45" s="46">
        <f t="shared" si="19"/>
        <v>20</v>
      </c>
      <c r="K45" s="46">
        <f t="shared" si="19"/>
        <v>20</v>
      </c>
    </row>
    <row r="46" ht="15.75" customHeight="1">
      <c r="A46" s="30" t="s">
        <v>740</v>
      </c>
      <c r="B46" s="64">
        <f t="shared" ref="B46:K46" si="20">B43*B45</f>
        <v>96</v>
      </c>
      <c r="C46" s="64">
        <f t="shared" si="20"/>
        <v>156</v>
      </c>
      <c r="D46" s="64">
        <f t="shared" si="20"/>
        <v>156</v>
      </c>
      <c r="E46" s="64">
        <f t="shared" si="20"/>
        <v>240</v>
      </c>
      <c r="F46" s="64">
        <f t="shared" si="20"/>
        <v>240</v>
      </c>
      <c r="G46" s="64">
        <f t="shared" si="20"/>
        <v>260</v>
      </c>
      <c r="H46" s="64">
        <f t="shared" si="20"/>
        <v>320</v>
      </c>
      <c r="I46" s="64">
        <f t="shared" si="20"/>
        <v>400</v>
      </c>
      <c r="J46" s="64">
        <f t="shared" si="20"/>
        <v>460</v>
      </c>
      <c r="K46" s="64">
        <f t="shared" si="20"/>
        <v>520</v>
      </c>
    </row>
    <row r="47" ht="15.75" customHeight="1">
      <c r="A47" s="30" t="s">
        <v>741</v>
      </c>
      <c r="B47" s="64">
        <f>datos_base!B6</f>
        <v>92</v>
      </c>
      <c r="C47" s="64">
        <f>datos_base!C6</f>
        <v>177</v>
      </c>
      <c r="D47" s="64">
        <f>datos_base!D6</f>
        <v>253</v>
      </c>
      <c r="E47" s="64">
        <f>datos_base!E6</f>
        <v>358</v>
      </c>
      <c r="F47" s="64">
        <f>datos_base!F6</f>
        <v>603</v>
      </c>
      <c r="G47" s="64">
        <f>datos_base!G6</f>
        <v>872</v>
      </c>
      <c r="H47" s="64">
        <f>datos_base!H6</f>
        <v>1127</v>
      </c>
      <c r="I47" s="64">
        <f>datos_base!I6</f>
        <v>1395</v>
      </c>
      <c r="J47" s="64">
        <f>datos_base!J6</f>
        <v>1612</v>
      </c>
      <c r="K47" s="64">
        <f>datos_base!K6</f>
        <v>1841</v>
      </c>
    </row>
    <row r="48" ht="15.75" customHeight="1">
      <c r="A48" s="30" t="s">
        <v>729</v>
      </c>
      <c r="B48" s="46">
        <f t="shared" ref="B48:K48" si="21">IF(B47=0,0,MAX(ROUNDUP(B47/$B$5,0),ROUNDUP(12/$B$6,0)))</f>
        <v>12</v>
      </c>
      <c r="C48" s="46">
        <f t="shared" si="21"/>
        <v>12</v>
      </c>
      <c r="D48" s="46">
        <f t="shared" si="21"/>
        <v>12</v>
      </c>
      <c r="E48" s="46">
        <f t="shared" si="21"/>
        <v>12</v>
      </c>
      <c r="F48" s="46">
        <f t="shared" si="21"/>
        <v>12</v>
      </c>
      <c r="G48" s="46">
        <f t="shared" si="21"/>
        <v>12</v>
      </c>
      <c r="H48" s="46">
        <f t="shared" si="21"/>
        <v>12</v>
      </c>
      <c r="I48" s="46">
        <f t="shared" si="21"/>
        <v>12</v>
      </c>
      <c r="J48" s="46">
        <f t="shared" si="21"/>
        <v>12</v>
      </c>
      <c r="K48" s="46">
        <f t="shared" si="21"/>
        <v>12</v>
      </c>
    </row>
    <row r="49" ht="15.75" customHeight="1">
      <c r="A49" s="30" t="s">
        <v>730</v>
      </c>
      <c r="B49" s="64">
        <f t="shared" ref="B49:K49" si="22">IFERROR(B47/B48,0)</f>
        <v>7.666666667</v>
      </c>
      <c r="C49" s="64">
        <f t="shared" si="22"/>
        <v>14.75</v>
      </c>
      <c r="D49" s="64">
        <f t="shared" si="22"/>
        <v>21.08333333</v>
      </c>
      <c r="E49" s="64">
        <f t="shared" si="22"/>
        <v>29.83333333</v>
      </c>
      <c r="F49" s="64">
        <f t="shared" si="22"/>
        <v>50.25</v>
      </c>
      <c r="G49" s="64">
        <f t="shared" si="22"/>
        <v>72.66666667</v>
      </c>
      <c r="H49" s="64">
        <f t="shared" si="22"/>
        <v>93.91666667</v>
      </c>
      <c r="I49" s="64">
        <f t="shared" si="22"/>
        <v>116.25</v>
      </c>
      <c r="J49" s="64">
        <f t="shared" si="22"/>
        <v>134.3333333</v>
      </c>
      <c r="K49" s="64">
        <f t="shared" si="22"/>
        <v>153.4166667</v>
      </c>
    </row>
    <row r="50" ht="15.75" customHeight="1">
      <c r="A50" s="30" t="s">
        <v>742</v>
      </c>
      <c r="B50" s="46">
        <f t="shared" ref="B50:K50" si="23">IF(B49=0,0,MIN(ROUNDUP(B49,0),LOOKUP(MAX(B49,2),$D$5:$D$14,$E$5:$E$14)))</f>
        <v>2</v>
      </c>
      <c r="C50" s="46">
        <f t="shared" si="23"/>
        <v>3</v>
      </c>
      <c r="D50" s="46">
        <f t="shared" si="23"/>
        <v>3</v>
      </c>
      <c r="E50" s="46">
        <f t="shared" si="23"/>
        <v>5</v>
      </c>
      <c r="F50" s="46">
        <f t="shared" si="23"/>
        <v>5</v>
      </c>
      <c r="G50" s="46">
        <f t="shared" si="23"/>
        <v>5</v>
      </c>
      <c r="H50" s="46">
        <f t="shared" si="23"/>
        <v>8</v>
      </c>
      <c r="I50" s="46">
        <f t="shared" si="23"/>
        <v>8</v>
      </c>
      <c r="J50" s="46">
        <f t="shared" si="23"/>
        <v>8</v>
      </c>
      <c r="K50" s="46">
        <f t="shared" si="23"/>
        <v>8</v>
      </c>
    </row>
    <row r="51" ht="15.75" customHeight="1">
      <c r="A51" s="30" t="s">
        <v>743</v>
      </c>
      <c r="B51" s="64">
        <f t="shared" ref="B51:K51" si="24">B48*B50</f>
        <v>24</v>
      </c>
      <c r="C51" s="64">
        <f t="shared" si="24"/>
        <v>36</v>
      </c>
      <c r="D51" s="64">
        <f t="shared" si="24"/>
        <v>36</v>
      </c>
      <c r="E51" s="64">
        <f t="shared" si="24"/>
        <v>60</v>
      </c>
      <c r="F51" s="64">
        <f t="shared" si="24"/>
        <v>60</v>
      </c>
      <c r="G51" s="64">
        <f t="shared" si="24"/>
        <v>60</v>
      </c>
      <c r="H51" s="64">
        <f t="shared" si="24"/>
        <v>96</v>
      </c>
      <c r="I51" s="64">
        <f t="shared" si="24"/>
        <v>96</v>
      </c>
      <c r="J51" s="64">
        <f t="shared" si="24"/>
        <v>96</v>
      </c>
      <c r="K51" s="64">
        <f t="shared" si="24"/>
        <v>96</v>
      </c>
    </row>
    <row r="52" ht="15.75" customHeight="1"/>
    <row r="53" ht="15.75" customHeight="1">
      <c r="A53" s="45" t="s">
        <v>744</v>
      </c>
      <c r="B53" s="39">
        <v>2026.0</v>
      </c>
      <c r="C53" s="39">
        <v>2027.0</v>
      </c>
      <c r="D53" s="39">
        <v>2028.0</v>
      </c>
      <c r="E53" s="39">
        <v>2029.0</v>
      </c>
      <c r="F53" s="39">
        <v>2030.0</v>
      </c>
      <c r="G53" s="39">
        <v>2031.0</v>
      </c>
      <c r="H53" s="39">
        <v>2032.0</v>
      </c>
      <c r="I53" s="39">
        <v>2033.0</v>
      </c>
      <c r="J53" s="39">
        <v>2034.0</v>
      </c>
      <c r="K53" s="39">
        <v>2035.0</v>
      </c>
    </row>
    <row r="54" ht="15.75" customHeight="1">
      <c r="A54" s="30" t="s">
        <v>745</v>
      </c>
      <c r="B54" s="64">
        <f>datos_base!B7+datos_base!B19</f>
        <v>34</v>
      </c>
      <c r="C54" s="64">
        <f>datos_base!C7+datos_base!C19</f>
        <v>58</v>
      </c>
      <c r="D54" s="64">
        <f>datos_base!D7+datos_base!D19</f>
        <v>90</v>
      </c>
      <c r="E54" s="64">
        <f>datos_base!E7+datos_base!E19</f>
        <v>150</v>
      </c>
      <c r="F54" s="64">
        <f>datos_base!F7+datos_base!F19</f>
        <v>249</v>
      </c>
      <c r="G54" s="64">
        <f>datos_base!G7+datos_base!G19</f>
        <v>347</v>
      </c>
      <c r="H54" s="64">
        <f>datos_base!H7+datos_base!H19</f>
        <v>464</v>
      </c>
      <c r="I54" s="64">
        <f>datos_base!I7+datos_base!I19</f>
        <v>585</v>
      </c>
      <c r="J54" s="64">
        <f>datos_base!J7+datos_base!J19</f>
        <v>670</v>
      </c>
      <c r="K54" s="64">
        <f>datos_base!K7+datos_base!K19</f>
        <v>775</v>
      </c>
    </row>
    <row r="55" ht="15.75" customHeight="1">
      <c r="A55" s="30" t="s">
        <v>746</v>
      </c>
      <c r="B55" s="46">
        <f t="shared" ref="B55:K55" si="25">IF(B54=0,0,MAX(ROUNDUP(B54/$B$14,0),ROUNDUP(12/$B$12,0)))</f>
        <v>4</v>
      </c>
      <c r="C55" s="46">
        <f t="shared" si="25"/>
        <v>4</v>
      </c>
      <c r="D55" s="46">
        <f t="shared" si="25"/>
        <v>4</v>
      </c>
      <c r="E55" s="46">
        <f t="shared" si="25"/>
        <v>4</v>
      </c>
      <c r="F55" s="46">
        <f t="shared" si="25"/>
        <v>4</v>
      </c>
      <c r="G55" s="46">
        <f t="shared" si="25"/>
        <v>4</v>
      </c>
      <c r="H55" s="46">
        <f t="shared" si="25"/>
        <v>4</v>
      </c>
      <c r="I55" s="46">
        <f t="shared" si="25"/>
        <v>4</v>
      </c>
      <c r="J55" s="46">
        <f t="shared" si="25"/>
        <v>4</v>
      </c>
      <c r="K55" s="46">
        <f t="shared" si="25"/>
        <v>4</v>
      </c>
    </row>
    <row r="56" ht="15.75" customHeight="1">
      <c r="A56" s="30" t="s">
        <v>747</v>
      </c>
      <c r="B56" s="64">
        <f t="shared" ref="B56:K56" si="26">2*B54</f>
        <v>68</v>
      </c>
      <c r="C56" s="64">
        <f t="shared" si="26"/>
        <v>116</v>
      </c>
      <c r="D56" s="64">
        <f t="shared" si="26"/>
        <v>180</v>
      </c>
      <c r="E56" s="64">
        <f t="shared" si="26"/>
        <v>300</v>
      </c>
      <c r="F56" s="64">
        <f t="shared" si="26"/>
        <v>498</v>
      </c>
      <c r="G56" s="64">
        <f t="shared" si="26"/>
        <v>694</v>
      </c>
      <c r="H56" s="64">
        <f t="shared" si="26"/>
        <v>928</v>
      </c>
      <c r="I56" s="64">
        <f t="shared" si="26"/>
        <v>1170</v>
      </c>
      <c r="J56" s="64">
        <f t="shared" si="26"/>
        <v>1340</v>
      </c>
      <c r="K56" s="64">
        <f t="shared" si="26"/>
        <v>1550</v>
      </c>
    </row>
    <row r="57" ht="15.75" customHeight="1">
      <c r="A57" s="30" t="s">
        <v>748</v>
      </c>
      <c r="B57" s="64">
        <f>datos_base!B7</f>
        <v>34</v>
      </c>
      <c r="C57" s="64">
        <f>datos_base!C7</f>
        <v>58</v>
      </c>
      <c r="D57" s="64">
        <f>datos_base!D7</f>
        <v>76</v>
      </c>
      <c r="E57" s="64">
        <f>datos_base!E7</f>
        <v>100</v>
      </c>
      <c r="F57" s="64">
        <f>datos_base!F7</f>
        <v>156</v>
      </c>
      <c r="G57" s="64">
        <f>datos_base!G7</f>
        <v>212</v>
      </c>
      <c r="H57" s="64">
        <f>datos_base!H7</f>
        <v>273</v>
      </c>
      <c r="I57" s="64">
        <f>datos_base!I7</f>
        <v>338</v>
      </c>
      <c r="J57" s="64">
        <f>datos_base!J7</f>
        <v>393</v>
      </c>
      <c r="K57" s="64">
        <f>datos_base!K7</f>
        <v>453</v>
      </c>
    </row>
    <row r="58" ht="15.75" customHeight="1">
      <c r="A58" s="30" t="s">
        <v>749</v>
      </c>
      <c r="B58" s="46">
        <f t="shared" ref="B58:K58" si="27">IF(B57=0,0,MAX(ROUNDUP(B57/$B$14,0),ROUNDUP(12/$B$12,0)))</f>
        <v>4</v>
      </c>
      <c r="C58" s="46">
        <f t="shared" si="27"/>
        <v>4</v>
      </c>
      <c r="D58" s="46">
        <f t="shared" si="27"/>
        <v>4</v>
      </c>
      <c r="E58" s="46">
        <f t="shared" si="27"/>
        <v>4</v>
      </c>
      <c r="F58" s="46">
        <f t="shared" si="27"/>
        <v>4</v>
      </c>
      <c r="G58" s="46">
        <f t="shared" si="27"/>
        <v>4</v>
      </c>
      <c r="H58" s="46">
        <f t="shared" si="27"/>
        <v>4</v>
      </c>
      <c r="I58" s="46">
        <f t="shared" si="27"/>
        <v>4</v>
      </c>
      <c r="J58" s="46">
        <f t="shared" si="27"/>
        <v>4</v>
      </c>
      <c r="K58" s="46">
        <f t="shared" si="27"/>
        <v>4</v>
      </c>
    </row>
    <row r="59" ht="15.75" customHeight="1">
      <c r="A59" s="30" t="s">
        <v>750</v>
      </c>
      <c r="B59" s="64">
        <f t="shared" ref="B59:K59" si="28">IFERROR(B57/B58,0)</f>
        <v>8.5</v>
      </c>
      <c r="C59" s="64">
        <f t="shared" si="28"/>
        <v>14.5</v>
      </c>
      <c r="D59" s="64">
        <f t="shared" si="28"/>
        <v>19</v>
      </c>
      <c r="E59" s="64">
        <f t="shared" si="28"/>
        <v>25</v>
      </c>
      <c r="F59" s="64">
        <f t="shared" si="28"/>
        <v>39</v>
      </c>
      <c r="G59" s="64">
        <f t="shared" si="28"/>
        <v>53</v>
      </c>
      <c r="H59" s="64">
        <f t="shared" si="28"/>
        <v>68.25</v>
      </c>
      <c r="I59" s="64">
        <f t="shared" si="28"/>
        <v>84.5</v>
      </c>
      <c r="J59" s="64">
        <f t="shared" si="28"/>
        <v>98.25</v>
      </c>
      <c r="K59" s="64">
        <f t="shared" si="28"/>
        <v>113.25</v>
      </c>
    </row>
    <row r="60" ht="15.75" customHeight="1">
      <c r="A60" s="30" t="s">
        <v>751</v>
      </c>
      <c r="B60" s="46">
        <f t="shared" ref="B60:K60" si="29">IF(B59=0,0,MIN(ROUNDUP(B59,0),LOOKUP(MAX(B59,2),$D$5:$D$14,$E$5:$E$14)))</f>
        <v>2</v>
      </c>
      <c r="C60" s="46">
        <f t="shared" si="29"/>
        <v>3</v>
      </c>
      <c r="D60" s="46">
        <f t="shared" si="29"/>
        <v>3</v>
      </c>
      <c r="E60" s="46">
        <f t="shared" si="29"/>
        <v>3</v>
      </c>
      <c r="F60" s="46">
        <f t="shared" si="29"/>
        <v>5</v>
      </c>
      <c r="G60" s="46">
        <f t="shared" si="29"/>
        <v>5</v>
      </c>
      <c r="H60" s="46">
        <f t="shared" si="29"/>
        <v>5</v>
      </c>
      <c r="I60" s="46">
        <f t="shared" si="29"/>
        <v>5</v>
      </c>
      <c r="J60" s="46">
        <f t="shared" si="29"/>
        <v>8</v>
      </c>
      <c r="K60" s="46">
        <f t="shared" si="29"/>
        <v>8</v>
      </c>
    </row>
    <row r="61" ht="15.75" customHeight="1">
      <c r="A61" s="30" t="s">
        <v>752</v>
      </c>
      <c r="B61" s="64">
        <f t="shared" ref="B61:K61" si="30">B58*B60</f>
        <v>8</v>
      </c>
      <c r="C61" s="64">
        <f t="shared" si="30"/>
        <v>12</v>
      </c>
      <c r="D61" s="64">
        <f t="shared" si="30"/>
        <v>12</v>
      </c>
      <c r="E61" s="64">
        <f t="shared" si="30"/>
        <v>12</v>
      </c>
      <c r="F61" s="64">
        <f t="shared" si="30"/>
        <v>20</v>
      </c>
      <c r="G61" s="64">
        <f t="shared" si="30"/>
        <v>20</v>
      </c>
      <c r="H61" s="64">
        <f t="shared" si="30"/>
        <v>20</v>
      </c>
      <c r="I61" s="64">
        <f t="shared" si="30"/>
        <v>20</v>
      </c>
      <c r="J61" s="64">
        <f t="shared" si="30"/>
        <v>32</v>
      </c>
      <c r="K61" s="64">
        <f t="shared" si="30"/>
        <v>32</v>
      </c>
    </row>
    <row r="62" ht="15.75" customHeight="1">
      <c r="A62" s="30" t="s">
        <v>753</v>
      </c>
      <c r="B62" s="64">
        <f>datos_base!B8+datos_base!B20</f>
        <v>75</v>
      </c>
      <c r="C62" s="64">
        <f>datos_base!C8+datos_base!C20</f>
        <v>128</v>
      </c>
      <c r="D62" s="64">
        <f>datos_base!D8+datos_base!D20</f>
        <v>198</v>
      </c>
      <c r="E62" s="64">
        <f>datos_base!E8+datos_base!E20</f>
        <v>332</v>
      </c>
      <c r="F62" s="64">
        <f>datos_base!F8+datos_base!F20</f>
        <v>548</v>
      </c>
      <c r="G62" s="64">
        <f>datos_base!G8+datos_base!G20</f>
        <v>764</v>
      </c>
      <c r="H62" s="64">
        <f>datos_base!H8+datos_base!H20</f>
        <v>1020</v>
      </c>
      <c r="I62" s="64">
        <f>datos_base!I8+datos_base!I20</f>
        <v>1287</v>
      </c>
      <c r="J62" s="64">
        <f>datos_base!J8+datos_base!J20</f>
        <v>1476</v>
      </c>
      <c r="K62" s="64">
        <f>datos_base!K8+datos_base!K20</f>
        <v>1705</v>
      </c>
    </row>
    <row r="63" ht="15.75" customHeight="1">
      <c r="A63" s="30" t="s">
        <v>754</v>
      </c>
      <c r="B63" s="46">
        <f t="shared" ref="B63:K63" si="31">IF(B62=0,0,MAX(ROUNDUP(B62/$B$14,0),ROUNDUP(12/$B$12,0)))</f>
        <v>4</v>
      </c>
      <c r="C63" s="46">
        <f t="shared" si="31"/>
        <v>4</v>
      </c>
      <c r="D63" s="46">
        <f t="shared" si="31"/>
        <v>4</v>
      </c>
      <c r="E63" s="46">
        <f t="shared" si="31"/>
        <v>4</v>
      </c>
      <c r="F63" s="46">
        <f t="shared" si="31"/>
        <v>4</v>
      </c>
      <c r="G63" s="46">
        <f t="shared" si="31"/>
        <v>4</v>
      </c>
      <c r="H63" s="46">
        <f t="shared" si="31"/>
        <v>4</v>
      </c>
      <c r="I63" s="46">
        <f t="shared" si="31"/>
        <v>5</v>
      </c>
      <c r="J63" s="46">
        <f t="shared" si="31"/>
        <v>6</v>
      </c>
      <c r="K63" s="46">
        <f t="shared" si="31"/>
        <v>7</v>
      </c>
    </row>
    <row r="64" ht="15.75" customHeight="1">
      <c r="A64" s="30" t="s">
        <v>755</v>
      </c>
      <c r="B64" s="64">
        <f t="shared" ref="B64:K64" si="32">2*B62</f>
        <v>150</v>
      </c>
      <c r="C64" s="64">
        <f t="shared" si="32"/>
        <v>256</v>
      </c>
      <c r="D64" s="64">
        <f t="shared" si="32"/>
        <v>396</v>
      </c>
      <c r="E64" s="64">
        <f t="shared" si="32"/>
        <v>664</v>
      </c>
      <c r="F64" s="64">
        <f t="shared" si="32"/>
        <v>1096</v>
      </c>
      <c r="G64" s="64">
        <f t="shared" si="32"/>
        <v>1528</v>
      </c>
      <c r="H64" s="64">
        <f t="shared" si="32"/>
        <v>2040</v>
      </c>
      <c r="I64" s="64">
        <f t="shared" si="32"/>
        <v>2574</v>
      </c>
      <c r="J64" s="64">
        <f t="shared" si="32"/>
        <v>2952</v>
      </c>
      <c r="K64" s="64">
        <f t="shared" si="32"/>
        <v>3410</v>
      </c>
    </row>
    <row r="65" ht="15.75" customHeight="1">
      <c r="A65" s="30" t="s">
        <v>756</v>
      </c>
      <c r="B65" s="64">
        <f>datos_base!B8</f>
        <v>75</v>
      </c>
      <c r="C65" s="64">
        <f>datos_base!C8</f>
        <v>128</v>
      </c>
      <c r="D65" s="64">
        <f>datos_base!D8</f>
        <v>166</v>
      </c>
      <c r="E65" s="64">
        <f>datos_base!E8</f>
        <v>221</v>
      </c>
      <c r="F65" s="64">
        <f>datos_base!F8</f>
        <v>343</v>
      </c>
      <c r="G65" s="64">
        <f>datos_base!G8</f>
        <v>466</v>
      </c>
      <c r="H65" s="64">
        <f>datos_base!H8</f>
        <v>599</v>
      </c>
      <c r="I65" s="64">
        <f>datos_base!I8</f>
        <v>743</v>
      </c>
      <c r="J65" s="64">
        <f>datos_base!J8</f>
        <v>866</v>
      </c>
      <c r="K65" s="64">
        <f>datos_base!K8</f>
        <v>997</v>
      </c>
    </row>
    <row r="66" ht="15.75" customHeight="1">
      <c r="A66" s="30" t="s">
        <v>757</v>
      </c>
      <c r="B66" s="46">
        <f t="shared" ref="B66:K66" si="33">IF(B65=0,0,MAX(ROUNDUP(B65/$B$14,0),ROUNDUP(12/$B$12,0)))</f>
        <v>4</v>
      </c>
      <c r="C66" s="46">
        <f t="shared" si="33"/>
        <v>4</v>
      </c>
      <c r="D66" s="46">
        <f t="shared" si="33"/>
        <v>4</v>
      </c>
      <c r="E66" s="46">
        <f t="shared" si="33"/>
        <v>4</v>
      </c>
      <c r="F66" s="46">
        <f t="shared" si="33"/>
        <v>4</v>
      </c>
      <c r="G66" s="46">
        <f t="shared" si="33"/>
        <v>4</v>
      </c>
      <c r="H66" s="46">
        <f t="shared" si="33"/>
        <v>4</v>
      </c>
      <c r="I66" s="46">
        <f t="shared" si="33"/>
        <v>4</v>
      </c>
      <c r="J66" s="46">
        <f t="shared" si="33"/>
        <v>4</v>
      </c>
      <c r="K66" s="46">
        <f t="shared" si="33"/>
        <v>4</v>
      </c>
    </row>
    <row r="67" ht="15.75" customHeight="1">
      <c r="A67" s="30" t="s">
        <v>758</v>
      </c>
      <c r="B67" s="64">
        <f t="shared" ref="B67:K67" si="34">IFERROR(B65/B66,0)</f>
        <v>18.75</v>
      </c>
      <c r="C67" s="64">
        <f t="shared" si="34"/>
        <v>32</v>
      </c>
      <c r="D67" s="64">
        <f t="shared" si="34"/>
        <v>41.5</v>
      </c>
      <c r="E67" s="64">
        <f t="shared" si="34"/>
        <v>55.25</v>
      </c>
      <c r="F67" s="64">
        <f t="shared" si="34"/>
        <v>85.75</v>
      </c>
      <c r="G67" s="64">
        <f t="shared" si="34"/>
        <v>116.5</v>
      </c>
      <c r="H67" s="64">
        <f t="shared" si="34"/>
        <v>149.75</v>
      </c>
      <c r="I67" s="64">
        <f t="shared" si="34"/>
        <v>185.75</v>
      </c>
      <c r="J67" s="64">
        <f t="shared" si="34"/>
        <v>216.5</v>
      </c>
      <c r="K67" s="64">
        <f t="shared" si="34"/>
        <v>249.25</v>
      </c>
    </row>
    <row r="68" ht="15.75" customHeight="1">
      <c r="A68" s="30" t="s">
        <v>759</v>
      </c>
      <c r="B68" s="46">
        <f t="shared" ref="B68:K68" si="35">IF(B67=0,0,MIN(ROUNDUP(B67,0),LOOKUP(MAX(B67,2),$D$5:$D$14,$E$5:$E$14)))</f>
        <v>3</v>
      </c>
      <c r="C68" s="46">
        <f t="shared" si="35"/>
        <v>5</v>
      </c>
      <c r="D68" s="46">
        <f t="shared" si="35"/>
        <v>5</v>
      </c>
      <c r="E68" s="46">
        <f t="shared" si="35"/>
        <v>5</v>
      </c>
      <c r="F68" s="46">
        <f t="shared" si="35"/>
        <v>5</v>
      </c>
      <c r="G68" s="46">
        <f t="shared" si="35"/>
        <v>8</v>
      </c>
      <c r="H68" s="46">
        <f t="shared" si="35"/>
        <v>8</v>
      </c>
      <c r="I68" s="46">
        <f t="shared" si="35"/>
        <v>8</v>
      </c>
      <c r="J68" s="46">
        <f t="shared" si="35"/>
        <v>8</v>
      </c>
      <c r="K68" s="46">
        <f t="shared" si="35"/>
        <v>8</v>
      </c>
    </row>
    <row r="69" ht="15.75" customHeight="1">
      <c r="A69" s="30" t="s">
        <v>760</v>
      </c>
      <c r="B69" s="64">
        <f t="shared" ref="B69:K69" si="36">B66*B68</f>
        <v>12</v>
      </c>
      <c r="C69" s="64">
        <f t="shared" si="36"/>
        <v>20</v>
      </c>
      <c r="D69" s="64">
        <f t="shared" si="36"/>
        <v>20</v>
      </c>
      <c r="E69" s="64">
        <f t="shared" si="36"/>
        <v>20</v>
      </c>
      <c r="F69" s="64">
        <f t="shared" si="36"/>
        <v>20</v>
      </c>
      <c r="G69" s="64">
        <f t="shared" si="36"/>
        <v>32</v>
      </c>
      <c r="H69" s="64">
        <f t="shared" si="36"/>
        <v>32</v>
      </c>
      <c r="I69" s="64">
        <f t="shared" si="36"/>
        <v>32</v>
      </c>
      <c r="J69" s="64">
        <f t="shared" si="36"/>
        <v>32</v>
      </c>
      <c r="K69" s="64">
        <f t="shared" si="36"/>
        <v>32</v>
      </c>
    </row>
    <row r="70" ht="15.75" customHeight="1">
      <c r="A70" s="30" t="s">
        <v>761</v>
      </c>
      <c r="B70" s="64">
        <f>datos_base!B9+datos_base!B21</f>
        <v>16</v>
      </c>
      <c r="C70" s="64">
        <f>datos_base!C9+datos_base!C21</f>
        <v>29</v>
      </c>
      <c r="D70" s="64">
        <f>datos_base!D9+datos_base!D21</f>
        <v>43</v>
      </c>
      <c r="E70" s="64">
        <f>datos_base!E9+datos_base!E21</f>
        <v>72</v>
      </c>
      <c r="F70" s="64">
        <f>datos_base!F9+datos_base!F21</f>
        <v>119</v>
      </c>
      <c r="G70" s="64">
        <f>datos_base!G9+datos_base!G21</f>
        <v>166</v>
      </c>
      <c r="H70" s="64">
        <f>datos_base!H9+datos_base!H21</f>
        <v>223</v>
      </c>
      <c r="I70" s="64">
        <f>datos_base!I9+datos_base!I21</f>
        <v>282</v>
      </c>
      <c r="J70" s="64">
        <f>datos_base!J9+datos_base!J21</f>
        <v>322</v>
      </c>
      <c r="K70" s="64">
        <f>datos_base!K9+datos_base!K21</f>
        <v>373</v>
      </c>
    </row>
    <row r="71" ht="15.75" customHeight="1">
      <c r="A71" s="30" t="s">
        <v>762</v>
      </c>
      <c r="B71" s="46">
        <f t="shared" ref="B71:K71" si="37">IF(B70=0,0,MAX(ROUNDUP(B70/$B$14,0),ROUNDUP(12/$B$12,0)))</f>
        <v>4</v>
      </c>
      <c r="C71" s="46">
        <f t="shared" si="37"/>
        <v>4</v>
      </c>
      <c r="D71" s="46">
        <f t="shared" si="37"/>
        <v>4</v>
      </c>
      <c r="E71" s="46">
        <f t="shared" si="37"/>
        <v>4</v>
      </c>
      <c r="F71" s="46">
        <f t="shared" si="37"/>
        <v>4</v>
      </c>
      <c r="G71" s="46">
        <f t="shared" si="37"/>
        <v>4</v>
      </c>
      <c r="H71" s="46">
        <f t="shared" si="37"/>
        <v>4</v>
      </c>
      <c r="I71" s="46">
        <f t="shared" si="37"/>
        <v>4</v>
      </c>
      <c r="J71" s="46">
        <f t="shared" si="37"/>
        <v>4</v>
      </c>
      <c r="K71" s="46">
        <f t="shared" si="37"/>
        <v>4</v>
      </c>
    </row>
    <row r="72" ht="15.75" customHeight="1">
      <c r="A72" s="30" t="s">
        <v>763</v>
      </c>
      <c r="B72" s="64">
        <f t="shared" ref="B72:K72" si="38">2*B70</f>
        <v>32</v>
      </c>
      <c r="C72" s="64">
        <f t="shared" si="38"/>
        <v>58</v>
      </c>
      <c r="D72" s="64">
        <f t="shared" si="38"/>
        <v>86</v>
      </c>
      <c r="E72" s="64">
        <f t="shared" si="38"/>
        <v>144</v>
      </c>
      <c r="F72" s="64">
        <f t="shared" si="38"/>
        <v>238</v>
      </c>
      <c r="G72" s="64">
        <f t="shared" si="38"/>
        <v>332</v>
      </c>
      <c r="H72" s="64">
        <f t="shared" si="38"/>
        <v>446</v>
      </c>
      <c r="I72" s="64">
        <f t="shared" si="38"/>
        <v>564</v>
      </c>
      <c r="J72" s="64">
        <f t="shared" si="38"/>
        <v>644</v>
      </c>
      <c r="K72" s="64">
        <f t="shared" si="38"/>
        <v>746</v>
      </c>
    </row>
    <row r="73" ht="15.75" customHeight="1">
      <c r="A73" s="30" t="s">
        <v>764</v>
      </c>
      <c r="B73" s="64">
        <f>datos_base!B9</f>
        <v>16</v>
      </c>
      <c r="C73" s="64">
        <f>datos_base!C9</f>
        <v>29</v>
      </c>
      <c r="D73" s="64">
        <f>datos_base!D9</f>
        <v>36</v>
      </c>
      <c r="E73" s="64">
        <f>datos_base!E9</f>
        <v>48</v>
      </c>
      <c r="F73" s="64">
        <f>datos_base!F9</f>
        <v>74</v>
      </c>
      <c r="G73" s="64">
        <f>datos_base!G9</f>
        <v>101</v>
      </c>
      <c r="H73" s="64">
        <f>datos_base!H9</f>
        <v>131</v>
      </c>
      <c r="I73" s="64">
        <f>datos_base!I9</f>
        <v>163</v>
      </c>
      <c r="J73" s="64">
        <f>datos_base!J9</f>
        <v>189</v>
      </c>
      <c r="K73" s="64">
        <f>datos_base!K9</f>
        <v>218</v>
      </c>
    </row>
    <row r="74" ht="15.75" customHeight="1">
      <c r="A74" s="30" t="s">
        <v>765</v>
      </c>
      <c r="B74" s="46">
        <f t="shared" ref="B74:K74" si="39">IF(B73=0,0,MAX(ROUNDUP(B73/$B$14,0),ROUNDUP(12/$B$12,0)))</f>
        <v>4</v>
      </c>
      <c r="C74" s="46">
        <f t="shared" si="39"/>
        <v>4</v>
      </c>
      <c r="D74" s="46">
        <f t="shared" si="39"/>
        <v>4</v>
      </c>
      <c r="E74" s="46">
        <f t="shared" si="39"/>
        <v>4</v>
      </c>
      <c r="F74" s="46">
        <f t="shared" si="39"/>
        <v>4</v>
      </c>
      <c r="G74" s="46">
        <f t="shared" si="39"/>
        <v>4</v>
      </c>
      <c r="H74" s="46">
        <f t="shared" si="39"/>
        <v>4</v>
      </c>
      <c r="I74" s="46">
        <f t="shared" si="39"/>
        <v>4</v>
      </c>
      <c r="J74" s="46">
        <f t="shared" si="39"/>
        <v>4</v>
      </c>
      <c r="K74" s="46">
        <f t="shared" si="39"/>
        <v>4</v>
      </c>
    </row>
    <row r="75" ht="15.75" customHeight="1">
      <c r="A75" s="30" t="s">
        <v>766</v>
      </c>
      <c r="B75" s="64">
        <f t="shared" ref="B75:K75" si="40">IFERROR(B73/B74,0)</f>
        <v>4</v>
      </c>
      <c r="C75" s="64">
        <f t="shared" si="40"/>
        <v>7.25</v>
      </c>
      <c r="D75" s="64">
        <f t="shared" si="40"/>
        <v>9</v>
      </c>
      <c r="E75" s="64">
        <f t="shared" si="40"/>
        <v>12</v>
      </c>
      <c r="F75" s="64">
        <f t="shared" si="40"/>
        <v>18.5</v>
      </c>
      <c r="G75" s="64">
        <f t="shared" si="40"/>
        <v>25.25</v>
      </c>
      <c r="H75" s="64">
        <f t="shared" si="40"/>
        <v>32.75</v>
      </c>
      <c r="I75" s="64">
        <f t="shared" si="40"/>
        <v>40.75</v>
      </c>
      <c r="J75" s="64">
        <f t="shared" si="40"/>
        <v>47.25</v>
      </c>
      <c r="K75" s="64">
        <f t="shared" si="40"/>
        <v>54.5</v>
      </c>
    </row>
    <row r="76" ht="15.75" customHeight="1">
      <c r="A76" s="30" t="s">
        <v>767</v>
      </c>
      <c r="B76" s="46">
        <f t="shared" ref="B76:K76" si="41">IF(B75=0,0,MIN(ROUNDUP(B75,0),LOOKUP(MAX(B75,2),$D$5:$D$14,$E$5:$E$14)))</f>
        <v>2</v>
      </c>
      <c r="C76" s="46">
        <f t="shared" si="41"/>
        <v>2</v>
      </c>
      <c r="D76" s="46">
        <f t="shared" si="41"/>
        <v>3</v>
      </c>
      <c r="E76" s="46">
        <f t="shared" si="41"/>
        <v>3</v>
      </c>
      <c r="F76" s="46">
        <f t="shared" si="41"/>
        <v>3</v>
      </c>
      <c r="G76" s="46">
        <f t="shared" si="41"/>
        <v>3</v>
      </c>
      <c r="H76" s="46">
        <f t="shared" si="41"/>
        <v>5</v>
      </c>
      <c r="I76" s="46">
        <f t="shared" si="41"/>
        <v>5</v>
      </c>
      <c r="J76" s="46">
        <f t="shared" si="41"/>
        <v>5</v>
      </c>
      <c r="K76" s="46">
        <f t="shared" si="41"/>
        <v>5</v>
      </c>
    </row>
    <row r="77" ht="15.75" customHeight="1">
      <c r="A77" s="30" t="s">
        <v>768</v>
      </c>
      <c r="B77" s="64">
        <f t="shared" ref="B77:K77" si="42">B74*B76</f>
        <v>8</v>
      </c>
      <c r="C77" s="64">
        <f t="shared" si="42"/>
        <v>8</v>
      </c>
      <c r="D77" s="64">
        <f t="shared" si="42"/>
        <v>12</v>
      </c>
      <c r="E77" s="64">
        <f t="shared" si="42"/>
        <v>12</v>
      </c>
      <c r="F77" s="64">
        <f t="shared" si="42"/>
        <v>12</v>
      </c>
      <c r="G77" s="64">
        <f t="shared" si="42"/>
        <v>12</v>
      </c>
      <c r="H77" s="64">
        <f t="shared" si="42"/>
        <v>20</v>
      </c>
      <c r="I77" s="64">
        <f t="shared" si="42"/>
        <v>20</v>
      </c>
      <c r="J77" s="64">
        <f t="shared" si="42"/>
        <v>20</v>
      </c>
      <c r="K77" s="64">
        <f t="shared" si="42"/>
        <v>20</v>
      </c>
    </row>
    <row r="78" ht="15.75" customHeight="1">
      <c r="A78" s="30" t="s">
        <v>769</v>
      </c>
      <c r="B78" s="64">
        <f>datos_base!B10+datos_base!B22</f>
        <v>11</v>
      </c>
      <c r="C78" s="64">
        <f>datos_base!C10+datos_base!C22</f>
        <v>18</v>
      </c>
      <c r="D78" s="64">
        <f>datos_base!D10+datos_base!D22</f>
        <v>29</v>
      </c>
      <c r="E78" s="64">
        <f>datos_base!E10+datos_base!E22</f>
        <v>49</v>
      </c>
      <c r="F78" s="64">
        <f>datos_base!F10+datos_base!F22</f>
        <v>80</v>
      </c>
      <c r="G78" s="64">
        <f>datos_base!G10+datos_base!G22</f>
        <v>110</v>
      </c>
      <c r="H78" s="64">
        <f>datos_base!H10+datos_base!H22</f>
        <v>147</v>
      </c>
      <c r="I78" s="64">
        <f>datos_base!I10+datos_base!I22</f>
        <v>186</v>
      </c>
      <c r="J78" s="64">
        <f>datos_base!J10+datos_base!J22</f>
        <v>214</v>
      </c>
      <c r="K78" s="64">
        <f>datos_base!K10+datos_base!K22</f>
        <v>247</v>
      </c>
    </row>
    <row r="79" ht="15.75" customHeight="1">
      <c r="A79" s="30" t="s">
        <v>770</v>
      </c>
      <c r="B79" s="46">
        <f t="shared" ref="B79:K79" si="43">IF(B78=0,0,MAX(ROUNDUP(B78/$B$14,0),ROUNDUP(12/$B$12,0)))</f>
        <v>4</v>
      </c>
      <c r="C79" s="46">
        <f t="shared" si="43"/>
        <v>4</v>
      </c>
      <c r="D79" s="46">
        <f t="shared" si="43"/>
        <v>4</v>
      </c>
      <c r="E79" s="46">
        <f t="shared" si="43"/>
        <v>4</v>
      </c>
      <c r="F79" s="46">
        <f t="shared" si="43"/>
        <v>4</v>
      </c>
      <c r="G79" s="46">
        <f t="shared" si="43"/>
        <v>4</v>
      </c>
      <c r="H79" s="46">
        <f t="shared" si="43"/>
        <v>4</v>
      </c>
      <c r="I79" s="46">
        <f t="shared" si="43"/>
        <v>4</v>
      </c>
      <c r="J79" s="46">
        <f t="shared" si="43"/>
        <v>4</v>
      </c>
      <c r="K79" s="46">
        <f t="shared" si="43"/>
        <v>4</v>
      </c>
    </row>
    <row r="80" ht="15.75" customHeight="1">
      <c r="A80" s="30" t="s">
        <v>771</v>
      </c>
      <c r="B80" s="64">
        <f t="shared" ref="B80:K80" si="44">2*B78</f>
        <v>22</v>
      </c>
      <c r="C80" s="64">
        <f t="shared" si="44"/>
        <v>36</v>
      </c>
      <c r="D80" s="64">
        <f t="shared" si="44"/>
        <v>58</v>
      </c>
      <c r="E80" s="64">
        <f t="shared" si="44"/>
        <v>98</v>
      </c>
      <c r="F80" s="64">
        <f t="shared" si="44"/>
        <v>160</v>
      </c>
      <c r="G80" s="64">
        <f t="shared" si="44"/>
        <v>220</v>
      </c>
      <c r="H80" s="64">
        <f t="shared" si="44"/>
        <v>294</v>
      </c>
      <c r="I80" s="64">
        <f t="shared" si="44"/>
        <v>372</v>
      </c>
      <c r="J80" s="64">
        <f t="shared" si="44"/>
        <v>428</v>
      </c>
      <c r="K80" s="64">
        <f t="shared" si="44"/>
        <v>494</v>
      </c>
    </row>
    <row r="81" ht="15.75" customHeight="1">
      <c r="A81" s="30" t="s">
        <v>772</v>
      </c>
      <c r="B81" s="64">
        <f>datos_base!B10</f>
        <v>11</v>
      </c>
      <c r="C81" s="64">
        <f>datos_base!C10</f>
        <v>18</v>
      </c>
      <c r="D81" s="64">
        <f>datos_base!D10</f>
        <v>24</v>
      </c>
      <c r="E81" s="64">
        <f>datos_base!E10</f>
        <v>33</v>
      </c>
      <c r="F81" s="64">
        <f>datos_base!F10</f>
        <v>50</v>
      </c>
      <c r="G81" s="64">
        <f>datos_base!G10</f>
        <v>67</v>
      </c>
      <c r="H81" s="64">
        <f>datos_base!H10</f>
        <v>87</v>
      </c>
      <c r="I81" s="64">
        <f>datos_base!I10</f>
        <v>108</v>
      </c>
      <c r="J81" s="64">
        <f>datos_base!J10</f>
        <v>126</v>
      </c>
      <c r="K81" s="64">
        <f>datos_base!K10</f>
        <v>145</v>
      </c>
    </row>
    <row r="82" ht="15.75" customHeight="1">
      <c r="A82" s="30" t="s">
        <v>773</v>
      </c>
      <c r="B82" s="46">
        <f t="shared" ref="B82:K82" si="45">IF(B81=0,0,MAX(ROUNDUP(B81/$B$14,0),ROUNDUP(12/$B$12,0)))</f>
        <v>4</v>
      </c>
      <c r="C82" s="46">
        <f t="shared" si="45"/>
        <v>4</v>
      </c>
      <c r="D82" s="46">
        <f t="shared" si="45"/>
        <v>4</v>
      </c>
      <c r="E82" s="46">
        <f t="shared" si="45"/>
        <v>4</v>
      </c>
      <c r="F82" s="46">
        <f t="shared" si="45"/>
        <v>4</v>
      </c>
      <c r="G82" s="46">
        <f t="shared" si="45"/>
        <v>4</v>
      </c>
      <c r="H82" s="46">
        <f t="shared" si="45"/>
        <v>4</v>
      </c>
      <c r="I82" s="46">
        <f t="shared" si="45"/>
        <v>4</v>
      </c>
      <c r="J82" s="46">
        <f t="shared" si="45"/>
        <v>4</v>
      </c>
      <c r="K82" s="46">
        <f t="shared" si="45"/>
        <v>4</v>
      </c>
    </row>
    <row r="83" ht="15.75" customHeight="1">
      <c r="A83" s="30" t="s">
        <v>774</v>
      </c>
      <c r="B83" s="64">
        <f t="shared" ref="B83:K83" si="46">IFERROR(B81/B82,0)</f>
        <v>2.75</v>
      </c>
      <c r="C83" s="64">
        <f t="shared" si="46"/>
        <v>4.5</v>
      </c>
      <c r="D83" s="64">
        <f t="shared" si="46"/>
        <v>6</v>
      </c>
      <c r="E83" s="64">
        <f t="shared" si="46"/>
        <v>8.25</v>
      </c>
      <c r="F83" s="64">
        <f t="shared" si="46"/>
        <v>12.5</v>
      </c>
      <c r="G83" s="64">
        <f t="shared" si="46"/>
        <v>16.75</v>
      </c>
      <c r="H83" s="64">
        <f t="shared" si="46"/>
        <v>21.75</v>
      </c>
      <c r="I83" s="64">
        <f t="shared" si="46"/>
        <v>27</v>
      </c>
      <c r="J83" s="64">
        <f t="shared" si="46"/>
        <v>31.5</v>
      </c>
      <c r="K83" s="64">
        <f t="shared" si="46"/>
        <v>36.25</v>
      </c>
    </row>
    <row r="84" ht="15.75" customHeight="1">
      <c r="A84" s="30" t="s">
        <v>775</v>
      </c>
      <c r="B84" s="46">
        <f t="shared" ref="B84:K84" si="47">IF(B83=0,0,MIN(ROUNDUP(B83,0),LOOKUP(MAX(B83,2),$D$5:$D$14,$E$5:$E$14)))</f>
        <v>2</v>
      </c>
      <c r="C84" s="46">
        <f t="shared" si="47"/>
        <v>2</v>
      </c>
      <c r="D84" s="46">
        <f t="shared" si="47"/>
        <v>2</v>
      </c>
      <c r="E84" s="46">
        <f t="shared" si="47"/>
        <v>2</v>
      </c>
      <c r="F84" s="46">
        <f t="shared" si="47"/>
        <v>3</v>
      </c>
      <c r="G84" s="46">
        <f t="shared" si="47"/>
        <v>3</v>
      </c>
      <c r="H84" s="46">
        <f t="shared" si="47"/>
        <v>3</v>
      </c>
      <c r="I84" s="46">
        <f t="shared" si="47"/>
        <v>5</v>
      </c>
      <c r="J84" s="46">
        <f t="shared" si="47"/>
        <v>5</v>
      </c>
      <c r="K84" s="46">
        <f t="shared" si="47"/>
        <v>5</v>
      </c>
    </row>
    <row r="85" ht="15.75" customHeight="1">
      <c r="A85" s="30" t="s">
        <v>776</v>
      </c>
      <c r="B85" s="64">
        <f t="shared" ref="B85:K85" si="48">B82*B84</f>
        <v>8</v>
      </c>
      <c r="C85" s="64">
        <f t="shared" si="48"/>
        <v>8</v>
      </c>
      <c r="D85" s="64">
        <f t="shared" si="48"/>
        <v>8</v>
      </c>
      <c r="E85" s="64">
        <f t="shared" si="48"/>
        <v>8</v>
      </c>
      <c r="F85" s="64">
        <f t="shared" si="48"/>
        <v>12</v>
      </c>
      <c r="G85" s="64">
        <f t="shared" si="48"/>
        <v>12</v>
      </c>
      <c r="H85" s="64">
        <f t="shared" si="48"/>
        <v>12</v>
      </c>
      <c r="I85" s="64">
        <f t="shared" si="48"/>
        <v>20</v>
      </c>
      <c r="J85" s="64">
        <f t="shared" si="48"/>
        <v>20</v>
      </c>
      <c r="K85" s="64">
        <f t="shared" si="48"/>
        <v>20</v>
      </c>
    </row>
    <row r="86" ht="15.75" customHeight="1"/>
    <row r="87" ht="15.75" customHeight="1">
      <c r="A87" s="45" t="s">
        <v>777</v>
      </c>
      <c r="B87" s="39">
        <v>2026.0</v>
      </c>
      <c r="C87" s="39">
        <v>2027.0</v>
      </c>
      <c r="D87" s="39">
        <v>2028.0</v>
      </c>
      <c r="E87" s="39">
        <v>2029.0</v>
      </c>
      <c r="F87" s="39">
        <v>2030.0</v>
      </c>
      <c r="G87" s="39">
        <v>2031.0</v>
      </c>
      <c r="H87" s="39">
        <v>2032.0</v>
      </c>
      <c r="I87" s="39">
        <v>2033.0</v>
      </c>
      <c r="J87" s="39">
        <v>2034.0</v>
      </c>
      <c r="K87" s="39">
        <v>2035.0</v>
      </c>
    </row>
    <row r="88" ht="15.75" customHeight="1">
      <c r="A88" s="73" t="s">
        <v>778</v>
      </c>
      <c r="B88" s="84">
        <f t="shared" ref="B88:K88" si="49">B19+B22+B25+B28+B55+B63+B71+B79</f>
        <v>64</v>
      </c>
      <c r="C88" s="84">
        <f t="shared" si="49"/>
        <v>64</v>
      </c>
      <c r="D88" s="84">
        <f t="shared" si="49"/>
        <v>65</v>
      </c>
      <c r="E88" s="84">
        <f t="shared" si="49"/>
        <v>82</v>
      </c>
      <c r="F88" s="84">
        <f t="shared" si="49"/>
        <v>109</v>
      </c>
      <c r="G88" s="84">
        <f t="shared" si="49"/>
        <v>137</v>
      </c>
      <c r="H88" s="84">
        <f t="shared" si="49"/>
        <v>175</v>
      </c>
      <c r="I88" s="84">
        <f t="shared" si="49"/>
        <v>213</v>
      </c>
      <c r="J88" s="84">
        <f t="shared" si="49"/>
        <v>236</v>
      </c>
      <c r="K88" s="84">
        <f t="shared" si="49"/>
        <v>266</v>
      </c>
    </row>
    <row r="89" ht="15.75" customHeight="1">
      <c r="A89" s="30" t="s">
        <v>779</v>
      </c>
      <c r="B89" s="64">
        <f t="shared" ref="B89:K89" si="50">B19+B22+B25+B28</f>
        <v>48</v>
      </c>
      <c r="C89" s="64">
        <f t="shared" si="50"/>
        <v>48</v>
      </c>
      <c r="D89" s="64">
        <f t="shared" si="50"/>
        <v>49</v>
      </c>
      <c r="E89" s="64">
        <f t="shared" si="50"/>
        <v>66</v>
      </c>
      <c r="F89" s="64">
        <f t="shared" si="50"/>
        <v>93</v>
      </c>
      <c r="G89" s="64">
        <f t="shared" si="50"/>
        <v>121</v>
      </c>
      <c r="H89" s="64">
        <f t="shared" si="50"/>
        <v>159</v>
      </c>
      <c r="I89" s="64">
        <f t="shared" si="50"/>
        <v>196</v>
      </c>
      <c r="J89" s="64">
        <f t="shared" si="50"/>
        <v>218</v>
      </c>
      <c r="K89" s="64">
        <f t="shared" si="50"/>
        <v>247</v>
      </c>
    </row>
    <row r="90" ht="15.75" customHeight="1">
      <c r="A90" s="30" t="s">
        <v>710</v>
      </c>
      <c r="B90" s="64">
        <f t="shared" ref="B90:K90" si="51">ROUND((B18+B21+B24+B27+B54+B62+B70+B78)*$B$9,0)</f>
        <v>696</v>
      </c>
      <c r="C90" s="64">
        <f t="shared" si="51"/>
        <v>1096</v>
      </c>
      <c r="D90" s="64">
        <f t="shared" si="51"/>
        <v>2308</v>
      </c>
      <c r="E90" s="64">
        <f t="shared" si="51"/>
        <v>5096</v>
      </c>
      <c r="F90" s="64">
        <f t="shared" si="51"/>
        <v>8890</v>
      </c>
      <c r="G90" s="64">
        <f t="shared" si="51"/>
        <v>12490</v>
      </c>
      <c r="H90" s="64">
        <f t="shared" si="51"/>
        <v>17235</v>
      </c>
      <c r="I90" s="64">
        <f t="shared" si="51"/>
        <v>22029</v>
      </c>
      <c r="J90" s="64">
        <f t="shared" si="51"/>
        <v>24866</v>
      </c>
      <c r="K90" s="64">
        <f t="shared" si="51"/>
        <v>28733</v>
      </c>
    </row>
    <row r="91" ht="15.75" customHeight="1">
      <c r="A91" s="30" t="s">
        <v>781</v>
      </c>
      <c r="B91" s="64">
        <f t="shared" ref="B91:K91" si="52">B36+B41+B46+B51+B61+B69+B77+B85</f>
        <v>348</v>
      </c>
      <c r="C91" s="64">
        <f t="shared" si="52"/>
        <v>456</v>
      </c>
      <c r="D91" s="64">
        <f t="shared" si="52"/>
        <v>544</v>
      </c>
      <c r="E91" s="64">
        <f t="shared" si="52"/>
        <v>688</v>
      </c>
      <c r="F91" s="64">
        <f t="shared" si="52"/>
        <v>700</v>
      </c>
      <c r="G91" s="64">
        <f t="shared" si="52"/>
        <v>772</v>
      </c>
      <c r="H91" s="64">
        <f t="shared" si="52"/>
        <v>996</v>
      </c>
      <c r="I91" s="64">
        <f t="shared" si="52"/>
        <v>1164</v>
      </c>
      <c r="J91" s="64">
        <f t="shared" si="52"/>
        <v>1380</v>
      </c>
      <c r="K91" s="64">
        <f t="shared" si="52"/>
        <v>1500</v>
      </c>
    </row>
    <row r="92" ht="15.75" customHeight="1">
      <c r="A92" s="30" t="s">
        <v>782</v>
      </c>
      <c r="B92" s="64">
        <f t="shared" ref="B92:K92" si="53">B36*1+B41*2.5+B46*5+B51*10+B61*25+B69*50+B77*70+B85*100</f>
        <v>3126</v>
      </c>
      <c r="C92" s="64">
        <f t="shared" si="53"/>
        <v>4106</v>
      </c>
      <c r="D92" s="64">
        <f t="shared" si="53"/>
        <v>4470</v>
      </c>
      <c r="E92" s="64">
        <f t="shared" si="53"/>
        <v>5220</v>
      </c>
      <c r="F92" s="64">
        <f t="shared" si="53"/>
        <v>5820</v>
      </c>
      <c r="G92" s="64">
        <f t="shared" si="53"/>
        <v>6560</v>
      </c>
      <c r="H92" s="64">
        <f t="shared" si="53"/>
        <v>7990</v>
      </c>
      <c r="I92" s="64">
        <f t="shared" si="53"/>
        <v>9270</v>
      </c>
      <c r="J92" s="64">
        <f t="shared" si="53"/>
        <v>10140</v>
      </c>
      <c r="K92" s="64">
        <f t="shared" si="53"/>
        <v>10500</v>
      </c>
    </row>
    <row r="93" ht="15.75" customHeight="1">
      <c r="A93" s="30" t="s">
        <v>783</v>
      </c>
      <c r="B93" s="64">
        <f t="shared" ref="B93:K93" si="54">B56+B64+B72+B80</f>
        <v>272</v>
      </c>
      <c r="C93" s="64">
        <f t="shared" si="54"/>
        <v>466</v>
      </c>
      <c r="D93" s="64">
        <f t="shared" si="54"/>
        <v>720</v>
      </c>
      <c r="E93" s="64">
        <f t="shared" si="54"/>
        <v>1206</v>
      </c>
      <c r="F93" s="64">
        <f t="shared" si="54"/>
        <v>1992</v>
      </c>
      <c r="G93" s="64">
        <f t="shared" si="54"/>
        <v>2774</v>
      </c>
      <c r="H93" s="64">
        <f t="shared" si="54"/>
        <v>3708</v>
      </c>
      <c r="I93" s="64">
        <f t="shared" si="54"/>
        <v>4680</v>
      </c>
      <c r="J93" s="64">
        <f t="shared" si="54"/>
        <v>5364</v>
      </c>
      <c r="K93" s="64">
        <f t="shared" si="54"/>
        <v>6200</v>
      </c>
    </row>
    <row r="94" ht="15.75" customHeight="1">
      <c r="A94" s="73" t="s">
        <v>784</v>
      </c>
      <c r="B94" s="84">
        <f t="shared" ref="B94:K94" si="55">B89*$B$7+B91*$B$8+B90*$B$10</f>
        <v>71.16</v>
      </c>
      <c r="C94" s="84">
        <f t="shared" si="55"/>
        <v>89.52</v>
      </c>
      <c r="D94" s="84">
        <f t="shared" si="55"/>
        <v>104.73</v>
      </c>
      <c r="E94" s="84">
        <f t="shared" si="55"/>
        <v>133.46</v>
      </c>
      <c r="F94" s="84">
        <f t="shared" si="55"/>
        <v>142.25</v>
      </c>
      <c r="G94" s="84">
        <f t="shared" si="55"/>
        <v>161.49</v>
      </c>
      <c r="H94" s="84">
        <f t="shared" si="55"/>
        <v>209.07</v>
      </c>
      <c r="I94" s="84">
        <f t="shared" si="55"/>
        <v>246.88</v>
      </c>
      <c r="J94" s="84">
        <f t="shared" si="55"/>
        <v>289.1</v>
      </c>
      <c r="K94" s="84">
        <f t="shared" si="55"/>
        <v>316.75</v>
      </c>
    </row>
    <row r="95" ht="15.75" customHeight="1">
      <c r="A95" s="103" t="s">
        <v>785</v>
      </c>
      <c r="B95" s="115">
        <f>IF(B94&lt;=$B$13,0,ROUNDUP((B94-$B$13)/(12*Parametros!$F$37*Parametros!$B$67),0))</f>
        <v>0</v>
      </c>
      <c r="C95" s="115">
        <f>IF(C94&lt;=$B$13,0,ROUNDUP((C94-$B$13)/(12*Parametros!$F$37*Parametros!$B$67),0))</f>
        <v>0</v>
      </c>
      <c r="D95" s="115">
        <f>IF(D94&lt;=$B$13,0,ROUNDUP((D94-$B$13)/(12*Parametros!$F$37*Parametros!$B$67),0))</f>
        <v>0</v>
      </c>
      <c r="E95" s="115">
        <f>IF(E94&lt;=$B$13,0,ROUNDUP((E94-$B$13)/(12*Parametros!$F$37*Parametros!$B$67),0))</f>
        <v>0</v>
      </c>
      <c r="F95" s="115">
        <f>IF(F94&lt;=$B$13,0,ROUNDUP((F94-$B$13)/(12*Parametros!$F$37*Parametros!$B$67),0))</f>
        <v>0</v>
      </c>
      <c r="G95" s="115">
        <f>IF(G94&lt;=$B$13,0,ROUNDUP((G94-$B$13)/(12*Parametros!$F$37*Parametros!$B$67),0))</f>
        <v>0</v>
      </c>
      <c r="H95" s="115">
        <f>IF(H94&lt;=$B$13,0,ROUNDUP((H94-$B$13)/(12*Parametros!$F$37*Parametros!$B$67),0))</f>
        <v>0</v>
      </c>
      <c r="I95" s="115">
        <f>IF(I94&lt;=$B$13,0,ROUNDUP((I94-$B$13)/(12*Parametros!$F$37*Parametros!$B$67),0))</f>
        <v>0</v>
      </c>
      <c r="J95" s="115">
        <f>IF(J94&lt;=$B$13,0,ROUNDUP((J94-$B$13)/(12*Parametros!$F$37*Parametros!$B$67),0))</f>
        <v>0</v>
      </c>
      <c r="K95" s="115">
        <f>IF(K94&lt;=$B$13,0,ROUNDUP((K94-$B$13)/(12*Parametros!$F$37*Parametros!$B$67),0))</f>
        <v>0</v>
      </c>
    </row>
    <row r="96" ht="15.75" customHeight="1">
      <c r="A96" s="22" t="s">
        <v>786</v>
      </c>
    </row>
    <row r="97" ht="15.75" customHeight="1"/>
    <row r="98" ht="15.75" customHeight="1">
      <c r="A98" s="45" t="s">
        <v>787</v>
      </c>
      <c r="B98" s="39">
        <v>2026.0</v>
      </c>
      <c r="C98" s="39">
        <v>2027.0</v>
      </c>
      <c r="D98" s="39">
        <v>2028.0</v>
      </c>
      <c r="E98" s="39">
        <v>2029.0</v>
      </c>
      <c r="F98" s="39">
        <v>2030.0</v>
      </c>
      <c r="G98" s="39">
        <v>2031.0</v>
      </c>
      <c r="H98" s="39">
        <v>2032.0</v>
      </c>
      <c r="I98" s="39">
        <v>2033.0</v>
      </c>
      <c r="J98" s="39">
        <v>2034.0</v>
      </c>
      <c r="K98" s="39">
        <v>2035.0</v>
      </c>
    </row>
    <row r="99" ht="15.75" customHeight="1">
      <c r="A99" s="30" t="s">
        <v>788</v>
      </c>
      <c r="B99" s="46">
        <f t="shared" ref="B99:K99" si="56">B58+B66+B74+B82</f>
        <v>16</v>
      </c>
      <c r="C99" s="46">
        <f t="shared" si="56"/>
        <v>16</v>
      </c>
      <c r="D99" s="46">
        <f t="shared" si="56"/>
        <v>16</v>
      </c>
      <c r="E99" s="46">
        <f t="shared" si="56"/>
        <v>16</v>
      </c>
      <c r="F99" s="46">
        <f t="shared" si="56"/>
        <v>16</v>
      </c>
      <c r="G99" s="46">
        <f t="shared" si="56"/>
        <v>16</v>
      </c>
      <c r="H99" s="46">
        <f t="shared" si="56"/>
        <v>16</v>
      </c>
      <c r="I99" s="46">
        <f t="shared" si="56"/>
        <v>16</v>
      </c>
      <c r="J99" s="46">
        <f t="shared" si="56"/>
        <v>16</v>
      </c>
      <c r="K99" s="46">
        <f t="shared" si="56"/>
        <v>16</v>
      </c>
    </row>
    <row r="100" ht="15.75" customHeight="1">
      <c r="A100" s="30" t="s">
        <v>789</v>
      </c>
      <c r="B100" s="46">
        <f t="shared" ref="B100:K100" si="57">MAX(B60,B68,B76,B84)</f>
        <v>3</v>
      </c>
      <c r="C100" s="46">
        <f t="shared" si="57"/>
        <v>5</v>
      </c>
      <c r="D100" s="46">
        <f t="shared" si="57"/>
        <v>5</v>
      </c>
      <c r="E100" s="46">
        <f t="shared" si="57"/>
        <v>5</v>
      </c>
      <c r="F100" s="46">
        <f t="shared" si="57"/>
        <v>5</v>
      </c>
      <c r="G100" s="46">
        <f t="shared" si="57"/>
        <v>8</v>
      </c>
      <c r="H100" s="46">
        <f t="shared" si="57"/>
        <v>8</v>
      </c>
      <c r="I100" s="46">
        <f t="shared" si="57"/>
        <v>8</v>
      </c>
      <c r="J100" s="46">
        <f t="shared" si="57"/>
        <v>8</v>
      </c>
      <c r="K100" s="46">
        <f t="shared" si="57"/>
        <v>8</v>
      </c>
    </row>
    <row r="101" ht="15.75" customHeight="1">
      <c r="A101" s="30" t="s">
        <v>790</v>
      </c>
      <c r="B101" s="46">
        <f t="shared" ref="B101:K101" si="58">ROUNDUP($B$11*5/7,0)</f>
        <v>5</v>
      </c>
      <c r="C101" s="46">
        <f t="shared" si="58"/>
        <v>5</v>
      </c>
      <c r="D101" s="46">
        <f t="shared" si="58"/>
        <v>5</v>
      </c>
      <c r="E101" s="46">
        <f t="shared" si="58"/>
        <v>5</v>
      </c>
      <c r="F101" s="46">
        <f t="shared" si="58"/>
        <v>5</v>
      </c>
      <c r="G101" s="46">
        <f t="shared" si="58"/>
        <v>5</v>
      </c>
      <c r="H101" s="46">
        <f t="shared" si="58"/>
        <v>5</v>
      </c>
      <c r="I101" s="46">
        <f t="shared" si="58"/>
        <v>5</v>
      </c>
      <c r="J101" s="46">
        <f t="shared" si="58"/>
        <v>5</v>
      </c>
      <c r="K101" s="46">
        <f t="shared" si="58"/>
        <v>5</v>
      </c>
    </row>
    <row r="102" ht="15.75" customHeight="1">
      <c r="A102" s="30" t="s">
        <v>791</v>
      </c>
      <c r="B102" s="46">
        <f>IF(B99=0,0,ROUNDUP(B99*B101/(12*Parametros!$B$37),0))</f>
        <v>1</v>
      </c>
      <c r="C102" s="46">
        <f>IF(C99=0,0,ROUNDUP(C99*C101/(12*Parametros!$B$37),0))</f>
        <v>1</v>
      </c>
      <c r="D102" s="46">
        <f>IF(D99=0,0,ROUNDUP(D99*D101/(12*Parametros!$B$37),0))</f>
        <v>1</v>
      </c>
      <c r="E102" s="46">
        <f>IF(E99=0,0,ROUNDUP(E99*E101/(12*Parametros!$B$37),0))</f>
        <v>1</v>
      </c>
      <c r="F102" s="46">
        <f>IF(F99=0,0,ROUNDUP(F99*F101/(12*Parametros!$B$37),0))</f>
        <v>1</v>
      </c>
      <c r="G102" s="46">
        <f>IF(G99=0,0,ROUNDUP(G99*G101/(12*Parametros!$B$37),0))</f>
        <v>1</v>
      </c>
      <c r="H102" s="46">
        <f>IF(H99=0,0,ROUNDUP(H99*H101/(12*Parametros!$B$37),0))</f>
        <v>1</v>
      </c>
      <c r="I102" s="46">
        <f>IF(I99=0,0,ROUNDUP(I99*I101/(12*Parametros!$B$37),0))</f>
        <v>1</v>
      </c>
      <c r="J102" s="46">
        <f>IF(J99=0,0,ROUNDUP(J99*J101/(12*Parametros!$B$37),0))</f>
        <v>1</v>
      </c>
      <c r="K102" s="46">
        <f>IF(K99=0,0,ROUNDUP(K99*K101/(12*Parametros!$B$37),0))</f>
        <v>1</v>
      </c>
    </row>
    <row r="103" ht="15.75" customHeight="1">
      <c r="A103" s="73" t="s">
        <v>792</v>
      </c>
      <c r="B103" s="36">
        <f t="shared" ref="B103:K103" si="59">B102*B100</f>
        <v>3</v>
      </c>
      <c r="C103" s="36">
        <f t="shared" si="59"/>
        <v>5</v>
      </c>
      <c r="D103" s="36">
        <f t="shared" si="59"/>
        <v>5</v>
      </c>
      <c r="E103" s="36">
        <f t="shared" si="59"/>
        <v>5</v>
      </c>
      <c r="F103" s="36">
        <f t="shared" si="59"/>
        <v>5</v>
      </c>
      <c r="G103" s="36">
        <f t="shared" si="59"/>
        <v>8</v>
      </c>
      <c r="H103" s="36">
        <f t="shared" si="59"/>
        <v>8</v>
      </c>
      <c r="I103" s="36">
        <f t="shared" si="59"/>
        <v>8</v>
      </c>
      <c r="J103" s="36">
        <f t="shared" si="59"/>
        <v>8</v>
      </c>
      <c r="K103" s="36">
        <f t="shared" si="59"/>
        <v>8</v>
      </c>
    </row>
    <row r="104" ht="15.75" customHeight="1">
      <c r="A104" s="73" t="s">
        <v>793</v>
      </c>
      <c r="B104" s="44">
        <f>B103*Parametros!$B$71</f>
        <v>1.5</v>
      </c>
      <c r="C104" s="44">
        <f>C103*Parametros!$B$71</f>
        <v>2.5</v>
      </c>
      <c r="D104" s="44">
        <f>D103*Parametros!$B$71</f>
        <v>2.5</v>
      </c>
      <c r="E104" s="44">
        <f>E103*Parametros!$B$71</f>
        <v>2.5</v>
      </c>
      <c r="F104" s="44">
        <f>F103*Parametros!$B$71</f>
        <v>2.5</v>
      </c>
      <c r="G104" s="44">
        <f>G103*Parametros!$B$71</f>
        <v>4</v>
      </c>
      <c r="H104" s="44">
        <f>H103*Parametros!$B$71</f>
        <v>4</v>
      </c>
      <c r="I104" s="44">
        <f>I103*Parametros!$B$71</f>
        <v>4</v>
      </c>
      <c r="J104" s="44">
        <f>J103*Parametros!$B$71</f>
        <v>4</v>
      </c>
      <c r="K104" s="44">
        <f>K103*Parametros!$B$71</f>
        <v>4</v>
      </c>
    </row>
    <row r="105" ht="15.75" customHeight="1">
      <c r="A105" s="22"/>
    </row>
    <row r="106" ht="15.75" customHeight="1"/>
    <row r="107" ht="15.0" customHeight="1">
      <c r="A107" s="45" t="s">
        <v>794</v>
      </c>
      <c r="B107" s="39" t="s">
        <v>795</v>
      </c>
      <c r="C107" s="167" t="s">
        <v>796</v>
      </c>
      <c r="D107" s="3"/>
      <c r="E107" s="4"/>
    </row>
    <row r="108" ht="15.75" customHeight="1">
      <c r="A108" s="30" t="s">
        <v>797</v>
      </c>
      <c r="B108" s="61">
        <v>35.0</v>
      </c>
      <c r="C108" s="210" t="s">
        <v>798</v>
      </c>
      <c r="D108" s="3"/>
      <c r="E108" s="3"/>
    </row>
    <row r="109" ht="15.75" customHeight="1">
      <c r="A109" s="30" t="s">
        <v>799</v>
      </c>
      <c r="B109" s="61">
        <v>48.0</v>
      </c>
      <c r="C109" s="210" t="s">
        <v>800</v>
      </c>
      <c r="D109" s="3"/>
      <c r="E109" s="3"/>
    </row>
    <row r="110" ht="15.75" customHeight="1">
      <c r="A110" s="73" t="s">
        <v>801</v>
      </c>
      <c r="B110" s="36">
        <f>ROUNDUP(MAX(K104,$B$15),0)</f>
        <v>15</v>
      </c>
      <c r="C110" s="210" t="s">
        <v>802</v>
      </c>
      <c r="D110" s="3"/>
      <c r="E110" s="3"/>
      <c r="F110" s="22" t="s">
        <v>803</v>
      </c>
    </row>
    <row r="111" ht="15.75" customHeight="1">
      <c r="A111" s="30" t="s">
        <v>804</v>
      </c>
      <c r="B111" s="61">
        <v>45.0</v>
      </c>
      <c r="C111" s="210" t="s">
        <v>805</v>
      </c>
      <c r="D111" s="3"/>
      <c r="E111" s="3"/>
    </row>
    <row r="112" ht="15.75" customHeight="1">
      <c r="A112" s="30" t="s">
        <v>806</v>
      </c>
      <c r="B112" s="61">
        <v>20.0</v>
      </c>
      <c r="C112" s="210" t="s">
        <v>807</v>
      </c>
      <c r="D112" s="3"/>
      <c r="E112" s="3"/>
    </row>
    <row r="113" ht="15.75" customHeight="1">
      <c r="A113" s="30" t="s">
        <v>808</v>
      </c>
      <c r="B113" s="61">
        <v>6.0</v>
      </c>
      <c r="C113" s="210" t="s">
        <v>809</v>
      </c>
      <c r="D113" s="3"/>
      <c r="E113" s="3"/>
    </row>
    <row r="114" ht="15.75" customHeight="1">
      <c r="A114" s="30" t="s">
        <v>810</v>
      </c>
      <c r="B114" s="61">
        <v>15.0</v>
      </c>
      <c r="C114" s="210" t="s">
        <v>807</v>
      </c>
      <c r="D114" s="3"/>
      <c r="E114" s="3"/>
    </row>
    <row r="115" ht="15.75" customHeight="1">
      <c r="A115" s="30" t="s">
        <v>811</v>
      </c>
      <c r="B115" s="61">
        <v>15.0</v>
      </c>
      <c r="C115" s="210" t="s">
        <v>812</v>
      </c>
      <c r="D115" s="3"/>
      <c r="E115" s="3"/>
    </row>
    <row r="116" ht="15.75" customHeight="1">
      <c r="A116" s="30" t="s">
        <v>813</v>
      </c>
      <c r="B116" s="61">
        <v>15.0</v>
      </c>
      <c r="C116" s="210" t="s">
        <v>814</v>
      </c>
      <c r="D116" s="3"/>
      <c r="E116" s="3"/>
    </row>
    <row r="117" ht="15.75" customHeight="1">
      <c r="A117" s="30" t="s">
        <v>815</v>
      </c>
      <c r="B117" s="46">
        <f>'Almacen PT'!K125+'Almacen PT'!K124</f>
        <v>33.99465472</v>
      </c>
      <c r="C117" s="210" t="s">
        <v>816</v>
      </c>
      <c r="D117" s="3"/>
      <c r="E117" s="3"/>
    </row>
    <row r="118" ht="15.75" customHeight="1">
      <c r="A118" s="30" t="s">
        <v>817</v>
      </c>
      <c r="B118" s="61">
        <v>8.0</v>
      </c>
      <c r="C118" s="210" t="s">
        <v>818</v>
      </c>
      <c r="D118" s="3"/>
      <c r="E118" s="3"/>
    </row>
    <row r="119" ht="15.75" customHeight="1">
      <c r="A119" s="73" t="s">
        <v>420</v>
      </c>
      <c r="B119" s="36">
        <f>SUM(B108:B118)</f>
        <v>255.9946547</v>
      </c>
    </row>
    <row r="120" ht="15.75" customHeight="1"/>
    <row r="121" ht="15.75" customHeight="1"/>
    <row r="122" ht="15.75" customHeight="1">
      <c r="A122" s="45" t="s">
        <v>819</v>
      </c>
      <c r="B122" s="69"/>
      <c r="C122" s="69"/>
      <c r="D122" s="69"/>
      <c r="E122" s="69"/>
      <c r="F122" s="69"/>
      <c r="G122" s="69"/>
      <c r="H122" s="69"/>
      <c r="I122" s="69"/>
      <c r="J122" s="69"/>
      <c r="M122" s="211" t="s">
        <v>820</v>
      </c>
    </row>
    <row r="123" ht="57.75" customHeight="1">
      <c r="A123" s="29" t="s">
        <v>821</v>
      </c>
      <c r="B123" s="29" t="s">
        <v>822</v>
      </c>
      <c r="C123" s="29" t="s">
        <v>823</v>
      </c>
      <c r="D123" s="29" t="s">
        <v>824</v>
      </c>
      <c r="E123" s="29" t="s">
        <v>825</v>
      </c>
      <c r="F123" s="29" t="s">
        <v>826</v>
      </c>
      <c r="G123" s="29" t="s">
        <v>827</v>
      </c>
      <c r="H123" s="29" t="s">
        <v>828</v>
      </c>
      <c r="I123" s="29" t="s">
        <v>829</v>
      </c>
      <c r="M123" s="212" t="s">
        <v>830</v>
      </c>
      <c r="N123" s="212" t="s">
        <v>831</v>
      </c>
      <c r="O123" s="212" t="s">
        <v>832</v>
      </c>
      <c r="P123" s="212" t="s">
        <v>833</v>
      </c>
      <c r="Q123" s="212" t="s">
        <v>834</v>
      </c>
      <c r="R123" s="212" t="s">
        <v>835</v>
      </c>
      <c r="S123" s="212" t="s">
        <v>836</v>
      </c>
      <c r="T123" s="212" t="s">
        <v>837</v>
      </c>
      <c r="U123" s="212" t="s">
        <v>838</v>
      </c>
      <c r="V123" s="212" t="s">
        <v>839</v>
      </c>
      <c r="W123" s="212" t="s">
        <v>840</v>
      </c>
      <c r="X123" s="212" t="s">
        <v>841</v>
      </c>
    </row>
    <row r="124" ht="15.75" customHeight="1">
      <c r="A124" s="208">
        <v>280.0</v>
      </c>
      <c r="B124" s="46">
        <f t="shared" ref="B124:B127" si="60">LOOKUP(A124,$D$5:$D$14,$E$5:$E$14)</f>
        <v>8</v>
      </c>
      <c r="C124" s="173">
        <f t="shared" ref="C124:C127" si="61">B124/A124</f>
        <v>0.02857142857</v>
      </c>
      <c r="D124" s="64">
        <f t="shared" ref="D124:D127" si="62">SUM(M124:P124)</f>
        <v>264</v>
      </c>
      <c r="E124" s="84">
        <f t="shared" ref="E124:E127" si="63">SUM(Q124:T124)</f>
        <v>2112</v>
      </c>
      <c r="F124" s="64">
        <f t="shared" ref="F124:F127" si="64">SUM(U124:X124)</f>
        <v>1017</v>
      </c>
      <c r="G124" s="84">
        <f t="shared" ref="G124:G127" si="65">F124*$B$7+E124*$B$8</f>
        <v>613.29</v>
      </c>
      <c r="H124" s="64">
        <f>MIN(A124,K18/ROUNDUP(12/$B$6,0))</f>
        <v>280</v>
      </c>
      <c r="I124" s="63">
        <f>H124/(K18/(12*Parametros!$B$37))</f>
        <v>0.3316536785</v>
      </c>
      <c r="M124" s="143">
        <f t="shared" ref="M124:M127" si="66">IF($K$32=0,0,MAX(ROUNDUP($K$32/$A124,0),ROUNDUP(12/$B$6,0)))</f>
        <v>115</v>
      </c>
      <c r="N124" s="143">
        <f t="shared" ref="N124:N127" si="67">IF($K$37=0,0,MAX(ROUNDUP($K$37/$A124,0),ROUNDUP(12/$B$6,0)))</f>
        <v>27</v>
      </c>
      <c r="O124" s="143">
        <f t="shared" ref="O124:O127" si="68">IF($K$42=0,0,MAX(ROUNDUP($K$42/$A124,0),ROUNDUP(12/$B$6,0)))</f>
        <v>110</v>
      </c>
      <c r="P124" s="143">
        <f t="shared" ref="P124:P127" si="69">IF($K$47=0,0,MAX(ROUNDUP($K$47/$A124,0),ROUNDUP(12/$B$6,0)))</f>
        <v>12</v>
      </c>
      <c r="Q124" s="213">
        <f t="shared" ref="Q124:Q127" si="70">IF(M124=0,0,M124*MIN(ROUNDUP($K$32/M124,0),LOOKUP(MAX($K$32/M124,2),$D$5:$D$14,$E$5:$E$14)))</f>
        <v>920</v>
      </c>
      <c r="R124" s="213">
        <f t="shared" ref="R124:R127" si="71">IF(N124=0,0,N124*MIN(ROUNDUP($K$37/N124,0),LOOKUP(MAX($K$37/N124,2),$D$5:$D$14,$E$5:$E$14)))</f>
        <v>216</v>
      </c>
      <c r="S124" s="213">
        <f t="shared" ref="S124:S127" si="72">IF(O124=0,0,O124*MIN(ROUNDUP($K$42/O124,0),LOOKUP(MAX($K$42/O124,2),$D$5:$D$14,$E$5:$E$14)))</f>
        <v>880</v>
      </c>
      <c r="T124" s="213">
        <f t="shared" ref="T124:T127" si="73">IF(P124=0,0,P124*MIN(ROUNDUP($K$47/P124,0),LOOKUP(MAX($K$47/P124,2),$D$5:$D$14,$E$5:$E$14)))</f>
        <v>96</v>
      </c>
      <c r="U124" s="143">
        <f t="shared" ref="U124:U127" si="74">IF($K$18=0,0,MAX(ROUNDUP($K$18/$A124,0),ROUNDUP(12/$B$6,0)))</f>
        <v>724</v>
      </c>
      <c r="V124" s="143">
        <f t="shared" ref="V124:V127" si="75">IF($K$21=0,0,MAX(ROUNDUP($K$21/$A124,0),ROUNDUP(12/$B$6,0)))</f>
        <v>51</v>
      </c>
      <c r="W124" s="143">
        <f t="shared" ref="W124:W127" si="76">IF($K$24=0,0,MAX(ROUNDUP($K$24/$A124,0),ROUNDUP(12/$B$6,0)))</f>
        <v>228</v>
      </c>
      <c r="X124" s="143">
        <f t="shared" ref="X124:X127" si="77">IF($K$27=0,0,MAX(ROUNDUP($K$27/$A124,0),ROUNDUP(12/$B$6,0)))</f>
        <v>14</v>
      </c>
    </row>
    <row r="125" ht="15.75" customHeight="1">
      <c r="A125" s="208">
        <v>500.0</v>
      </c>
      <c r="B125" s="46">
        <f t="shared" si="60"/>
        <v>13</v>
      </c>
      <c r="C125" s="173">
        <f t="shared" si="61"/>
        <v>0.026</v>
      </c>
      <c r="D125" s="64">
        <f t="shared" si="62"/>
        <v>154</v>
      </c>
      <c r="E125" s="84">
        <f t="shared" si="63"/>
        <v>1942</v>
      </c>
      <c r="F125" s="64">
        <f t="shared" si="64"/>
        <v>575</v>
      </c>
      <c r="G125" s="84">
        <f t="shared" si="65"/>
        <v>473.89</v>
      </c>
      <c r="H125" s="64">
        <f>MIN(A125,K18/ROUNDUP(12/$B$6,0))</f>
        <v>500</v>
      </c>
      <c r="I125" s="63">
        <f>H125/(K18/(12*Parametros!$B$37))</f>
        <v>0.5922387117</v>
      </c>
      <c r="M125" s="143">
        <f t="shared" si="66"/>
        <v>65</v>
      </c>
      <c r="N125" s="143">
        <f t="shared" si="67"/>
        <v>15</v>
      </c>
      <c r="O125" s="143">
        <f t="shared" si="68"/>
        <v>62</v>
      </c>
      <c r="P125" s="143">
        <f t="shared" si="69"/>
        <v>12</v>
      </c>
      <c r="Q125" s="213">
        <f t="shared" si="70"/>
        <v>845</v>
      </c>
      <c r="R125" s="213">
        <f t="shared" si="71"/>
        <v>195</v>
      </c>
      <c r="S125" s="213">
        <f t="shared" si="72"/>
        <v>806</v>
      </c>
      <c r="T125" s="213">
        <f t="shared" si="73"/>
        <v>96</v>
      </c>
      <c r="U125" s="143">
        <f t="shared" si="74"/>
        <v>406</v>
      </c>
      <c r="V125" s="143">
        <f t="shared" si="75"/>
        <v>29</v>
      </c>
      <c r="W125" s="143">
        <f t="shared" si="76"/>
        <v>128</v>
      </c>
      <c r="X125" s="143">
        <f t="shared" si="77"/>
        <v>12</v>
      </c>
    </row>
    <row r="126" ht="15.75" customHeight="1">
      <c r="A126" s="208">
        <v>1200.0</v>
      </c>
      <c r="B126" s="46">
        <f t="shared" si="60"/>
        <v>20</v>
      </c>
      <c r="C126" s="173">
        <f t="shared" si="61"/>
        <v>0.01666666667</v>
      </c>
      <c r="D126" s="64">
        <f t="shared" si="62"/>
        <v>77</v>
      </c>
      <c r="E126" s="84">
        <f t="shared" si="63"/>
        <v>1396</v>
      </c>
      <c r="F126" s="64">
        <f t="shared" si="64"/>
        <v>247</v>
      </c>
      <c r="G126" s="84">
        <f t="shared" si="65"/>
        <v>299.07</v>
      </c>
      <c r="H126" s="64">
        <f>MIN(A126,K18/ROUNDUP(12/$B$6,0))</f>
        <v>1200</v>
      </c>
      <c r="I126" s="63">
        <f>H126/(K18/(12*Parametros!$B$37))</f>
        <v>1.421372908</v>
      </c>
      <c r="M126" s="143">
        <f t="shared" si="66"/>
        <v>27</v>
      </c>
      <c r="N126" s="143">
        <f t="shared" si="67"/>
        <v>12</v>
      </c>
      <c r="O126" s="143">
        <f t="shared" si="68"/>
        <v>26</v>
      </c>
      <c r="P126" s="143">
        <f t="shared" si="69"/>
        <v>12</v>
      </c>
      <c r="Q126" s="213">
        <f t="shared" si="70"/>
        <v>540</v>
      </c>
      <c r="R126" s="213">
        <f t="shared" si="71"/>
        <v>240</v>
      </c>
      <c r="S126" s="213">
        <f t="shared" si="72"/>
        <v>520</v>
      </c>
      <c r="T126" s="213">
        <f t="shared" si="73"/>
        <v>96</v>
      </c>
      <c r="U126" s="143">
        <f t="shared" si="74"/>
        <v>169</v>
      </c>
      <c r="V126" s="143">
        <f t="shared" si="75"/>
        <v>12</v>
      </c>
      <c r="W126" s="143">
        <f t="shared" si="76"/>
        <v>54</v>
      </c>
      <c r="X126" s="143">
        <f t="shared" si="77"/>
        <v>12</v>
      </c>
    </row>
    <row r="127" ht="15.75" customHeight="1">
      <c r="A127" s="208">
        <v>3200.0</v>
      </c>
      <c r="B127" s="46">
        <f t="shared" si="60"/>
        <v>32</v>
      </c>
      <c r="C127" s="173">
        <f t="shared" si="61"/>
        <v>0.01</v>
      </c>
      <c r="D127" s="64">
        <f t="shared" si="62"/>
        <v>48</v>
      </c>
      <c r="E127" s="84">
        <f t="shared" si="63"/>
        <v>1104</v>
      </c>
      <c r="F127" s="64">
        <f t="shared" si="64"/>
        <v>108</v>
      </c>
      <c r="G127" s="84">
        <f t="shared" si="65"/>
        <v>214.68</v>
      </c>
      <c r="H127" s="64">
        <f>MIN(A127,K18/ROUNDUP(12/$B$6,0))</f>
        <v>3200</v>
      </c>
      <c r="I127" s="63">
        <f>H127/(K18/(12*Parametros!$B$37))</f>
        <v>3.790327755</v>
      </c>
      <c r="M127" s="143">
        <f t="shared" si="66"/>
        <v>12</v>
      </c>
      <c r="N127" s="143">
        <f t="shared" si="67"/>
        <v>12</v>
      </c>
      <c r="O127" s="143">
        <f t="shared" si="68"/>
        <v>12</v>
      </c>
      <c r="P127" s="143">
        <f t="shared" si="69"/>
        <v>12</v>
      </c>
      <c r="Q127" s="213">
        <f t="shared" si="70"/>
        <v>384</v>
      </c>
      <c r="R127" s="213">
        <f t="shared" si="71"/>
        <v>240</v>
      </c>
      <c r="S127" s="213">
        <f t="shared" si="72"/>
        <v>384</v>
      </c>
      <c r="T127" s="213">
        <f t="shared" si="73"/>
        <v>96</v>
      </c>
      <c r="U127" s="143">
        <f t="shared" si="74"/>
        <v>64</v>
      </c>
      <c r="V127" s="143">
        <f t="shared" si="75"/>
        <v>12</v>
      </c>
      <c r="W127" s="143">
        <f t="shared" si="76"/>
        <v>20</v>
      </c>
      <c r="X127" s="143">
        <f t="shared" si="77"/>
        <v>12</v>
      </c>
    </row>
    <row r="128" ht="15.75" customHeight="1">
      <c r="A128" s="22" t="s">
        <v>842</v>
      </c>
    </row>
    <row r="129" ht="27.75" customHeight="1">
      <c r="A129" s="214" t="s">
        <v>843</v>
      </c>
    </row>
    <row r="130" ht="27.75" customHeight="1">
      <c r="A130" s="214" t="s">
        <v>844</v>
      </c>
    </row>
    <row r="131" ht="27.75" customHeight="1">
      <c r="A131" s="214" t="s">
        <v>845</v>
      </c>
    </row>
    <row r="132" ht="27.75" customHeight="1">
      <c r="A132" s="214" t="s">
        <v>846</v>
      </c>
    </row>
    <row r="133" ht="15.75" customHeight="1"/>
    <row r="134" ht="15.75" customHeight="1">
      <c r="A134" s="45" t="s">
        <v>847</v>
      </c>
      <c r="B134" s="69"/>
      <c r="C134" s="69"/>
      <c r="D134" s="69"/>
      <c r="E134" s="69"/>
      <c r="F134" s="69"/>
      <c r="G134" s="69"/>
      <c r="H134" s="69"/>
      <c r="I134" s="69"/>
      <c r="J134" s="69"/>
      <c r="M134" s="211" t="s">
        <v>820</v>
      </c>
    </row>
    <row r="135" ht="57.75" customHeight="1">
      <c r="A135" s="29" t="s">
        <v>821</v>
      </c>
      <c r="B135" s="29" t="s">
        <v>822</v>
      </c>
      <c r="C135" s="29" t="s">
        <v>823</v>
      </c>
      <c r="D135" s="29" t="s">
        <v>824</v>
      </c>
      <c r="E135" s="29" t="s">
        <v>848</v>
      </c>
      <c r="F135" s="29" t="s">
        <v>849</v>
      </c>
      <c r="G135" s="29" t="s">
        <v>850</v>
      </c>
      <c r="H135" s="29" t="s">
        <v>851</v>
      </c>
      <c r="I135" s="29" t="s">
        <v>852</v>
      </c>
      <c r="M135" s="212" t="s">
        <v>853</v>
      </c>
      <c r="N135" s="212" t="s">
        <v>854</v>
      </c>
      <c r="O135" s="212" t="s">
        <v>855</v>
      </c>
      <c r="P135" s="212" t="s">
        <v>856</v>
      </c>
      <c r="Q135" s="212" t="s">
        <v>857</v>
      </c>
      <c r="R135" s="212" t="s">
        <v>858</v>
      </c>
      <c r="S135" s="212" t="s">
        <v>859</v>
      </c>
      <c r="T135" s="212" t="s">
        <v>860</v>
      </c>
    </row>
    <row r="136" ht="15.75" customHeight="1">
      <c r="A136" s="208">
        <v>90.0</v>
      </c>
      <c r="B136" s="46">
        <f t="shared" ref="B136:B139" si="78">LOOKUP(A136,$D$5:$D$14,$E$5:$E$14)</f>
        <v>5</v>
      </c>
      <c r="C136" s="173">
        <f t="shared" ref="C136:C139" si="79">B136/A136</f>
        <v>0.05555555556</v>
      </c>
      <c r="D136" s="64">
        <f t="shared" ref="D136:D139" si="80">SUM(M136:P136)</f>
        <v>26</v>
      </c>
      <c r="E136" s="84">
        <f t="shared" ref="E136:E139" si="81">SUM(Q136:T136)</f>
        <v>130</v>
      </c>
      <c r="F136" s="46">
        <f>B136*MAX(1,ROUNDUP(D136*$K$101/(12*Parametros!$B$37),0))</f>
        <v>5</v>
      </c>
      <c r="G136" s="63">
        <f>F136*Parametros!$B$71</f>
        <v>2.5</v>
      </c>
      <c r="H136" s="215" t="str">
        <f t="shared" ref="H136:H139" si="82">IF(G136&lt;=$B$110,"Sí","No")</f>
        <v>Sí</v>
      </c>
      <c r="I136" s="64">
        <f>MIN(A136,MAX(K57,K65,K73,K81)/ROUNDUP(12/$B$12,0))</f>
        <v>90</v>
      </c>
      <c r="M136" s="143">
        <f t="shared" ref="M136:M139" si="83">IF($K$57=0,0,MAX(ROUNDUP($K$57/$A136,0),ROUNDUP(12/$B$12,0)))</f>
        <v>6</v>
      </c>
      <c r="N136" s="143">
        <f t="shared" ref="N136:N139" si="84">IF($K$65=0,0,MAX(ROUNDUP($K$65/$A136,0),ROUNDUP(12/$B$12,0)))</f>
        <v>12</v>
      </c>
      <c r="O136" s="143">
        <f t="shared" ref="O136:O139" si="85">IF($K$73=0,0,MAX(ROUNDUP($K$73/$A136,0),ROUNDUP(12/$B$12,0)))</f>
        <v>4</v>
      </c>
      <c r="P136" s="143">
        <f t="shared" ref="P136:P139" si="86">IF($K$81=0,0,MAX(ROUNDUP($K$81/$A136,0),ROUNDUP(12/$B$12,0)))</f>
        <v>4</v>
      </c>
      <c r="Q136" s="213">
        <f t="shared" ref="Q136:Q139" si="87">IF(M136=0,0,M136*MIN(ROUNDUP($K$57/M136,0),LOOKUP(MAX($K$57/M136,2),$D$5:$D$14,$E$5:$E$14)))</f>
        <v>30</v>
      </c>
      <c r="R136" s="213">
        <f t="shared" ref="R136:R139" si="88">IF(N136=0,0,N136*MIN(ROUNDUP($K$65/N136,0),LOOKUP(MAX($K$65/N136,2),$D$5:$D$14,$E$5:$E$14)))</f>
        <v>60</v>
      </c>
      <c r="S136" s="213">
        <f t="shared" ref="S136:S139" si="89">IF(O136=0,0,O136*MIN(ROUNDUP($K$73/O136,0),LOOKUP(MAX($K$73/O136,2),$D$5:$D$14,$E$5:$E$14)))</f>
        <v>20</v>
      </c>
      <c r="T136" s="213">
        <f t="shared" ref="T136:T139" si="90">IF(P136=0,0,P136*MIN(ROUNDUP($K$81/P136,0),LOOKUP(MAX($K$81/P136,2),$D$5:$D$14,$E$5:$E$14)))</f>
        <v>20</v>
      </c>
    </row>
    <row r="137" ht="15.75" customHeight="1">
      <c r="A137" s="208">
        <v>150.0</v>
      </c>
      <c r="B137" s="46">
        <f t="shared" si="78"/>
        <v>8</v>
      </c>
      <c r="C137" s="173">
        <f t="shared" si="79"/>
        <v>0.05333333333</v>
      </c>
      <c r="D137" s="64">
        <f t="shared" si="80"/>
        <v>19</v>
      </c>
      <c r="E137" s="84">
        <f t="shared" si="81"/>
        <v>128</v>
      </c>
      <c r="F137" s="46">
        <f>B137*MAX(1,ROUNDUP(D137*$K$101/(12*Parametros!$B$37),0))</f>
        <v>8</v>
      </c>
      <c r="G137" s="63">
        <f>F137*Parametros!$B$71</f>
        <v>4</v>
      </c>
      <c r="H137" s="215" t="str">
        <f t="shared" si="82"/>
        <v>Sí</v>
      </c>
      <c r="I137" s="64">
        <f>MIN(A137,MAX(K57,K65,K73,K81)/ROUNDUP(12/$B$12,0))</f>
        <v>150</v>
      </c>
      <c r="M137" s="143">
        <f t="shared" si="83"/>
        <v>4</v>
      </c>
      <c r="N137" s="143">
        <f t="shared" si="84"/>
        <v>7</v>
      </c>
      <c r="O137" s="143">
        <f t="shared" si="85"/>
        <v>4</v>
      </c>
      <c r="P137" s="143">
        <f t="shared" si="86"/>
        <v>4</v>
      </c>
      <c r="Q137" s="213">
        <f t="shared" si="87"/>
        <v>32</v>
      </c>
      <c r="R137" s="213">
        <f t="shared" si="88"/>
        <v>56</v>
      </c>
      <c r="S137" s="213">
        <f t="shared" si="89"/>
        <v>20</v>
      </c>
      <c r="T137" s="213">
        <f t="shared" si="90"/>
        <v>20</v>
      </c>
    </row>
    <row r="138" ht="15.75" customHeight="1">
      <c r="A138" s="208">
        <v>280.0</v>
      </c>
      <c r="B138" s="46">
        <f t="shared" si="78"/>
        <v>8</v>
      </c>
      <c r="C138" s="173">
        <f t="shared" si="79"/>
        <v>0.02857142857</v>
      </c>
      <c r="D138" s="64">
        <f t="shared" si="80"/>
        <v>16</v>
      </c>
      <c r="E138" s="84">
        <f t="shared" si="81"/>
        <v>104</v>
      </c>
      <c r="F138" s="46">
        <f>B138*MAX(1,ROUNDUP(D138*$K$101/(12*Parametros!$B$37),0))</f>
        <v>8</v>
      </c>
      <c r="G138" s="63">
        <f>F138*Parametros!$B$71</f>
        <v>4</v>
      </c>
      <c r="H138" s="215" t="str">
        <f t="shared" si="82"/>
        <v>Sí</v>
      </c>
      <c r="I138" s="64">
        <f>MIN(A138,MAX(K57,K65,K73,K81)/ROUNDUP(12/$B$12,0))</f>
        <v>249.25</v>
      </c>
      <c r="M138" s="143">
        <f t="shared" si="83"/>
        <v>4</v>
      </c>
      <c r="N138" s="143">
        <f t="shared" si="84"/>
        <v>4</v>
      </c>
      <c r="O138" s="143">
        <f t="shared" si="85"/>
        <v>4</v>
      </c>
      <c r="P138" s="143">
        <f t="shared" si="86"/>
        <v>4</v>
      </c>
      <c r="Q138" s="213">
        <f t="shared" si="87"/>
        <v>32</v>
      </c>
      <c r="R138" s="213">
        <f t="shared" si="88"/>
        <v>32</v>
      </c>
      <c r="S138" s="213">
        <f t="shared" si="89"/>
        <v>20</v>
      </c>
      <c r="T138" s="213">
        <f t="shared" si="90"/>
        <v>20</v>
      </c>
    </row>
    <row r="139" ht="15.75" customHeight="1">
      <c r="A139" s="208">
        <v>500.0</v>
      </c>
      <c r="B139" s="46">
        <f t="shared" si="78"/>
        <v>13</v>
      </c>
      <c r="C139" s="173">
        <f t="shared" si="79"/>
        <v>0.026</v>
      </c>
      <c r="D139" s="64">
        <f t="shared" si="80"/>
        <v>16</v>
      </c>
      <c r="E139" s="84">
        <f t="shared" si="81"/>
        <v>104</v>
      </c>
      <c r="F139" s="46">
        <f>B139*MAX(1,ROUNDUP(D139*$K$101/(12*Parametros!$B$37),0))</f>
        <v>13</v>
      </c>
      <c r="G139" s="63">
        <f>F139*Parametros!$B$71</f>
        <v>6.5</v>
      </c>
      <c r="H139" s="215" t="str">
        <f t="shared" si="82"/>
        <v>Sí</v>
      </c>
      <c r="I139" s="64">
        <f>MIN(A139,MAX(K57,K65,K73,K81)/ROUNDUP(12/$B$12,0))</f>
        <v>249.25</v>
      </c>
      <c r="M139" s="143">
        <f t="shared" si="83"/>
        <v>4</v>
      </c>
      <c r="N139" s="143">
        <f t="shared" si="84"/>
        <v>4</v>
      </c>
      <c r="O139" s="143">
        <f t="shared" si="85"/>
        <v>4</v>
      </c>
      <c r="P139" s="143">
        <f t="shared" si="86"/>
        <v>4</v>
      </c>
      <c r="Q139" s="213">
        <f t="shared" si="87"/>
        <v>32</v>
      </c>
      <c r="R139" s="213">
        <f t="shared" si="88"/>
        <v>32</v>
      </c>
      <c r="S139" s="213">
        <f t="shared" si="89"/>
        <v>20</v>
      </c>
      <c r="T139" s="213">
        <f t="shared" si="90"/>
        <v>20</v>
      </c>
    </row>
    <row r="140" ht="15.75" customHeight="1">
      <c r="A140" s="22" t="s">
        <v>842</v>
      </c>
    </row>
    <row r="141" ht="27.75" customHeight="1">
      <c r="A141" s="214" t="s">
        <v>861</v>
      </c>
    </row>
    <row r="142" ht="27.75" customHeight="1">
      <c r="A142" s="214" t="s">
        <v>862</v>
      </c>
    </row>
    <row r="143" ht="27.75" customHeight="1">
      <c r="A143" s="214" t="s">
        <v>863</v>
      </c>
    </row>
    <row r="144" ht="27.75" customHeight="1">
      <c r="A144" s="214" t="s">
        <v>864</v>
      </c>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107:E107"/>
    <mergeCell ref="C108:E108"/>
    <mergeCell ref="C109:E109"/>
    <mergeCell ref="C110:E110"/>
    <mergeCell ref="C111:E111"/>
    <mergeCell ref="C112:E112"/>
    <mergeCell ref="C113:E113"/>
    <mergeCell ref="A131:K131"/>
    <mergeCell ref="A132:K132"/>
    <mergeCell ref="A141:K141"/>
    <mergeCell ref="A142:K142"/>
    <mergeCell ref="A143:K143"/>
    <mergeCell ref="A144:K144"/>
    <mergeCell ref="C114:E114"/>
    <mergeCell ref="C115:E115"/>
    <mergeCell ref="C116:E116"/>
    <mergeCell ref="C117:E117"/>
    <mergeCell ref="C118:E118"/>
    <mergeCell ref="A129:K129"/>
    <mergeCell ref="A130:K130"/>
  </mergeCells>
  <conditionalFormatting sqref="A124:I127">
    <cfRule type="expression" dxfId="6" priority="1">
      <formula>$A124=$B$5</formula>
    </cfRule>
  </conditionalFormatting>
  <conditionalFormatting sqref="A136:I139">
    <cfRule type="expression" dxfId="6" priority="2">
      <formula>$A136=$B$14</formula>
    </cfRule>
  </conditionalFormatting>
  <conditionalFormatting sqref="H136:H139">
    <cfRule type="expression" dxfId="7" priority="3">
      <formula>H136="No"</formula>
    </cfRule>
  </conditionalFormatting>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outlineLevelRow="1"/>
  <cols>
    <col customWidth="1" min="1" max="1" width="48.0"/>
    <col customWidth="1" min="2" max="8" width="11.0"/>
    <col customWidth="1" min="9" max="12" width="14.0"/>
    <col customWidth="1" min="13" max="15" width="11.0"/>
    <col customWidth="1" min="16" max="26" width="8.63"/>
  </cols>
  <sheetData>
    <row r="1">
      <c r="A1" s="20" t="s">
        <v>865</v>
      </c>
    </row>
    <row r="2">
      <c r="A2" s="22" t="s">
        <v>866</v>
      </c>
    </row>
    <row r="4">
      <c r="A4" s="24" t="s">
        <v>24</v>
      </c>
      <c r="B4" s="29" t="s">
        <v>27</v>
      </c>
    </row>
    <row r="5">
      <c r="A5" s="30" t="s">
        <v>867</v>
      </c>
      <c r="B5" s="31">
        <v>2035.0</v>
      </c>
    </row>
    <row r="6">
      <c r="A6" s="30" t="s">
        <v>868</v>
      </c>
      <c r="B6" s="36">
        <f t="array" ref="B6">INDEX($B$443:$B$452,$B$13)</f>
        <v>54</v>
      </c>
      <c r="C6" s="22" t="s">
        <v>869</v>
      </c>
    </row>
    <row r="7">
      <c r="A7" s="30" t="s">
        <v>38</v>
      </c>
      <c r="B7" s="36">
        <f>'Dotacion Planta'!$B$9</f>
        <v>130.95</v>
      </c>
    </row>
    <row r="8">
      <c r="A8" s="30" t="s">
        <v>870</v>
      </c>
      <c r="B8" s="31">
        <v>25.0</v>
      </c>
      <c r="C8" s="22" t="s">
        <v>871</v>
      </c>
      <c r="H8" s="216" t="s">
        <v>872</v>
      </c>
      <c r="I8" s="16"/>
      <c r="J8" s="16"/>
      <c r="K8" s="16"/>
      <c r="L8" s="16"/>
      <c r="M8" s="16"/>
      <c r="N8" s="16"/>
      <c r="O8" s="16"/>
      <c r="P8" s="16"/>
      <c r="Q8" s="17"/>
    </row>
    <row r="9">
      <c r="A9" s="30" t="s">
        <v>873</v>
      </c>
      <c r="B9" s="31">
        <v>90.0</v>
      </c>
      <c r="C9" s="22" t="s">
        <v>874</v>
      </c>
    </row>
    <row r="10">
      <c r="A10" s="30" t="s">
        <v>875</v>
      </c>
      <c r="B10" s="31">
        <v>2.0</v>
      </c>
    </row>
    <row r="11">
      <c r="A11" s="30" t="s">
        <v>876</v>
      </c>
      <c r="B11" s="168">
        <v>1.8</v>
      </c>
      <c r="C11" s="22" t="s">
        <v>877</v>
      </c>
    </row>
    <row r="12">
      <c r="A12" s="30" t="s">
        <v>878</v>
      </c>
      <c r="B12" s="31">
        <v>200.0</v>
      </c>
      <c r="C12" s="22" t="s">
        <v>879</v>
      </c>
    </row>
    <row r="13">
      <c r="A13" s="30" t="s">
        <v>880</v>
      </c>
      <c r="B13" s="36">
        <f>MATCH($B$5,$A$378:$A$387,0)</f>
        <v>10</v>
      </c>
    </row>
    <row r="14">
      <c r="A14" s="30" t="s">
        <v>881</v>
      </c>
      <c r="B14" s="40">
        <f t="array" ref="B14">INDEX($N$378:$N$387,$B$13)/INDEX($N$391:$N$400,$B$13)</f>
        <v>6.988734601</v>
      </c>
    </row>
    <row r="15">
      <c r="A15" s="30" t="s">
        <v>882</v>
      </c>
      <c r="B15" s="84">
        <f t="array" ref="B15">INDEX($O$378:$O$387,$B$13)</f>
        <v>33291.84</v>
      </c>
    </row>
    <row r="16">
      <c r="A16" s="30" t="s">
        <v>883</v>
      </c>
      <c r="B16" s="34">
        <f t="array" ref="B16">INDEX($D$443:$D$452,$B$13)</f>
        <v>0.8717697335</v>
      </c>
      <c r="C16" s="22" t="s">
        <v>884</v>
      </c>
    </row>
    <row r="18">
      <c r="A18" s="45" t="s">
        <v>885</v>
      </c>
      <c r="B18" s="69"/>
      <c r="C18" s="69"/>
      <c r="D18" s="69"/>
      <c r="E18" s="69"/>
      <c r="F18" s="69"/>
      <c r="G18" s="69"/>
      <c r="H18" s="69"/>
      <c r="I18" s="69"/>
      <c r="J18" s="69"/>
      <c r="K18" s="69"/>
      <c r="L18" s="69"/>
      <c r="M18" s="69"/>
      <c r="N18" s="69"/>
    </row>
    <row r="19">
      <c r="A19" s="29" t="s">
        <v>886</v>
      </c>
      <c r="B19" s="29" t="s">
        <v>110</v>
      </c>
      <c r="C19" s="29" t="s">
        <v>111</v>
      </c>
      <c r="D19" s="29" t="s">
        <v>112</v>
      </c>
      <c r="E19" s="29" t="s">
        <v>113</v>
      </c>
      <c r="F19" s="29" t="s">
        <v>114</v>
      </c>
      <c r="G19" s="29" t="s">
        <v>115</v>
      </c>
      <c r="H19" s="29" t="s">
        <v>116</v>
      </c>
      <c r="I19" s="29" t="s">
        <v>117</v>
      </c>
      <c r="J19" s="29" t="s">
        <v>118</v>
      </c>
      <c r="K19" s="29" t="s">
        <v>119</v>
      </c>
      <c r="L19" s="29" t="s">
        <v>120</v>
      </c>
      <c r="M19" s="29" t="s">
        <v>109</v>
      </c>
      <c r="N19" s="29" t="s">
        <v>887</v>
      </c>
    </row>
    <row r="20">
      <c r="A20" s="217" t="s">
        <v>888</v>
      </c>
      <c r="B20" s="218">
        <v>2.0</v>
      </c>
      <c r="C20" s="218">
        <v>3.0</v>
      </c>
      <c r="D20" s="218">
        <v>4.0</v>
      </c>
      <c r="E20" s="218">
        <v>5.0</v>
      </c>
      <c r="F20" s="218">
        <v>6.0</v>
      </c>
      <c r="G20" s="218">
        <v>7.0</v>
      </c>
      <c r="H20" s="218">
        <v>8.0</v>
      </c>
      <c r="I20" s="218">
        <v>9.0</v>
      </c>
      <c r="J20" s="218">
        <v>10.0</v>
      </c>
      <c r="K20" s="218">
        <v>11.0</v>
      </c>
      <c r="L20" s="218">
        <v>12.0</v>
      </c>
      <c r="M20" s="218">
        <v>1.0</v>
      </c>
    </row>
    <row r="21" ht="15.75" customHeight="1">
      <c r="A21" s="30" t="s">
        <v>889</v>
      </c>
      <c r="B21" s="64">
        <f t="shared" ref="B21:M21" si="1">INDEX($B$391:$M$400,$B$13,B$20)</f>
        <v>3501.608933</v>
      </c>
      <c r="C21" s="64">
        <f t="shared" si="1"/>
        <v>3334.30502</v>
      </c>
      <c r="D21" s="64">
        <f t="shared" si="1"/>
        <v>3208.968544</v>
      </c>
      <c r="E21" s="64">
        <f t="shared" si="1"/>
        <v>3008.295052</v>
      </c>
      <c r="F21" s="64">
        <f t="shared" si="1"/>
        <v>2927.603354</v>
      </c>
      <c r="G21" s="64">
        <f t="shared" si="1"/>
        <v>3133.631528</v>
      </c>
      <c r="H21" s="64">
        <f t="shared" si="1"/>
        <v>3133.631528</v>
      </c>
      <c r="I21" s="64">
        <f t="shared" si="1"/>
        <v>3130.954187</v>
      </c>
      <c r="J21" s="64">
        <f t="shared" si="1"/>
        <v>3050.262489</v>
      </c>
      <c r="K21" s="64">
        <f t="shared" si="1"/>
        <v>2972.248133</v>
      </c>
      <c r="L21" s="64">
        <f t="shared" si="1"/>
        <v>4708.327222</v>
      </c>
      <c r="M21" s="64">
        <f t="shared" si="1"/>
        <v>4560.330533</v>
      </c>
      <c r="N21" s="84">
        <f t="shared" ref="N21:N27" si="3">MAX(B21:M21)</f>
        <v>4708.327222</v>
      </c>
    </row>
    <row r="22" ht="15.75" customHeight="1">
      <c r="A22" s="30" t="s">
        <v>890</v>
      </c>
      <c r="B22" s="64">
        <f t="shared" ref="B22:M22" si="2">INDEX($B$404:$M$413,$B$13,B$20)</f>
        <v>2363.73537</v>
      </c>
      <c r="C22" s="64">
        <f t="shared" si="2"/>
        <v>2436.394776</v>
      </c>
      <c r="D22" s="64">
        <f t="shared" si="2"/>
        <v>2370.032811</v>
      </c>
      <c r="E22" s="64">
        <f t="shared" si="2"/>
        <v>2297.373404</v>
      </c>
      <c r="F22" s="64">
        <f t="shared" si="2"/>
        <v>2224.713998</v>
      </c>
      <c r="G22" s="64">
        <f t="shared" si="2"/>
        <v>2376.330252</v>
      </c>
      <c r="H22" s="64">
        <f t="shared" si="2"/>
        <v>2430.097335</v>
      </c>
      <c r="I22" s="64">
        <f t="shared" si="2"/>
        <v>2430.097335</v>
      </c>
      <c r="J22" s="64">
        <f t="shared" si="2"/>
        <v>2363.73537</v>
      </c>
      <c r="K22" s="64">
        <f t="shared" si="2"/>
        <v>2357.437928</v>
      </c>
      <c r="L22" s="64">
        <f t="shared" si="2"/>
        <v>3421.293894</v>
      </c>
      <c r="M22" s="64">
        <f t="shared" si="2"/>
        <v>2860.444796</v>
      </c>
      <c r="N22" s="84">
        <f t="shared" si="3"/>
        <v>3421.293894</v>
      </c>
    </row>
    <row r="23" ht="15.75" customHeight="1">
      <c r="A23" s="30" t="s">
        <v>891</v>
      </c>
      <c r="B23" s="64">
        <f t="shared" ref="B23:M23" si="4">INDEX($B$417:$M$426,$B$13,B$20)</f>
        <v>209.5634191</v>
      </c>
      <c r="C23" s="64">
        <f t="shared" si="4"/>
        <v>251.4761029</v>
      </c>
      <c r="D23" s="64">
        <f t="shared" si="4"/>
        <v>251.4761029</v>
      </c>
      <c r="E23" s="64">
        <f t="shared" si="4"/>
        <v>251.4761029</v>
      </c>
      <c r="F23" s="64">
        <f t="shared" si="4"/>
        <v>223.5343137</v>
      </c>
      <c r="G23" s="64">
        <f t="shared" si="4"/>
        <v>251.4761029</v>
      </c>
      <c r="H23" s="64">
        <f t="shared" si="4"/>
        <v>251.4761029</v>
      </c>
      <c r="I23" s="64">
        <f t="shared" si="4"/>
        <v>237.5052083</v>
      </c>
      <c r="J23" s="64">
        <f t="shared" si="4"/>
        <v>209.5634191</v>
      </c>
      <c r="K23" s="64">
        <f t="shared" si="4"/>
        <v>195.5925245</v>
      </c>
      <c r="L23" s="64">
        <f t="shared" si="4"/>
        <v>223.5343137</v>
      </c>
      <c r="M23" s="64">
        <f t="shared" si="4"/>
        <v>237.5052083</v>
      </c>
      <c r="N23" s="84">
        <f t="shared" si="3"/>
        <v>251.4761029</v>
      </c>
    </row>
    <row r="24" ht="15.75" customHeight="1">
      <c r="A24" s="73" t="s">
        <v>892</v>
      </c>
      <c r="B24" s="84">
        <f t="shared" ref="B24:M24" si="5">B21+B22+B23</f>
        <v>6074.907721</v>
      </c>
      <c r="C24" s="84">
        <f t="shared" si="5"/>
        <v>6022.175899</v>
      </c>
      <c r="D24" s="84">
        <f t="shared" si="5"/>
        <v>5830.477458</v>
      </c>
      <c r="E24" s="84">
        <f t="shared" si="5"/>
        <v>5557.144559</v>
      </c>
      <c r="F24" s="84">
        <f t="shared" si="5"/>
        <v>5375.851666</v>
      </c>
      <c r="G24" s="84">
        <f t="shared" si="5"/>
        <v>5761.437883</v>
      </c>
      <c r="H24" s="84">
        <f t="shared" si="5"/>
        <v>5815.204966</v>
      </c>
      <c r="I24" s="84">
        <f t="shared" si="5"/>
        <v>5798.55673</v>
      </c>
      <c r="J24" s="84">
        <f t="shared" si="5"/>
        <v>5623.561278</v>
      </c>
      <c r="K24" s="84">
        <f t="shared" si="5"/>
        <v>5525.278586</v>
      </c>
      <c r="L24" s="84">
        <f t="shared" si="5"/>
        <v>8353.15543</v>
      </c>
      <c r="M24" s="84">
        <f t="shared" si="5"/>
        <v>7658.280537</v>
      </c>
      <c r="N24" s="84">
        <f t="shared" si="3"/>
        <v>8353.15543</v>
      </c>
    </row>
    <row r="25" ht="15.75" customHeight="1">
      <c r="A25" s="30" t="s">
        <v>893</v>
      </c>
      <c r="B25" s="64">
        <f t="shared" ref="B25:M25" si="6">INDEX($B$430:$M$439,$B$13,B$20)</f>
        <v>714.375</v>
      </c>
      <c r="C25" s="64">
        <f t="shared" si="6"/>
        <v>868.125</v>
      </c>
      <c r="D25" s="64">
        <f t="shared" si="6"/>
        <v>868.125</v>
      </c>
      <c r="E25" s="64">
        <f t="shared" si="6"/>
        <v>0</v>
      </c>
      <c r="F25" s="64">
        <f t="shared" si="6"/>
        <v>0</v>
      </c>
      <c r="G25" s="64">
        <f t="shared" si="6"/>
        <v>1190.625</v>
      </c>
      <c r="H25" s="64">
        <f t="shared" si="6"/>
        <v>0</v>
      </c>
      <c r="I25" s="64">
        <f t="shared" si="6"/>
        <v>0</v>
      </c>
      <c r="J25" s="64">
        <f t="shared" si="6"/>
        <v>560.625</v>
      </c>
      <c r="K25" s="64">
        <f t="shared" si="6"/>
        <v>560.625</v>
      </c>
      <c r="L25" s="64">
        <f t="shared" si="6"/>
        <v>0</v>
      </c>
      <c r="M25" s="64">
        <f t="shared" si="6"/>
        <v>0</v>
      </c>
      <c r="N25" s="84">
        <f t="shared" si="3"/>
        <v>1190.625</v>
      </c>
    </row>
    <row r="26" ht="15.75" customHeight="1">
      <c r="A26" s="30" t="s">
        <v>894</v>
      </c>
      <c r="B26" s="64">
        <f t="shared" ref="B26:M26" si="7">$B$6*$B$7-B25</f>
        <v>6356.925</v>
      </c>
      <c r="C26" s="64">
        <f t="shared" si="7"/>
        <v>6203.175</v>
      </c>
      <c r="D26" s="64">
        <f t="shared" si="7"/>
        <v>6203.175</v>
      </c>
      <c r="E26" s="64">
        <f t="shared" si="7"/>
        <v>7071.3</v>
      </c>
      <c r="F26" s="64">
        <f t="shared" si="7"/>
        <v>7071.3</v>
      </c>
      <c r="G26" s="64">
        <f t="shared" si="7"/>
        <v>5880.675</v>
      </c>
      <c r="H26" s="64">
        <f t="shared" si="7"/>
        <v>7071.3</v>
      </c>
      <c r="I26" s="64">
        <f t="shared" si="7"/>
        <v>7071.3</v>
      </c>
      <c r="J26" s="64">
        <f t="shared" si="7"/>
        <v>6510.675</v>
      </c>
      <c r="K26" s="64">
        <f t="shared" si="7"/>
        <v>6510.675</v>
      </c>
      <c r="L26" s="64">
        <f t="shared" si="7"/>
        <v>7071.3</v>
      </c>
      <c r="M26" s="64">
        <f t="shared" si="7"/>
        <v>7071.3</v>
      </c>
      <c r="N26" s="84">
        <f t="shared" si="3"/>
        <v>7071.3</v>
      </c>
    </row>
    <row r="27" ht="15.75" customHeight="1">
      <c r="A27" s="30" t="s">
        <v>895</v>
      </c>
      <c r="B27" s="64">
        <f t="shared" ref="B27:M27" si="8">B26+$B$6*$B$8</f>
        <v>7706.925</v>
      </c>
      <c r="C27" s="64">
        <f t="shared" si="8"/>
        <v>7553.175</v>
      </c>
      <c r="D27" s="64">
        <f t="shared" si="8"/>
        <v>7553.175</v>
      </c>
      <c r="E27" s="64">
        <f t="shared" si="8"/>
        <v>8421.3</v>
      </c>
      <c r="F27" s="64">
        <f t="shared" si="8"/>
        <v>8421.3</v>
      </c>
      <c r="G27" s="64">
        <f t="shared" si="8"/>
        <v>7230.675</v>
      </c>
      <c r="H27" s="64">
        <f t="shared" si="8"/>
        <v>8421.3</v>
      </c>
      <c r="I27" s="64">
        <f t="shared" si="8"/>
        <v>8421.3</v>
      </c>
      <c r="J27" s="64">
        <f t="shared" si="8"/>
        <v>7860.675</v>
      </c>
      <c r="K27" s="64">
        <f t="shared" si="8"/>
        <v>7860.675</v>
      </c>
      <c r="L27" s="64">
        <f t="shared" si="8"/>
        <v>8421.3</v>
      </c>
      <c r="M27" s="64">
        <f t="shared" si="8"/>
        <v>8421.3</v>
      </c>
      <c r="N27" s="84">
        <f t="shared" si="3"/>
        <v>8421.3</v>
      </c>
    </row>
    <row r="28" ht="15.75" customHeight="1">
      <c r="A28" s="30" t="s">
        <v>896</v>
      </c>
      <c r="B28" s="64">
        <f t="shared" ref="B28:M28" si="9">MAX(0,B26-B24)</f>
        <v>282.0172785</v>
      </c>
      <c r="C28" s="64">
        <f t="shared" si="9"/>
        <v>180.999101</v>
      </c>
      <c r="D28" s="64">
        <f t="shared" si="9"/>
        <v>372.6975425</v>
      </c>
      <c r="E28" s="64">
        <f t="shared" si="9"/>
        <v>1514.155441</v>
      </c>
      <c r="F28" s="64">
        <f t="shared" si="9"/>
        <v>1695.448334</v>
      </c>
      <c r="G28" s="64">
        <f t="shared" si="9"/>
        <v>119.2371167</v>
      </c>
      <c r="H28" s="64">
        <f t="shared" si="9"/>
        <v>1256.095034</v>
      </c>
      <c r="I28" s="64">
        <f t="shared" si="9"/>
        <v>1272.74327</v>
      </c>
      <c r="J28" s="64">
        <f t="shared" si="9"/>
        <v>887.113722</v>
      </c>
      <c r="K28" s="64">
        <f t="shared" si="9"/>
        <v>985.3964145</v>
      </c>
      <c r="L28" s="64">
        <f t="shared" si="9"/>
        <v>0</v>
      </c>
      <c r="M28" s="64">
        <f t="shared" si="9"/>
        <v>0</v>
      </c>
      <c r="N28" s="84">
        <f t="shared" ref="N28:N31" si="11">SUM(B28:M28)</f>
        <v>8565.903254</v>
      </c>
    </row>
    <row r="29" ht="15.75" customHeight="1">
      <c r="A29" s="73" t="s">
        <v>897</v>
      </c>
      <c r="B29" s="84">
        <f t="shared" ref="B29:M29" si="10">MAX(0,B24-B27)</f>
        <v>0</v>
      </c>
      <c r="C29" s="84">
        <f t="shared" si="10"/>
        <v>0</v>
      </c>
      <c r="D29" s="84">
        <f t="shared" si="10"/>
        <v>0</v>
      </c>
      <c r="E29" s="84">
        <f t="shared" si="10"/>
        <v>0</v>
      </c>
      <c r="F29" s="84">
        <f t="shared" si="10"/>
        <v>0</v>
      </c>
      <c r="G29" s="84">
        <f t="shared" si="10"/>
        <v>0</v>
      </c>
      <c r="H29" s="84">
        <f t="shared" si="10"/>
        <v>0</v>
      </c>
      <c r="I29" s="84">
        <f t="shared" si="10"/>
        <v>0</v>
      </c>
      <c r="J29" s="84">
        <f t="shared" si="10"/>
        <v>0</v>
      </c>
      <c r="K29" s="84">
        <f t="shared" si="10"/>
        <v>0</v>
      </c>
      <c r="L29" s="84">
        <f t="shared" si="10"/>
        <v>0</v>
      </c>
      <c r="M29" s="84">
        <f t="shared" si="10"/>
        <v>0</v>
      </c>
      <c r="N29" s="84">
        <f t="shared" si="11"/>
        <v>0</v>
      </c>
    </row>
    <row r="30" ht="15.75" customHeight="1">
      <c r="A30" s="30" t="s">
        <v>898</v>
      </c>
      <c r="B30" s="64">
        <f t="shared" ref="B30:M30" si="12">MIN(B29,B21)</f>
        <v>0</v>
      </c>
      <c r="C30" s="64">
        <f t="shared" si="12"/>
        <v>0</v>
      </c>
      <c r="D30" s="64">
        <f t="shared" si="12"/>
        <v>0</v>
      </c>
      <c r="E30" s="64">
        <f t="shared" si="12"/>
        <v>0</v>
      </c>
      <c r="F30" s="64">
        <f t="shared" si="12"/>
        <v>0</v>
      </c>
      <c r="G30" s="64">
        <f t="shared" si="12"/>
        <v>0</v>
      </c>
      <c r="H30" s="64">
        <f t="shared" si="12"/>
        <v>0</v>
      </c>
      <c r="I30" s="64">
        <f t="shared" si="12"/>
        <v>0</v>
      </c>
      <c r="J30" s="64">
        <f t="shared" si="12"/>
        <v>0</v>
      </c>
      <c r="K30" s="64">
        <f t="shared" si="12"/>
        <v>0</v>
      </c>
      <c r="L30" s="64">
        <f t="shared" si="12"/>
        <v>0</v>
      </c>
      <c r="M30" s="64">
        <f t="shared" si="12"/>
        <v>0</v>
      </c>
      <c r="N30" s="84">
        <f t="shared" si="11"/>
        <v>0</v>
      </c>
    </row>
    <row r="31" ht="15.75" customHeight="1">
      <c r="A31" s="30" t="s">
        <v>899</v>
      </c>
      <c r="B31" s="64">
        <f t="shared" ref="B31:M31" si="13">B29-B30</f>
        <v>0</v>
      </c>
      <c r="C31" s="64">
        <f t="shared" si="13"/>
        <v>0</v>
      </c>
      <c r="D31" s="64">
        <f t="shared" si="13"/>
        <v>0</v>
      </c>
      <c r="E31" s="64">
        <f t="shared" si="13"/>
        <v>0</v>
      </c>
      <c r="F31" s="64">
        <f t="shared" si="13"/>
        <v>0</v>
      </c>
      <c r="G31" s="64">
        <f t="shared" si="13"/>
        <v>0</v>
      </c>
      <c r="H31" s="64">
        <f t="shared" si="13"/>
        <v>0</v>
      </c>
      <c r="I31" s="64">
        <f t="shared" si="13"/>
        <v>0</v>
      </c>
      <c r="J31" s="64">
        <f t="shared" si="13"/>
        <v>0</v>
      </c>
      <c r="K31" s="64">
        <f t="shared" si="13"/>
        <v>0</v>
      </c>
      <c r="L31" s="64">
        <f t="shared" si="13"/>
        <v>0</v>
      </c>
      <c r="M31" s="64">
        <f t="shared" si="13"/>
        <v>0</v>
      </c>
      <c r="N31" s="84">
        <f t="shared" si="11"/>
        <v>0</v>
      </c>
    </row>
    <row r="32" ht="15.75" customHeight="1">
      <c r="A32" s="73" t="s">
        <v>900</v>
      </c>
      <c r="B32" s="84">
        <f t="shared" ref="B32:L32" si="14">MAX(0,C32-B28)+B30</f>
        <v>0</v>
      </c>
      <c r="C32" s="84">
        <f t="shared" si="14"/>
        <v>0</v>
      </c>
      <c r="D32" s="84">
        <f t="shared" si="14"/>
        <v>0</v>
      </c>
      <c r="E32" s="84">
        <f t="shared" si="14"/>
        <v>0</v>
      </c>
      <c r="F32" s="84">
        <f t="shared" si="14"/>
        <v>0</v>
      </c>
      <c r="G32" s="84">
        <f t="shared" si="14"/>
        <v>0</v>
      </c>
      <c r="H32" s="84">
        <f t="shared" si="14"/>
        <v>0</v>
      </c>
      <c r="I32" s="84">
        <f t="shared" si="14"/>
        <v>0</v>
      </c>
      <c r="J32" s="84">
        <f t="shared" si="14"/>
        <v>0</v>
      </c>
      <c r="K32" s="84">
        <f t="shared" si="14"/>
        <v>0</v>
      </c>
      <c r="L32" s="84">
        <f t="shared" si="14"/>
        <v>0</v>
      </c>
      <c r="M32" s="84">
        <f>M30</f>
        <v>0</v>
      </c>
      <c r="N32" s="84">
        <f>MAX(B32:M32)</f>
        <v>0</v>
      </c>
    </row>
    <row r="33" ht="15.75" customHeight="1">
      <c r="A33" s="30" t="s">
        <v>901</v>
      </c>
      <c r="B33" s="64">
        <f t="shared" ref="B33:L33" si="15">MIN(B28,C32)</f>
        <v>0</v>
      </c>
      <c r="C33" s="64">
        <f t="shared" si="15"/>
        <v>0</v>
      </c>
      <c r="D33" s="64">
        <f t="shared" si="15"/>
        <v>0</v>
      </c>
      <c r="E33" s="64">
        <f t="shared" si="15"/>
        <v>0</v>
      </c>
      <c r="F33" s="64">
        <f t="shared" si="15"/>
        <v>0</v>
      </c>
      <c r="G33" s="64">
        <f t="shared" si="15"/>
        <v>0</v>
      </c>
      <c r="H33" s="64">
        <f t="shared" si="15"/>
        <v>0</v>
      </c>
      <c r="I33" s="64">
        <f t="shared" si="15"/>
        <v>0</v>
      </c>
      <c r="J33" s="64">
        <f t="shared" si="15"/>
        <v>0</v>
      </c>
      <c r="K33" s="64">
        <f t="shared" si="15"/>
        <v>0</v>
      </c>
      <c r="L33" s="64">
        <f t="shared" si="15"/>
        <v>0</v>
      </c>
      <c r="M33" s="64">
        <f t="shared" ref="M33:M34" si="17">0</f>
        <v>0</v>
      </c>
      <c r="N33" s="84">
        <f>SUM(B33:M33)</f>
        <v>0</v>
      </c>
    </row>
    <row r="34" ht="15.75" customHeight="1">
      <c r="A34" s="73" t="s">
        <v>902</v>
      </c>
      <c r="B34" s="140">
        <f t="shared" ref="B34:L34" si="16">C32*$B$14</f>
        <v>0</v>
      </c>
      <c r="C34" s="140">
        <f t="shared" si="16"/>
        <v>0</v>
      </c>
      <c r="D34" s="140">
        <f t="shared" si="16"/>
        <v>0</v>
      </c>
      <c r="E34" s="140">
        <f t="shared" si="16"/>
        <v>0</v>
      </c>
      <c r="F34" s="140">
        <f t="shared" si="16"/>
        <v>0</v>
      </c>
      <c r="G34" s="140">
        <f t="shared" si="16"/>
        <v>0</v>
      </c>
      <c r="H34" s="140">
        <f t="shared" si="16"/>
        <v>0</v>
      </c>
      <c r="I34" s="140">
        <f t="shared" si="16"/>
        <v>0</v>
      </c>
      <c r="J34" s="140">
        <f t="shared" si="16"/>
        <v>0</v>
      </c>
      <c r="K34" s="140">
        <f t="shared" si="16"/>
        <v>0</v>
      </c>
      <c r="L34" s="140">
        <f t="shared" si="16"/>
        <v>0</v>
      </c>
      <c r="M34" s="140">
        <f t="shared" si="17"/>
        <v>0</v>
      </c>
      <c r="N34" s="84">
        <f>MAX(B34:M34)</f>
        <v>0</v>
      </c>
    </row>
    <row r="35" ht="15.75" customHeight="1">
      <c r="A35" s="30" t="s">
        <v>903</v>
      </c>
      <c r="B35" s="64">
        <f t="shared" ref="B35:M35" si="18">B33*$B$14</f>
        <v>0</v>
      </c>
      <c r="C35" s="64">
        <f t="shared" si="18"/>
        <v>0</v>
      </c>
      <c r="D35" s="64">
        <f t="shared" si="18"/>
        <v>0</v>
      </c>
      <c r="E35" s="64">
        <f t="shared" si="18"/>
        <v>0</v>
      </c>
      <c r="F35" s="64">
        <f t="shared" si="18"/>
        <v>0</v>
      </c>
      <c r="G35" s="64">
        <f t="shared" si="18"/>
        <v>0</v>
      </c>
      <c r="H35" s="64">
        <f t="shared" si="18"/>
        <v>0</v>
      </c>
      <c r="I35" s="64">
        <f t="shared" si="18"/>
        <v>0</v>
      </c>
      <c r="J35" s="64">
        <f t="shared" si="18"/>
        <v>0</v>
      </c>
      <c r="K35" s="64">
        <f t="shared" si="18"/>
        <v>0</v>
      </c>
      <c r="L35" s="64">
        <f t="shared" si="18"/>
        <v>0</v>
      </c>
      <c r="M35" s="64">
        <f t="shared" si="18"/>
        <v>0</v>
      </c>
      <c r="N35" s="84">
        <f>SUM(B35:M35)</f>
        <v>0</v>
      </c>
    </row>
    <row r="36" ht="15.75" customHeight="1">
      <c r="A36" s="30" t="s">
        <v>904</v>
      </c>
      <c r="B36" s="64">
        <f t="shared" ref="B36:M36" si="19">INDEX($B$378:$M$387,$B$13,B$20)</f>
        <v>24764.85</v>
      </c>
      <c r="C36" s="64">
        <f t="shared" si="19"/>
        <v>23146.7</v>
      </c>
      <c r="D36" s="64">
        <f t="shared" si="19"/>
        <v>22133.595</v>
      </c>
      <c r="E36" s="64">
        <f t="shared" si="19"/>
        <v>20712.43</v>
      </c>
      <c r="F36" s="64">
        <f t="shared" si="19"/>
        <v>20304.37</v>
      </c>
      <c r="G36" s="64">
        <f t="shared" si="19"/>
        <v>21725.535</v>
      </c>
      <c r="H36" s="64">
        <f t="shared" si="19"/>
        <v>21725.535</v>
      </c>
      <c r="I36" s="64">
        <f t="shared" si="19"/>
        <v>21725.535</v>
      </c>
      <c r="J36" s="64">
        <f t="shared" si="19"/>
        <v>21317.475</v>
      </c>
      <c r="K36" s="64">
        <f t="shared" si="19"/>
        <v>20909.415</v>
      </c>
      <c r="L36" s="64">
        <f t="shared" si="19"/>
        <v>33291.84</v>
      </c>
      <c r="M36" s="64">
        <f t="shared" si="19"/>
        <v>32475.72</v>
      </c>
      <c r="N36" s="84">
        <f t="shared" ref="N36:N39" si="21">MAX(B36:M36)</f>
        <v>33291.84</v>
      </c>
    </row>
    <row r="37" ht="15.75" customHeight="1">
      <c r="A37" s="30" t="s">
        <v>905</v>
      </c>
      <c r="B37" s="64">
        <f t="shared" ref="B37:M37" si="20">B36+B35-B30*$B$14</f>
        <v>24764.85</v>
      </c>
      <c r="C37" s="64">
        <f t="shared" si="20"/>
        <v>23146.7</v>
      </c>
      <c r="D37" s="64">
        <f t="shared" si="20"/>
        <v>22133.595</v>
      </c>
      <c r="E37" s="64">
        <f t="shared" si="20"/>
        <v>20712.43</v>
      </c>
      <c r="F37" s="64">
        <f t="shared" si="20"/>
        <v>20304.37</v>
      </c>
      <c r="G37" s="64">
        <f t="shared" si="20"/>
        <v>21725.535</v>
      </c>
      <c r="H37" s="64">
        <f t="shared" si="20"/>
        <v>21725.535</v>
      </c>
      <c r="I37" s="64">
        <f t="shared" si="20"/>
        <v>21725.535</v>
      </c>
      <c r="J37" s="64">
        <f t="shared" si="20"/>
        <v>21317.475</v>
      </c>
      <c r="K37" s="64">
        <f t="shared" si="20"/>
        <v>20909.415</v>
      </c>
      <c r="L37" s="64">
        <f t="shared" si="20"/>
        <v>33291.84</v>
      </c>
      <c r="M37" s="64">
        <f t="shared" si="20"/>
        <v>32475.72</v>
      </c>
      <c r="N37" s="84">
        <f t="shared" si="21"/>
        <v>33291.84</v>
      </c>
    </row>
    <row r="38" ht="15.75" customHeight="1">
      <c r="A38" s="30" t="s">
        <v>906</v>
      </c>
      <c r="B38" s="87">
        <f t="shared" ref="B38:M38" si="22">$B$16*B37/$B$15</f>
        <v>0.6484846342</v>
      </c>
      <c r="C38" s="87">
        <f t="shared" si="22"/>
        <v>0.6061122633</v>
      </c>
      <c r="D38" s="87">
        <f t="shared" si="22"/>
        <v>0.5795834119</v>
      </c>
      <c r="E38" s="87">
        <f t="shared" si="22"/>
        <v>0.5423692287</v>
      </c>
      <c r="F38" s="87">
        <f t="shared" si="22"/>
        <v>0.5316838968</v>
      </c>
      <c r="G38" s="87">
        <f t="shared" si="22"/>
        <v>0.5688980801</v>
      </c>
      <c r="H38" s="87">
        <f t="shared" si="22"/>
        <v>0.5688980801</v>
      </c>
      <c r="I38" s="87">
        <f t="shared" si="22"/>
        <v>0.5688980801</v>
      </c>
      <c r="J38" s="87">
        <f t="shared" si="22"/>
        <v>0.5582127482</v>
      </c>
      <c r="K38" s="87">
        <f t="shared" si="22"/>
        <v>0.5475274164</v>
      </c>
      <c r="L38" s="87">
        <f t="shared" si="22"/>
        <v>0.8717697335</v>
      </c>
      <c r="M38" s="87">
        <f t="shared" si="22"/>
        <v>0.8503990699</v>
      </c>
      <c r="N38" s="34">
        <f t="shared" si="21"/>
        <v>0.8717697335</v>
      </c>
    </row>
    <row r="39" ht="15.75" customHeight="1">
      <c r="A39" s="30" t="s">
        <v>907</v>
      </c>
      <c r="B39" s="46">
        <f t="shared" ref="B39:M39" si="23">IF(B33&gt;0,1,0)</f>
        <v>0</v>
      </c>
      <c r="C39" s="46">
        <f t="shared" si="23"/>
        <v>0</v>
      </c>
      <c r="D39" s="46">
        <f t="shared" si="23"/>
        <v>0</v>
      </c>
      <c r="E39" s="46">
        <f t="shared" si="23"/>
        <v>0</v>
      </c>
      <c r="F39" s="46">
        <f t="shared" si="23"/>
        <v>0</v>
      </c>
      <c r="G39" s="46">
        <f t="shared" si="23"/>
        <v>0</v>
      </c>
      <c r="H39" s="46">
        <f t="shared" si="23"/>
        <v>0</v>
      </c>
      <c r="I39" s="46">
        <f t="shared" si="23"/>
        <v>0</v>
      </c>
      <c r="J39" s="46">
        <f t="shared" si="23"/>
        <v>0</v>
      </c>
      <c r="K39" s="46">
        <f t="shared" si="23"/>
        <v>0</v>
      </c>
      <c r="L39" s="46">
        <f t="shared" si="23"/>
        <v>0</v>
      </c>
      <c r="M39" s="46">
        <f t="shared" si="23"/>
        <v>0</v>
      </c>
      <c r="N39" s="84">
        <f t="shared" si="21"/>
        <v>0</v>
      </c>
    </row>
    <row r="40" ht="15.75" customHeight="1"/>
    <row r="41" ht="15.75" customHeight="1">
      <c r="A41" s="45" t="s">
        <v>908</v>
      </c>
      <c r="B41" s="69"/>
    </row>
    <row r="42" ht="15.75" customHeight="1">
      <c r="A42" s="73" t="s">
        <v>909</v>
      </c>
      <c r="B42" s="219" t="str">
        <f t="array" ref="B42">IF(SUM(B39:M39)=0,"No hace falta",INDEX(B19:M19,MATCH(1,B39:M39,0)))</f>
        <v>No hace falta</v>
      </c>
    </row>
    <row r="43" ht="15.75" customHeight="1">
      <c r="A43" s="73" t="s">
        <v>910</v>
      </c>
      <c r="B43" s="220">
        <f>MAX(B34:M34)</f>
        <v>0</v>
      </c>
    </row>
    <row r="44" ht="15.75" customHeight="1">
      <c r="A44" s="30" t="s">
        <v>911</v>
      </c>
      <c r="B44" s="84">
        <f>ROUNDUP(B43/$B$9,0)</f>
        <v>0</v>
      </c>
    </row>
    <row r="45" ht="15.75" customHeight="1">
      <c r="A45" s="30" t="s">
        <v>912</v>
      </c>
      <c r="B45" s="84">
        <f>ROUNDUP(B44/$B$10,0)*$B$11</f>
        <v>0</v>
      </c>
    </row>
    <row r="46" ht="15.75" customHeight="1">
      <c r="A46" s="30" t="s">
        <v>913</v>
      </c>
      <c r="B46" s="84">
        <f t="array" ref="B46">INDEX($C$443:$C$452,$B$13)</f>
        <v>0</v>
      </c>
    </row>
    <row r="47" ht="15.75" customHeight="1">
      <c r="A47" s="30" t="s">
        <v>914</v>
      </c>
      <c r="B47" s="84">
        <f>B45+B46</f>
        <v>0</v>
      </c>
    </row>
    <row r="48" ht="15.75" customHeight="1">
      <c r="A48" s="30" t="s">
        <v>915</v>
      </c>
      <c r="B48" s="221" t="str">
        <f>IF(B47&lt;=$B$12,"Sí","No, faltan "&amp;ROUND(B47-$B$12,0)&amp;" m²")</f>
        <v>Sí</v>
      </c>
    </row>
    <row r="49" ht="15.75" customHeight="1">
      <c r="A49" s="30" t="s">
        <v>916</v>
      </c>
      <c r="B49" s="34">
        <f>MAX(B38:M38)</f>
        <v>0.8717697335</v>
      </c>
    </row>
    <row r="50" ht="15.75" customHeight="1">
      <c r="A50" s="30" t="s">
        <v>917</v>
      </c>
      <c r="B50" s="221" t="str">
        <f>IF(B49&lt;=1,"Sí","No")</f>
        <v>Sí</v>
      </c>
    </row>
    <row r="51" ht="15.75" customHeight="1">
      <c r="A51" s="30" t="s">
        <v>918</v>
      </c>
      <c r="B51" s="84">
        <f>SUM(B31:M31)+B32</f>
        <v>0</v>
      </c>
    </row>
    <row r="52" ht="15.75" customHeight="1">
      <c r="A52" s="30" t="s">
        <v>919</v>
      </c>
      <c r="B52" s="221" t="str">
        <f>IF(B51=0,"Sí","No")</f>
        <v>Sí</v>
      </c>
    </row>
    <row r="53" ht="15.75" customHeight="1">
      <c r="A53" s="30" t="s">
        <v>920</v>
      </c>
      <c r="B53" s="36">
        <f>ROUNDUP(MAX(B24:M24)/($B$7+$B$8),0)</f>
        <v>54</v>
      </c>
    </row>
    <row r="54" ht="15.75" customHeight="1"/>
    <row r="55" ht="15.75" customHeight="1">
      <c r="A55" s="45" t="s">
        <v>921</v>
      </c>
    </row>
    <row r="56" ht="30.0" customHeight="1">
      <c r="A56" s="29" t="s">
        <v>922</v>
      </c>
      <c r="B56" s="29" t="s">
        <v>923</v>
      </c>
      <c r="C56" s="29" t="s">
        <v>910</v>
      </c>
      <c r="D56" s="29" t="s">
        <v>924</v>
      </c>
      <c r="E56" s="29" t="s">
        <v>925</v>
      </c>
      <c r="F56" s="29" t="s">
        <v>926</v>
      </c>
      <c r="G56" s="29" t="s">
        <v>927</v>
      </c>
      <c r="H56" s="29" t="s">
        <v>928</v>
      </c>
      <c r="I56" s="29" t="s">
        <v>929</v>
      </c>
    </row>
    <row r="57" ht="15.75" customHeight="1">
      <c r="A57" s="222">
        <v>2.0</v>
      </c>
      <c r="B57" s="36">
        <f t="shared" ref="B57:B69" si="24">$B$6+A57</f>
        <v>56</v>
      </c>
      <c r="C57" s="64">
        <f>MAX(C210:M210)*$B$14</f>
        <v>0</v>
      </c>
      <c r="D57" s="64">
        <f t="shared" ref="D57:D69" si="25">ROUNDUP(ROUNDUP(C57/$B$9,0)/$B$10,0)*$B$11+$B$46</f>
        <v>0</v>
      </c>
      <c r="E57" s="118" t="str">
        <f t="array" ref="E57">IF(SUM(B213:M213)=0,"—",INDEX($B$19:$M$19,MATCH(1,B213:M213,0)))</f>
        <v>—</v>
      </c>
      <c r="F57" s="64">
        <f>SUM(B208:M208)-SUM(B209:M209)+B210</f>
        <v>0</v>
      </c>
      <c r="G57" s="87">
        <f>MAX(B212:M212)</f>
        <v>0.8717697335</v>
      </c>
      <c r="H57" s="215" t="str">
        <f t="shared" ref="H57:H69" si="26">IF(F57&gt;0,"Falta gente",IF(D57&gt;$B$12,"No entra en el depósito",IF(G57&gt;1,"No alcanzan las máquinas","OK")))</f>
        <v>OK</v>
      </c>
      <c r="I57" s="218">
        <f t="shared" ref="I57:I69" si="27">IF(H57="OK",B57,999)</f>
        <v>56</v>
      </c>
    </row>
    <row r="58" ht="15.75" customHeight="1">
      <c r="A58" s="222">
        <v>1.0</v>
      </c>
      <c r="B58" s="36">
        <f t="shared" si="24"/>
        <v>55</v>
      </c>
      <c r="C58" s="64">
        <f>MAX(C218:M218)*$B$14</f>
        <v>0</v>
      </c>
      <c r="D58" s="64">
        <f t="shared" si="25"/>
        <v>0</v>
      </c>
      <c r="E58" s="118" t="str">
        <f t="array" ref="E58">IF(SUM(B221:M221)=0,"—",INDEX($B$19:$M$19,MATCH(1,B221:M221,0)))</f>
        <v>—</v>
      </c>
      <c r="F58" s="64">
        <f>SUM(B216:M216)-SUM(B217:M217)+B218</f>
        <v>0</v>
      </c>
      <c r="G58" s="87">
        <f>MAX(B220:M220)</f>
        <v>0.8717697335</v>
      </c>
      <c r="H58" s="215" t="str">
        <f t="shared" si="26"/>
        <v>OK</v>
      </c>
      <c r="I58" s="218">
        <f t="shared" si="27"/>
        <v>55</v>
      </c>
    </row>
    <row r="59" ht="15.75" customHeight="1">
      <c r="A59" s="222">
        <v>0.0</v>
      </c>
      <c r="B59" s="36">
        <f t="shared" si="24"/>
        <v>54</v>
      </c>
      <c r="C59" s="64">
        <f>MAX(C226:M226)*$B$14</f>
        <v>0</v>
      </c>
      <c r="D59" s="64">
        <f t="shared" si="25"/>
        <v>0</v>
      </c>
      <c r="E59" s="118" t="str">
        <f t="array" ref="E59">IF(SUM(B229:M229)=0,"—",INDEX($B$19:$M$19,MATCH(1,B229:M229,0)))</f>
        <v>—</v>
      </c>
      <c r="F59" s="64">
        <f>SUM(B224:M224)-SUM(B225:M225)+B226</f>
        <v>0</v>
      </c>
      <c r="G59" s="87">
        <f>MAX(B228:M228)</f>
        <v>0.8717697335</v>
      </c>
      <c r="H59" s="215" t="str">
        <f t="shared" si="26"/>
        <v>OK</v>
      </c>
      <c r="I59" s="218">
        <f t="shared" si="27"/>
        <v>54</v>
      </c>
    </row>
    <row r="60" ht="15.75" customHeight="1">
      <c r="A60" s="222">
        <v>-1.0</v>
      </c>
      <c r="B60" s="36">
        <f t="shared" si="24"/>
        <v>53</v>
      </c>
      <c r="C60" s="64">
        <f>MAX(C234:M234)*$B$14</f>
        <v>613.6488467</v>
      </c>
      <c r="D60" s="64">
        <f t="shared" si="25"/>
        <v>7.2</v>
      </c>
      <c r="E60" s="118" t="str">
        <f t="array" ref="E60">IF(SUM(B237:M237)=0,"—",INDEX($B$19:$M$19,MATCH(1,B237:M237,0)))</f>
        <v>Nov</v>
      </c>
      <c r="F60" s="64">
        <f>SUM(B232:M232)-SUM(B233:M233)+B234</f>
        <v>0</v>
      </c>
      <c r="G60" s="87">
        <f>MAX(B236:M236)</f>
        <v>0.8557009163</v>
      </c>
      <c r="H60" s="215" t="str">
        <f t="shared" si="26"/>
        <v>OK</v>
      </c>
      <c r="I60" s="218">
        <f t="shared" si="27"/>
        <v>53</v>
      </c>
    </row>
    <row r="61" ht="15.75" customHeight="1">
      <c r="A61" s="222">
        <v>-2.0</v>
      </c>
      <c r="B61" s="36">
        <f t="shared" si="24"/>
        <v>52</v>
      </c>
      <c r="C61" s="64">
        <f>MAX(C242:M242)*$B$14</f>
        <v>1703.542008</v>
      </c>
      <c r="D61" s="64">
        <f t="shared" si="25"/>
        <v>18</v>
      </c>
      <c r="E61" s="118" t="str">
        <f t="array" ref="E61">IF(SUM(B245:M245)=0,"—",INDEX($B$19:$M$19,MATCH(1,B245:M245,0)))</f>
        <v>Nov</v>
      </c>
      <c r="F61" s="64">
        <f>SUM(B240:M240)-SUM(B241:M241)+B242</f>
        <v>0</v>
      </c>
      <c r="G61" s="87">
        <f>MAX(B244:M244)</f>
        <v>0.8503990699</v>
      </c>
      <c r="H61" s="215" t="str">
        <f t="shared" si="26"/>
        <v>OK</v>
      </c>
      <c r="I61" s="218">
        <f t="shared" si="27"/>
        <v>52</v>
      </c>
    </row>
    <row r="62" ht="15.75" customHeight="1">
      <c r="A62" s="222">
        <v>-3.0</v>
      </c>
      <c r="B62" s="36">
        <f t="shared" si="24"/>
        <v>51</v>
      </c>
      <c r="C62" s="64">
        <f>MAX(C250:M250)*$B$14</f>
        <v>2793.435169</v>
      </c>
      <c r="D62" s="64">
        <f t="shared" si="25"/>
        <v>28.8</v>
      </c>
      <c r="E62" s="118" t="str">
        <f t="array" ref="E62">IF(SUM(B253:M253)=0,"—",INDEX($B$19:$M$19,MATCH(1,B253:M253,0)))</f>
        <v>Nov</v>
      </c>
      <c r="F62" s="64">
        <f>SUM(B248:M248)-SUM(B249:M249)+B250</f>
        <v>0</v>
      </c>
      <c r="G62" s="87">
        <f>MAX(B252:M252)</f>
        <v>0.8503990699</v>
      </c>
      <c r="H62" s="215" t="str">
        <f t="shared" si="26"/>
        <v>OK</v>
      </c>
      <c r="I62" s="218">
        <f t="shared" si="27"/>
        <v>51</v>
      </c>
    </row>
    <row r="63" ht="15.75" customHeight="1">
      <c r="A63" s="222">
        <v>-4.0</v>
      </c>
      <c r="B63" s="36">
        <f t="shared" si="24"/>
        <v>50</v>
      </c>
      <c r="C63" s="64">
        <f>MAX(C258:M258)*$B$14</f>
        <v>3883.32833</v>
      </c>
      <c r="D63" s="64">
        <f t="shared" si="25"/>
        <v>39.6</v>
      </c>
      <c r="E63" s="118" t="str">
        <f t="array" ref="E63">IF(SUM(B261:M261)=0,"—",INDEX($B$19:$M$19,MATCH(1,B261:M261,0)))</f>
        <v>Oct</v>
      </c>
      <c r="F63" s="64">
        <f>SUM(B256:M256)-SUM(B257:M257)+B258</f>
        <v>0</v>
      </c>
      <c r="G63" s="87">
        <f>MAX(B260:M260)</f>
        <v>0.8503990699</v>
      </c>
      <c r="H63" s="215" t="str">
        <f t="shared" si="26"/>
        <v>OK</v>
      </c>
      <c r="I63" s="218">
        <f t="shared" si="27"/>
        <v>50</v>
      </c>
    </row>
    <row r="64" ht="15.75" customHeight="1">
      <c r="A64" s="222">
        <v>-5.0</v>
      </c>
      <c r="B64" s="36">
        <f t="shared" si="24"/>
        <v>49</v>
      </c>
      <c r="C64" s="64">
        <f>MAX(C266:M266)*$B$14</f>
        <v>5090.146774</v>
      </c>
      <c r="D64" s="64">
        <f t="shared" si="25"/>
        <v>52.2</v>
      </c>
      <c r="E64" s="118" t="str">
        <f t="array" ref="E64">IF(SUM(B269:M269)=0,"—",INDEX($B$19:$M$19,MATCH(1,B269:M269,0)))</f>
        <v>Sep</v>
      </c>
      <c r="F64" s="64">
        <f>SUM(B264:M264)-SUM(B265:M265)+B266</f>
        <v>0</v>
      </c>
      <c r="G64" s="87">
        <f>MAX(B268:M268)</f>
        <v>0.8473373009</v>
      </c>
      <c r="H64" s="215" t="str">
        <f t="shared" si="26"/>
        <v>OK</v>
      </c>
      <c r="I64" s="218">
        <f t="shared" si="27"/>
        <v>49</v>
      </c>
    </row>
    <row r="65" ht="15.75" customHeight="1">
      <c r="A65" s="222">
        <v>-6.0</v>
      </c>
      <c r="B65" s="36">
        <f t="shared" si="24"/>
        <v>48</v>
      </c>
      <c r="C65" s="64">
        <f>MAX(C274:M274)*$B$14</f>
        <v>7269.933096</v>
      </c>
      <c r="D65" s="64">
        <f t="shared" si="25"/>
        <v>73.8</v>
      </c>
      <c r="E65" s="118" t="str">
        <f t="array" ref="E65">IF(SUM(B277:M277)=0,"—",INDEX($B$19:$M$19,MATCH(1,B277:M277,0)))</f>
        <v>Ago</v>
      </c>
      <c r="F65" s="64">
        <f>SUM(B272:M272)-SUM(B273:M273)+B274</f>
        <v>0</v>
      </c>
      <c r="G65" s="87">
        <f>MAX(B276:M276)</f>
        <v>0.8187976987</v>
      </c>
      <c r="H65" s="215" t="str">
        <f t="shared" si="26"/>
        <v>OK</v>
      </c>
      <c r="I65" s="218">
        <f t="shared" si="27"/>
        <v>48</v>
      </c>
    </row>
    <row r="66" ht="15.75" customHeight="1">
      <c r="A66" s="222">
        <v>-7.0</v>
      </c>
      <c r="B66" s="36">
        <f t="shared" si="24"/>
        <v>47</v>
      </c>
      <c r="C66" s="64">
        <f>MAX(C282:M282)*$B$14</f>
        <v>9449.719418</v>
      </c>
      <c r="D66" s="64">
        <f t="shared" si="25"/>
        <v>95.4</v>
      </c>
      <c r="E66" s="118" t="str">
        <f t="array" ref="E66">IF(SUM(B285:M285)=0,"—",INDEX($B$19:$M$19,MATCH(1,B285:M285,0)))</f>
        <v>Jun</v>
      </c>
      <c r="F66" s="64">
        <f>SUM(B280:M280)-SUM(B281:M281)+B282</f>
        <v>0</v>
      </c>
      <c r="G66" s="87">
        <f>MAX(B284:M284)</f>
        <v>0.7902580965</v>
      </c>
      <c r="H66" s="215" t="str">
        <f t="shared" si="26"/>
        <v>OK</v>
      </c>
      <c r="I66" s="218">
        <f t="shared" si="27"/>
        <v>47</v>
      </c>
    </row>
    <row r="67" ht="15.75" customHeight="1">
      <c r="A67" s="222">
        <v>-8.0</v>
      </c>
      <c r="B67" s="36">
        <f t="shared" si="24"/>
        <v>46</v>
      </c>
      <c r="C67" s="64">
        <f>MAX(C290:M290)*$B$14</f>
        <v>11629.50574</v>
      </c>
      <c r="D67" s="64">
        <f t="shared" si="25"/>
        <v>117</v>
      </c>
      <c r="E67" s="118" t="str">
        <f t="array" ref="E67">IF(SUM(B293:M293)=0,"—",INDEX($B$19:$M$19,MATCH(1,B293:M293,0)))</f>
        <v>May</v>
      </c>
      <c r="F67" s="64">
        <f>SUM(B288:M288)-SUM(B289:M289)+B290</f>
        <v>115.9938887</v>
      </c>
      <c r="G67" s="87">
        <f>MAX(B292:M292)</f>
        <v>0.7617184943</v>
      </c>
      <c r="H67" s="215" t="str">
        <f t="shared" si="26"/>
        <v>Falta gente</v>
      </c>
      <c r="I67" s="218">
        <f t="shared" si="27"/>
        <v>999</v>
      </c>
    </row>
    <row r="68" ht="15.75" customHeight="1">
      <c r="A68" s="222">
        <v>-9.0</v>
      </c>
      <c r="B68" s="36">
        <f t="shared" si="24"/>
        <v>45</v>
      </c>
      <c r="C68" s="64">
        <f>MAX(C298:M298)*$B$14</f>
        <v>13809.29206</v>
      </c>
      <c r="D68" s="64">
        <f t="shared" si="25"/>
        <v>138.6</v>
      </c>
      <c r="E68" s="118" t="str">
        <f t="array" ref="E68">IF(SUM(B301:M301)=0,"—",INDEX($B$19:$M$19,MATCH(1,B301:M301,0)))</f>
        <v>May</v>
      </c>
      <c r="F68" s="64">
        <f>SUM(B296:M296)-SUM(B297:M297)+B298</f>
        <v>951.6938887</v>
      </c>
      <c r="G68" s="87">
        <f>MAX(B300:M300)</f>
        <v>0.733178892</v>
      </c>
      <c r="H68" s="215" t="str">
        <f t="shared" si="26"/>
        <v>Falta gente</v>
      </c>
      <c r="I68" s="218">
        <f t="shared" si="27"/>
        <v>999</v>
      </c>
    </row>
    <row r="69" ht="15.75" customHeight="1">
      <c r="A69" s="222">
        <v>-10.0</v>
      </c>
      <c r="B69" s="36">
        <f t="shared" si="24"/>
        <v>44</v>
      </c>
      <c r="C69" s="64">
        <f>MAX(C306:M306)*$B$14</f>
        <v>16619.90172</v>
      </c>
      <c r="D69" s="64">
        <f t="shared" si="25"/>
        <v>167.4</v>
      </c>
      <c r="E69" s="118" t="str">
        <f t="array" ref="E69">IF(SUM(B309:M309)=0,"—",INDEX($B$19:$M$19,MATCH(1,B309:M309,0)))</f>
        <v>May</v>
      </c>
      <c r="F69" s="64">
        <f>SUM(B304:M304)-SUM(B305:M305)+B306</f>
        <v>1815.995974</v>
      </c>
      <c r="G69" s="87">
        <f>MAX(B308:M308)</f>
        <v>0.7046392898</v>
      </c>
      <c r="H69" s="215" t="str">
        <f t="shared" si="26"/>
        <v>Falta gente</v>
      </c>
      <c r="I69" s="218">
        <f t="shared" si="27"/>
        <v>999</v>
      </c>
    </row>
    <row r="70" ht="15.75" customHeight="1"/>
    <row r="71" ht="15.75" customHeight="1">
      <c r="A71" s="73" t="s">
        <v>930</v>
      </c>
      <c r="B71" s="115">
        <f>IF(MIN(I57:I69)=999,"Ninguno",MIN(I57:I69))</f>
        <v>47</v>
      </c>
    </row>
    <row r="72" ht="15.75" customHeight="1">
      <c r="A72" s="73" t="s">
        <v>931</v>
      </c>
      <c r="B72" s="115">
        <f>IF(ISNUMBER(B71),B53-B71,0)</f>
        <v>7</v>
      </c>
    </row>
    <row r="73" ht="15.75" customHeight="1">
      <c r="A73" s="73" t="s">
        <v>932</v>
      </c>
      <c r="B73" s="220">
        <f t="array" ref="B73">IFERROR(INDEX(C57:C69,MATCH(B71,B57:B69,0)),0)</f>
        <v>9449.719418</v>
      </c>
    </row>
    <row r="74" ht="15.75" customHeight="1">
      <c r="A74" s="73" t="s">
        <v>933</v>
      </c>
      <c r="B74" s="219" t="str">
        <f t="array" ref="B74">IFERROR(INDEX(E57:E69,MATCH(B71,B57:B69,0)),"—")</f>
        <v>Jun</v>
      </c>
    </row>
    <row r="75" ht="15.75" customHeight="1">
      <c r="A75" s="73" t="s">
        <v>934</v>
      </c>
      <c r="B75" s="219" t="str">
        <f t="array" ref="B75">IF(ISNUMBER(B71),IFERROR(INDEX(H57:H69,MATCH(B71,B57:B69,0)+1),"—"),H59)</f>
        <v>Falta gente</v>
      </c>
    </row>
    <row r="76" ht="15.75" customHeight="1"/>
    <row r="77" ht="15.75" customHeight="1"/>
    <row r="78" ht="15.75" customHeight="1">
      <c r="A78" s="45" t="s">
        <v>935</v>
      </c>
      <c r="B78" s="69"/>
      <c r="C78" s="69"/>
      <c r="D78" s="69"/>
      <c r="E78" s="69"/>
      <c r="F78" s="69"/>
      <c r="G78" s="69"/>
      <c r="H78" s="69"/>
      <c r="I78" s="69"/>
      <c r="J78" s="69"/>
      <c r="K78" s="69"/>
      <c r="L78" s="69"/>
    </row>
    <row r="79" ht="60.0" customHeight="1">
      <c r="A79" s="29" t="s">
        <v>936</v>
      </c>
      <c r="B79" s="29" t="s">
        <v>309</v>
      </c>
      <c r="C79" s="29" t="s">
        <v>937</v>
      </c>
      <c r="D79" s="29" t="s">
        <v>910</v>
      </c>
      <c r="E79" s="29" t="s">
        <v>938</v>
      </c>
      <c r="F79" s="29" t="s">
        <v>939</v>
      </c>
      <c r="G79" s="29" t="s">
        <v>940</v>
      </c>
      <c r="H79" s="29" t="s">
        <v>926</v>
      </c>
      <c r="I79" s="29" t="s">
        <v>928</v>
      </c>
      <c r="J79" s="29" t="s">
        <v>941</v>
      </c>
      <c r="K79" s="29" t="s">
        <v>942</v>
      </c>
      <c r="L79" s="29" t="s">
        <v>943</v>
      </c>
    </row>
    <row r="80" ht="15.75" customHeight="1">
      <c r="A80" s="31">
        <v>0.0</v>
      </c>
      <c r="B80" s="64">
        <f>SUM(B317:M317)</f>
        <v>0</v>
      </c>
      <c r="C80" s="36">
        <f t="shared" ref="C80:C86" si="28">IFERROR(B80/$B$6,0)</f>
        <v>0</v>
      </c>
      <c r="D80" s="84">
        <f>MAX(B318:M318)</f>
        <v>13060.79859</v>
      </c>
      <c r="E80" s="64">
        <f>AVERAGE(B318:M318)</f>
        <v>1944.764529</v>
      </c>
      <c r="F80" s="64">
        <f t="shared" ref="F80:F86" si="29">ROUNDUP(ROUNDUP(D80/$B$9,0)/$B$10,0)*$B$11+$B$46</f>
        <v>131.4</v>
      </c>
      <c r="G80" s="118" t="str">
        <f t="array" ref="G80">IF(SUM(B319:M319)=0,"—",INDEX($B$19:$M$19,MATCH(1,B319:M319,0)))</f>
        <v>Oct</v>
      </c>
      <c r="H80" s="64">
        <f>SUM(B313:M313)-SUM(B314:M314)+B315</f>
        <v>0</v>
      </c>
      <c r="I80" s="215" t="str">
        <f>IF(H80&gt;0,"Falta gente",IF(C80&gt;'Dotacion Planta'!$B$12,"Pasa las "&amp;'Dotacion Planta'!$B$12&amp;" h/año",IF(ROUND(D80,0)=0,"Sin stock 1–10 kg","Con stock")))</f>
        <v>Con stock</v>
      </c>
      <c r="J80" s="223">
        <f t="shared" ref="J80:J86" si="30">E80*12*$B$168*$B$160</f>
        <v>8710213.357</v>
      </c>
      <c r="K80" s="223">
        <f t="shared" ref="K80:K86" si="31">B80*$B$157</f>
        <v>0</v>
      </c>
      <c r="L80" s="224">
        <f t="shared" ref="L80:L86" si="32">J80+K80</f>
        <v>8710213.357</v>
      </c>
    </row>
    <row r="81" ht="15.75" customHeight="1">
      <c r="A81" s="31">
        <v>5.0</v>
      </c>
      <c r="B81" s="64">
        <f>SUM(B326:M326)</f>
        <v>540</v>
      </c>
      <c r="C81" s="36">
        <f t="shared" si="28"/>
        <v>10</v>
      </c>
      <c r="D81" s="84">
        <f>MAX(B327:M327)</f>
        <v>9286.881902</v>
      </c>
      <c r="E81" s="64">
        <f>AVERAGE(B327:M327)</f>
        <v>1158.531886</v>
      </c>
      <c r="F81" s="64">
        <f t="shared" si="29"/>
        <v>93.6</v>
      </c>
      <c r="G81" s="118" t="str">
        <f t="array" ref="G81">IF(SUM(B328:M328)=0,"—",INDEX($B$19:$M$19,MATCH(1,B328:M328,0)))</f>
        <v>Oct</v>
      </c>
      <c r="H81" s="64">
        <f>SUM(B322:M322)-SUM(B323:M323)+B324</f>
        <v>0</v>
      </c>
      <c r="I81" s="215" t="str">
        <f>IF(H81&gt;0,"Falta gente",IF(C81&gt;'Dotacion Planta'!$B$12,"Pasa las "&amp;'Dotacion Planta'!$B$12&amp;" h/año",IF(ROUND(D81,0)=0,"Sin stock 1–10 kg","Con stock")))</f>
        <v>Con stock</v>
      </c>
      <c r="J81" s="223">
        <f t="shared" si="30"/>
        <v>5188833.795</v>
      </c>
      <c r="K81" s="223">
        <f t="shared" si="31"/>
        <v>8336540.25</v>
      </c>
      <c r="L81" s="224">
        <f t="shared" si="32"/>
        <v>13525374.04</v>
      </c>
    </row>
    <row r="82" ht="15.75" customHeight="1">
      <c r="A82" s="31">
        <v>10.0</v>
      </c>
      <c r="B82" s="64">
        <f>SUM(B335:M335)</f>
        <v>1080</v>
      </c>
      <c r="C82" s="36">
        <f t="shared" si="28"/>
        <v>20</v>
      </c>
      <c r="D82" s="84">
        <f>MAX(B336:M336)</f>
        <v>5512.965218</v>
      </c>
      <c r="E82" s="64">
        <f>AVERAGE(B336:M336)</f>
        <v>486.7749769</v>
      </c>
      <c r="F82" s="64">
        <f t="shared" si="29"/>
        <v>55.8</v>
      </c>
      <c r="G82" s="118" t="str">
        <f t="array" ref="G82">IF(SUM(B337:M337)=0,"—",INDEX($B$19:$M$19,MATCH(1,B337:M337,0)))</f>
        <v>Nov</v>
      </c>
      <c r="H82" s="64">
        <f>SUM(B331:M331)-SUM(B332:M332)+B333</f>
        <v>0</v>
      </c>
      <c r="I82" s="215" t="str">
        <f>IF(H82&gt;0,"Falta gente",IF(C82&gt;'Dotacion Planta'!$B$12,"Pasa las "&amp;'Dotacion Planta'!$B$12&amp;" h/año",IF(ROUND(D82,0)=0,"Sin stock 1–10 kg","Con stock")))</f>
        <v>Con stock</v>
      </c>
      <c r="J82" s="223">
        <f t="shared" si="30"/>
        <v>2180168.263</v>
      </c>
      <c r="K82" s="223">
        <f t="shared" si="31"/>
        <v>16673080.5</v>
      </c>
      <c r="L82" s="224">
        <f t="shared" si="32"/>
        <v>18853248.76</v>
      </c>
    </row>
    <row r="83" ht="15.75" customHeight="1">
      <c r="A83" s="31">
        <v>15.0</v>
      </c>
      <c r="B83" s="64">
        <f>SUM(B344:M344)</f>
        <v>1396.980537</v>
      </c>
      <c r="C83" s="36">
        <f t="shared" si="28"/>
        <v>25.87000995</v>
      </c>
      <c r="D83" s="84">
        <f>MAX(B345:M345)</f>
        <v>3297.67237</v>
      </c>
      <c r="E83" s="64">
        <f>AVERAGE(B345:M345)</f>
        <v>274.8060309</v>
      </c>
      <c r="F83" s="64">
        <f t="shared" si="29"/>
        <v>34.2</v>
      </c>
      <c r="G83" s="118" t="str">
        <f t="array" ref="G83">IF(SUM(B346:M346)=0,"—",INDEX($B$19:$M$19,MATCH(1,B346:M346,0)))</f>
        <v>Nov</v>
      </c>
      <c r="H83" s="64">
        <f>SUM(B340:M340)-SUM(B341:M341)+B342</f>
        <v>0</v>
      </c>
      <c r="I83" s="215" t="str">
        <f>IF(H83&gt;0,"Falta gente",IF(C83&gt;'Dotacion Planta'!$B$12,"Pasa las "&amp;'Dotacion Planta'!$B$12&amp;" h/año",IF(ROUND(D83,0)=0,"Sin stock 1–10 kg","Con stock")))</f>
        <v>Con stock</v>
      </c>
      <c r="J83" s="223">
        <f t="shared" si="30"/>
        <v>1230801.532</v>
      </c>
      <c r="K83" s="223">
        <f t="shared" si="31"/>
        <v>21566637.92</v>
      </c>
      <c r="L83" s="224">
        <f t="shared" si="32"/>
        <v>22797439.45</v>
      </c>
    </row>
    <row r="84" ht="15.75" customHeight="1">
      <c r="A84" s="31">
        <v>20.0</v>
      </c>
      <c r="B84" s="64">
        <f>SUM(B353:M353)</f>
        <v>1666.980537</v>
      </c>
      <c r="C84" s="36">
        <f t="shared" si="28"/>
        <v>30.87000995</v>
      </c>
      <c r="D84" s="84">
        <f>MAX(B354:M354)</f>
        <v>1410.714028</v>
      </c>
      <c r="E84" s="64">
        <f>AVERAGE(B354:M354)</f>
        <v>117.5595023</v>
      </c>
      <c r="F84" s="64">
        <f t="shared" si="29"/>
        <v>14.4</v>
      </c>
      <c r="G84" s="118" t="str">
        <f t="array" ref="G84">IF(SUM(B355:M355)=0,"—",INDEX($B$19:$M$19,MATCH(1,B355:M355,0)))</f>
        <v>Nov</v>
      </c>
      <c r="H84" s="64">
        <f>SUM(B349:M349)-SUM(B350:M350)+B351</f>
        <v>0</v>
      </c>
      <c r="I84" s="215" t="str">
        <f>IF(H84&gt;0,"Falta gente",IF(C84&gt;'Dotacion Planta'!$B$12,"Pasa las "&amp;'Dotacion Planta'!$B$12&amp;" h/año",IF(ROUND(D84,0)=0,"Sin stock 1–10 kg","Con stock")))</f>
        <v>Con stock</v>
      </c>
      <c r="J84" s="223">
        <f t="shared" si="30"/>
        <v>526525.6191</v>
      </c>
      <c r="K84" s="223">
        <f t="shared" si="31"/>
        <v>25734908.04</v>
      </c>
      <c r="L84" s="224">
        <f t="shared" si="32"/>
        <v>26261433.66</v>
      </c>
    </row>
    <row r="85" ht="15.75" customHeight="1">
      <c r="A85" s="31">
        <v>25.0</v>
      </c>
      <c r="B85" s="64">
        <f>SUM(B362:M362)</f>
        <v>1868.835967</v>
      </c>
      <c r="C85" s="36">
        <f t="shared" si="28"/>
        <v>34.60807346</v>
      </c>
      <c r="D85" s="84">
        <f>MAX(B363:M363)</f>
        <v>0</v>
      </c>
      <c r="E85" s="64">
        <f>AVERAGE(B363:M363)</f>
        <v>0</v>
      </c>
      <c r="F85" s="64">
        <f t="shared" si="29"/>
        <v>0</v>
      </c>
      <c r="G85" s="118" t="str">
        <f t="array" ref="G85">IF(SUM(B364:M364)=0,"—",INDEX($B$19:$M$19,MATCH(1,B364:M364,0)))</f>
        <v>—</v>
      </c>
      <c r="H85" s="64">
        <f>SUM(B358:M358)-SUM(B359:M359)+B360</f>
        <v>0</v>
      </c>
      <c r="I85" s="215" t="str">
        <f>IF(H85&gt;0,"Falta gente",IF(C85&gt;'Dotacion Planta'!$B$12,"Pasa las "&amp;'Dotacion Planta'!$B$12&amp;" h/año",IF(ROUND(D85,0)=0,"Sin stock 1–10 kg","Con stock")))</f>
        <v>Sin stock 1–10 kg</v>
      </c>
      <c r="J85" s="223">
        <f t="shared" si="30"/>
        <v>0</v>
      </c>
      <c r="K85" s="223">
        <f t="shared" si="31"/>
        <v>28851159.74</v>
      </c>
      <c r="L85" s="224">
        <f t="shared" si="32"/>
        <v>28851159.74</v>
      </c>
    </row>
    <row r="86" ht="15.75" customHeight="1">
      <c r="A86" s="31">
        <v>30.0</v>
      </c>
      <c r="B86" s="64">
        <f>SUM(B371:M371)</f>
        <v>1868.835967</v>
      </c>
      <c r="C86" s="36">
        <f t="shared" si="28"/>
        <v>34.60807346</v>
      </c>
      <c r="D86" s="84">
        <f>MAX(B372:M372)</f>
        <v>0</v>
      </c>
      <c r="E86" s="64">
        <f>AVERAGE(B372:M372)</f>
        <v>0</v>
      </c>
      <c r="F86" s="64">
        <f t="shared" si="29"/>
        <v>0</v>
      </c>
      <c r="G86" s="118" t="str">
        <f t="array" ref="G86">IF(SUM(B373:M373)=0,"—",INDEX($B$19:$M$19,MATCH(1,B373:M373,0)))</f>
        <v>—</v>
      </c>
      <c r="H86" s="64">
        <f>SUM(B367:M367)-SUM(B368:M368)+B369</f>
        <v>0</v>
      </c>
      <c r="I86" s="215" t="str">
        <f>IF(H86&gt;0,"Falta gente",IF(C86&gt;'Dotacion Planta'!$B$12,"Pasa las "&amp;'Dotacion Planta'!$B$12&amp;" h/año",IF(ROUND(D86,0)=0,"Sin stock 1–10 kg","Con stock")))</f>
        <v>Sin stock 1–10 kg</v>
      </c>
      <c r="J86" s="223">
        <f t="shared" si="30"/>
        <v>0</v>
      </c>
      <c r="K86" s="223">
        <f t="shared" si="31"/>
        <v>28851159.74</v>
      </c>
      <c r="L86" s="224">
        <f t="shared" si="32"/>
        <v>28851159.74</v>
      </c>
    </row>
    <row r="87" ht="15.75" customHeight="1"/>
    <row r="88" ht="15.75" customHeight="1">
      <c r="A88" s="73" t="s">
        <v>944</v>
      </c>
      <c r="B88" s="115">
        <f t="array" ref="B88">IFERROR(INDEX(A80:A86,MATCH("Sin stock 1–10 kg",I80:I86,0)),"Ninguna")</f>
        <v>25</v>
      </c>
      <c r="C88" s="22" t="s">
        <v>945</v>
      </c>
    </row>
    <row r="89" ht="15.75" customHeight="1">
      <c r="A89" s="73" t="s">
        <v>937</v>
      </c>
      <c r="B89" s="115">
        <f t="array" ref="B89">IFERROR(INDEX(C80:C86,MATCH("Sin stock 1–10 kg",I80:I86,0)),"—")</f>
        <v>34.60807346</v>
      </c>
      <c r="C89" s="22" t="s">
        <v>946</v>
      </c>
    </row>
    <row r="90" ht="15.75" customHeight="1">
      <c r="A90" s="73" t="s">
        <v>947</v>
      </c>
      <c r="B90" s="220">
        <f t="array" ref="B90">IFERROR(E80-INDEX(E80:E86,MATCH("Sin stock 1–10 kg",I80:I86,0)),0)</f>
        <v>1944.764529</v>
      </c>
    </row>
    <row r="91" ht="15.75" customHeight="1">
      <c r="A91" s="73" t="s">
        <v>948</v>
      </c>
      <c r="B91" s="220">
        <f t="array" ref="B91">IFERROR(INDEX(F80:F86,MATCH("Sin stock 1–10 kg",I80:I86,0)),"—")</f>
        <v>0</v>
      </c>
      <c r="C91" s="22" t="str">
        <f>IF(ISNUMBER(B91),IF(B91&lt;=$B$12,"Entra en los m² de B12.","No entra en los m² de B12 (supuesto): faltan "&amp;ROUND(B91-$B$12,0)&amp;" m², los ocupa el stock de carros."),"")</f>
        <v>Entra en los m² de B12.</v>
      </c>
    </row>
    <row r="92" ht="15.75" customHeight="1">
      <c r="A92" s="73" t="s">
        <v>949</v>
      </c>
      <c r="B92" s="115">
        <f t="array" ref="B92">INDEX(A80:A86,MATCH(MIN(L80:L86),L80:L86,0))</f>
        <v>0</v>
      </c>
      <c r="C92" s="22" t="s">
        <v>950</v>
      </c>
    </row>
    <row r="93" ht="15.75" customHeight="1"/>
    <row r="94" ht="15.75" customHeight="1"/>
    <row r="95" ht="15.75" customHeight="1">
      <c r="A95" s="45" t="s">
        <v>951</v>
      </c>
      <c r="B95" s="69"/>
      <c r="C95" s="69"/>
      <c r="D95" s="69"/>
      <c r="E95" s="69"/>
      <c r="F95" s="69"/>
      <c r="G95" s="69"/>
      <c r="H95" s="69"/>
      <c r="I95" s="69"/>
      <c r="J95" s="69"/>
      <c r="K95" s="69"/>
      <c r="L95" s="69"/>
      <c r="M95" s="69"/>
      <c r="N95" s="69"/>
    </row>
    <row r="96" ht="15.75" customHeight="1">
      <c r="A96" s="22" t="s">
        <v>952</v>
      </c>
    </row>
    <row r="97" ht="15.75" customHeight="1">
      <c r="A97" s="30" t="s">
        <v>953</v>
      </c>
      <c r="B97" s="40">
        <f t="array" ref="B97">INDEX($F$443:$F$452,$B$13)</f>
        <v>0.9013480392</v>
      </c>
    </row>
    <row r="98" ht="15.75" customHeight="1">
      <c r="A98" s="30" t="s">
        <v>954</v>
      </c>
      <c r="B98" s="36">
        <f t="array" ref="B98">INDEX($H$443:$H$452,$B$13)</f>
        <v>30</v>
      </c>
    </row>
    <row r="99" ht="15.75" customHeight="1">
      <c r="A99" s="30" t="s">
        <v>955</v>
      </c>
      <c r="B99" s="84">
        <f t="array" ref="B99">INDEX($G$443:$G$452,$B$13)</f>
        <v>508.2352941</v>
      </c>
    </row>
    <row r="100" ht="15.75" customHeight="1">
      <c r="A100" s="30" t="s">
        <v>956</v>
      </c>
      <c r="B100" s="44">
        <f>'Dotacion Planta'!$B$11</f>
        <v>160.95</v>
      </c>
    </row>
    <row r="101" ht="15.75" customHeight="1">
      <c r="A101" s="30" t="s">
        <v>957</v>
      </c>
      <c r="B101" s="44">
        <f>'Dotacion Planta'!$B$9</f>
        <v>130.95</v>
      </c>
    </row>
    <row r="102" ht="15.75" customHeight="1"/>
    <row r="103" ht="15.75" customHeight="1">
      <c r="A103" s="29" t="s">
        <v>886</v>
      </c>
      <c r="B103" s="29" t="s">
        <v>109</v>
      </c>
      <c r="C103" s="29" t="s">
        <v>110</v>
      </c>
      <c r="D103" s="29" t="s">
        <v>111</v>
      </c>
      <c r="E103" s="29" t="s">
        <v>112</v>
      </c>
      <c r="F103" s="29" t="s">
        <v>113</v>
      </c>
      <c r="G103" s="29" t="s">
        <v>114</v>
      </c>
      <c r="H103" s="29" t="s">
        <v>115</v>
      </c>
      <c r="I103" s="29" t="s">
        <v>116</v>
      </c>
      <c r="J103" s="29" t="s">
        <v>117</v>
      </c>
      <c r="K103" s="29" t="s">
        <v>118</v>
      </c>
      <c r="L103" s="29" t="s">
        <v>119</v>
      </c>
      <c r="M103" s="29" t="s">
        <v>120</v>
      </c>
      <c r="N103" s="29" t="s">
        <v>958</v>
      </c>
    </row>
    <row r="104" ht="15.75" customHeight="1">
      <c r="A104" s="73" t="s">
        <v>959</v>
      </c>
      <c r="B104" s="84">
        <f t="array" ref="B104">INDEX($B$456:$M$465,$B$13,1)</f>
        <v>263.5</v>
      </c>
      <c r="C104" s="84">
        <f t="array" ref="C104">INDEX($B$456:$M$465,$B$13,2)</f>
        <v>232.5</v>
      </c>
      <c r="D104" s="84">
        <f t="array" ref="D104">INDEX($B$456:$M$465,$B$13,3)</f>
        <v>279</v>
      </c>
      <c r="E104" s="84">
        <f t="array" ref="E104">INDEX($B$456:$M$465,$B$13,4)</f>
        <v>279</v>
      </c>
      <c r="F104" s="84">
        <f t="array" ref="F104">INDEX($B$456:$M$465,$B$13,5)</f>
        <v>279</v>
      </c>
      <c r="G104" s="84">
        <f t="array" ref="G104">INDEX($B$456:$M$465,$B$13,6)</f>
        <v>248</v>
      </c>
      <c r="H104" s="84">
        <f t="array" ref="H104">INDEX($B$456:$M$465,$B$13,7)</f>
        <v>279</v>
      </c>
      <c r="I104" s="84">
        <f t="array" ref="I104">INDEX($B$456:$M$465,$B$13,8)</f>
        <v>279</v>
      </c>
      <c r="J104" s="84">
        <f t="array" ref="J104">INDEX($B$456:$M$465,$B$13,9)</f>
        <v>263.5</v>
      </c>
      <c r="K104" s="84">
        <f t="array" ref="K104">INDEX($B$456:$M$465,$B$13,10)</f>
        <v>232.5</v>
      </c>
      <c r="L104" s="84">
        <f t="array" ref="L104">INDEX($B$456:$M$465,$B$13,11)</f>
        <v>217</v>
      </c>
      <c r="M104" s="84">
        <f t="array" ref="M104">INDEX($B$456:$M$465,$B$13,12)</f>
        <v>248</v>
      </c>
      <c r="N104" s="84">
        <f>SUM(B104:M104)</f>
        <v>3100</v>
      </c>
    </row>
    <row r="105" ht="15.75" customHeight="1">
      <c r="A105" s="30" t="s">
        <v>960</v>
      </c>
      <c r="B105" s="64">
        <f t="array" ref="B105">INDEX($B$391:$M$400,$B$13,1)</f>
        <v>4560.330533</v>
      </c>
      <c r="C105" s="64">
        <f t="array" ref="C105">INDEX($B$391:$M$400,$B$13,2)</f>
        <v>3501.608933</v>
      </c>
      <c r="D105" s="64">
        <f t="array" ref="D105">INDEX($B$391:$M$400,$B$13,3)</f>
        <v>3334.30502</v>
      </c>
      <c r="E105" s="64">
        <f t="array" ref="E105">INDEX($B$391:$M$400,$B$13,4)</f>
        <v>3208.968544</v>
      </c>
      <c r="F105" s="64">
        <f t="array" ref="F105">INDEX($B$391:$M$400,$B$13,5)</f>
        <v>3008.295052</v>
      </c>
      <c r="G105" s="64">
        <f t="array" ref="G105">INDEX($B$391:$M$400,$B$13,6)</f>
        <v>2927.603354</v>
      </c>
      <c r="H105" s="64">
        <f t="array" ref="H105">INDEX($B$391:$M$400,$B$13,7)</f>
        <v>3133.631528</v>
      </c>
      <c r="I105" s="64">
        <f t="array" ref="I105">INDEX($B$391:$M$400,$B$13,8)</f>
        <v>3133.631528</v>
      </c>
      <c r="J105" s="64">
        <f t="array" ref="J105">INDEX($B$391:$M$400,$B$13,9)</f>
        <v>3130.954187</v>
      </c>
      <c r="K105" s="64">
        <f t="array" ref="K105">INDEX($B$391:$M$400,$B$13,10)</f>
        <v>3050.262489</v>
      </c>
      <c r="L105" s="64">
        <f t="array" ref="L105">INDEX($B$391:$M$400,$B$13,11)</f>
        <v>2972.248133</v>
      </c>
      <c r="M105" s="64">
        <f t="array" ref="M105">IF('Dotacion Planta'!$B$5=1,0,INDEX($B$391:$M$400,$B$13,12))</f>
        <v>0</v>
      </c>
      <c r="O105" s="22" t="s">
        <v>961</v>
      </c>
    </row>
    <row r="106" ht="15.75" customHeight="1">
      <c r="A106" s="30" t="s">
        <v>962</v>
      </c>
      <c r="B106" s="225">
        <f t="shared" ref="B106:M106" si="33">IFERROR(MIN(MAX(0,$B$98*$B$100-B105)/$B$97,$B$99),0)</f>
        <v>297.5204423</v>
      </c>
      <c r="C106" s="225">
        <f t="shared" si="33"/>
        <v>508.2352941</v>
      </c>
      <c r="D106" s="225">
        <f t="shared" si="33"/>
        <v>508.2352941</v>
      </c>
      <c r="E106" s="225">
        <f t="shared" si="33"/>
        <v>508.2352941</v>
      </c>
      <c r="F106" s="225">
        <f t="shared" si="33"/>
        <v>508.2352941</v>
      </c>
      <c r="G106" s="225">
        <f t="shared" si="33"/>
        <v>508.2352941</v>
      </c>
      <c r="H106" s="225">
        <f t="shared" si="33"/>
        <v>508.2352941</v>
      </c>
      <c r="I106" s="225">
        <f t="shared" si="33"/>
        <v>508.2352941</v>
      </c>
      <c r="J106" s="225">
        <f t="shared" si="33"/>
        <v>508.2352941</v>
      </c>
      <c r="K106" s="225">
        <f t="shared" si="33"/>
        <v>508.2352941</v>
      </c>
      <c r="L106" s="225">
        <f t="shared" si="33"/>
        <v>508.2352941</v>
      </c>
      <c r="M106" s="225">
        <f t="shared" si="33"/>
        <v>508.2352941</v>
      </c>
      <c r="O106" s="22" t="s">
        <v>963</v>
      </c>
    </row>
    <row r="107" ht="15.75" customHeight="1"/>
    <row r="108" ht="15.75" customHeight="1">
      <c r="A108" s="226" t="s">
        <v>964</v>
      </c>
      <c r="B108" s="227"/>
      <c r="C108" s="227"/>
      <c r="D108" s="227"/>
      <c r="E108" s="227"/>
      <c r="F108" s="227"/>
      <c r="G108" s="227"/>
      <c r="H108" s="227"/>
      <c r="I108" s="227"/>
      <c r="J108" s="227"/>
      <c r="K108" s="227"/>
      <c r="L108" s="227"/>
      <c r="M108" s="227"/>
      <c r="N108" s="227"/>
    </row>
    <row r="109" ht="15.75" customHeight="1">
      <c r="A109" s="30" t="s">
        <v>965</v>
      </c>
      <c r="B109" s="170">
        <v>0.0</v>
      </c>
      <c r="C109" s="170">
        <v>0.1</v>
      </c>
      <c r="D109" s="170">
        <v>0.1</v>
      </c>
      <c r="E109" s="170">
        <v>0.1</v>
      </c>
      <c r="F109" s="170">
        <v>0.1</v>
      </c>
      <c r="G109" s="170">
        <v>0.1</v>
      </c>
      <c r="H109" s="170">
        <v>0.1</v>
      </c>
      <c r="I109" s="170">
        <v>0.1</v>
      </c>
      <c r="J109" s="170">
        <v>0.1</v>
      </c>
      <c r="K109" s="170">
        <v>0.1</v>
      </c>
      <c r="L109" s="170">
        <v>0.1</v>
      </c>
      <c r="M109" s="170">
        <v>0.0</v>
      </c>
      <c r="N109" s="34">
        <f t="shared" ref="N109:N110" si="35">SUM(B109:M109)</f>
        <v>1</v>
      </c>
    </row>
    <row r="110" ht="15.75" customHeight="1">
      <c r="A110" s="30" t="s">
        <v>966</v>
      </c>
      <c r="B110" s="64">
        <f t="shared" ref="B110:M110" si="34">$N$104*B109</f>
        <v>0</v>
      </c>
      <c r="C110" s="64">
        <f t="shared" si="34"/>
        <v>310</v>
      </c>
      <c r="D110" s="64">
        <f t="shared" si="34"/>
        <v>310</v>
      </c>
      <c r="E110" s="64">
        <f t="shared" si="34"/>
        <v>310</v>
      </c>
      <c r="F110" s="64">
        <f t="shared" si="34"/>
        <v>310</v>
      </c>
      <c r="G110" s="64">
        <f t="shared" si="34"/>
        <v>310</v>
      </c>
      <c r="H110" s="64">
        <f t="shared" si="34"/>
        <v>310</v>
      </c>
      <c r="I110" s="64">
        <f t="shared" si="34"/>
        <v>310</v>
      </c>
      <c r="J110" s="64">
        <f t="shared" si="34"/>
        <v>310</v>
      </c>
      <c r="K110" s="64">
        <f t="shared" si="34"/>
        <v>310</v>
      </c>
      <c r="L110" s="64">
        <f t="shared" si="34"/>
        <v>310</v>
      </c>
      <c r="M110" s="64">
        <f t="shared" si="34"/>
        <v>0</v>
      </c>
      <c r="N110" s="64">
        <f t="shared" si="35"/>
        <v>3100</v>
      </c>
    </row>
    <row r="111" ht="15.75" customHeight="1">
      <c r="A111" s="142" t="s">
        <v>967</v>
      </c>
      <c r="B111" s="213">
        <f>B110-B$104</f>
        <v>-263.5</v>
      </c>
      <c r="C111" s="213">
        <f t="shared" ref="C111:M111" si="36">B111+C110-C$104</f>
        <v>-186</v>
      </c>
      <c r="D111" s="213">
        <f t="shared" si="36"/>
        <v>-155</v>
      </c>
      <c r="E111" s="213">
        <f t="shared" si="36"/>
        <v>-124</v>
      </c>
      <c r="F111" s="213">
        <f t="shared" si="36"/>
        <v>-93</v>
      </c>
      <c r="G111" s="213">
        <f t="shared" si="36"/>
        <v>-31</v>
      </c>
      <c r="H111" s="213">
        <f t="shared" si="36"/>
        <v>0</v>
      </c>
      <c r="I111" s="213">
        <f t="shared" si="36"/>
        <v>31</v>
      </c>
      <c r="J111" s="213">
        <f t="shared" si="36"/>
        <v>77.5</v>
      </c>
      <c r="K111" s="213">
        <f t="shared" si="36"/>
        <v>155</v>
      </c>
      <c r="L111" s="213">
        <f t="shared" si="36"/>
        <v>248</v>
      </c>
      <c r="M111" s="213">
        <f t="shared" si="36"/>
        <v>0</v>
      </c>
    </row>
    <row r="112" ht="15.75" customHeight="1">
      <c r="A112" s="73" t="s">
        <v>968</v>
      </c>
      <c r="B112" s="140">
        <f t="shared" ref="B112:M112" si="37">B111-MIN(0,MIN($B111:$M111))</f>
        <v>0</v>
      </c>
      <c r="C112" s="140">
        <f t="shared" si="37"/>
        <v>77.5</v>
      </c>
      <c r="D112" s="140">
        <f t="shared" si="37"/>
        <v>108.5</v>
      </c>
      <c r="E112" s="140">
        <f t="shared" si="37"/>
        <v>139.5</v>
      </c>
      <c r="F112" s="140">
        <f t="shared" si="37"/>
        <v>170.5</v>
      </c>
      <c r="G112" s="140">
        <f t="shared" si="37"/>
        <v>232.5</v>
      </c>
      <c r="H112" s="140">
        <f t="shared" si="37"/>
        <v>263.5</v>
      </c>
      <c r="I112" s="140">
        <f t="shared" si="37"/>
        <v>294.5</v>
      </c>
      <c r="J112" s="140">
        <f t="shared" si="37"/>
        <v>341</v>
      </c>
      <c r="K112" s="140">
        <f t="shared" si="37"/>
        <v>418.5</v>
      </c>
      <c r="L112" s="140">
        <f t="shared" si="37"/>
        <v>511.5</v>
      </c>
      <c r="M112" s="140">
        <f t="shared" si="37"/>
        <v>263.5</v>
      </c>
      <c r="N112" s="84">
        <f>MAX(B112:M112)</f>
        <v>511.5</v>
      </c>
    </row>
    <row r="113" ht="15.75" customHeight="1">
      <c r="A113" s="226" t="s">
        <v>969</v>
      </c>
      <c r="B113" s="227"/>
      <c r="C113" s="227"/>
      <c r="D113" s="227"/>
      <c r="E113" s="227"/>
      <c r="F113" s="227"/>
      <c r="G113" s="227"/>
      <c r="H113" s="227"/>
      <c r="I113" s="227"/>
      <c r="J113" s="227"/>
      <c r="K113" s="227"/>
      <c r="L113" s="227"/>
      <c r="M113" s="227"/>
      <c r="N113" s="227"/>
    </row>
    <row r="114" ht="15.75" customHeight="1">
      <c r="A114" s="30" t="s">
        <v>965</v>
      </c>
      <c r="B114" s="173">
        <f t="shared" ref="B114:M114" si="38">IFERROR(B$104/$N$104,0)</f>
        <v>0.085</v>
      </c>
      <c r="C114" s="173">
        <f t="shared" si="38"/>
        <v>0.075</v>
      </c>
      <c r="D114" s="173">
        <f t="shared" si="38"/>
        <v>0.09</v>
      </c>
      <c r="E114" s="173">
        <f t="shared" si="38"/>
        <v>0.09</v>
      </c>
      <c r="F114" s="173">
        <f t="shared" si="38"/>
        <v>0.09</v>
      </c>
      <c r="G114" s="173">
        <f t="shared" si="38"/>
        <v>0.08</v>
      </c>
      <c r="H114" s="173">
        <f t="shared" si="38"/>
        <v>0.09</v>
      </c>
      <c r="I114" s="173">
        <f t="shared" si="38"/>
        <v>0.09</v>
      </c>
      <c r="J114" s="173">
        <f t="shared" si="38"/>
        <v>0.085</v>
      </c>
      <c r="K114" s="173">
        <f t="shared" si="38"/>
        <v>0.075</v>
      </c>
      <c r="L114" s="173">
        <f t="shared" si="38"/>
        <v>0.07</v>
      </c>
      <c r="M114" s="173">
        <f t="shared" si="38"/>
        <v>0.08</v>
      </c>
      <c r="N114" s="34">
        <f t="shared" ref="N114:N115" si="40">SUM(B114:M114)</f>
        <v>1</v>
      </c>
    </row>
    <row r="115" ht="15.75" customHeight="1">
      <c r="A115" s="30" t="s">
        <v>966</v>
      </c>
      <c r="B115" s="64">
        <f t="shared" ref="B115:M115" si="39">$N$104*B114</f>
        <v>263.5</v>
      </c>
      <c r="C115" s="64">
        <f t="shared" si="39"/>
        <v>232.5</v>
      </c>
      <c r="D115" s="64">
        <f t="shared" si="39"/>
        <v>279</v>
      </c>
      <c r="E115" s="64">
        <f t="shared" si="39"/>
        <v>279</v>
      </c>
      <c r="F115" s="64">
        <f t="shared" si="39"/>
        <v>279</v>
      </c>
      <c r="G115" s="64">
        <f t="shared" si="39"/>
        <v>248</v>
      </c>
      <c r="H115" s="64">
        <f t="shared" si="39"/>
        <v>279</v>
      </c>
      <c r="I115" s="64">
        <f t="shared" si="39"/>
        <v>279</v>
      </c>
      <c r="J115" s="64">
        <f t="shared" si="39"/>
        <v>263.5</v>
      </c>
      <c r="K115" s="64">
        <f t="shared" si="39"/>
        <v>232.5</v>
      </c>
      <c r="L115" s="64">
        <f t="shared" si="39"/>
        <v>217</v>
      </c>
      <c r="M115" s="64">
        <f t="shared" si="39"/>
        <v>248</v>
      </c>
      <c r="N115" s="64">
        <f t="shared" si="40"/>
        <v>3100</v>
      </c>
    </row>
    <row r="116" ht="15.75" customHeight="1">
      <c r="A116" s="142" t="s">
        <v>967</v>
      </c>
      <c r="B116" s="213">
        <f>B115-B$104</f>
        <v>0</v>
      </c>
      <c r="C116" s="213">
        <f t="shared" ref="C116:M116" si="41">B116+C115-C$104</f>
        <v>0</v>
      </c>
      <c r="D116" s="213">
        <f t="shared" si="41"/>
        <v>0</v>
      </c>
      <c r="E116" s="213">
        <f t="shared" si="41"/>
        <v>0</v>
      </c>
      <c r="F116" s="213">
        <f t="shared" si="41"/>
        <v>0</v>
      </c>
      <c r="G116" s="213">
        <f t="shared" si="41"/>
        <v>0</v>
      </c>
      <c r="H116" s="213">
        <f t="shared" si="41"/>
        <v>0</v>
      </c>
      <c r="I116" s="213">
        <f t="shared" si="41"/>
        <v>0</v>
      </c>
      <c r="J116" s="213">
        <f t="shared" si="41"/>
        <v>0</v>
      </c>
      <c r="K116" s="213">
        <f t="shared" si="41"/>
        <v>0</v>
      </c>
      <c r="L116" s="213">
        <f t="shared" si="41"/>
        <v>0</v>
      </c>
      <c r="M116" s="213">
        <f t="shared" si="41"/>
        <v>0</v>
      </c>
    </row>
    <row r="117" ht="15.75" customHeight="1">
      <c r="A117" s="73" t="s">
        <v>968</v>
      </c>
      <c r="B117" s="140">
        <f t="shared" ref="B117:M117" si="42">B116-MIN(0,MIN($B116:$M116))</f>
        <v>0</v>
      </c>
      <c r="C117" s="140">
        <f t="shared" si="42"/>
        <v>0</v>
      </c>
      <c r="D117" s="140">
        <f t="shared" si="42"/>
        <v>0</v>
      </c>
      <c r="E117" s="140">
        <f t="shared" si="42"/>
        <v>0</v>
      </c>
      <c r="F117" s="140">
        <f t="shared" si="42"/>
        <v>0</v>
      </c>
      <c r="G117" s="140">
        <f t="shared" si="42"/>
        <v>0</v>
      </c>
      <c r="H117" s="140">
        <f t="shared" si="42"/>
        <v>0</v>
      </c>
      <c r="I117" s="140">
        <f t="shared" si="42"/>
        <v>0</v>
      </c>
      <c r="J117" s="140">
        <f t="shared" si="42"/>
        <v>0</v>
      </c>
      <c r="K117" s="140">
        <f t="shared" si="42"/>
        <v>0</v>
      </c>
      <c r="L117" s="140">
        <f t="shared" si="42"/>
        <v>0</v>
      </c>
      <c r="M117" s="140">
        <f t="shared" si="42"/>
        <v>0</v>
      </c>
      <c r="N117" s="84">
        <f>MAX(B117:M117)</f>
        <v>0</v>
      </c>
    </row>
    <row r="118" ht="15.75" customHeight="1">
      <c r="A118" s="226" t="s">
        <v>970</v>
      </c>
      <c r="B118" s="227"/>
      <c r="C118" s="227"/>
      <c r="D118" s="227"/>
      <c r="E118" s="227"/>
      <c r="F118" s="227"/>
      <c r="G118" s="227"/>
      <c r="H118" s="227"/>
      <c r="I118" s="227"/>
      <c r="J118" s="227"/>
      <c r="K118" s="227"/>
      <c r="L118" s="227"/>
      <c r="M118" s="227"/>
      <c r="N118" s="227"/>
    </row>
    <row r="119" ht="15.75" customHeight="1">
      <c r="A119" s="30" t="s">
        <v>965</v>
      </c>
      <c r="B119" s="170">
        <v>0.0</v>
      </c>
      <c r="C119" s="170">
        <v>0.075</v>
      </c>
      <c r="D119" s="170">
        <v>0.09</v>
      </c>
      <c r="E119" s="170">
        <v>0.09</v>
      </c>
      <c r="F119" s="170">
        <v>0.09</v>
      </c>
      <c r="G119" s="170">
        <v>0.08</v>
      </c>
      <c r="H119" s="170">
        <v>0.09</v>
      </c>
      <c r="I119" s="170">
        <v>0.09</v>
      </c>
      <c r="J119" s="170">
        <v>0.085</v>
      </c>
      <c r="K119" s="170">
        <v>0.105</v>
      </c>
      <c r="L119" s="170">
        <v>0.1</v>
      </c>
      <c r="M119" s="170">
        <v>0.105</v>
      </c>
      <c r="N119" s="34">
        <f t="shared" ref="N119:N120" si="44">SUM(B119:M119)</f>
        <v>1</v>
      </c>
    </row>
    <row r="120" ht="15.75" customHeight="1">
      <c r="A120" s="30" t="s">
        <v>966</v>
      </c>
      <c r="B120" s="64">
        <f t="shared" ref="B120:M120" si="43">$N$104*B119</f>
        <v>0</v>
      </c>
      <c r="C120" s="64">
        <f t="shared" si="43"/>
        <v>232.5</v>
      </c>
      <c r="D120" s="64">
        <f t="shared" si="43"/>
        <v>279</v>
      </c>
      <c r="E120" s="64">
        <f t="shared" si="43"/>
        <v>279</v>
      </c>
      <c r="F120" s="64">
        <f t="shared" si="43"/>
        <v>279</v>
      </c>
      <c r="G120" s="64">
        <f t="shared" si="43"/>
        <v>248</v>
      </c>
      <c r="H120" s="64">
        <f t="shared" si="43"/>
        <v>279</v>
      </c>
      <c r="I120" s="64">
        <f t="shared" si="43"/>
        <v>279</v>
      </c>
      <c r="J120" s="64">
        <f t="shared" si="43"/>
        <v>263.5</v>
      </c>
      <c r="K120" s="64">
        <f t="shared" si="43"/>
        <v>325.5</v>
      </c>
      <c r="L120" s="64">
        <f t="shared" si="43"/>
        <v>310</v>
      </c>
      <c r="M120" s="64">
        <f t="shared" si="43"/>
        <v>325.5</v>
      </c>
      <c r="N120" s="64">
        <f t="shared" si="44"/>
        <v>3100</v>
      </c>
    </row>
    <row r="121" ht="15.75" customHeight="1">
      <c r="A121" s="142" t="s">
        <v>967</v>
      </c>
      <c r="B121" s="213">
        <f>B120-B$104</f>
        <v>-263.5</v>
      </c>
      <c r="C121" s="213">
        <f t="shared" ref="C121:M121" si="45">B121+C120-C$104</f>
        <v>-263.5</v>
      </c>
      <c r="D121" s="213">
        <f t="shared" si="45"/>
        <v>-263.5</v>
      </c>
      <c r="E121" s="213">
        <f t="shared" si="45"/>
        <v>-263.5</v>
      </c>
      <c r="F121" s="213">
        <f t="shared" si="45"/>
        <v>-263.5</v>
      </c>
      <c r="G121" s="213">
        <f t="shared" si="45"/>
        <v>-263.5</v>
      </c>
      <c r="H121" s="213">
        <f t="shared" si="45"/>
        <v>-263.5</v>
      </c>
      <c r="I121" s="213">
        <f t="shared" si="45"/>
        <v>-263.5</v>
      </c>
      <c r="J121" s="213">
        <f t="shared" si="45"/>
        <v>-263.5</v>
      </c>
      <c r="K121" s="213">
        <f t="shared" si="45"/>
        <v>-170.5</v>
      </c>
      <c r="L121" s="213">
        <f t="shared" si="45"/>
        <v>-77.5</v>
      </c>
      <c r="M121" s="213">
        <f t="shared" si="45"/>
        <v>0</v>
      </c>
    </row>
    <row r="122" ht="15.75" customHeight="1">
      <c r="A122" s="73" t="s">
        <v>968</v>
      </c>
      <c r="B122" s="140">
        <f t="shared" ref="B122:M122" si="46">B121-MIN(0,MIN($B121:$M121))</f>
        <v>0</v>
      </c>
      <c r="C122" s="140">
        <f t="shared" si="46"/>
        <v>0</v>
      </c>
      <c r="D122" s="140">
        <f t="shared" si="46"/>
        <v>0</v>
      </c>
      <c r="E122" s="140">
        <f t="shared" si="46"/>
        <v>0</v>
      </c>
      <c r="F122" s="140">
        <f t="shared" si="46"/>
        <v>0</v>
      </c>
      <c r="G122" s="140">
        <f t="shared" si="46"/>
        <v>0</v>
      </c>
      <c r="H122" s="140">
        <f t="shared" si="46"/>
        <v>0</v>
      </c>
      <c r="I122" s="140">
        <f t="shared" si="46"/>
        <v>0</v>
      </c>
      <c r="J122" s="140">
        <f t="shared" si="46"/>
        <v>0</v>
      </c>
      <c r="K122" s="140">
        <f t="shared" si="46"/>
        <v>93</v>
      </c>
      <c r="L122" s="140">
        <f t="shared" si="46"/>
        <v>186</v>
      </c>
      <c r="M122" s="140">
        <f t="shared" si="46"/>
        <v>263.5</v>
      </c>
      <c r="N122" s="84">
        <f>MAX(B122:M122)</f>
        <v>263.5</v>
      </c>
    </row>
    <row r="123" ht="15.75" customHeight="1">
      <c r="A123" s="226" t="s">
        <v>972</v>
      </c>
      <c r="B123" s="227"/>
      <c r="C123" s="227"/>
      <c r="D123" s="227"/>
      <c r="E123" s="227"/>
      <c r="F123" s="227"/>
      <c r="G123" s="227"/>
      <c r="H123" s="227"/>
      <c r="I123" s="227"/>
      <c r="J123" s="227"/>
      <c r="K123" s="227"/>
      <c r="L123" s="227"/>
      <c r="M123" s="227"/>
      <c r="N123" s="227"/>
    </row>
    <row r="124" ht="15.75" customHeight="1">
      <c r="A124" s="30" t="s">
        <v>965</v>
      </c>
      <c r="B124" s="228">
        <f>Parametros!B$70</f>
        <v>0.085</v>
      </c>
      <c r="C124" s="228">
        <f>Parametros!C$70</f>
        <v>0.075</v>
      </c>
      <c r="D124" s="228">
        <f>Parametros!D$70</f>
        <v>0.09</v>
      </c>
      <c r="E124" s="228">
        <f>Parametros!E$70</f>
        <v>0.09</v>
      </c>
      <c r="F124" s="228">
        <f>Parametros!F$70</f>
        <v>0.09</v>
      </c>
      <c r="G124" s="228">
        <f>Parametros!G$70</f>
        <v>0.08</v>
      </c>
      <c r="H124" s="228">
        <f>Parametros!H$70</f>
        <v>0.09</v>
      </c>
      <c r="I124" s="228">
        <f>Parametros!I$70</f>
        <v>0.09</v>
      </c>
      <c r="J124" s="228">
        <f>Parametros!J$70</f>
        <v>0.085</v>
      </c>
      <c r="K124" s="228">
        <f>Parametros!K$70</f>
        <v>0.075</v>
      </c>
      <c r="L124" s="228">
        <f>Parametros!L$70</f>
        <v>0.07</v>
      </c>
      <c r="M124" s="228">
        <f>Parametros!M$70</f>
        <v>0.08</v>
      </c>
      <c r="N124" s="34">
        <f t="shared" ref="N124:N125" si="48">SUM(B124:M124)</f>
        <v>1</v>
      </c>
    </row>
    <row r="125" ht="15.75" customHeight="1">
      <c r="A125" s="30" t="s">
        <v>966</v>
      </c>
      <c r="B125" s="64">
        <f t="shared" ref="B125:M125" si="47">$N$104*B124</f>
        <v>263.5</v>
      </c>
      <c r="C125" s="64">
        <f t="shared" si="47"/>
        <v>232.5</v>
      </c>
      <c r="D125" s="64">
        <f t="shared" si="47"/>
        <v>279</v>
      </c>
      <c r="E125" s="64">
        <f t="shared" si="47"/>
        <v>279</v>
      </c>
      <c r="F125" s="64">
        <f t="shared" si="47"/>
        <v>279</v>
      </c>
      <c r="G125" s="64">
        <f t="shared" si="47"/>
        <v>248</v>
      </c>
      <c r="H125" s="64">
        <f t="shared" si="47"/>
        <v>279</v>
      </c>
      <c r="I125" s="64">
        <f t="shared" si="47"/>
        <v>279</v>
      </c>
      <c r="J125" s="64">
        <f t="shared" si="47"/>
        <v>263.5</v>
      </c>
      <c r="K125" s="64">
        <f t="shared" si="47"/>
        <v>232.5</v>
      </c>
      <c r="L125" s="64">
        <f t="shared" si="47"/>
        <v>217</v>
      </c>
      <c r="M125" s="64">
        <f t="shared" si="47"/>
        <v>248</v>
      </c>
      <c r="N125" s="64">
        <f t="shared" si="48"/>
        <v>3100</v>
      </c>
    </row>
    <row r="126" ht="15.75" customHeight="1">
      <c r="A126" s="142" t="s">
        <v>967</v>
      </c>
      <c r="B126" s="213">
        <f>B125-B$104</f>
        <v>0</v>
      </c>
      <c r="C126" s="213">
        <f t="shared" ref="C126:M126" si="49">B126+C125-C$104</f>
        <v>0</v>
      </c>
      <c r="D126" s="213">
        <f t="shared" si="49"/>
        <v>0</v>
      </c>
      <c r="E126" s="213">
        <f t="shared" si="49"/>
        <v>0</v>
      </c>
      <c r="F126" s="213">
        <f t="shared" si="49"/>
        <v>0</v>
      </c>
      <c r="G126" s="213">
        <f t="shared" si="49"/>
        <v>0</v>
      </c>
      <c r="H126" s="213">
        <f t="shared" si="49"/>
        <v>0</v>
      </c>
      <c r="I126" s="213">
        <f t="shared" si="49"/>
        <v>0</v>
      </c>
      <c r="J126" s="213">
        <f t="shared" si="49"/>
        <v>0</v>
      </c>
      <c r="K126" s="213">
        <f t="shared" si="49"/>
        <v>0</v>
      </c>
      <c r="L126" s="213">
        <f t="shared" si="49"/>
        <v>0</v>
      </c>
      <c r="M126" s="213">
        <f t="shared" si="49"/>
        <v>0</v>
      </c>
    </row>
    <row r="127" ht="15.75" customHeight="1">
      <c r="A127" s="73" t="s">
        <v>968</v>
      </c>
      <c r="B127" s="140">
        <f t="shared" ref="B127:M127" si="50">B126-MIN(0,MIN($B126:$M126))</f>
        <v>0</v>
      </c>
      <c r="C127" s="140">
        <f t="shared" si="50"/>
        <v>0</v>
      </c>
      <c r="D127" s="140">
        <f t="shared" si="50"/>
        <v>0</v>
      </c>
      <c r="E127" s="140">
        <f t="shared" si="50"/>
        <v>0</v>
      </c>
      <c r="F127" s="140">
        <f t="shared" si="50"/>
        <v>0</v>
      </c>
      <c r="G127" s="140">
        <f t="shared" si="50"/>
        <v>0</v>
      </c>
      <c r="H127" s="140">
        <f t="shared" si="50"/>
        <v>0</v>
      </c>
      <c r="I127" s="140">
        <f t="shared" si="50"/>
        <v>0</v>
      </c>
      <c r="J127" s="140">
        <f t="shared" si="50"/>
        <v>0</v>
      </c>
      <c r="K127" s="140">
        <f t="shared" si="50"/>
        <v>0</v>
      </c>
      <c r="L127" s="140">
        <f t="shared" si="50"/>
        <v>0</v>
      </c>
      <c r="M127" s="140">
        <f t="shared" si="50"/>
        <v>0</v>
      </c>
      <c r="N127" s="84">
        <f>MAX(B127:M127)</f>
        <v>0</v>
      </c>
    </row>
    <row r="128" ht="15.75" customHeight="1"/>
    <row r="129" ht="45.0" customHeight="1">
      <c r="A129" s="29" t="s">
        <v>973</v>
      </c>
      <c r="B129" s="29" t="s">
        <v>974</v>
      </c>
      <c r="C129" s="29" t="s">
        <v>975</v>
      </c>
      <c r="D129" s="29" t="s">
        <v>938</v>
      </c>
      <c r="E129" s="29" t="s">
        <v>976</v>
      </c>
      <c r="F129" s="29" t="s">
        <v>917</v>
      </c>
    </row>
    <row r="130" ht="15.75" customHeight="1">
      <c r="A130" s="30" t="s">
        <v>964</v>
      </c>
      <c r="B130" s="84">
        <f>MAX(B112:M112)</f>
        <v>511.5</v>
      </c>
      <c r="C130" s="64">
        <f>B130*Parametros!$B$71</f>
        <v>255.75</v>
      </c>
      <c r="D130" s="64">
        <f>AVERAGE(B112:M112)</f>
        <v>235.0833333</v>
      </c>
      <c r="E130" s="64">
        <f>MAX(B110:M110)</f>
        <v>310</v>
      </c>
      <c r="F130" s="118" t="str">
        <f t="shared" ref="F130:F133" si="51">IF(ROUND(E130,0)&lt;=$B$99,"Sí","No")</f>
        <v>Sí</v>
      </c>
    </row>
    <row r="131" ht="15.75" customHeight="1">
      <c r="A131" s="30" t="s">
        <v>969</v>
      </c>
      <c r="B131" s="84">
        <f>MAX(B117:M117)</f>
        <v>0</v>
      </c>
      <c r="C131" s="64">
        <f>B131*Parametros!$B$71</f>
        <v>0</v>
      </c>
      <c r="D131" s="64">
        <f>AVERAGE(B117:M117)</f>
        <v>0</v>
      </c>
      <c r="E131" s="64">
        <f>MAX(B115:M115)</f>
        <v>279</v>
      </c>
      <c r="F131" s="118" t="str">
        <f t="shared" si="51"/>
        <v>Sí</v>
      </c>
    </row>
    <row r="132" ht="15.75" customHeight="1">
      <c r="A132" s="30" t="s">
        <v>970</v>
      </c>
      <c r="B132" s="84">
        <f>MAX(B122:M122)</f>
        <v>263.5</v>
      </c>
      <c r="C132" s="64">
        <f>B132*Parametros!$B$71</f>
        <v>131.75</v>
      </c>
      <c r="D132" s="64">
        <f>AVERAGE(B122:M122)</f>
        <v>45.20833333</v>
      </c>
      <c r="E132" s="64">
        <f>MAX(B120:M120)</f>
        <v>325.5</v>
      </c>
      <c r="F132" s="118" t="str">
        <f t="shared" si="51"/>
        <v>Sí</v>
      </c>
    </row>
    <row r="133" ht="15.75" customHeight="1">
      <c r="A133" s="103" t="s">
        <v>972</v>
      </c>
      <c r="B133" s="220">
        <f>MAX(B127:M127)</f>
        <v>0</v>
      </c>
      <c r="C133" s="229">
        <f>B133*Parametros!$B$71</f>
        <v>0</v>
      </c>
      <c r="D133" s="229">
        <f>AVERAGE(B127:M127)</f>
        <v>0</v>
      </c>
      <c r="E133" s="229">
        <f>MAX(B125:M125)</f>
        <v>279</v>
      </c>
      <c r="F133" s="230" t="str">
        <f t="shared" si="51"/>
        <v>Sí</v>
      </c>
    </row>
    <row r="134" ht="15.75" customHeight="1"/>
    <row r="135" ht="15.75" customHeight="1">
      <c r="A135" s="24" t="s">
        <v>977</v>
      </c>
      <c r="B135" s="29">
        <v>2026.0</v>
      </c>
      <c r="C135" s="29">
        <v>2027.0</v>
      </c>
      <c r="D135" s="29">
        <v>2028.0</v>
      </c>
      <c r="E135" s="29">
        <v>2029.0</v>
      </c>
      <c r="F135" s="29">
        <v>2030.0</v>
      </c>
      <c r="G135" s="29">
        <v>2031.0</v>
      </c>
      <c r="H135" s="29">
        <v>2032.0</v>
      </c>
      <c r="I135" s="29">
        <v>2033.0</v>
      </c>
      <c r="J135" s="29">
        <v>2034.0</v>
      </c>
      <c r="K135" s="29">
        <v>2035.0</v>
      </c>
    </row>
    <row r="136" ht="15.75" customHeight="1">
      <c r="A136" s="73" t="s">
        <v>978</v>
      </c>
      <c r="B136" s="36">
        <v>10.0</v>
      </c>
      <c r="C136" s="36">
        <v>12.0</v>
      </c>
      <c r="D136" s="36">
        <v>14.0</v>
      </c>
      <c r="E136" s="36">
        <v>18.0</v>
      </c>
      <c r="F136" s="36">
        <v>26.0</v>
      </c>
      <c r="G136" s="36">
        <v>34.0</v>
      </c>
      <c r="H136" s="36">
        <v>43.0</v>
      </c>
      <c r="I136" s="36">
        <v>52.0</v>
      </c>
      <c r="J136" s="36">
        <v>58.0</v>
      </c>
      <c r="K136" s="36">
        <v>64.0</v>
      </c>
    </row>
    <row r="137" ht="15.75" customHeight="1">
      <c r="A137" s="30" t="s">
        <v>979</v>
      </c>
      <c r="B137" s="64">
        <v>0.0</v>
      </c>
      <c r="C137" s="64">
        <v>0.0</v>
      </c>
      <c r="D137" s="64">
        <v>77.0</v>
      </c>
      <c r="E137" s="64">
        <v>366.0</v>
      </c>
      <c r="F137" s="64">
        <v>1107.0</v>
      </c>
      <c r="G137" s="64">
        <v>1145.0</v>
      </c>
      <c r="H137" s="64">
        <v>2167.0</v>
      </c>
      <c r="I137" s="64">
        <v>1784.0</v>
      </c>
      <c r="J137" s="64">
        <v>1480.0</v>
      </c>
      <c r="K137" s="64">
        <v>1373.0</v>
      </c>
    </row>
    <row r="138" ht="15.75" customHeight="1">
      <c r="A138" s="30" t="s">
        <v>980</v>
      </c>
      <c r="B138" s="64">
        <v>10.0</v>
      </c>
      <c r="C138" s="64">
        <v>18.0</v>
      </c>
      <c r="D138" s="64">
        <v>27.0</v>
      </c>
      <c r="E138" s="64">
        <v>46.0</v>
      </c>
      <c r="F138" s="64">
        <v>76.0</v>
      </c>
      <c r="G138" s="64">
        <v>105.0</v>
      </c>
      <c r="H138" s="64">
        <v>141.0</v>
      </c>
      <c r="I138" s="64">
        <v>177.0</v>
      </c>
      <c r="J138" s="64">
        <v>203.0</v>
      </c>
      <c r="K138" s="64">
        <v>235.0</v>
      </c>
    </row>
    <row r="139" ht="15.75" customHeight="1">
      <c r="A139" s="73" t="s">
        <v>981</v>
      </c>
      <c r="B139" s="36">
        <v>10.0</v>
      </c>
      <c r="C139" s="36">
        <v>12.0</v>
      </c>
      <c r="D139" s="36">
        <v>14.0</v>
      </c>
      <c r="E139" s="36">
        <v>18.0</v>
      </c>
      <c r="F139" s="36">
        <v>26.0</v>
      </c>
      <c r="G139" s="36">
        <v>33.0</v>
      </c>
      <c r="H139" s="36">
        <v>44.0</v>
      </c>
      <c r="I139" s="36">
        <v>52.0</v>
      </c>
      <c r="J139" s="36">
        <v>57.0</v>
      </c>
      <c r="K139" s="36">
        <v>63.0</v>
      </c>
    </row>
    <row r="140" ht="15.75" customHeight="1">
      <c r="A140" s="30" t="s">
        <v>982</v>
      </c>
      <c r="B140" s="64">
        <v>0.0</v>
      </c>
      <c r="C140" s="64">
        <v>0.0</v>
      </c>
      <c r="D140" s="64">
        <v>109.0</v>
      </c>
      <c r="E140" s="64">
        <v>416.0</v>
      </c>
      <c r="F140" s="64">
        <v>610.0</v>
      </c>
      <c r="G140" s="64">
        <v>997.0</v>
      </c>
      <c r="H140" s="64">
        <v>1306.0</v>
      </c>
      <c r="I140" s="64">
        <v>1218.0</v>
      </c>
      <c r="J140" s="64">
        <v>1217.0</v>
      </c>
      <c r="K140" s="64">
        <v>1181.0</v>
      </c>
    </row>
    <row r="141" ht="15.75" customHeight="1">
      <c r="A141" s="30" t="s">
        <v>983</v>
      </c>
      <c r="B141" s="64">
        <v>0.0</v>
      </c>
      <c r="C141" s="64">
        <v>0.0</v>
      </c>
      <c r="D141" s="64">
        <v>0.0</v>
      </c>
      <c r="E141" s="64">
        <v>0.0</v>
      </c>
      <c r="F141" s="64">
        <v>0.0</v>
      </c>
      <c r="G141" s="64">
        <v>0.0</v>
      </c>
      <c r="H141" s="64">
        <v>0.0</v>
      </c>
      <c r="I141" s="64">
        <v>0.0</v>
      </c>
      <c r="J141" s="64">
        <v>0.0</v>
      </c>
      <c r="K141" s="64">
        <v>0.0</v>
      </c>
    </row>
    <row r="142" ht="15.75" customHeight="1">
      <c r="A142" s="73" t="s">
        <v>984</v>
      </c>
      <c r="B142" s="36">
        <v>10.0</v>
      </c>
      <c r="C142" s="36">
        <v>12.0</v>
      </c>
      <c r="D142" s="36">
        <v>14.0</v>
      </c>
      <c r="E142" s="36">
        <v>19.0</v>
      </c>
      <c r="F142" s="36">
        <v>26.0</v>
      </c>
      <c r="G142" s="36">
        <v>34.0</v>
      </c>
      <c r="H142" s="36">
        <v>44.0</v>
      </c>
      <c r="I142" s="36">
        <v>52.0</v>
      </c>
      <c r="J142" s="36">
        <v>58.0</v>
      </c>
      <c r="K142" s="36">
        <v>65.0</v>
      </c>
    </row>
    <row r="143" ht="15.75" customHeight="1">
      <c r="A143" s="30" t="s">
        <v>985</v>
      </c>
      <c r="B143" s="64">
        <v>0.0</v>
      </c>
      <c r="C143" s="64">
        <v>0.0</v>
      </c>
      <c r="D143" s="64">
        <v>77.0</v>
      </c>
      <c r="E143" s="64">
        <v>132.0</v>
      </c>
      <c r="F143" s="64">
        <v>1166.0</v>
      </c>
      <c r="G143" s="64">
        <v>1225.0</v>
      </c>
      <c r="H143" s="64">
        <v>2133.0</v>
      </c>
      <c r="I143" s="64">
        <v>1918.0</v>
      </c>
      <c r="J143" s="64">
        <v>1632.0</v>
      </c>
      <c r="K143" s="64">
        <v>1289.0</v>
      </c>
    </row>
    <row r="144" ht="15.75" customHeight="1">
      <c r="A144" s="30" t="s">
        <v>986</v>
      </c>
      <c r="B144" s="64">
        <v>2.0</v>
      </c>
      <c r="C144" s="64">
        <v>3.0</v>
      </c>
      <c r="D144" s="64">
        <v>5.0</v>
      </c>
      <c r="E144" s="64">
        <v>9.0</v>
      </c>
      <c r="F144" s="64">
        <v>15.0</v>
      </c>
      <c r="G144" s="64">
        <v>20.0</v>
      </c>
      <c r="H144" s="64">
        <v>27.0</v>
      </c>
      <c r="I144" s="64">
        <v>34.0</v>
      </c>
      <c r="J144" s="64">
        <v>39.0</v>
      </c>
      <c r="K144" s="64">
        <v>45.0</v>
      </c>
    </row>
    <row r="145" ht="15.75" customHeight="1">
      <c r="A145" s="22" t="s">
        <v>987</v>
      </c>
    </row>
    <row r="146" ht="15.75" customHeight="1"/>
    <row r="147" ht="15.75" customHeight="1">
      <c r="A147" s="73" t="s">
        <v>988</v>
      </c>
      <c r="B147" s="231">
        <f>B133-B130</f>
        <v>-511.5</v>
      </c>
      <c r="C147" s="232">
        <f>IFERROR(B147/B130,0)</f>
        <v>-1</v>
      </c>
      <c r="D147" s="22" t="s">
        <v>989</v>
      </c>
    </row>
    <row r="148" ht="15.75" customHeight="1">
      <c r="A148" s="73" t="s">
        <v>990</v>
      </c>
      <c r="B148" s="231">
        <f>D133-D130</f>
        <v>-235.0833333</v>
      </c>
      <c r="C148" s="232">
        <f>IFERROR(B148/D130,0)</f>
        <v>-1</v>
      </c>
    </row>
    <row r="149" ht="15.75" customHeight="1"/>
    <row r="150" ht="15.75" customHeight="1">
      <c r="A150" s="45" t="s">
        <v>991</v>
      </c>
      <c r="B150" s="69"/>
      <c r="C150" s="69"/>
      <c r="D150" s="69"/>
      <c r="E150" s="69"/>
      <c r="F150" s="69"/>
      <c r="G150" s="69"/>
      <c r="H150" s="69"/>
      <c r="I150" s="69"/>
      <c r="J150" s="69"/>
      <c r="K150" s="69"/>
      <c r="L150" s="69"/>
    </row>
    <row r="151" ht="15.75" customHeight="1">
      <c r="A151" s="22" t="s">
        <v>992</v>
      </c>
    </row>
    <row r="152" ht="30.0" customHeight="1">
      <c r="A152" s="24" t="s">
        <v>993</v>
      </c>
      <c r="B152" s="29" t="s">
        <v>27</v>
      </c>
      <c r="D152" s="29" t="s">
        <v>994</v>
      </c>
      <c r="E152" s="29" t="s">
        <v>995</v>
      </c>
      <c r="F152" s="29" t="s">
        <v>996</v>
      </c>
    </row>
    <row r="153" ht="15.75" customHeight="1">
      <c r="A153" s="30" t="s">
        <v>997</v>
      </c>
      <c r="B153" s="233">
        <v>1646724.0</v>
      </c>
      <c r="D153" s="118" t="s">
        <v>998</v>
      </c>
      <c r="E153" s="209">
        <v>20000.0</v>
      </c>
      <c r="F153" s="209">
        <v>6000.0</v>
      </c>
      <c r="G153" s="22" t="s">
        <v>999</v>
      </c>
    </row>
    <row r="154" ht="15.75" customHeight="1">
      <c r="A154" s="30" t="s">
        <v>1000</v>
      </c>
      <c r="B154" s="31">
        <v>160.0</v>
      </c>
      <c r="D154" s="118" t="s">
        <v>1001</v>
      </c>
      <c r="E154" s="209">
        <v>49600.0</v>
      </c>
      <c r="F154" s="209">
        <v>14880.0</v>
      </c>
    </row>
    <row r="155" ht="15.75" customHeight="1">
      <c r="A155" s="30" t="s">
        <v>1002</v>
      </c>
      <c r="B155" s="224">
        <f>B153/B154</f>
        <v>10292.025</v>
      </c>
      <c r="D155" s="118" t="s">
        <v>1003</v>
      </c>
      <c r="E155" s="209">
        <v>60000.0</v>
      </c>
      <c r="F155" s="209">
        <v>18000.0</v>
      </c>
    </row>
    <row r="156" ht="15.75" customHeight="1">
      <c r="A156" s="30" t="s">
        <v>1004</v>
      </c>
      <c r="B156" s="32">
        <v>0.5</v>
      </c>
      <c r="D156" s="118" t="s">
        <v>1005</v>
      </c>
      <c r="E156" s="209">
        <v>116000.0</v>
      </c>
      <c r="F156" s="209">
        <v>34800.0</v>
      </c>
      <c r="G156" s="22" t="s">
        <v>1006</v>
      </c>
    </row>
    <row r="157" ht="15.75" customHeight="1">
      <c r="A157" s="30" t="s">
        <v>1007</v>
      </c>
      <c r="B157" s="224">
        <f>B155*(1+B156)</f>
        <v>15438.0375</v>
      </c>
      <c r="D157" s="118" t="s">
        <v>1008</v>
      </c>
      <c r="E157" s="209">
        <v>662181.0</v>
      </c>
      <c r="F157" s="209">
        <v>198654.0</v>
      </c>
    </row>
    <row r="158" ht="15.75" customHeight="1">
      <c r="A158" s="30" t="s">
        <v>1009</v>
      </c>
      <c r="B158" s="32">
        <v>0.12</v>
      </c>
      <c r="D158" s="118" t="s">
        <v>1010</v>
      </c>
      <c r="E158" s="209">
        <v>1324362.0</v>
      </c>
      <c r="F158" s="209">
        <v>397309.0</v>
      </c>
      <c r="G158" s="22" t="s">
        <v>1011</v>
      </c>
    </row>
    <row r="159" ht="15.75" customHeight="1">
      <c r="A159" s="30" t="s">
        <v>1012</v>
      </c>
      <c r="B159" s="234">
        <v>0.005</v>
      </c>
      <c r="D159" s="118" t="s">
        <v>1013</v>
      </c>
      <c r="E159" s="209">
        <v>1854107.0</v>
      </c>
      <c r="F159" s="209">
        <v>556232.0</v>
      </c>
      <c r="G159" s="22" t="s">
        <v>1014</v>
      </c>
    </row>
    <row r="160" ht="15.75" customHeight="1">
      <c r="A160" s="30" t="s">
        <v>1015</v>
      </c>
      <c r="B160" s="235">
        <f>B158/12+B159</f>
        <v>0.015</v>
      </c>
      <c r="D160" s="118" t="s">
        <v>1016</v>
      </c>
      <c r="E160" s="209">
        <v>2648724.0</v>
      </c>
      <c r="F160" s="209">
        <v>794617.0</v>
      </c>
    </row>
    <row r="161" ht="15.75" customHeight="1">
      <c r="A161" s="30" t="s">
        <v>1017</v>
      </c>
      <c r="B161" s="32">
        <v>0.55</v>
      </c>
      <c r="G161" s="22" t="s">
        <v>1018</v>
      </c>
    </row>
    <row r="162" ht="15.75" customHeight="1">
      <c r="A162" s="30" t="s">
        <v>1019</v>
      </c>
      <c r="B162" s="32">
        <v>0.45</v>
      </c>
      <c r="D162" s="22" t="s">
        <v>1020</v>
      </c>
    </row>
    <row r="163" ht="15.75" customHeight="1">
      <c r="A163" s="30" t="s">
        <v>1021</v>
      </c>
      <c r="B163" s="233">
        <v>12000.0</v>
      </c>
      <c r="G163" s="22" t="s">
        <v>1014</v>
      </c>
    </row>
    <row r="164" ht="15.75" customHeight="1"/>
    <row r="165" ht="30.0" customHeight="1">
      <c r="A165" s="24" t="s">
        <v>1022</v>
      </c>
      <c r="B165" s="29" t="s">
        <v>1023</v>
      </c>
      <c r="C165" s="29" t="s">
        <v>1024</v>
      </c>
    </row>
    <row r="166" ht="15.75" customHeight="1">
      <c r="A166" s="30" t="s">
        <v>1025</v>
      </c>
      <c r="B166" s="223">
        <f t="array" ref="B166">SUMPRODUCT(INDEX(datos_base!$B$3:$K$6,0,$B$13),$E$153:$E$156)*$B$161/SUM(INDEX(datos_base!$B$3:$K$6,0,$B$13))</f>
        <v>23409.56859</v>
      </c>
      <c r="C166" s="223">
        <f t="array" ref="C166">(SUMPRODUCT(INDEX(datos_base!$B$7:$K$10,0,$B$13),$E$157:$E$160)*$B$161+SUMPRODUCT(INDEX(datos_base!$B$19:$K$22,0,$B$13),$F$157:$F$160)*$B$162)/(SUM(INDEX(datos_base!$B$7:$K$10,0,$B$13))+SUM(INDEX(datos_base!$B$19:$K$22,0,$B$13)))</f>
        <v>501734.5747</v>
      </c>
    </row>
    <row r="167" ht="15.75" customHeight="1">
      <c r="A167" s="30" t="s">
        <v>1026</v>
      </c>
      <c r="B167" s="133">
        <f>1/$B$14</f>
        <v>0.1430874196</v>
      </c>
      <c r="C167" s="133">
        <f>$B$97</f>
        <v>0.9013480392</v>
      </c>
    </row>
    <row r="168" ht="15.75" customHeight="1">
      <c r="A168" s="73" t="s">
        <v>1027</v>
      </c>
      <c r="B168" s="224">
        <f>B166+B167*$B$155</f>
        <v>24882.22789</v>
      </c>
      <c r="C168" s="224">
        <f>C166+C167*$B$155+$B$163</f>
        <v>523011.2712</v>
      </c>
    </row>
    <row r="169" ht="15.75" customHeight="1">
      <c r="A169" s="30" t="s">
        <v>1028</v>
      </c>
      <c r="B169" s="223">
        <f t="shared" ref="B169:C169" si="52">B168*$B$160</f>
        <v>373.2334184</v>
      </c>
      <c r="C169" s="223">
        <f t="shared" si="52"/>
        <v>7845.169068</v>
      </c>
    </row>
    <row r="170" ht="15.75" customHeight="1">
      <c r="A170" s="30" t="s">
        <v>1029</v>
      </c>
      <c r="B170" s="133">
        <f t="shared" ref="B170:C170" si="53">B167</f>
        <v>0.1430874196</v>
      </c>
      <c r="C170" s="133">
        <f t="shared" si="53"/>
        <v>0.9013480392</v>
      </c>
    </row>
    <row r="171" ht="15.75" customHeight="1">
      <c r="A171" s="30" t="s">
        <v>1030</v>
      </c>
      <c r="B171" s="223">
        <f t="shared" ref="B171:C171" si="54">B170*$B$157</f>
        <v>2208.988949</v>
      </c>
      <c r="C171" s="223">
        <f t="shared" si="54"/>
        <v>13915.04483</v>
      </c>
    </row>
    <row r="172" ht="15.75" customHeight="1">
      <c r="A172" s="73" t="s">
        <v>1031</v>
      </c>
      <c r="B172" s="105">
        <f t="shared" ref="B172:C172" si="55">IFERROR(B171/B169,0)</f>
        <v>5.918518653</v>
      </c>
      <c r="C172" s="105">
        <f t="shared" si="55"/>
        <v>1.773708726</v>
      </c>
      <c r="D172" s="22" t="s">
        <v>1032</v>
      </c>
    </row>
    <row r="173" ht="30.0" customHeight="1">
      <c r="A173" s="73" t="s">
        <v>1033</v>
      </c>
      <c r="B173" s="169" t="str">
        <f>"1–10 kg: conviene el stock si se guarda menos de "&amp;ROUND(B172,1)&amp;" meses. Carros: conviene el stock si se guarda menos de "&amp;ROUND(C172,1)&amp;" meses. Más tiempo que eso, conviene la hora extra."</f>
        <v>1–10 kg: conviene el stock si se guarda menos de 5,9 meses. Carros: conviene el stock si se guarda menos de 1,8 meses. Más tiempo que eso, conviene la hora extra.</v>
      </c>
      <c r="C173" s="3"/>
      <c r="D173" s="3"/>
      <c r="E173" s="3"/>
      <c r="F173" s="3"/>
      <c r="G173" s="3"/>
      <c r="H173" s="3"/>
      <c r="I173" s="3"/>
      <c r="J173" s="3"/>
      <c r="K173" s="3"/>
    </row>
    <row r="174" ht="15.75" customHeight="1"/>
    <row r="175" ht="15.75" customHeight="1">
      <c r="A175" s="24" t="s">
        <v>1034</v>
      </c>
    </row>
    <row r="176" ht="45.0" customHeight="1">
      <c r="A176" s="29" t="s">
        <v>973</v>
      </c>
      <c r="B176" s="29" t="s">
        <v>1035</v>
      </c>
      <c r="C176" s="29" t="s">
        <v>309</v>
      </c>
      <c r="D176" s="29" t="s">
        <v>298</v>
      </c>
      <c r="E176" s="29" t="s">
        <v>1036</v>
      </c>
      <c r="F176" s="29" t="s">
        <v>1037</v>
      </c>
      <c r="G176" s="29" t="s">
        <v>1038</v>
      </c>
      <c r="H176" s="29" t="s">
        <v>1039</v>
      </c>
      <c r="I176" s="29" t="s">
        <v>1040</v>
      </c>
      <c r="J176" s="29" t="s">
        <v>1041</v>
      </c>
    </row>
    <row r="177" ht="15.75" customHeight="1">
      <c r="A177" s="30" t="s">
        <v>964</v>
      </c>
      <c r="B177" s="46">
        <f t="array" ref="B177">INDEX($B$136:$K$136,$B$13)</f>
        <v>64</v>
      </c>
      <c r="C177" s="64">
        <f t="array" ref="C177">INDEX($B$137:$K$137,$B$13)</f>
        <v>1373</v>
      </c>
      <c r="D177" s="64">
        <f t="array" ref="D177">INDEX($B$138:$K$138,$B$13)</f>
        <v>235</v>
      </c>
      <c r="E177" s="223">
        <f t="shared" ref="E177:E180" si="56">(B177-MIN($B$177:$B$180))*$B$153*12</f>
        <v>19760688</v>
      </c>
      <c r="F177" s="223">
        <f t="shared" ref="F177:F180" si="57">C177*$B$157</f>
        <v>21196425.49</v>
      </c>
      <c r="G177" s="223">
        <f t="shared" ref="G177:G180" si="58">D177*12*$C$168*$B$160</f>
        <v>22123376.77</v>
      </c>
      <c r="H177" s="224">
        <f t="shared" ref="H177:H180" si="59">E177+F177+G177</f>
        <v>63080490.26</v>
      </c>
      <c r="I177" s="224">
        <f>SUM($B$136:$K$136)*$B$153*12+SUM($B$137:$K$137)*$B$157+SUM($B$138:$K$138)*12*$C$168*$B$160</f>
        <v>6785153072</v>
      </c>
      <c r="J177" s="223">
        <f t="shared" ref="J177:J180" si="60">B130*$C$168</f>
        <v>267520265.2</v>
      </c>
    </row>
    <row r="178" ht="15.75" customHeight="1">
      <c r="A178" s="30" t="s">
        <v>969</v>
      </c>
      <c r="B178" s="46">
        <f t="array" ref="B178">INDEX($B$139:$K$139,$B$13)</f>
        <v>63</v>
      </c>
      <c r="C178" s="64">
        <f t="array" ref="C178">INDEX($B$140:$K$140,$B$13)</f>
        <v>1181</v>
      </c>
      <c r="D178" s="64">
        <f t="array" ref="D178">INDEX($B$141:$K$141,$B$13)</f>
        <v>0</v>
      </c>
      <c r="E178" s="223">
        <f t="shared" si="56"/>
        <v>0</v>
      </c>
      <c r="F178" s="223">
        <f t="shared" si="57"/>
        <v>18232322.29</v>
      </c>
      <c r="G178" s="223">
        <f t="shared" si="58"/>
        <v>0</v>
      </c>
      <c r="H178" s="224">
        <f t="shared" si="59"/>
        <v>18232322.29</v>
      </c>
      <c r="I178" s="224">
        <f>SUM($B$139:$K$139)*$B$153*12+SUM($B$140:$K$140)*$B$157+SUM($B$141:$K$141)*12*$C$168*$B$160</f>
        <v>6610166269</v>
      </c>
      <c r="J178" s="223">
        <f t="shared" si="60"/>
        <v>0</v>
      </c>
    </row>
    <row r="179" ht="15.75" customHeight="1">
      <c r="A179" s="30" t="s">
        <v>970</v>
      </c>
      <c r="B179" s="46">
        <f t="array" ref="B179">INDEX($B$142:$K$142,$B$13)</f>
        <v>65</v>
      </c>
      <c r="C179" s="64">
        <f t="array" ref="C179">INDEX($B$143:$K$143,$B$13)</f>
        <v>1289</v>
      </c>
      <c r="D179" s="64">
        <f t="array" ref="D179">INDEX($B$144:$K$144,$B$13)</f>
        <v>45</v>
      </c>
      <c r="E179" s="223">
        <f t="shared" si="56"/>
        <v>39521376</v>
      </c>
      <c r="F179" s="223">
        <f t="shared" si="57"/>
        <v>19899630.34</v>
      </c>
      <c r="G179" s="223">
        <f t="shared" si="58"/>
        <v>4236391.297</v>
      </c>
      <c r="H179" s="224">
        <f t="shared" si="59"/>
        <v>63657397.63</v>
      </c>
      <c r="I179" s="224">
        <f>SUM($B$142:$K$142)*$B$153*12+SUM($B$143:$K$143)*$B$157+SUM($B$144:$K$144)*12*$C$168*$B$160</f>
        <v>6766576951</v>
      </c>
      <c r="J179" s="223">
        <f t="shared" si="60"/>
        <v>137813470</v>
      </c>
    </row>
    <row r="180" ht="15.75" customHeight="1">
      <c r="A180" s="73" t="s">
        <v>972</v>
      </c>
      <c r="B180" s="46">
        <f t="array" ref="B180">INDEX($I$443:$I$452,$B$13)</f>
        <v>63</v>
      </c>
      <c r="C180" s="64">
        <f t="array" ref="C180">INDEX($J$443:$J$452,$B$13)</f>
        <v>1180.838016</v>
      </c>
      <c r="D180" s="64">
        <f t="array" ref="D180">INDEX($K$443:$K$452,$B$13)</f>
        <v>0</v>
      </c>
      <c r="E180" s="223">
        <f t="shared" si="56"/>
        <v>0</v>
      </c>
      <c r="F180" s="223">
        <f t="shared" si="57"/>
        <v>18229821.57</v>
      </c>
      <c r="G180" s="223">
        <f t="shared" si="58"/>
        <v>0.00000001694595679</v>
      </c>
      <c r="H180" s="224">
        <f t="shared" si="59"/>
        <v>18229821.57</v>
      </c>
      <c r="I180" s="224">
        <f>SUM($I$443:$I$452)*$B$153*12+SUM($J$443:$J$452)*$B$157+SUM($K$443:$K$452)*12*$C$168*$B$160</f>
        <v>6610147621</v>
      </c>
      <c r="J180" s="223">
        <f t="shared" si="60"/>
        <v>0.00000001486487438</v>
      </c>
    </row>
    <row r="181" ht="15.75" customHeight="1">
      <c r="A181" s="73" t="s">
        <v>1042</v>
      </c>
      <c r="B181" s="236" t="str">
        <f t="array" ref="B181">INDEX(A177:A180,MATCH(MIN(I177:I180),I177:I180,0))</f>
        <v>4. ELEGIDA (Parametros fila 70)</v>
      </c>
      <c r="C181" s="3"/>
      <c r="D181" s="3"/>
      <c r="E181" s="4"/>
    </row>
    <row r="182" ht="15.75" customHeight="1">
      <c r="A182" s="22" t="s">
        <v>1043</v>
      </c>
    </row>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c r="A205" s="24" t="s">
        <v>1044</v>
      </c>
    </row>
    <row r="206" ht="15.75" hidden="1" customHeight="1" outlineLevel="1">
      <c r="A206" s="141" t="s">
        <v>1045</v>
      </c>
    </row>
    <row r="207" ht="15.75" hidden="1" customHeight="1" outlineLevel="1">
      <c r="A207" s="142" t="s">
        <v>896</v>
      </c>
      <c r="B207" s="213">
        <f t="shared" ref="B207:M207" si="61">MAX(0,$B$57*$B$7-B$25-B$24)</f>
        <v>543.9172785</v>
      </c>
      <c r="C207" s="213">
        <f t="shared" si="61"/>
        <v>442.899101</v>
      </c>
      <c r="D207" s="213">
        <f t="shared" si="61"/>
        <v>634.5975425</v>
      </c>
      <c r="E207" s="213">
        <f t="shared" si="61"/>
        <v>1776.055441</v>
      </c>
      <c r="F207" s="213">
        <f t="shared" si="61"/>
        <v>1957.348334</v>
      </c>
      <c r="G207" s="213">
        <f t="shared" si="61"/>
        <v>381.1371167</v>
      </c>
      <c r="H207" s="213">
        <f t="shared" si="61"/>
        <v>1517.995034</v>
      </c>
      <c r="I207" s="213">
        <f t="shared" si="61"/>
        <v>1534.64327</v>
      </c>
      <c r="J207" s="213">
        <f t="shared" si="61"/>
        <v>1149.013722</v>
      </c>
      <c r="K207" s="213">
        <f t="shared" si="61"/>
        <v>1247.296414</v>
      </c>
      <c r="L207" s="213">
        <f t="shared" si="61"/>
        <v>0</v>
      </c>
      <c r="M207" s="213">
        <f t="shared" si="61"/>
        <v>0</v>
      </c>
    </row>
    <row r="208" ht="15.75" hidden="1" customHeight="1" outlineLevel="1">
      <c r="A208" s="142" t="s">
        <v>897</v>
      </c>
      <c r="B208" s="213">
        <f t="shared" ref="B208:M208" si="62">MAX(0,B$24-($B$57*($B$7+$B$8)-B$25))</f>
        <v>0</v>
      </c>
      <c r="C208" s="213">
        <f t="shared" si="62"/>
        <v>0</v>
      </c>
      <c r="D208" s="213">
        <f t="shared" si="62"/>
        <v>0</v>
      </c>
      <c r="E208" s="213">
        <f t="shared" si="62"/>
        <v>0</v>
      </c>
      <c r="F208" s="213">
        <f t="shared" si="62"/>
        <v>0</v>
      </c>
      <c r="G208" s="213">
        <f t="shared" si="62"/>
        <v>0</v>
      </c>
      <c r="H208" s="213">
        <f t="shared" si="62"/>
        <v>0</v>
      </c>
      <c r="I208" s="213">
        <f t="shared" si="62"/>
        <v>0</v>
      </c>
      <c r="J208" s="213">
        <f t="shared" si="62"/>
        <v>0</v>
      </c>
      <c r="K208" s="213">
        <f t="shared" si="62"/>
        <v>0</v>
      </c>
      <c r="L208" s="213">
        <f t="shared" si="62"/>
        <v>0</v>
      </c>
      <c r="M208" s="213">
        <f t="shared" si="62"/>
        <v>0</v>
      </c>
    </row>
    <row r="209" ht="15.75" hidden="1" customHeight="1" outlineLevel="1">
      <c r="A209" s="142" t="s">
        <v>898</v>
      </c>
      <c r="B209" s="213">
        <f t="shared" ref="B209:M209" si="63">MIN(B208,B$21)</f>
        <v>0</v>
      </c>
      <c r="C209" s="213">
        <f t="shared" si="63"/>
        <v>0</v>
      </c>
      <c r="D209" s="213">
        <f t="shared" si="63"/>
        <v>0</v>
      </c>
      <c r="E209" s="213">
        <f t="shared" si="63"/>
        <v>0</v>
      </c>
      <c r="F209" s="213">
        <f t="shared" si="63"/>
        <v>0</v>
      </c>
      <c r="G209" s="213">
        <f t="shared" si="63"/>
        <v>0</v>
      </c>
      <c r="H209" s="213">
        <f t="shared" si="63"/>
        <v>0</v>
      </c>
      <c r="I209" s="213">
        <f t="shared" si="63"/>
        <v>0</v>
      </c>
      <c r="J209" s="213">
        <f t="shared" si="63"/>
        <v>0</v>
      </c>
      <c r="K209" s="213">
        <f t="shared" si="63"/>
        <v>0</v>
      </c>
      <c r="L209" s="213">
        <f t="shared" si="63"/>
        <v>0</v>
      </c>
      <c r="M209" s="213">
        <f t="shared" si="63"/>
        <v>0</v>
      </c>
    </row>
    <row r="210" ht="15.75" hidden="1" customHeight="1" outlineLevel="1">
      <c r="A210" s="142" t="s">
        <v>900</v>
      </c>
      <c r="B210" s="213">
        <f t="shared" ref="B210:L210" si="64">MAX(0,C210-B207)+B209</f>
        <v>0</v>
      </c>
      <c r="C210" s="213">
        <f t="shared" si="64"/>
        <v>0</v>
      </c>
      <c r="D210" s="213">
        <f t="shared" si="64"/>
        <v>0</v>
      </c>
      <c r="E210" s="213">
        <f t="shared" si="64"/>
        <v>0</v>
      </c>
      <c r="F210" s="213">
        <f t="shared" si="64"/>
        <v>0</v>
      </c>
      <c r="G210" s="213">
        <f t="shared" si="64"/>
        <v>0</v>
      </c>
      <c r="H210" s="213">
        <f t="shared" si="64"/>
        <v>0</v>
      </c>
      <c r="I210" s="213">
        <f t="shared" si="64"/>
        <v>0</v>
      </c>
      <c r="J210" s="213">
        <f t="shared" si="64"/>
        <v>0</v>
      </c>
      <c r="K210" s="213">
        <f t="shared" si="64"/>
        <v>0</v>
      </c>
      <c r="L210" s="213">
        <f t="shared" si="64"/>
        <v>0</v>
      </c>
      <c r="M210" s="213">
        <f>M209</f>
        <v>0</v>
      </c>
    </row>
    <row r="211" ht="15.75" hidden="1" customHeight="1" outlineLevel="1">
      <c r="A211" s="142" t="s">
        <v>901</v>
      </c>
      <c r="B211" s="213">
        <f t="shared" ref="B211:L211" si="65">MIN(B207,C210)</f>
        <v>0</v>
      </c>
      <c r="C211" s="213">
        <f t="shared" si="65"/>
        <v>0</v>
      </c>
      <c r="D211" s="213">
        <f t="shared" si="65"/>
        <v>0</v>
      </c>
      <c r="E211" s="213">
        <f t="shared" si="65"/>
        <v>0</v>
      </c>
      <c r="F211" s="213">
        <f t="shared" si="65"/>
        <v>0</v>
      </c>
      <c r="G211" s="213">
        <f t="shared" si="65"/>
        <v>0</v>
      </c>
      <c r="H211" s="213">
        <f t="shared" si="65"/>
        <v>0</v>
      </c>
      <c r="I211" s="213">
        <f t="shared" si="65"/>
        <v>0</v>
      </c>
      <c r="J211" s="213">
        <f t="shared" si="65"/>
        <v>0</v>
      </c>
      <c r="K211" s="213">
        <f t="shared" si="65"/>
        <v>0</v>
      </c>
      <c r="L211" s="213">
        <f t="shared" si="65"/>
        <v>0</v>
      </c>
      <c r="M211" s="213">
        <f>0</f>
        <v>0</v>
      </c>
    </row>
    <row r="212" ht="15.75" hidden="1" customHeight="1" outlineLevel="1">
      <c r="A212" s="142" t="s">
        <v>906</v>
      </c>
      <c r="B212" s="237">
        <f t="shared" ref="B212:M212" si="66">$B$16*(B$36+(B211-B209)*$B$14)/$B$15</f>
        <v>0.6484846342</v>
      </c>
      <c r="C212" s="237">
        <f t="shared" si="66"/>
        <v>0.6061122633</v>
      </c>
      <c r="D212" s="237">
        <f t="shared" si="66"/>
        <v>0.5795834119</v>
      </c>
      <c r="E212" s="237">
        <f t="shared" si="66"/>
        <v>0.5423692287</v>
      </c>
      <c r="F212" s="237">
        <f t="shared" si="66"/>
        <v>0.5316838968</v>
      </c>
      <c r="G212" s="237">
        <f t="shared" si="66"/>
        <v>0.5688980801</v>
      </c>
      <c r="H212" s="237">
        <f t="shared" si="66"/>
        <v>0.5688980801</v>
      </c>
      <c r="I212" s="237">
        <f t="shared" si="66"/>
        <v>0.5688980801</v>
      </c>
      <c r="J212" s="237">
        <f t="shared" si="66"/>
        <v>0.5582127482</v>
      </c>
      <c r="K212" s="237">
        <f t="shared" si="66"/>
        <v>0.5475274164</v>
      </c>
      <c r="L212" s="237">
        <f t="shared" si="66"/>
        <v>0.8717697335</v>
      </c>
      <c r="M212" s="237">
        <f t="shared" si="66"/>
        <v>0.8503990699</v>
      </c>
    </row>
    <row r="213" ht="15.75" hidden="1" customHeight="1" outlineLevel="1">
      <c r="A213" s="142" t="s">
        <v>907</v>
      </c>
      <c r="B213" s="213">
        <f t="shared" ref="B213:M213" si="67">IF(B211&gt;0,1,0)</f>
        <v>0</v>
      </c>
      <c r="C213" s="213">
        <f t="shared" si="67"/>
        <v>0</v>
      </c>
      <c r="D213" s="213">
        <f t="shared" si="67"/>
        <v>0</v>
      </c>
      <c r="E213" s="213">
        <f t="shared" si="67"/>
        <v>0</v>
      </c>
      <c r="F213" s="213">
        <f t="shared" si="67"/>
        <v>0</v>
      </c>
      <c r="G213" s="213">
        <f t="shared" si="67"/>
        <v>0</v>
      </c>
      <c r="H213" s="213">
        <f t="shared" si="67"/>
        <v>0</v>
      </c>
      <c r="I213" s="213">
        <f t="shared" si="67"/>
        <v>0</v>
      </c>
      <c r="J213" s="213">
        <f t="shared" si="67"/>
        <v>0</v>
      </c>
      <c r="K213" s="213">
        <f t="shared" si="67"/>
        <v>0</v>
      </c>
      <c r="L213" s="213">
        <f t="shared" si="67"/>
        <v>0</v>
      </c>
      <c r="M213" s="213">
        <f t="shared" si="67"/>
        <v>0</v>
      </c>
    </row>
    <row r="214" ht="15.75" hidden="1" customHeight="1" outlineLevel="1">
      <c r="A214" s="141" t="s">
        <v>1046</v>
      </c>
    </row>
    <row r="215" ht="15.75" hidden="1" customHeight="1" outlineLevel="1">
      <c r="A215" s="142" t="s">
        <v>896</v>
      </c>
      <c r="B215" s="213">
        <f t="shared" ref="B215:M215" si="68">MAX(0,$B$58*$B$7-B$25-B$24)</f>
        <v>412.9672785</v>
      </c>
      <c r="C215" s="213">
        <f t="shared" si="68"/>
        <v>311.949101</v>
      </c>
      <c r="D215" s="213">
        <f t="shared" si="68"/>
        <v>503.6475425</v>
      </c>
      <c r="E215" s="213">
        <f t="shared" si="68"/>
        <v>1645.105441</v>
      </c>
      <c r="F215" s="213">
        <f t="shared" si="68"/>
        <v>1826.398334</v>
      </c>
      <c r="G215" s="213">
        <f t="shared" si="68"/>
        <v>250.1871167</v>
      </c>
      <c r="H215" s="213">
        <f t="shared" si="68"/>
        <v>1387.045034</v>
      </c>
      <c r="I215" s="213">
        <f t="shared" si="68"/>
        <v>1403.69327</v>
      </c>
      <c r="J215" s="213">
        <f t="shared" si="68"/>
        <v>1018.063722</v>
      </c>
      <c r="K215" s="213">
        <f t="shared" si="68"/>
        <v>1116.346414</v>
      </c>
      <c r="L215" s="213">
        <f t="shared" si="68"/>
        <v>0</v>
      </c>
      <c r="M215" s="213">
        <f t="shared" si="68"/>
        <v>0</v>
      </c>
    </row>
    <row r="216" ht="15.75" hidden="1" customHeight="1" outlineLevel="1">
      <c r="A216" s="142" t="s">
        <v>897</v>
      </c>
      <c r="B216" s="213">
        <f t="shared" ref="B216:M216" si="69">MAX(0,B$24-($B$58*($B$7+$B$8)-B$25))</f>
        <v>0</v>
      </c>
      <c r="C216" s="213">
        <f t="shared" si="69"/>
        <v>0</v>
      </c>
      <c r="D216" s="213">
        <f t="shared" si="69"/>
        <v>0</v>
      </c>
      <c r="E216" s="213">
        <f t="shared" si="69"/>
        <v>0</v>
      </c>
      <c r="F216" s="213">
        <f t="shared" si="69"/>
        <v>0</v>
      </c>
      <c r="G216" s="213">
        <f t="shared" si="69"/>
        <v>0</v>
      </c>
      <c r="H216" s="213">
        <f t="shared" si="69"/>
        <v>0</v>
      </c>
      <c r="I216" s="213">
        <f t="shared" si="69"/>
        <v>0</v>
      </c>
      <c r="J216" s="213">
        <f t="shared" si="69"/>
        <v>0</v>
      </c>
      <c r="K216" s="213">
        <f t="shared" si="69"/>
        <v>0</v>
      </c>
      <c r="L216" s="213">
        <f t="shared" si="69"/>
        <v>0</v>
      </c>
      <c r="M216" s="213">
        <f t="shared" si="69"/>
        <v>0</v>
      </c>
    </row>
    <row r="217" ht="15.75" hidden="1" customHeight="1" outlineLevel="1">
      <c r="A217" s="142" t="s">
        <v>898</v>
      </c>
      <c r="B217" s="213">
        <f t="shared" ref="B217:M217" si="70">MIN(B216,B$21)</f>
        <v>0</v>
      </c>
      <c r="C217" s="213">
        <f t="shared" si="70"/>
        <v>0</v>
      </c>
      <c r="D217" s="213">
        <f t="shared" si="70"/>
        <v>0</v>
      </c>
      <c r="E217" s="213">
        <f t="shared" si="70"/>
        <v>0</v>
      </c>
      <c r="F217" s="213">
        <f t="shared" si="70"/>
        <v>0</v>
      </c>
      <c r="G217" s="213">
        <f t="shared" si="70"/>
        <v>0</v>
      </c>
      <c r="H217" s="213">
        <f t="shared" si="70"/>
        <v>0</v>
      </c>
      <c r="I217" s="213">
        <f t="shared" si="70"/>
        <v>0</v>
      </c>
      <c r="J217" s="213">
        <f t="shared" si="70"/>
        <v>0</v>
      </c>
      <c r="K217" s="213">
        <f t="shared" si="70"/>
        <v>0</v>
      </c>
      <c r="L217" s="213">
        <f t="shared" si="70"/>
        <v>0</v>
      </c>
      <c r="M217" s="213">
        <f t="shared" si="70"/>
        <v>0</v>
      </c>
    </row>
    <row r="218" ht="15.75" hidden="1" customHeight="1" outlineLevel="1">
      <c r="A218" s="142" t="s">
        <v>900</v>
      </c>
      <c r="B218" s="213">
        <f t="shared" ref="B218:L218" si="71">MAX(0,C218-B215)+B217</f>
        <v>0</v>
      </c>
      <c r="C218" s="213">
        <f t="shared" si="71"/>
        <v>0</v>
      </c>
      <c r="D218" s="213">
        <f t="shared" si="71"/>
        <v>0</v>
      </c>
      <c r="E218" s="213">
        <f t="shared" si="71"/>
        <v>0</v>
      </c>
      <c r="F218" s="213">
        <f t="shared" si="71"/>
        <v>0</v>
      </c>
      <c r="G218" s="213">
        <f t="shared" si="71"/>
        <v>0</v>
      </c>
      <c r="H218" s="213">
        <f t="shared" si="71"/>
        <v>0</v>
      </c>
      <c r="I218" s="213">
        <f t="shared" si="71"/>
        <v>0</v>
      </c>
      <c r="J218" s="213">
        <f t="shared" si="71"/>
        <v>0</v>
      </c>
      <c r="K218" s="213">
        <f t="shared" si="71"/>
        <v>0</v>
      </c>
      <c r="L218" s="213">
        <f t="shared" si="71"/>
        <v>0</v>
      </c>
      <c r="M218" s="213">
        <f>M217</f>
        <v>0</v>
      </c>
    </row>
    <row r="219" ht="15.75" hidden="1" customHeight="1" outlineLevel="1">
      <c r="A219" s="142" t="s">
        <v>901</v>
      </c>
      <c r="B219" s="213">
        <f t="shared" ref="B219:L219" si="72">MIN(B215,C218)</f>
        <v>0</v>
      </c>
      <c r="C219" s="213">
        <f t="shared" si="72"/>
        <v>0</v>
      </c>
      <c r="D219" s="213">
        <f t="shared" si="72"/>
        <v>0</v>
      </c>
      <c r="E219" s="213">
        <f t="shared" si="72"/>
        <v>0</v>
      </c>
      <c r="F219" s="213">
        <f t="shared" si="72"/>
        <v>0</v>
      </c>
      <c r="G219" s="213">
        <f t="shared" si="72"/>
        <v>0</v>
      </c>
      <c r="H219" s="213">
        <f t="shared" si="72"/>
        <v>0</v>
      </c>
      <c r="I219" s="213">
        <f t="shared" si="72"/>
        <v>0</v>
      </c>
      <c r="J219" s="213">
        <f t="shared" si="72"/>
        <v>0</v>
      </c>
      <c r="K219" s="213">
        <f t="shared" si="72"/>
        <v>0</v>
      </c>
      <c r="L219" s="213">
        <f t="shared" si="72"/>
        <v>0</v>
      </c>
      <c r="M219" s="213">
        <f>0</f>
        <v>0</v>
      </c>
    </row>
    <row r="220" ht="15.75" hidden="1" customHeight="1" outlineLevel="1">
      <c r="A220" s="142" t="s">
        <v>906</v>
      </c>
      <c r="B220" s="237">
        <f t="shared" ref="B220:M220" si="73">$B$16*(B$36+(B219-B217)*$B$14)/$B$15</f>
        <v>0.6484846342</v>
      </c>
      <c r="C220" s="237">
        <f t="shared" si="73"/>
        <v>0.6061122633</v>
      </c>
      <c r="D220" s="237">
        <f t="shared" si="73"/>
        <v>0.5795834119</v>
      </c>
      <c r="E220" s="237">
        <f t="shared" si="73"/>
        <v>0.5423692287</v>
      </c>
      <c r="F220" s="237">
        <f t="shared" si="73"/>
        <v>0.5316838968</v>
      </c>
      <c r="G220" s="237">
        <f t="shared" si="73"/>
        <v>0.5688980801</v>
      </c>
      <c r="H220" s="237">
        <f t="shared" si="73"/>
        <v>0.5688980801</v>
      </c>
      <c r="I220" s="237">
        <f t="shared" si="73"/>
        <v>0.5688980801</v>
      </c>
      <c r="J220" s="237">
        <f t="shared" si="73"/>
        <v>0.5582127482</v>
      </c>
      <c r="K220" s="237">
        <f t="shared" si="73"/>
        <v>0.5475274164</v>
      </c>
      <c r="L220" s="237">
        <f t="shared" si="73"/>
        <v>0.8717697335</v>
      </c>
      <c r="M220" s="237">
        <f t="shared" si="73"/>
        <v>0.8503990699</v>
      </c>
    </row>
    <row r="221" ht="15.75" hidden="1" customHeight="1" outlineLevel="1">
      <c r="A221" s="142" t="s">
        <v>907</v>
      </c>
      <c r="B221" s="213">
        <f t="shared" ref="B221:M221" si="74">IF(B219&gt;0,1,0)</f>
        <v>0</v>
      </c>
      <c r="C221" s="213">
        <f t="shared" si="74"/>
        <v>0</v>
      </c>
      <c r="D221" s="213">
        <f t="shared" si="74"/>
        <v>0</v>
      </c>
      <c r="E221" s="213">
        <f t="shared" si="74"/>
        <v>0</v>
      </c>
      <c r="F221" s="213">
        <f t="shared" si="74"/>
        <v>0</v>
      </c>
      <c r="G221" s="213">
        <f t="shared" si="74"/>
        <v>0</v>
      </c>
      <c r="H221" s="213">
        <f t="shared" si="74"/>
        <v>0</v>
      </c>
      <c r="I221" s="213">
        <f t="shared" si="74"/>
        <v>0</v>
      </c>
      <c r="J221" s="213">
        <f t="shared" si="74"/>
        <v>0</v>
      </c>
      <c r="K221" s="213">
        <f t="shared" si="74"/>
        <v>0</v>
      </c>
      <c r="L221" s="213">
        <f t="shared" si="74"/>
        <v>0</v>
      </c>
      <c r="M221" s="213">
        <f t="shared" si="74"/>
        <v>0</v>
      </c>
    </row>
    <row r="222" ht="15.75" hidden="1" customHeight="1" outlineLevel="1">
      <c r="A222" s="141" t="s">
        <v>1047</v>
      </c>
    </row>
    <row r="223" ht="15.75" hidden="1" customHeight="1" outlineLevel="1">
      <c r="A223" s="142" t="s">
        <v>896</v>
      </c>
      <c r="B223" s="213">
        <f t="shared" ref="B223:M223" si="75">MAX(0,$B$59*$B$7-B$25-B$24)</f>
        <v>282.0172785</v>
      </c>
      <c r="C223" s="213">
        <f t="shared" si="75"/>
        <v>180.999101</v>
      </c>
      <c r="D223" s="213">
        <f t="shared" si="75"/>
        <v>372.6975425</v>
      </c>
      <c r="E223" s="213">
        <f t="shared" si="75"/>
        <v>1514.155441</v>
      </c>
      <c r="F223" s="213">
        <f t="shared" si="75"/>
        <v>1695.448334</v>
      </c>
      <c r="G223" s="213">
        <f t="shared" si="75"/>
        <v>119.2371167</v>
      </c>
      <c r="H223" s="213">
        <f t="shared" si="75"/>
        <v>1256.095034</v>
      </c>
      <c r="I223" s="213">
        <f t="shared" si="75"/>
        <v>1272.74327</v>
      </c>
      <c r="J223" s="213">
        <f t="shared" si="75"/>
        <v>887.113722</v>
      </c>
      <c r="K223" s="213">
        <f t="shared" si="75"/>
        <v>985.3964145</v>
      </c>
      <c r="L223" s="213">
        <f t="shared" si="75"/>
        <v>0</v>
      </c>
      <c r="M223" s="213">
        <f t="shared" si="75"/>
        <v>0</v>
      </c>
    </row>
    <row r="224" ht="15.75" hidden="1" customHeight="1" outlineLevel="1">
      <c r="A224" s="142" t="s">
        <v>897</v>
      </c>
      <c r="B224" s="213">
        <f t="shared" ref="B224:M224" si="76">MAX(0,B$24-($B$59*($B$7+$B$8)-B$25))</f>
        <v>0</v>
      </c>
      <c r="C224" s="213">
        <f t="shared" si="76"/>
        <v>0</v>
      </c>
      <c r="D224" s="213">
        <f t="shared" si="76"/>
        <v>0</v>
      </c>
      <c r="E224" s="213">
        <f t="shared" si="76"/>
        <v>0</v>
      </c>
      <c r="F224" s="213">
        <f t="shared" si="76"/>
        <v>0</v>
      </c>
      <c r="G224" s="213">
        <f t="shared" si="76"/>
        <v>0</v>
      </c>
      <c r="H224" s="213">
        <f t="shared" si="76"/>
        <v>0</v>
      </c>
      <c r="I224" s="213">
        <f t="shared" si="76"/>
        <v>0</v>
      </c>
      <c r="J224" s="213">
        <f t="shared" si="76"/>
        <v>0</v>
      </c>
      <c r="K224" s="213">
        <f t="shared" si="76"/>
        <v>0</v>
      </c>
      <c r="L224" s="213">
        <f t="shared" si="76"/>
        <v>0</v>
      </c>
      <c r="M224" s="213">
        <f t="shared" si="76"/>
        <v>0</v>
      </c>
    </row>
    <row r="225" ht="15.75" hidden="1" customHeight="1" outlineLevel="1">
      <c r="A225" s="142" t="s">
        <v>898</v>
      </c>
      <c r="B225" s="213">
        <f t="shared" ref="B225:M225" si="77">MIN(B224,B$21)</f>
        <v>0</v>
      </c>
      <c r="C225" s="213">
        <f t="shared" si="77"/>
        <v>0</v>
      </c>
      <c r="D225" s="213">
        <f t="shared" si="77"/>
        <v>0</v>
      </c>
      <c r="E225" s="213">
        <f t="shared" si="77"/>
        <v>0</v>
      </c>
      <c r="F225" s="213">
        <f t="shared" si="77"/>
        <v>0</v>
      </c>
      <c r="G225" s="213">
        <f t="shared" si="77"/>
        <v>0</v>
      </c>
      <c r="H225" s="213">
        <f t="shared" si="77"/>
        <v>0</v>
      </c>
      <c r="I225" s="213">
        <f t="shared" si="77"/>
        <v>0</v>
      </c>
      <c r="J225" s="213">
        <f t="shared" si="77"/>
        <v>0</v>
      </c>
      <c r="K225" s="213">
        <f t="shared" si="77"/>
        <v>0</v>
      </c>
      <c r="L225" s="213">
        <f t="shared" si="77"/>
        <v>0</v>
      </c>
      <c r="M225" s="213">
        <f t="shared" si="77"/>
        <v>0</v>
      </c>
    </row>
    <row r="226" ht="15.75" hidden="1" customHeight="1" outlineLevel="1">
      <c r="A226" s="142" t="s">
        <v>900</v>
      </c>
      <c r="B226" s="213">
        <f t="shared" ref="B226:L226" si="78">MAX(0,C226-B223)+B225</f>
        <v>0</v>
      </c>
      <c r="C226" s="213">
        <f t="shared" si="78"/>
        <v>0</v>
      </c>
      <c r="D226" s="213">
        <f t="shared" si="78"/>
        <v>0</v>
      </c>
      <c r="E226" s="213">
        <f t="shared" si="78"/>
        <v>0</v>
      </c>
      <c r="F226" s="213">
        <f t="shared" si="78"/>
        <v>0</v>
      </c>
      <c r="G226" s="213">
        <f t="shared" si="78"/>
        <v>0</v>
      </c>
      <c r="H226" s="213">
        <f t="shared" si="78"/>
        <v>0</v>
      </c>
      <c r="I226" s="213">
        <f t="shared" si="78"/>
        <v>0</v>
      </c>
      <c r="J226" s="213">
        <f t="shared" si="78"/>
        <v>0</v>
      </c>
      <c r="K226" s="213">
        <f t="shared" si="78"/>
        <v>0</v>
      </c>
      <c r="L226" s="213">
        <f t="shared" si="78"/>
        <v>0</v>
      </c>
      <c r="M226" s="213">
        <f>M225</f>
        <v>0</v>
      </c>
    </row>
    <row r="227" ht="15.75" hidden="1" customHeight="1" outlineLevel="1">
      <c r="A227" s="142" t="s">
        <v>901</v>
      </c>
      <c r="B227" s="213">
        <f t="shared" ref="B227:L227" si="79">MIN(B223,C226)</f>
        <v>0</v>
      </c>
      <c r="C227" s="213">
        <f t="shared" si="79"/>
        <v>0</v>
      </c>
      <c r="D227" s="213">
        <f t="shared" si="79"/>
        <v>0</v>
      </c>
      <c r="E227" s="213">
        <f t="shared" si="79"/>
        <v>0</v>
      </c>
      <c r="F227" s="213">
        <f t="shared" si="79"/>
        <v>0</v>
      </c>
      <c r="G227" s="213">
        <f t="shared" si="79"/>
        <v>0</v>
      </c>
      <c r="H227" s="213">
        <f t="shared" si="79"/>
        <v>0</v>
      </c>
      <c r="I227" s="213">
        <f t="shared" si="79"/>
        <v>0</v>
      </c>
      <c r="J227" s="213">
        <f t="shared" si="79"/>
        <v>0</v>
      </c>
      <c r="K227" s="213">
        <f t="shared" si="79"/>
        <v>0</v>
      </c>
      <c r="L227" s="213">
        <f t="shared" si="79"/>
        <v>0</v>
      </c>
      <c r="M227" s="213">
        <f>0</f>
        <v>0</v>
      </c>
    </row>
    <row r="228" ht="15.75" hidden="1" customHeight="1" outlineLevel="1">
      <c r="A228" s="142" t="s">
        <v>906</v>
      </c>
      <c r="B228" s="237">
        <f t="shared" ref="B228:M228" si="80">$B$16*(B$36+(B227-B225)*$B$14)/$B$15</f>
        <v>0.6484846342</v>
      </c>
      <c r="C228" s="237">
        <f t="shared" si="80"/>
        <v>0.6061122633</v>
      </c>
      <c r="D228" s="237">
        <f t="shared" si="80"/>
        <v>0.5795834119</v>
      </c>
      <c r="E228" s="237">
        <f t="shared" si="80"/>
        <v>0.5423692287</v>
      </c>
      <c r="F228" s="237">
        <f t="shared" si="80"/>
        <v>0.5316838968</v>
      </c>
      <c r="G228" s="237">
        <f t="shared" si="80"/>
        <v>0.5688980801</v>
      </c>
      <c r="H228" s="237">
        <f t="shared" si="80"/>
        <v>0.5688980801</v>
      </c>
      <c r="I228" s="237">
        <f t="shared" si="80"/>
        <v>0.5688980801</v>
      </c>
      <c r="J228" s="237">
        <f t="shared" si="80"/>
        <v>0.5582127482</v>
      </c>
      <c r="K228" s="237">
        <f t="shared" si="80"/>
        <v>0.5475274164</v>
      </c>
      <c r="L228" s="237">
        <f t="shared" si="80"/>
        <v>0.8717697335</v>
      </c>
      <c r="M228" s="237">
        <f t="shared" si="80"/>
        <v>0.8503990699</v>
      </c>
    </row>
    <row r="229" ht="15.75" hidden="1" customHeight="1" outlineLevel="1">
      <c r="A229" s="142" t="s">
        <v>907</v>
      </c>
      <c r="B229" s="213">
        <f t="shared" ref="B229:M229" si="81">IF(B227&gt;0,1,0)</f>
        <v>0</v>
      </c>
      <c r="C229" s="213">
        <f t="shared" si="81"/>
        <v>0</v>
      </c>
      <c r="D229" s="213">
        <f t="shared" si="81"/>
        <v>0</v>
      </c>
      <c r="E229" s="213">
        <f t="shared" si="81"/>
        <v>0</v>
      </c>
      <c r="F229" s="213">
        <f t="shared" si="81"/>
        <v>0</v>
      </c>
      <c r="G229" s="213">
        <f t="shared" si="81"/>
        <v>0</v>
      </c>
      <c r="H229" s="213">
        <f t="shared" si="81"/>
        <v>0</v>
      </c>
      <c r="I229" s="213">
        <f t="shared" si="81"/>
        <v>0</v>
      </c>
      <c r="J229" s="213">
        <f t="shared" si="81"/>
        <v>0</v>
      </c>
      <c r="K229" s="213">
        <f t="shared" si="81"/>
        <v>0</v>
      </c>
      <c r="L229" s="213">
        <f t="shared" si="81"/>
        <v>0</v>
      </c>
      <c r="M229" s="213">
        <f t="shared" si="81"/>
        <v>0</v>
      </c>
    </row>
    <row r="230" ht="15.75" hidden="1" customHeight="1" outlineLevel="1">
      <c r="A230" s="141" t="s">
        <v>1048</v>
      </c>
    </row>
    <row r="231" ht="15.75" hidden="1" customHeight="1" outlineLevel="1">
      <c r="A231" s="142" t="s">
        <v>896</v>
      </c>
      <c r="B231" s="213">
        <f t="shared" ref="B231:M231" si="82">MAX(0,$B$60*$B$7-B$25-B$24)</f>
        <v>151.0672785</v>
      </c>
      <c r="C231" s="213">
        <f t="shared" si="82"/>
        <v>50.04910104</v>
      </c>
      <c r="D231" s="213">
        <f t="shared" si="82"/>
        <v>241.7475425</v>
      </c>
      <c r="E231" s="213">
        <f t="shared" si="82"/>
        <v>1383.205441</v>
      </c>
      <c r="F231" s="213">
        <f t="shared" si="82"/>
        <v>1564.498334</v>
      </c>
      <c r="G231" s="213">
        <f t="shared" si="82"/>
        <v>0</v>
      </c>
      <c r="H231" s="213">
        <f t="shared" si="82"/>
        <v>1125.145034</v>
      </c>
      <c r="I231" s="213">
        <f t="shared" si="82"/>
        <v>1141.79327</v>
      </c>
      <c r="J231" s="213">
        <f t="shared" si="82"/>
        <v>756.163722</v>
      </c>
      <c r="K231" s="213">
        <f t="shared" si="82"/>
        <v>854.4464145</v>
      </c>
      <c r="L231" s="213">
        <f t="shared" si="82"/>
        <v>0</v>
      </c>
      <c r="M231" s="213">
        <f t="shared" si="82"/>
        <v>0</v>
      </c>
    </row>
    <row r="232" ht="15.75" hidden="1" customHeight="1" outlineLevel="1">
      <c r="A232" s="142" t="s">
        <v>897</v>
      </c>
      <c r="B232" s="213">
        <f t="shared" ref="B232:M232" si="83">MAX(0,B$24-($B$60*($B$7+$B$8)-B$25))</f>
        <v>0</v>
      </c>
      <c r="C232" s="213">
        <f t="shared" si="83"/>
        <v>0</v>
      </c>
      <c r="D232" s="213">
        <f t="shared" si="83"/>
        <v>0</v>
      </c>
      <c r="E232" s="213">
        <f t="shared" si="83"/>
        <v>0</v>
      </c>
      <c r="F232" s="213">
        <f t="shared" si="83"/>
        <v>0</v>
      </c>
      <c r="G232" s="213">
        <f t="shared" si="83"/>
        <v>0</v>
      </c>
      <c r="H232" s="213">
        <f t="shared" si="83"/>
        <v>0</v>
      </c>
      <c r="I232" s="213">
        <f t="shared" si="83"/>
        <v>0</v>
      </c>
      <c r="J232" s="213">
        <f t="shared" si="83"/>
        <v>0</v>
      </c>
      <c r="K232" s="213">
        <f t="shared" si="83"/>
        <v>0</v>
      </c>
      <c r="L232" s="213">
        <f t="shared" si="83"/>
        <v>87.80542999</v>
      </c>
      <c r="M232" s="213">
        <f t="shared" si="83"/>
        <v>0</v>
      </c>
    </row>
    <row r="233" ht="15.75" hidden="1" customHeight="1" outlineLevel="1">
      <c r="A233" s="142" t="s">
        <v>898</v>
      </c>
      <c r="B233" s="213">
        <f t="shared" ref="B233:M233" si="84">MIN(B232,B$21)</f>
        <v>0</v>
      </c>
      <c r="C233" s="213">
        <f t="shared" si="84"/>
        <v>0</v>
      </c>
      <c r="D233" s="213">
        <f t="shared" si="84"/>
        <v>0</v>
      </c>
      <c r="E233" s="213">
        <f t="shared" si="84"/>
        <v>0</v>
      </c>
      <c r="F233" s="213">
        <f t="shared" si="84"/>
        <v>0</v>
      </c>
      <c r="G233" s="213">
        <f t="shared" si="84"/>
        <v>0</v>
      </c>
      <c r="H233" s="213">
        <f t="shared" si="84"/>
        <v>0</v>
      </c>
      <c r="I233" s="213">
        <f t="shared" si="84"/>
        <v>0</v>
      </c>
      <c r="J233" s="213">
        <f t="shared" si="84"/>
        <v>0</v>
      </c>
      <c r="K233" s="213">
        <f t="shared" si="84"/>
        <v>0</v>
      </c>
      <c r="L233" s="213">
        <f t="shared" si="84"/>
        <v>87.80542999</v>
      </c>
      <c r="M233" s="213">
        <f t="shared" si="84"/>
        <v>0</v>
      </c>
    </row>
    <row r="234" ht="15.75" hidden="1" customHeight="1" outlineLevel="1">
      <c r="A234" s="142" t="s">
        <v>900</v>
      </c>
      <c r="B234" s="213">
        <f t="shared" ref="B234:L234" si="85">MAX(0,C234-B231)+B233</f>
        <v>0</v>
      </c>
      <c r="C234" s="213">
        <f t="shared" si="85"/>
        <v>0</v>
      </c>
      <c r="D234" s="213">
        <f t="shared" si="85"/>
        <v>0</v>
      </c>
      <c r="E234" s="213">
        <f t="shared" si="85"/>
        <v>0</v>
      </c>
      <c r="F234" s="213">
        <f t="shared" si="85"/>
        <v>0</v>
      </c>
      <c r="G234" s="213">
        <f t="shared" si="85"/>
        <v>0</v>
      </c>
      <c r="H234" s="213">
        <f t="shared" si="85"/>
        <v>0</v>
      </c>
      <c r="I234" s="213">
        <f t="shared" si="85"/>
        <v>0</v>
      </c>
      <c r="J234" s="213">
        <f t="shared" si="85"/>
        <v>0</v>
      </c>
      <c r="K234" s="213">
        <f t="shared" si="85"/>
        <v>0</v>
      </c>
      <c r="L234" s="213">
        <f t="shared" si="85"/>
        <v>87.80542999</v>
      </c>
      <c r="M234" s="213">
        <f>M233</f>
        <v>0</v>
      </c>
    </row>
    <row r="235" ht="15.75" hidden="1" customHeight="1" outlineLevel="1">
      <c r="A235" s="142" t="s">
        <v>901</v>
      </c>
      <c r="B235" s="213">
        <f t="shared" ref="B235:L235" si="86">MIN(B231,C234)</f>
        <v>0</v>
      </c>
      <c r="C235" s="213">
        <f t="shared" si="86"/>
        <v>0</v>
      </c>
      <c r="D235" s="213">
        <f t="shared" si="86"/>
        <v>0</v>
      </c>
      <c r="E235" s="213">
        <f t="shared" si="86"/>
        <v>0</v>
      </c>
      <c r="F235" s="213">
        <f t="shared" si="86"/>
        <v>0</v>
      </c>
      <c r="G235" s="213">
        <f t="shared" si="86"/>
        <v>0</v>
      </c>
      <c r="H235" s="213">
        <f t="shared" si="86"/>
        <v>0</v>
      </c>
      <c r="I235" s="213">
        <f t="shared" si="86"/>
        <v>0</v>
      </c>
      <c r="J235" s="213">
        <f t="shared" si="86"/>
        <v>0</v>
      </c>
      <c r="K235" s="213">
        <f t="shared" si="86"/>
        <v>87.80542999</v>
      </c>
      <c r="L235" s="213">
        <f t="shared" si="86"/>
        <v>0</v>
      </c>
      <c r="M235" s="213">
        <f>0</f>
        <v>0</v>
      </c>
    </row>
    <row r="236" ht="15.75" hidden="1" customHeight="1" outlineLevel="1">
      <c r="A236" s="142" t="s">
        <v>906</v>
      </c>
      <c r="B236" s="237">
        <f t="shared" ref="B236:M236" si="87">$B$16*(B$36+(B235-B233)*$B$14)/$B$15</f>
        <v>0.6484846342</v>
      </c>
      <c r="C236" s="237">
        <f t="shared" si="87"/>
        <v>0.6061122633</v>
      </c>
      <c r="D236" s="237">
        <f t="shared" si="87"/>
        <v>0.5795834119</v>
      </c>
      <c r="E236" s="237">
        <f t="shared" si="87"/>
        <v>0.5423692287</v>
      </c>
      <c r="F236" s="237">
        <f t="shared" si="87"/>
        <v>0.5316838968</v>
      </c>
      <c r="G236" s="237">
        <f t="shared" si="87"/>
        <v>0.5688980801</v>
      </c>
      <c r="H236" s="237">
        <f t="shared" si="87"/>
        <v>0.5688980801</v>
      </c>
      <c r="I236" s="237">
        <f t="shared" si="87"/>
        <v>0.5688980801</v>
      </c>
      <c r="J236" s="237">
        <f t="shared" si="87"/>
        <v>0.5582127482</v>
      </c>
      <c r="K236" s="237">
        <f t="shared" si="87"/>
        <v>0.5635962336</v>
      </c>
      <c r="L236" s="237">
        <f t="shared" si="87"/>
        <v>0.8557009163</v>
      </c>
      <c r="M236" s="237">
        <f t="shared" si="87"/>
        <v>0.8503990699</v>
      </c>
    </row>
    <row r="237" ht="15.75" hidden="1" customHeight="1" outlineLevel="1">
      <c r="A237" s="142" t="s">
        <v>907</v>
      </c>
      <c r="B237" s="213">
        <f t="shared" ref="B237:M237" si="88">IF(B235&gt;0,1,0)</f>
        <v>0</v>
      </c>
      <c r="C237" s="213">
        <f t="shared" si="88"/>
        <v>0</v>
      </c>
      <c r="D237" s="213">
        <f t="shared" si="88"/>
        <v>0</v>
      </c>
      <c r="E237" s="213">
        <f t="shared" si="88"/>
        <v>0</v>
      </c>
      <c r="F237" s="213">
        <f t="shared" si="88"/>
        <v>0</v>
      </c>
      <c r="G237" s="213">
        <f t="shared" si="88"/>
        <v>0</v>
      </c>
      <c r="H237" s="213">
        <f t="shared" si="88"/>
        <v>0</v>
      </c>
      <c r="I237" s="213">
        <f t="shared" si="88"/>
        <v>0</v>
      </c>
      <c r="J237" s="213">
        <f t="shared" si="88"/>
        <v>0</v>
      </c>
      <c r="K237" s="213">
        <f t="shared" si="88"/>
        <v>1</v>
      </c>
      <c r="L237" s="213">
        <f t="shared" si="88"/>
        <v>0</v>
      </c>
      <c r="M237" s="213">
        <f t="shared" si="88"/>
        <v>0</v>
      </c>
    </row>
    <row r="238" ht="15.75" hidden="1" customHeight="1" outlineLevel="1">
      <c r="A238" s="141" t="s">
        <v>1049</v>
      </c>
    </row>
    <row r="239" ht="15.75" hidden="1" customHeight="1" outlineLevel="1">
      <c r="A239" s="142" t="s">
        <v>896</v>
      </c>
      <c r="B239" s="213">
        <f t="shared" ref="B239:M239" si="89">MAX(0,$B$61*$B$7-B$25-B$24)</f>
        <v>20.11727855</v>
      </c>
      <c r="C239" s="213">
        <f t="shared" si="89"/>
        <v>0</v>
      </c>
      <c r="D239" s="213">
        <f t="shared" si="89"/>
        <v>110.7975425</v>
      </c>
      <c r="E239" s="213">
        <f t="shared" si="89"/>
        <v>1252.255441</v>
      </c>
      <c r="F239" s="213">
        <f t="shared" si="89"/>
        <v>1433.548334</v>
      </c>
      <c r="G239" s="213">
        <f t="shared" si="89"/>
        <v>0</v>
      </c>
      <c r="H239" s="213">
        <f t="shared" si="89"/>
        <v>994.1950338</v>
      </c>
      <c r="I239" s="213">
        <f t="shared" si="89"/>
        <v>1010.84327</v>
      </c>
      <c r="J239" s="213">
        <f t="shared" si="89"/>
        <v>625.213722</v>
      </c>
      <c r="K239" s="213">
        <f t="shared" si="89"/>
        <v>723.4964145</v>
      </c>
      <c r="L239" s="213">
        <f t="shared" si="89"/>
        <v>0</v>
      </c>
      <c r="M239" s="213">
        <f t="shared" si="89"/>
        <v>0</v>
      </c>
    </row>
    <row r="240" ht="15.75" hidden="1" customHeight="1" outlineLevel="1">
      <c r="A240" s="142" t="s">
        <v>897</v>
      </c>
      <c r="B240" s="213">
        <f t="shared" ref="B240:M240" si="90">MAX(0,B$24-($B$61*($B$7+$B$8)-B$25))</f>
        <v>0</v>
      </c>
      <c r="C240" s="213">
        <f t="shared" si="90"/>
        <v>0</v>
      </c>
      <c r="D240" s="213">
        <f t="shared" si="90"/>
        <v>0</v>
      </c>
      <c r="E240" s="213">
        <f t="shared" si="90"/>
        <v>0</v>
      </c>
      <c r="F240" s="213">
        <f t="shared" si="90"/>
        <v>0</v>
      </c>
      <c r="G240" s="213">
        <f t="shared" si="90"/>
        <v>0</v>
      </c>
      <c r="H240" s="213">
        <f t="shared" si="90"/>
        <v>0</v>
      </c>
      <c r="I240" s="213">
        <f t="shared" si="90"/>
        <v>0</v>
      </c>
      <c r="J240" s="213">
        <f t="shared" si="90"/>
        <v>0</v>
      </c>
      <c r="K240" s="213">
        <f t="shared" si="90"/>
        <v>0</v>
      </c>
      <c r="L240" s="213">
        <f t="shared" si="90"/>
        <v>243.75543</v>
      </c>
      <c r="M240" s="213">
        <f t="shared" si="90"/>
        <v>0</v>
      </c>
    </row>
    <row r="241" ht="15.75" hidden="1" customHeight="1" outlineLevel="1">
      <c r="A241" s="142" t="s">
        <v>898</v>
      </c>
      <c r="B241" s="213">
        <f t="shared" ref="B241:M241" si="91">MIN(B240,B$21)</f>
        <v>0</v>
      </c>
      <c r="C241" s="213">
        <f t="shared" si="91"/>
        <v>0</v>
      </c>
      <c r="D241" s="213">
        <f t="shared" si="91"/>
        <v>0</v>
      </c>
      <c r="E241" s="213">
        <f t="shared" si="91"/>
        <v>0</v>
      </c>
      <c r="F241" s="213">
        <f t="shared" si="91"/>
        <v>0</v>
      </c>
      <c r="G241" s="213">
        <f t="shared" si="91"/>
        <v>0</v>
      </c>
      <c r="H241" s="213">
        <f t="shared" si="91"/>
        <v>0</v>
      </c>
      <c r="I241" s="213">
        <f t="shared" si="91"/>
        <v>0</v>
      </c>
      <c r="J241" s="213">
        <f t="shared" si="91"/>
        <v>0</v>
      </c>
      <c r="K241" s="213">
        <f t="shared" si="91"/>
        <v>0</v>
      </c>
      <c r="L241" s="213">
        <f t="shared" si="91"/>
        <v>243.75543</v>
      </c>
      <c r="M241" s="213">
        <f t="shared" si="91"/>
        <v>0</v>
      </c>
    </row>
    <row r="242" ht="15.75" hidden="1" customHeight="1" outlineLevel="1">
      <c r="A242" s="142" t="s">
        <v>900</v>
      </c>
      <c r="B242" s="213">
        <f t="shared" ref="B242:L242" si="92">MAX(0,C242-B239)+B241</f>
        <v>0</v>
      </c>
      <c r="C242" s="213">
        <f t="shared" si="92"/>
        <v>0</v>
      </c>
      <c r="D242" s="213">
        <f t="shared" si="92"/>
        <v>0</v>
      </c>
      <c r="E242" s="213">
        <f t="shared" si="92"/>
        <v>0</v>
      </c>
      <c r="F242" s="213">
        <f t="shared" si="92"/>
        <v>0</v>
      </c>
      <c r="G242" s="213">
        <f t="shared" si="92"/>
        <v>0</v>
      </c>
      <c r="H242" s="213">
        <f t="shared" si="92"/>
        <v>0</v>
      </c>
      <c r="I242" s="213">
        <f t="shared" si="92"/>
        <v>0</v>
      </c>
      <c r="J242" s="213">
        <f t="shared" si="92"/>
        <v>0</v>
      </c>
      <c r="K242" s="213">
        <f t="shared" si="92"/>
        <v>0</v>
      </c>
      <c r="L242" s="213">
        <f t="shared" si="92"/>
        <v>243.75543</v>
      </c>
      <c r="M242" s="213">
        <f>M241</f>
        <v>0</v>
      </c>
    </row>
    <row r="243" ht="15.75" hidden="1" customHeight="1" outlineLevel="1">
      <c r="A243" s="142" t="s">
        <v>901</v>
      </c>
      <c r="B243" s="213">
        <f t="shared" ref="B243:L243" si="93">MIN(B239,C242)</f>
        <v>0</v>
      </c>
      <c r="C243" s="213">
        <f t="shared" si="93"/>
        <v>0</v>
      </c>
      <c r="D243" s="213">
        <f t="shared" si="93"/>
        <v>0</v>
      </c>
      <c r="E243" s="213">
        <f t="shared" si="93"/>
        <v>0</v>
      </c>
      <c r="F243" s="213">
        <f t="shared" si="93"/>
        <v>0</v>
      </c>
      <c r="G243" s="213">
        <f t="shared" si="93"/>
        <v>0</v>
      </c>
      <c r="H243" s="213">
        <f t="shared" si="93"/>
        <v>0</v>
      </c>
      <c r="I243" s="213">
        <f t="shared" si="93"/>
        <v>0</v>
      </c>
      <c r="J243" s="213">
        <f t="shared" si="93"/>
        <v>0</v>
      </c>
      <c r="K243" s="213">
        <f t="shared" si="93"/>
        <v>243.75543</v>
      </c>
      <c r="L243" s="213">
        <f t="shared" si="93"/>
        <v>0</v>
      </c>
      <c r="M243" s="213">
        <f>0</f>
        <v>0</v>
      </c>
    </row>
    <row r="244" ht="15.75" hidden="1" customHeight="1" outlineLevel="1">
      <c r="A244" s="142" t="s">
        <v>906</v>
      </c>
      <c r="B244" s="237">
        <f t="shared" ref="B244:M244" si="94">$B$16*(B$36+(B243-B241)*$B$14)/$B$15</f>
        <v>0.6484846342</v>
      </c>
      <c r="C244" s="237">
        <f t="shared" si="94"/>
        <v>0.6061122633</v>
      </c>
      <c r="D244" s="237">
        <f t="shared" si="94"/>
        <v>0.5795834119</v>
      </c>
      <c r="E244" s="237">
        <f t="shared" si="94"/>
        <v>0.5423692287</v>
      </c>
      <c r="F244" s="237">
        <f t="shared" si="94"/>
        <v>0.5316838968</v>
      </c>
      <c r="G244" s="237">
        <f t="shared" si="94"/>
        <v>0.5688980801</v>
      </c>
      <c r="H244" s="237">
        <f t="shared" si="94"/>
        <v>0.5688980801</v>
      </c>
      <c r="I244" s="237">
        <f t="shared" si="94"/>
        <v>0.5688980801</v>
      </c>
      <c r="J244" s="237">
        <f t="shared" si="94"/>
        <v>0.5582127482</v>
      </c>
      <c r="K244" s="237">
        <f t="shared" si="94"/>
        <v>0.5921358358</v>
      </c>
      <c r="L244" s="237">
        <f t="shared" si="94"/>
        <v>0.8271613141</v>
      </c>
      <c r="M244" s="237">
        <f t="shared" si="94"/>
        <v>0.8503990699</v>
      </c>
    </row>
    <row r="245" ht="15.75" hidden="1" customHeight="1" outlineLevel="1">
      <c r="A245" s="142" t="s">
        <v>907</v>
      </c>
      <c r="B245" s="213">
        <f t="shared" ref="B245:M245" si="95">IF(B243&gt;0,1,0)</f>
        <v>0</v>
      </c>
      <c r="C245" s="213">
        <f t="shared" si="95"/>
        <v>0</v>
      </c>
      <c r="D245" s="213">
        <f t="shared" si="95"/>
        <v>0</v>
      </c>
      <c r="E245" s="213">
        <f t="shared" si="95"/>
        <v>0</v>
      </c>
      <c r="F245" s="213">
        <f t="shared" si="95"/>
        <v>0</v>
      </c>
      <c r="G245" s="213">
        <f t="shared" si="95"/>
        <v>0</v>
      </c>
      <c r="H245" s="213">
        <f t="shared" si="95"/>
        <v>0</v>
      </c>
      <c r="I245" s="213">
        <f t="shared" si="95"/>
        <v>0</v>
      </c>
      <c r="J245" s="213">
        <f t="shared" si="95"/>
        <v>0</v>
      </c>
      <c r="K245" s="213">
        <f t="shared" si="95"/>
        <v>1</v>
      </c>
      <c r="L245" s="213">
        <f t="shared" si="95"/>
        <v>0</v>
      </c>
      <c r="M245" s="213">
        <f t="shared" si="95"/>
        <v>0</v>
      </c>
    </row>
    <row r="246" ht="15.75" hidden="1" customHeight="1" outlineLevel="1">
      <c r="A246" s="141" t="s">
        <v>1050</v>
      </c>
    </row>
    <row r="247" ht="15.75" hidden="1" customHeight="1" outlineLevel="1">
      <c r="A247" s="142" t="s">
        <v>896</v>
      </c>
      <c r="B247" s="213">
        <f t="shared" ref="B247:M247" si="96">MAX(0,$B$62*$B$7-B$25-B$24)</f>
        <v>0</v>
      </c>
      <c r="C247" s="213">
        <f t="shared" si="96"/>
        <v>0</v>
      </c>
      <c r="D247" s="213">
        <f t="shared" si="96"/>
        <v>0</v>
      </c>
      <c r="E247" s="213">
        <f t="shared" si="96"/>
        <v>1121.305441</v>
      </c>
      <c r="F247" s="213">
        <f t="shared" si="96"/>
        <v>1302.598334</v>
      </c>
      <c r="G247" s="213">
        <f t="shared" si="96"/>
        <v>0</v>
      </c>
      <c r="H247" s="213">
        <f t="shared" si="96"/>
        <v>863.2450338</v>
      </c>
      <c r="I247" s="213">
        <f t="shared" si="96"/>
        <v>879.8932695</v>
      </c>
      <c r="J247" s="213">
        <f t="shared" si="96"/>
        <v>494.263722</v>
      </c>
      <c r="K247" s="213">
        <f t="shared" si="96"/>
        <v>592.5464145</v>
      </c>
      <c r="L247" s="213">
        <f t="shared" si="96"/>
        <v>0</v>
      </c>
      <c r="M247" s="213">
        <f t="shared" si="96"/>
        <v>0</v>
      </c>
    </row>
    <row r="248" ht="15.75" hidden="1" customHeight="1" outlineLevel="1">
      <c r="A248" s="142" t="s">
        <v>897</v>
      </c>
      <c r="B248" s="213">
        <f t="shared" ref="B248:M248" si="97">MAX(0,B$24-($B$62*($B$7+$B$8)-B$25))</f>
        <v>0</v>
      </c>
      <c r="C248" s="213">
        <f t="shared" si="97"/>
        <v>0</v>
      </c>
      <c r="D248" s="213">
        <f t="shared" si="97"/>
        <v>0</v>
      </c>
      <c r="E248" s="213">
        <f t="shared" si="97"/>
        <v>0</v>
      </c>
      <c r="F248" s="213">
        <f t="shared" si="97"/>
        <v>0</v>
      </c>
      <c r="G248" s="213">
        <f t="shared" si="97"/>
        <v>0</v>
      </c>
      <c r="H248" s="213">
        <f t="shared" si="97"/>
        <v>0</v>
      </c>
      <c r="I248" s="213">
        <f t="shared" si="97"/>
        <v>0</v>
      </c>
      <c r="J248" s="213">
        <f t="shared" si="97"/>
        <v>0</v>
      </c>
      <c r="K248" s="213">
        <f t="shared" si="97"/>
        <v>0</v>
      </c>
      <c r="L248" s="213">
        <f t="shared" si="97"/>
        <v>399.70543</v>
      </c>
      <c r="M248" s="213">
        <f t="shared" si="97"/>
        <v>0</v>
      </c>
    </row>
    <row r="249" ht="15.75" hidden="1" customHeight="1" outlineLevel="1">
      <c r="A249" s="142" t="s">
        <v>898</v>
      </c>
      <c r="B249" s="213">
        <f t="shared" ref="B249:M249" si="98">MIN(B248,B$21)</f>
        <v>0</v>
      </c>
      <c r="C249" s="213">
        <f t="shared" si="98"/>
        <v>0</v>
      </c>
      <c r="D249" s="213">
        <f t="shared" si="98"/>
        <v>0</v>
      </c>
      <c r="E249" s="213">
        <f t="shared" si="98"/>
        <v>0</v>
      </c>
      <c r="F249" s="213">
        <f t="shared" si="98"/>
        <v>0</v>
      </c>
      <c r="G249" s="213">
        <f t="shared" si="98"/>
        <v>0</v>
      </c>
      <c r="H249" s="213">
        <f t="shared" si="98"/>
        <v>0</v>
      </c>
      <c r="I249" s="213">
        <f t="shared" si="98"/>
        <v>0</v>
      </c>
      <c r="J249" s="213">
        <f t="shared" si="98"/>
        <v>0</v>
      </c>
      <c r="K249" s="213">
        <f t="shared" si="98"/>
        <v>0</v>
      </c>
      <c r="L249" s="213">
        <f t="shared" si="98"/>
        <v>399.70543</v>
      </c>
      <c r="M249" s="213">
        <f t="shared" si="98"/>
        <v>0</v>
      </c>
    </row>
    <row r="250" ht="15.75" hidden="1" customHeight="1" outlineLevel="1">
      <c r="A250" s="142" t="s">
        <v>900</v>
      </c>
      <c r="B250" s="213">
        <f t="shared" ref="B250:L250" si="99">MAX(0,C250-B247)+B249</f>
        <v>0</v>
      </c>
      <c r="C250" s="213">
        <f t="shared" si="99"/>
        <v>0</v>
      </c>
      <c r="D250" s="213">
        <f t="shared" si="99"/>
        <v>0</v>
      </c>
      <c r="E250" s="213">
        <f t="shared" si="99"/>
        <v>0</v>
      </c>
      <c r="F250" s="213">
        <f t="shared" si="99"/>
        <v>0</v>
      </c>
      <c r="G250" s="213">
        <f t="shared" si="99"/>
        <v>0</v>
      </c>
      <c r="H250" s="213">
        <f t="shared" si="99"/>
        <v>0</v>
      </c>
      <c r="I250" s="213">
        <f t="shared" si="99"/>
        <v>0</v>
      </c>
      <c r="J250" s="213">
        <f t="shared" si="99"/>
        <v>0</v>
      </c>
      <c r="K250" s="213">
        <f t="shared" si="99"/>
        <v>0</v>
      </c>
      <c r="L250" s="213">
        <f t="shared" si="99"/>
        <v>399.70543</v>
      </c>
      <c r="M250" s="213">
        <f>M249</f>
        <v>0</v>
      </c>
    </row>
    <row r="251" ht="15.75" hidden="1" customHeight="1" outlineLevel="1">
      <c r="A251" s="142" t="s">
        <v>901</v>
      </c>
      <c r="B251" s="213">
        <f t="shared" ref="B251:L251" si="100">MIN(B247,C250)</f>
        <v>0</v>
      </c>
      <c r="C251" s="213">
        <f t="shared" si="100"/>
        <v>0</v>
      </c>
      <c r="D251" s="213">
        <f t="shared" si="100"/>
        <v>0</v>
      </c>
      <c r="E251" s="213">
        <f t="shared" si="100"/>
        <v>0</v>
      </c>
      <c r="F251" s="213">
        <f t="shared" si="100"/>
        <v>0</v>
      </c>
      <c r="G251" s="213">
        <f t="shared" si="100"/>
        <v>0</v>
      </c>
      <c r="H251" s="213">
        <f t="shared" si="100"/>
        <v>0</v>
      </c>
      <c r="I251" s="213">
        <f t="shared" si="100"/>
        <v>0</v>
      </c>
      <c r="J251" s="213">
        <f t="shared" si="100"/>
        <v>0</v>
      </c>
      <c r="K251" s="213">
        <f t="shared" si="100"/>
        <v>399.70543</v>
      </c>
      <c r="L251" s="213">
        <f t="shared" si="100"/>
        <v>0</v>
      </c>
      <c r="M251" s="213">
        <f>0</f>
        <v>0</v>
      </c>
    </row>
    <row r="252" ht="15.75" hidden="1" customHeight="1" outlineLevel="1">
      <c r="A252" s="142" t="s">
        <v>906</v>
      </c>
      <c r="B252" s="237">
        <f t="shared" ref="B252:M252" si="101">$B$16*(B$36+(B251-B249)*$B$14)/$B$15</f>
        <v>0.6484846342</v>
      </c>
      <c r="C252" s="237">
        <f t="shared" si="101"/>
        <v>0.6061122633</v>
      </c>
      <c r="D252" s="237">
        <f t="shared" si="101"/>
        <v>0.5795834119</v>
      </c>
      <c r="E252" s="237">
        <f t="shared" si="101"/>
        <v>0.5423692287</v>
      </c>
      <c r="F252" s="237">
        <f t="shared" si="101"/>
        <v>0.5316838968</v>
      </c>
      <c r="G252" s="237">
        <f t="shared" si="101"/>
        <v>0.5688980801</v>
      </c>
      <c r="H252" s="237">
        <f t="shared" si="101"/>
        <v>0.5688980801</v>
      </c>
      <c r="I252" s="237">
        <f t="shared" si="101"/>
        <v>0.5688980801</v>
      </c>
      <c r="J252" s="237">
        <f t="shared" si="101"/>
        <v>0.5582127482</v>
      </c>
      <c r="K252" s="237">
        <f t="shared" si="101"/>
        <v>0.6206754381</v>
      </c>
      <c r="L252" s="237">
        <f t="shared" si="101"/>
        <v>0.7986217119</v>
      </c>
      <c r="M252" s="237">
        <f t="shared" si="101"/>
        <v>0.8503990699</v>
      </c>
    </row>
    <row r="253" ht="15.75" hidden="1" customHeight="1" outlineLevel="1">
      <c r="A253" s="142" t="s">
        <v>907</v>
      </c>
      <c r="B253" s="213">
        <f t="shared" ref="B253:M253" si="102">IF(B251&gt;0,1,0)</f>
        <v>0</v>
      </c>
      <c r="C253" s="213">
        <f t="shared" si="102"/>
        <v>0</v>
      </c>
      <c r="D253" s="213">
        <f t="shared" si="102"/>
        <v>0</v>
      </c>
      <c r="E253" s="213">
        <f t="shared" si="102"/>
        <v>0</v>
      </c>
      <c r="F253" s="213">
        <f t="shared" si="102"/>
        <v>0</v>
      </c>
      <c r="G253" s="213">
        <f t="shared" si="102"/>
        <v>0</v>
      </c>
      <c r="H253" s="213">
        <f t="shared" si="102"/>
        <v>0</v>
      </c>
      <c r="I253" s="213">
        <f t="shared" si="102"/>
        <v>0</v>
      </c>
      <c r="J253" s="213">
        <f t="shared" si="102"/>
        <v>0</v>
      </c>
      <c r="K253" s="213">
        <f t="shared" si="102"/>
        <v>1</v>
      </c>
      <c r="L253" s="213">
        <f t="shared" si="102"/>
        <v>0</v>
      </c>
      <c r="M253" s="213">
        <f t="shared" si="102"/>
        <v>0</v>
      </c>
    </row>
    <row r="254" ht="15.75" hidden="1" customHeight="1" outlineLevel="1">
      <c r="A254" s="141" t="s">
        <v>1051</v>
      </c>
    </row>
    <row r="255" ht="15.75" hidden="1" customHeight="1" outlineLevel="1">
      <c r="A255" s="142" t="s">
        <v>896</v>
      </c>
      <c r="B255" s="213">
        <f t="shared" ref="B255:M255" si="103">MAX(0,$B$63*$B$7-B$25-B$24)</f>
        <v>0</v>
      </c>
      <c r="C255" s="213">
        <f t="shared" si="103"/>
        <v>0</v>
      </c>
      <c r="D255" s="213">
        <f t="shared" si="103"/>
        <v>0</v>
      </c>
      <c r="E255" s="213">
        <f t="shared" si="103"/>
        <v>990.3554407</v>
      </c>
      <c r="F255" s="213">
        <f t="shared" si="103"/>
        <v>1171.648334</v>
      </c>
      <c r="G255" s="213">
        <f t="shared" si="103"/>
        <v>0</v>
      </c>
      <c r="H255" s="213">
        <f t="shared" si="103"/>
        <v>732.2950338</v>
      </c>
      <c r="I255" s="213">
        <f t="shared" si="103"/>
        <v>748.9432695</v>
      </c>
      <c r="J255" s="213">
        <f t="shared" si="103"/>
        <v>363.313722</v>
      </c>
      <c r="K255" s="213">
        <f t="shared" si="103"/>
        <v>461.5964145</v>
      </c>
      <c r="L255" s="213">
        <f t="shared" si="103"/>
        <v>0</v>
      </c>
      <c r="M255" s="213">
        <f t="shared" si="103"/>
        <v>0</v>
      </c>
    </row>
    <row r="256" ht="15.75" hidden="1" customHeight="1" outlineLevel="1">
      <c r="A256" s="142" t="s">
        <v>897</v>
      </c>
      <c r="B256" s="213">
        <f t="shared" ref="B256:M256" si="104">MAX(0,B$24-($B$63*($B$7+$B$8)-B$25))</f>
        <v>0</v>
      </c>
      <c r="C256" s="213">
        <f t="shared" si="104"/>
        <v>0</v>
      </c>
      <c r="D256" s="213">
        <f t="shared" si="104"/>
        <v>0</v>
      </c>
      <c r="E256" s="213">
        <f t="shared" si="104"/>
        <v>0</v>
      </c>
      <c r="F256" s="213">
        <f t="shared" si="104"/>
        <v>0</v>
      </c>
      <c r="G256" s="213">
        <f t="shared" si="104"/>
        <v>0</v>
      </c>
      <c r="H256" s="213">
        <f t="shared" si="104"/>
        <v>0</v>
      </c>
      <c r="I256" s="213">
        <f t="shared" si="104"/>
        <v>0</v>
      </c>
      <c r="J256" s="213">
        <f t="shared" si="104"/>
        <v>0</v>
      </c>
      <c r="K256" s="213">
        <f t="shared" si="104"/>
        <v>0</v>
      </c>
      <c r="L256" s="213">
        <f t="shared" si="104"/>
        <v>555.65543</v>
      </c>
      <c r="M256" s="213">
        <f t="shared" si="104"/>
        <v>0</v>
      </c>
    </row>
    <row r="257" ht="15.75" hidden="1" customHeight="1" outlineLevel="1">
      <c r="A257" s="142" t="s">
        <v>898</v>
      </c>
      <c r="B257" s="213">
        <f t="shared" ref="B257:M257" si="105">MIN(B256,B$21)</f>
        <v>0</v>
      </c>
      <c r="C257" s="213">
        <f t="shared" si="105"/>
        <v>0</v>
      </c>
      <c r="D257" s="213">
        <f t="shared" si="105"/>
        <v>0</v>
      </c>
      <c r="E257" s="213">
        <f t="shared" si="105"/>
        <v>0</v>
      </c>
      <c r="F257" s="213">
        <f t="shared" si="105"/>
        <v>0</v>
      </c>
      <c r="G257" s="213">
        <f t="shared" si="105"/>
        <v>0</v>
      </c>
      <c r="H257" s="213">
        <f t="shared" si="105"/>
        <v>0</v>
      </c>
      <c r="I257" s="213">
        <f t="shared" si="105"/>
        <v>0</v>
      </c>
      <c r="J257" s="213">
        <f t="shared" si="105"/>
        <v>0</v>
      </c>
      <c r="K257" s="213">
        <f t="shared" si="105"/>
        <v>0</v>
      </c>
      <c r="L257" s="213">
        <f t="shared" si="105"/>
        <v>555.65543</v>
      </c>
      <c r="M257" s="213">
        <f t="shared" si="105"/>
        <v>0</v>
      </c>
    </row>
    <row r="258" ht="15.75" hidden="1" customHeight="1" outlineLevel="1">
      <c r="A258" s="142" t="s">
        <v>900</v>
      </c>
      <c r="B258" s="213">
        <f t="shared" ref="B258:L258" si="106">MAX(0,C258-B255)+B257</f>
        <v>0</v>
      </c>
      <c r="C258" s="213">
        <f t="shared" si="106"/>
        <v>0</v>
      </c>
      <c r="D258" s="213">
        <f t="shared" si="106"/>
        <v>0</v>
      </c>
      <c r="E258" s="213">
        <f t="shared" si="106"/>
        <v>0</v>
      </c>
      <c r="F258" s="213">
        <f t="shared" si="106"/>
        <v>0</v>
      </c>
      <c r="G258" s="213">
        <f t="shared" si="106"/>
        <v>0</v>
      </c>
      <c r="H258" s="213">
        <f t="shared" si="106"/>
        <v>0</v>
      </c>
      <c r="I258" s="213">
        <f t="shared" si="106"/>
        <v>0</v>
      </c>
      <c r="J258" s="213">
        <f t="shared" si="106"/>
        <v>0</v>
      </c>
      <c r="K258" s="213">
        <f t="shared" si="106"/>
        <v>94.05901551</v>
      </c>
      <c r="L258" s="213">
        <f t="shared" si="106"/>
        <v>555.65543</v>
      </c>
      <c r="M258" s="213">
        <f>M257</f>
        <v>0</v>
      </c>
    </row>
    <row r="259" ht="15.75" hidden="1" customHeight="1" outlineLevel="1">
      <c r="A259" s="142" t="s">
        <v>901</v>
      </c>
      <c r="B259" s="213">
        <f t="shared" ref="B259:L259" si="107">MIN(B255,C258)</f>
        <v>0</v>
      </c>
      <c r="C259" s="213">
        <f t="shared" si="107"/>
        <v>0</v>
      </c>
      <c r="D259" s="213">
        <f t="shared" si="107"/>
        <v>0</v>
      </c>
      <c r="E259" s="213">
        <f t="shared" si="107"/>
        <v>0</v>
      </c>
      <c r="F259" s="213">
        <f t="shared" si="107"/>
        <v>0</v>
      </c>
      <c r="G259" s="213">
        <f t="shared" si="107"/>
        <v>0</v>
      </c>
      <c r="H259" s="213">
        <f t="shared" si="107"/>
        <v>0</v>
      </c>
      <c r="I259" s="213">
        <f t="shared" si="107"/>
        <v>0</v>
      </c>
      <c r="J259" s="213">
        <f t="shared" si="107"/>
        <v>94.05901551</v>
      </c>
      <c r="K259" s="213">
        <f t="shared" si="107"/>
        <v>461.5964145</v>
      </c>
      <c r="L259" s="213">
        <f t="shared" si="107"/>
        <v>0</v>
      </c>
      <c r="M259" s="213">
        <f>0</f>
        <v>0</v>
      </c>
    </row>
    <row r="260" ht="15.75" hidden="1" customHeight="1" outlineLevel="1">
      <c r="A260" s="142" t="s">
        <v>906</v>
      </c>
      <c r="B260" s="237">
        <f t="shared" ref="B260:M260" si="108">$B$16*(B$36+(B259-B257)*$B$14)/$B$15</f>
        <v>0.6484846342</v>
      </c>
      <c r="C260" s="237">
        <f t="shared" si="108"/>
        <v>0.6061122633</v>
      </c>
      <c r="D260" s="237">
        <f t="shared" si="108"/>
        <v>0.5795834119</v>
      </c>
      <c r="E260" s="237">
        <f t="shared" si="108"/>
        <v>0.5423692287</v>
      </c>
      <c r="F260" s="237">
        <f t="shared" si="108"/>
        <v>0.5316838968</v>
      </c>
      <c r="G260" s="237">
        <f t="shared" si="108"/>
        <v>0.5688980801</v>
      </c>
      <c r="H260" s="237">
        <f t="shared" si="108"/>
        <v>0.5688980801</v>
      </c>
      <c r="I260" s="237">
        <f t="shared" si="108"/>
        <v>0.5688980801</v>
      </c>
      <c r="J260" s="237">
        <f t="shared" si="108"/>
        <v>0.5754260018</v>
      </c>
      <c r="K260" s="237">
        <f t="shared" si="108"/>
        <v>0.6320017867</v>
      </c>
      <c r="L260" s="237">
        <f t="shared" si="108"/>
        <v>0.7700821097</v>
      </c>
      <c r="M260" s="237">
        <f t="shared" si="108"/>
        <v>0.8503990699</v>
      </c>
    </row>
    <row r="261" ht="15.75" hidden="1" customHeight="1" outlineLevel="1">
      <c r="A261" s="142" t="s">
        <v>907</v>
      </c>
      <c r="B261" s="213">
        <f t="shared" ref="B261:M261" si="109">IF(B259&gt;0,1,0)</f>
        <v>0</v>
      </c>
      <c r="C261" s="213">
        <f t="shared" si="109"/>
        <v>0</v>
      </c>
      <c r="D261" s="213">
        <f t="shared" si="109"/>
        <v>0</v>
      </c>
      <c r="E261" s="213">
        <f t="shared" si="109"/>
        <v>0</v>
      </c>
      <c r="F261" s="213">
        <f t="shared" si="109"/>
        <v>0</v>
      </c>
      <c r="G261" s="213">
        <f t="shared" si="109"/>
        <v>0</v>
      </c>
      <c r="H261" s="213">
        <f t="shared" si="109"/>
        <v>0</v>
      </c>
      <c r="I261" s="213">
        <f t="shared" si="109"/>
        <v>0</v>
      </c>
      <c r="J261" s="213">
        <f t="shared" si="109"/>
        <v>1</v>
      </c>
      <c r="K261" s="213">
        <f t="shared" si="109"/>
        <v>1</v>
      </c>
      <c r="L261" s="213">
        <f t="shared" si="109"/>
        <v>0</v>
      </c>
      <c r="M261" s="213">
        <f t="shared" si="109"/>
        <v>0</v>
      </c>
    </row>
    <row r="262" ht="15.75" hidden="1" customHeight="1" outlineLevel="1">
      <c r="A262" s="141" t="s">
        <v>1052</v>
      </c>
    </row>
    <row r="263" ht="15.75" hidden="1" customHeight="1" outlineLevel="1">
      <c r="A263" s="142" t="s">
        <v>896</v>
      </c>
      <c r="B263" s="213">
        <f t="shared" ref="B263:M263" si="110">MAX(0,$B$64*$B$7-B$25-B$24)</f>
        <v>0</v>
      </c>
      <c r="C263" s="213">
        <f t="shared" si="110"/>
        <v>0</v>
      </c>
      <c r="D263" s="213">
        <f t="shared" si="110"/>
        <v>0</v>
      </c>
      <c r="E263" s="213">
        <f t="shared" si="110"/>
        <v>859.4054407</v>
      </c>
      <c r="F263" s="213">
        <f t="shared" si="110"/>
        <v>1040.698334</v>
      </c>
      <c r="G263" s="213">
        <f t="shared" si="110"/>
        <v>0</v>
      </c>
      <c r="H263" s="213">
        <f t="shared" si="110"/>
        <v>601.3450338</v>
      </c>
      <c r="I263" s="213">
        <f t="shared" si="110"/>
        <v>617.9932695</v>
      </c>
      <c r="J263" s="213">
        <f t="shared" si="110"/>
        <v>232.363722</v>
      </c>
      <c r="K263" s="213">
        <f t="shared" si="110"/>
        <v>330.6464145</v>
      </c>
      <c r="L263" s="213">
        <f t="shared" si="110"/>
        <v>0</v>
      </c>
      <c r="M263" s="213">
        <f t="shared" si="110"/>
        <v>0</v>
      </c>
    </row>
    <row r="264" ht="15.75" hidden="1" customHeight="1" outlineLevel="1">
      <c r="A264" s="142" t="s">
        <v>897</v>
      </c>
      <c r="B264" s="213">
        <f t="shared" ref="B264:M264" si="111">MAX(0,B$24-($B$64*($B$7+$B$8)-B$25))</f>
        <v>0</v>
      </c>
      <c r="C264" s="213">
        <f t="shared" si="111"/>
        <v>0</v>
      </c>
      <c r="D264" s="213">
        <f t="shared" si="111"/>
        <v>0</v>
      </c>
      <c r="E264" s="213">
        <f t="shared" si="111"/>
        <v>0</v>
      </c>
      <c r="F264" s="213">
        <f t="shared" si="111"/>
        <v>0</v>
      </c>
      <c r="G264" s="213">
        <f t="shared" si="111"/>
        <v>0</v>
      </c>
      <c r="H264" s="213">
        <f t="shared" si="111"/>
        <v>0</v>
      </c>
      <c r="I264" s="213">
        <f t="shared" si="111"/>
        <v>0</v>
      </c>
      <c r="J264" s="213">
        <f t="shared" si="111"/>
        <v>0</v>
      </c>
      <c r="K264" s="213">
        <f t="shared" si="111"/>
        <v>0</v>
      </c>
      <c r="L264" s="213">
        <f t="shared" si="111"/>
        <v>711.60543</v>
      </c>
      <c r="M264" s="213">
        <f t="shared" si="111"/>
        <v>16.73053709</v>
      </c>
    </row>
    <row r="265" ht="15.75" hidden="1" customHeight="1" outlineLevel="1">
      <c r="A265" s="142" t="s">
        <v>898</v>
      </c>
      <c r="B265" s="213">
        <f t="shared" ref="B265:M265" si="112">MIN(B264,B$21)</f>
        <v>0</v>
      </c>
      <c r="C265" s="213">
        <f t="shared" si="112"/>
        <v>0</v>
      </c>
      <c r="D265" s="213">
        <f t="shared" si="112"/>
        <v>0</v>
      </c>
      <c r="E265" s="213">
        <f t="shared" si="112"/>
        <v>0</v>
      </c>
      <c r="F265" s="213">
        <f t="shared" si="112"/>
        <v>0</v>
      </c>
      <c r="G265" s="213">
        <f t="shared" si="112"/>
        <v>0</v>
      </c>
      <c r="H265" s="213">
        <f t="shared" si="112"/>
        <v>0</v>
      </c>
      <c r="I265" s="213">
        <f t="shared" si="112"/>
        <v>0</v>
      </c>
      <c r="J265" s="213">
        <f t="shared" si="112"/>
        <v>0</v>
      </c>
      <c r="K265" s="213">
        <f t="shared" si="112"/>
        <v>0</v>
      </c>
      <c r="L265" s="213">
        <f t="shared" si="112"/>
        <v>711.60543</v>
      </c>
      <c r="M265" s="213">
        <f t="shared" si="112"/>
        <v>16.73053709</v>
      </c>
    </row>
    <row r="266" ht="15.75" hidden="1" customHeight="1" outlineLevel="1">
      <c r="A266" s="142" t="s">
        <v>900</v>
      </c>
      <c r="B266" s="213">
        <f t="shared" ref="B266:L266" si="113">MAX(0,C266-B263)+B265</f>
        <v>0</v>
      </c>
      <c r="C266" s="213">
        <f t="shared" si="113"/>
        <v>0</v>
      </c>
      <c r="D266" s="213">
        <f t="shared" si="113"/>
        <v>0</v>
      </c>
      <c r="E266" s="213">
        <f t="shared" si="113"/>
        <v>0</v>
      </c>
      <c r="F266" s="213">
        <f t="shared" si="113"/>
        <v>0</v>
      </c>
      <c r="G266" s="213">
        <f t="shared" si="113"/>
        <v>0</v>
      </c>
      <c r="H266" s="213">
        <f t="shared" si="113"/>
        <v>0</v>
      </c>
      <c r="I266" s="213">
        <f t="shared" si="113"/>
        <v>0</v>
      </c>
      <c r="J266" s="213">
        <f t="shared" si="113"/>
        <v>165.3258306</v>
      </c>
      <c r="K266" s="213">
        <f t="shared" si="113"/>
        <v>397.6895526</v>
      </c>
      <c r="L266" s="213">
        <f t="shared" si="113"/>
        <v>728.3359671</v>
      </c>
      <c r="M266" s="213">
        <f>M265</f>
        <v>16.73053709</v>
      </c>
    </row>
    <row r="267" ht="15.75" hidden="1" customHeight="1" outlineLevel="1">
      <c r="A267" s="142" t="s">
        <v>901</v>
      </c>
      <c r="B267" s="213">
        <f t="shared" ref="B267:L267" si="114">MIN(B263,C266)</f>
        <v>0</v>
      </c>
      <c r="C267" s="213">
        <f t="shared" si="114"/>
        <v>0</v>
      </c>
      <c r="D267" s="213">
        <f t="shared" si="114"/>
        <v>0</v>
      </c>
      <c r="E267" s="213">
        <f t="shared" si="114"/>
        <v>0</v>
      </c>
      <c r="F267" s="213">
        <f t="shared" si="114"/>
        <v>0</v>
      </c>
      <c r="G267" s="213">
        <f t="shared" si="114"/>
        <v>0</v>
      </c>
      <c r="H267" s="213">
        <f t="shared" si="114"/>
        <v>0</v>
      </c>
      <c r="I267" s="213">
        <f t="shared" si="114"/>
        <v>165.3258306</v>
      </c>
      <c r="J267" s="213">
        <f t="shared" si="114"/>
        <v>232.363722</v>
      </c>
      <c r="K267" s="213">
        <f t="shared" si="114"/>
        <v>330.6464145</v>
      </c>
      <c r="L267" s="213">
        <f t="shared" si="114"/>
        <v>0</v>
      </c>
      <c r="M267" s="213">
        <f>0</f>
        <v>0</v>
      </c>
    </row>
    <row r="268" ht="15.75" hidden="1" customHeight="1" outlineLevel="1">
      <c r="A268" s="142" t="s">
        <v>906</v>
      </c>
      <c r="B268" s="237">
        <f t="shared" ref="B268:M268" si="115">$B$16*(B$36+(B267-B265)*$B$14)/$B$15</f>
        <v>0.6484846342</v>
      </c>
      <c r="C268" s="237">
        <f t="shared" si="115"/>
        <v>0.6061122633</v>
      </c>
      <c r="D268" s="237">
        <f t="shared" si="115"/>
        <v>0.5795834119</v>
      </c>
      <c r="E268" s="237">
        <f t="shared" si="115"/>
        <v>0.5423692287</v>
      </c>
      <c r="F268" s="237">
        <f t="shared" si="115"/>
        <v>0.5316838968</v>
      </c>
      <c r="G268" s="237">
        <f t="shared" si="115"/>
        <v>0.5688980801</v>
      </c>
      <c r="H268" s="237">
        <f t="shared" si="115"/>
        <v>0.5688980801</v>
      </c>
      <c r="I268" s="237">
        <f t="shared" si="115"/>
        <v>0.5991535045</v>
      </c>
      <c r="J268" s="237">
        <f t="shared" si="115"/>
        <v>0.6007364302</v>
      </c>
      <c r="K268" s="237">
        <f t="shared" si="115"/>
        <v>0.6080373051</v>
      </c>
      <c r="L268" s="237">
        <f t="shared" si="115"/>
        <v>0.7415425075</v>
      </c>
      <c r="M268" s="237">
        <f t="shared" si="115"/>
        <v>0.8473373009</v>
      </c>
    </row>
    <row r="269" ht="15.75" hidden="1" customHeight="1" outlineLevel="1">
      <c r="A269" s="142" t="s">
        <v>907</v>
      </c>
      <c r="B269" s="213">
        <f t="shared" ref="B269:M269" si="116">IF(B267&gt;0,1,0)</f>
        <v>0</v>
      </c>
      <c r="C269" s="213">
        <f t="shared" si="116"/>
        <v>0</v>
      </c>
      <c r="D269" s="213">
        <f t="shared" si="116"/>
        <v>0</v>
      </c>
      <c r="E269" s="213">
        <f t="shared" si="116"/>
        <v>0</v>
      </c>
      <c r="F269" s="213">
        <f t="shared" si="116"/>
        <v>0</v>
      </c>
      <c r="G269" s="213">
        <f t="shared" si="116"/>
        <v>0</v>
      </c>
      <c r="H269" s="213">
        <f t="shared" si="116"/>
        <v>0</v>
      </c>
      <c r="I269" s="213">
        <f t="shared" si="116"/>
        <v>1</v>
      </c>
      <c r="J269" s="213">
        <f t="shared" si="116"/>
        <v>1</v>
      </c>
      <c r="K269" s="213">
        <f t="shared" si="116"/>
        <v>1</v>
      </c>
      <c r="L269" s="213">
        <f t="shared" si="116"/>
        <v>0</v>
      </c>
      <c r="M269" s="213">
        <f t="shared" si="116"/>
        <v>0</v>
      </c>
    </row>
    <row r="270" ht="15.75" hidden="1" customHeight="1" outlineLevel="1">
      <c r="A270" s="141" t="s">
        <v>1053</v>
      </c>
    </row>
    <row r="271" ht="15.75" hidden="1" customHeight="1" outlineLevel="1">
      <c r="A271" s="142" t="s">
        <v>896</v>
      </c>
      <c r="B271" s="213">
        <f t="shared" ref="B271:M271" si="117">MAX(0,$B$65*$B$7-B$25-B$24)</f>
        <v>0</v>
      </c>
      <c r="C271" s="213">
        <f t="shared" si="117"/>
        <v>0</v>
      </c>
      <c r="D271" s="213">
        <f t="shared" si="117"/>
        <v>0</v>
      </c>
      <c r="E271" s="213">
        <f t="shared" si="117"/>
        <v>728.4554407</v>
      </c>
      <c r="F271" s="213">
        <f t="shared" si="117"/>
        <v>909.7483344</v>
      </c>
      <c r="G271" s="213">
        <f t="shared" si="117"/>
        <v>0</v>
      </c>
      <c r="H271" s="213">
        <f t="shared" si="117"/>
        <v>470.3950338</v>
      </c>
      <c r="I271" s="213">
        <f t="shared" si="117"/>
        <v>487.0432695</v>
      </c>
      <c r="J271" s="213">
        <f t="shared" si="117"/>
        <v>101.413722</v>
      </c>
      <c r="K271" s="213">
        <f t="shared" si="117"/>
        <v>199.6964145</v>
      </c>
      <c r="L271" s="213">
        <f t="shared" si="117"/>
        <v>0</v>
      </c>
      <c r="M271" s="213">
        <f t="shared" si="117"/>
        <v>0</v>
      </c>
    </row>
    <row r="272" ht="15.75" hidden="1" customHeight="1" outlineLevel="1">
      <c r="A272" s="142" t="s">
        <v>897</v>
      </c>
      <c r="B272" s="213">
        <f t="shared" ref="B272:M272" si="118">MAX(0,B$24-($B$65*($B$7+$B$8)-B$25))</f>
        <v>0</v>
      </c>
      <c r="C272" s="213">
        <f t="shared" si="118"/>
        <v>0</v>
      </c>
      <c r="D272" s="213">
        <f t="shared" si="118"/>
        <v>0</v>
      </c>
      <c r="E272" s="213">
        <f t="shared" si="118"/>
        <v>0</v>
      </c>
      <c r="F272" s="213">
        <f t="shared" si="118"/>
        <v>0</v>
      </c>
      <c r="G272" s="213">
        <f t="shared" si="118"/>
        <v>0</v>
      </c>
      <c r="H272" s="213">
        <f t="shared" si="118"/>
        <v>0</v>
      </c>
      <c r="I272" s="213">
        <f t="shared" si="118"/>
        <v>0</v>
      </c>
      <c r="J272" s="213">
        <f t="shared" si="118"/>
        <v>0</v>
      </c>
      <c r="K272" s="213">
        <f t="shared" si="118"/>
        <v>0</v>
      </c>
      <c r="L272" s="213">
        <f t="shared" si="118"/>
        <v>867.55543</v>
      </c>
      <c r="M272" s="213">
        <f t="shared" si="118"/>
        <v>172.6805371</v>
      </c>
    </row>
    <row r="273" ht="15.75" hidden="1" customHeight="1" outlineLevel="1">
      <c r="A273" s="142" t="s">
        <v>898</v>
      </c>
      <c r="B273" s="213">
        <f t="shared" ref="B273:M273" si="119">MIN(B272,B$21)</f>
        <v>0</v>
      </c>
      <c r="C273" s="213">
        <f t="shared" si="119"/>
        <v>0</v>
      </c>
      <c r="D273" s="213">
        <f t="shared" si="119"/>
        <v>0</v>
      </c>
      <c r="E273" s="213">
        <f t="shared" si="119"/>
        <v>0</v>
      </c>
      <c r="F273" s="213">
        <f t="shared" si="119"/>
        <v>0</v>
      </c>
      <c r="G273" s="213">
        <f t="shared" si="119"/>
        <v>0</v>
      </c>
      <c r="H273" s="213">
        <f t="shared" si="119"/>
        <v>0</v>
      </c>
      <c r="I273" s="213">
        <f t="shared" si="119"/>
        <v>0</v>
      </c>
      <c r="J273" s="213">
        <f t="shared" si="119"/>
        <v>0</v>
      </c>
      <c r="K273" s="213">
        <f t="shared" si="119"/>
        <v>0</v>
      </c>
      <c r="L273" s="213">
        <f t="shared" si="119"/>
        <v>867.55543</v>
      </c>
      <c r="M273" s="213">
        <f t="shared" si="119"/>
        <v>172.6805371</v>
      </c>
    </row>
    <row r="274" ht="15.75" hidden="1" customHeight="1" outlineLevel="1">
      <c r="A274" s="142" t="s">
        <v>900</v>
      </c>
      <c r="B274" s="213">
        <f t="shared" ref="B274:L274" si="120">MAX(0,C274-B271)+B273</f>
        <v>0</v>
      </c>
      <c r="C274" s="213">
        <f t="shared" si="120"/>
        <v>0</v>
      </c>
      <c r="D274" s="213">
        <f t="shared" si="120"/>
        <v>0</v>
      </c>
      <c r="E274" s="213">
        <f t="shared" si="120"/>
        <v>0</v>
      </c>
      <c r="F274" s="213">
        <f t="shared" si="120"/>
        <v>0</v>
      </c>
      <c r="G274" s="213">
        <f t="shared" si="120"/>
        <v>0</v>
      </c>
      <c r="H274" s="213">
        <f t="shared" si="120"/>
        <v>0</v>
      </c>
      <c r="I274" s="213">
        <f t="shared" si="120"/>
        <v>252.0825611</v>
      </c>
      <c r="J274" s="213">
        <f t="shared" si="120"/>
        <v>739.1258306</v>
      </c>
      <c r="K274" s="213">
        <f t="shared" si="120"/>
        <v>840.5395526</v>
      </c>
      <c r="L274" s="213">
        <f t="shared" si="120"/>
        <v>1040.235967</v>
      </c>
      <c r="M274" s="213">
        <f>M273</f>
        <v>172.6805371</v>
      </c>
    </row>
    <row r="275" ht="15.75" hidden="1" customHeight="1" outlineLevel="1">
      <c r="A275" s="142" t="s">
        <v>901</v>
      </c>
      <c r="B275" s="213">
        <f t="shared" ref="B275:L275" si="121">MIN(B271,C274)</f>
        <v>0</v>
      </c>
      <c r="C275" s="213">
        <f t="shared" si="121"/>
        <v>0</v>
      </c>
      <c r="D275" s="213">
        <f t="shared" si="121"/>
        <v>0</v>
      </c>
      <c r="E275" s="213">
        <f t="shared" si="121"/>
        <v>0</v>
      </c>
      <c r="F275" s="213">
        <f t="shared" si="121"/>
        <v>0</v>
      </c>
      <c r="G275" s="213">
        <f t="shared" si="121"/>
        <v>0</v>
      </c>
      <c r="H275" s="213">
        <f t="shared" si="121"/>
        <v>252.0825611</v>
      </c>
      <c r="I275" s="213">
        <f t="shared" si="121"/>
        <v>487.0432695</v>
      </c>
      <c r="J275" s="213">
        <f t="shared" si="121"/>
        <v>101.413722</v>
      </c>
      <c r="K275" s="213">
        <f t="shared" si="121"/>
        <v>199.6964145</v>
      </c>
      <c r="L275" s="213">
        <f t="shared" si="121"/>
        <v>0</v>
      </c>
      <c r="M275" s="213">
        <f>0</f>
        <v>0</v>
      </c>
    </row>
    <row r="276" ht="15.75" hidden="1" customHeight="1" outlineLevel="1">
      <c r="A276" s="142" t="s">
        <v>906</v>
      </c>
      <c r="B276" s="237">
        <f t="shared" ref="B276:M276" si="122">$B$16*(B$36+(B275-B273)*$B$14)/$B$15</f>
        <v>0.6484846342</v>
      </c>
      <c r="C276" s="237">
        <f t="shared" si="122"/>
        <v>0.6061122633</v>
      </c>
      <c r="D276" s="237">
        <f t="shared" si="122"/>
        <v>0.5795834119</v>
      </c>
      <c r="E276" s="237">
        <f t="shared" si="122"/>
        <v>0.5423692287</v>
      </c>
      <c r="F276" s="237">
        <f t="shared" si="122"/>
        <v>0.5316838968</v>
      </c>
      <c r="G276" s="237">
        <f t="shared" si="122"/>
        <v>0.5688980801</v>
      </c>
      <c r="H276" s="237">
        <f t="shared" si="122"/>
        <v>0.6150304046</v>
      </c>
      <c r="I276" s="237">
        <f t="shared" si="122"/>
        <v>0.6580293476</v>
      </c>
      <c r="J276" s="237">
        <f t="shared" si="122"/>
        <v>0.5767719485</v>
      </c>
      <c r="K276" s="237">
        <f t="shared" si="122"/>
        <v>0.5840728235</v>
      </c>
      <c r="L276" s="237">
        <f t="shared" si="122"/>
        <v>0.7130029053</v>
      </c>
      <c r="M276" s="237">
        <f t="shared" si="122"/>
        <v>0.8187976987</v>
      </c>
    </row>
    <row r="277" ht="15.75" hidden="1" customHeight="1" outlineLevel="1">
      <c r="A277" s="142" t="s">
        <v>907</v>
      </c>
      <c r="B277" s="213">
        <f t="shared" ref="B277:M277" si="123">IF(B275&gt;0,1,0)</f>
        <v>0</v>
      </c>
      <c r="C277" s="213">
        <f t="shared" si="123"/>
        <v>0</v>
      </c>
      <c r="D277" s="213">
        <f t="shared" si="123"/>
        <v>0</v>
      </c>
      <c r="E277" s="213">
        <f t="shared" si="123"/>
        <v>0</v>
      </c>
      <c r="F277" s="213">
        <f t="shared" si="123"/>
        <v>0</v>
      </c>
      <c r="G277" s="213">
        <f t="shared" si="123"/>
        <v>0</v>
      </c>
      <c r="H277" s="213">
        <f t="shared" si="123"/>
        <v>1</v>
      </c>
      <c r="I277" s="213">
        <f t="shared" si="123"/>
        <v>1</v>
      </c>
      <c r="J277" s="213">
        <f t="shared" si="123"/>
        <v>1</v>
      </c>
      <c r="K277" s="213">
        <f t="shared" si="123"/>
        <v>1</v>
      </c>
      <c r="L277" s="213">
        <f t="shared" si="123"/>
        <v>0</v>
      </c>
      <c r="M277" s="213">
        <f t="shared" si="123"/>
        <v>0</v>
      </c>
    </row>
    <row r="278" ht="15.75" hidden="1" customHeight="1" outlineLevel="1">
      <c r="A278" s="141" t="s">
        <v>1054</v>
      </c>
    </row>
    <row r="279" ht="15.75" hidden="1" customHeight="1" outlineLevel="1">
      <c r="A279" s="142" t="s">
        <v>896</v>
      </c>
      <c r="B279" s="213">
        <f t="shared" ref="B279:M279" si="124">MAX(0,$B$66*$B$7-B$25-B$24)</f>
        <v>0</v>
      </c>
      <c r="C279" s="213">
        <f t="shared" si="124"/>
        <v>0</v>
      </c>
      <c r="D279" s="213">
        <f t="shared" si="124"/>
        <v>0</v>
      </c>
      <c r="E279" s="213">
        <f t="shared" si="124"/>
        <v>597.5054407</v>
      </c>
      <c r="F279" s="213">
        <f t="shared" si="124"/>
        <v>778.7983344</v>
      </c>
      <c r="G279" s="213">
        <f t="shared" si="124"/>
        <v>0</v>
      </c>
      <c r="H279" s="213">
        <f t="shared" si="124"/>
        <v>339.4450338</v>
      </c>
      <c r="I279" s="213">
        <f t="shared" si="124"/>
        <v>356.0932695</v>
      </c>
      <c r="J279" s="213">
        <f t="shared" si="124"/>
        <v>0</v>
      </c>
      <c r="K279" s="213">
        <f t="shared" si="124"/>
        <v>68.74641448</v>
      </c>
      <c r="L279" s="213">
        <f t="shared" si="124"/>
        <v>0</v>
      </c>
      <c r="M279" s="213">
        <f t="shared" si="124"/>
        <v>0</v>
      </c>
    </row>
    <row r="280" ht="15.75" hidden="1" customHeight="1" outlineLevel="1">
      <c r="A280" s="142" t="s">
        <v>897</v>
      </c>
      <c r="B280" s="213">
        <f t="shared" ref="B280:M280" si="125">MAX(0,B$24-($B$66*($B$7+$B$8)-B$25))</f>
        <v>0</v>
      </c>
      <c r="C280" s="213">
        <f t="shared" si="125"/>
        <v>0</v>
      </c>
      <c r="D280" s="213">
        <f t="shared" si="125"/>
        <v>0</v>
      </c>
      <c r="E280" s="213">
        <f t="shared" si="125"/>
        <v>0</v>
      </c>
      <c r="F280" s="213">
        <f t="shared" si="125"/>
        <v>0</v>
      </c>
      <c r="G280" s="213">
        <f t="shared" si="125"/>
        <v>0</v>
      </c>
      <c r="H280" s="213">
        <f t="shared" si="125"/>
        <v>0</v>
      </c>
      <c r="I280" s="213">
        <f t="shared" si="125"/>
        <v>0</v>
      </c>
      <c r="J280" s="213">
        <f t="shared" si="125"/>
        <v>0</v>
      </c>
      <c r="K280" s="213">
        <f t="shared" si="125"/>
        <v>0</v>
      </c>
      <c r="L280" s="213">
        <f t="shared" si="125"/>
        <v>1023.50543</v>
      </c>
      <c r="M280" s="213">
        <f t="shared" si="125"/>
        <v>328.6305371</v>
      </c>
    </row>
    <row r="281" ht="15.75" hidden="1" customHeight="1" outlineLevel="1">
      <c r="A281" s="142" t="s">
        <v>898</v>
      </c>
      <c r="B281" s="213">
        <f t="shared" ref="B281:M281" si="126">MIN(B280,B$21)</f>
        <v>0</v>
      </c>
      <c r="C281" s="213">
        <f t="shared" si="126"/>
        <v>0</v>
      </c>
      <c r="D281" s="213">
        <f t="shared" si="126"/>
        <v>0</v>
      </c>
      <c r="E281" s="213">
        <f t="shared" si="126"/>
        <v>0</v>
      </c>
      <c r="F281" s="213">
        <f t="shared" si="126"/>
        <v>0</v>
      </c>
      <c r="G281" s="213">
        <f t="shared" si="126"/>
        <v>0</v>
      </c>
      <c r="H281" s="213">
        <f t="shared" si="126"/>
        <v>0</v>
      </c>
      <c r="I281" s="213">
        <f t="shared" si="126"/>
        <v>0</v>
      </c>
      <c r="J281" s="213">
        <f t="shared" si="126"/>
        <v>0</v>
      </c>
      <c r="K281" s="213">
        <f t="shared" si="126"/>
        <v>0</v>
      </c>
      <c r="L281" s="213">
        <f t="shared" si="126"/>
        <v>1023.50543</v>
      </c>
      <c r="M281" s="213">
        <f t="shared" si="126"/>
        <v>328.6305371</v>
      </c>
    </row>
    <row r="282" ht="15.75" hidden="1" customHeight="1" outlineLevel="1">
      <c r="A282" s="142" t="s">
        <v>900</v>
      </c>
      <c r="B282" s="213">
        <f t="shared" ref="B282:L282" si="127">MAX(0,C282-B279)+B281</f>
        <v>0</v>
      </c>
      <c r="C282" s="213">
        <f t="shared" si="127"/>
        <v>0</v>
      </c>
      <c r="D282" s="213">
        <f t="shared" si="127"/>
        <v>0</v>
      </c>
      <c r="E282" s="213">
        <f t="shared" si="127"/>
        <v>0</v>
      </c>
      <c r="F282" s="213">
        <f t="shared" si="127"/>
        <v>0</v>
      </c>
      <c r="G282" s="213">
        <f t="shared" si="127"/>
        <v>587.8512493</v>
      </c>
      <c r="H282" s="213">
        <f t="shared" si="127"/>
        <v>587.8512493</v>
      </c>
      <c r="I282" s="213">
        <f t="shared" si="127"/>
        <v>927.2962831</v>
      </c>
      <c r="J282" s="213">
        <f t="shared" si="127"/>
        <v>1283.389553</v>
      </c>
      <c r="K282" s="213">
        <f t="shared" si="127"/>
        <v>1283.389553</v>
      </c>
      <c r="L282" s="213">
        <f t="shared" si="127"/>
        <v>1352.135967</v>
      </c>
      <c r="M282" s="213">
        <f>M281</f>
        <v>328.6305371</v>
      </c>
    </row>
    <row r="283" ht="15.75" hidden="1" customHeight="1" outlineLevel="1">
      <c r="A283" s="142" t="s">
        <v>901</v>
      </c>
      <c r="B283" s="213">
        <f t="shared" ref="B283:L283" si="128">MIN(B279,C282)</f>
        <v>0</v>
      </c>
      <c r="C283" s="213">
        <f t="shared" si="128"/>
        <v>0</v>
      </c>
      <c r="D283" s="213">
        <f t="shared" si="128"/>
        <v>0</v>
      </c>
      <c r="E283" s="213">
        <f t="shared" si="128"/>
        <v>0</v>
      </c>
      <c r="F283" s="213">
        <f t="shared" si="128"/>
        <v>587.8512493</v>
      </c>
      <c r="G283" s="213">
        <f t="shared" si="128"/>
        <v>0</v>
      </c>
      <c r="H283" s="213">
        <f t="shared" si="128"/>
        <v>339.4450338</v>
      </c>
      <c r="I283" s="213">
        <f t="shared" si="128"/>
        <v>356.0932695</v>
      </c>
      <c r="J283" s="213">
        <f t="shared" si="128"/>
        <v>0</v>
      </c>
      <c r="K283" s="213">
        <f t="shared" si="128"/>
        <v>68.74641448</v>
      </c>
      <c r="L283" s="213">
        <f t="shared" si="128"/>
        <v>0</v>
      </c>
      <c r="M283" s="213">
        <f>0</f>
        <v>0</v>
      </c>
    </row>
    <row r="284" ht="15.75" hidden="1" customHeight="1" outlineLevel="1">
      <c r="A284" s="142" t="s">
        <v>906</v>
      </c>
      <c r="B284" s="237">
        <f t="shared" ref="B284:M284" si="129">$B$16*(B$36+(B283-B281)*$B$14)/$B$15</f>
        <v>0.6484846342</v>
      </c>
      <c r="C284" s="237">
        <f t="shared" si="129"/>
        <v>0.6061122633</v>
      </c>
      <c r="D284" s="237">
        <f t="shared" si="129"/>
        <v>0.5795834119</v>
      </c>
      <c r="E284" s="237">
        <f t="shared" si="129"/>
        <v>0.5423692287</v>
      </c>
      <c r="F284" s="237">
        <f t="shared" si="129"/>
        <v>0.6392635109</v>
      </c>
      <c r="G284" s="237">
        <f t="shared" si="129"/>
        <v>0.5688980801</v>
      </c>
      <c r="H284" s="237">
        <f t="shared" si="129"/>
        <v>0.6310181585</v>
      </c>
      <c r="I284" s="237">
        <f t="shared" si="129"/>
        <v>0.634064866</v>
      </c>
      <c r="J284" s="237">
        <f t="shared" si="129"/>
        <v>0.5582127482</v>
      </c>
      <c r="K284" s="237">
        <f t="shared" si="129"/>
        <v>0.5601083419</v>
      </c>
      <c r="L284" s="237">
        <f t="shared" si="129"/>
        <v>0.684463303</v>
      </c>
      <c r="M284" s="237">
        <f t="shared" si="129"/>
        <v>0.7902580965</v>
      </c>
    </row>
    <row r="285" ht="15.75" hidden="1" customHeight="1" outlineLevel="1">
      <c r="A285" s="142" t="s">
        <v>907</v>
      </c>
      <c r="B285" s="213">
        <f t="shared" ref="B285:M285" si="130">IF(B283&gt;0,1,0)</f>
        <v>0</v>
      </c>
      <c r="C285" s="213">
        <f t="shared" si="130"/>
        <v>0</v>
      </c>
      <c r="D285" s="213">
        <f t="shared" si="130"/>
        <v>0</v>
      </c>
      <c r="E285" s="213">
        <f t="shared" si="130"/>
        <v>0</v>
      </c>
      <c r="F285" s="213">
        <f t="shared" si="130"/>
        <v>1</v>
      </c>
      <c r="G285" s="213">
        <f t="shared" si="130"/>
        <v>0</v>
      </c>
      <c r="H285" s="213">
        <f t="shared" si="130"/>
        <v>1</v>
      </c>
      <c r="I285" s="213">
        <f t="shared" si="130"/>
        <v>1</v>
      </c>
      <c r="J285" s="213">
        <f t="shared" si="130"/>
        <v>0</v>
      </c>
      <c r="K285" s="213">
        <f t="shared" si="130"/>
        <v>1</v>
      </c>
      <c r="L285" s="213">
        <f t="shared" si="130"/>
        <v>0</v>
      </c>
      <c r="M285" s="213">
        <f t="shared" si="130"/>
        <v>0</v>
      </c>
    </row>
    <row r="286" ht="15.75" hidden="1" customHeight="1" outlineLevel="1">
      <c r="A286" s="141" t="s">
        <v>1055</v>
      </c>
    </row>
    <row r="287" ht="15.75" hidden="1" customHeight="1" outlineLevel="1">
      <c r="A287" s="142" t="s">
        <v>896</v>
      </c>
      <c r="B287" s="213">
        <f t="shared" ref="B287:M287" si="131">MAX(0,$B$67*$B$7-B$25-B$24)</f>
        <v>0</v>
      </c>
      <c r="C287" s="213">
        <f t="shared" si="131"/>
        <v>0</v>
      </c>
      <c r="D287" s="213">
        <f t="shared" si="131"/>
        <v>0</v>
      </c>
      <c r="E287" s="213">
        <f t="shared" si="131"/>
        <v>466.5554407</v>
      </c>
      <c r="F287" s="213">
        <f t="shared" si="131"/>
        <v>647.8483344</v>
      </c>
      <c r="G287" s="213">
        <f t="shared" si="131"/>
        <v>0</v>
      </c>
      <c r="H287" s="213">
        <f t="shared" si="131"/>
        <v>208.4950338</v>
      </c>
      <c r="I287" s="213">
        <f t="shared" si="131"/>
        <v>225.1432695</v>
      </c>
      <c r="J287" s="213">
        <f t="shared" si="131"/>
        <v>0</v>
      </c>
      <c r="K287" s="213">
        <f t="shared" si="131"/>
        <v>0</v>
      </c>
      <c r="L287" s="213">
        <f t="shared" si="131"/>
        <v>0</v>
      </c>
      <c r="M287" s="213">
        <f t="shared" si="131"/>
        <v>0</v>
      </c>
    </row>
    <row r="288" ht="15.75" hidden="1" customHeight="1" outlineLevel="1">
      <c r="A288" s="142" t="s">
        <v>897</v>
      </c>
      <c r="B288" s="213">
        <f t="shared" ref="B288:M288" si="132">MAX(0,B$24-($B$67*($B$7+$B$8)-B$25))</f>
        <v>0</v>
      </c>
      <c r="C288" s="213">
        <f t="shared" si="132"/>
        <v>0</v>
      </c>
      <c r="D288" s="213">
        <f t="shared" si="132"/>
        <v>0</v>
      </c>
      <c r="E288" s="213">
        <f t="shared" si="132"/>
        <v>0</v>
      </c>
      <c r="F288" s="213">
        <f t="shared" si="132"/>
        <v>0</v>
      </c>
      <c r="G288" s="213">
        <f t="shared" si="132"/>
        <v>0</v>
      </c>
      <c r="H288" s="213">
        <f t="shared" si="132"/>
        <v>0</v>
      </c>
      <c r="I288" s="213">
        <f t="shared" si="132"/>
        <v>0</v>
      </c>
      <c r="J288" s="213">
        <f t="shared" si="132"/>
        <v>0</v>
      </c>
      <c r="K288" s="213">
        <f t="shared" si="132"/>
        <v>0</v>
      </c>
      <c r="L288" s="213">
        <f t="shared" si="132"/>
        <v>1179.45543</v>
      </c>
      <c r="M288" s="213">
        <f t="shared" si="132"/>
        <v>484.5805371</v>
      </c>
    </row>
    <row r="289" ht="15.75" hidden="1" customHeight="1" outlineLevel="1">
      <c r="A289" s="142" t="s">
        <v>898</v>
      </c>
      <c r="B289" s="213">
        <f t="shared" ref="B289:M289" si="133">MIN(B288,B$21)</f>
        <v>0</v>
      </c>
      <c r="C289" s="213">
        <f t="shared" si="133"/>
        <v>0</v>
      </c>
      <c r="D289" s="213">
        <f t="shared" si="133"/>
        <v>0</v>
      </c>
      <c r="E289" s="213">
        <f t="shared" si="133"/>
        <v>0</v>
      </c>
      <c r="F289" s="213">
        <f t="shared" si="133"/>
        <v>0</v>
      </c>
      <c r="G289" s="213">
        <f t="shared" si="133"/>
        <v>0</v>
      </c>
      <c r="H289" s="213">
        <f t="shared" si="133"/>
        <v>0</v>
      </c>
      <c r="I289" s="213">
        <f t="shared" si="133"/>
        <v>0</v>
      </c>
      <c r="J289" s="213">
        <f t="shared" si="133"/>
        <v>0</v>
      </c>
      <c r="K289" s="213">
        <f t="shared" si="133"/>
        <v>0</v>
      </c>
      <c r="L289" s="213">
        <f t="shared" si="133"/>
        <v>1179.45543</v>
      </c>
      <c r="M289" s="213">
        <f t="shared" si="133"/>
        <v>484.5805371</v>
      </c>
    </row>
    <row r="290" ht="15.75" hidden="1" customHeight="1" outlineLevel="1">
      <c r="A290" s="142" t="s">
        <v>900</v>
      </c>
      <c r="B290" s="213">
        <f t="shared" ref="B290:L290" si="134">MAX(0,C290-B287)+B289</f>
        <v>115.9938887</v>
      </c>
      <c r="C290" s="213">
        <f t="shared" si="134"/>
        <v>115.9938887</v>
      </c>
      <c r="D290" s="213">
        <f t="shared" si="134"/>
        <v>115.9938887</v>
      </c>
      <c r="E290" s="213">
        <f t="shared" si="134"/>
        <v>115.9938887</v>
      </c>
      <c r="F290" s="213">
        <f t="shared" si="134"/>
        <v>582.5493294</v>
      </c>
      <c r="G290" s="213">
        <f t="shared" si="134"/>
        <v>1230.397664</v>
      </c>
      <c r="H290" s="213">
        <f t="shared" si="134"/>
        <v>1230.397664</v>
      </c>
      <c r="I290" s="213">
        <f t="shared" si="134"/>
        <v>1438.892698</v>
      </c>
      <c r="J290" s="213">
        <f t="shared" si="134"/>
        <v>1664.035967</v>
      </c>
      <c r="K290" s="213">
        <f t="shared" si="134"/>
        <v>1664.035967</v>
      </c>
      <c r="L290" s="213">
        <f t="shared" si="134"/>
        <v>1664.035967</v>
      </c>
      <c r="M290" s="213">
        <f>M289</f>
        <v>484.5805371</v>
      </c>
    </row>
    <row r="291" ht="15.75" hidden="1" customHeight="1" outlineLevel="1">
      <c r="A291" s="142" t="s">
        <v>901</v>
      </c>
      <c r="B291" s="213">
        <f t="shared" ref="B291:L291" si="135">MIN(B287,C290)</f>
        <v>0</v>
      </c>
      <c r="C291" s="213">
        <f t="shared" si="135"/>
        <v>0</v>
      </c>
      <c r="D291" s="213">
        <f t="shared" si="135"/>
        <v>0</v>
      </c>
      <c r="E291" s="213">
        <f t="shared" si="135"/>
        <v>466.5554407</v>
      </c>
      <c r="F291" s="213">
        <f t="shared" si="135"/>
        <v>647.8483344</v>
      </c>
      <c r="G291" s="213">
        <f t="shared" si="135"/>
        <v>0</v>
      </c>
      <c r="H291" s="213">
        <f t="shared" si="135"/>
        <v>208.4950338</v>
      </c>
      <c r="I291" s="213">
        <f t="shared" si="135"/>
        <v>225.1432695</v>
      </c>
      <c r="J291" s="213">
        <f t="shared" si="135"/>
        <v>0</v>
      </c>
      <c r="K291" s="213">
        <f t="shared" si="135"/>
        <v>0</v>
      </c>
      <c r="L291" s="213">
        <f t="shared" si="135"/>
        <v>0</v>
      </c>
      <c r="M291" s="213">
        <f>0</f>
        <v>0</v>
      </c>
    </row>
    <row r="292" ht="15.75" hidden="1" customHeight="1" outlineLevel="1">
      <c r="A292" s="142" t="s">
        <v>906</v>
      </c>
      <c r="B292" s="237">
        <f t="shared" ref="B292:M292" si="136">$B$16*(B$36+(B291-B289)*$B$14)/$B$15</f>
        <v>0.6484846342</v>
      </c>
      <c r="C292" s="237">
        <f t="shared" si="136"/>
        <v>0.6061122633</v>
      </c>
      <c r="D292" s="237">
        <f t="shared" si="136"/>
        <v>0.5795834119</v>
      </c>
      <c r="E292" s="237">
        <f t="shared" si="136"/>
        <v>0.6277511247</v>
      </c>
      <c r="F292" s="237">
        <f t="shared" si="136"/>
        <v>0.6502432669</v>
      </c>
      <c r="G292" s="237">
        <f t="shared" si="136"/>
        <v>0.5688980801</v>
      </c>
      <c r="H292" s="237">
        <f t="shared" si="136"/>
        <v>0.6070536769</v>
      </c>
      <c r="I292" s="237">
        <f t="shared" si="136"/>
        <v>0.6101003844</v>
      </c>
      <c r="J292" s="237">
        <f t="shared" si="136"/>
        <v>0.5582127482</v>
      </c>
      <c r="K292" s="237">
        <f t="shared" si="136"/>
        <v>0.5475274164</v>
      </c>
      <c r="L292" s="237">
        <f t="shared" si="136"/>
        <v>0.6559237008</v>
      </c>
      <c r="M292" s="237">
        <f t="shared" si="136"/>
        <v>0.7617184943</v>
      </c>
    </row>
    <row r="293" ht="15.75" hidden="1" customHeight="1" outlineLevel="1">
      <c r="A293" s="142" t="s">
        <v>907</v>
      </c>
      <c r="B293" s="213">
        <f t="shared" ref="B293:M293" si="137">IF(B291&gt;0,1,0)</f>
        <v>0</v>
      </c>
      <c r="C293" s="213">
        <f t="shared" si="137"/>
        <v>0</v>
      </c>
      <c r="D293" s="213">
        <f t="shared" si="137"/>
        <v>0</v>
      </c>
      <c r="E293" s="213">
        <f t="shared" si="137"/>
        <v>1</v>
      </c>
      <c r="F293" s="213">
        <f t="shared" si="137"/>
        <v>1</v>
      </c>
      <c r="G293" s="213">
        <f t="shared" si="137"/>
        <v>0</v>
      </c>
      <c r="H293" s="213">
        <f t="shared" si="137"/>
        <v>1</v>
      </c>
      <c r="I293" s="213">
        <f t="shared" si="137"/>
        <v>1</v>
      </c>
      <c r="J293" s="213">
        <f t="shared" si="137"/>
        <v>0</v>
      </c>
      <c r="K293" s="213">
        <f t="shared" si="137"/>
        <v>0</v>
      </c>
      <c r="L293" s="213">
        <f t="shared" si="137"/>
        <v>0</v>
      </c>
      <c r="M293" s="213">
        <f t="shared" si="137"/>
        <v>0</v>
      </c>
    </row>
    <row r="294" ht="15.75" hidden="1" customHeight="1" outlineLevel="1">
      <c r="A294" s="141" t="s">
        <v>1056</v>
      </c>
    </row>
    <row r="295" ht="15.75" hidden="1" customHeight="1" outlineLevel="1">
      <c r="A295" s="142" t="s">
        <v>896</v>
      </c>
      <c r="B295" s="213">
        <f t="shared" ref="B295:M295" si="138">MAX(0,$B$68*$B$7-B$25-B$24)</f>
        <v>0</v>
      </c>
      <c r="C295" s="213">
        <f t="shared" si="138"/>
        <v>0</v>
      </c>
      <c r="D295" s="213">
        <f t="shared" si="138"/>
        <v>0</v>
      </c>
      <c r="E295" s="213">
        <f t="shared" si="138"/>
        <v>335.6054407</v>
      </c>
      <c r="F295" s="213">
        <f t="shared" si="138"/>
        <v>516.8983344</v>
      </c>
      <c r="G295" s="213">
        <f t="shared" si="138"/>
        <v>0</v>
      </c>
      <c r="H295" s="213">
        <f t="shared" si="138"/>
        <v>77.54503375</v>
      </c>
      <c r="I295" s="213">
        <f t="shared" si="138"/>
        <v>94.19326953</v>
      </c>
      <c r="J295" s="213">
        <f t="shared" si="138"/>
        <v>0</v>
      </c>
      <c r="K295" s="213">
        <f t="shared" si="138"/>
        <v>0</v>
      </c>
      <c r="L295" s="213">
        <f t="shared" si="138"/>
        <v>0</v>
      </c>
      <c r="M295" s="213">
        <f t="shared" si="138"/>
        <v>0</v>
      </c>
    </row>
    <row r="296" ht="15.75" hidden="1" customHeight="1" outlineLevel="1">
      <c r="A296" s="142" t="s">
        <v>897</v>
      </c>
      <c r="B296" s="213">
        <f t="shared" ref="B296:M296" si="139">MAX(0,B$24-($B$68*($B$7+$B$8)-B$25))</f>
        <v>0</v>
      </c>
      <c r="C296" s="213">
        <f t="shared" si="139"/>
        <v>0</v>
      </c>
      <c r="D296" s="213">
        <f t="shared" si="139"/>
        <v>0</v>
      </c>
      <c r="E296" s="213">
        <f t="shared" si="139"/>
        <v>0</v>
      </c>
      <c r="F296" s="213">
        <f t="shared" si="139"/>
        <v>0</v>
      </c>
      <c r="G296" s="213">
        <f t="shared" si="139"/>
        <v>0</v>
      </c>
      <c r="H296" s="213">
        <f t="shared" si="139"/>
        <v>0</v>
      </c>
      <c r="I296" s="213">
        <f t="shared" si="139"/>
        <v>0</v>
      </c>
      <c r="J296" s="213">
        <f t="shared" si="139"/>
        <v>0</v>
      </c>
      <c r="K296" s="213">
        <f t="shared" si="139"/>
        <v>0</v>
      </c>
      <c r="L296" s="213">
        <f t="shared" si="139"/>
        <v>1335.40543</v>
      </c>
      <c r="M296" s="213">
        <f t="shared" si="139"/>
        <v>640.5305371</v>
      </c>
    </row>
    <row r="297" ht="15.75" hidden="1" customHeight="1" outlineLevel="1">
      <c r="A297" s="142" t="s">
        <v>898</v>
      </c>
      <c r="B297" s="213">
        <f t="shared" ref="B297:M297" si="140">MIN(B296,B$21)</f>
        <v>0</v>
      </c>
      <c r="C297" s="213">
        <f t="shared" si="140"/>
        <v>0</v>
      </c>
      <c r="D297" s="213">
        <f t="shared" si="140"/>
        <v>0</v>
      </c>
      <c r="E297" s="213">
        <f t="shared" si="140"/>
        <v>0</v>
      </c>
      <c r="F297" s="213">
        <f t="shared" si="140"/>
        <v>0</v>
      </c>
      <c r="G297" s="213">
        <f t="shared" si="140"/>
        <v>0</v>
      </c>
      <c r="H297" s="213">
        <f t="shared" si="140"/>
        <v>0</v>
      </c>
      <c r="I297" s="213">
        <f t="shared" si="140"/>
        <v>0</v>
      </c>
      <c r="J297" s="213">
        <f t="shared" si="140"/>
        <v>0</v>
      </c>
      <c r="K297" s="213">
        <f t="shared" si="140"/>
        <v>0</v>
      </c>
      <c r="L297" s="213">
        <f t="shared" si="140"/>
        <v>1335.40543</v>
      </c>
      <c r="M297" s="213">
        <f t="shared" si="140"/>
        <v>640.5305371</v>
      </c>
    </row>
    <row r="298" ht="15.75" hidden="1" customHeight="1" outlineLevel="1">
      <c r="A298" s="142" t="s">
        <v>900</v>
      </c>
      <c r="B298" s="213">
        <f t="shared" ref="B298:L298" si="141">MAX(0,C298-B295)+B297</f>
        <v>951.6938887</v>
      </c>
      <c r="C298" s="213">
        <f t="shared" si="141"/>
        <v>951.6938887</v>
      </c>
      <c r="D298" s="213">
        <f t="shared" si="141"/>
        <v>951.6938887</v>
      </c>
      <c r="E298" s="213">
        <f t="shared" si="141"/>
        <v>951.6938887</v>
      </c>
      <c r="F298" s="213">
        <f t="shared" si="141"/>
        <v>1287.299329</v>
      </c>
      <c r="G298" s="213">
        <f t="shared" si="141"/>
        <v>1804.197664</v>
      </c>
      <c r="H298" s="213">
        <f t="shared" si="141"/>
        <v>1804.197664</v>
      </c>
      <c r="I298" s="213">
        <f t="shared" si="141"/>
        <v>1881.742698</v>
      </c>
      <c r="J298" s="213">
        <f t="shared" si="141"/>
        <v>1975.935967</v>
      </c>
      <c r="K298" s="213">
        <f t="shared" si="141"/>
        <v>1975.935967</v>
      </c>
      <c r="L298" s="213">
        <f t="shared" si="141"/>
        <v>1975.935967</v>
      </c>
      <c r="M298" s="213">
        <f>M297</f>
        <v>640.5305371</v>
      </c>
    </row>
    <row r="299" ht="15.75" hidden="1" customHeight="1" outlineLevel="1">
      <c r="A299" s="142" t="s">
        <v>901</v>
      </c>
      <c r="B299" s="213">
        <f t="shared" ref="B299:L299" si="142">MIN(B295,C298)</f>
        <v>0</v>
      </c>
      <c r="C299" s="213">
        <f t="shared" si="142"/>
        <v>0</v>
      </c>
      <c r="D299" s="213">
        <f t="shared" si="142"/>
        <v>0</v>
      </c>
      <c r="E299" s="213">
        <f t="shared" si="142"/>
        <v>335.6054407</v>
      </c>
      <c r="F299" s="213">
        <f t="shared" si="142"/>
        <v>516.8983344</v>
      </c>
      <c r="G299" s="213">
        <f t="shared" si="142"/>
        <v>0</v>
      </c>
      <c r="H299" s="213">
        <f t="shared" si="142"/>
        <v>77.54503375</v>
      </c>
      <c r="I299" s="213">
        <f t="shared" si="142"/>
        <v>94.19326953</v>
      </c>
      <c r="J299" s="213">
        <f t="shared" si="142"/>
        <v>0</v>
      </c>
      <c r="K299" s="213">
        <f t="shared" si="142"/>
        <v>0</v>
      </c>
      <c r="L299" s="213">
        <f t="shared" si="142"/>
        <v>0</v>
      </c>
      <c r="M299" s="213">
        <f>0</f>
        <v>0</v>
      </c>
    </row>
    <row r="300" ht="15.75" hidden="1" customHeight="1" outlineLevel="1">
      <c r="A300" s="142" t="s">
        <v>906</v>
      </c>
      <c r="B300" s="237">
        <f t="shared" ref="B300:M300" si="143">$B$16*(B$36+(B299-B297)*$B$14)/$B$15</f>
        <v>0.6484846342</v>
      </c>
      <c r="C300" s="237">
        <f t="shared" si="143"/>
        <v>0.6061122633</v>
      </c>
      <c r="D300" s="237">
        <f t="shared" si="143"/>
        <v>0.5795834119</v>
      </c>
      <c r="E300" s="237">
        <f t="shared" si="143"/>
        <v>0.6037866431</v>
      </c>
      <c r="F300" s="237">
        <f t="shared" si="143"/>
        <v>0.6262787853</v>
      </c>
      <c r="G300" s="237">
        <f t="shared" si="143"/>
        <v>0.5688980801</v>
      </c>
      <c r="H300" s="237">
        <f t="shared" si="143"/>
        <v>0.5830891953</v>
      </c>
      <c r="I300" s="237">
        <f t="shared" si="143"/>
        <v>0.5861359027</v>
      </c>
      <c r="J300" s="237">
        <f t="shared" si="143"/>
        <v>0.5582127482</v>
      </c>
      <c r="K300" s="237">
        <f t="shared" si="143"/>
        <v>0.5475274164</v>
      </c>
      <c r="L300" s="237">
        <f t="shared" si="143"/>
        <v>0.6273840986</v>
      </c>
      <c r="M300" s="237">
        <f t="shared" si="143"/>
        <v>0.733178892</v>
      </c>
    </row>
    <row r="301" ht="15.75" hidden="1" customHeight="1" outlineLevel="1">
      <c r="A301" s="142" t="s">
        <v>907</v>
      </c>
      <c r="B301" s="213">
        <f t="shared" ref="B301:M301" si="144">IF(B299&gt;0,1,0)</f>
        <v>0</v>
      </c>
      <c r="C301" s="213">
        <f t="shared" si="144"/>
        <v>0</v>
      </c>
      <c r="D301" s="213">
        <f t="shared" si="144"/>
        <v>0</v>
      </c>
      <c r="E301" s="213">
        <f t="shared" si="144"/>
        <v>1</v>
      </c>
      <c r="F301" s="213">
        <f t="shared" si="144"/>
        <v>1</v>
      </c>
      <c r="G301" s="213">
        <f t="shared" si="144"/>
        <v>0</v>
      </c>
      <c r="H301" s="213">
        <f t="shared" si="144"/>
        <v>1</v>
      </c>
      <c r="I301" s="213">
        <f t="shared" si="144"/>
        <v>1</v>
      </c>
      <c r="J301" s="213">
        <f t="shared" si="144"/>
        <v>0</v>
      </c>
      <c r="K301" s="213">
        <f t="shared" si="144"/>
        <v>0</v>
      </c>
      <c r="L301" s="213">
        <f t="shared" si="144"/>
        <v>0</v>
      </c>
      <c r="M301" s="213">
        <f t="shared" si="144"/>
        <v>0</v>
      </c>
    </row>
    <row r="302" ht="15.75" hidden="1" customHeight="1" outlineLevel="1">
      <c r="A302" s="141" t="s">
        <v>1057</v>
      </c>
    </row>
    <row r="303" ht="15.75" hidden="1" customHeight="1" outlineLevel="1">
      <c r="A303" s="142" t="s">
        <v>896</v>
      </c>
      <c r="B303" s="213">
        <f t="shared" ref="B303:M303" si="145">MAX(0,$B$69*$B$7-B$25-B$24)</f>
        <v>0</v>
      </c>
      <c r="C303" s="213">
        <f t="shared" si="145"/>
        <v>0</v>
      </c>
      <c r="D303" s="213">
        <f t="shared" si="145"/>
        <v>0</v>
      </c>
      <c r="E303" s="213">
        <f t="shared" si="145"/>
        <v>204.6554407</v>
      </c>
      <c r="F303" s="213">
        <f t="shared" si="145"/>
        <v>385.9483344</v>
      </c>
      <c r="G303" s="213">
        <f t="shared" si="145"/>
        <v>0</v>
      </c>
      <c r="H303" s="213">
        <f t="shared" si="145"/>
        <v>0</v>
      </c>
      <c r="I303" s="213">
        <f t="shared" si="145"/>
        <v>0</v>
      </c>
      <c r="J303" s="213">
        <f t="shared" si="145"/>
        <v>0</v>
      </c>
      <c r="K303" s="213">
        <f t="shared" si="145"/>
        <v>0</v>
      </c>
      <c r="L303" s="213">
        <f t="shared" si="145"/>
        <v>0</v>
      </c>
      <c r="M303" s="213">
        <f t="shared" si="145"/>
        <v>0</v>
      </c>
    </row>
    <row r="304" ht="15.75" hidden="1" customHeight="1" outlineLevel="1">
      <c r="A304" s="142" t="s">
        <v>897</v>
      </c>
      <c r="B304" s="213">
        <f t="shared" ref="B304:M304" si="146">MAX(0,B$24-($B$69*($B$7+$B$8)-B$25))</f>
        <v>0</v>
      </c>
      <c r="C304" s="213">
        <f t="shared" si="146"/>
        <v>28.50089896</v>
      </c>
      <c r="D304" s="213">
        <f t="shared" si="146"/>
        <v>0</v>
      </c>
      <c r="E304" s="213">
        <f t="shared" si="146"/>
        <v>0</v>
      </c>
      <c r="F304" s="213">
        <f t="shared" si="146"/>
        <v>0</v>
      </c>
      <c r="G304" s="213">
        <f t="shared" si="146"/>
        <v>90.26288333</v>
      </c>
      <c r="H304" s="213">
        <f t="shared" si="146"/>
        <v>0</v>
      </c>
      <c r="I304" s="213">
        <f t="shared" si="146"/>
        <v>0</v>
      </c>
      <c r="J304" s="213">
        <f t="shared" si="146"/>
        <v>0</v>
      </c>
      <c r="K304" s="213">
        <f t="shared" si="146"/>
        <v>0</v>
      </c>
      <c r="L304" s="213">
        <f t="shared" si="146"/>
        <v>1491.35543</v>
      </c>
      <c r="M304" s="213">
        <f t="shared" si="146"/>
        <v>796.4805371</v>
      </c>
    </row>
    <row r="305" ht="15.75" hidden="1" customHeight="1" outlineLevel="1">
      <c r="A305" s="142" t="s">
        <v>898</v>
      </c>
      <c r="B305" s="213">
        <f t="shared" ref="B305:M305" si="147">MIN(B304,B$21)</f>
        <v>0</v>
      </c>
      <c r="C305" s="213">
        <f t="shared" si="147"/>
        <v>28.50089896</v>
      </c>
      <c r="D305" s="213">
        <f t="shared" si="147"/>
        <v>0</v>
      </c>
      <c r="E305" s="213">
        <f t="shared" si="147"/>
        <v>0</v>
      </c>
      <c r="F305" s="213">
        <f t="shared" si="147"/>
        <v>0</v>
      </c>
      <c r="G305" s="213">
        <f t="shared" si="147"/>
        <v>90.26288333</v>
      </c>
      <c r="H305" s="213">
        <f t="shared" si="147"/>
        <v>0</v>
      </c>
      <c r="I305" s="213">
        <f t="shared" si="147"/>
        <v>0</v>
      </c>
      <c r="J305" s="213">
        <f t="shared" si="147"/>
        <v>0</v>
      </c>
      <c r="K305" s="213">
        <f t="shared" si="147"/>
        <v>0</v>
      </c>
      <c r="L305" s="213">
        <f t="shared" si="147"/>
        <v>1491.35543</v>
      </c>
      <c r="M305" s="213">
        <f t="shared" si="147"/>
        <v>796.4805371</v>
      </c>
    </row>
    <row r="306" ht="15.75" hidden="1" customHeight="1" outlineLevel="1">
      <c r="A306" s="142" t="s">
        <v>900</v>
      </c>
      <c r="B306" s="213">
        <f t="shared" ref="B306:L306" si="148">MAX(0,C306-B303)+B305</f>
        <v>1815.995974</v>
      </c>
      <c r="C306" s="213">
        <f t="shared" si="148"/>
        <v>1815.995974</v>
      </c>
      <c r="D306" s="213">
        <f t="shared" si="148"/>
        <v>1787.495075</v>
      </c>
      <c r="E306" s="213">
        <f t="shared" si="148"/>
        <v>1787.495075</v>
      </c>
      <c r="F306" s="213">
        <f t="shared" si="148"/>
        <v>1992.150516</v>
      </c>
      <c r="G306" s="213">
        <f t="shared" si="148"/>
        <v>2378.09885</v>
      </c>
      <c r="H306" s="213">
        <f t="shared" si="148"/>
        <v>2287.835967</v>
      </c>
      <c r="I306" s="213">
        <f t="shared" si="148"/>
        <v>2287.835967</v>
      </c>
      <c r="J306" s="213">
        <f t="shared" si="148"/>
        <v>2287.835967</v>
      </c>
      <c r="K306" s="213">
        <f t="shared" si="148"/>
        <v>2287.835967</v>
      </c>
      <c r="L306" s="213">
        <f t="shared" si="148"/>
        <v>2287.835967</v>
      </c>
      <c r="M306" s="213">
        <f>M305</f>
        <v>796.4805371</v>
      </c>
    </row>
    <row r="307" ht="15.75" hidden="1" customHeight="1" outlineLevel="1">
      <c r="A307" s="142" t="s">
        <v>901</v>
      </c>
      <c r="B307" s="213">
        <f t="shared" ref="B307:L307" si="149">MIN(B303,C306)</f>
        <v>0</v>
      </c>
      <c r="C307" s="213">
        <f t="shared" si="149"/>
        <v>0</v>
      </c>
      <c r="D307" s="213">
        <f t="shared" si="149"/>
        <v>0</v>
      </c>
      <c r="E307" s="213">
        <f t="shared" si="149"/>
        <v>204.6554407</v>
      </c>
      <c r="F307" s="213">
        <f t="shared" si="149"/>
        <v>385.9483344</v>
      </c>
      <c r="G307" s="213">
        <f t="shared" si="149"/>
        <v>0</v>
      </c>
      <c r="H307" s="213">
        <f t="shared" si="149"/>
        <v>0</v>
      </c>
      <c r="I307" s="213">
        <f t="shared" si="149"/>
        <v>0</v>
      </c>
      <c r="J307" s="213">
        <f t="shared" si="149"/>
        <v>0</v>
      </c>
      <c r="K307" s="213">
        <f t="shared" si="149"/>
        <v>0</v>
      </c>
      <c r="L307" s="213">
        <f t="shared" si="149"/>
        <v>0</v>
      </c>
      <c r="M307" s="213">
        <f>0</f>
        <v>0</v>
      </c>
    </row>
    <row r="308" ht="15.75" hidden="1" customHeight="1" outlineLevel="1">
      <c r="A308" s="142" t="s">
        <v>906</v>
      </c>
      <c r="B308" s="237">
        <f t="shared" ref="B308:M308" si="150">$B$16*(B$36+(B307-B305)*$B$14)/$B$15</f>
        <v>0.6484846342</v>
      </c>
      <c r="C308" s="237">
        <f t="shared" si="150"/>
        <v>0.6008964613</v>
      </c>
      <c r="D308" s="237">
        <f t="shared" si="150"/>
        <v>0.5795834119</v>
      </c>
      <c r="E308" s="237">
        <f t="shared" si="150"/>
        <v>0.5798221615</v>
      </c>
      <c r="F308" s="237">
        <f t="shared" si="150"/>
        <v>0.6023143036</v>
      </c>
      <c r="G308" s="237">
        <f t="shared" si="150"/>
        <v>0.552379537</v>
      </c>
      <c r="H308" s="237">
        <f t="shared" si="150"/>
        <v>0.5688980801</v>
      </c>
      <c r="I308" s="237">
        <f t="shared" si="150"/>
        <v>0.5688980801</v>
      </c>
      <c r="J308" s="237">
        <f t="shared" si="150"/>
        <v>0.5582127482</v>
      </c>
      <c r="K308" s="237">
        <f t="shared" si="150"/>
        <v>0.5475274164</v>
      </c>
      <c r="L308" s="237">
        <f t="shared" si="150"/>
        <v>0.5988444964</v>
      </c>
      <c r="M308" s="237">
        <f t="shared" si="150"/>
        <v>0.7046392898</v>
      </c>
    </row>
    <row r="309" ht="15.75" hidden="1" customHeight="1" outlineLevel="1">
      <c r="A309" s="142" t="s">
        <v>907</v>
      </c>
      <c r="B309" s="213">
        <f t="shared" ref="B309:M309" si="151">IF(B307&gt;0,1,0)</f>
        <v>0</v>
      </c>
      <c r="C309" s="213">
        <f t="shared" si="151"/>
        <v>0</v>
      </c>
      <c r="D309" s="213">
        <f t="shared" si="151"/>
        <v>0</v>
      </c>
      <c r="E309" s="213">
        <f t="shared" si="151"/>
        <v>1</v>
      </c>
      <c r="F309" s="213">
        <f t="shared" si="151"/>
        <v>1</v>
      </c>
      <c r="G309" s="213">
        <f t="shared" si="151"/>
        <v>0</v>
      </c>
      <c r="H309" s="213">
        <f t="shared" si="151"/>
        <v>0</v>
      </c>
      <c r="I309" s="213">
        <f t="shared" si="151"/>
        <v>0</v>
      </c>
      <c r="J309" s="213">
        <f t="shared" si="151"/>
        <v>0</v>
      </c>
      <c r="K309" s="213">
        <f t="shared" si="151"/>
        <v>0</v>
      </c>
      <c r="L309" s="213">
        <f t="shared" si="151"/>
        <v>0</v>
      </c>
      <c r="M309" s="213">
        <f t="shared" si="151"/>
        <v>0</v>
      </c>
    </row>
    <row r="310" ht="15.75" customHeight="1"/>
    <row r="311" ht="15.75" hidden="1" customHeight="1" outlineLevel="1">
      <c r="A311" s="141" t="s">
        <v>1058</v>
      </c>
    </row>
    <row r="312" ht="15.75" hidden="1" customHeight="1" outlineLevel="1">
      <c r="A312" s="142" t="s">
        <v>896</v>
      </c>
      <c r="B312" s="213">
        <f t="shared" ref="B312:M312" si="152">MAX(0,$B$6*$B$7-B$25-B$24)</f>
        <v>282.0172785</v>
      </c>
      <c r="C312" s="213">
        <f t="shared" si="152"/>
        <v>180.999101</v>
      </c>
      <c r="D312" s="213">
        <f t="shared" si="152"/>
        <v>372.6975425</v>
      </c>
      <c r="E312" s="213">
        <f t="shared" si="152"/>
        <v>1514.155441</v>
      </c>
      <c r="F312" s="213">
        <f t="shared" si="152"/>
        <v>1695.448334</v>
      </c>
      <c r="G312" s="213">
        <f t="shared" si="152"/>
        <v>119.2371167</v>
      </c>
      <c r="H312" s="213">
        <f t="shared" si="152"/>
        <v>1256.095034</v>
      </c>
      <c r="I312" s="213">
        <f t="shared" si="152"/>
        <v>1272.74327</v>
      </c>
      <c r="J312" s="213">
        <f t="shared" si="152"/>
        <v>887.113722</v>
      </c>
      <c r="K312" s="213">
        <f t="shared" si="152"/>
        <v>985.3964145</v>
      </c>
      <c r="L312" s="213">
        <f t="shared" si="152"/>
        <v>0</v>
      </c>
      <c r="M312" s="213">
        <f t="shared" si="152"/>
        <v>0</v>
      </c>
    </row>
    <row r="313" ht="15.75" hidden="1" customHeight="1" outlineLevel="1">
      <c r="A313" s="142" t="s">
        <v>1059</v>
      </c>
      <c r="B313" s="213">
        <f t="shared" ref="B313:M313" si="153">MAX(0,B$24-($B$6*($B$7+$A$80)-B$25))</f>
        <v>0</v>
      </c>
      <c r="C313" s="213">
        <f t="shared" si="153"/>
        <v>0</v>
      </c>
      <c r="D313" s="213">
        <f t="shared" si="153"/>
        <v>0</v>
      </c>
      <c r="E313" s="213">
        <f t="shared" si="153"/>
        <v>0</v>
      </c>
      <c r="F313" s="213">
        <f t="shared" si="153"/>
        <v>0</v>
      </c>
      <c r="G313" s="213">
        <f t="shared" si="153"/>
        <v>0</v>
      </c>
      <c r="H313" s="213">
        <f t="shared" si="153"/>
        <v>0</v>
      </c>
      <c r="I313" s="213">
        <f t="shared" si="153"/>
        <v>0</v>
      </c>
      <c r="J313" s="213">
        <f t="shared" si="153"/>
        <v>0</v>
      </c>
      <c r="K313" s="213">
        <f t="shared" si="153"/>
        <v>0</v>
      </c>
      <c r="L313" s="213">
        <f t="shared" si="153"/>
        <v>1281.85543</v>
      </c>
      <c r="M313" s="213">
        <f t="shared" si="153"/>
        <v>586.9805371</v>
      </c>
    </row>
    <row r="314" ht="15.75" hidden="1" customHeight="1" outlineLevel="1">
      <c r="A314" s="142" t="s">
        <v>898</v>
      </c>
      <c r="B314" s="213">
        <f t="shared" ref="B314:M314" si="154">MIN(B313,B$21)</f>
        <v>0</v>
      </c>
      <c r="C314" s="213">
        <f t="shared" si="154"/>
        <v>0</v>
      </c>
      <c r="D314" s="213">
        <f t="shared" si="154"/>
        <v>0</v>
      </c>
      <c r="E314" s="213">
        <f t="shared" si="154"/>
        <v>0</v>
      </c>
      <c r="F314" s="213">
        <f t="shared" si="154"/>
        <v>0</v>
      </c>
      <c r="G314" s="213">
        <f t="shared" si="154"/>
        <v>0</v>
      </c>
      <c r="H314" s="213">
        <f t="shared" si="154"/>
        <v>0</v>
      </c>
      <c r="I314" s="213">
        <f t="shared" si="154"/>
        <v>0</v>
      </c>
      <c r="J314" s="213">
        <f t="shared" si="154"/>
        <v>0</v>
      </c>
      <c r="K314" s="213">
        <f t="shared" si="154"/>
        <v>0</v>
      </c>
      <c r="L314" s="213">
        <f t="shared" si="154"/>
        <v>1281.85543</v>
      </c>
      <c r="M314" s="213">
        <f t="shared" si="154"/>
        <v>586.9805371</v>
      </c>
    </row>
    <row r="315" ht="15.75" hidden="1" customHeight="1" outlineLevel="1">
      <c r="A315" s="142" t="s">
        <v>900</v>
      </c>
      <c r="B315" s="213">
        <f t="shared" ref="B315:L315" si="155">MAX(0,C315-B312)+B314</f>
        <v>0</v>
      </c>
      <c r="C315" s="213">
        <f t="shared" si="155"/>
        <v>0</v>
      </c>
      <c r="D315" s="213">
        <f t="shared" si="155"/>
        <v>0</v>
      </c>
      <c r="E315" s="213">
        <f t="shared" si="155"/>
        <v>0</v>
      </c>
      <c r="F315" s="213">
        <f t="shared" si="155"/>
        <v>0</v>
      </c>
      <c r="G315" s="213">
        <f t="shared" si="155"/>
        <v>0</v>
      </c>
      <c r="H315" s="213">
        <f t="shared" si="155"/>
        <v>0</v>
      </c>
      <c r="I315" s="213">
        <f t="shared" si="155"/>
        <v>0</v>
      </c>
      <c r="J315" s="213">
        <f t="shared" si="155"/>
        <v>0</v>
      </c>
      <c r="K315" s="213">
        <f t="shared" si="155"/>
        <v>883.4395526</v>
      </c>
      <c r="L315" s="213">
        <f t="shared" si="155"/>
        <v>1868.835967</v>
      </c>
      <c r="M315" s="213">
        <f>M314</f>
        <v>586.9805371</v>
      </c>
    </row>
    <row r="316" ht="15.75" hidden="1" customHeight="1" outlineLevel="1">
      <c r="A316" s="142" t="s">
        <v>901</v>
      </c>
      <c r="B316" s="213">
        <f t="shared" ref="B316:L316" si="156">MIN(B312,C315)</f>
        <v>0</v>
      </c>
      <c r="C316" s="213">
        <f t="shared" si="156"/>
        <v>0</v>
      </c>
      <c r="D316" s="213">
        <f t="shared" si="156"/>
        <v>0</v>
      </c>
      <c r="E316" s="213">
        <f t="shared" si="156"/>
        <v>0</v>
      </c>
      <c r="F316" s="213">
        <f t="shared" si="156"/>
        <v>0</v>
      </c>
      <c r="G316" s="213">
        <f t="shared" si="156"/>
        <v>0</v>
      </c>
      <c r="H316" s="213">
        <f t="shared" si="156"/>
        <v>0</v>
      </c>
      <c r="I316" s="213">
        <f t="shared" si="156"/>
        <v>0</v>
      </c>
      <c r="J316" s="213">
        <f t="shared" si="156"/>
        <v>883.4395526</v>
      </c>
      <c r="K316" s="213">
        <f t="shared" si="156"/>
        <v>985.3964145</v>
      </c>
      <c r="L316" s="213">
        <f t="shared" si="156"/>
        <v>0</v>
      </c>
      <c r="M316" s="213">
        <f>0</f>
        <v>0</v>
      </c>
    </row>
    <row r="317" ht="15.75" hidden="1" customHeight="1" outlineLevel="1">
      <c r="A317" s="142" t="s">
        <v>1060</v>
      </c>
      <c r="B317" s="213">
        <f t="shared" ref="B317:M317" si="157">MIN(MAX(0,B$24-($B$6*$B$7-B$25)),$B$6*$A$80)</f>
        <v>0</v>
      </c>
      <c r="C317" s="213">
        <f t="shared" si="157"/>
        <v>0</v>
      </c>
      <c r="D317" s="213">
        <f t="shared" si="157"/>
        <v>0</v>
      </c>
      <c r="E317" s="213">
        <f t="shared" si="157"/>
        <v>0</v>
      </c>
      <c r="F317" s="213">
        <f t="shared" si="157"/>
        <v>0</v>
      </c>
      <c r="G317" s="213">
        <f t="shared" si="157"/>
        <v>0</v>
      </c>
      <c r="H317" s="213">
        <f t="shared" si="157"/>
        <v>0</v>
      </c>
      <c r="I317" s="213">
        <f t="shared" si="157"/>
        <v>0</v>
      </c>
      <c r="J317" s="213">
        <f t="shared" si="157"/>
        <v>0</v>
      </c>
      <c r="K317" s="213">
        <f t="shared" si="157"/>
        <v>0</v>
      </c>
      <c r="L317" s="213">
        <f t="shared" si="157"/>
        <v>0</v>
      </c>
      <c r="M317" s="213">
        <f t="shared" si="157"/>
        <v>0</v>
      </c>
    </row>
    <row r="318" ht="15.75" hidden="1" customHeight="1" outlineLevel="1">
      <c r="A318" s="142" t="s">
        <v>902</v>
      </c>
      <c r="B318" s="213">
        <f t="shared" ref="B318:L318" si="158">C315*$B$14</f>
        <v>0</v>
      </c>
      <c r="C318" s="213">
        <f t="shared" si="158"/>
        <v>0</v>
      </c>
      <c r="D318" s="213">
        <f t="shared" si="158"/>
        <v>0</v>
      </c>
      <c r="E318" s="213">
        <f t="shared" si="158"/>
        <v>0</v>
      </c>
      <c r="F318" s="213">
        <f t="shared" si="158"/>
        <v>0</v>
      </c>
      <c r="G318" s="213">
        <f t="shared" si="158"/>
        <v>0</v>
      </c>
      <c r="H318" s="213">
        <f t="shared" si="158"/>
        <v>0</v>
      </c>
      <c r="I318" s="213">
        <f t="shared" si="158"/>
        <v>0</v>
      </c>
      <c r="J318" s="213">
        <f t="shared" si="158"/>
        <v>6174.124569</v>
      </c>
      <c r="K318" s="213">
        <f t="shared" si="158"/>
        <v>13060.79859</v>
      </c>
      <c r="L318" s="213">
        <f t="shared" si="158"/>
        <v>4102.25119</v>
      </c>
      <c r="M318" s="213">
        <f>0</f>
        <v>0</v>
      </c>
    </row>
    <row r="319" ht="15.75" hidden="1" customHeight="1" outlineLevel="1">
      <c r="A319" s="142" t="s">
        <v>907</v>
      </c>
      <c r="B319" s="213">
        <f t="shared" ref="B319:M319" si="159">IF(B316&gt;0,1,0)</f>
        <v>0</v>
      </c>
      <c r="C319" s="213">
        <f t="shared" si="159"/>
        <v>0</v>
      </c>
      <c r="D319" s="213">
        <f t="shared" si="159"/>
        <v>0</v>
      </c>
      <c r="E319" s="213">
        <f t="shared" si="159"/>
        <v>0</v>
      </c>
      <c r="F319" s="213">
        <f t="shared" si="159"/>
        <v>0</v>
      </c>
      <c r="G319" s="213">
        <f t="shared" si="159"/>
        <v>0</v>
      </c>
      <c r="H319" s="213">
        <f t="shared" si="159"/>
        <v>0</v>
      </c>
      <c r="I319" s="213">
        <f t="shared" si="159"/>
        <v>0</v>
      </c>
      <c r="J319" s="213">
        <f t="shared" si="159"/>
        <v>1</v>
      </c>
      <c r="K319" s="213">
        <f t="shared" si="159"/>
        <v>1</v>
      </c>
      <c r="L319" s="213">
        <f t="shared" si="159"/>
        <v>0</v>
      </c>
      <c r="M319" s="213">
        <f t="shared" si="159"/>
        <v>0</v>
      </c>
    </row>
    <row r="320" ht="15.75" hidden="1" customHeight="1" outlineLevel="1">
      <c r="A320" s="141" t="s">
        <v>1061</v>
      </c>
    </row>
    <row r="321" ht="15.75" hidden="1" customHeight="1" outlineLevel="1">
      <c r="A321" s="142" t="s">
        <v>896</v>
      </c>
      <c r="B321" s="213">
        <f t="shared" ref="B321:M321" si="160">MAX(0,$B$6*$B$7-B$25-B$24)</f>
        <v>282.0172785</v>
      </c>
      <c r="C321" s="213">
        <f t="shared" si="160"/>
        <v>180.999101</v>
      </c>
      <c r="D321" s="213">
        <f t="shared" si="160"/>
        <v>372.6975425</v>
      </c>
      <c r="E321" s="213">
        <f t="shared" si="160"/>
        <v>1514.155441</v>
      </c>
      <c r="F321" s="213">
        <f t="shared" si="160"/>
        <v>1695.448334</v>
      </c>
      <c r="G321" s="213">
        <f t="shared" si="160"/>
        <v>119.2371167</v>
      </c>
      <c r="H321" s="213">
        <f t="shared" si="160"/>
        <v>1256.095034</v>
      </c>
      <c r="I321" s="213">
        <f t="shared" si="160"/>
        <v>1272.74327</v>
      </c>
      <c r="J321" s="213">
        <f t="shared" si="160"/>
        <v>887.113722</v>
      </c>
      <c r="K321" s="213">
        <f t="shared" si="160"/>
        <v>985.3964145</v>
      </c>
      <c r="L321" s="213">
        <f t="shared" si="160"/>
        <v>0</v>
      </c>
      <c r="M321" s="213">
        <f t="shared" si="160"/>
        <v>0</v>
      </c>
    </row>
    <row r="322" ht="15.75" hidden="1" customHeight="1" outlineLevel="1">
      <c r="A322" s="142" t="s">
        <v>1059</v>
      </c>
      <c r="B322" s="213">
        <f t="shared" ref="B322:M322" si="161">MAX(0,B$24-($B$6*($B$7+$A$81)-B$25))</f>
        <v>0</v>
      </c>
      <c r="C322" s="213">
        <f t="shared" si="161"/>
        <v>0</v>
      </c>
      <c r="D322" s="213">
        <f t="shared" si="161"/>
        <v>0</v>
      </c>
      <c r="E322" s="213">
        <f t="shared" si="161"/>
        <v>0</v>
      </c>
      <c r="F322" s="213">
        <f t="shared" si="161"/>
        <v>0</v>
      </c>
      <c r="G322" s="213">
        <f t="shared" si="161"/>
        <v>0</v>
      </c>
      <c r="H322" s="213">
        <f t="shared" si="161"/>
        <v>0</v>
      </c>
      <c r="I322" s="213">
        <f t="shared" si="161"/>
        <v>0</v>
      </c>
      <c r="J322" s="213">
        <f t="shared" si="161"/>
        <v>0</v>
      </c>
      <c r="K322" s="213">
        <f t="shared" si="161"/>
        <v>0</v>
      </c>
      <c r="L322" s="213">
        <f t="shared" si="161"/>
        <v>1011.85543</v>
      </c>
      <c r="M322" s="213">
        <f t="shared" si="161"/>
        <v>316.9805371</v>
      </c>
    </row>
    <row r="323" ht="15.75" hidden="1" customHeight="1" outlineLevel="1">
      <c r="A323" s="142" t="s">
        <v>898</v>
      </c>
      <c r="B323" s="213">
        <f t="shared" ref="B323:M323" si="162">MIN(B322,B$21)</f>
        <v>0</v>
      </c>
      <c r="C323" s="213">
        <f t="shared" si="162"/>
        <v>0</v>
      </c>
      <c r="D323" s="213">
        <f t="shared" si="162"/>
        <v>0</v>
      </c>
      <c r="E323" s="213">
        <f t="shared" si="162"/>
        <v>0</v>
      </c>
      <c r="F323" s="213">
        <f t="shared" si="162"/>
        <v>0</v>
      </c>
      <c r="G323" s="213">
        <f t="shared" si="162"/>
        <v>0</v>
      </c>
      <c r="H323" s="213">
        <f t="shared" si="162"/>
        <v>0</v>
      </c>
      <c r="I323" s="213">
        <f t="shared" si="162"/>
        <v>0</v>
      </c>
      <c r="J323" s="213">
        <f t="shared" si="162"/>
        <v>0</v>
      </c>
      <c r="K323" s="213">
        <f t="shared" si="162"/>
        <v>0</v>
      </c>
      <c r="L323" s="213">
        <f t="shared" si="162"/>
        <v>1011.85543</v>
      </c>
      <c r="M323" s="213">
        <f t="shared" si="162"/>
        <v>316.9805371</v>
      </c>
    </row>
    <row r="324" ht="15.75" hidden="1" customHeight="1" outlineLevel="1">
      <c r="A324" s="142" t="s">
        <v>900</v>
      </c>
      <c r="B324" s="213">
        <f t="shared" ref="B324:L324" si="163">MAX(0,C324-B321)+B323</f>
        <v>0</v>
      </c>
      <c r="C324" s="213">
        <f t="shared" si="163"/>
        <v>0</v>
      </c>
      <c r="D324" s="213">
        <f t="shared" si="163"/>
        <v>0</v>
      </c>
      <c r="E324" s="213">
        <f t="shared" si="163"/>
        <v>0</v>
      </c>
      <c r="F324" s="213">
        <f t="shared" si="163"/>
        <v>0</v>
      </c>
      <c r="G324" s="213">
        <f t="shared" si="163"/>
        <v>0</v>
      </c>
      <c r="H324" s="213">
        <f t="shared" si="163"/>
        <v>0</v>
      </c>
      <c r="I324" s="213">
        <f t="shared" si="163"/>
        <v>0</v>
      </c>
      <c r="J324" s="213">
        <f t="shared" si="163"/>
        <v>0</v>
      </c>
      <c r="K324" s="213">
        <f t="shared" si="163"/>
        <v>343.4395526</v>
      </c>
      <c r="L324" s="213">
        <f t="shared" si="163"/>
        <v>1328.835967</v>
      </c>
      <c r="M324" s="213">
        <f>M323</f>
        <v>316.9805371</v>
      </c>
    </row>
    <row r="325" ht="15.75" hidden="1" customHeight="1" outlineLevel="1">
      <c r="A325" s="142" t="s">
        <v>901</v>
      </c>
      <c r="B325" s="213">
        <f t="shared" ref="B325:L325" si="164">MIN(B321,C324)</f>
        <v>0</v>
      </c>
      <c r="C325" s="213">
        <f t="shared" si="164"/>
        <v>0</v>
      </c>
      <c r="D325" s="213">
        <f t="shared" si="164"/>
        <v>0</v>
      </c>
      <c r="E325" s="213">
        <f t="shared" si="164"/>
        <v>0</v>
      </c>
      <c r="F325" s="213">
        <f t="shared" si="164"/>
        <v>0</v>
      </c>
      <c r="G325" s="213">
        <f t="shared" si="164"/>
        <v>0</v>
      </c>
      <c r="H325" s="213">
        <f t="shared" si="164"/>
        <v>0</v>
      </c>
      <c r="I325" s="213">
        <f t="shared" si="164"/>
        <v>0</v>
      </c>
      <c r="J325" s="213">
        <f t="shared" si="164"/>
        <v>343.4395526</v>
      </c>
      <c r="K325" s="213">
        <f t="shared" si="164"/>
        <v>985.3964145</v>
      </c>
      <c r="L325" s="213">
        <f t="shared" si="164"/>
        <v>0</v>
      </c>
      <c r="M325" s="213">
        <f>0</f>
        <v>0</v>
      </c>
    </row>
    <row r="326" ht="15.75" hidden="1" customHeight="1" outlineLevel="1">
      <c r="A326" s="142" t="s">
        <v>1060</v>
      </c>
      <c r="B326" s="213">
        <f t="shared" ref="B326:M326" si="165">MIN(MAX(0,B$24-($B$6*$B$7-B$25)),$B$6*$A$81)</f>
        <v>0</v>
      </c>
      <c r="C326" s="213">
        <f t="shared" si="165"/>
        <v>0</v>
      </c>
      <c r="D326" s="213">
        <f t="shared" si="165"/>
        <v>0</v>
      </c>
      <c r="E326" s="213">
        <f t="shared" si="165"/>
        <v>0</v>
      </c>
      <c r="F326" s="213">
        <f t="shared" si="165"/>
        <v>0</v>
      </c>
      <c r="G326" s="213">
        <f t="shared" si="165"/>
        <v>0</v>
      </c>
      <c r="H326" s="213">
        <f t="shared" si="165"/>
        <v>0</v>
      </c>
      <c r="I326" s="213">
        <f t="shared" si="165"/>
        <v>0</v>
      </c>
      <c r="J326" s="213">
        <f t="shared" si="165"/>
        <v>0</v>
      </c>
      <c r="K326" s="213">
        <f t="shared" si="165"/>
        <v>0</v>
      </c>
      <c r="L326" s="213">
        <f t="shared" si="165"/>
        <v>270</v>
      </c>
      <c r="M326" s="213">
        <f t="shared" si="165"/>
        <v>270</v>
      </c>
    </row>
    <row r="327" ht="15.75" hidden="1" customHeight="1" outlineLevel="1">
      <c r="A327" s="142" t="s">
        <v>902</v>
      </c>
      <c r="B327" s="213">
        <f t="shared" ref="B327:L327" si="166">C324*$B$14</f>
        <v>0</v>
      </c>
      <c r="C327" s="213">
        <f t="shared" si="166"/>
        <v>0</v>
      </c>
      <c r="D327" s="213">
        <f t="shared" si="166"/>
        <v>0</v>
      </c>
      <c r="E327" s="213">
        <f t="shared" si="166"/>
        <v>0</v>
      </c>
      <c r="F327" s="213">
        <f t="shared" si="166"/>
        <v>0</v>
      </c>
      <c r="G327" s="213">
        <f t="shared" si="166"/>
        <v>0</v>
      </c>
      <c r="H327" s="213">
        <f t="shared" si="166"/>
        <v>0</v>
      </c>
      <c r="I327" s="213">
        <f t="shared" si="166"/>
        <v>0</v>
      </c>
      <c r="J327" s="213">
        <f t="shared" si="166"/>
        <v>2400.207885</v>
      </c>
      <c r="K327" s="213">
        <f t="shared" si="166"/>
        <v>9286.881902</v>
      </c>
      <c r="L327" s="213">
        <f t="shared" si="166"/>
        <v>2215.292847</v>
      </c>
      <c r="M327" s="213">
        <f>0</f>
        <v>0</v>
      </c>
    </row>
    <row r="328" ht="15.75" hidden="1" customHeight="1" outlineLevel="1">
      <c r="A328" s="142" t="s">
        <v>907</v>
      </c>
      <c r="B328" s="213">
        <f t="shared" ref="B328:M328" si="167">IF(B325&gt;0,1,0)</f>
        <v>0</v>
      </c>
      <c r="C328" s="213">
        <f t="shared" si="167"/>
        <v>0</v>
      </c>
      <c r="D328" s="213">
        <f t="shared" si="167"/>
        <v>0</v>
      </c>
      <c r="E328" s="213">
        <f t="shared" si="167"/>
        <v>0</v>
      </c>
      <c r="F328" s="213">
        <f t="shared" si="167"/>
        <v>0</v>
      </c>
      <c r="G328" s="213">
        <f t="shared" si="167"/>
        <v>0</v>
      </c>
      <c r="H328" s="213">
        <f t="shared" si="167"/>
        <v>0</v>
      </c>
      <c r="I328" s="213">
        <f t="shared" si="167"/>
        <v>0</v>
      </c>
      <c r="J328" s="213">
        <f t="shared" si="167"/>
        <v>1</v>
      </c>
      <c r="K328" s="213">
        <f t="shared" si="167"/>
        <v>1</v>
      </c>
      <c r="L328" s="213">
        <f t="shared" si="167"/>
        <v>0</v>
      </c>
      <c r="M328" s="213">
        <f t="shared" si="167"/>
        <v>0</v>
      </c>
    </row>
    <row r="329" ht="15.75" hidden="1" customHeight="1" outlineLevel="1">
      <c r="A329" s="141" t="s">
        <v>1062</v>
      </c>
    </row>
    <row r="330" ht="15.75" hidden="1" customHeight="1" outlineLevel="1">
      <c r="A330" s="142" t="s">
        <v>896</v>
      </c>
      <c r="B330" s="213">
        <f t="shared" ref="B330:M330" si="168">MAX(0,$B$6*$B$7-B$25-B$24)</f>
        <v>282.0172785</v>
      </c>
      <c r="C330" s="213">
        <f t="shared" si="168"/>
        <v>180.999101</v>
      </c>
      <c r="D330" s="213">
        <f t="shared" si="168"/>
        <v>372.6975425</v>
      </c>
      <c r="E330" s="213">
        <f t="shared" si="168"/>
        <v>1514.155441</v>
      </c>
      <c r="F330" s="213">
        <f t="shared" si="168"/>
        <v>1695.448334</v>
      </c>
      <c r="G330" s="213">
        <f t="shared" si="168"/>
        <v>119.2371167</v>
      </c>
      <c r="H330" s="213">
        <f t="shared" si="168"/>
        <v>1256.095034</v>
      </c>
      <c r="I330" s="213">
        <f t="shared" si="168"/>
        <v>1272.74327</v>
      </c>
      <c r="J330" s="213">
        <f t="shared" si="168"/>
        <v>887.113722</v>
      </c>
      <c r="K330" s="213">
        <f t="shared" si="168"/>
        <v>985.3964145</v>
      </c>
      <c r="L330" s="213">
        <f t="shared" si="168"/>
        <v>0</v>
      </c>
      <c r="M330" s="213">
        <f t="shared" si="168"/>
        <v>0</v>
      </c>
    </row>
    <row r="331" ht="15.75" hidden="1" customHeight="1" outlineLevel="1">
      <c r="A331" s="142" t="s">
        <v>1059</v>
      </c>
      <c r="B331" s="213">
        <f t="shared" ref="B331:M331" si="169">MAX(0,B$24-($B$6*($B$7+$A$82)-B$25))</f>
        <v>0</v>
      </c>
      <c r="C331" s="213">
        <f t="shared" si="169"/>
        <v>0</v>
      </c>
      <c r="D331" s="213">
        <f t="shared" si="169"/>
        <v>0</v>
      </c>
      <c r="E331" s="213">
        <f t="shared" si="169"/>
        <v>0</v>
      </c>
      <c r="F331" s="213">
        <f t="shared" si="169"/>
        <v>0</v>
      </c>
      <c r="G331" s="213">
        <f t="shared" si="169"/>
        <v>0</v>
      </c>
      <c r="H331" s="213">
        <f t="shared" si="169"/>
        <v>0</v>
      </c>
      <c r="I331" s="213">
        <f t="shared" si="169"/>
        <v>0</v>
      </c>
      <c r="J331" s="213">
        <f t="shared" si="169"/>
        <v>0</v>
      </c>
      <c r="K331" s="213">
        <f t="shared" si="169"/>
        <v>0</v>
      </c>
      <c r="L331" s="213">
        <f t="shared" si="169"/>
        <v>741.85543</v>
      </c>
      <c r="M331" s="213">
        <f t="shared" si="169"/>
        <v>46.98053709</v>
      </c>
    </row>
    <row r="332" ht="15.75" hidden="1" customHeight="1" outlineLevel="1">
      <c r="A332" s="142" t="s">
        <v>898</v>
      </c>
      <c r="B332" s="213">
        <f t="shared" ref="B332:M332" si="170">MIN(B331,B$21)</f>
        <v>0</v>
      </c>
      <c r="C332" s="213">
        <f t="shared" si="170"/>
        <v>0</v>
      </c>
      <c r="D332" s="213">
        <f t="shared" si="170"/>
        <v>0</v>
      </c>
      <c r="E332" s="213">
        <f t="shared" si="170"/>
        <v>0</v>
      </c>
      <c r="F332" s="213">
        <f t="shared" si="170"/>
        <v>0</v>
      </c>
      <c r="G332" s="213">
        <f t="shared" si="170"/>
        <v>0</v>
      </c>
      <c r="H332" s="213">
        <f t="shared" si="170"/>
        <v>0</v>
      </c>
      <c r="I332" s="213">
        <f t="shared" si="170"/>
        <v>0</v>
      </c>
      <c r="J332" s="213">
        <f t="shared" si="170"/>
        <v>0</v>
      </c>
      <c r="K332" s="213">
        <f t="shared" si="170"/>
        <v>0</v>
      </c>
      <c r="L332" s="213">
        <f t="shared" si="170"/>
        <v>741.85543</v>
      </c>
      <c r="M332" s="213">
        <f t="shared" si="170"/>
        <v>46.98053709</v>
      </c>
    </row>
    <row r="333" ht="15.75" hidden="1" customHeight="1" outlineLevel="1">
      <c r="A333" s="142" t="s">
        <v>900</v>
      </c>
      <c r="B333" s="213">
        <f t="shared" ref="B333:L333" si="171">MAX(0,C333-B330)+B332</f>
        <v>0</v>
      </c>
      <c r="C333" s="213">
        <f t="shared" si="171"/>
        <v>0</v>
      </c>
      <c r="D333" s="213">
        <f t="shared" si="171"/>
        <v>0</v>
      </c>
      <c r="E333" s="213">
        <f t="shared" si="171"/>
        <v>0</v>
      </c>
      <c r="F333" s="213">
        <f t="shared" si="171"/>
        <v>0</v>
      </c>
      <c r="G333" s="213">
        <f t="shared" si="171"/>
        <v>0</v>
      </c>
      <c r="H333" s="213">
        <f t="shared" si="171"/>
        <v>0</v>
      </c>
      <c r="I333" s="213">
        <f t="shared" si="171"/>
        <v>0</v>
      </c>
      <c r="J333" s="213">
        <f t="shared" si="171"/>
        <v>0</v>
      </c>
      <c r="K333" s="213">
        <f t="shared" si="171"/>
        <v>0</v>
      </c>
      <c r="L333" s="213">
        <f t="shared" si="171"/>
        <v>788.8359671</v>
      </c>
      <c r="M333" s="213">
        <f>M332</f>
        <v>46.98053709</v>
      </c>
    </row>
    <row r="334" ht="15.75" hidden="1" customHeight="1" outlineLevel="1">
      <c r="A334" s="142" t="s">
        <v>901</v>
      </c>
      <c r="B334" s="213">
        <f t="shared" ref="B334:L334" si="172">MIN(B330,C333)</f>
        <v>0</v>
      </c>
      <c r="C334" s="213">
        <f t="shared" si="172"/>
        <v>0</v>
      </c>
      <c r="D334" s="213">
        <f t="shared" si="172"/>
        <v>0</v>
      </c>
      <c r="E334" s="213">
        <f t="shared" si="172"/>
        <v>0</v>
      </c>
      <c r="F334" s="213">
        <f t="shared" si="172"/>
        <v>0</v>
      </c>
      <c r="G334" s="213">
        <f t="shared" si="172"/>
        <v>0</v>
      </c>
      <c r="H334" s="213">
        <f t="shared" si="172"/>
        <v>0</v>
      </c>
      <c r="I334" s="213">
        <f t="shared" si="172"/>
        <v>0</v>
      </c>
      <c r="J334" s="213">
        <f t="shared" si="172"/>
        <v>0</v>
      </c>
      <c r="K334" s="213">
        <f t="shared" si="172"/>
        <v>788.8359671</v>
      </c>
      <c r="L334" s="213">
        <f t="shared" si="172"/>
        <v>0</v>
      </c>
      <c r="M334" s="213">
        <f>0</f>
        <v>0</v>
      </c>
    </row>
    <row r="335" ht="15.75" hidden="1" customHeight="1" outlineLevel="1">
      <c r="A335" s="142" t="s">
        <v>1060</v>
      </c>
      <c r="B335" s="213">
        <f t="shared" ref="B335:M335" si="173">MIN(MAX(0,B$24-($B$6*$B$7-B$25)),$B$6*$A$82)</f>
        <v>0</v>
      </c>
      <c r="C335" s="213">
        <f t="shared" si="173"/>
        <v>0</v>
      </c>
      <c r="D335" s="213">
        <f t="shared" si="173"/>
        <v>0</v>
      </c>
      <c r="E335" s="213">
        <f t="shared" si="173"/>
        <v>0</v>
      </c>
      <c r="F335" s="213">
        <f t="shared" si="173"/>
        <v>0</v>
      </c>
      <c r="G335" s="213">
        <f t="shared" si="173"/>
        <v>0</v>
      </c>
      <c r="H335" s="213">
        <f t="shared" si="173"/>
        <v>0</v>
      </c>
      <c r="I335" s="213">
        <f t="shared" si="173"/>
        <v>0</v>
      </c>
      <c r="J335" s="213">
        <f t="shared" si="173"/>
        <v>0</v>
      </c>
      <c r="K335" s="213">
        <f t="shared" si="173"/>
        <v>0</v>
      </c>
      <c r="L335" s="213">
        <f t="shared" si="173"/>
        <v>540</v>
      </c>
      <c r="M335" s="213">
        <f t="shared" si="173"/>
        <v>540</v>
      </c>
    </row>
    <row r="336" ht="15.75" hidden="1" customHeight="1" outlineLevel="1">
      <c r="A336" s="142" t="s">
        <v>902</v>
      </c>
      <c r="B336" s="213">
        <f t="shared" ref="B336:L336" si="174">C333*$B$14</f>
        <v>0</v>
      </c>
      <c r="C336" s="213">
        <f t="shared" si="174"/>
        <v>0</v>
      </c>
      <c r="D336" s="213">
        <f t="shared" si="174"/>
        <v>0</v>
      </c>
      <c r="E336" s="213">
        <f t="shared" si="174"/>
        <v>0</v>
      </c>
      <c r="F336" s="213">
        <f t="shared" si="174"/>
        <v>0</v>
      </c>
      <c r="G336" s="213">
        <f t="shared" si="174"/>
        <v>0</v>
      </c>
      <c r="H336" s="213">
        <f t="shared" si="174"/>
        <v>0</v>
      </c>
      <c r="I336" s="213">
        <f t="shared" si="174"/>
        <v>0</v>
      </c>
      <c r="J336" s="213">
        <f t="shared" si="174"/>
        <v>0</v>
      </c>
      <c r="K336" s="213">
        <f t="shared" si="174"/>
        <v>5512.965218</v>
      </c>
      <c r="L336" s="213">
        <f t="shared" si="174"/>
        <v>328.3345051</v>
      </c>
      <c r="M336" s="213">
        <f>0</f>
        <v>0</v>
      </c>
    </row>
    <row r="337" ht="15.75" hidden="1" customHeight="1" outlineLevel="1">
      <c r="A337" s="142" t="s">
        <v>907</v>
      </c>
      <c r="B337" s="213">
        <f t="shared" ref="B337:M337" si="175">IF(B334&gt;0,1,0)</f>
        <v>0</v>
      </c>
      <c r="C337" s="213">
        <f t="shared" si="175"/>
        <v>0</v>
      </c>
      <c r="D337" s="213">
        <f t="shared" si="175"/>
        <v>0</v>
      </c>
      <c r="E337" s="213">
        <f t="shared" si="175"/>
        <v>0</v>
      </c>
      <c r="F337" s="213">
        <f t="shared" si="175"/>
        <v>0</v>
      </c>
      <c r="G337" s="213">
        <f t="shared" si="175"/>
        <v>0</v>
      </c>
      <c r="H337" s="213">
        <f t="shared" si="175"/>
        <v>0</v>
      </c>
      <c r="I337" s="213">
        <f t="shared" si="175"/>
        <v>0</v>
      </c>
      <c r="J337" s="213">
        <f t="shared" si="175"/>
        <v>0</v>
      </c>
      <c r="K337" s="213">
        <f t="shared" si="175"/>
        <v>1</v>
      </c>
      <c r="L337" s="213">
        <f t="shared" si="175"/>
        <v>0</v>
      </c>
      <c r="M337" s="213">
        <f t="shared" si="175"/>
        <v>0</v>
      </c>
    </row>
    <row r="338" ht="15.75" hidden="1" customHeight="1" outlineLevel="1">
      <c r="A338" s="141" t="s">
        <v>1063</v>
      </c>
    </row>
    <row r="339" ht="15.75" hidden="1" customHeight="1" outlineLevel="1">
      <c r="A339" s="142" t="s">
        <v>896</v>
      </c>
      <c r="B339" s="213">
        <f t="shared" ref="B339:M339" si="176">MAX(0,$B$6*$B$7-B$25-B$24)</f>
        <v>282.0172785</v>
      </c>
      <c r="C339" s="213">
        <f t="shared" si="176"/>
        <v>180.999101</v>
      </c>
      <c r="D339" s="213">
        <f t="shared" si="176"/>
        <v>372.6975425</v>
      </c>
      <c r="E339" s="213">
        <f t="shared" si="176"/>
        <v>1514.155441</v>
      </c>
      <c r="F339" s="213">
        <f t="shared" si="176"/>
        <v>1695.448334</v>
      </c>
      <c r="G339" s="213">
        <f t="shared" si="176"/>
        <v>119.2371167</v>
      </c>
      <c r="H339" s="213">
        <f t="shared" si="176"/>
        <v>1256.095034</v>
      </c>
      <c r="I339" s="213">
        <f t="shared" si="176"/>
        <v>1272.74327</v>
      </c>
      <c r="J339" s="213">
        <f t="shared" si="176"/>
        <v>887.113722</v>
      </c>
      <c r="K339" s="213">
        <f t="shared" si="176"/>
        <v>985.3964145</v>
      </c>
      <c r="L339" s="213">
        <f t="shared" si="176"/>
        <v>0</v>
      </c>
      <c r="M339" s="213">
        <f t="shared" si="176"/>
        <v>0</v>
      </c>
    </row>
    <row r="340" ht="15.75" hidden="1" customHeight="1" outlineLevel="1">
      <c r="A340" s="142" t="s">
        <v>1059</v>
      </c>
      <c r="B340" s="213">
        <f t="shared" ref="B340:M340" si="177">MAX(0,B$24-($B$6*($B$7+$A$83)-B$25))</f>
        <v>0</v>
      </c>
      <c r="C340" s="213">
        <f t="shared" si="177"/>
        <v>0</v>
      </c>
      <c r="D340" s="213">
        <f t="shared" si="177"/>
        <v>0</v>
      </c>
      <c r="E340" s="213">
        <f t="shared" si="177"/>
        <v>0</v>
      </c>
      <c r="F340" s="213">
        <f t="shared" si="177"/>
        <v>0</v>
      </c>
      <c r="G340" s="213">
        <f t="shared" si="177"/>
        <v>0</v>
      </c>
      <c r="H340" s="213">
        <f t="shared" si="177"/>
        <v>0</v>
      </c>
      <c r="I340" s="213">
        <f t="shared" si="177"/>
        <v>0</v>
      </c>
      <c r="J340" s="213">
        <f t="shared" si="177"/>
        <v>0</v>
      </c>
      <c r="K340" s="213">
        <f t="shared" si="177"/>
        <v>0</v>
      </c>
      <c r="L340" s="213">
        <f t="shared" si="177"/>
        <v>471.85543</v>
      </c>
      <c r="M340" s="213">
        <f t="shared" si="177"/>
        <v>0</v>
      </c>
    </row>
    <row r="341" ht="15.75" hidden="1" customHeight="1" outlineLevel="1">
      <c r="A341" s="142" t="s">
        <v>898</v>
      </c>
      <c r="B341" s="213">
        <f t="shared" ref="B341:M341" si="178">MIN(B340,B$21)</f>
        <v>0</v>
      </c>
      <c r="C341" s="213">
        <f t="shared" si="178"/>
        <v>0</v>
      </c>
      <c r="D341" s="213">
        <f t="shared" si="178"/>
        <v>0</v>
      </c>
      <c r="E341" s="213">
        <f t="shared" si="178"/>
        <v>0</v>
      </c>
      <c r="F341" s="213">
        <f t="shared" si="178"/>
        <v>0</v>
      </c>
      <c r="G341" s="213">
        <f t="shared" si="178"/>
        <v>0</v>
      </c>
      <c r="H341" s="213">
        <f t="shared" si="178"/>
        <v>0</v>
      </c>
      <c r="I341" s="213">
        <f t="shared" si="178"/>
        <v>0</v>
      </c>
      <c r="J341" s="213">
        <f t="shared" si="178"/>
        <v>0</v>
      </c>
      <c r="K341" s="213">
        <f t="shared" si="178"/>
        <v>0</v>
      </c>
      <c r="L341" s="213">
        <f t="shared" si="178"/>
        <v>471.85543</v>
      </c>
      <c r="M341" s="213">
        <f t="shared" si="178"/>
        <v>0</v>
      </c>
    </row>
    <row r="342" ht="15.75" hidden="1" customHeight="1" outlineLevel="1">
      <c r="A342" s="142" t="s">
        <v>900</v>
      </c>
      <c r="B342" s="213">
        <f t="shared" ref="B342:L342" si="179">MAX(0,C342-B339)+B341</f>
        <v>0</v>
      </c>
      <c r="C342" s="213">
        <f t="shared" si="179"/>
        <v>0</v>
      </c>
      <c r="D342" s="213">
        <f t="shared" si="179"/>
        <v>0</v>
      </c>
      <c r="E342" s="213">
        <f t="shared" si="179"/>
        <v>0</v>
      </c>
      <c r="F342" s="213">
        <f t="shared" si="179"/>
        <v>0</v>
      </c>
      <c r="G342" s="213">
        <f t="shared" si="179"/>
        <v>0</v>
      </c>
      <c r="H342" s="213">
        <f t="shared" si="179"/>
        <v>0</v>
      </c>
      <c r="I342" s="213">
        <f t="shared" si="179"/>
        <v>0</v>
      </c>
      <c r="J342" s="213">
        <f t="shared" si="179"/>
        <v>0</v>
      </c>
      <c r="K342" s="213">
        <f t="shared" si="179"/>
        <v>0</v>
      </c>
      <c r="L342" s="213">
        <f t="shared" si="179"/>
        <v>471.85543</v>
      </c>
      <c r="M342" s="213">
        <f>M341</f>
        <v>0</v>
      </c>
    </row>
    <row r="343" ht="15.75" hidden="1" customHeight="1" outlineLevel="1">
      <c r="A343" s="142" t="s">
        <v>901</v>
      </c>
      <c r="B343" s="213">
        <f t="shared" ref="B343:L343" si="180">MIN(B339,C342)</f>
        <v>0</v>
      </c>
      <c r="C343" s="213">
        <f t="shared" si="180"/>
        <v>0</v>
      </c>
      <c r="D343" s="213">
        <f t="shared" si="180"/>
        <v>0</v>
      </c>
      <c r="E343" s="213">
        <f t="shared" si="180"/>
        <v>0</v>
      </c>
      <c r="F343" s="213">
        <f t="shared" si="180"/>
        <v>0</v>
      </c>
      <c r="G343" s="213">
        <f t="shared" si="180"/>
        <v>0</v>
      </c>
      <c r="H343" s="213">
        <f t="shared" si="180"/>
        <v>0</v>
      </c>
      <c r="I343" s="213">
        <f t="shared" si="180"/>
        <v>0</v>
      </c>
      <c r="J343" s="213">
        <f t="shared" si="180"/>
        <v>0</v>
      </c>
      <c r="K343" s="213">
        <f t="shared" si="180"/>
        <v>471.85543</v>
      </c>
      <c r="L343" s="213">
        <f t="shared" si="180"/>
        <v>0</v>
      </c>
      <c r="M343" s="213">
        <f>0</f>
        <v>0</v>
      </c>
    </row>
    <row r="344" ht="15.75" hidden="1" customHeight="1" outlineLevel="1">
      <c r="A344" s="142" t="s">
        <v>1060</v>
      </c>
      <c r="B344" s="213">
        <f t="shared" ref="B344:M344" si="181">MIN(MAX(0,B$24-($B$6*$B$7-B$25)),$B$6*$A$83)</f>
        <v>0</v>
      </c>
      <c r="C344" s="213">
        <f t="shared" si="181"/>
        <v>0</v>
      </c>
      <c r="D344" s="213">
        <f t="shared" si="181"/>
        <v>0</v>
      </c>
      <c r="E344" s="213">
        <f t="shared" si="181"/>
        <v>0</v>
      </c>
      <c r="F344" s="213">
        <f t="shared" si="181"/>
        <v>0</v>
      </c>
      <c r="G344" s="213">
        <f t="shared" si="181"/>
        <v>0</v>
      </c>
      <c r="H344" s="213">
        <f t="shared" si="181"/>
        <v>0</v>
      </c>
      <c r="I344" s="213">
        <f t="shared" si="181"/>
        <v>0</v>
      </c>
      <c r="J344" s="213">
        <f t="shared" si="181"/>
        <v>0</v>
      </c>
      <c r="K344" s="213">
        <f t="shared" si="181"/>
        <v>0</v>
      </c>
      <c r="L344" s="213">
        <f t="shared" si="181"/>
        <v>810</v>
      </c>
      <c r="M344" s="213">
        <f t="shared" si="181"/>
        <v>586.9805371</v>
      </c>
    </row>
    <row r="345" ht="15.75" hidden="1" customHeight="1" outlineLevel="1">
      <c r="A345" s="142" t="s">
        <v>902</v>
      </c>
      <c r="B345" s="213">
        <f t="shared" ref="B345:L345" si="182">C342*$B$14</f>
        <v>0</v>
      </c>
      <c r="C345" s="213">
        <f t="shared" si="182"/>
        <v>0</v>
      </c>
      <c r="D345" s="213">
        <f t="shared" si="182"/>
        <v>0</v>
      </c>
      <c r="E345" s="213">
        <f t="shared" si="182"/>
        <v>0</v>
      </c>
      <c r="F345" s="213">
        <f t="shared" si="182"/>
        <v>0</v>
      </c>
      <c r="G345" s="213">
        <f t="shared" si="182"/>
        <v>0</v>
      </c>
      <c r="H345" s="213">
        <f t="shared" si="182"/>
        <v>0</v>
      </c>
      <c r="I345" s="213">
        <f t="shared" si="182"/>
        <v>0</v>
      </c>
      <c r="J345" s="213">
        <f t="shared" si="182"/>
        <v>0</v>
      </c>
      <c r="K345" s="213">
        <f t="shared" si="182"/>
        <v>3297.67237</v>
      </c>
      <c r="L345" s="213">
        <f t="shared" si="182"/>
        <v>0</v>
      </c>
      <c r="M345" s="213">
        <f>0</f>
        <v>0</v>
      </c>
    </row>
    <row r="346" ht="15.75" hidden="1" customHeight="1" outlineLevel="1">
      <c r="A346" s="142" t="s">
        <v>907</v>
      </c>
      <c r="B346" s="213">
        <f t="shared" ref="B346:M346" si="183">IF(B343&gt;0,1,0)</f>
        <v>0</v>
      </c>
      <c r="C346" s="213">
        <f t="shared" si="183"/>
        <v>0</v>
      </c>
      <c r="D346" s="213">
        <f t="shared" si="183"/>
        <v>0</v>
      </c>
      <c r="E346" s="213">
        <f t="shared" si="183"/>
        <v>0</v>
      </c>
      <c r="F346" s="213">
        <f t="shared" si="183"/>
        <v>0</v>
      </c>
      <c r="G346" s="213">
        <f t="shared" si="183"/>
        <v>0</v>
      </c>
      <c r="H346" s="213">
        <f t="shared" si="183"/>
        <v>0</v>
      </c>
      <c r="I346" s="213">
        <f t="shared" si="183"/>
        <v>0</v>
      </c>
      <c r="J346" s="213">
        <f t="shared" si="183"/>
        <v>0</v>
      </c>
      <c r="K346" s="213">
        <f t="shared" si="183"/>
        <v>1</v>
      </c>
      <c r="L346" s="213">
        <f t="shared" si="183"/>
        <v>0</v>
      </c>
      <c r="M346" s="213">
        <f t="shared" si="183"/>
        <v>0</v>
      </c>
    </row>
    <row r="347" ht="15.75" hidden="1" customHeight="1" outlineLevel="1">
      <c r="A347" s="141" t="s">
        <v>1065</v>
      </c>
    </row>
    <row r="348" ht="15.75" hidden="1" customHeight="1" outlineLevel="1">
      <c r="A348" s="142" t="s">
        <v>896</v>
      </c>
      <c r="B348" s="213">
        <f t="shared" ref="B348:M348" si="184">MAX(0,$B$6*$B$7-B$25-B$24)</f>
        <v>282.0172785</v>
      </c>
      <c r="C348" s="213">
        <f t="shared" si="184"/>
        <v>180.999101</v>
      </c>
      <c r="D348" s="213">
        <f t="shared" si="184"/>
        <v>372.6975425</v>
      </c>
      <c r="E348" s="213">
        <f t="shared" si="184"/>
        <v>1514.155441</v>
      </c>
      <c r="F348" s="213">
        <f t="shared" si="184"/>
        <v>1695.448334</v>
      </c>
      <c r="G348" s="213">
        <f t="shared" si="184"/>
        <v>119.2371167</v>
      </c>
      <c r="H348" s="213">
        <f t="shared" si="184"/>
        <v>1256.095034</v>
      </c>
      <c r="I348" s="213">
        <f t="shared" si="184"/>
        <v>1272.74327</v>
      </c>
      <c r="J348" s="213">
        <f t="shared" si="184"/>
        <v>887.113722</v>
      </c>
      <c r="K348" s="213">
        <f t="shared" si="184"/>
        <v>985.3964145</v>
      </c>
      <c r="L348" s="213">
        <f t="shared" si="184"/>
        <v>0</v>
      </c>
      <c r="M348" s="213">
        <f t="shared" si="184"/>
        <v>0</v>
      </c>
    </row>
    <row r="349" ht="15.75" hidden="1" customHeight="1" outlineLevel="1">
      <c r="A349" s="142" t="s">
        <v>1059</v>
      </c>
      <c r="B349" s="213">
        <f t="shared" ref="B349:M349" si="185">MAX(0,B$24-($B$6*($B$7+$A$84)-B$25))</f>
        <v>0</v>
      </c>
      <c r="C349" s="213">
        <f t="shared" si="185"/>
        <v>0</v>
      </c>
      <c r="D349" s="213">
        <f t="shared" si="185"/>
        <v>0</v>
      </c>
      <c r="E349" s="213">
        <f t="shared" si="185"/>
        <v>0</v>
      </c>
      <c r="F349" s="213">
        <f t="shared" si="185"/>
        <v>0</v>
      </c>
      <c r="G349" s="213">
        <f t="shared" si="185"/>
        <v>0</v>
      </c>
      <c r="H349" s="213">
        <f t="shared" si="185"/>
        <v>0</v>
      </c>
      <c r="I349" s="213">
        <f t="shared" si="185"/>
        <v>0</v>
      </c>
      <c r="J349" s="213">
        <f t="shared" si="185"/>
        <v>0</v>
      </c>
      <c r="K349" s="213">
        <f t="shared" si="185"/>
        <v>0</v>
      </c>
      <c r="L349" s="213">
        <f t="shared" si="185"/>
        <v>201.85543</v>
      </c>
      <c r="M349" s="213">
        <f t="shared" si="185"/>
        <v>0</v>
      </c>
    </row>
    <row r="350" ht="15.75" hidden="1" customHeight="1" outlineLevel="1">
      <c r="A350" s="142" t="s">
        <v>898</v>
      </c>
      <c r="B350" s="213">
        <f t="shared" ref="B350:M350" si="186">MIN(B349,B$21)</f>
        <v>0</v>
      </c>
      <c r="C350" s="213">
        <f t="shared" si="186"/>
        <v>0</v>
      </c>
      <c r="D350" s="213">
        <f t="shared" si="186"/>
        <v>0</v>
      </c>
      <c r="E350" s="213">
        <f t="shared" si="186"/>
        <v>0</v>
      </c>
      <c r="F350" s="213">
        <f t="shared" si="186"/>
        <v>0</v>
      </c>
      <c r="G350" s="213">
        <f t="shared" si="186"/>
        <v>0</v>
      </c>
      <c r="H350" s="213">
        <f t="shared" si="186"/>
        <v>0</v>
      </c>
      <c r="I350" s="213">
        <f t="shared" si="186"/>
        <v>0</v>
      </c>
      <c r="J350" s="213">
        <f t="shared" si="186"/>
        <v>0</v>
      </c>
      <c r="K350" s="213">
        <f t="shared" si="186"/>
        <v>0</v>
      </c>
      <c r="L350" s="213">
        <f t="shared" si="186"/>
        <v>201.85543</v>
      </c>
      <c r="M350" s="213">
        <f t="shared" si="186"/>
        <v>0</v>
      </c>
    </row>
    <row r="351" ht="15.75" hidden="1" customHeight="1" outlineLevel="1">
      <c r="A351" s="142" t="s">
        <v>900</v>
      </c>
      <c r="B351" s="213">
        <f t="shared" ref="B351:L351" si="187">MAX(0,C351-B348)+B350</f>
        <v>0</v>
      </c>
      <c r="C351" s="213">
        <f t="shared" si="187"/>
        <v>0</v>
      </c>
      <c r="D351" s="213">
        <f t="shared" si="187"/>
        <v>0</v>
      </c>
      <c r="E351" s="213">
        <f t="shared" si="187"/>
        <v>0</v>
      </c>
      <c r="F351" s="213">
        <f t="shared" si="187"/>
        <v>0</v>
      </c>
      <c r="G351" s="213">
        <f t="shared" si="187"/>
        <v>0</v>
      </c>
      <c r="H351" s="213">
        <f t="shared" si="187"/>
        <v>0</v>
      </c>
      <c r="I351" s="213">
        <f t="shared" si="187"/>
        <v>0</v>
      </c>
      <c r="J351" s="213">
        <f t="shared" si="187"/>
        <v>0</v>
      </c>
      <c r="K351" s="213">
        <f t="shared" si="187"/>
        <v>0</v>
      </c>
      <c r="L351" s="213">
        <f t="shared" si="187"/>
        <v>201.85543</v>
      </c>
      <c r="M351" s="213">
        <f>M350</f>
        <v>0</v>
      </c>
    </row>
    <row r="352" ht="15.75" hidden="1" customHeight="1" outlineLevel="1">
      <c r="A352" s="142" t="s">
        <v>901</v>
      </c>
      <c r="B352" s="213">
        <f t="shared" ref="B352:L352" si="188">MIN(B348,C351)</f>
        <v>0</v>
      </c>
      <c r="C352" s="213">
        <f t="shared" si="188"/>
        <v>0</v>
      </c>
      <c r="D352" s="213">
        <f t="shared" si="188"/>
        <v>0</v>
      </c>
      <c r="E352" s="213">
        <f t="shared" si="188"/>
        <v>0</v>
      </c>
      <c r="F352" s="213">
        <f t="shared" si="188"/>
        <v>0</v>
      </c>
      <c r="G352" s="213">
        <f t="shared" si="188"/>
        <v>0</v>
      </c>
      <c r="H352" s="213">
        <f t="shared" si="188"/>
        <v>0</v>
      </c>
      <c r="I352" s="213">
        <f t="shared" si="188"/>
        <v>0</v>
      </c>
      <c r="J352" s="213">
        <f t="shared" si="188"/>
        <v>0</v>
      </c>
      <c r="K352" s="213">
        <f t="shared" si="188"/>
        <v>201.85543</v>
      </c>
      <c r="L352" s="213">
        <f t="shared" si="188"/>
        <v>0</v>
      </c>
      <c r="M352" s="213">
        <f>0</f>
        <v>0</v>
      </c>
    </row>
    <row r="353" ht="15.75" hidden="1" customHeight="1" outlineLevel="1">
      <c r="A353" s="142" t="s">
        <v>1060</v>
      </c>
      <c r="B353" s="213">
        <f t="shared" ref="B353:M353" si="189">MIN(MAX(0,B$24-($B$6*$B$7-B$25)),$B$6*$A$84)</f>
        <v>0</v>
      </c>
      <c r="C353" s="213">
        <f t="shared" si="189"/>
        <v>0</v>
      </c>
      <c r="D353" s="213">
        <f t="shared" si="189"/>
        <v>0</v>
      </c>
      <c r="E353" s="213">
        <f t="shared" si="189"/>
        <v>0</v>
      </c>
      <c r="F353" s="213">
        <f t="shared" si="189"/>
        <v>0</v>
      </c>
      <c r="G353" s="213">
        <f t="shared" si="189"/>
        <v>0</v>
      </c>
      <c r="H353" s="213">
        <f t="shared" si="189"/>
        <v>0</v>
      </c>
      <c r="I353" s="213">
        <f t="shared" si="189"/>
        <v>0</v>
      </c>
      <c r="J353" s="213">
        <f t="shared" si="189"/>
        <v>0</v>
      </c>
      <c r="K353" s="213">
        <f t="shared" si="189"/>
        <v>0</v>
      </c>
      <c r="L353" s="213">
        <f t="shared" si="189"/>
        <v>1080</v>
      </c>
      <c r="M353" s="213">
        <f t="shared" si="189"/>
        <v>586.9805371</v>
      </c>
    </row>
    <row r="354" ht="15.75" hidden="1" customHeight="1" outlineLevel="1">
      <c r="A354" s="142" t="s">
        <v>902</v>
      </c>
      <c r="B354" s="213">
        <f t="shared" ref="B354:L354" si="190">C351*$B$14</f>
        <v>0</v>
      </c>
      <c r="C354" s="213">
        <f t="shared" si="190"/>
        <v>0</v>
      </c>
      <c r="D354" s="213">
        <f t="shared" si="190"/>
        <v>0</v>
      </c>
      <c r="E354" s="213">
        <f t="shared" si="190"/>
        <v>0</v>
      </c>
      <c r="F354" s="213">
        <f t="shared" si="190"/>
        <v>0</v>
      </c>
      <c r="G354" s="213">
        <f t="shared" si="190"/>
        <v>0</v>
      </c>
      <c r="H354" s="213">
        <f t="shared" si="190"/>
        <v>0</v>
      </c>
      <c r="I354" s="213">
        <f t="shared" si="190"/>
        <v>0</v>
      </c>
      <c r="J354" s="213">
        <f t="shared" si="190"/>
        <v>0</v>
      </c>
      <c r="K354" s="213">
        <f t="shared" si="190"/>
        <v>1410.714028</v>
      </c>
      <c r="L354" s="213">
        <f t="shared" si="190"/>
        <v>0</v>
      </c>
      <c r="M354" s="213">
        <f>0</f>
        <v>0</v>
      </c>
    </row>
    <row r="355" ht="15.75" hidden="1" customHeight="1" outlineLevel="1">
      <c r="A355" s="142" t="s">
        <v>907</v>
      </c>
      <c r="B355" s="213">
        <f t="shared" ref="B355:M355" si="191">IF(B352&gt;0,1,0)</f>
        <v>0</v>
      </c>
      <c r="C355" s="213">
        <f t="shared" si="191"/>
        <v>0</v>
      </c>
      <c r="D355" s="213">
        <f t="shared" si="191"/>
        <v>0</v>
      </c>
      <c r="E355" s="213">
        <f t="shared" si="191"/>
        <v>0</v>
      </c>
      <c r="F355" s="213">
        <f t="shared" si="191"/>
        <v>0</v>
      </c>
      <c r="G355" s="213">
        <f t="shared" si="191"/>
        <v>0</v>
      </c>
      <c r="H355" s="213">
        <f t="shared" si="191"/>
        <v>0</v>
      </c>
      <c r="I355" s="213">
        <f t="shared" si="191"/>
        <v>0</v>
      </c>
      <c r="J355" s="213">
        <f t="shared" si="191"/>
        <v>0</v>
      </c>
      <c r="K355" s="213">
        <f t="shared" si="191"/>
        <v>1</v>
      </c>
      <c r="L355" s="213">
        <f t="shared" si="191"/>
        <v>0</v>
      </c>
      <c r="M355" s="213">
        <f t="shared" si="191"/>
        <v>0</v>
      </c>
    </row>
    <row r="356" ht="15.75" hidden="1" customHeight="1" outlineLevel="1">
      <c r="A356" s="141" t="s">
        <v>1066</v>
      </c>
    </row>
    <row r="357" ht="15.75" hidden="1" customHeight="1" outlineLevel="1">
      <c r="A357" s="142" t="s">
        <v>896</v>
      </c>
      <c r="B357" s="213">
        <f t="shared" ref="B357:M357" si="192">MAX(0,$B$6*$B$7-B$25-B$24)</f>
        <v>282.0172785</v>
      </c>
      <c r="C357" s="213">
        <f t="shared" si="192"/>
        <v>180.999101</v>
      </c>
      <c r="D357" s="213">
        <f t="shared" si="192"/>
        <v>372.6975425</v>
      </c>
      <c r="E357" s="213">
        <f t="shared" si="192"/>
        <v>1514.155441</v>
      </c>
      <c r="F357" s="213">
        <f t="shared" si="192"/>
        <v>1695.448334</v>
      </c>
      <c r="G357" s="213">
        <f t="shared" si="192"/>
        <v>119.2371167</v>
      </c>
      <c r="H357" s="213">
        <f t="shared" si="192"/>
        <v>1256.095034</v>
      </c>
      <c r="I357" s="213">
        <f t="shared" si="192"/>
        <v>1272.74327</v>
      </c>
      <c r="J357" s="213">
        <f t="shared" si="192"/>
        <v>887.113722</v>
      </c>
      <c r="K357" s="213">
        <f t="shared" si="192"/>
        <v>985.3964145</v>
      </c>
      <c r="L357" s="213">
        <f t="shared" si="192"/>
        <v>0</v>
      </c>
      <c r="M357" s="213">
        <f t="shared" si="192"/>
        <v>0</v>
      </c>
    </row>
    <row r="358" ht="15.75" hidden="1" customHeight="1" outlineLevel="1">
      <c r="A358" s="142" t="s">
        <v>1059</v>
      </c>
      <c r="B358" s="213">
        <f t="shared" ref="B358:M358" si="193">MAX(0,B$24-($B$6*($B$7+$A$85)-B$25))</f>
        <v>0</v>
      </c>
      <c r="C358" s="213">
        <f t="shared" si="193"/>
        <v>0</v>
      </c>
      <c r="D358" s="213">
        <f t="shared" si="193"/>
        <v>0</v>
      </c>
      <c r="E358" s="213">
        <f t="shared" si="193"/>
        <v>0</v>
      </c>
      <c r="F358" s="213">
        <f t="shared" si="193"/>
        <v>0</v>
      </c>
      <c r="G358" s="213">
        <f t="shared" si="193"/>
        <v>0</v>
      </c>
      <c r="H358" s="213">
        <f t="shared" si="193"/>
        <v>0</v>
      </c>
      <c r="I358" s="213">
        <f t="shared" si="193"/>
        <v>0</v>
      </c>
      <c r="J358" s="213">
        <f t="shared" si="193"/>
        <v>0</v>
      </c>
      <c r="K358" s="213">
        <f t="shared" si="193"/>
        <v>0</v>
      </c>
      <c r="L358" s="213">
        <f t="shared" si="193"/>
        <v>0</v>
      </c>
      <c r="M358" s="213">
        <f t="shared" si="193"/>
        <v>0</v>
      </c>
    </row>
    <row r="359" ht="15.75" hidden="1" customHeight="1" outlineLevel="1">
      <c r="A359" s="142" t="s">
        <v>898</v>
      </c>
      <c r="B359" s="213">
        <f t="shared" ref="B359:M359" si="194">MIN(B358,B$21)</f>
        <v>0</v>
      </c>
      <c r="C359" s="213">
        <f t="shared" si="194"/>
        <v>0</v>
      </c>
      <c r="D359" s="213">
        <f t="shared" si="194"/>
        <v>0</v>
      </c>
      <c r="E359" s="213">
        <f t="shared" si="194"/>
        <v>0</v>
      </c>
      <c r="F359" s="213">
        <f t="shared" si="194"/>
        <v>0</v>
      </c>
      <c r="G359" s="213">
        <f t="shared" si="194"/>
        <v>0</v>
      </c>
      <c r="H359" s="213">
        <f t="shared" si="194"/>
        <v>0</v>
      </c>
      <c r="I359" s="213">
        <f t="shared" si="194"/>
        <v>0</v>
      </c>
      <c r="J359" s="213">
        <f t="shared" si="194"/>
        <v>0</v>
      </c>
      <c r="K359" s="213">
        <f t="shared" si="194"/>
        <v>0</v>
      </c>
      <c r="L359" s="213">
        <f t="shared" si="194"/>
        <v>0</v>
      </c>
      <c r="M359" s="213">
        <f t="shared" si="194"/>
        <v>0</v>
      </c>
    </row>
    <row r="360" ht="15.75" hidden="1" customHeight="1" outlineLevel="1">
      <c r="A360" s="142" t="s">
        <v>900</v>
      </c>
      <c r="B360" s="213">
        <f t="shared" ref="B360:L360" si="195">MAX(0,C360-B357)+B359</f>
        <v>0</v>
      </c>
      <c r="C360" s="213">
        <f t="shared" si="195"/>
        <v>0</v>
      </c>
      <c r="D360" s="213">
        <f t="shared" si="195"/>
        <v>0</v>
      </c>
      <c r="E360" s="213">
        <f t="shared" si="195"/>
        <v>0</v>
      </c>
      <c r="F360" s="213">
        <f t="shared" si="195"/>
        <v>0</v>
      </c>
      <c r="G360" s="213">
        <f t="shared" si="195"/>
        <v>0</v>
      </c>
      <c r="H360" s="213">
        <f t="shared" si="195"/>
        <v>0</v>
      </c>
      <c r="I360" s="213">
        <f t="shared" si="195"/>
        <v>0</v>
      </c>
      <c r="J360" s="213">
        <f t="shared" si="195"/>
        <v>0</v>
      </c>
      <c r="K360" s="213">
        <f t="shared" si="195"/>
        <v>0</v>
      </c>
      <c r="L360" s="213">
        <f t="shared" si="195"/>
        <v>0</v>
      </c>
      <c r="M360" s="213">
        <f>M359</f>
        <v>0</v>
      </c>
    </row>
    <row r="361" ht="15.75" hidden="1" customHeight="1" outlineLevel="1">
      <c r="A361" s="142" t="s">
        <v>901</v>
      </c>
      <c r="B361" s="213">
        <f t="shared" ref="B361:L361" si="196">MIN(B357,C360)</f>
        <v>0</v>
      </c>
      <c r="C361" s="213">
        <f t="shared" si="196"/>
        <v>0</v>
      </c>
      <c r="D361" s="213">
        <f t="shared" si="196"/>
        <v>0</v>
      </c>
      <c r="E361" s="213">
        <f t="shared" si="196"/>
        <v>0</v>
      </c>
      <c r="F361" s="213">
        <f t="shared" si="196"/>
        <v>0</v>
      </c>
      <c r="G361" s="213">
        <f t="shared" si="196"/>
        <v>0</v>
      </c>
      <c r="H361" s="213">
        <f t="shared" si="196"/>
        <v>0</v>
      </c>
      <c r="I361" s="213">
        <f t="shared" si="196"/>
        <v>0</v>
      </c>
      <c r="J361" s="213">
        <f t="shared" si="196"/>
        <v>0</v>
      </c>
      <c r="K361" s="213">
        <f t="shared" si="196"/>
        <v>0</v>
      </c>
      <c r="L361" s="213">
        <f t="shared" si="196"/>
        <v>0</v>
      </c>
      <c r="M361" s="213">
        <f>0</f>
        <v>0</v>
      </c>
    </row>
    <row r="362" ht="15.75" hidden="1" customHeight="1" outlineLevel="1">
      <c r="A362" s="142" t="s">
        <v>1060</v>
      </c>
      <c r="B362" s="213">
        <f t="shared" ref="B362:M362" si="197">MIN(MAX(0,B$24-($B$6*$B$7-B$25)),$B$6*$A$85)</f>
        <v>0</v>
      </c>
      <c r="C362" s="213">
        <f t="shared" si="197"/>
        <v>0</v>
      </c>
      <c r="D362" s="213">
        <f t="shared" si="197"/>
        <v>0</v>
      </c>
      <c r="E362" s="213">
        <f t="shared" si="197"/>
        <v>0</v>
      </c>
      <c r="F362" s="213">
        <f t="shared" si="197"/>
        <v>0</v>
      </c>
      <c r="G362" s="213">
        <f t="shared" si="197"/>
        <v>0</v>
      </c>
      <c r="H362" s="213">
        <f t="shared" si="197"/>
        <v>0</v>
      </c>
      <c r="I362" s="213">
        <f t="shared" si="197"/>
        <v>0</v>
      </c>
      <c r="J362" s="213">
        <f t="shared" si="197"/>
        <v>0</v>
      </c>
      <c r="K362" s="213">
        <f t="shared" si="197"/>
        <v>0</v>
      </c>
      <c r="L362" s="213">
        <f t="shared" si="197"/>
        <v>1281.85543</v>
      </c>
      <c r="M362" s="213">
        <f t="shared" si="197"/>
        <v>586.9805371</v>
      </c>
    </row>
    <row r="363" ht="15.75" hidden="1" customHeight="1" outlineLevel="1">
      <c r="A363" s="142" t="s">
        <v>902</v>
      </c>
      <c r="B363" s="213">
        <f t="shared" ref="B363:L363" si="198">C360*$B$14</f>
        <v>0</v>
      </c>
      <c r="C363" s="213">
        <f t="shared" si="198"/>
        <v>0</v>
      </c>
      <c r="D363" s="213">
        <f t="shared" si="198"/>
        <v>0</v>
      </c>
      <c r="E363" s="213">
        <f t="shared" si="198"/>
        <v>0</v>
      </c>
      <c r="F363" s="213">
        <f t="shared" si="198"/>
        <v>0</v>
      </c>
      <c r="G363" s="213">
        <f t="shared" si="198"/>
        <v>0</v>
      </c>
      <c r="H363" s="213">
        <f t="shared" si="198"/>
        <v>0</v>
      </c>
      <c r="I363" s="213">
        <f t="shared" si="198"/>
        <v>0</v>
      </c>
      <c r="J363" s="213">
        <f t="shared" si="198"/>
        <v>0</v>
      </c>
      <c r="K363" s="213">
        <f t="shared" si="198"/>
        <v>0</v>
      </c>
      <c r="L363" s="213">
        <f t="shared" si="198"/>
        <v>0</v>
      </c>
      <c r="M363" s="213">
        <f>0</f>
        <v>0</v>
      </c>
    </row>
    <row r="364" ht="15.75" hidden="1" customHeight="1" outlineLevel="1">
      <c r="A364" s="142" t="s">
        <v>907</v>
      </c>
      <c r="B364" s="213">
        <f t="shared" ref="B364:M364" si="199">IF(B361&gt;0,1,0)</f>
        <v>0</v>
      </c>
      <c r="C364" s="213">
        <f t="shared" si="199"/>
        <v>0</v>
      </c>
      <c r="D364" s="213">
        <f t="shared" si="199"/>
        <v>0</v>
      </c>
      <c r="E364" s="213">
        <f t="shared" si="199"/>
        <v>0</v>
      </c>
      <c r="F364" s="213">
        <f t="shared" si="199"/>
        <v>0</v>
      </c>
      <c r="G364" s="213">
        <f t="shared" si="199"/>
        <v>0</v>
      </c>
      <c r="H364" s="213">
        <f t="shared" si="199"/>
        <v>0</v>
      </c>
      <c r="I364" s="213">
        <f t="shared" si="199"/>
        <v>0</v>
      </c>
      <c r="J364" s="213">
        <f t="shared" si="199"/>
        <v>0</v>
      </c>
      <c r="K364" s="213">
        <f t="shared" si="199"/>
        <v>0</v>
      </c>
      <c r="L364" s="213">
        <f t="shared" si="199"/>
        <v>0</v>
      </c>
      <c r="M364" s="213">
        <f t="shared" si="199"/>
        <v>0</v>
      </c>
    </row>
    <row r="365" ht="15.75" hidden="1" customHeight="1" outlineLevel="1">
      <c r="A365" s="141" t="s">
        <v>1067</v>
      </c>
    </row>
    <row r="366" ht="15.75" hidden="1" customHeight="1" outlineLevel="1">
      <c r="A366" s="142" t="s">
        <v>896</v>
      </c>
      <c r="B366" s="213">
        <f t="shared" ref="B366:M366" si="200">MAX(0,$B$6*$B$7-B$25-B$24)</f>
        <v>282.0172785</v>
      </c>
      <c r="C366" s="213">
        <f t="shared" si="200"/>
        <v>180.999101</v>
      </c>
      <c r="D366" s="213">
        <f t="shared" si="200"/>
        <v>372.6975425</v>
      </c>
      <c r="E366" s="213">
        <f t="shared" si="200"/>
        <v>1514.155441</v>
      </c>
      <c r="F366" s="213">
        <f t="shared" si="200"/>
        <v>1695.448334</v>
      </c>
      <c r="G366" s="213">
        <f t="shared" si="200"/>
        <v>119.2371167</v>
      </c>
      <c r="H366" s="213">
        <f t="shared" si="200"/>
        <v>1256.095034</v>
      </c>
      <c r="I366" s="213">
        <f t="shared" si="200"/>
        <v>1272.74327</v>
      </c>
      <c r="J366" s="213">
        <f t="shared" si="200"/>
        <v>887.113722</v>
      </c>
      <c r="K366" s="213">
        <f t="shared" si="200"/>
        <v>985.3964145</v>
      </c>
      <c r="L366" s="213">
        <f t="shared" si="200"/>
        <v>0</v>
      </c>
      <c r="M366" s="213">
        <f t="shared" si="200"/>
        <v>0</v>
      </c>
    </row>
    <row r="367" ht="15.75" hidden="1" customHeight="1" outlineLevel="1">
      <c r="A367" s="142" t="s">
        <v>1059</v>
      </c>
      <c r="B367" s="213">
        <f t="shared" ref="B367:M367" si="201">MAX(0,B$24-($B$6*($B$7+$A$86)-B$25))</f>
        <v>0</v>
      </c>
      <c r="C367" s="213">
        <f t="shared" si="201"/>
        <v>0</v>
      </c>
      <c r="D367" s="213">
        <f t="shared" si="201"/>
        <v>0</v>
      </c>
      <c r="E367" s="213">
        <f t="shared" si="201"/>
        <v>0</v>
      </c>
      <c r="F367" s="213">
        <f t="shared" si="201"/>
        <v>0</v>
      </c>
      <c r="G367" s="213">
        <f t="shared" si="201"/>
        <v>0</v>
      </c>
      <c r="H367" s="213">
        <f t="shared" si="201"/>
        <v>0</v>
      </c>
      <c r="I367" s="213">
        <f t="shared" si="201"/>
        <v>0</v>
      </c>
      <c r="J367" s="213">
        <f t="shared" si="201"/>
        <v>0</v>
      </c>
      <c r="K367" s="213">
        <f t="shared" si="201"/>
        <v>0</v>
      </c>
      <c r="L367" s="213">
        <f t="shared" si="201"/>
        <v>0</v>
      </c>
      <c r="M367" s="213">
        <f t="shared" si="201"/>
        <v>0</v>
      </c>
    </row>
    <row r="368" ht="15.75" hidden="1" customHeight="1" outlineLevel="1">
      <c r="A368" s="142" t="s">
        <v>898</v>
      </c>
      <c r="B368" s="213">
        <f t="shared" ref="B368:M368" si="202">MIN(B367,B$21)</f>
        <v>0</v>
      </c>
      <c r="C368" s="213">
        <f t="shared" si="202"/>
        <v>0</v>
      </c>
      <c r="D368" s="213">
        <f t="shared" si="202"/>
        <v>0</v>
      </c>
      <c r="E368" s="213">
        <f t="shared" si="202"/>
        <v>0</v>
      </c>
      <c r="F368" s="213">
        <f t="shared" si="202"/>
        <v>0</v>
      </c>
      <c r="G368" s="213">
        <f t="shared" si="202"/>
        <v>0</v>
      </c>
      <c r="H368" s="213">
        <f t="shared" si="202"/>
        <v>0</v>
      </c>
      <c r="I368" s="213">
        <f t="shared" si="202"/>
        <v>0</v>
      </c>
      <c r="J368" s="213">
        <f t="shared" si="202"/>
        <v>0</v>
      </c>
      <c r="K368" s="213">
        <f t="shared" si="202"/>
        <v>0</v>
      </c>
      <c r="L368" s="213">
        <f t="shared" si="202"/>
        <v>0</v>
      </c>
      <c r="M368" s="213">
        <f t="shared" si="202"/>
        <v>0</v>
      </c>
    </row>
    <row r="369" ht="15.75" hidden="1" customHeight="1" outlineLevel="1">
      <c r="A369" s="142" t="s">
        <v>900</v>
      </c>
      <c r="B369" s="213">
        <f t="shared" ref="B369:L369" si="203">MAX(0,C369-B366)+B368</f>
        <v>0</v>
      </c>
      <c r="C369" s="213">
        <f t="shared" si="203"/>
        <v>0</v>
      </c>
      <c r="D369" s="213">
        <f t="shared" si="203"/>
        <v>0</v>
      </c>
      <c r="E369" s="213">
        <f t="shared" si="203"/>
        <v>0</v>
      </c>
      <c r="F369" s="213">
        <f t="shared" si="203"/>
        <v>0</v>
      </c>
      <c r="G369" s="213">
        <f t="shared" si="203"/>
        <v>0</v>
      </c>
      <c r="H369" s="213">
        <f t="shared" si="203"/>
        <v>0</v>
      </c>
      <c r="I369" s="213">
        <f t="shared" si="203"/>
        <v>0</v>
      </c>
      <c r="J369" s="213">
        <f t="shared" si="203"/>
        <v>0</v>
      </c>
      <c r="K369" s="213">
        <f t="shared" si="203"/>
        <v>0</v>
      </c>
      <c r="L369" s="213">
        <f t="shared" si="203"/>
        <v>0</v>
      </c>
      <c r="M369" s="213">
        <f>M368</f>
        <v>0</v>
      </c>
    </row>
    <row r="370" ht="15.75" hidden="1" customHeight="1" outlineLevel="1">
      <c r="A370" s="142" t="s">
        <v>901</v>
      </c>
      <c r="B370" s="213">
        <f t="shared" ref="B370:L370" si="204">MIN(B366,C369)</f>
        <v>0</v>
      </c>
      <c r="C370" s="213">
        <f t="shared" si="204"/>
        <v>0</v>
      </c>
      <c r="D370" s="213">
        <f t="shared" si="204"/>
        <v>0</v>
      </c>
      <c r="E370" s="213">
        <f t="shared" si="204"/>
        <v>0</v>
      </c>
      <c r="F370" s="213">
        <f t="shared" si="204"/>
        <v>0</v>
      </c>
      <c r="G370" s="213">
        <f t="shared" si="204"/>
        <v>0</v>
      </c>
      <c r="H370" s="213">
        <f t="shared" si="204"/>
        <v>0</v>
      </c>
      <c r="I370" s="213">
        <f t="shared" si="204"/>
        <v>0</v>
      </c>
      <c r="J370" s="213">
        <f t="shared" si="204"/>
        <v>0</v>
      </c>
      <c r="K370" s="213">
        <f t="shared" si="204"/>
        <v>0</v>
      </c>
      <c r="L370" s="213">
        <f t="shared" si="204"/>
        <v>0</v>
      </c>
      <c r="M370" s="213">
        <f>0</f>
        <v>0</v>
      </c>
    </row>
    <row r="371" ht="15.75" hidden="1" customHeight="1" outlineLevel="1">
      <c r="A371" s="142" t="s">
        <v>1060</v>
      </c>
      <c r="B371" s="213">
        <f t="shared" ref="B371:M371" si="205">MIN(MAX(0,B$24-($B$6*$B$7-B$25)),$B$6*$A$86)</f>
        <v>0</v>
      </c>
      <c r="C371" s="213">
        <f t="shared" si="205"/>
        <v>0</v>
      </c>
      <c r="D371" s="213">
        <f t="shared" si="205"/>
        <v>0</v>
      </c>
      <c r="E371" s="213">
        <f t="shared" si="205"/>
        <v>0</v>
      </c>
      <c r="F371" s="213">
        <f t="shared" si="205"/>
        <v>0</v>
      </c>
      <c r="G371" s="213">
        <f t="shared" si="205"/>
        <v>0</v>
      </c>
      <c r="H371" s="213">
        <f t="shared" si="205"/>
        <v>0</v>
      </c>
      <c r="I371" s="213">
        <f t="shared" si="205"/>
        <v>0</v>
      </c>
      <c r="J371" s="213">
        <f t="shared" si="205"/>
        <v>0</v>
      </c>
      <c r="K371" s="213">
        <f t="shared" si="205"/>
        <v>0</v>
      </c>
      <c r="L371" s="213">
        <f t="shared" si="205"/>
        <v>1281.85543</v>
      </c>
      <c r="M371" s="213">
        <f t="shared" si="205"/>
        <v>586.9805371</v>
      </c>
    </row>
    <row r="372" ht="15.75" hidden="1" customHeight="1" outlineLevel="1">
      <c r="A372" s="142" t="s">
        <v>902</v>
      </c>
      <c r="B372" s="213">
        <f t="shared" ref="B372:L372" si="206">C369*$B$14</f>
        <v>0</v>
      </c>
      <c r="C372" s="213">
        <f t="shared" si="206"/>
        <v>0</v>
      </c>
      <c r="D372" s="213">
        <f t="shared" si="206"/>
        <v>0</v>
      </c>
      <c r="E372" s="213">
        <f t="shared" si="206"/>
        <v>0</v>
      </c>
      <c r="F372" s="213">
        <f t="shared" si="206"/>
        <v>0</v>
      </c>
      <c r="G372" s="213">
        <f t="shared" si="206"/>
        <v>0</v>
      </c>
      <c r="H372" s="213">
        <f t="shared" si="206"/>
        <v>0</v>
      </c>
      <c r="I372" s="213">
        <f t="shared" si="206"/>
        <v>0</v>
      </c>
      <c r="J372" s="213">
        <f t="shared" si="206"/>
        <v>0</v>
      </c>
      <c r="K372" s="213">
        <f t="shared" si="206"/>
        <v>0</v>
      </c>
      <c r="L372" s="213">
        <f t="shared" si="206"/>
        <v>0</v>
      </c>
      <c r="M372" s="213">
        <f>0</f>
        <v>0</v>
      </c>
    </row>
    <row r="373" ht="15.75" hidden="1" customHeight="1" outlineLevel="1">
      <c r="A373" s="142" t="s">
        <v>907</v>
      </c>
      <c r="B373" s="213">
        <f t="shared" ref="B373:M373" si="207">IF(B370&gt;0,1,0)</f>
        <v>0</v>
      </c>
      <c r="C373" s="213">
        <f t="shared" si="207"/>
        <v>0</v>
      </c>
      <c r="D373" s="213">
        <f t="shared" si="207"/>
        <v>0</v>
      </c>
      <c r="E373" s="213">
        <f t="shared" si="207"/>
        <v>0</v>
      </c>
      <c r="F373" s="213">
        <f t="shared" si="207"/>
        <v>0</v>
      </c>
      <c r="G373" s="213">
        <f t="shared" si="207"/>
        <v>0</v>
      </c>
      <c r="H373" s="213">
        <f t="shared" si="207"/>
        <v>0</v>
      </c>
      <c r="I373" s="213">
        <f t="shared" si="207"/>
        <v>0</v>
      </c>
      <c r="J373" s="213">
        <f t="shared" si="207"/>
        <v>0</v>
      </c>
      <c r="K373" s="213">
        <f t="shared" si="207"/>
        <v>0</v>
      </c>
      <c r="L373" s="213">
        <f t="shared" si="207"/>
        <v>0</v>
      </c>
      <c r="M373" s="213">
        <f t="shared" si="207"/>
        <v>0</v>
      </c>
    </row>
    <row r="374" ht="15.75" customHeight="1"/>
    <row r="375" ht="15.75" customHeight="1"/>
    <row r="376" ht="15.75" customHeight="1">
      <c r="A376" s="45" t="s">
        <v>1068</v>
      </c>
    </row>
    <row r="377" ht="15.75" customHeight="1">
      <c r="A377" s="24" t="s">
        <v>1069</v>
      </c>
      <c r="B377" s="29" t="s">
        <v>109</v>
      </c>
      <c r="C377" s="29" t="s">
        <v>110</v>
      </c>
      <c r="D377" s="29" t="s">
        <v>111</v>
      </c>
      <c r="E377" s="29" t="s">
        <v>112</v>
      </c>
      <c r="F377" s="29" t="s">
        <v>113</v>
      </c>
      <c r="G377" s="29" t="s">
        <v>114</v>
      </c>
      <c r="H377" s="29" t="s">
        <v>115</v>
      </c>
      <c r="I377" s="29" t="s">
        <v>116</v>
      </c>
      <c r="J377" s="29" t="s">
        <v>117</v>
      </c>
      <c r="K377" s="29" t="s">
        <v>118</v>
      </c>
      <c r="L377" s="29" t="s">
        <v>119</v>
      </c>
      <c r="M377" s="29" t="s">
        <v>120</v>
      </c>
      <c r="N377" s="29" t="s">
        <v>15</v>
      </c>
      <c r="O377" s="29" t="s">
        <v>1070</v>
      </c>
    </row>
    <row r="378" ht="15.75" customHeight="1">
      <c r="A378" s="46">
        <v>2026.0</v>
      </c>
      <c r="B378" s="64">
        <f>'Dotacion Planta'!B128</f>
        <v>765.78</v>
      </c>
      <c r="C378" s="64">
        <f>'Dotacion Planta'!C128</f>
        <v>587.55</v>
      </c>
      <c r="D378" s="64">
        <f>'Dotacion Planta'!D128</f>
        <v>558.975</v>
      </c>
      <c r="E378" s="64">
        <f>'Dotacion Planta'!E128</f>
        <v>538.08</v>
      </c>
      <c r="F378" s="64">
        <f>'Dotacion Planta'!F128</f>
        <v>503.97</v>
      </c>
      <c r="G378" s="64">
        <f>'Dotacion Planta'!G128</f>
        <v>490.755</v>
      </c>
      <c r="H378" s="64">
        <f>'Dotacion Planta'!H128</f>
        <v>524.865</v>
      </c>
      <c r="I378" s="64">
        <f>'Dotacion Planta'!I128</f>
        <v>524.865</v>
      </c>
      <c r="J378" s="64">
        <f>'Dotacion Planta'!J128</f>
        <v>524.865</v>
      </c>
      <c r="K378" s="64">
        <f>'Dotacion Planta'!K128</f>
        <v>511.65</v>
      </c>
      <c r="L378" s="64">
        <f>'Dotacion Planta'!L128</f>
        <v>498.435</v>
      </c>
      <c r="M378" s="64">
        <f>'Dotacion Planta'!M128</f>
        <v>792.21</v>
      </c>
      <c r="N378" s="64">
        <f t="shared" ref="N378:N387" si="208">SUM(B378:M378)</f>
        <v>6822</v>
      </c>
      <c r="O378" s="64">
        <f t="shared" ref="O378:O387" si="209">MAX(B378:M378)</f>
        <v>792.21</v>
      </c>
    </row>
    <row r="379" ht="15.75" customHeight="1">
      <c r="A379" s="46">
        <v>2027.0</v>
      </c>
      <c r="B379" s="64">
        <f>'Dotacion Planta'!B221</f>
        <v>1192.94</v>
      </c>
      <c r="C379" s="64">
        <f>'Dotacion Planta'!C221</f>
        <v>918.37</v>
      </c>
      <c r="D379" s="64">
        <f>'Dotacion Planta'!D221</f>
        <v>882.065</v>
      </c>
      <c r="E379" s="64">
        <f>'Dotacion Planta'!E221</f>
        <v>852.08</v>
      </c>
      <c r="F379" s="64">
        <f>'Dotacion Planta'!F221</f>
        <v>798.43</v>
      </c>
      <c r="G379" s="64">
        <f>'Dotacion Planta'!G221</f>
        <v>774.765</v>
      </c>
      <c r="H379" s="64">
        <f>'Dotacion Planta'!H221</f>
        <v>828.415</v>
      </c>
      <c r="I379" s="64">
        <f>'Dotacion Planta'!I221</f>
        <v>828.415</v>
      </c>
      <c r="J379" s="64">
        <f>'Dotacion Planta'!J221</f>
        <v>828.415</v>
      </c>
      <c r="K379" s="64">
        <f>'Dotacion Planta'!K221</f>
        <v>804.75</v>
      </c>
      <c r="L379" s="64">
        <f>'Dotacion Planta'!L221</f>
        <v>781.085</v>
      </c>
      <c r="M379" s="64">
        <f>'Dotacion Planta'!M221</f>
        <v>1240.27</v>
      </c>
      <c r="N379" s="64">
        <f t="shared" si="208"/>
        <v>10730</v>
      </c>
      <c r="O379" s="64">
        <f t="shared" si="209"/>
        <v>1240.27</v>
      </c>
    </row>
    <row r="380" ht="15.75" customHeight="1">
      <c r="A380" s="46">
        <v>2028.0</v>
      </c>
      <c r="B380" s="64">
        <f>'Dotacion Planta'!B314</f>
        <v>2561.98</v>
      </c>
      <c r="C380" s="64">
        <f>'Dotacion Planta'!C314</f>
        <v>1962.5</v>
      </c>
      <c r="D380" s="64">
        <f>'Dotacion Planta'!D314</f>
        <v>1858.375</v>
      </c>
      <c r="E380" s="64">
        <f>'Dotacion Planta'!E314</f>
        <v>1785.805</v>
      </c>
      <c r="F380" s="64">
        <f>'Dotacion Planta'!F314</f>
        <v>1672.22</v>
      </c>
      <c r="G380" s="64">
        <f>'Dotacion Planta'!G314</f>
        <v>1631.205</v>
      </c>
      <c r="H380" s="64">
        <f>'Dotacion Planta'!H314</f>
        <v>1744.79</v>
      </c>
      <c r="I380" s="64">
        <f>'Dotacion Planta'!I314</f>
        <v>1744.79</v>
      </c>
      <c r="J380" s="64">
        <f>'Dotacion Planta'!J314</f>
        <v>1744.79</v>
      </c>
      <c r="K380" s="64">
        <f>'Dotacion Planta'!K314</f>
        <v>1703.775</v>
      </c>
      <c r="L380" s="64">
        <f>'Dotacion Planta'!L314</f>
        <v>1662.76</v>
      </c>
      <c r="M380" s="64">
        <f>'Dotacion Planta'!M314</f>
        <v>2644.01</v>
      </c>
      <c r="N380" s="64">
        <f t="shared" si="208"/>
        <v>22717</v>
      </c>
      <c r="O380" s="64">
        <f t="shared" si="209"/>
        <v>2644.01</v>
      </c>
    </row>
    <row r="381" ht="15.75" customHeight="1">
      <c r="A381" s="46">
        <v>2029.0</v>
      </c>
      <c r="B381" s="64">
        <f>'Dotacion Planta'!B407</f>
        <v>5738.74</v>
      </c>
      <c r="C381" s="64">
        <f>'Dotacion Planta'!C407</f>
        <v>4380.02</v>
      </c>
      <c r="D381" s="64">
        <f>'Dotacion Planta'!D407</f>
        <v>4104.365</v>
      </c>
      <c r="E381" s="64">
        <f>'Dotacion Planta'!E407</f>
        <v>3928.555</v>
      </c>
      <c r="F381" s="64">
        <f>'Dotacion Planta'!F407</f>
        <v>3676.78</v>
      </c>
      <c r="G381" s="64">
        <f>'Dotacion Planta'!G407</f>
        <v>3600.815</v>
      </c>
      <c r="H381" s="64">
        <f>'Dotacion Planta'!H407</f>
        <v>3852.59</v>
      </c>
      <c r="I381" s="64">
        <f>'Dotacion Planta'!I407</f>
        <v>3852.59</v>
      </c>
      <c r="J381" s="64">
        <f>'Dotacion Planta'!J407</f>
        <v>3852.59</v>
      </c>
      <c r="K381" s="64">
        <f>'Dotacion Planta'!K407</f>
        <v>3776.625</v>
      </c>
      <c r="L381" s="64">
        <f>'Dotacion Planta'!L407</f>
        <v>3700.66</v>
      </c>
      <c r="M381" s="64">
        <f>'Dotacion Planta'!M407</f>
        <v>5890.67</v>
      </c>
      <c r="N381" s="64">
        <f t="shared" si="208"/>
        <v>50355</v>
      </c>
      <c r="O381" s="64">
        <f t="shared" si="209"/>
        <v>5890.67</v>
      </c>
    </row>
    <row r="382" ht="15.75" customHeight="1">
      <c r="A382" s="46">
        <v>2030.0</v>
      </c>
      <c r="B382" s="64">
        <f>'Dotacion Planta'!B500</f>
        <v>10033.02</v>
      </c>
      <c r="C382" s="64">
        <f>'Dotacion Planta'!C500</f>
        <v>7653.72</v>
      </c>
      <c r="D382" s="64">
        <f>'Dotacion Planta'!D500</f>
        <v>7161.515</v>
      </c>
      <c r="E382" s="64">
        <f>'Dotacion Planta'!E500</f>
        <v>6850.935</v>
      </c>
      <c r="F382" s="64">
        <f>'Dotacion Planta'!F500</f>
        <v>6411.4</v>
      </c>
      <c r="G382" s="64">
        <f>'Dotacion Planta'!G500</f>
        <v>6282.445</v>
      </c>
      <c r="H382" s="64">
        <f>'Dotacion Planta'!H500</f>
        <v>6721.98</v>
      </c>
      <c r="I382" s="64">
        <f>'Dotacion Planta'!I500</f>
        <v>6721.98</v>
      </c>
      <c r="J382" s="64">
        <f>'Dotacion Planta'!J500</f>
        <v>6721.98</v>
      </c>
      <c r="K382" s="64">
        <f>'Dotacion Planta'!K500</f>
        <v>6593.025</v>
      </c>
      <c r="L382" s="64">
        <f>'Dotacion Planta'!L500</f>
        <v>6464.07</v>
      </c>
      <c r="M382" s="64">
        <f>'Dotacion Planta'!M500</f>
        <v>10290.93</v>
      </c>
      <c r="N382" s="64">
        <f t="shared" si="208"/>
        <v>87907</v>
      </c>
      <c r="O382" s="64">
        <f t="shared" si="209"/>
        <v>10290.93</v>
      </c>
    </row>
    <row r="383" ht="15.75" customHeight="1">
      <c r="A383" s="46">
        <v>2031.0</v>
      </c>
      <c r="B383" s="64">
        <f>'Dotacion Planta'!B593</f>
        <v>14097.3</v>
      </c>
      <c r="C383" s="64">
        <f>'Dotacion Planta'!C593</f>
        <v>10754.04</v>
      </c>
      <c r="D383" s="64">
        <f>'Dotacion Planta'!D593</f>
        <v>10062.105</v>
      </c>
      <c r="E383" s="64">
        <f>'Dotacion Planta'!E593</f>
        <v>9625.605</v>
      </c>
      <c r="F383" s="64">
        <f>'Dotacion Planta'!F593</f>
        <v>9008.04</v>
      </c>
      <c r="G383" s="64">
        <f>'Dotacion Planta'!G593</f>
        <v>8826.975</v>
      </c>
      <c r="H383" s="64">
        <f>'Dotacion Planta'!H593</f>
        <v>9444.54</v>
      </c>
      <c r="I383" s="64">
        <f>'Dotacion Planta'!I593</f>
        <v>9444.54</v>
      </c>
      <c r="J383" s="64">
        <f>'Dotacion Planta'!J593</f>
        <v>9444.54</v>
      </c>
      <c r="K383" s="64">
        <f>'Dotacion Planta'!K593</f>
        <v>9263.475</v>
      </c>
      <c r="L383" s="64">
        <f>'Dotacion Planta'!L593</f>
        <v>9082.41</v>
      </c>
      <c r="M383" s="64">
        <f>'Dotacion Planta'!M593</f>
        <v>14459.43</v>
      </c>
      <c r="N383" s="64">
        <f t="shared" si="208"/>
        <v>123513</v>
      </c>
      <c r="O383" s="64">
        <f t="shared" si="209"/>
        <v>14459.43</v>
      </c>
    </row>
    <row r="384" ht="15.75" customHeight="1">
      <c r="A384" s="46">
        <v>2032.0</v>
      </c>
      <c r="B384" s="64">
        <f>'Dotacion Planta'!B686</f>
        <v>19483.38</v>
      </c>
      <c r="C384" s="64">
        <f>'Dotacion Planta'!C686</f>
        <v>14856.66</v>
      </c>
      <c r="D384" s="64">
        <f>'Dotacion Planta'!D686</f>
        <v>13884.045</v>
      </c>
      <c r="E384" s="64">
        <f>'Dotacion Planta'!E686</f>
        <v>13275.675</v>
      </c>
      <c r="F384" s="64">
        <f>'Dotacion Planta'!F686</f>
        <v>12423.18</v>
      </c>
      <c r="G384" s="64">
        <f>'Dotacion Planta'!G686</f>
        <v>12179.055</v>
      </c>
      <c r="H384" s="64">
        <f>'Dotacion Planta'!H686</f>
        <v>13031.55</v>
      </c>
      <c r="I384" s="64">
        <f>'Dotacion Planta'!I686</f>
        <v>13031.55</v>
      </c>
      <c r="J384" s="64">
        <f>'Dotacion Planta'!J686</f>
        <v>13031.55</v>
      </c>
      <c r="K384" s="64">
        <f>'Dotacion Planta'!K686</f>
        <v>12787.425</v>
      </c>
      <c r="L384" s="64">
        <f>'Dotacion Planta'!L686</f>
        <v>12543.3</v>
      </c>
      <c r="M384" s="64">
        <f>'Dotacion Planta'!M686</f>
        <v>19971.63</v>
      </c>
      <c r="N384" s="64">
        <f t="shared" si="208"/>
        <v>170499</v>
      </c>
      <c r="O384" s="64">
        <f t="shared" si="209"/>
        <v>19971.63</v>
      </c>
    </row>
    <row r="385" ht="15.75" customHeight="1">
      <c r="A385" s="46">
        <v>2033.0</v>
      </c>
      <c r="B385" s="64">
        <f>'Dotacion Planta'!B779</f>
        <v>24917.86</v>
      </c>
      <c r="C385" s="64">
        <f>'Dotacion Planta'!C779</f>
        <v>18997.49</v>
      </c>
      <c r="D385" s="64">
        <f>'Dotacion Planta'!D779</f>
        <v>17745.255</v>
      </c>
      <c r="E385" s="64">
        <f>'Dotacion Planta'!E779</f>
        <v>16964.59</v>
      </c>
      <c r="F385" s="64">
        <f>'Dotacion Planta'!F779</f>
        <v>15874.83</v>
      </c>
      <c r="G385" s="64">
        <f>'Dotacion Planta'!G779</f>
        <v>15565.735</v>
      </c>
      <c r="H385" s="64">
        <f>'Dotacion Planta'!H779</f>
        <v>16655.495</v>
      </c>
      <c r="I385" s="64">
        <f>'Dotacion Planta'!I779</f>
        <v>16655.495</v>
      </c>
      <c r="J385" s="64">
        <f>'Dotacion Planta'!J779</f>
        <v>16655.495</v>
      </c>
      <c r="K385" s="64">
        <f>'Dotacion Planta'!K779</f>
        <v>16346.4</v>
      </c>
      <c r="L385" s="64">
        <f>'Dotacion Planta'!L779</f>
        <v>16037.305</v>
      </c>
      <c r="M385" s="64">
        <f>'Dotacion Planta'!M779</f>
        <v>25536.05</v>
      </c>
      <c r="N385" s="64">
        <f t="shared" si="208"/>
        <v>217952</v>
      </c>
      <c r="O385" s="64">
        <f t="shared" si="209"/>
        <v>25536.05</v>
      </c>
    </row>
    <row r="386" ht="15.75" customHeight="1">
      <c r="A386" s="46">
        <v>2034.0</v>
      </c>
      <c r="B386" s="64">
        <f>'Dotacion Planta'!B872</f>
        <v>28105.46</v>
      </c>
      <c r="C386" s="64">
        <f>'Dotacion Planta'!C872</f>
        <v>21432.01</v>
      </c>
      <c r="D386" s="64">
        <f>'Dotacion Planta'!D872</f>
        <v>20030.995</v>
      </c>
      <c r="E386" s="64">
        <f>'Dotacion Planta'!E872</f>
        <v>19154.03</v>
      </c>
      <c r="F386" s="64">
        <f>'Dotacion Planta'!F872</f>
        <v>17924.15</v>
      </c>
      <c r="G386" s="64">
        <f>'Dotacion Planta'!G872</f>
        <v>17571.235</v>
      </c>
      <c r="H386" s="64">
        <f>'Dotacion Planta'!H872</f>
        <v>18801.115</v>
      </c>
      <c r="I386" s="64">
        <f>'Dotacion Planta'!I872</f>
        <v>18801.115</v>
      </c>
      <c r="J386" s="64">
        <f>'Dotacion Planta'!J872</f>
        <v>18801.115</v>
      </c>
      <c r="K386" s="64">
        <f>'Dotacion Planta'!K872</f>
        <v>18448.2</v>
      </c>
      <c r="L386" s="64">
        <f>'Dotacion Planta'!L872</f>
        <v>18095.285</v>
      </c>
      <c r="M386" s="64">
        <f>'Dotacion Planta'!M872</f>
        <v>28811.29</v>
      </c>
      <c r="N386" s="64">
        <f t="shared" si="208"/>
        <v>245976</v>
      </c>
      <c r="O386" s="64">
        <f t="shared" si="209"/>
        <v>28811.29</v>
      </c>
    </row>
    <row r="387" ht="15.75" customHeight="1">
      <c r="A387" s="46">
        <v>2035.0</v>
      </c>
      <c r="B387" s="64">
        <f>'Dotacion Planta'!B965</f>
        <v>32475.72</v>
      </c>
      <c r="C387" s="64">
        <f>'Dotacion Planta'!C965</f>
        <v>24764.85</v>
      </c>
      <c r="D387" s="64">
        <f>'Dotacion Planta'!D965</f>
        <v>23146.7</v>
      </c>
      <c r="E387" s="64">
        <f>'Dotacion Planta'!E965</f>
        <v>22133.595</v>
      </c>
      <c r="F387" s="64">
        <f>'Dotacion Planta'!F965</f>
        <v>20712.43</v>
      </c>
      <c r="G387" s="64">
        <f>'Dotacion Planta'!G965</f>
        <v>20304.37</v>
      </c>
      <c r="H387" s="64">
        <f>'Dotacion Planta'!H965</f>
        <v>21725.535</v>
      </c>
      <c r="I387" s="64">
        <f>'Dotacion Planta'!I965</f>
        <v>21725.535</v>
      </c>
      <c r="J387" s="64">
        <f>'Dotacion Planta'!J965</f>
        <v>21725.535</v>
      </c>
      <c r="K387" s="64">
        <f>'Dotacion Planta'!K965</f>
        <v>21317.475</v>
      </c>
      <c r="L387" s="64">
        <f>'Dotacion Planta'!L965</f>
        <v>20909.415</v>
      </c>
      <c r="M387" s="64">
        <f>'Dotacion Planta'!M965</f>
        <v>33291.84</v>
      </c>
      <c r="N387" s="64">
        <f t="shared" si="208"/>
        <v>284233</v>
      </c>
      <c r="O387" s="64">
        <f t="shared" si="209"/>
        <v>33291.84</v>
      </c>
    </row>
    <row r="388" ht="15.75" customHeight="1"/>
    <row r="389" ht="15.75" customHeight="1"/>
    <row r="390" ht="15.75" customHeight="1">
      <c r="A390" s="24" t="s">
        <v>1071</v>
      </c>
      <c r="B390" s="29" t="s">
        <v>109</v>
      </c>
      <c r="C390" s="29" t="s">
        <v>110</v>
      </c>
      <c r="D390" s="29" t="s">
        <v>111</v>
      </c>
      <c r="E390" s="29" t="s">
        <v>112</v>
      </c>
      <c r="F390" s="29" t="s">
        <v>113</v>
      </c>
      <c r="G390" s="29" t="s">
        <v>114</v>
      </c>
      <c r="H390" s="29" t="s">
        <v>115</v>
      </c>
      <c r="I390" s="29" t="s">
        <v>116</v>
      </c>
      <c r="J390" s="29" t="s">
        <v>117</v>
      </c>
      <c r="K390" s="29" t="s">
        <v>118</v>
      </c>
      <c r="L390" s="29" t="s">
        <v>119</v>
      </c>
      <c r="M390" s="29" t="s">
        <v>120</v>
      </c>
      <c r="N390" s="29" t="s">
        <v>15</v>
      </c>
      <c r="O390" s="29" t="s">
        <v>1070</v>
      </c>
    </row>
    <row r="391" ht="15.75" customHeight="1">
      <c r="A391" s="46">
        <v>2026.0</v>
      </c>
      <c r="B391" s="64">
        <f>'Dotacion Planta'!B129</f>
        <v>207.7918507</v>
      </c>
      <c r="C391" s="64">
        <f>'Dotacion Planta'!C129</f>
        <v>160.0724691</v>
      </c>
      <c r="D391" s="64">
        <f>'Dotacion Planta'!D129</f>
        <v>153.7208491</v>
      </c>
      <c r="E391" s="64">
        <f>'Dotacion Planta'!E129</f>
        <v>148.3568896</v>
      </c>
      <c r="F391" s="64">
        <f>'Dotacion Planta'!F129</f>
        <v>139.2075025</v>
      </c>
      <c r="G391" s="64">
        <f>'Dotacion Planta'!G129</f>
        <v>135.0281606</v>
      </c>
      <c r="H391" s="64">
        <f>'Dotacion Planta'!H129</f>
        <v>144.5714619</v>
      </c>
      <c r="I391" s="64">
        <f>'Dotacion Planta'!I129</f>
        <v>144.5714619</v>
      </c>
      <c r="J391" s="64">
        <f>'Dotacion Planta'!J129</f>
        <v>144.3745049</v>
      </c>
      <c r="K391" s="64">
        <f>'Dotacion Planta'!K129</f>
        <v>140.195163</v>
      </c>
      <c r="L391" s="64">
        <f>'Dotacion Planta'!L129</f>
        <v>136.2127783</v>
      </c>
      <c r="M391" s="64">
        <f>'Dotacion Planta'!M129</f>
        <v>215.1657489</v>
      </c>
      <c r="N391" s="64">
        <f t="shared" ref="N391:N400" si="210">SUM(B391:M391)</f>
        <v>1869.26884</v>
      </c>
      <c r="O391" s="64">
        <f t="shared" ref="O391:O400" si="211">MAX(B391:M391)</f>
        <v>215.1657489</v>
      </c>
    </row>
    <row r="392" ht="15.75" customHeight="1">
      <c r="A392" s="46">
        <v>2027.0</v>
      </c>
      <c r="B392" s="64">
        <f>'Dotacion Planta'!B222</f>
        <v>326.051757</v>
      </c>
      <c r="C392" s="64">
        <f>'Dotacion Planta'!C222</f>
        <v>252.0768668</v>
      </c>
      <c r="D392" s="64">
        <f>'Dotacion Planta'!D222</f>
        <v>244.473081</v>
      </c>
      <c r="E392" s="64">
        <f>'Dotacion Planta'!E222</f>
        <v>236.7756259</v>
      </c>
      <c r="F392" s="64">
        <f>'Dotacion Planta'!F222</f>
        <v>222.2993478</v>
      </c>
      <c r="G392" s="64">
        <f>'Dotacion Planta'!G222</f>
        <v>214.8456572</v>
      </c>
      <c r="H392" s="64">
        <f>'Dotacion Planta'!H222</f>
        <v>229.9968029</v>
      </c>
      <c r="I392" s="64">
        <f>'Dotacion Planta'!I222</f>
        <v>229.9968029</v>
      </c>
      <c r="J392" s="64">
        <f>'Dotacion Planta'!J222</f>
        <v>229.6593691</v>
      </c>
      <c r="K392" s="64">
        <f>'Dotacion Planta'!K222</f>
        <v>222.2056785</v>
      </c>
      <c r="L392" s="64">
        <f>'Dotacion Planta'!L222</f>
        <v>215.0894217</v>
      </c>
      <c r="M392" s="64">
        <f>'Dotacion Planta'!M222</f>
        <v>339.2719691</v>
      </c>
      <c r="N392" s="64">
        <f t="shared" si="210"/>
        <v>2962.74238</v>
      </c>
      <c r="O392" s="64">
        <f t="shared" si="211"/>
        <v>339.2719691</v>
      </c>
    </row>
    <row r="393" ht="15.75" customHeight="1">
      <c r="A393" s="46">
        <v>2028.0</v>
      </c>
      <c r="B393" s="64">
        <f>'Dotacion Planta'!B315</f>
        <v>585.706221</v>
      </c>
      <c r="C393" s="64">
        <f>'Dotacion Planta'!C315</f>
        <v>451.1404944</v>
      </c>
      <c r="D393" s="64">
        <f>'Dotacion Planta'!D315</f>
        <v>433.2643405</v>
      </c>
      <c r="E393" s="64">
        <f>'Dotacion Planta'!E315</f>
        <v>418.2309648</v>
      </c>
      <c r="F393" s="64">
        <f>'Dotacion Planta'!F315</f>
        <v>392.3260669</v>
      </c>
      <c r="G393" s="64">
        <f>'Dotacion Planta'!G315</f>
        <v>380.5751612</v>
      </c>
      <c r="H393" s="64">
        <f>'Dotacion Planta'!H315</f>
        <v>407.3594427</v>
      </c>
      <c r="I393" s="64">
        <f>'Dotacion Planta'!I315</f>
        <v>407.3594427</v>
      </c>
      <c r="J393" s="64">
        <f>'Dotacion Planta'!J315</f>
        <v>406.9197508</v>
      </c>
      <c r="K393" s="64">
        <f>'Dotacion Planta'!K315</f>
        <v>395.1688451</v>
      </c>
      <c r="L393" s="64">
        <f>'Dotacion Planta'!L315</f>
        <v>383.8576312</v>
      </c>
      <c r="M393" s="64">
        <f>'Dotacion Planta'!M315</f>
        <v>607.0095734</v>
      </c>
      <c r="N393" s="64">
        <f t="shared" si="210"/>
        <v>5268.917935</v>
      </c>
      <c r="O393" s="64">
        <f t="shared" si="211"/>
        <v>607.0095734</v>
      </c>
    </row>
    <row r="394" ht="15.75" customHeight="1">
      <c r="A394" s="46">
        <v>2029.0</v>
      </c>
      <c r="B394" s="64">
        <f>'Dotacion Planta'!B408</f>
        <v>856.7875951</v>
      </c>
      <c r="C394" s="64">
        <f>'Dotacion Planta'!C408</f>
        <v>658.5220296</v>
      </c>
      <c r="D394" s="64">
        <f>'Dotacion Planta'!D408</f>
        <v>628.6720391</v>
      </c>
      <c r="E394" s="64">
        <f>'Dotacion Planta'!E408</f>
        <v>605.5600293</v>
      </c>
      <c r="F394" s="64">
        <f>'Dotacion Planta'!F408</f>
        <v>567.8447733</v>
      </c>
      <c r="G394" s="64">
        <f>'Dotacion Planta'!G408</f>
        <v>552.0610052</v>
      </c>
      <c r="H394" s="64">
        <f>'Dotacion Planta'!H408</f>
        <v>590.956783</v>
      </c>
      <c r="I394" s="64">
        <f>'Dotacion Planta'!I408</f>
        <v>590.956783</v>
      </c>
      <c r="J394" s="64">
        <f>'Dotacion Planta'!J408</f>
        <v>590.3665221</v>
      </c>
      <c r="K394" s="64">
        <f>'Dotacion Planta'!K408</f>
        <v>574.582754</v>
      </c>
      <c r="L394" s="64">
        <f>'Dotacion Planta'!L408</f>
        <v>559.3892469</v>
      </c>
      <c r="M394" s="64">
        <f>'Dotacion Planta'!M408</f>
        <v>885.4038266</v>
      </c>
      <c r="N394" s="64">
        <f t="shared" si="210"/>
        <v>7661.103387</v>
      </c>
      <c r="O394" s="64">
        <f t="shared" si="211"/>
        <v>885.4038266</v>
      </c>
    </row>
    <row r="395" ht="15.75" customHeight="1">
      <c r="A395" s="46">
        <v>2030.0</v>
      </c>
      <c r="B395" s="64">
        <f>'Dotacion Planta'!B501</f>
        <v>1456.214297</v>
      </c>
      <c r="C395" s="64">
        <f>'Dotacion Planta'!C501</f>
        <v>1118.543037</v>
      </c>
      <c r="D395" s="64">
        <f>'Dotacion Planta'!D501</f>
        <v>1066.092404</v>
      </c>
      <c r="E395" s="64">
        <f>'Dotacion Planta'!E501</f>
        <v>1026.331969</v>
      </c>
      <c r="F395" s="64">
        <f>'Dotacion Planta'!F501</f>
        <v>962.2529859</v>
      </c>
      <c r="G395" s="64">
        <f>'Dotacion Planta'!G501</f>
        <v>936.099979</v>
      </c>
      <c r="H395" s="64">
        <f>'Dotacion Planta'!H501</f>
        <v>1002.013421</v>
      </c>
      <c r="I395" s="64">
        <f>'Dotacion Planta'!I501</f>
        <v>1002.013421</v>
      </c>
      <c r="J395" s="64">
        <f>'Dotacion Planta'!J501</f>
        <v>1001.096191</v>
      </c>
      <c r="K395" s="64">
        <f>'Dotacion Planta'!K501</f>
        <v>974.9431844</v>
      </c>
      <c r="L395" s="64">
        <f>'Dotacion Planta'!L501</f>
        <v>949.7074071</v>
      </c>
      <c r="M395" s="64">
        <f>'Dotacion Planta'!M501</f>
        <v>1503.934163</v>
      </c>
      <c r="N395" s="64">
        <f t="shared" si="210"/>
        <v>12999.24246</v>
      </c>
      <c r="O395" s="64">
        <f t="shared" si="211"/>
        <v>1503.934163</v>
      </c>
    </row>
    <row r="396" ht="15.75" customHeight="1">
      <c r="A396" s="46">
        <v>2031.0</v>
      </c>
      <c r="B396" s="64">
        <f>'Dotacion Planta'!B594</f>
        <v>2015.239576</v>
      </c>
      <c r="C396" s="64">
        <f>'Dotacion Planta'!C594</f>
        <v>1548.120885</v>
      </c>
      <c r="D396" s="64">
        <f>'Dotacion Planta'!D594</f>
        <v>1476.05315</v>
      </c>
      <c r="E396" s="64">
        <f>'Dotacion Planta'!E594</f>
        <v>1421.206081</v>
      </c>
      <c r="F396" s="64">
        <f>'Dotacion Planta'!F594</f>
        <v>1332.473409</v>
      </c>
      <c r="G396" s="64">
        <f>'Dotacion Planta'!G594</f>
        <v>1296.09394</v>
      </c>
      <c r="H396" s="64">
        <f>'Dotacion Planta'!H594</f>
        <v>1387.320479</v>
      </c>
      <c r="I396" s="64">
        <f>'Dotacion Planta'!I594</f>
        <v>1387.320479</v>
      </c>
      <c r="J396" s="64">
        <f>'Dotacion Planta'!J594</f>
        <v>1386.073545</v>
      </c>
      <c r="K396" s="64">
        <f>'Dotacion Planta'!K594</f>
        <v>1349.694075</v>
      </c>
      <c r="L396" s="64">
        <f>'Dotacion Planta'!L594</f>
        <v>1314.56154</v>
      </c>
      <c r="M396" s="64">
        <f>'Dotacion Planta'!M594</f>
        <v>2081.763846</v>
      </c>
      <c r="N396" s="64">
        <f t="shared" si="210"/>
        <v>17995.92101</v>
      </c>
      <c r="O396" s="64">
        <f t="shared" si="211"/>
        <v>2081.763846</v>
      </c>
    </row>
    <row r="397" ht="15.75" customHeight="1">
      <c r="A397" s="46">
        <v>2032.0</v>
      </c>
      <c r="B397" s="64">
        <f>'Dotacion Planta'!B687</f>
        <v>2748.787567</v>
      </c>
      <c r="C397" s="64">
        <f>'Dotacion Planta'!C687</f>
        <v>2110.361082</v>
      </c>
      <c r="D397" s="64">
        <f>'Dotacion Planta'!D687</f>
        <v>2008.801872</v>
      </c>
      <c r="E397" s="64">
        <f>'Dotacion Planta'!E687</f>
        <v>1933.033591</v>
      </c>
      <c r="F397" s="64">
        <f>'Dotacion Planta'!F687</f>
        <v>1812.115741</v>
      </c>
      <c r="G397" s="64">
        <f>'Dotacion Planta'!G687</f>
        <v>1763.74765</v>
      </c>
      <c r="H397" s="64">
        <f>'Dotacion Planta'!H687</f>
        <v>1887.884022</v>
      </c>
      <c r="I397" s="64">
        <f>'Dotacion Planta'!I687</f>
        <v>1887.884022</v>
      </c>
      <c r="J397" s="64">
        <f>'Dotacion Planta'!J687</f>
        <v>1886.274761</v>
      </c>
      <c r="K397" s="64">
        <f>'Dotacion Planta'!K687</f>
        <v>1837.90667</v>
      </c>
      <c r="L397" s="64">
        <f>'Dotacion Planta'!L687</f>
        <v>1791.147839</v>
      </c>
      <c r="M397" s="64">
        <f>'Dotacion Planta'!M687</f>
        <v>2837.477444</v>
      </c>
      <c r="N397" s="64">
        <f t="shared" si="210"/>
        <v>24505.42226</v>
      </c>
      <c r="O397" s="64">
        <f t="shared" si="211"/>
        <v>2837.477444</v>
      </c>
    </row>
    <row r="398" ht="15.75" customHeight="1">
      <c r="A398" s="46">
        <v>2033.0</v>
      </c>
      <c r="B398" s="64">
        <f>'Dotacion Planta'!B780</f>
        <v>3493.738571</v>
      </c>
      <c r="C398" s="64">
        <f>'Dotacion Planta'!C780</f>
        <v>2681.656288</v>
      </c>
      <c r="D398" s="64">
        <f>'Dotacion Planta'!D780</f>
        <v>2550.954679</v>
      </c>
      <c r="E398" s="64">
        <f>'Dotacion Planta'!E780</f>
        <v>2454.178559</v>
      </c>
      <c r="F398" s="64">
        <f>'Dotacion Planta'!F780</f>
        <v>2300.544897</v>
      </c>
      <c r="G398" s="64">
        <f>'Dotacion Planta'!G780</f>
        <v>2239.691961</v>
      </c>
      <c r="H398" s="64">
        <f>'Dotacion Planta'!H780</f>
        <v>2397.321017</v>
      </c>
      <c r="I398" s="64">
        <f>'Dotacion Planta'!I780</f>
        <v>2397.321017</v>
      </c>
      <c r="J398" s="64">
        <f>'Dotacion Planta'!J780</f>
        <v>2395.32332</v>
      </c>
      <c r="K398" s="64">
        <f>'Dotacion Planta'!K780</f>
        <v>2334.470385</v>
      </c>
      <c r="L398" s="64">
        <f>'Dotacion Planta'!L780</f>
        <v>2275.615146</v>
      </c>
      <c r="M398" s="64">
        <f>'Dotacion Planta'!M780</f>
        <v>3605.455959</v>
      </c>
      <c r="N398" s="64">
        <f t="shared" si="210"/>
        <v>31126.2718</v>
      </c>
      <c r="O398" s="64">
        <f t="shared" si="211"/>
        <v>3605.455959</v>
      </c>
    </row>
    <row r="399" ht="15.75" customHeight="1">
      <c r="A399" s="46">
        <v>2034.0</v>
      </c>
      <c r="B399" s="64">
        <f>'Dotacion Planta'!B873</f>
        <v>3957.162319</v>
      </c>
      <c r="C399" s="64">
        <f>'Dotacion Planta'!C873</f>
        <v>3038.334657</v>
      </c>
      <c r="D399" s="64">
        <f>'Dotacion Planta'!D873</f>
        <v>2892.79254</v>
      </c>
      <c r="E399" s="64">
        <f>'Dotacion Planta'!E873</f>
        <v>2783.918515</v>
      </c>
      <c r="F399" s="64">
        <f>'Dotacion Planta'!F873</f>
        <v>2609.810624</v>
      </c>
      <c r="G399" s="64">
        <f>'Dotacion Planta'!G873</f>
        <v>2539.928712</v>
      </c>
      <c r="H399" s="64">
        <f>'Dotacion Planta'!H873</f>
        <v>2718.68465</v>
      </c>
      <c r="I399" s="64">
        <f>'Dotacion Planta'!I873</f>
        <v>2718.68465</v>
      </c>
      <c r="J399" s="64">
        <f>'Dotacion Planta'!J873</f>
        <v>2716.360626</v>
      </c>
      <c r="K399" s="64">
        <f>'Dotacion Planta'!K873</f>
        <v>2646.478714</v>
      </c>
      <c r="L399" s="64">
        <f>'Dotacion Planta'!L873</f>
        <v>2578.920826</v>
      </c>
      <c r="M399" s="64">
        <f>'Dotacion Planta'!M873</f>
        <v>4085.306026</v>
      </c>
      <c r="N399" s="64">
        <f t="shared" si="210"/>
        <v>35286.38286</v>
      </c>
      <c r="O399" s="64">
        <f t="shared" si="211"/>
        <v>4085.306026</v>
      </c>
    </row>
    <row r="400" ht="15.75" customHeight="1">
      <c r="A400" s="46">
        <v>2035.0</v>
      </c>
      <c r="B400" s="64">
        <f>'Dotacion Planta'!B966</f>
        <v>4560.330533</v>
      </c>
      <c r="C400" s="64">
        <f>'Dotacion Planta'!C966</f>
        <v>3501.608933</v>
      </c>
      <c r="D400" s="64">
        <f>'Dotacion Planta'!D966</f>
        <v>3334.30502</v>
      </c>
      <c r="E400" s="64">
        <f>'Dotacion Planta'!E966</f>
        <v>3208.968544</v>
      </c>
      <c r="F400" s="64">
        <f>'Dotacion Planta'!F966</f>
        <v>3008.295052</v>
      </c>
      <c r="G400" s="64">
        <f>'Dotacion Planta'!G966</f>
        <v>2927.603354</v>
      </c>
      <c r="H400" s="64">
        <f>'Dotacion Planta'!H966</f>
        <v>3133.631528</v>
      </c>
      <c r="I400" s="64">
        <f>'Dotacion Planta'!I966</f>
        <v>3133.631528</v>
      </c>
      <c r="J400" s="64">
        <f>'Dotacion Planta'!J966</f>
        <v>3130.954187</v>
      </c>
      <c r="K400" s="64">
        <f>'Dotacion Planta'!K966</f>
        <v>3050.262489</v>
      </c>
      <c r="L400" s="64">
        <f>'Dotacion Planta'!L966</f>
        <v>2972.248133</v>
      </c>
      <c r="M400" s="64">
        <f>'Dotacion Planta'!M966</f>
        <v>4708.327222</v>
      </c>
      <c r="N400" s="64">
        <f t="shared" si="210"/>
        <v>40670.16652</v>
      </c>
      <c r="O400" s="64">
        <f t="shared" si="211"/>
        <v>4708.327222</v>
      </c>
    </row>
    <row r="401" ht="15.75" customHeight="1"/>
    <row r="402" ht="15.75" customHeight="1"/>
    <row r="403" ht="15.75" customHeight="1">
      <c r="A403" s="24" t="s">
        <v>395</v>
      </c>
      <c r="B403" s="29" t="s">
        <v>109</v>
      </c>
      <c r="C403" s="29" t="s">
        <v>110</v>
      </c>
      <c r="D403" s="29" t="s">
        <v>111</v>
      </c>
      <c r="E403" s="29" t="s">
        <v>112</v>
      </c>
      <c r="F403" s="29" t="s">
        <v>113</v>
      </c>
      <c r="G403" s="29" t="s">
        <v>114</v>
      </c>
      <c r="H403" s="29" t="s">
        <v>115</v>
      </c>
      <c r="I403" s="29" t="s">
        <v>116</v>
      </c>
      <c r="J403" s="29" t="s">
        <v>117</v>
      </c>
      <c r="K403" s="29" t="s">
        <v>118</v>
      </c>
      <c r="L403" s="29" t="s">
        <v>119</v>
      </c>
      <c r="M403" s="29" t="s">
        <v>120</v>
      </c>
      <c r="N403" s="29" t="s">
        <v>15</v>
      </c>
      <c r="O403" s="29" t="s">
        <v>1070</v>
      </c>
    </row>
    <row r="404" ht="15.75" customHeight="1">
      <c r="A404" s="46">
        <v>2026.0</v>
      </c>
      <c r="B404" s="64">
        <f>'Dotacion Planta'!B139</f>
        <v>52.1984584</v>
      </c>
      <c r="C404" s="64">
        <f>'Dotacion Planta'!C139</f>
        <v>43.24711441</v>
      </c>
      <c r="D404" s="64">
        <f>'Dotacion Planta'!D139</f>
        <v>44.62018085</v>
      </c>
      <c r="E404" s="64">
        <f>'Dotacion Planta'!E139</f>
        <v>43.34896913</v>
      </c>
      <c r="F404" s="64">
        <f>'Dotacion Planta'!F139</f>
        <v>41.97590269</v>
      </c>
      <c r="G404" s="64">
        <f>'Dotacion Planta'!G139</f>
        <v>40.60283625</v>
      </c>
      <c r="H404" s="64">
        <f>'Dotacion Planta'!H139</f>
        <v>43.45082385</v>
      </c>
      <c r="I404" s="64">
        <f>'Dotacion Planta'!I139</f>
        <v>44.51832613</v>
      </c>
      <c r="J404" s="64">
        <f>'Dotacion Planta'!J139</f>
        <v>44.51832613</v>
      </c>
      <c r="K404" s="64">
        <f>'Dotacion Planta'!K139</f>
        <v>43.24711441</v>
      </c>
      <c r="L404" s="64">
        <f>'Dotacion Planta'!L139</f>
        <v>43.14525969</v>
      </c>
      <c r="M404" s="64">
        <f>'Dotacion Planta'!M139</f>
        <v>62.53550645</v>
      </c>
      <c r="N404" s="64">
        <f t="shared" ref="N404:N413" si="212">SUM(B404:M404)</f>
        <v>547.4088184</v>
      </c>
      <c r="O404" s="64">
        <f t="shared" ref="O404:O413" si="213">MAX(B404:M404)</f>
        <v>62.53550645</v>
      </c>
    </row>
    <row r="405" ht="15.75" customHeight="1">
      <c r="A405" s="46">
        <v>2027.0</v>
      </c>
      <c r="B405" s="64">
        <f>'Dotacion Planta'!B232</f>
        <v>237.1102556</v>
      </c>
      <c r="C405" s="64">
        <f>'Dotacion Planta'!C232</f>
        <v>195.2980346</v>
      </c>
      <c r="D405" s="64">
        <f>'Dotacion Planta'!D232</f>
        <v>201.0131169</v>
      </c>
      <c r="E405" s="64">
        <f>'Dotacion Planta'!E232</f>
        <v>195.8426025</v>
      </c>
      <c r="F405" s="64">
        <f>'Dotacion Planta'!F232</f>
        <v>190.1275203</v>
      </c>
      <c r="G405" s="64">
        <f>'Dotacion Planta'!G232</f>
        <v>184.412438</v>
      </c>
      <c r="H405" s="64">
        <f>'Dotacion Planta'!H232</f>
        <v>196.3871705</v>
      </c>
      <c r="I405" s="64">
        <f>'Dotacion Planta'!I232</f>
        <v>200.4685489</v>
      </c>
      <c r="J405" s="64">
        <f>'Dotacion Planta'!J232</f>
        <v>200.4685489</v>
      </c>
      <c r="K405" s="64">
        <f>'Dotacion Planta'!K232</f>
        <v>195.2980346</v>
      </c>
      <c r="L405" s="64">
        <f>'Dotacion Planta'!L232</f>
        <v>194.7534667</v>
      </c>
      <c r="M405" s="64">
        <f>'Dotacion Planta'!M232</f>
        <v>283.3331048</v>
      </c>
      <c r="N405" s="64">
        <f t="shared" si="212"/>
        <v>2474.512842</v>
      </c>
      <c r="O405" s="64">
        <f t="shared" si="213"/>
        <v>283.3331048</v>
      </c>
    </row>
    <row r="406" ht="15.75" customHeight="1">
      <c r="A406" s="46">
        <v>2028.0</v>
      </c>
      <c r="B406" s="64">
        <f>'Dotacion Planta'!B325</f>
        <v>473.1857989</v>
      </c>
      <c r="C406" s="64">
        <f>'Dotacion Planta'!C325</f>
        <v>392.4609061</v>
      </c>
      <c r="D406" s="64">
        <f>'Dotacion Planta'!D325</f>
        <v>405.3065204</v>
      </c>
      <c r="E406" s="64">
        <f>'Dotacion Planta'!E325</f>
        <v>393.6156631</v>
      </c>
      <c r="F406" s="64">
        <f>'Dotacion Planta'!F325</f>
        <v>380.7700489</v>
      </c>
      <c r="G406" s="64">
        <f>'Dotacion Planta'!G325</f>
        <v>367.9244346</v>
      </c>
      <c r="H406" s="64">
        <f>'Dotacion Planta'!H325</f>
        <v>394.7704202</v>
      </c>
      <c r="I406" s="64">
        <f>'Dotacion Planta'!I325</f>
        <v>404.1517634</v>
      </c>
      <c r="J406" s="64">
        <f>'Dotacion Planta'!J325</f>
        <v>404.1517634</v>
      </c>
      <c r="K406" s="64">
        <f>'Dotacion Planta'!K325</f>
        <v>392.4609061</v>
      </c>
      <c r="L406" s="64">
        <f>'Dotacion Planta'!L325</f>
        <v>391.3061491</v>
      </c>
      <c r="M406" s="64">
        <f>'Dotacion Planta'!M325</f>
        <v>565.5707595</v>
      </c>
      <c r="N406" s="64">
        <f t="shared" si="212"/>
        <v>4965.675134</v>
      </c>
      <c r="O406" s="64">
        <f t="shared" si="213"/>
        <v>565.5707595</v>
      </c>
    </row>
    <row r="407" ht="15.75" customHeight="1">
      <c r="A407" s="46">
        <v>2029.0</v>
      </c>
      <c r="B407" s="64">
        <f>'Dotacion Planta'!B418</f>
        <v>875.4701765</v>
      </c>
      <c r="C407" s="64">
        <f>'Dotacion Planta'!C418</f>
        <v>726.6662055</v>
      </c>
      <c r="D407" s="64">
        <f>'Dotacion Planta'!D418</f>
        <v>750.6456808</v>
      </c>
      <c r="E407" s="64">
        <f>'Dotacion Planta'!E418</f>
        <v>728.7176823</v>
      </c>
      <c r="F407" s="64">
        <f>'Dotacion Planta'!F418</f>
        <v>704.738207</v>
      </c>
      <c r="G407" s="64">
        <f>'Dotacion Planta'!G418</f>
        <v>680.7587317</v>
      </c>
      <c r="H407" s="64">
        <f>'Dotacion Planta'!H418</f>
        <v>730.7691591</v>
      </c>
      <c r="I407" s="64">
        <f>'Dotacion Planta'!I418</f>
        <v>748.594204</v>
      </c>
      <c r="J407" s="64">
        <f>'Dotacion Planta'!J418</f>
        <v>748.594204</v>
      </c>
      <c r="K407" s="64">
        <f>'Dotacion Planta'!K418</f>
        <v>726.6662055</v>
      </c>
      <c r="L407" s="64">
        <f>'Dotacion Planta'!L418</f>
        <v>724.6147287</v>
      </c>
      <c r="M407" s="64">
        <f>'Dotacion Planta'!M418</f>
        <v>1047.02655</v>
      </c>
      <c r="N407" s="64">
        <f t="shared" si="212"/>
        <v>9193.261735</v>
      </c>
      <c r="O407" s="64">
        <f t="shared" si="213"/>
        <v>1047.02655</v>
      </c>
    </row>
    <row r="408" ht="15.75" customHeight="1">
      <c r="A408" s="46">
        <v>2030.0</v>
      </c>
      <c r="B408" s="64">
        <f>'Dotacion Planta'!B511</f>
        <v>1288.845447</v>
      </c>
      <c r="C408" s="64">
        <f>'Dotacion Planta'!C511</f>
        <v>1068.41508</v>
      </c>
      <c r="D408" s="64">
        <f>'Dotacion Planta'!D511</f>
        <v>1102.959548</v>
      </c>
      <c r="E408" s="64">
        <f>'Dotacion Planta'!E511</f>
        <v>1071.358366</v>
      </c>
      <c r="F408" s="64">
        <f>'Dotacion Planta'!F511</f>
        <v>1036.813898</v>
      </c>
      <c r="G408" s="64">
        <f>'Dotacion Planta'!G511</f>
        <v>1002.26943</v>
      </c>
      <c r="H408" s="64">
        <f>'Dotacion Planta'!H511</f>
        <v>1074.301651</v>
      </c>
      <c r="I408" s="64">
        <f>'Dotacion Planta'!I511</f>
        <v>1100.016263</v>
      </c>
      <c r="J408" s="64">
        <f>'Dotacion Planta'!J511</f>
        <v>1100.016263</v>
      </c>
      <c r="K408" s="64">
        <f>'Dotacion Planta'!K511</f>
        <v>1068.41508</v>
      </c>
      <c r="L408" s="64">
        <f>'Dotacion Planta'!L511</f>
        <v>1065.471795</v>
      </c>
      <c r="M408" s="64">
        <f>'Dotacion Planta'!M511</f>
        <v>1541.595296</v>
      </c>
      <c r="N408" s="64">
        <f t="shared" si="212"/>
        <v>13520.47812</v>
      </c>
      <c r="O408" s="64">
        <f t="shared" si="213"/>
        <v>1541.595296</v>
      </c>
    </row>
    <row r="409" ht="15.75" customHeight="1">
      <c r="A409" s="46">
        <v>2031.0</v>
      </c>
      <c r="B409" s="64">
        <f>'Dotacion Planta'!B604</f>
        <v>1754.599825</v>
      </c>
      <c r="C409" s="64">
        <f>'Dotacion Planta'!C604</f>
        <v>1452.441038</v>
      </c>
      <c r="D409" s="64">
        <f>'Dotacion Planta'!D604</f>
        <v>1498.312933</v>
      </c>
      <c r="E409" s="64">
        <f>'Dotacion Planta'!E604</f>
        <v>1456.322923</v>
      </c>
      <c r="F409" s="64">
        <f>'Dotacion Planta'!F604</f>
        <v>1410.451027</v>
      </c>
      <c r="G409" s="64">
        <f>'Dotacion Planta'!G604</f>
        <v>1364.579132</v>
      </c>
      <c r="H409" s="64">
        <f>'Dotacion Planta'!H604</f>
        <v>1460.204809</v>
      </c>
      <c r="I409" s="64">
        <f>'Dotacion Planta'!I604</f>
        <v>1494.431048</v>
      </c>
      <c r="J409" s="64">
        <f>'Dotacion Planta'!J604</f>
        <v>1494.431048</v>
      </c>
      <c r="K409" s="64">
        <f>'Dotacion Planta'!K604</f>
        <v>1452.441038</v>
      </c>
      <c r="L409" s="64">
        <f>'Dotacion Planta'!L604</f>
        <v>1448.559152</v>
      </c>
      <c r="M409" s="64">
        <f>'Dotacion Planta'!M604</f>
        <v>2099.02448</v>
      </c>
      <c r="N409" s="64">
        <f t="shared" si="212"/>
        <v>18385.79845</v>
      </c>
      <c r="O409" s="64">
        <f t="shared" si="213"/>
        <v>2099.02448</v>
      </c>
    </row>
    <row r="410" ht="15.75" customHeight="1">
      <c r="A410" s="46">
        <v>2032.0</v>
      </c>
      <c r="B410" s="64">
        <f>'Dotacion Planta'!B697</f>
        <v>2180.156897</v>
      </c>
      <c r="C410" s="64">
        <f>'Dotacion Planta'!C697</f>
        <v>1803.320016</v>
      </c>
      <c r="D410" s="64">
        <f>'Dotacion Planta'!D697</f>
        <v>1859.569846</v>
      </c>
      <c r="E410" s="64">
        <f>'Dotacion Planta'!E697</f>
        <v>1808.096958</v>
      </c>
      <c r="F410" s="64">
        <f>'Dotacion Planta'!F697</f>
        <v>1751.847128</v>
      </c>
      <c r="G410" s="64">
        <f>'Dotacion Planta'!G697</f>
        <v>1695.597299</v>
      </c>
      <c r="H410" s="64">
        <f>'Dotacion Planta'!H697</f>
        <v>1812.8739</v>
      </c>
      <c r="I410" s="64">
        <f>'Dotacion Planta'!I697</f>
        <v>1854.792904</v>
      </c>
      <c r="J410" s="64">
        <f>'Dotacion Planta'!J697</f>
        <v>1854.792904</v>
      </c>
      <c r="K410" s="64">
        <f>'Dotacion Planta'!K697</f>
        <v>1803.320016</v>
      </c>
      <c r="L410" s="64">
        <f>'Dotacion Planta'!L697</f>
        <v>1798.543074</v>
      </c>
      <c r="M410" s="64">
        <f>'Dotacion Planta'!M697</f>
        <v>2608.115779</v>
      </c>
      <c r="N410" s="64">
        <f t="shared" si="212"/>
        <v>22831.02672</v>
      </c>
      <c r="O410" s="64">
        <f t="shared" si="213"/>
        <v>2608.115779</v>
      </c>
    </row>
    <row r="411" ht="15.75" customHeight="1">
      <c r="A411" s="46">
        <v>2033.0</v>
      </c>
      <c r="B411" s="64">
        <f>'Dotacion Planta'!B790</f>
        <v>2480.871455</v>
      </c>
      <c r="C411" s="64">
        <f>'Dotacion Planta'!C790</f>
        <v>2049.232959</v>
      </c>
      <c r="D411" s="64">
        <f>'Dotacion Planta'!D790</f>
        <v>2111.751651</v>
      </c>
      <c r="E411" s="64">
        <f>'Dotacion Planta'!E790</f>
        <v>2054.606941</v>
      </c>
      <c r="F411" s="64">
        <f>'Dotacion Planta'!F790</f>
        <v>1992.088249</v>
      </c>
      <c r="G411" s="64">
        <f>'Dotacion Planta'!G790</f>
        <v>1929.569557</v>
      </c>
      <c r="H411" s="64">
        <f>'Dotacion Planta'!H790</f>
        <v>2059.980923</v>
      </c>
      <c r="I411" s="64">
        <f>'Dotacion Planta'!I790</f>
        <v>2106.377669</v>
      </c>
      <c r="J411" s="64">
        <f>'Dotacion Planta'!J790</f>
        <v>2106.377669</v>
      </c>
      <c r="K411" s="64">
        <f>'Dotacion Planta'!K790</f>
        <v>2049.232959</v>
      </c>
      <c r="L411" s="64">
        <f>'Dotacion Planta'!L790</f>
        <v>2043.858977</v>
      </c>
      <c r="M411" s="64">
        <f>'Dotacion Planta'!M790</f>
        <v>2967.659738</v>
      </c>
      <c r="N411" s="64">
        <f t="shared" si="212"/>
        <v>25951.60875</v>
      </c>
      <c r="O411" s="64">
        <f t="shared" si="213"/>
        <v>2967.659738</v>
      </c>
    </row>
    <row r="412" ht="15.75" customHeight="1">
      <c r="A412" s="46">
        <v>2034.0</v>
      </c>
      <c r="B412" s="64">
        <f>'Dotacion Planta'!B883</f>
        <v>2668.671295</v>
      </c>
      <c r="C412" s="64">
        <f>'Dotacion Planta'!C883</f>
        <v>2204.859088</v>
      </c>
      <c r="D412" s="64">
        <f>'Dotacion Planta'!D883</f>
        <v>2272.404898</v>
      </c>
      <c r="E412" s="64">
        <f>'Dotacion Planta'!E883</f>
        <v>2210.688774</v>
      </c>
      <c r="F412" s="64">
        <f>'Dotacion Planta'!F883</f>
        <v>2143.142964</v>
      </c>
      <c r="G412" s="64">
        <f>'Dotacion Planta'!G883</f>
        <v>2075.597154</v>
      </c>
      <c r="H412" s="64">
        <f>'Dotacion Planta'!H883</f>
        <v>2216.51846</v>
      </c>
      <c r="I412" s="64">
        <f>'Dotacion Planta'!I883</f>
        <v>2266.575212</v>
      </c>
      <c r="J412" s="64">
        <f>'Dotacion Planta'!J883</f>
        <v>2266.575212</v>
      </c>
      <c r="K412" s="64">
        <f>'Dotacion Planta'!K883</f>
        <v>2204.859088</v>
      </c>
      <c r="L412" s="64">
        <f>'Dotacion Planta'!L883</f>
        <v>2199.029402</v>
      </c>
      <c r="M412" s="64">
        <f>'Dotacion Planta'!M883</f>
        <v>3192.113888</v>
      </c>
      <c r="N412" s="64">
        <f t="shared" si="212"/>
        <v>27921.03543</v>
      </c>
      <c r="O412" s="64">
        <f t="shared" si="213"/>
        <v>3192.113888</v>
      </c>
    </row>
    <row r="413" ht="15.75" customHeight="1">
      <c r="A413" s="46">
        <v>2035.0</v>
      </c>
      <c r="B413" s="64">
        <f>'Dotacion Planta'!B976</f>
        <v>2860.444796</v>
      </c>
      <c r="C413" s="64">
        <f>'Dotacion Planta'!C976</f>
        <v>2363.73537</v>
      </c>
      <c r="D413" s="64">
        <f>'Dotacion Planta'!D976</f>
        <v>2436.394776</v>
      </c>
      <c r="E413" s="64">
        <f>'Dotacion Planta'!E976</f>
        <v>2370.032811</v>
      </c>
      <c r="F413" s="64">
        <f>'Dotacion Planta'!F976</f>
        <v>2297.373404</v>
      </c>
      <c r="G413" s="64">
        <f>'Dotacion Planta'!G976</f>
        <v>2224.713998</v>
      </c>
      <c r="H413" s="64">
        <f>'Dotacion Planta'!H976</f>
        <v>2376.330252</v>
      </c>
      <c r="I413" s="64">
        <f>'Dotacion Planta'!I976</f>
        <v>2430.097335</v>
      </c>
      <c r="J413" s="64">
        <f>'Dotacion Planta'!J976</f>
        <v>2430.097335</v>
      </c>
      <c r="K413" s="64">
        <f>'Dotacion Planta'!K976</f>
        <v>2363.73537</v>
      </c>
      <c r="L413" s="64">
        <f>'Dotacion Planta'!L976</f>
        <v>2357.437928</v>
      </c>
      <c r="M413" s="64">
        <f>'Dotacion Planta'!M976</f>
        <v>3421.293894</v>
      </c>
      <c r="N413" s="64">
        <f t="shared" si="212"/>
        <v>29931.68727</v>
      </c>
      <c r="O413" s="64">
        <f t="shared" si="213"/>
        <v>3421.293894</v>
      </c>
    </row>
    <row r="414" ht="15.75" customHeight="1"/>
    <row r="415" ht="15.75" customHeight="1"/>
    <row r="416" ht="15.75" customHeight="1">
      <c r="A416" s="24" t="s">
        <v>1072</v>
      </c>
      <c r="B416" s="29" t="s">
        <v>109</v>
      </c>
      <c r="C416" s="29" t="s">
        <v>110</v>
      </c>
      <c r="D416" s="29" t="s">
        <v>111</v>
      </c>
      <c r="E416" s="29" t="s">
        <v>112</v>
      </c>
      <c r="F416" s="29" t="s">
        <v>113</v>
      </c>
      <c r="G416" s="29" t="s">
        <v>114</v>
      </c>
      <c r="H416" s="29" t="s">
        <v>115</v>
      </c>
      <c r="I416" s="29" t="s">
        <v>116</v>
      </c>
      <c r="J416" s="29" t="s">
        <v>117</v>
      </c>
      <c r="K416" s="29" t="s">
        <v>118</v>
      </c>
      <c r="L416" s="29" t="s">
        <v>119</v>
      </c>
      <c r="M416" s="29" t="s">
        <v>120</v>
      </c>
      <c r="N416" s="29" t="s">
        <v>15</v>
      </c>
      <c r="O416" s="29" t="s">
        <v>1070</v>
      </c>
    </row>
    <row r="417" ht="15.75" customHeight="1">
      <c r="A417" s="46">
        <v>2026.0</v>
      </c>
      <c r="B417" s="64">
        <f>'Dotacion Planta'!B130</f>
        <v>10.41958333</v>
      </c>
      <c r="C417" s="64">
        <f>'Dotacion Planta'!C130</f>
        <v>9.19375</v>
      </c>
      <c r="D417" s="64">
        <f>'Dotacion Planta'!D130</f>
        <v>11.0325</v>
      </c>
      <c r="E417" s="64">
        <f>'Dotacion Planta'!E130</f>
        <v>11.0325</v>
      </c>
      <c r="F417" s="64">
        <f>'Dotacion Planta'!F130</f>
        <v>11.0325</v>
      </c>
      <c r="G417" s="64">
        <f>'Dotacion Planta'!G130</f>
        <v>9.806666667</v>
      </c>
      <c r="H417" s="64">
        <f>'Dotacion Planta'!H130</f>
        <v>11.0325</v>
      </c>
      <c r="I417" s="64">
        <f>'Dotacion Planta'!I130</f>
        <v>11.0325</v>
      </c>
      <c r="J417" s="64">
        <f>'Dotacion Planta'!J130</f>
        <v>10.41958333</v>
      </c>
      <c r="K417" s="64">
        <f>'Dotacion Planta'!K130</f>
        <v>9.19375</v>
      </c>
      <c r="L417" s="64">
        <f>'Dotacion Planta'!L130</f>
        <v>8.580833333</v>
      </c>
      <c r="M417" s="64">
        <f>'Dotacion Planta'!M130</f>
        <v>9.806666667</v>
      </c>
      <c r="N417" s="64">
        <f t="shared" ref="N417:N426" si="214">SUM(B417:M417)</f>
        <v>122.5833333</v>
      </c>
      <c r="O417" s="64">
        <f t="shared" ref="O417:O426" si="215">MAX(B417:M417)</f>
        <v>11.0325</v>
      </c>
    </row>
    <row r="418" ht="15.75" customHeight="1">
      <c r="A418" s="46">
        <v>2027.0</v>
      </c>
      <c r="B418" s="64">
        <f>'Dotacion Planta'!B223</f>
        <v>17.85119792</v>
      </c>
      <c r="C418" s="64">
        <f>'Dotacion Planta'!C223</f>
        <v>15.75105699</v>
      </c>
      <c r="D418" s="64">
        <f>'Dotacion Planta'!D223</f>
        <v>18.90126838</v>
      </c>
      <c r="E418" s="64">
        <f>'Dotacion Planta'!E223</f>
        <v>18.90126838</v>
      </c>
      <c r="F418" s="64">
        <f>'Dotacion Planta'!F223</f>
        <v>18.90126838</v>
      </c>
      <c r="G418" s="64">
        <f>'Dotacion Planta'!G223</f>
        <v>16.80112745</v>
      </c>
      <c r="H418" s="64">
        <f>'Dotacion Planta'!H223</f>
        <v>18.90126838</v>
      </c>
      <c r="I418" s="64">
        <f>'Dotacion Planta'!I223</f>
        <v>18.90126838</v>
      </c>
      <c r="J418" s="64">
        <f>'Dotacion Planta'!J223</f>
        <v>17.85119792</v>
      </c>
      <c r="K418" s="64">
        <f>'Dotacion Planta'!K223</f>
        <v>15.75105699</v>
      </c>
      <c r="L418" s="64">
        <f>'Dotacion Planta'!L223</f>
        <v>14.70098652</v>
      </c>
      <c r="M418" s="64">
        <f>'Dotacion Planta'!M223</f>
        <v>16.80112745</v>
      </c>
      <c r="N418" s="64">
        <f t="shared" si="214"/>
        <v>210.0140931</v>
      </c>
      <c r="O418" s="64">
        <f t="shared" si="215"/>
        <v>18.90126838</v>
      </c>
    </row>
    <row r="419" ht="15.75" customHeight="1">
      <c r="A419" s="46">
        <v>2028.0</v>
      </c>
      <c r="B419" s="64">
        <f>'Dotacion Planta'!B316</f>
        <v>27.58125</v>
      </c>
      <c r="C419" s="64">
        <f>'Dotacion Planta'!C316</f>
        <v>24.33639706</v>
      </c>
      <c r="D419" s="64">
        <f>'Dotacion Planta'!D316</f>
        <v>29.20367647</v>
      </c>
      <c r="E419" s="64">
        <f>'Dotacion Planta'!E316</f>
        <v>29.20367647</v>
      </c>
      <c r="F419" s="64">
        <f>'Dotacion Planta'!F316</f>
        <v>29.20367647</v>
      </c>
      <c r="G419" s="64">
        <f>'Dotacion Planta'!G316</f>
        <v>25.95882353</v>
      </c>
      <c r="H419" s="64">
        <f>'Dotacion Planta'!H316</f>
        <v>29.20367647</v>
      </c>
      <c r="I419" s="64">
        <f>'Dotacion Planta'!I316</f>
        <v>29.20367647</v>
      </c>
      <c r="J419" s="64">
        <f>'Dotacion Planta'!J316</f>
        <v>27.58125</v>
      </c>
      <c r="K419" s="64">
        <f>'Dotacion Planta'!K316</f>
        <v>24.33639706</v>
      </c>
      <c r="L419" s="64">
        <f>'Dotacion Planta'!L316</f>
        <v>22.71397059</v>
      </c>
      <c r="M419" s="64">
        <f>'Dotacion Planta'!M316</f>
        <v>25.95882353</v>
      </c>
      <c r="N419" s="64">
        <f t="shared" si="214"/>
        <v>324.4852941</v>
      </c>
      <c r="O419" s="64">
        <f t="shared" si="215"/>
        <v>29.20367647</v>
      </c>
    </row>
    <row r="420" ht="15.75" customHeight="1">
      <c r="A420" s="46">
        <v>2029.0</v>
      </c>
      <c r="B420" s="64">
        <f>'Dotacion Planta'!B409</f>
        <v>46.19859375</v>
      </c>
      <c r="C420" s="64">
        <f>'Dotacion Planta'!C409</f>
        <v>40.76346507</v>
      </c>
      <c r="D420" s="64">
        <f>'Dotacion Planta'!D409</f>
        <v>48.91615809</v>
      </c>
      <c r="E420" s="64">
        <f>'Dotacion Planta'!E409</f>
        <v>48.91615809</v>
      </c>
      <c r="F420" s="64">
        <f>'Dotacion Planta'!F409</f>
        <v>48.91615809</v>
      </c>
      <c r="G420" s="64">
        <f>'Dotacion Planta'!G409</f>
        <v>43.48102941</v>
      </c>
      <c r="H420" s="64">
        <f>'Dotacion Planta'!H409</f>
        <v>48.91615809</v>
      </c>
      <c r="I420" s="64">
        <f>'Dotacion Planta'!I409</f>
        <v>48.91615809</v>
      </c>
      <c r="J420" s="64">
        <f>'Dotacion Planta'!J409</f>
        <v>46.19859375</v>
      </c>
      <c r="K420" s="64">
        <f>'Dotacion Planta'!K409</f>
        <v>40.76346507</v>
      </c>
      <c r="L420" s="64">
        <f>'Dotacion Planta'!L409</f>
        <v>38.04590074</v>
      </c>
      <c r="M420" s="64">
        <f>'Dotacion Planta'!M409</f>
        <v>43.48102941</v>
      </c>
      <c r="N420" s="64">
        <f t="shared" si="214"/>
        <v>543.5128676</v>
      </c>
      <c r="O420" s="64">
        <f t="shared" si="215"/>
        <v>48.91615809</v>
      </c>
    </row>
    <row r="421" ht="15.75" customHeight="1">
      <c r="A421" s="46">
        <v>2030.0</v>
      </c>
      <c r="B421" s="64">
        <f>'Dotacion Planta'!B502</f>
        <v>76.308125</v>
      </c>
      <c r="C421" s="64">
        <f>'Dotacion Planta'!C502</f>
        <v>67.33069853</v>
      </c>
      <c r="D421" s="64">
        <f>'Dotacion Planta'!D502</f>
        <v>80.79683824</v>
      </c>
      <c r="E421" s="64">
        <f>'Dotacion Planta'!E502</f>
        <v>80.79683824</v>
      </c>
      <c r="F421" s="64">
        <f>'Dotacion Planta'!F502</f>
        <v>80.79683824</v>
      </c>
      <c r="G421" s="64">
        <f>'Dotacion Planta'!G502</f>
        <v>71.81941176</v>
      </c>
      <c r="H421" s="64">
        <f>'Dotacion Planta'!H502</f>
        <v>80.79683824</v>
      </c>
      <c r="I421" s="64">
        <f>'Dotacion Planta'!I502</f>
        <v>80.79683824</v>
      </c>
      <c r="J421" s="64">
        <f>'Dotacion Planta'!J502</f>
        <v>76.308125</v>
      </c>
      <c r="K421" s="64">
        <f>'Dotacion Planta'!K502</f>
        <v>67.33069853</v>
      </c>
      <c r="L421" s="64">
        <f>'Dotacion Planta'!L502</f>
        <v>62.84198529</v>
      </c>
      <c r="M421" s="64">
        <f>'Dotacion Planta'!M502</f>
        <v>71.81941176</v>
      </c>
      <c r="N421" s="64">
        <f t="shared" si="214"/>
        <v>897.7426471</v>
      </c>
      <c r="O421" s="64">
        <f t="shared" si="215"/>
        <v>80.79683824</v>
      </c>
    </row>
    <row r="422" ht="15.75" customHeight="1">
      <c r="A422" s="46">
        <v>2031.0</v>
      </c>
      <c r="B422" s="64">
        <f>'Dotacion Planta'!B595</f>
        <v>106.2644271</v>
      </c>
      <c r="C422" s="64">
        <f>'Dotacion Planta'!C595</f>
        <v>93.76272978</v>
      </c>
      <c r="D422" s="64">
        <f>'Dotacion Planta'!D595</f>
        <v>112.5152757</v>
      </c>
      <c r="E422" s="64">
        <f>'Dotacion Planta'!E595</f>
        <v>112.5152757</v>
      </c>
      <c r="F422" s="64">
        <f>'Dotacion Planta'!F595</f>
        <v>112.5152757</v>
      </c>
      <c r="G422" s="64">
        <f>'Dotacion Planta'!G595</f>
        <v>100.0135784</v>
      </c>
      <c r="H422" s="64">
        <f>'Dotacion Planta'!H595</f>
        <v>112.5152757</v>
      </c>
      <c r="I422" s="64">
        <f>'Dotacion Planta'!I595</f>
        <v>112.5152757</v>
      </c>
      <c r="J422" s="64">
        <f>'Dotacion Planta'!J595</f>
        <v>106.2644271</v>
      </c>
      <c r="K422" s="64">
        <f>'Dotacion Planta'!K595</f>
        <v>93.76272978</v>
      </c>
      <c r="L422" s="64">
        <f>'Dotacion Planta'!L595</f>
        <v>87.51188113</v>
      </c>
      <c r="M422" s="64">
        <f>'Dotacion Planta'!M595</f>
        <v>100.0135784</v>
      </c>
      <c r="N422" s="64">
        <f t="shared" si="214"/>
        <v>1250.16973</v>
      </c>
      <c r="O422" s="64">
        <f t="shared" si="215"/>
        <v>112.5152757</v>
      </c>
    </row>
    <row r="423" ht="15.75" customHeight="1">
      <c r="A423" s="46">
        <v>2032.0</v>
      </c>
      <c r="B423" s="64">
        <f>'Dotacion Planta'!B688</f>
        <v>142.0434375</v>
      </c>
      <c r="C423" s="64">
        <f>'Dotacion Planta'!C688</f>
        <v>125.3324449</v>
      </c>
      <c r="D423" s="64">
        <f>'Dotacion Planta'!D688</f>
        <v>150.3989338</v>
      </c>
      <c r="E423" s="64">
        <f>'Dotacion Planta'!E688</f>
        <v>150.3989338</v>
      </c>
      <c r="F423" s="64">
        <f>'Dotacion Planta'!F688</f>
        <v>150.3989338</v>
      </c>
      <c r="G423" s="64">
        <f>'Dotacion Planta'!G688</f>
        <v>133.6879412</v>
      </c>
      <c r="H423" s="64">
        <f>'Dotacion Planta'!H688</f>
        <v>150.3989338</v>
      </c>
      <c r="I423" s="64">
        <f>'Dotacion Planta'!I688</f>
        <v>150.3989338</v>
      </c>
      <c r="J423" s="64">
        <f>'Dotacion Planta'!J688</f>
        <v>142.0434375</v>
      </c>
      <c r="K423" s="64">
        <f>'Dotacion Planta'!K688</f>
        <v>125.3324449</v>
      </c>
      <c r="L423" s="64">
        <f>'Dotacion Planta'!L688</f>
        <v>116.9769485</v>
      </c>
      <c r="M423" s="64">
        <f>'Dotacion Planta'!M688</f>
        <v>133.6879412</v>
      </c>
      <c r="N423" s="64">
        <f t="shared" si="214"/>
        <v>1671.099265</v>
      </c>
      <c r="O423" s="64">
        <f t="shared" si="215"/>
        <v>150.3989338</v>
      </c>
    </row>
    <row r="424" ht="15.75" customHeight="1">
      <c r="A424" s="46">
        <v>2033.0</v>
      </c>
      <c r="B424" s="64">
        <f>'Dotacion Planta'!B781</f>
        <v>179.278125</v>
      </c>
      <c r="C424" s="64">
        <f>'Dotacion Planta'!C781</f>
        <v>158.1865809</v>
      </c>
      <c r="D424" s="64">
        <f>'Dotacion Planta'!D781</f>
        <v>189.8238971</v>
      </c>
      <c r="E424" s="64">
        <f>'Dotacion Planta'!E781</f>
        <v>189.8238971</v>
      </c>
      <c r="F424" s="64">
        <f>'Dotacion Planta'!F781</f>
        <v>189.8238971</v>
      </c>
      <c r="G424" s="64">
        <f>'Dotacion Planta'!G781</f>
        <v>168.7323529</v>
      </c>
      <c r="H424" s="64">
        <f>'Dotacion Planta'!H781</f>
        <v>189.8238971</v>
      </c>
      <c r="I424" s="64">
        <f>'Dotacion Planta'!I781</f>
        <v>189.8238971</v>
      </c>
      <c r="J424" s="64">
        <f>'Dotacion Planta'!J781</f>
        <v>179.278125</v>
      </c>
      <c r="K424" s="64">
        <f>'Dotacion Planta'!K781</f>
        <v>158.1865809</v>
      </c>
      <c r="L424" s="64">
        <f>'Dotacion Planta'!L781</f>
        <v>147.6408088</v>
      </c>
      <c r="M424" s="64">
        <f>'Dotacion Planta'!M781</f>
        <v>168.7323529</v>
      </c>
      <c r="N424" s="64">
        <f t="shared" si="214"/>
        <v>2109.154412</v>
      </c>
      <c r="O424" s="64">
        <f t="shared" si="215"/>
        <v>189.8238971</v>
      </c>
    </row>
    <row r="425" ht="15.75" customHeight="1">
      <c r="A425" s="46">
        <v>2034.0</v>
      </c>
      <c r="B425" s="64">
        <f>'Dotacion Planta'!B874</f>
        <v>205.4803125</v>
      </c>
      <c r="C425" s="64">
        <f>'Dotacion Planta'!C874</f>
        <v>181.3061581</v>
      </c>
      <c r="D425" s="64">
        <f>'Dotacion Planta'!D874</f>
        <v>217.5673897</v>
      </c>
      <c r="E425" s="64">
        <f>'Dotacion Planta'!E874</f>
        <v>217.5673897</v>
      </c>
      <c r="F425" s="64">
        <f>'Dotacion Planta'!F874</f>
        <v>217.5673897</v>
      </c>
      <c r="G425" s="64">
        <f>'Dotacion Planta'!G874</f>
        <v>193.3932353</v>
      </c>
      <c r="H425" s="64">
        <f>'Dotacion Planta'!H874</f>
        <v>217.5673897</v>
      </c>
      <c r="I425" s="64">
        <f>'Dotacion Planta'!I874</f>
        <v>217.5673897</v>
      </c>
      <c r="J425" s="64">
        <f>'Dotacion Planta'!J874</f>
        <v>205.4803125</v>
      </c>
      <c r="K425" s="64">
        <f>'Dotacion Planta'!K874</f>
        <v>181.3061581</v>
      </c>
      <c r="L425" s="64">
        <f>'Dotacion Planta'!L874</f>
        <v>169.2190809</v>
      </c>
      <c r="M425" s="64">
        <f>'Dotacion Planta'!M874</f>
        <v>193.3932353</v>
      </c>
      <c r="N425" s="64">
        <f t="shared" si="214"/>
        <v>2417.415441</v>
      </c>
      <c r="O425" s="64">
        <f t="shared" si="215"/>
        <v>217.5673897</v>
      </c>
    </row>
    <row r="426" ht="15.75" customHeight="1">
      <c r="A426" s="46">
        <v>2035.0</v>
      </c>
      <c r="B426" s="64">
        <f>'Dotacion Planta'!B967</f>
        <v>237.5052083</v>
      </c>
      <c r="C426" s="64">
        <f>'Dotacion Planta'!C967</f>
        <v>209.5634191</v>
      </c>
      <c r="D426" s="64">
        <f>'Dotacion Planta'!D967</f>
        <v>251.4761029</v>
      </c>
      <c r="E426" s="64">
        <f>'Dotacion Planta'!E967</f>
        <v>251.4761029</v>
      </c>
      <c r="F426" s="64">
        <f>'Dotacion Planta'!F967</f>
        <v>251.4761029</v>
      </c>
      <c r="G426" s="64">
        <f>'Dotacion Planta'!G967</f>
        <v>223.5343137</v>
      </c>
      <c r="H426" s="64">
        <f>'Dotacion Planta'!H967</f>
        <v>251.4761029</v>
      </c>
      <c r="I426" s="64">
        <f>'Dotacion Planta'!I967</f>
        <v>251.4761029</v>
      </c>
      <c r="J426" s="64">
        <f>'Dotacion Planta'!J967</f>
        <v>237.5052083</v>
      </c>
      <c r="K426" s="64">
        <f>'Dotacion Planta'!K967</f>
        <v>209.5634191</v>
      </c>
      <c r="L426" s="64">
        <f>'Dotacion Planta'!L967</f>
        <v>195.5925245</v>
      </c>
      <c r="M426" s="64">
        <f>'Dotacion Planta'!M967</f>
        <v>223.5343137</v>
      </c>
      <c r="N426" s="64">
        <f t="shared" si="214"/>
        <v>2794.178922</v>
      </c>
      <c r="O426" s="64">
        <f t="shared" si="215"/>
        <v>251.4761029</v>
      </c>
    </row>
    <row r="427" ht="15.75" customHeight="1"/>
    <row r="428" ht="15.75" customHeight="1"/>
    <row r="429" ht="15.75" customHeight="1">
      <c r="A429" s="24" t="s">
        <v>1073</v>
      </c>
      <c r="B429" s="29" t="s">
        <v>109</v>
      </c>
      <c r="C429" s="29" t="s">
        <v>110</v>
      </c>
      <c r="D429" s="29" t="s">
        <v>111</v>
      </c>
      <c r="E429" s="29" t="s">
        <v>112</v>
      </c>
      <c r="F429" s="29" t="s">
        <v>113</v>
      </c>
      <c r="G429" s="29" t="s">
        <v>114</v>
      </c>
      <c r="H429" s="29" t="s">
        <v>115</v>
      </c>
      <c r="I429" s="29" t="s">
        <v>116</v>
      </c>
      <c r="J429" s="29" t="s">
        <v>117</v>
      </c>
      <c r="K429" s="29" t="s">
        <v>118</v>
      </c>
      <c r="L429" s="29" t="s">
        <v>119</v>
      </c>
      <c r="M429" s="29" t="s">
        <v>120</v>
      </c>
      <c r="N429" s="29" t="s">
        <v>15</v>
      </c>
      <c r="O429" s="29" t="s">
        <v>1070</v>
      </c>
    </row>
    <row r="430" ht="15.75" customHeight="1">
      <c r="A430" s="46">
        <v>2026.0</v>
      </c>
      <c r="B430" s="64">
        <f>'Dotacion Planta'!B124+'Dotacion Planta'!B125+'Dotacion Planta'!B126+'Dotacion Planta'!B127</f>
        <v>0</v>
      </c>
      <c r="C430" s="64">
        <f>'Dotacion Planta'!C124+'Dotacion Planta'!C125+'Dotacion Planta'!C126+'Dotacion Planta'!C127</f>
        <v>56.25</v>
      </c>
      <c r="D430" s="64">
        <f>'Dotacion Planta'!D124+'Dotacion Planta'!D125+'Dotacion Planta'!D126+'Dotacion Planta'!D127</f>
        <v>75</v>
      </c>
      <c r="E430" s="64">
        <f>'Dotacion Planta'!E124+'Dotacion Planta'!E125+'Dotacion Planta'!E126+'Dotacion Planta'!E127</f>
        <v>75</v>
      </c>
      <c r="F430" s="64">
        <f>'Dotacion Planta'!F124+'Dotacion Planta'!F125+'Dotacion Planta'!F126+'Dotacion Planta'!F127</f>
        <v>0</v>
      </c>
      <c r="G430" s="64">
        <f>'Dotacion Planta'!G124+'Dotacion Planta'!G125+'Dotacion Planta'!G126+'Dotacion Planta'!G127</f>
        <v>0</v>
      </c>
      <c r="H430" s="64">
        <f>'Dotacion Planta'!H124+'Dotacion Planta'!H125+'Dotacion Planta'!H126+'Dotacion Planta'!H127</f>
        <v>93.75</v>
      </c>
      <c r="I430" s="64">
        <f>'Dotacion Planta'!I124+'Dotacion Planta'!I125+'Dotacion Planta'!I126+'Dotacion Planta'!I127</f>
        <v>0</v>
      </c>
      <c r="J430" s="64">
        <f>'Dotacion Planta'!J124+'Dotacion Planta'!J125+'Dotacion Planta'!J126+'Dotacion Planta'!J127</f>
        <v>0</v>
      </c>
      <c r="K430" s="64">
        <f>'Dotacion Planta'!K124+'Dotacion Planta'!K125+'Dotacion Planta'!K126+'Dotacion Planta'!K127</f>
        <v>37.5</v>
      </c>
      <c r="L430" s="64">
        <f>'Dotacion Planta'!L124+'Dotacion Planta'!L125+'Dotacion Planta'!L126+'Dotacion Planta'!L127</f>
        <v>37.5</v>
      </c>
      <c r="M430" s="64">
        <f>'Dotacion Planta'!M124+'Dotacion Planta'!M125+'Dotacion Planta'!M126+'Dotacion Planta'!M127</f>
        <v>0</v>
      </c>
      <c r="N430" s="64">
        <f t="shared" ref="N430:N439" si="216">SUM(B430:M430)</f>
        <v>375</v>
      </c>
      <c r="O430" s="64">
        <f t="shared" ref="O430:O439" si="217">MAX(B430:M430)</f>
        <v>93.75</v>
      </c>
    </row>
    <row r="431" ht="15.75" customHeight="1">
      <c r="A431" s="46">
        <v>2027.0</v>
      </c>
      <c r="B431" s="64">
        <f>'Dotacion Planta'!B217+'Dotacion Planta'!B218+'Dotacion Planta'!B219+'Dotacion Planta'!B220</f>
        <v>0</v>
      </c>
      <c r="C431" s="64">
        <f>'Dotacion Planta'!C217+'Dotacion Planta'!C218+'Dotacion Planta'!C219+'Dotacion Planta'!C220</f>
        <v>78.75</v>
      </c>
      <c r="D431" s="64">
        <f>'Dotacion Planta'!D217+'Dotacion Planta'!D218+'Dotacion Planta'!D219+'Dotacion Planta'!D220</f>
        <v>97.5</v>
      </c>
      <c r="E431" s="64">
        <f>'Dotacion Planta'!E217+'Dotacion Planta'!E218+'Dotacion Planta'!E219+'Dotacion Planta'!E220</f>
        <v>97.5</v>
      </c>
      <c r="F431" s="64">
        <f>'Dotacion Planta'!F217+'Dotacion Planta'!F218+'Dotacion Planta'!F219+'Dotacion Planta'!F220</f>
        <v>0</v>
      </c>
      <c r="G431" s="64">
        <f>'Dotacion Planta'!G217+'Dotacion Planta'!G218+'Dotacion Planta'!G219+'Dotacion Planta'!G220</f>
        <v>0</v>
      </c>
      <c r="H431" s="64">
        <f>'Dotacion Planta'!H217+'Dotacion Planta'!H218+'Dotacion Planta'!H219+'Dotacion Planta'!H220</f>
        <v>131.25</v>
      </c>
      <c r="I431" s="64">
        <f>'Dotacion Planta'!I217+'Dotacion Planta'!I218+'Dotacion Planta'!I219+'Dotacion Planta'!I220</f>
        <v>0</v>
      </c>
      <c r="J431" s="64">
        <f>'Dotacion Planta'!J217+'Dotacion Planta'!J218+'Dotacion Planta'!J219+'Dotacion Planta'!J220</f>
        <v>0</v>
      </c>
      <c r="K431" s="64">
        <f>'Dotacion Planta'!K217+'Dotacion Planta'!K218+'Dotacion Planta'!K219+'Dotacion Planta'!K220</f>
        <v>60</v>
      </c>
      <c r="L431" s="64">
        <f>'Dotacion Planta'!L217+'Dotacion Planta'!L218+'Dotacion Planta'!L219+'Dotacion Planta'!L220</f>
        <v>60</v>
      </c>
      <c r="M431" s="64">
        <f>'Dotacion Planta'!M217+'Dotacion Planta'!M218+'Dotacion Planta'!M219+'Dotacion Planta'!M220</f>
        <v>0</v>
      </c>
      <c r="N431" s="64">
        <f t="shared" si="216"/>
        <v>525</v>
      </c>
      <c r="O431" s="64">
        <f t="shared" si="217"/>
        <v>131.25</v>
      </c>
    </row>
    <row r="432" ht="15.75" customHeight="1">
      <c r="A432" s="46">
        <v>2028.0</v>
      </c>
      <c r="B432" s="64">
        <f>'Dotacion Planta'!B310+'Dotacion Planta'!B311+'Dotacion Planta'!B312+'Dotacion Planta'!B313</f>
        <v>0</v>
      </c>
      <c r="C432" s="64">
        <f>'Dotacion Planta'!C310+'Dotacion Planta'!C311+'Dotacion Planta'!C312+'Dotacion Planta'!C313</f>
        <v>90</v>
      </c>
      <c r="D432" s="64">
        <f>'Dotacion Planta'!D310+'Dotacion Planta'!D311+'Dotacion Planta'!D312+'Dotacion Planta'!D313</f>
        <v>108.75</v>
      </c>
      <c r="E432" s="64">
        <f>'Dotacion Planta'!E310+'Dotacion Planta'!E311+'Dotacion Planta'!E312+'Dotacion Planta'!E313</f>
        <v>108.75</v>
      </c>
      <c r="F432" s="64">
        <f>'Dotacion Planta'!F310+'Dotacion Planta'!F311+'Dotacion Planta'!F312+'Dotacion Planta'!F313</f>
        <v>0</v>
      </c>
      <c r="G432" s="64">
        <f>'Dotacion Planta'!G310+'Dotacion Planta'!G311+'Dotacion Planta'!G312+'Dotacion Planta'!G313</f>
        <v>0</v>
      </c>
      <c r="H432" s="64">
        <f>'Dotacion Planta'!H310+'Dotacion Planta'!H311+'Dotacion Planta'!H312+'Dotacion Planta'!H313</f>
        <v>150</v>
      </c>
      <c r="I432" s="64">
        <f>'Dotacion Planta'!I310+'Dotacion Planta'!I311+'Dotacion Planta'!I312+'Dotacion Planta'!I313</f>
        <v>0</v>
      </c>
      <c r="J432" s="64">
        <f>'Dotacion Planta'!J310+'Dotacion Planta'!J311+'Dotacion Planta'!J312+'Dotacion Planta'!J313</f>
        <v>0</v>
      </c>
      <c r="K432" s="64">
        <f>'Dotacion Planta'!K310+'Dotacion Planta'!K311+'Dotacion Planta'!K312+'Dotacion Planta'!K313</f>
        <v>71.25</v>
      </c>
      <c r="L432" s="64">
        <f>'Dotacion Planta'!L310+'Dotacion Planta'!L311+'Dotacion Planta'!L312+'Dotacion Planta'!L313</f>
        <v>71.25</v>
      </c>
      <c r="M432" s="64">
        <f>'Dotacion Planta'!M310+'Dotacion Planta'!M311+'Dotacion Planta'!M312+'Dotacion Planta'!M313</f>
        <v>0</v>
      </c>
      <c r="N432" s="64">
        <f t="shared" si="216"/>
        <v>600</v>
      </c>
      <c r="O432" s="64">
        <f t="shared" si="217"/>
        <v>150</v>
      </c>
    </row>
    <row r="433" ht="15.75" customHeight="1">
      <c r="A433" s="46">
        <v>2029.0</v>
      </c>
      <c r="B433" s="64">
        <f>'Dotacion Planta'!B403+'Dotacion Planta'!B404+'Dotacion Planta'!B405+'Dotacion Planta'!B406</f>
        <v>0</v>
      </c>
      <c r="C433" s="64">
        <f>'Dotacion Planta'!C403+'Dotacion Planta'!C404+'Dotacion Planta'!C405+'Dotacion Planta'!C406</f>
        <v>135</v>
      </c>
      <c r="D433" s="64">
        <f>'Dotacion Planta'!D403+'Dotacion Planta'!D404+'Dotacion Planta'!D405+'Dotacion Planta'!D406</f>
        <v>157.5</v>
      </c>
      <c r="E433" s="64">
        <f>'Dotacion Planta'!E403+'Dotacion Planta'!E404+'Dotacion Planta'!E405+'Dotacion Planta'!E406</f>
        <v>157.5</v>
      </c>
      <c r="F433" s="64">
        <f>'Dotacion Planta'!F403+'Dotacion Planta'!F404+'Dotacion Planta'!F405+'Dotacion Planta'!F406</f>
        <v>0</v>
      </c>
      <c r="G433" s="64">
        <f>'Dotacion Planta'!G403+'Dotacion Planta'!G404+'Dotacion Planta'!G405+'Dotacion Planta'!G406</f>
        <v>0</v>
      </c>
      <c r="H433" s="64">
        <f>'Dotacion Planta'!H403+'Dotacion Planta'!H404+'Dotacion Planta'!H405+'Dotacion Planta'!H406</f>
        <v>225</v>
      </c>
      <c r="I433" s="64">
        <f>'Dotacion Planta'!I403+'Dotacion Planta'!I404+'Dotacion Planta'!I405+'Dotacion Planta'!I406</f>
        <v>0</v>
      </c>
      <c r="J433" s="64">
        <f>'Dotacion Planta'!J403+'Dotacion Planta'!J404+'Dotacion Planta'!J405+'Dotacion Planta'!J406</f>
        <v>0</v>
      </c>
      <c r="K433" s="64">
        <f>'Dotacion Planta'!K403+'Dotacion Planta'!K404+'Dotacion Planta'!K405+'Dotacion Planta'!K406</f>
        <v>112.5</v>
      </c>
      <c r="L433" s="64">
        <f>'Dotacion Planta'!L403+'Dotacion Planta'!L404+'Dotacion Planta'!L405+'Dotacion Planta'!L406</f>
        <v>112.5</v>
      </c>
      <c r="M433" s="64">
        <f>'Dotacion Planta'!M403+'Dotacion Planta'!M404+'Dotacion Planta'!M405+'Dotacion Planta'!M406</f>
        <v>0</v>
      </c>
      <c r="N433" s="64">
        <f t="shared" si="216"/>
        <v>900</v>
      </c>
      <c r="O433" s="64">
        <f t="shared" si="217"/>
        <v>225</v>
      </c>
    </row>
    <row r="434" ht="15.75" customHeight="1">
      <c r="A434" s="46">
        <v>2030.0</v>
      </c>
      <c r="B434" s="64">
        <f>'Dotacion Planta'!B496+'Dotacion Planta'!B497+'Dotacion Planta'!B498+'Dotacion Planta'!B499</f>
        <v>0</v>
      </c>
      <c r="C434" s="64">
        <f>'Dotacion Planta'!C496+'Dotacion Planta'!C497+'Dotacion Planta'!C498+'Dotacion Planta'!C499</f>
        <v>213.75</v>
      </c>
      <c r="D434" s="64">
        <f>'Dotacion Planta'!D496+'Dotacion Planta'!D497+'Dotacion Planta'!D498+'Dotacion Planta'!D499</f>
        <v>251.25</v>
      </c>
      <c r="E434" s="64">
        <f>'Dotacion Planta'!E496+'Dotacion Planta'!E497+'Dotacion Planta'!E498+'Dotacion Planta'!E499</f>
        <v>251.25</v>
      </c>
      <c r="F434" s="64">
        <f>'Dotacion Planta'!F496+'Dotacion Planta'!F497+'Dotacion Planta'!F498+'Dotacion Planta'!F499</f>
        <v>0</v>
      </c>
      <c r="G434" s="64">
        <f>'Dotacion Planta'!G496+'Dotacion Planta'!G497+'Dotacion Planta'!G498+'Dotacion Planta'!G499</f>
        <v>0</v>
      </c>
      <c r="H434" s="64">
        <f>'Dotacion Planta'!H496+'Dotacion Planta'!H497+'Dotacion Planta'!H498+'Dotacion Planta'!H499</f>
        <v>356.25</v>
      </c>
      <c r="I434" s="64">
        <f>'Dotacion Planta'!I496+'Dotacion Planta'!I497+'Dotacion Planta'!I498+'Dotacion Planta'!I499</f>
        <v>0</v>
      </c>
      <c r="J434" s="64">
        <f>'Dotacion Planta'!J496+'Dotacion Planta'!J497+'Dotacion Planta'!J498+'Dotacion Planta'!J499</f>
        <v>0</v>
      </c>
      <c r="K434" s="64">
        <f>'Dotacion Planta'!K496+'Dotacion Planta'!K497+'Dotacion Planta'!K498+'Dotacion Planta'!K499</f>
        <v>176.25</v>
      </c>
      <c r="L434" s="64">
        <f>'Dotacion Planta'!L496+'Dotacion Planta'!L497+'Dotacion Planta'!L498+'Dotacion Planta'!L499</f>
        <v>176.25</v>
      </c>
      <c r="M434" s="64">
        <f>'Dotacion Planta'!M496+'Dotacion Planta'!M497+'Dotacion Planta'!M498+'Dotacion Planta'!M499</f>
        <v>0</v>
      </c>
      <c r="N434" s="64">
        <f t="shared" si="216"/>
        <v>1425</v>
      </c>
      <c r="O434" s="64">
        <f t="shared" si="217"/>
        <v>356.25</v>
      </c>
    </row>
    <row r="435" ht="15.75" customHeight="1">
      <c r="A435" s="46">
        <v>2031.0</v>
      </c>
      <c r="B435" s="64">
        <f>'Dotacion Planta'!B589+'Dotacion Planta'!B590+'Dotacion Planta'!B591+'Dotacion Planta'!B592</f>
        <v>0</v>
      </c>
      <c r="C435" s="64">
        <f>'Dotacion Planta'!C589+'Dotacion Planta'!C590+'Dotacion Planta'!C591+'Dotacion Planta'!C592</f>
        <v>320.625</v>
      </c>
      <c r="D435" s="64">
        <f>'Dotacion Planta'!D589+'Dotacion Planta'!D590+'Dotacion Planta'!D591+'Dotacion Planta'!D592</f>
        <v>382.5</v>
      </c>
      <c r="E435" s="64">
        <f>'Dotacion Planta'!E589+'Dotacion Planta'!E590+'Dotacion Planta'!E591+'Dotacion Planta'!E592</f>
        <v>382.5</v>
      </c>
      <c r="F435" s="64">
        <f>'Dotacion Planta'!F589+'Dotacion Planta'!F590+'Dotacion Planta'!F591+'Dotacion Planta'!F592</f>
        <v>0</v>
      </c>
      <c r="G435" s="64">
        <f>'Dotacion Planta'!G589+'Dotacion Planta'!G590+'Dotacion Planta'!G591+'Dotacion Planta'!G592</f>
        <v>0</v>
      </c>
      <c r="H435" s="64">
        <f>'Dotacion Planta'!H589+'Dotacion Planta'!H590+'Dotacion Planta'!H591+'Dotacion Planta'!H592</f>
        <v>534.375</v>
      </c>
      <c r="I435" s="64">
        <f>'Dotacion Planta'!I589+'Dotacion Planta'!I590+'Dotacion Planta'!I591+'Dotacion Planta'!I592</f>
        <v>0</v>
      </c>
      <c r="J435" s="64">
        <f>'Dotacion Planta'!J589+'Dotacion Planta'!J590+'Dotacion Planta'!J591+'Dotacion Planta'!J592</f>
        <v>0</v>
      </c>
      <c r="K435" s="64">
        <f>'Dotacion Planta'!K589+'Dotacion Planta'!K590+'Dotacion Planta'!K591+'Dotacion Planta'!K592</f>
        <v>258.75</v>
      </c>
      <c r="L435" s="64">
        <f>'Dotacion Planta'!L589+'Dotacion Planta'!L590+'Dotacion Planta'!L591+'Dotacion Planta'!L592</f>
        <v>258.75</v>
      </c>
      <c r="M435" s="64">
        <f>'Dotacion Planta'!M589+'Dotacion Planta'!M590+'Dotacion Planta'!M591+'Dotacion Planta'!M592</f>
        <v>0</v>
      </c>
      <c r="N435" s="64">
        <f t="shared" si="216"/>
        <v>2137.5</v>
      </c>
      <c r="O435" s="64">
        <f t="shared" si="217"/>
        <v>534.375</v>
      </c>
    </row>
    <row r="436" ht="15.75" customHeight="1">
      <c r="A436" s="46">
        <v>2032.0</v>
      </c>
      <c r="B436" s="64">
        <f>'Dotacion Planta'!B682+'Dotacion Planta'!B683+'Dotacion Planta'!B684+'Dotacion Planta'!B685</f>
        <v>0</v>
      </c>
      <c r="C436" s="64">
        <f>'Dotacion Planta'!C682+'Dotacion Planta'!C683+'Dotacion Planta'!C684+'Dotacion Planta'!C685</f>
        <v>433.125</v>
      </c>
      <c r="D436" s="64">
        <f>'Dotacion Planta'!D682+'Dotacion Planta'!D683+'Dotacion Planta'!D684+'Dotacion Planta'!D685</f>
        <v>513.75</v>
      </c>
      <c r="E436" s="64">
        <f>'Dotacion Planta'!E682+'Dotacion Planta'!E683+'Dotacion Planta'!E684+'Dotacion Planta'!E685</f>
        <v>513.75</v>
      </c>
      <c r="F436" s="64">
        <f>'Dotacion Planta'!F682+'Dotacion Planta'!F683+'Dotacion Planta'!F684+'Dotacion Planta'!F685</f>
        <v>0</v>
      </c>
      <c r="G436" s="64">
        <f>'Dotacion Planta'!G682+'Dotacion Planta'!G683+'Dotacion Planta'!G684+'Dotacion Planta'!G685</f>
        <v>0</v>
      </c>
      <c r="H436" s="64">
        <f>'Dotacion Planta'!H682+'Dotacion Planta'!H683+'Dotacion Planta'!H684+'Dotacion Planta'!H685</f>
        <v>721.875</v>
      </c>
      <c r="I436" s="64">
        <f>'Dotacion Planta'!I682+'Dotacion Planta'!I683+'Dotacion Planta'!I684+'Dotacion Planta'!I685</f>
        <v>0</v>
      </c>
      <c r="J436" s="64">
        <f>'Dotacion Planta'!J682+'Dotacion Planta'!J683+'Dotacion Planta'!J684+'Dotacion Planta'!J685</f>
        <v>0</v>
      </c>
      <c r="K436" s="64">
        <f>'Dotacion Planta'!K682+'Dotacion Planta'!K683+'Dotacion Planta'!K684+'Dotacion Planta'!K685</f>
        <v>352.5</v>
      </c>
      <c r="L436" s="64">
        <f>'Dotacion Planta'!L682+'Dotacion Planta'!L683+'Dotacion Planta'!L684+'Dotacion Planta'!L685</f>
        <v>352.5</v>
      </c>
      <c r="M436" s="64">
        <f>'Dotacion Planta'!M682+'Dotacion Planta'!M683+'Dotacion Planta'!M684+'Dotacion Planta'!M685</f>
        <v>0</v>
      </c>
      <c r="N436" s="64">
        <f t="shared" si="216"/>
        <v>2887.5</v>
      </c>
      <c r="O436" s="64">
        <f t="shared" si="217"/>
        <v>721.875</v>
      </c>
    </row>
    <row r="437" ht="15.75" customHeight="1">
      <c r="A437" s="46">
        <v>2033.0</v>
      </c>
      <c r="B437" s="64">
        <f>'Dotacion Planta'!B775+'Dotacion Planta'!B776+'Dotacion Planta'!B777+'Dotacion Planta'!B778</f>
        <v>0</v>
      </c>
      <c r="C437" s="64">
        <f>'Dotacion Planta'!C775+'Dotacion Planta'!C776+'Dotacion Planta'!C777+'Dotacion Planta'!C778</f>
        <v>528.75</v>
      </c>
      <c r="D437" s="64">
        <f>'Dotacion Planta'!D775+'Dotacion Planta'!D776+'Dotacion Planta'!D777+'Dotacion Planta'!D778</f>
        <v>631.875</v>
      </c>
      <c r="E437" s="64">
        <f>'Dotacion Planta'!E775+'Dotacion Planta'!E776+'Dotacion Planta'!E777+'Dotacion Planta'!E778</f>
        <v>631.875</v>
      </c>
      <c r="F437" s="64">
        <f>'Dotacion Planta'!F775+'Dotacion Planta'!F776+'Dotacion Planta'!F777+'Dotacion Planta'!F778</f>
        <v>0</v>
      </c>
      <c r="G437" s="64">
        <f>'Dotacion Planta'!G775+'Dotacion Planta'!G776+'Dotacion Planta'!G777+'Dotacion Planta'!G778</f>
        <v>0</v>
      </c>
      <c r="H437" s="64">
        <f>'Dotacion Planta'!H775+'Dotacion Planta'!H776+'Dotacion Planta'!H777+'Dotacion Planta'!H778</f>
        <v>881.25</v>
      </c>
      <c r="I437" s="64">
        <f>'Dotacion Planta'!I775+'Dotacion Planta'!I776+'Dotacion Planta'!I777+'Dotacion Planta'!I778</f>
        <v>0</v>
      </c>
      <c r="J437" s="64">
        <f>'Dotacion Planta'!J775+'Dotacion Planta'!J776+'Dotacion Planta'!J777+'Dotacion Planta'!J778</f>
        <v>0</v>
      </c>
      <c r="K437" s="64">
        <f>'Dotacion Planta'!K775+'Dotacion Planta'!K776+'Dotacion Planta'!K777+'Dotacion Planta'!K778</f>
        <v>425.625</v>
      </c>
      <c r="L437" s="64">
        <f>'Dotacion Planta'!L775+'Dotacion Planta'!L776+'Dotacion Planta'!L777+'Dotacion Planta'!L778</f>
        <v>425.625</v>
      </c>
      <c r="M437" s="64">
        <f>'Dotacion Planta'!M775+'Dotacion Planta'!M776+'Dotacion Planta'!M777+'Dotacion Planta'!M778</f>
        <v>0</v>
      </c>
      <c r="N437" s="64">
        <f t="shared" si="216"/>
        <v>3525</v>
      </c>
      <c r="O437" s="64">
        <f t="shared" si="217"/>
        <v>881.25</v>
      </c>
    </row>
    <row r="438" ht="15.75" customHeight="1">
      <c r="A438" s="46">
        <v>2034.0</v>
      </c>
      <c r="B438" s="64">
        <f>'Dotacion Planta'!B868+'Dotacion Planta'!B869+'Dotacion Planta'!B870+'Dotacion Planta'!B871</f>
        <v>0</v>
      </c>
      <c r="C438" s="64">
        <f>'Dotacion Planta'!C868+'Dotacion Planta'!C869+'Dotacion Planta'!C870+'Dotacion Planta'!C871</f>
        <v>607.5</v>
      </c>
      <c r="D438" s="64">
        <f>'Dotacion Planta'!D868+'Dotacion Planta'!D869+'Dotacion Planta'!D870+'Dotacion Planta'!D871</f>
        <v>731.25</v>
      </c>
      <c r="E438" s="64">
        <f>'Dotacion Planta'!E868+'Dotacion Planta'!E869+'Dotacion Planta'!E870+'Dotacion Planta'!E871</f>
        <v>731.25</v>
      </c>
      <c r="F438" s="64">
        <f>'Dotacion Planta'!F868+'Dotacion Planta'!F869+'Dotacion Planta'!F870+'Dotacion Planta'!F871</f>
        <v>0</v>
      </c>
      <c r="G438" s="64">
        <f>'Dotacion Planta'!G868+'Dotacion Planta'!G869+'Dotacion Planta'!G870+'Dotacion Planta'!G871</f>
        <v>0</v>
      </c>
      <c r="H438" s="64">
        <f>'Dotacion Planta'!H868+'Dotacion Planta'!H869+'Dotacion Planta'!H870+'Dotacion Planta'!H871</f>
        <v>1012.5</v>
      </c>
      <c r="I438" s="64">
        <f>'Dotacion Planta'!I868+'Dotacion Planta'!I869+'Dotacion Planta'!I870+'Dotacion Planta'!I871</f>
        <v>0</v>
      </c>
      <c r="J438" s="64">
        <f>'Dotacion Planta'!J868+'Dotacion Planta'!J869+'Dotacion Planta'!J870+'Dotacion Planta'!J871</f>
        <v>0</v>
      </c>
      <c r="K438" s="64">
        <f>'Dotacion Planta'!K868+'Dotacion Planta'!K869+'Dotacion Planta'!K870+'Dotacion Planta'!K871</f>
        <v>483.75</v>
      </c>
      <c r="L438" s="64">
        <f>'Dotacion Planta'!L868+'Dotacion Planta'!L869+'Dotacion Planta'!L870+'Dotacion Planta'!L871</f>
        <v>483.75</v>
      </c>
      <c r="M438" s="64">
        <f>'Dotacion Planta'!M868+'Dotacion Planta'!M869+'Dotacion Planta'!M870+'Dotacion Planta'!M871</f>
        <v>0</v>
      </c>
      <c r="N438" s="64">
        <f t="shared" si="216"/>
        <v>4050</v>
      </c>
      <c r="O438" s="64">
        <f t="shared" si="217"/>
        <v>1012.5</v>
      </c>
    </row>
    <row r="439" ht="15.75" customHeight="1">
      <c r="A439" s="46">
        <v>2035.0</v>
      </c>
      <c r="B439" s="64">
        <f>'Dotacion Planta'!B961+'Dotacion Planta'!B962+'Dotacion Planta'!B963+'Dotacion Planta'!B964</f>
        <v>0</v>
      </c>
      <c r="C439" s="64">
        <f>'Dotacion Planta'!C961+'Dotacion Planta'!C962+'Dotacion Planta'!C963+'Dotacion Planta'!C964</f>
        <v>714.375</v>
      </c>
      <c r="D439" s="64">
        <f>'Dotacion Planta'!D961+'Dotacion Planta'!D962+'Dotacion Planta'!D963+'Dotacion Planta'!D964</f>
        <v>868.125</v>
      </c>
      <c r="E439" s="64">
        <f>'Dotacion Planta'!E961+'Dotacion Planta'!E962+'Dotacion Planta'!E963+'Dotacion Planta'!E964</f>
        <v>868.125</v>
      </c>
      <c r="F439" s="64">
        <f>'Dotacion Planta'!F961+'Dotacion Planta'!F962+'Dotacion Planta'!F963+'Dotacion Planta'!F964</f>
        <v>0</v>
      </c>
      <c r="G439" s="64">
        <f>'Dotacion Planta'!G961+'Dotacion Planta'!G962+'Dotacion Planta'!G963+'Dotacion Planta'!G964</f>
        <v>0</v>
      </c>
      <c r="H439" s="64">
        <f>'Dotacion Planta'!H961+'Dotacion Planta'!H962+'Dotacion Planta'!H963+'Dotacion Planta'!H964</f>
        <v>1190.625</v>
      </c>
      <c r="I439" s="64">
        <f>'Dotacion Planta'!I961+'Dotacion Planta'!I962+'Dotacion Planta'!I963+'Dotacion Planta'!I964</f>
        <v>0</v>
      </c>
      <c r="J439" s="64">
        <f>'Dotacion Planta'!J961+'Dotacion Planta'!J962+'Dotacion Planta'!J963+'Dotacion Planta'!J964</f>
        <v>0</v>
      </c>
      <c r="K439" s="64">
        <f>'Dotacion Planta'!K961+'Dotacion Planta'!K962+'Dotacion Planta'!K963+'Dotacion Planta'!K964</f>
        <v>560.625</v>
      </c>
      <c r="L439" s="64">
        <f>'Dotacion Planta'!L961+'Dotacion Planta'!L962+'Dotacion Planta'!L963+'Dotacion Planta'!L964</f>
        <v>560.625</v>
      </c>
      <c r="M439" s="64">
        <f>'Dotacion Planta'!M961+'Dotacion Planta'!M962+'Dotacion Planta'!M963+'Dotacion Planta'!M964</f>
        <v>0</v>
      </c>
      <c r="N439" s="64">
        <f t="shared" si="216"/>
        <v>4762.5</v>
      </c>
      <c r="O439" s="64">
        <f t="shared" si="217"/>
        <v>1190.625</v>
      </c>
    </row>
    <row r="440" ht="15.75" customHeight="1"/>
    <row r="441" ht="15.75" customHeight="1"/>
    <row r="442" ht="15.75" customHeight="1">
      <c r="A442" s="29" t="s">
        <v>477</v>
      </c>
      <c r="B442" s="29" t="s">
        <v>1075</v>
      </c>
      <c r="C442" s="29" t="s">
        <v>1076</v>
      </c>
      <c r="D442" s="29" t="s">
        <v>1077</v>
      </c>
      <c r="E442" s="29" t="s">
        <v>1078</v>
      </c>
      <c r="F442" s="29" t="s">
        <v>953</v>
      </c>
      <c r="G442" s="29" t="s">
        <v>1079</v>
      </c>
      <c r="H442" s="29" t="s">
        <v>1080</v>
      </c>
      <c r="I442" s="29" t="s">
        <v>1081</v>
      </c>
      <c r="J442" s="29" t="s">
        <v>309</v>
      </c>
      <c r="K442" s="29" t="s">
        <v>298</v>
      </c>
    </row>
    <row r="443" ht="15.75" customHeight="1">
      <c r="A443" s="46">
        <v>2026.0</v>
      </c>
      <c r="B443" s="46">
        <f>'Dotacion Planta'!B102+'Dotacion Planta'!B103+'Dotacion Planta'!B104+'Dotacion Planta'!B105</f>
        <v>5</v>
      </c>
      <c r="C443" s="64">
        <f>'Resumen Capacidad'!B199</f>
        <v>0</v>
      </c>
      <c r="D443" s="87">
        <f>MAX('Resumen Capacidad'!B5:B24)</f>
        <v>0.2350926537</v>
      </c>
      <c r="E443" s="64">
        <f>'Dotacion Planta'!B110</f>
        <v>792.21</v>
      </c>
      <c r="F443" s="133">
        <f>IFERROR(SUM('Dotacion Planta'!B130:M130)/'Analisis de operaciones'!O2059,0)</f>
        <v>0.9013480392</v>
      </c>
      <c r="G443" s="64">
        <f>MIN('Resumen Capacidad'!B220*Parametros!$N$112,'Resumen Capacidad'!B221*Parametros!$N$113,'Resumen Capacidad'!B222*Parametros!$N$114,'Resumen Capacidad'!B223*Parametros!$N$115,'Resumen Capacidad'!B224*Parametros!$N$116,'Resumen Capacidad'!B225*Parametros!$N$117,'Resumen Capacidad'!B226*Parametros!$N$118,'Resumen Capacidad'!B227*Parametros!$N$119)*'Resumen Capacidad'!$B$50</f>
        <v>254.1176471</v>
      </c>
      <c r="H443" s="46">
        <f>'Dotacion Planta'!B102</f>
        <v>5</v>
      </c>
      <c r="I443" s="46">
        <f>'Dotacion Planta'!B107+'Servicios y Oficinas'!B29+'Servicios y Oficinas'!B30</f>
        <v>10</v>
      </c>
      <c r="J443" s="64">
        <f>'Dotacion Planta'!B108</f>
        <v>0</v>
      </c>
      <c r="K443" s="64">
        <f>'Analisis de operaciones'!P2061</f>
        <v>0</v>
      </c>
    </row>
    <row r="444" ht="15.75" customHeight="1">
      <c r="A444" s="46">
        <v>2027.0</v>
      </c>
      <c r="B444" s="46">
        <f>'Dotacion Planta'!C102+'Dotacion Planta'!C103+'Dotacion Planta'!C104+'Dotacion Planta'!C105</f>
        <v>7</v>
      </c>
      <c r="C444" s="64">
        <f>'Resumen Capacidad'!C199</f>
        <v>0</v>
      </c>
      <c r="D444" s="87">
        <f>MAX('Resumen Capacidad'!C5:C24)</f>
        <v>0.3680569111</v>
      </c>
      <c r="E444" s="64">
        <f>'Dotacion Planta'!C110</f>
        <v>1240.27</v>
      </c>
      <c r="F444" s="133">
        <f>IFERROR(SUM('Dotacion Planta'!B223:M223)/'Analisis de operaciones'!O2150,0)</f>
        <v>0.9013480392</v>
      </c>
      <c r="G444" s="64">
        <f>MIN('Resumen Capacidad'!C220*Parametros!$N$112,'Resumen Capacidad'!C221*Parametros!$N$113,'Resumen Capacidad'!C222*Parametros!$N$114,'Resumen Capacidad'!C223*Parametros!$N$115,'Resumen Capacidad'!C224*Parametros!$N$116,'Resumen Capacidad'!C225*Parametros!$N$117,'Resumen Capacidad'!C226*Parametros!$N$118,'Resumen Capacidad'!C227*Parametros!$N$119)*'Resumen Capacidad'!$B$50</f>
        <v>254.1176471</v>
      </c>
      <c r="H444" s="46">
        <f>'Dotacion Planta'!C102</f>
        <v>5</v>
      </c>
      <c r="I444" s="46">
        <f>'Dotacion Planta'!C107+'Servicios y Oficinas'!C29+'Servicios y Oficinas'!C30</f>
        <v>12</v>
      </c>
      <c r="J444" s="64">
        <f>'Dotacion Planta'!C108</f>
        <v>0</v>
      </c>
      <c r="K444" s="64">
        <f>'Analisis de operaciones'!P2152</f>
        <v>0</v>
      </c>
    </row>
    <row r="445" ht="15.75" customHeight="1">
      <c r="A445" s="46">
        <v>2028.0</v>
      </c>
      <c r="B445" s="46">
        <f>'Dotacion Planta'!D102+'Dotacion Planta'!D103+'Dotacion Planta'!D104+'Dotacion Planta'!D105</f>
        <v>8</v>
      </c>
      <c r="C445" s="64">
        <f>'Resumen Capacidad'!D199</f>
        <v>0</v>
      </c>
      <c r="D445" s="87">
        <f>MAX('Resumen Capacidad'!D5:D24)</f>
        <v>0.7846244395</v>
      </c>
      <c r="E445" s="64">
        <f>'Dotacion Planta'!D110</f>
        <v>1765.176545</v>
      </c>
      <c r="F445" s="133">
        <f>IFERROR(SUM('Dotacion Planta'!B316:M316)/'Analisis de operaciones'!O2241,0)</f>
        <v>0.9013480392</v>
      </c>
      <c r="G445" s="64">
        <f>MIN('Resumen Capacidad'!D220*Parametros!$N$112,'Resumen Capacidad'!D221*Parametros!$N$113,'Resumen Capacidad'!D222*Parametros!$N$114,'Resumen Capacidad'!D223*Parametros!$N$115,'Resumen Capacidad'!D224*Parametros!$N$116,'Resumen Capacidad'!D225*Parametros!$N$117,'Resumen Capacidad'!D226*Parametros!$N$118,'Resumen Capacidad'!D227*Parametros!$N$119)*'Resumen Capacidad'!$B$50</f>
        <v>254.1176471</v>
      </c>
      <c r="H445" s="46">
        <f>'Dotacion Planta'!D102</f>
        <v>5</v>
      </c>
      <c r="I445" s="46">
        <f>'Dotacion Planta'!D107+'Servicios y Oficinas'!D29+'Servicios y Oficinas'!D30</f>
        <v>14</v>
      </c>
      <c r="J445" s="64">
        <f>'Dotacion Planta'!D108</f>
        <v>108.586578</v>
      </c>
      <c r="K445" s="64">
        <f>'Analisis de operaciones'!P2243</f>
        <v>0</v>
      </c>
    </row>
    <row r="446" ht="15.75" customHeight="1">
      <c r="A446" s="46">
        <v>2029.0</v>
      </c>
      <c r="B446" s="46">
        <f>'Dotacion Planta'!E102+'Dotacion Planta'!E103+'Dotacion Planta'!E104+'Dotacion Planta'!E105</f>
        <v>12</v>
      </c>
      <c r="C446" s="64">
        <f>'Resumen Capacidad'!E199</f>
        <v>0</v>
      </c>
      <c r="D446" s="87">
        <f>MAX('Resumen Capacidad'!E5:E24)</f>
        <v>0.8045128009</v>
      </c>
      <c r="E446" s="64">
        <f>'Dotacion Planta'!E110</f>
        <v>1771.700827</v>
      </c>
      <c r="F446" s="133">
        <f>IFERROR(SUM('Dotacion Planta'!B409:M409)/'Analisis de operaciones'!O2332,0)</f>
        <v>0.9013480392</v>
      </c>
      <c r="G446" s="64">
        <f>MIN('Resumen Capacidad'!E220*Parametros!$N$112,'Resumen Capacidad'!E221*Parametros!$N$113,'Resumen Capacidad'!E222*Parametros!$N$114,'Resumen Capacidad'!E223*Parametros!$N$115,'Resumen Capacidad'!E224*Parametros!$N$116,'Resumen Capacidad'!E225*Parametros!$N$117,'Resumen Capacidad'!E226*Parametros!$N$118,'Resumen Capacidad'!E227*Parametros!$N$119)*'Resumen Capacidad'!$B$50</f>
        <v>254.1176471</v>
      </c>
      <c r="H446" s="46">
        <f>'Dotacion Planta'!E102</f>
        <v>6</v>
      </c>
      <c r="I446" s="46">
        <f>'Dotacion Planta'!E107+'Servicios y Oficinas'!E29+'Servicios y Oficinas'!E30</f>
        <v>18</v>
      </c>
      <c r="J446" s="64">
        <f>'Dotacion Planta'!E108</f>
        <v>416.1823351</v>
      </c>
      <c r="K446" s="64">
        <f>'Analisis de operaciones'!P2334</f>
        <v>0</v>
      </c>
    </row>
    <row r="447" ht="15.75" customHeight="1">
      <c r="A447" s="46">
        <v>2030.0</v>
      </c>
      <c r="B447" s="46">
        <f>'Dotacion Planta'!F102+'Dotacion Planta'!F103+'Dotacion Planta'!F104+'Dotacion Planta'!F105</f>
        <v>19</v>
      </c>
      <c r="C447" s="64">
        <f>'Resumen Capacidad'!F199</f>
        <v>0</v>
      </c>
      <c r="D447" s="87">
        <f>MAX('Resumen Capacidad'!F5:F24)</f>
        <v>0.8417936508</v>
      </c>
      <c r="E447" s="64">
        <f>'Dotacion Planta'!F110</f>
        <v>2810.603833</v>
      </c>
      <c r="F447" s="133">
        <f>IFERROR(SUM('Dotacion Planta'!B502:M502)/'Analisis de operaciones'!O2423,0)</f>
        <v>0.9013480392</v>
      </c>
      <c r="G447" s="64">
        <f>MIN('Resumen Capacidad'!F220*Parametros!$N$112,'Resumen Capacidad'!F221*Parametros!$N$113,'Resumen Capacidad'!F222*Parametros!$N$114,'Resumen Capacidad'!F223*Parametros!$N$115,'Resumen Capacidad'!F224*Parametros!$N$116,'Resumen Capacidad'!F225*Parametros!$N$117,'Resumen Capacidad'!F226*Parametros!$N$118,'Resumen Capacidad'!F227*Parametros!$N$119)*'Resumen Capacidad'!$B$50</f>
        <v>254.1176471</v>
      </c>
      <c r="H447" s="46">
        <f>'Dotacion Planta'!F102</f>
        <v>10</v>
      </c>
      <c r="I447" s="46">
        <f>'Dotacion Planta'!F107+'Servicios y Oficinas'!F29+'Servicios y Oficinas'!F30</f>
        <v>26</v>
      </c>
      <c r="J447" s="64">
        <f>'Dotacion Planta'!F108</f>
        <v>609.8603136</v>
      </c>
      <c r="K447" s="64">
        <f>'Analisis de operaciones'!P2425</f>
        <v>0</v>
      </c>
    </row>
    <row r="448" ht="15.75" customHeight="1">
      <c r="A448" s="46">
        <v>2031.0</v>
      </c>
      <c r="B448" s="46">
        <f>'Dotacion Planta'!G102+'Dotacion Planta'!G103+'Dotacion Planta'!G104+'Dotacion Planta'!G105</f>
        <v>26</v>
      </c>
      <c r="C448" s="64">
        <f>'Resumen Capacidad'!G199</f>
        <v>0</v>
      </c>
      <c r="D448" s="87">
        <f>MAX('Resumen Capacidad'!G5:G24)</f>
        <v>0.7946138882</v>
      </c>
      <c r="E448" s="64">
        <f>'Dotacion Planta'!G110</f>
        <v>3950.681101</v>
      </c>
      <c r="F448" s="133">
        <f>IFERROR(SUM('Dotacion Planta'!B595:M595)/'Analisis de operaciones'!O2514,0)</f>
        <v>0.9013480392</v>
      </c>
      <c r="G448" s="64">
        <f>MIN('Resumen Capacidad'!G220*Parametros!$N$112,'Resumen Capacidad'!G221*Parametros!$N$113,'Resumen Capacidad'!G222*Parametros!$N$114,'Resumen Capacidad'!G223*Parametros!$N$115,'Resumen Capacidad'!G224*Parametros!$N$116,'Resumen Capacidad'!G225*Parametros!$N$117,'Resumen Capacidad'!G226*Parametros!$N$118,'Resumen Capacidad'!G227*Parametros!$N$119)*'Resumen Capacidad'!$B$50</f>
        <v>254.1176471</v>
      </c>
      <c r="H448" s="46">
        <f>'Dotacion Planta'!G102</f>
        <v>14</v>
      </c>
      <c r="I448" s="46">
        <f>'Dotacion Planta'!G107+'Servicios y Oficinas'!G29+'Servicios y Oficinas'!G30</f>
        <v>33</v>
      </c>
      <c r="J448" s="64">
        <f>'Dotacion Planta'!G108</f>
        <v>996.5814517</v>
      </c>
      <c r="K448" s="64">
        <f>'Analisis de operaciones'!P2516</f>
        <v>0</v>
      </c>
    </row>
    <row r="449" ht="15.75" customHeight="1">
      <c r="A449" s="46">
        <v>2032.0</v>
      </c>
      <c r="B449" s="46">
        <f>'Dotacion Planta'!H102+'Dotacion Planta'!H103+'Dotacion Planta'!H104+'Dotacion Planta'!H105</f>
        <v>35</v>
      </c>
      <c r="C449" s="64">
        <f>'Resumen Capacidad'!H199</f>
        <v>0</v>
      </c>
      <c r="D449" s="87">
        <f>MAX('Resumen Capacidad'!H5:H24)</f>
        <v>0.8591940741</v>
      </c>
      <c r="E449" s="64">
        <f>'Dotacion Planta'!H110</f>
        <v>3738.04053</v>
      </c>
      <c r="F449" s="133">
        <f>IFERROR(SUM('Dotacion Planta'!B688:M688)/'Analisis de operaciones'!O2605,0)</f>
        <v>0.9013480392</v>
      </c>
      <c r="G449" s="64">
        <f>MIN('Resumen Capacidad'!H220*Parametros!$N$112,'Resumen Capacidad'!H221*Parametros!$N$113,'Resumen Capacidad'!H222*Parametros!$N$114,'Resumen Capacidad'!H223*Parametros!$N$115,'Resumen Capacidad'!H224*Parametros!$N$116,'Resumen Capacidad'!H225*Parametros!$N$117,'Resumen Capacidad'!H226*Parametros!$N$118,'Resumen Capacidad'!H227*Parametros!$N$119)*'Resumen Capacidad'!$B$50</f>
        <v>254.1176471</v>
      </c>
      <c r="H449" s="46">
        <f>'Dotacion Planta'!H102</f>
        <v>18</v>
      </c>
      <c r="I449" s="46">
        <f>'Dotacion Planta'!H107+'Servicios y Oficinas'!H29+'Servicios y Oficinas'!H30</f>
        <v>44</v>
      </c>
      <c r="J449" s="64">
        <f>'Dotacion Planta'!H108</f>
        <v>1305.716551</v>
      </c>
      <c r="K449" s="64">
        <f>'Analisis de operaciones'!P2607</f>
        <v>0</v>
      </c>
    </row>
    <row r="450" ht="15.75" customHeight="1">
      <c r="A450" s="46">
        <v>2033.0</v>
      </c>
      <c r="B450" s="46">
        <f>'Dotacion Planta'!I102+'Dotacion Planta'!I103+'Dotacion Planta'!I104+'Dotacion Planta'!I105</f>
        <v>43</v>
      </c>
      <c r="C450" s="64">
        <f>'Resumen Capacidad'!I199</f>
        <v>0</v>
      </c>
      <c r="D450" s="87">
        <f>MAX('Resumen Capacidad'!I5:I24)</f>
        <v>0.8866684028</v>
      </c>
      <c r="E450" s="64">
        <f>'Dotacion Planta'!I110</f>
        <v>5096.584667</v>
      </c>
      <c r="F450" s="133">
        <f>IFERROR(SUM('Dotacion Planta'!B781:M781)/'Analisis de operaciones'!O2696,0)</f>
        <v>0.9013480392</v>
      </c>
      <c r="G450" s="64">
        <f>MIN('Resumen Capacidad'!I220*Parametros!$N$112,'Resumen Capacidad'!I221*Parametros!$N$113,'Resumen Capacidad'!I222*Parametros!$N$114,'Resumen Capacidad'!I223*Parametros!$N$115,'Resumen Capacidad'!I224*Parametros!$N$116,'Resumen Capacidad'!I225*Parametros!$N$117,'Resumen Capacidad'!I226*Parametros!$N$118,'Resumen Capacidad'!I227*Parametros!$N$119)*'Resumen Capacidad'!$B$50</f>
        <v>254.1176471</v>
      </c>
      <c r="H450" s="46">
        <f>'Dotacion Planta'!I102</f>
        <v>23</v>
      </c>
      <c r="I450" s="46">
        <f>'Dotacion Planta'!I107+'Servicios y Oficinas'!I29+'Servicios y Oficinas'!I30</f>
        <v>52</v>
      </c>
      <c r="J450" s="64">
        <f>'Dotacion Planta'!I108</f>
        <v>1217.528785</v>
      </c>
      <c r="K450" s="64">
        <f>'Analisis de operaciones'!P2698</f>
        <v>0</v>
      </c>
    </row>
    <row r="451" ht="15.75" customHeight="1">
      <c r="A451" s="46">
        <v>2034.0</v>
      </c>
      <c r="B451" s="46">
        <f>'Dotacion Planta'!J102+'Dotacion Planta'!J103+'Dotacion Planta'!J104+'Dotacion Planta'!J105</f>
        <v>48</v>
      </c>
      <c r="C451" s="64">
        <f>'Resumen Capacidad'!J199</f>
        <v>0</v>
      </c>
      <c r="D451" s="87">
        <f>MAX('Resumen Capacidad'!J5:J24)</f>
        <v>0.8431564078</v>
      </c>
      <c r="E451" s="64">
        <f>'Dotacion Planta'!J110</f>
        <v>5586.142118</v>
      </c>
      <c r="F451" s="133">
        <f>IFERROR(SUM('Dotacion Planta'!B874:M874)/'Analisis de operaciones'!O2787,0)</f>
        <v>0.9013480392</v>
      </c>
      <c r="G451" s="64">
        <f>MIN('Resumen Capacidad'!J220*Parametros!$N$112,'Resumen Capacidad'!J221*Parametros!$N$113,'Resumen Capacidad'!J222*Parametros!$N$114,'Resumen Capacidad'!J223*Parametros!$N$115,'Resumen Capacidad'!J224*Parametros!$N$116,'Resumen Capacidad'!J225*Parametros!$N$117,'Resumen Capacidad'!J226*Parametros!$N$118,'Resumen Capacidad'!J227*Parametros!$N$119)*'Resumen Capacidad'!$B$50</f>
        <v>254.1176471</v>
      </c>
      <c r="H451" s="46">
        <f>'Dotacion Planta'!J102</f>
        <v>26</v>
      </c>
      <c r="I451" s="46">
        <f>'Dotacion Planta'!J107+'Servicios y Oficinas'!J29+'Servicios y Oficinas'!J30</f>
        <v>57</v>
      </c>
      <c r="J451" s="64">
        <f>'Dotacion Planta'!J108</f>
        <v>1217.49809</v>
      </c>
      <c r="K451" s="64">
        <f>'Analisis de operaciones'!P2789</f>
        <v>0</v>
      </c>
    </row>
    <row r="452" ht="15.75" customHeight="1">
      <c r="A452" s="46">
        <v>2035.0</v>
      </c>
      <c r="B452" s="46">
        <f>'Dotacion Planta'!K102+'Dotacion Planta'!K103+'Dotacion Planta'!K104+'Dotacion Planta'!K105</f>
        <v>54</v>
      </c>
      <c r="C452" s="64">
        <f>'Resumen Capacidad'!K199</f>
        <v>0</v>
      </c>
      <c r="D452" s="87">
        <f>MAX('Resumen Capacidad'!K5:K24)</f>
        <v>0.8717697335</v>
      </c>
      <c r="E452" s="64">
        <f>'Dotacion Planta'!K110</f>
        <v>6343.135143</v>
      </c>
      <c r="F452" s="133">
        <f>IFERROR(SUM('Dotacion Planta'!B967:M967)/'Analisis de operaciones'!O2878,0)</f>
        <v>0.9013480392</v>
      </c>
      <c r="G452" s="64">
        <f>MIN('Resumen Capacidad'!K220*Parametros!$N$112,'Resumen Capacidad'!K221*Parametros!$N$113,'Resumen Capacidad'!K222*Parametros!$N$114,'Resumen Capacidad'!K223*Parametros!$N$115,'Resumen Capacidad'!K224*Parametros!$N$116,'Resumen Capacidad'!K225*Parametros!$N$117,'Resumen Capacidad'!K226*Parametros!$N$118,'Resumen Capacidad'!K227*Parametros!$N$119)*'Resumen Capacidad'!$B$50</f>
        <v>508.2352941</v>
      </c>
      <c r="H452" s="46">
        <f>'Dotacion Planta'!K102</f>
        <v>30</v>
      </c>
      <c r="I452" s="46">
        <f>'Dotacion Planta'!K107+'Servicios y Oficinas'!K29+'Servicios y Oficinas'!K30</f>
        <v>63</v>
      </c>
      <c r="J452" s="64">
        <f>'Dotacion Planta'!K108</f>
        <v>1180.838016</v>
      </c>
      <c r="K452" s="64">
        <f>'Analisis de operaciones'!P2880</f>
        <v>0</v>
      </c>
    </row>
    <row r="453" ht="15.75" customHeight="1"/>
    <row r="454" ht="15.75" customHeight="1"/>
    <row r="455" ht="15.75" customHeight="1">
      <c r="A455" s="24" t="s">
        <v>959</v>
      </c>
      <c r="B455" s="29" t="s">
        <v>109</v>
      </c>
      <c r="C455" s="29" t="s">
        <v>110</v>
      </c>
      <c r="D455" s="29" t="s">
        <v>111</v>
      </c>
      <c r="E455" s="29" t="s">
        <v>112</v>
      </c>
      <c r="F455" s="29" t="s">
        <v>113</v>
      </c>
      <c r="G455" s="29" t="s">
        <v>114</v>
      </c>
      <c r="H455" s="29" t="s">
        <v>115</v>
      </c>
      <c r="I455" s="29" t="s">
        <v>116</v>
      </c>
      <c r="J455" s="29" t="s">
        <v>117</v>
      </c>
      <c r="K455" s="29" t="s">
        <v>118</v>
      </c>
      <c r="L455" s="29" t="s">
        <v>119</v>
      </c>
      <c r="M455" s="29" t="s">
        <v>120</v>
      </c>
    </row>
    <row r="456" ht="15.75" customHeight="1">
      <c r="A456" s="46">
        <v>2026.0</v>
      </c>
      <c r="B456" s="64">
        <f>'Analisis de operaciones'!C2056</f>
        <v>11.56</v>
      </c>
      <c r="C456" s="64">
        <f>'Analisis de operaciones'!D2056</f>
        <v>10.2</v>
      </c>
      <c r="D456" s="64">
        <f>'Analisis de operaciones'!E2056</f>
        <v>12.24</v>
      </c>
      <c r="E456" s="64">
        <f>'Analisis de operaciones'!F2056</f>
        <v>12.24</v>
      </c>
      <c r="F456" s="64">
        <f>'Analisis de operaciones'!G2056</f>
        <v>12.24</v>
      </c>
      <c r="G456" s="64">
        <f>'Analisis de operaciones'!H2056</f>
        <v>10.88</v>
      </c>
      <c r="H456" s="64">
        <f>'Analisis de operaciones'!I2056</f>
        <v>12.24</v>
      </c>
      <c r="I456" s="64">
        <f>'Analisis de operaciones'!J2056</f>
        <v>12.24</v>
      </c>
      <c r="J456" s="64">
        <f>'Analisis de operaciones'!K2056</f>
        <v>11.56</v>
      </c>
      <c r="K456" s="64">
        <f>'Analisis de operaciones'!L2056</f>
        <v>10.2</v>
      </c>
      <c r="L456" s="64">
        <f>'Analisis de operaciones'!M2056</f>
        <v>9.52</v>
      </c>
      <c r="M456" s="64">
        <f>'Analisis de operaciones'!N2056</f>
        <v>10.88</v>
      </c>
    </row>
    <row r="457" ht="15.75" customHeight="1">
      <c r="A457" s="46">
        <v>2027.0</v>
      </c>
      <c r="B457" s="64">
        <f>'Analisis de operaciones'!C2147</f>
        <v>19.805</v>
      </c>
      <c r="C457" s="64">
        <f>'Analisis de operaciones'!D2147</f>
        <v>17.475</v>
      </c>
      <c r="D457" s="64">
        <f>'Analisis de operaciones'!E2147</f>
        <v>20.97</v>
      </c>
      <c r="E457" s="64">
        <f>'Analisis de operaciones'!F2147</f>
        <v>20.97</v>
      </c>
      <c r="F457" s="64">
        <f>'Analisis de operaciones'!G2147</f>
        <v>20.97</v>
      </c>
      <c r="G457" s="64">
        <f>'Analisis de operaciones'!H2147</f>
        <v>18.64</v>
      </c>
      <c r="H457" s="64">
        <f>'Analisis de operaciones'!I2147</f>
        <v>20.97</v>
      </c>
      <c r="I457" s="64">
        <f>'Analisis de operaciones'!J2147</f>
        <v>20.97</v>
      </c>
      <c r="J457" s="64">
        <f>'Analisis de operaciones'!K2147</f>
        <v>19.805</v>
      </c>
      <c r="K457" s="64">
        <f>'Analisis de operaciones'!L2147</f>
        <v>17.475</v>
      </c>
      <c r="L457" s="64">
        <f>'Analisis de operaciones'!M2147</f>
        <v>16.31</v>
      </c>
      <c r="M457" s="64">
        <f>'Analisis de operaciones'!N2147</f>
        <v>18.64</v>
      </c>
    </row>
    <row r="458" ht="15.75" customHeight="1">
      <c r="A458" s="46">
        <v>2028.0</v>
      </c>
      <c r="B458" s="64">
        <f>'Analisis de operaciones'!C2238</f>
        <v>30.6</v>
      </c>
      <c r="C458" s="64">
        <f>'Analisis de operaciones'!D2238</f>
        <v>27</v>
      </c>
      <c r="D458" s="64">
        <f>'Analisis de operaciones'!E2238</f>
        <v>32.4</v>
      </c>
      <c r="E458" s="64">
        <f>'Analisis de operaciones'!F2238</f>
        <v>32.4</v>
      </c>
      <c r="F458" s="64">
        <f>'Analisis de operaciones'!G2238</f>
        <v>32.4</v>
      </c>
      <c r="G458" s="64">
        <f>'Analisis de operaciones'!H2238</f>
        <v>28.8</v>
      </c>
      <c r="H458" s="64">
        <f>'Analisis de operaciones'!I2238</f>
        <v>32.4</v>
      </c>
      <c r="I458" s="64">
        <f>'Analisis de operaciones'!J2238</f>
        <v>32.4</v>
      </c>
      <c r="J458" s="64">
        <f>'Analisis de operaciones'!K2238</f>
        <v>30.6</v>
      </c>
      <c r="K458" s="64">
        <f>'Analisis de operaciones'!L2238</f>
        <v>27</v>
      </c>
      <c r="L458" s="64">
        <f>'Analisis de operaciones'!M2238</f>
        <v>25.2</v>
      </c>
      <c r="M458" s="64">
        <f>'Analisis de operaciones'!N2238</f>
        <v>28.8</v>
      </c>
    </row>
    <row r="459" ht="15.75" customHeight="1">
      <c r="A459" s="46">
        <v>2029.0</v>
      </c>
      <c r="B459" s="64">
        <f>'Analisis de operaciones'!C2329</f>
        <v>51.255</v>
      </c>
      <c r="C459" s="64">
        <f>'Analisis de operaciones'!D2329</f>
        <v>45.225</v>
      </c>
      <c r="D459" s="64">
        <f>'Analisis de operaciones'!E2329</f>
        <v>54.27</v>
      </c>
      <c r="E459" s="64">
        <f>'Analisis de operaciones'!F2329</f>
        <v>54.27</v>
      </c>
      <c r="F459" s="64">
        <f>'Analisis de operaciones'!G2329</f>
        <v>54.27</v>
      </c>
      <c r="G459" s="64">
        <f>'Analisis de operaciones'!H2329</f>
        <v>48.24</v>
      </c>
      <c r="H459" s="64">
        <f>'Analisis de operaciones'!I2329</f>
        <v>54.27</v>
      </c>
      <c r="I459" s="64">
        <f>'Analisis de operaciones'!J2329</f>
        <v>54.27</v>
      </c>
      <c r="J459" s="64">
        <f>'Analisis de operaciones'!K2329</f>
        <v>51.255</v>
      </c>
      <c r="K459" s="64">
        <f>'Analisis de operaciones'!L2329</f>
        <v>45.225</v>
      </c>
      <c r="L459" s="64">
        <f>'Analisis de operaciones'!M2329</f>
        <v>42.21</v>
      </c>
      <c r="M459" s="64">
        <f>'Analisis de operaciones'!N2329</f>
        <v>48.24</v>
      </c>
    </row>
    <row r="460" ht="15.75" customHeight="1">
      <c r="A460" s="46">
        <v>2030.0</v>
      </c>
      <c r="B460" s="64">
        <f>'Analisis de operaciones'!C2420</f>
        <v>84.66</v>
      </c>
      <c r="C460" s="64">
        <f>'Analisis de operaciones'!D2420</f>
        <v>74.7</v>
      </c>
      <c r="D460" s="64">
        <f>'Analisis de operaciones'!E2420</f>
        <v>89.64</v>
      </c>
      <c r="E460" s="64">
        <f>'Analisis de operaciones'!F2420</f>
        <v>89.64</v>
      </c>
      <c r="F460" s="64">
        <f>'Analisis de operaciones'!G2420</f>
        <v>89.64</v>
      </c>
      <c r="G460" s="64">
        <f>'Analisis de operaciones'!H2420</f>
        <v>79.68</v>
      </c>
      <c r="H460" s="64">
        <f>'Analisis de operaciones'!I2420</f>
        <v>89.64</v>
      </c>
      <c r="I460" s="64">
        <f>'Analisis de operaciones'!J2420</f>
        <v>89.64</v>
      </c>
      <c r="J460" s="64">
        <f>'Analisis de operaciones'!K2420</f>
        <v>84.66</v>
      </c>
      <c r="K460" s="64">
        <f>'Analisis de operaciones'!L2420</f>
        <v>74.7</v>
      </c>
      <c r="L460" s="64">
        <f>'Analisis de operaciones'!M2420</f>
        <v>69.72</v>
      </c>
      <c r="M460" s="64">
        <f>'Analisis de operaciones'!N2420</f>
        <v>79.68</v>
      </c>
    </row>
    <row r="461" ht="15.75" customHeight="1">
      <c r="A461" s="46">
        <v>2031.0</v>
      </c>
      <c r="B461" s="64">
        <f>'Analisis de operaciones'!C2511</f>
        <v>117.895</v>
      </c>
      <c r="C461" s="64">
        <f>'Analisis de operaciones'!D2511</f>
        <v>104.025</v>
      </c>
      <c r="D461" s="64">
        <f>'Analisis de operaciones'!E2511</f>
        <v>124.83</v>
      </c>
      <c r="E461" s="64">
        <f>'Analisis de operaciones'!F2511</f>
        <v>124.83</v>
      </c>
      <c r="F461" s="64">
        <f>'Analisis de operaciones'!G2511</f>
        <v>124.83</v>
      </c>
      <c r="G461" s="64">
        <f>'Analisis de operaciones'!H2511</f>
        <v>110.96</v>
      </c>
      <c r="H461" s="64">
        <f>'Analisis de operaciones'!I2511</f>
        <v>124.83</v>
      </c>
      <c r="I461" s="64">
        <f>'Analisis de operaciones'!J2511</f>
        <v>124.83</v>
      </c>
      <c r="J461" s="64">
        <f>'Analisis de operaciones'!K2511</f>
        <v>117.895</v>
      </c>
      <c r="K461" s="64">
        <f>'Analisis de operaciones'!L2511</f>
        <v>104.025</v>
      </c>
      <c r="L461" s="64">
        <f>'Analisis de operaciones'!M2511</f>
        <v>97.09</v>
      </c>
      <c r="M461" s="64">
        <f>'Analisis de operaciones'!N2511</f>
        <v>110.96</v>
      </c>
    </row>
    <row r="462" ht="15.75" customHeight="1">
      <c r="A462" s="46">
        <v>2032.0</v>
      </c>
      <c r="B462" s="64">
        <f>'Analisis de operaciones'!C2602</f>
        <v>157.59</v>
      </c>
      <c r="C462" s="64">
        <f>'Analisis de operaciones'!D2602</f>
        <v>139.05</v>
      </c>
      <c r="D462" s="64">
        <f>'Analisis de operaciones'!E2602</f>
        <v>166.86</v>
      </c>
      <c r="E462" s="64">
        <f>'Analisis de operaciones'!F2602</f>
        <v>166.86</v>
      </c>
      <c r="F462" s="64">
        <f>'Analisis de operaciones'!G2602</f>
        <v>166.86</v>
      </c>
      <c r="G462" s="64">
        <f>'Analisis de operaciones'!H2602</f>
        <v>148.32</v>
      </c>
      <c r="H462" s="64">
        <f>'Analisis de operaciones'!I2602</f>
        <v>166.86</v>
      </c>
      <c r="I462" s="64">
        <f>'Analisis de operaciones'!J2602</f>
        <v>166.86</v>
      </c>
      <c r="J462" s="64">
        <f>'Analisis de operaciones'!K2602</f>
        <v>157.59</v>
      </c>
      <c r="K462" s="64">
        <f>'Analisis de operaciones'!L2602</f>
        <v>139.05</v>
      </c>
      <c r="L462" s="64">
        <f>'Analisis de operaciones'!M2602</f>
        <v>129.78</v>
      </c>
      <c r="M462" s="64">
        <f>'Analisis de operaciones'!N2602</f>
        <v>148.32</v>
      </c>
    </row>
    <row r="463" ht="15.75" customHeight="1">
      <c r="A463" s="46">
        <v>2033.0</v>
      </c>
      <c r="B463" s="64">
        <f>'Analisis de operaciones'!C2693</f>
        <v>198.9</v>
      </c>
      <c r="C463" s="64">
        <f>'Analisis de operaciones'!D2693</f>
        <v>175.5</v>
      </c>
      <c r="D463" s="64">
        <f>'Analisis de operaciones'!E2693</f>
        <v>210.6</v>
      </c>
      <c r="E463" s="64">
        <f>'Analisis de operaciones'!F2693</f>
        <v>210.6</v>
      </c>
      <c r="F463" s="64">
        <f>'Analisis de operaciones'!G2693</f>
        <v>210.6</v>
      </c>
      <c r="G463" s="64">
        <f>'Analisis de operaciones'!H2693</f>
        <v>187.2</v>
      </c>
      <c r="H463" s="64">
        <f>'Analisis de operaciones'!I2693</f>
        <v>210.6</v>
      </c>
      <c r="I463" s="64">
        <f>'Analisis de operaciones'!J2693</f>
        <v>210.6</v>
      </c>
      <c r="J463" s="64">
        <f>'Analisis de operaciones'!K2693</f>
        <v>198.9</v>
      </c>
      <c r="K463" s="64">
        <f>'Analisis de operaciones'!L2693</f>
        <v>175.5</v>
      </c>
      <c r="L463" s="64">
        <f>'Analisis de operaciones'!M2693</f>
        <v>163.8</v>
      </c>
      <c r="M463" s="64">
        <f>'Analisis de operaciones'!N2693</f>
        <v>187.2</v>
      </c>
    </row>
    <row r="464" ht="15.75" customHeight="1">
      <c r="A464" s="46">
        <v>2034.0</v>
      </c>
      <c r="B464" s="64">
        <f>'Analisis de operaciones'!C2784</f>
        <v>227.97</v>
      </c>
      <c r="C464" s="64">
        <f>'Analisis de operaciones'!D2784</f>
        <v>201.15</v>
      </c>
      <c r="D464" s="64">
        <f>'Analisis de operaciones'!E2784</f>
        <v>241.38</v>
      </c>
      <c r="E464" s="64">
        <f>'Analisis de operaciones'!F2784</f>
        <v>241.38</v>
      </c>
      <c r="F464" s="64">
        <f>'Analisis de operaciones'!G2784</f>
        <v>241.38</v>
      </c>
      <c r="G464" s="64">
        <f>'Analisis de operaciones'!H2784</f>
        <v>214.56</v>
      </c>
      <c r="H464" s="64">
        <f>'Analisis de operaciones'!I2784</f>
        <v>241.38</v>
      </c>
      <c r="I464" s="64">
        <f>'Analisis de operaciones'!J2784</f>
        <v>241.38</v>
      </c>
      <c r="J464" s="64">
        <f>'Analisis de operaciones'!K2784</f>
        <v>227.97</v>
      </c>
      <c r="K464" s="64">
        <f>'Analisis de operaciones'!L2784</f>
        <v>201.15</v>
      </c>
      <c r="L464" s="64">
        <f>'Analisis de operaciones'!M2784</f>
        <v>187.74</v>
      </c>
      <c r="M464" s="64">
        <f>'Analisis de operaciones'!N2784</f>
        <v>214.56</v>
      </c>
    </row>
    <row r="465" ht="15.75" customHeight="1">
      <c r="A465" s="46">
        <v>2035.0</v>
      </c>
      <c r="B465" s="64">
        <f>'Analisis de operaciones'!C2875</f>
        <v>263.5</v>
      </c>
      <c r="C465" s="64">
        <f>'Analisis de operaciones'!D2875</f>
        <v>232.5</v>
      </c>
      <c r="D465" s="64">
        <f>'Analisis de operaciones'!E2875</f>
        <v>279</v>
      </c>
      <c r="E465" s="64">
        <f>'Analisis de operaciones'!F2875</f>
        <v>279</v>
      </c>
      <c r="F465" s="64">
        <f>'Analisis de operaciones'!G2875</f>
        <v>279</v>
      </c>
      <c r="G465" s="64">
        <f>'Analisis de operaciones'!H2875</f>
        <v>248</v>
      </c>
      <c r="H465" s="64">
        <f>'Analisis de operaciones'!I2875</f>
        <v>279</v>
      </c>
      <c r="I465" s="64">
        <f>'Analisis de operaciones'!J2875</f>
        <v>279</v>
      </c>
      <c r="J465" s="64">
        <f>'Analisis de operaciones'!K2875</f>
        <v>263.5</v>
      </c>
      <c r="K465" s="64">
        <f>'Analisis de operaciones'!L2875</f>
        <v>232.5</v>
      </c>
      <c r="L465" s="64">
        <f>'Analisis de operaciones'!M2875</f>
        <v>217</v>
      </c>
      <c r="M465" s="64">
        <f>'Analisis de operaciones'!N2875</f>
        <v>248</v>
      </c>
    </row>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H8:Q8"/>
    <mergeCell ref="B173:K173"/>
    <mergeCell ref="B181:E181"/>
  </mergeCells>
  <conditionalFormatting sqref="B29:M29">
    <cfRule type="cellIs" dxfId="8" priority="1" operator="greaterThan">
      <formula>0</formula>
    </cfRule>
  </conditionalFormatting>
  <conditionalFormatting sqref="B38:M38">
    <cfRule type="cellIs" dxfId="8" priority="2" operator="greaterThan">
      <formula>1</formula>
    </cfRule>
  </conditionalFormatting>
  <conditionalFormatting sqref="B48:B52">
    <cfRule type="expression" dxfId="7" priority="3">
      <formula>LEFT(B48,2)="No"</formula>
    </cfRule>
  </conditionalFormatting>
  <conditionalFormatting sqref="H57:H69">
    <cfRule type="expression" dxfId="7" priority="4">
      <formula>H57&lt;&gt;"OK"</formula>
    </cfRule>
  </conditionalFormatting>
  <conditionalFormatting sqref="H57:H69">
    <cfRule type="expression" dxfId="9" priority="5">
      <formula>H57="OK"</formula>
    </cfRule>
  </conditionalFormatting>
  <conditionalFormatting sqref="I80:I86">
    <cfRule type="expression" dxfId="9" priority="6">
      <formula>I80="Sin stock 1–10 kg"</formula>
    </cfRule>
  </conditionalFormatting>
  <conditionalFormatting sqref="I80:I86">
    <cfRule type="expression" dxfId="7" priority="7">
      <formula>OR(I80="Falta gente",LEFT(I80,4)="Pasa")</formula>
    </cfRule>
  </conditionalFormatting>
  <conditionalFormatting sqref="F80:F86">
    <cfRule type="cellIs" dxfId="8" priority="8" operator="greaterThan">
      <formula>$B$12</formula>
    </cfRule>
  </conditionalFormatting>
  <conditionalFormatting sqref="C80:C86">
    <cfRule type="cellIs" dxfId="8" priority="9" operator="greaterThan">
      <formula>200</formula>
    </cfRule>
  </conditionalFormatting>
  <conditionalFormatting sqref="F130:F133">
    <cfRule type="expression" dxfId="7" priority="10">
      <formula>F130="No"</formula>
    </cfRule>
  </conditionalFormatting>
  <conditionalFormatting sqref="H177:H180">
    <cfRule type="expression" dxfId="9" priority="11">
      <formula>H177=MIN($H$177:$H$180)</formula>
    </cfRule>
  </conditionalFormatting>
  <conditionalFormatting sqref="I177:I180">
    <cfRule type="expression" dxfId="9" priority="12">
      <formula>I177=MIN($I$177:$I$180)</formula>
    </cfRule>
  </conditionalFormatting>
  <conditionalFormatting sqref="L80:L86">
    <cfRule type="expression" dxfId="9" priority="13">
      <formula>L80=MIN($L$80:$L$86)</formula>
    </cfRule>
  </conditionalFormatting>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outlineLevelRow="1"/>
  <cols>
    <col customWidth="1" min="1" max="1" width="60.0"/>
    <col customWidth="1" min="2" max="15" width="11.5"/>
    <col customWidth="1" min="16" max="26" width="8.63"/>
  </cols>
  <sheetData>
    <row r="1">
      <c r="A1" s="20" t="s">
        <v>1084</v>
      </c>
    </row>
    <row r="2" ht="27.75" customHeight="1">
      <c r="A2" s="120" t="s">
        <v>1085</v>
      </c>
    </row>
    <row r="4">
      <c r="A4" s="24" t="s">
        <v>1086</v>
      </c>
      <c r="B4" s="29" t="s">
        <v>27</v>
      </c>
    </row>
    <row r="5">
      <c r="A5" s="30" t="s">
        <v>1087</v>
      </c>
      <c r="B5" s="36">
        <f>Parametros!$B$37</f>
        <v>20</v>
      </c>
      <c r="C5" s="22" t="s">
        <v>1088</v>
      </c>
    </row>
    <row r="6">
      <c r="A6" s="30" t="s">
        <v>1089</v>
      </c>
      <c r="B6" s="34">
        <f>'Parametros Recargas'!$B$12</f>
        <v>0.25</v>
      </c>
      <c r="C6" s="22" t="s">
        <v>1090</v>
      </c>
    </row>
    <row r="7">
      <c r="A7" s="30" t="s">
        <v>1091</v>
      </c>
      <c r="B7" s="31">
        <v>2.0</v>
      </c>
      <c r="C7" s="22" t="s">
        <v>1092</v>
      </c>
    </row>
    <row r="8">
      <c r="A8" s="30" t="s">
        <v>1093</v>
      </c>
      <c r="B8" s="32">
        <v>0.2</v>
      </c>
      <c r="C8" s="22" t="s">
        <v>1094</v>
      </c>
    </row>
    <row r="9">
      <c r="A9" s="30" t="s">
        <v>1095</v>
      </c>
      <c r="B9" s="32">
        <v>0.7</v>
      </c>
      <c r="C9" s="22" t="s">
        <v>1096</v>
      </c>
    </row>
    <row r="10">
      <c r="A10" s="30" t="s">
        <v>1097</v>
      </c>
      <c r="B10" s="34">
        <f>1-B9</f>
        <v>0.3</v>
      </c>
      <c r="C10" s="22" t="s">
        <v>1098</v>
      </c>
    </row>
    <row r="11">
      <c r="A11" s="30" t="s">
        <v>1099</v>
      </c>
      <c r="B11" s="32">
        <v>0.3</v>
      </c>
      <c r="C11" s="22" t="s">
        <v>1100</v>
      </c>
    </row>
    <row r="12">
      <c r="A12" s="30" t="s">
        <v>1101</v>
      </c>
      <c r="B12" s="31">
        <v>210.0</v>
      </c>
      <c r="C12" s="22" t="s">
        <v>1102</v>
      </c>
    </row>
    <row r="13">
      <c r="A13" s="30" t="s">
        <v>1103</v>
      </c>
      <c r="B13" s="31">
        <v>10.0</v>
      </c>
      <c r="C13" s="22" t="s">
        <v>1104</v>
      </c>
    </row>
    <row r="14">
      <c r="A14" s="30" t="s">
        <v>1105</v>
      </c>
      <c r="B14" s="168">
        <v>0.5</v>
      </c>
      <c r="C14" s="22" t="s">
        <v>1106</v>
      </c>
    </row>
    <row r="15">
      <c r="A15" s="30" t="s">
        <v>1107</v>
      </c>
      <c r="B15" s="36">
        <f>'Parametros Recargas'!$B$18</f>
        <v>3</v>
      </c>
      <c r="C15" s="22" t="s">
        <v>1108</v>
      </c>
    </row>
    <row r="16">
      <c r="A16" s="30" t="s">
        <v>1109</v>
      </c>
      <c r="B16" s="31">
        <v>150.0</v>
      </c>
      <c r="C16" s="22" t="s">
        <v>1110</v>
      </c>
    </row>
    <row r="17">
      <c r="A17" s="30" t="s">
        <v>1111</v>
      </c>
      <c r="B17" s="31">
        <v>10.0</v>
      </c>
      <c r="C17" s="22" t="s">
        <v>1112</v>
      </c>
    </row>
    <row r="18">
      <c r="A18" s="30" t="s">
        <v>1113</v>
      </c>
      <c r="B18" s="168">
        <v>0.5</v>
      </c>
      <c r="C18" s="22" t="s">
        <v>1114</v>
      </c>
    </row>
    <row r="19">
      <c r="A19" s="30" t="s">
        <v>1115</v>
      </c>
      <c r="B19" s="31">
        <v>5.0</v>
      </c>
      <c r="C19" s="22" t="s">
        <v>1116</v>
      </c>
    </row>
    <row r="20">
      <c r="A20" s="30" t="s">
        <v>1117</v>
      </c>
      <c r="B20" s="36">
        <f>'Sensibilidad Stock'!$B$9</f>
        <v>90</v>
      </c>
      <c r="C20" s="22" t="s">
        <v>1118</v>
      </c>
    </row>
    <row r="21" ht="15.75" customHeight="1">
      <c r="A21" s="30" t="s">
        <v>1119</v>
      </c>
      <c r="B21" s="31">
        <v>120.0</v>
      </c>
      <c r="C21" s="22" t="s">
        <v>1120</v>
      </c>
    </row>
    <row r="22" ht="15.75" customHeight="1">
      <c r="A22" s="30" t="s">
        <v>875</v>
      </c>
      <c r="B22" s="36">
        <f>'Sensibilidad Stock'!$B$10</f>
        <v>2</v>
      </c>
      <c r="C22" s="22" t="s">
        <v>1121</v>
      </c>
    </row>
    <row r="23" ht="15.75" customHeight="1">
      <c r="A23" s="30" t="s">
        <v>876</v>
      </c>
      <c r="B23" s="44">
        <f>'Sensibilidad Stock'!$B$11</f>
        <v>1.8</v>
      </c>
      <c r="C23" s="22" t="s">
        <v>1122</v>
      </c>
    </row>
    <row r="24" ht="15.75" customHeight="1">
      <c r="A24" s="30" t="s">
        <v>1123</v>
      </c>
      <c r="B24" s="40">
        <f>Parametros!$B$71</f>
        <v>0.5</v>
      </c>
      <c r="C24" s="22" t="s">
        <v>1124</v>
      </c>
    </row>
    <row r="25" ht="15.75" customHeight="1">
      <c r="A25" s="30" t="s">
        <v>1125</v>
      </c>
      <c r="B25" s="31">
        <v>8.0</v>
      </c>
      <c r="C25" s="22" t="s">
        <v>1126</v>
      </c>
    </row>
    <row r="26" ht="15.75" customHeight="1"/>
    <row r="27" ht="15.75" customHeight="1">
      <c r="A27" s="242" t="s">
        <v>1127</v>
      </c>
      <c r="B27" s="3"/>
      <c r="C27" s="3"/>
      <c r="D27" s="3"/>
      <c r="E27" s="3"/>
      <c r="F27" s="3"/>
      <c r="G27" s="3"/>
      <c r="H27" s="3"/>
      <c r="I27" s="3"/>
      <c r="J27" s="130"/>
    </row>
    <row r="28" ht="30.0" customHeight="1">
      <c r="A28" s="243" t="s">
        <v>1128</v>
      </c>
      <c r="B28" s="243" t="s">
        <v>1129</v>
      </c>
      <c r="C28" s="243" t="s">
        <v>1130</v>
      </c>
      <c r="D28" s="243" t="s">
        <v>1131</v>
      </c>
      <c r="E28" s="243" t="s">
        <v>1132</v>
      </c>
      <c r="F28" s="243" t="s">
        <v>1133</v>
      </c>
      <c r="G28" s="243" t="s">
        <v>1134</v>
      </c>
      <c r="H28" s="243" t="s">
        <v>1135</v>
      </c>
      <c r="I28" s="243" t="s">
        <v>1136</v>
      </c>
      <c r="J28" s="243" t="s">
        <v>1137</v>
      </c>
    </row>
    <row r="29" ht="15.75" customHeight="1">
      <c r="A29" s="146" t="s">
        <v>1138</v>
      </c>
      <c r="C29" s="215" t="s">
        <v>998</v>
      </c>
      <c r="D29" s="244" t="s">
        <v>1139</v>
      </c>
      <c r="E29" s="53" t="s">
        <v>1140</v>
      </c>
      <c r="F29" s="53" t="s">
        <v>1141</v>
      </c>
      <c r="G29" s="53" t="s">
        <v>1140</v>
      </c>
      <c r="H29" s="53" t="s">
        <v>1140</v>
      </c>
      <c r="I29" s="53" t="s">
        <v>1141</v>
      </c>
    </row>
    <row r="30" ht="15.75" customHeight="1">
      <c r="A30" s="30" t="s">
        <v>1142</v>
      </c>
      <c r="B30" s="245">
        <v>415940.0</v>
      </c>
      <c r="C30" s="245">
        <v>197130.0</v>
      </c>
      <c r="D30" s="245">
        <v>177360.0</v>
      </c>
      <c r="E30" s="245">
        <v>24864.0</v>
      </c>
      <c r="F30" s="245">
        <v>20895.0</v>
      </c>
      <c r="G30" s="245">
        <v>8981.0</v>
      </c>
      <c r="H30" s="245">
        <v>5676.0</v>
      </c>
      <c r="I30" s="245">
        <v>4459.0</v>
      </c>
      <c r="J30" s="84">
        <f t="shared" ref="J30:J33" si="1">SUM(D30:I30)</f>
        <v>242235</v>
      </c>
    </row>
    <row r="31" ht="15.75" customHeight="1">
      <c r="A31" s="30" t="s">
        <v>1143</v>
      </c>
      <c r="B31" s="245">
        <v>468075.0</v>
      </c>
      <c r="C31" s="245">
        <v>420418.0</v>
      </c>
      <c r="D31" s="245">
        <v>100296.0</v>
      </c>
      <c r="E31" s="245">
        <v>115.0</v>
      </c>
      <c r="F31" s="245">
        <v>24285.0</v>
      </c>
      <c r="G31" s="245">
        <v>14874.0</v>
      </c>
      <c r="H31" s="245">
        <v>9125.0</v>
      </c>
      <c r="I31" s="245">
        <v>1116.0</v>
      </c>
      <c r="J31" s="84">
        <f t="shared" si="1"/>
        <v>149811</v>
      </c>
    </row>
    <row r="32" ht="15.75" customHeight="1">
      <c r="A32" s="30" t="s">
        <v>1144</v>
      </c>
      <c r="B32" s="245">
        <v>646880.0</v>
      </c>
      <c r="C32" s="245">
        <v>550292.0</v>
      </c>
      <c r="D32" s="245">
        <v>172522.0</v>
      </c>
      <c r="E32" s="245">
        <v>522.0</v>
      </c>
      <c r="F32" s="245">
        <v>18309.0</v>
      </c>
      <c r="G32" s="245">
        <v>21572.0</v>
      </c>
      <c r="H32" s="245">
        <v>11640.0</v>
      </c>
      <c r="I32" s="245">
        <v>1817.0</v>
      </c>
      <c r="J32" s="84">
        <f t="shared" si="1"/>
        <v>226382</v>
      </c>
    </row>
    <row r="33" ht="15.75" customHeight="1">
      <c r="A33" s="30" t="s">
        <v>1145</v>
      </c>
      <c r="B33" s="245">
        <v>466147.0</v>
      </c>
      <c r="C33" s="245">
        <v>481561.0</v>
      </c>
      <c r="D33" s="245">
        <v>76993.0</v>
      </c>
      <c r="E33" s="245">
        <v>1819.0</v>
      </c>
      <c r="F33" s="245">
        <v>5428.0</v>
      </c>
      <c r="G33" s="245">
        <v>13802.0</v>
      </c>
      <c r="H33" s="245">
        <v>11459.0</v>
      </c>
      <c r="I33" s="245">
        <v>810.0</v>
      </c>
      <c r="J33" s="84">
        <f t="shared" si="1"/>
        <v>110311</v>
      </c>
    </row>
    <row r="34" ht="15.75" customHeight="1">
      <c r="A34" s="73" t="s">
        <v>1146</v>
      </c>
      <c r="B34" s="84">
        <f t="shared" ref="B34:J34" si="2">SUM(B30:B33)</f>
        <v>1997042</v>
      </c>
      <c r="C34" s="84">
        <f t="shared" si="2"/>
        <v>1649401</v>
      </c>
      <c r="D34" s="84">
        <f t="shared" si="2"/>
        <v>527171</v>
      </c>
      <c r="E34" s="84">
        <f t="shared" si="2"/>
        <v>27320</v>
      </c>
      <c r="F34" s="84">
        <f t="shared" si="2"/>
        <v>68917</v>
      </c>
      <c r="G34" s="84">
        <f t="shared" si="2"/>
        <v>59229</v>
      </c>
      <c r="H34" s="84">
        <f t="shared" si="2"/>
        <v>37900</v>
      </c>
      <c r="I34" s="84">
        <f t="shared" si="2"/>
        <v>8202</v>
      </c>
      <c r="J34" s="84">
        <f t="shared" si="2"/>
        <v>728739</v>
      </c>
    </row>
    <row r="35" ht="25.5" customHeight="1">
      <c r="A35" s="120" t="s">
        <v>1147</v>
      </c>
    </row>
    <row r="36" ht="15.75" customHeight="1"/>
    <row r="37" ht="39.75" customHeight="1">
      <c r="A37" s="243" t="s">
        <v>1128</v>
      </c>
      <c r="B37" s="243" t="s">
        <v>1148</v>
      </c>
      <c r="C37" s="243" t="s">
        <v>1149</v>
      </c>
      <c r="D37" s="243" t="s">
        <v>1150</v>
      </c>
      <c r="E37" s="243" t="s">
        <v>1151</v>
      </c>
      <c r="F37" s="243" t="s">
        <v>1152</v>
      </c>
      <c r="G37" s="243" t="s">
        <v>1153</v>
      </c>
      <c r="H37" s="243" t="s">
        <v>1154</v>
      </c>
      <c r="I37" s="243" t="s">
        <v>1155</v>
      </c>
    </row>
    <row r="38" ht="15.75" customHeight="1">
      <c r="A38" s="30" t="s">
        <v>1142</v>
      </c>
      <c r="B38" s="106">
        <f t="shared" ref="B38:B41" si="3">C30/$C$34</f>
        <v>0.1195161152</v>
      </c>
      <c r="C38" s="106">
        <f t="shared" ref="C38:C41" si="4">J30/$J$34</f>
        <v>0.3324029591</v>
      </c>
      <c r="D38" s="87">
        <f t="shared" ref="D38:D41" si="5">(D30*$B$11+SUMIF($E$29:$I$29,"Chico",E30:I30))/J30</f>
        <v>0.2196544678</v>
      </c>
      <c r="E38" s="87">
        <f t="shared" ref="E38:E41" si="6">(D30*(1-$B$11)+SUMIF($E$29:$I$29,"Mediano",E30:I30))/J30</f>
        <v>0.6756785766</v>
      </c>
      <c r="F38" s="87">
        <f t="shared" ref="F38:F41" si="7">SUMIF($E$29:$I$29,"Grande",E30:I30)/J30</f>
        <v>0.1046669556</v>
      </c>
      <c r="G38" s="133">
        <f t="shared" ref="G38:G41" si="8">D38*$I$48+E38*$I$49+F38*$I$50</f>
        <v>3.642827557</v>
      </c>
      <c r="H38" s="133">
        <f t="shared" ref="H38:H41" si="9">2*(D38/$B$48+E38/$B$49+F38/$B$50)</f>
        <v>0.2642827557</v>
      </c>
      <c r="I38" s="133">
        <f t="shared" ref="I38:I41" si="10">1+D38*$H$48+E38*$H$49+F38*$H$50</f>
        <v>2</v>
      </c>
    </row>
    <row r="39" ht="15.75" customHeight="1">
      <c r="A39" s="30" t="s">
        <v>1143</v>
      </c>
      <c r="B39" s="106">
        <f t="shared" si="3"/>
        <v>0.2548913212</v>
      </c>
      <c r="C39" s="106">
        <f t="shared" si="4"/>
        <v>0.2055756588</v>
      </c>
      <c r="D39" s="87">
        <f t="shared" si="5"/>
        <v>0.2008450648</v>
      </c>
      <c r="E39" s="87">
        <f t="shared" si="6"/>
        <v>0.6296012976</v>
      </c>
      <c r="F39" s="87">
        <f t="shared" si="7"/>
        <v>0.1695536376</v>
      </c>
      <c r="G39" s="133">
        <f t="shared" si="8"/>
        <v>3.473079413</v>
      </c>
      <c r="H39" s="133">
        <f t="shared" si="9"/>
        <v>0.2473079413</v>
      </c>
      <c r="I39" s="133">
        <f t="shared" si="10"/>
        <v>2</v>
      </c>
    </row>
    <row r="40" ht="15.75" customHeight="1">
      <c r="A40" s="30" t="s">
        <v>1144</v>
      </c>
      <c r="B40" s="106">
        <f t="shared" si="3"/>
        <v>0.3336314213</v>
      </c>
      <c r="C40" s="106">
        <f t="shared" si="4"/>
        <v>0.3106489429</v>
      </c>
      <c r="D40" s="87">
        <f t="shared" si="5"/>
        <v>0.2286250674</v>
      </c>
      <c r="E40" s="87">
        <f t="shared" si="6"/>
        <v>0.6824721047</v>
      </c>
      <c r="F40" s="87">
        <f t="shared" si="7"/>
        <v>0.08890282796</v>
      </c>
      <c r="G40" s="133">
        <f t="shared" si="8"/>
        <v>3.706072038</v>
      </c>
      <c r="H40" s="133">
        <f t="shared" si="9"/>
        <v>0.2706072038</v>
      </c>
      <c r="I40" s="133">
        <f t="shared" si="10"/>
        <v>2</v>
      </c>
    </row>
    <row r="41" ht="15.75" customHeight="1">
      <c r="A41" s="30" t="s">
        <v>1145</v>
      </c>
      <c r="B41" s="106">
        <f t="shared" si="3"/>
        <v>0.2919611423</v>
      </c>
      <c r="C41" s="106">
        <f t="shared" si="4"/>
        <v>0.1513724392</v>
      </c>
      <c r="D41" s="87">
        <f t="shared" si="5"/>
        <v>0.2093889095</v>
      </c>
      <c r="E41" s="87">
        <f t="shared" si="6"/>
        <v>0.7340618796</v>
      </c>
      <c r="F41" s="87">
        <f t="shared" si="7"/>
        <v>0.05654921087</v>
      </c>
      <c r="G41" s="133">
        <f t="shared" si="8"/>
        <v>3.647637135</v>
      </c>
      <c r="H41" s="133">
        <f t="shared" si="9"/>
        <v>0.2647637135</v>
      </c>
      <c r="I41" s="133">
        <f t="shared" si="10"/>
        <v>2</v>
      </c>
    </row>
    <row r="42" ht="15.75" customHeight="1">
      <c r="A42" s="73" t="s">
        <v>1156</v>
      </c>
      <c r="B42" s="34">
        <f t="shared" ref="B42:C42" si="11">SUM(B38:B41)</f>
        <v>1</v>
      </c>
      <c r="C42" s="34">
        <f t="shared" si="11"/>
        <v>1</v>
      </c>
      <c r="D42" s="34">
        <f t="shared" ref="D42:I42" si="12">SUMPRODUCT($C$38:$C$41,D38:D41)</f>
        <v>0.2170204971</v>
      </c>
      <c r="E42" s="34">
        <f t="shared" si="12"/>
        <v>0.6771542349</v>
      </c>
      <c r="F42" s="34">
        <f t="shared" si="12"/>
        <v>0.105825268</v>
      </c>
      <c r="G42" s="40">
        <f t="shared" si="12"/>
        <v>3.628306339</v>
      </c>
      <c r="H42" s="40">
        <f t="shared" si="12"/>
        <v>0.2628306339</v>
      </c>
      <c r="I42" s="40">
        <f t="shared" si="12"/>
        <v>2</v>
      </c>
    </row>
    <row r="43" ht="15.75" customHeight="1"/>
    <row r="44" ht="15.75" customHeight="1">
      <c r="A44" s="242" t="s">
        <v>1157</v>
      </c>
      <c r="B44" s="3"/>
      <c r="C44" s="3"/>
      <c r="D44" s="3"/>
      <c r="E44" s="3"/>
      <c r="F44" s="3"/>
      <c r="G44" s="3"/>
      <c r="H44" s="3"/>
      <c r="I44" s="3"/>
      <c r="J44" s="130"/>
    </row>
    <row r="45" ht="51.75" customHeight="1">
      <c r="A45" s="243" t="s">
        <v>1158</v>
      </c>
      <c r="B45" s="243" t="s">
        <v>1159</v>
      </c>
      <c r="C45" s="243" t="s">
        <v>1160</v>
      </c>
      <c r="D45" s="243" t="s">
        <v>1161</v>
      </c>
      <c r="E45" s="243" t="s">
        <v>1162</v>
      </c>
      <c r="F45" s="243" t="s">
        <v>1163</v>
      </c>
      <c r="G45" s="243" t="s">
        <v>1164</v>
      </c>
      <c r="H45" s="243" t="s">
        <v>1165</v>
      </c>
      <c r="I45" s="243" t="s">
        <v>1166</v>
      </c>
      <c r="J45" s="243" t="s">
        <v>1167</v>
      </c>
    </row>
    <row r="46" ht="15.75" customHeight="1">
      <c r="A46" s="30" t="s">
        <v>1168</v>
      </c>
      <c r="B46" s="31">
        <v>1.0</v>
      </c>
      <c r="C46" s="31">
        <v>0.0</v>
      </c>
      <c r="D46" s="246">
        <f t="shared" ref="D46:D50" si="13">C46*24</f>
        <v>0</v>
      </c>
      <c r="E46" s="46">
        <f t="shared" ref="E46:E50" si="14">C46+$B$7</f>
        <v>2</v>
      </c>
      <c r="F46" s="246">
        <f t="shared" ref="F46:F50" si="15">E46*24</f>
        <v>48</v>
      </c>
      <c r="G46" s="40">
        <f t="shared" ref="G46:G50" si="16">(1-$B$6)*C46+$B$6*E46</f>
        <v>0.5</v>
      </c>
      <c r="H46" s="32">
        <v>0.0</v>
      </c>
      <c r="I46" s="133" t="s">
        <v>58</v>
      </c>
      <c r="J46" s="22" t="s">
        <v>1169</v>
      </c>
    </row>
    <row r="47" ht="15.75" customHeight="1">
      <c r="A47" s="30" t="s">
        <v>1170</v>
      </c>
      <c r="B47" s="31">
        <v>25.0</v>
      </c>
      <c r="C47" s="31">
        <v>1.0</v>
      </c>
      <c r="D47" s="246">
        <f t="shared" si="13"/>
        <v>24</v>
      </c>
      <c r="E47" s="46">
        <f t="shared" si="14"/>
        <v>3</v>
      </c>
      <c r="F47" s="246">
        <f t="shared" si="15"/>
        <v>72</v>
      </c>
      <c r="G47" s="40">
        <f t="shared" si="16"/>
        <v>1.5</v>
      </c>
      <c r="H47" s="32">
        <v>0.0</v>
      </c>
      <c r="I47" s="133">
        <f t="shared" ref="I47:I50" si="17">2*($B$13+$B$14*B47)/B47</f>
        <v>1.8</v>
      </c>
      <c r="J47" s="22" t="s">
        <v>1171</v>
      </c>
    </row>
    <row r="48" ht="15.75" customHeight="1">
      <c r="A48" s="30" t="s">
        <v>1172</v>
      </c>
      <c r="B48" s="31">
        <v>3.0</v>
      </c>
      <c r="C48" s="31">
        <v>1.0</v>
      </c>
      <c r="D48" s="246">
        <f t="shared" si="13"/>
        <v>24</v>
      </c>
      <c r="E48" s="46">
        <f t="shared" si="14"/>
        <v>3</v>
      </c>
      <c r="F48" s="246">
        <f t="shared" si="15"/>
        <v>72</v>
      </c>
      <c r="G48" s="40">
        <f t="shared" si="16"/>
        <v>1.5</v>
      </c>
      <c r="H48" s="32">
        <v>1.0</v>
      </c>
      <c r="I48" s="133">
        <f t="shared" si="17"/>
        <v>7.666666667</v>
      </c>
      <c r="J48" s="22" t="s">
        <v>1173</v>
      </c>
    </row>
    <row r="49" ht="15.75" customHeight="1">
      <c r="A49" s="30" t="s">
        <v>1174</v>
      </c>
      <c r="B49" s="31">
        <v>12.0</v>
      </c>
      <c r="C49" s="31">
        <v>2.0</v>
      </c>
      <c r="D49" s="246">
        <f t="shared" si="13"/>
        <v>48</v>
      </c>
      <c r="E49" s="46">
        <f t="shared" si="14"/>
        <v>4</v>
      </c>
      <c r="F49" s="246">
        <f t="shared" si="15"/>
        <v>96</v>
      </c>
      <c r="G49" s="40">
        <f t="shared" si="16"/>
        <v>2.5</v>
      </c>
      <c r="H49" s="32">
        <v>1.0</v>
      </c>
      <c r="I49" s="133">
        <f t="shared" si="17"/>
        <v>2.666666667</v>
      </c>
      <c r="J49" s="22" t="s">
        <v>1175</v>
      </c>
    </row>
    <row r="50" ht="15.75" customHeight="1">
      <c r="A50" s="30" t="s">
        <v>1176</v>
      </c>
      <c r="B50" s="31">
        <v>40.0</v>
      </c>
      <c r="C50" s="31">
        <v>3.0</v>
      </c>
      <c r="D50" s="246">
        <f t="shared" si="13"/>
        <v>72</v>
      </c>
      <c r="E50" s="46">
        <f t="shared" si="14"/>
        <v>5</v>
      </c>
      <c r="F50" s="246">
        <f t="shared" si="15"/>
        <v>120</v>
      </c>
      <c r="G50" s="40">
        <f t="shared" si="16"/>
        <v>3.5</v>
      </c>
      <c r="H50" s="32">
        <v>1.0</v>
      </c>
      <c r="I50" s="133">
        <f t="shared" si="17"/>
        <v>1.5</v>
      </c>
      <c r="J50" s="22" t="s">
        <v>1177</v>
      </c>
    </row>
    <row r="51" ht="25.5" customHeight="1">
      <c r="A51" s="120" t="s">
        <v>1178</v>
      </c>
    </row>
    <row r="52" ht="15.75" customHeight="1"/>
    <row r="53" ht="15.75" customHeight="1">
      <c r="A53" s="242" t="s">
        <v>1179</v>
      </c>
      <c r="B53" s="3"/>
      <c r="C53" s="3"/>
      <c r="D53" s="3"/>
      <c r="E53" s="3"/>
      <c r="F53" s="3"/>
      <c r="G53" s="3"/>
      <c r="H53" s="3"/>
      <c r="I53" s="3"/>
      <c r="J53" s="3"/>
      <c r="K53" s="130"/>
    </row>
    <row r="54" ht="39.75" customHeight="1">
      <c r="A54" s="243" t="s">
        <v>1180</v>
      </c>
      <c r="B54" s="243" t="s">
        <v>1181</v>
      </c>
      <c r="C54" s="243" t="s">
        <v>1182</v>
      </c>
      <c r="D54" s="243" t="s">
        <v>1183</v>
      </c>
      <c r="E54" s="243" t="s">
        <v>1182</v>
      </c>
      <c r="F54" s="243" t="s">
        <v>1184</v>
      </c>
      <c r="G54" s="243" t="s">
        <v>1185</v>
      </c>
      <c r="H54" s="243" t="s">
        <v>1186</v>
      </c>
      <c r="I54" s="243" t="s">
        <v>1187</v>
      </c>
      <c r="J54" s="243" t="s">
        <v>1188</v>
      </c>
      <c r="K54" s="243" t="s">
        <v>1189</v>
      </c>
    </row>
    <row r="55" ht="15.75" customHeight="1">
      <c r="A55" s="73" t="s">
        <v>1190</v>
      </c>
      <c r="B55" s="118" t="s">
        <v>1142</v>
      </c>
      <c r="C55" s="118" t="s">
        <v>1191</v>
      </c>
      <c r="D55" s="118" t="s">
        <v>1191</v>
      </c>
      <c r="E55" s="118" t="s">
        <v>1142</v>
      </c>
      <c r="F55" s="34">
        <f>C38+C39</f>
        <v>0.5379786179</v>
      </c>
      <c r="G55" s="31">
        <v>40.0</v>
      </c>
      <c r="H55" s="133">
        <f>C38*G38+C39*G39</f>
        <v>1.924867248</v>
      </c>
      <c r="I55" s="132">
        <f>C38*H38+C39*H39</f>
        <v>0.138688863</v>
      </c>
      <c r="J55" s="133">
        <f>C38*I38+C39*I39</f>
        <v>1.075957236</v>
      </c>
      <c r="K55" s="34">
        <f>B38+B39</f>
        <v>0.3744074364</v>
      </c>
    </row>
    <row r="56" ht="15.75" customHeight="1">
      <c r="A56" s="73" t="s">
        <v>1192</v>
      </c>
      <c r="B56" s="118" t="s">
        <v>1193</v>
      </c>
      <c r="C56" s="118" t="s">
        <v>1194</v>
      </c>
      <c r="D56" s="118" t="s">
        <v>1194</v>
      </c>
      <c r="E56" s="118" t="s">
        <v>1193</v>
      </c>
      <c r="F56" s="34">
        <f>C40+C41</f>
        <v>0.4620213821</v>
      </c>
      <c r="G56" s="31">
        <v>100.0</v>
      </c>
      <c r="H56" s="133">
        <f>C40*G40+C41*G41</f>
        <v>1.703439091</v>
      </c>
      <c r="I56" s="132">
        <f>C40*H40+C41*H41</f>
        <v>0.1241417709</v>
      </c>
      <c r="J56" s="133">
        <f>C40*I40+C41*I41</f>
        <v>0.9240427643</v>
      </c>
      <c r="K56" s="34">
        <f>B40+B41</f>
        <v>0.6255925636</v>
      </c>
    </row>
    <row r="57" ht="25.5" customHeight="1">
      <c r="A57" s="120" t="s">
        <v>1195</v>
      </c>
    </row>
    <row r="58" ht="15.75" customHeight="1"/>
    <row r="59" ht="15.75" customHeight="1">
      <c r="A59" s="129" t="s">
        <v>1196</v>
      </c>
      <c r="B59" s="3"/>
      <c r="C59" s="3"/>
      <c r="D59" s="3"/>
      <c r="E59" s="3"/>
      <c r="F59" s="3"/>
      <c r="G59" s="3"/>
      <c r="H59" s="3"/>
      <c r="I59" s="3"/>
      <c r="J59" s="3"/>
      <c r="K59" s="3"/>
      <c r="L59" s="3"/>
      <c r="M59" s="3"/>
      <c r="N59" s="3"/>
      <c r="O59" s="130"/>
    </row>
    <row r="60" ht="27.75" customHeight="1">
      <c r="A60" s="214" t="s">
        <v>1197</v>
      </c>
    </row>
    <row r="61" ht="27.75" customHeight="1">
      <c r="A61" s="214" t="s">
        <v>1198</v>
      </c>
    </row>
    <row r="62" ht="27.75" customHeight="1">
      <c r="A62" s="214" t="s">
        <v>1199</v>
      </c>
    </row>
    <row r="63" ht="27.75" customHeight="1">
      <c r="A63" s="214" t="s">
        <v>1200</v>
      </c>
    </row>
    <row r="64" ht="27.75" customHeight="1">
      <c r="A64" s="214" t="s">
        <v>1201</v>
      </c>
    </row>
    <row r="65" ht="15.75" customHeight="1"/>
    <row r="66" ht="15.75" customHeight="1">
      <c r="A66" s="45" t="s">
        <v>1202</v>
      </c>
      <c r="B66" s="39">
        <v>2026.0</v>
      </c>
      <c r="C66" s="39">
        <v>2027.0</v>
      </c>
      <c r="D66" s="39">
        <v>2028.0</v>
      </c>
      <c r="E66" s="39">
        <v>2029.0</v>
      </c>
      <c r="F66" s="39">
        <v>2030.0</v>
      </c>
      <c r="G66" s="39">
        <v>2031.0</v>
      </c>
      <c r="H66" s="39">
        <v>2032.0</v>
      </c>
      <c r="I66" s="39">
        <v>2033.0</v>
      </c>
      <c r="J66" s="39">
        <v>2034.0</v>
      </c>
      <c r="K66" s="39">
        <v>2035.0</v>
      </c>
    </row>
    <row r="67" ht="15.75" customHeight="1">
      <c r="A67" s="30" t="s">
        <v>1203</v>
      </c>
      <c r="B67" s="64">
        <f>datos_base!B55</f>
        <v>1190.498975</v>
      </c>
      <c r="C67" s="64">
        <f>datos_base!C55</f>
        <v>5810.744348</v>
      </c>
      <c r="D67" s="64">
        <f>datos_base!D55</f>
        <v>10458.72352</v>
      </c>
      <c r="E67" s="64">
        <f>datos_base!E55</f>
        <v>19190.4189</v>
      </c>
      <c r="F67" s="64">
        <f>datos_base!F55</f>
        <v>28853.42209</v>
      </c>
      <c r="G67" s="64">
        <f>datos_base!G55</f>
        <v>40199.28476</v>
      </c>
      <c r="H67" s="64">
        <f>datos_base!H55</f>
        <v>50540.56763</v>
      </c>
      <c r="I67" s="64">
        <f>datos_base!I55</f>
        <v>58687.4565</v>
      </c>
      <c r="J67" s="64">
        <f>datos_base!J55</f>
        <v>62894.43404</v>
      </c>
      <c r="K67" s="64">
        <f>datos_base!K55</f>
        <v>67205.84131</v>
      </c>
    </row>
    <row r="68" ht="15.75" customHeight="1">
      <c r="A68" s="30" t="s">
        <v>1204</v>
      </c>
      <c r="B68" s="247">
        <f>B67*MAX('Parametros Recargas'!$D$26:$O$26)/$B$5</f>
        <v>7.142993848</v>
      </c>
      <c r="C68" s="247">
        <f>C67*MAX('Parametros Recargas'!$D$26:$O$26)/$B$5</f>
        <v>34.86446609</v>
      </c>
      <c r="D68" s="247">
        <f>D67*MAX('Parametros Recargas'!$D$26:$O$26)/$B$5</f>
        <v>62.75234112</v>
      </c>
      <c r="E68" s="247">
        <f>E67*MAX('Parametros Recargas'!$D$26:$O$26)/$B$5</f>
        <v>115.1425134</v>
      </c>
      <c r="F68" s="247">
        <f>F67*MAX('Parametros Recargas'!$D$26:$O$26)/$B$5</f>
        <v>173.1205325</v>
      </c>
      <c r="G68" s="247">
        <f>G67*MAX('Parametros Recargas'!$D$26:$O$26)/$B$5</f>
        <v>241.1957086</v>
      </c>
      <c r="H68" s="247">
        <f>H67*MAX('Parametros Recargas'!$D$26:$O$26)/$B$5</f>
        <v>303.2434058</v>
      </c>
      <c r="I68" s="247">
        <f>I67*MAX('Parametros Recargas'!$D$26:$O$26)/$B$5</f>
        <v>352.124739</v>
      </c>
      <c r="J68" s="247">
        <f>J67*MAX('Parametros Recargas'!$D$26:$O$26)/$B$5</f>
        <v>377.3666042</v>
      </c>
      <c r="K68" s="247">
        <f>K67*MAX('Parametros Recargas'!$D$26:$O$26)/$B$5</f>
        <v>403.2350479</v>
      </c>
    </row>
    <row r="69" ht="15.75" customHeight="1">
      <c r="A69" s="30" t="s">
        <v>1205</v>
      </c>
      <c r="B69" s="64">
        <f>datos_base!B56+datos_base!B57+datos_base!B58+datos_base!B62+datos_base!B68+datos_base!B59+datos_base!B60+datos_base!B63+datos_base!B64+datos_base!B65+datos_base!B67</f>
        <v>1119.623712</v>
      </c>
      <c r="C69" s="64">
        <f>datos_base!C56+datos_base!C57+datos_base!C58+datos_base!C62+datos_base!C68+datos_base!C59+datos_base!C60+datos_base!C63+datos_base!C64+datos_base!C65+datos_base!C67</f>
        <v>4541.495082</v>
      </c>
      <c r="D69" s="64">
        <f>datos_base!D56+datos_base!D57+datos_base!D58+datos_base!D62+datos_base!D68+datos_base!D59+datos_base!D60+datos_base!D63+datos_base!D64+datos_base!D65+datos_base!D67</f>
        <v>10280.67938</v>
      </c>
      <c r="E69" s="64">
        <f>datos_base!E56+datos_base!E57+datos_base!E58+datos_base!E62+datos_base!E68+datos_base!E59+datos_base!E60+datos_base!E63+datos_base!E64+datos_base!E65+datos_base!E67</f>
        <v>19303.06606</v>
      </c>
      <c r="F69" s="64">
        <f>datos_base!F56+datos_base!F57+datos_base!F58+datos_base!F62+datos_base!F68+datos_base!F59+datos_base!F60+datos_base!F63+datos_base!F64+datos_base!F65+datos_base!F67</f>
        <v>27824.19001</v>
      </c>
      <c r="G69" s="64">
        <f>datos_base!G56+datos_base!G57+datos_base!G58+datos_base!G62+datos_base!G68+datos_base!G59+datos_base!G60+datos_base!G63+datos_base!G64+datos_base!G65+datos_base!G67</f>
        <v>36976.34348</v>
      </c>
      <c r="H69" s="64">
        <f>datos_base!H56+datos_base!H57+datos_base!H58+datos_base!H62+datos_base!H68+datos_base!H59+datos_base!H60+datos_base!H63+datos_base!H64+datos_base!H65+datos_base!H67</f>
        <v>45321.82004</v>
      </c>
      <c r="I69" s="64">
        <f>datos_base!I56+datos_base!I57+datos_base!I58+datos_base!I62+datos_base!I68+datos_base!I59+datos_base!I60+datos_base!I63+datos_base!I64+datos_base!I65+datos_base!I67</f>
        <v>50309.79504</v>
      </c>
      <c r="J69" s="64">
        <f>datos_base!J56+datos_base!J57+datos_base!J58+datos_base!J62+datos_base!J68+datos_base!J59+datos_base!J60+datos_base!J63+datos_base!J64+datos_base!J65+datos_base!J67</f>
        <v>54331.53819</v>
      </c>
      <c r="K69" s="64">
        <f>datos_base!K56+datos_base!K57+datos_base!K58+datos_base!K62+datos_base!K68+datos_base!K59+datos_base!K60+datos_base!K63+datos_base!K64+datos_base!K65+datos_base!K67</f>
        <v>58419.36312</v>
      </c>
    </row>
    <row r="70" ht="15.75" customHeight="1">
      <c r="A70" s="30" t="s">
        <v>1204</v>
      </c>
      <c r="B70" s="247">
        <f>B69*MAX('Parametros Recargas'!$D$27:$O$27)/$B$5</f>
        <v>6.157930417</v>
      </c>
      <c r="C70" s="247">
        <f>C69*MAX('Parametros Recargas'!$D$27:$O$27)/$B$5</f>
        <v>24.97822295</v>
      </c>
      <c r="D70" s="247">
        <f>D69*MAX('Parametros Recargas'!$D$27:$O$27)/$B$5</f>
        <v>56.5437366</v>
      </c>
      <c r="E70" s="247">
        <f>E69*MAX('Parametros Recargas'!$D$27:$O$27)/$B$5</f>
        <v>106.1668633</v>
      </c>
      <c r="F70" s="247">
        <f>F69*MAX('Parametros Recargas'!$D$27:$O$27)/$B$5</f>
        <v>153.0330451</v>
      </c>
      <c r="G70" s="247">
        <f>G69*MAX('Parametros Recargas'!$D$27:$O$27)/$B$5</f>
        <v>203.3698891</v>
      </c>
      <c r="H70" s="247">
        <f>H69*MAX('Parametros Recargas'!$D$27:$O$27)/$B$5</f>
        <v>249.2700102</v>
      </c>
      <c r="I70" s="247">
        <f>I69*MAX('Parametros Recargas'!$D$27:$O$27)/$B$5</f>
        <v>276.7038727</v>
      </c>
      <c r="J70" s="247">
        <f>J69*MAX('Parametros Recargas'!$D$27:$O$27)/$B$5</f>
        <v>298.8234601</v>
      </c>
      <c r="K70" s="247">
        <f>K69*MAX('Parametros Recargas'!$D$27:$O$27)/$B$5</f>
        <v>321.3064971</v>
      </c>
    </row>
    <row r="71" ht="15.75" customHeight="1">
      <c r="A71" s="30" t="s">
        <v>1206</v>
      </c>
      <c r="B71" s="64">
        <f>datos_base!B69+datos_base!B70+datos_base!B71+datos_base!B72+datos_base!B61</f>
        <v>28.07619095</v>
      </c>
      <c r="C71" s="64">
        <f>datos_base!C69+datos_base!C70+datos_base!C71+datos_base!C72+datos_base!C61</f>
        <v>146.544021</v>
      </c>
      <c r="D71" s="64">
        <f>datos_base!D69+datos_base!D70+datos_base!D71+datos_base!D72+datos_base!D61</f>
        <v>312.6044187</v>
      </c>
      <c r="E71" s="64">
        <f>datos_base!E69+datos_base!E70+datos_base!E71+datos_base!E72+datos_base!E61</f>
        <v>557.0727155</v>
      </c>
      <c r="F71" s="64">
        <f>datos_base!F69+datos_base!F70+datos_base!F71+datos_base!F72+datos_base!F61</f>
        <v>799.8290494</v>
      </c>
      <c r="G71" s="64">
        <f>datos_base!G69+datos_base!G70+datos_base!G71+datos_base!G72+datos_base!G61</f>
        <v>1056.623479</v>
      </c>
      <c r="H71" s="64">
        <f>datos_base!H69+datos_base!H70+datos_base!H71+datos_base!H72+datos_base!H61</f>
        <v>1300.749383</v>
      </c>
      <c r="I71" s="64">
        <f>datos_base!I69+datos_base!I70+datos_base!I71+datos_base!I72+datos_base!I61</f>
        <v>1462.70107</v>
      </c>
      <c r="J71" s="64">
        <f>datos_base!J69+datos_base!J70+datos_base!J71+datos_base!J72+datos_base!J61</f>
        <v>1586.647181</v>
      </c>
      <c r="K71" s="64">
        <f>datos_base!K69+datos_base!K70+datos_base!K71+datos_base!K72+datos_base!K61</f>
        <v>1713.674825</v>
      </c>
    </row>
    <row r="72" ht="15.75" customHeight="1">
      <c r="A72" s="30" t="s">
        <v>1204</v>
      </c>
      <c r="B72" s="247">
        <f>B71*MAX('Parametros Recargas'!$D$28:$O$28)/$B$5</f>
        <v>0.1403809547</v>
      </c>
      <c r="C72" s="247">
        <f>C71*MAX('Parametros Recargas'!$D$28:$O$28)/$B$5</f>
        <v>0.7327201052</v>
      </c>
      <c r="D72" s="247">
        <f>D71*MAX('Parametros Recargas'!$D$28:$O$28)/$B$5</f>
        <v>1.563022094</v>
      </c>
      <c r="E72" s="247">
        <f>E71*MAX('Parametros Recargas'!$D$28:$O$28)/$B$5</f>
        <v>2.785363577</v>
      </c>
      <c r="F72" s="247">
        <f>F71*MAX('Parametros Recargas'!$D$28:$O$28)/$B$5</f>
        <v>3.999145247</v>
      </c>
      <c r="G72" s="247">
        <f>G71*MAX('Parametros Recargas'!$D$28:$O$28)/$B$5</f>
        <v>5.283117394</v>
      </c>
      <c r="H72" s="247">
        <f>H71*MAX('Parametros Recargas'!$D$28:$O$28)/$B$5</f>
        <v>6.503746915</v>
      </c>
      <c r="I72" s="247">
        <f>I71*MAX('Parametros Recargas'!$D$28:$O$28)/$B$5</f>
        <v>7.313505349</v>
      </c>
      <c r="J72" s="247">
        <f>J71*MAX('Parametros Recargas'!$D$28:$O$28)/$B$5</f>
        <v>7.933235905</v>
      </c>
      <c r="K72" s="247">
        <f>K71*MAX('Parametros Recargas'!$D$28:$O$28)/$B$5</f>
        <v>8.568374127</v>
      </c>
    </row>
    <row r="73" ht="15.75" customHeight="1">
      <c r="A73" s="30" t="s">
        <v>1207</v>
      </c>
      <c r="B73" s="247">
        <f t="shared" ref="B73:K73" si="18">B68*$B$10</f>
        <v>2.142898154</v>
      </c>
      <c r="C73" s="247">
        <f t="shared" si="18"/>
        <v>10.45933983</v>
      </c>
      <c r="D73" s="247">
        <f t="shared" si="18"/>
        <v>18.82570234</v>
      </c>
      <c r="E73" s="247">
        <f t="shared" si="18"/>
        <v>34.54275403</v>
      </c>
      <c r="F73" s="247">
        <f t="shared" si="18"/>
        <v>51.93615975</v>
      </c>
      <c r="G73" s="247">
        <f t="shared" si="18"/>
        <v>72.35871257</v>
      </c>
      <c r="H73" s="247">
        <f t="shared" si="18"/>
        <v>90.97302173</v>
      </c>
      <c r="I73" s="247">
        <f t="shared" si="18"/>
        <v>105.6374217</v>
      </c>
      <c r="J73" s="247">
        <f t="shared" si="18"/>
        <v>113.2099813</v>
      </c>
      <c r="K73" s="247">
        <f t="shared" si="18"/>
        <v>120.9705144</v>
      </c>
    </row>
    <row r="74" ht="15.75" customHeight="1">
      <c r="A74" s="30" t="s">
        <v>1208</v>
      </c>
      <c r="B74" s="247">
        <f t="shared" ref="B74:K74" si="19">B68*$B$9</f>
        <v>5.000095694</v>
      </c>
      <c r="C74" s="247">
        <f t="shared" si="19"/>
        <v>24.40512626</v>
      </c>
      <c r="D74" s="247">
        <f t="shared" si="19"/>
        <v>43.92663878</v>
      </c>
      <c r="E74" s="247">
        <f t="shared" si="19"/>
        <v>80.5997594</v>
      </c>
      <c r="F74" s="247">
        <f t="shared" si="19"/>
        <v>121.1843728</v>
      </c>
      <c r="G74" s="247">
        <f t="shared" si="19"/>
        <v>168.836996</v>
      </c>
      <c r="H74" s="247">
        <f t="shared" si="19"/>
        <v>212.270384</v>
      </c>
      <c r="I74" s="247">
        <f t="shared" si="19"/>
        <v>246.4873173</v>
      </c>
      <c r="J74" s="247">
        <f t="shared" si="19"/>
        <v>264.156623</v>
      </c>
      <c r="K74" s="247">
        <f t="shared" si="19"/>
        <v>282.2645335</v>
      </c>
    </row>
    <row r="75" ht="15.75" customHeight="1">
      <c r="A75" s="30" t="s">
        <v>1209</v>
      </c>
      <c r="B75" s="247">
        <f t="shared" ref="B75:K75" si="20">B70*$D$42</f>
        <v>1.33639712</v>
      </c>
      <c r="C75" s="247">
        <f t="shared" si="20"/>
        <v>5.42078636</v>
      </c>
      <c r="D75" s="247">
        <f t="shared" si="20"/>
        <v>12.27114982</v>
      </c>
      <c r="E75" s="247">
        <f t="shared" si="20"/>
        <v>23.04038545</v>
      </c>
      <c r="F75" s="247">
        <f t="shared" si="20"/>
        <v>33.21130751</v>
      </c>
      <c r="G75" s="247">
        <f t="shared" si="20"/>
        <v>44.13543442</v>
      </c>
      <c r="H75" s="247">
        <f t="shared" si="20"/>
        <v>54.09670152</v>
      </c>
      <c r="I75" s="247">
        <f t="shared" si="20"/>
        <v>60.05041199</v>
      </c>
      <c r="J75" s="247">
        <f t="shared" si="20"/>
        <v>64.85081583</v>
      </c>
      <c r="K75" s="247">
        <f t="shared" si="20"/>
        <v>69.73009571</v>
      </c>
    </row>
    <row r="76" ht="15.75" customHeight="1">
      <c r="A76" s="30" t="s">
        <v>1210</v>
      </c>
      <c r="B76" s="247">
        <f t="shared" ref="B76:K76" si="21">B70*$E$42</f>
        <v>4.16986866</v>
      </c>
      <c r="C76" s="247">
        <f t="shared" si="21"/>
        <v>16.91410945</v>
      </c>
      <c r="D76" s="247">
        <f t="shared" si="21"/>
        <v>38.2888307</v>
      </c>
      <c r="E76" s="247">
        <f t="shared" si="21"/>
        <v>71.89134111</v>
      </c>
      <c r="F76" s="247">
        <f t="shared" si="21"/>
        <v>103.6269746</v>
      </c>
      <c r="G76" s="247">
        <f t="shared" si="21"/>
        <v>137.7127817</v>
      </c>
      <c r="H76" s="247">
        <f t="shared" si="21"/>
        <v>168.7942431</v>
      </c>
      <c r="I76" s="247">
        <f t="shared" si="21"/>
        <v>187.3711992</v>
      </c>
      <c r="J76" s="247">
        <f t="shared" si="21"/>
        <v>202.3495715</v>
      </c>
      <c r="K76" s="247">
        <f t="shared" si="21"/>
        <v>217.5740552</v>
      </c>
    </row>
    <row r="77" ht="15.75" customHeight="1">
      <c r="A77" s="30" t="s">
        <v>1211</v>
      </c>
      <c r="B77" s="247">
        <f t="shared" ref="B77:K77" si="22">B70*$F$42</f>
        <v>0.6516646369</v>
      </c>
      <c r="C77" s="247">
        <f t="shared" si="22"/>
        <v>2.643327139</v>
      </c>
      <c r="D77" s="247">
        <f t="shared" si="22"/>
        <v>5.983756082</v>
      </c>
      <c r="E77" s="247">
        <f t="shared" si="22"/>
        <v>11.23513677</v>
      </c>
      <c r="F77" s="247">
        <f t="shared" si="22"/>
        <v>16.19476301</v>
      </c>
      <c r="G77" s="247">
        <f t="shared" si="22"/>
        <v>21.52167303</v>
      </c>
      <c r="H77" s="247">
        <f t="shared" si="22"/>
        <v>26.37906564</v>
      </c>
      <c r="I77" s="247">
        <f t="shared" si="22"/>
        <v>29.28226149</v>
      </c>
      <c r="J77" s="247">
        <f t="shared" si="22"/>
        <v>31.62307275</v>
      </c>
      <c r="K77" s="247">
        <f t="shared" si="22"/>
        <v>34.00234618</v>
      </c>
    </row>
    <row r="78" ht="15.75" customHeight="1">
      <c r="A78" s="30" t="s">
        <v>1212</v>
      </c>
      <c r="B78" s="247">
        <f t="shared" ref="B78:K78" si="23">B72</f>
        <v>0.1403809547</v>
      </c>
      <c r="C78" s="247">
        <f t="shared" si="23"/>
        <v>0.7327201052</v>
      </c>
      <c r="D78" s="247">
        <f t="shared" si="23"/>
        <v>1.563022094</v>
      </c>
      <c r="E78" s="247">
        <f t="shared" si="23"/>
        <v>2.785363577</v>
      </c>
      <c r="F78" s="247">
        <f t="shared" si="23"/>
        <v>3.999145247</v>
      </c>
      <c r="G78" s="247">
        <f t="shared" si="23"/>
        <v>5.283117394</v>
      </c>
      <c r="H78" s="247">
        <f t="shared" si="23"/>
        <v>6.503746915</v>
      </c>
      <c r="I78" s="247">
        <f t="shared" si="23"/>
        <v>7.313505349</v>
      </c>
      <c r="J78" s="247">
        <f t="shared" si="23"/>
        <v>7.933235905</v>
      </c>
      <c r="K78" s="247">
        <f t="shared" si="23"/>
        <v>8.568374127</v>
      </c>
    </row>
    <row r="79" ht="15.75" customHeight="1"/>
    <row r="80" ht="15.75" customHeight="1">
      <c r="A80" s="45" t="s">
        <v>1213</v>
      </c>
      <c r="B80" s="39">
        <v>2026.0</v>
      </c>
      <c r="C80" s="39">
        <v>2027.0</v>
      </c>
      <c r="D80" s="39">
        <v>2028.0</v>
      </c>
      <c r="E80" s="39">
        <v>2029.0</v>
      </c>
      <c r="F80" s="39">
        <v>2030.0</v>
      </c>
      <c r="G80" s="39">
        <v>2031.0</v>
      </c>
      <c r="H80" s="39">
        <v>2032.0</v>
      </c>
      <c r="I80" s="39">
        <v>2033.0</v>
      </c>
      <c r="J80" s="39">
        <v>2034.0</v>
      </c>
      <c r="K80" s="39">
        <v>2035.0</v>
      </c>
    </row>
    <row r="81" ht="15.75" customHeight="1">
      <c r="A81" s="30" t="s">
        <v>1214</v>
      </c>
      <c r="B81" s="64">
        <f t="shared" ref="B81:K81" si="24">ROUNDUP(B75*$H$48*$G$48*(1+$B$8),0)</f>
        <v>3</v>
      </c>
      <c r="C81" s="64">
        <f t="shared" si="24"/>
        <v>10</v>
      </c>
      <c r="D81" s="64">
        <f t="shared" si="24"/>
        <v>23</v>
      </c>
      <c r="E81" s="64">
        <f t="shared" si="24"/>
        <v>42</v>
      </c>
      <c r="F81" s="64">
        <f t="shared" si="24"/>
        <v>60</v>
      </c>
      <c r="G81" s="64">
        <f t="shared" si="24"/>
        <v>80</v>
      </c>
      <c r="H81" s="64">
        <f t="shared" si="24"/>
        <v>98</v>
      </c>
      <c r="I81" s="64">
        <f t="shared" si="24"/>
        <v>109</v>
      </c>
      <c r="J81" s="64">
        <f t="shared" si="24"/>
        <v>117</v>
      </c>
      <c r="K81" s="64">
        <f t="shared" si="24"/>
        <v>126</v>
      </c>
    </row>
    <row r="82" ht="15.75" customHeight="1">
      <c r="A82" s="30" t="s">
        <v>1215</v>
      </c>
      <c r="B82" s="64">
        <f t="shared" ref="B82:K82" si="25">ROUNDUP(B76*$H$49*$G$49*(1+$B$8),0)</f>
        <v>13</v>
      </c>
      <c r="C82" s="64">
        <f t="shared" si="25"/>
        <v>51</v>
      </c>
      <c r="D82" s="64">
        <f t="shared" si="25"/>
        <v>115</v>
      </c>
      <c r="E82" s="64">
        <f t="shared" si="25"/>
        <v>216</v>
      </c>
      <c r="F82" s="64">
        <f t="shared" si="25"/>
        <v>311</v>
      </c>
      <c r="G82" s="64">
        <f t="shared" si="25"/>
        <v>414</v>
      </c>
      <c r="H82" s="64">
        <f t="shared" si="25"/>
        <v>507</v>
      </c>
      <c r="I82" s="64">
        <f t="shared" si="25"/>
        <v>563</v>
      </c>
      <c r="J82" s="64">
        <f t="shared" si="25"/>
        <v>608</v>
      </c>
      <c r="K82" s="64">
        <f t="shared" si="25"/>
        <v>653</v>
      </c>
    </row>
    <row r="83" ht="15.75" customHeight="1">
      <c r="A83" s="30" t="s">
        <v>1216</v>
      </c>
      <c r="B83" s="64">
        <f t="shared" ref="B83:K83" si="26">ROUNDUP(B77*$H$50*$G$50*(1+$B$8),0)</f>
        <v>3</v>
      </c>
      <c r="C83" s="64">
        <f t="shared" si="26"/>
        <v>12</v>
      </c>
      <c r="D83" s="64">
        <f t="shared" si="26"/>
        <v>26</v>
      </c>
      <c r="E83" s="64">
        <f t="shared" si="26"/>
        <v>48</v>
      </c>
      <c r="F83" s="64">
        <f t="shared" si="26"/>
        <v>69</v>
      </c>
      <c r="G83" s="64">
        <f t="shared" si="26"/>
        <v>91</v>
      </c>
      <c r="H83" s="64">
        <f t="shared" si="26"/>
        <v>111</v>
      </c>
      <c r="I83" s="64">
        <f t="shared" si="26"/>
        <v>123</v>
      </c>
      <c r="J83" s="64">
        <f t="shared" si="26"/>
        <v>133</v>
      </c>
      <c r="K83" s="64">
        <f t="shared" si="26"/>
        <v>143</v>
      </c>
    </row>
    <row r="84" ht="15.75" customHeight="1">
      <c r="A84" s="30" t="s">
        <v>1217</v>
      </c>
      <c r="B84" s="64">
        <f t="shared" ref="B84:K84" si="27">ROUNDUP(B78*$H$50*$G$50*(1+$B$8),0)</f>
        <v>1</v>
      </c>
      <c r="C84" s="64">
        <f t="shared" si="27"/>
        <v>4</v>
      </c>
      <c r="D84" s="64">
        <f t="shared" si="27"/>
        <v>7</v>
      </c>
      <c r="E84" s="64">
        <f t="shared" si="27"/>
        <v>12</v>
      </c>
      <c r="F84" s="64">
        <f t="shared" si="27"/>
        <v>17</v>
      </c>
      <c r="G84" s="64">
        <f t="shared" si="27"/>
        <v>23</v>
      </c>
      <c r="H84" s="64">
        <f t="shared" si="27"/>
        <v>28</v>
      </c>
      <c r="I84" s="64">
        <f t="shared" si="27"/>
        <v>31</v>
      </c>
      <c r="J84" s="64">
        <f t="shared" si="27"/>
        <v>34</v>
      </c>
      <c r="K84" s="64">
        <f t="shared" si="27"/>
        <v>36</v>
      </c>
    </row>
    <row r="85" ht="15.75" customHeight="1">
      <c r="A85" s="103" t="s">
        <v>1218</v>
      </c>
      <c r="B85" s="220">
        <f t="shared" ref="B85:K85" si="28">SUM(B81:B84)</f>
        <v>20</v>
      </c>
      <c r="C85" s="220">
        <f t="shared" si="28"/>
        <v>77</v>
      </c>
      <c r="D85" s="220">
        <f t="shared" si="28"/>
        <v>171</v>
      </c>
      <c r="E85" s="220">
        <f t="shared" si="28"/>
        <v>318</v>
      </c>
      <c r="F85" s="220">
        <f t="shared" si="28"/>
        <v>457</v>
      </c>
      <c r="G85" s="220">
        <f t="shared" si="28"/>
        <v>608</v>
      </c>
      <c r="H85" s="220">
        <f t="shared" si="28"/>
        <v>744</v>
      </c>
      <c r="I85" s="220">
        <f t="shared" si="28"/>
        <v>826</v>
      </c>
      <c r="J85" s="220">
        <f t="shared" si="28"/>
        <v>892</v>
      </c>
      <c r="K85" s="220">
        <f t="shared" si="28"/>
        <v>958</v>
      </c>
    </row>
    <row r="86" ht="15.75" customHeight="1">
      <c r="A86" s="30" t="s">
        <v>1219</v>
      </c>
      <c r="B86" s="64">
        <f t="shared" ref="B86:K86" si="29">(B68+B70+B72)*$B$5</f>
        <v>268.8261044</v>
      </c>
      <c r="C86" s="64">
        <f t="shared" si="29"/>
        <v>1211.508183</v>
      </c>
      <c r="D86" s="64">
        <f t="shared" si="29"/>
        <v>2417.181996</v>
      </c>
      <c r="E86" s="64">
        <f t="shared" si="29"/>
        <v>4481.894807</v>
      </c>
      <c r="F86" s="64">
        <f t="shared" si="29"/>
        <v>6603.054457</v>
      </c>
      <c r="G86" s="64">
        <f t="shared" si="29"/>
        <v>8996.974302</v>
      </c>
      <c r="H86" s="64">
        <f t="shared" si="29"/>
        <v>11180.34326</v>
      </c>
      <c r="I86" s="64">
        <f t="shared" si="29"/>
        <v>12722.84234</v>
      </c>
      <c r="J86" s="64">
        <f t="shared" si="29"/>
        <v>13682.466</v>
      </c>
      <c r="K86" s="64">
        <f t="shared" si="29"/>
        <v>14662.19838</v>
      </c>
    </row>
    <row r="87" ht="15.75" customHeight="1">
      <c r="A87" s="30" t="s">
        <v>1220</v>
      </c>
      <c r="B87" s="173">
        <f t="shared" ref="B87:K87" si="30">IFERROR(B85/B86,0)</f>
        <v>0.07439753682</v>
      </c>
      <c r="C87" s="173">
        <f t="shared" si="30"/>
        <v>0.06355714397</v>
      </c>
      <c r="D87" s="173">
        <f t="shared" si="30"/>
        <v>0.07074353535</v>
      </c>
      <c r="E87" s="173">
        <f t="shared" si="30"/>
        <v>0.0709521338</v>
      </c>
      <c r="F87" s="173">
        <f t="shared" si="30"/>
        <v>0.06921039392</v>
      </c>
      <c r="G87" s="173">
        <f t="shared" si="30"/>
        <v>0.06757827461</v>
      </c>
      <c r="H87" s="173">
        <f t="shared" si="30"/>
        <v>0.06654536295</v>
      </c>
      <c r="I87" s="173">
        <f t="shared" si="30"/>
        <v>0.06492259967</v>
      </c>
      <c r="J87" s="173">
        <f t="shared" si="30"/>
        <v>0.06519292646</v>
      </c>
      <c r="K87" s="173">
        <f t="shared" si="30"/>
        <v>0.06533808744</v>
      </c>
    </row>
    <row r="88" ht="15.75" customHeight="1">
      <c r="A88" s="30" t="s">
        <v>1221</v>
      </c>
      <c r="B88" s="64">
        <f>MAX(0,SUM(B81:B83)-(B75*$H$48*$G$48+B76*$H$49*$G$49+B77*$H$50*$G$50)*MIN('Parametros Recargas'!$D$27:$O$27)/MAX('Parametros Recargas'!$D$27:$O$27))</f>
        <v>9.639031372</v>
      </c>
      <c r="C88" s="64">
        <f>MAX(0,SUM(C81:C83)-(C75*$H$48*$G$48+C76*$H$49*$G$49+C77*$H$50*$G$50)*MIN('Parametros Recargas'!$D$27:$O$27)/MAX('Parametros Recargas'!$D$27:$O$27))</f>
        <v>35.02939208</v>
      </c>
      <c r="D88" s="64">
        <f>MAX(0,SUM(D81:D83)-(D75*$H$48*$G$48+D76*$H$49*$G$49+D77*$H$50*$G$50)*MIN('Parametros Recargas'!$D$27:$O$27)/MAX('Parametros Recargas'!$D$27:$O$27))</f>
        <v>78.04512415</v>
      </c>
      <c r="E88" s="64">
        <f>MAX(0,SUM(E81:E83)-(E75*$H$48*$G$48+E76*$H$49*$G$49+E77*$H$50*$G$50)*MIN('Parametros Recargas'!$D$27:$O$27)/MAX('Parametros Recargas'!$D$27:$O$27))</f>
        <v>144.6106029</v>
      </c>
      <c r="F88" s="64">
        <f>MAX(0,SUM(F81:F83)-(F75*$H$48*$G$48+F76*$H$49*$G$49+F77*$H$50*$G$50)*MIN('Parametros Recargas'!$D$27:$O$27)/MAX('Parametros Recargas'!$D$27:$O$27))</f>
        <v>207.3670475</v>
      </c>
      <c r="G88" s="64">
        <f>MAX(0,SUM(G81:G83)-(G75*$H$48*$G$48+G76*$H$49*$G$49+G77*$H$50*$G$50)*MIN('Parametros Recargas'!$D$27:$O$27)/MAX('Parametros Recargas'!$D$27:$O$27))</f>
        <v>275.84757</v>
      </c>
      <c r="H88" s="64">
        <f>MAX(0,SUM(H81:H83)-(H75*$H$48*$G$48+H76*$H$49*$G$49+H77*$H$50*$G$50)*MIN('Parametros Recargas'!$D$27:$O$27)/MAX('Parametros Recargas'!$D$27:$O$27))</f>
        <v>337.0725702</v>
      </c>
      <c r="I88" s="64">
        <f>MAX(0,SUM(I81:I83)-(I75*$H$48*$G$48+I76*$H$49*$G$49+I77*$H$50*$G$50)*MIN('Parametros Recargas'!$D$27:$O$27)/MAX('Parametros Recargas'!$D$27:$O$27))</f>
        <v>374.3690256</v>
      </c>
      <c r="J88" s="64">
        <f>MAX(0,SUM(J81:J83)-(J75*$H$48*$G$48+J76*$H$49*$G$49+J77*$H$50*$G$50)*MIN('Parametros Recargas'!$D$27:$O$27)/MAX('Parametros Recargas'!$D$27:$O$27))</f>
        <v>403.7439682</v>
      </c>
      <c r="K88" s="64">
        <f>MAX(0,SUM(K81:K83)-(K75*$H$48*$G$48+K76*$H$49*$G$49+K77*$H$50*$G$50)*MIN('Parametros Recargas'!$D$27:$O$27)/MAX('Parametros Recargas'!$D$27:$O$27))</f>
        <v>433.5664134</v>
      </c>
    </row>
    <row r="89" ht="15.75" customHeight="1">
      <c r="A89" s="30" t="s">
        <v>1224</v>
      </c>
      <c r="B89" s="64">
        <f>MAX(0,B84-B78*$H$50*$G$50*MIN('Parametros Recargas'!$D$28:$O$28)/MAX('Parametros Recargas'!$D$28:$O$28))</f>
        <v>0.6314999938</v>
      </c>
      <c r="C89" s="64">
        <f>MAX(0,C84-C78*$H$50*$G$50*MIN('Parametros Recargas'!$D$28:$O$28)/MAX('Parametros Recargas'!$D$28:$O$28))</f>
        <v>2.076609724</v>
      </c>
      <c r="D89" s="64">
        <f>MAX(0,D84-D78*$H$50*$G$50*MIN('Parametros Recargas'!$D$28:$O$28)/MAX('Parametros Recargas'!$D$28:$O$28))</f>
        <v>2.897067004</v>
      </c>
      <c r="E89" s="64">
        <f>MAX(0,E84-E78*$H$50*$G$50*MIN('Parametros Recargas'!$D$28:$O$28)/MAX('Parametros Recargas'!$D$28:$O$28))</f>
        <v>4.688420609</v>
      </c>
      <c r="F89" s="64">
        <f>MAX(0,F84-F78*$H$50*$G$50*MIN('Parametros Recargas'!$D$28:$O$28)/MAX('Parametros Recargas'!$D$28:$O$28))</f>
        <v>6.502243727</v>
      </c>
      <c r="G89" s="64">
        <f>MAX(0,G84-G78*$H$50*$G$50*MIN('Parametros Recargas'!$D$28:$O$28)/MAX('Parametros Recargas'!$D$28:$O$28))</f>
        <v>9.131816841</v>
      </c>
      <c r="H89" s="64">
        <f>MAX(0,H84-H78*$H$50*$G$50*MIN('Parametros Recargas'!$D$28:$O$28)/MAX('Parametros Recargas'!$D$28:$O$28))</f>
        <v>10.92766435</v>
      </c>
      <c r="I89" s="64">
        <f>MAX(0,I84-I78*$H$50*$G$50*MIN('Parametros Recargas'!$D$28:$O$28)/MAX('Parametros Recargas'!$D$28:$O$28))</f>
        <v>11.80204846</v>
      </c>
      <c r="J89" s="64">
        <f>MAX(0,J84-J78*$H$50*$G$50*MIN('Parametros Recargas'!$D$28:$O$28)/MAX('Parametros Recargas'!$D$28:$O$28))</f>
        <v>13.17525575</v>
      </c>
      <c r="K89" s="64">
        <f>MAX(0,K84-K78*$H$50*$G$50*MIN('Parametros Recargas'!$D$28:$O$28)/MAX('Parametros Recargas'!$D$28:$O$28))</f>
        <v>13.50801792</v>
      </c>
    </row>
    <row r="90" ht="15.75" customHeight="1">
      <c r="A90" s="30" t="s">
        <v>1225</v>
      </c>
      <c r="B90" s="64">
        <f>B85</f>
        <v>20</v>
      </c>
      <c r="C90" s="64">
        <f t="shared" ref="C90:K90" si="31">MAX(0,C85-B85)</f>
        <v>57</v>
      </c>
      <c r="D90" s="64">
        <f t="shared" si="31"/>
        <v>94</v>
      </c>
      <c r="E90" s="64">
        <f t="shared" si="31"/>
        <v>147</v>
      </c>
      <c r="F90" s="64">
        <f t="shared" si="31"/>
        <v>139</v>
      </c>
      <c r="G90" s="64">
        <f t="shared" si="31"/>
        <v>151</v>
      </c>
      <c r="H90" s="64">
        <f t="shared" si="31"/>
        <v>136</v>
      </c>
      <c r="I90" s="64">
        <f t="shared" si="31"/>
        <v>82</v>
      </c>
      <c r="J90" s="64">
        <f t="shared" si="31"/>
        <v>66</v>
      </c>
      <c r="K90" s="64">
        <f t="shared" si="31"/>
        <v>66</v>
      </c>
    </row>
    <row r="91" ht="15.75" customHeight="1">
      <c r="A91" s="30" t="s">
        <v>1226</v>
      </c>
      <c r="B91" s="173">
        <f>IFERROR(B90/SUM(datos_base!B3:B6),0)</f>
        <v>0.002931691586</v>
      </c>
      <c r="C91" s="173">
        <f>IFERROR(C90/SUM(datos_base!C3:C6),0)</f>
        <v>0.00531220876</v>
      </c>
      <c r="D91" s="173">
        <f>IFERROR(D90/SUM(datos_base!D3:D6),0)</f>
        <v>0.007128772941</v>
      </c>
      <c r="E91" s="173">
        <f>IFERROR(E90/SUM(datos_base!E3:E6),0)</f>
        <v>0.008571928392</v>
      </c>
      <c r="F91" s="173">
        <f>IFERROR(F90/SUM(datos_base!F3:F6),0)</f>
        <v>0.005262161651</v>
      </c>
      <c r="G91" s="173">
        <f>IFERROR(G90/SUM(datos_base!G3:G6),0)</f>
        <v>0.004395924309</v>
      </c>
      <c r="H91" s="173">
        <f>IFERROR(H90/SUM(datos_base!H3:H6),0)</f>
        <v>0.003060237168</v>
      </c>
      <c r="I91" s="173">
        <f>IFERROR(I90/SUM(datos_base!I3:I6),0)</f>
        <v>0.001490909091</v>
      </c>
      <c r="J91" s="173">
        <f>IFERROR(J90/SUM(datos_base!J3:J6),0)</f>
        <v>0.001041863989</v>
      </c>
      <c r="K91" s="173">
        <f>IFERROR(K90/SUM(datos_base!K3:K6),0)</f>
        <v>0.0009155222638</v>
      </c>
    </row>
    <row r="92" ht="15.75" customHeight="1"/>
    <row r="93" ht="15.75" customHeight="1">
      <c r="A93" s="45" t="s">
        <v>1227</v>
      </c>
      <c r="B93" s="39">
        <v>2026.0</v>
      </c>
      <c r="C93" s="39">
        <v>2027.0</v>
      </c>
      <c r="D93" s="39">
        <v>2028.0</v>
      </c>
      <c r="E93" s="39">
        <v>2029.0</v>
      </c>
      <c r="F93" s="39">
        <v>2030.0</v>
      </c>
      <c r="G93" s="39">
        <v>2031.0</v>
      </c>
      <c r="H93" s="39">
        <v>2032.0</v>
      </c>
      <c r="I93" s="39">
        <v>2033.0</v>
      </c>
      <c r="J93" s="39">
        <v>2034.0</v>
      </c>
      <c r="K93" s="39">
        <v>2035.0</v>
      </c>
    </row>
    <row r="94" ht="15.75" customHeight="1">
      <c r="A94" s="30" t="s">
        <v>1228</v>
      </c>
      <c r="B94" s="64">
        <f t="shared" ref="B94:K94" si="32">B70*$H$55+$K$55*B74*$I$47+$F$55*B78*$B$15*$I$50</f>
        <v>15.56277878</v>
      </c>
      <c r="C94" s="64">
        <f t="shared" si="32"/>
        <v>66.30103751</v>
      </c>
      <c r="D94" s="64">
        <f t="shared" si="32"/>
        <v>142.2267411</v>
      </c>
      <c r="E94" s="64">
        <f t="shared" si="32"/>
        <v>265.419084</v>
      </c>
      <c r="F94" s="64">
        <f t="shared" si="32"/>
        <v>385.9200368</v>
      </c>
      <c r="G94" s="64">
        <f t="shared" si="32"/>
        <v>518.034846</v>
      </c>
      <c r="H94" s="64">
        <f t="shared" si="32"/>
        <v>638.6127226</v>
      </c>
      <c r="I94" s="64">
        <f t="shared" si="32"/>
        <v>716.4395469</v>
      </c>
      <c r="J94" s="64">
        <f t="shared" si="32"/>
        <v>772.4250592</v>
      </c>
      <c r="K94" s="64">
        <f t="shared" si="32"/>
        <v>829.4430549</v>
      </c>
    </row>
    <row r="95" ht="15.75" customHeight="1">
      <c r="A95" s="30" t="s">
        <v>1229</v>
      </c>
      <c r="B95" s="64">
        <f t="shared" ref="B95:K95" si="33">B70*$I$55+2*($K$55*B74/$B$47+$F$55*B78/$B$50)</f>
        <v>1.007578306</v>
      </c>
      <c r="C95" s="64">
        <f t="shared" si="33"/>
        <v>4.214907589</v>
      </c>
      <c r="D95" s="64">
        <f t="shared" si="33"/>
        <v>9.19974698</v>
      </c>
      <c r="E95" s="64">
        <f t="shared" si="33"/>
        <v>17.21325681</v>
      </c>
      <c r="F95" s="64">
        <f t="shared" si="33"/>
        <v>24.96133818</v>
      </c>
      <c r="G95" s="64">
        <f t="shared" si="33"/>
        <v>33.40435505</v>
      </c>
      <c r="H95" s="64">
        <f t="shared" si="33"/>
        <v>41.10396696</v>
      </c>
      <c r="I95" s="64">
        <f t="shared" si="33"/>
        <v>45.95540573</v>
      </c>
      <c r="J95" s="64">
        <f t="shared" si="33"/>
        <v>49.5690578</v>
      </c>
      <c r="K95" s="64">
        <f t="shared" si="33"/>
        <v>53.2466681</v>
      </c>
    </row>
    <row r="96" ht="15.75" customHeight="1">
      <c r="A96" s="30" t="s">
        <v>1230</v>
      </c>
      <c r="B96" s="64">
        <f t="shared" ref="B96:K96" si="34">B70*$J$55+$K$55*B74+$F$55*B78*$B$15*(1+$H$50)</f>
        <v>8.950874511</v>
      </c>
      <c r="C96" s="64">
        <f t="shared" si="34"/>
        <v>38.37808697</v>
      </c>
      <c r="D96" s="64">
        <f t="shared" si="34"/>
        <v>82.33033754</v>
      </c>
      <c r="E96" s="64">
        <f t="shared" si="34"/>
        <v>153.3989504</v>
      </c>
      <c r="F96" s="64">
        <f t="shared" si="34"/>
        <v>222.9380703</v>
      </c>
      <c r="G96" s="64">
        <f t="shared" si="34"/>
        <v>299.0843557</v>
      </c>
      <c r="H96" s="64">
        <f t="shared" si="34"/>
        <v>368.6727421</v>
      </c>
      <c r="I96" s="64">
        <f t="shared" si="34"/>
        <v>413.6152755</v>
      </c>
      <c r="J96" s="64">
        <f t="shared" si="34"/>
        <v>446.0309358</v>
      </c>
      <c r="K96" s="64">
        <f t="shared" si="34"/>
        <v>479.0516033</v>
      </c>
    </row>
    <row r="97" ht="15.75" customHeight="1">
      <c r="A97" s="73" t="s">
        <v>1231</v>
      </c>
      <c r="B97" s="36">
        <f t="shared" ref="B97:K97" si="35">MAX(2,ROUNDUP(B94/($B$12-$G$55),0),ROUNDUP(B96/$B$16,0))</f>
        <v>2</v>
      </c>
      <c r="C97" s="36">
        <f t="shared" si="35"/>
        <v>2</v>
      </c>
      <c r="D97" s="36">
        <f t="shared" si="35"/>
        <v>2</v>
      </c>
      <c r="E97" s="36">
        <f t="shared" si="35"/>
        <v>2</v>
      </c>
      <c r="F97" s="36">
        <f t="shared" si="35"/>
        <v>3</v>
      </c>
      <c r="G97" s="36">
        <f t="shared" si="35"/>
        <v>4</v>
      </c>
      <c r="H97" s="36">
        <f t="shared" si="35"/>
        <v>4</v>
      </c>
      <c r="I97" s="36">
        <f t="shared" si="35"/>
        <v>5</v>
      </c>
      <c r="J97" s="36">
        <f t="shared" si="35"/>
        <v>5</v>
      </c>
      <c r="K97" s="36">
        <f t="shared" si="35"/>
        <v>5</v>
      </c>
    </row>
    <row r="98" ht="15.75" customHeight="1">
      <c r="A98" s="30" t="s">
        <v>1232</v>
      </c>
      <c r="B98" s="64">
        <f t="shared" ref="B98:K98" si="36">B70*$H$56+$K$56*B74*$I$47+$F$56*B78*$B$15*$I$50</f>
        <v>16.41196574</v>
      </c>
      <c r="C98" s="64">
        <f t="shared" si="36"/>
        <v>71.55407491</v>
      </c>
      <c r="D98" s="64">
        <f t="shared" si="36"/>
        <v>149.032806</v>
      </c>
      <c r="E98" s="64">
        <f t="shared" si="36"/>
        <v>277.4005223</v>
      </c>
      <c r="F98" s="64">
        <f t="shared" si="36"/>
        <v>405.4587554</v>
      </c>
      <c r="G98" s="64">
        <f t="shared" si="36"/>
        <v>547.534033</v>
      </c>
      <c r="H98" s="64">
        <f t="shared" si="36"/>
        <v>677.168788</v>
      </c>
      <c r="I98" s="64">
        <f t="shared" si="36"/>
        <v>764.1148137</v>
      </c>
      <c r="J98" s="64">
        <f t="shared" si="36"/>
        <v>822.9794782</v>
      </c>
      <c r="K98" s="64">
        <f t="shared" si="36"/>
        <v>882.9891894</v>
      </c>
    </row>
    <row r="99" ht="15.75" customHeight="1">
      <c r="A99" s="30" t="s">
        <v>1233</v>
      </c>
      <c r="B99" s="64">
        <f t="shared" ref="B99:K99" si="37">B70*$I$56+2*($K$56*B74/$B$47+$F$56*B78/$B$50)</f>
        <v>1.017941152</v>
      </c>
      <c r="C99" s="64">
        <f t="shared" si="37"/>
        <v>4.33918069</v>
      </c>
      <c r="D99" s="64">
        <f t="shared" si="37"/>
        <v>9.253961363</v>
      </c>
      <c r="E99" s="64">
        <f t="shared" si="37"/>
        <v>17.27789611</v>
      </c>
      <c r="F99" s="64">
        <f t="shared" si="37"/>
        <v>25.15514115</v>
      </c>
      <c r="G99" s="64">
        <f t="shared" si="37"/>
        <v>33.81859738</v>
      </c>
      <c r="H99" s="64">
        <f t="shared" si="37"/>
        <v>41.71864591</v>
      </c>
      <c r="I99" s="64">
        <f t="shared" si="37"/>
        <v>46.85550919</v>
      </c>
      <c r="J99" s="64">
        <f t="shared" si="37"/>
        <v>50.50009327</v>
      </c>
      <c r="K99" s="64">
        <f t="shared" si="37"/>
        <v>54.21210362</v>
      </c>
    </row>
    <row r="100" ht="15.75" customHeight="1">
      <c r="A100" s="30" t="s">
        <v>1234</v>
      </c>
      <c r="B100" s="64">
        <f t="shared" ref="B100:K100" si="38">B70*$J$56+$K$56*B74+$F$56*B78*$B$15*(1+$H$50)</f>
        <v>9.207367744</v>
      </c>
      <c r="C100" s="64">
        <f t="shared" si="38"/>
        <v>40.37980582</v>
      </c>
      <c r="D100" s="64">
        <f t="shared" si="38"/>
        <v>84.06190701</v>
      </c>
      <c r="E100" s="64">
        <f t="shared" si="38"/>
        <v>156.2467172</v>
      </c>
      <c r="F100" s="64">
        <f t="shared" si="38"/>
        <v>228.3072641</v>
      </c>
      <c r="G100" s="64">
        <f t="shared" si="38"/>
        <v>308.1911229</v>
      </c>
      <c r="H100" s="64">
        <f t="shared" si="38"/>
        <v>381.1601439</v>
      </c>
      <c r="I100" s="64">
        <f t="shared" si="38"/>
        <v>430.1608192</v>
      </c>
      <c r="J100" s="64">
        <f t="shared" si="38"/>
        <v>463.3720227</v>
      </c>
      <c r="K100" s="64">
        <f t="shared" si="38"/>
        <v>497.2361693</v>
      </c>
    </row>
    <row r="101" ht="15.75" customHeight="1">
      <c r="A101" s="73" t="s">
        <v>1235</v>
      </c>
      <c r="B101" s="36">
        <f t="shared" ref="B101:K101" si="39">MAX(2,ROUNDUP(B98/($B$12-$G$56),0),ROUNDUP(B100/$B$16,0))</f>
        <v>2</v>
      </c>
      <c r="C101" s="36">
        <f t="shared" si="39"/>
        <v>2</v>
      </c>
      <c r="D101" s="36">
        <f t="shared" si="39"/>
        <v>2</v>
      </c>
      <c r="E101" s="36">
        <f t="shared" si="39"/>
        <v>3</v>
      </c>
      <c r="F101" s="36">
        <f t="shared" si="39"/>
        <v>4</v>
      </c>
      <c r="G101" s="36">
        <f t="shared" si="39"/>
        <v>5</v>
      </c>
      <c r="H101" s="36">
        <f t="shared" si="39"/>
        <v>7</v>
      </c>
      <c r="I101" s="36">
        <f t="shared" si="39"/>
        <v>7</v>
      </c>
      <c r="J101" s="36">
        <f t="shared" si="39"/>
        <v>8</v>
      </c>
      <c r="K101" s="36">
        <f t="shared" si="39"/>
        <v>9</v>
      </c>
    </row>
    <row r="102" ht="15.75" customHeight="1">
      <c r="A102" s="30" t="s">
        <v>1236</v>
      </c>
      <c r="B102" s="46">
        <f t="shared" ref="B102:K102" si="40">ROUNDUP(B97/2,0)+ROUNDUP(B101/2,0)</f>
        <v>2</v>
      </c>
      <c r="C102" s="46">
        <f t="shared" si="40"/>
        <v>2</v>
      </c>
      <c r="D102" s="46">
        <f t="shared" si="40"/>
        <v>2</v>
      </c>
      <c r="E102" s="46">
        <f t="shared" si="40"/>
        <v>3</v>
      </c>
      <c r="F102" s="46">
        <f t="shared" si="40"/>
        <v>4</v>
      </c>
      <c r="G102" s="46">
        <f t="shared" si="40"/>
        <v>5</v>
      </c>
      <c r="H102" s="46">
        <f t="shared" si="40"/>
        <v>6</v>
      </c>
      <c r="I102" s="46">
        <f t="shared" si="40"/>
        <v>7</v>
      </c>
      <c r="J102" s="46">
        <f t="shared" si="40"/>
        <v>7</v>
      </c>
      <c r="K102" s="46">
        <f t="shared" si="40"/>
        <v>8</v>
      </c>
    </row>
    <row r="103" ht="15.75" customHeight="1">
      <c r="A103" s="30" t="s">
        <v>1237</v>
      </c>
      <c r="B103" s="46">
        <f t="shared" ref="B103:K103" si="41">B97+B101-B102</f>
        <v>2</v>
      </c>
      <c r="C103" s="46">
        <f t="shared" si="41"/>
        <v>2</v>
      </c>
      <c r="D103" s="46">
        <f t="shared" si="41"/>
        <v>2</v>
      </c>
      <c r="E103" s="46">
        <f t="shared" si="41"/>
        <v>2</v>
      </c>
      <c r="F103" s="46">
        <f t="shared" si="41"/>
        <v>3</v>
      </c>
      <c r="G103" s="46">
        <f t="shared" si="41"/>
        <v>4</v>
      </c>
      <c r="H103" s="46">
        <f t="shared" si="41"/>
        <v>5</v>
      </c>
      <c r="I103" s="46">
        <f t="shared" si="41"/>
        <v>5</v>
      </c>
      <c r="J103" s="46">
        <f t="shared" si="41"/>
        <v>6</v>
      </c>
      <c r="K103" s="46">
        <f t="shared" si="41"/>
        <v>6</v>
      </c>
    </row>
    <row r="104" ht="15.75" customHeight="1">
      <c r="A104" s="103" t="s">
        <v>1238</v>
      </c>
      <c r="B104" s="115">
        <f t="shared" ref="B104:K104" si="42">MAX(B102,B103)</f>
        <v>2</v>
      </c>
      <c r="C104" s="115">
        <f t="shared" si="42"/>
        <v>2</v>
      </c>
      <c r="D104" s="115">
        <f t="shared" si="42"/>
        <v>2</v>
      </c>
      <c r="E104" s="115">
        <f t="shared" si="42"/>
        <v>3</v>
      </c>
      <c r="F104" s="115">
        <f t="shared" si="42"/>
        <v>4</v>
      </c>
      <c r="G104" s="115">
        <f t="shared" si="42"/>
        <v>5</v>
      </c>
      <c r="H104" s="115">
        <f t="shared" si="42"/>
        <v>6</v>
      </c>
      <c r="I104" s="115">
        <f t="shared" si="42"/>
        <v>7</v>
      </c>
      <c r="J104" s="115">
        <f t="shared" si="42"/>
        <v>7</v>
      </c>
      <c r="K104" s="115">
        <f t="shared" si="42"/>
        <v>8</v>
      </c>
    </row>
    <row r="105" ht="15.75" customHeight="1">
      <c r="A105" s="73" t="s">
        <v>1239</v>
      </c>
      <c r="B105" s="36">
        <f t="shared" ref="B105:K105" si="43">B104</f>
        <v>2</v>
      </c>
      <c r="C105" s="36">
        <f t="shared" si="43"/>
        <v>2</v>
      </c>
      <c r="D105" s="36">
        <f t="shared" si="43"/>
        <v>2</v>
      </c>
      <c r="E105" s="36">
        <f t="shared" si="43"/>
        <v>3</v>
      </c>
      <c r="F105" s="36">
        <f t="shared" si="43"/>
        <v>4</v>
      </c>
      <c r="G105" s="36">
        <f t="shared" si="43"/>
        <v>5</v>
      </c>
      <c r="H105" s="36">
        <f t="shared" si="43"/>
        <v>6</v>
      </c>
      <c r="I105" s="36">
        <f t="shared" si="43"/>
        <v>7</v>
      </c>
      <c r="J105" s="36">
        <f t="shared" si="43"/>
        <v>7</v>
      </c>
      <c r="K105" s="36">
        <f t="shared" si="43"/>
        <v>8</v>
      </c>
    </row>
    <row r="106" ht="15.75" customHeight="1">
      <c r="A106" s="30" t="s">
        <v>1240</v>
      </c>
      <c r="B106" s="87">
        <f t="shared" ref="B106:K106" si="44">(B94+$G$55*B97+B98+$G$56*B101)/((B97+B101)*$B$12)</f>
        <v>0.3713985054</v>
      </c>
      <c r="C106" s="87">
        <f t="shared" si="44"/>
        <v>0.4974465624</v>
      </c>
      <c r="D106" s="87">
        <f t="shared" si="44"/>
        <v>0.6800708895</v>
      </c>
      <c r="E106" s="87">
        <f t="shared" si="44"/>
        <v>0.8788758155</v>
      </c>
      <c r="F106" s="87">
        <f t="shared" si="44"/>
        <v>0.8920944164</v>
      </c>
      <c r="G106" s="87">
        <f t="shared" si="44"/>
        <v>0.9129994069</v>
      </c>
      <c r="H106" s="87">
        <f t="shared" si="44"/>
        <v>0.9418967578</v>
      </c>
      <c r="I106" s="87">
        <f t="shared" si="44"/>
        <v>0.9446644288</v>
      </c>
      <c r="J106" s="87">
        <f t="shared" si="44"/>
        <v>0.9506976327</v>
      </c>
      <c r="K106" s="87">
        <f t="shared" si="44"/>
        <v>0.9566096069</v>
      </c>
    </row>
    <row r="107" ht="25.5" customHeight="1">
      <c r="A107" s="120" t="s">
        <v>1241</v>
      </c>
    </row>
    <row r="108" ht="15.75" customHeight="1"/>
    <row r="109" ht="15.75" customHeight="1">
      <c r="A109" s="45" t="s">
        <v>1242</v>
      </c>
      <c r="B109" s="39">
        <v>2026.0</v>
      </c>
      <c r="C109" s="39">
        <v>2027.0</v>
      </c>
      <c r="D109" s="39">
        <v>2028.0</v>
      </c>
      <c r="E109" s="39">
        <v>2029.0</v>
      </c>
      <c r="F109" s="39">
        <v>2030.0</v>
      </c>
      <c r="G109" s="39">
        <v>2031.0</v>
      </c>
      <c r="H109" s="39">
        <v>2032.0</v>
      </c>
      <c r="I109" s="39">
        <v>2033.0</v>
      </c>
      <c r="J109" s="39">
        <v>2034.0</v>
      </c>
      <c r="K109" s="39">
        <v>2035.0</v>
      </c>
    </row>
    <row r="110" ht="15.75" customHeight="1">
      <c r="A110" s="30" t="s">
        <v>1243</v>
      </c>
      <c r="B110" s="64">
        <f t="shared" ref="B110:K110" si="45">B88</f>
        <v>9.639031372</v>
      </c>
      <c r="C110" s="64">
        <f t="shared" si="45"/>
        <v>35.02939208</v>
      </c>
      <c r="D110" s="64">
        <f t="shared" si="45"/>
        <v>78.04512415</v>
      </c>
      <c r="E110" s="64">
        <f t="shared" si="45"/>
        <v>144.6106029</v>
      </c>
      <c r="F110" s="64">
        <f t="shared" si="45"/>
        <v>207.3670475</v>
      </c>
      <c r="G110" s="64">
        <f t="shared" si="45"/>
        <v>275.84757</v>
      </c>
      <c r="H110" s="64">
        <f t="shared" si="45"/>
        <v>337.0725702</v>
      </c>
      <c r="I110" s="64">
        <f t="shared" si="45"/>
        <v>374.3690256</v>
      </c>
      <c r="J110" s="64">
        <f t="shared" si="45"/>
        <v>403.7439682</v>
      </c>
      <c r="K110" s="64">
        <f t="shared" si="45"/>
        <v>433.5664134</v>
      </c>
    </row>
    <row r="111" ht="15.75" customHeight="1">
      <c r="A111" s="30" t="s">
        <v>1244</v>
      </c>
      <c r="B111" s="64">
        <f t="shared" ref="B111:K111" si="46">B89</f>
        <v>0.6314999938</v>
      </c>
      <c r="C111" s="64">
        <f t="shared" si="46"/>
        <v>2.076609724</v>
      </c>
      <c r="D111" s="64">
        <f t="shared" si="46"/>
        <v>2.897067004</v>
      </c>
      <c r="E111" s="64">
        <f t="shared" si="46"/>
        <v>4.688420609</v>
      </c>
      <c r="F111" s="64">
        <f t="shared" si="46"/>
        <v>6.502243727</v>
      </c>
      <c r="G111" s="64">
        <f t="shared" si="46"/>
        <v>9.131816841</v>
      </c>
      <c r="H111" s="64">
        <f t="shared" si="46"/>
        <v>10.92766435</v>
      </c>
      <c r="I111" s="64">
        <f t="shared" si="46"/>
        <v>11.80204846</v>
      </c>
      <c r="J111" s="64">
        <f t="shared" si="46"/>
        <v>13.17525575</v>
      </c>
      <c r="K111" s="64">
        <f t="shared" si="46"/>
        <v>13.50801792</v>
      </c>
    </row>
    <row r="112" ht="15.75" customHeight="1">
      <c r="A112" s="30" t="s">
        <v>1245</v>
      </c>
      <c r="B112" s="64">
        <f t="shared" ref="B112:K112" si="47">B74*$G$47</f>
        <v>7.50014354</v>
      </c>
      <c r="C112" s="64">
        <f t="shared" si="47"/>
        <v>36.60768939</v>
      </c>
      <c r="D112" s="64">
        <f t="shared" si="47"/>
        <v>65.88995818</v>
      </c>
      <c r="E112" s="64">
        <f t="shared" si="47"/>
        <v>120.8996391</v>
      </c>
      <c r="F112" s="64">
        <f t="shared" si="47"/>
        <v>181.7765591</v>
      </c>
      <c r="G112" s="64">
        <f t="shared" si="47"/>
        <v>253.255494</v>
      </c>
      <c r="H112" s="64">
        <f t="shared" si="47"/>
        <v>318.4055761</v>
      </c>
      <c r="I112" s="64">
        <f t="shared" si="47"/>
        <v>369.7309759</v>
      </c>
      <c r="J112" s="64">
        <f t="shared" si="47"/>
        <v>396.2349344</v>
      </c>
      <c r="K112" s="64">
        <f t="shared" si="47"/>
        <v>423.3968003</v>
      </c>
    </row>
    <row r="113" ht="15.75" customHeight="1">
      <c r="A113" s="30" t="s">
        <v>1246</v>
      </c>
      <c r="B113" s="64">
        <f t="shared" ref="B113:K113" si="48">B73*$G$46</f>
        <v>1.071449077</v>
      </c>
      <c r="C113" s="64">
        <f t="shared" si="48"/>
        <v>5.229669913</v>
      </c>
      <c r="D113" s="64">
        <f t="shared" si="48"/>
        <v>9.412851168</v>
      </c>
      <c r="E113" s="64">
        <f t="shared" si="48"/>
        <v>17.27137701</v>
      </c>
      <c r="F113" s="64">
        <f t="shared" si="48"/>
        <v>25.96807988</v>
      </c>
      <c r="G113" s="64">
        <f t="shared" si="48"/>
        <v>36.17935629</v>
      </c>
      <c r="H113" s="64">
        <f t="shared" si="48"/>
        <v>45.48651087</v>
      </c>
      <c r="I113" s="64">
        <f t="shared" si="48"/>
        <v>52.81871085</v>
      </c>
      <c r="J113" s="64">
        <f t="shared" si="48"/>
        <v>56.60499063</v>
      </c>
      <c r="K113" s="64">
        <f t="shared" si="48"/>
        <v>60.48525718</v>
      </c>
    </row>
    <row r="114" ht="15.75" customHeight="1">
      <c r="A114" s="30" t="s">
        <v>1247</v>
      </c>
      <c r="B114" s="64">
        <f t="shared" ref="B114:K114" si="49">B75*$G$48+B76*$G$49+B77*$G$50</f>
        <v>14.71009356</v>
      </c>
      <c r="C114" s="64">
        <f t="shared" si="49"/>
        <v>59.66809815</v>
      </c>
      <c r="D114" s="64">
        <f t="shared" si="49"/>
        <v>135.0719478</v>
      </c>
      <c r="E114" s="64">
        <f t="shared" si="49"/>
        <v>253.6119097</v>
      </c>
      <c r="F114" s="64">
        <f t="shared" si="49"/>
        <v>365.5660682</v>
      </c>
      <c r="G114" s="64">
        <f t="shared" si="49"/>
        <v>485.8109614</v>
      </c>
      <c r="H114" s="64">
        <f t="shared" si="49"/>
        <v>595.4573897</v>
      </c>
      <c r="I114" s="64">
        <f t="shared" si="49"/>
        <v>660.9915312</v>
      </c>
      <c r="J114" s="64">
        <f t="shared" si="49"/>
        <v>713.8309071</v>
      </c>
      <c r="K114" s="64">
        <f t="shared" si="49"/>
        <v>767.5384933</v>
      </c>
    </row>
    <row r="115" ht="15.75" customHeight="1">
      <c r="A115" s="30" t="s">
        <v>1248</v>
      </c>
      <c r="B115" s="64">
        <f t="shared" ref="B115:K115" si="50">B78*$G$50</f>
        <v>0.4913333416</v>
      </c>
      <c r="C115" s="64">
        <f t="shared" si="50"/>
        <v>2.564520368</v>
      </c>
      <c r="D115" s="64">
        <f t="shared" si="50"/>
        <v>5.470577327</v>
      </c>
      <c r="E115" s="64">
        <f t="shared" si="50"/>
        <v>9.748772521</v>
      </c>
      <c r="F115" s="64">
        <f t="shared" si="50"/>
        <v>13.99700836</v>
      </c>
      <c r="G115" s="64">
        <f t="shared" si="50"/>
        <v>18.49091088</v>
      </c>
      <c r="H115" s="64">
        <f t="shared" si="50"/>
        <v>22.7631142</v>
      </c>
      <c r="I115" s="64">
        <f t="shared" si="50"/>
        <v>25.59726872</v>
      </c>
      <c r="J115" s="64">
        <f t="shared" si="50"/>
        <v>27.76632567</v>
      </c>
      <c r="K115" s="64">
        <f t="shared" si="50"/>
        <v>29.98930945</v>
      </c>
    </row>
    <row r="116" ht="15.75" customHeight="1">
      <c r="A116" s="30" t="s">
        <v>1249</v>
      </c>
      <c r="B116" s="64">
        <f>SUM(datos_base!B3:B6)/(12*$B$5)*$B$19</f>
        <v>142.125</v>
      </c>
      <c r="C116" s="64">
        <f>SUM(datos_base!C3:C6)/(12*$B$5)*$B$19</f>
        <v>223.5416667</v>
      </c>
      <c r="D116" s="64">
        <f>SUM(datos_base!D3:D6)/(12*$B$5)*$B$19</f>
        <v>274.7083333</v>
      </c>
      <c r="E116" s="64">
        <f>SUM(datos_base!E3:E6)/(12*$B$5)*$B$19</f>
        <v>357.2708333</v>
      </c>
      <c r="F116" s="64">
        <f>SUM(datos_base!F3:F6)/(12*$B$5)*$B$19</f>
        <v>550.3125</v>
      </c>
      <c r="G116" s="64">
        <f>SUM(datos_base!G3:G6)/(12*$B$5)*$B$19</f>
        <v>715.625</v>
      </c>
      <c r="H116" s="64">
        <f>SUM(datos_base!H3:H6)/(12*$B$5)*$B$19</f>
        <v>925.8541667</v>
      </c>
      <c r="I116" s="64">
        <f>SUM(datos_base!I3:I6)/(12*$B$5)*$B$19</f>
        <v>1145.833333</v>
      </c>
      <c r="J116" s="64">
        <f>SUM(datos_base!J3:J6)/(12*$B$5)*$B$19</f>
        <v>1319.75</v>
      </c>
      <c r="K116" s="64">
        <f>SUM(datos_base!K3:K6)/(12*$B$5)*$B$19</f>
        <v>1501.875</v>
      </c>
    </row>
    <row r="117" ht="15.75" customHeight="1">
      <c r="A117" s="30" t="s">
        <v>1250</v>
      </c>
      <c r="B117" s="64">
        <f>SUM(datos_base!B15:B18)/(12*$B$5)*$B$19</f>
        <v>0</v>
      </c>
      <c r="C117" s="64">
        <f>SUM(datos_base!C15:C18)/(12*$B$5)*$B$19</f>
        <v>0</v>
      </c>
      <c r="D117" s="64">
        <f>SUM(datos_base!D15:D18)/(12*$B$5)*$B$19</f>
        <v>198.5625</v>
      </c>
      <c r="E117" s="64">
        <f>SUM(datos_base!E15:E18)/(12*$B$5)*$B$19</f>
        <v>691.7916667</v>
      </c>
      <c r="F117" s="64">
        <f>SUM(datos_base!F15:F18)/(12*$B$5)*$B$19</f>
        <v>1281.083333</v>
      </c>
      <c r="G117" s="64">
        <f>SUM(datos_base!G15:G18)/(12*$B$5)*$B$19</f>
        <v>1857.5625</v>
      </c>
      <c r="H117" s="64">
        <f>SUM(datos_base!H15:H18)/(12*$B$5)*$B$19</f>
        <v>2626.208333</v>
      </c>
      <c r="I117" s="64">
        <f>SUM(datos_base!I15:I18)/(12*$B$5)*$B$19</f>
        <v>3394.833333</v>
      </c>
      <c r="J117" s="64">
        <f>SUM(datos_base!J15:J18)/(12*$B$5)*$B$19</f>
        <v>3804.75</v>
      </c>
      <c r="K117" s="64">
        <f>SUM(datos_base!K15:K18)/(12*$B$5)*$B$19</f>
        <v>4419.645833</v>
      </c>
    </row>
    <row r="118" ht="15.75" customHeight="1">
      <c r="A118" s="30" t="s">
        <v>1251</v>
      </c>
      <c r="B118" s="64">
        <f>'Dotacion Planta'!B110</f>
        <v>792.21</v>
      </c>
      <c r="C118" s="64">
        <f>'Dotacion Planta'!C110</f>
        <v>1240.27</v>
      </c>
      <c r="D118" s="64">
        <f>'Dotacion Planta'!D110</f>
        <v>1765.176545</v>
      </c>
      <c r="E118" s="64">
        <f>'Dotacion Planta'!E110</f>
        <v>1771.700827</v>
      </c>
      <c r="F118" s="64">
        <f>'Dotacion Planta'!F110</f>
        <v>2810.603833</v>
      </c>
      <c r="G118" s="64">
        <f>'Dotacion Planta'!G110</f>
        <v>3950.681101</v>
      </c>
      <c r="H118" s="64">
        <f>'Dotacion Planta'!H110</f>
        <v>3738.04053</v>
      </c>
      <c r="I118" s="64">
        <f>'Dotacion Planta'!I110</f>
        <v>5096.584667</v>
      </c>
      <c r="J118" s="64">
        <f>'Dotacion Planta'!J110</f>
        <v>5586.142118</v>
      </c>
      <c r="K118" s="64">
        <f>'Dotacion Planta'!K110</f>
        <v>6343.135143</v>
      </c>
    </row>
    <row r="119" ht="15.75" customHeight="1">
      <c r="A119" s="30" t="s">
        <v>1252</v>
      </c>
      <c r="B119" s="64">
        <f>'Resumen Capacidad'!B198+(SUM(datos_base!B7:B10)+SUM(datos_base!B19:B22))/(12*$B$5)*$B$19</f>
        <v>2.833333333</v>
      </c>
      <c r="C119" s="64">
        <f>'Resumen Capacidad'!C198+(SUM(datos_base!C7:C10)+SUM(datos_base!C19:C22))/(12*$B$5)*$B$19</f>
        <v>4.854166667</v>
      </c>
      <c r="D119" s="64">
        <f>'Resumen Capacidad'!D198+(SUM(datos_base!D7:D10)+SUM(datos_base!D19:D22))/(12*$B$5)*$B$19</f>
        <v>7.5</v>
      </c>
      <c r="E119" s="64">
        <f>'Resumen Capacidad'!E198+(SUM(datos_base!E7:E10)+SUM(datos_base!E19:E22))/(12*$B$5)*$B$19</f>
        <v>12.5625</v>
      </c>
      <c r="F119" s="64">
        <f>'Resumen Capacidad'!F198+(SUM(datos_base!F7:F10)+SUM(datos_base!F19:F22))/(12*$B$5)*$B$19</f>
        <v>20.75</v>
      </c>
      <c r="G119" s="64">
        <f>'Resumen Capacidad'!G198+(SUM(datos_base!G7:G10)+SUM(datos_base!G19:G22))/(12*$B$5)*$B$19</f>
        <v>28.89583333</v>
      </c>
      <c r="H119" s="64">
        <f>'Resumen Capacidad'!H198+(SUM(datos_base!H7:H10)+SUM(datos_base!H19:H22))/(12*$B$5)*$B$19</f>
        <v>38.625</v>
      </c>
      <c r="I119" s="64">
        <f>'Resumen Capacidad'!I198+(SUM(datos_base!I7:I10)+SUM(datos_base!I19:I22))/(12*$B$5)*$B$19</f>
        <v>48.75</v>
      </c>
      <c r="J119" s="64">
        <f>'Resumen Capacidad'!J198+(SUM(datos_base!J7:J10)+SUM(datos_base!J19:J22))/(12*$B$5)*$B$19</f>
        <v>55.875</v>
      </c>
      <c r="K119" s="64">
        <f>'Resumen Capacidad'!K198+(SUM(datos_base!K7:K10)+SUM(datos_base!K19:K22))/(12*$B$5)*$B$19</f>
        <v>64.58333333</v>
      </c>
    </row>
    <row r="120" ht="15.75" customHeight="1"/>
    <row r="121" ht="15.75" customHeight="1">
      <c r="A121" s="45" t="s">
        <v>1253</v>
      </c>
      <c r="B121" s="39">
        <v>2026.0</v>
      </c>
      <c r="C121" s="39">
        <v>2027.0</v>
      </c>
      <c r="D121" s="39">
        <v>2028.0</v>
      </c>
      <c r="E121" s="39">
        <v>2029.0</v>
      </c>
      <c r="F121" s="39">
        <v>2030.0</v>
      </c>
      <c r="G121" s="39">
        <v>2031.0</v>
      </c>
      <c r="H121" s="39">
        <v>2032.0</v>
      </c>
      <c r="I121" s="39">
        <v>2033.0</v>
      </c>
      <c r="J121" s="39">
        <v>2034.0</v>
      </c>
      <c r="K121" s="39">
        <v>2035.0</v>
      </c>
    </row>
    <row r="122" ht="15.75" customHeight="1">
      <c r="A122" s="22" t="s">
        <v>1254</v>
      </c>
    </row>
    <row r="123" ht="15.75" customHeight="1">
      <c r="A123" s="30" t="s">
        <v>1255</v>
      </c>
      <c r="B123" s="64">
        <f t="shared" ref="B123:K123" si="51">ROUNDUP(ROUNDUP(B110/$B$20,0)/$B$22,0)*$B$23+B111*$B$24</f>
        <v>2.115749997</v>
      </c>
      <c r="C123" s="64">
        <f t="shared" si="51"/>
        <v>2.838304862</v>
      </c>
      <c r="D123" s="64">
        <f t="shared" si="51"/>
        <v>3.248533502</v>
      </c>
      <c r="E123" s="64">
        <f t="shared" si="51"/>
        <v>4.144210305</v>
      </c>
      <c r="F123" s="64">
        <f t="shared" si="51"/>
        <v>6.851121863</v>
      </c>
      <c r="G123" s="64">
        <f t="shared" si="51"/>
        <v>8.16590842</v>
      </c>
      <c r="H123" s="64">
        <f t="shared" si="51"/>
        <v>9.063832174</v>
      </c>
      <c r="I123" s="64">
        <f t="shared" si="51"/>
        <v>11.30102423</v>
      </c>
      <c r="J123" s="64">
        <f t="shared" si="51"/>
        <v>11.98762787</v>
      </c>
      <c r="K123" s="64">
        <f t="shared" si="51"/>
        <v>12.15400896</v>
      </c>
    </row>
    <row r="124" ht="15.75" customHeight="1">
      <c r="A124" s="30" t="s">
        <v>1256</v>
      </c>
      <c r="B124" s="64">
        <f t="shared" ref="B124:K124" si="52">ROUNDUP((B112+B113)/$B$47,0)*$B$18</f>
        <v>0.5</v>
      </c>
      <c r="C124" s="64">
        <f t="shared" si="52"/>
        <v>1</v>
      </c>
      <c r="D124" s="64">
        <f t="shared" si="52"/>
        <v>2</v>
      </c>
      <c r="E124" s="64">
        <f t="shared" si="52"/>
        <v>3</v>
      </c>
      <c r="F124" s="64">
        <f t="shared" si="52"/>
        <v>4.5</v>
      </c>
      <c r="G124" s="64">
        <f t="shared" si="52"/>
        <v>6</v>
      </c>
      <c r="H124" s="64">
        <f t="shared" si="52"/>
        <v>7.5</v>
      </c>
      <c r="I124" s="64">
        <f t="shared" si="52"/>
        <v>8.5</v>
      </c>
      <c r="J124" s="64">
        <f t="shared" si="52"/>
        <v>9.5</v>
      </c>
      <c r="K124" s="64">
        <f t="shared" si="52"/>
        <v>10</v>
      </c>
    </row>
    <row r="125" ht="15.75" customHeight="1">
      <c r="A125" s="30" t="s">
        <v>1257</v>
      </c>
      <c r="B125" s="64">
        <f t="shared" ref="B125:K125" si="53">ROUNDUP(ROUNDUP(B114/$B$20,0)/$B$22,0)*$B$23+B115*$B$24</f>
        <v>2.045666671</v>
      </c>
      <c r="C125" s="64">
        <f t="shared" si="53"/>
        <v>3.082260184</v>
      </c>
      <c r="D125" s="64">
        <f t="shared" si="53"/>
        <v>4.535288664</v>
      </c>
      <c r="E125" s="64">
        <f t="shared" si="53"/>
        <v>8.474386261</v>
      </c>
      <c r="F125" s="64">
        <f t="shared" si="53"/>
        <v>12.39850418</v>
      </c>
      <c r="G125" s="64">
        <f t="shared" si="53"/>
        <v>14.64545544</v>
      </c>
      <c r="H125" s="64">
        <f t="shared" si="53"/>
        <v>18.5815571</v>
      </c>
      <c r="I125" s="64">
        <f t="shared" si="53"/>
        <v>19.99863436</v>
      </c>
      <c r="J125" s="64">
        <f t="shared" si="53"/>
        <v>21.08316283</v>
      </c>
      <c r="K125" s="64">
        <f t="shared" si="53"/>
        <v>23.99465472</v>
      </c>
    </row>
    <row r="126" ht="15.75" customHeight="1">
      <c r="A126" s="30" t="s">
        <v>1258</v>
      </c>
      <c r="B126" s="64">
        <f t="shared" ref="B126:K126" si="54">B104*$B$17</f>
        <v>20</v>
      </c>
      <c r="C126" s="64">
        <f t="shared" si="54"/>
        <v>20</v>
      </c>
      <c r="D126" s="64">
        <f t="shared" si="54"/>
        <v>20</v>
      </c>
      <c r="E126" s="64">
        <f t="shared" si="54"/>
        <v>30</v>
      </c>
      <c r="F126" s="64">
        <f t="shared" si="54"/>
        <v>40</v>
      </c>
      <c r="G126" s="64">
        <f t="shared" si="54"/>
        <v>50</v>
      </c>
      <c r="H126" s="64">
        <f t="shared" si="54"/>
        <v>60</v>
      </c>
      <c r="I126" s="64">
        <f t="shared" si="54"/>
        <v>70</v>
      </c>
      <c r="J126" s="64">
        <f t="shared" si="54"/>
        <v>70</v>
      </c>
      <c r="K126" s="64">
        <f t="shared" si="54"/>
        <v>80</v>
      </c>
    </row>
    <row r="127" ht="15.75" customHeight="1">
      <c r="A127" s="30" t="s">
        <v>1259</v>
      </c>
      <c r="B127" s="64">
        <f t="shared" ref="B127:K127" si="55">ROUNDUP(ROUNDUP(B116/$B$20,0)/$B$22,0)*$B$23+ROUNDUP(ROUNDUP(B117/$B$21,0)/$B$22,0)*$B$23</f>
        <v>1.8</v>
      </c>
      <c r="C127" s="64">
        <f t="shared" si="55"/>
        <v>3.6</v>
      </c>
      <c r="D127" s="64">
        <f t="shared" si="55"/>
        <v>5.4</v>
      </c>
      <c r="E127" s="64">
        <f t="shared" si="55"/>
        <v>9</v>
      </c>
      <c r="F127" s="64">
        <f t="shared" si="55"/>
        <v>18</v>
      </c>
      <c r="G127" s="64">
        <f t="shared" si="55"/>
        <v>21.6</v>
      </c>
      <c r="H127" s="64">
        <f t="shared" si="55"/>
        <v>30.6</v>
      </c>
      <c r="I127" s="64">
        <f t="shared" si="55"/>
        <v>39.6</v>
      </c>
      <c r="J127" s="64">
        <f t="shared" si="55"/>
        <v>43.2</v>
      </c>
      <c r="K127" s="64">
        <f t="shared" si="55"/>
        <v>50.4</v>
      </c>
    </row>
    <row r="128" ht="15.75" customHeight="1">
      <c r="A128" s="30" t="s">
        <v>1262</v>
      </c>
      <c r="B128" s="64">
        <f t="shared" ref="B128:K128" si="56">ROUNDUP(ROUNDUP(B118/$B$20,0)/$B$22,0)*$B$23</f>
        <v>9</v>
      </c>
      <c r="C128" s="64">
        <f t="shared" si="56"/>
        <v>12.6</v>
      </c>
      <c r="D128" s="64">
        <f t="shared" si="56"/>
        <v>18</v>
      </c>
      <c r="E128" s="64">
        <f t="shared" si="56"/>
        <v>18</v>
      </c>
      <c r="F128" s="64">
        <f t="shared" si="56"/>
        <v>28.8</v>
      </c>
      <c r="G128" s="64">
        <f t="shared" si="56"/>
        <v>39.6</v>
      </c>
      <c r="H128" s="64">
        <f t="shared" si="56"/>
        <v>37.8</v>
      </c>
      <c r="I128" s="64">
        <f t="shared" si="56"/>
        <v>52.2</v>
      </c>
      <c r="J128" s="64">
        <f t="shared" si="56"/>
        <v>57.6</v>
      </c>
      <c r="K128" s="64">
        <f t="shared" si="56"/>
        <v>64.8</v>
      </c>
    </row>
    <row r="129" ht="15.75" customHeight="1">
      <c r="A129" s="30" t="s">
        <v>1267</v>
      </c>
      <c r="B129" s="64">
        <f t="shared" ref="B129:K129" si="57">B119*$B$24</f>
        <v>1.416666667</v>
      </c>
      <c r="C129" s="64">
        <f t="shared" si="57"/>
        <v>2.427083333</v>
      </c>
      <c r="D129" s="64">
        <f t="shared" si="57"/>
        <v>3.75</v>
      </c>
      <c r="E129" s="64">
        <f t="shared" si="57"/>
        <v>6.28125</v>
      </c>
      <c r="F129" s="64">
        <f t="shared" si="57"/>
        <v>10.375</v>
      </c>
      <c r="G129" s="64">
        <f t="shared" si="57"/>
        <v>14.44791667</v>
      </c>
      <c r="H129" s="64">
        <f t="shared" si="57"/>
        <v>19.3125</v>
      </c>
      <c r="I129" s="64">
        <f t="shared" si="57"/>
        <v>24.375</v>
      </c>
      <c r="J129" s="64">
        <f t="shared" si="57"/>
        <v>27.9375</v>
      </c>
      <c r="K129" s="64">
        <f t="shared" si="57"/>
        <v>32.29166667</v>
      </c>
    </row>
    <row r="130" ht="15.75" customHeight="1">
      <c r="A130" s="103" t="s">
        <v>1277</v>
      </c>
      <c r="B130" s="220">
        <f t="shared" ref="B130:K130" si="58">SUM(B123:B129)</f>
        <v>36.87808333</v>
      </c>
      <c r="C130" s="220">
        <f t="shared" si="58"/>
        <v>45.54764838</v>
      </c>
      <c r="D130" s="220">
        <f t="shared" si="58"/>
        <v>56.93382217</v>
      </c>
      <c r="E130" s="220">
        <f t="shared" si="58"/>
        <v>78.89984657</v>
      </c>
      <c r="F130" s="220">
        <f t="shared" si="58"/>
        <v>120.924626</v>
      </c>
      <c r="G130" s="220">
        <f t="shared" si="58"/>
        <v>154.4592805</v>
      </c>
      <c r="H130" s="220">
        <f t="shared" si="58"/>
        <v>182.8578893</v>
      </c>
      <c r="I130" s="220">
        <f t="shared" si="58"/>
        <v>225.9746586</v>
      </c>
      <c r="J130" s="220">
        <f t="shared" si="58"/>
        <v>241.3082907</v>
      </c>
      <c r="K130" s="220">
        <f t="shared" si="58"/>
        <v>273.6403303</v>
      </c>
    </row>
    <row r="131" ht="15.75" customHeight="1"/>
    <row r="132" ht="15.75" customHeight="1">
      <c r="A132" s="45" t="s">
        <v>1281</v>
      </c>
      <c r="B132" s="39">
        <v>2026.0</v>
      </c>
      <c r="C132" s="39">
        <v>2027.0</v>
      </c>
      <c r="D132" s="39">
        <v>2028.0</v>
      </c>
      <c r="E132" s="39">
        <v>2029.0</v>
      </c>
      <c r="F132" s="39">
        <v>2030.0</v>
      </c>
      <c r="G132" s="39">
        <v>2031.0</v>
      </c>
      <c r="H132" s="39">
        <v>2032.0</v>
      </c>
      <c r="I132" s="39">
        <v>2033.0</v>
      </c>
      <c r="J132" s="39">
        <v>2034.0</v>
      </c>
      <c r="K132" s="39">
        <v>2035.0</v>
      </c>
    </row>
    <row r="133" ht="15.75" customHeight="1">
      <c r="A133" s="73" t="s">
        <v>1283</v>
      </c>
      <c r="B133" s="36">
        <f>ROUNDUP((SUM(datos_base!B3:B6)+SUM(datos_base!B15:B18)*$B$20/$B$21)/(12*$B$5)*5/$B$20/$B$25,0)</f>
        <v>1</v>
      </c>
      <c r="C133" s="36">
        <f>ROUNDUP((SUM(datos_base!C3:C6)+SUM(datos_base!C15:C18)*$B$20/$B$21)/(12*$B$5)*5/$B$20/$B$25,0)</f>
        <v>1</v>
      </c>
      <c r="D133" s="36">
        <f>ROUNDUP((SUM(datos_base!D3:D6)+SUM(datos_base!D15:D18)*$B$20/$B$21)/(12*$B$5)*5/$B$20/$B$25,0)</f>
        <v>1</v>
      </c>
      <c r="E133" s="36">
        <f>ROUNDUP((SUM(datos_base!E3:E6)+SUM(datos_base!E15:E18)*$B$20/$B$21)/(12*$B$5)*5/$B$20/$B$25,0)</f>
        <v>2</v>
      </c>
      <c r="F133" s="36">
        <f>ROUNDUP((SUM(datos_base!F3:F6)+SUM(datos_base!F15:F18)*$B$20/$B$21)/(12*$B$5)*5/$B$20/$B$25,0)</f>
        <v>3</v>
      </c>
      <c r="G133" s="36">
        <f>ROUNDUP((SUM(datos_base!G3:G6)+SUM(datos_base!G15:G18)*$B$20/$B$21)/(12*$B$5)*5/$B$20/$B$25,0)</f>
        <v>3</v>
      </c>
      <c r="H133" s="36">
        <f>ROUNDUP((SUM(datos_base!H3:H6)+SUM(datos_base!H15:H18)*$B$20/$B$21)/(12*$B$5)*5/$B$20/$B$25,0)</f>
        <v>5</v>
      </c>
      <c r="I133" s="36">
        <f>ROUNDUP((SUM(datos_base!I3:I6)+SUM(datos_base!I15:I18)*$B$20/$B$21)/(12*$B$5)*5/$B$20/$B$25,0)</f>
        <v>6</v>
      </c>
      <c r="J133" s="36">
        <f>ROUNDUP((SUM(datos_base!J3:J6)+SUM(datos_base!J15:J18)*$B$20/$B$21)/(12*$B$5)*5/$B$20/$B$25,0)</f>
        <v>6</v>
      </c>
      <c r="K133" s="36">
        <f>ROUNDUP((SUM(datos_base!K3:K6)+SUM(datos_base!K15:K18)*$B$20/$B$21)/(12*$B$5)*5/$B$20/$B$25,0)</f>
        <v>7</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59:O59"/>
    <mergeCell ref="A60:O60"/>
    <mergeCell ref="A61:O61"/>
    <mergeCell ref="A62:O62"/>
    <mergeCell ref="A63:O63"/>
    <mergeCell ref="A64:O64"/>
    <mergeCell ref="A107:O107"/>
    <mergeCell ref="A2:O2"/>
    <mergeCell ref="A27:J27"/>
    <mergeCell ref="A35:O35"/>
    <mergeCell ref="A44:J44"/>
    <mergeCell ref="A51:O51"/>
    <mergeCell ref="A53:K53"/>
    <mergeCell ref="A57:O57"/>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outlineLevelRow="1"/>
  <cols>
    <col customWidth="1" min="1" max="1" width="46.0"/>
    <col customWidth="1" min="2" max="12" width="12.0"/>
    <col customWidth="1" min="13" max="13" width="60.0"/>
    <col customWidth="1" min="14" max="26" width="8.63"/>
  </cols>
  <sheetData>
    <row r="1" ht="15.0" customHeight="1">
      <c r="A1" s="163" t="s">
        <v>1260</v>
      </c>
      <c r="B1" s="3"/>
      <c r="C1" s="3"/>
      <c r="D1" s="3"/>
      <c r="E1" s="3"/>
      <c r="F1" s="3"/>
      <c r="G1" s="3"/>
      <c r="H1" s="3"/>
      <c r="I1" s="3"/>
      <c r="J1" s="3"/>
      <c r="K1" s="3"/>
      <c r="L1" s="130"/>
    </row>
    <row r="2">
      <c r="A2" s="164"/>
    </row>
    <row r="4">
      <c r="A4" s="24" t="s">
        <v>24</v>
      </c>
      <c r="B4" s="29" t="s">
        <v>27</v>
      </c>
      <c r="M4" s="258"/>
    </row>
    <row r="5">
      <c r="A5" s="30" t="s">
        <v>1261</v>
      </c>
      <c r="B5" s="36">
        <f>Parametros!H37</f>
        <v>30</v>
      </c>
      <c r="M5" s="120"/>
    </row>
    <row r="6">
      <c r="A6" s="30" t="s">
        <v>1263</v>
      </c>
      <c r="B6" s="36">
        <f>B5</f>
        <v>30</v>
      </c>
      <c r="M6" s="120"/>
    </row>
    <row r="7">
      <c r="A7" s="30" t="s">
        <v>1264</v>
      </c>
      <c r="B7" s="259">
        <v>30.0</v>
      </c>
      <c r="C7" s="43" t="s">
        <v>1265</v>
      </c>
      <c r="D7" s="17"/>
      <c r="M7" s="120"/>
    </row>
    <row r="8">
      <c r="A8" s="30" t="s">
        <v>1266</v>
      </c>
      <c r="B8" s="32">
        <v>0.1</v>
      </c>
      <c r="M8" s="120"/>
    </row>
    <row r="9">
      <c r="A9" s="30" t="s">
        <v>1268</v>
      </c>
      <c r="B9" s="31">
        <v>6.0</v>
      </c>
      <c r="M9" s="120"/>
    </row>
    <row r="10">
      <c r="A10" s="30" t="s">
        <v>1269</v>
      </c>
      <c r="B10" s="31">
        <v>55.0</v>
      </c>
      <c r="M10" s="120"/>
    </row>
    <row r="11">
      <c r="A11" s="30" t="s">
        <v>1270</v>
      </c>
      <c r="B11" s="31">
        <v>10.0</v>
      </c>
      <c r="M11" s="120"/>
    </row>
    <row r="12">
      <c r="A12" s="30" t="s">
        <v>1271</v>
      </c>
      <c r="B12" s="31">
        <v>3.0</v>
      </c>
      <c r="M12" s="120"/>
    </row>
    <row r="13">
      <c r="A13" s="30" t="s">
        <v>1272</v>
      </c>
      <c r="B13" s="31">
        <v>5.0</v>
      </c>
      <c r="D13" s="260" t="s">
        <v>1273</v>
      </c>
      <c r="M13" s="120"/>
    </row>
    <row r="14">
      <c r="A14" s="30" t="s">
        <v>1274</v>
      </c>
      <c r="B14" s="31">
        <v>5.0</v>
      </c>
      <c r="M14" s="120"/>
    </row>
    <row r="15">
      <c r="A15" s="30" t="s">
        <v>1275</v>
      </c>
      <c r="B15" s="31">
        <v>4.0</v>
      </c>
      <c r="M15" s="120"/>
    </row>
    <row r="16">
      <c r="A16" s="30" t="s">
        <v>1276</v>
      </c>
      <c r="B16" s="31">
        <f>(B12+B14)/2</f>
        <v>4</v>
      </c>
      <c r="M16" s="120"/>
    </row>
    <row r="17">
      <c r="A17" s="30" t="s">
        <v>1278</v>
      </c>
      <c r="B17" s="31">
        <v>4.0</v>
      </c>
      <c r="M17" s="120"/>
    </row>
    <row r="18">
      <c r="A18" s="30" t="s">
        <v>1279</v>
      </c>
      <c r="B18" s="31">
        <v>3.0</v>
      </c>
      <c r="M18" s="120"/>
    </row>
    <row r="20">
      <c r="A20" s="45" t="s">
        <v>1280</v>
      </c>
      <c r="B20" s="39">
        <v>2026.0</v>
      </c>
      <c r="C20" s="39">
        <v>2027.0</v>
      </c>
      <c r="D20" s="39">
        <v>2028.0</v>
      </c>
      <c r="E20" s="39">
        <v>2029.0</v>
      </c>
      <c r="F20" s="39">
        <v>2030.0</v>
      </c>
      <c r="G20" s="39">
        <v>2031.0</v>
      </c>
      <c r="H20" s="39">
        <v>2032.0</v>
      </c>
      <c r="I20" s="39">
        <v>2033.0</v>
      </c>
      <c r="J20" s="39">
        <v>2034.0</v>
      </c>
      <c r="K20" s="39">
        <v>2035.0</v>
      </c>
    </row>
    <row r="21" ht="15.75" customHeight="1">
      <c r="A21" s="30" t="s">
        <v>1282</v>
      </c>
      <c r="B21" s="61">
        <v>1.0</v>
      </c>
      <c r="C21" s="61">
        <v>1.0</v>
      </c>
      <c r="D21" s="61">
        <v>1.0</v>
      </c>
      <c r="E21" s="61">
        <v>1.0</v>
      </c>
      <c r="F21" s="61">
        <v>1.0</v>
      </c>
      <c r="G21" s="61">
        <v>1.0</v>
      </c>
      <c r="H21" s="61">
        <v>1.0</v>
      </c>
      <c r="I21" s="61">
        <v>1.0</v>
      </c>
      <c r="J21" s="61">
        <v>1.0</v>
      </c>
      <c r="K21" s="61">
        <v>1.0</v>
      </c>
      <c r="M21" s="136"/>
    </row>
    <row r="22" ht="15.75" customHeight="1">
      <c r="A22" s="30" t="s">
        <v>1284</v>
      </c>
      <c r="B22" s="61">
        <v>1.0</v>
      </c>
      <c r="C22" s="61">
        <v>1.0</v>
      </c>
      <c r="D22" s="61">
        <v>1.0</v>
      </c>
      <c r="E22" s="61">
        <v>1.0</v>
      </c>
      <c r="F22" s="61">
        <v>1.0</v>
      </c>
      <c r="G22" s="61">
        <v>1.0</v>
      </c>
      <c r="H22" s="61">
        <v>1.0</v>
      </c>
      <c r="I22" s="61">
        <v>1.0</v>
      </c>
      <c r="J22" s="61">
        <v>1.0</v>
      </c>
      <c r="K22" s="61">
        <v>1.0</v>
      </c>
      <c r="M22" s="136"/>
    </row>
    <row r="23" ht="15.75" customHeight="1">
      <c r="A23" s="30" t="s">
        <v>1285</v>
      </c>
      <c r="B23" s="61">
        <v>1.0</v>
      </c>
      <c r="C23" s="61">
        <v>1.0</v>
      </c>
      <c r="D23" s="61">
        <v>1.0</v>
      </c>
      <c r="E23" s="61">
        <v>1.0</v>
      </c>
      <c r="F23" s="61">
        <v>1.0</v>
      </c>
      <c r="G23" s="61">
        <v>1.0</v>
      </c>
      <c r="H23" s="61">
        <v>1.0</v>
      </c>
      <c r="I23" s="61">
        <v>1.0</v>
      </c>
      <c r="J23" s="61">
        <v>1.0</v>
      </c>
      <c r="K23" s="61">
        <v>1.0</v>
      </c>
      <c r="M23" s="136"/>
    </row>
    <row r="24" ht="15.75" customHeight="1">
      <c r="A24" s="30" t="s">
        <v>1286</v>
      </c>
      <c r="B24" s="61">
        <v>1.0</v>
      </c>
      <c r="C24" s="61">
        <v>1.0</v>
      </c>
      <c r="D24" s="61">
        <v>1.0</v>
      </c>
      <c r="E24" s="61">
        <v>1.0</v>
      </c>
      <c r="F24" s="61">
        <v>1.0</v>
      </c>
      <c r="G24" s="61">
        <v>1.0</v>
      </c>
      <c r="H24" s="61">
        <v>1.0</v>
      </c>
      <c r="I24" s="61">
        <v>1.0</v>
      </c>
      <c r="J24" s="61">
        <v>1.0</v>
      </c>
      <c r="K24" s="61">
        <v>1.0</v>
      </c>
      <c r="M24" s="136"/>
    </row>
    <row r="25" ht="15.75" customHeight="1">
      <c r="A25" s="30" t="s">
        <v>1287</v>
      </c>
      <c r="B25" s="61">
        <v>0.0</v>
      </c>
      <c r="C25" s="61">
        <v>0.0</v>
      </c>
      <c r="D25" s="61">
        <v>1.0</v>
      </c>
      <c r="E25" s="61">
        <v>1.0</v>
      </c>
      <c r="F25" s="61">
        <v>1.0</v>
      </c>
      <c r="G25" s="61">
        <v>1.0</v>
      </c>
      <c r="H25" s="61">
        <v>1.0</v>
      </c>
      <c r="I25" s="61">
        <v>1.0</v>
      </c>
      <c r="J25" s="61">
        <v>1.0</v>
      </c>
      <c r="K25" s="61">
        <v>1.0</v>
      </c>
      <c r="M25" s="136"/>
    </row>
    <row r="26" ht="15.75" customHeight="1">
      <c r="A26" s="30" t="s">
        <v>1288</v>
      </c>
      <c r="B26" s="61">
        <v>0.0</v>
      </c>
      <c r="C26" s="61">
        <v>0.0</v>
      </c>
      <c r="D26" s="61">
        <v>0.0</v>
      </c>
      <c r="E26" s="61">
        <v>0.0</v>
      </c>
      <c r="F26" s="61">
        <v>1.0</v>
      </c>
      <c r="G26" s="61">
        <v>1.0</v>
      </c>
      <c r="H26" s="61">
        <v>1.0</v>
      </c>
      <c r="I26" s="61">
        <v>1.0</v>
      </c>
      <c r="J26" s="61">
        <v>1.0</v>
      </c>
      <c r="K26" s="61">
        <v>1.0</v>
      </c>
      <c r="M26" s="136"/>
    </row>
    <row r="27" ht="15.75" customHeight="1">
      <c r="A27" s="30" t="s">
        <v>1289</v>
      </c>
      <c r="B27" s="46">
        <f>IF('Resumen Capacidad'!B85=2,1,0)</f>
        <v>0</v>
      </c>
      <c r="C27" s="46">
        <f>IF('Resumen Capacidad'!C85=2,1,0)</f>
        <v>0</v>
      </c>
      <c r="D27" s="46">
        <f>IF('Resumen Capacidad'!D85=2,1,0)</f>
        <v>0</v>
      </c>
      <c r="E27" s="46">
        <f>IF('Resumen Capacidad'!E85=2,1,0)</f>
        <v>0</v>
      </c>
      <c r="F27" s="46">
        <f>IF('Resumen Capacidad'!F85=2,1,0)</f>
        <v>0</v>
      </c>
      <c r="G27" s="46">
        <f>IF('Resumen Capacidad'!G85=2,1,0)</f>
        <v>0</v>
      </c>
      <c r="H27" s="46">
        <f>IF('Resumen Capacidad'!H85=2,1,0)</f>
        <v>1</v>
      </c>
      <c r="I27" s="46">
        <f>IF('Resumen Capacidad'!I85=2,1,0)</f>
        <v>1</v>
      </c>
      <c r="J27" s="46">
        <f>IF('Resumen Capacidad'!J85=2,1,0)</f>
        <v>1</v>
      </c>
      <c r="K27" s="46">
        <f>IF('Resumen Capacidad'!K85=2,1,0)</f>
        <v>1</v>
      </c>
      <c r="M27" s="136"/>
    </row>
    <row r="28" ht="15.75" customHeight="1">
      <c r="A28" s="30" t="s">
        <v>1290</v>
      </c>
      <c r="B28" s="46">
        <f>'Lotes y Calidad'!B95</f>
        <v>0</v>
      </c>
      <c r="C28" s="46">
        <f>'Lotes y Calidad'!C95</f>
        <v>0</v>
      </c>
      <c r="D28" s="46">
        <f>'Lotes y Calidad'!D95</f>
        <v>0</v>
      </c>
      <c r="E28" s="46">
        <f>'Lotes y Calidad'!E95</f>
        <v>0</v>
      </c>
      <c r="F28" s="46">
        <f>'Lotes y Calidad'!F95</f>
        <v>0</v>
      </c>
      <c r="G28" s="46">
        <f>'Lotes y Calidad'!G95</f>
        <v>0</v>
      </c>
      <c r="H28" s="46">
        <f>'Lotes y Calidad'!H95</f>
        <v>0</v>
      </c>
      <c r="I28" s="46">
        <f>'Lotes y Calidad'!I95</f>
        <v>0</v>
      </c>
      <c r="J28" s="46">
        <f>'Lotes y Calidad'!J95</f>
        <v>0</v>
      </c>
      <c r="K28" s="46">
        <f>'Lotes y Calidad'!K95</f>
        <v>0</v>
      </c>
    </row>
    <row r="29" ht="15.75" customHeight="1">
      <c r="A29" s="73" t="s">
        <v>1291</v>
      </c>
      <c r="B29" s="36">
        <f t="shared" ref="B29:K29" si="1">B21+B22+B23+B24+B25+B26+B28</f>
        <v>4</v>
      </c>
      <c r="C29" s="36">
        <f t="shared" si="1"/>
        <v>4</v>
      </c>
      <c r="D29" s="36">
        <f t="shared" si="1"/>
        <v>5</v>
      </c>
      <c r="E29" s="36">
        <f t="shared" si="1"/>
        <v>5</v>
      </c>
      <c r="F29" s="36">
        <f t="shared" si="1"/>
        <v>6</v>
      </c>
      <c r="G29" s="36">
        <f t="shared" si="1"/>
        <v>6</v>
      </c>
      <c r="H29" s="36">
        <f t="shared" si="1"/>
        <v>6</v>
      </c>
      <c r="I29" s="36">
        <f t="shared" si="1"/>
        <v>6</v>
      </c>
      <c r="J29" s="36">
        <f t="shared" si="1"/>
        <v>6</v>
      </c>
      <c r="K29" s="36">
        <f t="shared" si="1"/>
        <v>6</v>
      </c>
      <c r="M29" s="136"/>
    </row>
    <row r="30" ht="15.75" customHeight="1">
      <c r="A30" s="73" t="s">
        <v>1292</v>
      </c>
      <c r="B30" s="36">
        <f t="shared" ref="B30:K30" si="2">B27</f>
        <v>0</v>
      </c>
      <c r="C30" s="36">
        <f t="shared" si="2"/>
        <v>0</v>
      </c>
      <c r="D30" s="36">
        <f t="shared" si="2"/>
        <v>0</v>
      </c>
      <c r="E30" s="36">
        <f t="shared" si="2"/>
        <v>0</v>
      </c>
      <c r="F30" s="36">
        <f t="shared" si="2"/>
        <v>0</v>
      </c>
      <c r="G30" s="36">
        <f t="shared" si="2"/>
        <v>0</v>
      </c>
      <c r="H30" s="36">
        <f t="shared" si="2"/>
        <v>1</v>
      </c>
      <c r="I30" s="36">
        <f t="shared" si="2"/>
        <v>1</v>
      </c>
      <c r="J30" s="36">
        <f t="shared" si="2"/>
        <v>1</v>
      </c>
      <c r="K30" s="36">
        <f t="shared" si="2"/>
        <v>1</v>
      </c>
    </row>
    <row r="31" ht="15.75" customHeight="1">
      <c r="A31" s="73" t="s">
        <v>1293</v>
      </c>
      <c r="B31" s="215" t="str">
        <f t="shared" ref="B31:K31" si="3">IF(B29&lt;=$B$9,"OK","FALTAN "&amp;(B29-$B$9))</f>
        <v>OK</v>
      </c>
      <c r="C31" s="215" t="str">
        <f t="shared" si="3"/>
        <v>OK</v>
      </c>
      <c r="D31" s="215" t="str">
        <f t="shared" si="3"/>
        <v>OK</v>
      </c>
      <c r="E31" s="215" t="str">
        <f t="shared" si="3"/>
        <v>OK</v>
      </c>
      <c r="F31" s="215" t="str">
        <f t="shared" si="3"/>
        <v>OK</v>
      </c>
      <c r="G31" s="215" t="str">
        <f t="shared" si="3"/>
        <v>OK</v>
      </c>
      <c r="H31" s="215" t="str">
        <f t="shared" si="3"/>
        <v>OK</v>
      </c>
      <c r="I31" s="215" t="str">
        <f t="shared" si="3"/>
        <v>OK</v>
      </c>
      <c r="J31" s="215" t="str">
        <f t="shared" si="3"/>
        <v>OK</v>
      </c>
      <c r="K31" s="215" t="str">
        <f t="shared" si="3"/>
        <v>OK</v>
      </c>
    </row>
    <row r="32" ht="15.75" customHeight="1"/>
    <row r="33" ht="15.75" customHeight="1">
      <c r="A33" s="45" t="s">
        <v>1294</v>
      </c>
      <c r="B33" s="39">
        <v>2026.0</v>
      </c>
      <c r="C33" s="39">
        <v>2027.0</v>
      </c>
      <c r="D33" s="39">
        <v>2028.0</v>
      </c>
      <c r="E33" s="39">
        <v>2029.0</v>
      </c>
      <c r="F33" s="39">
        <v>2030.0</v>
      </c>
      <c r="G33" s="39">
        <v>2031.0</v>
      </c>
      <c r="H33" s="39">
        <v>2032.0</v>
      </c>
      <c r="I33" s="39">
        <v>2033.0</v>
      </c>
      <c r="J33" s="39">
        <v>2034.0</v>
      </c>
      <c r="K33" s="39">
        <v>2035.0</v>
      </c>
    </row>
    <row r="34" ht="15.75" customHeight="1">
      <c r="A34" s="30" t="s">
        <v>1295</v>
      </c>
      <c r="B34" s="46">
        <f>'Dotacion Planta'!B102+'Dotacion Planta'!B103</f>
        <v>5</v>
      </c>
      <c r="C34" s="46">
        <f>'Dotacion Planta'!C102+'Dotacion Planta'!C103</f>
        <v>7</v>
      </c>
      <c r="D34" s="46">
        <f>'Dotacion Planta'!D102+'Dotacion Planta'!D103</f>
        <v>8</v>
      </c>
      <c r="E34" s="46">
        <f>'Dotacion Planta'!E102+'Dotacion Planta'!E103</f>
        <v>12</v>
      </c>
      <c r="F34" s="46">
        <f>'Dotacion Planta'!F102+'Dotacion Planta'!F103</f>
        <v>19</v>
      </c>
      <c r="G34" s="46">
        <f>'Dotacion Planta'!G102+'Dotacion Planta'!G103</f>
        <v>26</v>
      </c>
      <c r="H34" s="46">
        <f>'Dotacion Planta'!H102+'Dotacion Planta'!H103</f>
        <v>32</v>
      </c>
      <c r="I34" s="46">
        <f>'Dotacion Planta'!I102+'Dotacion Planta'!I103</f>
        <v>39</v>
      </c>
      <c r="J34" s="46">
        <f>'Dotacion Planta'!J102+'Dotacion Planta'!J103</f>
        <v>42</v>
      </c>
      <c r="K34" s="46">
        <f>'Dotacion Planta'!K102+'Dotacion Planta'!K103</f>
        <v>46</v>
      </c>
    </row>
    <row r="35" ht="15.75" customHeight="1">
      <c r="A35" s="30" t="s">
        <v>1296</v>
      </c>
      <c r="B35" s="46">
        <f t="shared" ref="B35:K35" si="4">1</f>
        <v>1</v>
      </c>
      <c r="C35" s="46">
        <f t="shared" si="4"/>
        <v>1</v>
      </c>
      <c r="D35" s="46">
        <f t="shared" si="4"/>
        <v>1</v>
      </c>
      <c r="E35" s="46">
        <f t="shared" si="4"/>
        <v>1</v>
      </c>
      <c r="F35" s="46">
        <f t="shared" si="4"/>
        <v>1</v>
      </c>
      <c r="G35" s="46">
        <f t="shared" si="4"/>
        <v>1</v>
      </c>
      <c r="H35" s="46">
        <f t="shared" si="4"/>
        <v>1</v>
      </c>
      <c r="I35" s="46">
        <f t="shared" si="4"/>
        <v>1</v>
      </c>
      <c r="J35" s="46">
        <f t="shared" si="4"/>
        <v>1</v>
      </c>
      <c r="K35" s="46">
        <f t="shared" si="4"/>
        <v>1</v>
      </c>
    </row>
    <row r="36" ht="15.75" customHeight="1">
      <c r="A36" s="30" t="s">
        <v>1297</v>
      </c>
      <c r="B36" s="46">
        <f t="shared" ref="B36:K36" si="5">B29</f>
        <v>4</v>
      </c>
      <c r="C36" s="46">
        <f t="shared" si="5"/>
        <v>4</v>
      </c>
      <c r="D36" s="46">
        <f t="shared" si="5"/>
        <v>5</v>
      </c>
      <c r="E36" s="46">
        <f t="shared" si="5"/>
        <v>5</v>
      </c>
      <c r="F36" s="46">
        <f t="shared" si="5"/>
        <v>6</v>
      </c>
      <c r="G36" s="46">
        <f t="shared" si="5"/>
        <v>6</v>
      </c>
      <c r="H36" s="46">
        <f t="shared" si="5"/>
        <v>6</v>
      </c>
      <c r="I36" s="46">
        <f t="shared" si="5"/>
        <v>6</v>
      </c>
      <c r="J36" s="46">
        <f t="shared" si="5"/>
        <v>6</v>
      </c>
      <c r="K36" s="46">
        <f t="shared" si="5"/>
        <v>6</v>
      </c>
    </row>
    <row r="37" ht="15.75" customHeight="1">
      <c r="A37" s="103" t="s">
        <v>1298</v>
      </c>
      <c r="B37" s="115">
        <f t="shared" ref="B37:K37" si="6">B34+B35+B36</f>
        <v>10</v>
      </c>
      <c r="C37" s="115">
        <f t="shared" si="6"/>
        <v>12</v>
      </c>
      <c r="D37" s="115">
        <f t="shared" si="6"/>
        <v>14</v>
      </c>
      <c r="E37" s="115">
        <f t="shared" si="6"/>
        <v>18</v>
      </c>
      <c r="F37" s="115">
        <f t="shared" si="6"/>
        <v>26</v>
      </c>
      <c r="G37" s="115">
        <f t="shared" si="6"/>
        <v>33</v>
      </c>
      <c r="H37" s="115">
        <f t="shared" si="6"/>
        <v>39</v>
      </c>
      <c r="I37" s="115">
        <f t="shared" si="6"/>
        <v>46</v>
      </c>
      <c r="J37" s="115">
        <f t="shared" si="6"/>
        <v>49</v>
      </c>
      <c r="K37" s="115">
        <f t="shared" si="6"/>
        <v>53</v>
      </c>
    </row>
    <row r="38" ht="15.75" customHeight="1">
      <c r="A38" s="30" t="s">
        <v>1299</v>
      </c>
      <c r="B38" s="46">
        <f>'Dotacion Planta'!B104+'Dotacion Planta'!B105</f>
        <v>0</v>
      </c>
      <c r="C38" s="46">
        <f>'Dotacion Planta'!C104+'Dotacion Planta'!C105</f>
        <v>0</v>
      </c>
      <c r="D38" s="46">
        <f>'Dotacion Planta'!D104+'Dotacion Planta'!D105</f>
        <v>0</v>
      </c>
      <c r="E38" s="46">
        <f>'Dotacion Planta'!E104+'Dotacion Planta'!E105</f>
        <v>0</v>
      </c>
      <c r="F38" s="46">
        <f>'Dotacion Planta'!F104+'Dotacion Planta'!F105</f>
        <v>0</v>
      </c>
      <c r="G38" s="46">
        <f>'Dotacion Planta'!G104+'Dotacion Planta'!G105</f>
        <v>0</v>
      </c>
      <c r="H38" s="46">
        <f>'Dotacion Planta'!H104+'Dotacion Planta'!H105</f>
        <v>3</v>
      </c>
      <c r="I38" s="46">
        <f>'Dotacion Planta'!I104+'Dotacion Planta'!I105</f>
        <v>4</v>
      </c>
      <c r="J38" s="46">
        <f>'Dotacion Planta'!J104+'Dotacion Planta'!J105</f>
        <v>6</v>
      </c>
      <c r="K38" s="46">
        <f>'Dotacion Planta'!K104+'Dotacion Planta'!K105</f>
        <v>8</v>
      </c>
    </row>
    <row r="39" ht="15.75" customHeight="1">
      <c r="A39" s="30" t="s">
        <v>1300</v>
      </c>
      <c r="B39" s="46">
        <f>IF('Dotacion Planta'!B101=2,1,0)</f>
        <v>0</v>
      </c>
      <c r="C39" s="46">
        <f>IF('Dotacion Planta'!C101=2,1,0)</f>
        <v>0</v>
      </c>
      <c r="D39" s="46">
        <f>IF('Dotacion Planta'!D101=2,1,0)</f>
        <v>0</v>
      </c>
      <c r="E39" s="46">
        <f>IF('Dotacion Planta'!E101=2,1,0)</f>
        <v>0</v>
      </c>
      <c r="F39" s="46">
        <f>IF('Dotacion Planta'!F101=2,1,0)</f>
        <v>0</v>
      </c>
      <c r="G39" s="46">
        <f>IF('Dotacion Planta'!G101=2,1,0)</f>
        <v>0</v>
      </c>
      <c r="H39" s="46">
        <f>IF('Dotacion Planta'!H101=2,1,0)</f>
        <v>1</v>
      </c>
      <c r="I39" s="46">
        <f>IF('Dotacion Planta'!I101=2,1,0)</f>
        <v>1</v>
      </c>
      <c r="J39" s="46">
        <f>IF('Dotacion Planta'!J101=2,1,0)</f>
        <v>1</v>
      </c>
      <c r="K39" s="46">
        <f>IF('Dotacion Planta'!K101=2,1,0)</f>
        <v>1</v>
      </c>
    </row>
    <row r="40" ht="15.75" customHeight="1">
      <c r="A40" s="30" t="s">
        <v>1301</v>
      </c>
      <c r="B40" s="46">
        <f t="shared" ref="B40:K40" si="7">B30</f>
        <v>0</v>
      </c>
      <c r="C40" s="46">
        <f t="shared" si="7"/>
        <v>0</v>
      </c>
      <c r="D40" s="46">
        <f t="shared" si="7"/>
        <v>0</v>
      </c>
      <c r="E40" s="46">
        <f t="shared" si="7"/>
        <v>0</v>
      </c>
      <c r="F40" s="46">
        <f t="shared" si="7"/>
        <v>0</v>
      </c>
      <c r="G40" s="46">
        <f t="shared" si="7"/>
        <v>0</v>
      </c>
      <c r="H40" s="46">
        <f t="shared" si="7"/>
        <v>1</v>
      </c>
      <c r="I40" s="46">
        <f t="shared" si="7"/>
        <v>1</v>
      </c>
      <c r="J40" s="46">
        <f t="shared" si="7"/>
        <v>1</v>
      </c>
      <c r="K40" s="46">
        <f t="shared" si="7"/>
        <v>1</v>
      </c>
    </row>
    <row r="41" ht="15.75" customHeight="1">
      <c r="A41" s="103" t="s">
        <v>1302</v>
      </c>
      <c r="B41" s="115">
        <f t="shared" ref="B41:K41" si="8">B38+B39+B40</f>
        <v>0</v>
      </c>
      <c r="C41" s="115">
        <f t="shared" si="8"/>
        <v>0</v>
      </c>
      <c r="D41" s="115">
        <f t="shared" si="8"/>
        <v>0</v>
      </c>
      <c r="E41" s="115">
        <f t="shared" si="8"/>
        <v>0</v>
      </c>
      <c r="F41" s="115">
        <f t="shared" si="8"/>
        <v>0</v>
      </c>
      <c r="G41" s="115">
        <f t="shared" si="8"/>
        <v>0</v>
      </c>
      <c r="H41" s="115">
        <f t="shared" si="8"/>
        <v>5</v>
      </c>
      <c r="I41" s="115">
        <f t="shared" si="8"/>
        <v>6</v>
      </c>
      <c r="J41" s="115">
        <f t="shared" si="8"/>
        <v>8</v>
      </c>
      <c r="K41" s="115">
        <f t="shared" si="8"/>
        <v>10</v>
      </c>
    </row>
    <row r="42" ht="15.75" customHeight="1">
      <c r="A42" s="103" t="s">
        <v>1303</v>
      </c>
      <c r="B42" s="115">
        <f t="shared" ref="B42:K42" si="9">B37+B41</f>
        <v>10</v>
      </c>
      <c r="C42" s="115">
        <f t="shared" si="9"/>
        <v>12</v>
      </c>
      <c r="D42" s="115">
        <f t="shared" si="9"/>
        <v>14</v>
      </c>
      <c r="E42" s="115">
        <f t="shared" si="9"/>
        <v>18</v>
      </c>
      <c r="F42" s="115">
        <f t="shared" si="9"/>
        <v>26</v>
      </c>
      <c r="G42" s="115">
        <f t="shared" si="9"/>
        <v>33</v>
      </c>
      <c r="H42" s="115">
        <f t="shared" si="9"/>
        <v>44</v>
      </c>
      <c r="I42" s="115">
        <f t="shared" si="9"/>
        <v>52</v>
      </c>
      <c r="J42" s="115">
        <f t="shared" si="9"/>
        <v>57</v>
      </c>
      <c r="K42" s="115">
        <f t="shared" si="9"/>
        <v>63</v>
      </c>
    </row>
    <row r="43" ht="15.75" customHeight="1"/>
    <row r="44" ht="15.75" customHeight="1">
      <c r="A44" s="45" t="s">
        <v>1304</v>
      </c>
      <c r="B44" s="39">
        <v>2026.0</v>
      </c>
      <c r="C44" s="39">
        <v>2027.0</v>
      </c>
      <c r="D44" s="39">
        <v>2028.0</v>
      </c>
      <c r="E44" s="39">
        <v>2029.0</v>
      </c>
      <c r="F44" s="39">
        <v>2030.0</v>
      </c>
      <c r="G44" s="39">
        <v>2031.0</v>
      </c>
      <c r="H44" s="39">
        <v>2032.0</v>
      </c>
      <c r="I44" s="39">
        <v>2033.0</v>
      </c>
      <c r="J44" s="39">
        <v>2034.0</v>
      </c>
      <c r="K44" s="39">
        <v>2035.0</v>
      </c>
    </row>
    <row r="45" ht="15.75" customHeight="1">
      <c r="A45" s="30" t="s">
        <v>1305</v>
      </c>
      <c r="B45" s="46">
        <f t="shared" ref="B45:K45" si="10">ROUNDUP(B37/2,0)</f>
        <v>5</v>
      </c>
      <c r="C45" s="46">
        <f t="shared" si="10"/>
        <v>6</v>
      </c>
      <c r="D45" s="46">
        <f t="shared" si="10"/>
        <v>7</v>
      </c>
      <c r="E45" s="46">
        <f t="shared" si="10"/>
        <v>9</v>
      </c>
      <c r="F45" s="46">
        <f t="shared" si="10"/>
        <v>13</v>
      </c>
      <c r="G45" s="46">
        <f t="shared" si="10"/>
        <v>17</v>
      </c>
      <c r="H45" s="46">
        <f t="shared" si="10"/>
        <v>20</v>
      </c>
      <c r="I45" s="46">
        <f t="shared" si="10"/>
        <v>23</v>
      </c>
      <c r="J45" s="46">
        <f t="shared" si="10"/>
        <v>25</v>
      </c>
      <c r="K45" s="46">
        <f t="shared" si="10"/>
        <v>27</v>
      </c>
      <c r="M45" s="136"/>
    </row>
    <row r="46" ht="15.75" customHeight="1">
      <c r="A46" s="73" t="s">
        <v>1306</v>
      </c>
      <c r="B46" s="36" t="str">
        <f t="shared" ref="B46:K46" si="11">IF(B45&lt;=$B$7,"OK","NO: faltan "&amp;(B45-$B$7)&amp;" plazas")</f>
        <v>OK</v>
      </c>
      <c r="C46" s="36" t="str">
        <f t="shared" si="11"/>
        <v>OK</v>
      </c>
      <c r="D46" s="36" t="str">
        <f t="shared" si="11"/>
        <v>OK</v>
      </c>
      <c r="E46" s="36" t="str">
        <f t="shared" si="11"/>
        <v>OK</v>
      </c>
      <c r="F46" s="36" t="str">
        <f t="shared" si="11"/>
        <v>OK</v>
      </c>
      <c r="G46" s="36" t="str">
        <f t="shared" si="11"/>
        <v>OK</v>
      </c>
      <c r="H46" s="36" t="str">
        <f t="shared" si="11"/>
        <v>OK</v>
      </c>
      <c r="I46" s="36" t="str">
        <f t="shared" si="11"/>
        <v>OK</v>
      </c>
      <c r="J46" s="36" t="str">
        <f t="shared" si="11"/>
        <v>OK</v>
      </c>
      <c r="K46" s="36" t="str">
        <f t="shared" si="11"/>
        <v>OK</v>
      </c>
    </row>
    <row r="47" ht="15.75" customHeight="1">
      <c r="A47" s="30" t="s">
        <v>1308</v>
      </c>
      <c r="B47" s="46">
        <f t="shared" ref="B47:K47" si="12">MAX(2,ROUNDUP(B37/$B$7,0))</f>
        <v>2</v>
      </c>
      <c r="C47" s="46">
        <f t="shared" si="12"/>
        <v>2</v>
      </c>
      <c r="D47" s="46">
        <f t="shared" si="12"/>
        <v>2</v>
      </c>
      <c r="E47" s="46">
        <f t="shared" si="12"/>
        <v>2</v>
      </c>
      <c r="F47" s="46">
        <f t="shared" si="12"/>
        <v>2</v>
      </c>
      <c r="G47" s="46">
        <f t="shared" si="12"/>
        <v>2</v>
      </c>
      <c r="H47" s="46">
        <f t="shared" si="12"/>
        <v>2</v>
      </c>
      <c r="I47" s="46">
        <f t="shared" si="12"/>
        <v>2</v>
      </c>
      <c r="J47" s="46">
        <f t="shared" si="12"/>
        <v>2</v>
      </c>
      <c r="K47" s="46">
        <f t="shared" si="12"/>
        <v>2</v>
      </c>
      <c r="M47" s="136"/>
    </row>
    <row r="48" ht="15.75" customHeight="1">
      <c r="A48" s="30" t="s">
        <v>1322</v>
      </c>
      <c r="B48" s="46">
        <f t="shared" ref="B48:K48" si="13">B47*$B$6</f>
        <v>60</v>
      </c>
      <c r="C48" s="46">
        <f t="shared" si="13"/>
        <v>60</v>
      </c>
      <c r="D48" s="46">
        <f t="shared" si="13"/>
        <v>60</v>
      </c>
      <c r="E48" s="46">
        <f t="shared" si="13"/>
        <v>60</v>
      </c>
      <c r="F48" s="46">
        <f t="shared" si="13"/>
        <v>60</v>
      </c>
      <c r="G48" s="46">
        <f t="shared" si="13"/>
        <v>60</v>
      </c>
      <c r="H48" s="46">
        <f t="shared" si="13"/>
        <v>60</v>
      </c>
      <c r="I48" s="46">
        <f t="shared" si="13"/>
        <v>60</v>
      </c>
      <c r="J48" s="46">
        <f t="shared" si="13"/>
        <v>60</v>
      </c>
      <c r="K48" s="46">
        <f t="shared" si="13"/>
        <v>60</v>
      </c>
    </row>
    <row r="49" ht="15.75" customHeight="1">
      <c r="A49" s="30" t="s">
        <v>1337</v>
      </c>
      <c r="B49" s="46">
        <f t="shared" ref="B49:K49" si="14">ROUNDUP(B41/2,0)</f>
        <v>0</v>
      </c>
      <c r="C49" s="46">
        <f t="shared" si="14"/>
        <v>0</v>
      </c>
      <c r="D49" s="46">
        <f t="shared" si="14"/>
        <v>0</v>
      </c>
      <c r="E49" s="46">
        <f t="shared" si="14"/>
        <v>0</v>
      </c>
      <c r="F49" s="46">
        <f t="shared" si="14"/>
        <v>0</v>
      </c>
      <c r="G49" s="46">
        <f t="shared" si="14"/>
        <v>0</v>
      </c>
      <c r="H49" s="46">
        <f t="shared" si="14"/>
        <v>3</v>
      </c>
      <c r="I49" s="46">
        <f t="shared" si="14"/>
        <v>3</v>
      </c>
      <c r="J49" s="46">
        <f t="shared" si="14"/>
        <v>4</v>
      </c>
      <c r="K49" s="46">
        <f t="shared" si="14"/>
        <v>5</v>
      </c>
      <c r="M49" s="136"/>
    </row>
    <row r="50" ht="15.75" customHeight="1">
      <c r="A50" s="30" t="s">
        <v>1351</v>
      </c>
      <c r="B50" s="46" t="str">
        <f t="shared" ref="B50:K50" si="15">IF(B49&lt;=$B$7,"OK","NO: faltan "&amp;(B49-$B$7)&amp;" plazas")</f>
        <v>OK</v>
      </c>
      <c r="C50" s="46" t="str">
        <f t="shared" si="15"/>
        <v>OK</v>
      </c>
      <c r="D50" s="46" t="str">
        <f t="shared" si="15"/>
        <v>OK</v>
      </c>
      <c r="E50" s="46" t="str">
        <f t="shared" si="15"/>
        <v>OK</v>
      </c>
      <c r="F50" s="46" t="str">
        <f t="shared" si="15"/>
        <v>OK</v>
      </c>
      <c r="G50" s="46" t="str">
        <f t="shared" si="15"/>
        <v>OK</v>
      </c>
      <c r="H50" s="46" t="str">
        <f t="shared" si="15"/>
        <v>OK</v>
      </c>
      <c r="I50" s="46" t="str">
        <f t="shared" si="15"/>
        <v>OK</v>
      </c>
      <c r="J50" s="46" t="str">
        <f t="shared" si="15"/>
        <v>OK</v>
      </c>
      <c r="K50" s="46" t="str">
        <f t="shared" si="15"/>
        <v>OK</v>
      </c>
    </row>
    <row r="51" ht="15.75" customHeight="1">
      <c r="A51" s="73" t="s">
        <v>1367</v>
      </c>
      <c r="B51" s="36">
        <f t="shared" ref="B51:K51" si="16">MAX(B45,B49)</f>
        <v>5</v>
      </c>
      <c r="C51" s="36">
        <f t="shared" si="16"/>
        <v>6</v>
      </c>
      <c r="D51" s="36">
        <f t="shared" si="16"/>
        <v>7</v>
      </c>
      <c r="E51" s="36">
        <f t="shared" si="16"/>
        <v>9</v>
      </c>
      <c r="F51" s="36">
        <f t="shared" si="16"/>
        <v>13</v>
      </c>
      <c r="G51" s="36">
        <f t="shared" si="16"/>
        <v>17</v>
      </c>
      <c r="H51" s="36">
        <f t="shared" si="16"/>
        <v>20</v>
      </c>
      <c r="I51" s="36">
        <f t="shared" si="16"/>
        <v>23</v>
      </c>
      <c r="J51" s="36">
        <f t="shared" si="16"/>
        <v>25</v>
      </c>
      <c r="K51" s="36">
        <f t="shared" si="16"/>
        <v>27</v>
      </c>
    </row>
    <row r="52" ht="15.75" customHeight="1"/>
    <row r="53" ht="15.75" customHeight="1">
      <c r="A53" s="45" t="s">
        <v>1381</v>
      </c>
      <c r="B53" s="39">
        <v>2026.0</v>
      </c>
      <c r="C53" s="39">
        <v>2027.0</v>
      </c>
      <c r="D53" s="39">
        <v>2028.0</v>
      </c>
      <c r="E53" s="39">
        <v>2029.0</v>
      </c>
      <c r="F53" s="39">
        <v>2030.0</v>
      </c>
      <c r="G53" s="39">
        <v>2031.0</v>
      </c>
      <c r="H53" s="39">
        <v>2032.0</v>
      </c>
      <c r="I53" s="39">
        <v>2033.0</v>
      </c>
      <c r="J53" s="39">
        <v>2034.0</v>
      </c>
      <c r="K53" s="39">
        <v>2035.0</v>
      </c>
    </row>
    <row r="54" ht="39.75" customHeight="1">
      <c r="A54" s="73" t="s">
        <v>1388</v>
      </c>
      <c r="B54" s="36">
        <f t="shared" ref="B54:K54" si="17">MAX(B37,B41)-B55</f>
        <v>9</v>
      </c>
      <c r="C54" s="36">
        <f t="shared" si="17"/>
        <v>10</v>
      </c>
      <c r="D54" s="36">
        <f t="shared" si="17"/>
        <v>12</v>
      </c>
      <c r="E54" s="36">
        <f t="shared" si="17"/>
        <v>16</v>
      </c>
      <c r="F54" s="36">
        <f t="shared" si="17"/>
        <v>23</v>
      </c>
      <c r="G54" s="36">
        <f t="shared" si="17"/>
        <v>29</v>
      </c>
      <c r="H54" s="36">
        <f t="shared" si="17"/>
        <v>35</v>
      </c>
      <c r="I54" s="36">
        <f t="shared" si="17"/>
        <v>41</v>
      </c>
      <c r="J54" s="36">
        <f t="shared" si="17"/>
        <v>44</v>
      </c>
      <c r="K54" s="36">
        <f t="shared" si="17"/>
        <v>47</v>
      </c>
      <c r="M54" s="136"/>
    </row>
    <row r="55" ht="15.75" customHeight="1">
      <c r="A55" s="73" t="s">
        <v>1418</v>
      </c>
      <c r="B55" s="36">
        <f t="shared" ref="B55:K55" si="18">ROUNDUP(MAX(B37,B41)*$B$8,0)</f>
        <v>1</v>
      </c>
      <c r="C55" s="36">
        <f t="shared" si="18"/>
        <v>2</v>
      </c>
      <c r="D55" s="36">
        <f t="shared" si="18"/>
        <v>2</v>
      </c>
      <c r="E55" s="36">
        <f t="shared" si="18"/>
        <v>2</v>
      </c>
      <c r="F55" s="36">
        <f t="shared" si="18"/>
        <v>3</v>
      </c>
      <c r="G55" s="36">
        <f t="shared" si="18"/>
        <v>4</v>
      </c>
      <c r="H55" s="36">
        <f t="shared" si="18"/>
        <v>4</v>
      </c>
      <c r="I55" s="36">
        <f t="shared" si="18"/>
        <v>5</v>
      </c>
      <c r="J55" s="36">
        <f t="shared" si="18"/>
        <v>5</v>
      </c>
      <c r="K55" s="36">
        <f t="shared" si="18"/>
        <v>6</v>
      </c>
    </row>
    <row r="56" ht="15.75" customHeight="1">
      <c r="A56" s="30" t="s">
        <v>1440</v>
      </c>
      <c r="B56" s="46">
        <f t="shared" ref="B56:K56" si="19">IF(B54=0,0,IF(B54&lt;=20,1,1+ROUNDUP((B54-20)/20,0)))</f>
        <v>1</v>
      </c>
      <c r="C56" s="46">
        <f t="shared" si="19"/>
        <v>1</v>
      </c>
      <c r="D56" s="46">
        <f t="shared" si="19"/>
        <v>1</v>
      </c>
      <c r="E56" s="46">
        <f t="shared" si="19"/>
        <v>1</v>
      </c>
      <c r="F56" s="46">
        <f t="shared" si="19"/>
        <v>2</v>
      </c>
      <c r="G56" s="46">
        <f t="shared" si="19"/>
        <v>2</v>
      </c>
      <c r="H56" s="46">
        <f t="shared" si="19"/>
        <v>2</v>
      </c>
      <c r="I56" s="46">
        <f t="shared" si="19"/>
        <v>3</v>
      </c>
      <c r="J56" s="46">
        <f t="shared" si="19"/>
        <v>3</v>
      </c>
      <c r="K56" s="46">
        <f t="shared" si="19"/>
        <v>3</v>
      </c>
    </row>
    <row r="57" ht="15.75" customHeight="1">
      <c r="A57" s="30" t="s">
        <v>1464</v>
      </c>
      <c r="B57" s="215" t="str">
        <f t="shared" ref="B57:K57" si="20">IF($B$12&gt;=B56,"OK","FALTAN "&amp;(B56-$B$12))</f>
        <v>OK</v>
      </c>
      <c r="C57" s="215" t="str">
        <f t="shared" si="20"/>
        <v>OK</v>
      </c>
      <c r="D57" s="215" t="str">
        <f t="shared" si="20"/>
        <v>OK</v>
      </c>
      <c r="E57" s="215" t="str">
        <f t="shared" si="20"/>
        <v>OK</v>
      </c>
      <c r="F57" s="215" t="str">
        <f t="shared" si="20"/>
        <v>OK</v>
      </c>
      <c r="G57" s="215" t="str">
        <f t="shared" si="20"/>
        <v>OK</v>
      </c>
      <c r="H57" s="215" t="str">
        <f t="shared" si="20"/>
        <v>OK</v>
      </c>
      <c r="I57" s="215" t="str">
        <f t="shared" si="20"/>
        <v>OK</v>
      </c>
      <c r="J57" s="215" t="str">
        <f t="shared" si="20"/>
        <v>OK</v>
      </c>
      <c r="K57" s="215" t="str">
        <f t="shared" si="20"/>
        <v>OK</v>
      </c>
    </row>
    <row r="58" ht="15.75" customHeight="1">
      <c r="A58" s="30" t="s">
        <v>1481</v>
      </c>
      <c r="B58" s="46">
        <f t="shared" ref="B58:K58" si="21">IF(B54=0,0,IF(B54&lt;=10,1,IF(B54&lt;=20,2,2+ROUNDUP((B54-20)/10,0))))</f>
        <v>1</v>
      </c>
      <c r="C58" s="46">
        <f t="shared" si="21"/>
        <v>1</v>
      </c>
      <c r="D58" s="46">
        <f t="shared" si="21"/>
        <v>2</v>
      </c>
      <c r="E58" s="46">
        <f t="shared" si="21"/>
        <v>2</v>
      </c>
      <c r="F58" s="46">
        <f t="shared" si="21"/>
        <v>3</v>
      </c>
      <c r="G58" s="46">
        <f t="shared" si="21"/>
        <v>3</v>
      </c>
      <c r="H58" s="46">
        <f t="shared" si="21"/>
        <v>4</v>
      </c>
      <c r="I58" s="46">
        <f t="shared" si="21"/>
        <v>5</v>
      </c>
      <c r="J58" s="46">
        <f t="shared" si="21"/>
        <v>5</v>
      </c>
      <c r="K58" s="46">
        <f t="shared" si="21"/>
        <v>5</v>
      </c>
      <c r="L58" s="261" t="s">
        <v>1510</v>
      </c>
      <c r="M58" s="17"/>
    </row>
    <row r="59" ht="15.75" customHeight="1">
      <c r="A59" s="30" t="s">
        <v>1518</v>
      </c>
      <c r="B59" s="215" t="str">
        <f t="shared" ref="B59:K59" si="22">IF($B$13&gt;=B58,"OK","FALTAN "&amp;(B58-$B$13))</f>
        <v>OK</v>
      </c>
      <c r="C59" s="215" t="str">
        <f t="shared" si="22"/>
        <v>OK</v>
      </c>
      <c r="D59" s="215" t="str">
        <f t="shared" si="22"/>
        <v>OK</v>
      </c>
      <c r="E59" s="215" t="str">
        <f t="shared" si="22"/>
        <v>OK</v>
      </c>
      <c r="F59" s="215" t="str">
        <f t="shared" si="22"/>
        <v>OK</v>
      </c>
      <c r="G59" s="215" t="str">
        <f t="shared" si="22"/>
        <v>OK</v>
      </c>
      <c r="H59" s="215" t="str">
        <f t="shared" si="22"/>
        <v>OK</v>
      </c>
      <c r="I59" s="215" t="str">
        <f t="shared" si="22"/>
        <v>OK</v>
      </c>
      <c r="J59" s="215" t="str">
        <f t="shared" si="22"/>
        <v>OK</v>
      </c>
      <c r="K59" s="215" t="str">
        <f t="shared" si="22"/>
        <v>OK</v>
      </c>
    </row>
    <row r="60" ht="15.75" customHeight="1">
      <c r="A60" s="30" t="s">
        <v>1537</v>
      </c>
      <c r="B60" s="46">
        <f t="shared" ref="B60:K60" si="23">IF(B54&lt;=10,0,IF(B54&lt;=20,1,1+ROUNDUP((B54-20)/10,0)))</f>
        <v>0</v>
      </c>
      <c r="C60" s="46">
        <f t="shared" si="23"/>
        <v>0</v>
      </c>
      <c r="D60" s="46">
        <f t="shared" si="23"/>
        <v>1</v>
      </c>
      <c r="E60" s="46">
        <f t="shared" si="23"/>
        <v>1</v>
      </c>
      <c r="F60" s="46">
        <f t="shared" si="23"/>
        <v>2</v>
      </c>
      <c r="G60" s="46">
        <f t="shared" si="23"/>
        <v>2</v>
      </c>
      <c r="H60" s="46">
        <f t="shared" si="23"/>
        <v>3</v>
      </c>
      <c r="I60" s="46">
        <f t="shared" si="23"/>
        <v>4</v>
      </c>
      <c r="J60" s="46">
        <f t="shared" si="23"/>
        <v>4</v>
      </c>
      <c r="K60" s="46">
        <f t="shared" si="23"/>
        <v>4</v>
      </c>
    </row>
    <row r="61" ht="15.75" customHeight="1">
      <c r="A61" s="30" t="s">
        <v>1560</v>
      </c>
      <c r="B61" s="215" t="str">
        <f t="shared" ref="B61:K61" si="24">IF($B$14&gt;=B60,"OK","FALTAN "&amp;(B60-$B$14))</f>
        <v>OK</v>
      </c>
      <c r="C61" s="215" t="str">
        <f t="shared" si="24"/>
        <v>OK</v>
      </c>
      <c r="D61" s="215" t="str">
        <f t="shared" si="24"/>
        <v>OK</v>
      </c>
      <c r="E61" s="215" t="str">
        <f t="shared" si="24"/>
        <v>OK</v>
      </c>
      <c r="F61" s="215" t="str">
        <f t="shared" si="24"/>
        <v>OK</v>
      </c>
      <c r="G61" s="215" t="str">
        <f t="shared" si="24"/>
        <v>OK</v>
      </c>
      <c r="H61" s="215" t="str">
        <f t="shared" si="24"/>
        <v>OK</v>
      </c>
      <c r="I61" s="215" t="str">
        <f t="shared" si="24"/>
        <v>OK</v>
      </c>
      <c r="J61" s="215" t="str">
        <f t="shared" si="24"/>
        <v>OK</v>
      </c>
      <c r="K61" s="215" t="str">
        <f t="shared" si="24"/>
        <v>OK</v>
      </c>
    </row>
    <row r="62" ht="15.75" customHeight="1">
      <c r="A62" s="30" t="s">
        <v>1580</v>
      </c>
      <c r="B62" s="46">
        <f t="shared" ref="B62:K62" si="25">IF(B54=0,0,IF(B54&lt;=10,1,IF(B54&lt;=20,2,2+ROUNDUP((B54-20)/20,0))))</f>
        <v>1</v>
      </c>
      <c r="C62" s="46">
        <f t="shared" si="25"/>
        <v>1</v>
      </c>
      <c r="D62" s="46">
        <f t="shared" si="25"/>
        <v>2</v>
      </c>
      <c r="E62" s="46">
        <f t="shared" si="25"/>
        <v>2</v>
      </c>
      <c r="F62" s="46">
        <f t="shared" si="25"/>
        <v>3</v>
      </c>
      <c r="G62" s="46">
        <f t="shared" si="25"/>
        <v>3</v>
      </c>
      <c r="H62" s="46">
        <f t="shared" si="25"/>
        <v>3</v>
      </c>
      <c r="I62" s="46">
        <f t="shared" si="25"/>
        <v>4</v>
      </c>
      <c r="J62" s="46">
        <f t="shared" si="25"/>
        <v>4</v>
      </c>
      <c r="K62" s="46">
        <f t="shared" si="25"/>
        <v>4</v>
      </c>
    </row>
    <row r="63" ht="15.75" customHeight="1">
      <c r="A63" s="30" t="s">
        <v>1583</v>
      </c>
      <c r="B63" s="215" t="str">
        <f t="shared" ref="B63:K63" si="26">IF($B$15&gt;=B62,"OK","FALTAN "&amp;(B62-$B$15))</f>
        <v>OK</v>
      </c>
      <c r="C63" s="215" t="str">
        <f t="shared" si="26"/>
        <v>OK</v>
      </c>
      <c r="D63" s="215" t="str">
        <f t="shared" si="26"/>
        <v>OK</v>
      </c>
      <c r="E63" s="215" t="str">
        <f t="shared" si="26"/>
        <v>OK</v>
      </c>
      <c r="F63" s="215" t="str">
        <f t="shared" si="26"/>
        <v>OK</v>
      </c>
      <c r="G63" s="215" t="str">
        <f t="shared" si="26"/>
        <v>OK</v>
      </c>
      <c r="H63" s="215" t="str">
        <f t="shared" si="26"/>
        <v>OK</v>
      </c>
      <c r="I63" s="215" t="str">
        <f t="shared" si="26"/>
        <v>OK</v>
      </c>
      <c r="J63" s="215" t="str">
        <f t="shared" si="26"/>
        <v>OK</v>
      </c>
      <c r="K63" s="215" t="str">
        <f t="shared" si="26"/>
        <v>OK</v>
      </c>
    </row>
    <row r="64" ht="15.75" customHeight="1">
      <c r="A64" s="30" t="s">
        <v>1584</v>
      </c>
      <c r="B64" s="46">
        <f t="shared" ref="B64:K64" si="27">IF(B55=0,0,IF(B55&lt;=20,1,1+ROUNDUP((B55-20)/20,0)))</f>
        <v>1</v>
      </c>
      <c r="C64" s="46">
        <f t="shared" si="27"/>
        <v>1</v>
      </c>
      <c r="D64" s="46">
        <f t="shared" si="27"/>
        <v>1</v>
      </c>
      <c r="E64" s="46">
        <f t="shared" si="27"/>
        <v>1</v>
      </c>
      <c r="F64" s="46">
        <f t="shared" si="27"/>
        <v>1</v>
      </c>
      <c r="G64" s="46">
        <f t="shared" si="27"/>
        <v>1</v>
      </c>
      <c r="H64" s="46">
        <f t="shared" si="27"/>
        <v>1</v>
      </c>
      <c r="I64" s="46">
        <f t="shared" si="27"/>
        <v>1</v>
      </c>
      <c r="J64" s="46">
        <f t="shared" si="27"/>
        <v>1</v>
      </c>
      <c r="K64" s="46">
        <f t="shared" si="27"/>
        <v>1</v>
      </c>
    </row>
    <row r="65" ht="15.75" customHeight="1">
      <c r="A65" s="30" t="s">
        <v>1585</v>
      </c>
      <c r="B65" s="215" t="str">
        <f t="shared" ref="B65:K65" si="28">IF($B$16&gt;=B64,"OK","FALTAN "&amp;(B64-$B$16))</f>
        <v>OK</v>
      </c>
      <c r="C65" s="215" t="str">
        <f t="shared" si="28"/>
        <v>OK</v>
      </c>
      <c r="D65" s="215" t="str">
        <f t="shared" si="28"/>
        <v>OK</v>
      </c>
      <c r="E65" s="215" t="str">
        <f t="shared" si="28"/>
        <v>OK</v>
      </c>
      <c r="F65" s="215" t="str">
        <f t="shared" si="28"/>
        <v>OK</v>
      </c>
      <c r="G65" s="215" t="str">
        <f t="shared" si="28"/>
        <v>OK</v>
      </c>
      <c r="H65" s="215" t="str">
        <f t="shared" si="28"/>
        <v>OK</v>
      </c>
      <c r="I65" s="215" t="str">
        <f t="shared" si="28"/>
        <v>OK</v>
      </c>
      <c r="J65" s="215" t="str">
        <f t="shared" si="28"/>
        <v>OK</v>
      </c>
      <c r="K65" s="215" t="str">
        <f t="shared" si="28"/>
        <v>OK</v>
      </c>
    </row>
    <row r="66" ht="15.75" customHeight="1">
      <c r="A66" s="30" t="s">
        <v>1586</v>
      </c>
      <c r="B66" s="46">
        <f t="shared" ref="B66:K66" si="29">IF(B55=0,0,IF(B55&lt;=10,1,IF(B55&lt;=20,2,2+ROUNDUP((B55-20)/10,0))))</f>
        <v>1</v>
      </c>
      <c r="C66" s="46">
        <f t="shared" si="29"/>
        <v>1</v>
      </c>
      <c r="D66" s="46">
        <f t="shared" si="29"/>
        <v>1</v>
      </c>
      <c r="E66" s="46">
        <f t="shared" si="29"/>
        <v>1</v>
      </c>
      <c r="F66" s="46">
        <f t="shared" si="29"/>
        <v>1</v>
      </c>
      <c r="G66" s="46">
        <f t="shared" si="29"/>
        <v>1</v>
      </c>
      <c r="H66" s="46">
        <f t="shared" si="29"/>
        <v>1</v>
      </c>
      <c r="I66" s="46">
        <f t="shared" si="29"/>
        <v>1</v>
      </c>
      <c r="J66" s="46">
        <f t="shared" si="29"/>
        <v>1</v>
      </c>
      <c r="K66" s="46">
        <f t="shared" si="29"/>
        <v>1</v>
      </c>
    </row>
    <row r="67" ht="15.75" customHeight="1">
      <c r="A67" s="30" t="s">
        <v>1587</v>
      </c>
      <c r="B67" s="215" t="str">
        <f t="shared" ref="B67:K67" si="30">IF($B$17&gt;=B66,"OK","FALTAN "&amp;(B66-$B$17))</f>
        <v>OK</v>
      </c>
      <c r="C67" s="215" t="str">
        <f t="shared" si="30"/>
        <v>OK</v>
      </c>
      <c r="D67" s="215" t="str">
        <f t="shared" si="30"/>
        <v>OK</v>
      </c>
      <c r="E67" s="215" t="str">
        <f t="shared" si="30"/>
        <v>OK</v>
      </c>
      <c r="F67" s="215" t="str">
        <f t="shared" si="30"/>
        <v>OK</v>
      </c>
      <c r="G67" s="215" t="str">
        <f t="shared" si="30"/>
        <v>OK</v>
      </c>
      <c r="H67" s="215" t="str">
        <f t="shared" si="30"/>
        <v>OK</v>
      </c>
      <c r="I67" s="215" t="str">
        <f t="shared" si="30"/>
        <v>OK</v>
      </c>
      <c r="J67" s="215" t="str">
        <f t="shared" si="30"/>
        <v>OK</v>
      </c>
      <c r="K67" s="215" t="str">
        <f t="shared" si="30"/>
        <v>OK</v>
      </c>
    </row>
    <row r="68" ht="15.75" customHeight="1">
      <c r="A68" s="30" t="s">
        <v>1588</v>
      </c>
      <c r="B68" s="46">
        <f t="shared" ref="B68:K68" si="31">IF(B55=0,0,IF(B55&lt;=10,1,IF(B55&lt;=20,2,2+ROUNDUP((B55-20)/20,0))))</f>
        <v>1</v>
      </c>
      <c r="C68" s="46">
        <f t="shared" si="31"/>
        <v>1</v>
      </c>
      <c r="D68" s="46">
        <f t="shared" si="31"/>
        <v>1</v>
      </c>
      <c r="E68" s="46">
        <f t="shared" si="31"/>
        <v>1</v>
      </c>
      <c r="F68" s="46">
        <f t="shared" si="31"/>
        <v>1</v>
      </c>
      <c r="G68" s="46">
        <f t="shared" si="31"/>
        <v>1</v>
      </c>
      <c r="H68" s="46">
        <f t="shared" si="31"/>
        <v>1</v>
      </c>
      <c r="I68" s="46">
        <f t="shared" si="31"/>
        <v>1</v>
      </c>
      <c r="J68" s="46">
        <f t="shared" si="31"/>
        <v>1</v>
      </c>
      <c r="K68" s="46">
        <f t="shared" si="31"/>
        <v>1</v>
      </c>
    </row>
    <row r="69" ht="15.75" customHeight="1">
      <c r="A69" s="30" t="s">
        <v>1590</v>
      </c>
      <c r="B69" s="215" t="str">
        <f t="shared" ref="B69:K69" si="32">IF($B$18&gt;=B68,"OK","FALTAN "&amp;(B68-$B$18))</f>
        <v>OK</v>
      </c>
      <c r="C69" s="215" t="str">
        <f t="shared" si="32"/>
        <v>OK</v>
      </c>
      <c r="D69" s="215" t="str">
        <f t="shared" si="32"/>
        <v>OK</v>
      </c>
      <c r="E69" s="215" t="str">
        <f t="shared" si="32"/>
        <v>OK</v>
      </c>
      <c r="F69" s="215" t="str">
        <f t="shared" si="32"/>
        <v>OK</v>
      </c>
      <c r="G69" s="215" t="str">
        <f t="shared" si="32"/>
        <v>OK</v>
      </c>
      <c r="H69" s="215" t="str">
        <f t="shared" si="32"/>
        <v>OK</v>
      </c>
      <c r="I69" s="215" t="str">
        <f t="shared" si="32"/>
        <v>OK</v>
      </c>
      <c r="J69" s="215" t="str">
        <f t="shared" si="32"/>
        <v>OK</v>
      </c>
      <c r="K69" s="215" t="str">
        <f t="shared" si="32"/>
        <v>OK</v>
      </c>
    </row>
    <row r="70" ht="15.75" customHeight="1"/>
    <row r="71" ht="15.75" customHeight="1">
      <c r="A71" s="45" t="s">
        <v>1593</v>
      </c>
      <c r="B71" s="39">
        <v>2026.0</v>
      </c>
      <c r="C71" s="39">
        <v>2027.0</v>
      </c>
      <c r="D71" s="39">
        <v>2028.0</v>
      </c>
      <c r="E71" s="39">
        <v>2029.0</v>
      </c>
      <c r="F71" s="39">
        <v>2030.0</v>
      </c>
      <c r="G71" s="39">
        <v>2031.0</v>
      </c>
      <c r="H71" s="39">
        <v>2032.0</v>
      </c>
      <c r="I71" s="39">
        <v>2033.0</v>
      </c>
      <c r="J71" s="39">
        <v>2034.0</v>
      </c>
      <c r="K71" s="39">
        <v>2035.0</v>
      </c>
    </row>
    <row r="72" ht="15.75" customHeight="1">
      <c r="A72" s="30" t="s">
        <v>1594</v>
      </c>
      <c r="B72" s="46">
        <f t="shared" ref="B72:K72" si="33">B42-ROUNDUP(B42*$B$8,0)</f>
        <v>9</v>
      </c>
      <c r="C72" s="46">
        <f t="shared" si="33"/>
        <v>10</v>
      </c>
      <c r="D72" s="46">
        <f t="shared" si="33"/>
        <v>12</v>
      </c>
      <c r="E72" s="46">
        <f t="shared" si="33"/>
        <v>16</v>
      </c>
      <c r="F72" s="46">
        <f t="shared" si="33"/>
        <v>23</v>
      </c>
      <c r="G72" s="46">
        <f t="shared" si="33"/>
        <v>29</v>
      </c>
      <c r="H72" s="46">
        <f t="shared" si="33"/>
        <v>39</v>
      </c>
      <c r="I72" s="46">
        <f t="shared" si="33"/>
        <v>46</v>
      </c>
      <c r="J72" s="46">
        <f t="shared" si="33"/>
        <v>51</v>
      </c>
      <c r="K72" s="46">
        <f t="shared" si="33"/>
        <v>56</v>
      </c>
    </row>
    <row r="73" ht="15.75" customHeight="1">
      <c r="A73" s="30" t="s">
        <v>1596</v>
      </c>
      <c r="B73" s="46">
        <f t="shared" ref="B73:K73" si="34">ROUNDUP(B42*$B$8,0)</f>
        <v>1</v>
      </c>
      <c r="C73" s="46">
        <f t="shared" si="34"/>
        <v>2</v>
      </c>
      <c r="D73" s="46">
        <f t="shared" si="34"/>
        <v>2</v>
      </c>
      <c r="E73" s="46">
        <f t="shared" si="34"/>
        <v>2</v>
      </c>
      <c r="F73" s="46">
        <f t="shared" si="34"/>
        <v>3</v>
      </c>
      <c r="G73" s="46">
        <f t="shared" si="34"/>
        <v>4</v>
      </c>
      <c r="H73" s="46">
        <f t="shared" si="34"/>
        <v>5</v>
      </c>
      <c r="I73" s="46">
        <f t="shared" si="34"/>
        <v>6</v>
      </c>
      <c r="J73" s="46">
        <f t="shared" si="34"/>
        <v>6</v>
      </c>
      <c r="K73" s="46">
        <f t="shared" si="34"/>
        <v>7</v>
      </c>
    </row>
    <row r="74" ht="15.75" customHeight="1">
      <c r="A74" s="73" t="s">
        <v>1599</v>
      </c>
      <c r="B74" s="36" t="str">
        <f t="shared" ref="B74:K74" si="35">IF($B$10&gt;=B72,"OK","FALTAN "&amp;(B72-$B$10))</f>
        <v>OK</v>
      </c>
      <c r="C74" s="36" t="str">
        <f t="shared" si="35"/>
        <v>OK</v>
      </c>
      <c r="D74" s="36" t="str">
        <f t="shared" si="35"/>
        <v>OK</v>
      </c>
      <c r="E74" s="36" t="str">
        <f t="shared" si="35"/>
        <v>OK</v>
      </c>
      <c r="F74" s="36" t="str">
        <f t="shared" si="35"/>
        <v>OK</v>
      </c>
      <c r="G74" s="36" t="str">
        <f t="shared" si="35"/>
        <v>OK</v>
      </c>
      <c r="H74" s="36" t="str">
        <f t="shared" si="35"/>
        <v>OK</v>
      </c>
      <c r="I74" s="36" t="str">
        <f t="shared" si="35"/>
        <v>OK</v>
      </c>
      <c r="J74" s="36" t="str">
        <f t="shared" si="35"/>
        <v>OK</v>
      </c>
      <c r="K74" s="36" t="str">
        <f t="shared" si="35"/>
        <v>FALTAN 1</v>
      </c>
    </row>
    <row r="75" ht="15.75" customHeight="1">
      <c r="A75" s="73" t="s">
        <v>1600</v>
      </c>
      <c r="B75" s="36" t="str">
        <f t="shared" ref="B75:K75" si="36">IF($B$11&gt;=B73,"OK","FALTAN "&amp;(B73-$B$11))</f>
        <v>OK</v>
      </c>
      <c r="C75" s="36" t="str">
        <f t="shared" si="36"/>
        <v>OK</v>
      </c>
      <c r="D75" s="36" t="str">
        <f t="shared" si="36"/>
        <v>OK</v>
      </c>
      <c r="E75" s="36" t="str">
        <f t="shared" si="36"/>
        <v>OK</v>
      </c>
      <c r="F75" s="36" t="str">
        <f t="shared" si="36"/>
        <v>OK</v>
      </c>
      <c r="G75" s="36" t="str">
        <f t="shared" si="36"/>
        <v>OK</v>
      </c>
      <c r="H75" s="36" t="str">
        <f t="shared" si="36"/>
        <v>OK</v>
      </c>
      <c r="I75" s="36" t="str">
        <f t="shared" si="36"/>
        <v>OK</v>
      </c>
      <c r="J75" s="36" t="str">
        <f t="shared" si="36"/>
        <v>OK</v>
      </c>
      <c r="K75" s="36" t="str">
        <f t="shared" si="36"/>
        <v>OK</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L1"/>
    <mergeCell ref="A2:L2"/>
    <mergeCell ref="C7:D7"/>
    <mergeCell ref="L58:M58"/>
  </mergeCells>
  <conditionalFormatting sqref="B46:K50">
    <cfRule type="expression" dxfId="7" priority="1">
      <formula>LEFT(B46,2)="NO"</formula>
    </cfRule>
  </conditionalFormatting>
  <conditionalFormatting sqref="B56:K69">
    <cfRule type="expression" dxfId="11" priority="2">
      <formula>LEFT(B56,6)="FALTAN"</formula>
    </cfRule>
  </conditionalFormatting>
  <conditionalFormatting sqref="B74:K75">
    <cfRule type="expression" dxfId="11" priority="3">
      <formula>LEFT(B74,6)="FALTAN"</formula>
    </cfRule>
  </conditionalFormatting>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22.0"/>
    <col customWidth="1" min="2" max="2" width="8.0"/>
    <col customWidth="1" min="3" max="3" width="120.0"/>
    <col customWidth="1" min="4" max="26" width="8.63"/>
  </cols>
  <sheetData>
    <row r="1">
      <c r="A1" s="39" t="s">
        <v>1307</v>
      </c>
      <c r="B1" s="39" t="s">
        <v>1309</v>
      </c>
      <c r="C1" s="39" t="s">
        <v>1310</v>
      </c>
    </row>
    <row r="2">
      <c r="A2" s="30" t="s">
        <v>1311</v>
      </c>
      <c r="B2" s="118" t="s">
        <v>1312</v>
      </c>
      <c r="C2" s="136" t="s">
        <v>1313</v>
      </c>
    </row>
    <row r="3">
      <c r="A3" s="30" t="s">
        <v>1311</v>
      </c>
      <c r="B3" s="118" t="s">
        <v>1314</v>
      </c>
      <c r="C3" s="136" t="s">
        <v>1315</v>
      </c>
    </row>
    <row r="4">
      <c r="A4" s="30" t="s">
        <v>1311</v>
      </c>
      <c r="B4" s="118" t="s">
        <v>1316</v>
      </c>
      <c r="C4" s="136" t="s">
        <v>1317</v>
      </c>
    </row>
    <row r="5">
      <c r="A5" s="30" t="s">
        <v>1311</v>
      </c>
      <c r="B5" s="118" t="s">
        <v>1318</v>
      </c>
      <c r="C5" s="136" t="s">
        <v>1319</v>
      </c>
    </row>
    <row r="6">
      <c r="A6" s="30" t="s">
        <v>1311</v>
      </c>
      <c r="B6" s="118" t="s">
        <v>1320</v>
      </c>
      <c r="C6" s="136" t="s">
        <v>1321</v>
      </c>
    </row>
    <row r="7">
      <c r="A7" s="30" t="s">
        <v>1311</v>
      </c>
      <c r="B7" s="118" t="s">
        <v>1323</v>
      </c>
      <c r="C7" s="136" t="s">
        <v>1324</v>
      </c>
    </row>
    <row r="8">
      <c r="A8" s="30" t="s">
        <v>1311</v>
      </c>
      <c r="B8" s="118" t="s">
        <v>1325</v>
      </c>
      <c r="C8" s="136" t="s">
        <v>1326</v>
      </c>
    </row>
    <row r="9">
      <c r="A9" s="30" t="s">
        <v>1311</v>
      </c>
      <c r="B9" s="118" t="s">
        <v>1327</v>
      </c>
      <c r="C9" s="136" t="s">
        <v>1328</v>
      </c>
    </row>
    <row r="10">
      <c r="A10" s="30" t="s">
        <v>1311</v>
      </c>
      <c r="B10" s="118" t="s">
        <v>1329</v>
      </c>
      <c r="C10" s="136" t="s">
        <v>1330</v>
      </c>
    </row>
    <row r="11">
      <c r="A11" s="30" t="s">
        <v>1311</v>
      </c>
      <c r="B11" s="118" t="s">
        <v>1331</v>
      </c>
      <c r="C11" s="136" t="s">
        <v>1332</v>
      </c>
    </row>
    <row r="12">
      <c r="A12" s="30" t="s">
        <v>1311</v>
      </c>
      <c r="B12" s="118" t="s">
        <v>1333</v>
      </c>
      <c r="C12" s="136" t="s">
        <v>1334</v>
      </c>
    </row>
    <row r="13">
      <c r="A13" s="30" t="s">
        <v>1311</v>
      </c>
      <c r="B13" s="118" t="s">
        <v>1335</v>
      </c>
      <c r="C13" s="136" t="s">
        <v>1336</v>
      </c>
    </row>
    <row r="14">
      <c r="A14" s="30" t="s">
        <v>1311</v>
      </c>
      <c r="B14" s="118" t="s">
        <v>1338</v>
      </c>
      <c r="C14" s="136" t="s">
        <v>1339</v>
      </c>
    </row>
    <row r="15">
      <c r="A15" s="30" t="s">
        <v>1311</v>
      </c>
      <c r="B15" s="118" t="s">
        <v>1340</v>
      </c>
      <c r="C15" s="136" t="s">
        <v>1341</v>
      </c>
    </row>
    <row r="16">
      <c r="A16" s="30" t="s">
        <v>1311</v>
      </c>
      <c r="B16" s="118" t="s">
        <v>1342</v>
      </c>
      <c r="C16" s="136" t="s">
        <v>1343</v>
      </c>
    </row>
    <row r="17">
      <c r="A17" s="30" t="s">
        <v>1311</v>
      </c>
      <c r="B17" s="118" t="s">
        <v>1344</v>
      </c>
      <c r="C17" s="136" t="s">
        <v>1345</v>
      </c>
    </row>
    <row r="18">
      <c r="A18" s="30" t="s">
        <v>1311</v>
      </c>
      <c r="B18" s="118" t="s">
        <v>1346</v>
      </c>
      <c r="C18" s="136" t="s">
        <v>1347</v>
      </c>
    </row>
    <row r="19">
      <c r="A19" s="30" t="s">
        <v>1311</v>
      </c>
      <c r="B19" s="118" t="s">
        <v>1348</v>
      </c>
      <c r="C19" s="136" t="s">
        <v>1349</v>
      </c>
    </row>
    <row r="20">
      <c r="A20" s="30" t="s">
        <v>1350</v>
      </c>
      <c r="B20" s="118" t="s">
        <v>1352</v>
      </c>
      <c r="C20" s="136" t="s">
        <v>1353</v>
      </c>
    </row>
    <row r="21" ht="15.75" customHeight="1">
      <c r="A21" s="30" t="s">
        <v>1350</v>
      </c>
      <c r="B21" s="118" t="s">
        <v>1354</v>
      </c>
      <c r="C21" s="136" t="s">
        <v>1355</v>
      </c>
    </row>
    <row r="22" ht="15.75" customHeight="1">
      <c r="A22" s="30" t="s">
        <v>1350</v>
      </c>
      <c r="B22" s="118" t="s">
        <v>1356</v>
      </c>
      <c r="C22" s="136" t="s">
        <v>1357</v>
      </c>
    </row>
    <row r="23" ht="15.75" customHeight="1">
      <c r="A23" s="30" t="s">
        <v>1350</v>
      </c>
      <c r="B23" s="118" t="s">
        <v>1358</v>
      </c>
      <c r="C23" s="136" t="s">
        <v>1359</v>
      </c>
    </row>
    <row r="24" ht="15.75" customHeight="1">
      <c r="A24" s="30" t="s">
        <v>1350</v>
      </c>
      <c r="B24" s="118" t="s">
        <v>1360</v>
      </c>
      <c r="C24" s="136" t="s">
        <v>1361</v>
      </c>
    </row>
    <row r="25" ht="15.75" customHeight="1">
      <c r="A25" s="30" t="s">
        <v>1350</v>
      </c>
      <c r="B25" s="118" t="s">
        <v>1362</v>
      </c>
      <c r="C25" s="136" t="s">
        <v>1363</v>
      </c>
    </row>
    <row r="26" ht="15.75" customHeight="1">
      <c r="A26" s="30" t="s">
        <v>1350</v>
      </c>
      <c r="B26" s="118" t="s">
        <v>1364</v>
      </c>
      <c r="C26" s="136" t="s">
        <v>1365</v>
      </c>
    </row>
    <row r="27" ht="15.75" customHeight="1">
      <c r="A27" s="30" t="s">
        <v>1350</v>
      </c>
      <c r="B27" s="118" t="s">
        <v>1366</v>
      </c>
      <c r="C27" s="136" t="s">
        <v>1368</v>
      </c>
    </row>
    <row r="28" ht="15.75" customHeight="1">
      <c r="A28" s="30" t="s">
        <v>1350</v>
      </c>
      <c r="B28" s="118" t="s">
        <v>1369</v>
      </c>
      <c r="C28" s="136" t="s">
        <v>1370</v>
      </c>
    </row>
    <row r="29" ht="15.75" customHeight="1">
      <c r="A29" s="30" t="s">
        <v>1350</v>
      </c>
      <c r="B29" s="118" t="s">
        <v>1371</v>
      </c>
      <c r="C29" s="136" t="s">
        <v>1372</v>
      </c>
    </row>
    <row r="30" ht="15.75" customHeight="1">
      <c r="A30" s="30" t="s">
        <v>1350</v>
      </c>
      <c r="B30" s="118" t="s">
        <v>1373</v>
      </c>
      <c r="C30" s="136" t="s">
        <v>1374</v>
      </c>
    </row>
    <row r="31" ht="15.75" customHeight="1">
      <c r="A31" s="30" t="s">
        <v>1350</v>
      </c>
      <c r="B31" s="118" t="s">
        <v>1375</v>
      </c>
      <c r="C31" s="136" t="s">
        <v>1376</v>
      </c>
    </row>
    <row r="32" ht="15.75" customHeight="1">
      <c r="A32" s="30" t="s">
        <v>1350</v>
      </c>
      <c r="B32" s="118" t="s">
        <v>1377</v>
      </c>
      <c r="C32" s="136" t="s">
        <v>1378</v>
      </c>
    </row>
    <row r="33" ht="15.75" customHeight="1">
      <c r="A33" s="30" t="s">
        <v>1350</v>
      </c>
      <c r="B33" s="118" t="s">
        <v>1379</v>
      </c>
      <c r="C33" s="136" t="s">
        <v>1380</v>
      </c>
    </row>
    <row r="34" ht="15.75" customHeight="1">
      <c r="A34" s="30" t="s">
        <v>1350</v>
      </c>
      <c r="B34" s="118" t="s">
        <v>1382</v>
      </c>
      <c r="C34" s="136" t="s">
        <v>1383</v>
      </c>
    </row>
    <row r="35" ht="15.75" customHeight="1">
      <c r="A35" s="30" t="s">
        <v>1350</v>
      </c>
      <c r="B35" s="118" t="s">
        <v>1384</v>
      </c>
      <c r="C35" s="136" t="s">
        <v>1385</v>
      </c>
    </row>
    <row r="36" ht="15.75" customHeight="1">
      <c r="A36" s="30" t="s">
        <v>1350</v>
      </c>
      <c r="B36" s="118" t="s">
        <v>1386</v>
      </c>
      <c r="C36" s="136" t="s">
        <v>1387</v>
      </c>
    </row>
    <row r="37" ht="15.75" customHeight="1">
      <c r="A37" s="30" t="s">
        <v>1350</v>
      </c>
      <c r="B37" s="118" t="s">
        <v>1389</v>
      </c>
      <c r="C37" s="136" t="s">
        <v>1390</v>
      </c>
    </row>
    <row r="38" ht="15.75" customHeight="1">
      <c r="A38" s="30" t="s">
        <v>1350</v>
      </c>
      <c r="B38" s="118" t="s">
        <v>1391</v>
      </c>
      <c r="C38" s="136" t="s">
        <v>1392</v>
      </c>
    </row>
    <row r="39" ht="15.75" customHeight="1">
      <c r="A39" s="30" t="s">
        <v>1350</v>
      </c>
      <c r="B39" s="118" t="s">
        <v>1393</v>
      </c>
      <c r="C39" s="136" t="s">
        <v>1394</v>
      </c>
    </row>
    <row r="40" ht="15.75" customHeight="1">
      <c r="A40" s="30" t="s">
        <v>1350</v>
      </c>
      <c r="B40" s="118" t="s">
        <v>1395</v>
      </c>
      <c r="C40" s="136" t="s">
        <v>1396</v>
      </c>
    </row>
    <row r="41" ht="15.75" customHeight="1">
      <c r="A41" s="30" t="s">
        <v>1350</v>
      </c>
      <c r="B41" s="118" t="s">
        <v>1397</v>
      </c>
      <c r="C41" s="136" t="s">
        <v>1398</v>
      </c>
    </row>
    <row r="42" ht="15.75" customHeight="1">
      <c r="A42" s="30" t="s">
        <v>1350</v>
      </c>
      <c r="B42" s="118" t="s">
        <v>1399</v>
      </c>
      <c r="C42" s="136" t="s">
        <v>1400</v>
      </c>
    </row>
    <row r="43" ht="15.75" customHeight="1">
      <c r="A43" s="30" t="s">
        <v>1350</v>
      </c>
      <c r="B43" s="118" t="s">
        <v>1401</v>
      </c>
      <c r="C43" s="136" t="s">
        <v>1402</v>
      </c>
    </row>
    <row r="44" ht="15.75" customHeight="1">
      <c r="A44" s="30" t="s">
        <v>1350</v>
      </c>
      <c r="B44" s="118" t="s">
        <v>1403</v>
      </c>
      <c r="C44" s="136" t="s">
        <v>1404</v>
      </c>
    </row>
    <row r="45" ht="15.75" customHeight="1">
      <c r="A45" s="30" t="s">
        <v>1350</v>
      </c>
      <c r="B45" s="118" t="s">
        <v>1405</v>
      </c>
      <c r="C45" s="136" t="s">
        <v>1406</v>
      </c>
    </row>
    <row r="46" ht="15.75" customHeight="1">
      <c r="A46" s="30" t="s">
        <v>1350</v>
      </c>
      <c r="B46" s="118" t="s">
        <v>1407</v>
      </c>
      <c r="C46" s="136" t="s">
        <v>1408</v>
      </c>
    </row>
    <row r="47" ht="15.75" customHeight="1">
      <c r="A47" s="30" t="s">
        <v>1350</v>
      </c>
      <c r="B47" s="118" t="s">
        <v>1409</v>
      </c>
      <c r="C47" s="136" t="s">
        <v>1410</v>
      </c>
    </row>
    <row r="48" ht="15.75" customHeight="1">
      <c r="A48" s="30" t="s">
        <v>1350</v>
      </c>
      <c r="B48" s="118" t="s">
        <v>1411</v>
      </c>
      <c r="C48" s="136" t="s">
        <v>1412</v>
      </c>
    </row>
    <row r="49" ht="15.75" customHeight="1">
      <c r="A49" s="30" t="s">
        <v>1350</v>
      </c>
      <c r="B49" s="118" t="s">
        <v>1413</v>
      </c>
      <c r="C49" s="136" t="s">
        <v>1414</v>
      </c>
    </row>
    <row r="50" ht="15.75" customHeight="1">
      <c r="A50" s="30" t="s">
        <v>1350</v>
      </c>
      <c r="B50" s="118" t="s">
        <v>1415</v>
      </c>
      <c r="C50" s="136" t="s">
        <v>1416</v>
      </c>
    </row>
    <row r="51" ht="15.75" customHeight="1">
      <c r="A51" s="30" t="s">
        <v>1350</v>
      </c>
      <c r="B51" s="118" t="s">
        <v>1417</v>
      </c>
      <c r="C51" s="136" t="s">
        <v>1419</v>
      </c>
    </row>
    <row r="52" ht="15.75" customHeight="1">
      <c r="A52" s="30" t="s">
        <v>1350</v>
      </c>
      <c r="B52" s="118" t="s">
        <v>1420</v>
      </c>
      <c r="C52" s="136" t="s">
        <v>1421</v>
      </c>
    </row>
    <row r="53" ht="15.75" customHeight="1">
      <c r="A53" s="30" t="s">
        <v>1350</v>
      </c>
      <c r="B53" s="118" t="s">
        <v>1422</v>
      </c>
      <c r="C53" s="136" t="s">
        <v>1423</v>
      </c>
    </row>
    <row r="54" ht="15.75" customHeight="1">
      <c r="A54" s="30" t="s">
        <v>1350</v>
      </c>
      <c r="B54" s="118" t="s">
        <v>1424</v>
      </c>
      <c r="C54" s="136" t="s">
        <v>1425</v>
      </c>
    </row>
    <row r="55" ht="15.75" customHeight="1">
      <c r="A55" s="30" t="s">
        <v>1350</v>
      </c>
      <c r="B55" s="118" t="s">
        <v>1426</v>
      </c>
      <c r="C55" s="136" t="s">
        <v>1427</v>
      </c>
    </row>
    <row r="56" ht="15.75" customHeight="1">
      <c r="A56" s="30" t="s">
        <v>1350</v>
      </c>
      <c r="B56" s="118" t="s">
        <v>1428</v>
      </c>
      <c r="C56" s="136" t="s">
        <v>1429</v>
      </c>
    </row>
    <row r="57" ht="15.75" customHeight="1">
      <c r="A57" s="30" t="s">
        <v>1350</v>
      </c>
      <c r="B57" s="118" t="s">
        <v>1430</v>
      </c>
      <c r="C57" s="136" t="s">
        <v>1431</v>
      </c>
    </row>
    <row r="58" ht="15.75" customHeight="1">
      <c r="A58" s="30" t="s">
        <v>1350</v>
      </c>
      <c r="B58" s="118" t="s">
        <v>1432</v>
      </c>
      <c r="C58" s="136" t="s">
        <v>1433</v>
      </c>
    </row>
    <row r="59" ht="15.75" customHeight="1">
      <c r="A59" s="30" t="s">
        <v>1350</v>
      </c>
      <c r="B59" s="118" t="s">
        <v>1434</v>
      </c>
      <c r="C59" s="136" t="s">
        <v>1435</v>
      </c>
    </row>
    <row r="60" ht="15.75" customHeight="1">
      <c r="A60" s="30" t="s">
        <v>1350</v>
      </c>
      <c r="B60" s="118" t="s">
        <v>1436</v>
      </c>
      <c r="C60" s="136" t="s">
        <v>1437</v>
      </c>
    </row>
    <row r="61" ht="15.75" customHeight="1">
      <c r="A61" s="30" t="s">
        <v>1350</v>
      </c>
      <c r="B61" s="118" t="s">
        <v>1438</v>
      </c>
      <c r="C61" s="136" t="s">
        <v>1439</v>
      </c>
    </row>
    <row r="62" ht="15.75" customHeight="1">
      <c r="A62" s="30" t="s">
        <v>1350</v>
      </c>
      <c r="B62" s="118" t="s">
        <v>1441</v>
      </c>
      <c r="C62" s="136" t="s">
        <v>1442</v>
      </c>
    </row>
    <row r="63" ht="15.75" customHeight="1">
      <c r="A63" s="30" t="s">
        <v>1350</v>
      </c>
      <c r="B63" s="118" t="s">
        <v>1443</v>
      </c>
      <c r="C63" s="136" t="s">
        <v>1444</v>
      </c>
    </row>
    <row r="64" ht="15.75" customHeight="1">
      <c r="A64" s="30" t="s">
        <v>1350</v>
      </c>
      <c r="B64" s="118" t="s">
        <v>1445</v>
      </c>
      <c r="C64" s="136" t="s">
        <v>1446</v>
      </c>
    </row>
    <row r="65" ht="15.75" customHeight="1">
      <c r="A65" s="30" t="s">
        <v>1350</v>
      </c>
      <c r="B65" s="118" t="s">
        <v>1447</v>
      </c>
      <c r="C65" s="136" t="s">
        <v>1446</v>
      </c>
    </row>
    <row r="66" ht="15.75" customHeight="1">
      <c r="A66" s="30" t="s">
        <v>1350</v>
      </c>
      <c r="B66" s="118" t="s">
        <v>1448</v>
      </c>
      <c r="C66" s="136" t="s">
        <v>1449</v>
      </c>
    </row>
    <row r="67" ht="15.75" customHeight="1">
      <c r="A67" s="30" t="s">
        <v>1350</v>
      </c>
      <c r="B67" s="118" t="s">
        <v>1450</v>
      </c>
      <c r="C67" s="136" t="s">
        <v>1451</v>
      </c>
    </row>
    <row r="68" ht="15.75" customHeight="1">
      <c r="A68" s="30" t="s">
        <v>1350</v>
      </c>
      <c r="B68" s="118" t="s">
        <v>1452</v>
      </c>
      <c r="C68" s="136" t="s">
        <v>1453</v>
      </c>
    </row>
    <row r="69" ht="15.75" customHeight="1">
      <c r="A69" s="30" t="s">
        <v>1350</v>
      </c>
      <c r="B69" s="118" t="s">
        <v>1454</v>
      </c>
      <c r="C69" s="136" t="s">
        <v>1455</v>
      </c>
    </row>
    <row r="70" ht="15.75" customHeight="1">
      <c r="A70" s="30" t="s">
        <v>1350</v>
      </c>
      <c r="B70" s="118" t="s">
        <v>1456</v>
      </c>
      <c r="C70" s="136" t="s">
        <v>1457</v>
      </c>
    </row>
    <row r="71" ht="15.75" customHeight="1">
      <c r="A71" s="30" t="s">
        <v>1350</v>
      </c>
      <c r="B71" s="118" t="s">
        <v>1458</v>
      </c>
      <c r="C71" s="136" t="s">
        <v>1459</v>
      </c>
    </row>
    <row r="72" ht="15.75" customHeight="1">
      <c r="A72" s="30" t="s">
        <v>1350</v>
      </c>
      <c r="B72" s="118" t="s">
        <v>1460</v>
      </c>
      <c r="C72" s="136" t="s">
        <v>1461</v>
      </c>
    </row>
    <row r="73" ht="15.75" customHeight="1">
      <c r="A73" s="30" t="s">
        <v>1350</v>
      </c>
      <c r="B73" s="118" t="s">
        <v>1462</v>
      </c>
      <c r="C73" s="136" t="s">
        <v>1463</v>
      </c>
    </row>
    <row r="74" ht="15.75" customHeight="1">
      <c r="A74" s="30" t="s">
        <v>1350</v>
      </c>
      <c r="B74" s="118" t="s">
        <v>1465</v>
      </c>
      <c r="C74" s="136" t="s">
        <v>1466</v>
      </c>
    </row>
    <row r="75" ht="15.75" customHeight="1">
      <c r="A75" s="30" t="s">
        <v>1350</v>
      </c>
      <c r="B75" s="118" t="s">
        <v>1467</v>
      </c>
      <c r="C75" s="136" t="s">
        <v>1468</v>
      </c>
    </row>
    <row r="76" ht="15.75" customHeight="1">
      <c r="A76" s="30" t="s">
        <v>1350</v>
      </c>
      <c r="B76" s="118" t="s">
        <v>1469</v>
      </c>
      <c r="C76" s="136" t="s">
        <v>1446</v>
      </c>
    </row>
    <row r="77" ht="15.75" customHeight="1">
      <c r="A77" s="30" t="s">
        <v>1350</v>
      </c>
      <c r="B77" s="118" t="s">
        <v>1470</v>
      </c>
      <c r="C77" s="136" t="s">
        <v>1471</v>
      </c>
    </row>
    <row r="78" ht="15.75" customHeight="1">
      <c r="A78" s="30" t="s">
        <v>1350</v>
      </c>
      <c r="B78" s="118" t="s">
        <v>1472</v>
      </c>
      <c r="C78" s="136" t="s">
        <v>1473</v>
      </c>
    </row>
    <row r="79" ht="15.75" customHeight="1">
      <c r="A79" s="30" t="s">
        <v>1350</v>
      </c>
      <c r="B79" s="118" t="s">
        <v>1474</v>
      </c>
      <c r="C79" s="136" t="s">
        <v>1475</v>
      </c>
    </row>
    <row r="80" ht="15.75" customHeight="1">
      <c r="A80" s="30" t="s">
        <v>1350</v>
      </c>
      <c r="B80" s="118" t="s">
        <v>1476</v>
      </c>
      <c r="C80" s="136" t="s">
        <v>1477</v>
      </c>
    </row>
    <row r="81" ht="15.75" customHeight="1">
      <c r="A81" s="30" t="s">
        <v>1350</v>
      </c>
      <c r="B81" s="118" t="s">
        <v>1478</v>
      </c>
      <c r="C81" s="136" t="s">
        <v>1446</v>
      </c>
    </row>
    <row r="82" ht="15.75" customHeight="1">
      <c r="A82" s="30" t="s">
        <v>1350</v>
      </c>
      <c r="B82" s="118" t="s">
        <v>1479</v>
      </c>
      <c r="C82" s="136" t="s">
        <v>1480</v>
      </c>
    </row>
    <row r="83" ht="15.75" customHeight="1">
      <c r="A83" s="30" t="s">
        <v>1350</v>
      </c>
      <c r="B83" s="118" t="s">
        <v>1482</v>
      </c>
      <c r="C83" s="136" t="s">
        <v>1483</v>
      </c>
    </row>
    <row r="84" ht="15.75" customHeight="1">
      <c r="A84" s="30" t="s">
        <v>1350</v>
      </c>
      <c r="B84" s="118" t="s">
        <v>1484</v>
      </c>
      <c r="C84" s="136" t="s">
        <v>1485</v>
      </c>
    </row>
    <row r="85" ht="15.75" customHeight="1">
      <c r="A85" s="30" t="s">
        <v>1350</v>
      </c>
      <c r="B85" s="118" t="s">
        <v>1486</v>
      </c>
      <c r="C85" s="136" t="s">
        <v>1487</v>
      </c>
    </row>
    <row r="86" ht="15.75" customHeight="1">
      <c r="A86" s="30" t="s">
        <v>1350</v>
      </c>
      <c r="B86" s="118" t="s">
        <v>1488</v>
      </c>
      <c r="C86" s="136" t="s">
        <v>1489</v>
      </c>
    </row>
    <row r="87" ht="15.75" customHeight="1">
      <c r="A87" s="30" t="s">
        <v>1350</v>
      </c>
      <c r="B87" s="118" t="s">
        <v>1490</v>
      </c>
      <c r="C87" s="136" t="s">
        <v>1491</v>
      </c>
    </row>
    <row r="88" ht="15.75" customHeight="1">
      <c r="A88" s="30" t="s">
        <v>1350</v>
      </c>
      <c r="B88" s="118" t="s">
        <v>1492</v>
      </c>
      <c r="C88" s="136" t="s">
        <v>1493</v>
      </c>
    </row>
    <row r="89" ht="15.75" customHeight="1">
      <c r="A89" s="30" t="s">
        <v>1350</v>
      </c>
      <c r="B89" s="118" t="s">
        <v>1494</v>
      </c>
      <c r="C89" s="136" t="s">
        <v>1495</v>
      </c>
    </row>
    <row r="90" ht="15.75" customHeight="1">
      <c r="A90" s="30" t="s">
        <v>1350</v>
      </c>
      <c r="B90" s="118" t="s">
        <v>1496</v>
      </c>
      <c r="C90" s="136" t="s">
        <v>1497</v>
      </c>
    </row>
    <row r="91" ht="15.75" customHeight="1">
      <c r="A91" s="30" t="s">
        <v>1350</v>
      </c>
      <c r="B91" s="118" t="s">
        <v>1498</v>
      </c>
      <c r="C91" s="136" t="s">
        <v>1499</v>
      </c>
    </row>
    <row r="92" ht="15.75" customHeight="1">
      <c r="A92" s="30" t="s">
        <v>1350</v>
      </c>
      <c r="B92" s="118" t="s">
        <v>1500</v>
      </c>
      <c r="C92" s="136" t="s">
        <v>1501</v>
      </c>
    </row>
    <row r="93" ht="15.75" customHeight="1">
      <c r="A93" s="30" t="s">
        <v>1350</v>
      </c>
      <c r="B93" s="118" t="s">
        <v>1502</v>
      </c>
      <c r="C93" s="136" t="s">
        <v>1503</v>
      </c>
    </row>
    <row r="94" ht="15.75" customHeight="1">
      <c r="A94" s="30" t="s">
        <v>1350</v>
      </c>
      <c r="B94" s="118" t="s">
        <v>1504</v>
      </c>
      <c r="C94" s="136" t="s">
        <v>1505</v>
      </c>
    </row>
    <row r="95" ht="15.75" customHeight="1">
      <c r="A95" s="30" t="s">
        <v>1350</v>
      </c>
      <c r="B95" s="118" t="s">
        <v>1506</v>
      </c>
      <c r="C95" s="136" t="s">
        <v>1446</v>
      </c>
    </row>
    <row r="96" ht="15.75" customHeight="1">
      <c r="A96" s="30" t="s">
        <v>1350</v>
      </c>
      <c r="B96" s="118" t="s">
        <v>1507</v>
      </c>
      <c r="C96" s="136" t="s">
        <v>1508</v>
      </c>
    </row>
    <row r="97" ht="15.75" customHeight="1">
      <c r="A97" s="30" t="s">
        <v>1350</v>
      </c>
      <c r="B97" s="118" t="s">
        <v>1509</v>
      </c>
      <c r="C97" s="136" t="s">
        <v>1511</v>
      </c>
    </row>
    <row r="98" ht="15.75" customHeight="1">
      <c r="A98" s="30" t="s">
        <v>1350</v>
      </c>
      <c r="B98" s="118" t="s">
        <v>1512</v>
      </c>
      <c r="C98" s="136" t="s">
        <v>1446</v>
      </c>
    </row>
    <row r="99" ht="15.75" customHeight="1">
      <c r="A99" s="30" t="s">
        <v>1350</v>
      </c>
      <c r="B99" s="118" t="s">
        <v>1513</v>
      </c>
      <c r="C99" s="136" t="s">
        <v>1514</v>
      </c>
    </row>
    <row r="100" ht="15.75" customHeight="1">
      <c r="A100" s="30" t="s">
        <v>1350</v>
      </c>
      <c r="B100" s="118" t="s">
        <v>1515</v>
      </c>
      <c r="C100" s="136" t="s">
        <v>1516</v>
      </c>
    </row>
    <row r="101" ht="15.75" customHeight="1">
      <c r="A101" s="30" t="s">
        <v>1350</v>
      </c>
      <c r="B101" s="118" t="s">
        <v>1517</v>
      </c>
      <c r="C101" s="136" t="s">
        <v>1446</v>
      </c>
    </row>
    <row r="102" ht="15.75" customHeight="1">
      <c r="A102" s="30" t="s">
        <v>1350</v>
      </c>
      <c r="B102" s="118" t="s">
        <v>1519</v>
      </c>
      <c r="C102" s="136" t="s">
        <v>1446</v>
      </c>
    </row>
    <row r="103" ht="15.75" customHeight="1">
      <c r="A103" s="30" t="s">
        <v>1350</v>
      </c>
      <c r="B103" s="118" t="s">
        <v>1520</v>
      </c>
      <c r="C103" s="136" t="s">
        <v>1446</v>
      </c>
    </row>
    <row r="104" ht="15.75" customHeight="1">
      <c r="A104" s="30" t="s">
        <v>1521</v>
      </c>
      <c r="B104" s="118" t="s">
        <v>1352</v>
      </c>
      <c r="C104" s="136" t="s">
        <v>1522</v>
      </c>
    </row>
    <row r="105" ht="15.75" customHeight="1">
      <c r="A105" s="30" t="s">
        <v>1521</v>
      </c>
      <c r="B105" s="118" t="s">
        <v>1523</v>
      </c>
      <c r="C105" s="136" t="s">
        <v>1524</v>
      </c>
    </row>
    <row r="106" ht="15.75" customHeight="1">
      <c r="A106" s="30" t="s">
        <v>1521</v>
      </c>
      <c r="B106" s="118" t="s">
        <v>1525</v>
      </c>
      <c r="C106" s="136" t="s">
        <v>1526</v>
      </c>
    </row>
    <row r="107" ht="15.75" customHeight="1">
      <c r="A107" s="30" t="s">
        <v>1521</v>
      </c>
      <c r="B107" s="118" t="s">
        <v>1527</v>
      </c>
      <c r="C107" s="136" t="s">
        <v>1528</v>
      </c>
    </row>
    <row r="108" ht="15.75" customHeight="1">
      <c r="A108" s="30" t="s">
        <v>1521</v>
      </c>
      <c r="B108" s="118" t="s">
        <v>1529</v>
      </c>
      <c r="C108" s="136" t="s">
        <v>1530</v>
      </c>
    </row>
    <row r="109" ht="15.75" customHeight="1">
      <c r="A109" s="30" t="s">
        <v>1521</v>
      </c>
      <c r="B109" s="118" t="s">
        <v>1531</v>
      </c>
      <c r="C109" s="136" t="s">
        <v>1532</v>
      </c>
    </row>
    <row r="110" ht="15.75" customHeight="1">
      <c r="A110" s="30" t="s">
        <v>1521</v>
      </c>
      <c r="B110" s="118" t="s">
        <v>1533</v>
      </c>
      <c r="C110" s="136" t="s">
        <v>1534</v>
      </c>
    </row>
    <row r="111" ht="15.75" customHeight="1">
      <c r="A111" s="30" t="s">
        <v>1521</v>
      </c>
      <c r="B111" s="118" t="s">
        <v>1535</v>
      </c>
      <c r="C111" s="136" t="s">
        <v>1536</v>
      </c>
    </row>
    <row r="112" ht="15.75" customHeight="1">
      <c r="A112" s="30" t="s">
        <v>1521</v>
      </c>
      <c r="B112" s="118" t="s">
        <v>1538</v>
      </c>
      <c r="C112" s="136" t="s">
        <v>1539</v>
      </c>
    </row>
    <row r="113" ht="15.75" customHeight="1">
      <c r="A113" s="30" t="s">
        <v>1521</v>
      </c>
      <c r="B113" s="118" t="s">
        <v>1540</v>
      </c>
      <c r="C113" s="136" t="s">
        <v>1541</v>
      </c>
    </row>
    <row r="114" ht="15.75" customHeight="1">
      <c r="A114" s="30" t="s">
        <v>1521</v>
      </c>
      <c r="B114" s="118" t="s">
        <v>1542</v>
      </c>
      <c r="C114" s="136" t="s">
        <v>1543</v>
      </c>
    </row>
    <row r="115" ht="15.75" customHeight="1">
      <c r="A115" s="30" t="s">
        <v>1521</v>
      </c>
      <c r="B115" s="118" t="s">
        <v>1544</v>
      </c>
      <c r="C115" s="136" t="s">
        <v>1545</v>
      </c>
    </row>
    <row r="116" ht="15.75" customHeight="1">
      <c r="A116" s="30" t="s">
        <v>1521</v>
      </c>
      <c r="B116" s="118" t="s">
        <v>1546</v>
      </c>
      <c r="C116" s="136" t="s">
        <v>1547</v>
      </c>
    </row>
    <row r="117" ht="15.75" customHeight="1">
      <c r="A117" s="30" t="s">
        <v>1521</v>
      </c>
      <c r="B117" s="118" t="s">
        <v>1548</v>
      </c>
      <c r="C117" s="136" t="s">
        <v>1549</v>
      </c>
    </row>
    <row r="118" ht="15.75" customHeight="1">
      <c r="A118" s="30" t="s">
        <v>1521</v>
      </c>
      <c r="B118" s="118" t="s">
        <v>1550</v>
      </c>
      <c r="C118" s="136" t="s">
        <v>1551</v>
      </c>
    </row>
    <row r="119" ht="15.75" customHeight="1">
      <c r="A119" s="30" t="s">
        <v>1521</v>
      </c>
      <c r="B119" s="118" t="s">
        <v>1552</v>
      </c>
      <c r="C119" s="136" t="s">
        <v>1553</v>
      </c>
    </row>
    <row r="120" ht="15.75" customHeight="1">
      <c r="A120" s="30" t="s">
        <v>1521</v>
      </c>
      <c r="B120" s="118" t="s">
        <v>1554</v>
      </c>
      <c r="C120" s="136" t="s">
        <v>1555</v>
      </c>
    </row>
    <row r="121" ht="15.75" customHeight="1">
      <c r="A121" s="30" t="s">
        <v>1556</v>
      </c>
      <c r="B121" s="118" t="s">
        <v>1557</v>
      </c>
      <c r="C121" s="136" t="s">
        <v>1558</v>
      </c>
    </row>
    <row r="122" ht="15.75" customHeight="1">
      <c r="A122" s="30" t="s">
        <v>1556</v>
      </c>
      <c r="B122" s="118" t="s">
        <v>1559</v>
      </c>
      <c r="C122" s="136" t="s">
        <v>1561</v>
      </c>
    </row>
    <row r="123" ht="15.75" customHeight="1">
      <c r="A123" s="30" t="s">
        <v>1521</v>
      </c>
      <c r="B123" s="118" t="s">
        <v>1562</v>
      </c>
      <c r="C123" s="136" t="s">
        <v>1563</v>
      </c>
    </row>
    <row r="124" ht="15.75" customHeight="1">
      <c r="A124" s="30" t="s">
        <v>1521</v>
      </c>
      <c r="B124" s="118" t="s">
        <v>1564</v>
      </c>
      <c r="C124" s="136" t="s">
        <v>1565</v>
      </c>
    </row>
    <row r="125" ht="15.75" customHeight="1">
      <c r="A125" s="30" t="s">
        <v>1521</v>
      </c>
      <c r="B125" s="118" t="s">
        <v>1566</v>
      </c>
      <c r="C125" s="136" t="s">
        <v>1567</v>
      </c>
    </row>
    <row r="126" ht="15.75" customHeight="1">
      <c r="A126" s="30" t="s">
        <v>1521</v>
      </c>
      <c r="B126" s="118" t="s">
        <v>1568</v>
      </c>
      <c r="C126" s="136" t="s">
        <v>1569</v>
      </c>
    </row>
    <row r="127" ht="15.75" customHeight="1">
      <c r="A127" s="30" t="s">
        <v>1521</v>
      </c>
      <c r="B127" s="118" t="s">
        <v>1570</v>
      </c>
      <c r="C127" s="136" t="s">
        <v>1571</v>
      </c>
    </row>
    <row r="128" ht="15.75" customHeight="1">
      <c r="A128" s="30" t="s">
        <v>1521</v>
      </c>
      <c r="B128" s="118" t="s">
        <v>1572</v>
      </c>
      <c r="C128" s="136" t="s">
        <v>1573</v>
      </c>
    </row>
    <row r="129" ht="15.75" customHeight="1">
      <c r="A129" s="30" t="s">
        <v>1521</v>
      </c>
      <c r="B129" s="118" t="s">
        <v>1574</v>
      </c>
      <c r="C129" s="136" t="s">
        <v>1575</v>
      </c>
    </row>
    <row r="130" ht="15.75" customHeight="1">
      <c r="A130" s="30" t="s">
        <v>1521</v>
      </c>
      <c r="B130" s="118" t="s">
        <v>1576</v>
      </c>
      <c r="C130" s="136" t="s">
        <v>1577</v>
      </c>
    </row>
    <row r="131" ht="15.75" customHeight="1">
      <c r="A131" s="30" t="s">
        <v>1521</v>
      </c>
      <c r="B131" s="118" t="s">
        <v>1578</v>
      </c>
      <c r="C131" s="136" t="s">
        <v>1579</v>
      </c>
    </row>
    <row r="132" ht="15.75" customHeight="1">
      <c r="A132" s="30" t="s">
        <v>1521</v>
      </c>
      <c r="B132" s="118" t="s">
        <v>1581</v>
      </c>
      <c r="C132" s="136" t="s">
        <v>1582</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3.63"/>
    <col customWidth="1" min="2" max="6" width="12.63"/>
  </cols>
  <sheetData>
    <row r="1" ht="12.0" customHeight="1">
      <c r="A1" s="262" t="s">
        <v>1589</v>
      </c>
      <c r="B1" s="263"/>
      <c r="C1" s="263"/>
      <c r="D1" s="263"/>
      <c r="E1" s="263"/>
      <c r="F1" s="263"/>
      <c r="G1" s="263"/>
      <c r="H1" s="263"/>
      <c r="I1" s="263"/>
      <c r="J1" s="263"/>
      <c r="K1" s="263"/>
      <c r="L1" s="263"/>
      <c r="M1" s="263"/>
      <c r="N1" s="264"/>
    </row>
    <row r="2" ht="12.0" customHeight="1">
      <c r="A2" s="265" t="s">
        <v>1591</v>
      </c>
      <c r="B2" s="263"/>
      <c r="C2" s="263"/>
      <c r="D2" s="263"/>
      <c r="E2" s="263"/>
      <c r="F2" s="263"/>
      <c r="G2" s="263"/>
      <c r="H2" s="263"/>
      <c r="I2" s="263"/>
      <c r="J2" s="263"/>
      <c r="K2" s="263"/>
      <c r="L2" s="263"/>
      <c r="M2" s="263"/>
      <c r="N2" s="264"/>
    </row>
    <row r="3" ht="12.0" customHeight="1">
      <c r="A3" s="266" t="s">
        <v>1592</v>
      </c>
      <c r="B3" s="267">
        <v>2027.0</v>
      </c>
      <c r="C3" s="11"/>
      <c r="D3" s="11"/>
      <c r="E3" s="11"/>
      <c r="F3" s="11"/>
      <c r="G3" s="11"/>
      <c r="H3" s="11"/>
      <c r="I3" s="11"/>
      <c r="J3" s="11"/>
      <c r="K3" s="11"/>
      <c r="L3" s="11"/>
      <c r="M3" s="11"/>
      <c r="N3" s="11"/>
    </row>
    <row r="4" ht="12.0" customHeight="1">
      <c r="A4" s="11"/>
      <c r="B4" s="11"/>
      <c r="C4" s="11"/>
      <c r="D4" s="11"/>
      <c r="E4" s="11"/>
      <c r="F4" s="11"/>
      <c r="G4" s="11"/>
      <c r="H4" s="11"/>
      <c r="I4" s="11"/>
      <c r="J4" s="11"/>
      <c r="K4" s="11"/>
      <c r="L4" s="11"/>
      <c r="M4" s="11"/>
      <c r="N4" s="11"/>
    </row>
    <row r="5" ht="12.0" customHeight="1">
      <c r="A5" s="268"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269" t="s">
        <v>34</v>
      </c>
      <c r="B6" s="182">
        <f t="array" ref="B6">INDEX(datos_base!$B$3:$K$10,MATCH($A6,datos_base!$A$3:$A$10,0),MATCH($B$3,datos_base!$B$2:$K$2,0))*INDEX(Parametros!$B$11:$M$26,MATCH($A6,Parametros!$A$11:$A$26,0),MATCH(B$5,Parametros!$B$10:$M$10,0))</f>
        <v>719.64</v>
      </c>
      <c r="C6" s="182">
        <f t="array" ref="C6">INDEX(datos_base!$B$3:$K$10,MATCH($A6,datos_base!$A$3:$A$10,0),MATCH($B$3,datos_base!$B$2:$K$2,0))*INDEX(Parametros!$B$11:$M$26,MATCH($A6,Parametros!$A$11:$A$26,0),MATCH(C$5,Parametros!$B$10:$M$10,0))</f>
        <v>539.73</v>
      </c>
      <c r="D6" s="182">
        <f t="array" ref="D6">INDEX(datos_base!$B$3:$K$10,MATCH($A6,datos_base!$A$3:$A$10,0),MATCH($B$3,datos_base!$B$2:$K$2,0))*INDEX(Parametros!$B$11:$M$26,MATCH($A6,Parametros!$A$11:$A$26,0),MATCH(D$5,Parametros!$B$10:$M$10,0))</f>
        <v>479.76</v>
      </c>
      <c r="E6" s="182">
        <f t="array" ref="E6">INDEX(datos_base!$B$3:$K$10,MATCH($A6,datos_base!$A$3:$A$10,0),MATCH($B$3,datos_base!$B$2:$K$2,0))*INDEX(Parametros!$B$11:$M$26,MATCH($A6,Parametros!$A$11:$A$26,0),MATCH(E$5,Parametros!$B$10:$M$10,0))</f>
        <v>449.775</v>
      </c>
      <c r="F6" s="182">
        <f t="array" ref="F6">INDEX(datos_base!$B$3:$K$10,MATCH($A6,datos_base!$A$3:$A$10,0),MATCH($B$3,datos_base!$B$2:$K$2,0))*INDEX(Parametros!$B$11:$M$26,MATCH($A6,Parametros!$A$11:$A$26,0),MATCH(F$5,Parametros!$B$10:$M$10,0))</f>
        <v>419.79</v>
      </c>
      <c r="G6" s="182">
        <f t="array" ref="G6">INDEX(datos_base!$B$3:$K$10,MATCH($A6,datos_base!$A$3:$A$10,0),MATCH($B$3,datos_base!$B$2:$K$2,0))*INDEX(Parametros!$B$11:$M$26,MATCH($A6,Parametros!$A$11:$A$26,0),MATCH(G$5,Parametros!$B$10:$M$10,0))</f>
        <v>419.79</v>
      </c>
      <c r="H6" s="182">
        <f t="array" ref="H6">INDEX(datos_base!$B$3:$K$10,MATCH($A6,datos_base!$A$3:$A$10,0),MATCH($B$3,datos_base!$B$2:$K$2,0))*INDEX(Parametros!$B$11:$M$26,MATCH($A6,Parametros!$A$11:$A$26,0),MATCH(H$5,Parametros!$B$10:$M$10,0))</f>
        <v>449.775</v>
      </c>
      <c r="I6" s="182">
        <f t="array" ref="I6">INDEX(datos_base!$B$3:$K$10,MATCH($A6,datos_base!$A$3:$A$10,0),MATCH($B$3,datos_base!$B$2:$K$2,0))*INDEX(Parametros!$B$11:$M$26,MATCH($A6,Parametros!$A$11:$A$26,0),MATCH(I$5,Parametros!$B$10:$M$10,0))</f>
        <v>449.775</v>
      </c>
      <c r="J6" s="182">
        <f t="array" ref="J6">INDEX(datos_base!$B$3:$K$10,MATCH($A6,datos_base!$A$3:$A$10,0),MATCH($B$3,datos_base!$B$2:$K$2,0))*INDEX(Parametros!$B$11:$M$26,MATCH($A6,Parametros!$A$11:$A$26,0),MATCH(J$5,Parametros!$B$10:$M$10,0))</f>
        <v>449.775</v>
      </c>
      <c r="K6" s="182">
        <f t="array" ref="K6">INDEX(datos_base!$B$3:$K$10,MATCH($A6,datos_base!$A$3:$A$10,0),MATCH($B$3,datos_base!$B$2:$K$2,0))*INDEX(Parametros!$B$11:$M$26,MATCH($A6,Parametros!$A$11:$A$26,0),MATCH(K$5,Parametros!$B$10:$M$10,0))</f>
        <v>449.775</v>
      </c>
      <c r="L6" s="182">
        <f t="array" ref="L6">INDEX(datos_base!$B$3:$K$10,MATCH($A6,datos_base!$A$3:$A$10,0),MATCH($B$3,datos_base!$B$2:$K$2,0))*INDEX(Parametros!$B$11:$M$26,MATCH($A6,Parametros!$A$11:$A$26,0),MATCH(L$5,Parametros!$B$10:$M$10,0))</f>
        <v>449.775</v>
      </c>
      <c r="M6" s="182">
        <f t="array" ref="M6">INDEX(datos_base!$B$3:$K$10,MATCH($A6,datos_base!$A$3:$A$10,0),MATCH($B$3,datos_base!$B$2:$K$2,0))*INDEX(Parametros!$B$11:$M$26,MATCH($A6,Parametros!$A$11:$A$26,0),MATCH(M$5,Parametros!$B$10:$M$10,0))</f>
        <v>719.64</v>
      </c>
      <c r="N6" s="271">
        <f t="shared" ref="N6:N13" si="1">SUM(B6:M6)</f>
        <v>5997</v>
      </c>
      <c r="O6" s="271">
        <f t="shared" ref="O6:O14" si="2">AVERAGE(B6:M6)</f>
        <v>499.75</v>
      </c>
    </row>
    <row r="7" ht="12.0" customHeight="1">
      <c r="A7" s="269" t="s">
        <v>43</v>
      </c>
      <c r="B7" s="182">
        <f t="array" ref="B7">INDEX(datos_base!$B$3:$K$10,MATCH($A7,datos_base!$A$3:$A$10,0),MATCH($B$3,datos_base!$B$2:$K$2,0))*INDEX(Parametros!$B$11:$M$26,MATCH($A7,Parametros!$A$11:$A$26,0),MATCH(B$5,Parametros!$B$10:$M$10,0))</f>
        <v>70.9</v>
      </c>
      <c r="C7" s="182">
        <f t="array" ref="C7">INDEX(datos_base!$B$3:$K$10,MATCH($A7,datos_base!$A$3:$A$10,0),MATCH($B$3,datos_base!$B$2:$K$2,0))*INDEX(Parametros!$B$11:$M$26,MATCH($A7,Parametros!$A$11:$A$26,0),MATCH(C$5,Parametros!$B$10:$M$10,0))</f>
        <v>56.72</v>
      </c>
      <c r="D7" s="182">
        <f t="array" ref="D7">INDEX(datos_base!$B$3:$K$10,MATCH($A7,datos_base!$A$3:$A$10,0),MATCH($B$3,datos_base!$B$2:$K$2,0))*INDEX(Parametros!$B$11:$M$26,MATCH($A7,Parametros!$A$11:$A$26,0),MATCH(D$5,Parametros!$B$10:$M$10,0))</f>
        <v>60.265</v>
      </c>
      <c r="E7" s="182">
        <f t="array" ref="E7">INDEX(datos_base!$B$3:$K$10,MATCH($A7,datos_base!$A$3:$A$10,0),MATCH($B$3,datos_base!$B$2:$K$2,0))*INDEX(Parametros!$B$11:$M$26,MATCH($A7,Parametros!$A$11:$A$26,0),MATCH(E$5,Parametros!$B$10:$M$10,0))</f>
        <v>60.265</v>
      </c>
      <c r="F7" s="182">
        <f t="array" ref="F7">INDEX(datos_base!$B$3:$K$10,MATCH($A7,datos_base!$A$3:$A$10,0),MATCH($B$3,datos_base!$B$2:$K$2,0))*INDEX(Parametros!$B$11:$M$26,MATCH($A7,Parametros!$A$11:$A$26,0),MATCH(F$5,Parametros!$B$10:$M$10,0))</f>
        <v>56.72</v>
      </c>
      <c r="G7" s="182">
        <f t="array" ref="G7">INDEX(datos_base!$B$3:$K$10,MATCH($A7,datos_base!$A$3:$A$10,0),MATCH($B$3,datos_base!$B$2:$K$2,0))*INDEX(Parametros!$B$11:$M$26,MATCH($A7,Parametros!$A$11:$A$26,0),MATCH(G$5,Parametros!$B$10:$M$10,0))</f>
        <v>53.175</v>
      </c>
      <c r="H7" s="182">
        <f t="array" ref="H7">INDEX(datos_base!$B$3:$K$10,MATCH($A7,datos_base!$A$3:$A$10,0),MATCH($B$3,datos_base!$B$2:$K$2,0))*INDEX(Parametros!$B$11:$M$26,MATCH($A7,Parametros!$A$11:$A$26,0),MATCH(H$5,Parametros!$B$10:$M$10,0))</f>
        <v>56.72</v>
      </c>
      <c r="I7" s="182">
        <f t="array" ref="I7">INDEX(datos_base!$B$3:$K$10,MATCH($A7,datos_base!$A$3:$A$10,0),MATCH($B$3,datos_base!$B$2:$K$2,0))*INDEX(Parametros!$B$11:$M$26,MATCH($A7,Parametros!$A$11:$A$26,0),MATCH(I$5,Parametros!$B$10:$M$10,0))</f>
        <v>56.72</v>
      </c>
      <c r="J7" s="182">
        <f t="array" ref="J7">INDEX(datos_base!$B$3:$K$10,MATCH($A7,datos_base!$A$3:$A$10,0),MATCH($B$3,datos_base!$B$2:$K$2,0))*INDEX(Parametros!$B$11:$M$26,MATCH($A7,Parametros!$A$11:$A$26,0),MATCH(J$5,Parametros!$B$10:$M$10,0))</f>
        <v>56.72</v>
      </c>
      <c r="K7" s="182">
        <f t="array" ref="K7">INDEX(datos_base!$B$3:$K$10,MATCH($A7,datos_base!$A$3:$A$10,0),MATCH($B$3,datos_base!$B$2:$K$2,0))*INDEX(Parametros!$B$11:$M$26,MATCH($A7,Parametros!$A$11:$A$26,0),MATCH(K$5,Parametros!$B$10:$M$10,0))</f>
        <v>53.175</v>
      </c>
      <c r="L7" s="182">
        <f t="array" ref="L7">INDEX(datos_base!$B$3:$K$10,MATCH($A7,datos_base!$A$3:$A$10,0),MATCH($B$3,datos_base!$B$2:$K$2,0))*INDEX(Parametros!$B$11:$M$26,MATCH($A7,Parametros!$A$11:$A$26,0),MATCH(L$5,Parametros!$B$10:$M$10,0))</f>
        <v>49.63</v>
      </c>
      <c r="M7" s="182">
        <f t="array" ref="M7">INDEX(datos_base!$B$3:$K$10,MATCH($A7,datos_base!$A$3:$A$10,0),MATCH($B$3,datos_base!$B$2:$K$2,0))*INDEX(Parametros!$B$11:$M$26,MATCH($A7,Parametros!$A$11:$A$26,0),MATCH(M$5,Parametros!$B$10:$M$10,0))</f>
        <v>77.99</v>
      </c>
      <c r="N7" s="271">
        <f t="shared" si="1"/>
        <v>709</v>
      </c>
      <c r="O7" s="271">
        <f t="shared" si="2"/>
        <v>59.08333333</v>
      </c>
    </row>
    <row r="8" ht="12.0" customHeight="1">
      <c r="A8" s="269" t="s">
        <v>53</v>
      </c>
      <c r="B8" s="182">
        <f t="array" ref="B8">INDEX(datos_base!$B$3:$K$10,MATCH($A8,datos_base!$A$3:$A$10,0),MATCH($B$3,datos_base!$B$2:$K$2,0))*INDEX(Parametros!$B$11:$M$26,MATCH($A8,Parametros!$A$11:$A$26,0),MATCH(B$5,Parametros!$B$10:$M$10,0))</f>
        <v>384.7</v>
      </c>
      <c r="C8" s="182">
        <f t="array" ref="C8">INDEX(datos_base!$B$3:$K$10,MATCH($A8,datos_base!$A$3:$A$10,0),MATCH($B$3,datos_base!$B$2:$K$2,0))*INDEX(Parametros!$B$11:$M$26,MATCH($A8,Parametros!$A$11:$A$26,0),MATCH(C$5,Parametros!$B$10:$M$10,0))</f>
        <v>307.76</v>
      </c>
      <c r="D8" s="182">
        <f t="array" ref="D8">INDEX(datos_base!$B$3:$K$10,MATCH($A8,datos_base!$A$3:$A$10,0),MATCH($B$3,datos_base!$B$2:$K$2,0))*INDEX(Parametros!$B$11:$M$26,MATCH($A8,Parametros!$A$11:$A$26,0),MATCH(D$5,Parametros!$B$10:$M$10,0))</f>
        <v>326.995</v>
      </c>
      <c r="E8" s="182">
        <f t="array" ref="E8">INDEX(datos_base!$B$3:$K$10,MATCH($A8,datos_base!$A$3:$A$10,0),MATCH($B$3,datos_base!$B$2:$K$2,0))*INDEX(Parametros!$B$11:$M$26,MATCH($A8,Parametros!$A$11:$A$26,0),MATCH(E$5,Parametros!$B$10:$M$10,0))</f>
        <v>326.995</v>
      </c>
      <c r="F8" s="182">
        <f t="array" ref="F8">INDEX(datos_base!$B$3:$K$10,MATCH($A8,datos_base!$A$3:$A$10,0),MATCH($B$3,datos_base!$B$2:$K$2,0))*INDEX(Parametros!$B$11:$M$26,MATCH($A8,Parametros!$A$11:$A$26,0),MATCH(F$5,Parametros!$B$10:$M$10,0))</f>
        <v>307.76</v>
      </c>
      <c r="G8" s="182">
        <f t="array" ref="G8">INDEX(datos_base!$B$3:$K$10,MATCH($A8,datos_base!$A$3:$A$10,0),MATCH($B$3,datos_base!$B$2:$K$2,0))*INDEX(Parametros!$B$11:$M$26,MATCH($A8,Parametros!$A$11:$A$26,0),MATCH(G$5,Parametros!$B$10:$M$10,0))</f>
        <v>288.525</v>
      </c>
      <c r="H8" s="182">
        <f t="array" ref="H8">INDEX(datos_base!$B$3:$K$10,MATCH($A8,datos_base!$A$3:$A$10,0),MATCH($B$3,datos_base!$B$2:$K$2,0))*INDEX(Parametros!$B$11:$M$26,MATCH($A8,Parametros!$A$11:$A$26,0),MATCH(H$5,Parametros!$B$10:$M$10,0))</f>
        <v>307.76</v>
      </c>
      <c r="I8" s="182">
        <f t="array" ref="I8">INDEX(datos_base!$B$3:$K$10,MATCH($A8,datos_base!$A$3:$A$10,0),MATCH($B$3,datos_base!$B$2:$K$2,0))*INDEX(Parametros!$B$11:$M$26,MATCH($A8,Parametros!$A$11:$A$26,0),MATCH(I$5,Parametros!$B$10:$M$10,0))</f>
        <v>307.76</v>
      </c>
      <c r="J8" s="182">
        <f t="array" ref="J8">INDEX(datos_base!$B$3:$K$10,MATCH($A8,datos_base!$A$3:$A$10,0),MATCH($B$3,datos_base!$B$2:$K$2,0))*INDEX(Parametros!$B$11:$M$26,MATCH($A8,Parametros!$A$11:$A$26,0),MATCH(J$5,Parametros!$B$10:$M$10,0))</f>
        <v>307.76</v>
      </c>
      <c r="K8" s="182">
        <f t="array" ref="K8">INDEX(datos_base!$B$3:$K$10,MATCH($A8,datos_base!$A$3:$A$10,0),MATCH($B$3,datos_base!$B$2:$K$2,0))*INDEX(Parametros!$B$11:$M$26,MATCH($A8,Parametros!$A$11:$A$26,0),MATCH(K$5,Parametros!$B$10:$M$10,0))</f>
        <v>288.525</v>
      </c>
      <c r="L8" s="182">
        <f t="array" ref="L8">INDEX(datos_base!$B$3:$K$10,MATCH($A8,datos_base!$A$3:$A$10,0),MATCH($B$3,datos_base!$B$2:$K$2,0))*INDEX(Parametros!$B$11:$M$26,MATCH($A8,Parametros!$A$11:$A$26,0),MATCH(L$5,Parametros!$B$10:$M$10,0))</f>
        <v>269.29</v>
      </c>
      <c r="M8" s="182">
        <f t="array" ref="M8">INDEX(datos_base!$B$3:$K$10,MATCH($A8,datos_base!$A$3:$A$10,0),MATCH($B$3,datos_base!$B$2:$K$2,0))*INDEX(Parametros!$B$11:$M$26,MATCH($A8,Parametros!$A$11:$A$26,0),MATCH(M$5,Parametros!$B$10:$M$10,0))</f>
        <v>423.17</v>
      </c>
      <c r="N8" s="271">
        <f t="shared" si="1"/>
        <v>3847</v>
      </c>
      <c r="O8" s="271">
        <f t="shared" si="2"/>
        <v>320.5833333</v>
      </c>
    </row>
    <row r="9" ht="12.0" customHeight="1">
      <c r="A9" s="269" t="s">
        <v>59</v>
      </c>
      <c r="B9" s="182">
        <f t="array" ref="B9">INDEX(datos_base!$B$3:$K$10,MATCH($A9,datos_base!$A$3:$A$10,0),MATCH($B$3,datos_base!$B$2:$K$2,0))*INDEX(Parametros!$B$11:$M$26,MATCH($A9,Parametros!$A$11:$A$26,0),MATCH(B$5,Parametros!$B$10:$M$10,0))</f>
        <v>17.7</v>
      </c>
      <c r="C9" s="182">
        <f t="array" ref="C9">INDEX(datos_base!$B$3:$K$10,MATCH($A9,datos_base!$A$3:$A$10,0),MATCH($B$3,datos_base!$B$2:$K$2,0))*INDEX(Parametros!$B$11:$M$26,MATCH($A9,Parametros!$A$11:$A$26,0),MATCH(C$5,Parametros!$B$10:$M$10,0))</f>
        <v>14.16</v>
      </c>
      <c r="D9" s="182">
        <f t="array" ref="D9">INDEX(datos_base!$B$3:$K$10,MATCH($A9,datos_base!$A$3:$A$10,0),MATCH($B$3,datos_base!$B$2:$K$2,0))*INDEX(Parametros!$B$11:$M$26,MATCH($A9,Parametros!$A$11:$A$26,0),MATCH(D$5,Parametros!$B$10:$M$10,0))</f>
        <v>15.045</v>
      </c>
      <c r="E9" s="182">
        <f t="array" ref="E9">INDEX(datos_base!$B$3:$K$10,MATCH($A9,datos_base!$A$3:$A$10,0),MATCH($B$3,datos_base!$B$2:$K$2,0))*INDEX(Parametros!$B$11:$M$26,MATCH($A9,Parametros!$A$11:$A$26,0),MATCH(E$5,Parametros!$B$10:$M$10,0))</f>
        <v>15.045</v>
      </c>
      <c r="F9" s="182">
        <f t="array" ref="F9">INDEX(datos_base!$B$3:$K$10,MATCH($A9,datos_base!$A$3:$A$10,0),MATCH($B$3,datos_base!$B$2:$K$2,0))*INDEX(Parametros!$B$11:$M$26,MATCH($A9,Parametros!$A$11:$A$26,0),MATCH(F$5,Parametros!$B$10:$M$10,0))</f>
        <v>14.16</v>
      </c>
      <c r="G9" s="182">
        <f t="array" ref="G9">INDEX(datos_base!$B$3:$K$10,MATCH($A9,datos_base!$A$3:$A$10,0),MATCH($B$3,datos_base!$B$2:$K$2,0))*INDEX(Parametros!$B$11:$M$26,MATCH($A9,Parametros!$A$11:$A$26,0),MATCH(G$5,Parametros!$B$10:$M$10,0))</f>
        <v>13.275</v>
      </c>
      <c r="H9" s="182">
        <f t="array" ref="H9">INDEX(datos_base!$B$3:$K$10,MATCH($A9,datos_base!$A$3:$A$10,0),MATCH($B$3,datos_base!$B$2:$K$2,0))*INDEX(Parametros!$B$11:$M$26,MATCH($A9,Parametros!$A$11:$A$26,0),MATCH(H$5,Parametros!$B$10:$M$10,0))</f>
        <v>14.16</v>
      </c>
      <c r="I9" s="182">
        <f t="array" ref="I9">INDEX(datos_base!$B$3:$K$10,MATCH($A9,datos_base!$A$3:$A$10,0),MATCH($B$3,datos_base!$B$2:$K$2,0))*INDEX(Parametros!$B$11:$M$26,MATCH($A9,Parametros!$A$11:$A$26,0),MATCH(I$5,Parametros!$B$10:$M$10,0))</f>
        <v>14.16</v>
      </c>
      <c r="J9" s="182">
        <f t="array" ref="J9">INDEX(datos_base!$B$3:$K$10,MATCH($A9,datos_base!$A$3:$A$10,0),MATCH($B$3,datos_base!$B$2:$K$2,0))*INDEX(Parametros!$B$11:$M$26,MATCH($A9,Parametros!$A$11:$A$26,0),MATCH(J$5,Parametros!$B$10:$M$10,0))</f>
        <v>14.16</v>
      </c>
      <c r="K9" s="182">
        <f t="array" ref="K9">INDEX(datos_base!$B$3:$K$10,MATCH($A9,datos_base!$A$3:$A$10,0),MATCH($B$3,datos_base!$B$2:$K$2,0))*INDEX(Parametros!$B$11:$M$26,MATCH($A9,Parametros!$A$11:$A$26,0),MATCH(K$5,Parametros!$B$10:$M$10,0))</f>
        <v>13.275</v>
      </c>
      <c r="L9" s="182">
        <f t="array" ref="L9">INDEX(datos_base!$B$3:$K$10,MATCH($A9,datos_base!$A$3:$A$10,0),MATCH($B$3,datos_base!$B$2:$K$2,0))*INDEX(Parametros!$B$11:$M$26,MATCH($A9,Parametros!$A$11:$A$26,0),MATCH(L$5,Parametros!$B$10:$M$10,0))</f>
        <v>12.39</v>
      </c>
      <c r="M9" s="182">
        <f t="array" ref="M9">INDEX(datos_base!$B$3:$K$10,MATCH($A9,datos_base!$A$3:$A$10,0),MATCH($B$3,datos_base!$B$2:$K$2,0))*INDEX(Parametros!$B$11:$M$26,MATCH($A9,Parametros!$A$11:$A$26,0),MATCH(M$5,Parametros!$B$10:$M$10,0))</f>
        <v>19.47</v>
      </c>
      <c r="N9" s="271">
        <f t="shared" si="1"/>
        <v>177</v>
      </c>
      <c r="O9" s="271">
        <f t="shared" si="2"/>
        <v>14.75</v>
      </c>
    </row>
    <row r="10" ht="12.0" customHeight="1">
      <c r="A10" s="269" t="s">
        <v>75</v>
      </c>
      <c r="B10" s="182">
        <f t="array" ref="B10">INDEX(datos_base!$B$3:$K$10,MATCH($A10,datos_base!$A$3:$A$10,0),MATCH($B$3,datos_base!$B$2:$K$2,0))*INDEX(Parametros!$B$11:$M$26,MATCH($A10,Parametros!$A$11:$A$26,0),MATCH(B$5,Parametros!$B$10:$M$10,0))</f>
        <v>4.93</v>
      </c>
      <c r="C10" s="182">
        <f t="array" ref="C10">INDEX(datos_base!$B$3:$K$10,MATCH($A10,datos_base!$A$3:$A$10,0),MATCH($B$3,datos_base!$B$2:$K$2,0))*INDEX(Parametros!$B$11:$M$26,MATCH($A10,Parametros!$A$11:$A$26,0),MATCH(C$5,Parametros!$B$10:$M$10,0))</f>
        <v>4.35</v>
      </c>
      <c r="D10" s="182">
        <f t="array" ref="D10">INDEX(datos_base!$B$3:$K$10,MATCH($A10,datos_base!$A$3:$A$10,0),MATCH($B$3,datos_base!$B$2:$K$2,0))*INDEX(Parametros!$B$11:$M$26,MATCH($A10,Parametros!$A$11:$A$26,0),MATCH(D$5,Parametros!$B$10:$M$10,0))</f>
        <v>5.22</v>
      </c>
      <c r="E10" s="182">
        <f t="array" ref="E10">INDEX(datos_base!$B$3:$K$10,MATCH($A10,datos_base!$A$3:$A$10,0),MATCH($B$3,datos_base!$B$2:$K$2,0))*INDEX(Parametros!$B$11:$M$26,MATCH($A10,Parametros!$A$11:$A$26,0),MATCH(E$5,Parametros!$B$10:$M$10,0))</f>
        <v>5.22</v>
      </c>
      <c r="F10" s="182">
        <f t="array" ref="F10">INDEX(datos_base!$B$3:$K$10,MATCH($A10,datos_base!$A$3:$A$10,0),MATCH($B$3,datos_base!$B$2:$K$2,0))*INDEX(Parametros!$B$11:$M$26,MATCH($A10,Parametros!$A$11:$A$26,0),MATCH(F$5,Parametros!$B$10:$M$10,0))</f>
        <v>5.22</v>
      </c>
      <c r="G10" s="182">
        <f t="array" ref="G10">INDEX(datos_base!$B$3:$K$10,MATCH($A10,datos_base!$A$3:$A$10,0),MATCH($B$3,datos_base!$B$2:$K$2,0))*INDEX(Parametros!$B$11:$M$26,MATCH($A10,Parametros!$A$11:$A$26,0),MATCH(G$5,Parametros!$B$10:$M$10,0))</f>
        <v>4.64</v>
      </c>
      <c r="H10" s="182">
        <f t="array" ref="H10">INDEX(datos_base!$B$3:$K$10,MATCH($A10,datos_base!$A$3:$A$10,0),MATCH($B$3,datos_base!$B$2:$K$2,0))*INDEX(Parametros!$B$11:$M$26,MATCH($A10,Parametros!$A$11:$A$26,0),MATCH(H$5,Parametros!$B$10:$M$10,0))</f>
        <v>5.22</v>
      </c>
      <c r="I10" s="182">
        <f t="array" ref="I10">INDEX(datos_base!$B$3:$K$10,MATCH($A10,datos_base!$A$3:$A$10,0),MATCH($B$3,datos_base!$B$2:$K$2,0))*INDEX(Parametros!$B$11:$M$26,MATCH($A10,Parametros!$A$11:$A$26,0),MATCH(I$5,Parametros!$B$10:$M$10,0))</f>
        <v>5.22</v>
      </c>
      <c r="J10" s="182">
        <f t="array" ref="J10">INDEX(datos_base!$B$3:$K$10,MATCH($A10,datos_base!$A$3:$A$10,0),MATCH($B$3,datos_base!$B$2:$K$2,0))*INDEX(Parametros!$B$11:$M$26,MATCH($A10,Parametros!$A$11:$A$26,0),MATCH(J$5,Parametros!$B$10:$M$10,0))</f>
        <v>4.93</v>
      </c>
      <c r="K10" s="182">
        <f t="array" ref="K10">INDEX(datos_base!$B$3:$K$10,MATCH($A10,datos_base!$A$3:$A$10,0),MATCH($B$3,datos_base!$B$2:$K$2,0))*INDEX(Parametros!$B$11:$M$26,MATCH($A10,Parametros!$A$11:$A$26,0),MATCH(K$5,Parametros!$B$10:$M$10,0))</f>
        <v>4.35</v>
      </c>
      <c r="L10" s="182">
        <f t="array" ref="L10">INDEX(datos_base!$B$3:$K$10,MATCH($A10,datos_base!$A$3:$A$10,0),MATCH($B$3,datos_base!$B$2:$K$2,0))*INDEX(Parametros!$B$11:$M$26,MATCH($A10,Parametros!$A$11:$A$26,0),MATCH(L$5,Parametros!$B$10:$M$10,0))</f>
        <v>4.06</v>
      </c>
      <c r="M10" s="182">
        <f t="array" ref="M10">INDEX(datos_base!$B$3:$K$10,MATCH($A10,datos_base!$A$3:$A$10,0),MATCH($B$3,datos_base!$B$2:$K$2,0))*INDEX(Parametros!$B$11:$M$26,MATCH($A10,Parametros!$A$11:$A$26,0),MATCH(M$5,Parametros!$B$10:$M$10,0))</f>
        <v>4.64</v>
      </c>
      <c r="N10" s="271">
        <f t="shared" si="1"/>
        <v>58</v>
      </c>
      <c r="O10" s="271">
        <f t="shared" si="2"/>
        <v>4.833333333</v>
      </c>
    </row>
    <row r="11" ht="12.0" customHeight="1">
      <c r="A11" s="269" t="s">
        <v>86</v>
      </c>
      <c r="B11" s="182">
        <f t="array" ref="B11">INDEX(datos_base!$B$3:$K$10,MATCH($A11,datos_base!$A$3:$A$10,0),MATCH($B$3,datos_base!$B$2:$K$2,0))*INDEX(Parametros!$B$11:$M$26,MATCH($A11,Parametros!$A$11:$A$26,0),MATCH(B$5,Parametros!$B$10:$M$10,0))</f>
        <v>10.88</v>
      </c>
      <c r="C11" s="182">
        <f t="array" ref="C11">INDEX(datos_base!$B$3:$K$10,MATCH($A11,datos_base!$A$3:$A$10,0),MATCH($B$3,datos_base!$B$2:$K$2,0))*INDEX(Parametros!$B$11:$M$26,MATCH($A11,Parametros!$A$11:$A$26,0),MATCH(C$5,Parametros!$B$10:$M$10,0))</f>
        <v>9.6</v>
      </c>
      <c r="D11" s="182">
        <f t="array" ref="D11">INDEX(datos_base!$B$3:$K$10,MATCH($A11,datos_base!$A$3:$A$10,0),MATCH($B$3,datos_base!$B$2:$K$2,0))*INDEX(Parametros!$B$11:$M$26,MATCH($A11,Parametros!$A$11:$A$26,0),MATCH(D$5,Parametros!$B$10:$M$10,0))</f>
        <v>11.52</v>
      </c>
      <c r="E11" s="182">
        <f t="array" ref="E11">INDEX(datos_base!$B$3:$K$10,MATCH($A11,datos_base!$A$3:$A$10,0),MATCH($B$3,datos_base!$B$2:$K$2,0))*INDEX(Parametros!$B$11:$M$26,MATCH($A11,Parametros!$A$11:$A$26,0),MATCH(E$5,Parametros!$B$10:$M$10,0))</f>
        <v>11.52</v>
      </c>
      <c r="F11" s="182">
        <f t="array" ref="F11">INDEX(datos_base!$B$3:$K$10,MATCH($A11,datos_base!$A$3:$A$10,0),MATCH($B$3,datos_base!$B$2:$K$2,0))*INDEX(Parametros!$B$11:$M$26,MATCH($A11,Parametros!$A$11:$A$26,0),MATCH(F$5,Parametros!$B$10:$M$10,0))</f>
        <v>11.52</v>
      </c>
      <c r="G11" s="182">
        <f t="array" ref="G11">INDEX(datos_base!$B$3:$K$10,MATCH($A11,datos_base!$A$3:$A$10,0),MATCH($B$3,datos_base!$B$2:$K$2,0))*INDEX(Parametros!$B$11:$M$26,MATCH($A11,Parametros!$A$11:$A$26,0),MATCH(G$5,Parametros!$B$10:$M$10,0))</f>
        <v>10.24</v>
      </c>
      <c r="H11" s="182">
        <f t="array" ref="H11">INDEX(datos_base!$B$3:$K$10,MATCH($A11,datos_base!$A$3:$A$10,0),MATCH($B$3,datos_base!$B$2:$K$2,0))*INDEX(Parametros!$B$11:$M$26,MATCH($A11,Parametros!$A$11:$A$26,0),MATCH(H$5,Parametros!$B$10:$M$10,0))</f>
        <v>11.52</v>
      </c>
      <c r="I11" s="182">
        <f t="array" ref="I11">INDEX(datos_base!$B$3:$K$10,MATCH($A11,datos_base!$A$3:$A$10,0),MATCH($B$3,datos_base!$B$2:$K$2,0))*INDEX(Parametros!$B$11:$M$26,MATCH($A11,Parametros!$A$11:$A$26,0),MATCH(I$5,Parametros!$B$10:$M$10,0))</f>
        <v>11.52</v>
      </c>
      <c r="J11" s="182">
        <f t="array" ref="J11">INDEX(datos_base!$B$3:$K$10,MATCH($A11,datos_base!$A$3:$A$10,0),MATCH($B$3,datos_base!$B$2:$K$2,0))*INDEX(Parametros!$B$11:$M$26,MATCH($A11,Parametros!$A$11:$A$26,0),MATCH(J$5,Parametros!$B$10:$M$10,0))</f>
        <v>10.88</v>
      </c>
      <c r="K11" s="182">
        <f t="array" ref="K11">INDEX(datos_base!$B$3:$K$10,MATCH($A11,datos_base!$A$3:$A$10,0),MATCH($B$3,datos_base!$B$2:$K$2,0))*INDEX(Parametros!$B$11:$M$26,MATCH($A11,Parametros!$A$11:$A$26,0),MATCH(K$5,Parametros!$B$10:$M$10,0))</f>
        <v>9.6</v>
      </c>
      <c r="L11" s="182">
        <f t="array" ref="L11">INDEX(datos_base!$B$3:$K$10,MATCH($A11,datos_base!$A$3:$A$10,0),MATCH($B$3,datos_base!$B$2:$K$2,0))*INDEX(Parametros!$B$11:$M$26,MATCH($A11,Parametros!$A$11:$A$26,0),MATCH(L$5,Parametros!$B$10:$M$10,0))</f>
        <v>8.96</v>
      </c>
      <c r="M11" s="182">
        <f t="array" ref="M11">INDEX(datos_base!$B$3:$K$10,MATCH($A11,datos_base!$A$3:$A$10,0),MATCH($B$3,datos_base!$B$2:$K$2,0))*INDEX(Parametros!$B$11:$M$26,MATCH($A11,Parametros!$A$11:$A$26,0),MATCH(M$5,Parametros!$B$10:$M$10,0))</f>
        <v>10.24</v>
      </c>
      <c r="N11" s="271">
        <f t="shared" si="1"/>
        <v>128</v>
      </c>
      <c r="O11" s="271">
        <f t="shared" si="2"/>
        <v>10.66666667</v>
      </c>
    </row>
    <row r="12" ht="12.0" customHeight="1">
      <c r="A12" s="269" t="s">
        <v>95</v>
      </c>
      <c r="B12" s="182">
        <f t="array" ref="B12">INDEX(datos_base!$B$3:$K$10,MATCH($A12,datos_base!$A$3:$A$10,0),MATCH($B$3,datos_base!$B$2:$K$2,0))*INDEX(Parametros!$B$11:$M$26,MATCH($A12,Parametros!$A$11:$A$26,0),MATCH(B$5,Parametros!$B$10:$M$10,0))</f>
        <v>2.465</v>
      </c>
      <c r="C12" s="182">
        <f t="array" ref="C12">INDEX(datos_base!$B$3:$K$10,MATCH($A12,datos_base!$A$3:$A$10,0),MATCH($B$3,datos_base!$B$2:$K$2,0))*INDEX(Parametros!$B$11:$M$26,MATCH($A12,Parametros!$A$11:$A$26,0),MATCH(C$5,Parametros!$B$10:$M$10,0))</f>
        <v>2.175</v>
      </c>
      <c r="D12" s="182">
        <f t="array" ref="D12">INDEX(datos_base!$B$3:$K$10,MATCH($A12,datos_base!$A$3:$A$10,0),MATCH($B$3,datos_base!$B$2:$K$2,0))*INDEX(Parametros!$B$11:$M$26,MATCH($A12,Parametros!$A$11:$A$26,0),MATCH(D$5,Parametros!$B$10:$M$10,0))</f>
        <v>2.61</v>
      </c>
      <c r="E12" s="182">
        <f t="array" ref="E12">INDEX(datos_base!$B$3:$K$10,MATCH($A12,datos_base!$A$3:$A$10,0),MATCH($B$3,datos_base!$B$2:$K$2,0))*INDEX(Parametros!$B$11:$M$26,MATCH($A12,Parametros!$A$11:$A$26,0),MATCH(E$5,Parametros!$B$10:$M$10,0))</f>
        <v>2.61</v>
      </c>
      <c r="F12" s="182">
        <f t="array" ref="F12">INDEX(datos_base!$B$3:$K$10,MATCH($A12,datos_base!$A$3:$A$10,0),MATCH($B$3,datos_base!$B$2:$K$2,0))*INDEX(Parametros!$B$11:$M$26,MATCH($A12,Parametros!$A$11:$A$26,0),MATCH(F$5,Parametros!$B$10:$M$10,0))</f>
        <v>2.61</v>
      </c>
      <c r="G12" s="182">
        <f t="array" ref="G12">INDEX(datos_base!$B$3:$K$10,MATCH($A12,datos_base!$A$3:$A$10,0),MATCH($B$3,datos_base!$B$2:$K$2,0))*INDEX(Parametros!$B$11:$M$26,MATCH($A12,Parametros!$A$11:$A$26,0),MATCH(G$5,Parametros!$B$10:$M$10,0))</f>
        <v>2.32</v>
      </c>
      <c r="H12" s="182">
        <f t="array" ref="H12">INDEX(datos_base!$B$3:$K$10,MATCH($A12,datos_base!$A$3:$A$10,0),MATCH($B$3,datos_base!$B$2:$K$2,0))*INDEX(Parametros!$B$11:$M$26,MATCH($A12,Parametros!$A$11:$A$26,0),MATCH(H$5,Parametros!$B$10:$M$10,0))</f>
        <v>2.61</v>
      </c>
      <c r="I12" s="182">
        <f t="array" ref="I12">INDEX(datos_base!$B$3:$K$10,MATCH($A12,datos_base!$A$3:$A$10,0),MATCH($B$3,datos_base!$B$2:$K$2,0))*INDEX(Parametros!$B$11:$M$26,MATCH($A12,Parametros!$A$11:$A$26,0),MATCH(I$5,Parametros!$B$10:$M$10,0))</f>
        <v>2.61</v>
      </c>
      <c r="J12" s="182">
        <f t="array" ref="J12">INDEX(datos_base!$B$3:$K$10,MATCH($A12,datos_base!$A$3:$A$10,0),MATCH($B$3,datos_base!$B$2:$K$2,0))*INDEX(Parametros!$B$11:$M$26,MATCH($A12,Parametros!$A$11:$A$26,0),MATCH(J$5,Parametros!$B$10:$M$10,0))</f>
        <v>2.465</v>
      </c>
      <c r="K12" s="182">
        <f t="array" ref="K12">INDEX(datos_base!$B$3:$K$10,MATCH($A12,datos_base!$A$3:$A$10,0),MATCH($B$3,datos_base!$B$2:$K$2,0))*INDEX(Parametros!$B$11:$M$26,MATCH($A12,Parametros!$A$11:$A$26,0),MATCH(K$5,Parametros!$B$10:$M$10,0))</f>
        <v>2.175</v>
      </c>
      <c r="L12" s="182">
        <f t="array" ref="L12">INDEX(datos_base!$B$3:$K$10,MATCH($A12,datos_base!$A$3:$A$10,0),MATCH($B$3,datos_base!$B$2:$K$2,0))*INDEX(Parametros!$B$11:$M$26,MATCH($A12,Parametros!$A$11:$A$26,0),MATCH(L$5,Parametros!$B$10:$M$10,0))</f>
        <v>2.03</v>
      </c>
      <c r="M12" s="182">
        <f t="array" ref="M12">INDEX(datos_base!$B$3:$K$10,MATCH($A12,datos_base!$A$3:$A$10,0),MATCH($B$3,datos_base!$B$2:$K$2,0))*INDEX(Parametros!$B$11:$M$26,MATCH($A12,Parametros!$A$11:$A$26,0),MATCH(M$5,Parametros!$B$10:$M$10,0))</f>
        <v>2.32</v>
      </c>
      <c r="N12" s="271">
        <f t="shared" si="1"/>
        <v>29</v>
      </c>
      <c r="O12" s="271">
        <f t="shared" si="2"/>
        <v>2.416666667</v>
      </c>
    </row>
    <row r="13" ht="12.0" customHeight="1">
      <c r="A13" s="269" t="s">
        <v>100</v>
      </c>
      <c r="B13" s="182">
        <f t="array" ref="B13">INDEX(datos_base!$B$3:$K$10,MATCH($A13,datos_base!$A$3:$A$10,0),MATCH($B$3,datos_base!$B$2:$K$2,0))*INDEX(Parametros!$B$11:$M$26,MATCH($A13,Parametros!$A$11:$A$26,0),MATCH(B$5,Parametros!$B$10:$M$10,0))</f>
        <v>1.53</v>
      </c>
      <c r="C13" s="182">
        <f t="array" ref="C13">INDEX(datos_base!$B$3:$K$10,MATCH($A13,datos_base!$A$3:$A$10,0),MATCH($B$3,datos_base!$B$2:$K$2,0))*INDEX(Parametros!$B$11:$M$26,MATCH($A13,Parametros!$A$11:$A$26,0),MATCH(C$5,Parametros!$B$10:$M$10,0))</f>
        <v>1.35</v>
      </c>
      <c r="D13" s="182">
        <f t="array" ref="D13">INDEX(datos_base!$B$3:$K$10,MATCH($A13,datos_base!$A$3:$A$10,0),MATCH($B$3,datos_base!$B$2:$K$2,0))*INDEX(Parametros!$B$11:$M$26,MATCH($A13,Parametros!$A$11:$A$26,0),MATCH(D$5,Parametros!$B$10:$M$10,0))</f>
        <v>1.62</v>
      </c>
      <c r="E13" s="182">
        <f t="array" ref="E13">INDEX(datos_base!$B$3:$K$10,MATCH($A13,datos_base!$A$3:$A$10,0),MATCH($B$3,datos_base!$B$2:$K$2,0))*INDEX(Parametros!$B$11:$M$26,MATCH($A13,Parametros!$A$11:$A$26,0),MATCH(E$5,Parametros!$B$10:$M$10,0))</f>
        <v>1.62</v>
      </c>
      <c r="F13" s="182">
        <f t="array" ref="F13">INDEX(datos_base!$B$3:$K$10,MATCH($A13,datos_base!$A$3:$A$10,0),MATCH($B$3,datos_base!$B$2:$K$2,0))*INDEX(Parametros!$B$11:$M$26,MATCH($A13,Parametros!$A$11:$A$26,0),MATCH(F$5,Parametros!$B$10:$M$10,0))</f>
        <v>1.62</v>
      </c>
      <c r="G13" s="182">
        <f t="array" ref="G13">INDEX(datos_base!$B$3:$K$10,MATCH($A13,datos_base!$A$3:$A$10,0),MATCH($B$3,datos_base!$B$2:$K$2,0))*INDEX(Parametros!$B$11:$M$26,MATCH($A13,Parametros!$A$11:$A$26,0),MATCH(G$5,Parametros!$B$10:$M$10,0))</f>
        <v>1.44</v>
      </c>
      <c r="H13" s="182">
        <f t="array" ref="H13">INDEX(datos_base!$B$3:$K$10,MATCH($A13,datos_base!$A$3:$A$10,0),MATCH($B$3,datos_base!$B$2:$K$2,0))*INDEX(Parametros!$B$11:$M$26,MATCH($A13,Parametros!$A$11:$A$26,0),MATCH(H$5,Parametros!$B$10:$M$10,0))</f>
        <v>1.62</v>
      </c>
      <c r="I13" s="182">
        <f t="array" ref="I13">INDEX(datos_base!$B$3:$K$10,MATCH($A13,datos_base!$A$3:$A$10,0),MATCH($B$3,datos_base!$B$2:$K$2,0))*INDEX(Parametros!$B$11:$M$26,MATCH($A13,Parametros!$A$11:$A$26,0),MATCH(I$5,Parametros!$B$10:$M$10,0))</f>
        <v>1.62</v>
      </c>
      <c r="J13" s="182">
        <f t="array" ref="J13">INDEX(datos_base!$B$3:$K$10,MATCH($A13,datos_base!$A$3:$A$10,0),MATCH($B$3,datos_base!$B$2:$K$2,0))*INDEX(Parametros!$B$11:$M$26,MATCH($A13,Parametros!$A$11:$A$26,0),MATCH(J$5,Parametros!$B$10:$M$10,0))</f>
        <v>1.53</v>
      </c>
      <c r="K13" s="182">
        <f t="array" ref="K13">INDEX(datos_base!$B$3:$K$10,MATCH($A13,datos_base!$A$3:$A$10,0),MATCH($B$3,datos_base!$B$2:$K$2,0))*INDEX(Parametros!$B$11:$M$26,MATCH($A13,Parametros!$A$11:$A$26,0),MATCH(K$5,Parametros!$B$10:$M$10,0))</f>
        <v>1.35</v>
      </c>
      <c r="L13" s="182">
        <f t="array" ref="L13">INDEX(datos_base!$B$3:$K$10,MATCH($A13,datos_base!$A$3:$A$10,0),MATCH($B$3,datos_base!$B$2:$K$2,0))*INDEX(Parametros!$B$11:$M$26,MATCH($A13,Parametros!$A$11:$A$26,0),MATCH(L$5,Parametros!$B$10:$M$10,0))</f>
        <v>1.26</v>
      </c>
      <c r="M13" s="182">
        <f t="array" ref="M13">INDEX(datos_base!$B$3:$K$10,MATCH($A13,datos_base!$A$3:$A$10,0),MATCH($B$3,datos_base!$B$2:$K$2,0))*INDEX(Parametros!$B$11:$M$26,MATCH($A13,Parametros!$A$11:$A$26,0),MATCH(M$5,Parametros!$B$10:$M$10,0))</f>
        <v>1.44</v>
      </c>
      <c r="N13" s="271">
        <f t="shared" si="1"/>
        <v>18</v>
      </c>
      <c r="O13" s="271">
        <f t="shared" si="2"/>
        <v>1.5</v>
      </c>
    </row>
    <row r="14" ht="12.0" customHeight="1">
      <c r="A14" s="268" t="s">
        <v>420</v>
      </c>
      <c r="B14" s="273">
        <f t="shared" ref="B14:N14" si="3">SUM(B6:B13)</f>
        <v>1212.745</v>
      </c>
      <c r="C14" s="273">
        <f t="shared" si="3"/>
        <v>935.845</v>
      </c>
      <c r="D14" s="273">
        <f t="shared" si="3"/>
        <v>903.035</v>
      </c>
      <c r="E14" s="273">
        <f t="shared" si="3"/>
        <v>873.05</v>
      </c>
      <c r="F14" s="273">
        <f t="shared" si="3"/>
        <v>819.4</v>
      </c>
      <c r="G14" s="273">
        <f t="shared" si="3"/>
        <v>793.405</v>
      </c>
      <c r="H14" s="273">
        <f t="shared" si="3"/>
        <v>849.385</v>
      </c>
      <c r="I14" s="273">
        <f t="shared" si="3"/>
        <v>849.385</v>
      </c>
      <c r="J14" s="273">
        <f t="shared" si="3"/>
        <v>848.22</v>
      </c>
      <c r="K14" s="273">
        <f t="shared" si="3"/>
        <v>822.225</v>
      </c>
      <c r="L14" s="273">
        <f t="shared" si="3"/>
        <v>797.395</v>
      </c>
      <c r="M14" s="273">
        <f t="shared" si="3"/>
        <v>1258.91</v>
      </c>
      <c r="N14" s="273">
        <f t="shared" si="3"/>
        <v>10963</v>
      </c>
      <c r="O14" s="273">
        <f t="shared" si="2"/>
        <v>913.5833333</v>
      </c>
    </row>
    <row r="15" ht="12.0" customHeight="1">
      <c r="A15" s="11"/>
      <c r="B15" s="11"/>
      <c r="C15" s="11"/>
      <c r="D15" s="11"/>
      <c r="E15" s="11"/>
      <c r="F15" s="11"/>
      <c r="G15" s="11"/>
      <c r="H15" s="11"/>
      <c r="I15" s="11"/>
      <c r="J15" s="11"/>
      <c r="K15" s="11"/>
      <c r="L15" s="11"/>
      <c r="M15" s="11"/>
      <c r="N15" s="11"/>
    </row>
    <row r="16" ht="12.0" customHeight="1">
      <c r="A16" s="268"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row>
    <row r="17" ht="12.0" customHeight="1">
      <c r="A17" s="269" t="s">
        <v>102</v>
      </c>
      <c r="B17" s="182">
        <f t="array" ref="B17">INDEX(datos_base!$B$15:$K$22,MATCH($A17,datos_base!$A$15:$A$22,0),MATCH($B$3,datos_base!$B$2:$K$2,0))*INDEX(Parametros!$B$11:$M$26,MATCH($A17,Parametros!$A$11:$A$26,0),MATCH(B$16,Parametros!$B$10:$M$10,0))</f>
        <v>0</v>
      </c>
      <c r="C17" s="182">
        <f t="array" ref="C17">INDEX(datos_base!$B$15:$K$22,MATCH($A17,datos_base!$A$15:$A$22,0),MATCH($B$3,datos_base!$B$2:$K$2,0))*INDEX(Parametros!$B$11:$M$26,MATCH($A17,Parametros!$A$11:$A$26,0),MATCH(C$16,Parametros!$B$10:$M$10,0))</f>
        <v>0</v>
      </c>
      <c r="D17" s="182">
        <f t="array" ref="D17">INDEX(datos_base!$B$15:$K$22,MATCH($A17,datos_base!$A$15:$A$22,0),MATCH($B$3,datos_base!$B$2:$K$2,0))*INDEX(Parametros!$B$11:$M$26,MATCH($A17,Parametros!$A$11:$A$26,0),MATCH(D$16,Parametros!$B$10:$M$10,0))</f>
        <v>0</v>
      </c>
      <c r="E17" s="182">
        <f t="array" ref="E17">INDEX(datos_base!$B$15:$K$22,MATCH($A17,datos_base!$A$15:$A$22,0),MATCH($B$3,datos_base!$B$2:$K$2,0))*INDEX(Parametros!$B$11:$M$26,MATCH($A17,Parametros!$A$11:$A$26,0),MATCH(E$16,Parametros!$B$10:$M$10,0))</f>
        <v>0</v>
      </c>
      <c r="F17" s="182">
        <f t="array" ref="F17">INDEX(datos_base!$B$15:$K$22,MATCH($A17,datos_base!$A$15:$A$22,0),MATCH($B$3,datos_base!$B$2:$K$2,0))*INDEX(Parametros!$B$11:$M$26,MATCH($A17,Parametros!$A$11:$A$26,0),MATCH(F$16,Parametros!$B$10:$M$10,0))</f>
        <v>0</v>
      </c>
      <c r="G17" s="182">
        <f t="array" ref="G17">INDEX(datos_base!$B$15:$K$22,MATCH($A17,datos_base!$A$15:$A$22,0),MATCH($B$3,datos_base!$B$2:$K$2,0))*INDEX(Parametros!$B$11:$M$26,MATCH($A17,Parametros!$A$11:$A$26,0),MATCH(G$16,Parametros!$B$10:$M$10,0))</f>
        <v>0</v>
      </c>
      <c r="H17" s="182">
        <f t="array" ref="H17">INDEX(datos_base!$B$15:$K$22,MATCH($A17,datos_base!$A$15:$A$22,0),MATCH($B$3,datos_base!$B$2:$K$2,0))*INDEX(Parametros!$B$11:$M$26,MATCH($A17,Parametros!$A$11:$A$26,0),MATCH(H$16,Parametros!$B$10:$M$10,0))</f>
        <v>0</v>
      </c>
      <c r="I17" s="182">
        <f t="array" ref="I17">INDEX(datos_base!$B$15:$K$22,MATCH($A17,datos_base!$A$15:$A$22,0),MATCH($B$3,datos_base!$B$2:$K$2,0))*INDEX(Parametros!$B$11:$M$26,MATCH($A17,Parametros!$A$11:$A$26,0),MATCH(I$16,Parametros!$B$10:$M$10,0))</f>
        <v>0</v>
      </c>
      <c r="J17" s="182">
        <f t="array" ref="J17">INDEX(datos_base!$B$15:$K$22,MATCH($A17,datos_base!$A$15:$A$22,0),MATCH($B$3,datos_base!$B$2:$K$2,0))*INDEX(Parametros!$B$11:$M$26,MATCH($A17,Parametros!$A$11:$A$26,0),MATCH(J$16,Parametros!$B$10:$M$10,0))</f>
        <v>0</v>
      </c>
      <c r="K17" s="182">
        <f t="array" ref="K17">INDEX(datos_base!$B$15:$K$22,MATCH($A17,datos_base!$A$15:$A$22,0),MATCH($B$3,datos_base!$B$2:$K$2,0))*INDEX(Parametros!$B$11:$M$26,MATCH($A17,Parametros!$A$11:$A$26,0),MATCH(K$16,Parametros!$B$10:$M$10,0))</f>
        <v>0</v>
      </c>
      <c r="L17" s="182">
        <f t="array" ref="L17">INDEX(datos_base!$B$15:$K$22,MATCH($A17,datos_base!$A$15:$A$22,0),MATCH($B$3,datos_base!$B$2:$K$2,0))*INDEX(Parametros!$B$11:$M$26,MATCH($A17,Parametros!$A$11:$A$26,0),MATCH(L$16,Parametros!$B$10:$M$10,0))</f>
        <v>0</v>
      </c>
      <c r="M17" s="182">
        <f t="array" ref="M17">INDEX(datos_base!$B$15:$K$22,MATCH($A17,datos_base!$A$15:$A$22,0),MATCH($B$3,datos_base!$B$2:$K$2,0))*INDEX(Parametros!$B$11:$M$26,MATCH($A17,Parametros!$A$11:$A$26,0),MATCH(M$16,Parametros!$B$10:$M$10,0))</f>
        <v>0</v>
      </c>
      <c r="N17" s="271">
        <f t="shared" ref="N17:N24" si="4">SUM(B17:M17)</f>
        <v>0</v>
      </c>
    </row>
    <row r="18" ht="12.0" customHeight="1">
      <c r="A18" s="269" t="s">
        <v>106</v>
      </c>
      <c r="B18" s="182">
        <f t="array" ref="B18">INDEX(datos_base!$B$15:$K$22,MATCH($A18,datos_base!$A$15:$A$22,0),MATCH($B$3,datos_base!$B$2:$K$2,0))*INDEX(Parametros!$B$11:$M$26,MATCH($A18,Parametros!$A$11:$A$26,0),MATCH(B$16,Parametros!$B$10:$M$10,0))</f>
        <v>0</v>
      </c>
      <c r="C18" s="182">
        <f t="array" ref="C18">INDEX(datos_base!$B$15:$K$22,MATCH($A18,datos_base!$A$15:$A$22,0),MATCH($B$3,datos_base!$B$2:$K$2,0))*INDEX(Parametros!$B$11:$M$26,MATCH($A18,Parametros!$A$11:$A$26,0),MATCH(C$16,Parametros!$B$10:$M$10,0))</f>
        <v>0</v>
      </c>
      <c r="D18" s="182">
        <f t="array" ref="D18">INDEX(datos_base!$B$15:$K$22,MATCH($A18,datos_base!$A$15:$A$22,0),MATCH($B$3,datos_base!$B$2:$K$2,0))*INDEX(Parametros!$B$11:$M$26,MATCH($A18,Parametros!$A$11:$A$26,0),MATCH(D$16,Parametros!$B$10:$M$10,0))</f>
        <v>0</v>
      </c>
      <c r="E18" s="182">
        <f t="array" ref="E18">INDEX(datos_base!$B$15:$K$22,MATCH($A18,datos_base!$A$15:$A$22,0),MATCH($B$3,datos_base!$B$2:$K$2,0))*INDEX(Parametros!$B$11:$M$26,MATCH($A18,Parametros!$A$11:$A$26,0),MATCH(E$16,Parametros!$B$10:$M$10,0))</f>
        <v>0</v>
      </c>
      <c r="F18" s="182">
        <f t="array" ref="F18">INDEX(datos_base!$B$15:$K$22,MATCH($A18,datos_base!$A$15:$A$22,0),MATCH($B$3,datos_base!$B$2:$K$2,0))*INDEX(Parametros!$B$11:$M$26,MATCH($A18,Parametros!$A$11:$A$26,0),MATCH(F$16,Parametros!$B$10:$M$10,0))</f>
        <v>0</v>
      </c>
      <c r="G18" s="182">
        <f t="array" ref="G18">INDEX(datos_base!$B$15:$K$22,MATCH($A18,datos_base!$A$15:$A$22,0),MATCH($B$3,datos_base!$B$2:$K$2,0))*INDEX(Parametros!$B$11:$M$26,MATCH($A18,Parametros!$A$11:$A$26,0),MATCH(G$16,Parametros!$B$10:$M$10,0))</f>
        <v>0</v>
      </c>
      <c r="H18" s="182">
        <f t="array" ref="H18">INDEX(datos_base!$B$15:$K$22,MATCH($A18,datos_base!$A$15:$A$22,0),MATCH($B$3,datos_base!$B$2:$K$2,0))*INDEX(Parametros!$B$11:$M$26,MATCH($A18,Parametros!$A$11:$A$26,0),MATCH(H$16,Parametros!$B$10:$M$10,0))</f>
        <v>0</v>
      </c>
      <c r="I18" s="182">
        <f t="array" ref="I18">INDEX(datos_base!$B$15:$K$22,MATCH($A18,datos_base!$A$15:$A$22,0),MATCH($B$3,datos_base!$B$2:$K$2,0))*INDEX(Parametros!$B$11:$M$26,MATCH($A18,Parametros!$A$11:$A$26,0),MATCH(I$16,Parametros!$B$10:$M$10,0))</f>
        <v>0</v>
      </c>
      <c r="J18" s="182">
        <f t="array" ref="J18">INDEX(datos_base!$B$15:$K$22,MATCH($A18,datos_base!$A$15:$A$22,0),MATCH($B$3,datos_base!$B$2:$K$2,0))*INDEX(Parametros!$B$11:$M$26,MATCH($A18,Parametros!$A$11:$A$26,0),MATCH(J$16,Parametros!$B$10:$M$10,0))</f>
        <v>0</v>
      </c>
      <c r="K18" s="182">
        <f t="array" ref="K18">INDEX(datos_base!$B$15:$K$22,MATCH($A18,datos_base!$A$15:$A$22,0),MATCH($B$3,datos_base!$B$2:$K$2,0))*INDEX(Parametros!$B$11:$M$26,MATCH($A18,Parametros!$A$11:$A$26,0),MATCH(K$16,Parametros!$B$10:$M$10,0))</f>
        <v>0</v>
      </c>
      <c r="L18" s="182">
        <f t="array" ref="L18">INDEX(datos_base!$B$15:$K$22,MATCH($A18,datos_base!$A$15:$A$22,0),MATCH($B$3,datos_base!$B$2:$K$2,0))*INDEX(Parametros!$B$11:$M$26,MATCH($A18,Parametros!$A$11:$A$26,0),MATCH(L$16,Parametros!$B$10:$M$10,0))</f>
        <v>0</v>
      </c>
      <c r="M18" s="182">
        <f t="array" ref="M18">INDEX(datos_base!$B$15:$K$22,MATCH($A18,datos_base!$A$15:$A$22,0),MATCH($B$3,datos_base!$B$2:$K$2,0))*INDEX(Parametros!$B$11:$M$26,MATCH($A18,Parametros!$A$11:$A$26,0),MATCH(M$16,Parametros!$B$10:$M$10,0))</f>
        <v>0</v>
      </c>
      <c r="N18" s="271">
        <f t="shared" si="4"/>
        <v>0</v>
      </c>
    </row>
    <row r="19" ht="12.0" customHeight="1">
      <c r="A19" s="269" t="s">
        <v>108</v>
      </c>
      <c r="B19" s="182">
        <f t="array" ref="B19">INDEX(datos_base!$B$15:$K$22,MATCH($A19,datos_base!$A$15:$A$22,0),MATCH($B$3,datos_base!$B$2:$K$2,0))*INDEX(Parametros!$B$11:$M$26,MATCH($A19,Parametros!$A$11:$A$26,0),MATCH(B$16,Parametros!$B$10:$M$10,0))</f>
        <v>0</v>
      </c>
      <c r="C19" s="182">
        <f t="array" ref="C19">INDEX(datos_base!$B$15:$K$22,MATCH($A19,datos_base!$A$15:$A$22,0),MATCH($B$3,datos_base!$B$2:$K$2,0))*INDEX(Parametros!$B$11:$M$26,MATCH($A19,Parametros!$A$11:$A$26,0),MATCH(C$16,Parametros!$B$10:$M$10,0))</f>
        <v>0</v>
      </c>
      <c r="D19" s="182">
        <f t="array" ref="D19">INDEX(datos_base!$B$15:$K$22,MATCH($A19,datos_base!$A$15:$A$22,0),MATCH($B$3,datos_base!$B$2:$K$2,0))*INDEX(Parametros!$B$11:$M$26,MATCH($A19,Parametros!$A$11:$A$26,0),MATCH(D$16,Parametros!$B$10:$M$10,0))</f>
        <v>0</v>
      </c>
      <c r="E19" s="182">
        <f t="array" ref="E19">INDEX(datos_base!$B$15:$K$22,MATCH($A19,datos_base!$A$15:$A$22,0),MATCH($B$3,datos_base!$B$2:$K$2,0))*INDEX(Parametros!$B$11:$M$26,MATCH($A19,Parametros!$A$11:$A$26,0),MATCH(E$16,Parametros!$B$10:$M$10,0))</f>
        <v>0</v>
      </c>
      <c r="F19" s="182">
        <f t="array" ref="F19">INDEX(datos_base!$B$15:$K$22,MATCH($A19,datos_base!$A$15:$A$22,0),MATCH($B$3,datos_base!$B$2:$K$2,0))*INDEX(Parametros!$B$11:$M$26,MATCH($A19,Parametros!$A$11:$A$26,0),MATCH(F$16,Parametros!$B$10:$M$10,0))</f>
        <v>0</v>
      </c>
      <c r="G19" s="182">
        <f t="array" ref="G19">INDEX(datos_base!$B$15:$K$22,MATCH($A19,datos_base!$A$15:$A$22,0),MATCH($B$3,datos_base!$B$2:$K$2,0))*INDEX(Parametros!$B$11:$M$26,MATCH($A19,Parametros!$A$11:$A$26,0),MATCH(G$16,Parametros!$B$10:$M$10,0))</f>
        <v>0</v>
      </c>
      <c r="H19" s="182">
        <f t="array" ref="H19">INDEX(datos_base!$B$15:$K$22,MATCH($A19,datos_base!$A$15:$A$22,0),MATCH($B$3,datos_base!$B$2:$K$2,0))*INDEX(Parametros!$B$11:$M$26,MATCH($A19,Parametros!$A$11:$A$26,0),MATCH(H$16,Parametros!$B$10:$M$10,0))</f>
        <v>0</v>
      </c>
      <c r="I19" s="182">
        <f t="array" ref="I19">INDEX(datos_base!$B$15:$K$22,MATCH($A19,datos_base!$A$15:$A$22,0),MATCH($B$3,datos_base!$B$2:$K$2,0))*INDEX(Parametros!$B$11:$M$26,MATCH($A19,Parametros!$A$11:$A$26,0),MATCH(I$16,Parametros!$B$10:$M$10,0))</f>
        <v>0</v>
      </c>
      <c r="J19" s="182">
        <f t="array" ref="J19">INDEX(datos_base!$B$15:$K$22,MATCH($A19,datos_base!$A$15:$A$22,0),MATCH($B$3,datos_base!$B$2:$K$2,0))*INDEX(Parametros!$B$11:$M$26,MATCH($A19,Parametros!$A$11:$A$26,0),MATCH(J$16,Parametros!$B$10:$M$10,0))</f>
        <v>0</v>
      </c>
      <c r="K19" s="182">
        <f t="array" ref="K19">INDEX(datos_base!$B$15:$K$22,MATCH($A19,datos_base!$A$15:$A$22,0),MATCH($B$3,datos_base!$B$2:$K$2,0))*INDEX(Parametros!$B$11:$M$26,MATCH($A19,Parametros!$A$11:$A$26,0),MATCH(K$16,Parametros!$B$10:$M$10,0))</f>
        <v>0</v>
      </c>
      <c r="L19" s="182">
        <f t="array" ref="L19">INDEX(datos_base!$B$15:$K$22,MATCH($A19,datos_base!$A$15:$A$22,0),MATCH($B$3,datos_base!$B$2:$K$2,0))*INDEX(Parametros!$B$11:$M$26,MATCH($A19,Parametros!$A$11:$A$26,0),MATCH(L$16,Parametros!$B$10:$M$10,0))</f>
        <v>0</v>
      </c>
      <c r="M19" s="182">
        <f t="array" ref="M19">INDEX(datos_base!$B$15:$K$22,MATCH($A19,datos_base!$A$15:$A$22,0),MATCH($B$3,datos_base!$B$2:$K$2,0))*INDEX(Parametros!$B$11:$M$26,MATCH($A19,Parametros!$A$11:$A$26,0),MATCH(M$16,Parametros!$B$10:$M$10,0))</f>
        <v>0</v>
      </c>
      <c r="N19" s="271">
        <f t="shared" si="4"/>
        <v>0</v>
      </c>
    </row>
    <row r="20" ht="12.0" customHeight="1">
      <c r="A20" s="269" t="s">
        <v>122</v>
      </c>
      <c r="B20" s="182">
        <f t="array" ref="B20">INDEX(datos_base!$B$15:$K$22,MATCH($A20,datos_base!$A$15:$A$22,0),MATCH($B$3,datos_base!$B$2:$K$2,0))*INDEX(Parametros!$B$11:$M$26,MATCH($A20,Parametros!$A$11:$A$26,0),MATCH(B$16,Parametros!$B$10:$M$10,0))</f>
        <v>0</v>
      </c>
      <c r="C20" s="182">
        <f t="array" ref="C20">INDEX(datos_base!$B$15:$K$22,MATCH($A20,datos_base!$A$15:$A$22,0),MATCH($B$3,datos_base!$B$2:$K$2,0))*INDEX(Parametros!$B$11:$M$26,MATCH($A20,Parametros!$A$11:$A$26,0),MATCH(C$16,Parametros!$B$10:$M$10,0))</f>
        <v>0</v>
      </c>
      <c r="D20" s="182">
        <f t="array" ref="D20">INDEX(datos_base!$B$15:$K$22,MATCH($A20,datos_base!$A$15:$A$22,0),MATCH($B$3,datos_base!$B$2:$K$2,0))*INDEX(Parametros!$B$11:$M$26,MATCH($A20,Parametros!$A$11:$A$26,0),MATCH(D$16,Parametros!$B$10:$M$10,0))</f>
        <v>0</v>
      </c>
      <c r="E20" s="182">
        <f t="array" ref="E20">INDEX(datos_base!$B$15:$K$22,MATCH($A20,datos_base!$A$15:$A$22,0),MATCH($B$3,datos_base!$B$2:$K$2,0))*INDEX(Parametros!$B$11:$M$26,MATCH($A20,Parametros!$A$11:$A$26,0),MATCH(E$16,Parametros!$B$10:$M$10,0))</f>
        <v>0</v>
      </c>
      <c r="F20" s="182">
        <f t="array" ref="F20">INDEX(datos_base!$B$15:$K$22,MATCH($A20,datos_base!$A$15:$A$22,0),MATCH($B$3,datos_base!$B$2:$K$2,0))*INDEX(Parametros!$B$11:$M$26,MATCH($A20,Parametros!$A$11:$A$26,0),MATCH(F$16,Parametros!$B$10:$M$10,0))</f>
        <v>0</v>
      </c>
      <c r="G20" s="182">
        <f t="array" ref="G20">INDEX(datos_base!$B$15:$K$22,MATCH($A20,datos_base!$A$15:$A$22,0),MATCH($B$3,datos_base!$B$2:$K$2,0))*INDEX(Parametros!$B$11:$M$26,MATCH($A20,Parametros!$A$11:$A$26,0),MATCH(G$16,Parametros!$B$10:$M$10,0))</f>
        <v>0</v>
      </c>
      <c r="H20" s="182">
        <f t="array" ref="H20">INDEX(datos_base!$B$15:$K$22,MATCH($A20,datos_base!$A$15:$A$22,0),MATCH($B$3,datos_base!$B$2:$K$2,0))*INDEX(Parametros!$B$11:$M$26,MATCH($A20,Parametros!$A$11:$A$26,0),MATCH(H$16,Parametros!$B$10:$M$10,0))</f>
        <v>0</v>
      </c>
      <c r="I20" s="182">
        <f t="array" ref="I20">INDEX(datos_base!$B$15:$K$22,MATCH($A20,datos_base!$A$15:$A$22,0),MATCH($B$3,datos_base!$B$2:$K$2,0))*INDEX(Parametros!$B$11:$M$26,MATCH($A20,Parametros!$A$11:$A$26,0),MATCH(I$16,Parametros!$B$10:$M$10,0))</f>
        <v>0</v>
      </c>
      <c r="J20" s="182">
        <f t="array" ref="J20">INDEX(datos_base!$B$15:$K$22,MATCH($A20,datos_base!$A$15:$A$22,0),MATCH($B$3,datos_base!$B$2:$K$2,0))*INDEX(Parametros!$B$11:$M$26,MATCH($A20,Parametros!$A$11:$A$26,0),MATCH(J$16,Parametros!$B$10:$M$10,0))</f>
        <v>0</v>
      </c>
      <c r="K20" s="182">
        <f t="array" ref="K20">INDEX(datos_base!$B$15:$K$22,MATCH($A20,datos_base!$A$15:$A$22,0),MATCH($B$3,datos_base!$B$2:$K$2,0))*INDEX(Parametros!$B$11:$M$26,MATCH($A20,Parametros!$A$11:$A$26,0),MATCH(K$16,Parametros!$B$10:$M$10,0))</f>
        <v>0</v>
      </c>
      <c r="L20" s="182">
        <f t="array" ref="L20">INDEX(datos_base!$B$15:$K$22,MATCH($A20,datos_base!$A$15:$A$22,0),MATCH($B$3,datos_base!$B$2:$K$2,0))*INDEX(Parametros!$B$11:$M$26,MATCH($A20,Parametros!$A$11:$A$26,0),MATCH(L$16,Parametros!$B$10:$M$10,0))</f>
        <v>0</v>
      </c>
      <c r="M20" s="182">
        <f t="array" ref="M20">INDEX(datos_base!$B$15:$K$22,MATCH($A20,datos_base!$A$15:$A$22,0),MATCH($B$3,datos_base!$B$2:$K$2,0))*INDEX(Parametros!$B$11:$M$26,MATCH($A20,Parametros!$A$11:$A$26,0),MATCH(M$16,Parametros!$B$10:$M$10,0))</f>
        <v>0</v>
      </c>
      <c r="N20" s="271">
        <f t="shared" si="4"/>
        <v>0</v>
      </c>
    </row>
    <row r="21" ht="12.0" customHeight="1">
      <c r="A21" s="269" t="s">
        <v>125</v>
      </c>
      <c r="B21" s="182">
        <f t="array" ref="B21">INDEX(datos_base!$B$15:$K$22,MATCH($A21,datos_base!$A$15:$A$22,0),MATCH($B$3,datos_base!$B$2:$K$2,0))*INDEX(Parametros!$B$11:$M$26,MATCH($A21,Parametros!$A$11:$A$26,0),MATCH(B$16,Parametros!$B$10:$M$10,0))</f>
        <v>0</v>
      </c>
      <c r="C21" s="182">
        <f t="array" ref="C21">INDEX(datos_base!$B$15:$K$22,MATCH($A21,datos_base!$A$15:$A$22,0),MATCH($B$3,datos_base!$B$2:$K$2,0))*INDEX(Parametros!$B$11:$M$26,MATCH($A21,Parametros!$A$11:$A$26,0),MATCH(C$16,Parametros!$B$10:$M$10,0))</f>
        <v>0</v>
      </c>
      <c r="D21" s="182">
        <f t="array" ref="D21">INDEX(datos_base!$B$15:$K$22,MATCH($A21,datos_base!$A$15:$A$22,0),MATCH($B$3,datos_base!$B$2:$K$2,0))*INDEX(Parametros!$B$11:$M$26,MATCH($A21,Parametros!$A$11:$A$26,0),MATCH(D$16,Parametros!$B$10:$M$10,0))</f>
        <v>0</v>
      </c>
      <c r="E21" s="182">
        <f t="array" ref="E21">INDEX(datos_base!$B$15:$K$22,MATCH($A21,datos_base!$A$15:$A$22,0),MATCH($B$3,datos_base!$B$2:$K$2,0))*INDEX(Parametros!$B$11:$M$26,MATCH($A21,Parametros!$A$11:$A$26,0),MATCH(E$16,Parametros!$B$10:$M$10,0))</f>
        <v>0</v>
      </c>
      <c r="F21" s="182">
        <f t="array" ref="F21">INDEX(datos_base!$B$15:$K$22,MATCH($A21,datos_base!$A$15:$A$22,0),MATCH($B$3,datos_base!$B$2:$K$2,0))*INDEX(Parametros!$B$11:$M$26,MATCH($A21,Parametros!$A$11:$A$26,0),MATCH(F$16,Parametros!$B$10:$M$10,0))</f>
        <v>0</v>
      </c>
      <c r="G21" s="182">
        <f t="array" ref="G21">INDEX(datos_base!$B$15:$K$22,MATCH($A21,datos_base!$A$15:$A$22,0),MATCH($B$3,datos_base!$B$2:$K$2,0))*INDEX(Parametros!$B$11:$M$26,MATCH($A21,Parametros!$A$11:$A$26,0),MATCH(G$16,Parametros!$B$10:$M$10,0))</f>
        <v>0</v>
      </c>
      <c r="H21" s="182">
        <f t="array" ref="H21">INDEX(datos_base!$B$15:$K$22,MATCH($A21,datos_base!$A$15:$A$22,0),MATCH($B$3,datos_base!$B$2:$K$2,0))*INDEX(Parametros!$B$11:$M$26,MATCH($A21,Parametros!$A$11:$A$26,0),MATCH(H$16,Parametros!$B$10:$M$10,0))</f>
        <v>0</v>
      </c>
      <c r="I21" s="182">
        <f t="array" ref="I21">INDEX(datos_base!$B$15:$K$22,MATCH($A21,datos_base!$A$15:$A$22,0),MATCH($B$3,datos_base!$B$2:$K$2,0))*INDEX(Parametros!$B$11:$M$26,MATCH($A21,Parametros!$A$11:$A$26,0),MATCH(I$16,Parametros!$B$10:$M$10,0))</f>
        <v>0</v>
      </c>
      <c r="J21" s="182">
        <f t="array" ref="J21">INDEX(datos_base!$B$15:$K$22,MATCH($A21,datos_base!$A$15:$A$22,0),MATCH($B$3,datos_base!$B$2:$K$2,0))*INDEX(Parametros!$B$11:$M$26,MATCH($A21,Parametros!$A$11:$A$26,0),MATCH(J$16,Parametros!$B$10:$M$10,0))</f>
        <v>0</v>
      </c>
      <c r="K21" s="182">
        <f t="array" ref="K21">INDEX(datos_base!$B$15:$K$22,MATCH($A21,datos_base!$A$15:$A$22,0),MATCH($B$3,datos_base!$B$2:$K$2,0))*INDEX(Parametros!$B$11:$M$26,MATCH($A21,Parametros!$A$11:$A$26,0),MATCH(K$16,Parametros!$B$10:$M$10,0))</f>
        <v>0</v>
      </c>
      <c r="L21" s="182">
        <f t="array" ref="L21">INDEX(datos_base!$B$15:$K$22,MATCH($A21,datos_base!$A$15:$A$22,0),MATCH($B$3,datos_base!$B$2:$K$2,0))*INDEX(Parametros!$B$11:$M$26,MATCH($A21,Parametros!$A$11:$A$26,0),MATCH(L$16,Parametros!$B$10:$M$10,0))</f>
        <v>0</v>
      </c>
      <c r="M21" s="182">
        <f t="array" ref="M21">INDEX(datos_base!$B$15:$K$22,MATCH($A21,datos_base!$A$15:$A$22,0),MATCH($B$3,datos_base!$B$2:$K$2,0))*INDEX(Parametros!$B$11:$M$26,MATCH($A21,Parametros!$A$11:$A$26,0),MATCH(M$16,Parametros!$B$10:$M$10,0))</f>
        <v>0</v>
      </c>
      <c r="N21" s="271">
        <f t="shared" si="4"/>
        <v>0</v>
      </c>
    </row>
    <row r="22" ht="12.0" customHeight="1">
      <c r="A22" s="269" t="s">
        <v>128</v>
      </c>
      <c r="B22" s="182">
        <f t="array" ref="B22">INDEX(datos_base!$B$15:$K$22,MATCH($A22,datos_base!$A$15:$A$22,0),MATCH($B$3,datos_base!$B$2:$K$2,0))*INDEX(Parametros!$B$11:$M$26,MATCH($A22,Parametros!$A$11:$A$26,0),MATCH(B$16,Parametros!$B$10:$M$10,0))</f>
        <v>0</v>
      </c>
      <c r="C22" s="182">
        <f t="array" ref="C22">INDEX(datos_base!$B$15:$K$22,MATCH($A22,datos_base!$A$15:$A$22,0),MATCH($B$3,datos_base!$B$2:$K$2,0))*INDEX(Parametros!$B$11:$M$26,MATCH($A22,Parametros!$A$11:$A$26,0),MATCH(C$16,Parametros!$B$10:$M$10,0))</f>
        <v>0</v>
      </c>
      <c r="D22" s="182">
        <f t="array" ref="D22">INDEX(datos_base!$B$15:$K$22,MATCH($A22,datos_base!$A$15:$A$22,0),MATCH($B$3,datos_base!$B$2:$K$2,0))*INDEX(Parametros!$B$11:$M$26,MATCH($A22,Parametros!$A$11:$A$26,0),MATCH(D$16,Parametros!$B$10:$M$10,0))</f>
        <v>0</v>
      </c>
      <c r="E22" s="182">
        <f t="array" ref="E22">INDEX(datos_base!$B$15:$K$22,MATCH($A22,datos_base!$A$15:$A$22,0),MATCH($B$3,datos_base!$B$2:$K$2,0))*INDEX(Parametros!$B$11:$M$26,MATCH($A22,Parametros!$A$11:$A$26,0),MATCH(E$16,Parametros!$B$10:$M$10,0))</f>
        <v>0</v>
      </c>
      <c r="F22" s="182">
        <f t="array" ref="F22">INDEX(datos_base!$B$15:$K$22,MATCH($A22,datos_base!$A$15:$A$22,0),MATCH($B$3,datos_base!$B$2:$K$2,0))*INDEX(Parametros!$B$11:$M$26,MATCH($A22,Parametros!$A$11:$A$26,0),MATCH(F$16,Parametros!$B$10:$M$10,0))</f>
        <v>0</v>
      </c>
      <c r="G22" s="182">
        <f t="array" ref="G22">INDEX(datos_base!$B$15:$K$22,MATCH($A22,datos_base!$A$15:$A$22,0),MATCH($B$3,datos_base!$B$2:$K$2,0))*INDEX(Parametros!$B$11:$M$26,MATCH($A22,Parametros!$A$11:$A$26,0),MATCH(G$16,Parametros!$B$10:$M$10,0))</f>
        <v>0</v>
      </c>
      <c r="H22" s="182">
        <f t="array" ref="H22">INDEX(datos_base!$B$15:$K$22,MATCH($A22,datos_base!$A$15:$A$22,0),MATCH($B$3,datos_base!$B$2:$K$2,0))*INDEX(Parametros!$B$11:$M$26,MATCH($A22,Parametros!$A$11:$A$26,0),MATCH(H$16,Parametros!$B$10:$M$10,0))</f>
        <v>0</v>
      </c>
      <c r="I22" s="182">
        <f t="array" ref="I22">INDEX(datos_base!$B$15:$K$22,MATCH($A22,datos_base!$A$15:$A$22,0),MATCH($B$3,datos_base!$B$2:$K$2,0))*INDEX(Parametros!$B$11:$M$26,MATCH($A22,Parametros!$A$11:$A$26,0),MATCH(I$16,Parametros!$B$10:$M$10,0))</f>
        <v>0</v>
      </c>
      <c r="J22" s="182">
        <f t="array" ref="J22">INDEX(datos_base!$B$15:$K$22,MATCH($A22,datos_base!$A$15:$A$22,0),MATCH($B$3,datos_base!$B$2:$K$2,0))*INDEX(Parametros!$B$11:$M$26,MATCH($A22,Parametros!$A$11:$A$26,0),MATCH(J$16,Parametros!$B$10:$M$10,0))</f>
        <v>0</v>
      </c>
      <c r="K22" s="182">
        <f t="array" ref="K22">INDEX(datos_base!$B$15:$K$22,MATCH($A22,datos_base!$A$15:$A$22,0),MATCH($B$3,datos_base!$B$2:$K$2,0))*INDEX(Parametros!$B$11:$M$26,MATCH($A22,Parametros!$A$11:$A$26,0),MATCH(K$16,Parametros!$B$10:$M$10,0))</f>
        <v>0</v>
      </c>
      <c r="L22" s="182">
        <f t="array" ref="L22">INDEX(datos_base!$B$15:$K$22,MATCH($A22,datos_base!$A$15:$A$22,0),MATCH($B$3,datos_base!$B$2:$K$2,0))*INDEX(Parametros!$B$11:$M$26,MATCH($A22,Parametros!$A$11:$A$26,0),MATCH(L$16,Parametros!$B$10:$M$10,0))</f>
        <v>0</v>
      </c>
      <c r="M22" s="182">
        <f t="array" ref="M22">INDEX(datos_base!$B$15:$K$22,MATCH($A22,datos_base!$A$15:$A$22,0),MATCH($B$3,datos_base!$B$2:$K$2,0))*INDEX(Parametros!$B$11:$M$26,MATCH($A22,Parametros!$A$11:$A$26,0),MATCH(M$16,Parametros!$B$10:$M$10,0))</f>
        <v>0</v>
      </c>
      <c r="N22" s="271">
        <f t="shared" si="4"/>
        <v>0</v>
      </c>
    </row>
    <row r="23" ht="12.0" customHeight="1">
      <c r="A23" s="269" t="s">
        <v>129</v>
      </c>
      <c r="B23" s="182">
        <f t="array" ref="B23">INDEX(datos_base!$B$15:$K$22,MATCH($A23,datos_base!$A$15:$A$22,0),MATCH($B$3,datos_base!$B$2:$K$2,0))*INDEX(Parametros!$B$11:$M$26,MATCH($A23,Parametros!$A$11:$A$26,0),MATCH(B$16,Parametros!$B$10:$M$10,0))</f>
        <v>0</v>
      </c>
      <c r="C23" s="182">
        <f t="array" ref="C23">INDEX(datos_base!$B$15:$K$22,MATCH($A23,datos_base!$A$15:$A$22,0),MATCH($B$3,datos_base!$B$2:$K$2,0))*INDEX(Parametros!$B$11:$M$26,MATCH($A23,Parametros!$A$11:$A$26,0),MATCH(C$16,Parametros!$B$10:$M$10,0))</f>
        <v>0</v>
      </c>
      <c r="D23" s="182">
        <f t="array" ref="D23">INDEX(datos_base!$B$15:$K$22,MATCH($A23,datos_base!$A$15:$A$22,0),MATCH($B$3,datos_base!$B$2:$K$2,0))*INDEX(Parametros!$B$11:$M$26,MATCH($A23,Parametros!$A$11:$A$26,0),MATCH(D$16,Parametros!$B$10:$M$10,0))</f>
        <v>0</v>
      </c>
      <c r="E23" s="182">
        <f t="array" ref="E23">INDEX(datos_base!$B$15:$K$22,MATCH($A23,datos_base!$A$15:$A$22,0),MATCH($B$3,datos_base!$B$2:$K$2,0))*INDEX(Parametros!$B$11:$M$26,MATCH($A23,Parametros!$A$11:$A$26,0),MATCH(E$16,Parametros!$B$10:$M$10,0))</f>
        <v>0</v>
      </c>
      <c r="F23" s="182">
        <f t="array" ref="F23">INDEX(datos_base!$B$15:$K$22,MATCH($A23,datos_base!$A$15:$A$22,0),MATCH($B$3,datos_base!$B$2:$K$2,0))*INDEX(Parametros!$B$11:$M$26,MATCH($A23,Parametros!$A$11:$A$26,0),MATCH(F$16,Parametros!$B$10:$M$10,0))</f>
        <v>0</v>
      </c>
      <c r="G23" s="182">
        <f t="array" ref="G23">INDEX(datos_base!$B$15:$K$22,MATCH($A23,datos_base!$A$15:$A$22,0),MATCH($B$3,datos_base!$B$2:$K$2,0))*INDEX(Parametros!$B$11:$M$26,MATCH($A23,Parametros!$A$11:$A$26,0),MATCH(G$16,Parametros!$B$10:$M$10,0))</f>
        <v>0</v>
      </c>
      <c r="H23" s="182">
        <f t="array" ref="H23">INDEX(datos_base!$B$15:$K$22,MATCH($A23,datos_base!$A$15:$A$22,0),MATCH($B$3,datos_base!$B$2:$K$2,0))*INDEX(Parametros!$B$11:$M$26,MATCH($A23,Parametros!$A$11:$A$26,0),MATCH(H$16,Parametros!$B$10:$M$10,0))</f>
        <v>0</v>
      </c>
      <c r="I23" s="182">
        <f t="array" ref="I23">INDEX(datos_base!$B$15:$K$22,MATCH($A23,datos_base!$A$15:$A$22,0),MATCH($B$3,datos_base!$B$2:$K$2,0))*INDEX(Parametros!$B$11:$M$26,MATCH($A23,Parametros!$A$11:$A$26,0),MATCH(I$16,Parametros!$B$10:$M$10,0))</f>
        <v>0</v>
      </c>
      <c r="J23" s="182">
        <f t="array" ref="J23">INDEX(datos_base!$B$15:$K$22,MATCH($A23,datos_base!$A$15:$A$22,0),MATCH($B$3,datos_base!$B$2:$K$2,0))*INDEX(Parametros!$B$11:$M$26,MATCH($A23,Parametros!$A$11:$A$26,0),MATCH(J$16,Parametros!$B$10:$M$10,0))</f>
        <v>0</v>
      </c>
      <c r="K23" s="182">
        <f t="array" ref="K23">INDEX(datos_base!$B$15:$K$22,MATCH($A23,datos_base!$A$15:$A$22,0),MATCH($B$3,datos_base!$B$2:$K$2,0))*INDEX(Parametros!$B$11:$M$26,MATCH($A23,Parametros!$A$11:$A$26,0),MATCH(K$16,Parametros!$B$10:$M$10,0))</f>
        <v>0</v>
      </c>
      <c r="L23" s="182">
        <f t="array" ref="L23">INDEX(datos_base!$B$15:$K$22,MATCH($A23,datos_base!$A$15:$A$22,0),MATCH($B$3,datos_base!$B$2:$K$2,0))*INDEX(Parametros!$B$11:$M$26,MATCH($A23,Parametros!$A$11:$A$26,0),MATCH(L$16,Parametros!$B$10:$M$10,0))</f>
        <v>0</v>
      </c>
      <c r="M23" s="182">
        <f t="array" ref="M23">INDEX(datos_base!$B$15:$K$22,MATCH($A23,datos_base!$A$15:$A$22,0),MATCH($B$3,datos_base!$B$2:$K$2,0))*INDEX(Parametros!$B$11:$M$26,MATCH($A23,Parametros!$A$11:$A$26,0),MATCH(M$16,Parametros!$B$10:$M$10,0))</f>
        <v>0</v>
      </c>
      <c r="N23" s="271">
        <f t="shared" si="4"/>
        <v>0</v>
      </c>
    </row>
    <row r="24" ht="12.0" customHeight="1">
      <c r="A24" s="269" t="s">
        <v>130</v>
      </c>
      <c r="B24" s="182">
        <f t="array" ref="B24">INDEX(datos_base!$B$15:$K$22,MATCH($A24,datos_base!$A$15:$A$22,0),MATCH($B$3,datos_base!$B$2:$K$2,0))*INDEX(Parametros!$B$11:$M$26,MATCH($A24,Parametros!$A$11:$A$26,0),MATCH(B$16,Parametros!$B$10:$M$10,0))</f>
        <v>0</v>
      </c>
      <c r="C24" s="182">
        <f t="array" ref="C24">INDEX(datos_base!$B$15:$K$22,MATCH($A24,datos_base!$A$15:$A$22,0),MATCH($B$3,datos_base!$B$2:$K$2,0))*INDEX(Parametros!$B$11:$M$26,MATCH($A24,Parametros!$A$11:$A$26,0),MATCH(C$16,Parametros!$B$10:$M$10,0))</f>
        <v>0</v>
      </c>
      <c r="D24" s="182">
        <f t="array" ref="D24">INDEX(datos_base!$B$15:$K$22,MATCH($A24,datos_base!$A$15:$A$22,0),MATCH($B$3,datos_base!$B$2:$K$2,0))*INDEX(Parametros!$B$11:$M$26,MATCH($A24,Parametros!$A$11:$A$26,0),MATCH(D$16,Parametros!$B$10:$M$10,0))</f>
        <v>0</v>
      </c>
      <c r="E24" s="182">
        <f t="array" ref="E24">INDEX(datos_base!$B$15:$K$22,MATCH($A24,datos_base!$A$15:$A$22,0),MATCH($B$3,datos_base!$B$2:$K$2,0))*INDEX(Parametros!$B$11:$M$26,MATCH($A24,Parametros!$A$11:$A$26,0),MATCH(E$16,Parametros!$B$10:$M$10,0))</f>
        <v>0</v>
      </c>
      <c r="F24" s="182">
        <f t="array" ref="F24">INDEX(datos_base!$B$15:$K$22,MATCH($A24,datos_base!$A$15:$A$22,0),MATCH($B$3,datos_base!$B$2:$K$2,0))*INDEX(Parametros!$B$11:$M$26,MATCH($A24,Parametros!$A$11:$A$26,0),MATCH(F$16,Parametros!$B$10:$M$10,0))</f>
        <v>0</v>
      </c>
      <c r="G24" s="182">
        <f t="array" ref="G24">INDEX(datos_base!$B$15:$K$22,MATCH($A24,datos_base!$A$15:$A$22,0),MATCH($B$3,datos_base!$B$2:$K$2,0))*INDEX(Parametros!$B$11:$M$26,MATCH($A24,Parametros!$A$11:$A$26,0),MATCH(G$16,Parametros!$B$10:$M$10,0))</f>
        <v>0</v>
      </c>
      <c r="H24" s="182">
        <f t="array" ref="H24">INDEX(datos_base!$B$15:$K$22,MATCH($A24,datos_base!$A$15:$A$22,0),MATCH($B$3,datos_base!$B$2:$K$2,0))*INDEX(Parametros!$B$11:$M$26,MATCH($A24,Parametros!$A$11:$A$26,0),MATCH(H$16,Parametros!$B$10:$M$10,0))</f>
        <v>0</v>
      </c>
      <c r="I24" s="182">
        <f t="array" ref="I24">INDEX(datos_base!$B$15:$K$22,MATCH($A24,datos_base!$A$15:$A$22,0),MATCH($B$3,datos_base!$B$2:$K$2,0))*INDEX(Parametros!$B$11:$M$26,MATCH($A24,Parametros!$A$11:$A$26,0),MATCH(I$16,Parametros!$B$10:$M$10,0))</f>
        <v>0</v>
      </c>
      <c r="J24" s="182">
        <f t="array" ref="J24">INDEX(datos_base!$B$15:$K$22,MATCH($A24,datos_base!$A$15:$A$22,0),MATCH($B$3,datos_base!$B$2:$K$2,0))*INDEX(Parametros!$B$11:$M$26,MATCH($A24,Parametros!$A$11:$A$26,0),MATCH(J$16,Parametros!$B$10:$M$10,0))</f>
        <v>0</v>
      </c>
      <c r="K24" s="182">
        <f t="array" ref="K24">INDEX(datos_base!$B$15:$K$22,MATCH($A24,datos_base!$A$15:$A$22,0),MATCH($B$3,datos_base!$B$2:$K$2,0))*INDEX(Parametros!$B$11:$M$26,MATCH($A24,Parametros!$A$11:$A$26,0),MATCH(K$16,Parametros!$B$10:$M$10,0))</f>
        <v>0</v>
      </c>
      <c r="L24" s="182">
        <f t="array" ref="L24">INDEX(datos_base!$B$15:$K$22,MATCH($A24,datos_base!$A$15:$A$22,0),MATCH($B$3,datos_base!$B$2:$K$2,0))*INDEX(Parametros!$B$11:$M$26,MATCH($A24,Parametros!$A$11:$A$26,0),MATCH(L$16,Parametros!$B$10:$M$10,0))</f>
        <v>0</v>
      </c>
      <c r="M24" s="182">
        <f t="array" ref="M24">INDEX(datos_base!$B$15:$K$22,MATCH($A24,datos_base!$A$15:$A$22,0),MATCH($B$3,datos_base!$B$2:$K$2,0))*INDEX(Parametros!$B$11:$M$26,MATCH($A24,Parametros!$A$11:$A$26,0),MATCH(M$16,Parametros!$B$10:$M$10,0))</f>
        <v>0</v>
      </c>
      <c r="N24" s="271">
        <f t="shared" si="4"/>
        <v>0</v>
      </c>
    </row>
    <row r="25" ht="12.0" customHeight="1">
      <c r="A25" s="268" t="s">
        <v>420</v>
      </c>
      <c r="B25" s="273">
        <f t="shared" ref="B25:N25" si="5">SUM(B17:B24)</f>
        <v>0</v>
      </c>
      <c r="C25" s="273">
        <f t="shared" si="5"/>
        <v>0</v>
      </c>
      <c r="D25" s="273">
        <f t="shared" si="5"/>
        <v>0</v>
      </c>
      <c r="E25" s="273">
        <f t="shared" si="5"/>
        <v>0</v>
      </c>
      <c r="F25" s="273">
        <f t="shared" si="5"/>
        <v>0</v>
      </c>
      <c r="G25" s="273">
        <f t="shared" si="5"/>
        <v>0</v>
      </c>
      <c r="H25" s="273">
        <f t="shared" si="5"/>
        <v>0</v>
      </c>
      <c r="I25" s="273">
        <f t="shared" si="5"/>
        <v>0</v>
      </c>
      <c r="J25" s="273">
        <f t="shared" si="5"/>
        <v>0</v>
      </c>
      <c r="K25" s="273">
        <f t="shared" si="5"/>
        <v>0</v>
      </c>
      <c r="L25" s="273">
        <f t="shared" si="5"/>
        <v>0</v>
      </c>
      <c r="M25" s="273">
        <f t="shared" si="5"/>
        <v>0</v>
      </c>
      <c r="N25" s="273">
        <f t="shared" si="5"/>
        <v>0</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f>
        <v>894.1666667</v>
      </c>
      <c r="C28" s="152">
        <f>ROUNDDOWN(B28/Parametros!$B$37,0)</f>
        <v>44</v>
      </c>
      <c r="D28" s="152">
        <f>ROUNDDOWN(C28/Parametros!$J$37,0)</f>
        <v>5</v>
      </c>
      <c r="E28" s="152">
        <f t="shared" ref="E28:E45" si="6">D28</f>
        <v>5</v>
      </c>
      <c r="F28" s="279">
        <f>Parametros!$M$39</f>
        <v>68</v>
      </c>
      <c r="G28" s="152">
        <v>1.0</v>
      </c>
      <c r="H28" s="152">
        <f t="shared" ref="H28:H45" si="7">F28*G28</f>
        <v>68</v>
      </c>
      <c r="I28" s="275">
        <f t="shared" ref="I28:I45" si="8">E28/H28</f>
        <v>0.07352941176</v>
      </c>
      <c r="J28" s="152" t="s">
        <v>158</v>
      </c>
    </row>
    <row r="29" ht="12.0" customHeight="1">
      <c r="A29" s="152" t="s">
        <v>163</v>
      </c>
      <c r="B29" s="159">
        <f>O6+O7+O8+O9</f>
        <v>894.1666667</v>
      </c>
      <c r="C29" s="152">
        <f>ROUNDDOWN(B29/Parametros!$B$37,0)</f>
        <v>44</v>
      </c>
      <c r="D29" s="152">
        <f>ROUNDDOWN(C29/Parametros!$J$37,0)</f>
        <v>5</v>
      </c>
      <c r="E29" s="152">
        <f t="shared" si="6"/>
        <v>5</v>
      </c>
      <c r="F29" s="279">
        <f>Parametros!$M$40</f>
        <v>40.88</v>
      </c>
      <c r="G29" s="152">
        <v>1.0</v>
      </c>
      <c r="H29" s="152">
        <f t="shared" si="7"/>
        <v>40.88</v>
      </c>
      <c r="I29" s="275">
        <f t="shared" si="8"/>
        <v>0.1223091977</v>
      </c>
      <c r="J29" s="152" t="s">
        <v>158</v>
      </c>
    </row>
    <row r="30" ht="12.0" customHeight="1">
      <c r="A30" s="152" t="s">
        <v>61</v>
      </c>
      <c r="B30" s="159">
        <f>O6+O7+O8+O9</f>
        <v>894.1666667</v>
      </c>
      <c r="C30" s="152">
        <f>ROUNDDOWN(B30/Parametros!$B$37,0)</f>
        <v>44</v>
      </c>
      <c r="D30" s="152">
        <f>ROUNDDOWN(C30/Parametros!$J$37,0)</f>
        <v>5</v>
      </c>
      <c r="E30" s="152">
        <f t="shared" si="6"/>
        <v>5</v>
      </c>
      <c r="F30" s="279">
        <f>Parametros!$M$41</f>
        <v>466.5116279</v>
      </c>
      <c r="G30" s="152">
        <v>1.0</v>
      </c>
      <c r="H30" s="152">
        <f t="shared" si="7"/>
        <v>466.5116279</v>
      </c>
      <c r="I30" s="275">
        <f t="shared" si="8"/>
        <v>0.01071784646</v>
      </c>
      <c r="J30" s="152" t="s">
        <v>158</v>
      </c>
    </row>
    <row r="31" ht="12.0" customHeight="1">
      <c r="A31" s="152" t="s">
        <v>62</v>
      </c>
      <c r="B31" s="159">
        <f>O7+O8+O9</f>
        <v>394.4166667</v>
      </c>
      <c r="C31" s="152">
        <f>ROUNDDOWN(B31/Parametros!$B$37,0)</f>
        <v>19</v>
      </c>
      <c r="D31" s="152">
        <f>ROUNDDOWN(C31/Parametros!$J$37,0)</f>
        <v>2</v>
      </c>
      <c r="E31" s="152">
        <f t="shared" si="6"/>
        <v>2</v>
      </c>
      <c r="F31" s="279">
        <f>Parametros!$M$42</f>
        <v>96</v>
      </c>
      <c r="G31" s="152">
        <v>1.0</v>
      </c>
      <c r="H31" s="152">
        <f t="shared" si="7"/>
        <v>96</v>
      </c>
      <c r="I31" s="275">
        <f t="shared" si="8"/>
        <v>0.02083333333</v>
      </c>
      <c r="J31" s="152" t="s">
        <v>182</v>
      </c>
    </row>
    <row r="32" ht="12.0" customHeight="1">
      <c r="A32" s="152" t="s">
        <v>63</v>
      </c>
      <c r="B32" s="159">
        <f>O7+O8+O9</f>
        <v>394.4166667</v>
      </c>
      <c r="C32" s="152">
        <f>ROUNDDOWN(B32/Parametros!$B$37,0)</f>
        <v>19</v>
      </c>
      <c r="D32" s="152">
        <f>ROUNDDOWN(C32/Parametros!$J$37,0)</f>
        <v>2</v>
      </c>
      <c r="E32" s="152">
        <f t="shared" si="6"/>
        <v>2</v>
      </c>
      <c r="F32" s="279">
        <f>Parametros!$M$43</f>
        <v>80.10122449</v>
      </c>
      <c r="G32" s="152">
        <v>1.0</v>
      </c>
      <c r="H32" s="152">
        <f t="shared" si="7"/>
        <v>80.10122449</v>
      </c>
      <c r="I32" s="275">
        <f t="shared" si="8"/>
        <v>0.02496840732</v>
      </c>
      <c r="J32" s="152" t="s">
        <v>182</v>
      </c>
    </row>
    <row r="33" ht="12.0" customHeight="1">
      <c r="A33" s="152" t="s">
        <v>64</v>
      </c>
      <c r="B33" s="159">
        <f>O7+O8+O9</f>
        <v>394.4166667</v>
      </c>
      <c r="C33" s="152">
        <f>ROUNDDOWN(B33/Parametros!$B$37,0)</f>
        <v>19</v>
      </c>
      <c r="D33" s="152">
        <f>ROUNDDOWN(C33/Parametros!$J$37,0)</f>
        <v>2</v>
      </c>
      <c r="E33" s="152">
        <f t="shared" si="6"/>
        <v>2</v>
      </c>
      <c r="F33" s="279">
        <f>Parametros!$M$44</f>
        <v>18.54222222</v>
      </c>
      <c r="G33" s="152">
        <v>1.0</v>
      </c>
      <c r="H33" s="152">
        <f t="shared" si="7"/>
        <v>18.54222222</v>
      </c>
      <c r="I33" s="275">
        <f t="shared" si="8"/>
        <v>0.1078619367</v>
      </c>
      <c r="J33" s="152" t="s">
        <v>182</v>
      </c>
    </row>
    <row r="34" ht="12.0" customHeight="1">
      <c r="A34" s="152" t="s">
        <v>66</v>
      </c>
      <c r="B34" s="159">
        <f>O6+O7+O8+O9</f>
        <v>894.1666667</v>
      </c>
      <c r="C34" s="152">
        <f>ROUNDDOWN(B34/Parametros!$B$37,0)</f>
        <v>44</v>
      </c>
      <c r="D34" s="152">
        <f>ROUNDDOWN(C34/Parametros!$J$37,0)</f>
        <v>5</v>
      </c>
      <c r="E34" s="152">
        <f t="shared" si="6"/>
        <v>5</v>
      </c>
      <c r="F34" s="279">
        <f>Parametros!$M$45</f>
        <v>60.656</v>
      </c>
      <c r="G34" s="152">
        <v>1.0</v>
      </c>
      <c r="H34" s="152">
        <f t="shared" si="7"/>
        <v>60.656</v>
      </c>
      <c r="I34" s="275">
        <f t="shared" si="8"/>
        <v>0.08243207597</v>
      </c>
      <c r="J34" s="152" t="s">
        <v>158</v>
      </c>
    </row>
    <row r="35" ht="12.0" customHeight="1">
      <c r="A35" s="152" t="s">
        <v>67</v>
      </c>
      <c r="B35" s="159">
        <f>O6+O7+O8+O9</f>
        <v>894.1666667</v>
      </c>
      <c r="C35" s="152">
        <f>ROUNDDOWN(B35/Parametros!$B$37,0)</f>
        <v>44</v>
      </c>
      <c r="D35" s="152">
        <f>ROUNDDOWN(C35/Parametros!$J$37,0)</f>
        <v>5</v>
      </c>
      <c r="E35" s="152">
        <f t="shared" si="6"/>
        <v>5</v>
      </c>
      <c r="F35" s="279">
        <f>Parametros!$M$46</f>
        <v>187.425</v>
      </c>
      <c r="G35" s="152">
        <v>1.0</v>
      </c>
      <c r="H35" s="152">
        <f t="shared" si="7"/>
        <v>187.425</v>
      </c>
      <c r="I35" s="275">
        <f t="shared" si="8"/>
        <v>0.0266773376</v>
      </c>
      <c r="J35" s="152" t="s">
        <v>158</v>
      </c>
    </row>
    <row r="36" ht="12.0" customHeight="1">
      <c r="A36" s="152" t="s">
        <v>68</v>
      </c>
      <c r="B36" s="159">
        <f>O6+O7+O8+O9</f>
        <v>894.1666667</v>
      </c>
      <c r="C36" s="152">
        <f>ROUNDDOWN(B36/Parametros!$B$37,0)</f>
        <v>44</v>
      </c>
      <c r="D36" s="152">
        <f>ROUNDDOWN(C36/Parametros!$J$37,0)</f>
        <v>5</v>
      </c>
      <c r="E36" s="152">
        <f t="shared" si="6"/>
        <v>5</v>
      </c>
      <c r="F36" s="279">
        <f>Parametros!$M$47</f>
        <v>15.96903226</v>
      </c>
      <c r="G36" s="152">
        <v>1.0</v>
      </c>
      <c r="H36" s="152">
        <f t="shared" si="7"/>
        <v>15.96903226</v>
      </c>
      <c r="I36" s="275">
        <f t="shared" si="8"/>
        <v>0.3131060116</v>
      </c>
      <c r="J36" s="152" t="s">
        <v>158</v>
      </c>
    </row>
    <row r="37" ht="12.0" customHeight="1">
      <c r="A37" s="152" t="s">
        <v>70</v>
      </c>
      <c r="B37" s="159">
        <f>O6+O7+O8+O9</f>
        <v>894.1666667</v>
      </c>
      <c r="C37" s="152">
        <f>ROUNDDOWN(B37/Parametros!$B$37,0)</f>
        <v>44</v>
      </c>
      <c r="D37" s="152">
        <f>ROUNDDOWN(C37/Parametros!$J$37,0)</f>
        <v>5</v>
      </c>
      <c r="E37" s="152">
        <f t="shared" si="6"/>
        <v>5</v>
      </c>
      <c r="F37" s="279">
        <f>Parametros!$M$48</f>
        <v>22.46518519</v>
      </c>
      <c r="G37" s="152">
        <v>1.0</v>
      </c>
      <c r="H37" s="152">
        <f t="shared" si="7"/>
        <v>22.46518519</v>
      </c>
      <c r="I37" s="275">
        <f t="shared" si="8"/>
        <v>0.2225666051</v>
      </c>
      <c r="J37" s="152" t="s">
        <v>158</v>
      </c>
    </row>
    <row r="38" ht="12.0" customHeight="1">
      <c r="A38" s="152" t="s">
        <v>72</v>
      </c>
      <c r="B38" s="159">
        <f>O6+O7+O8+O9</f>
        <v>894.1666667</v>
      </c>
      <c r="C38" s="152">
        <f>ROUNDDOWN(B38/Parametros!$B$37,0)</f>
        <v>44</v>
      </c>
      <c r="D38" s="152">
        <f>ROUNDDOWN(C38/Parametros!$J$37,0)</f>
        <v>5</v>
      </c>
      <c r="E38" s="152">
        <f t="shared" si="6"/>
        <v>5</v>
      </c>
      <c r="F38" s="279">
        <f>Parametros!$M$49</f>
        <v>71.1627907</v>
      </c>
      <c r="G38" s="152">
        <v>1.0</v>
      </c>
      <c r="H38" s="152">
        <f t="shared" si="7"/>
        <v>71.1627907</v>
      </c>
      <c r="I38" s="275">
        <f t="shared" si="8"/>
        <v>0.07026143791</v>
      </c>
      <c r="J38" s="152" t="s">
        <v>158</v>
      </c>
    </row>
    <row r="39" ht="12.0" customHeight="1">
      <c r="A39" s="152" t="s">
        <v>76</v>
      </c>
      <c r="B39" s="159">
        <f>O6+O7+O8+O9</f>
        <v>894.1666667</v>
      </c>
      <c r="C39" s="152">
        <f>ROUNDDOWN(B39/Parametros!$B$37,0)</f>
        <v>44</v>
      </c>
      <c r="D39" s="152">
        <f>ROUNDDOWN(C39/Parametros!$J$37,0)</f>
        <v>5</v>
      </c>
      <c r="E39" s="152">
        <f t="shared" si="6"/>
        <v>5</v>
      </c>
      <c r="F39" s="279">
        <f>Parametros!$M$50</f>
        <v>192</v>
      </c>
      <c r="G39" s="152">
        <v>1.0</v>
      </c>
      <c r="H39" s="152">
        <f t="shared" si="7"/>
        <v>192</v>
      </c>
      <c r="I39" s="275">
        <f t="shared" si="8"/>
        <v>0.02604166667</v>
      </c>
      <c r="J39" s="152" t="s">
        <v>158</v>
      </c>
    </row>
    <row r="40" ht="12.0" customHeight="1">
      <c r="A40" s="152" t="s">
        <v>77</v>
      </c>
      <c r="B40" s="159">
        <f>O6+O7+O8+O9</f>
        <v>894.1666667</v>
      </c>
      <c r="C40" s="152">
        <f>ROUNDDOWN(B40/Parametros!$B$37,0)</f>
        <v>44</v>
      </c>
      <c r="D40" s="152">
        <f>ROUNDDOWN(C40/Parametros!$J$37,0)</f>
        <v>5</v>
      </c>
      <c r="E40" s="152">
        <f t="shared" si="6"/>
        <v>5</v>
      </c>
      <c r="F40" s="279">
        <f>Parametros!$M$51</f>
        <v>136.0227273</v>
      </c>
      <c r="G40" s="152">
        <v>1.0</v>
      </c>
      <c r="H40" s="152">
        <f t="shared" si="7"/>
        <v>136.0227273</v>
      </c>
      <c r="I40" s="275">
        <f t="shared" si="8"/>
        <v>0.03675856307</v>
      </c>
      <c r="J40" s="152" t="s">
        <v>158</v>
      </c>
    </row>
    <row r="41" ht="12.0" customHeight="1">
      <c r="A41" s="152" t="s">
        <v>79</v>
      </c>
      <c r="B41" s="159">
        <f>O6+O7+O8+O9</f>
        <v>894.1666667</v>
      </c>
      <c r="C41" s="152">
        <f>ROUNDDOWN(B41/Parametros!$B$37,0)</f>
        <v>44</v>
      </c>
      <c r="D41" s="152">
        <f>ROUNDDOWN(C41/Parametros!$J$37,0)</f>
        <v>5</v>
      </c>
      <c r="E41" s="152">
        <f t="shared" si="6"/>
        <v>5</v>
      </c>
      <c r="F41" s="279">
        <f>Parametros!$M$52</f>
        <v>60.34285714</v>
      </c>
      <c r="G41" s="152">
        <v>1.0</v>
      </c>
      <c r="H41" s="152">
        <f t="shared" si="7"/>
        <v>60.34285714</v>
      </c>
      <c r="I41" s="275">
        <f t="shared" si="8"/>
        <v>0.08285984848</v>
      </c>
      <c r="J41" s="152" t="s">
        <v>158</v>
      </c>
    </row>
    <row r="42" ht="12.0" customHeight="1">
      <c r="A42" s="152" t="s">
        <v>81</v>
      </c>
      <c r="B42" s="159">
        <f>O6+O7+O8+O9</f>
        <v>894.1666667</v>
      </c>
      <c r="C42" s="152">
        <f>ROUNDDOWN(B42/Parametros!$B$37,0)</f>
        <v>44</v>
      </c>
      <c r="D42" s="152">
        <f>ROUNDDOWN(C42/Parametros!$J$37,0)</f>
        <v>5</v>
      </c>
      <c r="E42" s="152">
        <f t="shared" si="6"/>
        <v>5</v>
      </c>
      <c r="F42" s="279">
        <f>Parametros!$M$53</f>
        <v>25.2</v>
      </c>
      <c r="G42" s="152">
        <v>1.0</v>
      </c>
      <c r="H42" s="152">
        <f t="shared" si="7"/>
        <v>25.2</v>
      </c>
      <c r="I42" s="275">
        <f t="shared" si="8"/>
        <v>0.1984126984</v>
      </c>
      <c r="J42" s="152" t="s">
        <v>158</v>
      </c>
    </row>
    <row r="43" ht="12.0" customHeight="1">
      <c r="A43" s="152" t="s">
        <v>82</v>
      </c>
      <c r="B43" s="159">
        <f>O6+O7+O8+O9</f>
        <v>894.1666667</v>
      </c>
      <c r="C43" s="152">
        <f>ROUNDDOWN(B43/Parametros!$B$37,0)</f>
        <v>44</v>
      </c>
      <c r="D43" s="152">
        <f>ROUNDDOWN(C43/Parametros!$J$37,0)</f>
        <v>5</v>
      </c>
      <c r="E43" s="152">
        <f t="shared" si="6"/>
        <v>5</v>
      </c>
      <c r="F43" s="279">
        <f>Parametros!$M$54</f>
        <v>41.53846154</v>
      </c>
      <c r="G43" s="152">
        <v>1.0</v>
      </c>
      <c r="H43" s="152">
        <f t="shared" si="7"/>
        <v>41.53846154</v>
      </c>
      <c r="I43" s="275">
        <f t="shared" si="8"/>
        <v>0.1203703704</v>
      </c>
      <c r="J43" s="152" t="s">
        <v>158</v>
      </c>
    </row>
    <row r="44" ht="12.0" customHeight="1">
      <c r="A44" s="152" t="s">
        <v>83</v>
      </c>
      <c r="B44" s="159">
        <f>O6+O7+O8+O9</f>
        <v>894.1666667</v>
      </c>
      <c r="C44" s="152">
        <f>ROUNDDOWN(B44/Parametros!$B$37,0)</f>
        <v>44</v>
      </c>
      <c r="D44" s="152">
        <f>ROUNDDOWN(C44/Parametros!$J$37,0)</f>
        <v>5</v>
      </c>
      <c r="E44" s="152">
        <f t="shared" si="6"/>
        <v>5</v>
      </c>
      <c r="F44" s="279">
        <f>Parametros!$M$55</f>
        <v>45.81818182</v>
      </c>
      <c r="G44" s="152">
        <v>1.0</v>
      </c>
      <c r="H44" s="152">
        <f t="shared" si="7"/>
        <v>45.81818182</v>
      </c>
      <c r="I44" s="275">
        <f t="shared" si="8"/>
        <v>0.1091269841</v>
      </c>
      <c r="J44" s="152" t="s">
        <v>158</v>
      </c>
    </row>
    <row r="45" ht="12.0" customHeight="1">
      <c r="A45" s="152" t="s">
        <v>84</v>
      </c>
      <c r="B45" s="159">
        <f>O6+O7+O8+O9</f>
        <v>894.1666667</v>
      </c>
      <c r="C45" s="152">
        <f>ROUNDDOWN(B45/Parametros!$B$37,0)</f>
        <v>44</v>
      </c>
      <c r="D45" s="152">
        <f>ROUNDDOWN(C45/Parametros!$J$37,0)</f>
        <v>5</v>
      </c>
      <c r="E45" s="152">
        <f t="shared" si="6"/>
        <v>5</v>
      </c>
      <c r="F45" s="279">
        <f>Parametros!$M$56</f>
        <v>48.81355932</v>
      </c>
      <c r="G45" s="152">
        <v>1.0</v>
      </c>
      <c r="H45" s="152">
        <f t="shared" si="7"/>
        <v>48.81355932</v>
      </c>
      <c r="I45" s="275">
        <f t="shared" si="8"/>
        <v>0.1024305556</v>
      </c>
      <c r="J45" s="152" t="s">
        <v>158</v>
      </c>
    </row>
    <row r="46" ht="12.0" customHeight="1"/>
    <row r="47" ht="12.0" customHeight="1">
      <c r="A47" s="276" t="s">
        <v>1611</v>
      </c>
      <c r="B47" s="277">
        <f t="shared" ref="B47:M47" si="9">SUM(B10:B13)+SUM(B21:B24)</f>
        <v>19.805</v>
      </c>
      <c r="C47" s="277">
        <f t="shared" si="9"/>
        <v>17.475</v>
      </c>
      <c r="D47" s="277">
        <f t="shared" si="9"/>
        <v>20.97</v>
      </c>
      <c r="E47" s="277">
        <f t="shared" si="9"/>
        <v>20.97</v>
      </c>
      <c r="F47" s="277">
        <f t="shared" si="9"/>
        <v>20.97</v>
      </c>
      <c r="G47" s="278">
        <f t="shared" si="9"/>
        <v>18.64</v>
      </c>
      <c r="H47" s="278">
        <f t="shared" si="9"/>
        <v>20.97</v>
      </c>
      <c r="I47" s="278">
        <f t="shared" si="9"/>
        <v>20.97</v>
      </c>
      <c r="J47" s="278">
        <f t="shared" si="9"/>
        <v>19.805</v>
      </c>
      <c r="K47" s="278">
        <f t="shared" si="9"/>
        <v>17.475</v>
      </c>
      <c r="L47" s="278">
        <f t="shared" si="9"/>
        <v>16.31</v>
      </c>
      <c r="M47" s="278">
        <f t="shared" si="9"/>
        <v>18.64</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3.25"/>
    <col customWidth="1" min="2" max="4" width="12.63"/>
    <col customWidth="1" min="5" max="5" width="14.25"/>
    <col customWidth="1" min="6" max="6" width="12.63"/>
    <col customWidth="1" min="7" max="7" width="17.63"/>
    <col customWidth="1" min="9" max="9" width="15.88"/>
  </cols>
  <sheetData>
    <row r="1" ht="12.0" customHeight="1">
      <c r="A1" s="262" t="s">
        <v>1601</v>
      </c>
      <c r="B1" s="263"/>
      <c r="C1" s="263"/>
      <c r="D1" s="263"/>
      <c r="E1" s="263"/>
      <c r="F1" s="263"/>
      <c r="G1" s="263"/>
      <c r="H1" s="263"/>
      <c r="I1" s="263"/>
      <c r="J1" s="263"/>
      <c r="K1" s="263"/>
      <c r="L1" s="263"/>
      <c r="M1" s="263"/>
      <c r="N1" s="264"/>
    </row>
    <row r="2" ht="12.0" customHeight="1">
      <c r="A2" s="265" t="s">
        <v>1602</v>
      </c>
      <c r="B2" s="263"/>
      <c r="C2" s="263"/>
      <c r="D2" s="263"/>
      <c r="E2" s="263"/>
      <c r="F2" s="263"/>
      <c r="G2" s="263"/>
      <c r="H2" s="263"/>
      <c r="I2" s="263"/>
      <c r="J2" s="263"/>
      <c r="K2" s="263"/>
      <c r="L2" s="263"/>
      <c r="M2" s="263"/>
      <c r="N2" s="264"/>
    </row>
    <row r="3" ht="12.0" customHeight="1">
      <c r="A3" s="266" t="s">
        <v>1592</v>
      </c>
      <c r="B3" s="267">
        <v>2026.0</v>
      </c>
      <c r="C3" s="11"/>
      <c r="D3" s="11"/>
      <c r="E3" s="11"/>
      <c r="F3" s="11"/>
      <c r="G3" s="11"/>
      <c r="H3" s="11"/>
      <c r="I3" s="11"/>
      <c r="J3" s="11"/>
      <c r="K3" s="11"/>
      <c r="L3" s="11"/>
      <c r="M3" s="11"/>
      <c r="N3" s="11"/>
    </row>
    <row r="4" ht="12.0" customHeight="1">
      <c r="A4" s="11"/>
      <c r="B4" s="11"/>
      <c r="C4" s="11"/>
      <c r="D4" s="11"/>
      <c r="E4" s="11"/>
      <c r="F4" s="11"/>
      <c r="G4" s="11"/>
      <c r="H4" s="11"/>
      <c r="I4" s="11"/>
      <c r="J4" s="11"/>
      <c r="K4" s="11"/>
      <c r="L4" s="11"/>
      <c r="M4" s="11"/>
      <c r="N4" s="11"/>
    </row>
    <row r="5" ht="12.0" customHeight="1">
      <c r="A5" s="270"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152" t="s">
        <v>34</v>
      </c>
      <c r="B6" s="182">
        <f t="array" ref="B6">INDEX(datos_base!$B$3:$K$10,MATCH($A6,datos_base!$A$3:$A$10,0),MATCH($B$3,datos_base!$B$2:$K$2,0))*INDEX(Parametros!$B$11:$M$26,MATCH($A6,Parametros!$A$11:$A$26,0),MATCH(B$5,Parametros!$B$10:$M$10,0))</f>
        <v>501.48</v>
      </c>
      <c r="C6" s="182">
        <f t="array" ref="C6">INDEX(datos_base!$B$3:$K$10,MATCH($A6,datos_base!$A$3:$A$10,0),MATCH($B$3,datos_base!$B$2:$K$2,0))*INDEX(Parametros!$B$11:$M$26,MATCH($A6,Parametros!$A$11:$A$26,0),MATCH(C$5,Parametros!$B$10:$M$10,0))</f>
        <v>376.11</v>
      </c>
      <c r="D6" s="182">
        <f t="array" ref="D6">INDEX(datos_base!$B$3:$K$10,MATCH($A6,datos_base!$A$3:$A$10,0),MATCH($B$3,datos_base!$B$2:$K$2,0))*INDEX(Parametros!$B$11:$M$26,MATCH($A6,Parametros!$A$11:$A$26,0),MATCH(D$5,Parametros!$B$10:$M$10,0))</f>
        <v>334.32</v>
      </c>
      <c r="E6" s="182">
        <f t="array" ref="E6">INDEX(datos_base!$B$3:$K$10,MATCH($A6,datos_base!$A$3:$A$10,0),MATCH($B$3,datos_base!$B$2:$K$2,0))*INDEX(Parametros!$B$11:$M$26,MATCH($A6,Parametros!$A$11:$A$26,0),MATCH(E$5,Parametros!$B$10:$M$10,0))</f>
        <v>313.425</v>
      </c>
      <c r="F6" s="182">
        <f t="array" ref="F6">INDEX(datos_base!$B$3:$K$10,MATCH($A6,datos_base!$A$3:$A$10,0),MATCH($B$3,datos_base!$B$2:$K$2,0))*INDEX(Parametros!$B$11:$M$26,MATCH($A6,Parametros!$A$11:$A$26,0),MATCH(F$5,Parametros!$B$10:$M$10,0))</f>
        <v>292.53</v>
      </c>
      <c r="G6" s="182">
        <f t="array" ref="G6">INDEX(datos_base!$B$3:$K$10,MATCH($A6,datos_base!$A$3:$A$10,0),MATCH($B$3,datos_base!$B$2:$K$2,0))*INDEX(Parametros!$B$11:$M$26,MATCH($A6,Parametros!$A$11:$A$26,0),MATCH(G$5,Parametros!$B$10:$M$10,0))</f>
        <v>292.53</v>
      </c>
      <c r="H6" s="182">
        <f t="array" ref="H6">INDEX(datos_base!$B$3:$K$10,MATCH($A6,datos_base!$A$3:$A$10,0),MATCH($B$3,datos_base!$B$2:$K$2,0))*INDEX(Parametros!$B$11:$M$26,MATCH($A6,Parametros!$A$11:$A$26,0),MATCH(H$5,Parametros!$B$10:$M$10,0))</f>
        <v>313.425</v>
      </c>
      <c r="I6" s="182">
        <f t="array" ref="I6">INDEX(datos_base!$B$3:$K$10,MATCH($A6,datos_base!$A$3:$A$10,0),MATCH($B$3,datos_base!$B$2:$K$2,0))*INDEX(Parametros!$B$11:$M$26,MATCH($A6,Parametros!$A$11:$A$26,0),MATCH(I$5,Parametros!$B$10:$M$10,0))</f>
        <v>313.425</v>
      </c>
      <c r="J6" s="182">
        <f t="array" ref="J6">INDEX(datos_base!$B$3:$K$10,MATCH($A6,datos_base!$A$3:$A$10,0),MATCH($B$3,datos_base!$B$2:$K$2,0))*INDEX(Parametros!$B$11:$M$26,MATCH($A6,Parametros!$A$11:$A$26,0),MATCH(J$5,Parametros!$B$10:$M$10,0))</f>
        <v>313.425</v>
      </c>
      <c r="K6" s="182">
        <f t="array" ref="K6">INDEX(datos_base!$B$3:$K$10,MATCH($A6,datos_base!$A$3:$A$10,0),MATCH($B$3,datos_base!$B$2:$K$2,0))*INDEX(Parametros!$B$11:$M$26,MATCH($A6,Parametros!$A$11:$A$26,0),MATCH(K$5,Parametros!$B$10:$M$10,0))</f>
        <v>313.425</v>
      </c>
      <c r="L6" s="182">
        <f t="array" ref="L6">INDEX(datos_base!$B$3:$K$10,MATCH($A6,datos_base!$A$3:$A$10,0),MATCH($B$3,datos_base!$B$2:$K$2,0))*INDEX(Parametros!$B$11:$M$26,MATCH($A6,Parametros!$A$11:$A$26,0),MATCH(L$5,Parametros!$B$10:$M$10,0))</f>
        <v>313.425</v>
      </c>
      <c r="M6" s="182">
        <f t="array" ref="M6">INDEX(datos_base!$B$3:$K$10,MATCH($A6,datos_base!$A$3:$A$10,0),MATCH($B$3,datos_base!$B$2:$K$2,0))*INDEX(Parametros!$B$11:$M$26,MATCH($A6,Parametros!$A$11:$A$26,0),MATCH(M$5,Parametros!$B$10:$M$10,0))</f>
        <v>501.48</v>
      </c>
      <c r="N6" s="271">
        <f t="shared" ref="N6:N13" si="1">SUM(B6:M6)</f>
        <v>4179</v>
      </c>
      <c r="O6" s="271">
        <f t="shared" ref="O6:O14" si="2">AVERAGE(B6:M6)</f>
        <v>348.25</v>
      </c>
    </row>
    <row r="7" ht="12.0" customHeight="1">
      <c r="A7" s="152" t="s">
        <v>43</v>
      </c>
      <c r="B7" s="182">
        <f t="array" ref="B7">INDEX(datos_base!$B$3:$K$10,MATCH($A7,datos_base!$A$3:$A$10,0),MATCH($B$3,datos_base!$B$2:$K$2,0))*INDEX(Parametros!$B$11:$M$26,MATCH($A7,Parametros!$A$11:$A$26,0),MATCH(B$5,Parametros!$B$10:$M$10,0))</f>
        <v>29.5</v>
      </c>
      <c r="C7" s="182">
        <f t="array" ref="C7">INDEX(datos_base!$B$3:$K$10,MATCH($A7,datos_base!$A$3:$A$10,0),MATCH($B$3,datos_base!$B$2:$K$2,0))*INDEX(Parametros!$B$11:$M$26,MATCH($A7,Parametros!$A$11:$A$26,0),MATCH(C$5,Parametros!$B$10:$M$10,0))</f>
        <v>23.6</v>
      </c>
      <c r="D7" s="182">
        <f t="array" ref="D7">INDEX(datos_base!$B$3:$K$10,MATCH($A7,datos_base!$A$3:$A$10,0),MATCH($B$3,datos_base!$B$2:$K$2,0))*INDEX(Parametros!$B$11:$M$26,MATCH($A7,Parametros!$A$11:$A$26,0),MATCH(D$5,Parametros!$B$10:$M$10,0))</f>
        <v>25.075</v>
      </c>
      <c r="E7" s="182">
        <f t="array" ref="E7">INDEX(datos_base!$B$3:$K$10,MATCH($A7,datos_base!$A$3:$A$10,0),MATCH($B$3,datos_base!$B$2:$K$2,0))*INDEX(Parametros!$B$11:$M$26,MATCH($A7,Parametros!$A$11:$A$26,0),MATCH(E$5,Parametros!$B$10:$M$10,0))</f>
        <v>25.075</v>
      </c>
      <c r="F7" s="182">
        <f t="array" ref="F7">INDEX(datos_base!$B$3:$K$10,MATCH($A7,datos_base!$A$3:$A$10,0),MATCH($B$3,datos_base!$B$2:$K$2,0))*INDEX(Parametros!$B$11:$M$26,MATCH($A7,Parametros!$A$11:$A$26,0),MATCH(F$5,Parametros!$B$10:$M$10,0))</f>
        <v>23.6</v>
      </c>
      <c r="G7" s="182">
        <f t="array" ref="G7">INDEX(datos_base!$B$3:$K$10,MATCH($A7,datos_base!$A$3:$A$10,0),MATCH($B$3,datos_base!$B$2:$K$2,0))*INDEX(Parametros!$B$11:$M$26,MATCH($A7,Parametros!$A$11:$A$26,0),MATCH(G$5,Parametros!$B$10:$M$10,0))</f>
        <v>22.125</v>
      </c>
      <c r="H7" s="182">
        <f t="array" ref="H7">INDEX(datos_base!$B$3:$K$10,MATCH($A7,datos_base!$A$3:$A$10,0),MATCH($B$3,datos_base!$B$2:$K$2,0))*INDEX(Parametros!$B$11:$M$26,MATCH($A7,Parametros!$A$11:$A$26,0),MATCH(H$5,Parametros!$B$10:$M$10,0))</f>
        <v>23.6</v>
      </c>
      <c r="I7" s="182">
        <f t="array" ref="I7">INDEX(datos_base!$B$3:$K$10,MATCH($A7,datos_base!$A$3:$A$10,0),MATCH($B$3,datos_base!$B$2:$K$2,0))*INDEX(Parametros!$B$11:$M$26,MATCH($A7,Parametros!$A$11:$A$26,0),MATCH(I$5,Parametros!$B$10:$M$10,0))</f>
        <v>23.6</v>
      </c>
      <c r="J7" s="182">
        <f t="array" ref="J7">INDEX(datos_base!$B$3:$K$10,MATCH($A7,datos_base!$A$3:$A$10,0),MATCH($B$3,datos_base!$B$2:$K$2,0))*INDEX(Parametros!$B$11:$M$26,MATCH($A7,Parametros!$A$11:$A$26,0),MATCH(J$5,Parametros!$B$10:$M$10,0))</f>
        <v>23.6</v>
      </c>
      <c r="K7" s="182">
        <f t="array" ref="K7">INDEX(datos_base!$B$3:$K$10,MATCH($A7,datos_base!$A$3:$A$10,0),MATCH($B$3,datos_base!$B$2:$K$2,0))*INDEX(Parametros!$B$11:$M$26,MATCH($A7,Parametros!$A$11:$A$26,0),MATCH(K$5,Parametros!$B$10:$M$10,0))</f>
        <v>22.125</v>
      </c>
      <c r="L7" s="182">
        <f t="array" ref="L7">INDEX(datos_base!$B$3:$K$10,MATCH($A7,datos_base!$A$3:$A$10,0),MATCH($B$3,datos_base!$B$2:$K$2,0))*INDEX(Parametros!$B$11:$M$26,MATCH($A7,Parametros!$A$11:$A$26,0),MATCH(L$5,Parametros!$B$10:$M$10,0))</f>
        <v>20.65</v>
      </c>
      <c r="M7" s="182">
        <f t="array" ref="M7">INDEX(datos_base!$B$3:$K$10,MATCH($A7,datos_base!$A$3:$A$10,0),MATCH($B$3,datos_base!$B$2:$K$2,0))*INDEX(Parametros!$B$11:$M$26,MATCH($A7,Parametros!$A$11:$A$26,0),MATCH(M$5,Parametros!$B$10:$M$10,0))</f>
        <v>32.45</v>
      </c>
      <c r="N7" s="271">
        <f t="shared" si="1"/>
        <v>295</v>
      </c>
      <c r="O7" s="271">
        <f t="shared" si="2"/>
        <v>24.58333333</v>
      </c>
    </row>
    <row r="8" ht="12.0" customHeight="1">
      <c r="A8" s="152" t="s">
        <v>53</v>
      </c>
      <c r="B8" s="182">
        <f t="array" ref="B8">INDEX(datos_base!$B$3:$K$10,MATCH($A8,datos_base!$A$3:$A$10,0),MATCH($B$3,datos_base!$B$2:$K$2,0))*INDEX(Parametros!$B$11:$M$26,MATCH($A8,Parametros!$A$11:$A$26,0),MATCH(B$5,Parametros!$B$10:$M$10,0))</f>
        <v>225.6</v>
      </c>
      <c r="C8" s="182">
        <f t="array" ref="C8">INDEX(datos_base!$B$3:$K$10,MATCH($A8,datos_base!$A$3:$A$10,0),MATCH($B$3,datos_base!$B$2:$K$2,0))*INDEX(Parametros!$B$11:$M$26,MATCH($A8,Parametros!$A$11:$A$26,0),MATCH(C$5,Parametros!$B$10:$M$10,0))</f>
        <v>180.48</v>
      </c>
      <c r="D8" s="182">
        <f t="array" ref="D8">INDEX(datos_base!$B$3:$K$10,MATCH($A8,datos_base!$A$3:$A$10,0),MATCH($B$3,datos_base!$B$2:$K$2,0))*INDEX(Parametros!$B$11:$M$26,MATCH($A8,Parametros!$A$11:$A$26,0),MATCH(D$5,Parametros!$B$10:$M$10,0))</f>
        <v>191.76</v>
      </c>
      <c r="E8" s="182">
        <f t="array" ref="E8">INDEX(datos_base!$B$3:$K$10,MATCH($A8,datos_base!$A$3:$A$10,0),MATCH($B$3,datos_base!$B$2:$K$2,0))*INDEX(Parametros!$B$11:$M$26,MATCH($A8,Parametros!$A$11:$A$26,0),MATCH(E$5,Parametros!$B$10:$M$10,0))</f>
        <v>191.76</v>
      </c>
      <c r="F8" s="182">
        <f t="array" ref="F8">INDEX(datos_base!$B$3:$K$10,MATCH($A8,datos_base!$A$3:$A$10,0),MATCH($B$3,datos_base!$B$2:$K$2,0))*INDEX(Parametros!$B$11:$M$26,MATCH($A8,Parametros!$A$11:$A$26,0),MATCH(F$5,Parametros!$B$10:$M$10,0))</f>
        <v>180.48</v>
      </c>
      <c r="G8" s="182">
        <f t="array" ref="G8">INDEX(datos_base!$B$3:$K$10,MATCH($A8,datos_base!$A$3:$A$10,0),MATCH($B$3,datos_base!$B$2:$K$2,0))*INDEX(Parametros!$B$11:$M$26,MATCH($A8,Parametros!$A$11:$A$26,0),MATCH(G$5,Parametros!$B$10:$M$10,0))</f>
        <v>169.2</v>
      </c>
      <c r="H8" s="182">
        <f t="array" ref="H8">INDEX(datos_base!$B$3:$K$10,MATCH($A8,datos_base!$A$3:$A$10,0),MATCH($B$3,datos_base!$B$2:$K$2,0))*INDEX(Parametros!$B$11:$M$26,MATCH($A8,Parametros!$A$11:$A$26,0),MATCH(H$5,Parametros!$B$10:$M$10,0))</f>
        <v>180.48</v>
      </c>
      <c r="I8" s="182">
        <f t="array" ref="I8">INDEX(datos_base!$B$3:$K$10,MATCH($A8,datos_base!$A$3:$A$10,0),MATCH($B$3,datos_base!$B$2:$K$2,0))*INDEX(Parametros!$B$11:$M$26,MATCH($A8,Parametros!$A$11:$A$26,0),MATCH(I$5,Parametros!$B$10:$M$10,0))</f>
        <v>180.48</v>
      </c>
      <c r="J8" s="182">
        <f t="array" ref="J8">INDEX(datos_base!$B$3:$K$10,MATCH($A8,datos_base!$A$3:$A$10,0),MATCH($B$3,datos_base!$B$2:$K$2,0))*INDEX(Parametros!$B$11:$M$26,MATCH($A8,Parametros!$A$11:$A$26,0),MATCH(J$5,Parametros!$B$10:$M$10,0))</f>
        <v>180.48</v>
      </c>
      <c r="K8" s="182">
        <f t="array" ref="K8">INDEX(datos_base!$B$3:$K$10,MATCH($A8,datos_base!$A$3:$A$10,0),MATCH($B$3,datos_base!$B$2:$K$2,0))*INDEX(Parametros!$B$11:$M$26,MATCH($A8,Parametros!$A$11:$A$26,0),MATCH(K$5,Parametros!$B$10:$M$10,0))</f>
        <v>169.2</v>
      </c>
      <c r="L8" s="182">
        <f t="array" ref="L8">INDEX(datos_base!$B$3:$K$10,MATCH($A8,datos_base!$A$3:$A$10,0),MATCH($B$3,datos_base!$B$2:$K$2,0))*INDEX(Parametros!$B$11:$M$26,MATCH($A8,Parametros!$A$11:$A$26,0),MATCH(L$5,Parametros!$B$10:$M$10,0))</f>
        <v>157.92</v>
      </c>
      <c r="M8" s="182">
        <f t="array" ref="M8">INDEX(datos_base!$B$3:$K$10,MATCH($A8,datos_base!$A$3:$A$10,0),MATCH($B$3,datos_base!$B$2:$K$2,0))*INDEX(Parametros!$B$11:$M$26,MATCH($A8,Parametros!$A$11:$A$26,0),MATCH(M$5,Parametros!$B$10:$M$10,0))</f>
        <v>248.16</v>
      </c>
      <c r="N8" s="271">
        <f t="shared" si="1"/>
        <v>2256</v>
      </c>
      <c r="O8" s="271">
        <f t="shared" si="2"/>
        <v>188</v>
      </c>
    </row>
    <row r="9" ht="12.0" customHeight="1">
      <c r="A9" s="152" t="s">
        <v>59</v>
      </c>
      <c r="B9" s="182">
        <f t="array" ref="B9">INDEX(datos_base!$B$3:$K$10,MATCH($A9,datos_base!$A$3:$A$10,0),MATCH($B$3,datos_base!$B$2:$K$2,0))*INDEX(Parametros!$B$11:$M$26,MATCH($A9,Parametros!$A$11:$A$26,0),MATCH(B$5,Parametros!$B$10:$M$10,0))</f>
        <v>9.2</v>
      </c>
      <c r="C9" s="182">
        <f t="array" ref="C9">INDEX(datos_base!$B$3:$K$10,MATCH($A9,datos_base!$A$3:$A$10,0),MATCH($B$3,datos_base!$B$2:$K$2,0))*INDEX(Parametros!$B$11:$M$26,MATCH($A9,Parametros!$A$11:$A$26,0),MATCH(C$5,Parametros!$B$10:$M$10,0))</f>
        <v>7.36</v>
      </c>
      <c r="D9" s="182">
        <f t="array" ref="D9">INDEX(datos_base!$B$3:$K$10,MATCH($A9,datos_base!$A$3:$A$10,0),MATCH($B$3,datos_base!$B$2:$K$2,0))*INDEX(Parametros!$B$11:$M$26,MATCH($A9,Parametros!$A$11:$A$26,0),MATCH(D$5,Parametros!$B$10:$M$10,0))</f>
        <v>7.82</v>
      </c>
      <c r="E9" s="182">
        <f t="array" ref="E9">INDEX(datos_base!$B$3:$K$10,MATCH($A9,datos_base!$A$3:$A$10,0),MATCH($B$3,datos_base!$B$2:$K$2,0))*INDEX(Parametros!$B$11:$M$26,MATCH($A9,Parametros!$A$11:$A$26,0),MATCH(E$5,Parametros!$B$10:$M$10,0))</f>
        <v>7.82</v>
      </c>
      <c r="F9" s="182">
        <f t="array" ref="F9">INDEX(datos_base!$B$3:$K$10,MATCH($A9,datos_base!$A$3:$A$10,0),MATCH($B$3,datos_base!$B$2:$K$2,0))*INDEX(Parametros!$B$11:$M$26,MATCH($A9,Parametros!$A$11:$A$26,0),MATCH(F$5,Parametros!$B$10:$M$10,0))</f>
        <v>7.36</v>
      </c>
      <c r="G9" s="182">
        <f t="array" ref="G9">INDEX(datos_base!$B$3:$K$10,MATCH($A9,datos_base!$A$3:$A$10,0),MATCH($B$3,datos_base!$B$2:$K$2,0))*INDEX(Parametros!$B$11:$M$26,MATCH($A9,Parametros!$A$11:$A$26,0),MATCH(G$5,Parametros!$B$10:$M$10,0))</f>
        <v>6.9</v>
      </c>
      <c r="H9" s="182">
        <f t="array" ref="H9">INDEX(datos_base!$B$3:$K$10,MATCH($A9,datos_base!$A$3:$A$10,0),MATCH($B$3,datos_base!$B$2:$K$2,0))*INDEX(Parametros!$B$11:$M$26,MATCH($A9,Parametros!$A$11:$A$26,0),MATCH(H$5,Parametros!$B$10:$M$10,0))</f>
        <v>7.36</v>
      </c>
      <c r="I9" s="182">
        <f t="array" ref="I9">INDEX(datos_base!$B$3:$K$10,MATCH($A9,datos_base!$A$3:$A$10,0),MATCH($B$3,datos_base!$B$2:$K$2,0))*INDEX(Parametros!$B$11:$M$26,MATCH($A9,Parametros!$A$11:$A$26,0),MATCH(I$5,Parametros!$B$10:$M$10,0))</f>
        <v>7.36</v>
      </c>
      <c r="J9" s="182">
        <f t="array" ref="J9">INDEX(datos_base!$B$3:$K$10,MATCH($A9,datos_base!$A$3:$A$10,0),MATCH($B$3,datos_base!$B$2:$K$2,0))*INDEX(Parametros!$B$11:$M$26,MATCH($A9,Parametros!$A$11:$A$26,0),MATCH(J$5,Parametros!$B$10:$M$10,0))</f>
        <v>7.36</v>
      </c>
      <c r="K9" s="182">
        <f t="array" ref="K9">INDEX(datos_base!$B$3:$K$10,MATCH($A9,datos_base!$A$3:$A$10,0),MATCH($B$3,datos_base!$B$2:$K$2,0))*INDEX(Parametros!$B$11:$M$26,MATCH($A9,Parametros!$A$11:$A$26,0),MATCH(K$5,Parametros!$B$10:$M$10,0))</f>
        <v>6.9</v>
      </c>
      <c r="L9" s="182">
        <f t="array" ref="L9">INDEX(datos_base!$B$3:$K$10,MATCH($A9,datos_base!$A$3:$A$10,0),MATCH($B$3,datos_base!$B$2:$K$2,0))*INDEX(Parametros!$B$11:$M$26,MATCH($A9,Parametros!$A$11:$A$26,0),MATCH(L$5,Parametros!$B$10:$M$10,0))</f>
        <v>6.44</v>
      </c>
      <c r="M9" s="182">
        <f t="array" ref="M9">INDEX(datos_base!$B$3:$K$10,MATCH($A9,datos_base!$A$3:$A$10,0),MATCH($B$3,datos_base!$B$2:$K$2,0))*INDEX(Parametros!$B$11:$M$26,MATCH($A9,Parametros!$A$11:$A$26,0),MATCH(M$5,Parametros!$B$10:$M$10,0))</f>
        <v>10.12</v>
      </c>
      <c r="N9" s="271">
        <f t="shared" si="1"/>
        <v>92</v>
      </c>
      <c r="O9" s="271">
        <f t="shared" si="2"/>
        <v>7.666666667</v>
      </c>
    </row>
    <row r="10" ht="12.0" customHeight="1">
      <c r="A10" s="152" t="s">
        <v>75</v>
      </c>
      <c r="B10" s="182">
        <f t="array" ref="B10">INDEX(datos_base!$B$3:$K$10,MATCH($A10,datos_base!$A$3:$A$10,0),MATCH($B$3,datos_base!$B$2:$K$2,0))*INDEX(Parametros!$B$11:$M$26,MATCH($A10,Parametros!$A$11:$A$26,0),MATCH(B$5,Parametros!$B$10:$M$10,0))</f>
        <v>2.89</v>
      </c>
      <c r="C10" s="182">
        <f t="array" ref="C10">INDEX(datos_base!$B$3:$K$10,MATCH($A10,datos_base!$A$3:$A$10,0),MATCH($B$3,datos_base!$B$2:$K$2,0))*INDEX(Parametros!$B$11:$M$26,MATCH($A10,Parametros!$A$11:$A$26,0),MATCH(C$5,Parametros!$B$10:$M$10,0))</f>
        <v>2.55</v>
      </c>
      <c r="D10" s="182">
        <f t="array" ref="D10">INDEX(datos_base!$B$3:$K$10,MATCH($A10,datos_base!$A$3:$A$10,0),MATCH($B$3,datos_base!$B$2:$K$2,0))*INDEX(Parametros!$B$11:$M$26,MATCH($A10,Parametros!$A$11:$A$26,0),MATCH(D$5,Parametros!$B$10:$M$10,0))</f>
        <v>3.06</v>
      </c>
      <c r="E10" s="182">
        <f t="array" ref="E10">INDEX(datos_base!$B$3:$K$10,MATCH($A10,datos_base!$A$3:$A$10,0),MATCH($B$3,datos_base!$B$2:$K$2,0))*INDEX(Parametros!$B$11:$M$26,MATCH($A10,Parametros!$A$11:$A$26,0),MATCH(E$5,Parametros!$B$10:$M$10,0))</f>
        <v>3.06</v>
      </c>
      <c r="F10" s="182">
        <f t="array" ref="F10">INDEX(datos_base!$B$3:$K$10,MATCH($A10,datos_base!$A$3:$A$10,0),MATCH($B$3,datos_base!$B$2:$K$2,0))*INDEX(Parametros!$B$11:$M$26,MATCH($A10,Parametros!$A$11:$A$26,0),MATCH(F$5,Parametros!$B$10:$M$10,0))</f>
        <v>3.06</v>
      </c>
      <c r="G10" s="182">
        <f t="array" ref="G10">INDEX(datos_base!$B$3:$K$10,MATCH($A10,datos_base!$A$3:$A$10,0),MATCH($B$3,datos_base!$B$2:$K$2,0))*INDEX(Parametros!$B$11:$M$26,MATCH($A10,Parametros!$A$11:$A$26,0),MATCH(G$5,Parametros!$B$10:$M$10,0))</f>
        <v>2.72</v>
      </c>
      <c r="H10" s="182">
        <f t="array" ref="H10">INDEX(datos_base!$B$3:$K$10,MATCH($A10,datos_base!$A$3:$A$10,0),MATCH($B$3,datos_base!$B$2:$K$2,0))*INDEX(Parametros!$B$11:$M$26,MATCH($A10,Parametros!$A$11:$A$26,0),MATCH(H$5,Parametros!$B$10:$M$10,0))</f>
        <v>3.06</v>
      </c>
      <c r="I10" s="182">
        <f t="array" ref="I10">INDEX(datos_base!$B$3:$K$10,MATCH($A10,datos_base!$A$3:$A$10,0),MATCH($B$3,datos_base!$B$2:$K$2,0))*INDEX(Parametros!$B$11:$M$26,MATCH($A10,Parametros!$A$11:$A$26,0),MATCH(I$5,Parametros!$B$10:$M$10,0))</f>
        <v>3.06</v>
      </c>
      <c r="J10" s="182">
        <f t="array" ref="J10">INDEX(datos_base!$B$3:$K$10,MATCH($A10,datos_base!$A$3:$A$10,0),MATCH($B$3,datos_base!$B$2:$K$2,0))*INDEX(Parametros!$B$11:$M$26,MATCH($A10,Parametros!$A$11:$A$26,0),MATCH(J$5,Parametros!$B$10:$M$10,0))</f>
        <v>2.89</v>
      </c>
      <c r="K10" s="182">
        <f t="array" ref="K10">INDEX(datos_base!$B$3:$K$10,MATCH($A10,datos_base!$A$3:$A$10,0),MATCH($B$3,datos_base!$B$2:$K$2,0))*INDEX(Parametros!$B$11:$M$26,MATCH($A10,Parametros!$A$11:$A$26,0),MATCH(K$5,Parametros!$B$10:$M$10,0))</f>
        <v>2.55</v>
      </c>
      <c r="L10" s="182">
        <f t="array" ref="L10">INDEX(datos_base!$B$3:$K$10,MATCH($A10,datos_base!$A$3:$A$10,0),MATCH($B$3,datos_base!$B$2:$K$2,0))*INDEX(Parametros!$B$11:$M$26,MATCH($A10,Parametros!$A$11:$A$26,0),MATCH(L$5,Parametros!$B$10:$M$10,0))</f>
        <v>2.38</v>
      </c>
      <c r="M10" s="182">
        <f t="array" ref="M10">INDEX(datos_base!$B$3:$K$10,MATCH($A10,datos_base!$A$3:$A$10,0),MATCH($B$3,datos_base!$B$2:$K$2,0))*INDEX(Parametros!$B$11:$M$26,MATCH($A10,Parametros!$A$11:$A$26,0),MATCH(M$5,Parametros!$B$10:$M$10,0))</f>
        <v>2.72</v>
      </c>
      <c r="N10" s="271">
        <f t="shared" si="1"/>
        <v>34</v>
      </c>
      <c r="O10" s="271">
        <f t="shared" si="2"/>
        <v>2.833333333</v>
      </c>
    </row>
    <row r="11" ht="12.0" customHeight="1">
      <c r="A11" s="152" t="s">
        <v>86</v>
      </c>
      <c r="B11" s="182">
        <f t="array" ref="B11">INDEX(datos_base!$B$3:$K$10,MATCH($A11,datos_base!$A$3:$A$10,0),MATCH($B$3,datos_base!$B$2:$K$2,0))*INDEX(Parametros!$B$11:$M$26,MATCH($A11,Parametros!$A$11:$A$26,0),MATCH(B$5,Parametros!$B$10:$M$10,0))</f>
        <v>6.375</v>
      </c>
      <c r="C11" s="182">
        <f t="array" ref="C11">INDEX(datos_base!$B$3:$K$10,MATCH($A11,datos_base!$A$3:$A$10,0),MATCH($B$3,datos_base!$B$2:$K$2,0))*INDEX(Parametros!$B$11:$M$26,MATCH($A11,Parametros!$A$11:$A$26,0),MATCH(C$5,Parametros!$B$10:$M$10,0))</f>
        <v>5.625</v>
      </c>
      <c r="D11" s="182">
        <f t="array" ref="D11">INDEX(datos_base!$B$3:$K$10,MATCH($A11,datos_base!$A$3:$A$10,0),MATCH($B$3,datos_base!$B$2:$K$2,0))*INDEX(Parametros!$B$11:$M$26,MATCH($A11,Parametros!$A$11:$A$26,0),MATCH(D$5,Parametros!$B$10:$M$10,0))</f>
        <v>6.75</v>
      </c>
      <c r="E11" s="182">
        <f t="array" ref="E11">INDEX(datos_base!$B$3:$K$10,MATCH($A11,datos_base!$A$3:$A$10,0),MATCH($B$3,datos_base!$B$2:$K$2,0))*INDEX(Parametros!$B$11:$M$26,MATCH($A11,Parametros!$A$11:$A$26,0),MATCH(E$5,Parametros!$B$10:$M$10,0))</f>
        <v>6.75</v>
      </c>
      <c r="F11" s="182">
        <f t="array" ref="F11">INDEX(datos_base!$B$3:$K$10,MATCH($A11,datos_base!$A$3:$A$10,0),MATCH($B$3,datos_base!$B$2:$K$2,0))*INDEX(Parametros!$B$11:$M$26,MATCH($A11,Parametros!$A$11:$A$26,0),MATCH(F$5,Parametros!$B$10:$M$10,0))</f>
        <v>6.75</v>
      </c>
      <c r="G11" s="182">
        <f t="array" ref="G11">INDEX(datos_base!$B$3:$K$10,MATCH($A11,datos_base!$A$3:$A$10,0),MATCH($B$3,datos_base!$B$2:$K$2,0))*INDEX(Parametros!$B$11:$M$26,MATCH($A11,Parametros!$A$11:$A$26,0),MATCH(G$5,Parametros!$B$10:$M$10,0))</f>
        <v>6</v>
      </c>
      <c r="H11" s="182">
        <f t="array" ref="H11">INDEX(datos_base!$B$3:$K$10,MATCH($A11,datos_base!$A$3:$A$10,0),MATCH($B$3,datos_base!$B$2:$K$2,0))*INDEX(Parametros!$B$11:$M$26,MATCH($A11,Parametros!$A$11:$A$26,0),MATCH(H$5,Parametros!$B$10:$M$10,0))</f>
        <v>6.75</v>
      </c>
      <c r="I11" s="182">
        <f t="array" ref="I11">INDEX(datos_base!$B$3:$K$10,MATCH($A11,datos_base!$A$3:$A$10,0),MATCH($B$3,datos_base!$B$2:$K$2,0))*INDEX(Parametros!$B$11:$M$26,MATCH($A11,Parametros!$A$11:$A$26,0),MATCH(I$5,Parametros!$B$10:$M$10,0))</f>
        <v>6.75</v>
      </c>
      <c r="J11" s="182">
        <f t="array" ref="J11">INDEX(datos_base!$B$3:$K$10,MATCH($A11,datos_base!$A$3:$A$10,0),MATCH($B$3,datos_base!$B$2:$K$2,0))*INDEX(Parametros!$B$11:$M$26,MATCH($A11,Parametros!$A$11:$A$26,0),MATCH(J$5,Parametros!$B$10:$M$10,0))</f>
        <v>6.375</v>
      </c>
      <c r="K11" s="182">
        <f t="array" ref="K11">INDEX(datos_base!$B$3:$K$10,MATCH($A11,datos_base!$A$3:$A$10,0),MATCH($B$3,datos_base!$B$2:$K$2,0))*INDEX(Parametros!$B$11:$M$26,MATCH($A11,Parametros!$A$11:$A$26,0),MATCH(K$5,Parametros!$B$10:$M$10,0))</f>
        <v>5.625</v>
      </c>
      <c r="L11" s="182">
        <f t="array" ref="L11">INDEX(datos_base!$B$3:$K$10,MATCH($A11,datos_base!$A$3:$A$10,0),MATCH($B$3,datos_base!$B$2:$K$2,0))*INDEX(Parametros!$B$11:$M$26,MATCH($A11,Parametros!$A$11:$A$26,0),MATCH(L$5,Parametros!$B$10:$M$10,0))</f>
        <v>5.25</v>
      </c>
      <c r="M11" s="182">
        <f t="array" ref="M11">INDEX(datos_base!$B$3:$K$10,MATCH($A11,datos_base!$A$3:$A$10,0),MATCH($B$3,datos_base!$B$2:$K$2,0))*INDEX(Parametros!$B$11:$M$26,MATCH($A11,Parametros!$A$11:$A$26,0),MATCH(M$5,Parametros!$B$10:$M$10,0))</f>
        <v>6</v>
      </c>
      <c r="N11" s="271">
        <f t="shared" si="1"/>
        <v>75</v>
      </c>
      <c r="O11" s="271">
        <f t="shared" si="2"/>
        <v>6.25</v>
      </c>
    </row>
    <row r="12" ht="12.0" customHeight="1">
      <c r="A12" s="152" t="s">
        <v>95</v>
      </c>
      <c r="B12" s="182">
        <f t="array" ref="B12">INDEX(datos_base!$B$3:$K$10,MATCH($A12,datos_base!$A$3:$A$10,0),MATCH($B$3,datos_base!$B$2:$K$2,0))*INDEX(Parametros!$B$11:$M$26,MATCH($A12,Parametros!$A$11:$A$26,0),MATCH(B$5,Parametros!$B$10:$M$10,0))</f>
        <v>1.36</v>
      </c>
      <c r="C12" s="182">
        <f t="array" ref="C12">INDEX(datos_base!$B$3:$K$10,MATCH($A12,datos_base!$A$3:$A$10,0),MATCH($B$3,datos_base!$B$2:$K$2,0))*INDEX(Parametros!$B$11:$M$26,MATCH($A12,Parametros!$A$11:$A$26,0),MATCH(C$5,Parametros!$B$10:$M$10,0))</f>
        <v>1.2</v>
      </c>
      <c r="D12" s="182">
        <f t="array" ref="D12">INDEX(datos_base!$B$3:$K$10,MATCH($A12,datos_base!$A$3:$A$10,0),MATCH($B$3,datos_base!$B$2:$K$2,0))*INDEX(Parametros!$B$11:$M$26,MATCH($A12,Parametros!$A$11:$A$26,0),MATCH(D$5,Parametros!$B$10:$M$10,0))</f>
        <v>1.44</v>
      </c>
      <c r="E12" s="182">
        <f t="array" ref="E12">INDEX(datos_base!$B$3:$K$10,MATCH($A12,datos_base!$A$3:$A$10,0),MATCH($B$3,datos_base!$B$2:$K$2,0))*INDEX(Parametros!$B$11:$M$26,MATCH($A12,Parametros!$A$11:$A$26,0),MATCH(E$5,Parametros!$B$10:$M$10,0))</f>
        <v>1.44</v>
      </c>
      <c r="F12" s="182">
        <f t="array" ref="F12">INDEX(datos_base!$B$3:$K$10,MATCH($A12,datos_base!$A$3:$A$10,0),MATCH($B$3,datos_base!$B$2:$K$2,0))*INDEX(Parametros!$B$11:$M$26,MATCH($A12,Parametros!$A$11:$A$26,0),MATCH(F$5,Parametros!$B$10:$M$10,0))</f>
        <v>1.44</v>
      </c>
      <c r="G12" s="182">
        <f t="array" ref="G12">INDEX(datos_base!$B$3:$K$10,MATCH($A12,datos_base!$A$3:$A$10,0),MATCH($B$3,datos_base!$B$2:$K$2,0))*INDEX(Parametros!$B$11:$M$26,MATCH($A12,Parametros!$A$11:$A$26,0),MATCH(G$5,Parametros!$B$10:$M$10,0))</f>
        <v>1.28</v>
      </c>
      <c r="H12" s="182">
        <f t="array" ref="H12">INDEX(datos_base!$B$3:$K$10,MATCH($A12,datos_base!$A$3:$A$10,0),MATCH($B$3,datos_base!$B$2:$K$2,0))*INDEX(Parametros!$B$11:$M$26,MATCH($A12,Parametros!$A$11:$A$26,0),MATCH(H$5,Parametros!$B$10:$M$10,0))</f>
        <v>1.44</v>
      </c>
      <c r="I12" s="182">
        <f t="array" ref="I12">INDEX(datos_base!$B$3:$K$10,MATCH($A12,datos_base!$A$3:$A$10,0),MATCH($B$3,datos_base!$B$2:$K$2,0))*INDEX(Parametros!$B$11:$M$26,MATCH($A12,Parametros!$A$11:$A$26,0),MATCH(I$5,Parametros!$B$10:$M$10,0))</f>
        <v>1.44</v>
      </c>
      <c r="J12" s="182">
        <f t="array" ref="J12">INDEX(datos_base!$B$3:$K$10,MATCH($A12,datos_base!$A$3:$A$10,0),MATCH($B$3,datos_base!$B$2:$K$2,0))*INDEX(Parametros!$B$11:$M$26,MATCH($A12,Parametros!$A$11:$A$26,0),MATCH(J$5,Parametros!$B$10:$M$10,0))</f>
        <v>1.36</v>
      </c>
      <c r="K12" s="182">
        <f t="array" ref="K12">INDEX(datos_base!$B$3:$K$10,MATCH($A12,datos_base!$A$3:$A$10,0),MATCH($B$3,datos_base!$B$2:$K$2,0))*INDEX(Parametros!$B$11:$M$26,MATCH($A12,Parametros!$A$11:$A$26,0),MATCH(K$5,Parametros!$B$10:$M$10,0))</f>
        <v>1.2</v>
      </c>
      <c r="L12" s="182">
        <f t="array" ref="L12">INDEX(datos_base!$B$3:$K$10,MATCH($A12,datos_base!$A$3:$A$10,0),MATCH($B$3,datos_base!$B$2:$K$2,0))*INDEX(Parametros!$B$11:$M$26,MATCH($A12,Parametros!$A$11:$A$26,0),MATCH(L$5,Parametros!$B$10:$M$10,0))</f>
        <v>1.12</v>
      </c>
      <c r="M12" s="182">
        <f t="array" ref="M12">INDEX(datos_base!$B$3:$K$10,MATCH($A12,datos_base!$A$3:$A$10,0),MATCH($B$3,datos_base!$B$2:$K$2,0))*INDEX(Parametros!$B$11:$M$26,MATCH($A12,Parametros!$A$11:$A$26,0),MATCH(M$5,Parametros!$B$10:$M$10,0))</f>
        <v>1.28</v>
      </c>
      <c r="N12" s="271">
        <f t="shared" si="1"/>
        <v>16</v>
      </c>
      <c r="O12" s="271">
        <f t="shared" si="2"/>
        <v>1.333333333</v>
      </c>
    </row>
    <row r="13" ht="12.0" customHeight="1">
      <c r="A13" s="152" t="s">
        <v>100</v>
      </c>
      <c r="B13" s="182">
        <f t="array" ref="B13">INDEX(datos_base!$B$3:$K$10,MATCH($A13,datos_base!$A$3:$A$10,0),MATCH($B$3,datos_base!$B$2:$K$2,0))*INDEX(Parametros!$B$11:$M$26,MATCH($A13,Parametros!$A$11:$A$26,0),MATCH(B$5,Parametros!$B$10:$M$10,0))</f>
        <v>0.935</v>
      </c>
      <c r="C13" s="182">
        <f t="array" ref="C13">INDEX(datos_base!$B$3:$K$10,MATCH($A13,datos_base!$A$3:$A$10,0),MATCH($B$3,datos_base!$B$2:$K$2,0))*INDEX(Parametros!$B$11:$M$26,MATCH($A13,Parametros!$A$11:$A$26,0),MATCH(C$5,Parametros!$B$10:$M$10,0))</f>
        <v>0.825</v>
      </c>
      <c r="D13" s="182">
        <f t="array" ref="D13">INDEX(datos_base!$B$3:$K$10,MATCH($A13,datos_base!$A$3:$A$10,0),MATCH($B$3,datos_base!$B$2:$K$2,0))*INDEX(Parametros!$B$11:$M$26,MATCH($A13,Parametros!$A$11:$A$26,0),MATCH(D$5,Parametros!$B$10:$M$10,0))</f>
        <v>0.99</v>
      </c>
      <c r="E13" s="182">
        <f t="array" ref="E13">INDEX(datos_base!$B$3:$K$10,MATCH($A13,datos_base!$A$3:$A$10,0),MATCH($B$3,datos_base!$B$2:$K$2,0))*INDEX(Parametros!$B$11:$M$26,MATCH($A13,Parametros!$A$11:$A$26,0),MATCH(E$5,Parametros!$B$10:$M$10,0))</f>
        <v>0.99</v>
      </c>
      <c r="F13" s="182">
        <f t="array" ref="F13">INDEX(datos_base!$B$3:$K$10,MATCH($A13,datos_base!$A$3:$A$10,0),MATCH($B$3,datos_base!$B$2:$K$2,0))*INDEX(Parametros!$B$11:$M$26,MATCH($A13,Parametros!$A$11:$A$26,0),MATCH(F$5,Parametros!$B$10:$M$10,0))</f>
        <v>0.99</v>
      </c>
      <c r="G13" s="182">
        <f t="array" ref="G13">INDEX(datos_base!$B$3:$K$10,MATCH($A13,datos_base!$A$3:$A$10,0),MATCH($B$3,datos_base!$B$2:$K$2,0))*INDEX(Parametros!$B$11:$M$26,MATCH($A13,Parametros!$A$11:$A$26,0),MATCH(G$5,Parametros!$B$10:$M$10,0))</f>
        <v>0.88</v>
      </c>
      <c r="H13" s="182">
        <f t="array" ref="H13">INDEX(datos_base!$B$3:$K$10,MATCH($A13,datos_base!$A$3:$A$10,0),MATCH($B$3,datos_base!$B$2:$K$2,0))*INDEX(Parametros!$B$11:$M$26,MATCH($A13,Parametros!$A$11:$A$26,0),MATCH(H$5,Parametros!$B$10:$M$10,0))</f>
        <v>0.99</v>
      </c>
      <c r="I13" s="182">
        <f t="array" ref="I13">INDEX(datos_base!$B$3:$K$10,MATCH($A13,datos_base!$A$3:$A$10,0),MATCH($B$3,datos_base!$B$2:$K$2,0))*INDEX(Parametros!$B$11:$M$26,MATCH($A13,Parametros!$A$11:$A$26,0),MATCH(I$5,Parametros!$B$10:$M$10,0))</f>
        <v>0.99</v>
      </c>
      <c r="J13" s="182">
        <f t="array" ref="J13">INDEX(datos_base!$B$3:$K$10,MATCH($A13,datos_base!$A$3:$A$10,0),MATCH($B$3,datos_base!$B$2:$K$2,0))*INDEX(Parametros!$B$11:$M$26,MATCH($A13,Parametros!$A$11:$A$26,0),MATCH(J$5,Parametros!$B$10:$M$10,0))</f>
        <v>0.935</v>
      </c>
      <c r="K13" s="182">
        <f t="array" ref="K13">INDEX(datos_base!$B$3:$K$10,MATCH($A13,datos_base!$A$3:$A$10,0),MATCH($B$3,datos_base!$B$2:$K$2,0))*INDEX(Parametros!$B$11:$M$26,MATCH($A13,Parametros!$A$11:$A$26,0),MATCH(K$5,Parametros!$B$10:$M$10,0))</f>
        <v>0.825</v>
      </c>
      <c r="L13" s="182">
        <f t="array" ref="L13">INDEX(datos_base!$B$3:$K$10,MATCH($A13,datos_base!$A$3:$A$10,0),MATCH($B$3,datos_base!$B$2:$K$2,0))*INDEX(Parametros!$B$11:$M$26,MATCH($A13,Parametros!$A$11:$A$26,0),MATCH(L$5,Parametros!$B$10:$M$10,0))</f>
        <v>0.77</v>
      </c>
      <c r="M13" s="182">
        <f t="array" ref="M13">INDEX(datos_base!$B$3:$K$10,MATCH($A13,datos_base!$A$3:$A$10,0),MATCH($B$3,datos_base!$B$2:$K$2,0))*INDEX(Parametros!$B$11:$M$26,MATCH($A13,Parametros!$A$11:$A$26,0),MATCH(M$5,Parametros!$B$10:$M$10,0))</f>
        <v>0.88</v>
      </c>
      <c r="N13" s="271">
        <f t="shared" si="1"/>
        <v>11</v>
      </c>
      <c r="O13" s="271">
        <f t="shared" si="2"/>
        <v>0.9166666667</v>
      </c>
    </row>
    <row r="14" ht="12.0" customHeight="1">
      <c r="A14" s="272" t="s">
        <v>420</v>
      </c>
      <c r="B14" s="273">
        <f t="shared" ref="B14:N14" si="3">SUM(B6:B13)</f>
        <v>777.34</v>
      </c>
      <c r="C14" s="273">
        <f t="shared" si="3"/>
        <v>597.75</v>
      </c>
      <c r="D14" s="273">
        <f t="shared" si="3"/>
        <v>571.215</v>
      </c>
      <c r="E14" s="273">
        <f t="shared" si="3"/>
        <v>550.32</v>
      </c>
      <c r="F14" s="273">
        <f t="shared" si="3"/>
        <v>516.21</v>
      </c>
      <c r="G14" s="273">
        <f t="shared" si="3"/>
        <v>501.635</v>
      </c>
      <c r="H14" s="273">
        <f t="shared" si="3"/>
        <v>537.105</v>
      </c>
      <c r="I14" s="273">
        <f t="shared" si="3"/>
        <v>537.105</v>
      </c>
      <c r="J14" s="273">
        <f t="shared" si="3"/>
        <v>536.425</v>
      </c>
      <c r="K14" s="273">
        <f t="shared" si="3"/>
        <v>521.85</v>
      </c>
      <c r="L14" s="273">
        <f t="shared" si="3"/>
        <v>507.955</v>
      </c>
      <c r="M14" s="273">
        <f t="shared" si="3"/>
        <v>803.09</v>
      </c>
      <c r="N14" s="273">
        <f t="shared" si="3"/>
        <v>6958</v>
      </c>
      <c r="O14" s="273">
        <f t="shared" si="2"/>
        <v>579.8333333</v>
      </c>
    </row>
    <row r="15" ht="12.0" customHeight="1">
      <c r="A15" s="11"/>
      <c r="B15" s="11"/>
      <c r="C15" s="11"/>
      <c r="D15" s="11"/>
      <c r="E15" s="11"/>
      <c r="F15" s="11"/>
      <c r="G15" s="11"/>
      <c r="H15" s="11"/>
      <c r="I15" s="11"/>
      <c r="J15" s="11"/>
      <c r="K15" s="11"/>
      <c r="L15" s="11"/>
      <c r="M15" s="11"/>
      <c r="N15" s="11"/>
    </row>
    <row r="16" ht="12.0" customHeight="1">
      <c r="A16" s="268"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row>
    <row r="17" ht="12.0" customHeight="1">
      <c r="A17" s="269" t="s">
        <v>102</v>
      </c>
      <c r="B17" s="182">
        <f t="array" ref="B17">INDEX(datos_base!$B$15:$K$22,MATCH($A17,datos_base!$A$15:$A$22,0),MATCH($B$3,datos_base!$B$2:$K$2,0))*INDEX(Parametros!$B$11:$M$26,MATCH($A17,Parametros!$A$11:$A$26,0),MATCH(B$16,Parametros!$B$10:$M$10,0))</f>
        <v>0</v>
      </c>
      <c r="C17" s="182">
        <f t="array" ref="C17">INDEX(datos_base!$B$15:$K$22,MATCH($A17,datos_base!$A$15:$A$22,0),MATCH($B$3,datos_base!$B$2:$K$2,0))*INDEX(Parametros!$B$11:$M$26,MATCH($A17,Parametros!$A$11:$A$26,0),MATCH(C$16,Parametros!$B$10:$M$10,0))</f>
        <v>0</v>
      </c>
      <c r="D17" s="182">
        <f t="array" ref="D17">INDEX(datos_base!$B$15:$K$22,MATCH($A17,datos_base!$A$15:$A$22,0),MATCH($B$3,datos_base!$B$2:$K$2,0))*INDEX(Parametros!$B$11:$M$26,MATCH($A17,Parametros!$A$11:$A$26,0),MATCH(D$16,Parametros!$B$10:$M$10,0))</f>
        <v>0</v>
      </c>
      <c r="E17" s="182">
        <f t="array" ref="E17">INDEX(datos_base!$B$15:$K$22,MATCH($A17,datos_base!$A$15:$A$22,0),MATCH($B$3,datos_base!$B$2:$K$2,0))*INDEX(Parametros!$B$11:$M$26,MATCH($A17,Parametros!$A$11:$A$26,0),MATCH(E$16,Parametros!$B$10:$M$10,0))</f>
        <v>0</v>
      </c>
      <c r="F17" s="182">
        <f t="array" ref="F17">INDEX(datos_base!$B$15:$K$22,MATCH($A17,datos_base!$A$15:$A$22,0),MATCH($B$3,datos_base!$B$2:$K$2,0))*INDEX(Parametros!$B$11:$M$26,MATCH($A17,Parametros!$A$11:$A$26,0),MATCH(F$16,Parametros!$B$10:$M$10,0))</f>
        <v>0</v>
      </c>
      <c r="G17" s="182">
        <f t="array" ref="G17">INDEX(datos_base!$B$15:$K$22,MATCH($A17,datos_base!$A$15:$A$22,0),MATCH($B$3,datos_base!$B$2:$K$2,0))*INDEX(Parametros!$B$11:$M$26,MATCH($A17,Parametros!$A$11:$A$26,0),MATCH(G$16,Parametros!$B$10:$M$10,0))</f>
        <v>0</v>
      </c>
      <c r="H17" s="182">
        <f t="array" ref="H17">INDEX(datos_base!$B$15:$K$22,MATCH($A17,datos_base!$A$15:$A$22,0),MATCH($B$3,datos_base!$B$2:$K$2,0))*INDEX(Parametros!$B$11:$M$26,MATCH($A17,Parametros!$A$11:$A$26,0),MATCH(H$16,Parametros!$B$10:$M$10,0))</f>
        <v>0</v>
      </c>
      <c r="I17" s="182">
        <f t="array" ref="I17">INDEX(datos_base!$B$15:$K$22,MATCH($A17,datos_base!$A$15:$A$22,0),MATCH($B$3,datos_base!$B$2:$K$2,0))*INDEX(Parametros!$B$11:$M$26,MATCH($A17,Parametros!$A$11:$A$26,0),MATCH(I$16,Parametros!$B$10:$M$10,0))</f>
        <v>0</v>
      </c>
      <c r="J17" s="182">
        <f t="array" ref="J17">INDEX(datos_base!$B$15:$K$22,MATCH($A17,datos_base!$A$15:$A$22,0),MATCH($B$3,datos_base!$B$2:$K$2,0))*INDEX(Parametros!$B$11:$M$26,MATCH($A17,Parametros!$A$11:$A$26,0),MATCH(J$16,Parametros!$B$10:$M$10,0))</f>
        <v>0</v>
      </c>
      <c r="K17" s="182">
        <f t="array" ref="K17">INDEX(datos_base!$B$15:$K$22,MATCH($A17,datos_base!$A$15:$A$22,0),MATCH($B$3,datos_base!$B$2:$K$2,0))*INDEX(Parametros!$B$11:$M$26,MATCH($A17,Parametros!$A$11:$A$26,0),MATCH(K$16,Parametros!$B$10:$M$10,0))</f>
        <v>0</v>
      </c>
      <c r="L17" s="182">
        <f t="array" ref="L17">INDEX(datos_base!$B$15:$K$22,MATCH($A17,datos_base!$A$15:$A$22,0),MATCH($B$3,datos_base!$B$2:$K$2,0))*INDEX(Parametros!$B$11:$M$26,MATCH($A17,Parametros!$A$11:$A$26,0),MATCH(L$16,Parametros!$B$10:$M$10,0))</f>
        <v>0</v>
      </c>
      <c r="M17" s="182">
        <f t="array" ref="M17">INDEX(datos_base!$B$15:$K$22,MATCH($A17,datos_base!$A$15:$A$22,0),MATCH($B$3,datos_base!$B$2:$K$2,0))*INDEX(Parametros!$B$11:$M$26,MATCH($A17,Parametros!$A$11:$A$26,0),MATCH(M$16,Parametros!$B$10:$M$10,0))</f>
        <v>0</v>
      </c>
      <c r="N17" s="271">
        <f t="shared" ref="N17:N24" si="4">SUM(B17:M17)</f>
        <v>0</v>
      </c>
    </row>
    <row r="18" ht="12.0" customHeight="1">
      <c r="A18" s="269" t="s">
        <v>106</v>
      </c>
      <c r="B18" s="182">
        <f t="array" ref="B18">INDEX(datos_base!$B$15:$K$22,MATCH($A18,datos_base!$A$15:$A$22,0),MATCH($B$3,datos_base!$B$2:$K$2,0))*INDEX(Parametros!$B$11:$M$26,MATCH($A18,Parametros!$A$11:$A$26,0),MATCH(B$16,Parametros!$B$10:$M$10,0))</f>
        <v>0</v>
      </c>
      <c r="C18" s="182">
        <f t="array" ref="C18">INDEX(datos_base!$B$15:$K$22,MATCH($A18,datos_base!$A$15:$A$22,0),MATCH($B$3,datos_base!$B$2:$K$2,0))*INDEX(Parametros!$B$11:$M$26,MATCH($A18,Parametros!$A$11:$A$26,0),MATCH(C$16,Parametros!$B$10:$M$10,0))</f>
        <v>0</v>
      </c>
      <c r="D18" s="182">
        <f t="array" ref="D18">INDEX(datos_base!$B$15:$K$22,MATCH($A18,datos_base!$A$15:$A$22,0),MATCH($B$3,datos_base!$B$2:$K$2,0))*INDEX(Parametros!$B$11:$M$26,MATCH($A18,Parametros!$A$11:$A$26,0),MATCH(D$16,Parametros!$B$10:$M$10,0))</f>
        <v>0</v>
      </c>
      <c r="E18" s="182">
        <f t="array" ref="E18">INDEX(datos_base!$B$15:$K$22,MATCH($A18,datos_base!$A$15:$A$22,0),MATCH($B$3,datos_base!$B$2:$K$2,0))*INDEX(Parametros!$B$11:$M$26,MATCH($A18,Parametros!$A$11:$A$26,0),MATCH(E$16,Parametros!$B$10:$M$10,0))</f>
        <v>0</v>
      </c>
      <c r="F18" s="182">
        <f t="array" ref="F18">INDEX(datos_base!$B$15:$K$22,MATCH($A18,datos_base!$A$15:$A$22,0),MATCH($B$3,datos_base!$B$2:$K$2,0))*INDEX(Parametros!$B$11:$M$26,MATCH($A18,Parametros!$A$11:$A$26,0),MATCH(F$16,Parametros!$B$10:$M$10,0))</f>
        <v>0</v>
      </c>
      <c r="G18" s="182">
        <f t="array" ref="G18">INDEX(datos_base!$B$15:$K$22,MATCH($A18,datos_base!$A$15:$A$22,0),MATCH($B$3,datos_base!$B$2:$K$2,0))*INDEX(Parametros!$B$11:$M$26,MATCH($A18,Parametros!$A$11:$A$26,0),MATCH(G$16,Parametros!$B$10:$M$10,0))</f>
        <v>0</v>
      </c>
      <c r="H18" s="182">
        <f t="array" ref="H18">INDEX(datos_base!$B$15:$K$22,MATCH($A18,datos_base!$A$15:$A$22,0),MATCH($B$3,datos_base!$B$2:$K$2,0))*INDEX(Parametros!$B$11:$M$26,MATCH($A18,Parametros!$A$11:$A$26,0),MATCH(H$16,Parametros!$B$10:$M$10,0))</f>
        <v>0</v>
      </c>
      <c r="I18" s="182">
        <f t="array" ref="I18">INDEX(datos_base!$B$15:$K$22,MATCH($A18,datos_base!$A$15:$A$22,0),MATCH($B$3,datos_base!$B$2:$K$2,0))*INDEX(Parametros!$B$11:$M$26,MATCH($A18,Parametros!$A$11:$A$26,0),MATCH(I$16,Parametros!$B$10:$M$10,0))</f>
        <v>0</v>
      </c>
      <c r="J18" s="182">
        <f t="array" ref="J18">INDEX(datos_base!$B$15:$K$22,MATCH($A18,datos_base!$A$15:$A$22,0),MATCH($B$3,datos_base!$B$2:$K$2,0))*INDEX(Parametros!$B$11:$M$26,MATCH($A18,Parametros!$A$11:$A$26,0),MATCH(J$16,Parametros!$B$10:$M$10,0))</f>
        <v>0</v>
      </c>
      <c r="K18" s="182">
        <f t="array" ref="K18">INDEX(datos_base!$B$15:$K$22,MATCH($A18,datos_base!$A$15:$A$22,0),MATCH($B$3,datos_base!$B$2:$K$2,0))*INDEX(Parametros!$B$11:$M$26,MATCH($A18,Parametros!$A$11:$A$26,0),MATCH(K$16,Parametros!$B$10:$M$10,0))</f>
        <v>0</v>
      </c>
      <c r="L18" s="182">
        <f t="array" ref="L18">INDEX(datos_base!$B$15:$K$22,MATCH($A18,datos_base!$A$15:$A$22,0),MATCH($B$3,datos_base!$B$2:$K$2,0))*INDEX(Parametros!$B$11:$M$26,MATCH($A18,Parametros!$A$11:$A$26,0),MATCH(L$16,Parametros!$B$10:$M$10,0))</f>
        <v>0</v>
      </c>
      <c r="M18" s="182">
        <f t="array" ref="M18">INDEX(datos_base!$B$15:$K$22,MATCH($A18,datos_base!$A$15:$A$22,0),MATCH($B$3,datos_base!$B$2:$K$2,0))*INDEX(Parametros!$B$11:$M$26,MATCH($A18,Parametros!$A$11:$A$26,0),MATCH(M$16,Parametros!$B$10:$M$10,0))</f>
        <v>0</v>
      </c>
      <c r="N18" s="271">
        <f t="shared" si="4"/>
        <v>0</v>
      </c>
    </row>
    <row r="19" ht="12.0" customHeight="1">
      <c r="A19" s="269" t="s">
        <v>108</v>
      </c>
      <c r="B19" s="182">
        <f t="array" ref="B19">INDEX(datos_base!$B$15:$K$22,MATCH($A19,datos_base!$A$15:$A$22,0),MATCH($B$3,datos_base!$B$2:$K$2,0))*INDEX(Parametros!$B$11:$M$26,MATCH($A19,Parametros!$A$11:$A$26,0),MATCH(B$16,Parametros!$B$10:$M$10,0))</f>
        <v>0</v>
      </c>
      <c r="C19" s="182">
        <f t="array" ref="C19">INDEX(datos_base!$B$15:$K$22,MATCH($A19,datos_base!$A$15:$A$22,0),MATCH($B$3,datos_base!$B$2:$K$2,0))*INDEX(Parametros!$B$11:$M$26,MATCH($A19,Parametros!$A$11:$A$26,0),MATCH(C$16,Parametros!$B$10:$M$10,0))</f>
        <v>0</v>
      </c>
      <c r="D19" s="182">
        <f t="array" ref="D19">INDEX(datos_base!$B$15:$K$22,MATCH($A19,datos_base!$A$15:$A$22,0),MATCH($B$3,datos_base!$B$2:$K$2,0))*INDEX(Parametros!$B$11:$M$26,MATCH($A19,Parametros!$A$11:$A$26,0),MATCH(D$16,Parametros!$B$10:$M$10,0))</f>
        <v>0</v>
      </c>
      <c r="E19" s="182">
        <f t="array" ref="E19">INDEX(datos_base!$B$15:$K$22,MATCH($A19,datos_base!$A$15:$A$22,0),MATCH($B$3,datos_base!$B$2:$K$2,0))*INDEX(Parametros!$B$11:$M$26,MATCH($A19,Parametros!$A$11:$A$26,0),MATCH(E$16,Parametros!$B$10:$M$10,0))</f>
        <v>0</v>
      </c>
      <c r="F19" s="182">
        <f t="array" ref="F19">INDEX(datos_base!$B$15:$K$22,MATCH($A19,datos_base!$A$15:$A$22,0),MATCH($B$3,datos_base!$B$2:$K$2,0))*INDEX(Parametros!$B$11:$M$26,MATCH($A19,Parametros!$A$11:$A$26,0),MATCH(F$16,Parametros!$B$10:$M$10,0))</f>
        <v>0</v>
      </c>
      <c r="G19" s="182">
        <f t="array" ref="G19">INDEX(datos_base!$B$15:$K$22,MATCH($A19,datos_base!$A$15:$A$22,0),MATCH($B$3,datos_base!$B$2:$K$2,0))*INDEX(Parametros!$B$11:$M$26,MATCH($A19,Parametros!$A$11:$A$26,0),MATCH(G$16,Parametros!$B$10:$M$10,0))</f>
        <v>0</v>
      </c>
      <c r="H19" s="182">
        <f t="array" ref="H19">INDEX(datos_base!$B$15:$K$22,MATCH($A19,datos_base!$A$15:$A$22,0),MATCH($B$3,datos_base!$B$2:$K$2,0))*INDEX(Parametros!$B$11:$M$26,MATCH($A19,Parametros!$A$11:$A$26,0),MATCH(H$16,Parametros!$B$10:$M$10,0))</f>
        <v>0</v>
      </c>
      <c r="I19" s="182">
        <f t="array" ref="I19">INDEX(datos_base!$B$15:$K$22,MATCH($A19,datos_base!$A$15:$A$22,0),MATCH($B$3,datos_base!$B$2:$K$2,0))*INDEX(Parametros!$B$11:$M$26,MATCH($A19,Parametros!$A$11:$A$26,0),MATCH(I$16,Parametros!$B$10:$M$10,0))</f>
        <v>0</v>
      </c>
      <c r="J19" s="182">
        <f t="array" ref="J19">INDEX(datos_base!$B$15:$K$22,MATCH($A19,datos_base!$A$15:$A$22,0),MATCH($B$3,datos_base!$B$2:$K$2,0))*INDEX(Parametros!$B$11:$M$26,MATCH($A19,Parametros!$A$11:$A$26,0),MATCH(J$16,Parametros!$B$10:$M$10,0))</f>
        <v>0</v>
      </c>
      <c r="K19" s="182">
        <f t="array" ref="K19">INDEX(datos_base!$B$15:$K$22,MATCH($A19,datos_base!$A$15:$A$22,0),MATCH($B$3,datos_base!$B$2:$K$2,0))*INDEX(Parametros!$B$11:$M$26,MATCH($A19,Parametros!$A$11:$A$26,0),MATCH(K$16,Parametros!$B$10:$M$10,0))</f>
        <v>0</v>
      </c>
      <c r="L19" s="182">
        <f t="array" ref="L19">INDEX(datos_base!$B$15:$K$22,MATCH($A19,datos_base!$A$15:$A$22,0),MATCH($B$3,datos_base!$B$2:$K$2,0))*INDEX(Parametros!$B$11:$M$26,MATCH($A19,Parametros!$A$11:$A$26,0),MATCH(L$16,Parametros!$B$10:$M$10,0))</f>
        <v>0</v>
      </c>
      <c r="M19" s="182">
        <f t="array" ref="M19">INDEX(datos_base!$B$15:$K$22,MATCH($A19,datos_base!$A$15:$A$22,0),MATCH($B$3,datos_base!$B$2:$K$2,0))*INDEX(Parametros!$B$11:$M$26,MATCH($A19,Parametros!$A$11:$A$26,0),MATCH(M$16,Parametros!$B$10:$M$10,0))</f>
        <v>0</v>
      </c>
      <c r="N19" s="271">
        <f t="shared" si="4"/>
        <v>0</v>
      </c>
    </row>
    <row r="20" ht="12.0" customHeight="1">
      <c r="A20" s="269" t="s">
        <v>122</v>
      </c>
      <c r="B20" s="182">
        <f t="array" ref="B20">INDEX(datos_base!$B$15:$K$22,MATCH($A20,datos_base!$A$15:$A$22,0),MATCH($B$3,datos_base!$B$2:$K$2,0))*INDEX(Parametros!$B$11:$M$26,MATCH($A20,Parametros!$A$11:$A$26,0),MATCH(B$16,Parametros!$B$10:$M$10,0))</f>
        <v>0</v>
      </c>
      <c r="C20" s="182">
        <f t="array" ref="C20">INDEX(datos_base!$B$15:$K$22,MATCH($A20,datos_base!$A$15:$A$22,0),MATCH($B$3,datos_base!$B$2:$K$2,0))*INDEX(Parametros!$B$11:$M$26,MATCH($A20,Parametros!$A$11:$A$26,0),MATCH(C$16,Parametros!$B$10:$M$10,0))</f>
        <v>0</v>
      </c>
      <c r="D20" s="182">
        <f t="array" ref="D20">INDEX(datos_base!$B$15:$K$22,MATCH($A20,datos_base!$A$15:$A$22,0),MATCH($B$3,datos_base!$B$2:$K$2,0))*INDEX(Parametros!$B$11:$M$26,MATCH($A20,Parametros!$A$11:$A$26,0),MATCH(D$16,Parametros!$B$10:$M$10,0))</f>
        <v>0</v>
      </c>
      <c r="E20" s="182">
        <f t="array" ref="E20">INDEX(datos_base!$B$15:$K$22,MATCH($A20,datos_base!$A$15:$A$22,0),MATCH($B$3,datos_base!$B$2:$K$2,0))*INDEX(Parametros!$B$11:$M$26,MATCH($A20,Parametros!$A$11:$A$26,0),MATCH(E$16,Parametros!$B$10:$M$10,0))</f>
        <v>0</v>
      </c>
      <c r="F20" s="182">
        <f t="array" ref="F20">INDEX(datos_base!$B$15:$K$22,MATCH($A20,datos_base!$A$15:$A$22,0),MATCH($B$3,datos_base!$B$2:$K$2,0))*INDEX(Parametros!$B$11:$M$26,MATCH($A20,Parametros!$A$11:$A$26,0),MATCH(F$16,Parametros!$B$10:$M$10,0))</f>
        <v>0</v>
      </c>
      <c r="G20" s="182">
        <f t="array" ref="G20">INDEX(datos_base!$B$15:$K$22,MATCH($A20,datos_base!$A$15:$A$22,0),MATCH($B$3,datos_base!$B$2:$K$2,0))*INDEX(Parametros!$B$11:$M$26,MATCH($A20,Parametros!$A$11:$A$26,0),MATCH(G$16,Parametros!$B$10:$M$10,0))</f>
        <v>0</v>
      </c>
      <c r="H20" s="182">
        <f t="array" ref="H20">INDEX(datos_base!$B$15:$K$22,MATCH($A20,datos_base!$A$15:$A$22,0),MATCH($B$3,datos_base!$B$2:$K$2,0))*INDEX(Parametros!$B$11:$M$26,MATCH($A20,Parametros!$A$11:$A$26,0),MATCH(H$16,Parametros!$B$10:$M$10,0))</f>
        <v>0</v>
      </c>
      <c r="I20" s="182">
        <f t="array" ref="I20">INDEX(datos_base!$B$15:$K$22,MATCH($A20,datos_base!$A$15:$A$22,0),MATCH($B$3,datos_base!$B$2:$K$2,0))*INDEX(Parametros!$B$11:$M$26,MATCH($A20,Parametros!$A$11:$A$26,0),MATCH(I$16,Parametros!$B$10:$M$10,0))</f>
        <v>0</v>
      </c>
      <c r="J20" s="182">
        <f t="array" ref="J20">INDEX(datos_base!$B$15:$K$22,MATCH($A20,datos_base!$A$15:$A$22,0),MATCH($B$3,datos_base!$B$2:$K$2,0))*INDEX(Parametros!$B$11:$M$26,MATCH($A20,Parametros!$A$11:$A$26,0),MATCH(J$16,Parametros!$B$10:$M$10,0))</f>
        <v>0</v>
      </c>
      <c r="K20" s="182">
        <f t="array" ref="K20">INDEX(datos_base!$B$15:$K$22,MATCH($A20,datos_base!$A$15:$A$22,0),MATCH($B$3,datos_base!$B$2:$K$2,0))*INDEX(Parametros!$B$11:$M$26,MATCH($A20,Parametros!$A$11:$A$26,0),MATCH(K$16,Parametros!$B$10:$M$10,0))</f>
        <v>0</v>
      </c>
      <c r="L20" s="182">
        <f t="array" ref="L20">INDEX(datos_base!$B$15:$K$22,MATCH($A20,datos_base!$A$15:$A$22,0),MATCH($B$3,datos_base!$B$2:$K$2,0))*INDEX(Parametros!$B$11:$M$26,MATCH($A20,Parametros!$A$11:$A$26,0),MATCH(L$16,Parametros!$B$10:$M$10,0))</f>
        <v>0</v>
      </c>
      <c r="M20" s="182">
        <f t="array" ref="M20">INDEX(datos_base!$B$15:$K$22,MATCH($A20,datos_base!$A$15:$A$22,0),MATCH($B$3,datos_base!$B$2:$K$2,0))*INDEX(Parametros!$B$11:$M$26,MATCH($A20,Parametros!$A$11:$A$26,0),MATCH(M$16,Parametros!$B$10:$M$10,0))</f>
        <v>0</v>
      </c>
      <c r="N20" s="271">
        <f t="shared" si="4"/>
        <v>0</v>
      </c>
    </row>
    <row r="21" ht="12.0" customHeight="1">
      <c r="A21" s="269" t="s">
        <v>125</v>
      </c>
      <c r="B21" s="182">
        <f t="array" ref="B21">INDEX(datos_base!$B$15:$K$22,MATCH($A21,datos_base!$A$15:$A$22,0),MATCH($B$3,datos_base!$B$2:$K$2,0))*INDEX(Parametros!$B$11:$M$26,MATCH($A21,Parametros!$A$11:$A$26,0),MATCH(B$16,Parametros!$B$10:$M$10,0))</f>
        <v>0</v>
      </c>
      <c r="C21" s="182">
        <f t="array" ref="C21">INDEX(datos_base!$B$15:$K$22,MATCH($A21,datos_base!$A$15:$A$22,0),MATCH($B$3,datos_base!$B$2:$K$2,0))*INDEX(Parametros!$B$11:$M$26,MATCH($A21,Parametros!$A$11:$A$26,0),MATCH(C$16,Parametros!$B$10:$M$10,0))</f>
        <v>0</v>
      </c>
      <c r="D21" s="182">
        <f t="array" ref="D21">INDEX(datos_base!$B$15:$K$22,MATCH($A21,datos_base!$A$15:$A$22,0),MATCH($B$3,datos_base!$B$2:$K$2,0))*INDEX(Parametros!$B$11:$M$26,MATCH($A21,Parametros!$A$11:$A$26,0),MATCH(D$16,Parametros!$B$10:$M$10,0))</f>
        <v>0</v>
      </c>
      <c r="E21" s="182">
        <f t="array" ref="E21">INDEX(datos_base!$B$15:$K$22,MATCH($A21,datos_base!$A$15:$A$22,0),MATCH($B$3,datos_base!$B$2:$K$2,0))*INDEX(Parametros!$B$11:$M$26,MATCH($A21,Parametros!$A$11:$A$26,0),MATCH(E$16,Parametros!$B$10:$M$10,0))</f>
        <v>0</v>
      </c>
      <c r="F21" s="182">
        <f t="array" ref="F21">INDEX(datos_base!$B$15:$K$22,MATCH($A21,datos_base!$A$15:$A$22,0),MATCH($B$3,datos_base!$B$2:$K$2,0))*INDEX(Parametros!$B$11:$M$26,MATCH($A21,Parametros!$A$11:$A$26,0),MATCH(F$16,Parametros!$B$10:$M$10,0))</f>
        <v>0</v>
      </c>
      <c r="G21" s="182">
        <f t="array" ref="G21">INDEX(datos_base!$B$15:$K$22,MATCH($A21,datos_base!$A$15:$A$22,0),MATCH($B$3,datos_base!$B$2:$K$2,0))*INDEX(Parametros!$B$11:$M$26,MATCH($A21,Parametros!$A$11:$A$26,0),MATCH(G$16,Parametros!$B$10:$M$10,0))</f>
        <v>0</v>
      </c>
      <c r="H21" s="182">
        <f t="array" ref="H21">INDEX(datos_base!$B$15:$K$22,MATCH($A21,datos_base!$A$15:$A$22,0),MATCH($B$3,datos_base!$B$2:$K$2,0))*INDEX(Parametros!$B$11:$M$26,MATCH($A21,Parametros!$A$11:$A$26,0),MATCH(H$16,Parametros!$B$10:$M$10,0))</f>
        <v>0</v>
      </c>
      <c r="I21" s="182">
        <f t="array" ref="I21">INDEX(datos_base!$B$15:$K$22,MATCH($A21,datos_base!$A$15:$A$22,0),MATCH($B$3,datos_base!$B$2:$K$2,0))*INDEX(Parametros!$B$11:$M$26,MATCH($A21,Parametros!$A$11:$A$26,0),MATCH(I$16,Parametros!$B$10:$M$10,0))</f>
        <v>0</v>
      </c>
      <c r="J21" s="182">
        <f t="array" ref="J21">INDEX(datos_base!$B$15:$K$22,MATCH($A21,datos_base!$A$15:$A$22,0),MATCH($B$3,datos_base!$B$2:$K$2,0))*INDEX(Parametros!$B$11:$M$26,MATCH($A21,Parametros!$A$11:$A$26,0),MATCH(J$16,Parametros!$B$10:$M$10,0))</f>
        <v>0</v>
      </c>
      <c r="K21" s="182">
        <f t="array" ref="K21">INDEX(datos_base!$B$15:$K$22,MATCH($A21,datos_base!$A$15:$A$22,0),MATCH($B$3,datos_base!$B$2:$K$2,0))*INDEX(Parametros!$B$11:$M$26,MATCH($A21,Parametros!$A$11:$A$26,0),MATCH(K$16,Parametros!$B$10:$M$10,0))</f>
        <v>0</v>
      </c>
      <c r="L21" s="182">
        <f t="array" ref="L21">INDEX(datos_base!$B$15:$K$22,MATCH($A21,datos_base!$A$15:$A$22,0),MATCH($B$3,datos_base!$B$2:$K$2,0))*INDEX(Parametros!$B$11:$M$26,MATCH($A21,Parametros!$A$11:$A$26,0),MATCH(L$16,Parametros!$B$10:$M$10,0))</f>
        <v>0</v>
      </c>
      <c r="M21" s="182">
        <f t="array" ref="M21">INDEX(datos_base!$B$15:$K$22,MATCH($A21,datos_base!$A$15:$A$22,0),MATCH($B$3,datos_base!$B$2:$K$2,0))*INDEX(Parametros!$B$11:$M$26,MATCH($A21,Parametros!$A$11:$A$26,0),MATCH(M$16,Parametros!$B$10:$M$10,0))</f>
        <v>0</v>
      </c>
      <c r="N21" s="271">
        <f t="shared" si="4"/>
        <v>0</v>
      </c>
    </row>
    <row r="22" ht="12.0" customHeight="1">
      <c r="A22" s="269" t="s">
        <v>128</v>
      </c>
      <c r="B22" s="182">
        <f t="array" ref="B22">INDEX(datos_base!$B$15:$K$22,MATCH($A22,datos_base!$A$15:$A$22,0),MATCH($B$3,datos_base!$B$2:$K$2,0))*INDEX(Parametros!$B$11:$M$26,MATCH($A22,Parametros!$A$11:$A$26,0),MATCH(B$16,Parametros!$B$10:$M$10,0))</f>
        <v>0</v>
      </c>
      <c r="C22" s="182">
        <f t="array" ref="C22">INDEX(datos_base!$B$15:$K$22,MATCH($A22,datos_base!$A$15:$A$22,0),MATCH($B$3,datos_base!$B$2:$K$2,0))*INDEX(Parametros!$B$11:$M$26,MATCH($A22,Parametros!$A$11:$A$26,0),MATCH(C$16,Parametros!$B$10:$M$10,0))</f>
        <v>0</v>
      </c>
      <c r="D22" s="182">
        <f t="array" ref="D22">INDEX(datos_base!$B$15:$K$22,MATCH($A22,datos_base!$A$15:$A$22,0),MATCH($B$3,datos_base!$B$2:$K$2,0))*INDEX(Parametros!$B$11:$M$26,MATCH($A22,Parametros!$A$11:$A$26,0),MATCH(D$16,Parametros!$B$10:$M$10,0))</f>
        <v>0</v>
      </c>
      <c r="E22" s="182">
        <f t="array" ref="E22">INDEX(datos_base!$B$15:$K$22,MATCH($A22,datos_base!$A$15:$A$22,0),MATCH($B$3,datos_base!$B$2:$K$2,0))*INDEX(Parametros!$B$11:$M$26,MATCH($A22,Parametros!$A$11:$A$26,0),MATCH(E$16,Parametros!$B$10:$M$10,0))</f>
        <v>0</v>
      </c>
      <c r="F22" s="182">
        <f t="array" ref="F22">INDEX(datos_base!$B$15:$K$22,MATCH($A22,datos_base!$A$15:$A$22,0),MATCH($B$3,datos_base!$B$2:$K$2,0))*INDEX(Parametros!$B$11:$M$26,MATCH($A22,Parametros!$A$11:$A$26,0),MATCH(F$16,Parametros!$B$10:$M$10,0))</f>
        <v>0</v>
      </c>
      <c r="G22" s="182">
        <f t="array" ref="G22">INDEX(datos_base!$B$15:$K$22,MATCH($A22,datos_base!$A$15:$A$22,0),MATCH($B$3,datos_base!$B$2:$K$2,0))*INDEX(Parametros!$B$11:$M$26,MATCH($A22,Parametros!$A$11:$A$26,0),MATCH(G$16,Parametros!$B$10:$M$10,0))</f>
        <v>0</v>
      </c>
      <c r="H22" s="182">
        <f t="array" ref="H22">INDEX(datos_base!$B$15:$K$22,MATCH($A22,datos_base!$A$15:$A$22,0),MATCH($B$3,datos_base!$B$2:$K$2,0))*INDEX(Parametros!$B$11:$M$26,MATCH($A22,Parametros!$A$11:$A$26,0),MATCH(H$16,Parametros!$B$10:$M$10,0))</f>
        <v>0</v>
      </c>
      <c r="I22" s="182">
        <f t="array" ref="I22">INDEX(datos_base!$B$15:$K$22,MATCH($A22,datos_base!$A$15:$A$22,0),MATCH($B$3,datos_base!$B$2:$K$2,0))*INDEX(Parametros!$B$11:$M$26,MATCH($A22,Parametros!$A$11:$A$26,0),MATCH(I$16,Parametros!$B$10:$M$10,0))</f>
        <v>0</v>
      </c>
      <c r="J22" s="182">
        <f t="array" ref="J22">INDEX(datos_base!$B$15:$K$22,MATCH($A22,datos_base!$A$15:$A$22,0),MATCH($B$3,datos_base!$B$2:$K$2,0))*INDEX(Parametros!$B$11:$M$26,MATCH($A22,Parametros!$A$11:$A$26,0),MATCH(J$16,Parametros!$B$10:$M$10,0))</f>
        <v>0</v>
      </c>
      <c r="K22" s="182">
        <f t="array" ref="K22">INDEX(datos_base!$B$15:$K$22,MATCH($A22,datos_base!$A$15:$A$22,0),MATCH($B$3,datos_base!$B$2:$K$2,0))*INDEX(Parametros!$B$11:$M$26,MATCH($A22,Parametros!$A$11:$A$26,0),MATCH(K$16,Parametros!$B$10:$M$10,0))</f>
        <v>0</v>
      </c>
      <c r="L22" s="182">
        <f t="array" ref="L22">INDEX(datos_base!$B$15:$K$22,MATCH($A22,datos_base!$A$15:$A$22,0),MATCH($B$3,datos_base!$B$2:$K$2,0))*INDEX(Parametros!$B$11:$M$26,MATCH($A22,Parametros!$A$11:$A$26,0),MATCH(L$16,Parametros!$B$10:$M$10,0))</f>
        <v>0</v>
      </c>
      <c r="M22" s="182">
        <f t="array" ref="M22">INDEX(datos_base!$B$15:$K$22,MATCH($A22,datos_base!$A$15:$A$22,0),MATCH($B$3,datos_base!$B$2:$K$2,0))*INDEX(Parametros!$B$11:$M$26,MATCH($A22,Parametros!$A$11:$A$26,0),MATCH(M$16,Parametros!$B$10:$M$10,0))</f>
        <v>0</v>
      </c>
      <c r="N22" s="271">
        <f t="shared" si="4"/>
        <v>0</v>
      </c>
    </row>
    <row r="23" ht="12.0" customHeight="1">
      <c r="A23" s="269" t="s">
        <v>129</v>
      </c>
      <c r="B23" s="182">
        <f t="array" ref="B23">INDEX(datos_base!$B$15:$K$22,MATCH($A23,datos_base!$A$15:$A$22,0),MATCH($B$3,datos_base!$B$2:$K$2,0))*INDEX(Parametros!$B$11:$M$26,MATCH($A23,Parametros!$A$11:$A$26,0),MATCH(B$16,Parametros!$B$10:$M$10,0))</f>
        <v>0</v>
      </c>
      <c r="C23" s="182">
        <f t="array" ref="C23">INDEX(datos_base!$B$15:$K$22,MATCH($A23,datos_base!$A$15:$A$22,0),MATCH($B$3,datos_base!$B$2:$K$2,0))*INDEX(Parametros!$B$11:$M$26,MATCH($A23,Parametros!$A$11:$A$26,0),MATCH(C$16,Parametros!$B$10:$M$10,0))</f>
        <v>0</v>
      </c>
      <c r="D23" s="182">
        <f t="array" ref="D23">INDEX(datos_base!$B$15:$K$22,MATCH($A23,datos_base!$A$15:$A$22,0),MATCH($B$3,datos_base!$B$2:$K$2,0))*INDEX(Parametros!$B$11:$M$26,MATCH($A23,Parametros!$A$11:$A$26,0),MATCH(D$16,Parametros!$B$10:$M$10,0))</f>
        <v>0</v>
      </c>
      <c r="E23" s="182">
        <f t="array" ref="E23">INDEX(datos_base!$B$15:$K$22,MATCH($A23,datos_base!$A$15:$A$22,0),MATCH($B$3,datos_base!$B$2:$K$2,0))*INDEX(Parametros!$B$11:$M$26,MATCH($A23,Parametros!$A$11:$A$26,0),MATCH(E$16,Parametros!$B$10:$M$10,0))</f>
        <v>0</v>
      </c>
      <c r="F23" s="182">
        <f t="array" ref="F23">INDEX(datos_base!$B$15:$K$22,MATCH($A23,datos_base!$A$15:$A$22,0),MATCH($B$3,datos_base!$B$2:$K$2,0))*INDEX(Parametros!$B$11:$M$26,MATCH($A23,Parametros!$A$11:$A$26,0),MATCH(F$16,Parametros!$B$10:$M$10,0))</f>
        <v>0</v>
      </c>
      <c r="G23" s="182">
        <f t="array" ref="G23">INDEX(datos_base!$B$15:$K$22,MATCH($A23,datos_base!$A$15:$A$22,0),MATCH($B$3,datos_base!$B$2:$K$2,0))*INDEX(Parametros!$B$11:$M$26,MATCH($A23,Parametros!$A$11:$A$26,0),MATCH(G$16,Parametros!$B$10:$M$10,0))</f>
        <v>0</v>
      </c>
      <c r="H23" s="182">
        <f t="array" ref="H23">INDEX(datos_base!$B$15:$K$22,MATCH($A23,datos_base!$A$15:$A$22,0),MATCH($B$3,datos_base!$B$2:$K$2,0))*INDEX(Parametros!$B$11:$M$26,MATCH($A23,Parametros!$A$11:$A$26,0),MATCH(H$16,Parametros!$B$10:$M$10,0))</f>
        <v>0</v>
      </c>
      <c r="I23" s="182">
        <f t="array" ref="I23">INDEX(datos_base!$B$15:$K$22,MATCH($A23,datos_base!$A$15:$A$22,0),MATCH($B$3,datos_base!$B$2:$K$2,0))*INDEX(Parametros!$B$11:$M$26,MATCH($A23,Parametros!$A$11:$A$26,0),MATCH(I$16,Parametros!$B$10:$M$10,0))</f>
        <v>0</v>
      </c>
      <c r="J23" s="182">
        <f t="array" ref="J23">INDEX(datos_base!$B$15:$K$22,MATCH($A23,datos_base!$A$15:$A$22,0),MATCH($B$3,datos_base!$B$2:$K$2,0))*INDEX(Parametros!$B$11:$M$26,MATCH($A23,Parametros!$A$11:$A$26,0),MATCH(J$16,Parametros!$B$10:$M$10,0))</f>
        <v>0</v>
      </c>
      <c r="K23" s="182">
        <f t="array" ref="K23">INDEX(datos_base!$B$15:$K$22,MATCH($A23,datos_base!$A$15:$A$22,0),MATCH($B$3,datos_base!$B$2:$K$2,0))*INDEX(Parametros!$B$11:$M$26,MATCH($A23,Parametros!$A$11:$A$26,0),MATCH(K$16,Parametros!$B$10:$M$10,0))</f>
        <v>0</v>
      </c>
      <c r="L23" s="182">
        <f t="array" ref="L23">INDEX(datos_base!$B$15:$K$22,MATCH($A23,datos_base!$A$15:$A$22,0),MATCH($B$3,datos_base!$B$2:$K$2,0))*INDEX(Parametros!$B$11:$M$26,MATCH($A23,Parametros!$A$11:$A$26,0),MATCH(L$16,Parametros!$B$10:$M$10,0))</f>
        <v>0</v>
      </c>
      <c r="M23" s="182">
        <f t="array" ref="M23">INDEX(datos_base!$B$15:$K$22,MATCH($A23,datos_base!$A$15:$A$22,0),MATCH($B$3,datos_base!$B$2:$K$2,0))*INDEX(Parametros!$B$11:$M$26,MATCH($A23,Parametros!$A$11:$A$26,0),MATCH(M$16,Parametros!$B$10:$M$10,0))</f>
        <v>0</v>
      </c>
      <c r="N23" s="271">
        <f t="shared" si="4"/>
        <v>0</v>
      </c>
    </row>
    <row r="24" ht="12.0" customHeight="1">
      <c r="A24" s="269" t="s">
        <v>130</v>
      </c>
      <c r="B24" s="182">
        <f t="array" ref="B24">INDEX(datos_base!$B$15:$K$22,MATCH($A24,datos_base!$A$15:$A$22,0),MATCH($B$3,datos_base!$B$2:$K$2,0))*INDEX(Parametros!$B$11:$M$26,MATCH($A24,Parametros!$A$11:$A$26,0),MATCH(B$16,Parametros!$B$10:$M$10,0))</f>
        <v>0</v>
      </c>
      <c r="C24" s="182">
        <f t="array" ref="C24">INDEX(datos_base!$B$15:$K$22,MATCH($A24,datos_base!$A$15:$A$22,0),MATCH($B$3,datos_base!$B$2:$K$2,0))*INDEX(Parametros!$B$11:$M$26,MATCH($A24,Parametros!$A$11:$A$26,0),MATCH(C$16,Parametros!$B$10:$M$10,0))</f>
        <v>0</v>
      </c>
      <c r="D24" s="182">
        <f t="array" ref="D24">INDEX(datos_base!$B$15:$K$22,MATCH($A24,datos_base!$A$15:$A$22,0),MATCH($B$3,datos_base!$B$2:$K$2,0))*INDEX(Parametros!$B$11:$M$26,MATCH($A24,Parametros!$A$11:$A$26,0),MATCH(D$16,Parametros!$B$10:$M$10,0))</f>
        <v>0</v>
      </c>
      <c r="E24" s="182">
        <f t="array" ref="E24">INDEX(datos_base!$B$15:$K$22,MATCH($A24,datos_base!$A$15:$A$22,0),MATCH($B$3,datos_base!$B$2:$K$2,0))*INDEX(Parametros!$B$11:$M$26,MATCH($A24,Parametros!$A$11:$A$26,0),MATCH(E$16,Parametros!$B$10:$M$10,0))</f>
        <v>0</v>
      </c>
      <c r="F24" s="182">
        <f t="array" ref="F24">INDEX(datos_base!$B$15:$K$22,MATCH($A24,datos_base!$A$15:$A$22,0),MATCH($B$3,datos_base!$B$2:$K$2,0))*INDEX(Parametros!$B$11:$M$26,MATCH($A24,Parametros!$A$11:$A$26,0),MATCH(F$16,Parametros!$B$10:$M$10,0))</f>
        <v>0</v>
      </c>
      <c r="G24" s="182">
        <f t="array" ref="G24">INDEX(datos_base!$B$15:$K$22,MATCH($A24,datos_base!$A$15:$A$22,0),MATCH($B$3,datos_base!$B$2:$K$2,0))*INDEX(Parametros!$B$11:$M$26,MATCH($A24,Parametros!$A$11:$A$26,0),MATCH(G$16,Parametros!$B$10:$M$10,0))</f>
        <v>0</v>
      </c>
      <c r="H24" s="182">
        <f t="array" ref="H24">INDEX(datos_base!$B$15:$K$22,MATCH($A24,datos_base!$A$15:$A$22,0),MATCH($B$3,datos_base!$B$2:$K$2,0))*INDEX(Parametros!$B$11:$M$26,MATCH($A24,Parametros!$A$11:$A$26,0),MATCH(H$16,Parametros!$B$10:$M$10,0))</f>
        <v>0</v>
      </c>
      <c r="I24" s="182">
        <f t="array" ref="I24">INDEX(datos_base!$B$15:$K$22,MATCH($A24,datos_base!$A$15:$A$22,0),MATCH($B$3,datos_base!$B$2:$K$2,0))*INDEX(Parametros!$B$11:$M$26,MATCH($A24,Parametros!$A$11:$A$26,0),MATCH(I$16,Parametros!$B$10:$M$10,0))</f>
        <v>0</v>
      </c>
      <c r="J24" s="182">
        <f t="array" ref="J24">INDEX(datos_base!$B$15:$K$22,MATCH($A24,datos_base!$A$15:$A$22,0),MATCH($B$3,datos_base!$B$2:$K$2,0))*INDEX(Parametros!$B$11:$M$26,MATCH($A24,Parametros!$A$11:$A$26,0),MATCH(J$16,Parametros!$B$10:$M$10,0))</f>
        <v>0</v>
      </c>
      <c r="K24" s="182">
        <f t="array" ref="K24">INDEX(datos_base!$B$15:$K$22,MATCH($A24,datos_base!$A$15:$A$22,0),MATCH($B$3,datos_base!$B$2:$K$2,0))*INDEX(Parametros!$B$11:$M$26,MATCH($A24,Parametros!$A$11:$A$26,0),MATCH(K$16,Parametros!$B$10:$M$10,0))</f>
        <v>0</v>
      </c>
      <c r="L24" s="182">
        <f t="array" ref="L24">INDEX(datos_base!$B$15:$K$22,MATCH($A24,datos_base!$A$15:$A$22,0),MATCH($B$3,datos_base!$B$2:$K$2,0))*INDEX(Parametros!$B$11:$M$26,MATCH($A24,Parametros!$A$11:$A$26,0),MATCH(L$16,Parametros!$B$10:$M$10,0))</f>
        <v>0</v>
      </c>
      <c r="M24" s="182">
        <f t="array" ref="M24">INDEX(datos_base!$B$15:$K$22,MATCH($A24,datos_base!$A$15:$A$22,0),MATCH($B$3,datos_base!$B$2:$K$2,0))*INDEX(Parametros!$B$11:$M$26,MATCH($A24,Parametros!$A$11:$A$26,0),MATCH(M$16,Parametros!$B$10:$M$10,0))</f>
        <v>0</v>
      </c>
      <c r="N24" s="271">
        <f t="shared" si="4"/>
        <v>0</v>
      </c>
    </row>
    <row r="25" ht="12.0" customHeight="1">
      <c r="A25" s="268" t="s">
        <v>420</v>
      </c>
      <c r="B25" s="273">
        <f t="shared" ref="B25:N25" si="5">SUM(B17:B24)</f>
        <v>0</v>
      </c>
      <c r="C25" s="273">
        <f t="shared" si="5"/>
        <v>0</v>
      </c>
      <c r="D25" s="273">
        <f t="shared" si="5"/>
        <v>0</v>
      </c>
      <c r="E25" s="273">
        <f t="shared" si="5"/>
        <v>0</v>
      </c>
      <c r="F25" s="273">
        <f t="shared" si="5"/>
        <v>0</v>
      </c>
      <c r="G25" s="273">
        <f t="shared" si="5"/>
        <v>0</v>
      </c>
      <c r="H25" s="273">
        <f t="shared" si="5"/>
        <v>0</v>
      </c>
      <c r="I25" s="273">
        <f t="shared" si="5"/>
        <v>0</v>
      </c>
      <c r="J25" s="273">
        <f t="shared" si="5"/>
        <v>0</v>
      </c>
      <c r="K25" s="273">
        <f t="shared" si="5"/>
        <v>0</v>
      </c>
      <c r="L25" s="273">
        <f t="shared" si="5"/>
        <v>0</v>
      </c>
      <c r="M25" s="273">
        <f t="shared" si="5"/>
        <v>0</v>
      </c>
      <c r="N25" s="273">
        <f t="shared" si="5"/>
        <v>0</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f>
        <v>568.5</v>
      </c>
      <c r="C28" s="152">
        <f>ROUNDDOWN(B28/Parametros!$B$37,0)</f>
        <v>28</v>
      </c>
      <c r="D28" s="152">
        <f>ROUNDDOWN(C28/Parametros!$J$37,0)</f>
        <v>3</v>
      </c>
      <c r="E28" s="152">
        <f t="shared" ref="E28:E45" si="6">D28</f>
        <v>3</v>
      </c>
      <c r="F28" s="274">
        <f>Parametros!$M$39</f>
        <v>68</v>
      </c>
      <c r="G28" s="152">
        <v>1.0</v>
      </c>
      <c r="H28" s="152">
        <f t="shared" ref="H28:H45" si="7">F28*G28</f>
        <v>68</v>
      </c>
      <c r="I28" s="275">
        <f t="shared" ref="I28:I45" si="8">E28/H28</f>
        <v>0.04411764706</v>
      </c>
      <c r="J28" s="152" t="s">
        <v>158</v>
      </c>
    </row>
    <row r="29" ht="12.0" customHeight="1">
      <c r="A29" s="152" t="s">
        <v>163</v>
      </c>
      <c r="B29" s="159">
        <f>O6+O7+O8+O9</f>
        <v>568.5</v>
      </c>
      <c r="C29" s="152">
        <f>ROUNDDOWN(B29/Parametros!$B$37,0)</f>
        <v>28</v>
      </c>
      <c r="D29" s="152">
        <f>ROUNDDOWN(C29/Parametros!$J$37,0)</f>
        <v>3</v>
      </c>
      <c r="E29" s="152">
        <f t="shared" si="6"/>
        <v>3</v>
      </c>
      <c r="F29" s="274">
        <f>Parametros!$M$40</f>
        <v>40.88</v>
      </c>
      <c r="G29" s="152">
        <v>1.0</v>
      </c>
      <c r="H29" s="152">
        <f t="shared" si="7"/>
        <v>40.88</v>
      </c>
      <c r="I29" s="275">
        <f t="shared" si="8"/>
        <v>0.07338551859</v>
      </c>
      <c r="J29" s="152" t="s">
        <v>158</v>
      </c>
    </row>
    <row r="30" ht="12.0" customHeight="1">
      <c r="A30" s="152" t="s">
        <v>61</v>
      </c>
      <c r="B30" s="159">
        <f>O6+O7+O8+O9</f>
        <v>568.5</v>
      </c>
      <c r="C30" s="152">
        <f>ROUNDDOWN(B30/Parametros!$B$37,0)</f>
        <v>28</v>
      </c>
      <c r="D30" s="152">
        <f>ROUNDDOWN(C30/Parametros!$J$37,0)</f>
        <v>3</v>
      </c>
      <c r="E30" s="152">
        <f t="shared" si="6"/>
        <v>3</v>
      </c>
      <c r="F30" s="274">
        <f>Parametros!$M$41</f>
        <v>466.5116279</v>
      </c>
      <c r="G30" s="152">
        <v>1.0</v>
      </c>
      <c r="H30" s="152">
        <f t="shared" si="7"/>
        <v>466.5116279</v>
      </c>
      <c r="I30" s="275">
        <f t="shared" si="8"/>
        <v>0.006430707876</v>
      </c>
      <c r="J30" s="152" t="s">
        <v>158</v>
      </c>
    </row>
    <row r="31" ht="12.0" customHeight="1">
      <c r="A31" s="152" t="s">
        <v>62</v>
      </c>
      <c r="B31" s="159">
        <f>O7+O8+O9</f>
        <v>220.25</v>
      </c>
      <c r="C31" s="152">
        <f>ROUNDDOWN(B31/Parametros!$B$37,0)</f>
        <v>11</v>
      </c>
      <c r="D31" s="152">
        <f>ROUNDDOWN(C31/Parametros!$J$37,0)</f>
        <v>1</v>
      </c>
      <c r="E31" s="152">
        <f t="shared" si="6"/>
        <v>1</v>
      </c>
      <c r="F31" s="274">
        <f>Parametros!$M$42</f>
        <v>96</v>
      </c>
      <c r="G31" s="152">
        <v>1.0</v>
      </c>
      <c r="H31" s="152">
        <f t="shared" si="7"/>
        <v>96</v>
      </c>
      <c r="I31" s="275">
        <f t="shared" si="8"/>
        <v>0.01041666667</v>
      </c>
      <c r="J31" s="152" t="s">
        <v>182</v>
      </c>
    </row>
    <row r="32" ht="12.0" customHeight="1">
      <c r="A32" s="152" t="s">
        <v>63</v>
      </c>
      <c r="B32" s="159">
        <f>O7+O8+O9</f>
        <v>220.25</v>
      </c>
      <c r="C32" s="152">
        <f>ROUNDDOWN(B32/Parametros!$B$37,0)</f>
        <v>11</v>
      </c>
      <c r="D32" s="152">
        <f>ROUNDDOWN(C32/Parametros!$J$37,0)</f>
        <v>1</v>
      </c>
      <c r="E32" s="152">
        <f t="shared" si="6"/>
        <v>1</v>
      </c>
      <c r="F32" s="274">
        <f>Parametros!$M$43</f>
        <v>80.10122449</v>
      </c>
      <c r="G32" s="152">
        <v>1.0</v>
      </c>
      <c r="H32" s="152">
        <f t="shared" si="7"/>
        <v>80.10122449</v>
      </c>
      <c r="I32" s="275">
        <f t="shared" si="8"/>
        <v>0.01248420366</v>
      </c>
      <c r="J32" s="152" t="s">
        <v>182</v>
      </c>
    </row>
    <row r="33" ht="12.0" customHeight="1">
      <c r="A33" s="152" t="s">
        <v>64</v>
      </c>
      <c r="B33" s="159">
        <f>O7+O8+O9</f>
        <v>220.25</v>
      </c>
      <c r="C33" s="152">
        <f>ROUNDDOWN(B33/Parametros!$B$37,0)</f>
        <v>11</v>
      </c>
      <c r="D33" s="152">
        <f>ROUNDDOWN(C33/Parametros!$J$37,0)</f>
        <v>1</v>
      </c>
      <c r="E33" s="152">
        <f t="shared" si="6"/>
        <v>1</v>
      </c>
      <c r="F33" s="274">
        <f>Parametros!$M$44</f>
        <v>18.54222222</v>
      </c>
      <c r="G33" s="152">
        <v>1.0</v>
      </c>
      <c r="H33" s="152">
        <f t="shared" si="7"/>
        <v>18.54222222</v>
      </c>
      <c r="I33" s="275">
        <f t="shared" si="8"/>
        <v>0.05393096836</v>
      </c>
      <c r="J33" s="152" t="s">
        <v>182</v>
      </c>
    </row>
    <row r="34" ht="12.0" customHeight="1">
      <c r="A34" s="152" t="s">
        <v>66</v>
      </c>
      <c r="B34" s="159">
        <f>O6+O7+O8+O9</f>
        <v>568.5</v>
      </c>
      <c r="C34" s="152">
        <f>ROUNDDOWN(B34/Parametros!$B$37,0)</f>
        <v>28</v>
      </c>
      <c r="D34" s="152">
        <f>ROUNDDOWN(C34/Parametros!$J$37,0)</f>
        <v>3</v>
      </c>
      <c r="E34" s="152">
        <f t="shared" si="6"/>
        <v>3</v>
      </c>
      <c r="F34" s="274">
        <f>Parametros!$M$45</f>
        <v>60.656</v>
      </c>
      <c r="G34" s="152">
        <v>1.0</v>
      </c>
      <c r="H34" s="152">
        <f t="shared" si="7"/>
        <v>60.656</v>
      </c>
      <c r="I34" s="275">
        <f t="shared" si="8"/>
        <v>0.04945924558</v>
      </c>
      <c r="J34" s="152" t="s">
        <v>158</v>
      </c>
    </row>
    <row r="35" ht="12.0" customHeight="1">
      <c r="A35" s="152" t="s">
        <v>67</v>
      </c>
      <c r="B35" s="159">
        <f>O6+O7+O8+O9</f>
        <v>568.5</v>
      </c>
      <c r="C35" s="152">
        <f>ROUNDDOWN(B35/Parametros!$B$37,0)</f>
        <v>28</v>
      </c>
      <c r="D35" s="152">
        <f>ROUNDDOWN(C35/Parametros!$J$37,0)</f>
        <v>3</v>
      </c>
      <c r="E35" s="152">
        <f t="shared" si="6"/>
        <v>3</v>
      </c>
      <c r="F35" s="274">
        <f>Parametros!$M$46</f>
        <v>187.425</v>
      </c>
      <c r="G35" s="152">
        <v>1.0</v>
      </c>
      <c r="H35" s="152">
        <f t="shared" si="7"/>
        <v>187.425</v>
      </c>
      <c r="I35" s="275">
        <f t="shared" si="8"/>
        <v>0.01600640256</v>
      </c>
      <c r="J35" s="152" t="s">
        <v>158</v>
      </c>
    </row>
    <row r="36" ht="12.0" customHeight="1">
      <c r="A36" s="152" t="s">
        <v>68</v>
      </c>
      <c r="B36" s="159">
        <f>O6+O7+O8+O9</f>
        <v>568.5</v>
      </c>
      <c r="C36" s="152">
        <f>ROUNDDOWN(B36/Parametros!$B$37,0)</f>
        <v>28</v>
      </c>
      <c r="D36" s="152">
        <f>ROUNDDOWN(C36/Parametros!$J$37,0)</f>
        <v>3</v>
      </c>
      <c r="E36" s="152">
        <f t="shared" si="6"/>
        <v>3</v>
      </c>
      <c r="F36" s="274">
        <f>Parametros!$M$47</f>
        <v>15.96903226</v>
      </c>
      <c r="G36" s="152">
        <v>1.0</v>
      </c>
      <c r="H36" s="152">
        <f t="shared" si="7"/>
        <v>15.96903226</v>
      </c>
      <c r="I36" s="275">
        <f t="shared" si="8"/>
        <v>0.187863607</v>
      </c>
      <c r="J36" s="152" t="s">
        <v>158</v>
      </c>
    </row>
    <row r="37" ht="12.0" customHeight="1">
      <c r="A37" s="152" t="s">
        <v>70</v>
      </c>
      <c r="B37" s="159">
        <f>O6+O7+O8+O9</f>
        <v>568.5</v>
      </c>
      <c r="C37" s="152">
        <f>ROUNDDOWN(B37/Parametros!$B$37,0)</f>
        <v>28</v>
      </c>
      <c r="D37" s="152">
        <f>ROUNDDOWN(C37/Parametros!$J$37,0)</f>
        <v>3</v>
      </c>
      <c r="E37" s="152">
        <f t="shared" si="6"/>
        <v>3</v>
      </c>
      <c r="F37" s="274">
        <f>Parametros!$M$48</f>
        <v>22.46518519</v>
      </c>
      <c r="G37" s="152">
        <v>1.0</v>
      </c>
      <c r="H37" s="152">
        <f t="shared" si="7"/>
        <v>22.46518519</v>
      </c>
      <c r="I37" s="275">
        <f t="shared" si="8"/>
        <v>0.1335399631</v>
      </c>
      <c r="J37" s="152" t="s">
        <v>158</v>
      </c>
    </row>
    <row r="38" ht="12.0" customHeight="1">
      <c r="A38" s="152" t="s">
        <v>72</v>
      </c>
      <c r="B38" s="159">
        <f>O6+O7+O8+O9</f>
        <v>568.5</v>
      </c>
      <c r="C38" s="152">
        <f>ROUNDDOWN(B38/Parametros!$B$37,0)</f>
        <v>28</v>
      </c>
      <c r="D38" s="152">
        <f>ROUNDDOWN(C38/Parametros!$J$37,0)</f>
        <v>3</v>
      </c>
      <c r="E38" s="152">
        <f t="shared" si="6"/>
        <v>3</v>
      </c>
      <c r="F38" s="274">
        <f>Parametros!$M$49</f>
        <v>71.1627907</v>
      </c>
      <c r="G38" s="152">
        <v>1.0</v>
      </c>
      <c r="H38" s="152">
        <f t="shared" si="7"/>
        <v>71.1627907</v>
      </c>
      <c r="I38" s="275">
        <f t="shared" si="8"/>
        <v>0.04215686275</v>
      </c>
      <c r="J38" s="152" t="s">
        <v>158</v>
      </c>
    </row>
    <row r="39" ht="12.0" customHeight="1">
      <c r="A39" s="152" t="s">
        <v>76</v>
      </c>
      <c r="B39" s="159">
        <f>O6+O7+O8+O9</f>
        <v>568.5</v>
      </c>
      <c r="C39" s="152">
        <f>ROUNDDOWN(B39/Parametros!$B$37,0)</f>
        <v>28</v>
      </c>
      <c r="D39" s="152">
        <f>ROUNDDOWN(C39/Parametros!$J$37,0)</f>
        <v>3</v>
      </c>
      <c r="E39" s="152">
        <f t="shared" si="6"/>
        <v>3</v>
      </c>
      <c r="F39" s="274">
        <f>Parametros!$M$50</f>
        <v>192</v>
      </c>
      <c r="G39" s="152">
        <v>1.0</v>
      </c>
      <c r="H39" s="152">
        <f t="shared" si="7"/>
        <v>192</v>
      </c>
      <c r="I39" s="275">
        <f t="shared" si="8"/>
        <v>0.015625</v>
      </c>
      <c r="J39" s="152" t="s">
        <v>158</v>
      </c>
    </row>
    <row r="40" ht="12.0" customHeight="1">
      <c r="A40" s="152" t="s">
        <v>77</v>
      </c>
      <c r="B40" s="159">
        <f>O6+O7+O8+O9</f>
        <v>568.5</v>
      </c>
      <c r="C40" s="152">
        <f>ROUNDDOWN(B40/Parametros!$B$37,0)</f>
        <v>28</v>
      </c>
      <c r="D40" s="152">
        <f>ROUNDDOWN(C40/Parametros!$J$37,0)</f>
        <v>3</v>
      </c>
      <c r="E40" s="152">
        <f t="shared" si="6"/>
        <v>3</v>
      </c>
      <c r="F40" s="274">
        <f>Parametros!$M$51</f>
        <v>136.0227273</v>
      </c>
      <c r="G40" s="152">
        <v>1.0</v>
      </c>
      <c r="H40" s="152">
        <f t="shared" si="7"/>
        <v>136.0227273</v>
      </c>
      <c r="I40" s="275">
        <f t="shared" si="8"/>
        <v>0.02205513784</v>
      </c>
      <c r="J40" s="152" t="s">
        <v>158</v>
      </c>
    </row>
    <row r="41" ht="12.0" customHeight="1">
      <c r="A41" s="152" t="s">
        <v>79</v>
      </c>
      <c r="B41" s="159">
        <f>O6+O7+O8+O9</f>
        <v>568.5</v>
      </c>
      <c r="C41" s="152">
        <f>ROUNDDOWN(B41/Parametros!$B$37,0)</f>
        <v>28</v>
      </c>
      <c r="D41" s="152">
        <f>ROUNDDOWN(C41/Parametros!$J$37,0)</f>
        <v>3</v>
      </c>
      <c r="E41" s="152">
        <f t="shared" si="6"/>
        <v>3</v>
      </c>
      <c r="F41" s="274">
        <f>Parametros!$M$52</f>
        <v>60.34285714</v>
      </c>
      <c r="G41" s="152">
        <v>1.0</v>
      </c>
      <c r="H41" s="152">
        <f t="shared" si="7"/>
        <v>60.34285714</v>
      </c>
      <c r="I41" s="275">
        <f t="shared" si="8"/>
        <v>0.04971590909</v>
      </c>
      <c r="J41" s="152" t="s">
        <v>158</v>
      </c>
    </row>
    <row r="42" ht="12.0" customHeight="1">
      <c r="A42" s="152" t="s">
        <v>81</v>
      </c>
      <c r="B42" s="159">
        <f>O6+O7+O8+O9</f>
        <v>568.5</v>
      </c>
      <c r="C42" s="152">
        <f>ROUNDDOWN(B42/Parametros!$B$37,0)</f>
        <v>28</v>
      </c>
      <c r="D42" s="152">
        <f>ROUNDDOWN(C42/Parametros!$J$37,0)</f>
        <v>3</v>
      </c>
      <c r="E42" s="152">
        <f t="shared" si="6"/>
        <v>3</v>
      </c>
      <c r="F42" s="274">
        <f>Parametros!$M$53</f>
        <v>25.2</v>
      </c>
      <c r="G42" s="152">
        <v>1.0</v>
      </c>
      <c r="H42" s="152">
        <f t="shared" si="7"/>
        <v>25.2</v>
      </c>
      <c r="I42" s="275">
        <f t="shared" si="8"/>
        <v>0.119047619</v>
      </c>
      <c r="J42" s="152" t="s">
        <v>158</v>
      </c>
    </row>
    <row r="43" ht="12.0" customHeight="1">
      <c r="A43" s="152" t="s">
        <v>82</v>
      </c>
      <c r="B43" s="159">
        <f>O6+O7+O8+O9</f>
        <v>568.5</v>
      </c>
      <c r="C43" s="152">
        <f>ROUNDDOWN(B43/Parametros!$B$37,0)</f>
        <v>28</v>
      </c>
      <c r="D43" s="152">
        <f>ROUNDDOWN(C43/Parametros!$J$37,0)</f>
        <v>3</v>
      </c>
      <c r="E43" s="152">
        <f t="shared" si="6"/>
        <v>3</v>
      </c>
      <c r="F43" s="274">
        <f>Parametros!$M$54</f>
        <v>41.53846154</v>
      </c>
      <c r="G43" s="152">
        <v>1.0</v>
      </c>
      <c r="H43" s="152">
        <f t="shared" si="7"/>
        <v>41.53846154</v>
      </c>
      <c r="I43" s="275">
        <f t="shared" si="8"/>
        <v>0.07222222222</v>
      </c>
      <c r="J43" s="152" t="s">
        <v>158</v>
      </c>
    </row>
    <row r="44" ht="12.0" customHeight="1">
      <c r="A44" s="152" t="s">
        <v>83</v>
      </c>
      <c r="B44" s="159">
        <f>O6+O7+O8+O9</f>
        <v>568.5</v>
      </c>
      <c r="C44" s="152">
        <f>ROUNDDOWN(B44/Parametros!$B$37,0)</f>
        <v>28</v>
      </c>
      <c r="D44" s="152">
        <f>ROUNDDOWN(C44/Parametros!$J$37,0)</f>
        <v>3</v>
      </c>
      <c r="E44" s="152">
        <f t="shared" si="6"/>
        <v>3</v>
      </c>
      <c r="F44" s="274">
        <f>Parametros!$M$55</f>
        <v>45.81818182</v>
      </c>
      <c r="G44" s="152">
        <v>1.0</v>
      </c>
      <c r="H44" s="152">
        <f t="shared" si="7"/>
        <v>45.81818182</v>
      </c>
      <c r="I44" s="275">
        <f t="shared" si="8"/>
        <v>0.06547619048</v>
      </c>
      <c r="J44" s="152" t="s">
        <v>158</v>
      </c>
    </row>
    <row r="45" ht="12.0" customHeight="1">
      <c r="A45" s="152" t="s">
        <v>84</v>
      </c>
      <c r="B45" s="159">
        <f>O6+O7+O8+O9</f>
        <v>568.5</v>
      </c>
      <c r="C45" s="152">
        <f>ROUNDDOWN(B45/Parametros!$B$37,0)</f>
        <v>28</v>
      </c>
      <c r="D45" s="152">
        <f>ROUNDDOWN(C45/Parametros!$J$37,0)</f>
        <v>3</v>
      </c>
      <c r="E45" s="152">
        <f t="shared" si="6"/>
        <v>3</v>
      </c>
      <c r="F45" s="274">
        <f>Parametros!$M$56</f>
        <v>48.81355932</v>
      </c>
      <c r="G45" s="152">
        <v>1.0</v>
      </c>
      <c r="H45" s="152">
        <f t="shared" si="7"/>
        <v>48.81355932</v>
      </c>
      <c r="I45" s="275">
        <f t="shared" si="8"/>
        <v>0.06145833333</v>
      </c>
      <c r="J45" s="152" t="s">
        <v>158</v>
      </c>
    </row>
    <row r="46" ht="12.0" customHeight="1"/>
    <row r="47" ht="12.0" customHeight="1">
      <c r="A47" s="276" t="s">
        <v>1611</v>
      </c>
      <c r="B47" s="277">
        <f t="shared" ref="B47:M47" si="9">SUM(B10:B13)+SUM(B21:B24)</f>
        <v>11.56</v>
      </c>
      <c r="C47" s="277">
        <f t="shared" si="9"/>
        <v>10.2</v>
      </c>
      <c r="D47" s="277">
        <f t="shared" si="9"/>
        <v>12.24</v>
      </c>
      <c r="E47" s="277">
        <f t="shared" si="9"/>
        <v>12.24</v>
      </c>
      <c r="F47" s="277">
        <f t="shared" si="9"/>
        <v>12.24</v>
      </c>
      <c r="G47" s="277">
        <f t="shared" si="9"/>
        <v>10.88</v>
      </c>
      <c r="H47" s="278">
        <f t="shared" si="9"/>
        <v>12.24</v>
      </c>
      <c r="I47" s="277">
        <f t="shared" si="9"/>
        <v>12.24</v>
      </c>
      <c r="J47" s="278">
        <f t="shared" si="9"/>
        <v>11.56</v>
      </c>
      <c r="K47" s="278">
        <f t="shared" si="9"/>
        <v>10.2</v>
      </c>
      <c r="L47" s="278">
        <f t="shared" si="9"/>
        <v>9.52</v>
      </c>
      <c r="M47" s="278">
        <f t="shared" si="9"/>
        <v>10.88</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3.0"/>
    <col customWidth="1" min="2" max="6" width="12.63"/>
  </cols>
  <sheetData>
    <row r="1" ht="12.0" customHeight="1">
      <c r="A1" s="262" t="s">
        <v>1603</v>
      </c>
      <c r="B1" s="263"/>
      <c r="C1" s="263"/>
      <c r="D1" s="263"/>
      <c r="E1" s="263"/>
      <c r="F1" s="263"/>
      <c r="G1" s="263"/>
      <c r="H1" s="263"/>
      <c r="I1" s="263"/>
      <c r="J1" s="263"/>
      <c r="K1" s="263"/>
      <c r="L1" s="263"/>
      <c r="M1" s="263"/>
      <c r="N1" s="264"/>
    </row>
    <row r="2" ht="12.0" customHeight="1">
      <c r="A2" s="265" t="s">
        <v>1591</v>
      </c>
      <c r="B2" s="263"/>
      <c r="C2" s="263"/>
      <c r="D2" s="263"/>
      <c r="E2" s="263"/>
      <c r="F2" s="263"/>
      <c r="G2" s="263"/>
      <c r="H2" s="263"/>
      <c r="I2" s="263"/>
      <c r="J2" s="263"/>
      <c r="K2" s="263"/>
      <c r="L2" s="263"/>
      <c r="M2" s="263"/>
      <c r="N2" s="264"/>
    </row>
    <row r="3" ht="12.0" customHeight="1">
      <c r="A3" s="266" t="s">
        <v>1592</v>
      </c>
      <c r="B3" s="267">
        <v>2028.0</v>
      </c>
      <c r="C3" s="11"/>
      <c r="D3" s="11"/>
      <c r="E3" s="11"/>
      <c r="F3" s="11"/>
      <c r="G3" s="11"/>
      <c r="H3" s="11"/>
      <c r="I3" s="11"/>
      <c r="J3" s="11"/>
      <c r="K3" s="11"/>
      <c r="L3" s="11"/>
      <c r="M3" s="11"/>
      <c r="N3" s="11"/>
      <c r="O3" s="11"/>
    </row>
    <row r="4" ht="12.0" customHeight="1">
      <c r="A4" s="11"/>
      <c r="B4" s="11"/>
      <c r="C4" s="11"/>
      <c r="D4" s="11"/>
      <c r="E4" s="11"/>
      <c r="F4" s="11"/>
      <c r="G4" s="11"/>
      <c r="H4" s="11"/>
      <c r="I4" s="11"/>
      <c r="J4" s="11"/>
      <c r="K4" s="11"/>
      <c r="L4" s="11"/>
      <c r="M4" s="11"/>
      <c r="N4" s="11"/>
      <c r="O4" s="11"/>
    </row>
    <row r="5" ht="12.0" customHeight="1">
      <c r="A5" s="270"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152" t="s">
        <v>34</v>
      </c>
      <c r="B6" s="182">
        <f t="array" ref="B6">INDEX(datos_base!$B$3:$K$10,MATCH($A6,datos_base!$A$3:$A$10,0),MATCH($B$3,datos_base!$B$2:$K$2,0))*INDEX(Parametros!$B$11:$M$26,MATCH($A6,Parametros!$A$11:$A$26,0),MATCH(B$5,Parametros!$B$10:$M$10,0))</f>
        <v>822.24</v>
      </c>
      <c r="C6" s="182">
        <f t="array" ref="C6">INDEX(datos_base!$B$3:$K$10,MATCH($A6,datos_base!$A$3:$A$10,0),MATCH($B$3,datos_base!$B$2:$K$2,0))*INDEX(Parametros!$B$11:$M$26,MATCH($A6,Parametros!$A$11:$A$26,0),MATCH(C$5,Parametros!$B$10:$M$10,0))</f>
        <v>616.68</v>
      </c>
      <c r="D6" s="182">
        <f t="array" ref="D6">INDEX(datos_base!$B$3:$K$10,MATCH($A6,datos_base!$A$3:$A$10,0),MATCH($B$3,datos_base!$B$2:$K$2,0))*INDEX(Parametros!$B$11:$M$26,MATCH($A6,Parametros!$A$11:$A$26,0),MATCH(D$5,Parametros!$B$10:$M$10,0))</f>
        <v>548.16</v>
      </c>
      <c r="E6" s="182">
        <f t="array" ref="E6">INDEX(datos_base!$B$3:$K$10,MATCH($A6,datos_base!$A$3:$A$10,0),MATCH($B$3,datos_base!$B$2:$K$2,0))*INDEX(Parametros!$B$11:$M$26,MATCH($A6,Parametros!$A$11:$A$26,0),MATCH(E$5,Parametros!$B$10:$M$10,0))</f>
        <v>513.9</v>
      </c>
      <c r="F6" s="182">
        <f t="array" ref="F6">INDEX(datos_base!$B$3:$K$10,MATCH($A6,datos_base!$A$3:$A$10,0),MATCH($B$3,datos_base!$B$2:$K$2,0))*INDEX(Parametros!$B$11:$M$26,MATCH($A6,Parametros!$A$11:$A$26,0),MATCH(F$5,Parametros!$B$10:$M$10,0))</f>
        <v>479.64</v>
      </c>
      <c r="G6" s="182">
        <f t="array" ref="G6">INDEX(datos_base!$B$3:$K$10,MATCH($A6,datos_base!$A$3:$A$10,0),MATCH($B$3,datos_base!$B$2:$K$2,0))*INDEX(Parametros!$B$11:$M$26,MATCH($A6,Parametros!$A$11:$A$26,0),MATCH(G$5,Parametros!$B$10:$M$10,0))</f>
        <v>479.64</v>
      </c>
      <c r="H6" s="182">
        <f t="array" ref="H6">INDEX(datos_base!$B$3:$K$10,MATCH($A6,datos_base!$A$3:$A$10,0),MATCH($B$3,datos_base!$B$2:$K$2,0))*INDEX(Parametros!$B$11:$M$26,MATCH($A6,Parametros!$A$11:$A$26,0),MATCH(H$5,Parametros!$B$10:$M$10,0))</f>
        <v>513.9</v>
      </c>
      <c r="I6" s="182">
        <f t="array" ref="I6">INDEX(datos_base!$B$3:$K$10,MATCH($A6,datos_base!$A$3:$A$10,0),MATCH($B$3,datos_base!$B$2:$K$2,0))*INDEX(Parametros!$B$11:$M$26,MATCH($A6,Parametros!$A$11:$A$26,0),MATCH(I$5,Parametros!$B$10:$M$10,0))</f>
        <v>513.9</v>
      </c>
      <c r="J6" s="182">
        <f t="array" ref="J6">INDEX(datos_base!$B$3:$K$10,MATCH($A6,datos_base!$A$3:$A$10,0),MATCH($B$3,datos_base!$B$2:$K$2,0))*INDEX(Parametros!$B$11:$M$26,MATCH($A6,Parametros!$A$11:$A$26,0),MATCH(J$5,Parametros!$B$10:$M$10,0))</f>
        <v>513.9</v>
      </c>
      <c r="K6" s="182">
        <f t="array" ref="K6">INDEX(datos_base!$B$3:$K$10,MATCH($A6,datos_base!$A$3:$A$10,0),MATCH($B$3,datos_base!$B$2:$K$2,0))*INDEX(Parametros!$B$11:$M$26,MATCH($A6,Parametros!$A$11:$A$26,0),MATCH(K$5,Parametros!$B$10:$M$10,0))</f>
        <v>513.9</v>
      </c>
      <c r="L6" s="182">
        <f t="array" ref="L6">INDEX(datos_base!$B$3:$K$10,MATCH($A6,datos_base!$A$3:$A$10,0),MATCH($B$3,datos_base!$B$2:$K$2,0))*INDEX(Parametros!$B$11:$M$26,MATCH($A6,Parametros!$A$11:$A$26,0),MATCH(L$5,Parametros!$B$10:$M$10,0))</f>
        <v>513.9</v>
      </c>
      <c r="M6" s="182">
        <f t="array" ref="M6">INDEX(datos_base!$B$3:$K$10,MATCH($A6,datos_base!$A$3:$A$10,0),MATCH($B$3,datos_base!$B$2:$K$2,0))*INDEX(Parametros!$B$11:$M$26,MATCH($A6,Parametros!$A$11:$A$26,0),MATCH(M$5,Parametros!$B$10:$M$10,0))</f>
        <v>822.24</v>
      </c>
      <c r="N6" s="271">
        <f t="shared" ref="N6:N13" si="1">SUM(B6:M6)</f>
        <v>6852</v>
      </c>
      <c r="O6" s="271">
        <f t="shared" ref="O6:O14" si="2">AVERAGE(B6:M6)</f>
        <v>571</v>
      </c>
    </row>
    <row r="7" ht="12.0" customHeight="1">
      <c r="A7" s="152" t="s">
        <v>43</v>
      </c>
      <c r="B7" s="182">
        <f t="array" ref="B7">INDEX(datos_base!$B$3:$K$10,MATCH($A7,datos_base!$A$3:$A$10,0),MATCH($B$3,datos_base!$B$2:$K$2,0))*INDEX(Parametros!$B$11:$M$26,MATCH($A7,Parametros!$A$11:$A$26,0),MATCH(B$5,Parametros!$B$10:$M$10,0))</f>
        <v>98.7</v>
      </c>
      <c r="C7" s="182">
        <f t="array" ref="C7">INDEX(datos_base!$B$3:$K$10,MATCH($A7,datos_base!$A$3:$A$10,0),MATCH($B$3,datos_base!$B$2:$K$2,0))*INDEX(Parametros!$B$11:$M$26,MATCH($A7,Parametros!$A$11:$A$26,0),MATCH(C$5,Parametros!$B$10:$M$10,0))</f>
        <v>78.96</v>
      </c>
      <c r="D7" s="182">
        <f t="array" ref="D7">INDEX(datos_base!$B$3:$K$10,MATCH($A7,datos_base!$A$3:$A$10,0),MATCH($B$3,datos_base!$B$2:$K$2,0))*INDEX(Parametros!$B$11:$M$26,MATCH($A7,Parametros!$A$11:$A$26,0),MATCH(D$5,Parametros!$B$10:$M$10,0))</f>
        <v>83.895</v>
      </c>
      <c r="E7" s="182">
        <f t="array" ref="E7">INDEX(datos_base!$B$3:$K$10,MATCH($A7,datos_base!$A$3:$A$10,0),MATCH($B$3,datos_base!$B$2:$K$2,0))*INDEX(Parametros!$B$11:$M$26,MATCH($A7,Parametros!$A$11:$A$26,0),MATCH(E$5,Parametros!$B$10:$M$10,0))</f>
        <v>83.895</v>
      </c>
      <c r="F7" s="182">
        <f t="array" ref="F7">INDEX(datos_base!$B$3:$K$10,MATCH($A7,datos_base!$A$3:$A$10,0),MATCH($B$3,datos_base!$B$2:$K$2,0))*INDEX(Parametros!$B$11:$M$26,MATCH($A7,Parametros!$A$11:$A$26,0),MATCH(F$5,Parametros!$B$10:$M$10,0))</f>
        <v>78.96</v>
      </c>
      <c r="G7" s="182">
        <f t="array" ref="G7">INDEX(datos_base!$B$3:$K$10,MATCH($A7,datos_base!$A$3:$A$10,0),MATCH($B$3,datos_base!$B$2:$K$2,0))*INDEX(Parametros!$B$11:$M$26,MATCH($A7,Parametros!$A$11:$A$26,0),MATCH(G$5,Parametros!$B$10:$M$10,0))</f>
        <v>74.025</v>
      </c>
      <c r="H7" s="182">
        <f t="array" ref="H7">INDEX(datos_base!$B$3:$K$10,MATCH($A7,datos_base!$A$3:$A$10,0),MATCH($B$3,datos_base!$B$2:$K$2,0))*INDEX(Parametros!$B$11:$M$26,MATCH($A7,Parametros!$A$11:$A$26,0),MATCH(H$5,Parametros!$B$10:$M$10,0))</f>
        <v>78.96</v>
      </c>
      <c r="I7" s="182">
        <f t="array" ref="I7">INDEX(datos_base!$B$3:$K$10,MATCH($A7,datos_base!$A$3:$A$10,0),MATCH($B$3,datos_base!$B$2:$K$2,0))*INDEX(Parametros!$B$11:$M$26,MATCH($A7,Parametros!$A$11:$A$26,0),MATCH(I$5,Parametros!$B$10:$M$10,0))</f>
        <v>78.96</v>
      </c>
      <c r="J7" s="182">
        <f t="array" ref="J7">INDEX(datos_base!$B$3:$K$10,MATCH($A7,datos_base!$A$3:$A$10,0),MATCH($B$3,datos_base!$B$2:$K$2,0))*INDEX(Parametros!$B$11:$M$26,MATCH($A7,Parametros!$A$11:$A$26,0),MATCH(J$5,Parametros!$B$10:$M$10,0))</f>
        <v>78.96</v>
      </c>
      <c r="K7" s="182">
        <f t="array" ref="K7">INDEX(datos_base!$B$3:$K$10,MATCH($A7,datos_base!$A$3:$A$10,0),MATCH($B$3,datos_base!$B$2:$K$2,0))*INDEX(Parametros!$B$11:$M$26,MATCH($A7,Parametros!$A$11:$A$26,0),MATCH(K$5,Parametros!$B$10:$M$10,0))</f>
        <v>74.025</v>
      </c>
      <c r="L7" s="182">
        <f t="array" ref="L7">INDEX(datos_base!$B$3:$K$10,MATCH($A7,datos_base!$A$3:$A$10,0),MATCH($B$3,datos_base!$B$2:$K$2,0))*INDEX(Parametros!$B$11:$M$26,MATCH($A7,Parametros!$A$11:$A$26,0),MATCH(L$5,Parametros!$B$10:$M$10,0))</f>
        <v>69.09</v>
      </c>
      <c r="M7" s="182">
        <f t="array" ref="M7">INDEX(datos_base!$B$3:$K$10,MATCH($A7,datos_base!$A$3:$A$10,0),MATCH($B$3,datos_base!$B$2:$K$2,0))*INDEX(Parametros!$B$11:$M$26,MATCH($A7,Parametros!$A$11:$A$26,0),MATCH(M$5,Parametros!$B$10:$M$10,0))</f>
        <v>108.57</v>
      </c>
      <c r="N7" s="271">
        <f t="shared" si="1"/>
        <v>987</v>
      </c>
      <c r="O7" s="271">
        <f t="shared" si="2"/>
        <v>82.25</v>
      </c>
    </row>
    <row r="8" ht="12.0" customHeight="1">
      <c r="A8" s="152" t="s">
        <v>53</v>
      </c>
      <c r="B8" s="182">
        <f t="array" ref="B8">INDEX(datos_base!$B$3:$K$10,MATCH($A8,datos_base!$A$3:$A$10,0),MATCH($B$3,datos_base!$B$2:$K$2,0))*INDEX(Parametros!$B$11:$M$26,MATCH($A8,Parametros!$A$11:$A$26,0),MATCH(B$5,Parametros!$B$10:$M$10,0))</f>
        <v>509.4</v>
      </c>
      <c r="C8" s="182">
        <f t="array" ref="C8">INDEX(datos_base!$B$3:$K$10,MATCH($A8,datos_base!$A$3:$A$10,0),MATCH($B$3,datos_base!$B$2:$K$2,0))*INDEX(Parametros!$B$11:$M$26,MATCH($A8,Parametros!$A$11:$A$26,0),MATCH(C$5,Parametros!$B$10:$M$10,0))</f>
        <v>407.52</v>
      </c>
      <c r="D8" s="182">
        <f t="array" ref="D8">INDEX(datos_base!$B$3:$K$10,MATCH($A8,datos_base!$A$3:$A$10,0),MATCH($B$3,datos_base!$B$2:$K$2,0))*INDEX(Parametros!$B$11:$M$26,MATCH($A8,Parametros!$A$11:$A$26,0),MATCH(D$5,Parametros!$B$10:$M$10,0))</f>
        <v>432.99</v>
      </c>
      <c r="E8" s="182">
        <f t="array" ref="E8">INDEX(datos_base!$B$3:$K$10,MATCH($A8,datos_base!$A$3:$A$10,0),MATCH($B$3,datos_base!$B$2:$K$2,0))*INDEX(Parametros!$B$11:$M$26,MATCH($A8,Parametros!$A$11:$A$26,0),MATCH(E$5,Parametros!$B$10:$M$10,0))</f>
        <v>432.99</v>
      </c>
      <c r="F8" s="182">
        <f t="array" ref="F8">INDEX(datos_base!$B$3:$K$10,MATCH($A8,datos_base!$A$3:$A$10,0),MATCH($B$3,datos_base!$B$2:$K$2,0))*INDEX(Parametros!$B$11:$M$26,MATCH($A8,Parametros!$A$11:$A$26,0),MATCH(F$5,Parametros!$B$10:$M$10,0))</f>
        <v>407.52</v>
      </c>
      <c r="G8" s="182">
        <f t="array" ref="G8">INDEX(datos_base!$B$3:$K$10,MATCH($A8,datos_base!$A$3:$A$10,0),MATCH($B$3,datos_base!$B$2:$K$2,0))*INDEX(Parametros!$B$11:$M$26,MATCH($A8,Parametros!$A$11:$A$26,0),MATCH(G$5,Parametros!$B$10:$M$10,0))</f>
        <v>382.05</v>
      </c>
      <c r="H8" s="182">
        <f t="array" ref="H8">INDEX(datos_base!$B$3:$K$10,MATCH($A8,datos_base!$A$3:$A$10,0),MATCH($B$3,datos_base!$B$2:$K$2,0))*INDEX(Parametros!$B$11:$M$26,MATCH($A8,Parametros!$A$11:$A$26,0),MATCH(H$5,Parametros!$B$10:$M$10,0))</f>
        <v>407.52</v>
      </c>
      <c r="I8" s="182">
        <f t="array" ref="I8">INDEX(datos_base!$B$3:$K$10,MATCH($A8,datos_base!$A$3:$A$10,0),MATCH($B$3,datos_base!$B$2:$K$2,0))*INDEX(Parametros!$B$11:$M$26,MATCH($A8,Parametros!$A$11:$A$26,0),MATCH(I$5,Parametros!$B$10:$M$10,0))</f>
        <v>407.52</v>
      </c>
      <c r="J8" s="182">
        <f t="array" ref="J8">INDEX(datos_base!$B$3:$K$10,MATCH($A8,datos_base!$A$3:$A$10,0),MATCH($B$3,datos_base!$B$2:$K$2,0))*INDEX(Parametros!$B$11:$M$26,MATCH($A8,Parametros!$A$11:$A$26,0),MATCH(J$5,Parametros!$B$10:$M$10,0))</f>
        <v>407.52</v>
      </c>
      <c r="K8" s="182">
        <f t="array" ref="K8">INDEX(datos_base!$B$3:$K$10,MATCH($A8,datos_base!$A$3:$A$10,0),MATCH($B$3,datos_base!$B$2:$K$2,0))*INDEX(Parametros!$B$11:$M$26,MATCH($A8,Parametros!$A$11:$A$26,0),MATCH(K$5,Parametros!$B$10:$M$10,0))</f>
        <v>382.05</v>
      </c>
      <c r="L8" s="182">
        <f t="array" ref="L8">INDEX(datos_base!$B$3:$K$10,MATCH($A8,datos_base!$A$3:$A$10,0),MATCH($B$3,datos_base!$B$2:$K$2,0))*INDEX(Parametros!$B$11:$M$26,MATCH($A8,Parametros!$A$11:$A$26,0),MATCH(L$5,Parametros!$B$10:$M$10,0))</f>
        <v>356.58</v>
      </c>
      <c r="M8" s="182">
        <f t="array" ref="M8">INDEX(datos_base!$B$3:$K$10,MATCH($A8,datos_base!$A$3:$A$10,0),MATCH($B$3,datos_base!$B$2:$K$2,0))*INDEX(Parametros!$B$11:$M$26,MATCH($A8,Parametros!$A$11:$A$26,0),MATCH(M$5,Parametros!$B$10:$M$10,0))</f>
        <v>560.34</v>
      </c>
      <c r="N8" s="271">
        <f t="shared" si="1"/>
        <v>5094</v>
      </c>
      <c r="O8" s="271">
        <f t="shared" si="2"/>
        <v>424.5</v>
      </c>
    </row>
    <row r="9" ht="12.0" customHeight="1">
      <c r="A9" s="152" t="s">
        <v>59</v>
      </c>
      <c r="B9" s="182">
        <f t="array" ref="B9">INDEX(datos_base!$B$3:$K$10,MATCH($A9,datos_base!$A$3:$A$10,0),MATCH($B$3,datos_base!$B$2:$K$2,0))*INDEX(Parametros!$B$11:$M$26,MATCH($A9,Parametros!$A$11:$A$26,0),MATCH(B$5,Parametros!$B$10:$M$10,0))</f>
        <v>25.3</v>
      </c>
      <c r="C9" s="182">
        <f t="array" ref="C9">INDEX(datos_base!$B$3:$K$10,MATCH($A9,datos_base!$A$3:$A$10,0),MATCH($B$3,datos_base!$B$2:$K$2,0))*INDEX(Parametros!$B$11:$M$26,MATCH($A9,Parametros!$A$11:$A$26,0),MATCH(C$5,Parametros!$B$10:$M$10,0))</f>
        <v>20.24</v>
      </c>
      <c r="D9" s="182">
        <f t="array" ref="D9">INDEX(datos_base!$B$3:$K$10,MATCH($A9,datos_base!$A$3:$A$10,0),MATCH($B$3,datos_base!$B$2:$K$2,0))*INDEX(Parametros!$B$11:$M$26,MATCH($A9,Parametros!$A$11:$A$26,0),MATCH(D$5,Parametros!$B$10:$M$10,0))</f>
        <v>21.505</v>
      </c>
      <c r="E9" s="182">
        <f t="array" ref="E9">INDEX(datos_base!$B$3:$K$10,MATCH($A9,datos_base!$A$3:$A$10,0),MATCH($B$3,datos_base!$B$2:$K$2,0))*INDEX(Parametros!$B$11:$M$26,MATCH($A9,Parametros!$A$11:$A$26,0),MATCH(E$5,Parametros!$B$10:$M$10,0))</f>
        <v>21.505</v>
      </c>
      <c r="F9" s="182">
        <f t="array" ref="F9">INDEX(datos_base!$B$3:$K$10,MATCH($A9,datos_base!$A$3:$A$10,0),MATCH($B$3,datos_base!$B$2:$K$2,0))*INDEX(Parametros!$B$11:$M$26,MATCH($A9,Parametros!$A$11:$A$26,0),MATCH(F$5,Parametros!$B$10:$M$10,0))</f>
        <v>20.24</v>
      </c>
      <c r="G9" s="182">
        <f t="array" ref="G9">INDEX(datos_base!$B$3:$K$10,MATCH($A9,datos_base!$A$3:$A$10,0),MATCH($B$3,datos_base!$B$2:$K$2,0))*INDEX(Parametros!$B$11:$M$26,MATCH($A9,Parametros!$A$11:$A$26,0),MATCH(G$5,Parametros!$B$10:$M$10,0))</f>
        <v>18.975</v>
      </c>
      <c r="H9" s="182">
        <f t="array" ref="H9">INDEX(datos_base!$B$3:$K$10,MATCH($A9,datos_base!$A$3:$A$10,0),MATCH($B$3,datos_base!$B$2:$K$2,0))*INDEX(Parametros!$B$11:$M$26,MATCH($A9,Parametros!$A$11:$A$26,0),MATCH(H$5,Parametros!$B$10:$M$10,0))</f>
        <v>20.24</v>
      </c>
      <c r="I9" s="182">
        <f t="array" ref="I9">INDEX(datos_base!$B$3:$K$10,MATCH($A9,datos_base!$A$3:$A$10,0),MATCH($B$3,datos_base!$B$2:$K$2,0))*INDEX(Parametros!$B$11:$M$26,MATCH($A9,Parametros!$A$11:$A$26,0),MATCH(I$5,Parametros!$B$10:$M$10,0))</f>
        <v>20.24</v>
      </c>
      <c r="J9" s="182">
        <f t="array" ref="J9">INDEX(datos_base!$B$3:$K$10,MATCH($A9,datos_base!$A$3:$A$10,0),MATCH($B$3,datos_base!$B$2:$K$2,0))*INDEX(Parametros!$B$11:$M$26,MATCH($A9,Parametros!$A$11:$A$26,0),MATCH(J$5,Parametros!$B$10:$M$10,0))</f>
        <v>20.24</v>
      </c>
      <c r="K9" s="182">
        <f t="array" ref="K9">INDEX(datos_base!$B$3:$K$10,MATCH($A9,datos_base!$A$3:$A$10,0),MATCH($B$3,datos_base!$B$2:$K$2,0))*INDEX(Parametros!$B$11:$M$26,MATCH($A9,Parametros!$A$11:$A$26,0),MATCH(K$5,Parametros!$B$10:$M$10,0))</f>
        <v>18.975</v>
      </c>
      <c r="L9" s="182">
        <f t="array" ref="L9">INDEX(datos_base!$B$3:$K$10,MATCH($A9,datos_base!$A$3:$A$10,0),MATCH($B$3,datos_base!$B$2:$K$2,0))*INDEX(Parametros!$B$11:$M$26,MATCH($A9,Parametros!$A$11:$A$26,0),MATCH(L$5,Parametros!$B$10:$M$10,0))</f>
        <v>17.71</v>
      </c>
      <c r="M9" s="182">
        <f t="array" ref="M9">INDEX(datos_base!$B$3:$K$10,MATCH($A9,datos_base!$A$3:$A$10,0),MATCH($B$3,datos_base!$B$2:$K$2,0))*INDEX(Parametros!$B$11:$M$26,MATCH($A9,Parametros!$A$11:$A$26,0),MATCH(M$5,Parametros!$B$10:$M$10,0))</f>
        <v>27.83</v>
      </c>
      <c r="N9" s="271">
        <f t="shared" si="1"/>
        <v>253</v>
      </c>
      <c r="O9" s="271">
        <f t="shared" si="2"/>
        <v>21.08333333</v>
      </c>
    </row>
    <row r="10" ht="12.0" customHeight="1">
      <c r="A10" s="152" t="s">
        <v>75</v>
      </c>
      <c r="B10" s="182">
        <f t="array" ref="B10">INDEX(datos_base!$B$3:$K$10,MATCH($A10,datos_base!$A$3:$A$10,0),MATCH($B$3,datos_base!$B$2:$K$2,0))*INDEX(Parametros!$B$11:$M$26,MATCH($A10,Parametros!$A$11:$A$26,0),MATCH(B$5,Parametros!$B$10:$M$10,0))</f>
        <v>6.46</v>
      </c>
      <c r="C10" s="182">
        <f t="array" ref="C10">INDEX(datos_base!$B$3:$K$10,MATCH($A10,datos_base!$A$3:$A$10,0),MATCH($B$3,datos_base!$B$2:$K$2,0))*INDEX(Parametros!$B$11:$M$26,MATCH($A10,Parametros!$A$11:$A$26,0),MATCH(C$5,Parametros!$B$10:$M$10,0))</f>
        <v>5.7</v>
      </c>
      <c r="D10" s="182">
        <f t="array" ref="D10">INDEX(datos_base!$B$3:$K$10,MATCH($A10,datos_base!$A$3:$A$10,0),MATCH($B$3,datos_base!$B$2:$K$2,0))*INDEX(Parametros!$B$11:$M$26,MATCH($A10,Parametros!$A$11:$A$26,0),MATCH(D$5,Parametros!$B$10:$M$10,0))</f>
        <v>6.84</v>
      </c>
      <c r="E10" s="182">
        <f t="array" ref="E10">INDEX(datos_base!$B$3:$K$10,MATCH($A10,datos_base!$A$3:$A$10,0),MATCH($B$3,datos_base!$B$2:$K$2,0))*INDEX(Parametros!$B$11:$M$26,MATCH($A10,Parametros!$A$11:$A$26,0),MATCH(E$5,Parametros!$B$10:$M$10,0))</f>
        <v>6.84</v>
      </c>
      <c r="F10" s="182">
        <f t="array" ref="F10">INDEX(datos_base!$B$3:$K$10,MATCH($A10,datos_base!$A$3:$A$10,0),MATCH($B$3,datos_base!$B$2:$K$2,0))*INDEX(Parametros!$B$11:$M$26,MATCH($A10,Parametros!$A$11:$A$26,0),MATCH(F$5,Parametros!$B$10:$M$10,0))</f>
        <v>6.84</v>
      </c>
      <c r="G10" s="182">
        <f t="array" ref="G10">INDEX(datos_base!$B$3:$K$10,MATCH($A10,datos_base!$A$3:$A$10,0),MATCH($B$3,datos_base!$B$2:$K$2,0))*INDEX(Parametros!$B$11:$M$26,MATCH($A10,Parametros!$A$11:$A$26,0),MATCH(G$5,Parametros!$B$10:$M$10,0))</f>
        <v>6.08</v>
      </c>
      <c r="H10" s="182">
        <f t="array" ref="H10">INDEX(datos_base!$B$3:$K$10,MATCH($A10,datos_base!$A$3:$A$10,0),MATCH($B$3,datos_base!$B$2:$K$2,0))*INDEX(Parametros!$B$11:$M$26,MATCH($A10,Parametros!$A$11:$A$26,0),MATCH(H$5,Parametros!$B$10:$M$10,0))</f>
        <v>6.84</v>
      </c>
      <c r="I10" s="182">
        <f t="array" ref="I10">INDEX(datos_base!$B$3:$K$10,MATCH($A10,datos_base!$A$3:$A$10,0),MATCH($B$3,datos_base!$B$2:$K$2,0))*INDEX(Parametros!$B$11:$M$26,MATCH($A10,Parametros!$A$11:$A$26,0),MATCH(I$5,Parametros!$B$10:$M$10,0))</f>
        <v>6.84</v>
      </c>
      <c r="J10" s="182">
        <f t="array" ref="J10">INDEX(datos_base!$B$3:$K$10,MATCH($A10,datos_base!$A$3:$A$10,0),MATCH($B$3,datos_base!$B$2:$K$2,0))*INDEX(Parametros!$B$11:$M$26,MATCH($A10,Parametros!$A$11:$A$26,0),MATCH(J$5,Parametros!$B$10:$M$10,0))</f>
        <v>6.46</v>
      </c>
      <c r="K10" s="182">
        <f t="array" ref="K10">INDEX(datos_base!$B$3:$K$10,MATCH($A10,datos_base!$A$3:$A$10,0),MATCH($B$3,datos_base!$B$2:$K$2,0))*INDEX(Parametros!$B$11:$M$26,MATCH($A10,Parametros!$A$11:$A$26,0),MATCH(K$5,Parametros!$B$10:$M$10,0))</f>
        <v>5.7</v>
      </c>
      <c r="L10" s="182">
        <f t="array" ref="L10">INDEX(datos_base!$B$3:$K$10,MATCH($A10,datos_base!$A$3:$A$10,0),MATCH($B$3,datos_base!$B$2:$K$2,0))*INDEX(Parametros!$B$11:$M$26,MATCH($A10,Parametros!$A$11:$A$26,0),MATCH(L$5,Parametros!$B$10:$M$10,0))</f>
        <v>5.32</v>
      </c>
      <c r="M10" s="182">
        <f t="array" ref="M10">INDEX(datos_base!$B$3:$K$10,MATCH($A10,datos_base!$A$3:$A$10,0),MATCH($B$3,datos_base!$B$2:$K$2,0))*INDEX(Parametros!$B$11:$M$26,MATCH($A10,Parametros!$A$11:$A$26,0),MATCH(M$5,Parametros!$B$10:$M$10,0))</f>
        <v>6.08</v>
      </c>
      <c r="N10" s="271">
        <f t="shared" si="1"/>
        <v>76</v>
      </c>
      <c r="O10" s="271">
        <f t="shared" si="2"/>
        <v>6.333333333</v>
      </c>
    </row>
    <row r="11" ht="12.0" customHeight="1">
      <c r="A11" s="152" t="s">
        <v>86</v>
      </c>
      <c r="B11" s="182">
        <f t="array" ref="B11">INDEX(datos_base!$B$3:$K$10,MATCH($A11,datos_base!$A$3:$A$10,0),MATCH($B$3,datos_base!$B$2:$K$2,0))*INDEX(Parametros!$B$11:$M$26,MATCH($A11,Parametros!$A$11:$A$26,0),MATCH(B$5,Parametros!$B$10:$M$10,0))</f>
        <v>14.11</v>
      </c>
      <c r="C11" s="182">
        <f t="array" ref="C11">INDEX(datos_base!$B$3:$K$10,MATCH($A11,datos_base!$A$3:$A$10,0),MATCH($B$3,datos_base!$B$2:$K$2,0))*INDEX(Parametros!$B$11:$M$26,MATCH($A11,Parametros!$A$11:$A$26,0),MATCH(C$5,Parametros!$B$10:$M$10,0))</f>
        <v>12.45</v>
      </c>
      <c r="D11" s="182">
        <f t="array" ref="D11">INDEX(datos_base!$B$3:$K$10,MATCH($A11,datos_base!$A$3:$A$10,0),MATCH($B$3,datos_base!$B$2:$K$2,0))*INDEX(Parametros!$B$11:$M$26,MATCH($A11,Parametros!$A$11:$A$26,0),MATCH(D$5,Parametros!$B$10:$M$10,0))</f>
        <v>14.94</v>
      </c>
      <c r="E11" s="182">
        <f t="array" ref="E11">INDEX(datos_base!$B$3:$K$10,MATCH($A11,datos_base!$A$3:$A$10,0),MATCH($B$3,datos_base!$B$2:$K$2,0))*INDEX(Parametros!$B$11:$M$26,MATCH($A11,Parametros!$A$11:$A$26,0),MATCH(E$5,Parametros!$B$10:$M$10,0))</f>
        <v>14.94</v>
      </c>
      <c r="F11" s="182">
        <f t="array" ref="F11">INDEX(datos_base!$B$3:$K$10,MATCH($A11,datos_base!$A$3:$A$10,0),MATCH($B$3,datos_base!$B$2:$K$2,0))*INDEX(Parametros!$B$11:$M$26,MATCH($A11,Parametros!$A$11:$A$26,0),MATCH(F$5,Parametros!$B$10:$M$10,0))</f>
        <v>14.94</v>
      </c>
      <c r="G11" s="182">
        <f t="array" ref="G11">INDEX(datos_base!$B$3:$K$10,MATCH($A11,datos_base!$A$3:$A$10,0),MATCH($B$3,datos_base!$B$2:$K$2,0))*INDEX(Parametros!$B$11:$M$26,MATCH($A11,Parametros!$A$11:$A$26,0),MATCH(G$5,Parametros!$B$10:$M$10,0))</f>
        <v>13.28</v>
      </c>
      <c r="H11" s="182">
        <f t="array" ref="H11">INDEX(datos_base!$B$3:$K$10,MATCH($A11,datos_base!$A$3:$A$10,0),MATCH($B$3,datos_base!$B$2:$K$2,0))*INDEX(Parametros!$B$11:$M$26,MATCH($A11,Parametros!$A$11:$A$26,0),MATCH(H$5,Parametros!$B$10:$M$10,0))</f>
        <v>14.94</v>
      </c>
      <c r="I11" s="182">
        <f t="array" ref="I11">INDEX(datos_base!$B$3:$K$10,MATCH($A11,datos_base!$A$3:$A$10,0),MATCH($B$3,datos_base!$B$2:$K$2,0))*INDEX(Parametros!$B$11:$M$26,MATCH($A11,Parametros!$A$11:$A$26,0),MATCH(I$5,Parametros!$B$10:$M$10,0))</f>
        <v>14.94</v>
      </c>
      <c r="J11" s="182">
        <f t="array" ref="J11">INDEX(datos_base!$B$3:$K$10,MATCH($A11,datos_base!$A$3:$A$10,0),MATCH($B$3,datos_base!$B$2:$K$2,0))*INDEX(Parametros!$B$11:$M$26,MATCH($A11,Parametros!$A$11:$A$26,0),MATCH(J$5,Parametros!$B$10:$M$10,0))</f>
        <v>14.11</v>
      </c>
      <c r="K11" s="182">
        <f t="array" ref="K11">INDEX(datos_base!$B$3:$K$10,MATCH($A11,datos_base!$A$3:$A$10,0),MATCH($B$3,datos_base!$B$2:$K$2,0))*INDEX(Parametros!$B$11:$M$26,MATCH($A11,Parametros!$A$11:$A$26,0),MATCH(K$5,Parametros!$B$10:$M$10,0))</f>
        <v>12.45</v>
      </c>
      <c r="L11" s="182">
        <f t="array" ref="L11">INDEX(datos_base!$B$3:$K$10,MATCH($A11,datos_base!$A$3:$A$10,0),MATCH($B$3,datos_base!$B$2:$K$2,0))*INDEX(Parametros!$B$11:$M$26,MATCH($A11,Parametros!$A$11:$A$26,0),MATCH(L$5,Parametros!$B$10:$M$10,0))</f>
        <v>11.62</v>
      </c>
      <c r="M11" s="182">
        <f t="array" ref="M11">INDEX(datos_base!$B$3:$K$10,MATCH($A11,datos_base!$A$3:$A$10,0),MATCH($B$3,datos_base!$B$2:$K$2,0))*INDEX(Parametros!$B$11:$M$26,MATCH($A11,Parametros!$A$11:$A$26,0),MATCH(M$5,Parametros!$B$10:$M$10,0))</f>
        <v>13.28</v>
      </c>
      <c r="N11" s="271">
        <f t="shared" si="1"/>
        <v>166</v>
      </c>
      <c r="O11" s="271">
        <f t="shared" si="2"/>
        <v>13.83333333</v>
      </c>
    </row>
    <row r="12" ht="12.0" customHeight="1">
      <c r="A12" s="152" t="s">
        <v>95</v>
      </c>
      <c r="B12" s="182">
        <f t="array" ref="B12">INDEX(datos_base!$B$3:$K$10,MATCH($A12,datos_base!$A$3:$A$10,0),MATCH($B$3,datos_base!$B$2:$K$2,0))*INDEX(Parametros!$B$11:$M$26,MATCH($A12,Parametros!$A$11:$A$26,0),MATCH(B$5,Parametros!$B$10:$M$10,0))</f>
        <v>3.06</v>
      </c>
      <c r="C12" s="182">
        <f t="array" ref="C12">INDEX(datos_base!$B$3:$K$10,MATCH($A12,datos_base!$A$3:$A$10,0),MATCH($B$3,datos_base!$B$2:$K$2,0))*INDEX(Parametros!$B$11:$M$26,MATCH($A12,Parametros!$A$11:$A$26,0),MATCH(C$5,Parametros!$B$10:$M$10,0))</f>
        <v>2.7</v>
      </c>
      <c r="D12" s="182">
        <f t="array" ref="D12">INDEX(datos_base!$B$3:$K$10,MATCH($A12,datos_base!$A$3:$A$10,0),MATCH($B$3,datos_base!$B$2:$K$2,0))*INDEX(Parametros!$B$11:$M$26,MATCH($A12,Parametros!$A$11:$A$26,0),MATCH(D$5,Parametros!$B$10:$M$10,0))</f>
        <v>3.24</v>
      </c>
      <c r="E12" s="182">
        <f t="array" ref="E12">INDEX(datos_base!$B$3:$K$10,MATCH($A12,datos_base!$A$3:$A$10,0),MATCH($B$3,datos_base!$B$2:$K$2,0))*INDEX(Parametros!$B$11:$M$26,MATCH($A12,Parametros!$A$11:$A$26,0),MATCH(E$5,Parametros!$B$10:$M$10,0))</f>
        <v>3.24</v>
      </c>
      <c r="F12" s="182">
        <f t="array" ref="F12">INDEX(datos_base!$B$3:$K$10,MATCH($A12,datos_base!$A$3:$A$10,0),MATCH($B$3,datos_base!$B$2:$K$2,0))*INDEX(Parametros!$B$11:$M$26,MATCH($A12,Parametros!$A$11:$A$26,0),MATCH(F$5,Parametros!$B$10:$M$10,0))</f>
        <v>3.24</v>
      </c>
      <c r="G12" s="182">
        <f t="array" ref="G12">INDEX(datos_base!$B$3:$K$10,MATCH($A12,datos_base!$A$3:$A$10,0),MATCH($B$3,datos_base!$B$2:$K$2,0))*INDEX(Parametros!$B$11:$M$26,MATCH($A12,Parametros!$A$11:$A$26,0),MATCH(G$5,Parametros!$B$10:$M$10,0))</f>
        <v>2.88</v>
      </c>
      <c r="H12" s="182">
        <f t="array" ref="H12">INDEX(datos_base!$B$3:$K$10,MATCH($A12,datos_base!$A$3:$A$10,0),MATCH($B$3,datos_base!$B$2:$K$2,0))*INDEX(Parametros!$B$11:$M$26,MATCH($A12,Parametros!$A$11:$A$26,0),MATCH(H$5,Parametros!$B$10:$M$10,0))</f>
        <v>3.24</v>
      </c>
      <c r="I12" s="182">
        <f t="array" ref="I12">INDEX(datos_base!$B$3:$K$10,MATCH($A12,datos_base!$A$3:$A$10,0),MATCH($B$3,datos_base!$B$2:$K$2,0))*INDEX(Parametros!$B$11:$M$26,MATCH($A12,Parametros!$A$11:$A$26,0),MATCH(I$5,Parametros!$B$10:$M$10,0))</f>
        <v>3.24</v>
      </c>
      <c r="J12" s="182">
        <f t="array" ref="J12">INDEX(datos_base!$B$3:$K$10,MATCH($A12,datos_base!$A$3:$A$10,0),MATCH($B$3,datos_base!$B$2:$K$2,0))*INDEX(Parametros!$B$11:$M$26,MATCH($A12,Parametros!$A$11:$A$26,0),MATCH(J$5,Parametros!$B$10:$M$10,0))</f>
        <v>3.06</v>
      </c>
      <c r="K12" s="182">
        <f t="array" ref="K12">INDEX(datos_base!$B$3:$K$10,MATCH($A12,datos_base!$A$3:$A$10,0),MATCH($B$3,datos_base!$B$2:$K$2,0))*INDEX(Parametros!$B$11:$M$26,MATCH($A12,Parametros!$A$11:$A$26,0),MATCH(K$5,Parametros!$B$10:$M$10,0))</f>
        <v>2.7</v>
      </c>
      <c r="L12" s="182">
        <f t="array" ref="L12">INDEX(datos_base!$B$3:$K$10,MATCH($A12,datos_base!$A$3:$A$10,0),MATCH($B$3,datos_base!$B$2:$K$2,0))*INDEX(Parametros!$B$11:$M$26,MATCH($A12,Parametros!$A$11:$A$26,0),MATCH(L$5,Parametros!$B$10:$M$10,0))</f>
        <v>2.52</v>
      </c>
      <c r="M12" s="182">
        <f t="array" ref="M12">INDEX(datos_base!$B$3:$K$10,MATCH($A12,datos_base!$A$3:$A$10,0),MATCH($B$3,datos_base!$B$2:$K$2,0))*INDEX(Parametros!$B$11:$M$26,MATCH($A12,Parametros!$A$11:$A$26,0),MATCH(M$5,Parametros!$B$10:$M$10,0))</f>
        <v>2.88</v>
      </c>
      <c r="N12" s="271">
        <f t="shared" si="1"/>
        <v>36</v>
      </c>
      <c r="O12" s="271">
        <f t="shared" si="2"/>
        <v>3</v>
      </c>
    </row>
    <row r="13" ht="12.0" customHeight="1">
      <c r="A13" s="152" t="s">
        <v>100</v>
      </c>
      <c r="B13" s="182">
        <f t="array" ref="B13">INDEX(datos_base!$B$3:$K$10,MATCH($A13,datos_base!$A$3:$A$10,0),MATCH($B$3,datos_base!$B$2:$K$2,0))*INDEX(Parametros!$B$11:$M$26,MATCH($A13,Parametros!$A$11:$A$26,0),MATCH(B$5,Parametros!$B$10:$M$10,0))</f>
        <v>2.04</v>
      </c>
      <c r="C13" s="182">
        <f t="array" ref="C13">INDEX(datos_base!$B$3:$K$10,MATCH($A13,datos_base!$A$3:$A$10,0),MATCH($B$3,datos_base!$B$2:$K$2,0))*INDEX(Parametros!$B$11:$M$26,MATCH($A13,Parametros!$A$11:$A$26,0),MATCH(C$5,Parametros!$B$10:$M$10,0))</f>
        <v>1.8</v>
      </c>
      <c r="D13" s="182">
        <f t="array" ref="D13">INDEX(datos_base!$B$3:$K$10,MATCH($A13,datos_base!$A$3:$A$10,0),MATCH($B$3,datos_base!$B$2:$K$2,0))*INDEX(Parametros!$B$11:$M$26,MATCH($A13,Parametros!$A$11:$A$26,0),MATCH(D$5,Parametros!$B$10:$M$10,0))</f>
        <v>2.16</v>
      </c>
      <c r="E13" s="182">
        <f t="array" ref="E13">INDEX(datos_base!$B$3:$K$10,MATCH($A13,datos_base!$A$3:$A$10,0),MATCH($B$3,datos_base!$B$2:$K$2,0))*INDEX(Parametros!$B$11:$M$26,MATCH($A13,Parametros!$A$11:$A$26,0),MATCH(E$5,Parametros!$B$10:$M$10,0))</f>
        <v>2.16</v>
      </c>
      <c r="F13" s="182">
        <f t="array" ref="F13">INDEX(datos_base!$B$3:$K$10,MATCH($A13,datos_base!$A$3:$A$10,0),MATCH($B$3,datos_base!$B$2:$K$2,0))*INDEX(Parametros!$B$11:$M$26,MATCH($A13,Parametros!$A$11:$A$26,0),MATCH(F$5,Parametros!$B$10:$M$10,0))</f>
        <v>2.16</v>
      </c>
      <c r="G13" s="182">
        <f t="array" ref="G13">INDEX(datos_base!$B$3:$K$10,MATCH($A13,datos_base!$A$3:$A$10,0),MATCH($B$3,datos_base!$B$2:$K$2,0))*INDEX(Parametros!$B$11:$M$26,MATCH($A13,Parametros!$A$11:$A$26,0),MATCH(G$5,Parametros!$B$10:$M$10,0))</f>
        <v>1.92</v>
      </c>
      <c r="H13" s="182">
        <f t="array" ref="H13">INDEX(datos_base!$B$3:$K$10,MATCH($A13,datos_base!$A$3:$A$10,0),MATCH($B$3,datos_base!$B$2:$K$2,0))*INDEX(Parametros!$B$11:$M$26,MATCH($A13,Parametros!$A$11:$A$26,0),MATCH(H$5,Parametros!$B$10:$M$10,0))</f>
        <v>2.16</v>
      </c>
      <c r="I13" s="182">
        <f t="array" ref="I13">INDEX(datos_base!$B$3:$K$10,MATCH($A13,datos_base!$A$3:$A$10,0),MATCH($B$3,datos_base!$B$2:$K$2,0))*INDEX(Parametros!$B$11:$M$26,MATCH($A13,Parametros!$A$11:$A$26,0),MATCH(I$5,Parametros!$B$10:$M$10,0))</f>
        <v>2.16</v>
      </c>
      <c r="J13" s="182">
        <f t="array" ref="J13">INDEX(datos_base!$B$3:$K$10,MATCH($A13,datos_base!$A$3:$A$10,0),MATCH($B$3,datos_base!$B$2:$K$2,0))*INDEX(Parametros!$B$11:$M$26,MATCH($A13,Parametros!$A$11:$A$26,0),MATCH(J$5,Parametros!$B$10:$M$10,0))</f>
        <v>2.04</v>
      </c>
      <c r="K13" s="182">
        <f t="array" ref="K13">INDEX(datos_base!$B$3:$K$10,MATCH($A13,datos_base!$A$3:$A$10,0),MATCH($B$3,datos_base!$B$2:$K$2,0))*INDEX(Parametros!$B$11:$M$26,MATCH($A13,Parametros!$A$11:$A$26,0),MATCH(K$5,Parametros!$B$10:$M$10,0))</f>
        <v>1.8</v>
      </c>
      <c r="L13" s="182">
        <f t="array" ref="L13">INDEX(datos_base!$B$3:$K$10,MATCH($A13,datos_base!$A$3:$A$10,0),MATCH($B$3,datos_base!$B$2:$K$2,0))*INDEX(Parametros!$B$11:$M$26,MATCH($A13,Parametros!$A$11:$A$26,0),MATCH(L$5,Parametros!$B$10:$M$10,0))</f>
        <v>1.68</v>
      </c>
      <c r="M13" s="182">
        <f t="array" ref="M13">INDEX(datos_base!$B$3:$K$10,MATCH($A13,datos_base!$A$3:$A$10,0),MATCH($B$3,datos_base!$B$2:$K$2,0))*INDEX(Parametros!$B$11:$M$26,MATCH($A13,Parametros!$A$11:$A$26,0),MATCH(M$5,Parametros!$B$10:$M$10,0))</f>
        <v>1.92</v>
      </c>
      <c r="N13" s="271">
        <f t="shared" si="1"/>
        <v>24</v>
      </c>
      <c r="O13" s="271">
        <f t="shared" si="2"/>
        <v>2</v>
      </c>
    </row>
    <row r="14" ht="12.0" customHeight="1">
      <c r="A14" s="272" t="s">
        <v>420</v>
      </c>
      <c r="B14" s="273">
        <f t="shared" ref="B14:N14" si="3">SUM(B6:B13)</f>
        <v>1481.31</v>
      </c>
      <c r="C14" s="273">
        <f t="shared" si="3"/>
        <v>1146.05</v>
      </c>
      <c r="D14" s="273">
        <f t="shared" si="3"/>
        <v>1113.73</v>
      </c>
      <c r="E14" s="273">
        <f t="shared" si="3"/>
        <v>1079.47</v>
      </c>
      <c r="F14" s="273">
        <f t="shared" si="3"/>
        <v>1013.54</v>
      </c>
      <c r="G14" s="273">
        <f t="shared" si="3"/>
        <v>978.85</v>
      </c>
      <c r="H14" s="273">
        <f t="shared" si="3"/>
        <v>1047.8</v>
      </c>
      <c r="I14" s="273">
        <f t="shared" si="3"/>
        <v>1047.8</v>
      </c>
      <c r="J14" s="273">
        <f t="shared" si="3"/>
        <v>1046.29</v>
      </c>
      <c r="K14" s="273">
        <f t="shared" si="3"/>
        <v>1011.6</v>
      </c>
      <c r="L14" s="273">
        <f t="shared" si="3"/>
        <v>978.42</v>
      </c>
      <c r="M14" s="273">
        <f t="shared" si="3"/>
        <v>1543.14</v>
      </c>
      <c r="N14" s="273">
        <f t="shared" si="3"/>
        <v>13488</v>
      </c>
      <c r="O14" s="273">
        <f t="shared" si="2"/>
        <v>1124</v>
      </c>
    </row>
    <row r="15" ht="12.0" customHeight="1">
      <c r="A15" s="11"/>
      <c r="B15" s="11"/>
      <c r="C15" s="11"/>
      <c r="D15" s="11"/>
      <c r="E15" s="11"/>
      <c r="F15" s="11"/>
      <c r="G15" s="11"/>
      <c r="H15" s="11"/>
      <c r="I15" s="11"/>
      <c r="J15" s="11"/>
      <c r="K15" s="11"/>
      <c r="L15" s="11"/>
      <c r="M15" s="11"/>
      <c r="N15" s="11"/>
      <c r="O15" s="11"/>
    </row>
    <row r="16" ht="12.0" customHeight="1">
      <c r="A16" s="270"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c r="O16" s="145" t="s">
        <v>1598</v>
      </c>
    </row>
    <row r="17" ht="12.0" customHeight="1">
      <c r="A17" s="152" t="s">
        <v>102</v>
      </c>
      <c r="B17" s="182">
        <f t="array" ref="B17">INDEX(datos_base!$B$15:$K$22,MATCH($A17,datos_base!$A$15:$A$22,0),MATCH($B$3,datos_base!$B$2:$K$2,0))*INDEX(Parametros!$B$11:$M$26,MATCH($A17,Parametros!$A$11:$A$26,0),MATCH(B$16,Parametros!$B$10:$M$10,0))</f>
        <v>919.44</v>
      </c>
      <c r="C17" s="182">
        <f t="array" ref="C17">INDEX(datos_base!$B$15:$K$22,MATCH($A17,datos_base!$A$15:$A$22,0),MATCH($B$3,datos_base!$B$2:$K$2,0))*INDEX(Parametros!$B$11:$M$26,MATCH($A17,Parametros!$A$11:$A$26,0),MATCH(C$16,Parametros!$B$10:$M$10,0))</f>
        <v>689.58</v>
      </c>
      <c r="D17" s="182">
        <f t="array" ref="D17">INDEX(datos_base!$B$15:$K$22,MATCH($A17,datos_base!$A$15:$A$22,0),MATCH($B$3,datos_base!$B$2:$K$2,0))*INDEX(Parametros!$B$11:$M$26,MATCH($A17,Parametros!$A$11:$A$26,0),MATCH(D$16,Parametros!$B$10:$M$10,0))</f>
        <v>612.96</v>
      </c>
      <c r="E17" s="182">
        <f t="array" ref="E17">INDEX(datos_base!$B$15:$K$22,MATCH($A17,datos_base!$A$15:$A$22,0),MATCH($B$3,datos_base!$B$2:$K$2,0))*INDEX(Parametros!$B$11:$M$26,MATCH($A17,Parametros!$A$11:$A$26,0),MATCH(E$16,Parametros!$B$10:$M$10,0))</f>
        <v>574.65</v>
      </c>
      <c r="F17" s="182">
        <f t="array" ref="F17">INDEX(datos_base!$B$15:$K$22,MATCH($A17,datos_base!$A$15:$A$22,0),MATCH($B$3,datos_base!$B$2:$K$2,0))*INDEX(Parametros!$B$11:$M$26,MATCH($A17,Parametros!$A$11:$A$26,0),MATCH(F$16,Parametros!$B$10:$M$10,0))</f>
        <v>536.34</v>
      </c>
      <c r="G17" s="182">
        <f t="array" ref="G17">INDEX(datos_base!$B$15:$K$22,MATCH($A17,datos_base!$A$15:$A$22,0),MATCH($B$3,datos_base!$B$2:$K$2,0))*INDEX(Parametros!$B$11:$M$26,MATCH($A17,Parametros!$A$11:$A$26,0),MATCH(G$16,Parametros!$B$10:$M$10,0))</f>
        <v>536.34</v>
      </c>
      <c r="H17" s="182">
        <f t="array" ref="H17">INDEX(datos_base!$B$15:$K$22,MATCH($A17,datos_base!$A$15:$A$22,0),MATCH($B$3,datos_base!$B$2:$K$2,0))*INDEX(Parametros!$B$11:$M$26,MATCH($A17,Parametros!$A$11:$A$26,0),MATCH(H$16,Parametros!$B$10:$M$10,0))</f>
        <v>574.65</v>
      </c>
      <c r="I17" s="182">
        <f t="array" ref="I17">INDEX(datos_base!$B$15:$K$22,MATCH($A17,datos_base!$A$15:$A$22,0),MATCH($B$3,datos_base!$B$2:$K$2,0))*INDEX(Parametros!$B$11:$M$26,MATCH($A17,Parametros!$A$11:$A$26,0),MATCH(I$16,Parametros!$B$10:$M$10,0))</f>
        <v>574.65</v>
      </c>
      <c r="J17" s="182">
        <f t="array" ref="J17">INDEX(datos_base!$B$15:$K$22,MATCH($A17,datos_base!$A$15:$A$22,0),MATCH($B$3,datos_base!$B$2:$K$2,0))*INDEX(Parametros!$B$11:$M$26,MATCH($A17,Parametros!$A$11:$A$26,0),MATCH(J$16,Parametros!$B$10:$M$10,0))</f>
        <v>574.65</v>
      </c>
      <c r="K17" s="182">
        <f t="array" ref="K17">INDEX(datos_base!$B$15:$K$22,MATCH($A17,datos_base!$A$15:$A$22,0),MATCH($B$3,datos_base!$B$2:$K$2,0))*INDEX(Parametros!$B$11:$M$26,MATCH($A17,Parametros!$A$11:$A$26,0),MATCH(K$16,Parametros!$B$10:$M$10,0))</f>
        <v>574.65</v>
      </c>
      <c r="L17" s="182">
        <f t="array" ref="L17">INDEX(datos_base!$B$15:$K$22,MATCH($A17,datos_base!$A$15:$A$22,0),MATCH($B$3,datos_base!$B$2:$K$2,0))*INDEX(Parametros!$B$11:$M$26,MATCH($A17,Parametros!$A$11:$A$26,0),MATCH(L$16,Parametros!$B$10:$M$10,0))</f>
        <v>574.65</v>
      </c>
      <c r="M17" s="182">
        <f t="array" ref="M17">INDEX(datos_base!$B$15:$K$22,MATCH($A17,datos_base!$A$15:$A$22,0),MATCH($B$3,datos_base!$B$2:$K$2,0))*INDEX(Parametros!$B$11:$M$26,MATCH($A17,Parametros!$A$11:$A$26,0),MATCH(M$16,Parametros!$B$10:$M$10,0))</f>
        <v>919.44</v>
      </c>
      <c r="N17" s="271">
        <f t="shared" ref="N17:N24" si="4">SUM(B17:M17)</f>
        <v>7662</v>
      </c>
      <c r="O17" s="271">
        <f t="shared" ref="O17:O25" si="5">AVERAGE(B17:M17)</f>
        <v>638.5</v>
      </c>
    </row>
    <row r="18" ht="12.0" customHeight="1">
      <c r="A18" s="152" t="s">
        <v>106</v>
      </c>
      <c r="B18" s="182">
        <f t="array" ref="B18">INDEX(datos_base!$B$15:$K$22,MATCH($A18,datos_base!$A$15:$A$22,0),MATCH($B$3,datos_base!$B$2:$K$2,0))*INDEX(Parametros!$B$11:$M$26,MATCH($A18,Parametros!$A$11:$A$26,0),MATCH(B$16,Parametros!$B$10:$M$10,0))</f>
        <v>30</v>
      </c>
      <c r="C18" s="182">
        <f t="array" ref="C18">INDEX(datos_base!$B$15:$K$22,MATCH($A18,datos_base!$A$15:$A$22,0),MATCH($B$3,datos_base!$B$2:$K$2,0))*INDEX(Parametros!$B$11:$M$26,MATCH($A18,Parametros!$A$11:$A$26,0),MATCH(C$16,Parametros!$B$10:$M$10,0))</f>
        <v>24</v>
      </c>
      <c r="D18" s="182">
        <f t="array" ref="D18">INDEX(datos_base!$B$15:$K$22,MATCH($A18,datos_base!$A$15:$A$22,0),MATCH($B$3,datos_base!$B$2:$K$2,0))*INDEX(Parametros!$B$11:$M$26,MATCH($A18,Parametros!$A$11:$A$26,0),MATCH(D$16,Parametros!$B$10:$M$10,0))</f>
        <v>25.5</v>
      </c>
      <c r="E18" s="182">
        <f t="array" ref="E18">INDEX(datos_base!$B$15:$K$22,MATCH($A18,datos_base!$A$15:$A$22,0),MATCH($B$3,datos_base!$B$2:$K$2,0))*INDEX(Parametros!$B$11:$M$26,MATCH($A18,Parametros!$A$11:$A$26,0),MATCH(E$16,Parametros!$B$10:$M$10,0))</f>
        <v>25.5</v>
      </c>
      <c r="F18" s="182">
        <f t="array" ref="F18">INDEX(datos_base!$B$15:$K$22,MATCH($A18,datos_base!$A$15:$A$22,0),MATCH($B$3,datos_base!$B$2:$K$2,0))*INDEX(Parametros!$B$11:$M$26,MATCH($A18,Parametros!$A$11:$A$26,0),MATCH(F$16,Parametros!$B$10:$M$10,0))</f>
        <v>24</v>
      </c>
      <c r="G18" s="182">
        <f t="array" ref="G18">INDEX(datos_base!$B$15:$K$22,MATCH($A18,datos_base!$A$15:$A$22,0),MATCH($B$3,datos_base!$B$2:$K$2,0))*INDEX(Parametros!$B$11:$M$26,MATCH($A18,Parametros!$A$11:$A$26,0),MATCH(G$16,Parametros!$B$10:$M$10,0))</f>
        <v>22.5</v>
      </c>
      <c r="H18" s="182">
        <f t="array" ref="H18">INDEX(datos_base!$B$15:$K$22,MATCH($A18,datos_base!$A$15:$A$22,0),MATCH($B$3,datos_base!$B$2:$K$2,0))*INDEX(Parametros!$B$11:$M$26,MATCH($A18,Parametros!$A$11:$A$26,0),MATCH(H$16,Parametros!$B$10:$M$10,0))</f>
        <v>24</v>
      </c>
      <c r="I18" s="182">
        <f t="array" ref="I18">INDEX(datos_base!$B$15:$K$22,MATCH($A18,datos_base!$A$15:$A$22,0),MATCH($B$3,datos_base!$B$2:$K$2,0))*INDEX(Parametros!$B$11:$M$26,MATCH($A18,Parametros!$A$11:$A$26,0),MATCH(I$16,Parametros!$B$10:$M$10,0))</f>
        <v>24</v>
      </c>
      <c r="J18" s="182">
        <f t="array" ref="J18">INDEX(datos_base!$B$15:$K$22,MATCH($A18,datos_base!$A$15:$A$22,0),MATCH($B$3,datos_base!$B$2:$K$2,0))*INDEX(Parametros!$B$11:$M$26,MATCH($A18,Parametros!$A$11:$A$26,0),MATCH(J$16,Parametros!$B$10:$M$10,0))</f>
        <v>24</v>
      </c>
      <c r="K18" s="182">
        <f t="array" ref="K18">INDEX(datos_base!$B$15:$K$22,MATCH($A18,datos_base!$A$15:$A$22,0),MATCH($B$3,datos_base!$B$2:$K$2,0))*INDEX(Parametros!$B$11:$M$26,MATCH($A18,Parametros!$A$11:$A$26,0),MATCH(K$16,Parametros!$B$10:$M$10,0))</f>
        <v>22.5</v>
      </c>
      <c r="L18" s="182">
        <f t="array" ref="L18">INDEX(datos_base!$B$15:$K$22,MATCH($A18,datos_base!$A$15:$A$22,0),MATCH($B$3,datos_base!$B$2:$K$2,0))*INDEX(Parametros!$B$11:$M$26,MATCH($A18,Parametros!$A$11:$A$26,0),MATCH(L$16,Parametros!$B$10:$M$10,0))</f>
        <v>21</v>
      </c>
      <c r="M18" s="182">
        <f t="array" ref="M18">INDEX(datos_base!$B$15:$K$22,MATCH($A18,datos_base!$A$15:$A$22,0),MATCH($B$3,datos_base!$B$2:$K$2,0))*INDEX(Parametros!$B$11:$M$26,MATCH($A18,Parametros!$A$11:$A$26,0),MATCH(M$16,Parametros!$B$10:$M$10,0))</f>
        <v>33</v>
      </c>
      <c r="N18" s="271">
        <f t="shared" si="4"/>
        <v>300</v>
      </c>
      <c r="O18" s="271">
        <f t="shared" si="5"/>
        <v>25</v>
      </c>
    </row>
    <row r="19" ht="12.0" customHeight="1">
      <c r="A19" s="152" t="s">
        <v>108</v>
      </c>
      <c r="B19" s="182">
        <f t="array" ref="B19">INDEX(datos_base!$B$15:$K$22,MATCH($A19,datos_base!$A$15:$A$22,0),MATCH($B$3,datos_base!$B$2:$K$2,0))*INDEX(Parametros!$B$11:$M$26,MATCH($A19,Parametros!$A$11:$A$26,0),MATCH(B$16,Parametros!$B$10:$M$10,0))</f>
        <v>147.9</v>
      </c>
      <c r="C19" s="182">
        <f t="array" ref="C19">INDEX(datos_base!$B$15:$K$22,MATCH($A19,datos_base!$A$15:$A$22,0),MATCH($B$3,datos_base!$B$2:$K$2,0))*INDEX(Parametros!$B$11:$M$26,MATCH($A19,Parametros!$A$11:$A$26,0),MATCH(C$16,Parametros!$B$10:$M$10,0))</f>
        <v>118.32</v>
      </c>
      <c r="D19" s="182">
        <f t="array" ref="D19">INDEX(datos_base!$B$15:$K$22,MATCH($A19,datos_base!$A$15:$A$22,0),MATCH($B$3,datos_base!$B$2:$K$2,0))*INDEX(Parametros!$B$11:$M$26,MATCH($A19,Parametros!$A$11:$A$26,0),MATCH(D$16,Parametros!$B$10:$M$10,0))</f>
        <v>125.715</v>
      </c>
      <c r="E19" s="182">
        <f t="array" ref="E19">INDEX(datos_base!$B$15:$K$22,MATCH($A19,datos_base!$A$15:$A$22,0),MATCH($B$3,datos_base!$B$2:$K$2,0))*INDEX(Parametros!$B$11:$M$26,MATCH($A19,Parametros!$A$11:$A$26,0),MATCH(E$16,Parametros!$B$10:$M$10,0))</f>
        <v>125.715</v>
      </c>
      <c r="F19" s="182">
        <f t="array" ref="F19">INDEX(datos_base!$B$15:$K$22,MATCH($A19,datos_base!$A$15:$A$22,0),MATCH($B$3,datos_base!$B$2:$K$2,0))*INDEX(Parametros!$B$11:$M$26,MATCH($A19,Parametros!$A$11:$A$26,0),MATCH(F$16,Parametros!$B$10:$M$10,0))</f>
        <v>118.32</v>
      </c>
      <c r="G19" s="182">
        <f t="array" ref="G19">INDEX(datos_base!$B$15:$K$22,MATCH($A19,datos_base!$A$15:$A$22,0),MATCH($B$3,datos_base!$B$2:$K$2,0))*INDEX(Parametros!$B$11:$M$26,MATCH($A19,Parametros!$A$11:$A$26,0),MATCH(G$16,Parametros!$B$10:$M$10,0))</f>
        <v>110.925</v>
      </c>
      <c r="H19" s="182">
        <f t="array" ref="H19">INDEX(datos_base!$B$15:$K$22,MATCH($A19,datos_base!$A$15:$A$22,0),MATCH($B$3,datos_base!$B$2:$K$2,0))*INDEX(Parametros!$B$11:$M$26,MATCH($A19,Parametros!$A$11:$A$26,0),MATCH(H$16,Parametros!$B$10:$M$10,0))</f>
        <v>118.32</v>
      </c>
      <c r="I19" s="182">
        <f t="array" ref="I19">INDEX(datos_base!$B$15:$K$22,MATCH($A19,datos_base!$A$15:$A$22,0),MATCH($B$3,datos_base!$B$2:$K$2,0))*INDEX(Parametros!$B$11:$M$26,MATCH($A19,Parametros!$A$11:$A$26,0),MATCH(I$16,Parametros!$B$10:$M$10,0))</f>
        <v>118.32</v>
      </c>
      <c r="J19" s="182">
        <f t="array" ref="J19">INDEX(datos_base!$B$15:$K$22,MATCH($A19,datos_base!$A$15:$A$22,0),MATCH($B$3,datos_base!$B$2:$K$2,0))*INDEX(Parametros!$B$11:$M$26,MATCH($A19,Parametros!$A$11:$A$26,0),MATCH(J$16,Parametros!$B$10:$M$10,0))</f>
        <v>118.32</v>
      </c>
      <c r="K19" s="182">
        <f t="array" ref="K19">INDEX(datos_base!$B$15:$K$22,MATCH($A19,datos_base!$A$15:$A$22,0),MATCH($B$3,datos_base!$B$2:$K$2,0))*INDEX(Parametros!$B$11:$M$26,MATCH($A19,Parametros!$A$11:$A$26,0),MATCH(K$16,Parametros!$B$10:$M$10,0))</f>
        <v>110.925</v>
      </c>
      <c r="L19" s="182">
        <f t="array" ref="L19">INDEX(datos_base!$B$15:$K$22,MATCH($A19,datos_base!$A$15:$A$22,0),MATCH($B$3,datos_base!$B$2:$K$2,0))*INDEX(Parametros!$B$11:$M$26,MATCH($A19,Parametros!$A$11:$A$26,0),MATCH(L$16,Parametros!$B$10:$M$10,0))</f>
        <v>103.53</v>
      </c>
      <c r="M19" s="182">
        <f t="array" ref="M19">INDEX(datos_base!$B$15:$K$22,MATCH($A19,datos_base!$A$15:$A$22,0),MATCH($B$3,datos_base!$B$2:$K$2,0))*INDEX(Parametros!$B$11:$M$26,MATCH($A19,Parametros!$A$11:$A$26,0),MATCH(M$16,Parametros!$B$10:$M$10,0))</f>
        <v>162.69</v>
      </c>
      <c r="N19" s="271">
        <f t="shared" si="4"/>
        <v>1479</v>
      </c>
      <c r="O19" s="271">
        <f t="shared" si="5"/>
        <v>123.25</v>
      </c>
    </row>
    <row r="20" ht="12.0" customHeight="1">
      <c r="A20" s="152" t="s">
        <v>122</v>
      </c>
      <c r="B20" s="182">
        <f t="array" ref="B20">INDEX(datos_base!$B$15:$K$22,MATCH($A20,datos_base!$A$15:$A$22,0),MATCH($B$3,datos_base!$B$2:$K$2,0))*INDEX(Parametros!$B$11:$M$26,MATCH($A20,Parametros!$A$11:$A$26,0),MATCH(B$16,Parametros!$B$10:$M$10,0))</f>
        <v>9</v>
      </c>
      <c r="C20" s="182">
        <f t="array" ref="C20">INDEX(datos_base!$B$15:$K$22,MATCH($A20,datos_base!$A$15:$A$22,0),MATCH($B$3,datos_base!$B$2:$K$2,0))*INDEX(Parametros!$B$11:$M$26,MATCH($A20,Parametros!$A$11:$A$26,0),MATCH(C$16,Parametros!$B$10:$M$10,0))</f>
        <v>7.2</v>
      </c>
      <c r="D20" s="182">
        <f t="array" ref="D20">INDEX(datos_base!$B$15:$K$22,MATCH($A20,datos_base!$A$15:$A$22,0),MATCH($B$3,datos_base!$B$2:$K$2,0))*INDEX(Parametros!$B$11:$M$26,MATCH($A20,Parametros!$A$11:$A$26,0),MATCH(D$16,Parametros!$B$10:$M$10,0))</f>
        <v>7.65</v>
      </c>
      <c r="E20" s="182">
        <f t="array" ref="E20">INDEX(datos_base!$B$15:$K$22,MATCH($A20,datos_base!$A$15:$A$22,0),MATCH($B$3,datos_base!$B$2:$K$2,0))*INDEX(Parametros!$B$11:$M$26,MATCH($A20,Parametros!$A$11:$A$26,0),MATCH(E$16,Parametros!$B$10:$M$10,0))</f>
        <v>7.65</v>
      </c>
      <c r="F20" s="182">
        <f t="array" ref="F20">INDEX(datos_base!$B$15:$K$22,MATCH($A20,datos_base!$A$15:$A$22,0),MATCH($B$3,datos_base!$B$2:$K$2,0))*INDEX(Parametros!$B$11:$M$26,MATCH($A20,Parametros!$A$11:$A$26,0),MATCH(F$16,Parametros!$B$10:$M$10,0))</f>
        <v>7.2</v>
      </c>
      <c r="G20" s="182">
        <f t="array" ref="G20">INDEX(datos_base!$B$15:$K$22,MATCH($A20,datos_base!$A$15:$A$22,0),MATCH($B$3,datos_base!$B$2:$K$2,0))*INDEX(Parametros!$B$11:$M$26,MATCH($A20,Parametros!$A$11:$A$26,0),MATCH(G$16,Parametros!$B$10:$M$10,0))</f>
        <v>6.75</v>
      </c>
      <c r="H20" s="182">
        <f t="array" ref="H20">INDEX(datos_base!$B$15:$K$22,MATCH($A20,datos_base!$A$15:$A$22,0),MATCH($B$3,datos_base!$B$2:$K$2,0))*INDEX(Parametros!$B$11:$M$26,MATCH($A20,Parametros!$A$11:$A$26,0),MATCH(H$16,Parametros!$B$10:$M$10,0))</f>
        <v>7.2</v>
      </c>
      <c r="I20" s="182">
        <f t="array" ref="I20">INDEX(datos_base!$B$15:$K$22,MATCH($A20,datos_base!$A$15:$A$22,0),MATCH($B$3,datos_base!$B$2:$K$2,0))*INDEX(Parametros!$B$11:$M$26,MATCH($A20,Parametros!$A$11:$A$26,0),MATCH(I$16,Parametros!$B$10:$M$10,0))</f>
        <v>7.2</v>
      </c>
      <c r="J20" s="182">
        <f t="array" ref="J20">INDEX(datos_base!$B$15:$K$22,MATCH($A20,datos_base!$A$15:$A$22,0),MATCH($B$3,datos_base!$B$2:$K$2,0))*INDEX(Parametros!$B$11:$M$26,MATCH($A20,Parametros!$A$11:$A$26,0),MATCH(J$16,Parametros!$B$10:$M$10,0))</f>
        <v>7.2</v>
      </c>
      <c r="K20" s="182">
        <f t="array" ref="K20">INDEX(datos_base!$B$15:$K$22,MATCH($A20,datos_base!$A$15:$A$22,0),MATCH($B$3,datos_base!$B$2:$K$2,0))*INDEX(Parametros!$B$11:$M$26,MATCH($A20,Parametros!$A$11:$A$26,0),MATCH(K$16,Parametros!$B$10:$M$10,0))</f>
        <v>6.75</v>
      </c>
      <c r="L20" s="182">
        <f t="array" ref="L20">INDEX(datos_base!$B$15:$K$22,MATCH($A20,datos_base!$A$15:$A$22,0),MATCH($B$3,datos_base!$B$2:$K$2,0))*INDEX(Parametros!$B$11:$M$26,MATCH($A20,Parametros!$A$11:$A$26,0),MATCH(L$16,Parametros!$B$10:$M$10,0))</f>
        <v>6.3</v>
      </c>
      <c r="M20" s="182">
        <f t="array" ref="M20">INDEX(datos_base!$B$15:$K$22,MATCH($A20,datos_base!$A$15:$A$22,0),MATCH($B$3,datos_base!$B$2:$K$2,0))*INDEX(Parametros!$B$11:$M$26,MATCH($A20,Parametros!$A$11:$A$26,0),MATCH(M$16,Parametros!$B$10:$M$10,0))</f>
        <v>9.9</v>
      </c>
      <c r="N20" s="271">
        <f t="shared" si="4"/>
        <v>90</v>
      </c>
      <c r="O20" s="271">
        <f t="shared" si="5"/>
        <v>7.5</v>
      </c>
    </row>
    <row r="21" ht="12.0" customHeight="1">
      <c r="A21" s="152" t="s">
        <v>125</v>
      </c>
      <c r="B21" s="182">
        <f t="array" ref="B21">INDEX(datos_base!$B$15:$K$22,MATCH($A21,datos_base!$A$15:$A$22,0),MATCH($B$3,datos_base!$B$2:$K$2,0))*INDEX(Parametros!$B$11:$M$26,MATCH($A21,Parametros!$A$11:$A$26,0),MATCH(B$16,Parametros!$B$10:$M$10,0))</f>
        <v>1.19</v>
      </c>
      <c r="C21" s="182">
        <f t="array" ref="C21">INDEX(datos_base!$B$15:$K$22,MATCH($A21,datos_base!$A$15:$A$22,0),MATCH($B$3,datos_base!$B$2:$K$2,0))*INDEX(Parametros!$B$11:$M$26,MATCH($A21,Parametros!$A$11:$A$26,0),MATCH(C$16,Parametros!$B$10:$M$10,0))</f>
        <v>1.05</v>
      </c>
      <c r="D21" s="182">
        <f t="array" ref="D21">INDEX(datos_base!$B$15:$K$22,MATCH($A21,datos_base!$A$15:$A$22,0),MATCH($B$3,datos_base!$B$2:$K$2,0))*INDEX(Parametros!$B$11:$M$26,MATCH($A21,Parametros!$A$11:$A$26,0),MATCH(D$16,Parametros!$B$10:$M$10,0))</f>
        <v>1.26</v>
      </c>
      <c r="E21" s="182">
        <f t="array" ref="E21">INDEX(datos_base!$B$15:$K$22,MATCH($A21,datos_base!$A$15:$A$22,0),MATCH($B$3,datos_base!$B$2:$K$2,0))*INDEX(Parametros!$B$11:$M$26,MATCH($A21,Parametros!$A$11:$A$26,0),MATCH(E$16,Parametros!$B$10:$M$10,0))</f>
        <v>1.26</v>
      </c>
      <c r="F21" s="182">
        <f t="array" ref="F21">INDEX(datos_base!$B$15:$K$22,MATCH($A21,datos_base!$A$15:$A$22,0),MATCH($B$3,datos_base!$B$2:$K$2,0))*INDEX(Parametros!$B$11:$M$26,MATCH($A21,Parametros!$A$11:$A$26,0),MATCH(F$16,Parametros!$B$10:$M$10,0))</f>
        <v>1.26</v>
      </c>
      <c r="G21" s="182">
        <f t="array" ref="G21">INDEX(datos_base!$B$15:$K$22,MATCH($A21,datos_base!$A$15:$A$22,0),MATCH($B$3,datos_base!$B$2:$K$2,0))*INDEX(Parametros!$B$11:$M$26,MATCH($A21,Parametros!$A$11:$A$26,0),MATCH(G$16,Parametros!$B$10:$M$10,0))</f>
        <v>1.12</v>
      </c>
      <c r="H21" s="182">
        <f t="array" ref="H21">INDEX(datos_base!$B$15:$K$22,MATCH($A21,datos_base!$A$15:$A$22,0),MATCH($B$3,datos_base!$B$2:$K$2,0))*INDEX(Parametros!$B$11:$M$26,MATCH($A21,Parametros!$A$11:$A$26,0),MATCH(H$16,Parametros!$B$10:$M$10,0))</f>
        <v>1.26</v>
      </c>
      <c r="I21" s="182">
        <f t="array" ref="I21">INDEX(datos_base!$B$15:$K$22,MATCH($A21,datos_base!$A$15:$A$22,0),MATCH($B$3,datos_base!$B$2:$K$2,0))*INDEX(Parametros!$B$11:$M$26,MATCH($A21,Parametros!$A$11:$A$26,0),MATCH(I$16,Parametros!$B$10:$M$10,0))</f>
        <v>1.26</v>
      </c>
      <c r="J21" s="182">
        <f t="array" ref="J21">INDEX(datos_base!$B$15:$K$22,MATCH($A21,datos_base!$A$15:$A$22,0),MATCH($B$3,datos_base!$B$2:$K$2,0))*INDEX(Parametros!$B$11:$M$26,MATCH($A21,Parametros!$A$11:$A$26,0),MATCH(J$16,Parametros!$B$10:$M$10,0))</f>
        <v>1.19</v>
      </c>
      <c r="K21" s="182">
        <f t="array" ref="K21">INDEX(datos_base!$B$15:$K$22,MATCH($A21,datos_base!$A$15:$A$22,0),MATCH($B$3,datos_base!$B$2:$K$2,0))*INDEX(Parametros!$B$11:$M$26,MATCH($A21,Parametros!$A$11:$A$26,0),MATCH(K$16,Parametros!$B$10:$M$10,0))</f>
        <v>1.05</v>
      </c>
      <c r="L21" s="182">
        <f t="array" ref="L21">INDEX(datos_base!$B$15:$K$22,MATCH($A21,datos_base!$A$15:$A$22,0),MATCH($B$3,datos_base!$B$2:$K$2,0))*INDEX(Parametros!$B$11:$M$26,MATCH($A21,Parametros!$A$11:$A$26,0),MATCH(L$16,Parametros!$B$10:$M$10,0))</f>
        <v>0.98</v>
      </c>
      <c r="M21" s="182">
        <f t="array" ref="M21">INDEX(datos_base!$B$15:$K$22,MATCH($A21,datos_base!$A$15:$A$22,0),MATCH($B$3,datos_base!$B$2:$K$2,0))*INDEX(Parametros!$B$11:$M$26,MATCH($A21,Parametros!$A$11:$A$26,0),MATCH(M$16,Parametros!$B$10:$M$10,0))</f>
        <v>1.12</v>
      </c>
      <c r="N21" s="271">
        <f t="shared" si="4"/>
        <v>14</v>
      </c>
      <c r="O21" s="271">
        <f t="shared" si="5"/>
        <v>1.166666667</v>
      </c>
    </row>
    <row r="22" ht="12.0" customHeight="1">
      <c r="A22" s="152" t="s">
        <v>128</v>
      </c>
      <c r="B22" s="182">
        <f t="array" ref="B22">INDEX(datos_base!$B$15:$K$22,MATCH($A22,datos_base!$A$15:$A$22,0),MATCH($B$3,datos_base!$B$2:$K$2,0))*INDEX(Parametros!$B$11:$M$26,MATCH($A22,Parametros!$A$11:$A$26,0),MATCH(B$16,Parametros!$B$10:$M$10,0))</f>
        <v>2.72</v>
      </c>
      <c r="C22" s="182">
        <f t="array" ref="C22">INDEX(datos_base!$B$15:$K$22,MATCH($A22,datos_base!$A$15:$A$22,0),MATCH($B$3,datos_base!$B$2:$K$2,0))*INDEX(Parametros!$B$11:$M$26,MATCH($A22,Parametros!$A$11:$A$26,0),MATCH(C$16,Parametros!$B$10:$M$10,0))</f>
        <v>2.4</v>
      </c>
      <c r="D22" s="182">
        <f t="array" ref="D22">INDEX(datos_base!$B$15:$K$22,MATCH($A22,datos_base!$A$15:$A$22,0),MATCH($B$3,datos_base!$B$2:$K$2,0))*INDEX(Parametros!$B$11:$M$26,MATCH($A22,Parametros!$A$11:$A$26,0),MATCH(D$16,Parametros!$B$10:$M$10,0))</f>
        <v>2.88</v>
      </c>
      <c r="E22" s="182">
        <f t="array" ref="E22">INDEX(datos_base!$B$15:$K$22,MATCH($A22,datos_base!$A$15:$A$22,0),MATCH($B$3,datos_base!$B$2:$K$2,0))*INDEX(Parametros!$B$11:$M$26,MATCH($A22,Parametros!$A$11:$A$26,0),MATCH(E$16,Parametros!$B$10:$M$10,0))</f>
        <v>2.88</v>
      </c>
      <c r="F22" s="182">
        <f t="array" ref="F22">INDEX(datos_base!$B$15:$K$22,MATCH($A22,datos_base!$A$15:$A$22,0),MATCH($B$3,datos_base!$B$2:$K$2,0))*INDEX(Parametros!$B$11:$M$26,MATCH($A22,Parametros!$A$11:$A$26,0),MATCH(F$16,Parametros!$B$10:$M$10,0))</f>
        <v>2.88</v>
      </c>
      <c r="G22" s="182">
        <f t="array" ref="G22">INDEX(datos_base!$B$15:$K$22,MATCH($A22,datos_base!$A$15:$A$22,0),MATCH($B$3,datos_base!$B$2:$K$2,0))*INDEX(Parametros!$B$11:$M$26,MATCH($A22,Parametros!$A$11:$A$26,0),MATCH(G$16,Parametros!$B$10:$M$10,0))</f>
        <v>2.56</v>
      </c>
      <c r="H22" s="182">
        <f t="array" ref="H22">INDEX(datos_base!$B$15:$K$22,MATCH($A22,datos_base!$A$15:$A$22,0),MATCH($B$3,datos_base!$B$2:$K$2,0))*INDEX(Parametros!$B$11:$M$26,MATCH($A22,Parametros!$A$11:$A$26,0),MATCH(H$16,Parametros!$B$10:$M$10,0))</f>
        <v>2.88</v>
      </c>
      <c r="I22" s="182">
        <f t="array" ref="I22">INDEX(datos_base!$B$15:$K$22,MATCH($A22,datos_base!$A$15:$A$22,0),MATCH($B$3,datos_base!$B$2:$K$2,0))*INDEX(Parametros!$B$11:$M$26,MATCH($A22,Parametros!$A$11:$A$26,0),MATCH(I$16,Parametros!$B$10:$M$10,0))</f>
        <v>2.88</v>
      </c>
      <c r="J22" s="182">
        <f t="array" ref="J22">INDEX(datos_base!$B$15:$K$22,MATCH($A22,datos_base!$A$15:$A$22,0),MATCH($B$3,datos_base!$B$2:$K$2,0))*INDEX(Parametros!$B$11:$M$26,MATCH($A22,Parametros!$A$11:$A$26,0),MATCH(J$16,Parametros!$B$10:$M$10,0))</f>
        <v>2.72</v>
      </c>
      <c r="K22" s="182">
        <f t="array" ref="K22">INDEX(datos_base!$B$15:$K$22,MATCH($A22,datos_base!$A$15:$A$22,0),MATCH($B$3,datos_base!$B$2:$K$2,0))*INDEX(Parametros!$B$11:$M$26,MATCH($A22,Parametros!$A$11:$A$26,0),MATCH(K$16,Parametros!$B$10:$M$10,0))</f>
        <v>2.4</v>
      </c>
      <c r="L22" s="182">
        <f t="array" ref="L22">INDEX(datos_base!$B$15:$K$22,MATCH($A22,datos_base!$A$15:$A$22,0),MATCH($B$3,datos_base!$B$2:$K$2,0))*INDEX(Parametros!$B$11:$M$26,MATCH($A22,Parametros!$A$11:$A$26,0),MATCH(L$16,Parametros!$B$10:$M$10,0))</f>
        <v>2.24</v>
      </c>
      <c r="M22" s="182">
        <f t="array" ref="M22">INDEX(datos_base!$B$15:$K$22,MATCH($A22,datos_base!$A$15:$A$22,0),MATCH($B$3,datos_base!$B$2:$K$2,0))*INDEX(Parametros!$B$11:$M$26,MATCH($A22,Parametros!$A$11:$A$26,0),MATCH(M$16,Parametros!$B$10:$M$10,0))</f>
        <v>2.56</v>
      </c>
      <c r="N22" s="271">
        <f t="shared" si="4"/>
        <v>32</v>
      </c>
      <c r="O22" s="271">
        <f t="shared" si="5"/>
        <v>2.666666667</v>
      </c>
    </row>
    <row r="23" ht="12.0" customHeight="1">
      <c r="A23" s="152" t="s">
        <v>129</v>
      </c>
      <c r="B23" s="182">
        <f t="array" ref="B23">INDEX(datos_base!$B$15:$K$22,MATCH($A23,datos_base!$A$15:$A$22,0),MATCH($B$3,datos_base!$B$2:$K$2,0))*INDEX(Parametros!$B$11:$M$26,MATCH($A23,Parametros!$A$11:$A$26,0),MATCH(B$16,Parametros!$B$10:$M$10,0))</f>
        <v>0.595</v>
      </c>
      <c r="C23" s="182">
        <f t="array" ref="C23">INDEX(datos_base!$B$15:$K$22,MATCH($A23,datos_base!$A$15:$A$22,0),MATCH($B$3,datos_base!$B$2:$K$2,0))*INDEX(Parametros!$B$11:$M$26,MATCH($A23,Parametros!$A$11:$A$26,0),MATCH(C$16,Parametros!$B$10:$M$10,0))</f>
        <v>0.525</v>
      </c>
      <c r="D23" s="182">
        <f t="array" ref="D23">INDEX(datos_base!$B$15:$K$22,MATCH($A23,datos_base!$A$15:$A$22,0),MATCH($B$3,datos_base!$B$2:$K$2,0))*INDEX(Parametros!$B$11:$M$26,MATCH($A23,Parametros!$A$11:$A$26,0),MATCH(D$16,Parametros!$B$10:$M$10,0))</f>
        <v>0.63</v>
      </c>
      <c r="E23" s="182">
        <f t="array" ref="E23">INDEX(datos_base!$B$15:$K$22,MATCH($A23,datos_base!$A$15:$A$22,0),MATCH($B$3,datos_base!$B$2:$K$2,0))*INDEX(Parametros!$B$11:$M$26,MATCH($A23,Parametros!$A$11:$A$26,0),MATCH(E$16,Parametros!$B$10:$M$10,0))</f>
        <v>0.63</v>
      </c>
      <c r="F23" s="182">
        <f t="array" ref="F23">INDEX(datos_base!$B$15:$K$22,MATCH($A23,datos_base!$A$15:$A$22,0),MATCH($B$3,datos_base!$B$2:$K$2,0))*INDEX(Parametros!$B$11:$M$26,MATCH($A23,Parametros!$A$11:$A$26,0),MATCH(F$16,Parametros!$B$10:$M$10,0))</f>
        <v>0.63</v>
      </c>
      <c r="G23" s="182">
        <f t="array" ref="G23">INDEX(datos_base!$B$15:$K$22,MATCH($A23,datos_base!$A$15:$A$22,0),MATCH($B$3,datos_base!$B$2:$K$2,0))*INDEX(Parametros!$B$11:$M$26,MATCH($A23,Parametros!$A$11:$A$26,0),MATCH(G$16,Parametros!$B$10:$M$10,0))</f>
        <v>0.56</v>
      </c>
      <c r="H23" s="182">
        <f t="array" ref="H23">INDEX(datos_base!$B$15:$K$22,MATCH($A23,datos_base!$A$15:$A$22,0),MATCH($B$3,datos_base!$B$2:$K$2,0))*INDEX(Parametros!$B$11:$M$26,MATCH($A23,Parametros!$A$11:$A$26,0),MATCH(H$16,Parametros!$B$10:$M$10,0))</f>
        <v>0.63</v>
      </c>
      <c r="I23" s="182">
        <f t="array" ref="I23">INDEX(datos_base!$B$15:$K$22,MATCH($A23,datos_base!$A$15:$A$22,0),MATCH($B$3,datos_base!$B$2:$K$2,0))*INDEX(Parametros!$B$11:$M$26,MATCH($A23,Parametros!$A$11:$A$26,0),MATCH(I$16,Parametros!$B$10:$M$10,0))</f>
        <v>0.63</v>
      </c>
      <c r="J23" s="182">
        <f t="array" ref="J23">INDEX(datos_base!$B$15:$K$22,MATCH($A23,datos_base!$A$15:$A$22,0),MATCH($B$3,datos_base!$B$2:$K$2,0))*INDEX(Parametros!$B$11:$M$26,MATCH($A23,Parametros!$A$11:$A$26,0),MATCH(J$16,Parametros!$B$10:$M$10,0))</f>
        <v>0.595</v>
      </c>
      <c r="K23" s="182">
        <f t="array" ref="K23">INDEX(datos_base!$B$15:$K$22,MATCH($A23,datos_base!$A$15:$A$22,0),MATCH($B$3,datos_base!$B$2:$K$2,0))*INDEX(Parametros!$B$11:$M$26,MATCH($A23,Parametros!$A$11:$A$26,0),MATCH(K$16,Parametros!$B$10:$M$10,0))</f>
        <v>0.525</v>
      </c>
      <c r="L23" s="182">
        <f t="array" ref="L23">INDEX(datos_base!$B$15:$K$22,MATCH($A23,datos_base!$A$15:$A$22,0),MATCH($B$3,datos_base!$B$2:$K$2,0))*INDEX(Parametros!$B$11:$M$26,MATCH($A23,Parametros!$A$11:$A$26,0),MATCH(L$16,Parametros!$B$10:$M$10,0))</f>
        <v>0.49</v>
      </c>
      <c r="M23" s="182">
        <f t="array" ref="M23">INDEX(datos_base!$B$15:$K$22,MATCH($A23,datos_base!$A$15:$A$22,0),MATCH($B$3,datos_base!$B$2:$K$2,0))*INDEX(Parametros!$B$11:$M$26,MATCH($A23,Parametros!$A$11:$A$26,0),MATCH(M$16,Parametros!$B$10:$M$10,0))</f>
        <v>0.56</v>
      </c>
      <c r="N23" s="271">
        <f t="shared" si="4"/>
        <v>7</v>
      </c>
      <c r="O23" s="271">
        <f t="shared" si="5"/>
        <v>0.5833333333</v>
      </c>
    </row>
    <row r="24" ht="12.0" customHeight="1">
      <c r="A24" s="152" t="s">
        <v>130</v>
      </c>
      <c r="B24" s="182">
        <f t="array" ref="B24">INDEX(datos_base!$B$15:$K$22,MATCH($A24,datos_base!$A$15:$A$22,0),MATCH($B$3,datos_base!$B$2:$K$2,0))*INDEX(Parametros!$B$11:$M$26,MATCH($A24,Parametros!$A$11:$A$26,0),MATCH(B$16,Parametros!$B$10:$M$10,0))</f>
        <v>0.425</v>
      </c>
      <c r="C24" s="182">
        <f t="array" ref="C24">INDEX(datos_base!$B$15:$K$22,MATCH($A24,datos_base!$A$15:$A$22,0),MATCH($B$3,datos_base!$B$2:$K$2,0))*INDEX(Parametros!$B$11:$M$26,MATCH($A24,Parametros!$A$11:$A$26,0),MATCH(C$16,Parametros!$B$10:$M$10,0))</f>
        <v>0.375</v>
      </c>
      <c r="D24" s="182">
        <f t="array" ref="D24">INDEX(datos_base!$B$15:$K$22,MATCH($A24,datos_base!$A$15:$A$22,0),MATCH($B$3,datos_base!$B$2:$K$2,0))*INDEX(Parametros!$B$11:$M$26,MATCH($A24,Parametros!$A$11:$A$26,0),MATCH(D$16,Parametros!$B$10:$M$10,0))</f>
        <v>0.45</v>
      </c>
      <c r="E24" s="182">
        <f t="array" ref="E24">INDEX(datos_base!$B$15:$K$22,MATCH($A24,datos_base!$A$15:$A$22,0),MATCH($B$3,datos_base!$B$2:$K$2,0))*INDEX(Parametros!$B$11:$M$26,MATCH($A24,Parametros!$A$11:$A$26,0),MATCH(E$16,Parametros!$B$10:$M$10,0))</f>
        <v>0.45</v>
      </c>
      <c r="F24" s="182">
        <f t="array" ref="F24">INDEX(datos_base!$B$15:$K$22,MATCH($A24,datos_base!$A$15:$A$22,0),MATCH($B$3,datos_base!$B$2:$K$2,0))*INDEX(Parametros!$B$11:$M$26,MATCH($A24,Parametros!$A$11:$A$26,0),MATCH(F$16,Parametros!$B$10:$M$10,0))</f>
        <v>0.45</v>
      </c>
      <c r="G24" s="182">
        <f t="array" ref="G24">INDEX(datos_base!$B$15:$K$22,MATCH($A24,datos_base!$A$15:$A$22,0),MATCH($B$3,datos_base!$B$2:$K$2,0))*INDEX(Parametros!$B$11:$M$26,MATCH($A24,Parametros!$A$11:$A$26,0),MATCH(G$16,Parametros!$B$10:$M$10,0))</f>
        <v>0.4</v>
      </c>
      <c r="H24" s="182">
        <f t="array" ref="H24">INDEX(datos_base!$B$15:$K$22,MATCH($A24,datos_base!$A$15:$A$22,0),MATCH($B$3,datos_base!$B$2:$K$2,0))*INDEX(Parametros!$B$11:$M$26,MATCH($A24,Parametros!$A$11:$A$26,0),MATCH(H$16,Parametros!$B$10:$M$10,0))</f>
        <v>0.45</v>
      </c>
      <c r="I24" s="182">
        <f t="array" ref="I24">INDEX(datos_base!$B$15:$K$22,MATCH($A24,datos_base!$A$15:$A$22,0),MATCH($B$3,datos_base!$B$2:$K$2,0))*INDEX(Parametros!$B$11:$M$26,MATCH($A24,Parametros!$A$11:$A$26,0),MATCH(I$16,Parametros!$B$10:$M$10,0))</f>
        <v>0.45</v>
      </c>
      <c r="J24" s="182">
        <f t="array" ref="J24">INDEX(datos_base!$B$15:$K$22,MATCH($A24,datos_base!$A$15:$A$22,0),MATCH($B$3,datos_base!$B$2:$K$2,0))*INDEX(Parametros!$B$11:$M$26,MATCH($A24,Parametros!$A$11:$A$26,0),MATCH(J$16,Parametros!$B$10:$M$10,0))</f>
        <v>0.425</v>
      </c>
      <c r="K24" s="182">
        <f t="array" ref="K24">INDEX(datos_base!$B$15:$K$22,MATCH($A24,datos_base!$A$15:$A$22,0),MATCH($B$3,datos_base!$B$2:$K$2,0))*INDEX(Parametros!$B$11:$M$26,MATCH($A24,Parametros!$A$11:$A$26,0),MATCH(K$16,Parametros!$B$10:$M$10,0))</f>
        <v>0.375</v>
      </c>
      <c r="L24" s="182">
        <f t="array" ref="L24">INDEX(datos_base!$B$15:$K$22,MATCH($A24,datos_base!$A$15:$A$22,0),MATCH($B$3,datos_base!$B$2:$K$2,0))*INDEX(Parametros!$B$11:$M$26,MATCH($A24,Parametros!$A$11:$A$26,0),MATCH(L$16,Parametros!$B$10:$M$10,0))</f>
        <v>0.35</v>
      </c>
      <c r="M24" s="182">
        <f t="array" ref="M24">INDEX(datos_base!$B$15:$K$22,MATCH($A24,datos_base!$A$15:$A$22,0),MATCH($B$3,datos_base!$B$2:$K$2,0))*INDEX(Parametros!$B$11:$M$26,MATCH($A24,Parametros!$A$11:$A$26,0),MATCH(M$16,Parametros!$B$10:$M$10,0))</f>
        <v>0.4</v>
      </c>
      <c r="N24" s="271">
        <f t="shared" si="4"/>
        <v>5</v>
      </c>
      <c r="O24" s="271">
        <f t="shared" si="5"/>
        <v>0.4166666667</v>
      </c>
    </row>
    <row r="25" ht="12.0" customHeight="1">
      <c r="A25" s="272" t="s">
        <v>420</v>
      </c>
      <c r="B25" s="273">
        <f t="shared" ref="B25:N25" si="6">SUM(B17:B24)</f>
        <v>1111.27</v>
      </c>
      <c r="C25" s="273">
        <f t="shared" si="6"/>
        <v>843.45</v>
      </c>
      <c r="D25" s="273">
        <f t="shared" si="6"/>
        <v>777.045</v>
      </c>
      <c r="E25" s="273">
        <f t="shared" si="6"/>
        <v>738.735</v>
      </c>
      <c r="F25" s="273">
        <f t="shared" si="6"/>
        <v>691.08</v>
      </c>
      <c r="G25" s="273">
        <f t="shared" si="6"/>
        <v>681.155</v>
      </c>
      <c r="H25" s="273">
        <f t="shared" si="6"/>
        <v>729.39</v>
      </c>
      <c r="I25" s="273">
        <f t="shared" si="6"/>
        <v>729.39</v>
      </c>
      <c r="J25" s="273">
        <f t="shared" si="6"/>
        <v>729.1</v>
      </c>
      <c r="K25" s="273">
        <f t="shared" si="6"/>
        <v>719.175</v>
      </c>
      <c r="L25" s="273">
        <f t="shared" si="6"/>
        <v>709.54</v>
      </c>
      <c r="M25" s="273">
        <f t="shared" si="6"/>
        <v>1129.67</v>
      </c>
      <c r="N25" s="273">
        <f t="shared" si="6"/>
        <v>9589</v>
      </c>
      <c r="O25" s="273">
        <f t="shared" si="5"/>
        <v>799.0833333</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O6+O7+O8+O9+O17+O18+O19+O20</f>
        <v>1893.083333</v>
      </c>
      <c r="C28" s="152">
        <f>ROUNDDOWN(B28/Parametros!$B$37,0)</f>
        <v>94</v>
      </c>
      <c r="D28" s="152">
        <f>ROUNDDOWN(C28/Parametros!$J$37,0)</f>
        <v>12</v>
      </c>
      <c r="E28" s="152">
        <f t="shared" ref="E28:E45" si="7">D28</f>
        <v>12</v>
      </c>
      <c r="F28" s="279">
        <f>Parametros!$M$39</f>
        <v>68</v>
      </c>
      <c r="G28" s="152">
        <v>1.0</v>
      </c>
      <c r="H28" s="152">
        <f t="shared" ref="H28:H45" si="8">F28*G28</f>
        <v>68</v>
      </c>
      <c r="I28" s="275">
        <f t="shared" ref="I28:I45" si="9">E28/H28</f>
        <v>0.1764705882</v>
      </c>
      <c r="J28" s="152" t="s">
        <v>158</v>
      </c>
    </row>
    <row r="29" ht="12.0" customHeight="1">
      <c r="A29" s="152" t="s">
        <v>163</v>
      </c>
      <c r="B29" s="159">
        <f>O6+O7+O8+O9+O17+O18+O19+O20</f>
        <v>1893.083333</v>
      </c>
      <c r="C29" s="152">
        <f>ROUNDDOWN(B29/Parametros!$B$37,0)</f>
        <v>94</v>
      </c>
      <c r="D29" s="152">
        <f>ROUNDDOWN(C29/Parametros!$J$37,0)</f>
        <v>12</v>
      </c>
      <c r="E29" s="152">
        <f t="shared" si="7"/>
        <v>12</v>
      </c>
      <c r="F29" s="279">
        <f>Parametros!$M$40</f>
        <v>40.88</v>
      </c>
      <c r="G29" s="152">
        <v>1.0</v>
      </c>
      <c r="H29" s="152">
        <f t="shared" si="8"/>
        <v>40.88</v>
      </c>
      <c r="I29" s="275">
        <f t="shared" si="9"/>
        <v>0.2935420744</v>
      </c>
      <c r="J29" s="152" t="s">
        <v>158</v>
      </c>
    </row>
    <row r="30" ht="12.0" customHeight="1">
      <c r="A30" s="152" t="s">
        <v>61</v>
      </c>
      <c r="B30" s="159">
        <f>O6+O7+O8+O9+O17+O18+O19+O20</f>
        <v>1893.083333</v>
      </c>
      <c r="C30" s="152">
        <f>ROUNDDOWN(B30/Parametros!$B$37,0)</f>
        <v>94</v>
      </c>
      <c r="D30" s="152">
        <f>ROUNDDOWN(C30/Parametros!$J$37,0)</f>
        <v>12</v>
      </c>
      <c r="E30" s="152">
        <f t="shared" si="7"/>
        <v>12</v>
      </c>
      <c r="F30" s="279">
        <f>Parametros!$M$41</f>
        <v>466.5116279</v>
      </c>
      <c r="G30" s="152">
        <v>1.0</v>
      </c>
      <c r="H30" s="152">
        <f t="shared" si="8"/>
        <v>466.5116279</v>
      </c>
      <c r="I30" s="275">
        <f t="shared" si="9"/>
        <v>0.02572283151</v>
      </c>
      <c r="J30" s="152" t="s">
        <v>158</v>
      </c>
    </row>
    <row r="31" ht="12.0" customHeight="1">
      <c r="A31" s="152" t="s">
        <v>62</v>
      </c>
      <c r="B31" s="159">
        <f>O7+O8+O9+O18+O19+O20</f>
        <v>683.5833333</v>
      </c>
      <c r="C31" s="152">
        <f>ROUNDDOWN(B31/Parametros!$B$37,0)</f>
        <v>34</v>
      </c>
      <c r="D31" s="152">
        <f>ROUNDDOWN(C31/Parametros!$J$37,0)</f>
        <v>4</v>
      </c>
      <c r="E31" s="152">
        <f t="shared" si="7"/>
        <v>4</v>
      </c>
      <c r="F31" s="279">
        <f>Parametros!$M$42</f>
        <v>96</v>
      </c>
      <c r="G31" s="152">
        <v>1.0</v>
      </c>
      <c r="H31" s="152">
        <f t="shared" si="8"/>
        <v>96</v>
      </c>
      <c r="I31" s="275">
        <f t="shared" si="9"/>
        <v>0.04166666667</v>
      </c>
      <c r="J31" s="152" t="s">
        <v>182</v>
      </c>
    </row>
    <row r="32" ht="12.0" customHeight="1">
      <c r="A32" s="152" t="s">
        <v>63</v>
      </c>
      <c r="B32" s="159">
        <f>O7+O8+O9+O18+O19+O20</f>
        <v>683.5833333</v>
      </c>
      <c r="C32" s="152">
        <f>ROUNDDOWN(B32/Parametros!$B$37,0)</f>
        <v>34</v>
      </c>
      <c r="D32" s="152">
        <f>ROUNDDOWN(C32/Parametros!$J$37,0)</f>
        <v>4</v>
      </c>
      <c r="E32" s="152">
        <f t="shared" si="7"/>
        <v>4</v>
      </c>
      <c r="F32" s="279">
        <f>Parametros!$M$43</f>
        <v>80.10122449</v>
      </c>
      <c r="G32" s="152">
        <v>1.0</v>
      </c>
      <c r="H32" s="152">
        <f t="shared" si="8"/>
        <v>80.10122449</v>
      </c>
      <c r="I32" s="275">
        <f t="shared" si="9"/>
        <v>0.04993681464</v>
      </c>
      <c r="J32" s="152" t="s">
        <v>182</v>
      </c>
    </row>
    <row r="33" ht="12.0" customHeight="1">
      <c r="A33" s="152" t="s">
        <v>64</v>
      </c>
      <c r="B33" s="159">
        <f>O7+O8+O9+O18+O19+O20</f>
        <v>683.5833333</v>
      </c>
      <c r="C33" s="152">
        <f>ROUNDDOWN(B33/Parametros!$B$37,0)</f>
        <v>34</v>
      </c>
      <c r="D33" s="152">
        <f>ROUNDDOWN(C33/Parametros!$J$37,0)</f>
        <v>4</v>
      </c>
      <c r="E33" s="152">
        <f t="shared" si="7"/>
        <v>4</v>
      </c>
      <c r="F33" s="279">
        <f>Parametros!$M$44</f>
        <v>18.54222222</v>
      </c>
      <c r="G33" s="152">
        <v>1.0</v>
      </c>
      <c r="H33" s="152">
        <f t="shared" si="8"/>
        <v>18.54222222</v>
      </c>
      <c r="I33" s="275">
        <f t="shared" si="9"/>
        <v>0.2157238734</v>
      </c>
      <c r="J33" s="152" t="s">
        <v>182</v>
      </c>
    </row>
    <row r="34" ht="12.0" customHeight="1">
      <c r="A34" s="152" t="s">
        <v>66</v>
      </c>
      <c r="B34" s="159">
        <f>O6+O7+O8+O9+O17+O18+O19+O20</f>
        <v>1893.083333</v>
      </c>
      <c r="C34" s="152">
        <f>ROUNDDOWN(B34/Parametros!$B$37,0)</f>
        <v>94</v>
      </c>
      <c r="D34" s="152">
        <f>ROUNDDOWN(C34/Parametros!$J$37,0)</f>
        <v>12</v>
      </c>
      <c r="E34" s="152">
        <f t="shared" si="7"/>
        <v>12</v>
      </c>
      <c r="F34" s="279">
        <f>Parametros!$M$45</f>
        <v>60.656</v>
      </c>
      <c r="G34" s="152">
        <v>1.0</v>
      </c>
      <c r="H34" s="152">
        <f t="shared" si="8"/>
        <v>60.656</v>
      </c>
      <c r="I34" s="275">
        <f t="shared" si="9"/>
        <v>0.1978369823</v>
      </c>
      <c r="J34" s="152" t="s">
        <v>158</v>
      </c>
    </row>
    <row r="35" ht="12.0" customHeight="1">
      <c r="A35" s="152" t="s">
        <v>67</v>
      </c>
      <c r="B35" s="159">
        <f>O6+O7+O8+O9+O17+O18+O19+O20</f>
        <v>1893.083333</v>
      </c>
      <c r="C35" s="152">
        <f>ROUNDDOWN(B35/Parametros!$B$37,0)</f>
        <v>94</v>
      </c>
      <c r="D35" s="152">
        <f>ROUNDDOWN(C35/Parametros!$J$37,0)</f>
        <v>12</v>
      </c>
      <c r="E35" s="152">
        <f t="shared" si="7"/>
        <v>12</v>
      </c>
      <c r="F35" s="279">
        <f>Parametros!$M$46</f>
        <v>187.425</v>
      </c>
      <c r="G35" s="152">
        <v>1.0</v>
      </c>
      <c r="H35" s="152">
        <f t="shared" si="8"/>
        <v>187.425</v>
      </c>
      <c r="I35" s="275">
        <f t="shared" si="9"/>
        <v>0.06402561024</v>
      </c>
      <c r="J35" s="152" t="s">
        <v>158</v>
      </c>
    </row>
    <row r="36" ht="12.0" customHeight="1">
      <c r="A36" s="152" t="s">
        <v>68</v>
      </c>
      <c r="B36" s="159">
        <f>O6+O7+O8+O9+O17+O18+O19+O20</f>
        <v>1893.083333</v>
      </c>
      <c r="C36" s="152">
        <f>ROUNDDOWN(B36/Parametros!$B$37,0)</f>
        <v>94</v>
      </c>
      <c r="D36" s="152">
        <f>ROUNDDOWN(C36/Parametros!$J$37,0)</f>
        <v>12</v>
      </c>
      <c r="E36" s="152">
        <f t="shared" si="7"/>
        <v>12</v>
      </c>
      <c r="F36" s="279">
        <f>Parametros!$M$47</f>
        <v>15.96903226</v>
      </c>
      <c r="G36" s="152">
        <v>1.0</v>
      </c>
      <c r="H36" s="152">
        <f t="shared" si="8"/>
        <v>15.96903226</v>
      </c>
      <c r="I36" s="275">
        <f t="shared" si="9"/>
        <v>0.7514544279</v>
      </c>
      <c r="J36" s="152" t="s">
        <v>158</v>
      </c>
    </row>
    <row r="37" ht="12.0" customHeight="1">
      <c r="A37" s="152" t="s">
        <v>70</v>
      </c>
      <c r="B37" s="159">
        <f>O6+O7+O8+O9+O17+O18+O19+O20</f>
        <v>1893.083333</v>
      </c>
      <c r="C37" s="152">
        <f>ROUNDDOWN(B37/Parametros!$B$37,0)</f>
        <v>94</v>
      </c>
      <c r="D37" s="152">
        <f>ROUNDDOWN(C37/Parametros!$J$37,0)</f>
        <v>12</v>
      </c>
      <c r="E37" s="152">
        <f t="shared" si="7"/>
        <v>12</v>
      </c>
      <c r="F37" s="279">
        <f>Parametros!$M$48</f>
        <v>22.46518519</v>
      </c>
      <c r="G37" s="152">
        <v>1.0</v>
      </c>
      <c r="H37" s="152">
        <f t="shared" si="8"/>
        <v>22.46518519</v>
      </c>
      <c r="I37" s="275">
        <f t="shared" si="9"/>
        <v>0.5341598523</v>
      </c>
      <c r="J37" s="152" t="s">
        <v>158</v>
      </c>
    </row>
    <row r="38" ht="12.0" customHeight="1">
      <c r="A38" s="152" t="s">
        <v>72</v>
      </c>
      <c r="B38" s="159">
        <f>O6+O7+O8+O9+O17+O18+O19+O20</f>
        <v>1893.083333</v>
      </c>
      <c r="C38" s="152">
        <f>ROUNDDOWN(B38/Parametros!$B$37,0)</f>
        <v>94</v>
      </c>
      <c r="D38" s="152">
        <f>ROUNDDOWN(C38/Parametros!$J$37,0)</f>
        <v>12</v>
      </c>
      <c r="E38" s="152">
        <f t="shared" si="7"/>
        <v>12</v>
      </c>
      <c r="F38" s="279">
        <f>Parametros!$M$49</f>
        <v>71.1627907</v>
      </c>
      <c r="G38" s="152">
        <v>1.0</v>
      </c>
      <c r="H38" s="152">
        <f t="shared" si="8"/>
        <v>71.1627907</v>
      </c>
      <c r="I38" s="275">
        <f t="shared" si="9"/>
        <v>0.168627451</v>
      </c>
      <c r="J38" s="152" t="s">
        <v>158</v>
      </c>
    </row>
    <row r="39" ht="12.0" customHeight="1">
      <c r="A39" s="152" t="s">
        <v>76</v>
      </c>
      <c r="B39" s="159">
        <f>O6+O7+O8+O9+O17+O18+O19+O20</f>
        <v>1893.083333</v>
      </c>
      <c r="C39" s="152">
        <f>ROUNDDOWN(B39/Parametros!$B$37,0)</f>
        <v>94</v>
      </c>
      <c r="D39" s="152">
        <f>ROUNDDOWN(C39/Parametros!$J$37,0)</f>
        <v>12</v>
      </c>
      <c r="E39" s="152">
        <f t="shared" si="7"/>
        <v>12</v>
      </c>
      <c r="F39" s="279">
        <f>Parametros!$M$50</f>
        <v>192</v>
      </c>
      <c r="G39" s="152">
        <v>1.0</v>
      </c>
      <c r="H39" s="152">
        <f t="shared" si="8"/>
        <v>192</v>
      </c>
      <c r="I39" s="275">
        <f t="shared" si="9"/>
        <v>0.0625</v>
      </c>
      <c r="J39" s="152" t="s">
        <v>158</v>
      </c>
    </row>
    <row r="40" ht="12.0" customHeight="1">
      <c r="A40" s="152" t="s">
        <v>77</v>
      </c>
      <c r="B40" s="159">
        <f>O6+O7+O8+O9+O17+O18+O19+O20</f>
        <v>1893.083333</v>
      </c>
      <c r="C40" s="152">
        <f>ROUNDDOWN(B40/Parametros!$B$37,0)</f>
        <v>94</v>
      </c>
      <c r="D40" s="152">
        <f>ROUNDDOWN(C40/Parametros!$J$37,0)</f>
        <v>12</v>
      </c>
      <c r="E40" s="152">
        <f t="shared" si="7"/>
        <v>12</v>
      </c>
      <c r="F40" s="279">
        <f>Parametros!$M$51</f>
        <v>136.0227273</v>
      </c>
      <c r="G40" s="152">
        <v>1.0</v>
      </c>
      <c r="H40" s="152">
        <f t="shared" si="8"/>
        <v>136.0227273</v>
      </c>
      <c r="I40" s="275">
        <f t="shared" si="9"/>
        <v>0.08822055138</v>
      </c>
      <c r="J40" s="152" t="s">
        <v>158</v>
      </c>
    </row>
    <row r="41" ht="12.0" customHeight="1">
      <c r="A41" s="152" t="s">
        <v>79</v>
      </c>
      <c r="B41" s="159">
        <f>O6+O7+O8+O9+O17+O18+O19+O20</f>
        <v>1893.083333</v>
      </c>
      <c r="C41" s="152">
        <f>ROUNDDOWN(B41/Parametros!$B$37,0)</f>
        <v>94</v>
      </c>
      <c r="D41" s="152">
        <f>ROUNDDOWN(C41/Parametros!$J$37,0)</f>
        <v>12</v>
      </c>
      <c r="E41" s="152">
        <f t="shared" si="7"/>
        <v>12</v>
      </c>
      <c r="F41" s="279">
        <f>Parametros!$M$52</f>
        <v>60.34285714</v>
      </c>
      <c r="G41" s="152">
        <v>1.0</v>
      </c>
      <c r="H41" s="152">
        <f t="shared" si="8"/>
        <v>60.34285714</v>
      </c>
      <c r="I41" s="275">
        <f t="shared" si="9"/>
        <v>0.1988636364</v>
      </c>
      <c r="J41" s="152" t="s">
        <v>158</v>
      </c>
    </row>
    <row r="42" ht="12.0" customHeight="1">
      <c r="A42" s="152" t="s">
        <v>81</v>
      </c>
      <c r="B42" s="159">
        <f>O6+O7+O8+O9+O17+O18+O19+O20</f>
        <v>1893.083333</v>
      </c>
      <c r="C42" s="152">
        <f>ROUNDDOWN(B42/Parametros!$B$37,0)</f>
        <v>94</v>
      </c>
      <c r="D42" s="152">
        <f>ROUNDDOWN(C42/Parametros!$J$37,0)</f>
        <v>12</v>
      </c>
      <c r="E42" s="152">
        <f t="shared" si="7"/>
        <v>12</v>
      </c>
      <c r="F42" s="279">
        <f>Parametros!$M$53</f>
        <v>25.2</v>
      </c>
      <c r="G42" s="152">
        <v>1.0</v>
      </c>
      <c r="H42" s="152">
        <f t="shared" si="8"/>
        <v>25.2</v>
      </c>
      <c r="I42" s="275">
        <f t="shared" si="9"/>
        <v>0.4761904762</v>
      </c>
      <c r="J42" s="152" t="s">
        <v>158</v>
      </c>
    </row>
    <row r="43" ht="12.0" customHeight="1">
      <c r="A43" s="152" t="s">
        <v>82</v>
      </c>
      <c r="B43" s="159">
        <f>O6+O7+O8+O9+O17+O18+O19+O20</f>
        <v>1893.083333</v>
      </c>
      <c r="C43" s="152">
        <f>ROUNDDOWN(B43/Parametros!$B$37,0)</f>
        <v>94</v>
      </c>
      <c r="D43" s="152">
        <f>ROUNDDOWN(C43/Parametros!$J$37,0)</f>
        <v>12</v>
      </c>
      <c r="E43" s="152">
        <f t="shared" si="7"/>
        <v>12</v>
      </c>
      <c r="F43" s="279">
        <f>Parametros!$M$54</f>
        <v>41.53846154</v>
      </c>
      <c r="G43" s="152">
        <v>1.0</v>
      </c>
      <c r="H43" s="152">
        <f t="shared" si="8"/>
        <v>41.53846154</v>
      </c>
      <c r="I43" s="275">
        <f t="shared" si="9"/>
        <v>0.2888888889</v>
      </c>
      <c r="J43" s="152" t="s">
        <v>158</v>
      </c>
    </row>
    <row r="44" ht="12.0" customHeight="1">
      <c r="A44" s="152" t="s">
        <v>83</v>
      </c>
      <c r="B44" s="159">
        <f>O6+O7+O8+O9+O17+O18+O19+O20</f>
        <v>1893.083333</v>
      </c>
      <c r="C44" s="152">
        <f>ROUNDDOWN(B44/Parametros!$B$37,0)</f>
        <v>94</v>
      </c>
      <c r="D44" s="152">
        <f>ROUNDDOWN(C44/Parametros!$J$37,0)</f>
        <v>12</v>
      </c>
      <c r="E44" s="152">
        <f t="shared" si="7"/>
        <v>12</v>
      </c>
      <c r="F44" s="279">
        <f>Parametros!$M$55</f>
        <v>45.81818182</v>
      </c>
      <c r="G44" s="152">
        <v>1.0</v>
      </c>
      <c r="H44" s="152">
        <f t="shared" si="8"/>
        <v>45.81818182</v>
      </c>
      <c r="I44" s="275">
        <f t="shared" si="9"/>
        <v>0.2619047619</v>
      </c>
      <c r="J44" s="152" t="s">
        <v>158</v>
      </c>
    </row>
    <row r="45" ht="12.0" customHeight="1">
      <c r="A45" s="152" t="s">
        <v>84</v>
      </c>
      <c r="B45" s="159">
        <f>O6+O7+O8+O9+O17+O18+O19+O20</f>
        <v>1893.083333</v>
      </c>
      <c r="C45" s="152">
        <f>ROUNDDOWN(B45/Parametros!$B$37,0)</f>
        <v>94</v>
      </c>
      <c r="D45" s="152">
        <f>ROUNDDOWN(C45/Parametros!$J$37,0)</f>
        <v>12</v>
      </c>
      <c r="E45" s="152">
        <f t="shared" si="7"/>
        <v>12</v>
      </c>
      <c r="F45" s="279">
        <f>Parametros!$M$56</f>
        <v>48.81355932</v>
      </c>
      <c r="G45" s="152">
        <v>1.0</v>
      </c>
      <c r="H45" s="152">
        <f t="shared" si="8"/>
        <v>48.81355932</v>
      </c>
      <c r="I45" s="275">
        <f t="shared" si="9"/>
        <v>0.2458333333</v>
      </c>
      <c r="J45" s="152" t="s">
        <v>158</v>
      </c>
    </row>
    <row r="46" ht="12.0" customHeight="1"/>
    <row r="47" ht="12.0" customHeight="1">
      <c r="A47" s="276" t="s">
        <v>1611</v>
      </c>
      <c r="B47" s="277">
        <f t="shared" ref="B47:M47" si="10">SUM(B10:B13)+SUM(B21:B24)</f>
        <v>30.6</v>
      </c>
      <c r="C47" s="277">
        <f t="shared" si="10"/>
        <v>27</v>
      </c>
      <c r="D47" s="277">
        <f t="shared" si="10"/>
        <v>32.4</v>
      </c>
      <c r="E47" s="277">
        <f t="shared" si="10"/>
        <v>32.4</v>
      </c>
      <c r="F47" s="277">
        <f t="shared" si="10"/>
        <v>32.4</v>
      </c>
      <c r="G47" s="278">
        <f t="shared" si="10"/>
        <v>28.8</v>
      </c>
      <c r="H47" s="278">
        <f t="shared" si="10"/>
        <v>32.4</v>
      </c>
      <c r="I47" s="278">
        <f t="shared" si="10"/>
        <v>32.4</v>
      </c>
      <c r="J47" s="278">
        <f t="shared" si="10"/>
        <v>30.6</v>
      </c>
      <c r="K47" s="278">
        <f t="shared" si="10"/>
        <v>27</v>
      </c>
      <c r="L47" s="278">
        <f t="shared" si="10"/>
        <v>25.2</v>
      </c>
      <c r="M47" s="278">
        <f t="shared" si="10"/>
        <v>28.8</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5.13"/>
    <col customWidth="1" min="2" max="6" width="12.63"/>
  </cols>
  <sheetData>
    <row r="1" ht="12.0" customHeight="1">
      <c r="A1" s="262" t="s">
        <v>1612</v>
      </c>
      <c r="B1" s="263"/>
      <c r="C1" s="263"/>
      <c r="D1" s="263"/>
      <c r="E1" s="263"/>
      <c r="F1" s="263"/>
      <c r="G1" s="263"/>
      <c r="H1" s="263"/>
      <c r="I1" s="263"/>
      <c r="J1" s="263"/>
      <c r="K1" s="263"/>
      <c r="L1" s="263"/>
      <c r="M1" s="263"/>
      <c r="N1" s="264"/>
    </row>
    <row r="2" ht="12.0" customHeight="1">
      <c r="A2" s="265" t="s">
        <v>1591</v>
      </c>
      <c r="B2" s="263"/>
      <c r="C2" s="263"/>
      <c r="D2" s="263"/>
      <c r="E2" s="263"/>
      <c r="F2" s="263"/>
      <c r="G2" s="263"/>
      <c r="H2" s="263"/>
      <c r="I2" s="263"/>
      <c r="J2" s="263"/>
      <c r="K2" s="263"/>
      <c r="L2" s="263"/>
      <c r="M2" s="263"/>
      <c r="N2" s="264"/>
    </row>
    <row r="3" ht="12.0" customHeight="1">
      <c r="A3" s="266" t="s">
        <v>1592</v>
      </c>
      <c r="B3" s="267">
        <v>2029.0</v>
      </c>
      <c r="C3" s="11"/>
      <c r="D3" s="11"/>
      <c r="E3" s="11"/>
      <c r="F3" s="11"/>
      <c r="G3" s="11"/>
      <c r="H3" s="11"/>
      <c r="I3" s="11"/>
      <c r="J3" s="11"/>
      <c r="K3" s="11"/>
      <c r="L3" s="11"/>
      <c r="M3" s="11"/>
      <c r="N3" s="11"/>
      <c r="O3" s="11"/>
    </row>
    <row r="4" ht="12.0" customHeight="1">
      <c r="A4" s="11"/>
      <c r="B4" s="11"/>
      <c r="C4" s="11"/>
      <c r="D4" s="11"/>
      <c r="E4" s="11"/>
      <c r="F4" s="11"/>
      <c r="G4" s="11"/>
      <c r="H4" s="11"/>
      <c r="I4" s="11"/>
      <c r="J4" s="11"/>
      <c r="K4" s="11"/>
      <c r="L4" s="11"/>
      <c r="M4" s="11"/>
      <c r="N4" s="11"/>
      <c r="O4" s="11"/>
    </row>
    <row r="5" ht="12.0" customHeight="1">
      <c r="A5" s="270"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152" t="s">
        <v>34</v>
      </c>
      <c r="B6" s="182">
        <f t="array" ref="B6">INDEX(datos_base!$B$3:$K$10,MATCH($A6,datos_base!$A$3:$A$10,0),MATCH($B$3,datos_base!$B$2:$K$2,0))*INDEX(Parametros!$B$11:$M$26,MATCH($A6,Parametros!$A$11:$A$26,0),MATCH(B$5,Parametros!$B$10:$M$10,0))</f>
        <v>1016.04</v>
      </c>
      <c r="C6" s="182">
        <f t="array" ref="C6">INDEX(datos_base!$B$3:$K$10,MATCH($A6,datos_base!$A$3:$A$10,0),MATCH($B$3,datos_base!$B$2:$K$2,0))*INDEX(Parametros!$B$11:$M$26,MATCH($A6,Parametros!$A$11:$A$26,0),MATCH(C$5,Parametros!$B$10:$M$10,0))</f>
        <v>762.03</v>
      </c>
      <c r="D6" s="182">
        <f t="array" ref="D6">INDEX(datos_base!$B$3:$K$10,MATCH($A6,datos_base!$A$3:$A$10,0),MATCH($B$3,datos_base!$B$2:$K$2,0))*INDEX(Parametros!$B$11:$M$26,MATCH($A6,Parametros!$A$11:$A$26,0),MATCH(D$5,Parametros!$B$10:$M$10,0))</f>
        <v>677.36</v>
      </c>
      <c r="E6" s="182">
        <f t="array" ref="E6">INDEX(datos_base!$B$3:$K$10,MATCH($A6,datos_base!$A$3:$A$10,0),MATCH($B$3,datos_base!$B$2:$K$2,0))*INDEX(Parametros!$B$11:$M$26,MATCH($A6,Parametros!$A$11:$A$26,0),MATCH(E$5,Parametros!$B$10:$M$10,0))</f>
        <v>635.025</v>
      </c>
      <c r="F6" s="182">
        <f t="array" ref="F6">INDEX(datos_base!$B$3:$K$10,MATCH($A6,datos_base!$A$3:$A$10,0),MATCH($B$3,datos_base!$B$2:$K$2,0))*INDEX(Parametros!$B$11:$M$26,MATCH($A6,Parametros!$A$11:$A$26,0),MATCH(F$5,Parametros!$B$10:$M$10,0))</f>
        <v>592.69</v>
      </c>
      <c r="G6" s="182">
        <f t="array" ref="G6">INDEX(datos_base!$B$3:$K$10,MATCH($A6,datos_base!$A$3:$A$10,0),MATCH($B$3,datos_base!$B$2:$K$2,0))*INDEX(Parametros!$B$11:$M$26,MATCH($A6,Parametros!$A$11:$A$26,0),MATCH(G$5,Parametros!$B$10:$M$10,0))</f>
        <v>592.69</v>
      </c>
      <c r="H6" s="182">
        <f t="array" ref="H6">INDEX(datos_base!$B$3:$K$10,MATCH($A6,datos_base!$A$3:$A$10,0),MATCH($B$3,datos_base!$B$2:$K$2,0))*INDEX(Parametros!$B$11:$M$26,MATCH($A6,Parametros!$A$11:$A$26,0),MATCH(H$5,Parametros!$B$10:$M$10,0))</f>
        <v>635.025</v>
      </c>
      <c r="I6" s="182">
        <f t="array" ref="I6">INDEX(datos_base!$B$3:$K$10,MATCH($A6,datos_base!$A$3:$A$10,0),MATCH($B$3,datos_base!$B$2:$K$2,0))*INDEX(Parametros!$B$11:$M$26,MATCH($A6,Parametros!$A$11:$A$26,0),MATCH(I$5,Parametros!$B$10:$M$10,0))</f>
        <v>635.025</v>
      </c>
      <c r="J6" s="182">
        <f t="array" ref="J6">INDEX(datos_base!$B$3:$K$10,MATCH($A6,datos_base!$A$3:$A$10,0),MATCH($B$3,datos_base!$B$2:$K$2,0))*INDEX(Parametros!$B$11:$M$26,MATCH($A6,Parametros!$A$11:$A$26,0),MATCH(J$5,Parametros!$B$10:$M$10,0))</f>
        <v>635.025</v>
      </c>
      <c r="K6" s="182">
        <f t="array" ref="K6">INDEX(datos_base!$B$3:$K$10,MATCH($A6,datos_base!$A$3:$A$10,0),MATCH($B$3,datos_base!$B$2:$K$2,0))*INDEX(Parametros!$B$11:$M$26,MATCH($A6,Parametros!$A$11:$A$26,0),MATCH(K$5,Parametros!$B$10:$M$10,0))</f>
        <v>635.025</v>
      </c>
      <c r="L6" s="182">
        <f t="array" ref="L6">INDEX(datos_base!$B$3:$K$10,MATCH($A6,datos_base!$A$3:$A$10,0),MATCH($B$3,datos_base!$B$2:$K$2,0))*INDEX(Parametros!$B$11:$M$26,MATCH($A6,Parametros!$A$11:$A$26,0),MATCH(L$5,Parametros!$B$10:$M$10,0))</f>
        <v>635.025</v>
      </c>
      <c r="M6" s="182">
        <f t="array" ref="M6">INDEX(datos_base!$B$3:$K$10,MATCH($A6,datos_base!$A$3:$A$10,0),MATCH($B$3,datos_base!$B$2:$K$2,0))*INDEX(Parametros!$B$11:$M$26,MATCH($A6,Parametros!$A$11:$A$26,0),MATCH(M$5,Parametros!$B$10:$M$10,0))</f>
        <v>1016.04</v>
      </c>
      <c r="N6" s="271">
        <f t="shared" ref="N6:N13" si="1">SUM(B6:M6)</f>
        <v>8467</v>
      </c>
      <c r="O6" s="271">
        <f t="shared" ref="O6:O14" si="2">AVERAGE(B6:M6)</f>
        <v>705.5833333</v>
      </c>
    </row>
    <row r="7" ht="12.0" customHeight="1">
      <c r="A7" s="152" t="s">
        <v>43</v>
      </c>
      <c r="B7" s="182">
        <f t="array" ref="B7">INDEX(datos_base!$B$3:$K$10,MATCH($A7,datos_base!$A$3:$A$10,0),MATCH($B$3,datos_base!$B$2:$K$2,0))*INDEX(Parametros!$B$11:$M$26,MATCH($A7,Parametros!$A$11:$A$26,0),MATCH(B$5,Parametros!$B$10:$M$10,0))</f>
        <v>150.1</v>
      </c>
      <c r="C7" s="182">
        <f t="array" ref="C7">INDEX(datos_base!$B$3:$K$10,MATCH($A7,datos_base!$A$3:$A$10,0),MATCH($B$3,datos_base!$B$2:$K$2,0))*INDEX(Parametros!$B$11:$M$26,MATCH($A7,Parametros!$A$11:$A$26,0),MATCH(C$5,Parametros!$B$10:$M$10,0))</f>
        <v>120.08</v>
      </c>
      <c r="D7" s="182">
        <f t="array" ref="D7">INDEX(datos_base!$B$3:$K$10,MATCH($A7,datos_base!$A$3:$A$10,0),MATCH($B$3,datos_base!$B$2:$K$2,0))*INDEX(Parametros!$B$11:$M$26,MATCH($A7,Parametros!$A$11:$A$26,0),MATCH(D$5,Parametros!$B$10:$M$10,0))</f>
        <v>127.585</v>
      </c>
      <c r="E7" s="182">
        <f t="array" ref="E7">INDEX(datos_base!$B$3:$K$10,MATCH($A7,datos_base!$A$3:$A$10,0),MATCH($B$3,datos_base!$B$2:$K$2,0))*INDEX(Parametros!$B$11:$M$26,MATCH($A7,Parametros!$A$11:$A$26,0),MATCH(E$5,Parametros!$B$10:$M$10,0))</f>
        <v>127.585</v>
      </c>
      <c r="F7" s="182">
        <f t="array" ref="F7">INDEX(datos_base!$B$3:$K$10,MATCH($A7,datos_base!$A$3:$A$10,0),MATCH($B$3,datos_base!$B$2:$K$2,0))*INDEX(Parametros!$B$11:$M$26,MATCH($A7,Parametros!$A$11:$A$26,0),MATCH(F$5,Parametros!$B$10:$M$10,0))</f>
        <v>120.08</v>
      </c>
      <c r="G7" s="182">
        <f t="array" ref="G7">INDEX(datos_base!$B$3:$K$10,MATCH($A7,datos_base!$A$3:$A$10,0),MATCH($B$3,datos_base!$B$2:$K$2,0))*INDEX(Parametros!$B$11:$M$26,MATCH($A7,Parametros!$A$11:$A$26,0),MATCH(G$5,Parametros!$B$10:$M$10,0))</f>
        <v>112.575</v>
      </c>
      <c r="H7" s="182">
        <f t="array" ref="H7">INDEX(datos_base!$B$3:$K$10,MATCH($A7,datos_base!$A$3:$A$10,0),MATCH($B$3,datos_base!$B$2:$K$2,0))*INDEX(Parametros!$B$11:$M$26,MATCH($A7,Parametros!$A$11:$A$26,0),MATCH(H$5,Parametros!$B$10:$M$10,0))</f>
        <v>120.08</v>
      </c>
      <c r="I7" s="182">
        <f t="array" ref="I7">INDEX(datos_base!$B$3:$K$10,MATCH($A7,datos_base!$A$3:$A$10,0),MATCH($B$3,datos_base!$B$2:$K$2,0))*INDEX(Parametros!$B$11:$M$26,MATCH($A7,Parametros!$A$11:$A$26,0),MATCH(I$5,Parametros!$B$10:$M$10,0))</f>
        <v>120.08</v>
      </c>
      <c r="J7" s="182">
        <f t="array" ref="J7">INDEX(datos_base!$B$3:$K$10,MATCH($A7,datos_base!$A$3:$A$10,0),MATCH($B$3,datos_base!$B$2:$K$2,0))*INDEX(Parametros!$B$11:$M$26,MATCH($A7,Parametros!$A$11:$A$26,0),MATCH(J$5,Parametros!$B$10:$M$10,0))</f>
        <v>120.08</v>
      </c>
      <c r="K7" s="182">
        <f t="array" ref="K7">INDEX(datos_base!$B$3:$K$10,MATCH($A7,datos_base!$A$3:$A$10,0),MATCH($B$3,datos_base!$B$2:$K$2,0))*INDEX(Parametros!$B$11:$M$26,MATCH($A7,Parametros!$A$11:$A$26,0),MATCH(K$5,Parametros!$B$10:$M$10,0))</f>
        <v>112.575</v>
      </c>
      <c r="L7" s="182">
        <f t="array" ref="L7">INDEX(datos_base!$B$3:$K$10,MATCH($A7,datos_base!$A$3:$A$10,0),MATCH($B$3,datos_base!$B$2:$K$2,0))*INDEX(Parametros!$B$11:$M$26,MATCH($A7,Parametros!$A$11:$A$26,0),MATCH(L$5,Parametros!$B$10:$M$10,0))</f>
        <v>105.07</v>
      </c>
      <c r="M7" s="182">
        <f t="array" ref="M7">INDEX(datos_base!$B$3:$K$10,MATCH($A7,datos_base!$A$3:$A$10,0),MATCH($B$3,datos_base!$B$2:$K$2,0))*INDEX(Parametros!$B$11:$M$26,MATCH($A7,Parametros!$A$11:$A$26,0),MATCH(M$5,Parametros!$B$10:$M$10,0))</f>
        <v>165.11</v>
      </c>
      <c r="N7" s="271">
        <f t="shared" si="1"/>
        <v>1501</v>
      </c>
      <c r="O7" s="271">
        <f t="shared" si="2"/>
        <v>125.0833333</v>
      </c>
    </row>
    <row r="8" ht="12.0" customHeight="1">
      <c r="A8" s="152" t="s">
        <v>53</v>
      </c>
      <c r="B8" s="182">
        <f t="array" ref="B8">INDEX(datos_base!$B$3:$K$10,MATCH($A8,datos_base!$A$3:$A$10,0),MATCH($B$3,datos_base!$B$2:$K$2,0))*INDEX(Parametros!$B$11:$M$26,MATCH($A8,Parametros!$A$11:$A$26,0),MATCH(B$5,Parametros!$B$10:$M$10,0))</f>
        <v>682.3</v>
      </c>
      <c r="C8" s="182">
        <f t="array" ref="C8">INDEX(datos_base!$B$3:$K$10,MATCH($A8,datos_base!$A$3:$A$10,0),MATCH($B$3,datos_base!$B$2:$K$2,0))*INDEX(Parametros!$B$11:$M$26,MATCH($A8,Parametros!$A$11:$A$26,0),MATCH(C$5,Parametros!$B$10:$M$10,0))</f>
        <v>545.84</v>
      </c>
      <c r="D8" s="182">
        <f t="array" ref="D8">INDEX(datos_base!$B$3:$K$10,MATCH($A8,datos_base!$A$3:$A$10,0),MATCH($B$3,datos_base!$B$2:$K$2,0))*INDEX(Parametros!$B$11:$M$26,MATCH($A8,Parametros!$A$11:$A$26,0),MATCH(D$5,Parametros!$B$10:$M$10,0))</f>
        <v>579.955</v>
      </c>
      <c r="E8" s="182">
        <f t="array" ref="E8">INDEX(datos_base!$B$3:$K$10,MATCH($A8,datos_base!$A$3:$A$10,0),MATCH($B$3,datos_base!$B$2:$K$2,0))*INDEX(Parametros!$B$11:$M$26,MATCH($A8,Parametros!$A$11:$A$26,0),MATCH(E$5,Parametros!$B$10:$M$10,0))</f>
        <v>579.955</v>
      </c>
      <c r="F8" s="182">
        <f t="array" ref="F8">INDEX(datos_base!$B$3:$K$10,MATCH($A8,datos_base!$A$3:$A$10,0),MATCH($B$3,datos_base!$B$2:$K$2,0))*INDEX(Parametros!$B$11:$M$26,MATCH($A8,Parametros!$A$11:$A$26,0),MATCH(F$5,Parametros!$B$10:$M$10,0))</f>
        <v>545.84</v>
      </c>
      <c r="G8" s="182">
        <f t="array" ref="G8">INDEX(datos_base!$B$3:$K$10,MATCH($A8,datos_base!$A$3:$A$10,0),MATCH($B$3,datos_base!$B$2:$K$2,0))*INDEX(Parametros!$B$11:$M$26,MATCH($A8,Parametros!$A$11:$A$26,0),MATCH(G$5,Parametros!$B$10:$M$10,0))</f>
        <v>511.725</v>
      </c>
      <c r="H8" s="182">
        <f t="array" ref="H8">INDEX(datos_base!$B$3:$K$10,MATCH($A8,datos_base!$A$3:$A$10,0),MATCH($B$3,datos_base!$B$2:$K$2,0))*INDEX(Parametros!$B$11:$M$26,MATCH($A8,Parametros!$A$11:$A$26,0),MATCH(H$5,Parametros!$B$10:$M$10,0))</f>
        <v>545.84</v>
      </c>
      <c r="I8" s="182">
        <f t="array" ref="I8">INDEX(datos_base!$B$3:$K$10,MATCH($A8,datos_base!$A$3:$A$10,0),MATCH($B$3,datos_base!$B$2:$K$2,0))*INDEX(Parametros!$B$11:$M$26,MATCH($A8,Parametros!$A$11:$A$26,0),MATCH(I$5,Parametros!$B$10:$M$10,0))</f>
        <v>545.84</v>
      </c>
      <c r="J8" s="182">
        <f t="array" ref="J8">INDEX(datos_base!$B$3:$K$10,MATCH($A8,datos_base!$A$3:$A$10,0),MATCH($B$3,datos_base!$B$2:$K$2,0))*INDEX(Parametros!$B$11:$M$26,MATCH($A8,Parametros!$A$11:$A$26,0),MATCH(J$5,Parametros!$B$10:$M$10,0))</f>
        <v>545.84</v>
      </c>
      <c r="K8" s="182">
        <f t="array" ref="K8">INDEX(datos_base!$B$3:$K$10,MATCH($A8,datos_base!$A$3:$A$10,0),MATCH($B$3,datos_base!$B$2:$K$2,0))*INDEX(Parametros!$B$11:$M$26,MATCH($A8,Parametros!$A$11:$A$26,0),MATCH(K$5,Parametros!$B$10:$M$10,0))</f>
        <v>511.725</v>
      </c>
      <c r="L8" s="182">
        <f t="array" ref="L8">INDEX(datos_base!$B$3:$K$10,MATCH($A8,datos_base!$A$3:$A$10,0),MATCH($B$3,datos_base!$B$2:$K$2,0))*INDEX(Parametros!$B$11:$M$26,MATCH($A8,Parametros!$A$11:$A$26,0),MATCH(L$5,Parametros!$B$10:$M$10,0))</f>
        <v>477.61</v>
      </c>
      <c r="M8" s="182">
        <f t="array" ref="M8">INDEX(datos_base!$B$3:$K$10,MATCH($A8,datos_base!$A$3:$A$10,0),MATCH($B$3,datos_base!$B$2:$K$2,0))*INDEX(Parametros!$B$11:$M$26,MATCH($A8,Parametros!$A$11:$A$26,0),MATCH(M$5,Parametros!$B$10:$M$10,0))</f>
        <v>750.53</v>
      </c>
      <c r="N8" s="271">
        <f t="shared" si="1"/>
        <v>6823</v>
      </c>
      <c r="O8" s="271">
        <f t="shared" si="2"/>
        <v>568.5833333</v>
      </c>
    </row>
    <row r="9" ht="12.0" customHeight="1">
      <c r="A9" s="152" t="s">
        <v>59</v>
      </c>
      <c r="B9" s="182">
        <f t="array" ref="B9">INDEX(datos_base!$B$3:$K$10,MATCH($A9,datos_base!$A$3:$A$10,0),MATCH($B$3,datos_base!$B$2:$K$2,0))*INDEX(Parametros!$B$11:$M$26,MATCH($A9,Parametros!$A$11:$A$26,0),MATCH(B$5,Parametros!$B$10:$M$10,0))</f>
        <v>35.8</v>
      </c>
      <c r="C9" s="182">
        <f t="array" ref="C9">INDEX(datos_base!$B$3:$K$10,MATCH($A9,datos_base!$A$3:$A$10,0),MATCH($B$3,datos_base!$B$2:$K$2,0))*INDEX(Parametros!$B$11:$M$26,MATCH($A9,Parametros!$A$11:$A$26,0),MATCH(C$5,Parametros!$B$10:$M$10,0))</f>
        <v>28.64</v>
      </c>
      <c r="D9" s="182">
        <f t="array" ref="D9">INDEX(datos_base!$B$3:$K$10,MATCH($A9,datos_base!$A$3:$A$10,0),MATCH($B$3,datos_base!$B$2:$K$2,0))*INDEX(Parametros!$B$11:$M$26,MATCH($A9,Parametros!$A$11:$A$26,0),MATCH(D$5,Parametros!$B$10:$M$10,0))</f>
        <v>30.43</v>
      </c>
      <c r="E9" s="182">
        <f t="array" ref="E9">INDEX(datos_base!$B$3:$K$10,MATCH($A9,datos_base!$A$3:$A$10,0),MATCH($B$3,datos_base!$B$2:$K$2,0))*INDEX(Parametros!$B$11:$M$26,MATCH($A9,Parametros!$A$11:$A$26,0),MATCH(E$5,Parametros!$B$10:$M$10,0))</f>
        <v>30.43</v>
      </c>
      <c r="F9" s="182">
        <f t="array" ref="F9">INDEX(datos_base!$B$3:$K$10,MATCH($A9,datos_base!$A$3:$A$10,0),MATCH($B$3,datos_base!$B$2:$K$2,0))*INDEX(Parametros!$B$11:$M$26,MATCH($A9,Parametros!$A$11:$A$26,0),MATCH(F$5,Parametros!$B$10:$M$10,0))</f>
        <v>28.64</v>
      </c>
      <c r="G9" s="182">
        <f t="array" ref="G9">INDEX(datos_base!$B$3:$K$10,MATCH($A9,datos_base!$A$3:$A$10,0),MATCH($B$3,datos_base!$B$2:$K$2,0))*INDEX(Parametros!$B$11:$M$26,MATCH($A9,Parametros!$A$11:$A$26,0),MATCH(G$5,Parametros!$B$10:$M$10,0))</f>
        <v>26.85</v>
      </c>
      <c r="H9" s="182">
        <f t="array" ref="H9">INDEX(datos_base!$B$3:$K$10,MATCH($A9,datos_base!$A$3:$A$10,0),MATCH($B$3,datos_base!$B$2:$K$2,0))*INDEX(Parametros!$B$11:$M$26,MATCH($A9,Parametros!$A$11:$A$26,0),MATCH(H$5,Parametros!$B$10:$M$10,0))</f>
        <v>28.64</v>
      </c>
      <c r="I9" s="182">
        <f t="array" ref="I9">INDEX(datos_base!$B$3:$K$10,MATCH($A9,datos_base!$A$3:$A$10,0),MATCH($B$3,datos_base!$B$2:$K$2,0))*INDEX(Parametros!$B$11:$M$26,MATCH($A9,Parametros!$A$11:$A$26,0),MATCH(I$5,Parametros!$B$10:$M$10,0))</f>
        <v>28.64</v>
      </c>
      <c r="J9" s="182">
        <f t="array" ref="J9">INDEX(datos_base!$B$3:$K$10,MATCH($A9,datos_base!$A$3:$A$10,0),MATCH($B$3,datos_base!$B$2:$K$2,0))*INDEX(Parametros!$B$11:$M$26,MATCH($A9,Parametros!$A$11:$A$26,0),MATCH(J$5,Parametros!$B$10:$M$10,0))</f>
        <v>28.64</v>
      </c>
      <c r="K9" s="182">
        <f t="array" ref="K9">INDEX(datos_base!$B$3:$K$10,MATCH($A9,datos_base!$A$3:$A$10,0),MATCH($B$3,datos_base!$B$2:$K$2,0))*INDEX(Parametros!$B$11:$M$26,MATCH($A9,Parametros!$A$11:$A$26,0),MATCH(K$5,Parametros!$B$10:$M$10,0))</f>
        <v>26.85</v>
      </c>
      <c r="L9" s="182">
        <f t="array" ref="L9">INDEX(datos_base!$B$3:$K$10,MATCH($A9,datos_base!$A$3:$A$10,0),MATCH($B$3,datos_base!$B$2:$K$2,0))*INDEX(Parametros!$B$11:$M$26,MATCH($A9,Parametros!$A$11:$A$26,0),MATCH(L$5,Parametros!$B$10:$M$10,0))</f>
        <v>25.06</v>
      </c>
      <c r="M9" s="182">
        <f t="array" ref="M9">INDEX(datos_base!$B$3:$K$10,MATCH($A9,datos_base!$A$3:$A$10,0),MATCH($B$3,datos_base!$B$2:$K$2,0))*INDEX(Parametros!$B$11:$M$26,MATCH($A9,Parametros!$A$11:$A$26,0),MATCH(M$5,Parametros!$B$10:$M$10,0))</f>
        <v>39.38</v>
      </c>
      <c r="N9" s="271">
        <f t="shared" si="1"/>
        <v>358</v>
      </c>
      <c r="O9" s="271">
        <f t="shared" si="2"/>
        <v>29.83333333</v>
      </c>
    </row>
    <row r="10" ht="12.0" customHeight="1">
      <c r="A10" s="152" t="s">
        <v>75</v>
      </c>
      <c r="B10" s="182">
        <f t="array" ref="B10">INDEX(datos_base!$B$3:$K$10,MATCH($A10,datos_base!$A$3:$A$10,0),MATCH($B$3,datos_base!$B$2:$K$2,0))*INDEX(Parametros!$B$11:$M$26,MATCH($A10,Parametros!$A$11:$A$26,0),MATCH(B$5,Parametros!$B$10:$M$10,0))</f>
        <v>8.5</v>
      </c>
      <c r="C10" s="182">
        <f t="array" ref="C10">INDEX(datos_base!$B$3:$K$10,MATCH($A10,datos_base!$A$3:$A$10,0),MATCH($B$3,datos_base!$B$2:$K$2,0))*INDEX(Parametros!$B$11:$M$26,MATCH($A10,Parametros!$A$11:$A$26,0),MATCH(C$5,Parametros!$B$10:$M$10,0))</f>
        <v>7.5</v>
      </c>
      <c r="D10" s="182">
        <f t="array" ref="D10">INDEX(datos_base!$B$3:$K$10,MATCH($A10,datos_base!$A$3:$A$10,0),MATCH($B$3,datos_base!$B$2:$K$2,0))*INDEX(Parametros!$B$11:$M$26,MATCH($A10,Parametros!$A$11:$A$26,0),MATCH(D$5,Parametros!$B$10:$M$10,0))</f>
        <v>9</v>
      </c>
      <c r="E10" s="182">
        <f t="array" ref="E10">INDEX(datos_base!$B$3:$K$10,MATCH($A10,datos_base!$A$3:$A$10,0),MATCH($B$3,datos_base!$B$2:$K$2,0))*INDEX(Parametros!$B$11:$M$26,MATCH($A10,Parametros!$A$11:$A$26,0),MATCH(E$5,Parametros!$B$10:$M$10,0))</f>
        <v>9</v>
      </c>
      <c r="F10" s="182">
        <f t="array" ref="F10">INDEX(datos_base!$B$3:$K$10,MATCH($A10,datos_base!$A$3:$A$10,0),MATCH($B$3,datos_base!$B$2:$K$2,0))*INDEX(Parametros!$B$11:$M$26,MATCH($A10,Parametros!$A$11:$A$26,0),MATCH(F$5,Parametros!$B$10:$M$10,0))</f>
        <v>9</v>
      </c>
      <c r="G10" s="182">
        <f t="array" ref="G10">INDEX(datos_base!$B$3:$K$10,MATCH($A10,datos_base!$A$3:$A$10,0),MATCH($B$3,datos_base!$B$2:$K$2,0))*INDEX(Parametros!$B$11:$M$26,MATCH($A10,Parametros!$A$11:$A$26,0),MATCH(G$5,Parametros!$B$10:$M$10,0))</f>
        <v>8</v>
      </c>
      <c r="H10" s="182">
        <f t="array" ref="H10">INDEX(datos_base!$B$3:$K$10,MATCH($A10,datos_base!$A$3:$A$10,0),MATCH($B$3,datos_base!$B$2:$K$2,0))*INDEX(Parametros!$B$11:$M$26,MATCH($A10,Parametros!$A$11:$A$26,0),MATCH(H$5,Parametros!$B$10:$M$10,0))</f>
        <v>9</v>
      </c>
      <c r="I10" s="182">
        <f t="array" ref="I10">INDEX(datos_base!$B$3:$K$10,MATCH($A10,datos_base!$A$3:$A$10,0),MATCH($B$3,datos_base!$B$2:$K$2,0))*INDEX(Parametros!$B$11:$M$26,MATCH($A10,Parametros!$A$11:$A$26,0),MATCH(I$5,Parametros!$B$10:$M$10,0))</f>
        <v>9</v>
      </c>
      <c r="J10" s="182">
        <f t="array" ref="J10">INDEX(datos_base!$B$3:$K$10,MATCH($A10,datos_base!$A$3:$A$10,0),MATCH($B$3,datos_base!$B$2:$K$2,0))*INDEX(Parametros!$B$11:$M$26,MATCH($A10,Parametros!$A$11:$A$26,0),MATCH(J$5,Parametros!$B$10:$M$10,0))</f>
        <v>8.5</v>
      </c>
      <c r="K10" s="182">
        <f t="array" ref="K10">INDEX(datos_base!$B$3:$K$10,MATCH($A10,datos_base!$A$3:$A$10,0),MATCH($B$3,datos_base!$B$2:$K$2,0))*INDEX(Parametros!$B$11:$M$26,MATCH($A10,Parametros!$A$11:$A$26,0),MATCH(K$5,Parametros!$B$10:$M$10,0))</f>
        <v>7.5</v>
      </c>
      <c r="L10" s="182">
        <f t="array" ref="L10">INDEX(datos_base!$B$3:$K$10,MATCH($A10,datos_base!$A$3:$A$10,0),MATCH($B$3,datos_base!$B$2:$K$2,0))*INDEX(Parametros!$B$11:$M$26,MATCH($A10,Parametros!$A$11:$A$26,0),MATCH(L$5,Parametros!$B$10:$M$10,0))</f>
        <v>7</v>
      </c>
      <c r="M10" s="182">
        <f t="array" ref="M10">INDEX(datos_base!$B$3:$K$10,MATCH($A10,datos_base!$A$3:$A$10,0),MATCH($B$3,datos_base!$B$2:$K$2,0))*INDEX(Parametros!$B$11:$M$26,MATCH($A10,Parametros!$A$11:$A$26,0),MATCH(M$5,Parametros!$B$10:$M$10,0))</f>
        <v>8</v>
      </c>
      <c r="N10" s="271">
        <f t="shared" si="1"/>
        <v>100</v>
      </c>
      <c r="O10" s="271">
        <f t="shared" si="2"/>
        <v>8.333333333</v>
      </c>
    </row>
    <row r="11" ht="12.0" customHeight="1">
      <c r="A11" s="152" t="s">
        <v>86</v>
      </c>
      <c r="B11" s="182">
        <f t="array" ref="B11">INDEX(datos_base!$B$3:$K$10,MATCH($A11,datos_base!$A$3:$A$10,0),MATCH($B$3,datos_base!$B$2:$K$2,0))*INDEX(Parametros!$B$11:$M$26,MATCH($A11,Parametros!$A$11:$A$26,0),MATCH(B$5,Parametros!$B$10:$M$10,0))</f>
        <v>18.785</v>
      </c>
      <c r="C11" s="182">
        <f t="array" ref="C11">INDEX(datos_base!$B$3:$K$10,MATCH($A11,datos_base!$A$3:$A$10,0),MATCH($B$3,datos_base!$B$2:$K$2,0))*INDEX(Parametros!$B$11:$M$26,MATCH($A11,Parametros!$A$11:$A$26,0),MATCH(C$5,Parametros!$B$10:$M$10,0))</f>
        <v>16.575</v>
      </c>
      <c r="D11" s="182">
        <f t="array" ref="D11">INDEX(datos_base!$B$3:$K$10,MATCH($A11,datos_base!$A$3:$A$10,0),MATCH($B$3,datos_base!$B$2:$K$2,0))*INDEX(Parametros!$B$11:$M$26,MATCH($A11,Parametros!$A$11:$A$26,0),MATCH(D$5,Parametros!$B$10:$M$10,0))</f>
        <v>19.89</v>
      </c>
      <c r="E11" s="182">
        <f t="array" ref="E11">INDEX(datos_base!$B$3:$K$10,MATCH($A11,datos_base!$A$3:$A$10,0),MATCH($B$3,datos_base!$B$2:$K$2,0))*INDEX(Parametros!$B$11:$M$26,MATCH($A11,Parametros!$A$11:$A$26,0),MATCH(E$5,Parametros!$B$10:$M$10,0))</f>
        <v>19.89</v>
      </c>
      <c r="F11" s="182">
        <f t="array" ref="F11">INDEX(datos_base!$B$3:$K$10,MATCH($A11,datos_base!$A$3:$A$10,0),MATCH($B$3,datos_base!$B$2:$K$2,0))*INDEX(Parametros!$B$11:$M$26,MATCH($A11,Parametros!$A$11:$A$26,0),MATCH(F$5,Parametros!$B$10:$M$10,0))</f>
        <v>19.89</v>
      </c>
      <c r="G11" s="182">
        <f t="array" ref="G11">INDEX(datos_base!$B$3:$K$10,MATCH($A11,datos_base!$A$3:$A$10,0),MATCH($B$3,datos_base!$B$2:$K$2,0))*INDEX(Parametros!$B$11:$M$26,MATCH($A11,Parametros!$A$11:$A$26,0),MATCH(G$5,Parametros!$B$10:$M$10,0))</f>
        <v>17.68</v>
      </c>
      <c r="H11" s="182">
        <f t="array" ref="H11">INDEX(datos_base!$B$3:$K$10,MATCH($A11,datos_base!$A$3:$A$10,0),MATCH($B$3,datos_base!$B$2:$K$2,0))*INDEX(Parametros!$B$11:$M$26,MATCH($A11,Parametros!$A$11:$A$26,0),MATCH(H$5,Parametros!$B$10:$M$10,0))</f>
        <v>19.89</v>
      </c>
      <c r="I11" s="182">
        <f t="array" ref="I11">INDEX(datos_base!$B$3:$K$10,MATCH($A11,datos_base!$A$3:$A$10,0),MATCH($B$3,datos_base!$B$2:$K$2,0))*INDEX(Parametros!$B$11:$M$26,MATCH($A11,Parametros!$A$11:$A$26,0),MATCH(I$5,Parametros!$B$10:$M$10,0))</f>
        <v>19.89</v>
      </c>
      <c r="J11" s="182">
        <f t="array" ref="J11">INDEX(datos_base!$B$3:$K$10,MATCH($A11,datos_base!$A$3:$A$10,0),MATCH($B$3,datos_base!$B$2:$K$2,0))*INDEX(Parametros!$B$11:$M$26,MATCH($A11,Parametros!$A$11:$A$26,0),MATCH(J$5,Parametros!$B$10:$M$10,0))</f>
        <v>18.785</v>
      </c>
      <c r="K11" s="182">
        <f t="array" ref="K11">INDEX(datos_base!$B$3:$K$10,MATCH($A11,datos_base!$A$3:$A$10,0),MATCH($B$3,datos_base!$B$2:$K$2,0))*INDEX(Parametros!$B$11:$M$26,MATCH($A11,Parametros!$A$11:$A$26,0),MATCH(K$5,Parametros!$B$10:$M$10,0))</f>
        <v>16.575</v>
      </c>
      <c r="L11" s="182">
        <f t="array" ref="L11">INDEX(datos_base!$B$3:$K$10,MATCH($A11,datos_base!$A$3:$A$10,0),MATCH($B$3,datos_base!$B$2:$K$2,0))*INDEX(Parametros!$B$11:$M$26,MATCH($A11,Parametros!$A$11:$A$26,0),MATCH(L$5,Parametros!$B$10:$M$10,0))</f>
        <v>15.47</v>
      </c>
      <c r="M11" s="182">
        <f t="array" ref="M11">INDEX(datos_base!$B$3:$K$10,MATCH($A11,datos_base!$A$3:$A$10,0),MATCH($B$3,datos_base!$B$2:$K$2,0))*INDEX(Parametros!$B$11:$M$26,MATCH($A11,Parametros!$A$11:$A$26,0),MATCH(M$5,Parametros!$B$10:$M$10,0))</f>
        <v>17.68</v>
      </c>
      <c r="N11" s="271">
        <f t="shared" si="1"/>
        <v>221</v>
      </c>
      <c r="O11" s="271">
        <f t="shared" si="2"/>
        <v>18.41666667</v>
      </c>
    </row>
    <row r="12" ht="12.0" customHeight="1">
      <c r="A12" s="152" t="s">
        <v>95</v>
      </c>
      <c r="B12" s="182">
        <f t="array" ref="B12">INDEX(datos_base!$B$3:$K$10,MATCH($A12,datos_base!$A$3:$A$10,0),MATCH($B$3,datos_base!$B$2:$K$2,0))*INDEX(Parametros!$B$11:$M$26,MATCH($A12,Parametros!$A$11:$A$26,0),MATCH(B$5,Parametros!$B$10:$M$10,0))</f>
        <v>4.08</v>
      </c>
      <c r="C12" s="182">
        <f t="array" ref="C12">INDEX(datos_base!$B$3:$K$10,MATCH($A12,datos_base!$A$3:$A$10,0),MATCH($B$3,datos_base!$B$2:$K$2,0))*INDEX(Parametros!$B$11:$M$26,MATCH($A12,Parametros!$A$11:$A$26,0),MATCH(C$5,Parametros!$B$10:$M$10,0))</f>
        <v>3.6</v>
      </c>
      <c r="D12" s="182">
        <f t="array" ref="D12">INDEX(datos_base!$B$3:$K$10,MATCH($A12,datos_base!$A$3:$A$10,0),MATCH($B$3,datos_base!$B$2:$K$2,0))*INDEX(Parametros!$B$11:$M$26,MATCH($A12,Parametros!$A$11:$A$26,0),MATCH(D$5,Parametros!$B$10:$M$10,0))</f>
        <v>4.32</v>
      </c>
      <c r="E12" s="182">
        <f t="array" ref="E12">INDEX(datos_base!$B$3:$K$10,MATCH($A12,datos_base!$A$3:$A$10,0),MATCH($B$3,datos_base!$B$2:$K$2,0))*INDEX(Parametros!$B$11:$M$26,MATCH($A12,Parametros!$A$11:$A$26,0),MATCH(E$5,Parametros!$B$10:$M$10,0))</f>
        <v>4.32</v>
      </c>
      <c r="F12" s="182">
        <f t="array" ref="F12">INDEX(datos_base!$B$3:$K$10,MATCH($A12,datos_base!$A$3:$A$10,0),MATCH($B$3,datos_base!$B$2:$K$2,0))*INDEX(Parametros!$B$11:$M$26,MATCH($A12,Parametros!$A$11:$A$26,0),MATCH(F$5,Parametros!$B$10:$M$10,0))</f>
        <v>4.32</v>
      </c>
      <c r="G12" s="182">
        <f t="array" ref="G12">INDEX(datos_base!$B$3:$K$10,MATCH($A12,datos_base!$A$3:$A$10,0),MATCH($B$3,datos_base!$B$2:$K$2,0))*INDEX(Parametros!$B$11:$M$26,MATCH($A12,Parametros!$A$11:$A$26,0),MATCH(G$5,Parametros!$B$10:$M$10,0))</f>
        <v>3.84</v>
      </c>
      <c r="H12" s="182">
        <f t="array" ref="H12">INDEX(datos_base!$B$3:$K$10,MATCH($A12,datos_base!$A$3:$A$10,0),MATCH($B$3,datos_base!$B$2:$K$2,0))*INDEX(Parametros!$B$11:$M$26,MATCH($A12,Parametros!$A$11:$A$26,0),MATCH(H$5,Parametros!$B$10:$M$10,0))</f>
        <v>4.32</v>
      </c>
      <c r="I12" s="182">
        <f t="array" ref="I12">INDEX(datos_base!$B$3:$K$10,MATCH($A12,datos_base!$A$3:$A$10,0),MATCH($B$3,datos_base!$B$2:$K$2,0))*INDEX(Parametros!$B$11:$M$26,MATCH($A12,Parametros!$A$11:$A$26,0),MATCH(I$5,Parametros!$B$10:$M$10,0))</f>
        <v>4.32</v>
      </c>
      <c r="J12" s="182">
        <f t="array" ref="J12">INDEX(datos_base!$B$3:$K$10,MATCH($A12,datos_base!$A$3:$A$10,0),MATCH($B$3,datos_base!$B$2:$K$2,0))*INDEX(Parametros!$B$11:$M$26,MATCH($A12,Parametros!$A$11:$A$26,0),MATCH(J$5,Parametros!$B$10:$M$10,0))</f>
        <v>4.08</v>
      </c>
      <c r="K12" s="182">
        <f t="array" ref="K12">INDEX(datos_base!$B$3:$K$10,MATCH($A12,datos_base!$A$3:$A$10,0),MATCH($B$3,datos_base!$B$2:$K$2,0))*INDEX(Parametros!$B$11:$M$26,MATCH($A12,Parametros!$A$11:$A$26,0),MATCH(K$5,Parametros!$B$10:$M$10,0))</f>
        <v>3.6</v>
      </c>
      <c r="L12" s="182">
        <f t="array" ref="L12">INDEX(datos_base!$B$3:$K$10,MATCH($A12,datos_base!$A$3:$A$10,0),MATCH($B$3,datos_base!$B$2:$K$2,0))*INDEX(Parametros!$B$11:$M$26,MATCH($A12,Parametros!$A$11:$A$26,0),MATCH(L$5,Parametros!$B$10:$M$10,0))</f>
        <v>3.36</v>
      </c>
      <c r="M12" s="182">
        <f t="array" ref="M12">INDEX(datos_base!$B$3:$K$10,MATCH($A12,datos_base!$A$3:$A$10,0),MATCH($B$3,datos_base!$B$2:$K$2,0))*INDEX(Parametros!$B$11:$M$26,MATCH($A12,Parametros!$A$11:$A$26,0),MATCH(M$5,Parametros!$B$10:$M$10,0))</f>
        <v>3.84</v>
      </c>
      <c r="N12" s="271">
        <f t="shared" si="1"/>
        <v>48</v>
      </c>
      <c r="O12" s="271">
        <f t="shared" si="2"/>
        <v>4</v>
      </c>
    </row>
    <row r="13" ht="12.0" customHeight="1">
      <c r="A13" s="152" t="s">
        <v>100</v>
      </c>
      <c r="B13" s="182">
        <f t="array" ref="B13">INDEX(datos_base!$B$3:$K$10,MATCH($A13,datos_base!$A$3:$A$10,0),MATCH($B$3,datos_base!$B$2:$K$2,0))*INDEX(Parametros!$B$11:$M$26,MATCH($A13,Parametros!$A$11:$A$26,0),MATCH(B$5,Parametros!$B$10:$M$10,0))</f>
        <v>2.805</v>
      </c>
      <c r="C13" s="182">
        <f t="array" ref="C13">INDEX(datos_base!$B$3:$K$10,MATCH($A13,datos_base!$A$3:$A$10,0),MATCH($B$3,datos_base!$B$2:$K$2,0))*INDEX(Parametros!$B$11:$M$26,MATCH($A13,Parametros!$A$11:$A$26,0),MATCH(C$5,Parametros!$B$10:$M$10,0))</f>
        <v>2.475</v>
      </c>
      <c r="D13" s="182">
        <f t="array" ref="D13">INDEX(datos_base!$B$3:$K$10,MATCH($A13,datos_base!$A$3:$A$10,0),MATCH($B$3,datos_base!$B$2:$K$2,0))*INDEX(Parametros!$B$11:$M$26,MATCH($A13,Parametros!$A$11:$A$26,0),MATCH(D$5,Parametros!$B$10:$M$10,0))</f>
        <v>2.97</v>
      </c>
      <c r="E13" s="182">
        <f t="array" ref="E13">INDEX(datos_base!$B$3:$K$10,MATCH($A13,datos_base!$A$3:$A$10,0),MATCH($B$3,datos_base!$B$2:$K$2,0))*INDEX(Parametros!$B$11:$M$26,MATCH($A13,Parametros!$A$11:$A$26,0),MATCH(E$5,Parametros!$B$10:$M$10,0))</f>
        <v>2.97</v>
      </c>
      <c r="F13" s="182">
        <f t="array" ref="F13">INDEX(datos_base!$B$3:$K$10,MATCH($A13,datos_base!$A$3:$A$10,0),MATCH($B$3,datos_base!$B$2:$K$2,0))*INDEX(Parametros!$B$11:$M$26,MATCH($A13,Parametros!$A$11:$A$26,0),MATCH(F$5,Parametros!$B$10:$M$10,0))</f>
        <v>2.97</v>
      </c>
      <c r="G13" s="182">
        <f t="array" ref="G13">INDEX(datos_base!$B$3:$K$10,MATCH($A13,datos_base!$A$3:$A$10,0),MATCH($B$3,datos_base!$B$2:$K$2,0))*INDEX(Parametros!$B$11:$M$26,MATCH($A13,Parametros!$A$11:$A$26,0),MATCH(G$5,Parametros!$B$10:$M$10,0))</f>
        <v>2.64</v>
      </c>
      <c r="H13" s="182">
        <f t="array" ref="H13">INDEX(datos_base!$B$3:$K$10,MATCH($A13,datos_base!$A$3:$A$10,0),MATCH($B$3,datos_base!$B$2:$K$2,0))*INDEX(Parametros!$B$11:$M$26,MATCH($A13,Parametros!$A$11:$A$26,0),MATCH(H$5,Parametros!$B$10:$M$10,0))</f>
        <v>2.97</v>
      </c>
      <c r="I13" s="182">
        <f t="array" ref="I13">INDEX(datos_base!$B$3:$K$10,MATCH($A13,datos_base!$A$3:$A$10,0),MATCH($B$3,datos_base!$B$2:$K$2,0))*INDEX(Parametros!$B$11:$M$26,MATCH($A13,Parametros!$A$11:$A$26,0),MATCH(I$5,Parametros!$B$10:$M$10,0))</f>
        <v>2.97</v>
      </c>
      <c r="J13" s="182">
        <f t="array" ref="J13">INDEX(datos_base!$B$3:$K$10,MATCH($A13,datos_base!$A$3:$A$10,0),MATCH($B$3,datos_base!$B$2:$K$2,0))*INDEX(Parametros!$B$11:$M$26,MATCH($A13,Parametros!$A$11:$A$26,0),MATCH(J$5,Parametros!$B$10:$M$10,0))</f>
        <v>2.805</v>
      </c>
      <c r="K13" s="182">
        <f t="array" ref="K13">INDEX(datos_base!$B$3:$K$10,MATCH($A13,datos_base!$A$3:$A$10,0),MATCH($B$3,datos_base!$B$2:$K$2,0))*INDEX(Parametros!$B$11:$M$26,MATCH($A13,Parametros!$A$11:$A$26,0),MATCH(K$5,Parametros!$B$10:$M$10,0))</f>
        <v>2.475</v>
      </c>
      <c r="L13" s="182">
        <f t="array" ref="L13">INDEX(datos_base!$B$3:$K$10,MATCH($A13,datos_base!$A$3:$A$10,0),MATCH($B$3,datos_base!$B$2:$K$2,0))*INDEX(Parametros!$B$11:$M$26,MATCH($A13,Parametros!$A$11:$A$26,0),MATCH(L$5,Parametros!$B$10:$M$10,0))</f>
        <v>2.31</v>
      </c>
      <c r="M13" s="182">
        <f t="array" ref="M13">INDEX(datos_base!$B$3:$K$10,MATCH($A13,datos_base!$A$3:$A$10,0),MATCH($B$3,datos_base!$B$2:$K$2,0))*INDEX(Parametros!$B$11:$M$26,MATCH($A13,Parametros!$A$11:$A$26,0),MATCH(M$5,Parametros!$B$10:$M$10,0))</f>
        <v>2.64</v>
      </c>
      <c r="N13" s="271">
        <f t="shared" si="1"/>
        <v>33</v>
      </c>
      <c r="O13" s="271">
        <f t="shared" si="2"/>
        <v>2.75</v>
      </c>
    </row>
    <row r="14" ht="12.0" customHeight="1">
      <c r="A14" s="272" t="s">
        <v>420</v>
      </c>
      <c r="B14" s="273">
        <f t="shared" ref="B14:N14" si="3">SUM(B6:B13)</f>
        <v>1918.41</v>
      </c>
      <c r="C14" s="273">
        <f t="shared" si="3"/>
        <v>1486.74</v>
      </c>
      <c r="D14" s="273">
        <f t="shared" si="3"/>
        <v>1451.51</v>
      </c>
      <c r="E14" s="273">
        <f t="shared" si="3"/>
        <v>1409.175</v>
      </c>
      <c r="F14" s="273">
        <f t="shared" si="3"/>
        <v>1323.43</v>
      </c>
      <c r="G14" s="273">
        <f t="shared" si="3"/>
        <v>1276</v>
      </c>
      <c r="H14" s="273">
        <f t="shared" si="3"/>
        <v>1365.765</v>
      </c>
      <c r="I14" s="273">
        <f t="shared" si="3"/>
        <v>1365.765</v>
      </c>
      <c r="J14" s="273">
        <f t="shared" si="3"/>
        <v>1363.755</v>
      </c>
      <c r="K14" s="273">
        <f t="shared" si="3"/>
        <v>1316.325</v>
      </c>
      <c r="L14" s="273">
        <f t="shared" si="3"/>
        <v>1270.905</v>
      </c>
      <c r="M14" s="273">
        <f t="shared" si="3"/>
        <v>2003.22</v>
      </c>
      <c r="N14" s="273">
        <f t="shared" si="3"/>
        <v>17551</v>
      </c>
      <c r="O14" s="273">
        <f t="shared" si="2"/>
        <v>1462.583333</v>
      </c>
    </row>
    <row r="15" ht="12.0" customHeight="1">
      <c r="A15" s="11"/>
      <c r="B15" s="11"/>
      <c r="C15" s="11"/>
      <c r="D15" s="11"/>
      <c r="E15" s="11"/>
      <c r="F15" s="11"/>
      <c r="G15" s="11"/>
      <c r="H15" s="11"/>
      <c r="I15" s="11"/>
      <c r="J15" s="11"/>
      <c r="K15" s="11"/>
      <c r="L15" s="11"/>
      <c r="M15" s="11"/>
      <c r="N15" s="11"/>
      <c r="O15" s="11"/>
    </row>
    <row r="16" ht="12.0" customHeight="1">
      <c r="A16" s="270"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c r="O16" s="145" t="s">
        <v>1598</v>
      </c>
    </row>
    <row r="17" ht="12.0" customHeight="1">
      <c r="A17" s="152" t="s">
        <v>102</v>
      </c>
      <c r="B17" s="182">
        <f t="array" ref="B17">INDEX(datos_base!$B$15:$K$22,MATCH($A17,datos_base!$A$15:$A$22,0),MATCH($B$3,datos_base!$B$2:$K$2,0))*INDEX(Parametros!$B$11:$M$26,MATCH($A17,Parametros!$A$11:$A$26,0),MATCH(B$16,Parametros!$B$10:$M$10,0))</f>
        <v>3203.4</v>
      </c>
      <c r="C17" s="182">
        <f t="array" ref="C17">INDEX(datos_base!$B$15:$K$22,MATCH($A17,datos_base!$A$15:$A$22,0),MATCH($B$3,datos_base!$B$2:$K$2,0))*INDEX(Parametros!$B$11:$M$26,MATCH($A17,Parametros!$A$11:$A$26,0),MATCH(C$16,Parametros!$B$10:$M$10,0))</f>
        <v>2402.55</v>
      </c>
      <c r="D17" s="182">
        <f t="array" ref="D17">INDEX(datos_base!$B$15:$K$22,MATCH($A17,datos_base!$A$15:$A$22,0),MATCH($B$3,datos_base!$B$2:$K$2,0))*INDEX(Parametros!$B$11:$M$26,MATCH($A17,Parametros!$A$11:$A$26,0),MATCH(D$16,Parametros!$B$10:$M$10,0))</f>
        <v>2135.6</v>
      </c>
      <c r="E17" s="182">
        <f t="array" ref="E17">INDEX(datos_base!$B$15:$K$22,MATCH($A17,datos_base!$A$15:$A$22,0),MATCH($B$3,datos_base!$B$2:$K$2,0))*INDEX(Parametros!$B$11:$M$26,MATCH($A17,Parametros!$A$11:$A$26,0),MATCH(E$16,Parametros!$B$10:$M$10,0))</f>
        <v>2002.125</v>
      </c>
      <c r="F17" s="182">
        <f t="array" ref="F17">INDEX(datos_base!$B$15:$K$22,MATCH($A17,datos_base!$A$15:$A$22,0),MATCH($B$3,datos_base!$B$2:$K$2,0))*INDEX(Parametros!$B$11:$M$26,MATCH($A17,Parametros!$A$11:$A$26,0),MATCH(F$16,Parametros!$B$10:$M$10,0))</f>
        <v>1868.65</v>
      </c>
      <c r="G17" s="182">
        <f t="array" ref="G17">INDEX(datos_base!$B$15:$K$22,MATCH($A17,datos_base!$A$15:$A$22,0),MATCH($B$3,datos_base!$B$2:$K$2,0))*INDEX(Parametros!$B$11:$M$26,MATCH($A17,Parametros!$A$11:$A$26,0),MATCH(G$16,Parametros!$B$10:$M$10,0))</f>
        <v>1868.65</v>
      </c>
      <c r="H17" s="182">
        <f t="array" ref="H17">INDEX(datos_base!$B$15:$K$22,MATCH($A17,datos_base!$A$15:$A$22,0),MATCH($B$3,datos_base!$B$2:$K$2,0))*INDEX(Parametros!$B$11:$M$26,MATCH($A17,Parametros!$A$11:$A$26,0),MATCH(H$16,Parametros!$B$10:$M$10,0))</f>
        <v>2002.125</v>
      </c>
      <c r="I17" s="182">
        <f t="array" ref="I17">INDEX(datos_base!$B$15:$K$22,MATCH($A17,datos_base!$A$15:$A$22,0),MATCH($B$3,datos_base!$B$2:$K$2,0))*INDEX(Parametros!$B$11:$M$26,MATCH($A17,Parametros!$A$11:$A$26,0),MATCH(I$16,Parametros!$B$10:$M$10,0))</f>
        <v>2002.125</v>
      </c>
      <c r="J17" s="182">
        <f t="array" ref="J17">INDEX(datos_base!$B$15:$K$22,MATCH($A17,datos_base!$A$15:$A$22,0),MATCH($B$3,datos_base!$B$2:$K$2,0))*INDEX(Parametros!$B$11:$M$26,MATCH($A17,Parametros!$A$11:$A$26,0),MATCH(J$16,Parametros!$B$10:$M$10,0))</f>
        <v>2002.125</v>
      </c>
      <c r="K17" s="182">
        <f t="array" ref="K17">INDEX(datos_base!$B$15:$K$22,MATCH($A17,datos_base!$A$15:$A$22,0),MATCH($B$3,datos_base!$B$2:$K$2,0))*INDEX(Parametros!$B$11:$M$26,MATCH($A17,Parametros!$A$11:$A$26,0),MATCH(K$16,Parametros!$B$10:$M$10,0))</f>
        <v>2002.125</v>
      </c>
      <c r="L17" s="182">
        <f t="array" ref="L17">INDEX(datos_base!$B$15:$K$22,MATCH($A17,datos_base!$A$15:$A$22,0),MATCH($B$3,datos_base!$B$2:$K$2,0))*INDEX(Parametros!$B$11:$M$26,MATCH($A17,Parametros!$A$11:$A$26,0),MATCH(L$16,Parametros!$B$10:$M$10,0))</f>
        <v>2002.125</v>
      </c>
      <c r="M17" s="182">
        <f t="array" ref="M17">INDEX(datos_base!$B$15:$K$22,MATCH($A17,datos_base!$A$15:$A$22,0),MATCH($B$3,datos_base!$B$2:$K$2,0))*INDEX(Parametros!$B$11:$M$26,MATCH($A17,Parametros!$A$11:$A$26,0),MATCH(M$16,Parametros!$B$10:$M$10,0))</f>
        <v>3203.4</v>
      </c>
      <c r="N17" s="271">
        <f t="shared" ref="N17:N24" si="4">SUM(B17:M17)</f>
        <v>26695</v>
      </c>
      <c r="O17" s="271">
        <f t="shared" ref="O17:O25" si="5">AVERAGE(B17:M17)</f>
        <v>2224.583333</v>
      </c>
    </row>
    <row r="18" ht="12.0" customHeight="1">
      <c r="A18" s="152" t="s">
        <v>106</v>
      </c>
      <c r="B18" s="182">
        <f t="array" ref="B18">INDEX(datos_base!$B$15:$K$22,MATCH($A18,datos_base!$A$15:$A$22,0),MATCH($B$3,datos_base!$B$2:$K$2,0))*INDEX(Parametros!$B$11:$M$26,MATCH($A18,Parametros!$A$11:$A$26,0),MATCH(B$16,Parametros!$B$10:$M$10,0))</f>
        <v>104.4</v>
      </c>
      <c r="C18" s="182">
        <f t="array" ref="C18">INDEX(datos_base!$B$15:$K$22,MATCH($A18,datos_base!$A$15:$A$22,0),MATCH($B$3,datos_base!$B$2:$K$2,0))*INDEX(Parametros!$B$11:$M$26,MATCH($A18,Parametros!$A$11:$A$26,0),MATCH(C$16,Parametros!$B$10:$M$10,0))</f>
        <v>83.52</v>
      </c>
      <c r="D18" s="182">
        <f t="array" ref="D18">INDEX(datos_base!$B$15:$K$22,MATCH($A18,datos_base!$A$15:$A$22,0),MATCH($B$3,datos_base!$B$2:$K$2,0))*INDEX(Parametros!$B$11:$M$26,MATCH($A18,Parametros!$A$11:$A$26,0),MATCH(D$16,Parametros!$B$10:$M$10,0))</f>
        <v>88.74</v>
      </c>
      <c r="E18" s="182">
        <f t="array" ref="E18">INDEX(datos_base!$B$15:$K$22,MATCH($A18,datos_base!$A$15:$A$22,0),MATCH($B$3,datos_base!$B$2:$K$2,0))*INDEX(Parametros!$B$11:$M$26,MATCH($A18,Parametros!$A$11:$A$26,0),MATCH(E$16,Parametros!$B$10:$M$10,0))</f>
        <v>88.74</v>
      </c>
      <c r="F18" s="182">
        <f t="array" ref="F18">INDEX(datos_base!$B$15:$K$22,MATCH($A18,datos_base!$A$15:$A$22,0),MATCH($B$3,datos_base!$B$2:$K$2,0))*INDEX(Parametros!$B$11:$M$26,MATCH($A18,Parametros!$A$11:$A$26,0),MATCH(F$16,Parametros!$B$10:$M$10,0))</f>
        <v>83.52</v>
      </c>
      <c r="G18" s="182">
        <f t="array" ref="G18">INDEX(datos_base!$B$15:$K$22,MATCH($A18,datos_base!$A$15:$A$22,0),MATCH($B$3,datos_base!$B$2:$K$2,0))*INDEX(Parametros!$B$11:$M$26,MATCH($A18,Parametros!$A$11:$A$26,0),MATCH(G$16,Parametros!$B$10:$M$10,0))</f>
        <v>78.3</v>
      </c>
      <c r="H18" s="182">
        <f t="array" ref="H18">INDEX(datos_base!$B$15:$K$22,MATCH($A18,datos_base!$A$15:$A$22,0),MATCH($B$3,datos_base!$B$2:$K$2,0))*INDEX(Parametros!$B$11:$M$26,MATCH($A18,Parametros!$A$11:$A$26,0),MATCH(H$16,Parametros!$B$10:$M$10,0))</f>
        <v>83.52</v>
      </c>
      <c r="I18" s="182">
        <f t="array" ref="I18">INDEX(datos_base!$B$15:$K$22,MATCH($A18,datos_base!$A$15:$A$22,0),MATCH($B$3,datos_base!$B$2:$K$2,0))*INDEX(Parametros!$B$11:$M$26,MATCH($A18,Parametros!$A$11:$A$26,0),MATCH(I$16,Parametros!$B$10:$M$10,0))</f>
        <v>83.52</v>
      </c>
      <c r="J18" s="182">
        <f t="array" ref="J18">INDEX(datos_base!$B$15:$K$22,MATCH($A18,datos_base!$A$15:$A$22,0),MATCH($B$3,datos_base!$B$2:$K$2,0))*INDEX(Parametros!$B$11:$M$26,MATCH($A18,Parametros!$A$11:$A$26,0),MATCH(J$16,Parametros!$B$10:$M$10,0))</f>
        <v>83.52</v>
      </c>
      <c r="K18" s="182">
        <f t="array" ref="K18">INDEX(datos_base!$B$15:$K$22,MATCH($A18,datos_base!$A$15:$A$22,0),MATCH($B$3,datos_base!$B$2:$K$2,0))*INDEX(Parametros!$B$11:$M$26,MATCH($A18,Parametros!$A$11:$A$26,0),MATCH(K$16,Parametros!$B$10:$M$10,0))</f>
        <v>78.3</v>
      </c>
      <c r="L18" s="182">
        <f t="array" ref="L18">INDEX(datos_base!$B$15:$K$22,MATCH($A18,datos_base!$A$15:$A$22,0),MATCH($B$3,datos_base!$B$2:$K$2,0))*INDEX(Parametros!$B$11:$M$26,MATCH($A18,Parametros!$A$11:$A$26,0),MATCH(L$16,Parametros!$B$10:$M$10,0))</f>
        <v>73.08</v>
      </c>
      <c r="M18" s="182">
        <f t="array" ref="M18">INDEX(datos_base!$B$15:$K$22,MATCH($A18,datos_base!$A$15:$A$22,0),MATCH($B$3,datos_base!$B$2:$K$2,0))*INDEX(Parametros!$B$11:$M$26,MATCH($A18,Parametros!$A$11:$A$26,0),MATCH(M$16,Parametros!$B$10:$M$10,0))</f>
        <v>114.84</v>
      </c>
      <c r="N18" s="271">
        <f t="shared" si="4"/>
        <v>1044</v>
      </c>
      <c r="O18" s="271">
        <f t="shared" si="5"/>
        <v>87</v>
      </c>
    </row>
    <row r="19" ht="12.0" customHeight="1">
      <c r="A19" s="152" t="s">
        <v>108</v>
      </c>
      <c r="B19" s="182">
        <f t="array" ref="B19">INDEX(datos_base!$B$15:$K$22,MATCH($A19,datos_base!$A$15:$A$22,0),MATCH($B$3,datos_base!$B$2:$K$2,0))*INDEX(Parametros!$B$11:$M$26,MATCH($A19,Parametros!$A$11:$A$26,0),MATCH(B$16,Parametros!$B$10:$M$10,0))</f>
        <v>515.2</v>
      </c>
      <c r="C19" s="182">
        <f t="array" ref="C19">INDEX(datos_base!$B$15:$K$22,MATCH($A19,datos_base!$A$15:$A$22,0),MATCH($B$3,datos_base!$B$2:$K$2,0))*INDEX(Parametros!$B$11:$M$26,MATCH($A19,Parametros!$A$11:$A$26,0),MATCH(C$16,Parametros!$B$10:$M$10,0))</f>
        <v>412.16</v>
      </c>
      <c r="D19" s="182">
        <f t="array" ref="D19">INDEX(datos_base!$B$15:$K$22,MATCH($A19,datos_base!$A$15:$A$22,0),MATCH($B$3,datos_base!$B$2:$K$2,0))*INDEX(Parametros!$B$11:$M$26,MATCH($A19,Parametros!$A$11:$A$26,0),MATCH(D$16,Parametros!$B$10:$M$10,0))</f>
        <v>437.92</v>
      </c>
      <c r="E19" s="182">
        <f t="array" ref="E19">INDEX(datos_base!$B$15:$K$22,MATCH($A19,datos_base!$A$15:$A$22,0),MATCH($B$3,datos_base!$B$2:$K$2,0))*INDEX(Parametros!$B$11:$M$26,MATCH($A19,Parametros!$A$11:$A$26,0),MATCH(E$16,Parametros!$B$10:$M$10,0))</f>
        <v>437.92</v>
      </c>
      <c r="F19" s="182">
        <f t="array" ref="F19">INDEX(datos_base!$B$15:$K$22,MATCH($A19,datos_base!$A$15:$A$22,0),MATCH($B$3,datos_base!$B$2:$K$2,0))*INDEX(Parametros!$B$11:$M$26,MATCH($A19,Parametros!$A$11:$A$26,0),MATCH(F$16,Parametros!$B$10:$M$10,0))</f>
        <v>412.16</v>
      </c>
      <c r="G19" s="182">
        <f t="array" ref="G19">INDEX(datos_base!$B$15:$K$22,MATCH($A19,datos_base!$A$15:$A$22,0),MATCH($B$3,datos_base!$B$2:$K$2,0))*INDEX(Parametros!$B$11:$M$26,MATCH($A19,Parametros!$A$11:$A$26,0),MATCH(G$16,Parametros!$B$10:$M$10,0))</f>
        <v>386.4</v>
      </c>
      <c r="H19" s="182">
        <f t="array" ref="H19">INDEX(datos_base!$B$15:$K$22,MATCH($A19,datos_base!$A$15:$A$22,0),MATCH($B$3,datos_base!$B$2:$K$2,0))*INDEX(Parametros!$B$11:$M$26,MATCH($A19,Parametros!$A$11:$A$26,0),MATCH(H$16,Parametros!$B$10:$M$10,0))</f>
        <v>412.16</v>
      </c>
      <c r="I19" s="182">
        <f t="array" ref="I19">INDEX(datos_base!$B$15:$K$22,MATCH($A19,datos_base!$A$15:$A$22,0),MATCH($B$3,datos_base!$B$2:$K$2,0))*INDEX(Parametros!$B$11:$M$26,MATCH($A19,Parametros!$A$11:$A$26,0),MATCH(I$16,Parametros!$B$10:$M$10,0))</f>
        <v>412.16</v>
      </c>
      <c r="J19" s="182">
        <f t="array" ref="J19">INDEX(datos_base!$B$15:$K$22,MATCH($A19,datos_base!$A$15:$A$22,0),MATCH($B$3,datos_base!$B$2:$K$2,0))*INDEX(Parametros!$B$11:$M$26,MATCH($A19,Parametros!$A$11:$A$26,0),MATCH(J$16,Parametros!$B$10:$M$10,0))</f>
        <v>412.16</v>
      </c>
      <c r="K19" s="182">
        <f t="array" ref="K19">INDEX(datos_base!$B$15:$K$22,MATCH($A19,datos_base!$A$15:$A$22,0),MATCH($B$3,datos_base!$B$2:$K$2,0))*INDEX(Parametros!$B$11:$M$26,MATCH($A19,Parametros!$A$11:$A$26,0),MATCH(K$16,Parametros!$B$10:$M$10,0))</f>
        <v>386.4</v>
      </c>
      <c r="L19" s="182">
        <f t="array" ref="L19">INDEX(datos_base!$B$15:$K$22,MATCH($A19,datos_base!$A$15:$A$22,0),MATCH($B$3,datos_base!$B$2:$K$2,0))*INDEX(Parametros!$B$11:$M$26,MATCH($A19,Parametros!$A$11:$A$26,0),MATCH(L$16,Parametros!$B$10:$M$10,0))</f>
        <v>360.64</v>
      </c>
      <c r="M19" s="182">
        <f t="array" ref="M19">INDEX(datos_base!$B$15:$K$22,MATCH($A19,datos_base!$A$15:$A$22,0),MATCH($B$3,datos_base!$B$2:$K$2,0))*INDEX(Parametros!$B$11:$M$26,MATCH($A19,Parametros!$A$11:$A$26,0),MATCH(M$16,Parametros!$B$10:$M$10,0))</f>
        <v>566.72</v>
      </c>
      <c r="N19" s="271">
        <f t="shared" si="4"/>
        <v>5152</v>
      </c>
      <c r="O19" s="271">
        <f t="shared" si="5"/>
        <v>429.3333333</v>
      </c>
    </row>
    <row r="20" ht="12.0" customHeight="1">
      <c r="A20" s="152" t="s">
        <v>122</v>
      </c>
      <c r="B20" s="182">
        <f t="array" ref="B20">INDEX(datos_base!$B$15:$K$22,MATCH($A20,datos_base!$A$15:$A$22,0),MATCH($B$3,datos_base!$B$2:$K$2,0))*INDEX(Parametros!$B$11:$M$26,MATCH($A20,Parametros!$A$11:$A$26,0),MATCH(B$16,Parametros!$B$10:$M$10,0))</f>
        <v>31.5</v>
      </c>
      <c r="C20" s="182">
        <f t="array" ref="C20">INDEX(datos_base!$B$15:$K$22,MATCH($A20,datos_base!$A$15:$A$22,0),MATCH($B$3,datos_base!$B$2:$K$2,0))*INDEX(Parametros!$B$11:$M$26,MATCH($A20,Parametros!$A$11:$A$26,0),MATCH(C$16,Parametros!$B$10:$M$10,0))</f>
        <v>25.2</v>
      </c>
      <c r="D20" s="182">
        <f t="array" ref="D20">INDEX(datos_base!$B$15:$K$22,MATCH($A20,datos_base!$A$15:$A$22,0),MATCH($B$3,datos_base!$B$2:$K$2,0))*INDEX(Parametros!$B$11:$M$26,MATCH($A20,Parametros!$A$11:$A$26,0),MATCH(D$16,Parametros!$B$10:$M$10,0))</f>
        <v>26.775</v>
      </c>
      <c r="E20" s="182">
        <f t="array" ref="E20">INDEX(datos_base!$B$15:$K$22,MATCH($A20,datos_base!$A$15:$A$22,0),MATCH($B$3,datos_base!$B$2:$K$2,0))*INDEX(Parametros!$B$11:$M$26,MATCH($A20,Parametros!$A$11:$A$26,0),MATCH(E$16,Parametros!$B$10:$M$10,0))</f>
        <v>26.775</v>
      </c>
      <c r="F20" s="182">
        <f t="array" ref="F20">INDEX(datos_base!$B$15:$K$22,MATCH($A20,datos_base!$A$15:$A$22,0),MATCH($B$3,datos_base!$B$2:$K$2,0))*INDEX(Parametros!$B$11:$M$26,MATCH($A20,Parametros!$A$11:$A$26,0),MATCH(F$16,Parametros!$B$10:$M$10,0))</f>
        <v>25.2</v>
      </c>
      <c r="G20" s="182">
        <f t="array" ref="G20">INDEX(datos_base!$B$15:$K$22,MATCH($A20,datos_base!$A$15:$A$22,0),MATCH($B$3,datos_base!$B$2:$K$2,0))*INDEX(Parametros!$B$11:$M$26,MATCH($A20,Parametros!$A$11:$A$26,0),MATCH(G$16,Parametros!$B$10:$M$10,0))</f>
        <v>23.625</v>
      </c>
      <c r="H20" s="182">
        <f t="array" ref="H20">INDEX(datos_base!$B$15:$K$22,MATCH($A20,datos_base!$A$15:$A$22,0),MATCH($B$3,datos_base!$B$2:$K$2,0))*INDEX(Parametros!$B$11:$M$26,MATCH($A20,Parametros!$A$11:$A$26,0),MATCH(H$16,Parametros!$B$10:$M$10,0))</f>
        <v>25.2</v>
      </c>
      <c r="I20" s="182">
        <f t="array" ref="I20">INDEX(datos_base!$B$15:$K$22,MATCH($A20,datos_base!$A$15:$A$22,0),MATCH($B$3,datos_base!$B$2:$K$2,0))*INDEX(Parametros!$B$11:$M$26,MATCH($A20,Parametros!$A$11:$A$26,0),MATCH(I$16,Parametros!$B$10:$M$10,0))</f>
        <v>25.2</v>
      </c>
      <c r="J20" s="182">
        <f t="array" ref="J20">INDEX(datos_base!$B$15:$K$22,MATCH($A20,datos_base!$A$15:$A$22,0),MATCH($B$3,datos_base!$B$2:$K$2,0))*INDEX(Parametros!$B$11:$M$26,MATCH($A20,Parametros!$A$11:$A$26,0),MATCH(J$16,Parametros!$B$10:$M$10,0))</f>
        <v>25.2</v>
      </c>
      <c r="K20" s="182">
        <f t="array" ref="K20">INDEX(datos_base!$B$15:$K$22,MATCH($A20,datos_base!$A$15:$A$22,0),MATCH($B$3,datos_base!$B$2:$K$2,0))*INDEX(Parametros!$B$11:$M$26,MATCH($A20,Parametros!$A$11:$A$26,0),MATCH(K$16,Parametros!$B$10:$M$10,0))</f>
        <v>23.625</v>
      </c>
      <c r="L20" s="182">
        <f t="array" ref="L20">INDEX(datos_base!$B$15:$K$22,MATCH($A20,datos_base!$A$15:$A$22,0),MATCH($B$3,datos_base!$B$2:$K$2,0))*INDEX(Parametros!$B$11:$M$26,MATCH($A20,Parametros!$A$11:$A$26,0),MATCH(L$16,Parametros!$B$10:$M$10,0))</f>
        <v>22.05</v>
      </c>
      <c r="M20" s="182">
        <f t="array" ref="M20">INDEX(datos_base!$B$15:$K$22,MATCH($A20,datos_base!$A$15:$A$22,0),MATCH($B$3,datos_base!$B$2:$K$2,0))*INDEX(Parametros!$B$11:$M$26,MATCH($A20,Parametros!$A$11:$A$26,0),MATCH(M$16,Parametros!$B$10:$M$10,0))</f>
        <v>34.65</v>
      </c>
      <c r="N20" s="271">
        <f t="shared" si="4"/>
        <v>315</v>
      </c>
      <c r="O20" s="271">
        <f t="shared" si="5"/>
        <v>26.25</v>
      </c>
    </row>
    <row r="21" ht="12.0" customHeight="1">
      <c r="A21" s="152" t="s">
        <v>125</v>
      </c>
      <c r="B21" s="182">
        <f t="array" ref="B21">INDEX(datos_base!$B$15:$K$22,MATCH($A21,datos_base!$A$15:$A$22,0),MATCH($B$3,datos_base!$B$2:$K$2,0))*INDEX(Parametros!$B$11:$M$26,MATCH($A21,Parametros!$A$11:$A$26,0),MATCH(B$16,Parametros!$B$10:$M$10,0))</f>
        <v>4.25</v>
      </c>
      <c r="C21" s="182">
        <f t="array" ref="C21">INDEX(datos_base!$B$15:$K$22,MATCH($A21,datos_base!$A$15:$A$22,0),MATCH($B$3,datos_base!$B$2:$K$2,0))*INDEX(Parametros!$B$11:$M$26,MATCH($A21,Parametros!$A$11:$A$26,0),MATCH(C$16,Parametros!$B$10:$M$10,0))</f>
        <v>3.75</v>
      </c>
      <c r="D21" s="182">
        <f t="array" ref="D21">INDEX(datos_base!$B$15:$K$22,MATCH($A21,datos_base!$A$15:$A$22,0),MATCH($B$3,datos_base!$B$2:$K$2,0))*INDEX(Parametros!$B$11:$M$26,MATCH($A21,Parametros!$A$11:$A$26,0),MATCH(D$16,Parametros!$B$10:$M$10,0))</f>
        <v>4.5</v>
      </c>
      <c r="E21" s="182">
        <f t="array" ref="E21">INDEX(datos_base!$B$15:$K$22,MATCH($A21,datos_base!$A$15:$A$22,0),MATCH($B$3,datos_base!$B$2:$K$2,0))*INDEX(Parametros!$B$11:$M$26,MATCH($A21,Parametros!$A$11:$A$26,0),MATCH(E$16,Parametros!$B$10:$M$10,0))</f>
        <v>4.5</v>
      </c>
      <c r="F21" s="182">
        <f t="array" ref="F21">INDEX(datos_base!$B$15:$K$22,MATCH($A21,datos_base!$A$15:$A$22,0),MATCH($B$3,datos_base!$B$2:$K$2,0))*INDEX(Parametros!$B$11:$M$26,MATCH($A21,Parametros!$A$11:$A$26,0),MATCH(F$16,Parametros!$B$10:$M$10,0))</f>
        <v>4.5</v>
      </c>
      <c r="G21" s="182">
        <f t="array" ref="G21">INDEX(datos_base!$B$15:$K$22,MATCH($A21,datos_base!$A$15:$A$22,0),MATCH($B$3,datos_base!$B$2:$K$2,0))*INDEX(Parametros!$B$11:$M$26,MATCH($A21,Parametros!$A$11:$A$26,0),MATCH(G$16,Parametros!$B$10:$M$10,0))</f>
        <v>4</v>
      </c>
      <c r="H21" s="182">
        <f t="array" ref="H21">INDEX(datos_base!$B$15:$K$22,MATCH($A21,datos_base!$A$15:$A$22,0),MATCH($B$3,datos_base!$B$2:$K$2,0))*INDEX(Parametros!$B$11:$M$26,MATCH($A21,Parametros!$A$11:$A$26,0),MATCH(H$16,Parametros!$B$10:$M$10,0))</f>
        <v>4.5</v>
      </c>
      <c r="I21" s="182">
        <f t="array" ref="I21">INDEX(datos_base!$B$15:$K$22,MATCH($A21,datos_base!$A$15:$A$22,0),MATCH($B$3,datos_base!$B$2:$K$2,0))*INDEX(Parametros!$B$11:$M$26,MATCH($A21,Parametros!$A$11:$A$26,0),MATCH(I$16,Parametros!$B$10:$M$10,0))</f>
        <v>4.5</v>
      </c>
      <c r="J21" s="182">
        <f t="array" ref="J21">INDEX(datos_base!$B$15:$K$22,MATCH($A21,datos_base!$A$15:$A$22,0),MATCH($B$3,datos_base!$B$2:$K$2,0))*INDEX(Parametros!$B$11:$M$26,MATCH($A21,Parametros!$A$11:$A$26,0),MATCH(J$16,Parametros!$B$10:$M$10,0))</f>
        <v>4.25</v>
      </c>
      <c r="K21" s="182">
        <f t="array" ref="K21">INDEX(datos_base!$B$15:$K$22,MATCH($A21,datos_base!$A$15:$A$22,0),MATCH($B$3,datos_base!$B$2:$K$2,0))*INDEX(Parametros!$B$11:$M$26,MATCH($A21,Parametros!$A$11:$A$26,0),MATCH(K$16,Parametros!$B$10:$M$10,0))</f>
        <v>3.75</v>
      </c>
      <c r="L21" s="182">
        <f t="array" ref="L21">INDEX(datos_base!$B$15:$K$22,MATCH($A21,datos_base!$A$15:$A$22,0),MATCH($B$3,datos_base!$B$2:$K$2,0))*INDEX(Parametros!$B$11:$M$26,MATCH($A21,Parametros!$A$11:$A$26,0),MATCH(L$16,Parametros!$B$10:$M$10,0))</f>
        <v>3.5</v>
      </c>
      <c r="M21" s="182">
        <f t="array" ref="M21">INDEX(datos_base!$B$15:$K$22,MATCH($A21,datos_base!$A$15:$A$22,0),MATCH($B$3,datos_base!$B$2:$K$2,0))*INDEX(Parametros!$B$11:$M$26,MATCH($A21,Parametros!$A$11:$A$26,0),MATCH(M$16,Parametros!$B$10:$M$10,0))</f>
        <v>4</v>
      </c>
      <c r="N21" s="271">
        <f t="shared" si="4"/>
        <v>50</v>
      </c>
      <c r="O21" s="271">
        <f t="shared" si="5"/>
        <v>4.166666667</v>
      </c>
    </row>
    <row r="22" ht="12.0" customHeight="1">
      <c r="A22" s="152" t="s">
        <v>128</v>
      </c>
      <c r="B22" s="182">
        <f t="array" ref="B22">INDEX(datos_base!$B$15:$K$22,MATCH($A22,datos_base!$A$15:$A$22,0),MATCH($B$3,datos_base!$B$2:$K$2,0))*INDEX(Parametros!$B$11:$M$26,MATCH($A22,Parametros!$A$11:$A$26,0),MATCH(B$16,Parametros!$B$10:$M$10,0))</f>
        <v>9.435</v>
      </c>
      <c r="C22" s="182">
        <f t="array" ref="C22">INDEX(datos_base!$B$15:$K$22,MATCH($A22,datos_base!$A$15:$A$22,0),MATCH($B$3,datos_base!$B$2:$K$2,0))*INDEX(Parametros!$B$11:$M$26,MATCH($A22,Parametros!$A$11:$A$26,0),MATCH(C$16,Parametros!$B$10:$M$10,0))</f>
        <v>8.325</v>
      </c>
      <c r="D22" s="182">
        <f t="array" ref="D22">INDEX(datos_base!$B$15:$K$22,MATCH($A22,datos_base!$A$15:$A$22,0),MATCH($B$3,datos_base!$B$2:$K$2,0))*INDEX(Parametros!$B$11:$M$26,MATCH($A22,Parametros!$A$11:$A$26,0),MATCH(D$16,Parametros!$B$10:$M$10,0))</f>
        <v>9.99</v>
      </c>
      <c r="E22" s="182">
        <f t="array" ref="E22">INDEX(datos_base!$B$15:$K$22,MATCH($A22,datos_base!$A$15:$A$22,0),MATCH($B$3,datos_base!$B$2:$K$2,0))*INDEX(Parametros!$B$11:$M$26,MATCH($A22,Parametros!$A$11:$A$26,0),MATCH(E$16,Parametros!$B$10:$M$10,0))</f>
        <v>9.99</v>
      </c>
      <c r="F22" s="182">
        <f t="array" ref="F22">INDEX(datos_base!$B$15:$K$22,MATCH($A22,datos_base!$A$15:$A$22,0),MATCH($B$3,datos_base!$B$2:$K$2,0))*INDEX(Parametros!$B$11:$M$26,MATCH($A22,Parametros!$A$11:$A$26,0),MATCH(F$16,Parametros!$B$10:$M$10,0))</f>
        <v>9.99</v>
      </c>
      <c r="G22" s="182">
        <f t="array" ref="G22">INDEX(datos_base!$B$15:$K$22,MATCH($A22,datos_base!$A$15:$A$22,0),MATCH($B$3,datos_base!$B$2:$K$2,0))*INDEX(Parametros!$B$11:$M$26,MATCH($A22,Parametros!$A$11:$A$26,0),MATCH(G$16,Parametros!$B$10:$M$10,0))</f>
        <v>8.88</v>
      </c>
      <c r="H22" s="182">
        <f t="array" ref="H22">INDEX(datos_base!$B$15:$K$22,MATCH($A22,datos_base!$A$15:$A$22,0),MATCH($B$3,datos_base!$B$2:$K$2,0))*INDEX(Parametros!$B$11:$M$26,MATCH($A22,Parametros!$A$11:$A$26,0),MATCH(H$16,Parametros!$B$10:$M$10,0))</f>
        <v>9.99</v>
      </c>
      <c r="I22" s="182">
        <f t="array" ref="I22">INDEX(datos_base!$B$15:$K$22,MATCH($A22,datos_base!$A$15:$A$22,0),MATCH($B$3,datos_base!$B$2:$K$2,0))*INDEX(Parametros!$B$11:$M$26,MATCH($A22,Parametros!$A$11:$A$26,0),MATCH(I$16,Parametros!$B$10:$M$10,0))</f>
        <v>9.99</v>
      </c>
      <c r="J22" s="182">
        <f t="array" ref="J22">INDEX(datos_base!$B$15:$K$22,MATCH($A22,datos_base!$A$15:$A$22,0),MATCH($B$3,datos_base!$B$2:$K$2,0))*INDEX(Parametros!$B$11:$M$26,MATCH($A22,Parametros!$A$11:$A$26,0),MATCH(J$16,Parametros!$B$10:$M$10,0))</f>
        <v>9.435</v>
      </c>
      <c r="K22" s="182">
        <f t="array" ref="K22">INDEX(datos_base!$B$15:$K$22,MATCH($A22,datos_base!$A$15:$A$22,0),MATCH($B$3,datos_base!$B$2:$K$2,0))*INDEX(Parametros!$B$11:$M$26,MATCH($A22,Parametros!$A$11:$A$26,0),MATCH(K$16,Parametros!$B$10:$M$10,0))</f>
        <v>8.325</v>
      </c>
      <c r="L22" s="182">
        <f t="array" ref="L22">INDEX(datos_base!$B$15:$K$22,MATCH($A22,datos_base!$A$15:$A$22,0),MATCH($B$3,datos_base!$B$2:$K$2,0))*INDEX(Parametros!$B$11:$M$26,MATCH($A22,Parametros!$A$11:$A$26,0),MATCH(L$16,Parametros!$B$10:$M$10,0))</f>
        <v>7.77</v>
      </c>
      <c r="M22" s="182">
        <f t="array" ref="M22">INDEX(datos_base!$B$15:$K$22,MATCH($A22,datos_base!$A$15:$A$22,0),MATCH($B$3,datos_base!$B$2:$K$2,0))*INDEX(Parametros!$B$11:$M$26,MATCH($A22,Parametros!$A$11:$A$26,0),MATCH(M$16,Parametros!$B$10:$M$10,0))</f>
        <v>8.88</v>
      </c>
      <c r="N22" s="271">
        <f t="shared" si="4"/>
        <v>111</v>
      </c>
      <c r="O22" s="271">
        <f t="shared" si="5"/>
        <v>9.25</v>
      </c>
    </row>
    <row r="23" ht="12.0" customHeight="1">
      <c r="A23" s="152" t="s">
        <v>129</v>
      </c>
      <c r="B23" s="182">
        <f t="array" ref="B23">INDEX(datos_base!$B$15:$K$22,MATCH($A23,datos_base!$A$15:$A$22,0),MATCH($B$3,datos_base!$B$2:$K$2,0))*INDEX(Parametros!$B$11:$M$26,MATCH($A23,Parametros!$A$11:$A$26,0),MATCH(B$16,Parametros!$B$10:$M$10,0))</f>
        <v>2.04</v>
      </c>
      <c r="C23" s="182">
        <f t="array" ref="C23">INDEX(datos_base!$B$15:$K$22,MATCH($A23,datos_base!$A$15:$A$22,0),MATCH($B$3,datos_base!$B$2:$K$2,0))*INDEX(Parametros!$B$11:$M$26,MATCH($A23,Parametros!$A$11:$A$26,0),MATCH(C$16,Parametros!$B$10:$M$10,0))</f>
        <v>1.8</v>
      </c>
      <c r="D23" s="182">
        <f t="array" ref="D23">INDEX(datos_base!$B$15:$K$22,MATCH($A23,datos_base!$A$15:$A$22,0),MATCH($B$3,datos_base!$B$2:$K$2,0))*INDEX(Parametros!$B$11:$M$26,MATCH($A23,Parametros!$A$11:$A$26,0),MATCH(D$16,Parametros!$B$10:$M$10,0))</f>
        <v>2.16</v>
      </c>
      <c r="E23" s="182">
        <f t="array" ref="E23">INDEX(datos_base!$B$15:$K$22,MATCH($A23,datos_base!$A$15:$A$22,0),MATCH($B$3,datos_base!$B$2:$K$2,0))*INDEX(Parametros!$B$11:$M$26,MATCH($A23,Parametros!$A$11:$A$26,0),MATCH(E$16,Parametros!$B$10:$M$10,0))</f>
        <v>2.16</v>
      </c>
      <c r="F23" s="182">
        <f t="array" ref="F23">INDEX(datos_base!$B$15:$K$22,MATCH($A23,datos_base!$A$15:$A$22,0),MATCH($B$3,datos_base!$B$2:$K$2,0))*INDEX(Parametros!$B$11:$M$26,MATCH($A23,Parametros!$A$11:$A$26,0),MATCH(F$16,Parametros!$B$10:$M$10,0))</f>
        <v>2.16</v>
      </c>
      <c r="G23" s="182">
        <f t="array" ref="G23">INDEX(datos_base!$B$15:$K$22,MATCH($A23,datos_base!$A$15:$A$22,0),MATCH($B$3,datos_base!$B$2:$K$2,0))*INDEX(Parametros!$B$11:$M$26,MATCH($A23,Parametros!$A$11:$A$26,0),MATCH(G$16,Parametros!$B$10:$M$10,0))</f>
        <v>1.92</v>
      </c>
      <c r="H23" s="182">
        <f t="array" ref="H23">INDEX(datos_base!$B$15:$K$22,MATCH($A23,datos_base!$A$15:$A$22,0),MATCH($B$3,datos_base!$B$2:$K$2,0))*INDEX(Parametros!$B$11:$M$26,MATCH($A23,Parametros!$A$11:$A$26,0),MATCH(H$16,Parametros!$B$10:$M$10,0))</f>
        <v>2.16</v>
      </c>
      <c r="I23" s="182">
        <f t="array" ref="I23">INDEX(datos_base!$B$15:$K$22,MATCH($A23,datos_base!$A$15:$A$22,0),MATCH($B$3,datos_base!$B$2:$K$2,0))*INDEX(Parametros!$B$11:$M$26,MATCH($A23,Parametros!$A$11:$A$26,0),MATCH(I$16,Parametros!$B$10:$M$10,0))</f>
        <v>2.16</v>
      </c>
      <c r="J23" s="182">
        <f t="array" ref="J23">INDEX(datos_base!$B$15:$K$22,MATCH($A23,datos_base!$A$15:$A$22,0),MATCH($B$3,datos_base!$B$2:$K$2,0))*INDEX(Parametros!$B$11:$M$26,MATCH($A23,Parametros!$A$11:$A$26,0),MATCH(J$16,Parametros!$B$10:$M$10,0))</f>
        <v>2.04</v>
      </c>
      <c r="K23" s="182">
        <f t="array" ref="K23">INDEX(datos_base!$B$15:$K$22,MATCH($A23,datos_base!$A$15:$A$22,0),MATCH($B$3,datos_base!$B$2:$K$2,0))*INDEX(Parametros!$B$11:$M$26,MATCH($A23,Parametros!$A$11:$A$26,0),MATCH(K$16,Parametros!$B$10:$M$10,0))</f>
        <v>1.8</v>
      </c>
      <c r="L23" s="182">
        <f t="array" ref="L23">INDEX(datos_base!$B$15:$K$22,MATCH($A23,datos_base!$A$15:$A$22,0),MATCH($B$3,datos_base!$B$2:$K$2,0))*INDEX(Parametros!$B$11:$M$26,MATCH($A23,Parametros!$A$11:$A$26,0),MATCH(L$16,Parametros!$B$10:$M$10,0))</f>
        <v>1.68</v>
      </c>
      <c r="M23" s="182">
        <f t="array" ref="M23">INDEX(datos_base!$B$15:$K$22,MATCH($A23,datos_base!$A$15:$A$22,0),MATCH($B$3,datos_base!$B$2:$K$2,0))*INDEX(Parametros!$B$11:$M$26,MATCH($A23,Parametros!$A$11:$A$26,0),MATCH(M$16,Parametros!$B$10:$M$10,0))</f>
        <v>1.92</v>
      </c>
      <c r="N23" s="271">
        <f t="shared" si="4"/>
        <v>24</v>
      </c>
      <c r="O23" s="271">
        <f t="shared" si="5"/>
        <v>2</v>
      </c>
    </row>
    <row r="24" ht="12.0" customHeight="1">
      <c r="A24" s="152" t="s">
        <v>130</v>
      </c>
      <c r="B24" s="182">
        <f t="array" ref="B24">INDEX(datos_base!$B$15:$K$22,MATCH($A24,datos_base!$A$15:$A$22,0),MATCH($B$3,datos_base!$B$2:$K$2,0))*INDEX(Parametros!$B$11:$M$26,MATCH($A24,Parametros!$A$11:$A$26,0),MATCH(B$16,Parametros!$B$10:$M$10,0))</f>
        <v>1.36</v>
      </c>
      <c r="C24" s="182">
        <f t="array" ref="C24">INDEX(datos_base!$B$15:$K$22,MATCH($A24,datos_base!$A$15:$A$22,0),MATCH($B$3,datos_base!$B$2:$K$2,0))*INDEX(Parametros!$B$11:$M$26,MATCH($A24,Parametros!$A$11:$A$26,0),MATCH(C$16,Parametros!$B$10:$M$10,0))</f>
        <v>1.2</v>
      </c>
      <c r="D24" s="182">
        <f t="array" ref="D24">INDEX(datos_base!$B$15:$K$22,MATCH($A24,datos_base!$A$15:$A$22,0),MATCH($B$3,datos_base!$B$2:$K$2,0))*INDEX(Parametros!$B$11:$M$26,MATCH($A24,Parametros!$A$11:$A$26,0),MATCH(D$16,Parametros!$B$10:$M$10,0))</f>
        <v>1.44</v>
      </c>
      <c r="E24" s="182">
        <f t="array" ref="E24">INDEX(datos_base!$B$15:$K$22,MATCH($A24,datos_base!$A$15:$A$22,0),MATCH($B$3,datos_base!$B$2:$K$2,0))*INDEX(Parametros!$B$11:$M$26,MATCH($A24,Parametros!$A$11:$A$26,0),MATCH(E$16,Parametros!$B$10:$M$10,0))</f>
        <v>1.44</v>
      </c>
      <c r="F24" s="182">
        <f t="array" ref="F24">INDEX(datos_base!$B$15:$K$22,MATCH($A24,datos_base!$A$15:$A$22,0),MATCH($B$3,datos_base!$B$2:$K$2,0))*INDEX(Parametros!$B$11:$M$26,MATCH($A24,Parametros!$A$11:$A$26,0),MATCH(F$16,Parametros!$B$10:$M$10,0))</f>
        <v>1.44</v>
      </c>
      <c r="G24" s="182">
        <f t="array" ref="G24">INDEX(datos_base!$B$15:$K$22,MATCH($A24,datos_base!$A$15:$A$22,0),MATCH($B$3,datos_base!$B$2:$K$2,0))*INDEX(Parametros!$B$11:$M$26,MATCH($A24,Parametros!$A$11:$A$26,0),MATCH(G$16,Parametros!$B$10:$M$10,0))</f>
        <v>1.28</v>
      </c>
      <c r="H24" s="182">
        <f t="array" ref="H24">INDEX(datos_base!$B$15:$K$22,MATCH($A24,datos_base!$A$15:$A$22,0),MATCH($B$3,datos_base!$B$2:$K$2,0))*INDEX(Parametros!$B$11:$M$26,MATCH($A24,Parametros!$A$11:$A$26,0),MATCH(H$16,Parametros!$B$10:$M$10,0))</f>
        <v>1.44</v>
      </c>
      <c r="I24" s="182">
        <f t="array" ref="I24">INDEX(datos_base!$B$15:$K$22,MATCH($A24,datos_base!$A$15:$A$22,0),MATCH($B$3,datos_base!$B$2:$K$2,0))*INDEX(Parametros!$B$11:$M$26,MATCH($A24,Parametros!$A$11:$A$26,0),MATCH(I$16,Parametros!$B$10:$M$10,0))</f>
        <v>1.44</v>
      </c>
      <c r="J24" s="182">
        <f t="array" ref="J24">INDEX(datos_base!$B$15:$K$22,MATCH($A24,datos_base!$A$15:$A$22,0),MATCH($B$3,datos_base!$B$2:$K$2,0))*INDEX(Parametros!$B$11:$M$26,MATCH($A24,Parametros!$A$11:$A$26,0),MATCH(J$16,Parametros!$B$10:$M$10,0))</f>
        <v>1.36</v>
      </c>
      <c r="K24" s="182">
        <f t="array" ref="K24">INDEX(datos_base!$B$15:$K$22,MATCH($A24,datos_base!$A$15:$A$22,0),MATCH($B$3,datos_base!$B$2:$K$2,0))*INDEX(Parametros!$B$11:$M$26,MATCH($A24,Parametros!$A$11:$A$26,0),MATCH(K$16,Parametros!$B$10:$M$10,0))</f>
        <v>1.2</v>
      </c>
      <c r="L24" s="182">
        <f t="array" ref="L24">INDEX(datos_base!$B$15:$K$22,MATCH($A24,datos_base!$A$15:$A$22,0),MATCH($B$3,datos_base!$B$2:$K$2,0))*INDEX(Parametros!$B$11:$M$26,MATCH($A24,Parametros!$A$11:$A$26,0),MATCH(L$16,Parametros!$B$10:$M$10,0))</f>
        <v>1.12</v>
      </c>
      <c r="M24" s="182">
        <f t="array" ref="M24">INDEX(datos_base!$B$15:$K$22,MATCH($A24,datos_base!$A$15:$A$22,0),MATCH($B$3,datos_base!$B$2:$K$2,0))*INDEX(Parametros!$B$11:$M$26,MATCH($A24,Parametros!$A$11:$A$26,0),MATCH(M$16,Parametros!$B$10:$M$10,0))</f>
        <v>1.28</v>
      </c>
      <c r="N24" s="271">
        <f t="shared" si="4"/>
        <v>16</v>
      </c>
      <c r="O24" s="271">
        <f t="shared" si="5"/>
        <v>1.333333333</v>
      </c>
    </row>
    <row r="25" ht="12.0" customHeight="1">
      <c r="A25" s="272" t="s">
        <v>420</v>
      </c>
      <c r="B25" s="273">
        <f t="shared" ref="B25:N25" si="6">SUM(B17:B24)</f>
        <v>3871.585</v>
      </c>
      <c r="C25" s="273">
        <f t="shared" si="6"/>
        <v>2938.505</v>
      </c>
      <c r="D25" s="273">
        <f t="shared" si="6"/>
        <v>2707.125</v>
      </c>
      <c r="E25" s="273">
        <f t="shared" si="6"/>
        <v>2573.65</v>
      </c>
      <c r="F25" s="273">
        <f t="shared" si="6"/>
        <v>2407.62</v>
      </c>
      <c r="G25" s="273">
        <f t="shared" si="6"/>
        <v>2373.055</v>
      </c>
      <c r="H25" s="273">
        <f t="shared" si="6"/>
        <v>2541.095</v>
      </c>
      <c r="I25" s="273">
        <f t="shared" si="6"/>
        <v>2541.095</v>
      </c>
      <c r="J25" s="273">
        <f t="shared" si="6"/>
        <v>2540.09</v>
      </c>
      <c r="K25" s="273">
        <f t="shared" si="6"/>
        <v>2505.525</v>
      </c>
      <c r="L25" s="273">
        <f t="shared" si="6"/>
        <v>2471.965</v>
      </c>
      <c r="M25" s="273">
        <f t="shared" si="6"/>
        <v>3935.69</v>
      </c>
      <c r="N25" s="273">
        <f t="shared" si="6"/>
        <v>33407</v>
      </c>
      <c r="O25" s="273">
        <f t="shared" si="5"/>
        <v>2783.916667</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O6+O7+O8+O9+O17+O18+O19+O20</f>
        <v>4196.25</v>
      </c>
      <c r="C28" s="152">
        <f>ROUNDDOWN(B28/Parametros!$B$37,0)</f>
        <v>209</v>
      </c>
      <c r="D28" s="152">
        <f>ROUNDDOWN(C28/Parametros!$J$37,0)</f>
        <v>27</v>
      </c>
      <c r="E28" s="152">
        <f t="shared" ref="E28:E45" si="7">D28</f>
        <v>27</v>
      </c>
      <c r="F28" s="279">
        <f>Parametros!$M$39</f>
        <v>68</v>
      </c>
      <c r="G28" s="152">
        <v>1.0</v>
      </c>
      <c r="H28" s="152">
        <f t="shared" ref="H28:H45" si="8">F28*G28</f>
        <v>68</v>
      </c>
      <c r="I28" s="275">
        <f t="shared" ref="I28:I45" si="9">E28/H28</f>
        <v>0.3970588235</v>
      </c>
      <c r="J28" s="152" t="s">
        <v>158</v>
      </c>
    </row>
    <row r="29" ht="12.0" customHeight="1">
      <c r="A29" s="152" t="s">
        <v>163</v>
      </c>
      <c r="B29" s="159">
        <f>O6+O7+O8+O9+O17+O18+O19+O20</f>
        <v>4196.25</v>
      </c>
      <c r="C29" s="152">
        <f>ROUNDDOWN(B29/Parametros!$B$37,0)</f>
        <v>209</v>
      </c>
      <c r="D29" s="152">
        <f>ROUNDDOWN(C29/Parametros!$J$37,0)</f>
        <v>27</v>
      </c>
      <c r="E29" s="152">
        <f t="shared" si="7"/>
        <v>27</v>
      </c>
      <c r="F29" s="279">
        <f>Parametros!$M$40</f>
        <v>40.88</v>
      </c>
      <c r="G29" s="152">
        <v>1.0</v>
      </c>
      <c r="H29" s="152">
        <f t="shared" si="8"/>
        <v>40.88</v>
      </c>
      <c r="I29" s="275">
        <f t="shared" si="9"/>
        <v>0.6604696673</v>
      </c>
      <c r="J29" s="152" t="s">
        <v>158</v>
      </c>
    </row>
    <row r="30" ht="12.0" customHeight="1">
      <c r="A30" s="152" t="s">
        <v>61</v>
      </c>
      <c r="B30" s="159">
        <f>O6+O7+O8+O9+O17+O18+O19+O20</f>
        <v>4196.25</v>
      </c>
      <c r="C30" s="152">
        <f>ROUNDDOWN(B30/Parametros!$B$37,0)</f>
        <v>209</v>
      </c>
      <c r="D30" s="152">
        <f>ROUNDDOWN(C30/Parametros!$J$37,0)</f>
        <v>27</v>
      </c>
      <c r="E30" s="152">
        <f t="shared" si="7"/>
        <v>27</v>
      </c>
      <c r="F30" s="279">
        <f>Parametros!$M$41</f>
        <v>466.5116279</v>
      </c>
      <c r="G30" s="152">
        <v>1.0</v>
      </c>
      <c r="H30" s="152">
        <f t="shared" si="8"/>
        <v>466.5116279</v>
      </c>
      <c r="I30" s="275">
        <f t="shared" si="9"/>
        <v>0.05787637089</v>
      </c>
      <c r="J30" s="152" t="s">
        <v>158</v>
      </c>
    </row>
    <row r="31" ht="12.0" customHeight="1">
      <c r="A31" s="152" t="s">
        <v>62</v>
      </c>
      <c r="B31" s="159">
        <f>O7+O8+O9+O18+O19+O20</f>
        <v>1266.083333</v>
      </c>
      <c r="C31" s="152">
        <f>ROUNDDOWN(B31/Parametros!$B$37,0)</f>
        <v>63</v>
      </c>
      <c r="D31" s="152">
        <f>ROUNDDOWN(C31/Parametros!$J$37,0)</f>
        <v>8</v>
      </c>
      <c r="E31" s="152">
        <f t="shared" si="7"/>
        <v>8</v>
      </c>
      <c r="F31" s="279">
        <f>Parametros!$M$42</f>
        <v>96</v>
      </c>
      <c r="G31" s="152">
        <v>1.0</v>
      </c>
      <c r="H31" s="152">
        <f t="shared" si="8"/>
        <v>96</v>
      </c>
      <c r="I31" s="275">
        <f t="shared" si="9"/>
        <v>0.08333333333</v>
      </c>
      <c r="J31" s="152" t="s">
        <v>182</v>
      </c>
    </row>
    <row r="32" ht="12.0" customHeight="1">
      <c r="A32" s="152" t="s">
        <v>63</v>
      </c>
      <c r="B32" s="159">
        <f>O7+O8+O9+O18+O19+O20</f>
        <v>1266.083333</v>
      </c>
      <c r="C32" s="152">
        <f>ROUNDDOWN(B32/Parametros!$B$37,0)</f>
        <v>63</v>
      </c>
      <c r="D32" s="152">
        <f>ROUNDDOWN(C32/Parametros!$J$37,0)</f>
        <v>8</v>
      </c>
      <c r="E32" s="152">
        <f t="shared" si="7"/>
        <v>8</v>
      </c>
      <c r="F32" s="279">
        <f>Parametros!$M$43</f>
        <v>80.10122449</v>
      </c>
      <c r="G32" s="152">
        <v>1.0</v>
      </c>
      <c r="H32" s="152">
        <f t="shared" si="8"/>
        <v>80.10122449</v>
      </c>
      <c r="I32" s="275">
        <f t="shared" si="9"/>
        <v>0.09987362929</v>
      </c>
      <c r="J32" s="152" t="s">
        <v>182</v>
      </c>
    </row>
    <row r="33" ht="12.0" customHeight="1">
      <c r="A33" s="152" t="s">
        <v>64</v>
      </c>
      <c r="B33" s="159">
        <f>O7+O8+O9+O18+O19+O20</f>
        <v>1266.083333</v>
      </c>
      <c r="C33" s="152">
        <f>ROUNDDOWN(B33/Parametros!$B$37,0)</f>
        <v>63</v>
      </c>
      <c r="D33" s="152">
        <f>ROUNDDOWN(C33/Parametros!$J$37,0)</f>
        <v>8</v>
      </c>
      <c r="E33" s="152">
        <f t="shared" si="7"/>
        <v>8</v>
      </c>
      <c r="F33" s="279">
        <f>Parametros!$M$44</f>
        <v>18.54222222</v>
      </c>
      <c r="G33" s="152">
        <v>1.0</v>
      </c>
      <c r="H33" s="152">
        <f t="shared" si="8"/>
        <v>18.54222222</v>
      </c>
      <c r="I33" s="275">
        <f t="shared" si="9"/>
        <v>0.4314477469</v>
      </c>
      <c r="J33" s="152" t="s">
        <v>182</v>
      </c>
    </row>
    <row r="34" ht="12.0" customHeight="1">
      <c r="A34" s="152" t="s">
        <v>66</v>
      </c>
      <c r="B34" s="159">
        <f>O6+O7+O8+O9+O17+O18+O19+O20</f>
        <v>4196.25</v>
      </c>
      <c r="C34" s="152">
        <f>ROUNDDOWN(B34/Parametros!$B$37,0)</f>
        <v>209</v>
      </c>
      <c r="D34" s="152">
        <f>ROUNDDOWN(C34/Parametros!$J$37,0)</f>
        <v>27</v>
      </c>
      <c r="E34" s="152">
        <f t="shared" si="7"/>
        <v>27</v>
      </c>
      <c r="F34" s="279">
        <f>Parametros!$M$45</f>
        <v>60.656</v>
      </c>
      <c r="G34" s="152">
        <v>1.0</v>
      </c>
      <c r="H34" s="152">
        <f t="shared" si="8"/>
        <v>60.656</v>
      </c>
      <c r="I34" s="275">
        <f t="shared" si="9"/>
        <v>0.4451332102</v>
      </c>
      <c r="J34" s="152" t="s">
        <v>158</v>
      </c>
    </row>
    <row r="35" ht="12.0" customHeight="1">
      <c r="A35" s="152" t="s">
        <v>67</v>
      </c>
      <c r="B35" s="159">
        <f>O6+O7+O8+O9+O17+O18+O19+O20</f>
        <v>4196.25</v>
      </c>
      <c r="C35" s="152">
        <f>ROUNDDOWN(B35/Parametros!$B$37,0)</f>
        <v>209</v>
      </c>
      <c r="D35" s="152">
        <f>ROUNDDOWN(C35/Parametros!$J$37,0)</f>
        <v>27</v>
      </c>
      <c r="E35" s="152">
        <f t="shared" si="7"/>
        <v>27</v>
      </c>
      <c r="F35" s="279">
        <f>Parametros!$M$46</f>
        <v>187.425</v>
      </c>
      <c r="G35" s="152">
        <v>1.0</v>
      </c>
      <c r="H35" s="152">
        <f t="shared" si="8"/>
        <v>187.425</v>
      </c>
      <c r="I35" s="275">
        <f t="shared" si="9"/>
        <v>0.144057623</v>
      </c>
      <c r="J35" s="152" t="s">
        <v>158</v>
      </c>
    </row>
    <row r="36" ht="12.0" customHeight="1">
      <c r="A36" s="152" t="s">
        <v>68</v>
      </c>
      <c r="B36" s="159">
        <f>O6+O7+O8+O9+O17+O18+O19+O20</f>
        <v>4196.25</v>
      </c>
      <c r="C36" s="152">
        <f>ROUNDDOWN(B36/Parametros!$B$37,0)</f>
        <v>209</v>
      </c>
      <c r="D36" s="152">
        <f>ROUNDDOWN(C36/Parametros!$J$37,0)</f>
        <v>27</v>
      </c>
      <c r="E36" s="152">
        <f t="shared" si="7"/>
        <v>27</v>
      </c>
      <c r="F36" s="279">
        <f>Parametros!$M$47</f>
        <v>15.96903226</v>
      </c>
      <c r="G36" s="152">
        <v>1.0</v>
      </c>
      <c r="H36" s="152">
        <f t="shared" si="8"/>
        <v>15.96903226</v>
      </c>
      <c r="I36" s="275">
        <f t="shared" si="9"/>
        <v>1.690772463</v>
      </c>
      <c r="J36" s="152" t="s">
        <v>158</v>
      </c>
    </row>
    <row r="37" ht="12.0" customHeight="1">
      <c r="A37" s="152" t="s">
        <v>70</v>
      </c>
      <c r="B37" s="159">
        <f>O6+O7+O8+O9+O17+O18+O19+O20</f>
        <v>4196.25</v>
      </c>
      <c r="C37" s="152">
        <f>ROUNDDOWN(B37/Parametros!$B$37,0)</f>
        <v>209</v>
      </c>
      <c r="D37" s="152">
        <f>ROUNDDOWN(C37/Parametros!$J$37,0)</f>
        <v>27</v>
      </c>
      <c r="E37" s="152">
        <f t="shared" si="7"/>
        <v>27</v>
      </c>
      <c r="F37" s="279">
        <f>Parametros!$M$48</f>
        <v>22.46518519</v>
      </c>
      <c r="G37" s="152">
        <v>1.0</v>
      </c>
      <c r="H37" s="152">
        <f t="shared" si="8"/>
        <v>22.46518519</v>
      </c>
      <c r="I37" s="275">
        <f t="shared" si="9"/>
        <v>1.201859668</v>
      </c>
      <c r="J37" s="152" t="s">
        <v>158</v>
      </c>
    </row>
    <row r="38" ht="12.0" customHeight="1">
      <c r="A38" s="152" t="s">
        <v>72</v>
      </c>
      <c r="B38" s="159">
        <f>O6+O7+O8+O9+O17+O18+O19+O20</f>
        <v>4196.25</v>
      </c>
      <c r="C38" s="152">
        <f>ROUNDDOWN(B38/Parametros!$B$37,0)</f>
        <v>209</v>
      </c>
      <c r="D38" s="152">
        <f>ROUNDDOWN(C38/Parametros!$J$37,0)</f>
        <v>27</v>
      </c>
      <c r="E38" s="152">
        <f t="shared" si="7"/>
        <v>27</v>
      </c>
      <c r="F38" s="279">
        <f>Parametros!$M$49</f>
        <v>71.1627907</v>
      </c>
      <c r="G38" s="152">
        <v>1.0</v>
      </c>
      <c r="H38" s="152">
        <f t="shared" si="8"/>
        <v>71.1627907</v>
      </c>
      <c r="I38" s="275">
        <f t="shared" si="9"/>
        <v>0.3794117647</v>
      </c>
      <c r="J38" s="152" t="s">
        <v>158</v>
      </c>
    </row>
    <row r="39" ht="12.0" customHeight="1">
      <c r="A39" s="152" t="s">
        <v>76</v>
      </c>
      <c r="B39" s="159">
        <f>O6+O7+O8+O9+O17+O18+O19+O20</f>
        <v>4196.25</v>
      </c>
      <c r="C39" s="152">
        <f>ROUNDDOWN(B39/Parametros!$B$37,0)</f>
        <v>209</v>
      </c>
      <c r="D39" s="152">
        <f>ROUNDDOWN(C39/Parametros!$J$37,0)</f>
        <v>27</v>
      </c>
      <c r="E39" s="152">
        <f t="shared" si="7"/>
        <v>27</v>
      </c>
      <c r="F39" s="279">
        <f>Parametros!$M$50</f>
        <v>192</v>
      </c>
      <c r="G39" s="152">
        <v>1.0</v>
      </c>
      <c r="H39" s="152">
        <f t="shared" si="8"/>
        <v>192</v>
      </c>
      <c r="I39" s="275">
        <f t="shared" si="9"/>
        <v>0.140625</v>
      </c>
      <c r="J39" s="152" t="s">
        <v>158</v>
      </c>
    </row>
    <row r="40" ht="12.0" customHeight="1">
      <c r="A40" s="152" t="s">
        <v>77</v>
      </c>
      <c r="B40" s="159">
        <f>O6+O7+O8+O9+O17+O18+O19+O20</f>
        <v>4196.25</v>
      </c>
      <c r="C40" s="152">
        <f>ROUNDDOWN(B40/Parametros!$B$37,0)</f>
        <v>209</v>
      </c>
      <c r="D40" s="152">
        <f>ROUNDDOWN(C40/Parametros!$J$37,0)</f>
        <v>27</v>
      </c>
      <c r="E40" s="152">
        <f t="shared" si="7"/>
        <v>27</v>
      </c>
      <c r="F40" s="279">
        <f>Parametros!$M$51</f>
        <v>136.0227273</v>
      </c>
      <c r="G40" s="152">
        <v>1.0</v>
      </c>
      <c r="H40" s="152">
        <f t="shared" si="8"/>
        <v>136.0227273</v>
      </c>
      <c r="I40" s="275">
        <f t="shared" si="9"/>
        <v>0.1984962406</v>
      </c>
      <c r="J40" s="152" t="s">
        <v>158</v>
      </c>
    </row>
    <row r="41" ht="12.0" customHeight="1">
      <c r="A41" s="152" t="s">
        <v>79</v>
      </c>
      <c r="B41" s="159">
        <f>O6+O7+O8+O9+O17+O18+O19+O20</f>
        <v>4196.25</v>
      </c>
      <c r="C41" s="152">
        <f>ROUNDDOWN(B41/Parametros!$B$37,0)</f>
        <v>209</v>
      </c>
      <c r="D41" s="152">
        <f>ROUNDDOWN(C41/Parametros!$J$37,0)</f>
        <v>27</v>
      </c>
      <c r="E41" s="152">
        <f t="shared" si="7"/>
        <v>27</v>
      </c>
      <c r="F41" s="279">
        <f>Parametros!$M$52</f>
        <v>60.34285714</v>
      </c>
      <c r="G41" s="152">
        <v>1.0</v>
      </c>
      <c r="H41" s="152">
        <f t="shared" si="8"/>
        <v>60.34285714</v>
      </c>
      <c r="I41" s="275">
        <f t="shared" si="9"/>
        <v>0.4474431818</v>
      </c>
      <c r="J41" s="152" t="s">
        <v>158</v>
      </c>
    </row>
    <row r="42" ht="12.0" customHeight="1">
      <c r="A42" s="152" t="s">
        <v>81</v>
      </c>
      <c r="B42" s="159">
        <f>O6+O7+O8+O9+O17+O18+O19+O20</f>
        <v>4196.25</v>
      </c>
      <c r="C42" s="152">
        <f>ROUNDDOWN(B42/Parametros!$B$37,0)</f>
        <v>209</v>
      </c>
      <c r="D42" s="152">
        <f>ROUNDDOWN(C42/Parametros!$J$37,0)</f>
        <v>27</v>
      </c>
      <c r="E42" s="152">
        <f t="shared" si="7"/>
        <v>27</v>
      </c>
      <c r="F42" s="279">
        <f>Parametros!$M$53</f>
        <v>25.2</v>
      </c>
      <c r="G42" s="152">
        <v>1.0</v>
      </c>
      <c r="H42" s="152">
        <f t="shared" si="8"/>
        <v>25.2</v>
      </c>
      <c r="I42" s="275">
        <f t="shared" si="9"/>
        <v>1.071428571</v>
      </c>
      <c r="J42" s="152" t="s">
        <v>158</v>
      </c>
    </row>
    <row r="43" ht="12.0" customHeight="1">
      <c r="A43" s="152" t="s">
        <v>82</v>
      </c>
      <c r="B43" s="159">
        <f>O6+O7+O8+O9+O17+O18+O19+O20</f>
        <v>4196.25</v>
      </c>
      <c r="C43" s="152">
        <f>ROUNDDOWN(B43/Parametros!$B$37,0)</f>
        <v>209</v>
      </c>
      <c r="D43" s="152">
        <f>ROUNDDOWN(C43/Parametros!$J$37,0)</f>
        <v>27</v>
      </c>
      <c r="E43" s="152">
        <f t="shared" si="7"/>
        <v>27</v>
      </c>
      <c r="F43" s="279">
        <f>Parametros!$M$54</f>
        <v>41.53846154</v>
      </c>
      <c r="G43" s="152">
        <v>1.0</v>
      </c>
      <c r="H43" s="152">
        <f t="shared" si="8"/>
        <v>41.53846154</v>
      </c>
      <c r="I43" s="275">
        <f t="shared" si="9"/>
        <v>0.65</v>
      </c>
      <c r="J43" s="152" t="s">
        <v>158</v>
      </c>
    </row>
    <row r="44" ht="12.0" customHeight="1">
      <c r="A44" s="152" t="s">
        <v>83</v>
      </c>
      <c r="B44" s="159">
        <f>O6+O7+O8+O9+O17+O18+O19+O20</f>
        <v>4196.25</v>
      </c>
      <c r="C44" s="152">
        <f>ROUNDDOWN(B44/Parametros!$B$37,0)</f>
        <v>209</v>
      </c>
      <c r="D44" s="152">
        <f>ROUNDDOWN(C44/Parametros!$J$37,0)</f>
        <v>27</v>
      </c>
      <c r="E44" s="152">
        <f t="shared" si="7"/>
        <v>27</v>
      </c>
      <c r="F44" s="279">
        <f>Parametros!$M$55</f>
        <v>45.81818182</v>
      </c>
      <c r="G44" s="152">
        <v>1.0</v>
      </c>
      <c r="H44" s="152">
        <f t="shared" si="8"/>
        <v>45.81818182</v>
      </c>
      <c r="I44" s="275">
        <f t="shared" si="9"/>
        <v>0.5892857143</v>
      </c>
      <c r="J44" s="152" t="s">
        <v>158</v>
      </c>
    </row>
    <row r="45" ht="12.0" customHeight="1">
      <c r="A45" s="152" t="s">
        <v>84</v>
      </c>
      <c r="B45" s="159">
        <f>O6+O7+O8+O9+O17+O18+O19+O20</f>
        <v>4196.25</v>
      </c>
      <c r="C45" s="152">
        <f>ROUNDDOWN(B45/Parametros!$B$37,0)</f>
        <v>209</v>
      </c>
      <c r="D45" s="152">
        <f>ROUNDDOWN(C45/Parametros!$J$37,0)</f>
        <v>27</v>
      </c>
      <c r="E45" s="152">
        <f t="shared" si="7"/>
        <v>27</v>
      </c>
      <c r="F45" s="279">
        <f>Parametros!$M$56</f>
        <v>48.81355932</v>
      </c>
      <c r="G45" s="152">
        <v>1.0</v>
      </c>
      <c r="H45" s="152">
        <f t="shared" si="8"/>
        <v>48.81355932</v>
      </c>
      <c r="I45" s="275">
        <f t="shared" si="9"/>
        <v>0.553125</v>
      </c>
      <c r="J45" s="152" t="s">
        <v>158</v>
      </c>
    </row>
    <row r="46" ht="12.0" customHeight="1"/>
    <row r="47" ht="12.0" customHeight="1">
      <c r="A47" s="276" t="s">
        <v>1611</v>
      </c>
      <c r="B47" s="277">
        <f t="shared" ref="B47:M47" si="10">SUM(B10:B13)+SUM(B21:B24)</f>
        <v>51.255</v>
      </c>
      <c r="C47" s="277">
        <f t="shared" si="10"/>
        <v>45.225</v>
      </c>
      <c r="D47" s="277">
        <f t="shared" si="10"/>
        <v>54.27</v>
      </c>
      <c r="E47" s="277">
        <f t="shared" si="10"/>
        <v>54.27</v>
      </c>
      <c r="F47" s="277">
        <f t="shared" si="10"/>
        <v>54.27</v>
      </c>
      <c r="G47" s="278">
        <f t="shared" si="10"/>
        <v>48.24</v>
      </c>
      <c r="H47" s="278">
        <f t="shared" si="10"/>
        <v>54.27</v>
      </c>
      <c r="I47" s="278">
        <f t="shared" si="10"/>
        <v>54.27</v>
      </c>
      <c r="J47" s="278">
        <f t="shared" si="10"/>
        <v>51.255</v>
      </c>
      <c r="K47" s="278">
        <f t="shared" si="10"/>
        <v>45.225</v>
      </c>
      <c r="L47" s="278">
        <f t="shared" si="10"/>
        <v>42.21</v>
      </c>
      <c r="M47" s="278">
        <f t="shared" si="10"/>
        <v>48.24</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5.38"/>
    <col customWidth="1" min="2" max="4" width="12.63"/>
    <col customWidth="1" min="5" max="5" width="15.75"/>
    <col customWidth="1" min="6" max="6" width="12.63"/>
    <col customWidth="1" min="9" max="9" width="18.0"/>
  </cols>
  <sheetData>
    <row r="1" ht="12.0" customHeight="1">
      <c r="A1" s="262" t="s">
        <v>1613</v>
      </c>
      <c r="B1" s="263"/>
      <c r="C1" s="263"/>
      <c r="D1" s="263"/>
      <c r="E1" s="263"/>
      <c r="F1" s="263"/>
      <c r="G1" s="263"/>
      <c r="H1" s="263"/>
      <c r="I1" s="263"/>
      <c r="J1" s="263"/>
      <c r="K1" s="263"/>
      <c r="L1" s="263"/>
      <c r="M1" s="263"/>
      <c r="N1" s="264"/>
    </row>
    <row r="2" ht="12.0" customHeight="1">
      <c r="A2" s="265" t="s">
        <v>1591</v>
      </c>
      <c r="B2" s="263"/>
      <c r="C2" s="263"/>
      <c r="D2" s="263"/>
      <c r="E2" s="263"/>
      <c r="F2" s="263"/>
      <c r="G2" s="263"/>
      <c r="H2" s="263"/>
      <c r="I2" s="263"/>
      <c r="J2" s="263"/>
      <c r="K2" s="263"/>
      <c r="L2" s="263"/>
      <c r="M2" s="263"/>
      <c r="N2" s="264"/>
    </row>
    <row r="3" ht="12.0" customHeight="1">
      <c r="A3" s="266" t="s">
        <v>1592</v>
      </c>
      <c r="B3" s="267">
        <v>2030.0</v>
      </c>
      <c r="C3" s="11"/>
      <c r="D3" s="11"/>
      <c r="E3" s="11"/>
      <c r="F3" s="11"/>
      <c r="G3" s="11"/>
      <c r="H3" s="11"/>
      <c r="I3" s="11"/>
      <c r="J3" s="11"/>
      <c r="K3" s="11"/>
      <c r="L3" s="11"/>
      <c r="M3" s="11"/>
      <c r="N3" s="11"/>
      <c r="O3" s="11"/>
    </row>
    <row r="4" ht="12.0" customHeight="1">
      <c r="A4" s="11"/>
      <c r="B4" s="11"/>
      <c r="C4" s="11"/>
      <c r="D4" s="11"/>
      <c r="E4" s="11"/>
      <c r="F4" s="11"/>
      <c r="G4" s="11"/>
      <c r="H4" s="11"/>
      <c r="I4" s="11"/>
      <c r="J4" s="11"/>
      <c r="K4" s="11"/>
      <c r="L4" s="11"/>
      <c r="M4" s="11"/>
      <c r="N4" s="11"/>
      <c r="O4" s="11"/>
    </row>
    <row r="5" ht="12.0" customHeight="1">
      <c r="A5" s="270"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152" t="s">
        <v>34</v>
      </c>
      <c r="B6" s="182">
        <f t="array" ref="B6">INDEX(datos_base!$B$3:$K$10,MATCH($A6,datos_base!$A$3:$A$10,0),MATCH($B$3,datos_base!$B$2:$K$2,0))*INDEX(Parametros!$B$11:$M$26,MATCH($A6,Parametros!$A$11:$A$26,0),MATCH(B$5,Parametros!$B$10:$M$10,0))</f>
        <v>1521.72</v>
      </c>
      <c r="C6" s="182">
        <f t="array" ref="C6">INDEX(datos_base!$B$3:$K$10,MATCH($A6,datos_base!$A$3:$A$10,0),MATCH($B$3,datos_base!$B$2:$K$2,0))*INDEX(Parametros!$B$11:$M$26,MATCH($A6,Parametros!$A$11:$A$26,0),MATCH(C$5,Parametros!$B$10:$M$10,0))</f>
        <v>1141.29</v>
      </c>
      <c r="D6" s="182">
        <f t="array" ref="D6">INDEX(datos_base!$B$3:$K$10,MATCH($A6,datos_base!$A$3:$A$10,0),MATCH($B$3,datos_base!$B$2:$K$2,0))*INDEX(Parametros!$B$11:$M$26,MATCH($A6,Parametros!$A$11:$A$26,0),MATCH(D$5,Parametros!$B$10:$M$10,0))</f>
        <v>1014.48</v>
      </c>
      <c r="E6" s="182">
        <f t="array" ref="E6">INDEX(datos_base!$B$3:$K$10,MATCH($A6,datos_base!$A$3:$A$10,0),MATCH($B$3,datos_base!$B$2:$K$2,0))*INDEX(Parametros!$B$11:$M$26,MATCH($A6,Parametros!$A$11:$A$26,0),MATCH(E$5,Parametros!$B$10:$M$10,0))</f>
        <v>951.075</v>
      </c>
      <c r="F6" s="182">
        <f t="array" ref="F6">INDEX(datos_base!$B$3:$K$10,MATCH($A6,datos_base!$A$3:$A$10,0),MATCH($B$3,datos_base!$B$2:$K$2,0))*INDEX(Parametros!$B$11:$M$26,MATCH($A6,Parametros!$A$11:$A$26,0),MATCH(F$5,Parametros!$B$10:$M$10,0))</f>
        <v>887.67</v>
      </c>
      <c r="G6" s="182">
        <f t="array" ref="G6">INDEX(datos_base!$B$3:$K$10,MATCH($A6,datos_base!$A$3:$A$10,0),MATCH($B$3,datos_base!$B$2:$K$2,0))*INDEX(Parametros!$B$11:$M$26,MATCH($A6,Parametros!$A$11:$A$26,0),MATCH(G$5,Parametros!$B$10:$M$10,0))</f>
        <v>887.67</v>
      </c>
      <c r="H6" s="182">
        <f t="array" ref="H6">INDEX(datos_base!$B$3:$K$10,MATCH($A6,datos_base!$A$3:$A$10,0),MATCH($B$3,datos_base!$B$2:$K$2,0))*INDEX(Parametros!$B$11:$M$26,MATCH($A6,Parametros!$A$11:$A$26,0),MATCH(H$5,Parametros!$B$10:$M$10,0))</f>
        <v>951.075</v>
      </c>
      <c r="I6" s="182">
        <f t="array" ref="I6">INDEX(datos_base!$B$3:$K$10,MATCH($A6,datos_base!$A$3:$A$10,0),MATCH($B$3,datos_base!$B$2:$K$2,0))*INDEX(Parametros!$B$11:$M$26,MATCH($A6,Parametros!$A$11:$A$26,0),MATCH(I$5,Parametros!$B$10:$M$10,0))</f>
        <v>951.075</v>
      </c>
      <c r="J6" s="182">
        <f t="array" ref="J6">INDEX(datos_base!$B$3:$K$10,MATCH($A6,datos_base!$A$3:$A$10,0),MATCH($B$3,datos_base!$B$2:$K$2,0))*INDEX(Parametros!$B$11:$M$26,MATCH($A6,Parametros!$A$11:$A$26,0),MATCH(J$5,Parametros!$B$10:$M$10,0))</f>
        <v>951.075</v>
      </c>
      <c r="K6" s="182">
        <f t="array" ref="K6">INDEX(datos_base!$B$3:$K$10,MATCH($A6,datos_base!$A$3:$A$10,0),MATCH($B$3,datos_base!$B$2:$K$2,0))*INDEX(Parametros!$B$11:$M$26,MATCH($A6,Parametros!$A$11:$A$26,0),MATCH(K$5,Parametros!$B$10:$M$10,0))</f>
        <v>951.075</v>
      </c>
      <c r="L6" s="182">
        <f t="array" ref="L6">INDEX(datos_base!$B$3:$K$10,MATCH($A6,datos_base!$A$3:$A$10,0),MATCH($B$3,datos_base!$B$2:$K$2,0))*INDEX(Parametros!$B$11:$M$26,MATCH($A6,Parametros!$A$11:$A$26,0),MATCH(L$5,Parametros!$B$10:$M$10,0))</f>
        <v>951.075</v>
      </c>
      <c r="M6" s="182">
        <f t="array" ref="M6">INDEX(datos_base!$B$3:$K$10,MATCH($A6,datos_base!$A$3:$A$10,0),MATCH($B$3,datos_base!$B$2:$K$2,0))*INDEX(Parametros!$B$11:$M$26,MATCH($A6,Parametros!$A$11:$A$26,0),MATCH(M$5,Parametros!$B$10:$M$10,0))</f>
        <v>1521.72</v>
      </c>
      <c r="N6" s="271">
        <f t="shared" ref="N6:N13" si="1">SUM(B6:M6)</f>
        <v>12681</v>
      </c>
      <c r="O6" s="271">
        <f t="shared" ref="O6:O14" si="2">AVERAGE(B6:M6)</f>
        <v>1056.75</v>
      </c>
    </row>
    <row r="7" ht="12.0" customHeight="1">
      <c r="A7" s="152" t="s">
        <v>43</v>
      </c>
      <c r="B7" s="182">
        <f t="array" ref="B7">INDEX(datos_base!$B$3:$K$10,MATCH($A7,datos_base!$A$3:$A$10,0),MATCH($B$3,datos_base!$B$2:$K$2,0))*INDEX(Parametros!$B$11:$M$26,MATCH($A7,Parametros!$A$11:$A$26,0),MATCH(B$5,Parametros!$B$10:$M$10,0))</f>
        <v>231.2</v>
      </c>
      <c r="C7" s="182">
        <f t="array" ref="C7">INDEX(datos_base!$B$3:$K$10,MATCH($A7,datos_base!$A$3:$A$10,0),MATCH($B$3,datos_base!$B$2:$K$2,0))*INDEX(Parametros!$B$11:$M$26,MATCH($A7,Parametros!$A$11:$A$26,0),MATCH(C$5,Parametros!$B$10:$M$10,0))</f>
        <v>184.96</v>
      </c>
      <c r="D7" s="182">
        <f t="array" ref="D7">INDEX(datos_base!$B$3:$K$10,MATCH($A7,datos_base!$A$3:$A$10,0),MATCH($B$3,datos_base!$B$2:$K$2,0))*INDEX(Parametros!$B$11:$M$26,MATCH($A7,Parametros!$A$11:$A$26,0),MATCH(D$5,Parametros!$B$10:$M$10,0))</f>
        <v>196.52</v>
      </c>
      <c r="E7" s="182">
        <f t="array" ref="E7">INDEX(datos_base!$B$3:$K$10,MATCH($A7,datos_base!$A$3:$A$10,0),MATCH($B$3,datos_base!$B$2:$K$2,0))*INDEX(Parametros!$B$11:$M$26,MATCH($A7,Parametros!$A$11:$A$26,0),MATCH(E$5,Parametros!$B$10:$M$10,0))</f>
        <v>196.52</v>
      </c>
      <c r="F7" s="182">
        <f t="array" ref="F7">INDEX(datos_base!$B$3:$K$10,MATCH($A7,datos_base!$A$3:$A$10,0),MATCH($B$3,datos_base!$B$2:$K$2,0))*INDEX(Parametros!$B$11:$M$26,MATCH($A7,Parametros!$A$11:$A$26,0),MATCH(F$5,Parametros!$B$10:$M$10,0))</f>
        <v>184.96</v>
      </c>
      <c r="G7" s="182">
        <f t="array" ref="G7">INDEX(datos_base!$B$3:$K$10,MATCH($A7,datos_base!$A$3:$A$10,0),MATCH($B$3,datos_base!$B$2:$K$2,0))*INDEX(Parametros!$B$11:$M$26,MATCH($A7,Parametros!$A$11:$A$26,0),MATCH(G$5,Parametros!$B$10:$M$10,0))</f>
        <v>173.4</v>
      </c>
      <c r="H7" s="182">
        <f t="array" ref="H7">INDEX(datos_base!$B$3:$K$10,MATCH($A7,datos_base!$A$3:$A$10,0),MATCH($B$3,datos_base!$B$2:$K$2,0))*INDEX(Parametros!$B$11:$M$26,MATCH($A7,Parametros!$A$11:$A$26,0),MATCH(H$5,Parametros!$B$10:$M$10,0))</f>
        <v>184.96</v>
      </c>
      <c r="I7" s="182">
        <f t="array" ref="I7">INDEX(datos_base!$B$3:$K$10,MATCH($A7,datos_base!$A$3:$A$10,0),MATCH($B$3,datos_base!$B$2:$K$2,0))*INDEX(Parametros!$B$11:$M$26,MATCH($A7,Parametros!$A$11:$A$26,0),MATCH(I$5,Parametros!$B$10:$M$10,0))</f>
        <v>184.96</v>
      </c>
      <c r="J7" s="182">
        <f t="array" ref="J7">INDEX(datos_base!$B$3:$K$10,MATCH($A7,datos_base!$A$3:$A$10,0),MATCH($B$3,datos_base!$B$2:$K$2,0))*INDEX(Parametros!$B$11:$M$26,MATCH($A7,Parametros!$A$11:$A$26,0),MATCH(J$5,Parametros!$B$10:$M$10,0))</f>
        <v>184.96</v>
      </c>
      <c r="K7" s="182">
        <f t="array" ref="K7">INDEX(datos_base!$B$3:$K$10,MATCH($A7,datos_base!$A$3:$A$10,0),MATCH($B$3,datos_base!$B$2:$K$2,0))*INDEX(Parametros!$B$11:$M$26,MATCH($A7,Parametros!$A$11:$A$26,0),MATCH(K$5,Parametros!$B$10:$M$10,0))</f>
        <v>173.4</v>
      </c>
      <c r="L7" s="182">
        <f t="array" ref="L7">INDEX(datos_base!$B$3:$K$10,MATCH($A7,datos_base!$A$3:$A$10,0),MATCH($B$3,datos_base!$B$2:$K$2,0))*INDEX(Parametros!$B$11:$M$26,MATCH($A7,Parametros!$A$11:$A$26,0),MATCH(L$5,Parametros!$B$10:$M$10,0))</f>
        <v>161.84</v>
      </c>
      <c r="M7" s="182">
        <f t="array" ref="M7">INDEX(datos_base!$B$3:$K$10,MATCH($A7,datos_base!$A$3:$A$10,0),MATCH($B$3,datos_base!$B$2:$K$2,0))*INDEX(Parametros!$B$11:$M$26,MATCH($A7,Parametros!$A$11:$A$26,0),MATCH(M$5,Parametros!$B$10:$M$10,0))</f>
        <v>254.32</v>
      </c>
      <c r="N7" s="271">
        <f t="shared" si="1"/>
        <v>2312</v>
      </c>
      <c r="O7" s="271">
        <f t="shared" si="2"/>
        <v>192.6666667</v>
      </c>
    </row>
    <row r="8" ht="12.0" customHeight="1">
      <c r="A8" s="152" t="s">
        <v>53</v>
      </c>
      <c r="B8" s="182">
        <f t="array" ref="B8">INDEX(datos_base!$B$3:$K$10,MATCH($A8,datos_base!$A$3:$A$10,0),MATCH($B$3,datos_base!$B$2:$K$2,0))*INDEX(Parametros!$B$11:$M$26,MATCH($A8,Parametros!$A$11:$A$26,0),MATCH(B$5,Parametros!$B$10:$M$10,0))</f>
        <v>1081.9</v>
      </c>
      <c r="C8" s="182">
        <f t="array" ref="C8">INDEX(datos_base!$B$3:$K$10,MATCH($A8,datos_base!$A$3:$A$10,0),MATCH($B$3,datos_base!$B$2:$K$2,0))*INDEX(Parametros!$B$11:$M$26,MATCH($A8,Parametros!$A$11:$A$26,0),MATCH(C$5,Parametros!$B$10:$M$10,0))</f>
        <v>865.52</v>
      </c>
      <c r="D8" s="182">
        <f t="array" ref="D8">INDEX(datos_base!$B$3:$K$10,MATCH($A8,datos_base!$A$3:$A$10,0),MATCH($B$3,datos_base!$B$2:$K$2,0))*INDEX(Parametros!$B$11:$M$26,MATCH($A8,Parametros!$A$11:$A$26,0),MATCH(D$5,Parametros!$B$10:$M$10,0))</f>
        <v>919.615</v>
      </c>
      <c r="E8" s="182">
        <f t="array" ref="E8">INDEX(datos_base!$B$3:$K$10,MATCH($A8,datos_base!$A$3:$A$10,0),MATCH($B$3,datos_base!$B$2:$K$2,0))*INDEX(Parametros!$B$11:$M$26,MATCH($A8,Parametros!$A$11:$A$26,0),MATCH(E$5,Parametros!$B$10:$M$10,0))</f>
        <v>919.615</v>
      </c>
      <c r="F8" s="182">
        <f t="array" ref="F8">INDEX(datos_base!$B$3:$K$10,MATCH($A8,datos_base!$A$3:$A$10,0),MATCH($B$3,datos_base!$B$2:$K$2,0))*INDEX(Parametros!$B$11:$M$26,MATCH($A8,Parametros!$A$11:$A$26,0),MATCH(F$5,Parametros!$B$10:$M$10,0))</f>
        <v>865.52</v>
      </c>
      <c r="G8" s="182">
        <f t="array" ref="G8">INDEX(datos_base!$B$3:$K$10,MATCH($A8,datos_base!$A$3:$A$10,0),MATCH($B$3,datos_base!$B$2:$K$2,0))*INDEX(Parametros!$B$11:$M$26,MATCH($A8,Parametros!$A$11:$A$26,0),MATCH(G$5,Parametros!$B$10:$M$10,0))</f>
        <v>811.425</v>
      </c>
      <c r="H8" s="182">
        <f t="array" ref="H8">INDEX(datos_base!$B$3:$K$10,MATCH($A8,datos_base!$A$3:$A$10,0),MATCH($B$3,datos_base!$B$2:$K$2,0))*INDEX(Parametros!$B$11:$M$26,MATCH($A8,Parametros!$A$11:$A$26,0),MATCH(H$5,Parametros!$B$10:$M$10,0))</f>
        <v>865.52</v>
      </c>
      <c r="I8" s="182">
        <f t="array" ref="I8">INDEX(datos_base!$B$3:$K$10,MATCH($A8,datos_base!$A$3:$A$10,0),MATCH($B$3,datos_base!$B$2:$K$2,0))*INDEX(Parametros!$B$11:$M$26,MATCH($A8,Parametros!$A$11:$A$26,0),MATCH(I$5,Parametros!$B$10:$M$10,0))</f>
        <v>865.52</v>
      </c>
      <c r="J8" s="182">
        <f t="array" ref="J8">INDEX(datos_base!$B$3:$K$10,MATCH($A8,datos_base!$A$3:$A$10,0),MATCH($B$3,datos_base!$B$2:$K$2,0))*INDEX(Parametros!$B$11:$M$26,MATCH($A8,Parametros!$A$11:$A$26,0),MATCH(J$5,Parametros!$B$10:$M$10,0))</f>
        <v>865.52</v>
      </c>
      <c r="K8" s="182">
        <f t="array" ref="K8">INDEX(datos_base!$B$3:$K$10,MATCH($A8,datos_base!$A$3:$A$10,0),MATCH($B$3,datos_base!$B$2:$K$2,0))*INDEX(Parametros!$B$11:$M$26,MATCH($A8,Parametros!$A$11:$A$26,0),MATCH(K$5,Parametros!$B$10:$M$10,0))</f>
        <v>811.425</v>
      </c>
      <c r="L8" s="182">
        <f t="array" ref="L8">INDEX(datos_base!$B$3:$K$10,MATCH($A8,datos_base!$A$3:$A$10,0),MATCH($B$3,datos_base!$B$2:$K$2,0))*INDEX(Parametros!$B$11:$M$26,MATCH($A8,Parametros!$A$11:$A$26,0),MATCH(L$5,Parametros!$B$10:$M$10,0))</f>
        <v>757.33</v>
      </c>
      <c r="M8" s="182">
        <f t="array" ref="M8">INDEX(datos_base!$B$3:$K$10,MATCH($A8,datos_base!$A$3:$A$10,0),MATCH($B$3,datos_base!$B$2:$K$2,0))*INDEX(Parametros!$B$11:$M$26,MATCH($A8,Parametros!$A$11:$A$26,0),MATCH(M$5,Parametros!$B$10:$M$10,0))</f>
        <v>1190.09</v>
      </c>
      <c r="N8" s="271">
        <f t="shared" si="1"/>
        <v>10819</v>
      </c>
      <c r="O8" s="271">
        <f t="shared" si="2"/>
        <v>901.5833333</v>
      </c>
    </row>
    <row r="9" ht="12.0" customHeight="1">
      <c r="A9" s="152" t="s">
        <v>59</v>
      </c>
      <c r="B9" s="182">
        <f t="array" ref="B9">INDEX(datos_base!$B$3:$K$10,MATCH($A9,datos_base!$A$3:$A$10,0),MATCH($B$3,datos_base!$B$2:$K$2,0))*INDEX(Parametros!$B$11:$M$26,MATCH($A9,Parametros!$A$11:$A$26,0),MATCH(B$5,Parametros!$B$10:$M$10,0))</f>
        <v>60.3</v>
      </c>
      <c r="C9" s="182">
        <f t="array" ref="C9">INDEX(datos_base!$B$3:$K$10,MATCH($A9,datos_base!$A$3:$A$10,0),MATCH($B$3,datos_base!$B$2:$K$2,0))*INDEX(Parametros!$B$11:$M$26,MATCH($A9,Parametros!$A$11:$A$26,0),MATCH(C$5,Parametros!$B$10:$M$10,0))</f>
        <v>48.24</v>
      </c>
      <c r="D9" s="182">
        <f t="array" ref="D9">INDEX(datos_base!$B$3:$K$10,MATCH($A9,datos_base!$A$3:$A$10,0),MATCH($B$3,datos_base!$B$2:$K$2,0))*INDEX(Parametros!$B$11:$M$26,MATCH($A9,Parametros!$A$11:$A$26,0),MATCH(D$5,Parametros!$B$10:$M$10,0))</f>
        <v>51.255</v>
      </c>
      <c r="E9" s="182">
        <f t="array" ref="E9">INDEX(datos_base!$B$3:$K$10,MATCH($A9,datos_base!$A$3:$A$10,0),MATCH($B$3,datos_base!$B$2:$K$2,0))*INDEX(Parametros!$B$11:$M$26,MATCH($A9,Parametros!$A$11:$A$26,0),MATCH(E$5,Parametros!$B$10:$M$10,0))</f>
        <v>51.255</v>
      </c>
      <c r="F9" s="182">
        <f t="array" ref="F9">INDEX(datos_base!$B$3:$K$10,MATCH($A9,datos_base!$A$3:$A$10,0),MATCH($B$3,datos_base!$B$2:$K$2,0))*INDEX(Parametros!$B$11:$M$26,MATCH($A9,Parametros!$A$11:$A$26,0),MATCH(F$5,Parametros!$B$10:$M$10,0))</f>
        <v>48.24</v>
      </c>
      <c r="G9" s="182">
        <f t="array" ref="G9">INDEX(datos_base!$B$3:$K$10,MATCH($A9,datos_base!$A$3:$A$10,0),MATCH($B$3,datos_base!$B$2:$K$2,0))*INDEX(Parametros!$B$11:$M$26,MATCH($A9,Parametros!$A$11:$A$26,0),MATCH(G$5,Parametros!$B$10:$M$10,0))</f>
        <v>45.225</v>
      </c>
      <c r="H9" s="182">
        <f t="array" ref="H9">INDEX(datos_base!$B$3:$K$10,MATCH($A9,datos_base!$A$3:$A$10,0),MATCH($B$3,datos_base!$B$2:$K$2,0))*INDEX(Parametros!$B$11:$M$26,MATCH($A9,Parametros!$A$11:$A$26,0),MATCH(H$5,Parametros!$B$10:$M$10,0))</f>
        <v>48.24</v>
      </c>
      <c r="I9" s="182">
        <f t="array" ref="I9">INDEX(datos_base!$B$3:$K$10,MATCH($A9,datos_base!$A$3:$A$10,0),MATCH($B$3,datos_base!$B$2:$K$2,0))*INDEX(Parametros!$B$11:$M$26,MATCH($A9,Parametros!$A$11:$A$26,0),MATCH(I$5,Parametros!$B$10:$M$10,0))</f>
        <v>48.24</v>
      </c>
      <c r="J9" s="182">
        <f t="array" ref="J9">INDEX(datos_base!$B$3:$K$10,MATCH($A9,datos_base!$A$3:$A$10,0),MATCH($B$3,datos_base!$B$2:$K$2,0))*INDEX(Parametros!$B$11:$M$26,MATCH($A9,Parametros!$A$11:$A$26,0),MATCH(J$5,Parametros!$B$10:$M$10,0))</f>
        <v>48.24</v>
      </c>
      <c r="K9" s="182">
        <f t="array" ref="K9">INDEX(datos_base!$B$3:$K$10,MATCH($A9,datos_base!$A$3:$A$10,0),MATCH($B$3,datos_base!$B$2:$K$2,0))*INDEX(Parametros!$B$11:$M$26,MATCH($A9,Parametros!$A$11:$A$26,0),MATCH(K$5,Parametros!$B$10:$M$10,0))</f>
        <v>45.225</v>
      </c>
      <c r="L9" s="182">
        <f t="array" ref="L9">INDEX(datos_base!$B$3:$K$10,MATCH($A9,datos_base!$A$3:$A$10,0),MATCH($B$3,datos_base!$B$2:$K$2,0))*INDEX(Parametros!$B$11:$M$26,MATCH($A9,Parametros!$A$11:$A$26,0),MATCH(L$5,Parametros!$B$10:$M$10,0))</f>
        <v>42.21</v>
      </c>
      <c r="M9" s="182">
        <f t="array" ref="M9">INDEX(datos_base!$B$3:$K$10,MATCH($A9,datos_base!$A$3:$A$10,0),MATCH($B$3,datos_base!$B$2:$K$2,0))*INDEX(Parametros!$B$11:$M$26,MATCH($A9,Parametros!$A$11:$A$26,0),MATCH(M$5,Parametros!$B$10:$M$10,0))</f>
        <v>66.33</v>
      </c>
      <c r="N9" s="271">
        <f t="shared" si="1"/>
        <v>603</v>
      </c>
      <c r="O9" s="271">
        <f t="shared" si="2"/>
        <v>50.25</v>
      </c>
    </row>
    <row r="10" ht="12.0" customHeight="1">
      <c r="A10" s="152" t="s">
        <v>75</v>
      </c>
      <c r="B10" s="182">
        <f t="array" ref="B10">INDEX(datos_base!$B$3:$K$10,MATCH($A10,datos_base!$A$3:$A$10,0),MATCH($B$3,datos_base!$B$2:$K$2,0))*INDEX(Parametros!$B$11:$M$26,MATCH($A10,Parametros!$A$11:$A$26,0),MATCH(B$5,Parametros!$B$10:$M$10,0))</f>
        <v>13.26</v>
      </c>
      <c r="C10" s="182">
        <f t="array" ref="C10">INDEX(datos_base!$B$3:$K$10,MATCH($A10,datos_base!$A$3:$A$10,0),MATCH($B$3,datos_base!$B$2:$K$2,0))*INDEX(Parametros!$B$11:$M$26,MATCH($A10,Parametros!$A$11:$A$26,0),MATCH(C$5,Parametros!$B$10:$M$10,0))</f>
        <v>11.7</v>
      </c>
      <c r="D10" s="182">
        <f t="array" ref="D10">INDEX(datos_base!$B$3:$K$10,MATCH($A10,datos_base!$A$3:$A$10,0),MATCH($B$3,datos_base!$B$2:$K$2,0))*INDEX(Parametros!$B$11:$M$26,MATCH($A10,Parametros!$A$11:$A$26,0),MATCH(D$5,Parametros!$B$10:$M$10,0))</f>
        <v>14.04</v>
      </c>
      <c r="E10" s="182">
        <f t="array" ref="E10">INDEX(datos_base!$B$3:$K$10,MATCH($A10,datos_base!$A$3:$A$10,0),MATCH($B$3,datos_base!$B$2:$K$2,0))*INDEX(Parametros!$B$11:$M$26,MATCH($A10,Parametros!$A$11:$A$26,0),MATCH(E$5,Parametros!$B$10:$M$10,0))</f>
        <v>14.04</v>
      </c>
      <c r="F10" s="182">
        <f t="array" ref="F10">INDEX(datos_base!$B$3:$K$10,MATCH($A10,datos_base!$A$3:$A$10,0),MATCH($B$3,datos_base!$B$2:$K$2,0))*INDEX(Parametros!$B$11:$M$26,MATCH($A10,Parametros!$A$11:$A$26,0),MATCH(F$5,Parametros!$B$10:$M$10,0))</f>
        <v>14.04</v>
      </c>
      <c r="G10" s="182">
        <f t="array" ref="G10">INDEX(datos_base!$B$3:$K$10,MATCH($A10,datos_base!$A$3:$A$10,0),MATCH($B$3,datos_base!$B$2:$K$2,0))*INDEX(Parametros!$B$11:$M$26,MATCH($A10,Parametros!$A$11:$A$26,0),MATCH(G$5,Parametros!$B$10:$M$10,0))</f>
        <v>12.48</v>
      </c>
      <c r="H10" s="182">
        <f t="array" ref="H10">INDEX(datos_base!$B$3:$K$10,MATCH($A10,datos_base!$A$3:$A$10,0),MATCH($B$3,datos_base!$B$2:$K$2,0))*INDEX(Parametros!$B$11:$M$26,MATCH($A10,Parametros!$A$11:$A$26,0),MATCH(H$5,Parametros!$B$10:$M$10,0))</f>
        <v>14.04</v>
      </c>
      <c r="I10" s="182">
        <f t="array" ref="I10">INDEX(datos_base!$B$3:$K$10,MATCH($A10,datos_base!$A$3:$A$10,0),MATCH($B$3,datos_base!$B$2:$K$2,0))*INDEX(Parametros!$B$11:$M$26,MATCH($A10,Parametros!$A$11:$A$26,0),MATCH(I$5,Parametros!$B$10:$M$10,0))</f>
        <v>14.04</v>
      </c>
      <c r="J10" s="182">
        <f t="array" ref="J10">INDEX(datos_base!$B$3:$K$10,MATCH($A10,datos_base!$A$3:$A$10,0),MATCH($B$3,datos_base!$B$2:$K$2,0))*INDEX(Parametros!$B$11:$M$26,MATCH($A10,Parametros!$A$11:$A$26,0),MATCH(J$5,Parametros!$B$10:$M$10,0))</f>
        <v>13.26</v>
      </c>
      <c r="K10" s="182">
        <f t="array" ref="K10">INDEX(datos_base!$B$3:$K$10,MATCH($A10,datos_base!$A$3:$A$10,0),MATCH($B$3,datos_base!$B$2:$K$2,0))*INDEX(Parametros!$B$11:$M$26,MATCH($A10,Parametros!$A$11:$A$26,0),MATCH(K$5,Parametros!$B$10:$M$10,0))</f>
        <v>11.7</v>
      </c>
      <c r="L10" s="182">
        <f t="array" ref="L10">INDEX(datos_base!$B$3:$K$10,MATCH($A10,datos_base!$A$3:$A$10,0),MATCH($B$3,datos_base!$B$2:$K$2,0))*INDEX(Parametros!$B$11:$M$26,MATCH($A10,Parametros!$A$11:$A$26,0),MATCH(L$5,Parametros!$B$10:$M$10,0))</f>
        <v>10.92</v>
      </c>
      <c r="M10" s="182">
        <f t="array" ref="M10">INDEX(datos_base!$B$3:$K$10,MATCH($A10,datos_base!$A$3:$A$10,0),MATCH($B$3,datos_base!$B$2:$K$2,0))*INDEX(Parametros!$B$11:$M$26,MATCH($A10,Parametros!$A$11:$A$26,0),MATCH(M$5,Parametros!$B$10:$M$10,0))</f>
        <v>12.48</v>
      </c>
      <c r="N10" s="271">
        <f t="shared" si="1"/>
        <v>156</v>
      </c>
      <c r="O10" s="271">
        <f t="shared" si="2"/>
        <v>13</v>
      </c>
    </row>
    <row r="11" ht="12.0" customHeight="1">
      <c r="A11" s="152" t="s">
        <v>86</v>
      </c>
      <c r="B11" s="182">
        <f t="array" ref="B11">INDEX(datos_base!$B$3:$K$10,MATCH($A11,datos_base!$A$3:$A$10,0),MATCH($B$3,datos_base!$B$2:$K$2,0))*INDEX(Parametros!$B$11:$M$26,MATCH($A11,Parametros!$A$11:$A$26,0),MATCH(B$5,Parametros!$B$10:$M$10,0))</f>
        <v>29.155</v>
      </c>
      <c r="C11" s="182">
        <f t="array" ref="C11">INDEX(datos_base!$B$3:$K$10,MATCH($A11,datos_base!$A$3:$A$10,0),MATCH($B$3,datos_base!$B$2:$K$2,0))*INDEX(Parametros!$B$11:$M$26,MATCH($A11,Parametros!$A$11:$A$26,0),MATCH(C$5,Parametros!$B$10:$M$10,0))</f>
        <v>25.725</v>
      </c>
      <c r="D11" s="182">
        <f t="array" ref="D11">INDEX(datos_base!$B$3:$K$10,MATCH($A11,datos_base!$A$3:$A$10,0),MATCH($B$3,datos_base!$B$2:$K$2,0))*INDEX(Parametros!$B$11:$M$26,MATCH($A11,Parametros!$A$11:$A$26,0),MATCH(D$5,Parametros!$B$10:$M$10,0))</f>
        <v>30.87</v>
      </c>
      <c r="E11" s="182">
        <f t="array" ref="E11">INDEX(datos_base!$B$3:$K$10,MATCH($A11,datos_base!$A$3:$A$10,0),MATCH($B$3,datos_base!$B$2:$K$2,0))*INDEX(Parametros!$B$11:$M$26,MATCH($A11,Parametros!$A$11:$A$26,0),MATCH(E$5,Parametros!$B$10:$M$10,0))</f>
        <v>30.87</v>
      </c>
      <c r="F11" s="182">
        <f t="array" ref="F11">INDEX(datos_base!$B$3:$K$10,MATCH($A11,datos_base!$A$3:$A$10,0),MATCH($B$3,datos_base!$B$2:$K$2,0))*INDEX(Parametros!$B$11:$M$26,MATCH($A11,Parametros!$A$11:$A$26,0),MATCH(F$5,Parametros!$B$10:$M$10,0))</f>
        <v>30.87</v>
      </c>
      <c r="G11" s="182">
        <f t="array" ref="G11">INDEX(datos_base!$B$3:$K$10,MATCH($A11,datos_base!$A$3:$A$10,0),MATCH($B$3,datos_base!$B$2:$K$2,0))*INDEX(Parametros!$B$11:$M$26,MATCH($A11,Parametros!$A$11:$A$26,0),MATCH(G$5,Parametros!$B$10:$M$10,0))</f>
        <v>27.44</v>
      </c>
      <c r="H11" s="182">
        <f t="array" ref="H11">INDEX(datos_base!$B$3:$K$10,MATCH($A11,datos_base!$A$3:$A$10,0),MATCH($B$3,datos_base!$B$2:$K$2,0))*INDEX(Parametros!$B$11:$M$26,MATCH($A11,Parametros!$A$11:$A$26,0),MATCH(H$5,Parametros!$B$10:$M$10,0))</f>
        <v>30.87</v>
      </c>
      <c r="I11" s="182">
        <f t="array" ref="I11">INDEX(datos_base!$B$3:$K$10,MATCH($A11,datos_base!$A$3:$A$10,0),MATCH($B$3,datos_base!$B$2:$K$2,0))*INDEX(Parametros!$B$11:$M$26,MATCH($A11,Parametros!$A$11:$A$26,0),MATCH(I$5,Parametros!$B$10:$M$10,0))</f>
        <v>30.87</v>
      </c>
      <c r="J11" s="182">
        <f t="array" ref="J11">INDEX(datos_base!$B$3:$K$10,MATCH($A11,datos_base!$A$3:$A$10,0),MATCH($B$3,datos_base!$B$2:$K$2,0))*INDEX(Parametros!$B$11:$M$26,MATCH($A11,Parametros!$A$11:$A$26,0),MATCH(J$5,Parametros!$B$10:$M$10,0))</f>
        <v>29.155</v>
      </c>
      <c r="K11" s="182">
        <f t="array" ref="K11">INDEX(datos_base!$B$3:$K$10,MATCH($A11,datos_base!$A$3:$A$10,0),MATCH($B$3,datos_base!$B$2:$K$2,0))*INDEX(Parametros!$B$11:$M$26,MATCH($A11,Parametros!$A$11:$A$26,0),MATCH(K$5,Parametros!$B$10:$M$10,0))</f>
        <v>25.725</v>
      </c>
      <c r="L11" s="182">
        <f t="array" ref="L11">INDEX(datos_base!$B$3:$K$10,MATCH($A11,datos_base!$A$3:$A$10,0),MATCH($B$3,datos_base!$B$2:$K$2,0))*INDEX(Parametros!$B$11:$M$26,MATCH($A11,Parametros!$A$11:$A$26,0),MATCH(L$5,Parametros!$B$10:$M$10,0))</f>
        <v>24.01</v>
      </c>
      <c r="M11" s="182">
        <f t="array" ref="M11">INDEX(datos_base!$B$3:$K$10,MATCH($A11,datos_base!$A$3:$A$10,0),MATCH($B$3,datos_base!$B$2:$K$2,0))*INDEX(Parametros!$B$11:$M$26,MATCH($A11,Parametros!$A$11:$A$26,0),MATCH(M$5,Parametros!$B$10:$M$10,0))</f>
        <v>27.44</v>
      </c>
      <c r="N11" s="271">
        <f t="shared" si="1"/>
        <v>343</v>
      </c>
      <c r="O11" s="271">
        <f t="shared" si="2"/>
        <v>28.58333333</v>
      </c>
    </row>
    <row r="12" ht="12.0" customHeight="1">
      <c r="A12" s="152" t="s">
        <v>95</v>
      </c>
      <c r="B12" s="182">
        <f t="array" ref="B12">INDEX(datos_base!$B$3:$K$10,MATCH($A12,datos_base!$A$3:$A$10,0),MATCH($B$3,datos_base!$B$2:$K$2,0))*INDEX(Parametros!$B$11:$M$26,MATCH($A12,Parametros!$A$11:$A$26,0),MATCH(B$5,Parametros!$B$10:$M$10,0))</f>
        <v>6.29</v>
      </c>
      <c r="C12" s="182">
        <f t="array" ref="C12">INDEX(datos_base!$B$3:$K$10,MATCH($A12,datos_base!$A$3:$A$10,0),MATCH($B$3,datos_base!$B$2:$K$2,0))*INDEX(Parametros!$B$11:$M$26,MATCH($A12,Parametros!$A$11:$A$26,0),MATCH(C$5,Parametros!$B$10:$M$10,0))</f>
        <v>5.55</v>
      </c>
      <c r="D12" s="182">
        <f t="array" ref="D12">INDEX(datos_base!$B$3:$K$10,MATCH($A12,datos_base!$A$3:$A$10,0),MATCH($B$3,datos_base!$B$2:$K$2,0))*INDEX(Parametros!$B$11:$M$26,MATCH($A12,Parametros!$A$11:$A$26,0),MATCH(D$5,Parametros!$B$10:$M$10,0))</f>
        <v>6.66</v>
      </c>
      <c r="E12" s="182">
        <f t="array" ref="E12">INDEX(datos_base!$B$3:$K$10,MATCH($A12,datos_base!$A$3:$A$10,0),MATCH($B$3,datos_base!$B$2:$K$2,0))*INDEX(Parametros!$B$11:$M$26,MATCH($A12,Parametros!$A$11:$A$26,0),MATCH(E$5,Parametros!$B$10:$M$10,0))</f>
        <v>6.66</v>
      </c>
      <c r="F12" s="182">
        <f t="array" ref="F12">INDEX(datos_base!$B$3:$K$10,MATCH($A12,datos_base!$A$3:$A$10,0),MATCH($B$3,datos_base!$B$2:$K$2,0))*INDEX(Parametros!$B$11:$M$26,MATCH($A12,Parametros!$A$11:$A$26,0),MATCH(F$5,Parametros!$B$10:$M$10,0))</f>
        <v>6.66</v>
      </c>
      <c r="G12" s="182">
        <f t="array" ref="G12">INDEX(datos_base!$B$3:$K$10,MATCH($A12,datos_base!$A$3:$A$10,0),MATCH($B$3,datos_base!$B$2:$K$2,0))*INDEX(Parametros!$B$11:$M$26,MATCH($A12,Parametros!$A$11:$A$26,0),MATCH(G$5,Parametros!$B$10:$M$10,0))</f>
        <v>5.92</v>
      </c>
      <c r="H12" s="182">
        <f t="array" ref="H12">INDEX(datos_base!$B$3:$K$10,MATCH($A12,datos_base!$A$3:$A$10,0),MATCH($B$3,datos_base!$B$2:$K$2,0))*INDEX(Parametros!$B$11:$M$26,MATCH($A12,Parametros!$A$11:$A$26,0),MATCH(H$5,Parametros!$B$10:$M$10,0))</f>
        <v>6.66</v>
      </c>
      <c r="I12" s="182">
        <f t="array" ref="I12">INDEX(datos_base!$B$3:$K$10,MATCH($A12,datos_base!$A$3:$A$10,0),MATCH($B$3,datos_base!$B$2:$K$2,0))*INDEX(Parametros!$B$11:$M$26,MATCH($A12,Parametros!$A$11:$A$26,0),MATCH(I$5,Parametros!$B$10:$M$10,0))</f>
        <v>6.66</v>
      </c>
      <c r="J12" s="182">
        <f t="array" ref="J12">INDEX(datos_base!$B$3:$K$10,MATCH($A12,datos_base!$A$3:$A$10,0),MATCH($B$3,datos_base!$B$2:$K$2,0))*INDEX(Parametros!$B$11:$M$26,MATCH($A12,Parametros!$A$11:$A$26,0),MATCH(J$5,Parametros!$B$10:$M$10,0))</f>
        <v>6.29</v>
      </c>
      <c r="K12" s="182">
        <f t="array" ref="K12">INDEX(datos_base!$B$3:$K$10,MATCH($A12,datos_base!$A$3:$A$10,0),MATCH($B$3,datos_base!$B$2:$K$2,0))*INDEX(Parametros!$B$11:$M$26,MATCH($A12,Parametros!$A$11:$A$26,0),MATCH(K$5,Parametros!$B$10:$M$10,0))</f>
        <v>5.55</v>
      </c>
      <c r="L12" s="182">
        <f t="array" ref="L12">INDEX(datos_base!$B$3:$K$10,MATCH($A12,datos_base!$A$3:$A$10,0),MATCH($B$3,datos_base!$B$2:$K$2,0))*INDEX(Parametros!$B$11:$M$26,MATCH($A12,Parametros!$A$11:$A$26,0),MATCH(L$5,Parametros!$B$10:$M$10,0))</f>
        <v>5.18</v>
      </c>
      <c r="M12" s="182">
        <f t="array" ref="M12">INDEX(datos_base!$B$3:$K$10,MATCH($A12,datos_base!$A$3:$A$10,0),MATCH($B$3,datos_base!$B$2:$K$2,0))*INDEX(Parametros!$B$11:$M$26,MATCH($A12,Parametros!$A$11:$A$26,0),MATCH(M$5,Parametros!$B$10:$M$10,0))</f>
        <v>5.92</v>
      </c>
      <c r="N12" s="271">
        <f t="shared" si="1"/>
        <v>74</v>
      </c>
      <c r="O12" s="271">
        <f t="shared" si="2"/>
        <v>6.166666667</v>
      </c>
    </row>
    <row r="13" ht="12.0" customHeight="1">
      <c r="A13" s="152" t="s">
        <v>100</v>
      </c>
      <c r="B13" s="182">
        <f t="array" ref="B13">INDEX(datos_base!$B$3:$K$10,MATCH($A13,datos_base!$A$3:$A$10,0),MATCH($B$3,datos_base!$B$2:$K$2,0))*INDEX(Parametros!$B$11:$M$26,MATCH($A13,Parametros!$A$11:$A$26,0),MATCH(B$5,Parametros!$B$10:$M$10,0))</f>
        <v>4.25</v>
      </c>
      <c r="C13" s="182">
        <f t="array" ref="C13">INDEX(datos_base!$B$3:$K$10,MATCH($A13,datos_base!$A$3:$A$10,0),MATCH($B$3,datos_base!$B$2:$K$2,0))*INDEX(Parametros!$B$11:$M$26,MATCH($A13,Parametros!$A$11:$A$26,0),MATCH(C$5,Parametros!$B$10:$M$10,0))</f>
        <v>3.75</v>
      </c>
      <c r="D13" s="182">
        <f t="array" ref="D13">INDEX(datos_base!$B$3:$K$10,MATCH($A13,datos_base!$A$3:$A$10,0),MATCH($B$3,datos_base!$B$2:$K$2,0))*INDEX(Parametros!$B$11:$M$26,MATCH($A13,Parametros!$A$11:$A$26,0),MATCH(D$5,Parametros!$B$10:$M$10,0))</f>
        <v>4.5</v>
      </c>
      <c r="E13" s="182">
        <f t="array" ref="E13">INDEX(datos_base!$B$3:$K$10,MATCH($A13,datos_base!$A$3:$A$10,0),MATCH($B$3,datos_base!$B$2:$K$2,0))*INDEX(Parametros!$B$11:$M$26,MATCH($A13,Parametros!$A$11:$A$26,0),MATCH(E$5,Parametros!$B$10:$M$10,0))</f>
        <v>4.5</v>
      </c>
      <c r="F13" s="182">
        <f t="array" ref="F13">INDEX(datos_base!$B$3:$K$10,MATCH($A13,datos_base!$A$3:$A$10,0),MATCH($B$3,datos_base!$B$2:$K$2,0))*INDEX(Parametros!$B$11:$M$26,MATCH($A13,Parametros!$A$11:$A$26,0),MATCH(F$5,Parametros!$B$10:$M$10,0))</f>
        <v>4.5</v>
      </c>
      <c r="G13" s="182">
        <f t="array" ref="G13">INDEX(datos_base!$B$3:$K$10,MATCH($A13,datos_base!$A$3:$A$10,0),MATCH($B$3,datos_base!$B$2:$K$2,0))*INDEX(Parametros!$B$11:$M$26,MATCH($A13,Parametros!$A$11:$A$26,0),MATCH(G$5,Parametros!$B$10:$M$10,0))</f>
        <v>4</v>
      </c>
      <c r="H13" s="182">
        <f t="array" ref="H13">INDEX(datos_base!$B$3:$K$10,MATCH($A13,datos_base!$A$3:$A$10,0),MATCH($B$3,datos_base!$B$2:$K$2,0))*INDEX(Parametros!$B$11:$M$26,MATCH($A13,Parametros!$A$11:$A$26,0),MATCH(H$5,Parametros!$B$10:$M$10,0))</f>
        <v>4.5</v>
      </c>
      <c r="I13" s="182">
        <f t="array" ref="I13">INDEX(datos_base!$B$3:$K$10,MATCH($A13,datos_base!$A$3:$A$10,0),MATCH($B$3,datos_base!$B$2:$K$2,0))*INDEX(Parametros!$B$11:$M$26,MATCH($A13,Parametros!$A$11:$A$26,0),MATCH(I$5,Parametros!$B$10:$M$10,0))</f>
        <v>4.5</v>
      </c>
      <c r="J13" s="182">
        <f t="array" ref="J13">INDEX(datos_base!$B$3:$K$10,MATCH($A13,datos_base!$A$3:$A$10,0),MATCH($B$3,datos_base!$B$2:$K$2,0))*INDEX(Parametros!$B$11:$M$26,MATCH($A13,Parametros!$A$11:$A$26,0),MATCH(J$5,Parametros!$B$10:$M$10,0))</f>
        <v>4.25</v>
      </c>
      <c r="K13" s="182">
        <f t="array" ref="K13">INDEX(datos_base!$B$3:$K$10,MATCH($A13,datos_base!$A$3:$A$10,0),MATCH($B$3,datos_base!$B$2:$K$2,0))*INDEX(Parametros!$B$11:$M$26,MATCH($A13,Parametros!$A$11:$A$26,0),MATCH(K$5,Parametros!$B$10:$M$10,0))</f>
        <v>3.75</v>
      </c>
      <c r="L13" s="182">
        <f t="array" ref="L13">INDEX(datos_base!$B$3:$K$10,MATCH($A13,datos_base!$A$3:$A$10,0),MATCH($B$3,datos_base!$B$2:$K$2,0))*INDEX(Parametros!$B$11:$M$26,MATCH($A13,Parametros!$A$11:$A$26,0),MATCH(L$5,Parametros!$B$10:$M$10,0))</f>
        <v>3.5</v>
      </c>
      <c r="M13" s="182">
        <f t="array" ref="M13">INDEX(datos_base!$B$3:$K$10,MATCH($A13,datos_base!$A$3:$A$10,0),MATCH($B$3,datos_base!$B$2:$K$2,0))*INDEX(Parametros!$B$11:$M$26,MATCH($A13,Parametros!$A$11:$A$26,0),MATCH(M$5,Parametros!$B$10:$M$10,0))</f>
        <v>4</v>
      </c>
      <c r="N13" s="271">
        <f t="shared" si="1"/>
        <v>50</v>
      </c>
      <c r="O13" s="271">
        <f t="shared" si="2"/>
        <v>4.166666667</v>
      </c>
    </row>
    <row r="14" ht="12.0" customHeight="1">
      <c r="A14" s="272" t="s">
        <v>420</v>
      </c>
      <c r="B14" s="273">
        <f t="shared" ref="B14:N14" si="3">SUM(B6:B13)</f>
        <v>2948.075</v>
      </c>
      <c r="C14" s="273">
        <f t="shared" si="3"/>
        <v>2286.735</v>
      </c>
      <c r="D14" s="273">
        <f t="shared" si="3"/>
        <v>2237.94</v>
      </c>
      <c r="E14" s="273">
        <f t="shared" si="3"/>
        <v>2174.535</v>
      </c>
      <c r="F14" s="273">
        <f t="shared" si="3"/>
        <v>2042.46</v>
      </c>
      <c r="G14" s="273">
        <f t="shared" si="3"/>
        <v>1967.56</v>
      </c>
      <c r="H14" s="273">
        <f t="shared" si="3"/>
        <v>2105.865</v>
      </c>
      <c r="I14" s="273">
        <f t="shared" si="3"/>
        <v>2105.865</v>
      </c>
      <c r="J14" s="273">
        <f t="shared" si="3"/>
        <v>2102.75</v>
      </c>
      <c r="K14" s="273">
        <f t="shared" si="3"/>
        <v>2027.85</v>
      </c>
      <c r="L14" s="273">
        <f t="shared" si="3"/>
        <v>1956.065</v>
      </c>
      <c r="M14" s="273">
        <f t="shared" si="3"/>
        <v>3082.3</v>
      </c>
      <c r="N14" s="273">
        <f t="shared" si="3"/>
        <v>27038</v>
      </c>
      <c r="O14" s="273">
        <f t="shared" si="2"/>
        <v>2253.166667</v>
      </c>
    </row>
    <row r="15" ht="12.0" customHeight="1">
      <c r="A15" s="11"/>
      <c r="B15" s="11"/>
      <c r="C15" s="11"/>
      <c r="D15" s="11"/>
      <c r="E15" s="11"/>
      <c r="F15" s="11"/>
      <c r="G15" s="11"/>
      <c r="H15" s="11"/>
      <c r="I15" s="11"/>
      <c r="J15" s="11"/>
      <c r="K15" s="11"/>
      <c r="L15" s="11"/>
      <c r="M15" s="11"/>
      <c r="N15" s="11"/>
      <c r="O15" s="11"/>
    </row>
    <row r="16" ht="12.0" customHeight="1">
      <c r="A16" s="270"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c r="O16" s="145" t="s">
        <v>1598</v>
      </c>
    </row>
    <row r="17" ht="12.0" customHeight="1">
      <c r="A17" s="152" t="s">
        <v>102</v>
      </c>
      <c r="B17" s="182">
        <f t="array" ref="B17">INDEX(datos_base!$B$15:$K$22,MATCH($A17,datos_base!$A$15:$A$22,0),MATCH($B$3,datos_base!$B$2:$K$2,0))*INDEX(Parametros!$B$11:$M$26,MATCH($A17,Parametros!$A$11:$A$26,0),MATCH(B$16,Parametros!$B$10:$M$10,0))</f>
        <v>5932.2</v>
      </c>
      <c r="C17" s="182">
        <f t="array" ref="C17">INDEX(datos_base!$B$15:$K$22,MATCH($A17,datos_base!$A$15:$A$22,0),MATCH($B$3,datos_base!$B$2:$K$2,0))*INDEX(Parametros!$B$11:$M$26,MATCH($A17,Parametros!$A$11:$A$26,0),MATCH(C$16,Parametros!$B$10:$M$10,0))</f>
        <v>4449.15</v>
      </c>
      <c r="D17" s="182">
        <f t="array" ref="D17">INDEX(datos_base!$B$15:$K$22,MATCH($A17,datos_base!$A$15:$A$22,0),MATCH($B$3,datos_base!$B$2:$K$2,0))*INDEX(Parametros!$B$11:$M$26,MATCH($A17,Parametros!$A$11:$A$26,0),MATCH(D$16,Parametros!$B$10:$M$10,0))</f>
        <v>3954.8</v>
      </c>
      <c r="E17" s="182">
        <f t="array" ref="E17">INDEX(datos_base!$B$15:$K$22,MATCH($A17,datos_base!$A$15:$A$22,0),MATCH($B$3,datos_base!$B$2:$K$2,0))*INDEX(Parametros!$B$11:$M$26,MATCH($A17,Parametros!$A$11:$A$26,0),MATCH(E$16,Parametros!$B$10:$M$10,0))</f>
        <v>3707.625</v>
      </c>
      <c r="F17" s="182">
        <f t="array" ref="F17">INDEX(datos_base!$B$15:$K$22,MATCH($A17,datos_base!$A$15:$A$22,0),MATCH($B$3,datos_base!$B$2:$K$2,0))*INDEX(Parametros!$B$11:$M$26,MATCH($A17,Parametros!$A$11:$A$26,0),MATCH(F$16,Parametros!$B$10:$M$10,0))</f>
        <v>3460.45</v>
      </c>
      <c r="G17" s="182">
        <f t="array" ref="G17">INDEX(datos_base!$B$15:$K$22,MATCH($A17,datos_base!$A$15:$A$22,0),MATCH($B$3,datos_base!$B$2:$K$2,0))*INDEX(Parametros!$B$11:$M$26,MATCH($A17,Parametros!$A$11:$A$26,0),MATCH(G$16,Parametros!$B$10:$M$10,0))</f>
        <v>3460.45</v>
      </c>
      <c r="H17" s="182">
        <f t="array" ref="H17">INDEX(datos_base!$B$15:$K$22,MATCH($A17,datos_base!$A$15:$A$22,0),MATCH($B$3,datos_base!$B$2:$K$2,0))*INDEX(Parametros!$B$11:$M$26,MATCH($A17,Parametros!$A$11:$A$26,0),MATCH(H$16,Parametros!$B$10:$M$10,0))</f>
        <v>3707.625</v>
      </c>
      <c r="I17" s="182">
        <f t="array" ref="I17">INDEX(datos_base!$B$15:$K$22,MATCH($A17,datos_base!$A$15:$A$22,0),MATCH($B$3,datos_base!$B$2:$K$2,0))*INDEX(Parametros!$B$11:$M$26,MATCH($A17,Parametros!$A$11:$A$26,0),MATCH(I$16,Parametros!$B$10:$M$10,0))</f>
        <v>3707.625</v>
      </c>
      <c r="J17" s="182">
        <f t="array" ref="J17">INDEX(datos_base!$B$15:$K$22,MATCH($A17,datos_base!$A$15:$A$22,0),MATCH($B$3,datos_base!$B$2:$K$2,0))*INDEX(Parametros!$B$11:$M$26,MATCH($A17,Parametros!$A$11:$A$26,0),MATCH(J$16,Parametros!$B$10:$M$10,0))</f>
        <v>3707.625</v>
      </c>
      <c r="K17" s="182">
        <f t="array" ref="K17">INDEX(datos_base!$B$15:$K$22,MATCH($A17,datos_base!$A$15:$A$22,0),MATCH($B$3,datos_base!$B$2:$K$2,0))*INDEX(Parametros!$B$11:$M$26,MATCH($A17,Parametros!$A$11:$A$26,0),MATCH(K$16,Parametros!$B$10:$M$10,0))</f>
        <v>3707.625</v>
      </c>
      <c r="L17" s="182">
        <f t="array" ref="L17">INDEX(datos_base!$B$15:$K$22,MATCH($A17,datos_base!$A$15:$A$22,0),MATCH($B$3,datos_base!$B$2:$K$2,0))*INDEX(Parametros!$B$11:$M$26,MATCH($A17,Parametros!$A$11:$A$26,0),MATCH(L$16,Parametros!$B$10:$M$10,0))</f>
        <v>3707.625</v>
      </c>
      <c r="M17" s="182">
        <f t="array" ref="M17">INDEX(datos_base!$B$15:$K$22,MATCH($A17,datos_base!$A$15:$A$22,0),MATCH($B$3,datos_base!$B$2:$K$2,0))*INDEX(Parametros!$B$11:$M$26,MATCH($A17,Parametros!$A$11:$A$26,0),MATCH(M$16,Parametros!$B$10:$M$10,0))</f>
        <v>5932.2</v>
      </c>
      <c r="N17" s="271">
        <f t="shared" ref="N17:N24" si="4">SUM(B17:M17)</f>
        <v>49435</v>
      </c>
      <c r="O17" s="271">
        <f t="shared" ref="O17:O25" si="5">AVERAGE(B17:M17)</f>
        <v>4119.583333</v>
      </c>
    </row>
    <row r="18" ht="12.0" customHeight="1">
      <c r="A18" s="152" t="s">
        <v>106</v>
      </c>
      <c r="B18" s="182">
        <f t="array" ref="B18">INDEX(datos_base!$B$15:$K$22,MATCH($A18,datos_base!$A$15:$A$22,0),MATCH($B$3,datos_base!$B$2:$K$2,0))*INDEX(Parametros!$B$11:$M$26,MATCH($A18,Parametros!$A$11:$A$26,0),MATCH(B$16,Parametros!$B$10:$M$10,0))</f>
        <v>193.3</v>
      </c>
      <c r="C18" s="182">
        <f t="array" ref="C18">INDEX(datos_base!$B$15:$K$22,MATCH($A18,datos_base!$A$15:$A$22,0),MATCH($B$3,datos_base!$B$2:$K$2,0))*INDEX(Parametros!$B$11:$M$26,MATCH($A18,Parametros!$A$11:$A$26,0),MATCH(C$16,Parametros!$B$10:$M$10,0))</f>
        <v>154.64</v>
      </c>
      <c r="D18" s="182">
        <f t="array" ref="D18">INDEX(datos_base!$B$15:$K$22,MATCH($A18,datos_base!$A$15:$A$22,0),MATCH($B$3,datos_base!$B$2:$K$2,0))*INDEX(Parametros!$B$11:$M$26,MATCH($A18,Parametros!$A$11:$A$26,0),MATCH(D$16,Parametros!$B$10:$M$10,0))</f>
        <v>164.305</v>
      </c>
      <c r="E18" s="182">
        <f t="array" ref="E18">INDEX(datos_base!$B$15:$K$22,MATCH($A18,datos_base!$A$15:$A$22,0),MATCH($B$3,datos_base!$B$2:$K$2,0))*INDEX(Parametros!$B$11:$M$26,MATCH($A18,Parametros!$A$11:$A$26,0),MATCH(E$16,Parametros!$B$10:$M$10,0))</f>
        <v>164.305</v>
      </c>
      <c r="F18" s="182">
        <f t="array" ref="F18">INDEX(datos_base!$B$15:$K$22,MATCH($A18,datos_base!$A$15:$A$22,0),MATCH($B$3,datos_base!$B$2:$K$2,0))*INDEX(Parametros!$B$11:$M$26,MATCH($A18,Parametros!$A$11:$A$26,0),MATCH(F$16,Parametros!$B$10:$M$10,0))</f>
        <v>154.64</v>
      </c>
      <c r="G18" s="182">
        <f t="array" ref="G18">INDEX(datos_base!$B$15:$K$22,MATCH($A18,datos_base!$A$15:$A$22,0),MATCH($B$3,datos_base!$B$2:$K$2,0))*INDEX(Parametros!$B$11:$M$26,MATCH($A18,Parametros!$A$11:$A$26,0),MATCH(G$16,Parametros!$B$10:$M$10,0))</f>
        <v>144.975</v>
      </c>
      <c r="H18" s="182">
        <f t="array" ref="H18">INDEX(datos_base!$B$15:$K$22,MATCH($A18,datos_base!$A$15:$A$22,0),MATCH($B$3,datos_base!$B$2:$K$2,0))*INDEX(Parametros!$B$11:$M$26,MATCH($A18,Parametros!$A$11:$A$26,0),MATCH(H$16,Parametros!$B$10:$M$10,0))</f>
        <v>154.64</v>
      </c>
      <c r="I18" s="182">
        <f t="array" ref="I18">INDEX(datos_base!$B$15:$K$22,MATCH($A18,datos_base!$A$15:$A$22,0),MATCH($B$3,datos_base!$B$2:$K$2,0))*INDEX(Parametros!$B$11:$M$26,MATCH($A18,Parametros!$A$11:$A$26,0),MATCH(I$16,Parametros!$B$10:$M$10,0))</f>
        <v>154.64</v>
      </c>
      <c r="J18" s="182">
        <f t="array" ref="J18">INDEX(datos_base!$B$15:$K$22,MATCH($A18,datos_base!$A$15:$A$22,0),MATCH($B$3,datos_base!$B$2:$K$2,0))*INDEX(Parametros!$B$11:$M$26,MATCH($A18,Parametros!$A$11:$A$26,0),MATCH(J$16,Parametros!$B$10:$M$10,0))</f>
        <v>154.64</v>
      </c>
      <c r="K18" s="182">
        <f t="array" ref="K18">INDEX(datos_base!$B$15:$K$22,MATCH($A18,datos_base!$A$15:$A$22,0),MATCH($B$3,datos_base!$B$2:$K$2,0))*INDEX(Parametros!$B$11:$M$26,MATCH($A18,Parametros!$A$11:$A$26,0),MATCH(K$16,Parametros!$B$10:$M$10,0))</f>
        <v>144.975</v>
      </c>
      <c r="L18" s="182">
        <f t="array" ref="L18">INDEX(datos_base!$B$15:$K$22,MATCH($A18,datos_base!$A$15:$A$22,0),MATCH($B$3,datos_base!$B$2:$K$2,0))*INDEX(Parametros!$B$11:$M$26,MATCH($A18,Parametros!$A$11:$A$26,0),MATCH(L$16,Parametros!$B$10:$M$10,0))</f>
        <v>135.31</v>
      </c>
      <c r="M18" s="182">
        <f t="array" ref="M18">INDEX(datos_base!$B$15:$K$22,MATCH($A18,datos_base!$A$15:$A$22,0),MATCH($B$3,datos_base!$B$2:$K$2,0))*INDEX(Parametros!$B$11:$M$26,MATCH($A18,Parametros!$A$11:$A$26,0),MATCH(M$16,Parametros!$B$10:$M$10,0))</f>
        <v>212.63</v>
      </c>
      <c r="N18" s="271">
        <f t="shared" si="4"/>
        <v>1933</v>
      </c>
      <c r="O18" s="271">
        <f t="shared" si="5"/>
        <v>161.0833333</v>
      </c>
    </row>
    <row r="19" ht="12.0" customHeight="1">
      <c r="A19" s="152" t="s">
        <v>108</v>
      </c>
      <c r="B19" s="182">
        <f t="array" ref="B19">INDEX(datos_base!$B$15:$K$22,MATCH($A19,datos_base!$A$15:$A$22,0),MATCH($B$3,datos_base!$B$2:$K$2,0))*INDEX(Parametros!$B$11:$M$26,MATCH($A19,Parametros!$A$11:$A$26,0),MATCH(B$16,Parametros!$B$10:$M$10,0))</f>
        <v>954.1</v>
      </c>
      <c r="C19" s="182">
        <f t="array" ref="C19">INDEX(datos_base!$B$15:$K$22,MATCH($A19,datos_base!$A$15:$A$22,0),MATCH($B$3,datos_base!$B$2:$K$2,0))*INDEX(Parametros!$B$11:$M$26,MATCH($A19,Parametros!$A$11:$A$26,0),MATCH(C$16,Parametros!$B$10:$M$10,0))</f>
        <v>763.28</v>
      </c>
      <c r="D19" s="182">
        <f t="array" ref="D19">INDEX(datos_base!$B$15:$K$22,MATCH($A19,datos_base!$A$15:$A$22,0),MATCH($B$3,datos_base!$B$2:$K$2,0))*INDEX(Parametros!$B$11:$M$26,MATCH($A19,Parametros!$A$11:$A$26,0),MATCH(D$16,Parametros!$B$10:$M$10,0))</f>
        <v>810.985</v>
      </c>
      <c r="E19" s="182">
        <f t="array" ref="E19">INDEX(datos_base!$B$15:$K$22,MATCH($A19,datos_base!$A$15:$A$22,0),MATCH($B$3,datos_base!$B$2:$K$2,0))*INDEX(Parametros!$B$11:$M$26,MATCH($A19,Parametros!$A$11:$A$26,0),MATCH(E$16,Parametros!$B$10:$M$10,0))</f>
        <v>810.985</v>
      </c>
      <c r="F19" s="182">
        <f t="array" ref="F19">INDEX(datos_base!$B$15:$K$22,MATCH($A19,datos_base!$A$15:$A$22,0),MATCH($B$3,datos_base!$B$2:$K$2,0))*INDEX(Parametros!$B$11:$M$26,MATCH($A19,Parametros!$A$11:$A$26,0),MATCH(F$16,Parametros!$B$10:$M$10,0))</f>
        <v>763.28</v>
      </c>
      <c r="G19" s="182">
        <f t="array" ref="G19">INDEX(datos_base!$B$15:$K$22,MATCH($A19,datos_base!$A$15:$A$22,0),MATCH($B$3,datos_base!$B$2:$K$2,0))*INDEX(Parametros!$B$11:$M$26,MATCH($A19,Parametros!$A$11:$A$26,0),MATCH(G$16,Parametros!$B$10:$M$10,0))</f>
        <v>715.575</v>
      </c>
      <c r="H19" s="182">
        <f t="array" ref="H19">INDEX(datos_base!$B$15:$K$22,MATCH($A19,datos_base!$A$15:$A$22,0),MATCH($B$3,datos_base!$B$2:$K$2,0))*INDEX(Parametros!$B$11:$M$26,MATCH($A19,Parametros!$A$11:$A$26,0),MATCH(H$16,Parametros!$B$10:$M$10,0))</f>
        <v>763.28</v>
      </c>
      <c r="I19" s="182">
        <f t="array" ref="I19">INDEX(datos_base!$B$15:$K$22,MATCH($A19,datos_base!$A$15:$A$22,0),MATCH($B$3,datos_base!$B$2:$K$2,0))*INDEX(Parametros!$B$11:$M$26,MATCH($A19,Parametros!$A$11:$A$26,0),MATCH(I$16,Parametros!$B$10:$M$10,0))</f>
        <v>763.28</v>
      </c>
      <c r="J19" s="182">
        <f t="array" ref="J19">INDEX(datos_base!$B$15:$K$22,MATCH($A19,datos_base!$A$15:$A$22,0),MATCH($B$3,datos_base!$B$2:$K$2,0))*INDEX(Parametros!$B$11:$M$26,MATCH($A19,Parametros!$A$11:$A$26,0),MATCH(J$16,Parametros!$B$10:$M$10,0))</f>
        <v>763.28</v>
      </c>
      <c r="K19" s="182">
        <f t="array" ref="K19">INDEX(datos_base!$B$15:$K$22,MATCH($A19,datos_base!$A$15:$A$22,0),MATCH($B$3,datos_base!$B$2:$K$2,0))*INDEX(Parametros!$B$11:$M$26,MATCH($A19,Parametros!$A$11:$A$26,0),MATCH(K$16,Parametros!$B$10:$M$10,0))</f>
        <v>715.575</v>
      </c>
      <c r="L19" s="182">
        <f t="array" ref="L19">INDEX(datos_base!$B$15:$K$22,MATCH($A19,datos_base!$A$15:$A$22,0),MATCH($B$3,datos_base!$B$2:$K$2,0))*INDEX(Parametros!$B$11:$M$26,MATCH($A19,Parametros!$A$11:$A$26,0),MATCH(L$16,Parametros!$B$10:$M$10,0))</f>
        <v>667.87</v>
      </c>
      <c r="M19" s="182">
        <f t="array" ref="M19">INDEX(datos_base!$B$15:$K$22,MATCH($A19,datos_base!$A$15:$A$22,0),MATCH($B$3,datos_base!$B$2:$K$2,0))*INDEX(Parametros!$B$11:$M$26,MATCH($A19,Parametros!$A$11:$A$26,0),MATCH(M$16,Parametros!$B$10:$M$10,0))</f>
        <v>1049.51</v>
      </c>
      <c r="N19" s="271">
        <f t="shared" si="4"/>
        <v>9541</v>
      </c>
      <c r="O19" s="271">
        <f t="shared" si="5"/>
        <v>795.0833333</v>
      </c>
    </row>
    <row r="20" ht="12.0" customHeight="1">
      <c r="A20" s="152" t="s">
        <v>122</v>
      </c>
      <c r="B20" s="182">
        <f t="array" ref="B20">INDEX(datos_base!$B$15:$K$22,MATCH($A20,datos_base!$A$15:$A$22,0),MATCH($B$3,datos_base!$B$2:$K$2,0))*INDEX(Parametros!$B$11:$M$26,MATCH($A20,Parametros!$A$11:$A$26,0),MATCH(B$16,Parametros!$B$10:$M$10,0))</f>
        <v>58.3</v>
      </c>
      <c r="C20" s="182">
        <f t="array" ref="C20">INDEX(datos_base!$B$15:$K$22,MATCH($A20,datos_base!$A$15:$A$22,0),MATCH($B$3,datos_base!$B$2:$K$2,0))*INDEX(Parametros!$B$11:$M$26,MATCH($A20,Parametros!$A$11:$A$26,0),MATCH(C$16,Parametros!$B$10:$M$10,0))</f>
        <v>46.64</v>
      </c>
      <c r="D20" s="182">
        <f t="array" ref="D20">INDEX(datos_base!$B$15:$K$22,MATCH($A20,datos_base!$A$15:$A$22,0),MATCH($B$3,datos_base!$B$2:$K$2,0))*INDEX(Parametros!$B$11:$M$26,MATCH($A20,Parametros!$A$11:$A$26,0),MATCH(D$16,Parametros!$B$10:$M$10,0))</f>
        <v>49.555</v>
      </c>
      <c r="E20" s="182">
        <f t="array" ref="E20">INDEX(datos_base!$B$15:$K$22,MATCH($A20,datos_base!$A$15:$A$22,0),MATCH($B$3,datos_base!$B$2:$K$2,0))*INDEX(Parametros!$B$11:$M$26,MATCH($A20,Parametros!$A$11:$A$26,0),MATCH(E$16,Parametros!$B$10:$M$10,0))</f>
        <v>49.555</v>
      </c>
      <c r="F20" s="182">
        <f t="array" ref="F20">INDEX(datos_base!$B$15:$K$22,MATCH($A20,datos_base!$A$15:$A$22,0),MATCH($B$3,datos_base!$B$2:$K$2,0))*INDEX(Parametros!$B$11:$M$26,MATCH($A20,Parametros!$A$11:$A$26,0),MATCH(F$16,Parametros!$B$10:$M$10,0))</f>
        <v>46.64</v>
      </c>
      <c r="G20" s="182">
        <f t="array" ref="G20">INDEX(datos_base!$B$15:$K$22,MATCH($A20,datos_base!$A$15:$A$22,0),MATCH($B$3,datos_base!$B$2:$K$2,0))*INDEX(Parametros!$B$11:$M$26,MATCH($A20,Parametros!$A$11:$A$26,0),MATCH(G$16,Parametros!$B$10:$M$10,0))</f>
        <v>43.725</v>
      </c>
      <c r="H20" s="182">
        <f t="array" ref="H20">INDEX(datos_base!$B$15:$K$22,MATCH($A20,datos_base!$A$15:$A$22,0),MATCH($B$3,datos_base!$B$2:$K$2,0))*INDEX(Parametros!$B$11:$M$26,MATCH($A20,Parametros!$A$11:$A$26,0),MATCH(H$16,Parametros!$B$10:$M$10,0))</f>
        <v>46.64</v>
      </c>
      <c r="I20" s="182">
        <f t="array" ref="I20">INDEX(datos_base!$B$15:$K$22,MATCH($A20,datos_base!$A$15:$A$22,0),MATCH($B$3,datos_base!$B$2:$K$2,0))*INDEX(Parametros!$B$11:$M$26,MATCH($A20,Parametros!$A$11:$A$26,0),MATCH(I$16,Parametros!$B$10:$M$10,0))</f>
        <v>46.64</v>
      </c>
      <c r="J20" s="182">
        <f t="array" ref="J20">INDEX(datos_base!$B$15:$K$22,MATCH($A20,datos_base!$A$15:$A$22,0),MATCH($B$3,datos_base!$B$2:$K$2,0))*INDEX(Parametros!$B$11:$M$26,MATCH($A20,Parametros!$A$11:$A$26,0),MATCH(J$16,Parametros!$B$10:$M$10,0))</f>
        <v>46.64</v>
      </c>
      <c r="K20" s="182">
        <f t="array" ref="K20">INDEX(datos_base!$B$15:$K$22,MATCH($A20,datos_base!$A$15:$A$22,0),MATCH($B$3,datos_base!$B$2:$K$2,0))*INDEX(Parametros!$B$11:$M$26,MATCH($A20,Parametros!$A$11:$A$26,0),MATCH(K$16,Parametros!$B$10:$M$10,0))</f>
        <v>43.725</v>
      </c>
      <c r="L20" s="182">
        <f t="array" ref="L20">INDEX(datos_base!$B$15:$K$22,MATCH($A20,datos_base!$A$15:$A$22,0),MATCH($B$3,datos_base!$B$2:$K$2,0))*INDEX(Parametros!$B$11:$M$26,MATCH($A20,Parametros!$A$11:$A$26,0),MATCH(L$16,Parametros!$B$10:$M$10,0))</f>
        <v>40.81</v>
      </c>
      <c r="M20" s="182">
        <f t="array" ref="M20">INDEX(datos_base!$B$15:$K$22,MATCH($A20,datos_base!$A$15:$A$22,0),MATCH($B$3,datos_base!$B$2:$K$2,0))*INDEX(Parametros!$B$11:$M$26,MATCH($A20,Parametros!$A$11:$A$26,0),MATCH(M$16,Parametros!$B$10:$M$10,0))</f>
        <v>64.13</v>
      </c>
      <c r="N20" s="271">
        <f t="shared" si="4"/>
        <v>583</v>
      </c>
      <c r="O20" s="271">
        <f t="shared" si="5"/>
        <v>48.58333333</v>
      </c>
    </row>
    <row r="21" ht="12.0" customHeight="1">
      <c r="A21" s="152" t="s">
        <v>125</v>
      </c>
      <c r="B21" s="182">
        <f t="array" ref="B21">INDEX(datos_base!$B$15:$K$22,MATCH($A21,datos_base!$A$15:$A$22,0),MATCH($B$3,datos_base!$B$2:$K$2,0))*INDEX(Parametros!$B$11:$M$26,MATCH($A21,Parametros!$A$11:$A$26,0),MATCH(B$16,Parametros!$B$10:$M$10,0))</f>
        <v>7.905</v>
      </c>
      <c r="C21" s="182">
        <f t="array" ref="C21">INDEX(datos_base!$B$15:$K$22,MATCH($A21,datos_base!$A$15:$A$22,0),MATCH($B$3,datos_base!$B$2:$K$2,0))*INDEX(Parametros!$B$11:$M$26,MATCH($A21,Parametros!$A$11:$A$26,0),MATCH(C$16,Parametros!$B$10:$M$10,0))</f>
        <v>6.975</v>
      </c>
      <c r="D21" s="182">
        <f t="array" ref="D21">INDEX(datos_base!$B$15:$K$22,MATCH($A21,datos_base!$A$15:$A$22,0),MATCH($B$3,datos_base!$B$2:$K$2,0))*INDEX(Parametros!$B$11:$M$26,MATCH($A21,Parametros!$A$11:$A$26,0),MATCH(D$16,Parametros!$B$10:$M$10,0))</f>
        <v>8.37</v>
      </c>
      <c r="E21" s="182">
        <f t="array" ref="E21">INDEX(datos_base!$B$15:$K$22,MATCH($A21,datos_base!$A$15:$A$22,0),MATCH($B$3,datos_base!$B$2:$K$2,0))*INDEX(Parametros!$B$11:$M$26,MATCH($A21,Parametros!$A$11:$A$26,0),MATCH(E$16,Parametros!$B$10:$M$10,0))</f>
        <v>8.37</v>
      </c>
      <c r="F21" s="182">
        <f t="array" ref="F21">INDEX(datos_base!$B$15:$K$22,MATCH($A21,datos_base!$A$15:$A$22,0),MATCH($B$3,datos_base!$B$2:$K$2,0))*INDEX(Parametros!$B$11:$M$26,MATCH($A21,Parametros!$A$11:$A$26,0),MATCH(F$16,Parametros!$B$10:$M$10,0))</f>
        <v>8.37</v>
      </c>
      <c r="G21" s="182">
        <f t="array" ref="G21">INDEX(datos_base!$B$15:$K$22,MATCH($A21,datos_base!$A$15:$A$22,0),MATCH($B$3,datos_base!$B$2:$K$2,0))*INDEX(Parametros!$B$11:$M$26,MATCH($A21,Parametros!$A$11:$A$26,0),MATCH(G$16,Parametros!$B$10:$M$10,0))</f>
        <v>7.44</v>
      </c>
      <c r="H21" s="182">
        <f t="array" ref="H21">INDEX(datos_base!$B$15:$K$22,MATCH($A21,datos_base!$A$15:$A$22,0),MATCH($B$3,datos_base!$B$2:$K$2,0))*INDEX(Parametros!$B$11:$M$26,MATCH($A21,Parametros!$A$11:$A$26,0),MATCH(H$16,Parametros!$B$10:$M$10,0))</f>
        <v>8.37</v>
      </c>
      <c r="I21" s="182">
        <f t="array" ref="I21">INDEX(datos_base!$B$15:$K$22,MATCH($A21,datos_base!$A$15:$A$22,0),MATCH($B$3,datos_base!$B$2:$K$2,0))*INDEX(Parametros!$B$11:$M$26,MATCH($A21,Parametros!$A$11:$A$26,0),MATCH(I$16,Parametros!$B$10:$M$10,0))</f>
        <v>8.37</v>
      </c>
      <c r="J21" s="182">
        <f t="array" ref="J21">INDEX(datos_base!$B$15:$K$22,MATCH($A21,datos_base!$A$15:$A$22,0),MATCH($B$3,datos_base!$B$2:$K$2,0))*INDEX(Parametros!$B$11:$M$26,MATCH($A21,Parametros!$A$11:$A$26,0),MATCH(J$16,Parametros!$B$10:$M$10,0))</f>
        <v>7.905</v>
      </c>
      <c r="K21" s="182">
        <f t="array" ref="K21">INDEX(datos_base!$B$15:$K$22,MATCH($A21,datos_base!$A$15:$A$22,0),MATCH($B$3,datos_base!$B$2:$K$2,0))*INDEX(Parametros!$B$11:$M$26,MATCH($A21,Parametros!$A$11:$A$26,0),MATCH(K$16,Parametros!$B$10:$M$10,0))</f>
        <v>6.975</v>
      </c>
      <c r="L21" s="182">
        <f t="array" ref="L21">INDEX(datos_base!$B$15:$K$22,MATCH($A21,datos_base!$A$15:$A$22,0),MATCH($B$3,datos_base!$B$2:$K$2,0))*INDEX(Parametros!$B$11:$M$26,MATCH($A21,Parametros!$A$11:$A$26,0),MATCH(L$16,Parametros!$B$10:$M$10,0))</f>
        <v>6.51</v>
      </c>
      <c r="M21" s="182">
        <f t="array" ref="M21">INDEX(datos_base!$B$15:$K$22,MATCH($A21,datos_base!$A$15:$A$22,0),MATCH($B$3,datos_base!$B$2:$K$2,0))*INDEX(Parametros!$B$11:$M$26,MATCH($A21,Parametros!$A$11:$A$26,0),MATCH(M$16,Parametros!$B$10:$M$10,0))</f>
        <v>7.44</v>
      </c>
      <c r="N21" s="271">
        <f t="shared" si="4"/>
        <v>93</v>
      </c>
      <c r="O21" s="271">
        <f t="shared" si="5"/>
        <v>7.75</v>
      </c>
    </row>
    <row r="22" ht="12.0" customHeight="1">
      <c r="A22" s="152" t="s">
        <v>128</v>
      </c>
      <c r="B22" s="182">
        <f t="array" ref="B22">INDEX(datos_base!$B$15:$K$22,MATCH($A22,datos_base!$A$15:$A$22,0),MATCH($B$3,datos_base!$B$2:$K$2,0))*INDEX(Parametros!$B$11:$M$26,MATCH($A22,Parametros!$A$11:$A$26,0),MATCH(B$16,Parametros!$B$10:$M$10,0))</f>
        <v>17.425</v>
      </c>
      <c r="C22" s="182">
        <f t="array" ref="C22">INDEX(datos_base!$B$15:$K$22,MATCH($A22,datos_base!$A$15:$A$22,0),MATCH($B$3,datos_base!$B$2:$K$2,0))*INDEX(Parametros!$B$11:$M$26,MATCH($A22,Parametros!$A$11:$A$26,0),MATCH(C$16,Parametros!$B$10:$M$10,0))</f>
        <v>15.375</v>
      </c>
      <c r="D22" s="182">
        <f t="array" ref="D22">INDEX(datos_base!$B$15:$K$22,MATCH($A22,datos_base!$A$15:$A$22,0),MATCH($B$3,datos_base!$B$2:$K$2,0))*INDEX(Parametros!$B$11:$M$26,MATCH($A22,Parametros!$A$11:$A$26,0),MATCH(D$16,Parametros!$B$10:$M$10,0))</f>
        <v>18.45</v>
      </c>
      <c r="E22" s="182">
        <f t="array" ref="E22">INDEX(datos_base!$B$15:$K$22,MATCH($A22,datos_base!$A$15:$A$22,0),MATCH($B$3,datos_base!$B$2:$K$2,0))*INDEX(Parametros!$B$11:$M$26,MATCH($A22,Parametros!$A$11:$A$26,0),MATCH(E$16,Parametros!$B$10:$M$10,0))</f>
        <v>18.45</v>
      </c>
      <c r="F22" s="182">
        <f t="array" ref="F22">INDEX(datos_base!$B$15:$K$22,MATCH($A22,datos_base!$A$15:$A$22,0),MATCH($B$3,datos_base!$B$2:$K$2,0))*INDEX(Parametros!$B$11:$M$26,MATCH($A22,Parametros!$A$11:$A$26,0),MATCH(F$16,Parametros!$B$10:$M$10,0))</f>
        <v>18.45</v>
      </c>
      <c r="G22" s="182">
        <f t="array" ref="G22">INDEX(datos_base!$B$15:$K$22,MATCH($A22,datos_base!$A$15:$A$22,0),MATCH($B$3,datos_base!$B$2:$K$2,0))*INDEX(Parametros!$B$11:$M$26,MATCH($A22,Parametros!$A$11:$A$26,0),MATCH(G$16,Parametros!$B$10:$M$10,0))</f>
        <v>16.4</v>
      </c>
      <c r="H22" s="182">
        <f t="array" ref="H22">INDEX(datos_base!$B$15:$K$22,MATCH($A22,datos_base!$A$15:$A$22,0),MATCH($B$3,datos_base!$B$2:$K$2,0))*INDEX(Parametros!$B$11:$M$26,MATCH($A22,Parametros!$A$11:$A$26,0),MATCH(H$16,Parametros!$B$10:$M$10,0))</f>
        <v>18.45</v>
      </c>
      <c r="I22" s="182">
        <f t="array" ref="I22">INDEX(datos_base!$B$15:$K$22,MATCH($A22,datos_base!$A$15:$A$22,0),MATCH($B$3,datos_base!$B$2:$K$2,0))*INDEX(Parametros!$B$11:$M$26,MATCH($A22,Parametros!$A$11:$A$26,0),MATCH(I$16,Parametros!$B$10:$M$10,0))</f>
        <v>18.45</v>
      </c>
      <c r="J22" s="182">
        <f t="array" ref="J22">INDEX(datos_base!$B$15:$K$22,MATCH($A22,datos_base!$A$15:$A$22,0),MATCH($B$3,datos_base!$B$2:$K$2,0))*INDEX(Parametros!$B$11:$M$26,MATCH($A22,Parametros!$A$11:$A$26,0),MATCH(J$16,Parametros!$B$10:$M$10,0))</f>
        <v>17.425</v>
      </c>
      <c r="K22" s="182">
        <f t="array" ref="K22">INDEX(datos_base!$B$15:$K$22,MATCH($A22,datos_base!$A$15:$A$22,0),MATCH($B$3,datos_base!$B$2:$K$2,0))*INDEX(Parametros!$B$11:$M$26,MATCH($A22,Parametros!$A$11:$A$26,0),MATCH(K$16,Parametros!$B$10:$M$10,0))</f>
        <v>15.375</v>
      </c>
      <c r="L22" s="182">
        <f t="array" ref="L22">INDEX(datos_base!$B$15:$K$22,MATCH($A22,datos_base!$A$15:$A$22,0),MATCH($B$3,datos_base!$B$2:$K$2,0))*INDEX(Parametros!$B$11:$M$26,MATCH($A22,Parametros!$A$11:$A$26,0),MATCH(L$16,Parametros!$B$10:$M$10,0))</f>
        <v>14.35</v>
      </c>
      <c r="M22" s="182">
        <f t="array" ref="M22">INDEX(datos_base!$B$15:$K$22,MATCH($A22,datos_base!$A$15:$A$22,0),MATCH($B$3,datos_base!$B$2:$K$2,0))*INDEX(Parametros!$B$11:$M$26,MATCH($A22,Parametros!$A$11:$A$26,0),MATCH(M$16,Parametros!$B$10:$M$10,0))</f>
        <v>16.4</v>
      </c>
      <c r="N22" s="271">
        <f t="shared" si="4"/>
        <v>205</v>
      </c>
      <c r="O22" s="271">
        <f t="shared" si="5"/>
        <v>17.08333333</v>
      </c>
    </row>
    <row r="23" ht="12.0" customHeight="1">
      <c r="A23" s="152" t="s">
        <v>129</v>
      </c>
      <c r="B23" s="182">
        <f t="array" ref="B23">INDEX(datos_base!$B$15:$K$22,MATCH($A23,datos_base!$A$15:$A$22,0),MATCH($B$3,datos_base!$B$2:$K$2,0))*INDEX(Parametros!$B$11:$M$26,MATCH($A23,Parametros!$A$11:$A$26,0),MATCH(B$16,Parametros!$B$10:$M$10,0))</f>
        <v>3.825</v>
      </c>
      <c r="C23" s="182">
        <f t="array" ref="C23">INDEX(datos_base!$B$15:$K$22,MATCH($A23,datos_base!$A$15:$A$22,0),MATCH($B$3,datos_base!$B$2:$K$2,0))*INDEX(Parametros!$B$11:$M$26,MATCH($A23,Parametros!$A$11:$A$26,0),MATCH(C$16,Parametros!$B$10:$M$10,0))</f>
        <v>3.375</v>
      </c>
      <c r="D23" s="182">
        <f t="array" ref="D23">INDEX(datos_base!$B$15:$K$22,MATCH($A23,datos_base!$A$15:$A$22,0),MATCH($B$3,datos_base!$B$2:$K$2,0))*INDEX(Parametros!$B$11:$M$26,MATCH($A23,Parametros!$A$11:$A$26,0),MATCH(D$16,Parametros!$B$10:$M$10,0))</f>
        <v>4.05</v>
      </c>
      <c r="E23" s="182">
        <f t="array" ref="E23">INDEX(datos_base!$B$15:$K$22,MATCH($A23,datos_base!$A$15:$A$22,0),MATCH($B$3,datos_base!$B$2:$K$2,0))*INDEX(Parametros!$B$11:$M$26,MATCH($A23,Parametros!$A$11:$A$26,0),MATCH(E$16,Parametros!$B$10:$M$10,0))</f>
        <v>4.05</v>
      </c>
      <c r="F23" s="182">
        <f t="array" ref="F23">INDEX(datos_base!$B$15:$K$22,MATCH($A23,datos_base!$A$15:$A$22,0),MATCH($B$3,datos_base!$B$2:$K$2,0))*INDEX(Parametros!$B$11:$M$26,MATCH($A23,Parametros!$A$11:$A$26,0),MATCH(F$16,Parametros!$B$10:$M$10,0))</f>
        <v>4.05</v>
      </c>
      <c r="G23" s="182">
        <f t="array" ref="G23">INDEX(datos_base!$B$15:$K$22,MATCH($A23,datos_base!$A$15:$A$22,0),MATCH($B$3,datos_base!$B$2:$K$2,0))*INDEX(Parametros!$B$11:$M$26,MATCH($A23,Parametros!$A$11:$A$26,0),MATCH(G$16,Parametros!$B$10:$M$10,0))</f>
        <v>3.6</v>
      </c>
      <c r="H23" s="182">
        <f t="array" ref="H23">INDEX(datos_base!$B$15:$K$22,MATCH($A23,datos_base!$A$15:$A$22,0),MATCH($B$3,datos_base!$B$2:$K$2,0))*INDEX(Parametros!$B$11:$M$26,MATCH($A23,Parametros!$A$11:$A$26,0),MATCH(H$16,Parametros!$B$10:$M$10,0))</f>
        <v>4.05</v>
      </c>
      <c r="I23" s="182">
        <f t="array" ref="I23">INDEX(datos_base!$B$15:$K$22,MATCH($A23,datos_base!$A$15:$A$22,0),MATCH($B$3,datos_base!$B$2:$K$2,0))*INDEX(Parametros!$B$11:$M$26,MATCH($A23,Parametros!$A$11:$A$26,0),MATCH(I$16,Parametros!$B$10:$M$10,0))</f>
        <v>4.05</v>
      </c>
      <c r="J23" s="182">
        <f t="array" ref="J23">INDEX(datos_base!$B$15:$K$22,MATCH($A23,datos_base!$A$15:$A$22,0),MATCH($B$3,datos_base!$B$2:$K$2,0))*INDEX(Parametros!$B$11:$M$26,MATCH($A23,Parametros!$A$11:$A$26,0),MATCH(J$16,Parametros!$B$10:$M$10,0))</f>
        <v>3.825</v>
      </c>
      <c r="K23" s="182">
        <f t="array" ref="K23">INDEX(datos_base!$B$15:$K$22,MATCH($A23,datos_base!$A$15:$A$22,0),MATCH($B$3,datos_base!$B$2:$K$2,0))*INDEX(Parametros!$B$11:$M$26,MATCH($A23,Parametros!$A$11:$A$26,0),MATCH(K$16,Parametros!$B$10:$M$10,0))</f>
        <v>3.375</v>
      </c>
      <c r="L23" s="182">
        <f t="array" ref="L23">INDEX(datos_base!$B$15:$K$22,MATCH($A23,datos_base!$A$15:$A$22,0),MATCH($B$3,datos_base!$B$2:$K$2,0))*INDEX(Parametros!$B$11:$M$26,MATCH($A23,Parametros!$A$11:$A$26,0),MATCH(L$16,Parametros!$B$10:$M$10,0))</f>
        <v>3.15</v>
      </c>
      <c r="M23" s="182">
        <f t="array" ref="M23">INDEX(datos_base!$B$15:$K$22,MATCH($A23,datos_base!$A$15:$A$22,0),MATCH($B$3,datos_base!$B$2:$K$2,0))*INDEX(Parametros!$B$11:$M$26,MATCH($A23,Parametros!$A$11:$A$26,0),MATCH(M$16,Parametros!$B$10:$M$10,0))</f>
        <v>3.6</v>
      </c>
      <c r="N23" s="271">
        <f t="shared" si="4"/>
        <v>45</v>
      </c>
      <c r="O23" s="271">
        <f t="shared" si="5"/>
        <v>3.75</v>
      </c>
    </row>
    <row r="24" ht="12.0" customHeight="1">
      <c r="A24" s="152" t="s">
        <v>130</v>
      </c>
      <c r="B24" s="182">
        <f t="array" ref="B24">INDEX(datos_base!$B$15:$K$22,MATCH($A24,datos_base!$A$15:$A$22,0),MATCH($B$3,datos_base!$B$2:$K$2,0))*INDEX(Parametros!$B$11:$M$26,MATCH($A24,Parametros!$A$11:$A$26,0),MATCH(B$16,Parametros!$B$10:$M$10,0))</f>
        <v>2.55</v>
      </c>
      <c r="C24" s="182">
        <f t="array" ref="C24">INDEX(datos_base!$B$15:$K$22,MATCH($A24,datos_base!$A$15:$A$22,0),MATCH($B$3,datos_base!$B$2:$K$2,0))*INDEX(Parametros!$B$11:$M$26,MATCH($A24,Parametros!$A$11:$A$26,0),MATCH(C$16,Parametros!$B$10:$M$10,0))</f>
        <v>2.25</v>
      </c>
      <c r="D24" s="182">
        <f t="array" ref="D24">INDEX(datos_base!$B$15:$K$22,MATCH($A24,datos_base!$A$15:$A$22,0),MATCH($B$3,datos_base!$B$2:$K$2,0))*INDEX(Parametros!$B$11:$M$26,MATCH($A24,Parametros!$A$11:$A$26,0),MATCH(D$16,Parametros!$B$10:$M$10,0))</f>
        <v>2.7</v>
      </c>
      <c r="E24" s="182">
        <f t="array" ref="E24">INDEX(datos_base!$B$15:$K$22,MATCH($A24,datos_base!$A$15:$A$22,0),MATCH($B$3,datos_base!$B$2:$K$2,0))*INDEX(Parametros!$B$11:$M$26,MATCH($A24,Parametros!$A$11:$A$26,0),MATCH(E$16,Parametros!$B$10:$M$10,0))</f>
        <v>2.7</v>
      </c>
      <c r="F24" s="182">
        <f t="array" ref="F24">INDEX(datos_base!$B$15:$K$22,MATCH($A24,datos_base!$A$15:$A$22,0),MATCH($B$3,datos_base!$B$2:$K$2,0))*INDEX(Parametros!$B$11:$M$26,MATCH($A24,Parametros!$A$11:$A$26,0),MATCH(F$16,Parametros!$B$10:$M$10,0))</f>
        <v>2.7</v>
      </c>
      <c r="G24" s="182">
        <f t="array" ref="G24">INDEX(datos_base!$B$15:$K$22,MATCH($A24,datos_base!$A$15:$A$22,0),MATCH($B$3,datos_base!$B$2:$K$2,0))*INDEX(Parametros!$B$11:$M$26,MATCH($A24,Parametros!$A$11:$A$26,0),MATCH(G$16,Parametros!$B$10:$M$10,0))</f>
        <v>2.4</v>
      </c>
      <c r="H24" s="182">
        <f t="array" ref="H24">INDEX(datos_base!$B$15:$K$22,MATCH($A24,datos_base!$A$15:$A$22,0),MATCH($B$3,datos_base!$B$2:$K$2,0))*INDEX(Parametros!$B$11:$M$26,MATCH($A24,Parametros!$A$11:$A$26,0),MATCH(H$16,Parametros!$B$10:$M$10,0))</f>
        <v>2.7</v>
      </c>
      <c r="I24" s="182">
        <f t="array" ref="I24">INDEX(datos_base!$B$15:$K$22,MATCH($A24,datos_base!$A$15:$A$22,0),MATCH($B$3,datos_base!$B$2:$K$2,0))*INDEX(Parametros!$B$11:$M$26,MATCH($A24,Parametros!$A$11:$A$26,0),MATCH(I$16,Parametros!$B$10:$M$10,0))</f>
        <v>2.7</v>
      </c>
      <c r="J24" s="182">
        <f t="array" ref="J24">INDEX(datos_base!$B$15:$K$22,MATCH($A24,datos_base!$A$15:$A$22,0),MATCH($B$3,datos_base!$B$2:$K$2,0))*INDEX(Parametros!$B$11:$M$26,MATCH($A24,Parametros!$A$11:$A$26,0),MATCH(J$16,Parametros!$B$10:$M$10,0))</f>
        <v>2.55</v>
      </c>
      <c r="K24" s="182">
        <f t="array" ref="K24">INDEX(datos_base!$B$15:$K$22,MATCH($A24,datos_base!$A$15:$A$22,0),MATCH($B$3,datos_base!$B$2:$K$2,0))*INDEX(Parametros!$B$11:$M$26,MATCH($A24,Parametros!$A$11:$A$26,0),MATCH(K$16,Parametros!$B$10:$M$10,0))</f>
        <v>2.25</v>
      </c>
      <c r="L24" s="182">
        <f t="array" ref="L24">INDEX(datos_base!$B$15:$K$22,MATCH($A24,datos_base!$A$15:$A$22,0),MATCH($B$3,datos_base!$B$2:$K$2,0))*INDEX(Parametros!$B$11:$M$26,MATCH($A24,Parametros!$A$11:$A$26,0),MATCH(L$16,Parametros!$B$10:$M$10,0))</f>
        <v>2.1</v>
      </c>
      <c r="M24" s="182">
        <f t="array" ref="M24">INDEX(datos_base!$B$15:$K$22,MATCH($A24,datos_base!$A$15:$A$22,0),MATCH($B$3,datos_base!$B$2:$K$2,0))*INDEX(Parametros!$B$11:$M$26,MATCH($A24,Parametros!$A$11:$A$26,0),MATCH(M$16,Parametros!$B$10:$M$10,0))</f>
        <v>2.4</v>
      </c>
      <c r="N24" s="271">
        <f t="shared" si="4"/>
        <v>30</v>
      </c>
      <c r="O24" s="271">
        <f t="shared" si="5"/>
        <v>2.5</v>
      </c>
    </row>
    <row r="25" ht="12.0" customHeight="1">
      <c r="A25" s="272" t="s">
        <v>420</v>
      </c>
      <c r="B25" s="273">
        <f t="shared" ref="B25:N25" si="6">SUM(B17:B24)</f>
        <v>7169.605</v>
      </c>
      <c r="C25" s="273">
        <f t="shared" si="6"/>
        <v>5441.685</v>
      </c>
      <c r="D25" s="273">
        <f t="shared" si="6"/>
        <v>5013.215</v>
      </c>
      <c r="E25" s="273">
        <f t="shared" si="6"/>
        <v>4766.04</v>
      </c>
      <c r="F25" s="273">
        <f t="shared" si="6"/>
        <v>4458.58</v>
      </c>
      <c r="G25" s="273">
        <f t="shared" si="6"/>
        <v>4394.565</v>
      </c>
      <c r="H25" s="273">
        <f t="shared" si="6"/>
        <v>4705.755</v>
      </c>
      <c r="I25" s="273">
        <f t="shared" si="6"/>
        <v>4705.755</v>
      </c>
      <c r="J25" s="273">
        <f t="shared" si="6"/>
        <v>4703.89</v>
      </c>
      <c r="K25" s="273">
        <f t="shared" si="6"/>
        <v>4639.875</v>
      </c>
      <c r="L25" s="273">
        <f t="shared" si="6"/>
        <v>4577.725</v>
      </c>
      <c r="M25" s="273">
        <f t="shared" si="6"/>
        <v>7288.31</v>
      </c>
      <c r="N25" s="273">
        <f t="shared" si="6"/>
        <v>61865</v>
      </c>
      <c r="O25" s="273">
        <f t="shared" si="5"/>
        <v>5155.416667</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O6+O7+O8+O9+O17+O18+O19+O20</f>
        <v>7325.583333</v>
      </c>
      <c r="C28" s="152">
        <f>ROUNDDOWN(B28/Parametros!$B$37,0)</f>
        <v>366</v>
      </c>
      <c r="D28" s="152">
        <f>ROUNDDOWN(C28/Parametros!$J$37,0)</f>
        <v>48</v>
      </c>
      <c r="E28" s="152">
        <f t="shared" ref="E28:E45" si="7">D28</f>
        <v>48</v>
      </c>
      <c r="F28" s="279">
        <f>Parametros!$M$39</f>
        <v>68</v>
      </c>
      <c r="G28" s="152">
        <v>1.0</v>
      </c>
      <c r="H28" s="152">
        <f t="shared" ref="H28:H45" si="8">F28*G28</f>
        <v>68</v>
      </c>
      <c r="I28" s="275">
        <f t="shared" ref="I28:I45" si="9">E28/H28</f>
        <v>0.7058823529</v>
      </c>
      <c r="J28" s="152" t="s">
        <v>158</v>
      </c>
    </row>
    <row r="29" ht="12.0" customHeight="1">
      <c r="A29" s="152" t="s">
        <v>163</v>
      </c>
      <c r="B29" s="159">
        <f>O6+O7+O8+O9+O17+O18+O19+O20</f>
        <v>7325.583333</v>
      </c>
      <c r="C29" s="152">
        <f>ROUNDDOWN(B29/Parametros!$B$37,0)</f>
        <v>366</v>
      </c>
      <c r="D29" s="152">
        <f>ROUNDDOWN(C29/Parametros!$J$37,0)</f>
        <v>48</v>
      </c>
      <c r="E29" s="152">
        <f t="shared" si="7"/>
        <v>48</v>
      </c>
      <c r="F29" s="279">
        <f>Parametros!$M$40</f>
        <v>40.88</v>
      </c>
      <c r="G29" s="152">
        <v>1.0</v>
      </c>
      <c r="H29" s="152">
        <f t="shared" si="8"/>
        <v>40.88</v>
      </c>
      <c r="I29" s="275">
        <f t="shared" si="9"/>
        <v>1.174168297</v>
      </c>
      <c r="J29" s="152" t="s">
        <v>158</v>
      </c>
    </row>
    <row r="30" ht="12.0" customHeight="1">
      <c r="A30" s="152" t="s">
        <v>61</v>
      </c>
      <c r="B30" s="159">
        <f>O6+O7+O8+O9+O17+O18+O19+O20</f>
        <v>7325.583333</v>
      </c>
      <c r="C30" s="152">
        <f>ROUNDDOWN(B30/Parametros!$B$37,0)</f>
        <v>366</v>
      </c>
      <c r="D30" s="152">
        <f>ROUNDDOWN(C30/Parametros!$J$37,0)</f>
        <v>48</v>
      </c>
      <c r="E30" s="152">
        <f t="shared" si="7"/>
        <v>48</v>
      </c>
      <c r="F30" s="279">
        <f>Parametros!$M$41</f>
        <v>466.5116279</v>
      </c>
      <c r="G30" s="152">
        <v>1.0</v>
      </c>
      <c r="H30" s="152">
        <f t="shared" si="8"/>
        <v>466.5116279</v>
      </c>
      <c r="I30" s="275">
        <f t="shared" si="9"/>
        <v>0.102891326</v>
      </c>
      <c r="J30" s="152" t="s">
        <v>158</v>
      </c>
    </row>
    <row r="31" ht="12.0" customHeight="1">
      <c r="A31" s="152" t="s">
        <v>62</v>
      </c>
      <c r="B31" s="159">
        <f>O7+O8+O9+O18+O19+O20</f>
        <v>2149.25</v>
      </c>
      <c r="C31" s="152">
        <f>ROUNDDOWN(B31/Parametros!$B$37,0)</f>
        <v>107</v>
      </c>
      <c r="D31" s="152">
        <f>ROUNDDOWN(C31/Parametros!$J$37,0)</f>
        <v>14</v>
      </c>
      <c r="E31" s="152">
        <f t="shared" si="7"/>
        <v>14</v>
      </c>
      <c r="F31" s="279">
        <f>Parametros!$M$42</f>
        <v>96</v>
      </c>
      <c r="G31" s="152">
        <v>1.0</v>
      </c>
      <c r="H31" s="152">
        <f t="shared" si="8"/>
        <v>96</v>
      </c>
      <c r="I31" s="275">
        <f t="shared" si="9"/>
        <v>0.1458333333</v>
      </c>
      <c r="J31" s="152" t="s">
        <v>182</v>
      </c>
    </row>
    <row r="32" ht="12.0" customHeight="1">
      <c r="A32" s="152" t="s">
        <v>63</v>
      </c>
      <c r="B32" s="159">
        <f>O7+O8+O9+O18+O19+O20</f>
        <v>2149.25</v>
      </c>
      <c r="C32" s="152">
        <f>ROUNDDOWN(B32/Parametros!$B$37,0)</f>
        <v>107</v>
      </c>
      <c r="D32" s="152">
        <f>ROUNDDOWN(C32/Parametros!$J$37,0)</f>
        <v>14</v>
      </c>
      <c r="E32" s="152">
        <f t="shared" si="7"/>
        <v>14</v>
      </c>
      <c r="F32" s="279">
        <f>Parametros!$M$43</f>
        <v>80.10122449</v>
      </c>
      <c r="G32" s="152">
        <v>1.0</v>
      </c>
      <c r="H32" s="152">
        <f t="shared" si="8"/>
        <v>80.10122449</v>
      </c>
      <c r="I32" s="275">
        <f t="shared" si="9"/>
        <v>0.1747788512</v>
      </c>
      <c r="J32" s="152" t="s">
        <v>182</v>
      </c>
    </row>
    <row r="33" ht="12.0" customHeight="1">
      <c r="A33" s="152" t="s">
        <v>64</v>
      </c>
      <c r="B33" s="159">
        <f>O7+O8+O9+O18+O19+O20</f>
        <v>2149.25</v>
      </c>
      <c r="C33" s="152">
        <f>ROUNDDOWN(B33/Parametros!$B$37,0)</f>
        <v>107</v>
      </c>
      <c r="D33" s="152">
        <f>ROUNDDOWN(C33/Parametros!$J$37,0)</f>
        <v>14</v>
      </c>
      <c r="E33" s="152">
        <f t="shared" si="7"/>
        <v>14</v>
      </c>
      <c r="F33" s="279">
        <f>Parametros!$M$44</f>
        <v>18.54222222</v>
      </c>
      <c r="G33" s="152">
        <v>1.0</v>
      </c>
      <c r="H33" s="152">
        <f t="shared" si="8"/>
        <v>18.54222222</v>
      </c>
      <c r="I33" s="275">
        <f t="shared" si="9"/>
        <v>0.755033557</v>
      </c>
      <c r="J33" s="152" t="s">
        <v>182</v>
      </c>
    </row>
    <row r="34" ht="12.0" customHeight="1">
      <c r="A34" s="152" t="s">
        <v>66</v>
      </c>
      <c r="B34" s="159">
        <f>O6+O7+O8+O9+O17+O18+O19+O20</f>
        <v>7325.583333</v>
      </c>
      <c r="C34" s="152">
        <f>ROUNDDOWN(B34/Parametros!$B$37,0)</f>
        <v>366</v>
      </c>
      <c r="D34" s="152">
        <f>ROUNDDOWN(C34/Parametros!$J$37,0)</f>
        <v>48</v>
      </c>
      <c r="E34" s="152">
        <f t="shared" si="7"/>
        <v>48</v>
      </c>
      <c r="F34" s="279">
        <f>Parametros!$M$45</f>
        <v>60.656</v>
      </c>
      <c r="G34" s="152">
        <v>1.0</v>
      </c>
      <c r="H34" s="152">
        <f t="shared" si="8"/>
        <v>60.656</v>
      </c>
      <c r="I34" s="275">
        <f t="shared" si="9"/>
        <v>0.7913479293</v>
      </c>
      <c r="J34" s="152" t="s">
        <v>158</v>
      </c>
    </row>
    <row r="35" ht="12.0" customHeight="1">
      <c r="A35" s="152" t="s">
        <v>67</v>
      </c>
      <c r="B35" s="159">
        <f>O6+O7+O8+O9+O17+O18+O19+O20</f>
        <v>7325.583333</v>
      </c>
      <c r="C35" s="152">
        <f>ROUNDDOWN(B35/Parametros!$B$37,0)</f>
        <v>366</v>
      </c>
      <c r="D35" s="152">
        <f>ROUNDDOWN(C35/Parametros!$J$37,0)</f>
        <v>48</v>
      </c>
      <c r="E35" s="152">
        <f t="shared" si="7"/>
        <v>48</v>
      </c>
      <c r="F35" s="279">
        <f>Parametros!$M$46</f>
        <v>187.425</v>
      </c>
      <c r="G35" s="152">
        <v>1.0</v>
      </c>
      <c r="H35" s="152">
        <f t="shared" si="8"/>
        <v>187.425</v>
      </c>
      <c r="I35" s="275">
        <f t="shared" si="9"/>
        <v>0.256102441</v>
      </c>
      <c r="J35" s="152" t="s">
        <v>158</v>
      </c>
    </row>
    <row r="36" ht="12.0" customHeight="1">
      <c r="A36" s="152" t="s">
        <v>68</v>
      </c>
      <c r="B36" s="159">
        <f>O6+O7+O8+O9+O17+O18+O19+O20</f>
        <v>7325.583333</v>
      </c>
      <c r="C36" s="152">
        <f>ROUNDDOWN(B36/Parametros!$B$37,0)</f>
        <v>366</v>
      </c>
      <c r="D36" s="152">
        <f>ROUNDDOWN(C36/Parametros!$J$37,0)</f>
        <v>48</v>
      </c>
      <c r="E36" s="152">
        <f t="shared" si="7"/>
        <v>48</v>
      </c>
      <c r="F36" s="279">
        <f>Parametros!$M$47</f>
        <v>15.96903226</v>
      </c>
      <c r="G36" s="152">
        <v>1.0</v>
      </c>
      <c r="H36" s="152">
        <f t="shared" si="8"/>
        <v>15.96903226</v>
      </c>
      <c r="I36" s="275">
        <f t="shared" si="9"/>
        <v>3.005817712</v>
      </c>
      <c r="J36" s="152" t="s">
        <v>158</v>
      </c>
    </row>
    <row r="37" ht="12.0" customHeight="1">
      <c r="A37" s="152" t="s">
        <v>70</v>
      </c>
      <c r="B37" s="159">
        <f>O6+O7+O8+O9+O17+O18+O19+O20</f>
        <v>7325.583333</v>
      </c>
      <c r="C37" s="152">
        <f>ROUNDDOWN(B37/Parametros!$B$37,0)</f>
        <v>366</v>
      </c>
      <c r="D37" s="152">
        <f>ROUNDDOWN(C37/Parametros!$J$37,0)</f>
        <v>48</v>
      </c>
      <c r="E37" s="152">
        <f t="shared" si="7"/>
        <v>48</v>
      </c>
      <c r="F37" s="279">
        <f>Parametros!$M$48</f>
        <v>22.46518519</v>
      </c>
      <c r="G37" s="152">
        <v>1.0</v>
      </c>
      <c r="H37" s="152">
        <f t="shared" si="8"/>
        <v>22.46518519</v>
      </c>
      <c r="I37" s="275">
        <f t="shared" si="9"/>
        <v>2.136639409</v>
      </c>
      <c r="J37" s="152" t="s">
        <v>158</v>
      </c>
    </row>
    <row r="38" ht="12.0" customHeight="1">
      <c r="A38" s="152" t="s">
        <v>72</v>
      </c>
      <c r="B38" s="159">
        <f>O6+O7+O8+O9+O17+O18+O19+O20</f>
        <v>7325.583333</v>
      </c>
      <c r="C38" s="152">
        <f>ROUNDDOWN(B38/Parametros!$B$37,0)</f>
        <v>366</v>
      </c>
      <c r="D38" s="152">
        <f>ROUNDDOWN(C38/Parametros!$J$37,0)</f>
        <v>48</v>
      </c>
      <c r="E38" s="152">
        <f t="shared" si="7"/>
        <v>48</v>
      </c>
      <c r="F38" s="279">
        <f>Parametros!$M$49</f>
        <v>71.1627907</v>
      </c>
      <c r="G38" s="152">
        <v>1.0</v>
      </c>
      <c r="H38" s="152">
        <f t="shared" si="8"/>
        <v>71.1627907</v>
      </c>
      <c r="I38" s="275">
        <f t="shared" si="9"/>
        <v>0.6745098039</v>
      </c>
      <c r="J38" s="152" t="s">
        <v>158</v>
      </c>
    </row>
    <row r="39" ht="12.0" customHeight="1">
      <c r="A39" s="152" t="s">
        <v>76</v>
      </c>
      <c r="B39" s="159">
        <f>O6+O7+O8+O9+O17+O18+O19+O20</f>
        <v>7325.583333</v>
      </c>
      <c r="C39" s="152">
        <f>ROUNDDOWN(B39/Parametros!$B$37,0)</f>
        <v>366</v>
      </c>
      <c r="D39" s="152">
        <f>ROUNDDOWN(C39/Parametros!$J$37,0)</f>
        <v>48</v>
      </c>
      <c r="E39" s="152">
        <f t="shared" si="7"/>
        <v>48</v>
      </c>
      <c r="F39" s="279">
        <f>Parametros!$M$50</f>
        <v>192</v>
      </c>
      <c r="G39" s="152">
        <v>1.0</v>
      </c>
      <c r="H39" s="152">
        <f t="shared" si="8"/>
        <v>192</v>
      </c>
      <c r="I39" s="275">
        <f t="shared" si="9"/>
        <v>0.25</v>
      </c>
      <c r="J39" s="152" t="s">
        <v>158</v>
      </c>
    </row>
    <row r="40" ht="12.0" customHeight="1">
      <c r="A40" s="152" t="s">
        <v>77</v>
      </c>
      <c r="B40" s="159">
        <f>O6+O7+O8+O9+O17+O18+O19+O20</f>
        <v>7325.583333</v>
      </c>
      <c r="C40" s="152">
        <f>ROUNDDOWN(B40/Parametros!$B$37,0)</f>
        <v>366</v>
      </c>
      <c r="D40" s="152">
        <f>ROUNDDOWN(C40/Parametros!$J$37,0)</f>
        <v>48</v>
      </c>
      <c r="E40" s="152">
        <f t="shared" si="7"/>
        <v>48</v>
      </c>
      <c r="F40" s="279">
        <f>Parametros!$M$51</f>
        <v>136.0227273</v>
      </c>
      <c r="G40" s="152">
        <v>1.0</v>
      </c>
      <c r="H40" s="152">
        <f t="shared" si="8"/>
        <v>136.0227273</v>
      </c>
      <c r="I40" s="275">
        <f t="shared" si="9"/>
        <v>0.3528822055</v>
      </c>
      <c r="J40" s="152" t="s">
        <v>158</v>
      </c>
    </row>
    <row r="41" ht="12.0" customHeight="1">
      <c r="A41" s="152" t="s">
        <v>79</v>
      </c>
      <c r="B41" s="159">
        <f>O6+O7+O8+O9+O17+O18+O19+O20</f>
        <v>7325.583333</v>
      </c>
      <c r="C41" s="152">
        <f>ROUNDDOWN(B41/Parametros!$B$37,0)</f>
        <v>366</v>
      </c>
      <c r="D41" s="152">
        <f>ROUNDDOWN(C41/Parametros!$J$37,0)</f>
        <v>48</v>
      </c>
      <c r="E41" s="152">
        <f t="shared" si="7"/>
        <v>48</v>
      </c>
      <c r="F41" s="279">
        <f>Parametros!$M$52</f>
        <v>60.34285714</v>
      </c>
      <c r="G41" s="152">
        <v>1.0</v>
      </c>
      <c r="H41" s="152">
        <f t="shared" si="8"/>
        <v>60.34285714</v>
      </c>
      <c r="I41" s="275">
        <f t="shared" si="9"/>
        <v>0.7954545455</v>
      </c>
      <c r="J41" s="152" t="s">
        <v>158</v>
      </c>
    </row>
    <row r="42" ht="12.0" customHeight="1">
      <c r="A42" s="152" t="s">
        <v>81</v>
      </c>
      <c r="B42" s="159">
        <f>O6+O7+O8+O9+O17+O18+O19+O20</f>
        <v>7325.583333</v>
      </c>
      <c r="C42" s="152">
        <f>ROUNDDOWN(B42/Parametros!$B$37,0)</f>
        <v>366</v>
      </c>
      <c r="D42" s="152">
        <f>ROUNDDOWN(C42/Parametros!$J$37,0)</f>
        <v>48</v>
      </c>
      <c r="E42" s="152">
        <f t="shared" si="7"/>
        <v>48</v>
      </c>
      <c r="F42" s="279">
        <f>Parametros!$M$53</f>
        <v>25.2</v>
      </c>
      <c r="G42" s="152">
        <v>1.0</v>
      </c>
      <c r="H42" s="152">
        <f t="shared" si="8"/>
        <v>25.2</v>
      </c>
      <c r="I42" s="275">
        <f t="shared" si="9"/>
        <v>1.904761905</v>
      </c>
      <c r="J42" s="152" t="s">
        <v>158</v>
      </c>
    </row>
    <row r="43" ht="12.0" customHeight="1">
      <c r="A43" s="152" t="s">
        <v>82</v>
      </c>
      <c r="B43" s="159">
        <f>O6+O7+O8+O9+O17+O18+O19+O20</f>
        <v>7325.583333</v>
      </c>
      <c r="C43" s="152">
        <f>ROUNDDOWN(B43/Parametros!$B$37,0)</f>
        <v>366</v>
      </c>
      <c r="D43" s="152">
        <f>ROUNDDOWN(C43/Parametros!$J$37,0)</f>
        <v>48</v>
      </c>
      <c r="E43" s="152">
        <f t="shared" si="7"/>
        <v>48</v>
      </c>
      <c r="F43" s="279">
        <f>Parametros!$M$54</f>
        <v>41.53846154</v>
      </c>
      <c r="G43" s="152">
        <v>1.0</v>
      </c>
      <c r="H43" s="152">
        <f t="shared" si="8"/>
        <v>41.53846154</v>
      </c>
      <c r="I43" s="275">
        <f t="shared" si="9"/>
        <v>1.155555556</v>
      </c>
      <c r="J43" s="152" t="s">
        <v>158</v>
      </c>
    </row>
    <row r="44" ht="12.0" customHeight="1">
      <c r="A44" s="152" t="s">
        <v>83</v>
      </c>
      <c r="B44" s="159">
        <f>O6+O7+O8+O9+O17+O18+O19+O20</f>
        <v>7325.583333</v>
      </c>
      <c r="C44" s="152">
        <f>ROUNDDOWN(B44/Parametros!$B$37,0)</f>
        <v>366</v>
      </c>
      <c r="D44" s="152">
        <f>ROUNDDOWN(C44/Parametros!$J$37,0)</f>
        <v>48</v>
      </c>
      <c r="E44" s="152">
        <f t="shared" si="7"/>
        <v>48</v>
      </c>
      <c r="F44" s="279">
        <f>Parametros!$M$55</f>
        <v>45.81818182</v>
      </c>
      <c r="G44" s="152">
        <v>1.0</v>
      </c>
      <c r="H44" s="152">
        <f t="shared" si="8"/>
        <v>45.81818182</v>
      </c>
      <c r="I44" s="275">
        <f t="shared" si="9"/>
        <v>1.047619048</v>
      </c>
      <c r="J44" s="152" t="s">
        <v>158</v>
      </c>
    </row>
    <row r="45" ht="12.0" customHeight="1">
      <c r="A45" s="152" t="s">
        <v>84</v>
      </c>
      <c r="B45" s="159">
        <f>O6+O7+O8+O9+O17+O18+O19+O20</f>
        <v>7325.583333</v>
      </c>
      <c r="C45" s="152">
        <f>ROUNDDOWN(B45/Parametros!$B$37,0)</f>
        <v>366</v>
      </c>
      <c r="D45" s="152">
        <f>ROUNDDOWN(C45/Parametros!$J$37,0)</f>
        <v>48</v>
      </c>
      <c r="E45" s="152">
        <f t="shared" si="7"/>
        <v>48</v>
      </c>
      <c r="F45" s="279">
        <f>Parametros!$M$56</f>
        <v>48.81355932</v>
      </c>
      <c r="G45" s="152">
        <v>1.0</v>
      </c>
      <c r="H45" s="152">
        <f t="shared" si="8"/>
        <v>48.81355932</v>
      </c>
      <c r="I45" s="275">
        <f t="shared" si="9"/>
        <v>0.9833333333</v>
      </c>
      <c r="J45" s="152" t="s">
        <v>158</v>
      </c>
    </row>
    <row r="46" ht="12.0" customHeight="1"/>
    <row r="47" ht="12.0" customHeight="1">
      <c r="A47" s="276" t="s">
        <v>1611</v>
      </c>
      <c r="B47" s="277">
        <f t="shared" ref="B47:M47" si="10">SUM(B10:B13)+SUM(B21:B24)</f>
        <v>84.66</v>
      </c>
      <c r="C47" s="277">
        <f t="shared" si="10"/>
        <v>74.7</v>
      </c>
      <c r="D47" s="277">
        <f t="shared" si="10"/>
        <v>89.64</v>
      </c>
      <c r="E47" s="277">
        <f t="shared" si="10"/>
        <v>89.64</v>
      </c>
      <c r="F47" s="277">
        <f t="shared" si="10"/>
        <v>89.64</v>
      </c>
      <c r="G47" s="278">
        <f t="shared" si="10"/>
        <v>79.68</v>
      </c>
      <c r="H47" s="278">
        <f t="shared" si="10"/>
        <v>89.64</v>
      </c>
      <c r="I47" s="277">
        <f t="shared" si="10"/>
        <v>89.64</v>
      </c>
      <c r="J47" s="278">
        <f t="shared" si="10"/>
        <v>84.66</v>
      </c>
      <c r="K47" s="278">
        <f t="shared" si="10"/>
        <v>74.7</v>
      </c>
      <c r="L47" s="278">
        <f t="shared" si="10"/>
        <v>69.72</v>
      </c>
      <c r="M47" s="278">
        <f t="shared" si="10"/>
        <v>79.68</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4.75"/>
    <col customWidth="1" min="2" max="6" width="12.63"/>
  </cols>
  <sheetData>
    <row r="1" ht="12.0" customHeight="1">
      <c r="A1" s="262" t="s">
        <v>1614</v>
      </c>
      <c r="B1" s="263"/>
      <c r="C1" s="263"/>
      <c r="D1" s="263"/>
      <c r="E1" s="263"/>
      <c r="F1" s="263"/>
      <c r="G1" s="263"/>
      <c r="H1" s="263"/>
      <c r="I1" s="263"/>
      <c r="J1" s="263"/>
      <c r="K1" s="263"/>
      <c r="L1" s="263"/>
      <c r="M1" s="263"/>
      <c r="N1" s="264"/>
    </row>
    <row r="2" ht="12.0" customHeight="1">
      <c r="A2" s="265" t="s">
        <v>1591</v>
      </c>
      <c r="B2" s="263"/>
      <c r="C2" s="263"/>
      <c r="D2" s="263"/>
      <c r="E2" s="263"/>
      <c r="F2" s="263"/>
      <c r="G2" s="263"/>
      <c r="H2" s="263"/>
      <c r="I2" s="263"/>
      <c r="J2" s="263"/>
      <c r="K2" s="263"/>
      <c r="L2" s="263"/>
      <c r="M2" s="263"/>
      <c r="N2" s="264"/>
    </row>
    <row r="3" ht="12.0" customHeight="1">
      <c r="A3" s="266" t="s">
        <v>1592</v>
      </c>
      <c r="B3" s="267">
        <v>2031.0</v>
      </c>
      <c r="C3" s="11"/>
      <c r="D3" s="11"/>
      <c r="E3" s="11"/>
      <c r="F3" s="11"/>
      <c r="G3" s="11"/>
      <c r="H3" s="11"/>
      <c r="I3" s="11"/>
      <c r="J3" s="11"/>
      <c r="K3" s="11"/>
      <c r="L3" s="11"/>
      <c r="M3" s="11"/>
      <c r="N3" s="11"/>
      <c r="O3" s="11"/>
    </row>
    <row r="4" ht="12.0" customHeight="1">
      <c r="A4" s="11"/>
      <c r="B4" s="11"/>
      <c r="C4" s="11"/>
      <c r="D4" s="11"/>
      <c r="E4" s="11"/>
      <c r="F4" s="11"/>
      <c r="G4" s="11"/>
      <c r="H4" s="11"/>
      <c r="I4" s="11"/>
      <c r="J4" s="11"/>
      <c r="K4" s="11"/>
      <c r="L4" s="11"/>
      <c r="M4" s="11"/>
      <c r="N4" s="11"/>
      <c r="O4" s="11"/>
    </row>
    <row r="5" ht="12.0" customHeight="1">
      <c r="A5" s="270"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152" t="s">
        <v>34</v>
      </c>
      <c r="B6" s="182">
        <f t="array" ref="B6">INDEX(datos_base!$B$3:$K$10,MATCH($A6,datos_base!$A$3:$A$10,0),MATCH($B$3,datos_base!$B$2:$K$2,0))*INDEX(Parametros!$B$11:$M$26,MATCH($A6,Parametros!$A$11:$A$26,0),MATCH(B$5,Parametros!$B$10:$M$10,0))</f>
        <v>1874.4</v>
      </c>
      <c r="C6" s="182">
        <f t="array" ref="C6">INDEX(datos_base!$B$3:$K$10,MATCH($A6,datos_base!$A$3:$A$10,0),MATCH($B$3,datos_base!$B$2:$K$2,0))*INDEX(Parametros!$B$11:$M$26,MATCH($A6,Parametros!$A$11:$A$26,0),MATCH(C$5,Parametros!$B$10:$M$10,0))</f>
        <v>1405.8</v>
      </c>
      <c r="D6" s="182">
        <f t="array" ref="D6">INDEX(datos_base!$B$3:$K$10,MATCH($A6,datos_base!$A$3:$A$10,0),MATCH($B$3,datos_base!$B$2:$K$2,0))*INDEX(Parametros!$B$11:$M$26,MATCH($A6,Parametros!$A$11:$A$26,0),MATCH(D$5,Parametros!$B$10:$M$10,0))</f>
        <v>1249.6</v>
      </c>
      <c r="E6" s="182">
        <f t="array" ref="E6">INDEX(datos_base!$B$3:$K$10,MATCH($A6,datos_base!$A$3:$A$10,0),MATCH($B$3,datos_base!$B$2:$K$2,0))*INDEX(Parametros!$B$11:$M$26,MATCH($A6,Parametros!$A$11:$A$26,0),MATCH(E$5,Parametros!$B$10:$M$10,0))</f>
        <v>1171.5</v>
      </c>
      <c r="F6" s="182">
        <f t="array" ref="F6">INDEX(datos_base!$B$3:$K$10,MATCH($A6,datos_base!$A$3:$A$10,0),MATCH($B$3,datos_base!$B$2:$K$2,0))*INDEX(Parametros!$B$11:$M$26,MATCH($A6,Parametros!$A$11:$A$26,0),MATCH(F$5,Parametros!$B$10:$M$10,0))</f>
        <v>1093.4</v>
      </c>
      <c r="G6" s="182">
        <f t="array" ref="G6">INDEX(datos_base!$B$3:$K$10,MATCH($A6,datos_base!$A$3:$A$10,0),MATCH($B$3,datos_base!$B$2:$K$2,0))*INDEX(Parametros!$B$11:$M$26,MATCH($A6,Parametros!$A$11:$A$26,0),MATCH(G$5,Parametros!$B$10:$M$10,0))</f>
        <v>1093.4</v>
      </c>
      <c r="H6" s="182">
        <f t="array" ref="H6">INDEX(datos_base!$B$3:$K$10,MATCH($A6,datos_base!$A$3:$A$10,0),MATCH($B$3,datos_base!$B$2:$K$2,0))*INDEX(Parametros!$B$11:$M$26,MATCH($A6,Parametros!$A$11:$A$26,0),MATCH(H$5,Parametros!$B$10:$M$10,0))</f>
        <v>1171.5</v>
      </c>
      <c r="I6" s="182">
        <f t="array" ref="I6">INDEX(datos_base!$B$3:$K$10,MATCH($A6,datos_base!$A$3:$A$10,0),MATCH($B$3,datos_base!$B$2:$K$2,0))*INDEX(Parametros!$B$11:$M$26,MATCH($A6,Parametros!$A$11:$A$26,0),MATCH(I$5,Parametros!$B$10:$M$10,0))</f>
        <v>1171.5</v>
      </c>
      <c r="J6" s="182">
        <f t="array" ref="J6">INDEX(datos_base!$B$3:$K$10,MATCH($A6,datos_base!$A$3:$A$10,0),MATCH($B$3,datos_base!$B$2:$K$2,0))*INDEX(Parametros!$B$11:$M$26,MATCH($A6,Parametros!$A$11:$A$26,0),MATCH(J$5,Parametros!$B$10:$M$10,0))</f>
        <v>1171.5</v>
      </c>
      <c r="K6" s="182">
        <f t="array" ref="K6">INDEX(datos_base!$B$3:$K$10,MATCH($A6,datos_base!$A$3:$A$10,0),MATCH($B$3,datos_base!$B$2:$K$2,0))*INDEX(Parametros!$B$11:$M$26,MATCH($A6,Parametros!$A$11:$A$26,0),MATCH(K$5,Parametros!$B$10:$M$10,0))</f>
        <v>1171.5</v>
      </c>
      <c r="L6" s="182">
        <f t="array" ref="L6">INDEX(datos_base!$B$3:$K$10,MATCH($A6,datos_base!$A$3:$A$10,0),MATCH($B$3,datos_base!$B$2:$K$2,0))*INDEX(Parametros!$B$11:$M$26,MATCH($A6,Parametros!$A$11:$A$26,0),MATCH(L$5,Parametros!$B$10:$M$10,0))</f>
        <v>1171.5</v>
      </c>
      <c r="M6" s="182">
        <f t="array" ref="M6">INDEX(datos_base!$B$3:$K$10,MATCH($A6,datos_base!$A$3:$A$10,0),MATCH($B$3,datos_base!$B$2:$K$2,0))*INDEX(Parametros!$B$11:$M$26,MATCH($A6,Parametros!$A$11:$A$26,0),MATCH(M$5,Parametros!$B$10:$M$10,0))</f>
        <v>1874.4</v>
      </c>
      <c r="N6" s="271">
        <f t="shared" ref="N6:N13" si="1">SUM(B6:M6)</f>
        <v>15620</v>
      </c>
      <c r="O6" s="271">
        <f t="shared" ref="O6:O14" si="2">AVERAGE(B6:M6)</f>
        <v>1301.666667</v>
      </c>
    </row>
    <row r="7" ht="12.0" customHeight="1">
      <c r="A7" s="152" t="s">
        <v>43</v>
      </c>
      <c r="B7" s="182">
        <f t="array" ref="B7">INDEX(datos_base!$B$3:$K$10,MATCH($A7,datos_base!$A$3:$A$10,0),MATCH($B$3,datos_base!$B$2:$K$2,0))*INDEX(Parametros!$B$11:$M$26,MATCH($A7,Parametros!$A$11:$A$26,0),MATCH(B$5,Parametros!$B$10:$M$10,0))</f>
        <v>325.2</v>
      </c>
      <c r="C7" s="182">
        <f t="array" ref="C7">INDEX(datos_base!$B$3:$K$10,MATCH($A7,datos_base!$A$3:$A$10,0),MATCH($B$3,datos_base!$B$2:$K$2,0))*INDEX(Parametros!$B$11:$M$26,MATCH($A7,Parametros!$A$11:$A$26,0),MATCH(C$5,Parametros!$B$10:$M$10,0))</f>
        <v>260.16</v>
      </c>
      <c r="D7" s="182">
        <f t="array" ref="D7">INDEX(datos_base!$B$3:$K$10,MATCH($A7,datos_base!$A$3:$A$10,0),MATCH($B$3,datos_base!$B$2:$K$2,0))*INDEX(Parametros!$B$11:$M$26,MATCH($A7,Parametros!$A$11:$A$26,0),MATCH(D$5,Parametros!$B$10:$M$10,0))</f>
        <v>276.42</v>
      </c>
      <c r="E7" s="182">
        <f t="array" ref="E7">INDEX(datos_base!$B$3:$K$10,MATCH($A7,datos_base!$A$3:$A$10,0),MATCH($B$3,datos_base!$B$2:$K$2,0))*INDEX(Parametros!$B$11:$M$26,MATCH($A7,Parametros!$A$11:$A$26,0),MATCH(E$5,Parametros!$B$10:$M$10,0))</f>
        <v>276.42</v>
      </c>
      <c r="F7" s="182">
        <f t="array" ref="F7">INDEX(datos_base!$B$3:$K$10,MATCH($A7,datos_base!$A$3:$A$10,0),MATCH($B$3,datos_base!$B$2:$K$2,0))*INDEX(Parametros!$B$11:$M$26,MATCH($A7,Parametros!$A$11:$A$26,0),MATCH(F$5,Parametros!$B$10:$M$10,0))</f>
        <v>260.16</v>
      </c>
      <c r="G7" s="182">
        <f t="array" ref="G7">INDEX(datos_base!$B$3:$K$10,MATCH($A7,datos_base!$A$3:$A$10,0),MATCH($B$3,datos_base!$B$2:$K$2,0))*INDEX(Parametros!$B$11:$M$26,MATCH($A7,Parametros!$A$11:$A$26,0),MATCH(G$5,Parametros!$B$10:$M$10,0))</f>
        <v>243.9</v>
      </c>
      <c r="H7" s="182">
        <f t="array" ref="H7">INDEX(datos_base!$B$3:$K$10,MATCH($A7,datos_base!$A$3:$A$10,0),MATCH($B$3,datos_base!$B$2:$K$2,0))*INDEX(Parametros!$B$11:$M$26,MATCH($A7,Parametros!$A$11:$A$26,0),MATCH(H$5,Parametros!$B$10:$M$10,0))</f>
        <v>260.16</v>
      </c>
      <c r="I7" s="182">
        <f t="array" ref="I7">INDEX(datos_base!$B$3:$K$10,MATCH($A7,datos_base!$A$3:$A$10,0),MATCH($B$3,datos_base!$B$2:$K$2,0))*INDEX(Parametros!$B$11:$M$26,MATCH($A7,Parametros!$A$11:$A$26,0),MATCH(I$5,Parametros!$B$10:$M$10,0))</f>
        <v>260.16</v>
      </c>
      <c r="J7" s="182">
        <f t="array" ref="J7">INDEX(datos_base!$B$3:$K$10,MATCH($A7,datos_base!$A$3:$A$10,0),MATCH($B$3,datos_base!$B$2:$K$2,0))*INDEX(Parametros!$B$11:$M$26,MATCH($A7,Parametros!$A$11:$A$26,0),MATCH(J$5,Parametros!$B$10:$M$10,0))</f>
        <v>260.16</v>
      </c>
      <c r="K7" s="182">
        <f t="array" ref="K7">INDEX(datos_base!$B$3:$K$10,MATCH($A7,datos_base!$A$3:$A$10,0),MATCH($B$3,datos_base!$B$2:$K$2,0))*INDEX(Parametros!$B$11:$M$26,MATCH($A7,Parametros!$A$11:$A$26,0),MATCH(K$5,Parametros!$B$10:$M$10,0))</f>
        <v>243.9</v>
      </c>
      <c r="L7" s="182">
        <f t="array" ref="L7">INDEX(datos_base!$B$3:$K$10,MATCH($A7,datos_base!$A$3:$A$10,0),MATCH($B$3,datos_base!$B$2:$K$2,0))*INDEX(Parametros!$B$11:$M$26,MATCH($A7,Parametros!$A$11:$A$26,0),MATCH(L$5,Parametros!$B$10:$M$10,0))</f>
        <v>227.64</v>
      </c>
      <c r="M7" s="182">
        <f t="array" ref="M7">INDEX(datos_base!$B$3:$K$10,MATCH($A7,datos_base!$A$3:$A$10,0),MATCH($B$3,datos_base!$B$2:$K$2,0))*INDEX(Parametros!$B$11:$M$26,MATCH($A7,Parametros!$A$11:$A$26,0),MATCH(M$5,Parametros!$B$10:$M$10,0))</f>
        <v>357.72</v>
      </c>
      <c r="N7" s="271">
        <f t="shared" si="1"/>
        <v>3252</v>
      </c>
      <c r="O7" s="271">
        <f t="shared" si="2"/>
        <v>271</v>
      </c>
    </row>
    <row r="8" ht="12.0" customHeight="1">
      <c r="A8" s="152" t="s">
        <v>53</v>
      </c>
      <c r="B8" s="182">
        <f t="array" ref="B8">INDEX(datos_base!$B$3:$K$10,MATCH($A8,datos_base!$A$3:$A$10,0),MATCH($B$3,datos_base!$B$2:$K$2,0))*INDEX(Parametros!$B$11:$M$26,MATCH($A8,Parametros!$A$11:$A$26,0),MATCH(B$5,Parametros!$B$10:$M$10,0))</f>
        <v>1460.6</v>
      </c>
      <c r="C8" s="182">
        <f t="array" ref="C8">INDEX(datos_base!$B$3:$K$10,MATCH($A8,datos_base!$A$3:$A$10,0),MATCH($B$3,datos_base!$B$2:$K$2,0))*INDEX(Parametros!$B$11:$M$26,MATCH($A8,Parametros!$A$11:$A$26,0),MATCH(C$5,Parametros!$B$10:$M$10,0))</f>
        <v>1168.48</v>
      </c>
      <c r="D8" s="182">
        <f t="array" ref="D8">INDEX(datos_base!$B$3:$K$10,MATCH($A8,datos_base!$A$3:$A$10,0),MATCH($B$3,datos_base!$B$2:$K$2,0))*INDEX(Parametros!$B$11:$M$26,MATCH($A8,Parametros!$A$11:$A$26,0),MATCH(D$5,Parametros!$B$10:$M$10,0))</f>
        <v>1241.51</v>
      </c>
      <c r="E8" s="182">
        <f t="array" ref="E8">INDEX(datos_base!$B$3:$K$10,MATCH($A8,datos_base!$A$3:$A$10,0),MATCH($B$3,datos_base!$B$2:$K$2,0))*INDEX(Parametros!$B$11:$M$26,MATCH($A8,Parametros!$A$11:$A$26,0),MATCH(E$5,Parametros!$B$10:$M$10,0))</f>
        <v>1241.51</v>
      </c>
      <c r="F8" s="182">
        <f t="array" ref="F8">INDEX(datos_base!$B$3:$K$10,MATCH($A8,datos_base!$A$3:$A$10,0),MATCH($B$3,datos_base!$B$2:$K$2,0))*INDEX(Parametros!$B$11:$M$26,MATCH($A8,Parametros!$A$11:$A$26,0),MATCH(F$5,Parametros!$B$10:$M$10,0))</f>
        <v>1168.48</v>
      </c>
      <c r="G8" s="182">
        <f t="array" ref="G8">INDEX(datos_base!$B$3:$K$10,MATCH($A8,datos_base!$A$3:$A$10,0),MATCH($B$3,datos_base!$B$2:$K$2,0))*INDEX(Parametros!$B$11:$M$26,MATCH($A8,Parametros!$A$11:$A$26,0),MATCH(G$5,Parametros!$B$10:$M$10,0))</f>
        <v>1095.45</v>
      </c>
      <c r="H8" s="182">
        <f t="array" ref="H8">INDEX(datos_base!$B$3:$K$10,MATCH($A8,datos_base!$A$3:$A$10,0),MATCH($B$3,datos_base!$B$2:$K$2,0))*INDEX(Parametros!$B$11:$M$26,MATCH($A8,Parametros!$A$11:$A$26,0),MATCH(H$5,Parametros!$B$10:$M$10,0))</f>
        <v>1168.48</v>
      </c>
      <c r="I8" s="182">
        <f t="array" ref="I8">INDEX(datos_base!$B$3:$K$10,MATCH($A8,datos_base!$A$3:$A$10,0),MATCH($B$3,datos_base!$B$2:$K$2,0))*INDEX(Parametros!$B$11:$M$26,MATCH($A8,Parametros!$A$11:$A$26,0),MATCH(I$5,Parametros!$B$10:$M$10,0))</f>
        <v>1168.48</v>
      </c>
      <c r="J8" s="182">
        <f t="array" ref="J8">INDEX(datos_base!$B$3:$K$10,MATCH($A8,datos_base!$A$3:$A$10,0),MATCH($B$3,datos_base!$B$2:$K$2,0))*INDEX(Parametros!$B$11:$M$26,MATCH($A8,Parametros!$A$11:$A$26,0),MATCH(J$5,Parametros!$B$10:$M$10,0))</f>
        <v>1168.48</v>
      </c>
      <c r="K8" s="182">
        <f t="array" ref="K8">INDEX(datos_base!$B$3:$K$10,MATCH($A8,datos_base!$A$3:$A$10,0),MATCH($B$3,datos_base!$B$2:$K$2,0))*INDEX(Parametros!$B$11:$M$26,MATCH($A8,Parametros!$A$11:$A$26,0),MATCH(K$5,Parametros!$B$10:$M$10,0))</f>
        <v>1095.45</v>
      </c>
      <c r="L8" s="182">
        <f t="array" ref="L8">INDEX(datos_base!$B$3:$K$10,MATCH($A8,datos_base!$A$3:$A$10,0),MATCH($B$3,datos_base!$B$2:$K$2,0))*INDEX(Parametros!$B$11:$M$26,MATCH($A8,Parametros!$A$11:$A$26,0),MATCH(L$5,Parametros!$B$10:$M$10,0))</f>
        <v>1022.42</v>
      </c>
      <c r="M8" s="182">
        <f t="array" ref="M8">INDEX(datos_base!$B$3:$K$10,MATCH($A8,datos_base!$A$3:$A$10,0),MATCH($B$3,datos_base!$B$2:$K$2,0))*INDEX(Parametros!$B$11:$M$26,MATCH($A8,Parametros!$A$11:$A$26,0),MATCH(M$5,Parametros!$B$10:$M$10,0))</f>
        <v>1606.66</v>
      </c>
      <c r="N8" s="271">
        <f t="shared" si="1"/>
        <v>14606</v>
      </c>
      <c r="O8" s="271">
        <f t="shared" si="2"/>
        <v>1217.166667</v>
      </c>
    </row>
    <row r="9" ht="12.0" customHeight="1">
      <c r="A9" s="152" t="s">
        <v>59</v>
      </c>
      <c r="B9" s="182">
        <f t="array" ref="B9">INDEX(datos_base!$B$3:$K$10,MATCH($A9,datos_base!$A$3:$A$10,0),MATCH($B$3,datos_base!$B$2:$K$2,0))*INDEX(Parametros!$B$11:$M$26,MATCH($A9,Parametros!$A$11:$A$26,0),MATCH(B$5,Parametros!$B$10:$M$10,0))</f>
        <v>87.2</v>
      </c>
      <c r="C9" s="182">
        <f t="array" ref="C9">INDEX(datos_base!$B$3:$K$10,MATCH($A9,datos_base!$A$3:$A$10,0),MATCH($B$3,datos_base!$B$2:$K$2,0))*INDEX(Parametros!$B$11:$M$26,MATCH($A9,Parametros!$A$11:$A$26,0),MATCH(C$5,Parametros!$B$10:$M$10,0))</f>
        <v>69.76</v>
      </c>
      <c r="D9" s="182">
        <f t="array" ref="D9">INDEX(datos_base!$B$3:$K$10,MATCH($A9,datos_base!$A$3:$A$10,0),MATCH($B$3,datos_base!$B$2:$K$2,0))*INDEX(Parametros!$B$11:$M$26,MATCH($A9,Parametros!$A$11:$A$26,0),MATCH(D$5,Parametros!$B$10:$M$10,0))</f>
        <v>74.12</v>
      </c>
      <c r="E9" s="182">
        <f t="array" ref="E9">INDEX(datos_base!$B$3:$K$10,MATCH($A9,datos_base!$A$3:$A$10,0),MATCH($B$3,datos_base!$B$2:$K$2,0))*INDEX(Parametros!$B$11:$M$26,MATCH($A9,Parametros!$A$11:$A$26,0),MATCH(E$5,Parametros!$B$10:$M$10,0))</f>
        <v>74.12</v>
      </c>
      <c r="F9" s="182">
        <f t="array" ref="F9">INDEX(datos_base!$B$3:$K$10,MATCH($A9,datos_base!$A$3:$A$10,0),MATCH($B$3,datos_base!$B$2:$K$2,0))*INDEX(Parametros!$B$11:$M$26,MATCH($A9,Parametros!$A$11:$A$26,0),MATCH(F$5,Parametros!$B$10:$M$10,0))</f>
        <v>69.76</v>
      </c>
      <c r="G9" s="182">
        <f t="array" ref="G9">INDEX(datos_base!$B$3:$K$10,MATCH($A9,datos_base!$A$3:$A$10,0),MATCH($B$3,datos_base!$B$2:$K$2,0))*INDEX(Parametros!$B$11:$M$26,MATCH($A9,Parametros!$A$11:$A$26,0),MATCH(G$5,Parametros!$B$10:$M$10,0))</f>
        <v>65.4</v>
      </c>
      <c r="H9" s="182">
        <f t="array" ref="H9">INDEX(datos_base!$B$3:$K$10,MATCH($A9,datos_base!$A$3:$A$10,0),MATCH($B$3,datos_base!$B$2:$K$2,0))*INDEX(Parametros!$B$11:$M$26,MATCH($A9,Parametros!$A$11:$A$26,0),MATCH(H$5,Parametros!$B$10:$M$10,0))</f>
        <v>69.76</v>
      </c>
      <c r="I9" s="182">
        <f t="array" ref="I9">INDEX(datos_base!$B$3:$K$10,MATCH($A9,datos_base!$A$3:$A$10,0),MATCH($B$3,datos_base!$B$2:$K$2,0))*INDEX(Parametros!$B$11:$M$26,MATCH($A9,Parametros!$A$11:$A$26,0),MATCH(I$5,Parametros!$B$10:$M$10,0))</f>
        <v>69.76</v>
      </c>
      <c r="J9" s="182">
        <f t="array" ref="J9">INDEX(datos_base!$B$3:$K$10,MATCH($A9,datos_base!$A$3:$A$10,0),MATCH($B$3,datos_base!$B$2:$K$2,0))*INDEX(Parametros!$B$11:$M$26,MATCH($A9,Parametros!$A$11:$A$26,0),MATCH(J$5,Parametros!$B$10:$M$10,0))</f>
        <v>69.76</v>
      </c>
      <c r="K9" s="182">
        <f t="array" ref="K9">INDEX(datos_base!$B$3:$K$10,MATCH($A9,datos_base!$A$3:$A$10,0),MATCH($B$3,datos_base!$B$2:$K$2,0))*INDEX(Parametros!$B$11:$M$26,MATCH($A9,Parametros!$A$11:$A$26,0),MATCH(K$5,Parametros!$B$10:$M$10,0))</f>
        <v>65.4</v>
      </c>
      <c r="L9" s="182">
        <f t="array" ref="L9">INDEX(datos_base!$B$3:$K$10,MATCH($A9,datos_base!$A$3:$A$10,0),MATCH($B$3,datos_base!$B$2:$K$2,0))*INDEX(Parametros!$B$11:$M$26,MATCH($A9,Parametros!$A$11:$A$26,0),MATCH(L$5,Parametros!$B$10:$M$10,0))</f>
        <v>61.04</v>
      </c>
      <c r="M9" s="182">
        <f t="array" ref="M9">INDEX(datos_base!$B$3:$K$10,MATCH($A9,datos_base!$A$3:$A$10,0),MATCH($B$3,datos_base!$B$2:$K$2,0))*INDEX(Parametros!$B$11:$M$26,MATCH($A9,Parametros!$A$11:$A$26,0),MATCH(M$5,Parametros!$B$10:$M$10,0))</f>
        <v>95.92</v>
      </c>
      <c r="N9" s="271">
        <f t="shared" si="1"/>
        <v>872</v>
      </c>
      <c r="O9" s="271">
        <f t="shared" si="2"/>
        <v>72.66666667</v>
      </c>
    </row>
    <row r="10" ht="12.0" customHeight="1">
      <c r="A10" s="152" t="s">
        <v>75</v>
      </c>
      <c r="B10" s="182">
        <f t="array" ref="B10">INDEX(datos_base!$B$3:$K$10,MATCH($A10,datos_base!$A$3:$A$10,0),MATCH($B$3,datos_base!$B$2:$K$2,0))*INDEX(Parametros!$B$11:$M$26,MATCH($A10,Parametros!$A$11:$A$26,0),MATCH(B$5,Parametros!$B$10:$M$10,0))</f>
        <v>18.02</v>
      </c>
      <c r="C10" s="182">
        <f t="array" ref="C10">INDEX(datos_base!$B$3:$K$10,MATCH($A10,datos_base!$A$3:$A$10,0),MATCH($B$3,datos_base!$B$2:$K$2,0))*INDEX(Parametros!$B$11:$M$26,MATCH($A10,Parametros!$A$11:$A$26,0),MATCH(C$5,Parametros!$B$10:$M$10,0))</f>
        <v>15.9</v>
      </c>
      <c r="D10" s="182">
        <f t="array" ref="D10">INDEX(datos_base!$B$3:$K$10,MATCH($A10,datos_base!$A$3:$A$10,0),MATCH($B$3,datos_base!$B$2:$K$2,0))*INDEX(Parametros!$B$11:$M$26,MATCH($A10,Parametros!$A$11:$A$26,0),MATCH(D$5,Parametros!$B$10:$M$10,0))</f>
        <v>19.08</v>
      </c>
      <c r="E10" s="182">
        <f t="array" ref="E10">INDEX(datos_base!$B$3:$K$10,MATCH($A10,datos_base!$A$3:$A$10,0),MATCH($B$3,datos_base!$B$2:$K$2,0))*INDEX(Parametros!$B$11:$M$26,MATCH($A10,Parametros!$A$11:$A$26,0),MATCH(E$5,Parametros!$B$10:$M$10,0))</f>
        <v>19.08</v>
      </c>
      <c r="F10" s="182">
        <f t="array" ref="F10">INDEX(datos_base!$B$3:$K$10,MATCH($A10,datos_base!$A$3:$A$10,0),MATCH($B$3,datos_base!$B$2:$K$2,0))*INDEX(Parametros!$B$11:$M$26,MATCH($A10,Parametros!$A$11:$A$26,0),MATCH(F$5,Parametros!$B$10:$M$10,0))</f>
        <v>19.08</v>
      </c>
      <c r="G10" s="182">
        <f t="array" ref="G10">INDEX(datos_base!$B$3:$K$10,MATCH($A10,datos_base!$A$3:$A$10,0),MATCH($B$3,datos_base!$B$2:$K$2,0))*INDEX(Parametros!$B$11:$M$26,MATCH($A10,Parametros!$A$11:$A$26,0),MATCH(G$5,Parametros!$B$10:$M$10,0))</f>
        <v>16.96</v>
      </c>
      <c r="H10" s="182">
        <f t="array" ref="H10">INDEX(datos_base!$B$3:$K$10,MATCH($A10,datos_base!$A$3:$A$10,0),MATCH($B$3,datos_base!$B$2:$K$2,0))*INDEX(Parametros!$B$11:$M$26,MATCH($A10,Parametros!$A$11:$A$26,0),MATCH(H$5,Parametros!$B$10:$M$10,0))</f>
        <v>19.08</v>
      </c>
      <c r="I10" s="182">
        <f t="array" ref="I10">INDEX(datos_base!$B$3:$K$10,MATCH($A10,datos_base!$A$3:$A$10,0),MATCH($B$3,datos_base!$B$2:$K$2,0))*INDEX(Parametros!$B$11:$M$26,MATCH($A10,Parametros!$A$11:$A$26,0),MATCH(I$5,Parametros!$B$10:$M$10,0))</f>
        <v>19.08</v>
      </c>
      <c r="J10" s="182">
        <f t="array" ref="J10">INDEX(datos_base!$B$3:$K$10,MATCH($A10,datos_base!$A$3:$A$10,0),MATCH($B$3,datos_base!$B$2:$K$2,0))*INDEX(Parametros!$B$11:$M$26,MATCH($A10,Parametros!$A$11:$A$26,0),MATCH(J$5,Parametros!$B$10:$M$10,0))</f>
        <v>18.02</v>
      </c>
      <c r="K10" s="182">
        <f t="array" ref="K10">INDEX(datos_base!$B$3:$K$10,MATCH($A10,datos_base!$A$3:$A$10,0),MATCH($B$3,datos_base!$B$2:$K$2,0))*INDEX(Parametros!$B$11:$M$26,MATCH($A10,Parametros!$A$11:$A$26,0),MATCH(K$5,Parametros!$B$10:$M$10,0))</f>
        <v>15.9</v>
      </c>
      <c r="L10" s="182">
        <f t="array" ref="L10">INDEX(datos_base!$B$3:$K$10,MATCH($A10,datos_base!$A$3:$A$10,0),MATCH($B$3,datos_base!$B$2:$K$2,0))*INDEX(Parametros!$B$11:$M$26,MATCH($A10,Parametros!$A$11:$A$26,0),MATCH(L$5,Parametros!$B$10:$M$10,0))</f>
        <v>14.84</v>
      </c>
      <c r="M10" s="182">
        <f t="array" ref="M10">INDEX(datos_base!$B$3:$K$10,MATCH($A10,datos_base!$A$3:$A$10,0),MATCH($B$3,datos_base!$B$2:$K$2,0))*INDEX(Parametros!$B$11:$M$26,MATCH($A10,Parametros!$A$11:$A$26,0),MATCH(M$5,Parametros!$B$10:$M$10,0))</f>
        <v>16.96</v>
      </c>
      <c r="N10" s="271">
        <f t="shared" si="1"/>
        <v>212</v>
      </c>
      <c r="O10" s="271">
        <f t="shared" si="2"/>
        <v>17.66666667</v>
      </c>
    </row>
    <row r="11" ht="12.0" customHeight="1">
      <c r="A11" s="152" t="s">
        <v>86</v>
      </c>
      <c r="B11" s="182">
        <f t="array" ref="B11">INDEX(datos_base!$B$3:$K$10,MATCH($A11,datos_base!$A$3:$A$10,0),MATCH($B$3,datos_base!$B$2:$K$2,0))*INDEX(Parametros!$B$11:$M$26,MATCH($A11,Parametros!$A$11:$A$26,0),MATCH(B$5,Parametros!$B$10:$M$10,0))</f>
        <v>39.61</v>
      </c>
      <c r="C11" s="182">
        <f t="array" ref="C11">INDEX(datos_base!$B$3:$K$10,MATCH($A11,datos_base!$A$3:$A$10,0),MATCH($B$3,datos_base!$B$2:$K$2,0))*INDEX(Parametros!$B$11:$M$26,MATCH($A11,Parametros!$A$11:$A$26,0),MATCH(C$5,Parametros!$B$10:$M$10,0))</f>
        <v>34.95</v>
      </c>
      <c r="D11" s="182">
        <f t="array" ref="D11">INDEX(datos_base!$B$3:$K$10,MATCH($A11,datos_base!$A$3:$A$10,0),MATCH($B$3,datos_base!$B$2:$K$2,0))*INDEX(Parametros!$B$11:$M$26,MATCH($A11,Parametros!$A$11:$A$26,0),MATCH(D$5,Parametros!$B$10:$M$10,0))</f>
        <v>41.94</v>
      </c>
      <c r="E11" s="182">
        <f t="array" ref="E11">INDEX(datos_base!$B$3:$K$10,MATCH($A11,datos_base!$A$3:$A$10,0),MATCH($B$3,datos_base!$B$2:$K$2,0))*INDEX(Parametros!$B$11:$M$26,MATCH($A11,Parametros!$A$11:$A$26,0),MATCH(E$5,Parametros!$B$10:$M$10,0))</f>
        <v>41.94</v>
      </c>
      <c r="F11" s="182">
        <f t="array" ref="F11">INDEX(datos_base!$B$3:$K$10,MATCH($A11,datos_base!$A$3:$A$10,0),MATCH($B$3,datos_base!$B$2:$K$2,0))*INDEX(Parametros!$B$11:$M$26,MATCH($A11,Parametros!$A$11:$A$26,0),MATCH(F$5,Parametros!$B$10:$M$10,0))</f>
        <v>41.94</v>
      </c>
      <c r="G11" s="182">
        <f t="array" ref="G11">INDEX(datos_base!$B$3:$K$10,MATCH($A11,datos_base!$A$3:$A$10,0),MATCH($B$3,datos_base!$B$2:$K$2,0))*INDEX(Parametros!$B$11:$M$26,MATCH($A11,Parametros!$A$11:$A$26,0),MATCH(G$5,Parametros!$B$10:$M$10,0))</f>
        <v>37.28</v>
      </c>
      <c r="H11" s="182">
        <f t="array" ref="H11">INDEX(datos_base!$B$3:$K$10,MATCH($A11,datos_base!$A$3:$A$10,0),MATCH($B$3,datos_base!$B$2:$K$2,0))*INDEX(Parametros!$B$11:$M$26,MATCH($A11,Parametros!$A$11:$A$26,0),MATCH(H$5,Parametros!$B$10:$M$10,0))</f>
        <v>41.94</v>
      </c>
      <c r="I11" s="182">
        <f t="array" ref="I11">INDEX(datos_base!$B$3:$K$10,MATCH($A11,datos_base!$A$3:$A$10,0),MATCH($B$3,datos_base!$B$2:$K$2,0))*INDEX(Parametros!$B$11:$M$26,MATCH($A11,Parametros!$A$11:$A$26,0),MATCH(I$5,Parametros!$B$10:$M$10,0))</f>
        <v>41.94</v>
      </c>
      <c r="J11" s="182">
        <f t="array" ref="J11">INDEX(datos_base!$B$3:$K$10,MATCH($A11,datos_base!$A$3:$A$10,0),MATCH($B$3,datos_base!$B$2:$K$2,0))*INDEX(Parametros!$B$11:$M$26,MATCH($A11,Parametros!$A$11:$A$26,0),MATCH(J$5,Parametros!$B$10:$M$10,0))</f>
        <v>39.61</v>
      </c>
      <c r="K11" s="182">
        <f t="array" ref="K11">INDEX(datos_base!$B$3:$K$10,MATCH($A11,datos_base!$A$3:$A$10,0),MATCH($B$3,datos_base!$B$2:$K$2,0))*INDEX(Parametros!$B$11:$M$26,MATCH($A11,Parametros!$A$11:$A$26,0),MATCH(K$5,Parametros!$B$10:$M$10,0))</f>
        <v>34.95</v>
      </c>
      <c r="L11" s="182">
        <f t="array" ref="L11">INDEX(datos_base!$B$3:$K$10,MATCH($A11,datos_base!$A$3:$A$10,0),MATCH($B$3,datos_base!$B$2:$K$2,0))*INDEX(Parametros!$B$11:$M$26,MATCH($A11,Parametros!$A$11:$A$26,0),MATCH(L$5,Parametros!$B$10:$M$10,0))</f>
        <v>32.62</v>
      </c>
      <c r="M11" s="182">
        <f t="array" ref="M11">INDEX(datos_base!$B$3:$K$10,MATCH($A11,datos_base!$A$3:$A$10,0),MATCH($B$3,datos_base!$B$2:$K$2,0))*INDEX(Parametros!$B$11:$M$26,MATCH($A11,Parametros!$A$11:$A$26,0),MATCH(M$5,Parametros!$B$10:$M$10,0))</f>
        <v>37.28</v>
      </c>
      <c r="N11" s="271">
        <f t="shared" si="1"/>
        <v>466</v>
      </c>
      <c r="O11" s="271">
        <f t="shared" si="2"/>
        <v>38.83333333</v>
      </c>
    </row>
    <row r="12" ht="12.0" customHeight="1">
      <c r="A12" s="152" t="s">
        <v>95</v>
      </c>
      <c r="B12" s="182">
        <f t="array" ref="B12">INDEX(datos_base!$B$3:$K$10,MATCH($A12,datos_base!$A$3:$A$10,0),MATCH($B$3,datos_base!$B$2:$K$2,0))*INDEX(Parametros!$B$11:$M$26,MATCH($A12,Parametros!$A$11:$A$26,0),MATCH(B$5,Parametros!$B$10:$M$10,0))</f>
        <v>8.585</v>
      </c>
      <c r="C12" s="182">
        <f t="array" ref="C12">INDEX(datos_base!$B$3:$K$10,MATCH($A12,datos_base!$A$3:$A$10,0),MATCH($B$3,datos_base!$B$2:$K$2,0))*INDEX(Parametros!$B$11:$M$26,MATCH($A12,Parametros!$A$11:$A$26,0),MATCH(C$5,Parametros!$B$10:$M$10,0))</f>
        <v>7.575</v>
      </c>
      <c r="D12" s="182">
        <f t="array" ref="D12">INDEX(datos_base!$B$3:$K$10,MATCH($A12,datos_base!$A$3:$A$10,0),MATCH($B$3,datos_base!$B$2:$K$2,0))*INDEX(Parametros!$B$11:$M$26,MATCH($A12,Parametros!$A$11:$A$26,0),MATCH(D$5,Parametros!$B$10:$M$10,0))</f>
        <v>9.09</v>
      </c>
      <c r="E12" s="182">
        <f t="array" ref="E12">INDEX(datos_base!$B$3:$K$10,MATCH($A12,datos_base!$A$3:$A$10,0),MATCH($B$3,datos_base!$B$2:$K$2,0))*INDEX(Parametros!$B$11:$M$26,MATCH($A12,Parametros!$A$11:$A$26,0),MATCH(E$5,Parametros!$B$10:$M$10,0))</f>
        <v>9.09</v>
      </c>
      <c r="F12" s="182">
        <f t="array" ref="F12">INDEX(datos_base!$B$3:$K$10,MATCH($A12,datos_base!$A$3:$A$10,0),MATCH($B$3,datos_base!$B$2:$K$2,0))*INDEX(Parametros!$B$11:$M$26,MATCH($A12,Parametros!$A$11:$A$26,0),MATCH(F$5,Parametros!$B$10:$M$10,0))</f>
        <v>9.09</v>
      </c>
      <c r="G12" s="182">
        <f t="array" ref="G12">INDEX(datos_base!$B$3:$K$10,MATCH($A12,datos_base!$A$3:$A$10,0),MATCH($B$3,datos_base!$B$2:$K$2,0))*INDEX(Parametros!$B$11:$M$26,MATCH($A12,Parametros!$A$11:$A$26,0),MATCH(G$5,Parametros!$B$10:$M$10,0))</f>
        <v>8.08</v>
      </c>
      <c r="H12" s="182">
        <f t="array" ref="H12">INDEX(datos_base!$B$3:$K$10,MATCH($A12,datos_base!$A$3:$A$10,0),MATCH($B$3,datos_base!$B$2:$K$2,0))*INDEX(Parametros!$B$11:$M$26,MATCH($A12,Parametros!$A$11:$A$26,0),MATCH(H$5,Parametros!$B$10:$M$10,0))</f>
        <v>9.09</v>
      </c>
      <c r="I12" s="182">
        <f t="array" ref="I12">INDEX(datos_base!$B$3:$K$10,MATCH($A12,datos_base!$A$3:$A$10,0),MATCH($B$3,datos_base!$B$2:$K$2,0))*INDEX(Parametros!$B$11:$M$26,MATCH($A12,Parametros!$A$11:$A$26,0),MATCH(I$5,Parametros!$B$10:$M$10,0))</f>
        <v>9.09</v>
      </c>
      <c r="J12" s="182">
        <f t="array" ref="J12">INDEX(datos_base!$B$3:$K$10,MATCH($A12,datos_base!$A$3:$A$10,0),MATCH($B$3,datos_base!$B$2:$K$2,0))*INDEX(Parametros!$B$11:$M$26,MATCH($A12,Parametros!$A$11:$A$26,0),MATCH(J$5,Parametros!$B$10:$M$10,0))</f>
        <v>8.585</v>
      </c>
      <c r="K12" s="182">
        <f t="array" ref="K12">INDEX(datos_base!$B$3:$K$10,MATCH($A12,datos_base!$A$3:$A$10,0),MATCH($B$3,datos_base!$B$2:$K$2,0))*INDEX(Parametros!$B$11:$M$26,MATCH($A12,Parametros!$A$11:$A$26,0),MATCH(K$5,Parametros!$B$10:$M$10,0))</f>
        <v>7.575</v>
      </c>
      <c r="L12" s="182">
        <f t="array" ref="L12">INDEX(datos_base!$B$3:$K$10,MATCH($A12,datos_base!$A$3:$A$10,0),MATCH($B$3,datos_base!$B$2:$K$2,0))*INDEX(Parametros!$B$11:$M$26,MATCH($A12,Parametros!$A$11:$A$26,0),MATCH(L$5,Parametros!$B$10:$M$10,0))</f>
        <v>7.07</v>
      </c>
      <c r="M12" s="182">
        <f t="array" ref="M12">INDEX(datos_base!$B$3:$K$10,MATCH($A12,datos_base!$A$3:$A$10,0),MATCH($B$3,datos_base!$B$2:$K$2,0))*INDEX(Parametros!$B$11:$M$26,MATCH($A12,Parametros!$A$11:$A$26,0),MATCH(M$5,Parametros!$B$10:$M$10,0))</f>
        <v>8.08</v>
      </c>
      <c r="N12" s="271">
        <f t="shared" si="1"/>
        <v>101</v>
      </c>
      <c r="O12" s="271">
        <f t="shared" si="2"/>
        <v>8.416666667</v>
      </c>
    </row>
    <row r="13" ht="12.0" customHeight="1">
      <c r="A13" s="152" t="s">
        <v>100</v>
      </c>
      <c r="B13" s="182">
        <f t="array" ref="B13">INDEX(datos_base!$B$3:$K$10,MATCH($A13,datos_base!$A$3:$A$10,0),MATCH($B$3,datos_base!$B$2:$K$2,0))*INDEX(Parametros!$B$11:$M$26,MATCH($A13,Parametros!$A$11:$A$26,0),MATCH(B$5,Parametros!$B$10:$M$10,0))</f>
        <v>5.695</v>
      </c>
      <c r="C13" s="182">
        <f t="array" ref="C13">INDEX(datos_base!$B$3:$K$10,MATCH($A13,datos_base!$A$3:$A$10,0),MATCH($B$3,datos_base!$B$2:$K$2,0))*INDEX(Parametros!$B$11:$M$26,MATCH($A13,Parametros!$A$11:$A$26,0),MATCH(C$5,Parametros!$B$10:$M$10,0))</f>
        <v>5.025</v>
      </c>
      <c r="D13" s="182">
        <f t="array" ref="D13">INDEX(datos_base!$B$3:$K$10,MATCH($A13,datos_base!$A$3:$A$10,0),MATCH($B$3,datos_base!$B$2:$K$2,0))*INDEX(Parametros!$B$11:$M$26,MATCH($A13,Parametros!$A$11:$A$26,0),MATCH(D$5,Parametros!$B$10:$M$10,0))</f>
        <v>6.03</v>
      </c>
      <c r="E13" s="182">
        <f t="array" ref="E13">INDEX(datos_base!$B$3:$K$10,MATCH($A13,datos_base!$A$3:$A$10,0),MATCH($B$3,datos_base!$B$2:$K$2,0))*INDEX(Parametros!$B$11:$M$26,MATCH($A13,Parametros!$A$11:$A$26,0),MATCH(E$5,Parametros!$B$10:$M$10,0))</f>
        <v>6.03</v>
      </c>
      <c r="F13" s="182">
        <f t="array" ref="F13">INDEX(datos_base!$B$3:$K$10,MATCH($A13,datos_base!$A$3:$A$10,0),MATCH($B$3,datos_base!$B$2:$K$2,0))*INDEX(Parametros!$B$11:$M$26,MATCH($A13,Parametros!$A$11:$A$26,0),MATCH(F$5,Parametros!$B$10:$M$10,0))</f>
        <v>6.03</v>
      </c>
      <c r="G13" s="182">
        <f t="array" ref="G13">INDEX(datos_base!$B$3:$K$10,MATCH($A13,datos_base!$A$3:$A$10,0),MATCH($B$3,datos_base!$B$2:$K$2,0))*INDEX(Parametros!$B$11:$M$26,MATCH($A13,Parametros!$A$11:$A$26,0),MATCH(G$5,Parametros!$B$10:$M$10,0))</f>
        <v>5.36</v>
      </c>
      <c r="H13" s="182">
        <f t="array" ref="H13">INDEX(datos_base!$B$3:$K$10,MATCH($A13,datos_base!$A$3:$A$10,0),MATCH($B$3,datos_base!$B$2:$K$2,0))*INDEX(Parametros!$B$11:$M$26,MATCH($A13,Parametros!$A$11:$A$26,0),MATCH(H$5,Parametros!$B$10:$M$10,0))</f>
        <v>6.03</v>
      </c>
      <c r="I13" s="182">
        <f t="array" ref="I13">INDEX(datos_base!$B$3:$K$10,MATCH($A13,datos_base!$A$3:$A$10,0),MATCH($B$3,datos_base!$B$2:$K$2,0))*INDEX(Parametros!$B$11:$M$26,MATCH($A13,Parametros!$A$11:$A$26,0),MATCH(I$5,Parametros!$B$10:$M$10,0))</f>
        <v>6.03</v>
      </c>
      <c r="J13" s="182">
        <f t="array" ref="J13">INDEX(datos_base!$B$3:$K$10,MATCH($A13,datos_base!$A$3:$A$10,0),MATCH($B$3,datos_base!$B$2:$K$2,0))*INDEX(Parametros!$B$11:$M$26,MATCH($A13,Parametros!$A$11:$A$26,0),MATCH(J$5,Parametros!$B$10:$M$10,0))</f>
        <v>5.695</v>
      </c>
      <c r="K13" s="182">
        <f t="array" ref="K13">INDEX(datos_base!$B$3:$K$10,MATCH($A13,datos_base!$A$3:$A$10,0),MATCH($B$3,datos_base!$B$2:$K$2,0))*INDEX(Parametros!$B$11:$M$26,MATCH($A13,Parametros!$A$11:$A$26,0),MATCH(K$5,Parametros!$B$10:$M$10,0))</f>
        <v>5.025</v>
      </c>
      <c r="L13" s="182">
        <f t="array" ref="L13">INDEX(datos_base!$B$3:$K$10,MATCH($A13,datos_base!$A$3:$A$10,0),MATCH($B$3,datos_base!$B$2:$K$2,0))*INDEX(Parametros!$B$11:$M$26,MATCH($A13,Parametros!$A$11:$A$26,0),MATCH(L$5,Parametros!$B$10:$M$10,0))</f>
        <v>4.69</v>
      </c>
      <c r="M13" s="182">
        <f t="array" ref="M13">INDEX(datos_base!$B$3:$K$10,MATCH($A13,datos_base!$A$3:$A$10,0),MATCH($B$3,datos_base!$B$2:$K$2,0))*INDEX(Parametros!$B$11:$M$26,MATCH($A13,Parametros!$A$11:$A$26,0),MATCH(M$5,Parametros!$B$10:$M$10,0))</f>
        <v>5.36</v>
      </c>
      <c r="N13" s="271">
        <f t="shared" si="1"/>
        <v>67</v>
      </c>
      <c r="O13" s="271">
        <f t="shared" si="2"/>
        <v>5.583333333</v>
      </c>
    </row>
    <row r="14" ht="12.0" customHeight="1">
      <c r="A14" s="272" t="s">
        <v>420</v>
      </c>
      <c r="B14" s="273">
        <f t="shared" ref="B14:N14" si="3">SUM(B6:B13)</f>
        <v>3819.31</v>
      </c>
      <c r="C14" s="273">
        <f t="shared" si="3"/>
        <v>2967.65</v>
      </c>
      <c r="D14" s="273">
        <f t="shared" si="3"/>
        <v>2917.79</v>
      </c>
      <c r="E14" s="273">
        <f t="shared" si="3"/>
        <v>2839.69</v>
      </c>
      <c r="F14" s="273">
        <f t="shared" si="3"/>
        <v>2667.94</v>
      </c>
      <c r="G14" s="273">
        <f t="shared" si="3"/>
        <v>2565.83</v>
      </c>
      <c r="H14" s="273">
        <f t="shared" si="3"/>
        <v>2746.04</v>
      </c>
      <c r="I14" s="273">
        <f t="shared" si="3"/>
        <v>2746.04</v>
      </c>
      <c r="J14" s="273">
        <f t="shared" si="3"/>
        <v>2741.81</v>
      </c>
      <c r="K14" s="273">
        <f t="shared" si="3"/>
        <v>2639.7</v>
      </c>
      <c r="L14" s="273">
        <f t="shared" si="3"/>
        <v>2541.82</v>
      </c>
      <c r="M14" s="273">
        <f t="shared" si="3"/>
        <v>4002.38</v>
      </c>
      <c r="N14" s="273">
        <f t="shared" si="3"/>
        <v>35196</v>
      </c>
      <c r="O14" s="273">
        <f t="shared" si="2"/>
        <v>2933</v>
      </c>
    </row>
    <row r="15" ht="12.0" customHeight="1">
      <c r="A15" s="11"/>
      <c r="B15" s="11"/>
      <c r="C15" s="11"/>
      <c r="D15" s="11"/>
      <c r="E15" s="11"/>
      <c r="F15" s="11"/>
      <c r="G15" s="11"/>
      <c r="H15" s="11"/>
      <c r="I15" s="11"/>
      <c r="J15" s="11"/>
      <c r="K15" s="11"/>
      <c r="L15" s="11"/>
      <c r="M15" s="11"/>
      <c r="N15" s="11"/>
      <c r="O15" s="11"/>
    </row>
    <row r="16" ht="12.0" customHeight="1">
      <c r="A16" s="270"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c r="O16" s="145" t="s">
        <v>1598</v>
      </c>
    </row>
    <row r="17" ht="12.0" customHeight="1">
      <c r="A17" s="152" t="s">
        <v>102</v>
      </c>
      <c r="B17" s="182">
        <f t="array" ref="B17">INDEX(datos_base!$B$15:$K$22,MATCH($A17,datos_base!$A$15:$A$22,0),MATCH($B$3,datos_base!$B$2:$K$2,0))*INDEX(Parametros!$B$11:$M$26,MATCH($A17,Parametros!$A$11:$A$26,0),MATCH(B$16,Parametros!$B$10:$M$10,0))</f>
        <v>8601.6</v>
      </c>
      <c r="C17" s="182">
        <f t="array" ref="C17">INDEX(datos_base!$B$15:$K$22,MATCH($A17,datos_base!$A$15:$A$22,0),MATCH($B$3,datos_base!$B$2:$K$2,0))*INDEX(Parametros!$B$11:$M$26,MATCH($A17,Parametros!$A$11:$A$26,0),MATCH(C$16,Parametros!$B$10:$M$10,0))</f>
        <v>6451.2</v>
      </c>
      <c r="D17" s="182">
        <f t="array" ref="D17">INDEX(datos_base!$B$15:$K$22,MATCH($A17,datos_base!$A$15:$A$22,0),MATCH($B$3,datos_base!$B$2:$K$2,0))*INDEX(Parametros!$B$11:$M$26,MATCH($A17,Parametros!$A$11:$A$26,0),MATCH(D$16,Parametros!$B$10:$M$10,0))</f>
        <v>5734.4</v>
      </c>
      <c r="E17" s="182">
        <f t="array" ref="E17">INDEX(datos_base!$B$15:$K$22,MATCH($A17,datos_base!$A$15:$A$22,0),MATCH($B$3,datos_base!$B$2:$K$2,0))*INDEX(Parametros!$B$11:$M$26,MATCH($A17,Parametros!$A$11:$A$26,0),MATCH(E$16,Parametros!$B$10:$M$10,0))</f>
        <v>5376</v>
      </c>
      <c r="F17" s="182">
        <f t="array" ref="F17">INDEX(datos_base!$B$15:$K$22,MATCH($A17,datos_base!$A$15:$A$22,0),MATCH($B$3,datos_base!$B$2:$K$2,0))*INDEX(Parametros!$B$11:$M$26,MATCH($A17,Parametros!$A$11:$A$26,0),MATCH(F$16,Parametros!$B$10:$M$10,0))</f>
        <v>5017.6</v>
      </c>
      <c r="G17" s="182">
        <f t="array" ref="G17">INDEX(datos_base!$B$15:$K$22,MATCH($A17,datos_base!$A$15:$A$22,0),MATCH($B$3,datos_base!$B$2:$K$2,0))*INDEX(Parametros!$B$11:$M$26,MATCH($A17,Parametros!$A$11:$A$26,0),MATCH(G$16,Parametros!$B$10:$M$10,0))</f>
        <v>5017.6</v>
      </c>
      <c r="H17" s="182">
        <f t="array" ref="H17">INDEX(datos_base!$B$15:$K$22,MATCH($A17,datos_base!$A$15:$A$22,0),MATCH($B$3,datos_base!$B$2:$K$2,0))*INDEX(Parametros!$B$11:$M$26,MATCH($A17,Parametros!$A$11:$A$26,0),MATCH(H$16,Parametros!$B$10:$M$10,0))</f>
        <v>5376</v>
      </c>
      <c r="I17" s="182">
        <f t="array" ref="I17">INDEX(datos_base!$B$15:$K$22,MATCH($A17,datos_base!$A$15:$A$22,0),MATCH($B$3,datos_base!$B$2:$K$2,0))*INDEX(Parametros!$B$11:$M$26,MATCH($A17,Parametros!$A$11:$A$26,0),MATCH(I$16,Parametros!$B$10:$M$10,0))</f>
        <v>5376</v>
      </c>
      <c r="J17" s="182">
        <f t="array" ref="J17">INDEX(datos_base!$B$15:$K$22,MATCH($A17,datos_base!$A$15:$A$22,0),MATCH($B$3,datos_base!$B$2:$K$2,0))*INDEX(Parametros!$B$11:$M$26,MATCH($A17,Parametros!$A$11:$A$26,0),MATCH(J$16,Parametros!$B$10:$M$10,0))</f>
        <v>5376</v>
      </c>
      <c r="K17" s="182">
        <f t="array" ref="K17">INDEX(datos_base!$B$15:$K$22,MATCH($A17,datos_base!$A$15:$A$22,0),MATCH($B$3,datos_base!$B$2:$K$2,0))*INDEX(Parametros!$B$11:$M$26,MATCH($A17,Parametros!$A$11:$A$26,0),MATCH(K$16,Parametros!$B$10:$M$10,0))</f>
        <v>5376</v>
      </c>
      <c r="L17" s="182">
        <f t="array" ref="L17">INDEX(datos_base!$B$15:$K$22,MATCH($A17,datos_base!$A$15:$A$22,0),MATCH($B$3,datos_base!$B$2:$K$2,0))*INDEX(Parametros!$B$11:$M$26,MATCH($A17,Parametros!$A$11:$A$26,0),MATCH(L$16,Parametros!$B$10:$M$10,0))</f>
        <v>5376</v>
      </c>
      <c r="M17" s="182">
        <f t="array" ref="M17">INDEX(datos_base!$B$15:$K$22,MATCH($A17,datos_base!$A$15:$A$22,0),MATCH($B$3,datos_base!$B$2:$K$2,0))*INDEX(Parametros!$B$11:$M$26,MATCH($A17,Parametros!$A$11:$A$26,0),MATCH(M$16,Parametros!$B$10:$M$10,0))</f>
        <v>8601.6</v>
      </c>
      <c r="N17" s="271">
        <f t="shared" ref="N17:N24" si="4">SUM(B17:M17)</f>
        <v>71680</v>
      </c>
      <c r="O17" s="271">
        <f t="shared" ref="O17:O25" si="5">AVERAGE(B17:M17)</f>
        <v>5973.333333</v>
      </c>
    </row>
    <row r="18" ht="12.0" customHeight="1">
      <c r="A18" s="152" t="s">
        <v>106</v>
      </c>
      <c r="B18" s="182">
        <f t="array" ref="B18">INDEX(datos_base!$B$15:$K$22,MATCH($A18,datos_base!$A$15:$A$22,0),MATCH($B$3,datos_base!$B$2:$K$2,0))*INDEX(Parametros!$B$11:$M$26,MATCH($A18,Parametros!$A$11:$A$26,0),MATCH(B$16,Parametros!$B$10:$M$10,0))</f>
        <v>280.3</v>
      </c>
      <c r="C18" s="182">
        <f t="array" ref="C18">INDEX(datos_base!$B$15:$K$22,MATCH($A18,datos_base!$A$15:$A$22,0),MATCH($B$3,datos_base!$B$2:$K$2,0))*INDEX(Parametros!$B$11:$M$26,MATCH($A18,Parametros!$A$11:$A$26,0),MATCH(C$16,Parametros!$B$10:$M$10,0))</f>
        <v>224.24</v>
      </c>
      <c r="D18" s="182">
        <f t="array" ref="D18">INDEX(datos_base!$B$15:$K$22,MATCH($A18,datos_base!$A$15:$A$22,0),MATCH($B$3,datos_base!$B$2:$K$2,0))*INDEX(Parametros!$B$11:$M$26,MATCH($A18,Parametros!$A$11:$A$26,0),MATCH(D$16,Parametros!$B$10:$M$10,0))</f>
        <v>238.255</v>
      </c>
      <c r="E18" s="182">
        <f t="array" ref="E18">INDEX(datos_base!$B$15:$K$22,MATCH($A18,datos_base!$A$15:$A$22,0),MATCH($B$3,datos_base!$B$2:$K$2,0))*INDEX(Parametros!$B$11:$M$26,MATCH($A18,Parametros!$A$11:$A$26,0),MATCH(E$16,Parametros!$B$10:$M$10,0))</f>
        <v>238.255</v>
      </c>
      <c r="F18" s="182">
        <f t="array" ref="F18">INDEX(datos_base!$B$15:$K$22,MATCH($A18,datos_base!$A$15:$A$22,0),MATCH($B$3,datos_base!$B$2:$K$2,0))*INDEX(Parametros!$B$11:$M$26,MATCH($A18,Parametros!$A$11:$A$26,0),MATCH(F$16,Parametros!$B$10:$M$10,0))</f>
        <v>224.24</v>
      </c>
      <c r="G18" s="182">
        <f t="array" ref="G18">INDEX(datos_base!$B$15:$K$22,MATCH($A18,datos_base!$A$15:$A$22,0),MATCH($B$3,datos_base!$B$2:$K$2,0))*INDEX(Parametros!$B$11:$M$26,MATCH($A18,Parametros!$A$11:$A$26,0),MATCH(G$16,Parametros!$B$10:$M$10,0))</f>
        <v>210.225</v>
      </c>
      <c r="H18" s="182">
        <f t="array" ref="H18">INDEX(datos_base!$B$15:$K$22,MATCH($A18,datos_base!$A$15:$A$22,0),MATCH($B$3,datos_base!$B$2:$K$2,0))*INDEX(Parametros!$B$11:$M$26,MATCH($A18,Parametros!$A$11:$A$26,0),MATCH(H$16,Parametros!$B$10:$M$10,0))</f>
        <v>224.24</v>
      </c>
      <c r="I18" s="182">
        <f t="array" ref="I18">INDEX(datos_base!$B$15:$K$22,MATCH($A18,datos_base!$A$15:$A$22,0),MATCH($B$3,datos_base!$B$2:$K$2,0))*INDEX(Parametros!$B$11:$M$26,MATCH($A18,Parametros!$A$11:$A$26,0),MATCH(I$16,Parametros!$B$10:$M$10,0))</f>
        <v>224.24</v>
      </c>
      <c r="J18" s="182">
        <f t="array" ref="J18">INDEX(datos_base!$B$15:$K$22,MATCH($A18,datos_base!$A$15:$A$22,0),MATCH($B$3,datos_base!$B$2:$K$2,0))*INDEX(Parametros!$B$11:$M$26,MATCH($A18,Parametros!$A$11:$A$26,0),MATCH(J$16,Parametros!$B$10:$M$10,0))</f>
        <v>224.24</v>
      </c>
      <c r="K18" s="182">
        <f t="array" ref="K18">INDEX(datos_base!$B$15:$K$22,MATCH($A18,datos_base!$A$15:$A$22,0),MATCH($B$3,datos_base!$B$2:$K$2,0))*INDEX(Parametros!$B$11:$M$26,MATCH($A18,Parametros!$A$11:$A$26,0),MATCH(K$16,Parametros!$B$10:$M$10,0))</f>
        <v>210.225</v>
      </c>
      <c r="L18" s="182">
        <f t="array" ref="L18">INDEX(datos_base!$B$15:$K$22,MATCH($A18,datos_base!$A$15:$A$22,0),MATCH($B$3,datos_base!$B$2:$K$2,0))*INDEX(Parametros!$B$11:$M$26,MATCH($A18,Parametros!$A$11:$A$26,0),MATCH(L$16,Parametros!$B$10:$M$10,0))</f>
        <v>196.21</v>
      </c>
      <c r="M18" s="182">
        <f t="array" ref="M18">INDEX(datos_base!$B$15:$K$22,MATCH($A18,datos_base!$A$15:$A$22,0),MATCH($B$3,datos_base!$B$2:$K$2,0))*INDEX(Parametros!$B$11:$M$26,MATCH($A18,Parametros!$A$11:$A$26,0),MATCH(M$16,Parametros!$B$10:$M$10,0))</f>
        <v>308.33</v>
      </c>
      <c r="N18" s="271">
        <f t="shared" si="4"/>
        <v>2803</v>
      </c>
      <c r="O18" s="271">
        <f t="shared" si="5"/>
        <v>233.5833333</v>
      </c>
    </row>
    <row r="19" ht="12.0" customHeight="1">
      <c r="A19" s="152" t="s">
        <v>108</v>
      </c>
      <c r="B19" s="182">
        <f t="array" ref="B19">INDEX(datos_base!$B$15:$K$22,MATCH($A19,datos_base!$A$15:$A$22,0),MATCH($B$3,datos_base!$B$2:$K$2,0))*INDEX(Parametros!$B$11:$M$26,MATCH($A19,Parametros!$A$11:$A$26,0),MATCH(B$16,Parametros!$B$10:$M$10,0))</f>
        <v>1383.4</v>
      </c>
      <c r="C19" s="182">
        <f t="array" ref="C19">INDEX(datos_base!$B$15:$K$22,MATCH($A19,datos_base!$A$15:$A$22,0),MATCH($B$3,datos_base!$B$2:$K$2,0))*INDEX(Parametros!$B$11:$M$26,MATCH($A19,Parametros!$A$11:$A$26,0),MATCH(C$16,Parametros!$B$10:$M$10,0))</f>
        <v>1106.72</v>
      </c>
      <c r="D19" s="182">
        <f t="array" ref="D19">INDEX(datos_base!$B$15:$K$22,MATCH($A19,datos_base!$A$15:$A$22,0),MATCH($B$3,datos_base!$B$2:$K$2,0))*INDEX(Parametros!$B$11:$M$26,MATCH($A19,Parametros!$A$11:$A$26,0),MATCH(D$16,Parametros!$B$10:$M$10,0))</f>
        <v>1175.89</v>
      </c>
      <c r="E19" s="182">
        <f t="array" ref="E19">INDEX(datos_base!$B$15:$K$22,MATCH($A19,datos_base!$A$15:$A$22,0),MATCH($B$3,datos_base!$B$2:$K$2,0))*INDEX(Parametros!$B$11:$M$26,MATCH($A19,Parametros!$A$11:$A$26,0),MATCH(E$16,Parametros!$B$10:$M$10,0))</f>
        <v>1175.89</v>
      </c>
      <c r="F19" s="182">
        <f t="array" ref="F19">INDEX(datos_base!$B$15:$K$22,MATCH($A19,datos_base!$A$15:$A$22,0),MATCH($B$3,datos_base!$B$2:$K$2,0))*INDEX(Parametros!$B$11:$M$26,MATCH($A19,Parametros!$A$11:$A$26,0),MATCH(F$16,Parametros!$B$10:$M$10,0))</f>
        <v>1106.72</v>
      </c>
      <c r="G19" s="182">
        <f t="array" ref="G19">INDEX(datos_base!$B$15:$K$22,MATCH($A19,datos_base!$A$15:$A$22,0),MATCH($B$3,datos_base!$B$2:$K$2,0))*INDEX(Parametros!$B$11:$M$26,MATCH($A19,Parametros!$A$11:$A$26,0),MATCH(G$16,Parametros!$B$10:$M$10,0))</f>
        <v>1037.55</v>
      </c>
      <c r="H19" s="182">
        <f t="array" ref="H19">INDEX(datos_base!$B$15:$K$22,MATCH($A19,datos_base!$A$15:$A$22,0),MATCH($B$3,datos_base!$B$2:$K$2,0))*INDEX(Parametros!$B$11:$M$26,MATCH($A19,Parametros!$A$11:$A$26,0),MATCH(H$16,Parametros!$B$10:$M$10,0))</f>
        <v>1106.72</v>
      </c>
      <c r="I19" s="182">
        <f t="array" ref="I19">INDEX(datos_base!$B$15:$K$22,MATCH($A19,datos_base!$A$15:$A$22,0),MATCH($B$3,datos_base!$B$2:$K$2,0))*INDEX(Parametros!$B$11:$M$26,MATCH($A19,Parametros!$A$11:$A$26,0),MATCH(I$16,Parametros!$B$10:$M$10,0))</f>
        <v>1106.72</v>
      </c>
      <c r="J19" s="182">
        <f t="array" ref="J19">INDEX(datos_base!$B$15:$K$22,MATCH($A19,datos_base!$A$15:$A$22,0),MATCH($B$3,datos_base!$B$2:$K$2,0))*INDEX(Parametros!$B$11:$M$26,MATCH($A19,Parametros!$A$11:$A$26,0),MATCH(J$16,Parametros!$B$10:$M$10,0))</f>
        <v>1106.72</v>
      </c>
      <c r="K19" s="182">
        <f t="array" ref="K19">INDEX(datos_base!$B$15:$K$22,MATCH($A19,datos_base!$A$15:$A$22,0),MATCH($B$3,datos_base!$B$2:$K$2,0))*INDEX(Parametros!$B$11:$M$26,MATCH($A19,Parametros!$A$11:$A$26,0),MATCH(K$16,Parametros!$B$10:$M$10,0))</f>
        <v>1037.55</v>
      </c>
      <c r="L19" s="182">
        <f t="array" ref="L19">INDEX(datos_base!$B$15:$K$22,MATCH($A19,datos_base!$A$15:$A$22,0),MATCH($B$3,datos_base!$B$2:$K$2,0))*INDEX(Parametros!$B$11:$M$26,MATCH($A19,Parametros!$A$11:$A$26,0),MATCH(L$16,Parametros!$B$10:$M$10,0))</f>
        <v>968.38</v>
      </c>
      <c r="M19" s="182">
        <f t="array" ref="M19">INDEX(datos_base!$B$15:$K$22,MATCH($A19,datos_base!$A$15:$A$22,0),MATCH($B$3,datos_base!$B$2:$K$2,0))*INDEX(Parametros!$B$11:$M$26,MATCH($A19,Parametros!$A$11:$A$26,0),MATCH(M$16,Parametros!$B$10:$M$10,0))</f>
        <v>1521.74</v>
      </c>
      <c r="N19" s="271">
        <f t="shared" si="4"/>
        <v>13834</v>
      </c>
      <c r="O19" s="271">
        <f t="shared" si="5"/>
        <v>1152.833333</v>
      </c>
    </row>
    <row r="20" ht="12.0" customHeight="1">
      <c r="A20" s="152" t="s">
        <v>122</v>
      </c>
      <c r="B20" s="182">
        <f t="array" ref="B20">INDEX(datos_base!$B$15:$K$22,MATCH($A20,datos_base!$A$15:$A$22,0),MATCH($B$3,datos_base!$B$2:$K$2,0))*INDEX(Parametros!$B$11:$M$26,MATCH($A20,Parametros!$A$11:$A$26,0),MATCH(B$16,Parametros!$B$10:$M$10,0))</f>
        <v>84.6</v>
      </c>
      <c r="C20" s="182">
        <f t="array" ref="C20">INDEX(datos_base!$B$15:$K$22,MATCH($A20,datos_base!$A$15:$A$22,0),MATCH($B$3,datos_base!$B$2:$K$2,0))*INDEX(Parametros!$B$11:$M$26,MATCH($A20,Parametros!$A$11:$A$26,0),MATCH(C$16,Parametros!$B$10:$M$10,0))</f>
        <v>67.68</v>
      </c>
      <c r="D20" s="182">
        <f t="array" ref="D20">INDEX(datos_base!$B$15:$K$22,MATCH($A20,datos_base!$A$15:$A$22,0),MATCH($B$3,datos_base!$B$2:$K$2,0))*INDEX(Parametros!$B$11:$M$26,MATCH($A20,Parametros!$A$11:$A$26,0),MATCH(D$16,Parametros!$B$10:$M$10,0))</f>
        <v>71.91</v>
      </c>
      <c r="E20" s="182">
        <f t="array" ref="E20">INDEX(datos_base!$B$15:$K$22,MATCH($A20,datos_base!$A$15:$A$22,0),MATCH($B$3,datos_base!$B$2:$K$2,0))*INDEX(Parametros!$B$11:$M$26,MATCH($A20,Parametros!$A$11:$A$26,0),MATCH(E$16,Parametros!$B$10:$M$10,0))</f>
        <v>71.91</v>
      </c>
      <c r="F20" s="182">
        <f t="array" ref="F20">INDEX(datos_base!$B$15:$K$22,MATCH($A20,datos_base!$A$15:$A$22,0),MATCH($B$3,datos_base!$B$2:$K$2,0))*INDEX(Parametros!$B$11:$M$26,MATCH($A20,Parametros!$A$11:$A$26,0),MATCH(F$16,Parametros!$B$10:$M$10,0))</f>
        <v>67.68</v>
      </c>
      <c r="G20" s="182">
        <f t="array" ref="G20">INDEX(datos_base!$B$15:$K$22,MATCH($A20,datos_base!$A$15:$A$22,0),MATCH($B$3,datos_base!$B$2:$K$2,0))*INDEX(Parametros!$B$11:$M$26,MATCH($A20,Parametros!$A$11:$A$26,0),MATCH(G$16,Parametros!$B$10:$M$10,0))</f>
        <v>63.45</v>
      </c>
      <c r="H20" s="182">
        <f t="array" ref="H20">INDEX(datos_base!$B$15:$K$22,MATCH($A20,datos_base!$A$15:$A$22,0),MATCH($B$3,datos_base!$B$2:$K$2,0))*INDEX(Parametros!$B$11:$M$26,MATCH($A20,Parametros!$A$11:$A$26,0),MATCH(H$16,Parametros!$B$10:$M$10,0))</f>
        <v>67.68</v>
      </c>
      <c r="I20" s="182">
        <f t="array" ref="I20">INDEX(datos_base!$B$15:$K$22,MATCH($A20,datos_base!$A$15:$A$22,0),MATCH($B$3,datos_base!$B$2:$K$2,0))*INDEX(Parametros!$B$11:$M$26,MATCH($A20,Parametros!$A$11:$A$26,0),MATCH(I$16,Parametros!$B$10:$M$10,0))</f>
        <v>67.68</v>
      </c>
      <c r="J20" s="182">
        <f t="array" ref="J20">INDEX(datos_base!$B$15:$K$22,MATCH($A20,datos_base!$A$15:$A$22,0),MATCH($B$3,datos_base!$B$2:$K$2,0))*INDEX(Parametros!$B$11:$M$26,MATCH($A20,Parametros!$A$11:$A$26,0),MATCH(J$16,Parametros!$B$10:$M$10,0))</f>
        <v>67.68</v>
      </c>
      <c r="K20" s="182">
        <f t="array" ref="K20">INDEX(datos_base!$B$15:$K$22,MATCH($A20,datos_base!$A$15:$A$22,0),MATCH($B$3,datos_base!$B$2:$K$2,0))*INDEX(Parametros!$B$11:$M$26,MATCH($A20,Parametros!$A$11:$A$26,0),MATCH(K$16,Parametros!$B$10:$M$10,0))</f>
        <v>63.45</v>
      </c>
      <c r="L20" s="182">
        <f t="array" ref="L20">INDEX(datos_base!$B$15:$K$22,MATCH($A20,datos_base!$A$15:$A$22,0),MATCH($B$3,datos_base!$B$2:$K$2,0))*INDEX(Parametros!$B$11:$M$26,MATCH($A20,Parametros!$A$11:$A$26,0),MATCH(L$16,Parametros!$B$10:$M$10,0))</f>
        <v>59.22</v>
      </c>
      <c r="M20" s="182">
        <f t="array" ref="M20">INDEX(datos_base!$B$15:$K$22,MATCH($A20,datos_base!$A$15:$A$22,0),MATCH($B$3,datos_base!$B$2:$K$2,0))*INDEX(Parametros!$B$11:$M$26,MATCH($A20,Parametros!$A$11:$A$26,0),MATCH(M$16,Parametros!$B$10:$M$10,0))</f>
        <v>93.06</v>
      </c>
      <c r="N20" s="271">
        <f t="shared" si="4"/>
        <v>846</v>
      </c>
      <c r="O20" s="271">
        <f t="shared" si="5"/>
        <v>70.5</v>
      </c>
    </row>
    <row r="21" ht="12.0" customHeight="1">
      <c r="A21" s="152" t="s">
        <v>125</v>
      </c>
      <c r="B21" s="182">
        <f t="array" ref="B21">INDEX(datos_base!$B$15:$K$22,MATCH($A21,datos_base!$A$15:$A$22,0),MATCH($B$3,datos_base!$B$2:$K$2,0))*INDEX(Parametros!$B$11:$M$26,MATCH($A21,Parametros!$A$11:$A$26,0),MATCH(B$16,Parametros!$B$10:$M$10,0))</f>
        <v>11.475</v>
      </c>
      <c r="C21" s="182">
        <f t="array" ref="C21">INDEX(datos_base!$B$15:$K$22,MATCH($A21,datos_base!$A$15:$A$22,0),MATCH($B$3,datos_base!$B$2:$K$2,0))*INDEX(Parametros!$B$11:$M$26,MATCH($A21,Parametros!$A$11:$A$26,0),MATCH(C$16,Parametros!$B$10:$M$10,0))</f>
        <v>10.125</v>
      </c>
      <c r="D21" s="182">
        <f t="array" ref="D21">INDEX(datos_base!$B$15:$K$22,MATCH($A21,datos_base!$A$15:$A$22,0),MATCH($B$3,datos_base!$B$2:$K$2,0))*INDEX(Parametros!$B$11:$M$26,MATCH($A21,Parametros!$A$11:$A$26,0),MATCH(D$16,Parametros!$B$10:$M$10,0))</f>
        <v>12.15</v>
      </c>
      <c r="E21" s="182">
        <f t="array" ref="E21">INDEX(datos_base!$B$15:$K$22,MATCH($A21,datos_base!$A$15:$A$22,0),MATCH($B$3,datos_base!$B$2:$K$2,0))*INDEX(Parametros!$B$11:$M$26,MATCH($A21,Parametros!$A$11:$A$26,0),MATCH(E$16,Parametros!$B$10:$M$10,0))</f>
        <v>12.15</v>
      </c>
      <c r="F21" s="182">
        <f t="array" ref="F21">INDEX(datos_base!$B$15:$K$22,MATCH($A21,datos_base!$A$15:$A$22,0),MATCH($B$3,datos_base!$B$2:$K$2,0))*INDEX(Parametros!$B$11:$M$26,MATCH($A21,Parametros!$A$11:$A$26,0),MATCH(F$16,Parametros!$B$10:$M$10,0))</f>
        <v>12.15</v>
      </c>
      <c r="G21" s="182">
        <f t="array" ref="G21">INDEX(datos_base!$B$15:$K$22,MATCH($A21,datos_base!$A$15:$A$22,0),MATCH($B$3,datos_base!$B$2:$K$2,0))*INDEX(Parametros!$B$11:$M$26,MATCH($A21,Parametros!$A$11:$A$26,0),MATCH(G$16,Parametros!$B$10:$M$10,0))</f>
        <v>10.8</v>
      </c>
      <c r="H21" s="182">
        <f t="array" ref="H21">INDEX(datos_base!$B$15:$K$22,MATCH($A21,datos_base!$A$15:$A$22,0),MATCH($B$3,datos_base!$B$2:$K$2,0))*INDEX(Parametros!$B$11:$M$26,MATCH($A21,Parametros!$A$11:$A$26,0),MATCH(H$16,Parametros!$B$10:$M$10,0))</f>
        <v>12.15</v>
      </c>
      <c r="I21" s="182">
        <f t="array" ref="I21">INDEX(datos_base!$B$15:$K$22,MATCH($A21,datos_base!$A$15:$A$22,0),MATCH($B$3,datos_base!$B$2:$K$2,0))*INDEX(Parametros!$B$11:$M$26,MATCH($A21,Parametros!$A$11:$A$26,0),MATCH(I$16,Parametros!$B$10:$M$10,0))</f>
        <v>12.15</v>
      </c>
      <c r="J21" s="182">
        <f t="array" ref="J21">INDEX(datos_base!$B$15:$K$22,MATCH($A21,datos_base!$A$15:$A$22,0),MATCH($B$3,datos_base!$B$2:$K$2,0))*INDEX(Parametros!$B$11:$M$26,MATCH($A21,Parametros!$A$11:$A$26,0),MATCH(J$16,Parametros!$B$10:$M$10,0))</f>
        <v>11.475</v>
      </c>
      <c r="K21" s="182">
        <f t="array" ref="K21">INDEX(datos_base!$B$15:$K$22,MATCH($A21,datos_base!$A$15:$A$22,0),MATCH($B$3,datos_base!$B$2:$K$2,0))*INDEX(Parametros!$B$11:$M$26,MATCH($A21,Parametros!$A$11:$A$26,0),MATCH(K$16,Parametros!$B$10:$M$10,0))</f>
        <v>10.125</v>
      </c>
      <c r="L21" s="182">
        <f t="array" ref="L21">INDEX(datos_base!$B$15:$K$22,MATCH($A21,datos_base!$A$15:$A$22,0),MATCH($B$3,datos_base!$B$2:$K$2,0))*INDEX(Parametros!$B$11:$M$26,MATCH($A21,Parametros!$A$11:$A$26,0),MATCH(L$16,Parametros!$B$10:$M$10,0))</f>
        <v>9.45</v>
      </c>
      <c r="M21" s="182">
        <f t="array" ref="M21">INDEX(datos_base!$B$15:$K$22,MATCH($A21,datos_base!$A$15:$A$22,0),MATCH($B$3,datos_base!$B$2:$K$2,0))*INDEX(Parametros!$B$11:$M$26,MATCH($A21,Parametros!$A$11:$A$26,0),MATCH(M$16,Parametros!$B$10:$M$10,0))</f>
        <v>10.8</v>
      </c>
      <c r="N21" s="271">
        <f t="shared" si="4"/>
        <v>135</v>
      </c>
      <c r="O21" s="271">
        <f t="shared" si="5"/>
        <v>11.25</v>
      </c>
    </row>
    <row r="22" ht="12.0" customHeight="1">
      <c r="A22" s="152" t="s">
        <v>128</v>
      </c>
      <c r="B22" s="182">
        <f t="array" ref="B22">INDEX(datos_base!$B$15:$K$22,MATCH($A22,datos_base!$A$15:$A$22,0),MATCH($B$3,datos_base!$B$2:$K$2,0))*INDEX(Parametros!$B$11:$M$26,MATCH($A22,Parametros!$A$11:$A$26,0),MATCH(B$16,Parametros!$B$10:$M$10,0))</f>
        <v>25.33</v>
      </c>
      <c r="C22" s="182">
        <f t="array" ref="C22">INDEX(datos_base!$B$15:$K$22,MATCH($A22,datos_base!$A$15:$A$22,0),MATCH($B$3,datos_base!$B$2:$K$2,0))*INDEX(Parametros!$B$11:$M$26,MATCH($A22,Parametros!$A$11:$A$26,0),MATCH(C$16,Parametros!$B$10:$M$10,0))</f>
        <v>22.35</v>
      </c>
      <c r="D22" s="182">
        <f t="array" ref="D22">INDEX(datos_base!$B$15:$K$22,MATCH($A22,datos_base!$A$15:$A$22,0),MATCH($B$3,datos_base!$B$2:$K$2,0))*INDEX(Parametros!$B$11:$M$26,MATCH($A22,Parametros!$A$11:$A$26,0),MATCH(D$16,Parametros!$B$10:$M$10,0))</f>
        <v>26.82</v>
      </c>
      <c r="E22" s="182">
        <f t="array" ref="E22">INDEX(datos_base!$B$15:$K$22,MATCH($A22,datos_base!$A$15:$A$22,0),MATCH($B$3,datos_base!$B$2:$K$2,0))*INDEX(Parametros!$B$11:$M$26,MATCH($A22,Parametros!$A$11:$A$26,0),MATCH(E$16,Parametros!$B$10:$M$10,0))</f>
        <v>26.82</v>
      </c>
      <c r="F22" s="182">
        <f t="array" ref="F22">INDEX(datos_base!$B$15:$K$22,MATCH($A22,datos_base!$A$15:$A$22,0),MATCH($B$3,datos_base!$B$2:$K$2,0))*INDEX(Parametros!$B$11:$M$26,MATCH($A22,Parametros!$A$11:$A$26,0),MATCH(F$16,Parametros!$B$10:$M$10,0))</f>
        <v>26.82</v>
      </c>
      <c r="G22" s="182">
        <f t="array" ref="G22">INDEX(datos_base!$B$15:$K$22,MATCH($A22,datos_base!$A$15:$A$22,0),MATCH($B$3,datos_base!$B$2:$K$2,0))*INDEX(Parametros!$B$11:$M$26,MATCH($A22,Parametros!$A$11:$A$26,0),MATCH(G$16,Parametros!$B$10:$M$10,0))</f>
        <v>23.84</v>
      </c>
      <c r="H22" s="182">
        <f t="array" ref="H22">INDEX(datos_base!$B$15:$K$22,MATCH($A22,datos_base!$A$15:$A$22,0),MATCH($B$3,datos_base!$B$2:$K$2,0))*INDEX(Parametros!$B$11:$M$26,MATCH($A22,Parametros!$A$11:$A$26,0),MATCH(H$16,Parametros!$B$10:$M$10,0))</f>
        <v>26.82</v>
      </c>
      <c r="I22" s="182">
        <f t="array" ref="I22">INDEX(datos_base!$B$15:$K$22,MATCH($A22,datos_base!$A$15:$A$22,0),MATCH($B$3,datos_base!$B$2:$K$2,0))*INDEX(Parametros!$B$11:$M$26,MATCH($A22,Parametros!$A$11:$A$26,0),MATCH(I$16,Parametros!$B$10:$M$10,0))</f>
        <v>26.82</v>
      </c>
      <c r="J22" s="182">
        <f t="array" ref="J22">INDEX(datos_base!$B$15:$K$22,MATCH($A22,datos_base!$A$15:$A$22,0),MATCH($B$3,datos_base!$B$2:$K$2,0))*INDEX(Parametros!$B$11:$M$26,MATCH($A22,Parametros!$A$11:$A$26,0),MATCH(J$16,Parametros!$B$10:$M$10,0))</f>
        <v>25.33</v>
      </c>
      <c r="K22" s="182">
        <f t="array" ref="K22">INDEX(datos_base!$B$15:$K$22,MATCH($A22,datos_base!$A$15:$A$22,0),MATCH($B$3,datos_base!$B$2:$K$2,0))*INDEX(Parametros!$B$11:$M$26,MATCH($A22,Parametros!$A$11:$A$26,0),MATCH(K$16,Parametros!$B$10:$M$10,0))</f>
        <v>22.35</v>
      </c>
      <c r="L22" s="182">
        <f t="array" ref="L22">INDEX(datos_base!$B$15:$K$22,MATCH($A22,datos_base!$A$15:$A$22,0),MATCH($B$3,datos_base!$B$2:$K$2,0))*INDEX(Parametros!$B$11:$M$26,MATCH($A22,Parametros!$A$11:$A$26,0),MATCH(L$16,Parametros!$B$10:$M$10,0))</f>
        <v>20.86</v>
      </c>
      <c r="M22" s="182">
        <f t="array" ref="M22">INDEX(datos_base!$B$15:$K$22,MATCH($A22,datos_base!$A$15:$A$22,0),MATCH($B$3,datos_base!$B$2:$K$2,0))*INDEX(Parametros!$B$11:$M$26,MATCH($A22,Parametros!$A$11:$A$26,0),MATCH(M$16,Parametros!$B$10:$M$10,0))</f>
        <v>23.84</v>
      </c>
      <c r="N22" s="271">
        <f t="shared" si="4"/>
        <v>298</v>
      </c>
      <c r="O22" s="271">
        <f t="shared" si="5"/>
        <v>24.83333333</v>
      </c>
    </row>
    <row r="23" ht="12.0" customHeight="1">
      <c r="A23" s="152" t="s">
        <v>129</v>
      </c>
      <c r="B23" s="182">
        <f t="array" ref="B23">INDEX(datos_base!$B$15:$K$22,MATCH($A23,datos_base!$A$15:$A$22,0),MATCH($B$3,datos_base!$B$2:$K$2,0))*INDEX(Parametros!$B$11:$M$26,MATCH($A23,Parametros!$A$11:$A$26,0),MATCH(B$16,Parametros!$B$10:$M$10,0))</f>
        <v>5.525</v>
      </c>
      <c r="C23" s="182">
        <f t="array" ref="C23">INDEX(datos_base!$B$15:$K$22,MATCH($A23,datos_base!$A$15:$A$22,0),MATCH($B$3,datos_base!$B$2:$K$2,0))*INDEX(Parametros!$B$11:$M$26,MATCH($A23,Parametros!$A$11:$A$26,0),MATCH(C$16,Parametros!$B$10:$M$10,0))</f>
        <v>4.875</v>
      </c>
      <c r="D23" s="182">
        <f t="array" ref="D23">INDEX(datos_base!$B$15:$K$22,MATCH($A23,datos_base!$A$15:$A$22,0),MATCH($B$3,datos_base!$B$2:$K$2,0))*INDEX(Parametros!$B$11:$M$26,MATCH($A23,Parametros!$A$11:$A$26,0),MATCH(D$16,Parametros!$B$10:$M$10,0))</f>
        <v>5.85</v>
      </c>
      <c r="E23" s="182">
        <f t="array" ref="E23">INDEX(datos_base!$B$15:$K$22,MATCH($A23,datos_base!$A$15:$A$22,0),MATCH($B$3,datos_base!$B$2:$K$2,0))*INDEX(Parametros!$B$11:$M$26,MATCH($A23,Parametros!$A$11:$A$26,0),MATCH(E$16,Parametros!$B$10:$M$10,0))</f>
        <v>5.85</v>
      </c>
      <c r="F23" s="182">
        <f t="array" ref="F23">INDEX(datos_base!$B$15:$K$22,MATCH($A23,datos_base!$A$15:$A$22,0),MATCH($B$3,datos_base!$B$2:$K$2,0))*INDEX(Parametros!$B$11:$M$26,MATCH($A23,Parametros!$A$11:$A$26,0),MATCH(F$16,Parametros!$B$10:$M$10,0))</f>
        <v>5.85</v>
      </c>
      <c r="G23" s="182">
        <f t="array" ref="G23">INDEX(datos_base!$B$15:$K$22,MATCH($A23,datos_base!$A$15:$A$22,0),MATCH($B$3,datos_base!$B$2:$K$2,0))*INDEX(Parametros!$B$11:$M$26,MATCH($A23,Parametros!$A$11:$A$26,0),MATCH(G$16,Parametros!$B$10:$M$10,0))</f>
        <v>5.2</v>
      </c>
      <c r="H23" s="182">
        <f t="array" ref="H23">INDEX(datos_base!$B$15:$K$22,MATCH($A23,datos_base!$A$15:$A$22,0),MATCH($B$3,datos_base!$B$2:$K$2,0))*INDEX(Parametros!$B$11:$M$26,MATCH($A23,Parametros!$A$11:$A$26,0),MATCH(H$16,Parametros!$B$10:$M$10,0))</f>
        <v>5.85</v>
      </c>
      <c r="I23" s="182">
        <f t="array" ref="I23">INDEX(datos_base!$B$15:$K$22,MATCH($A23,datos_base!$A$15:$A$22,0),MATCH($B$3,datos_base!$B$2:$K$2,0))*INDEX(Parametros!$B$11:$M$26,MATCH($A23,Parametros!$A$11:$A$26,0),MATCH(I$16,Parametros!$B$10:$M$10,0))</f>
        <v>5.85</v>
      </c>
      <c r="J23" s="182">
        <f t="array" ref="J23">INDEX(datos_base!$B$15:$K$22,MATCH($A23,datos_base!$A$15:$A$22,0),MATCH($B$3,datos_base!$B$2:$K$2,0))*INDEX(Parametros!$B$11:$M$26,MATCH($A23,Parametros!$A$11:$A$26,0),MATCH(J$16,Parametros!$B$10:$M$10,0))</f>
        <v>5.525</v>
      </c>
      <c r="K23" s="182">
        <f t="array" ref="K23">INDEX(datos_base!$B$15:$K$22,MATCH($A23,datos_base!$A$15:$A$22,0),MATCH($B$3,datos_base!$B$2:$K$2,0))*INDEX(Parametros!$B$11:$M$26,MATCH($A23,Parametros!$A$11:$A$26,0),MATCH(K$16,Parametros!$B$10:$M$10,0))</f>
        <v>4.875</v>
      </c>
      <c r="L23" s="182">
        <f t="array" ref="L23">INDEX(datos_base!$B$15:$K$22,MATCH($A23,datos_base!$A$15:$A$22,0),MATCH($B$3,datos_base!$B$2:$K$2,0))*INDEX(Parametros!$B$11:$M$26,MATCH($A23,Parametros!$A$11:$A$26,0),MATCH(L$16,Parametros!$B$10:$M$10,0))</f>
        <v>4.55</v>
      </c>
      <c r="M23" s="182">
        <f t="array" ref="M23">INDEX(datos_base!$B$15:$K$22,MATCH($A23,datos_base!$A$15:$A$22,0),MATCH($B$3,datos_base!$B$2:$K$2,0))*INDEX(Parametros!$B$11:$M$26,MATCH($A23,Parametros!$A$11:$A$26,0),MATCH(M$16,Parametros!$B$10:$M$10,0))</f>
        <v>5.2</v>
      </c>
      <c r="N23" s="271">
        <f t="shared" si="4"/>
        <v>65</v>
      </c>
      <c r="O23" s="271">
        <f t="shared" si="5"/>
        <v>5.416666667</v>
      </c>
    </row>
    <row r="24" ht="12.0" customHeight="1">
      <c r="A24" s="152" t="s">
        <v>130</v>
      </c>
      <c r="B24" s="182">
        <f t="array" ref="B24">INDEX(datos_base!$B$15:$K$22,MATCH($A24,datos_base!$A$15:$A$22,0),MATCH($B$3,datos_base!$B$2:$K$2,0))*INDEX(Parametros!$B$11:$M$26,MATCH($A24,Parametros!$A$11:$A$26,0),MATCH(B$16,Parametros!$B$10:$M$10,0))</f>
        <v>3.655</v>
      </c>
      <c r="C24" s="182">
        <f t="array" ref="C24">INDEX(datos_base!$B$15:$K$22,MATCH($A24,datos_base!$A$15:$A$22,0),MATCH($B$3,datos_base!$B$2:$K$2,0))*INDEX(Parametros!$B$11:$M$26,MATCH($A24,Parametros!$A$11:$A$26,0),MATCH(C$16,Parametros!$B$10:$M$10,0))</f>
        <v>3.225</v>
      </c>
      <c r="D24" s="182">
        <f t="array" ref="D24">INDEX(datos_base!$B$15:$K$22,MATCH($A24,datos_base!$A$15:$A$22,0),MATCH($B$3,datos_base!$B$2:$K$2,0))*INDEX(Parametros!$B$11:$M$26,MATCH($A24,Parametros!$A$11:$A$26,0),MATCH(D$16,Parametros!$B$10:$M$10,0))</f>
        <v>3.87</v>
      </c>
      <c r="E24" s="182">
        <f t="array" ref="E24">INDEX(datos_base!$B$15:$K$22,MATCH($A24,datos_base!$A$15:$A$22,0),MATCH($B$3,datos_base!$B$2:$K$2,0))*INDEX(Parametros!$B$11:$M$26,MATCH($A24,Parametros!$A$11:$A$26,0),MATCH(E$16,Parametros!$B$10:$M$10,0))</f>
        <v>3.87</v>
      </c>
      <c r="F24" s="182">
        <f t="array" ref="F24">INDEX(datos_base!$B$15:$K$22,MATCH($A24,datos_base!$A$15:$A$22,0),MATCH($B$3,datos_base!$B$2:$K$2,0))*INDEX(Parametros!$B$11:$M$26,MATCH($A24,Parametros!$A$11:$A$26,0),MATCH(F$16,Parametros!$B$10:$M$10,0))</f>
        <v>3.87</v>
      </c>
      <c r="G24" s="182">
        <f t="array" ref="G24">INDEX(datos_base!$B$15:$K$22,MATCH($A24,datos_base!$A$15:$A$22,0),MATCH($B$3,datos_base!$B$2:$K$2,0))*INDEX(Parametros!$B$11:$M$26,MATCH($A24,Parametros!$A$11:$A$26,0),MATCH(G$16,Parametros!$B$10:$M$10,0))</f>
        <v>3.44</v>
      </c>
      <c r="H24" s="182">
        <f t="array" ref="H24">INDEX(datos_base!$B$15:$K$22,MATCH($A24,datos_base!$A$15:$A$22,0),MATCH($B$3,datos_base!$B$2:$K$2,0))*INDEX(Parametros!$B$11:$M$26,MATCH($A24,Parametros!$A$11:$A$26,0),MATCH(H$16,Parametros!$B$10:$M$10,0))</f>
        <v>3.87</v>
      </c>
      <c r="I24" s="182">
        <f t="array" ref="I24">INDEX(datos_base!$B$15:$K$22,MATCH($A24,datos_base!$A$15:$A$22,0),MATCH($B$3,datos_base!$B$2:$K$2,0))*INDEX(Parametros!$B$11:$M$26,MATCH($A24,Parametros!$A$11:$A$26,0),MATCH(I$16,Parametros!$B$10:$M$10,0))</f>
        <v>3.87</v>
      </c>
      <c r="J24" s="182">
        <f t="array" ref="J24">INDEX(datos_base!$B$15:$K$22,MATCH($A24,datos_base!$A$15:$A$22,0),MATCH($B$3,datos_base!$B$2:$K$2,0))*INDEX(Parametros!$B$11:$M$26,MATCH($A24,Parametros!$A$11:$A$26,0),MATCH(J$16,Parametros!$B$10:$M$10,0))</f>
        <v>3.655</v>
      </c>
      <c r="K24" s="182">
        <f t="array" ref="K24">INDEX(datos_base!$B$15:$K$22,MATCH($A24,datos_base!$A$15:$A$22,0),MATCH($B$3,datos_base!$B$2:$K$2,0))*INDEX(Parametros!$B$11:$M$26,MATCH($A24,Parametros!$A$11:$A$26,0),MATCH(K$16,Parametros!$B$10:$M$10,0))</f>
        <v>3.225</v>
      </c>
      <c r="L24" s="182">
        <f t="array" ref="L24">INDEX(datos_base!$B$15:$K$22,MATCH($A24,datos_base!$A$15:$A$22,0),MATCH($B$3,datos_base!$B$2:$K$2,0))*INDEX(Parametros!$B$11:$M$26,MATCH($A24,Parametros!$A$11:$A$26,0),MATCH(L$16,Parametros!$B$10:$M$10,0))</f>
        <v>3.01</v>
      </c>
      <c r="M24" s="182">
        <f t="array" ref="M24">INDEX(datos_base!$B$15:$K$22,MATCH($A24,datos_base!$A$15:$A$22,0),MATCH($B$3,datos_base!$B$2:$K$2,0))*INDEX(Parametros!$B$11:$M$26,MATCH($A24,Parametros!$A$11:$A$26,0),MATCH(M$16,Parametros!$B$10:$M$10,0))</f>
        <v>3.44</v>
      </c>
      <c r="N24" s="271">
        <f t="shared" si="4"/>
        <v>43</v>
      </c>
      <c r="O24" s="271">
        <f t="shared" si="5"/>
        <v>3.583333333</v>
      </c>
    </row>
    <row r="25" ht="12.0" customHeight="1">
      <c r="A25" s="272" t="s">
        <v>420</v>
      </c>
      <c r="B25" s="273">
        <f t="shared" ref="B25:N25" si="6">SUM(B17:B24)</f>
        <v>10395.885</v>
      </c>
      <c r="C25" s="273">
        <f t="shared" si="6"/>
        <v>7890.415</v>
      </c>
      <c r="D25" s="273">
        <f t="shared" si="6"/>
        <v>7269.145</v>
      </c>
      <c r="E25" s="273">
        <f t="shared" si="6"/>
        <v>6910.745</v>
      </c>
      <c r="F25" s="273">
        <f t="shared" si="6"/>
        <v>6464.93</v>
      </c>
      <c r="G25" s="273">
        <f t="shared" si="6"/>
        <v>6372.105</v>
      </c>
      <c r="H25" s="273">
        <f t="shared" si="6"/>
        <v>6823.33</v>
      </c>
      <c r="I25" s="273">
        <f t="shared" si="6"/>
        <v>6823.33</v>
      </c>
      <c r="J25" s="273">
        <f t="shared" si="6"/>
        <v>6820.625</v>
      </c>
      <c r="K25" s="273">
        <f t="shared" si="6"/>
        <v>6727.8</v>
      </c>
      <c r="L25" s="273">
        <f t="shared" si="6"/>
        <v>6637.68</v>
      </c>
      <c r="M25" s="273">
        <f t="shared" si="6"/>
        <v>10568.01</v>
      </c>
      <c r="N25" s="273">
        <f t="shared" si="6"/>
        <v>89704</v>
      </c>
      <c r="O25" s="273">
        <f t="shared" si="5"/>
        <v>7475.333333</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O6+O7+O8+O9+O17+O18+O19+O20</f>
        <v>10292.75</v>
      </c>
      <c r="C28" s="152">
        <f>ROUNDDOWN(B28/Parametros!$B$37,0)</f>
        <v>514</v>
      </c>
      <c r="D28" s="152">
        <f>ROUNDDOWN(C28/Parametros!$J$37,0)</f>
        <v>68</v>
      </c>
      <c r="E28" s="152">
        <f t="shared" ref="E28:E45" si="7">D28</f>
        <v>68</v>
      </c>
      <c r="F28" s="279">
        <f>Parametros!$M$39</f>
        <v>68</v>
      </c>
      <c r="G28" s="152">
        <v>1.0</v>
      </c>
      <c r="H28" s="152">
        <f t="shared" ref="H28:H45" si="8">F28*G28</f>
        <v>68</v>
      </c>
      <c r="I28" s="275">
        <f t="shared" ref="I28:I45" si="9">E28/H28</f>
        <v>1</v>
      </c>
      <c r="J28" s="152" t="s">
        <v>158</v>
      </c>
    </row>
    <row r="29" ht="12.0" customHeight="1">
      <c r="A29" s="152" t="s">
        <v>163</v>
      </c>
      <c r="B29" s="159">
        <f>O6+O7+O8+O9+O17+O18+O19+O20</f>
        <v>10292.75</v>
      </c>
      <c r="C29" s="152">
        <f>ROUNDDOWN(B29/Parametros!$B$37,0)</f>
        <v>514</v>
      </c>
      <c r="D29" s="152">
        <f>ROUNDDOWN(C29/Parametros!$J$37,0)</f>
        <v>68</v>
      </c>
      <c r="E29" s="152">
        <f t="shared" si="7"/>
        <v>68</v>
      </c>
      <c r="F29" s="279">
        <f>Parametros!$M$40</f>
        <v>40.88</v>
      </c>
      <c r="G29" s="152">
        <v>1.0</v>
      </c>
      <c r="H29" s="152">
        <f t="shared" si="8"/>
        <v>40.88</v>
      </c>
      <c r="I29" s="275">
        <f t="shared" si="9"/>
        <v>1.663405088</v>
      </c>
      <c r="J29" s="152" t="s">
        <v>158</v>
      </c>
    </row>
    <row r="30" ht="12.0" customHeight="1">
      <c r="A30" s="152" t="s">
        <v>61</v>
      </c>
      <c r="B30" s="159">
        <f>O6+O7+O8+O9+O17+O18+O19+O20</f>
        <v>10292.75</v>
      </c>
      <c r="C30" s="152">
        <f>ROUNDDOWN(B30/Parametros!$B$37,0)</f>
        <v>514</v>
      </c>
      <c r="D30" s="152">
        <f>ROUNDDOWN(C30/Parametros!$J$37,0)</f>
        <v>68</v>
      </c>
      <c r="E30" s="152">
        <f t="shared" si="7"/>
        <v>68</v>
      </c>
      <c r="F30" s="279">
        <f>Parametros!$M$41</f>
        <v>466.5116279</v>
      </c>
      <c r="G30" s="152">
        <v>1.0</v>
      </c>
      <c r="H30" s="152">
        <f t="shared" si="8"/>
        <v>466.5116279</v>
      </c>
      <c r="I30" s="275">
        <f t="shared" si="9"/>
        <v>0.1457627119</v>
      </c>
      <c r="J30" s="152" t="s">
        <v>158</v>
      </c>
    </row>
    <row r="31" ht="12.0" customHeight="1">
      <c r="A31" s="152" t="s">
        <v>62</v>
      </c>
      <c r="B31" s="159">
        <f>O7+O8+O9+O18+O19+O20</f>
        <v>3017.75</v>
      </c>
      <c r="C31" s="152">
        <f>ROUNDDOWN(B31/Parametros!$B$37,0)</f>
        <v>150</v>
      </c>
      <c r="D31" s="152">
        <f>ROUNDDOWN(C31/Parametros!$J$37,0)</f>
        <v>20</v>
      </c>
      <c r="E31" s="152">
        <f t="shared" si="7"/>
        <v>20</v>
      </c>
      <c r="F31" s="279">
        <f>Parametros!$M$42</f>
        <v>96</v>
      </c>
      <c r="G31" s="152">
        <v>1.0</v>
      </c>
      <c r="H31" s="152">
        <f t="shared" si="8"/>
        <v>96</v>
      </c>
      <c r="I31" s="275">
        <f t="shared" si="9"/>
        <v>0.2083333333</v>
      </c>
      <c r="J31" s="152" t="s">
        <v>182</v>
      </c>
    </row>
    <row r="32" ht="12.0" customHeight="1">
      <c r="A32" s="152" t="s">
        <v>63</v>
      </c>
      <c r="B32" s="159">
        <f>O7+O8+O9+O18+O19+O20</f>
        <v>3017.75</v>
      </c>
      <c r="C32" s="152">
        <f>ROUNDDOWN(B32/Parametros!$B$37,0)</f>
        <v>150</v>
      </c>
      <c r="D32" s="152">
        <f>ROUNDDOWN(C32/Parametros!$J$37,0)</f>
        <v>20</v>
      </c>
      <c r="E32" s="152">
        <f t="shared" si="7"/>
        <v>20</v>
      </c>
      <c r="F32" s="279">
        <f>Parametros!$M$43</f>
        <v>80.10122449</v>
      </c>
      <c r="G32" s="152">
        <v>1.0</v>
      </c>
      <c r="H32" s="152">
        <f t="shared" si="8"/>
        <v>80.10122449</v>
      </c>
      <c r="I32" s="275">
        <f t="shared" si="9"/>
        <v>0.2496840732</v>
      </c>
      <c r="J32" s="152" t="s">
        <v>182</v>
      </c>
    </row>
    <row r="33" ht="12.0" customHeight="1">
      <c r="A33" s="152" t="s">
        <v>64</v>
      </c>
      <c r="B33" s="159">
        <f>O7+O8+O9+O18+O19+O20</f>
        <v>3017.75</v>
      </c>
      <c r="C33" s="152">
        <f>ROUNDDOWN(B33/Parametros!$B$37,0)</f>
        <v>150</v>
      </c>
      <c r="D33" s="152">
        <f>ROUNDDOWN(C33/Parametros!$J$37,0)</f>
        <v>20</v>
      </c>
      <c r="E33" s="152">
        <f t="shared" si="7"/>
        <v>20</v>
      </c>
      <c r="F33" s="279">
        <f>Parametros!$M$44</f>
        <v>18.54222222</v>
      </c>
      <c r="G33" s="152">
        <v>1.0</v>
      </c>
      <c r="H33" s="152">
        <f t="shared" si="8"/>
        <v>18.54222222</v>
      </c>
      <c r="I33" s="275">
        <f t="shared" si="9"/>
        <v>1.078619367</v>
      </c>
      <c r="J33" s="152" t="s">
        <v>182</v>
      </c>
    </row>
    <row r="34" ht="12.0" customHeight="1">
      <c r="A34" s="152" t="s">
        <v>66</v>
      </c>
      <c r="B34" s="159">
        <f>O6+O7+O8+O9+O17+O18+O19+O20</f>
        <v>10292.75</v>
      </c>
      <c r="C34" s="152">
        <f>ROUNDDOWN(B34/Parametros!$B$37,0)</f>
        <v>514</v>
      </c>
      <c r="D34" s="152">
        <f>ROUNDDOWN(C34/Parametros!$J$37,0)</f>
        <v>68</v>
      </c>
      <c r="E34" s="152">
        <f t="shared" si="7"/>
        <v>68</v>
      </c>
      <c r="F34" s="279">
        <f>Parametros!$M$45</f>
        <v>60.656</v>
      </c>
      <c r="G34" s="152">
        <v>1.0</v>
      </c>
      <c r="H34" s="152">
        <f t="shared" si="8"/>
        <v>60.656</v>
      </c>
      <c r="I34" s="275">
        <f t="shared" si="9"/>
        <v>1.121076233</v>
      </c>
      <c r="J34" s="152" t="s">
        <v>158</v>
      </c>
    </row>
    <row r="35" ht="12.0" customHeight="1">
      <c r="A35" s="152" t="s">
        <v>67</v>
      </c>
      <c r="B35" s="159">
        <f>O6+O7+O8+O9+O17+O18+O19+O20</f>
        <v>10292.75</v>
      </c>
      <c r="C35" s="152">
        <f>ROUNDDOWN(B35/Parametros!$B$37,0)</f>
        <v>514</v>
      </c>
      <c r="D35" s="152">
        <f>ROUNDDOWN(C35/Parametros!$J$37,0)</f>
        <v>68</v>
      </c>
      <c r="E35" s="152">
        <f t="shared" si="7"/>
        <v>68</v>
      </c>
      <c r="F35" s="279">
        <f>Parametros!$M$46</f>
        <v>187.425</v>
      </c>
      <c r="G35" s="152">
        <v>1.0</v>
      </c>
      <c r="H35" s="152">
        <f t="shared" si="8"/>
        <v>187.425</v>
      </c>
      <c r="I35" s="275">
        <f t="shared" si="9"/>
        <v>0.3628117914</v>
      </c>
      <c r="J35" s="152" t="s">
        <v>158</v>
      </c>
    </row>
    <row r="36" ht="12.0" customHeight="1">
      <c r="A36" s="152" t="s">
        <v>68</v>
      </c>
      <c r="B36" s="159">
        <f>O6+O7+O8+O9+O17+O18+O19+O20</f>
        <v>10292.75</v>
      </c>
      <c r="C36" s="152">
        <f>ROUNDDOWN(B36/Parametros!$B$37,0)</f>
        <v>514</v>
      </c>
      <c r="D36" s="152">
        <f>ROUNDDOWN(C36/Parametros!$J$37,0)</f>
        <v>68</v>
      </c>
      <c r="E36" s="152">
        <f t="shared" si="7"/>
        <v>68</v>
      </c>
      <c r="F36" s="279">
        <f>Parametros!$M$47</f>
        <v>15.96903226</v>
      </c>
      <c r="G36" s="152">
        <v>1.0</v>
      </c>
      <c r="H36" s="152">
        <f t="shared" si="8"/>
        <v>15.96903226</v>
      </c>
      <c r="I36" s="275">
        <f t="shared" si="9"/>
        <v>4.258241758</v>
      </c>
      <c r="J36" s="152" t="s">
        <v>158</v>
      </c>
    </row>
    <row r="37" ht="12.0" customHeight="1">
      <c r="A37" s="152" t="s">
        <v>70</v>
      </c>
      <c r="B37" s="159">
        <f>O6+O7+O8+O9+O17+O18+O19+O20</f>
        <v>10292.75</v>
      </c>
      <c r="C37" s="152">
        <f>ROUNDDOWN(B37/Parametros!$B$37,0)</f>
        <v>514</v>
      </c>
      <c r="D37" s="152">
        <f>ROUNDDOWN(C37/Parametros!$J$37,0)</f>
        <v>68</v>
      </c>
      <c r="E37" s="152">
        <f t="shared" si="7"/>
        <v>68</v>
      </c>
      <c r="F37" s="279">
        <f>Parametros!$M$48</f>
        <v>22.46518519</v>
      </c>
      <c r="G37" s="152">
        <v>1.0</v>
      </c>
      <c r="H37" s="152">
        <f t="shared" si="8"/>
        <v>22.46518519</v>
      </c>
      <c r="I37" s="275">
        <f t="shared" si="9"/>
        <v>3.02690583</v>
      </c>
      <c r="J37" s="152" t="s">
        <v>158</v>
      </c>
    </row>
    <row r="38" ht="12.0" customHeight="1">
      <c r="A38" s="152" t="s">
        <v>72</v>
      </c>
      <c r="B38" s="159">
        <f>O6+O7+O8+O9+O17+O18+O19+O20</f>
        <v>10292.75</v>
      </c>
      <c r="C38" s="152">
        <f>ROUNDDOWN(B38/Parametros!$B$37,0)</f>
        <v>514</v>
      </c>
      <c r="D38" s="152">
        <f>ROUNDDOWN(C38/Parametros!$J$37,0)</f>
        <v>68</v>
      </c>
      <c r="E38" s="152">
        <f t="shared" si="7"/>
        <v>68</v>
      </c>
      <c r="F38" s="279">
        <f>Parametros!$M$49</f>
        <v>71.1627907</v>
      </c>
      <c r="G38" s="152">
        <v>1.0</v>
      </c>
      <c r="H38" s="152">
        <f t="shared" si="8"/>
        <v>71.1627907</v>
      </c>
      <c r="I38" s="275">
        <f t="shared" si="9"/>
        <v>0.9555555556</v>
      </c>
      <c r="J38" s="152" t="s">
        <v>158</v>
      </c>
    </row>
    <row r="39" ht="12.0" customHeight="1">
      <c r="A39" s="152" t="s">
        <v>76</v>
      </c>
      <c r="B39" s="159">
        <f>O6+O7+O8+O9+O17+O18+O19+O20</f>
        <v>10292.75</v>
      </c>
      <c r="C39" s="152">
        <f>ROUNDDOWN(B39/Parametros!$B$37,0)</f>
        <v>514</v>
      </c>
      <c r="D39" s="152">
        <f>ROUNDDOWN(C39/Parametros!$J$37,0)</f>
        <v>68</v>
      </c>
      <c r="E39" s="152">
        <f t="shared" si="7"/>
        <v>68</v>
      </c>
      <c r="F39" s="279">
        <f>Parametros!$M$50</f>
        <v>192</v>
      </c>
      <c r="G39" s="152">
        <v>1.0</v>
      </c>
      <c r="H39" s="152">
        <f t="shared" si="8"/>
        <v>192</v>
      </c>
      <c r="I39" s="275">
        <f t="shared" si="9"/>
        <v>0.3541666667</v>
      </c>
      <c r="J39" s="152" t="s">
        <v>158</v>
      </c>
    </row>
    <row r="40" ht="12.0" customHeight="1">
      <c r="A40" s="152" t="s">
        <v>77</v>
      </c>
      <c r="B40" s="159">
        <f>O6+O7+O8+O9+O17+O18+O19+O20</f>
        <v>10292.75</v>
      </c>
      <c r="C40" s="152">
        <f>ROUNDDOWN(B40/Parametros!$B$37,0)</f>
        <v>514</v>
      </c>
      <c r="D40" s="152">
        <f>ROUNDDOWN(C40/Parametros!$J$37,0)</f>
        <v>68</v>
      </c>
      <c r="E40" s="152">
        <f t="shared" si="7"/>
        <v>68</v>
      </c>
      <c r="F40" s="279">
        <f>Parametros!$M$51</f>
        <v>136.0227273</v>
      </c>
      <c r="G40" s="152">
        <v>1.0</v>
      </c>
      <c r="H40" s="152">
        <f t="shared" si="8"/>
        <v>136.0227273</v>
      </c>
      <c r="I40" s="275">
        <f t="shared" si="9"/>
        <v>0.4999164578</v>
      </c>
      <c r="J40" s="152" t="s">
        <v>158</v>
      </c>
    </row>
    <row r="41" ht="12.0" customHeight="1">
      <c r="A41" s="152" t="s">
        <v>79</v>
      </c>
      <c r="B41" s="159">
        <f>O6+O7+O8+O9+O17+O18+O19+O20</f>
        <v>10292.75</v>
      </c>
      <c r="C41" s="152">
        <f>ROUNDDOWN(B41/Parametros!$B$37,0)</f>
        <v>514</v>
      </c>
      <c r="D41" s="152">
        <f>ROUNDDOWN(C41/Parametros!$J$37,0)</f>
        <v>68</v>
      </c>
      <c r="E41" s="152">
        <f t="shared" si="7"/>
        <v>68</v>
      </c>
      <c r="F41" s="279">
        <f>Parametros!$M$52</f>
        <v>60.34285714</v>
      </c>
      <c r="G41" s="152">
        <v>1.0</v>
      </c>
      <c r="H41" s="152">
        <f t="shared" si="8"/>
        <v>60.34285714</v>
      </c>
      <c r="I41" s="275">
        <f t="shared" si="9"/>
        <v>1.126893939</v>
      </c>
      <c r="J41" s="152" t="s">
        <v>158</v>
      </c>
    </row>
    <row r="42" ht="12.0" customHeight="1">
      <c r="A42" s="152" t="s">
        <v>81</v>
      </c>
      <c r="B42" s="159">
        <f>O6+O7+O8+O9+O17+O18+O19+O20</f>
        <v>10292.75</v>
      </c>
      <c r="C42" s="152">
        <f>ROUNDDOWN(B42/Parametros!$B$37,0)</f>
        <v>514</v>
      </c>
      <c r="D42" s="152">
        <f>ROUNDDOWN(C42/Parametros!$J$37,0)</f>
        <v>68</v>
      </c>
      <c r="E42" s="152">
        <f t="shared" si="7"/>
        <v>68</v>
      </c>
      <c r="F42" s="279">
        <f>Parametros!$M$53</f>
        <v>25.2</v>
      </c>
      <c r="G42" s="152">
        <v>1.0</v>
      </c>
      <c r="H42" s="152">
        <f t="shared" si="8"/>
        <v>25.2</v>
      </c>
      <c r="I42" s="275">
        <f t="shared" si="9"/>
        <v>2.698412698</v>
      </c>
      <c r="J42" s="152" t="s">
        <v>158</v>
      </c>
    </row>
    <row r="43" ht="12.0" customHeight="1">
      <c r="A43" s="152" t="s">
        <v>82</v>
      </c>
      <c r="B43" s="159">
        <f>O6+O7+O8+O9+O17+O18+O19+O20</f>
        <v>10292.75</v>
      </c>
      <c r="C43" s="152">
        <f>ROUNDDOWN(B43/Parametros!$B$37,0)</f>
        <v>514</v>
      </c>
      <c r="D43" s="152">
        <f>ROUNDDOWN(C43/Parametros!$J$37,0)</f>
        <v>68</v>
      </c>
      <c r="E43" s="152">
        <f t="shared" si="7"/>
        <v>68</v>
      </c>
      <c r="F43" s="279">
        <f>Parametros!$M$54</f>
        <v>41.53846154</v>
      </c>
      <c r="G43" s="152">
        <v>1.0</v>
      </c>
      <c r="H43" s="152">
        <f t="shared" si="8"/>
        <v>41.53846154</v>
      </c>
      <c r="I43" s="275">
        <f t="shared" si="9"/>
        <v>1.637037037</v>
      </c>
      <c r="J43" s="152" t="s">
        <v>158</v>
      </c>
    </row>
    <row r="44" ht="12.0" customHeight="1">
      <c r="A44" s="152" t="s">
        <v>83</v>
      </c>
      <c r="B44" s="159">
        <f>O6+O7+O8+O9+O17+O18+O19+O20</f>
        <v>10292.75</v>
      </c>
      <c r="C44" s="152">
        <f>ROUNDDOWN(B44/Parametros!$B$37,0)</f>
        <v>514</v>
      </c>
      <c r="D44" s="152">
        <f>ROUNDDOWN(C44/Parametros!$J$37,0)</f>
        <v>68</v>
      </c>
      <c r="E44" s="152">
        <f t="shared" si="7"/>
        <v>68</v>
      </c>
      <c r="F44" s="279">
        <f>Parametros!$M$55</f>
        <v>45.81818182</v>
      </c>
      <c r="G44" s="152">
        <v>1.0</v>
      </c>
      <c r="H44" s="152">
        <f t="shared" si="8"/>
        <v>45.81818182</v>
      </c>
      <c r="I44" s="275">
        <f t="shared" si="9"/>
        <v>1.484126984</v>
      </c>
      <c r="J44" s="152" t="s">
        <v>158</v>
      </c>
    </row>
    <row r="45" ht="12.0" customHeight="1">
      <c r="A45" s="152" t="s">
        <v>84</v>
      </c>
      <c r="B45" s="159">
        <f>O6+O7+O8+O9+O17+O18+O19+O20</f>
        <v>10292.75</v>
      </c>
      <c r="C45" s="152">
        <f>ROUNDDOWN(B45/Parametros!$B$37,0)</f>
        <v>514</v>
      </c>
      <c r="D45" s="152">
        <f>ROUNDDOWN(C45/Parametros!$J$37,0)</f>
        <v>68</v>
      </c>
      <c r="E45" s="152">
        <f t="shared" si="7"/>
        <v>68</v>
      </c>
      <c r="F45" s="279">
        <f>Parametros!$M$56</f>
        <v>48.81355932</v>
      </c>
      <c r="G45" s="152">
        <v>1.0</v>
      </c>
      <c r="H45" s="152">
        <f t="shared" si="8"/>
        <v>48.81355932</v>
      </c>
      <c r="I45" s="275">
        <f t="shared" si="9"/>
        <v>1.393055556</v>
      </c>
      <c r="J45" s="152" t="s">
        <v>158</v>
      </c>
    </row>
    <row r="46" ht="12.0" customHeight="1"/>
    <row r="47" ht="12.0" customHeight="1">
      <c r="A47" s="276" t="s">
        <v>1611</v>
      </c>
      <c r="B47" s="277">
        <f t="shared" ref="B47:M47" si="10">SUM(B10:B13)+SUM(B21:B24)</f>
        <v>117.895</v>
      </c>
      <c r="C47" s="277">
        <f t="shared" si="10"/>
        <v>104.025</v>
      </c>
      <c r="D47" s="277">
        <f t="shared" si="10"/>
        <v>124.83</v>
      </c>
      <c r="E47" s="277">
        <f t="shared" si="10"/>
        <v>124.83</v>
      </c>
      <c r="F47" s="277">
        <f t="shared" si="10"/>
        <v>124.83</v>
      </c>
      <c r="G47" s="278">
        <f t="shared" si="10"/>
        <v>110.96</v>
      </c>
      <c r="H47" s="278">
        <f t="shared" si="10"/>
        <v>124.83</v>
      </c>
      <c r="I47" s="278">
        <f t="shared" si="10"/>
        <v>124.83</v>
      </c>
      <c r="J47" s="278">
        <f t="shared" si="10"/>
        <v>117.895</v>
      </c>
      <c r="K47" s="278">
        <f t="shared" si="10"/>
        <v>104.025</v>
      </c>
      <c r="L47" s="278">
        <f t="shared" si="10"/>
        <v>97.09</v>
      </c>
      <c r="M47" s="278">
        <f t="shared" si="10"/>
        <v>110.96</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5.25"/>
    <col customWidth="1" min="2" max="6" width="12.63"/>
  </cols>
  <sheetData>
    <row r="1" ht="12.0" customHeight="1">
      <c r="A1" s="262" t="s">
        <v>1615</v>
      </c>
      <c r="B1" s="263"/>
      <c r="C1" s="263"/>
      <c r="D1" s="263"/>
      <c r="E1" s="263"/>
      <c r="F1" s="263"/>
      <c r="G1" s="263"/>
      <c r="H1" s="263"/>
      <c r="I1" s="263"/>
      <c r="J1" s="263"/>
      <c r="K1" s="263"/>
      <c r="L1" s="263"/>
      <c r="M1" s="263"/>
      <c r="N1" s="264"/>
    </row>
    <row r="2" ht="12.0" customHeight="1">
      <c r="A2" s="265" t="s">
        <v>1591</v>
      </c>
      <c r="B2" s="263"/>
      <c r="C2" s="263"/>
      <c r="D2" s="263"/>
      <c r="E2" s="263"/>
      <c r="F2" s="263"/>
      <c r="G2" s="263"/>
      <c r="H2" s="263"/>
      <c r="I2" s="263"/>
      <c r="J2" s="263"/>
      <c r="K2" s="263"/>
      <c r="L2" s="263"/>
      <c r="M2" s="263"/>
      <c r="N2" s="264"/>
    </row>
    <row r="3" ht="12.0" customHeight="1">
      <c r="A3" s="266" t="s">
        <v>1592</v>
      </c>
      <c r="B3" s="267">
        <v>2032.0</v>
      </c>
      <c r="C3" s="11"/>
      <c r="D3" s="11"/>
      <c r="E3" s="11"/>
      <c r="F3" s="11"/>
      <c r="G3" s="11"/>
      <c r="H3" s="11"/>
      <c r="I3" s="11"/>
      <c r="J3" s="11"/>
      <c r="K3" s="11"/>
      <c r="L3" s="11"/>
      <c r="M3" s="11"/>
      <c r="N3" s="11"/>
      <c r="O3" s="11"/>
    </row>
    <row r="4" ht="12.0" customHeight="1">
      <c r="A4" s="11"/>
      <c r="B4" s="11"/>
      <c r="C4" s="11"/>
      <c r="D4" s="11"/>
      <c r="E4" s="11"/>
      <c r="F4" s="11"/>
      <c r="G4" s="11"/>
      <c r="H4" s="11"/>
      <c r="I4" s="11"/>
      <c r="J4" s="11"/>
      <c r="K4" s="11"/>
      <c r="L4" s="11"/>
      <c r="M4" s="11"/>
      <c r="N4" s="11"/>
      <c r="O4" s="11"/>
    </row>
    <row r="5" ht="12.0" customHeight="1">
      <c r="A5" s="270"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152" t="s">
        <v>34</v>
      </c>
      <c r="B6" s="182">
        <f t="array" ref="B6">INDEX(datos_base!$B$3:$K$10,MATCH($A6,datos_base!$A$3:$A$10,0),MATCH($B$3,datos_base!$B$2:$K$2,0))*INDEX(Parametros!$B$11:$M$26,MATCH($A6,Parametros!$A$11:$A$26,0),MATCH(B$5,Parametros!$B$10:$M$10,0))</f>
        <v>2439.96</v>
      </c>
      <c r="C6" s="182">
        <f t="array" ref="C6">INDEX(datos_base!$B$3:$K$10,MATCH($A6,datos_base!$A$3:$A$10,0),MATCH($B$3,datos_base!$B$2:$K$2,0))*INDEX(Parametros!$B$11:$M$26,MATCH($A6,Parametros!$A$11:$A$26,0),MATCH(C$5,Parametros!$B$10:$M$10,0))</f>
        <v>1829.97</v>
      </c>
      <c r="D6" s="182">
        <f t="array" ref="D6">INDEX(datos_base!$B$3:$K$10,MATCH($A6,datos_base!$A$3:$A$10,0),MATCH($B$3,datos_base!$B$2:$K$2,0))*INDEX(Parametros!$B$11:$M$26,MATCH($A6,Parametros!$A$11:$A$26,0),MATCH(D$5,Parametros!$B$10:$M$10,0))</f>
        <v>1626.64</v>
      </c>
      <c r="E6" s="182">
        <f t="array" ref="E6">INDEX(datos_base!$B$3:$K$10,MATCH($A6,datos_base!$A$3:$A$10,0),MATCH($B$3,datos_base!$B$2:$K$2,0))*INDEX(Parametros!$B$11:$M$26,MATCH($A6,Parametros!$A$11:$A$26,0),MATCH(E$5,Parametros!$B$10:$M$10,0))</f>
        <v>1524.975</v>
      </c>
      <c r="F6" s="182">
        <f t="array" ref="F6">INDEX(datos_base!$B$3:$K$10,MATCH($A6,datos_base!$A$3:$A$10,0),MATCH($B$3,datos_base!$B$2:$K$2,0))*INDEX(Parametros!$B$11:$M$26,MATCH($A6,Parametros!$A$11:$A$26,0),MATCH(F$5,Parametros!$B$10:$M$10,0))</f>
        <v>1423.31</v>
      </c>
      <c r="G6" s="182">
        <f t="array" ref="G6">INDEX(datos_base!$B$3:$K$10,MATCH($A6,datos_base!$A$3:$A$10,0),MATCH($B$3,datos_base!$B$2:$K$2,0))*INDEX(Parametros!$B$11:$M$26,MATCH($A6,Parametros!$A$11:$A$26,0),MATCH(G$5,Parametros!$B$10:$M$10,0))</f>
        <v>1423.31</v>
      </c>
      <c r="H6" s="182">
        <f t="array" ref="H6">INDEX(datos_base!$B$3:$K$10,MATCH($A6,datos_base!$A$3:$A$10,0),MATCH($B$3,datos_base!$B$2:$K$2,0))*INDEX(Parametros!$B$11:$M$26,MATCH($A6,Parametros!$A$11:$A$26,0),MATCH(H$5,Parametros!$B$10:$M$10,0))</f>
        <v>1524.975</v>
      </c>
      <c r="I6" s="182">
        <f t="array" ref="I6">INDEX(datos_base!$B$3:$K$10,MATCH($A6,datos_base!$A$3:$A$10,0),MATCH($B$3,datos_base!$B$2:$K$2,0))*INDEX(Parametros!$B$11:$M$26,MATCH($A6,Parametros!$A$11:$A$26,0),MATCH(I$5,Parametros!$B$10:$M$10,0))</f>
        <v>1524.975</v>
      </c>
      <c r="J6" s="182">
        <f t="array" ref="J6">INDEX(datos_base!$B$3:$K$10,MATCH($A6,datos_base!$A$3:$A$10,0),MATCH($B$3,datos_base!$B$2:$K$2,0))*INDEX(Parametros!$B$11:$M$26,MATCH($A6,Parametros!$A$11:$A$26,0),MATCH(J$5,Parametros!$B$10:$M$10,0))</f>
        <v>1524.975</v>
      </c>
      <c r="K6" s="182">
        <f t="array" ref="K6">INDEX(datos_base!$B$3:$K$10,MATCH($A6,datos_base!$A$3:$A$10,0),MATCH($B$3,datos_base!$B$2:$K$2,0))*INDEX(Parametros!$B$11:$M$26,MATCH($A6,Parametros!$A$11:$A$26,0),MATCH(K$5,Parametros!$B$10:$M$10,0))</f>
        <v>1524.975</v>
      </c>
      <c r="L6" s="182">
        <f t="array" ref="L6">INDEX(datos_base!$B$3:$K$10,MATCH($A6,datos_base!$A$3:$A$10,0),MATCH($B$3,datos_base!$B$2:$K$2,0))*INDEX(Parametros!$B$11:$M$26,MATCH($A6,Parametros!$A$11:$A$26,0),MATCH(L$5,Parametros!$B$10:$M$10,0))</f>
        <v>1524.975</v>
      </c>
      <c r="M6" s="182">
        <f t="array" ref="M6">INDEX(datos_base!$B$3:$K$10,MATCH($A6,datos_base!$A$3:$A$10,0),MATCH($B$3,datos_base!$B$2:$K$2,0))*INDEX(Parametros!$B$11:$M$26,MATCH($A6,Parametros!$A$11:$A$26,0),MATCH(M$5,Parametros!$B$10:$M$10,0))</f>
        <v>2439.96</v>
      </c>
      <c r="N6" s="271">
        <f t="shared" ref="N6:N13" si="1">SUM(B6:M6)</f>
        <v>20333</v>
      </c>
      <c r="O6" s="271">
        <f t="shared" ref="O6:O14" si="2">AVERAGE(B6:M6)</f>
        <v>1694.416667</v>
      </c>
    </row>
    <row r="7" ht="12.0" customHeight="1">
      <c r="A7" s="152" t="s">
        <v>43</v>
      </c>
      <c r="B7" s="182">
        <f t="array" ref="B7">INDEX(datos_base!$B$3:$K$10,MATCH($A7,datos_base!$A$3:$A$10,0),MATCH($B$3,datos_base!$B$2:$K$2,0))*INDEX(Parametros!$B$11:$M$26,MATCH($A7,Parametros!$A$11:$A$26,0),MATCH(B$5,Parametros!$B$10:$M$10,0))</f>
        <v>410.3</v>
      </c>
      <c r="C7" s="182">
        <f t="array" ref="C7">INDEX(datos_base!$B$3:$K$10,MATCH($A7,datos_base!$A$3:$A$10,0),MATCH($B$3,datos_base!$B$2:$K$2,0))*INDEX(Parametros!$B$11:$M$26,MATCH($A7,Parametros!$A$11:$A$26,0),MATCH(C$5,Parametros!$B$10:$M$10,0))</f>
        <v>328.24</v>
      </c>
      <c r="D7" s="182">
        <f t="array" ref="D7">INDEX(datos_base!$B$3:$K$10,MATCH($A7,datos_base!$A$3:$A$10,0),MATCH($B$3,datos_base!$B$2:$K$2,0))*INDEX(Parametros!$B$11:$M$26,MATCH($A7,Parametros!$A$11:$A$26,0),MATCH(D$5,Parametros!$B$10:$M$10,0))</f>
        <v>348.755</v>
      </c>
      <c r="E7" s="182">
        <f t="array" ref="E7">INDEX(datos_base!$B$3:$K$10,MATCH($A7,datos_base!$A$3:$A$10,0),MATCH($B$3,datos_base!$B$2:$K$2,0))*INDEX(Parametros!$B$11:$M$26,MATCH($A7,Parametros!$A$11:$A$26,0),MATCH(E$5,Parametros!$B$10:$M$10,0))</f>
        <v>348.755</v>
      </c>
      <c r="F7" s="182">
        <f t="array" ref="F7">INDEX(datos_base!$B$3:$K$10,MATCH($A7,datos_base!$A$3:$A$10,0),MATCH($B$3,datos_base!$B$2:$K$2,0))*INDEX(Parametros!$B$11:$M$26,MATCH($A7,Parametros!$A$11:$A$26,0),MATCH(F$5,Parametros!$B$10:$M$10,0))</f>
        <v>328.24</v>
      </c>
      <c r="G7" s="182">
        <f t="array" ref="G7">INDEX(datos_base!$B$3:$K$10,MATCH($A7,datos_base!$A$3:$A$10,0),MATCH($B$3,datos_base!$B$2:$K$2,0))*INDEX(Parametros!$B$11:$M$26,MATCH($A7,Parametros!$A$11:$A$26,0),MATCH(G$5,Parametros!$B$10:$M$10,0))</f>
        <v>307.725</v>
      </c>
      <c r="H7" s="182">
        <f t="array" ref="H7">INDEX(datos_base!$B$3:$K$10,MATCH($A7,datos_base!$A$3:$A$10,0),MATCH($B$3,datos_base!$B$2:$K$2,0))*INDEX(Parametros!$B$11:$M$26,MATCH($A7,Parametros!$A$11:$A$26,0),MATCH(H$5,Parametros!$B$10:$M$10,0))</f>
        <v>328.24</v>
      </c>
      <c r="I7" s="182">
        <f t="array" ref="I7">INDEX(datos_base!$B$3:$K$10,MATCH($A7,datos_base!$A$3:$A$10,0),MATCH($B$3,datos_base!$B$2:$K$2,0))*INDEX(Parametros!$B$11:$M$26,MATCH($A7,Parametros!$A$11:$A$26,0),MATCH(I$5,Parametros!$B$10:$M$10,0))</f>
        <v>328.24</v>
      </c>
      <c r="J7" s="182">
        <f t="array" ref="J7">INDEX(datos_base!$B$3:$K$10,MATCH($A7,datos_base!$A$3:$A$10,0),MATCH($B$3,datos_base!$B$2:$K$2,0))*INDEX(Parametros!$B$11:$M$26,MATCH($A7,Parametros!$A$11:$A$26,0),MATCH(J$5,Parametros!$B$10:$M$10,0))</f>
        <v>328.24</v>
      </c>
      <c r="K7" s="182">
        <f t="array" ref="K7">INDEX(datos_base!$B$3:$K$10,MATCH($A7,datos_base!$A$3:$A$10,0),MATCH($B$3,datos_base!$B$2:$K$2,0))*INDEX(Parametros!$B$11:$M$26,MATCH($A7,Parametros!$A$11:$A$26,0),MATCH(K$5,Parametros!$B$10:$M$10,0))</f>
        <v>307.725</v>
      </c>
      <c r="L7" s="182">
        <f t="array" ref="L7">INDEX(datos_base!$B$3:$K$10,MATCH($A7,datos_base!$A$3:$A$10,0),MATCH($B$3,datos_base!$B$2:$K$2,0))*INDEX(Parametros!$B$11:$M$26,MATCH($A7,Parametros!$A$11:$A$26,0),MATCH(L$5,Parametros!$B$10:$M$10,0))</f>
        <v>287.21</v>
      </c>
      <c r="M7" s="182">
        <f t="array" ref="M7">INDEX(datos_base!$B$3:$K$10,MATCH($A7,datos_base!$A$3:$A$10,0),MATCH($B$3,datos_base!$B$2:$K$2,0))*INDEX(Parametros!$B$11:$M$26,MATCH($A7,Parametros!$A$11:$A$26,0),MATCH(M$5,Parametros!$B$10:$M$10,0))</f>
        <v>451.33</v>
      </c>
      <c r="N7" s="271">
        <f t="shared" si="1"/>
        <v>4103</v>
      </c>
      <c r="O7" s="271">
        <f t="shared" si="2"/>
        <v>341.9166667</v>
      </c>
    </row>
    <row r="8" ht="12.0" customHeight="1">
      <c r="A8" s="152" t="s">
        <v>53</v>
      </c>
      <c r="B8" s="182">
        <f t="array" ref="B8">INDEX(datos_base!$B$3:$K$10,MATCH($A8,datos_base!$A$3:$A$10,0),MATCH($B$3,datos_base!$B$2:$K$2,0))*INDEX(Parametros!$B$11:$M$26,MATCH($A8,Parametros!$A$11:$A$26,0),MATCH(B$5,Parametros!$B$10:$M$10,0))</f>
        <v>1887.8</v>
      </c>
      <c r="C8" s="182">
        <f t="array" ref="C8">INDEX(datos_base!$B$3:$K$10,MATCH($A8,datos_base!$A$3:$A$10,0),MATCH($B$3,datos_base!$B$2:$K$2,0))*INDEX(Parametros!$B$11:$M$26,MATCH($A8,Parametros!$A$11:$A$26,0),MATCH(C$5,Parametros!$B$10:$M$10,0))</f>
        <v>1510.24</v>
      </c>
      <c r="D8" s="182">
        <f t="array" ref="D8">INDEX(datos_base!$B$3:$K$10,MATCH($A8,datos_base!$A$3:$A$10,0),MATCH($B$3,datos_base!$B$2:$K$2,0))*INDEX(Parametros!$B$11:$M$26,MATCH($A8,Parametros!$A$11:$A$26,0),MATCH(D$5,Parametros!$B$10:$M$10,0))</f>
        <v>1604.63</v>
      </c>
      <c r="E8" s="182">
        <f t="array" ref="E8">INDEX(datos_base!$B$3:$K$10,MATCH($A8,datos_base!$A$3:$A$10,0),MATCH($B$3,datos_base!$B$2:$K$2,0))*INDEX(Parametros!$B$11:$M$26,MATCH($A8,Parametros!$A$11:$A$26,0),MATCH(E$5,Parametros!$B$10:$M$10,0))</f>
        <v>1604.63</v>
      </c>
      <c r="F8" s="182">
        <f t="array" ref="F8">INDEX(datos_base!$B$3:$K$10,MATCH($A8,datos_base!$A$3:$A$10,0),MATCH($B$3,datos_base!$B$2:$K$2,0))*INDEX(Parametros!$B$11:$M$26,MATCH($A8,Parametros!$A$11:$A$26,0),MATCH(F$5,Parametros!$B$10:$M$10,0))</f>
        <v>1510.24</v>
      </c>
      <c r="G8" s="182">
        <f t="array" ref="G8">INDEX(datos_base!$B$3:$K$10,MATCH($A8,datos_base!$A$3:$A$10,0),MATCH($B$3,datos_base!$B$2:$K$2,0))*INDEX(Parametros!$B$11:$M$26,MATCH($A8,Parametros!$A$11:$A$26,0),MATCH(G$5,Parametros!$B$10:$M$10,0))</f>
        <v>1415.85</v>
      </c>
      <c r="H8" s="182">
        <f t="array" ref="H8">INDEX(datos_base!$B$3:$K$10,MATCH($A8,datos_base!$A$3:$A$10,0),MATCH($B$3,datos_base!$B$2:$K$2,0))*INDEX(Parametros!$B$11:$M$26,MATCH($A8,Parametros!$A$11:$A$26,0),MATCH(H$5,Parametros!$B$10:$M$10,0))</f>
        <v>1510.24</v>
      </c>
      <c r="I8" s="182">
        <f t="array" ref="I8">INDEX(datos_base!$B$3:$K$10,MATCH($A8,datos_base!$A$3:$A$10,0),MATCH($B$3,datos_base!$B$2:$K$2,0))*INDEX(Parametros!$B$11:$M$26,MATCH($A8,Parametros!$A$11:$A$26,0),MATCH(I$5,Parametros!$B$10:$M$10,0))</f>
        <v>1510.24</v>
      </c>
      <c r="J8" s="182">
        <f t="array" ref="J8">INDEX(datos_base!$B$3:$K$10,MATCH($A8,datos_base!$A$3:$A$10,0),MATCH($B$3,datos_base!$B$2:$K$2,0))*INDEX(Parametros!$B$11:$M$26,MATCH($A8,Parametros!$A$11:$A$26,0),MATCH(J$5,Parametros!$B$10:$M$10,0))</f>
        <v>1510.24</v>
      </c>
      <c r="K8" s="182">
        <f t="array" ref="K8">INDEX(datos_base!$B$3:$K$10,MATCH($A8,datos_base!$A$3:$A$10,0),MATCH($B$3,datos_base!$B$2:$K$2,0))*INDEX(Parametros!$B$11:$M$26,MATCH($A8,Parametros!$A$11:$A$26,0),MATCH(K$5,Parametros!$B$10:$M$10,0))</f>
        <v>1415.85</v>
      </c>
      <c r="L8" s="182">
        <f t="array" ref="L8">INDEX(datos_base!$B$3:$K$10,MATCH($A8,datos_base!$A$3:$A$10,0),MATCH($B$3,datos_base!$B$2:$K$2,0))*INDEX(Parametros!$B$11:$M$26,MATCH($A8,Parametros!$A$11:$A$26,0),MATCH(L$5,Parametros!$B$10:$M$10,0))</f>
        <v>1321.46</v>
      </c>
      <c r="M8" s="182">
        <f t="array" ref="M8">INDEX(datos_base!$B$3:$K$10,MATCH($A8,datos_base!$A$3:$A$10,0),MATCH($B$3,datos_base!$B$2:$K$2,0))*INDEX(Parametros!$B$11:$M$26,MATCH($A8,Parametros!$A$11:$A$26,0),MATCH(M$5,Parametros!$B$10:$M$10,0))</f>
        <v>2076.58</v>
      </c>
      <c r="N8" s="271">
        <f t="shared" si="1"/>
        <v>18878</v>
      </c>
      <c r="O8" s="271">
        <f t="shared" si="2"/>
        <v>1573.166667</v>
      </c>
    </row>
    <row r="9" ht="12.0" customHeight="1">
      <c r="A9" s="152" t="s">
        <v>59</v>
      </c>
      <c r="B9" s="182">
        <f t="array" ref="B9">INDEX(datos_base!$B$3:$K$10,MATCH($A9,datos_base!$A$3:$A$10,0),MATCH($B$3,datos_base!$B$2:$K$2,0))*INDEX(Parametros!$B$11:$M$26,MATCH($A9,Parametros!$A$11:$A$26,0),MATCH(B$5,Parametros!$B$10:$M$10,0))</f>
        <v>112.7</v>
      </c>
      <c r="C9" s="182">
        <f t="array" ref="C9">INDEX(datos_base!$B$3:$K$10,MATCH($A9,datos_base!$A$3:$A$10,0),MATCH($B$3,datos_base!$B$2:$K$2,0))*INDEX(Parametros!$B$11:$M$26,MATCH($A9,Parametros!$A$11:$A$26,0),MATCH(C$5,Parametros!$B$10:$M$10,0))</f>
        <v>90.16</v>
      </c>
      <c r="D9" s="182">
        <f t="array" ref="D9">INDEX(datos_base!$B$3:$K$10,MATCH($A9,datos_base!$A$3:$A$10,0),MATCH($B$3,datos_base!$B$2:$K$2,0))*INDEX(Parametros!$B$11:$M$26,MATCH($A9,Parametros!$A$11:$A$26,0),MATCH(D$5,Parametros!$B$10:$M$10,0))</f>
        <v>95.795</v>
      </c>
      <c r="E9" s="182">
        <f t="array" ref="E9">INDEX(datos_base!$B$3:$K$10,MATCH($A9,datos_base!$A$3:$A$10,0),MATCH($B$3,datos_base!$B$2:$K$2,0))*INDEX(Parametros!$B$11:$M$26,MATCH($A9,Parametros!$A$11:$A$26,0),MATCH(E$5,Parametros!$B$10:$M$10,0))</f>
        <v>95.795</v>
      </c>
      <c r="F9" s="182">
        <f t="array" ref="F9">INDEX(datos_base!$B$3:$K$10,MATCH($A9,datos_base!$A$3:$A$10,0),MATCH($B$3,datos_base!$B$2:$K$2,0))*INDEX(Parametros!$B$11:$M$26,MATCH($A9,Parametros!$A$11:$A$26,0),MATCH(F$5,Parametros!$B$10:$M$10,0))</f>
        <v>90.16</v>
      </c>
      <c r="G9" s="182">
        <f t="array" ref="G9">INDEX(datos_base!$B$3:$K$10,MATCH($A9,datos_base!$A$3:$A$10,0),MATCH($B$3,datos_base!$B$2:$K$2,0))*INDEX(Parametros!$B$11:$M$26,MATCH($A9,Parametros!$A$11:$A$26,0),MATCH(G$5,Parametros!$B$10:$M$10,0))</f>
        <v>84.525</v>
      </c>
      <c r="H9" s="182">
        <f t="array" ref="H9">INDEX(datos_base!$B$3:$K$10,MATCH($A9,datos_base!$A$3:$A$10,0),MATCH($B$3,datos_base!$B$2:$K$2,0))*INDEX(Parametros!$B$11:$M$26,MATCH($A9,Parametros!$A$11:$A$26,0),MATCH(H$5,Parametros!$B$10:$M$10,0))</f>
        <v>90.16</v>
      </c>
      <c r="I9" s="182">
        <f t="array" ref="I9">INDEX(datos_base!$B$3:$K$10,MATCH($A9,datos_base!$A$3:$A$10,0),MATCH($B$3,datos_base!$B$2:$K$2,0))*INDEX(Parametros!$B$11:$M$26,MATCH($A9,Parametros!$A$11:$A$26,0),MATCH(I$5,Parametros!$B$10:$M$10,0))</f>
        <v>90.16</v>
      </c>
      <c r="J9" s="182">
        <f t="array" ref="J9">INDEX(datos_base!$B$3:$K$10,MATCH($A9,datos_base!$A$3:$A$10,0),MATCH($B$3,datos_base!$B$2:$K$2,0))*INDEX(Parametros!$B$11:$M$26,MATCH($A9,Parametros!$A$11:$A$26,0),MATCH(J$5,Parametros!$B$10:$M$10,0))</f>
        <v>90.16</v>
      </c>
      <c r="K9" s="182">
        <f t="array" ref="K9">INDEX(datos_base!$B$3:$K$10,MATCH($A9,datos_base!$A$3:$A$10,0),MATCH($B$3,datos_base!$B$2:$K$2,0))*INDEX(Parametros!$B$11:$M$26,MATCH($A9,Parametros!$A$11:$A$26,0),MATCH(K$5,Parametros!$B$10:$M$10,0))</f>
        <v>84.525</v>
      </c>
      <c r="L9" s="182">
        <f t="array" ref="L9">INDEX(datos_base!$B$3:$K$10,MATCH($A9,datos_base!$A$3:$A$10,0),MATCH($B$3,datos_base!$B$2:$K$2,0))*INDEX(Parametros!$B$11:$M$26,MATCH($A9,Parametros!$A$11:$A$26,0),MATCH(L$5,Parametros!$B$10:$M$10,0))</f>
        <v>78.89</v>
      </c>
      <c r="M9" s="182">
        <f t="array" ref="M9">INDEX(datos_base!$B$3:$K$10,MATCH($A9,datos_base!$A$3:$A$10,0),MATCH($B$3,datos_base!$B$2:$K$2,0))*INDEX(Parametros!$B$11:$M$26,MATCH($A9,Parametros!$A$11:$A$26,0),MATCH(M$5,Parametros!$B$10:$M$10,0))</f>
        <v>123.97</v>
      </c>
      <c r="N9" s="271">
        <f t="shared" si="1"/>
        <v>1127</v>
      </c>
      <c r="O9" s="271">
        <f t="shared" si="2"/>
        <v>93.91666667</v>
      </c>
    </row>
    <row r="10" ht="12.0" customHeight="1">
      <c r="A10" s="152" t="s">
        <v>75</v>
      </c>
      <c r="B10" s="182">
        <f t="array" ref="B10">INDEX(datos_base!$B$3:$K$10,MATCH($A10,datos_base!$A$3:$A$10,0),MATCH($B$3,datos_base!$B$2:$K$2,0))*INDEX(Parametros!$B$11:$M$26,MATCH($A10,Parametros!$A$11:$A$26,0),MATCH(B$5,Parametros!$B$10:$M$10,0))</f>
        <v>23.205</v>
      </c>
      <c r="C10" s="182">
        <f t="array" ref="C10">INDEX(datos_base!$B$3:$K$10,MATCH($A10,datos_base!$A$3:$A$10,0),MATCH($B$3,datos_base!$B$2:$K$2,0))*INDEX(Parametros!$B$11:$M$26,MATCH($A10,Parametros!$A$11:$A$26,0),MATCH(C$5,Parametros!$B$10:$M$10,0))</f>
        <v>20.475</v>
      </c>
      <c r="D10" s="182">
        <f t="array" ref="D10">INDEX(datos_base!$B$3:$K$10,MATCH($A10,datos_base!$A$3:$A$10,0),MATCH($B$3,datos_base!$B$2:$K$2,0))*INDEX(Parametros!$B$11:$M$26,MATCH($A10,Parametros!$A$11:$A$26,0),MATCH(D$5,Parametros!$B$10:$M$10,0))</f>
        <v>24.57</v>
      </c>
      <c r="E10" s="182">
        <f t="array" ref="E10">INDEX(datos_base!$B$3:$K$10,MATCH($A10,datos_base!$A$3:$A$10,0),MATCH($B$3,datos_base!$B$2:$K$2,0))*INDEX(Parametros!$B$11:$M$26,MATCH($A10,Parametros!$A$11:$A$26,0),MATCH(E$5,Parametros!$B$10:$M$10,0))</f>
        <v>24.57</v>
      </c>
      <c r="F10" s="182">
        <f t="array" ref="F10">INDEX(datos_base!$B$3:$K$10,MATCH($A10,datos_base!$A$3:$A$10,0),MATCH($B$3,datos_base!$B$2:$K$2,0))*INDEX(Parametros!$B$11:$M$26,MATCH($A10,Parametros!$A$11:$A$26,0),MATCH(F$5,Parametros!$B$10:$M$10,0))</f>
        <v>24.57</v>
      </c>
      <c r="G10" s="182">
        <f t="array" ref="G10">INDEX(datos_base!$B$3:$K$10,MATCH($A10,datos_base!$A$3:$A$10,0),MATCH($B$3,datos_base!$B$2:$K$2,0))*INDEX(Parametros!$B$11:$M$26,MATCH($A10,Parametros!$A$11:$A$26,0),MATCH(G$5,Parametros!$B$10:$M$10,0))</f>
        <v>21.84</v>
      </c>
      <c r="H10" s="182">
        <f t="array" ref="H10">INDEX(datos_base!$B$3:$K$10,MATCH($A10,datos_base!$A$3:$A$10,0),MATCH($B$3,datos_base!$B$2:$K$2,0))*INDEX(Parametros!$B$11:$M$26,MATCH($A10,Parametros!$A$11:$A$26,0),MATCH(H$5,Parametros!$B$10:$M$10,0))</f>
        <v>24.57</v>
      </c>
      <c r="I10" s="182">
        <f t="array" ref="I10">INDEX(datos_base!$B$3:$K$10,MATCH($A10,datos_base!$A$3:$A$10,0),MATCH($B$3,datos_base!$B$2:$K$2,0))*INDEX(Parametros!$B$11:$M$26,MATCH($A10,Parametros!$A$11:$A$26,0),MATCH(I$5,Parametros!$B$10:$M$10,0))</f>
        <v>24.57</v>
      </c>
      <c r="J10" s="182">
        <f t="array" ref="J10">INDEX(datos_base!$B$3:$K$10,MATCH($A10,datos_base!$A$3:$A$10,0),MATCH($B$3,datos_base!$B$2:$K$2,0))*INDEX(Parametros!$B$11:$M$26,MATCH($A10,Parametros!$A$11:$A$26,0),MATCH(J$5,Parametros!$B$10:$M$10,0))</f>
        <v>23.205</v>
      </c>
      <c r="K10" s="182">
        <f t="array" ref="K10">INDEX(datos_base!$B$3:$K$10,MATCH($A10,datos_base!$A$3:$A$10,0),MATCH($B$3,datos_base!$B$2:$K$2,0))*INDEX(Parametros!$B$11:$M$26,MATCH($A10,Parametros!$A$11:$A$26,0),MATCH(K$5,Parametros!$B$10:$M$10,0))</f>
        <v>20.475</v>
      </c>
      <c r="L10" s="182">
        <f t="array" ref="L10">INDEX(datos_base!$B$3:$K$10,MATCH($A10,datos_base!$A$3:$A$10,0),MATCH($B$3,datos_base!$B$2:$K$2,0))*INDEX(Parametros!$B$11:$M$26,MATCH($A10,Parametros!$A$11:$A$26,0),MATCH(L$5,Parametros!$B$10:$M$10,0))</f>
        <v>19.11</v>
      </c>
      <c r="M10" s="182">
        <f t="array" ref="M10">INDEX(datos_base!$B$3:$K$10,MATCH($A10,datos_base!$A$3:$A$10,0),MATCH($B$3,datos_base!$B$2:$K$2,0))*INDEX(Parametros!$B$11:$M$26,MATCH($A10,Parametros!$A$11:$A$26,0),MATCH(M$5,Parametros!$B$10:$M$10,0))</f>
        <v>21.84</v>
      </c>
      <c r="N10" s="271">
        <f t="shared" si="1"/>
        <v>273</v>
      </c>
      <c r="O10" s="271">
        <f t="shared" si="2"/>
        <v>22.75</v>
      </c>
    </row>
    <row r="11" ht="12.0" customHeight="1">
      <c r="A11" s="152" t="s">
        <v>86</v>
      </c>
      <c r="B11" s="182">
        <f t="array" ref="B11">INDEX(datos_base!$B$3:$K$10,MATCH($A11,datos_base!$A$3:$A$10,0),MATCH($B$3,datos_base!$B$2:$K$2,0))*INDEX(Parametros!$B$11:$M$26,MATCH($A11,Parametros!$A$11:$A$26,0),MATCH(B$5,Parametros!$B$10:$M$10,0))</f>
        <v>50.915</v>
      </c>
      <c r="C11" s="182">
        <f t="array" ref="C11">INDEX(datos_base!$B$3:$K$10,MATCH($A11,datos_base!$A$3:$A$10,0),MATCH($B$3,datos_base!$B$2:$K$2,0))*INDEX(Parametros!$B$11:$M$26,MATCH($A11,Parametros!$A$11:$A$26,0),MATCH(C$5,Parametros!$B$10:$M$10,0))</f>
        <v>44.925</v>
      </c>
      <c r="D11" s="182">
        <f t="array" ref="D11">INDEX(datos_base!$B$3:$K$10,MATCH($A11,datos_base!$A$3:$A$10,0),MATCH($B$3,datos_base!$B$2:$K$2,0))*INDEX(Parametros!$B$11:$M$26,MATCH($A11,Parametros!$A$11:$A$26,0),MATCH(D$5,Parametros!$B$10:$M$10,0))</f>
        <v>53.91</v>
      </c>
      <c r="E11" s="182">
        <f t="array" ref="E11">INDEX(datos_base!$B$3:$K$10,MATCH($A11,datos_base!$A$3:$A$10,0),MATCH($B$3,datos_base!$B$2:$K$2,0))*INDEX(Parametros!$B$11:$M$26,MATCH($A11,Parametros!$A$11:$A$26,0),MATCH(E$5,Parametros!$B$10:$M$10,0))</f>
        <v>53.91</v>
      </c>
      <c r="F11" s="182">
        <f t="array" ref="F11">INDEX(datos_base!$B$3:$K$10,MATCH($A11,datos_base!$A$3:$A$10,0),MATCH($B$3,datos_base!$B$2:$K$2,0))*INDEX(Parametros!$B$11:$M$26,MATCH($A11,Parametros!$A$11:$A$26,0),MATCH(F$5,Parametros!$B$10:$M$10,0))</f>
        <v>53.91</v>
      </c>
      <c r="G11" s="182">
        <f t="array" ref="G11">INDEX(datos_base!$B$3:$K$10,MATCH($A11,datos_base!$A$3:$A$10,0),MATCH($B$3,datos_base!$B$2:$K$2,0))*INDEX(Parametros!$B$11:$M$26,MATCH($A11,Parametros!$A$11:$A$26,0),MATCH(G$5,Parametros!$B$10:$M$10,0))</f>
        <v>47.92</v>
      </c>
      <c r="H11" s="182">
        <f t="array" ref="H11">INDEX(datos_base!$B$3:$K$10,MATCH($A11,datos_base!$A$3:$A$10,0),MATCH($B$3,datos_base!$B$2:$K$2,0))*INDEX(Parametros!$B$11:$M$26,MATCH($A11,Parametros!$A$11:$A$26,0),MATCH(H$5,Parametros!$B$10:$M$10,0))</f>
        <v>53.91</v>
      </c>
      <c r="I11" s="182">
        <f t="array" ref="I11">INDEX(datos_base!$B$3:$K$10,MATCH($A11,datos_base!$A$3:$A$10,0),MATCH($B$3,datos_base!$B$2:$K$2,0))*INDEX(Parametros!$B$11:$M$26,MATCH($A11,Parametros!$A$11:$A$26,0),MATCH(I$5,Parametros!$B$10:$M$10,0))</f>
        <v>53.91</v>
      </c>
      <c r="J11" s="182">
        <f t="array" ref="J11">INDEX(datos_base!$B$3:$K$10,MATCH($A11,datos_base!$A$3:$A$10,0),MATCH($B$3,datos_base!$B$2:$K$2,0))*INDEX(Parametros!$B$11:$M$26,MATCH($A11,Parametros!$A$11:$A$26,0),MATCH(J$5,Parametros!$B$10:$M$10,0))</f>
        <v>50.915</v>
      </c>
      <c r="K11" s="182">
        <f t="array" ref="K11">INDEX(datos_base!$B$3:$K$10,MATCH($A11,datos_base!$A$3:$A$10,0),MATCH($B$3,datos_base!$B$2:$K$2,0))*INDEX(Parametros!$B$11:$M$26,MATCH($A11,Parametros!$A$11:$A$26,0),MATCH(K$5,Parametros!$B$10:$M$10,0))</f>
        <v>44.925</v>
      </c>
      <c r="L11" s="182">
        <f t="array" ref="L11">INDEX(datos_base!$B$3:$K$10,MATCH($A11,datos_base!$A$3:$A$10,0),MATCH($B$3,datos_base!$B$2:$K$2,0))*INDEX(Parametros!$B$11:$M$26,MATCH($A11,Parametros!$A$11:$A$26,0),MATCH(L$5,Parametros!$B$10:$M$10,0))</f>
        <v>41.93</v>
      </c>
      <c r="M11" s="182">
        <f t="array" ref="M11">INDEX(datos_base!$B$3:$K$10,MATCH($A11,datos_base!$A$3:$A$10,0),MATCH($B$3,datos_base!$B$2:$K$2,0))*INDEX(Parametros!$B$11:$M$26,MATCH($A11,Parametros!$A$11:$A$26,0),MATCH(M$5,Parametros!$B$10:$M$10,0))</f>
        <v>47.92</v>
      </c>
      <c r="N11" s="271">
        <f t="shared" si="1"/>
        <v>599</v>
      </c>
      <c r="O11" s="271">
        <f t="shared" si="2"/>
        <v>49.91666667</v>
      </c>
    </row>
    <row r="12" ht="12.0" customHeight="1">
      <c r="A12" s="152" t="s">
        <v>95</v>
      </c>
      <c r="B12" s="182">
        <f t="array" ref="B12">INDEX(datos_base!$B$3:$K$10,MATCH($A12,datos_base!$A$3:$A$10,0),MATCH($B$3,datos_base!$B$2:$K$2,0))*INDEX(Parametros!$B$11:$M$26,MATCH($A12,Parametros!$A$11:$A$26,0),MATCH(B$5,Parametros!$B$10:$M$10,0))</f>
        <v>11.135</v>
      </c>
      <c r="C12" s="182">
        <f t="array" ref="C12">INDEX(datos_base!$B$3:$K$10,MATCH($A12,datos_base!$A$3:$A$10,0),MATCH($B$3,datos_base!$B$2:$K$2,0))*INDEX(Parametros!$B$11:$M$26,MATCH($A12,Parametros!$A$11:$A$26,0),MATCH(C$5,Parametros!$B$10:$M$10,0))</f>
        <v>9.825</v>
      </c>
      <c r="D12" s="182">
        <f t="array" ref="D12">INDEX(datos_base!$B$3:$K$10,MATCH($A12,datos_base!$A$3:$A$10,0),MATCH($B$3,datos_base!$B$2:$K$2,0))*INDEX(Parametros!$B$11:$M$26,MATCH($A12,Parametros!$A$11:$A$26,0),MATCH(D$5,Parametros!$B$10:$M$10,0))</f>
        <v>11.79</v>
      </c>
      <c r="E12" s="182">
        <f t="array" ref="E12">INDEX(datos_base!$B$3:$K$10,MATCH($A12,datos_base!$A$3:$A$10,0),MATCH($B$3,datos_base!$B$2:$K$2,0))*INDEX(Parametros!$B$11:$M$26,MATCH($A12,Parametros!$A$11:$A$26,0),MATCH(E$5,Parametros!$B$10:$M$10,0))</f>
        <v>11.79</v>
      </c>
      <c r="F12" s="182">
        <f t="array" ref="F12">INDEX(datos_base!$B$3:$K$10,MATCH($A12,datos_base!$A$3:$A$10,0),MATCH($B$3,datos_base!$B$2:$K$2,0))*INDEX(Parametros!$B$11:$M$26,MATCH($A12,Parametros!$A$11:$A$26,0),MATCH(F$5,Parametros!$B$10:$M$10,0))</f>
        <v>11.79</v>
      </c>
      <c r="G12" s="182">
        <f t="array" ref="G12">INDEX(datos_base!$B$3:$K$10,MATCH($A12,datos_base!$A$3:$A$10,0),MATCH($B$3,datos_base!$B$2:$K$2,0))*INDEX(Parametros!$B$11:$M$26,MATCH($A12,Parametros!$A$11:$A$26,0),MATCH(G$5,Parametros!$B$10:$M$10,0))</f>
        <v>10.48</v>
      </c>
      <c r="H12" s="182">
        <f t="array" ref="H12">INDEX(datos_base!$B$3:$K$10,MATCH($A12,datos_base!$A$3:$A$10,0),MATCH($B$3,datos_base!$B$2:$K$2,0))*INDEX(Parametros!$B$11:$M$26,MATCH($A12,Parametros!$A$11:$A$26,0),MATCH(H$5,Parametros!$B$10:$M$10,0))</f>
        <v>11.79</v>
      </c>
      <c r="I12" s="182">
        <f t="array" ref="I12">INDEX(datos_base!$B$3:$K$10,MATCH($A12,datos_base!$A$3:$A$10,0),MATCH($B$3,datos_base!$B$2:$K$2,0))*INDEX(Parametros!$B$11:$M$26,MATCH($A12,Parametros!$A$11:$A$26,0),MATCH(I$5,Parametros!$B$10:$M$10,0))</f>
        <v>11.79</v>
      </c>
      <c r="J12" s="182">
        <f t="array" ref="J12">INDEX(datos_base!$B$3:$K$10,MATCH($A12,datos_base!$A$3:$A$10,0),MATCH($B$3,datos_base!$B$2:$K$2,0))*INDEX(Parametros!$B$11:$M$26,MATCH($A12,Parametros!$A$11:$A$26,0),MATCH(J$5,Parametros!$B$10:$M$10,0))</f>
        <v>11.135</v>
      </c>
      <c r="K12" s="182">
        <f t="array" ref="K12">INDEX(datos_base!$B$3:$K$10,MATCH($A12,datos_base!$A$3:$A$10,0),MATCH($B$3,datos_base!$B$2:$K$2,0))*INDEX(Parametros!$B$11:$M$26,MATCH($A12,Parametros!$A$11:$A$26,0),MATCH(K$5,Parametros!$B$10:$M$10,0))</f>
        <v>9.825</v>
      </c>
      <c r="L12" s="182">
        <f t="array" ref="L12">INDEX(datos_base!$B$3:$K$10,MATCH($A12,datos_base!$A$3:$A$10,0),MATCH($B$3,datos_base!$B$2:$K$2,0))*INDEX(Parametros!$B$11:$M$26,MATCH($A12,Parametros!$A$11:$A$26,0),MATCH(L$5,Parametros!$B$10:$M$10,0))</f>
        <v>9.17</v>
      </c>
      <c r="M12" s="182">
        <f t="array" ref="M12">INDEX(datos_base!$B$3:$K$10,MATCH($A12,datos_base!$A$3:$A$10,0),MATCH($B$3,datos_base!$B$2:$K$2,0))*INDEX(Parametros!$B$11:$M$26,MATCH($A12,Parametros!$A$11:$A$26,0),MATCH(M$5,Parametros!$B$10:$M$10,0))</f>
        <v>10.48</v>
      </c>
      <c r="N12" s="271">
        <f t="shared" si="1"/>
        <v>131</v>
      </c>
      <c r="O12" s="271">
        <f t="shared" si="2"/>
        <v>10.91666667</v>
      </c>
    </row>
    <row r="13" ht="12.0" customHeight="1">
      <c r="A13" s="152" t="s">
        <v>100</v>
      </c>
      <c r="B13" s="182">
        <f t="array" ref="B13">INDEX(datos_base!$B$3:$K$10,MATCH($A13,datos_base!$A$3:$A$10,0),MATCH($B$3,datos_base!$B$2:$K$2,0))*INDEX(Parametros!$B$11:$M$26,MATCH($A13,Parametros!$A$11:$A$26,0),MATCH(B$5,Parametros!$B$10:$M$10,0))</f>
        <v>7.395</v>
      </c>
      <c r="C13" s="182">
        <f t="array" ref="C13">INDEX(datos_base!$B$3:$K$10,MATCH($A13,datos_base!$A$3:$A$10,0),MATCH($B$3,datos_base!$B$2:$K$2,0))*INDEX(Parametros!$B$11:$M$26,MATCH($A13,Parametros!$A$11:$A$26,0),MATCH(C$5,Parametros!$B$10:$M$10,0))</f>
        <v>6.525</v>
      </c>
      <c r="D13" s="182">
        <f t="array" ref="D13">INDEX(datos_base!$B$3:$K$10,MATCH($A13,datos_base!$A$3:$A$10,0),MATCH($B$3,datos_base!$B$2:$K$2,0))*INDEX(Parametros!$B$11:$M$26,MATCH($A13,Parametros!$A$11:$A$26,0),MATCH(D$5,Parametros!$B$10:$M$10,0))</f>
        <v>7.83</v>
      </c>
      <c r="E13" s="182">
        <f t="array" ref="E13">INDEX(datos_base!$B$3:$K$10,MATCH($A13,datos_base!$A$3:$A$10,0),MATCH($B$3,datos_base!$B$2:$K$2,0))*INDEX(Parametros!$B$11:$M$26,MATCH($A13,Parametros!$A$11:$A$26,0),MATCH(E$5,Parametros!$B$10:$M$10,0))</f>
        <v>7.83</v>
      </c>
      <c r="F13" s="182">
        <f t="array" ref="F13">INDEX(datos_base!$B$3:$K$10,MATCH($A13,datos_base!$A$3:$A$10,0),MATCH($B$3,datos_base!$B$2:$K$2,0))*INDEX(Parametros!$B$11:$M$26,MATCH($A13,Parametros!$A$11:$A$26,0),MATCH(F$5,Parametros!$B$10:$M$10,0))</f>
        <v>7.83</v>
      </c>
      <c r="G13" s="182">
        <f t="array" ref="G13">INDEX(datos_base!$B$3:$K$10,MATCH($A13,datos_base!$A$3:$A$10,0),MATCH($B$3,datos_base!$B$2:$K$2,0))*INDEX(Parametros!$B$11:$M$26,MATCH($A13,Parametros!$A$11:$A$26,0),MATCH(G$5,Parametros!$B$10:$M$10,0))</f>
        <v>6.96</v>
      </c>
      <c r="H13" s="182">
        <f t="array" ref="H13">INDEX(datos_base!$B$3:$K$10,MATCH($A13,datos_base!$A$3:$A$10,0),MATCH($B$3,datos_base!$B$2:$K$2,0))*INDEX(Parametros!$B$11:$M$26,MATCH($A13,Parametros!$A$11:$A$26,0),MATCH(H$5,Parametros!$B$10:$M$10,0))</f>
        <v>7.83</v>
      </c>
      <c r="I13" s="182">
        <f t="array" ref="I13">INDEX(datos_base!$B$3:$K$10,MATCH($A13,datos_base!$A$3:$A$10,0),MATCH($B$3,datos_base!$B$2:$K$2,0))*INDEX(Parametros!$B$11:$M$26,MATCH($A13,Parametros!$A$11:$A$26,0),MATCH(I$5,Parametros!$B$10:$M$10,0))</f>
        <v>7.83</v>
      </c>
      <c r="J13" s="182">
        <f t="array" ref="J13">INDEX(datos_base!$B$3:$K$10,MATCH($A13,datos_base!$A$3:$A$10,0),MATCH($B$3,datos_base!$B$2:$K$2,0))*INDEX(Parametros!$B$11:$M$26,MATCH($A13,Parametros!$A$11:$A$26,0),MATCH(J$5,Parametros!$B$10:$M$10,0))</f>
        <v>7.395</v>
      </c>
      <c r="K13" s="182">
        <f t="array" ref="K13">INDEX(datos_base!$B$3:$K$10,MATCH($A13,datos_base!$A$3:$A$10,0),MATCH($B$3,datos_base!$B$2:$K$2,0))*INDEX(Parametros!$B$11:$M$26,MATCH($A13,Parametros!$A$11:$A$26,0),MATCH(K$5,Parametros!$B$10:$M$10,0))</f>
        <v>6.525</v>
      </c>
      <c r="L13" s="182">
        <f t="array" ref="L13">INDEX(datos_base!$B$3:$K$10,MATCH($A13,datos_base!$A$3:$A$10,0),MATCH($B$3,datos_base!$B$2:$K$2,0))*INDEX(Parametros!$B$11:$M$26,MATCH($A13,Parametros!$A$11:$A$26,0),MATCH(L$5,Parametros!$B$10:$M$10,0))</f>
        <v>6.09</v>
      </c>
      <c r="M13" s="182">
        <f t="array" ref="M13">INDEX(datos_base!$B$3:$K$10,MATCH($A13,datos_base!$A$3:$A$10,0),MATCH($B$3,datos_base!$B$2:$K$2,0))*INDEX(Parametros!$B$11:$M$26,MATCH($A13,Parametros!$A$11:$A$26,0),MATCH(M$5,Parametros!$B$10:$M$10,0))</f>
        <v>6.96</v>
      </c>
      <c r="N13" s="271">
        <f t="shared" si="1"/>
        <v>87</v>
      </c>
      <c r="O13" s="271">
        <f t="shared" si="2"/>
        <v>7.25</v>
      </c>
    </row>
    <row r="14" ht="12.0" customHeight="1">
      <c r="A14" s="272" t="s">
        <v>420</v>
      </c>
      <c r="B14" s="273">
        <f t="shared" ref="B14:N14" si="3">SUM(B6:B13)</f>
        <v>4943.41</v>
      </c>
      <c r="C14" s="273">
        <f t="shared" si="3"/>
        <v>3840.36</v>
      </c>
      <c r="D14" s="273">
        <f t="shared" si="3"/>
        <v>3773.92</v>
      </c>
      <c r="E14" s="273">
        <f t="shared" si="3"/>
        <v>3672.255</v>
      </c>
      <c r="F14" s="273">
        <f t="shared" si="3"/>
        <v>3450.05</v>
      </c>
      <c r="G14" s="273">
        <f t="shared" si="3"/>
        <v>3318.61</v>
      </c>
      <c r="H14" s="273">
        <f t="shared" si="3"/>
        <v>3551.715</v>
      </c>
      <c r="I14" s="273">
        <f t="shared" si="3"/>
        <v>3551.715</v>
      </c>
      <c r="J14" s="273">
        <f t="shared" si="3"/>
        <v>3546.265</v>
      </c>
      <c r="K14" s="273">
        <f t="shared" si="3"/>
        <v>3414.825</v>
      </c>
      <c r="L14" s="273">
        <f t="shared" si="3"/>
        <v>3288.835</v>
      </c>
      <c r="M14" s="273">
        <f t="shared" si="3"/>
        <v>5179.04</v>
      </c>
      <c r="N14" s="273">
        <f t="shared" si="3"/>
        <v>45531</v>
      </c>
      <c r="O14" s="273">
        <f t="shared" si="2"/>
        <v>3794.25</v>
      </c>
    </row>
    <row r="15" ht="12.0" customHeight="1">
      <c r="A15" s="11"/>
      <c r="B15" s="11"/>
      <c r="C15" s="11"/>
      <c r="D15" s="11"/>
      <c r="E15" s="11"/>
      <c r="F15" s="11"/>
      <c r="G15" s="11"/>
      <c r="H15" s="11"/>
      <c r="I15" s="11"/>
      <c r="J15" s="11"/>
      <c r="K15" s="11"/>
      <c r="L15" s="11"/>
      <c r="M15" s="11"/>
      <c r="N15" s="11"/>
      <c r="O15" s="11"/>
    </row>
    <row r="16" ht="12.0" customHeight="1">
      <c r="A16" s="270"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c r="O16" s="145" t="s">
        <v>1598</v>
      </c>
    </row>
    <row r="17" ht="12.0" customHeight="1">
      <c r="A17" s="152" t="s">
        <v>102</v>
      </c>
      <c r="B17" s="182">
        <f t="array" ref="B17">INDEX(datos_base!$B$15:$K$22,MATCH($A17,datos_base!$A$15:$A$22,0),MATCH($B$3,datos_base!$B$2:$K$2,0))*INDEX(Parametros!$B$11:$M$26,MATCH($A17,Parametros!$A$11:$A$26,0),MATCH(B$16,Parametros!$B$10:$M$10,0))</f>
        <v>12160.92</v>
      </c>
      <c r="C17" s="182">
        <f t="array" ref="C17">INDEX(datos_base!$B$15:$K$22,MATCH($A17,datos_base!$A$15:$A$22,0),MATCH($B$3,datos_base!$B$2:$K$2,0))*INDEX(Parametros!$B$11:$M$26,MATCH($A17,Parametros!$A$11:$A$26,0),MATCH(C$16,Parametros!$B$10:$M$10,0))</f>
        <v>9120.69</v>
      </c>
      <c r="D17" s="182">
        <f t="array" ref="D17">INDEX(datos_base!$B$15:$K$22,MATCH($A17,datos_base!$A$15:$A$22,0),MATCH($B$3,datos_base!$B$2:$K$2,0))*INDEX(Parametros!$B$11:$M$26,MATCH($A17,Parametros!$A$11:$A$26,0),MATCH(D$16,Parametros!$B$10:$M$10,0))</f>
        <v>8107.28</v>
      </c>
      <c r="E17" s="182">
        <f t="array" ref="E17">INDEX(datos_base!$B$15:$K$22,MATCH($A17,datos_base!$A$15:$A$22,0),MATCH($B$3,datos_base!$B$2:$K$2,0))*INDEX(Parametros!$B$11:$M$26,MATCH($A17,Parametros!$A$11:$A$26,0),MATCH(E$16,Parametros!$B$10:$M$10,0))</f>
        <v>7600.575</v>
      </c>
      <c r="F17" s="182">
        <f t="array" ref="F17">INDEX(datos_base!$B$15:$K$22,MATCH($A17,datos_base!$A$15:$A$22,0),MATCH($B$3,datos_base!$B$2:$K$2,0))*INDEX(Parametros!$B$11:$M$26,MATCH($A17,Parametros!$A$11:$A$26,0),MATCH(F$16,Parametros!$B$10:$M$10,0))</f>
        <v>7093.87</v>
      </c>
      <c r="G17" s="182">
        <f t="array" ref="G17">INDEX(datos_base!$B$15:$K$22,MATCH($A17,datos_base!$A$15:$A$22,0),MATCH($B$3,datos_base!$B$2:$K$2,0))*INDEX(Parametros!$B$11:$M$26,MATCH($A17,Parametros!$A$11:$A$26,0),MATCH(G$16,Parametros!$B$10:$M$10,0))</f>
        <v>7093.87</v>
      </c>
      <c r="H17" s="182">
        <f t="array" ref="H17">INDEX(datos_base!$B$15:$K$22,MATCH($A17,datos_base!$A$15:$A$22,0),MATCH($B$3,datos_base!$B$2:$K$2,0))*INDEX(Parametros!$B$11:$M$26,MATCH($A17,Parametros!$A$11:$A$26,0),MATCH(H$16,Parametros!$B$10:$M$10,0))</f>
        <v>7600.575</v>
      </c>
      <c r="I17" s="182">
        <f t="array" ref="I17">INDEX(datos_base!$B$15:$K$22,MATCH($A17,datos_base!$A$15:$A$22,0),MATCH($B$3,datos_base!$B$2:$K$2,0))*INDEX(Parametros!$B$11:$M$26,MATCH($A17,Parametros!$A$11:$A$26,0),MATCH(I$16,Parametros!$B$10:$M$10,0))</f>
        <v>7600.575</v>
      </c>
      <c r="J17" s="182">
        <f t="array" ref="J17">INDEX(datos_base!$B$15:$K$22,MATCH($A17,datos_base!$A$15:$A$22,0),MATCH($B$3,datos_base!$B$2:$K$2,0))*INDEX(Parametros!$B$11:$M$26,MATCH($A17,Parametros!$A$11:$A$26,0),MATCH(J$16,Parametros!$B$10:$M$10,0))</f>
        <v>7600.575</v>
      </c>
      <c r="K17" s="182">
        <f t="array" ref="K17">INDEX(datos_base!$B$15:$K$22,MATCH($A17,datos_base!$A$15:$A$22,0),MATCH($B$3,datos_base!$B$2:$K$2,0))*INDEX(Parametros!$B$11:$M$26,MATCH($A17,Parametros!$A$11:$A$26,0),MATCH(K$16,Parametros!$B$10:$M$10,0))</f>
        <v>7600.575</v>
      </c>
      <c r="L17" s="182">
        <f t="array" ref="L17">INDEX(datos_base!$B$15:$K$22,MATCH($A17,datos_base!$A$15:$A$22,0),MATCH($B$3,datos_base!$B$2:$K$2,0))*INDEX(Parametros!$B$11:$M$26,MATCH($A17,Parametros!$A$11:$A$26,0),MATCH(L$16,Parametros!$B$10:$M$10,0))</f>
        <v>7600.575</v>
      </c>
      <c r="M17" s="182">
        <f t="array" ref="M17">INDEX(datos_base!$B$15:$K$22,MATCH($A17,datos_base!$A$15:$A$22,0),MATCH($B$3,datos_base!$B$2:$K$2,0))*INDEX(Parametros!$B$11:$M$26,MATCH($A17,Parametros!$A$11:$A$26,0),MATCH(M$16,Parametros!$B$10:$M$10,0))</f>
        <v>12160.92</v>
      </c>
      <c r="N17" s="271">
        <f t="shared" ref="N17:N24" si="4">SUM(B17:M17)</f>
        <v>101341</v>
      </c>
      <c r="O17" s="271">
        <f t="shared" ref="O17:O25" si="5">AVERAGE(B17:M17)</f>
        <v>8445.083333</v>
      </c>
    </row>
    <row r="18" ht="12.0" customHeight="1">
      <c r="A18" s="152" t="s">
        <v>106</v>
      </c>
      <c r="B18" s="182">
        <f t="array" ref="B18">INDEX(datos_base!$B$15:$K$22,MATCH($A18,datos_base!$A$15:$A$22,0),MATCH($B$3,datos_base!$B$2:$K$2,0))*INDEX(Parametros!$B$11:$M$26,MATCH($A18,Parametros!$A$11:$A$26,0),MATCH(B$16,Parametros!$B$10:$M$10,0))</f>
        <v>396.3</v>
      </c>
      <c r="C18" s="182">
        <f t="array" ref="C18">INDEX(datos_base!$B$15:$K$22,MATCH($A18,datos_base!$A$15:$A$22,0),MATCH($B$3,datos_base!$B$2:$K$2,0))*INDEX(Parametros!$B$11:$M$26,MATCH($A18,Parametros!$A$11:$A$26,0),MATCH(C$16,Parametros!$B$10:$M$10,0))</f>
        <v>317.04</v>
      </c>
      <c r="D18" s="182">
        <f t="array" ref="D18">INDEX(datos_base!$B$15:$K$22,MATCH($A18,datos_base!$A$15:$A$22,0),MATCH($B$3,datos_base!$B$2:$K$2,0))*INDEX(Parametros!$B$11:$M$26,MATCH($A18,Parametros!$A$11:$A$26,0),MATCH(D$16,Parametros!$B$10:$M$10,0))</f>
        <v>336.855</v>
      </c>
      <c r="E18" s="182">
        <f t="array" ref="E18">INDEX(datos_base!$B$15:$K$22,MATCH($A18,datos_base!$A$15:$A$22,0),MATCH($B$3,datos_base!$B$2:$K$2,0))*INDEX(Parametros!$B$11:$M$26,MATCH($A18,Parametros!$A$11:$A$26,0),MATCH(E$16,Parametros!$B$10:$M$10,0))</f>
        <v>336.855</v>
      </c>
      <c r="F18" s="182">
        <f t="array" ref="F18">INDEX(datos_base!$B$15:$K$22,MATCH($A18,datos_base!$A$15:$A$22,0),MATCH($B$3,datos_base!$B$2:$K$2,0))*INDEX(Parametros!$B$11:$M$26,MATCH($A18,Parametros!$A$11:$A$26,0),MATCH(F$16,Parametros!$B$10:$M$10,0))</f>
        <v>317.04</v>
      </c>
      <c r="G18" s="182">
        <f t="array" ref="G18">INDEX(datos_base!$B$15:$K$22,MATCH($A18,datos_base!$A$15:$A$22,0),MATCH($B$3,datos_base!$B$2:$K$2,0))*INDEX(Parametros!$B$11:$M$26,MATCH($A18,Parametros!$A$11:$A$26,0),MATCH(G$16,Parametros!$B$10:$M$10,0))</f>
        <v>297.225</v>
      </c>
      <c r="H18" s="182">
        <f t="array" ref="H18">INDEX(datos_base!$B$15:$K$22,MATCH($A18,datos_base!$A$15:$A$22,0),MATCH($B$3,datos_base!$B$2:$K$2,0))*INDEX(Parametros!$B$11:$M$26,MATCH($A18,Parametros!$A$11:$A$26,0),MATCH(H$16,Parametros!$B$10:$M$10,0))</f>
        <v>317.04</v>
      </c>
      <c r="I18" s="182">
        <f t="array" ref="I18">INDEX(datos_base!$B$15:$K$22,MATCH($A18,datos_base!$A$15:$A$22,0),MATCH($B$3,datos_base!$B$2:$K$2,0))*INDEX(Parametros!$B$11:$M$26,MATCH($A18,Parametros!$A$11:$A$26,0),MATCH(I$16,Parametros!$B$10:$M$10,0))</f>
        <v>317.04</v>
      </c>
      <c r="J18" s="182">
        <f t="array" ref="J18">INDEX(datos_base!$B$15:$K$22,MATCH($A18,datos_base!$A$15:$A$22,0),MATCH($B$3,datos_base!$B$2:$K$2,0))*INDEX(Parametros!$B$11:$M$26,MATCH($A18,Parametros!$A$11:$A$26,0),MATCH(J$16,Parametros!$B$10:$M$10,0))</f>
        <v>317.04</v>
      </c>
      <c r="K18" s="182">
        <f t="array" ref="K18">INDEX(datos_base!$B$15:$K$22,MATCH($A18,datos_base!$A$15:$A$22,0),MATCH($B$3,datos_base!$B$2:$K$2,0))*INDEX(Parametros!$B$11:$M$26,MATCH($A18,Parametros!$A$11:$A$26,0),MATCH(K$16,Parametros!$B$10:$M$10,0))</f>
        <v>297.225</v>
      </c>
      <c r="L18" s="182">
        <f t="array" ref="L18">INDEX(datos_base!$B$15:$K$22,MATCH($A18,datos_base!$A$15:$A$22,0),MATCH($B$3,datos_base!$B$2:$K$2,0))*INDEX(Parametros!$B$11:$M$26,MATCH($A18,Parametros!$A$11:$A$26,0),MATCH(L$16,Parametros!$B$10:$M$10,0))</f>
        <v>277.41</v>
      </c>
      <c r="M18" s="182">
        <f t="array" ref="M18">INDEX(datos_base!$B$15:$K$22,MATCH($A18,datos_base!$A$15:$A$22,0),MATCH($B$3,datos_base!$B$2:$K$2,0))*INDEX(Parametros!$B$11:$M$26,MATCH($A18,Parametros!$A$11:$A$26,0),MATCH(M$16,Parametros!$B$10:$M$10,0))</f>
        <v>435.93</v>
      </c>
      <c r="N18" s="271">
        <f t="shared" si="4"/>
        <v>3963</v>
      </c>
      <c r="O18" s="271">
        <f t="shared" si="5"/>
        <v>330.25</v>
      </c>
    </row>
    <row r="19" ht="12.0" customHeight="1">
      <c r="A19" s="152" t="s">
        <v>108</v>
      </c>
      <c r="B19" s="182">
        <f t="array" ref="B19">INDEX(datos_base!$B$15:$K$22,MATCH($A19,datos_base!$A$15:$A$22,0),MATCH($B$3,datos_base!$B$2:$K$2,0))*INDEX(Parametros!$B$11:$M$26,MATCH($A19,Parametros!$A$11:$A$26,0),MATCH(B$16,Parametros!$B$10:$M$10,0))</f>
        <v>1955.9</v>
      </c>
      <c r="C19" s="182">
        <f t="array" ref="C19">INDEX(datos_base!$B$15:$K$22,MATCH($A19,datos_base!$A$15:$A$22,0),MATCH($B$3,datos_base!$B$2:$K$2,0))*INDEX(Parametros!$B$11:$M$26,MATCH($A19,Parametros!$A$11:$A$26,0),MATCH(C$16,Parametros!$B$10:$M$10,0))</f>
        <v>1564.72</v>
      </c>
      <c r="D19" s="182">
        <f t="array" ref="D19">INDEX(datos_base!$B$15:$K$22,MATCH($A19,datos_base!$A$15:$A$22,0),MATCH($B$3,datos_base!$B$2:$K$2,0))*INDEX(Parametros!$B$11:$M$26,MATCH($A19,Parametros!$A$11:$A$26,0),MATCH(D$16,Parametros!$B$10:$M$10,0))</f>
        <v>1662.515</v>
      </c>
      <c r="E19" s="182">
        <f t="array" ref="E19">INDEX(datos_base!$B$15:$K$22,MATCH($A19,datos_base!$A$15:$A$22,0),MATCH($B$3,datos_base!$B$2:$K$2,0))*INDEX(Parametros!$B$11:$M$26,MATCH($A19,Parametros!$A$11:$A$26,0),MATCH(E$16,Parametros!$B$10:$M$10,0))</f>
        <v>1662.515</v>
      </c>
      <c r="F19" s="182">
        <f t="array" ref="F19">INDEX(datos_base!$B$15:$K$22,MATCH($A19,datos_base!$A$15:$A$22,0),MATCH($B$3,datos_base!$B$2:$K$2,0))*INDEX(Parametros!$B$11:$M$26,MATCH($A19,Parametros!$A$11:$A$26,0),MATCH(F$16,Parametros!$B$10:$M$10,0))</f>
        <v>1564.72</v>
      </c>
      <c r="G19" s="182">
        <f t="array" ref="G19">INDEX(datos_base!$B$15:$K$22,MATCH($A19,datos_base!$A$15:$A$22,0),MATCH($B$3,datos_base!$B$2:$K$2,0))*INDEX(Parametros!$B$11:$M$26,MATCH($A19,Parametros!$A$11:$A$26,0),MATCH(G$16,Parametros!$B$10:$M$10,0))</f>
        <v>1466.925</v>
      </c>
      <c r="H19" s="182">
        <f t="array" ref="H19">INDEX(datos_base!$B$15:$K$22,MATCH($A19,datos_base!$A$15:$A$22,0),MATCH($B$3,datos_base!$B$2:$K$2,0))*INDEX(Parametros!$B$11:$M$26,MATCH($A19,Parametros!$A$11:$A$26,0),MATCH(H$16,Parametros!$B$10:$M$10,0))</f>
        <v>1564.72</v>
      </c>
      <c r="I19" s="182">
        <f t="array" ref="I19">INDEX(datos_base!$B$15:$K$22,MATCH($A19,datos_base!$A$15:$A$22,0),MATCH($B$3,datos_base!$B$2:$K$2,0))*INDEX(Parametros!$B$11:$M$26,MATCH($A19,Parametros!$A$11:$A$26,0),MATCH(I$16,Parametros!$B$10:$M$10,0))</f>
        <v>1564.72</v>
      </c>
      <c r="J19" s="182">
        <f t="array" ref="J19">INDEX(datos_base!$B$15:$K$22,MATCH($A19,datos_base!$A$15:$A$22,0),MATCH($B$3,datos_base!$B$2:$K$2,0))*INDEX(Parametros!$B$11:$M$26,MATCH($A19,Parametros!$A$11:$A$26,0),MATCH(J$16,Parametros!$B$10:$M$10,0))</f>
        <v>1564.72</v>
      </c>
      <c r="K19" s="182">
        <f t="array" ref="K19">INDEX(datos_base!$B$15:$K$22,MATCH($A19,datos_base!$A$15:$A$22,0),MATCH($B$3,datos_base!$B$2:$K$2,0))*INDEX(Parametros!$B$11:$M$26,MATCH($A19,Parametros!$A$11:$A$26,0),MATCH(K$16,Parametros!$B$10:$M$10,0))</f>
        <v>1466.925</v>
      </c>
      <c r="L19" s="182">
        <f t="array" ref="L19">INDEX(datos_base!$B$15:$K$22,MATCH($A19,datos_base!$A$15:$A$22,0),MATCH($B$3,datos_base!$B$2:$K$2,0))*INDEX(Parametros!$B$11:$M$26,MATCH($A19,Parametros!$A$11:$A$26,0),MATCH(L$16,Parametros!$B$10:$M$10,0))</f>
        <v>1369.13</v>
      </c>
      <c r="M19" s="182">
        <f t="array" ref="M19">INDEX(datos_base!$B$15:$K$22,MATCH($A19,datos_base!$A$15:$A$22,0),MATCH($B$3,datos_base!$B$2:$K$2,0))*INDEX(Parametros!$B$11:$M$26,MATCH($A19,Parametros!$A$11:$A$26,0),MATCH(M$16,Parametros!$B$10:$M$10,0))</f>
        <v>2151.49</v>
      </c>
      <c r="N19" s="271">
        <f t="shared" si="4"/>
        <v>19559</v>
      </c>
      <c r="O19" s="271">
        <f t="shared" si="5"/>
        <v>1629.916667</v>
      </c>
    </row>
    <row r="20" ht="12.0" customHeight="1">
      <c r="A20" s="152" t="s">
        <v>122</v>
      </c>
      <c r="B20" s="182">
        <f t="array" ref="B20">INDEX(datos_base!$B$15:$K$22,MATCH($A20,datos_base!$A$15:$A$22,0),MATCH($B$3,datos_base!$B$2:$K$2,0))*INDEX(Parametros!$B$11:$M$26,MATCH($A20,Parametros!$A$11:$A$26,0),MATCH(B$16,Parametros!$B$10:$M$10,0))</f>
        <v>119.5</v>
      </c>
      <c r="C20" s="182">
        <f t="array" ref="C20">INDEX(datos_base!$B$15:$K$22,MATCH($A20,datos_base!$A$15:$A$22,0),MATCH($B$3,datos_base!$B$2:$K$2,0))*INDEX(Parametros!$B$11:$M$26,MATCH($A20,Parametros!$A$11:$A$26,0),MATCH(C$16,Parametros!$B$10:$M$10,0))</f>
        <v>95.6</v>
      </c>
      <c r="D20" s="182">
        <f t="array" ref="D20">INDEX(datos_base!$B$15:$K$22,MATCH($A20,datos_base!$A$15:$A$22,0),MATCH($B$3,datos_base!$B$2:$K$2,0))*INDEX(Parametros!$B$11:$M$26,MATCH($A20,Parametros!$A$11:$A$26,0),MATCH(D$16,Parametros!$B$10:$M$10,0))</f>
        <v>101.575</v>
      </c>
      <c r="E20" s="182">
        <f t="array" ref="E20">INDEX(datos_base!$B$15:$K$22,MATCH($A20,datos_base!$A$15:$A$22,0),MATCH($B$3,datos_base!$B$2:$K$2,0))*INDEX(Parametros!$B$11:$M$26,MATCH($A20,Parametros!$A$11:$A$26,0),MATCH(E$16,Parametros!$B$10:$M$10,0))</f>
        <v>101.575</v>
      </c>
      <c r="F20" s="182">
        <f t="array" ref="F20">INDEX(datos_base!$B$15:$K$22,MATCH($A20,datos_base!$A$15:$A$22,0),MATCH($B$3,datos_base!$B$2:$K$2,0))*INDEX(Parametros!$B$11:$M$26,MATCH($A20,Parametros!$A$11:$A$26,0),MATCH(F$16,Parametros!$B$10:$M$10,0))</f>
        <v>95.6</v>
      </c>
      <c r="G20" s="182">
        <f t="array" ref="G20">INDEX(datos_base!$B$15:$K$22,MATCH($A20,datos_base!$A$15:$A$22,0),MATCH($B$3,datos_base!$B$2:$K$2,0))*INDEX(Parametros!$B$11:$M$26,MATCH($A20,Parametros!$A$11:$A$26,0),MATCH(G$16,Parametros!$B$10:$M$10,0))</f>
        <v>89.625</v>
      </c>
      <c r="H20" s="182">
        <f t="array" ref="H20">INDEX(datos_base!$B$15:$K$22,MATCH($A20,datos_base!$A$15:$A$22,0),MATCH($B$3,datos_base!$B$2:$K$2,0))*INDEX(Parametros!$B$11:$M$26,MATCH($A20,Parametros!$A$11:$A$26,0),MATCH(H$16,Parametros!$B$10:$M$10,0))</f>
        <v>95.6</v>
      </c>
      <c r="I20" s="182">
        <f t="array" ref="I20">INDEX(datos_base!$B$15:$K$22,MATCH($A20,datos_base!$A$15:$A$22,0),MATCH($B$3,datos_base!$B$2:$K$2,0))*INDEX(Parametros!$B$11:$M$26,MATCH($A20,Parametros!$A$11:$A$26,0),MATCH(I$16,Parametros!$B$10:$M$10,0))</f>
        <v>95.6</v>
      </c>
      <c r="J20" s="182">
        <f t="array" ref="J20">INDEX(datos_base!$B$15:$K$22,MATCH($A20,datos_base!$A$15:$A$22,0),MATCH($B$3,datos_base!$B$2:$K$2,0))*INDEX(Parametros!$B$11:$M$26,MATCH($A20,Parametros!$A$11:$A$26,0),MATCH(J$16,Parametros!$B$10:$M$10,0))</f>
        <v>95.6</v>
      </c>
      <c r="K20" s="182">
        <f t="array" ref="K20">INDEX(datos_base!$B$15:$K$22,MATCH($A20,datos_base!$A$15:$A$22,0),MATCH($B$3,datos_base!$B$2:$K$2,0))*INDEX(Parametros!$B$11:$M$26,MATCH($A20,Parametros!$A$11:$A$26,0),MATCH(K$16,Parametros!$B$10:$M$10,0))</f>
        <v>89.625</v>
      </c>
      <c r="L20" s="182">
        <f t="array" ref="L20">INDEX(datos_base!$B$15:$K$22,MATCH($A20,datos_base!$A$15:$A$22,0),MATCH($B$3,datos_base!$B$2:$K$2,0))*INDEX(Parametros!$B$11:$M$26,MATCH($A20,Parametros!$A$11:$A$26,0),MATCH(L$16,Parametros!$B$10:$M$10,0))</f>
        <v>83.65</v>
      </c>
      <c r="M20" s="182">
        <f t="array" ref="M20">INDEX(datos_base!$B$15:$K$22,MATCH($A20,datos_base!$A$15:$A$22,0),MATCH($B$3,datos_base!$B$2:$K$2,0))*INDEX(Parametros!$B$11:$M$26,MATCH($A20,Parametros!$A$11:$A$26,0),MATCH(M$16,Parametros!$B$10:$M$10,0))</f>
        <v>131.45</v>
      </c>
      <c r="N20" s="271">
        <f t="shared" si="4"/>
        <v>1195</v>
      </c>
      <c r="O20" s="271">
        <f t="shared" si="5"/>
        <v>99.58333333</v>
      </c>
    </row>
    <row r="21" ht="12.0" customHeight="1">
      <c r="A21" s="152" t="s">
        <v>125</v>
      </c>
      <c r="B21" s="182">
        <f t="array" ref="B21">INDEX(datos_base!$B$15:$K$22,MATCH($A21,datos_base!$A$15:$A$22,0),MATCH($B$3,datos_base!$B$2:$K$2,0))*INDEX(Parametros!$B$11:$M$26,MATCH($A21,Parametros!$A$11:$A$26,0),MATCH(B$16,Parametros!$B$10:$M$10,0))</f>
        <v>16.235</v>
      </c>
      <c r="C21" s="182">
        <f t="array" ref="C21">INDEX(datos_base!$B$15:$K$22,MATCH($A21,datos_base!$A$15:$A$22,0),MATCH($B$3,datos_base!$B$2:$K$2,0))*INDEX(Parametros!$B$11:$M$26,MATCH($A21,Parametros!$A$11:$A$26,0),MATCH(C$16,Parametros!$B$10:$M$10,0))</f>
        <v>14.325</v>
      </c>
      <c r="D21" s="182">
        <f t="array" ref="D21">INDEX(datos_base!$B$15:$K$22,MATCH($A21,datos_base!$A$15:$A$22,0),MATCH($B$3,datos_base!$B$2:$K$2,0))*INDEX(Parametros!$B$11:$M$26,MATCH($A21,Parametros!$A$11:$A$26,0),MATCH(D$16,Parametros!$B$10:$M$10,0))</f>
        <v>17.19</v>
      </c>
      <c r="E21" s="182">
        <f t="array" ref="E21">INDEX(datos_base!$B$15:$K$22,MATCH($A21,datos_base!$A$15:$A$22,0),MATCH($B$3,datos_base!$B$2:$K$2,0))*INDEX(Parametros!$B$11:$M$26,MATCH($A21,Parametros!$A$11:$A$26,0),MATCH(E$16,Parametros!$B$10:$M$10,0))</f>
        <v>17.19</v>
      </c>
      <c r="F21" s="182">
        <f t="array" ref="F21">INDEX(datos_base!$B$15:$K$22,MATCH($A21,datos_base!$A$15:$A$22,0),MATCH($B$3,datos_base!$B$2:$K$2,0))*INDEX(Parametros!$B$11:$M$26,MATCH($A21,Parametros!$A$11:$A$26,0),MATCH(F$16,Parametros!$B$10:$M$10,0))</f>
        <v>17.19</v>
      </c>
      <c r="G21" s="182">
        <f t="array" ref="G21">INDEX(datos_base!$B$15:$K$22,MATCH($A21,datos_base!$A$15:$A$22,0),MATCH($B$3,datos_base!$B$2:$K$2,0))*INDEX(Parametros!$B$11:$M$26,MATCH($A21,Parametros!$A$11:$A$26,0),MATCH(G$16,Parametros!$B$10:$M$10,0))</f>
        <v>15.28</v>
      </c>
      <c r="H21" s="182">
        <f t="array" ref="H21">INDEX(datos_base!$B$15:$K$22,MATCH($A21,datos_base!$A$15:$A$22,0),MATCH($B$3,datos_base!$B$2:$K$2,0))*INDEX(Parametros!$B$11:$M$26,MATCH($A21,Parametros!$A$11:$A$26,0),MATCH(H$16,Parametros!$B$10:$M$10,0))</f>
        <v>17.19</v>
      </c>
      <c r="I21" s="182">
        <f t="array" ref="I21">INDEX(datos_base!$B$15:$K$22,MATCH($A21,datos_base!$A$15:$A$22,0),MATCH($B$3,datos_base!$B$2:$K$2,0))*INDEX(Parametros!$B$11:$M$26,MATCH($A21,Parametros!$A$11:$A$26,0),MATCH(I$16,Parametros!$B$10:$M$10,0))</f>
        <v>17.19</v>
      </c>
      <c r="J21" s="182">
        <f t="array" ref="J21">INDEX(datos_base!$B$15:$K$22,MATCH($A21,datos_base!$A$15:$A$22,0),MATCH($B$3,datos_base!$B$2:$K$2,0))*INDEX(Parametros!$B$11:$M$26,MATCH($A21,Parametros!$A$11:$A$26,0),MATCH(J$16,Parametros!$B$10:$M$10,0))</f>
        <v>16.235</v>
      </c>
      <c r="K21" s="182">
        <f t="array" ref="K21">INDEX(datos_base!$B$15:$K$22,MATCH($A21,datos_base!$A$15:$A$22,0),MATCH($B$3,datos_base!$B$2:$K$2,0))*INDEX(Parametros!$B$11:$M$26,MATCH($A21,Parametros!$A$11:$A$26,0),MATCH(K$16,Parametros!$B$10:$M$10,0))</f>
        <v>14.325</v>
      </c>
      <c r="L21" s="182">
        <f t="array" ref="L21">INDEX(datos_base!$B$15:$K$22,MATCH($A21,datos_base!$A$15:$A$22,0),MATCH($B$3,datos_base!$B$2:$K$2,0))*INDEX(Parametros!$B$11:$M$26,MATCH($A21,Parametros!$A$11:$A$26,0),MATCH(L$16,Parametros!$B$10:$M$10,0))</f>
        <v>13.37</v>
      </c>
      <c r="M21" s="182">
        <f t="array" ref="M21">INDEX(datos_base!$B$15:$K$22,MATCH($A21,datos_base!$A$15:$A$22,0),MATCH($B$3,datos_base!$B$2:$K$2,0))*INDEX(Parametros!$B$11:$M$26,MATCH($A21,Parametros!$A$11:$A$26,0),MATCH(M$16,Parametros!$B$10:$M$10,0))</f>
        <v>15.28</v>
      </c>
      <c r="N21" s="271">
        <f t="shared" si="4"/>
        <v>191</v>
      </c>
      <c r="O21" s="271">
        <f t="shared" si="5"/>
        <v>15.91666667</v>
      </c>
    </row>
    <row r="22" ht="12.0" customHeight="1">
      <c r="A22" s="152" t="s">
        <v>128</v>
      </c>
      <c r="B22" s="182">
        <f t="array" ref="B22">INDEX(datos_base!$B$15:$K$22,MATCH($A22,datos_base!$A$15:$A$22,0),MATCH($B$3,datos_base!$B$2:$K$2,0))*INDEX(Parametros!$B$11:$M$26,MATCH($A22,Parametros!$A$11:$A$26,0),MATCH(B$16,Parametros!$B$10:$M$10,0))</f>
        <v>35.785</v>
      </c>
      <c r="C22" s="182">
        <f t="array" ref="C22">INDEX(datos_base!$B$15:$K$22,MATCH($A22,datos_base!$A$15:$A$22,0),MATCH($B$3,datos_base!$B$2:$K$2,0))*INDEX(Parametros!$B$11:$M$26,MATCH($A22,Parametros!$A$11:$A$26,0),MATCH(C$16,Parametros!$B$10:$M$10,0))</f>
        <v>31.575</v>
      </c>
      <c r="D22" s="182">
        <f t="array" ref="D22">INDEX(datos_base!$B$15:$K$22,MATCH($A22,datos_base!$A$15:$A$22,0),MATCH($B$3,datos_base!$B$2:$K$2,0))*INDEX(Parametros!$B$11:$M$26,MATCH($A22,Parametros!$A$11:$A$26,0),MATCH(D$16,Parametros!$B$10:$M$10,0))</f>
        <v>37.89</v>
      </c>
      <c r="E22" s="182">
        <f t="array" ref="E22">INDEX(datos_base!$B$15:$K$22,MATCH($A22,datos_base!$A$15:$A$22,0),MATCH($B$3,datos_base!$B$2:$K$2,0))*INDEX(Parametros!$B$11:$M$26,MATCH($A22,Parametros!$A$11:$A$26,0),MATCH(E$16,Parametros!$B$10:$M$10,0))</f>
        <v>37.89</v>
      </c>
      <c r="F22" s="182">
        <f t="array" ref="F22">INDEX(datos_base!$B$15:$K$22,MATCH($A22,datos_base!$A$15:$A$22,0),MATCH($B$3,datos_base!$B$2:$K$2,0))*INDEX(Parametros!$B$11:$M$26,MATCH($A22,Parametros!$A$11:$A$26,0),MATCH(F$16,Parametros!$B$10:$M$10,0))</f>
        <v>37.89</v>
      </c>
      <c r="G22" s="182">
        <f t="array" ref="G22">INDEX(datos_base!$B$15:$K$22,MATCH($A22,datos_base!$A$15:$A$22,0),MATCH($B$3,datos_base!$B$2:$K$2,0))*INDEX(Parametros!$B$11:$M$26,MATCH($A22,Parametros!$A$11:$A$26,0),MATCH(G$16,Parametros!$B$10:$M$10,0))</f>
        <v>33.68</v>
      </c>
      <c r="H22" s="182">
        <f t="array" ref="H22">INDEX(datos_base!$B$15:$K$22,MATCH($A22,datos_base!$A$15:$A$22,0),MATCH($B$3,datos_base!$B$2:$K$2,0))*INDEX(Parametros!$B$11:$M$26,MATCH($A22,Parametros!$A$11:$A$26,0),MATCH(H$16,Parametros!$B$10:$M$10,0))</f>
        <v>37.89</v>
      </c>
      <c r="I22" s="182">
        <f t="array" ref="I22">INDEX(datos_base!$B$15:$K$22,MATCH($A22,datos_base!$A$15:$A$22,0),MATCH($B$3,datos_base!$B$2:$K$2,0))*INDEX(Parametros!$B$11:$M$26,MATCH($A22,Parametros!$A$11:$A$26,0),MATCH(I$16,Parametros!$B$10:$M$10,0))</f>
        <v>37.89</v>
      </c>
      <c r="J22" s="182">
        <f t="array" ref="J22">INDEX(datos_base!$B$15:$K$22,MATCH($A22,datos_base!$A$15:$A$22,0),MATCH($B$3,datos_base!$B$2:$K$2,0))*INDEX(Parametros!$B$11:$M$26,MATCH($A22,Parametros!$A$11:$A$26,0),MATCH(J$16,Parametros!$B$10:$M$10,0))</f>
        <v>35.785</v>
      </c>
      <c r="K22" s="182">
        <f t="array" ref="K22">INDEX(datos_base!$B$15:$K$22,MATCH($A22,datos_base!$A$15:$A$22,0),MATCH($B$3,datos_base!$B$2:$K$2,0))*INDEX(Parametros!$B$11:$M$26,MATCH($A22,Parametros!$A$11:$A$26,0),MATCH(K$16,Parametros!$B$10:$M$10,0))</f>
        <v>31.575</v>
      </c>
      <c r="L22" s="182">
        <f t="array" ref="L22">INDEX(datos_base!$B$15:$K$22,MATCH($A22,datos_base!$A$15:$A$22,0),MATCH($B$3,datos_base!$B$2:$K$2,0))*INDEX(Parametros!$B$11:$M$26,MATCH($A22,Parametros!$A$11:$A$26,0),MATCH(L$16,Parametros!$B$10:$M$10,0))</f>
        <v>29.47</v>
      </c>
      <c r="M22" s="182">
        <f t="array" ref="M22">INDEX(datos_base!$B$15:$K$22,MATCH($A22,datos_base!$A$15:$A$22,0),MATCH($B$3,datos_base!$B$2:$K$2,0))*INDEX(Parametros!$B$11:$M$26,MATCH($A22,Parametros!$A$11:$A$26,0),MATCH(M$16,Parametros!$B$10:$M$10,0))</f>
        <v>33.68</v>
      </c>
      <c r="N22" s="271">
        <f t="shared" si="4"/>
        <v>421</v>
      </c>
      <c r="O22" s="271">
        <f t="shared" si="5"/>
        <v>35.08333333</v>
      </c>
    </row>
    <row r="23" ht="12.0" customHeight="1">
      <c r="A23" s="152" t="s">
        <v>129</v>
      </c>
      <c r="B23" s="182">
        <f t="array" ref="B23">INDEX(datos_base!$B$15:$K$22,MATCH($A23,datos_base!$A$15:$A$22,0),MATCH($B$3,datos_base!$B$2:$K$2,0))*INDEX(Parametros!$B$11:$M$26,MATCH($A23,Parametros!$A$11:$A$26,0),MATCH(B$16,Parametros!$B$10:$M$10,0))</f>
        <v>7.82</v>
      </c>
      <c r="C23" s="182">
        <f t="array" ref="C23">INDEX(datos_base!$B$15:$K$22,MATCH($A23,datos_base!$A$15:$A$22,0),MATCH($B$3,datos_base!$B$2:$K$2,0))*INDEX(Parametros!$B$11:$M$26,MATCH($A23,Parametros!$A$11:$A$26,0),MATCH(C$16,Parametros!$B$10:$M$10,0))</f>
        <v>6.9</v>
      </c>
      <c r="D23" s="182">
        <f t="array" ref="D23">INDEX(datos_base!$B$15:$K$22,MATCH($A23,datos_base!$A$15:$A$22,0),MATCH($B$3,datos_base!$B$2:$K$2,0))*INDEX(Parametros!$B$11:$M$26,MATCH($A23,Parametros!$A$11:$A$26,0),MATCH(D$16,Parametros!$B$10:$M$10,0))</f>
        <v>8.28</v>
      </c>
      <c r="E23" s="182">
        <f t="array" ref="E23">INDEX(datos_base!$B$15:$K$22,MATCH($A23,datos_base!$A$15:$A$22,0),MATCH($B$3,datos_base!$B$2:$K$2,0))*INDEX(Parametros!$B$11:$M$26,MATCH($A23,Parametros!$A$11:$A$26,0),MATCH(E$16,Parametros!$B$10:$M$10,0))</f>
        <v>8.28</v>
      </c>
      <c r="F23" s="182">
        <f t="array" ref="F23">INDEX(datos_base!$B$15:$K$22,MATCH($A23,datos_base!$A$15:$A$22,0),MATCH($B$3,datos_base!$B$2:$K$2,0))*INDEX(Parametros!$B$11:$M$26,MATCH($A23,Parametros!$A$11:$A$26,0),MATCH(F$16,Parametros!$B$10:$M$10,0))</f>
        <v>8.28</v>
      </c>
      <c r="G23" s="182">
        <f t="array" ref="G23">INDEX(datos_base!$B$15:$K$22,MATCH($A23,datos_base!$A$15:$A$22,0),MATCH($B$3,datos_base!$B$2:$K$2,0))*INDEX(Parametros!$B$11:$M$26,MATCH($A23,Parametros!$A$11:$A$26,0),MATCH(G$16,Parametros!$B$10:$M$10,0))</f>
        <v>7.36</v>
      </c>
      <c r="H23" s="182">
        <f t="array" ref="H23">INDEX(datos_base!$B$15:$K$22,MATCH($A23,datos_base!$A$15:$A$22,0),MATCH($B$3,datos_base!$B$2:$K$2,0))*INDEX(Parametros!$B$11:$M$26,MATCH($A23,Parametros!$A$11:$A$26,0),MATCH(H$16,Parametros!$B$10:$M$10,0))</f>
        <v>8.28</v>
      </c>
      <c r="I23" s="182">
        <f t="array" ref="I23">INDEX(datos_base!$B$15:$K$22,MATCH($A23,datos_base!$A$15:$A$22,0),MATCH($B$3,datos_base!$B$2:$K$2,0))*INDEX(Parametros!$B$11:$M$26,MATCH($A23,Parametros!$A$11:$A$26,0),MATCH(I$16,Parametros!$B$10:$M$10,0))</f>
        <v>8.28</v>
      </c>
      <c r="J23" s="182">
        <f t="array" ref="J23">INDEX(datos_base!$B$15:$K$22,MATCH($A23,datos_base!$A$15:$A$22,0),MATCH($B$3,datos_base!$B$2:$K$2,0))*INDEX(Parametros!$B$11:$M$26,MATCH($A23,Parametros!$A$11:$A$26,0),MATCH(J$16,Parametros!$B$10:$M$10,0))</f>
        <v>7.82</v>
      </c>
      <c r="K23" s="182">
        <f t="array" ref="K23">INDEX(datos_base!$B$15:$K$22,MATCH($A23,datos_base!$A$15:$A$22,0),MATCH($B$3,datos_base!$B$2:$K$2,0))*INDEX(Parametros!$B$11:$M$26,MATCH($A23,Parametros!$A$11:$A$26,0),MATCH(K$16,Parametros!$B$10:$M$10,0))</f>
        <v>6.9</v>
      </c>
      <c r="L23" s="182">
        <f t="array" ref="L23">INDEX(datos_base!$B$15:$K$22,MATCH($A23,datos_base!$A$15:$A$22,0),MATCH($B$3,datos_base!$B$2:$K$2,0))*INDEX(Parametros!$B$11:$M$26,MATCH($A23,Parametros!$A$11:$A$26,0),MATCH(L$16,Parametros!$B$10:$M$10,0))</f>
        <v>6.44</v>
      </c>
      <c r="M23" s="182">
        <f t="array" ref="M23">INDEX(datos_base!$B$15:$K$22,MATCH($A23,datos_base!$A$15:$A$22,0),MATCH($B$3,datos_base!$B$2:$K$2,0))*INDEX(Parametros!$B$11:$M$26,MATCH($A23,Parametros!$A$11:$A$26,0),MATCH(M$16,Parametros!$B$10:$M$10,0))</f>
        <v>7.36</v>
      </c>
      <c r="N23" s="271">
        <f t="shared" si="4"/>
        <v>92</v>
      </c>
      <c r="O23" s="271">
        <f t="shared" si="5"/>
        <v>7.666666667</v>
      </c>
    </row>
    <row r="24" ht="12.0" customHeight="1">
      <c r="A24" s="152" t="s">
        <v>130</v>
      </c>
      <c r="B24" s="182">
        <f t="array" ref="B24">INDEX(datos_base!$B$15:$K$22,MATCH($A24,datos_base!$A$15:$A$22,0),MATCH($B$3,datos_base!$B$2:$K$2,0))*INDEX(Parametros!$B$11:$M$26,MATCH($A24,Parametros!$A$11:$A$26,0),MATCH(B$16,Parametros!$B$10:$M$10,0))</f>
        <v>5.1</v>
      </c>
      <c r="C24" s="182">
        <f t="array" ref="C24">INDEX(datos_base!$B$15:$K$22,MATCH($A24,datos_base!$A$15:$A$22,0),MATCH($B$3,datos_base!$B$2:$K$2,0))*INDEX(Parametros!$B$11:$M$26,MATCH($A24,Parametros!$A$11:$A$26,0),MATCH(C$16,Parametros!$B$10:$M$10,0))</f>
        <v>4.5</v>
      </c>
      <c r="D24" s="182">
        <f t="array" ref="D24">INDEX(datos_base!$B$15:$K$22,MATCH($A24,datos_base!$A$15:$A$22,0),MATCH($B$3,datos_base!$B$2:$K$2,0))*INDEX(Parametros!$B$11:$M$26,MATCH($A24,Parametros!$A$11:$A$26,0),MATCH(D$16,Parametros!$B$10:$M$10,0))</f>
        <v>5.4</v>
      </c>
      <c r="E24" s="182">
        <f t="array" ref="E24">INDEX(datos_base!$B$15:$K$22,MATCH($A24,datos_base!$A$15:$A$22,0),MATCH($B$3,datos_base!$B$2:$K$2,0))*INDEX(Parametros!$B$11:$M$26,MATCH($A24,Parametros!$A$11:$A$26,0),MATCH(E$16,Parametros!$B$10:$M$10,0))</f>
        <v>5.4</v>
      </c>
      <c r="F24" s="182">
        <f t="array" ref="F24">INDEX(datos_base!$B$15:$K$22,MATCH($A24,datos_base!$A$15:$A$22,0),MATCH($B$3,datos_base!$B$2:$K$2,0))*INDEX(Parametros!$B$11:$M$26,MATCH($A24,Parametros!$A$11:$A$26,0),MATCH(F$16,Parametros!$B$10:$M$10,0))</f>
        <v>5.4</v>
      </c>
      <c r="G24" s="182">
        <f t="array" ref="G24">INDEX(datos_base!$B$15:$K$22,MATCH($A24,datos_base!$A$15:$A$22,0),MATCH($B$3,datos_base!$B$2:$K$2,0))*INDEX(Parametros!$B$11:$M$26,MATCH($A24,Parametros!$A$11:$A$26,0),MATCH(G$16,Parametros!$B$10:$M$10,0))</f>
        <v>4.8</v>
      </c>
      <c r="H24" s="182">
        <f t="array" ref="H24">INDEX(datos_base!$B$15:$K$22,MATCH($A24,datos_base!$A$15:$A$22,0),MATCH($B$3,datos_base!$B$2:$K$2,0))*INDEX(Parametros!$B$11:$M$26,MATCH($A24,Parametros!$A$11:$A$26,0),MATCH(H$16,Parametros!$B$10:$M$10,0))</f>
        <v>5.4</v>
      </c>
      <c r="I24" s="182">
        <f t="array" ref="I24">INDEX(datos_base!$B$15:$K$22,MATCH($A24,datos_base!$A$15:$A$22,0),MATCH($B$3,datos_base!$B$2:$K$2,0))*INDEX(Parametros!$B$11:$M$26,MATCH($A24,Parametros!$A$11:$A$26,0),MATCH(I$16,Parametros!$B$10:$M$10,0))</f>
        <v>5.4</v>
      </c>
      <c r="J24" s="182">
        <f t="array" ref="J24">INDEX(datos_base!$B$15:$K$22,MATCH($A24,datos_base!$A$15:$A$22,0),MATCH($B$3,datos_base!$B$2:$K$2,0))*INDEX(Parametros!$B$11:$M$26,MATCH($A24,Parametros!$A$11:$A$26,0),MATCH(J$16,Parametros!$B$10:$M$10,0))</f>
        <v>5.1</v>
      </c>
      <c r="K24" s="182">
        <f t="array" ref="K24">INDEX(datos_base!$B$15:$K$22,MATCH($A24,datos_base!$A$15:$A$22,0),MATCH($B$3,datos_base!$B$2:$K$2,0))*INDEX(Parametros!$B$11:$M$26,MATCH($A24,Parametros!$A$11:$A$26,0),MATCH(K$16,Parametros!$B$10:$M$10,0))</f>
        <v>4.5</v>
      </c>
      <c r="L24" s="182">
        <f t="array" ref="L24">INDEX(datos_base!$B$15:$K$22,MATCH($A24,datos_base!$A$15:$A$22,0),MATCH($B$3,datos_base!$B$2:$K$2,0))*INDEX(Parametros!$B$11:$M$26,MATCH($A24,Parametros!$A$11:$A$26,0),MATCH(L$16,Parametros!$B$10:$M$10,0))</f>
        <v>4.2</v>
      </c>
      <c r="M24" s="182">
        <f t="array" ref="M24">INDEX(datos_base!$B$15:$K$22,MATCH($A24,datos_base!$A$15:$A$22,0),MATCH($B$3,datos_base!$B$2:$K$2,0))*INDEX(Parametros!$B$11:$M$26,MATCH($A24,Parametros!$A$11:$A$26,0),MATCH(M$16,Parametros!$B$10:$M$10,0))</f>
        <v>4.8</v>
      </c>
      <c r="N24" s="271">
        <f t="shared" si="4"/>
        <v>60</v>
      </c>
      <c r="O24" s="271">
        <f t="shared" si="5"/>
        <v>5</v>
      </c>
    </row>
    <row r="25" ht="12.0" customHeight="1">
      <c r="A25" s="272" t="s">
        <v>420</v>
      </c>
      <c r="B25" s="273">
        <f t="shared" ref="B25:N25" si="6">SUM(B17:B24)</f>
        <v>14697.56</v>
      </c>
      <c r="C25" s="273">
        <f t="shared" si="6"/>
        <v>11155.35</v>
      </c>
      <c r="D25" s="273">
        <f t="shared" si="6"/>
        <v>10276.985</v>
      </c>
      <c r="E25" s="273">
        <f t="shared" si="6"/>
        <v>9770.28</v>
      </c>
      <c r="F25" s="273">
        <f t="shared" si="6"/>
        <v>9139.99</v>
      </c>
      <c r="G25" s="273">
        <f t="shared" si="6"/>
        <v>9008.765</v>
      </c>
      <c r="H25" s="273">
        <f t="shared" si="6"/>
        <v>9646.695</v>
      </c>
      <c r="I25" s="273">
        <f t="shared" si="6"/>
        <v>9646.695</v>
      </c>
      <c r="J25" s="273">
        <f t="shared" si="6"/>
        <v>9642.875</v>
      </c>
      <c r="K25" s="273">
        <f t="shared" si="6"/>
        <v>9511.65</v>
      </c>
      <c r="L25" s="273">
        <f t="shared" si="6"/>
        <v>9384.245</v>
      </c>
      <c r="M25" s="273">
        <f t="shared" si="6"/>
        <v>14940.91</v>
      </c>
      <c r="N25" s="273">
        <f t="shared" si="6"/>
        <v>126822</v>
      </c>
      <c r="O25" s="273">
        <f t="shared" si="5"/>
        <v>10568.5</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O6+O7+O8+O9+O17+O18+O19+O20</f>
        <v>14208.25</v>
      </c>
      <c r="C28" s="152">
        <f>ROUNDDOWN(B28/Parametros!$B$37,0)</f>
        <v>710</v>
      </c>
      <c r="D28" s="152">
        <f>ROUNDDOWN(C28/Parametros!$J$37,0)</f>
        <v>94</v>
      </c>
      <c r="E28" s="152">
        <f t="shared" ref="E28:E45" si="7">D28</f>
        <v>94</v>
      </c>
      <c r="F28" s="279">
        <f>Parametros!$M$39</f>
        <v>68</v>
      </c>
      <c r="G28" s="152">
        <v>1.0</v>
      </c>
      <c r="H28" s="152">
        <f t="shared" ref="H28:H45" si="8">F28*G28</f>
        <v>68</v>
      </c>
      <c r="I28" s="275">
        <f t="shared" ref="I28:I45" si="9">E28/H28</f>
        <v>1.382352941</v>
      </c>
      <c r="J28" s="152" t="s">
        <v>158</v>
      </c>
    </row>
    <row r="29" ht="12.0" customHeight="1">
      <c r="A29" s="152" t="s">
        <v>163</v>
      </c>
      <c r="B29" s="159">
        <f>O6+O7+O8+O9+O17+O18+O19+O20</f>
        <v>14208.25</v>
      </c>
      <c r="C29" s="152">
        <f>ROUNDDOWN(B29/Parametros!$B$37,0)</f>
        <v>710</v>
      </c>
      <c r="D29" s="152">
        <f>ROUNDDOWN(C29/Parametros!$J$37,0)</f>
        <v>94</v>
      </c>
      <c r="E29" s="152">
        <f t="shared" si="7"/>
        <v>94</v>
      </c>
      <c r="F29" s="279">
        <f>Parametros!$M$40</f>
        <v>40.88</v>
      </c>
      <c r="G29" s="152">
        <v>1.0</v>
      </c>
      <c r="H29" s="152">
        <f t="shared" si="8"/>
        <v>40.88</v>
      </c>
      <c r="I29" s="275">
        <f t="shared" si="9"/>
        <v>2.299412916</v>
      </c>
      <c r="J29" s="152" t="s">
        <v>158</v>
      </c>
    </row>
    <row r="30" ht="12.0" customHeight="1">
      <c r="A30" s="152" t="s">
        <v>61</v>
      </c>
      <c r="B30" s="159">
        <f>O6+O7+O8+O9+O17+O18+O19+O20</f>
        <v>14208.25</v>
      </c>
      <c r="C30" s="152">
        <f>ROUNDDOWN(B30/Parametros!$B$37,0)</f>
        <v>710</v>
      </c>
      <c r="D30" s="152">
        <f>ROUNDDOWN(C30/Parametros!$J$37,0)</f>
        <v>94</v>
      </c>
      <c r="E30" s="152">
        <f t="shared" si="7"/>
        <v>94</v>
      </c>
      <c r="F30" s="279">
        <f>Parametros!$M$41</f>
        <v>466.5116279</v>
      </c>
      <c r="G30" s="152">
        <v>1.0</v>
      </c>
      <c r="H30" s="152">
        <f t="shared" si="8"/>
        <v>466.5116279</v>
      </c>
      <c r="I30" s="275">
        <f t="shared" si="9"/>
        <v>0.2014955135</v>
      </c>
      <c r="J30" s="152" t="s">
        <v>158</v>
      </c>
    </row>
    <row r="31" ht="12.0" customHeight="1">
      <c r="A31" s="152" t="s">
        <v>62</v>
      </c>
      <c r="B31" s="159">
        <f>O7+O8+O9+O18+O19+O20</f>
        <v>4068.75</v>
      </c>
      <c r="C31" s="152">
        <f>ROUNDDOWN(B31/Parametros!$B$37,0)</f>
        <v>203</v>
      </c>
      <c r="D31" s="152">
        <f>ROUNDDOWN(C31/Parametros!$J$37,0)</f>
        <v>27</v>
      </c>
      <c r="E31" s="152">
        <f t="shared" si="7"/>
        <v>27</v>
      </c>
      <c r="F31" s="279">
        <f>Parametros!$M$42</f>
        <v>96</v>
      </c>
      <c r="G31" s="152">
        <v>1.0</v>
      </c>
      <c r="H31" s="152">
        <f t="shared" si="8"/>
        <v>96</v>
      </c>
      <c r="I31" s="275">
        <f t="shared" si="9"/>
        <v>0.28125</v>
      </c>
      <c r="J31" s="152" t="s">
        <v>182</v>
      </c>
    </row>
    <row r="32" ht="12.0" customHeight="1">
      <c r="A32" s="152" t="s">
        <v>63</v>
      </c>
      <c r="B32" s="159">
        <f>O7+O8+O9+O18+O19+O20</f>
        <v>4068.75</v>
      </c>
      <c r="C32" s="152">
        <f>ROUNDDOWN(B32/Parametros!$B$37,0)</f>
        <v>203</v>
      </c>
      <c r="D32" s="152">
        <f>ROUNDDOWN(C32/Parametros!$J$37,0)</f>
        <v>27</v>
      </c>
      <c r="E32" s="152">
        <f t="shared" si="7"/>
        <v>27</v>
      </c>
      <c r="F32" s="279">
        <f>Parametros!$M$43</f>
        <v>80.10122449</v>
      </c>
      <c r="G32" s="152">
        <v>1.0</v>
      </c>
      <c r="H32" s="152">
        <f t="shared" si="8"/>
        <v>80.10122449</v>
      </c>
      <c r="I32" s="275">
        <f t="shared" si="9"/>
        <v>0.3370734988</v>
      </c>
      <c r="J32" s="152" t="s">
        <v>182</v>
      </c>
    </row>
    <row r="33" ht="12.0" customHeight="1">
      <c r="A33" s="152" t="s">
        <v>64</v>
      </c>
      <c r="B33" s="159">
        <f>O7+O8+O9+O18+O19+O20</f>
        <v>4068.75</v>
      </c>
      <c r="C33" s="152">
        <f>ROUNDDOWN(B33/Parametros!$B$37,0)</f>
        <v>203</v>
      </c>
      <c r="D33" s="152">
        <f>ROUNDDOWN(C33/Parametros!$J$37,0)</f>
        <v>27</v>
      </c>
      <c r="E33" s="152">
        <f t="shared" si="7"/>
        <v>27</v>
      </c>
      <c r="F33" s="279">
        <f>Parametros!$M$44</f>
        <v>18.54222222</v>
      </c>
      <c r="G33" s="152">
        <v>1.0</v>
      </c>
      <c r="H33" s="152">
        <f t="shared" si="8"/>
        <v>18.54222222</v>
      </c>
      <c r="I33" s="275">
        <f t="shared" si="9"/>
        <v>1.456136146</v>
      </c>
      <c r="J33" s="152" t="s">
        <v>182</v>
      </c>
    </row>
    <row r="34" ht="12.0" customHeight="1">
      <c r="A34" s="152" t="s">
        <v>66</v>
      </c>
      <c r="B34" s="159">
        <f>O6+O7+O8+O9+O17+O18+O19+O20</f>
        <v>14208.25</v>
      </c>
      <c r="C34" s="152">
        <f>ROUNDDOWN(B34/Parametros!$B$37,0)</f>
        <v>710</v>
      </c>
      <c r="D34" s="152">
        <f>ROUNDDOWN(C34/Parametros!$J$37,0)</f>
        <v>94</v>
      </c>
      <c r="E34" s="152">
        <f t="shared" si="7"/>
        <v>94</v>
      </c>
      <c r="F34" s="279">
        <f>Parametros!$M$45</f>
        <v>60.656</v>
      </c>
      <c r="G34" s="152">
        <v>1.0</v>
      </c>
      <c r="H34" s="152">
        <f t="shared" si="8"/>
        <v>60.656</v>
      </c>
      <c r="I34" s="275">
        <f t="shared" si="9"/>
        <v>1.549723028</v>
      </c>
      <c r="J34" s="152" t="s">
        <v>158</v>
      </c>
    </row>
    <row r="35" ht="12.0" customHeight="1">
      <c r="A35" s="152" t="s">
        <v>67</v>
      </c>
      <c r="B35" s="159">
        <f>O6+O7+O8+O9+O17+O18+O19+O20</f>
        <v>14208.25</v>
      </c>
      <c r="C35" s="152">
        <f>ROUNDDOWN(B35/Parametros!$B$37,0)</f>
        <v>710</v>
      </c>
      <c r="D35" s="152">
        <f>ROUNDDOWN(C35/Parametros!$J$37,0)</f>
        <v>94</v>
      </c>
      <c r="E35" s="152">
        <f t="shared" si="7"/>
        <v>94</v>
      </c>
      <c r="F35" s="279">
        <f>Parametros!$M$46</f>
        <v>187.425</v>
      </c>
      <c r="G35" s="152">
        <v>1.0</v>
      </c>
      <c r="H35" s="152">
        <f t="shared" si="8"/>
        <v>187.425</v>
      </c>
      <c r="I35" s="275">
        <f t="shared" si="9"/>
        <v>0.5015339469</v>
      </c>
      <c r="J35" s="152" t="s">
        <v>158</v>
      </c>
    </row>
    <row r="36" ht="12.0" customHeight="1">
      <c r="A36" s="280" t="s">
        <v>68</v>
      </c>
      <c r="B36" s="281">
        <f>O6+O7+O8+O9+O17+O18+O19+O20</f>
        <v>14208.25</v>
      </c>
      <c r="C36" s="280">
        <f>ROUNDDOWN(B36/Parametros!$B$37,0)</f>
        <v>710</v>
      </c>
      <c r="D36" s="280">
        <f>ROUNDDOWN(C36/Parametros!$J$37,0)</f>
        <v>94</v>
      </c>
      <c r="E36" s="280">
        <f t="shared" si="7"/>
        <v>94</v>
      </c>
      <c r="F36" s="282">
        <f>Parametros!$M$47</f>
        <v>15.96903226</v>
      </c>
      <c r="G36" s="280">
        <v>1.0</v>
      </c>
      <c r="H36" s="280">
        <f t="shared" si="8"/>
        <v>15.96903226</v>
      </c>
      <c r="I36" s="283">
        <f t="shared" si="9"/>
        <v>5.886393019</v>
      </c>
      <c r="J36" s="280" t="s">
        <v>158</v>
      </c>
    </row>
    <row r="37" ht="12.0" customHeight="1">
      <c r="A37" s="280" t="s">
        <v>70</v>
      </c>
      <c r="B37" s="281">
        <f>O6+O7+O8+O9+O17+O18+O19+O20</f>
        <v>14208.25</v>
      </c>
      <c r="C37" s="280">
        <f>ROUNDDOWN(B37/Parametros!$B$37,0)</f>
        <v>710</v>
      </c>
      <c r="D37" s="280">
        <f>ROUNDDOWN(C37/Parametros!$J$37,0)</f>
        <v>94</v>
      </c>
      <c r="E37" s="280">
        <f t="shared" si="7"/>
        <v>94</v>
      </c>
      <c r="F37" s="282">
        <f>Parametros!$M$48</f>
        <v>22.46518519</v>
      </c>
      <c r="G37" s="280">
        <v>1.0</v>
      </c>
      <c r="H37" s="280">
        <f t="shared" si="8"/>
        <v>22.46518519</v>
      </c>
      <c r="I37" s="283">
        <f t="shared" si="9"/>
        <v>4.184252176</v>
      </c>
      <c r="J37" s="280" t="s">
        <v>158</v>
      </c>
    </row>
    <row r="38" ht="12.0" customHeight="1">
      <c r="A38" s="152" t="s">
        <v>72</v>
      </c>
      <c r="B38" s="159">
        <f>O6+O7+O8+O9+O17+O18+O19+O20</f>
        <v>14208.25</v>
      </c>
      <c r="C38" s="152">
        <f>ROUNDDOWN(B38/Parametros!$B$37,0)</f>
        <v>710</v>
      </c>
      <c r="D38" s="152">
        <f>ROUNDDOWN(C38/Parametros!$J$37,0)</f>
        <v>94</v>
      </c>
      <c r="E38" s="152">
        <f t="shared" si="7"/>
        <v>94</v>
      </c>
      <c r="F38" s="279">
        <f>Parametros!$M$49</f>
        <v>71.1627907</v>
      </c>
      <c r="G38" s="152">
        <v>1.0</v>
      </c>
      <c r="H38" s="152">
        <f t="shared" si="8"/>
        <v>71.1627907</v>
      </c>
      <c r="I38" s="275">
        <f t="shared" si="9"/>
        <v>1.320915033</v>
      </c>
      <c r="J38" s="152" t="s">
        <v>158</v>
      </c>
    </row>
    <row r="39" ht="12.0" customHeight="1">
      <c r="A39" s="280" t="s">
        <v>76</v>
      </c>
      <c r="B39" s="281">
        <f>O6+O7+O8+O9+O17+O18+O19+O20</f>
        <v>14208.25</v>
      </c>
      <c r="C39" s="280">
        <f>ROUNDDOWN(B39/Parametros!$B$37,0)</f>
        <v>710</v>
      </c>
      <c r="D39" s="280">
        <f>ROUNDDOWN(C39/Parametros!$J$37,0)</f>
        <v>94</v>
      </c>
      <c r="E39" s="280">
        <f t="shared" si="7"/>
        <v>94</v>
      </c>
      <c r="F39" s="282">
        <f>Parametros!$M$50</f>
        <v>192</v>
      </c>
      <c r="G39" s="280">
        <v>1.0</v>
      </c>
      <c r="H39" s="280">
        <f t="shared" si="8"/>
        <v>192</v>
      </c>
      <c r="I39" s="283">
        <f t="shared" si="9"/>
        <v>0.4895833333</v>
      </c>
      <c r="J39" s="280" t="s">
        <v>158</v>
      </c>
    </row>
    <row r="40" ht="12.0" customHeight="1">
      <c r="A40" s="152" t="s">
        <v>77</v>
      </c>
      <c r="B40" s="159">
        <f>O6+O7+O8+O9+O17+O18+O19+O20</f>
        <v>14208.25</v>
      </c>
      <c r="C40" s="152">
        <f>ROUNDDOWN(B40/Parametros!$B$37,0)</f>
        <v>710</v>
      </c>
      <c r="D40" s="152">
        <f>ROUNDDOWN(C40/Parametros!$J$37,0)</f>
        <v>94</v>
      </c>
      <c r="E40" s="152">
        <f t="shared" si="7"/>
        <v>94</v>
      </c>
      <c r="F40" s="279">
        <f>Parametros!$M$51</f>
        <v>136.0227273</v>
      </c>
      <c r="G40" s="152">
        <v>1.0</v>
      </c>
      <c r="H40" s="152">
        <f t="shared" si="8"/>
        <v>136.0227273</v>
      </c>
      <c r="I40" s="275">
        <f t="shared" si="9"/>
        <v>0.6910609858</v>
      </c>
      <c r="J40" s="152" t="s">
        <v>158</v>
      </c>
    </row>
    <row r="41" ht="12.0" customHeight="1">
      <c r="A41" s="152" t="s">
        <v>79</v>
      </c>
      <c r="B41" s="159">
        <f>O6+O7+O8+O9+O17+O18+O19+O20</f>
        <v>14208.25</v>
      </c>
      <c r="C41" s="152">
        <f>ROUNDDOWN(B41/Parametros!$B$37,0)</f>
        <v>710</v>
      </c>
      <c r="D41" s="152">
        <f>ROUNDDOWN(C41/Parametros!$J$37,0)</f>
        <v>94</v>
      </c>
      <c r="E41" s="152">
        <f t="shared" si="7"/>
        <v>94</v>
      </c>
      <c r="F41" s="279">
        <f>Parametros!$M$52</f>
        <v>60.34285714</v>
      </c>
      <c r="G41" s="152">
        <v>1.0</v>
      </c>
      <c r="H41" s="152">
        <f t="shared" si="8"/>
        <v>60.34285714</v>
      </c>
      <c r="I41" s="275">
        <f t="shared" si="9"/>
        <v>1.557765152</v>
      </c>
      <c r="J41" s="152" t="s">
        <v>158</v>
      </c>
    </row>
    <row r="42" ht="12.0" customHeight="1">
      <c r="A42" s="152" t="s">
        <v>81</v>
      </c>
      <c r="B42" s="159">
        <f>O6+O7+O8+O9+O17+O18+O19+O20</f>
        <v>14208.25</v>
      </c>
      <c r="C42" s="152">
        <f>ROUNDDOWN(B42/Parametros!$B$37,0)</f>
        <v>710</v>
      </c>
      <c r="D42" s="152">
        <f>ROUNDDOWN(C42/Parametros!$J$37,0)</f>
        <v>94</v>
      </c>
      <c r="E42" s="152">
        <f t="shared" si="7"/>
        <v>94</v>
      </c>
      <c r="F42" s="279">
        <f>Parametros!$M$53</f>
        <v>25.2</v>
      </c>
      <c r="G42" s="152">
        <v>1.0</v>
      </c>
      <c r="H42" s="152">
        <f t="shared" si="8"/>
        <v>25.2</v>
      </c>
      <c r="I42" s="275">
        <f t="shared" si="9"/>
        <v>3.73015873</v>
      </c>
      <c r="J42" s="152" t="s">
        <v>158</v>
      </c>
    </row>
    <row r="43" ht="12.0" customHeight="1">
      <c r="A43" s="152" t="s">
        <v>82</v>
      </c>
      <c r="B43" s="159">
        <f>O6+O7+O8+O9+O17+O18+O19+O20</f>
        <v>14208.25</v>
      </c>
      <c r="C43" s="152">
        <f>ROUNDDOWN(B43/Parametros!$B$37,0)</f>
        <v>710</v>
      </c>
      <c r="D43" s="152">
        <f>ROUNDDOWN(C43/Parametros!$J$37,0)</f>
        <v>94</v>
      </c>
      <c r="E43" s="152">
        <f t="shared" si="7"/>
        <v>94</v>
      </c>
      <c r="F43" s="279">
        <f>Parametros!$M$54</f>
        <v>41.53846154</v>
      </c>
      <c r="G43" s="152">
        <v>1.0</v>
      </c>
      <c r="H43" s="152">
        <f t="shared" si="8"/>
        <v>41.53846154</v>
      </c>
      <c r="I43" s="275">
        <f t="shared" si="9"/>
        <v>2.262962963</v>
      </c>
      <c r="J43" s="152" t="s">
        <v>158</v>
      </c>
    </row>
    <row r="44" ht="12.0" customHeight="1">
      <c r="A44" s="152" t="s">
        <v>83</v>
      </c>
      <c r="B44" s="159">
        <f>O6+O7+O8+O9+O17+O18+O19+O20</f>
        <v>14208.25</v>
      </c>
      <c r="C44" s="152">
        <f>ROUNDDOWN(B44/Parametros!$B$37,0)</f>
        <v>710</v>
      </c>
      <c r="D44" s="152">
        <f>ROUNDDOWN(C44/Parametros!$J$37,0)</f>
        <v>94</v>
      </c>
      <c r="E44" s="152">
        <f t="shared" si="7"/>
        <v>94</v>
      </c>
      <c r="F44" s="279">
        <f>Parametros!$M$55</f>
        <v>45.81818182</v>
      </c>
      <c r="G44" s="152">
        <v>1.0</v>
      </c>
      <c r="H44" s="152">
        <f t="shared" si="8"/>
        <v>45.81818182</v>
      </c>
      <c r="I44" s="275">
        <f t="shared" si="9"/>
        <v>2.051587302</v>
      </c>
      <c r="J44" s="152" t="s">
        <v>158</v>
      </c>
    </row>
    <row r="45" ht="12.0" customHeight="1">
      <c r="A45" s="152" t="s">
        <v>84</v>
      </c>
      <c r="B45" s="159">
        <f>O6+O7+O8+O9+O17+O18+O19+O20</f>
        <v>14208.25</v>
      </c>
      <c r="C45" s="152">
        <f>ROUNDDOWN(B45/Parametros!$B$37,0)</f>
        <v>710</v>
      </c>
      <c r="D45" s="152">
        <f>ROUNDDOWN(C45/Parametros!$J$37,0)</f>
        <v>94</v>
      </c>
      <c r="E45" s="152">
        <f t="shared" si="7"/>
        <v>94</v>
      </c>
      <c r="F45" s="279">
        <f>Parametros!$M$56</f>
        <v>48.81355932</v>
      </c>
      <c r="G45" s="152">
        <v>1.0</v>
      </c>
      <c r="H45" s="152">
        <f t="shared" si="8"/>
        <v>48.81355932</v>
      </c>
      <c r="I45" s="275">
        <f t="shared" si="9"/>
        <v>1.925694444</v>
      </c>
      <c r="J45" s="152" t="s">
        <v>158</v>
      </c>
    </row>
    <row r="46" ht="12.0" customHeight="1"/>
    <row r="47" ht="12.0" customHeight="1">
      <c r="A47" s="276" t="s">
        <v>1611</v>
      </c>
      <c r="B47" s="277">
        <f t="shared" ref="B47:M47" si="10">SUM(B10:B13)+SUM(B21:B24)</f>
        <v>157.59</v>
      </c>
      <c r="C47" s="277">
        <f t="shared" si="10"/>
        <v>139.05</v>
      </c>
      <c r="D47" s="277">
        <f t="shared" si="10"/>
        <v>166.86</v>
      </c>
      <c r="E47" s="277">
        <f t="shared" si="10"/>
        <v>166.86</v>
      </c>
      <c r="F47" s="277">
        <f t="shared" si="10"/>
        <v>166.86</v>
      </c>
      <c r="G47" s="278">
        <f t="shared" si="10"/>
        <v>148.32</v>
      </c>
      <c r="H47" s="278">
        <f t="shared" si="10"/>
        <v>166.86</v>
      </c>
      <c r="I47" s="278">
        <f t="shared" si="10"/>
        <v>166.86</v>
      </c>
      <c r="J47" s="278">
        <f t="shared" si="10"/>
        <v>157.59</v>
      </c>
      <c r="K47" s="278">
        <f t="shared" si="10"/>
        <v>139.05</v>
      </c>
      <c r="L47" s="278">
        <f t="shared" si="10"/>
        <v>129.78</v>
      </c>
      <c r="M47" s="278">
        <f t="shared" si="10"/>
        <v>148.32</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4.25"/>
    <col customWidth="1" min="2" max="6" width="12.63"/>
  </cols>
  <sheetData>
    <row r="1" ht="12.0" customHeight="1">
      <c r="A1" s="262" t="s">
        <v>1616</v>
      </c>
      <c r="B1" s="263"/>
      <c r="C1" s="263"/>
      <c r="D1" s="263"/>
      <c r="E1" s="263"/>
      <c r="F1" s="263"/>
      <c r="G1" s="263"/>
      <c r="H1" s="263"/>
      <c r="I1" s="263"/>
      <c r="J1" s="263"/>
      <c r="K1" s="263"/>
      <c r="L1" s="263"/>
      <c r="M1" s="263"/>
      <c r="N1" s="264"/>
    </row>
    <row r="2" ht="12.0" customHeight="1">
      <c r="A2" s="265" t="s">
        <v>1591</v>
      </c>
      <c r="B2" s="263"/>
      <c r="C2" s="263"/>
      <c r="D2" s="263"/>
      <c r="E2" s="263"/>
      <c r="F2" s="263"/>
      <c r="G2" s="263"/>
      <c r="H2" s="263"/>
      <c r="I2" s="263"/>
      <c r="J2" s="263"/>
      <c r="K2" s="263"/>
      <c r="L2" s="263"/>
      <c r="M2" s="263"/>
      <c r="N2" s="264"/>
    </row>
    <row r="3" ht="12.0" customHeight="1">
      <c r="A3" s="266" t="s">
        <v>1592</v>
      </c>
      <c r="B3" s="267">
        <v>2033.0</v>
      </c>
      <c r="C3" s="11"/>
      <c r="D3" s="11"/>
      <c r="E3" s="11"/>
      <c r="F3" s="11"/>
      <c r="G3" s="11"/>
      <c r="H3" s="11"/>
      <c r="I3" s="11"/>
      <c r="J3" s="11"/>
      <c r="K3" s="11"/>
      <c r="L3" s="11"/>
      <c r="M3" s="11"/>
      <c r="N3" s="11"/>
      <c r="O3" s="11"/>
    </row>
    <row r="4" ht="12.0" customHeight="1">
      <c r="A4" s="11"/>
      <c r="B4" s="11"/>
      <c r="C4" s="11"/>
      <c r="D4" s="11"/>
      <c r="E4" s="11"/>
      <c r="F4" s="11"/>
      <c r="G4" s="11"/>
      <c r="H4" s="11"/>
      <c r="I4" s="11"/>
      <c r="J4" s="11"/>
      <c r="K4" s="11"/>
      <c r="L4" s="11"/>
      <c r="M4" s="11"/>
      <c r="N4" s="11"/>
      <c r="O4" s="11"/>
    </row>
    <row r="5" ht="12.0" customHeight="1">
      <c r="A5" s="270"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152" t="s">
        <v>34</v>
      </c>
      <c r="B6" s="182">
        <f t="array" ref="B6">INDEX(datos_base!$B$3:$K$10,MATCH($A6,datos_base!$A$3:$A$10,0),MATCH($B$3,datos_base!$B$2:$K$2,0))*INDEX(Parametros!$B$11:$M$26,MATCH($A6,Parametros!$A$11:$A$26,0),MATCH(B$5,Parametros!$B$10:$M$10,0))</f>
        <v>3015.84</v>
      </c>
      <c r="C6" s="182">
        <f t="array" ref="C6">INDEX(datos_base!$B$3:$K$10,MATCH($A6,datos_base!$A$3:$A$10,0),MATCH($B$3,datos_base!$B$2:$K$2,0))*INDEX(Parametros!$B$11:$M$26,MATCH($A6,Parametros!$A$11:$A$26,0),MATCH(C$5,Parametros!$B$10:$M$10,0))</f>
        <v>2261.88</v>
      </c>
      <c r="D6" s="182">
        <f t="array" ref="D6">INDEX(datos_base!$B$3:$K$10,MATCH($A6,datos_base!$A$3:$A$10,0),MATCH($B$3,datos_base!$B$2:$K$2,0))*INDEX(Parametros!$B$11:$M$26,MATCH($A6,Parametros!$A$11:$A$26,0),MATCH(D$5,Parametros!$B$10:$M$10,0))</f>
        <v>2010.56</v>
      </c>
      <c r="E6" s="182">
        <f t="array" ref="E6">INDEX(datos_base!$B$3:$K$10,MATCH($A6,datos_base!$A$3:$A$10,0),MATCH($B$3,datos_base!$B$2:$K$2,0))*INDEX(Parametros!$B$11:$M$26,MATCH($A6,Parametros!$A$11:$A$26,0),MATCH(E$5,Parametros!$B$10:$M$10,0))</f>
        <v>1884.9</v>
      </c>
      <c r="F6" s="182">
        <f t="array" ref="F6">INDEX(datos_base!$B$3:$K$10,MATCH($A6,datos_base!$A$3:$A$10,0),MATCH($B$3,datos_base!$B$2:$K$2,0))*INDEX(Parametros!$B$11:$M$26,MATCH($A6,Parametros!$A$11:$A$26,0),MATCH(F$5,Parametros!$B$10:$M$10,0))</f>
        <v>1759.24</v>
      </c>
      <c r="G6" s="182">
        <f t="array" ref="G6">INDEX(datos_base!$B$3:$K$10,MATCH($A6,datos_base!$A$3:$A$10,0),MATCH($B$3,datos_base!$B$2:$K$2,0))*INDEX(Parametros!$B$11:$M$26,MATCH($A6,Parametros!$A$11:$A$26,0),MATCH(G$5,Parametros!$B$10:$M$10,0))</f>
        <v>1759.24</v>
      </c>
      <c r="H6" s="182">
        <f t="array" ref="H6">INDEX(datos_base!$B$3:$K$10,MATCH($A6,datos_base!$A$3:$A$10,0),MATCH($B$3,datos_base!$B$2:$K$2,0))*INDEX(Parametros!$B$11:$M$26,MATCH($A6,Parametros!$A$11:$A$26,0),MATCH(H$5,Parametros!$B$10:$M$10,0))</f>
        <v>1884.9</v>
      </c>
      <c r="I6" s="182">
        <f t="array" ref="I6">INDEX(datos_base!$B$3:$K$10,MATCH($A6,datos_base!$A$3:$A$10,0),MATCH($B$3,datos_base!$B$2:$K$2,0))*INDEX(Parametros!$B$11:$M$26,MATCH($A6,Parametros!$A$11:$A$26,0),MATCH(I$5,Parametros!$B$10:$M$10,0))</f>
        <v>1884.9</v>
      </c>
      <c r="J6" s="182">
        <f t="array" ref="J6">INDEX(datos_base!$B$3:$K$10,MATCH($A6,datos_base!$A$3:$A$10,0),MATCH($B$3,datos_base!$B$2:$K$2,0))*INDEX(Parametros!$B$11:$M$26,MATCH($A6,Parametros!$A$11:$A$26,0),MATCH(J$5,Parametros!$B$10:$M$10,0))</f>
        <v>1884.9</v>
      </c>
      <c r="K6" s="182">
        <f t="array" ref="K6">INDEX(datos_base!$B$3:$K$10,MATCH($A6,datos_base!$A$3:$A$10,0),MATCH($B$3,datos_base!$B$2:$K$2,0))*INDEX(Parametros!$B$11:$M$26,MATCH($A6,Parametros!$A$11:$A$26,0),MATCH(K$5,Parametros!$B$10:$M$10,0))</f>
        <v>1884.9</v>
      </c>
      <c r="L6" s="182">
        <f t="array" ref="L6">INDEX(datos_base!$B$3:$K$10,MATCH($A6,datos_base!$A$3:$A$10,0),MATCH($B$3,datos_base!$B$2:$K$2,0))*INDEX(Parametros!$B$11:$M$26,MATCH($A6,Parametros!$A$11:$A$26,0),MATCH(L$5,Parametros!$B$10:$M$10,0))</f>
        <v>1884.9</v>
      </c>
      <c r="M6" s="182">
        <f t="array" ref="M6">INDEX(datos_base!$B$3:$K$10,MATCH($A6,datos_base!$A$3:$A$10,0),MATCH($B$3,datos_base!$B$2:$K$2,0))*INDEX(Parametros!$B$11:$M$26,MATCH($A6,Parametros!$A$11:$A$26,0),MATCH(M$5,Parametros!$B$10:$M$10,0))</f>
        <v>3015.84</v>
      </c>
      <c r="N6" s="271">
        <f t="shared" ref="N6:N13" si="1">SUM(B6:M6)</f>
        <v>25132</v>
      </c>
      <c r="O6" s="271">
        <f t="shared" ref="O6:O14" si="2">AVERAGE(B6:M6)</f>
        <v>2094.333333</v>
      </c>
    </row>
    <row r="7" ht="12.0" customHeight="1">
      <c r="A7" s="152" t="s">
        <v>43</v>
      </c>
      <c r="B7" s="182">
        <f t="array" ref="B7">INDEX(datos_base!$B$3:$K$10,MATCH($A7,datos_base!$A$3:$A$10,0),MATCH($B$3,datos_base!$B$2:$K$2,0))*INDEX(Parametros!$B$11:$M$26,MATCH($A7,Parametros!$A$11:$A$26,0),MATCH(B$5,Parametros!$B$10:$M$10,0))</f>
        <v>510.5</v>
      </c>
      <c r="C7" s="182">
        <f t="array" ref="C7">INDEX(datos_base!$B$3:$K$10,MATCH($A7,datos_base!$A$3:$A$10,0),MATCH($B$3,datos_base!$B$2:$K$2,0))*INDEX(Parametros!$B$11:$M$26,MATCH($A7,Parametros!$A$11:$A$26,0),MATCH(C$5,Parametros!$B$10:$M$10,0))</f>
        <v>408.4</v>
      </c>
      <c r="D7" s="182">
        <f t="array" ref="D7">INDEX(datos_base!$B$3:$K$10,MATCH($A7,datos_base!$A$3:$A$10,0),MATCH($B$3,datos_base!$B$2:$K$2,0))*INDEX(Parametros!$B$11:$M$26,MATCH($A7,Parametros!$A$11:$A$26,0),MATCH(D$5,Parametros!$B$10:$M$10,0))</f>
        <v>433.925</v>
      </c>
      <c r="E7" s="182">
        <f t="array" ref="E7">INDEX(datos_base!$B$3:$K$10,MATCH($A7,datos_base!$A$3:$A$10,0),MATCH($B$3,datos_base!$B$2:$K$2,0))*INDEX(Parametros!$B$11:$M$26,MATCH($A7,Parametros!$A$11:$A$26,0),MATCH(E$5,Parametros!$B$10:$M$10,0))</f>
        <v>433.925</v>
      </c>
      <c r="F7" s="182">
        <f t="array" ref="F7">INDEX(datos_base!$B$3:$K$10,MATCH($A7,datos_base!$A$3:$A$10,0),MATCH($B$3,datos_base!$B$2:$K$2,0))*INDEX(Parametros!$B$11:$M$26,MATCH($A7,Parametros!$A$11:$A$26,0),MATCH(F$5,Parametros!$B$10:$M$10,0))</f>
        <v>408.4</v>
      </c>
      <c r="G7" s="182">
        <f t="array" ref="G7">INDEX(datos_base!$B$3:$K$10,MATCH($A7,datos_base!$A$3:$A$10,0),MATCH($B$3,datos_base!$B$2:$K$2,0))*INDEX(Parametros!$B$11:$M$26,MATCH($A7,Parametros!$A$11:$A$26,0),MATCH(G$5,Parametros!$B$10:$M$10,0))</f>
        <v>382.875</v>
      </c>
      <c r="H7" s="182">
        <f t="array" ref="H7">INDEX(datos_base!$B$3:$K$10,MATCH($A7,datos_base!$A$3:$A$10,0),MATCH($B$3,datos_base!$B$2:$K$2,0))*INDEX(Parametros!$B$11:$M$26,MATCH($A7,Parametros!$A$11:$A$26,0),MATCH(H$5,Parametros!$B$10:$M$10,0))</f>
        <v>408.4</v>
      </c>
      <c r="I7" s="182">
        <f t="array" ref="I7">INDEX(datos_base!$B$3:$K$10,MATCH($A7,datos_base!$A$3:$A$10,0),MATCH($B$3,datos_base!$B$2:$K$2,0))*INDEX(Parametros!$B$11:$M$26,MATCH($A7,Parametros!$A$11:$A$26,0),MATCH(I$5,Parametros!$B$10:$M$10,0))</f>
        <v>408.4</v>
      </c>
      <c r="J7" s="182">
        <f t="array" ref="J7">INDEX(datos_base!$B$3:$K$10,MATCH($A7,datos_base!$A$3:$A$10,0),MATCH($B$3,datos_base!$B$2:$K$2,0))*INDEX(Parametros!$B$11:$M$26,MATCH($A7,Parametros!$A$11:$A$26,0),MATCH(J$5,Parametros!$B$10:$M$10,0))</f>
        <v>408.4</v>
      </c>
      <c r="K7" s="182">
        <f t="array" ref="K7">INDEX(datos_base!$B$3:$K$10,MATCH($A7,datos_base!$A$3:$A$10,0),MATCH($B$3,datos_base!$B$2:$K$2,0))*INDEX(Parametros!$B$11:$M$26,MATCH($A7,Parametros!$A$11:$A$26,0),MATCH(K$5,Parametros!$B$10:$M$10,0))</f>
        <v>382.875</v>
      </c>
      <c r="L7" s="182">
        <f t="array" ref="L7">INDEX(datos_base!$B$3:$K$10,MATCH($A7,datos_base!$A$3:$A$10,0),MATCH($B$3,datos_base!$B$2:$K$2,0))*INDEX(Parametros!$B$11:$M$26,MATCH($A7,Parametros!$A$11:$A$26,0),MATCH(L$5,Parametros!$B$10:$M$10,0))</f>
        <v>357.35</v>
      </c>
      <c r="M7" s="182">
        <f t="array" ref="M7">INDEX(datos_base!$B$3:$K$10,MATCH($A7,datos_base!$A$3:$A$10,0),MATCH($B$3,datos_base!$B$2:$K$2,0))*INDEX(Parametros!$B$11:$M$26,MATCH($A7,Parametros!$A$11:$A$26,0),MATCH(M$5,Parametros!$B$10:$M$10,0))</f>
        <v>561.55</v>
      </c>
      <c r="N7" s="271">
        <f t="shared" si="1"/>
        <v>5105</v>
      </c>
      <c r="O7" s="271">
        <f t="shared" si="2"/>
        <v>425.4166667</v>
      </c>
    </row>
    <row r="8" ht="12.0" customHeight="1">
      <c r="A8" s="152" t="s">
        <v>53</v>
      </c>
      <c r="B8" s="182">
        <f t="array" ref="B8">INDEX(datos_base!$B$3:$K$10,MATCH($A8,datos_base!$A$3:$A$10,0),MATCH($B$3,datos_base!$B$2:$K$2,0))*INDEX(Parametros!$B$11:$M$26,MATCH($A8,Parametros!$A$11:$A$26,0),MATCH(B$5,Parametros!$B$10:$M$10,0))</f>
        <v>2336.8</v>
      </c>
      <c r="C8" s="182">
        <f t="array" ref="C8">INDEX(datos_base!$B$3:$K$10,MATCH($A8,datos_base!$A$3:$A$10,0),MATCH($B$3,datos_base!$B$2:$K$2,0))*INDEX(Parametros!$B$11:$M$26,MATCH($A8,Parametros!$A$11:$A$26,0),MATCH(C$5,Parametros!$B$10:$M$10,0))</f>
        <v>1869.44</v>
      </c>
      <c r="D8" s="182">
        <f t="array" ref="D8">INDEX(datos_base!$B$3:$K$10,MATCH($A8,datos_base!$A$3:$A$10,0),MATCH($B$3,datos_base!$B$2:$K$2,0))*INDEX(Parametros!$B$11:$M$26,MATCH($A8,Parametros!$A$11:$A$26,0),MATCH(D$5,Parametros!$B$10:$M$10,0))</f>
        <v>1986.28</v>
      </c>
      <c r="E8" s="182">
        <f t="array" ref="E8">INDEX(datos_base!$B$3:$K$10,MATCH($A8,datos_base!$A$3:$A$10,0),MATCH($B$3,datos_base!$B$2:$K$2,0))*INDEX(Parametros!$B$11:$M$26,MATCH($A8,Parametros!$A$11:$A$26,0),MATCH(E$5,Parametros!$B$10:$M$10,0))</f>
        <v>1986.28</v>
      </c>
      <c r="F8" s="182">
        <f t="array" ref="F8">INDEX(datos_base!$B$3:$K$10,MATCH($A8,datos_base!$A$3:$A$10,0),MATCH($B$3,datos_base!$B$2:$K$2,0))*INDEX(Parametros!$B$11:$M$26,MATCH($A8,Parametros!$A$11:$A$26,0),MATCH(F$5,Parametros!$B$10:$M$10,0))</f>
        <v>1869.44</v>
      </c>
      <c r="G8" s="182">
        <f t="array" ref="G8">INDEX(datos_base!$B$3:$K$10,MATCH($A8,datos_base!$A$3:$A$10,0),MATCH($B$3,datos_base!$B$2:$K$2,0))*INDEX(Parametros!$B$11:$M$26,MATCH($A8,Parametros!$A$11:$A$26,0),MATCH(G$5,Parametros!$B$10:$M$10,0))</f>
        <v>1752.6</v>
      </c>
      <c r="H8" s="182">
        <f t="array" ref="H8">INDEX(datos_base!$B$3:$K$10,MATCH($A8,datos_base!$A$3:$A$10,0),MATCH($B$3,datos_base!$B$2:$K$2,0))*INDEX(Parametros!$B$11:$M$26,MATCH($A8,Parametros!$A$11:$A$26,0),MATCH(H$5,Parametros!$B$10:$M$10,0))</f>
        <v>1869.44</v>
      </c>
      <c r="I8" s="182">
        <f t="array" ref="I8">INDEX(datos_base!$B$3:$K$10,MATCH($A8,datos_base!$A$3:$A$10,0),MATCH($B$3,datos_base!$B$2:$K$2,0))*INDEX(Parametros!$B$11:$M$26,MATCH($A8,Parametros!$A$11:$A$26,0),MATCH(I$5,Parametros!$B$10:$M$10,0))</f>
        <v>1869.44</v>
      </c>
      <c r="J8" s="182">
        <f t="array" ref="J8">INDEX(datos_base!$B$3:$K$10,MATCH($A8,datos_base!$A$3:$A$10,0),MATCH($B$3,datos_base!$B$2:$K$2,0))*INDEX(Parametros!$B$11:$M$26,MATCH($A8,Parametros!$A$11:$A$26,0),MATCH(J$5,Parametros!$B$10:$M$10,0))</f>
        <v>1869.44</v>
      </c>
      <c r="K8" s="182">
        <f t="array" ref="K8">INDEX(datos_base!$B$3:$K$10,MATCH($A8,datos_base!$A$3:$A$10,0),MATCH($B$3,datos_base!$B$2:$K$2,0))*INDEX(Parametros!$B$11:$M$26,MATCH($A8,Parametros!$A$11:$A$26,0),MATCH(K$5,Parametros!$B$10:$M$10,0))</f>
        <v>1752.6</v>
      </c>
      <c r="L8" s="182">
        <f t="array" ref="L8">INDEX(datos_base!$B$3:$K$10,MATCH($A8,datos_base!$A$3:$A$10,0),MATCH($B$3,datos_base!$B$2:$K$2,0))*INDEX(Parametros!$B$11:$M$26,MATCH($A8,Parametros!$A$11:$A$26,0),MATCH(L$5,Parametros!$B$10:$M$10,0))</f>
        <v>1635.76</v>
      </c>
      <c r="M8" s="182">
        <f t="array" ref="M8">INDEX(datos_base!$B$3:$K$10,MATCH($A8,datos_base!$A$3:$A$10,0),MATCH($B$3,datos_base!$B$2:$K$2,0))*INDEX(Parametros!$B$11:$M$26,MATCH($A8,Parametros!$A$11:$A$26,0),MATCH(M$5,Parametros!$B$10:$M$10,0))</f>
        <v>2570.48</v>
      </c>
      <c r="N8" s="271">
        <f t="shared" si="1"/>
        <v>23368</v>
      </c>
      <c r="O8" s="271">
        <f t="shared" si="2"/>
        <v>1947.333333</v>
      </c>
    </row>
    <row r="9" ht="12.0" customHeight="1">
      <c r="A9" s="152" t="s">
        <v>59</v>
      </c>
      <c r="B9" s="182">
        <f t="array" ref="B9">INDEX(datos_base!$B$3:$K$10,MATCH($A9,datos_base!$A$3:$A$10,0),MATCH($B$3,datos_base!$B$2:$K$2,0))*INDEX(Parametros!$B$11:$M$26,MATCH($A9,Parametros!$A$11:$A$26,0),MATCH(B$5,Parametros!$B$10:$M$10,0))</f>
        <v>139.5</v>
      </c>
      <c r="C9" s="182">
        <f t="array" ref="C9">INDEX(datos_base!$B$3:$K$10,MATCH($A9,datos_base!$A$3:$A$10,0),MATCH($B$3,datos_base!$B$2:$K$2,0))*INDEX(Parametros!$B$11:$M$26,MATCH($A9,Parametros!$A$11:$A$26,0),MATCH(C$5,Parametros!$B$10:$M$10,0))</f>
        <v>111.6</v>
      </c>
      <c r="D9" s="182">
        <f t="array" ref="D9">INDEX(datos_base!$B$3:$K$10,MATCH($A9,datos_base!$A$3:$A$10,0),MATCH($B$3,datos_base!$B$2:$K$2,0))*INDEX(Parametros!$B$11:$M$26,MATCH($A9,Parametros!$A$11:$A$26,0),MATCH(D$5,Parametros!$B$10:$M$10,0))</f>
        <v>118.575</v>
      </c>
      <c r="E9" s="182">
        <f t="array" ref="E9">INDEX(datos_base!$B$3:$K$10,MATCH($A9,datos_base!$A$3:$A$10,0),MATCH($B$3,datos_base!$B$2:$K$2,0))*INDEX(Parametros!$B$11:$M$26,MATCH($A9,Parametros!$A$11:$A$26,0),MATCH(E$5,Parametros!$B$10:$M$10,0))</f>
        <v>118.575</v>
      </c>
      <c r="F9" s="182">
        <f t="array" ref="F9">INDEX(datos_base!$B$3:$K$10,MATCH($A9,datos_base!$A$3:$A$10,0),MATCH($B$3,datos_base!$B$2:$K$2,0))*INDEX(Parametros!$B$11:$M$26,MATCH($A9,Parametros!$A$11:$A$26,0),MATCH(F$5,Parametros!$B$10:$M$10,0))</f>
        <v>111.6</v>
      </c>
      <c r="G9" s="182">
        <f t="array" ref="G9">INDEX(datos_base!$B$3:$K$10,MATCH($A9,datos_base!$A$3:$A$10,0),MATCH($B$3,datos_base!$B$2:$K$2,0))*INDEX(Parametros!$B$11:$M$26,MATCH($A9,Parametros!$A$11:$A$26,0),MATCH(G$5,Parametros!$B$10:$M$10,0))</f>
        <v>104.625</v>
      </c>
      <c r="H9" s="182">
        <f t="array" ref="H9">INDEX(datos_base!$B$3:$K$10,MATCH($A9,datos_base!$A$3:$A$10,0),MATCH($B$3,datos_base!$B$2:$K$2,0))*INDEX(Parametros!$B$11:$M$26,MATCH($A9,Parametros!$A$11:$A$26,0),MATCH(H$5,Parametros!$B$10:$M$10,0))</f>
        <v>111.6</v>
      </c>
      <c r="I9" s="182">
        <f t="array" ref="I9">INDEX(datos_base!$B$3:$K$10,MATCH($A9,datos_base!$A$3:$A$10,0),MATCH($B$3,datos_base!$B$2:$K$2,0))*INDEX(Parametros!$B$11:$M$26,MATCH($A9,Parametros!$A$11:$A$26,0),MATCH(I$5,Parametros!$B$10:$M$10,0))</f>
        <v>111.6</v>
      </c>
      <c r="J9" s="182">
        <f t="array" ref="J9">INDEX(datos_base!$B$3:$K$10,MATCH($A9,datos_base!$A$3:$A$10,0),MATCH($B$3,datos_base!$B$2:$K$2,0))*INDEX(Parametros!$B$11:$M$26,MATCH($A9,Parametros!$A$11:$A$26,0),MATCH(J$5,Parametros!$B$10:$M$10,0))</f>
        <v>111.6</v>
      </c>
      <c r="K9" s="182">
        <f t="array" ref="K9">INDEX(datos_base!$B$3:$K$10,MATCH($A9,datos_base!$A$3:$A$10,0),MATCH($B$3,datos_base!$B$2:$K$2,0))*INDEX(Parametros!$B$11:$M$26,MATCH($A9,Parametros!$A$11:$A$26,0),MATCH(K$5,Parametros!$B$10:$M$10,0))</f>
        <v>104.625</v>
      </c>
      <c r="L9" s="182">
        <f t="array" ref="L9">INDEX(datos_base!$B$3:$K$10,MATCH($A9,datos_base!$A$3:$A$10,0),MATCH($B$3,datos_base!$B$2:$K$2,0))*INDEX(Parametros!$B$11:$M$26,MATCH($A9,Parametros!$A$11:$A$26,0),MATCH(L$5,Parametros!$B$10:$M$10,0))</f>
        <v>97.65</v>
      </c>
      <c r="M9" s="182">
        <f t="array" ref="M9">INDEX(datos_base!$B$3:$K$10,MATCH($A9,datos_base!$A$3:$A$10,0),MATCH($B$3,datos_base!$B$2:$K$2,0))*INDEX(Parametros!$B$11:$M$26,MATCH($A9,Parametros!$A$11:$A$26,0),MATCH(M$5,Parametros!$B$10:$M$10,0))</f>
        <v>153.45</v>
      </c>
      <c r="N9" s="271">
        <f t="shared" si="1"/>
        <v>1395</v>
      </c>
      <c r="O9" s="271">
        <f t="shared" si="2"/>
        <v>116.25</v>
      </c>
    </row>
    <row r="10" ht="12.0" customHeight="1">
      <c r="A10" s="152" t="s">
        <v>75</v>
      </c>
      <c r="B10" s="182">
        <f t="array" ref="B10">INDEX(datos_base!$B$3:$K$10,MATCH($A10,datos_base!$A$3:$A$10,0),MATCH($B$3,datos_base!$B$2:$K$2,0))*INDEX(Parametros!$B$11:$M$26,MATCH($A10,Parametros!$A$11:$A$26,0),MATCH(B$5,Parametros!$B$10:$M$10,0))</f>
        <v>28.73</v>
      </c>
      <c r="C10" s="182">
        <f t="array" ref="C10">INDEX(datos_base!$B$3:$K$10,MATCH($A10,datos_base!$A$3:$A$10,0),MATCH($B$3,datos_base!$B$2:$K$2,0))*INDEX(Parametros!$B$11:$M$26,MATCH($A10,Parametros!$A$11:$A$26,0),MATCH(C$5,Parametros!$B$10:$M$10,0))</f>
        <v>25.35</v>
      </c>
      <c r="D10" s="182">
        <f t="array" ref="D10">INDEX(datos_base!$B$3:$K$10,MATCH($A10,datos_base!$A$3:$A$10,0),MATCH($B$3,datos_base!$B$2:$K$2,0))*INDEX(Parametros!$B$11:$M$26,MATCH($A10,Parametros!$A$11:$A$26,0),MATCH(D$5,Parametros!$B$10:$M$10,0))</f>
        <v>30.42</v>
      </c>
      <c r="E10" s="182">
        <f t="array" ref="E10">INDEX(datos_base!$B$3:$K$10,MATCH($A10,datos_base!$A$3:$A$10,0),MATCH($B$3,datos_base!$B$2:$K$2,0))*INDEX(Parametros!$B$11:$M$26,MATCH($A10,Parametros!$A$11:$A$26,0),MATCH(E$5,Parametros!$B$10:$M$10,0))</f>
        <v>30.42</v>
      </c>
      <c r="F10" s="182">
        <f t="array" ref="F10">INDEX(datos_base!$B$3:$K$10,MATCH($A10,datos_base!$A$3:$A$10,0),MATCH($B$3,datos_base!$B$2:$K$2,0))*INDEX(Parametros!$B$11:$M$26,MATCH($A10,Parametros!$A$11:$A$26,0),MATCH(F$5,Parametros!$B$10:$M$10,0))</f>
        <v>30.42</v>
      </c>
      <c r="G10" s="182">
        <f t="array" ref="G10">INDEX(datos_base!$B$3:$K$10,MATCH($A10,datos_base!$A$3:$A$10,0),MATCH($B$3,datos_base!$B$2:$K$2,0))*INDEX(Parametros!$B$11:$M$26,MATCH($A10,Parametros!$A$11:$A$26,0),MATCH(G$5,Parametros!$B$10:$M$10,0))</f>
        <v>27.04</v>
      </c>
      <c r="H10" s="182">
        <f t="array" ref="H10">INDEX(datos_base!$B$3:$K$10,MATCH($A10,datos_base!$A$3:$A$10,0),MATCH($B$3,datos_base!$B$2:$K$2,0))*INDEX(Parametros!$B$11:$M$26,MATCH($A10,Parametros!$A$11:$A$26,0),MATCH(H$5,Parametros!$B$10:$M$10,0))</f>
        <v>30.42</v>
      </c>
      <c r="I10" s="182">
        <f t="array" ref="I10">INDEX(datos_base!$B$3:$K$10,MATCH($A10,datos_base!$A$3:$A$10,0),MATCH($B$3,datos_base!$B$2:$K$2,0))*INDEX(Parametros!$B$11:$M$26,MATCH($A10,Parametros!$A$11:$A$26,0),MATCH(I$5,Parametros!$B$10:$M$10,0))</f>
        <v>30.42</v>
      </c>
      <c r="J10" s="182">
        <f t="array" ref="J10">INDEX(datos_base!$B$3:$K$10,MATCH($A10,datos_base!$A$3:$A$10,0),MATCH($B$3,datos_base!$B$2:$K$2,0))*INDEX(Parametros!$B$11:$M$26,MATCH($A10,Parametros!$A$11:$A$26,0),MATCH(J$5,Parametros!$B$10:$M$10,0))</f>
        <v>28.73</v>
      </c>
      <c r="K10" s="182">
        <f t="array" ref="K10">INDEX(datos_base!$B$3:$K$10,MATCH($A10,datos_base!$A$3:$A$10,0),MATCH($B$3,datos_base!$B$2:$K$2,0))*INDEX(Parametros!$B$11:$M$26,MATCH($A10,Parametros!$A$11:$A$26,0),MATCH(K$5,Parametros!$B$10:$M$10,0))</f>
        <v>25.35</v>
      </c>
      <c r="L10" s="182">
        <f t="array" ref="L10">INDEX(datos_base!$B$3:$K$10,MATCH($A10,datos_base!$A$3:$A$10,0),MATCH($B$3,datos_base!$B$2:$K$2,0))*INDEX(Parametros!$B$11:$M$26,MATCH($A10,Parametros!$A$11:$A$26,0),MATCH(L$5,Parametros!$B$10:$M$10,0))</f>
        <v>23.66</v>
      </c>
      <c r="M10" s="182">
        <f t="array" ref="M10">INDEX(datos_base!$B$3:$K$10,MATCH($A10,datos_base!$A$3:$A$10,0),MATCH($B$3,datos_base!$B$2:$K$2,0))*INDEX(Parametros!$B$11:$M$26,MATCH($A10,Parametros!$A$11:$A$26,0),MATCH(M$5,Parametros!$B$10:$M$10,0))</f>
        <v>27.04</v>
      </c>
      <c r="N10" s="271">
        <f t="shared" si="1"/>
        <v>338</v>
      </c>
      <c r="O10" s="271">
        <f t="shared" si="2"/>
        <v>28.16666667</v>
      </c>
    </row>
    <row r="11" ht="12.0" customHeight="1">
      <c r="A11" s="152" t="s">
        <v>86</v>
      </c>
      <c r="B11" s="182">
        <f t="array" ref="B11">INDEX(datos_base!$B$3:$K$10,MATCH($A11,datos_base!$A$3:$A$10,0),MATCH($B$3,datos_base!$B$2:$K$2,0))*INDEX(Parametros!$B$11:$M$26,MATCH($A11,Parametros!$A$11:$A$26,0),MATCH(B$5,Parametros!$B$10:$M$10,0))</f>
        <v>63.155</v>
      </c>
      <c r="C11" s="182">
        <f t="array" ref="C11">INDEX(datos_base!$B$3:$K$10,MATCH($A11,datos_base!$A$3:$A$10,0),MATCH($B$3,datos_base!$B$2:$K$2,0))*INDEX(Parametros!$B$11:$M$26,MATCH($A11,Parametros!$A$11:$A$26,0),MATCH(C$5,Parametros!$B$10:$M$10,0))</f>
        <v>55.725</v>
      </c>
      <c r="D11" s="182">
        <f t="array" ref="D11">INDEX(datos_base!$B$3:$K$10,MATCH($A11,datos_base!$A$3:$A$10,0),MATCH($B$3,datos_base!$B$2:$K$2,0))*INDEX(Parametros!$B$11:$M$26,MATCH($A11,Parametros!$A$11:$A$26,0),MATCH(D$5,Parametros!$B$10:$M$10,0))</f>
        <v>66.87</v>
      </c>
      <c r="E11" s="182">
        <f t="array" ref="E11">INDEX(datos_base!$B$3:$K$10,MATCH($A11,datos_base!$A$3:$A$10,0),MATCH($B$3,datos_base!$B$2:$K$2,0))*INDEX(Parametros!$B$11:$M$26,MATCH($A11,Parametros!$A$11:$A$26,0),MATCH(E$5,Parametros!$B$10:$M$10,0))</f>
        <v>66.87</v>
      </c>
      <c r="F11" s="182">
        <f t="array" ref="F11">INDEX(datos_base!$B$3:$K$10,MATCH($A11,datos_base!$A$3:$A$10,0),MATCH($B$3,datos_base!$B$2:$K$2,0))*INDEX(Parametros!$B$11:$M$26,MATCH($A11,Parametros!$A$11:$A$26,0),MATCH(F$5,Parametros!$B$10:$M$10,0))</f>
        <v>66.87</v>
      </c>
      <c r="G11" s="182">
        <f t="array" ref="G11">INDEX(datos_base!$B$3:$K$10,MATCH($A11,datos_base!$A$3:$A$10,0),MATCH($B$3,datos_base!$B$2:$K$2,0))*INDEX(Parametros!$B$11:$M$26,MATCH($A11,Parametros!$A$11:$A$26,0),MATCH(G$5,Parametros!$B$10:$M$10,0))</f>
        <v>59.44</v>
      </c>
      <c r="H11" s="182">
        <f t="array" ref="H11">INDEX(datos_base!$B$3:$K$10,MATCH($A11,datos_base!$A$3:$A$10,0),MATCH($B$3,datos_base!$B$2:$K$2,0))*INDEX(Parametros!$B$11:$M$26,MATCH($A11,Parametros!$A$11:$A$26,0),MATCH(H$5,Parametros!$B$10:$M$10,0))</f>
        <v>66.87</v>
      </c>
      <c r="I11" s="182">
        <f t="array" ref="I11">INDEX(datos_base!$B$3:$K$10,MATCH($A11,datos_base!$A$3:$A$10,0),MATCH($B$3,datos_base!$B$2:$K$2,0))*INDEX(Parametros!$B$11:$M$26,MATCH($A11,Parametros!$A$11:$A$26,0),MATCH(I$5,Parametros!$B$10:$M$10,0))</f>
        <v>66.87</v>
      </c>
      <c r="J11" s="182">
        <f t="array" ref="J11">INDEX(datos_base!$B$3:$K$10,MATCH($A11,datos_base!$A$3:$A$10,0),MATCH($B$3,datos_base!$B$2:$K$2,0))*INDEX(Parametros!$B$11:$M$26,MATCH($A11,Parametros!$A$11:$A$26,0),MATCH(J$5,Parametros!$B$10:$M$10,0))</f>
        <v>63.155</v>
      </c>
      <c r="K11" s="182">
        <f t="array" ref="K11">INDEX(datos_base!$B$3:$K$10,MATCH($A11,datos_base!$A$3:$A$10,0),MATCH($B$3,datos_base!$B$2:$K$2,0))*INDEX(Parametros!$B$11:$M$26,MATCH($A11,Parametros!$A$11:$A$26,0),MATCH(K$5,Parametros!$B$10:$M$10,0))</f>
        <v>55.725</v>
      </c>
      <c r="L11" s="182">
        <f t="array" ref="L11">INDEX(datos_base!$B$3:$K$10,MATCH($A11,datos_base!$A$3:$A$10,0),MATCH($B$3,datos_base!$B$2:$K$2,0))*INDEX(Parametros!$B$11:$M$26,MATCH($A11,Parametros!$A$11:$A$26,0),MATCH(L$5,Parametros!$B$10:$M$10,0))</f>
        <v>52.01</v>
      </c>
      <c r="M11" s="182">
        <f t="array" ref="M11">INDEX(datos_base!$B$3:$K$10,MATCH($A11,datos_base!$A$3:$A$10,0),MATCH($B$3,datos_base!$B$2:$K$2,0))*INDEX(Parametros!$B$11:$M$26,MATCH($A11,Parametros!$A$11:$A$26,0),MATCH(M$5,Parametros!$B$10:$M$10,0))</f>
        <v>59.44</v>
      </c>
      <c r="N11" s="271">
        <f t="shared" si="1"/>
        <v>743</v>
      </c>
      <c r="O11" s="271">
        <f t="shared" si="2"/>
        <v>61.91666667</v>
      </c>
    </row>
    <row r="12" ht="12.0" customHeight="1">
      <c r="A12" s="152" t="s">
        <v>95</v>
      </c>
      <c r="B12" s="182">
        <f t="array" ref="B12">INDEX(datos_base!$B$3:$K$10,MATCH($A12,datos_base!$A$3:$A$10,0),MATCH($B$3,datos_base!$B$2:$K$2,0))*INDEX(Parametros!$B$11:$M$26,MATCH($A12,Parametros!$A$11:$A$26,0),MATCH(B$5,Parametros!$B$10:$M$10,0))</f>
        <v>13.855</v>
      </c>
      <c r="C12" s="182">
        <f t="array" ref="C12">INDEX(datos_base!$B$3:$K$10,MATCH($A12,datos_base!$A$3:$A$10,0),MATCH($B$3,datos_base!$B$2:$K$2,0))*INDEX(Parametros!$B$11:$M$26,MATCH($A12,Parametros!$A$11:$A$26,0),MATCH(C$5,Parametros!$B$10:$M$10,0))</f>
        <v>12.225</v>
      </c>
      <c r="D12" s="182">
        <f t="array" ref="D12">INDEX(datos_base!$B$3:$K$10,MATCH($A12,datos_base!$A$3:$A$10,0),MATCH($B$3,datos_base!$B$2:$K$2,0))*INDEX(Parametros!$B$11:$M$26,MATCH($A12,Parametros!$A$11:$A$26,0),MATCH(D$5,Parametros!$B$10:$M$10,0))</f>
        <v>14.67</v>
      </c>
      <c r="E12" s="182">
        <f t="array" ref="E12">INDEX(datos_base!$B$3:$K$10,MATCH($A12,datos_base!$A$3:$A$10,0),MATCH($B$3,datos_base!$B$2:$K$2,0))*INDEX(Parametros!$B$11:$M$26,MATCH($A12,Parametros!$A$11:$A$26,0),MATCH(E$5,Parametros!$B$10:$M$10,0))</f>
        <v>14.67</v>
      </c>
      <c r="F12" s="182">
        <f t="array" ref="F12">INDEX(datos_base!$B$3:$K$10,MATCH($A12,datos_base!$A$3:$A$10,0),MATCH($B$3,datos_base!$B$2:$K$2,0))*INDEX(Parametros!$B$11:$M$26,MATCH($A12,Parametros!$A$11:$A$26,0),MATCH(F$5,Parametros!$B$10:$M$10,0))</f>
        <v>14.67</v>
      </c>
      <c r="G12" s="182">
        <f t="array" ref="G12">INDEX(datos_base!$B$3:$K$10,MATCH($A12,datos_base!$A$3:$A$10,0),MATCH($B$3,datos_base!$B$2:$K$2,0))*INDEX(Parametros!$B$11:$M$26,MATCH($A12,Parametros!$A$11:$A$26,0),MATCH(G$5,Parametros!$B$10:$M$10,0))</f>
        <v>13.04</v>
      </c>
      <c r="H12" s="182">
        <f t="array" ref="H12">INDEX(datos_base!$B$3:$K$10,MATCH($A12,datos_base!$A$3:$A$10,0),MATCH($B$3,datos_base!$B$2:$K$2,0))*INDEX(Parametros!$B$11:$M$26,MATCH($A12,Parametros!$A$11:$A$26,0),MATCH(H$5,Parametros!$B$10:$M$10,0))</f>
        <v>14.67</v>
      </c>
      <c r="I12" s="182">
        <f t="array" ref="I12">INDEX(datos_base!$B$3:$K$10,MATCH($A12,datos_base!$A$3:$A$10,0),MATCH($B$3,datos_base!$B$2:$K$2,0))*INDEX(Parametros!$B$11:$M$26,MATCH($A12,Parametros!$A$11:$A$26,0),MATCH(I$5,Parametros!$B$10:$M$10,0))</f>
        <v>14.67</v>
      </c>
      <c r="J12" s="182">
        <f t="array" ref="J12">INDEX(datos_base!$B$3:$K$10,MATCH($A12,datos_base!$A$3:$A$10,0),MATCH($B$3,datos_base!$B$2:$K$2,0))*INDEX(Parametros!$B$11:$M$26,MATCH($A12,Parametros!$A$11:$A$26,0),MATCH(J$5,Parametros!$B$10:$M$10,0))</f>
        <v>13.855</v>
      </c>
      <c r="K12" s="182">
        <f t="array" ref="K12">INDEX(datos_base!$B$3:$K$10,MATCH($A12,datos_base!$A$3:$A$10,0),MATCH($B$3,datos_base!$B$2:$K$2,0))*INDEX(Parametros!$B$11:$M$26,MATCH($A12,Parametros!$A$11:$A$26,0),MATCH(K$5,Parametros!$B$10:$M$10,0))</f>
        <v>12.225</v>
      </c>
      <c r="L12" s="182">
        <f t="array" ref="L12">INDEX(datos_base!$B$3:$K$10,MATCH($A12,datos_base!$A$3:$A$10,0),MATCH($B$3,datos_base!$B$2:$K$2,0))*INDEX(Parametros!$B$11:$M$26,MATCH($A12,Parametros!$A$11:$A$26,0),MATCH(L$5,Parametros!$B$10:$M$10,0))</f>
        <v>11.41</v>
      </c>
      <c r="M12" s="182">
        <f t="array" ref="M12">INDEX(datos_base!$B$3:$K$10,MATCH($A12,datos_base!$A$3:$A$10,0),MATCH($B$3,datos_base!$B$2:$K$2,0))*INDEX(Parametros!$B$11:$M$26,MATCH($A12,Parametros!$A$11:$A$26,0),MATCH(M$5,Parametros!$B$10:$M$10,0))</f>
        <v>13.04</v>
      </c>
      <c r="N12" s="271">
        <f t="shared" si="1"/>
        <v>163</v>
      </c>
      <c r="O12" s="271">
        <f t="shared" si="2"/>
        <v>13.58333333</v>
      </c>
    </row>
    <row r="13" ht="12.0" customHeight="1">
      <c r="A13" s="152" t="s">
        <v>100</v>
      </c>
      <c r="B13" s="182">
        <f t="array" ref="B13">INDEX(datos_base!$B$3:$K$10,MATCH($A13,datos_base!$A$3:$A$10,0),MATCH($B$3,datos_base!$B$2:$K$2,0))*INDEX(Parametros!$B$11:$M$26,MATCH($A13,Parametros!$A$11:$A$26,0),MATCH(B$5,Parametros!$B$10:$M$10,0))</f>
        <v>9.18</v>
      </c>
      <c r="C13" s="182">
        <f t="array" ref="C13">INDEX(datos_base!$B$3:$K$10,MATCH($A13,datos_base!$A$3:$A$10,0),MATCH($B$3,datos_base!$B$2:$K$2,0))*INDEX(Parametros!$B$11:$M$26,MATCH($A13,Parametros!$A$11:$A$26,0),MATCH(C$5,Parametros!$B$10:$M$10,0))</f>
        <v>8.1</v>
      </c>
      <c r="D13" s="182">
        <f t="array" ref="D13">INDEX(datos_base!$B$3:$K$10,MATCH($A13,datos_base!$A$3:$A$10,0),MATCH($B$3,datos_base!$B$2:$K$2,0))*INDEX(Parametros!$B$11:$M$26,MATCH($A13,Parametros!$A$11:$A$26,0),MATCH(D$5,Parametros!$B$10:$M$10,0))</f>
        <v>9.72</v>
      </c>
      <c r="E13" s="182">
        <f t="array" ref="E13">INDEX(datos_base!$B$3:$K$10,MATCH($A13,datos_base!$A$3:$A$10,0),MATCH($B$3,datos_base!$B$2:$K$2,0))*INDEX(Parametros!$B$11:$M$26,MATCH($A13,Parametros!$A$11:$A$26,0),MATCH(E$5,Parametros!$B$10:$M$10,0))</f>
        <v>9.72</v>
      </c>
      <c r="F13" s="182">
        <f t="array" ref="F13">INDEX(datos_base!$B$3:$K$10,MATCH($A13,datos_base!$A$3:$A$10,0),MATCH($B$3,datos_base!$B$2:$K$2,0))*INDEX(Parametros!$B$11:$M$26,MATCH($A13,Parametros!$A$11:$A$26,0),MATCH(F$5,Parametros!$B$10:$M$10,0))</f>
        <v>9.72</v>
      </c>
      <c r="G13" s="182">
        <f t="array" ref="G13">INDEX(datos_base!$B$3:$K$10,MATCH($A13,datos_base!$A$3:$A$10,0),MATCH($B$3,datos_base!$B$2:$K$2,0))*INDEX(Parametros!$B$11:$M$26,MATCH($A13,Parametros!$A$11:$A$26,0),MATCH(G$5,Parametros!$B$10:$M$10,0))</f>
        <v>8.64</v>
      </c>
      <c r="H13" s="182">
        <f t="array" ref="H13">INDEX(datos_base!$B$3:$K$10,MATCH($A13,datos_base!$A$3:$A$10,0),MATCH($B$3,datos_base!$B$2:$K$2,0))*INDEX(Parametros!$B$11:$M$26,MATCH($A13,Parametros!$A$11:$A$26,0),MATCH(H$5,Parametros!$B$10:$M$10,0))</f>
        <v>9.72</v>
      </c>
      <c r="I13" s="182">
        <f t="array" ref="I13">INDEX(datos_base!$B$3:$K$10,MATCH($A13,datos_base!$A$3:$A$10,0),MATCH($B$3,datos_base!$B$2:$K$2,0))*INDEX(Parametros!$B$11:$M$26,MATCH($A13,Parametros!$A$11:$A$26,0),MATCH(I$5,Parametros!$B$10:$M$10,0))</f>
        <v>9.72</v>
      </c>
      <c r="J13" s="182">
        <f t="array" ref="J13">INDEX(datos_base!$B$3:$K$10,MATCH($A13,datos_base!$A$3:$A$10,0),MATCH($B$3,datos_base!$B$2:$K$2,0))*INDEX(Parametros!$B$11:$M$26,MATCH($A13,Parametros!$A$11:$A$26,0),MATCH(J$5,Parametros!$B$10:$M$10,0))</f>
        <v>9.18</v>
      </c>
      <c r="K13" s="182">
        <f t="array" ref="K13">INDEX(datos_base!$B$3:$K$10,MATCH($A13,datos_base!$A$3:$A$10,0),MATCH($B$3,datos_base!$B$2:$K$2,0))*INDEX(Parametros!$B$11:$M$26,MATCH($A13,Parametros!$A$11:$A$26,0),MATCH(K$5,Parametros!$B$10:$M$10,0))</f>
        <v>8.1</v>
      </c>
      <c r="L13" s="182">
        <f t="array" ref="L13">INDEX(datos_base!$B$3:$K$10,MATCH($A13,datos_base!$A$3:$A$10,0),MATCH($B$3,datos_base!$B$2:$K$2,0))*INDEX(Parametros!$B$11:$M$26,MATCH($A13,Parametros!$A$11:$A$26,0),MATCH(L$5,Parametros!$B$10:$M$10,0))</f>
        <v>7.56</v>
      </c>
      <c r="M13" s="182">
        <f t="array" ref="M13">INDEX(datos_base!$B$3:$K$10,MATCH($A13,datos_base!$A$3:$A$10,0),MATCH($B$3,datos_base!$B$2:$K$2,0))*INDEX(Parametros!$B$11:$M$26,MATCH($A13,Parametros!$A$11:$A$26,0),MATCH(M$5,Parametros!$B$10:$M$10,0))</f>
        <v>8.64</v>
      </c>
      <c r="N13" s="271">
        <f t="shared" si="1"/>
        <v>108</v>
      </c>
      <c r="O13" s="271">
        <f t="shared" si="2"/>
        <v>9</v>
      </c>
    </row>
    <row r="14" ht="12.0" customHeight="1">
      <c r="A14" s="272" t="s">
        <v>420</v>
      </c>
      <c r="B14" s="273">
        <f t="shared" ref="B14:N14" si="3">SUM(B6:B13)</f>
        <v>6117.56</v>
      </c>
      <c r="C14" s="273">
        <f t="shared" si="3"/>
        <v>4752.72</v>
      </c>
      <c r="D14" s="273">
        <f t="shared" si="3"/>
        <v>4671.02</v>
      </c>
      <c r="E14" s="273">
        <f t="shared" si="3"/>
        <v>4545.36</v>
      </c>
      <c r="F14" s="273">
        <f t="shared" si="3"/>
        <v>4270.36</v>
      </c>
      <c r="G14" s="273">
        <f t="shared" si="3"/>
        <v>4107.5</v>
      </c>
      <c r="H14" s="273">
        <f t="shared" si="3"/>
        <v>4396.02</v>
      </c>
      <c r="I14" s="273">
        <f t="shared" si="3"/>
        <v>4396.02</v>
      </c>
      <c r="J14" s="273">
        <f t="shared" si="3"/>
        <v>4389.26</v>
      </c>
      <c r="K14" s="273">
        <f t="shared" si="3"/>
        <v>4226.4</v>
      </c>
      <c r="L14" s="273">
        <f t="shared" si="3"/>
        <v>4070.3</v>
      </c>
      <c r="M14" s="273">
        <f t="shared" si="3"/>
        <v>6409.48</v>
      </c>
      <c r="N14" s="273">
        <f t="shared" si="3"/>
        <v>56352</v>
      </c>
      <c r="O14" s="273">
        <f t="shared" si="2"/>
        <v>4696</v>
      </c>
    </row>
    <row r="15" ht="12.0" customHeight="1">
      <c r="A15" s="11"/>
      <c r="B15" s="11"/>
      <c r="C15" s="11"/>
      <c r="D15" s="11"/>
      <c r="E15" s="11"/>
      <c r="F15" s="11"/>
      <c r="G15" s="11"/>
      <c r="H15" s="11"/>
      <c r="I15" s="11"/>
      <c r="J15" s="11"/>
      <c r="K15" s="11"/>
      <c r="L15" s="11"/>
      <c r="M15" s="11"/>
      <c r="N15" s="11"/>
      <c r="O15" s="11"/>
    </row>
    <row r="16" ht="12.0" customHeight="1">
      <c r="A16" s="270"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c r="O16" s="145" t="s">
        <v>1598</v>
      </c>
    </row>
    <row r="17" ht="12.0" customHeight="1">
      <c r="A17" s="152" t="s">
        <v>102</v>
      </c>
      <c r="B17" s="182">
        <f t="array" ref="B17">INDEX(datos_base!$B$15:$K$22,MATCH($A17,datos_base!$A$15:$A$22,0),MATCH($B$3,datos_base!$B$2:$K$2,0))*INDEX(Parametros!$B$11:$M$26,MATCH($A17,Parametros!$A$11:$A$26,0),MATCH(B$16,Parametros!$B$10:$M$10,0))</f>
        <v>15720.12</v>
      </c>
      <c r="C17" s="182">
        <f t="array" ref="C17">INDEX(datos_base!$B$15:$K$22,MATCH($A17,datos_base!$A$15:$A$22,0),MATCH($B$3,datos_base!$B$2:$K$2,0))*INDEX(Parametros!$B$11:$M$26,MATCH($A17,Parametros!$A$11:$A$26,0),MATCH(C$16,Parametros!$B$10:$M$10,0))</f>
        <v>11790.09</v>
      </c>
      <c r="D17" s="182">
        <f t="array" ref="D17">INDEX(datos_base!$B$15:$K$22,MATCH($A17,datos_base!$A$15:$A$22,0),MATCH($B$3,datos_base!$B$2:$K$2,0))*INDEX(Parametros!$B$11:$M$26,MATCH($A17,Parametros!$A$11:$A$26,0),MATCH(D$16,Parametros!$B$10:$M$10,0))</f>
        <v>10480.08</v>
      </c>
      <c r="E17" s="182">
        <f t="array" ref="E17">INDEX(datos_base!$B$15:$K$22,MATCH($A17,datos_base!$A$15:$A$22,0),MATCH($B$3,datos_base!$B$2:$K$2,0))*INDEX(Parametros!$B$11:$M$26,MATCH($A17,Parametros!$A$11:$A$26,0),MATCH(E$16,Parametros!$B$10:$M$10,0))</f>
        <v>9825.075</v>
      </c>
      <c r="F17" s="182">
        <f t="array" ref="F17">INDEX(datos_base!$B$15:$K$22,MATCH($A17,datos_base!$A$15:$A$22,0),MATCH($B$3,datos_base!$B$2:$K$2,0))*INDEX(Parametros!$B$11:$M$26,MATCH($A17,Parametros!$A$11:$A$26,0),MATCH(F$16,Parametros!$B$10:$M$10,0))</f>
        <v>9170.07</v>
      </c>
      <c r="G17" s="182">
        <f t="array" ref="G17">INDEX(datos_base!$B$15:$K$22,MATCH($A17,datos_base!$A$15:$A$22,0),MATCH($B$3,datos_base!$B$2:$K$2,0))*INDEX(Parametros!$B$11:$M$26,MATCH($A17,Parametros!$A$11:$A$26,0),MATCH(G$16,Parametros!$B$10:$M$10,0))</f>
        <v>9170.07</v>
      </c>
      <c r="H17" s="182">
        <f t="array" ref="H17">INDEX(datos_base!$B$15:$K$22,MATCH($A17,datos_base!$A$15:$A$22,0),MATCH($B$3,datos_base!$B$2:$K$2,0))*INDEX(Parametros!$B$11:$M$26,MATCH($A17,Parametros!$A$11:$A$26,0),MATCH(H$16,Parametros!$B$10:$M$10,0))</f>
        <v>9825.075</v>
      </c>
      <c r="I17" s="182">
        <f t="array" ref="I17">INDEX(datos_base!$B$15:$K$22,MATCH($A17,datos_base!$A$15:$A$22,0),MATCH($B$3,datos_base!$B$2:$K$2,0))*INDEX(Parametros!$B$11:$M$26,MATCH($A17,Parametros!$A$11:$A$26,0),MATCH(I$16,Parametros!$B$10:$M$10,0))</f>
        <v>9825.075</v>
      </c>
      <c r="J17" s="182">
        <f t="array" ref="J17">INDEX(datos_base!$B$15:$K$22,MATCH($A17,datos_base!$A$15:$A$22,0),MATCH($B$3,datos_base!$B$2:$K$2,0))*INDEX(Parametros!$B$11:$M$26,MATCH($A17,Parametros!$A$11:$A$26,0),MATCH(J$16,Parametros!$B$10:$M$10,0))</f>
        <v>9825.075</v>
      </c>
      <c r="K17" s="182">
        <f t="array" ref="K17">INDEX(datos_base!$B$15:$K$22,MATCH($A17,datos_base!$A$15:$A$22,0),MATCH($B$3,datos_base!$B$2:$K$2,0))*INDEX(Parametros!$B$11:$M$26,MATCH($A17,Parametros!$A$11:$A$26,0),MATCH(K$16,Parametros!$B$10:$M$10,0))</f>
        <v>9825.075</v>
      </c>
      <c r="L17" s="182">
        <f t="array" ref="L17">INDEX(datos_base!$B$15:$K$22,MATCH($A17,datos_base!$A$15:$A$22,0),MATCH($B$3,datos_base!$B$2:$K$2,0))*INDEX(Parametros!$B$11:$M$26,MATCH($A17,Parametros!$A$11:$A$26,0),MATCH(L$16,Parametros!$B$10:$M$10,0))</f>
        <v>9825.075</v>
      </c>
      <c r="M17" s="182">
        <f t="array" ref="M17">INDEX(datos_base!$B$15:$K$22,MATCH($A17,datos_base!$A$15:$A$22,0),MATCH($B$3,datos_base!$B$2:$K$2,0))*INDEX(Parametros!$B$11:$M$26,MATCH($A17,Parametros!$A$11:$A$26,0),MATCH(M$16,Parametros!$B$10:$M$10,0))</f>
        <v>15720.12</v>
      </c>
      <c r="N17" s="271">
        <f t="shared" ref="N17:N24" si="4">SUM(B17:M17)</f>
        <v>131001</v>
      </c>
      <c r="O17" s="271">
        <f t="shared" ref="O17:O25" si="5">AVERAGE(B17:M17)</f>
        <v>10916.75</v>
      </c>
    </row>
    <row r="18" ht="12.0" customHeight="1">
      <c r="A18" s="152" t="s">
        <v>106</v>
      </c>
      <c r="B18" s="182">
        <f t="array" ref="B18">INDEX(datos_base!$B$15:$K$22,MATCH($A18,datos_base!$A$15:$A$22,0),MATCH($B$3,datos_base!$B$2:$K$2,0))*INDEX(Parametros!$B$11:$M$26,MATCH($A18,Parametros!$A$11:$A$26,0),MATCH(B$16,Parametros!$B$10:$M$10,0))</f>
        <v>512.3</v>
      </c>
      <c r="C18" s="182">
        <f t="array" ref="C18">INDEX(datos_base!$B$15:$K$22,MATCH($A18,datos_base!$A$15:$A$22,0),MATCH($B$3,datos_base!$B$2:$K$2,0))*INDEX(Parametros!$B$11:$M$26,MATCH($A18,Parametros!$A$11:$A$26,0),MATCH(C$16,Parametros!$B$10:$M$10,0))</f>
        <v>409.84</v>
      </c>
      <c r="D18" s="182">
        <f t="array" ref="D18">INDEX(datos_base!$B$15:$K$22,MATCH($A18,datos_base!$A$15:$A$22,0),MATCH($B$3,datos_base!$B$2:$K$2,0))*INDEX(Parametros!$B$11:$M$26,MATCH($A18,Parametros!$A$11:$A$26,0),MATCH(D$16,Parametros!$B$10:$M$10,0))</f>
        <v>435.455</v>
      </c>
      <c r="E18" s="182">
        <f t="array" ref="E18">INDEX(datos_base!$B$15:$K$22,MATCH($A18,datos_base!$A$15:$A$22,0),MATCH($B$3,datos_base!$B$2:$K$2,0))*INDEX(Parametros!$B$11:$M$26,MATCH($A18,Parametros!$A$11:$A$26,0),MATCH(E$16,Parametros!$B$10:$M$10,0))</f>
        <v>435.455</v>
      </c>
      <c r="F18" s="182">
        <f t="array" ref="F18">INDEX(datos_base!$B$15:$K$22,MATCH($A18,datos_base!$A$15:$A$22,0),MATCH($B$3,datos_base!$B$2:$K$2,0))*INDEX(Parametros!$B$11:$M$26,MATCH($A18,Parametros!$A$11:$A$26,0),MATCH(F$16,Parametros!$B$10:$M$10,0))</f>
        <v>409.84</v>
      </c>
      <c r="G18" s="182">
        <f t="array" ref="G18">INDEX(datos_base!$B$15:$K$22,MATCH($A18,datos_base!$A$15:$A$22,0),MATCH($B$3,datos_base!$B$2:$K$2,0))*INDEX(Parametros!$B$11:$M$26,MATCH($A18,Parametros!$A$11:$A$26,0),MATCH(G$16,Parametros!$B$10:$M$10,0))</f>
        <v>384.225</v>
      </c>
      <c r="H18" s="182">
        <f t="array" ref="H18">INDEX(datos_base!$B$15:$K$22,MATCH($A18,datos_base!$A$15:$A$22,0),MATCH($B$3,datos_base!$B$2:$K$2,0))*INDEX(Parametros!$B$11:$M$26,MATCH($A18,Parametros!$A$11:$A$26,0),MATCH(H$16,Parametros!$B$10:$M$10,0))</f>
        <v>409.84</v>
      </c>
      <c r="I18" s="182">
        <f t="array" ref="I18">INDEX(datos_base!$B$15:$K$22,MATCH($A18,datos_base!$A$15:$A$22,0),MATCH($B$3,datos_base!$B$2:$K$2,0))*INDEX(Parametros!$B$11:$M$26,MATCH($A18,Parametros!$A$11:$A$26,0),MATCH(I$16,Parametros!$B$10:$M$10,0))</f>
        <v>409.84</v>
      </c>
      <c r="J18" s="182">
        <f t="array" ref="J18">INDEX(datos_base!$B$15:$K$22,MATCH($A18,datos_base!$A$15:$A$22,0),MATCH($B$3,datos_base!$B$2:$K$2,0))*INDEX(Parametros!$B$11:$M$26,MATCH($A18,Parametros!$A$11:$A$26,0),MATCH(J$16,Parametros!$B$10:$M$10,0))</f>
        <v>409.84</v>
      </c>
      <c r="K18" s="182">
        <f t="array" ref="K18">INDEX(datos_base!$B$15:$K$22,MATCH($A18,datos_base!$A$15:$A$22,0),MATCH($B$3,datos_base!$B$2:$K$2,0))*INDEX(Parametros!$B$11:$M$26,MATCH($A18,Parametros!$A$11:$A$26,0),MATCH(K$16,Parametros!$B$10:$M$10,0))</f>
        <v>384.225</v>
      </c>
      <c r="L18" s="182">
        <f t="array" ref="L18">INDEX(datos_base!$B$15:$K$22,MATCH($A18,datos_base!$A$15:$A$22,0),MATCH($B$3,datos_base!$B$2:$K$2,0))*INDEX(Parametros!$B$11:$M$26,MATCH($A18,Parametros!$A$11:$A$26,0),MATCH(L$16,Parametros!$B$10:$M$10,0))</f>
        <v>358.61</v>
      </c>
      <c r="M18" s="182">
        <f t="array" ref="M18">INDEX(datos_base!$B$15:$K$22,MATCH($A18,datos_base!$A$15:$A$22,0),MATCH($B$3,datos_base!$B$2:$K$2,0))*INDEX(Parametros!$B$11:$M$26,MATCH($A18,Parametros!$A$11:$A$26,0),MATCH(M$16,Parametros!$B$10:$M$10,0))</f>
        <v>563.53</v>
      </c>
      <c r="N18" s="271">
        <f t="shared" si="4"/>
        <v>5123</v>
      </c>
      <c r="O18" s="271">
        <f t="shared" si="5"/>
        <v>426.9166667</v>
      </c>
    </row>
    <row r="19" ht="12.0" customHeight="1">
      <c r="A19" s="152" t="s">
        <v>108</v>
      </c>
      <c r="B19" s="182">
        <f t="array" ref="B19">INDEX(datos_base!$B$15:$K$22,MATCH($A19,datos_base!$A$15:$A$22,0),MATCH($B$3,datos_base!$B$2:$K$2,0))*INDEX(Parametros!$B$11:$M$26,MATCH($A19,Parametros!$A$11:$A$26,0),MATCH(B$16,Parametros!$B$10:$M$10,0))</f>
        <v>2528.3</v>
      </c>
      <c r="C19" s="182">
        <f t="array" ref="C19">INDEX(datos_base!$B$15:$K$22,MATCH($A19,datos_base!$A$15:$A$22,0),MATCH($B$3,datos_base!$B$2:$K$2,0))*INDEX(Parametros!$B$11:$M$26,MATCH($A19,Parametros!$A$11:$A$26,0),MATCH(C$16,Parametros!$B$10:$M$10,0))</f>
        <v>2022.64</v>
      </c>
      <c r="D19" s="182">
        <f t="array" ref="D19">INDEX(datos_base!$B$15:$K$22,MATCH($A19,datos_base!$A$15:$A$22,0),MATCH($B$3,datos_base!$B$2:$K$2,0))*INDEX(Parametros!$B$11:$M$26,MATCH($A19,Parametros!$A$11:$A$26,0),MATCH(D$16,Parametros!$B$10:$M$10,0))</f>
        <v>2149.055</v>
      </c>
      <c r="E19" s="182">
        <f t="array" ref="E19">INDEX(datos_base!$B$15:$K$22,MATCH($A19,datos_base!$A$15:$A$22,0),MATCH($B$3,datos_base!$B$2:$K$2,0))*INDEX(Parametros!$B$11:$M$26,MATCH($A19,Parametros!$A$11:$A$26,0),MATCH(E$16,Parametros!$B$10:$M$10,0))</f>
        <v>2149.055</v>
      </c>
      <c r="F19" s="182">
        <f t="array" ref="F19">INDEX(datos_base!$B$15:$K$22,MATCH($A19,datos_base!$A$15:$A$22,0),MATCH($B$3,datos_base!$B$2:$K$2,0))*INDEX(Parametros!$B$11:$M$26,MATCH($A19,Parametros!$A$11:$A$26,0),MATCH(F$16,Parametros!$B$10:$M$10,0))</f>
        <v>2022.64</v>
      </c>
      <c r="G19" s="182">
        <f t="array" ref="G19">INDEX(datos_base!$B$15:$K$22,MATCH($A19,datos_base!$A$15:$A$22,0),MATCH($B$3,datos_base!$B$2:$K$2,0))*INDEX(Parametros!$B$11:$M$26,MATCH($A19,Parametros!$A$11:$A$26,0),MATCH(G$16,Parametros!$B$10:$M$10,0))</f>
        <v>1896.225</v>
      </c>
      <c r="H19" s="182">
        <f t="array" ref="H19">INDEX(datos_base!$B$15:$K$22,MATCH($A19,datos_base!$A$15:$A$22,0),MATCH($B$3,datos_base!$B$2:$K$2,0))*INDEX(Parametros!$B$11:$M$26,MATCH($A19,Parametros!$A$11:$A$26,0),MATCH(H$16,Parametros!$B$10:$M$10,0))</f>
        <v>2022.64</v>
      </c>
      <c r="I19" s="182">
        <f t="array" ref="I19">INDEX(datos_base!$B$15:$K$22,MATCH($A19,datos_base!$A$15:$A$22,0),MATCH($B$3,datos_base!$B$2:$K$2,0))*INDEX(Parametros!$B$11:$M$26,MATCH($A19,Parametros!$A$11:$A$26,0),MATCH(I$16,Parametros!$B$10:$M$10,0))</f>
        <v>2022.64</v>
      </c>
      <c r="J19" s="182">
        <f t="array" ref="J19">INDEX(datos_base!$B$15:$K$22,MATCH($A19,datos_base!$A$15:$A$22,0),MATCH($B$3,datos_base!$B$2:$K$2,0))*INDEX(Parametros!$B$11:$M$26,MATCH($A19,Parametros!$A$11:$A$26,0),MATCH(J$16,Parametros!$B$10:$M$10,0))</f>
        <v>2022.64</v>
      </c>
      <c r="K19" s="182">
        <f t="array" ref="K19">INDEX(datos_base!$B$15:$K$22,MATCH($A19,datos_base!$A$15:$A$22,0),MATCH($B$3,datos_base!$B$2:$K$2,0))*INDEX(Parametros!$B$11:$M$26,MATCH($A19,Parametros!$A$11:$A$26,0),MATCH(K$16,Parametros!$B$10:$M$10,0))</f>
        <v>1896.225</v>
      </c>
      <c r="L19" s="182">
        <f t="array" ref="L19">INDEX(datos_base!$B$15:$K$22,MATCH($A19,datos_base!$A$15:$A$22,0),MATCH($B$3,datos_base!$B$2:$K$2,0))*INDEX(Parametros!$B$11:$M$26,MATCH($A19,Parametros!$A$11:$A$26,0),MATCH(L$16,Parametros!$B$10:$M$10,0))</f>
        <v>1769.81</v>
      </c>
      <c r="M19" s="182">
        <f t="array" ref="M19">INDEX(datos_base!$B$15:$K$22,MATCH($A19,datos_base!$A$15:$A$22,0),MATCH($B$3,datos_base!$B$2:$K$2,0))*INDEX(Parametros!$B$11:$M$26,MATCH($A19,Parametros!$A$11:$A$26,0),MATCH(M$16,Parametros!$B$10:$M$10,0))</f>
        <v>2781.13</v>
      </c>
      <c r="N19" s="271">
        <f t="shared" si="4"/>
        <v>25283</v>
      </c>
      <c r="O19" s="271">
        <f t="shared" si="5"/>
        <v>2106.916667</v>
      </c>
    </row>
    <row r="20" ht="12.0" customHeight="1">
      <c r="A20" s="152" t="s">
        <v>122</v>
      </c>
      <c r="B20" s="182">
        <f t="array" ref="B20">INDEX(datos_base!$B$15:$K$22,MATCH($A20,datos_base!$A$15:$A$22,0),MATCH($B$3,datos_base!$B$2:$K$2,0))*INDEX(Parametros!$B$11:$M$26,MATCH($A20,Parametros!$A$11:$A$26,0),MATCH(B$16,Parametros!$B$10:$M$10,0))</f>
        <v>154.5</v>
      </c>
      <c r="C20" s="182">
        <f t="array" ref="C20">INDEX(datos_base!$B$15:$K$22,MATCH($A20,datos_base!$A$15:$A$22,0),MATCH($B$3,datos_base!$B$2:$K$2,0))*INDEX(Parametros!$B$11:$M$26,MATCH($A20,Parametros!$A$11:$A$26,0),MATCH(C$16,Parametros!$B$10:$M$10,0))</f>
        <v>123.6</v>
      </c>
      <c r="D20" s="182">
        <f t="array" ref="D20">INDEX(datos_base!$B$15:$K$22,MATCH($A20,datos_base!$A$15:$A$22,0),MATCH($B$3,datos_base!$B$2:$K$2,0))*INDEX(Parametros!$B$11:$M$26,MATCH($A20,Parametros!$A$11:$A$26,0),MATCH(D$16,Parametros!$B$10:$M$10,0))</f>
        <v>131.325</v>
      </c>
      <c r="E20" s="182">
        <f t="array" ref="E20">INDEX(datos_base!$B$15:$K$22,MATCH($A20,datos_base!$A$15:$A$22,0),MATCH($B$3,datos_base!$B$2:$K$2,0))*INDEX(Parametros!$B$11:$M$26,MATCH($A20,Parametros!$A$11:$A$26,0),MATCH(E$16,Parametros!$B$10:$M$10,0))</f>
        <v>131.325</v>
      </c>
      <c r="F20" s="182">
        <f t="array" ref="F20">INDEX(datos_base!$B$15:$K$22,MATCH($A20,datos_base!$A$15:$A$22,0),MATCH($B$3,datos_base!$B$2:$K$2,0))*INDEX(Parametros!$B$11:$M$26,MATCH($A20,Parametros!$A$11:$A$26,0),MATCH(F$16,Parametros!$B$10:$M$10,0))</f>
        <v>123.6</v>
      </c>
      <c r="G20" s="182">
        <f t="array" ref="G20">INDEX(datos_base!$B$15:$K$22,MATCH($A20,datos_base!$A$15:$A$22,0),MATCH($B$3,datos_base!$B$2:$K$2,0))*INDEX(Parametros!$B$11:$M$26,MATCH($A20,Parametros!$A$11:$A$26,0),MATCH(G$16,Parametros!$B$10:$M$10,0))</f>
        <v>115.875</v>
      </c>
      <c r="H20" s="182">
        <f t="array" ref="H20">INDEX(datos_base!$B$15:$K$22,MATCH($A20,datos_base!$A$15:$A$22,0),MATCH($B$3,datos_base!$B$2:$K$2,0))*INDEX(Parametros!$B$11:$M$26,MATCH($A20,Parametros!$A$11:$A$26,0),MATCH(H$16,Parametros!$B$10:$M$10,0))</f>
        <v>123.6</v>
      </c>
      <c r="I20" s="182">
        <f t="array" ref="I20">INDEX(datos_base!$B$15:$K$22,MATCH($A20,datos_base!$A$15:$A$22,0),MATCH($B$3,datos_base!$B$2:$K$2,0))*INDEX(Parametros!$B$11:$M$26,MATCH($A20,Parametros!$A$11:$A$26,0),MATCH(I$16,Parametros!$B$10:$M$10,0))</f>
        <v>123.6</v>
      </c>
      <c r="J20" s="182">
        <f t="array" ref="J20">INDEX(datos_base!$B$15:$K$22,MATCH($A20,datos_base!$A$15:$A$22,0),MATCH($B$3,datos_base!$B$2:$K$2,0))*INDEX(Parametros!$B$11:$M$26,MATCH($A20,Parametros!$A$11:$A$26,0),MATCH(J$16,Parametros!$B$10:$M$10,0))</f>
        <v>123.6</v>
      </c>
      <c r="K20" s="182">
        <f t="array" ref="K20">INDEX(datos_base!$B$15:$K$22,MATCH($A20,datos_base!$A$15:$A$22,0),MATCH($B$3,datos_base!$B$2:$K$2,0))*INDEX(Parametros!$B$11:$M$26,MATCH($A20,Parametros!$A$11:$A$26,0),MATCH(K$16,Parametros!$B$10:$M$10,0))</f>
        <v>115.875</v>
      </c>
      <c r="L20" s="182">
        <f t="array" ref="L20">INDEX(datos_base!$B$15:$K$22,MATCH($A20,datos_base!$A$15:$A$22,0),MATCH($B$3,datos_base!$B$2:$K$2,0))*INDEX(Parametros!$B$11:$M$26,MATCH($A20,Parametros!$A$11:$A$26,0),MATCH(L$16,Parametros!$B$10:$M$10,0))</f>
        <v>108.15</v>
      </c>
      <c r="M20" s="182">
        <f t="array" ref="M20">INDEX(datos_base!$B$15:$K$22,MATCH($A20,datos_base!$A$15:$A$22,0),MATCH($B$3,datos_base!$B$2:$K$2,0))*INDEX(Parametros!$B$11:$M$26,MATCH($A20,Parametros!$A$11:$A$26,0),MATCH(M$16,Parametros!$B$10:$M$10,0))</f>
        <v>169.95</v>
      </c>
      <c r="N20" s="271">
        <f t="shared" si="4"/>
        <v>1545</v>
      </c>
      <c r="O20" s="271">
        <f t="shared" si="5"/>
        <v>128.75</v>
      </c>
    </row>
    <row r="21" ht="12.0" customHeight="1">
      <c r="A21" s="152" t="s">
        <v>125</v>
      </c>
      <c r="B21" s="182">
        <f t="array" ref="B21">INDEX(datos_base!$B$15:$K$22,MATCH($A21,datos_base!$A$15:$A$22,0),MATCH($B$3,datos_base!$B$2:$K$2,0))*INDEX(Parametros!$B$11:$M$26,MATCH($A21,Parametros!$A$11:$A$26,0),MATCH(B$16,Parametros!$B$10:$M$10,0))</f>
        <v>20.995</v>
      </c>
      <c r="C21" s="182">
        <f t="array" ref="C21">INDEX(datos_base!$B$15:$K$22,MATCH($A21,datos_base!$A$15:$A$22,0),MATCH($B$3,datos_base!$B$2:$K$2,0))*INDEX(Parametros!$B$11:$M$26,MATCH($A21,Parametros!$A$11:$A$26,0),MATCH(C$16,Parametros!$B$10:$M$10,0))</f>
        <v>18.525</v>
      </c>
      <c r="D21" s="182">
        <f t="array" ref="D21">INDEX(datos_base!$B$15:$K$22,MATCH($A21,datos_base!$A$15:$A$22,0),MATCH($B$3,datos_base!$B$2:$K$2,0))*INDEX(Parametros!$B$11:$M$26,MATCH($A21,Parametros!$A$11:$A$26,0),MATCH(D$16,Parametros!$B$10:$M$10,0))</f>
        <v>22.23</v>
      </c>
      <c r="E21" s="182">
        <f t="array" ref="E21">INDEX(datos_base!$B$15:$K$22,MATCH($A21,datos_base!$A$15:$A$22,0),MATCH($B$3,datos_base!$B$2:$K$2,0))*INDEX(Parametros!$B$11:$M$26,MATCH($A21,Parametros!$A$11:$A$26,0),MATCH(E$16,Parametros!$B$10:$M$10,0))</f>
        <v>22.23</v>
      </c>
      <c r="F21" s="182">
        <f t="array" ref="F21">INDEX(datos_base!$B$15:$K$22,MATCH($A21,datos_base!$A$15:$A$22,0),MATCH($B$3,datos_base!$B$2:$K$2,0))*INDEX(Parametros!$B$11:$M$26,MATCH($A21,Parametros!$A$11:$A$26,0),MATCH(F$16,Parametros!$B$10:$M$10,0))</f>
        <v>22.23</v>
      </c>
      <c r="G21" s="182">
        <f t="array" ref="G21">INDEX(datos_base!$B$15:$K$22,MATCH($A21,datos_base!$A$15:$A$22,0),MATCH($B$3,datos_base!$B$2:$K$2,0))*INDEX(Parametros!$B$11:$M$26,MATCH($A21,Parametros!$A$11:$A$26,0),MATCH(G$16,Parametros!$B$10:$M$10,0))</f>
        <v>19.76</v>
      </c>
      <c r="H21" s="182">
        <f t="array" ref="H21">INDEX(datos_base!$B$15:$K$22,MATCH($A21,datos_base!$A$15:$A$22,0),MATCH($B$3,datos_base!$B$2:$K$2,0))*INDEX(Parametros!$B$11:$M$26,MATCH($A21,Parametros!$A$11:$A$26,0),MATCH(H$16,Parametros!$B$10:$M$10,0))</f>
        <v>22.23</v>
      </c>
      <c r="I21" s="182">
        <f t="array" ref="I21">INDEX(datos_base!$B$15:$K$22,MATCH($A21,datos_base!$A$15:$A$22,0),MATCH($B$3,datos_base!$B$2:$K$2,0))*INDEX(Parametros!$B$11:$M$26,MATCH($A21,Parametros!$A$11:$A$26,0),MATCH(I$16,Parametros!$B$10:$M$10,0))</f>
        <v>22.23</v>
      </c>
      <c r="J21" s="182">
        <f t="array" ref="J21">INDEX(datos_base!$B$15:$K$22,MATCH($A21,datos_base!$A$15:$A$22,0),MATCH($B$3,datos_base!$B$2:$K$2,0))*INDEX(Parametros!$B$11:$M$26,MATCH($A21,Parametros!$A$11:$A$26,0),MATCH(J$16,Parametros!$B$10:$M$10,0))</f>
        <v>20.995</v>
      </c>
      <c r="K21" s="182">
        <f t="array" ref="K21">INDEX(datos_base!$B$15:$K$22,MATCH($A21,datos_base!$A$15:$A$22,0),MATCH($B$3,datos_base!$B$2:$K$2,0))*INDEX(Parametros!$B$11:$M$26,MATCH($A21,Parametros!$A$11:$A$26,0),MATCH(K$16,Parametros!$B$10:$M$10,0))</f>
        <v>18.525</v>
      </c>
      <c r="L21" s="182">
        <f t="array" ref="L21">INDEX(datos_base!$B$15:$K$22,MATCH($A21,datos_base!$A$15:$A$22,0),MATCH($B$3,datos_base!$B$2:$K$2,0))*INDEX(Parametros!$B$11:$M$26,MATCH($A21,Parametros!$A$11:$A$26,0),MATCH(L$16,Parametros!$B$10:$M$10,0))</f>
        <v>17.29</v>
      </c>
      <c r="M21" s="182">
        <f t="array" ref="M21">INDEX(datos_base!$B$15:$K$22,MATCH($A21,datos_base!$A$15:$A$22,0),MATCH($B$3,datos_base!$B$2:$K$2,0))*INDEX(Parametros!$B$11:$M$26,MATCH($A21,Parametros!$A$11:$A$26,0),MATCH(M$16,Parametros!$B$10:$M$10,0))</f>
        <v>19.76</v>
      </c>
      <c r="N21" s="271">
        <f t="shared" si="4"/>
        <v>247</v>
      </c>
      <c r="O21" s="271">
        <f t="shared" si="5"/>
        <v>20.58333333</v>
      </c>
    </row>
    <row r="22" ht="12.0" customHeight="1">
      <c r="A22" s="152" t="s">
        <v>128</v>
      </c>
      <c r="B22" s="182">
        <f t="array" ref="B22">INDEX(datos_base!$B$15:$K$22,MATCH($A22,datos_base!$A$15:$A$22,0),MATCH($B$3,datos_base!$B$2:$K$2,0))*INDEX(Parametros!$B$11:$M$26,MATCH($A22,Parametros!$A$11:$A$26,0),MATCH(B$16,Parametros!$B$10:$M$10,0))</f>
        <v>46.24</v>
      </c>
      <c r="C22" s="182">
        <f t="array" ref="C22">INDEX(datos_base!$B$15:$K$22,MATCH($A22,datos_base!$A$15:$A$22,0),MATCH($B$3,datos_base!$B$2:$K$2,0))*INDEX(Parametros!$B$11:$M$26,MATCH($A22,Parametros!$A$11:$A$26,0),MATCH(C$16,Parametros!$B$10:$M$10,0))</f>
        <v>40.8</v>
      </c>
      <c r="D22" s="182">
        <f t="array" ref="D22">INDEX(datos_base!$B$15:$K$22,MATCH($A22,datos_base!$A$15:$A$22,0),MATCH($B$3,datos_base!$B$2:$K$2,0))*INDEX(Parametros!$B$11:$M$26,MATCH($A22,Parametros!$A$11:$A$26,0),MATCH(D$16,Parametros!$B$10:$M$10,0))</f>
        <v>48.96</v>
      </c>
      <c r="E22" s="182">
        <f t="array" ref="E22">INDEX(datos_base!$B$15:$K$22,MATCH($A22,datos_base!$A$15:$A$22,0),MATCH($B$3,datos_base!$B$2:$K$2,0))*INDEX(Parametros!$B$11:$M$26,MATCH($A22,Parametros!$A$11:$A$26,0),MATCH(E$16,Parametros!$B$10:$M$10,0))</f>
        <v>48.96</v>
      </c>
      <c r="F22" s="182">
        <f t="array" ref="F22">INDEX(datos_base!$B$15:$K$22,MATCH($A22,datos_base!$A$15:$A$22,0),MATCH($B$3,datos_base!$B$2:$K$2,0))*INDEX(Parametros!$B$11:$M$26,MATCH($A22,Parametros!$A$11:$A$26,0),MATCH(F$16,Parametros!$B$10:$M$10,0))</f>
        <v>48.96</v>
      </c>
      <c r="G22" s="182">
        <f t="array" ref="G22">INDEX(datos_base!$B$15:$K$22,MATCH($A22,datos_base!$A$15:$A$22,0),MATCH($B$3,datos_base!$B$2:$K$2,0))*INDEX(Parametros!$B$11:$M$26,MATCH($A22,Parametros!$A$11:$A$26,0),MATCH(G$16,Parametros!$B$10:$M$10,0))</f>
        <v>43.52</v>
      </c>
      <c r="H22" s="182">
        <f t="array" ref="H22">INDEX(datos_base!$B$15:$K$22,MATCH($A22,datos_base!$A$15:$A$22,0),MATCH($B$3,datos_base!$B$2:$K$2,0))*INDEX(Parametros!$B$11:$M$26,MATCH($A22,Parametros!$A$11:$A$26,0),MATCH(H$16,Parametros!$B$10:$M$10,0))</f>
        <v>48.96</v>
      </c>
      <c r="I22" s="182">
        <f t="array" ref="I22">INDEX(datos_base!$B$15:$K$22,MATCH($A22,datos_base!$A$15:$A$22,0),MATCH($B$3,datos_base!$B$2:$K$2,0))*INDEX(Parametros!$B$11:$M$26,MATCH($A22,Parametros!$A$11:$A$26,0),MATCH(I$16,Parametros!$B$10:$M$10,0))</f>
        <v>48.96</v>
      </c>
      <c r="J22" s="182">
        <f t="array" ref="J22">INDEX(datos_base!$B$15:$K$22,MATCH($A22,datos_base!$A$15:$A$22,0),MATCH($B$3,datos_base!$B$2:$K$2,0))*INDEX(Parametros!$B$11:$M$26,MATCH($A22,Parametros!$A$11:$A$26,0),MATCH(J$16,Parametros!$B$10:$M$10,0))</f>
        <v>46.24</v>
      </c>
      <c r="K22" s="182">
        <f t="array" ref="K22">INDEX(datos_base!$B$15:$K$22,MATCH($A22,datos_base!$A$15:$A$22,0),MATCH($B$3,datos_base!$B$2:$K$2,0))*INDEX(Parametros!$B$11:$M$26,MATCH($A22,Parametros!$A$11:$A$26,0),MATCH(K$16,Parametros!$B$10:$M$10,0))</f>
        <v>40.8</v>
      </c>
      <c r="L22" s="182">
        <f t="array" ref="L22">INDEX(datos_base!$B$15:$K$22,MATCH($A22,datos_base!$A$15:$A$22,0),MATCH($B$3,datos_base!$B$2:$K$2,0))*INDEX(Parametros!$B$11:$M$26,MATCH($A22,Parametros!$A$11:$A$26,0),MATCH(L$16,Parametros!$B$10:$M$10,0))</f>
        <v>38.08</v>
      </c>
      <c r="M22" s="182">
        <f t="array" ref="M22">INDEX(datos_base!$B$15:$K$22,MATCH($A22,datos_base!$A$15:$A$22,0),MATCH($B$3,datos_base!$B$2:$K$2,0))*INDEX(Parametros!$B$11:$M$26,MATCH($A22,Parametros!$A$11:$A$26,0),MATCH(M$16,Parametros!$B$10:$M$10,0))</f>
        <v>43.52</v>
      </c>
      <c r="N22" s="271">
        <f t="shared" si="4"/>
        <v>544</v>
      </c>
      <c r="O22" s="271">
        <f t="shared" si="5"/>
        <v>45.33333333</v>
      </c>
    </row>
    <row r="23" ht="12.0" customHeight="1">
      <c r="A23" s="152" t="s">
        <v>129</v>
      </c>
      <c r="B23" s="182">
        <f t="array" ref="B23">INDEX(datos_base!$B$15:$K$22,MATCH($A23,datos_base!$A$15:$A$22,0),MATCH($B$3,datos_base!$B$2:$K$2,0))*INDEX(Parametros!$B$11:$M$26,MATCH($A23,Parametros!$A$11:$A$26,0),MATCH(B$16,Parametros!$B$10:$M$10,0))</f>
        <v>10.115</v>
      </c>
      <c r="C23" s="182">
        <f t="array" ref="C23">INDEX(datos_base!$B$15:$K$22,MATCH($A23,datos_base!$A$15:$A$22,0),MATCH($B$3,datos_base!$B$2:$K$2,0))*INDEX(Parametros!$B$11:$M$26,MATCH($A23,Parametros!$A$11:$A$26,0),MATCH(C$16,Parametros!$B$10:$M$10,0))</f>
        <v>8.925</v>
      </c>
      <c r="D23" s="182">
        <f t="array" ref="D23">INDEX(datos_base!$B$15:$K$22,MATCH($A23,datos_base!$A$15:$A$22,0),MATCH($B$3,datos_base!$B$2:$K$2,0))*INDEX(Parametros!$B$11:$M$26,MATCH($A23,Parametros!$A$11:$A$26,0),MATCH(D$16,Parametros!$B$10:$M$10,0))</f>
        <v>10.71</v>
      </c>
      <c r="E23" s="182">
        <f t="array" ref="E23">INDEX(datos_base!$B$15:$K$22,MATCH($A23,datos_base!$A$15:$A$22,0),MATCH($B$3,datos_base!$B$2:$K$2,0))*INDEX(Parametros!$B$11:$M$26,MATCH($A23,Parametros!$A$11:$A$26,0),MATCH(E$16,Parametros!$B$10:$M$10,0))</f>
        <v>10.71</v>
      </c>
      <c r="F23" s="182">
        <f t="array" ref="F23">INDEX(datos_base!$B$15:$K$22,MATCH($A23,datos_base!$A$15:$A$22,0),MATCH($B$3,datos_base!$B$2:$K$2,0))*INDEX(Parametros!$B$11:$M$26,MATCH($A23,Parametros!$A$11:$A$26,0),MATCH(F$16,Parametros!$B$10:$M$10,0))</f>
        <v>10.71</v>
      </c>
      <c r="G23" s="182">
        <f t="array" ref="G23">INDEX(datos_base!$B$15:$K$22,MATCH($A23,datos_base!$A$15:$A$22,0),MATCH($B$3,datos_base!$B$2:$K$2,0))*INDEX(Parametros!$B$11:$M$26,MATCH($A23,Parametros!$A$11:$A$26,0),MATCH(G$16,Parametros!$B$10:$M$10,0))</f>
        <v>9.52</v>
      </c>
      <c r="H23" s="182">
        <f t="array" ref="H23">INDEX(datos_base!$B$15:$K$22,MATCH($A23,datos_base!$A$15:$A$22,0),MATCH($B$3,datos_base!$B$2:$K$2,0))*INDEX(Parametros!$B$11:$M$26,MATCH($A23,Parametros!$A$11:$A$26,0),MATCH(H$16,Parametros!$B$10:$M$10,0))</f>
        <v>10.71</v>
      </c>
      <c r="I23" s="182">
        <f t="array" ref="I23">INDEX(datos_base!$B$15:$K$22,MATCH($A23,datos_base!$A$15:$A$22,0),MATCH($B$3,datos_base!$B$2:$K$2,0))*INDEX(Parametros!$B$11:$M$26,MATCH($A23,Parametros!$A$11:$A$26,0),MATCH(I$16,Parametros!$B$10:$M$10,0))</f>
        <v>10.71</v>
      </c>
      <c r="J23" s="182">
        <f t="array" ref="J23">INDEX(datos_base!$B$15:$K$22,MATCH($A23,datos_base!$A$15:$A$22,0),MATCH($B$3,datos_base!$B$2:$K$2,0))*INDEX(Parametros!$B$11:$M$26,MATCH($A23,Parametros!$A$11:$A$26,0),MATCH(J$16,Parametros!$B$10:$M$10,0))</f>
        <v>10.115</v>
      </c>
      <c r="K23" s="182">
        <f t="array" ref="K23">INDEX(datos_base!$B$15:$K$22,MATCH($A23,datos_base!$A$15:$A$22,0),MATCH($B$3,datos_base!$B$2:$K$2,0))*INDEX(Parametros!$B$11:$M$26,MATCH($A23,Parametros!$A$11:$A$26,0),MATCH(K$16,Parametros!$B$10:$M$10,0))</f>
        <v>8.925</v>
      </c>
      <c r="L23" s="182">
        <f t="array" ref="L23">INDEX(datos_base!$B$15:$K$22,MATCH($A23,datos_base!$A$15:$A$22,0),MATCH($B$3,datos_base!$B$2:$K$2,0))*INDEX(Parametros!$B$11:$M$26,MATCH($A23,Parametros!$A$11:$A$26,0),MATCH(L$16,Parametros!$B$10:$M$10,0))</f>
        <v>8.33</v>
      </c>
      <c r="M23" s="182">
        <f t="array" ref="M23">INDEX(datos_base!$B$15:$K$22,MATCH($A23,datos_base!$A$15:$A$22,0),MATCH($B$3,datos_base!$B$2:$K$2,0))*INDEX(Parametros!$B$11:$M$26,MATCH($A23,Parametros!$A$11:$A$26,0),MATCH(M$16,Parametros!$B$10:$M$10,0))</f>
        <v>9.52</v>
      </c>
      <c r="N23" s="271">
        <f t="shared" si="4"/>
        <v>119</v>
      </c>
      <c r="O23" s="271">
        <f t="shared" si="5"/>
        <v>9.916666667</v>
      </c>
    </row>
    <row r="24" ht="12.0" customHeight="1">
      <c r="A24" s="152" t="s">
        <v>130</v>
      </c>
      <c r="B24" s="182">
        <f t="array" ref="B24">INDEX(datos_base!$B$15:$K$22,MATCH($A24,datos_base!$A$15:$A$22,0),MATCH($B$3,datos_base!$B$2:$K$2,0))*INDEX(Parametros!$B$11:$M$26,MATCH($A24,Parametros!$A$11:$A$26,0),MATCH(B$16,Parametros!$B$10:$M$10,0))</f>
        <v>6.63</v>
      </c>
      <c r="C24" s="182">
        <f t="array" ref="C24">INDEX(datos_base!$B$15:$K$22,MATCH($A24,datos_base!$A$15:$A$22,0),MATCH($B$3,datos_base!$B$2:$K$2,0))*INDEX(Parametros!$B$11:$M$26,MATCH($A24,Parametros!$A$11:$A$26,0),MATCH(C$16,Parametros!$B$10:$M$10,0))</f>
        <v>5.85</v>
      </c>
      <c r="D24" s="182">
        <f t="array" ref="D24">INDEX(datos_base!$B$15:$K$22,MATCH($A24,datos_base!$A$15:$A$22,0),MATCH($B$3,datos_base!$B$2:$K$2,0))*INDEX(Parametros!$B$11:$M$26,MATCH($A24,Parametros!$A$11:$A$26,0),MATCH(D$16,Parametros!$B$10:$M$10,0))</f>
        <v>7.02</v>
      </c>
      <c r="E24" s="182">
        <f t="array" ref="E24">INDEX(datos_base!$B$15:$K$22,MATCH($A24,datos_base!$A$15:$A$22,0),MATCH($B$3,datos_base!$B$2:$K$2,0))*INDEX(Parametros!$B$11:$M$26,MATCH($A24,Parametros!$A$11:$A$26,0),MATCH(E$16,Parametros!$B$10:$M$10,0))</f>
        <v>7.02</v>
      </c>
      <c r="F24" s="182">
        <f t="array" ref="F24">INDEX(datos_base!$B$15:$K$22,MATCH($A24,datos_base!$A$15:$A$22,0),MATCH($B$3,datos_base!$B$2:$K$2,0))*INDEX(Parametros!$B$11:$M$26,MATCH($A24,Parametros!$A$11:$A$26,0),MATCH(F$16,Parametros!$B$10:$M$10,0))</f>
        <v>7.02</v>
      </c>
      <c r="G24" s="182">
        <f t="array" ref="G24">INDEX(datos_base!$B$15:$K$22,MATCH($A24,datos_base!$A$15:$A$22,0),MATCH($B$3,datos_base!$B$2:$K$2,0))*INDEX(Parametros!$B$11:$M$26,MATCH($A24,Parametros!$A$11:$A$26,0),MATCH(G$16,Parametros!$B$10:$M$10,0))</f>
        <v>6.24</v>
      </c>
      <c r="H24" s="182">
        <f t="array" ref="H24">INDEX(datos_base!$B$15:$K$22,MATCH($A24,datos_base!$A$15:$A$22,0),MATCH($B$3,datos_base!$B$2:$K$2,0))*INDEX(Parametros!$B$11:$M$26,MATCH($A24,Parametros!$A$11:$A$26,0),MATCH(H$16,Parametros!$B$10:$M$10,0))</f>
        <v>7.02</v>
      </c>
      <c r="I24" s="182">
        <f t="array" ref="I24">INDEX(datos_base!$B$15:$K$22,MATCH($A24,datos_base!$A$15:$A$22,0),MATCH($B$3,datos_base!$B$2:$K$2,0))*INDEX(Parametros!$B$11:$M$26,MATCH($A24,Parametros!$A$11:$A$26,0),MATCH(I$16,Parametros!$B$10:$M$10,0))</f>
        <v>7.02</v>
      </c>
      <c r="J24" s="182">
        <f t="array" ref="J24">INDEX(datos_base!$B$15:$K$22,MATCH($A24,datos_base!$A$15:$A$22,0),MATCH($B$3,datos_base!$B$2:$K$2,0))*INDEX(Parametros!$B$11:$M$26,MATCH($A24,Parametros!$A$11:$A$26,0),MATCH(J$16,Parametros!$B$10:$M$10,0))</f>
        <v>6.63</v>
      </c>
      <c r="K24" s="182">
        <f t="array" ref="K24">INDEX(datos_base!$B$15:$K$22,MATCH($A24,datos_base!$A$15:$A$22,0),MATCH($B$3,datos_base!$B$2:$K$2,0))*INDEX(Parametros!$B$11:$M$26,MATCH($A24,Parametros!$A$11:$A$26,0),MATCH(K$16,Parametros!$B$10:$M$10,0))</f>
        <v>5.85</v>
      </c>
      <c r="L24" s="182">
        <f t="array" ref="L24">INDEX(datos_base!$B$15:$K$22,MATCH($A24,datos_base!$A$15:$A$22,0),MATCH($B$3,datos_base!$B$2:$K$2,0))*INDEX(Parametros!$B$11:$M$26,MATCH($A24,Parametros!$A$11:$A$26,0),MATCH(L$16,Parametros!$B$10:$M$10,0))</f>
        <v>5.46</v>
      </c>
      <c r="M24" s="182">
        <f t="array" ref="M24">INDEX(datos_base!$B$15:$K$22,MATCH($A24,datos_base!$A$15:$A$22,0),MATCH($B$3,datos_base!$B$2:$K$2,0))*INDEX(Parametros!$B$11:$M$26,MATCH($A24,Parametros!$A$11:$A$26,0),MATCH(M$16,Parametros!$B$10:$M$10,0))</f>
        <v>6.24</v>
      </c>
      <c r="N24" s="271">
        <f t="shared" si="4"/>
        <v>78</v>
      </c>
      <c r="O24" s="271">
        <f t="shared" si="5"/>
        <v>6.5</v>
      </c>
    </row>
    <row r="25" ht="12.0" customHeight="1">
      <c r="A25" s="272" t="s">
        <v>420</v>
      </c>
      <c r="B25" s="273">
        <f t="shared" ref="B25:N25" si="6">SUM(B17:B24)</f>
        <v>18999.2</v>
      </c>
      <c r="C25" s="273">
        <f t="shared" si="6"/>
        <v>14420.27</v>
      </c>
      <c r="D25" s="273">
        <f t="shared" si="6"/>
        <v>13284.835</v>
      </c>
      <c r="E25" s="273">
        <f t="shared" si="6"/>
        <v>12629.83</v>
      </c>
      <c r="F25" s="273">
        <f t="shared" si="6"/>
        <v>11815.07</v>
      </c>
      <c r="G25" s="273">
        <f t="shared" si="6"/>
        <v>11645.435</v>
      </c>
      <c r="H25" s="273">
        <f t="shared" si="6"/>
        <v>12470.075</v>
      </c>
      <c r="I25" s="273">
        <f t="shared" si="6"/>
        <v>12470.075</v>
      </c>
      <c r="J25" s="273">
        <f t="shared" si="6"/>
        <v>12465.135</v>
      </c>
      <c r="K25" s="273">
        <f t="shared" si="6"/>
        <v>12295.5</v>
      </c>
      <c r="L25" s="273">
        <f t="shared" si="6"/>
        <v>12130.805</v>
      </c>
      <c r="M25" s="273">
        <f t="shared" si="6"/>
        <v>19313.77</v>
      </c>
      <c r="N25" s="273">
        <f t="shared" si="6"/>
        <v>163940</v>
      </c>
      <c r="O25" s="273">
        <f t="shared" si="5"/>
        <v>13661.66667</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O6+O7+O8+O9+O17+O18+O19+O20</f>
        <v>18162.66667</v>
      </c>
      <c r="C28" s="152">
        <f>ROUNDDOWN(B28/Parametros!$B$37,0)</f>
        <v>908</v>
      </c>
      <c r="D28" s="152">
        <f>ROUNDDOWN(C28/Parametros!$J$37,0)</f>
        <v>121</v>
      </c>
      <c r="E28" s="152">
        <f t="shared" ref="E28:E45" si="7">D28</f>
        <v>121</v>
      </c>
      <c r="F28" s="279">
        <f>Parametros!$M$39</f>
        <v>68</v>
      </c>
      <c r="G28" s="152">
        <v>1.0</v>
      </c>
      <c r="H28" s="152">
        <f t="shared" ref="H28:H45" si="8">F28*G28</f>
        <v>68</v>
      </c>
      <c r="I28" s="275">
        <f t="shared" ref="I28:I45" si="9">E28/H28</f>
        <v>1.779411765</v>
      </c>
      <c r="J28" s="152" t="s">
        <v>158</v>
      </c>
    </row>
    <row r="29" ht="12.0" customHeight="1">
      <c r="A29" s="152" t="s">
        <v>163</v>
      </c>
      <c r="B29" s="159">
        <f>O6+O7+O8+O9+O17+O18+O19+O20</f>
        <v>18162.66667</v>
      </c>
      <c r="C29" s="152">
        <f>ROUNDDOWN(B29/Parametros!$B$37,0)</f>
        <v>908</v>
      </c>
      <c r="D29" s="152">
        <f>ROUNDDOWN(C29/Parametros!$J$37,0)</f>
        <v>121</v>
      </c>
      <c r="E29" s="152">
        <f t="shared" si="7"/>
        <v>121</v>
      </c>
      <c r="F29" s="279">
        <f>Parametros!$M$40</f>
        <v>40.88</v>
      </c>
      <c r="G29" s="152">
        <v>1.0</v>
      </c>
      <c r="H29" s="152">
        <f t="shared" si="8"/>
        <v>40.88</v>
      </c>
      <c r="I29" s="275">
        <f t="shared" si="9"/>
        <v>2.959882583</v>
      </c>
      <c r="J29" s="152" t="s">
        <v>158</v>
      </c>
    </row>
    <row r="30" ht="12.0" customHeight="1">
      <c r="A30" s="152" t="s">
        <v>61</v>
      </c>
      <c r="B30" s="159">
        <f>O6+O7+O8+O9+O17+O18+O19+O20</f>
        <v>18162.66667</v>
      </c>
      <c r="C30" s="152">
        <f>ROUNDDOWN(B30/Parametros!$B$37,0)</f>
        <v>908</v>
      </c>
      <c r="D30" s="152">
        <f>ROUNDDOWN(C30/Parametros!$J$37,0)</f>
        <v>121</v>
      </c>
      <c r="E30" s="152">
        <f t="shared" si="7"/>
        <v>121</v>
      </c>
      <c r="F30" s="279">
        <f>Parametros!$M$41</f>
        <v>466.5116279</v>
      </c>
      <c r="G30" s="152">
        <v>1.0</v>
      </c>
      <c r="H30" s="152">
        <f t="shared" si="8"/>
        <v>466.5116279</v>
      </c>
      <c r="I30" s="275">
        <f t="shared" si="9"/>
        <v>0.2593718843</v>
      </c>
      <c r="J30" s="152" t="s">
        <v>158</v>
      </c>
    </row>
    <row r="31" ht="12.0" customHeight="1">
      <c r="A31" s="152" t="s">
        <v>62</v>
      </c>
      <c r="B31" s="159">
        <f>O7+O8+O9+O18+O19+O20</f>
        <v>5151.583333</v>
      </c>
      <c r="C31" s="152">
        <f>ROUNDDOWN(B31/Parametros!$B$37,0)</f>
        <v>257</v>
      </c>
      <c r="D31" s="152">
        <f>ROUNDDOWN(C31/Parametros!$J$37,0)</f>
        <v>34</v>
      </c>
      <c r="E31" s="152">
        <f t="shared" si="7"/>
        <v>34</v>
      </c>
      <c r="F31" s="279">
        <f>Parametros!$M$42</f>
        <v>96</v>
      </c>
      <c r="G31" s="152">
        <v>1.0</v>
      </c>
      <c r="H31" s="152">
        <f t="shared" si="8"/>
        <v>96</v>
      </c>
      <c r="I31" s="275">
        <f t="shared" si="9"/>
        <v>0.3541666667</v>
      </c>
      <c r="J31" s="152" t="s">
        <v>182</v>
      </c>
    </row>
    <row r="32" ht="12.0" customHeight="1">
      <c r="A32" s="152" t="s">
        <v>63</v>
      </c>
      <c r="B32" s="159">
        <f>O7+O8+O9+O18+O19+O20</f>
        <v>5151.583333</v>
      </c>
      <c r="C32" s="152">
        <f>ROUNDDOWN(B32/Parametros!$B$37,0)</f>
        <v>257</v>
      </c>
      <c r="D32" s="152">
        <f>ROUNDDOWN(C32/Parametros!$J$37,0)</f>
        <v>34</v>
      </c>
      <c r="E32" s="152">
        <f t="shared" si="7"/>
        <v>34</v>
      </c>
      <c r="F32" s="279">
        <f>Parametros!$M$43</f>
        <v>80.10122449</v>
      </c>
      <c r="G32" s="152">
        <v>1.0</v>
      </c>
      <c r="H32" s="152">
        <f t="shared" si="8"/>
        <v>80.10122449</v>
      </c>
      <c r="I32" s="275">
        <f t="shared" si="9"/>
        <v>0.4244629245</v>
      </c>
      <c r="J32" s="152" t="s">
        <v>182</v>
      </c>
    </row>
    <row r="33" ht="12.0" customHeight="1">
      <c r="A33" s="152" t="s">
        <v>64</v>
      </c>
      <c r="B33" s="159">
        <f>O7+O8+O9+O18+O19+O20</f>
        <v>5151.583333</v>
      </c>
      <c r="C33" s="152">
        <f>ROUNDDOWN(B33/Parametros!$B$37,0)</f>
        <v>257</v>
      </c>
      <c r="D33" s="152">
        <f>ROUNDDOWN(C33/Parametros!$J$37,0)</f>
        <v>34</v>
      </c>
      <c r="E33" s="152">
        <f t="shared" si="7"/>
        <v>34</v>
      </c>
      <c r="F33" s="279">
        <f>Parametros!$M$44</f>
        <v>18.54222222</v>
      </c>
      <c r="G33" s="152">
        <v>1.0</v>
      </c>
      <c r="H33" s="152">
        <f t="shared" si="8"/>
        <v>18.54222222</v>
      </c>
      <c r="I33" s="275">
        <f t="shared" si="9"/>
        <v>1.833652924</v>
      </c>
      <c r="J33" s="152" t="s">
        <v>182</v>
      </c>
    </row>
    <row r="34" ht="12.0" customHeight="1">
      <c r="A34" s="152" t="s">
        <v>66</v>
      </c>
      <c r="B34" s="159">
        <f>O6+O7+O8+O9+O17+O18+O19+O20</f>
        <v>18162.66667</v>
      </c>
      <c r="C34" s="152">
        <f>ROUNDDOWN(B34/Parametros!$B$37,0)</f>
        <v>908</v>
      </c>
      <c r="D34" s="152">
        <f>ROUNDDOWN(C34/Parametros!$J$37,0)</f>
        <v>121</v>
      </c>
      <c r="E34" s="152">
        <f t="shared" si="7"/>
        <v>121</v>
      </c>
      <c r="F34" s="279">
        <f>Parametros!$M$45</f>
        <v>60.656</v>
      </c>
      <c r="G34" s="152">
        <v>1.0</v>
      </c>
      <c r="H34" s="152">
        <f t="shared" si="8"/>
        <v>60.656</v>
      </c>
      <c r="I34" s="275">
        <f t="shared" si="9"/>
        <v>1.994856238</v>
      </c>
      <c r="J34" s="152" t="s">
        <v>158</v>
      </c>
    </row>
    <row r="35" ht="12.0" customHeight="1">
      <c r="A35" s="152" t="s">
        <v>67</v>
      </c>
      <c r="B35" s="159">
        <f>O6+O7+O8+O9+O17+O18+O19+O20</f>
        <v>18162.66667</v>
      </c>
      <c r="C35" s="152">
        <f>ROUNDDOWN(B35/Parametros!$B$37,0)</f>
        <v>908</v>
      </c>
      <c r="D35" s="152">
        <f>ROUNDDOWN(C35/Parametros!$J$37,0)</f>
        <v>121</v>
      </c>
      <c r="E35" s="152">
        <f t="shared" si="7"/>
        <v>121</v>
      </c>
      <c r="F35" s="279">
        <f>Parametros!$M$46</f>
        <v>187.425</v>
      </c>
      <c r="G35" s="152">
        <v>1.0</v>
      </c>
      <c r="H35" s="152">
        <f t="shared" si="8"/>
        <v>187.425</v>
      </c>
      <c r="I35" s="275">
        <f t="shared" si="9"/>
        <v>0.64559157</v>
      </c>
      <c r="J35" s="152" t="s">
        <v>158</v>
      </c>
    </row>
    <row r="36" ht="12.0" customHeight="1">
      <c r="A36" s="280" t="s">
        <v>68</v>
      </c>
      <c r="B36" s="281">
        <f>O6+O7+O8+O9+O17+O18+O19+O20</f>
        <v>18162.66667</v>
      </c>
      <c r="C36" s="280">
        <f>ROUNDDOWN(B36/Parametros!$B$37,0)</f>
        <v>908</v>
      </c>
      <c r="D36" s="280">
        <f>ROUNDDOWN(C36/Parametros!$J$37,0)</f>
        <v>121</v>
      </c>
      <c r="E36" s="280">
        <f t="shared" si="7"/>
        <v>121</v>
      </c>
      <c r="F36" s="282">
        <f>Parametros!$M$47</f>
        <v>15.96903226</v>
      </c>
      <c r="G36" s="280">
        <v>1.0</v>
      </c>
      <c r="H36" s="280">
        <f t="shared" si="8"/>
        <v>15.96903226</v>
      </c>
      <c r="I36" s="283">
        <f t="shared" si="9"/>
        <v>7.577165482</v>
      </c>
      <c r="J36" s="280" t="s">
        <v>158</v>
      </c>
    </row>
    <row r="37" ht="12.0" customHeight="1">
      <c r="A37" s="280" t="s">
        <v>70</v>
      </c>
      <c r="B37" s="281">
        <f>O6+O7+O8+O9+O17+O18+O19+O20</f>
        <v>18162.66667</v>
      </c>
      <c r="C37" s="280">
        <f>ROUNDDOWN(B37/Parametros!$B$37,0)</f>
        <v>908</v>
      </c>
      <c r="D37" s="280">
        <f>ROUNDDOWN(C37/Parametros!$J$37,0)</f>
        <v>121</v>
      </c>
      <c r="E37" s="280">
        <f t="shared" si="7"/>
        <v>121</v>
      </c>
      <c r="F37" s="282">
        <f>Parametros!$M$48</f>
        <v>22.46518519</v>
      </c>
      <c r="G37" s="280">
        <v>1.0</v>
      </c>
      <c r="H37" s="280">
        <f t="shared" si="8"/>
        <v>22.46518519</v>
      </c>
      <c r="I37" s="283">
        <f t="shared" si="9"/>
        <v>5.386111844</v>
      </c>
      <c r="J37" s="280" t="s">
        <v>158</v>
      </c>
    </row>
    <row r="38" ht="12.0" customHeight="1">
      <c r="A38" s="152" t="s">
        <v>72</v>
      </c>
      <c r="B38" s="159">
        <f>O6+O7+O8+O9+O17+O18+O19+O20</f>
        <v>18162.66667</v>
      </c>
      <c r="C38" s="152">
        <f>ROUNDDOWN(B38/Parametros!$B$37,0)</f>
        <v>908</v>
      </c>
      <c r="D38" s="152">
        <f>ROUNDDOWN(C38/Parametros!$J$37,0)</f>
        <v>121</v>
      </c>
      <c r="E38" s="152">
        <f t="shared" si="7"/>
        <v>121</v>
      </c>
      <c r="F38" s="279">
        <f>Parametros!$M$49</f>
        <v>71.1627907</v>
      </c>
      <c r="G38" s="152">
        <v>1.0</v>
      </c>
      <c r="H38" s="152">
        <f t="shared" si="8"/>
        <v>71.1627907</v>
      </c>
      <c r="I38" s="275">
        <f t="shared" si="9"/>
        <v>1.700326797</v>
      </c>
      <c r="J38" s="152" t="s">
        <v>158</v>
      </c>
    </row>
    <row r="39" ht="12.0" customHeight="1">
      <c r="A39" s="280" t="s">
        <v>76</v>
      </c>
      <c r="B39" s="281">
        <f>O6+O7+O8+O9+O17+O18+O19+O20</f>
        <v>18162.66667</v>
      </c>
      <c r="C39" s="280">
        <f>ROUNDDOWN(B39/Parametros!$B$37,0)</f>
        <v>908</v>
      </c>
      <c r="D39" s="280">
        <f>ROUNDDOWN(C39/Parametros!$J$37,0)</f>
        <v>121</v>
      </c>
      <c r="E39" s="280">
        <f t="shared" si="7"/>
        <v>121</v>
      </c>
      <c r="F39" s="282">
        <f>Parametros!$M$50</f>
        <v>192</v>
      </c>
      <c r="G39" s="280">
        <v>1.0</v>
      </c>
      <c r="H39" s="280">
        <f t="shared" si="8"/>
        <v>192</v>
      </c>
      <c r="I39" s="283">
        <f t="shared" si="9"/>
        <v>0.6302083333</v>
      </c>
      <c r="J39" s="280" t="s">
        <v>158</v>
      </c>
    </row>
    <row r="40" ht="12.0" customHeight="1">
      <c r="A40" s="280" t="s">
        <v>77</v>
      </c>
      <c r="B40" s="281">
        <f>O6+O7+O8+O9+O17+O18+O19+O20</f>
        <v>18162.66667</v>
      </c>
      <c r="C40" s="280">
        <f>ROUNDDOWN(B40/Parametros!$B$37,0)</f>
        <v>908</v>
      </c>
      <c r="D40" s="280">
        <f>ROUNDDOWN(C40/Parametros!$J$37,0)</f>
        <v>121</v>
      </c>
      <c r="E40" s="280">
        <f t="shared" si="7"/>
        <v>121</v>
      </c>
      <c r="F40" s="282">
        <f>Parametros!$M$51</f>
        <v>136.0227273</v>
      </c>
      <c r="G40" s="280">
        <v>1.0</v>
      </c>
      <c r="H40" s="280">
        <f t="shared" si="8"/>
        <v>136.0227273</v>
      </c>
      <c r="I40" s="283">
        <f t="shared" si="9"/>
        <v>0.8895572264</v>
      </c>
      <c r="J40" s="280" t="s">
        <v>158</v>
      </c>
    </row>
    <row r="41" ht="12.0" customHeight="1">
      <c r="A41" s="152" t="s">
        <v>79</v>
      </c>
      <c r="B41" s="159">
        <f>O6+O7+O8+O9+O17+O18+O19+O20</f>
        <v>18162.66667</v>
      </c>
      <c r="C41" s="152">
        <f>ROUNDDOWN(B41/Parametros!$B$37,0)</f>
        <v>908</v>
      </c>
      <c r="D41" s="152">
        <f>ROUNDDOWN(C41/Parametros!$J$37,0)</f>
        <v>121</v>
      </c>
      <c r="E41" s="152">
        <f t="shared" si="7"/>
        <v>121</v>
      </c>
      <c r="F41" s="279">
        <f>Parametros!$M$52</f>
        <v>60.34285714</v>
      </c>
      <c r="G41" s="152">
        <v>1.0</v>
      </c>
      <c r="H41" s="152">
        <f t="shared" si="8"/>
        <v>60.34285714</v>
      </c>
      <c r="I41" s="275">
        <f t="shared" si="9"/>
        <v>2.005208333</v>
      </c>
      <c r="J41" s="152" t="s">
        <v>158</v>
      </c>
    </row>
    <row r="42" ht="12.0" customHeight="1">
      <c r="A42" s="152" t="s">
        <v>81</v>
      </c>
      <c r="B42" s="159">
        <f>O6+O7+O8+O9+O17+O18+O19+O20</f>
        <v>18162.66667</v>
      </c>
      <c r="C42" s="152">
        <f>ROUNDDOWN(B42/Parametros!$B$37,0)</f>
        <v>908</v>
      </c>
      <c r="D42" s="152">
        <f>ROUNDDOWN(C42/Parametros!$J$37,0)</f>
        <v>121</v>
      </c>
      <c r="E42" s="152">
        <f t="shared" si="7"/>
        <v>121</v>
      </c>
      <c r="F42" s="279">
        <f>Parametros!$M$53</f>
        <v>25.2</v>
      </c>
      <c r="G42" s="152">
        <v>1.0</v>
      </c>
      <c r="H42" s="152">
        <f t="shared" si="8"/>
        <v>25.2</v>
      </c>
      <c r="I42" s="275">
        <f t="shared" si="9"/>
        <v>4.801587302</v>
      </c>
      <c r="J42" s="152" t="s">
        <v>158</v>
      </c>
    </row>
    <row r="43" ht="12.0" customHeight="1">
      <c r="A43" s="152" t="s">
        <v>82</v>
      </c>
      <c r="B43" s="159">
        <f>O6+O7+O8+O9+O17+O18+O19+O20</f>
        <v>18162.66667</v>
      </c>
      <c r="C43" s="152">
        <f>ROUNDDOWN(B43/Parametros!$B$37,0)</f>
        <v>908</v>
      </c>
      <c r="D43" s="152">
        <f>ROUNDDOWN(C43/Parametros!$J$37,0)</f>
        <v>121</v>
      </c>
      <c r="E43" s="152">
        <f t="shared" si="7"/>
        <v>121</v>
      </c>
      <c r="F43" s="279">
        <f>Parametros!$M$54</f>
        <v>41.53846154</v>
      </c>
      <c r="G43" s="152">
        <v>1.0</v>
      </c>
      <c r="H43" s="152">
        <f t="shared" si="8"/>
        <v>41.53846154</v>
      </c>
      <c r="I43" s="275">
        <f t="shared" si="9"/>
        <v>2.912962963</v>
      </c>
      <c r="J43" s="152" t="s">
        <v>158</v>
      </c>
    </row>
    <row r="44" ht="12.0" customHeight="1">
      <c r="A44" s="152" t="s">
        <v>83</v>
      </c>
      <c r="B44" s="159">
        <f>O6+O7+O8+O9+O17+O18+O19+O20</f>
        <v>18162.66667</v>
      </c>
      <c r="C44" s="152">
        <f>ROUNDDOWN(B44/Parametros!$B$37,0)</f>
        <v>908</v>
      </c>
      <c r="D44" s="152">
        <f>ROUNDDOWN(C44/Parametros!$J$37,0)</f>
        <v>121</v>
      </c>
      <c r="E44" s="152">
        <f t="shared" si="7"/>
        <v>121</v>
      </c>
      <c r="F44" s="279">
        <f>Parametros!$M$55</f>
        <v>45.81818182</v>
      </c>
      <c r="G44" s="152">
        <v>1.0</v>
      </c>
      <c r="H44" s="152">
        <f t="shared" si="8"/>
        <v>45.81818182</v>
      </c>
      <c r="I44" s="275">
        <f t="shared" si="9"/>
        <v>2.640873016</v>
      </c>
      <c r="J44" s="152" t="s">
        <v>158</v>
      </c>
    </row>
    <row r="45" ht="12.0" customHeight="1">
      <c r="A45" s="152" t="s">
        <v>84</v>
      </c>
      <c r="B45" s="159">
        <f>O6+O7+O8+O9+O17+O18+O19+O20</f>
        <v>18162.66667</v>
      </c>
      <c r="C45" s="152">
        <f>ROUNDDOWN(B45/Parametros!$B$37,0)</f>
        <v>908</v>
      </c>
      <c r="D45" s="152">
        <f>ROUNDDOWN(C45/Parametros!$J$37,0)</f>
        <v>121</v>
      </c>
      <c r="E45" s="152">
        <f t="shared" si="7"/>
        <v>121</v>
      </c>
      <c r="F45" s="279">
        <f>Parametros!$M$56</f>
        <v>48.81355932</v>
      </c>
      <c r="G45" s="152">
        <v>1.0</v>
      </c>
      <c r="H45" s="152">
        <f t="shared" si="8"/>
        <v>48.81355932</v>
      </c>
      <c r="I45" s="275">
        <f t="shared" si="9"/>
        <v>2.478819444</v>
      </c>
      <c r="J45" s="152" t="s">
        <v>158</v>
      </c>
    </row>
    <row r="46" ht="12.0" customHeight="1"/>
    <row r="47" ht="12.0" customHeight="1">
      <c r="A47" s="276" t="s">
        <v>1611</v>
      </c>
      <c r="B47" s="277">
        <f t="shared" ref="B47:M47" si="10">SUM(B10:B13)+SUM(B21:B24)</f>
        <v>198.9</v>
      </c>
      <c r="C47" s="277">
        <f t="shared" si="10"/>
        <v>175.5</v>
      </c>
      <c r="D47" s="277">
        <f t="shared" si="10"/>
        <v>210.6</v>
      </c>
      <c r="E47" s="277">
        <f t="shared" si="10"/>
        <v>210.6</v>
      </c>
      <c r="F47" s="277">
        <f t="shared" si="10"/>
        <v>210.6</v>
      </c>
      <c r="G47" s="278">
        <f t="shared" si="10"/>
        <v>187.2</v>
      </c>
      <c r="H47" s="278">
        <f t="shared" si="10"/>
        <v>210.6</v>
      </c>
      <c r="I47" s="278">
        <f t="shared" si="10"/>
        <v>210.6</v>
      </c>
      <c r="J47" s="278">
        <f t="shared" si="10"/>
        <v>198.9</v>
      </c>
      <c r="K47" s="278">
        <f t="shared" si="10"/>
        <v>175.5</v>
      </c>
      <c r="L47" s="278">
        <f t="shared" si="10"/>
        <v>163.8</v>
      </c>
      <c r="M47" s="278">
        <f t="shared" si="10"/>
        <v>187.2</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2.63"/>
    <col customWidth="1" min="2" max="6" width="12.63"/>
  </cols>
  <sheetData>
    <row r="1" ht="12.0" customHeight="1">
      <c r="A1" s="262" t="s">
        <v>1617</v>
      </c>
      <c r="B1" s="263"/>
      <c r="C1" s="263"/>
      <c r="D1" s="263"/>
      <c r="E1" s="263"/>
      <c r="F1" s="263"/>
      <c r="G1" s="263"/>
      <c r="H1" s="263"/>
      <c r="I1" s="263"/>
      <c r="J1" s="263"/>
      <c r="K1" s="263"/>
      <c r="L1" s="263"/>
      <c r="M1" s="263"/>
      <c r="N1" s="264"/>
    </row>
    <row r="2" ht="12.0" customHeight="1">
      <c r="A2" s="265" t="s">
        <v>1591</v>
      </c>
      <c r="B2" s="263"/>
      <c r="C2" s="263"/>
      <c r="D2" s="263"/>
      <c r="E2" s="263"/>
      <c r="F2" s="263"/>
      <c r="G2" s="263"/>
      <c r="H2" s="263"/>
      <c r="I2" s="263"/>
      <c r="J2" s="263"/>
      <c r="K2" s="263"/>
      <c r="L2" s="263"/>
      <c r="M2" s="263"/>
      <c r="N2" s="264"/>
    </row>
    <row r="3" ht="12.0" customHeight="1">
      <c r="A3" s="266" t="s">
        <v>1592</v>
      </c>
      <c r="B3" s="267">
        <v>2034.0</v>
      </c>
      <c r="C3" s="11"/>
      <c r="D3" s="11"/>
      <c r="E3" s="11"/>
      <c r="F3" s="11"/>
      <c r="G3" s="11"/>
      <c r="H3" s="11"/>
      <c r="I3" s="11"/>
      <c r="J3" s="11"/>
      <c r="K3" s="11"/>
      <c r="L3" s="11"/>
      <c r="M3" s="11"/>
      <c r="N3" s="11"/>
      <c r="O3" s="11"/>
    </row>
    <row r="4" ht="12.0" customHeight="1">
      <c r="A4" s="11"/>
      <c r="B4" s="11"/>
      <c r="C4" s="11"/>
      <c r="D4" s="11"/>
      <c r="E4" s="11"/>
      <c r="F4" s="11"/>
      <c r="G4" s="11"/>
      <c r="H4" s="11"/>
      <c r="I4" s="11"/>
      <c r="J4" s="11"/>
      <c r="K4" s="11"/>
      <c r="L4" s="11"/>
      <c r="M4" s="11"/>
      <c r="N4" s="11"/>
      <c r="O4" s="11"/>
    </row>
    <row r="5" ht="12.0" customHeight="1">
      <c r="A5" s="270"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152" t="s">
        <v>34</v>
      </c>
      <c r="B6" s="182">
        <f t="array" ref="B6">INDEX(datos_base!$B$3:$K$10,MATCH($A6,datos_base!$A$3:$A$10,0),MATCH($B$3,datos_base!$B$2:$K$2,0))*INDEX(Parametros!$B$11:$M$26,MATCH($A6,Parametros!$A$11:$A$26,0),MATCH(B$5,Parametros!$B$10:$M$10,0))</f>
        <v>3428.76</v>
      </c>
      <c r="C6" s="182">
        <f t="array" ref="C6">INDEX(datos_base!$B$3:$K$10,MATCH($A6,datos_base!$A$3:$A$10,0),MATCH($B$3,datos_base!$B$2:$K$2,0))*INDEX(Parametros!$B$11:$M$26,MATCH($A6,Parametros!$A$11:$A$26,0),MATCH(C$5,Parametros!$B$10:$M$10,0))</f>
        <v>2571.57</v>
      </c>
      <c r="D6" s="182">
        <f t="array" ref="D6">INDEX(datos_base!$B$3:$K$10,MATCH($A6,datos_base!$A$3:$A$10,0),MATCH($B$3,datos_base!$B$2:$K$2,0))*INDEX(Parametros!$B$11:$M$26,MATCH($A6,Parametros!$A$11:$A$26,0),MATCH(D$5,Parametros!$B$10:$M$10,0))</f>
        <v>2285.84</v>
      </c>
      <c r="E6" s="182">
        <f t="array" ref="E6">INDEX(datos_base!$B$3:$K$10,MATCH($A6,datos_base!$A$3:$A$10,0),MATCH($B$3,datos_base!$B$2:$K$2,0))*INDEX(Parametros!$B$11:$M$26,MATCH($A6,Parametros!$A$11:$A$26,0),MATCH(E$5,Parametros!$B$10:$M$10,0))</f>
        <v>2142.975</v>
      </c>
      <c r="F6" s="182">
        <f t="array" ref="F6">INDEX(datos_base!$B$3:$K$10,MATCH($A6,datos_base!$A$3:$A$10,0),MATCH($B$3,datos_base!$B$2:$K$2,0))*INDEX(Parametros!$B$11:$M$26,MATCH($A6,Parametros!$A$11:$A$26,0),MATCH(F$5,Parametros!$B$10:$M$10,0))</f>
        <v>2000.11</v>
      </c>
      <c r="G6" s="182">
        <f t="array" ref="G6">INDEX(datos_base!$B$3:$K$10,MATCH($A6,datos_base!$A$3:$A$10,0),MATCH($B$3,datos_base!$B$2:$K$2,0))*INDEX(Parametros!$B$11:$M$26,MATCH($A6,Parametros!$A$11:$A$26,0),MATCH(G$5,Parametros!$B$10:$M$10,0))</f>
        <v>2000.11</v>
      </c>
      <c r="H6" s="182">
        <f t="array" ref="H6">INDEX(datos_base!$B$3:$K$10,MATCH($A6,datos_base!$A$3:$A$10,0),MATCH($B$3,datos_base!$B$2:$K$2,0))*INDEX(Parametros!$B$11:$M$26,MATCH($A6,Parametros!$A$11:$A$26,0),MATCH(H$5,Parametros!$B$10:$M$10,0))</f>
        <v>2142.975</v>
      </c>
      <c r="I6" s="182">
        <f t="array" ref="I6">INDEX(datos_base!$B$3:$K$10,MATCH($A6,datos_base!$A$3:$A$10,0),MATCH($B$3,datos_base!$B$2:$K$2,0))*INDEX(Parametros!$B$11:$M$26,MATCH($A6,Parametros!$A$11:$A$26,0),MATCH(I$5,Parametros!$B$10:$M$10,0))</f>
        <v>2142.975</v>
      </c>
      <c r="J6" s="182">
        <f t="array" ref="J6">INDEX(datos_base!$B$3:$K$10,MATCH($A6,datos_base!$A$3:$A$10,0),MATCH($B$3,datos_base!$B$2:$K$2,0))*INDEX(Parametros!$B$11:$M$26,MATCH($A6,Parametros!$A$11:$A$26,0),MATCH(J$5,Parametros!$B$10:$M$10,0))</f>
        <v>2142.975</v>
      </c>
      <c r="K6" s="182">
        <f t="array" ref="K6">INDEX(datos_base!$B$3:$K$10,MATCH($A6,datos_base!$A$3:$A$10,0),MATCH($B$3,datos_base!$B$2:$K$2,0))*INDEX(Parametros!$B$11:$M$26,MATCH($A6,Parametros!$A$11:$A$26,0),MATCH(K$5,Parametros!$B$10:$M$10,0))</f>
        <v>2142.975</v>
      </c>
      <c r="L6" s="182">
        <f t="array" ref="L6">INDEX(datos_base!$B$3:$K$10,MATCH($A6,datos_base!$A$3:$A$10,0),MATCH($B$3,datos_base!$B$2:$K$2,0))*INDEX(Parametros!$B$11:$M$26,MATCH($A6,Parametros!$A$11:$A$26,0),MATCH(L$5,Parametros!$B$10:$M$10,0))</f>
        <v>2142.975</v>
      </c>
      <c r="M6" s="182">
        <f t="array" ref="M6">INDEX(datos_base!$B$3:$K$10,MATCH($A6,datos_base!$A$3:$A$10,0),MATCH($B$3,datos_base!$B$2:$K$2,0))*INDEX(Parametros!$B$11:$M$26,MATCH($A6,Parametros!$A$11:$A$26,0),MATCH(M$5,Parametros!$B$10:$M$10,0))</f>
        <v>3428.76</v>
      </c>
      <c r="N6" s="271">
        <f t="shared" ref="N6:N13" si="1">SUM(B6:M6)</f>
        <v>28573</v>
      </c>
      <c r="O6" s="271">
        <f t="shared" ref="O6:O14" si="2">AVERAGE(B6:M6)</f>
        <v>2381.083333</v>
      </c>
    </row>
    <row r="7" ht="12.0" customHeight="1">
      <c r="A7" s="152" t="s">
        <v>43</v>
      </c>
      <c r="B7" s="182">
        <f t="array" ref="B7">INDEX(datos_base!$B$3:$K$10,MATCH($A7,datos_base!$A$3:$A$10,0),MATCH($B$3,datos_base!$B$2:$K$2,0))*INDEX(Parametros!$B$11:$M$26,MATCH($A7,Parametros!$A$11:$A$26,0),MATCH(B$5,Parametros!$B$10:$M$10,0))</f>
        <v>619.5</v>
      </c>
      <c r="C7" s="182">
        <f t="array" ref="C7">INDEX(datos_base!$B$3:$K$10,MATCH($A7,datos_base!$A$3:$A$10,0),MATCH($B$3,datos_base!$B$2:$K$2,0))*INDEX(Parametros!$B$11:$M$26,MATCH($A7,Parametros!$A$11:$A$26,0),MATCH(C$5,Parametros!$B$10:$M$10,0))</f>
        <v>495.6</v>
      </c>
      <c r="D7" s="182">
        <f t="array" ref="D7">INDEX(datos_base!$B$3:$K$10,MATCH($A7,datos_base!$A$3:$A$10,0),MATCH($B$3,datos_base!$B$2:$K$2,0))*INDEX(Parametros!$B$11:$M$26,MATCH($A7,Parametros!$A$11:$A$26,0),MATCH(D$5,Parametros!$B$10:$M$10,0))</f>
        <v>526.575</v>
      </c>
      <c r="E7" s="182">
        <f t="array" ref="E7">INDEX(datos_base!$B$3:$K$10,MATCH($A7,datos_base!$A$3:$A$10,0),MATCH($B$3,datos_base!$B$2:$K$2,0))*INDEX(Parametros!$B$11:$M$26,MATCH($A7,Parametros!$A$11:$A$26,0),MATCH(E$5,Parametros!$B$10:$M$10,0))</f>
        <v>526.575</v>
      </c>
      <c r="F7" s="182">
        <f t="array" ref="F7">INDEX(datos_base!$B$3:$K$10,MATCH($A7,datos_base!$A$3:$A$10,0),MATCH($B$3,datos_base!$B$2:$K$2,0))*INDEX(Parametros!$B$11:$M$26,MATCH($A7,Parametros!$A$11:$A$26,0),MATCH(F$5,Parametros!$B$10:$M$10,0))</f>
        <v>495.6</v>
      </c>
      <c r="G7" s="182">
        <f t="array" ref="G7">INDEX(datos_base!$B$3:$K$10,MATCH($A7,datos_base!$A$3:$A$10,0),MATCH($B$3,datos_base!$B$2:$K$2,0))*INDEX(Parametros!$B$11:$M$26,MATCH($A7,Parametros!$A$11:$A$26,0),MATCH(G$5,Parametros!$B$10:$M$10,0))</f>
        <v>464.625</v>
      </c>
      <c r="H7" s="182">
        <f t="array" ref="H7">INDEX(datos_base!$B$3:$K$10,MATCH($A7,datos_base!$A$3:$A$10,0),MATCH($B$3,datos_base!$B$2:$K$2,0))*INDEX(Parametros!$B$11:$M$26,MATCH($A7,Parametros!$A$11:$A$26,0),MATCH(H$5,Parametros!$B$10:$M$10,0))</f>
        <v>495.6</v>
      </c>
      <c r="I7" s="182">
        <f t="array" ref="I7">INDEX(datos_base!$B$3:$K$10,MATCH($A7,datos_base!$A$3:$A$10,0),MATCH($B$3,datos_base!$B$2:$K$2,0))*INDEX(Parametros!$B$11:$M$26,MATCH($A7,Parametros!$A$11:$A$26,0),MATCH(I$5,Parametros!$B$10:$M$10,0))</f>
        <v>495.6</v>
      </c>
      <c r="J7" s="182">
        <f t="array" ref="J7">INDEX(datos_base!$B$3:$K$10,MATCH($A7,datos_base!$A$3:$A$10,0),MATCH($B$3,datos_base!$B$2:$K$2,0))*INDEX(Parametros!$B$11:$M$26,MATCH($A7,Parametros!$A$11:$A$26,0),MATCH(J$5,Parametros!$B$10:$M$10,0))</f>
        <v>495.6</v>
      </c>
      <c r="K7" s="182">
        <f t="array" ref="K7">INDEX(datos_base!$B$3:$K$10,MATCH($A7,datos_base!$A$3:$A$10,0),MATCH($B$3,datos_base!$B$2:$K$2,0))*INDEX(Parametros!$B$11:$M$26,MATCH($A7,Parametros!$A$11:$A$26,0),MATCH(K$5,Parametros!$B$10:$M$10,0))</f>
        <v>464.625</v>
      </c>
      <c r="L7" s="182">
        <f t="array" ref="L7">INDEX(datos_base!$B$3:$K$10,MATCH($A7,datos_base!$A$3:$A$10,0),MATCH($B$3,datos_base!$B$2:$K$2,0))*INDEX(Parametros!$B$11:$M$26,MATCH($A7,Parametros!$A$11:$A$26,0),MATCH(L$5,Parametros!$B$10:$M$10,0))</f>
        <v>433.65</v>
      </c>
      <c r="M7" s="182">
        <f t="array" ref="M7">INDEX(datos_base!$B$3:$K$10,MATCH($A7,datos_base!$A$3:$A$10,0),MATCH($B$3,datos_base!$B$2:$K$2,0))*INDEX(Parametros!$B$11:$M$26,MATCH($A7,Parametros!$A$11:$A$26,0),MATCH(M$5,Parametros!$B$10:$M$10,0))</f>
        <v>681.45</v>
      </c>
      <c r="N7" s="271">
        <f t="shared" si="1"/>
        <v>6195</v>
      </c>
      <c r="O7" s="271">
        <f t="shared" si="2"/>
        <v>516.25</v>
      </c>
    </row>
    <row r="8" ht="12.0" customHeight="1">
      <c r="A8" s="152" t="s">
        <v>53</v>
      </c>
      <c r="B8" s="182">
        <f t="array" ref="B8">INDEX(datos_base!$B$3:$K$10,MATCH($A8,datos_base!$A$3:$A$10,0),MATCH($B$3,datos_base!$B$2:$K$2,0))*INDEX(Parametros!$B$11:$M$26,MATCH($A8,Parametros!$A$11:$A$26,0),MATCH(B$5,Parametros!$B$10:$M$10,0))</f>
        <v>2696.8</v>
      </c>
      <c r="C8" s="182">
        <f t="array" ref="C8">INDEX(datos_base!$B$3:$K$10,MATCH($A8,datos_base!$A$3:$A$10,0),MATCH($B$3,datos_base!$B$2:$K$2,0))*INDEX(Parametros!$B$11:$M$26,MATCH($A8,Parametros!$A$11:$A$26,0),MATCH(C$5,Parametros!$B$10:$M$10,0))</f>
        <v>2157.44</v>
      </c>
      <c r="D8" s="182">
        <f t="array" ref="D8">INDEX(datos_base!$B$3:$K$10,MATCH($A8,datos_base!$A$3:$A$10,0),MATCH($B$3,datos_base!$B$2:$K$2,0))*INDEX(Parametros!$B$11:$M$26,MATCH($A8,Parametros!$A$11:$A$26,0),MATCH(D$5,Parametros!$B$10:$M$10,0))</f>
        <v>2292.28</v>
      </c>
      <c r="E8" s="182">
        <f t="array" ref="E8">INDEX(datos_base!$B$3:$K$10,MATCH($A8,datos_base!$A$3:$A$10,0),MATCH($B$3,datos_base!$B$2:$K$2,0))*INDEX(Parametros!$B$11:$M$26,MATCH($A8,Parametros!$A$11:$A$26,0),MATCH(E$5,Parametros!$B$10:$M$10,0))</f>
        <v>2292.28</v>
      </c>
      <c r="F8" s="182">
        <f t="array" ref="F8">INDEX(datos_base!$B$3:$K$10,MATCH($A8,datos_base!$A$3:$A$10,0),MATCH($B$3,datos_base!$B$2:$K$2,0))*INDEX(Parametros!$B$11:$M$26,MATCH($A8,Parametros!$A$11:$A$26,0),MATCH(F$5,Parametros!$B$10:$M$10,0))</f>
        <v>2157.44</v>
      </c>
      <c r="G8" s="182">
        <f t="array" ref="G8">INDEX(datos_base!$B$3:$K$10,MATCH($A8,datos_base!$A$3:$A$10,0),MATCH($B$3,datos_base!$B$2:$K$2,0))*INDEX(Parametros!$B$11:$M$26,MATCH($A8,Parametros!$A$11:$A$26,0),MATCH(G$5,Parametros!$B$10:$M$10,0))</f>
        <v>2022.6</v>
      </c>
      <c r="H8" s="182">
        <f t="array" ref="H8">INDEX(datos_base!$B$3:$K$10,MATCH($A8,datos_base!$A$3:$A$10,0),MATCH($B$3,datos_base!$B$2:$K$2,0))*INDEX(Parametros!$B$11:$M$26,MATCH($A8,Parametros!$A$11:$A$26,0),MATCH(H$5,Parametros!$B$10:$M$10,0))</f>
        <v>2157.44</v>
      </c>
      <c r="I8" s="182">
        <f t="array" ref="I8">INDEX(datos_base!$B$3:$K$10,MATCH($A8,datos_base!$A$3:$A$10,0),MATCH($B$3,datos_base!$B$2:$K$2,0))*INDEX(Parametros!$B$11:$M$26,MATCH($A8,Parametros!$A$11:$A$26,0),MATCH(I$5,Parametros!$B$10:$M$10,0))</f>
        <v>2157.44</v>
      </c>
      <c r="J8" s="182">
        <f t="array" ref="J8">INDEX(datos_base!$B$3:$K$10,MATCH($A8,datos_base!$A$3:$A$10,0),MATCH($B$3,datos_base!$B$2:$K$2,0))*INDEX(Parametros!$B$11:$M$26,MATCH($A8,Parametros!$A$11:$A$26,0),MATCH(J$5,Parametros!$B$10:$M$10,0))</f>
        <v>2157.44</v>
      </c>
      <c r="K8" s="182">
        <f t="array" ref="K8">INDEX(datos_base!$B$3:$K$10,MATCH($A8,datos_base!$A$3:$A$10,0),MATCH($B$3,datos_base!$B$2:$K$2,0))*INDEX(Parametros!$B$11:$M$26,MATCH($A8,Parametros!$A$11:$A$26,0),MATCH(K$5,Parametros!$B$10:$M$10,0))</f>
        <v>2022.6</v>
      </c>
      <c r="L8" s="182">
        <f t="array" ref="L8">INDEX(datos_base!$B$3:$K$10,MATCH($A8,datos_base!$A$3:$A$10,0),MATCH($B$3,datos_base!$B$2:$K$2,0))*INDEX(Parametros!$B$11:$M$26,MATCH($A8,Parametros!$A$11:$A$26,0),MATCH(L$5,Parametros!$B$10:$M$10,0))</f>
        <v>1887.76</v>
      </c>
      <c r="M8" s="182">
        <f t="array" ref="M8">INDEX(datos_base!$B$3:$K$10,MATCH($A8,datos_base!$A$3:$A$10,0),MATCH($B$3,datos_base!$B$2:$K$2,0))*INDEX(Parametros!$B$11:$M$26,MATCH($A8,Parametros!$A$11:$A$26,0),MATCH(M$5,Parametros!$B$10:$M$10,0))</f>
        <v>2966.48</v>
      </c>
      <c r="N8" s="271">
        <f t="shared" si="1"/>
        <v>26968</v>
      </c>
      <c r="O8" s="271">
        <f t="shared" si="2"/>
        <v>2247.333333</v>
      </c>
    </row>
    <row r="9" ht="12.0" customHeight="1">
      <c r="A9" s="152" t="s">
        <v>59</v>
      </c>
      <c r="B9" s="182">
        <f t="array" ref="B9">INDEX(datos_base!$B$3:$K$10,MATCH($A9,datos_base!$A$3:$A$10,0),MATCH($B$3,datos_base!$B$2:$K$2,0))*INDEX(Parametros!$B$11:$M$26,MATCH($A9,Parametros!$A$11:$A$26,0),MATCH(B$5,Parametros!$B$10:$M$10,0))</f>
        <v>161.2</v>
      </c>
      <c r="C9" s="182">
        <f t="array" ref="C9">INDEX(datos_base!$B$3:$K$10,MATCH($A9,datos_base!$A$3:$A$10,0),MATCH($B$3,datos_base!$B$2:$K$2,0))*INDEX(Parametros!$B$11:$M$26,MATCH($A9,Parametros!$A$11:$A$26,0),MATCH(C$5,Parametros!$B$10:$M$10,0))</f>
        <v>128.96</v>
      </c>
      <c r="D9" s="182">
        <f t="array" ref="D9">INDEX(datos_base!$B$3:$K$10,MATCH($A9,datos_base!$A$3:$A$10,0),MATCH($B$3,datos_base!$B$2:$K$2,0))*INDEX(Parametros!$B$11:$M$26,MATCH($A9,Parametros!$A$11:$A$26,0),MATCH(D$5,Parametros!$B$10:$M$10,0))</f>
        <v>137.02</v>
      </c>
      <c r="E9" s="182">
        <f t="array" ref="E9">INDEX(datos_base!$B$3:$K$10,MATCH($A9,datos_base!$A$3:$A$10,0),MATCH($B$3,datos_base!$B$2:$K$2,0))*INDEX(Parametros!$B$11:$M$26,MATCH($A9,Parametros!$A$11:$A$26,0),MATCH(E$5,Parametros!$B$10:$M$10,0))</f>
        <v>137.02</v>
      </c>
      <c r="F9" s="182">
        <f t="array" ref="F9">INDEX(datos_base!$B$3:$K$10,MATCH($A9,datos_base!$A$3:$A$10,0),MATCH($B$3,datos_base!$B$2:$K$2,0))*INDEX(Parametros!$B$11:$M$26,MATCH($A9,Parametros!$A$11:$A$26,0),MATCH(F$5,Parametros!$B$10:$M$10,0))</f>
        <v>128.96</v>
      </c>
      <c r="G9" s="182">
        <f t="array" ref="G9">INDEX(datos_base!$B$3:$K$10,MATCH($A9,datos_base!$A$3:$A$10,0),MATCH($B$3,datos_base!$B$2:$K$2,0))*INDEX(Parametros!$B$11:$M$26,MATCH($A9,Parametros!$A$11:$A$26,0),MATCH(G$5,Parametros!$B$10:$M$10,0))</f>
        <v>120.9</v>
      </c>
      <c r="H9" s="182">
        <f t="array" ref="H9">INDEX(datos_base!$B$3:$K$10,MATCH($A9,datos_base!$A$3:$A$10,0),MATCH($B$3,datos_base!$B$2:$K$2,0))*INDEX(Parametros!$B$11:$M$26,MATCH($A9,Parametros!$A$11:$A$26,0),MATCH(H$5,Parametros!$B$10:$M$10,0))</f>
        <v>128.96</v>
      </c>
      <c r="I9" s="182">
        <f t="array" ref="I9">INDEX(datos_base!$B$3:$K$10,MATCH($A9,datos_base!$A$3:$A$10,0),MATCH($B$3,datos_base!$B$2:$K$2,0))*INDEX(Parametros!$B$11:$M$26,MATCH($A9,Parametros!$A$11:$A$26,0),MATCH(I$5,Parametros!$B$10:$M$10,0))</f>
        <v>128.96</v>
      </c>
      <c r="J9" s="182">
        <f t="array" ref="J9">INDEX(datos_base!$B$3:$K$10,MATCH($A9,datos_base!$A$3:$A$10,0),MATCH($B$3,datos_base!$B$2:$K$2,0))*INDEX(Parametros!$B$11:$M$26,MATCH($A9,Parametros!$A$11:$A$26,0),MATCH(J$5,Parametros!$B$10:$M$10,0))</f>
        <v>128.96</v>
      </c>
      <c r="K9" s="182">
        <f t="array" ref="K9">INDEX(datos_base!$B$3:$K$10,MATCH($A9,datos_base!$A$3:$A$10,0),MATCH($B$3,datos_base!$B$2:$K$2,0))*INDEX(Parametros!$B$11:$M$26,MATCH($A9,Parametros!$A$11:$A$26,0),MATCH(K$5,Parametros!$B$10:$M$10,0))</f>
        <v>120.9</v>
      </c>
      <c r="L9" s="182">
        <f t="array" ref="L9">INDEX(datos_base!$B$3:$K$10,MATCH($A9,datos_base!$A$3:$A$10,0),MATCH($B$3,datos_base!$B$2:$K$2,0))*INDEX(Parametros!$B$11:$M$26,MATCH($A9,Parametros!$A$11:$A$26,0),MATCH(L$5,Parametros!$B$10:$M$10,0))</f>
        <v>112.84</v>
      </c>
      <c r="M9" s="182">
        <f t="array" ref="M9">INDEX(datos_base!$B$3:$K$10,MATCH($A9,datos_base!$A$3:$A$10,0),MATCH($B$3,datos_base!$B$2:$K$2,0))*INDEX(Parametros!$B$11:$M$26,MATCH($A9,Parametros!$A$11:$A$26,0),MATCH(M$5,Parametros!$B$10:$M$10,0))</f>
        <v>177.32</v>
      </c>
      <c r="N9" s="271">
        <f t="shared" si="1"/>
        <v>1612</v>
      </c>
      <c r="O9" s="271">
        <f t="shared" si="2"/>
        <v>134.3333333</v>
      </c>
    </row>
    <row r="10" ht="12.0" customHeight="1">
      <c r="A10" s="152" t="s">
        <v>75</v>
      </c>
      <c r="B10" s="182">
        <f t="array" ref="B10">INDEX(datos_base!$B$3:$K$10,MATCH($A10,datos_base!$A$3:$A$10,0),MATCH($B$3,datos_base!$B$2:$K$2,0))*INDEX(Parametros!$B$11:$M$26,MATCH($A10,Parametros!$A$11:$A$26,0),MATCH(B$5,Parametros!$B$10:$M$10,0))</f>
        <v>33.405</v>
      </c>
      <c r="C10" s="182">
        <f t="array" ref="C10">INDEX(datos_base!$B$3:$K$10,MATCH($A10,datos_base!$A$3:$A$10,0),MATCH($B$3,datos_base!$B$2:$K$2,0))*INDEX(Parametros!$B$11:$M$26,MATCH($A10,Parametros!$A$11:$A$26,0),MATCH(C$5,Parametros!$B$10:$M$10,0))</f>
        <v>29.475</v>
      </c>
      <c r="D10" s="182">
        <f t="array" ref="D10">INDEX(datos_base!$B$3:$K$10,MATCH($A10,datos_base!$A$3:$A$10,0),MATCH($B$3,datos_base!$B$2:$K$2,0))*INDEX(Parametros!$B$11:$M$26,MATCH($A10,Parametros!$A$11:$A$26,0),MATCH(D$5,Parametros!$B$10:$M$10,0))</f>
        <v>35.37</v>
      </c>
      <c r="E10" s="182">
        <f t="array" ref="E10">INDEX(datos_base!$B$3:$K$10,MATCH($A10,datos_base!$A$3:$A$10,0),MATCH($B$3,datos_base!$B$2:$K$2,0))*INDEX(Parametros!$B$11:$M$26,MATCH($A10,Parametros!$A$11:$A$26,0),MATCH(E$5,Parametros!$B$10:$M$10,0))</f>
        <v>35.37</v>
      </c>
      <c r="F10" s="182">
        <f t="array" ref="F10">INDEX(datos_base!$B$3:$K$10,MATCH($A10,datos_base!$A$3:$A$10,0),MATCH($B$3,datos_base!$B$2:$K$2,0))*INDEX(Parametros!$B$11:$M$26,MATCH($A10,Parametros!$A$11:$A$26,0),MATCH(F$5,Parametros!$B$10:$M$10,0))</f>
        <v>35.37</v>
      </c>
      <c r="G10" s="182">
        <f t="array" ref="G10">INDEX(datos_base!$B$3:$K$10,MATCH($A10,datos_base!$A$3:$A$10,0),MATCH($B$3,datos_base!$B$2:$K$2,0))*INDEX(Parametros!$B$11:$M$26,MATCH($A10,Parametros!$A$11:$A$26,0),MATCH(G$5,Parametros!$B$10:$M$10,0))</f>
        <v>31.44</v>
      </c>
      <c r="H10" s="182">
        <f t="array" ref="H10">INDEX(datos_base!$B$3:$K$10,MATCH($A10,datos_base!$A$3:$A$10,0),MATCH($B$3,datos_base!$B$2:$K$2,0))*INDEX(Parametros!$B$11:$M$26,MATCH($A10,Parametros!$A$11:$A$26,0),MATCH(H$5,Parametros!$B$10:$M$10,0))</f>
        <v>35.37</v>
      </c>
      <c r="I10" s="182">
        <f t="array" ref="I10">INDEX(datos_base!$B$3:$K$10,MATCH($A10,datos_base!$A$3:$A$10,0),MATCH($B$3,datos_base!$B$2:$K$2,0))*INDEX(Parametros!$B$11:$M$26,MATCH($A10,Parametros!$A$11:$A$26,0),MATCH(I$5,Parametros!$B$10:$M$10,0))</f>
        <v>35.37</v>
      </c>
      <c r="J10" s="182">
        <f t="array" ref="J10">INDEX(datos_base!$B$3:$K$10,MATCH($A10,datos_base!$A$3:$A$10,0),MATCH($B$3,datos_base!$B$2:$K$2,0))*INDEX(Parametros!$B$11:$M$26,MATCH($A10,Parametros!$A$11:$A$26,0),MATCH(J$5,Parametros!$B$10:$M$10,0))</f>
        <v>33.405</v>
      </c>
      <c r="K10" s="182">
        <f t="array" ref="K10">INDEX(datos_base!$B$3:$K$10,MATCH($A10,datos_base!$A$3:$A$10,0),MATCH($B$3,datos_base!$B$2:$K$2,0))*INDEX(Parametros!$B$11:$M$26,MATCH($A10,Parametros!$A$11:$A$26,0),MATCH(K$5,Parametros!$B$10:$M$10,0))</f>
        <v>29.475</v>
      </c>
      <c r="L10" s="182">
        <f t="array" ref="L10">INDEX(datos_base!$B$3:$K$10,MATCH($A10,datos_base!$A$3:$A$10,0),MATCH($B$3,datos_base!$B$2:$K$2,0))*INDEX(Parametros!$B$11:$M$26,MATCH($A10,Parametros!$A$11:$A$26,0),MATCH(L$5,Parametros!$B$10:$M$10,0))</f>
        <v>27.51</v>
      </c>
      <c r="M10" s="182">
        <f t="array" ref="M10">INDEX(datos_base!$B$3:$K$10,MATCH($A10,datos_base!$A$3:$A$10,0),MATCH($B$3,datos_base!$B$2:$K$2,0))*INDEX(Parametros!$B$11:$M$26,MATCH($A10,Parametros!$A$11:$A$26,0),MATCH(M$5,Parametros!$B$10:$M$10,0))</f>
        <v>31.44</v>
      </c>
      <c r="N10" s="271">
        <f t="shared" si="1"/>
        <v>393</v>
      </c>
      <c r="O10" s="271">
        <f t="shared" si="2"/>
        <v>32.75</v>
      </c>
    </row>
    <row r="11" ht="12.0" customHeight="1">
      <c r="A11" s="152" t="s">
        <v>86</v>
      </c>
      <c r="B11" s="182">
        <f t="array" ref="B11">INDEX(datos_base!$B$3:$K$10,MATCH($A11,datos_base!$A$3:$A$10,0),MATCH($B$3,datos_base!$B$2:$K$2,0))*INDEX(Parametros!$B$11:$M$26,MATCH($A11,Parametros!$A$11:$A$26,0),MATCH(B$5,Parametros!$B$10:$M$10,0))</f>
        <v>73.61</v>
      </c>
      <c r="C11" s="182">
        <f t="array" ref="C11">INDEX(datos_base!$B$3:$K$10,MATCH($A11,datos_base!$A$3:$A$10,0),MATCH($B$3,datos_base!$B$2:$K$2,0))*INDEX(Parametros!$B$11:$M$26,MATCH($A11,Parametros!$A$11:$A$26,0),MATCH(C$5,Parametros!$B$10:$M$10,0))</f>
        <v>64.95</v>
      </c>
      <c r="D11" s="182">
        <f t="array" ref="D11">INDEX(datos_base!$B$3:$K$10,MATCH($A11,datos_base!$A$3:$A$10,0),MATCH($B$3,datos_base!$B$2:$K$2,0))*INDEX(Parametros!$B$11:$M$26,MATCH($A11,Parametros!$A$11:$A$26,0),MATCH(D$5,Parametros!$B$10:$M$10,0))</f>
        <v>77.94</v>
      </c>
      <c r="E11" s="182">
        <f t="array" ref="E11">INDEX(datos_base!$B$3:$K$10,MATCH($A11,datos_base!$A$3:$A$10,0),MATCH($B$3,datos_base!$B$2:$K$2,0))*INDEX(Parametros!$B$11:$M$26,MATCH($A11,Parametros!$A$11:$A$26,0),MATCH(E$5,Parametros!$B$10:$M$10,0))</f>
        <v>77.94</v>
      </c>
      <c r="F11" s="182">
        <f t="array" ref="F11">INDEX(datos_base!$B$3:$K$10,MATCH($A11,datos_base!$A$3:$A$10,0),MATCH($B$3,datos_base!$B$2:$K$2,0))*INDEX(Parametros!$B$11:$M$26,MATCH($A11,Parametros!$A$11:$A$26,0),MATCH(F$5,Parametros!$B$10:$M$10,0))</f>
        <v>77.94</v>
      </c>
      <c r="G11" s="182">
        <f t="array" ref="G11">INDEX(datos_base!$B$3:$K$10,MATCH($A11,datos_base!$A$3:$A$10,0),MATCH($B$3,datos_base!$B$2:$K$2,0))*INDEX(Parametros!$B$11:$M$26,MATCH($A11,Parametros!$A$11:$A$26,0),MATCH(G$5,Parametros!$B$10:$M$10,0))</f>
        <v>69.28</v>
      </c>
      <c r="H11" s="182">
        <f t="array" ref="H11">INDEX(datos_base!$B$3:$K$10,MATCH($A11,datos_base!$A$3:$A$10,0),MATCH($B$3,datos_base!$B$2:$K$2,0))*INDEX(Parametros!$B$11:$M$26,MATCH($A11,Parametros!$A$11:$A$26,0),MATCH(H$5,Parametros!$B$10:$M$10,0))</f>
        <v>77.94</v>
      </c>
      <c r="I11" s="182">
        <f t="array" ref="I11">INDEX(datos_base!$B$3:$K$10,MATCH($A11,datos_base!$A$3:$A$10,0),MATCH($B$3,datos_base!$B$2:$K$2,0))*INDEX(Parametros!$B$11:$M$26,MATCH($A11,Parametros!$A$11:$A$26,0),MATCH(I$5,Parametros!$B$10:$M$10,0))</f>
        <v>77.94</v>
      </c>
      <c r="J11" s="182">
        <f t="array" ref="J11">INDEX(datos_base!$B$3:$K$10,MATCH($A11,datos_base!$A$3:$A$10,0),MATCH($B$3,datos_base!$B$2:$K$2,0))*INDEX(Parametros!$B$11:$M$26,MATCH($A11,Parametros!$A$11:$A$26,0),MATCH(J$5,Parametros!$B$10:$M$10,0))</f>
        <v>73.61</v>
      </c>
      <c r="K11" s="182">
        <f t="array" ref="K11">INDEX(datos_base!$B$3:$K$10,MATCH($A11,datos_base!$A$3:$A$10,0),MATCH($B$3,datos_base!$B$2:$K$2,0))*INDEX(Parametros!$B$11:$M$26,MATCH($A11,Parametros!$A$11:$A$26,0),MATCH(K$5,Parametros!$B$10:$M$10,0))</f>
        <v>64.95</v>
      </c>
      <c r="L11" s="182">
        <f t="array" ref="L11">INDEX(datos_base!$B$3:$K$10,MATCH($A11,datos_base!$A$3:$A$10,0),MATCH($B$3,datos_base!$B$2:$K$2,0))*INDEX(Parametros!$B$11:$M$26,MATCH($A11,Parametros!$A$11:$A$26,0),MATCH(L$5,Parametros!$B$10:$M$10,0))</f>
        <v>60.62</v>
      </c>
      <c r="M11" s="182">
        <f t="array" ref="M11">INDEX(datos_base!$B$3:$K$10,MATCH($A11,datos_base!$A$3:$A$10,0),MATCH($B$3,datos_base!$B$2:$K$2,0))*INDEX(Parametros!$B$11:$M$26,MATCH($A11,Parametros!$A$11:$A$26,0),MATCH(M$5,Parametros!$B$10:$M$10,0))</f>
        <v>69.28</v>
      </c>
      <c r="N11" s="271">
        <f t="shared" si="1"/>
        <v>866</v>
      </c>
      <c r="O11" s="271">
        <f t="shared" si="2"/>
        <v>72.16666667</v>
      </c>
    </row>
    <row r="12" ht="12.0" customHeight="1">
      <c r="A12" s="152" t="s">
        <v>95</v>
      </c>
      <c r="B12" s="182">
        <f t="array" ref="B12">INDEX(datos_base!$B$3:$K$10,MATCH($A12,datos_base!$A$3:$A$10,0),MATCH($B$3,datos_base!$B$2:$K$2,0))*INDEX(Parametros!$B$11:$M$26,MATCH($A12,Parametros!$A$11:$A$26,0),MATCH(B$5,Parametros!$B$10:$M$10,0))</f>
        <v>16.065</v>
      </c>
      <c r="C12" s="182">
        <f t="array" ref="C12">INDEX(datos_base!$B$3:$K$10,MATCH($A12,datos_base!$A$3:$A$10,0),MATCH($B$3,datos_base!$B$2:$K$2,0))*INDEX(Parametros!$B$11:$M$26,MATCH($A12,Parametros!$A$11:$A$26,0),MATCH(C$5,Parametros!$B$10:$M$10,0))</f>
        <v>14.175</v>
      </c>
      <c r="D12" s="182">
        <f t="array" ref="D12">INDEX(datos_base!$B$3:$K$10,MATCH($A12,datos_base!$A$3:$A$10,0),MATCH($B$3,datos_base!$B$2:$K$2,0))*INDEX(Parametros!$B$11:$M$26,MATCH($A12,Parametros!$A$11:$A$26,0),MATCH(D$5,Parametros!$B$10:$M$10,0))</f>
        <v>17.01</v>
      </c>
      <c r="E12" s="182">
        <f t="array" ref="E12">INDEX(datos_base!$B$3:$K$10,MATCH($A12,datos_base!$A$3:$A$10,0),MATCH($B$3,datos_base!$B$2:$K$2,0))*INDEX(Parametros!$B$11:$M$26,MATCH($A12,Parametros!$A$11:$A$26,0),MATCH(E$5,Parametros!$B$10:$M$10,0))</f>
        <v>17.01</v>
      </c>
      <c r="F12" s="182">
        <f t="array" ref="F12">INDEX(datos_base!$B$3:$K$10,MATCH($A12,datos_base!$A$3:$A$10,0),MATCH($B$3,datos_base!$B$2:$K$2,0))*INDEX(Parametros!$B$11:$M$26,MATCH($A12,Parametros!$A$11:$A$26,0),MATCH(F$5,Parametros!$B$10:$M$10,0))</f>
        <v>17.01</v>
      </c>
      <c r="G12" s="182">
        <f t="array" ref="G12">INDEX(datos_base!$B$3:$K$10,MATCH($A12,datos_base!$A$3:$A$10,0),MATCH($B$3,datos_base!$B$2:$K$2,0))*INDEX(Parametros!$B$11:$M$26,MATCH($A12,Parametros!$A$11:$A$26,0),MATCH(G$5,Parametros!$B$10:$M$10,0))</f>
        <v>15.12</v>
      </c>
      <c r="H12" s="182">
        <f t="array" ref="H12">INDEX(datos_base!$B$3:$K$10,MATCH($A12,datos_base!$A$3:$A$10,0),MATCH($B$3,datos_base!$B$2:$K$2,0))*INDEX(Parametros!$B$11:$M$26,MATCH($A12,Parametros!$A$11:$A$26,0),MATCH(H$5,Parametros!$B$10:$M$10,0))</f>
        <v>17.01</v>
      </c>
      <c r="I12" s="182">
        <f t="array" ref="I12">INDEX(datos_base!$B$3:$K$10,MATCH($A12,datos_base!$A$3:$A$10,0),MATCH($B$3,datos_base!$B$2:$K$2,0))*INDEX(Parametros!$B$11:$M$26,MATCH($A12,Parametros!$A$11:$A$26,0),MATCH(I$5,Parametros!$B$10:$M$10,0))</f>
        <v>17.01</v>
      </c>
      <c r="J12" s="182">
        <f t="array" ref="J12">INDEX(datos_base!$B$3:$K$10,MATCH($A12,datos_base!$A$3:$A$10,0),MATCH($B$3,datos_base!$B$2:$K$2,0))*INDEX(Parametros!$B$11:$M$26,MATCH($A12,Parametros!$A$11:$A$26,0),MATCH(J$5,Parametros!$B$10:$M$10,0))</f>
        <v>16.065</v>
      </c>
      <c r="K12" s="182">
        <f t="array" ref="K12">INDEX(datos_base!$B$3:$K$10,MATCH($A12,datos_base!$A$3:$A$10,0),MATCH($B$3,datos_base!$B$2:$K$2,0))*INDEX(Parametros!$B$11:$M$26,MATCH($A12,Parametros!$A$11:$A$26,0),MATCH(K$5,Parametros!$B$10:$M$10,0))</f>
        <v>14.175</v>
      </c>
      <c r="L12" s="182">
        <f t="array" ref="L12">INDEX(datos_base!$B$3:$K$10,MATCH($A12,datos_base!$A$3:$A$10,0),MATCH($B$3,datos_base!$B$2:$K$2,0))*INDEX(Parametros!$B$11:$M$26,MATCH($A12,Parametros!$A$11:$A$26,0),MATCH(L$5,Parametros!$B$10:$M$10,0))</f>
        <v>13.23</v>
      </c>
      <c r="M12" s="182">
        <f t="array" ref="M12">INDEX(datos_base!$B$3:$K$10,MATCH($A12,datos_base!$A$3:$A$10,0),MATCH($B$3,datos_base!$B$2:$K$2,0))*INDEX(Parametros!$B$11:$M$26,MATCH($A12,Parametros!$A$11:$A$26,0),MATCH(M$5,Parametros!$B$10:$M$10,0))</f>
        <v>15.12</v>
      </c>
      <c r="N12" s="271">
        <f t="shared" si="1"/>
        <v>189</v>
      </c>
      <c r="O12" s="271">
        <f t="shared" si="2"/>
        <v>15.75</v>
      </c>
    </row>
    <row r="13" ht="12.0" customHeight="1">
      <c r="A13" s="152" t="s">
        <v>100</v>
      </c>
      <c r="B13" s="182">
        <f t="array" ref="B13">INDEX(datos_base!$B$3:$K$10,MATCH($A13,datos_base!$A$3:$A$10,0),MATCH($B$3,datos_base!$B$2:$K$2,0))*INDEX(Parametros!$B$11:$M$26,MATCH($A13,Parametros!$A$11:$A$26,0),MATCH(B$5,Parametros!$B$10:$M$10,0))</f>
        <v>10.71</v>
      </c>
      <c r="C13" s="182">
        <f t="array" ref="C13">INDEX(datos_base!$B$3:$K$10,MATCH($A13,datos_base!$A$3:$A$10,0),MATCH($B$3,datos_base!$B$2:$K$2,0))*INDEX(Parametros!$B$11:$M$26,MATCH($A13,Parametros!$A$11:$A$26,0),MATCH(C$5,Parametros!$B$10:$M$10,0))</f>
        <v>9.45</v>
      </c>
      <c r="D13" s="182">
        <f t="array" ref="D13">INDEX(datos_base!$B$3:$K$10,MATCH($A13,datos_base!$A$3:$A$10,0),MATCH($B$3,datos_base!$B$2:$K$2,0))*INDEX(Parametros!$B$11:$M$26,MATCH($A13,Parametros!$A$11:$A$26,0),MATCH(D$5,Parametros!$B$10:$M$10,0))</f>
        <v>11.34</v>
      </c>
      <c r="E13" s="182">
        <f t="array" ref="E13">INDEX(datos_base!$B$3:$K$10,MATCH($A13,datos_base!$A$3:$A$10,0),MATCH($B$3,datos_base!$B$2:$K$2,0))*INDEX(Parametros!$B$11:$M$26,MATCH($A13,Parametros!$A$11:$A$26,0),MATCH(E$5,Parametros!$B$10:$M$10,0))</f>
        <v>11.34</v>
      </c>
      <c r="F13" s="182">
        <f t="array" ref="F13">INDEX(datos_base!$B$3:$K$10,MATCH($A13,datos_base!$A$3:$A$10,0),MATCH($B$3,datos_base!$B$2:$K$2,0))*INDEX(Parametros!$B$11:$M$26,MATCH($A13,Parametros!$A$11:$A$26,0),MATCH(F$5,Parametros!$B$10:$M$10,0))</f>
        <v>11.34</v>
      </c>
      <c r="G13" s="182">
        <f t="array" ref="G13">INDEX(datos_base!$B$3:$K$10,MATCH($A13,datos_base!$A$3:$A$10,0),MATCH($B$3,datos_base!$B$2:$K$2,0))*INDEX(Parametros!$B$11:$M$26,MATCH($A13,Parametros!$A$11:$A$26,0),MATCH(G$5,Parametros!$B$10:$M$10,0))</f>
        <v>10.08</v>
      </c>
      <c r="H13" s="182">
        <f t="array" ref="H13">INDEX(datos_base!$B$3:$K$10,MATCH($A13,datos_base!$A$3:$A$10,0),MATCH($B$3,datos_base!$B$2:$K$2,0))*INDEX(Parametros!$B$11:$M$26,MATCH($A13,Parametros!$A$11:$A$26,0),MATCH(H$5,Parametros!$B$10:$M$10,0))</f>
        <v>11.34</v>
      </c>
      <c r="I13" s="182">
        <f t="array" ref="I13">INDEX(datos_base!$B$3:$K$10,MATCH($A13,datos_base!$A$3:$A$10,0),MATCH($B$3,datos_base!$B$2:$K$2,0))*INDEX(Parametros!$B$11:$M$26,MATCH($A13,Parametros!$A$11:$A$26,0),MATCH(I$5,Parametros!$B$10:$M$10,0))</f>
        <v>11.34</v>
      </c>
      <c r="J13" s="182">
        <f t="array" ref="J13">INDEX(datos_base!$B$3:$K$10,MATCH($A13,datos_base!$A$3:$A$10,0),MATCH($B$3,datos_base!$B$2:$K$2,0))*INDEX(Parametros!$B$11:$M$26,MATCH($A13,Parametros!$A$11:$A$26,0),MATCH(J$5,Parametros!$B$10:$M$10,0))</f>
        <v>10.71</v>
      </c>
      <c r="K13" s="182">
        <f t="array" ref="K13">INDEX(datos_base!$B$3:$K$10,MATCH($A13,datos_base!$A$3:$A$10,0),MATCH($B$3,datos_base!$B$2:$K$2,0))*INDEX(Parametros!$B$11:$M$26,MATCH($A13,Parametros!$A$11:$A$26,0),MATCH(K$5,Parametros!$B$10:$M$10,0))</f>
        <v>9.45</v>
      </c>
      <c r="L13" s="182">
        <f t="array" ref="L13">INDEX(datos_base!$B$3:$K$10,MATCH($A13,datos_base!$A$3:$A$10,0),MATCH($B$3,datos_base!$B$2:$K$2,0))*INDEX(Parametros!$B$11:$M$26,MATCH($A13,Parametros!$A$11:$A$26,0),MATCH(L$5,Parametros!$B$10:$M$10,0))</f>
        <v>8.82</v>
      </c>
      <c r="M13" s="182">
        <f t="array" ref="M13">INDEX(datos_base!$B$3:$K$10,MATCH($A13,datos_base!$A$3:$A$10,0),MATCH($B$3,datos_base!$B$2:$K$2,0))*INDEX(Parametros!$B$11:$M$26,MATCH($A13,Parametros!$A$11:$A$26,0),MATCH(M$5,Parametros!$B$10:$M$10,0))</f>
        <v>10.08</v>
      </c>
      <c r="N13" s="271">
        <f t="shared" si="1"/>
        <v>126</v>
      </c>
      <c r="O13" s="271">
        <f t="shared" si="2"/>
        <v>10.5</v>
      </c>
    </row>
    <row r="14" ht="12.0" customHeight="1">
      <c r="A14" s="272" t="s">
        <v>420</v>
      </c>
      <c r="B14" s="273">
        <f t="shared" ref="B14:N14" si="3">SUM(B6:B13)</f>
        <v>7040.05</v>
      </c>
      <c r="C14" s="273">
        <f t="shared" si="3"/>
        <v>5471.62</v>
      </c>
      <c r="D14" s="273">
        <f t="shared" si="3"/>
        <v>5383.375</v>
      </c>
      <c r="E14" s="273">
        <f t="shared" si="3"/>
        <v>5240.51</v>
      </c>
      <c r="F14" s="273">
        <f t="shared" si="3"/>
        <v>4923.77</v>
      </c>
      <c r="G14" s="273">
        <f t="shared" si="3"/>
        <v>4734.155</v>
      </c>
      <c r="H14" s="273">
        <f t="shared" si="3"/>
        <v>5066.635</v>
      </c>
      <c r="I14" s="273">
        <f t="shared" si="3"/>
        <v>5066.635</v>
      </c>
      <c r="J14" s="273">
        <f t="shared" si="3"/>
        <v>5058.765</v>
      </c>
      <c r="K14" s="273">
        <f t="shared" si="3"/>
        <v>4869.15</v>
      </c>
      <c r="L14" s="273">
        <f t="shared" si="3"/>
        <v>4687.405</v>
      </c>
      <c r="M14" s="273">
        <f t="shared" si="3"/>
        <v>7379.93</v>
      </c>
      <c r="N14" s="273">
        <f t="shared" si="3"/>
        <v>64922</v>
      </c>
      <c r="O14" s="273">
        <f t="shared" si="2"/>
        <v>5410.166667</v>
      </c>
    </row>
    <row r="15" ht="12.0" customHeight="1">
      <c r="A15" s="11"/>
      <c r="B15" s="11"/>
      <c r="C15" s="11"/>
      <c r="D15" s="11"/>
      <c r="E15" s="11"/>
      <c r="F15" s="11"/>
      <c r="G15" s="11"/>
      <c r="H15" s="11"/>
      <c r="I15" s="11"/>
      <c r="J15" s="11"/>
      <c r="K15" s="11"/>
      <c r="L15" s="11"/>
      <c r="M15" s="11"/>
      <c r="N15" s="11"/>
      <c r="O15" s="11"/>
    </row>
    <row r="16" ht="12.0" customHeight="1">
      <c r="A16" s="270"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c r="O16" s="145" t="s">
        <v>1598</v>
      </c>
    </row>
    <row r="17" ht="12.0" customHeight="1">
      <c r="A17" s="152" t="s">
        <v>102</v>
      </c>
      <c r="B17" s="182">
        <f t="array" ref="B17">INDEX(datos_base!$B$15:$K$22,MATCH($A17,datos_base!$A$15:$A$22,0),MATCH($B$3,datos_base!$B$2:$K$2,0))*INDEX(Parametros!$B$11:$M$26,MATCH($A17,Parametros!$A$11:$A$26,0),MATCH(B$16,Parametros!$B$10:$M$10,0))</f>
        <v>17618.4</v>
      </c>
      <c r="C17" s="182">
        <f t="array" ref="C17">INDEX(datos_base!$B$15:$K$22,MATCH($A17,datos_base!$A$15:$A$22,0),MATCH($B$3,datos_base!$B$2:$K$2,0))*INDEX(Parametros!$B$11:$M$26,MATCH($A17,Parametros!$A$11:$A$26,0),MATCH(C$16,Parametros!$B$10:$M$10,0))</f>
        <v>13213.8</v>
      </c>
      <c r="D17" s="182">
        <f t="array" ref="D17">INDEX(datos_base!$B$15:$K$22,MATCH($A17,datos_base!$A$15:$A$22,0),MATCH($B$3,datos_base!$B$2:$K$2,0))*INDEX(Parametros!$B$11:$M$26,MATCH($A17,Parametros!$A$11:$A$26,0),MATCH(D$16,Parametros!$B$10:$M$10,0))</f>
        <v>11745.6</v>
      </c>
      <c r="E17" s="182">
        <f t="array" ref="E17">INDEX(datos_base!$B$15:$K$22,MATCH($A17,datos_base!$A$15:$A$22,0),MATCH($B$3,datos_base!$B$2:$K$2,0))*INDEX(Parametros!$B$11:$M$26,MATCH($A17,Parametros!$A$11:$A$26,0),MATCH(E$16,Parametros!$B$10:$M$10,0))</f>
        <v>11011.5</v>
      </c>
      <c r="F17" s="182">
        <f t="array" ref="F17">INDEX(datos_base!$B$15:$K$22,MATCH($A17,datos_base!$A$15:$A$22,0),MATCH($B$3,datos_base!$B$2:$K$2,0))*INDEX(Parametros!$B$11:$M$26,MATCH($A17,Parametros!$A$11:$A$26,0),MATCH(F$16,Parametros!$B$10:$M$10,0))</f>
        <v>10277.4</v>
      </c>
      <c r="G17" s="182">
        <f t="array" ref="G17">INDEX(datos_base!$B$15:$K$22,MATCH($A17,datos_base!$A$15:$A$22,0),MATCH($B$3,datos_base!$B$2:$K$2,0))*INDEX(Parametros!$B$11:$M$26,MATCH($A17,Parametros!$A$11:$A$26,0),MATCH(G$16,Parametros!$B$10:$M$10,0))</f>
        <v>10277.4</v>
      </c>
      <c r="H17" s="182">
        <f t="array" ref="H17">INDEX(datos_base!$B$15:$K$22,MATCH($A17,datos_base!$A$15:$A$22,0),MATCH($B$3,datos_base!$B$2:$K$2,0))*INDEX(Parametros!$B$11:$M$26,MATCH($A17,Parametros!$A$11:$A$26,0),MATCH(H$16,Parametros!$B$10:$M$10,0))</f>
        <v>11011.5</v>
      </c>
      <c r="I17" s="182">
        <f t="array" ref="I17">INDEX(datos_base!$B$15:$K$22,MATCH($A17,datos_base!$A$15:$A$22,0),MATCH($B$3,datos_base!$B$2:$K$2,0))*INDEX(Parametros!$B$11:$M$26,MATCH($A17,Parametros!$A$11:$A$26,0),MATCH(I$16,Parametros!$B$10:$M$10,0))</f>
        <v>11011.5</v>
      </c>
      <c r="J17" s="182">
        <f t="array" ref="J17">INDEX(datos_base!$B$15:$K$22,MATCH($A17,datos_base!$A$15:$A$22,0),MATCH($B$3,datos_base!$B$2:$K$2,0))*INDEX(Parametros!$B$11:$M$26,MATCH($A17,Parametros!$A$11:$A$26,0),MATCH(J$16,Parametros!$B$10:$M$10,0))</f>
        <v>11011.5</v>
      </c>
      <c r="K17" s="182">
        <f t="array" ref="K17">INDEX(datos_base!$B$15:$K$22,MATCH($A17,datos_base!$A$15:$A$22,0),MATCH($B$3,datos_base!$B$2:$K$2,0))*INDEX(Parametros!$B$11:$M$26,MATCH($A17,Parametros!$A$11:$A$26,0),MATCH(K$16,Parametros!$B$10:$M$10,0))</f>
        <v>11011.5</v>
      </c>
      <c r="L17" s="182">
        <f t="array" ref="L17">INDEX(datos_base!$B$15:$K$22,MATCH($A17,datos_base!$A$15:$A$22,0),MATCH($B$3,datos_base!$B$2:$K$2,0))*INDEX(Parametros!$B$11:$M$26,MATCH($A17,Parametros!$A$11:$A$26,0),MATCH(L$16,Parametros!$B$10:$M$10,0))</f>
        <v>11011.5</v>
      </c>
      <c r="M17" s="182">
        <f t="array" ref="M17">INDEX(datos_base!$B$15:$K$22,MATCH($A17,datos_base!$A$15:$A$22,0),MATCH($B$3,datos_base!$B$2:$K$2,0))*INDEX(Parametros!$B$11:$M$26,MATCH($A17,Parametros!$A$11:$A$26,0),MATCH(M$16,Parametros!$B$10:$M$10,0))</f>
        <v>17618.4</v>
      </c>
      <c r="N17" s="271">
        <f t="shared" ref="N17:N24" si="4">SUM(B17:M17)</f>
        <v>146820</v>
      </c>
      <c r="O17" s="271">
        <f t="shared" ref="O17:O25" si="5">AVERAGE(B17:M17)</f>
        <v>12235</v>
      </c>
    </row>
    <row r="18" ht="12.0" customHeight="1">
      <c r="A18" s="152" t="s">
        <v>106</v>
      </c>
      <c r="B18" s="182">
        <f t="array" ref="B18">INDEX(datos_base!$B$15:$K$22,MATCH($A18,datos_base!$A$15:$A$22,0),MATCH($B$3,datos_base!$B$2:$K$2,0))*INDEX(Parametros!$B$11:$M$26,MATCH($A18,Parametros!$A$11:$A$26,0),MATCH(B$16,Parametros!$B$10:$M$10,0))</f>
        <v>574.1</v>
      </c>
      <c r="C18" s="182">
        <f t="array" ref="C18">INDEX(datos_base!$B$15:$K$22,MATCH($A18,datos_base!$A$15:$A$22,0),MATCH($B$3,datos_base!$B$2:$K$2,0))*INDEX(Parametros!$B$11:$M$26,MATCH($A18,Parametros!$A$11:$A$26,0),MATCH(C$16,Parametros!$B$10:$M$10,0))</f>
        <v>459.28</v>
      </c>
      <c r="D18" s="182">
        <f t="array" ref="D18">INDEX(datos_base!$B$15:$K$22,MATCH($A18,datos_base!$A$15:$A$22,0),MATCH($B$3,datos_base!$B$2:$K$2,0))*INDEX(Parametros!$B$11:$M$26,MATCH($A18,Parametros!$A$11:$A$26,0),MATCH(D$16,Parametros!$B$10:$M$10,0))</f>
        <v>487.985</v>
      </c>
      <c r="E18" s="182">
        <f t="array" ref="E18">INDEX(datos_base!$B$15:$K$22,MATCH($A18,datos_base!$A$15:$A$22,0),MATCH($B$3,datos_base!$B$2:$K$2,0))*INDEX(Parametros!$B$11:$M$26,MATCH($A18,Parametros!$A$11:$A$26,0),MATCH(E$16,Parametros!$B$10:$M$10,0))</f>
        <v>487.985</v>
      </c>
      <c r="F18" s="182">
        <f t="array" ref="F18">INDEX(datos_base!$B$15:$K$22,MATCH($A18,datos_base!$A$15:$A$22,0),MATCH($B$3,datos_base!$B$2:$K$2,0))*INDEX(Parametros!$B$11:$M$26,MATCH($A18,Parametros!$A$11:$A$26,0),MATCH(F$16,Parametros!$B$10:$M$10,0))</f>
        <v>459.28</v>
      </c>
      <c r="G18" s="182">
        <f t="array" ref="G18">INDEX(datos_base!$B$15:$K$22,MATCH($A18,datos_base!$A$15:$A$22,0),MATCH($B$3,datos_base!$B$2:$K$2,0))*INDEX(Parametros!$B$11:$M$26,MATCH($A18,Parametros!$A$11:$A$26,0),MATCH(G$16,Parametros!$B$10:$M$10,0))</f>
        <v>430.575</v>
      </c>
      <c r="H18" s="182">
        <f t="array" ref="H18">INDEX(datos_base!$B$15:$K$22,MATCH($A18,datos_base!$A$15:$A$22,0),MATCH($B$3,datos_base!$B$2:$K$2,0))*INDEX(Parametros!$B$11:$M$26,MATCH($A18,Parametros!$A$11:$A$26,0),MATCH(H$16,Parametros!$B$10:$M$10,0))</f>
        <v>459.28</v>
      </c>
      <c r="I18" s="182">
        <f t="array" ref="I18">INDEX(datos_base!$B$15:$K$22,MATCH($A18,datos_base!$A$15:$A$22,0),MATCH($B$3,datos_base!$B$2:$K$2,0))*INDEX(Parametros!$B$11:$M$26,MATCH($A18,Parametros!$A$11:$A$26,0),MATCH(I$16,Parametros!$B$10:$M$10,0))</f>
        <v>459.28</v>
      </c>
      <c r="J18" s="182">
        <f t="array" ref="J18">INDEX(datos_base!$B$15:$K$22,MATCH($A18,datos_base!$A$15:$A$22,0),MATCH($B$3,datos_base!$B$2:$K$2,0))*INDEX(Parametros!$B$11:$M$26,MATCH($A18,Parametros!$A$11:$A$26,0),MATCH(J$16,Parametros!$B$10:$M$10,0))</f>
        <v>459.28</v>
      </c>
      <c r="K18" s="182">
        <f t="array" ref="K18">INDEX(datos_base!$B$15:$K$22,MATCH($A18,datos_base!$A$15:$A$22,0),MATCH($B$3,datos_base!$B$2:$K$2,0))*INDEX(Parametros!$B$11:$M$26,MATCH($A18,Parametros!$A$11:$A$26,0),MATCH(K$16,Parametros!$B$10:$M$10,0))</f>
        <v>430.575</v>
      </c>
      <c r="L18" s="182">
        <f t="array" ref="L18">INDEX(datos_base!$B$15:$K$22,MATCH($A18,datos_base!$A$15:$A$22,0),MATCH($B$3,datos_base!$B$2:$K$2,0))*INDEX(Parametros!$B$11:$M$26,MATCH($A18,Parametros!$A$11:$A$26,0),MATCH(L$16,Parametros!$B$10:$M$10,0))</f>
        <v>401.87</v>
      </c>
      <c r="M18" s="182">
        <f t="array" ref="M18">INDEX(datos_base!$B$15:$K$22,MATCH($A18,datos_base!$A$15:$A$22,0),MATCH($B$3,datos_base!$B$2:$K$2,0))*INDEX(Parametros!$B$11:$M$26,MATCH($A18,Parametros!$A$11:$A$26,0),MATCH(M$16,Parametros!$B$10:$M$10,0))</f>
        <v>631.51</v>
      </c>
      <c r="N18" s="271">
        <f t="shared" si="4"/>
        <v>5741</v>
      </c>
      <c r="O18" s="271">
        <f t="shared" si="5"/>
        <v>478.4166667</v>
      </c>
    </row>
    <row r="19" ht="12.0" customHeight="1">
      <c r="A19" s="152" t="s">
        <v>108</v>
      </c>
      <c r="B19" s="182">
        <f t="array" ref="B19">INDEX(datos_base!$B$15:$K$22,MATCH($A19,datos_base!$A$15:$A$22,0),MATCH($B$3,datos_base!$B$2:$K$2,0))*INDEX(Parametros!$B$11:$M$26,MATCH($A19,Parametros!$A$11:$A$26,0),MATCH(B$16,Parametros!$B$10:$M$10,0))</f>
        <v>2833.6</v>
      </c>
      <c r="C19" s="182">
        <f t="array" ref="C19">INDEX(datos_base!$B$15:$K$22,MATCH($A19,datos_base!$A$15:$A$22,0),MATCH($B$3,datos_base!$B$2:$K$2,0))*INDEX(Parametros!$B$11:$M$26,MATCH($A19,Parametros!$A$11:$A$26,0),MATCH(C$16,Parametros!$B$10:$M$10,0))</f>
        <v>2266.88</v>
      </c>
      <c r="D19" s="182">
        <f t="array" ref="D19">INDEX(datos_base!$B$15:$K$22,MATCH($A19,datos_base!$A$15:$A$22,0),MATCH($B$3,datos_base!$B$2:$K$2,0))*INDEX(Parametros!$B$11:$M$26,MATCH($A19,Parametros!$A$11:$A$26,0),MATCH(D$16,Parametros!$B$10:$M$10,0))</f>
        <v>2408.56</v>
      </c>
      <c r="E19" s="182">
        <f t="array" ref="E19">INDEX(datos_base!$B$15:$K$22,MATCH($A19,datos_base!$A$15:$A$22,0),MATCH($B$3,datos_base!$B$2:$K$2,0))*INDEX(Parametros!$B$11:$M$26,MATCH($A19,Parametros!$A$11:$A$26,0),MATCH(E$16,Parametros!$B$10:$M$10,0))</f>
        <v>2408.56</v>
      </c>
      <c r="F19" s="182">
        <f t="array" ref="F19">INDEX(datos_base!$B$15:$K$22,MATCH($A19,datos_base!$A$15:$A$22,0),MATCH($B$3,datos_base!$B$2:$K$2,0))*INDEX(Parametros!$B$11:$M$26,MATCH($A19,Parametros!$A$11:$A$26,0),MATCH(F$16,Parametros!$B$10:$M$10,0))</f>
        <v>2266.88</v>
      </c>
      <c r="G19" s="182">
        <f t="array" ref="G19">INDEX(datos_base!$B$15:$K$22,MATCH($A19,datos_base!$A$15:$A$22,0),MATCH($B$3,datos_base!$B$2:$K$2,0))*INDEX(Parametros!$B$11:$M$26,MATCH($A19,Parametros!$A$11:$A$26,0),MATCH(G$16,Parametros!$B$10:$M$10,0))</f>
        <v>2125.2</v>
      </c>
      <c r="H19" s="182">
        <f t="array" ref="H19">INDEX(datos_base!$B$15:$K$22,MATCH($A19,datos_base!$A$15:$A$22,0),MATCH($B$3,datos_base!$B$2:$K$2,0))*INDEX(Parametros!$B$11:$M$26,MATCH($A19,Parametros!$A$11:$A$26,0),MATCH(H$16,Parametros!$B$10:$M$10,0))</f>
        <v>2266.88</v>
      </c>
      <c r="I19" s="182">
        <f t="array" ref="I19">INDEX(datos_base!$B$15:$K$22,MATCH($A19,datos_base!$A$15:$A$22,0),MATCH($B$3,datos_base!$B$2:$K$2,0))*INDEX(Parametros!$B$11:$M$26,MATCH($A19,Parametros!$A$11:$A$26,0),MATCH(I$16,Parametros!$B$10:$M$10,0))</f>
        <v>2266.88</v>
      </c>
      <c r="J19" s="182">
        <f t="array" ref="J19">INDEX(datos_base!$B$15:$K$22,MATCH($A19,datos_base!$A$15:$A$22,0),MATCH($B$3,datos_base!$B$2:$K$2,0))*INDEX(Parametros!$B$11:$M$26,MATCH($A19,Parametros!$A$11:$A$26,0),MATCH(J$16,Parametros!$B$10:$M$10,0))</f>
        <v>2266.88</v>
      </c>
      <c r="K19" s="182">
        <f t="array" ref="K19">INDEX(datos_base!$B$15:$K$22,MATCH($A19,datos_base!$A$15:$A$22,0),MATCH($B$3,datos_base!$B$2:$K$2,0))*INDEX(Parametros!$B$11:$M$26,MATCH($A19,Parametros!$A$11:$A$26,0),MATCH(K$16,Parametros!$B$10:$M$10,0))</f>
        <v>2125.2</v>
      </c>
      <c r="L19" s="182">
        <f t="array" ref="L19">INDEX(datos_base!$B$15:$K$22,MATCH($A19,datos_base!$A$15:$A$22,0),MATCH($B$3,datos_base!$B$2:$K$2,0))*INDEX(Parametros!$B$11:$M$26,MATCH($A19,Parametros!$A$11:$A$26,0),MATCH(L$16,Parametros!$B$10:$M$10,0))</f>
        <v>1983.52</v>
      </c>
      <c r="M19" s="182">
        <f t="array" ref="M19">INDEX(datos_base!$B$15:$K$22,MATCH($A19,datos_base!$A$15:$A$22,0),MATCH($B$3,datos_base!$B$2:$K$2,0))*INDEX(Parametros!$B$11:$M$26,MATCH($A19,Parametros!$A$11:$A$26,0),MATCH(M$16,Parametros!$B$10:$M$10,0))</f>
        <v>3116.96</v>
      </c>
      <c r="N19" s="271">
        <f t="shared" si="4"/>
        <v>28336</v>
      </c>
      <c r="O19" s="271">
        <f t="shared" si="5"/>
        <v>2361.333333</v>
      </c>
    </row>
    <row r="20" ht="12.0" customHeight="1">
      <c r="A20" s="152" t="s">
        <v>122</v>
      </c>
      <c r="B20" s="182">
        <f t="array" ref="B20">INDEX(datos_base!$B$15:$K$22,MATCH($A20,datos_base!$A$15:$A$22,0),MATCH($B$3,datos_base!$B$2:$K$2,0))*INDEX(Parametros!$B$11:$M$26,MATCH($A20,Parametros!$A$11:$A$26,0),MATCH(B$16,Parametros!$B$10:$M$10,0))</f>
        <v>173.1</v>
      </c>
      <c r="C20" s="182">
        <f t="array" ref="C20">INDEX(datos_base!$B$15:$K$22,MATCH($A20,datos_base!$A$15:$A$22,0),MATCH($B$3,datos_base!$B$2:$K$2,0))*INDEX(Parametros!$B$11:$M$26,MATCH($A20,Parametros!$A$11:$A$26,0),MATCH(C$16,Parametros!$B$10:$M$10,0))</f>
        <v>138.48</v>
      </c>
      <c r="D20" s="182">
        <f t="array" ref="D20">INDEX(datos_base!$B$15:$K$22,MATCH($A20,datos_base!$A$15:$A$22,0),MATCH($B$3,datos_base!$B$2:$K$2,0))*INDEX(Parametros!$B$11:$M$26,MATCH($A20,Parametros!$A$11:$A$26,0),MATCH(D$16,Parametros!$B$10:$M$10,0))</f>
        <v>147.135</v>
      </c>
      <c r="E20" s="182">
        <f t="array" ref="E20">INDEX(datos_base!$B$15:$K$22,MATCH($A20,datos_base!$A$15:$A$22,0),MATCH($B$3,datos_base!$B$2:$K$2,0))*INDEX(Parametros!$B$11:$M$26,MATCH($A20,Parametros!$A$11:$A$26,0),MATCH(E$16,Parametros!$B$10:$M$10,0))</f>
        <v>147.135</v>
      </c>
      <c r="F20" s="182">
        <f t="array" ref="F20">INDEX(datos_base!$B$15:$K$22,MATCH($A20,datos_base!$A$15:$A$22,0),MATCH($B$3,datos_base!$B$2:$K$2,0))*INDEX(Parametros!$B$11:$M$26,MATCH($A20,Parametros!$A$11:$A$26,0),MATCH(F$16,Parametros!$B$10:$M$10,0))</f>
        <v>138.48</v>
      </c>
      <c r="G20" s="182">
        <f t="array" ref="G20">INDEX(datos_base!$B$15:$K$22,MATCH($A20,datos_base!$A$15:$A$22,0),MATCH($B$3,datos_base!$B$2:$K$2,0))*INDEX(Parametros!$B$11:$M$26,MATCH($A20,Parametros!$A$11:$A$26,0),MATCH(G$16,Parametros!$B$10:$M$10,0))</f>
        <v>129.825</v>
      </c>
      <c r="H20" s="182">
        <f t="array" ref="H20">INDEX(datos_base!$B$15:$K$22,MATCH($A20,datos_base!$A$15:$A$22,0),MATCH($B$3,datos_base!$B$2:$K$2,0))*INDEX(Parametros!$B$11:$M$26,MATCH($A20,Parametros!$A$11:$A$26,0),MATCH(H$16,Parametros!$B$10:$M$10,0))</f>
        <v>138.48</v>
      </c>
      <c r="I20" s="182">
        <f t="array" ref="I20">INDEX(datos_base!$B$15:$K$22,MATCH($A20,datos_base!$A$15:$A$22,0),MATCH($B$3,datos_base!$B$2:$K$2,0))*INDEX(Parametros!$B$11:$M$26,MATCH($A20,Parametros!$A$11:$A$26,0),MATCH(I$16,Parametros!$B$10:$M$10,0))</f>
        <v>138.48</v>
      </c>
      <c r="J20" s="182">
        <f t="array" ref="J20">INDEX(datos_base!$B$15:$K$22,MATCH($A20,datos_base!$A$15:$A$22,0),MATCH($B$3,datos_base!$B$2:$K$2,0))*INDEX(Parametros!$B$11:$M$26,MATCH($A20,Parametros!$A$11:$A$26,0),MATCH(J$16,Parametros!$B$10:$M$10,0))</f>
        <v>138.48</v>
      </c>
      <c r="K20" s="182">
        <f t="array" ref="K20">INDEX(datos_base!$B$15:$K$22,MATCH($A20,datos_base!$A$15:$A$22,0),MATCH($B$3,datos_base!$B$2:$K$2,0))*INDEX(Parametros!$B$11:$M$26,MATCH($A20,Parametros!$A$11:$A$26,0),MATCH(K$16,Parametros!$B$10:$M$10,0))</f>
        <v>129.825</v>
      </c>
      <c r="L20" s="182">
        <f t="array" ref="L20">INDEX(datos_base!$B$15:$K$22,MATCH($A20,datos_base!$A$15:$A$22,0),MATCH($B$3,datos_base!$B$2:$K$2,0))*INDEX(Parametros!$B$11:$M$26,MATCH($A20,Parametros!$A$11:$A$26,0),MATCH(L$16,Parametros!$B$10:$M$10,0))</f>
        <v>121.17</v>
      </c>
      <c r="M20" s="182">
        <f t="array" ref="M20">INDEX(datos_base!$B$15:$K$22,MATCH($A20,datos_base!$A$15:$A$22,0),MATCH($B$3,datos_base!$B$2:$K$2,0))*INDEX(Parametros!$B$11:$M$26,MATCH($A20,Parametros!$A$11:$A$26,0),MATCH(M$16,Parametros!$B$10:$M$10,0))</f>
        <v>190.41</v>
      </c>
      <c r="N20" s="271">
        <f t="shared" si="4"/>
        <v>1731</v>
      </c>
      <c r="O20" s="271">
        <f t="shared" si="5"/>
        <v>144.25</v>
      </c>
    </row>
    <row r="21" ht="12.0" customHeight="1">
      <c r="A21" s="152" t="s">
        <v>125</v>
      </c>
      <c r="B21" s="182">
        <f t="array" ref="B21">INDEX(datos_base!$B$15:$K$22,MATCH($A21,datos_base!$A$15:$A$22,0),MATCH($B$3,datos_base!$B$2:$K$2,0))*INDEX(Parametros!$B$11:$M$26,MATCH($A21,Parametros!$A$11:$A$26,0),MATCH(B$16,Parametros!$B$10:$M$10,0))</f>
        <v>23.545</v>
      </c>
      <c r="C21" s="182">
        <f t="array" ref="C21">INDEX(datos_base!$B$15:$K$22,MATCH($A21,datos_base!$A$15:$A$22,0),MATCH($B$3,datos_base!$B$2:$K$2,0))*INDEX(Parametros!$B$11:$M$26,MATCH($A21,Parametros!$A$11:$A$26,0),MATCH(C$16,Parametros!$B$10:$M$10,0))</f>
        <v>20.775</v>
      </c>
      <c r="D21" s="182">
        <f t="array" ref="D21">INDEX(datos_base!$B$15:$K$22,MATCH($A21,datos_base!$A$15:$A$22,0),MATCH($B$3,datos_base!$B$2:$K$2,0))*INDEX(Parametros!$B$11:$M$26,MATCH($A21,Parametros!$A$11:$A$26,0),MATCH(D$16,Parametros!$B$10:$M$10,0))</f>
        <v>24.93</v>
      </c>
      <c r="E21" s="182">
        <f t="array" ref="E21">INDEX(datos_base!$B$15:$K$22,MATCH($A21,datos_base!$A$15:$A$22,0),MATCH($B$3,datos_base!$B$2:$K$2,0))*INDEX(Parametros!$B$11:$M$26,MATCH($A21,Parametros!$A$11:$A$26,0),MATCH(E$16,Parametros!$B$10:$M$10,0))</f>
        <v>24.93</v>
      </c>
      <c r="F21" s="182">
        <f t="array" ref="F21">INDEX(datos_base!$B$15:$K$22,MATCH($A21,datos_base!$A$15:$A$22,0),MATCH($B$3,datos_base!$B$2:$K$2,0))*INDEX(Parametros!$B$11:$M$26,MATCH($A21,Parametros!$A$11:$A$26,0),MATCH(F$16,Parametros!$B$10:$M$10,0))</f>
        <v>24.93</v>
      </c>
      <c r="G21" s="182">
        <f t="array" ref="G21">INDEX(datos_base!$B$15:$K$22,MATCH($A21,datos_base!$A$15:$A$22,0),MATCH($B$3,datos_base!$B$2:$K$2,0))*INDEX(Parametros!$B$11:$M$26,MATCH($A21,Parametros!$A$11:$A$26,0),MATCH(G$16,Parametros!$B$10:$M$10,0))</f>
        <v>22.16</v>
      </c>
      <c r="H21" s="182">
        <f t="array" ref="H21">INDEX(datos_base!$B$15:$K$22,MATCH($A21,datos_base!$A$15:$A$22,0),MATCH($B$3,datos_base!$B$2:$K$2,0))*INDEX(Parametros!$B$11:$M$26,MATCH($A21,Parametros!$A$11:$A$26,0),MATCH(H$16,Parametros!$B$10:$M$10,0))</f>
        <v>24.93</v>
      </c>
      <c r="I21" s="182">
        <f t="array" ref="I21">INDEX(datos_base!$B$15:$K$22,MATCH($A21,datos_base!$A$15:$A$22,0),MATCH($B$3,datos_base!$B$2:$K$2,0))*INDEX(Parametros!$B$11:$M$26,MATCH($A21,Parametros!$A$11:$A$26,0),MATCH(I$16,Parametros!$B$10:$M$10,0))</f>
        <v>24.93</v>
      </c>
      <c r="J21" s="182">
        <f t="array" ref="J21">INDEX(datos_base!$B$15:$K$22,MATCH($A21,datos_base!$A$15:$A$22,0),MATCH($B$3,datos_base!$B$2:$K$2,0))*INDEX(Parametros!$B$11:$M$26,MATCH($A21,Parametros!$A$11:$A$26,0),MATCH(J$16,Parametros!$B$10:$M$10,0))</f>
        <v>23.545</v>
      </c>
      <c r="K21" s="182">
        <f t="array" ref="K21">INDEX(datos_base!$B$15:$K$22,MATCH($A21,datos_base!$A$15:$A$22,0),MATCH($B$3,datos_base!$B$2:$K$2,0))*INDEX(Parametros!$B$11:$M$26,MATCH($A21,Parametros!$A$11:$A$26,0),MATCH(K$16,Parametros!$B$10:$M$10,0))</f>
        <v>20.775</v>
      </c>
      <c r="L21" s="182">
        <f t="array" ref="L21">INDEX(datos_base!$B$15:$K$22,MATCH($A21,datos_base!$A$15:$A$22,0),MATCH($B$3,datos_base!$B$2:$K$2,0))*INDEX(Parametros!$B$11:$M$26,MATCH($A21,Parametros!$A$11:$A$26,0),MATCH(L$16,Parametros!$B$10:$M$10,0))</f>
        <v>19.39</v>
      </c>
      <c r="M21" s="182">
        <f t="array" ref="M21">INDEX(datos_base!$B$15:$K$22,MATCH($A21,datos_base!$A$15:$A$22,0),MATCH($B$3,datos_base!$B$2:$K$2,0))*INDEX(Parametros!$B$11:$M$26,MATCH($A21,Parametros!$A$11:$A$26,0),MATCH(M$16,Parametros!$B$10:$M$10,0))</f>
        <v>22.16</v>
      </c>
      <c r="N21" s="271">
        <f t="shared" si="4"/>
        <v>277</v>
      </c>
      <c r="O21" s="271">
        <f t="shared" si="5"/>
        <v>23.08333333</v>
      </c>
    </row>
    <row r="22" ht="12.0" customHeight="1">
      <c r="A22" s="152" t="s">
        <v>128</v>
      </c>
      <c r="B22" s="182">
        <f t="array" ref="B22">INDEX(datos_base!$B$15:$K$22,MATCH($A22,datos_base!$A$15:$A$22,0),MATCH($B$3,datos_base!$B$2:$K$2,0))*INDEX(Parametros!$B$11:$M$26,MATCH($A22,Parametros!$A$11:$A$26,0),MATCH(B$16,Parametros!$B$10:$M$10,0))</f>
        <v>51.85</v>
      </c>
      <c r="C22" s="182">
        <f t="array" ref="C22">INDEX(datos_base!$B$15:$K$22,MATCH($A22,datos_base!$A$15:$A$22,0),MATCH($B$3,datos_base!$B$2:$K$2,0))*INDEX(Parametros!$B$11:$M$26,MATCH($A22,Parametros!$A$11:$A$26,0),MATCH(C$16,Parametros!$B$10:$M$10,0))</f>
        <v>45.75</v>
      </c>
      <c r="D22" s="182">
        <f t="array" ref="D22">INDEX(datos_base!$B$15:$K$22,MATCH($A22,datos_base!$A$15:$A$22,0),MATCH($B$3,datos_base!$B$2:$K$2,0))*INDEX(Parametros!$B$11:$M$26,MATCH($A22,Parametros!$A$11:$A$26,0),MATCH(D$16,Parametros!$B$10:$M$10,0))</f>
        <v>54.9</v>
      </c>
      <c r="E22" s="182">
        <f t="array" ref="E22">INDEX(datos_base!$B$15:$K$22,MATCH($A22,datos_base!$A$15:$A$22,0),MATCH($B$3,datos_base!$B$2:$K$2,0))*INDEX(Parametros!$B$11:$M$26,MATCH($A22,Parametros!$A$11:$A$26,0),MATCH(E$16,Parametros!$B$10:$M$10,0))</f>
        <v>54.9</v>
      </c>
      <c r="F22" s="182">
        <f t="array" ref="F22">INDEX(datos_base!$B$15:$K$22,MATCH($A22,datos_base!$A$15:$A$22,0),MATCH($B$3,datos_base!$B$2:$K$2,0))*INDEX(Parametros!$B$11:$M$26,MATCH($A22,Parametros!$A$11:$A$26,0),MATCH(F$16,Parametros!$B$10:$M$10,0))</f>
        <v>54.9</v>
      </c>
      <c r="G22" s="182">
        <f t="array" ref="G22">INDEX(datos_base!$B$15:$K$22,MATCH($A22,datos_base!$A$15:$A$22,0),MATCH($B$3,datos_base!$B$2:$K$2,0))*INDEX(Parametros!$B$11:$M$26,MATCH($A22,Parametros!$A$11:$A$26,0),MATCH(G$16,Parametros!$B$10:$M$10,0))</f>
        <v>48.8</v>
      </c>
      <c r="H22" s="182">
        <f t="array" ref="H22">INDEX(datos_base!$B$15:$K$22,MATCH($A22,datos_base!$A$15:$A$22,0),MATCH($B$3,datos_base!$B$2:$K$2,0))*INDEX(Parametros!$B$11:$M$26,MATCH($A22,Parametros!$A$11:$A$26,0),MATCH(H$16,Parametros!$B$10:$M$10,0))</f>
        <v>54.9</v>
      </c>
      <c r="I22" s="182">
        <f t="array" ref="I22">INDEX(datos_base!$B$15:$K$22,MATCH($A22,datos_base!$A$15:$A$22,0),MATCH($B$3,datos_base!$B$2:$K$2,0))*INDEX(Parametros!$B$11:$M$26,MATCH($A22,Parametros!$A$11:$A$26,0),MATCH(I$16,Parametros!$B$10:$M$10,0))</f>
        <v>54.9</v>
      </c>
      <c r="J22" s="182">
        <f t="array" ref="J22">INDEX(datos_base!$B$15:$K$22,MATCH($A22,datos_base!$A$15:$A$22,0),MATCH($B$3,datos_base!$B$2:$K$2,0))*INDEX(Parametros!$B$11:$M$26,MATCH($A22,Parametros!$A$11:$A$26,0),MATCH(J$16,Parametros!$B$10:$M$10,0))</f>
        <v>51.85</v>
      </c>
      <c r="K22" s="182">
        <f t="array" ref="K22">INDEX(datos_base!$B$15:$K$22,MATCH($A22,datos_base!$A$15:$A$22,0),MATCH($B$3,datos_base!$B$2:$K$2,0))*INDEX(Parametros!$B$11:$M$26,MATCH($A22,Parametros!$A$11:$A$26,0),MATCH(K$16,Parametros!$B$10:$M$10,0))</f>
        <v>45.75</v>
      </c>
      <c r="L22" s="182">
        <f t="array" ref="L22">INDEX(datos_base!$B$15:$K$22,MATCH($A22,datos_base!$A$15:$A$22,0),MATCH($B$3,datos_base!$B$2:$K$2,0))*INDEX(Parametros!$B$11:$M$26,MATCH($A22,Parametros!$A$11:$A$26,0),MATCH(L$16,Parametros!$B$10:$M$10,0))</f>
        <v>42.7</v>
      </c>
      <c r="M22" s="182">
        <f t="array" ref="M22">INDEX(datos_base!$B$15:$K$22,MATCH($A22,datos_base!$A$15:$A$22,0),MATCH($B$3,datos_base!$B$2:$K$2,0))*INDEX(Parametros!$B$11:$M$26,MATCH($A22,Parametros!$A$11:$A$26,0),MATCH(M$16,Parametros!$B$10:$M$10,0))</f>
        <v>48.8</v>
      </c>
      <c r="N22" s="271">
        <f t="shared" si="4"/>
        <v>610</v>
      </c>
      <c r="O22" s="271">
        <f t="shared" si="5"/>
        <v>50.83333333</v>
      </c>
    </row>
    <row r="23" ht="12.0" customHeight="1">
      <c r="A23" s="152" t="s">
        <v>129</v>
      </c>
      <c r="B23" s="182">
        <f t="array" ref="B23">INDEX(datos_base!$B$15:$K$22,MATCH($A23,datos_base!$A$15:$A$22,0),MATCH($B$3,datos_base!$B$2:$K$2,0))*INDEX(Parametros!$B$11:$M$26,MATCH($A23,Parametros!$A$11:$A$26,0),MATCH(B$16,Parametros!$B$10:$M$10,0))</f>
        <v>11.305</v>
      </c>
      <c r="C23" s="182">
        <f t="array" ref="C23">INDEX(datos_base!$B$15:$K$22,MATCH($A23,datos_base!$A$15:$A$22,0),MATCH($B$3,datos_base!$B$2:$K$2,0))*INDEX(Parametros!$B$11:$M$26,MATCH($A23,Parametros!$A$11:$A$26,0),MATCH(C$16,Parametros!$B$10:$M$10,0))</f>
        <v>9.975</v>
      </c>
      <c r="D23" s="182">
        <f t="array" ref="D23">INDEX(datos_base!$B$15:$K$22,MATCH($A23,datos_base!$A$15:$A$22,0),MATCH($B$3,datos_base!$B$2:$K$2,0))*INDEX(Parametros!$B$11:$M$26,MATCH($A23,Parametros!$A$11:$A$26,0),MATCH(D$16,Parametros!$B$10:$M$10,0))</f>
        <v>11.97</v>
      </c>
      <c r="E23" s="182">
        <f t="array" ref="E23">INDEX(datos_base!$B$15:$K$22,MATCH($A23,datos_base!$A$15:$A$22,0),MATCH($B$3,datos_base!$B$2:$K$2,0))*INDEX(Parametros!$B$11:$M$26,MATCH($A23,Parametros!$A$11:$A$26,0),MATCH(E$16,Parametros!$B$10:$M$10,0))</f>
        <v>11.97</v>
      </c>
      <c r="F23" s="182">
        <f t="array" ref="F23">INDEX(datos_base!$B$15:$K$22,MATCH($A23,datos_base!$A$15:$A$22,0),MATCH($B$3,datos_base!$B$2:$K$2,0))*INDEX(Parametros!$B$11:$M$26,MATCH($A23,Parametros!$A$11:$A$26,0),MATCH(F$16,Parametros!$B$10:$M$10,0))</f>
        <v>11.97</v>
      </c>
      <c r="G23" s="182">
        <f t="array" ref="G23">INDEX(datos_base!$B$15:$K$22,MATCH($A23,datos_base!$A$15:$A$22,0),MATCH($B$3,datos_base!$B$2:$K$2,0))*INDEX(Parametros!$B$11:$M$26,MATCH($A23,Parametros!$A$11:$A$26,0),MATCH(G$16,Parametros!$B$10:$M$10,0))</f>
        <v>10.64</v>
      </c>
      <c r="H23" s="182">
        <f t="array" ref="H23">INDEX(datos_base!$B$15:$K$22,MATCH($A23,datos_base!$A$15:$A$22,0),MATCH($B$3,datos_base!$B$2:$K$2,0))*INDEX(Parametros!$B$11:$M$26,MATCH($A23,Parametros!$A$11:$A$26,0),MATCH(H$16,Parametros!$B$10:$M$10,0))</f>
        <v>11.97</v>
      </c>
      <c r="I23" s="182">
        <f t="array" ref="I23">INDEX(datos_base!$B$15:$K$22,MATCH($A23,datos_base!$A$15:$A$22,0),MATCH($B$3,datos_base!$B$2:$K$2,0))*INDEX(Parametros!$B$11:$M$26,MATCH($A23,Parametros!$A$11:$A$26,0),MATCH(I$16,Parametros!$B$10:$M$10,0))</f>
        <v>11.97</v>
      </c>
      <c r="J23" s="182">
        <f t="array" ref="J23">INDEX(datos_base!$B$15:$K$22,MATCH($A23,datos_base!$A$15:$A$22,0),MATCH($B$3,datos_base!$B$2:$K$2,0))*INDEX(Parametros!$B$11:$M$26,MATCH($A23,Parametros!$A$11:$A$26,0),MATCH(J$16,Parametros!$B$10:$M$10,0))</f>
        <v>11.305</v>
      </c>
      <c r="K23" s="182">
        <f t="array" ref="K23">INDEX(datos_base!$B$15:$K$22,MATCH($A23,datos_base!$A$15:$A$22,0),MATCH($B$3,datos_base!$B$2:$K$2,0))*INDEX(Parametros!$B$11:$M$26,MATCH($A23,Parametros!$A$11:$A$26,0),MATCH(K$16,Parametros!$B$10:$M$10,0))</f>
        <v>9.975</v>
      </c>
      <c r="L23" s="182">
        <f t="array" ref="L23">INDEX(datos_base!$B$15:$K$22,MATCH($A23,datos_base!$A$15:$A$22,0),MATCH($B$3,datos_base!$B$2:$K$2,0))*INDEX(Parametros!$B$11:$M$26,MATCH($A23,Parametros!$A$11:$A$26,0),MATCH(L$16,Parametros!$B$10:$M$10,0))</f>
        <v>9.31</v>
      </c>
      <c r="M23" s="182">
        <f t="array" ref="M23">INDEX(datos_base!$B$15:$K$22,MATCH($A23,datos_base!$A$15:$A$22,0),MATCH($B$3,datos_base!$B$2:$K$2,0))*INDEX(Parametros!$B$11:$M$26,MATCH($A23,Parametros!$A$11:$A$26,0),MATCH(M$16,Parametros!$B$10:$M$10,0))</f>
        <v>10.64</v>
      </c>
      <c r="N23" s="271">
        <f t="shared" si="4"/>
        <v>133</v>
      </c>
      <c r="O23" s="271">
        <f t="shared" si="5"/>
        <v>11.08333333</v>
      </c>
    </row>
    <row r="24" ht="12.0" customHeight="1">
      <c r="A24" s="152" t="s">
        <v>130</v>
      </c>
      <c r="B24" s="182">
        <f t="array" ref="B24">INDEX(datos_base!$B$15:$K$22,MATCH($A24,datos_base!$A$15:$A$22,0),MATCH($B$3,datos_base!$B$2:$K$2,0))*INDEX(Parametros!$B$11:$M$26,MATCH($A24,Parametros!$A$11:$A$26,0),MATCH(B$16,Parametros!$B$10:$M$10,0))</f>
        <v>7.48</v>
      </c>
      <c r="C24" s="182">
        <f t="array" ref="C24">INDEX(datos_base!$B$15:$K$22,MATCH($A24,datos_base!$A$15:$A$22,0),MATCH($B$3,datos_base!$B$2:$K$2,0))*INDEX(Parametros!$B$11:$M$26,MATCH($A24,Parametros!$A$11:$A$26,0),MATCH(C$16,Parametros!$B$10:$M$10,0))</f>
        <v>6.6</v>
      </c>
      <c r="D24" s="182">
        <f t="array" ref="D24">INDEX(datos_base!$B$15:$K$22,MATCH($A24,datos_base!$A$15:$A$22,0),MATCH($B$3,datos_base!$B$2:$K$2,0))*INDEX(Parametros!$B$11:$M$26,MATCH($A24,Parametros!$A$11:$A$26,0),MATCH(D$16,Parametros!$B$10:$M$10,0))</f>
        <v>7.92</v>
      </c>
      <c r="E24" s="182">
        <f t="array" ref="E24">INDEX(datos_base!$B$15:$K$22,MATCH($A24,datos_base!$A$15:$A$22,0),MATCH($B$3,datos_base!$B$2:$K$2,0))*INDEX(Parametros!$B$11:$M$26,MATCH($A24,Parametros!$A$11:$A$26,0),MATCH(E$16,Parametros!$B$10:$M$10,0))</f>
        <v>7.92</v>
      </c>
      <c r="F24" s="182">
        <f t="array" ref="F24">INDEX(datos_base!$B$15:$K$22,MATCH($A24,datos_base!$A$15:$A$22,0),MATCH($B$3,datos_base!$B$2:$K$2,0))*INDEX(Parametros!$B$11:$M$26,MATCH($A24,Parametros!$A$11:$A$26,0),MATCH(F$16,Parametros!$B$10:$M$10,0))</f>
        <v>7.92</v>
      </c>
      <c r="G24" s="182">
        <f t="array" ref="G24">INDEX(datos_base!$B$15:$K$22,MATCH($A24,datos_base!$A$15:$A$22,0),MATCH($B$3,datos_base!$B$2:$K$2,0))*INDEX(Parametros!$B$11:$M$26,MATCH($A24,Parametros!$A$11:$A$26,0),MATCH(G$16,Parametros!$B$10:$M$10,0))</f>
        <v>7.04</v>
      </c>
      <c r="H24" s="182">
        <f t="array" ref="H24">INDEX(datos_base!$B$15:$K$22,MATCH($A24,datos_base!$A$15:$A$22,0),MATCH($B$3,datos_base!$B$2:$K$2,0))*INDEX(Parametros!$B$11:$M$26,MATCH($A24,Parametros!$A$11:$A$26,0),MATCH(H$16,Parametros!$B$10:$M$10,0))</f>
        <v>7.92</v>
      </c>
      <c r="I24" s="182">
        <f t="array" ref="I24">INDEX(datos_base!$B$15:$K$22,MATCH($A24,datos_base!$A$15:$A$22,0),MATCH($B$3,datos_base!$B$2:$K$2,0))*INDEX(Parametros!$B$11:$M$26,MATCH($A24,Parametros!$A$11:$A$26,0),MATCH(I$16,Parametros!$B$10:$M$10,0))</f>
        <v>7.92</v>
      </c>
      <c r="J24" s="182">
        <f t="array" ref="J24">INDEX(datos_base!$B$15:$K$22,MATCH($A24,datos_base!$A$15:$A$22,0),MATCH($B$3,datos_base!$B$2:$K$2,0))*INDEX(Parametros!$B$11:$M$26,MATCH($A24,Parametros!$A$11:$A$26,0),MATCH(J$16,Parametros!$B$10:$M$10,0))</f>
        <v>7.48</v>
      </c>
      <c r="K24" s="182">
        <f t="array" ref="K24">INDEX(datos_base!$B$15:$K$22,MATCH($A24,datos_base!$A$15:$A$22,0),MATCH($B$3,datos_base!$B$2:$K$2,0))*INDEX(Parametros!$B$11:$M$26,MATCH($A24,Parametros!$A$11:$A$26,0),MATCH(K$16,Parametros!$B$10:$M$10,0))</f>
        <v>6.6</v>
      </c>
      <c r="L24" s="182">
        <f t="array" ref="L24">INDEX(datos_base!$B$15:$K$22,MATCH($A24,datos_base!$A$15:$A$22,0),MATCH($B$3,datos_base!$B$2:$K$2,0))*INDEX(Parametros!$B$11:$M$26,MATCH($A24,Parametros!$A$11:$A$26,0),MATCH(L$16,Parametros!$B$10:$M$10,0))</f>
        <v>6.16</v>
      </c>
      <c r="M24" s="182">
        <f t="array" ref="M24">INDEX(datos_base!$B$15:$K$22,MATCH($A24,datos_base!$A$15:$A$22,0),MATCH($B$3,datos_base!$B$2:$K$2,0))*INDEX(Parametros!$B$11:$M$26,MATCH($A24,Parametros!$A$11:$A$26,0),MATCH(M$16,Parametros!$B$10:$M$10,0))</f>
        <v>7.04</v>
      </c>
      <c r="N24" s="271">
        <f t="shared" si="4"/>
        <v>88</v>
      </c>
      <c r="O24" s="271">
        <f t="shared" si="5"/>
        <v>7.333333333</v>
      </c>
    </row>
    <row r="25" ht="12.0" customHeight="1">
      <c r="A25" s="272" t="s">
        <v>420</v>
      </c>
      <c r="B25" s="273">
        <f t="shared" ref="B25:N25" si="6">SUM(B17:B24)</f>
        <v>21293.38</v>
      </c>
      <c r="C25" s="273">
        <f t="shared" si="6"/>
        <v>16161.54</v>
      </c>
      <c r="D25" s="273">
        <f t="shared" si="6"/>
        <v>14889</v>
      </c>
      <c r="E25" s="273">
        <f t="shared" si="6"/>
        <v>14154.9</v>
      </c>
      <c r="F25" s="273">
        <f t="shared" si="6"/>
        <v>13241.76</v>
      </c>
      <c r="G25" s="273">
        <f t="shared" si="6"/>
        <v>13051.64</v>
      </c>
      <c r="H25" s="273">
        <f t="shared" si="6"/>
        <v>13975.86</v>
      </c>
      <c r="I25" s="273">
        <f t="shared" si="6"/>
        <v>13975.86</v>
      </c>
      <c r="J25" s="273">
        <f t="shared" si="6"/>
        <v>13970.32</v>
      </c>
      <c r="K25" s="273">
        <f t="shared" si="6"/>
        <v>13780.2</v>
      </c>
      <c r="L25" s="273">
        <f t="shared" si="6"/>
        <v>13595.62</v>
      </c>
      <c r="M25" s="273">
        <f t="shared" si="6"/>
        <v>21645.92</v>
      </c>
      <c r="N25" s="273">
        <f t="shared" si="6"/>
        <v>183736</v>
      </c>
      <c r="O25" s="273">
        <f t="shared" si="5"/>
        <v>15311.33333</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O6+O7+O8+O9+O17+O18+O19+O20</f>
        <v>20498</v>
      </c>
      <c r="C28" s="152">
        <f>ROUNDDOWN(B28/Parametros!$B$37,0)</f>
        <v>1024</v>
      </c>
      <c r="D28" s="152">
        <f>ROUNDDOWN(C28/Parametros!$J$37,0)</f>
        <v>136</v>
      </c>
      <c r="E28" s="152">
        <f t="shared" ref="E28:E45" si="7">D28</f>
        <v>136</v>
      </c>
      <c r="F28" s="279">
        <f>Parametros!$M$39</f>
        <v>68</v>
      </c>
      <c r="G28" s="152">
        <v>1.0</v>
      </c>
      <c r="H28" s="152">
        <f t="shared" ref="H28:H45" si="8">F28*G28</f>
        <v>68</v>
      </c>
      <c r="I28" s="275">
        <f t="shared" ref="I28:I45" si="9">E28/H28</f>
        <v>2</v>
      </c>
      <c r="J28" s="152" t="s">
        <v>158</v>
      </c>
    </row>
    <row r="29" ht="12.0" customHeight="1">
      <c r="A29" s="152" t="s">
        <v>163</v>
      </c>
      <c r="B29" s="159">
        <f>O6+O7+O8+O9+O17+O18+O19+O20</f>
        <v>20498</v>
      </c>
      <c r="C29" s="152">
        <f>ROUNDDOWN(B29/Parametros!$B$37,0)</f>
        <v>1024</v>
      </c>
      <c r="D29" s="152">
        <f>ROUNDDOWN(C29/Parametros!$J$37,0)</f>
        <v>136</v>
      </c>
      <c r="E29" s="152">
        <f t="shared" si="7"/>
        <v>136</v>
      </c>
      <c r="F29" s="279">
        <f>Parametros!$M$40</f>
        <v>40.88</v>
      </c>
      <c r="G29" s="152">
        <v>1.0</v>
      </c>
      <c r="H29" s="152">
        <f t="shared" si="8"/>
        <v>40.88</v>
      </c>
      <c r="I29" s="275">
        <f t="shared" si="9"/>
        <v>3.326810176</v>
      </c>
      <c r="J29" s="152" t="s">
        <v>158</v>
      </c>
    </row>
    <row r="30" ht="12.0" customHeight="1">
      <c r="A30" s="280" t="s">
        <v>61</v>
      </c>
      <c r="B30" s="281">
        <f>O6+O7+O8+O9+O17+O18+O19+O20</f>
        <v>20498</v>
      </c>
      <c r="C30" s="280">
        <f>ROUNDDOWN(B30/Parametros!$B$37,0)</f>
        <v>1024</v>
      </c>
      <c r="D30" s="280">
        <f>ROUNDDOWN(C30/Parametros!$J$37,0)</f>
        <v>136</v>
      </c>
      <c r="E30" s="280">
        <f t="shared" si="7"/>
        <v>136</v>
      </c>
      <c r="F30" s="282">
        <f>Parametros!$M$41</f>
        <v>466.5116279</v>
      </c>
      <c r="G30" s="280">
        <v>1.0</v>
      </c>
      <c r="H30" s="280">
        <f t="shared" si="8"/>
        <v>466.5116279</v>
      </c>
      <c r="I30" s="283">
        <f t="shared" si="9"/>
        <v>0.2915254237</v>
      </c>
      <c r="J30" s="280" t="s">
        <v>158</v>
      </c>
    </row>
    <row r="31" ht="12.0" customHeight="1">
      <c r="A31" s="152" t="s">
        <v>62</v>
      </c>
      <c r="B31" s="159">
        <f>O7+O8+O9+O18+O19+O20</f>
        <v>5881.916667</v>
      </c>
      <c r="C31" s="152">
        <f>ROUNDDOWN(B31/Parametros!$B$37,0)</f>
        <v>294</v>
      </c>
      <c r="D31" s="152">
        <f>ROUNDDOWN(C31/Parametros!$J$37,0)</f>
        <v>39</v>
      </c>
      <c r="E31" s="152">
        <f t="shared" si="7"/>
        <v>39</v>
      </c>
      <c r="F31" s="279">
        <f>Parametros!$M$42</f>
        <v>96</v>
      </c>
      <c r="G31" s="152">
        <v>1.0</v>
      </c>
      <c r="H31" s="152">
        <f t="shared" si="8"/>
        <v>96</v>
      </c>
      <c r="I31" s="275">
        <f t="shared" si="9"/>
        <v>0.40625</v>
      </c>
      <c r="J31" s="152" t="s">
        <v>182</v>
      </c>
    </row>
    <row r="32" ht="12.0" customHeight="1">
      <c r="A32" s="152" t="s">
        <v>63</v>
      </c>
      <c r="B32" s="159">
        <f>O7+O8+O9+O18+O19+O20</f>
        <v>5881.916667</v>
      </c>
      <c r="C32" s="152">
        <f>ROUNDDOWN(B32/Parametros!$B$37,0)</f>
        <v>294</v>
      </c>
      <c r="D32" s="152">
        <f>ROUNDDOWN(C32/Parametros!$J$37,0)</f>
        <v>39</v>
      </c>
      <c r="E32" s="152">
        <f t="shared" si="7"/>
        <v>39</v>
      </c>
      <c r="F32" s="279">
        <f>Parametros!$M$43</f>
        <v>80.10122449</v>
      </c>
      <c r="G32" s="152">
        <v>1.0</v>
      </c>
      <c r="H32" s="152">
        <f t="shared" si="8"/>
        <v>80.10122449</v>
      </c>
      <c r="I32" s="275">
        <f t="shared" si="9"/>
        <v>0.4868839428</v>
      </c>
      <c r="J32" s="152" t="s">
        <v>182</v>
      </c>
    </row>
    <row r="33" ht="12.0" customHeight="1">
      <c r="A33" s="152" t="s">
        <v>64</v>
      </c>
      <c r="B33" s="159">
        <f>O7+O8+O9+O18+O19+O20</f>
        <v>5881.916667</v>
      </c>
      <c r="C33" s="152">
        <f>ROUNDDOWN(B33/Parametros!$B$37,0)</f>
        <v>294</v>
      </c>
      <c r="D33" s="152">
        <f>ROUNDDOWN(C33/Parametros!$J$37,0)</f>
        <v>39</v>
      </c>
      <c r="E33" s="152">
        <f t="shared" si="7"/>
        <v>39</v>
      </c>
      <c r="F33" s="279">
        <f>Parametros!$M$44</f>
        <v>18.54222222</v>
      </c>
      <c r="G33" s="152">
        <v>1.0</v>
      </c>
      <c r="H33" s="152">
        <f t="shared" si="8"/>
        <v>18.54222222</v>
      </c>
      <c r="I33" s="275">
        <f t="shared" si="9"/>
        <v>2.103307766</v>
      </c>
      <c r="J33" s="152" t="s">
        <v>182</v>
      </c>
    </row>
    <row r="34" ht="12.0" customHeight="1">
      <c r="A34" s="152" t="s">
        <v>66</v>
      </c>
      <c r="B34" s="159">
        <f>O6+O7+O8+O9+O17+O18+O19+O20</f>
        <v>20498</v>
      </c>
      <c r="C34" s="152">
        <f>ROUNDDOWN(B34/Parametros!$B$37,0)</f>
        <v>1024</v>
      </c>
      <c r="D34" s="152">
        <f>ROUNDDOWN(C34/Parametros!$J$37,0)</f>
        <v>136</v>
      </c>
      <c r="E34" s="152">
        <f t="shared" si="7"/>
        <v>136</v>
      </c>
      <c r="F34" s="279">
        <f>Parametros!$M$45</f>
        <v>60.656</v>
      </c>
      <c r="G34" s="152">
        <v>1.0</v>
      </c>
      <c r="H34" s="152">
        <f t="shared" si="8"/>
        <v>60.656</v>
      </c>
      <c r="I34" s="275">
        <f t="shared" si="9"/>
        <v>2.242152466</v>
      </c>
      <c r="J34" s="152" t="s">
        <v>158</v>
      </c>
    </row>
    <row r="35" ht="12.0" customHeight="1">
      <c r="A35" s="152" t="s">
        <v>67</v>
      </c>
      <c r="B35" s="159">
        <f>O6+O7+O8+O9+O17+O18+O19+O20</f>
        <v>20498</v>
      </c>
      <c r="C35" s="152">
        <f>ROUNDDOWN(B35/Parametros!$B$37,0)</f>
        <v>1024</v>
      </c>
      <c r="D35" s="152">
        <f>ROUNDDOWN(C35/Parametros!$J$37,0)</f>
        <v>136</v>
      </c>
      <c r="E35" s="152">
        <f t="shared" si="7"/>
        <v>136</v>
      </c>
      <c r="F35" s="279">
        <f>Parametros!$M$46</f>
        <v>187.425</v>
      </c>
      <c r="G35" s="152">
        <v>1.0</v>
      </c>
      <c r="H35" s="152">
        <f t="shared" si="8"/>
        <v>187.425</v>
      </c>
      <c r="I35" s="275">
        <f t="shared" si="9"/>
        <v>0.7256235828</v>
      </c>
      <c r="J35" s="152" t="s">
        <v>158</v>
      </c>
    </row>
    <row r="36" ht="12.0" customHeight="1">
      <c r="A36" s="280" t="s">
        <v>68</v>
      </c>
      <c r="B36" s="281">
        <f>O6+O7+O8+O9+O17+O18+O19+O20</f>
        <v>20498</v>
      </c>
      <c r="C36" s="280">
        <f>ROUNDDOWN(B36/Parametros!$B$37,0)</f>
        <v>1024</v>
      </c>
      <c r="D36" s="280">
        <f>ROUNDDOWN(C36/Parametros!$J$37,0)</f>
        <v>136</v>
      </c>
      <c r="E36" s="280">
        <f t="shared" si="7"/>
        <v>136</v>
      </c>
      <c r="F36" s="282">
        <f>Parametros!$M$47</f>
        <v>15.96903226</v>
      </c>
      <c r="G36" s="280">
        <v>1.0</v>
      </c>
      <c r="H36" s="280">
        <f t="shared" si="8"/>
        <v>15.96903226</v>
      </c>
      <c r="I36" s="283">
        <f t="shared" si="9"/>
        <v>8.516483516</v>
      </c>
      <c r="J36" s="280" t="s">
        <v>158</v>
      </c>
    </row>
    <row r="37" ht="12.0" customHeight="1">
      <c r="A37" s="280" t="s">
        <v>70</v>
      </c>
      <c r="B37" s="281">
        <f>O6+O7+O8+O9+O17+O18+O19+O20</f>
        <v>20498</v>
      </c>
      <c r="C37" s="280">
        <f>ROUNDDOWN(B37/Parametros!$B$37,0)</f>
        <v>1024</v>
      </c>
      <c r="D37" s="280">
        <f>ROUNDDOWN(C37/Parametros!$J$37,0)</f>
        <v>136</v>
      </c>
      <c r="E37" s="280">
        <f t="shared" si="7"/>
        <v>136</v>
      </c>
      <c r="F37" s="282">
        <f>Parametros!$M$48</f>
        <v>22.46518519</v>
      </c>
      <c r="G37" s="280">
        <v>1.0</v>
      </c>
      <c r="H37" s="280">
        <f t="shared" si="8"/>
        <v>22.46518519</v>
      </c>
      <c r="I37" s="283">
        <f t="shared" si="9"/>
        <v>6.053811659</v>
      </c>
      <c r="J37" s="280" t="s">
        <v>158</v>
      </c>
    </row>
    <row r="38" ht="12.0" customHeight="1">
      <c r="A38" s="280" t="s">
        <v>72</v>
      </c>
      <c r="B38" s="281">
        <f>O6+O7+O8+O9+O17+O18+O19+O20</f>
        <v>20498</v>
      </c>
      <c r="C38" s="280">
        <f>ROUNDDOWN(B38/Parametros!$B$37,0)</f>
        <v>1024</v>
      </c>
      <c r="D38" s="280">
        <f>ROUNDDOWN(C38/Parametros!$J$37,0)</f>
        <v>136</v>
      </c>
      <c r="E38" s="280">
        <f t="shared" si="7"/>
        <v>136</v>
      </c>
      <c r="F38" s="282">
        <f>Parametros!$M$49</f>
        <v>71.1627907</v>
      </c>
      <c r="G38" s="280">
        <v>1.0</v>
      </c>
      <c r="H38" s="280">
        <f t="shared" si="8"/>
        <v>71.1627907</v>
      </c>
      <c r="I38" s="283">
        <f t="shared" si="9"/>
        <v>1.911111111</v>
      </c>
      <c r="J38" s="280" t="s">
        <v>158</v>
      </c>
    </row>
    <row r="39" ht="12.0" customHeight="1">
      <c r="A39" s="280" t="s">
        <v>76</v>
      </c>
      <c r="B39" s="281">
        <f>O6+O7+O8+O9+O17+O18+O19+O20</f>
        <v>20498</v>
      </c>
      <c r="C39" s="280">
        <f>ROUNDDOWN(B39/Parametros!$B$37,0)</f>
        <v>1024</v>
      </c>
      <c r="D39" s="280">
        <f>ROUNDDOWN(C39/Parametros!$J$37,0)</f>
        <v>136</v>
      </c>
      <c r="E39" s="280">
        <f t="shared" si="7"/>
        <v>136</v>
      </c>
      <c r="F39" s="282">
        <f>Parametros!$M$50</f>
        <v>192</v>
      </c>
      <c r="G39" s="280">
        <v>1.0</v>
      </c>
      <c r="H39" s="280">
        <f t="shared" si="8"/>
        <v>192</v>
      </c>
      <c r="I39" s="283">
        <f t="shared" si="9"/>
        <v>0.7083333333</v>
      </c>
      <c r="J39" s="280" t="s">
        <v>158</v>
      </c>
    </row>
    <row r="40" ht="12.0" customHeight="1">
      <c r="A40" s="280" t="s">
        <v>77</v>
      </c>
      <c r="B40" s="281">
        <f>O6+O7+O8+O9+O17+O18+O19+O20</f>
        <v>20498</v>
      </c>
      <c r="C40" s="280">
        <f>ROUNDDOWN(B40/Parametros!$B$37,0)</f>
        <v>1024</v>
      </c>
      <c r="D40" s="280">
        <f>ROUNDDOWN(C40/Parametros!$J$37,0)</f>
        <v>136</v>
      </c>
      <c r="E40" s="280">
        <f t="shared" si="7"/>
        <v>136</v>
      </c>
      <c r="F40" s="282">
        <f>Parametros!$M$51</f>
        <v>136.0227273</v>
      </c>
      <c r="G40" s="280">
        <v>1.0</v>
      </c>
      <c r="H40" s="280">
        <f t="shared" si="8"/>
        <v>136.0227273</v>
      </c>
      <c r="I40" s="283">
        <f t="shared" si="9"/>
        <v>0.9998329156</v>
      </c>
      <c r="J40" s="280" t="s">
        <v>158</v>
      </c>
    </row>
    <row r="41" ht="12.0" customHeight="1">
      <c r="A41" s="280" t="s">
        <v>79</v>
      </c>
      <c r="B41" s="281">
        <f>O6+O7+O8+O9+O17+O18+O19+O20</f>
        <v>20498</v>
      </c>
      <c r="C41" s="280">
        <f>ROUNDDOWN(B41/Parametros!$B$37,0)</f>
        <v>1024</v>
      </c>
      <c r="D41" s="280">
        <f>ROUNDDOWN(C41/Parametros!$J$37,0)</f>
        <v>136</v>
      </c>
      <c r="E41" s="280">
        <f t="shared" si="7"/>
        <v>136</v>
      </c>
      <c r="F41" s="282">
        <f>Parametros!$M$52</f>
        <v>60.34285714</v>
      </c>
      <c r="G41" s="280">
        <v>1.0</v>
      </c>
      <c r="H41" s="280">
        <f t="shared" si="8"/>
        <v>60.34285714</v>
      </c>
      <c r="I41" s="283">
        <f t="shared" si="9"/>
        <v>2.253787879</v>
      </c>
      <c r="J41" s="280" t="s">
        <v>158</v>
      </c>
    </row>
    <row r="42" ht="12.0" customHeight="1">
      <c r="A42" s="152" t="s">
        <v>81</v>
      </c>
      <c r="B42" s="159">
        <f>O6+O7+O8+O9+O17+O18+O19+O20</f>
        <v>20498</v>
      </c>
      <c r="C42" s="152">
        <f>ROUNDDOWN(B42/Parametros!$B$37,0)</f>
        <v>1024</v>
      </c>
      <c r="D42" s="152">
        <f>ROUNDDOWN(C42/Parametros!$J$37,0)</f>
        <v>136</v>
      </c>
      <c r="E42" s="152">
        <f t="shared" si="7"/>
        <v>136</v>
      </c>
      <c r="F42" s="279">
        <f>Parametros!$M$53</f>
        <v>25.2</v>
      </c>
      <c r="G42" s="152">
        <v>1.0</v>
      </c>
      <c r="H42" s="152">
        <f t="shared" si="8"/>
        <v>25.2</v>
      </c>
      <c r="I42" s="275">
        <f t="shared" si="9"/>
        <v>5.396825397</v>
      </c>
      <c r="J42" s="152" t="s">
        <v>158</v>
      </c>
    </row>
    <row r="43" ht="12.0" customHeight="1">
      <c r="A43" s="152" t="s">
        <v>82</v>
      </c>
      <c r="B43" s="159">
        <f>O6+O7+O8+O9+O17+O18+O19+O20</f>
        <v>20498</v>
      </c>
      <c r="C43" s="152">
        <f>ROUNDDOWN(B43/Parametros!$B$37,0)</f>
        <v>1024</v>
      </c>
      <c r="D43" s="152">
        <f>ROUNDDOWN(C43/Parametros!$J$37,0)</f>
        <v>136</v>
      </c>
      <c r="E43" s="152">
        <f t="shared" si="7"/>
        <v>136</v>
      </c>
      <c r="F43" s="279">
        <f>Parametros!$M$54</f>
        <v>41.53846154</v>
      </c>
      <c r="G43" s="152">
        <v>1.0</v>
      </c>
      <c r="H43" s="152">
        <f t="shared" si="8"/>
        <v>41.53846154</v>
      </c>
      <c r="I43" s="275">
        <f t="shared" si="9"/>
        <v>3.274074074</v>
      </c>
      <c r="J43" s="152" t="s">
        <v>158</v>
      </c>
    </row>
    <row r="44" ht="12.0" customHeight="1">
      <c r="A44" s="152" t="s">
        <v>83</v>
      </c>
      <c r="B44" s="159">
        <f>O6+O7+O8+O9+O17+O18+O19+O20</f>
        <v>20498</v>
      </c>
      <c r="C44" s="152">
        <f>ROUNDDOWN(B44/Parametros!$B$37,0)</f>
        <v>1024</v>
      </c>
      <c r="D44" s="152">
        <f>ROUNDDOWN(C44/Parametros!$J$37,0)</f>
        <v>136</v>
      </c>
      <c r="E44" s="152">
        <f t="shared" si="7"/>
        <v>136</v>
      </c>
      <c r="F44" s="279">
        <f>Parametros!$M$55</f>
        <v>45.81818182</v>
      </c>
      <c r="G44" s="152">
        <v>1.0</v>
      </c>
      <c r="H44" s="152">
        <f t="shared" si="8"/>
        <v>45.81818182</v>
      </c>
      <c r="I44" s="275">
        <f t="shared" si="9"/>
        <v>2.968253968</v>
      </c>
      <c r="J44" s="152" t="s">
        <v>158</v>
      </c>
    </row>
    <row r="45" ht="12.0" customHeight="1">
      <c r="A45" s="152" t="s">
        <v>84</v>
      </c>
      <c r="B45" s="159">
        <f>O6+O7+O8+O9+O17+O18+O19+O20</f>
        <v>20498</v>
      </c>
      <c r="C45" s="152">
        <f>ROUNDDOWN(B45/Parametros!$B$37,0)</f>
        <v>1024</v>
      </c>
      <c r="D45" s="152">
        <f>ROUNDDOWN(C45/Parametros!$J$37,0)</f>
        <v>136</v>
      </c>
      <c r="E45" s="152">
        <f t="shared" si="7"/>
        <v>136</v>
      </c>
      <c r="F45" s="279">
        <f>Parametros!$M$56</f>
        <v>48.81355932</v>
      </c>
      <c r="G45" s="152">
        <v>1.0</v>
      </c>
      <c r="H45" s="152">
        <f t="shared" si="8"/>
        <v>48.81355932</v>
      </c>
      <c r="I45" s="275">
        <f t="shared" si="9"/>
        <v>2.786111111</v>
      </c>
      <c r="J45" s="152" t="s">
        <v>158</v>
      </c>
    </row>
    <row r="46" ht="12.0" customHeight="1"/>
    <row r="47" ht="12.0" customHeight="1">
      <c r="A47" s="276" t="s">
        <v>1611</v>
      </c>
      <c r="B47" s="277">
        <f t="shared" ref="B47:M47" si="10">SUM(B10:B13)+SUM(B21:B24)</f>
        <v>227.97</v>
      </c>
      <c r="C47" s="277">
        <f t="shared" si="10"/>
        <v>201.15</v>
      </c>
      <c r="D47" s="277">
        <f t="shared" si="10"/>
        <v>241.38</v>
      </c>
      <c r="E47" s="277">
        <f t="shared" si="10"/>
        <v>241.38</v>
      </c>
      <c r="F47" s="277">
        <f t="shared" si="10"/>
        <v>241.38</v>
      </c>
      <c r="G47" s="278">
        <f t="shared" si="10"/>
        <v>214.56</v>
      </c>
      <c r="H47" s="278">
        <f t="shared" si="10"/>
        <v>241.38</v>
      </c>
      <c r="I47" s="278">
        <f t="shared" si="10"/>
        <v>241.38</v>
      </c>
      <c r="J47" s="278">
        <f t="shared" si="10"/>
        <v>227.97</v>
      </c>
      <c r="K47" s="278">
        <f t="shared" si="10"/>
        <v>201.15</v>
      </c>
      <c r="L47" s="278">
        <f t="shared" si="10"/>
        <v>187.74</v>
      </c>
      <c r="M47" s="278">
        <f t="shared" si="10"/>
        <v>214.56</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3.0"/>
    <col customWidth="1" min="2" max="6" width="12.63"/>
  </cols>
  <sheetData>
    <row r="1" ht="12.0" customHeight="1">
      <c r="A1" s="262" t="s">
        <v>1618</v>
      </c>
      <c r="B1" s="263"/>
      <c r="C1" s="263"/>
      <c r="D1" s="263"/>
      <c r="E1" s="263"/>
      <c r="F1" s="263"/>
      <c r="G1" s="263"/>
      <c r="H1" s="263"/>
      <c r="I1" s="263"/>
      <c r="J1" s="263"/>
      <c r="K1" s="263"/>
      <c r="L1" s="263"/>
      <c r="M1" s="263"/>
      <c r="N1" s="264"/>
    </row>
    <row r="2" ht="12.0" customHeight="1">
      <c r="A2" s="265" t="s">
        <v>1591</v>
      </c>
      <c r="B2" s="263"/>
      <c r="C2" s="263"/>
      <c r="D2" s="263"/>
      <c r="E2" s="263"/>
      <c r="F2" s="263"/>
      <c r="G2" s="263"/>
      <c r="H2" s="263"/>
      <c r="I2" s="263"/>
      <c r="J2" s="263"/>
      <c r="K2" s="263"/>
      <c r="L2" s="263"/>
      <c r="M2" s="263"/>
      <c r="N2" s="264"/>
    </row>
    <row r="3" ht="12.0" customHeight="1">
      <c r="A3" s="266" t="s">
        <v>1592</v>
      </c>
      <c r="B3" s="267">
        <v>2035.0</v>
      </c>
      <c r="C3" s="11"/>
      <c r="D3" s="11"/>
      <c r="E3" s="11"/>
      <c r="F3" s="11"/>
      <c r="G3" s="11"/>
      <c r="H3" s="11"/>
      <c r="I3" s="11"/>
      <c r="J3" s="11"/>
      <c r="K3" s="11"/>
      <c r="L3" s="11"/>
      <c r="M3" s="11"/>
      <c r="N3" s="11"/>
      <c r="O3" s="11"/>
    </row>
    <row r="4" ht="12.0" customHeight="1">
      <c r="A4" s="11"/>
      <c r="B4" s="11"/>
      <c r="C4" s="11"/>
      <c r="D4" s="11"/>
      <c r="E4" s="11"/>
      <c r="F4" s="11"/>
      <c r="G4" s="11"/>
      <c r="H4" s="11"/>
      <c r="I4" s="11"/>
      <c r="J4" s="11"/>
      <c r="K4" s="11"/>
      <c r="L4" s="11"/>
      <c r="M4" s="11"/>
      <c r="N4" s="11"/>
      <c r="O4" s="11"/>
    </row>
    <row r="5" ht="12.0" customHeight="1">
      <c r="A5" s="270" t="s">
        <v>1595</v>
      </c>
      <c r="B5" s="145" t="s">
        <v>3</v>
      </c>
      <c r="C5" s="145" t="s">
        <v>4</v>
      </c>
      <c r="D5" s="145" t="s">
        <v>5</v>
      </c>
      <c r="E5" s="145" t="s">
        <v>6</v>
      </c>
      <c r="F5" s="145" t="s">
        <v>7</v>
      </c>
      <c r="G5" s="145" t="s">
        <v>8</v>
      </c>
      <c r="H5" s="145" t="s">
        <v>9</v>
      </c>
      <c r="I5" s="145" t="s">
        <v>10</v>
      </c>
      <c r="J5" s="145" t="s">
        <v>11</v>
      </c>
      <c r="K5" s="145" t="s">
        <v>12</v>
      </c>
      <c r="L5" s="145" t="s">
        <v>13</v>
      </c>
      <c r="M5" s="145" t="s">
        <v>14</v>
      </c>
      <c r="N5" s="145" t="s">
        <v>1597</v>
      </c>
      <c r="O5" s="145" t="s">
        <v>1598</v>
      </c>
    </row>
    <row r="6" ht="12.0" customHeight="1">
      <c r="A6" s="152" t="s">
        <v>34</v>
      </c>
      <c r="B6" s="182">
        <f t="array" ref="B6">INDEX(datos_base!$B$3:$K$10,MATCH($A6,datos_base!$A$3:$A$10,0),MATCH($B$3,datos_base!$B$2:$K$2,0))*INDEX(Parametros!$B$11:$M$26,MATCH($A6,Parametros!$A$11:$A$26,0),MATCH(B$5,Parametros!$B$10:$M$10,0))</f>
        <v>3848.76</v>
      </c>
      <c r="C6" s="182">
        <f t="array" ref="C6">INDEX(datos_base!$B$3:$K$10,MATCH($A6,datos_base!$A$3:$A$10,0),MATCH($B$3,datos_base!$B$2:$K$2,0))*INDEX(Parametros!$B$11:$M$26,MATCH($A6,Parametros!$A$11:$A$26,0),MATCH(C$5,Parametros!$B$10:$M$10,0))</f>
        <v>2886.57</v>
      </c>
      <c r="D6" s="182">
        <f t="array" ref="D6">INDEX(datos_base!$B$3:$K$10,MATCH($A6,datos_base!$A$3:$A$10,0),MATCH($B$3,datos_base!$B$2:$K$2,0))*INDEX(Parametros!$B$11:$M$26,MATCH($A6,Parametros!$A$11:$A$26,0),MATCH(D$5,Parametros!$B$10:$M$10,0))</f>
        <v>2565.84</v>
      </c>
      <c r="E6" s="182">
        <f t="array" ref="E6">INDEX(datos_base!$B$3:$K$10,MATCH($A6,datos_base!$A$3:$A$10,0),MATCH($B$3,datos_base!$B$2:$K$2,0))*INDEX(Parametros!$B$11:$M$26,MATCH($A6,Parametros!$A$11:$A$26,0),MATCH(E$5,Parametros!$B$10:$M$10,0))</f>
        <v>2405.475</v>
      </c>
      <c r="F6" s="182">
        <f t="array" ref="F6">INDEX(datos_base!$B$3:$K$10,MATCH($A6,datos_base!$A$3:$A$10,0),MATCH($B$3,datos_base!$B$2:$K$2,0))*INDEX(Parametros!$B$11:$M$26,MATCH($A6,Parametros!$A$11:$A$26,0),MATCH(F$5,Parametros!$B$10:$M$10,0))</f>
        <v>2245.11</v>
      </c>
      <c r="G6" s="182">
        <f t="array" ref="G6">INDEX(datos_base!$B$3:$K$10,MATCH($A6,datos_base!$A$3:$A$10,0),MATCH($B$3,datos_base!$B$2:$K$2,0))*INDEX(Parametros!$B$11:$M$26,MATCH($A6,Parametros!$A$11:$A$26,0),MATCH(G$5,Parametros!$B$10:$M$10,0))</f>
        <v>2245.11</v>
      </c>
      <c r="H6" s="182">
        <f t="array" ref="H6">INDEX(datos_base!$B$3:$K$10,MATCH($A6,datos_base!$A$3:$A$10,0),MATCH($B$3,datos_base!$B$2:$K$2,0))*INDEX(Parametros!$B$11:$M$26,MATCH($A6,Parametros!$A$11:$A$26,0),MATCH(H$5,Parametros!$B$10:$M$10,0))</f>
        <v>2405.475</v>
      </c>
      <c r="I6" s="182">
        <f t="array" ref="I6">INDEX(datos_base!$B$3:$K$10,MATCH($A6,datos_base!$A$3:$A$10,0),MATCH($B$3,datos_base!$B$2:$K$2,0))*INDEX(Parametros!$B$11:$M$26,MATCH($A6,Parametros!$A$11:$A$26,0),MATCH(I$5,Parametros!$B$10:$M$10,0))</f>
        <v>2405.475</v>
      </c>
      <c r="J6" s="182">
        <f t="array" ref="J6">INDEX(datos_base!$B$3:$K$10,MATCH($A6,datos_base!$A$3:$A$10,0),MATCH($B$3,datos_base!$B$2:$K$2,0))*INDEX(Parametros!$B$11:$M$26,MATCH($A6,Parametros!$A$11:$A$26,0),MATCH(J$5,Parametros!$B$10:$M$10,0))</f>
        <v>2405.475</v>
      </c>
      <c r="K6" s="182">
        <f t="array" ref="K6">INDEX(datos_base!$B$3:$K$10,MATCH($A6,datos_base!$A$3:$A$10,0),MATCH($B$3,datos_base!$B$2:$K$2,0))*INDEX(Parametros!$B$11:$M$26,MATCH($A6,Parametros!$A$11:$A$26,0),MATCH(K$5,Parametros!$B$10:$M$10,0))</f>
        <v>2405.475</v>
      </c>
      <c r="L6" s="182">
        <f t="array" ref="L6">INDEX(datos_base!$B$3:$K$10,MATCH($A6,datos_base!$A$3:$A$10,0),MATCH($B$3,datos_base!$B$2:$K$2,0))*INDEX(Parametros!$B$11:$M$26,MATCH($A6,Parametros!$A$11:$A$26,0),MATCH(L$5,Parametros!$B$10:$M$10,0))</f>
        <v>2405.475</v>
      </c>
      <c r="M6" s="182">
        <f t="array" ref="M6">INDEX(datos_base!$B$3:$K$10,MATCH($A6,datos_base!$A$3:$A$10,0),MATCH($B$3,datos_base!$B$2:$K$2,0))*INDEX(Parametros!$B$11:$M$26,MATCH($A6,Parametros!$A$11:$A$26,0),MATCH(M$5,Parametros!$B$10:$M$10,0))</f>
        <v>3848.76</v>
      </c>
      <c r="N6" s="271">
        <f t="shared" ref="N6:N13" si="1">SUM(B6:M6)</f>
        <v>32073</v>
      </c>
      <c r="O6" s="271">
        <f t="shared" ref="O6:O14" si="2">AVERAGE(B6:M6)</f>
        <v>2672.75</v>
      </c>
    </row>
    <row r="7" ht="12.0" customHeight="1">
      <c r="A7" s="152" t="s">
        <v>43</v>
      </c>
      <c r="B7" s="182">
        <f t="array" ref="B7">INDEX(datos_base!$B$3:$K$10,MATCH($A7,datos_base!$A$3:$A$10,0),MATCH($B$3,datos_base!$B$2:$K$2,0))*INDEX(Parametros!$B$11:$M$26,MATCH($A7,Parametros!$A$11:$A$26,0),MATCH(B$5,Parametros!$B$10:$M$10,0))</f>
        <v>742.5</v>
      </c>
      <c r="C7" s="182">
        <f t="array" ref="C7">INDEX(datos_base!$B$3:$K$10,MATCH($A7,datos_base!$A$3:$A$10,0),MATCH($B$3,datos_base!$B$2:$K$2,0))*INDEX(Parametros!$B$11:$M$26,MATCH($A7,Parametros!$A$11:$A$26,0),MATCH(C$5,Parametros!$B$10:$M$10,0))</f>
        <v>594</v>
      </c>
      <c r="D7" s="182">
        <f t="array" ref="D7">INDEX(datos_base!$B$3:$K$10,MATCH($A7,datos_base!$A$3:$A$10,0),MATCH($B$3,datos_base!$B$2:$K$2,0))*INDEX(Parametros!$B$11:$M$26,MATCH($A7,Parametros!$A$11:$A$26,0),MATCH(D$5,Parametros!$B$10:$M$10,0))</f>
        <v>631.125</v>
      </c>
      <c r="E7" s="182">
        <f t="array" ref="E7">INDEX(datos_base!$B$3:$K$10,MATCH($A7,datos_base!$A$3:$A$10,0),MATCH($B$3,datos_base!$B$2:$K$2,0))*INDEX(Parametros!$B$11:$M$26,MATCH($A7,Parametros!$A$11:$A$26,0),MATCH(E$5,Parametros!$B$10:$M$10,0))</f>
        <v>631.125</v>
      </c>
      <c r="F7" s="182">
        <f t="array" ref="F7">INDEX(datos_base!$B$3:$K$10,MATCH($A7,datos_base!$A$3:$A$10,0),MATCH($B$3,datos_base!$B$2:$K$2,0))*INDEX(Parametros!$B$11:$M$26,MATCH($A7,Parametros!$A$11:$A$26,0),MATCH(F$5,Parametros!$B$10:$M$10,0))</f>
        <v>594</v>
      </c>
      <c r="G7" s="182">
        <f t="array" ref="G7">INDEX(datos_base!$B$3:$K$10,MATCH($A7,datos_base!$A$3:$A$10,0),MATCH($B$3,datos_base!$B$2:$K$2,0))*INDEX(Parametros!$B$11:$M$26,MATCH($A7,Parametros!$A$11:$A$26,0),MATCH(G$5,Parametros!$B$10:$M$10,0))</f>
        <v>556.875</v>
      </c>
      <c r="H7" s="182">
        <f t="array" ref="H7">INDEX(datos_base!$B$3:$K$10,MATCH($A7,datos_base!$A$3:$A$10,0),MATCH($B$3,datos_base!$B$2:$K$2,0))*INDEX(Parametros!$B$11:$M$26,MATCH($A7,Parametros!$A$11:$A$26,0),MATCH(H$5,Parametros!$B$10:$M$10,0))</f>
        <v>594</v>
      </c>
      <c r="I7" s="182">
        <f t="array" ref="I7">INDEX(datos_base!$B$3:$K$10,MATCH($A7,datos_base!$A$3:$A$10,0),MATCH($B$3,datos_base!$B$2:$K$2,0))*INDEX(Parametros!$B$11:$M$26,MATCH($A7,Parametros!$A$11:$A$26,0),MATCH(I$5,Parametros!$B$10:$M$10,0))</f>
        <v>594</v>
      </c>
      <c r="J7" s="182">
        <f t="array" ref="J7">INDEX(datos_base!$B$3:$K$10,MATCH($A7,datos_base!$A$3:$A$10,0),MATCH($B$3,datos_base!$B$2:$K$2,0))*INDEX(Parametros!$B$11:$M$26,MATCH($A7,Parametros!$A$11:$A$26,0),MATCH(J$5,Parametros!$B$10:$M$10,0))</f>
        <v>594</v>
      </c>
      <c r="K7" s="182">
        <f t="array" ref="K7">INDEX(datos_base!$B$3:$K$10,MATCH($A7,datos_base!$A$3:$A$10,0),MATCH($B$3,datos_base!$B$2:$K$2,0))*INDEX(Parametros!$B$11:$M$26,MATCH($A7,Parametros!$A$11:$A$26,0),MATCH(K$5,Parametros!$B$10:$M$10,0))</f>
        <v>556.875</v>
      </c>
      <c r="L7" s="182">
        <f t="array" ref="L7">INDEX(datos_base!$B$3:$K$10,MATCH($A7,datos_base!$A$3:$A$10,0),MATCH($B$3,datos_base!$B$2:$K$2,0))*INDEX(Parametros!$B$11:$M$26,MATCH($A7,Parametros!$A$11:$A$26,0),MATCH(L$5,Parametros!$B$10:$M$10,0))</f>
        <v>519.75</v>
      </c>
      <c r="M7" s="182">
        <f t="array" ref="M7">INDEX(datos_base!$B$3:$K$10,MATCH($A7,datos_base!$A$3:$A$10,0),MATCH($B$3,datos_base!$B$2:$K$2,0))*INDEX(Parametros!$B$11:$M$26,MATCH($A7,Parametros!$A$11:$A$26,0),MATCH(M$5,Parametros!$B$10:$M$10,0))</f>
        <v>816.75</v>
      </c>
      <c r="N7" s="271">
        <f t="shared" si="1"/>
        <v>7425</v>
      </c>
      <c r="O7" s="271">
        <f t="shared" si="2"/>
        <v>618.75</v>
      </c>
    </row>
    <row r="8" ht="12.0" customHeight="1">
      <c r="A8" s="152" t="s">
        <v>53</v>
      </c>
      <c r="B8" s="182">
        <f t="array" ref="B8">INDEX(datos_base!$B$3:$K$10,MATCH($A8,datos_base!$A$3:$A$10,0),MATCH($B$3,datos_base!$B$2:$K$2,0))*INDEX(Parametros!$B$11:$M$26,MATCH($A8,Parametros!$A$11:$A$26,0),MATCH(B$5,Parametros!$B$10:$M$10,0))</f>
        <v>3075.1</v>
      </c>
      <c r="C8" s="182">
        <f t="array" ref="C8">INDEX(datos_base!$B$3:$K$10,MATCH($A8,datos_base!$A$3:$A$10,0),MATCH($B$3,datos_base!$B$2:$K$2,0))*INDEX(Parametros!$B$11:$M$26,MATCH($A8,Parametros!$A$11:$A$26,0),MATCH(C$5,Parametros!$B$10:$M$10,0))</f>
        <v>2460.08</v>
      </c>
      <c r="D8" s="182">
        <f t="array" ref="D8">INDEX(datos_base!$B$3:$K$10,MATCH($A8,datos_base!$A$3:$A$10,0),MATCH($B$3,datos_base!$B$2:$K$2,0))*INDEX(Parametros!$B$11:$M$26,MATCH($A8,Parametros!$A$11:$A$26,0),MATCH(D$5,Parametros!$B$10:$M$10,0))</f>
        <v>2613.835</v>
      </c>
      <c r="E8" s="182">
        <f t="array" ref="E8">INDEX(datos_base!$B$3:$K$10,MATCH($A8,datos_base!$A$3:$A$10,0),MATCH($B$3,datos_base!$B$2:$K$2,0))*INDEX(Parametros!$B$11:$M$26,MATCH($A8,Parametros!$A$11:$A$26,0),MATCH(E$5,Parametros!$B$10:$M$10,0))</f>
        <v>2613.835</v>
      </c>
      <c r="F8" s="182">
        <f t="array" ref="F8">INDEX(datos_base!$B$3:$K$10,MATCH($A8,datos_base!$A$3:$A$10,0),MATCH($B$3,datos_base!$B$2:$K$2,0))*INDEX(Parametros!$B$11:$M$26,MATCH($A8,Parametros!$A$11:$A$26,0),MATCH(F$5,Parametros!$B$10:$M$10,0))</f>
        <v>2460.08</v>
      </c>
      <c r="G8" s="182">
        <f t="array" ref="G8">INDEX(datos_base!$B$3:$K$10,MATCH($A8,datos_base!$A$3:$A$10,0),MATCH($B$3,datos_base!$B$2:$K$2,0))*INDEX(Parametros!$B$11:$M$26,MATCH($A8,Parametros!$A$11:$A$26,0),MATCH(G$5,Parametros!$B$10:$M$10,0))</f>
        <v>2306.325</v>
      </c>
      <c r="H8" s="182">
        <f t="array" ref="H8">INDEX(datos_base!$B$3:$K$10,MATCH($A8,datos_base!$A$3:$A$10,0),MATCH($B$3,datos_base!$B$2:$K$2,0))*INDEX(Parametros!$B$11:$M$26,MATCH($A8,Parametros!$A$11:$A$26,0),MATCH(H$5,Parametros!$B$10:$M$10,0))</f>
        <v>2460.08</v>
      </c>
      <c r="I8" s="182">
        <f t="array" ref="I8">INDEX(datos_base!$B$3:$K$10,MATCH($A8,datos_base!$A$3:$A$10,0),MATCH($B$3,datos_base!$B$2:$K$2,0))*INDEX(Parametros!$B$11:$M$26,MATCH($A8,Parametros!$A$11:$A$26,0),MATCH(I$5,Parametros!$B$10:$M$10,0))</f>
        <v>2460.08</v>
      </c>
      <c r="J8" s="182">
        <f t="array" ref="J8">INDEX(datos_base!$B$3:$K$10,MATCH($A8,datos_base!$A$3:$A$10,0),MATCH($B$3,datos_base!$B$2:$K$2,0))*INDEX(Parametros!$B$11:$M$26,MATCH($A8,Parametros!$A$11:$A$26,0),MATCH(J$5,Parametros!$B$10:$M$10,0))</f>
        <v>2460.08</v>
      </c>
      <c r="K8" s="182">
        <f t="array" ref="K8">INDEX(datos_base!$B$3:$K$10,MATCH($A8,datos_base!$A$3:$A$10,0),MATCH($B$3,datos_base!$B$2:$K$2,0))*INDEX(Parametros!$B$11:$M$26,MATCH($A8,Parametros!$A$11:$A$26,0),MATCH(K$5,Parametros!$B$10:$M$10,0))</f>
        <v>2306.325</v>
      </c>
      <c r="L8" s="182">
        <f t="array" ref="L8">INDEX(datos_base!$B$3:$K$10,MATCH($A8,datos_base!$A$3:$A$10,0),MATCH($B$3,datos_base!$B$2:$K$2,0))*INDEX(Parametros!$B$11:$M$26,MATCH($A8,Parametros!$A$11:$A$26,0),MATCH(L$5,Parametros!$B$10:$M$10,0))</f>
        <v>2152.57</v>
      </c>
      <c r="M8" s="182">
        <f t="array" ref="M8">INDEX(datos_base!$B$3:$K$10,MATCH($A8,datos_base!$A$3:$A$10,0),MATCH($B$3,datos_base!$B$2:$K$2,0))*INDEX(Parametros!$B$11:$M$26,MATCH($A8,Parametros!$A$11:$A$26,0),MATCH(M$5,Parametros!$B$10:$M$10,0))</f>
        <v>3382.61</v>
      </c>
      <c r="N8" s="271">
        <f t="shared" si="1"/>
        <v>30751</v>
      </c>
      <c r="O8" s="271">
        <f t="shared" si="2"/>
        <v>2562.583333</v>
      </c>
    </row>
    <row r="9" ht="12.0" customHeight="1">
      <c r="A9" s="152" t="s">
        <v>59</v>
      </c>
      <c r="B9" s="182">
        <f t="array" ref="B9">INDEX(datos_base!$B$3:$K$10,MATCH($A9,datos_base!$A$3:$A$10,0),MATCH($B$3,datos_base!$B$2:$K$2,0))*INDEX(Parametros!$B$11:$M$26,MATCH($A9,Parametros!$A$11:$A$26,0),MATCH(B$5,Parametros!$B$10:$M$10,0))</f>
        <v>184.1</v>
      </c>
      <c r="C9" s="182">
        <f t="array" ref="C9">INDEX(datos_base!$B$3:$K$10,MATCH($A9,datos_base!$A$3:$A$10,0),MATCH($B$3,datos_base!$B$2:$K$2,0))*INDEX(Parametros!$B$11:$M$26,MATCH($A9,Parametros!$A$11:$A$26,0),MATCH(C$5,Parametros!$B$10:$M$10,0))</f>
        <v>147.28</v>
      </c>
      <c r="D9" s="182">
        <f t="array" ref="D9">INDEX(datos_base!$B$3:$K$10,MATCH($A9,datos_base!$A$3:$A$10,0),MATCH($B$3,datos_base!$B$2:$K$2,0))*INDEX(Parametros!$B$11:$M$26,MATCH($A9,Parametros!$A$11:$A$26,0),MATCH(D$5,Parametros!$B$10:$M$10,0))</f>
        <v>156.485</v>
      </c>
      <c r="E9" s="182">
        <f t="array" ref="E9">INDEX(datos_base!$B$3:$K$10,MATCH($A9,datos_base!$A$3:$A$10,0),MATCH($B$3,datos_base!$B$2:$K$2,0))*INDEX(Parametros!$B$11:$M$26,MATCH($A9,Parametros!$A$11:$A$26,0),MATCH(E$5,Parametros!$B$10:$M$10,0))</f>
        <v>156.485</v>
      </c>
      <c r="F9" s="182">
        <f t="array" ref="F9">INDEX(datos_base!$B$3:$K$10,MATCH($A9,datos_base!$A$3:$A$10,0),MATCH($B$3,datos_base!$B$2:$K$2,0))*INDEX(Parametros!$B$11:$M$26,MATCH($A9,Parametros!$A$11:$A$26,0),MATCH(F$5,Parametros!$B$10:$M$10,0))</f>
        <v>147.28</v>
      </c>
      <c r="G9" s="182">
        <f t="array" ref="G9">INDEX(datos_base!$B$3:$K$10,MATCH($A9,datos_base!$A$3:$A$10,0),MATCH($B$3,datos_base!$B$2:$K$2,0))*INDEX(Parametros!$B$11:$M$26,MATCH($A9,Parametros!$A$11:$A$26,0),MATCH(G$5,Parametros!$B$10:$M$10,0))</f>
        <v>138.075</v>
      </c>
      <c r="H9" s="182">
        <f t="array" ref="H9">INDEX(datos_base!$B$3:$K$10,MATCH($A9,datos_base!$A$3:$A$10,0),MATCH($B$3,datos_base!$B$2:$K$2,0))*INDEX(Parametros!$B$11:$M$26,MATCH($A9,Parametros!$A$11:$A$26,0),MATCH(H$5,Parametros!$B$10:$M$10,0))</f>
        <v>147.28</v>
      </c>
      <c r="I9" s="182">
        <f t="array" ref="I9">INDEX(datos_base!$B$3:$K$10,MATCH($A9,datos_base!$A$3:$A$10,0),MATCH($B$3,datos_base!$B$2:$K$2,0))*INDEX(Parametros!$B$11:$M$26,MATCH($A9,Parametros!$A$11:$A$26,0),MATCH(I$5,Parametros!$B$10:$M$10,0))</f>
        <v>147.28</v>
      </c>
      <c r="J9" s="182">
        <f t="array" ref="J9">INDEX(datos_base!$B$3:$K$10,MATCH($A9,datos_base!$A$3:$A$10,0),MATCH($B$3,datos_base!$B$2:$K$2,0))*INDEX(Parametros!$B$11:$M$26,MATCH($A9,Parametros!$A$11:$A$26,0),MATCH(J$5,Parametros!$B$10:$M$10,0))</f>
        <v>147.28</v>
      </c>
      <c r="K9" s="182">
        <f t="array" ref="K9">INDEX(datos_base!$B$3:$K$10,MATCH($A9,datos_base!$A$3:$A$10,0),MATCH($B$3,datos_base!$B$2:$K$2,0))*INDEX(Parametros!$B$11:$M$26,MATCH($A9,Parametros!$A$11:$A$26,0),MATCH(K$5,Parametros!$B$10:$M$10,0))</f>
        <v>138.075</v>
      </c>
      <c r="L9" s="182">
        <f t="array" ref="L9">INDEX(datos_base!$B$3:$K$10,MATCH($A9,datos_base!$A$3:$A$10,0),MATCH($B$3,datos_base!$B$2:$K$2,0))*INDEX(Parametros!$B$11:$M$26,MATCH($A9,Parametros!$A$11:$A$26,0),MATCH(L$5,Parametros!$B$10:$M$10,0))</f>
        <v>128.87</v>
      </c>
      <c r="M9" s="182">
        <f t="array" ref="M9">INDEX(datos_base!$B$3:$K$10,MATCH($A9,datos_base!$A$3:$A$10,0),MATCH($B$3,datos_base!$B$2:$K$2,0))*INDEX(Parametros!$B$11:$M$26,MATCH($A9,Parametros!$A$11:$A$26,0),MATCH(M$5,Parametros!$B$10:$M$10,0))</f>
        <v>202.51</v>
      </c>
      <c r="N9" s="271">
        <f t="shared" si="1"/>
        <v>1841</v>
      </c>
      <c r="O9" s="271">
        <f t="shared" si="2"/>
        <v>153.4166667</v>
      </c>
    </row>
    <row r="10" ht="12.0" customHeight="1">
      <c r="A10" s="152" t="s">
        <v>75</v>
      </c>
      <c r="B10" s="182">
        <f t="array" ref="B10">INDEX(datos_base!$B$3:$K$10,MATCH($A10,datos_base!$A$3:$A$10,0),MATCH($B$3,datos_base!$B$2:$K$2,0))*INDEX(Parametros!$B$11:$M$26,MATCH($A10,Parametros!$A$11:$A$26,0),MATCH(B$5,Parametros!$B$10:$M$10,0))</f>
        <v>38.505</v>
      </c>
      <c r="C10" s="182">
        <f t="array" ref="C10">INDEX(datos_base!$B$3:$K$10,MATCH($A10,datos_base!$A$3:$A$10,0),MATCH($B$3,datos_base!$B$2:$K$2,0))*INDEX(Parametros!$B$11:$M$26,MATCH($A10,Parametros!$A$11:$A$26,0),MATCH(C$5,Parametros!$B$10:$M$10,0))</f>
        <v>33.975</v>
      </c>
      <c r="D10" s="182">
        <f t="array" ref="D10">INDEX(datos_base!$B$3:$K$10,MATCH($A10,datos_base!$A$3:$A$10,0),MATCH($B$3,datos_base!$B$2:$K$2,0))*INDEX(Parametros!$B$11:$M$26,MATCH($A10,Parametros!$A$11:$A$26,0),MATCH(D$5,Parametros!$B$10:$M$10,0))</f>
        <v>40.77</v>
      </c>
      <c r="E10" s="182">
        <f t="array" ref="E10">INDEX(datos_base!$B$3:$K$10,MATCH($A10,datos_base!$A$3:$A$10,0),MATCH($B$3,datos_base!$B$2:$K$2,0))*INDEX(Parametros!$B$11:$M$26,MATCH($A10,Parametros!$A$11:$A$26,0),MATCH(E$5,Parametros!$B$10:$M$10,0))</f>
        <v>40.77</v>
      </c>
      <c r="F10" s="182">
        <f t="array" ref="F10">INDEX(datos_base!$B$3:$K$10,MATCH($A10,datos_base!$A$3:$A$10,0),MATCH($B$3,datos_base!$B$2:$K$2,0))*INDEX(Parametros!$B$11:$M$26,MATCH($A10,Parametros!$A$11:$A$26,0),MATCH(F$5,Parametros!$B$10:$M$10,0))</f>
        <v>40.77</v>
      </c>
      <c r="G10" s="182">
        <f t="array" ref="G10">INDEX(datos_base!$B$3:$K$10,MATCH($A10,datos_base!$A$3:$A$10,0),MATCH($B$3,datos_base!$B$2:$K$2,0))*INDEX(Parametros!$B$11:$M$26,MATCH($A10,Parametros!$A$11:$A$26,0),MATCH(G$5,Parametros!$B$10:$M$10,0))</f>
        <v>36.24</v>
      </c>
      <c r="H10" s="182">
        <f t="array" ref="H10">INDEX(datos_base!$B$3:$K$10,MATCH($A10,datos_base!$A$3:$A$10,0),MATCH($B$3,datos_base!$B$2:$K$2,0))*INDEX(Parametros!$B$11:$M$26,MATCH($A10,Parametros!$A$11:$A$26,0),MATCH(H$5,Parametros!$B$10:$M$10,0))</f>
        <v>40.77</v>
      </c>
      <c r="I10" s="182">
        <f t="array" ref="I10">INDEX(datos_base!$B$3:$K$10,MATCH($A10,datos_base!$A$3:$A$10,0),MATCH($B$3,datos_base!$B$2:$K$2,0))*INDEX(Parametros!$B$11:$M$26,MATCH($A10,Parametros!$A$11:$A$26,0),MATCH(I$5,Parametros!$B$10:$M$10,0))</f>
        <v>40.77</v>
      </c>
      <c r="J10" s="182">
        <f t="array" ref="J10">INDEX(datos_base!$B$3:$K$10,MATCH($A10,datos_base!$A$3:$A$10,0),MATCH($B$3,datos_base!$B$2:$K$2,0))*INDEX(Parametros!$B$11:$M$26,MATCH($A10,Parametros!$A$11:$A$26,0),MATCH(J$5,Parametros!$B$10:$M$10,0))</f>
        <v>38.505</v>
      </c>
      <c r="K10" s="182">
        <f t="array" ref="K10">INDEX(datos_base!$B$3:$K$10,MATCH($A10,datos_base!$A$3:$A$10,0),MATCH($B$3,datos_base!$B$2:$K$2,0))*INDEX(Parametros!$B$11:$M$26,MATCH($A10,Parametros!$A$11:$A$26,0),MATCH(K$5,Parametros!$B$10:$M$10,0))</f>
        <v>33.975</v>
      </c>
      <c r="L10" s="182">
        <f t="array" ref="L10">INDEX(datos_base!$B$3:$K$10,MATCH($A10,datos_base!$A$3:$A$10,0),MATCH($B$3,datos_base!$B$2:$K$2,0))*INDEX(Parametros!$B$11:$M$26,MATCH($A10,Parametros!$A$11:$A$26,0),MATCH(L$5,Parametros!$B$10:$M$10,0))</f>
        <v>31.71</v>
      </c>
      <c r="M10" s="182">
        <f t="array" ref="M10">INDEX(datos_base!$B$3:$K$10,MATCH($A10,datos_base!$A$3:$A$10,0),MATCH($B$3,datos_base!$B$2:$K$2,0))*INDEX(Parametros!$B$11:$M$26,MATCH($A10,Parametros!$A$11:$A$26,0),MATCH(M$5,Parametros!$B$10:$M$10,0))</f>
        <v>36.24</v>
      </c>
      <c r="N10" s="271">
        <f t="shared" si="1"/>
        <v>453</v>
      </c>
      <c r="O10" s="271">
        <f t="shared" si="2"/>
        <v>37.75</v>
      </c>
    </row>
    <row r="11" ht="12.0" customHeight="1">
      <c r="A11" s="152" t="s">
        <v>86</v>
      </c>
      <c r="B11" s="182">
        <f t="array" ref="B11">INDEX(datos_base!$B$3:$K$10,MATCH($A11,datos_base!$A$3:$A$10,0),MATCH($B$3,datos_base!$B$2:$K$2,0))*INDEX(Parametros!$B$11:$M$26,MATCH($A11,Parametros!$A$11:$A$26,0),MATCH(B$5,Parametros!$B$10:$M$10,0))</f>
        <v>84.745</v>
      </c>
      <c r="C11" s="182">
        <f t="array" ref="C11">INDEX(datos_base!$B$3:$K$10,MATCH($A11,datos_base!$A$3:$A$10,0),MATCH($B$3,datos_base!$B$2:$K$2,0))*INDEX(Parametros!$B$11:$M$26,MATCH($A11,Parametros!$A$11:$A$26,0),MATCH(C$5,Parametros!$B$10:$M$10,0))</f>
        <v>74.775</v>
      </c>
      <c r="D11" s="182">
        <f t="array" ref="D11">INDEX(datos_base!$B$3:$K$10,MATCH($A11,datos_base!$A$3:$A$10,0),MATCH($B$3,datos_base!$B$2:$K$2,0))*INDEX(Parametros!$B$11:$M$26,MATCH($A11,Parametros!$A$11:$A$26,0),MATCH(D$5,Parametros!$B$10:$M$10,0))</f>
        <v>89.73</v>
      </c>
      <c r="E11" s="182">
        <f t="array" ref="E11">INDEX(datos_base!$B$3:$K$10,MATCH($A11,datos_base!$A$3:$A$10,0),MATCH($B$3,datos_base!$B$2:$K$2,0))*INDEX(Parametros!$B$11:$M$26,MATCH($A11,Parametros!$A$11:$A$26,0),MATCH(E$5,Parametros!$B$10:$M$10,0))</f>
        <v>89.73</v>
      </c>
      <c r="F11" s="182">
        <f t="array" ref="F11">INDEX(datos_base!$B$3:$K$10,MATCH($A11,datos_base!$A$3:$A$10,0),MATCH($B$3,datos_base!$B$2:$K$2,0))*INDEX(Parametros!$B$11:$M$26,MATCH($A11,Parametros!$A$11:$A$26,0),MATCH(F$5,Parametros!$B$10:$M$10,0))</f>
        <v>89.73</v>
      </c>
      <c r="G11" s="182">
        <f t="array" ref="G11">INDEX(datos_base!$B$3:$K$10,MATCH($A11,datos_base!$A$3:$A$10,0),MATCH($B$3,datos_base!$B$2:$K$2,0))*INDEX(Parametros!$B$11:$M$26,MATCH($A11,Parametros!$A$11:$A$26,0),MATCH(G$5,Parametros!$B$10:$M$10,0))</f>
        <v>79.76</v>
      </c>
      <c r="H11" s="182">
        <f t="array" ref="H11">INDEX(datos_base!$B$3:$K$10,MATCH($A11,datos_base!$A$3:$A$10,0),MATCH($B$3,datos_base!$B$2:$K$2,0))*INDEX(Parametros!$B$11:$M$26,MATCH($A11,Parametros!$A$11:$A$26,0),MATCH(H$5,Parametros!$B$10:$M$10,0))</f>
        <v>89.73</v>
      </c>
      <c r="I11" s="182">
        <f t="array" ref="I11">INDEX(datos_base!$B$3:$K$10,MATCH($A11,datos_base!$A$3:$A$10,0),MATCH($B$3,datos_base!$B$2:$K$2,0))*INDEX(Parametros!$B$11:$M$26,MATCH($A11,Parametros!$A$11:$A$26,0),MATCH(I$5,Parametros!$B$10:$M$10,0))</f>
        <v>89.73</v>
      </c>
      <c r="J11" s="182">
        <f t="array" ref="J11">INDEX(datos_base!$B$3:$K$10,MATCH($A11,datos_base!$A$3:$A$10,0),MATCH($B$3,datos_base!$B$2:$K$2,0))*INDEX(Parametros!$B$11:$M$26,MATCH($A11,Parametros!$A$11:$A$26,0),MATCH(J$5,Parametros!$B$10:$M$10,0))</f>
        <v>84.745</v>
      </c>
      <c r="K11" s="182">
        <f t="array" ref="K11">INDEX(datos_base!$B$3:$K$10,MATCH($A11,datos_base!$A$3:$A$10,0),MATCH($B$3,datos_base!$B$2:$K$2,0))*INDEX(Parametros!$B$11:$M$26,MATCH($A11,Parametros!$A$11:$A$26,0),MATCH(K$5,Parametros!$B$10:$M$10,0))</f>
        <v>74.775</v>
      </c>
      <c r="L11" s="182">
        <f t="array" ref="L11">INDEX(datos_base!$B$3:$K$10,MATCH($A11,datos_base!$A$3:$A$10,0),MATCH($B$3,datos_base!$B$2:$K$2,0))*INDEX(Parametros!$B$11:$M$26,MATCH($A11,Parametros!$A$11:$A$26,0),MATCH(L$5,Parametros!$B$10:$M$10,0))</f>
        <v>69.79</v>
      </c>
      <c r="M11" s="182">
        <f t="array" ref="M11">INDEX(datos_base!$B$3:$K$10,MATCH($A11,datos_base!$A$3:$A$10,0),MATCH($B$3,datos_base!$B$2:$K$2,0))*INDEX(Parametros!$B$11:$M$26,MATCH($A11,Parametros!$A$11:$A$26,0),MATCH(M$5,Parametros!$B$10:$M$10,0))</f>
        <v>79.76</v>
      </c>
      <c r="N11" s="271">
        <f t="shared" si="1"/>
        <v>997</v>
      </c>
      <c r="O11" s="271">
        <f t="shared" si="2"/>
        <v>83.08333333</v>
      </c>
    </row>
    <row r="12" ht="12.0" customHeight="1">
      <c r="A12" s="152" t="s">
        <v>95</v>
      </c>
      <c r="B12" s="182">
        <f t="array" ref="B12">INDEX(datos_base!$B$3:$K$10,MATCH($A12,datos_base!$A$3:$A$10,0),MATCH($B$3,datos_base!$B$2:$K$2,0))*INDEX(Parametros!$B$11:$M$26,MATCH($A12,Parametros!$A$11:$A$26,0),MATCH(B$5,Parametros!$B$10:$M$10,0))</f>
        <v>18.53</v>
      </c>
      <c r="C12" s="182">
        <f t="array" ref="C12">INDEX(datos_base!$B$3:$K$10,MATCH($A12,datos_base!$A$3:$A$10,0),MATCH($B$3,datos_base!$B$2:$K$2,0))*INDEX(Parametros!$B$11:$M$26,MATCH($A12,Parametros!$A$11:$A$26,0),MATCH(C$5,Parametros!$B$10:$M$10,0))</f>
        <v>16.35</v>
      </c>
      <c r="D12" s="182">
        <f t="array" ref="D12">INDEX(datos_base!$B$3:$K$10,MATCH($A12,datos_base!$A$3:$A$10,0),MATCH($B$3,datos_base!$B$2:$K$2,0))*INDEX(Parametros!$B$11:$M$26,MATCH($A12,Parametros!$A$11:$A$26,0),MATCH(D$5,Parametros!$B$10:$M$10,0))</f>
        <v>19.62</v>
      </c>
      <c r="E12" s="182">
        <f t="array" ref="E12">INDEX(datos_base!$B$3:$K$10,MATCH($A12,datos_base!$A$3:$A$10,0),MATCH($B$3,datos_base!$B$2:$K$2,0))*INDEX(Parametros!$B$11:$M$26,MATCH($A12,Parametros!$A$11:$A$26,0),MATCH(E$5,Parametros!$B$10:$M$10,0))</f>
        <v>19.62</v>
      </c>
      <c r="F12" s="182">
        <f t="array" ref="F12">INDEX(datos_base!$B$3:$K$10,MATCH($A12,datos_base!$A$3:$A$10,0),MATCH($B$3,datos_base!$B$2:$K$2,0))*INDEX(Parametros!$B$11:$M$26,MATCH($A12,Parametros!$A$11:$A$26,0),MATCH(F$5,Parametros!$B$10:$M$10,0))</f>
        <v>19.62</v>
      </c>
      <c r="G12" s="182">
        <f t="array" ref="G12">INDEX(datos_base!$B$3:$K$10,MATCH($A12,datos_base!$A$3:$A$10,0),MATCH($B$3,datos_base!$B$2:$K$2,0))*INDEX(Parametros!$B$11:$M$26,MATCH($A12,Parametros!$A$11:$A$26,0),MATCH(G$5,Parametros!$B$10:$M$10,0))</f>
        <v>17.44</v>
      </c>
      <c r="H12" s="182">
        <f t="array" ref="H12">INDEX(datos_base!$B$3:$K$10,MATCH($A12,datos_base!$A$3:$A$10,0),MATCH($B$3,datos_base!$B$2:$K$2,0))*INDEX(Parametros!$B$11:$M$26,MATCH($A12,Parametros!$A$11:$A$26,0),MATCH(H$5,Parametros!$B$10:$M$10,0))</f>
        <v>19.62</v>
      </c>
      <c r="I12" s="182">
        <f t="array" ref="I12">INDEX(datos_base!$B$3:$K$10,MATCH($A12,datos_base!$A$3:$A$10,0),MATCH($B$3,datos_base!$B$2:$K$2,0))*INDEX(Parametros!$B$11:$M$26,MATCH($A12,Parametros!$A$11:$A$26,0),MATCH(I$5,Parametros!$B$10:$M$10,0))</f>
        <v>19.62</v>
      </c>
      <c r="J12" s="182">
        <f t="array" ref="J12">INDEX(datos_base!$B$3:$K$10,MATCH($A12,datos_base!$A$3:$A$10,0),MATCH($B$3,datos_base!$B$2:$K$2,0))*INDEX(Parametros!$B$11:$M$26,MATCH($A12,Parametros!$A$11:$A$26,0),MATCH(J$5,Parametros!$B$10:$M$10,0))</f>
        <v>18.53</v>
      </c>
      <c r="K12" s="182">
        <f t="array" ref="K12">INDEX(datos_base!$B$3:$K$10,MATCH($A12,datos_base!$A$3:$A$10,0),MATCH($B$3,datos_base!$B$2:$K$2,0))*INDEX(Parametros!$B$11:$M$26,MATCH($A12,Parametros!$A$11:$A$26,0),MATCH(K$5,Parametros!$B$10:$M$10,0))</f>
        <v>16.35</v>
      </c>
      <c r="L12" s="182">
        <f t="array" ref="L12">INDEX(datos_base!$B$3:$K$10,MATCH($A12,datos_base!$A$3:$A$10,0),MATCH($B$3,datos_base!$B$2:$K$2,0))*INDEX(Parametros!$B$11:$M$26,MATCH($A12,Parametros!$A$11:$A$26,0),MATCH(L$5,Parametros!$B$10:$M$10,0))</f>
        <v>15.26</v>
      </c>
      <c r="M12" s="182">
        <f t="array" ref="M12">INDEX(datos_base!$B$3:$K$10,MATCH($A12,datos_base!$A$3:$A$10,0),MATCH($B$3,datos_base!$B$2:$K$2,0))*INDEX(Parametros!$B$11:$M$26,MATCH($A12,Parametros!$A$11:$A$26,0),MATCH(M$5,Parametros!$B$10:$M$10,0))</f>
        <v>17.44</v>
      </c>
      <c r="N12" s="271">
        <f t="shared" si="1"/>
        <v>218</v>
      </c>
      <c r="O12" s="271">
        <f t="shared" si="2"/>
        <v>18.16666667</v>
      </c>
    </row>
    <row r="13" ht="12.0" customHeight="1">
      <c r="A13" s="152" t="s">
        <v>100</v>
      </c>
      <c r="B13" s="182">
        <f t="array" ref="B13">INDEX(datos_base!$B$3:$K$10,MATCH($A13,datos_base!$A$3:$A$10,0),MATCH($B$3,datos_base!$B$2:$K$2,0))*INDEX(Parametros!$B$11:$M$26,MATCH($A13,Parametros!$A$11:$A$26,0),MATCH(B$5,Parametros!$B$10:$M$10,0))</f>
        <v>12.325</v>
      </c>
      <c r="C13" s="182">
        <f t="array" ref="C13">INDEX(datos_base!$B$3:$K$10,MATCH($A13,datos_base!$A$3:$A$10,0),MATCH($B$3,datos_base!$B$2:$K$2,0))*INDEX(Parametros!$B$11:$M$26,MATCH($A13,Parametros!$A$11:$A$26,0),MATCH(C$5,Parametros!$B$10:$M$10,0))</f>
        <v>10.875</v>
      </c>
      <c r="D13" s="182">
        <f t="array" ref="D13">INDEX(datos_base!$B$3:$K$10,MATCH($A13,datos_base!$A$3:$A$10,0),MATCH($B$3,datos_base!$B$2:$K$2,0))*INDEX(Parametros!$B$11:$M$26,MATCH($A13,Parametros!$A$11:$A$26,0),MATCH(D$5,Parametros!$B$10:$M$10,0))</f>
        <v>13.05</v>
      </c>
      <c r="E13" s="182">
        <f t="array" ref="E13">INDEX(datos_base!$B$3:$K$10,MATCH($A13,datos_base!$A$3:$A$10,0),MATCH($B$3,datos_base!$B$2:$K$2,0))*INDEX(Parametros!$B$11:$M$26,MATCH($A13,Parametros!$A$11:$A$26,0),MATCH(E$5,Parametros!$B$10:$M$10,0))</f>
        <v>13.05</v>
      </c>
      <c r="F13" s="182">
        <f t="array" ref="F13">INDEX(datos_base!$B$3:$K$10,MATCH($A13,datos_base!$A$3:$A$10,0),MATCH($B$3,datos_base!$B$2:$K$2,0))*INDEX(Parametros!$B$11:$M$26,MATCH($A13,Parametros!$A$11:$A$26,0),MATCH(F$5,Parametros!$B$10:$M$10,0))</f>
        <v>13.05</v>
      </c>
      <c r="G13" s="182">
        <f t="array" ref="G13">INDEX(datos_base!$B$3:$K$10,MATCH($A13,datos_base!$A$3:$A$10,0),MATCH($B$3,datos_base!$B$2:$K$2,0))*INDEX(Parametros!$B$11:$M$26,MATCH($A13,Parametros!$A$11:$A$26,0),MATCH(G$5,Parametros!$B$10:$M$10,0))</f>
        <v>11.6</v>
      </c>
      <c r="H13" s="182">
        <f t="array" ref="H13">INDEX(datos_base!$B$3:$K$10,MATCH($A13,datos_base!$A$3:$A$10,0),MATCH($B$3,datos_base!$B$2:$K$2,0))*INDEX(Parametros!$B$11:$M$26,MATCH($A13,Parametros!$A$11:$A$26,0),MATCH(H$5,Parametros!$B$10:$M$10,0))</f>
        <v>13.05</v>
      </c>
      <c r="I13" s="182">
        <f t="array" ref="I13">INDEX(datos_base!$B$3:$K$10,MATCH($A13,datos_base!$A$3:$A$10,0),MATCH($B$3,datos_base!$B$2:$K$2,0))*INDEX(Parametros!$B$11:$M$26,MATCH($A13,Parametros!$A$11:$A$26,0),MATCH(I$5,Parametros!$B$10:$M$10,0))</f>
        <v>13.05</v>
      </c>
      <c r="J13" s="182">
        <f t="array" ref="J13">INDEX(datos_base!$B$3:$K$10,MATCH($A13,datos_base!$A$3:$A$10,0),MATCH($B$3,datos_base!$B$2:$K$2,0))*INDEX(Parametros!$B$11:$M$26,MATCH($A13,Parametros!$A$11:$A$26,0),MATCH(J$5,Parametros!$B$10:$M$10,0))</f>
        <v>12.325</v>
      </c>
      <c r="K13" s="182">
        <f t="array" ref="K13">INDEX(datos_base!$B$3:$K$10,MATCH($A13,datos_base!$A$3:$A$10,0),MATCH($B$3,datos_base!$B$2:$K$2,0))*INDEX(Parametros!$B$11:$M$26,MATCH($A13,Parametros!$A$11:$A$26,0),MATCH(K$5,Parametros!$B$10:$M$10,0))</f>
        <v>10.875</v>
      </c>
      <c r="L13" s="182">
        <f t="array" ref="L13">INDEX(datos_base!$B$3:$K$10,MATCH($A13,datos_base!$A$3:$A$10,0),MATCH($B$3,datos_base!$B$2:$K$2,0))*INDEX(Parametros!$B$11:$M$26,MATCH($A13,Parametros!$A$11:$A$26,0),MATCH(L$5,Parametros!$B$10:$M$10,0))</f>
        <v>10.15</v>
      </c>
      <c r="M13" s="182">
        <f t="array" ref="M13">INDEX(datos_base!$B$3:$K$10,MATCH($A13,datos_base!$A$3:$A$10,0),MATCH($B$3,datos_base!$B$2:$K$2,0))*INDEX(Parametros!$B$11:$M$26,MATCH($A13,Parametros!$A$11:$A$26,0),MATCH(M$5,Parametros!$B$10:$M$10,0))</f>
        <v>11.6</v>
      </c>
      <c r="N13" s="271">
        <f t="shared" si="1"/>
        <v>145</v>
      </c>
      <c r="O13" s="271">
        <f t="shared" si="2"/>
        <v>12.08333333</v>
      </c>
    </row>
    <row r="14" ht="12.0" customHeight="1">
      <c r="A14" s="272" t="s">
        <v>420</v>
      </c>
      <c r="B14" s="273">
        <f t="shared" ref="B14:N14" si="3">SUM(B6:B13)</f>
        <v>8004.565</v>
      </c>
      <c r="C14" s="273">
        <f t="shared" si="3"/>
        <v>6223.905</v>
      </c>
      <c r="D14" s="273">
        <f t="shared" si="3"/>
        <v>6130.455</v>
      </c>
      <c r="E14" s="273">
        <f t="shared" si="3"/>
        <v>5970.09</v>
      </c>
      <c r="F14" s="273">
        <f t="shared" si="3"/>
        <v>5609.64</v>
      </c>
      <c r="G14" s="273">
        <f t="shared" si="3"/>
        <v>5391.425</v>
      </c>
      <c r="H14" s="273">
        <f t="shared" si="3"/>
        <v>5770.005</v>
      </c>
      <c r="I14" s="273">
        <f t="shared" si="3"/>
        <v>5770.005</v>
      </c>
      <c r="J14" s="273">
        <f t="shared" si="3"/>
        <v>5760.94</v>
      </c>
      <c r="K14" s="273">
        <f t="shared" si="3"/>
        <v>5542.725</v>
      </c>
      <c r="L14" s="273">
        <f t="shared" si="3"/>
        <v>5333.575</v>
      </c>
      <c r="M14" s="273">
        <f t="shared" si="3"/>
        <v>8395.67</v>
      </c>
      <c r="N14" s="273">
        <f t="shared" si="3"/>
        <v>73903</v>
      </c>
      <c r="O14" s="273">
        <f t="shared" si="2"/>
        <v>6158.583333</v>
      </c>
    </row>
    <row r="15" ht="12.0" customHeight="1">
      <c r="A15" s="11"/>
      <c r="B15" s="11"/>
      <c r="C15" s="11"/>
      <c r="D15" s="11"/>
      <c r="E15" s="11"/>
      <c r="F15" s="11"/>
      <c r="G15" s="11"/>
      <c r="H15" s="11"/>
      <c r="I15" s="11"/>
      <c r="J15" s="11"/>
      <c r="K15" s="11"/>
      <c r="L15" s="11"/>
      <c r="M15" s="11"/>
      <c r="N15" s="11"/>
      <c r="O15" s="11"/>
    </row>
    <row r="16" ht="12.0" customHeight="1">
      <c r="A16" s="270" t="s">
        <v>1604</v>
      </c>
      <c r="B16" s="145" t="s">
        <v>3</v>
      </c>
      <c r="C16" s="145" t="s">
        <v>4</v>
      </c>
      <c r="D16" s="145" t="s">
        <v>5</v>
      </c>
      <c r="E16" s="145" t="s">
        <v>6</v>
      </c>
      <c r="F16" s="145" t="s">
        <v>7</v>
      </c>
      <c r="G16" s="145" t="s">
        <v>8</v>
      </c>
      <c r="H16" s="145" t="s">
        <v>9</v>
      </c>
      <c r="I16" s="145" t="s">
        <v>10</v>
      </c>
      <c r="J16" s="145" t="s">
        <v>11</v>
      </c>
      <c r="K16" s="145" t="s">
        <v>12</v>
      </c>
      <c r="L16" s="145" t="s">
        <v>13</v>
      </c>
      <c r="M16" s="145" t="s">
        <v>14</v>
      </c>
      <c r="N16" s="145" t="s">
        <v>1597</v>
      </c>
      <c r="O16" s="145" t="s">
        <v>1598</v>
      </c>
    </row>
    <row r="17" ht="12.0" customHeight="1">
      <c r="A17" s="152" t="s">
        <v>102</v>
      </c>
      <c r="B17" s="182">
        <f t="array" ref="B17">INDEX(datos_base!$B$15:$K$22,MATCH($A17,datos_base!$A$15:$A$22,0),MATCH($B$3,datos_base!$B$2:$K$2,0))*INDEX(Parametros!$B$11:$M$26,MATCH($A17,Parametros!$A$11:$A$26,0),MATCH(B$16,Parametros!$B$10:$M$10,0))</f>
        <v>20465.76</v>
      </c>
      <c r="C17" s="182">
        <f t="array" ref="C17">INDEX(datos_base!$B$15:$K$22,MATCH($A17,datos_base!$A$15:$A$22,0),MATCH($B$3,datos_base!$B$2:$K$2,0))*INDEX(Parametros!$B$11:$M$26,MATCH($A17,Parametros!$A$11:$A$26,0),MATCH(C$16,Parametros!$B$10:$M$10,0))</f>
        <v>15349.32</v>
      </c>
      <c r="D17" s="182">
        <f t="array" ref="D17">INDEX(datos_base!$B$15:$K$22,MATCH($A17,datos_base!$A$15:$A$22,0),MATCH($B$3,datos_base!$B$2:$K$2,0))*INDEX(Parametros!$B$11:$M$26,MATCH($A17,Parametros!$A$11:$A$26,0),MATCH(D$16,Parametros!$B$10:$M$10,0))</f>
        <v>13643.84</v>
      </c>
      <c r="E17" s="182">
        <f t="array" ref="E17">INDEX(datos_base!$B$15:$K$22,MATCH($A17,datos_base!$A$15:$A$22,0),MATCH($B$3,datos_base!$B$2:$K$2,0))*INDEX(Parametros!$B$11:$M$26,MATCH($A17,Parametros!$A$11:$A$26,0),MATCH(E$16,Parametros!$B$10:$M$10,0))</f>
        <v>12791.1</v>
      </c>
      <c r="F17" s="182">
        <f t="array" ref="F17">INDEX(datos_base!$B$15:$K$22,MATCH($A17,datos_base!$A$15:$A$22,0),MATCH($B$3,datos_base!$B$2:$K$2,0))*INDEX(Parametros!$B$11:$M$26,MATCH($A17,Parametros!$A$11:$A$26,0),MATCH(F$16,Parametros!$B$10:$M$10,0))</f>
        <v>11938.36</v>
      </c>
      <c r="G17" s="182">
        <f t="array" ref="G17">INDEX(datos_base!$B$15:$K$22,MATCH($A17,datos_base!$A$15:$A$22,0),MATCH($B$3,datos_base!$B$2:$K$2,0))*INDEX(Parametros!$B$11:$M$26,MATCH($A17,Parametros!$A$11:$A$26,0),MATCH(G$16,Parametros!$B$10:$M$10,0))</f>
        <v>11938.36</v>
      </c>
      <c r="H17" s="182">
        <f t="array" ref="H17">INDEX(datos_base!$B$15:$K$22,MATCH($A17,datos_base!$A$15:$A$22,0),MATCH($B$3,datos_base!$B$2:$K$2,0))*INDEX(Parametros!$B$11:$M$26,MATCH($A17,Parametros!$A$11:$A$26,0),MATCH(H$16,Parametros!$B$10:$M$10,0))</f>
        <v>12791.1</v>
      </c>
      <c r="I17" s="182">
        <f t="array" ref="I17">INDEX(datos_base!$B$15:$K$22,MATCH($A17,datos_base!$A$15:$A$22,0),MATCH($B$3,datos_base!$B$2:$K$2,0))*INDEX(Parametros!$B$11:$M$26,MATCH($A17,Parametros!$A$11:$A$26,0),MATCH(I$16,Parametros!$B$10:$M$10,0))</f>
        <v>12791.1</v>
      </c>
      <c r="J17" s="182">
        <f t="array" ref="J17">INDEX(datos_base!$B$15:$K$22,MATCH($A17,datos_base!$A$15:$A$22,0),MATCH($B$3,datos_base!$B$2:$K$2,0))*INDEX(Parametros!$B$11:$M$26,MATCH($A17,Parametros!$A$11:$A$26,0),MATCH(J$16,Parametros!$B$10:$M$10,0))</f>
        <v>12791.1</v>
      </c>
      <c r="K17" s="182">
        <f t="array" ref="K17">INDEX(datos_base!$B$15:$K$22,MATCH($A17,datos_base!$A$15:$A$22,0),MATCH($B$3,datos_base!$B$2:$K$2,0))*INDEX(Parametros!$B$11:$M$26,MATCH($A17,Parametros!$A$11:$A$26,0),MATCH(K$16,Parametros!$B$10:$M$10,0))</f>
        <v>12791.1</v>
      </c>
      <c r="L17" s="182">
        <f t="array" ref="L17">INDEX(datos_base!$B$15:$K$22,MATCH($A17,datos_base!$A$15:$A$22,0),MATCH($B$3,datos_base!$B$2:$K$2,0))*INDEX(Parametros!$B$11:$M$26,MATCH($A17,Parametros!$A$11:$A$26,0),MATCH(L$16,Parametros!$B$10:$M$10,0))</f>
        <v>12791.1</v>
      </c>
      <c r="M17" s="182">
        <f t="array" ref="M17">INDEX(datos_base!$B$15:$K$22,MATCH($A17,datos_base!$A$15:$A$22,0),MATCH($B$3,datos_base!$B$2:$K$2,0))*INDEX(Parametros!$B$11:$M$26,MATCH($A17,Parametros!$A$11:$A$26,0),MATCH(M$16,Parametros!$B$10:$M$10,0))</f>
        <v>20465.76</v>
      </c>
      <c r="N17" s="271">
        <f t="shared" ref="N17:N24" si="4">SUM(B17:M17)</f>
        <v>170548</v>
      </c>
      <c r="O17" s="271">
        <f t="shared" ref="O17:O25" si="5">AVERAGE(B17:M17)</f>
        <v>14212.33333</v>
      </c>
    </row>
    <row r="18" ht="12.0" customHeight="1">
      <c r="A18" s="152" t="s">
        <v>106</v>
      </c>
      <c r="B18" s="182">
        <f t="array" ref="B18">INDEX(datos_base!$B$15:$K$22,MATCH($A18,datos_base!$A$15:$A$22,0),MATCH($B$3,datos_base!$B$2:$K$2,0))*INDEX(Parametros!$B$11:$M$26,MATCH($A18,Parametros!$A$11:$A$26,0),MATCH(B$16,Parametros!$B$10:$M$10,0))</f>
        <v>666.9</v>
      </c>
      <c r="C18" s="182">
        <f t="array" ref="C18">INDEX(datos_base!$B$15:$K$22,MATCH($A18,datos_base!$A$15:$A$22,0),MATCH($B$3,datos_base!$B$2:$K$2,0))*INDEX(Parametros!$B$11:$M$26,MATCH($A18,Parametros!$A$11:$A$26,0),MATCH(C$16,Parametros!$B$10:$M$10,0))</f>
        <v>533.52</v>
      </c>
      <c r="D18" s="182">
        <f t="array" ref="D18">INDEX(datos_base!$B$15:$K$22,MATCH($A18,datos_base!$A$15:$A$22,0),MATCH($B$3,datos_base!$B$2:$K$2,0))*INDEX(Parametros!$B$11:$M$26,MATCH($A18,Parametros!$A$11:$A$26,0),MATCH(D$16,Parametros!$B$10:$M$10,0))</f>
        <v>566.865</v>
      </c>
      <c r="E18" s="182">
        <f t="array" ref="E18">INDEX(datos_base!$B$15:$K$22,MATCH($A18,datos_base!$A$15:$A$22,0),MATCH($B$3,datos_base!$B$2:$K$2,0))*INDEX(Parametros!$B$11:$M$26,MATCH($A18,Parametros!$A$11:$A$26,0),MATCH(E$16,Parametros!$B$10:$M$10,0))</f>
        <v>566.865</v>
      </c>
      <c r="F18" s="182">
        <f t="array" ref="F18">INDEX(datos_base!$B$15:$K$22,MATCH($A18,datos_base!$A$15:$A$22,0),MATCH($B$3,datos_base!$B$2:$K$2,0))*INDEX(Parametros!$B$11:$M$26,MATCH($A18,Parametros!$A$11:$A$26,0),MATCH(F$16,Parametros!$B$10:$M$10,0))</f>
        <v>533.52</v>
      </c>
      <c r="G18" s="182">
        <f t="array" ref="G18">INDEX(datos_base!$B$15:$K$22,MATCH($A18,datos_base!$A$15:$A$22,0),MATCH($B$3,datos_base!$B$2:$K$2,0))*INDEX(Parametros!$B$11:$M$26,MATCH($A18,Parametros!$A$11:$A$26,0),MATCH(G$16,Parametros!$B$10:$M$10,0))</f>
        <v>500.175</v>
      </c>
      <c r="H18" s="182">
        <f t="array" ref="H18">INDEX(datos_base!$B$15:$K$22,MATCH($A18,datos_base!$A$15:$A$22,0),MATCH($B$3,datos_base!$B$2:$K$2,0))*INDEX(Parametros!$B$11:$M$26,MATCH($A18,Parametros!$A$11:$A$26,0),MATCH(H$16,Parametros!$B$10:$M$10,0))</f>
        <v>533.52</v>
      </c>
      <c r="I18" s="182">
        <f t="array" ref="I18">INDEX(datos_base!$B$15:$K$22,MATCH($A18,datos_base!$A$15:$A$22,0),MATCH($B$3,datos_base!$B$2:$K$2,0))*INDEX(Parametros!$B$11:$M$26,MATCH($A18,Parametros!$A$11:$A$26,0),MATCH(I$16,Parametros!$B$10:$M$10,0))</f>
        <v>533.52</v>
      </c>
      <c r="J18" s="182">
        <f t="array" ref="J18">INDEX(datos_base!$B$15:$K$22,MATCH($A18,datos_base!$A$15:$A$22,0),MATCH($B$3,datos_base!$B$2:$K$2,0))*INDEX(Parametros!$B$11:$M$26,MATCH($A18,Parametros!$A$11:$A$26,0),MATCH(J$16,Parametros!$B$10:$M$10,0))</f>
        <v>533.52</v>
      </c>
      <c r="K18" s="182">
        <f t="array" ref="K18">INDEX(datos_base!$B$15:$K$22,MATCH($A18,datos_base!$A$15:$A$22,0),MATCH($B$3,datos_base!$B$2:$K$2,0))*INDEX(Parametros!$B$11:$M$26,MATCH($A18,Parametros!$A$11:$A$26,0),MATCH(K$16,Parametros!$B$10:$M$10,0))</f>
        <v>500.175</v>
      </c>
      <c r="L18" s="182">
        <f t="array" ref="L18">INDEX(datos_base!$B$15:$K$22,MATCH($A18,datos_base!$A$15:$A$22,0),MATCH($B$3,datos_base!$B$2:$K$2,0))*INDEX(Parametros!$B$11:$M$26,MATCH($A18,Parametros!$A$11:$A$26,0),MATCH(L$16,Parametros!$B$10:$M$10,0))</f>
        <v>466.83</v>
      </c>
      <c r="M18" s="182">
        <f t="array" ref="M18">INDEX(datos_base!$B$15:$K$22,MATCH($A18,datos_base!$A$15:$A$22,0),MATCH($B$3,datos_base!$B$2:$K$2,0))*INDEX(Parametros!$B$11:$M$26,MATCH($A18,Parametros!$A$11:$A$26,0),MATCH(M$16,Parametros!$B$10:$M$10,0))</f>
        <v>733.59</v>
      </c>
      <c r="N18" s="271">
        <f t="shared" si="4"/>
        <v>6669</v>
      </c>
      <c r="O18" s="271">
        <f t="shared" si="5"/>
        <v>555.75</v>
      </c>
    </row>
    <row r="19" ht="12.0" customHeight="1">
      <c r="A19" s="152" t="s">
        <v>108</v>
      </c>
      <c r="B19" s="182">
        <f t="array" ref="B19">INDEX(datos_base!$B$15:$K$22,MATCH($A19,datos_base!$A$15:$A$22,0),MATCH($B$3,datos_base!$B$2:$K$2,0))*INDEX(Parametros!$B$11:$M$26,MATCH($A19,Parametros!$A$11:$A$26,0),MATCH(B$16,Parametros!$B$10:$M$10,0))</f>
        <v>3291.5</v>
      </c>
      <c r="C19" s="182">
        <f t="array" ref="C19">INDEX(datos_base!$B$15:$K$22,MATCH($A19,datos_base!$A$15:$A$22,0),MATCH($B$3,datos_base!$B$2:$K$2,0))*INDEX(Parametros!$B$11:$M$26,MATCH($A19,Parametros!$A$11:$A$26,0),MATCH(C$16,Parametros!$B$10:$M$10,0))</f>
        <v>2633.2</v>
      </c>
      <c r="D19" s="182">
        <f t="array" ref="D19">INDEX(datos_base!$B$15:$K$22,MATCH($A19,datos_base!$A$15:$A$22,0),MATCH($B$3,datos_base!$B$2:$K$2,0))*INDEX(Parametros!$B$11:$M$26,MATCH($A19,Parametros!$A$11:$A$26,0),MATCH(D$16,Parametros!$B$10:$M$10,0))</f>
        <v>2797.775</v>
      </c>
      <c r="E19" s="182">
        <f t="array" ref="E19">INDEX(datos_base!$B$15:$K$22,MATCH($A19,datos_base!$A$15:$A$22,0),MATCH($B$3,datos_base!$B$2:$K$2,0))*INDEX(Parametros!$B$11:$M$26,MATCH($A19,Parametros!$A$11:$A$26,0),MATCH(E$16,Parametros!$B$10:$M$10,0))</f>
        <v>2797.775</v>
      </c>
      <c r="F19" s="182">
        <f t="array" ref="F19">INDEX(datos_base!$B$15:$K$22,MATCH($A19,datos_base!$A$15:$A$22,0),MATCH($B$3,datos_base!$B$2:$K$2,0))*INDEX(Parametros!$B$11:$M$26,MATCH($A19,Parametros!$A$11:$A$26,0),MATCH(F$16,Parametros!$B$10:$M$10,0))</f>
        <v>2633.2</v>
      </c>
      <c r="G19" s="182">
        <f t="array" ref="G19">INDEX(datos_base!$B$15:$K$22,MATCH($A19,datos_base!$A$15:$A$22,0),MATCH($B$3,datos_base!$B$2:$K$2,0))*INDEX(Parametros!$B$11:$M$26,MATCH($A19,Parametros!$A$11:$A$26,0),MATCH(G$16,Parametros!$B$10:$M$10,0))</f>
        <v>2468.625</v>
      </c>
      <c r="H19" s="182">
        <f t="array" ref="H19">INDEX(datos_base!$B$15:$K$22,MATCH($A19,datos_base!$A$15:$A$22,0),MATCH($B$3,datos_base!$B$2:$K$2,0))*INDEX(Parametros!$B$11:$M$26,MATCH($A19,Parametros!$A$11:$A$26,0),MATCH(H$16,Parametros!$B$10:$M$10,0))</f>
        <v>2633.2</v>
      </c>
      <c r="I19" s="182">
        <f t="array" ref="I19">INDEX(datos_base!$B$15:$K$22,MATCH($A19,datos_base!$A$15:$A$22,0),MATCH($B$3,datos_base!$B$2:$K$2,0))*INDEX(Parametros!$B$11:$M$26,MATCH($A19,Parametros!$A$11:$A$26,0),MATCH(I$16,Parametros!$B$10:$M$10,0))</f>
        <v>2633.2</v>
      </c>
      <c r="J19" s="182">
        <f t="array" ref="J19">INDEX(datos_base!$B$15:$K$22,MATCH($A19,datos_base!$A$15:$A$22,0),MATCH($B$3,datos_base!$B$2:$K$2,0))*INDEX(Parametros!$B$11:$M$26,MATCH($A19,Parametros!$A$11:$A$26,0),MATCH(J$16,Parametros!$B$10:$M$10,0))</f>
        <v>2633.2</v>
      </c>
      <c r="K19" s="182">
        <f t="array" ref="K19">INDEX(datos_base!$B$15:$K$22,MATCH($A19,datos_base!$A$15:$A$22,0),MATCH($B$3,datos_base!$B$2:$K$2,0))*INDEX(Parametros!$B$11:$M$26,MATCH($A19,Parametros!$A$11:$A$26,0),MATCH(K$16,Parametros!$B$10:$M$10,0))</f>
        <v>2468.625</v>
      </c>
      <c r="L19" s="182">
        <f t="array" ref="L19">INDEX(datos_base!$B$15:$K$22,MATCH($A19,datos_base!$A$15:$A$22,0),MATCH($B$3,datos_base!$B$2:$K$2,0))*INDEX(Parametros!$B$11:$M$26,MATCH($A19,Parametros!$A$11:$A$26,0),MATCH(L$16,Parametros!$B$10:$M$10,0))</f>
        <v>2304.05</v>
      </c>
      <c r="M19" s="182">
        <f t="array" ref="M19">INDEX(datos_base!$B$15:$K$22,MATCH($A19,datos_base!$A$15:$A$22,0),MATCH($B$3,datos_base!$B$2:$K$2,0))*INDEX(Parametros!$B$11:$M$26,MATCH($A19,Parametros!$A$11:$A$26,0),MATCH(M$16,Parametros!$B$10:$M$10,0))</f>
        <v>3620.65</v>
      </c>
      <c r="N19" s="271">
        <f t="shared" si="4"/>
        <v>32915</v>
      </c>
      <c r="O19" s="271">
        <f t="shared" si="5"/>
        <v>2742.916667</v>
      </c>
    </row>
    <row r="20" ht="12.0" customHeight="1">
      <c r="A20" s="152" t="s">
        <v>122</v>
      </c>
      <c r="B20" s="182">
        <f t="array" ref="B20">INDEX(datos_base!$B$15:$K$22,MATCH($A20,datos_base!$A$15:$A$22,0),MATCH($B$3,datos_base!$B$2:$K$2,0))*INDEX(Parametros!$B$11:$M$26,MATCH($A20,Parametros!$A$11:$A$26,0),MATCH(B$16,Parametros!$B$10:$M$10,0))</f>
        <v>201.1</v>
      </c>
      <c r="C20" s="182">
        <f t="array" ref="C20">INDEX(datos_base!$B$15:$K$22,MATCH($A20,datos_base!$A$15:$A$22,0),MATCH($B$3,datos_base!$B$2:$K$2,0))*INDEX(Parametros!$B$11:$M$26,MATCH($A20,Parametros!$A$11:$A$26,0),MATCH(C$16,Parametros!$B$10:$M$10,0))</f>
        <v>160.88</v>
      </c>
      <c r="D20" s="182">
        <f t="array" ref="D20">INDEX(datos_base!$B$15:$K$22,MATCH($A20,datos_base!$A$15:$A$22,0),MATCH($B$3,datos_base!$B$2:$K$2,0))*INDEX(Parametros!$B$11:$M$26,MATCH($A20,Parametros!$A$11:$A$26,0),MATCH(D$16,Parametros!$B$10:$M$10,0))</f>
        <v>170.935</v>
      </c>
      <c r="E20" s="182">
        <f t="array" ref="E20">INDEX(datos_base!$B$15:$K$22,MATCH($A20,datos_base!$A$15:$A$22,0),MATCH($B$3,datos_base!$B$2:$K$2,0))*INDEX(Parametros!$B$11:$M$26,MATCH($A20,Parametros!$A$11:$A$26,0),MATCH(E$16,Parametros!$B$10:$M$10,0))</f>
        <v>170.935</v>
      </c>
      <c r="F20" s="182">
        <f t="array" ref="F20">INDEX(datos_base!$B$15:$K$22,MATCH($A20,datos_base!$A$15:$A$22,0),MATCH($B$3,datos_base!$B$2:$K$2,0))*INDEX(Parametros!$B$11:$M$26,MATCH($A20,Parametros!$A$11:$A$26,0),MATCH(F$16,Parametros!$B$10:$M$10,0))</f>
        <v>160.88</v>
      </c>
      <c r="G20" s="182">
        <f t="array" ref="G20">INDEX(datos_base!$B$15:$K$22,MATCH($A20,datos_base!$A$15:$A$22,0),MATCH($B$3,datos_base!$B$2:$K$2,0))*INDEX(Parametros!$B$11:$M$26,MATCH($A20,Parametros!$A$11:$A$26,0),MATCH(G$16,Parametros!$B$10:$M$10,0))</f>
        <v>150.825</v>
      </c>
      <c r="H20" s="182">
        <f t="array" ref="H20">INDEX(datos_base!$B$15:$K$22,MATCH($A20,datos_base!$A$15:$A$22,0),MATCH($B$3,datos_base!$B$2:$K$2,0))*INDEX(Parametros!$B$11:$M$26,MATCH($A20,Parametros!$A$11:$A$26,0),MATCH(H$16,Parametros!$B$10:$M$10,0))</f>
        <v>160.88</v>
      </c>
      <c r="I20" s="182">
        <f t="array" ref="I20">INDEX(datos_base!$B$15:$K$22,MATCH($A20,datos_base!$A$15:$A$22,0),MATCH($B$3,datos_base!$B$2:$K$2,0))*INDEX(Parametros!$B$11:$M$26,MATCH($A20,Parametros!$A$11:$A$26,0),MATCH(I$16,Parametros!$B$10:$M$10,0))</f>
        <v>160.88</v>
      </c>
      <c r="J20" s="182">
        <f t="array" ref="J20">INDEX(datos_base!$B$15:$K$22,MATCH($A20,datos_base!$A$15:$A$22,0),MATCH($B$3,datos_base!$B$2:$K$2,0))*INDEX(Parametros!$B$11:$M$26,MATCH($A20,Parametros!$A$11:$A$26,0),MATCH(J$16,Parametros!$B$10:$M$10,0))</f>
        <v>160.88</v>
      </c>
      <c r="K20" s="182">
        <f t="array" ref="K20">INDEX(datos_base!$B$15:$K$22,MATCH($A20,datos_base!$A$15:$A$22,0),MATCH($B$3,datos_base!$B$2:$K$2,0))*INDEX(Parametros!$B$11:$M$26,MATCH($A20,Parametros!$A$11:$A$26,0),MATCH(K$16,Parametros!$B$10:$M$10,0))</f>
        <v>150.825</v>
      </c>
      <c r="L20" s="182">
        <f t="array" ref="L20">INDEX(datos_base!$B$15:$K$22,MATCH($A20,datos_base!$A$15:$A$22,0),MATCH($B$3,datos_base!$B$2:$K$2,0))*INDEX(Parametros!$B$11:$M$26,MATCH($A20,Parametros!$A$11:$A$26,0),MATCH(L$16,Parametros!$B$10:$M$10,0))</f>
        <v>140.77</v>
      </c>
      <c r="M20" s="182">
        <f t="array" ref="M20">INDEX(datos_base!$B$15:$K$22,MATCH($A20,datos_base!$A$15:$A$22,0),MATCH($B$3,datos_base!$B$2:$K$2,0))*INDEX(Parametros!$B$11:$M$26,MATCH($A20,Parametros!$A$11:$A$26,0),MATCH(M$16,Parametros!$B$10:$M$10,0))</f>
        <v>221.21</v>
      </c>
      <c r="N20" s="271">
        <f t="shared" si="4"/>
        <v>2011</v>
      </c>
      <c r="O20" s="271">
        <f t="shared" si="5"/>
        <v>167.5833333</v>
      </c>
    </row>
    <row r="21" ht="12.0" customHeight="1">
      <c r="A21" s="152" t="s">
        <v>125</v>
      </c>
      <c r="B21" s="182">
        <f t="array" ref="B21">INDEX(datos_base!$B$15:$K$22,MATCH($A21,datos_base!$A$15:$A$22,0),MATCH($B$3,datos_base!$B$2:$K$2,0))*INDEX(Parametros!$B$11:$M$26,MATCH($A21,Parametros!$A$11:$A$26,0),MATCH(B$16,Parametros!$B$10:$M$10,0))</f>
        <v>27.37</v>
      </c>
      <c r="C21" s="182">
        <f t="array" ref="C21">INDEX(datos_base!$B$15:$K$22,MATCH($A21,datos_base!$A$15:$A$22,0),MATCH($B$3,datos_base!$B$2:$K$2,0))*INDEX(Parametros!$B$11:$M$26,MATCH($A21,Parametros!$A$11:$A$26,0),MATCH(C$16,Parametros!$B$10:$M$10,0))</f>
        <v>24.15</v>
      </c>
      <c r="D21" s="182">
        <f t="array" ref="D21">INDEX(datos_base!$B$15:$K$22,MATCH($A21,datos_base!$A$15:$A$22,0),MATCH($B$3,datos_base!$B$2:$K$2,0))*INDEX(Parametros!$B$11:$M$26,MATCH($A21,Parametros!$A$11:$A$26,0),MATCH(D$16,Parametros!$B$10:$M$10,0))</f>
        <v>28.98</v>
      </c>
      <c r="E21" s="182">
        <f t="array" ref="E21">INDEX(datos_base!$B$15:$K$22,MATCH($A21,datos_base!$A$15:$A$22,0),MATCH($B$3,datos_base!$B$2:$K$2,0))*INDEX(Parametros!$B$11:$M$26,MATCH($A21,Parametros!$A$11:$A$26,0),MATCH(E$16,Parametros!$B$10:$M$10,0))</f>
        <v>28.98</v>
      </c>
      <c r="F21" s="182">
        <f t="array" ref="F21">INDEX(datos_base!$B$15:$K$22,MATCH($A21,datos_base!$A$15:$A$22,0),MATCH($B$3,datos_base!$B$2:$K$2,0))*INDEX(Parametros!$B$11:$M$26,MATCH($A21,Parametros!$A$11:$A$26,0),MATCH(F$16,Parametros!$B$10:$M$10,0))</f>
        <v>28.98</v>
      </c>
      <c r="G21" s="182">
        <f t="array" ref="G21">INDEX(datos_base!$B$15:$K$22,MATCH($A21,datos_base!$A$15:$A$22,0),MATCH($B$3,datos_base!$B$2:$K$2,0))*INDEX(Parametros!$B$11:$M$26,MATCH($A21,Parametros!$A$11:$A$26,0),MATCH(G$16,Parametros!$B$10:$M$10,0))</f>
        <v>25.76</v>
      </c>
      <c r="H21" s="182">
        <f t="array" ref="H21">INDEX(datos_base!$B$15:$K$22,MATCH($A21,datos_base!$A$15:$A$22,0),MATCH($B$3,datos_base!$B$2:$K$2,0))*INDEX(Parametros!$B$11:$M$26,MATCH($A21,Parametros!$A$11:$A$26,0),MATCH(H$16,Parametros!$B$10:$M$10,0))</f>
        <v>28.98</v>
      </c>
      <c r="I21" s="182">
        <f t="array" ref="I21">INDEX(datos_base!$B$15:$K$22,MATCH($A21,datos_base!$A$15:$A$22,0),MATCH($B$3,datos_base!$B$2:$K$2,0))*INDEX(Parametros!$B$11:$M$26,MATCH($A21,Parametros!$A$11:$A$26,0),MATCH(I$16,Parametros!$B$10:$M$10,0))</f>
        <v>28.98</v>
      </c>
      <c r="J21" s="182">
        <f t="array" ref="J21">INDEX(datos_base!$B$15:$K$22,MATCH($A21,datos_base!$A$15:$A$22,0),MATCH($B$3,datos_base!$B$2:$K$2,0))*INDEX(Parametros!$B$11:$M$26,MATCH($A21,Parametros!$A$11:$A$26,0),MATCH(J$16,Parametros!$B$10:$M$10,0))</f>
        <v>27.37</v>
      </c>
      <c r="K21" s="182">
        <f t="array" ref="K21">INDEX(datos_base!$B$15:$K$22,MATCH($A21,datos_base!$A$15:$A$22,0),MATCH($B$3,datos_base!$B$2:$K$2,0))*INDEX(Parametros!$B$11:$M$26,MATCH($A21,Parametros!$A$11:$A$26,0),MATCH(K$16,Parametros!$B$10:$M$10,0))</f>
        <v>24.15</v>
      </c>
      <c r="L21" s="182">
        <f t="array" ref="L21">INDEX(datos_base!$B$15:$K$22,MATCH($A21,datos_base!$A$15:$A$22,0),MATCH($B$3,datos_base!$B$2:$K$2,0))*INDEX(Parametros!$B$11:$M$26,MATCH($A21,Parametros!$A$11:$A$26,0),MATCH(L$16,Parametros!$B$10:$M$10,0))</f>
        <v>22.54</v>
      </c>
      <c r="M21" s="182">
        <f t="array" ref="M21">INDEX(datos_base!$B$15:$K$22,MATCH($A21,datos_base!$A$15:$A$22,0),MATCH($B$3,datos_base!$B$2:$K$2,0))*INDEX(Parametros!$B$11:$M$26,MATCH($A21,Parametros!$A$11:$A$26,0),MATCH(M$16,Parametros!$B$10:$M$10,0))</f>
        <v>25.76</v>
      </c>
      <c r="N21" s="271">
        <f t="shared" si="4"/>
        <v>322</v>
      </c>
      <c r="O21" s="271">
        <f t="shared" si="5"/>
        <v>26.83333333</v>
      </c>
    </row>
    <row r="22" ht="12.0" customHeight="1">
      <c r="A22" s="152" t="s">
        <v>128</v>
      </c>
      <c r="B22" s="182">
        <f t="array" ref="B22">INDEX(datos_base!$B$15:$K$22,MATCH($A22,datos_base!$A$15:$A$22,0),MATCH($B$3,datos_base!$B$2:$K$2,0))*INDEX(Parametros!$B$11:$M$26,MATCH($A22,Parametros!$A$11:$A$26,0),MATCH(B$16,Parametros!$B$10:$M$10,0))</f>
        <v>60.18</v>
      </c>
      <c r="C22" s="182">
        <f t="array" ref="C22">INDEX(datos_base!$B$15:$K$22,MATCH($A22,datos_base!$A$15:$A$22,0),MATCH($B$3,datos_base!$B$2:$K$2,0))*INDEX(Parametros!$B$11:$M$26,MATCH($A22,Parametros!$A$11:$A$26,0),MATCH(C$16,Parametros!$B$10:$M$10,0))</f>
        <v>53.1</v>
      </c>
      <c r="D22" s="182">
        <f t="array" ref="D22">INDEX(datos_base!$B$15:$K$22,MATCH($A22,datos_base!$A$15:$A$22,0),MATCH($B$3,datos_base!$B$2:$K$2,0))*INDEX(Parametros!$B$11:$M$26,MATCH($A22,Parametros!$A$11:$A$26,0),MATCH(D$16,Parametros!$B$10:$M$10,0))</f>
        <v>63.72</v>
      </c>
      <c r="E22" s="182">
        <f t="array" ref="E22">INDEX(datos_base!$B$15:$K$22,MATCH($A22,datos_base!$A$15:$A$22,0),MATCH($B$3,datos_base!$B$2:$K$2,0))*INDEX(Parametros!$B$11:$M$26,MATCH($A22,Parametros!$A$11:$A$26,0),MATCH(E$16,Parametros!$B$10:$M$10,0))</f>
        <v>63.72</v>
      </c>
      <c r="F22" s="182">
        <f t="array" ref="F22">INDEX(datos_base!$B$15:$K$22,MATCH($A22,datos_base!$A$15:$A$22,0),MATCH($B$3,datos_base!$B$2:$K$2,0))*INDEX(Parametros!$B$11:$M$26,MATCH($A22,Parametros!$A$11:$A$26,0),MATCH(F$16,Parametros!$B$10:$M$10,0))</f>
        <v>63.72</v>
      </c>
      <c r="G22" s="182">
        <f t="array" ref="G22">INDEX(datos_base!$B$15:$K$22,MATCH($A22,datos_base!$A$15:$A$22,0),MATCH($B$3,datos_base!$B$2:$K$2,0))*INDEX(Parametros!$B$11:$M$26,MATCH($A22,Parametros!$A$11:$A$26,0),MATCH(G$16,Parametros!$B$10:$M$10,0))</f>
        <v>56.64</v>
      </c>
      <c r="H22" s="182">
        <f t="array" ref="H22">INDEX(datos_base!$B$15:$K$22,MATCH($A22,datos_base!$A$15:$A$22,0),MATCH($B$3,datos_base!$B$2:$K$2,0))*INDEX(Parametros!$B$11:$M$26,MATCH($A22,Parametros!$A$11:$A$26,0),MATCH(H$16,Parametros!$B$10:$M$10,0))</f>
        <v>63.72</v>
      </c>
      <c r="I22" s="182">
        <f t="array" ref="I22">INDEX(datos_base!$B$15:$K$22,MATCH($A22,datos_base!$A$15:$A$22,0),MATCH($B$3,datos_base!$B$2:$K$2,0))*INDEX(Parametros!$B$11:$M$26,MATCH($A22,Parametros!$A$11:$A$26,0),MATCH(I$16,Parametros!$B$10:$M$10,0))</f>
        <v>63.72</v>
      </c>
      <c r="J22" s="182">
        <f t="array" ref="J22">INDEX(datos_base!$B$15:$K$22,MATCH($A22,datos_base!$A$15:$A$22,0),MATCH($B$3,datos_base!$B$2:$K$2,0))*INDEX(Parametros!$B$11:$M$26,MATCH($A22,Parametros!$A$11:$A$26,0),MATCH(J$16,Parametros!$B$10:$M$10,0))</f>
        <v>60.18</v>
      </c>
      <c r="K22" s="182">
        <f t="array" ref="K22">INDEX(datos_base!$B$15:$K$22,MATCH($A22,datos_base!$A$15:$A$22,0),MATCH($B$3,datos_base!$B$2:$K$2,0))*INDEX(Parametros!$B$11:$M$26,MATCH($A22,Parametros!$A$11:$A$26,0),MATCH(K$16,Parametros!$B$10:$M$10,0))</f>
        <v>53.1</v>
      </c>
      <c r="L22" s="182">
        <f t="array" ref="L22">INDEX(datos_base!$B$15:$K$22,MATCH($A22,datos_base!$A$15:$A$22,0),MATCH($B$3,datos_base!$B$2:$K$2,0))*INDEX(Parametros!$B$11:$M$26,MATCH($A22,Parametros!$A$11:$A$26,0),MATCH(L$16,Parametros!$B$10:$M$10,0))</f>
        <v>49.56</v>
      </c>
      <c r="M22" s="182">
        <f t="array" ref="M22">INDEX(datos_base!$B$15:$K$22,MATCH($A22,datos_base!$A$15:$A$22,0),MATCH($B$3,datos_base!$B$2:$K$2,0))*INDEX(Parametros!$B$11:$M$26,MATCH($A22,Parametros!$A$11:$A$26,0),MATCH(M$16,Parametros!$B$10:$M$10,0))</f>
        <v>56.64</v>
      </c>
      <c r="N22" s="271">
        <f t="shared" si="4"/>
        <v>708</v>
      </c>
      <c r="O22" s="271">
        <f t="shared" si="5"/>
        <v>59</v>
      </c>
    </row>
    <row r="23" ht="12.0" customHeight="1">
      <c r="A23" s="152" t="s">
        <v>129</v>
      </c>
      <c r="B23" s="182">
        <f t="array" ref="B23">INDEX(datos_base!$B$15:$K$22,MATCH($A23,datos_base!$A$15:$A$22,0),MATCH($B$3,datos_base!$B$2:$K$2,0))*INDEX(Parametros!$B$11:$M$26,MATCH($A23,Parametros!$A$11:$A$26,0),MATCH(B$16,Parametros!$B$10:$M$10,0))</f>
        <v>13.175</v>
      </c>
      <c r="C23" s="182">
        <f t="array" ref="C23">INDEX(datos_base!$B$15:$K$22,MATCH($A23,datos_base!$A$15:$A$22,0),MATCH($B$3,datos_base!$B$2:$K$2,0))*INDEX(Parametros!$B$11:$M$26,MATCH($A23,Parametros!$A$11:$A$26,0),MATCH(C$16,Parametros!$B$10:$M$10,0))</f>
        <v>11.625</v>
      </c>
      <c r="D23" s="182">
        <f t="array" ref="D23">INDEX(datos_base!$B$15:$K$22,MATCH($A23,datos_base!$A$15:$A$22,0),MATCH($B$3,datos_base!$B$2:$K$2,0))*INDEX(Parametros!$B$11:$M$26,MATCH($A23,Parametros!$A$11:$A$26,0),MATCH(D$16,Parametros!$B$10:$M$10,0))</f>
        <v>13.95</v>
      </c>
      <c r="E23" s="182">
        <f t="array" ref="E23">INDEX(datos_base!$B$15:$K$22,MATCH($A23,datos_base!$A$15:$A$22,0),MATCH($B$3,datos_base!$B$2:$K$2,0))*INDEX(Parametros!$B$11:$M$26,MATCH($A23,Parametros!$A$11:$A$26,0),MATCH(E$16,Parametros!$B$10:$M$10,0))</f>
        <v>13.95</v>
      </c>
      <c r="F23" s="182">
        <f t="array" ref="F23">INDEX(datos_base!$B$15:$K$22,MATCH($A23,datos_base!$A$15:$A$22,0),MATCH($B$3,datos_base!$B$2:$K$2,0))*INDEX(Parametros!$B$11:$M$26,MATCH($A23,Parametros!$A$11:$A$26,0),MATCH(F$16,Parametros!$B$10:$M$10,0))</f>
        <v>13.95</v>
      </c>
      <c r="G23" s="182">
        <f t="array" ref="G23">INDEX(datos_base!$B$15:$K$22,MATCH($A23,datos_base!$A$15:$A$22,0),MATCH($B$3,datos_base!$B$2:$K$2,0))*INDEX(Parametros!$B$11:$M$26,MATCH($A23,Parametros!$A$11:$A$26,0),MATCH(G$16,Parametros!$B$10:$M$10,0))</f>
        <v>12.4</v>
      </c>
      <c r="H23" s="182">
        <f t="array" ref="H23">INDEX(datos_base!$B$15:$K$22,MATCH($A23,datos_base!$A$15:$A$22,0),MATCH($B$3,datos_base!$B$2:$K$2,0))*INDEX(Parametros!$B$11:$M$26,MATCH($A23,Parametros!$A$11:$A$26,0),MATCH(H$16,Parametros!$B$10:$M$10,0))</f>
        <v>13.95</v>
      </c>
      <c r="I23" s="182">
        <f t="array" ref="I23">INDEX(datos_base!$B$15:$K$22,MATCH($A23,datos_base!$A$15:$A$22,0),MATCH($B$3,datos_base!$B$2:$K$2,0))*INDEX(Parametros!$B$11:$M$26,MATCH($A23,Parametros!$A$11:$A$26,0),MATCH(I$16,Parametros!$B$10:$M$10,0))</f>
        <v>13.95</v>
      </c>
      <c r="J23" s="182">
        <f t="array" ref="J23">INDEX(datos_base!$B$15:$K$22,MATCH($A23,datos_base!$A$15:$A$22,0),MATCH($B$3,datos_base!$B$2:$K$2,0))*INDEX(Parametros!$B$11:$M$26,MATCH($A23,Parametros!$A$11:$A$26,0),MATCH(J$16,Parametros!$B$10:$M$10,0))</f>
        <v>13.175</v>
      </c>
      <c r="K23" s="182">
        <f t="array" ref="K23">INDEX(datos_base!$B$15:$K$22,MATCH($A23,datos_base!$A$15:$A$22,0),MATCH($B$3,datos_base!$B$2:$K$2,0))*INDEX(Parametros!$B$11:$M$26,MATCH($A23,Parametros!$A$11:$A$26,0),MATCH(K$16,Parametros!$B$10:$M$10,0))</f>
        <v>11.625</v>
      </c>
      <c r="L23" s="182">
        <f t="array" ref="L23">INDEX(datos_base!$B$15:$K$22,MATCH($A23,datos_base!$A$15:$A$22,0),MATCH($B$3,datos_base!$B$2:$K$2,0))*INDEX(Parametros!$B$11:$M$26,MATCH($A23,Parametros!$A$11:$A$26,0),MATCH(L$16,Parametros!$B$10:$M$10,0))</f>
        <v>10.85</v>
      </c>
      <c r="M23" s="182">
        <f t="array" ref="M23">INDEX(datos_base!$B$15:$K$22,MATCH($A23,datos_base!$A$15:$A$22,0),MATCH($B$3,datos_base!$B$2:$K$2,0))*INDEX(Parametros!$B$11:$M$26,MATCH($A23,Parametros!$A$11:$A$26,0),MATCH(M$16,Parametros!$B$10:$M$10,0))</f>
        <v>12.4</v>
      </c>
      <c r="N23" s="271">
        <f t="shared" si="4"/>
        <v>155</v>
      </c>
      <c r="O23" s="271">
        <f t="shared" si="5"/>
        <v>12.91666667</v>
      </c>
    </row>
    <row r="24" ht="12.0" customHeight="1">
      <c r="A24" s="152" t="s">
        <v>130</v>
      </c>
      <c r="B24" s="182">
        <f t="array" ref="B24">INDEX(datos_base!$B$15:$K$22,MATCH($A24,datos_base!$A$15:$A$22,0),MATCH($B$3,datos_base!$B$2:$K$2,0))*INDEX(Parametros!$B$11:$M$26,MATCH($A24,Parametros!$A$11:$A$26,0),MATCH(B$16,Parametros!$B$10:$M$10,0))</f>
        <v>8.67</v>
      </c>
      <c r="C24" s="182">
        <f t="array" ref="C24">INDEX(datos_base!$B$15:$K$22,MATCH($A24,datos_base!$A$15:$A$22,0),MATCH($B$3,datos_base!$B$2:$K$2,0))*INDEX(Parametros!$B$11:$M$26,MATCH($A24,Parametros!$A$11:$A$26,0),MATCH(C$16,Parametros!$B$10:$M$10,0))</f>
        <v>7.65</v>
      </c>
      <c r="D24" s="182">
        <f t="array" ref="D24">INDEX(datos_base!$B$15:$K$22,MATCH($A24,datos_base!$A$15:$A$22,0),MATCH($B$3,datos_base!$B$2:$K$2,0))*INDEX(Parametros!$B$11:$M$26,MATCH($A24,Parametros!$A$11:$A$26,0),MATCH(D$16,Parametros!$B$10:$M$10,0))</f>
        <v>9.18</v>
      </c>
      <c r="E24" s="182">
        <f t="array" ref="E24">INDEX(datos_base!$B$15:$K$22,MATCH($A24,datos_base!$A$15:$A$22,0),MATCH($B$3,datos_base!$B$2:$K$2,0))*INDEX(Parametros!$B$11:$M$26,MATCH($A24,Parametros!$A$11:$A$26,0),MATCH(E$16,Parametros!$B$10:$M$10,0))</f>
        <v>9.18</v>
      </c>
      <c r="F24" s="182">
        <f t="array" ref="F24">INDEX(datos_base!$B$15:$K$22,MATCH($A24,datos_base!$A$15:$A$22,0),MATCH($B$3,datos_base!$B$2:$K$2,0))*INDEX(Parametros!$B$11:$M$26,MATCH($A24,Parametros!$A$11:$A$26,0),MATCH(F$16,Parametros!$B$10:$M$10,0))</f>
        <v>9.18</v>
      </c>
      <c r="G24" s="182">
        <f t="array" ref="G24">INDEX(datos_base!$B$15:$K$22,MATCH($A24,datos_base!$A$15:$A$22,0),MATCH($B$3,datos_base!$B$2:$K$2,0))*INDEX(Parametros!$B$11:$M$26,MATCH($A24,Parametros!$A$11:$A$26,0),MATCH(G$16,Parametros!$B$10:$M$10,0))</f>
        <v>8.16</v>
      </c>
      <c r="H24" s="182">
        <f t="array" ref="H24">INDEX(datos_base!$B$15:$K$22,MATCH($A24,datos_base!$A$15:$A$22,0),MATCH($B$3,datos_base!$B$2:$K$2,0))*INDEX(Parametros!$B$11:$M$26,MATCH($A24,Parametros!$A$11:$A$26,0),MATCH(H$16,Parametros!$B$10:$M$10,0))</f>
        <v>9.18</v>
      </c>
      <c r="I24" s="182">
        <f t="array" ref="I24">INDEX(datos_base!$B$15:$K$22,MATCH($A24,datos_base!$A$15:$A$22,0),MATCH($B$3,datos_base!$B$2:$K$2,0))*INDEX(Parametros!$B$11:$M$26,MATCH($A24,Parametros!$A$11:$A$26,0),MATCH(I$16,Parametros!$B$10:$M$10,0))</f>
        <v>9.18</v>
      </c>
      <c r="J24" s="182">
        <f t="array" ref="J24">INDEX(datos_base!$B$15:$K$22,MATCH($A24,datos_base!$A$15:$A$22,0),MATCH($B$3,datos_base!$B$2:$K$2,0))*INDEX(Parametros!$B$11:$M$26,MATCH($A24,Parametros!$A$11:$A$26,0),MATCH(J$16,Parametros!$B$10:$M$10,0))</f>
        <v>8.67</v>
      </c>
      <c r="K24" s="182">
        <f t="array" ref="K24">INDEX(datos_base!$B$15:$K$22,MATCH($A24,datos_base!$A$15:$A$22,0),MATCH($B$3,datos_base!$B$2:$K$2,0))*INDEX(Parametros!$B$11:$M$26,MATCH($A24,Parametros!$A$11:$A$26,0),MATCH(K$16,Parametros!$B$10:$M$10,0))</f>
        <v>7.65</v>
      </c>
      <c r="L24" s="182">
        <f t="array" ref="L24">INDEX(datos_base!$B$15:$K$22,MATCH($A24,datos_base!$A$15:$A$22,0),MATCH($B$3,datos_base!$B$2:$K$2,0))*INDEX(Parametros!$B$11:$M$26,MATCH($A24,Parametros!$A$11:$A$26,0),MATCH(L$16,Parametros!$B$10:$M$10,0))</f>
        <v>7.14</v>
      </c>
      <c r="M24" s="182">
        <f t="array" ref="M24">INDEX(datos_base!$B$15:$K$22,MATCH($A24,datos_base!$A$15:$A$22,0),MATCH($B$3,datos_base!$B$2:$K$2,0))*INDEX(Parametros!$B$11:$M$26,MATCH($A24,Parametros!$A$11:$A$26,0),MATCH(M$16,Parametros!$B$10:$M$10,0))</f>
        <v>8.16</v>
      </c>
      <c r="N24" s="271">
        <f t="shared" si="4"/>
        <v>102</v>
      </c>
      <c r="O24" s="271">
        <f t="shared" si="5"/>
        <v>8.5</v>
      </c>
    </row>
    <row r="25" ht="12.0" customHeight="1">
      <c r="A25" s="272" t="s">
        <v>420</v>
      </c>
      <c r="B25" s="273">
        <f t="shared" ref="B25:N25" si="6">SUM(B17:B24)</f>
        <v>24734.655</v>
      </c>
      <c r="C25" s="273">
        <f t="shared" si="6"/>
        <v>18773.445</v>
      </c>
      <c r="D25" s="273">
        <f t="shared" si="6"/>
        <v>17295.245</v>
      </c>
      <c r="E25" s="273">
        <f t="shared" si="6"/>
        <v>16442.505</v>
      </c>
      <c r="F25" s="273">
        <f t="shared" si="6"/>
        <v>15381.79</v>
      </c>
      <c r="G25" s="273">
        <f t="shared" si="6"/>
        <v>15160.945</v>
      </c>
      <c r="H25" s="273">
        <f t="shared" si="6"/>
        <v>16234.53</v>
      </c>
      <c r="I25" s="273">
        <f t="shared" si="6"/>
        <v>16234.53</v>
      </c>
      <c r="J25" s="273">
        <f t="shared" si="6"/>
        <v>16228.095</v>
      </c>
      <c r="K25" s="273">
        <f t="shared" si="6"/>
        <v>16007.25</v>
      </c>
      <c r="L25" s="273">
        <f t="shared" si="6"/>
        <v>15792.84</v>
      </c>
      <c r="M25" s="273">
        <f t="shared" si="6"/>
        <v>25144.17</v>
      </c>
      <c r="N25" s="273">
        <f t="shared" si="6"/>
        <v>213430</v>
      </c>
      <c r="O25" s="273">
        <f t="shared" si="5"/>
        <v>17785.83333</v>
      </c>
    </row>
    <row r="26" ht="12.0" customHeight="1"/>
    <row r="27" ht="12.0" customHeight="1">
      <c r="A27" s="270" t="s">
        <v>22</v>
      </c>
      <c r="B27" s="270" t="s">
        <v>1605</v>
      </c>
      <c r="C27" s="270" t="s">
        <v>1606</v>
      </c>
      <c r="D27" s="270" t="s">
        <v>1607</v>
      </c>
      <c r="E27" s="270" t="s">
        <v>1608</v>
      </c>
      <c r="F27" s="270" t="s">
        <v>1609</v>
      </c>
      <c r="G27" s="270" t="s">
        <v>1610</v>
      </c>
      <c r="H27" s="270" t="s">
        <v>642</v>
      </c>
      <c r="I27" s="270" t="s">
        <v>643</v>
      </c>
      <c r="J27" s="270" t="s">
        <v>150</v>
      </c>
    </row>
    <row r="28" ht="12.0" customHeight="1">
      <c r="A28" s="152" t="s">
        <v>26</v>
      </c>
      <c r="B28" s="159">
        <f>O6+O7+O8+O9+O17+O18+O19+O20</f>
        <v>23686.08333</v>
      </c>
      <c r="C28" s="152">
        <f>ROUNDDOWN(B28/Parametros!$B$37,0)</f>
        <v>1184</v>
      </c>
      <c r="D28" s="152">
        <f>ROUNDDOWN(C28/Parametros!$J$37,0)</f>
        <v>157</v>
      </c>
      <c r="E28" s="152">
        <f t="shared" ref="E28:E45" si="7">D28</f>
        <v>157</v>
      </c>
      <c r="F28" s="279">
        <f>Parametros!$M$39</f>
        <v>68</v>
      </c>
      <c r="G28" s="152">
        <v>1.0</v>
      </c>
      <c r="H28" s="152">
        <f t="shared" ref="H28:H45" si="8">F28*G28</f>
        <v>68</v>
      </c>
      <c r="I28" s="275">
        <f t="shared" ref="I28:I45" si="9">E28/H28</f>
        <v>2.308823529</v>
      </c>
      <c r="J28" s="152" t="s">
        <v>158</v>
      </c>
    </row>
    <row r="29" ht="12.0" customHeight="1">
      <c r="A29" s="152" t="s">
        <v>163</v>
      </c>
      <c r="B29" s="159">
        <f>O6+O7+O8+O9+O17+O18+O19+O20</f>
        <v>23686.08333</v>
      </c>
      <c r="C29" s="152">
        <f>ROUNDDOWN(B29/Parametros!$B$37,0)</f>
        <v>1184</v>
      </c>
      <c r="D29" s="152">
        <f>ROUNDDOWN(C29/Parametros!$J$37,0)</f>
        <v>157</v>
      </c>
      <c r="E29" s="152">
        <f t="shared" si="7"/>
        <v>157</v>
      </c>
      <c r="F29" s="279">
        <f>Parametros!$M$40</f>
        <v>40.88</v>
      </c>
      <c r="G29" s="152">
        <v>1.0</v>
      </c>
      <c r="H29" s="152">
        <f t="shared" si="8"/>
        <v>40.88</v>
      </c>
      <c r="I29" s="275">
        <f t="shared" si="9"/>
        <v>3.840508806</v>
      </c>
      <c r="J29" s="152" t="s">
        <v>158</v>
      </c>
    </row>
    <row r="30" ht="12.0" customHeight="1">
      <c r="A30" s="280" t="s">
        <v>61</v>
      </c>
      <c r="B30" s="281">
        <f>O6+O7+O8+O9+O17+O18+O19+O20</f>
        <v>23686.08333</v>
      </c>
      <c r="C30" s="280">
        <f>ROUNDDOWN(B30/Parametros!$B$37,0)</f>
        <v>1184</v>
      </c>
      <c r="D30" s="280">
        <f>ROUNDDOWN(C30/Parametros!$J$37,0)</f>
        <v>157</v>
      </c>
      <c r="E30" s="280">
        <f t="shared" si="7"/>
        <v>157</v>
      </c>
      <c r="F30" s="282">
        <f>Parametros!$M$41</f>
        <v>466.5116279</v>
      </c>
      <c r="G30" s="280">
        <v>1.0</v>
      </c>
      <c r="H30" s="280">
        <f t="shared" si="8"/>
        <v>466.5116279</v>
      </c>
      <c r="I30" s="283">
        <f t="shared" si="9"/>
        <v>0.3365403789</v>
      </c>
      <c r="J30" s="280" t="s">
        <v>158</v>
      </c>
    </row>
    <row r="31" ht="12.0" customHeight="1">
      <c r="A31" s="152" t="s">
        <v>62</v>
      </c>
      <c r="B31" s="159">
        <f>O7+O8+O9+O18+O19+O20</f>
        <v>6801</v>
      </c>
      <c r="C31" s="152">
        <f>ROUNDDOWN(B31/Parametros!$B$37,0)</f>
        <v>340</v>
      </c>
      <c r="D31" s="152">
        <f>ROUNDDOWN(C31/Parametros!$J$37,0)</f>
        <v>45</v>
      </c>
      <c r="E31" s="152">
        <f t="shared" si="7"/>
        <v>45</v>
      </c>
      <c r="F31" s="279">
        <f>Parametros!$M$42</f>
        <v>96</v>
      </c>
      <c r="G31" s="152">
        <v>1.0</v>
      </c>
      <c r="H31" s="152">
        <f t="shared" si="8"/>
        <v>96</v>
      </c>
      <c r="I31" s="275">
        <f t="shared" si="9"/>
        <v>0.46875</v>
      </c>
      <c r="J31" s="152" t="s">
        <v>182</v>
      </c>
    </row>
    <row r="32" ht="12.0" customHeight="1">
      <c r="A32" s="152" t="s">
        <v>63</v>
      </c>
      <c r="B32" s="159">
        <f>O7+O8+O9+O18+O19+O20</f>
        <v>6801</v>
      </c>
      <c r="C32" s="152">
        <f>ROUNDDOWN(B32/Parametros!$B$37,0)</f>
        <v>340</v>
      </c>
      <c r="D32" s="152">
        <f>ROUNDDOWN(C32/Parametros!$J$37,0)</f>
        <v>45</v>
      </c>
      <c r="E32" s="152">
        <f t="shared" si="7"/>
        <v>45</v>
      </c>
      <c r="F32" s="279">
        <f>Parametros!$M$43</f>
        <v>80.10122449</v>
      </c>
      <c r="G32" s="152">
        <v>1.0</v>
      </c>
      <c r="H32" s="152">
        <f t="shared" si="8"/>
        <v>80.10122449</v>
      </c>
      <c r="I32" s="275">
        <f t="shared" si="9"/>
        <v>0.5617891647</v>
      </c>
      <c r="J32" s="152" t="s">
        <v>182</v>
      </c>
    </row>
    <row r="33" ht="12.0" customHeight="1">
      <c r="A33" s="152" t="s">
        <v>64</v>
      </c>
      <c r="B33" s="159">
        <f>O7+O8+O9+O18+O19+O20</f>
        <v>6801</v>
      </c>
      <c r="C33" s="152">
        <f>ROUNDDOWN(B33/Parametros!$B$37,0)</f>
        <v>340</v>
      </c>
      <c r="D33" s="152">
        <f>ROUNDDOWN(C33/Parametros!$J$37,0)</f>
        <v>45</v>
      </c>
      <c r="E33" s="152">
        <f t="shared" si="7"/>
        <v>45</v>
      </c>
      <c r="F33" s="279">
        <f>Parametros!$M$44</f>
        <v>18.54222222</v>
      </c>
      <c r="G33" s="152">
        <v>1.0</v>
      </c>
      <c r="H33" s="152">
        <f t="shared" si="8"/>
        <v>18.54222222</v>
      </c>
      <c r="I33" s="275">
        <f t="shared" si="9"/>
        <v>2.426893576</v>
      </c>
      <c r="J33" s="152" t="s">
        <v>182</v>
      </c>
    </row>
    <row r="34" ht="12.0" customHeight="1">
      <c r="A34" s="280" t="s">
        <v>66</v>
      </c>
      <c r="B34" s="281">
        <f>O6+O7+O8+O9+O17+O18+O19+O20</f>
        <v>23686.08333</v>
      </c>
      <c r="C34" s="280">
        <f>ROUNDDOWN(B34/Parametros!$B$37,0)</f>
        <v>1184</v>
      </c>
      <c r="D34" s="280">
        <f>ROUNDDOWN(C34/Parametros!$J$37,0)</f>
        <v>157</v>
      </c>
      <c r="E34" s="280">
        <f t="shared" si="7"/>
        <v>157</v>
      </c>
      <c r="F34" s="282">
        <f>Parametros!$M$45</f>
        <v>60.656</v>
      </c>
      <c r="G34" s="280">
        <v>1.0</v>
      </c>
      <c r="H34" s="280">
        <f t="shared" si="8"/>
        <v>60.656</v>
      </c>
      <c r="I34" s="283">
        <f t="shared" si="9"/>
        <v>2.588367185</v>
      </c>
      <c r="J34" s="280" t="s">
        <v>158</v>
      </c>
    </row>
    <row r="35" ht="12.0" customHeight="1">
      <c r="A35" s="152" t="s">
        <v>67</v>
      </c>
      <c r="B35" s="159">
        <f>O6+O7+O8+O9+O17+O18+O19+O20</f>
        <v>23686.08333</v>
      </c>
      <c r="C35" s="152">
        <f>ROUNDDOWN(B35/Parametros!$B$37,0)</f>
        <v>1184</v>
      </c>
      <c r="D35" s="152">
        <f>ROUNDDOWN(C35/Parametros!$J$37,0)</f>
        <v>157</v>
      </c>
      <c r="E35" s="152">
        <f t="shared" si="7"/>
        <v>157</v>
      </c>
      <c r="F35" s="279">
        <f>Parametros!$M$46</f>
        <v>187.425</v>
      </c>
      <c r="G35" s="152">
        <v>1.0</v>
      </c>
      <c r="H35" s="152">
        <f t="shared" si="8"/>
        <v>187.425</v>
      </c>
      <c r="I35" s="275">
        <f t="shared" si="9"/>
        <v>0.8376684007</v>
      </c>
      <c r="J35" s="152" t="s">
        <v>158</v>
      </c>
    </row>
    <row r="36" ht="12.0" customHeight="1">
      <c r="A36" s="280" t="s">
        <v>68</v>
      </c>
      <c r="B36" s="281">
        <f>O6+O7+O8+O9+O17+O18+O19+O20</f>
        <v>23686.08333</v>
      </c>
      <c r="C36" s="280">
        <f>ROUNDDOWN(B36/Parametros!$B$37,0)</f>
        <v>1184</v>
      </c>
      <c r="D36" s="280">
        <f>ROUNDDOWN(C36/Parametros!$J$37,0)</f>
        <v>157</v>
      </c>
      <c r="E36" s="280">
        <f t="shared" si="7"/>
        <v>157</v>
      </c>
      <c r="F36" s="282">
        <f>Parametros!$M$47</f>
        <v>15.96903226</v>
      </c>
      <c r="G36" s="280">
        <v>1.0</v>
      </c>
      <c r="H36" s="280">
        <f t="shared" si="8"/>
        <v>15.96903226</v>
      </c>
      <c r="I36" s="283">
        <f t="shared" si="9"/>
        <v>9.831528765</v>
      </c>
      <c r="J36" s="280" t="s">
        <v>158</v>
      </c>
    </row>
    <row r="37" ht="12.0" customHeight="1">
      <c r="A37" s="280" t="s">
        <v>70</v>
      </c>
      <c r="B37" s="281">
        <f>O6+O7+O8+O9+O17+O18+O19+O20</f>
        <v>23686.08333</v>
      </c>
      <c r="C37" s="280">
        <f>ROUNDDOWN(B37/Parametros!$B$37,0)</f>
        <v>1184</v>
      </c>
      <c r="D37" s="280">
        <f>ROUNDDOWN(C37/Parametros!$J$37,0)</f>
        <v>157</v>
      </c>
      <c r="E37" s="280">
        <f t="shared" si="7"/>
        <v>157</v>
      </c>
      <c r="F37" s="282">
        <f>Parametros!$M$48</f>
        <v>22.46518519</v>
      </c>
      <c r="G37" s="280">
        <v>1.0</v>
      </c>
      <c r="H37" s="280">
        <f t="shared" si="8"/>
        <v>22.46518519</v>
      </c>
      <c r="I37" s="283">
        <f t="shared" si="9"/>
        <v>6.988591401</v>
      </c>
      <c r="J37" s="280" t="s">
        <v>158</v>
      </c>
    </row>
    <row r="38" ht="12.0" customHeight="1">
      <c r="A38" s="280" t="s">
        <v>72</v>
      </c>
      <c r="B38" s="281">
        <f>O6+O7+O8+O9+O17+O18+O19+O20</f>
        <v>23686.08333</v>
      </c>
      <c r="C38" s="280">
        <f>ROUNDDOWN(B38/Parametros!$B$37,0)</f>
        <v>1184</v>
      </c>
      <c r="D38" s="280">
        <f>ROUNDDOWN(C38/Parametros!$J$37,0)</f>
        <v>157</v>
      </c>
      <c r="E38" s="280">
        <f t="shared" si="7"/>
        <v>157</v>
      </c>
      <c r="F38" s="282">
        <f>Parametros!$M$49</f>
        <v>71.1627907</v>
      </c>
      <c r="G38" s="280">
        <v>1.0</v>
      </c>
      <c r="H38" s="280">
        <f t="shared" si="8"/>
        <v>71.1627907</v>
      </c>
      <c r="I38" s="283">
        <f t="shared" si="9"/>
        <v>2.20620915</v>
      </c>
      <c r="J38" s="280" t="s">
        <v>158</v>
      </c>
    </row>
    <row r="39" ht="12.0" customHeight="1">
      <c r="A39" s="280" t="s">
        <v>76</v>
      </c>
      <c r="B39" s="281">
        <f>O6+O7+O8+O9+O17+O18+O19+O20</f>
        <v>23686.08333</v>
      </c>
      <c r="C39" s="280">
        <f>ROUNDDOWN(B39/Parametros!$B$37,0)</f>
        <v>1184</v>
      </c>
      <c r="D39" s="280">
        <f>ROUNDDOWN(C39/Parametros!$J$37,0)</f>
        <v>157</v>
      </c>
      <c r="E39" s="280">
        <f t="shared" si="7"/>
        <v>157</v>
      </c>
      <c r="F39" s="282">
        <f>Parametros!$M$50</f>
        <v>192</v>
      </c>
      <c r="G39" s="280">
        <v>1.0</v>
      </c>
      <c r="H39" s="280">
        <f t="shared" si="8"/>
        <v>192</v>
      </c>
      <c r="I39" s="283">
        <f t="shared" si="9"/>
        <v>0.8177083333</v>
      </c>
      <c r="J39" s="280" t="s">
        <v>158</v>
      </c>
    </row>
    <row r="40" ht="12.0" customHeight="1">
      <c r="A40" s="280" t="s">
        <v>77</v>
      </c>
      <c r="B40" s="281">
        <f>O6+O7+O8+O9+O17+O18+O19+O20</f>
        <v>23686.08333</v>
      </c>
      <c r="C40" s="280">
        <f>ROUNDDOWN(B40/Parametros!$B$37,0)</f>
        <v>1184</v>
      </c>
      <c r="D40" s="280">
        <f>ROUNDDOWN(C40/Parametros!$J$37,0)</f>
        <v>157</v>
      </c>
      <c r="E40" s="280">
        <f t="shared" si="7"/>
        <v>157</v>
      </c>
      <c r="F40" s="282">
        <f>Parametros!$M$51</f>
        <v>136.0227273</v>
      </c>
      <c r="G40" s="280">
        <v>1.0</v>
      </c>
      <c r="H40" s="280">
        <f t="shared" si="8"/>
        <v>136.0227273</v>
      </c>
      <c r="I40" s="283">
        <f t="shared" si="9"/>
        <v>1.154218881</v>
      </c>
      <c r="J40" s="280" t="s">
        <v>158</v>
      </c>
    </row>
    <row r="41" ht="12.0" customHeight="1">
      <c r="A41" s="280" t="s">
        <v>79</v>
      </c>
      <c r="B41" s="281">
        <f>O6+O7+O8+O9+O17+O18+O19+O20</f>
        <v>23686.08333</v>
      </c>
      <c r="C41" s="280">
        <f>ROUNDDOWN(B41/Parametros!$B$37,0)</f>
        <v>1184</v>
      </c>
      <c r="D41" s="280">
        <f>ROUNDDOWN(C41/Parametros!$J$37,0)</f>
        <v>157</v>
      </c>
      <c r="E41" s="280">
        <f t="shared" si="7"/>
        <v>157</v>
      </c>
      <c r="F41" s="282">
        <f>Parametros!$M$52</f>
        <v>60.34285714</v>
      </c>
      <c r="G41" s="280">
        <v>1.0</v>
      </c>
      <c r="H41" s="280">
        <f t="shared" si="8"/>
        <v>60.34285714</v>
      </c>
      <c r="I41" s="283">
        <f t="shared" si="9"/>
        <v>2.601799242</v>
      </c>
      <c r="J41" s="280" t="s">
        <v>158</v>
      </c>
    </row>
    <row r="42" ht="12.0" customHeight="1">
      <c r="A42" s="152" t="s">
        <v>81</v>
      </c>
      <c r="B42" s="159">
        <f>O6+O7+O8+O9+O17+O18+O19+O20</f>
        <v>23686.08333</v>
      </c>
      <c r="C42" s="152">
        <f>ROUNDDOWN(B42/Parametros!$B$37,0)</f>
        <v>1184</v>
      </c>
      <c r="D42" s="152">
        <f>ROUNDDOWN(C42/Parametros!$J$37,0)</f>
        <v>157</v>
      </c>
      <c r="E42" s="152">
        <f t="shared" si="7"/>
        <v>157</v>
      </c>
      <c r="F42" s="279">
        <f>Parametros!$M$53</f>
        <v>25.2</v>
      </c>
      <c r="G42" s="152">
        <v>1.0</v>
      </c>
      <c r="H42" s="152">
        <f t="shared" si="8"/>
        <v>25.2</v>
      </c>
      <c r="I42" s="275">
        <f t="shared" si="9"/>
        <v>6.23015873</v>
      </c>
      <c r="J42" s="152" t="s">
        <v>158</v>
      </c>
    </row>
    <row r="43" ht="12.0" customHeight="1">
      <c r="A43" s="152" t="s">
        <v>82</v>
      </c>
      <c r="B43" s="159">
        <f>O6+O7+O8+O9+O17+O18+O19+O20</f>
        <v>23686.08333</v>
      </c>
      <c r="C43" s="152">
        <f>ROUNDDOWN(B43/Parametros!$B$37,0)</f>
        <v>1184</v>
      </c>
      <c r="D43" s="152">
        <f>ROUNDDOWN(C43/Parametros!$J$37,0)</f>
        <v>157</v>
      </c>
      <c r="E43" s="152">
        <f t="shared" si="7"/>
        <v>157</v>
      </c>
      <c r="F43" s="279">
        <f>Parametros!$M$54</f>
        <v>41.53846154</v>
      </c>
      <c r="G43" s="152">
        <v>1.0</v>
      </c>
      <c r="H43" s="152">
        <f t="shared" si="8"/>
        <v>41.53846154</v>
      </c>
      <c r="I43" s="275">
        <f t="shared" si="9"/>
        <v>3.77962963</v>
      </c>
      <c r="J43" s="152" t="s">
        <v>158</v>
      </c>
    </row>
    <row r="44" ht="12.0" customHeight="1">
      <c r="A44" s="152" t="s">
        <v>83</v>
      </c>
      <c r="B44" s="159">
        <f>O6+O7+O8+O9+O17+O18+O19+O20</f>
        <v>23686.08333</v>
      </c>
      <c r="C44" s="152">
        <f>ROUNDDOWN(B44/Parametros!$B$37,0)</f>
        <v>1184</v>
      </c>
      <c r="D44" s="152">
        <f>ROUNDDOWN(C44/Parametros!$J$37,0)</f>
        <v>157</v>
      </c>
      <c r="E44" s="152">
        <f t="shared" si="7"/>
        <v>157</v>
      </c>
      <c r="F44" s="279">
        <f>Parametros!$M$55</f>
        <v>45.81818182</v>
      </c>
      <c r="G44" s="152">
        <v>1.0</v>
      </c>
      <c r="H44" s="152">
        <f t="shared" si="8"/>
        <v>45.81818182</v>
      </c>
      <c r="I44" s="275">
        <f t="shared" si="9"/>
        <v>3.426587302</v>
      </c>
      <c r="J44" s="152" t="s">
        <v>158</v>
      </c>
    </row>
    <row r="45" ht="12.0" customHeight="1">
      <c r="A45" s="152" t="s">
        <v>84</v>
      </c>
      <c r="B45" s="159">
        <f>O6+O7+O8+O9+O17+O18+O19+O20</f>
        <v>23686.08333</v>
      </c>
      <c r="C45" s="152">
        <f>ROUNDDOWN(B45/Parametros!$B$37,0)</f>
        <v>1184</v>
      </c>
      <c r="D45" s="152">
        <f>ROUNDDOWN(C45/Parametros!$J$37,0)</f>
        <v>157</v>
      </c>
      <c r="E45" s="152">
        <f t="shared" si="7"/>
        <v>157</v>
      </c>
      <c r="F45" s="279">
        <f>Parametros!$M$56</f>
        <v>48.81355932</v>
      </c>
      <c r="G45" s="152">
        <v>1.0</v>
      </c>
      <c r="H45" s="152">
        <f t="shared" si="8"/>
        <v>48.81355932</v>
      </c>
      <c r="I45" s="275">
        <f t="shared" si="9"/>
        <v>3.216319444</v>
      </c>
      <c r="J45" s="152" t="s">
        <v>158</v>
      </c>
    </row>
    <row r="46" ht="12.0" customHeight="1"/>
    <row r="47" ht="12.0" customHeight="1">
      <c r="A47" s="276" t="s">
        <v>1611</v>
      </c>
      <c r="B47" s="277">
        <f t="shared" ref="B47:M47" si="10">SUM(B10:B13)+SUM(B21:B24)</f>
        <v>263.5</v>
      </c>
      <c r="C47" s="277">
        <f t="shared" si="10"/>
        <v>232.5</v>
      </c>
      <c r="D47" s="277">
        <f t="shared" si="10"/>
        <v>279</v>
      </c>
      <c r="E47" s="277">
        <f t="shared" si="10"/>
        <v>279</v>
      </c>
      <c r="F47" s="277">
        <f t="shared" si="10"/>
        <v>279</v>
      </c>
      <c r="G47" s="278">
        <f t="shared" si="10"/>
        <v>248</v>
      </c>
      <c r="H47" s="278">
        <f t="shared" si="10"/>
        <v>279</v>
      </c>
      <c r="I47" s="278">
        <f t="shared" si="10"/>
        <v>279</v>
      </c>
      <c r="J47" s="278">
        <f t="shared" si="10"/>
        <v>263.5</v>
      </c>
      <c r="K47" s="278">
        <f t="shared" si="10"/>
        <v>232.5</v>
      </c>
      <c r="L47" s="278">
        <f t="shared" si="10"/>
        <v>217</v>
      </c>
      <c r="M47" s="278">
        <f t="shared" si="10"/>
        <v>248</v>
      </c>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2026-09-15T22:30:36Z</dcterms:created>
  <dc:creator>openpyxl</dc:creator>
</cp:coreProperties>
</file>

<file path=docProps/custom.xml><?xml version="1.0" encoding="utf-8"?>
<Properties xmlns="http://schemas.openxmlformats.org/officeDocument/2006/custom-properties" xmlns:vt="http://schemas.openxmlformats.org/officeDocument/2006/docPropsVTypes"/>
</file>